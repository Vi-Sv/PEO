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icte\OneDrive\Рабочий стол\"/>
    </mc:Choice>
  </mc:AlternateContent>
  <xr:revisionPtr revIDLastSave="0" documentId="13_ncr:1_{A2DFAF6C-9808-4FF9-AA9D-263FBE8A9380}" xr6:coauthVersionLast="47" xr6:coauthVersionMax="47" xr10:uidLastSave="{00000000-0000-0000-0000-000000000000}"/>
  <bookViews>
    <workbookView xWindow="28680" yWindow="-120" windowWidth="29040" windowHeight="15720" xr2:uid="{ECD12185-2250-495B-9CD9-F2C8DBF147F8}"/>
  </bookViews>
  <sheets>
    <sheet name="Техника" sheetId="4" r:id="rId1"/>
    <sheet name="Отчет" sheetId="20" r:id="rId2"/>
  </sheets>
  <definedNames>
    <definedName name="_xlnm._FilterDatabase" localSheetId="0" hidden="1">Техника!$A$4:$CT$6</definedName>
    <definedName name="_xlnm.Print_Area" localSheetId="1">Отчет!$A$1:$AB$1621</definedName>
    <definedName name="_xlnm.Print_Area" localSheetId="0">Техника!$A$1:$BHC$31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621" i="20" l="1"/>
  <c r="AA1621" i="20"/>
  <c r="Z1621" i="20"/>
  <c r="Y1621" i="20"/>
  <c r="X1621" i="20"/>
  <c r="W1621" i="20"/>
  <c r="V1621" i="20"/>
  <c r="U1621" i="20"/>
  <c r="T1621" i="20"/>
  <c r="S1621" i="20"/>
  <c r="R1621" i="20"/>
  <c r="Q1621" i="20"/>
  <c r="P1621" i="20"/>
  <c r="O1621" i="20"/>
  <c r="N1621" i="20"/>
  <c r="M1621" i="20"/>
  <c r="L1621" i="20"/>
  <c r="K1621" i="20"/>
  <c r="J1621" i="20"/>
  <c r="I1621" i="20"/>
  <c r="H1621" i="20"/>
  <c r="G1621" i="20"/>
  <c r="F1621" i="20"/>
  <c r="E1621" i="20"/>
  <c r="D1621" i="20"/>
  <c r="C1621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H435" i="20" l="1"/>
  <c r="H434" i="20"/>
  <c r="H433" i="20"/>
  <c r="H432" i="20"/>
  <c r="H429" i="20"/>
  <c r="H428" i="20"/>
  <c r="H427" i="20"/>
  <c r="H426" i="20"/>
  <c r="H425" i="20"/>
  <c r="H424" i="20" s="1"/>
  <c r="H422" i="20"/>
  <c r="H421" i="20"/>
  <c r="H420" i="20"/>
  <c r="H419" i="20"/>
  <c r="H418" i="20"/>
  <c r="H417" i="20" s="1"/>
  <c r="H415" i="20"/>
  <c r="H414" i="20"/>
  <c r="H413" i="20"/>
  <c r="H412" i="20"/>
  <c r="H411" i="20"/>
  <c r="H410" i="20" s="1"/>
  <c r="H408" i="20"/>
  <c r="H407" i="20"/>
  <c r="H406" i="20"/>
  <c r="H405" i="20"/>
  <c r="H404" i="20"/>
  <c r="H403" i="20" s="1"/>
  <c r="H401" i="20"/>
  <c r="H400" i="20"/>
  <c r="H399" i="20"/>
  <c r="H398" i="20"/>
  <c r="H397" i="20"/>
  <c r="H396" i="20" s="1"/>
  <c r="H394" i="20"/>
  <c r="H393" i="20"/>
  <c r="H392" i="20"/>
  <c r="H391" i="20"/>
  <c r="H390" i="20"/>
  <c r="H389" i="20" s="1"/>
  <c r="H387" i="20"/>
  <c r="H386" i="20"/>
  <c r="H385" i="20"/>
  <c r="H384" i="20"/>
  <c r="H383" i="20"/>
  <c r="H382" i="20" s="1"/>
  <c r="H380" i="20"/>
  <c r="H379" i="20"/>
  <c r="H378" i="20"/>
  <c r="H377" i="20"/>
  <c r="H376" i="20"/>
  <c r="H375" i="20" s="1"/>
  <c r="H373" i="20"/>
  <c r="H372" i="20"/>
  <c r="H371" i="20"/>
  <c r="H370" i="20"/>
  <c r="H369" i="20"/>
  <c r="H368" i="20" s="1"/>
  <c r="H366" i="20"/>
  <c r="H365" i="20"/>
  <c r="H364" i="20"/>
  <c r="H363" i="20"/>
  <c r="H362" i="20"/>
  <c r="H361" i="20" s="1"/>
  <c r="H359" i="20"/>
  <c r="H358" i="20"/>
  <c r="H357" i="20"/>
  <c r="H356" i="20"/>
  <c r="H355" i="20"/>
  <c r="H354" i="20" s="1"/>
  <c r="H352" i="20"/>
  <c r="H351" i="20"/>
  <c r="H350" i="20"/>
  <c r="H349" i="20"/>
  <c r="H348" i="20"/>
  <c r="H347" i="20" s="1"/>
  <c r="H345" i="20"/>
  <c r="H344" i="20"/>
  <c r="H343" i="20"/>
  <c r="H342" i="20"/>
  <c r="H341" i="20"/>
  <c r="H340" i="20" s="1"/>
  <c r="H338" i="20"/>
  <c r="H337" i="20"/>
  <c r="H336" i="20"/>
  <c r="H335" i="20"/>
  <c r="H334" i="20"/>
  <c r="H333" i="20" s="1"/>
  <c r="H331" i="20"/>
  <c r="H330" i="20"/>
  <c r="H329" i="20"/>
  <c r="H328" i="20"/>
  <c r="H327" i="20"/>
  <c r="H326" i="20" s="1"/>
  <c r="H324" i="20"/>
  <c r="H323" i="20"/>
  <c r="H322" i="20"/>
  <c r="H321" i="20"/>
  <c r="H320" i="20"/>
  <c r="H319" i="20" s="1"/>
  <c r="H317" i="20"/>
  <c r="H316" i="20"/>
  <c r="H315" i="20"/>
  <c r="H314" i="20"/>
  <c r="H313" i="20"/>
  <c r="H312" i="20" s="1"/>
  <c r="H310" i="20"/>
  <c r="H309" i="20"/>
  <c r="H308" i="20"/>
  <c r="H307" i="20"/>
  <c r="H306" i="20"/>
  <c r="H305" i="20" s="1"/>
  <c r="H303" i="20"/>
  <c r="H302" i="20"/>
  <c r="H301" i="20"/>
  <c r="H300" i="20"/>
  <c r="H299" i="20"/>
  <c r="H298" i="20" s="1"/>
  <c r="H296" i="20"/>
  <c r="H295" i="20"/>
  <c r="H294" i="20"/>
  <c r="H293" i="20"/>
  <c r="H292" i="20"/>
  <c r="H291" i="20" s="1"/>
  <c r="H289" i="20"/>
  <c r="H288" i="20"/>
  <c r="H287" i="20"/>
  <c r="H286" i="20"/>
  <c r="H285" i="20"/>
  <c r="H284" i="20" s="1"/>
  <c r="H282" i="20"/>
  <c r="H281" i="20"/>
  <c r="H280" i="20"/>
  <c r="H279" i="20"/>
  <c r="H278" i="20"/>
  <c r="H277" i="20" s="1"/>
  <c r="H275" i="20"/>
  <c r="H274" i="20"/>
  <c r="H273" i="20"/>
  <c r="H272" i="20"/>
  <c r="H271" i="20"/>
  <c r="H270" i="20" s="1"/>
  <c r="H268" i="20"/>
  <c r="H267" i="20"/>
  <c r="H266" i="20"/>
  <c r="H265" i="20"/>
  <c r="H264" i="20"/>
  <c r="H263" i="20" s="1"/>
  <c r="H261" i="20"/>
  <c r="H260" i="20"/>
  <c r="H259" i="20"/>
  <c r="H258" i="20"/>
  <c r="H257" i="20"/>
  <c r="H256" i="20" s="1"/>
  <c r="H254" i="20"/>
  <c r="H253" i="20"/>
  <c r="H252" i="20"/>
  <c r="H251" i="20"/>
  <c r="H250" i="20"/>
  <c r="H249" i="20" s="1"/>
  <c r="H247" i="20"/>
  <c r="H246" i="20"/>
  <c r="H245" i="20"/>
  <c r="H244" i="20"/>
  <c r="H243" i="20"/>
  <c r="H242" i="20" s="1"/>
  <c r="H240" i="20"/>
  <c r="H239" i="20"/>
  <c r="H238" i="20"/>
  <c r="H237" i="20"/>
  <c r="H236" i="20"/>
  <c r="H235" i="20" s="1"/>
  <c r="H233" i="20"/>
  <c r="H232" i="20"/>
  <c r="H231" i="20"/>
  <c r="H230" i="20"/>
  <c r="H229" i="20"/>
  <c r="H228" i="20" s="1"/>
  <c r="H226" i="20"/>
  <c r="H225" i="20"/>
  <c r="H224" i="20"/>
  <c r="H223" i="20"/>
  <c r="H222" i="20"/>
  <c r="H221" i="20" s="1"/>
  <c r="H219" i="20"/>
  <c r="H218" i="20"/>
  <c r="H217" i="20"/>
  <c r="H216" i="20"/>
  <c r="H215" i="20"/>
  <c r="H214" i="20" s="1"/>
  <c r="H212" i="20"/>
  <c r="H211" i="20"/>
  <c r="H210" i="20"/>
  <c r="H209" i="20"/>
  <c r="H208" i="20"/>
  <c r="H207" i="20" s="1"/>
  <c r="H205" i="20"/>
  <c r="H204" i="20"/>
  <c r="H203" i="20"/>
  <c r="H202" i="20"/>
  <c r="H201" i="20"/>
  <c r="H200" i="20" s="1"/>
  <c r="H198" i="20"/>
  <c r="H197" i="20"/>
  <c r="H196" i="20"/>
  <c r="H195" i="20"/>
  <c r="H194" i="20"/>
  <c r="H193" i="20" s="1"/>
  <c r="H191" i="20"/>
  <c r="H190" i="20"/>
  <c r="H189" i="20"/>
  <c r="H188" i="20"/>
  <c r="H187" i="20"/>
  <c r="H186" i="20" s="1"/>
  <c r="H184" i="20"/>
  <c r="H183" i="20"/>
  <c r="H182" i="20"/>
  <c r="H181" i="20"/>
  <c r="H180" i="20"/>
  <c r="H179" i="20" s="1"/>
  <c r="H177" i="20"/>
  <c r="H176" i="20"/>
  <c r="H175" i="20"/>
  <c r="H174" i="20"/>
  <c r="H173" i="20"/>
  <c r="H172" i="20" s="1"/>
  <c r="H170" i="20"/>
  <c r="H169" i="20"/>
  <c r="H168" i="20"/>
  <c r="H167" i="20"/>
  <c r="H166" i="20"/>
  <c r="H165" i="20" s="1"/>
  <c r="H163" i="20"/>
  <c r="H162" i="20"/>
  <c r="H161" i="20"/>
  <c r="H160" i="20"/>
  <c r="H159" i="20"/>
  <c r="H158" i="20" s="1"/>
  <c r="H156" i="20"/>
  <c r="H155" i="20"/>
  <c r="H154" i="20"/>
  <c r="H153" i="20"/>
  <c r="H152" i="20"/>
  <c r="H151" i="20" s="1"/>
  <c r="H149" i="20"/>
  <c r="H148" i="20"/>
  <c r="H147" i="20"/>
  <c r="H146" i="20"/>
  <c r="H145" i="20"/>
  <c r="H144" i="20" s="1"/>
  <c r="H142" i="20"/>
  <c r="H141" i="20"/>
  <c r="H140" i="20"/>
  <c r="H139" i="20"/>
  <c r="H138" i="20"/>
  <c r="H137" i="20" s="1"/>
  <c r="H135" i="20"/>
  <c r="H134" i="20"/>
  <c r="H133" i="20"/>
  <c r="H132" i="20"/>
  <c r="H131" i="20"/>
  <c r="H130" i="20" s="1"/>
  <c r="H128" i="20"/>
  <c r="H127" i="20"/>
  <c r="H126" i="20"/>
  <c r="H125" i="20"/>
  <c r="H124" i="20"/>
  <c r="H123" i="20" s="1"/>
  <c r="H121" i="20"/>
  <c r="H120" i="20"/>
  <c r="H119" i="20"/>
  <c r="H118" i="20"/>
  <c r="H117" i="20"/>
  <c r="H116" i="20" s="1"/>
  <c r="H114" i="20"/>
  <c r="H113" i="20"/>
  <c r="H112" i="20"/>
  <c r="H111" i="20"/>
  <c r="H110" i="20"/>
  <c r="H109" i="20" s="1"/>
  <c r="H107" i="20"/>
  <c r="H106" i="20"/>
  <c r="H105" i="20"/>
  <c r="H104" i="20"/>
  <c r="H103" i="20"/>
  <c r="H102" i="20" s="1"/>
  <c r="H100" i="20"/>
  <c r="H99" i="20"/>
  <c r="H98" i="20"/>
  <c r="H97" i="20"/>
  <c r="H96" i="20"/>
  <c r="H95" i="20" s="1"/>
  <c r="H93" i="20"/>
  <c r="H92" i="20"/>
  <c r="H91" i="20"/>
  <c r="H90" i="20"/>
  <c r="H89" i="20"/>
  <c r="H88" i="20" s="1"/>
  <c r="H86" i="20"/>
  <c r="H85" i="20"/>
  <c r="H84" i="20"/>
  <c r="H83" i="20"/>
  <c r="H82" i="20"/>
  <c r="H81" i="20" s="1"/>
  <c r="H79" i="20"/>
  <c r="H78" i="20"/>
  <c r="H77" i="20"/>
  <c r="H76" i="20"/>
  <c r="H75" i="20"/>
  <c r="H74" i="20" s="1"/>
  <c r="H72" i="20"/>
  <c r="H71" i="20"/>
  <c r="H70" i="20"/>
  <c r="H69" i="20"/>
  <c r="H68" i="20"/>
  <c r="H67" i="20" s="1"/>
  <c r="H65" i="20"/>
  <c r="H64" i="20"/>
  <c r="H6" i="20"/>
  <c r="H5" i="20"/>
  <c r="H63" i="20"/>
  <c r="H62" i="20"/>
  <c r="H61" i="20"/>
  <c r="H60" i="20" s="1"/>
  <c r="H58" i="20"/>
  <c r="H57" i="20"/>
  <c r="H56" i="20"/>
  <c r="H55" i="20"/>
  <c r="H54" i="20"/>
  <c r="H53" i="20" s="1"/>
  <c r="H51" i="20"/>
  <c r="H50" i="20"/>
  <c r="H49" i="20"/>
  <c r="H48" i="20"/>
  <c r="H47" i="20"/>
  <c r="H46" i="20" s="1"/>
  <c r="H44" i="20"/>
  <c r="H43" i="20"/>
  <c r="H42" i="20"/>
  <c r="H41" i="20"/>
  <c r="H40" i="20"/>
  <c r="H39" i="20" s="1"/>
  <c r="H37" i="20"/>
  <c r="H36" i="20"/>
  <c r="H35" i="20"/>
  <c r="H34" i="20"/>
  <c r="H33" i="20"/>
  <c r="H32" i="20" s="1"/>
  <c r="H30" i="20"/>
  <c r="H29" i="20"/>
  <c r="H28" i="20"/>
  <c r="H27" i="20"/>
  <c r="H26" i="20"/>
  <c r="H25" i="20" s="1"/>
  <c r="H23" i="20"/>
  <c r="H22" i="20"/>
  <c r="H21" i="20"/>
  <c r="H20" i="20"/>
  <c r="H19" i="20"/>
  <c r="H18" i="20" s="1"/>
  <c r="H16" i="20"/>
  <c r="H15" i="20"/>
  <c r="H14" i="20"/>
  <c r="H13" i="20"/>
  <c r="H12" i="20"/>
  <c r="H11" i="20" s="1"/>
  <c r="H9" i="20"/>
  <c r="H8" i="20"/>
  <c r="H7" i="20"/>
  <c r="G266" i="20"/>
  <c r="G265" i="20"/>
  <c r="G264" i="20"/>
  <c r="G261" i="20"/>
  <c r="G260" i="20"/>
  <c r="G259" i="20"/>
  <c r="G258" i="20"/>
  <c r="G257" i="20"/>
  <c r="G256" i="20" s="1"/>
  <c r="G254" i="20"/>
  <c r="G253" i="20"/>
  <c r="G252" i="20"/>
  <c r="G1339" i="20"/>
  <c r="G251" i="20"/>
  <c r="G250" i="20"/>
  <c r="G249" i="20" s="1"/>
  <c r="G247" i="20"/>
  <c r="G246" i="20"/>
  <c r="G245" i="20"/>
  <c r="G244" i="20"/>
  <c r="G243" i="20"/>
  <c r="G242" i="20" s="1"/>
  <c r="G240" i="20"/>
  <c r="G239" i="20"/>
  <c r="G238" i="20"/>
  <c r="G237" i="20"/>
  <c r="G236" i="20"/>
  <c r="G235" i="20" s="1"/>
  <c r="G233" i="20"/>
  <c r="G232" i="20"/>
  <c r="G231" i="20"/>
  <c r="G230" i="20"/>
  <c r="G229" i="20"/>
  <c r="G228" i="20" s="1"/>
  <c r="G226" i="20"/>
  <c r="G225" i="20"/>
  <c r="G224" i="20"/>
  <c r="G223" i="20"/>
  <c r="G222" i="20"/>
  <c r="G221" i="20" s="1"/>
  <c r="G219" i="20"/>
  <c r="G218" i="20"/>
  <c r="G217" i="20"/>
  <c r="G216" i="20"/>
  <c r="G215" i="20"/>
  <c r="G214" i="20" s="1"/>
  <c r="G212" i="20"/>
  <c r="G211" i="20"/>
  <c r="G210" i="20"/>
  <c r="G209" i="20"/>
  <c r="G208" i="20"/>
  <c r="G207" i="20" s="1"/>
  <c r="G205" i="20"/>
  <c r="G1619" i="20"/>
  <c r="G1618" i="20"/>
  <c r="G1617" i="20"/>
  <c r="G1616" i="20"/>
  <c r="G1615" i="20"/>
  <c r="G1614" i="20" s="1"/>
  <c r="G1612" i="20"/>
  <c r="G1611" i="20"/>
  <c r="G1610" i="20"/>
  <c r="G1609" i="20"/>
  <c r="G1608" i="20"/>
  <c r="G1607" i="20" s="1"/>
  <c r="G1605" i="20"/>
  <c r="G1604" i="20"/>
  <c r="G1603" i="20"/>
  <c r="G1602" i="20"/>
  <c r="G1601" i="20"/>
  <c r="G1600" i="20" s="1"/>
  <c r="G1598" i="20"/>
  <c r="G1597" i="20"/>
  <c r="G1596" i="20"/>
  <c r="G1595" i="20"/>
  <c r="G1594" i="20"/>
  <c r="G1593" i="20" s="1"/>
  <c r="G1591" i="20"/>
  <c r="G1590" i="20"/>
  <c r="G1589" i="20"/>
  <c r="G1588" i="20"/>
  <c r="G1587" i="20"/>
  <c r="G1586" i="20" s="1"/>
  <c r="G1584" i="20"/>
  <c r="G1583" i="20"/>
  <c r="G1582" i="20"/>
  <c r="G1581" i="20"/>
  <c r="G1580" i="20"/>
  <c r="G1579" i="20" s="1"/>
  <c r="G1577" i="20"/>
  <c r="G1576" i="20"/>
  <c r="G1575" i="20"/>
  <c r="G1574" i="20"/>
  <c r="G1573" i="20"/>
  <c r="G1572" i="20" s="1"/>
  <c r="G1570" i="20"/>
  <c r="G1569" i="20"/>
  <c r="G1568" i="20"/>
  <c r="G1567" i="20"/>
  <c r="G1566" i="20"/>
  <c r="G1565" i="20" s="1"/>
  <c r="G1563" i="20"/>
  <c r="G1562" i="20"/>
  <c r="G1561" i="20"/>
  <c r="G1560" i="20"/>
  <c r="G1559" i="20"/>
  <c r="G1558" i="20" s="1"/>
  <c r="G1556" i="20"/>
  <c r="G1555" i="20"/>
  <c r="G1554" i="20"/>
  <c r="G1553" i="20"/>
  <c r="G1552" i="20"/>
  <c r="G1551" i="20" s="1"/>
  <c r="G1549" i="20"/>
  <c r="G1548" i="20"/>
  <c r="G1547" i="20"/>
  <c r="G1546" i="20"/>
  <c r="G1545" i="20"/>
  <c r="G1544" i="20" s="1"/>
  <c r="G1542" i="20"/>
  <c r="G1541" i="20"/>
  <c r="G1540" i="20"/>
  <c r="G1539" i="20"/>
  <c r="G1538" i="20"/>
  <c r="G1537" i="20" s="1"/>
  <c r="G1535" i="20"/>
  <c r="G1534" i="20"/>
  <c r="G1533" i="20"/>
  <c r="G1532" i="20"/>
  <c r="G1531" i="20"/>
  <c r="G1530" i="20" s="1"/>
  <c r="G1528" i="20"/>
  <c r="G1527" i="20"/>
  <c r="G1526" i="20"/>
  <c r="G1525" i="20"/>
  <c r="G1524" i="20"/>
  <c r="G1523" i="20" s="1"/>
  <c r="G1521" i="20"/>
  <c r="G1520" i="20"/>
  <c r="G1519" i="20"/>
  <c r="G1518" i="20"/>
  <c r="G1517" i="20"/>
  <c r="G1516" i="20" s="1"/>
  <c r="G1514" i="20"/>
  <c r="G1513" i="20"/>
  <c r="G1512" i="20"/>
  <c r="G1511" i="20"/>
  <c r="G1510" i="20"/>
  <c r="G1509" i="20" s="1"/>
  <c r="G1507" i="20"/>
  <c r="G1506" i="20"/>
  <c r="G1505" i="20"/>
  <c r="G1504" i="20"/>
  <c r="G1503" i="20"/>
  <c r="G1502" i="20" s="1"/>
  <c r="G1500" i="20"/>
  <c r="G1499" i="20"/>
  <c r="G1498" i="20"/>
  <c r="G1497" i="20"/>
  <c r="G1496" i="20"/>
  <c r="G1495" i="20" s="1"/>
  <c r="G1493" i="20"/>
  <c r="G1492" i="20"/>
  <c r="G1491" i="20"/>
  <c r="G1490" i="20"/>
  <c r="G1489" i="20"/>
  <c r="G1488" i="20" s="1"/>
  <c r="G1486" i="20"/>
  <c r="G1485" i="20"/>
  <c r="G1484" i="20"/>
  <c r="G1483" i="20"/>
  <c r="G1482" i="20"/>
  <c r="G1481" i="20" s="1"/>
  <c r="G1479" i="20"/>
  <c r="G1478" i="20"/>
  <c r="G1477" i="20"/>
  <c r="G1476" i="20"/>
  <c r="G1475" i="20"/>
  <c r="G1474" i="20" s="1"/>
  <c r="G1472" i="20"/>
  <c r="G1471" i="20"/>
  <c r="G1470" i="20"/>
  <c r="G1469" i="20"/>
  <c r="G1468" i="20"/>
  <c r="G1467" i="20" s="1"/>
  <c r="G1465" i="20"/>
  <c r="G1464" i="20"/>
  <c r="G1463" i="20"/>
  <c r="G1462" i="20"/>
  <c r="G1461" i="20"/>
  <c r="G1460" i="20" s="1"/>
  <c r="G1458" i="20"/>
  <c r="G1457" i="20"/>
  <c r="G1456" i="20"/>
  <c r="G1455" i="20"/>
  <c r="G1454" i="20"/>
  <c r="G1453" i="20" s="1"/>
  <c r="G1451" i="20"/>
  <c r="G1450" i="20"/>
  <c r="G1449" i="20"/>
  <c r="G1448" i="20"/>
  <c r="G1447" i="20"/>
  <c r="G1446" i="20" s="1"/>
  <c r="G1444" i="20"/>
  <c r="G1443" i="20"/>
  <c r="G1442" i="20"/>
  <c r="G1441" i="20"/>
  <c r="G1440" i="20"/>
  <c r="G1439" i="20" s="1"/>
  <c r="G1437" i="20"/>
  <c r="G1436" i="20"/>
  <c r="G1435" i="20"/>
  <c r="G1434" i="20"/>
  <c r="G1433" i="20"/>
  <c r="G1432" i="20" s="1"/>
  <c r="G1430" i="20"/>
  <c r="G1429" i="20"/>
  <c r="G1428" i="20"/>
  <c r="G1427" i="20"/>
  <c r="G1426" i="20"/>
  <c r="G1425" i="20" s="1"/>
  <c r="G1423" i="20"/>
  <c r="G1422" i="20"/>
  <c r="G1421" i="20"/>
  <c r="G1420" i="20"/>
  <c r="G1419" i="20"/>
  <c r="G1418" i="20" s="1"/>
  <c r="G1416" i="20"/>
  <c r="G1415" i="20"/>
  <c r="G1414" i="20"/>
  <c r="G1413" i="20"/>
  <c r="G1412" i="20"/>
  <c r="G1411" i="20" s="1"/>
  <c r="G1409" i="20"/>
  <c r="G1408" i="20"/>
  <c r="G1407" i="20"/>
  <c r="G1406" i="20"/>
  <c r="G1405" i="20"/>
  <c r="G1404" i="20" s="1"/>
  <c r="G1402" i="20"/>
  <c r="G1401" i="20"/>
  <c r="G1400" i="20"/>
  <c r="G1399" i="20"/>
  <c r="G1398" i="20"/>
  <c r="G1397" i="20" s="1"/>
  <c r="G1395" i="20"/>
  <c r="G1394" i="20"/>
  <c r="G1393" i="20"/>
  <c r="G1392" i="20"/>
  <c r="G1391" i="20"/>
  <c r="G1390" i="20" s="1"/>
  <c r="G1388" i="20"/>
  <c r="G1387" i="20"/>
  <c r="G1386" i="20"/>
  <c r="G1385" i="20"/>
  <c r="G1384" i="20"/>
  <c r="G1383" i="20" s="1"/>
  <c r="G1381" i="20"/>
  <c r="G1380" i="20"/>
  <c r="G1379" i="20"/>
  <c r="G1378" i="20"/>
  <c r="G1377" i="20"/>
  <c r="G1376" i="20" s="1"/>
  <c r="G1374" i="20"/>
  <c r="G1373" i="20"/>
  <c r="G1372" i="20"/>
  <c r="G1371" i="20"/>
  <c r="G1370" i="20"/>
  <c r="G1369" i="20" s="1"/>
  <c r="G1367" i="20"/>
  <c r="G1366" i="20"/>
  <c r="G1365" i="20"/>
  <c r="G1364" i="20"/>
  <c r="G1363" i="20"/>
  <c r="G1362" i="20" s="1"/>
  <c r="G1360" i="20"/>
  <c r="G1359" i="20"/>
  <c r="G1358" i="20"/>
  <c r="G1357" i="20"/>
  <c r="G1356" i="20"/>
  <c r="G1355" i="20" s="1"/>
  <c r="G1353" i="20"/>
  <c r="G1352" i="20"/>
  <c r="G1351" i="20"/>
  <c r="G1350" i="20"/>
  <c r="G1349" i="20"/>
  <c r="G1348" i="20" s="1"/>
  <c r="G1346" i="20"/>
  <c r="G1345" i="20"/>
  <c r="G1344" i="20"/>
  <c r="G1343" i="20"/>
  <c r="G1342" i="20"/>
  <c r="G1341" i="20" s="1"/>
  <c r="G204" i="20"/>
  <c r="G1338" i="20"/>
  <c r="G1337" i="20"/>
  <c r="G1336" i="20"/>
  <c r="G1335" i="20"/>
  <c r="G1334" i="20" s="1"/>
  <c r="G1332" i="20"/>
  <c r="G1331" i="20"/>
  <c r="G1330" i="20"/>
  <c r="G1329" i="20"/>
  <c r="G1328" i="20"/>
  <c r="G1327" i="20" s="1"/>
  <c r="G1325" i="20"/>
  <c r="G1324" i="20"/>
  <c r="G1323" i="20"/>
  <c r="G1322" i="20"/>
  <c r="G1321" i="20"/>
  <c r="G1320" i="20" s="1"/>
  <c r="G1318" i="20"/>
  <c r="G1317" i="20"/>
  <c r="G1316" i="20"/>
  <c r="G1315" i="20"/>
  <c r="G1314" i="20"/>
  <c r="G1313" i="20" s="1"/>
  <c r="G1311" i="20"/>
  <c r="G1310" i="20"/>
  <c r="G1309" i="20"/>
  <c r="G1308" i="20"/>
  <c r="G1307" i="20"/>
  <c r="G1306" i="20" s="1"/>
  <c r="G1304" i="20"/>
  <c r="G1303" i="20"/>
  <c r="G1302" i="20"/>
  <c r="G1301" i="20"/>
  <c r="G1300" i="20"/>
  <c r="G1299" i="20" s="1"/>
  <c r="G1297" i="20"/>
  <c r="G1296" i="20"/>
  <c r="G1295" i="20"/>
  <c r="G1294" i="20"/>
  <c r="G1293" i="20"/>
  <c r="G1292" i="20" s="1"/>
  <c r="G1290" i="20"/>
  <c r="G1289" i="20"/>
  <c r="G1288" i="20"/>
  <c r="G1287" i="20"/>
  <c r="G1286" i="20"/>
  <c r="G1285" i="20" s="1"/>
  <c r="G203" i="20"/>
  <c r="G202" i="20"/>
  <c r="G201" i="20"/>
  <c r="G200" i="20" s="1"/>
  <c r="G198" i="20"/>
  <c r="G197" i="20"/>
  <c r="G196" i="20"/>
  <c r="G195" i="20"/>
  <c r="G194" i="20"/>
  <c r="G193" i="20" s="1"/>
  <c r="G190" i="20"/>
  <c r="G188" i="20"/>
  <c r="G184" i="20"/>
  <c r="G181" i="20"/>
  <c r="G176" i="20"/>
  <c r="G173" i="20"/>
  <c r="G167" i="20"/>
  <c r="G162" i="20"/>
  <c r="G159" i="20"/>
  <c r="G154" i="20"/>
  <c r="G149" i="20"/>
  <c r="G145" i="20"/>
  <c r="G141" i="20"/>
  <c r="G133" i="20"/>
  <c r="G128" i="20"/>
  <c r="G125" i="20"/>
  <c r="G120" i="20"/>
  <c r="G117" i="20"/>
  <c r="G112" i="20"/>
  <c r="G107" i="20"/>
  <c r="G104" i="20"/>
  <c r="G99" i="20"/>
  <c r="G98" i="20"/>
  <c r="G97" i="20"/>
  <c r="G96" i="20"/>
  <c r="G93" i="20"/>
  <c r="G92" i="20"/>
  <c r="G91" i="20"/>
  <c r="G90" i="20"/>
  <c r="G89" i="20"/>
  <c r="G88" i="20" s="1"/>
  <c r="G86" i="20"/>
  <c r="G85" i="20"/>
  <c r="G84" i="20"/>
  <c r="G83" i="20"/>
  <c r="G82" i="20"/>
  <c r="G81" i="20" s="1"/>
  <c r="G79" i="20"/>
  <c r="G78" i="20"/>
  <c r="G77" i="20"/>
  <c r="G76" i="20"/>
  <c r="G75" i="20"/>
  <c r="G74" i="20" s="1"/>
  <c r="G72" i="20"/>
  <c r="G71" i="20"/>
  <c r="G70" i="20"/>
  <c r="G69" i="20"/>
  <c r="G68" i="20"/>
  <c r="G67" i="20" s="1"/>
  <c r="G65" i="20"/>
  <c r="G64" i="20"/>
  <c r="G63" i="20"/>
  <c r="G62" i="20"/>
  <c r="G61" i="20"/>
  <c r="G60" i="20" s="1"/>
  <c r="G58" i="20"/>
  <c r="G1283" i="20"/>
  <c r="G1282" i="20"/>
  <c r="G1281" i="20"/>
  <c r="G1280" i="20"/>
  <c r="G1279" i="20"/>
  <c r="G1278" i="20" s="1"/>
  <c r="G1276" i="20"/>
  <c r="G1275" i="20"/>
  <c r="G1274" i="20"/>
  <c r="G1273" i="20"/>
  <c r="G1272" i="20"/>
  <c r="G1271" i="20" s="1"/>
  <c r="G1269" i="20"/>
  <c r="G1268" i="20"/>
  <c r="G1267" i="20"/>
  <c r="G1266" i="20"/>
  <c r="G1265" i="20"/>
  <c r="G1264" i="20" s="1"/>
  <c r="G1262" i="20"/>
  <c r="G1261" i="20"/>
  <c r="G1260" i="20"/>
  <c r="G1259" i="20"/>
  <c r="G1258" i="20"/>
  <c r="G1257" i="20" s="1"/>
  <c r="G1255" i="20"/>
  <c r="G1254" i="20"/>
  <c r="G1253" i="20"/>
  <c r="G1252" i="20"/>
  <c r="G1251" i="20"/>
  <c r="G1250" i="20" s="1"/>
  <c r="G1248" i="20"/>
  <c r="G1247" i="20"/>
  <c r="G1246" i="20"/>
  <c r="G1245" i="20"/>
  <c r="G1244" i="20"/>
  <c r="G1243" i="20" s="1"/>
  <c r="G1241" i="20"/>
  <c r="G1240" i="20"/>
  <c r="G1239" i="20"/>
  <c r="G1238" i="20"/>
  <c r="G1237" i="20"/>
  <c r="G1236" i="20" s="1"/>
  <c r="G1234" i="20"/>
  <c r="G1233" i="20"/>
  <c r="G1232" i="20"/>
  <c r="G1231" i="20"/>
  <c r="G1230" i="20"/>
  <c r="G1229" i="20" s="1"/>
  <c r="G1227" i="20"/>
  <c r="G1226" i="20"/>
  <c r="G1225" i="20"/>
  <c r="G1224" i="20"/>
  <c r="G1223" i="20"/>
  <c r="G1222" i="20" s="1"/>
  <c r="G1220" i="20"/>
  <c r="G1219" i="20"/>
  <c r="G1218" i="20"/>
  <c r="G1217" i="20"/>
  <c r="G1216" i="20"/>
  <c r="G1215" i="20" s="1"/>
  <c r="G1213" i="20"/>
  <c r="G1212" i="20"/>
  <c r="G1211" i="20"/>
  <c r="G1210" i="20"/>
  <c r="G1209" i="20"/>
  <c r="G1208" i="20" s="1"/>
  <c r="G1206" i="20"/>
  <c r="G1205" i="20"/>
  <c r="G1204" i="20"/>
  <c r="G1203" i="20"/>
  <c r="G1202" i="20"/>
  <c r="G1201" i="20" s="1"/>
  <c r="G1199" i="20"/>
  <c r="G1198" i="20"/>
  <c r="G1197" i="20"/>
  <c r="G1196" i="20"/>
  <c r="G1195" i="20"/>
  <c r="G1194" i="20" s="1"/>
  <c r="G1192" i="20"/>
  <c r="G1191" i="20"/>
  <c r="G1190" i="20"/>
  <c r="G1189" i="20"/>
  <c r="G1188" i="20"/>
  <c r="G1187" i="20" s="1"/>
  <c r="G1185" i="20"/>
  <c r="G1184" i="20"/>
  <c r="G1183" i="20"/>
  <c r="G1182" i="20"/>
  <c r="G1181" i="20"/>
  <c r="G1180" i="20" s="1"/>
  <c r="G1178" i="20"/>
  <c r="G1177" i="20"/>
  <c r="G1176" i="20"/>
  <c r="G1175" i="20"/>
  <c r="G1174" i="20"/>
  <c r="G1173" i="20" s="1"/>
  <c r="G1171" i="20"/>
  <c r="G1170" i="20"/>
  <c r="G1169" i="20"/>
  <c r="G1168" i="20"/>
  <c r="G1167" i="20"/>
  <c r="G1166" i="20" s="1"/>
  <c r="G1164" i="20"/>
  <c r="G1163" i="20"/>
  <c r="G1162" i="20"/>
  <c r="G1161" i="20"/>
  <c r="G1160" i="20"/>
  <c r="G1159" i="20" s="1"/>
  <c r="G1157" i="20"/>
  <c r="G1156" i="20"/>
  <c r="G1155" i="20"/>
  <c r="G1154" i="20"/>
  <c r="G1153" i="20"/>
  <c r="G1152" i="20" s="1"/>
  <c r="G1150" i="20"/>
  <c r="G1149" i="20"/>
  <c r="G1148" i="20"/>
  <c r="G1147" i="20"/>
  <c r="G1146" i="20"/>
  <c r="G1145" i="20" s="1"/>
  <c r="G1143" i="20"/>
  <c r="G1142" i="20"/>
  <c r="G1141" i="20"/>
  <c r="G1140" i="20"/>
  <c r="G1139" i="20"/>
  <c r="G1138" i="20" s="1"/>
  <c r="G1136" i="20"/>
  <c r="G1135" i="20"/>
  <c r="G1134" i="20"/>
  <c r="G1133" i="20"/>
  <c r="G1132" i="20"/>
  <c r="G1131" i="20" s="1"/>
  <c r="G1129" i="20"/>
  <c r="G1128" i="20"/>
  <c r="G1127" i="20"/>
  <c r="G1126" i="20"/>
  <c r="G1125" i="20"/>
  <c r="G1124" i="20" s="1"/>
  <c r="G1122" i="20"/>
  <c r="G1121" i="20"/>
  <c r="G1120" i="20"/>
  <c r="G1119" i="20"/>
  <c r="G1118" i="20"/>
  <c r="G1117" i="20" s="1"/>
  <c r="G1115" i="20"/>
  <c r="G1114" i="20"/>
  <c r="G1113" i="20"/>
  <c r="G1112" i="20"/>
  <c r="G1111" i="20"/>
  <c r="G1110" i="20" s="1"/>
  <c r="G1108" i="20"/>
  <c r="G1107" i="20"/>
  <c r="G1106" i="20"/>
  <c r="G1105" i="20"/>
  <c r="G1104" i="20"/>
  <c r="G1103" i="20" s="1"/>
  <c r="G1101" i="20"/>
  <c r="G1100" i="20"/>
  <c r="G1099" i="20"/>
  <c r="G1098" i="20"/>
  <c r="G1097" i="20"/>
  <c r="G1096" i="20" s="1"/>
  <c r="G1094" i="20"/>
  <c r="G1093" i="20"/>
  <c r="G1092" i="20"/>
  <c r="G1091" i="20"/>
  <c r="G1090" i="20"/>
  <c r="G1089" i="20" s="1"/>
  <c r="G1087" i="20"/>
  <c r="G1086" i="20"/>
  <c r="G1085" i="20"/>
  <c r="G1084" i="20"/>
  <c r="G1083" i="20"/>
  <c r="G1082" i="20" s="1"/>
  <c r="G1080" i="20"/>
  <c r="G1079" i="20"/>
  <c r="G1078" i="20"/>
  <c r="G1077" i="20"/>
  <c r="G1076" i="20"/>
  <c r="G1075" i="20" s="1"/>
  <c r="G1073" i="20"/>
  <c r="G1072" i="20"/>
  <c r="G1071" i="20"/>
  <c r="G1070" i="20"/>
  <c r="G1069" i="20"/>
  <c r="G1068" i="20" s="1"/>
  <c r="G1066" i="20"/>
  <c r="G1065" i="20"/>
  <c r="G1064" i="20"/>
  <c r="G1063" i="20"/>
  <c r="G1062" i="20"/>
  <c r="G1061" i="20" s="1"/>
  <c r="G1059" i="20"/>
  <c r="G1058" i="20"/>
  <c r="G1057" i="20"/>
  <c r="G1056" i="20"/>
  <c r="G1055" i="20"/>
  <c r="G1054" i="20" s="1"/>
  <c r="G1052" i="20"/>
  <c r="G1051" i="20"/>
  <c r="G1050" i="20"/>
  <c r="G1049" i="20"/>
  <c r="G1048" i="20"/>
  <c r="G1047" i="20" s="1"/>
  <c r="G1045" i="20"/>
  <c r="G1044" i="20"/>
  <c r="G1043" i="20"/>
  <c r="G1042" i="20"/>
  <c r="G1041" i="20"/>
  <c r="G1040" i="20" s="1"/>
  <c r="G1038" i="20"/>
  <c r="G1037" i="20"/>
  <c r="G1036" i="20"/>
  <c r="G1035" i="20"/>
  <c r="G1034" i="20"/>
  <c r="G1033" i="20" s="1"/>
  <c r="G1031" i="20"/>
  <c r="G1030" i="20"/>
  <c r="G1029" i="20"/>
  <c r="G1028" i="20"/>
  <c r="G1027" i="20"/>
  <c r="G1026" i="20" s="1"/>
  <c r="G1024" i="20"/>
  <c r="G1023" i="20"/>
  <c r="G1022" i="20"/>
  <c r="G1021" i="20"/>
  <c r="G1020" i="20"/>
  <c r="G1019" i="20" s="1"/>
  <c r="G1017" i="20"/>
  <c r="G1016" i="20"/>
  <c r="G1015" i="20"/>
  <c r="G1014" i="20"/>
  <c r="G1013" i="20"/>
  <c r="G1012" i="20" s="1"/>
  <c r="G1010" i="20"/>
  <c r="G1009" i="20"/>
  <c r="G1008" i="20"/>
  <c r="G1007" i="20"/>
  <c r="G1006" i="20"/>
  <c r="G1005" i="20" s="1"/>
  <c r="G1003" i="20"/>
  <c r="G1002" i="20"/>
  <c r="G1001" i="20"/>
  <c r="G1000" i="20"/>
  <c r="G999" i="20"/>
  <c r="G998" i="20" s="1"/>
  <c r="G996" i="20"/>
  <c r="G995" i="20"/>
  <c r="G994" i="20"/>
  <c r="G993" i="20"/>
  <c r="G992" i="20"/>
  <c r="G991" i="20" s="1"/>
  <c r="G989" i="20"/>
  <c r="G988" i="20"/>
  <c r="G987" i="20"/>
  <c r="G986" i="20"/>
  <c r="G985" i="20"/>
  <c r="G984" i="20" s="1"/>
  <c r="G982" i="20"/>
  <c r="G981" i="20"/>
  <c r="G980" i="20"/>
  <c r="G979" i="20"/>
  <c r="G978" i="20"/>
  <c r="G977" i="20" s="1"/>
  <c r="G975" i="20"/>
  <c r="G974" i="20"/>
  <c r="G973" i="20"/>
  <c r="G972" i="20"/>
  <c r="G971" i="20"/>
  <c r="G970" i="20" s="1"/>
  <c r="G968" i="20"/>
  <c r="G967" i="20"/>
  <c r="G966" i="20"/>
  <c r="G965" i="20"/>
  <c r="G964" i="20"/>
  <c r="G963" i="20" s="1"/>
  <c r="G961" i="20"/>
  <c r="G960" i="20"/>
  <c r="G959" i="20"/>
  <c r="G958" i="20"/>
  <c r="G957" i="20"/>
  <c r="G956" i="20" s="1"/>
  <c r="G954" i="20"/>
  <c r="G953" i="20"/>
  <c r="G952" i="20"/>
  <c r="G951" i="20"/>
  <c r="G950" i="20"/>
  <c r="G949" i="20" s="1"/>
  <c r="G947" i="20"/>
  <c r="G946" i="20"/>
  <c r="G945" i="20"/>
  <c r="G944" i="20"/>
  <c r="G943" i="20"/>
  <c r="G942" i="20" s="1"/>
  <c r="G940" i="20"/>
  <c r="G939" i="20"/>
  <c r="G938" i="20"/>
  <c r="G937" i="20"/>
  <c r="G936" i="20"/>
  <c r="G935" i="20" s="1"/>
  <c r="G933" i="20"/>
  <c r="G932" i="20"/>
  <c r="G931" i="20"/>
  <c r="G930" i="20"/>
  <c r="G929" i="20"/>
  <c r="G928" i="20" s="1"/>
  <c r="G926" i="20"/>
  <c r="G925" i="20"/>
  <c r="G924" i="20"/>
  <c r="G923" i="20"/>
  <c r="G922" i="20"/>
  <c r="G921" i="20" s="1"/>
  <c r="G919" i="20"/>
  <c r="G918" i="20"/>
  <c r="G917" i="20"/>
  <c r="G916" i="20"/>
  <c r="G915" i="20"/>
  <c r="G914" i="20" s="1"/>
  <c r="G912" i="20"/>
  <c r="G911" i="20"/>
  <c r="G910" i="20"/>
  <c r="G909" i="20"/>
  <c r="G908" i="20"/>
  <c r="G907" i="20" s="1"/>
  <c r="G905" i="20"/>
  <c r="G904" i="20"/>
  <c r="G903" i="20"/>
  <c r="G902" i="20"/>
  <c r="G901" i="20"/>
  <c r="G900" i="20" s="1"/>
  <c r="G898" i="20"/>
  <c r="G897" i="20"/>
  <c r="G896" i="20"/>
  <c r="G895" i="20"/>
  <c r="G894" i="20"/>
  <c r="G893" i="20" s="1"/>
  <c r="G891" i="20"/>
  <c r="G890" i="20"/>
  <c r="G183" i="20"/>
  <c r="G177" i="20"/>
  <c r="G174" i="20"/>
  <c r="G169" i="20"/>
  <c r="G163" i="20"/>
  <c r="G160" i="20"/>
  <c r="G155" i="20"/>
  <c r="G152" i="20"/>
  <c r="G147" i="20"/>
  <c r="G142" i="20"/>
  <c r="G139" i="20"/>
  <c r="G138" i="20"/>
  <c r="G135" i="20"/>
  <c r="G132" i="20"/>
  <c r="G127" i="20"/>
  <c r="G124" i="20"/>
  <c r="G118" i="20"/>
  <c r="G113" i="20"/>
  <c r="G110" i="20"/>
  <c r="G105" i="20"/>
  <c r="G100" i="20"/>
  <c r="G95" i="20" s="1"/>
  <c r="G57" i="20"/>
  <c r="G56" i="20"/>
  <c r="G55" i="20"/>
  <c r="G54" i="20"/>
  <c r="G53" i="20" s="1"/>
  <c r="G51" i="20"/>
  <c r="G50" i="20"/>
  <c r="G49" i="20"/>
  <c r="G48" i="20"/>
  <c r="G47" i="20"/>
  <c r="G46" i="20" s="1"/>
  <c r="G44" i="20"/>
  <c r="G43" i="20"/>
  <c r="G42" i="20"/>
  <c r="G41" i="20"/>
  <c r="G40" i="20"/>
  <c r="G39" i="20" s="1"/>
  <c r="G37" i="20"/>
  <c r="G36" i="20"/>
  <c r="G35" i="20"/>
  <c r="G34" i="20"/>
  <c r="G33" i="20"/>
  <c r="G32" i="20" s="1"/>
  <c r="G30" i="20"/>
  <c r="G29" i="20"/>
  <c r="G28" i="20"/>
  <c r="G27" i="20"/>
  <c r="G26" i="20"/>
  <c r="G25" i="20" s="1"/>
  <c r="G23" i="20"/>
  <c r="G22" i="20"/>
  <c r="G21" i="20"/>
  <c r="G20" i="20"/>
  <c r="G19" i="20"/>
  <c r="G18" i="20" s="1"/>
  <c r="G16" i="20"/>
  <c r="G15" i="20"/>
  <c r="G14" i="20"/>
  <c r="G13" i="20"/>
  <c r="G12" i="20"/>
  <c r="G11" i="20" s="1"/>
  <c r="G9" i="20"/>
  <c r="G8" i="20"/>
  <c r="G7" i="20"/>
  <c r="G6" i="20"/>
  <c r="G5" i="20"/>
  <c r="G889" i="20"/>
  <c r="G888" i="20"/>
  <c r="G887" i="20"/>
  <c r="G886" i="20" s="1"/>
  <c r="G884" i="20"/>
  <c r="G883" i="20"/>
  <c r="G882" i="20"/>
  <c r="G881" i="20"/>
  <c r="G880" i="20"/>
  <c r="G879" i="20" s="1"/>
  <c r="G877" i="20"/>
  <c r="G876" i="20"/>
  <c r="G875" i="20"/>
  <c r="G874" i="20"/>
  <c r="G873" i="20"/>
  <c r="G872" i="20" s="1"/>
  <c r="G870" i="20"/>
  <c r="G869" i="20"/>
  <c r="G868" i="20"/>
  <c r="G867" i="20"/>
  <c r="G866" i="20"/>
  <c r="G865" i="20" s="1"/>
  <c r="G863" i="20"/>
  <c r="G862" i="20"/>
  <c r="G861" i="20"/>
  <c r="G860" i="20"/>
  <c r="G859" i="20"/>
  <c r="G858" i="20" s="1"/>
  <c r="G856" i="20"/>
  <c r="G855" i="20"/>
  <c r="G854" i="20"/>
  <c r="G853" i="20"/>
  <c r="G852" i="20"/>
  <c r="G851" i="20" s="1"/>
  <c r="G849" i="20"/>
  <c r="G848" i="20"/>
  <c r="G847" i="20"/>
  <c r="G846" i="20"/>
  <c r="G845" i="20"/>
  <c r="G844" i="20" s="1"/>
  <c r="G842" i="20"/>
  <c r="G841" i="20"/>
  <c r="G840" i="20"/>
  <c r="G839" i="20"/>
  <c r="G838" i="20"/>
  <c r="G837" i="20" s="1"/>
  <c r="G835" i="20"/>
  <c r="G834" i="20"/>
  <c r="G833" i="20"/>
  <c r="G832" i="20"/>
  <c r="G831" i="20"/>
  <c r="G830" i="20" s="1"/>
  <c r="G828" i="20"/>
  <c r="G827" i="20"/>
  <c r="G826" i="20"/>
  <c r="G825" i="20"/>
  <c r="G824" i="20"/>
  <c r="G823" i="20" s="1"/>
  <c r="G821" i="20"/>
  <c r="G820" i="20"/>
  <c r="G819" i="20"/>
  <c r="G818" i="20"/>
  <c r="G817" i="20"/>
  <c r="G816" i="20" s="1"/>
  <c r="G814" i="20"/>
  <c r="G813" i="20"/>
  <c r="G812" i="20"/>
  <c r="G811" i="20"/>
  <c r="G810" i="20"/>
  <c r="G809" i="20" s="1"/>
  <c r="G807" i="20"/>
  <c r="G806" i="20"/>
  <c r="G805" i="20"/>
  <c r="G804" i="20"/>
  <c r="G803" i="20"/>
  <c r="G802" i="20" s="1"/>
  <c r="G800" i="20"/>
  <c r="G799" i="20"/>
  <c r="G798" i="20"/>
  <c r="G797" i="20"/>
  <c r="G796" i="20"/>
  <c r="G795" i="20" s="1"/>
  <c r="G793" i="20"/>
  <c r="G792" i="20"/>
  <c r="G791" i="20"/>
  <c r="G790" i="20"/>
  <c r="G789" i="20"/>
  <c r="G788" i="20" s="1"/>
  <c r="G786" i="20"/>
  <c r="G785" i="20"/>
  <c r="G784" i="20"/>
  <c r="G783" i="20"/>
  <c r="G782" i="20"/>
  <c r="G781" i="20" s="1"/>
  <c r="G779" i="20"/>
  <c r="G778" i="20"/>
  <c r="G777" i="20"/>
  <c r="G776" i="20"/>
  <c r="G775" i="20"/>
  <c r="G774" i="20" s="1"/>
  <c r="G772" i="20"/>
  <c r="G771" i="20"/>
  <c r="G770" i="20"/>
  <c r="G769" i="20"/>
  <c r="G768" i="20"/>
  <c r="G767" i="20" s="1"/>
  <c r="G765" i="20"/>
  <c r="G764" i="20"/>
  <c r="G763" i="20"/>
  <c r="G762" i="20"/>
  <c r="G761" i="20"/>
  <c r="G760" i="20" s="1"/>
  <c r="G758" i="20"/>
  <c r="G757" i="20"/>
  <c r="G756" i="20"/>
  <c r="G755" i="20"/>
  <c r="G754" i="20"/>
  <c r="G753" i="20" s="1"/>
  <c r="G751" i="20"/>
  <c r="G750" i="20"/>
  <c r="G749" i="20"/>
  <c r="G748" i="20"/>
  <c r="G747" i="20"/>
  <c r="G746" i="20" s="1"/>
  <c r="G744" i="20"/>
  <c r="G743" i="20"/>
  <c r="G742" i="20"/>
  <c r="G741" i="20"/>
  <c r="G740" i="20"/>
  <c r="G739" i="20" s="1"/>
  <c r="G737" i="20"/>
  <c r="G736" i="20"/>
  <c r="G735" i="20"/>
  <c r="G734" i="20"/>
  <c r="G733" i="20"/>
  <c r="G732" i="20" s="1"/>
  <c r="G730" i="20"/>
  <c r="G729" i="20"/>
  <c r="G728" i="20"/>
  <c r="G727" i="20"/>
  <c r="G726" i="20"/>
  <c r="G725" i="20" s="1"/>
  <c r="G723" i="20"/>
  <c r="G722" i="20"/>
  <c r="G721" i="20"/>
  <c r="G720" i="20"/>
  <c r="G719" i="20"/>
  <c r="G718" i="20" s="1"/>
  <c r="G716" i="20"/>
  <c r="G715" i="20"/>
  <c r="G714" i="20"/>
  <c r="G713" i="20"/>
  <c r="G712" i="20"/>
  <c r="G711" i="20" s="1"/>
  <c r="G709" i="20"/>
  <c r="G708" i="20"/>
  <c r="G707" i="20"/>
  <c r="G706" i="20"/>
  <c r="G705" i="20"/>
  <c r="G704" i="20" s="1"/>
  <c r="G702" i="20"/>
  <c r="G701" i="20"/>
  <c r="G700" i="20"/>
  <c r="G699" i="20"/>
  <c r="G698" i="20"/>
  <c r="G697" i="20" s="1"/>
  <c r="G695" i="20"/>
  <c r="G694" i="20"/>
  <c r="G693" i="20"/>
  <c r="G692" i="20"/>
  <c r="G691" i="20"/>
  <c r="G690" i="20" s="1"/>
  <c r="G688" i="20"/>
  <c r="G687" i="20"/>
  <c r="G686" i="20"/>
  <c r="G685" i="20"/>
  <c r="G684" i="20"/>
  <c r="G683" i="20" s="1"/>
  <c r="G681" i="20"/>
  <c r="G680" i="20"/>
  <c r="G679" i="20"/>
  <c r="G678" i="20"/>
  <c r="G677" i="20"/>
  <c r="G676" i="20" s="1"/>
  <c r="G674" i="20"/>
  <c r="G673" i="20"/>
  <c r="G672" i="20"/>
  <c r="G671" i="20"/>
  <c r="G670" i="20"/>
  <c r="G669" i="20" s="1"/>
  <c r="G667" i="20"/>
  <c r="G666" i="20"/>
  <c r="G665" i="20"/>
  <c r="G664" i="20"/>
  <c r="G663" i="20"/>
  <c r="G662" i="20" s="1"/>
  <c r="G660" i="20"/>
  <c r="G659" i="20"/>
  <c r="G658" i="20"/>
  <c r="G657" i="20"/>
  <c r="G656" i="20"/>
  <c r="G655" i="20" s="1"/>
  <c r="G653" i="20"/>
  <c r="G652" i="20"/>
  <c r="G651" i="20"/>
  <c r="G650" i="20"/>
  <c r="G649" i="20"/>
  <c r="G648" i="20" s="1"/>
  <c r="G646" i="20"/>
  <c r="G645" i="20"/>
  <c r="G644" i="20"/>
  <c r="G643" i="20"/>
  <c r="G642" i="20"/>
  <c r="G641" i="20" s="1"/>
  <c r="G639" i="20"/>
  <c r="G638" i="20"/>
  <c r="G637" i="20"/>
  <c r="G636" i="20"/>
  <c r="G635" i="20"/>
  <c r="G634" i="20" s="1"/>
  <c r="G632" i="20"/>
  <c r="G631" i="20"/>
  <c r="G630" i="20"/>
  <c r="G629" i="20"/>
  <c r="G628" i="20"/>
  <c r="G627" i="20" s="1"/>
  <c r="G625" i="20"/>
  <c r="G624" i="20"/>
  <c r="G623" i="20"/>
  <c r="G622" i="20"/>
  <c r="G621" i="20"/>
  <c r="G620" i="20" s="1"/>
  <c r="G618" i="20"/>
  <c r="G617" i="20"/>
  <c r="G616" i="20"/>
  <c r="G615" i="20"/>
  <c r="G614" i="20"/>
  <c r="G613" i="20" s="1"/>
  <c r="G611" i="20"/>
  <c r="G610" i="20"/>
  <c r="G609" i="20"/>
  <c r="G608" i="20"/>
  <c r="G607" i="20"/>
  <c r="G606" i="20" s="1"/>
  <c r="G604" i="20"/>
  <c r="G603" i="20"/>
  <c r="G602" i="20"/>
  <c r="G601" i="20"/>
  <c r="G600" i="20"/>
  <c r="G599" i="20" s="1"/>
  <c r="G597" i="20"/>
  <c r="G596" i="20"/>
  <c r="G595" i="20"/>
  <c r="G594" i="20"/>
  <c r="G593" i="20"/>
  <c r="G592" i="20" s="1"/>
  <c r="G590" i="20"/>
  <c r="G589" i="20"/>
  <c r="G588" i="20"/>
  <c r="G587" i="20"/>
  <c r="G586" i="20"/>
  <c r="G585" i="20" s="1"/>
  <c r="G583" i="20"/>
  <c r="G582" i="20"/>
  <c r="G581" i="20"/>
  <c r="G580" i="20"/>
  <c r="G579" i="20"/>
  <c r="G578" i="20" s="1"/>
  <c r="G576" i="20"/>
  <c r="G575" i="20"/>
  <c r="G574" i="20"/>
  <c r="G573" i="20"/>
  <c r="G572" i="20"/>
  <c r="G571" i="20" s="1"/>
  <c r="G569" i="20"/>
  <c r="G568" i="20"/>
  <c r="G567" i="20"/>
  <c r="G566" i="20"/>
  <c r="G565" i="20"/>
  <c r="G564" i="20" s="1"/>
  <c r="G562" i="20"/>
  <c r="G561" i="20"/>
  <c r="G560" i="20"/>
  <c r="G559" i="20"/>
  <c r="G558" i="20"/>
  <c r="G557" i="20" s="1"/>
  <c r="G555" i="20"/>
  <c r="G554" i="20"/>
  <c r="G553" i="20"/>
  <c r="G552" i="20"/>
  <c r="G551" i="20"/>
  <c r="G550" i="20" s="1"/>
  <c r="G548" i="20"/>
  <c r="G547" i="20"/>
  <c r="G546" i="20"/>
  <c r="G545" i="20"/>
  <c r="G544" i="20"/>
  <c r="G543" i="20" s="1"/>
  <c r="G541" i="20"/>
  <c r="G540" i="20"/>
  <c r="G539" i="20"/>
  <c r="G538" i="20"/>
  <c r="G537" i="20"/>
  <c r="G536" i="20" s="1"/>
  <c r="G534" i="20"/>
  <c r="G533" i="20"/>
  <c r="G532" i="20"/>
  <c r="G531" i="20"/>
  <c r="G530" i="20"/>
  <c r="G529" i="20" s="1"/>
  <c r="G527" i="20"/>
  <c r="G526" i="20"/>
  <c r="G525" i="20"/>
  <c r="G524" i="20"/>
  <c r="G523" i="20"/>
  <c r="G522" i="20" s="1"/>
  <c r="G520" i="20"/>
  <c r="G519" i="20"/>
  <c r="G518" i="20"/>
  <c r="G517" i="20"/>
  <c r="G516" i="20"/>
  <c r="G515" i="20" s="1"/>
  <c r="G513" i="20"/>
  <c r="G512" i="20"/>
  <c r="G511" i="20"/>
  <c r="G510" i="20"/>
  <c r="G509" i="20"/>
  <c r="G508" i="20" s="1"/>
  <c r="G506" i="20"/>
  <c r="G505" i="20"/>
  <c r="G504" i="20"/>
  <c r="G503" i="20"/>
  <c r="G502" i="20"/>
  <c r="G501" i="20" s="1"/>
  <c r="G499" i="20"/>
  <c r="G498" i="20"/>
  <c r="G497" i="20"/>
  <c r="G496" i="20"/>
  <c r="G495" i="20"/>
  <c r="G494" i="20" s="1"/>
  <c r="G191" i="20"/>
  <c r="G189" i="20"/>
  <c r="G187" i="20"/>
  <c r="G186" i="20" s="1"/>
  <c r="G182" i="20"/>
  <c r="G180" i="20"/>
  <c r="G179" i="20" s="1"/>
  <c r="G175" i="20"/>
  <c r="G172" i="20" s="1"/>
  <c r="G170" i="20"/>
  <c r="G168" i="20"/>
  <c r="G166" i="20"/>
  <c r="G165" i="20" s="1"/>
  <c r="G161" i="20"/>
  <c r="G158" i="20" s="1"/>
  <c r="G156" i="20"/>
  <c r="G153" i="20"/>
  <c r="G151" i="20" s="1"/>
  <c r="G148" i="20"/>
  <c r="G146" i="20"/>
  <c r="G144" i="20" s="1"/>
  <c r="G140" i="20"/>
  <c r="G137" i="20" s="1"/>
  <c r="G134" i="20"/>
  <c r="G131" i="20"/>
  <c r="G130" i="20" s="1"/>
  <c r="G126" i="20"/>
  <c r="G123" i="20" s="1"/>
  <c r="G121" i="20"/>
  <c r="G119" i="20"/>
  <c r="G116" i="20" s="1"/>
  <c r="G114" i="20"/>
  <c r="G111" i="20"/>
  <c r="G109" i="20" s="1"/>
  <c r="G106" i="20"/>
  <c r="G103" i="20"/>
  <c r="G102" i="20" s="1"/>
  <c r="G492" i="20"/>
  <c r="G491" i="20"/>
  <c r="G490" i="20"/>
  <c r="G489" i="20"/>
  <c r="G488" i="20"/>
  <c r="G487" i="20" s="1"/>
  <c r="G485" i="20"/>
  <c r="G484" i="20"/>
  <c r="G483" i="20"/>
  <c r="G482" i="20"/>
  <c r="G481" i="20"/>
  <c r="G480" i="20" s="1"/>
  <c r="G478" i="20"/>
  <c r="G477" i="20"/>
  <c r="G476" i="20"/>
  <c r="G475" i="20"/>
  <c r="G474" i="20"/>
  <c r="G473" i="20" s="1"/>
  <c r="G471" i="20"/>
  <c r="G470" i="20"/>
  <c r="G469" i="20"/>
  <c r="G468" i="20"/>
  <c r="G467" i="20"/>
  <c r="G466" i="20" s="1"/>
  <c r="G464" i="20"/>
  <c r="G463" i="20"/>
  <c r="G462" i="20"/>
  <c r="G461" i="20"/>
  <c r="G460" i="20"/>
  <c r="G459" i="20" s="1"/>
  <c r="G457" i="20"/>
  <c r="G456" i="20"/>
  <c r="G455" i="20"/>
  <c r="G454" i="20"/>
  <c r="G453" i="20"/>
  <c r="G452" i="20" s="1"/>
  <c r="G450" i="20"/>
  <c r="G449" i="20"/>
  <c r="G448" i="20"/>
  <c r="G447" i="20"/>
  <c r="G446" i="20"/>
  <c r="G445" i="20" s="1"/>
  <c r="G443" i="20"/>
  <c r="G442" i="20"/>
  <c r="G441" i="20"/>
  <c r="G440" i="20"/>
  <c r="G439" i="20"/>
  <c r="G438" i="20" s="1"/>
  <c r="G436" i="20"/>
  <c r="G435" i="20"/>
  <c r="G434" i="20"/>
  <c r="G433" i="20"/>
  <c r="G432" i="20"/>
  <c r="G431" i="20" s="1"/>
  <c r="G429" i="20"/>
  <c r="G428" i="20"/>
  <c r="G427" i="20"/>
  <c r="G426" i="20"/>
  <c r="G425" i="20"/>
  <c r="G424" i="20" s="1"/>
  <c r="G422" i="20"/>
  <c r="G421" i="20"/>
  <c r="G420" i="20"/>
  <c r="G419" i="20"/>
  <c r="G418" i="20"/>
  <c r="G417" i="20" s="1"/>
  <c r="G415" i="20"/>
  <c r="G414" i="20"/>
  <c r="G413" i="20"/>
  <c r="G412" i="20"/>
  <c r="G411" i="20"/>
  <c r="G410" i="20" s="1"/>
  <c r="G408" i="20"/>
  <c r="G407" i="20"/>
  <c r="G406" i="20"/>
  <c r="G405" i="20"/>
  <c r="G404" i="20"/>
  <c r="G403" i="20" s="1"/>
  <c r="G401" i="20"/>
  <c r="G400" i="20"/>
  <c r="G399" i="20"/>
  <c r="G398" i="20"/>
  <c r="G397" i="20"/>
  <c r="G396" i="20" s="1"/>
  <c r="G394" i="20"/>
  <c r="G393" i="20"/>
  <c r="G392" i="20"/>
  <c r="G391" i="20"/>
  <c r="G390" i="20"/>
  <c r="G389" i="20" s="1"/>
  <c r="G387" i="20"/>
  <c r="G386" i="20"/>
  <c r="G385" i="20"/>
  <c r="G384" i="20"/>
  <c r="G383" i="20"/>
  <c r="G382" i="20" s="1"/>
  <c r="G380" i="20"/>
  <c r="G379" i="20"/>
  <c r="G378" i="20"/>
  <c r="G377" i="20"/>
  <c r="G376" i="20"/>
  <c r="G375" i="20" s="1"/>
  <c r="G373" i="20"/>
  <c r="G372" i="20"/>
  <c r="G371" i="20"/>
  <c r="G370" i="20"/>
  <c r="G369" i="20"/>
  <c r="G368" i="20" s="1"/>
  <c r="G366" i="20"/>
  <c r="G365" i="20"/>
  <c r="G364" i="20"/>
  <c r="G363" i="20"/>
  <c r="G362" i="20"/>
  <c r="G361" i="20" s="1"/>
  <c r="G359" i="20"/>
  <c r="G358" i="20"/>
  <c r="G357" i="20"/>
  <c r="G356" i="20"/>
  <c r="G355" i="20"/>
  <c r="G354" i="20" s="1"/>
  <c r="G352" i="20"/>
  <c r="G351" i="20"/>
  <c r="G350" i="20"/>
  <c r="G349" i="20"/>
  <c r="G348" i="20"/>
  <c r="G347" i="20" s="1"/>
  <c r="G345" i="20"/>
  <c r="G344" i="20"/>
  <c r="G343" i="20"/>
  <c r="G342" i="20"/>
  <c r="G341" i="20"/>
  <c r="G340" i="20" s="1"/>
  <c r="G338" i="20"/>
  <c r="G337" i="20"/>
  <c r="G336" i="20"/>
  <c r="G335" i="20"/>
  <c r="G334" i="20"/>
  <c r="G333" i="20" s="1"/>
  <c r="G331" i="20"/>
  <c r="G330" i="20"/>
  <c r="G329" i="20"/>
  <c r="G328" i="20"/>
  <c r="G327" i="20"/>
  <c r="G326" i="20" s="1"/>
  <c r="G324" i="20"/>
  <c r="G323" i="20"/>
  <c r="G322" i="20"/>
  <c r="G321" i="20"/>
  <c r="G320" i="20"/>
  <c r="G319" i="20" s="1"/>
  <c r="G317" i="20"/>
  <c r="G316" i="20"/>
  <c r="G315" i="20"/>
  <c r="G314" i="20"/>
  <c r="G313" i="20"/>
  <c r="G312" i="20" s="1"/>
  <c r="G310" i="20"/>
  <c r="G309" i="20"/>
  <c r="G308" i="20"/>
  <c r="G307" i="20"/>
  <c r="G306" i="20"/>
  <c r="G305" i="20" s="1"/>
  <c r="G303" i="20"/>
  <c r="G302" i="20"/>
  <c r="G301" i="20"/>
  <c r="G300" i="20"/>
  <c r="G299" i="20"/>
  <c r="G298" i="20" s="1"/>
  <c r="G296" i="20"/>
  <c r="G295" i="20"/>
  <c r="G294" i="20"/>
  <c r="G293" i="20"/>
  <c r="G292" i="20"/>
  <c r="G291" i="20" s="1"/>
  <c r="G289" i="20"/>
  <c r="G288" i="20"/>
  <c r="G287" i="20"/>
  <c r="G286" i="20"/>
  <c r="G285" i="20"/>
  <c r="G284" i="20" s="1"/>
  <c r="G282" i="20"/>
  <c r="G281" i="20"/>
  <c r="G280" i="20"/>
  <c r="G279" i="20"/>
  <c r="G278" i="20"/>
  <c r="G277" i="20" s="1"/>
  <c r="G275" i="20"/>
  <c r="G274" i="20"/>
  <c r="G273" i="20"/>
  <c r="G272" i="20"/>
  <c r="G271" i="20"/>
  <c r="G270" i="20" s="1"/>
  <c r="G268" i="20"/>
  <c r="G267" i="20"/>
  <c r="G263" i="20" s="1"/>
  <c r="F1197" i="20"/>
  <c r="F1188" i="20"/>
  <c r="F1181" i="20"/>
  <c r="F1174" i="20"/>
  <c r="F1167" i="20"/>
  <c r="F1160" i="20"/>
  <c r="F1154" i="20"/>
  <c r="F1148" i="20"/>
  <c r="F1141" i="20"/>
  <c r="F1135" i="20"/>
  <c r="F1129" i="20"/>
  <c r="F1120" i="20"/>
  <c r="F1114" i="20"/>
  <c r="F1111" i="20"/>
  <c r="F1104" i="20"/>
  <c r="F1098" i="20"/>
  <c r="F1091" i="20"/>
  <c r="F1086" i="20"/>
  <c r="F1083" i="20"/>
  <c r="F1077" i="20"/>
  <c r="F1071" i="20"/>
  <c r="F1064" i="20"/>
  <c r="F1059" i="20"/>
  <c r="F1052" i="20"/>
  <c r="F1048" i="20"/>
  <c r="F1042" i="20"/>
  <c r="F1035" i="20"/>
  <c r="F1028" i="20"/>
  <c r="F1021" i="20"/>
  <c r="F1014" i="20"/>
  <c r="F1007" i="20"/>
  <c r="F1000" i="20"/>
  <c r="F993" i="20"/>
  <c r="F986" i="20"/>
  <c r="F980" i="20"/>
  <c r="F973" i="20"/>
  <c r="F967" i="20"/>
  <c r="F961" i="20"/>
  <c r="F954" i="20"/>
  <c r="F950" i="20"/>
  <c r="F944" i="20"/>
  <c r="F939" i="20"/>
  <c r="F933" i="20"/>
  <c r="F929" i="20"/>
  <c r="F1126" i="20"/>
  <c r="F1392" i="20"/>
  <c r="F1384" i="20"/>
  <c r="F1377" i="20"/>
  <c r="F1360" i="20"/>
  <c r="F1353" i="20"/>
  <c r="F1349" i="20"/>
  <c r="F1337" i="20"/>
  <c r="F1331" i="20"/>
  <c r="F1325" i="20"/>
  <c r="F1318" i="20"/>
  <c r="F1311" i="20"/>
  <c r="F1307" i="20"/>
  <c r="F1300" i="20"/>
  <c r="F1293" i="20"/>
  <c r="F1287" i="20"/>
  <c r="F1281" i="20"/>
  <c r="F1273" i="20"/>
  <c r="F1266" i="20"/>
  <c r="F1259" i="20"/>
  <c r="F1253" i="20"/>
  <c r="F1246" i="20"/>
  <c r="F1240" i="20"/>
  <c r="F1233" i="20"/>
  <c r="F1227" i="20"/>
  <c r="F1218" i="20"/>
  <c r="F1211" i="20"/>
  <c r="F1206" i="20"/>
  <c r="F1198" i="20"/>
  <c r="F1191" i="20"/>
  <c r="F1183" i="20"/>
  <c r="F1175" i="20"/>
  <c r="F1168" i="20"/>
  <c r="F1161" i="20"/>
  <c r="F1153" i="20"/>
  <c r="F1146" i="20"/>
  <c r="F1139" i="20"/>
  <c r="F1134" i="20"/>
  <c r="F1125" i="20"/>
  <c r="F1119" i="20"/>
  <c r="F1108" i="20"/>
  <c r="F1105" i="20"/>
  <c r="F1099" i="20"/>
  <c r="F1093" i="20"/>
  <c r="F1087" i="20"/>
  <c r="F1073" i="20"/>
  <c r="F1066" i="20"/>
  <c r="F1057" i="20"/>
  <c r="F1049" i="20"/>
  <c r="F1041" i="20"/>
  <c r="F1034" i="20"/>
  <c r="F1027" i="20"/>
  <c r="F1020" i="20"/>
  <c r="F1013" i="20"/>
  <c r="F1006" i="20"/>
  <c r="F999" i="20"/>
  <c r="F992" i="20"/>
  <c r="F985" i="20"/>
  <c r="F975" i="20"/>
  <c r="F971" i="20"/>
  <c r="F1407" i="20"/>
  <c r="F1401" i="20"/>
  <c r="F1398" i="20"/>
  <c r="F1388" i="20"/>
  <c r="F1380" i="20"/>
  <c r="F1372" i="20"/>
  <c r="F1367" i="20"/>
  <c r="F1363" i="20"/>
  <c r="F1356" i="20"/>
  <c r="F1350" i="20"/>
  <c r="F1344" i="20"/>
  <c r="F1338" i="20"/>
  <c r="F1328" i="20"/>
  <c r="F1321" i="20"/>
  <c r="F1314" i="20"/>
  <c r="F1304" i="20"/>
  <c r="F1296" i="20"/>
  <c r="F1290" i="20"/>
  <c r="F1283" i="20"/>
  <c r="F1279" i="20"/>
  <c r="F1272" i="20"/>
  <c r="F1265" i="20"/>
  <c r="F1258" i="20"/>
  <c r="F1251" i="20"/>
  <c r="F1244" i="20"/>
  <c r="F1238" i="20"/>
  <c r="F1226" i="20"/>
  <c r="F1219" i="20"/>
  <c r="F1212" i="20"/>
  <c r="F1204" i="20"/>
  <c r="F1196" i="20"/>
  <c r="F1189" i="20"/>
  <c r="F1182" i="20"/>
  <c r="F1176" i="20"/>
  <c r="F1169" i="20"/>
  <c r="F1162" i="20"/>
  <c r="F1156" i="20"/>
  <c r="F1150" i="20"/>
  <c r="F1143" i="20"/>
  <c r="F1351" i="20"/>
  <c r="F1345" i="20"/>
  <c r="F1339" i="20"/>
  <c r="F1335" i="20"/>
  <c r="F1329" i="20"/>
  <c r="F1322" i="20"/>
  <c r="F1315" i="20"/>
  <c r="F1308" i="20"/>
  <c r="F1301" i="20"/>
  <c r="F1294" i="20"/>
  <c r="F1286" i="20"/>
  <c r="F1276" i="20"/>
  <c r="F1268" i="20"/>
  <c r="F1260" i="20"/>
  <c r="F1252" i="20"/>
  <c r="F1245" i="20"/>
  <c r="F1239" i="20"/>
  <c r="F1232" i="20"/>
  <c r="F1224" i="20"/>
  <c r="F1217" i="20"/>
  <c r="F1210" i="20"/>
  <c r="F1203" i="20"/>
  <c r="F1192" i="20"/>
  <c r="F1185" i="20"/>
  <c r="F1177" i="20"/>
  <c r="F1173" i="20" s="1"/>
  <c r="F1171" i="20"/>
  <c r="F1164" i="20"/>
  <c r="F1157" i="20"/>
  <c r="F1149" i="20"/>
  <c r="F1142" i="20"/>
  <c r="F1136" i="20"/>
  <c r="F1133" i="20"/>
  <c r="F1128" i="20"/>
  <c r="F1122" i="20"/>
  <c r="F1115" i="20"/>
  <c r="F1113" i="20"/>
  <c r="F1107" i="20"/>
  <c r="F1101" i="20"/>
  <c r="F1097" i="20"/>
  <c r="F1092" i="20"/>
  <c r="F1079" i="20"/>
  <c r="F1072" i="20"/>
  <c r="F1065" i="20"/>
  <c r="F1062" i="20"/>
  <c r="F1056" i="20"/>
  <c r="F1050" i="20"/>
  <c r="F1043" i="20"/>
  <c r="F1037" i="20"/>
  <c r="F1030" i="20"/>
  <c r="F1023" i="20"/>
  <c r="F1016" i="20"/>
  <c r="F1009" i="20"/>
  <c r="F1002" i="20"/>
  <c r="F996" i="20"/>
  <c r="F989" i="20"/>
  <c r="F982" i="20"/>
  <c r="F978" i="20"/>
  <c r="F972" i="20"/>
  <c r="F966" i="20"/>
  <c r="F960" i="20"/>
  <c r="F957" i="20"/>
  <c r="F951" i="20"/>
  <c r="F945" i="20"/>
  <c r="F940" i="20"/>
  <c r="F936" i="20"/>
  <c r="F931" i="20"/>
  <c r="F1405" i="20"/>
  <c r="F1399" i="20"/>
  <c r="F1393" i="20"/>
  <c r="F1386" i="20"/>
  <c r="F1379" i="20"/>
  <c r="F1374" i="20"/>
  <c r="F1370" i="20"/>
  <c r="F1364" i="20"/>
  <c r="F1359" i="20"/>
  <c r="F1352" i="20"/>
  <c r="F1348" i="20" s="1"/>
  <c r="F1342" i="20"/>
  <c r="F1336" i="20"/>
  <c r="F1334" i="20" s="1"/>
  <c r="F1330" i="20"/>
  <c r="F1323" i="20"/>
  <c r="F1317" i="20"/>
  <c r="F1309" i="20"/>
  <c r="F1302" i="20"/>
  <c r="F1295" i="20"/>
  <c r="F1288" i="20"/>
  <c r="F1280" i="20"/>
  <c r="F1274" i="20"/>
  <c r="F1267" i="20"/>
  <c r="F1261" i="20"/>
  <c r="F1255" i="20"/>
  <c r="F1248" i="20"/>
  <c r="F1237" i="20"/>
  <c r="F1231" i="20"/>
  <c r="F1225" i="20"/>
  <c r="F1220" i="20"/>
  <c r="F1216" i="20"/>
  <c r="F1215" i="20" s="1"/>
  <c r="F1209" i="20"/>
  <c r="F1199" i="20"/>
  <c r="F1190" i="20"/>
  <c r="F1187" i="20" s="1"/>
  <c r="F1178" i="20"/>
  <c r="F1084" i="20"/>
  <c r="F1078" i="20"/>
  <c r="F1070" i="20"/>
  <c r="F1058" i="20"/>
  <c r="F1051" i="20"/>
  <c r="F1047" i="20" s="1"/>
  <c r="F1045" i="20"/>
  <c r="F1038" i="20"/>
  <c r="F1031" i="20"/>
  <c r="F1024" i="20"/>
  <c r="F1017" i="20"/>
  <c r="F1010" i="20"/>
  <c r="F1003" i="20"/>
  <c r="F995" i="20"/>
  <c r="F988" i="20"/>
  <c r="F981" i="20"/>
  <c r="F974" i="20"/>
  <c r="F970" i="20" s="1"/>
  <c r="F965" i="20"/>
  <c r="F959" i="20"/>
  <c r="F953" i="20"/>
  <c r="F947" i="20"/>
  <c r="F943" i="20"/>
  <c r="F937" i="20"/>
  <c r="F930" i="20"/>
  <c r="F925" i="20"/>
  <c r="F1409" i="20"/>
  <c r="F1408" i="20"/>
  <c r="F1402" i="20"/>
  <c r="F1395" i="20"/>
  <c r="F1391" i="20"/>
  <c r="F1385" i="20"/>
  <c r="F1378" i="20"/>
  <c r="F1371" i="20"/>
  <c r="F1366" i="20"/>
  <c r="F1358" i="20"/>
  <c r="F1619" i="20"/>
  <c r="F1618" i="20"/>
  <c r="F1617" i="20"/>
  <c r="F1616" i="20"/>
  <c r="F1615" i="20"/>
  <c r="F1614" i="20" s="1"/>
  <c r="F1612" i="20"/>
  <c r="F1611" i="20"/>
  <c r="F1610" i="20"/>
  <c r="F1609" i="20"/>
  <c r="F1608" i="20"/>
  <c r="F1607" i="20" s="1"/>
  <c r="F1605" i="20"/>
  <c r="F1604" i="20"/>
  <c r="F1603" i="20"/>
  <c r="F1602" i="20"/>
  <c r="F1601" i="20"/>
  <c r="F1600" i="20" s="1"/>
  <c r="F1598" i="20"/>
  <c r="F1597" i="20"/>
  <c r="F1596" i="20"/>
  <c r="F1595" i="20"/>
  <c r="F1594" i="20"/>
  <c r="F1593" i="20" s="1"/>
  <c r="F1591" i="20"/>
  <c r="F1590" i="20"/>
  <c r="F1589" i="20"/>
  <c r="F1588" i="20"/>
  <c r="F1587" i="20"/>
  <c r="F1586" i="20" s="1"/>
  <c r="F1584" i="20"/>
  <c r="F1583" i="20"/>
  <c r="F1582" i="20"/>
  <c r="F1581" i="20"/>
  <c r="F1580" i="20"/>
  <c r="F1579" i="20" s="1"/>
  <c r="F1577" i="20"/>
  <c r="F1576" i="20"/>
  <c r="F1575" i="20"/>
  <c r="F1574" i="20"/>
  <c r="F1573" i="20"/>
  <c r="F1572" i="20" s="1"/>
  <c r="F1570" i="20"/>
  <c r="F1569" i="20"/>
  <c r="F1568" i="20"/>
  <c r="F1567" i="20"/>
  <c r="F1566" i="20"/>
  <c r="F1565" i="20" s="1"/>
  <c r="F1563" i="20"/>
  <c r="F1562" i="20"/>
  <c r="F1561" i="20"/>
  <c r="F1560" i="20"/>
  <c r="F1559" i="20"/>
  <c r="F1558" i="20" s="1"/>
  <c r="F1556" i="20"/>
  <c r="F1555" i="20"/>
  <c r="F1554" i="20"/>
  <c r="F1553" i="20"/>
  <c r="F1552" i="20"/>
  <c r="F1551" i="20" s="1"/>
  <c r="F1549" i="20"/>
  <c r="F1548" i="20"/>
  <c r="F1547" i="20"/>
  <c r="F1546" i="20"/>
  <c r="F1545" i="20"/>
  <c r="F1544" i="20" s="1"/>
  <c r="F1542" i="20"/>
  <c r="F1541" i="20"/>
  <c r="F1540" i="20"/>
  <c r="F1539" i="20"/>
  <c r="F1538" i="20"/>
  <c r="F1537" i="20" s="1"/>
  <c r="F1535" i="20"/>
  <c r="F1534" i="20"/>
  <c r="F1533" i="20"/>
  <c r="F1532" i="20"/>
  <c r="F1531" i="20"/>
  <c r="F1530" i="20" s="1"/>
  <c r="F1528" i="20"/>
  <c r="F1527" i="20"/>
  <c r="F1526" i="20"/>
  <c r="F1525" i="20"/>
  <c r="F1524" i="20"/>
  <c r="F1523" i="20" s="1"/>
  <c r="F1521" i="20"/>
  <c r="F1520" i="20"/>
  <c r="F1519" i="20"/>
  <c r="F1518" i="20"/>
  <c r="F1517" i="20"/>
  <c r="F1516" i="20" s="1"/>
  <c r="F1514" i="20"/>
  <c r="F1513" i="20"/>
  <c r="F1512" i="20"/>
  <c r="F1511" i="20"/>
  <c r="F1510" i="20"/>
  <c r="F1509" i="20" s="1"/>
  <c r="F1507" i="20"/>
  <c r="F1506" i="20"/>
  <c r="F1505" i="20"/>
  <c r="F1504" i="20"/>
  <c r="F1503" i="20"/>
  <c r="F1502" i="20" s="1"/>
  <c r="F1500" i="20"/>
  <c r="F1499" i="20"/>
  <c r="F1498" i="20"/>
  <c r="F1497" i="20"/>
  <c r="F1496" i="20"/>
  <c r="F1495" i="20" s="1"/>
  <c r="F1493" i="20"/>
  <c r="F1492" i="20"/>
  <c r="F1491" i="20"/>
  <c r="F1490" i="20"/>
  <c r="F1489" i="20"/>
  <c r="F1488" i="20" s="1"/>
  <c r="F1486" i="20"/>
  <c r="F1485" i="20"/>
  <c r="F1484" i="20"/>
  <c r="F1483" i="20"/>
  <c r="F1482" i="20"/>
  <c r="F1481" i="20" s="1"/>
  <c r="F1479" i="20"/>
  <c r="F1478" i="20"/>
  <c r="F1477" i="20"/>
  <c r="F1476" i="20"/>
  <c r="F1475" i="20"/>
  <c r="F1474" i="20" s="1"/>
  <c r="F1472" i="20"/>
  <c r="F1471" i="20"/>
  <c r="F1470" i="20"/>
  <c r="F1469" i="20"/>
  <c r="F1468" i="20"/>
  <c r="F1467" i="20" s="1"/>
  <c r="F1465" i="20"/>
  <c r="F1464" i="20"/>
  <c r="F1463" i="20"/>
  <c r="F1462" i="20"/>
  <c r="F1461" i="20"/>
  <c r="F1460" i="20" s="1"/>
  <c r="F1458" i="20"/>
  <c r="F1457" i="20"/>
  <c r="F1456" i="20"/>
  <c r="F1455" i="20"/>
  <c r="F1454" i="20"/>
  <c r="F1453" i="20" s="1"/>
  <c r="F1451" i="20"/>
  <c r="F1450" i="20"/>
  <c r="F1449" i="20"/>
  <c r="F1448" i="20"/>
  <c r="F1447" i="20"/>
  <c r="F1446" i="20" s="1"/>
  <c r="F1444" i="20"/>
  <c r="F1443" i="20"/>
  <c r="F1442" i="20"/>
  <c r="F1441" i="20"/>
  <c r="F1440" i="20"/>
  <c r="F1439" i="20" s="1"/>
  <c r="F1437" i="20"/>
  <c r="F1436" i="20"/>
  <c r="F1435" i="20"/>
  <c r="F1434" i="20"/>
  <c r="F1433" i="20"/>
  <c r="F1432" i="20" s="1"/>
  <c r="F1430" i="20"/>
  <c r="F1429" i="20"/>
  <c r="F1428" i="20"/>
  <c r="F1427" i="20"/>
  <c r="F1426" i="20"/>
  <c r="F1425" i="20" s="1"/>
  <c r="F1423" i="20"/>
  <c r="F1422" i="20"/>
  <c r="F1421" i="20"/>
  <c r="F1420" i="20"/>
  <c r="F1419" i="20"/>
  <c r="F1418" i="20" s="1"/>
  <c r="F1416" i="20"/>
  <c r="F1415" i="20"/>
  <c r="F1414" i="20"/>
  <c r="F1413" i="20"/>
  <c r="F1412" i="20"/>
  <c r="F1411" i="20" s="1"/>
  <c r="F1406" i="20"/>
  <c r="F1404" i="20" s="1"/>
  <c r="F1400" i="20"/>
  <c r="F1397" i="20" s="1"/>
  <c r="F1394" i="20"/>
  <c r="F1390" i="20" s="1"/>
  <c r="F1387" i="20"/>
  <c r="F1383" i="20" s="1"/>
  <c r="F1381" i="20"/>
  <c r="F1376" i="20" s="1"/>
  <c r="F1373" i="20"/>
  <c r="F1369" i="20" s="1"/>
  <c r="F1365" i="20"/>
  <c r="F1362" i="20" s="1"/>
  <c r="F1357" i="20"/>
  <c r="F1355" i="20" s="1"/>
  <c r="F1346" i="20"/>
  <c r="F1343" i="20"/>
  <c r="F1341" i="20" s="1"/>
  <c r="F1332" i="20"/>
  <c r="F1327" i="20" s="1"/>
  <c r="F1324" i="20"/>
  <c r="F1320" i="20" s="1"/>
  <c r="F1316" i="20"/>
  <c r="F1313" i="20" s="1"/>
  <c r="F1310" i="20"/>
  <c r="F1306" i="20" s="1"/>
  <c r="F1303" i="20"/>
  <c r="F1299" i="20" s="1"/>
  <c r="F1297" i="20"/>
  <c r="F1292" i="20" s="1"/>
  <c r="F1289" i="20"/>
  <c r="F1285" i="20" s="1"/>
  <c r="F1282" i="20"/>
  <c r="F1278" i="20" s="1"/>
  <c r="F1275" i="20"/>
  <c r="F1271" i="20" s="1"/>
  <c r="F1269" i="20"/>
  <c r="F1264" i="20" s="1"/>
  <c r="F1262" i="20"/>
  <c r="F1257" i="20" s="1"/>
  <c r="F1254" i="20"/>
  <c r="F1250" i="20" s="1"/>
  <c r="F1247" i="20"/>
  <c r="F1243" i="20" s="1"/>
  <c r="F1241" i="20"/>
  <c r="F1236" i="20" s="1"/>
  <c r="F1234" i="20"/>
  <c r="F1230" i="20"/>
  <c r="F1229" i="20" s="1"/>
  <c r="F1223" i="20"/>
  <c r="F1222" i="20" s="1"/>
  <c r="F1213" i="20"/>
  <c r="F1208" i="20" s="1"/>
  <c r="F1205" i="20"/>
  <c r="F1202" i="20"/>
  <c r="F1201" i="20" s="1"/>
  <c r="F1195" i="20"/>
  <c r="F1194" i="20" s="1"/>
  <c r="F1184" i="20"/>
  <c r="F1180" i="20" s="1"/>
  <c r="F1170" i="20"/>
  <c r="F1166" i="20" s="1"/>
  <c r="F1163" i="20"/>
  <c r="F1159" i="20" s="1"/>
  <c r="F1155" i="20"/>
  <c r="F1152" i="20" s="1"/>
  <c r="F1147" i="20"/>
  <c r="F1145" i="20" s="1"/>
  <c r="F1140" i="20"/>
  <c r="F1138" i="20" s="1"/>
  <c r="F1132" i="20"/>
  <c r="F1131" i="20" s="1"/>
  <c r="F1127" i="20"/>
  <c r="F1124" i="20" s="1"/>
  <c r="F1121" i="20"/>
  <c r="F1118" i="20"/>
  <c r="F1117" i="20" s="1"/>
  <c r="F1112" i="20"/>
  <c r="F1110" i="20" s="1"/>
  <c r="F1106" i="20"/>
  <c r="F1103" i="20" s="1"/>
  <c r="F1100" i="20"/>
  <c r="F1096" i="20" s="1"/>
  <c r="F1094" i="20"/>
  <c r="F1090" i="20"/>
  <c r="F1089" i="20" s="1"/>
  <c r="F1085" i="20"/>
  <c r="F1082" i="20" s="1"/>
  <c r="F1080" i="20"/>
  <c r="F1076" i="20"/>
  <c r="F1075" i="20" s="1"/>
  <c r="F1069" i="20"/>
  <c r="F1068" i="20" s="1"/>
  <c r="F1063" i="20"/>
  <c r="F1061" i="20" s="1"/>
  <c r="F1055" i="20"/>
  <c r="F1054" i="20" s="1"/>
  <c r="F1044" i="20"/>
  <c r="F1040" i="20" s="1"/>
  <c r="F1036" i="20"/>
  <c r="F1033" i="20" s="1"/>
  <c r="F1029" i="20"/>
  <c r="F1026" i="20" s="1"/>
  <c r="F1022" i="20"/>
  <c r="F1019" i="20" s="1"/>
  <c r="F1015" i="20"/>
  <c r="F1012" i="20" s="1"/>
  <c r="F1008" i="20"/>
  <c r="F1005" i="20" s="1"/>
  <c r="F1001" i="20"/>
  <c r="F998" i="20" s="1"/>
  <c r="F994" i="20"/>
  <c r="F991" i="20" s="1"/>
  <c r="F987" i="20"/>
  <c r="F984" i="20" s="1"/>
  <c r="F979" i="20"/>
  <c r="F977" i="20" s="1"/>
  <c r="F968" i="20"/>
  <c r="F964" i="20"/>
  <c r="F963" i="20" s="1"/>
  <c r="F958" i="20"/>
  <c r="F956" i="20" s="1"/>
  <c r="F952" i="20"/>
  <c r="F949" i="20" s="1"/>
  <c r="F946" i="20"/>
  <c r="F942" i="20" s="1"/>
  <c r="F938" i="20"/>
  <c r="F935" i="20" s="1"/>
  <c r="F932" i="20"/>
  <c r="F928" i="20" s="1"/>
  <c r="F926" i="20"/>
  <c r="F924" i="20"/>
  <c r="F923" i="20"/>
  <c r="F922" i="20"/>
  <c r="F921" i="20" s="1"/>
  <c r="F919" i="20"/>
  <c r="F918" i="20"/>
  <c r="F917" i="20"/>
  <c r="F916" i="20"/>
  <c r="F915" i="20"/>
  <c r="F914" i="20" s="1"/>
  <c r="F912" i="20"/>
  <c r="F911" i="20"/>
  <c r="F910" i="20"/>
  <c r="F909" i="20"/>
  <c r="F908" i="20"/>
  <c r="F907" i="20" s="1"/>
  <c r="F905" i="20"/>
  <c r="F904" i="20"/>
  <c r="F903" i="20"/>
  <c r="F902" i="20"/>
  <c r="F901" i="20"/>
  <c r="F900" i="20" s="1"/>
  <c r="F898" i="20"/>
  <c r="F897" i="20"/>
  <c r="F896" i="20"/>
  <c r="F895" i="20"/>
  <c r="F894" i="20"/>
  <c r="F893" i="20" s="1"/>
  <c r="F891" i="20"/>
  <c r="F890" i="20"/>
  <c r="F889" i="20"/>
  <c r="F888" i="20"/>
  <c r="F887" i="20"/>
  <c r="F886" i="20" s="1"/>
  <c r="F884" i="20"/>
  <c r="F883" i="20"/>
  <c r="F882" i="20"/>
  <c r="F881" i="20"/>
  <c r="F880" i="20"/>
  <c r="F879" i="20" s="1"/>
  <c r="F877" i="20"/>
  <c r="F876" i="20"/>
  <c r="F875" i="20"/>
  <c r="F874" i="20"/>
  <c r="F873" i="20"/>
  <c r="F872" i="20" s="1"/>
  <c r="F870" i="20"/>
  <c r="F869" i="20"/>
  <c r="F868" i="20"/>
  <c r="F867" i="20"/>
  <c r="F866" i="20"/>
  <c r="F865" i="20" s="1"/>
  <c r="F863" i="20"/>
  <c r="F862" i="20"/>
  <c r="F861" i="20"/>
  <c r="F860" i="20"/>
  <c r="F859" i="20"/>
  <c r="F858" i="20" s="1"/>
  <c r="F856" i="20"/>
  <c r="F855" i="20"/>
  <c r="F854" i="20"/>
  <c r="F853" i="20"/>
  <c r="F852" i="20"/>
  <c r="F851" i="20" s="1"/>
  <c r="F849" i="20"/>
  <c r="F848" i="20"/>
  <c r="F847" i="20"/>
  <c r="F846" i="20"/>
  <c r="F845" i="20"/>
  <c r="F844" i="20" s="1"/>
  <c r="F842" i="20"/>
  <c r="F841" i="20"/>
  <c r="F840" i="20"/>
  <c r="F839" i="20"/>
  <c r="F838" i="20"/>
  <c r="F837" i="20" s="1"/>
  <c r="F835" i="20"/>
  <c r="F834" i="20"/>
  <c r="F833" i="20"/>
  <c r="F832" i="20"/>
  <c r="F831" i="20"/>
  <c r="F830" i="20" s="1"/>
  <c r="F828" i="20"/>
  <c r="F827" i="20"/>
  <c r="F826" i="20"/>
  <c r="F825" i="20"/>
  <c r="F824" i="20"/>
  <c r="F823" i="20" s="1"/>
  <c r="F821" i="20"/>
  <c r="F820" i="20"/>
  <c r="F819" i="20"/>
  <c r="F818" i="20"/>
  <c r="F817" i="20"/>
  <c r="F816" i="20" s="1"/>
  <c r="F814" i="20"/>
  <c r="F813" i="20"/>
  <c r="F812" i="20"/>
  <c r="F811" i="20"/>
  <c r="F810" i="20"/>
  <c r="F809" i="20" s="1"/>
  <c r="F807" i="20"/>
  <c r="F806" i="20"/>
  <c r="F805" i="20"/>
  <c r="F804" i="20"/>
  <c r="F803" i="20"/>
  <c r="F802" i="20" s="1"/>
  <c r="F800" i="20"/>
  <c r="F799" i="20"/>
  <c r="F798" i="20"/>
  <c r="F797" i="20"/>
  <c r="F796" i="20"/>
  <c r="F795" i="20" s="1"/>
  <c r="F793" i="20"/>
  <c r="F792" i="20"/>
  <c r="F791" i="20"/>
  <c r="F790" i="20"/>
  <c r="F789" i="20"/>
  <c r="F788" i="20" s="1"/>
  <c r="F786" i="20"/>
  <c r="F785" i="20"/>
  <c r="F784" i="20"/>
  <c r="F783" i="20"/>
  <c r="F782" i="20"/>
  <c r="F781" i="20" s="1"/>
  <c r="F779" i="20"/>
  <c r="F778" i="20"/>
  <c r="F777" i="20"/>
  <c r="F776" i="20"/>
  <c r="F775" i="20"/>
  <c r="F774" i="20" s="1"/>
  <c r="F772" i="20"/>
  <c r="F771" i="20"/>
  <c r="F770" i="20"/>
  <c r="F769" i="20"/>
  <c r="F768" i="20"/>
  <c r="F767" i="20" s="1"/>
  <c r="F765" i="20"/>
  <c r="F764" i="20"/>
  <c r="F763" i="20"/>
  <c r="F762" i="20"/>
  <c r="F761" i="20"/>
  <c r="F760" i="20" s="1"/>
  <c r="F758" i="20"/>
  <c r="F757" i="20"/>
  <c r="F756" i="20"/>
  <c r="F755" i="20"/>
  <c r="F754" i="20"/>
  <c r="F753" i="20" s="1"/>
  <c r="F751" i="20"/>
  <c r="F750" i="20"/>
  <c r="F749" i="20"/>
  <c r="F748" i="20"/>
  <c r="F747" i="20"/>
  <c r="F746" i="20" s="1"/>
  <c r="F744" i="20"/>
  <c r="F743" i="20"/>
  <c r="F742" i="20"/>
  <c r="F741" i="20"/>
  <c r="F740" i="20"/>
  <c r="F739" i="20" s="1"/>
  <c r="F737" i="20"/>
  <c r="F736" i="20"/>
  <c r="F735" i="20"/>
  <c r="F734" i="20"/>
  <c r="F733" i="20"/>
  <c r="F732" i="20" s="1"/>
  <c r="F730" i="20"/>
  <c r="F729" i="20"/>
  <c r="F728" i="20"/>
  <c r="F727" i="20"/>
  <c r="F726" i="20"/>
  <c r="F725" i="20" s="1"/>
  <c r="F723" i="20"/>
  <c r="F722" i="20"/>
  <c r="F721" i="20"/>
  <c r="F720" i="20"/>
  <c r="F719" i="20"/>
  <c r="F718" i="20" s="1"/>
  <c r="F716" i="20"/>
  <c r="F715" i="20"/>
  <c r="F714" i="20"/>
  <c r="F713" i="20"/>
  <c r="F712" i="20"/>
  <c r="F711" i="20" s="1"/>
  <c r="F709" i="20"/>
  <c r="F708" i="20"/>
  <c r="F707" i="20"/>
  <c r="F706" i="20"/>
  <c r="F705" i="20"/>
  <c r="F704" i="20" s="1"/>
  <c r="F702" i="20"/>
  <c r="F701" i="20"/>
  <c r="F700" i="20"/>
  <c r="F699" i="20"/>
  <c r="F698" i="20"/>
  <c r="F697" i="20" s="1"/>
  <c r="F695" i="20"/>
  <c r="F694" i="20"/>
  <c r="F693" i="20"/>
  <c r="F692" i="20"/>
  <c r="F691" i="20"/>
  <c r="F690" i="20" s="1"/>
  <c r="F688" i="20"/>
  <c r="F687" i="20"/>
  <c r="F686" i="20"/>
  <c r="F685" i="20"/>
  <c r="F684" i="20"/>
  <c r="F683" i="20" s="1"/>
  <c r="F681" i="20"/>
  <c r="F680" i="20"/>
  <c r="F679" i="20"/>
  <c r="F678" i="20"/>
  <c r="F677" i="20"/>
  <c r="F676" i="20" s="1"/>
  <c r="F674" i="20"/>
  <c r="F673" i="20"/>
  <c r="F672" i="20"/>
  <c r="F671" i="20"/>
  <c r="F670" i="20"/>
  <c r="F669" i="20" s="1"/>
  <c r="F667" i="20"/>
  <c r="F666" i="20"/>
  <c r="F665" i="20"/>
  <c r="F664" i="20"/>
  <c r="F663" i="20"/>
  <c r="F662" i="20" s="1"/>
  <c r="F660" i="20"/>
  <c r="F659" i="20"/>
  <c r="F658" i="20"/>
  <c r="F657" i="20"/>
  <c r="F656" i="20"/>
  <c r="F655" i="20" s="1"/>
  <c r="F653" i="20"/>
  <c r="F652" i="20"/>
  <c r="F651" i="20"/>
  <c r="F650" i="20"/>
  <c r="F649" i="20"/>
  <c r="F648" i="20" s="1"/>
  <c r="F646" i="20"/>
  <c r="F645" i="20"/>
  <c r="F644" i="20"/>
  <c r="F643" i="20"/>
  <c r="F642" i="20"/>
  <c r="F641" i="20" s="1"/>
  <c r="F639" i="20"/>
  <c r="F638" i="20"/>
  <c r="F637" i="20"/>
  <c r="F636" i="20"/>
  <c r="F635" i="20"/>
  <c r="F634" i="20" s="1"/>
  <c r="F632" i="20"/>
  <c r="F631" i="20"/>
  <c r="F630" i="20"/>
  <c r="F629" i="20"/>
  <c r="F628" i="20"/>
  <c r="F627" i="20" s="1"/>
  <c r="F625" i="20"/>
  <c r="F624" i="20"/>
  <c r="F623" i="20"/>
  <c r="F622" i="20"/>
  <c r="F621" i="20"/>
  <c r="F620" i="20" s="1"/>
  <c r="F618" i="20"/>
  <c r="F617" i="20"/>
  <c r="F616" i="20"/>
  <c r="F615" i="20"/>
  <c r="F614" i="20"/>
  <c r="F613" i="20" s="1"/>
  <c r="F611" i="20"/>
  <c r="F610" i="20"/>
  <c r="F609" i="20"/>
  <c r="F608" i="20"/>
  <c r="F607" i="20"/>
  <c r="F606" i="20" s="1"/>
  <c r="F604" i="20"/>
  <c r="F603" i="20"/>
  <c r="F602" i="20"/>
  <c r="F601" i="20"/>
  <c r="F600" i="20"/>
  <c r="F599" i="20" s="1"/>
  <c r="F597" i="20"/>
  <c r="F596" i="20"/>
  <c r="F595" i="20"/>
  <c r="F594" i="20"/>
  <c r="F593" i="20"/>
  <c r="F592" i="20" s="1"/>
  <c r="F590" i="20"/>
  <c r="F589" i="20"/>
  <c r="F588" i="20"/>
  <c r="F587" i="20"/>
  <c r="F586" i="20"/>
  <c r="F585" i="20" s="1"/>
  <c r="F583" i="20"/>
  <c r="F582" i="20"/>
  <c r="F581" i="20"/>
  <c r="F580" i="20"/>
  <c r="F579" i="20"/>
  <c r="F578" i="20" s="1"/>
  <c r="F576" i="20"/>
  <c r="F575" i="20"/>
  <c r="F574" i="20"/>
  <c r="F573" i="20"/>
  <c r="F572" i="20"/>
  <c r="F571" i="20" s="1"/>
  <c r="F569" i="20"/>
  <c r="F568" i="20"/>
  <c r="F567" i="20"/>
  <c r="F566" i="20"/>
  <c r="F565" i="20"/>
  <c r="F564" i="20" s="1"/>
  <c r="H4" i="20"/>
  <c r="G4" i="20"/>
  <c r="AB995" i="20"/>
  <c r="AB994" i="20"/>
  <c r="AB993" i="20"/>
  <c r="AB992" i="20"/>
  <c r="AB989" i="20"/>
  <c r="AB988" i="20"/>
  <c r="AB987" i="20"/>
  <c r="AB986" i="20"/>
  <c r="AB985" i="20"/>
  <c r="AB984" i="20" s="1"/>
  <c r="AB982" i="20"/>
  <c r="AB981" i="20"/>
  <c r="AB980" i="20"/>
  <c r="AB979" i="20"/>
  <c r="AB978" i="20"/>
  <c r="AB977" i="20" s="1"/>
  <c r="AB975" i="20"/>
  <c r="AB974" i="20"/>
  <c r="AB973" i="20"/>
  <c r="AB972" i="20"/>
  <c r="AB971" i="20"/>
  <c r="AB970" i="20" s="1"/>
  <c r="AB968" i="20"/>
  <c r="AB967" i="20"/>
  <c r="AB966" i="20"/>
  <c r="AB965" i="20"/>
  <c r="AB964" i="20"/>
  <c r="AB963" i="20" s="1"/>
  <c r="AB961" i="20"/>
  <c r="AB960" i="20"/>
  <c r="AB959" i="20"/>
  <c r="AB958" i="20"/>
  <c r="AB957" i="20"/>
  <c r="AB956" i="20" s="1"/>
  <c r="AB954" i="20"/>
  <c r="AB953" i="20"/>
  <c r="AB952" i="20"/>
  <c r="AB951" i="20"/>
  <c r="AB950" i="20"/>
  <c r="AB949" i="20" s="1"/>
  <c r="AB947" i="20"/>
  <c r="AB946" i="20"/>
  <c r="AB945" i="20"/>
  <c r="AB944" i="20"/>
  <c r="AB943" i="20"/>
  <c r="AB942" i="20" s="1"/>
  <c r="AB940" i="20"/>
  <c r="AB939" i="20"/>
  <c r="AB938" i="20"/>
  <c r="AB937" i="20"/>
  <c r="AB936" i="20"/>
  <c r="AB935" i="20" s="1"/>
  <c r="AB933" i="20"/>
  <c r="AB932" i="20"/>
  <c r="AB931" i="20"/>
  <c r="AB930" i="20"/>
  <c r="AB929" i="20"/>
  <c r="AB928" i="20" s="1"/>
  <c r="AB926" i="20"/>
  <c r="AB925" i="20"/>
  <c r="AB924" i="20"/>
  <c r="AB923" i="20"/>
  <c r="AB922" i="20"/>
  <c r="AB921" i="20" s="1"/>
  <c r="AB919" i="20"/>
  <c r="AB918" i="20"/>
  <c r="AB917" i="20"/>
  <c r="AB916" i="20"/>
  <c r="AB915" i="20"/>
  <c r="AB914" i="20" s="1"/>
  <c r="AB912" i="20"/>
  <c r="AB911" i="20"/>
  <c r="AB910" i="20"/>
  <c r="AB909" i="20"/>
  <c r="AB908" i="20"/>
  <c r="AB907" i="20" s="1"/>
  <c r="AB905" i="20"/>
  <c r="AB904" i="20"/>
  <c r="AB903" i="20"/>
  <c r="AB902" i="20"/>
  <c r="AB901" i="20"/>
  <c r="AB900" i="20" s="1"/>
  <c r="AB898" i="20"/>
  <c r="AB897" i="20"/>
  <c r="AB896" i="20"/>
  <c r="AB895" i="20"/>
  <c r="AB894" i="20"/>
  <c r="AB893" i="20" s="1"/>
  <c r="AB891" i="20"/>
  <c r="AB890" i="20"/>
  <c r="AB889" i="20"/>
  <c r="AB888" i="20"/>
  <c r="AB887" i="20"/>
  <c r="AB886" i="20" s="1"/>
  <c r="AB884" i="20"/>
  <c r="AB883" i="20"/>
  <c r="AB882" i="20"/>
  <c r="AB881" i="20"/>
  <c r="AB880" i="20"/>
  <c r="AB879" i="20" s="1"/>
  <c r="AB877" i="20"/>
  <c r="AB876" i="20"/>
  <c r="AB875" i="20"/>
  <c r="AB874" i="20"/>
  <c r="AB873" i="20"/>
  <c r="AB872" i="20" s="1"/>
  <c r="AB870" i="20"/>
  <c r="AB869" i="20"/>
  <c r="AB868" i="20"/>
  <c r="AB867" i="20"/>
  <c r="AB866" i="20"/>
  <c r="AB865" i="20" s="1"/>
  <c r="AB863" i="20"/>
  <c r="AB862" i="20"/>
  <c r="AB861" i="20"/>
  <c r="AB860" i="20"/>
  <c r="AB859" i="20"/>
  <c r="AB858" i="20" s="1"/>
  <c r="AB856" i="20"/>
  <c r="AB855" i="20"/>
  <c r="AB854" i="20"/>
  <c r="AB853" i="20"/>
  <c r="AB852" i="20"/>
  <c r="AB851" i="20" s="1"/>
  <c r="AB849" i="20"/>
  <c r="AB848" i="20"/>
  <c r="AB847" i="20"/>
  <c r="AB846" i="20"/>
  <c r="AB845" i="20"/>
  <c r="AB844" i="20" s="1"/>
  <c r="AB842" i="20"/>
  <c r="AB841" i="20"/>
  <c r="AB840" i="20"/>
  <c r="AB839" i="20"/>
  <c r="AB838" i="20"/>
  <c r="AB837" i="20" s="1"/>
  <c r="AB835" i="20"/>
  <c r="AB834" i="20"/>
  <c r="AB833" i="20"/>
  <c r="AB832" i="20"/>
  <c r="AB831" i="20"/>
  <c r="AB830" i="20" s="1"/>
  <c r="AB828" i="20"/>
  <c r="AB827" i="20"/>
  <c r="AB826" i="20"/>
  <c r="AB825" i="20"/>
  <c r="AB824" i="20"/>
  <c r="AB823" i="20" s="1"/>
  <c r="AB821" i="20"/>
  <c r="AB820" i="20"/>
  <c r="AB819" i="20"/>
  <c r="AB818" i="20"/>
  <c r="AB817" i="20"/>
  <c r="AB816" i="20" s="1"/>
  <c r="AB814" i="20"/>
  <c r="AB813" i="20"/>
  <c r="AB812" i="20"/>
  <c r="AB811" i="20"/>
  <c r="AB810" i="20"/>
  <c r="AB809" i="20" s="1"/>
  <c r="AB807" i="20"/>
  <c r="AB806" i="20"/>
  <c r="AB805" i="20"/>
  <c r="AB804" i="20"/>
  <c r="AB803" i="20"/>
  <c r="AB802" i="20" s="1"/>
  <c r="AB800" i="20"/>
  <c r="AB799" i="20"/>
  <c r="AB798" i="20"/>
  <c r="AB797" i="20"/>
  <c r="AB796" i="20"/>
  <c r="AB795" i="20" s="1"/>
  <c r="AB793" i="20"/>
  <c r="AB792" i="20"/>
  <c r="AB791" i="20"/>
  <c r="AB790" i="20"/>
  <c r="AB789" i="20"/>
  <c r="AB788" i="20" s="1"/>
  <c r="AB786" i="20"/>
  <c r="AB785" i="20"/>
  <c r="AB784" i="20"/>
  <c r="AB783" i="20"/>
  <c r="AB782" i="20"/>
  <c r="AB781" i="20" s="1"/>
  <c r="AB779" i="20"/>
  <c r="AB778" i="20"/>
  <c r="AB777" i="20"/>
  <c r="AB776" i="20"/>
  <c r="AB775" i="20"/>
  <c r="AB774" i="20" s="1"/>
  <c r="AB772" i="20"/>
  <c r="AB771" i="20"/>
  <c r="AB770" i="20"/>
  <c r="AB769" i="20"/>
  <c r="AB768" i="20"/>
  <c r="AB767" i="20" s="1"/>
  <c r="AB765" i="20"/>
  <c r="AB764" i="20"/>
  <c r="AB763" i="20"/>
  <c r="AB762" i="20"/>
  <c r="AB761" i="20"/>
  <c r="AB760" i="20" s="1"/>
  <c r="AB758" i="20"/>
  <c r="AB757" i="20"/>
  <c r="AB756" i="20"/>
  <c r="AB755" i="20"/>
  <c r="AB754" i="20"/>
  <c r="AB753" i="20" s="1"/>
  <c r="AB751" i="20"/>
  <c r="AB750" i="20"/>
  <c r="AB749" i="20"/>
  <c r="AB748" i="20"/>
  <c r="AB747" i="20"/>
  <c r="AB746" i="20" s="1"/>
  <c r="AB744" i="20"/>
  <c r="AB743" i="20"/>
  <c r="AB742" i="20"/>
  <c r="AB741" i="20"/>
  <c r="AB740" i="20"/>
  <c r="AB739" i="20" s="1"/>
  <c r="AB737" i="20"/>
  <c r="AB736" i="20"/>
  <c r="AB735" i="20"/>
  <c r="AB734" i="20"/>
  <c r="AB733" i="20"/>
  <c r="AB732" i="20" s="1"/>
  <c r="AB730" i="20"/>
  <c r="AB729" i="20"/>
  <c r="AB728" i="20"/>
  <c r="AB727" i="20"/>
  <c r="AB726" i="20"/>
  <c r="AB725" i="20" s="1"/>
  <c r="AB723" i="20"/>
  <c r="AB722" i="20"/>
  <c r="AB721" i="20"/>
  <c r="AB720" i="20"/>
  <c r="AB719" i="20"/>
  <c r="AB718" i="20" s="1"/>
  <c r="AB716" i="20"/>
  <c r="AB715" i="20"/>
  <c r="AB714" i="20"/>
  <c r="AB713" i="20"/>
  <c r="AB712" i="20"/>
  <c r="AB711" i="20" s="1"/>
  <c r="AB709" i="20"/>
  <c r="AB708" i="20"/>
  <c r="AB707" i="20"/>
  <c r="AB706" i="20"/>
  <c r="AB705" i="20"/>
  <c r="AB704" i="20" s="1"/>
  <c r="AB702" i="20"/>
  <c r="AB701" i="20"/>
  <c r="AB700" i="20"/>
  <c r="AB699" i="20"/>
  <c r="AB698" i="20"/>
  <c r="AB697" i="20" s="1"/>
  <c r="AB695" i="20"/>
  <c r="AB694" i="20"/>
  <c r="AB693" i="20"/>
  <c r="AB692" i="20"/>
  <c r="AB691" i="20"/>
  <c r="AB690" i="20" s="1"/>
  <c r="AB688" i="20"/>
  <c r="AB687" i="20"/>
  <c r="AB686" i="20"/>
  <c r="AB685" i="20"/>
  <c r="AB684" i="20"/>
  <c r="AB683" i="20" s="1"/>
  <c r="AB681" i="20"/>
  <c r="AB680" i="20"/>
  <c r="AB679" i="20"/>
  <c r="AB678" i="20"/>
  <c r="AB677" i="20"/>
  <c r="AB676" i="20" s="1"/>
  <c r="AB674" i="20"/>
  <c r="AB673" i="20"/>
  <c r="AB672" i="20"/>
  <c r="AB671" i="20"/>
  <c r="AB670" i="20"/>
  <c r="AB669" i="20" s="1"/>
  <c r="AB667" i="20"/>
  <c r="AB666" i="20"/>
  <c r="AB665" i="20"/>
  <c r="AB664" i="20"/>
  <c r="AB663" i="20"/>
  <c r="AB662" i="20" s="1"/>
  <c r="AB660" i="20"/>
  <c r="AB659" i="20"/>
  <c r="AB658" i="20"/>
  <c r="AB657" i="20"/>
  <c r="AB656" i="20"/>
  <c r="AB655" i="20" s="1"/>
  <c r="AB653" i="20"/>
  <c r="AB652" i="20"/>
  <c r="AB651" i="20"/>
  <c r="AB650" i="20"/>
  <c r="AB649" i="20"/>
  <c r="AB648" i="20" s="1"/>
  <c r="AB646" i="20"/>
  <c r="AB645" i="20"/>
  <c r="AB644" i="20"/>
  <c r="AB643" i="20"/>
  <c r="AB642" i="20"/>
  <c r="AB641" i="20" s="1"/>
  <c r="AB639" i="20"/>
  <c r="AB638" i="20"/>
  <c r="AB637" i="20"/>
  <c r="AB636" i="20"/>
  <c r="AB635" i="20"/>
  <c r="AB634" i="20" s="1"/>
  <c r="AB632" i="20"/>
  <c r="AB631" i="20"/>
  <c r="AB630" i="20"/>
  <c r="AB629" i="20"/>
  <c r="AB628" i="20"/>
  <c r="AB627" i="20" s="1"/>
  <c r="AB625" i="20"/>
  <c r="AB624" i="20"/>
  <c r="AB623" i="20"/>
  <c r="AB622" i="20"/>
  <c r="AB621" i="20"/>
  <c r="AB620" i="20" s="1"/>
  <c r="AB618" i="20"/>
  <c r="AB617" i="20"/>
  <c r="AB616" i="20"/>
  <c r="AB615" i="20"/>
  <c r="AB614" i="20"/>
  <c r="AB613" i="20" s="1"/>
  <c r="AB611" i="20"/>
  <c r="AB610" i="20"/>
  <c r="AB609" i="20"/>
  <c r="AB608" i="20"/>
  <c r="AB607" i="20"/>
  <c r="AB606" i="20" s="1"/>
  <c r="AB604" i="20"/>
  <c r="AB603" i="20"/>
  <c r="AB602" i="20"/>
  <c r="AB601" i="20"/>
  <c r="AB600" i="20"/>
  <c r="AB599" i="20" s="1"/>
  <c r="AB597" i="20"/>
  <c r="AB596" i="20"/>
  <c r="AB595" i="20"/>
  <c r="AB594" i="20"/>
  <c r="AB593" i="20"/>
  <c r="AB592" i="20" s="1"/>
  <c r="AB590" i="20"/>
  <c r="AB589" i="20"/>
  <c r="AB588" i="20"/>
  <c r="AB587" i="20"/>
  <c r="AB586" i="20"/>
  <c r="AB585" i="20" s="1"/>
  <c r="AB583" i="20"/>
  <c r="AB582" i="20"/>
  <c r="AB581" i="20"/>
  <c r="AB580" i="20"/>
  <c r="AB579" i="20"/>
  <c r="AB578" i="20" s="1"/>
  <c r="AB576" i="20"/>
  <c r="AB575" i="20"/>
  <c r="AB574" i="20"/>
  <c r="AB573" i="20"/>
  <c r="AB572" i="20"/>
  <c r="AB571" i="20" s="1"/>
  <c r="AB569" i="20"/>
  <c r="AB568" i="20"/>
  <c r="AB567" i="20"/>
  <c r="AB566" i="20"/>
  <c r="AB565" i="20"/>
  <c r="AB564" i="20" s="1"/>
  <c r="AB562" i="20"/>
  <c r="AB561" i="20"/>
  <c r="AB560" i="20"/>
  <c r="AB559" i="20"/>
  <c r="AB558" i="20"/>
  <c r="AB557" i="20" s="1"/>
  <c r="AB555" i="20"/>
  <c r="AB554" i="20"/>
  <c r="AB553" i="20"/>
  <c r="AB552" i="20"/>
  <c r="AB551" i="20"/>
  <c r="AB550" i="20" s="1"/>
  <c r="AB548" i="20"/>
  <c r="AB547" i="20"/>
  <c r="AB546" i="20"/>
  <c r="AB545" i="20"/>
  <c r="AB544" i="20"/>
  <c r="AB543" i="20" s="1"/>
  <c r="AB541" i="20"/>
  <c r="AB540" i="20"/>
  <c r="AB539" i="20"/>
  <c r="AB538" i="20"/>
  <c r="AB537" i="20"/>
  <c r="AB536" i="20" s="1"/>
  <c r="AB534" i="20"/>
  <c r="AB533" i="20"/>
  <c r="AB532" i="20"/>
  <c r="AB531" i="20"/>
  <c r="AB530" i="20"/>
  <c r="AB529" i="20" s="1"/>
  <c r="AB527" i="20"/>
  <c r="AB526" i="20"/>
  <c r="AB525" i="20"/>
  <c r="AB524" i="20"/>
  <c r="AB523" i="20"/>
  <c r="AB522" i="20" s="1"/>
  <c r="AB520" i="20"/>
  <c r="AB519" i="20"/>
  <c r="AB518" i="20"/>
  <c r="AB517" i="20"/>
  <c r="AB516" i="20"/>
  <c r="AB515" i="20" s="1"/>
  <c r="AB513" i="20"/>
  <c r="AB512" i="20"/>
  <c r="AB511" i="20"/>
  <c r="AB510" i="20"/>
  <c r="AB509" i="20"/>
  <c r="AB508" i="20" s="1"/>
  <c r="AB506" i="20"/>
  <c r="AB505" i="20"/>
  <c r="AB504" i="20"/>
  <c r="AB503" i="20"/>
  <c r="AB502" i="20"/>
  <c r="AB501" i="20" s="1"/>
  <c r="AB499" i="20"/>
  <c r="AB498" i="20"/>
  <c r="AB497" i="20"/>
  <c r="AB496" i="20"/>
  <c r="AB495" i="20"/>
  <c r="AB494" i="20" s="1"/>
  <c r="AB492" i="20"/>
  <c r="AB491" i="20"/>
  <c r="AB490" i="20"/>
  <c r="AB489" i="20"/>
  <c r="AB488" i="20"/>
  <c r="AB487" i="20" s="1"/>
  <c r="AB485" i="20"/>
  <c r="AB484" i="20"/>
  <c r="AB483" i="20"/>
  <c r="AB482" i="20"/>
  <c r="AB481" i="20"/>
  <c r="AB480" i="20" s="1"/>
  <c r="AB478" i="20"/>
  <c r="AB477" i="20"/>
  <c r="AB476" i="20"/>
  <c r="AB475" i="20"/>
  <c r="AB474" i="20"/>
  <c r="AB473" i="20" s="1"/>
  <c r="AB471" i="20"/>
  <c r="AB470" i="20"/>
  <c r="AB469" i="20"/>
  <c r="AB468" i="20"/>
  <c r="AB467" i="20"/>
  <c r="AB466" i="20" s="1"/>
  <c r="AB464" i="20"/>
  <c r="AB463" i="20"/>
  <c r="AB462" i="20"/>
  <c r="AB461" i="20"/>
  <c r="AB460" i="20"/>
  <c r="AB459" i="20" s="1"/>
  <c r="AB457" i="20"/>
  <c r="AB456" i="20"/>
  <c r="AB455" i="20"/>
  <c r="AB454" i="20"/>
  <c r="AB453" i="20"/>
  <c r="AB452" i="20" s="1"/>
  <c r="AB450" i="20"/>
  <c r="AB449" i="20"/>
  <c r="AB448" i="20"/>
  <c r="AB447" i="20"/>
  <c r="AB446" i="20"/>
  <c r="AB445" i="20" s="1"/>
  <c r="AB443" i="20"/>
  <c r="AB442" i="20"/>
  <c r="AB441" i="20"/>
  <c r="AB440" i="20"/>
  <c r="AB439" i="20"/>
  <c r="AB438" i="20" s="1"/>
  <c r="AB436" i="20"/>
  <c r="AB435" i="20"/>
  <c r="AB434" i="20"/>
  <c r="AB433" i="20"/>
  <c r="AB432" i="20"/>
  <c r="AB431" i="20" s="1"/>
  <c r="AB429" i="20"/>
  <c r="AB428" i="20"/>
  <c r="AB427" i="20"/>
  <c r="AB426" i="20"/>
  <c r="AB425" i="20"/>
  <c r="AB424" i="20" s="1"/>
  <c r="AB422" i="20"/>
  <c r="AB421" i="20"/>
  <c r="AB420" i="20"/>
  <c r="AB419" i="20"/>
  <c r="AB418" i="20"/>
  <c r="AB417" i="20" s="1"/>
  <c r="AB415" i="20"/>
  <c r="AB414" i="20"/>
  <c r="AB413" i="20"/>
  <c r="AB412" i="20"/>
  <c r="AB411" i="20"/>
  <c r="AB410" i="20" s="1"/>
  <c r="AB408" i="20"/>
  <c r="AB407" i="20"/>
  <c r="AB406" i="20"/>
  <c r="AB405" i="20"/>
  <c r="AB404" i="20"/>
  <c r="AB403" i="20" s="1"/>
  <c r="AB401" i="20"/>
  <c r="AB400" i="20"/>
  <c r="AB399" i="20"/>
  <c r="AB398" i="20"/>
  <c r="AB397" i="20"/>
  <c r="AB396" i="20" s="1"/>
  <c r="AB394" i="20"/>
  <c r="AB393" i="20"/>
  <c r="AB392" i="20"/>
  <c r="AB391" i="20"/>
  <c r="AB390" i="20"/>
  <c r="AB389" i="20" s="1"/>
  <c r="AB387" i="20"/>
  <c r="AB386" i="20"/>
  <c r="AB385" i="20"/>
  <c r="AB384" i="20"/>
  <c r="AB383" i="20"/>
  <c r="AB382" i="20" s="1"/>
  <c r="AB380" i="20"/>
  <c r="AB379" i="20"/>
  <c r="AB378" i="20"/>
  <c r="AB377" i="20"/>
  <c r="AB376" i="20"/>
  <c r="AB375" i="20" s="1"/>
  <c r="AB373" i="20"/>
  <c r="AB372" i="20"/>
  <c r="AB371" i="20"/>
  <c r="AB370" i="20"/>
  <c r="AB369" i="20"/>
  <c r="AB368" i="20" s="1"/>
  <c r="AB366" i="20"/>
  <c r="AB365" i="20"/>
  <c r="AB364" i="20"/>
  <c r="AB363" i="20"/>
  <c r="AB362" i="20"/>
  <c r="AB361" i="20" s="1"/>
  <c r="AB359" i="20"/>
  <c r="AB358" i="20"/>
  <c r="AB357" i="20"/>
  <c r="AB356" i="20"/>
  <c r="AB355" i="20"/>
  <c r="AB354" i="20" s="1"/>
  <c r="AB352" i="20"/>
  <c r="AB351" i="20"/>
  <c r="AB350" i="20"/>
  <c r="AB349" i="20"/>
  <c r="AB348" i="20"/>
  <c r="AB347" i="20" s="1"/>
  <c r="AB345" i="20"/>
  <c r="AB344" i="20"/>
  <c r="AB1309" i="20"/>
  <c r="AB342" i="20"/>
  <c r="AB341" i="20"/>
  <c r="AB338" i="20"/>
  <c r="AB337" i="20"/>
  <c r="AB336" i="20"/>
  <c r="AB335" i="20"/>
  <c r="AB334" i="20"/>
  <c r="AB333" i="20" s="1"/>
  <c r="AB331" i="20"/>
  <c r="AB330" i="20"/>
  <c r="AB329" i="20"/>
  <c r="AB328" i="20"/>
  <c r="AB327" i="20"/>
  <c r="AB326" i="20" s="1"/>
  <c r="AB324" i="20"/>
  <c r="AB323" i="20"/>
  <c r="AB322" i="20"/>
  <c r="AB321" i="20"/>
  <c r="AB320" i="20"/>
  <c r="AB319" i="20" s="1"/>
  <c r="AB317" i="20"/>
  <c r="AB316" i="20"/>
  <c r="AB315" i="20"/>
  <c r="AB314" i="20"/>
  <c r="AB313" i="20"/>
  <c r="AB312" i="20" s="1"/>
  <c r="AB310" i="20"/>
  <c r="AB309" i="20"/>
  <c r="AB308" i="20"/>
  <c r="AB307" i="20"/>
  <c r="AB306" i="20"/>
  <c r="AB305" i="20" s="1"/>
  <c r="AB303" i="20"/>
  <c r="AB302" i="20"/>
  <c r="AB301" i="20"/>
  <c r="AB300" i="20"/>
  <c r="AB299" i="20"/>
  <c r="AB298" i="20" s="1"/>
  <c r="AB296" i="20"/>
  <c r="AB295" i="20"/>
  <c r="AB294" i="20"/>
  <c r="AB293" i="20"/>
  <c r="AB292" i="20"/>
  <c r="AB291" i="20" s="1"/>
  <c r="AB289" i="20"/>
  <c r="AB288" i="20"/>
  <c r="AB287" i="20"/>
  <c r="AB286" i="20"/>
  <c r="AB285" i="20"/>
  <c r="AB284" i="20" s="1"/>
  <c r="AB282" i="20"/>
  <c r="AB281" i="20"/>
  <c r="AB280" i="20"/>
  <c r="AB279" i="20"/>
  <c r="AB278" i="20"/>
  <c r="AB277" i="20" s="1"/>
  <c r="AB275" i="20"/>
  <c r="AB274" i="20"/>
  <c r="AB273" i="20"/>
  <c r="AB272" i="20"/>
  <c r="AB271" i="20"/>
  <c r="AB270" i="20" s="1"/>
  <c r="AB268" i="20"/>
  <c r="AB267" i="20"/>
  <c r="AB266" i="20"/>
  <c r="AB265" i="20"/>
  <c r="AB264" i="20"/>
  <c r="AB263" i="20" s="1"/>
  <c r="AB261" i="20"/>
  <c r="AB260" i="20"/>
  <c r="AB259" i="20"/>
  <c r="AB258" i="20"/>
  <c r="AB257" i="20"/>
  <c r="AB256" i="20" s="1"/>
  <c r="AB254" i="20"/>
  <c r="AB253" i="20"/>
  <c r="AB252" i="20"/>
  <c r="AB251" i="20"/>
  <c r="AB250" i="20"/>
  <c r="AB249" i="20" s="1"/>
  <c r="AB247" i="20"/>
  <c r="AB246" i="20"/>
  <c r="AB245" i="20"/>
  <c r="AB244" i="20"/>
  <c r="AB243" i="20"/>
  <c r="AB242" i="20" s="1"/>
  <c r="AB240" i="20"/>
  <c r="AB239" i="20"/>
  <c r="AB238" i="20"/>
  <c r="AB237" i="20"/>
  <c r="AB236" i="20"/>
  <c r="AB235" i="20" s="1"/>
  <c r="AB233" i="20"/>
  <c r="AB232" i="20"/>
  <c r="AB231" i="20"/>
  <c r="AB230" i="20"/>
  <c r="AB229" i="20"/>
  <c r="AB228" i="20" s="1"/>
  <c r="AB226" i="20"/>
  <c r="AB225" i="20"/>
  <c r="AB224" i="20"/>
  <c r="AB223" i="20"/>
  <c r="AB222" i="20"/>
  <c r="AB221" i="20" s="1"/>
  <c r="AB219" i="20"/>
  <c r="AB218" i="20"/>
  <c r="AB217" i="20"/>
  <c r="AB216" i="20"/>
  <c r="AB215" i="20"/>
  <c r="AB214" i="20" s="1"/>
  <c r="AB212" i="20"/>
  <c r="AB211" i="20"/>
  <c r="AB210" i="20"/>
  <c r="AB209" i="20"/>
  <c r="AB208" i="20"/>
  <c r="AB207" i="20" s="1"/>
  <c r="AB205" i="20"/>
  <c r="AB204" i="20"/>
  <c r="AB203" i="20"/>
  <c r="AB202" i="20"/>
  <c r="AB201" i="20"/>
  <c r="AB200" i="20" s="1"/>
  <c r="AB198" i="20"/>
  <c r="AB197" i="20"/>
  <c r="AB196" i="20"/>
  <c r="AB195" i="20"/>
  <c r="AB194" i="20"/>
  <c r="AB193" i="20" s="1"/>
  <c r="AB191" i="20"/>
  <c r="AB190" i="20"/>
  <c r="AB189" i="20"/>
  <c r="AB188" i="20"/>
  <c r="AB187" i="20"/>
  <c r="AB186" i="20" s="1"/>
  <c r="AB184" i="20"/>
  <c r="AB183" i="20"/>
  <c r="AB182" i="20"/>
  <c r="AB181" i="20"/>
  <c r="AB180" i="20"/>
  <c r="AB179" i="20" s="1"/>
  <c r="AB177" i="20"/>
  <c r="AB176" i="20"/>
  <c r="AB175" i="20"/>
  <c r="AB174" i="20"/>
  <c r="AB173" i="20"/>
  <c r="AB172" i="20" s="1"/>
  <c r="AB170" i="20"/>
  <c r="AB169" i="20"/>
  <c r="AB168" i="20"/>
  <c r="AB167" i="20"/>
  <c r="AB166" i="20"/>
  <c r="AB165" i="20" s="1"/>
  <c r="AB163" i="20"/>
  <c r="AB162" i="20"/>
  <c r="AB161" i="20"/>
  <c r="AB160" i="20"/>
  <c r="AB159" i="20"/>
  <c r="AB158" i="20" s="1"/>
  <c r="AB156" i="20"/>
  <c r="AB155" i="20"/>
  <c r="AB154" i="20"/>
  <c r="AB153" i="20"/>
  <c r="AB152" i="20"/>
  <c r="AB151" i="20" s="1"/>
  <c r="AB149" i="20"/>
  <c r="AB148" i="20"/>
  <c r="AB147" i="20"/>
  <c r="AB146" i="20"/>
  <c r="AB145" i="20"/>
  <c r="AB144" i="20" s="1"/>
  <c r="AB142" i="20"/>
  <c r="AB141" i="20"/>
  <c r="AB140" i="20"/>
  <c r="AB139" i="20"/>
  <c r="AB138" i="20"/>
  <c r="AB137" i="20" s="1"/>
  <c r="AB135" i="20"/>
  <c r="AB134" i="20"/>
  <c r="AB133" i="20"/>
  <c r="AB132" i="20"/>
  <c r="AB131" i="20"/>
  <c r="AB130" i="20" s="1"/>
  <c r="AB128" i="20"/>
  <c r="AB127" i="20"/>
  <c r="AB126" i="20"/>
  <c r="AB125" i="20"/>
  <c r="AB124" i="20"/>
  <c r="AB123" i="20" s="1"/>
  <c r="AB121" i="20"/>
  <c r="AB120" i="20"/>
  <c r="AB119" i="20"/>
  <c r="AB118" i="20"/>
  <c r="AB117" i="20"/>
  <c r="AB116" i="20" s="1"/>
  <c r="AB114" i="20"/>
  <c r="AB113" i="20"/>
  <c r="AB112" i="20"/>
  <c r="AB111" i="20"/>
  <c r="AB110" i="20"/>
  <c r="AB109" i="20" s="1"/>
  <c r="AB107" i="20"/>
  <c r="AB106" i="20"/>
  <c r="AB105" i="20"/>
  <c r="AB104" i="20"/>
  <c r="AB103" i="20"/>
  <c r="AB102" i="20" s="1"/>
  <c r="AB100" i="20"/>
  <c r="AB99" i="20"/>
  <c r="AB98" i="20"/>
  <c r="AB97" i="20"/>
  <c r="AB96" i="20"/>
  <c r="AB95" i="20" s="1"/>
  <c r="AB93" i="20"/>
  <c r="AB92" i="20"/>
  <c r="AB91" i="20"/>
  <c r="AB90" i="20"/>
  <c r="AB89" i="20"/>
  <c r="AB88" i="20" s="1"/>
  <c r="AB86" i="20"/>
  <c r="AB85" i="20"/>
  <c r="AB84" i="20"/>
  <c r="AB83" i="20"/>
  <c r="AB82" i="20"/>
  <c r="AB81" i="20" s="1"/>
  <c r="AB79" i="20"/>
  <c r="AB78" i="20"/>
  <c r="AB77" i="20"/>
  <c r="AB76" i="20"/>
  <c r="AB75" i="20"/>
  <c r="AB74" i="20" s="1"/>
  <c r="AB72" i="20"/>
  <c r="AB71" i="20"/>
  <c r="AB70" i="20"/>
  <c r="AB69" i="20"/>
  <c r="AB68" i="20"/>
  <c r="AB67" i="20" s="1"/>
  <c r="AB65" i="20"/>
  <c r="AB64" i="20"/>
  <c r="AB63" i="20"/>
  <c r="AB62" i="20"/>
  <c r="AB61" i="20"/>
  <c r="AB60" i="20" s="1"/>
  <c r="AB58" i="20"/>
  <c r="AB57" i="20"/>
  <c r="AB56" i="20"/>
  <c r="AB55" i="20"/>
  <c r="AB54" i="20"/>
  <c r="AB53" i="20" s="1"/>
  <c r="AB51" i="20"/>
  <c r="AB50" i="20"/>
  <c r="AB49" i="20"/>
  <c r="AB48" i="20"/>
  <c r="AB47" i="20"/>
  <c r="AB46" i="20" s="1"/>
  <c r="AB44" i="20"/>
  <c r="AB43" i="20"/>
  <c r="AB42" i="20"/>
  <c r="AB41" i="20"/>
  <c r="AB40" i="20"/>
  <c r="AB39" i="20" s="1"/>
  <c r="AB37" i="20"/>
  <c r="AB36" i="20"/>
  <c r="AB35" i="20"/>
  <c r="AB34" i="20"/>
  <c r="AB33" i="20"/>
  <c r="AB32" i="20" s="1"/>
  <c r="AB30" i="20"/>
  <c r="AB29" i="20"/>
  <c r="AB28" i="20"/>
  <c r="AB27" i="20"/>
  <c r="AB26" i="20"/>
  <c r="AB25" i="20" s="1"/>
  <c r="AB23" i="20"/>
  <c r="AB22" i="20"/>
  <c r="AB21" i="20"/>
  <c r="AB20" i="20"/>
  <c r="AB19" i="20"/>
  <c r="AB18" i="20" s="1"/>
  <c r="AB16" i="20"/>
  <c r="AB15" i="20"/>
  <c r="AB14" i="20"/>
  <c r="AB13" i="20"/>
  <c r="AB12" i="20"/>
  <c r="AB11" i="20" s="1"/>
  <c r="AB9" i="20"/>
  <c r="AB8" i="20"/>
  <c r="AB7" i="20"/>
  <c r="AB6" i="20"/>
  <c r="AB5" i="20"/>
  <c r="AB1310" i="20"/>
  <c r="AB1311" i="20"/>
  <c r="AB1314" i="20"/>
  <c r="AB1315" i="20"/>
  <c r="AB1316" i="20"/>
  <c r="AB1317" i="20"/>
  <c r="AB1318" i="20"/>
  <c r="AB1321" i="20"/>
  <c r="AB1322" i="20"/>
  <c r="AB1323" i="20"/>
  <c r="AB1324" i="20"/>
  <c r="AB1325" i="20"/>
  <c r="AB1328" i="20"/>
  <c r="AB1329" i="20"/>
  <c r="AB1330" i="20"/>
  <c r="AB1331" i="20"/>
  <c r="AB1332" i="20"/>
  <c r="AB1335" i="20"/>
  <c r="AB1336" i="20"/>
  <c r="AB1337" i="20"/>
  <c r="AB1338" i="20"/>
  <c r="AB1339" i="20"/>
  <c r="AB1342" i="20"/>
  <c r="AB1343" i="20"/>
  <c r="AB1344" i="20"/>
  <c r="AB1345" i="20"/>
  <c r="AB1346" i="20"/>
  <c r="AB1349" i="20"/>
  <c r="AB1350" i="20"/>
  <c r="AB1351" i="20"/>
  <c r="AB1352" i="20"/>
  <c r="AB1353" i="20"/>
  <c r="AB1356" i="20"/>
  <c r="AB1357" i="20"/>
  <c r="AB1358" i="20"/>
  <c r="AB1359" i="20"/>
  <c r="AB1360" i="20"/>
  <c r="AB1363" i="20"/>
  <c r="AB1364" i="20"/>
  <c r="AB1365" i="20"/>
  <c r="AB1366" i="20"/>
  <c r="AB1367" i="20"/>
  <c r="AB1370" i="20"/>
  <c r="AB1371" i="20"/>
  <c r="AB1372" i="20"/>
  <c r="AB1373" i="20"/>
  <c r="AB1374" i="20"/>
  <c r="AB1377" i="20"/>
  <c r="AB1378" i="20"/>
  <c r="AB1379" i="20"/>
  <c r="AB1380" i="20"/>
  <c r="AB1381" i="20"/>
  <c r="AB1384" i="20"/>
  <c r="AB1385" i="20"/>
  <c r="AB1386" i="20"/>
  <c r="AB1387" i="20"/>
  <c r="AB1388" i="20"/>
  <c r="AB1391" i="20"/>
  <c r="AB1392" i="20"/>
  <c r="AB1393" i="20"/>
  <c r="AB1394" i="20"/>
  <c r="AB1395" i="20"/>
  <c r="AB1398" i="20"/>
  <c r="AB1399" i="20"/>
  <c r="AB1400" i="20"/>
  <c r="AB1401" i="20"/>
  <c r="AB1402" i="20"/>
  <c r="AB1405" i="20"/>
  <c r="AB1406" i="20"/>
  <c r="AB1407" i="20"/>
  <c r="AB1408" i="20"/>
  <c r="AB1409" i="20"/>
  <c r="AB1412" i="20"/>
  <c r="AB1413" i="20"/>
  <c r="AB1414" i="20"/>
  <c r="AB1415" i="20"/>
  <c r="AB1416" i="20"/>
  <c r="AB1419" i="20"/>
  <c r="AB1420" i="20"/>
  <c r="AB1421" i="20"/>
  <c r="AB1422" i="20"/>
  <c r="AB1423" i="20"/>
  <c r="AB1426" i="20"/>
  <c r="AB1427" i="20"/>
  <c r="AB1428" i="20"/>
  <c r="AB1429" i="20"/>
  <c r="AB1430" i="20"/>
  <c r="AB1433" i="20"/>
  <c r="AB1434" i="20"/>
  <c r="AB1435" i="20"/>
  <c r="AB1436" i="20"/>
  <c r="AB1437" i="20"/>
  <c r="AB1440" i="20"/>
  <c r="AB1441" i="20"/>
  <c r="AB1442" i="20"/>
  <c r="AB1443" i="20"/>
  <c r="AB1444" i="20"/>
  <c r="AB1447" i="20"/>
  <c r="AB1448" i="20"/>
  <c r="AB1449" i="20"/>
  <c r="AB1450" i="20"/>
  <c r="AB1308" i="20"/>
  <c r="AB1451" i="20"/>
  <c r="AB1454" i="20"/>
  <c r="AB1455" i="20"/>
  <c r="AB1456" i="20"/>
  <c r="AB1457" i="20"/>
  <c r="AB1458" i="20"/>
  <c r="AB1461" i="20"/>
  <c r="AB1462" i="20"/>
  <c r="AB1463" i="20"/>
  <c r="AB1464" i="20"/>
  <c r="AB1465" i="20"/>
  <c r="AB1468" i="20"/>
  <c r="AB1469" i="20"/>
  <c r="AB1470" i="20"/>
  <c r="AB1471" i="20"/>
  <c r="AB1472" i="20"/>
  <c r="AB1475" i="20"/>
  <c r="AB1476" i="20"/>
  <c r="AB1477" i="20"/>
  <c r="AB1478" i="20"/>
  <c r="AB1479" i="20"/>
  <c r="AB1482" i="20"/>
  <c r="AB1483" i="20"/>
  <c r="AB1484" i="20"/>
  <c r="AB1485" i="20"/>
  <c r="AB1486" i="20"/>
  <c r="AB1489" i="20"/>
  <c r="AB1490" i="20"/>
  <c r="AB1491" i="20"/>
  <c r="AB1492" i="20"/>
  <c r="AB1493" i="20"/>
  <c r="AB1496" i="20"/>
  <c r="AB1497" i="20"/>
  <c r="AB1498" i="20"/>
  <c r="AB1499" i="20"/>
  <c r="AB1500" i="20"/>
  <c r="AB1503" i="20"/>
  <c r="AB1504" i="20"/>
  <c r="AB1505" i="20"/>
  <c r="AB1506" i="20"/>
  <c r="AB1507" i="20"/>
  <c r="AB1510" i="20"/>
  <c r="AB1511" i="20"/>
  <c r="AB1512" i="20"/>
  <c r="AB1513" i="20"/>
  <c r="AB1514" i="20"/>
  <c r="AB1517" i="20"/>
  <c r="AB1518" i="20"/>
  <c r="AB1519" i="20"/>
  <c r="AB1520" i="20"/>
  <c r="AB1521" i="20"/>
  <c r="AB1524" i="20"/>
  <c r="AB1525" i="20"/>
  <c r="AB1526" i="20"/>
  <c r="AB1527" i="20"/>
  <c r="AB1528" i="20"/>
  <c r="AB1531" i="20"/>
  <c r="AB1532" i="20"/>
  <c r="AB1533" i="20"/>
  <c r="AB1534" i="20"/>
  <c r="AB1535" i="20"/>
  <c r="AB1538" i="20"/>
  <c r="AB1539" i="20"/>
  <c r="AB1540" i="20"/>
  <c r="AB1541" i="20"/>
  <c r="AB1542" i="20"/>
  <c r="AB1545" i="20"/>
  <c r="AB1546" i="20"/>
  <c r="AB1547" i="20"/>
  <c r="AB1548" i="20"/>
  <c r="AB1549" i="20"/>
  <c r="AB1552" i="20"/>
  <c r="AB1553" i="20"/>
  <c r="AB1554" i="20"/>
  <c r="AB1555" i="20"/>
  <c r="AB1556" i="20"/>
  <c r="AB1559" i="20"/>
  <c r="AB1560" i="20"/>
  <c r="AB1561" i="20"/>
  <c r="AB1562" i="20"/>
  <c r="AB1563" i="20"/>
  <c r="AB1566" i="20"/>
  <c r="AB1567" i="20"/>
  <c r="AB1568" i="20"/>
  <c r="AB1569" i="20"/>
  <c r="AB1570" i="20"/>
  <c r="AB1573" i="20"/>
  <c r="AB1574" i="20"/>
  <c r="AB1575" i="20"/>
  <c r="AB1576" i="20"/>
  <c r="AB1577" i="20"/>
  <c r="AB1580" i="20"/>
  <c r="AB1581" i="20"/>
  <c r="AB1582" i="20"/>
  <c r="AB1583" i="20"/>
  <c r="AB1584" i="20"/>
  <c r="AB1587" i="20"/>
  <c r="AB1588" i="20"/>
  <c r="AB1589" i="20"/>
  <c r="AB1590" i="20"/>
  <c r="AB1591" i="20"/>
  <c r="AB1594" i="20"/>
  <c r="AB1595" i="20"/>
  <c r="AB1596" i="20"/>
  <c r="AB1597" i="20"/>
  <c r="AB1598" i="20"/>
  <c r="AB1601" i="20"/>
  <c r="AB1602" i="20"/>
  <c r="AB1603" i="20"/>
  <c r="AB1604" i="20"/>
  <c r="AB1605" i="20"/>
  <c r="AB1608" i="20"/>
  <c r="AB1609" i="20"/>
  <c r="AB1610" i="20"/>
  <c r="AB1611" i="20"/>
  <c r="AB1612" i="20"/>
  <c r="AB1615" i="20"/>
  <c r="AB1616" i="20"/>
  <c r="AB1617" i="20"/>
  <c r="AB1618" i="20"/>
  <c r="AB1619" i="20"/>
  <c r="AB1307" i="20"/>
  <c r="AB1306" i="20" s="1"/>
  <c r="AB1304" i="20"/>
  <c r="AB1303" i="20"/>
  <c r="AB1302" i="20"/>
  <c r="AB1301" i="20"/>
  <c r="AB1300" i="20"/>
  <c r="AB1299" i="20" s="1"/>
  <c r="AB1297" i="20"/>
  <c r="AB1296" i="20"/>
  <c r="AB1295" i="20"/>
  <c r="AB1294" i="20"/>
  <c r="AB1293" i="20"/>
  <c r="AB1292" i="20" s="1"/>
  <c r="AB1290" i="20"/>
  <c r="AB1289" i="20"/>
  <c r="AB1288" i="20"/>
  <c r="AB1287" i="20"/>
  <c r="AB1286" i="20"/>
  <c r="AB1285" i="20" s="1"/>
  <c r="AB1283" i="20"/>
  <c r="AB1282" i="20"/>
  <c r="AB1281" i="20"/>
  <c r="AB1280" i="20"/>
  <c r="AB1279" i="20"/>
  <c r="AB1278" i="20" s="1"/>
  <c r="AB1276" i="20"/>
  <c r="AB1275" i="20"/>
  <c r="AB1274" i="20"/>
  <c r="AB1273" i="20"/>
  <c r="AB1272" i="20"/>
  <c r="AB1271" i="20" s="1"/>
  <c r="AB1269" i="20"/>
  <c r="AB1268" i="20"/>
  <c r="AB1267" i="20"/>
  <c r="AB1266" i="20"/>
  <c r="AB1265" i="20"/>
  <c r="AB1264" i="20" s="1"/>
  <c r="AB1262" i="20"/>
  <c r="AB1261" i="20"/>
  <c r="AB1260" i="20"/>
  <c r="AB1259" i="20"/>
  <c r="AB1258" i="20"/>
  <c r="AB1257" i="20" s="1"/>
  <c r="AB1255" i="20"/>
  <c r="AB1254" i="20"/>
  <c r="AB1253" i="20"/>
  <c r="AB1252" i="20"/>
  <c r="AB1251" i="20"/>
  <c r="AB1250" i="20" s="1"/>
  <c r="AB1248" i="20"/>
  <c r="AB1247" i="20"/>
  <c r="AB1246" i="20"/>
  <c r="AB1245" i="20"/>
  <c r="AB1244" i="20"/>
  <c r="AB1243" i="20" s="1"/>
  <c r="AB1241" i="20"/>
  <c r="AB1240" i="20"/>
  <c r="AB1239" i="20"/>
  <c r="AB1238" i="20"/>
  <c r="AB1237" i="20"/>
  <c r="AB1236" i="20" s="1"/>
  <c r="AB1234" i="20"/>
  <c r="AB1233" i="20"/>
  <c r="AB1232" i="20"/>
  <c r="AB1231" i="20"/>
  <c r="AB1230" i="20"/>
  <c r="AB1229" i="20" s="1"/>
  <c r="AB1227" i="20"/>
  <c r="AB1226" i="20"/>
  <c r="AB1225" i="20"/>
  <c r="AB1224" i="20"/>
  <c r="AB1223" i="20"/>
  <c r="AB1222" i="20" s="1"/>
  <c r="AB1220" i="20"/>
  <c r="AB1219" i="20"/>
  <c r="AB1218" i="20"/>
  <c r="AB1217" i="20"/>
  <c r="AB1216" i="20"/>
  <c r="AB1215" i="20" s="1"/>
  <c r="AB1213" i="20"/>
  <c r="AB1212" i="20"/>
  <c r="AB1211" i="20"/>
  <c r="AB1210" i="20"/>
  <c r="AB1209" i="20"/>
  <c r="AB1208" i="20" s="1"/>
  <c r="AB1206" i="20"/>
  <c r="AB1205" i="20"/>
  <c r="AB1204" i="20"/>
  <c r="AB1203" i="20"/>
  <c r="AB1202" i="20"/>
  <c r="AB1201" i="20" s="1"/>
  <c r="AB1199" i="20"/>
  <c r="AB1198" i="20"/>
  <c r="AB1197" i="20"/>
  <c r="AB1196" i="20"/>
  <c r="AB1195" i="20"/>
  <c r="AB1194" i="20" s="1"/>
  <c r="AB1192" i="20"/>
  <c r="AB1191" i="20"/>
  <c r="AB1190" i="20"/>
  <c r="AB1189" i="20"/>
  <c r="AB1188" i="20"/>
  <c r="AB1187" i="20" s="1"/>
  <c r="AB1185" i="20"/>
  <c r="AB1184" i="20"/>
  <c r="AB1183" i="20"/>
  <c r="AB1182" i="20"/>
  <c r="AB1181" i="20"/>
  <c r="AB1180" i="20" s="1"/>
  <c r="AB1178" i="20"/>
  <c r="AB1177" i="20"/>
  <c r="AB1176" i="20"/>
  <c r="AB1175" i="20"/>
  <c r="AB1174" i="20"/>
  <c r="AB1173" i="20" s="1"/>
  <c r="AB1171" i="20"/>
  <c r="AB1170" i="20"/>
  <c r="AB1169" i="20"/>
  <c r="AB1168" i="20"/>
  <c r="AB1167" i="20"/>
  <c r="AB1166" i="20" s="1"/>
  <c r="AB1164" i="20"/>
  <c r="AB1163" i="20"/>
  <c r="AB1162" i="20"/>
  <c r="AB1161" i="20"/>
  <c r="AB1160" i="20"/>
  <c r="AB1159" i="20" s="1"/>
  <c r="AB1157" i="20"/>
  <c r="AB1156" i="20"/>
  <c r="AB1155" i="20"/>
  <c r="AB1154" i="20"/>
  <c r="AB1153" i="20"/>
  <c r="AB1152" i="20" s="1"/>
  <c r="AB1150" i="20"/>
  <c r="AB1149" i="20"/>
  <c r="AB1148" i="20"/>
  <c r="AB1147" i="20"/>
  <c r="AB1146" i="20"/>
  <c r="AB1145" i="20" s="1"/>
  <c r="AB1143" i="20"/>
  <c r="AB1142" i="20"/>
  <c r="AB1141" i="20"/>
  <c r="AB1140" i="20"/>
  <c r="AB1139" i="20"/>
  <c r="AB1138" i="20" s="1"/>
  <c r="AB1136" i="20"/>
  <c r="AB1135" i="20"/>
  <c r="AB1134" i="20"/>
  <c r="AB1133" i="20"/>
  <c r="AB1132" i="20"/>
  <c r="AB1131" i="20" s="1"/>
  <c r="AB1129" i="20"/>
  <c r="AB1128" i="20"/>
  <c r="AB1127" i="20"/>
  <c r="AB1126" i="20"/>
  <c r="AB1125" i="20"/>
  <c r="AB1124" i="20" s="1"/>
  <c r="AB1122" i="20"/>
  <c r="AB1121" i="20"/>
  <c r="AB1120" i="20"/>
  <c r="AB1119" i="20"/>
  <c r="AB1118" i="20"/>
  <c r="AB1117" i="20" s="1"/>
  <c r="AB1115" i="20"/>
  <c r="AB1114" i="20"/>
  <c r="AB1113" i="20"/>
  <c r="AB1112" i="20"/>
  <c r="AB1111" i="20"/>
  <c r="AB1110" i="20" s="1"/>
  <c r="AB1108" i="20"/>
  <c r="AB1107" i="20"/>
  <c r="AB1106" i="20"/>
  <c r="AB1105" i="20"/>
  <c r="AB1104" i="20"/>
  <c r="AB1103" i="20" s="1"/>
  <c r="AB1101" i="20"/>
  <c r="AB1100" i="20"/>
  <c r="AB1099" i="20"/>
  <c r="AB1098" i="20"/>
  <c r="AB1097" i="20"/>
  <c r="AB1096" i="20" s="1"/>
  <c r="AB1094" i="20"/>
  <c r="AB1093" i="20"/>
  <c r="AB1092" i="20"/>
  <c r="AB1091" i="20"/>
  <c r="AB1090" i="20"/>
  <c r="AB1089" i="20" s="1"/>
  <c r="AB1087" i="20"/>
  <c r="AB1086" i="20"/>
  <c r="AB1085" i="20"/>
  <c r="AB1084" i="20"/>
  <c r="AB1083" i="20"/>
  <c r="AB1082" i="20" s="1"/>
  <c r="AB1080" i="20"/>
  <c r="AB1079" i="20"/>
  <c r="AB1078" i="20"/>
  <c r="AB1077" i="20"/>
  <c r="AB1076" i="20"/>
  <c r="AB1075" i="20" s="1"/>
  <c r="AB1073" i="20"/>
  <c r="AB1072" i="20"/>
  <c r="AB1071" i="20"/>
  <c r="AB1070" i="20"/>
  <c r="AB1069" i="20"/>
  <c r="AB1068" i="20" s="1"/>
  <c r="AB1066" i="20"/>
  <c r="AB1065" i="20"/>
  <c r="AB1064" i="20"/>
  <c r="AB1063" i="20"/>
  <c r="AB1062" i="20"/>
  <c r="AB1061" i="20" s="1"/>
  <c r="AB1059" i="20"/>
  <c r="AB1058" i="20"/>
  <c r="AB1057" i="20"/>
  <c r="AB1056" i="20"/>
  <c r="AB1055" i="20"/>
  <c r="AB1054" i="20" s="1"/>
  <c r="AB1052" i="20"/>
  <c r="AB1051" i="20"/>
  <c r="AB1050" i="20"/>
  <c r="AB1049" i="20"/>
  <c r="AB1048" i="20"/>
  <c r="AB1047" i="20" s="1"/>
  <c r="AB1045" i="20"/>
  <c r="AB1044" i="20"/>
  <c r="AB1043" i="20"/>
  <c r="AB1042" i="20"/>
  <c r="AB1041" i="20"/>
  <c r="AB1040" i="20" s="1"/>
  <c r="AB1038" i="20"/>
  <c r="AB1037" i="20"/>
  <c r="AB1036" i="20"/>
  <c r="AB1035" i="20"/>
  <c r="AB1034" i="20"/>
  <c r="AB1033" i="20" s="1"/>
  <c r="AB1031" i="20"/>
  <c r="AB1030" i="20"/>
  <c r="AB1029" i="20"/>
  <c r="AB1028" i="20"/>
  <c r="AB1027" i="20"/>
  <c r="AB1026" i="20" s="1"/>
  <c r="AB1024" i="20"/>
  <c r="AB1023" i="20"/>
  <c r="AB1022" i="20"/>
  <c r="AB1021" i="20"/>
  <c r="AB1020" i="20"/>
  <c r="AB1019" i="20" s="1"/>
  <c r="AB1017" i="20"/>
  <c r="AB1016" i="20"/>
  <c r="AB1015" i="20"/>
  <c r="AB1014" i="20"/>
  <c r="AB1013" i="20"/>
  <c r="AB1012" i="20" s="1"/>
  <c r="AB1010" i="20"/>
  <c r="AB1009" i="20"/>
  <c r="AB1008" i="20"/>
  <c r="AB1007" i="20"/>
  <c r="AB1006" i="20"/>
  <c r="AB1005" i="20" s="1"/>
  <c r="AB1003" i="20"/>
  <c r="AB1002" i="20"/>
  <c r="AB1001" i="20"/>
  <c r="AB1000" i="20"/>
  <c r="AB999" i="20"/>
  <c r="AB998" i="20" s="1"/>
  <c r="AB996" i="20"/>
  <c r="AB343" i="20"/>
  <c r="AA995" i="20"/>
  <c r="AA994" i="20"/>
  <c r="AA993" i="20"/>
  <c r="AA992" i="20"/>
  <c r="AA989" i="20"/>
  <c r="AA988" i="20"/>
  <c r="AA987" i="20"/>
  <c r="AA986" i="20"/>
  <c r="AA985" i="20"/>
  <c r="AA984" i="20" s="1"/>
  <c r="AA982" i="20"/>
  <c r="AA981" i="20"/>
  <c r="AA980" i="20"/>
  <c r="AA979" i="20"/>
  <c r="AA978" i="20"/>
  <c r="AA977" i="20" s="1"/>
  <c r="AA975" i="20"/>
  <c r="AA974" i="20"/>
  <c r="AA973" i="20"/>
  <c r="AA972" i="20"/>
  <c r="AA971" i="20"/>
  <c r="AA970" i="20" s="1"/>
  <c r="AA968" i="20"/>
  <c r="AA967" i="20"/>
  <c r="AA966" i="20"/>
  <c r="AA965" i="20"/>
  <c r="AA964" i="20"/>
  <c r="AA963" i="20" s="1"/>
  <c r="AA961" i="20"/>
  <c r="AA960" i="20"/>
  <c r="AA959" i="20"/>
  <c r="AA958" i="20"/>
  <c r="AA957" i="20"/>
  <c r="AA956" i="20" s="1"/>
  <c r="AA954" i="20"/>
  <c r="AA953" i="20"/>
  <c r="AA952" i="20"/>
  <c r="AA951" i="20"/>
  <c r="AA950" i="20"/>
  <c r="AA949" i="20" s="1"/>
  <c r="AA947" i="20"/>
  <c r="AA946" i="20"/>
  <c r="AA945" i="20"/>
  <c r="AA944" i="20"/>
  <c r="AA943" i="20"/>
  <c r="AA942" i="20" s="1"/>
  <c r="AA940" i="20"/>
  <c r="AA939" i="20"/>
  <c r="AA938" i="20"/>
  <c r="AA937" i="20"/>
  <c r="AA936" i="20"/>
  <c r="AA935" i="20" s="1"/>
  <c r="AA933" i="20"/>
  <c r="AA932" i="20"/>
  <c r="AA931" i="20"/>
  <c r="AA930" i="20"/>
  <c r="AA929" i="20"/>
  <c r="AA928" i="20" s="1"/>
  <c r="AA926" i="20"/>
  <c r="AA925" i="20"/>
  <c r="AA924" i="20"/>
  <c r="AA923" i="20"/>
  <c r="AA922" i="20"/>
  <c r="AA921" i="20" s="1"/>
  <c r="AA919" i="20"/>
  <c r="AA918" i="20"/>
  <c r="AA917" i="20"/>
  <c r="AA916" i="20"/>
  <c r="AA915" i="20"/>
  <c r="AA914" i="20" s="1"/>
  <c r="AA912" i="20"/>
  <c r="AA911" i="20"/>
  <c r="AA910" i="20"/>
  <c r="AA909" i="20"/>
  <c r="AA908" i="20"/>
  <c r="AA907" i="20" s="1"/>
  <c r="AA905" i="20"/>
  <c r="AA904" i="20"/>
  <c r="AA903" i="20"/>
  <c r="AA902" i="20"/>
  <c r="AA901" i="20"/>
  <c r="AA900" i="20" s="1"/>
  <c r="AA898" i="20"/>
  <c r="AA897" i="20"/>
  <c r="AA896" i="20"/>
  <c r="AA895" i="20"/>
  <c r="AA894" i="20"/>
  <c r="AA893" i="20" s="1"/>
  <c r="AA891" i="20"/>
  <c r="AA890" i="20"/>
  <c r="AA889" i="20"/>
  <c r="AA888" i="20"/>
  <c r="AA887" i="20"/>
  <c r="AA886" i="20" s="1"/>
  <c r="AA884" i="20"/>
  <c r="AA883" i="20"/>
  <c r="AA882" i="20"/>
  <c r="AA881" i="20"/>
  <c r="AA880" i="20"/>
  <c r="AA879" i="20" s="1"/>
  <c r="AA877" i="20"/>
  <c r="AA876" i="20"/>
  <c r="AA875" i="20"/>
  <c r="AA874" i="20"/>
  <c r="AA873" i="20"/>
  <c r="AA872" i="20" s="1"/>
  <c r="AA870" i="20"/>
  <c r="AA869" i="20"/>
  <c r="AA868" i="20"/>
  <c r="AA867" i="20"/>
  <c r="AA866" i="20"/>
  <c r="AA865" i="20" s="1"/>
  <c r="AA863" i="20"/>
  <c r="AA862" i="20"/>
  <c r="AA861" i="20"/>
  <c r="AA860" i="20"/>
  <c r="AA859" i="20"/>
  <c r="AA858" i="20" s="1"/>
  <c r="AA856" i="20"/>
  <c r="AA855" i="20"/>
  <c r="AA854" i="20"/>
  <c r="AA853" i="20"/>
  <c r="AA852" i="20"/>
  <c r="AA851" i="20" s="1"/>
  <c r="AA849" i="20"/>
  <c r="AA848" i="20"/>
  <c r="AA847" i="20"/>
  <c r="AA846" i="20"/>
  <c r="AA845" i="20"/>
  <c r="AA844" i="20" s="1"/>
  <c r="AA842" i="20"/>
  <c r="AA841" i="20"/>
  <c r="AA840" i="20"/>
  <c r="AA839" i="20"/>
  <c r="AA838" i="20"/>
  <c r="AA837" i="20" s="1"/>
  <c r="AA835" i="20"/>
  <c r="AA834" i="20"/>
  <c r="AA833" i="20"/>
  <c r="AA832" i="20"/>
  <c r="AA831" i="20"/>
  <c r="AA830" i="20" s="1"/>
  <c r="AA828" i="20"/>
  <c r="AA827" i="20"/>
  <c r="AA826" i="20"/>
  <c r="AA825" i="20"/>
  <c r="AA824" i="20"/>
  <c r="AA823" i="20" s="1"/>
  <c r="AA821" i="20"/>
  <c r="AA820" i="20"/>
  <c r="AA819" i="20"/>
  <c r="AA818" i="20"/>
  <c r="AA817" i="20"/>
  <c r="AA816" i="20" s="1"/>
  <c r="AA814" i="20"/>
  <c r="AA813" i="20"/>
  <c r="AA812" i="20"/>
  <c r="AA811" i="20"/>
  <c r="AA810" i="20"/>
  <c r="AA809" i="20" s="1"/>
  <c r="AA807" i="20"/>
  <c r="AA806" i="20"/>
  <c r="AA805" i="20"/>
  <c r="AA804" i="20"/>
  <c r="AA803" i="20"/>
  <c r="AA802" i="20" s="1"/>
  <c r="AA800" i="20"/>
  <c r="AA799" i="20"/>
  <c r="AA798" i="20"/>
  <c r="AA797" i="20"/>
  <c r="AA796" i="20"/>
  <c r="AA795" i="20" s="1"/>
  <c r="AA793" i="20"/>
  <c r="AA792" i="20"/>
  <c r="AA791" i="20"/>
  <c r="AA790" i="20"/>
  <c r="AA789" i="20"/>
  <c r="AA788" i="20" s="1"/>
  <c r="AA786" i="20"/>
  <c r="AA785" i="20"/>
  <c r="AA784" i="20"/>
  <c r="AA783" i="20"/>
  <c r="AA782" i="20"/>
  <c r="AA781" i="20" s="1"/>
  <c r="AA779" i="20"/>
  <c r="AA778" i="20"/>
  <c r="AA777" i="20"/>
  <c r="AA776" i="20"/>
  <c r="AA775" i="20"/>
  <c r="AA774" i="20" s="1"/>
  <c r="AA772" i="20"/>
  <c r="AA771" i="20"/>
  <c r="AA770" i="20"/>
  <c r="AA769" i="20"/>
  <c r="AA768" i="20"/>
  <c r="AA767" i="20" s="1"/>
  <c r="AA765" i="20"/>
  <c r="AA764" i="20"/>
  <c r="AA763" i="20"/>
  <c r="AA762" i="20"/>
  <c r="AA761" i="20"/>
  <c r="AA760" i="20" s="1"/>
  <c r="AA758" i="20"/>
  <c r="AA757" i="20"/>
  <c r="AA756" i="20"/>
  <c r="AA755" i="20"/>
  <c r="AA754" i="20"/>
  <c r="AA753" i="20" s="1"/>
  <c r="AA751" i="20"/>
  <c r="AA750" i="20"/>
  <c r="AA749" i="20"/>
  <c r="AA748" i="20"/>
  <c r="AA747" i="20"/>
  <c r="AA746" i="20" s="1"/>
  <c r="AA744" i="20"/>
  <c r="AA743" i="20"/>
  <c r="AA742" i="20"/>
  <c r="AA741" i="20"/>
  <c r="AA740" i="20"/>
  <c r="AA739" i="20" s="1"/>
  <c r="AA737" i="20"/>
  <c r="AA736" i="20"/>
  <c r="AA735" i="20"/>
  <c r="AA734" i="20"/>
  <c r="AA733" i="20"/>
  <c r="AA732" i="20" s="1"/>
  <c r="AA730" i="20"/>
  <c r="AA729" i="20"/>
  <c r="AA728" i="20"/>
  <c r="AA727" i="20"/>
  <c r="AA726" i="20"/>
  <c r="AA725" i="20" s="1"/>
  <c r="AA723" i="20"/>
  <c r="AA722" i="20"/>
  <c r="AA721" i="20"/>
  <c r="AA720" i="20"/>
  <c r="AA719" i="20"/>
  <c r="AA718" i="20" s="1"/>
  <c r="AA716" i="20"/>
  <c r="AA715" i="20"/>
  <c r="AA714" i="20"/>
  <c r="AA713" i="20"/>
  <c r="AA712" i="20"/>
  <c r="AA711" i="20" s="1"/>
  <c r="AA709" i="20"/>
  <c r="AA708" i="20"/>
  <c r="AA707" i="20"/>
  <c r="AA706" i="20"/>
  <c r="AA705" i="20"/>
  <c r="AA704" i="20" s="1"/>
  <c r="AA702" i="20"/>
  <c r="AA701" i="20"/>
  <c r="AA700" i="20"/>
  <c r="AA699" i="20"/>
  <c r="AA698" i="20"/>
  <c r="AA697" i="20" s="1"/>
  <c r="AA695" i="20"/>
  <c r="AA694" i="20"/>
  <c r="AA693" i="20"/>
  <c r="AA692" i="20"/>
  <c r="AA691" i="20"/>
  <c r="AA690" i="20" s="1"/>
  <c r="AA688" i="20"/>
  <c r="AA687" i="20"/>
  <c r="AA686" i="20"/>
  <c r="AA685" i="20"/>
  <c r="AA684" i="20"/>
  <c r="AA683" i="20" s="1"/>
  <c r="AA681" i="20"/>
  <c r="AA680" i="20"/>
  <c r="AA679" i="20"/>
  <c r="AA678" i="20"/>
  <c r="AA677" i="20"/>
  <c r="AA676" i="20" s="1"/>
  <c r="AA674" i="20"/>
  <c r="AA673" i="20"/>
  <c r="AA672" i="20"/>
  <c r="AA671" i="20"/>
  <c r="AA670" i="20"/>
  <c r="AA667" i="20"/>
  <c r="AA666" i="20"/>
  <c r="AA665" i="20"/>
  <c r="AA664" i="20"/>
  <c r="AA663" i="20"/>
  <c r="AA662" i="20" s="1"/>
  <c r="AA660" i="20"/>
  <c r="AA659" i="20"/>
  <c r="AA658" i="20"/>
  <c r="AA657" i="20"/>
  <c r="AA656" i="20"/>
  <c r="AA655" i="20" s="1"/>
  <c r="AA653" i="20"/>
  <c r="AA652" i="20"/>
  <c r="AA651" i="20"/>
  <c r="AA650" i="20"/>
  <c r="AA649" i="20"/>
  <c r="AA648" i="20" s="1"/>
  <c r="AA646" i="20"/>
  <c r="AA645" i="20"/>
  <c r="AA644" i="20"/>
  <c r="AA643" i="20"/>
  <c r="AA642" i="20"/>
  <c r="AA641" i="20" s="1"/>
  <c r="AA639" i="20"/>
  <c r="AA638" i="20"/>
  <c r="AA637" i="20"/>
  <c r="AA636" i="20"/>
  <c r="AA635" i="20"/>
  <c r="AA634" i="20" s="1"/>
  <c r="AA632" i="20"/>
  <c r="AA631" i="20"/>
  <c r="AA630" i="20"/>
  <c r="AA629" i="20"/>
  <c r="AA628" i="20"/>
  <c r="AA627" i="20" s="1"/>
  <c r="AA625" i="20"/>
  <c r="AA624" i="20"/>
  <c r="AA623" i="20"/>
  <c r="AA622" i="20"/>
  <c r="AA621" i="20"/>
  <c r="AA620" i="20" s="1"/>
  <c r="AA618" i="20"/>
  <c r="AA617" i="20"/>
  <c r="AA616" i="20"/>
  <c r="AA615" i="20"/>
  <c r="AA614" i="20"/>
  <c r="AA613" i="20" s="1"/>
  <c r="AA611" i="20"/>
  <c r="AA610" i="20"/>
  <c r="AA609" i="20"/>
  <c r="AA608" i="20"/>
  <c r="AA607" i="20"/>
  <c r="AA606" i="20" s="1"/>
  <c r="AA604" i="20"/>
  <c r="AA603" i="20"/>
  <c r="AA602" i="20"/>
  <c r="AA601" i="20"/>
  <c r="AA600" i="20"/>
  <c r="AA599" i="20" s="1"/>
  <c r="AA597" i="20"/>
  <c r="AA596" i="20"/>
  <c r="AA595" i="20"/>
  <c r="AA594" i="20"/>
  <c r="AA593" i="20"/>
  <c r="AA592" i="20" s="1"/>
  <c r="AA590" i="20"/>
  <c r="AA589" i="20"/>
  <c r="AA588" i="20"/>
  <c r="AA587" i="20"/>
  <c r="AA586" i="20"/>
  <c r="AA585" i="20" s="1"/>
  <c r="AA583" i="20"/>
  <c r="AA582" i="20"/>
  <c r="AA581" i="20"/>
  <c r="AA580" i="20"/>
  <c r="AA579" i="20"/>
  <c r="AA578" i="20" s="1"/>
  <c r="AA576" i="20"/>
  <c r="AA575" i="20"/>
  <c r="AA574" i="20"/>
  <c r="AA573" i="20"/>
  <c r="AA572" i="20"/>
  <c r="AA571" i="20" s="1"/>
  <c r="AA569" i="20"/>
  <c r="AA568" i="20"/>
  <c r="AA567" i="20"/>
  <c r="AA566" i="20"/>
  <c r="AA565" i="20"/>
  <c r="AA564" i="20" s="1"/>
  <c r="AA562" i="20"/>
  <c r="AA561" i="20"/>
  <c r="AA560" i="20"/>
  <c r="AA559" i="20"/>
  <c r="AA558" i="20"/>
  <c r="AA557" i="20" s="1"/>
  <c r="AA555" i="20"/>
  <c r="AA554" i="20"/>
  <c r="AA553" i="20"/>
  <c r="AA552" i="20"/>
  <c r="AA551" i="20"/>
  <c r="AA550" i="20" s="1"/>
  <c r="AA548" i="20"/>
  <c r="AA547" i="20"/>
  <c r="AA546" i="20"/>
  <c r="AA545" i="20"/>
  <c r="AA544" i="20"/>
  <c r="AA543" i="20" s="1"/>
  <c r="AA541" i="20"/>
  <c r="AA540" i="20"/>
  <c r="AA539" i="20"/>
  <c r="AA538" i="20"/>
  <c r="AA537" i="20"/>
  <c r="AA536" i="20" s="1"/>
  <c r="AA534" i="20"/>
  <c r="AA533" i="20"/>
  <c r="AA532" i="20"/>
  <c r="AA531" i="20"/>
  <c r="AA530" i="20"/>
  <c r="AA529" i="20" s="1"/>
  <c r="AA527" i="20"/>
  <c r="AA526" i="20"/>
  <c r="AA525" i="20"/>
  <c r="AA524" i="20"/>
  <c r="AA523" i="20"/>
  <c r="AA522" i="20" s="1"/>
  <c r="AA520" i="20"/>
  <c r="AA519" i="20"/>
  <c r="AA518" i="20"/>
  <c r="AA517" i="20"/>
  <c r="AA516" i="20"/>
  <c r="AA515" i="20" s="1"/>
  <c r="AA513" i="20"/>
  <c r="AA512" i="20"/>
  <c r="AA511" i="20"/>
  <c r="AA510" i="20"/>
  <c r="AA509" i="20"/>
  <c r="AA508" i="20" s="1"/>
  <c r="AA506" i="20"/>
  <c r="AA505" i="20"/>
  <c r="AA504" i="20"/>
  <c r="AA503" i="20"/>
  <c r="AA502" i="20"/>
  <c r="AA501" i="20" s="1"/>
  <c r="AA499" i="20"/>
  <c r="AA498" i="20"/>
  <c r="AA497" i="20"/>
  <c r="AA496" i="20"/>
  <c r="AA495" i="20"/>
  <c r="AA494" i="20" s="1"/>
  <c r="AA492" i="20"/>
  <c r="AA491" i="20"/>
  <c r="AA490" i="20"/>
  <c r="AA489" i="20"/>
  <c r="AA488" i="20"/>
  <c r="AA487" i="20" s="1"/>
  <c r="AA485" i="20"/>
  <c r="AA484" i="20"/>
  <c r="AA483" i="20"/>
  <c r="AA482" i="20"/>
  <c r="AA481" i="20"/>
  <c r="AA480" i="20" s="1"/>
  <c r="AA478" i="20"/>
  <c r="AA477" i="20"/>
  <c r="AA476" i="20"/>
  <c r="AA475" i="20"/>
  <c r="AA474" i="20"/>
  <c r="AA473" i="20" s="1"/>
  <c r="AA471" i="20"/>
  <c r="AA470" i="20"/>
  <c r="AA469" i="20"/>
  <c r="AA468" i="20"/>
  <c r="AA467" i="20"/>
  <c r="AA466" i="20" s="1"/>
  <c r="AA464" i="20"/>
  <c r="AA463" i="20"/>
  <c r="AA462" i="20"/>
  <c r="AA461" i="20"/>
  <c r="AA460" i="20"/>
  <c r="AA459" i="20" s="1"/>
  <c r="AA457" i="20"/>
  <c r="AA456" i="20"/>
  <c r="AA455" i="20"/>
  <c r="AA454" i="20"/>
  <c r="AA453" i="20"/>
  <c r="AA452" i="20" s="1"/>
  <c r="AA450" i="20"/>
  <c r="AA449" i="20"/>
  <c r="AA448" i="20"/>
  <c r="AA447" i="20"/>
  <c r="AA446" i="20"/>
  <c r="AA445" i="20" s="1"/>
  <c r="AA443" i="20"/>
  <c r="AA442" i="20"/>
  <c r="AA441" i="20"/>
  <c r="AA440" i="20"/>
  <c r="AA439" i="20"/>
  <c r="AA438" i="20" s="1"/>
  <c r="AA436" i="20"/>
  <c r="AA435" i="20"/>
  <c r="AA434" i="20"/>
  <c r="AA433" i="20"/>
  <c r="AA432" i="20"/>
  <c r="AA431" i="20" s="1"/>
  <c r="AA429" i="20"/>
  <c r="AA428" i="20"/>
  <c r="AA427" i="20"/>
  <c r="AA426" i="20"/>
  <c r="AA425" i="20"/>
  <c r="AA424" i="20" s="1"/>
  <c r="AA422" i="20"/>
  <c r="AA421" i="20"/>
  <c r="AA420" i="20"/>
  <c r="AA419" i="20"/>
  <c r="AA418" i="20"/>
  <c r="AA417" i="20" s="1"/>
  <c r="AA415" i="20"/>
  <c r="AA414" i="20"/>
  <c r="AA413" i="20"/>
  <c r="AA412" i="20"/>
  <c r="AA411" i="20"/>
  <c r="AA410" i="20" s="1"/>
  <c r="AA408" i="20"/>
  <c r="AA407" i="20"/>
  <c r="AA406" i="20"/>
  <c r="AA405" i="20"/>
  <c r="AA404" i="20"/>
  <c r="AA403" i="20" s="1"/>
  <c r="AA401" i="20"/>
  <c r="AA400" i="20"/>
  <c r="AA399" i="20"/>
  <c r="AA398" i="20"/>
  <c r="AA397" i="20"/>
  <c r="AA396" i="20" s="1"/>
  <c r="AA394" i="20"/>
  <c r="AA393" i="20"/>
  <c r="AA392" i="20"/>
  <c r="AA391" i="20"/>
  <c r="AA390" i="20"/>
  <c r="AA389" i="20" s="1"/>
  <c r="AA387" i="20"/>
  <c r="AA386" i="20"/>
  <c r="AA385" i="20"/>
  <c r="AA384" i="20"/>
  <c r="AA383" i="20"/>
  <c r="AA382" i="20" s="1"/>
  <c r="AA380" i="20"/>
  <c r="AA379" i="20"/>
  <c r="AA378" i="20"/>
  <c r="AA377" i="20"/>
  <c r="AA376" i="20"/>
  <c r="AA375" i="20" s="1"/>
  <c r="AA373" i="20"/>
  <c r="AA372" i="20"/>
  <c r="AA371" i="20"/>
  <c r="AA370" i="20"/>
  <c r="AA369" i="20"/>
  <c r="AA368" i="20" s="1"/>
  <c r="AA366" i="20"/>
  <c r="AA365" i="20"/>
  <c r="AA364" i="20"/>
  <c r="AA363" i="20"/>
  <c r="AA362" i="20"/>
  <c r="AA361" i="20" s="1"/>
  <c r="AA359" i="20"/>
  <c r="AA358" i="20"/>
  <c r="AA357" i="20"/>
  <c r="AA356" i="20"/>
  <c r="AA355" i="20"/>
  <c r="AA354" i="20" s="1"/>
  <c r="AA352" i="20"/>
  <c r="AA351" i="20"/>
  <c r="AA350" i="20"/>
  <c r="AA349" i="20"/>
  <c r="AA348" i="20"/>
  <c r="AA347" i="20" s="1"/>
  <c r="AA345" i="20"/>
  <c r="AA344" i="20"/>
  <c r="AA343" i="20"/>
  <c r="AA342" i="20"/>
  <c r="AA341" i="20"/>
  <c r="AA340" i="20" s="1"/>
  <c r="AA338" i="20"/>
  <c r="AA337" i="20"/>
  <c r="AA336" i="20"/>
  <c r="AA335" i="20"/>
  <c r="AA334" i="20"/>
  <c r="AA333" i="20" s="1"/>
  <c r="AA331" i="20"/>
  <c r="AA330" i="20"/>
  <c r="AA329" i="20"/>
  <c r="AA328" i="20"/>
  <c r="AA327" i="20"/>
  <c r="AA326" i="20" s="1"/>
  <c r="AA324" i="20"/>
  <c r="AA323" i="20"/>
  <c r="AA322" i="20"/>
  <c r="AA321" i="20"/>
  <c r="AA320" i="20"/>
  <c r="AA319" i="20" s="1"/>
  <c r="AA317" i="20"/>
  <c r="AA316" i="20"/>
  <c r="AA315" i="20"/>
  <c r="AA314" i="20"/>
  <c r="AA313" i="20"/>
  <c r="AA312" i="20" s="1"/>
  <c r="AA310" i="20"/>
  <c r="AA309" i="20"/>
  <c r="AA308" i="20"/>
  <c r="AA307" i="20"/>
  <c r="AA306" i="20"/>
  <c r="AA305" i="20" s="1"/>
  <c r="AA303" i="20"/>
  <c r="AA302" i="20"/>
  <c r="AA301" i="20"/>
  <c r="AA300" i="20"/>
  <c r="AA299" i="20"/>
  <c r="AA298" i="20" s="1"/>
  <c r="AA296" i="20"/>
  <c r="AA295" i="20"/>
  <c r="AA294" i="20"/>
  <c r="AA293" i="20"/>
  <c r="AA292" i="20"/>
  <c r="AA291" i="20" s="1"/>
  <c r="AA289" i="20"/>
  <c r="AA288" i="20"/>
  <c r="AA287" i="20"/>
  <c r="AA286" i="20"/>
  <c r="AA285" i="20"/>
  <c r="AA284" i="20" s="1"/>
  <c r="AA282" i="20"/>
  <c r="AA281" i="20"/>
  <c r="AA280" i="20"/>
  <c r="AA279" i="20"/>
  <c r="AA278" i="20"/>
  <c r="AA277" i="20" s="1"/>
  <c r="AA275" i="20"/>
  <c r="AA274" i="20"/>
  <c r="AA273" i="20"/>
  <c r="AA272" i="20"/>
  <c r="AA271" i="20"/>
  <c r="AA270" i="20" s="1"/>
  <c r="AA268" i="20"/>
  <c r="AA267" i="20"/>
  <c r="AA266" i="20"/>
  <c r="AA265" i="20"/>
  <c r="AA264" i="20"/>
  <c r="AA263" i="20" s="1"/>
  <c r="AA261" i="20"/>
  <c r="AA260" i="20"/>
  <c r="AA259" i="20"/>
  <c r="AA258" i="20"/>
  <c r="AA257" i="20"/>
  <c r="AA256" i="20" s="1"/>
  <c r="AA254" i="20"/>
  <c r="AA253" i="20"/>
  <c r="AA252" i="20"/>
  <c r="AA251" i="20"/>
  <c r="AA250" i="20"/>
  <c r="AA249" i="20" s="1"/>
  <c r="AA247" i="20"/>
  <c r="AA246" i="20"/>
  <c r="AA245" i="20"/>
  <c r="AA244" i="20"/>
  <c r="AA243" i="20"/>
  <c r="AA242" i="20" s="1"/>
  <c r="AA240" i="20"/>
  <c r="AA239" i="20"/>
  <c r="AA238" i="20"/>
  <c r="AA237" i="20"/>
  <c r="AA236" i="20"/>
  <c r="AA235" i="20" s="1"/>
  <c r="AA233" i="20"/>
  <c r="AA232" i="20"/>
  <c r="AA231" i="20"/>
  <c r="AA230" i="20"/>
  <c r="AA229" i="20"/>
  <c r="AA228" i="20" s="1"/>
  <c r="AA226" i="20"/>
  <c r="AA225" i="20"/>
  <c r="AA224" i="20"/>
  <c r="AA223" i="20"/>
  <c r="AA222" i="20"/>
  <c r="AA221" i="20" s="1"/>
  <c r="AA219" i="20"/>
  <c r="AA218" i="20"/>
  <c r="AA217" i="20"/>
  <c r="AA216" i="20"/>
  <c r="AA215" i="20"/>
  <c r="AA214" i="20" s="1"/>
  <c r="AA212" i="20"/>
  <c r="AA211" i="20"/>
  <c r="AA210" i="20"/>
  <c r="AA209" i="20"/>
  <c r="AA208" i="20"/>
  <c r="AA207" i="20" s="1"/>
  <c r="AA205" i="20"/>
  <c r="AA204" i="20"/>
  <c r="AA203" i="20"/>
  <c r="AA202" i="20"/>
  <c r="AA201" i="20"/>
  <c r="AA200" i="20" s="1"/>
  <c r="AA198" i="20"/>
  <c r="AA197" i="20"/>
  <c r="AA196" i="20"/>
  <c r="AA195" i="20"/>
  <c r="AA194" i="20"/>
  <c r="AA193" i="20" s="1"/>
  <c r="AA191" i="20"/>
  <c r="AA190" i="20"/>
  <c r="AA189" i="20"/>
  <c r="AA188" i="20"/>
  <c r="AA187" i="20"/>
  <c r="AA186" i="20" s="1"/>
  <c r="AA184" i="20"/>
  <c r="AA183" i="20"/>
  <c r="AA182" i="20"/>
  <c r="AA181" i="20"/>
  <c r="AA180" i="20"/>
  <c r="AA179" i="20" s="1"/>
  <c r="AA177" i="20"/>
  <c r="AA176" i="20"/>
  <c r="AA175" i="20"/>
  <c r="AA174" i="20"/>
  <c r="AA173" i="20"/>
  <c r="AA172" i="20" s="1"/>
  <c r="AA170" i="20"/>
  <c r="AA169" i="20"/>
  <c r="AA168" i="20"/>
  <c r="AA167" i="20"/>
  <c r="AA166" i="20"/>
  <c r="AA165" i="20" s="1"/>
  <c r="AA163" i="20"/>
  <c r="AA162" i="20"/>
  <c r="AA161" i="20"/>
  <c r="AA160" i="20"/>
  <c r="AA159" i="20"/>
  <c r="AA158" i="20" s="1"/>
  <c r="AA156" i="20"/>
  <c r="AA155" i="20"/>
  <c r="AA154" i="20"/>
  <c r="AA153" i="20"/>
  <c r="AA152" i="20"/>
  <c r="AA151" i="20" s="1"/>
  <c r="AA149" i="20"/>
  <c r="AA148" i="20"/>
  <c r="AA147" i="20"/>
  <c r="AA146" i="20"/>
  <c r="AA145" i="20"/>
  <c r="AA144" i="20" s="1"/>
  <c r="AA142" i="20"/>
  <c r="AA141" i="20"/>
  <c r="AA140" i="20"/>
  <c r="AA139" i="20"/>
  <c r="AA138" i="20"/>
  <c r="AA137" i="20" s="1"/>
  <c r="AA135" i="20"/>
  <c r="AA134" i="20"/>
  <c r="AA133" i="20"/>
  <c r="AA132" i="20"/>
  <c r="AA131" i="20"/>
  <c r="AA130" i="20" s="1"/>
  <c r="AA128" i="20"/>
  <c r="AA127" i="20"/>
  <c r="AA126" i="20"/>
  <c r="AA125" i="20"/>
  <c r="AA124" i="20"/>
  <c r="AA123" i="20" s="1"/>
  <c r="AA121" i="20"/>
  <c r="AA120" i="20"/>
  <c r="AA119" i="20"/>
  <c r="AA118" i="20"/>
  <c r="AA117" i="20"/>
  <c r="AA116" i="20" s="1"/>
  <c r="AA114" i="20"/>
  <c r="AA113" i="20"/>
  <c r="AA112" i="20"/>
  <c r="AA111" i="20"/>
  <c r="AA110" i="20"/>
  <c r="AA109" i="20" s="1"/>
  <c r="AA107" i="20"/>
  <c r="AA106" i="20"/>
  <c r="AA105" i="20"/>
  <c r="AA104" i="20"/>
  <c r="AA103" i="20"/>
  <c r="AA102" i="20" s="1"/>
  <c r="AA100" i="20"/>
  <c r="AA99" i="20"/>
  <c r="AA98" i="20"/>
  <c r="AA97" i="20"/>
  <c r="AA96" i="20"/>
  <c r="AA95" i="20" s="1"/>
  <c r="AA93" i="20"/>
  <c r="AA92" i="20"/>
  <c r="AA91" i="20"/>
  <c r="AA90" i="20"/>
  <c r="AA89" i="20"/>
  <c r="AA88" i="20" s="1"/>
  <c r="AA86" i="20"/>
  <c r="AA85" i="20"/>
  <c r="AA84" i="20"/>
  <c r="AA83" i="20"/>
  <c r="AA82" i="20"/>
  <c r="AA81" i="20" s="1"/>
  <c r="AA79" i="20"/>
  <c r="AA78" i="20"/>
  <c r="AA77" i="20"/>
  <c r="AA76" i="20"/>
  <c r="AA75" i="20"/>
  <c r="AA74" i="20" s="1"/>
  <c r="AA72" i="20"/>
  <c r="AA71" i="20"/>
  <c r="AA70" i="20"/>
  <c r="AA69" i="20"/>
  <c r="AA68" i="20"/>
  <c r="AA67" i="20" s="1"/>
  <c r="AA65" i="20"/>
  <c r="AA64" i="20"/>
  <c r="AA63" i="20"/>
  <c r="AA62" i="20"/>
  <c r="AA61" i="20"/>
  <c r="AA60" i="20" s="1"/>
  <c r="AA58" i="20"/>
  <c r="AA57" i="20"/>
  <c r="AA56" i="20"/>
  <c r="AA55" i="20"/>
  <c r="AA54" i="20"/>
  <c r="AA53" i="20" s="1"/>
  <c r="AA51" i="20"/>
  <c r="AA50" i="20"/>
  <c r="AA49" i="20"/>
  <c r="AA48" i="20"/>
  <c r="AA47" i="20"/>
  <c r="AA46" i="20" s="1"/>
  <c r="AA44" i="20"/>
  <c r="AA43" i="20"/>
  <c r="AA42" i="20"/>
  <c r="AA41" i="20"/>
  <c r="AA40" i="20"/>
  <c r="AA39" i="20" s="1"/>
  <c r="AA37" i="20"/>
  <c r="AA36" i="20"/>
  <c r="AA35" i="20"/>
  <c r="AA34" i="20"/>
  <c r="AA33" i="20"/>
  <c r="AA32" i="20" s="1"/>
  <c r="AA30" i="20"/>
  <c r="AA29" i="20"/>
  <c r="AA28" i="20"/>
  <c r="AA27" i="20"/>
  <c r="AA26" i="20"/>
  <c r="AA25" i="20" s="1"/>
  <c r="AA23" i="20"/>
  <c r="AA22" i="20"/>
  <c r="AA21" i="20"/>
  <c r="AA20" i="20"/>
  <c r="AA19" i="20"/>
  <c r="AA18" i="20" s="1"/>
  <c r="AA16" i="20"/>
  <c r="AA15" i="20"/>
  <c r="AA14" i="20"/>
  <c r="AA13" i="20"/>
  <c r="AA12" i="20"/>
  <c r="AA11" i="20" s="1"/>
  <c r="AA9" i="20"/>
  <c r="AA8" i="20"/>
  <c r="AA7" i="20"/>
  <c r="AA6" i="20"/>
  <c r="AA5" i="20"/>
  <c r="AA1619" i="20"/>
  <c r="AA1618" i="20"/>
  <c r="AA1617" i="20"/>
  <c r="AA1616" i="20"/>
  <c r="AA1615" i="20"/>
  <c r="AA1614" i="20" s="1"/>
  <c r="AA1612" i="20"/>
  <c r="AA1611" i="20"/>
  <c r="AA1610" i="20"/>
  <c r="AA1609" i="20"/>
  <c r="AA1608" i="20"/>
  <c r="AA1607" i="20" s="1"/>
  <c r="AA1605" i="20"/>
  <c r="AA1604" i="20"/>
  <c r="AA1603" i="20"/>
  <c r="AA1602" i="20"/>
  <c r="AA1601" i="20"/>
  <c r="AA1600" i="20" s="1"/>
  <c r="AA1598" i="20"/>
  <c r="AA1597" i="20"/>
  <c r="AA1596" i="20"/>
  <c r="AA1595" i="20"/>
  <c r="AA1594" i="20"/>
  <c r="AA1593" i="20" s="1"/>
  <c r="AA1591" i="20"/>
  <c r="AA1590" i="20"/>
  <c r="AA1589" i="20"/>
  <c r="AA1588" i="20"/>
  <c r="AA1587" i="20"/>
  <c r="AA1586" i="20" s="1"/>
  <c r="AA1584" i="20"/>
  <c r="AA1583" i="20"/>
  <c r="AA1582" i="20"/>
  <c r="AA1581" i="20"/>
  <c r="AA1580" i="20"/>
  <c r="AA1579" i="20" s="1"/>
  <c r="AA1577" i="20"/>
  <c r="AA1576" i="20"/>
  <c r="AA1575" i="20"/>
  <c r="AA1574" i="20"/>
  <c r="AA1573" i="20"/>
  <c r="AA1572" i="20" s="1"/>
  <c r="AA1570" i="20"/>
  <c r="AA1569" i="20"/>
  <c r="AA1568" i="20"/>
  <c r="AA1567" i="20"/>
  <c r="AA1566" i="20"/>
  <c r="AA1565" i="20" s="1"/>
  <c r="AA1563" i="20"/>
  <c r="AA1562" i="20"/>
  <c r="AA1561" i="20"/>
  <c r="AA1560" i="20"/>
  <c r="AA1559" i="20"/>
  <c r="AA1558" i="20" s="1"/>
  <c r="AA1556" i="20"/>
  <c r="AA1555" i="20"/>
  <c r="AA1554" i="20"/>
  <c r="AA1553" i="20"/>
  <c r="AA1552" i="20"/>
  <c r="AA1551" i="20" s="1"/>
  <c r="AA1549" i="20"/>
  <c r="AA1548" i="20"/>
  <c r="AA1547" i="20"/>
  <c r="AA1546" i="20"/>
  <c r="AA1545" i="20"/>
  <c r="AA1544" i="20" s="1"/>
  <c r="AA1542" i="20"/>
  <c r="AA1541" i="20"/>
  <c r="AA1540" i="20"/>
  <c r="AA1539" i="20"/>
  <c r="AA1538" i="20"/>
  <c r="AA1537" i="20" s="1"/>
  <c r="AA1535" i="20"/>
  <c r="AA1534" i="20"/>
  <c r="AA1533" i="20"/>
  <c r="AA1532" i="20"/>
  <c r="AA1531" i="20"/>
  <c r="AA1530" i="20" s="1"/>
  <c r="AA1528" i="20"/>
  <c r="AA1527" i="20"/>
  <c r="AA1526" i="20"/>
  <c r="AA1525" i="20"/>
  <c r="AA1524" i="20"/>
  <c r="AA1523" i="20" s="1"/>
  <c r="AA1521" i="20"/>
  <c r="AA1520" i="20"/>
  <c r="AA1519" i="20"/>
  <c r="AA1518" i="20"/>
  <c r="AA1517" i="20"/>
  <c r="AA1516" i="20" s="1"/>
  <c r="AA1514" i="20"/>
  <c r="AA1513" i="20"/>
  <c r="AA1512" i="20"/>
  <c r="AA1511" i="20"/>
  <c r="AA1510" i="20"/>
  <c r="AA1509" i="20" s="1"/>
  <c r="AA1507" i="20"/>
  <c r="AA1506" i="20"/>
  <c r="AA1505" i="20"/>
  <c r="AA1504" i="20"/>
  <c r="AA1503" i="20"/>
  <c r="AA1502" i="20" s="1"/>
  <c r="AA1500" i="20"/>
  <c r="AA1499" i="20"/>
  <c r="AA1498" i="20"/>
  <c r="AA1497" i="20"/>
  <c r="AA1496" i="20"/>
  <c r="AA1495" i="20" s="1"/>
  <c r="AA1493" i="20"/>
  <c r="AA1492" i="20"/>
  <c r="AA1491" i="20"/>
  <c r="AA1490" i="20"/>
  <c r="AA1489" i="20"/>
  <c r="AA1488" i="20" s="1"/>
  <c r="AA1486" i="20"/>
  <c r="AA1485" i="20"/>
  <c r="AA1484" i="20"/>
  <c r="AA1483" i="20"/>
  <c r="AA1482" i="20"/>
  <c r="AA1481" i="20" s="1"/>
  <c r="AA1479" i="20"/>
  <c r="AA1478" i="20"/>
  <c r="AA1477" i="20"/>
  <c r="AA1476" i="20"/>
  <c r="AA1475" i="20"/>
  <c r="AA1474" i="20" s="1"/>
  <c r="AA1472" i="20"/>
  <c r="AA1471" i="20"/>
  <c r="AA1470" i="20"/>
  <c r="AA1469" i="20"/>
  <c r="AA1468" i="20"/>
  <c r="AA1467" i="20" s="1"/>
  <c r="AA1465" i="20"/>
  <c r="AA1464" i="20"/>
  <c r="AA1463" i="20"/>
  <c r="AA1462" i="20"/>
  <c r="AA1461" i="20"/>
  <c r="AA1460" i="20" s="1"/>
  <c r="AA1458" i="20"/>
  <c r="AA1457" i="20"/>
  <c r="AA1456" i="20"/>
  <c r="AA1455" i="20"/>
  <c r="AA1454" i="20"/>
  <c r="AA1453" i="20" s="1"/>
  <c r="AA1451" i="20"/>
  <c r="AA1450" i="20"/>
  <c r="AA1449" i="20"/>
  <c r="AA1448" i="20"/>
  <c r="AA1447" i="20"/>
  <c r="AA1446" i="20" s="1"/>
  <c r="AA1444" i="20"/>
  <c r="AA1443" i="20"/>
  <c r="AA1442" i="20"/>
  <c r="AA1441" i="20"/>
  <c r="AA1440" i="20"/>
  <c r="AA1439" i="20" s="1"/>
  <c r="AA1437" i="20"/>
  <c r="AA1436" i="20"/>
  <c r="AA1435" i="20"/>
  <c r="AA1434" i="20"/>
  <c r="AA1433" i="20"/>
  <c r="AA1432" i="20" s="1"/>
  <c r="AA1430" i="20"/>
  <c r="AA1429" i="20"/>
  <c r="AA1428" i="20"/>
  <c r="AA1427" i="20"/>
  <c r="AA1426" i="20"/>
  <c r="AA1425" i="20" s="1"/>
  <c r="AA1423" i="20"/>
  <c r="AA1422" i="20"/>
  <c r="AA1421" i="20"/>
  <c r="AA1420" i="20"/>
  <c r="AA1419" i="20"/>
  <c r="AA1418" i="20" s="1"/>
  <c r="AA1416" i="20"/>
  <c r="AA1415" i="20"/>
  <c r="AA1414" i="20"/>
  <c r="AA1413" i="20"/>
  <c r="AA1412" i="20"/>
  <c r="AA1411" i="20" s="1"/>
  <c r="AA1409" i="20"/>
  <c r="AA1408" i="20"/>
  <c r="AA1407" i="20"/>
  <c r="AA1406" i="20"/>
  <c r="AA1405" i="20"/>
  <c r="AA1404" i="20" s="1"/>
  <c r="AA1402" i="20"/>
  <c r="AA1401" i="20"/>
  <c r="AA1400" i="20"/>
  <c r="AA1399" i="20"/>
  <c r="AA1398" i="20"/>
  <c r="AA1397" i="20" s="1"/>
  <c r="AA1395" i="20"/>
  <c r="AA1394" i="20"/>
  <c r="AA1393" i="20"/>
  <c r="AA1392" i="20"/>
  <c r="AA1391" i="20"/>
  <c r="AA1390" i="20" s="1"/>
  <c r="AA1388" i="20"/>
  <c r="AA1387" i="20"/>
  <c r="AA1386" i="20"/>
  <c r="AA1385" i="20"/>
  <c r="AA1384" i="20"/>
  <c r="AA1383" i="20" s="1"/>
  <c r="AA1381" i="20"/>
  <c r="AA1380" i="20"/>
  <c r="AA1379" i="20"/>
  <c r="AA1378" i="20"/>
  <c r="AA1377" i="20"/>
  <c r="AA1376" i="20" s="1"/>
  <c r="AA1374" i="20"/>
  <c r="AA1373" i="20"/>
  <c r="AA1372" i="20"/>
  <c r="AA1371" i="20"/>
  <c r="AA1370" i="20"/>
  <c r="AA1369" i="20" s="1"/>
  <c r="AA1367" i="20"/>
  <c r="AA1366" i="20"/>
  <c r="AA1365" i="20"/>
  <c r="AA1364" i="20"/>
  <c r="AA1363" i="20"/>
  <c r="AA1362" i="20" s="1"/>
  <c r="AA1360" i="20"/>
  <c r="AA1359" i="20"/>
  <c r="AA1358" i="20"/>
  <c r="AA1357" i="20"/>
  <c r="AA1356" i="20"/>
  <c r="AA1355" i="20" s="1"/>
  <c r="AA1353" i="20"/>
  <c r="AA1352" i="20"/>
  <c r="AA1351" i="20"/>
  <c r="AA1350" i="20"/>
  <c r="AA1349" i="20"/>
  <c r="AA1348" i="20" s="1"/>
  <c r="AA1346" i="20"/>
  <c r="AA1345" i="20"/>
  <c r="AA1344" i="20"/>
  <c r="AA1343" i="20"/>
  <c r="AA1342" i="20"/>
  <c r="AA1341" i="20" s="1"/>
  <c r="AA1339" i="20"/>
  <c r="AA1338" i="20"/>
  <c r="AA1337" i="20"/>
  <c r="AA1336" i="20"/>
  <c r="AA1335" i="20"/>
  <c r="AA1334" i="20" s="1"/>
  <c r="AA1332" i="20"/>
  <c r="AA1331" i="20"/>
  <c r="AA1330" i="20"/>
  <c r="AA1329" i="20"/>
  <c r="AA1328" i="20"/>
  <c r="AA1327" i="20" s="1"/>
  <c r="AA1325" i="20"/>
  <c r="AA1324" i="20"/>
  <c r="AA1323" i="20"/>
  <c r="AA1322" i="20"/>
  <c r="AA1321" i="20"/>
  <c r="AA1320" i="20" s="1"/>
  <c r="AA1318" i="20"/>
  <c r="AA1317" i="20"/>
  <c r="AA1316" i="20"/>
  <c r="AA1315" i="20"/>
  <c r="AA1314" i="20"/>
  <c r="AA1313" i="20" s="1"/>
  <c r="AA1311" i="20"/>
  <c r="AA1310" i="20"/>
  <c r="AA1309" i="20"/>
  <c r="AA1308" i="20"/>
  <c r="AA1307" i="20"/>
  <c r="AA1306" i="20" s="1"/>
  <c r="AA1304" i="20"/>
  <c r="AA1303" i="20"/>
  <c r="AA1302" i="20"/>
  <c r="AA1301" i="20"/>
  <c r="AA1300" i="20"/>
  <c r="AA1299" i="20" s="1"/>
  <c r="AA1297" i="20"/>
  <c r="AA1296" i="20"/>
  <c r="AA1295" i="20"/>
  <c r="AA1294" i="20"/>
  <c r="AA1293" i="20"/>
  <c r="AA1292" i="20" s="1"/>
  <c r="AA1290" i="20"/>
  <c r="AA1289" i="20"/>
  <c r="AA1288" i="20"/>
  <c r="AA1287" i="20"/>
  <c r="AA1286" i="20"/>
  <c r="AA1285" i="20" s="1"/>
  <c r="AA1283" i="20"/>
  <c r="AA1282" i="20"/>
  <c r="AA1281" i="20"/>
  <c r="AA1280" i="20"/>
  <c r="AA1279" i="20"/>
  <c r="AA1278" i="20" s="1"/>
  <c r="AA1276" i="20"/>
  <c r="AA1275" i="20"/>
  <c r="AA1274" i="20"/>
  <c r="AA1273" i="20"/>
  <c r="AA1272" i="20"/>
  <c r="AA1271" i="20" s="1"/>
  <c r="AA1269" i="20"/>
  <c r="AA1268" i="20"/>
  <c r="AA1267" i="20"/>
  <c r="AA1266" i="20"/>
  <c r="AA1265" i="20"/>
  <c r="AA1264" i="20" s="1"/>
  <c r="AA1262" i="20"/>
  <c r="AA1261" i="20"/>
  <c r="AA1260" i="20"/>
  <c r="AA1259" i="20"/>
  <c r="AA1258" i="20"/>
  <c r="AA1257" i="20" s="1"/>
  <c r="AA1255" i="20"/>
  <c r="AA1254" i="20"/>
  <c r="AA1253" i="20"/>
  <c r="AA1252" i="20"/>
  <c r="AA1251" i="20"/>
  <c r="AA1250" i="20" s="1"/>
  <c r="AA1248" i="20"/>
  <c r="AA1247" i="20"/>
  <c r="AA1246" i="20"/>
  <c r="AA1245" i="20"/>
  <c r="AA1244" i="20"/>
  <c r="AA1243" i="20" s="1"/>
  <c r="AA1241" i="20"/>
  <c r="AA1240" i="20"/>
  <c r="AA1239" i="20"/>
  <c r="AA1238" i="20"/>
  <c r="AA1237" i="20"/>
  <c r="AA1236" i="20" s="1"/>
  <c r="AA1234" i="20"/>
  <c r="AA1233" i="20"/>
  <c r="AA1232" i="20"/>
  <c r="AA1231" i="20"/>
  <c r="AA1230" i="20"/>
  <c r="AA1229" i="20" s="1"/>
  <c r="AA1227" i="20"/>
  <c r="AA1226" i="20"/>
  <c r="AA1225" i="20"/>
  <c r="AA1224" i="20"/>
  <c r="AA1223" i="20"/>
  <c r="AA1222" i="20" s="1"/>
  <c r="AA1220" i="20"/>
  <c r="AA1219" i="20"/>
  <c r="AA1218" i="20"/>
  <c r="AA1217" i="20"/>
  <c r="AA1216" i="20"/>
  <c r="AA1215" i="20" s="1"/>
  <c r="AA1213" i="20"/>
  <c r="AA1212" i="20"/>
  <c r="AA1211" i="20"/>
  <c r="AA1210" i="20"/>
  <c r="AA1209" i="20"/>
  <c r="AA1208" i="20" s="1"/>
  <c r="AA1206" i="20"/>
  <c r="AA1205" i="20"/>
  <c r="AA1204" i="20"/>
  <c r="AA1203" i="20"/>
  <c r="AA1202" i="20"/>
  <c r="AA1201" i="20" s="1"/>
  <c r="AA1199" i="20"/>
  <c r="AA1198" i="20"/>
  <c r="AA1197" i="20"/>
  <c r="AA1196" i="20"/>
  <c r="AA1195" i="20"/>
  <c r="AA1194" i="20" s="1"/>
  <c r="AA1192" i="20"/>
  <c r="AA1191" i="20"/>
  <c r="AA1190" i="20"/>
  <c r="AA1189" i="20"/>
  <c r="AA1188" i="20"/>
  <c r="AA1187" i="20" s="1"/>
  <c r="AA1185" i="20"/>
  <c r="AA1184" i="20"/>
  <c r="AA1183" i="20"/>
  <c r="AA1182" i="20"/>
  <c r="AA1181" i="20"/>
  <c r="AA1180" i="20" s="1"/>
  <c r="AA1178" i="20"/>
  <c r="AA1177" i="20"/>
  <c r="AA1176" i="20"/>
  <c r="AA1175" i="20"/>
  <c r="AA1174" i="20"/>
  <c r="AA1173" i="20" s="1"/>
  <c r="AA1171" i="20"/>
  <c r="AA1170" i="20"/>
  <c r="AA1169" i="20"/>
  <c r="AA1168" i="20"/>
  <c r="AA1167" i="20"/>
  <c r="AA1166" i="20" s="1"/>
  <c r="AA1164" i="20"/>
  <c r="AA1163" i="20"/>
  <c r="AA1162" i="20"/>
  <c r="AA1161" i="20"/>
  <c r="AA1160" i="20"/>
  <c r="AA1159" i="20" s="1"/>
  <c r="AA1157" i="20"/>
  <c r="AA1156" i="20"/>
  <c r="AA1155" i="20"/>
  <c r="AA1154" i="20"/>
  <c r="AA1153" i="20"/>
  <c r="AA1152" i="20" s="1"/>
  <c r="AA1150" i="20"/>
  <c r="AA1149" i="20"/>
  <c r="AA1148" i="20"/>
  <c r="AA1147" i="20"/>
  <c r="AA1146" i="20"/>
  <c r="AA1145" i="20" s="1"/>
  <c r="AA1143" i="20"/>
  <c r="AA1142" i="20"/>
  <c r="AA1141" i="20"/>
  <c r="AA1140" i="20"/>
  <c r="AA1139" i="20"/>
  <c r="AA1138" i="20" s="1"/>
  <c r="AA1136" i="20"/>
  <c r="AA1135" i="20"/>
  <c r="AA1134" i="20"/>
  <c r="AA1133" i="20"/>
  <c r="AA1132" i="20"/>
  <c r="AA1131" i="20" s="1"/>
  <c r="AA1129" i="20"/>
  <c r="AA1128" i="20"/>
  <c r="AA1127" i="20"/>
  <c r="AA1126" i="20"/>
  <c r="AA1125" i="20"/>
  <c r="AA1124" i="20" s="1"/>
  <c r="AA1122" i="20"/>
  <c r="AA1121" i="20"/>
  <c r="AA1120" i="20"/>
  <c r="AA1119" i="20"/>
  <c r="AA1118" i="20"/>
  <c r="AA1117" i="20" s="1"/>
  <c r="AA1115" i="20"/>
  <c r="AA1114" i="20"/>
  <c r="AA1113" i="20"/>
  <c r="AA1112" i="20"/>
  <c r="AA1111" i="20"/>
  <c r="AA1110" i="20" s="1"/>
  <c r="AA1108" i="20"/>
  <c r="AA1107" i="20"/>
  <c r="AA1106" i="20"/>
  <c r="AA1105" i="20"/>
  <c r="AA1104" i="20"/>
  <c r="AA1103" i="20" s="1"/>
  <c r="AA1101" i="20"/>
  <c r="AA1100" i="20"/>
  <c r="AA1099" i="20"/>
  <c r="AA1098" i="20"/>
  <c r="AA1097" i="20"/>
  <c r="AA1096" i="20" s="1"/>
  <c r="AA1094" i="20"/>
  <c r="AA1093" i="20"/>
  <c r="AA1092" i="20"/>
  <c r="AA1091" i="20"/>
  <c r="AA1090" i="20"/>
  <c r="AA1089" i="20" s="1"/>
  <c r="AA1087" i="20"/>
  <c r="AA1086" i="20"/>
  <c r="AA1085" i="20"/>
  <c r="AA1084" i="20"/>
  <c r="AA1083" i="20"/>
  <c r="AA1082" i="20" s="1"/>
  <c r="AA1080" i="20"/>
  <c r="AA1079" i="20"/>
  <c r="AA1078" i="20"/>
  <c r="AA1077" i="20"/>
  <c r="AA1076" i="20"/>
  <c r="AA1075" i="20" s="1"/>
  <c r="AA1073" i="20"/>
  <c r="AA1072" i="20"/>
  <c r="AA1071" i="20"/>
  <c r="AA1070" i="20"/>
  <c r="AA1069" i="20"/>
  <c r="AA1068" i="20" s="1"/>
  <c r="AA1066" i="20"/>
  <c r="AA1065" i="20"/>
  <c r="AA1064" i="20"/>
  <c r="AA1063" i="20"/>
  <c r="AA1062" i="20"/>
  <c r="AA1061" i="20" s="1"/>
  <c r="AA1059" i="20"/>
  <c r="AA1058" i="20"/>
  <c r="AA1057" i="20"/>
  <c r="AA1056" i="20"/>
  <c r="AA1055" i="20"/>
  <c r="AA1054" i="20" s="1"/>
  <c r="AA1052" i="20"/>
  <c r="AA1051" i="20"/>
  <c r="AA1050" i="20"/>
  <c r="AA1049" i="20"/>
  <c r="AA1048" i="20"/>
  <c r="AA1047" i="20" s="1"/>
  <c r="AA1045" i="20"/>
  <c r="AA1044" i="20"/>
  <c r="AA1043" i="20"/>
  <c r="AA1042" i="20"/>
  <c r="AA1041" i="20"/>
  <c r="AA1040" i="20" s="1"/>
  <c r="AA1038" i="20"/>
  <c r="AA1037" i="20"/>
  <c r="AA1036" i="20"/>
  <c r="AA1035" i="20"/>
  <c r="AA1034" i="20"/>
  <c r="AA1033" i="20" s="1"/>
  <c r="AA1031" i="20"/>
  <c r="AA1030" i="20"/>
  <c r="AA1029" i="20"/>
  <c r="AA1028" i="20"/>
  <c r="AA1027" i="20"/>
  <c r="AA1026" i="20" s="1"/>
  <c r="AA1024" i="20"/>
  <c r="AA1023" i="20"/>
  <c r="AA1022" i="20"/>
  <c r="AA1021" i="20"/>
  <c r="AA1020" i="20"/>
  <c r="AA1019" i="20" s="1"/>
  <c r="AA1017" i="20"/>
  <c r="AA1016" i="20"/>
  <c r="AA1015" i="20"/>
  <c r="AA1014" i="20"/>
  <c r="AA1013" i="20"/>
  <c r="AA1012" i="20" s="1"/>
  <c r="AA1010" i="20"/>
  <c r="AA1009" i="20"/>
  <c r="AA1008" i="20"/>
  <c r="AA1007" i="20"/>
  <c r="AA1006" i="20"/>
  <c r="AA1005" i="20" s="1"/>
  <c r="AA1003" i="20"/>
  <c r="AA1002" i="20"/>
  <c r="AA1001" i="20"/>
  <c r="AA1000" i="20"/>
  <c r="AA999" i="20"/>
  <c r="AA998" i="20" s="1"/>
  <c r="AA996" i="20"/>
  <c r="Z1399" i="20"/>
  <c r="Z1184" i="20"/>
  <c r="Z1183" i="20"/>
  <c r="Z1182" i="20"/>
  <c r="Z1181" i="20"/>
  <c r="Z1178" i="20"/>
  <c r="Z1177" i="20"/>
  <c r="Z1176" i="20"/>
  <c r="Z1175" i="20"/>
  <c r="Z1174" i="20"/>
  <c r="Z1173" i="20" s="1"/>
  <c r="Z1171" i="20"/>
  <c r="Z1170" i="20"/>
  <c r="Z1169" i="20"/>
  <c r="Z1168" i="20"/>
  <c r="Z1167" i="20"/>
  <c r="Z1166" i="20" s="1"/>
  <c r="Z1164" i="20"/>
  <c r="Z1163" i="20"/>
  <c r="Z1162" i="20"/>
  <c r="Z1161" i="20"/>
  <c r="Z1160" i="20"/>
  <c r="Z1159" i="20" s="1"/>
  <c r="Z1157" i="20"/>
  <c r="Z1156" i="20"/>
  <c r="Z1155" i="20"/>
  <c r="Z1154" i="20"/>
  <c r="Z1153" i="20"/>
  <c r="Z1152" i="20" s="1"/>
  <c r="Z1150" i="20"/>
  <c r="Z1149" i="20"/>
  <c r="Z1148" i="20"/>
  <c r="Z1147" i="20"/>
  <c r="Z1146" i="20"/>
  <c r="Z1145" i="20" s="1"/>
  <c r="Z1143" i="20"/>
  <c r="Z1142" i="20"/>
  <c r="Z1141" i="20"/>
  <c r="Z1140" i="20"/>
  <c r="Z1139" i="20"/>
  <c r="Z1138" i="20" s="1"/>
  <c r="Z1136" i="20"/>
  <c r="Z1135" i="20"/>
  <c r="Z1134" i="20"/>
  <c r="Z1133" i="20"/>
  <c r="Z1132" i="20"/>
  <c r="Z1131" i="20" s="1"/>
  <c r="Z1129" i="20"/>
  <c r="Z1128" i="20"/>
  <c r="Z1127" i="20"/>
  <c r="Z1126" i="20"/>
  <c r="Z1125" i="20"/>
  <c r="Z1124" i="20" s="1"/>
  <c r="Z1122" i="20"/>
  <c r="Z1121" i="20"/>
  <c r="Z1120" i="20"/>
  <c r="Z1119" i="20"/>
  <c r="Z1118" i="20"/>
  <c r="Z1117" i="20" s="1"/>
  <c r="Z1115" i="20"/>
  <c r="Z1114" i="20"/>
  <c r="Z1113" i="20"/>
  <c r="Z1112" i="20"/>
  <c r="Z1111" i="20"/>
  <c r="Z1110" i="20" s="1"/>
  <c r="Z1108" i="20"/>
  <c r="Z1107" i="20"/>
  <c r="Z1106" i="20"/>
  <c r="Z1105" i="20"/>
  <c r="Z1104" i="20"/>
  <c r="Z1103" i="20" s="1"/>
  <c r="Z1101" i="20"/>
  <c r="Z1100" i="20"/>
  <c r="Z1099" i="20"/>
  <c r="Z1098" i="20"/>
  <c r="Z1097" i="20"/>
  <c r="Z1096" i="20" s="1"/>
  <c r="Z1094" i="20"/>
  <c r="Z1093" i="20"/>
  <c r="Z1092" i="20"/>
  <c r="Z1091" i="20"/>
  <c r="Z1090" i="20"/>
  <c r="Z1089" i="20" s="1"/>
  <c r="Z1087" i="20"/>
  <c r="Z1086" i="20"/>
  <c r="Z1085" i="20"/>
  <c r="Z1084" i="20"/>
  <c r="Z1083" i="20"/>
  <c r="Z1082" i="20" s="1"/>
  <c r="Z1080" i="20"/>
  <c r="Z1079" i="20"/>
  <c r="Z1078" i="20"/>
  <c r="Z1077" i="20"/>
  <c r="Z1076" i="20"/>
  <c r="Z1075" i="20" s="1"/>
  <c r="Z1073" i="20"/>
  <c r="Z1072" i="20"/>
  <c r="Z1071" i="20"/>
  <c r="Z1070" i="20"/>
  <c r="Z1069" i="20"/>
  <c r="Z1068" i="20" s="1"/>
  <c r="Z1066" i="20"/>
  <c r="Z1065" i="20"/>
  <c r="Z1064" i="20"/>
  <c r="Z1063" i="20"/>
  <c r="Z1062" i="20"/>
  <c r="Z1061" i="20" s="1"/>
  <c r="Z1059" i="20"/>
  <c r="Z1058" i="20"/>
  <c r="Z1057" i="20"/>
  <c r="Z1056" i="20"/>
  <c r="Z1055" i="20"/>
  <c r="Z1054" i="20" s="1"/>
  <c r="Z1052" i="20"/>
  <c r="Z1051" i="20"/>
  <c r="Z1050" i="20"/>
  <c r="Z1049" i="20"/>
  <c r="Z1048" i="20"/>
  <c r="Z1047" i="20" s="1"/>
  <c r="Z1045" i="20"/>
  <c r="Z1044" i="20"/>
  <c r="Z1043" i="20"/>
  <c r="Z1042" i="20"/>
  <c r="Z1041" i="20"/>
  <c r="Z1040" i="20" s="1"/>
  <c r="Z1038" i="20"/>
  <c r="Z1037" i="20"/>
  <c r="Z1036" i="20"/>
  <c r="Z1035" i="20"/>
  <c r="Z1034" i="20"/>
  <c r="Z1033" i="20" s="1"/>
  <c r="Z1031" i="20"/>
  <c r="Z1030" i="20"/>
  <c r="Z1029" i="20"/>
  <c r="Z1028" i="20"/>
  <c r="Z1027" i="20"/>
  <c r="Z1026" i="20" s="1"/>
  <c r="Z1024" i="20"/>
  <c r="Z1023" i="20"/>
  <c r="Z1022" i="20"/>
  <c r="Z1021" i="20"/>
  <c r="Z1020" i="20"/>
  <c r="Z1019" i="20" s="1"/>
  <c r="Z1017" i="20"/>
  <c r="Z1016" i="20"/>
  <c r="Z1015" i="20"/>
  <c r="Z1014" i="20"/>
  <c r="Z1013" i="20"/>
  <c r="Z1012" i="20" s="1"/>
  <c r="Z1010" i="20"/>
  <c r="Z1009" i="20"/>
  <c r="Z614" i="20"/>
  <c r="Z611" i="20"/>
  <c r="Z610" i="20"/>
  <c r="Z609" i="20"/>
  <c r="Z608" i="20"/>
  <c r="Z607" i="20"/>
  <c r="Z606" i="20" s="1"/>
  <c r="Z604" i="20"/>
  <c r="Z603" i="20"/>
  <c r="Z602" i="20"/>
  <c r="Z1008" i="20"/>
  <c r="Z1007" i="20"/>
  <c r="Z1006" i="20"/>
  <c r="Z1005" i="20" s="1"/>
  <c r="Z1003" i="20"/>
  <c r="Z1002" i="20"/>
  <c r="Z1001" i="20"/>
  <c r="Z1000" i="20"/>
  <c r="Z999" i="20"/>
  <c r="Z998" i="20" s="1"/>
  <c r="Z996" i="20"/>
  <c r="Z995" i="20"/>
  <c r="Z994" i="20"/>
  <c r="Z993" i="20"/>
  <c r="Z992" i="20"/>
  <c r="Z991" i="20" s="1"/>
  <c r="Z989" i="20"/>
  <c r="Z988" i="20"/>
  <c r="Z987" i="20"/>
  <c r="Z986" i="20"/>
  <c r="Z985" i="20"/>
  <c r="Z984" i="20" s="1"/>
  <c r="Z982" i="20"/>
  <c r="Z981" i="20"/>
  <c r="Z980" i="20"/>
  <c r="Z979" i="20"/>
  <c r="Z978" i="20"/>
  <c r="Z977" i="20" s="1"/>
  <c r="Z975" i="20"/>
  <c r="Z974" i="20"/>
  <c r="Z973" i="20"/>
  <c r="Z972" i="20"/>
  <c r="Z971" i="20"/>
  <c r="Z970" i="20" s="1"/>
  <c r="Z968" i="20"/>
  <c r="Z967" i="20"/>
  <c r="Z966" i="20"/>
  <c r="Z965" i="20"/>
  <c r="Z964" i="20"/>
  <c r="Z963" i="20" s="1"/>
  <c r="Z961" i="20"/>
  <c r="Z960" i="20"/>
  <c r="Z959" i="20"/>
  <c r="Z958" i="20"/>
  <c r="Z957" i="20"/>
  <c r="Z956" i="20" s="1"/>
  <c r="Z954" i="20"/>
  <c r="Z953" i="20"/>
  <c r="Z952" i="20"/>
  <c r="Z951" i="20"/>
  <c r="Z950" i="20"/>
  <c r="Z949" i="20" s="1"/>
  <c r="Z947" i="20"/>
  <c r="Z946" i="20"/>
  <c r="Z945" i="20"/>
  <c r="Z944" i="20"/>
  <c r="Z943" i="20"/>
  <c r="Z942" i="20" s="1"/>
  <c r="Z940" i="20"/>
  <c r="Z939" i="20"/>
  <c r="Z938" i="20"/>
  <c r="Z937" i="20"/>
  <c r="Z936" i="20"/>
  <c r="Z935" i="20" s="1"/>
  <c r="Z933" i="20"/>
  <c r="Z932" i="20"/>
  <c r="Z931" i="20"/>
  <c r="Z930" i="20"/>
  <c r="Z929" i="20"/>
  <c r="Z928" i="20" s="1"/>
  <c r="Z926" i="20"/>
  <c r="Z925" i="20"/>
  <c r="Z924" i="20"/>
  <c r="Z923" i="20"/>
  <c r="Z922" i="20"/>
  <c r="Z921" i="20" s="1"/>
  <c r="Z919" i="20"/>
  <c r="Z918" i="20"/>
  <c r="Z917" i="20"/>
  <c r="Z916" i="20"/>
  <c r="Z915" i="20"/>
  <c r="Z914" i="20" s="1"/>
  <c r="Z912" i="20"/>
  <c r="Z911" i="20"/>
  <c r="Z910" i="20"/>
  <c r="Z909" i="20"/>
  <c r="Z908" i="20"/>
  <c r="Z907" i="20" s="1"/>
  <c r="Z905" i="20"/>
  <c r="Z904" i="20"/>
  <c r="Z903" i="20"/>
  <c r="Z902" i="20"/>
  <c r="Z901" i="20"/>
  <c r="Z900" i="20" s="1"/>
  <c r="Z898" i="20"/>
  <c r="Z897" i="20"/>
  <c r="Z896" i="20"/>
  <c r="Z895" i="20"/>
  <c r="Z894" i="20"/>
  <c r="Z893" i="20" s="1"/>
  <c r="Z891" i="20"/>
  <c r="Z890" i="20"/>
  <c r="Z889" i="20"/>
  <c r="Z888" i="20"/>
  <c r="Z887" i="20"/>
  <c r="Z886" i="20" s="1"/>
  <c r="Z884" i="20"/>
  <c r="Z883" i="20"/>
  <c r="Z882" i="20"/>
  <c r="Z881" i="20"/>
  <c r="Z880" i="20"/>
  <c r="Z879" i="20" s="1"/>
  <c r="Z877" i="20"/>
  <c r="Z876" i="20"/>
  <c r="Z875" i="20"/>
  <c r="Z874" i="20"/>
  <c r="Z873" i="20"/>
  <c r="Z872" i="20" s="1"/>
  <c r="Z870" i="20"/>
  <c r="Z869" i="20"/>
  <c r="Z868" i="20"/>
  <c r="Z867" i="20"/>
  <c r="Z866" i="20"/>
  <c r="Z865" i="20" s="1"/>
  <c r="Z863" i="20"/>
  <c r="Z862" i="20"/>
  <c r="Z861" i="20"/>
  <c r="Z860" i="20"/>
  <c r="Z859" i="20"/>
  <c r="Z858" i="20" s="1"/>
  <c r="Z856" i="20"/>
  <c r="Z855" i="20"/>
  <c r="Z854" i="20"/>
  <c r="Z853" i="20"/>
  <c r="Z852" i="20"/>
  <c r="Z851" i="20" s="1"/>
  <c r="Z849" i="20"/>
  <c r="Z848" i="20"/>
  <c r="Z847" i="20"/>
  <c r="Z846" i="20"/>
  <c r="Z845" i="20"/>
  <c r="Z844" i="20" s="1"/>
  <c r="Z842" i="20"/>
  <c r="Z841" i="20"/>
  <c r="Z840" i="20"/>
  <c r="Z839" i="20"/>
  <c r="Z838" i="20"/>
  <c r="Z837" i="20" s="1"/>
  <c r="Z835" i="20"/>
  <c r="Z834" i="20"/>
  <c r="Z833" i="20"/>
  <c r="Z832" i="20"/>
  <c r="Z831" i="20"/>
  <c r="Z830" i="20" s="1"/>
  <c r="Z828" i="20"/>
  <c r="Z827" i="20"/>
  <c r="Z826" i="20"/>
  <c r="Z825" i="20"/>
  <c r="Z824" i="20"/>
  <c r="Z823" i="20" s="1"/>
  <c r="Z821" i="20"/>
  <c r="Z820" i="20"/>
  <c r="Z819" i="20"/>
  <c r="Z818" i="20"/>
  <c r="Z817" i="20"/>
  <c r="Z816" i="20" s="1"/>
  <c r="Z814" i="20"/>
  <c r="Z813" i="20"/>
  <c r="Z812" i="20"/>
  <c r="Z811" i="20"/>
  <c r="Z810" i="20"/>
  <c r="Z809" i="20" s="1"/>
  <c r="Z807" i="20"/>
  <c r="Z806" i="20"/>
  <c r="Z805" i="20"/>
  <c r="Z804" i="20"/>
  <c r="Z803" i="20"/>
  <c r="Z802" i="20" s="1"/>
  <c r="Z800" i="20"/>
  <c r="Z799" i="20"/>
  <c r="Z798" i="20"/>
  <c r="Z797" i="20"/>
  <c r="Z601" i="20"/>
  <c r="Z796" i="20"/>
  <c r="Z795" i="20" s="1"/>
  <c r="Z793" i="20"/>
  <c r="Z792" i="20"/>
  <c r="Z791" i="20"/>
  <c r="Z790" i="20"/>
  <c r="Z789" i="20"/>
  <c r="Z788" i="20" s="1"/>
  <c r="Z786" i="20"/>
  <c r="Z785" i="20"/>
  <c r="Z784" i="20"/>
  <c r="Z783" i="20"/>
  <c r="Z782" i="20"/>
  <c r="Z781" i="20" s="1"/>
  <c r="Z779" i="20"/>
  <c r="Z778" i="20"/>
  <c r="Z777" i="20"/>
  <c r="Z776" i="20"/>
  <c r="Z775" i="20"/>
  <c r="Z774" i="20" s="1"/>
  <c r="Z772" i="20"/>
  <c r="Z771" i="20"/>
  <c r="Z770" i="20"/>
  <c r="Z769" i="20"/>
  <c r="Z768" i="20"/>
  <c r="Z767" i="20" s="1"/>
  <c r="Z765" i="20"/>
  <c r="Z764" i="20"/>
  <c r="Z763" i="20"/>
  <c r="Z762" i="20"/>
  <c r="Z761" i="20"/>
  <c r="Z760" i="20" s="1"/>
  <c r="Z758" i="20"/>
  <c r="Z757" i="20"/>
  <c r="Z756" i="20"/>
  <c r="Z755" i="20"/>
  <c r="Z754" i="20"/>
  <c r="Z753" i="20" s="1"/>
  <c r="Z751" i="20"/>
  <c r="Z750" i="20"/>
  <c r="Z749" i="20"/>
  <c r="Z748" i="20"/>
  <c r="Z747" i="20"/>
  <c r="Z746" i="20" s="1"/>
  <c r="Z744" i="20"/>
  <c r="Z743" i="20"/>
  <c r="Z742" i="20"/>
  <c r="Z741" i="20"/>
  <c r="Z740" i="20"/>
  <c r="Z739" i="20" s="1"/>
  <c r="Z737" i="20"/>
  <c r="Z736" i="20"/>
  <c r="Z735" i="20"/>
  <c r="Z734" i="20"/>
  <c r="Z733" i="20"/>
  <c r="Z732" i="20" s="1"/>
  <c r="Z730" i="20"/>
  <c r="Z729" i="20"/>
  <c r="Z728" i="20"/>
  <c r="Z727" i="20"/>
  <c r="Z726" i="20"/>
  <c r="Z725" i="20" s="1"/>
  <c r="Z723" i="20"/>
  <c r="Z722" i="20"/>
  <c r="Z721" i="20"/>
  <c r="Z720" i="20"/>
  <c r="Z719" i="20"/>
  <c r="Z718" i="20" s="1"/>
  <c r="Z716" i="20"/>
  <c r="Z715" i="20"/>
  <c r="Z714" i="20"/>
  <c r="Z713" i="20"/>
  <c r="Z712" i="20"/>
  <c r="Z711" i="20" s="1"/>
  <c r="Z709" i="20"/>
  <c r="Z708" i="20"/>
  <c r="Z707" i="20"/>
  <c r="Z706" i="20"/>
  <c r="Z705" i="20"/>
  <c r="Z704" i="20" s="1"/>
  <c r="Z702" i="20"/>
  <c r="Z701" i="20"/>
  <c r="Z700" i="20"/>
  <c r="Z699" i="20"/>
  <c r="Z698" i="20"/>
  <c r="Z697" i="20" s="1"/>
  <c r="Z695" i="20"/>
  <c r="Z694" i="20"/>
  <c r="Z693" i="20"/>
  <c r="Z692" i="20"/>
  <c r="Z691" i="20"/>
  <c r="Z690" i="20" s="1"/>
  <c r="Z688" i="20"/>
  <c r="Z687" i="20"/>
  <c r="Z686" i="20"/>
  <c r="Z685" i="20"/>
  <c r="Z684" i="20"/>
  <c r="Z683" i="20" s="1"/>
  <c r="Z681" i="20"/>
  <c r="Z680" i="20"/>
  <c r="Z679" i="20"/>
  <c r="Z678" i="20"/>
  <c r="Z677" i="20"/>
  <c r="Z676" i="20" s="1"/>
  <c r="Z674" i="20"/>
  <c r="Z673" i="20"/>
  <c r="Z672" i="20"/>
  <c r="Z671" i="20"/>
  <c r="Z670" i="20"/>
  <c r="Z669" i="20" s="1"/>
  <c r="Z667" i="20"/>
  <c r="Z666" i="20"/>
  <c r="Z665" i="20"/>
  <c r="Z664" i="20"/>
  <c r="Z663" i="20"/>
  <c r="Z662" i="20" s="1"/>
  <c r="Z660" i="20"/>
  <c r="Z659" i="20"/>
  <c r="Z658" i="20"/>
  <c r="Z657" i="20"/>
  <c r="Z656" i="20"/>
  <c r="Z655" i="20" s="1"/>
  <c r="Z653" i="20"/>
  <c r="Z652" i="20"/>
  <c r="Z651" i="20"/>
  <c r="Z650" i="20"/>
  <c r="Z649" i="20"/>
  <c r="Z648" i="20" s="1"/>
  <c r="Z646" i="20"/>
  <c r="Z645" i="20"/>
  <c r="Z644" i="20"/>
  <c r="Z643" i="20"/>
  <c r="Z642" i="20"/>
  <c r="Z641" i="20" s="1"/>
  <c r="Z639" i="20"/>
  <c r="Z638" i="20"/>
  <c r="Z637" i="20"/>
  <c r="Z636" i="20"/>
  <c r="Z635" i="20"/>
  <c r="Z634" i="20" s="1"/>
  <c r="Z632" i="20"/>
  <c r="Z631" i="20"/>
  <c r="Z630" i="20"/>
  <c r="Z629" i="20"/>
  <c r="Z628" i="20"/>
  <c r="Z627" i="20" s="1"/>
  <c r="Z625" i="20"/>
  <c r="Z624" i="20"/>
  <c r="Z623" i="20"/>
  <c r="Z622" i="20"/>
  <c r="Z621" i="20"/>
  <c r="Z620" i="20" s="1"/>
  <c r="Z618" i="20"/>
  <c r="Z617" i="20"/>
  <c r="Z616" i="20"/>
  <c r="Z1619" i="20"/>
  <c r="Z1618" i="20"/>
  <c r="Z1617" i="20"/>
  <c r="Z1616" i="20"/>
  <c r="Z1615" i="20"/>
  <c r="Z1614" i="20" s="1"/>
  <c r="Z1612" i="20"/>
  <c r="Z1611" i="20"/>
  <c r="Z1610" i="20"/>
  <c r="Z1609" i="20"/>
  <c r="Z1608" i="20"/>
  <c r="Z1607" i="20" s="1"/>
  <c r="Z1605" i="20"/>
  <c r="Z1604" i="20"/>
  <c r="Z1603" i="20"/>
  <c r="Z1602" i="20"/>
  <c r="Z1601" i="20"/>
  <c r="Z1600" i="20" s="1"/>
  <c r="Z1598" i="20"/>
  <c r="Z1597" i="20"/>
  <c r="Z1596" i="20"/>
  <c r="Z1595" i="20"/>
  <c r="Z1594" i="20"/>
  <c r="Z1593" i="20" s="1"/>
  <c r="Z1591" i="20"/>
  <c r="Z1590" i="20"/>
  <c r="Z1589" i="20"/>
  <c r="Z1588" i="20"/>
  <c r="Z1587" i="20"/>
  <c r="Z1586" i="20" s="1"/>
  <c r="Z1584" i="20"/>
  <c r="Z1583" i="20"/>
  <c r="Z1582" i="20"/>
  <c r="Z1581" i="20"/>
  <c r="Z1580" i="20"/>
  <c r="Z1579" i="20" s="1"/>
  <c r="Z1577" i="20"/>
  <c r="Z1576" i="20"/>
  <c r="Z1575" i="20"/>
  <c r="Z1574" i="20"/>
  <c r="Z1573" i="20"/>
  <c r="Z1572" i="20" s="1"/>
  <c r="Z1570" i="20"/>
  <c r="Z1569" i="20"/>
  <c r="Z1568" i="20"/>
  <c r="Z1567" i="20"/>
  <c r="Z1566" i="20"/>
  <c r="Z1565" i="20" s="1"/>
  <c r="Z1563" i="20"/>
  <c r="Z1562" i="20"/>
  <c r="Z1561" i="20"/>
  <c r="Z1560" i="20"/>
  <c r="Z1559" i="20"/>
  <c r="Z1558" i="20" s="1"/>
  <c r="Z1556" i="20"/>
  <c r="Z1555" i="20"/>
  <c r="Z1554" i="20"/>
  <c r="Z1553" i="20"/>
  <c r="Z1552" i="20"/>
  <c r="Z1551" i="20" s="1"/>
  <c r="Z1549" i="20"/>
  <c r="Z1548" i="20"/>
  <c r="Z1547" i="20"/>
  <c r="Z1546" i="20"/>
  <c r="Z1545" i="20"/>
  <c r="Z1544" i="20" s="1"/>
  <c r="Z1542" i="20"/>
  <c r="Z1541" i="20"/>
  <c r="Z1540" i="20"/>
  <c r="Z1539" i="20"/>
  <c r="Z1538" i="20"/>
  <c r="Z1537" i="20" s="1"/>
  <c r="Z1535" i="20"/>
  <c r="Z1534" i="20"/>
  <c r="Z1533" i="20"/>
  <c r="Z1532" i="20"/>
  <c r="Z1531" i="20"/>
  <c r="Z1530" i="20" s="1"/>
  <c r="Z1528" i="20"/>
  <c r="Z1527" i="20"/>
  <c r="Z1526" i="20"/>
  <c r="Z1525" i="20"/>
  <c r="Z1524" i="20"/>
  <c r="Z1523" i="20" s="1"/>
  <c r="Z1521" i="20"/>
  <c r="Z1520" i="20"/>
  <c r="Z1519" i="20"/>
  <c r="Z1518" i="20"/>
  <c r="Z1517" i="20"/>
  <c r="Z1516" i="20" s="1"/>
  <c r="Z1514" i="20"/>
  <c r="Z1513" i="20"/>
  <c r="Z1512" i="20"/>
  <c r="Z1511" i="20"/>
  <c r="Z1510" i="20"/>
  <c r="Z1509" i="20" s="1"/>
  <c r="Z1507" i="20"/>
  <c r="Z1506" i="20"/>
  <c r="Z1505" i="20"/>
  <c r="Z1504" i="20"/>
  <c r="Z1503" i="20"/>
  <c r="Z1502" i="20" s="1"/>
  <c r="Z1500" i="20"/>
  <c r="Z1499" i="20"/>
  <c r="Z1498" i="20"/>
  <c r="Z1497" i="20"/>
  <c r="Z1496" i="20"/>
  <c r="Z1495" i="20" s="1"/>
  <c r="Z1493" i="20"/>
  <c r="Z1492" i="20"/>
  <c r="Z1491" i="20"/>
  <c r="Z1490" i="20"/>
  <c r="Z1489" i="20"/>
  <c r="Z1488" i="20" s="1"/>
  <c r="Z1486" i="20"/>
  <c r="Z1485" i="20"/>
  <c r="Z1484" i="20"/>
  <c r="Z1483" i="20"/>
  <c r="Z1482" i="20"/>
  <c r="Z1481" i="20" s="1"/>
  <c r="Z1479" i="20"/>
  <c r="Z1478" i="20"/>
  <c r="Z1477" i="20"/>
  <c r="Z1476" i="20"/>
  <c r="Z1475" i="20"/>
  <c r="Z1474" i="20" s="1"/>
  <c r="Z1472" i="20"/>
  <c r="Z1471" i="20"/>
  <c r="Z1470" i="20"/>
  <c r="Z1469" i="20"/>
  <c r="Z1468" i="20"/>
  <c r="Z1467" i="20" s="1"/>
  <c r="Z1465" i="20"/>
  <c r="Z1464" i="20"/>
  <c r="Z1463" i="20"/>
  <c r="Z1462" i="20"/>
  <c r="Z1461" i="20"/>
  <c r="Z1460" i="20" s="1"/>
  <c r="Z1458" i="20"/>
  <c r="Z1457" i="20"/>
  <c r="Z1456" i="20"/>
  <c r="Z1455" i="20"/>
  <c r="Z1454" i="20"/>
  <c r="Z1453" i="20" s="1"/>
  <c r="Z1451" i="20"/>
  <c r="Z1450" i="20"/>
  <c r="Z1449" i="20"/>
  <c r="Z1448" i="20"/>
  <c r="Z1447" i="20"/>
  <c r="Z1446" i="20" s="1"/>
  <c r="Z1444" i="20"/>
  <c r="Z1443" i="20"/>
  <c r="Z1442" i="20"/>
  <c r="Z1441" i="20"/>
  <c r="Z1440" i="20"/>
  <c r="Z1439" i="20" s="1"/>
  <c r="Z1437" i="20"/>
  <c r="Z1436" i="20"/>
  <c r="Z1435" i="20"/>
  <c r="Z1434" i="20"/>
  <c r="Z1433" i="20"/>
  <c r="Z1432" i="20" s="1"/>
  <c r="Z1430" i="20"/>
  <c r="Z1429" i="20"/>
  <c r="Z1428" i="20"/>
  <c r="Z1427" i="20"/>
  <c r="Z1426" i="20"/>
  <c r="Z1425" i="20" s="1"/>
  <c r="Z1423" i="20"/>
  <c r="Z1422" i="20"/>
  <c r="Z1421" i="20"/>
  <c r="Z1420" i="20"/>
  <c r="Z1419" i="20"/>
  <c r="Z1418" i="20" s="1"/>
  <c r="Z1416" i="20"/>
  <c r="Z1415" i="20"/>
  <c r="Z1414" i="20"/>
  <c r="Z1413" i="20"/>
  <c r="Z1412" i="20"/>
  <c r="Z1411" i="20" s="1"/>
  <c r="Z1409" i="20"/>
  <c r="Z1408" i="20"/>
  <c r="Z1407" i="20"/>
  <c r="Z1406" i="20"/>
  <c r="Z1405" i="20"/>
  <c r="Z1404" i="20" s="1"/>
  <c r="Z1402" i="20"/>
  <c r="Z1401" i="20"/>
  <c r="Z1400" i="20"/>
  <c r="Z615" i="20"/>
  <c r="Z613" i="20" s="1"/>
  <c r="Z1398" i="20"/>
  <c r="Z1395" i="20"/>
  <c r="Z1394" i="20"/>
  <c r="Z1393" i="20"/>
  <c r="Z1392" i="20"/>
  <c r="Z1391" i="20"/>
  <c r="Z1390" i="20" s="1"/>
  <c r="Z1388" i="20"/>
  <c r="Z1387" i="20"/>
  <c r="Z1386" i="20"/>
  <c r="Z1385" i="20"/>
  <c r="Z1384" i="20"/>
  <c r="Z1383" i="20" s="1"/>
  <c r="Z1381" i="20"/>
  <c r="Z1380" i="20"/>
  <c r="Z1379" i="20"/>
  <c r="Z1378" i="20"/>
  <c r="Z1377" i="20"/>
  <c r="Z1376" i="20" s="1"/>
  <c r="Z1374" i="20"/>
  <c r="Z1373" i="20"/>
  <c r="Z1372" i="20"/>
  <c r="Z1371" i="20"/>
  <c r="Z1370" i="20"/>
  <c r="Z1369" i="20" s="1"/>
  <c r="Z1367" i="20"/>
  <c r="Z1366" i="20"/>
  <c r="Z1365" i="20"/>
  <c r="Z1364" i="20"/>
  <c r="Z1363" i="20"/>
  <c r="Z1362" i="20" s="1"/>
  <c r="Z1360" i="20"/>
  <c r="Z1359" i="20"/>
  <c r="Z1358" i="20"/>
  <c r="Z1357" i="20"/>
  <c r="Z1356" i="20"/>
  <c r="Z1355" i="20" s="1"/>
  <c r="Z1353" i="20"/>
  <c r="Z1352" i="20"/>
  <c r="Z1351" i="20"/>
  <c r="Z1350" i="20"/>
  <c r="Z1349" i="20"/>
  <c r="Z1348" i="20" s="1"/>
  <c r="Z1346" i="20"/>
  <c r="Z1345" i="20"/>
  <c r="Z1344" i="20"/>
  <c r="Z1343" i="20"/>
  <c r="Z1342" i="20"/>
  <c r="Z1341" i="20" s="1"/>
  <c r="Z1339" i="20"/>
  <c r="Z1338" i="20"/>
  <c r="Z1337" i="20"/>
  <c r="Z1336" i="20"/>
  <c r="Z1335" i="20"/>
  <c r="Z1334" i="20" s="1"/>
  <c r="Z1332" i="20"/>
  <c r="Z1331" i="20"/>
  <c r="Z1330" i="20"/>
  <c r="Z1329" i="20"/>
  <c r="Z1328" i="20"/>
  <c r="Z1327" i="20" s="1"/>
  <c r="Z1325" i="20"/>
  <c r="Z1324" i="20"/>
  <c r="Z1323" i="20"/>
  <c r="Z1322" i="20"/>
  <c r="Z1321" i="20"/>
  <c r="Z1320" i="20" s="1"/>
  <c r="Z1318" i="20"/>
  <c r="Z1317" i="20"/>
  <c r="Z1316" i="20"/>
  <c r="Z1315" i="20"/>
  <c r="Z1314" i="20"/>
  <c r="Z1313" i="20" s="1"/>
  <c r="Z1311" i="20"/>
  <c r="Z1310" i="20"/>
  <c r="Z1309" i="20"/>
  <c r="Z1308" i="20"/>
  <c r="Z1307" i="20"/>
  <c r="Z1306" i="20" s="1"/>
  <c r="Z1304" i="20"/>
  <c r="Z1303" i="20"/>
  <c r="Z1302" i="20"/>
  <c r="Z1301" i="20"/>
  <c r="Z1300" i="20"/>
  <c r="Z1299" i="20" s="1"/>
  <c r="Z1297" i="20"/>
  <c r="Z1296" i="20"/>
  <c r="Z1295" i="20"/>
  <c r="Z1294" i="20"/>
  <c r="Z1293" i="20"/>
  <c r="Z1292" i="20" s="1"/>
  <c r="Z1290" i="20"/>
  <c r="Z1289" i="20"/>
  <c r="Z1288" i="20"/>
  <c r="Z1287" i="20"/>
  <c r="Z1286" i="20"/>
  <c r="Z1285" i="20" s="1"/>
  <c r="Z1283" i="20"/>
  <c r="Z1282" i="20"/>
  <c r="Z1281" i="20"/>
  <c r="Z1280" i="20"/>
  <c r="Z1279" i="20"/>
  <c r="Z1278" i="20" s="1"/>
  <c r="Z1276" i="20"/>
  <c r="Z1275" i="20"/>
  <c r="Z1274" i="20"/>
  <c r="Z1273" i="20"/>
  <c r="Z1272" i="20"/>
  <c r="Z1271" i="20" s="1"/>
  <c r="Z1269" i="20"/>
  <c r="Z1268" i="20"/>
  <c r="Z1267" i="20"/>
  <c r="Z1266" i="20"/>
  <c r="Z1265" i="20"/>
  <c r="Z1264" i="20" s="1"/>
  <c r="Z1262" i="20"/>
  <c r="Z1261" i="20"/>
  <c r="Z1260" i="20"/>
  <c r="Z1259" i="20"/>
  <c r="Z1258" i="20"/>
  <c r="Z1257" i="20" s="1"/>
  <c r="Z1255" i="20"/>
  <c r="Z1254" i="20"/>
  <c r="Z1253" i="20"/>
  <c r="Z1252" i="20"/>
  <c r="Z1251" i="20"/>
  <c r="Z1250" i="20" s="1"/>
  <c r="Z1248" i="20"/>
  <c r="Z1247" i="20"/>
  <c r="Z1246" i="20"/>
  <c r="Z1245" i="20"/>
  <c r="Z1244" i="20"/>
  <c r="Z1243" i="20" s="1"/>
  <c r="Z1241" i="20"/>
  <c r="Z1240" i="20"/>
  <c r="Z1239" i="20"/>
  <c r="Z1238" i="20"/>
  <c r="Z1237" i="20"/>
  <c r="Z1236" i="20" s="1"/>
  <c r="Z1234" i="20"/>
  <c r="Z1233" i="20"/>
  <c r="Z1232" i="20"/>
  <c r="Z1231" i="20"/>
  <c r="Z1230" i="20"/>
  <c r="Z1229" i="20" s="1"/>
  <c r="Z1227" i="20"/>
  <c r="Z1226" i="20"/>
  <c r="Z1225" i="20"/>
  <c r="Z1224" i="20"/>
  <c r="Z1223" i="20"/>
  <c r="Z1222" i="20" s="1"/>
  <c r="Z1220" i="20"/>
  <c r="Z1219" i="20"/>
  <c r="Z1218" i="20"/>
  <c r="Z1217" i="20"/>
  <c r="Z1216" i="20"/>
  <c r="Z1215" i="20" s="1"/>
  <c r="Z1213" i="20"/>
  <c r="Z1212" i="20"/>
  <c r="Z1211" i="20"/>
  <c r="Z1210" i="20"/>
  <c r="Z1209" i="20"/>
  <c r="Z1208" i="20" s="1"/>
  <c r="Z1206" i="20"/>
  <c r="Z1205" i="20"/>
  <c r="Z1204" i="20"/>
  <c r="Z1203" i="20"/>
  <c r="Z1202" i="20"/>
  <c r="Z1201" i="20" s="1"/>
  <c r="Z1199" i="20"/>
  <c r="Z1198" i="20"/>
  <c r="Z1197" i="20"/>
  <c r="Z1196" i="20"/>
  <c r="Z1195" i="20"/>
  <c r="Z1194" i="20" s="1"/>
  <c r="Z1192" i="20"/>
  <c r="Z1191" i="20"/>
  <c r="Z1190" i="20"/>
  <c r="Z1189" i="20"/>
  <c r="Z1188" i="20"/>
  <c r="Z1187" i="20" s="1"/>
  <c r="Z1185" i="20"/>
  <c r="Z1180" i="20" s="1"/>
  <c r="Z600" i="20"/>
  <c r="Z597" i="20"/>
  <c r="Z596" i="20"/>
  <c r="Z595" i="20"/>
  <c r="Z594" i="20"/>
  <c r="Z593" i="20"/>
  <c r="Z592" i="20" s="1"/>
  <c r="Z590" i="20"/>
  <c r="Z589" i="20"/>
  <c r="Z588" i="20"/>
  <c r="Z587" i="20"/>
  <c r="Z586" i="20"/>
  <c r="Z585" i="20" s="1"/>
  <c r="Z583" i="20"/>
  <c r="Z582" i="20"/>
  <c r="Z581" i="20"/>
  <c r="Z580" i="20"/>
  <c r="Z579" i="20"/>
  <c r="Z578" i="20" s="1"/>
  <c r="Z576" i="20"/>
  <c r="Z575" i="20"/>
  <c r="Z574" i="20"/>
  <c r="Z573" i="20"/>
  <c r="Z572" i="20"/>
  <c r="Z571" i="20" s="1"/>
  <c r="Z569" i="20"/>
  <c r="Z568" i="20"/>
  <c r="Z567" i="20"/>
  <c r="Z566" i="20"/>
  <c r="Z565" i="20"/>
  <c r="Z564" i="20" s="1"/>
  <c r="Z562" i="20"/>
  <c r="Z561" i="20"/>
  <c r="Z560" i="20"/>
  <c r="Z559" i="20"/>
  <c r="Z558" i="20"/>
  <c r="Z557" i="20" s="1"/>
  <c r="Z555" i="20"/>
  <c r="Z554" i="20"/>
  <c r="Z553" i="20"/>
  <c r="Z552" i="20"/>
  <c r="Z551" i="20"/>
  <c r="Z550" i="20" s="1"/>
  <c r="Z548" i="20"/>
  <c r="Z547" i="20"/>
  <c r="Z546" i="20"/>
  <c r="Z545" i="20"/>
  <c r="Z544" i="20"/>
  <c r="Z543" i="20" s="1"/>
  <c r="Z541" i="20"/>
  <c r="Z540" i="20"/>
  <c r="Z539" i="20"/>
  <c r="Z538" i="20"/>
  <c r="Z537" i="20"/>
  <c r="Z536" i="20" s="1"/>
  <c r="Z534" i="20"/>
  <c r="Z533" i="20"/>
  <c r="Z532" i="20"/>
  <c r="Z531" i="20"/>
  <c r="Z530" i="20"/>
  <c r="Z529" i="20" s="1"/>
  <c r="Z527" i="20"/>
  <c r="Z526" i="20"/>
  <c r="Z525" i="20"/>
  <c r="Z524" i="20"/>
  <c r="Z523" i="20"/>
  <c r="Z522" i="20" s="1"/>
  <c r="Z520" i="20"/>
  <c r="Z519" i="20"/>
  <c r="Z518" i="20"/>
  <c r="Z517" i="20"/>
  <c r="Z516" i="20"/>
  <c r="Z515" i="20" s="1"/>
  <c r="Z513" i="20"/>
  <c r="Z512" i="20"/>
  <c r="Z511" i="20"/>
  <c r="Z510" i="20"/>
  <c r="Z509" i="20"/>
  <c r="Z508" i="20" s="1"/>
  <c r="Z506" i="20"/>
  <c r="Z505" i="20"/>
  <c r="Z504" i="20"/>
  <c r="Z503" i="20"/>
  <c r="Z502" i="20"/>
  <c r="Z501" i="20" s="1"/>
  <c r="Z499" i="20"/>
  <c r="Z498" i="20"/>
  <c r="Z497" i="20"/>
  <c r="Z496" i="20"/>
  <c r="Z495" i="20"/>
  <c r="Z494" i="20" s="1"/>
  <c r="Z492" i="20"/>
  <c r="Z491" i="20"/>
  <c r="Z490" i="20"/>
  <c r="Z489" i="20"/>
  <c r="Z488" i="20"/>
  <c r="Z487" i="20" s="1"/>
  <c r="Z485" i="20"/>
  <c r="Z484" i="20"/>
  <c r="Z483" i="20"/>
  <c r="Z482" i="20"/>
  <c r="Z481" i="20"/>
  <c r="Z480" i="20" s="1"/>
  <c r="Z478" i="20"/>
  <c r="Z477" i="20"/>
  <c r="Z476" i="20"/>
  <c r="Z475" i="20"/>
  <c r="Z474" i="20"/>
  <c r="Z473" i="20" s="1"/>
  <c r="Z471" i="20"/>
  <c r="Z470" i="20"/>
  <c r="Z469" i="20"/>
  <c r="Z468" i="20"/>
  <c r="Z467" i="20"/>
  <c r="Z466" i="20" s="1"/>
  <c r="Z464" i="20"/>
  <c r="Z463" i="20"/>
  <c r="Z462" i="20"/>
  <c r="Z461" i="20"/>
  <c r="Z460" i="20"/>
  <c r="Z459" i="20" s="1"/>
  <c r="Z457" i="20"/>
  <c r="Z456" i="20"/>
  <c r="Z455" i="20"/>
  <c r="Z454" i="20"/>
  <c r="Z453" i="20"/>
  <c r="Z452" i="20" s="1"/>
  <c r="Z450" i="20"/>
  <c r="Z449" i="20"/>
  <c r="Z448" i="20"/>
  <c r="Z447" i="20"/>
  <c r="Z446" i="20"/>
  <c r="Z445" i="20" s="1"/>
  <c r="Z443" i="20"/>
  <c r="Z442" i="20"/>
  <c r="Z441" i="20"/>
  <c r="Z440" i="20"/>
  <c r="Z439" i="20"/>
  <c r="Z438" i="20" s="1"/>
  <c r="Z436" i="20"/>
  <c r="Z435" i="20"/>
  <c r="Z434" i="20"/>
  <c r="Z433" i="20"/>
  <c r="Z432" i="20"/>
  <c r="Z431" i="20" s="1"/>
  <c r="Z429" i="20"/>
  <c r="Z428" i="20"/>
  <c r="Z427" i="20"/>
  <c r="Z426" i="20"/>
  <c r="Z425" i="20"/>
  <c r="Z424" i="20" s="1"/>
  <c r="Z422" i="20"/>
  <c r="Z421" i="20"/>
  <c r="Z420" i="20"/>
  <c r="Z419" i="20"/>
  <c r="Z418" i="20"/>
  <c r="Z417" i="20" s="1"/>
  <c r="Z415" i="20"/>
  <c r="Z414" i="20"/>
  <c r="Z413" i="20"/>
  <c r="Z412" i="20"/>
  <c r="Z411" i="20"/>
  <c r="Z410" i="20" s="1"/>
  <c r="Z408" i="20"/>
  <c r="Z407" i="20"/>
  <c r="Z406" i="20"/>
  <c r="Z405" i="20"/>
  <c r="Z404" i="20"/>
  <c r="Z403" i="20" s="1"/>
  <c r="Z401" i="20"/>
  <c r="Z400" i="20"/>
  <c r="Z399" i="20"/>
  <c r="Z398" i="20"/>
  <c r="Z397" i="20"/>
  <c r="Z396" i="20" s="1"/>
  <c r="Z394" i="20"/>
  <c r="Z393" i="20"/>
  <c r="Z392" i="20"/>
  <c r="Z391" i="20"/>
  <c r="Z390" i="20"/>
  <c r="Z389" i="20" s="1"/>
  <c r="Z387" i="20"/>
  <c r="Z386" i="20"/>
  <c r="Z385" i="20"/>
  <c r="Z384" i="20"/>
  <c r="Z383" i="20"/>
  <c r="Z382" i="20" s="1"/>
  <c r="Z380" i="20"/>
  <c r="Z379" i="20"/>
  <c r="Z378" i="20"/>
  <c r="Z377" i="20"/>
  <c r="Z376" i="20"/>
  <c r="Z375" i="20" s="1"/>
  <c r="Z373" i="20"/>
  <c r="Z372" i="20"/>
  <c r="Z371" i="20"/>
  <c r="Z370" i="20"/>
  <c r="Z369" i="20"/>
  <c r="Z368" i="20" s="1"/>
  <c r="Z366" i="20"/>
  <c r="Z365" i="20"/>
  <c r="Z364" i="20"/>
  <c r="Z363" i="20"/>
  <c r="Z362" i="20"/>
  <c r="Z361" i="20" s="1"/>
  <c r="Z359" i="20"/>
  <c r="Z358" i="20"/>
  <c r="Z357" i="20"/>
  <c r="Z356" i="20"/>
  <c r="Z355" i="20"/>
  <c r="Z354" i="20" s="1"/>
  <c r="Z352" i="20"/>
  <c r="Z351" i="20"/>
  <c r="Z350" i="20"/>
  <c r="Z349" i="20"/>
  <c r="Z348" i="20"/>
  <c r="Z347" i="20" s="1"/>
  <c r="Z345" i="20"/>
  <c r="Z344" i="20"/>
  <c r="Z343" i="20"/>
  <c r="Z342" i="20"/>
  <c r="Z341" i="20"/>
  <c r="Z340" i="20" s="1"/>
  <c r="Z338" i="20"/>
  <c r="Z337" i="20"/>
  <c r="Z336" i="20"/>
  <c r="Z335" i="20"/>
  <c r="Z334" i="20"/>
  <c r="Z333" i="20" s="1"/>
  <c r="Z331" i="20"/>
  <c r="Z330" i="20"/>
  <c r="Z329" i="20"/>
  <c r="Z328" i="20"/>
  <c r="Z327" i="20"/>
  <c r="Z326" i="20" s="1"/>
  <c r="Z324" i="20"/>
  <c r="Z323" i="20"/>
  <c r="Z322" i="20"/>
  <c r="Z321" i="20"/>
  <c r="Z320" i="20"/>
  <c r="Z319" i="20" s="1"/>
  <c r="Z317" i="20"/>
  <c r="Z316" i="20"/>
  <c r="Z315" i="20"/>
  <c r="Z314" i="20"/>
  <c r="Z313" i="20"/>
  <c r="Z312" i="20" s="1"/>
  <c r="Z310" i="20"/>
  <c r="Z309" i="20"/>
  <c r="Z308" i="20"/>
  <c r="Z307" i="20"/>
  <c r="Z306" i="20"/>
  <c r="Z305" i="20" s="1"/>
  <c r="Z303" i="20"/>
  <c r="Z302" i="20"/>
  <c r="Z301" i="20"/>
  <c r="Z300" i="20"/>
  <c r="Z299" i="20"/>
  <c r="Z298" i="20" s="1"/>
  <c r="Z296" i="20"/>
  <c r="Z295" i="20"/>
  <c r="Z294" i="20"/>
  <c r="Z293" i="20"/>
  <c r="Z292" i="20"/>
  <c r="Z291" i="20" s="1"/>
  <c r="Z289" i="20"/>
  <c r="Z288" i="20"/>
  <c r="Z287" i="20"/>
  <c r="Z286" i="20"/>
  <c r="Z285" i="20"/>
  <c r="Z284" i="20" s="1"/>
  <c r="Z282" i="20"/>
  <c r="Z281" i="20"/>
  <c r="Z280" i="20"/>
  <c r="Z279" i="20"/>
  <c r="Z278" i="20"/>
  <c r="Z277" i="20" s="1"/>
  <c r="Z275" i="20"/>
  <c r="Z274" i="20"/>
  <c r="Z273" i="20"/>
  <c r="Z272" i="20"/>
  <c r="Z271" i="20"/>
  <c r="Z270" i="20" s="1"/>
  <c r="Z268" i="20"/>
  <c r="Z267" i="20"/>
  <c r="Z266" i="20"/>
  <c r="Z265" i="20"/>
  <c r="Z264" i="20"/>
  <c r="Z263" i="20" s="1"/>
  <c r="Z261" i="20"/>
  <c r="Z260" i="20"/>
  <c r="Z259" i="20"/>
  <c r="Z258" i="20"/>
  <c r="Z257" i="20"/>
  <c r="Z256" i="20" s="1"/>
  <c r="Z254" i="20"/>
  <c r="Z253" i="20"/>
  <c r="Z252" i="20"/>
  <c r="Z251" i="20"/>
  <c r="Z250" i="20"/>
  <c r="Z249" i="20" s="1"/>
  <c r="Z247" i="20"/>
  <c r="Z246" i="20"/>
  <c r="Z245" i="20"/>
  <c r="Z244" i="20"/>
  <c r="Z243" i="20"/>
  <c r="Z242" i="20" s="1"/>
  <c r="Z240" i="20"/>
  <c r="Z239" i="20"/>
  <c r="Z238" i="20"/>
  <c r="Z237" i="20"/>
  <c r="Z236" i="20"/>
  <c r="Z235" i="20" s="1"/>
  <c r="Z233" i="20"/>
  <c r="Z232" i="20"/>
  <c r="Z231" i="20"/>
  <c r="Z230" i="20"/>
  <c r="Z229" i="20"/>
  <c r="Z228" i="20" s="1"/>
  <c r="Z226" i="20"/>
  <c r="Z225" i="20"/>
  <c r="Z224" i="20"/>
  <c r="Z223" i="20"/>
  <c r="Z222" i="20"/>
  <c r="Z221" i="20" s="1"/>
  <c r="Z219" i="20"/>
  <c r="Z218" i="20"/>
  <c r="Z217" i="20"/>
  <c r="Z216" i="20"/>
  <c r="Z215" i="20"/>
  <c r="Z214" i="20" s="1"/>
  <c r="Z212" i="20"/>
  <c r="Z211" i="20"/>
  <c r="Z210" i="20"/>
  <c r="Z209" i="20"/>
  <c r="Z208" i="20"/>
  <c r="Z207" i="20" s="1"/>
  <c r="Z205" i="20"/>
  <c r="Z204" i="20"/>
  <c r="Z203" i="20"/>
  <c r="Z202" i="20"/>
  <c r="Z201" i="20"/>
  <c r="Z200" i="20" s="1"/>
  <c r="Z198" i="20"/>
  <c r="Z197" i="20"/>
  <c r="Z196" i="20"/>
  <c r="Z195" i="20"/>
  <c r="Z194" i="20"/>
  <c r="Z193" i="20" s="1"/>
  <c r="Z191" i="20"/>
  <c r="Z190" i="20"/>
  <c r="Z189" i="20"/>
  <c r="Z188" i="20"/>
  <c r="Z187" i="20"/>
  <c r="Z186" i="20" s="1"/>
  <c r="Z184" i="20"/>
  <c r="Z183" i="20"/>
  <c r="Z182" i="20"/>
  <c r="Z181" i="20"/>
  <c r="Z180" i="20"/>
  <c r="Z179" i="20" s="1"/>
  <c r="Z177" i="20"/>
  <c r="Z176" i="20"/>
  <c r="Z175" i="20"/>
  <c r="Z174" i="20"/>
  <c r="Z173" i="20"/>
  <c r="Z172" i="20" s="1"/>
  <c r="Z170" i="20"/>
  <c r="Z169" i="20"/>
  <c r="Z168" i="20"/>
  <c r="Z167" i="20"/>
  <c r="Z166" i="20"/>
  <c r="Z165" i="20" s="1"/>
  <c r="Z163" i="20"/>
  <c r="Z162" i="20"/>
  <c r="Z161" i="20"/>
  <c r="Z160" i="20"/>
  <c r="Z159" i="20"/>
  <c r="Z158" i="20" s="1"/>
  <c r="Z156" i="20"/>
  <c r="Z155" i="20"/>
  <c r="Z154" i="20"/>
  <c r="Z153" i="20"/>
  <c r="Z152" i="20"/>
  <c r="Z151" i="20" s="1"/>
  <c r="Z149" i="20"/>
  <c r="Z148" i="20"/>
  <c r="Z147" i="20"/>
  <c r="Z146" i="20"/>
  <c r="Z145" i="20"/>
  <c r="Z144" i="20" s="1"/>
  <c r="Z142" i="20"/>
  <c r="Z141" i="20"/>
  <c r="Z140" i="20"/>
  <c r="Z139" i="20"/>
  <c r="Z138" i="20"/>
  <c r="Z137" i="20" s="1"/>
  <c r="Z135" i="20"/>
  <c r="Z134" i="20"/>
  <c r="Z133" i="20"/>
  <c r="Z132" i="20"/>
  <c r="Z131" i="20"/>
  <c r="Z130" i="20" s="1"/>
  <c r="Z128" i="20"/>
  <c r="Z127" i="20"/>
  <c r="Z126" i="20"/>
  <c r="Z125" i="20"/>
  <c r="Z124" i="20"/>
  <c r="Z123" i="20" s="1"/>
  <c r="Z121" i="20"/>
  <c r="Z120" i="20"/>
  <c r="Z119" i="20"/>
  <c r="Z118" i="20"/>
  <c r="Z117" i="20"/>
  <c r="Z116" i="20" s="1"/>
  <c r="Z114" i="20"/>
  <c r="Z113" i="20"/>
  <c r="Z112" i="20"/>
  <c r="Z111" i="20"/>
  <c r="Z110" i="20"/>
  <c r="Z109" i="20" s="1"/>
  <c r="Z107" i="20"/>
  <c r="Z106" i="20"/>
  <c r="Z105" i="20"/>
  <c r="Z104" i="20"/>
  <c r="Z103" i="20"/>
  <c r="Z102" i="20" s="1"/>
  <c r="Z100" i="20"/>
  <c r="Z99" i="20"/>
  <c r="Z98" i="20"/>
  <c r="Z97" i="20"/>
  <c r="Z96" i="20"/>
  <c r="Z95" i="20" s="1"/>
  <c r="Z93" i="20"/>
  <c r="Z92" i="20"/>
  <c r="Z91" i="20"/>
  <c r="Z90" i="20"/>
  <c r="Z89" i="20"/>
  <c r="Z88" i="20" s="1"/>
  <c r="Z86" i="20"/>
  <c r="Z85" i="20"/>
  <c r="Z84" i="20"/>
  <c r="Z83" i="20"/>
  <c r="Z82" i="20"/>
  <c r="Z81" i="20" s="1"/>
  <c r="Z79" i="20"/>
  <c r="Z78" i="20"/>
  <c r="Z77" i="20"/>
  <c r="Z76" i="20"/>
  <c r="Z75" i="20"/>
  <c r="Z74" i="20" s="1"/>
  <c r="Z72" i="20"/>
  <c r="Z71" i="20"/>
  <c r="Z70" i="20"/>
  <c r="Z69" i="20"/>
  <c r="Z68" i="20"/>
  <c r="Z67" i="20" s="1"/>
  <c r="Z65" i="20"/>
  <c r="Z64" i="20"/>
  <c r="Z63" i="20"/>
  <c r="Z62" i="20"/>
  <c r="Z61" i="20"/>
  <c r="Z60" i="20" s="1"/>
  <c r="Z58" i="20"/>
  <c r="Z57" i="20"/>
  <c r="Z56" i="20"/>
  <c r="Z55" i="20"/>
  <c r="Z54" i="20"/>
  <c r="Z53" i="20" s="1"/>
  <c r="Z51" i="20"/>
  <c r="Z50" i="20"/>
  <c r="Z49" i="20"/>
  <c r="Z48" i="20"/>
  <c r="Z47" i="20"/>
  <c r="Z46" i="20" s="1"/>
  <c r="Z44" i="20"/>
  <c r="Z43" i="20"/>
  <c r="Z42" i="20"/>
  <c r="Z41" i="20"/>
  <c r="Z40" i="20"/>
  <c r="Z39" i="20" s="1"/>
  <c r="Z37" i="20"/>
  <c r="Z36" i="20"/>
  <c r="Z35" i="20"/>
  <c r="Z34" i="20"/>
  <c r="Z33" i="20"/>
  <c r="Z32" i="20" s="1"/>
  <c r="Z30" i="20"/>
  <c r="Z29" i="20"/>
  <c r="Z28" i="20"/>
  <c r="Z27" i="20"/>
  <c r="Z26" i="20"/>
  <c r="Z25" i="20" s="1"/>
  <c r="Z23" i="20"/>
  <c r="Z22" i="20"/>
  <c r="Z21" i="20"/>
  <c r="Z20" i="20"/>
  <c r="Z19" i="20"/>
  <c r="Z18" i="20" s="1"/>
  <c r="Z16" i="20"/>
  <c r="Z15" i="20"/>
  <c r="Z14" i="20"/>
  <c r="Z13" i="20"/>
  <c r="Z12" i="20"/>
  <c r="Z11" i="20" s="1"/>
  <c r="Z9" i="20"/>
  <c r="Z8" i="20"/>
  <c r="Z7" i="20"/>
  <c r="Z6" i="20"/>
  <c r="Z5" i="20"/>
  <c r="Y588" i="20"/>
  <c r="Y587" i="20"/>
  <c r="Y586" i="20"/>
  <c r="Y583" i="20"/>
  <c r="Y582" i="20"/>
  <c r="Y581" i="20"/>
  <c r="Y580" i="20"/>
  <c r="Y579" i="20"/>
  <c r="Y578" i="20" s="1"/>
  <c r="Y576" i="20"/>
  <c r="Y575" i="20"/>
  <c r="Y574" i="20"/>
  <c r="Y573" i="20"/>
  <c r="Y572" i="20"/>
  <c r="Y571" i="20" s="1"/>
  <c r="Y569" i="20"/>
  <c r="Y568" i="20"/>
  <c r="Y567" i="20"/>
  <c r="Y566" i="20"/>
  <c r="Y565" i="20"/>
  <c r="Y564" i="20" s="1"/>
  <c r="Y562" i="20"/>
  <c r="Y561" i="20"/>
  <c r="Y560" i="20"/>
  <c r="Y559" i="20"/>
  <c r="Y558" i="20"/>
  <c r="Y557" i="20" s="1"/>
  <c r="Y555" i="20"/>
  <c r="Y554" i="20"/>
  <c r="Y553" i="20"/>
  <c r="Y552" i="20"/>
  <c r="Y551" i="20"/>
  <c r="Y550" i="20" s="1"/>
  <c r="Y548" i="20"/>
  <c r="Y547" i="20"/>
  <c r="Y546" i="20"/>
  <c r="Y545" i="20"/>
  <c r="Y544" i="20"/>
  <c r="Y543" i="20" s="1"/>
  <c r="Y541" i="20"/>
  <c r="Y540" i="20"/>
  <c r="Y539" i="20"/>
  <c r="Y538" i="20"/>
  <c r="Y537" i="20"/>
  <c r="Y536" i="20" s="1"/>
  <c r="Y534" i="20"/>
  <c r="Y533" i="20"/>
  <c r="Y532" i="20"/>
  <c r="Y531" i="20"/>
  <c r="Y530" i="20"/>
  <c r="Y529" i="20" s="1"/>
  <c r="Y527" i="20"/>
  <c r="Y526" i="20"/>
  <c r="Y525" i="20"/>
  <c r="Y524" i="20"/>
  <c r="Y523" i="20"/>
  <c r="Y522" i="20" s="1"/>
  <c r="Y520" i="20"/>
  <c r="Y519" i="20"/>
  <c r="Y518" i="20"/>
  <c r="Y517" i="20"/>
  <c r="Y516" i="20"/>
  <c r="Y515" i="20" s="1"/>
  <c r="Y513" i="20"/>
  <c r="Y512" i="20"/>
  <c r="Y511" i="20"/>
  <c r="Y510" i="20"/>
  <c r="Y509" i="20"/>
  <c r="Y508" i="20" s="1"/>
  <c r="Y506" i="20"/>
  <c r="Y505" i="20"/>
  <c r="Y504" i="20"/>
  <c r="Y503" i="20"/>
  <c r="Y502" i="20"/>
  <c r="Y501" i="20" s="1"/>
  <c r="Y499" i="20"/>
  <c r="Y498" i="20"/>
  <c r="Y497" i="20"/>
  <c r="Y496" i="20"/>
  <c r="Y495" i="20"/>
  <c r="Y494" i="20" s="1"/>
  <c r="Y492" i="20"/>
  <c r="Y491" i="20"/>
  <c r="Y490" i="20"/>
  <c r="Y489" i="20"/>
  <c r="Y488" i="20"/>
  <c r="Y487" i="20" s="1"/>
  <c r="Y485" i="20"/>
  <c r="Y484" i="20"/>
  <c r="Y483" i="20"/>
  <c r="Y482" i="20"/>
  <c r="Y481" i="20"/>
  <c r="Y480" i="20" s="1"/>
  <c r="Y478" i="20"/>
  <c r="Y477" i="20"/>
  <c r="Y476" i="20"/>
  <c r="Y475" i="20"/>
  <c r="Y474" i="20"/>
  <c r="Y473" i="20" s="1"/>
  <c r="Y471" i="20"/>
  <c r="Y470" i="20"/>
  <c r="Y469" i="20"/>
  <c r="Y468" i="20"/>
  <c r="Y467" i="20"/>
  <c r="Y466" i="20" s="1"/>
  <c r="Y464" i="20"/>
  <c r="Y463" i="20"/>
  <c r="Y462" i="20"/>
  <c r="Y461" i="20"/>
  <c r="Y460" i="20"/>
  <c r="Y459" i="20" s="1"/>
  <c r="Y457" i="20"/>
  <c r="Y456" i="20"/>
  <c r="Y455" i="20"/>
  <c r="Y454" i="20"/>
  <c r="Y453" i="20"/>
  <c r="Y452" i="20" s="1"/>
  <c r="Y450" i="20"/>
  <c r="Y449" i="20"/>
  <c r="Y448" i="20"/>
  <c r="Y447" i="20"/>
  <c r="Y446" i="20"/>
  <c r="Y445" i="20" s="1"/>
  <c r="Y443" i="20"/>
  <c r="Y442" i="20"/>
  <c r="Y441" i="20"/>
  <c r="Y440" i="20"/>
  <c r="Y439" i="20"/>
  <c r="Y438" i="20" s="1"/>
  <c r="Y436" i="20"/>
  <c r="Y435" i="20"/>
  <c r="Y434" i="20"/>
  <c r="Y433" i="20"/>
  <c r="Y432" i="20"/>
  <c r="Y431" i="20" s="1"/>
  <c r="Y429" i="20"/>
  <c r="Y428" i="20"/>
  <c r="Y427" i="20"/>
  <c r="Y426" i="20"/>
  <c r="Y425" i="20"/>
  <c r="Y424" i="20" s="1"/>
  <c r="Y422" i="20"/>
  <c r="Y421" i="20"/>
  <c r="Y420" i="20"/>
  <c r="Y419" i="20"/>
  <c r="Y418" i="20"/>
  <c r="Y417" i="20" s="1"/>
  <c r="Y415" i="20"/>
  <c r="Y414" i="20"/>
  <c r="Y413" i="20"/>
  <c r="Y412" i="20"/>
  <c r="Y411" i="20"/>
  <c r="Y410" i="20" s="1"/>
  <c r="Y408" i="20"/>
  <c r="Y407" i="20"/>
  <c r="Y406" i="20"/>
  <c r="Y405" i="20"/>
  <c r="Y404" i="20"/>
  <c r="Y403" i="20" s="1"/>
  <c r="Y401" i="20"/>
  <c r="Y400" i="20"/>
  <c r="Y399" i="20"/>
  <c r="Y398" i="20"/>
  <c r="Y397" i="20"/>
  <c r="Y396" i="20" s="1"/>
  <c r="Y394" i="20"/>
  <c r="Y393" i="20"/>
  <c r="Y392" i="20"/>
  <c r="Y391" i="20"/>
  <c r="Y390" i="20"/>
  <c r="Y389" i="20" s="1"/>
  <c r="Y387" i="20"/>
  <c r="Y386" i="20"/>
  <c r="Y385" i="20"/>
  <c r="Y384" i="20"/>
  <c r="Y383" i="20"/>
  <c r="Y382" i="20" s="1"/>
  <c r="Y380" i="20"/>
  <c r="Y379" i="20"/>
  <c r="Y378" i="20"/>
  <c r="Y377" i="20"/>
  <c r="Y376" i="20"/>
  <c r="Y375" i="20" s="1"/>
  <c r="Y373" i="20"/>
  <c r="Y372" i="20"/>
  <c r="Y371" i="20"/>
  <c r="Y370" i="20"/>
  <c r="Y369" i="20"/>
  <c r="Y368" i="20" s="1"/>
  <c r="Y366" i="20"/>
  <c r="Y365" i="20"/>
  <c r="Y364" i="20"/>
  <c r="Y363" i="20"/>
  <c r="Y362" i="20"/>
  <c r="Y361" i="20" s="1"/>
  <c r="Y359" i="20"/>
  <c r="Y358" i="20"/>
  <c r="Y357" i="20"/>
  <c r="Y356" i="20"/>
  <c r="Y355" i="20"/>
  <c r="Y354" i="20" s="1"/>
  <c r="Y352" i="20"/>
  <c r="Y351" i="20"/>
  <c r="Y350" i="20"/>
  <c r="Y349" i="20"/>
  <c r="Y348" i="20"/>
  <c r="Y347" i="20" s="1"/>
  <c r="Y345" i="20"/>
  <c r="Y344" i="20"/>
  <c r="Y343" i="20"/>
  <c r="Y342" i="20"/>
  <c r="Y341" i="20"/>
  <c r="Y340" i="20" s="1"/>
  <c r="Y338" i="20"/>
  <c r="Y337" i="20"/>
  <c r="Y336" i="20"/>
  <c r="Y335" i="20"/>
  <c r="Y334" i="20"/>
  <c r="Y333" i="20" s="1"/>
  <c r="Y331" i="20"/>
  <c r="Y330" i="20"/>
  <c r="Y329" i="20"/>
  <c r="Y328" i="20"/>
  <c r="Y327" i="20"/>
  <c r="Y326" i="20" s="1"/>
  <c r="Y324" i="20"/>
  <c r="Y323" i="20"/>
  <c r="Y322" i="20"/>
  <c r="Y321" i="20"/>
  <c r="Y320" i="20"/>
  <c r="Y319" i="20" s="1"/>
  <c r="Y317" i="20"/>
  <c r="Y316" i="20"/>
  <c r="Y315" i="20"/>
  <c r="Y314" i="20"/>
  <c r="Y313" i="20"/>
  <c r="Y312" i="20" s="1"/>
  <c r="Y310" i="20"/>
  <c r="Y309" i="20"/>
  <c r="Y308" i="20"/>
  <c r="Y307" i="20"/>
  <c r="Y306" i="20"/>
  <c r="Y305" i="20" s="1"/>
  <c r="Y303" i="20"/>
  <c r="Y302" i="20"/>
  <c r="Y301" i="20"/>
  <c r="Y300" i="20"/>
  <c r="Y299" i="20"/>
  <c r="Y298" i="20" s="1"/>
  <c r="Y296" i="20"/>
  <c r="Y295" i="20"/>
  <c r="Y294" i="20"/>
  <c r="Y293" i="20"/>
  <c r="Y292" i="20"/>
  <c r="Y291" i="20" s="1"/>
  <c r="Y289" i="20"/>
  <c r="Y288" i="20"/>
  <c r="Y287" i="20"/>
  <c r="Y286" i="20"/>
  <c r="Y285" i="20"/>
  <c r="Y284" i="20" s="1"/>
  <c r="Y282" i="20"/>
  <c r="Y281" i="20"/>
  <c r="Y280" i="20"/>
  <c r="Y279" i="20"/>
  <c r="Y278" i="20"/>
  <c r="Y277" i="20" s="1"/>
  <c r="Y275" i="20"/>
  <c r="Y274" i="20"/>
  <c r="Y273" i="20"/>
  <c r="Y272" i="20"/>
  <c r="Y271" i="20"/>
  <c r="Y270" i="20" s="1"/>
  <c r="Y268" i="20"/>
  <c r="Y267" i="20"/>
  <c r="Y266" i="20"/>
  <c r="Y265" i="20"/>
  <c r="Y264" i="20"/>
  <c r="Y263" i="20" s="1"/>
  <c r="Y261" i="20"/>
  <c r="Y260" i="20"/>
  <c r="Y259" i="20"/>
  <c r="Y258" i="20"/>
  <c r="Y257" i="20"/>
  <c r="Y256" i="20" s="1"/>
  <c r="Y254" i="20"/>
  <c r="Y253" i="20"/>
  <c r="Y252" i="20"/>
  <c r="Y251" i="20"/>
  <c r="Y250" i="20"/>
  <c r="Y249" i="20" s="1"/>
  <c r="Y247" i="20"/>
  <c r="Y246" i="20"/>
  <c r="Y245" i="20"/>
  <c r="Y244" i="20"/>
  <c r="Y243" i="20"/>
  <c r="Y242" i="20" s="1"/>
  <c r="Y240" i="20"/>
  <c r="Y239" i="20"/>
  <c r="Y238" i="20"/>
  <c r="Y237" i="20"/>
  <c r="Y236" i="20"/>
  <c r="Y235" i="20" s="1"/>
  <c r="Y233" i="20"/>
  <c r="Y232" i="20"/>
  <c r="Y231" i="20"/>
  <c r="Y230" i="20"/>
  <c r="Y229" i="20"/>
  <c r="Y228" i="20" s="1"/>
  <c r="Y226" i="20"/>
  <c r="Y225" i="20"/>
  <c r="Y224" i="20"/>
  <c r="Y223" i="20"/>
  <c r="Y222" i="20"/>
  <c r="Y221" i="20" s="1"/>
  <c r="Y219" i="20"/>
  <c r="Y218" i="20"/>
  <c r="Y217" i="20"/>
  <c r="Y216" i="20"/>
  <c r="Y215" i="20"/>
  <c r="Y214" i="20" s="1"/>
  <c r="Y212" i="20"/>
  <c r="Y211" i="20"/>
  <c r="Y210" i="20"/>
  <c r="Y209" i="20"/>
  <c r="Y208" i="20"/>
  <c r="Y207" i="20" s="1"/>
  <c r="Y205" i="20"/>
  <c r="Y204" i="20"/>
  <c r="Y203" i="20"/>
  <c r="Y202" i="20"/>
  <c r="Y201" i="20"/>
  <c r="Y200" i="20" s="1"/>
  <c r="Y198" i="20"/>
  <c r="Y197" i="20"/>
  <c r="Y196" i="20"/>
  <c r="Y195" i="20"/>
  <c r="Y194" i="20"/>
  <c r="Y193" i="20" s="1"/>
  <c r="Y191" i="20"/>
  <c r="Y190" i="20"/>
  <c r="Y189" i="20"/>
  <c r="Y188" i="20"/>
  <c r="Y187" i="20"/>
  <c r="Y186" i="20" s="1"/>
  <c r="Y183" i="20"/>
  <c r="Y182" i="20"/>
  <c r="Y181" i="20"/>
  <c r="Y180" i="20"/>
  <c r="Y177" i="20"/>
  <c r="Y176" i="20"/>
  <c r="Y175" i="20"/>
  <c r="Y174" i="20"/>
  <c r="Y173" i="20"/>
  <c r="Y172" i="20" s="1"/>
  <c r="Y170" i="20"/>
  <c r="Y169" i="20"/>
  <c r="Y168" i="20"/>
  <c r="Y167" i="20"/>
  <c r="Y166" i="20"/>
  <c r="Y165" i="20" s="1"/>
  <c r="Y163" i="20"/>
  <c r="Y162" i="20"/>
  <c r="Y161" i="20"/>
  <c r="Y160" i="20"/>
  <c r="Y159" i="20"/>
  <c r="Y158" i="20" s="1"/>
  <c r="Y156" i="20"/>
  <c r="Y155" i="20"/>
  <c r="Y154" i="20"/>
  <c r="Y153" i="20"/>
  <c r="Y152" i="20"/>
  <c r="Y151" i="20" s="1"/>
  <c r="Y149" i="20"/>
  <c r="Y148" i="20"/>
  <c r="Y147" i="20"/>
  <c r="Y146" i="20"/>
  <c r="Y145" i="20"/>
  <c r="Y144" i="20" s="1"/>
  <c r="Y142" i="20"/>
  <c r="Y141" i="20"/>
  <c r="Y140" i="20"/>
  <c r="Y139" i="20"/>
  <c r="Y138" i="20"/>
  <c r="Y137" i="20" s="1"/>
  <c r="Y135" i="20"/>
  <c r="Y134" i="20"/>
  <c r="Y133" i="20"/>
  <c r="Y132" i="20"/>
  <c r="Y131" i="20"/>
  <c r="Y130" i="20" s="1"/>
  <c r="Y128" i="20"/>
  <c r="Y127" i="20"/>
  <c r="Y126" i="20"/>
  <c r="Y125" i="20"/>
  <c r="Y124" i="20"/>
  <c r="Y123" i="20" s="1"/>
  <c r="Y121" i="20"/>
  <c r="Y120" i="20"/>
  <c r="Y119" i="20"/>
  <c r="Y118" i="20"/>
  <c r="Y117" i="20"/>
  <c r="Y116" i="20" s="1"/>
  <c r="Y114" i="20"/>
  <c r="Y113" i="20"/>
  <c r="Y112" i="20"/>
  <c r="Y111" i="20"/>
  <c r="Y110" i="20"/>
  <c r="Y109" i="20" s="1"/>
  <c r="Y107" i="20"/>
  <c r="Y106" i="20"/>
  <c r="Y105" i="20"/>
  <c r="Y104" i="20"/>
  <c r="Y103" i="20"/>
  <c r="Y102" i="20" s="1"/>
  <c r="Y100" i="20"/>
  <c r="Y99" i="20"/>
  <c r="Y98" i="20"/>
  <c r="Y97" i="20"/>
  <c r="Y96" i="20"/>
  <c r="Y95" i="20" s="1"/>
  <c r="Y93" i="20"/>
  <c r="Y92" i="20"/>
  <c r="Y91" i="20"/>
  <c r="Y90" i="20"/>
  <c r="Y89" i="20"/>
  <c r="Y88" i="20" s="1"/>
  <c r="Y86" i="20"/>
  <c r="Y85" i="20"/>
  <c r="Y84" i="20"/>
  <c r="Y83" i="20"/>
  <c r="Y82" i="20"/>
  <c r="Y81" i="20" s="1"/>
  <c r="Y79" i="20"/>
  <c r="Y78" i="20"/>
  <c r="Y77" i="20"/>
  <c r="Y76" i="20"/>
  <c r="Y75" i="20"/>
  <c r="Y74" i="20" s="1"/>
  <c r="Y72" i="20"/>
  <c r="Y71" i="20"/>
  <c r="Y70" i="20"/>
  <c r="Y69" i="20"/>
  <c r="Y68" i="20"/>
  <c r="Y67" i="20" s="1"/>
  <c r="Y65" i="20"/>
  <c r="Y64" i="20"/>
  <c r="Y63" i="20"/>
  <c r="Y62" i="20"/>
  <c r="Y61" i="20"/>
  <c r="Y60" i="20" s="1"/>
  <c r="Y58" i="20"/>
  <c r="Y57" i="20"/>
  <c r="Y56" i="20"/>
  <c r="Y55" i="20"/>
  <c r="Y54" i="20"/>
  <c r="Y53" i="20" s="1"/>
  <c r="Y51" i="20"/>
  <c r="Y50" i="20"/>
  <c r="Y49" i="20"/>
  <c r="Y48" i="20"/>
  <c r="Y47" i="20"/>
  <c r="Y46" i="20" s="1"/>
  <c r="Y44" i="20"/>
  <c r="Y43" i="20"/>
  <c r="Y42" i="20"/>
  <c r="Y41" i="20"/>
  <c r="Y40" i="20"/>
  <c r="Y39" i="20" s="1"/>
  <c r="Y37" i="20"/>
  <c r="Y36" i="20"/>
  <c r="Y35" i="20"/>
  <c r="Y34" i="20"/>
  <c r="Y33" i="20"/>
  <c r="Y32" i="20" s="1"/>
  <c r="Y30" i="20"/>
  <c r="Y29" i="20"/>
  <c r="Y28" i="20"/>
  <c r="Y27" i="20"/>
  <c r="Y26" i="20"/>
  <c r="Y25" i="20" s="1"/>
  <c r="Y23" i="20"/>
  <c r="Y22" i="20"/>
  <c r="Y21" i="20"/>
  <c r="Y20" i="20"/>
  <c r="Y19" i="20"/>
  <c r="Y18" i="20" s="1"/>
  <c r="Y16" i="20"/>
  <c r="Y15" i="20"/>
  <c r="Y14" i="20"/>
  <c r="Y13" i="20"/>
  <c r="Y12" i="20"/>
  <c r="Y11" i="20" s="1"/>
  <c r="Y9" i="20"/>
  <c r="Y8" i="20"/>
  <c r="Y7" i="20"/>
  <c r="Y6" i="20"/>
  <c r="Y5" i="20"/>
  <c r="Y184" i="20"/>
  <c r="Y601" i="20"/>
  <c r="Y600" i="20"/>
  <c r="Y597" i="20"/>
  <c r="Y596" i="20"/>
  <c r="Y595" i="20"/>
  <c r="Y594" i="20"/>
  <c r="Y593" i="20"/>
  <c r="Y592" i="20" s="1"/>
  <c r="Y590" i="20"/>
  <c r="Y589" i="20"/>
  <c r="Y1619" i="20"/>
  <c r="Y1618" i="20"/>
  <c r="Y1617" i="20"/>
  <c r="Y1616" i="20"/>
  <c r="Y1615" i="20"/>
  <c r="Y1614" i="20" s="1"/>
  <c r="Y1612" i="20"/>
  <c r="Y1611" i="20"/>
  <c r="Y1610" i="20"/>
  <c r="Y1609" i="20"/>
  <c r="Y1608" i="20"/>
  <c r="Y1607" i="20" s="1"/>
  <c r="Y1605" i="20"/>
  <c r="Y1604" i="20"/>
  <c r="Y1603" i="20"/>
  <c r="Y1602" i="20"/>
  <c r="Y1601" i="20"/>
  <c r="Y1600" i="20" s="1"/>
  <c r="Y1598" i="20"/>
  <c r="Y1597" i="20"/>
  <c r="Y1596" i="20"/>
  <c r="Y1595" i="20"/>
  <c r="Y1594" i="20"/>
  <c r="Y1593" i="20" s="1"/>
  <c r="Y1591" i="20"/>
  <c r="Y1590" i="20"/>
  <c r="Y1589" i="20"/>
  <c r="Y1588" i="20"/>
  <c r="Y1587" i="20"/>
  <c r="Y1586" i="20" s="1"/>
  <c r="Y1584" i="20"/>
  <c r="Y1583" i="20"/>
  <c r="Y1582" i="20"/>
  <c r="Y1581" i="20"/>
  <c r="Y1580" i="20"/>
  <c r="Y1579" i="20" s="1"/>
  <c r="Y1577" i="20"/>
  <c r="Y1576" i="20"/>
  <c r="Y1575" i="20"/>
  <c r="Y1574" i="20"/>
  <c r="Y1573" i="20"/>
  <c r="Y1572" i="20" s="1"/>
  <c r="Y1570" i="20"/>
  <c r="Y1569" i="20"/>
  <c r="Y1568" i="20"/>
  <c r="Y1567" i="20"/>
  <c r="Y1566" i="20"/>
  <c r="Y1565" i="20" s="1"/>
  <c r="Y1563" i="20"/>
  <c r="Y1562" i="20"/>
  <c r="Y1561" i="20"/>
  <c r="Y1560" i="20"/>
  <c r="Y1559" i="20"/>
  <c r="Y1558" i="20" s="1"/>
  <c r="Y1556" i="20"/>
  <c r="Y1555" i="20"/>
  <c r="Y1554" i="20"/>
  <c r="Y1553" i="20"/>
  <c r="Y1552" i="20"/>
  <c r="Y1551" i="20" s="1"/>
  <c r="Y1549" i="20"/>
  <c r="Y1548" i="20"/>
  <c r="Y1547" i="20"/>
  <c r="Y1546" i="20"/>
  <c r="Y1545" i="20"/>
  <c r="Y1544" i="20" s="1"/>
  <c r="Y1542" i="20"/>
  <c r="Y1541" i="20"/>
  <c r="Y1540" i="20"/>
  <c r="Y1539" i="20"/>
  <c r="Y1538" i="20"/>
  <c r="Y1537" i="20" s="1"/>
  <c r="Y1535" i="20"/>
  <c r="Y1534" i="20"/>
  <c r="Y1533" i="20"/>
  <c r="Y1532" i="20"/>
  <c r="Y1531" i="20"/>
  <c r="Y1530" i="20" s="1"/>
  <c r="Y1528" i="20"/>
  <c r="Y1527" i="20"/>
  <c r="Y1526" i="20"/>
  <c r="Y1525" i="20"/>
  <c r="Y1524" i="20"/>
  <c r="Y1523" i="20" s="1"/>
  <c r="Y1521" i="20"/>
  <c r="Y1520" i="20"/>
  <c r="Y1519" i="20"/>
  <c r="Y1518" i="20"/>
  <c r="Y1517" i="20"/>
  <c r="Y1516" i="20" s="1"/>
  <c r="Y1514" i="20"/>
  <c r="Y1513" i="20"/>
  <c r="Y1512" i="20"/>
  <c r="Y1511" i="20"/>
  <c r="Y1510" i="20"/>
  <c r="Y1509" i="20" s="1"/>
  <c r="Y1507" i="20"/>
  <c r="Y1506" i="20"/>
  <c r="Y1505" i="20"/>
  <c r="Y1504" i="20"/>
  <c r="Y1503" i="20"/>
  <c r="Y1502" i="20" s="1"/>
  <c r="Y1500" i="20"/>
  <c r="Y1499" i="20"/>
  <c r="Y1498" i="20"/>
  <c r="Y1497" i="20"/>
  <c r="Y1496" i="20"/>
  <c r="Y1495" i="20" s="1"/>
  <c r="Y1493" i="20"/>
  <c r="Y1492" i="20"/>
  <c r="Y1491" i="20"/>
  <c r="Y1490" i="20"/>
  <c r="Y1489" i="20"/>
  <c r="Y1488" i="20" s="1"/>
  <c r="Y1486" i="20"/>
  <c r="Y1485" i="20"/>
  <c r="Y1484" i="20"/>
  <c r="Y1483" i="20"/>
  <c r="Y1482" i="20"/>
  <c r="Y1481" i="20" s="1"/>
  <c r="Y1479" i="20"/>
  <c r="Y1478" i="20"/>
  <c r="Y1477" i="20"/>
  <c r="Y1476" i="20"/>
  <c r="Y1475" i="20"/>
  <c r="Y1474" i="20" s="1"/>
  <c r="Y1472" i="20"/>
  <c r="Y1471" i="20"/>
  <c r="Y1470" i="20"/>
  <c r="Y1469" i="20"/>
  <c r="Y1468" i="20"/>
  <c r="Y1467" i="20" s="1"/>
  <c r="Y1465" i="20"/>
  <c r="Y1464" i="20"/>
  <c r="Y1463" i="20"/>
  <c r="Y1462" i="20"/>
  <c r="Y1461" i="20"/>
  <c r="Y1460" i="20" s="1"/>
  <c r="Y1458" i="20"/>
  <c r="Y1457" i="20"/>
  <c r="Y1456" i="20"/>
  <c r="Y1455" i="20"/>
  <c r="Y1454" i="20"/>
  <c r="Y1453" i="20" s="1"/>
  <c r="Y1451" i="20"/>
  <c r="Y1450" i="20"/>
  <c r="Y1449" i="20"/>
  <c r="Y1448" i="20"/>
  <c r="Y1447" i="20"/>
  <c r="Y1446" i="20" s="1"/>
  <c r="Y1444" i="20"/>
  <c r="Y1443" i="20"/>
  <c r="Y1442" i="20"/>
  <c r="Y1441" i="20"/>
  <c r="Y1440" i="20"/>
  <c r="Y1439" i="20" s="1"/>
  <c r="Y1437" i="20"/>
  <c r="Y1436" i="20"/>
  <c r="Y1435" i="20"/>
  <c r="Y1434" i="20"/>
  <c r="Y1433" i="20"/>
  <c r="Y1432" i="20" s="1"/>
  <c r="Y1430" i="20"/>
  <c r="Y1429" i="20"/>
  <c r="Y1428" i="20"/>
  <c r="Y1427" i="20"/>
  <c r="Y1426" i="20"/>
  <c r="Y1425" i="20" s="1"/>
  <c r="Y1423" i="20"/>
  <c r="Y1422" i="20"/>
  <c r="Y1421" i="20"/>
  <c r="Y1420" i="20"/>
  <c r="Y1419" i="20"/>
  <c r="Y1418" i="20" s="1"/>
  <c r="Y1416" i="20"/>
  <c r="Y1415" i="20"/>
  <c r="Y1414" i="20"/>
  <c r="Y1413" i="20"/>
  <c r="Y1412" i="20"/>
  <c r="Y1411" i="20" s="1"/>
  <c r="Y1409" i="20"/>
  <c r="Y1408" i="20"/>
  <c r="Y1407" i="20"/>
  <c r="Y1406" i="20"/>
  <c r="Y1405" i="20"/>
  <c r="Y1404" i="20" s="1"/>
  <c r="Y1402" i="20"/>
  <c r="Y1401" i="20"/>
  <c r="Y1400" i="20"/>
  <c r="Y1399" i="20"/>
  <c r="Y1398" i="20"/>
  <c r="Y1397" i="20" s="1"/>
  <c r="Y1395" i="20"/>
  <c r="Y1394" i="20"/>
  <c r="Y1393" i="20"/>
  <c r="Y1392" i="20"/>
  <c r="Y1391" i="20"/>
  <c r="Y1390" i="20" s="1"/>
  <c r="Y1388" i="20"/>
  <c r="Y1387" i="20"/>
  <c r="Y1386" i="20"/>
  <c r="Y1385" i="20"/>
  <c r="Y1384" i="20"/>
  <c r="Y1383" i="20" s="1"/>
  <c r="Y1381" i="20"/>
  <c r="Y1380" i="20"/>
  <c r="Y1379" i="20"/>
  <c r="Y1378" i="20"/>
  <c r="Y1377" i="20"/>
  <c r="Y1376" i="20" s="1"/>
  <c r="Y1374" i="20"/>
  <c r="Y1373" i="20"/>
  <c r="Y1372" i="20"/>
  <c r="Y1371" i="20"/>
  <c r="Y1370" i="20"/>
  <c r="Y1369" i="20" s="1"/>
  <c r="Y1367" i="20"/>
  <c r="Y1366" i="20"/>
  <c r="Y1365" i="20"/>
  <c r="Y1364" i="20"/>
  <c r="Y1363" i="20"/>
  <c r="Y1362" i="20" s="1"/>
  <c r="Y1360" i="20"/>
  <c r="Y1359" i="20"/>
  <c r="Y1358" i="20"/>
  <c r="Y1357" i="20"/>
  <c r="Y1356" i="20"/>
  <c r="Y1355" i="20" s="1"/>
  <c r="Y1353" i="20"/>
  <c r="Y1352" i="20"/>
  <c r="Y1351" i="20"/>
  <c r="Y1350" i="20"/>
  <c r="Y1349" i="20"/>
  <c r="Y1348" i="20" s="1"/>
  <c r="Y1346" i="20"/>
  <c r="Y1345" i="20"/>
  <c r="Y1344" i="20"/>
  <c r="Y1343" i="20"/>
  <c r="Y1342" i="20"/>
  <c r="Y1341" i="20" s="1"/>
  <c r="Y1339" i="20"/>
  <c r="Y1338" i="20"/>
  <c r="Y1337" i="20"/>
  <c r="Y1336" i="20"/>
  <c r="Y1335" i="20"/>
  <c r="Y1334" i="20" s="1"/>
  <c r="Y1332" i="20"/>
  <c r="Y1331" i="20"/>
  <c r="Y1330" i="20"/>
  <c r="Y1329" i="20"/>
  <c r="Y1328" i="20"/>
  <c r="Y1327" i="20" s="1"/>
  <c r="Y1325" i="20"/>
  <c r="Y1324" i="20"/>
  <c r="Y1323" i="20"/>
  <c r="Y1322" i="20"/>
  <c r="Y1321" i="20"/>
  <c r="Y1320" i="20" s="1"/>
  <c r="Y1318" i="20"/>
  <c r="Y1317" i="20"/>
  <c r="Y1316" i="20"/>
  <c r="Y1315" i="20"/>
  <c r="Y1314" i="20"/>
  <c r="Y1313" i="20" s="1"/>
  <c r="Y1311" i="20"/>
  <c r="Y1310" i="20"/>
  <c r="Y1309" i="20"/>
  <c r="Y1308" i="20"/>
  <c r="Y1307" i="20"/>
  <c r="Y1306" i="20" s="1"/>
  <c r="Y1304" i="20"/>
  <c r="Y1303" i="20"/>
  <c r="Y1302" i="20"/>
  <c r="Y1301" i="20"/>
  <c r="Y1300" i="20"/>
  <c r="Y1299" i="20" s="1"/>
  <c r="Y1297" i="20"/>
  <c r="Y1296" i="20"/>
  <c r="Y1295" i="20"/>
  <c r="Y1294" i="20"/>
  <c r="Y1293" i="20"/>
  <c r="Y1292" i="20" s="1"/>
  <c r="Y1290" i="20"/>
  <c r="Y1289" i="20"/>
  <c r="Y1288" i="20"/>
  <c r="Y1287" i="20"/>
  <c r="Y1286" i="20"/>
  <c r="Y1285" i="20" s="1"/>
  <c r="Y1283" i="20"/>
  <c r="Y1282" i="20"/>
  <c r="Y1281" i="20"/>
  <c r="Y1280" i="20"/>
  <c r="Y1279" i="20"/>
  <c r="Y1278" i="20" s="1"/>
  <c r="Y1276" i="20"/>
  <c r="Y1275" i="20"/>
  <c r="Y1274" i="20"/>
  <c r="Y1273" i="20"/>
  <c r="Y1272" i="20"/>
  <c r="Y1271" i="20" s="1"/>
  <c r="Y1269" i="20"/>
  <c r="Y1268" i="20"/>
  <c r="Y1267" i="20"/>
  <c r="Y1266" i="20"/>
  <c r="Y1265" i="20"/>
  <c r="Y1264" i="20" s="1"/>
  <c r="Y1262" i="20"/>
  <c r="Y1261" i="20"/>
  <c r="Y1260" i="20"/>
  <c r="Y1259" i="20"/>
  <c r="Y1258" i="20"/>
  <c r="Y1257" i="20" s="1"/>
  <c r="Y1255" i="20"/>
  <c r="Y1254" i="20"/>
  <c r="Y1253" i="20"/>
  <c r="Y1252" i="20"/>
  <c r="Y1251" i="20"/>
  <c r="Y1250" i="20" s="1"/>
  <c r="Y1248" i="20"/>
  <c r="Y1247" i="20"/>
  <c r="Y1246" i="20"/>
  <c r="Y1245" i="20"/>
  <c r="Y1244" i="20"/>
  <c r="Y1243" i="20" s="1"/>
  <c r="Y1241" i="20"/>
  <c r="Y1240" i="20"/>
  <c r="Y1239" i="20"/>
  <c r="Y1238" i="20"/>
  <c r="Y1237" i="20"/>
  <c r="Y1236" i="20" s="1"/>
  <c r="Y1234" i="20"/>
  <c r="Y1233" i="20"/>
  <c r="Y1232" i="20"/>
  <c r="Y1231" i="20"/>
  <c r="Y1230" i="20"/>
  <c r="Y1229" i="20" s="1"/>
  <c r="Y1227" i="20"/>
  <c r="Y1226" i="20"/>
  <c r="Y1225" i="20"/>
  <c r="Y1224" i="20"/>
  <c r="Y1223" i="20"/>
  <c r="Y1222" i="20" s="1"/>
  <c r="Y1220" i="20"/>
  <c r="Y1219" i="20"/>
  <c r="Y1218" i="20"/>
  <c r="Y1217" i="20"/>
  <c r="Y1216" i="20"/>
  <c r="Y1215" i="20" s="1"/>
  <c r="Y1213" i="20"/>
  <c r="Y1212" i="20"/>
  <c r="Y1211" i="20"/>
  <c r="Y1210" i="20"/>
  <c r="Y1209" i="20"/>
  <c r="Y1208" i="20" s="1"/>
  <c r="Y1206" i="20"/>
  <c r="Y1205" i="20"/>
  <c r="Y1204" i="20"/>
  <c r="Y1203" i="20"/>
  <c r="Y1202" i="20"/>
  <c r="Y1201" i="20" s="1"/>
  <c r="Y1199" i="20"/>
  <c r="Y1198" i="20"/>
  <c r="Y1197" i="20"/>
  <c r="Y1196" i="20"/>
  <c r="Y1195" i="20"/>
  <c r="Y1194" i="20" s="1"/>
  <c r="Y1192" i="20"/>
  <c r="Y1191" i="20"/>
  <c r="Y1190" i="20"/>
  <c r="Y1189" i="20"/>
  <c r="Y1188" i="20"/>
  <c r="Y1187" i="20" s="1"/>
  <c r="Y1185" i="20"/>
  <c r="Y1184" i="20"/>
  <c r="Y1183" i="20"/>
  <c r="Y1182" i="20"/>
  <c r="Y1181" i="20"/>
  <c r="Y1180" i="20" s="1"/>
  <c r="Y1178" i="20"/>
  <c r="Y1177" i="20"/>
  <c r="Y1176" i="20"/>
  <c r="Y1175" i="20"/>
  <c r="Y1174" i="20"/>
  <c r="Y1173" i="20" s="1"/>
  <c r="Y1171" i="20"/>
  <c r="Y1170" i="20"/>
  <c r="Y1169" i="20"/>
  <c r="Y1168" i="20"/>
  <c r="Y1167" i="20"/>
  <c r="Y1166" i="20" s="1"/>
  <c r="Y1164" i="20"/>
  <c r="Y1163" i="20"/>
  <c r="Y1162" i="20"/>
  <c r="Y1161" i="20"/>
  <c r="Y1160" i="20"/>
  <c r="Y1159" i="20" s="1"/>
  <c r="Y1157" i="20"/>
  <c r="Y1156" i="20"/>
  <c r="Y1155" i="20"/>
  <c r="Y1154" i="20"/>
  <c r="Y1153" i="20"/>
  <c r="Y1152" i="20" s="1"/>
  <c r="Y1150" i="20"/>
  <c r="Y1149" i="20"/>
  <c r="Y1148" i="20"/>
  <c r="Y1147" i="20"/>
  <c r="Y1146" i="20"/>
  <c r="Y1145" i="20" s="1"/>
  <c r="Y1143" i="20"/>
  <c r="Y1142" i="20"/>
  <c r="Y1141" i="20"/>
  <c r="Y1140" i="20"/>
  <c r="Y1139" i="20"/>
  <c r="Y1138" i="20" s="1"/>
  <c r="Y1136" i="20"/>
  <c r="Y1135" i="20"/>
  <c r="Y1134" i="20"/>
  <c r="Y1133" i="20"/>
  <c r="Y1132" i="20"/>
  <c r="Y1131" i="20" s="1"/>
  <c r="Y1129" i="20"/>
  <c r="Y1128" i="20"/>
  <c r="Y1127" i="20"/>
  <c r="Y1126" i="20"/>
  <c r="Y1125" i="20"/>
  <c r="Y1124" i="20" s="1"/>
  <c r="Y1122" i="20"/>
  <c r="Y1121" i="20"/>
  <c r="Y1120" i="20"/>
  <c r="Y1119" i="20"/>
  <c r="Y1118" i="20"/>
  <c r="Y1117" i="20" s="1"/>
  <c r="Y1115" i="20"/>
  <c r="Y1114" i="20"/>
  <c r="Y1113" i="20"/>
  <c r="Y1112" i="20"/>
  <c r="Y1111" i="20"/>
  <c r="Y1110" i="20" s="1"/>
  <c r="Y1108" i="20"/>
  <c r="Y1107" i="20"/>
  <c r="Y1106" i="20"/>
  <c r="Y1105" i="20"/>
  <c r="Y1104" i="20"/>
  <c r="Y1103" i="20" s="1"/>
  <c r="Y1101" i="20"/>
  <c r="Y1100" i="20"/>
  <c r="Y1099" i="20"/>
  <c r="Y1098" i="20"/>
  <c r="Y1097" i="20"/>
  <c r="Y1096" i="20" s="1"/>
  <c r="Y1094" i="20"/>
  <c r="Y1093" i="20"/>
  <c r="Y1092" i="20"/>
  <c r="Y1091" i="20"/>
  <c r="Y1090" i="20"/>
  <c r="Y1089" i="20" s="1"/>
  <c r="Y1087" i="20"/>
  <c r="Y1086" i="20"/>
  <c r="Y1085" i="20"/>
  <c r="Y1084" i="20"/>
  <c r="Y1083" i="20"/>
  <c r="Y1082" i="20" s="1"/>
  <c r="Y1080" i="20"/>
  <c r="Y1079" i="20"/>
  <c r="Y1078" i="20"/>
  <c r="Y1077" i="20"/>
  <c r="Y1076" i="20"/>
  <c r="Y1075" i="20" s="1"/>
  <c r="Y1073" i="20"/>
  <c r="Y1072" i="20"/>
  <c r="Y1071" i="20"/>
  <c r="Y1070" i="20"/>
  <c r="Y1069" i="20"/>
  <c r="Y1068" i="20" s="1"/>
  <c r="Y1066" i="20"/>
  <c r="Y1065" i="20"/>
  <c r="Y1064" i="20"/>
  <c r="Y1063" i="20"/>
  <c r="Y1062" i="20"/>
  <c r="Y1061" i="20" s="1"/>
  <c r="Y1059" i="20"/>
  <c r="Y1058" i="20"/>
  <c r="Y1057" i="20"/>
  <c r="Y1056" i="20"/>
  <c r="Y1055" i="20"/>
  <c r="Y1054" i="20" s="1"/>
  <c r="Y1052" i="20"/>
  <c r="Y1051" i="20"/>
  <c r="Y1050" i="20"/>
  <c r="Y1049" i="20"/>
  <c r="Y1048" i="20"/>
  <c r="Y1047" i="20" s="1"/>
  <c r="Y1045" i="20"/>
  <c r="Y1044" i="20"/>
  <c r="Y1043" i="20"/>
  <c r="Y1042" i="20"/>
  <c r="Y1041" i="20"/>
  <c r="Y1040" i="20" s="1"/>
  <c r="Y1038" i="20"/>
  <c r="Y1037" i="20"/>
  <c r="Y1036" i="20"/>
  <c r="Y1035" i="20"/>
  <c r="Y1034" i="20"/>
  <c r="Y1033" i="20" s="1"/>
  <c r="Y1031" i="20"/>
  <c r="Y1030" i="20"/>
  <c r="Y1029" i="20"/>
  <c r="Y1028" i="20"/>
  <c r="Y1027" i="20"/>
  <c r="Y1026" i="20" s="1"/>
  <c r="Y1024" i="20"/>
  <c r="Y1023" i="20"/>
  <c r="Y1022" i="20"/>
  <c r="Y1021" i="20"/>
  <c r="Y1020" i="20"/>
  <c r="Y1019" i="20" s="1"/>
  <c r="Y1017" i="20"/>
  <c r="Y1016" i="20"/>
  <c r="Y1015" i="20"/>
  <c r="Y1014" i="20"/>
  <c r="Y1013" i="20"/>
  <c r="Y1012" i="20" s="1"/>
  <c r="Y1010" i="20"/>
  <c r="Y1009" i="20"/>
  <c r="Y1008" i="20"/>
  <c r="Y1007" i="20"/>
  <c r="Y1006" i="20"/>
  <c r="Y1005" i="20" s="1"/>
  <c r="Y1003" i="20"/>
  <c r="Y1002" i="20"/>
  <c r="Y1001" i="20"/>
  <c r="Y1000" i="20"/>
  <c r="Y999" i="20"/>
  <c r="Y998" i="20" s="1"/>
  <c r="Y996" i="20"/>
  <c r="Y995" i="20"/>
  <c r="Y994" i="20"/>
  <c r="Y993" i="20"/>
  <c r="Y992" i="20"/>
  <c r="Y991" i="20" s="1"/>
  <c r="Y989" i="20"/>
  <c r="Y988" i="20"/>
  <c r="Y987" i="20"/>
  <c r="Y986" i="20"/>
  <c r="Y985" i="20"/>
  <c r="Y984" i="20" s="1"/>
  <c r="Y982" i="20"/>
  <c r="Y981" i="20"/>
  <c r="Y980" i="20"/>
  <c r="Y979" i="20"/>
  <c r="Y978" i="20"/>
  <c r="Y977" i="20" s="1"/>
  <c r="Y975" i="20"/>
  <c r="Y974" i="20"/>
  <c r="Y973" i="20"/>
  <c r="Y972" i="20"/>
  <c r="Y971" i="20"/>
  <c r="Y970" i="20" s="1"/>
  <c r="Y968" i="20"/>
  <c r="Y967" i="20"/>
  <c r="Y966" i="20"/>
  <c r="Y965" i="20"/>
  <c r="Y964" i="20"/>
  <c r="Y963" i="20" s="1"/>
  <c r="Y961" i="20"/>
  <c r="Y960" i="20"/>
  <c r="Y959" i="20"/>
  <c r="Y958" i="20"/>
  <c r="Y957" i="20"/>
  <c r="Y956" i="20" s="1"/>
  <c r="Y954" i="20"/>
  <c r="Y953" i="20"/>
  <c r="Y952" i="20"/>
  <c r="Y951" i="20"/>
  <c r="Y950" i="20"/>
  <c r="Y949" i="20" s="1"/>
  <c r="Y947" i="20"/>
  <c r="Y946" i="20"/>
  <c r="Y945" i="20"/>
  <c r="Y944" i="20"/>
  <c r="Y943" i="20"/>
  <c r="Y942" i="20" s="1"/>
  <c r="Y940" i="20"/>
  <c r="Y939" i="20"/>
  <c r="Y938" i="20"/>
  <c r="Y937" i="20"/>
  <c r="Y936" i="20"/>
  <c r="Y935" i="20" s="1"/>
  <c r="Y933" i="20"/>
  <c r="Y932" i="20"/>
  <c r="Y931" i="20"/>
  <c r="Y930" i="20"/>
  <c r="Y929" i="20"/>
  <c r="Y928" i="20" s="1"/>
  <c r="Y926" i="20"/>
  <c r="Y925" i="20"/>
  <c r="Y924" i="20"/>
  <c r="Y923" i="20"/>
  <c r="Y922" i="20"/>
  <c r="Y921" i="20" s="1"/>
  <c r="Y919" i="20"/>
  <c r="Y918" i="20"/>
  <c r="Y917" i="20"/>
  <c r="Y916" i="20"/>
  <c r="Y915" i="20"/>
  <c r="Y914" i="20" s="1"/>
  <c r="Y912" i="20"/>
  <c r="Y911" i="20"/>
  <c r="Y910" i="20"/>
  <c r="Y909" i="20"/>
  <c r="Y908" i="20"/>
  <c r="Y907" i="20" s="1"/>
  <c r="Y905" i="20"/>
  <c r="Y904" i="20"/>
  <c r="Y903" i="20"/>
  <c r="Y902" i="20"/>
  <c r="Y901" i="20"/>
  <c r="Y900" i="20" s="1"/>
  <c r="Y898" i="20"/>
  <c r="Y897" i="20"/>
  <c r="Y896" i="20"/>
  <c r="Y895" i="20"/>
  <c r="Y894" i="20"/>
  <c r="Y893" i="20" s="1"/>
  <c r="Y891" i="20"/>
  <c r="Y890" i="20"/>
  <c r="Y889" i="20"/>
  <c r="Y888" i="20"/>
  <c r="Y887" i="20"/>
  <c r="Y886" i="20" s="1"/>
  <c r="Y884" i="20"/>
  <c r="Y883" i="20"/>
  <c r="Y882" i="20"/>
  <c r="Y881" i="20"/>
  <c r="Y880" i="20"/>
  <c r="Y879" i="20" s="1"/>
  <c r="Y877" i="20"/>
  <c r="Y876" i="20"/>
  <c r="Y875" i="20"/>
  <c r="Y874" i="20"/>
  <c r="Y873" i="20"/>
  <c r="Y872" i="20" s="1"/>
  <c r="Y870" i="20"/>
  <c r="Y869" i="20"/>
  <c r="Y868" i="20"/>
  <c r="Y867" i="20"/>
  <c r="Y866" i="20"/>
  <c r="Y865" i="20" s="1"/>
  <c r="Y863" i="20"/>
  <c r="Y862" i="20"/>
  <c r="Y861" i="20"/>
  <c r="Y860" i="20"/>
  <c r="Y859" i="20"/>
  <c r="Y858" i="20" s="1"/>
  <c r="Y856" i="20"/>
  <c r="Y855" i="20"/>
  <c r="Y854" i="20"/>
  <c r="Y853" i="20"/>
  <c r="Y852" i="20"/>
  <c r="Y851" i="20" s="1"/>
  <c r="Y849" i="20"/>
  <c r="Y848" i="20"/>
  <c r="Y847" i="20"/>
  <c r="Y846" i="20"/>
  <c r="Y845" i="20"/>
  <c r="Y844" i="20" s="1"/>
  <c r="Y842" i="20"/>
  <c r="Y841" i="20"/>
  <c r="Y840" i="20"/>
  <c r="Y839" i="20"/>
  <c r="Y838" i="20"/>
  <c r="Y837" i="20" s="1"/>
  <c r="Y835" i="20"/>
  <c r="Y834" i="20"/>
  <c r="Y833" i="20"/>
  <c r="Y832" i="20"/>
  <c r="Y831" i="20"/>
  <c r="Y830" i="20" s="1"/>
  <c r="Y828" i="20"/>
  <c r="Y827" i="20"/>
  <c r="Y826" i="20"/>
  <c r="Y825" i="20"/>
  <c r="Y824" i="20"/>
  <c r="Y823" i="20" s="1"/>
  <c r="Y821" i="20"/>
  <c r="Y820" i="20"/>
  <c r="Y819" i="20"/>
  <c r="Y818" i="20"/>
  <c r="Y817" i="20"/>
  <c r="Y816" i="20" s="1"/>
  <c r="Y814" i="20"/>
  <c r="Y813" i="20"/>
  <c r="Y812" i="20"/>
  <c r="Y811" i="20"/>
  <c r="Y810" i="20"/>
  <c r="Y809" i="20" s="1"/>
  <c r="Y807" i="20"/>
  <c r="Y806" i="20"/>
  <c r="Y805" i="20"/>
  <c r="Y804" i="20"/>
  <c r="Y803" i="20"/>
  <c r="Y802" i="20" s="1"/>
  <c r="Y800" i="20"/>
  <c r="Y799" i="20"/>
  <c r="Y798" i="20"/>
  <c r="Y797" i="20"/>
  <c r="Y796" i="20"/>
  <c r="Y795" i="20" s="1"/>
  <c r="Y793" i="20"/>
  <c r="Y792" i="20"/>
  <c r="Y791" i="20"/>
  <c r="Y790" i="20"/>
  <c r="Y789" i="20"/>
  <c r="Y788" i="20" s="1"/>
  <c r="Y786" i="20"/>
  <c r="Y785" i="20"/>
  <c r="Y784" i="20"/>
  <c r="Y783" i="20"/>
  <c r="Y782" i="20"/>
  <c r="Y781" i="20" s="1"/>
  <c r="Y779" i="20"/>
  <c r="Y778" i="20"/>
  <c r="Y777" i="20"/>
  <c r="Y776" i="20"/>
  <c r="Y775" i="20"/>
  <c r="Y774" i="20" s="1"/>
  <c r="Y772" i="20"/>
  <c r="Y771" i="20"/>
  <c r="Y770" i="20"/>
  <c r="Y769" i="20"/>
  <c r="Y768" i="20"/>
  <c r="Y767" i="20" s="1"/>
  <c r="Y765" i="20"/>
  <c r="Y764" i="20"/>
  <c r="Y763" i="20"/>
  <c r="Y762" i="20"/>
  <c r="Y761" i="20"/>
  <c r="Y760" i="20" s="1"/>
  <c r="Y758" i="20"/>
  <c r="Y757" i="20"/>
  <c r="Y756" i="20"/>
  <c r="Y755" i="20"/>
  <c r="Y754" i="20"/>
  <c r="Y753" i="20" s="1"/>
  <c r="Y751" i="20"/>
  <c r="Y750" i="20"/>
  <c r="Y749" i="20"/>
  <c r="Y748" i="20"/>
  <c r="Y747" i="20"/>
  <c r="Y746" i="20" s="1"/>
  <c r="Y744" i="20"/>
  <c r="Y743" i="20"/>
  <c r="Y742" i="20"/>
  <c r="Y741" i="20"/>
  <c r="Y740" i="20"/>
  <c r="Y739" i="20" s="1"/>
  <c r="Y737" i="20"/>
  <c r="Y736" i="20"/>
  <c r="Y735" i="20"/>
  <c r="Y734" i="20"/>
  <c r="Y733" i="20"/>
  <c r="Y732" i="20" s="1"/>
  <c r="Y730" i="20"/>
  <c r="Y729" i="20"/>
  <c r="Y728" i="20"/>
  <c r="Y727" i="20"/>
  <c r="Y726" i="20"/>
  <c r="Y725" i="20" s="1"/>
  <c r="Y723" i="20"/>
  <c r="Y722" i="20"/>
  <c r="Y721" i="20"/>
  <c r="Y720" i="20"/>
  <c r="Y719" i="20"/>
  <c r="Y718" i="20" s="1"/>
  <c r="Y716" i="20"/>
  <c r="Y715" i="20"/>
  <c r="Y714" i="20"/>
  <c r="Y713" i="20"/>
  <c r="Y712" i="20"/>
  <c r="Y711" i="20" s="1"/>
  <c r="Y709" i="20"/>
  <c r="Y708" i="20"/>
  <c r="Y707" i="20"/>
  <c r="Y706" i="20"/>
  <c r="Y705" i="20"/>
  <c r="Y704" i="20" s="1"/>
  <c r="Y702" i="20"/>
  <c r="Y701" i="20"/>
  <c r="Y700" i="20"/>
  <c r="Y699" i="20"/>
  <c r="Y698" i="20"/>
  <c r="Y697" i="20" s="1"/>
  <c r="Y695" i="20"/>
  <c r="Y694" i="20"/>
  <c r="Y693" i="20"/>
  <c r="Y692" i="20"/>
  <c r="Y691" i="20"/>
  <c r="Y690" i="20" s="1"/>
  <c r="Y688" i="20"/>
  <c r="Y687" i="20"/>
  <c r="Y686" i="20"/>
  <c r="Y685" i="20"/>
  <c r="Y684" i="20"/>
  <c r="Y683" i="20" s="1"/>
  <c r="Y681" i="20"/>
  <c r="Y680" i="20"/>
  <c r="Y679" i="20"/>
  <c r="Y678" i="20"/>
  <c r="Y677" i="20"/>
  <c r="Y676" i="20" s="1"/>
  <c r="Y674" i="20"/>
  <c r="Y673" i="20"/>
  <c r="Y672" i="20"/>
  <c r="Y671" i="20"/>
  <c r="Y670" i="20"/>
  <c r="Y669" i="20" s="1"/>
  <c r="Y667" i="20"/>
  <c r="Y666" i="20"/>
  <c r="Y665" i="20"/>
  <c r="Y664" i="20"/>
  <c r="Y663" i="20"/>
  <c r="Y662" i="20" s="1"/>
  <c r="Y660" i="20"/>
  <c r="Y659" i="20"/>
  <c r="Y658" i="20"/>
  <c r="Y657" i="20"/>
  <c r="Y656" i="20"/>
  <c r="Y655" i="20" s="1"/>
  <c r="Y653" i="20"/>
  <c r="Y652" i="20"/>
  <c r="Y651" i="20"/>
  <c r="Y650" i="20"/>
  <c r="Y649" i="20"/>
  <c r="Y648" i="20" s="1"/>
  <c r="Y646" i="20"/>
  <c r="Y645" i="20"/>
  <c r="Y644" i="20"/>
  <c r="Y643" i="20"/>
  <c r="Y642" i="20"/>
  <c r="Y641" i="20" s="1"/>
  <c r="Y639" i="20"/>
  <c r="Y638" i="20"/>
  <c r="Y637" i="20"/>
  <c r="Y636" i="20"/>
  <c r="Y635" i="20"/>
  <c r="Y634" i="20" s="1"/>
  <c r="Y632" i="20"/>
  <c r="Y631" i="20"/>
  <c r="Y630" i="20"/>
  <c r="Y629" i="20"/>
  <c r="Y628" i="20"/>
  <c r="Y627" i="20" s="1"/>
  <c r="Y625" i="20"/>
  <c r="Y624" i="20"/>
  <c r="Y623" i="20"/>
  <c r="Y622" i="20"/>
  <c r="Y621" i="20"/>
  <c r="Y620" i="20" s="1"/>
  <c r="Y618" i="20"/>
  <c r="Y617" i="20"/>
  <c r="Y616" i="20"/>
  <c r="Y615" i="20"/>
  <c r="Y614" i="20"/>
  <c r="Y613" i="20" s="1"/>
  <c r="Y611" i="20"/>
  <c r="Y610" i="20"/>
  <c r="Y609" i="20"/>
  <c r="Y608" i="20"/>
  <c r="Y607" i="20"/>
  <c r="Y606" i="20" s="1"/>
  <c r="Y604" i="20"/>
  <c r="Y603" i="20"/>
  <c r="Y602" i="20"/>
  <c r="X601" i="20"/>
  <c r="X600" i="20"/>
  <c r="X597" i="20"/>
  <c r="X596" i="20"/>
  <c r="X595" i="20"/>
  <c r="X594" i="20"/>
  <c r="X593" i="20"/>
  <c r="X592" i="20" s="1"/>
  <c r="X590" i="20"/>
  <c r="X589" i="20"/>
  <c r="X588" i="20"/>
  <c r="X587" i="20"/>
  <c r="X586" i="20"/>
  <c r="X585" i="20" s="1"/>
  <c r="X583" i="20"/>
  <c r="X582" i="20"/>
  <c r="X581" i="20"/>
  <c r="X580" i="20"/>
  <c r="X579" i="20"/>
  <c r="X578" i="20" s="1"/>
  <c r="X576" i="20"/>
  <c r="X575" i="20"/>
  <c r="X574" i="20"/>
  <c r="X573" i="20"/>
  <c r="X572" i="20"/>
  <c r="X571" i="20" s="1"/>
  <c r="X569" i="20"/>
  <c r="X568" i="20"/>
  <c r="X567" i="20"/>
  <c r="X566" i="20"/>
  <c r="X565" i="20"/>
  <c r="X564" i="20" s="1"/>
  <c r="X562" i="20"/>
  <c r="X561" i="20"/>
  <c r="X560" i="20"/>
  <c r="X559" i="20"/>
  <c r="X558" i="20"/>
  <c r="X557" i="20" s="1"/>
  <c r="X555" i="20"/>
  <c r="X554" i="20"/>
  <c r="X553" i="20"/>
  <c r="X552" i="20"/>
  <c r="X551" i="20"/>
  <c r="X550" i="20" s="1"/>
  <c r="X548" i="20"/>
  <c r="X547" i="20"/>
  <c r="X546" i="20"/>
  <c r="X545" i="20"/>
  <c r="X544" i="20"/>
  <c r="X543" i="20" s="1"/>
  <c r="X541" i="20"/>
  <c r="X540" i="20"/>
  <c r="X539" i="20"/>
  <c r="X538" i="20"/>
  <c r="X537" i="20"/>
  <c r="X536" i="20" s="1"/>
  <c r="X534" i="20"/>
  <c r="X533" i="20"/>
  <c r="X532" i="20"/>
  <c r="X531" i="20"/>
  <c r="X530" i="20"/>
  <c r="X529" i="20" s="1"/>
  <c r="X527" i="20"/>
  <c r="X526" i="20"/>
  <c r="X525" i="20"/>
  <c r="X524" i="20"/>
  <c r="X523" i="20"/>
  <c r="X522" i="20" s="1"/>
  <c r="X520" i="20"/>
  <c r="X519" i="20"/>
  <c r="X518" i="20"/>
  <c r="X517" i="20"/>
  <c r="X516" i="20"/>
  <c r="X515" i="20" s="1"/>
  <c r="X513" i="20"/>
  <c r="X512" i="20"/>
  <c r="X511" i="20"/>
  <c r="X510" i="20"/>
  <c r="X509" i="20"/>
  <c r="X508" i="20" s="1"/>
  <c r="X506" i="20"/>
  <c r="X505" i="20"/>
  <c r="X504" i="20"/>
  <c r="X503" i="20"/>
  <c r="X502" i="20"/>
  <c r="X501" i="20" s="1"/>
  <c r="X499" i="20"/>
  <c r="X498" i="20"/>
  <c r="X497" i="20"/>
  <c r="X496" i="20"/>
  <c r="X495" i="20"/>
  <c r="X494" i="20" s="1"/>
  <c r="X492" i="20"/>
  <c r="X491" i="20"/>
  <c r="X490" i="20"/>
  <c r="X489" i="20"/>
  <c r="X488" i="20"/>
  <c r="X487" i="20" s="1"/>
  <c r="X485" i="20"/>
  <c r="X484" i="20"/>
  <c r="X483" i="20"/>
  <c r="X482" i="20"/>
  <c r="X481" i="20"/>
  <c r="X480" i="20" s="1"/>
  <c r="X478" i="20"/>
  <c r="X477" i="20"/>
  <c r="X476" i="20"/>
  <c r="X475" i="20"/>
  <c r="X474" i="20"/>
  <c r="X473" i="20" s="1"/>
  <c r="X471" i="20"/>
  <c r="X470" i="20"/>
  <c r="X469" i="20"/>
  <c r="X468" i="20"/>
  <c r="X467" i="20"/>
  <c r="X466" i="20" s="1"/>
  <c r="X464" i="20"/>
  <c r="X463" i="20"/>
  <c r="X462" i="20"/>
  <c r="X461" i="20"/>
  <c r="X460" i="20"/>
  <c r="X459" i="20" s="1"/>
  <c r="X457" i="20"/>
  <c r="X456" i="20"/>
  <c r="X455" i="20"/>
  <c r="X454" i="20"/>
  <c r="X453" i="20"/>
  <c r="X452" i="20" s="1"/>
  <c r="X450" i="20"/>
  <c r="X449" i="20"/>
  <c r="X448" i="20"/>
  <c r="X447" i="20"/>
  <c r="X446" i="20"/>
  <c r="X445" i="20" s="1"/>
  <c r="X443" i="20"/>
  <c r="X442" i="20"/>
  <c r="X441" i="20"/>
  <c r="X440" i="20"/>
  <c r="X439" i="20"/>
  <c r="X438" i="20" s="1"/>
  <c r="X436" i="20"/>
  <c r="X435" i="20"/>
  <c r="X434" i="20"/>
  <c r="X433" i="20"/>
  <c r="X432" i="20"/>
  <c r="X431" i="20" s="1"/>
  <c r="X429" i="20"/>
  <c r="X428" i="20"/>
  <c r="X427" i="20"/>
  <c r="X426" i="20"/>
  <c r="X425" i="20"/>
  <c r="X424" i="20" s="1"/>
  <c r="X422" i="20"/>
  <c r="X421" i="20"/>
  <c r="X420" i="20"/>
  <c r="X419" i="20"/>
  <c r="X418" i="20"/>
  <c r="X417" i="20" s="1"/>
  <c r="X415" i="20"/>
  <c r="X414" i="20"/>
  <c r="X413" i="20"/>
  <c r="X412" i="20"/>
  <c r="X411" i="20"/>
  <c r="X410" i="20" s="1"/>
  <c r="X408" i="20"/>
  <c r="X407" i="20"/>
  <c r="X406" i="20"/>
  <c r="X405" i="20"/>
  <c r="X404" i="20"/>
  <c r="X403" i="20" s="1"/>
  <c r="X401" i="20"/>
  <c r="X400" i="20"/>
  <c r="X399" i="20"/>
  <c r="X398" i="20"/>
  <c r="X397" i="20"/>
  <c r="X396" i="20" s="1"/>
  <c r="X394" i="20"/>
  <c r="X393" i="20"/>
  <c r="X392" i="20"/>
  <c r="X391" i="20"/>
  <c r="X390" i="20"/>
  <c r="X389" i="20" s="1"/>
  <c r="X387" i="20"/>
  <c r="X386" i="20"/>
  <c r="X385" i="20"/>
  <c r="X384" i="20"/>
  <c r="X383" i="20"/>
  <c r="X382" i="20" s="1"/>
  <c r="X380" i="20"/>
  <c r="X379" i="20"/>
  <c r="X378" i="20"/>
  <c r="X377" i="20"/>
  <c r="X376" i="20"/>
  <c r="X375" i="20" s="1"/>
  <c r="X373" i="20"/>
  <c r="X372" i="20"/>
  <c r="X371" i="20"/>
  <c r="X370" i="20"/>
  <c r="X369" i="20"/>
  <c r="X368" i="20" s="1"/>
  <c r="X366" i="20"/>
  <c r="X365" i="20"/>
  <c r="X364" i="20"/>
  <c r="X363" i="20"/>
  <c r="X362" i="20"/>
  <c r="X361" i="20" s="1"/>
  <c r="X359" i="20"/>
  <c r="X358" i="20"/>
  <c r="X357" i="20"/>
  <c r="X356" i="20"/>
  <c r="X355" i="20"/>
  <c r="X354" i="20" s="1"/>
  <c r="X352" i="20"/>
  <c r="X351" i="20"/>
  <c r="X350" i="20"/>
  <c r="X349" i="20"/>
  <c r="X348" i="20"/>
  <c r="X347" i="20" s="1"/>
  <c r="X345" i="20"/>
  <c r="X344" i="20"/>
  <c r="X343" i="20"/>
  <c r="X342" i="20"/>
  <c r="X341" i="20"/>
  <c r="X340" i="20" s="1"/>
  <c r="X338" i="20"/>
  <c r="X337" i="20"/>
  <c r="X336" i="20"/>
  <c r="X335" i="20"/>
  <c r="X334" i="20"/>
  <c r="X333" i="20" s="1"/>
  <c r="X331" i="20"/>
  <c r="X330" i="20"/>
  <c r="X329" i="20"/>
  <c r="X328" i="20"/>
  <c r="X327" i="20"/>
  <c r="X326" i="20" s="1"/>
  <c r="X324" i="20"/>
  <c r="X323" i="20"/>
  <c r="X322" i="20"/>
  <c r="X321" i="20"/>
  <c r="X320" i="20"/>
  <c r="X319" i="20" s="1"/>
  <c r="X317" i="20"/>
  <c r="X316" i="20"/>
  <c r="X315" i="20"/>
  <c r="X314" i="20"/>
  <c r="X313" i="20"/>
  <c r="X312" i="20" s="1"/>
  <c r="X310" i="20"/>
  <c r="X309" i="20"/>
  <c r="X308" i="20"/>
  <c r="X307" i="20"/>
  <c r="X306" i="20"/>
  <c r="X305" i="20" s="1"/>
  <c r="X303" i="20"/>
  <c r="X302" i="20"/>
  <c r="X301" i="20"/>
  <c r="X300" i="20"/>
  <c r="X299" i="20"/>
  <c r="X298" i="20" s="1"/>
  <c r="X296" i="20"/>
  <c r="X295" i="20"/>
  <c r="X294" i="20"/>
  <c r="X293" i="20"/>
  <c r="X292" i="20"/>
  <c r="X291" i="20" s="1"/>
  <c r="X289" i="20"/>
  <c r="X288" i="20"/>
  <c r="X287" i="20"/>
  <c r="X286" i="20"/>
  <c r="X285" i="20"/>
  <c r="X284" i="20" s="1"/>
  <c r="X282" i="20"/>
  <c r="X281" i="20"/>
  <c r="X280" i="20"/>
  <c r="X279" i="20"/>
  <c r="X278" i="20"/>
  <c r="X277" i="20" s="1"/>
  <c r="X275" i="20"/>
  <c r="X274" i="20"/>
  <c r="X273" i="20"/>
  <c r="X272" i="20"/>
  <c r="X271" i="20"/>
  <c r="X270" i="20" s="1"/>
  <c r="X268" i="20"/>
  <c r="X267" i="20"/>
  <c r="X266" i="20"/>
  <c r="X265" i="20"/>
  <c r="X264" i="20"/>
  <c r="X263" i="20" s="1"/>
  <c r="X261" i="20"/>
  <c r="X260" i="20"/>
  <c r="X259" i="20"/>
  <c r="X258" i="20"/>
  <c r="X257" i="20"/>
  <c r="X256" i="20" s="1"/>
  <c r="X254" i="20"/>
  <c r="X253" i="20"/>
  <c r="X252" i="20"/>
  <c r="X251" i="20"/>
  <c r="X250" i="20"/>
  <c r="X249" i="20" s="1"/>
  <c r="X247" i="20"/>
  <c r="X246" i="20"/>
  <c r="X245" i="20"/>
  <c r="X244" i="20"/>
  <c r="X243" i="20"/>
  <c r="X242" i="20" s="1"/>
  <c r="X240" i="20"/>
  <c r="X239" i="20"/>
  <c r="X238" i="20"/>
  <c r="X237" i="20"/>
  <c r="X236" i="20"/>
  <c r="X235" i="20" s="1"/>
  <c r="X233" i="20"/>
  <c r="X232" i="20"/>
  <c r="X231" i="20"/>
  <c r="X230" i="20"/>
  <c r="X229" i="20"/>
  <c r="X228" i="20" s="1"/>
  <c r="X226" i="20"/>
  <c r="X225" i="20"/>
  <c r="X224" i="20"/>
  <c r="X223" i="20"/>
  <c r="X222" i="20"/>
  <c r="X221" i="20" s="1"/>
  <c r="X219" i="20"/>
  <c r="X218" i="20"/>
  <c r="X217" i="20"/>
  <c r="X216" i="20"/>
  <c r="X215" i="20"/>
  <c r="X214" i="20" s="1"/>
  <c r="X212" i="20"/>
  <c r="X211" i="20"/>
  <c r="X210" i="20"/>
  <c r="X209" i="20"/>
  <c r="X208" i="20"/>
  <c r="X207" i="20" s="1"/>
  <c r="X205" i="20"/>
  <c r="X204" i="20"/>
  <c r="X203" i="20"/>
  <c r="X202" i="20"/>
  <c r="X201" i="20"/>
  <c r="X200" i="20" s="1"/>
  <c r="X198" i="20"/>
  <c r="X197" i="20"/>
  <c r="X196" i="20"/>
  <c r="X195" i="20"/>
  <c r="X194" i="20"/>
  <c r="X193" i="20" s="1"/>
  <c r="X191" i="20"/>
  <c r="X190" i="20"/>
  <c r="X189" i="20"/>
  <c r="X188" i="20"/>
  <c r="X187" i="20"/>
  <c r="X186" i="20" s="1"/>
  <c r="X184" i="20"/>
  <c r="X183" i="20"/>
  <c r="X182" i="20"/>
  <c r="X181" i="20"/>
  <c r="X180" i="20"/>
  <c r="X179" i="20" s="1"/>
  <c r="X177" i="20"/>
  <c r="X176" i="20"/>
  <c r="X175" i="20"/>
  <c r="X174" i="20"/>
  <c r="X173" i="20"/>
  <c r="X172" i="20" s="1"/>
  <c r="X170" i="20"/>
  <c r="X169" i="20"/>
  <c r="X168" i="20"/>
  <c r="X167" i="20"/>
  <c r="X166" i="20"/>
  <c r="X163" i="20"/>
  <c r="X162" i="20"/>
  <c r="X161" i="20"/>
  <c r="X160" i="20"/>
  <c r="X159" i="20"/>
  <c r="X158" i="20" s="1"/>
  <c r="X156" i="20"/>
  <c r="X155" i="20"/>
  <c r="X154" i="20"/>
  <c r="X153" i="20"/>
  <c r="X152" i="20"/>
  <c r="X151" i="20" s="1"/>
  <c r="X149" i="20"/>
  <c r="X148" i="20"/>
  <c r="X147" i="20"/>
  <c r="X146" i="20"/>
  <c r="X145" i="20"/>
  <c r="X144" i="20" s="1"/>
  <c r="X142" i="20"/>
  <c r="X141" i="20"/>
  <c r="X140" i="20"/>
  <c r="X139" i="20"/>
  <c r="X138" i="20"/>
  <c r="X137" i="20" s="1"/>
  <c r="X135" i="20"/>
  <c r="X134" i="20"/>
  <c r="X133" i="20"/>
  <c r="X132" i="20"/>
  <c r="X131" i="20"/>
  <c r="X130" i="20" s="1"/>
  <c r="X128" i="20"/>
  <c r="X127" i="20"/>
  <c r="X126" i="20"/>
  <c r="X125" i="20"/>
  <c r="X124" i="20"/>
  <c r="X123" i="20" s="1"/>
  <c r="X121" i="20"/>
  <c r="X120" i="20"/>
  <c r="X119" i="20"/>
  <c r="X118" i="20"/>
  <c r="X117" i="20"/>
  <c r="X116" i="20" s="1"/>
  <c r="X114" i="20"/>
  <c r="X113" i="20"/>
  <c r="X112" i="20"/>
  <c r="X111" i="20"/>
  <c r="X110" i="20"/>
  <c r="X109" i="20" s="1"/>
  <c r="X107" i="20"/>
  <c r="X106" i="20"/>
  <c r="X105" i="20"/>
  <c r="X104" i="20"/>
  <c r="X103" i="20"/>
  <c r="X102" i="20" s="1"/>
  <c r="X100" i="20"/>
  <c r="X99" i="20"/>
  <c r="X98" i="20"/>
  <c r="X97" i="20"/>
  <c r="X96" i="20"/>
  <c r="X95" i="20" s="1"/>
  <c r="X93" i="20"/>
  <c r="X92" i="20"/>
  <c r="X91" i="20"/>
  <c r="X90" i="20"/>
  <c r="X89" i="20"/>
  <c r="X88" i="20" s="1"/>
  <c r="X86" i="20"/>
  <c r="X85" i="20"/>
  <c r="X84" i="20"/>
  <c r="X83" i="20"/>
  <c r="X82" i="20"/>
  <c r="X81" i="20" s="1"/>
  <c r="X79" i="20"/>
  <c r="X78" i="20"/>
  <c r="X77" i="20"/>
  <c r="X76" i="20"/>
  <c r="X75" i="20"/>
  <c r="X74" i="20" s="1"/>
  <c r="X72" i="20"/>
  <c r="X71" i="20"/>
  <c r="X70" i="20"/>
  <c r="X69" i="20"/>
  <c r="X68" i="20"/>
  <c r="X67" i="20" s="1"/>
  <c r="X65" i="20"/>
  <c r="X64" i="20"/>
  <c r="X63" i="20"/>
  <c r="X62" i="20"/>
  <c r="X61" i="20"/>
  <c r="X60" i="20" s="1"/>
  <c r="X58" i="20"/>
  <c r="X57" i="20"/>
  <c r="X56" i="20"/>
  <c r="X55" i="20"/>
  <c r="X54" i="20"/>
  <c r="X53" i="20" s="1"/>
  <c r="X51" i="20"/>
  <c r="X50" i="20"/>
  <c r="X49" i="20"/>
  <c r="X48" i="20"/>
  <c r="X47" i="20"/>
  <c r="X46" i="20" s="1"/>
  <c r="X44" i="20"/>
  <c r="X43" i="20"/>
  <c r="X42" i="20"/>
  <c r="X41" i="20"/>
  <c r="X40" i="20"/>
  <c r="X39" i="20" s="1"/>
  <c r="X37" i="20"/>
  <c r="X36" i="20"/>
  <c r="X35" i="20"/>
  <c r="X34" i="20"/>
  <c r="X33" i="20"/>
  <c r="X32" i="20" s="1"/>
  <c r="X30" i="20"/>
  <c r="X29" i="20"/>
  <c r="X28" i="20"/>
  <c r="X27" i="20"/>
  <c r="X26" i="20"/>
  <c r="X25" i="20" s="1"/>
  <c r="X23" i="20"/>
  <c r="X22" i="20"/>
  <c r="X21" i="20"/>
  <c r="X20" i="20"/>
  <c r="X19" i="20"/>
  <c r="X18" i="20" s="1"/>
  <c r="X16" i="20"/>
  <c r="X15" i="20"/>
  <c r="X14" i="20"/>
  <c r="X13" i="20"/>
  <c r="X12" i="20"/>
  <c r="X11" i="20" s="1"/>
  <c r="X9" i="20"/>
  <c r="X8" i="20"/>
  <c r="X7" i="20"/>
  <c r="X6" i="20"/>
  <c r="X5" i="20"/>
  <c r="X1619" i="20"/>
  <c r="X1618" i="20"/>
  <c r="X1617" i="20"/>
  <c r="X1616" i="20"/>
  <c r="X1615" i="20"/>
  <c r="X1614" i="20" s="1"/>
  <c r="X1612" i="20"/>
  <c r="X1611" i="20"/>
  <c r="X1610" i="20"/>
  <c r="X1609" i="20"/>
  <c r="X1608" i="20"/>
  <c r="X1607" i="20" s="1"/>
  <c r="X1605" i="20"/>
  <c r="X1604" i="20"/>
  <c r="X1603" i="20"/>
  <c r="X1602" i="20"/>
  <c r="X1601" i="20"/>
  <c r="X1600" i="20" s="1"/>
  <c r="X1598" i="20"/>
  <c r="X1597" i="20"/>
  <c r="X1596" i="20"/>
  <c r="X1595" i="20"/>
  <c r="X1594" i="20"/>
  <c r="X1593" i="20" s="1"/>
  <c r="X1591" i="20"/>
  <c r="X1590" i="20"/>
  <c r="X1589" i="20"/>
  <c r="X1588" i="20"/>
  <c r="X1587" i="20"/>
  <c r="X1586" i="20" s="1"/>
  <c r="X1584" i="20"/>
  <c r="X1583" i="20"/>
  <c r="X1582" i="20"/>
  <c r="X1581" i="20"/>
  <c r="X1580" i="20"/>
  <c r="X1579" i="20" s="1"/>
  <c r="X1577" i="20"/>
  <c r="X1576" i="20"/>
  <c r="X1575" i="20"/>
  <c r="X1574" i="20"/>
  <c r="X1573" i="20"/>
  <c r="X1572" i="20" s="1"/>
  <c r="X1570" i="20"/>
  <c r="X1569" i="20"/>
  <c r="X1568" i="20"/>
  <c r="X1567" i="20"/>
  <c r="X1566" i="20"/>
  <c r="X1565" i="20" s="1"/>
  <c r="X1563" i="20"/>
  <c r="X1562" i="20"/>
  <c r="X1561" i="20"/>
  <c r="X1560" i="20"/>
  <c r="X1559" i="20"/>
  <c r="X1558" i="20" s="1"/>
  <c r="X1556" i="20"/>
  <c r="X1555" i="20"/>
  <c r="X1554" i="20"/>
  <c r="X1553" i="20"/>
  <c r="X1552" i="20"/>
  <c r="X1551" i="20" s="1"/>
  <c r="X1549" i="20"/>
  <c r="X1548" i="20"/>
  <c r="X1547" i="20"/>
  <c r="X1546" i="20"/>
  <c r="X1545" i="20"/>
  <c r="X1544" i="20" s="1"/>
  <c r="X1542" i="20"/>
  <c r="X1541" i="20"/>
  <c r="X1540" i="20"/>
  <c r="X1539" i="20"/>
  <c r="X1538" i="20"/>
  <c r="X1537" i="20" s="1"/>
  <c r="X1535" i="20"/>
  <c r="X1534" i="20"/>
  <c r="X1533" i="20"/>
  <c r="X1532" i="20"/>
  <c r="X1531" i="20"/>
  <c r="X1530" i="20" s="1"/>
  <c r="X1528" i="20"/>
  <c r="X1527" i="20"/>
  <c r="X1526" i="20"/>
  <c r="X1525" i="20"/>
  <c r="X1524" i="20"/>
  <c r="X1523" i="20" s="1"/>
  <c r="X1521" i="20"/>
  <c r="X1520" i="20"/>
  <c r="X1519" i="20"/>
  <c r="X1518" i="20"/>
  <c r="X1517" i="20"/>
  <c r="X1516" i="20" s="1"/>
  <c r="X1514" i="20"/>
  <c r="X1513" i="20"/>
  <c r="X1512" i="20"/>
  <c r="X1511" i="20"/>
  <c r="X1510" i="20"/>
  <c r="X1509" i="20" s="1"/>
  <c r="X1507" i="20"/>
  <c r="X1506" i="20"/>
  <c r="X1505" i="20"/>
  <c r="X1504" i="20"/>
  <c r="X1503" i="20"/>
  <c r="X1502" i="20" s="1"/>
  <c r="X1500" i="20"/>
  <c r="X1499" i="20"/>
  <c r="X1498" i="20"/>
  <c r="X1497" i="20"/>
  <c r="X1496" i="20"/>
  <c r="X1495" i="20" s="1"/>
  <c r="X1493" i="20"/>
  <c r="X1492" i="20"/>
  <c r="X1491" i="20"/>
  <c r="X1490" i="20"/>
  <c r="X1489" i="20"/>
  <c r="X1488" i="20" s="1"/>
  <c r="X1486" i="20"/>
  <c r="X1485" i="20"/>
  <c r="X1484" i="20"/>
  <c r="X1483" i="20"/>
  <c r="X1482" i="20"/>
  <c r="X1481" i="20" s="1"/>
  <c r="X1479" i="20"/>
  <c r="X1478" i="20"/>
  <c r="X1477" i="20"/>
  <c r="X1476" i="20"/>
  <c r="X1475" i="20"/>
  <c r="X1474" i="20" s="1"/>
  <c r="X1472" i="20"/>
  <c r="X1471" i="20"/>
  <c r="X1470" i="20"/>
  <c r="X1469" i="20"/>
  <c r="X1468" i="20"/>
  <c r="X1467" i="20" s="1"/>
  <c r="X1465" i="20"/>
  <c r="X1464" i="20"/>
  <c r="X1463" i="20"/>
  <c r="X1462" i="20"/>
  <c r="X1461" i="20"/>
  <c r="X1460" i="20" s="1"/>
  <c r="X1458" i="20"/>
  <c r="X1457" i="20"/>
  <c r="X1456" i="20"/>
  <c r="X1455" i="20"/>
  <c r="X1454" i="20"/>
  <c r="X1453" i="20" s="1"/>
  <c r="X1451" i="20"/>
  <c r="X1450" i="20"/>
  <c r="X1449" i="20"/>
  <c r="X1448" i="20"/>
  <c r="X1447" i="20"/>
  <c r="X1446" i="20" s="1"/>
  <c r="X1444" i="20"/>
  <c r="X1443" i="20"/>
  <c r="X1442" i="20"/>
  <c r="X1441" i="20"/>
  <c r="X1440" i="20"/>
  <c r="X1439" i="20" s="1"/>
  <c r="X1437" i="20"/>
  <c r="X1436" i="20"/>
  <c r="X1435" i="20"/>
  <c r="X1434" i="20"/>
  <c r="X1433" i="20"/>
  <c r="X1432" i="20" s="1"/>
  <c r="X1430" i="20"/>
  <c r="X1429" i="20"/>
  <c r="X1428" i="20"/>
  <c r="X1427" i="20"/>
  <c r="X1426" i="20"/>
  <c r="X1425" i="20" s="1"/>
  <c r="X1423" i="20"/>
  <c r="X1422" i="20"/>
  <c r="X1421" i="20"/>
  <c r="X1420" i="20"/>
  <c r="X1419" i="20"/>
  <c r="X1418" i="20" s="1"/>
  <c r="X1416" i="20"/>
  <c r="X1415" i="20"/>
  <c r="X1414" i="20"/>
  <c r="X1413" i="20"/>
  <c r="X1412" i="20"/>
  <c r="X1411" i="20" s="1"/>
  <c r="X1409" i="20"/>
  <c r="X1408" i="20"/>
  <c r="X1407" i="20"/>
  <c r="X1406" i="20"/>
  <c r="X1405" i="20"/>
  <c r="X1404" i="20" s="1"/>
  <c r="X1402" i="20"/>
  <c r="X1401" i="20"/>
  <c r="X1400" i="20"/>
  <c r="X1399" i="20"/>
  <c r="X1398" i="20"/>
  <c r="X1397" i="20" s="1"/>
  <c r="X1395" i="20"/>
  <c r="X1394" i="20"/>
  <c r="X1393" i="20"/>
  <c r="X1392" i="20"/>
  <c r="X1391" i="20"/>
  <c r="X1390" i="20" s="1"/>
  <c r="X1388" i="20"/>
  <c r="X1387" i="20"/>
  <c r="X1386" i="20"/>
  <c r="X1385" i="20"/>
  <c r="X1384" i="20"/>
  <c r="X1383" i="20" s="1"/>
  <c r="X1381" i="20"/>
  <c r="X1380" i="20"/>
  <c r="X1379" i="20"/>
  <c r="X1378" i="20"/>
  <c r="X1377" i="20"/>
  <c r="X1376" i="20" s="1"/>
  <c r="X1374" i="20"/>
  <c r="X1373" i="20"/>
  <c r="X1372" i="20"/>
  <c r="X1371" i="20"/>
  <c r="X1370" i="20"/>
  <c r="X1369" i="20" s="1"/>
  <c r="X1367" i="20"/>
  <c r="X1366" i="20"/>
  <c r="X1365" i="20"/>
  <c r="X1364" i="20"/>
  <c r="X1363" i="20"/>
  <c r="X1362" i="20" s="1"/>
  <c r="X1360" i="20"/>
  <c r="X1359" i="20"/>
  <c r="X1358" i="20"/>
  <c r="X1357" i="20"/>
  <c r="X1356" i="20"/>
  <c r="X1355" i="20" s="1"/>
  <c r="X1353" i="20"/>
  <c r="X1352" i="20"/>
  <c r="X1351" i="20"/>
  <c r="X1350" i="20"/>
  <c r="X1349" i="20"/>
  <c r="X1348" i="20" s="1"/>
  <c r="X1346" i="20"/>
  <c r="X1345" i="20"/>
  <c r="X1344" i="20"/>
  <c r="X1343" i="20"/>
  <c r="X1342" i="20"/>
  <c r="X1341" i="20" s="1"/>
  <c r="X1339" i="20"/>
  <c r="X1338" i="20"/>
  <c r="X1337" i="20"/>
  <c r="X1336" i="20"/>
  <c r="X1335" i="20"/>
  <c r="X1334" i="20" s="1"/>
  <c r="X1332" i="20"/>
  <c r="X1331" i="20"/>
  <c r="X1330" i="20"/>
  <c r="X1329" i="20"/>
  <c r="X1328" i="20"/>
  <c r="X1327" i="20" s="1"/>
  <c r="X1325" i="20"/>
  <c r="X1324" i="20"/>
  <c r="X1323" i="20"/>
  <c r="X1322" i="20"/>
  <c r="X1321" i="20"/>
  <c r="X1320" i="20" s="1"/>
  <c r="X1318" i="20"/>
  <c r="X1317" i="20"/>
  <c r="X1316" i="20"/>
  <c r="X1315" i="20"/>
  <c r="X1314" i="20"/>
  <c r="X1313" i="20" s="1"/>
  <c r="X1311" i="20"/>
  <c r="X1310" i="20"/>
  <c r="X1309" i="20"/>
  <c r="X1308" i="20"/>
  <c r="X1307" i="20"/>
  <c r="X1306" i="20" s="1"/>
  <c r="X1304" i="20"/>
  <c r="X1303" i="20"/>
  <c r="X1302" i="20"/>
  <c r="X1301" i="20"/>
  <c r="X1300" i="20"/>
  <c r="X1299" i="20" s="1"/>
  <c r="X1297" i="20"/>
  <c r="X1296" i="20"/>
  <c r="X1295" i="20"/>
  <c r="X1294" i="20"/>
  <c r="X1293" i="20"/>
  <c r="X1292" i="20" s="1"/>
  <c r="X1290" i="20"/>
  <c r="X1289" i="20"/>
  <c r="X1288" i="20"/>
  <c r="X1287" i="20"/>
  <c r="X1286" i="20"/>
  <c r="X1285" i="20" s="1"/>
  <c r="X1283" i="20"/>
  <c r="X1282" i="20"/>
  <c r="X1281" i="20"/>
  <c r="X1280" i="20"/>
  <c r="X1279" i="20"/>
  <c r="X1278" i="20" s="1"/>
  <c r="X1276" i="20"/>
  <c r="X1275" i="20"/>
  <c r="X1274" i="20"/>
  <c r="X1273" i="20"/>
  <c r="X1272" i="20"/>
  <c r="X1271" i="20" s="1"/>
  <c r="X1269" i="20"/>
  <c r="X1268" i="20"/>
  <c r="X1267" i="20"/>
  <c r="X1266" i="20"/>
  <c r="X1265" i="20"/>
  <c r="X1264" i="20" s="1"/>
  <c r="X1262" i="20"/>
  <c r="X1261" i="20"/>
  <c r="X1260" i="20"/>
  <c r="X1259" i="20"/>
  <c r="X1258" i="20"/>
  <c r="X1257" i="20" s="1"/>
  <c r="X1255" i="20"/>
  <c r="X1254" i="20"/>
  <c r="X1253" i="20"/>
  <c r="X1252" i="20"/>
  <c r="X1251" i="20"/>
  <c r="X1250" i="20" s="1"/>
  <c r="X1248" i="20"/>
  <c r="X1247" i="20"/>
  <c r="X1246" i="20"/>
  <c r="X1245" i="20"/>
  <c r="X1244" i="20"/>
  <c r="X1243" i="20" s="1"/>
  <c r="X1241" i="20"/>
  <c r="X1240" i="20"/>
  <c r="X1239" i="20"/>
  <c r="X1238" i="20"/>
  <c r="X1237" i="20"/>
  <c r="X1236" i="20" s="1"/>
  <c r="X1234" i="20"/>
  <c r="X1233" i="20"/>
  <c r="X1232" i="20"/>
  <c r="X1231" i="20"/>
  <c r="X1230" i="20"/>
  <c r="X1229" i="20" s="1"/>
  <c r="X1227" i="20"/>
  <c r="X1226" i="20"/>
  <c r="X1225" i="20"/>
  <c r="X1224" i="20"/>
  <c r="X1223" i="20"/>
  <c r="X1222" i="20" s="1"/>
  <c r="X1220" i="20"/>
  <c r="X1219" i="20"/>
  <c r="X1218" i="20"/>
  <c r="X1217" i="20"/>
  <c r="X1216" i="20"/>
  <c r="X1215" i="20" s="1"/>
  <c r="X1213" i="20"/>
  <c r="X1212" i="20"/>
  <c r="X1211" i="20"/>
  <c r="X1210" i="20"/>
  <c r="X1209" i="20"/>
  <c r="X1208" i="20" s="1"/>
  <c r="X1206" i="20"/>
  <c r="X1205" i="20"/>
  <c r="X1204" i="20"/>
  <c r="X1203" i="20"/>
  <c r="X1202" i="20"/>
  <c r="X1201" i="20" s="1"/>
  <c r="X1199" i="20"/>
  <c r="X1198" i="20"/>
  <c r="X1197" i="20"/>
  <c r="X1196" i="20"/>
  <c r="X1195" i="20"/>
  <c r="X1194" i="20" s="1"/>
  <c r="X1192" i="20"/>
  <c r="X1191" i="20"/>
  <c r="X1190" i="20"/>
  <c r="X1189" i="20"/>
  <c r="X1188" i="20"/>
  <c r="X1187" i="20" s="1"/>
  <c r="X1185" i="20"/>
  <c r="X1184" i="20"/>
  <c r="X1183" i="20"/>
  <c r="X1182" i="20"/>
  <c r="X1181" i="20"/>
  <c r="X1180" i="20" s="1"/>
  <c r="X1178" i="20"/>
  <c r="X1177" i="20"/>
  <c r="X1176" i="20"/>
  <c r="X1175" i="20"/>
  <c r="X1174" i="20"/>
  <c r="X1173" i="20" s="1"/>
  <c r="X1171" i="20"/>
  <c r="X1170" i="20"/>
  <c r="X1169" i="20"/>
  <c r="X1168" i="20"/>
  <c r="X1167" i="20"/>
  <c r="X1166" i="20" s="1"/>
  <c r="X1164" i="20"/>
  <c r="X1163" i="20"/>
  <c r="X1162" i="20"/>
  <c r="X1161" i="20"/>
  <c r="X1160" i="20"/>
  <c r="X1159" i="20" s="1"/>
  <c r="X1157" i="20"/>
  <c r="X1156" i="20"/>
  <c r="X1155" i="20"/>
  <c r="X1154" i="20"/>
  <c r="X1153" i="20"/>
  <c r="X1152" i="20" s="1"/>
  <c r="X1150" i="20"/>
  <c r="X1149" i="20"/>
  <c r="X1148" i="20"/>
  <c r="X1147" i="20"/>
  <c r="X1146" i="20"/>
  <c r="X1145" i="20" s="1"/>
  <c r="X1143" i="20"/>
  <c r="X1142" i="20"/>
  <c r="X1141" i="20"/>
  <c r="X1140" i="20"/>
  <c r="X1139" i="20"/>
  <c r="X1138" i="20" s="1"/>
  <c r="X1136" i="20"/>
  <c r="X1135" i="20"/>
  <c r="X1134" i="20"/>
  <c r="X1133" i="20"/>
  <c r="X1132" i="20"/>
  <c r="X1131" i="20" s="1"/>
  <c r="X1129" i="20"/>
  <c r="X1128" i="20"/>
  <c r="X1127" i="20"/>
  <c r="X1126" i="20"/>
  <c r="X1125" i="20"/>
  <c r="X1124" i="20" s="1"/>
  <c r="X1122" i="20"/>
  <c r="X1121" i="20"/>
  <c r="X1120" i="20"/>
  <c r="X1119" i="20"/>
  <c r="X1118" i="20"/>
  <c r="X1117" i="20" s="1"/>
  <c r="X1115" i="20"/>
  <c r="X1114" i="20"/>
  <c r="X1113" i="20"/>
  <c r="X1112" i="20"/>
  <c r="X1111" i="20"/>
  <c r="X1110" i="20" s="1"/>
  <c r="X1108" i="20"/>
  <c r="X1107" i="20"/>
  <c r="X1106" i="20"/>
  <c r="X1105" i="20"/>
  <c r="X1104" i="20"/>
  <c r="X1103" i="20" s="1"/>
  <c r="X1101" i="20"/>
  <c r="X1100" i="20"/>
  <c r="X1099" i="20"/>
  <c r="X1098" i="20"/>
  <c r="X1097" i="20"/>
  <c r="X1096" i="20" s="1"/>
  <c r="X1094" i="20"/>
  <c r="X1093" i="20"/>
  <c r="X1092" i="20"/>
  <c r="X1091" i="20"/>
  <c r="X1090" i="20"/>
  <c r="X1089" i="20" s="1"/>
  <c r="X1087" i="20"/>
  <c r="X1086" i="20"/>
  <c r="X1085" i="20"/>
  <c r="X1084" i="20"/>
  <c r="X1083" i="20"/>
  <c r="X1082" i="20" s="1"/>
  <c r="X1080" i="20"/>
  <c r="X1079" i="20"/>
  <c r="X1078" i="20"/>
  <c r="X1077" i="20"/>
  <c r="X1076" i="20"/>
  <c r="X1075" i="20" s="1"/>
  <c r="X1073" i="20"/>
  <c r="X1072" i="20"/>
  <c r="X1071" i="20"/>
  <c r="X1070" i="20"/>
  <c r="X1069" i="20"/>
  <c r="X1068" i="20" s="1"/>
  <c r="X1066" i="20"/>
  <c r="X1065" i="20"/>
  <c r="X1064" i="20"/>
  <c r="X1063" i="20"/>
  <c r="X1062" i="20"/>
  <c r="X1061" i="20" s="1"/>
  <c r="X1059" i="20"/>
  <c r="X1058" i="20"/>
  <c r="X1057" i="20"/>
  <c r="X1056" i="20"/>
  <c r="X1055" i="20"/>
  <c r="X1054" i="20" s="1"/>
  <c r="X1052" i="20"/>
  <c r="X1051" i="20"/>
  <c r="X1050" i="20"/>
  <c r="X1049" i="20"/>
  <c r="X1048" i="20"/>
  <c r="X1047" i="20" s="1"/>
  <c r="X1045" i="20"/>
  <c r="X1044" i="20"/>
  <c r="X1043" i="20"/>
  <c r="X1042" i="20"/>
  <c r="X1041" i="20"/>
  <c r="X1040" i="20" s="1"/>
  <c r="X1038" i="20"/>
  <c r="X1037" i="20"/>
  <c r="X1036" i="20"/>
  <c r="X1035" i="20"/>
  <c r="X1034" i="20"/>
  <c r="X1033" i="20" s="1"/>
  <c r="X1031" i="20"/>
  <c r="X1030" i="20"/>
  <c r="X1029" i="20"/>
  <c r="X1028" i="20"/>
  <c r="X1027" i="20"/>
  <c r="X1026" i="20" s="1"/>
  <c r="X1024" i="20"/>
  <c r="X1023" i="20"/>
  <c r="X1022" i="20"/>
  <c r="X1021" i="20"/>
  <c r="X1020" i="20"/>
  <c r="X1019" i="20" s="1"/>
  <c r="X1017" i="20"/>
  <c r="X1016" i="20"/>
  <c r="X1015" i="20"/>
  <c r="X1014" i="20"/>
  <c r="X1013" i="20"/>
  <c r="X1012" i="20" s="1"/>
  <c r="X1010" i="20"/>
  <c r="X1009" i="20"/>
  <c r="X1008" i="20"/>
  <c r="X1007" i="20"/>
  <c r="X1006" i="20"/>
  <c r="X1005" i="20" s="1"/>
  <c r="X1003" i="20"/>
  <c r="X1002" i="20"/>
  <c r="X1001" i="20"/>
  <c r="X1000" i="20"/>
  <c r="X999" i="20"/>
  <c r="X998" i="20" s="1"/>
  <c r="X996" i="20"/>
  <c r="X995" i="20"/>
  <c r="X994" i="20"/>
  <c r="X993" i="20"/>
  <c r="X992" i="20"/>
  <c r="X991" i="20" s="1"/>
  <c r="X989" i="20"/>
  <c r="X988" i="20"/>
  <c r="X987" i="20"/>
  <c r="X986" i="20"/>
  <c r="X985" i="20"/>
  <c r="X984" i="20" s="1"/>
  <c r="X982" i="20"/>
  <c r="X981" i="20"/>
  <c r="X980" i="20"/>
  <c r="X979" i="20"/>
  <c r="X978" i="20"/>
  <c r="X977" i="20" s="1"/>
  <c r="X975" i="20"/>
  <c r="X974" i="20"/>
  <c r="X973" i="20"/>
  <c r="X972" i="20"/>
  <c r="X971" i="20"/>
  <c r="X970" i="20" s="1"/>
  <c r="X968" i="20"/>
  <c r="X967" i="20"/>
  <c r="X966" i="20"/>
  <c r="X965" i="20"/>
  <c r="X964" i="20"/>
  <c r="X963" i="20" s="1"/>
  <c r="X961" i="20"/>
  <c r="X960" i="20"/>
  <c r="X959" i="20"/>
  <c r="X958" i="20"/>
  <c r="X957" i="20"/>
  <c r="X956" i="20" s="1"/>
  <c r="X954" i="20"/>
  <c r="X953" i="20"/>
  <c r="X952" i="20"/>
  <c r="X951" i="20"/>
  <c r="X950" i="20"/>
  <c r="X949" i="20" s="1"/>
  <c r="X947" i="20"/>
  <c r="X946" i="20"/>
  <c r="X945" i="20"/>
  <c r="X944" i="20"/>
  <c r="X943" i="20"/>
  <c r="X942" i="20" s="1"/>
  <c r="X940" i="20"/>
  <c r="X939" i="20"/>
  <c r="X938" i="20"/>
  <c r="X937" i="20"/>
  <c r="X936" i="20"/>
  <c r="X935" i="20" s="1"/>
  <c r="X933" i="20"/>
  <c r="X932" i="20"/>
  <c r="X931" i="20"/>
  <c r="X930" i="20"/>
  <c r="X929" i="20"/>
  <c r="X928" i="20" s="1"/>
  <c r="X926" i="20"/>
  <c r="X925" i="20"/>
  <c r="X924" i="20"/>
  <c r="X923" i="20"/>
  <c r="X922" i="20"/>
  <c r="X921" i="20" s="1"/>
  <c r="X919" i="20"/>
  <c r="X918" i="20"/>
  <c r="X917" i="20"/>
  <c r="X916" i="20"/>
  <c r="X915" i="20"/>
  <c r="X914" i="20" s="1"/>
  <c r="X912" i="20"/>
  <c r="X911" i="20"/>
  <c r="X910" i="20"/>
  <c r="X909" i="20"/>
  <c r="X908" i="20"/>
  <c r="X907" i="20" s="1"/>
  <c r="X905" i="20"/>
  <c r="X904" i="20"/>
  <c r="X903" i="20"/>
  <c r="X902" i="20"/>
  <c r="X901" i="20"/>
  <c r="X900" i="20" s="1"/>
  <c r="X898" i="20"/>
  <c r="X897" i="20"/>
  <c r="X896" i="20"/>
  <c r="X895" i="20"/>
  <c r="X894" i="20"/>
  <c r="X893" i="20" s="1"/>
  <c r="X891" i="20"/>
  <c r="X890" i="20"/>
  <c r="X889" i="20"/>
  <c r="X888" i="20"/>
  <c r="X887" i="20"/>
  <c r="X886" i="20" s="1"/>
  <c r="X884" i="20"/>
  <c r="X883" i="20"/>
  <c r="X882" i="20"/>
  <c r="X881" i="20"/>
  <c r="X880" i="20"/>
  <c r="X879" i="20" s="1"/>
  <c r="X877" i="20"/>
  <c r="X876" i="20"/>
  <c r="X875" i="20"/>
  <c r="X874" i="20"/>
  <c r="X873" i="20"/>
  <c r="X872" i="20" s="1"/>
  <c r="X870" i="20"/>
  <c r="X869" i="20"/>
  <c r="X868" i="20"/>
  <c r="X867" i="20"/>
  <c r="X866" i="20"/>
  <c r="X865" i="20" s="1"/>
  <c r="X863" i="20"/>
  <c r="X862" i="20"/>
  <c r="X861" i="20"/>
  <c r="X860" i="20"/>
  <c r="X859" i="20"/>
  <c r="X858" i="20" s="1"/>
  <c r="X856" i="20"/>
  <c r="X855" i="20"/>
  <c r="X854" i="20"/>
  <c r="X853" i="20"/>
  <c r="X852" i="20"/>
  <c r="X851" i="20" s="1"/>
  <c r="X849" i="20"/>
  <c r="X848" i="20"/>
  <c r="X847" i="20"/>
  <c r="X846" i="20"/>
  <c r="X845" i="20"/>
  <c r="X844" i="20" s="1"/>
  <c r="X842" i="20"/>
  <c r="X841" i="20"/>
  <c r="X840" i="20"/>
  <c r="X839" i="20"/>
  <c r="X838" i="20"/>
  <c r="X837" i="20" s="1"/>
  <c r="X835" i="20"/>
  <c r="X834" i="20"/>
  <c r="X833" i="20"/>
  <c r="X832" i="20"/>
  <c r="X831" i="20"/>
  <c r="X830" i="20" s="1"/>
  <c r="X828" i="20"/>
  <c r="X827" i="20"/>
  <c r="X826" i="20"/>
  <c r="X825" i="20"/>
  <c r="X824" i="20"/>
  <c r="X823" i="20" s="1"/>
  <c r="X821" i="20"/>
  <c r="X820" i="20"/>
  <c r="X819" i="20"/>
  <c r="X818" i="20"/>
  <c r="X817" i="20"/>
  <c r="X816" i="20" s="1"/>
  <c r="X814" i="20"/>
  <c r="X813" i="20"/>
  <c r="X812" i="20"/>
  <c r="X811" i="20"/>
  <c r="X810" i="20"/>
  <c r="X809" i="20" s="1"/>
  <c r="X807" i="20"/>
  <c r="X806" i="20"/>
  <c r="X805" i="20"/>
  <c r="X804" i="20"/>
  <c r="X803" i="20"/>
  <c r="X802" i="20" s="1"/>
  <c r="X800" i="20"/>
  <c r="X799" i="20"/>
  <c r="X798" i="20"/>
  <c r="X797" i="20"/>
  <c r="X796" i="20"/>
  <c r="X795" i="20" s="1"/>
  <c r="X793" i="20"/>
  <c r="X792" i="20"/>
  <c r="X791" i="20"/>
  <c r="X790" i="20"/>
  <c r="X789" i="20"/>
  <c r="X788" i="20" s="1"/>
  <c r="X786" i="20"/>
  <c r="X785" i="20"/>
  <c r="X784" i="20"/>
  <c r="X783" i="20"/>
  <c r="X782" i="20"/>
  <c r="X781" i="20" s="1"/>
  <c r="X779" i="20"/>
  <c r="X778" i="20"/>
  <c r="X777" i="20"/>
  <c r="X776" i="20"/>
  <c r="X775" i="20"/>
  <c r="X774" i="20" s="1"/>
  <c r="X772" i="20"/>
  <c r="X771" i="20"/>
  <c r="X770" i="20"/>
  <c r="X769" i="20"/>
  <c r="X768" i="20"/>
  <c r="X767" i="20" s="1"/>
  <c r="X765" i="20"/>
  <c r="X764" i="20"/>
  <c r="X763" i="20"/>
  <c r="X762" i="20"/>
  <c r="X761" i="20"/>
  <c r="X760" i="20" s="1"/>
  <c r="X758" i="20"/>
  <c r="X757" i="20"/>
  <c r="X756" i="20"/>
  <c r="X755" i="20"/>
  <c r="X754" i="20"/>
  <c r="X753" i="20" s="1"/>
  <c r="X751" i="20"/>
  <c r="X750" i="20"/>
  <c r="X749" i="20"/>
  <c r="X748" i="20"/>
  <c r="X747" i="20"/>
  <c r="X746" i="20" s="1"/>
  <c r="X744" i="20"/>
  <c r="X743" i="20"/>
  <c r="X742" i="20"/>
  <c r="X741" i="20"/>
  <c r="X740" i="20"/>
  <c r="X739" i="20" s="1"/>
  <c r="X737" i="20"/>
  <c r="X736" i="20"/>
  <c r="X735" i="20"/>
  <c r="X734" i="20"/>
  <c r="X733" i="20"/>
  <c r="X732" i="20" s="1"/>
  <c r="X730" i="20"/>
  <c r="X729" i="20"/>
  <c r="X728" i="20"/>
  <c r="X727" i="20"/>
  <c r="X726" i="20"/>
  <c r="X725" i="20" s="1"/>
  <c r="X723" i="20"/>
  <c r="X722" i="20"/>
  <c r="X721" i="20"/>
  <c r="X720" i="20"/>
  <c r="X719" i="20"/>
  <c r="X718" i="20" s="1"/>
  <c r="X716" i="20"/>
  <c r="X715" i="20"/>
  <c r="X714" i="20"/>
  <c r="X713" i="20"/>
  <c r="X712" i="20"/>
  <c r="X711" i="20" s="1"/>
  <c r="X709" i="20"/>
  <c r="X708" i="20"/>
  <c r="X707" i="20"/>
  <c r="X706" i="20"/>
  <c r="X705" i="20"/>
  <c r="X704" i="20" s="1"/>
  <c r="X702" i="20"/>
  <c r="X701" i="20"/>
  <c r="X700" i="20"/>
  <c r="X699" i="20"/>
  <c r="X698" i="20"/>
  <c r="X697" i="20" s="1"/>
  <c r="X695" i="20"/>
  <c r="X694" i="20"/>
  <c r="X693" i="20"/>
  <c r="X692" i="20"/>
  <c r="X691" i="20"/>
  <c r="X690" i="20" s="1"/>
  <c r="X688" i="20"/>
  <c r="X687" i="20"/>
  <c r="X686" i="20"/>
  <c r="X685" i="20"/>
  <c r="X684" i="20"/>
  <c r="X683" i="20" s="1"/>
  <c r="X681" i="20"/>
  <c r="X680" i="20"/>
  <c r="X679" i="20"/>
  <c r="X678" i="20"/>
  <c r="X677" i="20"/>
  <c r="X676" i="20" s="1"/>
  <c r="X674" i="20"/>
  <c r="X673" i="20"/>
  <c r="X672" i="20"/>
  <c r="X671" i="20"/>
  <c r="X670" i="20"/>
  <c r="X669" i="20" s="1"/>
  <c r="X667" i="20"/>
  <c r="X666" i="20"/>
  <c r="X665" i="20"/>
  <c r="X664" i="20"/>
  <c r="X663" i="20"/>
  <c r="X662" i="20" s="1"/>
  <c r="X660" i="20"/>
  <c r="X659" i="20"/>
  <c r="X658" i="20"/>
  <c r="X657" i="20"/>
  <c r="X656" i="20"/>
  <c r="X655" i="20" s="1"/>
  <c r="X653" i="20"/>
  <c r="X652" i="20"/>
  <c r="X651" i="20"/>
  <c r="X650" i="20"/>
  <c r="X649" i="20"/>
  <c r="X648" i="20" s="1"/>
  <c r="X646" i="20"/>
  <c r="X645" i="20"/>
  <c r="X644" i="20"/>
  <c r="X643" i="20"/>
  <c r="X642" i="20"/>
  <c r="X641" i="20" s="1"/>
  <c r="X639" i="20"/>
  <c r="X638" i="20"/>
  <c r="X637" i="20"/>
  <c r="X636" i="20"/>
  <c r="X635" i="20"/>
  <c r="X634" i="20" s="1"/>
  <c r="X632" i="20"/>
  <c r="X631" i="20"/>
  <c r="X630" i="20"/>
  <c r="X629" i="20"/>
  <c r="X628" i="20"/>
  <c r="X627" i="20" s="1"/>
  <c r="X625" i="20"/>
  <c r="X624" i="20"/>
  <c r="X623" i="20"/>
  <c r="X622" i="20"/>
  <c r="X621" i="20"/>
  <c r="X620" i="20" s="1"/>
  <c r="X618" i="20"/>
  <c r="X617" i="20"/>
  <c r="X616" i="20"/>
  <c r="X615" i="20"/>
  <c r="X614" i="20"/>
  <c r="X613" i="20" s="1"/>
  <c r="X611" i="20"/>
  <c r="X610" i="20"/>
  <c r="X609" i="20"/>
  <c r="X608" i="20"/>
  <c r="X607" i="20"/>
  <c r="X606" i="20" s="1"/>
  <c r="X604" i="20"/>
  <c r="X603" i="20"/>
  <c r="X602" i="20"/>
  <c r="W804" i="20"/>
  <c r="W601" i="20"/>
  <c r="W600" i="20"/>
  <c r="W597" i="20"/>
  <c r="W596" i="20"/>
  <c r="W595" i="20"/>
  <c r="W594" i="20"/>
  <c r="W593" i="20"/>
  <c r="W592" i="20" s="1"/>
  <c r="W590" i="20"/>
  <c r="W589" i="20"/>
  <c r="W588" i="20"/>
  <c r="W587" i="20"/>
  <c r="W586" i="20"/>
  <c r="W585" i="20" s="1"/>
  <c r="W583" i="20"/>
  <c r="W582" i="20"/>
  <c r="W581" i="20"/>
  <c r="W580" i="20"/>
  <c r="W579" i="20"/>
  <c r="W578" i="20" s="1"/>
  <c r="W576" i="20"/>
  <c r="W575" i="20"/>
  <c r="W574" i="20"/>
  <c r="W573" i="20"/>
  <c r="W572" i="20"/>
  <c r="W571" i="20" s="1"/>
  <c r="W569" i="20"/>
  <c r="W568" i="20"/>
  <c r="W567" i="20"/>
  <c r="W566" i="20"/>
  <c r="W565" i="20"/>
  <c r="W564" i="20" s="1"/>
  <c r="W562" i="20"/>
  <c r="W561" i="20"/>
  <c r="W560" i="20"/>
  <c r="W559" i="20"/>
  <c r="W558" i="20"/>
  <c r="W557" i="20" s="1"/>
  <c r="W555" i="20"/>
  <c r="W554" i="20"/>
  <c r="W553" i="20"/>
  <c r="W552" i="20"/>
  <c r="W551" i="20"/>
  <c r="W550" i="20" s="1"/>
  <c r="W548" i="20"/>
  <c r="W547" i="20"/>
  <c r="W546" i="20"/>
  <c r="W545" i="20"/>
  <c r="W544" i="20"/>
  <c r="W543" i="20" s="1"/>
  <c r="W541" i="20"/>
  <c r="W540" i="20"/>
  <c r="W539" i="20"/>
  <c r="W538" i="20"/>
  <c r="W537" i="20"/>
  <c r="W536" i="20" s="1"/>
  <c r="W534" i="20"/>
  <c r="W533" i="20"/>
  <c r="W532" i="20"/>
  <c r="W531" i="20"/>
  <c r="W530" i="20"/>
  <c r="W529" i="20" s="1"/>
  <c r="W527" i="20"/>
  <c r="W526" i="20"/>
  <c r="W525" i="20"/>
  <c r="W524" i="20"/>
  <c r="W523" i="20"/>
  <c r="W522" i="20" s="1"/>
  <c r="W520" i="20"/>
  <c r="W519" i="20"/>
  <c r="W518" i="20"/>
  <c r="W517" i="20"/>
  <c r="W516" i="20"/>
  <c r="W515" i="20" s="1"/>
  <c r="W513" i="20"/>
  <c r="W512" i="20"/>
  <c r="W511" i="20"/>
  <c r="W510" i="20"/>
  <c r="W509" i="20"/>
  <c r="W508" i="20" s="1"/>
  <c r="W506" i="20"/>
  <c r="W505" i="20"/>
  <c r="W504" i="20"/>
  <c r="W503" i="20"/>
  <c r="W502" i="20"/>
  <c r="W501" i="20" s="1"/>
  <c r="W499" i="20"/>
  <c r="W498" i="20"/>
  <c r="W497" i="20"/>
  <c r="W496" i="20"/>
  <c r="W495" i="20"/>
  <c r="W494" i="20" s="1"/>
  <c r="W492" i="20"/>
  <c r="W491" i="20"/>
  <c r="W490" i="20"/>
  <c r="W489" i="20"/>
  <c r="W488" i="20"/>
  <c r="W487" i="20" s="1"/>
  <c r="W485" i="20"/>
  <c r="W484" i="20"/>
  <c r="W483" i="20"/>
  <c r="W482" i="20"/>
  <c r="W481" i="20"/>
  <c r="W480" i="20" s="1"/>
  <c r="W478" i="20"/>
  <c r="W477" i="20"/>
  <c r="W476" i="20"/>
  <c r="W475" i="20"/>
  <c r="W474" i="20"/>
  <c r="W473" i="20" s="1"/>
  <c r="W471" i="20"/>
  <c r="W470" i="20"/>
  <c r="W469" i="20"/>
  <c r="W468" i="20"/>
  <c r="W467" i="20"/>
  <c r="W466" i="20" s="1"/>
  <c r="W464" i="20"/>
  <c r="W463" i="20"/>
  <c r="W462" i="20"/>
  <c r="W461" i="20"/>
  <c r="W460" i="20"/>
  <c r="W459" i="20" s="1"/>
  <c r="W457" i="20"/>
  <c r="W456" i="20"/>
  <c r="W455" i="20"/>
  <c r="W454" i="20"/>
  <c r="W453" i="20"/>
  <c r="W452" i="20" s="1"/>
  <c r="W450" i="20"/>
  <c r="W449" i="20"/>
  <c r="W448" i="20"/>
  <c r="W447" i="20"/>
  <c r="W446" i="20"/>
  <c r="W445" i="20" s="1"/>
  <c r="W443" i="20"/>
  <c r="W442" i="20"/>
  <c r="W441" i="20"/>
  <c r="W440" i="20"/>
  <c r="W439" i="20"/>
  <c r="W438" i="20" s="1"/>
  <c r="W436" i="20"/>
  <c r="W435" i="20"/>
  <c r="W434" i="20"/>
  <c r="W433" i="20"/>
  <c r="W432" i="20"/>
  <c r="W431" i="20" s="1"/>
  <c r="W429" i="20"/>
  <c r="W428" i="20"/>
  <c r="W427" i="20"/>
  <c r="W426" i="20"/>
  <c r="W425" i="20"/>
  <c r="W424" i="20" s="1"/>
  <c r="W422" i="20"/>
  <c r="W421" i="20"/>
  <c r="W420" i="20"/>
  <c r="W419" i="20"/>
  <c r="W418" i="20"/>
  <c r="W417" i="20" s="1"/>
  <c r="W415" i="20"/>
  <c r="W414" i="20"/>
  <c r="W413" i="20"/>
  <c r="W412" i="20"/>
  <c r="W411" i="20"/>
  <c r="W410" i="20" s="1"/>
  <c r="W408" i="20"/>
  <c r="W407" i="20"/>
  <c r="W406" i="20"/>
  <c r="W405" i="20"/>
  <c r="W404" i="20"/>
  <c r="W403" i="20" s="1"/>
  <c r="W401" i="20"/>
  <c r="W400" i="20"/>
  <c r="W399" i="20"/>
  <c r="W398" i="20"/>
  <c r="W397" i="20"/>
  <c r="W396" i="20" s="1"/>
  <c r="W194" i="20"/>
  <c r="W195" i="20"/>
  <c r="W196" i="20"/>
  <c r="W197" i="20"/>
  <c r="W198" i="20"/>
  <c r="W201" i="20"/>
  <c r="W202" i="20"/>
  <c r="W203" i="20"/>
  <c r="W204" i="20"/>
  <c r="W205" i="20"/>
  <c r="W208" i="20"/>
  <c r="W209" i="20"/>
  <c r="W210" i="20"/>
  <c r="W211" i="20"/>
  <c r="W212" i="20"/>
  <c r="W215" i="20"/>
  <c r="W216" i="20"/>
  <c r="W217" i="20"/>
  <c r="W218" i="20"/>
  <c r="W219" i="20"/>
  <c r="W222" i="20"/>
  <c r="W223" i="20"/>
  <c r="W224" i="20"/>
  <c r="W225" i="20"/>
  <c r="W226" i="20"/>
  <c r="W229" i="20"/>
  <c r="W230" i="20"/>
  <c r="W231" i="20"/>
  <c r="W232" i="20"/>
  <c r="W233" i="20"/>
  <c r="W236" i="20"/>
  <c r="W237" i="20"/>
  <c r="W238" i="20"/>
  <c r="W239" i="20"/>
  <c r="W240" i="20"/>
  <c r="W243" i="20"/>
  <c r="W244" i="20"/>
  <c r="W245" i="20"/>
  <c r="W246" i="20"/>
  <c r="W247" i="20"/>
  <c r="W250" i="20"/>
  <c r="W251" i="20"/>
  <c r="W252" i="20"/>
  <c r="W253" i="20"/>
  <c r="W254" i="20"/>
  <c r="W257" i="20"/>
  <c r="W258" i="20"/>
  <c r="W259" i="20"/>
  <c r="W260" i="20"/>
  <c r="W261" i="20"/>
  <c r="W264" i="20"/>
  <c r="W265" i="20"/>
  <c r="W266" i="20"/>
  <c r="W267" i="20"/>
  <c r="W268" i="20"/>
  <c r="W271" i="20"/>
  <c r="W272" i="20"/>
  <c r="W273" i="20"/>
  <c r="W274" i="20"/>
  <c r="W275" i="20"/>
  <c r="W278" i="20"/>
  <c r="W279" i="20"/>
  <c r="W280" i="20"/>
  <c r="W281" i="20"/>
  <c r="W282" i="20"/>
  <c r="W285" i="20"/>
  <c r="W286" i="20"/>
  <c r="W287" i="20"/>
  <c r="W288" i="20"/>
  <c r="W289" i="20"/>
  <c r="W292" i="20"/>
  <c r="W293" i="20"/>
  <c r="W294" i="20"/>
  <c r="W295" i="20"/>
  <c r="W296" i="20"/>
  <c r="W299" i="20"/>
  <c r="W300" i="20"/>
  <c r="W301" i="20"/>
  <c r="W302" i="20"/>
  <c r="W303" i="20"/>
  <c r="W306" i="20"/>
  <c r="W307" i="20"/>
  <c r="W308" i="20"/>
  <c r="W309" i="20"/>
  <c r="W310" i="20"/>
  <c r="W313" i="20"/>
  <c r="W314" i="20"/>
  <c r="W315" i="20"/>
  <c r="W316" i="20"/>
  <c r="W317" i="20"/>
  <c r="W320" i="20"/>
  <c r="W321" i="20"/>
  <c r="W322" i="20"/>
  <c r="W323" i="20"/>
  <c r="W324" i="20"/>
  <c r="W327" i="20"/>
  <c r="W328" i="20"/>
  <c r="W329" i="20"/>
  <c r="W330" i="20"/>
  <c r="W331" i="20"/>
  <c r="W334" i="20"/>
  <c r="W335" i="20"/>
  <c r="W336" i="20"/>
  <c r="W337" i="20"/>
  <c r="W338" i="20"/>
  <c r="W341" i="20"/>
  <c r="W342" i="20"/>
  <c r="W343" i="20"/>
  <c r="W344" i="20"/>
  <c r="W345" i="20"/>
  <c r="W348" i="20"/>
  <c r="W349" i="20"/>
  <c r="W350" i="20"/>
  <c r="W351" i="20"/>
  <c r="W352" i="20"/>
  <c r="W355" i="20"/>
  <c r="W356" i="20"/>
  <c r="W357" i="20"/>
  <c r="W358" i="20"/>
  <c r="W359" i="20"/>
  <c r="W362" i="20"/>
  <c r="W363" i="20"/>
  <c r="W364" i="20"/>
  <c r="W365" i="20"/>
  <c r="W366" i="20"/>
  <c r="W369" i="20"/>
  <c r="W370" i="20"/>
  <c r="W371" i="20"/>
  <c r="W372" i="20"/>
  <c r="W373" i="20"/>
  <c r="W376" i="20"/>
  <c r="W377" i="20"/>
  <c r="W378" i="20"/>
  <c r="W379" i="20"/>
  <c r="W380" i="20"/>
  <c r="W383" i="20"/>
  <c r="W384" i="20"/>
  <c r="W385" i="20"/>
  <c r="W386" i="20"/>
  <c r="W387" i="20"/>
  <c r="W1412" i="20"/>
  <c r="W390" i="20"/>
  <c r="W391" i="20"/>
  <c r="W392" i="20"/>
  <c r="W5" i="20"/>
  <c r="W6" i="20"/>
  <c r="W7" i="20"/>
  <c r="W8" i="20"/>
  <c r="W9" i="20"/>
  <c r="W12" i="20"/>
  <c r="W13" i="20"/>
  <c r="W14" i="20"/>
  <c r="W15" i="20"/>
  <c r="W16" i="20"/>
  <c r="W19" i="20"/>
  <c r="W20" i="20"/>
  <c r="W21" i="20"/>
  <c r="W22" i="20"/>
  <c r="W23" i="20"/>
  <c r="W26" i="20"/>
  <c r="W27" i="20"/>
  <c r="W28" i="20"/>
  <c r="W29" i="20"/>
  <c r="W30" i="20"/>
  <c r="W33" i="20"/>
  <c r="W34" i="20"/>
  <c r="W35" i="20"/>
  <c r="W36" i="20"/>
  <c r="W37" i="20"/>
  <c r="W40" i="20"/>
  <c r="W41" i="20"/>
  <c r="W42" i="20"/>
  <c r="W43" i="20"/>
  <c r="W44" i="20"/>
  <c r="W47" i="20"/>
  <c r="W48" i="20"/>
  <c r="W49" i="20"/>
  <c r="W50" i="20"/>
  <c r="W51" i="20"/>
  <c r="W54" i="20"/>
  <c r="W55" i="20"/>
  <c r="W56" i="20"/>
  <c r="W57" i="20"/>
  <c r="W58" i="20"/>
  <c r="W61" i="20"/>
  <c r="W62" i="20"/>
  <c r="W63" i="20"/>
  <c r="W64" i="20"/>
  <c r="W65" i="20"/>
  <c r="W68" i="20"/>
  <c r="W69" i="20"/>
  <c r="W70" i="20"/>
  <c r="W71" i="20"/>
  <c r="W72" i="20"/>
  <c r="W75" i="20"/>
  <c r="W76" i="20"/>
  <c r="W77" i="20"/>
  <c r="W78" i="20"/>
  <c r="W79" i="20"/>
  <c r="W82" i="20"/>
  <c r="W83" i="20"/>
  <c r="W84" i="20"/>
  <c r="W85" i="20"/>
  <c r="W86" i="20"/>
  <c r="W89" i="20"/>
  <c r="W90" i="20"/>
  <c r="W91" i="20"/>
  <c r="W92" i="20"/>
  <c r="W93" i="20"/>
  <c r="W96" i="20"/>
  <c r="W97" i="20"/>
  <c r="W98" i="20"/>
  <c r="W99" i="20"/>
  <c r="W100" i="20"/>
  <c r="W103" i="20"/>
  <c r="W104" i="20"/>
  <c r="W105" i="20"/>
  <c r="W106" i="20"/>
  <c r="W107" i="20"/>
  <c r="W110" i="20"/>
  <c r="W111" i="20"/>
  <c r="W112" i="20"/>
  <c r="W113" i="20"/>
  <c r="W114" i="20"/>
  <c r="W117" i="20"/>
  <c r="W118" i="20"/>
  <c r="W119" i="20"/>
  <c r="W120" i="20"/>
  <c r="W121" i="20"/>
  <c r="W124" i="20"/>
  <c r="W125" i="20"/>
  <c r="W126" i="20"/>
  <c r="W127" i="20"/>
  <c r="W128" i="20"/>
  <c r="W131" i="20"/>
  <c r="W132" i="20"/>
  <c r="W133" i="20"/>
  <c r="W134" i="20"/>
  <c r="W135" i="20"/>
  <c r="W138" i="20"/>
  <c r="W139" i="20"/>
  <c r="W140" i="20"/>
  <c r="W141" i="20"/>
  <c r="W142" i="20"/>
  <c r="W145" i="20"/>
  <c r="W146" i="20"/>
  <c r="W147" i="20"/>
  <c r="W148" i="20"/>
  <c r="W149" i="20"/>
  <c r="W152" i="20"/>
  <c r="W153" i="20"/>
  <c r="W154" i="20"/>
  <c r="W155" i="20"/>
  <c r="W156" i="20"/>
  <c r="W159" i="20"/>
  <c r="W160" i="20"/>
  <c r="W161" i="20"/>
  <c r="W162" i="20"/>
  <c r="W163" i="20"/>
  <c r="W166" i="20"/>
  <c r="W167" i="20"/>
  <c r="W168" i="20"/>
  <c r="W169" i="20"/>
  <c r="W170" i="20"/>
  <c r="W173" i="20"/>
  <c r="W174" i="20"/>
  <c r="W175" i="20"/>
  <c r="W176" i="20"/>
  <c r="W177" i="20"/>
  <c r="W180" i="20"/>
  <c r="W181" i="20"/>
  <c r="W182" i="20"/>
  <c r="W183" i="20"/>
  <c r="W184" i="20"/>
  <c r="W187" i="20"/>
  <c r="W188" i="20"/>
  <c r="W189" i="20"/>
  <c r="W190" i="20"/>
  <c r="W191" i="20"/>
  <c r="W1619" i="20"/>
  <c r="W1618" i="20"/>
  <c r="W1617" i="20"/>
  <c r="W1616" i="20"/>
  <c r="W1615" i="20"/>
  <c r="W1614" i="20" s="1"/>
  <c r="W1612" i="20"/>
  <c r="W1611" i="20"/>
  <c r="W1610" i="20"/>
  <c r="W1609" i="20"/>
  <c r="W1608" i="20"/>
  <c r="W1607" i="20" s="1"/>
  <c r="W1605" i="20"/>
  <c r="W1604" i="20"/>
  <c r="W1603" i="20"/>
  <c r="W1602" i="20"/>
  <c r="W1601" i="20"/>
  <c r="W1600" i="20" s="1"/>
  <c r="W1598" i="20"/>
  <c r="W1597" i="20"/>
  <c r="W1596" i="20"/>
  <c r="W1595" i="20"/>
  <c r="W1594" i="20"/>
  <c r="W1593" i="20" s="1"/>
  <c r="W1591" i="20"/>
  <c r="W1590" i="20"/>
  <c r="W1589" i="20"/>
  <c r="W1588" i="20"/>
  <c r="W1587" i="20"/>
  <c r="W1586" i="20" s="1"/>
  <c r="W1584" i="20"/>
  <c r="W1583" i="20"/>
  <c r="W1582" i="20"/>
  <c r="W1581" i="20"/>
  <c r="W1580" i="20"/>
  <c r="W1579" i="20" s="1"/>
  <c r="W1577" i="20"/>
  <c r="W1576" i="20"/>
  <c r="W1575" i="20"/>
  <c r="W1574" i="20"/>
  <c r="W1573" i="20"/>
  <c r="W1572" i="20" s="1"/>
  <c r="W1570" i="20"/>
  <c r="W1569" i="20"/>
  <c r="W1568" i="20"/>
  <c r="W1567" i="20"/>
  <c r="W1566" i="20"/>
  <c r="W1565" i="20" s="1"/>
  <c r="W1563" i="20"/>
  <c r="W1562" i="20"/>
  <c r="W1561" i="20"/>
  <c r="W1560" i="20"/>
  <c r="W1559" i="20"/>
  <c r="W1558" i="20" s="1"/>
  <c r="W1556" i="20"/>
  <c r="W1555" i="20"/>
  <c r="W1554" i="20"/>
  <c r="W1553" i="20"/>
  <c r="W1552" i="20"/>
  <c r="W1551" i="20" s="1"/>
  <c r="W1549" i="20"/>
  <c r="W1548" i="20"/>
  <c r="W1547" i="20"/>
  <c r="W1546" i="20"/>
  <c r="W1545" i="20"/>
  <c r="W1544" i="20" s="1"/>
  <c r="W1542" i="20"/>
  <c r="W1541" i="20"/>
  <c r="W1540" i="20"/>
  <c r="W1539" i="20"/>
  <c r="W1538" i="20"/>
  <c r="W1537" i="20" s="1"/>
  <c r="W1535" i="20"/>
  <c r="W1534" i="20"/>
  <c r="W1533" i="20"/>
  <c r="W1532" i="20"/>
  <c r="W1531" i="20"/>
  <c r="W1530" i="20" s="1"/>
  <c r="W1528" i="20"/>
  <c r="W1527" i="20"/>
  <c r="W1526" i="20"/>
  <c r="W1525" i="20"/>
  <c r="W1524" i="20"/>
  <c r="W1523" i="20" s="1"/>
  <c r="W1521" i="20"/>
  <c r="W1520" i="20"/>
  <c r="W1519" i="20"/>
  <c r="W1518" i="20"/>
  <c r="W1517" i="20"/>
  <c r="W1516" i="20" s="1"/>
  <c r="W1514" i="20"/>
  <c r="W1513" i="20"/>
  <c r="W1512" i="20"/>
  <c r="W1511" i="20"/>
  <c r="W1510" i="20"/>
  <c r="W1509" i="20" s="1"/>
  <c r="W1507" i="20"/>
  <c r="W1506" i="20"/>
  <c r="W1505" i="20"/>
  <c r="W1504" i="20"/>
  <c r="W1503" i="20"/>
  <c r="W1502" i="20" s="1"/>
  <c r="W1500" i="20"/>
  <c r="W1499" i="20"/>
  <c r="W1498" i="20"/>
  <c r="W1497" i="20"/>
  <c r="W1496" i="20"/>
  <c r="W1495" i="20" s="1"/>
  <c r="W1493" i="20"/>
  <c r="W1492" i="20"/>
  <c r="W1491" i="20"/>
  <c r="W1490" i="20"/>
  <c r="W1489" i="20"/>
  <c r="W1488" i="20" s="1"/>
  <c r="W1486" i="20"/>
  <c r="W1485" i="20"/>
  <c r="W1484" i="20"/>
  <c r="W1483" i="20"/>
  <c r="W1482" i="20"/>
  <c r="W1481" i="20" s="1"/>
  <c r="W1479" i="20"/>
  <c r="W1478" i="20"/>
  <c r="W1477" i="20"/>
  <c r="W1476" i="20"/>
  <c r="W1475" i="20"/>
  <c r="W1474" i="20" s="1"/>
  <c r="W1472" i="20"/>
  <c r="W1471" i="20"/>
  <c r="W1470" i="20"/>
  <c r="W1469" i="20"/>
  <c r="W1468" i="20"/>
  <c r="W1467" i="20" s="1"/>
  <c r="W1465" i="20"/>
  <c r="W1464" i="20"/>
  <c r="W1463" i="20"/>
  <c r="W1462" i="20"/>
  <c r="W1461" i="20"/>
  <c r="W1460" i="20" s="1"/>
  <c r="W1458" i="20"/>
  <c r="W1457" i="20"/>
  <c r="W1456" i="20"/>
  <c r="W1455" i="20"/>
  <c r="W1454" i="20"/>
  <c r="W1453" i="20" s="1"/>
  <c r="W1451" i="20"/>
  <c r="W1450" i="20"/>
  <c r="W1449" i="20"/>
  <c r="W1448" i="20"/>
  <c r="W1447" i="20"/>
  <c r="W1446" i="20" s="1"/>
  <c r="W1444" i="20"/>
  <c r="W1443" i="20"/>
  <c r="W1442" i="20"/>
  <c r="W1441" i="20"/>
  <c r="W1440" i="20"/>
  <c r="W1439" i="20" s="1"/>
  <c r="W1437" i="20"/>
  <c r="W1436" i="20"/>
  <c r="W1435" i="20"/>
  <c r="W1434" i="20"/>
  <c r="W1433" i="20"/>
  <c r="W1432" i="20" s="1"/>
  <c r="W1430" i="20"/>
  <c r="W1429" i="20"/>
  <c r="W1428" i="20"/>
  <c r="W1427" i="20"/>
  <c r="W1426" i="20"/>
  <c r="W1425" i="20" s="1"/>
  <c r="W1423" i="20"/>
  <c r="W1422" i="20"/>
  <c r="W1421" i="20"/>
  <c r="W1420" i="20"/>
  <c r="W1419" i="20"/>
  <c r="W1418" i="20" s="1"/>
  <c r="W1416" i="20"/>
  <c r="W1415" i="20"/>
  <c r="W1414" i="20"/>
  <c r="W1413" i="20"/>
  <c r="W1411" i="20" s="1"/>
  <c r="W393" i="20"/>
  <c r="W1409" i="20"/>
  <c r="W1408" i="20"/>
  <c r="W1407" i="20"/>
  <c r="W1406" i="20"/>
  <c r="W1405" i="20"/>
  <c r="W1404" i="20" s="1"/>
  <c r="W1402" i="20"/>
  <c r="W1401" i="20"/>
  <c r="W1400" i="20"/>
  <c r="W1399" i="20"/>
  <c r="W1398" i="20"/>
  <c r="W1397" i="20" s="1"/>
  <c r="W1395" i="20"/>
  <c r="W1394" i="20"/>
  <c r="W1393" i="20"/>
  <c r="W1392" i="20"/>
  <c r="W1391" i="20"/>
  <c r="W1390" i="20" s="1"/>
  <c r="W1388" i="20"/>
  <c r="W1387" i="20"/>
  <c r="W1386" i="20"/>
  <c r="W1385" i="20"/>
  <c r="W1384" i="20"/>
  <c r="W1383" i="20" s="1"/>
  <c r="W1381" i="20"/>
  <c r="W1380" i="20"/>
  <c r="W1379" i="20"/>
  <c r="W1378" i="20"/>
  <c r="W1377" i="20"/>
  <c r="W1376" i="20" s="1"/>
  <c r="W1374" i="20"/>
  <c r="W1373" i="20"/>
  <c r="W1372" i="20"/>
  <c r="W1371" i="20"/>
  <c r="W1370" i="20"/>
  <c r="W1369" i="20" s="1"/>
  <c r="W1367" i="20"/>
  <c r="W1366" i="20"/>
  <c r="W1365" i="20"/>
  <c r="W1364" i="20"/>
  <c r="W1363" i="20"/>
  <c r="W1362" i="20" s="1"/>
  <c r="W1360" i="20"/>
  <c r="W1359" i="20"/>
  <c r="W1358" i="20"/>
  <c r="W1357" i="20"/>
  <c r="W1356" i="20"/>
  <c r="W1355" i="20" s="1"/>
  <c r="W1353" i="20"/>
  <c r="W1352" i="20"/>
  <c r="W1351" i="20"/>
  <c r="W1350" i="20"/>
  <c r="W1349" i="20"/>
  <c r="W1348" i="20" s="1"/>
  <c r="W1346" i="20"/>
  <c r="W1345" i="20"/>
  <c r="W1344" i="20"/>
  <c r="W1343" i="20"/>
  <c r="W1342" i="20"/>
  <c r="W1341" i="20" s="1"/>
  <c r="W1339" i="20"/>
  <c r="W1338" i="20"/>
  <c r="W1337" i="20"/>
  <c r="W1336" i="20"/>
  <c r="W1335" i="20"/>
  <c r="W1334" i="20" s="1"/>
  <c r="W1332" i="20"/>
  <c r="W1331" i="20"/>
  <c r="W1330" i="20"/>
  <c r="W1329" i="20"/>
  <c r="W1328" i="20"/>
  <c r="W1327" i="20" s="1"/>
  <c r="W1325" i="20"/>
  <c r="W1324" i="20"/>
  <c r="W1323" i="20"/>
  <c r="W1322" i="20"/>
  <c r="W1321" i="20"/>
  <c r="W1320" i="20" s="1"/>
  <c r="W1318" i="20"/>
  <c r="W1317" i="20"/>
  <c r="W1316" i="20"/>
  <c r="W1315" i="20"/>
  <c r="W1314" i="20"/>
  <c r="W1313" i="20" s="1"/>
  <c r="W1311" i="20"/>
  <c r="W1310" i="20"/>
  <c r="W1309" i="20"/>
  <c r="W1308" i="20"/>
  <c r="W1307" i="20"/>
  <c r="W1306" i="20" s="1"/>
  <c r="W1304" i="20"/>
  <c r="W1303" i="20"/>
  <c r="W1302" i="20"/>
  <c r="W1301" i="20"/>
  <c r="W1300" i="20"/>
  <c r="W1299" i="20" s="1"/>
  <c r="W1297" i="20"/>
  <c r="W1296" i="20"/>
  <c r="W1295" i="20"/>
  <c r="W1294" i="20"/>
  <c r="W1293" i="20"/>
  <c r="W1292" i="20" s="1"/>
  <c r="W1290" i="20"/>
  <c r="W1289" i="20"/>
  <c r="W1288" i="20"/>
  <c r="W1287" i="20"/>
  <c r="W1286" i="20"/>
  <c r="W1285" i="20" s="1"/>
  <c r="W1283" i="20"/>
  <c r="W1282" i="20"/>
  <c r="W1281" i="20"/>
  <c r="W1280" i="20"/>
  <c r="W1279" i="20"/>
  <c r="W1278" i="20" s="1"/>
  <c r="W1276" i="20"/>
  <c r="W1275" i="20"/>
  <c r="W1274" i="20"/>
  <c r="W1273" i="20"/>
  <c r="W1272" i="20"/>
  <c r="W1271" i="20" s="1"/>
  <c r="W1269" i="20"/>
  <c r="W1268" i="20"/>
  <c r="W1267" i="20"/>
  <c r="W1266" i="20"/>
  <c r="W1265" i="20"/>
  <c r="W1264" i="20" s="1"/>
  <c r="W1262" i="20"/>
  <c r="W1261" i="20"/>
  <c r="W1260" i="20"/>
  <c r="W1259" i="20"/>
  <c r="W1258" i="20"/>
  <c r="W1257" i="20" s="1"/>
  <c r="W1255" i="20"/>
  <c r="W1254" i="20"/>
  <c r="W1253" i="20"/>
  <c r="W1252" i="20"/>
  <c r="W1251" i="20"/>
  <c r="W1250" i="20" s="1"/>
  <c r="W1248" i="20"/>
  <c r="W1247" i="20"/>
  <c r="W1246" i="20"/>
  <c r="W1245" i="20"/>
  <c r="W1244" i="20"/>
  <c r="W1243" i="20" s="1"/>
  <c r="W1241" i="20"/>
  <c r="W1240" i="20"/>
  <c r="W1239" i="20"/>
  <c r="W1238" i="20"/>
  <c r="W1237" i="20"/>
  <c r="W1236" i="20" s="1"/>
  <c r="W1234" i="20"/>
  <c r="W1233" i="20"/>
  <c r="W1232" i="20"/>
  <c r="W1231" i="20"/>
  <c r="W1230" i="20"/>
  <c r="W1229" i="20" s="1"/>
  <c r="W1227" i="20"/>
  <c r="W1226" i="20"/>
  <c r="W1225" i="20"/>
  <c r="W1224" i="20"/>
  <c r="W1223" i="20"/>
  <c r="W1222" i="20" s="1"/>
  <c r="W1220" i="20"/>
  <c r="W1219" i="20"/>
  <c r="W1218" i="20"/>
  <c r="W1217" i="20"/>
  <c r="W1216" i="20"/>
  <c r="W1215" i="20" s="1"/>
  <c r="W1213" i="20"/>
  <c r="W1212" i="20"/>
  <c r="W1211" i="20"/>
  <c r="W1210" i="20"/>
  <c r="W1209" i="20"/>
  <c r="W1208" i="20" s="1"/>
  <c r="W1206" i="20"/>
  <c r="W1205" i="20"/>
  <c r="W1204" i="20"/>
  <c r="W1203" i="20"/>
  <c r="W1202" i="20"/>
  <c r="W1201" i="20" s="1"/>
  <c r="W1199" i="20"/>
  <c r="W1198" i="20"/>
  <c r="W1197" i="20"/>
  <c r="W1196" i="20"/>
  <c r="W1195" i="20"/>
  <c r="W1194" i="20" s="1"/>
  <c r="W1192" i="20"/>
  <c r="W1191" i="20"/>
  <c r="W1190" i="20"/>
  <c r="W1189" i="20"/>
  <c r="W1188" i="20"/>
  <c r="W1187" i="20" s="1"/>
  <c r="W1185" i="20"/>
  <c r="W1184" i="20"/>
  <c r="W1183" i="20"/>
  <c r="W1182" i="20"/>
  <c r="W1181" i="20"/>
  <c r="W1180" i="20" s="1"/>
  <c r="W1178" i="20"/>
  <c r="W1177" i="20"/>
  <c r="W1176" i="20"/>
  <c r="W1175" i="20"/>
  <c r="W1174" i="20"/>
  <c r="W1173" i="20" s="1"/>
  <c r="W1171" i="20"/>
  <c r="W1170" i="20"/>
  <c r="W1169" i="20"/>
  <c r="W1168" i="20"/>
  <c r="W1167" i="20"/>
  <c r="W1166" i="20" s="1"/>
  <c r="W1164" i="20"/>
  <c r="W1163" i="20"/>
  <c r="W1162" i="20"/>
  <c r="W1161" i="20"/>
  <c r="W1160" i="20"/>
  <c r="W1159" i="20" s="1"/>
  <c r="W1157" i="20"/>
  <c r="W1156" i="20"/>
  <c r="W1155" i="20"/>
  <c r="W1154" i="20"/>
  <c r="W1153" i="20"/>
  <c r="W1152" i="20" s="1"/>
  <c r="W1150" i="20"/>
  <c r="W1149" i="20"/>
  <c r="W1148" i="20"/>
  <c r="W1147" i="20"/>
  <c r="W1146" i="20"/>
  <c r="W1145" i="20" s="1"/>
  <c r="W1143" i="20"/>
  <c r="W1142" i="20"/>
  <c r="W1141" i="20"/>
  <c r="W1140" i="20"/>
  <c r="W1139" i="20"/>
  <c r="W1138" i="20" s="1"/>
  <c r="W1136" i="20"/>
  <c r="W1135" i="20"/>
  <c r="W1134" i="20"/>
  <c r="W1133" i="20"/>
  <c r="W1132" i="20"/>
  <c r="W1131" i="20" s="1"/>
  <c r="W1129" i="20"/>
  <c r="W1128" i="20"/>
  <c r="W1127" i="20"/>
  <c r="W1126" i="20"/>
  <c r="W1125" i="20"/>
  <c r="W1124" i="20" s="1"/>
  <c r="W1122" i="20"/>
  <c r="W1121" i="20"/>
  <c r="W1120" i="20"/>
  <c r="W1119" i="20"/>
  <c r="W1118" i="20"/>
  <c r="W1117" i="20" s="1"/>
  <c r="W1115" i="20"/>
  <c r="W1114" i="20"/>
  <c r="W1113" i="20"/>
  <c r="W1112" i="20"/>
  <c r="W1111" i="20"/>
  <c r="W1110" i="20" s="1"/>
  <c r="W1108" i="20"/>
  <c r="W1107" i="20"/>
  <c r="W1106" i="20"/>
  <c r="W1105" i="20"/>
  <c r="W1104" i="20"/>
  <c r="W1103" i="20" s="1"/>
  <c r="W1101" i="20"/>
  <c r="W1100" i="20"/>
  <c r="W1099" i="20"/>
  <c r="W1098" i="20"/>
  <c r="W1097" i="20"/>
  <c r="W1096" i="20" s="1"/>
  <c r="W1094" i="20"/>
  <c r="W1093" i="20"/>
  <c r="W1092" i="20"/>
  <c r="W1091" i="20"/>
  <c r="W1090" i="20"/>
  <c r="W1089" i="20" s="1"/>
  <c r="W1087" i="20"/>
  <c r="W1086" i="20"/>
  <c r="W1085" i="20"/>
  <c r="W1084" i="20"/>
  <c r="W1083" i="20"/>
  <c r="W1082" i="20" s="1"/>
  <c r="W1080" i="20"/>
  <c r="W1079" i="20"/>
  <c r="W1078" i="20"/>
  <c r="W1077" i="20"/>
  <c r="W1076" i="20"/>
  <c r="W1075" i="20" s="1"/>
  <c r="W1073" i="20"/>
  <c r="W1072" i="20"/>
  <c r="W1071" i="20"/>
  <c r="W1070" i="20"/>
  <c r="W1069" i="20"/>
  <c r="W1068" i="20" s="1"/>
  <c r="W1066" i="20"/>
  <c r="W1065" i="20"/>
  <c r="W1064" i="20"/>
  <c r="W1063" i="20"/>
  <c r="W1062" i="20"/>
  <c r="W1061" i="20" s="1"/>
  <c r="W1059" i="20"/>
  <c r="W1058" i="20"/>
  <c r="W1057" i="20"/>
  <c r="W1056" i="20"/>
  <c r="W1055" i="20"/>
  <c r="W1054" i="20" s="1"/>
  <c r="W1052" i="20"/>
  <c r="W1051" i="20"/>
  <c r="W1050" i="20"/>
  <c r="W1049" i="20"/>
  <c r="W1048" i="20"/>
  <c r="W1047" i="20" s="1"/>
  <c r="W1045" i="20"/>
  <c r="W1044" i="20"/>
  <c r="W1043" i="20"/>
  <c r="W1042" i="20"/>
  <c r="W1041" i="20"/>
  <c r="W1040" i="20" s="1"/>
  <c r="W1038" i="20"/>
  <c r="W1037" i="20"/>
  <c r="W1036" i="20"/>
  <c r="W1035" i="20"/>
  <c r="W1034" i="20"/>
  <c r="W1033" i="20" s="1"/>
  <c r="W1031" i="20"/>
  <c r="W1030" i="20"/>
  <c r="W1029" i="20"/>
  <c r="W1028" i="20"/>
  <c r="W1027" i="20"/>
  <c r="W1026" i="20" s="1"/>
  <c r="W1024" i="20"/>
  <c r="W1023" i="20"/>
  <c r="W1022" i="20"/>
  <c r="W1021" i="20"/>
  <c r="W1020" i="20"/>
  <c r="W1019" i="20" s="1"/>
  <c r="W1017" i="20"/>
  <c r="W1016" i="20"/>
  <c r="W1015" i="20"/>
  <c r="W1014" i="20"/>
  <c r="W1013" i="20"/>
  <c r="W1012" i="20" s="1"/>
  <c r="W1010" i="20"/>
  <c r="W1009" i="20"/>
  <c r="W1008" i="20"/>
  <c r="W1007" i="20"/>
  <c r="W1006" i="20"/>
  <c r="W1005" i="20" s="1"/>
  <c r="W1003" i="20"/>
  <c r="W1002" i="20"/>
  <c r="W1001" i="20"/>
  <c r="W1000" i="20"/>
  <c r="W999" i="20"/>
  <c r="W998" i="20" s="1"/>
  <c r="W996" i="20"/>
  <c r="W995" i="20"/>
  <c r="W994" i="20"/>
  <c r="W993" i="20"/>
  <c r="W992" i="20"/>
  <c r="W991" i="20" s="1"/>
  <c r="W989" i="20"/>
  <c r="W988" i="20"/>
  <c r="W987" i="20"/>
  <c r="W986" i="20"/>
  <c r="W985" i="20"/>
  <c r="W984" i="20" s="1"/>
  <c r="W982" i="20"/>
  <c r="W981" i="20"/>
  <c r="W980" i="20"/>
  <c r="W979" i="20"/>
  <c r="W978" i="20"/>
  <c r="W977" i="20" s="1"/>
  <c r="W975" i="20"/>
  <c r="W974" i="20"/>
  <c r="W973" i="20"/>
  <c r="W972" i="20"/>
  <c r="W971" i="20"/>
  <c r="W970" i="20" s="1"/>
  <c r="W968" i="20"/>
  <c r="W967" i="20"/>
  <c r="W966" i="20"/>
  <c r="W965" i="20"/>
  <c r="W964" i="20"/>
  <c r="W963" i="20" s="1"/>
  <c r="W961" i="20"/>
  <c r="W960" i="20"/>
  <c r="W959" i="20"/>
  <c r="W958" i="20"/>
  <c r="W957" i="20"/>
  <c r="W956" i="20" s="1"/>
  <c r="W954" i="20"/>
  <c r="W953" i="20"/>
  <c r="W952" i="20"/>
  <c r="W951" i="20"/>
  <c r="W950" i="20"/>
  <c r="W949" i="20" s="1"/>
  <c r="W947" i="20"/>
  <c r="W946" i="20"/>
  <c r="W945" i="20"/>
  <c r="W944" i="20"/>
  <c r="W943" i="20"/>
  <c r="W942" i="20" s="1"/>
  <c r="W940" i="20"/>
  <c r="W939" i="20"/>
  <c r="W938" i="20"/>
  <c r="W937" i="20"/>
  <c r="W936" i="20"/>
  <c r="W935" i="20" s="1"/>
  <c r="W933" i="20"/>
  <c r="W932" i="20"/>
  <c r="W931" i="20"/>
  <c r="W930" i="20"/>
  <c r="W929" i="20"/>
  <c r="W928" i="20" s="1"/>
  <c r="W926" i="20"/>
  <c r="W925" i="20"/>
  <c r="W924" i="20"/>
  <c r="W923" i="20"/>
  <c r="W922" i="20"/>
  <c r="W921" i="20" s="1"/>
  <c r="W919" i="20"/>
  <c r="W918" i="20"/>
  <c r="W917" i="20"/>
  <c r="W916" i="20"/>
  <c r="W915" i="20"/>
  <c r="W914" i="20" s="1"/>
  <c r="W912" i="20"/>
  <c r="W911" i="20"/>
  <c r="W910" i="20"/>
  <c r="W909" i="20"/>
  <c r="W908" i="20"/>
  <c r="W907" i="20" s="1"/>
  <c r="W905" i="20"/>
  <c r="W904" i="20"/>
  <c r="W903" i="20"/>
  <c r="W902" i="20"/>
  <c r="W901" i="20"/>
  <c r="W900" i="20" s="1"/>
  <c r="W898" i="20"/>
  <c r="W897" i="20"/>
  <c r="W896" i="20"/>
  <c r="W895" i="20"/>
  <c r="W894" i="20"/>
  <c r="W893" i="20" s="1"/>
  <c r="W891" i="20"/>
  <c r="W890" i="20"/>
  <c r="W889" i="20"/>
  <c r="W888" i="20"/>
  <c r="W887" i="20"/>
  <c r="W886" i="20" s="1"/>
  <c r="W884" i="20"/>
  <c r="W883" i="20"/>
  <c r="W882" i="20"/>
  <c r="W881" i="20"/>
  <c r="W880" i="20"/>
  <c r="W879" i="20" s="1"/>
  <c r="W877" i="20"/>
  <c r="W876" i="20"/>
  <c r="W875" i="20"/>
  <c r="W874" i="20"/>
  <c r="W873" i="20"/>
  <c r="W872" i="20" s="1"/>
  <c r="W870" i="20"/>
  <c r="W869" i="20"/>
  <c r="W868" i="20"/>
  <c r="W867" i="20"/>
  <c r="W866" i="20"/>
  <c r="W865" i="20" s="1"/>
  <c r="W863" i="20"/>
  <c r="W862" i="20"/>
  <c r="W861" i="20"/>
  <c r="W860" i="20"/>
  <c r="W859" i="20"/>
  <c r="W858" i="20" s="1"/>
  <c r="W856" i="20"/>
  <c r="W855" i="20"/>
  <c r="W854" i="20"/>
  <c r="W853" i="20"/>
  <c r="W852" i="20"/>
  <c r="W851" i="20" s="1"/>
  <c r="W849" i="20"/>
  <c r="W848" i="20"/>
  <c r="W847" i="20"/>
  <c r="W846" i="20"/>
  <c r="W845" i="20"/>
  <c r="W844" i="20" s="1"/>
  <c r="W842" i="20"/>
  <c r="W841" i="20"/>
  <c r="W840" i="20"/>
  <c r="W839" i="20"/>
  <c r="W838" i="20"/>
  <c r="W837" i="20" s="1"/>
  <c r="W835" i="20"/>
  <c r="W834" i="20"/>
  <c r="W833" i="20"/>
  <c r="W832" i="20"/>
  <c r="W831" i="20"/>
  <c r="W830" i="20" s="1"/>
  <c r="W828" i="20"/>
  <c r="W827" i="20"/>
  <c r="W826" i="20"/>
  <c r="W825" i="20"/>
  <c r="W824" i="20"/>
  <c r="W823" i="20" s="1"/>
  <c r="W821" i="20"/>
  <c r="W820" i="20"/>
  <c r="W819" i="20"/>
  <c r="W818" i="20"/>
  <c r="W817" i="20"/>
  <c r="W816" i="20" s="1"/>
  <c r="W814" i="20"/>
  <c r="W813" i="20"/>
  <c r="W812" i="20"/>
  <c r="W811" i="20"/>
  <c r="W810" i="20"/>
  <c r="W809" i="20" s="1"/>
  <c r="W807" i="20"/>
  <c r="W806" i="20"/>
  <c r="W805" i="20"/>
  <c r="W394" i="20"/>
  <c r="W803" i="20"/>
  <c r="W800" i="20"/>
  <c r="W799" i="20"/>
  <c r="W798" i="20"/>
  <c r="W797" i="20"/>
  <c r="W796" i="20"/>
  <c r="W795" i="20" s="1"/>
  <c r="W793" i="20"/>
  <c r="W792" i="20"/>
  <c r="W791" i="20"/>
  <c r="W790" i="20"/>
  <c r="W789" i="20"/>
  <c r="W788" i="20" s="1"/>
  <c r="W786" i="20"/>
  <c r="W785" i="20"/>
  <c r="W784" i="20"/>
  <c r="W783" i="20"/>
  <c r="W782" i="20"/>
  <c r="W781" i="20" s="1"/>
  <c r="W779" i="20"/>
  <c r="W778" i="20"/>
  <c r="W777" i="20"/>
  <c r="W776" i="20"/>
  <c r="W775" i="20"/>
  <c r="W774" i="20" s="1"/>
  <c r="W772" i="20"/>
  <c r="W771" i="20"/>
  <c r="W770" i="20"/>
  <c r="W769" i="20"/>
  <c r="W768" i="20"/>
  <c r="W767" i="20" s="1"/>
  <c r="W765" i="20"/>
  <c r="W764" i="20"/>
  <c r="W763" i="20"/>
  <c r="W762" i="20"/>
  <c r="W761" i="20"/>
  <c r="W760" i="20" s="1"/>
  <c r="W758" i="20"/>
  <c r="W757" i="20"/>
  <c r="W756" i="20"/>
  <c r="W755" i="20"/>
  <c r="W754" i="20"/>
  <c r="W753" i="20" s="1"/>
  <c r="W751" i="20"/>
  <c r="W750" i="20"/>
  <c r="W749" i="20"/>
  <c r="W748" i="20"/>
  <c r="W747" i="20"/>
  <c r="W746" i="20" s="1"/>
  <c r="W744" i="20"/>
  <c r="W743" i="20"/>
  <c r="W742" i="20"/>
  <c r="W741" i="20"/>
  <c r="W740" i="20"/>
  <c r="W739" i="20" s="1"/>
  <c r="W737" i="20"/>
  <c r="W736" i="20"/>
  <c r="W735" i="20"/>
  <c r="W734" i="20"/>
  <c r="W733" i="20"/>
  <c r="W732" i="20" s="1"/>
  <c r="W730" i="20"/>
  <c r="W729" i="20"/>
  <c r="W728" i="20"/>
  <c r="W727" i="20"/>
  <c r="W726" i="20"/>
  <c r="W725" i="20" s="1"/>
  <c r="W723" i="20"/>
  <c r="W722" i="20"/>
  <c r="W721" i="20"/>
  <c r="W720" i="20"/>
  <c r="W719" i="20"/>
  <c r="W718" i="20" s="1"/>
  <c r="W716" i="20"/>
  <c r="W715" i="20"/>
  <c r="W714" i="20"/>
  <c r="W713" i="20"/>
  <c r="W712" i="20"/>
  <c r="W711" i="20" s="1"/>
  <c r="W709" i="20"/>
  <c r="W708" i="20"/>
  <c r="W707" i="20"/>
  <c r="W706" i="20"/>
  <c r="W705" i="20"/>
  <c r="W704" i="20" s="1"/>
  <c r="W702" i="20"/>
  <c r="W701" i="20"/>
  <c r="W700" i="20"/>
  <c r="W699" i="20"/>
  <c r="W698" i="20"/>
  <c r="W697" i="20" s="1"/>
  <c r="W695" i="20"/>
  <c r="W694" i="20"/>
  <c r="W693" i="20"/>
  <c r="W692" i="20"/>
  <c r="W691" i="20"/>
  <c r="W690" i="20" s="1"/>
  <c r="W688" i="20"/>
  <c r="W687" i="20"/>
  <c r="W686" i="20"/>
  <c r="W685" i="20"/>
  <c r="W684" i="20"/>
  <c r="W683" i="20" s="1"/>
  <c r="W681" i="20"/>
  <c r="W680" i="20"/>
  <c r="W679" i="20"/>
  <c r="W678" i="20"/>
  <c r="W677" i="20"/>
  <c r="W676" i="20" s="1"/>
  <c r="W674" i="20"/>
  <c r="W673" i="20"/>
  <c r="W672" i="20"/>
  <c r="W671" i="20"/>
  <c r="W670" i="20"/>
  <c r="W669" i="20" s="1"/>
  <c r="W667" i="20"/>
  <c r="W666" i="20"/>
  <c r="W665" i="20"/>
  <c r="W664" i="20"/>
  <c r="W663" i="20"/>
  <c r="W662" i="20" s="1"/>
  <c r="W660" i="20"/>
  <c r="W659" i="20"/>
  <c r="W658" i="20"/>
  <c r="W657" i="20"/>
  <c r="W656" i="20"/>
  <c r="W655" i="20" s="1"/>
  <c r="W653" i="20"/>
  <c r="W652" i="20"/>
  <c r="W651" i="20"/>
  <c r="W650" i="20"/>
  <c r="W649" i="20"/>
  <c r="W648" i="20" s="1"/>
  <c r="W646" i="20"/>
  <c r="W645" i="20"/>
  <c r="W644" i="20"/>
  <c r="W643" i="20"/>
  <c r="W642" i="20"/>
  <c r="W641" i="20" s="1"/>
  <c r="W639" i="20"/>
  <c r="W638" i="20"/>
  <c r="W637" i="20"/>
  <c r="W636" i="20"/>
  <c r="W635" i="20"/>
  <c r="W634" i="20" s="1"/>
  <c r="W632" i="20"/>
  <c r="W631" i="20"/>
  <c r="W630" i="20"/>
  <c r="W629" i="20"/>
  <c r="W628" i="20"/>
  <c r="W627" i="20" s="1"/>
  <c r="W625" i="20"/>
  <c r="W624" i="20"/>
  <c r="W623" i="20"/>
  <c r="W622" i="20"/>
  <c r="W621" i="20"/>
  <c r="W620" i="20" s="1"/>
  <c r="W618" i="20"/>
  <c r="W617" i="20"/>
  <c r="W616" i="20"/>
  <c r="W615" i="20"/>
  <c r="W614" i="20"/>
  <c r="W613" i="20" s="1"/>
  <c r="W611" i="20"/>
  <c r="W610" i="20"/>
  <c r="W609" i="20"/>
  <c r="W608" i="20"/>
  <c r="W607" i="20"/>
  <c r="W606" i="20" s="1"/>
  <c r="W604" i="20"/>
  <c r="W603" i="20"/>
  <c r="W602" i="20"/>
  <c r="W599" i="20" s="1"/>
  <c r="V1212" i="20"/>
  <c r="V1213" i="20"/>
  <c r="V1216" i="20"/>
  <c r="V1217" i="20"/>
  <c r="V1218" i="20"/>
  <c r="V1219" i="20"/>
  <c r="V1220" i="20"/>
  <c r="V1223" i="20"/>
  <c r="V1224" i="20"/>
  <c r="V1225" i="20"/>
  <c r="V1226" i="20"/>
  <c r="V1227" i="20"/>
  <c r="V1230" i="20"/>
  <c r="V1231" i="20"/>
  <c r="V1232" i="20"/>
  <c r="V1233" i="20"/>
  <c r="V1234" i="20"/>
  <c r="V1237" i="20"/>
  <c r="V1238" i="20"/>
  <c r="V1239" i="20"/>
  <c r="V1240" i="20"/>
  <c r="V1241" i="20"/>
  <c r="V1244" i="20"/>
  <c r="V1245" i="20"/>
  <c r="V1246" i="20"/>
  <c r="V1247" i="20"/>
  <c r="V1248" i="20"/>
  <c r="V1251" i="20"/>
  <c r="V1252" i="20"/>
  <c r="V1253" i="20"/>
  <c r="V1254" i="20"/>
  <c r="V1255" i="20"/>
  <c r="V1258" i="20"/>
  <c r="V1259" i="20"/>
  <c r="V1260" i="20"/>
  <c r="V1261" i="20"/>
  <c r="V1262" i="20"/>
  <c r="V1265" i="20"/>
  <c r="V1266" i="20"/>
  <c r="V1267" i="20"/>
  <c r="V1268" i="20"/>
  <c r="V1269" i="20"/>
  <c r="V1272" i="20"/>
  <c r="V1273" i="20"/>
  <c r="V1274" i="20"/>
  <c r="V1275" i="20"/>
  <c r="V1276" i="20"/>
  <c r="V1279" i="20"/>
  <c r="V1280" i="20"/>
  <c r="V1281" i="20"/>
  <c r="V1282" i="20"/>
  <c r="V1283" i="20"/>
  <c r="V1286" i="20"/>
  <c r="V1287" i="20"/>
  <c r="V1288" i="20"/>
  <c r="V1289" i="20"/>
  <c r="V1290" i="20"/>
  <c r="V1293" i="20"/>
  <c r="V1294" i="20"/>
  <c r="V1295" i="20"/>
  <c r="V1296" i="20"/>
  <c r="V1297" i="20"/>
  <c r="V1300" i="20"/>
  <c r="V1301" i="20"/>
  <c r="V1302" i="20"/>
  <c r="V1304" i="20"/>
  <c r="V1307" i="20"/>
  <c r="V1308" i="20"/>
  <c r="V1309" i="20"/>
  <c r="V1310" i="20"/>
  <c r="V1311" i="20"/>
  <c r="V1314" i="20"/>
  <c r="V1315" i="20"/>
  <c r="V1316" i="20"/>
  <c r="V1317" i="20"/>
  <c r="V1318" i="20"/>
  <c r="V1321" i="20"/>
  <c r="V1322" i="20"/>
  <c r="V1323" i="20"/>
  <c r="V1324" i="20"/>
  <c r="V1325" i="20"/>
  <c r="V1328" i="20"/>
  <c r="V1329" i="20"/>
  <c r="V1330" i="20"/>
  <c r="V1331" i="20"/>
  <c r="V1332" i="20"/>
  <c r="V1335" i="20"/>
  <c r="V1336" i="20"/>
  <c r="V1337" i="20"/>
  <c r="V1338" i="20"/>
  <c r="V1339" i="20"/>
  <c r="V1342" i="20"/>
  <c r="V1343" i="20"/>
  <c r="V1344" i="20"/>
  <c r="V1345" i="20"/>
  <c r="V1346" i="20"/>
  <c r="V1349" i="20"/>
  <c r="V1350" i="20"/>
  <c r="V1351" i="20"/>
  <c r="V1352" i="20"/>
  <c r="V1353" i="20"/>
  <c r="V1356" i="20"/>
  <c r="V1357" i="20"/>
  <c r="V1358" i="20"/>
  <c r="V1359" i="20"/>
  <c r="V1360" i="20"/>
  <c r="V1363" i="20"/>
  <c r="V1364" i="20"/>
  <c r="V1365" i="20"/>
  <c r="V1366" i="20"/>
  <c r="V1367" i="20"/>
  <c r="V1370" i="20"/>
  <c r="V1371" i="20"/>
  <c r="V1372" i="20"/>
  <c r="V1373" i="20"/>
  <c r="V1374" i="20"/>
  <c r="V1377" i="20"/>
  <c r="V1378" i="20"/>
  <c r="V1379" i="20"/>
  <c r="V1380" i="20"/>
  <c r="V1381" i="20"/>
  <c r="V1384" i="20"/>
  <c r="V1385" i="20"/>
  <c r="V1386" i="20"/>
  <c r="V1387" i="20"/>
  <c r="V1388" i="20"/>
  <c r="V1391" i="20"/>
  <c r="V1392" i="20"/>
  <c r="V1393" i="20"/>
  <c r="V1394" i="20"/>
  <c r="V1395" i="20"/>
  <c r="V1398" i="20"/>
  <c r="V1399" i="20"/>
  <c r="V1400" i="20"/>
  <c r="V1401" i="20"/>
  <c r="V1402" i="20"/>
  <c r="V1405" i="20"/>
  <c r="V1406" i="20"/>
  <c r="V1407" i="20"/>
  <c r="V1408" i="20"/>
  <c r="V1409" i="20"/>
  <c r="V1412" i="20"/>
  <c r="V1413" i="20"/>
  <c r="V1414" i="20"/>
  <c r="V1415" i="20"/>
  <c r="V1416" i="20"/>
  <c r="V1419" i="20"/>
  <c r="V1420" i="20"/>
  <c r="V1421" i="20"/>
  <c r="V1422" i="20"/>
  <c r="V1423" i="20"/>
  <c r="V1426" i="20"/>
  <c r="V1427" i="20"/>
  <c r="V1428" i="20"/>
  <c r="V1429" i="20"/>
  <c r="V1430" i="20"/>
  <c r="V1433" i="20"/>
  <c r="V1434" i="20"/>
  <c r="V1435" i="20"/>
  <c r="V1436" i="20"/>
  <c r="V1437" i="20"/>
  <c r="V1440" i="20"/>
  <c r="V1441" i="20"/>
  <c r="V1442" i="20"/>
  <c r="V1443" i="20"/>
  <c r="V1444" i="20"/>
  <c r="V1447" i="20"/>
  <c r="V1448" i="20"/>
  <c r="V1449" i="20"/>
  <c r="V1450" i="20"/>
  <c r="V1451" i="20"/>
  <c r="V1454" i="20"/>
  <c r="V1455" i="20"/>
  <c r="V1456" i="20"/>
  <c r="V1457" i="20"/>
  <c r="V1458" i="20"/>
  <c r="V1461" i="20"/>
  <c r="V1462" i="20"/>
  <c r="V1463" i="20"/>
  <c r="V1464" i="20"/>
  <c r="V1465" i="20"/>
  <c r="V1468" i="20"/>
  <c r="V1469" i="20"/>
  <c r="V1470" i="20"/>
  <c r="V1471" i="20"/>
  <c r="V1472" i="20"/>
  <c r="V1475" i="20"/>
  <c r="V1476" i="20"/>
  <c r="V1477" i="20"/>
  <c r="V1478" i="20"/>
  <c r="V1479" i="20"/>
  <c r="V1482" i="20"/>
  <c r="V1483" i="20"/>
  <c r="V1484" i="20"/>
  <c r="V1485" i="20"/>
  <c r="V1486" i="20"/>
  <c r="V1489" i="20"/>
  <c r="V1490" i="20"/>
  <c r="V1491" i="20"/>
  <c r="V1492" i="20"/>
  <c r="V1493" i="20"/>
  <c r="V1496" i="20"/>
  <c r="V1497" i="20"/>
  <c r="V1498" i="20"/>
  <c r="V1499" i="20"/>
  <c r="V1500" i="20"/>
  <c r="V1503" i="20"/>
  <c r="V1504" i="20"/>
  <c r="V1505" i="20"/>
  <c r="V1506" i="20"/>
  <c r="V1507" i="20"/>
  <c r="V1510" i="20"/>
  <c r="V1511" i="20"/>
  <c r="V1512" i="20"/>
  <c r="V1513" i="20"/>
  <c r="V1514" i="20"/>
  <c r="V1517" i="20"/>
  <c r="V1518" i="20"/>
  <c r="V1519" i="20"/>
  <c r="V1520" i="20"/>
  <c r="V1521" i="20"/>
  <c r="V1524" i="20"/>
  <c r="V1525" i="20"/>
  <c r="V1526" i="20"/>
  <c r="V1527" i="20"/>
  <c r="V1528" i="20"/>
  <c r="V1531" i="20"/>
  <c r="V1532" i="20"/>
  <c r="V1533" i="20"/>
  <c r="V1534" i="20"/>
  <c r="V1535" i="20"/>
  <c r="V1538" i="20"/>
  <c r="V1539" i="20"/>
  <c r="V1540" i="20"/>
  <c r="V1541" i="20"/>
  <c r="V1542" i="20"/>
  <c r="V1545" i="20"/>
  <c r="V1546" i="20"/>
  <c r="V1547" i="20"/>
  <c r="V1548" i="20"/>
  <c r="V1549" i="20"/>
  <c r="V1552" i="20"/>
  <c r="V1553" i="20"/>
  <c r="V1554" i="20"/>
  <c r="V1555" i="20"/>
  <c r="V1556" i="20"/>
  <c r="V1559" i="20"/>
  <c r="V1560" i="20"/>
  <c r="V1561" i="20"/>
  <c r="V1562" i="20"/>
  <c r="V1563" i="20"/>
  <c r="V1566" i="20"/>
  <c r="V1567" i="20"/>
  <c r="V1568" i="20"/>
  <c r="V1569" i="20"/>
  <c r="V1570" i="20"/>
  <c r="V1573" i="20"/>
  <c r="V1574" i="20"/>
  <c r="V1575" i="20"/>
  <c r="V1576" i="20"/>
  <c r="V1577" i="20"/>
  <c r="V1580" i="20"/>
  <c r="V1581" i="20"/>
  <c r="V1582" i="20"/>
  <c r="V1583" i="20"/>
  <c r="V1584" i="20"/>
  <c r="V1587" i="20"/>
  <c r="V1588" i="20"/>
  <c r="V1589" i="20"/>
  <c r="V1590" i="20"/>
  <c r="V1591" i="20"/>
  <c r="V1594" i="20"/>
  <c r="V1595" i="20"/>
  <c r="V1596" i="20"/>
  <c r="V1597" i="20"/>
  <c r="V1598" i="20"/>
  <c r="V1601" i="20"/>
  <c r="V1602" i="20"/>
  <c r="V1603" i="20"/>
  <c r="V1604" i="20"/>
  <c r="V1605" i="20"/>
  <c r="V1608" i="20"/>
  <c r="V1609" i="20"/>
  <c r="V1610" i="20"/>
  <c r="V1611" i="20"/>
  <c r="V1612" i="20"/>
  <c r="V1615" i="20"/>
  <c r="V1617" i="20"/>
  <c r="V1618" i="20"/>
  <c r="V1619" i="20"/>
  <c r="V1616" i="20"/>
  <c r="V1303" i="20"/>
  <c r="V1211" i="20"/>
  <c r="V1210" i="20"/>
  <c r="V1209" i="20"/>
  <c r="V1208" i="20" s="1"/>
  <c r="V1206" i="20"/>
  <c r="V1205" i="20"/>
  <c r="V1204" i="20"/>
  <c r="V1203" i="20"/>
  <c r="V1202" i="20"/>
  <c r="V1201" i="20" s="1"/>
  <c r="V1199" i="20"/>
  <c r="V1198" i="20"/>
  <c r="V1197" i="20"/>
  <c r="V1196" i="20"/>
  <c r="V1195" i="20"/>
  <c r="V1194" i="20" s="1"/>
  <c r="V1192" i="20"/>
  <c r="V1191" i="20"/>
  <c r="V1190" i="20"/>
  <c r="V1189" i="20"/>
  <c r="V1188" i="20"/>
  <c r="V1187" i="20" s="1"/>
  <c r="V1185" i="20"/>
  <c r="V1184" i="20"/>
  <c r="V1183" i="20"/>
  <c r="V1182" i="20"/>
  <c r="V1181" i="20"/>
  <c r="V1180" i="20" s="1"/>
  <c r="V1178" i="20"/>
  <c r="V1177" i="20"/>
  <c r="V1176" i="20"/>
  <c r="V1175" i="20"/>
  <c r="V1174" i="20"/>
  <c r="V1173" i="20" s="1"/>
  <c r="V1171" i="20"/>
  <c r="V1170" i="20"/>
  <c r="V1169" i="20"/>
  <c r="V1168" i="20"/>
  <c r="V1167" i="20"/>
  <c r="V1166" i="20" s="1"/>
  <c r="V1164" i="20"/>
  <c r="V1163" i="20"/>
  <c r="V1162" i="20"/>
  <c r="V1161" i="20"/>
  <c r="V1160" i="20"/>
  <c r="V1159" i="20" s="1"/>
  <c r="V1157" i="20"/>
  <c r="V1156" i="20"/>
  <c r="V1155" i="20"/>
  <c r="V1154" i="20"/>
  <c r="V1153" i="20"/>
  <c r="V1152" i="20" s="1"/>
  <c r="V1150" i="20"/>
  <c r="V1149" i="20"/>
  <c r="V1148" i="20"/>
  <c r="V1147" i="20"/>
  <c r="V1146" i="20"/>
  <c r="V1145" i="20" s="1"/>
  <c r="V1143" i="20"/>
  <c r="V1142" i="20"/>
  <c r="V1141" i="20"/>
  <c r="V1140" i="20"/>
  <c r="V1139" i="20"/>
  <c r="V1138" i="20" s="1"/>
  <c r="V1136" i="20"/>
  <c r="V1135" i="20"/>
  <c r="V1134" i="20"/>
  <c r="V1133" i="20"/>
  <c r="V1132" i="20"/>
  <c r="V1131" i="20" s="1"/>
  <c r="V1129" i="20"/>
  <c r="V1128" i="20"/>
  <c r="V1127" i="20"/>
  <c r="V1126" i="20"/>
  <c r="V1125" i="20"/>
  <c r="V1124" i="20" s="1"/>
  <c r="V1122" i="20"/>
  <c r="V1121" i="20"/>
  <c r="V1120" i="20"/>
  <c r="V1119" i="20"/>
  <c r="V1118" i="20"/>
  <c r="V1117" i="20" s="1"/>
  <c r="V1115" i="20"/>
  <c r="V1114" i="20"/>
  <c r="V1113" i="20"/>
  <c r="V1112" i="20"/>
  <c r="V1111" i="20"/>
  <c r="V1110" i="20" s="1"/>
  <c r="V1108" i="20"/>
  <c r="V1107" i="20"/>
  <c r="V1106" i="20"/>
  <c r="V1105" i="20"/>
  <c r="V1104" i="20"/>
  <c r="V1103" i="20" s="1"/>
  <c r="V1101" i="20"/>
  <c r="V1100" i="20"/>
  <c r="V1099" i="20"/>
  <c r="V1098" i="20"/>
  <c r="V1097" i="20"/>
  <c r="V1096" i="20" s="1"/>
  <c r="V1094" i="20"/>
  <c r="V1093" i="20"/>
  <c r="V1092" i="20"/>
  <c r="V1091" i="20"/>
  <c r="V1090" i="20"/>
  <c r="V1089" i="20" s="1"/>
  <c r="V1087" i="20"/>
  <c r="V1086" i="20"/>
  <c r="V1085" i="20"/>
  <c r="V1084" i="20"/>
  <c r="V1083" i="20"/>
  <c r="V1082" i="20" s="1"/>
  <c r="V1080" i="20"/>
  <c r="V1079" i="20"/>
  <c r="V1078" i="20"/>
  <c r="V1077" i="20"/>
  <c r="V1076" i="20"/>
  <c r="V1075" i="20" s="1"/>
  <c r="V1073" i="20"/>
  <c r="V1072" i="20"/>
  <c r="V1071" i="20"/>
  <c r="V1070" i="20"/>
  <c r="V1069" i="20"/>
  <c r="V1068" i="20" s="1"/>
  <c r="V1066" i="20"/>
  <c r="V1065" i="20"/>
  <c r="V1064" i="20"/>
  <c r="V1063" i="20"/>
  <c r="V1062" i="20"/>
  <c r="V1061" i="20" s="1"/>
  <c r="V1059" i="20"/>
  <c r="V1058" i="20"/>
  <c r="V1057" i="20"/>
  <c r="V1056" i="20"/>
  <c r="V1055" i="20"/>
  <c r="V1054" i="20" s="1"/>
  <c r="V1052" i="20"/>
  <c r="V1051" i="20"/>
  <c r="V1050" i="20"/>
  <c r="V1049" i="20"/>
  <c r="V1048" i="20"/>
  <c r="V1047" i="20" s="1"/>
  <c r="V1045" i="20"/>
  <c r="V1044" i="20"/>
  <c r="V1043" i="20"/>
  <c r="V1042" i="20"/>
  <c r="V1041" i="20"/>
  <c r="V1040" i="20" s="1"/>
  <c r="V1038" i="20"/>
  <c r="V1037" i="20"/>
  <c r="V1036" i="20"/>
  <c r="V1035" i="20"/>
  <c r="V1034" i="20"/>
  <c r="V1033" i="20" s="1"/>
  <c r="V1031" i="20"/>
  <c r="V1030" i="20"/>
  <c r="V1029" i="20"/>
  <c r="V1028" i="20"/>
  <c r="V1027" i="20"/>
  <c r="V1026" i="20" s="1"/>
  <c r="V1024" i="20"/>
  <c r="V1023" i="20"/>
  <c r="V1022" i="20"/>
  <c r="V1021" i="20"/>
  <c r="V1020" i="20"/>
  <c r="V1019" i="20" s="1"/>
  <c r="V1017" i="20"/>
  <c r="V1016" i="20"/>
  <c r="V1015" i="20"/>
  <c r="V1014" i="20"/>
  <c r="V1013" i="20"/>
  <c r="V1012" i="20" s="1"/>
  <c r="V1010" i="20"/>
  <c r="V1009" i="20"/>
  <c r="V1008" i="20"/>
  <c r="V1007" i="20"/>
  <c r="V1006" i="20"/>
  <c r="V1005" i="20" s="1"/>
  <c r="V1003" i="20"/>
  <c r="V1002" i="20"/>
  <c r="V1001" i="20"/>
  <c r="V1000" i="20"/>
  <c r="V999" i="20"/>
  <c r="V998" i="20" s="1"/>
  <c r="V996" i="20"/>
  <c r="V995" i="20"/>
  <c r="V994" i="20"/>
  <c r="V993" i="20"/>
  <c r="V992" i="20"/>
  <c r="V991" i="20" s="1"/>
  <c r="V989" i="20"/>
  <c r="V988" i="20"/>
  <c r="V987" i="20"/>
  <c r="V986" i="20"/>
  <c r="V985" i="20"/>
  <c r="V984" i="20" s="1"/>
  <c r="V982" i="20"/>
  <c r="V981" i="20"/>
  <c r="V980" i="20"/>
  <c r="V979" i="20"/>
  <c r="V978" i="20"/>
  <c r="V977" i="20" s="1"/>
  <c r="V975" i="20"/>
  <c r="V974" i="20"/>
  <c r="V973" i="20"/>
  <c r="V972" i="20"/>
  <c r="V971" i="20"/>
  <c r="V970" i="20" s="1"/>
  <c r="V968" i="20"/>
  <c r="V967" i="20"/>
  <c r="V966" i="20"/>
  <c r="V965" i="20"/>
  <c r="V964" i="20"/>
  <c r="V963" i="20" s="1"/>
  <c r="V961" i="20"/>
  <c r="V960" i="20"/>
  <c r="V959" i="20"/>
  <c r="V958" i="20"/>
  <c r="V957" i="20"/>
  <c r="V956" i="20" s="1"/>
  <c r="V954" i="20"/>
  <c r="V953" i="20"/>
  <c r="V952" i="20"/>
  <c r="V951" i="20"/>
  <c r="V950" i="20"/>
  <c r="V949" i="20" s="1"/>
  <c r="V947" i="20"/>
  <c r="V946" i="20"/>
  <c r="V945" i="20"/>
  <c r="V944" i="20"/>
  <c r="V943" i="20"/>
  <c r="V942" i="20" s="1"/>
  <c r="V940" i="20"/>
  <c r="V939" i="20"/>
  <c r="V938" i="20"/>
  <c r="V937" i="20"/>
  <c r="V936" i="20"/>
  <c r="V935" i="20" s="1"/>
  <c r="V933" i="20"/>
  <c r="V932" i="20"/>
  <c r="V931" i="20"/>
  <c r="V930" i="20"/>
  <c r="V929" i="20"/>
  <c r="V928" i="20" s="1"/>
  <c r="V926" i="20"/>
  <c r="V925" i="20"/>
  <c r="V924" i="20"/>
  <c r="V923" i="20"/>
  <c r="V922" i="20"/>
  <c r="V921" i="20" s="1"/>
  <c r="V919" i="20"/>
  <c r="V918" i="20"/>
  <c r="V917" i="20"/>
  <c r="V916" i="20"/>
  <c r="V915" i="20"/>
  <c r="V914" i="20" s="1"/>
  <c r="V912" i="20"/>
  <c r="V911" i="20"/>
  <c r="V910" i="20"/>
  <c r="V909" i="20"/>
  <c r="V908" i="20"/>
  <c r="V907" i="20" s="1"/>
  <c r="V905" i="20"/>
  <c r="V904" i="20"/>
  <c r="V903" i="20"/>
  <c r="V902" i="20"/>
  <c r="V901" i="20"/>
  <c r="V900" i="20" s="1"/>
  <c r="V898" i="20"/>
  <c r="V897" i="20"/>
  <c r="V896" i="20"/>
  <c r="V895" i="20"/>
  <c r="V894" i="20"/>
  <c r="V893" i="20" s="1"/>
  <c r="V891" i="20"/>
  <c r="V890" i="20"/>
  <c r="V889" i="20"/>
  <c r="V888" i="20"/>
  <c r="V887" i="20"/>
  <c r="V886" i="20" s="1"/>
  <c r="V884" i="20"/>
  <c r="V883" i="20"/>
  <c r="V882" i="20"/>
  <c r="V881" i="20"/>
  <c r="V880" i="20"/>
  <c r="V879" i="20" s="1"/>
  <c r="V877" i="20"/>
  <c r="V876" i="20"/>
  <c r="V875" i="20"/>
  <c r="V874" i="20"/>
  <c r="V873" i="20"/>
  <c r="V872" i="20" s="1"/>
  <c r="V870" i="20"/>
  <c r="V869" i="20"/>
  <c r="V868" i="20"/>
  <c r="V867" i="20"/>
  <c r="V866" i="20"/>
  <c r="V865" i="20" s="1"/>
  <c r="V863" i="20"/>
  <c r="V862" i="20"/>
  <c r="V861" i="20"/>
  <c r="V860" i="20"/>
  <c r="V859" i="20"/>
  <c r="V858" i="20" s="1"/>
  <c r="V856" i="20"/>
  <c r="V855" i="20"/>
  <c r="V854" i="20"/>
  <c r="V853" i="20"/>
  <c r="V852" i="20"/>
  <c r="V851" i="20" s="1"/>
  <c r="V849" i="20"/>
  <c r="V848" i="20"/>
  <c r="V847" i="20"/>
  <c r="V846" i="20"/>
  <c r="V845" i="20"/>
  <c r="V844" i="20" s="1"/>
  <c r="V842" i="20"/>
  <c r="V841" i="20"/>
  <c r="V840" i="20"/>
  <c r="V839" i="20"/>
  <c r="V838" i="20"/>
  <c r="V837" i="20" s="1"/>
  <c r="V835" i="20"/>
  <c r="V834" i="20"/>
  <c r="V833" i="20"/>
  <c r="V832" i="20"/>
  <c r="V831" i="20"/>
  <c r="V830" i="20" s="1"/>
  <c r="V828" i="20"/>
  <c r="V827" i="20"/>
  <c r="V826" i="20"/>
  <c r="V825" i="20"/>
  <c r="V824" i="20"/>
  <c r="V823" i="20" s="1"/>
  <c r="V821" i="20"/>
  <c r="V820" i="20"/>
  <c r="V819" i="20"/>
  <c r="V818" i="20"/>
  <c r="V817" i="20"/>
  <c r="V816" i="20" s="1"/>
  <c r="V814" i="20"/>
  <c r="V813" i="20"/>
  <c r="V812" i="20"/>
  <c r="V811" i="20"/>
  <c r="V810" i="20"/>
  <c r="V809" i="20" s="1"/>
  <c r="V807" i="20"/>
  <c r="V806" i="20"/>
  <c r="V805" i="20"/>
  <c r="V804" i="20"/>
  <c r="V803" i="20"/>
  <c r="V802" i="20" s="1"/>
  <c r="V800" i="20"/>
  <c r="V799" i="20"/>
  <c r="V798" i="20"/>
  <c r="V797" i="20"/>
  <c r="V796" i="20"/>
  <c r="V795" i="20" s="1"/>
  <c r="V793" i="20"/>
  <c r="V792" i="20"/>
  <c r="V791" i="20"/>
  <c r="V790" i="20"/>
  <c r="V789" i="20"/>
  <c r="V788" i="20" s="1"/>
  <c r="V786" i="20"/>
  <c r="V785" i="20"/>
  <c r="V784" i="20"/>
  <c r="V783" i="20"/>
  <c r="V782" i="20"/>
  <c r="V781" i="20" s="1"/>
  <c r="V779" i="20"/>
  <c r="V778" i="20"/>
  <c r="V777" i="20"/>
  <c r="V776" i="20"/>
  <c r="V775" i="20"/>
  <c r="V774" i="20" s="1"/>
  <c r="V772" i="20"/>
  <c r="V771" i="20"/>
  <c r="V770" i="20"/>
  <c r="V769" i="20"/>
  <c r="V768" i="20"/>
  <c r="V767" i="20" s="1"/>
  <c r="V765" i="20"/>
  <c r="V764" i="20"/>
  <c r="V763" i="20"/>
  <c r="V762" i="20"/>
  <c r="V761" i="20"/>
  <c r="V760" i="20" s="1"/>
  <c r="V758" i="20"/>
  <c r="V757" i="20"/>
  <c r="V756" i="20"/>
  <c r="V755" i="20"/>
  <c r="V754" i="20"/>
  <c r="V753" i="20" s="1"/>
  <c r="V751" i="20"/>
  <c r="V750" i="20"/>
  <c r="V749" i="20"/>
  <c r="V748" i="20"/>
  <c r="V747" i="20"/>
  <c r="V746" i="20" s="1"/>
  <c r="V744" i="20"/>
  <c r="V743" i="20"/>
  <c r="V742" i="20"/>
  <c r="V741" i="20"/>
  <c r="V740" i="20"/>
  <c r="V739" i="20" s="1"/>
  <c r="V737" i="20"/>
  <c r="V736" i="20"/>
  <c r="V735" i="20"/>
  <c r="V734" i="20"/>
  <c r="V733" i="20"/>
  <c r="V732" i="20" s="1"/>
  <c r="V730" i="20"/>
  <c r="V729" i="20"/>
  <c r="V728" i="20"/>
  <c r="V727" i="20"/>
  <c r="V726" i="20"/>
  <c r="V725" i="20" s="1"/>
  <c r="V723" i="20"/>
  <c r="V722" i="20"/>
  <c r="V721" i="20"/>
  <c r="V720" i="20"/>
  <c r="V719" i="20"/>
  <c r="V718" i="20" s="1"/>
  <c r="V716" i="20"/>
  <c r="V715" i="20"/>
  <c r="V714" i="20"/>
  <c r="V713" i="20"/>
  <c r="V712" i="20"/>
  <c r="V711" i="20" s="1"/>
  <c r="V709" i="20"/>
  <c r="V708" i="20"/>
  <c r="V707" i="20"/>
  <c r="V706" i="20"/>
  <c r="V705" i="20"/>
  <c r="V704" i="20" s="1"/>
  <c r="V702" i="20"/>
  <c r="V701" i="20"/>
  <c r="V700" i="20"/>
  <c r="V699" i="20"/>
  <c r="V698" i="20"/>
  <c r="V697" i="20" s="1"/>
  <c r="V695" i="20"/>
  <c r="V694" i="20"/>
  <c r="V693" i="20"/>
  <c r="V692" i="20"/>
  <c r="V691" i="20"/>
  <c r="V690" i="20" s="1"/>
  <c r="V688" i="20"/>
  <c r="V687" i="20"/>
  <c r="V686" i="20"/>
  <c r="V685" i="20"/>
  <c r="V684" i="20"/>
  <c r="V683" i="20" s="1"/>
  <c r="V681" i="20"/>
  <c r="V680" i="20"/>
  <c r="V679" i="20"/>
  <c r="V678" i="20"/>
  <c r="V677" i="20"/>
  <c r="V676" i="20" s="1"/>
  <c r="V674" i="20"/>
  <c r="V673" i="20"/>
  <c r="V672" i="20"/>
  <c r="V671" i="20"/>
  <c r="V670" i="20"/>
  <c r="V669" i="20" s="1"/>
  <c r="V667" i="20"/>
  <c r="V666" i="20"/>
  <c r="V665" i="20"/>
  <c r="V664" i="20"/>
  <c r="V663" i="20"/>
  <c r="V662" i="20" s="1"/>
  <c r="V660" i="20"/>
  <c r="V659" i="20"/>
  <c r="V658" i="20"/>
  <c r="V657" i="20"/>
  <c r="V656" i="20"/>
  <c r="V655" i="20" s="1"/>
  <c r="V653" i="20"/>
  <c r="V652" i="20"/>
  <c r="V651" i="20"/>
  <c r="V650" i="20"/>
  <c r="V649" i="20"/>
  <c r="V648" i="20" s="1"/>
  <c r="V646" i="20"/>
  <c r="V645" i="20"/>
  <c r="V644" i="20"/>
  <c r="V643" i="20"/>
  <c r="V642" i="20"/>
  <c r="V641" i="20" s="1"/>
  <c r="V639" i="20"/>
  <c r="V638" i="20"/>
  <c r="V637" i="20"/>
  <c r="V636" i="20"/>
  <c r="V635" i="20"/>
  <c r="V634" i="20" s="1"/>
  <c r="V632" i="20"/>
  <c r="V631" i="20"/>
  <c r="V630" i="20"/>
  <c r="V629" i="20"/>
  <c r="V628" i="20"/>
  <c r="V627" i="20" s="1"/>
  <c r="V625" i="20"/>
  <c r="V624" i="20"/>
  <c r="V623" i="20"/>
  <c r="V622" i="20"/>
  <c r="V621" i="20"/>
  <c r="V620" i="20" s="1"/>
  <c r="V618" i="20"/>
  <c r="V617" i="20"/>
  <c r="V616" i="20"/>
  <c r="V615" i="20"/>
  <c r="V614" i="20"/>
  <c r="V613" i="20" s="1"/>
  <c r="V611" i="20"/>
  <c r="V610" i="20"/>
  <c r="V609" i="20"/>
  <c r="V608" i="20"/>
  <c r="V607" i="20"/>
  <c r="V606" i="20" s="1"/>
  <c r="V604" i="20"/>
  <c r="V603" i="20"/>
  <c r="V602" i="20"/>
  <c r="V601" i="20"/>
  <c r="V600" i="20"/>
  <c r="V599" i="20" s="1"/>
  <c r="V597" i="20"/>
  <c r="V596" i="20"/>
  <c r="V595" i="20"/>
  <c r="V594" i="20"/>
  <c r="V593" i="20"/>
  <c r="V592" i="20" s="1"/>
  <c r="V590" i="20"/>
  <c r="V589" i="20"/>
  <c r="V588" i="20"/>
  <c r="V587" i="20"/>
  <c r="V586" i="20"/>
  <c r="V585" i="20" s="1"/>
  <c r="V583" i="20"/>
  <c r="V582" i="20"/>
  <c r="V581" i="20"/>
  <c r="V580" i="20"/>
  <c r="V579" i="20"/>
  <c r="V578" i="20" s="1"/>
  <c r="V576" i="20"/>
  <c r="V575" i="20"/>
  <c r="V574" i="20"/>
  <c r="V573" i="20"/>
  <c r="V572" i="20"/>
  <c r="V571" i="20" s="1"/>
  <c r="V569" i="20"/>
  <c r="V568" i="20"/>
  <c r="V567" i="20"/>
  <c r="V566" i="20"/>
  <c r="V565" i="20"/>
  <c r="V564" i="20" s="1"/>
  <c r="V562" i="20"/>
  <c r="V561" i="20"/>
  <c r="V560" i="20"/>
  <c r="V559" i="20"/>
  <c r="V558" i="20"/>
  <c r="V557" i="20" s="1"/>
  <c r="V555" i="20"/>
  <c r="V554" i="20"/>
  <c r="V553" i="20"/>
  <c r="V552" i="20"/>
  <c r="V551" i="20"/>
  <c r="V550" i="20" s="1"/>
  <c r="V548" i="20"/>
  <c r="V547" i="20"/>
  <c r="V546" i="20"/>
  <c r="V545" i="20"/>
  <c r="V544" i="20"/>
  <c r="V543" i="20" s="1"/>
  <c r="V541" i="20"/>
  <c r="V540" i="20"/>
  <c r="V539" i="20"/>
  <c r="V538" i="20"/>
  <c r="V537" i="20"/>
  <c r="V536" i="20" s="1"/>
  <c r="V534" i="20"/>
  <c r="V533" i="20"/>
  <c r="V532" i="20"/>
  <c r="V531" i="20"/>
  <c r="V530" i="20"/>
  <c r="V529" i="20" s="1"/>
  <c r="V527" i="20"/>
  <c r="V526" i="20"/>
  <c r="V525" i="20"/>
  <c r="V524" i="20"/>
  <c r="V523" i="20"/>
  <c r="V522" i="20" s="1"/>
  <c r="V520" i="20"/>
  <c r="V519" i="20"/>
  <c r="V518" i="20"/>
  <c r="V517" i="20"/>
  <c r="V516" i="20"/>
  <c r="V515" i="20" s="1"/>
  <c r="V513" i="20"/>
  <c r="V512" i="20"/>
  <c r="V511" i="20"/>
  <c r="V510" i="20"/>
  <c r="V509" i="20"/>
  <c r="V508" i="20" s="1"/>
  <c r="V506" i="20"/>
  <c r="V505" i="20"/>
  <c r="V504" i="20"/>
  <c r="V503" i="20"/>
  <c r="V502" i="20"/>
  <c r="V501" i="20" s="1"/>
  <c r="V499" i="20"/>
  <c r="V498" i="20"/>
  <c r="V497" i="20"/>
  <c r="V496" i="20"/>
  <c r="V495" i="20"/>
  <c r="V494" i="20" s="1"/>
  <c r="V492" i="20"/>
  <c r="V491" i="20"/>
  <c r="V490" i="20"/>
  <c r="V489" i="20"/>
  <c r="V488" i="20"/>
  <c r="V487" i="20" s="1"/>
  <c r="V485" i="20"/>
  <c r="V484" i="20"/>
  <c r="V483" i="20"/>
  <c r="V482" i="20"/>
  <c r="V481" i="20"/>
  <c r="V480" i="20" s="1"/>
  <c r="V478" i="20"/>
  <c r="V477" i="20"/>
  <c r="V476" i="20"/>
  <c r="V475" i="20"/>
  <c r="V474" i="20"/>
  <c r="V473" i="20" s="1"/>
  <c r="V471" i="20"/>
  <c r="V470" i="20"/>
  <c r="V469" i="20"/>
  <c r="V468" i="20"/>
  <c r="V467" i="20"/>
  <c r="V466" i="20" s="1"/>
  <c r="V464" i="20"/>
  <c r="V463" i="20"/>
  <c r="V462" i="20"/>
  <c r="V461" i="20"/>
  <c r="V460" i="20"/>
  <c r="V459" i="20" s="1"/>
  <c r="V457" i="20"/>
  <c r="V456" i="20"/>
  <c r="V455" i="20"/>
  <c r="V454" i="20"/>
  <c r="V453" i="20"/>
  <c r="V452" i="20" s="1"/>
  <c r="V450" i="20"/>
  <c r="V449" i="20"/>
  <c r="V448" i="20"/>
  <c r="V447" i="20"/>
  <c r="V446" i="20"/>
  <c r="V445" i="20" s="1"/>
  <c r="V443" i="20"/>
  <c r="V442" i="20"/>
  <c r="V441" i="20"/>
  <c r="V440" i="20"/>
  <c r="V439" i="20"/>
  <c r="V438" i="20" s="1"/>
  <c r="V436" i="20"/>
  <c r="V435" i="20"/>
  <c r="V434" i="20"/>
  <c r="V433" i="20"/>
  <c r="V432" i="20"/>
  <c r="V431" i="20" s="1"/>
  <c r="V429" i="20"/>
  <c r="V428" i="20"/>
  <c r="V427" i="20"/>
  <c r="V426" i="20"/>
  <c r="V425" i="20"/>
  <c r="V424" i="20" s="1"/>
  <c r="V422" i="20"/>
  <c r="V421" i="20"/>
  <c r="V420" i="20"/>
  <c r="V419" i="20"/>
  <c r="V418" i="20"/>
  <c r="V417" i="20" s="1"/>
  <c r="V415" i="20"/>
  <c r="V414" i="20"/>
  <c r="V413" i="20"/>
  <c r="V412" i="20"/>
  <c r="V411" i="20"/>
  <c r="V410" i="20" s="1"/>
  <c r="V408" i="20"/>
  <c r="V407" i="20"/>
  <c r="V406" i="20"/>
  <c r="V405" i="20"/>
  <c r="V404" i="20"/>
  <c r="V403" i="20" s="1"/>
  <c r="V401" i="20"/>
  <c r="V400" i="20"/>
  <c r="V399" i="20"/>
  <c r="V398" i="20"/>
  <c r="V397" i="20"/>
  <c r="V396" i="20" s="1"/>
  <c r="V394" i="20"/>
  <c r="V393" i="20"/>
  <c r="V392" i="20"/>
  <c r="V391" i="20"/>
  <c r="V390" i="20"/>
  <c r="V389" i="20" s="1"/>
  <c r="V387" i="20"/>
  <c r="V386" i="20"/>
  <c r="V385" i="20"/>
  <c r="V384" i="20"/>
  <c r="V383" i="20"/>
  <c r="V382" i="20" s="1"/>
  <c r="V380" i="20"/>
  <c r="V379" i="20"/>
  <c r="V378" i="20"/>
  <c r="V377" i="20"/>
  <c r="V376" i="20"/>
  <c r="V375" i="20" s="1"/>
  <c r="V373" i="20"/>
  <c r="V372" i="20"/>
  <c r="V371" i="20"/>
  <c r="V370" i="20"/>
  <c r="V369" i="20"/>
  <c r="V368" i="20" s="1"/>
  <c r="V366" i="20"/>
  <c r="V365" i="20"/>
  <c r="V364" i="20"/>
  <c r="V363" i="20"/>
  <c r="V362" i="20"/>
  <c r="V361" i="20" s="1"/>
  <c r="V359" i="20"/>
  <c r="V358" i="20"/>
  <c r="V357" i="20"/>
  <c r="V356" i="20"/>
  <c r="V355" i="20"/>
  <c r="V354" i="20" s="1"/>
  <c r="V352" i="20"/>
  <c r="V351" i="20"/>
  <c r="V350" i="20"/>
  <c r="V349" i="20"/>
  <c r="V348" i="20"/>
  <c r="V347" i="20" s="1"/>
  <c r="V345" i="20"/>
  <c r="V344" i="20"/>
  <c r="V343" i="20"/>
  <c r="V342" i="20"/>
  <c r="V341" i="20"/>
  <c r="V340" i="20" s="1"/>
  <c r="V338" i="20"/>
  <c r="V337" i="20"/>
  <c r="V336" i="20"/>
  <c r="V335" i="20"/>
  <c r="V334" i="20"/>
  <c r="V333" i="20" s="1"/>
  <c r="V331" i="20"/>
  <c r="V330" i="20"/>
  <c r="V329" i="20"/>
  <c r="V328" i="20"/>
  <c r="V327" i="20"/>
  <c r="V326" i="20" s="1"/>
  <c r="V324" i="20"/>
  <c r="V323" i="20"/>
  <c r="V322" i="20"/>
  <c r="V321" i="20"/>
  <c r="V320" i="20"/>
  <c r="V319" i="20" s="1"/>
  <c r="V317" i="20"/>
  <c r="V316" i="20"/>
  <c r="V315" i="20"/>
  <c r="V314" i="20"/>
  <c r="V313" i="20"/>
  <c r="V312" i="20" s="1"/>
  <c r="V310" i="20"/>
  <c r="V309" i="20"/>
  <c r="V308" i="20"/>
  <c r="V307" i="20"/>
  <c r="V306" i="20"/>
  <c r="V305" i="20" s="1"/>
  <c r="V303" i="20"/>
  <c r="V302" i="20"/>
  <c r="V301" i="20"/>
  <c r="V300" i="20"/>
  <c r="V299" i="20"/>
  <c r="V298" i="20" s="1"/>
  <c r="V296" i="20"/>
  <c r="V295" i="20"/>
  <c r="V294" i="20"/>
  <c r="V293" i="20"/>
  <c r="V292" i="20"/>
  <c r="V291" i="20" s="1"/>
  <c r="V289" i="20"/>
  <c r="V288" i="20"/>
  <c r="V287" i="20"/>
  <c r="V286" i="20"/>
  <c r="V285" i="20"/>
  <c r="V284" i="20" s="1"/>
  <c r="V282" i="20"/>
  <c r="V281" i="20"/>
  <c r="V280" i="20"/>
  <c r="V279" i="20"/>
  <c r="V278" i="20"/>
  <c r="V277" i="20" s="1"/>
  <c r="V275" i="20"/>
  <c r="V274" i="20"/>
  <c r="V273" i="20"/>
  <c r="V272" i="20"/>
  <c r="V271" i="20"/>
  <c r="V270" i="20" s="1"/>
  <c r="V268" i="20"/>
  <c r="V267" i="20"/>
  <c r="V266" i="20"/>
  <c r="V265" i="20"/>
  <c r="V264" i="20"/>
  <c r="V263" i="20" s="1"/>
  <c r="V261" i="20"/>
  <c r="V260" i="20"/>
  <c r="V259" i="20"/>
  <c r="V258" i="20"/>
  <c r="V257" i="20"/>
  <c r="V256" i="20" s="1"/>
  <c r="V254" i="20"/>
  <c r="V253" i="20"/>
  <c r="V252" i="20"/>
  <c r="V251" i="20"/>
  <c r="V250" i="20"/>
  <c r="V249" i="20" s="1"/>
  <c r="V247" i="20"/>
  <c r="V246" i="20"/>
  <c r="V245" i="20"/>
  <c r="V244" i="20"/>
  <c r="V243" i="20"/>
  <c r="V242" i="20" s="1"/>
  <c r="V240" i="20"/>
  <c r="V239" i="20"/>
  <c r="V238" i="20"/>
  <c r="V237" i="20"/>
  <c r="V236" i="20"/>
  <c r="V235" i="20" s="1"/>
  <c r="V233" i="20"/>
  <c r="V232" i="20"/>
  <c r="V231" i="20"/>
  <c r="V230" i="20"/>
  <c r="V229" i="20"/>
  <c r="V228" i="20" s="1"/>
  <c r="V226" i="20"/>
  <c r="V225" i="20"/>
  <c r="V224" i="20"/>
  <c r="V223" i="20"/>
  <c r="V222" i="20"/>
  <c r="V221" i="20" s="1"/>
  <c r="V219" i="20"/>
  <c r="V218" i="20"/>
  <c r="V217" i="20"/>
  <c r="V216" i="20"/>
  <c r="V215" i="20"/>
  <c r="V214" i="20" s="1"/>
  <c r="V212" i="20"/>
  <c r="V211" i="20"/>
  <c r="V210" i="20"/>
  <c r="V209" i="20"/>
  <c r="V208" i="20"/>
  <c r="V207" i="20" s="1"/>
  <c r="V205" i="20"/>
  <c r="V204" i="20"/>
  <c r="V203" i="20"/>
  <c r="V202" i="20"/>
  <c r="V201" i="20"/>
  <c r="V200" i="20" s="1"/>
  <c r="V198" i="20"/>
  <c r="V197" i="20"/>
  <c r="V196" i="20"/>
  <c r="V195" i="20"/>
  <c r="V194" i="20"/>
  <c r="V193" i="20" s="1"/>
  <c r="V191" i="20"/>
  <c r="V190" i="20"/>
  <c r="V189" i="20"/>
  <c r="V188" i="20"/>
  <c r="V187" i="20"/>
  <c r="V186" i="20" s="1"/>
  <c r="V184" i="20"/>
  <c r="V183" i="20"/>
  <c r="V182" i="20"/>
  <c r="V181" i="20"/>
  <c r="V180" i="20"/>
  <c r="V179" i="20" s="1"/>
  <c r="V177" i="20"/>
  <c r="V176" i="20"/>
  <c r="V175" i="20"/>
  <c r="V174" i="20"/>
  <c r="V173" i="20"/>
  <c r="V172" i="20" s="1"/>
  <c r="V170" i="20"/>
  <c r="V169" i="20"/>
  <c r="V168" i="20"/>
  <c r="V167" i="20"/>
  <c r="V166" i="20"/>
  <c r="V165" i="20" s="1"/>
  <c r="V163" i="20"/>
  <c r="V162" i="20"/>
  <c r="V161" i="20"/>
  <c r="V160" i="20"/>
  <c r="V159" i="20"/>
  <c r="V158" i="20" s="1"/>
  <c r="V156" i="20"/>
  <c r="V155" i="20"/>
  <c r="V154" i="20"/>
  <c r="V153" i="20"/>
  <c r="V152" i="20"/>
  <c r="V151" i="20" s="1"/>
  <c r="V149" i="20"/>
  <c r="V148" i="20"/>
  <c r="V147" i="20"/>
  <c r="V146" i="20"/>
  <c r="V145" i="20"/>
  <c r="V144" i="20" s="1"/>
  <c r="V142" i="20"/>
  <c r="V141" i="20"/>
  <c r="V140" i="20"/>
  <c r="V139" i="20"/>
  <c r="V138" i="20"/>
  <c r="V137" i="20" s="1"/>
  <c r="V135" i="20"/>
  <c r="V134" i="20"/>
  <c r="V133" i="20"/>
  <c r="V132" i="20"/>
  <c r="V131" i="20"/>
  <c r="V130" i="20" s="1"/>
  <c r="V128" i="20"/>
  <c r="V127" i="20"/>
  <c r="V126" i="20"/>
  <c r="V125" i="20"/>
  <c r="V124" i="20"/>
  <c r="V123" i="20" s="1"/>
  <c r="V121" i="20"/>
  <c r="V120" i="20"/>
  <c r="V119" i="20"/>
  <c r="V118" i="20"/>
  <c r="V117" i="20"/>
  <c r="V116" i="20" s="1"/>
  <c r="V114" i="20"/>
  <c r="V113" i="20"/>
  <c r="V112" i="20"/>
  <c r="V111" i="20"/>
  <c r="V110" i="20"/>
  <c r="V109" i="20" s="1"/>
  <c r="V107" i="20"/>
  <c r="V106" i="20"/>
  <c r="V105" i="20"/>
  <c r="V104" i="20"/>
  <c r="V103" i="20"/>
  <c r="V102" i="20" s="1"/>
  <c r="V100" i="20"/>
  <c r="V99" i="20"/>
  <c r="V98" i="20"/>
  <c r="V97" i="20"/>
  <c r="V96" i="20"/>
  <c r="V95" i="20" s="1"/>
  <c r="V93" i="20"/>
  <c r="V92" i="20"/>
  <c r="V91" i="20"/>
  <c r="V90" i="20"/>
  <c r="V89" i="20"/>
  <c r="V88" i="20" s="1"/>
  <c r="V86" i="20"/>
  <c r="V85" i="20"/>
  <c r="V84" i="20"/>
  <c r="V83" i="20"/>
  <c r="V82" i="20"/>
  <c r="V81" i="20" s="1"/>
  <c r="V79" i="20"/>
  <c r="V78" i="20"/>
  <c r="V77" i="20"/>
  <c r="V76" i="20"/>
  <c r="V75" i="20"/>
  <c r="V74" i="20" s="1"/>
  <c r="V72" i="20"/>
  <c r="V71" i="20"/>
  <c r="V70" i="20"/>
  <c r="V69" i="20"/>
  <c r="V68" i="20"/>
  <c r="V67" i="20" s="1"/>
  <c r="V65" i="20"/>
  <c r="V64" i="20"/>
  <c r="V63" i="20"/>
  <c r="V62" i="20"/>
  <c r="V61" i="20"/>
  <c r="V60" i="20" s="1"/>
  <c r="V58" i="20"/>
  <c r="V57" i="20"/>
  <c r="V56" i="20"/>
  <c r="V55" i="20"/>
  <c r="V54" i="20"/>
  <c r="V53" i="20" s="1"/>
  <c r="V51" i="20"/>
  <c r="V50" i="20"/>
  <c r="V49" i="20"/>
  <c r="V48" i="20"/>
  <c r="V47" i="20"/>
  <c r="V46" i="20" s="1"/>
  <c r="V44" i="20"/>
  <c r="V43" i="20"/>
  <c r="V42" i="20"/>
  <c r="V41" i="20"/>
  <c r="V40" i="20"/>
  <c r="V39" i="20" s="1"/>
  <c r="V37" i="20"/>
  <c r="V36" i="20"/>
  <c r="V35" i="20"/>
  <c r="V34" i="20"/>
  <c r="V33" i="20"/>
  <c r="V32" i="20" s="1"/>
  <c r="V30" i="20"/>
  <c r="V29" i="20"/>
  <c r="V28" i="20"/>
  <c r="V27" i="20"/>
  <c r="V26" i="20"/>
  <c r="V25" i="20" s="1"/>
  <c r="V23" i="20"/>
  <c r="V22" i="20"/>
  <c r="V21" i="20"/>
  <c r="V20" i="20"/>
  <c r="V19" i="20"/>
  <c r="V18" i="20" s="1"/>
  <c r="V16" i="20"/>
  <c r="V15" i="20"/>
  <c r="V14" i="20"/>
  <c r="V13" i="20"/>
  <c r="V12" i="20"/>
  <c r="V11" i="20" s="1"/>
  <c r="V9" i="20"/>
  <c r="V8" i="20"/>
  <c r="V7" i="20"/>
  <c r="V6" i="20"/>
  <c r="V5" i="20"/>
  <c r="U405" i="20"/>
  <c r="U1216" i="20"/>
  <c r="U1217" i="20"/>
  <c r="U1314" i="20"/>
  <c r="U1311" i="20"/>
  <c r="U1310" i="20"/>
  <c r="U1309" i="20"/>
  <c r="U1308" i="20"/>
  <c r="U1307" i="20"/>
  <c r="U1306" i="20" s="1"/>
  <c r="U1304" i="20"/>
  <c r="U1218" i="20"/>
  <c r="U1219" i="20"/>
  <c r="U1220" i="20"/>
  <c r="U1223" i="20"/>
  <c r="U1224" i="20"/>
  <c r="U1225" i="20"/>
  <c r="U1226" i="20"/>
  <c r="U1227" i="20"/>
  <c r="U1230" i="20"/>
  <c r="U1231" i="20"/>
  <c r="U1232" i="20"/>
  <c r="U1233" i="20"/>
  <c r="U1234" i="20"/>
  <c r="U1237" i="20"/>
  <c r="U1238" i="20"/>
  <c r="U1239" i="20"/>
  <c r="U1240" i="20"/>
  <c r="U1241" i="20"/>
  <c r="U1244" i="20"/>
  <c r="U1245" i="20"/>
  <c r="U1246" i="20"/>
  <c r="U1247" i="20"/>
  <c r="U1248" i="20"/>
  <c r="U1251" i="20"/>
  <c r="U1252" i="20"/>
  <c r="U1253" i="20"/>
  <c r="U1254" i="20"/>
  <c r="U1255" i="20"/>
  <c r="U1258" i="20"/>
  <c r="U1259" i="20"/>
  <c r="U1260" i="20"/>
  <c r="U1261" i="20"/>
  <c r="U1262" i="20"/>
  <c r="U1265" i="20"/>
  <c r="U1266" i="20"/>
  <c r="U1267" i="20"/>
  <c r="U1268" i="20"/>
  <c r="U1269" i="20"/>
  <c r="U1272" i="20"/>
  <c r="U1273" i="20"/>
  <c r="U1274" i="20"/>
  <c r="U1275" i="20"/>
  <c r="U1276" i="20"/>
  <c r="U1279" i="20"/>
  <c r="U1280" i="20"/>
  <c r="U1281" i="20"/>
  <c r="U1282" i="20"/>
  <c r="U1283" i="20"/>
  <c r="U1286" i="20"/>
  <c r="U1287" i="20"/>
  <c r="U1288" i="20"/>
  <c r="U1289" i="20"/>
  <c r="U1290" i="20"/>
  <c r="U1293" i="20"/>
  <c r="U1294" i="20"/>
  <c r="U1295" i="20"/>
  <c r="U1296" i="20"/>
  <c r="U1297" i="20"/>
  <c r="U1300" i="20"/>
  <c r="U1301" i="20"/>
  <c r="U1302" i="20"/>
  <c r="U1213" i="20"/>
  <c r="U1303" i="20"/>
  <c r="U5" i="20"/>
  <c r="U6" i="20"/>
  <c r="U7" i="20"/>
  <c r="U8" i="20"/>
  <c r="U9" i="20"/>
  <c r="U12" i="20"/>
  <c r="U13" i="20"/>
  <c r="U14" i="20"/>
  <c r="U15" i="20"/>
  <c r="U16" i="20"/>
  <c r="U19" i="20"/>
  <c r="U20" i="20"/>
  <c r="U21" i="20"/>
  <c r="U22" i="20"/>
  <c r="U23" i="20"/>
  <c r="U26" i="20"/>
  <c r="U27" i="20"/>
  <c r="U28" i="20"/>
  <c r="U29" i="20"/>
  <c r="U30" i="20"/>
  <c r="U33" i="20"/>
  <c r="U34" i="20"/>
  <c r="U35" i="20"/>
  <c r="U36" i="20"/>
  <c r="U37" i="20"/>
  <c r="U40" i="20"/>
  <c r="U41" i="20"/>
  <c r="U42" i="20"/>
  <c r="U43" i="20"/>
  <c r="U44" i="20"/>
  <c r="U47" i="20"/>
  <c r="U48" i="20"/>
  <c r="U49" i="20"/>
  <c r="U50" i="20"/>
  <c r="U51" i="20"/>
  <c r="U54" i="20"/>
  <c r="U55" i="20"/>
  <c r="U56" i="20"/>
  <c r="U57" i="20"/>
  <c r="U58" i="20"/>
  <c r="U61" i="20"/>
  <c r="U62" i="20"/>
  <c r="U63" i="20"/>
  <c r="U64" i="20"/>
  <c r="U65" i="20"/>
  <c r="U68" i="20"/>
  <c r="U69" i="20"/>
  <c r="U70" i="20"/>
  <c r="U71" i="20"/>
  <c r="U72" i="20"/>
  <c r="U75" i="20"/>
  <c r="U76" i="20"/>
  <c r="U77" i="20"/>
  <c r="U78" i="20"/>
  <c r="U79" i="20"/>
  <c r="U82" i="20"/>
  <c r="U83" i="20"/>
  <c r="U84" i="20"/>
  <c r="U85" i="20"/>
  <c r="U86" i="20"/>
  <c r="U89" i="20"/>
  <c r="U90" i="20"/>
  <c r="U91" i="20"/>
  <c r="U92" i="20"/>
  <c r="U93" i="20"/>
  <c r="U96" i="20"/>
  <c r="U97" i="20"/>
  <c r="U98" i="20"/>
  <c r="U99" i="20"/>
  <c r="U100" i="20"/>
  <c r="U103" i="20"/>
  <c r="U104" i="20"/>
  <c r="U105" i="20"/>
  <c r="U106" i="20"/>
  <c r="U107" i="20"/>
  <c r="U110" i="20"/>
  <c r="U111" i="20"/>
  <c r="U112" i="20"/>
  <c r="U113" i="20"/>
  <c r="U114" i="20"/>
  <c r="U117" i="20"/>
  <c r="U118" i="20"/>
  <c r="U119" i="20"/>
  <c r="U120" i="20"/>
  <c r="U121" i="20"/>
  <c r="U124" i="20"/>
  <c r="U125" i="20"/>
  <c r="U126" i="20"/>
  <c r="U127" i="20"/>
  <c r="U128" i="20"/>
  <c r="U131" i="20"/>
  <c r="U132" i="20"/>
  <c r="U133" i="20"/>
  <c r="U134" i="20"/>
  <c r="U135" i="20"/>
  <c r="U138" i="20"/>
  <c r="U139" i="20"/>
  <c r="U140" i="20"/>
  <c r="U141" i="20"/>
  <c r="U142" i="20"/>
  <c r="U145" i="20"/>
  <c r="U146" i="20"/>
  <c r="U147" i="20"/>
  <c r="U148" i="20"/>
  <c r="U149" i="20"/>
  <c r="U152" i="20"/>
  <c r="U153" i="20"/>
  <c r="U154" i="20"/>
  <c r="U155" i="20"/>
  <c r="U156" i="20"/>
  <c r="U159" i="20"/>
  <c r="U160" i="20"/>
  <c r="U161" i="20"/>
  <c r="U162" i="20"/>
  <c r="U163" i="20"/>
  <c r="U166" i="20"/>
  <c r="U167" i="20"/>
  <c r="U168" i="20"/>
  <c r="U169" i="20"/>
  <c r="U170" i="20"/>
  <c r="U173" i="20"/>
  <c r="U174" i="20"/>
  <c r="U175" i="20"/>
  <c r="U176" i="20"/>
  <c r="U177" i="20"/>
  <c r="U180" i="20"/>
  <c r="U181" i="20"/>
  <c r="U182" i="20"/>
  <c r="U183" i="20"/>
  <c r="U184" i="20"/>
  <c r="U187" i="20"/>
  <c r="U188" i="20"/>
  <c r="U189" i="20"/>
  <c r="U190" i="20"/>
  <c r="U191" i="20"/>
  <c r="U194" i="20"/>
  <c r="U195" i="20"/>
  <c r="U196" i="20"/>
  <c r="U197" i="20"/>
  <c r="U198" i="20"/>
  <c r="U201" i="20"/>
  <c r="U202" i="20"/>
  <c r="U203" i="20"/>
  <c r="U204" i="20"/>
  <c r="U205" i="20"/>
  <c r="U208" i="20"/>
  <c r="U209" i="20"/>
  <c r="U210" i="20"/>
  <c r="U211" i="20"/>
  <c r="U212" i="20"/>
  <c r="U215" i="20"/>
  <c r="U216" i="20"/>
  <c r="U217" i="20"/>
  <c r="U218" i="20"/>
  <c r="U219" i="20"/>
  <c r="U222" i="20"/>
  <c r="U223" i="20"/>
  <c r="U224" i="20"/>
  <c r="U225" i="20"/>
  <c r="U226" i="20"/>
  <c r="U229" i="20"/>
  <c r="U230" i="20"/>
  <c r="U231" i="20"/>
  <c r="U232" i="20"/>
  <c r="U233" i="20"/>
  <c r="U236" i="20"/>
  <c r="U237" i="20"/>
  <c r="U238" i="20"/>
  <c r="U239" i="20"/>
  <c r="U240" i="20"/>
  <c r="U243" i="20"/>
  <c r="U244" i="20"/>
  <c r="U245" i="20"/>
  <c r="U246" i="20"/>
  <c r="U247" i="20"/>
  <c r="U250" i="20"/>
  <c r="U251" i="20"/>
  <c r="U252" i="20"/>
  <c r="U253" i="20"/>
  <c r="U254" i="20"/>
  <c r="U257" i="20"/>
  <c r="U258" i="20"/>
  <c r="U259" i="20"/>
  <c r="U260" i="20"/>
  <c r="U261" i="20"/>
  <c r="U264" i="20"/>
  <c r="U265" i="20"/>
  <c r="U266" i="20"/>
  <c r="U267" i="20"/>
  <c r="U268" i="20"/>
  <c r="U271" i="20"/>
  <c r="U272" i="20"/>
  <c r="U273" i="20"/>
  <c r="U274" i="20"/>
  <c r="U275" i="20"/>
  <c r="U278" i="20"/>
  <c r="U279" i="20"/>
  <c r="U280" i="20"/>
  <c r="U281" i="20"/>
  <c r="U282" i="20"/>
  <c r="U285" i="20"/>
  <c r="U286" i="20"/>
  <c r="U287" i="20"/>
  <c r="U288" i="20"/>
  <c r="U289" i="20"/>
  <c r="U292" i="20"/>
  <c r="U293" i="20"/>
  <c r="U294" i="20"/>
  <c r="U295" i="20"/>
  <c r="U296" i="20"/>
  <c r="U299" i="20"/>
  <c r="U300" i="20"/>
  <c r="U301" i="20"/>
  <c r="U302" i="20"/>
  <c r="U303" i="20"/>
  <c r="U306" i="20"/>
  <c r="U307" i="20"/>
  <c r="U308" i="20"/>
  <c r="U309" i="20"/>
  <c r="U310" i="20"/>
  <c r="U313" i="20"/>
  <c r="U314" i="20"/>
  <c r="U315" i="20"/>
  <c r="U316" i="20"/>
  <c r="U317" i="20"/>
  <c r="U320" i="20"/>
  <c r="U321" i="20"/>
  <c r="U322" i="20"/>
  <c r="U323" i="20"/>
  <c r="U324" i="20"/>
  <c r="U327" i="20"/>
  <c r="U328" i="20"/>
  <c r="U329" i="20"/>
  <c r="U330" i="20"/>
  <c r="U331" i="20"/>
  <c r="U334" i="20"/>
  <c r="U335" i="20"/>
  <c r="U336" i="20"/>
  <c r="U337" i="20"/>
  <c r="U338" i="20"/>
  <c r="U341" i="20"/>
  <c r="U342" i="20"/>
  <c r="U343" i="20"/>
  <c r="U344" i="20"/>
  <c r="U345" i="20"/>
  <c r="U348" i="20"/>
  <c r="U349" i="20"/>
  <c r="U350" i="20"/>
  <c r="U351" i="20"/>
  <c r="U352" i="20"/>
  <c r="U355" i="20"/>
  <c r="U356" i="20"/>
  <c r="U357" i="20"/>
  <c r="U358" i="20"/>
  <c r="U359" i="20"/>
  <c r="U362" i="20"/>
  <c r="U363" i="20"/>
  <c r="U364" i="20"/>
  <c r="U365" i="20"/>
  <c r="U366" i="20"/>
  <c r="U369" i="20"/>
  <c r="U370" i="20"/>
  <c r="U371" i="20"/>
  <c r="U372" i="20"/>
  <c r="U373" i="20"/>
  <c r="U376" i="20"/>
  <c r="U377" i="20"/>
  <c r="U378" i="20"/>
  <c r="U379" i="20"/>
  <c r="U380" i="20"/>
  <c r="U383" i="20"/>
  <c r="U384" i="20"/>
  <c r="U385" i="20"/>
  <c r="U386" i="20"/>
  <c r="U387" i="20"/>
  <c r="U390" i="20"/>
  <c r="U391" i="20"/>
  <c r="U392" i="20"/>
  <c r="U393" i="20"/>
  <c r="U394" i="20"/>
  <c r="U397" i="20"/>
  <c r="U398" i="20"/>
  <c r="U399" i="20"/>
  <c r="U400" i="20"/>
  <c r="U401" i="20"/>
  <c r="U404" i="20"/>
  <c r="U406" i="20"/>
  <c r="U407" i="20"/>
  <c r="U408" i="20"/>
  <c r="U411" i="20"/>
  <c r="U412" i="20"/>
  <c r="U413" i="20"/>
  <c r="U414" i="20"/>
  <c r="U415" i="20"/>
  <c r="U418" i="20"/>
  <c r="U419" i="20"/>
  <c r="U420" i="20"/>
  <c r="U421" i="20"/>
  <c r="U422" i="20"/>
  <c r="U425" i="20"/>
  <c r="U426" i="20"/>
  <c r="U427" i="20"/>
  <c r="U428" i="20"/>
  <c r="U429" i="20"/>
  <c r="U432" i="20"/>
  <c r="U433" i="20"/>
  <c r="U434" i="20"/>
  <c r="U435" i="20"/>
  <c r="U436" i="20"/>
  <c r="U439" i="20"/>
  <c r="U440" i="20"/>
  <c r="U441" i="20"/>
  <c r="U442" i="20"/>
  <c r="U443" i="20"/>
  <c r="U446" i="20"/>
  <c r="U447" i="20"/>
  <c r="U448" i="20"/>
  <c r="U449" i="20"/>
  <c r="U450" i="20"/>
  <c r="U453" i="20"/>
  <c r="U454" i="20"/>
  <c r="U455" i="20"/>
  <c r="U456" i="20"/>
  <c r="U457" i="20"/>
  <c r="U460" i="20"/>
  <c r="U461" i="20"/>
  <c r="U462" i="20"/>
  <c r="U463" i="20"/>
  <c r="U464" i="20"/>
  <c r="U467" i="20"/>
  <c r="U468" i="20"/>
  <c r="U469" i="20"/>
  <c r="U470" i="20"/>
  <c r="U471" i="20"/>
  <c r="U474" i="20"/>
  <c r="U475" i="20"/>
  <c r="U476" i="20"/>
  <c r="U477" i="20"/>
  <c r="U478" i="20"/>
  <c r="U481" i="20"/>
  <c r="U482" i="20"/>
  <c r="U483" i="20"/>
  <c r="U484" i="20"/>
  <c r="U485" i="20"/>
  <c r="U488" i="20"/>
  <c r="U489" i="20"/>
  <c r="U490" i="20"/>
  <c r="U491" i="20"/>
  <c r="U492" i="20"/>
  <c r="U495" i="20"/>
  <c r="U496" i="20"/>
  <c r="U497" i="20"/>
  <c r="U498" i="20"/>
  <c r="U499" i="20"/>
  <c r="U502" i="20"/>
  <c r="U503" i="20"/>
  <c r="U504" i="20"/>
  <c r="U505" i="20"/>
  <c r="U506" i="20"/>
  <c r="U509" i="20"/>
  <c r="U510" i="20"/>
  <c r="U511" i="20"/>
  <c r="U512" i="20"/>
  <c r="U513" i="20"/>
  <c r="U516" i="20"/>
  <c r="U517" i="20"/>
  <c r="U518" i="20"/>
  <c r="U519" i="20"/>
  <c r="U520" i="20"/>
  <c r="U523" i="20"/>
  <c r="U524" i="20"/>
  <c r="U525" i="20"/>
  <c r="U526" i="20"/>
  <c r="U527" i="20"/>
  <c r="U530" i="20"/>
  <c r="U531" i="20"/>
  <c r="U532" i="20"/>
  <c r="U533" i="20"/>
  <c r="U534" i="20"/>
  <c r="U537" i="20"/>
  <c r="U538" i="20"/>
  <c r="U539" i="20"/>
  <c r="U540" i="20"/>
  <c r="U541" i="20"/>
  <c r="U544" i="20"/>
  <c r="U545" i="20"/>
  <c r="U546" i="20"/>
  <c r="U547" i="20"/>
  <c r="U548" i="20"/>
  <c r="U551" i="20"/>
  <c r="U552" i="20"/>
  <c r="U553" i="20"/>
  <c r="U554" i="20"/>
  <c r="U555" i="20"/>
  <c r="U558" i="20"/>
  <c r="U559" i="20"/>
  <c r="U560" i="20"/>
  <c r="U561" i="20"/>
  <c r="U562" i="20"/>
  <c r="U565" i="20"/>
  <c r="U566" i="20"/>
  <c r="U567" i="20"/>
  <c r="U568" i="20"/>
  <c r="U569" i="20"/>
  <c r="U572" i="20"/>
  <c r="U573" i="20"/>
  <c r="U574" i="20"/>
  <c r="U575" i="20"/>
  <c r="U576" i="20"/>
  <c r="U579" i="20"/>
  <c r="U580" i="20"/>
  <c r="U581" i="20"/>
  <c r="U582" i="20"/>
  <c r="U583" i="20"/>
  <c r="U586" i="20"/>
  <c r="U587" i="20"/>
  <c r="U588" i="20"/>
  <c r="U589" i="20"/>
  <c r="U590" i="20"/>
  <c r="U593" i="20"/>
  <c r="U594" i="20"/>
  <c r="U595" i="20"/>
  <c r="U596" i="20"/>
  <c r="U597" i="20"/>
  <c r="U600" i="20"/>
  <c r="U601" i="20"/>
  <c r="U602" i="20"/>
  <c r="U603" i="20"/>
  <c r="U604" i="20"/>
  <c r="U607" i="20"/>
  <c r="U608" i="20"/>
  <c r="U609" i="20"/>
  <c r="U610" i="20"/>
  <c r="U611" i="20"/>
  <c r="U614" i="20"/>
  <c r="U615" i="20"/>
  <c r="U616" i="20"/>
  <c r="U617" i="20"/>
  <c r="U618" i="20"/>
  <c r="U621" i="20"/>
  <c r="U622" i="20"/>
  <c r="U623" i="20"/>
  <c r="U624" i="20"/>
  <c r="U625" i="20"/>
  <c r="U628" i="20"/>
  <c r="U629" i="20"/>
  <c r="U630" i="20"/>
  <c r="U631" i="20"/>
  <c r="U632" i="20"/>
  <c r="U635" i="20"/>
  <c r="U636" i="20"/>
  <c r="U637" i="20"/>
  <c r="U638" i="20"/>
  <c r="U639" i="20"/>
  <c r="U642" i="20"/>
  <c r="U643" i="20"/>
  <c r="U644" i="20"/>
  <c r="U645" i="20"/>
  <c r="U646" i="20"/>
  <c r="U649" i="20"/>
  <c r="U650" i="20"/>
  <c r="U651" i="20"/>
  <c r="U652" i="20"/>
  <c r="U653" i="20"/>
  <c r="U656" i="20"/>
  <c r="U657" i="20"/>
  <c r="U658" i="20"/>
  <c r="U659" i="20"/>
  <c r="U660" i="20"/>
  <c r="U663" i="20"/>
  <c r="U664" i="20"/>
  <c r="U665" i="20"/>
  <c r="U666" i="20"/>
  <c r="U667" i="20"/>
  <c r="U670" i="20"/>
  <c r="U671" i="20"/>
  <c r="U672" i="20"/>
  <c r="U673" i="20"/>
  <c r="U674" i="20"/>
  <c r="U677" i="20"/>
  <c r="U678" i="20"/>
  <c r="U679" i="20"/>
  <c r="U680" i="20"/>
  <c r="U681" i="20"/>
  <c r="U684" i="20"/>
  <c r="U685" i="20"/>
  <c r="U686" i="20"/>
  <c r="U687" i="20"/>
  <c r="U688" i="20"/>
  <c r="U691" i="20"/>
  <c r="U692" i="20"/>
  <c r="U693" i="20"/>
  <c r="U694" i="20"/>
  <c r="U695" i="20"/>
  <c r="U698" i="20"/>
  <c r="U699" i="20"/>
  <c r="U700" i="20"/>
  <c r="U701" i="20"/>
  <c r="U702" i="20"/>
  <c r="U705" i="20"/>
  <c r="U706" i="20"/>
  <c r="U707" i="20"/>
  <c r="U708" i="20"/>
  <c r="U709" i="20"/>
  <c r="U712" i="20"/>
  <c r="U713" i="20"/>
  <c r="U714" i="20"/>
  <c r="U715" i="20"/>
  <c r="U716" i="20"/>
  <c r="U719" i="20"/>
  <c r="U720" i="20"/>
  <c r="U721" i="20"/>
  <c r="U722" i="20"/>
  <c r="U723" i="20"/>
  <c r="U726" i="20"/>
  <c r="U727" i="20"/>
  <c r="U728" i="20"/>
  <c r="U729" i="20"/>
  <c r="U730" i="20"/>
  <c r="U733" i="20"/>
  <c r="U734" i="20"/>
  <c r="U735" i="20"/>
  <c r="U736" i="20"/>
  <c r="U737" i="20"/>
  <c r="U740" i="20"/>
  <c r="U741" i="20"/>
  <c r="U742" i="20"/>
  <c r="U743" i="20"/>
  <c r="U744" i="20"/>
  <c r="U747" i="20"/>
  <c r="U748" i="20"/>
  <c r="U749" i="20"/>
  <c r="U750" i="20"/>
  <c r="U751" i="20"/>
  <c r="U754" i="20"/>
  <c r="U755" i="20"/>
  <c r="U756" i="20"/>
  <c r="U757" i="20"/>
  <c r="U758" i="20"/>
  <c r="U761" i="20"/>
  <c r="U762" i="20"/>
  <c r="U763" i="20"/>
  <c r="U764" i="20"/>
  <c r="U765" i="20"/>
  <c r="U768" i="20"/>
  <c r="U769" i="20"/>
  <c r="U770" i="20"/>
  <c r="U771" i="20"/>
  <c r="U772" i="20"/>
  <c r="U775" i="20"/>
  <c r="U776" i="20"/>
  <c r="U777" i="20"/>
  <c r="U778" i="20"/>
  <c r="U779" i="20"/>
  <c r="U782" i="20"/>
  <c r="U783" i="20"/>
  <c r="U784" i="20"/>
  <c r="U785" i="20"/>
  <c r="U786" i="20"/>
  <c r="U789" i="20"/>
  <c r="U790" i="20"/>
  <c r="U791" i="20"/>
  <c r="U792" i="20"/>
  <c r="U793" i="20"/>
  <c r="U796" i="20"/>
  <c r="U797" i="20"/>
  <c r="U798" i="20"/>
  <c r="U799" i="20"/>
  <c r="U800" i="20"/>
  <c r="U803" i="20"/>
  <c r="U804" i="20"/>
  <c r="U805" i="20"/>
  <c r="U806" i="20"/>
  <c r="U807" i="20"/>
  <c r="U810" i="20"/>
  <c r="U811" i="20"/>
  <c r="U812" i="20"/>
  <c r="U813" i="20"/>
  <c r="U814" i="20"/>
  <c r="U817" i="20"/>
  <c r="U818" i="20"/>
  <c r="U819" i="20"/>
  <c r="U820" i="20"/>
  <c r="U821" i="20"/>
  <c r="U824" i="20"/>
  <c r="U825" i="20"/>
  <c r="U826" i="20"/>
  <c r="U827" i="20"/>
  <c r="U828" i="20"/>
  <c r="U831" i="20"/>
  <c r="U832" i="20"/>
  <c r="U833" i="20"/>
  <c r="U834" i="20"/>
  <c r="U835" i="20"/>
  <c r="U838" i="20"/>
  <c r="U839" i="20"/>
  <c r="U840" i="20"/>
  <c r="U841" i="20"/>
  <c r="U842" i="20"/>
  <c r="U845" i="20"/>
  <c r="U846" i="20"/>
  <c r="U847" i="20"/>
  <c r="U848" i="20"/>
  <c r="U849" i="20"/>
  <c r="U852" i="20"/>
  <c r="U853" i="20"/>
  <c r="U854" i="20"/>
  <c r="U855" i="20"/>
  <c r="U856" i="20"/>
  <c r="U859" i="20"/>
  <c r="U860" i="20"/>
  <c r="U861" i="20"/>
  <c r="U862" i="20"/>
  <c r="U863" i="20"/>
  <c r="U866" i="20"/>
  <c r="U867" i="20"/>
  <c r="U868" i="20"/>
  <c r="U869" i="20"/>
  <c r="U870" i="20"/>
  <c r="U873" i="20"/>
  <c r="U874" i="20"/>
  <c r="U875" i="20"/>
  <c r="U876" i="20"/>
  <c r="U877" i="20"/>
  <c r="U880" i="20"/>
  <c r="U881" i="20"/>
  <c r="U882" i="20"/>
  <c r="U883" i="20"/>
  <c r="U884" i="20"/>
  <c r="U887" i="20"/>
  <c r="U888" i="20"/>
  <c r="U889" i="20"/>
  <c r="U890" i="20"/>
  <c r="U891" i="20"/>
  <c r="U894" i="20"/>
  <c r="U895" i="20"/>
  <c r="U896" i="20"/>
  <c r="U897" i="20"/>
  <c r="U898" i="20"/>
  <c r="U901" i="20"/>
  <c r="U902" i="20"/>
  <c r="U903" i="20"/>
  <c r="U904" i="20"/>
  <c r="U905" i="20"/>
  <c r="U908" i="20"/>
  <c r="U909" i="20"/>
  <c r="U910" i="20"/>
  <c r="U911" i="20"/>
  <c r="U912" i="20"/>
  <c r="U915" i="20"/>
  <c r="U916" i="20"/>
  <c r="U917" i="20"/>
  <c r="U918" i="20"/>
  <c r="U919" i="20"/>
  <c r="U922" i="20"/>
  <c r="U923" i="20"/>
  <c r="U924" i="20"/>
  <c r="U925" i="20"/>
  <c r="U926" i="20"/>
  <c r="U929" i="20"/>
  <c r="U930" i="20"/>
  <c r="U931" i="20"/>
  <c r="U932" i="20"/>
  <c r="U933" i="20"/>
  <c r="U936" i="20"/>
  <c r="U937" i="20"/>
  <c r="U938" i="20"/>
  <c r="U939" i="20"/>
  <c r="U940" i="20"/>
  <c r="U943" i="20"/>
  <c r="U944" i="20"/>
  <c r="U945" i="20"/>
  <c r="U946" i="20"/>
  <c r="U947" i="20"/>
  <c r="U950" i="20"/>
  <c r="U951" i="20"/>
  <c r="U952" i="20"/>
  <c r="U953" i="20"/>
  <c r="U954" i="20"/>
  <c r="U957" i="20"/>
  <c r="U958" i="20"/>
  <c r="U959" i="20"/>
  <c r="U960" i="20"/>
  <c r="U961" i="20"/>
  <c r="U964" i="20"/>
  <c r="U965" i="20"/>
  <c r="U966" i="20"/>
  <c r="U967" i="20"/>
  <c r="U968" i="20"/>
  <c r="U971" i="20"/>
  <c r="U972" i="20"/>
  <c r="U973" i="20"/>
  <c r="U974" i="20"/>
  <c r="U975" i="20"/>
  <c r="U978" i="20"/>
  <c r="U979" i="20"/>
  <c r="U980" i="20"/>
  <c r="U981" i="20"/>
  <c r="U982" i="20"/>
  <c r="U985" i="20"/>
  <c r="U986" i="20"/>
  <c r="U987" i="20"/>
  <c r="U988" i="20"/>
  <c r="U989" i="20"/>
  <c r="U992" i="20"/>
  <c r="U993" i="20"/>
  <c r="U994" i="20"/>
  <c r="U995" i="20"/>
  <c r="U996" i="20"/>
  <c r="U999" i="20"/>
  <c r="U1000" i="20"/>
  <c r="U1001" i="20"/>
  <c r="U1002" i="20"/>
  <c r="U1003" i="20"/>
  <c r="U1006" i="20"/>
  <c r="U1007" i="20"/>
  <c r="U1008" i="20"/>
  <c r="U1009" i="20"/>
  <c r="U1010" i="20"/>
  <c r="U1013" i="20"/>
  <c r="U1014" i="20"/>
  <c r="U1015" i="20"/>
  <c r="U1016" i="20"/>
  <c r="U1017" i="20"/>
  <c r="U1020" i="20"/>
  <c r="U1021" i="20"/>
  <c r="U1022" i="20"/>
  <c r="U1023" i="20"/>
  <c r="U1024" i="20"/>
  <c r="U1027" i="20"/>
  <c r="U1028" i="20"/>
  <c r="U1029" i="20"/>
  <c r="U1030" i="20"/>
  <c r="U1031" i="20"/>
  <c r="U1034" i="20"/>
  <c r="U1035" i="20"/>
  <c r="U1036" i="20"/>
  <c r="U1037" i="20"/>
  <c r="U1038" i="20"/>
  <c r="U1041" i="20"/>
  <c r="U1042" i="20"/>
  <c r="U1043" i="20"/>
  <c r="U1044" i="20"/>
  <c r="U1045" i="20"/>
  <c r="U1048" i="20"/>
  <c r="U1049" i="20"/>
  <c r="U1050" i="20"/>
  <c r="U1051" i="20"/>
  <c r="U1052" i="20"/>
  <c r="U1056" i="20"/>
  <c r="U1057" i="20"/>
  <c r="U1058" i="20"/>
  <c r="U1059" i="20"/>
  <c r="U1062" i="20"/>
  <c r="U1063" i="20"/>
  <c r="U1064" i="20"/>
  <c r="U1065" i="20"/>
  <c r="U1066" i="20"/>
  <c r="U1069" i="20"/>
  <c r="U1070" i="20"/>
  <c r="U1071" i="20"/>
  <c r="U1072" i="20"/>
  <c r="U1073" i="20"/>
  <c r="U1076" i="20"/>
  <c r="U1077" i="20"/>
  <c r="U1078" i="20"/>
  <c r="U1079" i="20"/>
  <c r="U1080" i="20"/>
  <c r="U1083" i="20"/>
  <c r="U1084" i="20"/>
  <c r="U1085" i="20"/>
  <c r="U1086" i="20"/>
  <c r="U1087" i="20"/>
  <c r="U1090" i="20"/>
  <c r="U1091" i="20"/>
  <c r="U1092" i="20"/>
  <c r="U1093" i="20"/>
  <c r="U1094" i="20"/>
  <c r="U1097" i="20"/>
  <c r="U1098" i="20"/>
  <c r="U1099" i="20"/>
  <c r="U1100" i="20"/>
  <c r="U1101" i="20"/>
  <c r="U1104" i="20"/>
  <c r="U1105" i="20"/>
  <c r="U1106" i="20"/>
  <c r="U1107" i="20"/>
  <c r="U1108" i="20"/>
  <c r="U1111" i="20"/>
  <c r="U1112" i="20"/>
  <c r="U1113" i="20"/>
  <c r="U1114" i="20"/>
  <c r="U1115" i="20"/>
  <c r="U1118" i="20"/>
  <c r="U1119" i="20"/>
  <c r="U1120" i="20"/>
  <c r="U1121" i="20"/>
  <c r="U1122" i="20"/>
  <c r="U1125" i="20"/>
  <c r="U1126" i="20"/>
  <c r="U1127" i="20"/>
  <c r="U1128" i="20"/>
  <c r="U1129" i="20"/>
  <c r="U1132" i="20"/>
  <c r="U1133" i="20"/>
  <c r="U1134" i="20"/>
  <c r="U1135" i="20"/>
  <c r="U1136" i="20"/>
  <c r="U1139" i="20"/>
  <c r="U1140" i="20"/>
  <c r="U1141" i="20"/>
  <c r="U1142" i="20"/>
  <c r="U1143" i="20"/>
  <c r="U1146" i="20"/>
  <c r="U1147" i="20"/>
  <c r="U1148" i="20"/>
  <c r="U1149" i="20"/>
  <c r="U1150" i="20"/>
  <c r="U1153" i="20"/>
  <c r="U1154" i="20"/>
  <c r="U1155" i="20"/>
  <c r="U1156" i="20"/>
  <c r="U1157" i="20"/>
  <c r="U1160" i="20"/>
  <c r="U1161" i="20"/>
  <c r="U1162" i="20"/>
  <c r="U1163" i="20"/>
  <c r="U1164" i="20"/>
  <c r="U1167" i="20"/>
  <c r="U1168" i="20"/>
  <c r="U1169" i="20"/>
  <c r="U1170" i="20"/>
  <c r="U1171" i="20"/>
  <c r="U1174" i="20"/>
  <c r="U1175" i="20"/>
  <c r="U1176" i="20"/>
  <c r="U1177" i="20"/>
  <c r="U1178" i="20"/>
  <c r="U1181" i="20"/>
  <c r="U1182" i="20"/>
  <c r="U1183" i="20"/>
  <c r="U1184" i="20"/>
  <c r="U1185" i="20"/>
  <c r="U1188" i="20"/>
  <c r="U1189" i="20"/>
  <c r="U1190" i="20"/>
  <c r="U1191" i="20"/>
  <c r="U1192" i="20"/>
  <c r="U1195" i="20"/>
  <c r="U1196" i="20"/>
  <c r="U1197" i="20"/>
  <c r="U1198" i="20"/>
  <c r="U1199" i="20"/>
  <c r="U1202" i="20"/>
  <c r="U1203" i="20"/>
  <c r="U1204" i="20"/>
  <c r="U1205" i="20"/>
  <c r="U1206" i="20"/>
  <c r="U1209" i="20"/>
  <c r="U1210" i="20"/>
  <c r="U1211" i="20"/>
  <c r="U1212" i="20"/>
  <c r="U1619" i="20"/>
  <c r="U1618" i="20"/>
  <c r="U1617" i="20"/>
  <c r="U1616" i="20"/>
  <c r="U1615" i="20"/>
  <c r="U1614" i="20" s="1"/>
  <c r="U1612" i="20"/>
  <c r="U1611" i="20"/>
  <c r="U1610" i="20"/>
  <c r="U1609" i="20"/>
  <c r="U1608" i="20"/>
  <c r="U1607" i="20" s="1"/>
  <c r="U1605" i="20"/>
  <c r="U1604" i="20"/>
  <c r="U1603" i="20"/>
  <c r="U1602" i="20"/>
  <c r="U1601" i="20"/>
  <c r="U1600" i="20" s="1"/>
  <c r="U1598" i="20"/>
  <c r="U1597" i="20"/>
  <c r="U1596" i="20"/>
  <c r="U1595" i="20"/>
  <c r="U1594" i="20"/>
  <c r="U1593" i="20" s="1"/>
  <c r="U1591" i="20"/>
  <c r="U1590" i="20"/>
  <c r="U1589" i="20"/>
  <c r="U1588" i="20"/>
  <c r="U1587" i="20"/>
  <c r="U1586" i="20" s="1"/>
  <c r="U1584" i="20"/>
  <c r="U1583" i="20"/>
  <c r="U1582" i="20"/>
  <c r="U1581" i="20"/>
  <c r="U1580" i="20"/>
  <c r="U1579" i="20" s="1"/>
  <c r="U1577" i="20"/>
  <c r="U1576" i="20"/>
  <c r="U1575" i="20"/>
  <c r="U1574" i="20"/>
  <c r="U1573" i="20"/>
  <c r="U1572" i="20" s="1"/>
  <c r="U1570" i="20"/>
  <c r="U1569" i="20"/>
  <c r="U1568" i="20"/>
  <c r="U1567" i="20"/>
  <c r="U1566" i="20"/>
  <c r="U1565" i="20" s="1"/>
  <c r="U1563" i="20"/>
  <c r="U1562" i="20"/>
  <c r="U1561" i="20"/>
  <c r="U1560" i="20"/>
  <c r="U1559" i="20"/>
  <c r="U1558" i="20" s="1"/>
  <c r="U1556" i="20"/>
  <c r="U1555" i="20"/>
  <c r="U1554" i="20"/>
  <c r="U1553" i="20"/>
  <c r="U1552" i="20"/>
  <c r="U1551" i="20" s="1"/>
  <c r="U1549" i="20"/>
  <c r="U1548" i="20"/>
  <c r="U1547" i="20"/>
  <c r="U1546" i="20"/>
  <c r="U1545" i="20"/>
  <c r="U1544" i="20" s="1"/>
  <c r="U1542" i="20"/>
  <c r="U1541" i="20"/>
  <c r="U1540" i="20"/>
  <c r="U1539" i="20"/>
  <c r="U1538" i="20"/>
  <c r="U1537" i="20" s="1"/>
  <c r="U1535" i="20"/>
  <c r="U1534" i="20"/>
  <c r="U1533" i="20"/>
  <c r="U1532" i="20"/>
  <c r="U1531" i="20"/>
  <c r="U1530" i="20" s="1"/>
  <c r="U1528" i="20"/>
  <c r="U1527" i="20"/>
  <c r="U1526" i="20"/>
  <c r="U1525" i="20"/>
  <c r="U1524" i="20"/>
  <c r="U1523" i="20" s="1"/>
  <c r="U1521" i="20"/>
  <c r="U1520" i="20"/>
  <c r="U1519" i="20"/>
  <c r="U1518" i="20"/>
  <c r="U1517" i="20"/>
  <c r="U1516" i="20" s="1"/>
  <c r="U1514" i="20"/>
  <c r="U1513" i="20"/>
  <c r="U1512" i="20"/>
  <c r="U1511" i="20"/>
  <c r="U1510" i="20"/>
  <c r="U1509" i="20" s="1"/>
  <c r="U1507" i="20"/>
  <c r="U1506" i="20"/>
  <c r="U1505" i="20"/>
  <c r="U1504" i="20"/>
  <c r="U1503" i="20"/>
  <c r="U1502" i="20" s="1"/>
  <c r="U1500" i="20"/>
  <c r="U1499" i="20"/>
  <c r="U1498" i="20"/>
  <c r="U1497" i="20"/>
  <c r="U1496" i="20"/>
  <c r="U1495" i="20" s="1"/>
  <c r="U1493" i="20"/>
  <c r="U1492" i="20"/>
  <c r="U1491" i="20"/>
  <c r="U1490" i="20"/>
  <c r="U1489" i="20"/>
  <c r="U1488" i="20" s="1"/>
  <c r="U1486" i="20"/>
  <c r="U1485" i="20"/>
  <c r="U1484" i="20"/>
  <c r="U1483" i="20"/>
  <c r="U1482" i="20"/>
  <c r="U1481" i="20" s="1"/>
  <c r="U1479" i="20"/>
  <c r="U1478" i="20"/>
  <c r="U1477" i="20"/>
  <c r="U1476" i="20"/>
  <c r="U1475" i="20"/>
  <c r="U1474" i="20" s="1"/>
  <c r="U1472" i="20"/>
  <c r="U1471" i="20"/>
  <c r="U1470" i="20"/>
  <c r="U1469" i="20"/>
  <c r="U1468" i="20"/>
  <c r="U1467" i="20" s="1"/>
  <c r="U1465" i="20"/>
  <c r="U1464" i="20"/>
  <c r="U1463" i="20"/>
  <c r="U1462" i="20"/>
  <c r="U1461" i="20"/>
  <c r="U1460" i="20" s="1"/>
  <c r="U1458" i="20"/>
  <c r="U1457" i="20"/>
  <c r="U1456" i="20"/>
  <c r="U1455" i="20"/>
  <c r="U1454" i="20"/>
  <c r="U1453" i="20" s="1"/>
  <c r="U1451" i="20"/>
  <c r="U1450" i="20"/>
  <c r="U1449" i="20"/>
  <c r="U1448" i="20"/>
  <c r="U1447" i="20"/>
  <c r="U1446" i="20" s="1"/>
  <c r="U1444" i="20"/>
  <c r="U1443" i="20"/>
  <c r="U1442" i="20"/>
  <c r="U1441" i="20"/>
  <c r="U1440" i="20"/>
  <c r="U1439" i="20" s="1"/>
  <c r="U1437" i="20"/>
  <c r="U1436" i="20"/>
  <c r="U1435" i="20"/>
  <c r="U1434" i="20"/>
  <c r="U1433" i="20"/>
  <c r="U1432" i="20" s="1"/>
  <c r="U1430" i="20"/>
  <c r="U1429" i="20"/>
  <c r="U1428" i="20"/>
  <c r="U1427" i="20"/>
  <c r="U1426" i="20"/>
  <c r="U1425" i="20" s="1"/>
  <c r="U1423" i="20"/>
  <c r="U1422" i="20"/>
  <c r="U1421" i="20"/>
  <c r="U1420" i="20"/>
  <c r="U1419" i="20"/>
  <c r="U1418" i="20" s="1"/>
  <c r="U1416" i="20"/>
  <c r="U1415" i="20"/>
  <c r="U1414" i="20"/>
  <c r="U1413" i="20"/>
  <c r="U1412" i="20"/>
  <c r="U1411" i="20" s="1"/>
  <c r="U1409" i="20"/>
  <c r="U1408" i="20"/>
  <c r="U1407" i="20"/>
  <c r="U1406" i="20"/>
  <c r="U1405" i="20"/>
  <c r="U1404" i="20" s="1"/>
  <c r="U1402" i="20"/>
  <c r="U1401" i="20"/>
  <c r="U1400" i="20"/>
  <c r="U1399" i="20"/>
  <c r="U1398" i="20"/>
  <c r="U1397" i="20" s="1"/>
  <c r="U1395" i="20"/>
  <c r="U1394" i="20"/>
  <c r="U1393" i="20"/>
  <c r="U1392" i="20"/>
  <c r="U1391" i="20"/>
  <c r="U1390" i="20" s="1"/>
  <c r="U1388" i="20"/>
  <c r="U1387" i="20"/>
  <c r="U1386" i="20"/>
  <c r="U1385" i="20"/>
  <c r="U1384" i="20"/>
  <c r="U1383" i="20" s="1"/>
  <c r="U1381" i="20"/>
  <c r="U1380" i="20"/>
  <c r="U1379" i="20"/>
  <c r="U1378" i="20"/>
  <c r="U1377" i="20"/>
  <c r="U1376" i="20" s="1"/>
  <c r="U1374" i="20"/>
  <c r="U1373" i="20"/>
  <c r="U1372" i="20"/>
  <c r="U1371" i="20"/>
  <c r="U1370" i="20"/>
  <c r="U1369" i="20" s="1"/>
  <c r="U1367" i="20"/>
  <c r="U1366" i="20"/>
  <c r="U1365" i="20"/>
  <c r="U1364" i="20"/>
  <c r="U1363" i="20"/>
  <c r="U1362" i="20" s="1"/>
  <c r="U1360" i="20"/>
  <c r="U1359" i="20"/>
  <c r="U1358" i="20"/>
  <c r="U1357" i="20"/>
  <c r="U1356" i="20"/>
  <c r="U1355" i="20" s="1"/>
  <c r="U1353" i="20"/>
  <c r="U1352" i="20"/>
  <c r="U1351" i="20"/>
  <c r="U1350" i="20"/>
  <c r="U1349" i="20"/>
  <c r="U1348" i="20" s="1"/>
  <c r="U1346" i="20"/>
  <c r="U1345" i="20"/>
  <c r="U1344" i="20"/>
  <c r="U1343" i="20"/>
  <c r="U1342" i="20"/>
  <c r="U1341" i="20" s="1"/>
  <c r="U1339" i="20"/>
  <c r="U1338" i="20"/>
  <c r="U1337" i="20"/>
  <c r="U1336" i="20"/>
  <c r="U1335" i="20"/>
  <c r="U1334" i="20" s="1"/>
  <c r="U1332" i="20"/>
  <c r="U1331" i="20"/>
  <c r="U1330" i="20"/>
  <c r="U1329" i="20"/>
  <c r="U1328" i="20"/>
  <c r="U1327" i="20" s="1"/>
  <c r="U1325" i="20"/>
  <c r="U1324" i="20"/>
  <c r="U1323" i="20"/>
  <c r="U1322" i="20"/>
  <c r="U1321" i="20"/>
  <c r="U1320" i="20" s="1"/>
  <c r="U1318" i="20"/>
  <c r="U1317" i="20"/>
  <c r="U1316" i="20"/>
  <c r="U1315" i="20"/>
  <c r="U1055" i="20"/>
  <c r="U1054" i="20" s="1"/>
  <c r="T903" i="20"/>
  <c r="T902" i="20"/>
  <c r="T901" i="20"/>
  <c r="T898" i="20"/>
  <c r="T897" i="20"/>
  <c r="T896" i="20"/>
  <c r="T895" i="20"/>
  <c r="T894" i="20"/>
  <c r="T893" i="20" s="1"/>
  <c r="T891" i="20"/>
  <c r="T890" i="20"/>
  <c r="T889" i="20"/>
  <c r="T888" i="20"/>
  <c r="T887" i="20"/>
  <c r="T886" i="20" s="1"/>
  <c r="T884" i="20"/>
  <c r="T883" i="20"/>
  <c r="T882" i="20"/>
  <c r="T881" i="20"/>
  <c r="T880" i="20"/>
  <c r="T879" i="20" s="1"/>
  <c r="T877" i="20"/>
  <c r="T876" i="20"/>
  <c r="T875" i="20"/>
  <c r="T874" i="20"/>
  <c r="T873" i="20"/>
  <c r="T872" i="20" s="1"/>
  <c r="T870" i="20"/>
  <c r="T869" i="20"/>
  <c r="T868" i="20"/>
  <c r="T867" i="20"/>
  <c r="T866" i="20"/>
  <c r="T865" i="20" s="1"/>
  <c r="T863" i="20"/>
  <c r="T862" i="20"/>
  <c r="T861" i="20"/>
  <c r="T860" i="20"/>
  <c r="T859" i="20"/>
  <c r="T858" i="20" s="1"/>
  <c r="T856" i="20"/>
  <c r="T855" i="20"/>
  <c r="T854" i="20"/>
  <c r="T853" i="20"/>
  <c r="T852" i="20"/>
  <c r="T851" i="20" s="1"/>
  <c r="T849" i="20"/>
  <c r="T848" i="20"/>
  <c r="T847" i="20"/>
  <c r="T846" i="20"/>
  <c r="T845" i="20"/>
  <c r="T844" i="20" s="1"/>
  <c r="T842" i="20"/>
  <c r="T841" i="20"/>
  <c r="T840" i="20"/>
  <c r="T839" i="20"/>
  <c r="T838" i="20"/>
  <c r="T837" i="20" s="1"/>
  <c r="T835" i="20"/>
  <c r="T834" i="20"/>
  <c r="T833" i="20"/>
  <c r="T832" i="20"/>
  <c r="T831" i="20"/>
  <c r="T830" i="20" s="1"/>
  <c r="T828" i="20"/>
  <c r="T827" i="20"/>
  <c r="T826" i="20"/>
  <c r="T825" i="20"/>
  <c r="T824" i="20"/>
  <c r="T823" i="20" s="1"/>
  <c r="T821" i="20"/>
  <c r="T1618" i="20"/>
  <c r="T1617" i="20"/>
  <c r="T1616" i="20"/>
  <c r="T1615" i="20"/>
  <c r="T1612" i="20"/>
  <c r="T1611" i="20"/>
  <c r="T1610" i="20"/>
  <c r="T1609" i="20"/>
  <c r="T1608" i="20"/>
  <c r="T1607" i="20" s="1"/>
  <c r="T1605" i="20"/>
  <c r="T1604" i="20"/>
  <c r="T1603" i="20"/>
  <c r="T1602" i="20"/>
  <c r="T1601" i="20"/>
  <c r="T1600" i="20" s="1"/>
  <c r="T1598" i="20"/>
  <c r="T1597" i="20"/>
  <c r="T1596" i="20"/>
  <c r="T1595" i="20"/>
  <c r="T1594" i="20"/>
  <c r="T1593" i="20" s="1"/>
  <c r="T1591" i="20"/>
  <c r="T1590" i="20"/>
  <c r="T1589" i="20"/>
  <c r="T1588" i="20"/>
  <c r="T1587" i="20"/>
  <c r="T1586" i="20" s="1"/>
  <c r="T1584" i="20"/>
  <c r="T1583" i="20"/>
  <c r="T1582" i="20"/>
  <c r="T1581" i="20"/>
  <c r="T1580" i="20"/>
  <c r="T1579" i="20" s="1"/>
  <c r="T1577" i="20"/>
  <c r="T1576" i="20"/>
  <c r="T1575" i="20"/>
  <c r="T1574" i="20"/>
  <c r="T1573" i="20"/>
  <c r="T1572" i="20" s="1"/>
  <c r="T1570" i="20"/>
  <c r="T1569" i="20"/>
  <c r="T1568" i="20"/>
  <c r="T1567" i="20"/>
  <c r="T1566" i="20"/>
  <c r="T1565" i="20" s="1"/>
  <c r="T1563" i="20"/>
  <c r="T1562" i="20"/>
  <c r="T1561" i="20"/>
  <c r="T1560" i="20"/>
  <c r="T1559" i="20"/>
  <c r="T1558" i="20" s="1"/>
  <c r="T1556" i="20"/>
  <c r="T1555" i="20"/>
  <c r="T1554" i="20"/>
  <c r="T1553" i="20"/>
  <c r="T1552" i="20"/>
  <c r="T1551" i="20" s="1"/>
  <c r="T1549" i="20"/>
  <c r="T1548" i="20"/>
  <c r="T1547" i="20"/>
  <c r="T1546" i="20"/>
  <c r="T1545" i="20"/>
  <c r="T1544" i="20" s="1"/>
  <c r="T1542" i="20"/>
  <c r="T1541" i="20"/>
  <c r="T1540" i="20"/>
  <c r="T1539" i="20"/>
  <c r="T1538" i="20"/>
  <c r="T1537" i="20" s="1"/>
  <c r="T1535" i="20"/>
  <c r="T1534" i="20"/>
  <c r="T1533" i="20"/>
  <c r="T1532" i="20"/>
  <c r="T1531" i="20"/>
  <c r="T1530" i="20" s="1"/>
  <c r="T1528" i="20"/>
  <c r="T1527" i="20"/>
  <c r="T1526" i="20"/>
  <c r="T1525" i="20"/>
  <c r="T1524" i="20"/>
  <c r="T1523" i="20" s="1"/>
  <c r="T1521" i="20"/>
  <c r="T1520" i="20"/>
  <c r="T1519" i="20"/>
  <c r="T1518" i="20"/>
  <c r="T1517" i="20"/>
  <c r="T1516" i="20" s="1"/>
  <c r="T1514" i="20"/>
  <c r="T1513" i="20"/>
  <c r="T1512" i="20"/>
  <c r="T1511" i="20"/>
  <c r="T1510" i="20"/>
  <c r="T1509" i="20" s="1"/>
  <c r="T1507" i="20"/>
  <c r="T1506" i="20"/>
  <c r="T1505" i="20"/>
  <c r="T1504" i="20"/>
  <c r="T1503" i="20"/>
  <c r="T1502" i="20" s="1"/>
  <c r="T1500" i="20"/>
  <c r="T1499" i="20"/>
  <c r="T1498" i="20"/>
  <c r="T1497" i="20"/>
  <c r="T1496" i="20"/>
  <c r="T1495" i="20" s="1"/>
  <c r="T1493" i="20"/>
  <c r="T1492" i="20"/>
  <c r="T1491" i="20"/>
  <c r="T1490" i="20"/>
  <c r="T1489" i="20"/>
  <c r="T1488" i="20" s="1"/>
  <c r="T1486" i="20"/>
  <c r="T1485" i="20"/>
  <c r="T1484" i="20"/>
  <c r="T1483" i="20"/>
  <c r="T1482" i="20"/>
  <c r="T1481" i="20" s="1"/>
  <c r="T1479" i="20"/>
  <c r="T1478" i="20"/>
  <c r="T1477" i="20"/>
  <c r="T1476" i="20"/>
  <c r="T1475" i="20"/>
  <c r="T1474" i="20" s="1"/>
  <c r="T1472" i="20"/>
  <c r="T1471" i="20"/>
  <c r="T1470" i="20"/>
  <c r="T1469" i="20"/>
  <c r="T1468" i="20"/>
  <c r="T1467" i="20" s="1"/>
  <c r="T1465" i="20"/>
  <c r="T1464" i="20"/>
  <c r="T1463" i="20"/>
  <c r="T1462" i="20"/>
  <c r="T1461" i="20"/>
  <c r="T1460" i="20" s="1"/>
  <c r="T1458" i="20"/>
  <c r="T1457" i="20"/>
  <c r="T1456" i="20"/>
  <c r="T1455" i="20"/>
  <c r="T1454" i="20"/>
  <c r="T1453" i="20" s="1"/>
  <c r="T1451" i="20"/>
  <c r="T1450" i="20"/>
  <c r="T1449" i="20"/>
  <c r="T1448" i="20"/>
  <c r="T1447" i="20"/>
  <c r="T1446" i="20" s="1"/>
  <c r="T1444" i="20"/>
  <c r="T1443" i="20"/>
  <c r="T1442" i="20"/>
  <c r="T1441" i="20"/>
  <c r="T1440" i="20"/>
  <c r="T1439" i="20" s="1"/>
  <c r="T1437" i="20"/>
  <c r="T1436" i="20"/>
  <c r="T1435" i="20"/>
  <c r="T1434" i="20"/>
  <c r="T1433" i="20"/>
  <c r="T1432" i="20" s="1"/>
  <c r="T1430" i="20"/>
  <c r="T1429" i="20"/>
  <c r="T1428" i="20"/>
  <c r="T1427" i="20"/>
  <c r="T1426" i="20"/>
  <c r="T1425" i="20" s="1"/>
  <c r="T1423" i="20"/>
  <c r="T1422" i="20"/>
  <c r="T1421" i="20"/>
  <c r="T1420" i="20"/>
  <c r="T1419" i="20"/>
  <c r="T1418" i="20" s="1"/>
  <c r="T1416" i="20"/>
  <c r="T1415" i="20"/>
  <c r="T1414" i="20"/>
  <c r="T1413" i="20"/>
  <c r="T1412" i="20"/>
  <c r="T1411" i="20" s="1"/>
  <c r="T1409" i="20"/>
  <c r="T1408" i="20"/>
  <c r="T1407" i="20"/>
  <c r="T1406" i="20"/>
  <c r="T1405" i="20"/>
  <c r="T1404" i="20" s="1"/>
  <c r="T1402" i="20"/>
  <c r="T1401" i="20"/>
  <c r="T1400" i="20"/>
  <c r="T1399" i="20"/>
  <c r="T1398" i="20"/>
  <c r="T1397" i="20" s="1"/>
  <c r="T1395" i="20"/>
  <c r="T1394" i="20"/>
  <c r="T1393" i="20"/>
  <c r="T1392" i="20"/>
  <c r="T1391" i="20"/>
  <c r="T1390" i="20" s="1"/>
  <c r="T1388" i="20"/>
  <c r="T1387" i="20"/>
  <c r="T1386" i="20"/>
  <c r="T1385" i="20"/>
  <c r="T1384" i="20"/>
  <c r="T1383" i="20" s="1"/>
  <c r="T1381" i="20"/>
  <c r="T1380" i="20"/>
  <c r="T1379" i="20"/>
  <c r="T1378" i="20"/>
  <c r="T1377" i="20"/>
  <c r="T1376" i="20" s="1"/>
  <c r="T1374" i="20"/>
  <c r="T1373" i="20"/>
  <c r="T1372" i="20"/>
  <c r="T1371" i="20"/>
  <c r="T1370" i="20"/>
  <c r="T1369" i="20" s="1"/>
  <c r="T1367" i="20"/>
  <c r="T1366" i="20"/>
  <c r="T1365" i="20"/>
  <c r="T1364" i="20"/>
  <c r="T1363" i="20"/>
  <c r="T1362" i="20" s="1"/>
  <c r="T1360" i="20"/>
  <c r="T1359" i="20"/>
  <c r="T1358" i="20"/>
  <c r="T1357" i="20"/>
  <c r="T1356" i="20"/>
  <c r="T1355" i="20" s="1"/>
  <c r="T1353" i="20"/>
  <c r="T1352" i="20"/>
  <c r="T1351" i="20"/>
  <c r="T1350" i="20"/>
  <c r="T1349" i="20"/>
  <c r="T1348" i="20" s="1"/>
  <c r="T1346" i="20"/>
  <c r="T1345" i="20"/>
  <c r="T1344" i="20"/>
  <c r="T1343" i="20"/>
  <c r="T1342" i="20"/>
  <c r="T1341" i="20" s="1"/>
  <c r="T1339" i="20"/>
  <c r="T1338" i="20"/>
  <c r="T1337" i="20"/>
  <c r="T1336" i="20"/>
  <c r="T1335" i="20"/>
  <c r="T1334" i="20" s="1"/>
  <c r="T1332" i="20"/>
  <c r="T1331" i="20"/>
  <c r="T1330" i="20"/>
  <c r="T1329" i="20"/>
  <c r="T1328" i="20"/>
  <c r="T1327" i="20" s="1"/>
  <c r="T1325" i="20"/>
  <c r="T1324" i="20"/>
  <c r="T1323" i="20"/>
  <c r="T1322" i="20"/>
  <c r="T1321" i="20"/>
  <c r="T1320" i="20" s="1"/>
  <c r="T1318" i="20"/>
  <c r="T1317" i="20"/>
  <c r="T1316" i="20"/>
  <c r="T1315" i="20"/>
  <c r="T1314" i="20"/>
  <c r="T1313" i="20" s="1"/>
  <c r="T1311" i="20"/>
  <c r="T1310" i="20"/>
  <c r="T1309" i="20"/>
  <c r="T1308" i="20"/>
  <c r="T1307" i="20"/>
  <c r="T1306" i="20" s="1"/>
  <c r="T1304" i="20"/>
  <c r="T1303" i="20"/>
  <c r="T1302" i="20"/>
  <c r="T1301" i="20"/>
  <c r="T1300" i="20"/>
  <c r="T1299" i="20" s="1"/>
  <c r="T1297" i="20"/>
  <c r="T1296" i="20"/>
  <c r="T1295" i="20"/>
  <c r="T1294" i="20"/>
  <c r="T1293" i="20"/>
  <c r="T1292" i="20" s="1"/>
  <c r="T1290" i="20"/>
  <c r="T1289" i="20"/>
  <c r="T1288" i="20"/>
  <c r="T1287" i="20"/>
  <c r="T1286" i="20"/>
  <c r="T1285" i="20" s="1"/>
  <c r="T1283" i="20"/>
  <c r="T1282" i="20"/>
  <c r="T1281" i="20"/>
  <c r="T1280" i="20"/>
  <c r="T1279" i="20"/>
  <c r="T1278" i="20" s="1"/>
  <c r="T1276" i="20"/>
  <c r="T1275" i="20"/>
  <c r="T1274" i="20"/>
  <c r="T1273" i="20"/>
  <c r="T1272" i="20"/>
  <c r="T1271" i="20" s="1"/>
  <c r="T1269" i="20"/>
  <c r="T1268" i="20"/>
  <c r="T1267" i="20"/>
  <c r="T1266" i="20"/>
  <c r="T1265" i="20"/>
  <c r="T1264" i="20" s="1"/>
  <c r="T1262" i="20"/>
  <c r="T1261" i="20"/>
  <c r="T1260" i="20"/>
  <c r="T1259" i="20"/>
  <c r="T1258" i="20"/>
  <c r="T1257" i="20" s="1"/>
  <c r="T1255" i="20"/>
  <c r="T1254" i="20"/>
  <c r="T1253" i="20"/>
  <c r="T1252" i="20"/>
  <c r="T1251" i="20"/>
  <c r="T1250" i="20" s="1"/>
  <c r="T1248" i="20"/>
  <c r="T1247" i="20"/>
  <c r="T1246" i="20"/>
  <c r="T1245" i="20"/>
  <c r="T1244" i="20"/>
  <c r="T1243" i="20" s="1"/>
  <c r="T1241" i="20"/>
  <c r="T1240" i="20"/>
  <c r="T1239" i="20"/>
  <c r="T1238" i="20"/>
  <c r="T1237" i="20"/>
  <c r="T1236" i="20" s="1"/>
  <c r="T1234" i="20"/>
  <c r="T1233" i="20"/>
  <c r="T1232" i="20"/>
  <c r="T1231" i="20"/>
  <c r="T1230" i="20"/>
  <c r="T1229" i="20" s="1"/>
  <c r="T1227" i="20"/>
  <c r="T1226" i="20"/>
  <c r="T1225" i="20"/>
  <c r="T1224" i="20"/>
  <c r="T1223" i="20"/>
  <c r="T1222" i="20" s="1"/>
  <c r="T1220" i="20"/>
  <c r="T1219" i="20"/>
  <c r="T1218" i="20"/>
  <c r="T1217" i="20"/>
  <c r="T1216" i="20"/>
  <c r="T1215" i="20" s="1"/>
  <c r="T1213" i="20"/>
  <c r="T1212" i="20"/>
  <c r="T1211" i="20"/>
  <c r="T1210" i="20"/>
  <c r="T1209" i="20"/>
  <c r="T1208" i="20" s="1"/>
  <c r="T1206" i="20"/>
  <c r="T1205" i="20"/>
  <c r="T1204" i="20"/>
  <c r="T1203" i="20"/>
  <c r="T1202" i="20"/>
  <c r="T1201" i="20" s="1"/>
  <c r="T1199" i="20"/>
  <c r="T1198" i="20"/>
  <c r="T1197" i="20"/>
  <c r="T1196" i="20"/>
  <c r="T1195" i="20"/>
  <c r="T1194" i="20" s="1"/>
  <c r="T1192" i="20"/>
  <c r="T1191" i="20"/>
  <c r="T1190" i="20"/>
  <c r="T1189" i="20"/>
  <c r="T1188" i="20"/>
  <c r="T1187" i="20" s="1"/>
  <c r="T1185" i="20"/>
  <c r="T1184" i="20"/>
  <c r="T1183" i="20"/>
  <c r="T1182" i="20"/>
  <c r="T1181" i="20"/>
  <c r="T1180" i="20" s="1"/>
  <c r="T1178" i="20"/>
  <c r="T1177" i="20"/>
  <c r="T1176" i="20"/>
  <c r="T1175" i="20"/>
  <c r="T1174" i="20"/>
  <c r="T1173" i="20" s="1"/>
  <c r="T1171" i="20"/>
  <c r="T1170" i="20"/>
  <c r="T1169" i="20"/>
  <c r="T1168" i="20"/>
  <c r="T1167" i="20"/>
  <c r="T1166" i="20" s="1"/>
  <c r="T1164" i="20"/>
  <c r="T1163" i="20"/>
  <c r="T1162" i="20"/>
  <c r="T1161" i="20"/>
  <c r="T1160" i="20"/>
  <c r="T1159" i="20" s="1"/>
  <c r="T1157" i="20"/>
  <c r="T1156" i="20"/>
  <c r="T1155" i="20"/>
  <c r="T1154" i="20"/>
  <c r="T1153" i="20"/>
  <c r="T1152" i="20" s="1"/>
  <c r="T1150" i="20"/>
  <c r="T1149" i="20"/>
  <c r="T1148" i="20"/>
  <c r="T1147" i="20"/>
  <c r="T1146" i="20"/>
  <c r="T1145" i="20" s="1"/>
  <c r="T1143" i="20"/>
  <c r="T1142" i="20"/>
  <c r="T1141" i="20"/>
  <c r="T1140" i="20"/>
  <c r="T1139" i="20"/>
  <c r="T1138" i="20" s="1"/>
  <c r="T1136" i="20"/>
  <c r="T1135" i="20"/>
  <c r="T1134" i="20"/>
  <c r="T1133" i="20"/>
  <c r="T1132" i="20"/>
  <c r="T1131" i="20" s="1"/>
  <c r="T1129" i="20"/>
  <c r="T1128" i="20"/>
  <c r="T1127" i="20"/>
  <c r="T1126" i="20"/>
  <c r="T1125" i="20"/>
  <c r="T1124" i="20" s="1"/>
  <c r="T1122" i="20"/>
  <c r="T1121" i="20"/>
  <c r="T1120" i="20"/>
  <c r="T1119" i="20"/>
  <c r="T1118" i="20"/>
  <c r="T1117" i="20" s="1"/>
  <c r="T1115" i="20"/>
  <c r="T1114" i="20"/>
  <c r="T1113" i="20"/>
  <c r="T1112" i="20"/>
  <c r="T1111" i="20"/>
  <c r="T1110" i="20" s="1"/>
  <c r="T1108" i="20"/>
  <c r="T1107" i="20"/>
  <c r="T1106" i="20"/>
  <c r="T1105" i="20"/>
  <c r="T1104" i="20"/>
  <c r="T1103" i="20" s="1"/>
  <c r="T1101" i="20"/>
  <c r="T1100" i="20"/>
  <c r="T1099" i="20"/>
  <c r="T1098" i="20"/>
  <c r="T1097" i="20"/>
  <c r="T1096" i="20" s="1"/>
  <c r="T1094" i="20"/>
  <c r="T1093" i="20"/>
  <c r="T1092" i="20"/>
  <c r="T1091" i="20"/>
  <c r="T1090" i="20"/>
  <c r="T1089" i="20" s="1"/>
  <c r="T1087" i="20"/>
  <c r="T1086" i="20"/>
  <c r="T1085" i="20"/>
  <c r="T1084" i="20"/>
  <c r="T1083" i="20"/>
  <c r="T1082" i="20" s="1"/>
  <c r="T1080" i="20"/>
  <c r="T1079" i="20"/>
  <c r="T1078" i="20"/>
  <c r="T1077" i="20"/>
  <c r="T1076" i="20"/>
  <c r="T1075" i="20" s="1"/>
  <c r="T1073" i="20"/>
  <c r="T1072" i="20"/>
  <c r="T1071" i="20"/>
  <c r="T1070" i="20"/>
  <c r="T1069" i="20"/>
  <c r="T1068" i="20" s="1"/>
  <c r="T1066" i="20"/>
  <c r="T1065" i="20"/>
  <c r="T1064" i="20"/>
  <c r="T1063" i="20"/>
  <c r="T1062" i="20"/>
  <c r="T1061" i="20" s="1"/>
  <c r="T1059" i="20"/>
  <c r="T1058" i="20"/>
  <c r="T1057" i="20"/>
  <c r="T1056" i="20"/>
  <c r="T1055" i="20"/>
  <c r="T1054" i="20" s="1"/>
  <c r="T1052" i="20"/>
  <c r="T1051" i="20"/>
  <c r="T1050" i="20"/>
  <c r="T1049" i="20"/>
  <c r="T1048" i="20"/>
  <c r="T1047" i="20" s="1"/>
  <c r="T1045" i="20"/>
  <c r="T1044" i="20"/>
  <c r="T1043" i="20"/>
  <c r="T1042" i="20"/>
  <c r="T1041" i="20"/>
  <c r="T1038" i="20"/>
  <c r="T1037" i="20"/>
  <c r="T1036" i="20"/>
  <c r="T1035" i="20"/>
  <c r="T1034" i="20"/>
  <c r="T1033" i="20" s="1"/>
  <c r="T1031" i="20"/>
  <c r="T1030" i="20"/>
  <c r="T1029" i="20"/>
  <c r="T1028" i="20"/>
  <c r="T1027" i="20"/>
  <c r="T1026" i="20" s="1"/>
  <c r="T1024" i="20"/>
  <c r="T1023" i="20"/>
  <c r="T1022" i="20"/>
  <c r="T1021" i="20"/>
  <c r="T1020" i="20"/>
  <c r="T1019" i="20" s="1"/>
  <c r="T1017" i="20"/>
  <c r="T1016" i="20"/>
  <c r="T1015" i="20"/>
  <c r="T1014" i="20"/>
  <c r="T1013" i="20"/>
  <c r="T1012" i="20" s="1"/>
  <c r="T1010" i="20"/>
  <c r="T1009" i="20"/>
  <c r="T1008" i="20"/>
  <c r="T1007" i="20"/>
  <c r="T1006" i="20"/>
  <c r="T1005" i="20" s="1"/>
  <c r="T1003" i="20"/>
  <c r="T1002" i="20"/>
  <c r="T1001" i="20"/>
  <c r="T1000" i="20"/>
  <c r="T999" i="20"/>
  <c r="T998" i="20" s="1"/>
  <c r="T996" i="20"/>
  <c r="T995" i="20"/>
  <c r="T994" i="20"/>
  <c r="T993" i="20"/>
  <c r="T992" i="20"/>
  <c r="T991" i="20" s="1"/>
  <c r="T989" i="20"/>
  <c r="T988" i="20"/>
  <c r="T987" i="20"/>
  <c r="T986" i="20"/>
  <c r="T985" i="20"/>
  <c r="T984" i="20" s="1"/>
  <c r="T982" i="20"/>
  <c r="T981" i="20"/>
  <c r="T980" i="20"/>
  <c r="T979" i="20"/>
  <c r="T978" i="20"/>
  <c r="T977" i="20" s="1"/>
  <c r="T975" i="20"/>
  <c r="T974" i="20"/>
  <c r="T973" i="20"/>
  <c r="T972" i="20"/>
  <c r="T971" i="20"/>
  <c r="T970" i="20" s="1"/>
  <c r="T968" i="20"/>
  <c r="T967" i="20"/>
  <c r="T966" i="20"/>
  <c r="T965" i="20"/>
  <c r="T964" i="20"/>
  <c r="T963" i="20" s="1"/>
  <c r="T961" i="20"/>
  <c r="T960" i="20"/>
  <c r="T959" i="20"/>
  <c r="T958" i="20"/>
  <c r="T957" i="20"/>
  <c r="T956" i="20" s="1"/>
  <c r="T954" i="20"/>
  <c r="T953" i="20"/>
  <c r="T952" i="20"/>
  <c r="T951" i="20"/>
  <c r="T950" i="20"/>
  <c r="T949" i="20" s="1"/>
  <c r="T947" i="20"/>
  <c r="T946" i="20"/>
  <c r="T945" i="20"/>
  <c r="T944" i="20"/>
  <c r="T943" i="20"/>
  <c r="T942" i="20" s="1"/>
  <c r="T940" i="20"/>
  <c r="T939" i="20"/>
  <c r="T938" i="20"/>
  <c r="T937" i="20"/>
  <c r="T936" i="20"/>
  <c r="T935" i="20" s="1"/>
  <c r="T933" i="20"/>
  <c r="T932" i="20"/>
  <c r="T931" i="20"/>
  <c r="T930" i="20"/>
  <c r="T929" i="20"/>
  <c r="T928" i="20" s="1"/>
  <c r="T926" i="20"/>
  <c r="T925" i="20"/>
  <c r="T924" i="20"/>
  <c r="T923" i="20"/>
  <c r="T922" i="20"/>
  <c r="T921" i="20" s="1"/>
  <c r="T919" i="20"/>
  <c r="T918" i="20"/>
  <c r="T917" i="20"/>
  <c r="T916" i="20"/>
  <c r="T915" i="20"/>
  <c r="T914" i="20" s="1"/>
  <c r="T912" i="20"/>
  <c r="T1619" i="20"/>
  <c r="T1614" i="20" s="1"/>
  <c r="T911" i="20"/>
  <c r="T910" i="20"/>
  <c r="T909" i="20"/>
  <c r="T908" i="20"/>
  <c r="T907" i="20" s="1"/>
  <c r="T905" i="20"/>
  <c r="T820" i="20"/>
  <c r="T819" i="20"/>
  <c r="T818" i="20"/>
  <c r="T817" i="20"/>
  <c r="T814" i="20"/>
  <c r="T813" i="20"/>
  <c r="T812" i="20"/>
  <c r="T904" i="20"/>
  <c r="T900" i="20" s="1"/>
  <c r="T810" i="20"/>
  <c r="T807" i="20"/>
  <c r="T806" i="20"/>
  <c r="T805" i="20"/>
  <c r="T804" i="20"/>
  <c r="T803" i="20"/>
  <c r="T802" i="20" s="1"/>
  <c r="T800" i="20"/>
  <c r="T799" i="20"/>
  <c r="T798" i="20"/>
  <c r="T797" i="20"/>
  <c r="T796" i="20"/>
  <c r="T795" i="20" s="1"/>
  <c r="T793" i="20"/>
  <c r="T792" i="20"/>
  <c r="T791" i="20"/>
  <c r="T790" i="20"/>
  <c r="T789" i="20"/>
  <c r="T788" i="20" s="1"/>
  <c r="T786" i="20"/>
  <c r="T785" i="20"/>
  <c r="T784" i="20"/>
  <c r="T783" i="20"/>
  <c r="T782" i="20"/>
  <c r="T781" i="20" s="1"/>
  <c r="T779" i="20"/>
  <c r="T778" i="20"/>
  <c r="T777" i="20"/>
  <c r="T776" i="20"/>
  <c r="T775" i="20"/>
  <c r="T774" i="20" s="1"/>
  <c r="T772" i="20"/>
  <c r="T771" i="20"/>
  <c r="T770" i="20"/>
  <c r="T769" i="20"/>
  <c r="T768" i="20"/>
  <c r="T767" i="20" s="1"/>
  <c r="T765" i="20"/>
  <c r="T764" i="20"/>
  <c r="T763" i="20"/>
  <c r="T762" i="20"/>
  <c r="T761" i="20"/>
  <c r="T760" i="20" s="1"/>
  <c r="T758" i="20"/>
  <c r="T757" i="20"/>
  <c r="T756" i="20"/>
  <c r="T755" i="20"/>
  <c r="T754" i="20"/>
  <c r="T753" i="20" s="1"/>
  <c r="T751" i="20"/>
  <c r="T750" i="20"/>
  <c r="T749" i="20"/>
  <c r="T748" i="20"/>
  <c r="T747" i="20"/>
  <c r="T746" i="20" s="1"/>
  <c r="T744" i="20"/>
  <c r="T743" i="20"/>
  <c r="T742" i="20"/>
  <c r="T741" i="20"/>
  <c r="T740" i="20"/>
  <c r="T739" i="20" s="1"/>
  <c r="T737" i="20"/>
  <c r="T736" i="20"/>
  <c r="T735" i="20"/>
  <c r="T734" i="20"/>
  <c r="T733" i="20"/>
  <c r="T732" i="20" s="1"/>
  <c r="T730" i="20"/>
  <c r="T729" i="20"/>
  <c r="T728" i="20"/>
  <c r="T727" i="20"/>
  <c r="T726" i="20"/>
  <c r="T725" i="20" s="1"/>
  <c r="T723" i="20"/>
  <c r="T722" i="20"/>
  <c r="T721" i="20"/>
  <c r="T720" i="20"/>
  <c r="T719" i="20"/>
  <c r="T718" i="20" s="1"/>
  <c r="T716" i="20"/>
  <c r="T715" i="20"/>
  <c r="T714" i="20"/>
  <c r="T713" i="20"/>
  <c r="T712" i="20"/>
  <c r="T711" i="20" s="1"/>
  <c r="T709" i="20"/>
  <c r="T708" i="20"/>
  <c r="T707" i="20"/>
  <c r="T706" i="20"/>
  <c r="T705" i="20"/>
  <c r="T704" i="20" s="1"/>
  <c r="T702" i="20"/>
  <c r="T701" i="20"/>
  <c r="T700" i="20"/>
  <c r="T699" i="20"/>
  <c r="T698" i="20"/>
  <c r="T697" i="20" s="1"/>
  <c r="T695" i="20"/>
  <c r="T694" i="20"/>
  <c r="T693" i="20"/>
  <c r="T692" i="20"/>
  <c r="T691" i="20"/>
  <c r="T690" i="20" s="1"/>
  <c r="T688" i="20"/>
  <c r="T687" i="20"/>
  <c r="T686" i="20"/>
  <c r="T685" i="20"/>
  <c r="T684" i="20"/>
  <c r="T683" i="20" s="1"/>
  <c r="T681" i="20"/>
  <c r="T680" i="20"/>
  <c r="T679" i="20"/>
  <c r="T678" i="20"/>
  <c r="T677" i="20"/>
  <c r="T676" i="20" s="1"/>
  <c r="T674" i="20"/>
  <c r="T673" i="20"/>
  <c r="T672" i="20"/>
  <c r="T671" i="20"/>
  <c r="T670" i="20"/>
  <c r="T669" i="20" s="1"/>
  <c r="T667" i="20"/>
  <c r="T666" i="20"/>
  <c r="T665" i="20"/>
  <c r="T664" i="20"/>
  <c r="T663" i="20"/>
  <c r="T662" i="20" s="1"/>
  <c r="T660" i="20"/>
  <c r="T659" i="20"/>
  <c r="T658" i="20"/>
  <c r="T657" i="20"/>
  <c r="T656" i="20"/>
  <c r="T655" i="20" s="1"/>
  <c r="T653" i="20"/>
  <c r="T652" i="20"/>
  <c r="T651" i="20"/>
  <c r="T650" i="20"/>
  <c r="T649" i="20"/>
  <c r="T648" i="20" s="1"/>
  <c r="T646" i="20"/>
  <c r="T645" i="20"/>
  <c r="T644" i="20"/>
  <c r="T643" i="20"/>
  <c r="T642" i="20"/>
  <c r="T641" i="20" s="1"/>
  <c r="T639" i="20"/>
  <c r="T638" i="20"/>
  <c r="T637" i="20"/>
  <c r="T636" i="20"/>
  <c r="T635" i="20"/>
  <c r="T634" i="20" s="1"/>
  <c r="T632" i="20"/>
  <c r="T631" i="20"/>
  <c r="T630" i="20"/>
  <c r="T629" i="20"/>
  <c r="T628" i="20"/>
  <c r="T627" i="20" s="1"/>
  <c r="T625" i="20"/>
  <c r="T624" i="20"/>
  <c r="T623" i="20"/>
  <c r="T622" i="20"/>
  <c r="T621" i="20"/>
  <c r="T620" i="20" s="1"/>
  <c r="T618" i="20"/>
  <c r="T617" i="20"/>
  <c r="T616" i="20"/>
  <c r="T615" i="20"/>
  <c r="T614" i="20"/>
  <c r="T613" i="20" s="1"/>
  <c r="T611" i="20"/>
  <c r="T610" i="20"/>
  <c r="T609" i="20"/>
  <c r="T608" i="20"/>
  <c r="T607" i="20"/>
  <c r="T606" i="20" s="1"/>
  <c r="T604" i="20"/>
  <c r="T603" i="20"/>
  <c r="T602" i="20"/>
  <c r="T601" i="20"/>
  <c r="T600" i="20"/>
  <c r="T599" i="20" s="1"/>
  <c r="T597" i="20"/>
  <c r="T596" i="20"/>
  <c r="T595" i="20"/>
  <c r="T594" i="20"/>
  <c r="T593" i="20"/>
  <c r="T592" i="20" s="1"/>
  <c r="T590" i="20"/>
  <c r="T589" i="20"/>
  <c r="T588" i="20"/>
  <c r="T587" i="20"/>
  <c r="T586" i="20"/>
  <c r="T585" i="20" s="1"/>
  <c r="T583" i="20"/>
  <c r="T582" i="20"/>
  <c r="T581" i="20"/>
  <c r="T580" i="20"/>
  <c r="T579" i="20"/>
  <c r="T578" i="20" s="1"/>
  <c r="T576" i="20"/>
  <c r="T575" i="20"/>
  <c r="T574" i="20"/>
  <c r="T573" i="20"/>
  <c r="T572" i="20"/>
  <c r="T571" i="20" s="1"/>
  <c r="T569" i="20"/>
  <c r="T568" i="20"/>
  <c r="T567" i="20"/>
  <c r="T566" i="20"/>
  <c r="T565" i="20"/>
  <c r="T564" i="20" s="1"/>
  <c r="T562" i="20"/>
  <c r="T561" i="20"/>
  <c r="T560" i="20"/>
  <c r="T559" i="20"/>
  <c r="T558" i="20"/>
  <c r="T557" i="20" s="1"/>
  <c r="T555" i="20"/>
  <c r="T554" i="20"/>
  <c r="T553" i="20"/>
  <c r="T552" i="20"/>
  <c r="T551" i="20"/>
  <c r="T550" i="20" s="1"/>
  <c r="T548" i="20"/>
  <c r="T547" i="20"/>
  <c r="T546" i="20"/>
  <c r="T545" i="20"/>
  <c r="T544" i="20"/>
  <c r="T543" i="20" s="1"/>
  <c r="T541" i="20"/>
  <c r="T540" i="20"/>
  <c r="T539" i="20"/>
  <c r="T538" i="20"/>
  <c r="T537" i="20"/>
  <c r="T536" i="20" s="1"/>
  <c r="T534" i="20"/>
  <c r="T533" i="20"/>
  <c r="T532" i="20"/>
  <c r="T531" i="20"/>
  <c r="T530" i="20"/>
  <c r="T529" i="20" s="1"/>
  <c r="T527" i="20"/>
  <c r="T526" i="20"/>
  <c r="T525" i="20"/>
  <c r="T524" i="20"/>
  <c r="T523" i="20"/>
  <c r="T522" i="20" s="1"/>
  <c r="T520" i="20"/>
  <c r="T519" i="20"/>
  <c r="T518" i="20"/>
  <c r="T517" i="20"/>
  <c r="T516" i="20"/>
  <c r="T515" i="20" s="1"/>
  <c r="T513" i="20"/>
  <c r="T512" i="20"/>
  <c r="T511" i="20"/>
  <c r="T510" i="20"/>
  <c r="T509" i="20"/>
  <c r="T508" i="20" s="1"/>
  <c r="T506" i="20"/>
  <c r="T505" i="20"/>
  <c r="T504" i="20"/>
  <c r="T503" i="20"/>
  <c r="T502" i="20"/>
  <c r="T501" i="20" s="1"/>
  <c r="T499" i="20"/>
  <c r="T498" i="20"/>
  <c r="T497" i="20"/>
  <c r="T496" i="20"/>
  <c r="T495" i="20"/>
  <c r="T494" i="20" s="1"/>
  <c r="T492" i="20"/>
  <c r="T491" i="20"/>
  <c r="T490" i="20"/>
  <c r="T489" i="20"/>
  <c r="T488" i="20"/>
  <c r="T487" i="20" s="1"/>
  <c r="T485" i="20"/>
  <c r="T484" i="20"/>
  <c r="T483" i="20"/>
  <c r="T482" i="20"/>
  <c r="T481" i="20"/>
  <c r="T480" i="20" s="1"/>
  <c r="T478" i="20"/>
  <c r="T477" i="20"/>
  <c r="T476" i="20"/>
  <c r="T475" i="20"/>
  <c r="T474" i="20"/>
  <c r="T473" i="20" s="1"/>
  <c r="T471" i="20"/>
  <c r="T470" i="20"/>
  <c r="T469" i="20"/>
  <c r="T468" i="20"/>
  <c r="T467" i="20"/>
  <c r="T466" i="20" s="1"/>
  <c r="T464" i="20"/>
  <c r="T463" i="20"/>
  <c r="T462" i="20"/>
  <c r="T461" i="20"/>
  <c r="T460" i="20"/>
  <c r="T459" i="20" s="1"/>
  <c r="T457" i="20"/>
  <c r="T456" i="20"/>
  <c r="T455" i="20"/>
  <c r="T454" i="20"/>
  <c r="T453" i="20"/>
  <c r="T452" i="20" s="1"/>
  <c r="T450" i="20"/>
  <c r="T449" i="20"/>
  <c r="T448" i="20"/>
  <c r="T447" i="20"/>
  <c r="T446" i="20"/>
  <c r="T445" i="20" s="1"/>
  <c r="T443" i="20"/>
  <c r="T442" i="20"/>
  <c r="T441" i="20"/>
  <c r="T440" i="20"/>
  <c r="T439" i="20"/>
  <c r="T438" i="20" s="1"/>
  <c r="T436" i="20"/>
  <c r="T435" i="20"/>
  <c r="T434" i="20"/>
  <c r="T433" i="20"/>
  <c r="T432" i="20"/>
  <c r="T431" i="20" s="1"/>
  <c r="T429" i="20"/>
  <c r="T428" i="20"/>
  <c r="T427" i="20"/>
  <c r="T426" i="20"/>
  <c r="T425" i="20"/>
  <c r="T424" i="20" s="1"/>
  <c r="T422" i="20"/>
  <c r="T421" i="20"/>
  <c r="T420" i="20"/>
  <c r="T419" i="20"/>
  <c r="T418" i="20"/>
  <c r="T417" i="20" s="1"/>
  <c r="T415" i="20"/>
  <c r="T414" i="20"/>
  <c r="T413" i="20"/>
  <c r="T412" i="20"/>
  <c r="T411" i="20"/>
  <c r="T410" i="20" s="1"/>
  <c r="T408" i="20"/>
  <c r="T407" i="20"/>
  <c r="T406" i="20"/>
  <c r="T405" i="20"/>
  <c r="T404" i="20"/>
  <c r="T403" i="20" s="1"/>
  <c r="T401" i="20"/>
  <c r="T400" i="20"/>
  <c r="T399" i="20"/>
  <c r="T398" i="20"/>
  <c r="T397" i="20"/>
  <c r="T396" i="20" s="1"/>
  <c r="T394" i="20"/>
  <c r="T393" i="20"/>
  <c r="T392" i="20"/>
  <c r="T391" i="20"/>
  <c r="T390" i="20"/>
  <c r="T389" i="20" s="1"/>
  <c r="T387" i="20"/>
  <c r="T386" i="20"/>
  <c r="T385" i="20"/>
  <c r="T384" i="20"/>
  <c r="T383" i="20"/>
  <c r="T382" i="20" s="1"/>
  <c r="T380" i="20"/>
  <c r="T379" i="20"/>
  <c r="T378" i="20"/>
  <c r="T377" i="20"/>
  <c r="T376" i="20"/>
  <c r="T375" i="20" s="1"/>
  <c r="T373" i="20"/>
  <c r="T372" i="20"/>
  <c r="T371" i="20"/>
  <c r="T370" i="20"/>
  <c r="T369" i="20"/>
  <c r="T368" i="20" s="1"/>
  <c r="T366" i="20"/>
  <c r="T365" i="20"/>
  <c r="T364" i="20"/>
  <c r="T363" i="20"/>
  <c r="T362" i="20"/>
  <c r="T361" i="20" s="1"/>
  <c r="T359" i="20"/>
  <c r="T358" i="20"/>
  <c r="T357" i="20"/>
  <c r="T356" i="20"/>
  <c r="T355" i="20"/>
  <c r="T354" i="20" s="1"/>
  <c r="T352" i="20"/>
  <c r="T351" i="20"/>
  <c r="T350" i="20"/>
  <c r="T349" i="20"/>
  <c r="T348" i="20"/>
  <c r="T347" i="20" s="1"/>
  <c r="T345" i="20"/>
  <c r="T344" i="20"/>
  <c r="T343" i="20"/>
  <c r="T342" i="20"/>
  <c r="T341" i="20"/>
  <c r="T340" i="20" s="1"/>
  <c r="T338" i="20"/>
  <c r="T337" i="20"/>
  <c r="T336" i="20"/>
  <c r="T335" i="20"/>
  <c r="T334" i="20"/>
  <c r="T333" i="20" s="1"/>
  <c r="T331" i="20"/>
  <c r="T330" i="20"/>
  <c r="T329" i="20"/>
  <c r="T328" i="20"/>
  <c r="T327" i="20"/>
  <c r="T326" i="20" s="1"/>
  <c r="T324" i="20"/>
  <c r="T323" i="20"/>
  <c r="T322" i="20"/>
  <c r="T321" i="20"/>
  <c r="T320" i="20"/>
  <c r="T319" i="20" s="1"/>
  <c r="T317" i="20"/>
  <c r="T316" i="20"/>
  <c r="T315" i="20"/>
  <c r="T314" i="20"/>
  <c r="T313" i="20"/>
  <c r="T312" i="20" s="1"/>
  <c r="T310" i="20"/>
  <c r="T309" i="20"/>
  <c r="T308" i="20"/>
  <c r="T307" i="20"/>
  <c r="T306" i="20"/>
  <c r="T305" i="20" s="1"/>
  <c r="T303" i="20"/>
  <c r="T302" i="20"/>
  <c r="T301" i="20"/>
  <c r="T300" i="20"/>
  <c r="T299" i="20"/>
  <c r="T298" i="20" s="1"/>
  <c r="T296" i="20"/>
  <c r="T295" i="20"/>
  <c r="T294" i="20"/>
  <c r="T293" i="20"/>
  <c r="T292" i="20"/>
  <c r="T291" i="20" s="1"/>
  <c r="T289" i="20"/>
  <c r="T288" i="20"/>
  <c r="T287" i="20"/>
  <c r="T286" i="20"/>
  <c r="T285" i="20"/>
  <c r="T284" i="20" s="1"/>
  <c r="T282" i="20"/>
  <c r="T281" i="20"/>
  <c r="T280" i="20"/>
  <c r="T279" i="20"/>
  <c r="T278" i="20"/>
  <c r="T277" i="20" s="1"/>
  <c r="T275" i="20"/>
  <c r="T274" i="20"/>
  <c r="T273" i="20"/>
  <c r="T272" i="20"/>
  <c r="T271" i="20"/>
  <c r="T270" i="20" s="1"/>
  <c r="T268" i="20"/>
  <c r="T267" i="20"/>
  <c r="T266" i="20"/>
  <c r="T265" i="20"/>
  <c r="T264" i="20"/>
  <c r="T263" i="20" s="1"/>
  <c r="T261" i="20"/>
  <c r="T260" i="20"/>
  <c r="T259" i="20"/>
  <c r="T258" i="20"/>
  <c r="T257" i="20"/>
  <c r="T256" i="20" s="1"/>
  <c r="T254" i="20"/>
  <c r="T253" i="20"/>
  <c r="T252" i="20"/>
  <c r="T251" i="20"/>
  <c r="T250" i="20"/>
  <c r="T249" i="20" s="1"/>
  <c r="T247" i="20"/>
  <c r="T246" i="20"/>
  <c r="T245" i="20"/>
  <c r="T244" i="20"/>
  <c r="T243" i="20"/>
  <c r="T242" i="20" s="1"/>
  <c r="T240" i="20"/>
  <c r="T239" i="20"/>
  <c r="T238" i="20"/>
  <c r="T237" i="20"/>
  <c r="T236" i="20"/>
  <c r="T235" i="20" s="1"/>
  <c r="T233" i="20"/>
  <c r="T232" i="20"/>
  <c r="T231" i="20"/>
  <c r="T230" i="20"/>
  <c r="T229" i="20"/>
  <c r="T228" i="20" s="1"/>
  <c r="T226" i="20"/>
  <c r="T225" i="20"/>
  <c r="T224" i="20"/>
  <c r="T223" i="20"/>
  <c r="T222" i="20"/>
  <c r="T221" i="20" s="1"/>
  <c r="T219" i="20"/>
  <c r="T218" i="20"/>
  <c r="T217" i="20"/>
  <c r="T216" i="20"/>
  <c r="T215" i="20"/>
  <c r="T214" i="20" s="1"/>
  <c r="T212" i="20"/>
  <c r="T211" i="20"/>
  <c r="T210" i="20"/>
  <c r="T209" i="20"/>
  <c r="T208" i="20"/>
  <c r="T207" i="20" s="1"/>
  <c r="T205" i="20"/>
  <c r="T204" i="20"/>
  <c r="T203" i="20"/>
  <c r="T202" i="20"/>
  <c r="T201" i="20"/>
  <c r="T200" i="20" s="1"/>
  <c r="T198" i="20"/>
  <c r="T197" i="20"/>
  <c r="T196" i="20"/>
  <c r="T195" i="20"/>
  <c r="T194" i="20"/>
  <c r="T193" i="20" s="1"/>
  <c r="T191" i="20"/>
  <c r="T190" i="20"/>
  <c r="T189" i="20"/>
  <c r="T188" i="20"/>
  <c r="T187" i="20"/>
  <c r="T186" i="20" s="1"/>
  <c r="T184" i="20"/>
  <c r="T183" i="20"/>
  <c r="T182" i="20"/>
  <c r="T181" i="20"/>
  <c r="T180" i="20"/>
  <c r="T179" i="20" s="1"/>
  <c r="T177" i="20"/>
  <c r="T176" i="20"/>
  <c r="T175" i="20"/>
  <c r="T174" i="20"/>
  <c r="T173" i="20"/>
  <c r="T172" i="20" s="1"/>
  <c r="T170" i="20"/>
  <c r="T169" i="20"/>
  <c r="T168" i="20"/>
  <c r="T167" i="20"/>
  <c r="T166" i="20"/>
  <c r="T165" i="20" s="1"/>
  <c r="T163" i="20"/>
  <c r="T162" i="20"/>
  <c r="T161" i="20"/>
  <c r="T160" i="20"/>
  <c r="T159" i="20"/>
  <c r="T158" i="20" s="1"/>
  <c r="T156" i="20"/>
  <c r="T155" i="20"/>
  <c r="T154" i="20"/>
  <c r="T153" i="20"/>
  <c r="T152" i="20"/>
  <c r="T151" i="20" s="1"/>
  <c r="T149" i="20"/>
  <c r="T148" i="20"/>
  <c r="T147" i="20"/>
  <c r="T146" i="20"/>
  <c r="T145" i="20"/>
  <c r="T144" i="20" s="1"/>
  <c r="T142" i="20"/>
  <c r="T141" i="20"/>
  <c r="T140" i="20"/>
  <c r="T139" i="20"/>
  <c r="T138" i="20"/>
  <c r="T137" i="20" s="1"/>
  <c r="T135" i="20"/>
  <c r="T134" i="20"/>
  <c r="T133" i="20"/>
  <c r="T132" i="20"/>
  <c r="T131" i="20"/>
  <c r="T130" i="20" s="1"/>
  <c r="T128" i="20"/>
  <c r="T127" i="20"/>
  <c r="T126" i="20"/>
  <c r="T125" i="20"/>
  <c r="T124" i="20"/>
  <c r="T123" i="20" s="1"/>
  <c r="T121" i="20"/>
  <c r="T120" i="20"/>
  <c r="T119" i="20"/>
  <c r="T118" i="20"/>
  <c r="T117" i="20"/>
  <c r="T116" i="20" s="1"/>
  <c r="T114" i="20"/>
  <c r="T113" i="20"/>
  <c r="T112" i="20"/>
  <c r="T111" i="20"/>
  <c r="T110" i="20"/>
  <c r="T109" i="20" s="1"/>
  <c r="T107" i="20"/>
  <c r="T106" i="20"/>
  <c r="T105" i="20"/>
  <c r="T104" i="20"/>
  <c r="T103" i="20"/>
  <c r="T102" i="20" s="1"/>
  <c r="T100" i="20"/>
  <c r="T99" i="20"/>
  <c r="T98" i="20"/>
  <c r="T97" i="20"/>
  <c r="T96" i="20"/>
  <c r="T95" i="20" s="1"/>
  <c r="T93" i="20"/>
  <c r="T92" i="20"/>
  <c r="T91" i="20"/>
  <c r="T90" i="20"/>
  <c r="T89" i="20"/>
  <c r="T88" i="20" s="1"/>
  <c r="T86" i="20"/>
  <c r="T85" i="20"/>
  <c r="T84" i="20"/>
  <c r="T83" i="20"/>
  <c r="T82" i="20"/>
  <c r="T81" i="20" s="1"/>
  <c r="T79" i="20"/>
  <c r="T78" i="20"/>
  <c r="T77" i="20"/>
  <c r="T76" i="20"/>
  <c r="T75" i="20"/>
  <c r="T74" i="20" s="1"/>
  <c r="T72" i="20"/>
  <c r="T71" i="20"/>
  <c r="T70" i="20"/>
  <c r="T69" i="20"/>
  <c r="T68" i="20"/>
  <c r="T67" i="20" s="1"/>
  <c r="T65" i="20"/>
  <c r="T64" i="20"/>
  <c r="T63" i="20"/>
  <c r="T62" i="20"/>
  <c r="T61" i="20"/>
  <c r="T60" i="20" s="1"/>
  <c r="T58" i="20"/>
  <c r="T57" i="20"/>
  <c r="T56" i="20"/>
  <c r="T55" i="20"/>
  <c r="T54" i="20"/>
  <c r="T53" i="20" s="1"/>
  <c r="T51" i="20"/>
  <c r="T50" i="20"/>
  <c r="T49" i="20"/>
  <c r="T48" i="20"/>
  <c r="T47" i="20"/>
  <c r="T46" i="20" s="1"/>
  <c r="T44" i="20"/>
  <c r="T43" i="20"/>
  <c r="T42" i="20"/>
  <c r="T41" i="20"/>
  <c r="T40" i="20"/>
  <c r="T39" i="20" s="1"/>
  <c r="T37" i="20"/>
  <c r="T36" i="20"/>
  <c r="T35" i="20"/>
  <c r="T34" i="20"/>
  <c r="T33" i="20"/>
  <c r="T32" i="20" s="1"/>
  <c r="T30" i="20"/>
  <c r="T29" i="20"/>
  <c r="T28" i="20"/>
  <c r="T27" i="20"/>
  <c r="T26" i="20"/>
  <c r="T25" i="20" s="1"/>
  <c r="T23" i="20"/>
  <c r="T22" i="20"/>
  <c r="T21" i="20"/>
  <c r="T20" i="20"/>
  <c r="T19" i="20"/>
  <c r="T18" i="20" s="1"/>
  <c r="T16" i="20"/>
  <c r="T15" i="20"/>
  <c r="T14" i="20"/>
  <c r="T13" i="20"/>
  <c r="T12" i="20"/>
  <c r="T11" i="20" s="1"/>
  <c r="T9" i="20"/>
  <c r="T8" i="20"/>
  <c r="T7" i="20"/>
  <c r="T6" i="20"/>
  <c r="T5" i="20"/>
  <c r="T4" i="20" s="1"/>
  <c r="T811" i="20"/>
  <c r="S6" i="20"/>
  <c r="S7" i="20"/>
  <c r="S8" i="20"/>
  <c r="S9" i="20"/>
  <c r="S12" i="20"/>
  <c r="S13" i="20"/>
  <c r="S1120" i="20"/>
  <c r="S1619" i="20"/>
  <c r="S1618" i="20"/>
  <c r="S1617" i="20"/>
  <c r="S1616" i="20"/>
  <c r="S1615" i="20"/>
  <c r="S1614" i="20" s="1"/>
  <c r="S1612" i="20"/>
  <c r="S1611" i="20"/>
  <c r="S1610" i="20"/>
  <c r="S1609" i="20"/>
  <c r="S1608" i="20"/>
  <c r="S1607" i="20" s="1"/>
  <c r="S1605" i="20"/>
  <c r="S1604" i="20"/>
  <c r="S1603" i="20"/>
  <c r="S1602" i="20"/>
  <c r="S1601" i="20"/>
  <c r="S1600" i="20" s="1"/>
  <c r="S1598" i="20"/>
  <c r="S1597" i="20"/>
  <c r="S1596" i="20"/>
  <c r="S1595" i="20"/>
  <c r="S1594" i="20"/>
  <c r="S1593" i="20" s="1"/>
  <c r="S1591" i="20"/>
  <c r="S1590" i="20"/>
  <c r="S1589" i="20"/>
  <c r="S1588" i="20"/>
  <c r="S1587" i="20"/>
  <c r="S1586" i="20" s="1"/>
  <c r="S1584" i="20"/>
  <c r="S5" i="20"/>
  <c r="S4" i="20" s="1"/>
  <c r="S1582" i="20"/>
  <c r="S1581" i="20"/>
  <c r="S1580" i="20"/>
  <c r="S1577" i="20"/>
  <c r="S1576" i="20"/>
  <c r="S1575" i="20"/>
  <c r="S1574" i="20"/>
  <c r="S1573" i="20"/>
  <c r="S1572" i="20" s="1"/>
  <c r="S1570" i="20"/>
  <c r="S1569" i="20"/>
  <c r="S1568" i="20"/>
  <c r="S1567" i="20"/>
  <c r="S1566" i="20"/>
  <c r="S1565" i="20" s="1"/>
  <c r="S1563" i="20"/>
  <c r="S1562" i="20"/>
  <c r="S1561" i="20"/>
  <c r="S1560" i="20"/>
  <c r="S1559" i="20"/>
  <c r="S1558" i="20" s="1"/>
  <c r="S1556" i="20"/>
  <c r="S1555" i="20"/>
  <c r="S1554" i="20"/>
  <c r="S1553" i="20"/>
  <c r="S1552" i="20"/>
  <c r="S1551" i="20" s="1"/>
  <c r="S1549" i="20"/>
  <c r="S1548" i="20"/>
  <c r="S1547" i="20"/>
  <c r="S1546" i="20"/>
  <c r="S1545" i="20"/>
  <c r="S1544" i="20" s="1"/>
  <c r="S1542" i="20"/>
  <c r="S1541" i="20"/>
  <c r="S1540" i="20"/>
  <c r="S1539" i="20"/>
  <c r="S1538" i="20"/>
  <c r="S1537" i="20" s="1"/>
  <c r="S1535" i="20"/>
  <c r="S1534" i="20"/>
  <c r="S1533" i="20"/>
  <c r="S1532" i="20"/>
  <c r="S1531" i="20"/>
  <c r="S1530" i="20" s="1"/>
  <c r="S1528" i="20"/>
  <c r="S1527" i="20"/>
  <c r="S1526" i="20"/>
  <c r="S1525" i="20"/>
  <c r="S1524" i="20"/>
  <c r="S1523" i="20" s="1"/>
  <c r="S1521" i="20"/>
  <c r="S1520" i="20"/>
  <c r="S1519" i="20"/>
  <c r="S1518" i="20"/>
  <c r="S1517" i="20"/>
  <c r="S1516" i="20" s="1"/>
  <c r="S1514" i="20"/>
  <c r="S1513" i="20"/>
  <c r="S1512" i="20"/>
  <c r="S1511" i="20"/>
  <c r="S1510" i="20"/>
  <c r="S1509" i="20" s="1"/>
  <c r="S1507" i="20"/>
  <c r="S1506" i="20"/>
  <c r="S1505" i="20"/>
  <c r="S1504" i="20"/>
  <c r="S1503" i="20"/>
  <c r="S1502" i="20" s="1"/>
  <c r="S1500" i="20"/>
  <c r="S1499" i="20"/>
  <c r="S1498" i="20"/>
  <c r="S1497" i="20"/>
  <c r="S1496" i="20"/>
  <c r="S1495" i="20" s="1"/>
  <c r="S1493" i="20"/>
  <c r="S1492" i="20"/>
  <c r="S1491" i="20"/>
  <c r="S1490" i="20"/>
  <c r="S1489" i="20"/>
  <c r="S1488" i="20" s="1"/>
  <c r="S1486" i="20"/>
  <c r="S1485" i="20"/>
  <c r="S1484" i="20"/>
  <c r="S1483" i="20"/>
  <c r="S1482" i="20"/>
  <c r="S1481" i="20" s="1"/>
  <c r="S1479" i="20"/>
  <c r="S1478" i="20"/>
  <c r="S1477" i="20"/>
  <c r="S1476" i="20"/>
  <c r="S1475" i="20"/>
  <c r="S1474" i="20" s="1"/>
  <c r="S1472" i="20"/>
  <c r="S1471" i="20"/>
  <c r="S1470" i="20"/>
  <c r="S1469" i="20"/>
  <c r="S1468" i="20"/>
  <c r="S1467" i="20" s="1"/>
  <c r="S1465" i="20"/>
  <c r="S1464" i="20"/>
  <c r="S1463" i="20"/>
  <c r="S1462" i="20"/>
  <c r="S1461" i="20"/>
  <c r="S1460" i="20" s="1"/>
  <c r="S1458" i="20"/>
  <c r="S1457" i="20"/>
  <c r="S1456" i="20"/>
  <c r="S1455" i="20"/>
  <c r="S1454" i="20"/>
  <c r="S1453" i="20" s="1"/>
  <c r="S1451" i="20"/>
  <c r="S1450" i="20"/>
  <c r="S1449" i="20"/>
  <c r="S1448" i="20"/>
  <c r="S1447" i="20"/>
  <c r="S1446" i="20" s="1"/>
  <c r="S1444" i="20"/>
  <c r="S1443" i="20"/>
  <c r="S1442" i="20"/>
  <c r="S1441" i="20"/>
  <c r="S1440" i="20"/>
  <c r="S1439" i="20" s="1"/>
  <c r="S1437" i="20"/>
  <c r="S1436" i="20"/>
  <c r="S1435" i="20"/>
  <c r="S1434" i="20"/>
  <c r="S1433" i="20"/>
  <c r="S1432" i="20" s="1"/>
  <c r="S1430" i="20"/>
  <c r="S1429" i="20"/>
  <c r="S1428" i="20"/>
  <c r="S1427" i="20"/>
  <c r="S1426" i="20"/>
  <c r="S1425" i="20" s="1"/>
  <c r="S1423" i="20"/>
  <c r="S1422" i="20"/>
  <c r="S1421" i="20"/>
  <c r="S1420" i="20"/>
  <c r="S1419" i="20"/>
  <c r="S1418" i="20" s="1"/>
  <c r="S1416" i="20"/>
  <c r="S1415" i="20"/>
  <c r="S1414" i="20"/>
  <c r="S1413" i="20"/>
  <c r="S1412" i="20"/>
  <c r="S1411" i="20" s="1"/>
  <c r="S1409" i="20"/>
  <c r="S1408" i="20"/>
  <c r="S1407" i="20"/>
  <c r="S1406" i="20"/>
  <c r="S1405" i="20"/>
  <c r="S1404" i="20" s="1"/>
  <c r="S1402" i="20"/>
  <c r="S1401" i="20"/>
  <c r="S1400" i="20"/>
  <c r="S14" i="20"/>
  <c r="S15" i="20"/>
  <c r="S16" i="20"/>
  <c r="S19" i="20"/>
  <c r="S20" i="20"/>
  <c r="S21" i="20"/>
  <c r="S22" i="20"/>
  <c r="S23" i="20"/>
  <c r="S26" i="20"/>
  <c r="S27" i="20"/>
  <c r="S28" i="20"/>
  <c r="S29" i="20"/>
  <c r="S30" i="20"/>
  <c r="S33" i="20"/>
  <c r="S34" i="20"/>
  <c r="S35" i="20"/>
  <c r="S36" i="20"/>
  <c r="S37" i="20"/>
  <c r="S40" i="20"/>
  <c r="S41" i="20"/>
  <c r="S42" i="20"/>
  <c r="S43" i="20"/>
  <c r="S44" i="20"/>
  <c r="S47" i="20"/>
  <c r="S48" i="20"/>
  <c r="S49" i="20"/>
  <c r="S50" i="20"/>
  <c r="S51" i="20"/>
  <c r="S54" i="20"/>
  <c r="S55" i="20"/>
  <c r="S56" i="20"/>
  <c r="S57" i="20"/>
  <c r="S58" i="20"/>
  <c r="S61" i="20"/>
  <c r="S62" i="20"/>
  <c r="S63" i="20"/>
  <c r="S64" i="20"/>
  <c r="S65" i="20"/>
  <c r="S68" i="20"/>
  <c r="S69" i="20"/>
  <c r="S70" i="20"/>
  <c r="S71" i="20"/>
  <c r="S72" i="20"/>
  <c r="S75" i="20"/>
  <c r="S76" i="20"/>
  <c r="S77" i="20"/>
  <c r="S78" i="20"/>
  <c r="S79" i="20"/>
  <c r="S82" i="20"/>
  <c r="S83" i="20"/>
  <c r="S84" i="20"/>
  <c r="S85" i="20"/>
  <c r="S86" i="20"/>
  <c r="S89" i="20"/>
  <c r="S90" i="20"/>
  <c r="S91" i="20"/>
  <c r="S92" i="20"/>
  <c r="S93" i="20"/>
  <c r="S96" i="20"/>
  <c r="S97" i="20"/>
  <c r="S98" i="20"/>
  <c r="S99" i="20"/>
  <c r="S100" i="20"/>
  <c r="S103" i="20"/>
  <c r="S104" i="20"/>
  <c r="S105" i="20"/>
  <c r="S106" i="20"/>
  <c r="S107" i="20"/>
  <c r="S110" i="20"/>
  <c r="S111" i="20"/>
  <c r="S112" i="20"/>
  <c r="S113" i="20"/>
  <c r="S114" i="20"/>
  <c r="S117" i="20"/>
  <c r="S118" i="20"/>
  <c r="S119" i="20"/>
  <c r="S120" i="20"/>
  <c r="S121" i="20"/>
  <c r="S124" i="20"/>
  <c r="S125" i="20"/>
  <c r="S126" i="20"/>
  <c r="S127" i="20"/>
  <c r="S128" i="20"/>
  <c r="S131" i="20"/>
  <c r="S132" i="20"/>
  <c r="S133" i="20"/>
  <c r="S134" i="20"/>
  <c r="S135" i="20"/>
  <c r="S138" i="20"/>
  <c r="S139" i="20"/>
  <c r="S140" i="20"/>
  <c r="S141" i="20"/>
  <c r="S142" i="20"/>
  <c r="S145" i="20"/>
  <c r="S146" i="20"/>
  <c r="S147" i="20"/>
  <c r="S148" i="20"/>
  <c r="S149" i="20"/>
  <c r="S152" i="20"/>
  <c r="S153" i="20"/>
  <c r="S154" i="20"/>
  <c r="S155" i="20"/>
  <c r="S156" i="20"/>
  <c r="S159" i="20"/>
  <c r="S160" i="20"/>
  <c r="S161" i="20"/>
  <c r="S162" i="20"/>
  <c r="S163" i="20"/>
  <c r="S166" i="20"/>
  <c r="S167" i="20"/>
  <c r="S168" i="20"/>
  <c r="S169" i="20"/>
  <c r="S170" i="20"/>
  <c r="S173" i="20"/>
  <c r="S174" i="20"/>
  <c r="S175" i="20"/>
  <c r="S176" i="20"/>
  <c r="S177" i="20"/>
  <c r="S180" i="20"/>
  <c r="S181" i="20"/>
  <c r="S182" i="20"/>
  <c r="S183" i="20"/>
  <c r="S184" i="20"/>
  <c r="S187" i="20"/>
  <c r="S188" i="20"/>
  <c r="S189" i="20"/>
  <c r="S190" i="20"/>
  <c r="S191" i="20"/>
  <c r="S194" i="20"/>
  <c r="S195" i="20"/>
  <c r="S196" i="20"/>
  <c r="S197" i="20"/>
  <c r="S198" i="20"/>
  <c r="S201" i="20"/>
  <c r="S202" i="20"/>
  <c r="S203" i="20"/>
  <c r="S204" i="20"/>
  <c r="S205" i="20"/>
  <c r="S208" i="20"/>
  <c r="S209" i="20"/>
  <c r="S210" i="20"/>
  <c r="S211" i="20"/>
  <c r="S212" i="20"/>
  <c r="S215" i="20"/>
  <c r="S216" i="20"/>
  <c r="S217" i="20"/>
  <c r="S218" i="20"/>
  <c r="S219" i="20"/>
  <c r="S222" i="20"/>
  <c r="S223" i="20"/>
  <c r="S224" i="20"/>
  <c r="S225" i="20"/>
  <c r="S226" i="20"/>
  <c r="S229" i="20"/>
  <c r="S230" i="20"/>
  <c r="S231" i="20"/>
  <c r="S232" i="20"/>
  <c r="S233" i="20"/>
  <c r="S236" i="20"/>
  <c r="S237" i="20"/>
  <c r="S238" i="20"/>
  <c r="S239" i="20"/>
  <c r="S240" i="20"/>
  <c r="S243" i="20"/>
  <c r="S244" i="20"/>
  <c r="S245" i="20"/>
  <c r="S246" i="20"/>
  <c r="S247" i="20"/>
  <c r="S250" i="20"/>
  <c r="S251" i="20"/>
  <c r="S252" i="20"/>
  <c r="S253" i="20"/>
  <c r="S254" i="20"/>
  <c r="S257" i="20"/>
  <c r="S258" i="20"/>
  <c r="S259" i="20"/>
  <c r="S260" i="20"/>
  <c r="S261" i="20"/>
  <c r="S264" i="20"/>
  <c r="S265" i="20"/>
  <c r="S266" i="20"/>
  <c r="S267" i="20"/>
  <c r="S268" i="20"/>
  <c r="S271" i="20"/>
  <c r="S272" i="20"/>
  <c r="S273" i="20"/>
  <c r="S274" i="20"/>
  <c r="S275" i="20"/>
  <c r="S278" i="20"/>
  <c r="S279" i="20"/>
  <c r="S280" i="20"/>
  <c r="S281" i="20"/>
  <c r="S282" i="20"/>
  <c r="S285" i="20"/>
  <c r="S286" i="20"/>
  <c r="S287" i="20"/>
  <c r="S288" i="20"/>
  <c r="S289" i="20"/>
  <c r="S292" i="20"/>
  <c r="S293" i="20"/>
  <c r="S294" i="20"/>
  <c r="S295" i="20"/>
  <c r="S296" i="20"/>
  <c r="S299" i="20"/>
  <c r="S300" i="20"/>
  <c r="S301" i="20"/>
  <c r="S302" i="20"/>
  <c r="S303" i="20"/>
  <c r="S306" i="20"/>
  <c r="S307" i="20"/>
  <c r="S308" i="20"/>
  <c r="S309" i="20"/>
  <c r="S310" i="20"/>
  <c r="S313" i="20"/>
  <c r="S314" i="20"/>
  <c r="S315" i="20"/>
  <c r="S316" i="20"/>
  <c r="S317" i="20"/>
  <c r="S320" i="20"/>
  <c r="S321" i="20"/>
  <c r="S322" i="20"/>
  <c r="S323" i="20"/>
  <c r="S324" i="20"/>
  <c r="S327" i="20"/>
  <c r="S328" i="20"/>
  <c r="S329" i="20"/>
  <c r="S330" i="20"/>
  <c r="S331" i="20"/>
  <c r="S334" i="20"/>
  <c r="S335" i="20"/>
  <c r="S336" i="20"/>
  <c r="S337" i="20"/>
  <c r="S338" i="20"/>
  <c r="S341" i="20"/>
  <c r="S342" i="20"/>
  <c r="S343" i="20"/>
  <c r="S344" i="20"/>
  <c r="S345" i="20"/>
  <c r="S348" i="20"/>
  <c r="S349" i="20"/>
  <c r="S350" i="20"/>
  <c r="S351" i="20"/>
  <c r="S352" i="20"/>
  <c r="S355" i="20"/>
  <c r="S356" i="20"/>
  <c r="S357" i="20"/>
  <c r="S358" i="20"/>
  <c r="S359" i="20"/>
  <c r="S362" i="20"/>
  <c r="S363" i="20"/>
  <c r="S364" i="20"/>
  <c r="S365" i="20"/>
  <c r="S366" i="20"/>
  <c r="S369" i="20"/>
  <c r="S370" i="20"/>
  <c r="S371" i="20"/>
  <c r="S372" i="20"/>
  <c r="S373" i="20"/>
  <c r="S376" i="20"/>
  <c r="S377" i="20"/>
  <c r="S378" i="20"/>
  <c r="S379" i="20"/>
  <c r="S380" i="20"/>
  <c r="S383" i="20"/>
  <c r="S384" i="20"/>
  <c r="S385" i="20"/>
  <c r="S386" i="20"/>
  <c r="S387" i="20"/>
  <c r="S390" i="20"/>
  <c r="S391" i="20"/>
  <c r="S392" i="20"/>
  <c r="S393" i="20"/>
  <c r="S394" i="20"/>
  <c r="S397" i="20"/>
  <c r="S398" i="20"/>
  <c r="S399" i="20"/>
  <c r="S400" i="20"/>
  <c r="S401" i="20"/>
  <c r="S404" i="20"/>
  <c r="S405" i="20"/>
  <c r="S406" i="20"/>
  <c r="S407" i="20"/>
  <c r="S408" i="20"/>
  <c r="S411" i="20"/>
  <c r="S412" i="20"/>
  <c r="S413" i="20"/>
  <c r="S414" i="20"/>
  <c r="S415" i="20"/>
  <c r="S418" i="20"/>
  <c r="S419" i="20"/>
  <c r="S420" i="20"/>
  <c r="S421" i="20"/>
  <c r="S422" i="20"/>
  <c r="S425" i="20"/>
  <c r="S426" i="20"/>
  <c r="S427" i="20"/>
  <c r="S428" i="20"/>
  <c r="S429" i="20"/>
  <c r="S432" i="20"/>
  <c r="S433" i="20"/>
  <c r="S434" i="20"/>
  <c r="S435" i="20"/>
  <c r="S436" i="20"/>
  <c r="S439" i="20"/>
  <c r="S440" i="20"/>
  <c r="S441" i="20"/>
  <c r="S442" i="20"/>
  <c r="S443" i="20"/>
  <c r="S446" i="20"/>
  <c r="S447" i="20"/>
  <c r="S448" i="20"/>
  <c r="S449" i="20"/>
  <c r="S450" i="20"/>
  <c r="S453" i="20"/>
  <c r="S454" i="20"/>
  <c r="S455" i="20"/>
  <c r="S456" i="20"/>
  <c r="S457" i="20"/>
  <c r="S460" i="20"/>
  <c r="S461" i="20"/>
  <c r="S462" i="20"/>
  <c r="S463" i="20"/>
  <c r="S464" i="20"/>
  <c r="S467" i="20"/>
  <c r="S468" i="20"/>
  <c r="S469" i="20"/>
  <c r="S470" i="20"/>
  <c r="S471" i="20"/>
  <c r="S474" i="20"/>
  <c r="S475" i="20"/>
  <c r="S476" i="20"/>
  <c r="S477" i="20"/>
  <c r="S478" i="20"/>
  <c r="S481" i="20"/>
  <c r="S482" i="20"/>
  <c r="S483" i="20"/>
  <c r="S484" i="20"/>
  <c r="S485" i="20"/>
  <c r="S488" i="20"/>
  <c r="S489" i="20"/>
  <c r="S490" i="20"/>
  <c r="S491" i="20"/>
  <c r="S492" i="20"/>
  <c r="S495" i="20"/>
  <c r="S496" i="20"/>
  <c r="S497" i="20"/>
  <c r="S498" i="20"/>
  <c r="S499" i="20"/>
  <c r="S502" i="20"/>
  <c r="S503" i="20"/>
  <c r="S504" i="20"/>
  <c r="S505" i="20"/>
  <c r="S506" i="20"/>
  <c r="S509" i="20"/>
  <c r="S510" i="20"/>
  <c r="S511" i="20"/>
  <c r="S512" i="20"/>
  <c r="S513" i="20"/>
  <c r="S516" i="20"/>
  <c r="S517" i="20"/>
  <c r="S518" i="20"/>
  <c r="S519" i="20"/>
  <c r="S520" i="20"/>
  <c r="S523" i="20"/>
  <c r="S524" i="20"/>
  <c r="S525" i="20"/>
  <c r="S526" i="20"/>
  <c r="S527" i="20"/>
  <c r="S530" i="20"/>
  <c r="S531" i="20"/>
  <c r="S532" i="20"/>
  <c r="S533" i="20"/>
  <c r="S534" i="20"/>
  <c r="S537" i="20"/>
  <c r="S538" i="20"/>
  <c r="S539" i="20"/>
  <c r="S540" i="20"/>
  <c r="S541" i="20"/>
  <c r="S544" i="20"/>
  <c r="S545" i="20"/>
  <c r="S546" i="20"/>
  <c r="S547" i="20"/>
  <c r="S548" i="20"/>
  <c r="S551" i="20"/>
  <c r="S552" i="20"/>
  <c r="S553" i="20"/>
  <c r="S554" i="20"/>
  <c r="S555" i="20"/>
  <c r="S558" i="20"/>
  <c r="S559" i="20"/>
  <c r="S560" i="20"/>
  <c r="S561" i="20"/>
  <c r="S562" i="20"/>
  <c r="S565" i="20"/>
  <c r="S566" i="20"/>
  <c r="S567" i="20"/>
  <c r="S568" i="20"/>
  <c r="S569" i="20"/>
  <c r="S572" i="20"/>
  <c r="S573" i="20"/>
  <c r="S574" i="20"/>
  <c r="S575" i="20"/>
  <c r="S576" i="20"/>
  <c r="S579" i="20"/>
  <c r="S580" i="20"/>
  <c r="S581" i="20"/>
  <c r="S582" i="20"/>
  <c r="S583" i="20"/>
  <c r="S586" i="20"/>
  <c r="S587" i="20"/>
  <c r="S588" i="20"/>
  <c r="S589" i="20"/>
  <c r="S590" i="20"/>
  <c r="S593" i="20"/>
  <c r="S594" i="20"/>
  <c r="S595" i="20"/>
  <c r="S596" i="20"/>
  <c r="S597" i="20"/>
  <c r="S600" i="20"/>
  <c r="S601" i="20"/>
  <c r="S602" i="20"/>
  <c r="S603" i="20"/>
  <c r="S604" i="20"/>
  <c r="S607" i="20"/>
  <c r="S608" i="20"/>
  <c r="S609" i="20"/>
  <c r="S610" i="20"/>
  <c r="S611" i="20"/>
  <c r="S614" i="20"/>
  <c r="S615" i="20"/>
  <c r="S616" i="20"/>
  <c r="S617" i="20"/>
  <c r="S618" i="20"/>
  <c r="S621" i="20"/>
  <c r="S622" i="20"/>
  <c r="S623" i="20"/>
  <c r="S624" i="20"/>
  <c r="S625" i="20"/>
  <c r="S628" i="20"/>
  <c r="S629" i="20"/>
  <c r="S630" i="20"/>
  <c r="S631" i="20"/>
  <c r="S632" i="20"/>
  <c r="S635" i="20"/>
  <c r="S636" i="20"/>
  <c r="S637" i="20"/>
  <c r="S638" i="20"/>
  <c r="S639" i="20"/>
  <c r="S642" i="20"/>
  <c r="S643" i="20"/>
  <c r="S644" i="20"/>
  <c r="S645" i="20"/>
  <c r="S646" i="20"/>
  <c r="S649" i="20"/>
  <c r="S650" i="20"/>
  <c r="S651" i="20"/>
  <c r="S652" i="20"/>
  <c r="S653" i="20"/>
  <c r="S656" i="20"/>
  <c r="S657" i="20"/>
  <c r="S658" i="20"/>
  <c r="S659" i="20"/>
  <c r="S660" i="20"/>
  <c r="S663" i="20"/>
  <c r="S664" i="20"/>
  <c r="S665" i="20"/>
  <c r="S666" i="20"/>
  <c r="S667" i="20"/>
  <c r="S670" i="20"/>
  <c r="S671" i="20"/>
  <c r="S672" i="20"/>
  <c r="S673" i="20"/>
  <c r="S674" i="20"/>
  <c r="S677" i="20"/>
  <c r="S678" i="20"/>
  <c r="S679" i="20"/>
  <c r="S680" i="20"/>
  <c r="S681" i="20"/>
  <c r="S684" i="20"/>
  <c r="S685" i="20"/>
  <c r="S686" i="20"/>
  <c r="S687" i="20"/>
  <c r="S688" i="20"/>
  <c r="S691" i="20"/>
  <c r="S692" i="20"/>
  <c r="S693" i="20"/>
  <c r="S694" i="20"/>
  <c r="S695" i="20"/>
  <c r="S698" i="20"/>
  <c r="S699" i="20"/>
  <c r="S700" i="20"/>
  <c r="S701" i="20"/>
  <c r="S702" i="20"/>
  <c r="S705" i="20"/>
  <c r="S706" i="20"/>
  <c r="S707" i="20"/>
  <c r="S708" i="20"/>
  <c r="S709" i="20"/>
  <c r="S712" i="20"/>
  <c r="S713" i="20"/>
  <c r="S714" i="20"/>
  <c r="S715" i="20"/>
  <c r="S716" i="20"/>
  <c r="S719" i="20"/>
  <c r="S720" i="20"/>
  <c r="S721" i="20"/>
  <c r="S722" i="20"/>
  <c r="S723" i="20"/>
  <c r="S726" i="20"/>
  <c r="S727" i="20"/>
  <c r="S728" i="20"/>
  <c r="S729" i="20"/>
  <c r="S730" i="20"/>
  <c r="S733" i="20"/>
  <c r="S734" i="20"/>
  <c r="S735" i="20"/>
  <c r="S736" i="20"/>
  <c r="S737" i="20"/>
  <c r="S740" i="20"/>
  <c r="S741" i="20"/>
  <c r="S742" i="20"/>
  <c r="S743" i="20"/>
  <c r="S744" i="20"/>
  <c r="S747" i="20"/>
  <c r="S748" i="20"/>
  <c r="S749" i="20"/>
  <c r="S750" i="20"/>
  <c r="S751" i="20"/>
  <c r="S754" i="20"/>
  <c r="S755" i="20"/>
  <c r="S756" i="20"/>
  <c r="S757" i="20"/>
  <c r="S758" i="20"/>
  <c r="S761" i="20"/>
  <c r="S762" i="20"/>
  <c r="S763" i="20"/>
  <c r="S764" i="20"/>
  <c r="S765" i="20"/>
  <c r="S768" i="20"/>
  <c r="S769" i="20"/>
  <c r="S770" i="20"/>
  <c r="S771" i="20"/>
  <c r="S772" i="20"/>
  <c r="S775" i="20"/>
  <c r="S776" i="20"/>
  <c r="S777" i="20"/>
  <c r="S778" i="20"/>
  <c r="S779" i="20"/>
  <c r="S782" i="20"/>
  <c r="S783" i="20"/>
  <c r="S784" i="20"/>
  <c r="S785" i="20"/>
  <c r="S786" i="20"/>
  <c r="S789" i="20"/>
  <c r="S790" i="20"/>
  <c r="S791" i="20"/>
  <c r="S792" i="20"/>
  <c r="S793" i="20"/>
  <c r="S796" i="20"/>
  <c r="S797" i="20"/>
  <c r="S798" i="20"/>
  <c r="S799" i="20"/>
  <c r="S800" i="20"/>
  <c r="S803" i="20"/>
  <c r="S804" i="20"/>
  <c r="S805" i="20"/>
  <c r="S806" i="20"/>
  <c r="S807" i="20"/>
  <c r="S810" i="20"/>
  <c r="S811" i="20"/>
  <c r="S812" i="20"/>
  <c r="S813" i="20"/>
  <c r="S814" i="20"/>
  <c r="S817" i="20"/>
  <c r="S818" i="20"/>
  <c r="S819" i="20"/>
  <c r="S820" i="20"/>
  <c r="S821" i="20"/>
  <c r="S824" i="20"/>
  <c r="S825" i="20"/>
  <c r="S826" i="20"/>
  <c r="S827" i="20"/>
  <c r="S828" i="20"/>
  <c r="S831" i="20"/>
  <c r="S832" i="20"/>
  <c r="S833" i="20"/>
  <c r="S834" i="20"/>
  <c r="S835" i="20"/>
  <c r="S838" i="20"/>
  <c r="S839" i="20"/>
  <c r="S840" i="20"/>
  <c r="S841" i="20"/>
  <c r="S842" i="20"/>
  <c r="S845" i="20"/>
  <c r="S846" i="20"/>
  <c r="S847" i="20"/>
  <c r="S848" i="20"/>
  <c r="S849" i="20"/>
  <c r="S852" i="20"/>
  <c r="S853" i="20"/>
  <c r="S854" i="20"/>
  <c r="S855" i="20"/>
  <c r="S856" i="20"/>
  <c r="S859" i="20"/>
  <c r="S860" i="20"/>
  <c r="S861" i="20"/>
  <c r="S862" i="20"/>
  <c r="S863" i="20"/>
  <c r="S866" i="20"/>
  <c r="S867" i="20"/>
  <c r="S868" i="20"/>
  <c r="S869" i="20"/>
  <c r="S870" i="20"/>
  <c r="S873" i="20"/>
  <c r="S874" i="20"/>
  <c r="S875" i="20"/>
  <c r="S876" i="20"/>
  <c r="S877" i="20"/>
  <c r="S880" i="20"/>
  <c r="S881" i="20"/>
  <c r="S882" i="20"/>
  <c r="S883" i="20"/>
  <c r="S884" i="20"/>
  <c r="S887" i="20"/>
  <c r="S888" i="20"/>
  <c r="S889" i="20"/>
  <c r="S890" i="20"/>
  <c r="S891" i="20"/>
  <c r="S894" i="20"/>
  <c r="S895" i="20"/>
  <c r="S896" i="20"/>
  <c r="S897" i="20"/>
  <c r="S898" i="20"/>
  <c r="S901" i="20"/>
  <c r="S902" i="20"/>
  <c r="S903" i="20"/>
  <c r="S904" i="20"/>
  <c r="S905" i="20"/>
  <c r="S908" i="20"/>
  <c r="S909" i="20"/>
  <c r="S910" i="20"/>
  <c r="S911" i="20"/>
  <c r="S912" i="20"/>
  <c r="S915" i="20"/>
  <c r="S916" i="20"/>
  <c r="S917" i="20"/>
  <c r="S918" i="20"/>
  <c r="S919" i="20"/>
  <c r="S922" i="20"/>
  <c r="S923" i="20"/>
  <c r="S924" i="20"/>
  <c r="S925" i="20"/>
  <c r="S926" i="20"/>
  <c r="S929" i="20"/>
  <c r="S930" i="20"/>
  <c r="S931" i="20"/>
  <c r="S932" i="20"/>
  <c r="S933" i="20"/>
  <c r="S936" i="20"/>
  <c r="S937" i="20"/>
  <c r="S938" i="20"/>
  <c r="S939" i="20"/>
  <c r="S940" i="20"/>
  <c r="S943" i="20"/>
  <c r="S944" i="20"/>
  <c r="S945" i="20"/>
  <c r="S946" i="20"/>
  <c r="S947" i="20"/>
  <c r="S950" i="20"/>
  <c r="S951" i="20"/>
  <c r="S952" i="20"/>
  <c r="S953" i="20"/>
  <c r="S954" i="20"/>
  <c r="S957" i="20"/>
  <c r="S958" i="20"/>
  <c r="S959" i="20"/>
  <c r="S960" i="20"/>
  <c r="S961" i="20"/>
  <c r="S964" i="20"/>
  <c r="S965" i="20"/>
  <c r="S966" i="20"/>
  <c r="S967" i="20"/>
  <c r="S968" i="20"/>
  <c r="S971" i="20"/>
  <c r="S972" i="20"/>
  <c r="S973" i="20"/>
  <c r="S974" i="20"/>
  <c r="S975" i="20"/>
  <c r="S978" i="20"/>
  <c r="S979" i="20"/>
  <c r="S980" i="20"/>
  <c r="S981" i="20"/>
  <c r="S982" i="20"/>
  <c r="S985" i="20"/>
  <c r="S986" i="20"/>
  <c r="S987" i="20"/>
  <c r="S988" i="20"/>
  <c r="S989" i="20"/>
  <c r="S992" i="20"/>
  <c r="S993" i="20"/>
  <c r="S994" i="20"/>
  <c r="S995" i="20"/>
  <c r="S996" i="20"/>
  <c r="S999" i="20"/>
  <c r="S1000" i="20"/>
  <c r="S1001" i="20"/>
  <c r="S1002" i="20"/>
  <c r="S1003" i="20"/>
  <c r="S1006" i="20"/>
  <c r="S1007" i="20"/>
  <c r="S1008" i="20"/>
  <c r="S1009" i="20"/>
  <c r="S1010" i="20"/>
  <c r="S1013" i="20"/>
  <c r="S1014" i="20"/>
  <c r="S1015" i="20"/>
  <c r="S1016" i="20"/>
  <c r="S1017" i="20"/>
  <c r="S1020" i="20"/>
  <c r="S1021" i="20"/>
  <c r="S1022" i="20"/>
  <c r="S1023" i="20"/>
  <c r="S1024" i="20"/>
  <c r="S1027" i="20"/>
  <c r="S1028" i="20"/>
  <c r="S1029" i="20"/>
  <c r="S1030" i="20"/>
  <c r="S1031" i="20"/>
  <c r="S1034" i="20"/>
  <c r="S1035" i="20"/>
  <c r="S1036" i="20"/>
  <c r="S1037" i="20"/>
  <c r="S1038" i="20"/>
  <c r="S1041" i="20"/>
  <c r="S1042" i="20"/>
  <c r="S1043" i="20"/>
  <c r="S1044" i="20"/>
  <c r="S1045" i="20"/>
  <c r="S1048" i="20"/>
  <c r="S1049" i="20"/>
  <c r="S1050" i="20"/>
  <c r="S1051" i="20"/>
  <c r="S1052" i="20"/>
  <c r="S1055" i="20"/>
  <c r="S1056" i="20"/>
  <c r="S1057" i="20"/>
  <c r="S1058" i="20"/>
  <c r="S1059" i="20"/>
  <c r="S1062" i="20"/>
  <c r="S1063" i="20"/>
  <c r="S1064" i="20"/>
  <c r="S1065" i="20"/>
  <c r="S1066" i="20"/>
  <c r="S1069" i="20"/>
  <c r="S1070" i="20"/>
  <c r="S1071" i="20"/>
  <c r="S1072" i="20"/>
  <c r="S1073" i="20"/>
  <c r="S1076" i="20"/>
  <c r="S1077" i="20"/>
  <c r="S1078" i="20"/>
  <c r="S1079" i="20"/>
  <c r="S1080" i="20"/>
  <c r="S1083" i="20"/>
  <c r="S1084" i="20"/>
  <c r="S1085" i="20"/>
  <c r="S1086" i="20"/>
  <c r="S1087" i="20"/>
  <c r="S1090" i="20"/>
  <c r="S1091" i="20"/>
  <c r="S1092" i="20"/>
  <c r="S1093" i="20"/>
  <c r="S1094" i="20"/>
  <c r="S1097" i="20"/>
  <c r="S1098" i="20"/>
  <c r="S1099" i="20"/>
  <c r="S1100" i="20"/>
  <c r="S1101" i="20"/>
  <c r="S1104" i="20"/>
  <c r="S1105" i="20"/>
  <c r="S1106" i="20"/>
  <c r="S1107" i="20"/>
  <c r="S1108" i="20"/>
  <c r="S1111" i="20"/>
  <c r="S1112" i="20"/>
  <c r="S1113" i="20"/>
  <c r="S1114" i="20"/>
  <c r="S1115" i="20"/>
  <c r="S1118" i="20"/>
  <c r="S1119" i="20"/>
  <c r="S1121" i="20"/>
  <c r="S1122" i="20"/>
  <c r="S1125" i="20"/>
  <c r="S1126" i="20"/>
  <c r="S1127" i="20"/>
  <c r="S1128" i="20"/>
  <c r="S1129" i="20"/>
  <c r="S1132" i="20"/>
  <c r="S1133" i="20"/>
  <c r="S1134" i="20"/>
  <c r="S1135" i="20"/>
  <c r="S1136" i="20"/>
  <c r="S1139" i="20"/>
  <c r="S1140" i="20"/>
  <c r="S1141" i="20"/>
  <c r="S1142" i="20"/>
  <c r="S1143" i="20"/>
  <c r="S1146" i="20"/>
  <c r="S1147" i="20"/>
  <c r="S1148" i="20"/>
  <c r="S1149" i="20"/>
  <c r="S1150" i="20"/>
  <c r="S1153" i="20"/>
  <c r="S1154" i="20"/>
  <c r="S1155" i="20"/>
  <c r="S1156" i="20"/>
  <c r="S1157" i="20"/>
  <c r="S1160" i="20"/>
  <c r="S1161" i="20"/>
  <c r="S1162" i="20"/>
  <c r="S1163" i="20"/>
  <c r="S1164" i="20"/>
  <c r="S1167" i="20"/>
  <c r="S1168" i="20"/>
  <c r="S1169" i="20"/>
  <c r="S1170" i="20"/>
  <c r="S1171" i="20"/>
  <c r="S1174" i="20"/>
  <c r="S1175" i="20"/>
  <c r="S1176" i="20"/>
  <c r="S1177" i="20"/>
  <c r="S1178" i="20"/>
  <c r="S1181" i="20"/>
  <c r="S1182" i="20"/>
  <c r="S1183" i="20"/>
  <c r="S1184" i="20"/>
  <c r="S1185" i="20"/>
  <c r="S1188" i="20"/>
  <c r="S1189" i="20"/>
  <c r="S1190" i="20"/>
  <c r="S1191" i="20"/>
  <c r="S1192" i="20"/>
  <c r="S1195" i="20"/>
  <c r="S1196" i="20"/>
  <c r="S1197" i="20"/>
  <c r="S1198" i="20"/>
  <c r="S1199" i="20"/>
  <c r="S1202" i="20"/>
  <c r="S1203" i="20"/>
  <c r="S1204" i="20"/>
  <c r="S1205" i="20"/>
  <c r="S1206" i="20"/>
  <c r="S1209" i="20"/>
  <c r="S1210" i="20"/>
  <c r="S1211" i="20"/>
  <c r="S1212" i="20"/>
  <c r="S1213" i="20"/>
  <c r="S1216" i="20"/>
  <c r="S1217" i="20"/>
  <c r="S1218" i="20"/>
  <c r="S1219" i="20"/>
  <c r="S1220" i="20"/>
  <c r="S1223" i="20"/>
  <c r="S1224" i="20"/>
  <c r="S1225" i="20"/>
  <c r="S1226" i="20"/>
  <c r="S1227" i="20"/>
  <c r="S1230" i="20"/>
  <c r="S1231" i="20"/>
  <c r="S1232" i="20"/>
  <c r="S1233" i="20"/>
  <c r="S1234" i="20"/>
  <c r="S1237" i="20"/>
  <c r="S1238" i="20"/>
  <c r="S1239" i="20"/>
  <c r="S1240" i="20"/>
  <c r="S1241" i="20"/>
  <c r="S1244" i="20"/>
  <c r="S1245" i="20"/>
  <c r="S1246" i="20"/>
  <c r="S1247" i="20"/>
  <c r="S1248" i="20"/>
  <c r="S1251" i="20"/>
  <c r="S1252" i="20"/>
  <c r="S1253" i="20"/>
  <c r="S1254" i="20"/>
  <c r="S1255" i="20"/>
  <c r="S1258" i="20"/>
  <c r="S1259" i="20"/>
  <c r="S1260" i="20"/>
  <c r="S1261" i="20"/>
  <c r="S1262" i="20"/>
  <c r="S1265" i="20"/>
  <c r="S1266" i="20"/>
  <c r="S1267" i="20"/>
  <c r="S1268" i="20"/>
  <c r="S1269" i="20"/>
  <c r="S1272" i="20"/>
  <c r="S1273" i="20"/>
  <c r="S1274" i="20"/>
  <c r="S1275" i="20"/>
  <c r="S1276" i="20"/>
  <c r="S1279" i="20"/>
  <c r="S1280" i="20"/>
  <c r="S1281" i="20"/>
  <c r="S1282" i="20"/>
  <c r="S1283" i="20"/>
  <c r="S1286" i="20"/>
  <c r="S1287" i="20"/>
  <c r="S1288" i="20"/>
  <c r="S1289" i="20"/>
  <c r="S1290" i="20"/>
  <c r="S1293" i="20"/>
  <c r="S1294" i="20"/>
  <c r="S1295" i="20"/>
  <c r="S1296" i="20"/>
  <c r="S1297" i="20"/>
  <c r="S1300" i="20"/>
  <c r="S1301" i="20"/>
  <c r="S1302" i="20"/>
  <c r="S1303" i="20"/>
  <c r="S1304" i="20"/>
  <c r="S1307" i="20"/>
  <c r="S1308" i="20"/>
  <c r="S1309" i="20"/>
  <c r="S1310" i="20"/>
  <c r="S1311" i="20"/>
  <c r="S1314" i="20"/>
  <c r="S1315" i="20"/>
  <c r="S1316" i="20"/>
  <c r="S1317" i="20"/>
  <c r="S1318" i="20"/>
  <c r="S1321" i="20"/>
  <c r="S1322" i="20"/>
  <c r="S1323" i="20"/>
  <c r="S1324" i="20"/>
  <c r="S1325" i="20"/>
  <c r="S1328" i="20"/>
  <c r="S1329" i="20"/>
  <c r="S1330" i="20"/>
  <c r="S1331" i="20"/>
  <c r="S1332" i="20"/>
  <c r="S1335" i="20"/>
  <c r="S1336" i="20"/>
  <c r="S1337" i="20"/>
  <c r="S1338" i="20"/>
  <c r="S1339" i="20"/>
  <c r="S1342" i="20"/>
  <c r="S1343" i="20"/>
  <c r="S1344" i="20"/>
  <c r="S1345" i="20"/>
  <c r="S1346" i="20"/>
  <c r="S1349" i="20"/>
  <c r="S1350" i="20"/>
  <c r="S1351" i="20"/>
  <c r="S1352" i="20"/>
  <c r="S1353" i="20"/>
  <c r="S1356" i="20"/>
  <c r="S1357" i="20"/>
  <c r="S1358" i="20"/>
  <c r="S1359" i="20"/>
  <c r="S1360" i="20"/>
  <c r="S1363" i="20"/>
  <c r="S1364" i="20"/>
  <c r="S1365" i="20"/>
  <c r="S1366" i="20"/>
  <c r="S1367" i="20"/>
  <c r="S1370" i="20"/>
  <c r="S1371" i="20"/>
  <c r="S1372" i="20"/>
  <c r="S1373" i="20"/>
  <c r="S1374" i="20"/>
  <c r="S1377" i="20"/>
  <c r="S1378" i="20"/>
  <c r="S1379" i="20"/>
  <c r="S1380" i="20"/>
  <c r="S1381" i="20"/>
  <c r="S1384" i="20"/>
  <c r="S1385" i="20"/>
  <c r="S1386" i="20"/>
  <c r="S1387" i="20"/>
  <c r="S1388" i="20"/>
  <c r="S1391" i="20"/>
  <c r="S1392" i="20"/>
  <c r="S1393" i="20"/>
  <c r="S1394" i="20"/>
  <c r="S1395" i="20"/>
  <c r="S1398" i="20"/>
  <c r="S1399" i="20"/>
  <c r="S1583" i="20"/>
  <c r="R1380" i="20"/>
  <c r="R1379" i="20"/>
  <c r="R1378" i="20"/>
  <c r="R1377" i="20"/>
  <c r="R1374" i="20"/>
  <c r="R1373" i="20"/>
  <c r="R1372" i="20"/>
  <c r="R1371" i="20"/>
  <c r="R1370" i="20"/>
  <c r="R1369" i="20" s="1"/>
  <c r="R1367" i="20"/>
  <c r="R1366" i="20"/>
  <c r="R1365" i="20"/>
  <c r="R1364" i="20"/>
  <c r="R1363" i="20"/>
  <c r="R1362" i="20" s="1"/>
  <c r="R1360" i="20"/>
  <c r="R1359" i="20"/>
  <c r="R1358" i="20"/>
  <c r="R1357" i="20"/>
  <c r="R1356" i="20"/>
  <c r="R1355" i="20" s="1"/>
  <c r="R1353" i="20"/>
  <c r="R1352" i="20"/>
  <c r="R1351" i="20"/>
  <c r="R1350" i="20"/>
  <c r="R1349" i="20"/>
  <c r="R1348" i="20" s="1"/>
  <c r="R1346" i="20"/>
  <c r="R1345" i="20"/>
  <c r="R1344" i="20"/>
  <c r="R1343" i="20"/>
  <c r="R1342" i="20"/>
  <c r="R1341" i="20" s="1"/>
  <c r="R1339" i="20"/>
  <c r="R1338" i="20"/>
  <c r="R1337" i="20"/>
  <c r="R1336" i="20"/>
  <c r="R1335" i="20"/>
  <c r="R1334" i="20" s="1"/>
  <c r="R1332" i="20"/>
  <c r="R1331" i="20"/>
  <c r="R1330" i="20"/>
  <c r="R1329" i="20"/>
  <c r="R1328" i="20"/>
  <c r="R1327" i="20" s="1"/>
  <c r="R1325" i="20"/>
  <c r="R1324" i="20"/>
  <c r="R1323" i="20"/>
  <c r="R1322" i="20"/>
  <c r="R1321" i="20"/>
  <c r="R1320" i="20" s="1"/>
  <c r="R1318" i="20"/>
  <c r="R1317" i="20"/>
  <c r="R1316" i="20"/>
  <c r="R1315" i="20"/>
  <c r="R1314" i="20"/>
  <c r="R1313" i="20" s="1"/>
  <c r="R1311" i="20"/>
  <c r="R1310" i="20"/>
  <c r="R1309" i="20"/>
  <c r="R1308" i="20"/>
  <c r="R1307" i="20"/>
  <c r="R1306" i="20" s="1"/>
  <c r="R1304" i="20"/>
  <c r="R1303" i="20"/>
  <c r="R1302" i="20"/>
  <c r="R1301" i="20"/>
  <c r="R1300" i="20"/>
  <c r="R1299" i="20" s="1"/>
  <c r="R1297" i="20"/>
  <c r="R1296" i="20"/>
  <c r="R1295" i="20"/>
  <c r="R1294" i="20"/>
  <c r="R1293" i="20"/>
  <c r="R1292" i="20" s="1"/>
  <c r="R1290" i="20"/>
  <c r="R1289" i="20"/>
  <c r="R1288" i="20"/>
  <c r="R1287" i="20"/>
  <c r="R1286" i="20"/>
  <c r="R1285" i="20" s="1"/>
  <c r="R1283" i="20"/>
  <c r="R1282" i="20"/>
  <c r="R1281" i="20"/>
  <c r="R1280" i="20"/>
  <c r="R1279" i="20"/>
  <c r="R1278" i="20" s="1"/>
  <c r="R1276" i="20"/>
  <c r="R1275" i="20"/>
  <c r="R1274" i="20"/>
  <c r="R1273" i="20"/>
  <c r="R1272" i="20"/>
  <c r="R1271" i="20" s="1"/>
  <c r="R1269" i="20"/>
  <c r="R1268" i="20"/>
  <c r="R1267" i="20"/>
  <c r="R1266" i="20"/>
  <c r="R1265" i="20"/>
  <c r="R1264" i="20" s="1"/>
  <c r="R1262" i="20"/>
  <c r="R1261" i="20"/>
  <c r="R1260" i="20"/>
  <c r="R1259" i="20"/>
  <c r="R1258" i="20"/>
  <c r="R1257" i="20" s="1"/>
  <c r="R1255" i="20"/>
  <c r="R1254" i="20"/>
  <c r="R1253" i="20"/>
  <c r="R1252" i="20"/>
  <c r="R1251" i="20"/>
  <c r="R1250" i="20" s="1"/>
  <c r="R1248" i="20"/>
  <c r="R1247" i="20"/>
  <c r="R1246" i="20"/>
  <c r="R1245" i="20"/>
  <c r="R1244" i="20"/>
  <c r="R1243" i="20" s="1"/>
  <c r="R1241" i="20"/>
  <c r="R1240" i="20"/>
  <c r="R1239" i="20"/>
  <c r="R1238" i="20"/>
  <c r="R1237" i="20"/>
  <c r="R1236" i="20" s="1"/>
  <c r="R1234" i="20"/>
  <c r="R1233" i="20"/>
  <c r="R1232" i="20"/>
  <c r="R1231" i="20"/>
  <c r="R1230" i="20"/>
  <c r="R1229" i="20" s="1"/>
  <c r="R1227" i="20"/>
  <c r="R1226" i="20"/>
  <c r="R1225" i="20"/>
  <c r="R1224" i="20"/>
  <c r="R1223" i="20"/>
  <c r="R1222" i="20" s="1"/>
  <c r="R1220" i="20"/>
  <c r="R1219" i="20"/>
  <c r="R1218" i="20"/>
  <c r="R1217" i="20"/>
  <c r="R1216" i="20"/>
  <c r="R1215" i="20" s="1"/>
  <c r="R1213" i="20"/>
  <c r="R1212" i="20"/>
  <c r="R1458" i="20"/>
  <c r="R1453" i="20" s="1"/>
  <c r="R1210" i="20"/>
  <c r="R1209" i="20"/>
  <c r="R1206" i="20"/>
  <c r="R1205" i="20"/>
  <c r="R1204" i="20"/>
  <c r="R1203" i="20"/>
  <c r="R1202" i="20"/>
  <c r="R1201" i="20" s="1"/>
  <c r="R1199" i="20"/>
  <c r="R1198" i="20"/>
  <c r="R1197" i="20"/>
  <c r="R1196" i="20"/>
  <c r="R1195" i="20"/>
  <c r="R1194" i="20" s="1"/>
  <c r="R1192" i="20"/>
  <c r="R1191" i="20"/>
  <c r="R1190" i="20"/>
  <c r="R1189" i="20"/>
  <c r="R1188" i="20"/>
  <c r="R1187" i="20" s="1"/>
  <c r="R1185" i="20"/>
  <c r="R1184" i="20"/>
  <c r="R1183" i="20"/>
  <c r="R1182" i="20"/>
  <c r="R1181" i="20"/>
  <c r="R1180" i="20" s="1"/>
  <c r="R1178" i="20"/>
  <c r="R1177" i="20"/>
  <c r="R1176" i="20"/>
  <c r="R1175" i="20"/>
  <c r="R1174" i="20"/>
  <c r="R1173" i="20" s="1"/>
  <c r="R1171" i="20"/>
  <c r="R1170" i="20"/>
  <c r="R1169" i="20"/>
  <c r="R1168" i="20"/>
  <c r="R1167" i="20"/>
  <c r="R1166" i="20" s="1"/>
  <c r="R1164" i="20"/>
  <c r="R1163" i="20"/>
  <c r="R1162" i="20"/>
  <c r="R1161" i="20"/>
  <c r="R1160" i="20"/>
  <c r="R1159" i="20" s="1"/>
  <c r="R1157" i="20"/>
  <c r="R1156" i="20"/>
  <c r="R1155" i="20"/>
  <c r="R1154" i="20"/>
  <c r="R1153" i="20"/>
  <c r="R1152" i="20" s="1"/>
  <c r="R1150" i="20"/>
  <c r="R1149" i="20"/>
  <c r="R1148" i="20"/>
  <c r="R1147" i="20"/>
  <c r="R1146" i="20"/>
  <c r="R1145" i="20" s="1"/>
  <c r="R1143" i="20"/>
  <c r="R1142" i="20"/>
  <c r="R1141" i="20"/>
  <c r="R1140" i="20"/>
  <c r="R1139" i="20"/>
  <c r="R1138" i="20" s="1"/>
  <c r="R1136" i="20"/>
  <c r="R1135" i="20"/>
  <c r="R1134" i="20"/>
  <c r="R1133" i="20"/>
  <c r="R1132" i="20"/>
  <c r="R1131" i="20" s="1"/>
  <c r="R1129" i="20"/>
  <c r="R1128" i="20"/>
  <c r="R1127" i="20"/>
  <c r="R1126" i="20"/>
  <c r="R1125" i="20"/>
  <c r="R1124" i="20" s="1"/>
  <c r="R1122" i="20"/>
  <c r="R1121" i="20"/>
  <c r="R1120" i="20"/>
  <c r="R1119" i="20"/>
  <c r="R1118" i="20"/>
  <c r="R1117" i="20" s="1"/>
  <c r="R1115" i="20"/>
  <c r="R1114" i="20"/>
  <c r="R1113" i="20"/>
  <c r="R1112" i="20"/>
  <c r="R1111" i="20"/>
  <c r="R1110" i="20" s="1"/>
  <c r="R1108" i="20"/>
  <c r="R1107" i="20"/>
  <c r="R1106" i="20"/>
  <c r="R1105" i="20"/>
  <c r="R1104" i="20"/>
  <c r="R1103" i="20" s="1"/>
  <c r="R1101" i="20"/>
  <c r="R1100" i="20"/>
  <c r="R1099" i="20"/>
  <c r="R1098" i="20"/>
  <c r="R1097" i="20"/>
  <c r="R1096" i="20" s="1"/>
  <c r="R1094" i="20"/>
  <c r="R1093" i="20"/>
  <c r="R1092" i="20"/>
  <c r="R1091" i="20"/>
  <c r="R1090" i="20"/>
  <c r="R1089" i="20" s="1"/>
  <c r="R1087" i="20"/>
  <c r="R1086" i="20"/>
  <c r="R1085" i="20"/>
  <c r="R1084" i="20"/>
  <c r="R1083" i="20"/>
  <c r="R1082" i="20" s="1"/>
  <c r="R1080" i="20"/>
  <c r="R1079" i="20"/>
  <c r="R1078" i="20"/>
  <c r="R1077" i="20"/>
  <c r="R1076" i="20"/>
  <c r="R1075" i="20" s="1"/>
  <c r="R1073" i="20"/>
  <c r="R1072" i="20"/>
  <c r="R1071" i="20"/>
  <c r="R1070" i="20"/>
  <c r="R1069" i="20"/>
  <c r="R1068" i="20" s="1"/>
  <c r="R1066" i="20"/>
  <c r="R1065" i="20"/>
  <c r="R1064" i="20"/>
  <c r="R1063" i="20"/>
  <c r="R1062" i="20"/>
  <c r="R1061" i="20" s="1"/>
  <c r="R1059" i="20"/>
  <c r="R1058" i="20"/>
  <c r="R1057" i="20"/>
  <c r="R1056" i="20"/>
  <c r="R1055" i="20"/>
  <c r="R1054" i="20" s="1"/>
  <c r="R1052" i="20"/>
  <c r="R1051" i="20"/>
  <c r="R1050" i="20"/>
  <c r="R1049" i="20"/>
  <c r="R1048" i="20"/>
  <c r="R1047" i="20" s="1"/>
  <c r="R1045" i="20"/>
  <c r="R1044" i="20"/>
  <c r="R1043" i="20"/>
  <c r="R1042" i="20"/>
  <c r="R1041" i="20"/>
  <c r="R1040" i="20" s="1"/>
  <c r="R1038" i="20"/>
  <c r="R1037" i="20"/>
  <c r="R1036" i="20"/>
  <c r="R1035" i="20"/>
  <c r="R1034" i="20"/>
  <c r="R1033" i="20" s="1"/>
  <c r="R1031" i="20"/>
  <c r="R1030" i="20"/>
  <c r="R1029" i="20"/>
  <c r="R1028" i="20"/>
  <c r="R1027" i="20"/>
  <c r="R1026" i="20" s="1"/>
  <c r="R1024" i="20"/>
  <c r="R1023" i="20"/>
  <c r="R1022" i="20"/>
  <c r="R1021" i="20"/>
  <c r="R1020" i="20"/>
  <c r="R1019" i="20" s="1"/>
  <c r="R1017" i="20"/>
  <c r="R1016" i="20"/>
  <c r="R1015" i="20"/>
  <c r="R1014" i="20"/>
  <c r="R1013" i="20"/>
  <c r="R1012" i="20" s="1"/>
  <c r="R1010" i="20"/>
  <c r="R1009" i="20"/>
  <c r="R1008" i="20"/>
  <c r="R1007" i="20"/>
  <c r="R1006" i="20"/>
  <c r="R1005" i="20" s="1"/>
  <c r="R1003" i="20"/>
  <c r="R1002" i="20"/>
  <c r="R1001" i="20"/>
  <c r="R1000" i="20"/>
  <c r="R999" i="20"/>
  <c r="R998" i="20" s="1"/>
  <c r="R996" i="20"/>
  <c r="R995" i="20"/>
  <c r="R994" i="20"/>
  <c r="R993" i="20"/>
  <c r="R992" i="20"/>
  <c r="R991" i="20" s="1"/>
  <c r="R989" i="20"/>
  <c r="R988" i="20"/>
  <c r="R987" i="20"/>
  <c r="R986" i="20"/>
  <c r="R985" i="20"/>
  <c r="R984" i="20" s="1"/>
  <c r="R982" i="20"/>
  <c r="R981" i="20"/>
  <c r="R980" i="20"/>
  <c r="R979" i="20"/>
  <c r="R978" i="20"/>
  <c r="R977" i="20" s="1"/>
  <c r="R975" i="20"/>
  <c r="R974" i="20"/>
  <c r="R973" i="20"/>
  <c r="R972" i="20"/>
  <c r="R971" i="20"/>
  <c r="R970" i="20" s="1"/>
  <c r="R968" i="20"/>
  <c r="R967" i="20"/>
  <c r="R966" i="20"/>
  <c r="R965" i="20"/>
  <c r="R964" i="20"/>
  <c r="R963" i="20" s="1"/>
  <c r="R961" i="20"/>
  <c r="R960" i="20"/>
  <c r="R959" i="20"/>
  <c r="R958" i="20"/>
  <c r="R957" i="20"/>
  <c r="R956" i="20" s="1"/>
  <c r="R954" i="20"/>
  <c r="R953" i="20"/>
  <c r="R952" i="20"/>
  <c r="R951" i="20"/>
  <c r="R950" i="20"/>
  <c r="R949" i="20" s="1"/>
  <c r="R947" i="20"/>
  <c r="R946" i="20"/>
  <c r="R945" i="20"/>
  <c r="R944" i="20"/>
  <c r="R943" i="20"/>
  <c r="R942" i="20" s="1"/>
  <c r="R940" i="20"/>
  <c r="R939" i="20"/>
  <c r="R938" i="20"/>
  <c r="R937" i="20"/>
  <c r="R936" i="20"/>
  <c r="R935" i="20" s="1"/>
  <c r="R933" i="20"/>
  <c r="R932" i="20"/>
  <c r="R931" i="20"/>
  <c r="R930" i="20"/>
  <c r="R929" i="20"/>
  <c r="R928" i="20" s="1"/>
  <c r="R926" i="20"/>
  <c r="R925" i="20"/>
  <c r="R924" i="20"/>
  <c r="R923" i="20"/>
  <c r="R922" i="20"/>
  <c r="R921" i="20" s="1"/>
  <c r="R919" i="20"/>
  <c r="R918" i="20"/>
  <c r="R917" i="20"/>
  <c r="R916" i="20"/>
  <c r="R915" i="20"/>
  <c r="R914" i="20" s="1"/>
  <c r="R912" i="20"/>
  <c r="R911" i="20"/>
  <c r="R910" i="20"/>
  <c r="R909" i="20"/>
  <c r="R908" i="20"/>
  <c r="R907" i="20" s="1"/>
  <c r="R905" i="20"/>
  <c r="R904" i="20"/>
  <c r="R903" i="20"/>
  <c r="R902" i="20"/>
  <c r="R901" i="20"/>
  <c r="R900" i="20" s="1"/>
  <c r="R898" i="20"/>
  <c r="R897" i="20"/>
  <c r="R896" i="20"/>
  <c r="R895" i="20"/>
  <c r="R894" i="20"/>
  <c r="R893" i="20" s="1"/>
  <c r="R891" i="20"/>
  <c r="R890" i="20"/>
  <c r="R889" i="20"/>
  <c r="R888" i="20"/>
  <c r="R887" i="20"/>
  <c r="R886" i="20" s="1"/>
  <c r="R884" i="20"/>
  <c r="R883" i="20"/>
  <c r="R882" i="20"/>
  <c r="R881" i="20"/>
  <c r="R880" i="20"/>
  <c r="R879" i="20" s="1"/>
  <c r="R877" i="20"/>
  <c r="R876" i="20"/>
  <c r="R875" i="20"/>
  <c r="R874" i="20"/>
  <c r="R873" i="20"/>
  <c r="R872" i="20" s="1"/>
  <c r="R870" i="20"/>
  <c r="R869" i="20"/>
  <c r="R868" i="20"/>
  <c r="R867" i="20"/>
  <c r="R866" i="20"/>
  <c r="R865" i="20" s="1"/>
  <c r="R863" i="20"/>
  <c r="R862" i="20"/>
  <c r="R861" i="20"/>
  <c r="R860" i="20"/>
  <c r="R859" i="20"/>
  <c r="R858" i="20" s="1"/>
  <c r="R856" i="20"/>
  <c r="R855" i="20"/>
  <c r="R854" i="20"/>
  <c r="R853" i="20"/>
  <c r="R852" i="20"/>
  <c r="R851" i="20" s="1"/>
  <c r="R849" i="20"/>
  <c r="R848" i="20"/>
  <c r="R847" i="20"/>
  <c r="R846" i="20"/>
  <c r="R845" i="20"/>
  <c r="R844" i="20" s="1"/>
  <c r="R842" i="20"/>
  <c r="R841" i="20"/>
  <c r="R840" i="20"/>
  <c r="R839" i="20"/>
  <c r="R838" i="20"/>
  <c r="R837" i="20" s="1"/>
  <c r="R835" i="20"/>
  <c r="R834" i="20"/>
  <c r="R833" i="20"/>
  <c r="R832" i="20"/>
  <c r="R831" i="20"/>
  <c r="R830" i="20" s="1"/>
  <c r="R828" i="20"/>
  <c r="R827" i="20"/>
  <c r="R826" i="20"/>
  <c r="R825" i="20"/>
  <c r="R824" i="20"/>
  <c r="R823" i="20" s="1"/>
  <c r="R821" i="20"/>
  <c r="R820" i="20"/>
  <c r="R819" i="20"/>
  <c r="R818" i="20"/>
  <c r="R817" i="20"/>
  <c r="R816" i="20" s="1"/>
  <c r="R814" i="20"/>
  <c r="R813" i="20"/>
  <c r="R812" i="20"/>
  <c r="R811" i="20"/>
  <c r="R810" i="20"/>
  <c r="R809" i="20" s="1"/>
  <c r="R807" i="20"/>
  <c r="R806" i="20"/>
  <c r="R805" i="20"/>
  <c r="R804" i="20"/>
  <c r="R803" i="20"/>
  <c r="R802" i="20" s="1"/>
  <c r="R800" i="20"/>
  <c r="R799" i="20"/>
  <c r="R798" i="20"/>
  <c r="R797" i="20"/>
  <c r="R796" i="20"/>
  <c r="R795" i="20" s="1"/>
  <c r="R793" i="20"/>
  <c r="R792" i="20"/>
  <c r="R791" i="20"/>
  <c r="R790" i="20"/>
  <c r="R789" i="20"/>
  <c r="R788" i="20" s="1"/>
  <c r="R786" i="20"/>
  <c r="R785" i="20"/>
  <c r="R784" i="20"/>
  <c r="R783" i="20"/>
  <c r="R782" i="20"/>
  <c r="R781" i="20" s="1"/>
  <c r="R779" i="20"/>
  <c r="R778" i="20"/>
  <c r="R777" i="20"/>
  <c r="R776" i="20"/>
  <c r="R775" i="20"/>
  <c r="R774" i="20" s="1"/>
  <c r="R772" i="20"/>
  <c r="R771" i="20"/>
  <c r="R770" i="20"/>
  <c r="R769" i="20"/>
  <c r="R768" i="20"/>
  <c r="R767" i="20" s="1"/>
  <c r="R765" i="20"/>
  <c r="R764" i="20"/>
  <c r="R763" i="20"/>
  <c r="R762" i="20"/>
  <c r="R761" i="20"/>
  <c r="R760" i="20" s="1"/>
  <c r="R758" i="20"/>
  <c r="R757" i="20"/>
  <c r="R756" i="20"/>
  <c r="R755" i="20"/>
  <c r="R754" i="20"/>
  <c r="R753" i="20" s="1"/>
  <c r="R751" i="20"/>
  <c r="R750" i="20"/>
  <c r="R749" i="20"/>
  <c r="R748" i="20"/>
  <c r="R747" i="20"/>
  <c r="R746" i="20" s="1"/>
  <c r="R744" i="20"/>
  <c r="R743" i="20"/>
  <c r="R742" i="20"/>
  <c r="R741" i="20"/>
  <c r="R740" i="20"/>
  <c r="R739" i="20" s="1"/>
  <c r="R737" i="20"/>
  <c r="R736" i="20"/>
  <c r="R735" i="20"/>
  <c r="R734" i="20"/>
  <c r="R733" i="20"/>
  <c r="R732" i="20" s="1"/>
  <c r="R730" i="20"/>
  <c r="R729" i="20"/>
  <c r="R728" i="20"/>
  <c r="R727" i="20"/>
  <c r="R726" i="20"/>
  <c r="R725" i="20" s="1"/>
  <c r="R723" i="20"/>
  <c r="R722" i="20"/>
  <c r="R721" i="20"/>
  <c r="R720" i="20"/>
  <c r="R719" i="20"/>
  <c r="R718" i="20" s="1"/>
  <c r="R716" i="20"/>
  <c r="R715" i="20"/>
  <c r="R714" i="20"/>
  <c r="R713" i="20"/>
  <c r="R712" i="20"/>
  <c r="R711" i="20" s="1"/>
  <c r="R709" i="20"/>
  <c r="R708" i="20"/>
  <c r="R707" i="20"/>
  <c r="R706" i="20"/>
  <c r="R705" i="20"/>
  <c r="R704" i="20" s="1"/>
  <c r="R702" i="20"/>
  <c r="R701" i="20"/>
  <c r="R700" i="20"/>
  <c r="R699" i="20"/>
  <c r="R698" i="20"/>
  <c r="R697" i="20" s="1"/>
  <c r="R695" i="20"/>
  <c r="R694" i="20"/>
  <c r="R693" i="20"/>
  <c r="R692" i="20"/>
  <c r="R691" i="20"/>
  <c r="R690" i="20" s="1"/>
  <c r="R688" i="20"/>
  <c r="R687" i="20"/>
  <c r="R686" i="20"/>
  <c r="R685" i="20"/>
  <c r="R684" i="20"/>
  <c r="R683" i="20" s="1"/>
  <c r="R681" i="20"/>
  <c r="R680" i="20"/>
  <c r="R679" i="20"/>
  <c r="R678" i="20"/>
  <c r="R677" i="20"/>
  <c r="R676" i="20" s="1"/>
  <c r="R674" i="20"/>
  <c r="R673" i="20"/>
  <c r="R672" i="20"/>
  <c r="R671" i="20"/>
  <c r="R670" i="20"/>
  <c r="R669" i="20" s="1"/>
  <c r="R667" i="20"/>
  <c r="R666" i="20"/>
  <c r="R665" i="20"/>
  <c r="R664" i="20"/>
  <c r="R663" i="20"/>
  <c r="R662" i="20" s="1"/>
  <c r="R660" i="20"/>
  <c r="R659" i="20"/>
  <c r="R658" i="20"/>
  <c r="R657" i="20"/>
  <c r="R656" i="20"/>
  <c r="R655" i="20" s="1"/>
  <c r="R653" i="20"/>
  <c r="R652" i="20"/>
  <c r="R651" i="20"/>
  <c r="R650" i="20"/>
  <c r="R649" i="20"/>
  <c r="R648" i="20" s="1"/>
  <c r="R646" i="20"/>
  <c r="R645" i="20"/>
  <c r="R644" i="20"/>
  <c r="R643" i="20"/>
  <c r="R642" i="20"/>
  <c r="R641" i="20" s="1"/>
  <c r="R639" i="20"/>
  <c r="R638" i="20"/>
  <c r="R637" i="20"/>
  <c r="R636" i="20"/>
  <c r="R635" i="20"/>
  <c r="R634" i="20" s="1"/>
  <c r="R632" i="20"/>
  <c r="R631" i="20"/>
  <c r="R630" i="20"/>
  <c r="R629" i="20"/>
  <c r="R628" i="20"/>
  <c r="R627" i="20" s="1"/>
  <c r="R625" i="20"/>
  <c r="R624" i="20"/>
  <c r="R623" i="20"/>
  <c r="R622" i="20"/>
  <c r="R621" i="20"/>
  <c r="R620" i="20" s="1"/>
  <c r="R618" i="20"/>
  <c r="R617" i="20"/>
  <c r="R616" i="20"/>
  <c r="R615" i="20"/>
  <c r="R614" i="20"/>
  <c r="R613" i="20" s="1"/>
  <c r="R611" i="20"/>
  <c r="R610" i="20"/>
  <c r="R609" i="20"/>
  <c r="R608" i="20"/>
  <c r="R607" i="20"/>
  <c r="R606" i="20" s="1"/>
  <c r="R604" i="20"/>
  <c r="R603" i="20"/>
  <c r="R602" i="20"/>
  <c r="R601" i="20"/>
  <c r="R600" i="20"/>
  <c r="R599" i="20" s="1"/>
  <c r="R597" i="20"/>
  <c r="R596" i="20"/>
  <c r="R595" i="20"/>
  <c r="R594" i="20"/>
  <c r="R593" i="20"/>
  <c r="R592" i="20" s="1"/>
  <c r="R590" i="20"/>
  <c r="R589" i="20"/>
  <c r="R588" i="20"/>
  <c r="R587" i="20"/>
  <c r="R586" i="20"/>
  <c r="R585" i="20" s="1"/>
  <c r="R583" i="20"/>
  <c r="R582" i="20"/>
  <c r="R581" i="20"/>
  <c r="R580" i="20"/>
  <c r="R579" i="20"/>
  <c r="R578" i="20" s="1"/>
  <c r="R576" i="20"/>
  <c r="R575" i="20"/>
  <c r="R574" i="20"/>
  <c r="R573" i="20"/>
  <c r="R572" i="20"/>
  <c r="R571" i="20" s="1"/>
  <c r="R569" i="20"/>
  <c r="R568" i="20"/>
  <c r="R567" i="20"/>
  <c r="R566" i="20"/>
  <c r="R565" i="20"/>
  <c r="R564" i="20" s="1"/>
  <c r="R562" i="20"/>
  <c r="R561" i="20"/>
  <c r="R560" i="20"/>
  <c r="R559" i="20"/>
  <c r="R558" i="20"/>
  <c r="R557" i="20" s="1"/>
  <c r="R555" i="20"/>
  <c r="R554" i="20"/>
  <c r="R553" i="20"/>
  <c r="R552" i="20"/>
  <c r="R551" i="20"/>
  <c r="R550" i="20" s="1"/>
  <c r="R548" i="20"/>
  <c r="R547" i="20"/>
  <c r="R546" i="20"/>
  <c r="R545" i="20"/>
  <c r="R544" i="20"/>
  <c r="R543" i="20" s="1"/>
  <c r="R541" i="20"/>
  <c r="R540" i="20"/>
  <c r="R539" i="20"/>
  <c r="R538" i="20"/>
  <c r="R537" i="20"/>
  <c r="R536" i="20" s="1"/>
  <c r="R534" i="20"/>
  <c r="R533" i="20"/>
  <c r="R532" i="20"/>
  <c r="R531" i="20"/>
  <c r="R530" i="20"/>
  <c r="R529" i="20" s="1"/>
  <c r="R527" i="20"/>
  <c r="R526" i="20"/>
  <c r="R525" i="20"/>
  <c r="R524" i="20"/>
  <c r="R523" i="20"/>
  <c r="R522" i="20" s="1"/>
  <c r="R520" i="20"/>
  <c r="R519" i="20"/>
  <c r="R518" i="20"/>
  <c r="R517" i="20"/>
  <c r="R516" i="20"/>
  <c r="R515" i="20" s="1"/>
  <c r="R513" i="20"/>
  <c r="R512" i="20"/>
  <c r="R511" i="20"/>
  <c r="R510" i="20"/>
  <c r="R509" i="20"/>
  <c r="R508" i="20" s="1"/>
  <c r="R506" i="20"/>
  <c r="R505" i="20"/>
  <c r="R504" i="20"/>
  <c r="R503" i="20"/>
  <c r="R502" i="20"/>
  <c r="R501" i="20" s="1"/>
  <c r="R499" i="20"/>
  <c r="R498" i="20"/>
  <c r="R497" i="20"/>
  <c r="R496" i="20"/>
  <c r="R495" i="20"/>
  <c r="R494" i="20" s="1"/>
  <c r="R492" i="20"/>
  <c r="R491" i="20"/>
  <c r="R490" i="20"/>
  <c r="R489" i="20"/>
  <c r="R488" i="20"/>
  <c r="R487" i="20" s="1"/>
  <c r="R485" i="20"/>
  <c r="R484" i="20"/>
  <c r="R483" i="20"/>
  <c r="R482" i="20"/>
  <c r="R481" i="20"/>
  <c r="R480" i="20" s="1"/>
  <c r="R478" i="20"/>
  <c r="R477" i="20"/>
  <c r="R476" i="20"/>
  <c r="R475" i="20"/>
  <c r="R474" i="20"/>
  <c r="R473" i="20" s="1"/>
  <c r="R471" i="20"/>
  <c r="R470" i="20"/>
  <c r="R469" i="20"/>
  <c r="R468" i="20"/>
  <c r="R467" i="20"/>
  <c r="R466" i="20" s="1"/>
  <c r="R464" i="20"/>
  <c r="R463" i="20"/>
  <c r="R462" i="20"/>
  <c r="R461" i="20"/>
  <c r="R460" i="20"/>
  <c r="R459" i="20" s="1"/>
  <c r="R457" i="20"/>
  <c r="R456" i="20"/>
  <c r="R455" i="20"/>
  <c r="R454" i="20"/>
  <c r="R453" i="20"/>
  <c r="R452" i="20" s="1"/>
  <c r="R450" i="20"/>
  <c r="R449" i="20"/>
  <c r="R448" i="20"/>
  <c r="R447" i="20"/>
  <c r="R446" i="20"/>
  <c r="R445" i="20" s="1"/>
  <c r="R443" i="20"/>
  <c r="R442" i="20"/>
  <c r="R441" i="20"/>
  <c r="R440" i="20"/>
  <c r="R439" i="20"/>
  <c r="R438" i="20" s="1"/>
  <c r="R436" i="20"/>
  <c r="R435" i="20"/>
  <c r="R434" i="20"/>
  <c r="R433" i="20"/>
  <c r="R432" i="20"/>
  <c r="R431" i="20" s="1"/>
  <c r="R429" i="20"/>
  <c r="R428" i="20"/>
  <c r="R427" i="20"/>
  <c r="R426" i="20"/>
  <c r="R425" i="20"/>
  <c r="R424" i="20" s="1"/>
  <c r="R422" i="20"/>
  <c r="R421" i="20"/>
  <c r="R420" i="20"/>
  <c r="R419" i="20"/>
  <c r="R418" i="20"/>
  <c r="R417" i="20" s="1"/>
  <c r="R415" i="20"/>
  <c r="R414" i="20"/>
  <c r="R413" i="20"/>
  <c r="R412" i="20"/>
  <c r="R411" i="20"/>
  <c r="R410" i="20" s="1"/>
  <c r="R408" i="20"/>
  <c r="R407" i="20"/>
  <c r="R406" i="20"/>
  <c r="R405" i="20"/>
  <c r="R404" i="20"/>
  <c r="R403" i="20" s="1"/>
  <c r="R401" i="20"/>
  <c r="R400" i="20"/>
  <c r="R399" i="20"/>
  <c r="R398" i="20"/>
  <c r="R397" i="20"/>
  <c r="R396" i="20" s="1"/>
  <c r="R394" i="20"/>
  <c r="R393" i="20"/>
  <c r="R392" i="20"/>
  <c r="R391" i="20"/>
  <c r="R390" i="20"/>
  <c r="R389" i="20" s="1"/>
  <c r="R387" i="20"/>
  <c r="R386" i="20"/>
  <c r="R385" i="20"/>
  <c r="R384" i="20"/>
  <c r="R383" i="20"/>
  <c r="R382" i="20" s="1"/>
  <c r="R380" i="20"/>
  <c r="R379" i="20"/>
  <c r="R378" i="20"/>
  <c r="R377" i="20"/>
  <c r="R376" i="20"/>
  <c r="R375" i="20" s="1"/>
  <c r="R373" i="20"/>
  <c r="R372" i="20"/>
  <c r="R371" i="20"/>
  <c r="R370" i="20"/>
  <c r="R369" i="20"/>
  <c r="R368" i="20" s="1"/>
  <c r="R366" i="20"/>
  <c r="R365" i="20"/>
  <c r="R364" i="20"/>
  <c r="R363" i="20"/>
  <c r="R362" i="20"/>
  <c r="R361" i="20" s="1"/>
  <c r="R359" i="20"/>
  <c r="R358" i="20"/>
  <c r="R357" i="20"/>
  <c r="R356" i="20"/>
  <c r="R355" i="20"/>
  <c r="R354" i="20" s="1"/>
  <c r="R352" i="20"/>
  <c r="R351" i="20"/>
  <c r="R350" i="20"/>
  <c r="R349" i="20"/>
  <c r="R348" i="20"/>
  <c r="R347" i="20" s="1"/>
  <c r="R345" i="20"/>
  <c r="R344" i="20"/>
  <c r="R343" i="20"/>
  <c r="R342" i="20"/>
  <c r="R341" i="20"/>
  <c r="R340" i="20" s="1"/>
  <c r="R338" i="20"/>
  <c r="R337" i="20"/>
  <c r="R336" i="20"/>
  <c r="R335" i="20"/>
  <c r="R334" i="20"/>
  <c r="R333" i="20" s="1"/>
  <c r="R331" i="20"/>
  <c r="R330" i="20"/>
  <c r="R329" i="20"/>
  <c r="R328" i="20"/>
  <c r="R327" i="20"/>
  <c r="R326" i="20" s="1"/>
  <c r="R324" i="20"/>
  <c r="R323" i="20"/>
  <c r="R322" i="20"/>
  <c r="R321" i="20"/>
  <c r="R320" i="20"/>
  <c r="R319" i="20" s="1"/>
  <c r="R317" i="20"/>
  <c r="R316" i="20"/>
  <c r="R315" i="20"/>
  <c r="R314" i="20"/>
  <c r="R313" i="20"/>
  <c r="R312" i="20" s="1"/>
  <c r="R310" i="20"/>
  <c r="R309" i="20"/>
  <c r="R308" i="20"/>
  <c r="R307" i="20"/>
  <c r="R306" i="20"/>
  <c r="R305" i="20" s="1"/>
  <c r="R303" i="20"/>
  <c r="R302" i="20"/>
  <c r="R301" i="20"/>
  <c r="R300" i="20"/>
  <c r="R299" i="20"/>
  <c r="R298" i="20" s="1"/>
  <c r="R296" i="20"/>
  <c r="R295" i="20"/>
  <c r="R294" i="20"/>
  <c r="R293" i="20"/>
  <c r="R292" i="20"/>
  <c r="R291" i="20" s="1"/>
  <c r="R289" i="20"/>
  <c r="R288" i="20"/>
  <c r="R287" i="20"/>
  <c r="R286" i="20"/>
  <c r="R285" i="20"/>
  <c r="R284" i="20" s="1"/>
  <c r="R282" i="20"/>
  <c r="R281" i="20"/>
  <c r="R280" i="20"/>
  <c r="R279" i="20"/>
  <c r="R278" i="20"/>
  <c r="R277" i="20" s="1"/>
  <c r="R275" i="20"/>
  <c r="R274" i="20"/>
  <c r="R273" i="20"/>
  <c r="R272" i="20"/>
  <c r="R271" i="20"/>
  <c r="R270" i="20" s="1"/>
  <c r="R268" i="20"/>
  <c r="R267" i="20"/>
  <c r="R266" i="20"/>
  <c r="R265" i="20"/>
  <c r="R264" i="20"/>
  <c r="R263" i="20" s="1"/>
  <c r="R261" i="20"/>
  <c r="R260" i="20"/>
  <c r="R259" i="20"/>
  <c r="R258" i="20"/>
  <c r="R257" i="20"/>
  <c r="R256" i="20" s="1"/>
  <c r="R254" i="20"/>
  <c r="R253" i="20"/>
  <c r="R252" i="20"/>
  <c r="R251" i="20"/>
  <c r="R250" i="20"/>
  <c r="R249" i="20" s="1"/>
  <c r="R247" i="20"/>
  <c r="R246" i="20"/>
  <c r="R245" i="20"/>
  <c r="R244" i="20"/>
  <c r="R243" i="20"/>
  <c r="R242" i="20" s="1"/>
  <c r="R240" i="20"/>
  <c r="R239" i="20"/>
  <c r="R238" i="20"/>
  <c r="R237" i="20"/>
  <c r="R236" i="20"/>
  <c r="R235" i="20" s="1"/>
  <c r="R233" i="20"/>
  <c r="R232" i="20"/>
  <c r="R231" i="20"/>
  <c r="R230" i="20"/>
  <c r="R229" i="20"/>
  <c r="R228" i="20" s="1"/>
  <c r="R226" i="20"/>
  <c r="R225" i="20"/>
  <c r="R224" i="20"/>
  <c r="R223" i="20"/>
  <c r="R222" i="20"/>
  <c r="R221" i="20" s="1"/>
  <c r="R219" i="20"/>
  <c r="R218" i="20"/>
  <c r="R217" i="20"/>
  <c r="R216" i="20"/>
  <c r="R215" i="20"/>
  <c r="R214" i="20" s="1"/>
  <c r="R212" i="20"/>
  <c r="R211" i="20"/>
  <c r="R210" i="20"/>
  <c r="R209" i="20"/>
  <c r="R208" i="20"/>
  <c r="R207" i="20" s="1"/>
  <c r="R205" i="20"/>
  <c r="R120" i="20"/>
  <c r="R121" i="20"/>
  <c r="R124" i="20"/>
  <c r="R125" i="20"/>
  <c r="R126" i="20"/>
  <c r="R127" i="20"/>
  <c r="R128" i="20"/>
  <c r="R131" i="20"/>
  <c r="R132" i="20"/>
  <c r="R133" i="20"/>
  <c r="R134" i="20"/>
  <c r="R135" i="20"/>
  <c r="R138" i="20"/>
  <c r="R139" i="20"/>
  <c r="R140" i="20"/>
  <c r="R141" i="20"/>
  <c r="R142" i="20"/>
  <c r="R145" i="20"/>
  <c r="R146" i="20"/>
  <c r="R147" i="20"/>
  <c r="R148" i="20"/>
  <c r="R149" i="20"/>
  <c r="R152" i="20"/>
  <c r="R153" i="20"/>
  <c r="R154" i="20"/>
  <c r="R155" i="20"/>
  <c r="R156" i="20"/>
  <c r="R159" i="20"/>
  <c r="R160" i="20"/>
  <c r="R161" i="20"/>
  <c r="R162" i="20"/>
  <c r="R163" i="20"/>
  <c r="R166" i="20"/>
  <c r="R1211" i="20"/>
  <c r="R167" i="20"/>
  <c r="R168" i="20"/>
  <c r="R169" i="20"/>
  <c r="R170" i="20"/>
  <c r="R173" i="20"/>
  <c r="R174" i="20"/>
  <c r="R175" i="20"/>
  <c r="R176" i="20"/>
  <c r="R177" i="20"/>
  <c r="R180" i="20"/>
  <c r="R181" i="20"/>
  <c r="R182" i="20"/>
  <c r="R183" i="20"/>
  <c r="R184" i="20"/>
  <c r="R187" i="20"/>
  <c r="R188" i="20"/>
  <c r="R189" i="20"/>
  <c r="R190" i="20"/>
  <c r="R191" i="20"/>
  <c r="R194" i="20"/>
  <c r="R195" i="20"/>
  <c r="R196" i="20"/>
  <c r="R197" i="20"/>
  <c r="R198" i="20"/>
  <c r="R201" i="20"/>
  <c r="R202" i="20"/>
  <c r="R203" i="20"/>
  <c r="R204" i="20"/>
  <c r="R1619" i="20"/>
  <c r="R1618" i="20"/>
  <c r="R1617" i="20"/>
  <c r="R1616" i="20"/>
  <c r="R1615" i="20"/>
  <c r="R1612" i="20"/>
  <c r="R1611" i="20"/>
  <c r="R1610" i="20"/>
  <c r="R1609" i="20"/>
  <c r="R1608" i="20"/>
  <c r="R1607" i="20" s="1"/>
  <c r="R1605" i="20"/>
  <c r="R1604" i="20"/>
  <c r="R1603" i="20"/>
  <c r="R1602" i="20"/>
  <c r="R1601" i="20"/>
  <c r="R1598" i="20"/>
  <c r="R1597" i="20"/>
  <c r="R1596" i="20"/>
  <c r="R1595" i="20"/>
  <c r="R1594" i="20"/>
  <c r="R1593" i="20" s="1"/>
  <c r="R1591" i="20"/>
  <c r="R1590" i="20"/>
  <c r="R1589" i="20"/>
  <c r="R1588" i="20"/>
  <c r="R1587" i="20"/>
  <c r="R1586" i="20" s="1"/>
  <c r="R1584" i="20"/>
  <c r="R1583" i="20"/>
  <c r="R1582" i="20"/>
  <c r="R1581" i="20"/>
  <c r="R1580" i="20"/>
  <c r="R1579" i="20" s="1"/>
  <c r="R1577" i="20"/>
  <c r="R1576" i="20"/>
  <c r="R1575" i="20"/>
  <c r="R1574" i="20"/>
  <c r="R1573" i="20"/>
  <c r="R1572" i="20" s="1"/>
  <c r="R1570" i="20"/>
  <c r="R1569" i="20"/>
  <c r="R1568" i="20"/>
  <c r="R1567" i="20"/>
  <c r="R1566" i="20"/>
  <c r="R1565" i="20" s="1"/>
  <c r="R1563" i="20"/>
  <c r="R1562" i="20"/>
  <c r="R1561" i="20"/>
  <c r="R1560" i="20"/>
  <c r="R1559" i="20"/>
  <c r="R1558" i="20" s="1"/>
  <c r="R1556" i="20"/>
  <c r="R1555" i="20"/>
  <c r="R1554" i="20"/>
  <c r="R1553" i="20"/>
  <c r="R1552" i="20"/>
  <c r="R1551" i="20" s="1"/>
  <c r="R1549" i="20"/>
  <c r="R1548" i="20"/>
  <c r="R1547" i="20"/>
  <c r="R1546" i="20"/>
  <c r="R1545" i="20"/>
  <c r="R1544" i="20" s="1"/>
  <c r="R1542" i="20"/>
  <c r="R1541" i="20"/>
  <c r="R1540" i="20"/>
  <c r="R1539" i="20"/>
  <c r="R1538" i="20"/>
  <c r="R1537" i="20" s="1"/>
  <c r="R1535" i="20"/>
  <c r="R1534" i="20"/>
  <c r="R1533" i="20"/>
  <c r="R1532" i="20"/>
  <c r="R1531" i="20"/>
  <c r="R1530" i="20" s="1"/>
  <c r="R1528" i="20"/>
  <c r="R1527" i="20"/>
  <c r="R1523" i="20" s="1"/>
  <c r="R1526" i="20"/>
  <c r="R1525" i="20"/>
  <c r="R1524" i="20"/>
  <c r="R1521" i="20"/>
  <c r="R1520" i="20"/>
  <c r="R1519" i="20"/>
  <c r="R1518" i="20"/>
  <c r="R1517" i="20"/>
  <c r="R1516" i="20" s="1"/>
  <c r="R1514" i="20"/>
  <c r="R1513" i="20"/>
  <c r="R1512" i="20"/>
  <c r="R1511" i="20"/>
  <c r="R1510" i="20"/>
  <c r="R1509" i="20" s="1"/>
  <c r="R1507" i="20"/>
  <c r="R1506" i="20"/>
  <c r="R1505" i="20"/>
  <c r="R1504" i="20"/>
  <c r="R1503" i="20"/>
  <c r="R1502" i="20" s="1"/>
  <c r="R1500" i="20"/>
  <c r="R1499" i="20"/>
  <c r="R1498" i="20"/>
  <c r="R1497" i="20"/>
  <c r="R1496" i="20"/>
  <c r="R1495" i="20" s="1"/>
  <c r="R1493" i="20"/>
  <c r="R1492" i="20"/>
  <c r="R1491" i="20"/>
  <c r="R1490" i="20"/>
  <c r="R1489" i="20"/>
  <c r="R1488" i="20" s="1"/>
  <c r="R1486" i="20"/>
  <c r="R1485" i="20"/>
  <c r="R1484" i="20"/>
  <c r="R1483" i="20"/>
  <c r="R1482" i="20"/>
  <c r="R1481" i="20" s="1"/>
  <c r="R1479" i="20"/>
  <c r="R1478" i="20"/>
  <c r="R1477" i="20"/>
  <c r="R1476" i="20"/>
  <c r="R1475" i="20"/>
  <c r="R1474" i="20" s="1"/>
  <c r="R1472" i="20"/>
  <c r="R1471" i="20"/>
  <c r="R1470" i="20"/>
  <c r="R1469" i="20"/>
  <c r="R1468" i="20"/>
  <c r="R1467" i="20" s="1"/>
  <c r="R1465" i="20"/>
  <c r="R1464" i="20"/>
  <c r="R1463" i="20"/>
  <c r="R1462" i="20"/>
  <c r="R1461" i="20"/>
  <c r="R1460" i="20" s="1"/>
  <c r="R119" i="20"/>
  <c r="R1457" i="20"/>
  <c r="R1456" i="20"/>
  <c r="R1455" i="20"/>
  <c r="R1454" i="20"/>
  <c r="R1451" i="20"/>
  <c r="R1450" i="20"/>
  <c r="R1449" i="20"/>
  <c r="R1448" i="20"/>
  <c r="R1447" i="20"/>
  <c r="R1446" i="20" s="1"/>
  <c r="R1444" i="20"/>
  <c r="R1443" i="20"/>
  <c r="R1442" i="20"/>
  <c r="R1441" i="20"/>
  <c r="R1440" i="20"/>
  <c r="R1439" i="20" s="1"/>
  <c r="R1437" i="20"/>
  <c r="R1436" i="20"/>
  <c r="R1435" i="20"/>
  <c r="R1434" i="20"/>
  <c r="R1433" i="20"/>
  <c r="R1432" i="20" s="1"/>
  <c r="R1430" i="20"/>
  <c r="R1429" i="20"/>
  <c r="R1428" i="20"/>
  <c r="R1427" i="20"/>
  <c r="R1426" i="20"/>
  <c r="R1425" i="20" s="1"/>
  <c r="R1423" i="20"/>
  <c r="R1422" i="20"/>
  <c r="R1421" i="20"/>
  <c r="R1420" i="20"/>
  <c r="R1419" i="20"/>
  <c r="R1418" i="20" s="1"/>
  <c r="R1416" i="20"/>
  <c r="R1415" i="20"/>
  <c r="R1414" i="20"/>
  <c r="R1413" i="20"/>
  <c r="R1412" i="20"/>
  <c r="R1411" i="20" s="1"/>
  <c r="R1409" i="20"/>
  <c r="R1408" i="20"/>
  <c r="R1407" i="20"/>
  <c r="R1406" i="20"/>
  <c r="R1405" i="20"/>
  <c r="R1404" i="20" s="1"/>
  <c r="R1402" i="20"/>
  <c r="R1401" i="20"/>
  <c r="R1400" i="20"/>
  <c r="R1399" i="20"/>
  <c r="R1398" i="20"/>
  <c r="R1397" i="20" s="1"/>
  <c r="R1395" i="20"/>
  <c r="R1394" i="20"/>
  <c r="R1393" i="20"/>
  <c r="R1392" i="20"/>
  <c r="R1391" i="20"/>
  <c r="R1390" i="20" s="1"/>
  <c r="R1388" i="20"/>
  <c r="R1387" i="20"/>
  <c r="R1386" i="20"/>
  <c r="R1385" i="20"/>
  <c r="R1384" i="20"/>
  <c r="R1383" i="20" s="1"/>
  <c r="R118" i="20"/>
  <c r="R117" i="20"/>
  <c r="R114" i="20"/>
  <c r="R113" i="20"/>
  <c r="R112" i="20"/>
  <c r="R111" i="20"/>
  <c r="R110" i="20"/>
  <c r="R109" i="20" s="1"/>
  <c r="R107" i="20"/>
  <c r="R106" i="20"/>
  <c r="R105" i="20"/>
  <c r="R104" i="20"/>
  <c r="R103" i="20"/>
  <c r="R102" i="20" s="1"/>
  <c r="R100" i="20"/>
  <c r="R99" i="20"/>
  <c r="R98" i="20"/>
  <c r="R97" i="20"/>
  <c r="R96" i="20"/>
  <c r="R95" i="20" s="1"/>
  <c r="R93" i="20"/>
  <c r="R92" i="20"/>
  <c r="R91" i="20"/>
  <c r="R90" i="20"/>
  <c r="R89" i="20"/>
  <c r="R88" i="20" s="1"/>
  <c r="R86" i="20"/>
  <c r="R85" i="20"/>
  <c r="R84" i="20"/>
  <c r="R83" i="20"/>
  <c r="R82" i="20"/>
  <c r="R81" i="20" s="1"/>
  <c r="R79" i="20"/>
  <c r="R78" i="20"/>
  <c r="R77" i="20"/>
  <c r="R76" i="20"/>
  <c r="R75" i="20"/>
  <c r="R74" i="20" s="1"/>
  <c r="R72" i="20"/>
  <c r="R71" i="20"/>
  <c r="R70" i="20"/>
  <c r="R69" i="20"/>
  <c r="R68" i="20"/>
  <c r="R67" i="20" s="1"/>
  <c r="R65" i="20"/>
  <c r="R64" i="20"/>
  <c r="R63" i="20"/>
  <c r="R62" i="20"/>
  <c r="R61" i="20"/>
  <c r="R60" i="20" s="1"/>
  <c r="R58" i="20"/>
  <c r="R57" i="20"/>
  <c r="R56" i="20"/>
  <c r="R55" i="20"/>
  <c r="R54" i="20"/>
  <c r="R53" i="20" s="1"/>
  <c r="R51" i="20"/>
  <c r="R50" i="20"/>
  <c r="R49" i="20"/>
  <c r="R48" i="20"/>
  <c r="R47" i="20"/>
  <c r="R46" i="20" s="1"/>
  <c r="R44" i="20"/>
  <c r="R43" i="20"/>
  <c r="R42" i="20"/>
  <c r="R41" i="20"/>
  <c r="R1381" i="20"/>
  <c r="R40" i="20"/>
  <c r="R39" i="20" s="1"/>
  <c r="R37" i="20"/>
  <c r="R36" i="20"/>
  <c r="R35" i="20"/>
  <c r="R34" i="20"/>
  <c r="R33" i="20"/>
  <c r="R32" i="20" s="1"/>
  <c r="R30" i="20"/>
  <c r="R29" i="20"/>
  <c r="R28" i="20"/>
  <c r="R27" i="20"/>
  <c r="R26" i="20"/>
  <c r="R25" i="20" s="1"/>
  <c r="R23" i="20"/>
  <c r="R22" i="20"/>
  <c r="R21" i="20"/>
  <c r="R20" i="20"/>
  <c r="R19" i="20"/>
  <c r="R18" i="20" s="1"/>
  <c r="R16" i="20"/>
  <c r="R15" i="20"/>
  <c r="R14" i="20"/>
  <c r="R13" i="20"/>
  <c r="R12" i="20"/>
  <c r="R11" i="20" s="1"/>
  <c r="R9" i="20"/>
  <c r="R8" i="20"/>
  <c r="R7" i="20"/>
  <c r="R6" i="20"/>
  <c r="R5" i="20"/>
  <c r="Q1245" i="20"/>
  <c r="Q840" i="20"/>
  <c r="Q839" i="20"/>
  <c r="Q838" i="20"/>
  <c r="Q835" i="20"/>
  <c r="Q834" i="20"/>
  <c r="Q833" i="20"/>
  <c r="Q832" i="20"/>
  <c r="Q831" i="20"/>
  <c r="Q830" i="20" s="1"/>
  <c r="Q828" i="20"/>
  <c r="Q827" i="20"/>
  <c r="Q826" i="20"/>
  <c r="Q825" i="20"/>
  <c r="Q824" i="20"/>
  <c r="Q823" i="20" s="1"/>
  <c r="Q821" i="20"/>
  <c r="Q820" i="20"/>
  <c r="Q819" i="20"/>
  <c r="Q818" i="20"/>
  <c r="Q817" i="20"/>
  <c r="Q816" i="20" s="1"/>
  <c r="Q814" i="20"/>
  <c r="Q813" i="20"/>
  <c r="Q812" i="20"/>
  <c r="Q811" i="20"/>
  <c r="Q810" i="20"/>
  <c r="Q809" i="20" s="1"/>
  <c r="Q807" i="20"/>
  <c r="Q806" i="20"/>
  <c r="Q805" i="20"/>
  <c r="Q804" i="20"/>
  <c r="Q803" i="20"/>
  <c r="Q802" i="20" s="1"/>
  <c r="Q800" i="20"/>
  <c r="Q799" i="20"/>
  <c r="Q798" i="20"/>
  <c r="Q797" i="20"/>
  <c r="Q796" i="20"/>
  <c r="Q795" i="20" s="1"/>
  <c r="Q793" i="20"/>
  <c r="Q792" i="20"/>
  <c r="Q791" i="20"/>
  <c r="Q790" i="20"/>
  <c r="Q789" i="20"/>
  <c r="Q788" i="20" s="1"/>
  <c r="Q786" i="20"/>
  <c r="Q785" i="20"/>
  <c r="Q784" i="20"/>
  <c r="Q783" i="20"/>
  <c r="Q782" i="20"/>
  <c r="Q781" i="20" s="1"/>
  <c r="Q779" i="20"/>
  <c r="Q778" i="20"/>
  <c r="Q777" i="20"/>
  <c r="Q776" i="20"/>
  <c r="Q775" i="20"/>
  <c r="Q774" i="20" s="1"/>
  <c r="Q772" i="20"/>
  <c r="Q771" i="20"/>
  <c r="Q770" i="20"/>
  <c r="Q769" i="20"/>
  <c r="Q768" i="20"/>
  <c r="Q767" i="20" s="1"/>
  <c r="Q765" i="20"/>
  <c r="Q764" i="20"/>
  <c r="Q763" i="20"/>
  <c r="Q762" i="20"/>
  <c r="Q761" i="20"/>
  <c r="Q760" i="20" s="1"/>
  <c r="Q758" i="20"/>
  <c r="Q757" i="20"/>
  <c r="Q756" i="20"/>
  <c r="Q755" i="20"/>
  <c r="Q754" i="20"/>
  <c r="Q753" i="20" s="1"/>
  <c r="Q751" i="20"/>
  <c r="Q750" i="20"/>
  <c r="Q749" i="20"/>
  <c r="Q748" i="20"/>
  <c r="Q747" i="20"/>
  <c r="Q746" i="20" s="1"/>
  <c r="Q744" i="20"/>
  <c r="Q743" i="20"/>
  <c r="Q742" i="20"/>
  <c r="Q741" i="20"/>
  <c r="Q740" i="20"/>
  <c r="Q739" i="20" s="1"/>
  <c r="Q737" i="20"/>
  <c r="Q736" i="20"/>
  <c r="Q735" i="20"/>
  <c r="Q734" i="20"/>
  <c r="Q733" i="20"/>
  <c r="Q732" i="20" s="1"/>
  <c r="Q730" i="20"/>
  <c r="Q729" i="20"/>
  <c r="Q728" i="20"/>
  <c r="Q727" i="20"/>
  <c r="Q726" i="20"/>
  <c r="Q725" i="20" s="1"/>
  <c r="Q723" i="20"/>
  <c r="Q722" i="20"/>
  <c r="Q721" i="20"/>
  <c r="Q720" i="20"/>
  <c r="Q719" i="20"/>
  <c r="Q718" i="20" s="1"/>
  <c r="Q716" i="20"/>
  <c r="Q715" i="20"/>
  <c r="Q714" i="20"/>
  <c r="Q713" i="20"/>
  <c r="Q712" i="20"/>
  <c r="Q711" i="20" s="1"/>
  <c r="Q709" i="20"/>
  <c r="Q708" i="20"/>
  <c r="Q707" i="20"/>
  <c r="Q706" i="20"/>
  <c r="Q705" i="20"/>
  <c r="Q704" i="20" s="1"/>
  <c r="Q702" i="20"/>
  <c r="Q701" i="20"/>
  <c r="Q700" i="20"/>
  <c r="Q699" i="20"/>
  <c r="Q698" i="20"/>
  <c r="Q697" i="20" s="1"/>
  <c r="Q695" i="20"/>
  <c r="Q694" i="20"/>
  <c r="Q693" i="20"/>
  <c r="Q692" i="20"/>
  <c r="Q691" i="20"/>
  <c r="Q690" i="20" s="1"/>
  <c r="Q688" i="20"/>
  <c r="Q687" i="20"/>
  <c r="Q686" i="20"/>
  <c r="Q1282" i="20"/>
  <c r="Q1281" i="20"/>
  <c r="Q1280" i="20"/>
  <c r="Q1279" i="20"/>
  <c r="Q1276" i="20"/>
  <c r="Q1275" i="20"/>
  <c r="Q1274" i="20"/>
  <c r="Q1273" i="20"/>
  <c r="Q1272" i="20"/>
  <c r="Q1271" i="20" s="1"/>
  <c r="Q1269" i="20"/>
  <c r="Q1268" i="20"/>
  <c r="Q1267" i="20"/>
  <c r="Q1266" i="20"/>
  <c r="Q1265" i="20"/>
  <c r="Q1264" i="20" s="1"/>
  <c r="Q1262" i="20"/>
  <c r="Q1261" i="20"/>
  <c r="Q1260" i="20"/>
  <c r="Q1259" i="20"/>
  <c r="Q1258" i="20"/>
  <c r="Q1257" i="20" s="1"/>
  <c r="Q1255" i="20"/>
  <c r="Q1254" i="20"/>
  <c r="Q1253" i="20"/>
  <c r="Q1252" i="20"/>
  <c r="Q1251" i="20"/>
  <c r="Q1250" i="20" s="1"/>
  <c r="Q1248" i="20"/>
  <c r="Q1247" i="20"/>
  <c r="Q1246" i="20"/>
  <c r="Q1244" i="20"/>
  <c r="Q1243" i="20" s="1"/>
  <c r="Q1241" i="20"/>
  <c r="Q1240" i="20"/>
  <c r="Q1239" i="20"/>
  <c r="Q1238" i="20"/>
  <c r="Q1237" i="20"/>
  <c r="Q1236" i="20" s="1"/>
  <c r="Q1234" i="20"/>
  <c r="Q1233" i="20"/>
  <c r="Q1232" i="20"/>
  <c r="Q1231" i="20"/>
  <c r="Q1230" i="20"/>
  <c r="Q1229" i="20" s="1"/>
  <c r="Q1227" i="20"/>
  <c r="Q1226" i="20"/>
  <c r="Q1225" i="20"/>
  <c r="Q1224" i="20"/>
  <c r="Q1223" i="20"/>
  <c r="Q1222" i="20" s="1"/>
  <c r="Q1220" i="20"/>
  <c r="Q1219" i="20"/>
  <c r="Q1218" i="20"/>
  <c r="Q1217" i="20"/>
  <c r="Q1216" i="20"/>
  <c r="Q1215" i="20" s="1"/>
  <c r="Q1213" i="20"/>
  <c r="Q1212" i="20"/>
  <c r="Q1211" i="20"/>
  <c r="Q1210" i="20"/>
  <c r="Q1209" i="20"/>
  <c r="Q1208" i="20" s="1"/>
  <c r="Q1206" i="20"/>
  <c r="Q1205" i="20"/>
  <c r="Q1204" i="20"/>
  <c r="Q1203" i="20"/>
  <c r="Q1202" i="20"/>
  <c r="Q1201" i="20" s="1"/>
  <c r="Q1199" i="20"/>
  <c r="Q1198" i="20"/>
  <c r="Q1197" i="20"/>
  <c r="Q1196" i="20"/>
  <c r="Q1195" i="20"/>
  <c r="Q1194" i="20" s="1"/>
  <c r="Q1192" i="20"/>
  <c r="Q1191" i="20"/>
  <c r="Q1190" i="20"/>
  <c r="Q1189" i="20"/>
  <c r="Q1188" i="20"/>
  <c r="Q1187" i="20" s="1"/>
  <c r="Q1185" i="20"/>
  <c r="Q1184" i="20"/>
  <c r="Q1183" i="20"/>
  <c r="Q1182" i="20"/>
  <c r="Q1181" i="20"/>
  <c r="Q1180" i="20" s="1"/>
  <c r="Q1178" i="20"/>
  <c r="Q1177" i="20"/>
  <c r="Q1176" i="20"/>
  <c r="Q1175" i="20"/>
  <c r="Q1174" i="20"/>
  <c r="Q1173" i="20" s="1"/>
  <c r="Q1171" i="20"/>
  <c r="Q1170" i="20"/>
  <c r="Q1169" i="20"/>
  <c r="Q1168" i="20"/>
  <c r="Q1167" i="20"/>
  <c r="Q1166" i="20" s="1"/>
  <c r="Q1164" i="20"/>
  <c r="Q1163" i="20"/>
  <c r="Q1162" i="20"/>
  <c r="Q1161" i="20"/>
  <c r="Q1160" i="20"/>
  <c r="Q1159" i="20" s="1"/>
  <c r="Q1157" i="20"/>
  <c r="Q1156" i="20"/>
  <c r="Q1155" i="20"/>
  <c r="Q1154" i="20"/>
  <c r="Q1153" i="20"/>
  <c r="Q1152" i="20" s="1"/>
  <c r="Q1150" i="20"/>
  <c r="Q1149" i="20"/>
  <c r="Q1148" i="20"/>
  <c r="Q1147" i="20"/>
  <c r="Q1146" i="20"/>
  <c r="Q1145" i="20" s="1"/>
  <c r="Q1143" i="20"/>
  <c r="Q1142" i="20"/>
  <c r="Q1141" i="20"/>
  <c r="Q1140" i="20"/>
  <c r="Q1139" i="20"/>
  <c r="Q1138" i="20" s="1"/>
  <c r="Q1136" i="20"/>
  <c r="Q1135" i="20"/>
  <c r="Q1134" i="20"/>
  <c r="Q1133" i="20"/>
  <c r="Q1132" i="20"/>
  <c r="Q1131" i="20" s="1"/>
  <c r="Q1129" i="20"/>
  <c r="Q1128" i="20"/>
  <c r="Q1127" i="20"/>
  <c r="Q1126" i="20"/>
  <c r="Q1125" i="20"/>
  <c r="Q1124" i="20" s="1"/>
  <c r="Q1122" i="20"/>
  <c r="Q1121" i="20"/>
  <c r="Q1120" i="20"/>
  <c r="Q1119" i="20"/>
  <c r="Q1118" i="20"/>
  <c r="Q1117" i="20" s="1"/>
  <c r="Q1115" i="20"/>
  <c r="Q1114" i="20"/>
  <c r="Q1113" i="20"/>
  <c r="Q1112" i="20"/>
  <c r="Q1111" i="20"/>
  <c r="Q1110" i="20" s="1"/>
  <c r="Q1108" i="20"/>
  <c r="Q1107" i="20"/>
  <c r="Q1106" i="20"/>
  <c r="Q1105" i="20"/>
  <c r="Q1104" i="20"/>
  <c r="Q1103" i="20" s="1"/>
  <c r="Q1101" i="20"/>
  <c r="Q1100" i="20"/>
  <c r="Q1099" i="20"/>
  <c r="Q1098" i="20"/>
  <c r="Q1097" i="20"/>
  <c r="Q1096" i="20" s="1"/>
  <c r="Q1094" i="20"/>
  <c r="Q1093" i="20"/>
  <c r="Q1092" i="20"/>
  <c r="Q1091" i="20"/>
  <c r="Q1090" i="20"/>
  <c r="Q1089" i="20" s="1"/>
  <c r="Q1087" i="20"/>
  <c r="Q1086" i="20"/>
  <c r="Q1085" i="20"/>
  <c r="Q1084" i="20"/>
  <c r="Q1083" i="20"/>
  <c r="Q1082" i="20" s="1"/>
  <c r="Q1080" i="20"/>
  <c r="Q1079" i="20"/>
  <c r="Q1078" i="20"/>
  <c r="Q1077" i="20"/>
  <c r="Q1076" i="20"/>
  <c r="Q1075" i="20" s="1"/>
  <c r="Q1073" i="20"/>
  <c r="Q1072" i="20"/>
  <c r="Q1071" i="20"/>
  <c r="Q1070" i="20"/>
  <c r="Q1069" i="20"/>
  <c r="Q1068" i="20" s="1"/>
  <c r="Q1066" i="20"/>
  <c r="Q1065" i="20"/>
  <c r="Q1064" i="20"/>
  <c r="Q1063" i="20"/>
  <c r="Q1062" i="20"/>
  <c r="Q1061" i="20" s="1"/>
  <c r="Q1059" i="20"/>
  <c r="Q1058" i="20"/>
  <c r="Q1057" i="20"/>
  <c r="Q1056" i="20"/>
  <c r="Q1055" i="20"/>
  <c r="Q1054" i="20" s="1"/>
  <c r="Q1052" i="20"/>
  <c r="Q1051" i="20"/>
  <c r="Q1050" i="20"/>
  <c r="Q1049" i="20"/>
  <c r="Q1048" i="20"/>
  <c r="Q1047" i="20" s="1"/>
  <c r="Q1045" i="20"/>
  <c r="Q1044" i="20"/>
  <c r="Q1043" i="20"/>
  <c r="Q1042" i="20"/>
  <c r="Q1041" i="20"/>
  <c r="Q1040" i="20" s="1"/>
  <c r="Q1038" i="20"/>
  <c r="Q1037" i="20"/>
  <c r="Q1036" i="20"/>
  <c r="Q841" i="20"/>
  <c r="Q1035" i="20"/>
  <c r="Q1034" i="20"/>
  <c r="Q1033" i="20" s="1"/>
  <c r="Q1031" i="20"/>
  <c r="Q1030" i="20"/>
  <c r="Q1029" i="20"/>
  <c r="Q1028" i="20"/>
  <c r="Q1027" i="20"/>
  <c r="Q1026" i="20" s="1"/>
  <c r="Q1024" i="20"/>
  <c r="Q1023" i="20"/>
  <c r="Q1022" i="20"/>
  <c r="Q1021" i="20"/>
  <c r="Q1020" i="20"/>
  <c r="Q1019" i="20" s="1"/>
  <c r="Q1017" i="20"/>
  <c r="Q1016" i="20"/>
  <c r="Q1015" i="20"/>
  <c r="Q1014" i="20"/>
  <c r="Q1013" i="20"/>
  <c r="Q1012" i="20" s="1"/>
  <c r="Q1010" i="20"/>
  <c r="Q1009" i="20"/>
  <c r="Q1008" i="20"/>
  <c r="Q1007" i="20"/>
  <c r="Q1006" i="20"/>
  <c r="Q1005" i="20" s="1"/>
  <c r="Q1003" i="20"/>
  <c r="Q1002" i="20"/>
  <c r="Q1001" i="20"/>
  <c r="Q1000" i="20"/>
  <c r="Q999" i="20"/>
  <c r="Q998" i="20" s="1"/>
  <c r="Q996" i="20"/>
  <c r="Q995" i="20"/>
  <c r="Q994" i="20"/>
  <c r="Q993" i="20"/>
  <c r="Q992" i="20"/>
  <c r="Q991" i="20" s="1"/>
  <c r="Q989" i="20"/>
  <c r="Q988" i="20"/>
  <c r="Q987" i="20"/>
  <c r="Q986" i="20"/>
  <c r="Q985" i="20"/>
  <c r="Q984" i="20" s="1"/>
  <c r="Q982" i="20"/>
  <c r="Q981" i="20"/>
  <c r="Q980" i="20"/>
  <c r="Q979" i="20"/>
  <c r="Q978" i="20"/>
  <c r="Q977" i="20" s="1"/>
  <c r="Q975" i="20"/>
  <c r="Q974" i="20"/>
  <c r="Q973" i="20"/>
  <c r="Q972" i="20"/>
  <c r="Q971" i="20"/>
  <c r="Q970" i="20" s="1"/>
  <c r="Q968" i="20"/>
  <c r="Q967" i="20"/>
  <c r="Q966" i="20"/>
  <c r="Q965" i="20"/>
  <c r="Q964" i="20"/>
  <c r="Q963" i="20" s="1"/>
  <c r="Q961" i="20"/>
  <c r="Q960" i="20"/>
  <c r="Q959" i="20"/>
  <c r="Q958" i="20"/>
  <c r="Q957" i="20"/>
  <c r="Q954" i="20"/>
  <c r="Q953" i="20"/>
  <c r="Q952" i="20"/>
  <c r="Q951" i="20"/>
  <c r="Q950" i="20"/>
  <c r="Q949" i="20" s="1"/>
  <c r="Q947" i="20"/>
  <c r="Q946" i="20"/>
  <c r="Q945" i="20"/>
  <c r="Q944" i="20"/>
  <c r="Q943" i="20"/>
  <c r="Q942" i="20" s="1"/>
  <c r="Q940" i="20"/>
  <c r="Q939" i="20"/>
  <c r="Q938" i="20"/>
  <c r="Q937" i="20"/>
  <c r="Q936" i="20"/>
  <c r="Q935" i="20" s="1"/>
  <c r="Q933" i="20"/>
  <c r="Q932" i="20"/>
  <c r="Q931" i="20"/>
  <c r="Q930" i="20"/>
  <c r="Q929" i="20"/>
  <c r="Q928" i="20" s="1"/>
  <c r="Q926" i="20"/>
  <c r="Q925" i="20"/>
  <c r="Q924" i="20"/>
  <c r="Q923" i="20"/>
  <c r="Q922" i="20"/>
  <c r="Q921" i="20" s="1"/>
  <c r="Q919" i="20"/>
  <c r="Q918" i="20"/>
  <c r="Q917" i="20"/>
  <c r="Q916" i="20"/>
  <c r="Q915" i="20"/>
  <c r="Q914" i="20" s="1"/>
  <c r="Q912" i="20"/>
  <c r="Q911" i="20"/>
  <c r="Q910" i="20"/>
  <c r="Q909" i="20"/>
  <c r="Q908" i="20"/>
  <c r="Q907" i="20" s="1"/>
  <c r="Q905" i="20"/>
  <c r="Q904" i="20"/>
  <c r="Q903" i="20"/>
  <c r="Q902" i="20"/>
  <c r="Q901" i="20"/>
  <c r="Q898" i="20"/>
  <c r="Q897" i="20"/>
  <c r="Q896" i="20"/>
  <c r="Q895" i="20"/>
  <c r="Q894" i="20"/>
  <c r="Q893" i="20" s="1"/>
  <c r="Q891" i="20"/>
  <c r="Q890" i="20"/>
  <c r="Q889" i="20"/>
  <c r="Q888" i="20"/>
  <c r="Q887" i="20"/>
  <c r="Q886" i="20" s="1"/>
  <c r="Q884" i="20"/>
  <c r="Q883" i="20"/>
  <c r="Q882" i="20"/>
  <c r="Q881" i="20"/>
  <c r="Q685" i="20"/>
  <c r="Q684" i="20"/>
  <c r="Q683" i="20" s="1"/>
  <c r="Q681" i="20"/>
  <c r="Q680" i="20"/>
  <c r="Q679" i="20"/>
  <c r="Q678" i="20"/>
  <c r="Q677" i="20"/>
  <c r="Q676" i="20" s="1"/>
  <c r="Q674" i="20"/>
  <c r="Q673" i="20"/>
  <c r="Q672" i="20"/>
  <c r="Q671" i="20"/>
  <c r="Q670" i="20"/>
  <c r="Q669" i="20" s="1"/>
  <c r="Q667" i="20"/>
  <c r="Q666" i="20"/>
  <c r="Q665" i="20"/>
  <c r="Q664" i="20"/>
  <c r="Q663" i="20"/>
  <c r="Q662" i="20" s="1"/>
  <c r="Q660" i="20"/>
  <c r="Q659" i="20"/>
  <c r="Q658" i="20"/>
  <c r="Q657" i="20"/>
  <c r="Q656" i="20"/>
  <c r="Q653" i="20"/>
  <c r="Q652" i="20"/>
  <c r="Q651" i="20"/>
  <c r="Q650" i="20"/>
  <c r="Q649" i="20"/>
  <c r="Q648" i="20" s="1"/>
  <c r="Q646" i="20"/>
  <c r="Q645" i="20"/>
  <c r="Q644" i="20"/>
  <c r="Q643" i="20"/>
  <c r="Q642" i="20"/>
  <c r="Q641" i="20" s="1"/>
  <c r="Q639" i="20"/>
  <c r="Q638" i="20"/>
  <c r="Q637" i="20"/>
  <c r="Q636" i="20"/>
  <c r="Q635" i="20"/>
  <c r="Q634" i="20" s="1"/>
  <c r="Q632" i="20"/>
  <c r="Q631" i="20"/>
  <c r="Q630" i="20"/>
  <c r="Q629" i="20"/>
  <c r="Q628" i="20"/>
  <c r="Q627" i="20" s="1"/>
  <c r="Q625" i="20"/>
  <c r="Q624" i="20"/>
  <c r="Q623" i="20"/>
  <c r="Q622" i="20"/>
  <c r="Q621" i="20"/>
  <c r="Q620" i="20" s="1"/>
  <c r="Q618" i="20"/>
  <c r="Q617" i="20"/>
  <c r="Q616" i="20"/>
  <c r="Q615" i="20"/>
  <c r="Q614" i="20"/>
  <c r="Q613" i="20" s="1"/>
  <c r="Q611" i="20"/>
  <c r="Q610" i="20"/>
  <c r="Q609" i="20"/>
  <c r="Q608" i="20"/>
  <c r="Q607" i="20"/>
  <c r="Q606" i="20" s="1"/>
  <c r="Q604" i="20"/>
  <c r="Q603" i="20"/>
  <c r="Q602" i="20"/>
  <c r="Q601" i="20"/>
  <c r="Q600" i="20"/>
  <c r="Q599" i="20" s="1"/>
  <c r="Q597" i="20"/>
  <c r="Q596" i="20"/>
  <c r="Q595" i="20"/>
  <c r="Q594" i="20"/>
  <c r="Q593" i="20"/>
  <c r="Q592" i="20" s="1"/>
  <c r="Q590" i="20"/>
  <c r="Q589" i="20"/>
  <c r="Q588" i="20"/>
  <c r="Q587" i="20"/>
  <c r="Q586" i="20"/>
  <c r="Q585" i="20" s="1"/>
  <c r="Q583" i="20"/>
  <c r="Q582" i="20"/>
  <c r="Q581" i="20"/>
  <c r="Q580" i="20"/>
  <c r="Q579" i="20"/>
  <c r="Q578" i="20" s="1"/>
  <c r="Q576" i="20"/>
  <c r="Q575" i="20"/>
  <c r="Q574" i="20"/>
  <c r="Q573" i="20"/>
  <c r="Q572" i="20"/>
  <c r="Q571" i="20" s="1"/>
  <c r="Q569" i="20"/>
  <c r="Q568" i="20"/>
  <c r="Q567" i="20"/>
  <c r="Q566" i="20"/>
  <c r="Q565" i="20"/>
  <c r="Q564" i="20" s="1"/>
  <c r="Q562" i="20"/>
  <c r="Q561" i="20"/>
  <c r="Q560" i="20"/>
  <c r="Q559" i="20"/>
  <c r="Q558" i="20"/>
  <c r="Q557" i="20" s="1"/>
  <c r="Q555" i="20"/>
  <c r="Q554" i="20"/>
  <c r="Q553" i="20"/>
  <c r="Q552" i="20"/>
  <c r="Q551" i="20"/>
  <c r="Q550" i="20" s="1"/>
  <c r="Q548" i="20"/>
  <c r="Q547" i="20"/>
  <c r="Q546" i="20"/>
  <c r="Q545" i="20"/>
  <c r="Q544" i="20"/>
  <c r="Q543" i="20" s="1"/>
  <c r="Q541" i="20"/>
  <c r="Q540" i="20"/>
  <c r="Q539" i="20"/>
  <c r="Q538" i="20"/>
  <c r="Q537" i="20"/>
  <c r="Q536" i="20" s="1"/>
  <c r="Q534" i="20"/>
  <c r="Q533" i="20"/>
  <c r="Q532" i="20"/>
  <c r="Q531" i="20"/>
  <c r="Q530" i="20"/>
  <c r="Q529" i="20" s="1"/>
  <c r="Q527" i="20"/>
  <c r="Q526" i="20"/>
  <c r="Q525" i="20"/>
  <c r="Q524" i="20"/>
  <c r="Q523" i="20"/>
  <c r="Q522" i="20" s="1"/>
  <c r="Q520" i="20"/>
  <c r="Q519" i="20"/>
  <c r="Q518" i="20"/>
  <c r="Q517" i="20"/>
  <c r="Q516" i="20"/>
  <c r="Q515" i="20" s="1"/>
  <c r="Q513" i="20"/>
  <c r="Q512" i="20"/>
  <c r="Q511" i="20"/>
  <c r="Q510" i="20"/>
  <c r="Q509" i="20"/>
  <c r="Q508" i="20" s="1"/>
  <c r="Q506" i="20"/>
  <c r="Q505" i="20"/>
  <c r="Q504" i="20"/>
  <c r="Q503" i="20"/>
  <c r="Q502" i="20"/>
  <c r="Q501" i="20" s="1"/>
  <c r="Q499" i="20"/>
  <c r="Q498" i="20"/>
  <c r="Q497" i="20"/>
  <c r="Q496" i="20"/>
  <c r="Q495" i="20"/>
  <c r="Q494" i="20" s="1"/>
  <c r="Q492" i="20"/>
  <c r="Q491" i="20"/>
  <c r="Q490" i="20"/>
  <c r="Q489" i="20"/>
  <c r="Q488" i="20"/>
  <c r="Q487" i="20" s="1"/>
  <c r="Q485" i="20"/>
  <c r="Q484" i="20"/>
  <c r="Q483" i="20"/>
  <c r="Q482" i="20"/>
  <c r="Q481" i="20"/>
  <c r="Q478" i="20"/>
  <c r="Q477" i="20"/>
  <c r="Q476" i="20"/>
  <c r="Q475" i="20"/>
  <c r="Q474" i="20"/>
  <c r="Q473" i="20" s="1"/>
  <c r="Q471" i="20"/>
  <c r="Q470" i="20"/>
  <c r="Q469" i="20"/>
  <c r="Q468" i="20"/>
  <c r="Q467" i="20"/>
  <c r="Q466" i="20" s="1"/>
  <c r="Q464" i="20"/>
  <c r="Q463" i="20"/>
  <c r="Q462" i="20"/>
  <c r="Q461" i="20"/>
  <c r="Q460" i="20"/>
  <c r="Q459" i="20" s="1"/>
  <c r="Q457" i="20"/>
  <c r="Q456" i="20"/>
  <c r="Q455" i="20"/>
  <c r="Q454" i="20"/>
  <c r="Q453" i="20"/>
  <c r="Q452" i="20" s="1"/>
  <c r="Q450" i="20"/>
  <c r="Q449" i="20"/>
  <c r="Q448" i="20"/>
  <c r="Q447" i="20"/>
  <c r="Q446" i="20"/>
  <c r="Q445" i="20" s="1"/>
  <c r="Q443" i="20"/>
  <c r="Q442" i="20"/>
  <c r="Q441" i="20"/>
  <c r="Q440" i="20"/>
  <c r="Q439" i="20"/>
  <c r="Q438" i="20" s="1"/>
  <c r="Q436" i="20"/>
  <c r="Q880" i="20"/>
  <c r="Q879" i="20" s="1"/>
  <c r="Q434" i="20"/>
  <c r="Q433" i="20"/>
  <c r="Q432" i="20"/>
  <c r="Q429" i="20"/>
  <c r="Q428" i="20"/>
  <c r="Q427" i="20"/>
  <c r="Q426" i="20"/>
  <c r="Q425" i="20"/>
  <c r="Q424" i="20" s="1"/>
  <c r="Q422" i="20"/>
  <c r="Q421" i="20"/>
  <c r="Q420" i="20"/>
  <c r="Q419" i="20"/>
  <c r="Q418" i="20"/>
  <c r="Q417" i="20" s="1"/>
  <c r="Q415" i="20"/>
  <c r="Q414" i="20"/>
  <c r="Q413" i="20"/>
  <c r="Q412" i="20"/>
  <c r="Q411" i="20"/>
  <c r="Q408" i="20"/>
  <c r="Q407" i="20"/>
  <c r="Q406" i="20"/>
  <c r="Q405" i="20"/>
  <c r="Q404" i="20"/>
  <c r="Q403" i="20" s="1"/>
  <c r="Q401" i="20"/>
  <c r="Q400" i="20"/>
  <c r="Q399" i="20"/>
  <c r="Q398" i="20"/>
  <c r="Q397" i="20"/>
  <c r="Q396" i="20" s="1"/>
  <c r="Q394" i="20"/>
  <c r="Q393" i="20"/>
  <c r="Q392" i="20"/>
  <c r="Q391" i="20"/>
  <c r="Q390" i="20"/>
  <c r="Q389" i="20" s="1"/>
  <c r="Q387" i="20"/>
  <c r="Q386" i="20"/>
  <c r="Q385" i="20"/>
  <c r="Q384" i="20"/>
  <c r="Q383" i="20"/>
  <c r="Q382" i="20" s="1"/>
  <c r="Q380" i="20"/>
  <c r="Q379" i="20"/>
  <c r="Q378" i="20"/>
  <c r="Q377" i="20"/>
  <c r="Q376" i="20"/>
  <c r="Q375" i="20" s="1"/>
  <c r="Q373" i="20"/>
  <c r="Q372" i="20"/>
  <c r="Q371" i="20"/>
  <c r="Q370" i="20"/>
  <c r="Q369" i="20"/>
  <c r="Q366" i="20"/>
  <c r="Q365" i="20"/>
  <c r="Q364" i="20"/>
  <c r="Q363" i="20"/>
  <c r="Q362" i="20"/>
  <c r="Q361" i="20" s="1"/>
  <c r="Q359" i="20"/>
  <c r="Q358" i="20"/>
  <c r="Q357" i="20"/>
  <c r="Q356" i="20"/>
  <c r="Q355" i="20"/>
  <c r="Q354" i="20" s="1"/>
  <c r="Q352" i="20"/>
  <c r="Q351" i="20"/>
  <c r="Q350" i="20"/>
  <c r="Q349" i="20"/>
  <c r="Q348" i="20"/>
  <c r="Q347" i="20" s="1"/>
  <c r="Q345" i="20"/>
  <c r="Q344" i="20"/>
  <c r="Q343" i="20"/>
  <c r="Q342" i="20"/>
  <c r="Q341" i="20"/>
  <c r="Q340" i="20" s="1"/>
  <c r="Q338" i="20"/>
  <c r="Q337" i="20"/>
  <c r="Q336" i="20"/>
  <c r="Q335" i="20"/>
  <c r="Q334" i="20"/>
  <c r="Q333" i="20" s="1"/>
  <c r="Q331" i="20"/>
  <c r="Q330" i="20"/>
  <c r="Q329" i="20"/>
  <c r="Q328" i="20"/>
  <c r="Q327" i="20"/>
  <c r="Q326" i="20" s="1"/>
  <c r="Q324" i="20"/>
  <c r="Q323" i="20"/>
  <c r="Q322" i="20"/>
  <c r="Q321" i="20"/>
  <c r="Q320" i="20"/>
  <c r="Q319" i="20" s="1"/>
  <c r="Q317" i="20"/>
  <c r="Q316" i="20"/>
  <c r="Q315" i="20"/>
  <c r="Q314" i="20"/>
  <c r="Q313" i="20"/>
  <c r="Q312" i="20" s="1"/>
  <c r="Q310" i="20"/>
  <c r="Q309" i="20"/>
  <c r="Q308" i="20"/>
  <c r="Q307" i="20"/>
  <c r="Q306" i="20"/>
  <c r="Q305" i="20" s="1"/>
  <c r="Q303" i="20"/>
  <c r="Q302" i="20"/>
  <c r="Q301" i="20"/>
  <c r="Q300" i="20"/>
  <c r="Q299" i="20"/>
  <c r="Q298" i="20" s="1"/>
  <c r="Q296" i="20"/>
  <c r="Q295" i="20"/>
  <c r="Q294" i="20"/>
  <c r="Q293" i="20"/>
  <c r="Q292" i="20"/>
  <c r="Q291" i="20" s="1"/>
  <c r="Q289" i="20"/>
  <c r="Q288" i="20"/>
  <c r="Q287" i="20"/>
  <c r="Q286" i="20"/>
  <c r="Q285" i="20"/>
  <c r="Q284" i="20" s="1"/>
  <c r="Q282" i="20"/>
  <c r="Q281" i="20"/>
  <c r="Q280" i="20"/>
  <c r="Q279" i="20"/>
  <c r="Q278" i="20"/>
  <c r="Q277" i="20" s="1"/>
  <c r="Q275" i="20"/>
  <c r="Q274" i="20"/>
  <c r="Q273" i="20"/>
  <c r="Q272" i="20"/>
  <c r="Q271" i="20"/>
  <c r="Q270" i="20" s="1"/>
  <c r="Q268" i="20"/>
  <c r="Q267" i="20"/>
  <c r="Q266" i="20"/>
  <c r="Q265" i="20"/>
  <c r="Q264" i="20"/>
  <c r="Q263" i="20" s="1"/>
  <c r="Q261" i="20"/>
  <c r="Q260" i="20"/>
  <c r="Q259" i="20"/>
  <c r="Q258" i="20"/>
  <c r="Q257" i="20"/>
  <c r="Q256" i="20" s="1"/>
  <c r="Q254" i="20"/>
  <c r="Q253" i="20"/>
  <c r="Q252" i="20"/>
  <c r="Q251" i="20"/>
  <c r="Q250" i="20"/>
  <c r="Q249" i="20" s="1"/>
  <c r="Q247" i="20"/>
  <c r="Q246" i="20"/>
  <c r="Q245" i="20"/>
  <c r="Q244" i="20"/>
  <c r="Q243" i="20"/>
  <c r="Q242" i="20" s="1"/>
  <c r="Q240" i="20"/>
  <c r="Q239" i="20"/>
  <c r="Q238" i="20"/>
  <c r="Q237" i="20"/>
  <c r="Q236" i="20"/>
  <c r="Q235" i="20" s="1"/>
  <c r="Q233" i="20"/>
  <c r="Q232" i="20"/>
  <c r="Q231" i="20"/>
  <c r="Q230" i="20"/>
  <c r="Q229" i="20"/>
  <c r="Q228" i="20" s="1"/>
  <c r="Q226" i="20"/>
  <c r="Q225" i="20"/>
  <c r="Q224" i="20"/>
  <c r="Q223" i="20"/>
  <c r="Q222" i="20"/>
  <c r="Q221" i="20" s="1"/>
  <c r="Q219" i="20"/>
  <c r="Q218" i="20"/>
  <c r="Q217" i="20"/>
  <c r="Q216" i="20"/>
  <c r="Q215" i="20"/>
  <c r="Q214" i="20" s="1"/>
  <c r="Q212" i="20"/>
  <c r="Q211" i="20"/>
  <c r="Q210" i="20"/>
  <c r="Q209" i="20"/>
  <c r="Q208" i="20"/>
  <c r="Q207" i="20" s="1"/>
  <c r="Q205" i="20"/>
  <c r="Q204" i="20"/>
  <c r="Q203" i="20"/>
  <c r="Q202" i="20"/>
  <c r="Q201" i="20"/>
  <c r="Q200" i="20" s="1"/>
  <c r="Q198" i="20"/>
  <c r="Q197" i="20"/>
  <c r="Q196" i="20"/>
  <c r="Q195" i="20"/>
  <c r="Q194" i="20"/>
  <c r="Q193" i="20" s="1"/>
  <c r="Q191" i="20"/>
  <c r="Q190" i="20"/>
  <c r="Q189" i="20"/>
  <c r="Q188" i="20"/>
  <c r="Q187" i="20"/>
  <c r="Q186" i="20" s="1"/>
  <c r="Q184" i="20"/>
  <c r="Q183" i="20"/>
  <c r="Q182" i="20"/>
  <c r="Q181" i="20"/>
  <c r="Q180" i="20"/>
  <c r="Q179" i="20" s="1"/>
  <c r="Q177" i="20"/>
  <c r="Q176" i="20"/>
  <c r="Q175" i="20"/>
  <c r="Q174" i="20"/>
  <c r="Q173" i="20"/>
  <c r="Q172" i="20" s="1"/>
  <c r="Q170" i="20"/>
  <c r="Q169" i="20"/>
  <c r="Q168" i="20"/>
  <c r="Q167" i="20"/>
  <c r="Q166" i="20"/>
  <c r="Q165" i="20" s="1"/>
  <c r="Q163" i="20"/>
  <c r="Q162" i="20"/>
  <c r="Q161" i="20"/>
  <c r="Q160" i="20"/>
  <c r="Q159" i="20"/>
  <c r="Q158" i="20" s="1"/>
  <c r="Q156" i="20"/>
  <c r="Q155" i="20"/>
  <c r="Q154" i="20"/>
  <c r="Q153" i="20"/>
  <c r="Q152" i="20"/>
  <c r="Q151" i="20" s="1"/>
  <c r="Q149" i="20"/>
  <c r="Q148" i="20"/>
  <c r="Q147" i="20"/>
  <c r="Q146" i="20"/>
  <c r="Q145" i="20"/>
  <c r="Q144" i="20" s="1"/>
  <c r="Q142" i="20"/>
  <c r="Q141" i="20"/>
  <c r="Q140" i="20"/>
  <c r="Q139" i="20"/>
  <c r="Q138" i="20"/>
  <c r="Q137" i="20" s="1"/>
  <c r="Q135" i="20"/>
  <c r="Q134" i="20"/>
  <c r="Q133" i="20"/>
  <c r="Q132" i="20"/>
  <c r="Q131" i="20"/>
  <c r="Q130" i="20" s="1"/>
  <c r="Q128" i="20"/>
  <c r="Q127" i="20"/>
  <c r="Q126" i="20"/>
  <c r="Q125" i="20"/>
  <c r="Q124" i="20"/>
  <c r="Q123" i="20" s="1"/>
  <c r="Q121" i="20"/>
  <c r="Q120" i="20"/>
  <c r="Q119" i="20"/>
  <c r="Q118" i="20"/>
  <c r="Q117" i="20"/>
  <c r="Q116" i="20" s="1"/>
  <c r="Q114" i="20"/>
  <c r="Q113" i="20"/>
  <c r="Q112" i="20"/>
  <c r="Q111" i="20"/>
  <c r="Q110" i="20"/>
  <c r="Q109" i="20" s="1"/>
  <c r="Q107" i="20"/>
  <c r="Q106" i="20"/>
  <c r="Q105" i="20"/>
  <c r="Q104" i="20"/>
  <c r="Q103" i="20"/>
  <c r="Q102" i="20" s="1"/>
  <c r="Q100" i="20"/>
  <c r="Q99" i="20"/>
  <c r="Q98" i="20"/>
  <c r="Q97" i="20"/>
  <c r="Q96" i="20"/>
  <c r="Q95" i="20" s="1"/>
  <c r="Q93" i="20"/>
  <c r="Q92" i="20"/>
  <c r="Q91" i="20"/>
  <c r="Q90" i="20"/>
  <c r="Q89" i="20"/>
  <c r="Q88" i="20" s="1"/>
  <c r="Q86" i="20"/>
  <c r="Q85" i="20"/>
  <c r="Q84" i="20"/>
  <c r="Q83" i="20"/>
  <c r="Q82" i="20"/>
  <c r="Q81" i="20" s="1"/>
  <c r="Q79" i="20"/>
  <c r="Q78" i="20"/>
  <c r="Q77" i="20"/>
  <c r="Q76" i="20"/>
  <c r="Q75" i="20"/>
  <c r="Q74" i="20" s="1"/>
  <c r="Q72" i="20"/>
  <c r="Q71" i="20"/>
  <c r="Q70" i="20"/>
  <c r="Q69" i="20"/>
  <c r="Q68" i="20"/>
  <c r="Q67" i="20" s="1"/>
  <c r="Q65" i="20"/>
  <c r="Q64" i="20"/>
  <c r="Q63" i="20"/>
  <c r="Q62" i="20"/>
  <c r="Q61" i="20"/>
  <c r="Q60" i="20" s="1"/>
  <c r="Q58" i="20"/>
  <c r="Q57" i="20"/>
  <c r="Q56" i="20"/>
  <c r="Q55" i="20"/>
  <c r="Q54" i="20"/>
  <c r="Q53" i="20" s="1"/>
  <c r="Q51" i="20"/>
  <c r="Q50" i="20"/>
  <c r="Q49" i="20"/>
  <c r="Q48" i="20"/>
  <c r="Q47" i="20"/>
  <c r="Q46" i="20" s="1"/>
  <c r="Q44" i="20"/>
  <c r="Q43" i="20"/>
  <c r="Q42" i="20"/>
  <c r="Q41" i="20"/>
  <c r="Q40" i="20"/>
  <c r="Q39" i="20" s="1"/>
  <c r="Q37" i="20"/>
  <c r="Q36" i="20"/>
  <c r="Q35" i="20"/>
  <c r="Q34" i="20"/>
  <c r="Q435" i="20"/>
  <c r="Q431" i="20" s="1"/>
  <c r="Q30" i="20"/>
  <c r="Q29" i="20"/>
  <c r="Q28" i="20"/>
  <c r="Q27" i="20"/>
  <c r="Q26" i="20"/>
  <c r="Q25" i="20" s="1"/>
  <c r="Q23" i="20"/>
  <c r="Q22" i="20"/>
  <c r="Q21" i="20"/>
  <c r="Q20" i="20"/>
  <c r="Q19" i="20"/>
  <c r="Q18" i="20" s="1"/>
  <c r="Q16" i="20"/>
  <c r="Q15" i="20"/>
  <c r="Q14" i="20"/>
  <c r="Q13" i="20"/>
  <c r="Q12" i="20"/>
  <c r="Q11" i="20" s="1"/>
  <c r="Q9" i="20"/>
  <c r="Q8" i="20"/>
  <c r="Q7" i="20"/>
  <c r="Q6" i="20"/>
  <c r="Q5" i="20"/>
  <c r="Q877" i="20"/>
  <c r="Q876" i="20"/>
  <c r="Q875" i="20"/>
  <c r="Q874" i="20"/>
  <c r="Q873" i="20"/>
  <c r="Q872" i="20" s="1"/>
  <c r="Q870" i="20"/>
  <c r="Q869" i="20"/>
  <c r="Q868" i="20"/>
  <c r="Q867" i="20"/>
  <c r="Q866" i="20"/>
  <c r="Q865" i="20" s="1"/>
  <c r="Q863" i="20"/>
  <c r="Q862" i="20"/>
  <c r="Q861" i="20"/>
  <c r="Q860" i="20"/>
  <c r="Q859" i="20"/>
  <c r="Q858" i="20" s="1"/>
  <c r="Q856" i="20"/>
  <c r="Q855" i="20"/>
  <c r="Q854" i="20"/>
  <c r="Q853" i="20"/>
  <c r="Q852" i="20"/>
  <c r="Q851" i="20" s="1"/>
  <c r="Q849" i="20"/>
  <c r="Q848" i="20"/>
  <c r="Q847" i="20"/>
  <c r="Q846" i="20"/>
  <c r="Q845" i="20"/>
  <c r="Q844" i="20" s="1"/>
  <c r="Q842" i="20"/>
  <c r="Q1619" i="20"/>
  <c r="Q1618" i="20"/>
  <c r="Q1617" i="20"/>
  <c r="Q1616" i="20"/>
  <c r="Q1615" i="20"/>
  <c r="Q1614" i="20" s="1"/>
  <c r="Q1612" i="20"/>
  <c r="Q1611" i="20"/>
  <c r="Q1610" i="20"/>
  <c r="Q1609" i="20"/>
  <c r="Q1608" i="20"/>
  <c r="Q1607" i="20" s="1"/>
  <c r="Q1605" i="20"/>
  <c r="Q1604" i="20"/>
  <c r="Q1603" i="20"/>
  <c r="Q1602" i="20"/>
  <c r="Q1601" i="20"/>
  <c r="Q1600" i="20" s="1"/>
  <c r="Q1598" i="20"/>
  <c r="Q1597" i="20"/>
  <c r="Q1596" i="20"/>
  <c r="Q1595" i="20"/>
  <c r="Q1594" i="20"/>
  <c r="Q1593" i="20" s="1"/>
  <c r="Q1591" i="20"/>
  <c r="Q1590" i="20"/>
  <c r="Q1589" i="20"/>
  <c r="Q1588" i="20"/>
  <c r="Q1587" i="20"/>
  <c r="Q1586" i="20" s="1"/>
  <c r="Q1584" i="20"/>
  <c r="Q1583" i="20"/>
  <c r="Q1582" i="20"/>
  <c r="Q1581" i="20"/>
  <c r="Q1580" i="20"/>
  <c r="Q1579" i="20" s="1"/>
  <c r="Q1577" i="20"/>
  <c r="Q1576" i="20"/>
  <c r="Q1575" i="20"/>
  <c r="Q1574" i="20"/>
  <c r="Q1573" i="20"/>
  <c r="Q1572" i="20" s="1"/>
  <c r="Q1570" i="20"/>
  <c r="Q1569" i="20"/>
  <c r="Q1568" i="20"/>
  <c r="Q1567" i="20"/>
  <c r="Q1566" i="20"/>
  <c r="Q1565" i="20" s="1"/>
  <c r="Q1563" i="20"/>
  <c r="Q1562" i="20"/>
  <c r="Q1561" i="20"/>
  <c r="Q1560" i="20"/>
  <c r="Q1559" i="20"/>
  <c r="Q1558" i="20" s="1"/>
  <c r="Q1556" i="20"/>
  <c r="Q1555" i="20"/>
  <c r="Q1554" i="20"/>
  <c r="Q1553" i="20"/>
  <c r="Q1552" i="20"/>
  <c r="Q1551" i="20" s="1"/>
  <c r="Q1549" i="20"/>
  <c r="Q1548" i="20"/>
  <c r="Q1547" i="20"/>
  <c r="Q1546" i="20"/>
  <c r="Q1545" i="20"/>
  <c r="Q1544" i="20" s="1"/>
  <c r="Q1542" i="20"/>
  <c r="Q1541" i="20"/>
  <c r="Q1540" i="20"/>
  <c r="Q1539" i="20"/>
  <c r="Q1538" i="20"/>
  <c r="Q1537" i="20" s="1"/>
  <c r="Q1535" i="20"/>
  <c r="Q1534" i="20"/>
  <c r="Q1533" i="20"/>
  <c r="Q1532" i="20"/>
  <c r="Q1531" i="20"/>
  <c r="Q1530" i="20" s="1"/>
  <c r="Q1528" i="20"/>
  <c r="Q1527" i="20"/>
  <c r="Q1526" i="20"/>
  <c r="Q1525" i="20"/>
  <c r="Q1524" i="20"/>
  <c r="Q1523" i="20" s="1"/>
  <c r="Q1521" i="20"/>
  <c r="Q1520" i="20"/>
  <c r="Q1519" i="20"/>
  <c r="Q1518" i="20"/>
  <c r="Q1517" i="20"/>
  <c r="Q1516" i="20" s="1"/>
  <c r="Q1514" i="20"/>
  <c r="Q1513" i="20"/>
  <c r="Q1512" i="20"/>
  <c r="Q1511" i="20"/>
  <c r="Q1510" i="20"/>
  <c r="Q1509" i="20" s="1"/>
  <c r="Q1507" i="20"/>
  <c r="Q1506" i="20"/>
  <c r="Q1505" i="20"/>
  <c r="Q1504" i="20"/>
  <c r="Q1503" i="20"/>
  <c r="Q1502" i="20" s="1"/>
  <c r="Q1500" i="20"/>
  <c r="Q1499" i="20"/>
  <c r="Q1498" i="20"/>
  <c r="Q1497" i="20"/>
  <c r="Q1496" i="20"/>
  <c r="Q1495" i="20" s="1"/>
  <c r="Q1493" i="20"/>
  <c r="Q1492" i="20"/>
  <c r="Q1491" i="20"/>
  <c r="Q1490" i="20"/>
  <c r="Q1489" i="20"/>
  <c r="Q1488" i="20" s="1"/>
  <c r="Q1486" i="20"/>
  <c r="Q1485" i="20"/>
  <c r="Q1484" i="20"/>
  <c r="Q1483" i="20"/>
  <c r="Q1482" i="20"/>
  <c r="Q1481" i="20" s="1"/>
  <c r="Q1479" i="20"/>
  <c r="Q1478" i="20"/>
  <c r="Q1477" i="20"/>
  <c r="Q1476" i="20"/>
  <c r="Q1475" i="20"/>
  <c r="Q1474" i="20" s="1"/>
  <c r="Q1472" i="20"/>
  <c r="Q1471" i="20"/>
  <c r="Q1470" i="20"/>
  <c r="Q1469" i="20"/>
  <c r="Q1468" i="20"/>
  <c r="Q1467" i="20" s="1"/>
  <c r="Q1465" i="20"/>
  <c r="Q1464" i="20"/>
  <c r="Q1463" i="20"/>
  <c r="Q1462" i="20"/>
  <c r="Q1461" i="20"/>
  <c r="Q1460" i="20" s="1"/>
  <c r="Q1458" i="20"/>
  <c r="Q1457" i="20"/>
  <c r="Q1456" i="20"/>
  <c r="Q1455" i="20"/>
  <c r="Q1454" i="20"/>
  <c r="Q1453" i="20" s="1"/>
  <c r="Q1451" i="20"/>
  <c r="Q1450" i="20"/>
  <c r="Q1449" i="20"/>
  <c r="Q1448" i="20"/>
  <c r="Q1447" i="20"/>
  <c r="Q1446" i="20" s="1"/>
  <c r="Q1444" i="20"/>
  <c r="Q1443" i="20"/>
  <c r="Q1442" i="20"/>
  <c r="Q1441" i="20"/>
  <c r="Q1440" i="20"/>
  <c r="Q1439" i="20" s="1"/>
  <c r="Q1437" i="20"/>
  <c r="Q1436" i="20"/>
  <c r="Q1435" i="20"/>
  <c r="Q1434" i="20"/>
  <c r="Q1433" i="20"/>
  <c r="Q1432" i="20" s="1"/>
  <c r="Q1430" i="20"/>
  <c r="Q1429" i="20"/>
  <c r="Q1428" i="20"/>
  <c r="Q1427" i="20"/>
  <c r="Q1426" i="20"/>
  <c r="Q1425" i="20" s="1"/>
  <c r="Q1423" i="20"/>
  <c r="Q1422" i="20"/>
  <c r="Q1421" i="20"/>
  <c r="Q1420" i="20"/>
  <c r="Q1419" i="20"/>
  <c r="Q1418" i="20" s="1"/>
  <c r="Q1416" i="20"/>
  <c r="Q1415" i="20"/>
  <c r="Q1414" i="20"/>
  <c r="Q1413" i="20"/>
  <c r="Q1412" i="20"/>
  <c r="Q1411" i="20" s="1"/>
  <c r="Q1409" i="20"/>
  <c r="Q1408" i="20"/>
  <c r="Q1407" i="20"/>
  <c r="Q1406" i="20"/>
  <c r="Q1405" i="20"/>
  <c r="Q1404" i="20" s="1"/>
  <c r="Q1402" i="20"/>
  <c r="Q1401" i="20"/>
  <c r="Q1400" i="20"/>
  <c r="Q1399" i="20"/>
  <c r="Q1398" i="20"/>
  <c r="Q1397" i="20" s="1"/>
  <c r="Q1395" i="20"/>
  <c r="Q1394" i="20"/>
  <c r="Q1393" i="20"/>
  <c r="Q1392" i="20"/>
  <c r="Q1391" i="20"/>
  <c r="Q1390" i="20" s="1"/>
  <c r="Q1388" i="20"/>
  <c r="Q1387" i="20"/>
  <c r="Q1386" i="20"/>
  <c r="Q1385" i="20"/>
  <c r="Q1384" i="20"/>
  <c r="Q1383" i="20" s="1"/>
  <c r="Q1381" i="20"/>
  <c r="Q1380" i="20"/>
  <c r="Q1379" i="20"/>
  <c r="Q1378" i="20"/>
  <c r="Q1377" i="20"/>
  <c r="Q1376" i="20" s="1"/>
  <c r="Q1374" i="20"/>
  <c r="Q1373" i="20"/>
  <c r="Q1372" i="20"/>
  <c r="Q1371" i="20"/>
  <c r="Q1370" i="20"/>
  <c r="Q1369" i="20" s="1"/>
  <c r="Q1367" i="20"/>
  <c r="Q1366" i="20"/>
  <c r="Q1365" i="20"/>
  <c r="Q1364" i="20"/>
  <c r="Q1363" i="20"/>
  <c r="Q1362" i="20" s="1"/>
  <c r="Q1360" i="20"/>
  <c r="Q1359" i="20"/>
  <c r="Q1358" i="20"/>
  <c r="Q1357" i="20"/>
  <c r="Q1356" i="20"/>
  <c r="Q1355" i="20" s="1"/>
  <c r="Q1353" i="20"/>
  <c r="Q1352" i="20"/>
  <c r="Q1351" i="20"/>
  <c r="Q1350" i="20"/>
  <c r="Q1349" i="20"/>
  <c r="Q1348" i="20" s="1"/>
  <c r="Q1346" i="20"/>
  <c r="Q1345" i="20"/>
  <c r="Q1344" i="20"/>
  <c r="Q1343" i="20"/>
  <c r="Q1342" i="20"/>
  <c r="Q1341" i="20" s="1"/>
  <c r="Q1339" i="20"/>
  <c r="Q1338" i="20"/>
  <c r="Q1337" i="20"/>
  <c r="Q1336" i="20"/>
  <c r="Q1335" i="20"/>
  <c r="Q1334" i="20" s="1"/>
  <c r="Q1332" i="20"/>
  <c r="Q1331" i="20"/>
  <c r="Q1330" i="20"/>
  <c r="Q1329" i="20"/>
  <c r="Q1328" i="20"/>
  <c r="Q1327" i="20" s="1"/>
  <c r="Q1325" i="20"/>
  <c r="Q1324" i="20"/>
  <c r="Q1323" i="20"/>
  <c r="Q1322" i="20"/>
  <c r="Q1321" i="20"/>
  <c r="Q1320" i="20" s="1"/>
  <c r="Q1318" i="20"/>
  <c r="Q1317" i="20"/>
  <c r="Q1316" i="20"/>
  <c r="Q1315" i="20"/>
  <c r="Q1314" i="20"/>
  <c r="Q1313" i="20" s="1"/>
  <c r="Q1311" i="20"/>
  <c r="Q1310" i="20"/>
  <c r="Q1309" i="20"/>
  <c r="Q1308" i="20"/>
  <c r="Q1307" i="20"/>
  <c r="Q1306" i="20" s="1"/>
  <c r="Q1304" i="20"/>
  <c r="Q1303" i="20"/>
  <c r="Q1302" i="20"/>
  <c r="Q1301" i="20"/>
  <c r="Q1300" i="20"/>
  <c r="Q1299" i="20" s="1"/>
  <c r="Q1297" i="20"/>
  <c r="Q1296" i="20"/>
  <c r="Q1295" i="20"/>
  <c r="Q1294" i="20"/>
  <c r="Q1293" i="20"/>
  <c r="Q1292" i="20" s="1"/>
  <c r="Q1290" i="20"/>
  <c r="Q1289" i="20"/>
  <c r="Q1288" i="20"/>
  <c r="Q1287" i="20"/>
  <c r="Q1286" i="20"/>
  <c r="Q1285" i="20" s="1"/>
  <c r="Q1283" i="20"/>
  <c r="Q1278" i="20" s="1"/>
  <c r="Q33" i="20"/>
  <c r="Q32" i="20" s="1"/>
  <c r="P1246" i="20"/>
  <c r="P1245" i="20"/>
  <c r="P1244" i="20"/>
  <c r="P1241" i="20"/>
  <c r="P1240" i="20"/>
  <c r="P1239" i="20"/>
  <c r="P1238" i="20"/>
  <c r="P1237" i="20"/>
  <c r="P1236" i="20" s="1"/>
  <c r="P1234" i="20"/>
  <c r="P1233" i="20"/>
  <c r="P1231" i="20"/>
  <c r="P1230" i="20"/>
  <c r="P1227" i="20"/>
  <c r="P1226" i="20"/>
  <c r="P1225" i="20"/>
  <c r="P1224" i="20"/>
  <c r="P1223" i="20"/>
  <c r="P1222" i="20" s="1"/>
  <c r="P1220" i="20"/>
  <c r="P1219" i="20"/>
  <c r="P1218" i="20"/>
  <c r="P1217" i="20"/>
  <c r="P1216" i="20"/>
  <c r="P1215" i="20" s="1"/>
  <c r="P1213" i="20"/>
  <c r="P1212" i="20"/>
  <c r="P1211" i="20"/>
  <c r="P1210" i="20"/>
  <c r="P1209" i="20"/>
  <c r="P1208" i="20" s="1"/>
  <c r="P1206" i="20"/>
  <c r="P1205" i="20"/>
  <c r="P1204" i="20"/>
  <c r="P1203" i="20"/>
  <c r="P1202" i="20"/>
  <c r="P1201" i="20" s="1"/>
  <c r="P1199" i="20"/>
  <c r="P1198" i="20"/>
  <c r="P1197" i="20"/>
  <c r="P1196" i="20"/>
  <c r="P1195" i="20"/>
  <c r="P1194" i="20" s="1"/>
  <c r="P1192" i="20"/>
  <c r="P1191" i="20"/>
  <c r="P1190" i="20"/>
  <c r="P1189" i="20"/>
  <c r="P1188" i="20"/>
  <c r="P1187" i="20" s="1"/>
  <c r="P1185" i="20"/>
  <c r="P1184" i="20"/>
  <c r="P1183" i="20"/>
  <c r="P1182" i="20"/>
  <c r="P1181" i="20"/>
  <c r="P1180" i="20" s="1"/>
  <c r="P1178" i="20"/>
  <c r="P1177" i="20"/>
  <c r="P1176" i="20"/>
  <c r="P1175" i="20"/>
  <c r="P1174" i="20"/>
  <c r="P1173" i="20" s="1"/>
  <c r="P1171" i="20"/>
  <c r="P1170" i="20"/>
  <c r="P1169" i="20"/>
  <c r="P1168" i="20"/>
  <c r="P1167" i="20"/>
  <c r="P1166" i="20" s="1"/>
  <c r="P1164" i="20"/>
  <c r="P1163" i="20"/>
  <c r="P1162" i="20"/>
  <c r="P1161" i="20"/>
  <c r="P1160" i="20"/>
  <c r="P1159" i="20" s="1"/>
  <c r="P1157" i="20"/>
  <c r="P1156" i="20"/>
  <c r="P1155" i="20"/>
  <c r="P1154" i="20"/>
  <c r="P1153" i="20"/>
  <c r="P1152" i="20" s="1"/>
  <c r="P1150" i="20"/>
  <c r="P1149" i="20"/>
  <c r="P1148" i="20"/>
  <c r="P1147" i="20"/>
  <c r="P1146" i="20"/>
  <c r="P1145" i="20" s="1"/>
  <c r="P1143" i="20"/>
  <c r="P1142" i="20"/>
  <c r="P1141" i="20"/>
  <c r="P1140" i="20"/>
  <c r="P1139" i="20"/>
  <c r="P1138" i="20" s="1"/>
  <c r="P1136" i="20"/>
  <c r="P1135" i="20"/>
  <c r="P1134" i="20"/>
  <c r="P1133" i="20"/>
  <c r="P1132" i="20"/>
  <c r="P1131" i="20" s="1"/>
  <c r="P1129" i="20"/>
  <c r="P1128" i="20"/>
  <c r="P1127" i="20"/>
  <c r="P1126" i="20"/>
  <c r="P1125" i="20"/>
  <c r="P1124" i="20" s="1"/>
  <c r="P1122" i="20"/>
  <c r="P1121" i="20"/>
  <c r="P1120" i="20"/>
  <c r="P1119" i="20"/>
  <c r="P1118" i="20"/>
  <c r="P1117" i="20" s="1"/>
  <c r="P1115" i="20"/>
  <c r="P1114" i="20"/>
  <c r="P1113" i="20"/>
  <c r="P1112" i="20"/>
  <c r="P1111" i="20"/>
  <c r="P1110" i="20" s="1"/>
  <c r="P1108" i="20"/>
  <c r="P1107" i="20"/>
  <c r="P1106" i="20"/>
  <c r="P1105" i="20"/>
  <c r="P1104" i="20"/>
  <c r="P1103" i="20" s="1"/>
  <c r="P1101" i="20"/>
  <c r="P1100" i="20"/>
  <c r="P1099" i="20"/>
  <c r="P1098" i="20"/>
  <c r="P1097" i="20"/>
  <c r="P1096" i="20" s="1"/>
  <c r="P1094" i="20"/>
  <c r="P1093" i="20"/>
  <c r="P1092" i="20"/>
  <c r="P1091" i="20"/>
  <c r="P1090" i="20"/>
  <c r="P1089" i="20" s="1"/>
  <c r="P1087" i="20"/>
  <c r="P1086" i="20"/>
  <c r="P1085" i="20"/>
  <c r="P1084" i="20"/>
  <c r="P1083" i="20"/>
  <c r="P1082" i="20" s="1"/>
  <c r="P1080" i="20"/>
  <c r="P1079" i="20"/>
  <c r="P1078" i="20"/>
  <c r="P1077" i="20"/>
  <c r="P1076" i="20"/>
  <c r="P1075" i="20" s="1"/>
  <c r="P1073" i="20"/>
  <c r="P1072" i="20"/>
  <c r="P1071" i="20"/>
  <c r="P1070" i="20"/>
  <c r="P1069" i="20"/>
  <c r="P1068" i="20" s="1"/>
  <c r="P1066" i="20"/>
  <c r="P1065" i="20"/>
  <c r="P1064" i="20"/>
  <c r="P1063" i="20"/>
  <c r="P1062" i="20"/>
  <c r="P1061" i="20" s="1"/>
  <c r="P1059" i="20"/>
  <c r="P1058" i="20"/>
  <c r="P1057" i="20"/>
  <c r="P1056" i="20"/>
  <c r="P1055" i="20"/>
  <c r="P1054" i="20" s="1"/>
  <c r="P1052" i="20"/>
  <c r="P1051" i="20"/>
  <c r="P1050" i="20"/>
  <c r="P1049" i="20"/>
  <c r="P1048" i="20"/>
  <c r="P1047" i="20" s="1"/>
  <c r="P1045" i="20"/>
  <c r="P1044" i="20"/>
  <c r="P1043" i="20"/>
  <c r="P1042" i="20"/>
  <c r="P1041" i="20"/>
  <c r="P1040" i="20" s="1"/>
  <c r="P1038" i="20"/>
  <c r="P1037" i="20"/>
  <c r="P1036" i="20"/>
  <c r="P1035" i="20"/>
  <c r="P1034" i="20"/>
  <c r="P1033" i="20" s="1"/>
  <c r="P1031" i="20"/>
  <c r="P1030" i="20"/>
  <c r="P1029" i="20"/>
  <c r="P1028" i="20"/>
  <c r="P1027" i="20"/>
  <c r="P1026" i="20" s="1"/>
  <c r="P1024" i="20"/>
  <c r="P1023" i="20"/>
  <c r="P1022" i="20"/>
  <c r="P1021" i="20"/>
  <c r="P1020" i="20"/>
  <c r="P1019" i="20" s="1"/>
  <c r="P1017" i="20"/>
  <c r="P1016" i="20"/>
  <c r="P1015" i="20"/>
  <c r="P1014" i="20"/>
  <c r="P1013" i="20"/>
  <c r="P1012" i="20" s="1"/>
  <c r="P1010" i="20"/>
  <c r="P1009" i="20"/>
  <c r="P1008" i="20"/>
  <c r="P1007" i="20"/>
  <c r="P1006" i="20"/>
  <c r="P1005" i="20" s="1"/>
  <c r="P1003" i="20"/>
  <c r="P1002" i="20"/>
  <c r="P1001" i="20"/>
  <c r="P1000" i="20"/>
  <c r="P999" i="20"/>
  <c r="P998" i="20" s="1"/>
  <c r="P996" i="20"/>
  <c r="P995" i="20"/>
  <c r="P994" i="20"/>
  <c r="P993" i="20"/>
  <c r="P992" i="20"/>
  <c r="P991" i="20" s="1"/>
  <c r="P989" i="20"/>
  <c r="P988" i="20"/>
  <c r="P987" i="20"/>
  <c r="P986" i="20"/>
  <c r="P985" i="20"/>
  <c r="P984" i="20" s="1"/>
  <c r="P982" i="20"/>
  <c r="P981" i="20"/>
  <c r="P980" i="20"/>
  <c r="P979" i="20"/>
  <c r="P978" i="20"/>
  <c r="P977" i="20" s="1"/>
  <c r="P975" i="20"/>
  <c r="P974" i="20"/>
  <c r="P973" i="20"/>
  <c r="P972" i="20"/>
  <c r="P971" i="20"/>
  <c r="P970" i="20" s="1"/>
  <c r="P968" i="20"/>
  <c r="P967" i="20"/>
  <c r="P966" i="20"/>
  <c r="P965" i="20"/>
  <c r="P964" i="20"/>
  <c r="P963" i="20" s="1"/>
  <c r="P961" i="20"/>
  <c r="P960" i="20"/>
  <c r="P959" i="20"/>
  <c r="P958" i="20"/>
  <c r="P957" i="20"/>
  <c r="P956" i="20" s="1"/>
  <c r="P954" i="20"/>
  <c r="P953" i="20"/>
  <c r="P952" i="20"/>
  <c r="P951" i="20"/>
  <c r="P950" i="20"/>
  <c r="P949" i="20" s="1"/>
  <c r="P947" i="20"/>
  <c r="P946" i="20"/>
  <c r="P945" i="20"/>
  <c r="P944" i="20"/>
  <c r="P943" i="20"/>
  <c r="P942" i="20" s="1"/>
  <c r="P940" i="20"/>
  <c r="P939" i="20"/>
  <c r="P938" i="20"/>
  <c r="P937" i="20"/>
  <c r="P936" i="20"/>
  <c r="P935" i="20" s="1"/>
  <c r="P933" i="20"/>
  <c r="P932" i="20"/>
  <c r="P931" i="20"/>
  <c r="P930" i="20"/>
  <c r="P929" i="20"/>
  <c r="P928" i="20" s="1"/>
  <c r="P926" i="20"/>
  <c r="P925" i="20"/>
  <c r="P924" i="20"/>
  <c r="P923" i="20"/>
  <c r="P922" i="20"/>
  <c r="P921" i="20" s="1"/>
  <c r="P919" i="20"/>
  <c r="P918" i="20"/>
  <c r="P917" i="20"/>
  <c r="P916" i="20"/>
  <c r="P915" i="20"/>
  <c r="P914" i="20" s="1"/>
  <c r="P912" i="20"/>
  <c r="P911" i="20"/>
  <c r="P910" i="20"/>
  <c r="P909" i="20"/>
  <c r="P908" i="20"/>
  <c r="P907" i="20" s="1"/>
  <c r="P905" i="20"/>
  <c r="P904" i="20"/>
  <c r="P903" i="20"/>
  <c r="P902" i="20"/>
  <c r="P901" i="20"/>
  <c r="P900" i="20" s="1"/>
  <c r="P898" i="20"/>
  <c r="P897" i="20"/>
  <c r="P896" i="20"/>
  <c r="P895" i="20"/>
  <c r="P894" i="20"/>
  <c r="P893" i="20" s="1"/>
  <c r="P891" i="20"/>
  <c r="P890" i="20"/>
  <c r="P889" i="20"/>
  <c r="P888" i="20"/>
  <c r="P887" i="20"/>
  <c r="P886" i="20" s="1"/>
  <c r="P884" i="20"/>
  <c r="P883" i="20"/>
  <c r="P882" i="20"/>
  <c r="P881" i="20"/>
  <c r="P880" i="20"/>
  <c r="P879" i="20" s="1"/>
  <c r="P877" i="20"/>
  <c r="P876" i="20"/>
  <c r="P875" i="20"/>
  <c r="P874" i="20"/>
  <c r="P873" i="20"/>
  <c r="P872" i="20" s="1"/>
  <c r="P870" i="20"/>
  <c r="P869" i="20"/>
  <c r="P868" i="20"/>
  <c r="P867" i="20"/>
  <c r="P866" i="20"/>
  <c r="P865" i="20" s="1"/>
  <c r="P863" i="20"/>
  <c r="P862" i="20"/>
  <c r="P861" i="20"/>
  <c r="P860" i="20"/>
  <c r="P859" i="20"/>
  <c r="P858" i="20" s="1"/>
  <c r="P856" i="20"/>
  <c r="P855" i="20"/>
  <c r="P854" i="20"/>
  <c r="P853" i="20"/>
  <c r="P852" i="20"/>
  <c r="P851" i="20" s="1"/>
  <c r="P849" i="20"/>
  <c r="P848" i="20"/>
  <c r="P847" i="20"/>
  <c r="P846" i="20"/>
  <c r="P845" i="20"/>
  <c r="P844" i="20" s="1"/>
  <c r="P842" i="20"/>
  <c r="P841" i="20"/>
  <c r="P840" i="20"/>
  <c r="P839" i="20"/>
  <c r="P838" i="20"/>
  <c r="P837" i="20" s="1"/>
  <c r="P835" i="20"/>
  <c r="P834" i="20"/>
  <c r="P833" i="20"/>
  <c r="P832" i="20"/>
  <c r="P831" i="20"/>
  <c r="P830" i="20" s="1"/>
  <c r="P828" i="20"/>
  <c r="P827" i="20"/>
  <c r="P826" i="20"/>
  <c r="P825" i="20"/>
  <c r="P824" i="20"/>
  <c r="P823" i="20" s="1"/>
  <c r="P821" i="20"/>
  <c r="P820" i="20"/>
  <c r="P819" i="20"/>
  <c r="P818" i="20"/>
  <c r="P817" i="20"/>
  <c r="P816" i="20" s="1"/>
  <c r="P814" i="20"/>
  <c r="P813" i="20"/>
  <c r="P812" i="20"/>
  <c r="P811" i="20"/>
  <c r="P810" i="20"/>
  <c r="P809" i="20" s="1"/>
  <c r="P807" i="20"/>
  <c r="P806" i="20"/>
  <c r="P805" i="20"/>
  <c r="P804" i="20"/>
  <c r="P803" i="20"/>
  <c r="P802" i="20" s="1"/>
  <c r="P800" i="20"/>
  <c r="P799" i="20"/>
  <c r="P798" i="20"/>
  <c r="P797" i="20"/>
  <c r="P796" i="20"/>
  <c r="P795" i="20" s="1"/>
  <c r="P793" i="20"/>
  <c r="P792" i="20"/>
  <c r="P791" i="20"/>
  <c r="P790" i="20"/>
  <c r="P789" i="20"/>
  <c r="P788" i="20" s="1"/>
  <c r="P786" i="20"/>
  <c r="P1232" i="20"/>
  <c r="P1619" i="20"/>
  <c r="P1618" i="20"/>
  <c r="P1617" i="20"/>
  <c r="P1616" i="20"/>
  <c r="P1615" i="20"/>
  <c r="P1614" i="20" s="1"/>
  <c r="P1612" i="20"/>
  <c r="P1611" i="20"/>
  <c r="P1610" i="20"/>
  <c r="P1609" i="20"/>
  <c r="P1608" i="20"/>
  <c r="P1607" i="20" s="1"/>
  <c r="P1605" i="20"/>
  <c r="P1604" i="20"/>
  <c r="P1603" i="20"/>
  <c r="P1602" i="20"/>
  <c r="P1601" i="20"/>
  <c r="P1600" i="20" s="1"/>
  <c r="P1598" i="20"/>
  <c r="P1597" i="20"/>
  <c r="P1596" i="20"/>
  <c r="P1595" i="20"/>
  <c r="P1594" i="20"/>
  <c r="P1593" i="20" s="1"/>
  <c r="P1591" i="20"/>
  <c r="P1590" i="20"/>
  <c r="P1589" i="20"/>
  <c r="P1588" i="20"/>
  <c r="P1587" i="20"/>
  <c r="P1586" i="20" s="1"/>
  <c r="P1584" i="20"/>
  <c r="P1583" i="20"/>
  <c r="P1582" i="20"/>
  <c r="P1581" i="20"/>
  <c r="P1580" i="20"/>
  <c r="P1579" i="20" s="1"/>
  <c r="P1577" i="20"/>
  <c r="P1576" i="20"/>
  <c r="P1575" i="20"/>
  <c r="P1574" i="20"/>
  <c r="P1573" i="20"/>
  <c r="P1572" i="20" s="1"/>
  <c r="P1570" i="20"/>
  <c r="P1569" i="20"/>
  <c r="P1568" i="20"/>
  <c r="P1567" i="20"/>
  <c r="P1566" i="20"/>
  <c r="P1565" i="20" s="1"/>
  <c r="P1563" i="20"/>
  <c r="P1562" i="20"/>
  <c r="P1561" i="20"/>
  <c r="P1560" i="20"/>
  <c r="P1559" i="20"/>
  <c r="P1558" i="20" s="1"/>
  <c r="P1556" i="20"/>
  <c r="P1555" i="20"/>
  <c r="P1554" i="20"/>
  <c r="P1553" i="20"/>
  <c r="P1552" i="20"/>
  <c r="P1551" i="20" s="1"/>
  <c r="P785" i="20"/>
  <c r="P784" i="20"/>
  <c r="P783" i="20"/>
  <c r="P782" i="20"/>
  <c r="P781" i="20" s="1"/>
  <c r="P779" i="20"/>
  <c r="P778" i="20"/>
  <c r="P777" i="20"/>
  <c r="P776" i="20"/>
  <c r="P775" i="20"/>
  <c r="P774" i="20" s="1"/>
  <c r="P772" i="20"/>
  <c r="P771" i="20"/>
  <c r="P770" i="20"/>
  <c r="P769" i="20"/>
  <c r="P768" i="20"/>
  <c r="P767" i="20" s="1"/>
  <c r="P765" i="20"/>
  <c r="P764" i="20"/>
  <c r="P763" i="20"/>
  <c r="P762" i="20"/>
  <c r="P761" i="20"/>
  <c r="P760" i="20" s="1"/>
  <c r="P758" i="20"/>
  <c r="P757" i="20"/>
  <c r="P756" i="20"/>
  <c r="P755" i="20"/>
  <c r="P754" i="20"/>
  <c r="P753" i="20" s="1"/>
  <c r="P751" i="20"/>
  <c r="P750" i="20"/>
  <c r="P749" i="20"/>
  <c r="P748" i="20"/>
  <c r="P747" i="20"/>
  <c r="P746" i="20" s="1"/>
  <c r="P744" i="20"/>
  <c r="P743" i="20"/>
  <c r="P742" i="20"/>
  <c r="P741" i="20"/>
  <c r="P740" i="20"/>
  <c r="P739" i="20" s="1"/>
  <c r="P737" i="20"/>
  <c r="P736" i="20"/>
  <c r="P735" i="20"/>
  <c r="P734" i="20"/>
  <c r="P733" i="20"/>
  <c r="P732" i="20" s="1"/>
  <c r="P730" i="20"/>
  <c r="P729" i="20"/>
  <c r="P728" i="20"/>
  <c r="P727" i="20"/>
  <c r="P726" i="20"/>
  <c r="P725" i="20" s="1"/>
  <c r="P723" i="20"/>
  <c r="P722" i="20"/>
  <c r="P721" i="20"/>
  <c r="P720" i="20"/>
  <c r="P719" i="20"/>
  <c r="P718" i="20" s="1"/>
  <c r="P716" i="20"/>
  <c r="P715" i="20"/>
  <c r="P714" i="20"/>
  <c r="P713" i="20"/>
  <c r="P712" i="20"/>
  <c r="P711" i="20" s="1"/>
  <c r="P709" i="20"/>
  <c r="P708" i="20"/>
  <c r="P707" i="20"/>
  <c r="P706" i="20"/>
  <c r="P705" i="20"/>
  <c r="P704" i="20" s="1"/>
  <c r="P702" i="20"/>
  <c r="P701" i="20"/>
  <c r="P700" i="20"/>
  <c r="P699" i="20"/>
  <c r="P698" i="20"/>
  <c r="P697" i="20" s="1"/>
  <c r="P695" i="20"/>
  <c r="P694" i="20"/>
  <c r="P693" i="20"/>
  <c r="P692" i="20"/>
  <c r="P691" i="20"/>
  <c r="P690" i="20" s="1"/>
  <c r="P688" i="20"/>
  <c r="P687" i="20"/>
  <c r="P686" i="20"/>
  <c r="P685" i="20"/>
  <c r="P684" i="20"/>
  <c r="P683" i="20" s="1"/>
  <c r="P681" i="20"/>
  <c r="P680" i="20"/>
  <c r="P679" i="20"/>
  <c r="P678" i="20"/>
  <c r="P677" i="20"/>
  <c r="P676" i="20" s="1"/>
  <c r="P674" i="20"/>
  <c r="P673" i="20"/>
  <c r="P672" i="20"/>
  <c r="P671" i="20"/>
  <c r="P670" i="20"/>
  <c r="P669" i="20" s="1"/>
  <c r="P667" i="20"/>
  <c r="P666" i="20"/>
  <c r="P665" i="20"/>
  <c r="P664" i="20"/>
  <c r="P663" i="20"/>
  <c r="P662" i="20" s="1"/>
  <c r="P660" i="20"/>
  <c r="P659" i="20"/>
  <c r="P658" i="20"/>
  <c r="P657" i="20"/>
  <c r="P656" i="20"/>
  <c r="P655" i="20" s="1"/>
  <c r="P653" i="20"/>
  <c r="P652" i="20"/>
  <c r="P651" i="20"/>
  <c r="P650" i="20"/>
  <c r="P649" i="20"/>
  <c r="P648" i="20" s="1"/>
  <c r="P646" i="20"/>
  <c r="P645" i="20"/>
  <c r="P644" i="20"/>
  <c r="P643" i="20"/>
  <c r="P642" i="20"/>
  <c r="P641" i="20" s="1"/>
  <c r="P639" i="20"/>
  <c r="P638" i="20"/>
  <c r="P637" i="20"/>
  <c r="P636" i="20"/>
  <c r="P635" i="20"/>
  <c r="P634" i="20" s="1"/>
  <c r="P632" i="20"/>
  <c r="P631" i="20"/>
  <c r="P630" i="20"/>
  <c r="P629" i="20"/>
  <c r="P628" i="20"/>
  <c r="P627" i="20" s="1"/>
  <c r="P625" i="20"/>
  <c r="P624" i="20"/>
  <c r="P623" i="20"/>
  <c r="P622" i="20"/>
  <c r="P621" i="20"/>
  <c r="P620" i="20" s="1"/>
  <c r="P618" i="20"/>
  <c r="P617" i="20"/>
  <c r="P616" i="20"/>
  <c r="P615" i="20"/>
  <c r="P614" i="20"/>
  <c r="P613" i="20" s="1"/>
  <c r="P611" i="20"/>
  <c r="P610" i="20"/>
  <c r="P609" i="20"/>
  <c r="P608" i="20"/>
  <c r="P607" i="20"/>
  <c r="P606" i="20" s="1"/>
  <c r="P604" i="20"/>
  <c r="P603" i="20"/>
  <c r="P602" i="20"/>
  <c r="P601" i="20"/>
  <c r="P600" i="20"/>
  <c r="P599" i="20" s="1"/>
  <c r="P597" i="20"/>
  <c r="P596" i="20"/>
  <c r="P595" i="20"/>
  <c r="P594" i="20"/>
  <c r="P593" i="20"/>
  <c r="P592" i="20" s="1"/>
  <c r="P590" i="20"/>
  <c r="P589" i="20"/>
  <c r="P588" i="20"/>
  <c r="P587" i="20"/>
  <c r="P586" i="20"/>
  <c r="P585" i="20" s="1"/>
  <c r="P583" i="20"/>
  <c r="P582" i="20"/>
  <c r="P581" i="20"/>
  <c r="P580" i="20"/>
  <c r="P579" i="20"/>
  <c r="P578" i="20" s="1"/>
  <c r="P576" i="20"/>
  <c r="P575" i="20"/>
  <c r="P574" i="20"/>
  <c r="P573" i="20"/>
  <c r="P572" i="20"/>
  <c r="P571" i="20" s="1"/>
  <c r="P569" i="20"/>
  <c r="P568" i="20"/>
  <c r="P567" i="20"/>
  <c r="P566" i="20"/>
  <c r="P565" i="20"/>
  <c r="P564" i="20" s="1"/>
  <c r="P562" i="20"/>
  <c r="P561" i="20"/>
  <c r="P560" i="20"/>
  <c r="P559" i="20"/>
  <c r="P558" i="20"/>
  <c r="P557" i="20" s="1"/>
  <c r="P555" i="20"/>
  <c r="P554" i="20"/>
  <c r="P553" i="20"/>
  <c r="P552" i="20"/>
  <c r="P551" i="20"/>
  <c r="P550" i="20" s="1"/>
  <c r="P548" i="20"/>
  <c r="P547" i="20"/>
  <c r="P546" i="20"/>
  <c r="P545" i="20"/>
  <c r="P544" i="20"/>
  <c r="P543" i="20" s="1"/>
  <c r="P541" i="20"/>
  <c r="P540" i="20"/>
  <c r="P539" i="20"/>
  <c r="P538" i="20"/>
  <c r="P537" i="20"/>
  <c r="P536" i="20" s="1"/>
  <c r="P534" i="20"/>
  <c r="P533" i="20"/>
  <c r="P532" i="20"/>
  <c r="P531" i="20"/>
  <c r="P530" i="20"/>
  <c r="P529" i="20" s="1"/>
  <c r="P527" i="20"/>
  <c r="P526" i="20"/>
  <c r="P525" i="20"/>
  <c r="P524" i="20"/>
  <c r="P523" i="20"/>
  <c r="P522" i="20" s="1"/>
  <c r="P520" i="20"/>
  <c r="P519" i="20"/>
  <c r="P518" i="20"/>
  <c r="P517" i="20"/>
  <c r="P516" i="20"/>
  <c r="P515" i="20" s="1"/>
  <c r="P513" i="20"/>
  <c r="P512" i="20"/>
  <c r="P511" i="20"/>
  <c r="P510" i="20"/>
  <c r="P509" i="20"/>
  <c r="P508" i="20" s="1"/>
  <c r="P506" i="20"/>
  <c r="P505" i="20"/>
  <c r="P504" i="20"/>
  <c r="P503" i="20"/>
  <c r="P502" i="20"/>
  <c r="P501" i="20" s="1"/>
  <c r="P499" i="20"/>
  <c r="P498" i="20"/>
  <c r="P497" i="20"/>
  <c r="P496" i="20"/>
  <c r="P495" i="20"/>
  <c r="P494" i="20" s="1"/>
  <c r="P492" i="20"/>
  <c r="P491" i="20"/>
  <c r="P490" i="20"/>
  <c r="P489" i="20"/>
  <c r="P488" i="20"/>
  <c r="P487" i="20" s="1"/>
  <c r="P485" i="20"/>
  <c r="P484" i="20"/>
  <c r="P483" i="20"/>
  <c r="P482" i="20"/>
  <c r="P481" i="20"/>
  <c r="P480" i="20" s="1"/>
  <c r="P478" i="20"/>
  <c r="P477" i="20"/>
  <c r="P476" i="20"/>
  <c r="P475" i="20"/>
  <c r="P474" i="20"/>
  <c r="P473" i="20" s="1"/>
  <c r="P471" i="20"/>
  <c r="P470" i="20"/>
  <c r="P469" i="20"/>
  <c r="P468" i="20"/>
  <c r="P467" i="20"/>
  <c r="P466" i="20" s="1"/>
  <c r="P464" i="20"/>
  <c r="P463" i="20"/>
  <c r="P462" i="20"/>
  <c r="P461" i="20"/>
  <c r="P460" i="20"/>
  <c r="P459" i="20" s="1"/>
  <c r="P457" i="20"/>
  <c r="P456" i="20"/>
  <c r="P455" i="20"/>
  <c r="P454" i="20"/>
  <c r="P453" i="20"/>
  <c r="P452" i="20" s="1"/>
  <c r="P450" i="20"/>
  <c r="P449" i="20"/>
  <c r="P448" i="20"/>
  <c r="P447" i="20"/>
  <c r="P446" i="20"/>
  <c r="P445" i="20" s="1"/>
  <c r="P443" i="20"/>
  <c r="P442" i="20"/>
  <c r="P441" i="20"/>
  <c r="P440" i="20"/>
  <c r="P439" i="20"/>
  <c r="P438" i="20" s="1"/>
  <c r="P436" i="20"/>
  <c r="P435" i="20"/>
  <c r="P434" i="20"/>
  <c r="P433" i="20"/>
  <c r="P432" i="20"/>
  <c r="P431" i="20" s="1"/>
  <c r="P429" i="20"/>
  <c r="P428" i="20"/>
  <c r="P427" i="20"/>
  <c r="P426" i="20"/>
  <c r="P425" i="20"/>
  <c r="P424" i="20" s="1"/>
  <c r="P422" i="20"/>
  <c r="P421" i="20"/>
  <c r="P420" i="20"/>
  <c r="P419" i="20"/>
  <c r="P418" i="20"/>
  <c r="P417" i="20" s="1"/>
  <c r="P415" i="20"/>
  <c r="P414" i="20"/>
  <c r="P413" i="20"/>
  <c r="P412" i="20"/>
  <c r="P411" i="20"/>
  <c r="P410" i="20" s="1"/>
  <c r="P408" i="20"/>
  <c r="P407" i="20"/>
  <c r="P406" i="20"/>
  <c r="P405" i="20"/>
  <c r="P404" i="20"/>
  <c r="P403" i="20" s="1"/>
  <c r="P401" i="20"/>
  <c r="P400" i="20"/>
  <c r="P399" i="20"/>
  <c r="P398" i="20"/>
  <c r="P397" i="20"/>
  <c r="P396" i="20" s="1"/>
  <c r="P394" i="20"/>
  <c r="P393" i="20"/>
  <c r="P392" i="20"/>
  <c r="P391" i="20"/>
  <c r="P390" i="20"/>
  <c r="P389" i="20" s="1"/>
  <c r="P387" i="20"/>
  <c r="P386" i="20"/>
  <c r="P385" i="20"/>
  <c r="P384" i="20"/>
  <c r="P383" i="20"/>
  <c r="P382" i="20" s="1"/>
  <c r="P380" i="20"/>
  <c r="P379" i="20"/>
  <c r="P378" i="20"/>
  <c r="P377" i="20"/>
  <c r="P376" i="20"/>
  <c r="P375" i="20" s="1"/>
  <c r="P373" i="20"/>
  <c r="P372" i="20"/>
  <c r="P371" i="20"/>
  <c r="P370" i="20"/>
  <c r="P369" i="20"/>
  <c r="P368" i="20" s="1"/>
  <c r="P366" i="20"/>
  <c r="P365" i="20"/>
  <c r="P364" i="20"/>
  <c r="P363" i="20"/>
  <c r="P362" i="20"/>
  <c r="P361" i="20" s="1"/>
  <c r="P359" i="20"/>
  <c r="P358" i="20"/>
  <c r="P357" i="20"/>
  <c r="P356" i="20"/>
  <c r="P355" i="20"/>
  <c r="P354" i="20" s="1"/>
  <c r="P352" i="20"/>
  <c r="P351" i="20"/>
  <c r="P350" i="20"/>
  <c r="P349" i="20"/>
  <c r="P348" i="20"/>
  <c r="P347" i="20" s="1"/>
  <c r="P345" i="20"/>
  <c r="P344" i="20"/>
  <c r="P343" i="20"/>
  <c r="P342" i="20"/>
  <c r="P341" i="20"/>
  <c r="P340" i="20" s="1"/>
  <c r="P338" i="20"/>
  <c r="P337" i="20"/>
  <c r="P336" i="20"/>
  <c r="P335" i="20"/>
  <c r="P334" i="20"/>
  <c r="P333" i="20" s="1"/>
  <c r="P331" i="20"/>
  <c r="P330" i="20"/>
  <c r="P329" i="20"/>
  <c r="P328" i="20"/>
  <c r="P327" i="20"/>
  <c r="P326" i="20" s="1"/>
  <c r="P324" i="20"/>
  <c r="P323" i="20"/>
  <c r="P322" i="20"/>
  <c r="P321" i="20"/>
  <c r="P320" i="20"/>
  <c r="P319" i="20" s="1"/>
  <c r="P317" i="20"/>
  <c r="P316" i="20"/>
  <c r="P315" i="20"/>
  <c r="P314" i="20"/>
  <c r="P313" i="20"/>
  <c r="P312" i="20" s="1"/>
  <c r="P310" i="20"/>
  <c r="P309" i="20"/>
  <c r="P308" i="20"/>
  <c r="P307" i="20"/>
  <c r="P306" i="20"/>
  <c r="P305" i="20" s="1"/>
  <c r="P303" i="20"/>
  <c r="P302" i="20"/>
  <c r="P301" i="20"/>
  <c r="P300" i="20"/>
  <c r="P299" i="20"/>
  <c r="P298" i="20" s="1"/>
  <c r="P296" i="20"/>
  <c r="P295" i="20"/>
  <c r="P294" i="20"/>
  <c r="P293" i="20"/>
  <c r="P292" i="20"/>
  <c r="P291" i="20" s="1"/>
  <c r="P289" i="20"/>
  <c r="P288" i="20"/>
  <c r="P287" i="20"/>
  <c r="P286" i="20"/>
  <c r="P285" i="20"/>
  <c r="P284" i="20" s="1"/>
  <c r="P282" i="20"/>
  <c r="P281" i="20"/>
  <c r="P280" i="20"/>
  <c r="P279" i="20"/>
  <c r="P278" i="20"/>
  <c r="P277" i="20" s="1"/>
  <c r="P275" i="20"/>
  <c r="P274" i="20"/>
  <c r="P273" i="20"/>
  <c r="P272" i="20"/>
  <c r="P271" i="20"/>
  <c r="P270" i="20" s="1"/>
  <c r="P268" i="20"/>
  <c r="P267" i="20"/>
  <c r="P266" i="20"/>
  <c r="P265" i="20"/>
  <c r="P264" i="20"/>
  <c r="P263" i="20" s="1"/>
  <c r="P261" i="20"/>
  <c r="P260" i="20"/>
  <c r="P259" i="20"/>
  <c r="P258" i="20"/>
  <c r="P257" i="20"/>
  <c r="P256" i="20" s="1"/>
  <c r="P254" i="20"/>
  <c r="P253" i="20"/>
  <c r="P252" i="20"/>
  <c r="P251" i="20"/>
  <c r="P250" i="20"/>
  <c r="P249" i="20" s="1"/>
  <c r="P247" i="20"/>
  <c r="P246" i="20"/>
  <c r="P245" i="20"/>
  <c r="P244" i="20"/>
  <c r="P243" i="20"/>
  <c r="P242" i="20" s="1"/>
  <c r="P240" i="20"/>
  <c r="P239" i="20"/>
  <c r="P238" i="20"/>
  <c r="P237" i="20"/>
  <c r="P236" i="20"/>
  <c r="P235" i="20" s="1"/>
  <c r="P233" i="20"/>
  <c r="P232" i="20"/>
  <c r="P231" i="20"/>
  <c r="P230" i="20"/>
  <c r="P229" i="20"/>
  <c r="P228" i="20" s="1"/>
  <c r="P226" i="20"/>
  <c r="P225" i="20"/>
  <c r="P224" i="20"/>
  <c r="P223" i="20"/>
  <c r="P222" i="20"/>
  <c r="P221" i="20" s="1"/>
  <c r="P219" i="20"/>
  <c r="P218" i="20"/>
  <c r="P217" i="20"/>
  <c r="P216" i="20"/>
  <c r="P215" i="20"/>
  <c r="P214" i="20" s="1"/>
  <c r="P212" i="20"/>
  <c r="P211" i="20"/>
  <c r="P210" i="20"/>
  <c r="P209" i="20"/>
  <c r="P208" i="20"/>
  <c r="P207" i="20" s="1"/>
  <c r="P205" i="20"/>
  <c r="P204" i="20"/>
  <c r="P203" i="20"/>
  <c r="P202" i="20"/>
  <c r="P201" i="20"/>
  <c r="P200" i="20" s="1"/>
  <c r="P198" i="20"/>
  <c r="P197" i="20"/>
  <c r="P196" i="20"/>
  <c r="P195" i="20"/>
  <c r="P194" i="20"/>
  <c r="P193" i="20" s="1"/>
  <c r="P191" i="20"/>
  <c r="P190" i="20"/>
  <c r="P189" i="20"/>
  <c r="P188" i="20"/>
  <c r="P187" i="20"/>
  <c r="P186" i="20" s="1"/>
  <c r="P184" i="20"/>
  <c r="P183" i="20"/>
  <c r="P182" i="20"/>
  <c r="P181" i="20"/>
  <c r="P180" i="20"/>
  <c r="P179" i="20" s="1"/>
  <c r="P177" i="20"/>
  <c r="P176" i="20"/>
  <c r="P175" i="20"/>
  <c r="P174" i="20"/>
  <c r="P173" i="20"/>
  <c r="P172" i="20" s="1"/>
  <c r="P170" i="20"/>
  <c r="P169" i="20"/>
  <c r="P168" i="20"/>
  <c r="P167" i="20"/>
  <c r="P166" i="20"/>
  <c r="P165" i="20" s="1"/>
  <c r="P163" i="20"/>
  <c r="P162" i="20"/>
  <c r="P161" i="20"/>
  <c r="P160" i="20"/>
  <c r="P159" i="20"/>
  <c r="P158" i="20" s="1"/>
  <c r="P156" i="20"/>
  <c r="P155" i="20"/>
  <c r="P154" i="20"/>
  <c r="P153" i="20"/>
  <c r="P152" i="20"/>
  <c r="P151" i="20" s="1"/>
  <c r="P149" i="20"/>
  <c r="P148" i="20"/>
  <c r="P147" i="20"/>
  <c r="P146" i="20"/>
  <c r="P145" i="20"/>
  <c r="P144" i="20" s="1"/>
  <c r="P142" i="20"/>
  <c r="P141" i="20"/>
  <c r="P140" i="20"/>
  <c r="P139" i="20"/>
  <c r="P138" i="20"/>
  <c r="P137" i="20" s="1"/>
  <c r="P135" i="20"/>
  <c r="P134" i="20"/>
  <c r="P133" i="20"/>
  <c r="P132" i="20"/>
  <c r="P131" i="20"/>
  <c r="P130" i="20" s="1"/>
  <c r="P128" i="20"/>
  <c r="P127" i="20"/>
  <c r="P126" i="20"/>
  <c r="P125" i="20"/>
  <c r="P124" i="20"/>
  <c r="P123" i="20" s="1"/>
  <c r="P121" i="20"/>
  <c r="P120" i="20"/>
  <c r="P119" i="20"/>
  <c r="P118" i="20"/>
  <c r="P117" i="20"/>
  <c r="P116" i="20" s="1"/>
  <c r="P114" i="20"/>
  <c r="P113" i="20"/>
  <c r="P112" i="20"/>
  <c r="P111" i="20"/>
  <c r="P110" i="20"/>
  <c r="P109" i="20" s="1"/>
  <c r="P107" i="20"/>
  <c r="P106" i="20"/>
  <c r="P105" i="20"/>
  <c r="P104" i="20"/>
  <c r="P103" i="20"/>
  <c r="P102" i="20" s="1"/>
  <c r="P100" i="20"/>
  <c r="P99" i="20"/>
  <c r="P98" i="20"/>
  <c r="P97" i="20"/>
  <c r="P96" i="20"/>
  <c r="P95" i="20" s="1"/>
  <c r="P93" i="20"/>
  <c r="P92" i="20"/>
  <c r="P91" i="20"/>
  <c r="P90" i="20"/>
  <c r="P89" i="20"/>
  <c r="P88" i="20" s="1"/>
  <c r="P86" i="20"/>
  <c r="P85" i="20"/>
  <c r="P84" i="20"/>
  <c r="P83" i="20"/>
  <c r="P82" i="20"/>
  <c r="P81" i="20" s="1"/>
  <c r="P79" i="20"/>
  <c r="P78" i="20"/>
  <c r="P77" i="20"/>
  <c r="P76" i="20"/>
  <c r="P75" i="20"/>
  <c r="P74" i="20" s="1"/>
  <c r="P72" i="20"/>
  <c r="P71" i="20"/>
  <c r="P70" i="20"/>
  <c r="P69" i="20"/>
  <c r="P68" i="20"/>
  <c r="P67" i="20" s="1"/>
  <c r="P65" i="20"/>
  <c r="P64" i="20"/>
  <c r="P63" i="20"/>
  <c r="P62" i="20"/>
  <c r="P61" i="20"/>
  <c r="P60" i="20" s="1"/>
  <c r="P58" i="20"/>
  <c r="P57" i="20"/>
  <c r="P56" i="20"/>
  <c r="P55" i="20"/>
  <c r="P54" i="20"/>
  <c r="P53" i="20" s="1"/>
  <c r="P51" i="20"/>
  <c r="P50" i="20"/>
  <c r="P49" i="20"/>
  <c r="P48" i="20"/>
  <c r="P47" i="20"/>
  <c r="P46" i="20" s="1"/>
  <c r="P44" i="20"/>
  <c r="P43" i="20"/>
  <c r="P42" i="20"/>
  <c r="P41" i="20"/>
  <c r="P40" i="20"/>
  <c r="P39" i="20" s="1"/>
  <c r="P37" i="20"/>
  <c r="P36" i="20"/>
  <c r="P35" i="20"/>
  <c r="P34" i="20"/>
  <c r="P33" i="20"/>
  <c r="P32" i="20" s="1"/>
  <c r="P30" i="20"/>
  <c r="P29" i="20"/>
  <c r="P28" i="20"/>
  <c r="P27" i="20"/>
  <c r="P26" i="20"/>
  <c r="P25" i="20" s="1"/>
  <c r="P23" i="20"/>
  <c r="P22" i="20"/>
  <c r="P21" i="20"/>
  <c r="P20" i="20"/>
  <c r="P19" i="20"/>
  <c r="P18" i="20" s="1"/>
  <c r="P16" i="20"/>
  <c r="P15" i="20"/>
  <c r="P14" i="20"/>
  <c r="P13" i="20"/>
  <c r="P12" i="20"/>
  <c r="P11" i="20" s="1"/>
  <c r="P9" i="20"/>
  <c r="P8" i="20"/>
  <c r="P7" i="20"/>
  <c r="P6" i="20"/>
  <c r="P5" i="20"/>
  <c r="P1549" i="20"/>
  <c r="P1548" i="20"/>
  <c r="P1547" i="20"/>
  <c r="P1546" i="20"/>
  <c r="P1545" i="20"/>
  <c r="P1544" i="20" s="1"/>
  <c r="P1542" i="20"/>
  <c r="P1541" i="20"/>
  <c r="P1540" i="20"/>
  <c r="P1539" i="20"/>
  <c r="P1538" i="20"/>
  <c r="P1537" i="20" s="1"/>
  <c r="P1535" i="20"/>
  <c r="P1534" i="20"/>
  <c r="P1533" i="20"/>
  <c r="P1532" i="20"/>
  <c r="P1531" i="20"/>
  <c r="P1530" i="20" s="1"/>
  <c r="P1528" i="20"/>
  <c r="P1527" i="20"/>
  <c r="P1526" i="20"/>
  <c r="P1525" i="20"/>
  <c r="P1524" i="20"/>
  <c r="P1523" i="20" s="1"/>
  <c r="P1521" i="20"/>
  <c r="P1520" i="20"/>
  <c r="P1519" i="20"/>
  <c r="P1518" i="20"/>
  <c r="P1517" i="20"/>
  <c r="P1516" i="20" s="1"/>
  <c r="P1514" i="20"/>
  <c r="P1513" i="20"/>
  <c r="P1512" i="20"/>
  <c r="P1511" i="20"/>
  <c r="P1510" i="20"/>
  <c r="P1509" i="20" s="1"/>
  <c r="P1507" i="20"/>
  <c r="P1506" i="20"/>
  <c r="P1505" i="20"/>
  <c r="P1504" i="20"/>
  <c r="P1503" i="20"/>
  <c r="P1502" i="20" s="1"/>
  <c r="P1500" i="20"/>
  <c r="P1499" i="20"/>
  <c r="P1498" i="20"/>
  <c r="P1497" i="20"/>
  <c r="P1496" i="20"/>
  <c r="P1495" i="20" s="1"/>
  <c r="P1493" i="20"/>
  <c r="P1492" i="20"/>
  <c r="P1491" i="20"/>
  <c r="P1490" i="20"/>
  <c r="P1489" i="20"/>
  <c r="P1488" i="20" s="1"/>
  <c r="P1486" i="20"/>
  <c r="P1485" i="20"/>
  <c r="P1484" i="20"/>
  <c r="P1483" i="20"/>
  <c r="P1482" i="20"/>
  <c r="P1481" i="20" s="1"/>
  <c r="P1479" i="20"/>
  <c r="P1478" i="20"/>
  <c r="P1477" i="20"/>
  <c r="P1476" i="20"/>
  <c r="P1475" i="20"/>
  <c r="P1474" i="20" s="1"/>
  <c r="P1472" i="20"/>
  <c r="P1471" i="20"/>
  <c r="P1470" i="20"/>
  <c r="P1469" i="20"/>
  <c r="P1468" i="20"/>
  <c r="P1467" i="20" s="1"/>
  <c r="P1465" i="20"/>
  <c r="P1464" i="20"/>
  <c r="P1463" i="20"/>
  <c r="P1462" i="20"/>
  <c r="P1461" i="20"/>
  <c r="P1460" i="20" s="1"/>
  <c r="P1458" i="20"/>
  <c r="P1457" i="20"/>
  <c r="P1456" i="20"/>
  <c r="P1455" i="20"/>
  <c r="P1454" i="20"/>
  <c r="P1453" i="20" s="1"/>
  <c r="P1451" i="20"/>
  <c r="P1450" i="20"/>
  <c r="P1449" i="20"/>
  <c r="P1448" i="20"/>
  <c r="P1447" i="20"/>
  <c r="P1446" i="20" s="1"/>
  <c r="P1444" i="20"/>
  <c r="P1443" i="20"/>
  <c r="P1442" i="20"/>
  <c r="P1441" i="20"/>
  <c r="P1440" i="20"/>
  <c r="P1439" i="20" s="1"/>
  <c r="P1437" i="20"/>
  <c r="P1436" i="20"/>
  <c r="P1435" i="20"/>
  <c r="P1434" i="20"/>
  <c r="P1433" i="20"/>
  <c r="P1432" i="20" s="1"/>
  <c r="P1430" i="20"/>
  <c r="P1429" i="20"/>
  <c r="P1428" i="20"/>
  <c r="P1427" i="20"/>
  <c r="P1426" i="20"/>
  <c r="P1425" i="20" s="1"/>
  <c r="P1423" i="20"/>
  <c r="P1422" i="20"/>
  <c r="P1421" i="20"/>
  <c r="P1420" i="20"/>
  <c r="P1419" i="20"/>
  <c r="P1418" i="20" s="1"/>
  <c r="P1416" i="20"/>
  <c r="P1415" i="20"/>
  <c r="P1414" i="20"/>
  <c r="P1413" i="20"/>
  <c r="P1412" i="20"/>
  <c r="P1411" i="20" s="1"/>
  <c r="P1409" i="20"/>
  <c r="P1408" i="20"/>
  <c r="P1407" i="20"/>
  <c r="P1406" i="20"/>
  <c r="P1405" i="20"/>
  <c r="P1404" i="20" s="1"/>
  <c r="P1402" i="20"/>
  <c r="P1401" i="20"/>
  <c r="P1400" i="20"/>
  <c r="P1399" i="20"/>
  <c r="P1398" i="20"/>
  <c r="P1397" i="20" s="1"/>
  <c r="P1395" i="20"/>
  <c r="P1394" i="20"/>
  <c r="P1393" i="20"/>
  <c r="P1392" i="20"/>
  <c r="P1391" i="20"/>
  <c r="P1390" i="20" s="1"/>
  <c r="P1388" i="20"/>
  <c r="P1387" i="20"/>
  <c r="P1386" i="20"/>
  <c r="P1385" i="20"/>
  <c r="P1384" i="20"/>
  <c r="P1383" i="20" s="1"/>
  <c r="P1381" i="20"/>
  <c r="P1380" i="20"/>
  <c r="P1379" i="20"/>
  <c r="P1378" i="20"/>
  <c r="P1377" i="20"/>
  <c r="P1376" i="20" s="1"/>
  <c r="P1374" i="20"/>
  <c r="P1373" i="20"/>
  <c r="P1372" i="20"/>
  <c r="P1371" i="20"/>
  <c r="P1370" i="20"/>
  <c r="P1369" i="20" s="1"/>
  <c r="P1367" i="20"/>
  <c r="P1366" i="20"/>
  <c r="P1365" i="20"/>
  <c r="P1364" i="20"/>
  <c r="P1363" i="20"/>
  <c r="P1362" i="20" s="1"/>
  <c r="P1360" i="20"/>
  <c r="P1359" i="20"/>
  <c r="P1358" i="20"/>
  <c r="P1357" i="20"/>
  <c r="P1356" i="20"/>
  <c r="P1355" i="20" s="1"/>
  <c r="P1353" i="20"/>
  <c r="P1352" i="20"/>
  <c r="P1351" i="20"/>
  <c r="P1350" i="20"/>
  <c r="P1349" i="20"/>
  <c r="P1348" i="20" s="1"/>
  <c r="P1346" i="20"/>
  <c r="P1345" i="20"/>
  <c r="P1344" i="20"/>
  <c r="P1343" i="20"/>
  <c r="P1342" i="20"/>
  <c r="P1341" i="20" s="1"/>
  <c r="P1339" i="20"/>
  <c r="P1338" i="20"/>
  <c r="P1337" i="20"/>
  <c r="P1336" i="20"/>
  <c r="P1335" i="20"/>
  <c r="P1334" i="20" s="1"/>
  <c r="P1332" i="20"/>
  <c r="P1331" i="20"/>
  <c r="P1330" i="20"/>
  <c r="P1329" i="20"/>
  <c r="P1328" i="20"/>
  <c r="P1327" i="20" s="1"/>
  <c r="P1325" i="20"/>
  <c r="P1324" i="20"/>
  <c r="P1323" i="20"/>
  <c r="P1322" i="20"/>
  <c r="P1321" i="20"/>
  <c r="P1320" i="20" s="1"/>
  <c r="P1318" i="20"/>
  <c r="P1317" i="20"/>
  <c r="P1316" i="20"/>
  <c r="P1315" i="20"/>
  <c r="P1314" i="20"/>
  <c r="P1313" i="20" s="1"/>
  <c r="P1311" i="20"/>
  <c r="P1310" i="20"/>
  <c r="P1309" i="20"/>
  <c r="P1308" i="20"/>
  <c r="P1307" i="20"/>
  <c r="P1306" i="20" s="1"/>
  <c r="P1304" i="20"/>
  <c r="P1303" i="20"/>
  <c r="P1302" i="20"/>
  <c r="P1301" i="20"/>
  <c r="P1300" i="20"/>
  <c r="P1299" i="20" s="1"/>
  <c r="P1297" i="20"/>
  <c r="P1296" i="20"/>
  <c r="P1295" i="20"/>
  <c r="P1294" i="20"/>
  <c r="P1293" i="20"/>
  <c r="P1292" i="20" s="1"/>
  <c r="P1290" i="20"/>
  <c r="P1289" i="20"/>
  <c r="P1288" i="20"/>
  <c r="P1287" i="20"/>
  <c r="P1286" i="20"/>
  <c r="P1285" i="20" s="1"/>
  <c r="P1283" i="20"/>
  <c r="P1282" i="20"/>
  <c r="P1281" i="20"/>
  <c r="P1280" i="20"/>
  <c r="P1279" i="20"/>
  <c r="P1278" i="20" s="1"/>
  <c r="P1276" i="20"/>
  <c r="P1275" i="20"/>
  <c r="P1274" i="20"/>
  <c r="P1273" i="20"/>
  <c r="P1272" i="20"/>
  <c r="P1271" i="20" s="1"/>
  <c r="P1269" i="20"/>
  <c r="P1268" i="20"/>
  <c r="P1267" i="20"/>
  <c r="P1266" i="20"/>
  <c r="P1265" i="20"/>
  <c r="P1264" i="20" s="1"/>
  <c r="P1262" i="20"/>
  <c r="P1261" i="20"/>
  <c r="P1260" i="20"/>
  <c r="P1259" i="20"/>
  <c r="P1258" i="20"/>
  <c r="P1257" i="20" s="1"/>
  <c r="P1255" i="20"/>
  <c r="P1254" i="20"/>
  <c r="P1253" i="20"/>
  <c r="P1252" i="20"/>
  <c r="P1251" i="20"/>
  <c r="P1250" i="20" s="1"/>
  <c r="P1248" i="20"/>
  <c r="P1247" i="20"/>
  <c r="O782" i="20"/>
  <c r="O1492" i="20"/>
  <c r="O1493" i="20"/>
  <c r="O1496" i="20"/>
  <c r="O1497" i="20"/>
  <c r="O1498" i="20"/>
  <c r="O1499" i="20"/>
  <c r="O1500" i="20"/>
  <c r="O1503" i="20"/>
  <c r="O1504" i="20"/>
  <c r="O1505" i="20"/>
  <c r="O1506" i="20"/>
  <c r="O1507" i="20"/>
  <c r="O1510" i="20"/>
  <c r="O1511" i="20"/>
  <c r="O1512" i="20"/>
  <c r="O1513" i="20"/>
  <c r="O1514" i="20"/>
  <c r="O1517" i="20"/>
  <c r="O1518" i="20"/>
  <c r="O1519" i="20"/>
  <c r="O1520" i="20"/>
  <c r="O1521" i="20"/>
  <c r="O1524" i="20"/>
  <c r="O1525" i="20"/>
  <c r="O1526" i="20"/>
  <c r="O1527" i="20"/>
  <c r="O1528" i="20"/>
  <c r="O1531" i="20"/>
  <c r="O1532" i="20"/>
  <c r="O1533" i="20"/>
  <c r="O1534" i="20"/>
  <c r="O1535" i="20"/>
  <c r="O1538" i="20"/>
  <c r="O1539" i="20"/>
  <c r="O1540" i="20"/>
  <c r="O1541" i="20"/>
  <c r="O1542" i="20"/>
  <c r="O1545" i="20"/>
  <c r="O1546" i="20"/>
  <c r="O1547" i="20"/>
  <c r="O1548" i="20"/>
  <c r="O1549" i="20"/>
  <c r="O1552" i="20"/>
  <c r="O1553" i="20"/>
  <c r="O1554" i="20"/>
  <c r="O1555" i="20"/>
  <c r="O1556" i="20"/>
  <c r="O1559" i="20"/>
  <c r="O1560" i="20"/>
  <c r="O1561" i="20"/>
  <c r="O1562" i="20"/>
  <c r="O1563" i="20"/>
  <c r="O1566" i="20"/>
  <c r="O1567" i="20"/>
  <c r="O1568" i="20"/>
  <c r="O1569" i="20"/>
  <c r="O1570" i="20"/>
  <c r="O1573" i="20"/>
  <c r="O1574" i="20"/>
  <c r="O1575" i="20"/>
  <c r="O1576" i="20"/>
  <c r="O1577" i="20"/>
  <c r="O1580" i="20"/>
  <c r="O1581" i="20"/>
  <c r="O1582" i="20"/>
  <c r="O1583" i="20"/>
  <c r="O1584" i="20"/>
  <c r="O1587" i="20"/>
  <c r="O1588" i="20"/>
  <c r="O1589" i="20"/>
  <c r="O1590" i="20"/>
  <c r="O1591" i="20"/>
  <c r="O1594" i="20"/>
  <c r="O1595" i="20"/>
  <c r="O1596" i="20"/>
  <c r="O1597" i="20"/>
  <c r="O1598" i="20"/>
  <c r="O1601" i="20"/>
  <c r="O1602" i="20"/>
  <c r="O1603" i="20"/>
  <c r="O1604" i="20"/>
  <c r="O1605" i="20"/>
  <c r="O1608" i="20"/>
  <c r="O1609" i="20"/>
  <c r="O1610" i="20"/>
  <c r="O1611" i="20"/>
  <c r="O1612" i="20"/>
  <c r="O1615" i="20"/>
  <c r="O1616" i="20"/>
  <c r="O1617" i="20"/>
  <c r="O1618" i="20"/>
  <c r="O1619" i="20"/>
  <c r="O1324" i="20"/>
  <c r="O1325" i="20"/>
  <c r="O1328" i="20"/>
  <c r="O1329" i="20"/>
  <c r="O1330" i="20"/>
  <c r="O1331" i="20"/>
  <c r="O1332" i="20"/>
  <c r="O1335" i="20"/>
  <c r="O1336" i="20"/>
  <c r="O1337" i="20"/>
  <c r="O1338" i="20"/>
  <c r="O1339" i="20"/>
  <c r="O1342" i="20"/>
  <c r="O1343" i="20"/>
  <c r="O1344" i="20"/>
  <c r="O1345" i="20"/>
  <c r="O1346" i="20"/>
  <c r="O1349" i="20"/>
  <c r="O1350" i="20"/>
  <c r="O1351" i="20"/>
  <c r="O1352" i="20"/>
  <c r="O1353" i="20"/>
  <c r="O1356" i="20"/>
  <c r="O1357" i="20"/>
  <c r="O1358" i="20"/>
  <c r="O1359" i="20"/>
  <c r="O170" i="20"/>
  <c r="O1360" i="20"/>
  <c r="O1363" i="20"/>
  <c r="O1364" i="20"/>
  <c r="O1365" i="20"/>
  <c r="O1366" i="20"/>
  <c r="O1367" i="20"/>
  <c r="O1370" i="20"/>
  <c r="O1371" i="20"/>
  <c r="O1372" i="20"/>
  <c r="O1373" i="20"/>
  <c r="O1374" i="20"/>
  <c r="O1377" i="20"/>
  <c r="O1378" i="20"/>
  <c r="O1379" i="20"/>
  <c r="O1380" i="20"/>
  <c r="O1381" i="20"/>
  <c r="O1384" i="20"/>
  <c r="O1385" i="20"/>
  <c r="O1386" i="20"/>
  <c r="O1387" i="20"/>
  <c r="O1388" i="20"/>
  <c r="O1391" i="20"/>
  <c r="O1392" i="20"/>
  <c r="O1393" i="20"/>
  <c r="O1394" i="20"/>
  <c r="O1395" i="20"/>
  <c r="O1398" i="20"/>
  <c r="O1399" i="20"/>
  <c r="O1400" i="20"/>
  <c r="O1401" i="20"/>
  <c r="O1402" i="20"/>
  <c r="O1405" i="20"/>
  <c r="O1406" i="20"/>
  <c r="O1407" i="20"/>
  <c r="O1408" i="20"/>
  <c r="O1409" i="20"/>
  <c r="O1412" i="20"/>
  <c r="O1413" i="20"/>
  <c r="O1414" i="20"/>
  <c r="O1415" i="20"/>
  <c r="O1416" i="20"/>
  <c r="O1419" i="20"/>
  <c r="O1420" i="20"/>
  <c r="O1421" i="20"/>
  <c r="O1422" i="20"/>
  <c r="O1423" i="20"/>
  <c r="O1426" i="20"/>
  <c r="O1427" i="20"/>
  <c r="O1428" i="20"/>
  <c r="O1429" i="20"/>
  <c r="O1430" i="20"/>
  <c r="O1433" i="20"/>
  <c r="O1434" i="20"/>
  <c r="O1435" i="20"/>
  <c r="O1436" i="20"/>
  <c r="O1437" i="20"/>
  <c r="O1440" i="20"/>
  <c r="O1441" i="20"/>
  <c r="O1442" i="20"/>
  <c r="O1443" i="20"/>
  <c r="O1444" i="20"/>
  <c r="O1447" i="20"/>
  <c r="O1448" i="20"/>
  <c r="O1449" i="20"/>
  <c r="O1450" i="20"/>
  <c r="O1451" i="20"/>
  <c r="O1454" i="20"/>
  <c r="O1455" i="20"/>
  <c r="O1456" i="20"/>
  <c r="O1457" i="20"/>
  <c r="O1323" i="20"/>
  <c r="O1322" i="20"/>
  <c r="O1321" i="20"/>
  <c r="O1320" i="20" s="1"/>
  <c r="O1318" i="20"/>
  <c r="O1317" i="20"/>
  <c r="O1316" i="20"/>
  <c r="O1315" i="20"/>
  <c r="O1314" i="20"/>
  <c r="O1313" i="20" s="1"/>
  <c r="O1311" i="20"/>
  <c r="O1310" i="20"/>
  <c r="O1309" i="20"/>
  <c r="O1308" i="20"/>
  <c r="O1307" i="20"/>
  <c r="O1306" i="20" s="1"/>
  <c r="O1304" i="20"/>
  <c r="O1303" i="20"/>
  <c r="O1302" i="20"/>
  <c r="O1301" i="20"/>
  <c r="O1300" i="20"/>
  <c r="O1299" i="20" s="1"/>
  <c r="O1297" i="20"/>
  <c r="O1296" i="20"/>
  <c r="O1295" i="20"/>
  <c r="O1294" i="20"/>
  <c r="O1293" i="20"/>
  <c r="O1292" i="20" s="1"/>
  <c r="O1290" i="20"/>
  <c r="O1289" i="20"/>
  <c r="O1288" i="20"/>
  <c r="O1287" i="20"/>
  <c r="O1286" i="20"/>
  <c r="O1285" i="20" s="1"/>
  <c r="O1283" i="20"/>
  <c r="O1282" i="20"/>
  <c r="O1281" i="20"/>
  <c r="O1280" i="20"/>
  <c r="O1279" i="20"/>
  <c r="O1278" i="20" s="1"/>
  <c r="O1276" i="20"/>
  <c r="O1275" i="20"/>
  <c r="O1274" i="20"/>
  <c r="O1273" i="20"/>
  <c r="O1272" i="20"/>
  <c r="O1271" i="20" s="1"/>
  <c r="O1269" i="20"/>
  <c r="O1268" i="20"/>
  <c r="O1267" i="20"/>
  <c r="O1266" i="20"/>
  <c r="O1265" i="20"/>
  <c r="O1264" i="20" s="1"/>
  <c r="O1262" i="20"/>
  <c r="O1261" i="20"/>
  <c r="O1260" i="20"/>
  <c r="O1259" i="20"/>
  <c r="O1258" i="20"/>
  <c r="O1257" i="20" s="1"/>
  <c r="O1255" i="20"/>
  <c r="O1254" i="20"/>
  <c r="O1253" i="20"/>
  <c r="O1252" i="20"/>
  <c r="O1251" i="20"/>
  <c r="O1250" i="20" s="1"/>
  <c r="O1248" i="20"/>
  <c r="O1247" i="20"/>
  <c r="O1246" i="20"/>
  <c r="O1245" i="20"/>
  <c r="O1244" i="20"/>
  <c r="O1243" i="20" s="1"/>
  <c r="O1241" i="20"/>
  <c r="O1240" i="20"/>
  <c r="O1239" i="20"/>
  <c r="O1238" i="20"/>
  <c r="O1237" i="20"/>
  <c r="O1236" i="20" s="1"/>
  <c r="O1234" i="20"/>
  <c r="O1233" i="20"/>
  <c r="O1232" i="20"/>
  <c r="O1231" i="20"/>
  <c r="O1230" i="20"/>
  <c r="O1229" i="20" s="1"/>
  <c r="O1227" i="20"/>
  <c r="O1226" i="20"/>
  <c r="O1225" i="20"/>
  <c r="O1224" i="20"/>
  <c r="O1223" i="20"/>
  <c r="O1222" i="20" s="1"/>
  <c r="O1220" i="20"/>
  <c r="O1219" i="20"/>
  <c r="O1218" i="20"/>
  <c r="O1217" i="20"/>
  <c r="O1216" i="20"/>
  <c r="O1215" i="20" s="1"/>
  <c r="O1213" i="20"/>
  <c r="O1212" i="20"/>
  <c r="O1211" i="20"/>
  <c r="O1210" i="20"/>
  <c r="O1209" i="20"/>
  <c r="O1208" i="20" s="1"/>
  <c r="O1206" i="20"/>
  <c r="O1205" i="20"/>
  <c r="O1204" i="20"/>
  <c r="O1203" i="20"/>
  <c r="O1202" i="20"/>
  <c r="O1201" i="20" s="1"/>
  <c r="O1199" i="20"/>
  <c r="O1198" i="20"/>
  <c r="O1197" i="20"/>
  <c r="O1196" i="20"/>
  <c r="O1195" i="20"/>
  <c r="O1194" i="20" s="1"/>
  <c r="O1192" i="20"/>
  <c r="O1191" i="20"/>
  <c r="O1190" i="20"/>
  <c r="O1189" i="20"/>
  <c r="O1188" i="20"/>
  <c r="O1187" i="20" s="1"/>
  <c r="O1185" i="20"/>
  <c r="O1184" i="20"/>
  <c r="O1183" i="20"/>
  <c r="O1182" i="20"/>
  <c r="O1181" i="20"/>
  <c r="O1180" i="20" s="1"/>
  <c r="O1178" i="20"/>
  <c r="O1177" i="20"/>
  <c r="O1176" i="20"/>
  <c r="O1175" i="20"/>
  <c r="O1174" i="20"/>
  <c r="O1173" i="20" s="1"/>
  <c r="O1171" i="20"/>
  <c r="O1170" i="20"/>
  <c r="O1169" i="20"/>
  <c r="O1168" i="20"/>
  <c r="O1167" i="20"/>
  <c r="O1166" i="20" s="1"/>
  <c r="O1164" i="20"/>
  <c r="O1163" i="20"/>
  <c r="O1162" i="20"/>
  <c r="O1161" i="20"/>
  <c r="O1160" i="20"/>
  <c r="O1159" i="20" s="1"/>
  <c r="O1157" i="20"/>
  <c r="O1156" i="20"/>
  <c r="O1155" i="20"/>
  <c r="O1154" i="20"/>
  <c r="O1153" i="20"/>
  <c r="O1152" i="20" s="1"/>
  <c r="O1150" i="20"/>
  <c r="O1149" i="20"/>
  <c r="O1148" i="20"/>
  <c r="O1147" i="20"/>
  <c r="O1146" i="20"/>
  <c r="O1145" i="20" s="1"/>
  <c r="O1143" i="20"/>
  <c r="O1142" i="20"/>
  <c r="O1141" i="20"/>
  <c r="O1140" i="20"/>
  <c r="O1139" i="20"/>
  <c r="O1138" i="20" s="1"/>
  <c r="O1136" i="20"/>
  <c r="O1135" i="20"/>
  <c r="O1134" i="20"/>
  <c r="O1133" i="20"/>
  <c r="O1132" i="20"/>
  <c r="O1131" i="20" s="1"/>
  <c r="O1129" i="20"/>
  <c r="O1128" i="20"/>
  <c r="O1127" i="20"/>
  <c r="O1126" i="20"/>
  <c r="O1125" i="20"/>
  <c r="O1124" i="20" s="1"/>
  <c r="O1122" i="20"/>
  <c r="O1121" i="20"/>
  <c r="O1120" i="20"/>
  <c r="O1119" i="20"/>
  <c r="O1118" i="20"/>
  <c r="O1117" i="20" s="1"/>
  <c r="O1115" i="20"/>
  <c r="O1114" i="20"/>
  <c r="O1113" i="20"/>
  <c r="O1112" i="20"/>
  <c r="O1111" i="20"/>
  <c r="O1110" i="20" s="1"/>
  <c r="O1108" i="20"/>
  <c r="O1107" i="20"/>
  <c r="O1106" i="20"/>
  <c r="O1105" i="20"/>
  <c r="O1104" i="20"/>
  <c r="O1103" i="20" s="1"/>
  <c r="O1101" i="20"/>
  <c r="O1100" i="20"/>
  <c r="O1099" i="20"/>
  <c r="O1098" i="20"/>
  <c r="O1097" i="20"/>
  <c r="O1096" i="20" s="1"/>
  <c r="O1094" i="20"/>
  <c r="O1093" i="20"/>
  <c r="O1092" i="20"/>
  <c r="O1091" i="20"/>
  <c r="O1090" i="20"/>
  <c r="O1089" i="20" s="1"/>
  <c r="O1087" i="20"/>
  <c r="O1086" i="20"/>
  <c r="O1085" i="20"/>
  <c r="O1084" i="20"/>
  <c r="O1083" i="20"/>
  <c r="O1082" i="20" s="1"/>
  <c r="O1080" i="20"/>
  <c r="O1079" i="20"/>
  <c r="O1078" i="20"/>
  <c r="O1077" i="20"/>
  <c r="O1076" i="20"/>
  <c r="O1075" i="20" s="1"/>
  <c r="O1073" i="20"/>
  <c r="O1072" i="20"/>
  <c r="O1071" i="20"/>
  <c r="O1070" i="20"/>
  <c r="O1069" i="20"/>
  <c r="O1068" i="20" s="1"/>
  <c r="O1066" i="20"/>
  <c r="O1065" i="20"/>
  <c r="O1064" i="20"/>
  <c r="O1063" i="20"/>
  <c r="O1062" i="20"/>
  <c r="O1061" i="20" s="1"/>
  <c r="O1059" i="20"/>
  <c r="O1058" i="20"/>
  <c r="O1057" i="20"/>
  <c r="O1056" i="20"/>
  <c r="O1055" i="20"/>
  <c r="O1054" i="20" s="1"/>
  <c r="O1052" i="20"/>
  <c r="O1051" i="20"/>
  <c r="O1050" i="20"/>
  <c r="O1049" i="20"/>
  <c r="O1048" i="20"/>
  <c r="O1047" i="20" s="1"/>
  <c r="O1045" i="20"/>
  <c r="O1044" i="20"/>
  <c r="O1043" i="20"/>
  <c r="O1042" i="20"/>
  <c r="O1041" i="20"/>
  <c r="O1040" i="20" s="1"/>
  <c r="O1038" i="20"/>
  <c r="O1037" i="20"/>
  <c r="O1036" i="20"/>
  <c r="O1035" i="20"/>
  <c r="O1034" i="20"/>
  <c r="O1033" i="20" s="1"/>
  <c r="O1031" i="20"/>
  <c r="O1030" i="20"/>
  <c r="O1029" i="20"/>
  <c r="O1028" i="20"/>
  <c r="O1027" i="20"/>
  <c r="O1026" i="20" s="1"/>
  <c r="O1024" i="20"/>
  <c r="O1023" i="20"/>
  <c r="O1022" i="20"/>
  <c r="O1021" i="20"/>
  <c r="O1020" i="20"/>
  <c r="O1019" i="20" s="1"/>
  <c r="O1017" i="20"/>
  <c r="O1016" i="20"/>
  <c r="O1015" i="20"/>
  <c r="O1014" i="20"/>
  <c r="O1013" i="20"/>
  <c r="O1012" i="20" s="1"/>
  <c r="O1010" i="20"/>
  <c r="O1009" i="20"/>
  <c r="O1008" i="20"/>
  <c r="O1007" i="20"/>
  <c r="O1006" i="20"/>
  <c r="O1005" i="20" s="1"/>
  <c r="O1003" i="20"/>
  <c r="O1002" i="20"/>
  <c r="O1001" i="20"/>
  <c r="O1000" i="20"/>
  <c r="O999" i="20"/>
  <c r="O998" i="20" s="1"/>
  <c r="O996" i="20"/>
  <c r="O995" i="20"/>
  <c r="O994" i="20"/>
  <c r="O993" i="20"/>
  <c r="O992" i="20"/>
  <c r="O991" i="20" s="1"/>
  <c r="O989" i="20"/>
  <c r="O988" i="20"/>
  <c r="O987" i="20"/>
  <c r="O986" i="20"/>
  <c r="O985" i="20"/>
  <c r="O984" i="20" s="1"/>
  <c r="O982" i="20"/>
  <c r="O981" i="20"/>
  <c r="O980" i="20"/>
  <c r="O979" i="20"/>
  <c r="O978" i="20"/>
  <c r="O977" i="20" s="1"/>
  <c r="O975" i="20"/>
  <c r="O974" i="20"/>
  <c r="O973" i="20"/>
  <c r="O972" i="20"/>
  <c r="O971" i="20"/>
  <c r="O970" i="20" s="1"/>
  <c r="O968" i="20"/>
  <c r="O967" i="20"/>
  <c r="O966" i="20"/>
  <c r="O965" i="20"/>
  <c r="O964" i="20"/>
  <c r="O963" i="20" s="1"/>
  <c r="O961" i="20"/>
  <c r="O960" i="20"/>
  <c r="O959" i="20"/>
  <c r="O958" i="20"/>
  <c r="O957" i="20"/>
  <c r="O956" i="20" s="1"/>
  <c r="O954" i="20"/>
  <c r="O953" i="20"/>
  <c r="O952" i="20"/>
  <c r="O951" i="20"/>
  <c r="O950" i="20"/>
  <c r="O949" i="20" s="1"/>
  <c r="O947" i="20"/>
  <c r="O946" i="20"/>
  <c r="O945" i="20"/>
  <c r="O944" i="20"/>
  <c r="O943" i="20"/>
  <c r="O942" i="20" s="1"/>
  <c r="O940" i="20"/>
  <c r="O939" i="20"/>
  <c r="O938" i="20"/>
  <c r="O937" i="20"/>
  <c r="O936" i="20"/>
  <c r="O935" i="20" s="1"/>
  <c r="O933" i="20"/>
  <c r="O932" i="20"/>
  <c r="O931" i="20"/>
  <c r="O930" i="20"/>
  <c r="O929" i="20"/>
  <c r="O928" i="20" s="1"/>
  <c r="O926" i="20"/>
  <c r="O925" i="20"/>
  <c r="O924" i="20"/>
  <c r="O923" i="20"/>
  <c r="O922" i="20"/>
  <c r="O921" i="20" s="1"/>
  <c r="O919" i="20"/>
  <c r="O918" i="20"/>
  <c r="O917" i="20"/>
  <c r="O916" i="20"/>
  <c r="O915" i="20"/>
  <c r="O914" i="20" s="1"/>
  <c r="O912" i="20"/>
  <c r="O911" i="20"/>
  <c r="O910" i="20"/>
  <c r="O909" i="20"/>
  <c r="O908" i="20"/>
  <c r="O907" i="20" s="1"/>
  <c r="O905" i="20"/>
  <c r="O904" i="20"/>
  <c r="O903" i="20"/>
  <c r="O902" i="20"/>
  <c r="O901" i="20"/>
  <c r="O900" i="20" s="1"/>
  <c r="O898" i="20"/>
  <c r="O897" i="20"/>
  <c r="O896" i="20"/>
  <c r="O895" i="20"/>
  <c r="O894" i="20"/>
  <c r="O893" i="20" s="1"/>
  <c r="O891" i="20"/>
  <c r="O890" i="20"/>
  <c r="O889" i="20"/>
  <c r="O888" i="20"/>
  <c r="O887" i="20"/>
  <c r="O886" i="20" s="1"/>
  <c r="O884" i="20"/>
  <c r="O883" i="20"/>
  <c r="O882" i="20"/>
  <c r="O881" i="20"/>
  <c r="O880" i="20"/>
  <c r="O879" i="20" s="1"/>
  <c r="O877" i="20"/>
  <c r="O876" i="20"/>
  <c r="O875" i="20"/>
  <c r="O874" i="20"/>
  <c r="O873" i="20"/>
  <c r="O872" i="20" s="1"/>
  <c r="O870" i="20"/>
  <c r="O869" i="20"/>
  <c r="O868" i="20"/>
  <c r="O867" i="20"/>
  <c r="O866" i="20"/>
  <c r="O865" i="20" s="1"/>
  <c r="O863" i="20"/>
  <c r="O862" i="20"/>
  <c r="O861" i="20"/>
  <c r="O860" i="20"/>
  <c r="O859" i="20"/>
  <c r="O858" i="20" s="1"/>
  <c r="O856" i="20"/>
  <c r="O855" i="20"/>
  <c r="O854" i="20"/>
  <c r="O853" i="20"/>
  <c r="O852" i="20"/>
  <c r="O851" i="20" s="1"/>
  <c r="O849" i="20"/>
  <c r="O848" i="20"/>
  <c r="O847" i="20"/>
  <c r="O846" i="20"/>
  <c r="O845" i="20"/>
  <c r="O844" i="20" s="1"/>
  <c r="O842" i="20"/>
  <c r="O841" i="20"/>
  <c r="O840" i="20"/>
  <c r="O839" i="20"/>
  <c r="O838" i="20"/>
  <c r="O837" i="20" s="1"/>
  <c r="O835" i="20"/>
  <c r="O834" i="20"/>
  <c r="O833" i="20"/>
  <c r="O832" i="20"/>
  <c r="O831" i="20"/>
  <c r="O830" i="20" s="1"/>
  <c r="O828" i="20"/>
  <c r="O827" i="20"/>
  <c r="O826" i="20"/>
  <c r="O825" i="20"/>
  <c r="O824" i="20"/>
  <c r="O823" i="20" s="1"/>
  <c r="O821" i="20"/>
  <c r="O820" i="20"/>
  <c r="O819" i="20"/>
  <c r="O818" i="20"/>
  <c r="O817" i="20"/>
  <c r="O816" i="20" s="1"/>
  <c r="O814" i="20"/>
  <c r="O813" i="20"/>
  <c r="O812" i="20"/>
  <c r="O811" i="20"/>
  <c r="O810" i="20"/>
  <c r="O809" i="20" s="1"/>
  <c r="O807" i="20"/>
  <c r="O806" i="20"/>
  <c r="O805" i="20"/>
  <c r="O804" i="20"/>
  <c r="O803" i="20"/>
  <c r="O802" i="20" s="1"/>
  <c r="O800" i="20"/>
  <c r="O799" i="20"/>
  <c r="O798" i="20"/>
  <c r="O797" i="20"/>
  <c r="O796" i="20"/>
  <c r="O795" i="20" s="1"/>
  <c r="O793" i="20"/>
  <c r="O792" i="20"/>
  <c r="O791" i="20"/>
  <c r="O790" i="20"/>
  <c r="O789" i="20"/>
  <c r="O788" i="20" s="1"/>
  <c r="O786" i="20"/>
  <c r="O785" i="20"/>
  <c r="O784" i="20"/>
  <c r="O783" i="20"/>
  <c r="O1458" i="20"/>
  <c r="O779" i="20"/>
  <c r="O778" i="20"/>
  <c r="O777" i="20"/>
  <c r="O776" i="20"/>
  <c r="O775" i="20"/>
  <c r="O774" i="20" s="1"/>
  <c r="O772" i="20"/>
  <c r="O771" i="20"/>
  <c r="O770" i="20"/>
  <c r="O769" i="20"/>
  <c r="O768" i="20"/>
  <c r="O767" i="20" s="1"/>
  <c r="O765" i="20"/>
  <c r="O764" i="20"/>
  <c r="O763" i="20"/>
  <c r="O762" i="20"/>
  <c r="O761" i="20"/>
  <c r="O760" i="20" s="1"/>
  <c r="O758" i="20"/>
  <c r="O757" i="20"/>
  <c r="O756" i="20"/>
  <c r="O755" i="20"/>
  <c r="O754" i="20"/>
  <c r="O753" i="20" s="1"/>
  <c r="O751" i="20"/>
  <c r="O750" i="20"/>
  <c r="O749" i="20"/>
  <c r="O748" i="20"/>
  <c r="O747" i="20"/>
  <c r="O746" i="20" s="1"/>
  <c r="O744" i="20"/>
  <c r="O743" i="20"/>
  <c r="O742" i="20"/>
  <c r="O741" i="20"/>
  <c r="O740" i="20"/>
  <c r="O739" i="20" s="1"/>
  <c r="O737" i="20"/>
  <c r="O736" i="20"/>
  <c r="O735" i="20"/>
  <c r="O734" i="20"/>
  <c r="O733" i="20"/>
  <c r="O732" i="20" s="1"/>
  <c r="O730" i="20"/>
  <c r="O729" i="20"/>
  <c r="O728" i="20"/>
  <c r="O727" i="20"/>
  <c r="O726" i="20"/>
  <c r="O725" i="20" s="1"/>
  <c r="O723" i="20"/>
  <c r="O722" i="20"/>
  <c r="O721" i="20"/>
  <c r="O720" i="20"/>
  <c r="O719" i="20"/>
  <c r="O718" i="20" s="1"/>
  <c r="O716" i="20"/>
  <c r="O715" i="20"/>
  <c r="O714" i="20"/>
  <c r="O713" i="20"/>
  <c r="O712" i="20"/>
  <c r="O711" i="20" s="1"/>
  <c r="O709" i="20"/>
  <c r="O708" i="20"/>
  <c r="O707" i="20"/>
  <c r="O706" i="20"/>
  <c r="O705" i="20"/>
  <c r="O704" i="20" s="1"/>
  <c r="O702" i="20"/>
  <c r="O701" i="20"/>
  <c r="O700" i="20"/>
  <c r="O699" i="20"/>
  <c r="O698" i="20"/>
  <c r="O697" i="20" s="1"/>
  <c r="O695" i="20"/>
  <c r="O694" i="20"/>
  <c r="O693" i="20"/>
  <c r="O692" i="20"/>
  <c r="O691" i="20"/>
  <c r="O690" i="20" s="1"/>
  <c r="O688" i="20"/>
  <c r="O687" i="20"/>
  <c r="O686" i="20"/>
  <c r="O685" i="20"/>
  <c r="O684" i="20"/>
  <c r="O683" i="20" s="1"/>
  <c r="O681" i="20"/>
  <c r="O680" i="20"/>
  <c r="O679" i="20"/>
  <c r="O678" i="20"/>
  <c r="O677" i="20"/>
  <c r="O676" i="20" s="1"/>
  <c r="O674" i="20"/>
  <c r="O673" i="20"/>
  <c r="O672" i="20"/>
  <c r="O671" i="20"/>
  <c r="O670" i="20"/>
  <c r="O669" i="20" s="1"/>
  <c r="O667" i="20"/>
  <c r="O666" i="20"/>
  <c r="O665" i="20"/>
  <c r="O664" i="20"/>
  <c r="O663" i="20"/>
  <c r="O662" i="20" s="1"/>
  <c r="O660" i="20"/>
  <c r="O659" i="20"/>
  <c r="O658" i="20"/>
  <c r="O657" i="20"/>
  <c r="O656" i="20"/>
  <c r="O655" i="20" s="1"/>
  <c r="O653" i="20"/>
  <c r="O652" i="20"/>
  <c r="O651" i="20"/>
  <c r="O650" i="20"/>
  <c r="O649" i="20"/>
  <c r="O648" i="20" s="1"/>
  <c r="O646" i="20"/>
  <c r="O645" i="20"/>
  <c r="O644" i="20"/>
  <c r="O643" i="20"/>
  <c r="O642" i="20"/>
  <c r="O641" i="20" s="1"/>
  <c r="O639" i="20"/>
  <c r="O638" i="20"/>
  <c r="O637" i="20"/>
  <c r="O636" i="20"/>
  <c r="O635" i="20"/>
  <c r="O634" i="20" s="1"/>
  <c r="O632" i="20"/>
  <c r="O631" i="20"/>
  <c r="O630" i="20"/>
  <c r="O629" i="20"/>
  <c r="O628" i="20"/>
  <c r="O627" i="20" s="1"/>
  <c r="O625" i="20"/>
  <c r="O624" i="20"/>
  <c r="O623" i="20"/>
  <c r="O622" i="20"/>
  <c r="O621" i="20"/>
  <c r="O620" i="20" s="1"/>
  <c r="O618" i="20"/>
  <c r="O617" i="20"/>
  <c r="O616" i="20"/>
  <c r="O615" i="20"/>
  <c r="O614" i="20"/>
  <c r="O613" i="20" s="1"/>
  <c r="O611" i="20"/>
  <c r="O610" i="20"/>
  <c r="O609" i="20"/>
  <c r="O608" i="20"/>
  <c r="O607" i="20"/>
  <c r="O606" i="20" s="1"/>
  <c r="O604" i="20"/>
  <c r="O603" i="20"/>
  <c r="O602" i="20"/>
  <c r="O601" i="20"/>
  <c r="O600" i="20"/>
  <c r="O599" i="20" s="1"/>
  <c r="O597" i="20"/>
  <c r="O596" i="20"/>
  <c r="O595" i="20"/>
  <c r="O594" i="20"/>
  <c r="O593" i="20"/>
  <c r="O592" i="20" s="1"/>
  <c r="O590" i="20"/>
  <c r="O589" i="20"/>
  <c r="O588" i="20"/>
  <c r="O587" i="20"/>
  <c r="O586" i="20"/>
  <c r="O585" i="20" s="1"/>
  <c r="O583" i="20"/>
  <c r="O582" i="20"/>
  <c r="O581" i="20"/>
  <c r="O580" i="20"/>
  <c r="O579" i="20"/>
  <c r="O578" i="20" s="1"/>
  <c r="O576" i="20"/>
  <c r="O575" i="20"/>
  <c r="O574" i="20"/>
  <c r="O573" i="20"/>
  <c r="O572" i="20"/>
  <c r="O571" i="20" s="1"/>
  <c r="O569" i="20"/>
  <c r="O568" i="20"/>
  <c r="O567" i="20"/>
  <c r="O566" i="20"/>
  <c r="O565" i="20"/>
  <c r="O564" i="20" s="1"/>
  <c r="O562" i="20"/>
  <c r="O561" i="20"/>
  <c r="O560" i="20"/>
  <c r="O559" i="20"/>
  <c r="O558" i="20"/>
  <c r="O557" i="20" s="1"/>
  <c r="O555" i="20"/>
  <c r="O554" i="20"/>
  <c r="O553" i="20"/>
  <c r="O552" i="20"/>
  <c r="O551" i="20"/>
  <c r="O550" i="20" s="1"/>
  <c r="O548" i="20"/>
  <c r="O547" i="20"/>
  <c r="O546" i="20"/>
  <c r="O545" i="20"/>
  <c r="O544" i="20"/>
  <c r="O543" i="20" s="1"/>
  <c r="O541" i="20"/>
  <c r="O540" i="20"/>
  <c r="O539" i="20"/>
  <c r="O538" i="20"/>
  <c r="O537" i="20"/>
  <c r="O536" i="20" s="1"/>
  <c r="O534" i="20"/>
  <c r="O533" i="20"/>
  <c r="O532" i="20"/>
  <c r="O531" i="20"/>
  <c r="O530" i="20"/>
  <c r="O529" i="20" s="1"/>
  <c r="O527" i="20"/>
  <c r="O526" i="20"/>
  <c r="O525" i="20"/>
  <c r="O524" i="20"/>
  <c r="O523" i="20"/>
  <c r="O522" i="20" s="1"/>
  <c r="O520" i="20"/>
  <c r="O519" i="20"/>
  <c r="O518" i="20"/>
  <c r="O517" i="20"/>
  <c r="O516" i="20"/>
  <c r="O515" i="20" s="1"/>
  <c r="O513" i="20"/>
  <c r="O512" i="20"/>
  <c r="O511" i="20"/>
  <c r="O510" i="20"/>
  <c r="O509" i="20"/>
  <c r="O508" i="20" s="1"/>
  <c r="O506" i="20"/>
  <c r="O505" i="20"/>
  <c r="O504" i="20"/>
  <c r="O503" i="20"/>
  <c r="O502" i="20"/>
  <c r="O501" i="20" s="1"/>
  <c r="O499" i="20"/>
  <c r="O498" i="20"/>
  <c r="O497" i="20"/>
  <c r="O496" i="20"/>
  <c r="O495" i="20"/>
  <c r="O494" i="20" s="1"/>
  <c r="O492" i="20"/>
  <c r="O491" i="20"/>
  <c r="O490" i="20"/>
  <c r="O489" i="20"/>
  <c r="O488" i="20"/>
  <c r="O487" i="20" s="1"/>
  <c r="O485" i="20"/>
  <c r="O484" i="20"/>
  <c r="O483" i="20"/>
  <c r="O482" i="20"/>
  <c r="O481" i="20"/>
  <c r="O480" i="20" s="1"/>
  <c r="O478" i="20"/>
  <c r="O477" i="20"/>
  <c r="O476" i="20"/>
  <c r="O475" i="20"/>
  <c r="O474" i="20"/>
  <c r="O473" i="20" s="1"/>
  <c r="O471" i="20"/>
  <c r="O470" i="20"/>
  <c r="O469" i="20"/>
  <c r="O468" i="20"/>
  <c r="O467" i="20"/>
  <c r="O466" i="20" s="1"/>
  <c r="O464" i="20"/>
  <c r="O463" i="20"/>
  <c r="O462" i="20"/>
  <c r="O461" i="20"/>
  <c r="O460" i="20"/>
  <c r="O459" i="20" s="1"/>
  <c r="O457" i="20"/>
  <c r="O456" i="20"/>
  <c r="O455" i="20"/>
  <c r="O454" i="20"/>
  <c r="O453" i="20"/>
  <c r="O452" i="20" s="1"/>
  <c r="O450" i="20"/>
  <c r="O449" i="20"/>
  <c r="O448" i="20"/>
  <c r="O447" i="20"/>
  <c r="O446" i="20"/>
  <c r="O445" i="20" s="1"/>
  <c r="O443" i="20"/>
  <c r="O442" i="20"/>
  <c r="O441" i="20"/>
  <c r="O440" i="20"/>
  <c r="O439" i="20"/>
  <c r="O438" i="20" s="1"/>
  <c r="O436" i="20"/>
  <c r="O435" i="20"/>
  <c r="O434" i="20"/>
  <c r="O433" i="20"/>
  <c r="O432" i="20"/>
  <c r="O431" i="20" s="1"/>
  <c r="O429" i="20"/>
  <c r="O428" i="20"/>
  <c r="O427" i="20"/>
  <c r="O426" i="20"/>
  <c r="O425" i="20"/>
  <c r="O424" i="20" s="1"/>
  <c r="O422" i="20"/>
  <c r="O421" i="20"/>
  <c r="O420" i="20"/>
  <c r="O419" i="20"/>
  <c r="O418" i="20"/>
  <c r="O417" i="20" s="1"/>
  <c r="O415" i="20"/>
  <c r="O414" i="20"/>
  <c r="O413" i="20"/>
  <c r="O412" i="20"/>
  <c r="O411" i="20"/>
  <c r="O410" i="20" s="1"/>
  <c r="O408" i="20"/>
  <c r="O407" i="20"/>
  <c r="O406" i="20"/>
  <c r="O405" i="20"/>
  <c r="O404" i="20"/>
  <c r="O403" i="20" s="1"/>
  <c r="O401" i="20"/>
  <c r="O400" i="20"/>
  <c r="O399" i="20"/>
  <c r="O398" i="20"/>
  <c r="O397" i="20"/>
  <c r="O396" i="20" s="1"/>
  <c r="O394" i="20"/>
  <c r="O393" i="20"/>
  <c r="O392" i="20"/>
  <c r="O391" i="20"/>
  <c r="O390" i="20"/>
  <c r="O389" i="20" s="1"/>
  <c r="O387" i="20"/>
  <c r="O386" i="20"/>
  <c r="O385" i="20"/>
  <c r="O384" i="20"/>
  <c r="O383" i="20"/>
  <c r="O382" i="20" s="1"/>
  <c r="O380" i="20"/>
  <c r="O379" i="20"/>
  <c r="O378" i="20"/>
  <c r="O377" i="20"/>
  <c r="O376" i="20"/>
  <c r="O375" i="20" s="1"/>
  <c r="O373" i="20"/>
  <c r="O372" i="20"/>
  <c r="O371" i="20"/>
  <c r="O370" i="20"/>
  <c r="O369" i="20"/>
  <c r="O368" i="20" s="1"/>
  <c r="O366" i="20"/>
  <c r="O365" i="20"/>
  <c r="O364" i="20"/>
  <c r="O363" i="20"/>
  <c r="O362" i="20"/>
  <c r="O361" i="20" s="1"/>
  <c r="O359" i="20"/>
  <c r="O358" i="20"/>
  <c r="O357" i="20"/>
  <c r="O356" i="20"/>
  <c r="O355" i="20"/>
  <c r="O354" i="20" s="1"/>
  <c r="O352" i="20"/>
  <c r="O351" i="20"/>
  <c r="O350" i="20"/>
  <c r="O349" i="20"/>
  <c r="O348" i="20"/>
  <c r="O347" i="20" s="1"/>
  <c r="O345" i="20"/>
  <c r="O344" i="20"/>
  <c r="O343" i="20"/>
  <c r="O342" i="20"/>
  <c r="O341" i="20"/>
  <c r="O340" i="20" s="1"/>
  <c r="O338" i="20"/>
  <c r="O337" i="20"/>
  <c r="O336" i="20"/>
  <c r="O335" i="20"/>
  <c r="O334" i="20"/>
  <c r="O333" i="20" s="1"/>
  <c r="O331" i="20"/>
  <c r="O330" i="20"/>
  <c r="O329" i="20"/>
  <c r="O328" i="20"/>
  <c r="O327" i="20"/>
  <c r="O326" i="20" s="1"/>
  <c r="O324" i="20"/>
  <c r="O323" i="20"/>
  <c r="O322" i="20"/>
  <c r="O321" i="20"/>
  <c r="O320" i="20"/>
  <c r="O319" i="20" s="1"/>
  <c r="O317" i="20"/>
  <c r="O316" i="20"/>
  <c r="O315" i="20"/>
  <c r="O314" i="20"/>
  <c r="O313" i="20"/>
  <c r="O312" i="20" s="1"/>
  <c r="O310" i="20"/>
  <c r="O309" i="20"/>
  <c r="O308" i="20"/>
  <c r="O307" i="20"/>
  <c r="O306" i="20"/>
  <c r="O305" i="20" s="1"/>
  <c r="O303" i="20"/>
  <c r="O302" i="20"/>
  <c r="O301" i="20"/>
  <c r="O300" i="20"/>
  <c r="O299" i="20"/>
  <c r="O298" i="20" s="1"/>
  <c r="O296" i="20"/>
  <c r="O295" i="20"/>
  <c r="O294" i="20"/>
  <c r="O293" i="20"/>
  <c r="O292" i="20"/>
  <c r="O291" i="20" s="1"/>
  <c r="O289" i="20"/>
  <c r="O288" i="20"/>
  <c r="O287" i="20"/>
  <c r="O286" i="20"/>
  <c r="O285" i="20"/>
  <c r="O284" i="20" s="1"/>
  <c r="O282" i="20"/>
  <c r="O281" i="20"/>
  <c r="O280" i="20"/>
  <c r="O279" i="20"/>
  <c r="O278" i="20"/>
  <c r="O277" i="20" s="1"/>
  <c r="O275" i="20"/>
  <c r="O274" i="20"/>
  <c r="O273" i="20"/>
  <c r="O272" i="20"/>
  <c r="O271" i="20"/>
  <c r="O270" i="20" s="1"/>
  <c r="O268" i="20"/>
  <c r="O267" i="20"/>
  <c r="O266" i="20"/>
  <c r="O265" i="20"/>
  <c r="O264" i="20"/>
  <c r="O263" i="20" s="1"/>
  <c r="O261" i="20"/>
  <c r="O260" i="20"/>
  <c r="O259" i="20"/>
  <c r="O258" i="20"/>
  <c r="O257" i="20"/>
  <c r="O256" i="20" s="1"/>
  <c r="O254" i="20"/>
  <c r="O253" i="20"/>
  <c r="O252" i="20"/>
  <c r="O251" i="20"/>
  <c r="O250" i="20"/>
  <c r="O249" i="20" s="1"/>
  <c r="O247" i="20"/>
  <c r="O246" i="20"/>
  <c r="O245" i="20"/>
  <c r="O244" i="20"/>
  <c r="O243" i="20"/>
  <c r="O242" i="20" s="1"/>
  <c r="O240" i="20"/>
  <c r="O239" i="20"/>
  <c r="O238" i="20"/>
  <c r="O237" i="20"/>
  <c r="O236" i="20"/>
  <c r="O235" i="20" s="1"/>
  <c r="O233" i="20"/>
  <c r="O232" i="20"/>
  <c r="O231" i="20"/>
  <c r="O230" i="20"/>
  <c r="O229" i="20"/>
  <c r="O228" i="20" s="1"/>
  <c r="O226" i="20"/>
  <c r="O225" i="20"/>
  <c r="O224" i="20"/>
  <c r="O223" i="20"/>
  <c r="O222" i="20"/>
  <c r="O221" i="20" s="1"/>
  <c r="O219" i="20"/>
  <c r="O218" i="20"/>
  <c r="O217" i="20"/>
  <c r="O216" i="20"/>
  <c r="O215" i="20"/>
  <c r="O214" i="20" s="1"/>
  <c r="O212" i="20"/>
  <c r="O211" i="20"/>
  <c r="O210" i="20"/>
  <c r="O209" i="20"/>
  <c r="O208" i="20"/>
  <c r="O207" i="20" s="1"/>
  <c r="O205" i="20"/>
  <c r="O204" i="20"/>
  <c r="O203" i="20"/>
  <c r="O202" i="20"/>
  <c r="O201" i="20"/>
  <c r="O200" i="20" s="1"/>
  <c r="O198" i="20"/>
  <c r="O197" i="20"/>
  <c r="O196" i="20"/>
  <c r="O195" i="20"/>
  <c r="O194" i="20"/>
  <c r="O193" i="20" s="1"/>
  <c r="O191" i="20"/>
  <c r="O190" i="20"/>
  <c r="O189" i="20"/>
  <c r="O188" i="20"/>
  <c r="O187" i="20"/>
  <c r="O186" i="20" s="1"/>
  <c r="O184" i="20"/>
  <c r="O183" i="20"/>
  <c r="O182" i="20"/>
  <c r="O181" i="20"/>
  <c r="O180" i="20"/>
  <c r="O179" i="20" s="1"/>
  <c r="O177" i="20"/>
  <c r="O176" i="20"/>
  <c r="O175" i="20"/>
  <c r="O174" i="20"/>
  <c r="O173" i="20"/>
  <c r="O172" i="20" s="1"/>
  <c r="O1461" i="20"/>
  <c r="O169" i="20"/>
  <c r="O168" i="20"/>
  <c r="O167" i="20"/>
  <c r="O166" i="20"/>
  <c r="O165" i="20" s="1"/>
  <c r="O163" i="20"/>
  <c r="O162" i="20"/>
  <c r="O161" i="20"/>
  <c r="O160" i="20"/>
  <c r="O159" i="20"/>
  <c r="O158" i="20" s="1"/>
  <c r="O156" i="20"/>
  <c r="O155" i="20"/>
  <c r="O154" i="20"/>
  <c r="O153" i="20"/>
  <c r="O152" i="20"/>
  <c r="O151" i="20" s="1"/>
  <c r="O149" i="20"/>
  <c r="O148" i="20"/>
  <c r="O147" i="20"/>
  <c r="O146" i="20"/>
  <c r="O145" i="20"/>
  <c r="O144" i="20" s="1"/>
  <c r="O142" i="20"/>
  <c r="O141" i="20"/>
  <c r="O140" i="20"/>
  <c r="O139" i="20"/>
  <c r="O138" i="20"/>
  <c r="O137" i="20" s="1"/>
  <c r="O135" i="20"/>
  <c r="O134" i="20"/>
  <c r="O133" i="20"/>
  <c r="O132" i="20"/>
  <c r="O131" i="20"/>
  <c r="O130" i="20" s="1"/>
  <c r="O128" i="20"/>
  <c r="O127" i="20"/>
  <c r="O126" i="20"/>
  <c r="O125" i="20"/>
  <c r="O124" i="20"/>
  <c r="O123" i="20" s="1"/>
  <c r="O121" i="20"/>
  <c r="O120" i="20"/>
  <c r="O119" i="20"/>
  <c r="O118" i="20"/>
  <c r="O117" i="20"/>
  <c r="O116" i="20" s="1"/>
  <c r="O114" i="20"/>
  <c r="O113" i="20"/>
  <c r="O112" i="20"/>
  <c r="O111" i="20"/>
  <c r="O110" i="20"/>
  <c r="O109" i="20" s="1"/>
  <c r="O107" i="20"/>
  <c r="O106" i="20"/>
  <c r="O105" i="20"/>
  <c r="O104" i="20"/>
  <c r="O103" i="20"/>
  <c r="O102" i="20" s="1"/>
  <c r="O100" i="20"/>
  <c r="O99" i="20"/>
  <c r="O98" i="20"/>
  <c r="O97" i="20"/>
  <c r="O96" i="20"/>
  <c r="O95" i="20" s="1"/>
  <c r="O93" i="20"/>
  <c r="O92" i="20"/>
  <c r="O91" i="20"/>
  <c r="O90" i="20"/>
  <c r="O89" i="20"/>
  <c r="O88" i="20" s="1"/>
  <c r="O86" i="20"/>
  <c r="O85" i="20"/>
  <c r="O84" i="20"/>
  <c r="O83" i="20"/>
  <c r="O82" i="20"/>
  <c r="O81" i="20" s="1"/>
  <c r="O79" i="20"/>
  <c r="O78" i="20"/>
  <c r="O77" i="20"/>
  <c r="O76" i="20"/>
  <c r="O75" i="20"/>
  <c r="O74" i="20" s="1"/>
  <c r="O72" i="20"/>
  <c r="O71" i="20"/>
  <c r="O70" i="20"/>
  <c r="O69" i="20"/>
  <c r="O68" i="20"/>
  <c r="O67" i="20" s="1"/>
  <c r="O65" i="20"/>
  <c r="O64" i="20"/>
  <c r="O63" i="20"/>
  <c r="O62" i="20"/>
  <c r="O61" i="20"/>
  <c r="O60" i="20" s="1"/>
  <c r="O58" i="20"/>
  <c r="O57" i="20"/>
  <c r="O56" i="20"/>
  <c r="O55" i="20"/>
  <c r="O54" i="20"/>
  <c r="O53" i="20" s="1"/>
  <c r="O51" i="20"/>
  <c r="O50" i="20"/>
  <c r="O49" i="20"/>
  <c r="O48" i="20"/>
  <c r="O47" i="20"/>
  <c r="O46" i="20" s="1"/>
  <c r="O44" i="20"/>
  <c r="O43" i="20"/>
  <c r="O42" i="20"/>
  <c r="O41" i="20"/>
  <c r="O40" i="20"/>
  <c r="O39" i="20" s="1"/>
  <c r="O37" i="20"/>
  <c r="O36" i="20"/>
  <c r="O35" i="20"/>
  <c r="O32" i="20" s="1"/>
  <c r="O34" i="20"/>
  <c r="O33" i="20"/>
  <c r="O30" i="20"/>
  <c r="O29" i="20"/>
  <c r="O28" i="20"/>
  <c r="O27" i="20"/>
  <c r="O26" i="20"/>
  <c r="O25" i="20" s="1"/>
  <c r="O23" i="20"/>
  <c r="O22" i="20"/>
  <c r="O21" i="20"/>
  <c r="O20" i="20"/>
  <c r="O19" i="20"/>
  <c r="O18" i="20" s="1"/>
  <c r="O16" i="20"/>
  <c r="O15" i="20"/>
  <c r="O14" i="20"/>
  <c r="O13" i="20"/>
  <c r="O12" i="20"/>
  <c r="O11" i="20" s="1"/>
  <c r="O9" i="20"/>
  <c r="O8" i="20"/>
  <c r="O7" i="20"/>
  <c r="O6" i="20"/>
  <c r="O5" i="20"/>
  <c r="O1462" i="20"/>
  <c r="O1463" i="20"/>
  <c r="O1464" i="20"/>
  <c r="O1465" i="20"/>
  <c r="O1468" i="20"/>
  <c r="O1469" i="20"/>
  <c r="O1470" i="20"/>
  <c r="O1471" i="20"/>
  <c r="O1472" i="20"/>
  <c r="O1475" i="20"/>
  <c r="O1476" i="20"/>
  <c r="O1477" i="20"/>
  <c r="O1478" i="20"/>
  <c r="O1479" i="20"/>
  <c r="O1482" i="20"/>
  <c r="O1483" i="20"/>
  <c r="O1484" i="20"/>
  <c r="O1485" i="20"/>
  <c r="O1486" i="20"/>
  <c r="O1489" i="20"/>
  <c r="O1490" i="20"/>
  <c r="O1491" i="20"/>
  <c r="N666" i="20"/>
  <c r="N868" i="20"/>
  <c r="N867" i="20"/>
  <c r="N866" i="20"/>
  <c r="N863" i="20"/>
  <c r="N862" i="20"/>
  <c r="N861" i="20"/>
  <c r="N860" i="20"/>
  <c r="N859" i="20"/>
  <c r="N858" i="20" s="1"/>
  <c r="N856" i="20"/>
  <c r="N855" i="20"/>
  <c r="N854" i="20"/>
  <c r="N853" i="20"/>
  <c r="N852" i="20"/>
  <c r="N851" i="20" s="1"/>
  <c r="N849" i="20"/>
  <c r="N848" i="20"/>
  <c r="N847" i="20"/>
  <c r="N846" i="20"/>
  <c r="N845" i="20"/>
  <c r="N844" i="20" s="1"/>
  <c r="N842" i="20"/>
  <c r="N841" i="20"/>
  <c r="N840" i="20"/>
  <c r="N839" i="20"/>
  <c r="N838" i="20"/>
  <c r="N837" i="20" s="1"/>
  <c r="N835" i="20"/>
  <c r="N834" i="20"/>
  <c r="N833" i="20"/>
  <c r="N832" i="20"/>
  <c r="N831" i="20"/>
  <c r="N830" i="20" s="1"/>
  <c r="N828" i="20"/>
  <c r="N827" i="20"/>
  <c r="N826" i="20"/>
  <c r="N825" i="20"/>
  <c r="N824" i="20"/>
  <c r="N823" i="20" s="1"/>
  <c r="N821" i="20"/>
  <c r="N820" i="20"/>
  <c r="N819" i="20"/>
  <c r="N818" i="20"/>
  <c r="N817" i="20"/>
  <c r="N816" i="20" s="1"/>
  <c r="N814" i="20"/>
  <c r="N813" i="20"/>
  <c r="N812" i="20"/>
  <c r="N811" i="20"/>
  <c r="N810" i="20"/>
  <c r="N809" i="20" s="1"/>
  <c r="N807" i="20"/>
  <c r="N806" i="20"/>
  <c r="N805" i="20"/>
  <c r="N804" i="20"/>
  <c r="N803" i="20"/>
  <c r="N802" i="20" s="1"/>
  <c r="N800" i="20"/>
  <c r="N799" i="20"/>
  <c r="N798" i="20"/>
  <c r="N797" i="20"/>
  <c r="N796" i="20"/>
  <c r="N795" i="20" s="1"/>
  <c r="N793" i="20"/>
  <c r="N792" i="20"/>
  <c r="N791" i="20"/>
  <c r="N790" i="20"/>
  <c r="N789" i="20"/>
  <c r="N788" i="20" s="1"/>
  <c r="N786" i="20"/>
  <c r="N785" i="20"/>
  <c r="N784" i="20"/>
  <c r="N783" i="20"/>
  <c r="N782" i="20"/>
  <c r="N781" i="20" s="1"/>
  <c r="N779" i="20"/>
  <c r="N778" i="20"/>
  <c r="N777" i="20"/>
  <c r="N776" i="20"/>
  <c r="N775" i="20"/>
  <c r="N774" i="20" s="1"/>
  <c r="N772" i="20"/>
  <c r="N771" i="20"/>
  <c r="N770" i="20"/>
  <c r="N769" i="20"/>
  <c r="N768" i="20"/>
  <c r="N767" i="20" s="1"/>
  <c r="N765" i="20"/>
  <c r="N764" i="20"/>
  <c r="N763" i="20"/>
  <c r="N762" i="20"/>
  <c r="N761" i="20"/>
  <c r="N760" i="20" s="1"/>
  <c r="N758" i="20"/>
  <c r="N757" i="20"/>
  <c r="N756" i="20"/>
  <c r="N755" i="20"/>
  <c r="N754" i="20"/>
  <c r="N753" i="20" s="1"/>
  <c r="N751" i="20"/>
  <c r="N750" i="20"/>
  <c r="N749" i="20"/>
  <c r="N748" i="20"/>
  <c r="N747" i="20"/>
  <c r="N746" i="20" s="1"/>
  <c r="N744" i="20"/>
  <c r="N743" i="20"/>
  <c r="N742" i="20"/>
  <c r="N741" i="20"/>
  <c r="N740" i="20"/>
  <c r="N739" i="20" s="1"/>
  <c r="N737" i="20"/>
  <c r="N736" i="20"/>
  <c r="N735" i="20"/>
  <c r="N734" i="20"/>
  <c r="N733" i="20"/>
  <c r="N732" i="20" s="1"/>
  <c r="N730" i="20"/>
  <c r="N729" i="20"/>
  <c r="N728" i="20"/>
  <c r="N727" i="20"/>
  <c r="N726" i="20"/>
  <c r="N725" i="20" s="1"/>
  <c r="N723" i="20"/>
  <c r="N722" i="20"/>
  <c r="N721" i="20"/>
  <c r="N720" i="20"/>
  <c r="N719" i="20"/>
  <c r="N718" i="20" s="1"/>
  <c r="N716" i="20"/>
  <c r="N715" i="20"/>
  <c r="N714" i="20"/>
  <c r="N713" i="20"/>
  <c r="N712" i="20"/>
  <c r="N711" i="20" s="1"/>
  <c r="N709" i="20"/>
  <c r="N708" i="20"/>
  <c r="N707" i="20"/>
  <c r="N706" i="20"/>
  <c r="N705" i="20"/>
  <c r="N704" i="20" s="1"/>
  <c r="N702" i="20"/>
  <c r="N701" i="20"/>
  <c r="N700" i="20"/>
  <c r="N699" i="20"/>
  <c r="N698" i="20"/>
  <c r="N697" i="20" s="1"/>
  <c r="N695" i="20"/>
  <c r="N694" i="20"/>
  <c r="N693" i="20"/>
  <c r="N692" i="20"/>
  <c r="N691" i="20"/>
  <c r="N690" i="20" s="1"/>
  <c r="N688" i="20"/>
  <c r="N687" i="20"/>
  <c r="N686" i="20"/>
  <c r="N685" i="20"/>
  <c r="N684" i="20"/>
  <c r="N683" i="20" s="1"/>
  <c r="N681" i="20"/>
  <c r="N680" i="20"/>
  <c r="N679" i="20"/>
  <c r="N678" i="20"/>
  <c r="N677" i="20"/>
  <c r="N676" i="20" s="1"/>
  <c r="N674" i="20"/>
  <c r="N673" i="20"/>
  <c r="N672" i="20"/>
  <c r="N671" i="20"/>
  <c r="N670" i="20"/>
  <c r="N669" i="20" s="1"/>
  <c r="N667" i="20"/>
  <c r="N665" i="20"/>
  <c r="N664" i="20"/>
  <c r="N663" i="20"/>
  <c r="N662" i="20" s="1"/>
  <c r="N660" i="20"/>
  <c r="N659" i="20"/>
  <c r="N658" i="20"/>
  <c r="N657" i="20"/>
  <c r="N656" i="20"/>
  <c r="N655" i="20" s="1"/>
  <c r="N653" i="20"/>
  <c r="N652" i="20"/>
  <c r="N651" i="20"/>
  <c r="N650" i="20"/>
  <c r="N649" i="20"/>
  <c r="N648" i="20" s="1"/>
  <c r="N646" i="20"/>
  <c r="N645" i="20"/>
  <c r="N644" i="20"/>
  <c r="N643" i="20"/>
  <c r="N642" i="20"/>
  <c r="N641" i="20" s="1"/>
  <c r="N639" i="20"/>
  <c r="N638" i="20"/>
  <c r="N637" i="20"/>
  <c r="N636" i="20"/>
  <c r="N635" i="20"/>
  <c r="N634" i="20" s="1"/>
  <c r="N632" i="20"/>
  <c r="N631" i="20"/>
  <c r="N630" i="20"/>
  <c r="N629" i="20"/>
  <c r="N628" i="20"/>
  <c r="N627" i="20" s="1"/>
  <c r="N625" i="20"/>
  <c r="N624" i="20"/>
  <c r="N623" i="20"/>
  <c r="N622" i="20"/>
  <c r="N621" i="20"/>
  <c r="N620" i="20" s="1"/>
  <c r="N618" i="20"/>
  <c r="N617" i="20"/>
  <c r="N616" i="20"/>
  <c r="N615" i="20"/>
  <c r="N614" i="20"/>
  <c r="N613" i="20" s="1"/>
  <c r="N611" i="20"/>
  <c r="N610" i="20"/>
  <c r="N609" i="20"/>
  <c r="N608" i="20"/>
  <c r="N607" i="20"/>
  <c r="N606" i="20" s="1"/>
  <c r="N604" i="20"/>
  <c r="N1590" i="20"/>
  <c r="N453" i="20"/>
  <c r="N1619" i="20"/>
  <c r="N1618" i="20"/>
  <c r="N1617" i="20"/>
  <c r="N1616" i="20"/>
  <c r="N1615" i="20"/>
  <c r="N1614" i="20" s="1"/>
  <c r="N1612" i="20"/>
  <c r="N1611" i="20"/>
  <c r="N1610" i="20"/>
  <c r="N1609" i="20"/>
  <c r="N1608" i="20"/>
  <c r="N1607" i="20" s="1"/>
  <c r="N1605" i="20"/>
  <c r="N1604" i="20"/>
  <c r="N1603" i="20"/>
  <c r="N1602" i="20"/>
  <c r="N1601" i="20"/>
  <c r="N1600" i="20" s="1"/>
  <c r="N1598" i="20"/>
  <c r="N1597" i="20"/>
  <c r="N1596" i="20"/>
  <c r="N1595" i="20"/>
  <c r="N1594" i="20"/>
  <c r="N1593" i="20" s="1"/>
  <c r="N1591" i="20"/>
  <c r="N603" i="20"/>
  <c r="N1589" i="20"/>
  <c r="N1588" i="20"/>
  <c r="N1587" i="20"/>
  <c r="N1586" i="20" s="1"/>
  <c r="N1584" i="20"/>
  <c r="N1583" i="20"/>
  <c r="N1582" i="20"/>
  <c r="N1581" i="20"/>
  <c r="N1580" i="20"/>
  <c r="N1579" i="20" s="1"/>
  <c r="N1577" i="20"/>
  <c r="N1576" i="20"/>
  <c r="N1575" i="20"/>
  <c r="N1574" i="20"/>
  <c r="N1573" i="20"/>
  <c r="N1572" i="20" s="1"/>
  <c r="N1570" i="20"/>
  <c r="N1569" i="20"/>
  <c r="N1568" i="20"/>
  <c r="N1567" i="20"/>
  <c r="N1566" i="20"/>
  <c r="N1565" i="20" s="1"/>
  <c r="N1563" i="20"/>
  <c r="N1562" i="20"/>
  <c r="N1561" i="20"/>
  <c r="N1560" i="20"/>
  <c r="N1559" i="20"/>
  <c r="N1558" i="20" s="1"/>
  <c r="N1556" i="20"/>
  <c r="N1555" i="20"/>
  <c r="N1554" i="20"/>
  <c r="N1553" i="20"/>
  <c r="N1552" i="20"/>
  <c r="N1551" i="20" s="1"/>
  <c r="N1549" i="20"/>
  <c r="N1548" i="20"/>
  <c r="N1547" i="20"/>
  <c r="N1546" i="20"/>
  <c r="N1545" i="20"/>
  <c r="N1544" i="20" s="1"/>
  <c r="N1542" i="20"/>
  <c r="N1541" i="20"/>
  <c r="N1540" i="20"/>
  <c r="N1539" i="20"/>
  <c r="N1538" i="20"/>
  <c r="N1537" i="20" s="1"/>
  <c r="N1535" i="20"/>
  <c r="N1534" i="20"/>
  <c r="N1533" i="20"/>
  <c r="N1532" i="20"/>
  <c r="N1531" i="20"/>
  <c r="N1530" i="20" s="1"/>
  <c r="N1528" i="20"/>
  <c r="N1527" i="20"/>
  <c r="N1526" i="20"/>
  <c r="N1525" i="20"/>
  <c r="N1524" i="20"/>
  <c r="N1523" i="20" s="1"/>
  <c r="N1521" i="20"/>
  <c r="N1520" i="20"/>
  <c r="N1519" i="20"/>
  <c r="N1518" i="20"/>
  <c r="N1517" i="20"/>
  <c r="N1516" i="20" s="1"/>
  <c r="N1514" i="20"/>
  <c r="N1513" i="20"/>
  <c r="N1512" i="20"/>
  <c r="N1511" i="20"/>
  <c r="N1510" i="20"/>
  <c r="N1509" i="20" s="1"/>
  <c r="N1507" i="20"/>
  <c r="N1506" i="20"/>
  <c r="N1505" i="20"/>
  <c r="N1504" i="20"/>
  <c r="N1503" i="20"/>
  <c r="N1502" i="20" s="1"/>
  <c r="N1500" i="20"/>
  <c r="N1499" i="20"/>
  <c r="N1498" i="20"/>
  <c r="N1497" i="20"/>
  <c r="N1496" i="20"/>
  <c r="N1495" i="20" s="1"/>
  <c r="N1493" i="20"/>
  <c r="N1492" i="20"/>
  <c r="N1491" i="20"/>
  <c r="N1490" i="20"/>
  <c r="N1489" i="20"/>
  <c r="N1488" i="20" s="1"/>
  <c r="N1486" i="20"/>
  <c r="N1485" i="20"/>
  <c r="N1484" i="20"/>
  <c r="N1483" i="20"/>
  <c r="N1482" i="20"/>
  <c r="N1481" i="20" s="1"/>
  <c r="N1479" i="20"/>
  <c r="N1478" i="20"/>
  <c r="N1477" i="20"/>
  <c r="N1476" i="20"/>
  <c r="N1475" i="20"/>
  <c r="N1474" i="20" s="1"/>
  <c r="N1472" i="20"/>
  <c r="N1471" i="20"/>
  <c r="N1470" i="20"/>
  <c r="N1469" i="20"/>
  <c r="N1468" i="20"/>
  <c r="N1467" i="20" s="1"/>
  <c r="N1465" i="20"/>
  <c r="N1464" i="20"/>
  <c r="N1463" i="20"/>
  <c r="N1462" i="20"/>
  <c r="N1461" i="20"/>
  <c r="N1460" i="20" s="1"/>
  <c r="N1458" i="20"/>
  <c r="N1457" i="20"/>
  <c r="N1456" i="20"/>
  <c r="N1455" i="20"/>
  <c r="N1454" i="20"/>
  <c r="N1453" i="20" s="1"/>
  <c r="N1451" i="20"/>
  <c r="N1450" i="20"/>
  <c r="N1449" i="20"/>
  <c r="N1448" i="20"/>
  <c r="N1447" i="20"/>
  <c r="N1446" i="20" s="1"/>
  <c r="N1444" i="20"/>
  <c r="N1443" i="20"/>
  <c r="N1442" i="20"/>
  <c r="N1441" i="20"/>
  <c r="N1440" i="20"/>
  <c r="N1439" i="20" s="1"/>
  <c r="N1437" i="20"/>
  <c r="N1436" i="20"/>
  <c r="N1435" i="20"/>
  <c r="N1434" i="20"/>
  <c r="N1433" i="20"/>
  <c r="N1432" i="20" s="1"/>
  <c r="N1430" i="20"/>
  <c r="N1429" i="20"/>
  <c r="N1428" i="20"/>
  <c r="N1427" i="20"/>
  <c r="N1426" i="20"/>
  <c r="N1425" i="20" s="1"/>
  <c r="N1423" i="20"/>
  <c r="N1422" i="20"/>
  <c r="N1421" i="20"/>
  <c r="N1420" i="20"/>
  <c r="N1419" i="20"/>
  <c r="N1418" i="20" s="1"/>
  <c r="N1416" i="20"/>
  <c r="N1415" i="20"/>
  <c r="N1414" i="20"/>
  <c r="N1413" i="20"/>
  <c r="N1412" i="20"/>
  <c r="N1411" i="20" s="1"/>
  <c r="N1409" i="20"/>
  <c r="N1408" i="20"/>
  <c r="N1407" i="20"/>
  <c r="N1406" i="20"/>
  <c r="N1405" i="20"/>
  <c r="N1404" i="20" s="1"/>
  <c r="N1402" i="20"/>
  <c r="N1401" i="20"/>
  <c r="N1400" i="20"/>
  <c r="N1399" i="20"/>
  <c r="N1398" i="20"/>
  <c r="N1397" i="20" s="1"/>
  <c r="N1395" i="20"/>
  <c r="N1394" i="20"/>
  <c r="N1393" i="20"/>
  <c r="N1392" i="20"/>
  <c r="N1391" i="20"/>
  <c r="N1390" i="20" s="1"/>
  <c r="N1388" i="20"/>
  <c r="N1387" i="20"/>
  <c r="N1386" i="20"/>
  <c r="N1385" i="20"/>
  <c r="N1384" i="20"/>
  <c r="N1383" i="20" s="1"/>
  <c r="N1381" i="20"/>
  <c r="N1380" i="20"/>
  <c r="N1379" i="20"/>
  <c r="N1378" i="20"/>
  <c r="N1377" i="20"/>
  <c r="N1376" i="20" s="1"/>
  <c r="N1374" i="20"/>
  <c r="N1373" i="20"/>
  <c r="N1372" i="20"/>
  <c r="N1371" i="20"/>
  <c r="N1370" i="20"/>
  <c r="N1369" i="20" s="1"/>
  <c r="N1367" i="20"/>
  <c r="N1366" i="20"/>
  <c r="N1365" i="20"/>
  <c r="N1364" i="20"/>
  <c r="N1363" i="20"/>
  <c r="N1362" i="20" s="1"/>
  <c r="N1360" i="20"/>
  <c r="N1359" i="20"/>
  <c r="N1358" i="20"/>
  <c r="N1357" i="20"/>
  <c r="N1356" i="20"/>
  <c r="N1355" i="20" s="1"/>
  <c r="N1353" i="20"/>
  <c r="N1352" i="20"/>
  <c r="N1351" i="20"/>
  <c r="N1350" i="20"/>
  <c r="N1349" i="20"/>
  <c r="N1348" i="20" s="1"/>
  <c r="N1346" i="20"/>
  <c r="N1345" i="20"/>
  <c r="N1344" i="20"/>
  <c r="N1343" i="20"/>
  <c r="N1342" i="20"/>
  <c r="N1341" i="20" s="1"/>
  <c r="N1339" i="20"/>
  <c r="N1338" i="20"/>
  <c r="N1337" i="20"/>
  <c r="N1336" i="20"/>
  <c r="N1335" i="20"/>
  <c r="N1334" i="20" s="1"/>
  <c r="N1332" i="20"/>
  <c r="N1331" i="20"/>
  <c r="N1330" i="20"/>
  <c r="N1329" i="20"/>
  <c r="N1328" i="20"/>
  <c r="N1327" i="20" s="1"/>
  <c r="N1325" i="20"/>
  <c r="N1324" i="20"/>
  <c r="N1323" i="20"/>
  <c r="N1322" i="20"/>
  <c r="N1321" i="20"/>
  <c r="N1320" i="20" s="1"/>
  <c r="N1318" i="20"/>
  <c r="N1317" i="20"/>
  <c r="N1316" i="20"/>
  <c r="N1315" i="20"/>
  <c r="N1314" i="20"/>
  <c r="N1313" i="20" s="1"/>
  <c r="N1311" i="20"/>
  <c r="N1310" i="20"/>
  <c r="N1309" i="20"/>
  <c r="N1308" i="20"/>
  <c r="N1307" i="20"/>
  <c r="N1306" i="20" s="1"/>
  <c r="N1304" i="20"/>
  <c r="N1303" i="20"/>
  <c r="N1302" i="20"/>
  <c r="N1301" i="20"/>
  <c r="N1300" i="20"/>
  <c r="N1299" i="20" s="1"/>
  <c r="N1297" i="20"/>
  <c r="N1296" i="20"/>
  <c r="N1295" i="20"/>
  <c r="N1294" i="20"/>
  <c r="N1293" i="20"/>
  <c r="N1292" i="20" s="1"/>
  <c r="N1290" i="20"/>
  <c r="N1289" i="20"/>
  <c r="N1288" i="20"/>
  <c r="N1287" i="20"/>
  <c r="N1286" i="20"/>
  <c r="N1285" i="20" s="1"/>
  <c r="N1283" i="20"/>
  <c r="N1282" i="20"/>
  <c r="N1281" i="20"/>
  <c r="N1280" i="20"/>
  <c r="N1279" i="20"/>
  <c r="N1278" i="20" s="1"/>
  <c r="N1276" i="20"/>
  <c r="N1275" i="20"/>
  <c r="N1274" i="20"/>
  <c r="N1273" i="20"/>
  <c r="N1272" i="20"/>
  <c r="N1271" i="20" s="1"/>
  <c r="N1269" i="20"/>
  <c r="N1268" i="20"/>
  <c r="N1267" i="20"/>
  <c r="N1266" i="20"/>
  <c r="N1265" i="20"/>
  <c r="N1264" i="20" s="1"/>
  <c r="N1262" i="20"/>
  <c r="N1261" i="20"/>
  <c r="N1260" i="20"/>
  <c r="N1259" i="20"/>
  <c r="N1258" i="20"/>
  <c r="N1257" i="20" s="1"/>
  <c r="N1255" i="20"/>
  <c r="N1254" i="20"/>
  <c r="N1253" i="20"/>
  <c r="N1252" i="20"/>
  <c r="N1251" i="20"/>
  <c r="N1250" i="20" s="1"/>
  <c r="N1248" i="20"/>
  <c r="N1247" i="20"/>
  <c r="N1246" i="20"/>
  <c r="N1245" i="20"/>
  <c r="N1244" i="20"/>
  <c r="N1243" i="20" s="1"/>
  <c r="N1241" i="20"/>
  <c r="N1240" i="20"/>
  <c r="N1239" i="20"/>
  <c r="N1238" i="20"/>
  <c r="N1237" i="20"/>
  <c r="N1236" i="20" s="1"/>
  <c r="N1234" i="20"/>
  <c r="N1233" i="20"/>
  <c r="N1232" i="20"/>
  <c r="N1231" i="20"/>
  <c r="N1230" i="20"/>
  <c r="N1229" i="20" s="1"/>
  <c r="N1227" i="20"/>
  <c r="N1226" i="20"/>
  <c r="N1225" i="20"/>
  <c r="N1224" i="20"/>
  <c r="N1223" i="20"/>
  <c r="N1222" i="20" s="1"/>
  <c r="N1220" i="20"/>
  <c r="N1219" i="20"/>
  <c r="N1218" i="20"/>
  <c r="N1217" i="20"/>
  <c r="N1216" i="20"/>
  <c r="N1215" i="20" s="1"/>
  <c r="N1213" i="20"/>
  <c r="N1212" i="20"/>
  <c r="N1211" i="20"/>
  <c r="N1210" i="20"/>
  <c r="N1209" i="20"/>
  <c r="N1208" i="20" s="1"/>
  <c r="N1206" i="20"/>
  <c r="N1205" i="20"/>
  <c r="N1204" i="20"/>
  <c r="N1203" i="20"/>
  <c r="N1202" i="20"/>
  <c r="N1201" i="20" s="1"/>
  <c r="N1199" i="20"/>
  <c r="N1198" i="20"/>
  <c r="N602" i="20"/>
  <c r="N601" i="20"/>
  <c r="N600" i="20"/>
  <c r="N599" i="20" s="1"/>
  <c r="N597" i="20"/>
  <c r="N596" i="20"/>
  <c r="N595" i="20"/>
  <c r="N594" i="20"/>
  <c r="N593" i="20"/>
  <c r="N592" i="20" s="1"/>
  <c r="N590" i="20"/>
  <c r="N589" i="20"/>
  <c r="N588" i="20"/>
  <c r="N587" i="20"/>
  <c r="N586" i="20"/>
  <c r="N585" i="20" s="1"/>
  <c r="N583" i="20"/>
  <c r="N582" i="20"/>
  <c r="N581" i="20"/>
  <c r="N580" i="20"/>
  <c r="N579" i="20"/>
  <c r="N578" i="20" s="1"/>
  <c r="N576" i="20"/>
  <c r="N575" i="20"/>
  <c r="N574" i="20"/>
  <c r="N573" i="20"/>
  <c r="N572" i="20"/>
  <c r="N571" i="20" s="1"/>
  <c r="N569" i="20"/>
  <c r="N568" i="20"/>
  <c r="N567" i="20"/>
  <c r="N566" i="20"/>
  <c r="N565" i="20"/>
  <c r="N564" i="20" s="1"/>
  <c r="N562" i="20"/>
  <c r="N561" i="20"/>
  <c r="N560" i="20"/>
  <c r="N559" i="20"/>
  <c r="N558" i="20"/>
  <c r="N557" i="20" s="1"/>
  <c r="N555" i="20"/>
  <c r="N554" i="20"/>
  <c r="N553" i="20"/>
  <c r="N552" i="20"/>
  <c r="N551" i="20"/>
  <c r="N550" i="20" s="1"/>
  <c r="N548" i="20"/>
  <c r="N547" i="20"/>
  <c r="N546" i="20"/>
  <c r="N545" i="20"/>
  <c r="N544" i="20"/>
  <c r="N543" i="20" s="1"/>
  <c r="N541" i="20"/>
  <c r="N540" i="20"/>
  <c r="N539" i="20"/>
  <c r="N538" i="20"/>
  <c r="N537" i="20"/>
  <c r="N536" i="20" s="1"/>
  <c r="N534" i="20"/>
  <c r="N533" i="20"/>
  <c r="N532" i="20"/>
  <c r="N531" i="20"/>
  <c r="N530" i="20"/>
  <c r="N529" i="20" s="1"/>
  <c r="N527" i="20"/>
  <c r="N526" i="20"/>
  <c r="N525" i="20"/>
  <c r="N524" i="20"/>
  <c r="N523" i="20"/>
  <c r="N522" i="20" s="1"/>
  <c r="N520" i="20"/>
  <c r="N519" i="20"/>
  <c r="N518" i="20"/>
  <c r="N517" i="20"/>
  <c r="N5" i="20"/>
  <c r="N6" i="20"/>
  <c r="N7" i="20"/>
  <c r="N8" i="20"/>
  <c r="N9" i="20"/>
  <c r="N12" i="20"/>
  <c r="N13" i="20"/>
  <c r="N14" i="20"/>
  <c r="N15" i="20"/>
  <c r="N16" i="20"/>
  <c r="N19" i="20"/>
  <c r="N20" i="20"/>
  <c r="N21" i="20"/>
  <c r="N22" i="20"/>
  <c r="N23" i="20"/>
  <c r="N26" i="20"/>
  <c r="N27" i="20"/>
  <c r="N28" i="20"/>
  <c r="N29" i="20"/>
  <c r="N30" i="20"/>
  <c r="N33" i="20"/>
  <c r="N34" i="20"/>
  <c r="N35" i="20"/>
  <c r="N36" i="20"/>
  <c r="N37" i="20"/>
  <c r="N40" i="20"/>
  <c r="N41" i="20"/>
  <c r="N42" i="20"/>
  <c r="N43" i="20"/>
  <c r="N44" i="20"/>
  <c r="N47" i="20"/>
  <c r="N48" i="20"/>
  <c r="N49" i="20"/>
  <c r="N50" i="20"/>
  <c r="N51" i="20"/>
  <c r="N54" i="20"/>
  <c r="N55" i="20"/>
  <c r="N56" i="20"/>
  <c r="N57" i="20"/>
  <c r="N58" i="20"/>
  <c r="N61" i="20"/>
  <c r="N62" i="20"/>
  <c r="N63" i="20"/>
  <c r="N64" i="20"/>
  <c r="N65" i="20"/>
  <c r="N68" i="20"/>
  <c r="N69" i="20"/>
  <c r="N70" i="20"/>
  <c r="N71" i="20"/>
  <c r="N72" i="20"/>
  <c r="N75" i="20"/>
  <c r="N76" i="20"/>
  <c r="N77" i="20"/>
  <c r="N78" i="20"/>
  <c r="N79" i="20"/>
  <c r="N82" i="20"/>
  <c r="N83" i="20"/>
  <c r="N84" i="20"/>
  <c r="N85" i="20"/>
  <c r="N86" i="20"/>
  <c r="N89" i="20"/>
  <c r="N90" i="20"/>
  <c r="N91" i="20"/>
  <c r="N92" i="20"/>
  <c r="N93" i="20"/>
  <c r="N96" i="20"/>
  <c r="N97" i="20"/>
  <c r="N98" i="20"/>
  <c r="N99" i="20"/>
  <c r="N100" i="20"/>
  <c r="N103" i="20"/>
  <c r="N104" i="20"/>
  <c r="N105" i="20"/>
  <c r="N106" i="20"/>
  <c r="N107" i="20"/>
  <c r="N110" i="20"/>
  <c r="N111" i="20"/>
  <c r="N112" i="20"/>
  <c r="N113" i="20"/>
  <c r="N114" i="20"/>
  <c r="N117" i="20"/>
  <c r="N118" i="20"/>
  <c r="N119" i="20"/>
  <c r="N120" i="20"/>
  <c r="N121" i="20"/>
  <c r="N124" i="20"/>
  <c r="N125" i="20"/>
  <c r="N126" i="20"/>
  <c r="N127" i="20"/>
  <c r="N128" i="20"/>
  <c r="N131" i="20"/>
  <c r="N132" i="20"/>
  <c r="N1197" i="20"/>
  <c r="N1196" i="20"/>
  <c r="N1195" i="20"/>
  <c r="N1194" i="20" s="1"/>
  <c r="N1192" i="20"/>
  <c r="N1191" i="20"/>
  <c r="N1190" i="20"/>
  <c r="N1189" i="20"/>
  <c r="N1188" i="20"/>
  <c r="N1187" i="20" s="1"/>
  <c r="N1185" i="20"/>
  <c r="N450" i="20"/>
  <c r="N1184" i="20"/>
  <c r="N1183" i="20"/>
  <c r="N1182" i="20"/>
  <c r="N1181" i="20"/>
  <c r="N1180" i="20" s="1"/>
  <c r="N1178" i="20"/>
  <c r="N1177" i="20"/>
  <c r="N1176" i="20"/>
  <c r="N1175" i="20"/>
  <c r="N1174" i="20"/>
  <c r="N1173" i="20" s="1"/>
  <c r="N1171" i="20"/>
  <c r="N1170" i="20"/>
  <c r="N1169" i="20"/>
  <c r="N1168" i="20"/>
  <c r="N1167" i="20"/>
  <c r="N1166" i="20" s="1"/>
  <c r="N1164" i="20"/>
  <c r="N1163" i="20"/>
  <c r="N1162" i="20"/>
  <c r="N1161" i="20"/>
  <c r="N1160" i="20"/>
  <c r="N1159" i="20" s="1"/>
  <c r="N1157" i="20"/>
  <c r="N1156" i="20"/>
  <c r="N1155" i="20"/>
  <c r="N1154" i="20"/>
  <c r="N1153" i="20"/>
  <c r="N1152" i="20" s="1"/>
  <c r="N1150" i="20"/>
  <c r="N1149" i="20"/>
  <c r="N1148" i="20"/>
  <c r="N1147" i="20"/>
  <c r="N1146" i="20"/>
  <c r="N1145" i="20" s="1"/>
  <c r="N1143" i="20"/>
  <c r="N1142" i="20"/>
  <c r="N1141" i="20"/>
  <c r="N1140" i="20"/>
  <c r="N1139" i="20"/>
  <c r="N1138" i="20" s="1"/>
  <c r="N1136" i="20"/>
  <c r="N1135" i="20"/>
  <c r="N1134" i="20"/>
  <c r="N1133" i="20"/>
  <c r="N1132" i="20"/>
  <c r="N1131" i="20" s="1"/>
  <c r="N1129" i="20"/>
  <c r="N1128" i="20"/>
  <c r="N1127" i="20"/>
  <c r="N1126" i="20"/>
  <c r="N1125" i="20"/>
  <c r="N1124" i="20" s="1"/>
  <c r="N1122" i="20"/>
  <c r="N1121" i="20"/>
  <c r="N1120" i="20"/>
  <c r="N1119" i="20"/>
  <c r="N1118" i="20"/>
  <c r="N1117" i="20" s="1"/>
  <c r="N1115" i="20"/>
  <c r="N1114" i="20"/>
  <c r="N1113" i="20"/>
  <c r="N1112" i="20"/>
  <c r="N1111" i="20"/>
  <c r="N1110" i="20" s="1"/>
  <c r="N1108" i="20"/>
  <c r="N1107" i="20"/>
  <c r="N1106" i="20"/>
  <c r="N1105" i="20"/>
  <c r="N1104" i="20"/>
  <c r="N1103" i="20" s="1"/>
  <c r="N1101" i="20"/>
  <c r="N1100" i="20"/>
  <c r="N1099" i="20"/>
  <c r="N1098" i="20"/>
  <c r="N1097" i="20"/>
  <c r="N1096" i="20" s="1"/>
  <c r="N1094" i="20"/>
  <c r="N1093" i="20"/>
  <c r="N1092" i="20"/>
  <c r="N1091" i="20"/>
  <c r="N1090" i="20"/>
  <c r="N1089" i="20" s="1"/>
  <c r="N1087" i="20"/>
  <c r="N1086" i="20"/>
  <c r="N1085" i="20"/>
  <c r="N1084" i="20"/>
  <c r="N1083" i="20"/>
  <c r="N1082" i="20" s="1"/>
  <c r="N1080" i="20"/>
  <c r="N1079" i="20"/>
  <c r="N1078" i="20"/>
  <c r="N1077" i="20"/>
  <c r="N1076" i="20"/>
  <c r="N1075" i="20" s="1"/>
  <c r="N1073" i="20"/>
  <c r="N1072" i="20"/>
  <c r="N1071" i="20"/>
  <c r="N1070" i="20"/>
  <c r="N1069" i="20"/>
  <c r="N1068" i="20" s="1"/>
  <c r="N1066" i="20"/>
  <c r="N1065" i="20"/>
  <c r="N1064" i="20"/>
  <c r="N1063" i="20"/>
  <c r="N1062" i="20"/>
  <c r="N1061" i="20" s="1"/>
  <c r="N1059" i="20"/>
  <c r="N1058" i="20"/>
  <c r="N1057" i="20"/>
  <c r="N1056" i="20"/>
  <c r="N1055" i="20"/>
  <c r="N1054" i="20" s="1"/>
  <c r="N1052" i="20"/>
  <c r="N1051" i="20"/>
  <c r="N1050" i="20"/>
  <c r="N1049" i="20"/>
  <c r="N1048" i="20"/>
  <c r="N1047" i="20" s="1"/>
  <c r="N1045" i="20"/>
  <c r="N1044" i="20"/>
  <c r="N1043" i="20"/>
  <c r="N1042" i="20"/>
  <c r="N1041" i="20"/>
  <c r="N1040" i="20" s="1"/>
  <c r="N1038" i="20"/>
  <c r="N1037" i="20"/>
  <c r="N1036" i="20"/>
  <c r="N1035" i="20"/>
  <c r="N1034" i="20"/>
  <c r="N1033" i="20" s="1"/>
  <c r="N1031" i="20"/>
  <c r="N1030" i="20"/>
  <c r="N1029" i="20"/>
  <c r="N1028" i="20"/>
  <c r="N1027" i="20"/>
  <c r="N1026" i="20" s="1"/>
  <c r="N1024" i="20"/>
  <c r="N1023" i="20"/>
  <c r="N1022" i="20"/>
  <c r="N1021" i="20"/>
  <c r="N1020" i="20"/>
  <c r="N1019" i="20" s="1"/>
  <c r="N1017" i="20"/>
  <c r="N1016" i="20"/>
  <c r="N1015" i="20"/>
  <c r="N1014" i="20"/>
  <c r="N1013" i="20"/>
  <c r="N1012" i="20" s="1"/>
  <c r="N1010" i="20"/>
  <c r="N1009" i="20"/>
  <c r="N1008" i="20"/>
  <c r="N1007" i="20"/>
  <c r="N1006" i="20"/>
  <c r="N1003" i="20"/>
  <c r="N1002" i="20"/>
  <c r="N1001" i="20"/>
  <c r="N1000" i="20"/>
  <c r="N999" i="20"/>
  <c r="N998" i="20" s="1"/>
  <c r="N996" i="20"/>
  <c r="N995" i="20"/>
  <c r="N994" i="20"/>
  <c r="N993" i="20"/>
  <c r="N992" i="20"/>
  <c r="N991" i="20" s="1"/>
  <c r="N989" i="20"/>
  <c r="N988" i="20"/>
  <c r="N987" i="20"/>
  <c r="N986" i="20"/>
  <c r="N985" i="20"/>
  <c r="N984" i="20" s="1"/>
  <c r="N982" i="20"/>
  <c r="N981" i="20"/>
  <c r="N980" i="20"/>
  <c r="N979" i="20"/>
  <c r="N978" i="20"/>
  <c r="N977" i="20" s="1"/>
  <c r="N975" i="20"/>
  <c r="N974" i="20"/>
  <c r="N973" i="20"/>
  <c r="N972" i="20"/>
  <c r="N971" i="20"/>
  <c r="N970" i="20" s="1"/>
  <c r="N968" i="20"/>
  <c r="N967" i="20"/>
  <c r="N966" i="20"/>
  <c r="N965" i="20"/>
  <c r="N964" i="20"/>
  <c r="N963" i="20" s="1"/>
  <c r="N961" i="20"/>
  <c r="N960" i="20"/>
  <c r="N959" i="20"/>
  <c r="N958" i="20"/>
  <c r="N957" i="20"/>
  <c r="N956" i="20" s="1"/>
  <c r="N954" i="20"/>
  <c r="N953" i="20"/>
  <c r="N133" i="20"/>
  <c r="N952" i="20"/>
  <c r="N951" i="20"/>
  <c r="N950" i="20"/>
  <c r="N949" i="20" s="1"/>
  <c r="N947" i="20"/>
  <c r="N946" i="20"/>
  <c r="N945" i="20"/>
  <c r="N944" i="20"/>
  <c r="N943" i="20"/>
  <c r="N942" i="20" s="1"/>
  <c r="N940" i="20"/>
  <c r="N939" i="20"/>
  <c r="N938" i="20"/>
  <c r="N937" i="20"/>
  <c r="N936" i="20"/>
  <c r="N935" i="20" s="1"/>
  <c r="N933" i="20"/>
  <c r="N932" i="20"/>
  <c r="N931" i="20"/>
  <c r="N930" i="20"/>
  <c r="N929" i="20"/>
  <c r="N928" i="20" s="1"/>
  <c r="N926" i="20"/>
  <c r="N925" i="20"/>
  <c r="N924" i="20"/>
  <c r="N923" i="20"/>
  <c r="N922" i="20"/>
  <c r="N921" i="20" s="1"/>
  <c r="N919" i="20"/>
  <c r="N918" i="20"/>
  <c r="N917" i="20"/>
  <c r="N916" i="20"/>
  <c r="N915" i="20"/>
  <c r="N914" i="20" s="1"/>
  <c r="N912" i="20"/>
  <c r="N911" i="20"/>
  <c r="N910" i="20"/>
  <c r="N909" i="20"/>
  <c r="N908" i="20"/>
  <c r="N907" i="20" s="1"/>
  <c r="N905" i="20"/>
  <c r="N904" i="20"/>
  <c r="N903" i="20"/>
  <c r="N902" i="20"/>
  <c r="N901" i="20"/>
  <c r="N900" i="20" s="1"/>
  <c r="N898" i="20"/>
  <c r="N897" i="20"/>
  <c r="N896" i="20"/>
  <c r="N895" i="20"/>
  <c r="N894" i="20"/>
  <c r="N893" i="20" s="1"/>
  <c r="N891" i="20"/>
  <c r="N890" i="20"/>
  <c r="N889" i="20"/>
  <c r="N888" i="20"/>
  <c r="N887" i="20"/>
  <c r="N886" i="20" s="1"/>
  <c r="N884" i="20"/>
  <c r="N883" i="20"/>
  <c r="N882" i="20"/>
  <c r="N881" i="20"/>
  <c r="N880" i="20"/>
  <c r="N879" i="20" s="1"/>
  <c r="N877" i="20"/>
  <c r="N876" i="20"/>
  <c r="N875" i="20"/>
  <c r="N874" i="20"/>
  <c r="N873" i="20"/>
  <c r="N872" i="20" s="1"/>
  <c r="N870" i="20"/>
  <c r="N869" i="20"/>
  <c r="N865" i="20" s="1"/>
  <c r="N134" i="20"/>
  <c r="N135" i="20"/>
  <c r="N138" i="20"/>
  <c r="N139" i="20"/>
  <c r="N140" i="20"/>
  <c r="N141" i="20"/>
  <c r="N142" i="20"/>
  <c r="N145" i="20"/>
  <c r="N146" i="20"/>
  <c r="N147" i="20"/>
  <c r="N148" i="20"/>
  <c r="N149" i="20"/>
  <c r="N152" i="20"/>
  <c r="N153" i="20"/>
  <c r="N154" i="20"/>
  <c r="N155" i="20"/>
  <c r="N156" i="20"/>
  <c r="N159" i="20"/>
  <c r="N160" i="20"/>
  <c r="N161" i="20"/>
  <c r="N162" i="20"/>
  <c r="N163" i="20"/>
  <c r="N166" i="20"/>
  <c r="N167" i="20"/>
  <c r="N168" i="20"/>
  <c r="N169" i="20"/>
  <c r="N170" i="20"/>
  <c r="N173" i="20"/>
  <c r="N174" i="20"/>
  <c r="N175" i="20"/>
  <c r="N176" i="20"/>
  <c r="N177" i="20"/>
  <c r="N180" i="20"/>
  <c r="N181" i="20"/>
  <c r="N182" i="20"/>
  <c r="N183" i="20"/>
  <c r="N184" i="20"/>
  <c r="N187" i="20"/>
  <c r="N188" i="20"/>
  <c r="N189" i="20"/>
  <c r="N190" i="20"/>
  <c r="N191" i="20"/>
  <c r="N194" i="20"/>
  <c r="N195" i="20"/>
  <c r="N196" i="20"/>
  <c r="N197" i="20"/>
  <c r="N198" i="20"/>
  <c r="N201" i="20"/>
  <c r="N202" i="20"/>
  <c r="N203" i="20"/>
  <c r="N204" i="20"/>
  <c r="N205" i="20"/>
  <c r="N208" i="20"/>
  <c r="N209" i="20"/>
  <c r="N210" i="20"/>
  <c r="N211" i="20"/>
  <c r="N212" i="20"/>
  <c r="N215" i="20"/>
  <c r="N216" i="20"/>
  <c r="N217" i="20"/>
  <c r="N218" i="20"/>
  <c r="N219" i="20"/>
  <c r="N222" i="20"/>
  <c r="N223" i="20"/>
  <c r="N224" i="20"/>
  <c r="N225" i="20"/>
  <c r="N226" i="20"/>
  <c r="N229" i="20"/>
  <c r="N230" i="20"/>
  <c r="N231" i="20"/>
  <c r="N232" i="20"/>
  <c r="N233" i="20"/>
  <c r="N236" i="20"/>
  <c r="N237" i="20"/>
  <c r="N238" i="20"/>
  <c r="N239" i="20"/>
  <c r="N240" i="20"/>
  <c r="N243" i="20"/>
  <c r="N244" i="20"/>
  <c r="N245" i="20"/>
  <c r="N246" i="20"/>
  <c r="N247" i="20"/>
  <c r="N250" i="20"/>
  <c r="N251" i="20"/>
  <c r="N252" i="20"/>
  <c r="N253" i="20"/>
  <c r="N254" i="20"/>
  <c r="N257" i="20"/>
  <c r="N258" i="20"/>
  <c r="N259" i="20"/>
  <c r="N260" i="20"/>
  <c r="N261" i="20"/>
  <c r="N264" i="20"/>
  <c r="N265" i="20"/>
  <c r="N266" i="20"/>
  <c r="N267" i="20"/>
  <c r="N268" i="20"/>
  <c r="N271" i="20"/>
  <c r="N272" i="20"/>
  <c r="N273" i="20"/>
  <c r="N274" i="20"/>
  <c r="N275" i="20"/>
  <c r="N278" i="20"/>
  <c r="N279" i="20"/>
  <c r="N280" i="20"/>
  <c r="N281" i="20"/>
  <c r="N282" i="20"/>
  <c r="N285" i="20"/>
  <c r="N286" i="20"/>
  <c r="N287" i="20"/>
  <c r="N288" i="20"/>
  <c r="N289" i="20"/>
  <c r="N292" i="20"/>
  <c r="N293" i="20"/>
  <c r="N294" i="20"/>
  <c r="N295" i="20"/>
  <c r="N296" i="20"/>
  <c r="N299" i="20"/>
  <c r="N300" i="20"/>
  <c r="N301" i="20"/>
  <c r="N302" i="20"/>
  <c r="N303" i="20"/>
  <c r="N306" i="20"/>
  <c r="N307" i="20"/>
  <c r="N308" i="20"/>
  <c r="N309" i="20"/>
  <c r="N310" i="20"/>
  <c r="N313" i="20"/>
  <c r="N314" i="20"/>
  <c r="N315" i="20"/>
  <c r="N316" i="20"/>
  <c r="N317" i="20"/>
  <c r="N320" i="20"/>
  <c r="N321" i="20"/>
  <c r="N322" i="20"/>
  <c r="N323" i="20"/>
  <c r="N324" i="20"/>
  <c r="N327" i="20"/>
  <c r="N328" i="20"/>
  <c r="N329" i="20"/>
  <c r="N330" i="20"/>
  <c r="N331" i="20"/>
  <c r="N334" i="20"/>
  <c r="N335" i="20"/>
  <c r="N336" i="20"/>
  <c r="N337" i="20"/>
  <c r="N338" i="20"/>
  <c r="N341" i="20"/>
  <c r="N342" i="20"/>
  <c r="N343" i="20"/>
  <c r="N344" i="20"/>
  <c r="N345" i="20"/>
  <c r="N348" i="20"/>
  <c r="N349" i="20"/>
  <c r="N350" i="20"/>
  <c r="N351" i="20"/>
  <c r="N352" i="20"/>
  <c r="N355" i="20"/>
  <c r="N356" i="20"/>
  <c r="N357" i="20"/>
  <c r="N358" i="20"/>
  <c r="N359" i="20"/>
  <c r="N362" i="20"/>
  <c r="N363" i="20"/>
  <c r="N364" i="20"/>
  <c r="N365" i="20"/>
  <c r="N366" i="20"/>
  <c r="N369" i="20"/>
  <c r="N370" i="20"/>
  <c r="N371" i="20"/>
  <c r="N372" i="20"/>
  <c r="N373" i="20"/>
  <c r="N376" i="20"/>
  <c r="N377" i="20"/>
  <c r="N378" i="20"/>
  <c r="N379" i="20"/>
  <c r="N380" i="20"/>
  <c r="N383" i="20"/>
  <c r="N384" i="20"/>
  <c r="N385" i="20"/>
  <c r="N386" i="20"/>
  <c r="N387" i="20"/>
  <c r="N390" i="20"/>
  <c r="N391" i="20"/>
  <c r="N392" i="20"/>
  <c r="N393" i="20"/>
  <c r="N394" i="20"/>
  <c r="N397" i="20"/>
  <c r="N398" i="20"/>
  <c r="N399" i="20"/>
  <c r="N400" i="20"/>
  <c r="N401" i="20"/>
  <c r="N404" i="20"/>
  <c r="N405" i="20"/>
  <c r="N406" i="20"/>
  <c r="N407" i="20"/>
  <c r="N408" i="20"/>
  <c r="N411" i="20"/>
  <c r="N412" i="20"/>
  <c r="N413" i="20"/>
  <c r="N414" i="20"/>
  <c r="N415" i="20"/>
  <c r="N418" i="20"/>
  <c r="N419" i="20"/>
  <c r="N420" i="20"/>
  <c r="N421" i="20"/>
  <c r="N422" i="20"/>
  <c r="N425" i="20"/>
  <c r="N426" i="20"/>
  <c r="N427" i="20"/>
  <c r="N428" i="20"/>
  <c r="N429" i="20"/>
  <c r="N432" i="20"/>
  <c r="N433" i="20"/>
  <c r="N434" i="20"/>
  <c r="N435" i="20"/>
  <c r="N436" i="20"/>
  <c r="N439" i="20"/>
  <c r="N440" i="20"/>
  <c r="N441" i="20"/>
  <c r="N442" i="20"/>
  <c r="N443" i="20"/>
  <c r="N446" i="20"/>
  <c r="N447" i="20"/>
  <c r="N448" i="20"/>
  <c r="N449" i="20"/>
  <c r="N516" i="20"/>
  <c r="N513" i="20"/>
  <c r="N512" i="20"/>
  <c r="N511" i="20"/>
  <c r="N510" i="20"/>
  <c r="N509" i="20"/>
  <c r="N508" i="20" s="1"/>
  <c r="N506" i="20"/>
  <c r="N505" i="20"/>
  <c r="N504" i="20"/>
  <c r="N503" i="20"/>
  <c r="N502" i="20"/>
  <c r="N501" i="20" s="1"/>
  <c r="N499" i="20"/>
  <c r="N498" i="20"/>
  <c r="N497" i="20"/>
  <c r="N496" i="20"/>
  <c r="N495" i="20"/>
  <c r="N494" i="20" s="1"/>
  <c r="N492" i="20"/>
  <c r="N491" i="20"/>
  <c r="N490" i="20"/>
  <c r="N489" i="20"/>
  <c r="N488" i="20"/>
  <c r="N487" i="20" s="1"/>
  <c r="N485" i="20"/>
  <c r="N484" i="20"/>
  <c r="N483" i="20"/>
  <c r="N482" i="20"/>
  <c r="N481" i="20"/>
  <c r="N480" i="20" s="1"/>
  <c r="N478" i="20"/>
  <c r="N477" i="20"/>
  <c r="N476" i="20"/>
  <c r="N475" i="20"/>
  <c r="N474" i="20"/>
  <c r="N473" i="20" s="1"/>
  <c r="N471" i="20"/>
  <c r="N470" i="20"/>
  <c r="N469" i="20"/>
  <c r="N468" i="20"/>
  <c r="N467" i="20"/>
  <c r="N466" i="20" s="1"/>
  <c r="N464" i="20"/>
  <c r="N463" i="20"/>
  <c r="N462" i="20"/>
  <c r="N461" i="20"/>
  <c r="N460" i="20"/>
  <c r="N459" i="20" s="1"/>
  <c r="N457" i="20"/>
  <c r="N456" i="20"/>
  <c r="N455" i="20"/>
  <c r="N454" i="20"/>
  <c r="N452" i="20" s="1"/>
  <c r="M386" i="20"/>
  <c r="M308" i="20"/>
  <c r="M310" i="20"/>
  <c r="M313" i="20"/>
  <c r="M315" i="20"/>
  <c r="M317" i="20"/>
  <c r="M320" i="20"/>
  <c r="M322" i="20"/>
  <c r="M328" i="20"/>
  <c r="M331" i="20"/>
  <c r="M334" i="20"/>
  <c r="M336" i="20"/>
  <c r="M337" i="20"/>
  <c r="M338" i="20"/>
  <c r="M341" i="20"/>
  <c r="M343" i="20"/>
  <c r="M344" i="20"/>
  <c r="M348" i="20"/>
  <c r="M350" i="20"/>
  <c r="M352" i="20"/>
  <c r="M356" i="20"/>
  <c r="M358" i="20"/>
  <c r="M369" i="20"/>
  <c r="M372" i="20"/>
  <c r="M373" i="20"/>
  <c r="M376" i="20"/>
  <c r="M378" i="20"/>
  <c r="M380" i="20"/>
  <c r="M383" i="20"/>
  <c r="M385" i="20"/>
  <c r="M391" i="20"/>
  <c r="M398" i="20"/>
  <c r="M400" i="20"/>
  <c r="M406" i="20"/>
  <c r="M408" i="20"/>
  <c r="M411" i="20"/>
  <c r="M412" i="20"/>
  <c r="M415" i="20"/>
  <c r="M418" i="20"/>
  <c r="M420" i="20"/>
  <c r="M421" i="20"/>
  <c r="M427" i="20"/>
  <c r="M429" i="20"/>
  <c r="M432" i="20"/>
  <c r="M434" i="20"/>
  <c r="M436" i="20"/>
  <c r="M439" i="20"/>
  <c r="M441" i="20"/>
  <c r="M443" i="20"/>
  <c r="M446" i="20"/>
  <c r="M448" i="20"/>
  <c r="M455" i="20"/>
  <c r="M457" i="20"/>
  <c r="M461" i="20"/>
  <c r="M462" i="20"/>
  <c r="M464" i="20"/>
  <c r="M467" i="20"/>
  <c r="M469" i="20"/>
  <c r="M474" i="20"/>
  <c r="M476" i="20"/>
  <c r="M478" i="20"/>
  <c r="M481" i="20"/>
  <c r="M483" i="20"/>
  <c r="M485" i="20"/>
  <c r="M489" i="20"/>
  <c r="M491" i="20"/>
  <c r="M497" i="20"/>
  <c r="M499" i="20"/>
  <c r="M502" i="20"/>
  <c r="M504" i="20"/>
  <c r="M506" i="20"/>
  <c r="M509" i="20"/>
  <c r="M511" i="20"/>
  <c r="M518" i="20"/>
  <c r="M520" i="20"/>
  <c r="M523" i="20"/>
  <c r="M525" i="20"/>
  <c r="M527" i="20"/>
  <c r="M530" i="20"/>
  <c r="M533" i="20"/>
  <c r="M534" i="20"/>
  <c r="M538" i="20"/>
  <c r="M540" i="20"/>
  <c r="M545" i="20"/>
  <c r="M552" i="20"/>
  <c r="M554" i="20"/>
  <c r="M560" i="20"/>
  <c r="M562" i="20"/>
  <c r="M565" i="20"/>
  <c r="M567" i="20"/>
  <c r="M573" i="20"/>
  <c r="M574" i="20"/>
  <c r="M575" i="20"/>
  <c r="M576" i="20"/>
  <c r="M579" i="20"/>
  <c r="M581" i="20"/>
  <c r="M583" i="20"/>
  <c r="M586" i="20"/>
  <c r="M588" i="20"/>
  <c r="M594" i="20"/>
  <c r="M596" i="20"/>
  <c r="M597" i="20"/>
  <c r="M600" i="20"/>
  <c r="M602" i="20"/>
  <c r="M604" i="20"/>
  <c r="M607" i="20"/>
  <c r="M609" i="20"/>
  <c r="M611" i="20"/>
  <c r="M614" i="20"/>
  <c r="M616" i="20"/>
  <c r="M618" i="20"/>
  <c r="M622" i="20"/>
  <c r="M624" i="20"/>
  <c r="M625" i="20"/>
  <c r="M628" i="20"/>
  <c r="M631" i="20"/>
  <c r="M637" i="20"/>
  <c r="M639" i="20"/>
  <c r="M642" i="20"/>
  <c r="M644" i="20"/>
  <c r="M646" i="20"/>
  <c r="M650" i="20"/>
  <c r="M652" i="20"/>
  <c r="M657" i="20"/>
  <c r="M659" i="20"/>
  <c r="M660" i="20"/>
  <c r="M663" i="20"/>
  <c r="M665" i="20"/>
  <c r="M672" i="20"/>
  <c r="M674" i="20"/>
  <c r="M678" i="20"/>
  <c r="M679" i="20"/>
  <c r="M681" i="20"/>
  <c r="M684" i="20"/>
  <c r="M686" i="20"/>
  <c r="M688" i="20"/>
  <c r="M691" i="20"/>
  <c r="M693" i="20"/>
  <c r="M698" i="20"/>
  <c r="M700" i="20"/>
  <c r="M702" i="20"/>
  <c r="M705" i="20"/>
  <c r="M707" i="20"/>
  <c r="M712" i="20"/>
  <c r="M714" i="20"/>
  <c r="M715" i="20"/>
  <c r="M716" i="20"/>
  <c r="M719" i="20"/>
  <c r="M720" i="20"/>
  <c r="M721" i="20"/>
  <c r="M722" i="20"/>
  <c r="M723" i="20"/>
  <c r="M726" i="20"/>
  <c r="M728" i="20"/>
  <c r="M734" i="20"/>
  <c r="M735" i="20"/>
  <c r="M736" i="20"/>
  <c r="M737" i="20"/>
  <c r="M740" i="20"/>
  <c r="M742" i="20"/>
  <c r="M744" i="20"/>
  <c r="M747" i="20"/>
  <c r="M749" i="20"/>
  <c r="M754" i="20"/>
  <c r="M756" i="20"/>
  <c r="M758" i="20"/>
  <c r="M761" i="20"/>
  <c r="M763" i="20"/>
  <c r="M765" i="20"/>
  <c r="M768" i="20"/>
  <c r="M771" i="20"/>
  <c r="M784" i="20"/>
  <c r="M786" i="20"/>
  <c r="M789" i="20"/>
  <c r="M791" i="20"/>
  <c r="M798" i="20"/>
  <c r="M800" i="20"/>
  <c r="M803" i="20"/>
  <c r="M806" i="20"/>
  <c r="M807" i="20"/>
  <c r="M811" i="20"/>
  <c r="M813" i="20"/>
  <c r="M818" i="20"/>
  <c r="M826" i="20"/>
  <c r="M828" i="20"/>
  <c r="M831" i="20"/>
  <c r="M833" i="20"/>
  <c r="M835" i="20"/>
  <c r="M838" i="20"/>
  <c r="M840" i="20"/>
  <c r="M842" i="20"/>
  <c r="M846" i="20"/>
  <c r="M848" i="20"/>
  <c r="M852" i="20"/>
  <c r="M854" i="20"/>
  <c r="M856" i="20"/>
  <c r="M860" i="20"/>
  <c r="M862" i="20"/>
  <c r="M868" i="20"/>
  <c r="M870" i="20"/>
  <c r="M873" i="20"/>
  <c r="M874" i="20"/>
  <c r="M877" i="20"/>
  <c r="M880" i="20"/>
  <c r="M882" i="20"/>
  <c r="M888" i="20"/>
  <c r="M896" i="20"/>
  <c r="M898" i="20"/>
  <c r="M901" i="20"/>
  <c r="M903" i="20"/>
  <c r="M905" i="20"/>
  <c r="M908" i="20"/>
  <c r="M910" i="20"/>
  <c r="M916" i="20"/>
  <c r="M919" i="20"/>
  <c r="M922" i="20"/>
  <c r="M924" i="20"/>
  <c r="M925" i="20"/>
  <c r="M926" i="20"/>
  <c r="M929" i="20"/>
  <c r="M931" i="20"/>
  <c r="M933" i="20"/>
  <c r="M937" i="20"/>
  <c r="M939" i="20"/>
  <c r="M943" i="20"/>
  <c r="M945" i="20"/>
  <c r="M947" i="20"/>
  <c r="M950" i="20"/>
  <c r="M952" i="20"/>
  <c r="M954" i="20"/>
  <c r="M957" i="20"/>
  <c r="M959" i="20"/>
  <c r="M961" i="20"/>
  <c r="M964" i="20"/>
  <c r="M966" i="20"/>
  <c r="M968" i="20"/>
  <c r="M971" i="20"/>
  <c r="M973" i="20"/>
  <c r="M975" i="20"/>
  <c r="M979" i="20"/>
  <c r="M981" i="20"/>
  <c r="M986" i="20"/>
  <c r="M987" i="20"/>
  <c r="M992" i="20"/>
  <c r="M995" i="20"/>
  <c r="M1001" i="20"/>
  <c r="M1006" i="20"/>
  <c r="M1009" i="20"/>
  <c r="M1013" i="20"/>
  <c r="M1015" i="20"/>
  <c r="M1021" i="20"/>
  <c r="M1023" i="20"/>
  <c r="M1024" i="20"/>
  <c r="M1027" i="20"/>
  <c r="M1029" i="20"/>
  <c r="M1036" i="20"/>
  <c r="M1038" i="20"/>
  <c r="M1041" i="20"/>
  <c r="M1043" i="20"/>
  <c r="M1044" i="20"/>
  <c r="M1050" i="20"/>
  <c r="M1052" i="20"/>
  <c r="M1055" i="20"/>
  <c r="M1057" i="20"/>
  <c r="M1062" i="20"/>
  <c r="M1063" i="20"/>
  <c r="M1064" i="20"/>
  <c r="M1066" i="20"/>
  <c r="M1069" i="20"/>
  <c r="M1072" i="20"/>
  <c r="M1073" i="20"/>
  <c r="M1076" i="20"/>
  <c r="M1078" i="20"/>
  <c r="M1080" i="20"/>
  <c r="M1083" i="20"/>
  <c r="M1085" i="20"/>
  <c r="M1087" i="20"/>
  <c r="M1090" i="20"/>
  <c r="M1091" i="20"/>
  <c r="M1092" i="20"/>
  <c r="M1093" i="20"/>
  <c r="M1094" i="20"/>
  <c r="M1098" i="20"/>
  <c r="M1100" i="20"/>
  <c r="M1106" i="20"/>
  <c r="M1112" i="20"/>
  <c r="M1115" i="20"/>
  <c r="M1118" i="20"/>
  <c r="M1120" i="20"/>
  <c r="M1122" i="20"/>
  <c r="M1125" i="20"/>
  <c r="M1127" i="20"/>
  <c r="M1134" i="20"/>
  <c r="M1140" i="20"/>
  <c r="M1143" i="20"/>
  <c r="M1146" i="20"/>
  <c r="M1148" i="20"/>
  <c r="M1150" i="20"/>
  <c r="M1153" i="20"/>
  <c r="M1155" i="20"/>
  <c r="M1157" i="20"/>
  <c r="M1161" i="20"/>
  <c r="M1162" i="20"/>
  <c r="M1163" i="20"/>
  <c r="M1164" i="20"/>
  <c r="M1168" i="20"/>
  <c r="M1170" i="20"/>
  <c r="M1175" i="20"/>
  <c r="M1178" i="20"/>
  <c r="M1181" i="20"/>
  <c r="M1183" i="20"/>
  <c r="M1188" i="20"/>
  <c r="M1190" i="20"/>
  <c r="M1197" i="20"/>
  <c r="M1199" i="20"/>
  <c r="M1203" i="20"/>
  <c r="M1205" i="20"/>
  <c r="M1218" i="20"/>
  <c r="M1220" i="20"/>
  <c r="M1224" i="20"/>
  <c r="M1226" i="20"/>
  <c r="M1227" i="20"/>
  <c r="M1230" i="20"/>
  <c r="M1233" i="20"/>
  <c r="M1238" i="20"/>
  <c r="M1240" i="20"/>
  <c r="M1241" i="20"/>
  <c r="M1245" i="20"/>
  <c r="M1248" i="20"/>
  <c r="M1251" i="20"/>
  <c r="M1253" i="20"/>
  <c r="M1255" i="20"/>
  <c r="M1258" i="20"/>
  <c r="M1260" i="20"/>
  <c r="M1266" i="20"/>
  <c r="M1269" i="20"/>
  <c r="M1272" i="20"/>
  <c r="M1274" i="20"/>
  <c r="M1276" i="20"/>
  <c r="M1279" i="20"/>
  <c r="M1281" i="20"/>
  <c r="M1287" i="20"/>
  <c r="M1288" i="20"/>
  <c r="M1290" i="20"/>
  <c r="M1293" i="20"/>
  <c r="M1294" i="20"/>
  <c r="M1295" i="20"/>
  <c r="M1296" i="20"/>
  <c r="M1297" i="20"/>
  <c r="M1300" i="20"/>
  <c r="M1301" i="20"/>
  <c r="M1302" i="20"/>
  <c r="M1303" i="20"/>
  <c r="M1304" i="20"/>
  <c r="M1307" i="20"/>
  <c r="M1308" i="20"/>
  <c r="M1309" i="20"/>
  <c r="M1310" i="20"/>
  <c r="M1311" i="20"/>
  <c r="M1314" i="20"/>
  <c r="M1315" i="20"/>
  <c r="M1316" i="20"/>
  <c r="M1317" i="20"/>
  <c r="M1318" i="20"/>
  <c r="M1321" i="20"/>
  <c r="M1322" i="20"/>
  <c r="M1323" i="20"/>
  <c r="M1324" i="20"/>
  <c r="M1325" i="20"/>
  <c r="M1328" i="20"/>
  <c r="M1329" i="20"/>
  <c r="M1330" i="20"/>
  <c r="M1331" i="20"/>
  <c r="M1332" i="20"/>
  <c r="M1335" i="20"/>
  <c r="M1336" i="20"/>
  <c r="M1337" i="20"/>
  <c r="M1338" i="20"/>
  <c r="M1339" i="20"/>
  <c r="M1342" i="20"/>
  <c r="M1343" i="20"/>
  <c r="M1344" i="20"/>
  <c r="M1345" i="20"/>
  <c r="M1346" i="20"/>
  <c r="M1349" i="20"/>
  <c r="M1350" i="20"/>
  <c r="M1351" i="20"/>
  <c r="M1352" i="20"/>
  <c r="M1353" i="20"/>
  <c r="M1356" i="20"/>
  <c r="M1357" i="20"/>
  <c r="M1358" i="20"/>
  <c r="M1359" i="20"/>
  <c r="M1360" i="20"/>
  <c r="M1363" i="20"/>
  <c r="M1364" i="20"/>
  <c r="M1365" i="20"/>
  <c r="M1366" i="20"/>
  <c r="M1367" i="20"/>
  <c r="M1370" i="20"/>
  <c r="M1371" i="20"/>
  <c r="M1372" i="20"/>
  <c r="M1373" i="20"/>
  <c r="M1374" i="20"/>
  <c r="M1377" i="20"/>
  <c r="M1378" i="20"/>
  <c r="M1379" i="20"/>
  <c r="M1380" i="20"/>
  <c r="M1381" i="20"/>
  <c r="M1384" i="20"/>
  <c r="M1385" i="20"/>
  <c r="M1386" i="20"/>
  <c r="M1387" i="20"/>
  <c r="M1388" i="20"/>
  <c r="M1391" i="20"/>
  <c r="M1392" i="20"/>
  <c r="M1393" i="20"/>
  <c r="M1394" i="20"/>
  <c r="M1395" i="20"/>
  <c r="M1398" i="20"/>
  <c r="M1399" i="20"/>
  <c r="M1400" i="20"/>
  <c r="M1401" i="20"/>
  <c r="M1402" i="20"/>
  <c r="M1405" i="20"/>
  <c r="M1406" i="20"/>
  <c r="M1407" i="20"/>
  <c r="M1408" i="20"/>
  <c r="M1409" i="20"/>
  <c r="M1412" i="20"/>
  <c r="M1413" i="20"/>
  <c r="M1414" i="20"/>
  <c r="M1415" i="20"/>
  <c r="M1416" i="20"/>
  <c r="M1419" i="20"/>
  <c r="M1420" i="20"/>
  <c r="M1421" i="20"/>
  <c r="M1422" i="20"/>
  <c r="M1423" i="20"/>
  <c r="M1426" i="20"/>
  <c r="M1427" i="20"/>
  <c r="M1428" i="20"/>
  <c r="M1429" i="20"/>
  <c r="M1430" i="20"/>
  <c r="M1433" i="20"/>
  <c r="M1434" i="20"/>
  <c r="M1435" i="20"/>
  <c r="M1436" i="20"/>
  <c r="M1437" i="20"/>
  <c r="M1440" i="20"/>
  <c r="M1441" i="20"/>
  <c r="M1442" i="20"/>
  <c r="M1443" i="20"/>
  <c r="M1444" i="20"/>
  <c r="M1447" i="20"/>
  <c r="M1448" i="20"/>
  <c r="M1449" i="20"/>
  <c r="M1450" i="20"/>
  <c r="M1451" i="20"/>
  <c r="M1454" i="20"/>
  <c r="M1455" i="20"/>
  <c r="M1456" i="20"/>
  <c r="M1457" i="20"/>
  <c r="M1458" i="20"/>
  <c r="M1461" i="20"/>
  <c r="M1462" i="20"/>
  <c r="M1463" i="20"/>
  <c r="M1464" i="20"/>
  <c r="M1465" i="20"/>
  <c r="M1468" i="20"/>
  <c r="M1469" i="20"/>
  <c r="M1470" i="20"/>
  <c r="M1471" i="20"/>
  <c r="M1472" i="20"/>
  <c r="M1475" i="20"/>
  <c r="M1476" i="20"/>
  <c r="M1477" i="20"/>
  <c r="M1478" i="20"/>
  <c r="M1479" i="20"/>
  <c r="M1482" i="20"/>
  <c r="M1483" i="20"/>
  <c r="M1484" i="20"/>
  <c r="M1485" i="20"/>
  <c r="M1486" i="20"/>
  <c r="M1489" i="20"/>
  <c r="M1490" i="20"/>
  <c r="M1491" i="20"/>
  <c r="M1492" i="20"/>
  <c r="M1493" i="20"/>
  <c r="M1496" i="20"/>
  <c r="M1497" i="20"/>
  <c r="M1498" i="20"/>
  <c r="M1499" i="20"/>
  <c r="M1500" i="20"/>
  <c r="M1503" i="20"/>
  <c r="M1504" i="20"/>
  <c r="M1505" i="20"/>
  <c r="M1506" i="20"/>
  <c r="M1507" i="20"/>
  <c r="M1510" i="20"/>
  <c r="M1511" i="20"/>
  <c r="M1512" i="20"/>
  <c r="M1513" i="20"/>
  <c r="M1514" i="20"/>
  <c r="M1517" i="20"/>
  <c r="M1518" i="20"/>
  <c r="M1519" i="20"/>
  <c r="M1520" i="20"/>
  <c r="M1521" i="20"/>
  <c r="M1524" i="20"/>
  <c r="M1525" i="20"/>
  <c r="M1526" i="20"/>
  <c r="M1527" i="20"/>
  <c r="M1528" i="20"/>
  <c r="M1531" i="20"/>
  <c r="M1532" i="20"/>
  <c r="M1533" i="20"/>
  <c r="M1534" i="20"/>
  <c r="M1535" i="20"/>
  <c r="M1538" i="20"/>
  <c r="M1539" i="20"/>
  <c r="M1540" i="20"/>
  <c r="M1541" i="20"/>
  <c r="M1542" i="20"/>
  <c r="M1545" i="20"/>
  <c r="M1546" i="20"/>
  <c r="M1547" i="20"/>
  <c r="M1548" i="20"/>
  <c r="M1549" i="20"/>
  <c r="M1552" i="20"/>
  <c r="M1553" i="20"/>
  <c r="M1554" i="20"/>
  <c r="M1555" i="20"/>
  <c r="M1556" i="20"/>
  <c r="M1559" i="20"/>
  <c r="M1560" i="20"/>
  <c r="M1561" i="20"/>
  <c r="M1562" i="20"/>
  <c r="M1563" i="20"/>
  <c r="M1566" i="20"/>
  <c r="M1567" i="20"/>
  <c r="M1568" i="20"/>
  <c r="M1569" i="20"/>
  <c r="M1570" i="20"/>
  <c r="M1573" i="20"/>
  <c r="M1574" i="20"/>
  <c r="M1575" i="20"/>
  <c r="M1576" i="20"/>
  <c r="M1577" i="20"/>
  <c r="M1580" i="20"/>
  <c r="M1581" i="20"/>
  <c r="M1582" i="20"/>
  <c r="M1583" i="20"/>
  <c r="M1584" i="20"/>
  <c r="M1587" i="20"/>
  <c r="M1588" i="20"/>
  <c r="M1589" i="20"/>
  <c r="M1590" i="20"/>
  <c r="M1591" i="20"/>
  <c r="M1594" i="20"/>
  <c r="M1595" i="20"/>
  <c r="M1596" i="20"/>
  <c r="M1597" i="20"/>
  <c r="M1598" i="20"/>
  <c r="M1601" i="20"/>
  <c r="M1602" i="20"/>
  <c r="M1603" i="20"/>
  <c r="M1604" i="20"/>
  <c r="M1605" i="20"/>
  <c r="M1608" i="20"/>
  <c r="M1609" i="20"/>
  <c r="M1610" i="20"/>
  <c r="M1611" i="20"/>
  <c r="M1612" i="20"/>
  <c r="M1615" i="20"/>
  <c r="M1616" i="20"/>
  <c r="M1617" i="20"/>
  <c r="M306" i="20"/>
  <c r="M1619" i="20"/>
  <c r="M673" i="20"/>
  <c r="M671" i="20"/>
  <c r="M670" i="20"/>
  <c r="M669" i="20" s="1"/>
  <c r="M667" i="20"/>
  <c r="M666" i="20"/>
  <c r="M664" i="20"/>
  <c r="M658" i="20"/>
  <c r="M656" i="20"/>
  <c r="M655" i="20" s="1"/>
  <c r="M653" i="20"/>
  <c r="M651" i="20"/>
  <c r="M649" i="20"/>
  <c r="M648" i="20" s="1"/>
  <c r="M645" i="20"/>
  <c r="M643" i="20"/>
  <c r="M638" i="20"/>
  <c r="M636" i="20"/>
  <c r="M635" i="20"/>
  <c r="M634" i="20" s="1"/>
  <c r="M632" i="20"/>
  <c r="M630" i="20"/>
  <c r="M629" i="20"/>
  <c r="M623" i="20"/>
  <c r="M621" i="20"/>
  <c r="M620" i="20" s="1"/>
  <c r="M617" i="20"/>
  <c r="M615" i="20"/>
  <c r="M610" i="20"/>
  <c r="M1289" i="20"/>
  <c r="M1286" i="20"/>
  <c r="M1285" i="20" s="1"/>
  <c r="M1283" i="20"/>
  <c r="M1282" i="20"/>
  <c r="M1280" i="20"/>
  <c r="M1275" i="20"/>
  <c r="M1273" i="20"/>
  <c r="M1268" i="20"/>
  <c r="M1267" i="20"/>
  <c r="M1265" i="20"/>
  <c r="M1264" i="20" s="1"/>
  <c r="M1262" i="20"/>
  <c r="M1261" i="20"/>
  <c r="M1259" i="20"/>
  <c r="M161" i="20"/>
  <c r="M160" i="20"/>
  <c r="M155" i="20"/>
  <c r="M152" i="20"/>
  <c r="M149" i="20"/>
  <c r="M141" i="20"/>
  <c r="M139" i="20"/>
  <c r="M134" i="20"/>
  <c r="M133" i="20"/>
  <c r="M131" i="20"/>
  <c r="M128" i="20"/>
  <c r="M127" i="20"/>
  <c r="M125" i="20"/>
  <c r="M120" i="20"/>
  <c r="M118" i="20"/>
  <c r="M113" i="20"/>
  <c r="M111" i="20"/>
  <c r="M106" i="20"/>
  <c r="M103" i="20"/>
  <c r="M99" i="20"/>
  <c r="M97" i="20"/>
  <c r="M85" i="20"/>
  <c r="M84" i="20"/>
  <c r="M82" i="20"/>
  <c r="M79" i="20"/>
  <c r="M78" i="20"/>
  <c r="M76" i="20"/>
  <c r="M71" i="20"/>
  <c r="M69" i="20"/>
  <c r="M64" i="20"/>
  <c r="M63" i="20"/>
  <c r="M57" i="20"/>
  <c r="M55" i="20"/>
  <c r="M49" i="20"/>
  <c r="M47" i="20"/>
  <c r="M42" i="20"/>
  <c r="M41" i="20"/>
  <c r="M34" i="20"/>
  <c r="M29" i="20"/>
  <c r="M27" i="20"/>
  <c r="M21" i="20"/>
  <c r="M20" i="20"/>
  <c r="M15" i="20"/>
  <c r="M13" i="20"/>
  <c r="M8" i="20"/>
  <c r="M6" i="20"/>
  <c r="M608" i="20"/>
  <c r="M603" i="20"/>
  <c r="M601" i="20"/>
  <c r="M595" i="20"/>
  <c r="M593" i="20"/>
  <c r="M592" i="20" s="1"/>
  <c r="M590" i="20"/>
  <c r="M589" i="20"/>
  <c r="M587" i="20"/>
  <c r="M582" i="20"/>
  <c r="M580" i="20"/>
  <c r="M572" i="20"/>
  <c r="M571" i="20" s="1"/>
  <c r="M569" i="20"/>
  <c r="M568" i="20"/>
  <c r="M566" i="20"/>
  <c r="M561" i="20"/>
  <c r="M559" i="20"/>
  <c r="M558" i="20"/>
  <c r="M557" i="20" s="1"/>
  <c r="M555" i="20"/>
  <c r="M553" i="20"/>
  <c r="M551" i="20"/>
  <c r="M550" i="20" s="1"/>
  <c r="M548" i="20"/>
  <c r="M547" i="20"/>
  <c r="M546" i="20"/>
  <c r="M544" i="20"/>
  <c r="M543" i="20" s="1"/>
  <c r="M541" i="20"/>
  <c r="M539" i="20"/>
  <c r="M537" i="20"/>
  <c r="M536" i="20" s="1"/>
  <c r="M532" i="20"/>
  <c r="M531" i="20"/>
  <c r="M526" i="20"/>
  <c r="M524" i="20"/>
  <c r="M519" i="20"/>
  <c r="M517" i="20"/>
  <c r="M516" i="20"/>
  <c r="M515" i="20" s="1"/>
  <c r="M513" i="20"/>
  <c r="M512" i="20"/>
  <c r="M510" i="20"/>
  <c r="M505" i="20"/>
  <c r="M503" i="20"/>
  <c r="M498" i="20"/>
  <c r="M496" i="20"/>
  <c r="M495" i="20"/>
  <c r="M494" i="20" s="1"/>
  <c r="M492" i="20"/>
  <c r="M490" i="20"/>
  <c r="M488" i="20"/>
  <c r="M487" i="20" s="1"/>
  <c r="M484" i="20"/>
  <c r="M482" i="20"/>
  <c r="M477" i="20"/>
  <c r="M475" i="20"/>
  <c r="M471" i="20"/>
  <c r="M470" i="20"/>
  <c r="M468" i="20"/>
  <c r="M463" i="20"/>
  <c r="M460" i="20"/>
  <c r="M459" i="20" s="1"/>
  <c r="M456" i="20"/>
  <c r="M454" i="20"/>
  <c r="M453" i="20"/>
  <c r="M452" i="20" s="1"/>
  <c r="M450" i="20"/>
  <c r="M449" i="20"/>
  <c r="M447" i="20"/>
  <c r="M442" i="20"/>
  <c r="M440" i="20"/>
  <c r="M435" i="20"/>
  <c r="M433" i="20"/>
  <c r="M428" i="20"/>
  <c r="M426" i="20"/>
  <c r="M425" i="20"/>
  <c r="M424" i="20" s="1"/>
  <c r="M422" i="20"/>
  <c r="M419" i="20"/>
  <c r="M414" i="20"/>
  <c r="M413" i="20"/>
  <c r="M407" i="20"/>
  <c r="M405" i="20"/>
  <c r="M404" i="20"/>
  <c r="M403" i="20" s="1"/>
  <c r="M401" i="20"/>
  <c r="M399" i="20"/>
  <c r="M397" i="20"/>
  <c r="M396" i="20" s="1"/>
  <c r="M394" i="20"/>
  <c r="M393" i="20"/>
  <c r="M392" i="20"/>
  <c r="M390" i="20"/>
  <c r="M389" i="20" s="1"/>
  <c r="M387" i="20"/>
  <c r="M384" i="20"/>
  <c r="M379" i="20"/>
  <c r="M377" i="20"/>
  <c r="M371" i="20"/>
  <c r="M370" i="20"/>
  <c r="M366" i="20"/>
  <c r="M365" i="20"/>
  <c r="M364" i="20"/>
  <c r="M363" i="20"/>
  <c r="M362" i="20"/>
  <c r="M361" i="20" s="1"/>
  <c r="M359" i="20"/>
  <c r="M357" i="20"/>
  <c r="M355" i="20"/>
  <c r="M354" i="20" s="1"/>
  <c r="M351" i="20"/>
  <c r="M349" i="20"/>
  <c r="M345" i="20"/>
  <c r="M342" i="20"/>
  <c r="M335" i="20"/>
  <c r="M330" i="20"/>
  <c r="M329" i="20"/>
  <c r="M327" i="20"/>
  <c r="M326" i="20" s="1"/>
  <c r="M324" i="20"/>
  <c r="M323" i="20"/>
  <c r="M321" i="20"/>
  <c r="M316" i="20"/>
  <c r="M314" i="20"/>
  <c r="M309" i="20"/>
  <c r="M307" i="20"/>
  <c r="M302" i="20"/>
  <c r="M300" i="20"/>
  <c r="M295" i="20"/>
  <c r="M294" i="20"/>
  <c r="M292" i="20"/>
  <c r="M289" i="20"/>
  <c r="M287" i="20"/>
  <c r="M286" i="20"/>
  <c r="M281" i="20"/>
  <c r="M677" i="20"/>
  <c r="M280" i="20"/>
  <c r="M278" i="20"/>
  <c r="M275" i="20"/>
  <c r="M274" i="20"/>
  <c r="M272" i="20"/>
  <c r="M267" i="20"/>
  <c r="M265" i="20"/>
  <c r="M260" i="20"/>
  <c r="M258" i="20"/>
  <c r="M253" i="20"/>
  <c r="M251" i="20"/>
  <c r="M246" i="20"/>
  <c r="M244" i="20"/>
  <c r="M232" i="20"/>
  <c r="M231" i="20"/>
  <c r="M229" i="20"/>
  <c r="M226" i="20"/>
  <c r="M225" i="20"/>
  <c r="M223" i="20"/>
  <c r="M218" i="20"/>
  <c r="M217" i="20"/>
  <c r="M215" i="20"/>
  <c r="M212" i="20"/>
  <c r="M211" i="20"/>
  <c r="M209" i="20"/>
  <c r="M205" i="20"/>
  <c r="M204" i="20"/>
  <c r="M202" i="20"/>
  <c r="M197" i="20"/>
  <c r="M196" i="20"/>
  <c r="M190" i="20"/>
  <c r="M188" i="20"/>
  <c r="M183" i="20"/>
  <c r="M181" i="20"/>
  <c r="M176" i="20"/>
  <c r="M174" i="20"/>
  <c r="M169" i="20"/>
  <c r="M167" i="20"/>
  <c r="M685" i="20"/>
  <c r="M687" i="20"/>
  <c r="M692" i="20"/>
  <c r="M694" i="20"/>
  <c r="M695" i="20"/>
  <c r="M699" i="20"/>
  <c r="M701" i="20"/>
  <c r="M706" i="20"/>
  <c r="M708" i="20"/>
  <c r="M709" i="20"/>
  <c r="M713" i="20"/>
  <c r="M727" i="20"/>
  <c r="M729" i="20"/>
  <c r="M730" i="20"/>
  <c r="M733" i="20"/>
  <c r="M732" i="20" s="1"/>
  <c r="M741" i="20"/>
  <c r="M743" i="20"/>
  <c r="M748" i="20"/>
  <c r="M750" i="20"/>
  <c r="M751" i="20"/>
  <c r="M755" i="20"/>
  <c r="M757" i="20"/>
  <c r="M762" i="20"/>
  <c r="M764" i="20"/>
  <c r="M769" i="20"/>
  <c r="M770" i="20"/>
  <c r="M772" i="20"/>
  <c r="M775" i="20"/>
  <c r="M776" i="20"/>
  <c r="M777" i="20"/>
  <c r="M778" i="20"/>
  <c r="M779" i="20"/>
  <c r="M782" i="20"/>
  <c r="M783" i="20"/>
  <c r="M785" i="20"/>
  <c r="M790" i="20"/>
  <c r="M792" i="20"/>
  <c r="M793" i="20"/>
  <c r="M796" i="20"/>
  <c r="M797" i="20"/>
  <c r="M799" i="20"/>
  <c r="M804" i="20"/>
  <c r="M805" i="20"/>
  <c r="M810" i="20"/>
  <c r="M812" i="20"/>
  <c r="M814" i="20"/>
  <c r="M817" i="20"/>
  <c r="M680" i="20"/>
  <c r="M819" i="20"/>
  <c r="M820" i="20"/>
  <c r="M821" i="20"/>
  <c r="M824" i="20"/>
  <c r="M825" i="20"/>
  <c r="M827" i="20"/>
  <c r="M832" i="20"/>
  <c r="M834" i="20"/>
  <c r="M839" i="20"/>
  <c r="M841" i="20"/>
  <c r="M845" i="20"/>
  <c r="M847" i="20"/>
  <c r="M849" i="20"/>
  <c r="M853" i="20"/>
  <c r="M855" i="20"/>
  <c r="M859" i="20"/>
  <c r="M861" i="20"/>
  <c r="M863" i="20"/>
  <c r="M866" i="20"/>
  <c r="M867" i="20"/>
  <c r="M869" i="20"/>
  <c r="M875" i="20"/>
  <c r="M876" i="20"/>
  <c r="M881" i="20"/>
  <c r="M883" i="20"/>
  <c r="M884" i="20"/>
  <c r="M887" i="20"/>
  <c r="M889" i="20"/>
  <c r="M890" i="20"/>
  <c r="M891" i="20"/>
  <c r="M894" i="20"/>
  <c r="M895" i="20"/>
  <c r="M897" i="20"/>
  <c r="M902" i="20"/>
  <c r="M904" i="20"/>
  <c r="M909" i="20"/>
  <c r="M911" i="20"/>
  <c r="M912" i="20"/>
  <c r="M915" i="20"/>
  <c r="M917" i="20"/>
  <c r="M918" i="20"/>
  <c r="M923" i="20"/>
  <c r="M930" i="20"/>
  <c r="M932" i="20"/>
  <c r="M936" i="20"/>
  <c r="M938" i="20"/>
  <c r="M940" i="20"/>
  <c r="M944" i="20"/>
  <c r="M946" i="20"/>
  <c r="M951" i="20"/>
  <c r="M953" i="20"/>
  <c r="M958" i="20"/>
  <c r="M960" i="20"/>
  <c r="M965" i="20"/>
  <c r="M967" i="20"/>
  <c r="M972" i="20"/>
  <c r="M974" i="20"/>
  <c r="M978" i="20"/>
  <c r="M980" i="20"/>
  <c r="M982" i="20"/>
  <c r="M985" i="20"/>
  <c r="M988" i="20"/>
  <c r="M989" i="20"/>
  <c r="M993" i="20"/>
  <c r="M994" i="20"/>
  <c r="M996" i="20"/>
  <c r="M999" i="20"/>
  <c r="M1000" i="20"/>
  <c r="M1002" i="20"/>
  <c r="M1003" i="20"/>
  <c r="M1007" i="20"/>
  <c r="M1008" i="20"/>
  <c r="M1010" i="20"/>
  <c r="M1014" i="20"/>
  <c r="M1016" i="20"/>
  <c r="M1017" i="20"/>
  <c r="M1020" i="20"/>
  <c r="M1022" i="20"/>
  <c r="M1028" i="20"/>
  <c r="M1030" i="20"/>
  <c r="M1031" i="20"/>
  <c r="M1034" i="20"/>
  <c r="M1035" i="20"/>
  <c r="M1037" i="20"/>
  <c r="M1042" i="20"/>
  <c r="M1045" i="20"/>
  <c r="M1048" i="20"/>
  <c r="M1049" i="20"/>
  <c r="M1051" i="20"/>
  <c r="M1056" i="20"/>
  <c r="M1058" i="20"/>
  <c r="M1059" i="20"/>
  <c r="M1065" i="20"/>
  <c r="M1070" i="20"/>
  <c r="M1071" i="20"/>
  <c r="M1077" i="20"/>
  <c r="M1079" i="20"/>
  <c r="M1084" i="20"/>
  <c r="M1086" i="20"/>
  <c r="M1097" i="20"/>
  <c r="M1099" i="20"/>
  <c r="M1101" i="20"/>
  <c r="M1104" i="20"/>
  <c r="M1105" i="20"/>
  <c r="M1107" i="20"/>
  <c r="M1108" i="20"/>
  <c r="M1111" i="20"/>
  <c r="M1113" i="20"/>
  <c r="M1114" i="20"/>
  <c r="M1119" i="20"/>
  <c r="M1121" i="20"/>
  <c r="M1126" i="20"/>
  <c r="M1128" i="20"/>
  <c r="M1129" i="20"/>
  <c r="M1132" i="20"/>
  <c r="M1133" i="20"/>
  <c r="M1135" i="20"/>
  <c r="M1136" i="20"/>
  <c r="M1139" i="20"/>
  <c r="M1141" i="20"/>
  <c r="M1142" i="20"/>
  <c r="M1147" i="20"/>
  <c r="M1149" i="20"/>
  <c r="M1154" i="20"/>
  <c r="M1156" i="20"/>
  <c r="M1160" i="20"/>
  <c r="M1159" i="20" s="1"/>
  <c r="M1167" i="20"/>
  <c r="M1169" i="20"/>
  <c r="M1171" i="20"/>
  <c r="M1174" i="20"/>
  <c r="M1176" i="20"/>
  <c r="M1177" i="20"/>
  <c r="M1182" i="20"/>
  <c r="M1184" i="20"/>
  <c r="M1185" i="20"/>
  <c r="M1189" i="20"/>
  <c r="M1191" i="20"/>
  <c r="M1192" i="20"/>
  <c r="M1195" i="20"/>
  <c r="M1196" i="20"/>
  <c r="M1198" i="20"/>
  <c r="M1202" i="20"/>
  <c r="M1204" i="20"/>
  <c r="M1206" i="20"/>
  <c r="M1209" i="20"/>
  <c r="M1210" i="20"/>
  <c r="M1211" i="20"/>
  <c r="M1212" i="20"/>
  <c r="M1213" i="20"/>
  <c r="M1216" i="20"/>
  <c r="M1217" i="20"/>
  <c r="M1219" i="20"/>
  <c r="M1223" i="20"/>
  <c r="M1225" i="20"/>
  <c r="M1231" i="20"/>
  <c r="M1232" i="20"/>
  <c r="M1234" i="20"/>
  <c r="M1237" i="20"/>
  <c r="M1239" i="20"/>
  <c r="M1244" i="20"/>
  <c r="M1246" i="20"/>
  <c r="M1247" i="20"/>
  <c r="M1252" i="20"/>
  <c r="M1254" i="20"/>
  <c r="M1618" i="20"/>
  <c r="M5" i="20"/>
  <c r="M7" i="20"/>
  <c r="M9" i="20"/>
  <c r="M12" i="20"/>
  <c r="M14" i="20"/>
  <c r="M16" i="20"/>
  <c r="M19" i="20"/>
  <c r="M22" i="20"/>
  <c r="M23" i="20"/>
  <c r="M26" i="20"/>
  <c r="M28" i="20"/>
  <c r="M30" i="20"/>
  <c r="M33" i="20"/>
  <c r="M35" i="20"/>
  <c r="M36" i="20"/>
  <c r="M37" i="20"/>
  <c r="M40" i="20"/>
  <c r="M43" i="20"/>
  <c r="M44" i="20"/>
  <c r="M48" i="20"/>
  <c r="M50" i="20"/>
  <c r="M51" i="20"/>
  <c r="M54" i="20"/>
  <c r="M56" i="20"/>
  <c r="M58" i="20"/>
  <c r="M61" i="20"/>
  <c r="M62" i="20"/>
  <c r="M65" i="20"/>
  <c r="M68" i="20"/>
  <c r="M70" i="20"/>
  <c r="M72" i="20"/>
  <c r="M75" i="20"/>
  <c r="M77" i="20"/>
  <c r="M83" i="20"/>
  <c r="M86" i="20"/>
  <c r="M89" i="20"/>
  <c r="M90" i="20"/>
  <c r="M91" i="20"/>
  <c r="M92" i="20"/>
  <c r="M93" i="20"/>
  <c r="M96" i="20"/>
  <c r="M98" i="20"/>
  <c r="M100" i="20"/>
  <c r="M104" i="20"/>
  <c r="M105" i="20"/>
  <c r="M107" i="20"/>
  <c r="M110" i="20"/>
  <c r="M112" i="20"/>
  <c r="M114" i="20"/>
  <c r="M117" i="20"/>
  <c r="M119" i="20"/>
  <c r="M121" i="20"/>
  <c r="M124" i="20"/>
  <c r="M126" i="20"/>
  <c r="M132" i="20"/>
  <c r="M135" i="20"/>
  <c r="M138" i="20"/>
  <c r="M140" i="20"/>
  <c r="M142" i="20"/>
  <c r="M145" i="20"/>
  <c r="M146" i="20"/>
  <c r="M147" i="20"/>
  <c r="M148" i="20"/>
  <c r="M153" i="20"/>
  <c r="M154" i="20"/>
  <c r="M156" i="20"/>
  <c r="M159" i="20"/>
  <c r="M162" i="20"/>
  <c r="M163" i="20"/>
  <c r="M166" i="20"/>
  <c r="M168" i="20"/>
  <c r="M170" i="20"/>
  <c r="M173" i="20"/>
  <c r="M175" i="20"/>
  <c r="M177" i="20"/>
  <c r="M180" i="20"/>
  <c r="M182" i="20"/>
  <c r="M184" i="20"/>
  <c r="M187" i="20"/>
  <c r="M189" i="20"/>
  <c r="M191" i="20"/>
  <c r="M194" i="20"/>
  <c r="M195" i="20"/>
  <c r="M198" i="20"/>
  <c r="M201" i="20"/>
  <c r="M203" i="20"/>
  <c r="M208" i="20"/>
  <c r="M210" i="20"/>
  <c r="M216" i="20"/>
  <c r="M219" i="20"/>
  <c r="M222" i="20"/>
  <c r="M224" i="20"/>
  <c r="M230" i="20"/>
  <c r="M233" i="20"/>
  <c r="M236" i="20"/>
  <c r="M237" i="20"/>
  <c r="M238" i="20"/>
  <c r="M239" i="20"/>
  <c r="M240" i="20"/>
  <c r="M243" i="20"/>
  <c r="M245" i="20"/>
  <c r="M247" i="20"/>
  <c r="M250" i="20"/>
  <c r="M252" i="20"/>
  <c r="M254" i="20"/>
  <c r="M257" i="20"/>
  <c r="M259" i="20"/>
  <c r="M261" i="20"/>
  <c r="M264" i="20"/>
  <c r="M266" i="20"/>
  <c r="M268" i="20"/>
  <c r="M271" i="20"/>
  <c r="M273" i="20"/>
  <c r="M279" i="20"/>
  <c r="M282" i="20"/>
  <c r="M285" i="20"/>
  <c r="M288" i="20"/>
  <c r="M293" i="20"/>
  <c r="M296" i="20"/>
  <c r="M299" i="20"/>
  <c r="M301" i="20"/>
  <c r="M303" i="20"/>
  <c r="L324" i="20"/>
  <c r="L327" i="20"/>
  <c r="L331" i="20"/>
  <c r="L335" i="20"/>
  <c r="L343" i="20"/>
  <c r="L350" i="20"/>
  <c r="L355" i="20"/>
  <c r="L357" i="20"/>
  <c r="L365" i="20"/>
  <c r="L370" i="20"/>
  <c r="L373" i="20"/>
  <c r="L377" i="20"/>
  <c r="L384" i="20"/>
  <c r="L387" i="20"/>
  <c r="L390" i="20"/>
  <c r="L393" i="20"/>
  <c r="L397" i="20"/>
  <c r="L400" i="20"/>
  <c r="L405" i="20"/>
  <c r="L414" i="20"/>
  <c r="L418" i="20"/>
  <c r="L421" i="20"/>
  <c r="L426" i="20"/>
  <c r="L428" i="20"/>
  <c r="L433" i="20"/>
  <c r="L435" i="20"/>
  <c r="L440" i="20"/>
  <c r="L442" i="20"/>
  <c r="L446" i="20"/>
  <c r="L449" i="20"/>
  <c r="L453" i="20"/>
  <c r="L457" i="20"/>
  <c r="L460" i="20"/>
  <c r="L463" i="20"/>
  <c r="L467" i="20"/>
  <c r="L470" i="20"/>
  <c r="L474" i="20"/>
  <c r="L477" i="20"/>
  <c r="L481" i="20"/>
  <c r="L484" i="20"/>
  <c r="L490" i="20"/>
  <c r="L497" i="20"/>
  <c r="L499" i="20"/>
  <c r="L503" i="20"/>
  <c r="L509" i="20"/>
  <c r="L512" i="20"/>
  <c r="L516" i="20"/>
  <c r="L519" i="20"/>
  <c r="L523" i="20"/>
  <c r="L527" i="20"/>
  <c r="L531" i="20"/>
  <c r="L533" i="20"/>
  <c r="L537" i="20"/>
  <c r="L540" i="20"/>
  <c r="L544" i="20"/>
  <c r="L553" i="20"/>
  <c r="L554" i="20"/>
  <c r="L558" i="20"/>
  <c r="L561" i="20"/>
  <c r="L565" i="20"/>
  <c r="L568" i="20"/>
  <c r="L572" i="20"/>
  <c r="L576" i="20"/>
  <c r="L579" i="20"/>
  <c r="L583" i="20"/>
  <c r="L587" i="20"/>
  <c r="L589" i="20"/>
  <c r="L593" i="20"/>
  <c r="L597" i="20"/>
  <c r="L601" i="20"/>
  <c r="L609" i="20"/>
  <c r="L611" i="20"/>
  <c r="L614" i="20"/>
  <c r="L616" i="20"/>
  <c r="L618" i="20"/>
  <c r="L622" i="20"/>
  <c r="L625" i="20"/>
  <c r="L629" i="20"/>
  <c r="L631" i="20"/>
  <c r="L635" i="20"/>
  <c r="L639" i="20"/>
  <c r="L643" i="20"/>
  <c r="L645" i="20"/>
  <c r="L649" i="20"/>
  <c r="L652" i="20"/>
  <c r="L657" i="20"/>
  <c r="L664" i="20"/>
  <c r="L667" i="20"/>
  <c r="L672" i="20"/>
  <c r="L680" i="20"/>
  <c r="L685" i="20"/>
  <c r="L693" i="20"/>
  <c r="L698" i="20"/>
  <c r="L707" i="20"/>
  <c r="L709" i="20"/>
  <c r="L713" i="20"/>
  <c r="L715" i="20"/>
  <c r="L719" i="20"/>
  <c r="L728" i="20"/>
  <c r="L730" i="20"/>
  <c r="L734" i="20"/>
  <c r="L737" i="20"/>
  <c r="L741" i="20"/>
  <c r="L744" i="20"/>
  <c r="L749" i="20"/>
  <c r="L770" i="20"/>
  <c r="L777" i="20"/>
  <c r="L784" i="20"/>
  <c r="L786" i="20"/>
  <c r="L790" i="20"/>
  <c r="L792" i="20"/>
  <c r="L796" i="20"/>
  <c r="L799" i="20"/>
  <c r="L803" i="20"/>
  <c r="L806" i="20"/>
  <c r="L811" i="20"/>
  <c r="L814" i="20"/>
  <c r="L818" i="20"/>
  <c r="L821" i="20"/>
  <c r="L824" i="20"/>
  <c r="L826" i="20"/>
  <c r="L833" i="20"/>
  <c r="L835" i="20"/>
  <c r="L839" i="20"/>
  <c r="L842" i="20"/>
  <c r="L845" i="20"/>
  <c r="L848" i="20"/>
  <c r="L852" i="20"/>
  <c r="L856" i="20"/>
  <c r="L859" i="20"/>
  <c r="L862" i="20"/>
  <c r="L867" i="20"/>
  <c r="L869" i="20"/>
  <c r="L870" i="20"/>
  <c r="L873" i="20"/>
  <c r="L875" i="20"/>
  <c r="L877" i="20"/>
  <c r="L880" i="20"/>
  <c r="L883" i="20"/>
  <c r="L887" i="20"/>
  <c r="L895" i="20"/>
  <c r="L898" i="20"/>
  <c r="L902" i="20"/>
  <c r="L905" i="20"/>
  <c r="L908" i="20"/>
  <c r="L911" i="20"/>
  <c r="L917" i="20"/>
  <c r="L924" i="20"/>
  <c r="L926" i="20"/>
  <c r="L931" i="20"/>
  <c r="L932" i="20"/>
  <c r="L936" i="20"/>
  <c r="L939" i="20"/>
  <c r="L944" i="20"/>
  <c r="L947" i="20"/>
  <c r="L951" i="20"/>
  <c r="L954" i="20"/>
  <c r="L958" i="20"/>
  <c r="L961" i="20"/>
  <c r="L964" i="20"/>
  <c r="L967" i="20"/>
  <c r="L968" i="20"/>
  <c r="L972" i="20"/>
  <c r="L974" i="20"/>
  <c r="L978" i="20"/>
  <c r="L980" i="20"/>
  <c r="L982" i="20"/>
  <c r="L986" i="20"/>
  <c r="L988" i="20"/>
  <c r="L993" i="20"/>
  <c r="L995" i="20"/>
  <c r="L999" i="20"/>
  <c r="L1002" i="20"/>
  <c r="L1006" i="20"/>
  <c r="L1009" i="20"/>
  <c r="L1014" i="20"/>
  <c r="L1016" i="20"/>
  <c r="L1021" i="20"/>
  <c r="L1029" i="20"/>
  <c r="L1036" i="20"/>
  <c r="L1037" i="20"/>
  <c r="L1041" i="20"/>
  <c r="L1044" i="20"/>
  <c r="L1048" i="20"/>
  <c r="L1051" i="20"/>
  <c r="L1056" i="20"/>
  <c r="L1059" i="20"/>
  <c r="L1063" i="20"/>
  <c r="L1066" i="20"/>
  <c r="L321" i="20"/>
  <c r="L316" i="20"/>
  <c r="L313" i="20"/>
  <c r="L309" i="20"/>
  <c r="L307" i="20"/>
  <c r="L303" i="20"/>
  <c r="L301" i="20"/>
  <c r="L294" i="20"/>
  <c r="L292" i="20"/>
  <c r="L289" i="20"/>
  <c r="L287" i="20"/>
  <c r="L280" i="20"/>
  <c r="L272" i="20"/>
  <c r="L268" i="20"/>
  <c r="L266" i="20"/>
  <c r="L257" i="20"/>
  <c r="L253" i="20"/>
  <c r="L243" i="20"/>
  <c r="L238" i="20"/>
  <c r="L232" i="20"/>
  <c r="L215" i="20"/>
  <c r="L202" i="20"/>
  <c r="L196" i="20"/>
  <c r="L188" i="20"/>
  <c r="L182" i="20"/>
  <c r="L177" i="20"/>
  <c r="L174" i="20"/>
  <c r="L169" i="20"/>
  <c r="L159" i="20"/>
  <c r="L154" i="20"/>
  <c r="L149" i="20"/>
  <c r="L145" i="20"/>
  <c r="L140" i="20"/>
  <c r="L134" i="20"/>
  <c r="L131" i="20"/>
  <c r="L127" i="20"/>
  <c r="L121" i="20"/>
  <c r="L118" i="20"/>
  <c r="L112" i="20"/>
  <c r="L107" i="20"/>
  <c r="L72" i="20"/>
  <c r="L65" i="20"/>
  <c r="L58" i="20"/>
  <c r="L56" i="20"/>
  <c r="L49" i="20"/>
  <c r="L44" i="20"/>
  <c r="L41" i="20"/>
  <c r="L35" i="20"/>
  <c r="L30" i="20"/>
  <c r="L23" i="20"/>
  <c r="L19" i="20"/>
  <c r="L5" i="20"/>
  <c r="L7" i="20"/>
  <c r="L12" i="20"/>
  <c r="L21" i="20"/>
  <c r="L26" i="20"/>
  <c r="L29" i="20"/>
  <c r="L34" i="20"/>
  <c r="L37" i="20"/>
  <c r="L42" i="20"/>
  <c r="L47" i="20"/>
  <c r="L63" i="20"/>
  <c r="L69" i="20"/>
  <c r="L77" i="20"/>
  <c r="L82" i="20"/>
  <c r="L85" i="20"/>
  <c r="L89" i="20"/>
  <c r="L92" i="20"/>
  <c r="L96" i="20"/>
  <c r="L99" i="20"/>
  <c r="L105" i="20"/>
  <c r="L110" i="20"/>
  <c r="L114" i="20"/>
  <c r="L119" i="20"/>
  <c r="L124" i="20"/>
  <c r="L128" i="20"/>
  <c r="L141" i="20"/>
  <c r="L146" i="20"/>
  <c r="L156" i="20"/>
  <c r="L162" i="20"/>
  <c r="L166" i="20"/>
  <c r="L170" i="20"/>
  <c r="L175" i="20"/>
  <c r="L180" i="20"/>
  <c r="L191" i="20"/>
  <c r="L197" i="20"/>
  <c r="L203" i="20"/>
  <c r="L208" i="20"/>
  <c r="L211" i="20"/>
  <c r="L216" i="20"/>
  <c r="L219" i="20"/>
  <c r="L223" i="20"/>
  <c r="L226" i="20"/>
  <c r="L231" i="20"/>
  <c r="L236" i="20"/>
  <c r="L239" i="20"/>
  <c r="L244" i="20"/>
  <c r="L250" i="20"/>
  <c r="L254" i="20"/>
  <c r="L261" i="20"/>
  <c r="L264" i="20"/>
  <c r="L267" i="20"/>
  <c r="L271" i="20"/>
  <c r="L274" i="20"/>
  <c r="L278" i="20"/>
  <c r="L281" i="20"/>
  <c r="L285" i="20"/>
  <c r="L288" i="20"/>
  <c r="L293" i="20"/>
  <c r="L295" i="20"/>
  <c r="L296" i="20"/>
  <c r="L299" i="20"/>
  <c r="L308" i="20"/>
  <c r="L310" i="20"/>
  <c r="L314" i="20"/>
  <c r="L322" i="20"/>
  <c r="L323" i="20"/>
  <c r="L328" i="20"/>
  <c r="L337" i="20"/>
  <c r="L341" i="20"/>
  <c r="L345" i="20"/>
  <c r="L349" i="20"/>
  <c r="L352" i="20"/>
  <c r="L356" i="20"/>
  <c r="L358" i="20"/>
  <c r="L363" i="20"/>
  <c r="L366" i="20"/>
  <c r="L369" i="20"/>
  <c r="L372" i="20"/>
  <c r="L376" i="20"/>
  <c r="L379" i="20"/>
  <c r="L383" i="20"/>
  <c r="L385" i="20"/>
  <c r="L386" i="20"/>
  <c r="L392" i="20"/>
  <c r="L399" i="20"/>
  <c r="L406" i="20"/>
  <c r="L408" i="20"/>
  <c r="L412" i="20"/>
  <c r="L415" i="20"/>
  <c r="L419" i="20"/>
  <c r="L422" i="20"/>
  <c r="L427" i="20"/>
  <c r="L429" i="20"/>
  <c r="L432" i="20"/>
  <c r="L436" i="20"/>
  <c r="L439" i="20"/>
  <c r="L447" i="20"/>
  <c r="L450" i="20"/>
  <c r="L454" i="20"/>
  <c r="L456" i="20"/>
  <c r="L461" i="20"/>
  <c r="L464" i="20"/>
  <c r="L468" i="20"/>
  <c r="L471" i="20"/>
  <c r="L6" i="20"/>
  <c r="L9" i="20"/>
  <c r="L14" i="20"/>
  <c r="L16" i="20"/>
  <c r="L22" i="20"/>
  <c r="L27" i="20"/>
  <c r="L36" i="20"/>
  <c r="L40" i="20"/>
  <c r="L50" i="20"/>
  <c r="L54" i="20"/>
  <c r="L57" i="20"/>
  <c r="L62" i="20"/>
  <c r="L70" i="20"/>
  <c r="L75" i="20"/>
  <c r="L78" i="20"/>
  <c r="L83" i="20"/>
  <c r="L86" i="20"/>
  <c r="L90" i="20"/>
  <c r="L98" i="20"/>
  <c r="L103" i="20"/>
  <c r="L106" i="20"/>
  <c r="L111" i="20"/>
  <c r="L126" i="20"/>
  <c r="L132" i="20"/>
  <c r="L135" i="20"/>
  <c r="L147" i="20"/>
  <c r="L152" i="20"/>
  <c r="L155" i="20"/>
  <c r="L160" i="20"/>
  <c r="L163" i="20"/>
  <c r="L168" i="20"/>
  <c r="L173" i="20"/>
  <c r="L176" i="20"/>
  <c r="L181" i="20"/>
  <c r="L184" i="20"/>
  <c r="L189" i="20"/>
  <c r="L194" i="20"/>
  <c r="L198" i="20"/>
  <c r="L201" i="20"/>
  <c r="L205" i="20"/>
  <c r="L209" i="20"/>
  <c r="L218" i="20"/>
  <c r="L224" i="20"/>
  <c r="L229" i="20"/>
  <c r="L233" i="20"/>
  <c r="L237" i="20"/>
  <c r="L240" i="20"/>
  <c r="L245" i="20"/>
  <c r="L247" i="20"/>
  <c r="L252" i="20"/>
  <c r="L259" i="20"/>
  <c r="L260" i="20"/>
  <c r="L265" i="20"/>
  <c r="L273" i="20"/>
  <c r="L275" i="20"/>
  <c r="L279" i="20"/>
  <c r="L282" i="20"/>
  <c r="L286" i="20"/>
  <c r="L300" i="20"/>
  <c r="L302" i="20"/>
  <c r="L306" i="20"/>
  <c r="L305" i="20" s="1"/>
  <c r="L315" i="20"/>
  <c r="L317" i="20"/>
  <c r="L320" i="20"/>
  <c r="L319" i="20" s="1"/>
  <c r="L329" i="20"/>
  <c r="L330" i="20"/>
  <c r="L334" i="20"/>
  <c r="L336" i="20"/>
  <c r="L338" i="20"/>
  <c r="L342" i="20"/>
  <c r="L344" i="20"/>
  <c r="L348" i="20"/>
  <c r="L351" i="20"/>
  <c r="L359" i="20"/>
  <c r="L362" i="20"/>
  <c r="L364" i="20"/>
  <c r="L371" i="20"/>
  <c r="L378" i="20"/>
  <c r="L380" i="20"/>
  <c r="L391" i="20"/>
  <c r="L394" i="20"/>
  <c r="L398" i="20"/>
  <c r="L401" i="20"/>
  <c r="L404" i="20"/>
  <c r="L407" i="20"/>
  <c r="L411" i="20"/>
  <c r="L413" i="20"/>
  <c r="L420" i="20"/>
  <c r="L425" i="20"/>
  <c r="L424" i="20" s="1"/>
  <c r="L434" i="20"/>
  <c r="L441" i="20"/>
  <c r="L443" i="20"/>
  <c r="L448" i="20"/>
  <c r="L455" i="20"/>
  <c r="L462" i="20"/>
  <c r="L469" i="20"/>
  <c r="L476" i="20"/>
  <c r="L483" i="20"/>
  <c r="L489" i="20"/>
  <c r="L492" i="20"/>
  <c r="L496" i="20"/>
  <c r="L504" i="20"/>
  <c r="L506" i="20"/>
  <c r="L511" i="20"/>
  <c r="L518" i="20"/>
  <c r="L525" i="20"/>
  <c r="L532" i="20"/>
  <c r="L539" i="20"/>
  <c r="L546" i="20"/>
  <c r="L548" i="20"/>
  <c r="L551" i="20"/>
  <c r="L560" i="20"/>
  <c r="L566" i="20"/>
  <c r="L569" i="20"/>
  <c r="L573" i="20"/>
  <c r="L575" i="20"/>
  <c r="L581" i="20"/>
  <c r="L588" i="20"/>
  <c r="L595" i="20"/>
  <c r="L596" i="20"/>
  <c r="L600" i="20"/>
  <c r="L603" i="20"/>
  <c r="L604" i="20"/>
  <c r="L608" i="20"/>
  <c r="L615" i="20"/>
  <c r="L617" i="20"/>
  <c r="L623" i="20"/>
  <c r="L630" i="20"/>
  <c r="L637" i="20"/>
  <c r="L644" i="20"/>
  <c r="L650" i="20"/>
  <c r="L653" i="20"/>
  <c r="L656" i="20"/>
  <c r="L659" i="20"/>
  <c r="L663" i="20"/>
  <c r="L665" i="20"/>
  <c r="L671" i="20"/>
  <c r="L674" i="20"/>
  <c r="L678" i="20"/>
  <c r="L679" i="20"/>
  <c r="L684" i="20"/>
  <c r="L687" i="20"/>
  <c r="L691" i="20"/>
  <c r="L694" i="20"/>
  <c r="L695" i="20"/>
  <c r="L699" i="20"/>
  <c r="L701" i="20"/>
  <c r="L706" i="20"/>
  <c r="L708" i="20"/>
  <c r="L712" i="20"/>
  <c r="L721" i="20"/>
  <c r="L723" i="20"/>
  <c r="L727" i="20"/>
  <c r="L729" i="20"/>
  <c r="L733" i="20"/>
  <c r="L736" i="20"/>
  <c r="L740" i="20"/>
  <c r="L743" i="20"/>
  <c r="L747" i="20"/>
  <c r="L750" i="20"/>
  <c r="L755" i="20"/>
  <c r="L757" i="20"/>
  <c r="L762" i="20"/>
  <c r="L764" i="20"/>
  <c r="L769" i="20"/>
  <c r="L772" i="20"/>
  <c r="L776" i="20"/>
  <c r="L779" i="20"/>
  <c r="L783" i="20"/>
  <c r="L791" i="20"/>
  <c r="L798" i="20"/>
  <c r="L805" i="20"/>
  <c r="L807" i="20"/>
  <c r="L812" i="20"/>
  <c r="L819" i="20"/>
  <c r="L828" i="20"/>
  <c r="L832" i="20"/>
  <c r="L840" i="20"/>
  <c r="L841" i="20"/>
  <c r="L846" i="20"/>
  <c r="L849" i="20"/>
  <c r="L853" i="20"/>
  <c r="L855" i="20"/>
  <c r="L860" i="20"/>
  <c r="L882" i="20"/>
  <c r="L889" i="20"/>
  <c r="L891" i="20"/>
  <c r="L896" i="20"/>
  <c r="L903" i="20"/>
  <c r="L910" i="20"/>
  <c r="L915" i="20"/>
  <c r="L919" i="20"/>
  <c r="L922" i="20"/>
  <c r="L925" i="20"/>
  <c r="L929" i="20"/>
  <c r="L938" i="20"/>
  <c r="L945" i="20"/>
  <c r="L952" i="20"/>
  <c r="L960" i="20"/>
  <c r="L965" i="20"/>
  <c r="L1001" i="20"/>
  <c r="L1007" i="20"/>
  <c r="L1010" i="20"/>
  <c r="L1013" i="20"/>
  <c r="L1017" i="20"/>
  <c r="L1020" i="20"/>
  <c r="L1023" i="20"/>
  <c r="L1027" i="20"/>
  <c r="L1030" i="20"/>
  <c r="L1035" i="20"/>
  <c r="L1038" i="20"/>
  <c r="L1043" i="20"/>
  <c r="L1050" i="20"/>
  <c r="L1057" i="20"/>
  <c r="L1064" i="20"/>
  <c r="L1070" i="20"/>
  <c r="L1072" i="20"/>
  <c r="L1076" i="20"/>
  <c r="L1078" i="20"/>
  <c r="L1080" i="20"/>
  <c r="L1083" i="20"/>
  <c r="L1085" i="20"/>
  <c r="L1087" i="20"/>
  <c r="L1090" i="20"/>
  <c r="L1092" i="20"/>
  <c r="L1093" i="20"/>
  <c r="L1098" i="20"/>
  <c r="L1100" i="20"/>
  <c r="L1104" i="20"/>
  <c r="L1106" i="20"/>
  <c r="L1112" i="20"/>
  <c r="L1114" i="20"/>
  <c r="L1115" i="20"/>
  <c r="L1118" i="20"/>
  <c r="L1120" i="20"/>
  <c r="L1126" i="20"/>
  <c r="L1127" i="20"/>
  <c r="L1129" i="20"/>
  <c r="L1132" i="20"/>
  <c r="L1134" i="20"/>
  <c r="L1136" i="20"/>
  <c r="L1139" i="20"/>
  <c r="L1140" i="20"/>
  <c r="L1142" i="20"/>
  <c r="L1147" i="20"/>
  <c r="L1149" i="20"/>
  <c r="L1150" i="20"/>
  <c r="L1153" i="20"/>
  <c r="L1155" i="20"/>
  <c r="L1157" i="20"/>
  <c r="L1160" i="20"/>
  <c r="L1161" i="20"/>
  <c r="L1162" i="20"/>
  <c r="L1163" i="20"/>
  <c r="L1168" i="20"/>
  <c r="L1175" i="20"/>
  <c r="L1178" i="20"/>
  <c r="L475" i="20"/>
  <c r="L1619" i="20"/>
  <c r="L1618" i="20"/>
  <c r="L1616" i="20"/>
  <c r="L1611" i="20"/>
  <c r="L1609" i="20"/>
  <c r="L1604" i="20"/>
  <c r="L1601" i="20"/>
  <c r="L1597" i="20"/>
  <c r="L1594" i="20"/>
  <c r="L1591" i="20"/>
  <c r="L1590" i="20"/>
  <c r="L1588" i="20"/>
  <c r="L1583" i="20"/>
  <c r="L1581" i="20"/>
  <c r="L1580" i="20"/>
  <c r="L1577" i="20"/>
  <c r="L1576" i="20"/>
  <c r="L1575" i="20"/>
  <c r="L1574" i="20"/>
  <c r="L1573" i="20"/>
  <c r="L1572" i="20" s="1"/>
  <c r="L1570" i="20"/>
  <c r="L1568" i="20"/>
  <c r="L1566" i="20"/>
  <c r="L478" i="20"/>
  <c r="L482" i="20"/>
  <c r="L485" i="20"/>
  <c r="L488" i="20"/>
  <c r="L491" i="20"/>
  <c r="L495" i="20"/>
  <c r="L498" i="20"/>
  <c r="L502" i="20"/>
  <c r="L505" i="20"/>
  <c r="L510" i="20"/>
  <c r="L513" i="20"/>
  <c r="L517" i="20"/>
  <c r="L520" i="20"/>
  <c r="L524" i="20"/>
  <c r="L526" i="20"/>
  <c r="L530" i="20"/>
  <c r="L534" i="20"/>
  <c r="L538" i="20"/>
  <c r="L541" i="20"/>
  <c r="L545" i="20"/>
  <c r="L547" i="20"/>
  <c r="L552" i="20"/>
  <c r="L555" i="20"/>
  <c r="L559" i="20"/>
  <c r="L562" i="20"/>
  <c r="L567" i="20"/>
  <c r="L574" i="20"/>
  <c r="L580" i="20"/>
  <c r="L582" i="20"/>
  <c r="L586" i="20"/>
  <c r="L590" i="20"/>
  <c r="L594" i="20"/>
  <c r="L602" i="20"/>
  <c r="L607" i="20"/>
  <c r="L610" i="20"/>
  <c r="L621" i="20"/>
  <c r="L624" i="20"/>
  <c r="L628" i="20"/>
  <c r="L632" i="20"/>
  <c r="L636" i="20"/>
  <c r="L638" i="20"/>
  <c r="L642" i="20"/>
  <c r="L646" i="20"/>
  <c r="L651" i="20"/>
  <c r="L658" i="20"/>
  <c r="L660" i="20"/>
  <c r="L666" i="20"/>
  <c r="L670" i="20"/>
  <c r="L673" i="20"/>
  <c r="L677" i="20"/>
  <c r="L681" i="20"/>
  <c r="L686" i="20"/>
  <c r="L688" i="20"/>
  <c r="L692" i="20"/>
  <c r="L700" i="20"/>
  <c r="L702" i="20"/>
  <c r="L705" i="20"/>
  <c r="L704" i="20" s="1"/>
  <c r="L714" i="20"/>
  <c r="L716" i="20"/>
  <c r="L720" i="20"/>
  <c r="L722" i="20"/>
  <c r="L726" i="20"/>
  <c r="L725" i="20" s="1"/>
  <c r="L735" i="20"/>
  <c r="L742" i="20"/>
  <c r="L748" i="20"/>
  <c r="L751" i="20"/>
  <c r="L754" i="20"/>
  <c r="L756" i="20"/>
  <c r="L758" i="20"/>
  <c r="L761" i="20"/>
  <c r="L763" i="20"/>
  <c r="L765" i="20"/>
  <c r="L768" i="20"/>
  <c r="L771" i="20"/>
  <c r="L775" i="20"/>
  <c r="L778" i="20"/>
  <c r="L782" i="20"/>
  <c r="L785" i="20"/>
  <c r="L789" i="20"/>
  <c r="L793" i="20"/>
  <c r="L797" i="20"/>
  <c r="L800" i="20"/>
  <c r="L804" i="20"/>
  <c r="L810" i="20"/>
  <c r="L813" i="20"/>
  <c r="L817" i="20"/>
  <c r="L820" i="20"/>
  <c r="L825" i="20"/>
  <c r="L827" i="20"/>
  <c r="L831" i="20"/>
  <c r="L834" i="20"/>
  <c r="L838" i="20"/>
  <c r="L837" i="20" s="1"/>
  <c r="L847" i="20"/>
  <c r="L854" i="20"/>
  <c r="L861" i="20"/>
  <c r="L863" i="20"/>
  <c r="L866" i="20"/>
  <c r="L868" i="20"/>
  <c r="L874" i="20"/>
  <c r="L876" i="20"/>
  <c r="L881" i="20"/>
  <c r="L884" i="20"/>
  <c r="L888" i="20"/>
  <c r="L890" i="20"/>
  <c r="L894" i="20"/>
  <c r="L897" i="20"/>
  <c r="L901" i="20"/>
  <c r="L904" i="20"/>
  <c r="L909" i="20"/>
  <c r="L912" i="20"/>
  <c r="L916" i="20"/>
  <c r="L918" i="20"/>
  <c r="L923" i="20"/>
  <c r="L930" i="20"/>
  <c r="L933" i="20"/>
  <c r="L937" i="20"/>
  <c r="L940" i="20"/>
  <c r="L943" i="20"/>
  <c r="L946" i="20"/>
  <c r="L950" i="20"/>
  <c r="L953" i="20"/>
  <c r="L957" i="20"/>
  <c r="L959" i="20"/>
  <c r="L966" i="20"/>
  <c r="L971" i="20"/>
  <c r="L973" i="20"/>
  <c r="L975" i="20"/>
  <c r="L979" i="20"/>
  <c r="L981" i="20"/>
  <c r="L985" i="20"/>
  <c r="L987" i="20"/>
  <c r="L989" i="20"/>
  <c r="L992" i="20"/>
  <c r="L994" i="20"/>
  <c r="L996" i="20"/>
  <c r="L1000" i="20"/>
  <c r="L1003" i="20"/>
  <c r="L1008" i="20"/>
  <c r="L1015" i="20"/>
  <c r="L1022" i="20"/>
  <c r="L1024" i="20"/>
  <c r="L1028" i="20"/>
  <c r="L1031" i="20"/>
  <c r="L1034" i="20"/>
  <c r="L1033" i="20" s="1"/>
  <c r="L1042" i="20"/>
  <c r="L1045" i="20"/>
  <c r="L1049" i="20"/>
  <c r="L1052" i="20"/>
  <c r="L1055" i="20"/>
  <c r="L1058" i="20"/>
  <c r="L1062" i="20"/>
  <c r="L1065" i="20"/>
  <c r="L1069" i="20"/>
  <c r="L1071" i="20"/>
  <c r="L1073" i="20"/>
  <c r="L1077" i="20"/>
  <c r="L1079" i="20"/>
  <c r="L1084" i="20"/>
  <c r="L1086" i="20"/>
  <c r="L1091" i="20"/>
  <c r="L1094" i="20"/>
  <c r="L1097" i="20"/>
  <c r="L1099" i="20"/>
  <c r="L1101" i="20"/>
  <c r="L1105" i="20"/>
  <c r="L1107" i="20"/>
  <c r="L1108" i="20"/>
  <c r="L1111" i="20"/>
  <c r="L1113" i="20"/>
  <c r="L1119" i="20"/>
  <c r="L1121" i="20"/>
  <c r="L1122" i="20"/>
  <c r="L1125" i="20"/>
  <c r="L1128" i="20"/>
  <c r="L1133" i="20"/>
  <c r="L1135" i="20"/>
  <c r="L1141" i="20"/>
  <c r="L1143" i="20"/>
  <c r="L1146" i="20"/>
  <c r="L1148" i="20"/>
  <c r="L1154" i="20"/>
  <c r="L1156" i="20"/>
  <c r="L1167" i="20"/>
  <c r="L1169" i="20"/>
  <c r="L1170" i="20"/>
  <c r="L1171" i="20"/>
  <c r="L1174" i="20"/>
  <c r="L1176" i="20"/>
  <c r="L1177" i="20"/>
  <c r="L1181" i="20"/>
  <c r="L1183" i="20"/>
  <c r="L1184" i="20"/>
  <c r="L1185" i="20"/>
  <c r="L1188" i="20"/>
  <c r="L1190" i="20"/>
  <c r="L1192" i="20"/>
  <c r="L1195" i="20"/>
  <c r="L1197" i="20"/>
  <c r="L1199" i="20"/>
  <c r="L1202" i="20"/>
  <c r="L1204" i="20"/>
  <c r="L1206" i="20"/>
  <c r="L1209" i="20"/>
  <c r="L1212" i="20"/>
  <c r="L1217" i="20"/>
  <c r="L1218" i="20"/>
  <c r="L1219" i="20"/>
  <c r="L1220" i="20"/>
  <c r="L1224" i="20"/>
  <c r="L1226" i="20"/>
  <c r="L1232" i="20"/>
  <c r="L1234" i="20"/>
  <c r="L1237" i="20"/>
  <c r="L1239" i="20"/>
  <c r="L1241" i="20"/>
  <c r="L1244" i="20"/>
  <c r="L1246" i="20"/>
  <c r="L1248" i="20"/>
  <c r="L1251" i="20"/>
  <c r="L1254" i="20"/>
  <c r="L1260" i="20"/>
  <c r="L1262" i="20"/>
  <c r="L1265" i="20"/>
  <c r="L1267" i="20"/>
  <c r="L1269" i="20"/>
  <c r="L1272" i="20"/>
  <c r="L1275" i="20"/>
  <c r="L1281" i="20"/>
  <c r="L1287" i="20"/>
  <c r="L1289" i="20"/>
  <c r="L1290" i="20"/>
  <c r="L1294" i="20"/>
  <c r="L1295" i="20"/>
  <c r="L1301" i="20"/>
  <c r="L1304" i="20"/>
  <c r="L1307" i="20"/>
  <c r="L1309" i="20"/>
  <c r="L1311" i="20"/>
  <c r="L1315" i="20"/>
  <c r="L1316" i="20"/>
  <c r="L1323" i="20"/>
  <c r="L1325" i="20"/>
  <c r="L1328" i="20"/>
  <c r="L1330" i="20"/>
  <c r="L1332" i="20"/>
  <c r="L1335" i="20"/>
  <c r="L1338" i="20"/>
  <c r="L1343" i="20"/>
  <c r="L1345" i="20"/>
  <c r="L1350" i="20"/>
  <c r="L1351" i="20"/>
  <c r="L1352" i="20"/>
  <c r="L1357" i="20"/>
  <c r="L1360" i="20"/>
  <c r="L1363" i="20"/>
  <c r="L1365" i="20"/>
  <c r="L1367" i="20"/>
  <c r="L1370" i="20"/>
  <c r="L1373" i="20"/>
  <c r="L1379" i="20"/>
  <c r="L1381" i="20"/>
  <c r="L1384" i="20"/>
  <c r="L1386" i="20"/>
  <c r="L1388" i="20"/>
  <c r="L1392" i="20"/>
  <c r="L1393" i="20"/>
  <c r="L1395" i="20"/>
  <c r="L1398" i="20"/>
  <c r="L1400" i="20"/>
  <c r="L1402" i="20"/>
  <c r="L1405" i="20"/>
  <c r="L1407" i="20"/>
  <c r="L1409" i="20"/>
  <c r="L1412" i="20"/>
  <c r="L1414" i="20"/>
  <c r="L1420" i="20"/>
  <c r="L1422" i="20"/>
  <c r="L1428" i="20"/>
  <c r="L1430" i="20"/>
  <c r="L1433" i="20"/>
  <c r="L1435" i="20"/>
  <c r="L1441" i="20"/>
  <c r="L1443" i="20"/>
  <c r="L1448" i="20"/>
  <c r="L1450" i="20"/>
  <c r="L1451" i="20"/>
  <c r="L1454" i="20"/>
  <c r="L1456" i="20"/>
  <c r="L1458" i="20"/>
  <c r="L1462" i="20"/>
  <c r="L1464" i="20"/>
  <c r="L1468" i="20"/>
  <c r="L1470" i="20"/>
  <c r="L1472" i="20"/>
  <c r="L1475" i="20"/>
  <c r="L1478" i="20"/>
  <c r="L1483" i="20"/>
  <c r="L1485" i="20"/>
  <c r="L1489" i="20"/>
  <c r="L1491" i="20"/>
  <c r="L1493" i="20"/>
  <c r="L1496" i="20"/>
  <c r="L1499" i="20"/>
  <c r="L1500" i="20"/>
  <c r="L1504" i="20"/>
  <c r="L1506" i="20"/>
  <c r="L1507" i="20"/>
  <c r="L1511" i="20"/>
  <c r="L1512" i="20"/>
  <c r="L1514" i="20"/>
  <c r="L1518" i="20"/>
  <c r="L1521" i="20"/>
  <c r="L1524" i="20"/>
  <c r="L1526" i="20"/>
  <c r="L1528" i="20"/>
  <c r="L1531" i="20"/>
  <c r="L1534" i="20"/>
  <c r="L1540" i="20"/>
  <c r="L1542" i="20"/>
  <c r="L1545" i="20"/>
  <c r="L1548" i="20"/>
  <c r="L1549" i="20"/>
  <c r="L1553" i="20"/>
  <c r="L1555" i="20"/>
  <c r="L1556" i="20"/>
  <c r="L1559" i="20"/>
  <c r="L1560" i="20"/>
  <c r="L1561" i="20"/>
  <c r="L1562" i="20"/>
  <c r="L1563" i="20"/>
  <c r="L1567" i="20"/>
  <c r="L1569" i="20"/>
  <c r="L1582" i="20"/>
  <c r="L1584" i="20"/>
  <c r="L1587" i="20"/>
  <c r="L1589" i="20"/>
  <c r="L1595" i="20"/>
  <c r="L1596" i="20"/>
  <c r="L1598" i="20"/>
  <c r="L1602" i="20"/>
  <c r="L1603" i="20"/>
  <c r="L1605" i="20"/>
  <c r="L1608" i="20"/>
  <c r="L1610" i="20"/>
  <c r="L1612" i="20"/>
  <c r="L1615" i="20"/>
  <c r="L1617" i="20"/>
  <c r="L1476" i="20"/>
  <c r="L1471" i="20"/>
  <c r="L1469" i="20"/>
  <c r="L1465" i="20"/>
  <c r="L1463" i="20"/>
  <c r="L1461" i="20"/>
  <c r="L1460" i="20" s="1"/>
  <c r="L1457" i="20"/>
  <c r="L1455" i="20"/>
  <c r="L1449" i="20"/>
  <c r="L1447" i="20"/>
  <c r="L1446" i="20" s="1"/>
  <c r="L1444" i="20"/>
  <c r="L1442" i="20"/>
  <c r="L1440" i="20"/>
  <c r="L1439" i="20" s="1"/>
  <c r="L1437" i="20"/>
  <c r="L1436" i="20"/>
  <c r="L1434" i="20"/>
  <c r="L1429" i="20"/>
  <c r="L1427" i="20"/>
  <c r="L1426" i="20"/>
  <c r="L1425" i="20" s="1"/>
  <c r="L1423" i="20"/>
  <c r="L1421" i="20"/>
  <c r="L1419" i="20"/>
  <c r="L1418" i="20" s="1"/>
  <c r="L1416" i="20"/>
  <c r="L1415" i="20"/>
  <c r="L1413" i="20"/>
  <c r="L1408" i="20"/>
  <c r="L1406" i="20"/>
  <c r="L1401" i="20"/>
  <c r="L1399" i="20"/>
  <c r="L1394" i="20"/>
  <c r="L1391" i="20"/>
  <c r="L1390" i="20" s="1"/>
  <c r="L1387" i="20"/>
  <c r="L1385" i="20"/>
  <c r="L1380" i="20"/>
  <c r="L1378" i="20"/>
  <c r="L1377" i="20"/>
  <c r="L1376" i="20" s="1"/>
  <c r="L1374" i="20"/>
  <c r="L1372" i="20"/>
  <c r="L1371" i="20"/>
  <c r="L1366" i="20"/>
  <c r="L1364" i="20"/>
  <c r="L1359" i="20"/>
  <c r="L1358" i="20"/>
  <c r="L1356" i="20"/>
  <c r="L1355" i="20" s="1"/>
  <c r="L1353" i="20"/>
  <c r="L1349" i="20"/>
  <c r="L1348" i="20" s="1"/>
  <c r="L1346" i="20"/>
  <c r="L1344" i="20"/>
  <c r="L1342" i="20"/>
  <c r="L1341" i="20" s="1"/>
  <c r="L1339" i="20"/>
  <c r="L1337" i="20"/>
  <c r="L1336" i="20"/>
  <c r="L1331" i="20"/>
  <c r="L1329" i="20"/>
  <c r="L1324" i="20"/>
  <c r="L1322" i="20"/>
  <c r="L1321" i="20"/>
  <c r="L1320" i="20" s="1"/>
  <c r="L1318" i="20"/>
  <c r="L1317" i="20"/>
  <c r="L1314" i="20"/>
  <c r="L1313" i="20" s="1"/>
  <c r="L1310" i="20"/>
  <c r="L1308" i="20"/>
  <c r="L1303" i="20"/>
  <c r="L1302" i="20"/>
  <c r="L1300" i="20"/>
  <c r="L1299" i="20" s="1"/>
  <c r="L1297" i="20"/>
  <c r="L1296" i="20"/>
  <c r="L1293" i="20"/>
  <c r="L1292" i="20" s="1"/>
  <c r="L1288" i="20"/>
  <c r="L1286" i="20"/>
  <c r="L1285" i="20" s="1"/>
  <c r="L1283" i="20"/>
  <c r="L1282" i="20"/>
  <c r="L1280" i="20"/>
  <c r="L1279" i="20"/>
  <c r="L1278" i="20" s="1"/>
  <c r="L1276" i="20"/>
  <c r="L1274" i="20"/>
  <c r="L1273" i="20"/>
  <c r="L258" i="20"/>
  <c r="L1268" i="20"/>
  <c r="L1266" i="20"/>
  <c r="L1261" i="20"/>
  <c r="L1259" i="20"/>
  <c r="L1258" i="20"/>
  <c r="L1257" i="20" s="1"/>
  <c r="L1255" i="20"/>
  <c r="L1253" i="20"/>
  <c r="L1252" i="20"/>
  <c r="L1247" i="20"/>
  <c r="L1245" i="20"/>
  <c r="L1240" i="20"/>
  <c r="L1238" i="20"/>
  <c r="L1233" i="20"/>
  <c r="L1231" i="20"/>
  <c r="L1230" i="20"/>
  <c r="L1229" i="20" s="1"/>
  <c r="L1227" i="20"/>
  <c r="L1225" i="20"/>
  <c r="L1223" i="20"/>
  <c r="L1222" i="20" s="1"/>
  <c r="L1216" i="20"/>
  <c r="L1215" i="20" s="1"/>
  <c r="L1213" i="20"/>
  <c r="L1211" i="20"/>
  <c r="L1210" i="20"/>
  <c r="L1205" i="20"/>
  <c r="L1203" i="20"/>
  <c r="L1198" i="20"/>
  <c r="L1196" i="20"/>
  <c r="L1191" i="20"/>
  <c r="L1189" i="20"/>
  <c r="L1182" i="20"/>
  <c r="L251" i="20"/>
  <c r="L246" i="20"/>
  <c r="L230" i="20"/>
  <c r="L225" i="20"/>
  <c r="L222" i="20"/>
  <c r="L221" i="20" s="1"/>
  <c r="L217" i="20"/>
  <c r="L212" i="20"/>
  <c r="L210" i="20"/>
  <c r="L204" i="20"/>
  <c r="L195" i="20"/>
  <c r="L190" i="20"/>
  <c r="L187" i="20"/>
  <c r="L186" i="20" s="1"/>
  <c r="L183" i="20"/>
  <c r="L167" i="20"/>
  <c r="L161" i="20"/>
  <c r="L153" i="20"/>
  <c r="L148" i="20"/>
  <c r="L142" i="20"/>
  <c r="L139" i="20"/>
  <c r="L138" i="20"/>
  <c r="L137" i="20" s="1"/>
  <c r="L133" i="20"/>
  <c r="L125" i="20"/>
  <c r="L120" i="20"/>
  <c r="L117" i="20"/>
  <c r="L116" i="20" s="1"/>
  <c r="L113" i="20"/>
  <c r="L104" i="20"/>
  <c r="L100" i="20"/>
  <c r="L97" i="20"/>
  <c r="L93" i="20"/>
  <c r="L91" i="20"/>
  <c r="L84" i="20"/>
  <c r="L79" i="20"/>
  <c r="L76" i="20"/>
  <c r="L71" i="20"/>
  <c r="L68" i="20"/>
  <c r="L67" i="20" s="1"/>
  <c r="L64" i="20"/>
  <c r="L61" i="20"/>
  <c r="L60" i="20" s="1"/>
  <c r="L55" i="20"/>
  <c r="L51" i="20"/>
  <c r="L48" i="20"/>
  <c r="L43" i="20"/>
  <c r="L33" i="20"/>
  <c r="L32" i="20" s="1"/>
  <c r="L28" i="20"/>
  <c r="L20" i="20"/>
  <c r="L15" i="20"/>
  <c r="L13" i="20"/>
  <c r="L8" i="20"/>
  <c r="L1164" i="20"/>
  <c r="L1554" i="20"/>
  <c r="L1552" i="20"/>
  <c r="L1551" i="20" s="1"/>
  <c r="L1547" i="20"/>
  <c r="L1546" i="20"/>
  <c r="L1541" i="20"/>
  <c r="L1539" i="20"/>
  <c r="L1538" i="20"/>
  <c r="L1537" i="20" s="1"/>
  <c r="L1535" i="20"/>
  <c r="L1533" i="20"/>
  <c r="L1532" i="20"/>
  <c r="L1527" i="20"/>
  <c r="L1525" i="20"/>
  <c r="L1520" i="20"/>
  <c r="L1519" i="20"/>
  <c r="L1517" i="20"/>
  <c r="L1516" i="20" s="1"/>
  <c r="L1513" i="20"/>
  <c r="L1510" i="20"/>
  <c r="L1509" i="20" s="1"/>
  <c r="L1505" i="20"/>
  <c r="L1503" i="20"/>
  <c r="L1502" i="20" s="1"/>
  <c r="L1498" i="20"/>
  <c r="L1497" i="20"/>
  <c r="L1492" i="20"/>
  <c r="L1490" i="20"/>
  <c r="L1486" i="20"/>
  <c r="L1484" i="20"/>
  <c r="L1482" i="20"/>
  <c r="L1481" i="20" s="1"/>
  <c r="L1479" i="20"/>
  <c r="L1477" i="20"/>
  <c r="K995" i="20"/>
  <c r="K1010" i="20"/>
  <c r="K1016" i="20"/>
  <c r="K1020" i="20"/>
  <c r="K1024" i="20"/>
  <c r="K1030" i="20"/>
  <c r="K1034" i="20"/>
  <c r="K1041" i="20"/>
  <c r="K1045" i="20"/>
  <c r="K1050" i="20"/>
  <c r="K1056" i="20"/>
  <c r="K1063" i="20"/>
  <c r="K1069" i="20"/>
  <c r="K1076" i="20"/>
  <c r="K1087" i="20"/>
  <c r="K1100" i="20"/>
  <c r="K1106" i="20"/>
  <c r="K1112" i="20"/>
  <c r="K1118" i="20"/>
  <c r="K1122" i="20"/>
  <c r="K1128" i="20"/>
  <c r="K1136" i="20"/>
  <c r="K1142" i="20"/>
  <c r="K1148" i="20"/>
  <c r="K1145" i="20" s="1"/>
  <c r="K1154" i="20"/>
  <c r="K1164" i="20"/>
  <c r="K1170" i="20"/>
  <c r="K1177" i="20"/>
  <c r="K1183" i="20"/>
  <c r="K1189" i="20"/>
  <c r="K1196" i="20"/>
  <c r="K1213" i="20"/>
  <c r="K1218" i="20"/>
  <c r="K1223" i="20"/>
  <c r="K1227" i="20"/>
  <c r="K1233" i="20"/>
  <c r="K1239" i="20"/>
  <c r="K1245" i="20"/>
  <c r="K1251" i="20"/>
  <c r="K1255" i="20"/>
  <c r="K1260" i="20"/>
  <c r="K1268" i="20"/>
  <c r="K1275" i="20"/>
  <c r="K1280" i="20"/>
  <c r="K1288" i="20"/>
  <c r="K1304" i="20"/>
  <c r="K1310" i="20"/>
  <c r="K1316" i="20"/>
  <c r="K1324" i="20"/>
  <c r="K1330" i="20"/>
  <c r="K1336" i="20"/>
  <c r="K1343" i="20"/>
  <c r="K1350" i="20"/>
  <c r="K1356" i="20"/>
  <c r="K1386" i="20"/>
  <c r="K1395" i="20"/>
  <c r="K1406" i="20"/>
  <c r="K1412" i="20"/>
  <c r="K1415" i="20"/>
  <c r="K1421" i="20"/>
  <c r="K1426" i="20"/>
  <c r="K1429" i="20"/>
  <c r="K1434" i="20"/>
  <c r="K1437" i="20"/>
  <c r="K1442" i="20"/>
  <c r="K1448" i="20"/>
  <c r="K1464" i="20"/>
  <c r="K1470" i="20"/>
  <c r="K1476" i="20"/>
  <c r="K1478" i="20"/>
  <c r="K1484" i="20"/>
  <c r="K1493" i="20"/>
  <c r="K1498" i="20"/>
  <c r="K1513" i="20"/>
  <c r="K1527" i="20"/>
  <c r="K1531" i="20"/>
  <c r="K1538" i="20"/>
  <c r="K1541" i="20"/>
  <c r="K1545" i="20"/>
  <c r="K1555" i="20"/>
  <c r="K1559" i="20"/>
  <c r="K1562" i="20"/>
  <c r="K1568" i="20"/>
  <c r="K1573" i="20"/>
  <c r="K1582" i="20"/>
  <c r="K1588" i="20"/>
  <c r="K1596" i="20"/>
  <c r="K1601" i="20"/>
  <c r="K1611" i="20"/>
  <c r="K1617" i="20"/>
  <c r="K13" i="20"/>
  <c r="K11" i="20" s="1"/>
  <c r="K50" i="20"/>
  <c r="K46" i="20" s="1"/>
  <c r="K55" i="20"/>
  <c r="K61" i="20"/>
  <c r="K70" i="20"/>
  <c r="K75" i="20"/>
  <c r="K79" i="20"/>
  <c r="K84" i="20"/>
  <c r="K90" i="20"/>
  <c r="K88" i="20" s="1"/>
  <c r="K100" i="20"/>
  <c r="K95" i="20" s="1"/>
  <c r="K105" i="20"/>
  <c r="K110" i="20"/>
  <c r="K114" i="20"/>
  <c r="K119" i="20"/>
  <c r="K125" i="20"/>
  <c r="K131" i="20"/>
  <c r="K155" i="20"/>
  <c r="K151" i="20" s="1"/>
  <c r="K161" i="20"/>
  <c r="K158" i="20" s="1"/>
  <c r="K166" i="20"/>
  <c r="K170" i="20"/>
  <c r="K175" i="20"/>
  <c r="K189" i="20"/>
  <c r="K196" i="20"/>
  <c r="K201" i="20"/>
  <c r="K205" i="20"/>
  <c r="K211" i="20"/>
  <c r="K219" i="20"/>
  <c r="K214" i="20" s="1"/>
  <c r="K239" i="20"/>
  <c r="K246" i="20"/>
  <c r="K251" i="20"/>
  <c r="K257" i="20"/>
  <c r="K261" i="20"/>
  <c r="K266" i="20"/>
  <c r="K273" i="20"/>
  <c r="K288" i="20"/>
  <c r="K299" i="20"/>
  <c r="K303" i="20"/>
  <c r="K309" i="20"/>
  <c r="K315" i="20"/>
  <c r="K322" i="20"/>
  <c r="K327" i="20"/>
  <c r="K331" i="20"/>
  <c r="K335" i="20"/>
  <c r="K341" i="20"/>
  <c r="K345" i="20"/>
  <c r="K350" i="20"/>
  <c r="K356" i="20"/>
  <c r="K354" i="20" s="1"/>
  <c r="K362" i="20"/>
  <c r="K366" i="20"/>
  <c r="K372" i="20"/>
  <c r="K377" i="20"/>
  <c r="K384" i="20"/>
  <c r="K390" i="20"/>
  <c r="K400" i="20"/>
  <c r="K407" i="20"/>
  <c r="K413" i="20"/>
  <c r="K419" i="20"/>
  <c r="K425" i="20"/>
  <c r="K429" i="20"/>
  <c r="K433" i="20"/>
  <c r="K439" i="20"/>
  <c r="K457" i="20"/>
  <c r="K469" i="20"/>
  <c r="K474" i="20"/>
  <c r="K478" i="20"/>
  <c r="K485" i="20"/>
  <c r="K498" i="20"/>
  <c r="K503" i="20"/>
  <c r="K509" i="20"/>
  <c r="K513" i="20"/>
  <c r="K519" i="20"/>
  <c r="K524" i="20"/>
  <c r="K530" i="20"/>
  <c r="K537" i="20"/>
  <c r="K541" i="20"/>
  <c r="K547" i="20"/>
  <c r="K560" i="20"/>
  <c r="K566" i="20"/>
  <c r="K569" i="20"/>
  <c r="K575" i="20"/>
  <c r="K579" i="20"/>
  <c r="K588" i="20"/>
  <c r="K595" i="20"/>
  <c r="K601" i="20"/>
  <c r="K607" i="20"/>
  <c r="K611" i="20"/>
  <c r="K617" i="20"/>
  <c r="K624" i="20"/>
  <c r="K630" i="20"/>
  <c r="K636" i="20"/>
  <c r="K639" i="20"/>
  <c r="K646" i="20"/>
  <c r="K652" i="20"/>
  <c r="K656" i="20"/>
  <c r="K666" i="20"/>
  <c r="K671" i="20"/>
  <c r="K680" i="20"/>
  <c r="K685" i="20"/>
  <c r="K698" i="20"/>
  <c r="K715" i="20"/>
  <c r="K720" i="20"/>
  <c r="K726" i="20"/>
  <c r="K735" i="20"/>
  <c r="K740" i="20"/>
  <c r="K751" i="20"/>
  <c r="K756" i="20"/>
  <c r="K761" i="20"/>
  <c r="K771" i="20"/>
  <c r="K777" i="20"/>
  <c r="K783" i="20"/>
  <c r="K789" i="20"/>
  <c r="K793" i="20"/>
  <c r="K807" i="20"/>
  <c r="K813" i="20"/>
  <c r="K820" i="20"/>
  <c r="K827" i="20"/>
  <c r="K833" i="20"/>
  <c r="K839" i="20"/>
  <c r="K845" i="20"/>
  <c r="K849" i="20"/>
  <c r="K854" i="20"/>
  <c r="K860" i="20"/>
  <c r="K863" i="20"/>
  <c r="K868" i="20"/>
  <c r="K874" i="20"/>
  <c r="K881" i="20"/>
  <c r="K887" i="20"/>
  <c r="K898" i="20"/>
  <c r="K903" i="20"/>
  <c r="K912" i="20"/>
  <c r="K918" i="20"/>
  <c r="K922" i="20"/>
  <c r="K926" i="20"/>
  <c r="K931" i="20"/>
  <c r="K939" i="20"/>
  <c r="K947" i="20"/>
  <c r="K961" i="20"/>
  <c r="K975" i="20"/>
  <c r="K978" i="20"/>
  <c r="K982" i="20"/>
  <c r="K987" i="20"/>
  <c r="K992" i="20"/>
  <c r="K996" i="20"/>
  <c r="K1000" i="20"/>
  <c r="K1008" i="20"/>
  <c r="K1015" i="20"/>
  <c r="K1049" i="20"/>
  <c r="K1047" i="20" s="1"/>
  <c r="K1055" i="20"/>
  <c r="K1066" i="20"/>
  <c r="K1080" i="20"/>
  <c r="K1086" i="20"/>
  <c r="K1092" i="20"/>
  <c r="K1097" i="20"/>
  <c r="K1101" i="20"/>
  <c r="K1114" i="20"/>
  <c r="K1120" i="20"/>
  <c r="K1126" i="20"/>
  <c r="K1132" i="20"/>
  <c r="K1155" i="20"/>
  <c r="K1162" i="20"/>
  <c r="K1167" i="20"/>
  <c r="K1171" i="20"/>
  <c r="K1176" i="20"/>
  <c r="K1182" i="20"/>
  <c r="K1185" i="20"/>
  <c r="K1190" i="20"/>
  <c r="K1195" i="20"/>
  <c r="K1199" i="20"/>
  <c r="K1205" i="20"/>
  <c r="K1210" i="20"/>
  <c r="K1217" i="20"/>
  <c r="K1224" i="20"/>
  <c r="K1230" i="20"/>
  <c r="K1234" i="20"/>
  <c r="K1241" i="20"/>
  <c r="K1247" i="20"/>
  <c r="K1252" i="20"/>
  <c r="K1261" i="20"/>
  <c r="K1267" i="20"/>
  <c r="K1273" i="20"/>
  <c r="K1279" i="20"/>
  <c r="K1297" i="20"/>
  <c r="K1311" i="20"/>
  <c r="K1315" i="20"/>
  <c r="K1321" i="20"/>
  <c r="K1325" i="20"/>
  <c r="K1331" i="20"/>
  <c r="K1337" i="20"/>
  <c r="K1342" i="20"/>
  <c r="K1346" i="20"/>
  <c r="K1349" i="20"/>
  <c r="K1353" i="20"/>
  <c r="K1358" i="20"/>
  <c r="K1364" i="20"/>
  <c r="K1370" i="20"/>
  <c r="K1373" i="20"/>
  <c r="K1374" i="20"/>
  <c r="K1379" i="20"/>
  <c r="K1376" i="20" s="1"/>
  <c r="K1394" i="20"/>
  <c r="K1400" i="20"/>
  <c r="K1405" i="20"/>
  <c r="K1409" i="20"/>
  <c r="K1416" i="20"/>
  <c r="K1456" i="20"/>
  <c r="K1462" i="20"/>
  <c r="K1468" i="20"/>
  <c r="K1475" i="20"/>
  <c r="K1486" i="20"/>
  <c r="K1491" i="20"/>
  <c r="K1496" i="20"/>
  <c r="K1503" i="20"/>
  <c r="K1507" i="20"/>
  <c r="K1518" i="20"/>
  <c r="K1521" i="20"/>
  <c r="K1528" i="20"/>
  <c r="K1532" i="20"/>
  <c r="K1535" i="20"/>
  <c r="K1540" i="20"/>
  <c r="K1548" i="20"/>
  <c r="K1554" i="20"/>
  <c r="K1560" i="20"/>
  <c r="K1563" i="20"/>
  <c r="K1567" i="20"/>
  <c r="K1570" i="20"/>
  <c r="K1575" i="20"/>
  <c r="K1580" i="20"/>
  <c r="K1587" i="20"/>
  <c r="K1590" i="20"/>
  <c r="K1594" i="20"/>
  <c r="K1597" i="20"/>
  <c r="K1602" i="20"/>
  <c r="K1605" i="20"/>
  <c r="K1610" i="20"/>
  <c r="K1615" i="20"/>
  <c r="K1618" i="20"/>
  <c r="K1616" i="20"/>
  <c r="K1612" i="20"/>
  <c r="K1608" i="20"/>
  <c r="K1604" i="20"/>
  <c r="K1589" i="20"/>
  <c r="K1584" i="20"/>
  <c r="K1583" i="20"/>
  <c r="K1577" i="20"/>
  <c r="K1574" i="20"/>
  <c r="K1569" i="20"/>
  <c r="K1566" i="20"/>
  <c r="K1565" i="20" s="1"/>
  <c r="K1561" i="20"/>
  <c r="K1553" i="20"/>
  <c r="K1551" i="20" s="1"/>
  <c r="K1549" i="20"/>
  <c r="K1546" i="20"/>
  <c r="K1542" i="20"/>
  <c r="K1539" i="20"/>
  <c r="K1534" i="20"/>
  <c r="K1526" i="20"/>
  <c r="K1517" i="20"/>
  <c r="K1512" i="20"/>
  <c r="K1509" i="20" s="1"/>
  <c r="K1506" i="20"/>
  <c r="K1497" i="20"/>
  <c r="K1492" i="20"/>
  <c r="K1482" i="20"/>
  <c r="K1477" i="20"/>
  <c r="K1471" i="20"/>
  <c r="K1469" i="20"/>
  <c r="K1463" i="20"/>
  <c r="K1458" i="20"/>
  <c r="K1455" i="20"/>
  <c r="K1453" i="20" s="1"/>
  <c r="K1451" i="20"/>
  <c r="K1447" i="20"/>
  <c r="K1443" i="20"/>
  <c r="K1433" i="20"/>
  <c r="K1419" i="20"/>
  <c r="K1413" i="20"/>
  <c r="K1407" i="20"/>
  <c r="K1402" i="20"/>
  <c r="K1399" i="20"/>
  <c r="K1393" i="20"/>
  <c r="K1390" i="20" s="1"/>
  <c r="K1388" i="20"/>
  <c r="K1384" i="20"/>
  <c r="K1372" i="20"/>
  <c r="K1365" i="20"/>
  <c r="K1360" i="20"/>
  <c r="K1345" i="20"/>
  <c r="K1339" i="20"/>
  <c r="K1335" i="20"/>
  <c r="K1329" i="20"/>
  <c r="K1323" i="20"/>
  <c r="K1318" i="20"/>
  <c r="K1314" i="20"/>
  <c r="K1309" i="20"/>
  <c r="K1306" i="20" s="1"/>
  <c r="K1301" i="20"/>
  <c r="K1296" i="20"/>
  <c r="K1293" i="20"/>
  <c r="K1287" i="20"/>
  <c r="K1285" i="20" s="1"/>
  <c r="K1281" i="20"/>
  <c r="K1272" i="20"/>
  <c r="K1266" i="20"/>
  <c r="K1262" i="20"/>
  <c r="K1258" i="20"/>
  <c r="K1253" i="20"/>
  <c r="K1246" i="20"/>
  <c r="K1240" i="20"/>
  <c r="K1216" i="20"/>
  <c r="K1211" i="20"/>
  <c r="K1204" i="20"/>
  <c r="K1201" i="20" s="1"/>
  <c r="K1184" i="20"/>
  <c r="K1178" i="20"/>
  <c r="K1174" i="20"/>
  <c r="K1169" i="20"/>
  <c r="K1163" i="20"/>
  <c r="K1160" i="20"/>
  <c r="K1143" i="20"/>
  <c r="K1139" i="20"/>
  <c r="K1133" i="20"/>
  <c r="K1127" i="20"/>
  <c r="K1121" i="20"/>
  <c r="K1108" i="20"/>
  <c r="K1104" i="20"/>
  <c r="K1098" i="20"/>
  <c r="K1094" i="20"/>
  <c r="K1090" i="20"/>
  <c r="K1084" i="20"/>
  <c r="K1078" i="20"/>
  <c r="K1071" i="20"/>
  <c r="K1064" i="20"/>
  <c r="K1058" i="20"/>
  <c r="K1042" i="20"/>
  <c r="K1035" i="20"/>
  <c r="K1031" i="20"/>
  <c r="K1028" i="20"/>
  <c r="K1023" i="20"/>
  <c r="K1017" i="20"/>
  <c r="K1013" i="20"/>
  <c r="K1007" i="20"/>
  <c r="K1002" i="20"/>
  <c r="K993" i="20"/>
  <c r="K988" i="20"/>
  <c r="K985" i="20"/>
  <c r="K981" i="20"/>
  <c r="K972" i="20"/>
  <c r="K967" i="20"/>
  <c r="K963" i="20" s="1"/>
  <c r="K957" i="20"/>
  <c r="K951" i="20"/>
  <c r="K945" i="20"/>
  <c r="K943" i="20"/>
  <c r="K937" i="20"/>
  <c r="K933" i="20"/>
  <c r="K911" i="20"/>
  <c r="K901" i="20"/>
  <c r="K895" i="20"/>
  <c r="K889" i="20"/>
  <c r="K884" i="20"/>
  <c r="K880" i="20"/>
  <c r="K879" i="20" s="1"/>
  <c r="K875" i="20"/>
  <c r="K870" i="20"/>
  <c r="K867" i="20"/>
  <c r="K861" i="20"/>
  <c r="K852" i="20"/>
  <c r="K846" i="20"/>
  <c r="K840" i="20"/>
  <c r="K835" i="20"/>
  <c r="K828" i="20"/>
  <c r="K824" i="20"/>
  <c r="K812" i="20"/>
  <c r="K806" i="20"/>
  <c r="K803" i="20"/>
  <c r="K798" i="20"/>
  <c r="K792" i="20"/>
  <c r="K782" i="20"/>
  <c r="K776" i="20"/>
  <c r="K769" i="20"/>
  <c r="K767" i="20" s="1"/>
  <c r="K764" i="20"/>
  <c r="K757" i="20"/>
  <c r="K747" i="20"/>
  <c r="K741" i="20"/>
  <c r="K734" i="20"/>
  <c r="K729" i="20"/>
  <c r="K723" i="20"/>
  <c r="K716" i="20"/>
  <c r="K712" i="20"/>
  <c r="K711" i="20" s="1"/>
  <c r="K702" i="20"/>
  <c r="K692" i="20"/>
  <c r="K686" i="20"/>
  <c r="K677" i="20"/>
  <c r="K672" i="20"/>
  <c r="K667" i="20"/>
  <c r="K664" i="20"/>
  <c r="K662" i="20" s="1"/>
  <c r="K659" i="20"/>
  <c r="K642" i="20"/>
  <c r="K635" i="20"/>
  <c r="K634" i="20" s="1"/>
  <c r="K629" i="20"/>
  <c r="K623" i="20"/>
  <c r="K614" i="20"/>
  <c r="K608" i="20"/>
  <c r="K604" i="20"/>
  <c r="K600" i="20"/>
  <c r="K596" i="20"/>
  <c r="K583" i="20"/>
  <c r="K580" i="20"/>
  <c r="K574" i="20"/>
  <c r="K571" i="20" s="1"/>
  <c r="K565" i="20"/>
  <c r="K562" i="20"/>
  <c r="K554" i="20"/>
  <c r="K551" i="20"/>
  <c r="K545" i="20"/>
  <c r="K540" i="20"/>
  <c r="K532" i="20"/>
  <c r="K516" i="20"/>
  <c r="K510" i="20"/>
  <c r="K504" i="20"/>
  <c r="K497" i="20"/>
  <c r="K494" i="20" s="1"/>
  <c r="K491" i="20"/>
  <c r="K488" i="20"/>
  <c r="K483" i="20"/>
  <c r="K477" i="20"/>
  <c r="K461" i="20"/>
  <c r="K454" i="20"/>
  <c r="K449" i="20"/>
  <c r="K446" i="20"/>
  <c r="K441" i="20"/>
  <c r="K432" i="20"/>
  <c r="K427" i="20"/>
  <c r="K422" i="20"/>
  <c r="K418" i="20"/>
  <c r="K412" i="20"/>
  <c r="K406" i="20"/>
  <c r="K399" i="20"/>
  <c r="K393" i="20"/>
  <c r="K387" i="20"/>
  <c r="K383" i="20"/>
  <c r="K378" i="20"/>
  <c r="K370" i="20"/>
  <c r="K364" i="20"/>
  <c r="K359" i="20"/>
  <c r="K355" i="20"/>
  <c r="K349" i="20"/>
  <c r="K344" i="20"/>
  <c r="K337" i="20"/>
  <c r="K321" i="20"/>
  <c r="K316" i="20"/>
  <c r="K310" i="20"/>
  <c r="K306" i="20"/>
  <c r="K300" i="20"/>
  <c r="K295" i="20"/>
  <c r="K282" i="20"/>
  <c r="K278" i="20"/>
  <c r="K272" i="20"/>
  <c r="K267" i="20"/>
  <c r="K260" i="20"/>
  <c r="K236" i="20"/>
  <c r="K231" i="20"/>
  <c r="K226" i="20"/>
  <c r="K222" i="20"/>
  <c r="K217" i="20"/>
  <c r="K208" i="20"/>
  <c r="K202" i="20"/>
  <c r="K198" i="20"/>
  <c r="K182" i="20"/>
  <c r="K176" i="20"/>
  <c r="K169" i="20"/>
  <c r="K160" i="20"/>
  <c r="K156" i="20"/>
  <c r="K153" i="20"/>
  <c r="K147" i="20"/>
  <c r="K142" i="20"/>
  <c r="K138" i="20"/>
  <c r="K133" i="20"/>
  <c r="K126" i="20"/>
  <c r="K120" i="20"/>
  <c r="K112" i="20"/>
  <c r="K103" i="20"/>
  <c r="K97" i="20"/>
  <c r="K92" i="20"/>
  <c r="K86" i="20"/>
  <c r="K82" i="20"/>
  <c r="K77" i="20"/>
  <c r="K68" i="20"/>
  <c r="K64" i="20"/>
  <c r="K58" i="20"/>
  <c r="K54" i="20"/>
  <c r="K37" i="20"/>
  <c r="K34" i="20"/>
  <c r="K29" i="20"/>
  <c r="K20" i="20"/>
  <c r="K15" i="20"/>
  <c r="K12" i="20"/>
  <c r="K8" i="20"/>
  <c r="K5" i="20"/>
  <c r="K7" i="20"/>
  <c r="K22" i="20"/>
  <c r="K27" i="20"/>
  <c r="K33" i="20"/>
  <c r="K36" i="20"/>
  <c r="K41" i="20"/>
  <c r="K44" i="20"/>
  <c r="K49" i="20"/>
  <c r="K56" i="20"/>
  <c r="K62" i="20"/>
  <c r="K76" i="20"/>
  <c r="K93" i="20"/>
  <c r="K99" i="20"/>
  <c r="K107" i="20"/>
  <c r="K113" i="20"/>
  <c r="K118" i="20"/>
  <c r="K124" i="20"/>
  <c r="K128" i="20"/>
  <c r="K134" i="20"/>
  <c r="K141" i="20"/>
  <c r="K19" i="20"/>
  <c r="K23" i="20"/>
  <c r="K28" i="20"/>
  <c r="K35" i="20"/>
  <c r="K40" i="20"/>
  <c r="K42" i="20"/>
  <c r="K47" i="20"/>
  <c r="K65" i="20"/>
  <c r="K69" i="20"/>
  <c r="K72" i="20"/>
  <c r="K78" i="20"/>
  <c r="K83" i="20"/>
  <c r="K89" i="20"/>
  <c r="K106" i="20"/>
  <c r="K121" i="20"/>
  <c r="K135" i="20"/>
  <c r="K139" i="20"/>
  <c r="K149" i="20"/>
  <c r="K163" i="20"/>
  <c r="K168" i="20"/>
  <c r="K174" i="20"/>
  <c r="K181" i="20"/>
  <c r="K187" i="20"/>
  <c r="K191" i="20"/>
  <c r="K204" i="20"/>
  <c r="K209" i="20"/>
  <c r="K218" i="20"/>
  <c r="K224" i="20"/>
  <c r="K230" i="20"/>
  <c r="K237" i="20"/>
  <c r="K244" i="20"/>
  <c r="K253" i="20"/>
  <c r="K259" i="20"/>
  <c r="K265" i="20"/>
  <c r="K271" i="20"/>
  <c r="K275" i="20"/>
  <c r="K280" i="20"/>
  <c r="K285" i="20"/>
  <c r="K289" i="20"/>
  <c r="K302" i="20"/>
  <c r="K308" i="20"/>
  <c r="K314" i="20"/>
  <c r="K320" i="20"/>
  <c r="K330" i="20"/>
  <c r="K336" i="20"/>
  <c r="K342" i="20"/>
  <c r="K348" i="20"/>
  <c r="K365" i="20"/>
  <c r="K371" i="20"/>
  <c r="K376" i="20"/>
  <c r="K380" i="20"/>
  <c r="K386" i="20"/>
  <c r="K392" i="20"/>
  <c r="K397" i="20"/>
  <c r="K401" i="20"/>
  <c r="K405" i="20"/>
  <c r="K411" i="20"/>
  <c r="K415" i="20"/>
  <c r="K421" i="20"/>
  <c r="K426" i="20"/>
  <c r="K436" i="20"/>
  <c r="K440" i="20"/>
  <c r="K447" i="20"/>
  <c r="K453" i="20"/>
  <c r="K456" i="20"/>
  <c r="K462" i="20"/>
  <c r="K467" i="20"/>
  <c r="K470" i="20"/>
  <c r="K475" i="20"/>
  <c r="K481" i="20"/>
  <c r="K484" i="20"/>
  <c r="K490" i="20"/>
  <c r="K495" i="20"/>
  <c r="K502" i="20"/>
  <c r="K512" i="20"/>
  <c r="K517" i="20"/>
  <c r="K523" i="20"/>
  <c r="K527" i="20"/>
  <c r="K533" i="20"/>
  <c r="K538" i="20"/>
  <c r="K544" i="20"/>
  <c r="K548" i="20"/>
  <c r="K553" i="20"/>
  <c r="K561" i="20"/>
  <c r="K567" i="20"/>
  <c r="K572" i="20"/>
  <c r="K582" i="20"/>
  <c r="K587" i="20"/>
  <c r="K590" i="20"/>
  <c r="K594" i="20"/>
  <c r="K602" i="20"/>
  <c r="K609" i="20"/>
  <c r="K616" i="20"/>
  <c r="K631" i="20"/>
  <c r="K644" i="20"/>
  <c r="K649" i="20"/>
  <c r="K653" i="20"/>
  <c r="K658" i="20"/>
  <c r="K663" i="20"/>
  <c r="K673" i="20"/>
  <c r="K678" i="20"/>
  <c r="K681" i="20"/>
  <c r="K688" i="20"/>
  <c r="K693" i="20"/>
  <c r="K699" i="20"/>
  <c r="K706" i="20"/>
  <c r="K709" i="20"/>
  <c r="K721" i="20"/>
  <c r="K727" i="20"/>
  <c r="K736" i="20"/>
  <c r="K742" i="20"/>
  <c r="K748" i="20"/>
  <c r="K768" i="20"/>
  <c r="K778" i="20"/>
  <c r="K786" i="20"/>
  <c r="K791" i="20"/>
  <c r="K797" i="20"/>
  <c r="K805" i="20"/>
  <c r="K810" i="20"/>
  <c r="K814" i="20"/>
  <c r="K819" i="20"/>
  <c r="K825" i="20"/>
  <c r="K831" i="20"/>
  <c r="K848" i="20"/>
  <c r="K856" i="20"/>
  <c r="K873" i="20"/>
  <c r="K890" i="20"/>
  <c r="K896" i="20"/>
  <c r="K902" i="20"/>
  <c r="K908" i="20"/>
  <c r="K917" i="20"/>
  <c r="K923" i="20"/>
  <c r="K930" i="20"/>
  <c r="K932" i="20"/>
  <c r="K946" i="20"/>
  <c r="K952" i="20"/>
  <c r="K960" i="20"/>
  <c r="K965" i="20"/>
  <c r="K971" i="20"/>
  <c r="K1001" i="20"/>
  <c r="K1006" i="20"/>
  <c r="K1022" i="20"/>
  <c r="K1027" i="20"/>
  <c r="K1037" i="20"/>
  <c r="K1044" i="20"/>
  <c r="K1051" i="20"/>
  <c r="K1057" i="20"/>
  <c r="K1062" i="20"/>
  <c r="K1072" i="20"/>
  <c r="K1077" i="20"/>
  <c r="K1083" i="20"/>
  <c r="K1093" i="20"/>
  <c r="K1099" i="20"/>
  <c r="K1105" i="20"/>
  <c r="K1111" i="20"/>
  <c r="K1115" i="20"/>
  <c r="K1129" i="20"/>
  <c r="K1135" i="20"/>
  <c r="K1141" i="20"/>
  <c r="K1147" i="20"/>
  <c r="K1149" i="20"/>
  <c r="K1153" i="20"/>
  <c r="K1156" i="20"/>
  <c r="K1161" i="20"/>
  <c r="K1168" i="20"/>
  <c r="K1175" i="20"/>
  <c r="K1181" i="20"/>
  <c r="K1188" i="20"/>
  <c r="K1192" i="20"/>
  <c r="K1198" i="20"/>
  <c r="K1203" i="20"/>
  <c r="K1209" i="20"/>
  <c r="K1220" i="20"/>
  <c r="K1226" i="20"/>
  <c r="K1232" i="20"/>
  <c r="K1238" i="20"/>
  <c r="K1244" i="20"/>
  <c r="K1265" i="20"/>
  <c r="K1276" i="20"/>
  <c r="K1283" i="20"/>
  <c r="K1289" i="20"/>
  <c r="K1294" i="20"/>
  <c r="K1300" i="20"/>
  <c r="K1303" i="20"/>
  <c r="K1308" i="20"/>
  <c r="K1317" i="20"/>
  <c r="K1322" i="20"/>
  <c r="K1328" i="20"/>
  <c r="K1332" i="20"/>
  <c r="K1352" i="20"/>
  <c r="K1357" i="20"/>
  <c r="K1363" i="20"/>
  <c r="K1366" i="20"/>
  <c r="K1371" i="20"/>
  <c r="K1378" i="20"/>
  <c r="K1381" i="20"/>
  <c r="K1387" i="20"/>
  <c r="K1392" i="20"/>
  <c r="K1398" i="20"/>
  <c r="K1408" i="20"/>
  <c r="K1422" i="20"/>
  <c r="K1427" i="20"/>
  <c r="K1435" i="20"/>
  <c r="K1441" i="20"/>
  <c r="K1450" i="20"/>
  <c r="K1461" i="20"/>
  <c r="K1483" i="20"/>
  <c r="K1489" i="20"/>
  <c r="K1499" i="20"/>
  <c r="K1504" i="20"/>
  <c r="K1511" i="20"/>
  <c r="K1514" i="20"/>
  <c r="K1519" i="20"/>
  <c r="K1524" i="20"/>
  <c r="K1533" i="20"/>
  <c r="K146" i="20"/>
  <c r="K152" i="20"/>
  <c r="K159" i="20"/>
  <c r="K177" i="20"/>
  <c r="K183" i="20"/>
  <c r="K188" i="20"/>
  <c r="K194" i="20"/>
  <c r="K197" i="20"/>
  <c r="K203" i="20"/>
  <c r="K210" i="20"/>
  <c r="K215" i="20"/>
  <c r="K225" i="20"/>
  <c r="K233" i="20"/>
  <c r="K238" i="20"/>
  <c r="K243" i="20"/>
  <c r="K247" i="20"/>
  <c r="K252" i="20"/>
  <c r="K258" i="20"/>
  <c r="K264" i="20"/>
  <c r="K268" i="20"/>
  <c r="K281" i="20"/>
  <c r="K286" i="20"/>
  <c r="K293" i="20"/>
  <c r="K296" i="20"/>
  <c r="K317" i="20"/>
  <c r="K323" i="20"/>
  <c r="K96" i="20"/>
  <c r="K1619" i="20"/>
  <c r="K1609" i="20"/>
  <c r="K1603" i="20"/>
  <c r="K1598" i="20"/>
  <c r="K1595" i="20"/>
  <c r="K1591" i="20"/>
  <c r="K1581" i="20"/>
  <c r="K1576" i="20"/>
  <c r="K1556" i="20"/>
  <c r="K1552" i="20"/>
  <c r="K1547" i="20"/>
  <c r="K1525" i="20"/>
  <c r="K1520" i="20"/>
  <c r="K1510" i="20"/>
  <c r="K1505" i="20"/>
  <c r="K1500" i="20"/>
  <c r="K1490" i="20"/>
  <c r="K1485" i="20"/>
  <c r="K1479" i="20"/>
  <c r="K1472" i="20"/>
  <c r="K1465" i="20"/>
  <c r="K1457" i="20"/>
  <c r="K1454" i="20"/>
  <c r="K1449" i="20"/>
  <c r="K1444" i="20"/>
  <c r="K1440" i="20"/>
  <c r="K1436" i="20"/>
  <c r="K1430" i="20"/>
  <c r="K1428" i="20"/>
  <c r="K1423" i="20"/>
  <c r="K1420" i="20"/>
  <c r="K1414" i="20"/>
  <c r="K1401" i="20"/>
  <c r="K1391" i="20"/>
  <c r="K1385" i="20"/>
  <c r="K1380" i="20"/>
  <c r="K1377" i="20"/>
  <c r="K1367" i="20"/>
  <c r="K1359" i="20"/>
  <c r="K1351" i="20"/>
  <c r="K1344" i="20"/>
  <c r="K1338" i="20"/>
  <c r="K1307" i="20"/>
  <c r="K1302" i="20"/>
  <c r="K1295" i="20"/>
  <c r="K1290" i="20"/>
  <c r="K1286" i="20"/>
  <c r="K1282" i="20"/>
  <c r="K1274" i="20"/>
  <c r="K1269" i="20"/>
  <c r="K1259" i="20"/>
  <c r="K1254" i="20"/>
  <c r="K1248" i="20"/>
  <c r="K1237" i="20"/>
  <c r="K1231" i="20"/>
  <c r="K1225" i="20"/>
  <c r="K1219" i="20"/>
  <c r="K1212" i="20"/>
  <c r="K1206" i="20"/>
  <c r="K1202" i="20"/>
  <c r="K1197" i="20"/>
  <c r="K1191" i="20"/>
  <c r="K1157" i="20"/>
  <c r="K1150" i="20"/>
  <c r="K1146" i="20"/>
  <c r="K1140" i="20"/>
  <c r="K1134" i="20"/>
  <c r="K1125" i="20"/>
  <c r="K1119" i="20"/>
  <c r="K1113" i="20"/>
  <c r="K1107" i="20"/>
  <c r="K1091" i="20"/>
  <c r="K1085" i="20"/>
  <c r="K1079" i="20"/>
  <c r="K1073" i="20"/>
  <c r="K1070" i="20"/>
  <c r="K1065" i="20"/>
  <c r="K1059" i="20"/>
  <c r="K1052" i="20"/>
  <c r="K1048" i="20"/>
  <c r="K1043" i="20"/>
  <c r="K1038" i="20"/>
  <c r="K1036" i="20"/>
  <c r="K1029" i="20"/>
  <c r="K1021" i="20"/>
  <c r="K1014" i="20"/>
  <c r="K1009" i="20"/>
  <c r="K1003" i="20"/>
  <c r="K999" i="20"/>
  <c r="K994" i="20"/>
  <c r="K989" i="20"/>
  <c r="K986" i="20"/>
  <c r="K980" i="20"/>
  <c r="K974" i="20"/>
  <c r="K968" i="20"/>
  <c r="K964" i="20"/>
  <c r="K958" i="20"/>
  <c r="K953" i="20"/>
  <c r="K950" i="20"/>
  <c r="K944" i="20"/>
  <c r="K940" i="20"/>
  <c r="K936" i="20"/>
  <c r="K929" i="20"/>
  <c r="K924" i="20"/>
  <c r="K919" i="20"/>
  <c r="K915" i="20"/>
  <c r="K909" i="20"/>
  <c r="K904" i="20"/>
  <c r="K897" i="20"/>
  <c r="K894" i="20"/>
  <c r="K888" i="20"/>
  <c r="K883" i="20"/>
  <c r="K876" i="20"/>
  <c r="K869" i="20"/>
  <c r="K862" i="20"/>
  <c r="K855" i="20"/>
  <c r="K842" i="20"/>
  <c r="K838" i="20"/>
  <c r="K832" i="20"/>
  <c r="K826" i="20"/>
  <c r="K821" i="20"/>
  <c r="K818" i="20"/>
  <c r="K811" i="20"/>
  <c r="K804" i="20"/>
  <c r="K799" i="20"/>
  <c r="K796" i="20"/>
  <c r="K790" i="20"/>
  <c r="K785" i="20"/>
  <c r="K772" i="20"/>
  <c r="K765" i="20"/>
  <c r="K762" i="20"/>
  <c r="K755" i="20"/>
  <c r="K750" i="20"/>
  <c r="K744" i="20"/>
  <c r="K737" i="20"/>
  <c r="K733" i="20"/>
  <c r="K728" i="20"/>
  <c r="K722" i="20"/>
  <c r="K719" i="20"/>
  <c r="K713" i="20"/>
  <c r="K707" i="20"/>
  <c r="K701" i="20"/>
  <c r="K694" i="20"/>
  <c r="K687" i="20"/>
  <c r="K684" i="20"/>
  <c r="K679" i="20"/>
  <c r="K674" i="20"/>
  <c r="K670" i="20"/>
  <c r="K665" i="20"/>
  <c r="K660" i="20"/>
  <c r="K650" i="20"/>
  <c r="K643" i="20"/>
  <c r="K638" i="20"/>
  <c r="K625" i="20"/>
  <c r="K621" i="20"/>
  <c r="K615" i="20"/>
  <c r="K610" i="20"/>
  <c r="K603" i="20"/>
  <c r="K558" i="20"/>
  <c r="K552" i="20"/>
  <c r="K546" i="20"/>
  <c r="K531" i="20"/>
  <c r="K525" i="20"/>
  <c r="K518" i="20"/>
  <c r="K511" i="20"/>
  <c r="K505" i="20"/>
  <c r="K496" i="20"/>
  <c r="K489" i="20"/>
  <c r="K482" i="20"/>
  <c r="K476" i="20"/>
  <c r="K464" i="20"/>
  <c r="K460" i="20"/>
  <c r="K455" i="20"/>
  <c r="K450" i="20"/>
  <c r="K442" i="20"/>
  <c r="K434" i="20"/>
  <c r="K404" i="20"/>
  <c r="K398" i="20"/>
  <c r="K394" i="20"/>
  <c r="K391" i="20"/>
  <c r="K385" i="20"/>
  <c r="K379" i="20"/>
  <c r="K373" i="20"/>
  <c r="K369" i="20"/>
  <c r="K363" i="20"/>
  <c r="K357" i="20"/>
  <c r="K351" i="20"/>
  <c r="K343" i="20"/>
  <c r="K338" i="20"/>
  <c r="K334" i="20"/>
  <c r="K329" i="20"/>
  <c r="K324" i="20"/>
  <c r="K313" i="20"/>
  <c r="K307" i="20"/>
  <c r="K301" i="20"/>
  <c r="K294" i="20"/>
  <c r="K292" i="20"/>
  <c r="K287" i="20"/>
  <c r="K279" i="20"/>
  <c r="K274" i="20"/>
  <c r="K254" i="20"/>
  <c r="K250" i="20"/>
  <c r="K245" i="20"/>
  <c r="K240" i="20"/>
  <c r="K232" i="20"/>
  <c r="K229" i="20"/>
  <c r="K223" i="20"/>
  <c r="K216" i="20"/>
  <c r="K212" i="20"/>
  <c r="K195" i="20"/>
  <c r="K190" i="20"/>
  <c r="K184" i="20"/>
  <c r="K180" i="20"/>
  <c r="K173" i="20"/>
  <c r="K167" i="20"/>
  <c r="K162" i="20"/>
  <c r="K154" i="20"/>
  <c r="K148" i="20"/>
  <c r="K145" i="20"/>
  <c r="K140" i="20"/>
  <c r="K132" i="20"/>
  <c r="K127" i="20"/>
  <c r="K117" i="20"/>
  <c r="K111" i="20"/>
  <c r="K104" i="20"/>
  <c r="K98" i="20"/>
  <c r="K91" i="20"/>
  <c r="K85" i="20"/>
  <c r="K71" i="20"/>
  <c r="K63" i="20"/>
  <c r="K57" i="20"/>
  <c r="K51" i="20"/>
  <c r="K48" i="20"/>
  <c r="K43" i="20"/>
  <c r="K30" i="20"/>
  <c r="K26" i="20"/>
  <c r="K21" i="20"/>
  <c r="K16" i="20"/>
  <c r="K14" i="20"/>
  <c r="K9" i="20"/>
  <c r="K6" i="20"/>
  <c r="K328" i="20"/>
  <c r="K352" i="20"/>
  <c r="K358" i="20"/>
  <c r="K408" i="20"/>
  <c r="K414" i="20"/>
  <c r="K420" i="20"/>
  <c r="K428" i="20"/>
  <c r="K435" i="20"/>
  <c r="K443" i="20"/>
  <c r="K448" i="20"/>
  <c r="K463" i="20"/>
  <c r="K468" i="20"/>
  <c r="K471" i="20"/>
  <c r="K492" i="20"/>
  <c r="K499" i="20"/>
  <c r="K506" i="20"/>
  <c r="K520" i="20"/>
  <c r="K526" i="20"/>
  <c r="K534" i="20"/>
  <c r="K539" i="20"/>
  <c r="K555" i="20"/>
  <c r="K559" i="20"/>
  <c r="K568" i="20"/>
  <c r="K573" i="20"/>
  <c r="K576" i="20"/>
  <c r="K581" i="20"/>
  <c r="K586" i="20"/>
  <c r="K589" i="20"/>
  <c r="K593" i="20"/>
  <c r="K597" i="20"/>
  <c r="K618" i="20"/>
  <c r="K622" i="20"/>
  <c r="K628" i="20"/>
  <c r="K632" i="20"/>
  <c r="K637" i="20"/>
  <c r="K645" i="20"/>
  <c r="K651" i="20"/>
  <c r="K657" i="20"/>
  <c r="K691" i="20"/>
  <c r="K695" i="20"/>
  <c r="K700" i="20"/>
  <c r="K705" i="20"/>
  <c r="K708" i="20"/>
  <c r="K714" i="20"/>
  <c r="K730" i="20"/>
  <c r="K743" i="20"/>
  <c r="K749" i="20"/>
  <c r="K754" i="20"/>
  <c r="K758" i="20"/>
  <c r="K763" i="20"/>
  <c r="K770" i="20"/>
  <c r="K775" i="20"/>
  <c r="K779" i="20"/>
  <c r="K784" i="20"/>
  <c r="K800" i="20"/>
  <c r="K817" i="20"/>
  <c r="K834" i="20"/>
  <c r="K841" i="20"/>
  <c r="K847" i="20"/>
  <c r="K853" i="20"/>
  <c r="K859" i="20"/>
  <c r="K866" i="20"/>
  <c r="K877" i="20"/>
  <c r="K882" i="20"/>
  <c r="K891" i="20"/>
  <c r="K905" i="20"/>
  <c r="K910" i="20"/>
  <c r="K916" i="20"/>
  <c r="K925" i="20"/>
  <c r="K938" i="20"/>
  <c r="K954" i="20"/>
  <c r="K959" i="20"/>
  <c r="K966" i="20"/>
  <c r="K973" i="20"/>
  <c r="K979" i="20"/>
  <c r="J176" i="20"/>
  <c r="J1266" i="20"/>
  <c r="J1259" i="20"/>
  <c r="J1254" i="20"/>
  <c r="J1252" i="20"/>
  <c r="J1247" i="20"/>
  <c r="J1241" i="20"/>
  <c r="J1237" i="20"/>
  <c r="J1231" i="20"/>
  <c r="J1223" i="20"/>
  <c r="J1217" i="20"/>
  <c r="J1212" i="20"/>
  <c r="J1206" i="20"/>
  <c r="J1188" i="20"/>
  <c r="J1182" i="20"/>
  <c r="J1176" i="20"/>
  <c r="J1167" i="20"/>
  <c r="J1162" i="20"/>
  <c r="J1154" i="20"/>
  <c r="J1148" i="20"/>
  <c r="J1143" i="20"/>
  <c r="J1140" i="20"/>
  <c r="J1134" i="20"/>
  <c r="J1129" i="20"/>
  <c r="J1125" i="20"/>
  <c r="J1120" i="20"/>
  <c r="J1113" i="20"/>
  <c r="J1108" i="20"/>
  <c r="J1092" i="20"/>
  <c r="J1087" i="20"/>
  <c r="J1083" i="20"/>
  <c r="J1077" i="20"/>
  <c r="J1072" i="20"/>
  <c r="J1066" i="20"/>
  <c r="J1052" i="20"/>
  <c r="J1048" i="20"/>
  <c r="J1042" i="20"/>
  <c r="J1037" i="20"/>
  <c r="J1028" i="20"/>
  <c r="J1022" i="20"/>
  <c r="J1015" i="20"/>
  <c r="J1010" i="20"/>
  <c r="J1003" i="20"/>
  <c r="J982" i="20"/>
  <c r="J975" i="20"/>
  <c r="J958" i="20"/>
  <c r="J950" i="20"/>
  <c r="J944" i="20"/>
  <c r="J939" i="20"/>
  <c r="J933" i="20"/>
  <c r="J929" i="20"/>
  <c r="J924" i="20"/>
  <c r="J918" i="20"/>
  <c r="J904" i="20"/>
  <c r="J1619" i="20"/>
  <c r="J1615" i="20"/>
  <c r="J1610" i="20"/>
  <c r="J1604" i="20"/>
  <c r="J1598" i="20"/>
  <c r="J1596" i="20"/>
  <c r="J1590" i="20"/>
  <c r="J1576" i="20"/>
  <c r="J1569" i="20"/>
  <c r="J1555" i="20"/>
  <c r="J1548" i="20"/>
  <c r="J1538" i="20"/>
  <c r="J1532" i="20"/>
  <c r="J1525" i="20"/>
  <c r="J1519" i="20"/>
  <c r="J1510" i="20"/>
  <c r="J1504" i="20"/>
  <c r="J1497" i="20"/>
  <c r="J1492" i="20"/>
  <c r="J1485" i="20"/>
  <c r="J1479" i="20"/>
  <c r="J1475" i="20"/>
  <c r="J1470" i="20"/>
  <c r="J1465" i="20"/>
  <c r="J1461" i="20"/>
  <c r="J1456" i="20"/>
  <c r="J1449" i="20"/>
  <c r="J1444" i="20"/>
  <c r="J1433" i="20"/>
  <c r="J1428" i="20"/>
  <c r="J1423" i="20"/>
  <c r="J1409" i="20"/>
  <c r="J1402" i="20"/>
  <c r="J1388" i="20"/>
  <c r="J1384" i="20"/>
  <c r="J1378" i="20"/>
  <c r="J1371" i="20"/>
  <c r="J1366" i="20"/>
  <c r="J1360" i="20"/>
  <c r="J1353" i="20"/>
  <c r="J1349" i="20"/>
  <c r="J1344" i="20"/>
  <c r="J1339" i="20"/>
  <c r="J1335" i="20"/>
  <c r="J1329" i="20"/>
  <c r="J1323" i="20"/>
  <c r="J1317" i="20"/>
  <c r="J1310" i="20"/>
  <c r="J1296" i="20"/>
  <c r="J1286" i="20"/>
  <c r="J1281" i="20"/>
  <c r="J1246" i="20"/>
  <c r="J1238" i="20"/>
  <c r="J1232" i="20"/>
  <c r="J1226" i="20"/>
  <c r="J1220" i="20"/>
  <c r="J1202" i="20"/>
  <c r="J1197" i="20"/>
  <c r="J1190" i="20"/>
  <c r="J1184" i="20"/>
  <c r="J1171" i="20"/>
  <c r="J1157" i="20"/>
  <c r="J1155" i="20"/>
  <c r="J1150" i="20"/>
  <c r="J1147" i="20"/>
  <c r="J1139" i="20"/>
  <c r="J1133" i="20"/>
  <c r="J1121" i="20"/>
  <c r="J1107" i="20"/>
  <c r="J1101" i="20"/>
  <c r="J1097" i="20"/>
  <c r="J1091" i="20"/>
  <c r="J1086" i="20"/>
  <c r="J1069" i="20"/>
  <c r="J1063" i="20"/>
  <c r="J1056" i="20"/>
  <c r="J1050" i="20"/>
  <c r="J1044" i="20"/>
  <c r="J1036" i="20"/>
  <c r="J1030" i="20"/>
  <c r="J1027" i="20"/>
  <c r="J1021" i="20"/>
  <c r="J1016" i="20"/>
  <c r="J1007" i="20"/>
  <c r="J1002" i="20"/>
  <c r="J996" i="20"/>
  <c r="J988" i="20"/>
  <c r="J974" i="20"/>
  <c r="J971" i="20"/>
  <c r="J965" i="20"/>
  <c r="J959" i="20"/>
  <c r="J954" i="20"/>
  <c r="J932" i="20"/>
  <c r="J923" i="20"/>
  <c r="J916" i="20"/>
  <c r="J911" i="20"/>
  <c r="J895" i="20"/>
  <c r="J889" i="20"/>
  <c r="J881" i="20"/>
  <c r="J875" i="20"/>
  <c r="J868" i="20"/>
  <c r="J862" i="20"/>
  <c r="J856" i="20"/>
  <c r="J849" i="20"/>
  <c r="J835" i="20"/>
  <c r="J826" i="20"/>
  <c r="J820" i="20"/>
  <c r="J814" i="20"/>
  <c r="J810" i="20"/>
  <c r="J805" i="20"/>
  <c r="J798" i="20"/>
  <c r="J792" i="20"/>
  <c r="J777" i="20"/>
  <c r="J771" i="20"/>
  <c r="J764" i="20"/>
  <c r="J761" i="20"/>
  <c r="J755" i="20"/>
  <c r="J749" i="20"/>
  <c r="J743" i="20"/>
  <c r="J740" i="20"/>
  <c r="J734" i="20"/>
  <c r="J727" i="20"/>
  <c r="J722" i="20"/>
  <c r="J719" i="20"/>
  <c r="J701" i="20"/>
  <c r="J686" i="20"/>
  <c r="J258" i="20"/>
  <c r="J680" i="20"/>
  <c r="J672" i="20"/>
  <c r="J665" i="20"/>
  <c r="J659" i="20"/>
  <c r="J646" i="20"/>
  <c r="J643" i="20"/>
  <c r="J637" i="20"/>
  <c r="J631" i="20"/>
  <c r="J621" i="20"/>
  <c r="J617" i="20"/>
  <c r="J614" i="20"/>
  <c r="J611" i="20"/>
  <c r="J610" i="20"/>
  <c r="J607" i="20"/>
  <c r="J603" i="20"/>
  <c r="J597" i="20"/>
  <c r="J593" i="20"/>
  <c r="J588" i="20"/>
  <c r="J583" i="20"/>
  <c r="J579" i="20"/>
  <c r="J574" i="20"/>
  <c r="J569" i="20"/>
  <c r="J566" i="20"/>
  <c r="J561" i="20"/>
  <c r="J552" i="20"/>
  <c r="J546" i="20"/>
  <c r="J541" i="20"/>
  <c r="J537" i="20"/>
  <c r="J533" i="20"/>
  <c r="J527" i="20"/>
  <c r="J523" i="20"/>
  <c r="J518" i="20"/>
  <c r="J509" i="20"/>
  <c r="J504" i="20"/>
  <c r="J499" i="20"/>
  <c r="J495" i="20"/>
  <c r="J489" i="20"/>
  <c r="J484" i="20"/>
  <c r="J478" i="20"/>
  <c r="J474" i="20"/>
  <c r="J457" i="20"/>
  <c r="J453" i="20"/>
  <c r="J448" i="20"/>
  <c r="J443" i="20"/>
  <c r="J441" i="20"/>
  <c r="J436" i="20"/>
  <c r="J432" i="20"/>
  <c r="J427" i="20"/>
  <c r="J422" i="20"/>
  <c r="J419" i="20"/>
  <c r="J414" i="20"/>
  <c r="J406" i="20"/>
  <c r="J401" i="20"/>
  <c r="J394" i="20"/>
  <c r="J391" i="20"/>
  <c r="J386" i="20"/>
  <c r="J383" i="20"/>
  <c r="J379" i="20"/>
  <c r="J377" i="20"/>
  <c r="J355" i="20"/>
  <c r="J350" i="20"/>
  <c r="J345" i="20"/>
  <c r="J342" i="20"/>
  <c r="J337" i="20"/>
  <c r="J331" i="20"/>
  <c r="J328" i="20"/>
  <c r="J323" i="20"/>
  <c r="J321" i="20"/>
  <c r="J315" i="20"/>
  <c r="J295" i="20"/>
  <c r="J1609" i="20"/>
  <c r="J1602" i="20"/>
  <c r="J1591" i="20"/>
  <c r="J1587" i="20"/>
  <c r="J1581" i="20"/>
  <c r="J1575" i="20"/>
  <c r="J1568" i="20"/>
  <c r="J1562" i="20"/>
  <c r="J1554" i="20"/>
  <c r="J1549" i="20"/>
  <c r="J1542" i="20"/>
  <c r="J1533" i="20"/>
  <c r="J1528" i="20"/>
  <c r="J1524" i="20"/>
  <c r="J1518" i="20"/>
  <c r="J1512" i="20"/>
  <c r="J1506" i="20"/>
  <c r="J1500" i="20"/>
  <c r="J1489" i="20"/>
  <c r="J1483" i="20"/>
  <c r="J1477" i="20"/>
  <c r="J1469" i="20"/>
  <c r="J1463" i="20"/>
  <c r="J1457" i="20"/>
  <c r="J1451" i="20"/>
  <c r="J1447" i="20"/>
  <c r="J1442" i="20"/>
  <c r="J1437" i="20"/>
  <c r="J1422" i="20"/>
  <c r="J1419" i="20"/>
  <c r="J1413" i="20"/>
  <c r="J1407" i="20"/>
  <c r="J1401" i="20"/>
  <c r="J1398" i="20"/>
  <c r="J1392" i="20"/>
  <c r="J1386" i="20"/>
  <c r="J1380" i="20"/>
  <c r="J1374" i="20"/>
  <c r="J1370" i="20"/>
  <c r="J1364" i="20"/>
  <c r="J1359" i="20"/>
  <c r="J1346" i="20"/>
  <c r="J1342" i="20"/>
  <c r="J1336" i="20"/>
  <c r="J1330" i="20"/>
  <c r="J1325" i="20"/>
  <c r="J1321" i="20"/>
  <c r="J1315" i="20"/>
  <c r="J1309" i="20"/>
  <c r="J1307" i="20"/>
  <c r="J1275" i="20"/>
  <c r="J1269" i="20"/>
  <c r="J1265" i="20"/>
  <c r="J1261" i="20"/>
  <c r="J1253" i="20"/>
  <c r="J1248" i="20"/>
  <c r="J1244" i="20"/>
  <c r="J1239" i="20"/>
  <c r="J1234" i="20"/>
  <c r="J1225" i="20"/>
  <c r="J1219" i="20"/>
  <c r="J1211" i="20"/>
  <c r="J1205" i="20"/>
  <c r="J1198" i="20"/>
  <c r="J1192" i="20"/>
  <c r="J1185" i="20"/>
  <c r="J1178" i="20"/>
  <c r="J1153" i="20"/>
  <c r="J1146" i="20"/>
  <c r="J1141" i="20"/>
  <c r="J1135" i="20"/>
  <c r="J1128" i="20"/>
  <c r="J1118" i="20"/>
  <c r="J1112" i="20"/>
  <c r="J1106" i="20"/>
  <c r="J1099" i="20"/>
  <c r="J1094" i="20"/>
  <c r="J1085" i="20"/>
  <c r="J1078" i="20"/>
  <c r="J6" i="20"/>
  <c r="J14" i="20"/>
  <c r="J20" i="20"/>
  <c r="J22" i="20"/>
  <c r="J23" i="20"/>
  <c r="J26" i="20"/>
  <c r="J28" i="20"/>
  <c r="J30" i="20"/>
  <c r="J33" i="20"/>
  <c r="J35" i="20"/>
  <c r="J41" i="20"/>
  <c r="J43" i="20"/>
  <c r="J49" i="20"/>
  <c r="J58" i="20"/>
  <c r="J62" i="20"/>
  <c r="J65" i="20"/>
  <c r="J68" i="20"/>
  <c r="J71" i="20"/>
  <c r="J76" i="20"/>
  <c r="J84" i="20"/>
  <c r="J91" i="20"/>
  <c r="J98" i="20"/>
  <c r="J100" i="20"/>
  <c r="J104" i="20"/>
  <c r="J107" i="20"/>
  <c r="J111" i="20"/>
  <c r="J113" i="20"/>
  <c r="J117" i="20"/>
  <c r="J120" i="20"/>
  <c r="J124" i="20"/>
  <c r="J127" i="20"/>
  <c r="J131" i="20"/>
  <c r="J140" i="20"/>
  <c r="J141" i="20"/>
  <c r="J145" i="20"/>
  <c r="J149" i="20"/>
  <c r="J153" i="20"/>
  <c r="J159" i="20"/>
  <c r="J162" i="20"/>
  <c r="J168" i="20"/>
  <c r="J170" i="20"/>
  <c r="J174" i="20"/>
  <c r="J177" i="20"/>
  <c r="J181" i="20"/>
  <c r="J184" i="20"/>
  <c r="J188" i="20"/>
  <c r="J191" i="20"/>
  <c r="J195" i="20"/>
  <c r="J203" i="20"/>
  <c r="J210" i="20"/>
  <c r="J217" i="20"/>
  <c r="J218" i="20"/>
  <c r="J222" i="20"/>
  <c r="J231" i="20"/>
  <c r="J236" i="20"/>
  <c r="J239" i="20"/>
  <c r="J244" i="20"/>
  <c r="J246" i="20"/>
  <c r="J253" i="20"/>
  <c r="J257" i="20"/>
  <c r="J261" i="20"/>
  <c r="J264" i="20"/>
  <c r="J267" i="20"/>
  <c r="J271" i="20"/>
  <c r="J274" i="20"/>
  <c r="J278" i="20"/>
  <c r="J281" i="20"/>
  <c r="J285" i="20"/>
  <c r="J287" i="20"/>
  <c r="J294" i="20"/>
  <c r="J296" i="20"/>
  <c r="J299" i="20"/>
  <c r="J309" i="20"/>
  <c r="J317" i="20"/>
  <c r="J322" i="20"/>
  <c r="J324" i="20"/>
  <c r="J329" i="20"/>
  <c r="J334" i="20"/>
  <c r="J338" i="20"/>
  <c r="J343" i="20"/>
  <c r="J348" i="20"/>
  <c r="J351" i="20"/>
  <c r="J356" i="20"/>
  <c r="J359" i="20"/>
  <c r="J365" i="20"/>
  <c r="J371" i="20"/>
  <c r="J376" i="20"/>
  <c r="J384" i="20"/>
  <c r="J387" i="20"/>
  <c r="J392" i="20"/>
  <c r="J397" i="20"/>
  <c r="J407" i="20"/>
  <c r="J408" i="20"/>
  <c r="J412" i="20"/>
  <c r="J415" i="20"/>
  <c r="J420" i="20"/>
  <c r="J425" i="20"/>
  <c r="J429" i="20"/>
  <c r="J433" i="20"/>
  <c r="J442" i="20"/>
  <c r="J447" i="20"/>
  <c r="J455" i="20"/>
  <c r="J460" i="20"/>
  <c r="J464" i="20"/>
  <c r="J469" i="20"/>
  <c r="J471" i="20"/>
  <c r="J476" i="20"/>
  <c r="J481" i="20"/>
  <c r="J485" i="20"/>
  <c r="J490" i="20"/>
  <c r="J492" i="20"/>
  <c r="J497" i="20"/>
  <c r="J502" i="20"/>
  <c r="J511" i="20"/>
  <c r="J516" i="20"/>
  <c r="J519" i="20"/>
  <c r="J524" i="20"/>
  <c r="J526" i="20"/>
  <c r="J532" i="20"/>
  <c r="J538" i="20"/>
  <c r="J547" i="20"/>
  <c r="J551" i="20"/>
  <c r="J555" i="20"/>
  <c r="J559" i="20"/>
  <c r="J562" i="20"/>
  <c r="J589" i="20"/>
  <c r="J594" i="20"/>
  <c r="J602" i="20"/>
  <c r="J608" i="20"/>
  <c r="J625" i="20"/>
  <c r="J630" i="20"/>
  <c r="J635" i="20"/>
  <c r="J652" i="20"/>
  <c r="J674" i="20"/>
  <c r="J681" i="20"/>
  <c r="J687" i="20"/>
  <c r="J692" i="20"/>
  <c r="J698" i="20"/>
  <c r="J702" i="20"/>
  <c r="J707" i="20"/>
  <c r="J721" i="20"/>
  <c r="J726" i="20"/>
  <c r="J730" i="20"/>
  <c r="J744" i="20"/>
  <c r="J748" i="20"/>
  <c r="J754" i="20"/>
  <c r="J765" i="20"/>
  <c r="J772" i="20"/>
  <c r="J786" i="20"/>
  <c r="J799" i="20"/>
  <c r="J804" i="20"/>
  <c r="J807" i="20"/>
  <c r="J813" i="20"/>
  <c r="J818" i="20"/>
  <c r="J825" i="20"/>
  <c r="J832" i="20"/>
  <c r="J838" i="20"/>
  <c r="J842" i="20"/>
  <c r="J848" i="20"/>
  <c r="J853" i="20"/>
  <c r="J859" i="20"/>
  <c r="J863" i="20"/>
  <c r="J870" i="20"/>
  <c r="J884" i="20"/>
  <c r="J890" i="20"/>
  <c r="J898" i="20"/>
  <c r="J903" i="20"/>
  <c r="J909" i="20"/>
  <c r="J925" i="20"/>
  <c r="J931" i="20"/>
  <c r="J937" i="20"/>
  <c r="J940" i="20"/>
  <c r="J945" i="20"/>
  <c r="J951" i="20"/>
  <c r="J961" i="20"/>
  <c r="J966" i="20"/>
  <c r="J980" i="20"/>
  <c r="J987" i="20"/>
  <c r="J993" i="20"/>
  <c r="J999" i="20"/>
  <c r="J1009" i="20"/>
  <c r="J1014" i="20"/>
  <c r="J1020" i="20"/>
  <c r="J1024" i="20"/>
  <c r="J1029" i="20"/>
  <c r="J1035" i="20"/>
  <c r="J1041" i="20"/>
  <c r="J1045" i="20"/>
  <c r="J1051" i="20"/>
  <c r="J1057" i="20"/>
  <c r="J1062" i="20"/>
  <c r="J1073" i="20"/>
  <c r="J1079" i="20"/>
  <c r="J1084" i="20"/>
  <c r="J1090" i="20"/>
  <c r="J1100" i="20"/>
  <c r="J1105" i="20"/>
  <c r="J1111" i="20"/>
  <c r="J1115" i="20"/>
  <c r="J1122" i="20"/>
  <c r="J1127" i="20"/>
  <c r="J1132" i="20"/>
  <c r="J1136" i="20"/>
  <c r="J1149" i="20"/>
  <c r="J1161" i="20"/>
  <c r="J1164" i="20"/>
  <c r="J1169" i="20"/>
  <c r="J1174" i="20"/>
  <c r="J1177" i="20"/>
  <c r="J1183" i="20"/>
  <c r="J1189" i="20"/>
  <c r="J1196" i="20"/>
  <c r="J1204" i="20"/>
  <c r="J1210" i="20"/>
  <c r="J1216" i="20"/>
  <c r="J1230" i="20"/>
  <c r="J1258" i="20"/>
  <c r="J1267" i="20"/>
  <c r="J1272" i="20"/>
  <c r="J1282" i="20"/>
  <c r="J1287" i="20"/>
  <c r="J1290" i="20"/>
  <c r="J1295" i="20"/>
  <c r="J1300" i="20"/>
  <c r="J1303" i="20"/>
  <c r="J1308" i="20"/>
  <c r="J1314" i="20"/>
  <c r="J1318" i="20"/>
  <c r="J1332" i="20"/>
  <c r="J1338" i="20"/>
  <c r="J1345" i="20"/>
  <c r="J1350" i="20"/>
  <c r="J1358" i="20"/>
  <c r="J1365" i="20"/>
  <c r="J1379" i="20"/>
  <c r="J1387" i="20"/>
  <c r="J1394" i="20"/>
  <c r="J1399" i="20"/>
  <c r="J1405" i="20"/>
  <c r="J1415" i="20"/>
  <c r="J1420" i="20"/>
  <c r="J1426" i="20"/>
  <c r="J1430" i="20"/>
  <c r="J1436" i="20"/>
  <c r="J1441" i="20"/>
  <c r="J1448" i="20"/>
  <c r="J1454" i="20"/>
  <c r="J1471" i="20"/>
  <c r="J1476" i="20"/>
  <c r="J1482" i="20"/>
  <c r="J1493" i="20"/>
  <c r="J1505" i="20"/>
  <c r="J1511" i="20"/>
  <c r="J1517" i="20"/>
  <c r="J1521" i="20"/>
  <c r="J1535" i="20"/>
  <c r="J1540" i="20"/>
  <c r="J1546" i="20"/>
  <c r="J1553" i="20"/>
  <c r="J1559" i="20"/>
  <c r="J1563" i="20"/>
  <c r="J1577" i="20"/>
  <c r="J1582" i="20"/>
  <c r="J1589" i="20"/>
  <c r="J1594" i="20"/>
  <c r="J1597" i="20"/>
  <c r="J1601" i="20"/>
  <c r="J1071" i="20"/>
  <c r="J1064" i="20"/>
  <c r="J1059" i="20"/>
  <c r="J1055" i="20"/>
  <c r="J1049" i="20"/>
  <c r="J1043" i="20"/>
  <c r="J1038" i="20"/>
  <c r="J1031" i="20"/>
  <c r="J1023" i="20"/>
  <c r="J1013" i="20"/>
  <c r="J1008" i="20"/>
  <c r="J1001" i="20"/>
  <c r="J995" i="20"/>
  <c r="J992" i="20"/>
  <c r="J986" i="20"/>
  <c r="J981" i="20"/>
  <c r="J978" i="20"/>
  <c r="J973" i="20"/>
  <c r="J968" i="20"/>
  <c r="J957" i="20"/>
  <c r="J952" i="20"/>
  <c r="J946" i="20"/>
  <c r="J938" i="20"/>
  <c r="J936" i="20"/>
  <c r="J935" i="20" s="1"/>
  <c r="J930" i="20"/>
  <c r="J926" i="20"/>
  <c r="J922" i="20"/>
  <c r="J921" i="20" s="1"/>
  <c r="J917" i="20"/>
  <c r="J912" i="20"/>
  <c r="J908" i="20"/>
  <c r="J902" i="20"/>
  <c r="J896" i="20"/>
  <c r="J891" i="20"/>
  <c r="J887" i="20"/>
  <c r="J882" i="20"/>
  <c r="J876" i="20"/>
  <c r="J866" i="20"/>
  <c r="J860" i="20"/>
  <c r="J854" i="20"/>
  <c r="J846" i="20"/>
  <c r="J841" i="20"/>
  <c r="J839" i="20"/>
  <c r="J833" i="20"/>
  <c r="J828" i="20"/>
  <c r="J817" i="20"/>
  <c r="J811" i="20"/>
  <c r="J806" i="20"/>
  <c r="J803" i="20"/>
  <c r="J802" i="20" s="1"/>
  <c r="J797" i="20"/>
  <c r="J790" i="20"/>
  <c r="J784" i="20"/>
  <c r="J778" i="20"/>
  <c r="J768" i="20"/>
  <c r="J763" i="20"/>
  <c r="J756" i="20"/>
  <c r="J750" i="20"/>
  <c r="J735" i="20"/>
  <c r="J729" i="20"/>
  <c r="J723" i="20"/>
  <c r="J720" i="20"/>
  <c r="J715" i="20"/>
  <c r="J713" i="20"/>
  <c r="J709" i="20"/>
  <c r="J705" i="20"/>
  <c r="J700" i="20"/>
  <c r="J695" i="20"/>
  <c r="J691" i="20"/>
  <c r="J685" i="20"/>
  <c r="J679" i="20"/>
  <c r="J670" i="20"/>
  <c r="J664" i="20"/>
  <c r="J658" i="20"/>
  <c r="J653" i="20"/>
  <c r="J649" i="20"/>
  <c r="J644" i="20"/>
  <c r="J639" i="20"/>
  <c r="J636" i="20"/>
  <c r="J632" i="20"/>
  <c r="J629" i="20"/>
  <c r="J624" i="20"/>
  <c r="J622" i="20"/>
  <c r="J618" i="20"/>
  <c r="J615" i="20"/>
  <c r="J600" i="20"/>
  <c r="J596" i="20"/>
  <c r="J590" i="20"/>
  <c r="J586" i="20"/>
  <c r="J581" i="20"/>
  <c r="J576" i="20"/>
  <c r="J573" i="20"/>
  <c r="J568" i="20"/>
  <c r="J565" i="20"/>
  <c r="J560" i="20"/>
  <c r="J554" i="20"/>
  <c r="J545" i="20"/>
  <c r="J539" i="20"/>
  <c r="J530" i="20"/>
  <c r="J525" i="20"/>
  <c r="J517" i="20"/>
  <c r="J513" i="20"/>
  <c r="J512" i="20"/>
  <c r="J510" i="20"/>
  <c r="J505" i="20"/>
  <c r="J498" i="20"/>
  <c r="J488" i="20"/>
  <c r="J483" i="20"/>
  <c r="J477" i="20"/>
  <c r="J467" i="20"/>
  <c r="J462" i="20"/>
  <c r="J454" i="20"/>
  <c r="J449" i="20"/>
  <c r="J440" i="20"/>
  <c r="J434" i="20"/>
  <c r="J428" i="20"/>
  <c r="J418" i="20"/>
  <c r="J413" i="20"/>
  <c r="J404" i="20"/>
  <c r="J399" i="20"/>
  <c r="J385" i="20"/>
  <c r="J380" i="20"/>
  <c r="J378" i="20"/>
  <c r="J373" i="20"/>
  <c r="J369" i="20"/>
  <c r="J364" i="20"/>
  <c r="J362" i="20"/>
  <c r="J357" i="20"/>
  <c r="J352" i="20"/>
  <c r="J349" i="20"/>
  <c r="J344" i="20"/>
  <c r="J335" i="20"/>
  <c r="J330" i="20"/>
  <c r="J313" i="20"/>
  <c r="J310" i="20"/>
  <c r="J307" i="20"/>
  <c r="J303" i="20"/>
  <c r="J301" i="20"/>
  <c r="J282" i="20"/>
  <c r="J279" i="20"/>
  <c r="J275" i="20"/>
  <c r="J272" i="20"/>
  <c r="J268" i="20"/>
  <c r="J266" i="20"/>
  <c r="J259" i="20"/>
  <c r="J251" i="20"/>
  <c r="J245" i="20"/>
  <c r="J238" i="20"/>
  <c r="J230" i="20"/>
  <c r="J226" i="20"/>
  <c r="J223" i="20"/>
  <c r="J219" i="20"/>
  <c r="J216" i="20"/>
  <c r="J212" i="20"/>
  <c r="J209" i="20"/>
  <c r="J205" i="20"/>
  <c r="J202" i="20"/>
  <c r="J198" i="20"/>
  <c r="J196" i="20"/>
  <c r="J189" i="20"/>
  <c r="J182" i="20"/>
  <c r="J175" i="20"/>
  <c r="J169" i="20"/>
  <c r="J167" i="20"/>
  <c r="J161" i="20"/>
  <c r="J154" i="20"/>
  <c r="J147" i="20"/>
  <c r="J139" i="20"/>
  <c r="J135" i="20"/>
  <c r="J133" i="20"/>
  <c r="J125" i="20"/>
  <c r="J121" i="20"/>
  <c r="J119" i="20"/>
  <c r="J110" i="20"/>
  <c r="J106" i="20"/>
  <c r="J103" i="20"/>
  <c r="J99" i="20"/>
  <c r="J96" i="20"/>
  <c r="J92" i="20"/>
  <c r="J89" i="20"/>
  <c r="J85" i="20"/>
  <c r="J82" i="20"/>
  <c r="J78" i="20"/>
  <c r="J75" i="20"/>
  <c r="J72" i="20"/>
  <c r="J69" i="20"/>
  <c r="J64" i="20"/>
  <c r="J61" i="20"/>
  <c r="J57" i="20"/>
  <c r="J54" i="20"/>
  <c r="J50" i="20"/>
  <c r="J47" i="20"/>
  <c r="J44" i="20"/>
  <c r="J42" i="20"/>
  <c r="J40" i="20"/>
  <c r="J39" i="20" s="1"/>
  <c r="J37" i="20"/>
  <c r="J36" i="20"/>
  <c r="J34" i="20"/>
  <c r="J29" i="20"/>
  <c r="J27" i="20"/>
  <c r="J21" i="20"/>
  <c r="J19" i="20"/>
  <c r="J18" i="20" s="1"/>
  <c r="J16" i="20"/>
  <c r="J13" i="20"/>
  <c r="J9" i="20"/>
  <c r="J7" i="20"/>
  <c r="J5" i="20"/>
  <c r="J897" i="20"/>
  <c r="J880" i="20"/>
  <c r="J874" i="20"/>
  <c r="J869" i="20"/>
  <c r="J845" i="20"/>
  <c r="J824" i="20"/>
  <c r="J819" i="20"/>
  <c r="J812" i="20"/>
  <c r="J800" i="20"/>
  <c r="J793" i="20"/>
  <c r="J789" i="20"/>
  <c r="J783" i="20"/>
  <c r="J779" i="20"/>
  <c r="J775" i="20"/>
  <c r="J769" i="20"/>
  <c r="J762" i="20"/>
  <c r="J757" i="20"/>
  <c r="J742" i="20"/>
  <c r="J737" i="20"/>
  <c r="J733" i="20"/>
  <c r="J728" i="20"/>
  <c r="J716" i="20"/>
  <c r="J708" i="20"/>
  <c r="J688" i="20"/>
  <c r="J677" i="20"/>
  <c r="J671" i="20"/>
  <c r="J666" i="20"/>
  <c r="J660" i="20"/>
  <c r="J656" i="20"/>
  <c r="J651" i="20"/>
  <c r="J8" i="20"/>
  <c r="J12" i="20"/>
  <c r="J15" i="20"/>
  <c r="J48" i="20"/>
  <c r="J51" i="20"/>
  <c r="J55" i="20"/>
  <c r="J56" i="20"/>
  <c r="J63" i="20"/>
  <c r="J70" i="20"/>
  <c r="J77" i="20"/>
  <c r="J79" i="20"/>
  <c r="J83" i="20"/>
  <c r="J86" i="20"/>
  <c r="J90" i="20"/>
  <c r="J93" i="20"/>
  <c r="J97" i="20"/>
  <c r="J105" i="20"/>
  <c r="J112" i="20"/>
  <c r="J114" i="20"/>
  <c r="J118" i="20"/>
  <c r="J126" i="20"/>
  <c r="J128" i="20"/>
  <c r="J132" i="20"/>
  <c r="J134" i="20"/>
  <c r="J138" i="20"/>
  <c r="J142" i="20"/>
  <c r="J146" i="20"/>
  <c r="J148" i="20"/>
  <c r="J152" i="20"/>
  <c r="J155" i="20"/>
  <c r="J156" i="20"/>
  <c r="J160" i="20"/>
  <c r="J163" i="20"/>
  <c r="J166" i="20"/>
  <c r="J165" i="20" s="1"/>
  <c r="J173" i="20"/>
  <c r="J172" i="20" s="1"/>
  <c r="J616" i="20"/>
  <c r="J180" i="20"/>
  <c r="J183" i="20"/>
  <c r="J187" i="20"/>
  <c r="J190" i="20"/>
  <c r="J194" i="20"/>
  <c r="J197" i="20"/>
  <c r="J201" i="20"/>
  <c r="J204" i="20"/>
  <c r="J208" i="20"/>
  <c r="J211" i="20"/>
  <c r="J215" i="20"/>
  <c r="J214" i="20" s="1"/>
  <c r="J224" i="20"/>
  <c r="J225" i="20"/>
  <c r="J229" i="20"/>
  <c r="J232" i="20"/>
  <c r="J233" i="20"/>
  <c r="J237" i="20"/>
  <c r="J240" i="20"/>
  <c r="J243" i="20"/>
  <c r="J247" i="20"/>
  <c r="J250" i="20"/>
  <c r="J252" i="20"/>
  <c r="J254" i="20"/>
  <c r="J694" i="20"/>
  <c r="J260" i="20"/>
  <c r="J265" i="20"/>
  <c r="J273" i="20"/>
  <c r="J280" i="20"/>
  <c r="J286" i="20"/>
  <c r="J288" i="20"/>
  <c r="J289" i="20"/>
  <c r="J292" i="20"/>
  <c r="J293" i="20"/>
  <c r="J300" i="20"/>
  <c r="J302" i="20"/>
  <c r="J306" i="20"/>
  <c r="J308" i="20"/>
  <c r="J314" i="20"/>
  <c r="J316" i="20"/>
  <c r="J320" i="20"/>
  <c r="J319" i="20" s="1"/>
  <c r="J327" i="20"/>
  <c r="J326" i="20" s="1"/>
  <c r="J336" i="20"/>
  <c r="J341" i="20"/>
  <c r="J340" i="20" s="1"/>
  <c r="J358" i="20"/>
  <c r="J363" i="20"/>
  <c r="J366" i="20"/>
  <c r="J370" i="20"/>
  <c r="J372" i="20"/>
  <c r="J390" i="20"/>
  <c r="J393" i="20"/>
  <c r="J398" i="20"/>
  <c r="J400" i="20"/>
  <c r="J405" i="20"/>
  <c r="J411" i="20"/>
  <c r="J410" i="20" s="1"/>
  <c r="J421" i="20"/>
  <c r="J426" i="20"/>
  <c r="J435" i="20"/>
  <c r="J439" i="20"/>
  <c r="J438" i="20" s="1"/>
  <c r="J446" i="20"/>
  <c r="J450" i="20"/>
  <c r="J456" i="20"/>
  <c r="J461" i="20"/>
  <c r="J463" i="20"/>
  <c r="J468" i="20"/>
  <c r="J470" i="20"/>
  <c r="J475" i="20"/>
  <c r="J482" i="20"/>
  <c r="J491" i="20"/>
  <c r="J496" i="20"/>
  <c r="J503" i="20"/>
  <c r="J506" i="20"/>
  <c r="J520" i="20"/>
  <c r="J531" i="20"/>
  <c r="J534" i="20"/>
  <c r="J540" i="20"/>
  <c r="J544" i="20"/>
  <c r="J548" i="20"/>
  <c r="J553" i="20"/>
  <c r="J558" i="20"/>
  <c r="J557" i="20" s="1"/>
  <c r="J567" i="20"/>
  <c r="J572" i="20"/>
  <c r="J575" i="20"/>
  <c r="J580" i="20"/>
  <c r="J582" i="20"/>
  <c r="J587" i="20"/>
  <c r="J595" i="20"/>
  <c r="J601" i="20"/>
  <c r="J604" i="20"/>
  <c r="J609" i="20"/>
  <c r="J623" i="20"/>
  <c r="J628" i="20"/>
  <c r="J627" i="20" s="1"/>
  <c r="J638" i="20"/>
  <c r="J642" i="20"/>
  <c r="J645" i="20"/>
  <c r="J650" i="20"/>
  <c r="J657" i="20"/>
  <c r="J663" i="20"/>
  <c r="J667" i="20"/>
  <c r="J673" i="20"/>
  <c r="J678" i="20"/>
  <c r="J684" i="20"/>
  <c r="J683" i="20" s="1"/>
  <c r="J693" i="20"/>
  <c r="J699" i="20"/>
  <c r="J706" i="20"/>
  <c r="J712" i="20"/>
  <c r="J714" i="20"/>
  <c r="J736" i="20"/>
  <c r="J741" i="20"/>
  <c r="J747" i="20"/>
  <c r="J751" i="20"/>
  <c r="J758" i="20"/>
  <c r="J770" i="20"/>
  <c r="J776" i="20"/>
  <c r="J782" i="20"/>
  <c r="J785" i="20"/>
  <c r="J791" i="20"/>
  <c r="J796" i="20"/>
  <c r="J795" i="20" s="1"/>
  <c r="J821" i="20"/>
  <c r="J827" i="20"/>
  <c r="J831" i="20"/>
  <c r="J834" i="20"/>
  <c r="J840" i="20"/>
  <c r="J847" i="20"/>
  <c r="J852" i="20"/>
  <c r="J855" i="20"/>
  <c r="J861" i="20"/>
  <c r="J867" i="20"/>
  <c r="J873" i="20"/>
  <c r="J877" i="20"/>
  <c r="J883" i="20"/>
  <c r="J888" i="20"/>
  <c r="J894" i="20"/>
  <c r="J893" i="20" s="1"/>
  <c r="J901" i="20"/>
  <c r="J905" i="20"/>
  <c r="J910" i="20"/>
  <c r="J915" i="20"/>
  <c r="J919" i="20"/>
  <c r="J943" i="20"/>
  <c r="J947" i="20"/>
  <c r="J953" i="20"/>
  <c r="J960" i="20"/>
  <c r="J964" i="20"/>
  <c r="J967" i="20"/>
  <c r="J972" i="20"/>
  <c r="J979" i="20"/>
  <c r="J985" i="20"/>
  <c r="J989" i="20"/>
  <c r="J994" i="20"/>
  <c r="J1000" i="20"/>
  <c r="J1006" i="20"/>
  <c r="J1005" i="20" s="1"/>
  <c r="J1017" i="20"/>
  <c r="J1034" i="20"/>
  <c r="J1033" i="20" s="1"/>
  <c r="J1058" i="20"/>
  <c r="J1065" i="20"/>
  <c r="J1070" i="20"/>
  <c r="J1076" i="20"/>
  <c r="J1080" i="20"/>
  <c r="J1093" i="20"/>
  <c r="J1098" i="20"/>
  <c r="J1104" i="20"/>
  <c r="J1103" i="20" s="1"/>
  <c r="J1114" i="20"/>
  <c r="J1119" i="20"/>
  <c r="J1126" i="20"/>
  <c r="J1142" i="20"/>
  <c r="J1156" i="20"/>
  <c r="J1160" i="20"/>
  <c r="J1163" i="20"/>
  <c r="J1168" i="20"/>
  <c r="J1170" i="20"/>
  <c r="J1175" i="20"/>
  <c r="J1181" i="20"/>
  <c r="J1180" i="20" s="1"/>
  <c r="J1191" i="20"/>
  <c r="J1195" i="20"/>
  <c r="J1199" i="20"/>
  <c r="J1203" i="20"/>
  <c r="J1209" i="20"/>
  <c r="J1213" i="20"/>
  <c r="J1218" i="20"/>
  <c r="J1224" i="20"/>
  <c r="J1227" i="20"/>
  <c r="J1233" i="20"/>
  <c r="J1240" i="20"/>
  <c r="J1245" i="20"/>
  <c r="J1251" i="20"/>
  <c r="J1255" i="20"/>
  <c r="J1260" i="20"/>
  <c r="J1262" i="20"/>
  <c r="J1268" i="20"/>
  <c r="J1273" i="20"/>
  <c r="J1276" i="20"/>
  <c r="J1280" i="20"/>
  <c r="J1283" i="20"/>
  <c r="J1289" i="20"/>
  <c r="J1293" i="20"/>
  <c r="J1297" i="20"/>
  <c r="J1301" i="20"/>
  <c r="J1304" i="20"/>
  <c r="J1311" i="20"/>
  <c r="J1324" i="20"/>
  <c r="J1331" i="20"/>
  <c r="J1337" i="20"/>
  <c r="J1343" i="20"/>
  <c r="J1351" i="20"/>
  <c r="J1356" i="20"/>
  <c r="J1373" i="20"/>
  <c r="J1393" i="20"/>
  <c r="J1400" i="20"/>
  <c r="J1406" i="20"/>
  <c r="J1412" i="20"/>
  <c r="J1414" i="20"/>
  <c r="J1429" i="20"/>
  <c r="J1435" i="20"/>
  <c r="J1443" i="20"/>
  <c r="J1450" i="20"/>
  <c r="J1455" i="20"/>
  <c r="J1462" i="20"/>
  <c r="J1468" i="20"/>
  <c r="J1486" i="20"/>
  <c r="J1491" i="20"/>
  <c r="J1498" i="20"/>
  <c r="J1503" i="20"/>
  <c r="J1507" i="20"/>
  <c r="J1513" i="20"/>
  <c r="J1526" i="20"/>
  <c r="J1531" i="20"/>
  <c r="J1541" i="20"/>
  <c r="J1545" i="20"/>
  <c r="J1561" i="20"/>
  <c r="J1567" i="20"/>
  <c r="J1573" i="20"/>
  <c r="J1583" i="20"/>
  <c r="J1588" i="20"/>
  <c r="J1595" i="20"/>
  <c r="J1605" i="20"/>
  <c r="J1611" i="20"/>
  <c r="J1616" i="20"/>
  <c r="J1618" i="20"/>
  <c r="J1617" i="20"/>
  <c r="J1612" i="20"/>
  <c r="J1608" i="20"/>
  <c r="J1607" i="20" s="1"/>
  <c r="J1603" i="20"/>
  <c r="J1584" i="20"/>
  <c r="J1580" i="20"/>
  <c r="J1579" i="20" s="1"/>
  <c r="J1574" i="20"/>
  <c r="J1570" i="20"/>
  <c r="J1566" i="20"/>
  <c r="J1565" i="20" s="1"/>
  <c r="J1560" i="20"/>
  <c r="J1556" i="20"/>
  <c r="J1552" i="20"/>
  <c r="J1551" i="20" s="1"/>
  <c r="J1547" i="20"/>
  <c r="J1539" i="20"/>
  <c r="J1534" i="20"/>
  <c r="J1527" i="20"/>
  <c r="J1520" i="20"/>
  <c r="J1514" i="20"/>
  <c r="J1499" i="20"/>
  <c r="J1496" i="20"/>
  <c r="J1495" i="20" s="1"/>
  <c r="J1490" i="20"/>
  <c r="J1484" i="20"/>
  <c r="J1478" i="20"/>
  <c r="J1472" i="20"/>
  <c r="J1464" i="20"/>
  <c r="J1458" i="20"/>
  <c r="J1440" i="20"/>
  <c r="J1439" i="20" s="1"/>
  <c r="J1434" i="20"/>
  <c r="J1427" i="20"/>
  <c r="J1421" i="20"/>
  <c r="J1416" i="20"/>
  <c r="J1408" i="20"/>
  <c r="J1395" i="20"/>
  <c r="J1391" i="20"/>
  <c r="J1390" i="20" s="1"/>
  <c r="J1385" i="20"/>
  <c r="J1381" i="20"/>
  <c r="J1377" i="20"/>
  <c r="J1376" i="20" s="1"/>
  <c r="J1372" i="20"/>
  <c r="J1367" i="20"/>
  <c r="J1363" i="20"/>
  <c r="J1362" i="20" s="1"/>
  <c r="J1357" i="20"/>
  <c r="J1352" i="20"/>
  <c r="J1328" i="20"/>
  <c r="J1327" i="20" s="1"/>
  <c r="J1322" i="20"/>
  <c r="J1316" i="20"/>
  <c r="J1302" i="20"/>
  <c r="J1294" i="20"/>
  <c r="J1288" i="20"/>
  <c r="J1279" i="20"/>
  <c r="J1278" i="20" s="1"/>
  <c r="J1274" i="20"/>
  <c r="I1500" i="20"/>
  <c r="I358" i="20"/>
  <c r="I362" i="20"/>
  <c r="I366" i="20"/>
  <c r="I370" i="20"/>
  <c r="I379" i="20"/>
  <c r="I383" i="20"/>
  <c r="I392" i="20"/>
  <c r="I393" i="20"/>
  <c r="I398" i="20"/>
  <c r="I401" i="20"/>
  <c r="I405" i="20"/>
  <c r="I412" i="20"/>
  <c r="I420" i="20"/>
  <c r="I421" i="20"/>
  <c r="I425" i="20"/>
  <c r="I428" i="20"/>
  <c r="I433" i="20"/>
  <c r="I435" i="20"/>
  <c r="I440" i="20"/>
  <c r="I449" i="20"/>
  <c r="I453" i="20"/>
  <c r="I455" i="20"/>
  <c r="I463" i="20"/>
  <c r="I467" i="20"/>
  <c r="I476" i="20"/>
  <c r="I483" i="20"/>
  <c r="I485" i="20"/>
  <c r="I489" i="20"/>
  <c r="I491" i="20"/>
  <c r="I495" i="20"/>
  <c r="I498" i="20"/>
  <c r="I502" i="20"/>
  <c r="I505" i="20"/>
  <c r="I509" i="20"/>
  <c r="I512" i="20"/>
  <c r="I516" i="20"/>
  <c r="I518" i="20"/>
  <c r="I525" i="20"/>
  <c r="I527" i="20"/>
  <c r="I530" i="20"/>
  <c r="I537" i="20"/>
  <c r="I540" i="20"/>
  <c r="I544" i="20"/>
  <c r="I546" i="20"/>
  <c r="I548" i="20"/>
  <c r="I1483" i="20"/>
  <c r="I554" i="20"/>
  <c r="I558" i="20"/>
  <c r="I559" i="20"/>
  <c r="I562" i="20"/>
  <c r="I566" i="20"/>
  <c r="I573" i="20"/>
  <c r="I576" i="20"/>
  <c r="I581" i="20"/>
  <c r="I588" i="20"/>
  <c r="I590" i="20"/>
  <c r="I594" i="20"/>
  <c r="I596" i="20"/>
  <c r="I601" i="20"/>
  <c r="I604" i="20"/>
  <c r="I608" i="20"/>
  <c r="I610" i="20"/>
  <c r="I615" i="20"/>
  <c r="I617" i="20"/>
  <c r="I630" i="20"/>
  <c r="I637" i="20"/>
  <c r="I638" i="20"/>
  <c r="I642" i="20"/>
  <c r="I645" i="20"/>
  <c r="I651" i="20"/>
  <c r="I658" i="20"/>
  <c r="I664" i="20"/>
  <c r="I667" i="20"/>
  <c r="I671" i="20"/>
  <c r="I679" i="20"/>
  <c r="I686" i="20"/>
  <c r="I693" i="20"/>
  <c r="I700" i="20"/>
  <c r="I701" i="20"/>
  <c r="I705" i="20"/>
  <c r="I708" i="20"/>
  <c r="I712" i="20"/>
  <c r="I714" i="20"/>
  <c r="I721" i="20"/>
  <c r="I728" i="20"/>
  <c r="I735" i="20"/>
  <c r="I742" i="20"/>
  <c r="I749" i="20"/>
  <c r="I756" i="20"/>
  <c r="I758" i="20"/>
  <c r="I762" i="20"/>
  <c r="I765" i="20"/>
  <c r="I769" i="20"/>
  <c r="I771" i="20"/>
  <c r="I775" i="20"/>
  <c r="I778" i="20"/>
  <c r="I782" i="20"/>
  <c r="I785" i="20"/>
  <c r="I791" i="20"/>
  <c r="I798" i="20"/>
  <c r="I805" i="20"/>
  <c r="I807" i="20"/>
  <c r="I810" i="20"/>
  <c r="I813" i="20"/>
  <c r="I818" i="20"/>
  <c r="I821" i="20"/>
  <c r="I824" i="20"/>
  <c r="I833" i="20"/>
  <c r="I840" i="20"/>
  <c r="I847" i="20"/>
  <c r="I854" i="20"/>
  <c r="I861" i="20"/>
  <c r="I868" i="20"/>
  <c r="I870" i="20"/>
  <c r="I874" i="20"/>
  <c r="I877" i="20"/>
  <c r="I882" i="20"/>
  <c r="I889" i="20"/>
  <c r="I891" i="20"/>
  <c r="I895" i="20"/>
  <c r="I902" i="20"/>
  <c r="I905" i="20"/>
  <c r="I909" i="20"/>
  <c r="I917" i="20"/>
  <c r="I923" i="20"/>
  <c r="I926" i="20"/>
  <c r="I929" i="20"/>
  <c r="I931" i="20"/>
  <c r="I936" i="20"/>
  <c r="I939" i="20"/>
  <c r="I944" i="20"/>
  <c r="I960" i="20"/>
  <c r="I964" i="20"/>
  <c r="I967" i="20"/>
  <c r="I972" i="20"/>
  <c r="I974" i="20"/>
  <c r="I979" i="20"/>
  <c r="I982" i="20"/>
  <c r="I987" i="20"/>
  <c r="I992" i="20"/>
  <c r="I1003" i="20"/>
  <c r="I1007" i="20"/>
  <c r="I1010" i="20"/>
  <c r="I1015" i="20"/>
  <c r="I1020" i="20"/>
  <c r="I1023" i="20"/>
  <c r="I1027" i="20"/>
  <c r="I1030" i="20"/>
  <c r="I1034" i="20"/>
  <c r="I1038" i="20"/>
  <c r="I1043" i="20"/>
  <c r="I1048" i="20"/>
  <c r="I1050" i="20"/>
  <c r="I1055" i="20"/>
  <c r="I1059" i="20"/>
  <c r="I1063" i="20"/>
  <c r="I1066" i="20"/>
  <c r="I1070" i="20"/>
  <c r="I1077" i="20"/>
  <c r="I1079" i="20"/>
  <c r="I1085" i="20"/>
  <c r="I1087" i="20"/>
  <c r="I1091" i="20"/>
  <c r="I1094" i="20"/>
  <c r="I1098" i="20"/>
  <c r="I1101" i="20"/>
  <c r="I1104" i="20"/>
  <c r="I1107" i="20"/>
  <c r="I1113" i="20"/>
  <c r="I1120" i="20"/>
  <c r="I1122" i="20"/>
  <c r="I1126" i="20"/>
  <c r="I1129" i="20"/>
  <c r="I910" i="20"/>
  <c r="I933" i="20"/>
  <c r="I945" i="20"/>
  <c r="I950" i="20"/>
  <c r="I953" i="20"/>
  <c r="I957" i="20"/>
  <c r="I965" i="20"/>
  <c r="I975" i="20"/>
  <c r="I980" i="20"/>
  <c r="I985" i="20"/>
  <c r="I989" i="20"/>
  <c r="I994" i="20"/>
  <c r="I999" i="20"/>
  <c r="I1002" i="20"/>
  <c r="I1008" i="20"/>
  <c r="I1014" i="20"/>
  <c r="I1031" i="20"/>
  <c r="I1037" i="20"/>
  <c r="I1042" i="20"/>
  <c r="I1045" i="20"/>
  <c r="I1058" i="20"/>
  <c r="I1062" i="20"/>
  <c r="I1065" i="20"/>
  <c r="I1069" i="20"/>
  <c r="I1072" i="20"/>
  <c r="I1078" i="20"/>
  <c r="I1084" i="20"/>
  <c r="I1086" i="20"/>
  <c r="I1092" i="20"/>
  <c r="I1099" i="20"/>
  <c r="I1106" i="20"/>
  <c r="I1111" i="20"/>
  <c r="I1114" i="20"/>
  <c r="I1118" i="20"/>
  <c r="I1121" i="20"/>
  <c r="I1125" i="20"/>
  <c r="I1128" i="20"/>
  <c r="I1133" i="20"/>
  <c r="I1136" i="20"/>
  <c r="I1140" i="20"/>
  <c r="I1143" i="20"/>
  <c r="I1148" i="20"/>
  <c r="I1156" i="20"/>
  <c r="I1160" i="20"/>
  <c r="I1163" i="20"/>
  <c r="I1168" i="20"/>
  <c r="I1176" i="20"/>
  <c r="I1178" i="20"/>
  <c r="I1182" i="20"/>
  <c r="I1185" i="20"/>
  <c r="I1189" i="20"/>
  <c r="I1199" i="20"/>
  <c r="I1202" i="20"/>
  <c r="I1205" i="20"/>
  <c r="I1209" i="20"/>
  <c r="I1212" i="20"/>
  <c r="I1217" i="20"/>
  <c r="I1220" i="20"/>
  <c r="I1224" i="20"/>
  <c r="I1232" i="20"/>
  <c r="I1239" i="20"/>
  <c r="I1246" i="20"/>
  <c r="I1252" i="20"/>
  <c r="I1255" i="20"/>
  <c r="I1259" i="20"/>
  <c r="I1267" i="20"/>
  <c r="I1274" i="20"/>
  <c r="I1276" i="20"/>
  <c r="I1281" i="20"/>
  <c r="I1283" i="20"/>
  <c r="I1287" i="20"/>
  <c r="I1289" i="20"/>
  <c r="I1294" i="20"/>
  <c r="I1295" i="20"/>
  <c r="I1301" i="20"/>
  <c r="I1303" i="20"/>
  <c r="I1304" i="20"/>
  <c r="I1307" i="20"/>
  <c r="I1309" i="20"/>
  <c r="I1316" i="20"/>
  <c r="I1318" i="20"/>
  <c r="I1321" i="20"/>
  <c r="I1324" i="20"/>
  <c r="I1330" i="20"/>
  <c r="I1337" i="20"/>
  <c r="I1344" i="20"/>
  <c r="I1351" i="20"/>
  <c r="I1358" i="20"/>
  <c r="I1365" i="20"/>
  <c r="I1372" i="20"/>
  <c r="I1374" i="20"/>
  <c r="I1377" i="20"/>
  <c r="I1380" i="20"/>
  <c r="I1384" i="20"/>
  <c r="I1387" i="20"/>
  <c r="I1391" i="20"/>
  <c r="I1393" i="20"/>
  <c r="I1395" i="20"/>
  <c r="I1398" i="20"/>
  <c r="I1399" i="20"/>
  <c r="I1402" i="20"/>
  <c r="I1405" i="20"/>
  <c r="I1407" i="20"/>
  <c r="I1409" i="20"/>
  <c r="I1414" i="20"/>
  <c r="I1422" i="20"/>
  <c r="I1426" i="20"/>
  <c r="I1428" i="20"/>
  <c r="I1430" i="20"/>
  <c r="I1434" i="20"/>
  <c r="I1436" i="20"/>
  <c r="I1441" i="20"/>
  <c r="I1444" i="20"/>
  <c r="I1449" i="20"/>
  <c r="I1456" i="20"/>
  <c r="I1463" i="20"/>
  <c r="I1464" i="20"/>
  <c r="I1468" i="20"/>
  <c r="I1471" i="20"/>
  <c r="I1475" i="20"/>
  <c r="I1478" i="20"/>
  <c r="I1482" i="20"/>
  <c r="I1485" i="20"/>
  <c r="I1490" i="20"/>
  <c r="I1493" i="20"/>
  <c r="I1497" i="20"/>
  <c r="I517" i="20"/>
  <c r="I1504" i="20"/>
  <c r="I1507" i="20"/>
  <c r="I1511" i="20"/>
  <c r="I1514" i="20"/>
  <c r="I1518" i="20"/>
  <c r="I1526" i="20"/>
  <c r="I1528" i="20"/>
  <c r="I1532" i="20"/>
  <c r="I1534" i="20"/>
  <c r="I1539" i="20"/>
  <c r="I1542" i="20"/>
  <c r="I1546" i="20"/>
  <c r="I1548" i="20"/>
  <c r="I1563" i="20"/>
  <c r="I1567" i="20"/>
  <c r="I1569" i="20"/>
  <c r="I1574" i="20"/>
  <c r="I1577" i="20"/>
  <c r="I1581" i="20"/>
  <c r="I1584" i="20"/>
  <c r="I1587" i="20"/>
  <c r="I1591" i="20"/>
  <c r="I1595" i="20"/>
  <c r="I1598" i="20"/>
  <c r="I1602" i="20"/>
  <c r="I1605" i="20"/>
  <c r="I1608" i="20"/>
  <c r="I1619" i="20"/>
  <c r="I1132" i="20"/>
  <c r="I1141" i="20"/>
  <c r="I1142" i="20"/>
  <c r="I1146" i="20"/>
  <c r="I1149" i="20"/>
  <c r="I1153" i="20"/>
  <c r="I1155" i="20"/>
  <c r="I1162" i="20"/>
  <c r="I1169" i="20"/>
  <c r="I1171" i="20"/>
  <c r="I1175" i="20"/>
  <c r="I1177" i="20"/>
  <c r="I1181" i="20"/>
  <c r="I1184" i="20"/>
  <c r="I1190" i="20"/>
  <c r="I1192" i="20"/>
  <c r="I1196" i="20"/>
  <c r="I1197" i="20"/>
  <c r="I1204" i="20"/>
  <c r="I1211" i="20"/>
  <c r="I1218" i="20"/>
  <c r="I1225" i="20"/>
  <c r="I1227" i="20"/>
  <c r="I1231" i="20"/>
  <c r="I1233" i="20"/>
  <c r="I1237" i="20"/>
  <c r="I1240" i="20"/>
  <c r="I1244" i="20"/>
  <c r="I1248" i="20"/>
  <c r="I1251" i="20"/>
  <c r="I1253" i="20"/>
  <c r="I1254" i="20"/>
  <c r="I1258" i="20"/>
  <c r="I1261" i="20"/>
  <c r="I1266" i="20"/>
  <c r="I1268" i="20"/>
  <c r="I1272" i="20"/>
  <c r="I1273" i="20"/>
  <c r="I1280" i="20"/>
  <c r="I1282" i="20"/>
  <c r="I1286" i="20"/>
  <c r="I1288" i="20"/>
  <c r="I1290" i="20"/>
  <c r="I1293" i="20"/>
  <c r="I1296" i="20"/>
  <c r="I1297" i="20"/>
  <c r="I1300" i="20"/>
  <c r="I1302" i="20"/>
  <c r="I1308" i="20"/>
  <c r="I1310" i="20"/>
  <c r="I1314" i="20"/>
  <c r="I1315" i="20"/>
  <c r="I1317" i="20"/>
  <c r="I1322" i="20"/>
  <c r="I1323" i="20"/>
  <c r="I1325" i="20"/>
  <c r="I1329" i="20"/>
  <c r="I1332" i="20"/>
  <c r="I1336" i="20"/>
  <c r="I1339" i="20"/>
  <c r="I1342" i="20"/>
  <c r="I1345" i="20"/>
  <c r="I1349" i="20"/>
  <c r="I1352" i="20"/>
  <c r="I1356" i="20"/>
  <c r="I1357" i="20"/>
  <c r="I1360" i="20"/>
  <c r="I1364" i="20"/>
  <c r="I1367" i="20"/>
  <c r="I1371" i="20"/>
  <c r="I1378" i="20"/>
  <c r="I1381" i="20"/>
  <c r="I1385" i="20"/>
  <c r="I1392" i="20"/>
  <c r="I1401" i="20"/>
  <c r="I1412" i="20"/>
  <c r="I1415" i="20"/>
  <c r="I1419" i="20"/>
  <c r="I1421" i="20"/>
  <c r="I1433" i="20"/>
  <c r="I1442" i="20"/>
  <c r="I1443" i="20"/>
  <c r="I1447" i="20"/>
  <c r="I1450" i="20"/>
  <c r="I1454" i="20"/>
  <c r="I1458" i="20"/>
  <c r="I1462" i="20"/>
  <c r="I1470" i="20"/>
  <c r="I1472" i="20"/>
  <c r="I1476" i="20"/>
  <c r="I1484" i="20"/>
  <c r="I1486" i="20"/>
  <c r="I1491" i="20"/>
  <c r="I1498" i="20"/>
  <c r="I1505" i="20"/>
  <c r="I1512" i="20"/>
  <c r="I1519" i="20"/>
  <c r="I1521" i="20"/>
  <c r="I1525" i="20"/>
  <c r="I1533" i="20"/>
  <c r="I1535" i="20"/>
  <c r="I1538" i="20"/>
  <c r="I1541" i="20"/>
  <c r="I1545" i="20"/>
  <c r="I1549" i="20"/>
  <c r="I1552" i="20"/>
  <c r="I1553" i="20"/>
  <c r="I1555" i="20"/>
  <c r="I1556" i="20"/>
  <c r="I1559" i="20"/>
  <c r="I1561" i="20"/>
  <c r="I1568" i="20"/>
  <c r="I1570" i="20"/>
  <c r="I1573" i="20"/>
  <c r="I1575" i="20"/>
  <c r="I1582" i="20"/>
  <c r="I1589" i="20"/>
  <c r="I1596" i="20"/>
  <c r="I1603" i="20"/>
  <c r="I1610" i="20"/>
  <c r="I1612" i="20"/>
  <c r="I1616" i="20"/>
  <c r="I883" i="20"/>
  <c r="I880" i="20"/>
  <c r="I875" i="20"/>
  <c r="I867" i="20"/>
  <c r="I862" i="20"/>
  <c r="I859" i="20"/>
  <c r="I855" i="20"/>
  <c r="I852" i="20"/>
  <c r="I848" i="20"/>
  <c r="I846" i="20"/>
  <c r="I842" i="20"/>
  <c r="I839" i="20"/>
  <c r="I835" i="20"/>
  <c r="I832" i="20"/>
  <c r="I1618" i="20"/>
  <c r="I1617" i="20"/>
  <c r="I1615" i="20"/>
  <c r="I1614" i="20" s="1"/>
  <c r="I1611" i="20"/>
  <c r="I1609" i="20"/>
  <c r="I1604" i="20"/>
  <c r="I1601" i="20"/>
  <c r="I1600" i="20" s="1"/>
  <c r="I1597" i="20"/>
  <c r="I1594" i="20"/>
  <c r="I1593" i="20" s="1"/>
  <c r="I1590" i="20"/>
  <c r="I1588" i="20"/>
  <c r="I1583" i="20"/>
  <c r="I1580" i="20"/>
  <c r="I1579" i="20" s="1"/>
  <c r="I1576" i="20"/>
  <c r="I1566" i="20"/>
  <c r="I1565" i="20" s="1"/>
  <c r="I1562" i="20"/>
  <c r="I1560" i="20"/>
  <c r="I1554" i="20"/>
  <c r="I1547" i="20"/>
  <c r="I1540" i="20"/>
  <c r="I1531" i="20"/>
  <c r="I1530" i="20" s="1"/>
  <c r="I1527" i="20"/>
  <c r="I1524" i="20"/>
  <c r="I1523" i="20" s="1"/>
  <c r="I1520" i="20"/>
  <c r="I1517" i="20"/>
  <c r="I1516" i="20" s="1"/>
  <c r="I1513" i="20"/>
  <c r="I1510" i="20"/>
  <c r="I1509" i="20" s="1"/>
  <c r="I1506" i="20"/>
  <c r="I1503" i="20"/>
  <c r="I1502" i="20" s="1"/>
  <c r="I1499" i="20"/>
  <c r="I1496" i="20"/>
  <c r="I1495" i="20" s="1"/>
  <c r="I1492" i="20"/>
  <c r="I1489" i="20"/>
  <c r="I1488" i="20" s="1"/>
  <c r="I1479" i="20"/>
  <c r="I1477" i="20"/>
  <c r="I1469" i="20"/>
  <c r="I1465" i="20"/>
  <c r="I1461" i="20"/>
  <c r="I1460" i="20" s="1"/>
  <c r="I1457" i="20"/>
  <c r="I1455" i="20"/>
  <c r="I6" i="20"/>
  <c r="I29" i="20"/>
  <c r="I33" i="20"/>
  <c r="I36" i="20"/>
  <c r="I41" i="20"/>
  <c r="I44" i="20"/>
  <c r="I49" i="20"/>
  <c r="I54" i="20"/>
  <c r="I63" i="20"/>
  <c r="I68" i="20"/>
  <c r="I77" i="20"/>
  <c r="I83" i="20"/>
  <c r="I92" i="20"/>
  <c r="I96" i="20"/>
  <c r="I100" i="20"/>
  <c r="I105" i="20"/>
  <c r="I111" i="20"/>
  <c r="I119" i="20"/>
  <c r="I124" i="20"/>
  <c r="I128" i="20"/>
  <c r="I133" i="20"/>
  <c r="I139" i="20"/>
  <c r="I142" i="20"/>
  <c r="I147" i="20"/>
  <c r="I152" i="20"/>
  <c r="I156" i="20"/>
  <c r="I162" i="20"/>
  <c r="I167" i="20"/>
  <c r="I176" i="20"/>
  <c r="I181" i="20"/>
  <c r="I184" i="20"/>
  <c r="I197" i="20"/>
  <c r="I203" i="20"/>
  <c r="I205" i="20"/>
  <c r="I210" i="20"/>
  <c r="I215" i="20"/>
  <c r="I219" i="20"/>
  <c r="I225" i="20"/>
  <c r="I230" i="20"/>
  <c r="I233" i="20"/>
  <c r="I238" i="20"/>
  <c r="I243" i="20"/>
  <c r="I245" i="20"/>
  <c r="I250" i="20"/>
  <c r="I254" i="20"/>
  <c r="I266" i="20"/>
  <c r="I271" i="20"/>
  <c r="I274" i="20"/>
  <c r="I279" i="20"/>
  <c r="I282" i="20"/>
  <c r="I287" i="20"/>
  <c r="I292" i="20"/>
  <c r="I302" i="20"/>
  <c r="I306" i="20"/>
  <c r="I310" i="20"/>
  <c r="I315" i="20"/>
  <c r="I323" i="20"/>
  <c r="I328" i="20"/>
  <c r="I334" i="20"/>
  <c r="I343" i="20"/>
  <c r="I345" i="20"/>
  <c r="I350" i="20"/>
  <c r="I355" i="20"/>
  <c r="I359" i="20"/>
  <c r="I363" i="20"/>
  <c r="I373" i="20"/>
  <c r="I378" i="20"/>
  <c r="I384" i="20"/>
  <c r="I386" i="20"/>
  <c r="I387" i="20"/>
  <c r="I391" i="20"/>
  <c r="I406" i="20"/>
  <c r="I408" i="20"/>
  <c r="I411" i="20"/>
  <c r="I414" i="20"/>
  <c r="I419" i="20"/>
  <c r="I422" i="20"/>
  <c r="I429" i="20"/>
  <c r="I436" i="20"/>
  <c r="I443" i="20"/>
  <c r="I447" i="20"/>
  <c r="I450" i="20"/>
  <c r="I454" i="20"/>
  <c r="I457" i="20"/>
  <c r="I462" i="20"/>
  <c r="I469" i="20"/>
  <c r="I471" i="20"/>
  <c r="I475" i="20"/>
  <c r="I478" i="20"/>
  <c r="I482" i="20"/>
  <c r="I490" i="20"/>
  <c r="I497" i="20"/>
  <c r="I504" i="20"/>
  <c r="I511" i="20"/>
  <c r="I513" i="20"/>
  <c r="I1451" i="20"/>
  <c r="I520" i="20"/>
  <c r="I524" i="20"/>
  <c r="I526" i="20"/>
  <c r="I531" i="20"/>
  <c r="I534" i="20"/>
  <c r="I539" i="20"/>
  <c r="I553" i="20"/>
  <c r="I555" i="20"/>
  <c r="I560" i="20"/>
  <c r="I565" i="20"/>
  <c r="I568" i="20"/>
  <c r="I572" i="20"/>
  <c r="I575" i="20"/>
  <c r="I579" i="20"/>
  <c r="I582" i="20"/>
  <c r="I586" i="20"/>
  <c r="I589" i="20"/>
  <c r="I593" i="20"/>
  <c r="I597" i="20"/>
  <c r="I600" i="20"/>
  <c r="I603" i="20"/>
  <c r="I607" i="20"/>
  <c r="I611" i="20"/>
  <c r="I616" i="20"/>
  <c r="I622" i="20"/>
  <c r="I624" i="20"/>
  <c r="I628" i="20"/>
  <c r="I631" i="20"/>
  <c r="I635" i="20"/>
  <c r="I644" i="20"/>
  <c r="I649" i="20"/>
  <c r="I652" i="20"/>
  <c r="I656" i="20"/>
  <c r="I659" i="20"/>
  <c r="I663" i="20"/>
  <c r="I666" i="20"/>
  <c r="I670" i="20"/>
  <c r="I673" i="20"/>
  <c r="I677" i="20"/>
  <c r="I680" i="20"/>
  <c r="I684" i="20"/>
  <c r="I687" i="20"/>
  <c r="I691" i="20"/>
  <c r="I694" i="20"/>
  <c r="I699" i="20"/>
  <c r="I706" i="20"/>
  <c r="I709" i="20"/>
  <c r="I713" i="20"/>
  <c r="I716" i="20"/>
  <c r="I719" i="20"/>
  <c r="I723" i="20"/>
  <c r="I727" i="20"/>
  <c r="I729" i="20"/>
  <c r="I733" i="20"/>
  <c r="I736" i="20"/>
  <c r="I740" i="20"/>
  <c r="I743" i="20"/>
  <c r="I748" i="20"/>
  <c r="I751" i="20"/>
  <c r="I755" i="20"/>
  <c r="I763" i="20"/>
  <c r="I770" i="20"/>
  <c r="I772" i="20"/>
  <c r="I776" i="20"/>
  <c r="I784" i="20"/>
  <c r="I789" i="20"/>
  <c r="I792" i="20"/>
  <c r="I796" i="20"/>
  <c r="I799" i="20"/>
  <c r="I803" i="20"/>
  <c r="I806" i="20"/>
  <c r="I811" i="20"/>
  <c r="I814" i="20"/>
  <c r="I817" i="20"/>
  <c r="I820" i="20"/>
  <c r="I825" i="20"/>
  <c r="I827" i="20"/>
  <c r="I831" i="20"/>
  <c r="I834" i="20"/>
  <c r="I838" i="20"/>
  <c r="I841" i="20"/>
  <c r="I845" i="20"/>
  <c r="I849" i="20"/>
  <c r="I853" i="20"/>
  <c r="I856" i="20"/>
  <c r="I860" i="20"/>
  <c r="I863" i="20"/>
  <c r="I866" i="20"/>
  <c r="I869" i="20"/>
  <c r="I873" i="20"/>
  <c r="I876" i="20"/>
  <c r="I881" i="20"/>
  <c r="I884" i="20"/>
  <c r="I887" i="20"/>
  <c r="I890" i="20"/>
  <c r="I894" i="20"/>
  <c r="I897" i="20"/>
  <c r="I901" i="20"/>
  <c r="I904" i="20"/>
  <c r="I908" i="20"/>
  <c r="I911" i="20"/>
  <c r="I915" i="20"/>
  <c r="I918" i="20"/>
  <c r="I922" i="20"/>
  <c r="I925" i="20"/>
  <c r="I930" i="20"/>
  <c r="I938" i="20"/>
  <c r="I943" i="20"/>
  <c r="I946" i="20"/>
  <c r="I951" i="20"/>
  <c r="I959" i="20"/>
  <c r="I961" i="20"/>
  <c r="I966" i="20"/>
  <c r="I971" i="20"/>
  <c r="I981" i="20"/>
  <c r="I986" i="20"/>
  <c r="I995" i="20"/>
  <c r="I1000" i="20"/>
  <c r="I1009" i="20"/>
  <c r="I1013" i="20"/>
  <c r="I1017" i="20"/>
  <c r="I1022" i="20"/>
  <c r="I1028" i="20"/>
  <c r="I1036" i="20"/>
  <c r="I1041" i="20"/>
  <c r="I1044" i="20"/>
  <c r="I1049" i="20"/>
  <c r="I1052" i="20"/>
  <c r="I1057" i="20"/>
  <c r="I1064" i="20"/>
  <c r="I1071" i="20"/>
  <c r="I1073" i="20"/>
  <c r="I1076" i="20"/>
  <c r="I1080" i="20"/>
  <c r="I1083" i="20"/>
  <c r="I1082" i="20" s="1"/>
  <c r="I1090" i="20"/>
  <c r="I1093" i="20"/>
  <c r="I1097" i="20"/>
  <c r="I1100" i="20"/>
  <c r="I1105" i="20"/>
  <c r="I1108" i="20"/>
  <c r="I1112" i="20"/>
  <c r="I1115" i="20"/>
  <c r="I1119" i="20"/>
  <c r="I1127" i="20"/>
  <c r="I1134" i="20"/>
  <c r="I1135" i="20"/>
  <c r="I1139" i="20"/>
  <c r="I1138" i="20" s="1"/>
  <c r="I1147" i="20"/>
  <c r="I1150" i="20"/>
  <c r="I1154" i="20"/>
  <c r="I1157" i="20"/>
  <c r="I1161" i="20"/>
  <c r="I1164" i="20"/>
  <c r="I1167" i="20"/>
  <c r="I1170" i="20"/>
  <c r="I1174" i="20"/>
  <c r="I1173" i="20" s="1"/>
  <c r="I1183" i="20"/>
  <c r="I1188" i="20"/>
  <c r="I1191" i="20"/>
  <c r="I1195" i="20"/>
  <c r="I30" i="20"/>
  <c r="I26" i="20"/>
  <c r="I21" i="20"/>
  <c r="I16" i="20"/>
  <c r="I13" i="20"/>
  <c r="I7" i="20"/>
  <c r="I1448" i="20"/>
  <c r="I1440" i="20"/>
  <c r="I1439" i="20" s="1"/>
  <c r="I1437" i="20"/>
  <c r="I1435" i="20"/>
  <c r="I1429" i="20"/>
  <c r="I1427" i="20"/>
  <c r="I1423" i="20"/>
  <c r="I1420" i="20"/>
  <c r="I1416" i="20"/>
  <c r="I1413" i="20"/>
  <c r="I1408" i="20"/>
  <c r="I1406" i="20"/>
  <c r="I1400" i="20"/>
  <c r="I1394" i="20"/>
  <c r="I1388" i="20"/>
  <c r="I1386" i="20"/>
  <c r="I1379" i="20"/>
  <c r="I1373" i="20"/>
  <c r="I1370" i="20"/>
  <c r="I1369" i="20" s="1"/>
  <c r="I1366" i="20"/>
  <c r="I1363" i="20"/>
  <c r="I1362" i="20" s="1"/>
  <c r="I1359" i="20"/>
  <c r="I1353" i="20"/>
  <c r="I1350" i="20"/>
  <c r="I1346" i="20"/>
  <c r="I1343" i="20"/>
  <c r="I1338" i="20"/>
  <c r="I1335" i="20"/>
  <c r="I1334" i="20" s="1"/>
  <c r="I1331" i="20"/>
  <c r="I1328" i="20"/>
  <c r="I1327" i="20" s="1"/>
  <c r="I1311" i="20"/>
  <c r="I460" i="20"/>
  <c r="I448" i="20"/>
  <c r="I442" i="20"/>
  <c r="I439" i="20"/>
  <c r="I434" i="20"/>
  <c r="I418" i="20"/>
  <c r="I417" i="20" s="1"/>
  <c r="I413" i="20"/>
  <c r="I404" i="20"/>
  <c r="I400" i="20"/>
  <c r="I397" i="20"/>
  <c r="I376" i="20"/>
  <c r="I371" i="20"/>
  <c r="I365" i="20"/>
  <c r="I357" i="20"/>
  <c r="I352" i="20"/>
  <c r="I348" i="20"/>
  <c r="I337" i="20"/>
  <c r="I320" i="20"/>
  <c r="I316" i="20"/>
  <c r="I307" i="20"/>
  <c r="I301" i="20"/>
  <c r="I295" i="20"/>
  <c r="I288" i="20"/>
  <c r="I275" i="20"/>
  <c r="I261" i="20"/>
  <c r="I258" i="20"/>
  <c r="I253" i="20"/>
  <c r="I252" i="20"/>
  <c r="I246" i="20"/>
  <c r="I237" i="20"/>
  <c r="I231" i="20"/>
  <c r="I226" i="20"/>
  <c r="I216" i="20"/>
  <c r="I211" i="20"/>
  <c r="I208" i="20"/>
  <c r="I202" i="20"/>
  <c r="I196" i="20"/>
  <c r="I190" i="20"/>
  <c r="I187" i="20"/>
  <c r="I180" i="20"/>
  <c r="I175" i="20"/>
  <c r="I170" i="20"/>
  <c r="I166" i="20"/>
  <c r="I160" i="20"/>
  <c r="I154" i="20"/>
  <c r="I149" i="20"/>
  <c r="I146" i="20"/>
  <c r="I140" i="20"/>
  <c r="I135" i="20"/>
  <c r="I131" i="20"/>
  <c r="I127" i="20"/>
  <c r="I114" i="20"/>
  <c r="I110" i="20"/>
  <c r="I106" i="20"/>
  <c r="I97" i="20"/>
  <c r="I91" i="20"/>
  <c r="I86" i="20"/>
  <c r="I82" i="20"/>
  <c r="I78" i="20"/>
  <c r="I72" i="20"/>
  <c r="I62" i="20"/>
  <c r="I57" i="20"/>
  <c r="I50" i="20"/>
  <c r="I34" i="20"/>
  <c r="I28" i="20"/>
  <c r="I23" i="20"/>
  <c r="I19" i="20"/>
  <c r="I14" i="20"/>
  <c r="I9" i="20"/>
  <c r="I5" i="20"/>
  <c r="I828" i="20"/>
  <c r="I826" i="20"/>
  <c r="I819" i="20"/>
  <c r="I812" i="20"/>
  <c r="I804" i="20"/>
  <c r="I800" i="20"/>
  <c r="I797" i="20"/>
  <c r="I793" i="20"/>
  <c r="I790" i="20"/>
  <c r="I786" i="20"/>
  <c r="I783" i="20"/>
  <c r="I779" i="20"/>
  <c r="I777" i="20"/>
  <c r="I768" i="20"/>
  <c r="I767" i="20" s="1"/>
  <c r="I764" i="20"/>
  <c r="I761" i="20"/>
  <c r="I760" i="20" s="1"/>
  <c r="I757" i="20"/>
  <c r="I754" i="20"/>
  <c r="I753" i="20" s="1"/>
  <c r="I750" i="20"/>
  <c r="I747" i="20"/>
  <c r="I746" i="20" s="1"/>
  <c r="I744" i="20"/>
  <c r="I741" i="20"/>
  <c r="I737" i="20"/>
  <c r="I734" i="20"/>
  <c r="I730" i="20"/>
  <c r="I726" i="20"/>
  <c r="I725" i="20" s="1"/>
  <c r="I722" i="20"/>
  <c r="I720" i="20"/>
  <c r="I715" i="20"/>
  <c r="I707" i="20"/>
  <c r="I702" i="20"/>
  <c r="I551" i="20"/>
  <c r="I698" i="20"/>
  <c r="I697" i="20" s="1"/>
  <c r="I695" i="20"/>
  <c r="I692" i="20"/>
  <c r="I688" i="20"/>
  <c r="I685" i="20"/>
  <c r="I681" i="20"/>
  <c r="I678" i="20"/>
  <c r="I674" i="20"/>
  <c r="I672" i="20"/>
  <c r="I665" i="20"/>
  <c r="I660" i="20"/>
  <c r="I657" i="20"/>
  <c r="I653" i="20"/>
  <c r="I650" i="20"/>
  <c r="I646" i="20"/>
  <c r="I643" i="20"/>
  <c r="I639" i="20"/>
  <c r="I636" i="20"/>
  <c r="I632" i="20"/>
  <c r="I629" i="20"/>
  <c r="I625" i="20"/>
  <c r="I623" i="20"/>
  <c r="I621" i="20"/>
  <c r="I620" i="20" s="1"/>
  <c r="I618" i="20"/>
  <c r="I614" i="20"/>
  <c r="I613" i="20" s="1"/>
  <c r="I609" i="20"/>
  <c r="I602" i="20"/>
  <c r="I595" i="20"/>
  <c r="I587" i="20"/>
  <c r="I583" i="20"/>
  <c r="I580" i="20"/>
  <c r="I574" i="20"/>
  <c r="I569" i="20"/>
  <c r="I567" i="20"/>
  <c r="I561" i="20"/>
  <c r="I552" i="20"/>
  <c r="I547" i="20"/>
  <c r="I545" i="20"/>
  <c r="I541" i="20"/>
  <c r="I538" i="20"/>
  <c r="I533" i="20"/>
  <c r="I532" i="20"/>
  <c r="I523" i="20"/>
  <c r="I522" i="20" s="1"/>
  <c r="I519" i="20"/>
  <c r="I510" i="20"/>
  <c r="I506" i="20"/>
  <c r="I503" i="20"/>
  <c r="I499" i="20"/>
  <c r="I496" i="20"/>
  <c r="I492" i="20"/>
  <c r="I488" i="20"/>
  <c r="I487" i="20" s="1"/>
  <c r="I484" i="20"/>
  <c r="I481" i="20"/>
  <c r="I480" i="20" s="1"/>
  <c r="I477" i="20"/>
  <c r="I474" i="20"/>
  <c r="I473" i="20" s="1"/>
  <c r="I470" i="20"/>
  <c r="I468" i="20"/>
  <c r="I464" i="20"/>
  <c r="I461" i="20"/>
  <c r="I456" i="20"/>
  <c r="I446" i="20"/>
  <c r="I445" i="20" s="1"/>
  <c r="I441" i="20"/>
  <c r="I432" i="20"/>
  <c r="I431" i="20" s="1"/>
  <c r="I427" i="20"/>
  <c r="I426" i="20"/>
  <c r="I415" i="20"/>
  <c r="I407" i="20"/>
  <c r="I399" i="20"/>
  <c r="I394" i="20"/>
  <c r="I390" i="20"/>
  <c r="I389" i="20" s="1"/>
  <c r="I385" i="20"/>
  <c r="I380" i="20"/>
  <c r="I377" i="20"/>
  <c r="I372" i="20"/>
  <c r="I369" i="20"/>
  <c r="I368" i="20" s="1"/>
  <c r="I364" i="20"/>
  <c r="I356" i="20"/>
  <c r="I351" i="20"/>
  <c r="I341" i="20"/>
  <c r="I336" i="20"/>
  <c r="I330" i="20"/>
  <c r="I327" i="20"/>
  <c r="I322" i="20"/>
  <c r="I317" i="20"/>
  <c r="I314" i="20"/>
  <c r="I308" i="20"/>
  <c r="I299" i="20"/>
  <c r="I294" i="20"/>
  <c r="I289" i="20"/>
  <c r="I286" i="20"/>
  <c r="I281" i="20"/>
  <c r="I278" i="20"/>
  <c r="I273" i="20"/>
  <c r="I268" i="20"/>
  <c r="I264" i="20"/>
  <c r="I259" i="20"/>
  <c r="I251" i="20"/>
  <c r="I247" i="20"/>
  <c r="I244" i="20"/>
  <c r="I240" i="20"/>
  <c r="I223" i="20"/>
  <c r="I218" i="20"/>
  <c r="I209" i="20"/>
  <c r="I204" i="20"/>
  <c r="I195" i="20"/>
  <c r="I191" i="20"/>
  <c r="I188" i="20"/>
  <c r="I183" i="20"/>
  <c r="I173" i="20"/>
  <c r="I168" i="20"/>
  <c r="I163" i="20"/>
  <c r="I161" i="20"/>
  <c r="I155" i="20"/>
  <c r="I132" i="20"/>
  <c r="I126" i="20"/>
  <c r="I121" i="20"/>
  <c r="I118" i="20"/>
  <c r="I112" i="20"/>
  <c r="I107" i="20"/>
  <c r="I104" i="20"/>
  <c r="I98" i="20"/>
  <c r="I93" i="20"/>
  <c r="I89" i="20"/>
  <c r="I84" i="20"/>
  <c r="I79" i="20"/>
  <c r="I75" i="20"/>
  <c r="I70" i="20"/>
  <c r="I65" i="20"/>
  <c r="I61" i="20"/>
  <c r="I56" i="20"/>
  <c r="I48" i="20"/>
  <c r="I43" i="20"/>
  <c r="I40" i="20"/>
  <c r="I35" i="20"/>
  <c r="I1198" i="20"/>
  <c r="I1056" i="20"/>
  <c r="I1051" i="20"/>
  <c r="I1035" i="20"/>
  <c r="I1029" i="20"/>
  <c r="I1024" i="20"/>
  <c r="I1021" i="20"/>
  <c r="I1016" i="20"/>
  <c r="I1006" i="20"/>
  <c r="I1005" i="20" s="1"/>
  <c r="I1001" i="20"/>
  <c r="I996" i="20"/>
  <c r="I993" i="20"/>
  <c r="I988" i="20"/>
  <c r="I978" i="20"/>
  <c r="I977" i="20" s="1"/>
  <c r="I973" i="20"/>
  <c r="I968" i="20"/>
  <c r="I958" i="20"/>
  <c r="I954" i="20"/>
  <c r="I952" i="20"/>
  <c r="I947" i="20"/>
  <c r="I940" i="20"/>
  <c r="I937" i="20"/>
  <c r="I932" i="20"/>
  <c r="I924" i="20"/>
  <c r="I919" i="20"/>
  <c r="I916" i="20"/>
  <c r="I912" i="20"/>
  <c r="I903" i="20"/>
  <c r="I898" i="20"/>
  <c r="I896" i="20"/>
  <c r="I888" i="20"/>
  <c r="I1279" i="20"/>
  <c r="I1278" i="20" s="1"/>
  <c r="I1275" i="20"/>
  <c r="I1269" i="20"/>
  <c r="I1265" i="20"/>
  <c r="I1264" i="20" s="1"/>
  <c r="I1262" i="20"/>
  <c r="I1260" i="20"/>
  <c r="I1247" i="20"/>
  <c r="I1245" i="20"/>
  <c r="I1241" i="20"/>
  <c r="I1238" i="20"/>
  <c r="I1234" i="20"/>
  <c r="I1230" i="20"/>
  <c r="I1229" i="20" s="1"/>
  <c r="I1226" i="20"/>
  <c r="I1223" i="20"/>
  <c r="I1222" i="20" s="1"/>
  <c r="I1219" i="20"/>
  <c r="I1216" i="20"/>
  <c r="I1215" i="20" s="1"/>
  <c r="I1213" i="20"/>
  <c r="I1210" i="20"/>
  <c r="I1206" i="20"/>
  <c r="I1203" i="20"/>
  <c r="I8" i="20"/>
  <c r="I12" i="20"/>
  <c r="I15" i="20"/>
  <c r="I20" i="20"/>
  <c r="I22" i="20"/>
  <c r="I27" i="20"/>
  <c r="I37" i="20"/>
  <c r="I42" i="20"/>
  <c r="I47" i="20"/>
  <c r="I51" i="20"/>
  <c r="I55" i="20"/>
  <c r="I58" i="20"/>
  <c r="I64" i="20"/>
  <c r="I69" i="20"/>
  <c r="I71" i="20"/>
  <c r="I76" i="20"/>
  <c r="I85" i="20"/>
  <c r="I90" i="20"/>
  <c r="I99" i="20"/>
  <c r="I103" i="20"/>
  <c r="I102" i="20" s="1"/>
  <c r="I113" i="20"/>
  <c r="I117" i="20"/>
  <c r="I120" i="20"/>
  <c r="I125" i="20"/>
  <c r="I134" i="20"/>
  <c r="I138" i="20"/>
  <c r="I141" i="20"/>
  <c r="I145" i="20"/>
  <c r="I148" i="20"/>
  <c r="I153" i="20"/>
  <c r="I159" i="20"/>
  <c r="I158" i="20" s="1"/>
  <c r="I169" i="20"/>
  <c r="I174" i="20"/>
  <c r="I177" i="20"/>
  <c r="I182" i="20"/>
  <c r="I189" i="20"/>
  <c r="I194" i="20"/>
  <c r="I198" i="20"/>
  <c r="I201" i="20"/>
  <c r="I200" i="20" s="1"/>
  <c r="I212" i="20"/>
  <c r="I217" i="20"/>
  <c r="I222" i="20"/>
  <c r="I224" i="20"/>
  <c r="I229" i="20"/>
  <c r="I232" i="20"/>
  <c r="I236" i="20"/>
  <c r="I239" i="20"/>
  <c r="I257" i="20"/>
  <c r="I260" i="20"/>
  <c r="I265" i="20"/>
  <c r="I267" i="20"/>
  <c r="I272" i="20"/>
  <c r="I280" i="20"/>
  <c r="I285" i="20"/>
  <c r="I284" i="20" s="1"/>
  <c r="I293" i="20"/>
  <c r="I296" i="20"/>
  <c r="I300" i="20"/>
  <c r="I303" i="20"/>
  <c r="I309" i="20"/>
  <c r="I313" i="20"/>
  <c r="I312" i="20" s="1"/>
  <c r="I321" i="20"/>
  <c r="I324" i="20"/>
  <c r="I329" i="20"/>
  <c r="I331" i="20"/>
  <c r="I335" i="20"/>
  <c r="I338" i="20"/>
  <c r="I342" i="20"/>
  <c r="I344" i="20"/>
  <c r="I349" i="20"/>
  <c r="H464" i="20"/>
  <c r="H470" i="20"/>
  <c r="H477" i="20"/>
  <c r="H489" i="20"/>
  <c r="H495" i="20"/>
  <c r="H499" i="20"/>
  <c r="H505" i="20"/>
  <c r="H511" i="20"/>
  <c r="H517" i="20"/>
  <c r="H523" i="20"/>
  <c r="H526" i="20"/>
  <c r="H533" i="20"/>
  <c r="H540" i="20"/>
  <c r="H545" i="20"/>
  <c r="H551" i="20"/>
  <c r="H555" i="20"/>
  <c r="H560" i="20"/>
  <c r="H565" i="20"/>
  <c r="H569" i="20"/>
  <c r="H582" i="20"/>
  <c r="H586" i="20"/>
  <c r="H590" i="20"/>
  <c r="H597" i="20"/>
  <c r="H604" i="20"/>
  <c r="H610" i="20"/>
  <c r="H614" i="20"/>
  <c r="H624" i="20"/>
  <c r="H631" i="20"/>
  <c r="H637" i="20"/>
  <c r="H646" i="20"/>
  <c r="H658" i="20"/>
  <c r="H664" i="20"/>
  <c r="H670" i="20"/>
  <c r="H674" i="20"/>
  <c r="H681" i="20"/>
  <c r="H684" i="20"/>
  <c r="H688" i="20"/>
  <c r="H705" i="20"/>
  <c r="H715" i="20"/>
  <c r="H719" i="20"/>
  <c r="H723" i="20"/>
  <c r="H727" i="20"/>
  <c r="H730" i="20"/>
  <c r="H743" i="20"/>
  <c r="H749" i="20"/>
  <c r="H756" i="20"/>
  <c r="H762" i="20"/>
  <c r="H769" i="20"/>
  <c r="H777" i="20"/>
  <c r="H784" i="20"/>
  <c r="H789" i="20"/>
  <c r="H793" i="20"/>
  <c r="H799" i="20"/>
  <c r="H805" i="20"/>
  <c r="H811" i="20"/>
  <c r="H817" i="20"/>
  <c r="H821" i="20"/>
  <c r="H826" i="20"/>
  <c r="H832" i="20"/>
  <c r="H838" i="20"/>
  <c r="H842" i="20"/>
  <c r="H848" i="20"/>
  <c r="H853" i="20"/>
  <c r="H860" i="20"/>
  <c r="H866" i="20"/>
  <c r="H869" i="20"/>
  <c r="H876" i="20"/>
  <c r="H881" i="20"/>
  <c r="H887" i="20"/>
  <c r="H898" i="20"/>
  <c r="H902" i="20"/>
  <c r="H909" i="20"/>
  <c r="H915" i="20"/>
  <c r="H919" i="20"/>
  <c r="H926" i="20"/>
  <c r="H931" i="20"/>
  <c r="H936" i="20"/>
  <c r="H940" i="20"/>
  <c r="H946" i="20"/>
  <c r="H950" i="20"/>
  <c r="H954" i="20"/>
  <c r="H960" i="20"/>
  <c r="H965" i="20"/>
  <c r="H971" i="20"/>
  <c r="H974" i="20"/>
  <c r="H979" i="20"/>
  <c r="H982" i="20"/>
  <c r="H988" i="20"/>
  <c r="H993" i="20"/>
  <c r="H996" i="20"/>
  <c r="H1006" i="20"/>
  <c r="H1013" i="20"/>
  <c r="H1017" i="20"/>
  <c r="H1031" i="20"/>
  <c r="H1036" i="20"/>
  <c r="H1043" i="20"/>
  <c r="H1049" i="20"/>
  <c r="H1055" i="20"/>
  <c r="H1059" i="20"/>
  <c r="H1065" i="20"/>
  <c r="H1070" i="20"/>
  <c r="H1080" i="20"/>
  <c r="H1086" i="20"/>
  <c r="H1092" i="20"/>
  <c r="H1097" i="20"/>
  <c r="H1115" i="20"/>
  <c r="H1121" i="20"/>
  <c r="H1128" i="20"/>
  <c r="H1133" i="20"/>
  <c r="H1139" i="20"/>
  <c r="H1156" i="20"/>
  <c r="H1161" i="20"/>
  <c r="H1167" i="20"/>
  <c r="H1183" i="20"/>
  <c r="H1190" i="20"/>
  <c r="H1196" i="20"/>
  <c r="H1199" i="20"/>
  <c r="H1213" i="20"/>
  <c r="H1219" i="20"/>
  <c r="H1225" i="20"/>
  <c r="H1230" i="20"/>
  <c r="H1234" i="20"/>
  <c r="H1240" i="20"/>
  <c r="H1247" i="20"/>
  <c r="H1254" i="20"/>
  <c r="H1259" i="20"/>
  <c r="H1261" i="20"/>
  <c r="H1268" i="20"/>
  <c r="H1276" i="20"/>
  <c r="H1280" i="20"/>
  <c r="H1287" i="20"/>
  <c r="H1297" i="20"/>
  <c r="H1304" i="20"/>
  <c r="H1317" i="20"/>
  <c r="H1323" i="20"/>
  <c r="H1330" i="20"/>
  <c r="H1336" i="20"/>
  <c r="H1356" i="20"/>
  <c r="H1367" i="20"/>
  <c r="H1372" i="20"/>
  <c r="H1379" i="20"/>
  <c r="H1391" i="20"/>
  <c r="H1395" i="20"/>
  <c r="H1400" i="20"/>
  <c r="H1408" i="20"/>
  <c r="H1414" i="20"/>
  <c r="H1421" i="20"/>
  <c r="H1429" i="20"/>
  <c r="H1444" i="20"/>
  <c r="H1449" i="20"/>
  <c r="H1455" i="20"/>
  <c r="H1461" i="20"/>
  <c r="H1472" i="20"/>
  <c r="H1485" i="20"/>
  <c r="H1490" i="20"/>
  <c r="H1497" i="20"/>
  <c r="H1499" i="20"/>
  <c r="H1504" i="20"/>
  <c r="H1514" i="20"/>
  <c r="H1521" i="20"/>
  <c r="H1526" i="20"/>
  <c r="H1532" i="20"/>
  <c r="H1539" i="20"/>
  <c r="H1547" i="20"/>
  <c r="H1561" i="20"/>
  <c r="H1568" i="20"/>
  <c r="H1574" i="20"/>
  <c r="H1582" i="20"/>
  <c r="H1587" i="20"/>
  <c r="H1591" i="20"/>
  <c r="H1597" i="20"/>
  <c r="H1603" i="20"/>
  <c r="H1608" i="20"/>
  <c r="H628" i="20"/>
  <c r="H625" i="20"/>
  <c r="H622" i="20"/>
  <c r="H616" i="20"/>
  <c r="H609" i="20"/>
  <c r="H601" i="20"/>
  <c r="H595" i="20"/>
  <c r="H587" i="20"/>
  <c r="H581" i="20"/>
  <c r="H576" i="20"/>
  <c r="H573" i="20"/>
  <c r="H568" i="20"/>
  <c r="H559" i="20"/>
  <c r="H553" i="20"/>
  <c r="H547" i="20"/>
  <c r="H538" i="20"/>
  <c r="H534" i="20"/>
  <c r="H520" i="20"/>
  <c r="H512" i="20"/>
  <c r="H509" i="20"/>
  <c r="H503" i="20"/>
  <c r="H497" i="20"/>
  <c r="H491" i="20"/>
  <c r="H485" i="20"/>
  <c r="H481" i="20"/>
  <c r="H476" i="20"/>
  <c r="H474" i="20"/>
  <c r="H468" i="20"/>
  <c r="H462" i="20"/>
  <c r="H460" i="20"/>
  <c r="H454" i="20"/>
  <c r="H450" i="20"/>
  <c r="H446" i="20"/>
  <c r="H440" i="20"/>
  <c r="H436" i="20"/>
  <c r="H431" i="20" s="1"/>
  <c r="H636" i="20"/>
  <c r="H642" i="20"/>
  <c r="H651" i="20"/>
  <c r="H657" i="20"/>
  <c r="H663" i="20"/>
  <c r="H679" i="20"/>
  <c r="H685" i="20"/>
  <c r="H691" i="20"/>
  <c r="H695" i="20"/>
  <c r="H709" i="20"/>
  <c r="H713" i="20"/>
  <c r="H722" i="20"/>
  <c r="H726" i="20"/>
  <c r="H736" i="20"/>
  <c r="H741" i="20"/>
  <c r="H747" i="20"/>
  <c r="H757" i="20"/>
  <c r="H764" i="20"/>
  <c r="H771" i="20"/>
  <c r="H776" i="20"/>
  <c r="H786" i="20"/>
  <c r="H800" i="20"/>
  <c r="H804" i="20"/>
  <c r="H810" i="20"/>
  <c r="H813" i="20"/>
  <c r="H818" i="20"/>
  <c r="H828" i="20"/>
  <c r="H840" i="20"/>
  <c r="H845" i="20"/>
  <c r="H849" i="20"/>
  <c r="H854" i="20"/>
  <c r="H859" i="20"/>
  <c r="H863" i="20"/>
  <c r="H868" i="20"/>
  <c r="H873" i="20"/>
  <c r="H877" i="20"/>
  <c r="H883" i="20"/>
  <c r="H888" i="20"/>
  <c r="H894" i="20"/>
  <c r="H904" i="20"/>
  <c r="H910" i="20"/>
  <c r="H916" i="20"/>
  <c r="H922" i="20"/>
  <c r="H943" i="20"/>
  <c r="H953" i="20"/>
  <c r="H959" i="20"/>
  <c r="H975" i="20"/>
  <c r="H980" i="20"/>
  <c r="H986" i="20"/>
  <c r="H995" i="20"/>
  <c r="H999" i="20"/>
  <c r="H1003" i="20"/>
  <c r="H1008" i="20"/>
  <c r="H1014" i="20"/>
  <c r="H1020" i="20"/>
  <c r="H1024" i="20"/>
  <c r="H1030" i="20"/>
  <c r="H1035" i="20"/>
  <c r="H1041" i="20"/>
  <c r="H1044" i="20"/>
  <c r="H1051" i="20"/>
  <c r="H1058" i="20"/>
  <c r="H1064" i="20"/>
  <c r="H1069" i="20"/>
  <c r="H1073" i="20"/>
  <c r="H1079" i="20"/>
  <c r="H1085" i="20"/>
  <c r="H1091" i="20"/>
  <c r="H1094" i="20"/>
  <c r="H1099" i="20"/>
  <c r="H1105" i="20"/>
  <c r="H1111" i="20"/>
  <c r="H1122" i="20"/>
  <c r="H1126" i="20"/>
  <c r="H1129" i="20"/>
  <c r="H1143" i="20"/>
  <c r="H1148" i="20"/>
  <c r="H1154" i="20"/>
  <c r="H1171" i="20"/>
  <c r="H1176" i="20"/>
  <c r="H1184" i="20"/>
  <c r="H1188" i="20"/>
  <c r="H1197" i="20"/>
  <c r="H1203" i="20"/>
  <c r="H1209" i="20"/>
  <c r="H1216" i="20"/>
  <c r="H1241" i="20"/>
  <c r="H1246" i="20"/>
  <c r="H1253" i="20"/>
  <c r="H1258" i="20"/>
  <c r="H1265" i="20"/>
  <c r="H1279" i="20"/>
  <c r="H1289" i="20"/>
  <c r="H1296" i="20"/>
  <c r="H1300" i="20"/>
  <c r="H1310" i="20"/>
  <c r="H1314" i="20"/>
  <c r="H1324" i="20"/>
  <c r="H1329" i="20"/>
  <c r="H1335" i="20"/>
  <c r="H1337" i="20"/>
  <c r="H1342" i="20"/>
  <c r="H1350" i="20"/>
  <c r="H1360" i="20"/>
  <c r="H1365" i="20"/>
  <c r="H1371" i="20"/>
  <c r="H1380" i="20"/>
  <c r="H1385" i="20"/>
  <c r="H1402" i="20"/>
  <c r="H1415" i="20"/>
  <c r="H1420" i="20"/>
  <c r="H1426" i="20"/>
  <c r="H1430" i="20"/>
  <c r="H1437" i="20"/>
  <c r="H1442" i="20"/>
  <c r="H1447" i="20"/>
  <c r="H1457" i="20"/>
  <c r="H1463" i="20"/>
  <c r="H1468" i="20"/>
  <c r="H1479" i="20"/>
  <c r="H1486" i="20"/>
  <c r="H1492" i="20"/>
  <c r="H1496" i="20"/>
  <c r="H1500" i="20"/>
  <c r="H1505" i="20"/>
  <c r="H1510" i="20"/>
  <c r="H1518" i="20"/>
  <c r="H1525" i="20"/>
  <c r="H1531" i="20"/>
  <c r="H1535" i="20"/>
  <c r="H1540" i="20"/>
  <c r="H1545" i="20"/>
  <c r="H1554" i="20"/>
  <c r="H1559" i="20"/>
  <c r="H1577" i="20"/>
  <c r="H1583" i="20"/>
  <c r="H1588" i="20"/>
  <c r="H1594" i="20"/>
  <c r="H1612" i="20"/>
  <c r="H1616" i="20"/>
  <c r="H1619" i="20"/>
  <c r="H457" i="20"/>
  <c r="H1611" i="20"/>
  <c r="H1602" i="20"/>
  <c r="H1595" i="20"/>
  <c r="H1589" i="20"/>
  <c r="H1581" i="20"/>
  <c r="H1575" i="20"/>
  <c r="H1569" i="20"/>
  <c r="H1563" i="20"/>
  <c r="H1555" i="20"/>
  <c r="H1549" i="20"/>
  <c r="H1542" i="20"/>
  <c r="H1538" i="20"/>
  <c r="H1533" i="20"/>
  <c r="H1527" i="20"/>
  <c r="H1517" i="20"/>
  <c r="H1511" i="20"/>
  <c r="H1506" i="20"/>
  <c r="H1491" i="20"/>
  <c r="H1483" i="20"/>
  <c r="H1478" i="20"/>
  <c r="H1475" i="20"/>
  <c r="H1469" i="20"/>
  <c r="H1464" i="20"/>
  <c r="H1458" i="20"/>
  <c r="H1454" i="20"/>
  <c r="H1450" i="20"/>
  <c r="H1443" i="20"/>
  <c r="H1436" i="20"/>
  <c r="H1433" i="20"/>
  <c r="H1427" i="20"/>
  <c r="H1423" i="20"/>
  <c r="H1419" i="20"/>
  <c r="H1413" i="20"/>
  <c r="H1409" i="20"/>
  <c r="H1406" i="20"/>
  <c r="H1394" i="20"/>
  <c r="H1388" i="20"/>
  <c r="H1384" i="20"/>
  <c r="H1378" i="20"/>
  <c r="H1374" i="20"/>
  <c r="H1363" i="20"/>
  <c r="H1357" i="20"/>
  <c r="H1349" i="20"/>
  <c r="H1345" i="20"/>
  <c r="H1338" i="20"/>
  <c r="H1331" i="20"/>
  <c r="H1318" i="20"/>
  <c r="H1308" i="20"/>
  <c r="H1303" i="20"/>
  <c r="H1293" i="20"/>
  <c r="H1286" i="20"/>
  <c r="H1281" i="20"/>
  <c r="H1274" i="20"/>
  <c r="H1269" i="20"/>
  <c r="H1255" i="20"/>
  <c r="H1245" i="20"/>
  <c r="H1238" i="20"/>
  <c r="H1233" i="20"/>
  <c r="H1227" i="20"/>
  <c r="H1223" i="20"/>
  <c r="H1218" i="20"/>
  <c r="H1212" i="20"/>
  <c r="H1205" i="20"/>
  <c r="H1191" i="20"/>
  <c r="H1185" i="20"/>
  <c r="H1181" i="20"/>
  <c r="H1175" i="20"/>
  <c r="H1168" i="20"/>
  <c r="H1162" i="20"/>
  <c r="H1157" i="20"/>
  <c r="H1149" i="20"/>
  <c r="H1146" i="20"/>
  <c r="H1141" i="20"/>
  <c r="H1135" i="20"/>
  <c r="H1120" i="20"/>
  <c r="H1112" i="20"/>
  <c r="H1106" i="20"/>
  <c r="H1100" i="20"/>
  <c r="H1093" i="20"/>
  <c r="H1087" i="20"/>
  <c r="H1084" i="20"/>
  <c r="H1078" i="20"/>
  <c r="H1072" i="20"/>
  <c r="H1045" i="20"/>
  <c r="H1038" i="20"/>
  <c r="H1034" i="20"/>
  <c r="H1029" i="20"/>
  <c r="H1023" i="20"/>
  <c r="H1016" i="20"/>
  <c r="H1009" i="20"/>
  <c r="H1002" i="20"/>
  <c r="H968" i="20"/>
  <c r="H964" i="20"/>
  <c r="H958" i="20"/>
  <c r="H951" i="20"/>
  <c r="H945" i="20"/>
  <c r="H937" i="20"/>
  <c r="H930" i="20"/>
  <c r="H924" i="20"/>
  <c r="H918" i="20"/>
  <c r="H901" i="20"/>
  <c r="H895" i="20"/>
  <c r="H889" i="20"/>
  <c r="H882" i="20"/>
  <c r="H875" i="20"/>
  <c r="H870" i="20"/>
  <c r="H856" i="20"/>
  <c r="H833" i="20"/>
  <c r="H827" i="20"/>
  <c r="H825" i="20"/>
  <c r="H824" i="20"/>
  <c r="H823" i="20" s="1"/>
  <c r="H814" i="20"/>
  <c r="H797" i="20"/>
  <c r="H790" i="20"/>
  <c r="H783" i="20"/>
  <c r="H778" i="20"/>
  <c r="H770" i="20"/>
  <c r="H765" i="20"/>
  <c r="H754" i="20"/>
  <c r="H748" i="20"/>
  <c r="H742" i="20"/>
  <c r="H737" i="20"/>
  <c r="H733" i="20"/>
  <c r="H721" i="20"/>
  <c r="H714" i="20"/>
  <c r="H708" i="20"/>
  <c r="H702" i="20"/>
  <c r="H698" i="20"/>
  <c r="H692" i="20"/>
  <c r="H686" i="20"/>
  <c r="H680" i="20"/>
  <c r="H672" i="20"/>
  <c r="H660" i="20"/>
  <c r="H652" i="20"/>
  <c r="H645" i="20"/>
  <c r="H638" i="20"/>
  <c r="H618" i="20"/>
  <c r="H608" i="20"/>
  <c r="H602" i="20"/>
  <c r="H596" i="20"/>
  <c r="H579" i="20"/>
  <c r="H558" i="20"/>
  <c r="H527" i="20"/>
  <c r="H516" i="20"/>
  <c r="H510" i="20"/>
  <c r="H504" i="20"/>
  <c r="H498" i="20"/>
  <c r="H492" i="20"/>
  <c r="H483" i="20"/>
  <c r="H471" i="20"/>
  <c r="H456" i="20"/>
  <c r="H449" i="20"/>
  <c r="H441" i="20"/>
  <c r="H447" i="20"/>
  <c r="H453" i="20"/>
  <c r="H455" i="20"/>
  <c r="H461" i="20"/>
  <c r="H463" i="20"/>
  <c r="H469" i="20"/>
  <c r="H475" i="20"/>
  <c r="H482" i="20"/>
  <c r="H488" i="20"/>
  <c r="H502" i="20"/>
  <c r="H513" i="20"/>
  <c r="H519" i="20"/>
  <c r="H524" i="20"/>
  <c r="H530" i="20"/>
  <c r="H537" i="20"/>
  <c r="H541" i="20"/>
  <c r="H546" i="20"/>
  <c r="H552" i="20"/>
  <c r="H561" i="20"/>
  <c r="H566" i="20"/>
  <c r="H572" i="20"/>
  <c r="H575" i="20"/>
  <c r="H580" i="20"/>
  <c r="H583" i="20"/>
  <c r="H589" i="20"/>
  <c r="H594" i="20"/>
  <c r="H600" i="20"/>
  <c r="H621" i="20"/>
  <c r="H632" i="20"/>
  <c r="H644" i="20"/>
  <c r="H650" i="20"/>
  <c r="H653" i="20"/>
  <c r="H659" i="20"/>
  <c r="H665" i="20"/>
  <c r="H673" i="20"/>
  <c r="H678" i="20"/>
  <c r="H693" i="20"/>
  <c r="H700" i="20"/>
  <c r="H707" i="20"/>
  <c r="H729" i="20"/>
  <c r="H734" i="20"/>
  <c r="H740" i="20"/>
  <c r="H751" i="20"/>
  <c r="H758" i="20"/>
  <c r="H763" i="20"/>
  <c r="H768" i="20"/>
  <c r="H772" i="20"/>
  <c r="H775" i="20"/>
  <c r="H782" i="20"/>
  <c r="H792" i="20"/>
  <c r="H798" i="20"/>
  <c r="H807" i="20"/>
  <c r="H820" i="20"/>
  <c r="H831" i="20"/>
  <c r="H835" i="20"/>
  <c r="H841" i="20"/>
  <c r="H846" i="20"/>
  <c r="H852" i="20"/>
  <c r="H862" i="20"/>
  <c r="H867" i="20"/>
  <c r="H874" i="20"/>
  <c r="H880" i="20"/>
  <c r="H890" i="20"/>
  <c r="H896" i="20"/>
  <c r="H905" i="20"/>
  <c r="H911" i="20"/>
  <c r="H917" i="20"/>
  <c r="H923" i="20"/>
  <c r="H929" i="20"/>
  <c r="H933" i="20"/>
  <c r="H938" i="20"/>
  <c r="H944" i="20"/>
  <c r="H952" i="20"/>
  <c r="H957" i="20"/>
  <c r="H966" i="20"/>
  <c r="H972" i="20"/>
  <c r="H981" i="20"/>
  <c r="H987" i="20"/>
  <c r="H992" i="20"/>
  <c r="H1001" i="20"/>
  <c r="H1007" i="20"/>
  <c r="H1022" i="20"/>
  <c r="H1028" i="20"/>
  <c r="H1037" i="20"/>
  <c r="H1042" i="20"/>
  <c r="H1048" i="20"/>
  <c r="H1052" i="20"/>
  <c r="H1057" i="20"/>
  <c r="H1063" i="20"/>
  <c r="H1077" i="20"/>
  <c r="H1098" i="20"/>
  <c r="H1101" i="20"/>
  <c r="H1107" i="20"/>
  <c r="H1113" i="20"/>
  <c r="H1118" i="20"/>
  <c r="H1127" i="20"/>
  <c r="H1134" i="20"/>
  <c r="H1140" i="20"/>
  <c r="H1147" i="20"/>
  <c r="H1153" i="20"/>
  <c r="H1160" i="20"/>
  <c r="H1164" i="20"/>
  <c r="H1170" i="20"/>
  <c r="H1174" i="20"/>
  <c r="H1178" i="20"/>
  <c r="H1192" i="20"/>
  <c r="H1198" i="20"/>
  <c r="H1204" i="20"/>
  <c r="H1210" i="20"/>
  <c r="H1220" i="20"/>
  <c r="H1226" i="20"/>
  <c r="H1231" i="20"/>
  <c r="H1237" i="20"/>
  <c r="H1248" i="20"/>
  <c r="H1252" i="20"/>
  <c r="H1260" i="20"/>
  <c r="H1267" i="20"/>
  <c r="H1273" i="20"/>
  <c r="H1275" i="20"/>
  <c r="H1283" i="20"/>
  <c r="H1290" i="20"/>
  <c r="H1295" i="20"/>
  <c r="H1301" i="20"/>
  <c r="H1307" i="20"/>
  <c r="H1311" i="20"/>
  <c r="H1315" i="20"/>
  <c r="H1321" i="20"/>
  <c r="H1325" i="20"/>
  <c r="H1332" i="20"/>
  <c r="H1343" i="20"/>
  <c r="H1351" i="20"/>
  <c r="H1353" i="20"/>
  <c r="H1359" i="20"/>
  <c r="H1366" i="20"/>
  <c r="H1373" i="20"/>
  <c r="H1381" i="20"/>
  <c r="H1386" i="20"/>
  <c r="H1392" i="20"/>
  <c r="H1398" i="20"/>
  <c r="H1401" i="20"/>
  <c r="H1412" i="20"/>
  <c r="H1435" i="20"/>
  <c r="H1441" i="20"/>
  <c r="H1448" i="20"/>
  <c r="H1470" i="20"/>
  <c r="H1477" i="20"/>
  <c r="H1484" i="20"/>
  <c r="H1489" i="20"/>
  <c r="H1507" i="20"/>
  <c r="H1513" i="20"/>
  <c r="H1520" i="20"/>
  <c r="H1546" i="20"/>
  <c r="H1552" i="20"/>
  <c r="H1556" i="20"/>
  <c r="H1566" i="20"/>
  <c r="H1570" i="20"/>
  <c r="H1576" i="20"/>
  <c r="H1580" i="20"/>
  <c r="H1590" i="20"/>
  <c r="H1596" i="20"/>
  <c r="H1601" i="20"/>
  <c r="H1604" i="20"/>
  <c r="H1609" i="20"/>
  <c r="H1617" i="20"/>
  <c r="H1399" i="20"/>
  <c r="H1393" i="20"/>
  <c r="H1387" i="20"/>
  <c r="H1377" i="20"/>
  <c r="H1376" i="20" s="1"/>
  <c r="H1370" i="20"/>
  <c r="H1369" i="20" s="1"/>
  <c r="H1364" i="20"/>
  <c r="H1358" i="20"/>
  <c r="H1352" i="20"/>
  <c r="H1346" i="20"/>
  <c r="H1344" i="20"/>
  <c r="H1339" i="20"/>
  <c r="H1328" i="20"/>
  <c r="H1327" i="20" s="1"/>
  <c r="H1322" i="20"/>
  <c r="H1316" i="20"/>
  <c r="H1309" i="20"/>
  <c r="H1302" i="20"/>
  <c r="H1294" i="20"/>
  <c r="H1288" i="20"/>
  <c r="H1282" i="20"/>
  <c r="H1272" i="20"/>
  <c r="H1271" i="20" s="1"/>
  <c r="H1266" i="20"/>
  <c r="H1262" i="20"/>
  <c r="H1251" i="20"/>
  <c r="H1250" i="20" s="1"/>
  <c r="H1244" i="20"/>
  <c r="H1243" i="20" s="1"/>
  <c r="H1239" i="20"/>
  <c r="H1232" i="20"/>
  <c r="H1224" i="20"/>
  <c r="H1217" i="20"/>
  <c r="H1211" i="20"/>
  <c r="H1206" i="20"/>
  <c r="H1202" i="20"/>
  <c r="H1201" i="20" s="1"/>
  <c r="H1195" i="20"/>
  <c r="H1194" i="20" s="1"/>
  <c r="H1189" i="20"/>
  <c r="H1182" i="20"/>
  <c r="H1177" i="20"/>
  <c r="H1169" i="20"/>
  <c r="H1163" i="20"/>
  <c r="H1155" i="20"/>
  <c r="H1150" i="20"/>
  <c r="H1142" i="20"/>
  <c r="H1136" i="20"/>
  <c r="H1132" i="20"/>
  <c r="H1131" i="20" s="1"/>
  <c r="H1125" i="20"/>
  <c r="H1124" i="20" s="1"/>
  <c r="H1119" i="20"/>
  <c r="H1114" i="20"/>
  <c r="H1108" i="20"/>
  <c r="H1104" i="20"/>
  <c r="H1103" i="20" s="1"/>
  <c r="H1090" i="20"/>
  <c r="H1089" i="20" s="1"/>
  <c r="H1083" i="20"/>
  <c r="H1082" i="20" s="1"/>
  <c r="H1076" i="20"/>
  <c r="H1075" i="20" s="1"/>
  <c r="H1071" i="20"/>
  <c r="H1066" i="20"/>
  <c r="H1062" i="20"/>
  <c r="H1061" i="20" s="1"/>
  <c r="H1056" i="20"/>
  <c r="H1050" i="20"/>
  <c r="H1027" i="20"/>
  <c r="H1026" i="20" s="1"/>
  <c r="H1021" i="20"/>
  <c r="H1015" i="20"/>
  <c r="H1010" i="20"/>
  <c r="H1000" i="20"/>
  <c r="H994" i="20"/>
  <c r="H989" i="20"/>
  <c r="H985" i="20"/>
  <c r="H984" i="20" s="1"/>
  <c r="H978" i="20"/>
  <c r="H977" i="20" s="1"/>
  <c r="H973" i="20"/>
  <c r="H967" i="20"/>
  <c r="H961" i="20"/>
  <c r="H947" i="20"/>
  <c r="H939" i="20"/>
  <c r="H932" i="20"/>
  <c r="H925" i="20"/>
  <c r="H912" i="20"/>
  <c r="H908" i="20"/>
  <c r="H907" i="20" s="1"/>
  <c r="H903" i="20"/>
  <c r="H897" i="20"/>
  <c r="H891" i="20"/>
  <c r="H884" i="20"/>
  <c r="H861" i="20"/>
  <c r="H855" i="20"/>
  <c r="H847" i="20"/>
  <c r="H839" i="20"/>
  <c r="H834" i="20"/>
  <c r="H819" i="20"/>
  <c r="H812" i="20"/>
  <c r="H806" i="20"/>
  <c r="H803" i="20"/>
  <c r="H802" i="20" s="1"/>
  <c r="H796" i="20"/>
  <c r="H795" i="20" s="1"/>
  <c r="H791" i="20"/>
  <c r="H785" i="20"/>
  <c r="H779" i="20"/>
  <c r="H761" i="20"/>
  <c r="H760" i="20" s="1"/>
  <c r="H755" i="20"/>
  <c r="H750" i="20"/>
  <c r="H744" i="20"/>
  <c r="H735" i="20"/>
  <c r="H728" i="20"/>
  <c r="H720" i="20"/>
  <c r="H716" i="20"/>
  <c r="H712" i="20"/>
  <c r="H711" i="20" s="1"/>
  <c r="H706" i="20"/>
  <c r="H701" i="20"/>
  <c r="H699" i="20"/>
  <c r="H694" i="20"/>
  <c r="H687" i="20"/>
  <c r="H677" i="20"/>
  <c r="H676" i="20" s="1"/>
  <c r="H671" i="20"/>
  <c r="H667" i="20"/>
  <c r="H656" i="20"/>
  <c r="H655" i="20" s="1"/>
  <c r="H649" i="20"/>
  <c r="H648" i="20" s="1"/>
  <c r="H643" i="20"/>
  <c r="H639" i="20"/>
  <c r="H635" i="20"/>
  <c r="H634" i="20" s="1"/>
  <c r="H629" i="20"/>
  <c r="H623" i="20"/>
  <c r="H617" i="20"/>
  <c r="H615" i="20"/>
  <c r="H611" i="20"/>
  <c r="H607" i="20"/>
  <c r="H606" i="20" s="1"/>
  <c r="H603" i="20"/>
  <c r="H593" i="20"/>
  <c r="H592" i="20" s="1"/>
  <c r="H588" i="20"/>
  <c r="H574" i="20"/>
  <c r="H567" i="20"/>
  <c r="H562" i="20"/>
  <c r="H554" i="20"/>
  <c r="H548" i="20"/>
  <c r="H544" i="20"/>
  <c r="H543" i="20" s="1"/>
  <c r="H539" i="20"/>
  <c r="H630" i="20"/>
  <c r="H532" i="20"/>
  <c r="H531" i="20"/>
  <c r="H525" i="20"/>
  <c r="H518" i="20"/>
  <c r="H506" i="20"/>
  <c r="H496" i="20"/>
  <c r="H490" i="20"/>
  <c r="H484" i="20"/>
  <c r="H478" i="20"/>
  <c r="H467" i="20"/>
  <c r="H466" i="20" s="1"/>
  <c r="H448" i="20"/>
  <c r="H442" i="20"/>
  <c r="H1465" i="20"/>
  <c r="H443" i="20"/>
  <c r="H666" i="20"/>
  <c r="H439" i="20"/>
  <c r="H438" i="20" s="1"/>
  <c r="H1618" i="20"/>
  <c r="H1615" i="20"/>
  <c r="H1610" i="20"/>
  <c r="H1605" i="20"/>
  <c r="H1598" i="20"/>
  <c r="H1584" i="20"/>
  <c r="H1573" i="20"/>
  <c r="H1572" i="20" s="1"/>
  <c r="H1567" i="20"/>
  <c r="H1562" i="20"/>
  <c r="H1560" i="20"/>
  <c r="H1553" i="20"/>
  <c r="H1548" i="20"/>
  <c r="H1541" i="20"/>
  <c r="H1534" i="20"/>
  <c r="H1528" i="20"/>
  <c r="H1524" i="20"/>
  <c r="H1523" i="20" s="1"/>
  <c r="H1519" i="20"/>
  <c r="H1512" i="20"/>
  <c r="H1503" i="20"/>
  <c r="H1502" i="20" s="1"/>
  <c r="H1498" i="20"/>
  <c r="H1493" i="20"/>
  <c r="H1482" i="20"/>
  <c r="H1481" i="20" s="1"/>
  <c r="H1476" i="20"/>
  <c r="H1471" i="20"/>
  <c r="H1462" i="20"/>
  <c r="H1456" i="20"/>
  <c r="H1451" i="20"/>
  <c r="H1440" i="20"/>
  <c r="H1439" i="20" s="1"/>
  <c r="H1434" i="20"/>
  <c r="H1428" i="20"/>
  <c r="H1422" i="20"/>
  <c r="H1416" i="20"/>
  <c r="H1407" i="20"/>
  <c r="H1405" i="20"/>
  <c r="F490" i="20"/>
  <c r="F489" i="20"/>
  <c r="F488" i="20"/>
  <c r="F487" i="20" s="1"/>
  <c r="F485" i="20"/>
  <c r="F484" i="20"/>
  <c r="F483" i="20"/>
  <c r="F482" i="20"/>
  <c r="F481" i="20"/>
  <c r="F480" i="20" s="1"/>
  <c r="F478" i="20"/>
  <c r="F477" i="20"/>
  <c r="F476" i="20"/>
  <c r="F475" i="20"/>
  <c r="F474" i="20"/>
  <c r="F473" i="20" s="1"/>
  <c r="F471" i="20"/>
  <c r="F470" i="20"/>
  <c r="F469" i="20"/>
  <c r="F468" i="20"/>
  <c r="F467" i="20"/>
  <c r="F466" i="20" s="1"/>
  <c r="F464" i="20"/>
  <c r="F463" i="20"/>
  <c r="F462" i="20"/>
  <c r="F461" i="20"/>
  <c r="F460" i="20"/>
  <c r="F459" i="20" s="1"/>
  <c r="F457" i="20"/>
  <c r="F456" i="20"/>
  <c r="F455" i="20"/>
  <c r="F454" i="20"/>
  <c r="F453" i="20"/>
  <c r="F452" i="20" s="1"/>
  <c r="F450" i="20"/>
  <c r="F449" i="20"/>
  <c r="F448" i="20"/>
  <c r="F447" i="20"/>
  <c r="F446" i="20"/>
  <c r="F445" i="20" s="1"/>
  <c r="F443" i="20"/>
  <c r="F442" i="20"/>
  <c r="F441" i="20"/>
  <c r="F440" i="20"/>
  <c r="F439" i="20"/>
  <c r="F438" i="20" s="1"/>
  <c r="F436" i="20"/>
  <c r="F435" i="20"/>
  <c r="F434" i="20"/>
  <c r="F433" i="20"/>
  <c r="F432" i="20"/>
  <c r="F431" i="20" s="1"/>
  <c r="F429" i="20"/>
  <c r="F428" i="20"/>
  <c r="F427" i="20"/>
  <c r="F426" i="20"/>
  <c r="F425" i="20"/>
  <c r="F424" i="20" s="1"/>
  <c r="F422" i="20"/>
  <c r="F421" i="20"/>
  <c r="F420" i="20"/>
  <c r="F419" i="20"/>
  <c r="F418" i="20"/>
  <c r="F415" i="20"/>
  <c r="F414" i="20"/>
  <c r="F413" i="20"/>
  <c r="F412" i="20"/>
  <c r="F411" i="20"/>
  <c r="F410" i="20" s="1"/>
  <c r="F408" i="20"/>
  <c r="F407" i="20"/>
  <c r="F406" i="20"/>
  <c r="F405" i="20"/>
  <c r="F404" i="20"/>
  <c r="F403" i="20" s="1"/>
  <c r="F401" i="20"/>
  <c r="F400" i="20"/>
  <c r="F399" i="20"/>
  <c r="F398" i="20"/>
  <c r="F397" i="20"/>
  <c r="F396" i="20" s="1"/>
  <c r="F394" i="20"/>
  <c r="F393" i="20"/>
  <c r="F392" i="20"/>
  <c r="F391" i="20"/>
  <c r="F390" i="20"/>
  <c r="F389" i="20" s="1"/>
  <c r="F387" i="20"/>
  <c r="F386" i="20"/>
  <c r="F385" i="20"/>
  <c r="F384" i="20"/>
  <c r="F383" i="20"/>
  <c r="F382" i="20" s="1"/>
  <c r="F380" i="20"/>
  <c r="F379" i="20"/>
  <c r="F378" i="20"/>
  <c r="F377" i="20"/>
  <c r="F376" i="20"/>
  <c r="F375" i="20" s="1"/>
  <c r="F373" i="20"/>
  <c r="F372" i="20"/>
  <c r="F371" i="20"/>
  <c r="F370" i="20"/>
  <c r="F369" i="20"/>
  <c r="F368" i="20" s="1"/>
  <c r="F366" i="20"/>
  <c r="F365" i="20"/>
  <c r="F364" i="20"/>
  <c r="F363" i="20"/>
  <c r="F362" i="20"/>
  <c r="F361" i="20" s="1"/>
  <c r="F359" i="20"/>
  <c r="F358" i="20"/>
  <c r="F357" i="20"/>
  <c r="F356" i="20"/>
  <c r="F355" i="20"/>
  <c r="F354" i="20" s="1"/>
  <c r="F352" i="20"/>
  <c r="F351" i="20"/>
  <c r="F350" i="20"/>
  <c r="F349" i="20"/>
  <c r="F348" i="20"/>
  <c r="F347" i="20" s="1"/>
  <c r="F345" i="20"/>
  <c r="F344" i="20"/>
  <c r="F343" i="20"/>
  <c r="F342" i="20"/>
  <c r="F341" i="20"/>
  <c r="F340" i="20" s="1"/>
  <c r="F338" i="20"/>
  <c r="F337" i="20"/>
  <c r="F336" i="20"/>
  <c r="F335" i="20"/>
  <c r="F334" i="20"/>
  <c r="F333" i="20" s="1"/>
  <c r="F331" i="20"/>
  <c r="F330" i="20"/>
  <c r="F329" i="20"/>
  <c r="F328" i="20"/>
  <c r="F327" i="20"/>
  <c r="F324" i="20"/>
  <c r="F323" i="20"/>
  <c r="F322" i="20"/>
  <c r="F321" i="20"/>
  <c r="F320" i="20"/>
  <c r="F319" i="20" s="1"/>
  <c r="F317" i="20"/>
  <c r="F316" i="20"/>
  <c r="F315" i="20"/>
  <c r="F314" i="20"/>
  <c r="F313" i="20"/>
  <c r="F312" i="20" s="1"/>
  <c r="F310" i="20"/>
  <c r="F309" i="20"/>
  <c r="F308" i="20"/>
  <c r="F307" i="20"/>
  <c r="F306" i="20"/>
  <c r="F305" i="20" s="1"/>
  <c r="F303" i="20"/>
  <c r="F302" i="20"/>
  <c r="F301" i="20"/>
  <c r="F300" i="20"/>
  <c r="F299" i="20"/>
  <c r="F298" i="20" s="1"/>
  <c r="F296" i="20"/>
  <c r="F295" i="20"/>
  <c r="F294" i="20"/>
  <c r="F293" i="20"/>
  <c r="F292" i="20"/>
  <c r="F291" i="20" s="1"/>
  <c r="F289" i="20"/>
  <c r="F288" i="20"/>
  <c r="F287" i="20"/>
  <c r="F286" i="20"/>
  <c r="F285" i="20"/>
  <c r="F284" i="20" s="1"/>
  <c r="F282" i="20"/>
  <c r="F281" i="20"/>
  <c r="F280" i="20"/>
  <c r="F279" i="20"/>
  <c r="F278" i="20"/>
  <c r="F275" i="20"/>
  <c r="F274" i="20"/>
  <c r="F273" i="20"/>
  <c r="F272" i="20"/>
  <c r="F271" i="20"/>
  <c r="F270" i="20" s="1"/>
  <c r="F268" i="20"/>
  <c r="F267" i="20"/>
  <c r="F266" i="20"/>
  <c r="F265" i="20"/>
  <c r="F264" i="20"/>
  <c r="F263" i="20" s="1"/>
  <c r="F261" i="20"/>
  <c r="F260" i="20"/>
  <c r="F259" i="20"/>
  <c r="F258" i="20"/>
  <c r="F257" i="20"/>
  <c r="F256" i="20" s="1"/>
  <c r="F254" i="20"/>
  <c r="F253" i="20"/>
  <c r="F252" i="20"/>
  <c r="F251" i="20"/>
  <c r="F250" i="20"/>
  <c r="F249" i="20" s="1"/>
  <c r="F247" i="20"/>
  <c r="F246" i="20"/>
  <c r="F245" i="20"/>
  <c r="F244" i="20"/>
  <c r="F243" i="20"/>
  <c r="F242" i="20" s="1"/>
  <c r="F240" i="20"/>
  <c r="F239" i="20"/>
  <c r="F238" i="20"/>
  <c r="F237" i="20"/>
  <c r="F236" i="20"/>
  <c r="F235" i="20" s="1"/>
  <c r="F233" i="20"/>
  <c r="F232" i="20"/>
  <c r="F231" i="20"/>
  <c r="F230" i="20"/>
  <c r="F229" i="20"/>
  <c r="F228" i="20" s="1"/>
  <c r="F561" i="20"/>
  <c r="F225" i="20"/>
  <c r="F224" i="20"/>
  <c r="F223" i="20"/>
  <c r="F222" i="20"/>
  <c r="F221" i="20" s="1"/>
  <c r="F219" i="20"/>
  <c r="F218" i="20"/>
  <c r="F217" i="20"/>
  <c r="F216" i="20"/>
  <c r="F215" i="20"/>
  <c r="F214" i="20" s="1"/>
  <c r="F212" i="20"/>
  <c r="F211" i="20"/>
  <c r="F210" i="20"/>
  <c r="F209" i="20"/>
  <c r="F208" i="20"/>
  <c r="F207" i="20" s="1"/>
  <c r="F205" i="20"/>
  <c r="F204" i="20"/>
  <c r="F203" i="20"/>
  <c r="F202" i="20"/>
  <c r="F201" i="20"/>
  <c r="F200" i="20" s="1"/>
  <c r="F198" i="20"/>
  <c r="F197" i="20"/>
  <c r="F196" i="20"/>
  <c r="F195" i="20"/>
  <c r="F194" i="20"/>
  <c r="F191" i="20"/>
  <c r="F190" i="20"/>
  <c r="F189" i="20"/>
  <c r="F188" i="20"/>
  <c r="F187" i="20"/>
  <c r="F186" i="20" s="1"/>
  <c r="F184" i="20"/>
  <c r="F183" i="20"/>
  <c r="F182" i="20"/>
  <c r="F181" i="20"/>
  <c r="F180" i="20"/>
  <c r="F179" i="20" s="1"/>
  <c r="F177" i="20"/>
  <c r="F176" i="20"/>
  <c r="F175" i="20"/>
  <c r="F174" i="20"/>
  <c r="F173" i="20"/>
  <c r="F172" i="20" s="1"/>
  <c r="F170" i="20"/>
  <c r="F169" i="20"/>
  <c r="F168" i="20"/>
  <c r="F167" i="20"/>
  <c r="F166" i="20"/>
  <c r="F165" i="20" s="1"/>
  <c r="F163" i="20"/>
  <c r="F162" i="20"/>
  <c r="F161" i="20"/>
  <c r="F160" i="20"/>
  <c r="F159" i="20"/>
  <c r="F158" i="20" s="1"/>
  <c r="F156" i="20"/>
  <c r="F155" i="20"/>
  <c r="F154" i="20"/>
  <c r="F153" i="20"/>
  <c r="F152" i="20"/>
  <c r="F149" i="20"/>
  <c r="F148" i="20"/>
  <c r="F147" i="20"/>
  <c r="F146" i="20"/>
  <c r="F145" i="20"/>
  <c r="F142" i="20"/>
  <c r="F141" i="20"/>
  <c r="F140" i="20"/>
  <c r="F139" i="20"/>
  <c r="F138" i="20"/>
  <c r="F135" i="20"/>
  <c r="F134" i="20"/>
  <c r="F133" i="20"/>
  <c r="F132" i="20"/>
  <c r="F131" i="20"/>
  <c r="F130" i="20" s="1"/>
  <c r="F128" i="20"/>
  <c r="F127" i="20"/>
  <c r="F126" i="20"/>
  <c r="F125" i="20"/>
  <c r="F124" i="20"/>
  <c r="F123" i="20" s="1"/>
  <c r="F121" i="20"/>
  <c r="F120" i="20"/>
  <c r="F119" i="20"/>
  <c r="F118" i="20"/>
  <c r="F117" i="20"/>
  <c r="F116" i="20" s="1"/>
  <c r="F114" i="20"/>
  <c r="F113" i="20"/>
  <c r="F112" i="20"/>
  <c r="F111" i="20"/>
  <c r="F110" i="20"/>
  <c r="F109" i="20" s="1"/>
  <c r="F107" i="20"/>
  <c r="F106" i="20"/>
  <c r="F105" i="20"/>
  <c r="F104" i="20"/>
  <c r="F103" i="20"/>
  <c r="F102" i="20" s="1"/>
  <c r="F100" i="20"/>
  <c r="F99" i="20"/>
  <c r="F98" i="20"/>
  <c r="F97" i="20"/>
  <c r="F96" i="20"/>
  <c r="F95" i="20" s="1"/>
  <c r="F93" i="20"/>
  <c r="F92" i="20"/>
  <c r="F91" i="20"/>
  <c r="F90" i="20"/>
  <c r="F89" i="20"/>
  <c r="F88" i="20" s="1"/>
  <c r="F86" i="20"/>
  <c r="F85" i="20"/>
  <c r="F84" i="20"/>
  <c r="F83" i="20"/>
  <c r="F82" i="20"/>
  <c r="F81" i="20" s="1"/>
  <c r="F79" i="20"/>
  <c r="F74" i="20" s="1"/>
  <c r="F78" i="20"/>
  <c r="F77" i="20"/>
  <c r="F76" i="20"/>
  <c r="F75" i="20"/>
  <c r="F72" i="20"/>
  <c r="F71" i="20"/>
  <c r="F70" i="20"/>
  <c r="F69" i="20"/>
  <c r="F68" i="20"/>
  <c r="F67" i="20" s="1"/>
  <c r="F65" i="20"/>
  <c r="F64" i="20"/>
  <c r="F63" i="20"/>
  <c r="F62" i="20"/>
  <c r="F61" i="20"/>
  <c r="F60" i="20" s="1"/>
  <c r="F58" i="20"/>
  <c r="F57" i="20"/>
  <c r="F56" i="20"/>
  <c r="F55" i="20"/>
  <c r="F54" i="20"/>
  <c r="F53" i="20" s="1"/>
  <c r="F51" i="20"/>
  <c r="F50" i="20"/>
  <c r="F49" i="20"/>
  <c r="F48" i="20"/>
  <c r="F47" i="20"/>
  <c r="F46" i="20" s="1"/>
  <c r="F44" i="20"/>
  <c r="F43" i="20"/>
  <c r="F42" i="20"/>
  <c r="F41" i="20"/>
  <c r="F40" i="20"/>
  <c r="F39" i="20" s="1"/>
  <c r="F37" i="20"/>
  <c r="F36" i="20"/>
  <c r="F35" i="20"/>
  <c r="F34" i="20"/>
  <c r="F33" i="20"/>
  <c r="F32" i="20" s="1"/>
  <c r="F30" i="20"/>
  <c r="F29" i="20"/>
  <c r="F28" i="20"/>
  <c r="F27" i="20"/>
  <c r="F26" i="20"/>
  <c r="F25" i="20" s="1"/>
  <c r="F23" i="20"/>
  <c r="F22" i="20"/>
  <c r="F21" i="20"/>
  <c r="F20" i="20"/>
  <c r="F19" i="20"/>
  <c r="F18" i="20" s="1"/>
  <c r="F16" i="20"/>
  <c r="F15" i="20"/>
  <c r="F14" i="20"/>
  <c r="F13" i="20"/>
  <c r="F12" i="20"/>
  <c r="F11" i="20" s="1"/>
  <c r="F9" i="20"/>
  <c r="F8" i="20"/>
  <c r="F7" i="20"/>
  <c r="F6" i="20"/>
  <c r="F5" i="20"/>
  <c r="F4" i="20" s="1"/>
  <c r="F226" i="20"/>
  <c r="F560" i="20"/>
  <c r="F559" i="20"/>
  <c r="F558" i="20"/>
  <c r="F555" i="20"/>
  <c r="F554" i="20"/>
  <c r="F562" i="20"/>
  <c r="F552" i="20"/>
  <c r="F551" i="20"/>
  <c r="F548" i="20"/>
  <c r="F547" i="20"/>
  <c r="F546" i="20"/>
  <c r="F545" i="20"/>
  <c r="F544" i="20"/>
  <c r="F543" i="20" s="1"/>
  <c r="F541" i="20"/>
  <c r="F540" i="20"/>
  <c r="F539" i="20"/>
  <c r="F538" i="20"/>
  <c r="F537" i="20"/>
  <c r="F536" i="20" s="1"/>
  <c r="F534" i="20"/>
  <c r="F533" i="20"/>
  <c r="F532" i="20"/>
  <c r="F531" i="20"/>
  <c r="F530" i="20"/>
  <c r="F529" i="20" s="1"/>
  <c r="F527" i="20"/>
  <c r="F526" i="20"/>
  <c r="F525" i="20"/>
  <c r="F524" i="20"/>
  <c r="F523" i="20"/>
  <c r="F522" i="20" s="1"/>
  <c r="F520" i="20"/>
  <c r="F519" i="20"/>
  <c r="F518" i="20"/>
  <c r="F517" i="20"/>
  <c r="F516" i="20"/>
  <c r="F515" i="20" s="1"/>
  <c r="F513" i="20"/>
  <c r="F512" i="20"/>
  <c r="F511" i="20"/>
  <c r="F510" i="20"/>
  <c r="F509" i="20"/>
  <c r="F508" i="20" s="1"/>
  <c r="F506" i="20"/>
  <c r="F505" i="20"/>
  <c r="F504" i="20"/>
  <c r="F503" i="20"/>
  <c r="F502" i="20"/>
  <c r="F501" i="20" s="1"/>
  <c r="F499" i="20"/>
  <c r="F498" i="20"/>
  <c r="F497" i="20"/>
  <c r="F496" i="20"/>
  <c r="F495" i="20"/>
  <c r="F494" i="20" s="1"/>
  <c r="F492" i="20"/>
  <c r="F491" i="20"/>
  <c r="F553" i="20"/>
  <c r="E1547" i="20"/>
  <c r="E1546" i="20"/>
  <c r="E1545" i="20"/>
  <c r="E1542" i="20"/>
  <c r="E1541" i="20"/>
  <c r="E1540" i="20"/>
  <c r="E1539" i="20"/>
  <c r="E1538" i="20"/>
  <c r="E1537" i="20" s="1"/>
  <c r="E1535" i="20"/>
  <c r="E1534" i="20"/>
  <c r="E1533" i="20"/>
  <c r="E1532" i="20"/>
  <c r="E1531" i="20"/>
  <c r="E1530" i="20" s="1"/>
  <c r="E1528" i="20"/>
  <c r="E1527" i="20"/>
  <c r="E1526" i="20"/>
  <c r="E1525" i="20"/>
  <c r="E1524" i="20"/>
  <c r="E1523" i="20" s="1"/>
  <c r="E1521" i="20"/>
  <c r="E1520" i="20"/>
  <c r="E1519" i="20"/>
  <c r="E1518" i="20"/>
  <c r="E1517" i="20"/>
  <c r="E1516" i="20" s="1"/>
  <c r="E1514" i="20"/>
  <c r="E1513" i="20"/>
  <c r="E1512" i="20"/>
  <c r="E1511" i="20"/>
  <c r="E1510" i="20"/>
  <c r="E1509" i="20" s="1"/>
  <c r="E1507" i="20"/>
  <c r="E1506" i="20"/>
  <c r="E1505" i="20"/>
  <c r="E1504" i="20"/>
  <c r="E1503" i="20"/>
  <c r="E1502" i="20" s="1"/>
  <c r="E1500" i="20"/>
  <c r="E1499" i="20"/>
  <c r="E1498" i="20"/>
  <c r="E1497" i="20"/>
  <c r="E1496" i="20"/>
  <c r="E1495" i="20" s="1"/>
  <c r="E1493" i="20"/>
  <c r="E1492" i="20"/>
  <c r="E1491" i="20"/>
  <c r="E1490" i="20"/>
  <c r="E1489" i="20"/>
  <c r="E1488" i="20" s="1"/>
  <c r="E1486" i="20"/>
  <c r="E1485" i="20"/>
  <c r="E1484" i="20"/>
  <c r="E1483" i="20"/>
  <c r="E1482" i="20"/>
  <c r="E1481" i="20" s="1"/>
  <c r="E1479" i="20"/>
  <c r="E1478" i="20"/>
  <c r="E1477" i="20"/>
  <c r="E1476" i="20"/>
  <c r="E1475" i="20"/>
  <c r="E1474" i="20" s="1"/>
  <c r="E1472" i="20"/>
  <c r="E1471" i="20"/>
  <c r="E1470" i="20"/>
  <c r="E1469" i="20"/>
  <c r="E1468" i="20"/>
  <c r="E1467" i="20" s="1"/>
  <c r="E1465" i="20"/>
  <c r="E1464" i="20"/>
  <c r="E1463" i="20"/>
  <c r="E1462" i="20"/>
  <c r="E1461" i="20"/>
  <c r="E1460" i="20" s="1"/>
  <c r="E1458" i="20"/>
  <c r="E1457" i="20"/>
  <c r="E1456" i="20"/>
  <c r="E1455" i="20"/>
  <c r="E1454" i="20"/>
  <c r="E1453" i="20" s="1"/>
  <c r="E1451" i="20"/>
  <c r="E1450" i="20"/>
  <c r="E1449" i="20"/>
  <c r="E1448" i="20"/>
  <c r="E1447" i="20"/>
  <c r="E1446" i="20" s="1"/>
  <c r="E1444" i="20"/>
  <c r="E1443" i="20"/>
  <c r="E1442" i="20"/>
  <c r="E1441" i="20"/>
  <c r="E1440" i="20"/>
  <c r="E1439" i="20" s="1"/>
  <c r="E1437" i="20"/>
  <c r="E1436" i="20"/>
  <c r="E1435" i="20"/>
  <c r="E1434" i="20"/>
  <c r="E1433" i="20"/>
  <c r="E1432" i="20" s="1"/>
  <c r="E1430" i="20"/>
  <c r="E1429" i="20"/>
  <c r="E1428" i="20"/>
  <c r="E1427" i="20"/>
  <c r="E1426" i="20"/>
  <c r="E1425" i="20" s="1"/>
  <c r="E1423" i="20"/>
  <c r="E1422" i="20"/>
  <c r="E1421" i="20"/>
  <c r="E1420" i="20"/>
  <c r="E1419" i="20"/>
  <c r="E1418" i="20" s="1"/>
  <c r="E1416" i="20"/>
  <c r="E1415" i="20"/>
  <c r="E1414" i="20"/>
  <c r="E1413" i="20"/>
  <c r="E1412" i="20"/>
  <c r="E1411" i="20" s="1"/>
  <c r="E1409" i="20"/>
  <c r="E1408" i="20"/>
  <c r="E1407" i="20"/>
  <c r="E1406" i="20"/>
  <c r="E1405" i="20"/>
  <c r="E1404" i="20" s="1"/>
  <c r="E1402" i="20"/>
  <c r="E1401" i="20"/>
  <c r="E1400" i="20"/>
  <c r="E1399" i="20"/>
  <c r="E1398" i="20"/>
  <c r="E1397" i="20" s="1"/>
  <c r="E1395" i="20"/>
  <c r="E1394" i="20"/>
  <c r="E1393" i="20"/>
  <c r="E1392" i="20"/>
  <c r="E1391" i="20"/>
  <c r="E1390" i="20" s="1"/>
  <c r="E1388" i="20"/>
  <c r="E1387" i="20"/>
  <c r="E1386" i="20"/>
  <c r="E1385" i="20"/>
  <c r="E1384" i="20"/>
  <c r="E1383" i="20" s="1"/>
  <c r="E1381" i="20"/>
  <c r="E1380" i="20"/>
  <c r="E1379" i="20"/>
  <c r="E1378" i="20"/>
  <c r="E1377" i="20"/>
  <c r="E1376" i="20" s="1"/>
  <c r="E1374" i="20"/>
  <c r="E1373" i="20"/>
  <c r="E1372" i="20"/>
  <c r="E1371" i="20"/>
  <c r="E1370" i="20"/>
  <c r="E1369" i="20" s="1"/>
  <c r="E1367" i="20"/>
  <c r="E1366" i="20"/>
  <c r="E1365" i="20"/>
  <c r="E1364" i="20"/>
  <c r="E1363" i="20"/>
  <c r="E1362" i="20" s="1"/>
  <c r="E1360" i="20"/>
  <c r="E1359" i="20"/>
  <c r="E1358" i="20"/>
  <c r="E1357" i="20"/>
  <c r="E1356" i="20"/>
  <c r="E1355" i="20" s="1"/>
  <c r="E1353" i="20"/>
  <c r="E1352" i="20"/>
  <c r="E1351" i="20"/>
  <c r="E1350" i="20"/>
  <c r="E1349" i="20"/>
  <c r="E1348" i="20" s="1"/>
  <c r="E1346" i="20"/>
  <c r="E1345" i="20"/>
  <c r="E1344" i="20"/>
  <c r="E1343" i="20"/>
  <c r="E1342" i="20"/>
  <c r="E1341" i="20" s="1"/>
  <c r="E1339" i="20"/>
  <c r="E1338" i="20"/>
  <c r="E1337" i="20"/>
  <c r="E1336" i="20"/>
  <c r="E1335" i="20"/>
  <c r="E1334" i="20" s="1"/>
  <c r="E1332" i="20"/>
  <c r="E1331" i="20"/>
  <c r="E1330" i="20"/>
  <c r="E1329" i="20"/>
  <c r="E1328" i="20"/>
  <c r="E1327" i="20" s="1"/>
  <c r="E1325" i="20"/>
  <c r="E1324" i="20"/>
  <c r="E1323" i="20"/>
  <c r="E1322" i="20"/>
  <c r="E1321" i="20"/>
  <c r="E1320" i="20" s="1"/>
  <c r="E1318" i="20"/>
  <c r="E1317" i="20"/>
  <c r="E1316" i="20"/>
  <c r="E1315" i="20"/>
  <c r="E1314" i="20"/>
  <c r="E1313" i="20" s="1"/>
  <c r="E1311" i="20"/>
  <c r="E1310" i="20"/>
  <c r="E1309" i="20"/>
  <c r="E1308" i="20"/>
  <c r="E1307" i="20"/>
  <c r="E1306" i="20" s="1"/>
  <c r="E1304" i="20"/>
  <c r="E1303" i="20"/>
  <c r="E1302" i="20"/>
  <c r="E1301" i="20"/>
  <c r="E1300" i="20"/>
  <c r="E1299" i="20" s="1"/>
  <c r="E1297" i="20"/>
  <c r="E1296" i="20"/>
  <c r="E1295" i="20"/>
  <c r="E1294" i="20"/>
  <c r="E1293" i="20"/>
  <c r="E1292" i="20" s="1"/>
  <c r="E1290" i="20"/>
  <c r="E1289" i="20"/>
  <c r="E1288" i="20"/>
  <c r="E1287" i="20"/>
  <c r="E1286" i="20"/>
  <c r="E1285" i="20" s="1"/>
  <c r="E1283" i="20"/>
  <c r="E1282" i="20"/>
  <c r="E1281" i="20"/>
  <c r="E1280" i="20"/>
  <c r="E1279" i="20"/>
  <c r="E1278" i="20" s="1"/>
  <c r="E1276" i="20"/>
  <c r="E1275" i="20"/>
  <c r="E1274" i="20"/>
  <c r="E1273" i="20"/>
  <c r="E1272" i="20"/>
  <c r="E1271" i="20" s="1"/>
  <c r="E1269" i="20"/>
  <c r="E1268" i="20"/>
  <c r="E1267" i="20"/>
  <c r="E1266" i="20"/>
  <c r="E1265" i="20"/>
  <c r="E1264" i="20" s="1"/>
  <c r="E1262" i="20"/>
  <c r="E1261" i="20"/>
  <c r="E1260" i="20"/>
  <c r="E1259" i="20"/>
  <c r="E1258" i="20"/>
  <c r="E1257" i="20" s="1"/>
  <c r="E1255" i="20"/>
  <c r="E1254" i="20"/>
  <c r="E1253" i="20"/>
  <c r="E1252" i="20"/>
  <c r="E1251" i="20"/>
  <c r="E1250" i="20" s="1"/>
  <c r="E1248" i="20"/>
  <c r="E1247" i="20"/>
  <c r="E1246" i="20"/>
  <c r="E1245" i="20"/>
  <c r="E1244" i="20"/>
  <c r="E1243" i="20" s="1"/>
  <c r="E1241" i="20"/>
  <c r="E1240" i="20"/>
  <c r="E1239" i="20"/>
  <c r="E1238" i="20"/>
  <c r="E1237" i="20"/>
  <c r="E1236" i="20" s="1"/>
  <c r="E1234" i="20"/>
  <c r="E1233" i="20"/>
  <c r="E1232" i="20"/>
  <c r="E1231" i="20"/>
  <c r="E1230" i="20"/>
  <c r="E1229" i="20" s="1"/>
  <c r="E1227" i="20"/>
  <c r="E1226" i="20"/>
  <c r="E1225" i="20"/>
  <c r="E1224" i="20"/>
  <c r="E1223" i="20"/>
  <c r="E1222" i="20" s="1"/>
  <c r="E1220" i="20"/>
  <c r="E1219" i="20"/>
  <c r="E1218" i="20"/>
  <c r="E1217" i="20"/>
  <c r="E1216" i="20"/>
  <c r="E1215" i="20" s="1"/>
  <c r="E1213" i="20"/>
  <c r="E1212" i="20"/>
  <c r="E1211" i="20"/>
  <c r="E1210" i="20"/>
  <c r="E1209" i="20"/>
  <c r="E1208" i="20" s="1"/>
  <c r="E1206" i="20"/>
  <c r="E1205" i="20"/>
  <c r="E1204" i="20"/>
  <c r="E1203" i="20"/>
  <c r="E1202" i="20"/>
  <c r="E1201" i="20" s="1"/>
  <c r="E1199" i="20"/>
  <c r="E1198" i="20"/>
  <c r="E1197" i="20"/>
  <c r="E1196" i="20"/>
  <c r="E1195" i="20"/>
  <c r="E1194" i="20" s="1"/>
  <c r="E1192" i="20"/>
  <c r="E1191" i="20"/>
  <c r="E1190" i="20"/>
  <c r="E1189" i="20"/>
  <c r="E1188" i="20"/>
  <c r="E1187" i="20" s="1"/>
  <c r="E1185" i="20"/>
  <c r="E1184" i="20"/>
  <c r="E1183" i="20"/>
  <c r="E1182" i="20"/>
  <c r="E1181" i="20"/>
  <c r="E1180" i="20" s="1"/>
  <c r="E1178" i="20"/>
  <c r="E1177" i="20"/>
  <c r="E1176" i="20"/>
  <c r="E1619" i="20"/>
  <c r="E1174" i="20"/>
  <c r="E1171" i="20"/>
  <c r="E1170" i="20"/>
  <c r="E1169" i="20"/>
  <c r="E1168" i="20"/>
  <c r="E1167" i="20"/>
  <c r="E1166" i="20" s="1"/>
  <c r="E1164" i="20"/>
  <c r="E1163" i="20"/>
  <c r="E1162" i="20"/>
  <c r="E1161" i="20"/>
  <c r="E1160" i="20"/>
  <c r="E1159" i="20" s="1"/>
  <c r="E1157" i="20"/>
  <c r="E1156" i="20"/>
  <c r="E1155" i="20"/>
  <c r="E1154" i="20"/>
  <c r="E1153" i="20"/>
  <c r="E1152" i="20" s="1"/>
  <c r="E1150" i="20"/>
  <c r="E1149" i="20"/>
  <c r="E1148" i="20"/>
  <c r="E1147" i="20"/>
  <c r="E1146" i="20"/>
  <c r="E1145" i="20" s="1"/>
  <c r="E1143" i="20"/>
  <c r="E1142" i="20"/>
  <c r="E1141" i="20"/>
  <c r="E1140" i="20"/>
  <c r="E1139" i="20"/>
  <c r="E1138" i="20" s="1"/>
  <c r="E1136" i="20"/>
  <c r="E1135" i="20"/>
  <c r="E1134" i="20"/>
  <c r="E1133" i="20"/>
  <c r="E1132" i="20"/>
  <c r="E1131" i="20" s="1"/>
  <c r="E1129" i="20"/>
  <c r="E1128" i="20"/>
  <c r="E1127" i="20"/>
  <c r="E1126" i="20"/>
  <c r="E1125" i="20"/>
  <c r="E1124" i="20" s="1"/>
  <c r="E1122" i="20"/>
  <c r="E1121" i="20"/>
  <c r="E1120" i="20"/>
  <c r="E1119" i="20"/>
  <c r="E1118" i="20"/>
  <c r="E1117" i="20" s="1"/>
  <c r="E1115" i="20"/>
  <c r="E1114" i="20"/>
  <c r="E1113" i="20"/>
  <c r="E1112" i="20"/>
  <c r="E1111" i="20"/>
  <c r="E1110" i="20" s="1"/>
  <c r="E1108" i="20"/>
  <c r="E1107" i="20"/>
  <c r="E1106" i="20"/>
  <c r="E1105" i="20"/>
  <c r="E1104" i="20"/>
  <c r="E1103" i="20" s="1"/>
  <c r="E1101" i="20"/>
  <c r="E1100" i="20"/>
  <c r="E1099" i="20"/>
  <c r="E1098" i="20"/>
  <c r="E1097" i="20"/>
  <c r="E1096" i="20" s="1"/>
  <c r="E1094" i="20"/>
  <c r="E1093" i="20"/>
  <c r="E1092" i="20"/>
  <c r="E1091" i="20"/>
  <c r="E1090" i="20"/>
  <c r="E1089" i="20" s="1"/>
  <c r="E1087" i="20"/>
  <c r="E1086" i="20"/>
  <c r="E1085" i="20"/>
  <c r="E1084" i="20"/>
  <c r="E1083" i="20"/>
  <c r="E1082" i="20" s="1"/>
  <c r="E1080" i="20"/>
  <c r="E1079" i="20"/>
  <c r="E1078" i="20"/>
  <c r="E1077" i="20"/>
  <c r="E1076" i="20"/>
  <c r="E1075" i="20" s="1"/>
  <c r="E1073" i="20"/>
  <c r="E1072" i="20"/>
  <c r="E1071" i="20"/>
  <c r="E1070" i="20"/>
  <c r="E1069" i="20"/>
  <c r="E1068" i="20" s="1"/>
  <c r="E1066" i="20"/>
  <c r="E1065" i="20"/>
  <c r="E1064" i="20"/>
  <c r="E1063" i="20"/>
  <c r="E1062" i="20"/>
  <c r="E1061" i="20" s="1"/>
  <c r="E1059" i="20"/>
  <c r="E1058" i="20"/>
  <c r="E1057" i="20"/>
  <c r="E1056" i="20"/>
  <c r="E1055" i="20"/>
  <c r="E1054" i="20" s="1"/>
  <c r="E1052" i="20"/>
  <c r="E1051" i="20"/>
  <c r="E1050" i="20"/>
  <c r="E1049" i="20"/>
  <c r="E1048" i="20"/>
  <c r="E1047" i="20" s="1"/>
  <c r="E1045" i="20"/>
  <c r="E1044" i="20"/>
  <c r="E1043" i="20"/>
  <c r="E1042" i="20"/>
  <c r="E1041" i="20"/>
  <c r="E1040" i="20" s="1"/>
  <c r="E1038" i="20"/>
  <c r="E1037" i="20"/>
  <c r="E1036" i="20"/>
  <c r="E1035" i="20"/>
  <c r="E1034" i="20"/>
  <c r="E1033" i="20" s="1"/>
  <c r="E1031" i="20"/>
  <c r="E1030" i="20"/>
  <c r="E1029" i="20"/>
  <c r="E1028" i="20"/>
  <c r="E1027" i="20"/>
  <c r="E1026" i="20" s="1"/>
  <c r="E1024" i="20"/>
  <c r="E1023" i="20"/>
  <c r="E1022" i="20"/>
  <c r="E1021" i="20"/>
  <c r="E1020" i="20"/>
  <c r="E1019" i="20" s="1"/>
  <c r="E1017" i="20"/>
  <c r="E1016" i="20"/>
  <c r="E1015" i="20"/>
  <c r="E1014" i="20"/>
  <c r="E1013" i="20"/>
  <c r="E1012" i="20" s="1"/>
  <c r="E1010" i="20"/>
  <c r="E1009" i="20"/>
  <c r="E1008" i="20"/>
  <c r="E1007" i="20"/>
  <c r="E1006" i="20"/>
  <c r="E1005" i="20" s="1"/>
  <c r="E1003" i="20"/>
  <c r="E1002" i="20"/>
  <c r="E1001" i="20"/>
  <c r="E1000" i="20"/>
  <c r="E999" i="20"/>
  <c r="E998" i="20" s="1"/>
  <c r="E996" i="20"/>
  <c r="E995" i="20"/>
  <c r="E994" i="20"/>
  <c r="E993" i="20"/>
  <c r="E992" i="20"/>
  <c r="E991" i="20" s="1"/>
  <c r="E989" i="20"/>
  <c r="E988" i="20"/>
  <c r="E987" i="20"/>
  <c r="E986" i="20"/>
  <c r="E985" i="20"/>
  <c r="E984" i="20" s="1"/>
  <c r="E982" i="20"/>
  <c r="E981" i="20"/>
  <c r="E980" i="20"/>
  <c r="E979" i="20"/>
  <c r="E978" i="20"/>
  <c r="E977" i="20" s="1"/>
  <c r="E975" i="20"/>
  <c r="E974" i="20"/>
  <c r="E973" i="20"/>
  <c r="E972" i="20"/>
  <c r="E971" i="20"/>
  <c r="E970" i="20" s="1"/>
  <c r="E968" i="20"/>
  <c r="E967" i="20"/>
  <c r="E966" i="20"/>
  <c r="E965" i="20"/>
  <c r="E964" i="20"/>
  <c r="E963" i="20" s="1"/>
  <c r="E961" i="20"/>
  <c r="E960" i="20"/>
  <c r="E959" i="20"/>
  <c r="E958" i="20"/>
  <c r="E957" i="20"/>
  <c r="E956" i="20" s="1"/>
  <c r="E954" i="20"/>
  <c r="E953" i="20"/>
  <c r="E952" i="20"/>
  <c r="E951" i="20"/>
  <c r="E950" i="20"/>
  <c r="E949" i="20" s="1"/>
  <c r="E947" i="20"/>
  <c r="E946" i="20"/>
  <c r="E945" i="20"/>
  <c r="E944" i="20"/>
  <c r="E943" i="20"/>
  <c r="E942" i="20" s="1"/>
  <c r="E940" i="20"/>
  <c r="E939" i="20"/>
  <c r="E938" i="20"/>
  <c r="E937" i="20"/>
  <c r="E936" i="20"/>
  <c r="E935" i="20" s="1"/>
  <c r="E933" i="20"/>
  <c r="E932" i="20"/>
  <c r="E931" i="20"/>
  <c r="E930" i="20"/>
  <c r="E929" i="20"/>
  <c r="E928" i="20" s="1"/>
  <c r="E926" i="20"/>
  <c r="E925" i="20"/>
  <c r="E924" i="20"/>
  <c r="E923" i="20"/>
  <c r="E922" i="20"/>
  <c r="E921" i="20" s="1"/>
  <c r="E919" i="20"/>
  <c r="E918" i="20"/>
  <c r="E917" i="20"/>
  <c r="E916" i="20"/>
  <c r="E915" i="20"/>
  <c r="E914" i="20" s="1"/>
  <c r="E912" i="20"/>
  <c r="E911" i="20"/>
  <c r="E910" i="20"/>
  <c r="E909" i="20"/>
  <c r="E908" i="20"/>
  <c r="E907" i="20" s="1"/>
  <c r="E905" i="20"/>
  <c r="E904" i="20"/>
  <c r="E903" i="20"/>
  <c r="E902" i="20"/>
  <c r="E901" i="20"/>
  <c r="E900" i="20" s="1"/>
  <c r="E898" i="20"/>
  <c r="E897" i="20"/>
  <c r="E896" i="20"/>
  <c r="E895" i="20"/>
  <c r="E894" i="20"/>
  <c r="E893" i="20" s="1"/>
  <c r="E891" i="20"/>
  <c r="E890" i="20"/>
  <c r="E889" i="20"/>
  <c r="E888" i="20"/>
  <c r="E887" i="20"/>
  <c r="E886" i="20" s="1"/>
  <c r="E884" i="20"/>
  <c r="E883" i="20"/>
  <c r="E882" i="20"/>
  <c r="E881" i="20"/>
  <c r="E880" i="20"/>
  <c r="E879" i="20" s="1"/>
  <c r="E877" i="20"/>
  <c r="E876" i="20"/>
  <c r="E875" i="20"/>
  <c r="E874" i="20"/>
  <c r="E873" i="20"/>
  <c r="E872" i="20" s="1"/>
  <c r="E870" i="20"/>
  <c r="E869" i="20"/>
  <c r="E868" i="20"/>
  <c r="E867" i="20"/>
  <c r="E866" i="20"/>
  <c r="E865" i="20" s="1"/>
  <c r="E863" i="20"/>
  <c r="E862" i="20"/>
  <c r="E861" i="20"/>
  <c r="E860" i="20"/>
  <c r="E859" i="20"/>
  <c r="E858" i="20" s="1"/>
  <c r="E856" i="20"/>
  <c r="E855" i="20"/>
  <c r="E854" i="20"/>
  <c r="E853" i="20"/>
  <c r="E852" i="20"/>
  <c r="E851" i="20" s="1"/>
  <c r="E849" i="20"/>
  <c r="E848" i="20"/>
  <c r="E847" i="20"/>
  <c r="E846" i="20"/>
  <c r="E845" i="20"/>
  <c r="E844" i="20" s="1"/>
  <c r="E842" i="20"/>
  <c r="E841" i="20"/>
  <c r="E840" i="20"/>
  <c r="E839" i="20"/>
  <c r="E838" i="20"/>
  <c r="E837" i="20" s="1"/>
  <c r="E835" i="20"/>
  <c r="E834" i="20"/>
  <c r="E833" i="20"/>
  <c r="E832" i="20"/>
  <c r="E831" i="20"/>
  <c r="E830" i="20" s="1"/>
  <c r="E828" i="20"/>
  <c r="E827" i="20"/>
  <c r="E826" i="20"/>
  <c r="E825" i="20"/>
  <c r="E824" i="20"/>
  <c r="E823" i="20" s="1"/>
  <c r="E821" i="20"/>
  <c r="E820" i="20"/>
  <c r="E819" i="20"/>
  <c r="E818" i="20"/>
  <c r="E817" i="20"/>
  <c r="E816" i="20" s="1"/>
  <c r="E814" i="20"/>
  <c r="E813" i="20"/>
  <c r="E812" i="20"/>
  <c r="E811" i="20"/>
  <c r="E810" i="20"/>
  <c r="E809" i="20" s="1"/>
  <c r="E807" i="20"/>
  <c r="E806" i="20"/>
  <c r="E805" i="20"/>
  <c r="E804" i="20"/>
  <c r="E803" i="20"/>
  <c r="E802" i="20" s="1"/>
  <c r="E800" i="20"/>
  <c r="E799" i="20"/>
  <c r="E798" i="20"/>
  <c r="E797" i="20"/>
  <c r="E796" i="20"/>
  <c r="E795" i="20" s="1"/>
  <c r="E793" i="20"/>
  <c r="E792" i="20"/>
  <c r="E791" i="20"/>
  <c r="E790" i="20"/>
  <c r="E789" i="20"/>
  <c r="E788" i="20" s="1"/>
  <c r="E786" i="20"/>
  <c r="E785" i="20"/>
  <c r="E784" i="20"/>
  <c r="E783" i="20"/>
  <c r="E782" i="20"/>
  <c r="E781" i="20" s="1"/>
  <c r="E779" i="20"/>
  <c r="E778" i="20"/>
  <c r="E777" i="20"/>
  <c r="E776" i="20"/>
  <c r="E775" i="20"/>
  <c r="E774" i="20" s="1"/>
  <c r="E772" i="20"/>
  <c r="E771" i="20"/>
  <c r="E770" i="20"/>
  <c r="E769" i="20"/>
  <c r="E768" i="20"/>
  <c r="E767" i="20" s="1"/>
  <c r="E765" i="20"/>
  <c r="E764" i="20"/>
  <c r="E763" i="20"/>
  <c r="E762" i="20"/>
  <c r="E761" i="20"/>
  <c r="E760" i="20" s="1"/>
  <c r="E758" i="20"/>
  <c r="E757" i="20"/>
  <c r="E756" i="20"/>
  <c r="E755" i="20"/>
  <c r="E754" i="20"/>
  <c r="E753" i="20" s="1"/>
  <c r="E751" i="20"/>
  <c r="E750" i="20"/>
  <c r="E749" i="20"/>
  <c r="E748" i="20"/>
  <c r="E747" i="20"/>
  <c r="E746" i="20" s="1"/>
  <c r="E744" i="20"/>
  <c r="E743" i="20"/>
  <c r="E742" i="20"/>
  <c r="E741" i="20"/>
  <c r="E740" i="20"/>
  <c r="E739" i="20" s="1"/>
  <c r="E737" i="20"/>
  <c r="E736" i="20"/>
  <c r="E735" i="20"/>
  <c r="E734" i="20"/>
  <c r="E733" i="20"/>
  <c r="E732" i="20" s="1"/>
  <c r="E730" i="20"/>
  <c r="E729" i="20"/>
  <c r="E728" i="20"/>
  <c r="E727" i="20"/>
  <c r="E726" i="20"/>
  <c r="E725" i="20" s="1"/>
  <c r="E723" i="20"/>
  <c r="E722" i="20"/>
  <c r="E721" i="20"/>
  <c r="E720" i="20"/>
  <c r="E719" i="20"/>
  <c r="E718" i="20" s="1"/>
  <c r="E716" i="20"/>
  <c r="E715" i="20"/>
  <c r="E714" i="20"/>
  <c r="E713" i="20"/>
  <c r="E712" i="20"/>
  <c r="E711" i="20" s="1"/>
  <c r="E709" i="20"/>
  <c r="E708" i="20"/>
  <c r="E707" i="20"/>
  <c r="E706" i="20"/>
  <c r="E705" i="20"/>
  <c r="E704" i="20" s="1"/>
  <c r="E702" i="20"/>
  <c r="E701" i="20"/>
  <c r="E700" i="20"/>
  <c r="E699" i="20"/>
  <c r="E698" i="20"/>
  <c r="E697" i="20" s="1"/>
  <c r="E695" i="20"/>
  <c r="E694" i="20"/>
  <c r="E693" i="20"/>
  <c r="E692" i="20"/>
  <c r="E691" i="20"/>
  <c r="E690" i="20" s="1"/>
  <c r="E688" i="20"/>
  <c r="E687" i="20"/>
  <c r="E686" i="20"/>
  <c r="E685" i="20"/>
  <c r="E684" i="20"/>
  <c r="E683" i="20" s="1"/>
  <c r="E681" i="20"/>
  <c r="E680" i="20"/>
  <c r="E679" i="20"/>
  <c r="E678" i="20"/>
  <c r="E677" i="20"/>
  <c r="E676" i="20" s="1"/>
  <c r="E674" i="20"/>
  <c r="E673" i="20"/>
  <c r="E672" i="20"/>
  <c r="E671" i="20"/>
  <c r="E670" i="20"/>
  <c r="E669" i="20" s="1"/>
  <c r="E667" i="20"/>
  <c r="E666" i="20"/>
  <c r="E665" i="20"/>
  <c r="E664" i="20"/>
  <c r="E663" i="20"/>
  <c r="E662" i="20" s="1"/>
  <c r="E660" i="20"/>
  <c r="E659" i="20"/>
  <c r="E658" i="20"/>
  <c r="E657" i="20"/>
  <c r="E656" i="20"/>
  <c r="E655" i="20" s="1"/>
  <c r="E653" i="20"/>
  <c r="E652" i="20"/>
  <c r="E651" i="20"/>
  <c r="E650" i="20"/>
  <c r="E649" i="20"/>
  <c r="E648" i="20" s="1"/>
  <c r="E646" i="20"/>
  <c r="E645" i="20"/>
  <c r="E644" i="20"/>
  <c r="E643" i="20"/>
  <c r="E642" i="20"/>
  <c r="E641" i="20" s="1"/>
  <c r="E639" i="20"/>
  <c r="E638" i="20"/>
  <c r="E637" i="20"/>
  <c r="E636" i="20"/>
  <c r="E635" i="20"/>
  <c r="E634" i="20" s="1"/>
  <c r="E632" i="20"/>
  <c r="E631" i="20"/>
  <c r="E630" i="20"/>
  <c r="E629" i="20"/>
  <c r="E628" i="20"/>
  <c r="E627" i="20" s="1"/>
  <c r="E625" i="20"/>
  <c r="E624" i="20"/>
  <c r="E623" i="20"/>
  <c r="E622" i="20"/>
  <c r="E621" i="20"/>
  <c r="E620" i="20" s="1"/>
  <c r="E618" i="20"/>
  <c r="E617" i="20"/>
  <c r="E616" i="20"/>
  <c r="E615" i="20"/>
  <c r="E614" i="20"/>
  <c r="E613" i="20" s="1"/>
  <c r="E611" i="20"/>
  <c r="E610" i="20"/>
  <c r="E609" i="20"/>
  <c r="E608" i="20"/>
  <c r="E607" i="20"/>
  <c r="E606" i="20" s="1"/>
  <c r="E604" i="20"/>
  <c r="E603" i="20"/>
  <c r="E602" i="20"/>
  <c r="E601" i="20"/>
  <c r="E600" i="20"/>
  <c r="E599" i="20" s="1"/>
  <c r="E597" i="20"/>
  <c r="E596" i="20"/>
  <c r="E595" i="20"/>
  <c r="E594" i="20"/>
  <c r="E593" i="20"/>
  <c r="E592" i="20" s="1"/>
  <c r="E590" i="20"/>
  <c r="E589" i="20"/>
  <c r="E588" i="20"/>
  <c r="E587" i="20"/>
  <c r="E586" i="20"/>
  <c r="E585" i="20" s="1"/>
  <c r="E583" i="20"/>
  <c r="E582" i="20"/>
  <c r="E581" i="20"/>
  <c r="E580" i="20"/>
  <c r="E579" i="20"/>
  <c r="E578" i="20" s="1"/>
  <c r="E576" i="20"/>
  <c r="E575" i="20"/>
  <c r="E574" i="20"/>
  <c r="E573" i="20"/>
  <c r="E572" i="20"/>
  <c r="E571" i="20" s="1"/>
  <c r="E569" i="20"/>
  <c r="E568" i="20"/>
  <c r="E567" i="20"/>
  <c r="E566" i="20"/>
  <c r="E565" i="20"/>
  <c r="E564" i="20" s="1"/>
  <c r="E562" i="20"/>
  <c r="E561" i="20"/>
  <c r="E560" i="20"/>
  <c r="E559" i="20"/>
  <c r="E558" i="20"/>
  <c r="E557" i="20" s="1"/>
  <c r="E555" i="20"/>
  <c r="E554" i="20"/>
  <c r="E553" i="20"/>
  <c r="E552" i="20"/>
  <c r="E551" i="20"/>
  <c r="E550" i="20" s="1"/>
  <c r="E548" i="20"/>
  <c r="E547" i="20"/>
  <c r="E546" i="20"/>
  <c r="E545" i="20"/>
  <c r="E544" i="20"/>
  <c r="E543" i="20" s="1"/>
  <c r="E541" i="20"/>
  <c r="E540" i="20"/>
  <c r="E539" i="20"/>
  <c r="E538" i="20"/>
  <c r="E537" i="20"/>
  <c r="E536" i="20" s="1"/>
  <c r="E534" i="20"/>
  <c r="E533" i="20"/>
  <c r="E532" i="20"/>
  <c r="E531" i="20"/>
  <c r="E530" i="20"/>
  <c r="E529" i="20" s="1"/>
  <c r="E527" i="20"/>
  <c r="E526" i="20"/>
  <c r="E525" i="20"/>
  <c r="E524" i="20"/>
  <c r="E523" i="20"/>
  <c r="E522" i="20" s="1"/>
  <c r="E520" i="20"/>
  <c r="E519" i="20"/>
  <c r="E518" i="20"/>
  <c r="E517" i="20"/>
  <c r="E516" i="20"/>
  <c r="E515" i="20" s="1"/>
  <c r="E513" i="20"/>
  <c r="E512" i="20"/>
  <c r="E511" i="20"/>
  <c r="E510" i="20"/>
  <c r="E509" i="20"/>
  <c r="E508" i="20" s="1"/>
  <c r="E506" i="20"/>
  <c r="E505" i="20"/>
  <c r="E504" i="20"/>
  <c r="E503" i="20"/>
  <c r="E502" i="20"/>
  <c r="E501" i="20" s="1"/>
  <c r="E499" i="20"/>
  <c r="E498" i="20"/>
  <c r="E497" i="20"/>
  <c r="E496" i="20"/>
  <c r="E495" i="20"/>
  <c r="E494" i="20" s="1"/>
  <c r="E492" i="20"/>
  <c r="E491" i="20"/>
  <c r="E490" i="20"/>
  <c r="E489" i="20"/>
  <c r="E488" i="20"/>
  <c r="E487" i="20" s="1"/>
  <c r="E485" i="20"/>
  <c r="E484" i="20"/>
  <c r="E483" i="20"/>
  <c r="E482" i="20"/>
  <c r="E481" i="20"/>
  <c r="E480" i="20" s="1"/>
  <c r="E478" i="20"/>
  <c r="E477" i="20"/>
  <c r="E476" i="20"/>
  <c r="E475" i="20"/>
  <c r="E474" i="20"/>
  <c r="E473" i="20" s="1"/>
  <c r="E471" i="20"/>
  <c r="E470" i="20"/>
  <c r="E469" i="20"/>
  <c r="E468" i="20"/>
  <c r="E467" i="20"/>
  <c r="E466" i="20" s="1"/>
  <c r="E464" i="20"/>
  <c r="E463" i="20"/>
  <c r="E462" i="20"/>
  <c r="E461" i="20"/>
  <c r="E460" i="20"/>
  <c r="E459" i="20" s="1"/>
  <c r="E457" i="20"/>
  <c r="E456" i="20"/>
  <c r="E455" i="20"/>
  <c r="E454" i="20"/>
  <c r="E453" i="20"/>
  <c r="E452" i="20" s="1"/>
  <c r="E450" i="20"/>
  <c r="E449" i="20"/>
  <c r="E448" i="20"/>
  <c r="E447" i="20"/>
  <c r="E446" i="20"/>
  <c r="E445" i="20" s="1"/>
  <c r="E443" i="20"/>
  <c r="E442" i="20"/>
  <c r="E441" i="20"/>
  <c r="E440" i="20"/>
  <c r="E439" i="20"/>
  <c r="E438" i="20" s="1"/>
  <c r="E436" i="20"/>
  <c r="E435" i="20"/>
  <c r="E434" i="20"/>
  <c r="E433" i="20"/>
  <c r="E432" i="20"/>
  <c r="E431" i="20" s="1"/>
  <c r="E429" i="20"/>
  <c r="E428" i="20"/>
  <c r="E427" i="20"/>
  <c r="E426" i="20"/>
  <c r="E425" i="20"/>
  <c r="E424" i="20" s="1"/>
  <c r="E422" i="20"/>
  <c r="E421" i="20"/>
  <c r="E420" i="20"/>
  <c r="E419" i="20"/>
  <c r="E418" i="20"/>
  <c r="E417" i="20" s="1"/>
  <c r="E415" i="20"/>
  <c r="E414" i="20"/>
  <c r="E413" i="20"/>
  <c r="E412" i="20"/>
  <c r="E411" i="20"/>
  <c r="E410" i="20" s="1"/>
  <c r="E408" i="20"/>
  <c r="E407" i="20"/>
  <c r="E406" i="20"/>
  <c r="E405" i="20"/>
  <c r="E404" i="20"/>
  <c r="E403" i="20" s="1"/>
  <c r="E401" i="20"/>
  <c r="E400" i="20"/>
  <c r="E399" i="20"/>
  <c r="E398" i="20"/>
  <c r="E397" i="20"/>
  <c r="E396" i="20" s="1"/>
  <c r="E394" i="20"/>
  <c r="E393" i="20"/>
  <c r="E392" i="20"/>
  <c r="E391" i="20"/>
  <c r="E390" i="20"/>
  <c r="E389" i="20" s="1"/>
  <c r="E387" i="20"/>
  <c r="E386" i="20"/>
  <c r="E385" i="20"/>
  <c r="E384" i="20"/>
  <c r="E383" i="20"/>
  <c r="E382" i="20" s="1"/>
  <c r="E380" i="20"/>
  <c r="E379" i="20"/>
  <c r="E378" i="20"/>
  <c r="E377" i="20"/>
  <c r="E376" i="20"/>
  <c r="E375" i="20" s="1"/>
  <c r="E373" i="20"/>
  <c r="E372" i="20"/>
  <c r="E371" i="20"/>
  <c r="E370" i="20"/>
  <c r="E369" i="20"/>
  <c r="E368" i="20" s="1"/>
  <c r="E366" i="20"/>
  <c r="E365" i="20"/>
  <c r="E364" i="20"/>
  <c r="E363" i="20"/>
  <c r="E362" i="20"/>
  <c r="E361" i="20" s="1"/>
  <c r="E359" i="20"/>
  <c r="E358" i="20"/>
  <c r="E357" i="20"/>
  <c r="E356" i="20"/>
  <c r="E355" i="20"/>
  <c r="E354" i="20" s="1"/>
  <c r="E352" i="20"/>
  <c r="E351" i="20"/>
  <c r="E350" i="20"/>
  <c r="E349" i="20"/>
  <c r="E348" i="20"/>
  <c r="E347" i="20" s="1"/>
  <c r="E345" i="20"/>
  <c r="E344" i="20"/>
  <c r="E343" i="20"/>
  <c r="E342" i="20"/>
  <c r="E341" i="20"/>
  <c r="E340" i="20" s="1"/>
  <c r="E338" i="20"/>
  <c r="E337" i="20"/>
  <c r="E336" i="20"/>
  <c r="E335" i="20"/>
  <c r="E334" i="20"/>
  <c r="E333" i="20" s="1"/>
  <c r="E331" i="20"/>
  <c r="E330" i="20"/>
  <c r="E329" i="20"/>
  <c r="E328" i="20"/>
  <c r="E327" i="20"/>
  <c r="E326" i="20" s="1"/>
  <c r="E324" i="20"/>
  <c r="E323" i="20"/>
  <c r="E322" i="20"/>
  <c r="E321" i="20"/>
  <c r="E320" i="20"/>
  <c r="E319" i="20" s="1"/>
  <c r="E317" i="20"/>
  <c r="E316" i="20"/>
  <c r="E315" i="20"/>
  <c r="E314" i="20"/>
  <c r="E313" i="20"/>
  <c r="E312" i="20" s="1"/>
  <c r="E310" i="20"/>
  <c r="E309" i="20"/>
  <c r="E308" i="20"/>
  <c r="E307" i="20"/>
  <c r="E306" i="20"/>
  <c r="E305" i="20" s="1"/>
  <c r="E303" i="20"/>
  <c r="E302" i="20"/>
  <c r="E301" i="20"/>
  <c r="E300" i="20"/>
  <c r="E299" i="20"/>
  <c r="E298" i="20" s="1"/>
  <c r="E296" i="20"/>
  <c r="E295" i="20"/>
  <c r="E294" i="20"/>
  <c r="E293" i="20"/>
  <c r="E292" i="20"/>
  <c r="E291" i="20" s="1"/>
  <c r="E289" i="20"/>
  <c r="E288" i="20"/>
  <c r="E287" i="20"/>
  <c r="E286" i="20"/>
  <c r="E285" i="20"/>
  <c r="E284" i="20" s="1"/>
  <c r="E282" i="20"/>
  <c r="E281" i="20"/>
  <c r="E280" i="20"/>
  <c r="E279" i="20"/>
  <c r="E278" i="20"/>
  <c r="E277" i="20" s="1"/>
  <c r="E275" i="20"/>
  <c r="E274" i="20"/>
  <c r="E273" i="20"/>
  <c r="E272" i="20"/>
  <c r="E271" i="20"/>
  <c r="E270" i="20" s="1"/>
  <c r="E268" i="20"/>
  <c r="E267" i="20"/>
  <c r="E266" i="20"/>
  <c r="E265" i="20"/>
  <c r="E264" i="20"/>
  <c r="E263" i="20" s="1"/>
  <c r="E261" i="20"/>
  <c r="E260" i="20"/>
  <c r="E259" i="20"/>
  <c r="E258" i="20"/>
  <c r="E257" i="20"/>
  <c r="E256" i="20" s="1"/>
  <c r="E254" i="20"/>
  <c r="E253" i="20"/>
  <c r="E252" i="20"/>
  <c r="E251" i="20"/>
  <c r="E250" i="20"/>
  <c r="E249" i="20" s="1"/>
  <c r="E247" i="20"/>
  <c r="E246" i="20"/>
  <c r="E245" i="20"/>
  <c r="E244" i="20"/>
  <c r="E243" i="20"/>
  <c r="E242" i="20" s="1"/>
  <c r="E240" i="20"/>
  <c r="E239" i="20"/>
  <c r="E238" i="20"/>
  <c r="E237" i="20"/>
  <c r="E236" i="20"/>
  <c r="E235" i="20" s="1"/>
  <c r="E233" i="20"/>
  <c r="E232" i="20"/>
  <c r="E231" i="20"/>
  <c r="E230" i="20"/>
  <c r="E229" i="20"/>
  <c r="E228" i="20" s="1"/>
  <c r="E226" i="20"/>
  <c r="E225" i="20"/>
  <c r="E224" i="20"/>
  <c r="E223" i="20"/>
  <c r="E222" i="20"/>
  <c r="E221" i="20" s="1"/>
  <c r="E219" i="20"/>
  <c r="E218" i="20"/>
  <c r="E217" i="20"/>
  <c r="E216" i="20"/>
  <c r="E215" i="20"/>
  <c r="E214" i="20" s="1"/>
  <c r="E212" i="20"/>
  <c r="E211" i="20"/>
  <c r="E210" i="20"/>
  <c r="E209" i="20"/>
  <c r="E208" i="20"/>
  <c r="E207" i="20" s="1"/>
  <c r="E205" i="20"/>
  <c r="E204" i="20"/>
  <c r="E203" i="20"/>
  <c r="E202" i="20"/>
  <c r="E201" i="20"/>
  <c r="E200" i="20" s="1"/>
  <c r="E198" i="20"/>
  <c r="E197" i="20"/>
  <c r="E196" i="20"/>
  <c r="E195" i="20"/>
  <c r="E194" i="20"/>
  <c r="E193" i="20" s="1"/>
  <c r="E191" i="20"/>
  <c r="E190" i="20"/>
  <c r="E189" i="20"/>
  <c r="E188" i="20"/>
  <c r="E187" i="20"/>
  <c r="E186" i="20" s="1"/>
  <c r="E184" i="20"/>
  <c r="E183" i="20"/>
  <c r="E182" i="20"/>
  <c r="E181" i="20"/>
  <c r="E180" i="20"/>
  <c r="E179" i="20" s="1"/>
  <c r="E177" i="20"/>
  <c r="E176" i="20"/>
  <c r="E175" i="20"/>
  <c r="E174" i="20"/>
  <c r="E173" i="20"/>
  <c r="E172" i="20" s="1"/>
  <c r="E170" i="20"/>
  <c r="E169" i="20"/>
  <c r="E168" i="20"/>
  <c r="E167" i="20"/>
  <c r="E166" i="20"/>
  <c r="E165" i="20" s="1"/>
  <c r="E163" i="20"/>
  <c r="E162" i="20"/>
  <c r="E161" i="20"/>
  <c r="E160" i="20"/>
  <c r="E159" i="20"/>
  <c r="E158" i="20" s="1"/>
  <c r="E156" i="20"/>
  <c r="E155" i="20"/>
  <c r="E154" i="20"/>
  <c r="E153" i="20"/>
  <c r="E152" i="20"/>
  <c r="E151" i="20" s="1"/>
  <c r="E149" i="20"/>
  <c r="E148" i="20"/>
  <c r="E147" i="20"/>
  <c r="E146" i="20"/>
  <c r="E145" i="20"/>
  <c r="E144" i="20" s="1"/>
  <c r="E142" i="20"/>
  <c r="E141" i="20"/>
  <c r="E140" i="20"/>
  <c r="E139" i="20"/>
  <c r="E138" i="20"/>
  <c r="E137" i="20" s="1"/>
  <c r="E135" i="20"/>
  <c r="E134" i="20"/>
  <c r="E133" i="20"/>
  <c r="E132" i="20"/>
  <c r="E131" i="20"/>
  <c r="E130" i="20" s="1"/>
  <c r="E128" i="20"/>
  <c r="E127" i="20"/>
  <c r="E126" i="20"/>
  <c r="E125" i="20"/>
  <c r="E124" i="20"/>
  <c r="E123" i="20" s="1"/>
  <c r="E121" i="20"/>
  <c r="E120" i="20"/>
  <c r="E119" i="20"/>
  <c r="E118" i="20"/>
  <c r="E117" i="20"/>
  <c r="E116" i="20" s="1"/>
  <c r="E114" i="20"/>
  <c r="E113" i="20"/>
  <c r="E112" i="20"/>
  <c r="E111" i="20"/>
  <c r="E110" i="20"/>
  <c r="E109" i="20" s="1"/>
  <c r="E107" i="20"/>
  <c r="E106" i="20"/>
  <c r="E105" i="20"/>
  <c r="E104" i="20"/>
  <c r="E103" i="20"/>
  <c r="E102" i="20" s="1"/>
  <c r="E100" i="20"/>
  <c r="E99" i="20"/>
  <c r="E98" i="20"/>
  <c r="E97" i="20"/>
  <c r="E96" i="20"/>
  <c r="E95" i="20" s="1"/>
  <c r="E93" i="20"/>
  <c r="E92" i="20"/>
  <c r="E91" i="20"/>
  <c r="E90" i="20"/>
  <c r="E89" i="20"/>
  <c r="E88" i="20" s="1"/>
  <c r="E86" i="20"/>
  <c r="E85" i="20"/>
  <c r="E84" i="20"/>
  <c r="E83" i="20"/>
  <c r="E82" i="20"/>
  <c r="E81" i="20" s="1"/>
  <c r="E79" i="20"/>
  <c r="E78" i="20"/>
  <c r="E77" i="20"/>
  <c r="E76" i="20"/>
  <c r="E75" i="20"/>
  <c r="E74" i="20" s="1"/>
  <c r="E72" i="20"/>
  <c r="E71" i="20"/>
  <c r="E70" i="20"/>
  <c r="E69" i="20"/>
  <c r="E68" i="20"/>
  <c r="E67" i="20" s="1"/>
  <c r="E65" i="20"/>
  <c r="E64" i="20"/>
  <c r="E63" i="20"/>
  <c r="E62" i="20"/>
  <c r="E61" i="20"/>
  <c r="E60" i="20" s="1"/>
  <c r="E58" i="20"/>
  <c r="E57" i="20"/>
  <c r="E56" i="20"/>
  <c r="E55" i="20"/>
  <c r="E54" i="20"/>
  <c r="E53" i="20" s="1"/>
  <c r="E51" i="20"/>
  <c r="E50" i="20"/>
  <c r="E49" i="20"/>
  <c r="E48" i="20"/>
  <c r="E47" i="20"/>
  <c r="E46" i="20" s="1"/>
  <c r="E44" i="20"/>
  <c r="E43" i="20"/>
  <c r="E42" i="20"/>
  <c r="E41" i="20"/>
  <c r="E40" i="20"/>
  <c r="E39" i="20" s="1"/>
  <c r="E37" i="20"/>
  <c r="E36" i="20"/>
  <c r="E35" i="20"/>
  <c r="E34" i="20"/>
  <c r="E33" i="20"/>
  <c r="E32" i="20" s="1"/>
  <c r="E30" i="20"/>
  <c r="E29" i="20"/>
  <c r="E28" i="20"/>
  <c r="E27" i="20"/>
  <c r="E26" i="20"/>
  <c r="E25" i="20" s="1"/>
  <c r="E23" i="20"/>
  <c r="E22" i="20"/>
  <c r="E21" i="20"/>
  <c r="E20" i="20"/>
  <c r="E19" i="20"/>
  <c r="E18" i="20" s="1"/>
  <c r="E16" i="20"/>
  <c r="E15" i="20"/>
  <c r="E14" i="20"/>
  <c r="E13" i="20"/>
  <c r="E12" i="20"/>
  <c r="E11" i="20" s="1"/>
  <c r="E9" i="20"/>
  <c r="E8" i="20"/>
  <c r="E7" i="20"/>
  <c r="E6" i="20"/>
  <c r="E5" i="20"/>
  <c r="E1175" i="20"/>
  <c r="E1618" i="20"/>
  <c r="E1617" i="20"/>
  <c r="E1616" i="20"/>
  <c r="E1615" i="20"/>
  <c r="E1614" i="20" s="1"/>
  <c r="E1612" i="20"/>
  <c r="E1611" i="20"/>
  <c r="E1610" i="20"/>
  <c r="E1609" i="20"/>
  <c r="E1608" i="20"/>
  <c r="E1607" i="20" s="1"/>
  <c r="E1605" i="20"/>
  <c r="E1604" i="20"/>
  <c r="E1603" i="20"/>
  <c r="E1602" i="20"/>
  <c r="E1601" i="20"/>
  <c r="E1600" i="20" s="1"/>
  <c r="E1598" i="20"/>
  <c r="E1597" i="20"/>
  <c r="E1596" i="20"/>
  <c r="E1595" i="20"/>
  <c r="E1594" i="20"/>
  <c r="E1593" i="20" s="1"/>
  <c r="E1591" i="20"/>
  <c r="E1590" i="20"/>
  <c r="E1589" i="20"/>
  <c r="E1588" i="20"/>
  <c r="E1587" i="20"/>
  <c r="E1586" i="20" s="1"/>
  <c r="E1584" i="20"/>
  <c r="E1583" i="20"/>
  <c r="E1582" i="20"/>
  <c r="E1581" i="20"/>
  <c r="E1580" i="20"/>
  <c r="E1579" i="20" s="1"/>
  <c r="E1577" i="20"/>
  <c r="E1576" i="20"/>
  <c r="E1575" i="20"/>
  <c r="E1574" i="20"/>
  <c r="E1573" i="20"/>
  <c r="E1572" i="20" s="1"/>
  <c r="E1570" i="20"/>
  <c r="E1569" i="20"/>
  <c r="E1568" i="20"/>
  <c r="E1567" i="20"/>
  <c r="E1566" i="20"/>
  <c r="E1565" i="20" s="1"/>
  <c r="E1563" i="20"/>
  <c r="E1562" i="20"/>
  <c r="E1561" i="20"/>
  <c r="E1560" i="20"/>
  <c r="E1559" i="20"/>
  <c r="E1558" i="20" s="1"/>
  <c r="E1556" i="20"/>
  <c r="E1555" i="20"/>
  <c r="E1554" i="20"/>
  <c r="E1553" i="20"/>
  <c r="E1552" i="20"/>
  <c r="E1551" i="20" s="1"/>
  <c r="E1549" i="20"/>
  <c r="E1548" i="20"/>
  <c r="D1547" i="20"/>
  <c r="D1546" i="20"/>
  <c r="D1545" i="20"/>
  <c r="D1542" i="20"/>
  <c r="D1541" i="20"/>
  <c r="D1540" i="20"/>
  <c r="D1539" i="20"/>
  <c r="D1538" i="20"/>
  <c r="D1537" i="20" s="1"/>
  <c r="D1535" i="20"/>
  <c r="D1534" i="20"/>
  <c r="D1533" i="20"/>
  <c r="D1532" i="20"/>
  <c r="D1531" i="20"/>
  <c r="D1530" i="20" s="1"/>
  <c r="D1528" i="20"/>
  <c r="D1527" i="20"/>
  <c r="D1526" i="20"/>
  <c r="D1525" i="20"/>
  <c r="D1524" i="20"/>
  <c r="D1523" i="20" s="1"/>
  <c r="D1521" i="20"/>
  <c r="D1520" i="20"/>
  <c r="D1519" i="20"/>
  <c r="D1518" i="20"/>
  <c r="D1517" i="20"/>
  <c r="D1516" i="20" s="1"/>
  <c r="D1514" i="20"/>
  <c r="D1513" i="20"/>
  <c r="D1512" i="20"/>
  <c r="D1511" i="20"/>
  <c r="D1510" i="20"/>
  <c r="D1509" i="20" s="1"/>
  <c r="D1507" i="20"/>
  <c r="D1506" i="20"/>
  <c r="D1505" i="20"/>
  <c r="D1504" i="20"/>
  <c r="D1503" i="20"/>
  <c r="D1502" i="20" s="1"/>
  <c r="D1500" i="20"/>
  <c r="D1499" i="20"/>
  <c r="D1498" i="20"/>
  <c r="D1497" i="20"/>
  <c r="D1496" i="20"/>
  <c r="D1495" i="20" s="1"/>
  <c r="D1493" i="20"/>
  <c r="D1492" i="20"/>
  <c r="D1491" i="20"/>
  <c r="D1490" i="20"/>
  <c r="D1489" i="20"/>
  <c r="D1488" i="20" s="1"/>
  <c r="D1486" i="20"/>
  <c r="D1485" i="20"/>
  <c r="D1484" i="20"/>
  <c r="D1483" i="20"/>
  <c r="D1482" i="20"/>
  <c r="D1481" i="20" s="1"/>
  <c r="D1479" i="20"/>
  <c r="D1478" i="20"/>
  <c r="D1477" i="20"/>
  <c r="D1476" i="20"/>
  <c r="D1475" i="20"/>
  <c r="D1474" i="20" s="1"/>
  <c r="D1472" i="20"/>
  <c r="D1471" i="20"/>
  <c r="D1470" i="20"/>
  <c r="D1469" i="20"/>
  <c r="D1468" i="20"/>
  <c r="D1467" i="20" s="1"/>
  <c r="D1465" i="20"/>
  <c r="D1464" i="20"/>
  <c r="D1463" i="20"/>
  <c r="D1462" i="20"/>
  <c r="D1461" i="20"/>
  <c r="D1460" i="20" s="1"/>
  <c r="D1458" i="20"/>
  <c r="D1457" i="20"/>
  <c r="D1456" i="20"/>
  <c r="D1455" i="20"/>
  <c r="D1454" i="20"/>
  <c r="D1453" i="20" s="1"/>
  <c r="D1451" i="20"/>
  <c r="D1450" i="20"/>
  <c r="D1449" i="20"/>
  <c r="D1448" i="20"/>
  <c r="D1447" i="20"/>
  <c r="D1446" i="20" s="1"/>
  <c r="D1444" i="20"/>
  <c r="D1443" i="20"/>
  <c r="D1442" i="20"/>
  <c r="D1441" i="20"/>
  <c r="D1440" i="20"/>
  <c r="D1439" i="20" s="1"/>
  <c r="D1437" i="20"/>
  <c r="D1436" i="20"/>
  <c r="D1435" i="20"/>
  <c r="D1434" i="20"/>
  <c r="D1433" i="20"/>
  <c r="D1432" i="20" s="1"/>
  <c r="D1430" i="20"/>
  <c r="D1429" i="20"/>
  <c r="D1428" i="20"/>
  <c r="D1427" i="20"/>
  <c r="D1426" i="20"/>
  <c r="D1425" i="20" s="1"/>
  <c r="D1423" i="20"/>
  <c r="D1422" i="20"/>
  <c r="D1421" i="20"/>
  <c r="D1420" i="20"/>
  <c r="D1419" i="20"/>
  <c r="D1418" i="20" s="1"/>
  <c r="D1416" i="20"/>
  <c r="D1415" i="20"/>
  <c r="D1414" i="20"/>
  <c r="D1413" i="20"/>
  <c r="D1412" i="20"/>
  <c r="D1411" i="20" s="1"/>
  <c r="D1409" i="20"/>
  <c r="D1408" i="20"/>
  <c r="D1407" i="20"/>
  <c r="D1406" i="20"/>
  <c r="D1405" i="20"/>
  <c r="D1404" i="20" s="1"/>
  <c r="D1402" i="20"/>
  <c r="D1401" i="20"/>
  <c r="D1400" i="20"/>
  <c r="D1399" i="20"/>
  <c r="D1398" i="20"/>
  <c r="D1397" i="20" s="1"/>
  <c r="D1395" i="20"/>
  <c r="D1394" i="20"/>
  <c r="D1393" i="20"/>
  <c r="D1392" i="20"/>
  <c r="D1391" i="20"/>
  <c r="D1390" i="20" s="1"/>
  <c r="D1388" i="20"/>
  <c r="D1387" i="20"/>
  <c r="D1386" i="20"/>
  <c r="D1385" i="20"/>
  <c r="D1384" i="20"/>
  <c r="D1383" i="20" s="1"/>
  <c r="D1381" i="20"/>
  <c r="D1380" i="20"/>
  <c r="D1379" i="20"/>
  <c r="D1378" i="20"/>
  <c r="D1377" i="20"/>
  <c r="D1376" i="20" s="1"/>
  <c r="D1374" i="20"/>
  <c r="D1373" i="20"/>
  <c r="D1372" i="20"/>
  <c r="D1371" i="20"/>
  <c r="D1370" i="20"/>
  <c r="D1369" i="20" s="1"/>
  <c r="D1367" i="20"/>
  <c r="D1366" i="20"/>
  <c r="D1365" i="20"/>
  <c r="D1364" i="20"/>
  <c r="D1363" i="20"/>
  <c r="D1362" i="20" s="1"/>
  <c r="D1360" i="20"/>
  <c r="D1359" i="20"/>
  <c r="D1358" i="20"/>
  <c r="D1357" i="20"/>
  <c r="D1356" i="20"/>
  <c r="D1355" i="20" s="1"/>
  <c r="D1353" i="20"/>
  <c r="D1352" i="20"/>
  <c r="D1351" i="20"/>
  <c r="D1350" i="20"/>
  <c r="D1349" i="20"/>
  <c r="D1348" i="20" s="1"/>
  <c r="D1346" i="20"/>
  <c r="D1345" i="20"/>
  <c r="D1344" i="20"/>
  <c r="D1343" i="20"/>
  <c r="D1342" i="20"/>
  <c r="D1341" i="20" s="1"/>
  <c r="D1339" i="20"/>
  <c r="D1338" i="20"/>
  <c r="D1337" i="20"/>
  <c r="D1336" i="20"/>
  <c r="D1335" i="20"/>
  <c r="D1334" i="20" s="1"/>
  <c r="D1332" i="20"/>
  <c r="D1331" i="20"/>
  <c r="D1330" i="20"/>
  <c r="D1329" i="20"/>
  <c r="D1328" i="20"/>
  <c r="D1327" i="20" s="1"/>
  <c r="D1325" i="20"/>
  <c r="D1324" i="20"/>
  <c r="D1323" i="20"/>
  <c r="D1322" i="20"/>
  <c r="D1321" i="20"/>
  <c r="D1320" i="20" s="1"/>
  <c r="D1318" i="20"/>
  <c r="D1317" i="20"/>
  <c r="D1316" i="20"/>
  <c r="D1315" i="20"/>
  <c r="D1314" i="20"/>
  <c r="D1313" i="20" s="1"/>
  <c r="D1311" i="20"/>
  <c r="D1310" i="20"/>
  <c r="D1309" i="20"/>
  <c r="D1308" i="20"/>
  <c r="D1307" i="20"/>
  <c r="D1306" i="20" s="1"/>
  <c r="D1304" i="20"/>
  <c r="D1303" i="20"/>
  <c r="D1302" i="20"/>
  <c r="D1301" i="20"/>
  <c r="D1300" i="20"/>
  <c r="D1299" i="20" s="1"/>
  <c r="D1297" i="20"/>
  <c r="D1296" i="20"/>
  <c r="D1295" i="20"/>
  <c r="D1294" i="20"/>
  <c r="D1293" i="20"/>
  <c r="D1292" i="20" s="1"/>
  <c r="D1290" i="20"/>
  <c r="D1289" i="20"/>
  <c r="D1288" i="20"/>
  <c r="D1287" i="20"/>
  <c r="D1286" i="20"/>
  <c r="D1285" i="20" s="1"/>
  <c r="D1283" i="20"/>
  <c r="D1282" i="20"/>
  <c r="D1281" i="20"/>
  <c r="D1280" i="20"/>
  <c r="D1279" i="20"/>
  <c r="D1278" i="20" s="1"/>
  <c r="D1276" i="20"/>
  <c r="D1275" i="20"/>
  <c r="D1274" i="20"/>
  <c r="D1273" i="20"/>
  <c r="D1272" i="20"/>
  <c r="D1271" i="20" s="1"/>
  <c r="D1269" i="20"/>
  <c r="D1268" i="20"/>
  <c r="D1267" i="20"/>
  <c r="D1266" i="20"/>
  <c r="D1265" i="20"/>
  <c r="D1264" i="20" s="1"/>
  <c r="D1262" i="20"/>
  <c r="D1261" i="20"/>
  <c r="D1260" i="20"/>
  <c r="D1259" i="20"/>
  <c r="D1258" i="20"/>
  <c r="D1257" i="20" s="1"/>
  <c r="D1255" i="20"/>
  <c r="D1254" i="20"/>
  <c r="D1253" i="20"/>
  <c r="D1252" i="20"/>
  <c r="D1251" i="20"/>
  <c r="D1250" i="20" s="1"/>
  <c r="D1248" i="20"/>
  <c r="D1247" i="20"/>
  <c r="D1246" i="20"/>
  <c r="D1245" i="20"/>
  <c r="D1244" i="20"/>
  <c r="D1243" i="20" s="1"/>
  <c r="D1241" i="20"/>
  <c r="D1240" i="20"/>
  <c r="D1239" i="20"/>
  <c r="D1238" i="20"/>
  <c r="D1237" i="20"/>
  <c r="D1236" i="20" s="1"/>
  <c r="D1234" i="20"/>
  <c r="D1233" i="20"/>
  <c r="D1232" i="20"/>
  <c r="D1231" i="20"/>
  <c r="D1230" i="20"/>
  <c r="D1229" i="20" s="1"/>
  <c r="D1227" i="20"/>
  <c r="D1226" i="20"/>
  <c r="D1225" i="20"/>
  <c r="D1224" i="20"/>
  <c r="D1223" i="20"/>
  <c r="D1222" i="20" s="1"/>
  <c r="D1220" i="20"/>
  <c r="D1219" i="20"/>
  <c r="D1218" i="20"/>
  <c r="D1217" i="20"/>
  <c r="D1216" i="20"/>
  <c r="D1215" i="20" s="1"/>
  <c r="D1213" i="20"/>
  <c r="D1212" i="20"/>
  <c r="D1211" i="20"/>
  <c r="D1210" i="20"/>
  <c r="D1209" i="20"/>
  <c r="D1208" i="20" s="1"/>
  <c r="D1206" i="20"/>
  <c r="D1205" i="20"/>
  <c r="D1204" i="20"/>
  <c r="D1203" i="20"/>
  <c r="D1202" i="20"/>
  <c r="D1201" i="20" s="1"/>
  <c r="D1199" i="20"/>
  <c r="D1198" i="20"/>
  <c r="D1197" i="20"/>
  <c r="D1196" i="20"/>
  <c r="D1195" i="20"/>
  <c r="D1194" i="20" s="1"/>
  <c r="D1192" i="20"/>
  <c r="D1191" i="20"/>
  <c r="D1190" i="20"/>
  <c r="D1189" i="20"/>
  <c r="D1188" i="20"/>
  <c r="D1187" i="20" s="1"/>
  <c r="D1185" i="20"/>
  <c r="D1184" i="20"/>
  <c r="D1183" i="20"/>
  <c r="D1182" i="20"/>
  <c r="D1181" i="20"/>
  <c r="D1180" i="20" s="1"/>
  <c r="D1178" i="20"/>
  <c r="D1177" i="20"/>
  <c r="D1176" i="20"/>
  <c r="D1175" i="20"/>
  <c r="D1174" i="20"/>
  <c r="D1173" i="20" s="1"/>
  <c r="D1171" i="20"/>
  <c r="D1170" i="20"/>
  <c r="D1169" i="20"/>
  <c r="D1168" i="20"/>
  <c r="D1167" i="20"/>
  <c r="D1166" i="20" s="1"/>
  <c r="D1164" i="20"/>
  <c r="D1163" i="20"/>
  <c r="D1162" i="20"/>
  <c r="D1161" i="20"/>
  <c r="D1160" i="20"/>
  <c r="D1159" i="20" s="1"/>
  <c r="D1157" i="20"/>
  <c r="D1156" i="20"/>
  <c r="D1155" i="20"/>
  <c r="D1154" i="20"/>
  <c r="D1153" i="20"/>
  <c r="D1152" i="20" s="1"/>
  <c r="D1150" i="20"/>
  <c r="D1149" i="20"/>
  <c r="D1148" i="20"/>
  <c r="D1147" i="20"/>
  <c r="D1146" i="20"/>
  <c r="D1145" i="20" s="1"/>
  <c r="D1143" i="20"/>
  <c r="D1142" i="20"/>
  <c r="D1141" i="20"/>
  <c r="D1140" i="20"/>
  <c r="D1139" i="20"/>
  <c r="D1138" i="20" s="1"/>
  <c r="D1136" i="20"/>
  <c r="D1135" i="20"/>
  <c r="D1134" i="20"/>
  <c r="D1133" i="20"/>
  <c r="D1132" i="20"/>
  <c r="D1131" i="20" s="1"/>
  <c r="D1129" i="20"/>
  <c r="D1128" i="20"/>
  <c r="D1127" i="20"/>
  <c r="D1126" i="20"/>
  <c r="D1125" i="20"/>
  <c r="D1124" i="20" s="1"/>
  <c r="D1122" i="20"/>
  <c r="D1121" i="20"/>
  <c r="D1120" i="20"/>
  <c r="D1119" i="20"/>
  <c r="D1118" i="20"/>
  <c r="D1117" i="20" s="1"/>
  <c r="D1115" i="20"/>
  <c r="D1114" i="20"/>
  <c r="D1113" i="20"/>
  <c r="D1112" i="20"/>
  <c r="D1111" i="20"/>
  <c r="D1110" i="20" s="1"/>
  <c r="D1108" i="20"/>
  <c r="D1107" i="20"/>
  <c r="D1106" i="20"/>
  <c r="D1105" i="20"/>
  <c r="D1104" i="20"/>
  <c r="D1103" i="20" s="1"/>
  <c r="D1101" i="20"/>
  <c r="D1100" i="20"/>
  <c r="D1099" i="20"/>
  <c r="D1098" i="20"/>
  <c r="D1097" i="20"/>
  <c r="D1096" i="20" s="1"/>
  <c r="D1094" i="20"/>
  <c r="D1093" i="20"/>
  <c r="D1092" i="20"/>
  <c r="D1091" i="20"/>
  <c r="D1090" i="20"/>
  <c r="D1089" i="20" s="1"/>
  <c r="D1087" i="20"/>
  <c r="D1086" i="20"/>
  <c r="D1085" i="20"/>
  <c r="D1084" i="20"/>
  <c r="D1083" i="20"/>
  <c r="D1082" i="20" s="1"/>
  <c r="D1080" i="20"/>
  <c r="D1079" i="20"/>
  <c r="D1078" i="20"/>
  <c r="D1077" i="20"/>
  <c r="D1076" i="20"/>
  <c r="D1075" i="20" s="1"/>
  <c r="D1073" i="20"/>
  <c r="D1072" i="20"/>
  <c r="D1071" i="20"/>
  <c r="D1070" i="20"/>
  <c r="D1069" i="20"/>
  <c r="D1068" i="20" s="1"/>
  <c r="D1066" i="20"/>
  <c r="D1065" i="20"/>
  <c r="D1064" i="20"/>
  <c r="D1063" i="20"/>
  <c r="D1062" i="20"/>
  <c r="D1061" i="20" s="1"/>
  <c r="D1059" i="20"/>
  <c r="D1058" i="20"/>
  <c r="D1057" i="20"/>
  <c r="D1056" i="20"/>
  <c r="D1055" i="20"/>
  <c r="D1054" i="20" s="1"/>
  <c r="D1052" i="20"/>
  <c r="D1051" i="20"/>
  <c r="D1050" i="20"/>
  <c r="D1049" i="20"/>
  <c r="D1048" i="20"/>
  <c r="D1047" i="20" s="1"/>
  <c r="D1045" i="20"/>
  <c r="D1044" i="20"/>
  <c r="D1043" i="20"/>
  <c r="D1042" i="20"/>
  <c r="D1041" i="20"/>
  <c r="D1040" i="20" s="1"/>
  <c r="D1038" i="20"/>
  <c r="D1037" i="20"/>
  <c r="D1036" i="20"/>
  <c r="D1035" i="20"/>
  <c r="D1034" i="20"/>
  <c r="D1033" i="20" s="1"/>
  <c r="D1031" i="20"/>
  <c r="D1030" i="20"/>
  <c r="D1029" i="20"/>
  <c r="D1028" i="20"/>
  <c r="D1027" i="20"/>
  <c r="D1026" i="20" s="1"/>
  <c r="D1024" i="20"/>
  <c r="D1023" i="20"/>
  <c r="D1022" i="20"/>
  <c r="D1021" i="20"/>
  <c r="D1020" i="20"/>
  <c r="D1019" i="20" s="1"/>
  <c r="D1017" i="20"/>
  <c r="D1016" i="20"/>
  <c r="D1015" i="20"/>
  <c r="D1014" i="20"/>
  <c r="D1013" i="20"/>
  <c r="D1012" i="20" s="1"/>
  <c r="D1010" i="20"/>
  <c r="D1009" i="20"/>
  <c r="D1008" i="20"/>
  <c r="D1007" i="20"/>
  <c r="D1006" i="20"/>
  <c r="D1005" i="20" s="1"/>
  <c r="D1003" i="20"/>
  <c r="D1002" i="20"/>
  <c r="D1001" i="20"/>
  <c r="D1000" i="20"/>
  <c r="D999" i="20"/>
  <c r="D998" i="20" s="1"/>
  <c r="D996" i="20"/>
  <c r="D995" i="20"/>
  <c r="D994" i="20"/>
  <c r="D993" i="20"/>
  <c r="D992" i="20"/>
  <c r="D991" i="20" s="1"/>
  <c r="D989" i="20"/>
  <c r="D988" i="20"/>
  <c r="D987" i="20"/>
  <c r="D986" i="20"/>
  <c r="D985" i="20"/>
  <c r="D984" i="20" s="1"/>
  <c r="D982" i="20"/>
  <c r="D981" i="20"/>
  <c r="D980" i="20"/>
  <c r="D979" i="20"/>
  <c r="D978" i="20"/>
  <c r="D977" i="20" s="1"/>
  <c r="D975" i="20"/>
  <c r="D974" i="20"/>
  <c r="D973" i="20"/>
  <c r="D972" i="20"/>
  <c r="D971" i="20"/>
  <c r="D970" i="20" s="1"/>
  <c r="D968" i="20"/>
  <c r="D967" i="20"/>
  <c r="D966" i="20"/>
  <c r="D965" i="20"/>
  <c r="D964" i="20"/>
  <c r="D963" i="20" s="1"/>
  <c r="D961" i="20"/>
  <c r="D960" i="20"/>
  <c r="D959" i="20"/>
  <c r="D958" i="20"/>
  <c r="D957" i="20"/>
  <c r="D956" i="20" s="1"/>
  <c r="D954" i="20"/>
  <c r="D953" i="20"/>
  <c r="D952" i="20"/>
  <c r="D951" i="20"/>
  <c r="D950" i="20"/>
  <c r="D949" i="20" s="1"/>
  <c r="D947" i="20"/>
  <c r="D946" i="20"/>
  <c r="D945" i="20"/>
  <c r="D944" i="20"/>
  <c r="D943" i="20"/>
  <c r="D942" i="20" s="1"/>
  <c r="D940" i="20"/>
  <c r="D939" i="20"/>
  <c r="D938" i="20"/>
  <c r="D937" i="20"/>
  <c r="D936" i="20"/>
  <c r="D935" i="20" s="1"/>
  <c r="D933" i="20"/>
  <c r="D932" i="20"/>
  <c r="D931" i="20"/>
  <c r="D930" i="20"/>
  <c r="D929" i="20"/>
  <c r="D928" i="20" s="1"/>
  <c r="D926" i="20"/>
  <c r="D925" i="20"/>
  <c r="D924" i="20"/>
  <c r="D923" i="20"/>
  <c r="D922" i="20"/>
  <c r="D921" i="20" s="1"/>
  <c r="D919" i="20"/>
  <c r="D918" i="20"/>
  <c r="D917" i="20"/>
  <c r="D916" i="20"/>
  <c r="D915" i="20"/>
  <c r="D914" i="20" s="1"/>
  <c r="D912" i="20"/>
  <c r="D911" i="20"/>
  <c r="D910" i="20"/>
  <c r="D909" i="20"/>
  <c r="D908" i="20"/>
  <c r="D907" i="20" s="1"/>
  <c r="D905" i="20"/>
  <c r="D904" i="20"/>
  <c r="D903" i="20"/>
  <c r="D902" i="20"/>
  <c r="D901" i="20"/>
  <c r="D900" i="20" s="1"/>
  <c r="D898" i="20"/>
  <c r="D897" i="20"/>
  <c r="D896" i="20"/>
  <c r="D895" i="20"/>
  <c r="D894" i="20"/>
  <c r="D893" i="20" s="1"/>
  <c r="D891" i="20"/>
  <c r="D890" i="20"/>
  <c r="D889" i="20"/>
  <c r="D888" i="20"/>
  <c r="D887" i="20"/>
  <c r="D886" i="20" s="1"/>
  <c r="D884" i="20"/>
  <c r="D883" i="20"/>
  <c r="D882" i="20"/>
  <c r="D881" i="20"/>
  <c r="D880" i="20"/>
  <c r="D879" i="20" s="1"/>
  <c r="D877" i="20"/>
  <c r="D876" i="20"/>
  <c r="D875" i="20"/>
  <c r="D874" i="20"/>
  <c r="D873" i="20"/>
  <c r="D872" i="20" s="1"/>
  <c r="D870" i="20"/>
  <c r="D869" i="20"/>
  <c r="D868" i="20"/>
  <c r="D867" i="20"/>
  <c r="D866" i="20"/>
  <c r="D865" i="20" s="1"/>
  <c r="D863" i="20"/>
  <c r="D862" i="20"/>
  <c r="D861" i="20"/>
  <c r="D860" i="20"/>
  <c r="D859" i="20"/>
  <c r="D858" i="20" s="1"/>
  <c r="D856" i="20"/>
  <c r="D855" i="20"/>
  <c r="D854" i="20"/>
  <c r="D853" i="20"/>
  <c r="D852" i="20"/>
  <c r="D851" i="20" s="1"/>
  <c r="D849" i="20"/>
  <c r="D848" i="20"/>
  <c r="D847" i="20"/>
  <c r="D846" i="20"/>
  <c r="D845" i="20"/>
  <c r="D844" i="20" s="1"/>
  <c r="D842" i="20"/>
  <c r="D841" i="20"/>
  <c r="D840" i="20"/>
  <c r="D839" i="20"/>
  <c r="D838" i="20"/>
  <c r="D837" i="20" s="1"/>
  <c r="D835" i="20"/>
  <c r="D834" i="20"/>
  <c r="D833" i="20"/>
  <c r="D832" i="20"/>
  <c r="D831" i="20"/>
  <c r="D830" i="20" s="1"/>
  <c r="D828" i="20"/>
  <c r="D827" i="20"/>
  <c r="D826" i="20"/>
  <c r="D825" i="20"/>
  <c r="D824" i="20"/>
  <c r="D823" i="20" s="1"/>
  <c r="D821" i="20"/>
  <c r="D820" i="20"/>
  <c r="D819" i="20"/>
  <c r="D818" i="20"/>
  <c r="D817" i="20"/>
  <c r="D816" i="20" s="1"/>
  <c r="D814" i="20"/>
  <c r="D813" i="20"/>
  <c r="D812" i="20"/>
  <c r="D811" i="20"/>
  <c r="D810" i="20"/>
  <c r="D809" i="20" s="1"/>
  <c r="D807" i="20"/>
  <c r="D806" i="20"/>
  <c r="D805" i="20"/>
  <c r="D804" i="20"/>
  <c r="D803" i="20"/>
  <c r="D802" i="20" s="1"/>
  <c r="D800" i="20"/>
  <c r="D799" i="20"/>
  <c r="D798" i="20"/>
  <c r="D797" i="20"/>
  <c r="D796" i="20"/>
  <c r="D795" i="20" s="1"/>
  <c r="D793" i="20"/>
  <c r="D792" i="20"/>
  <c r="D791" i="20"/>
  <c r="D790" i="20"/>
  <c r="D789" i="20"/>
  <c r="D788" i="20" s="1"/>
  <c r="D786" i="20"/>
  <c r="D785" i="20"/>
  <c r="D784" i="20"/>
  <c r="D783" i="20"/>
  <c r="D782" i="20"/>
  <c r="D781" i="20" s="1"/>
  <c r="D779" i="20"/>
  <c r="D778" i="20"/>
  <c r="D777" i="20"/>
  <c r="D776" i="20"/>
  <c r="D775" i="20"/>
  <c r="D774" i="20" s="1"/>
  <c r="D772" i="20"/>
  <c r="D771" i="20"/>
  <c r="D770" i="20"/>
  <c r="D769" i="20"/>
  <c r="D768" i="20"/>
  <c r="D767" i="20" s="1"/>
  <c r="D765" i="20"/>
  <c r="D764" i="20"/>
  <c r="D763" i="20"/>
  <c r="D762" i="20"/>
  <c r="D761" i="20"/>
  <c r="D760" i="20" s="1"/>
  <c r="D758" i="20"/>
  <c r="D757" i="20"/>
  <c r="D756" i="20"/>
  <c r="D755" i="20"/>
  <c r="D754" i="20"/>
  <c r="D753" i="20" s="1"/>
  <c r="D751" i="20"/>
  <c r="D750" i="20"/>
  <c r="D749" i="20"/>
  <c r="D748" i="20"/>
  <c r="D747" i="20"/>
  <c r="D746" i="20" s="1"/>
  <c r="D744" i="20"/>
  <c r="D743" i="20"/>
  <c r="D742" i="20"/>
  <c r="D741" i="20"/>
  <c r="D740" i="20"/>
  <c r="D739" i="20" s="1"/>
  <c r="D737" i="20"/>
  <c r="D736" i="20"/>
  <c r="D735" i="20"/>
  <c r="D734" i="20"/>
  <c r="D733" i="20"/>
  <c r="D732" i="20" s="1"/>
  <c r="D730" i="20"/>
  <c r="D729" i="20"/>
  <c r="D728" i="20"/>
  <c r="D727" i="20"/>
  <c r="D726" i="20"/>
  <c r="D725" i="20" s="1"/>
  <c r="D723" i="20"/>
  <c r="D722" i="20"/>
  <c r="D721" i="20"/>
  <c r="D720" i="20"/>
  <c r="D719" i="20"/>
  <c r="D718" i="20" s="1"/>
  <c r="D716" i="20"/>
  <c r="D715" i="20"/>
  <c r="D714" i="20"/>
  <c r="D713" i="20"/>
  <c r="D712" i="20"/>
  <c r="D711" i="20" s="1"/>
  <c r="D709" i="20"/>
  <c r="D708" i="20"/>
  <c r="D707" i="20"/>
  <c r="D706" i="20"/>
  <c r="D705" i="20"/>
  <c r="D704" i="20" s="1"/>
  <c r="D702" i="20"/>
  <c r="D701" i="20"/>
  <c r="D700" i="20"/>
  <c r="D699" i="20"/>
  <c r="D698" i="20"/>
  <c r="D697" i="20" s="1"/>
  <c r="D695" i="20"/>
  <c r="D694" i="20"/>
  <c r="D693" i="20"/>
  <c r="D692" i="20"/>
  <c r="D691" i="20"/>
  <c r="D690" i="20" s="1"/>
  <c r="D688" i="20"/>
  <c r="D687" i="20"/>
  <c r="D686" i="20"/>
  <c r="D685" i="20"/>
  <c r="D684" i="20"/>
  <c r="D683" i="20" s="1"/>
  <c r="D681" i="20"/>
  <c r="D680" i="20"/>
  <c r="D679" i="20"/>
  <c r="D678" i="20"/>
  <c r="D677" i="20"/>
  <c r="D676" i="20" s="1"/>
  <c r="D674" i="20"/>
  <c r="D673" i="20"/>
  <c r="D672" i="20"/>
  <c r="D671" i="20"/>
  <c r="D670" i="20"/>
  <c r="D669" i="20" s="1"/>
  <c r="D667" i="20"/>
  <c r="D666" i="20"/>
  <c r="D665" i="20"/>
  <c r="D664" i="20"/>
  <c r="D663" i="20"/>
  <c r="D662" i="20" s="1"/>
  <c r="D660" i="20"/>
  <c r="D659" i="20"/>
  <c r="D658" i="20"/>
  <c r="D657" i="20"/>
  <c r="D656" i="20"/>
  <c r="D655" i="20" s="1"/>
  <c r="D653" i="20"/>
  <c r="D652" i="20"/>
  <c r="D651" i="20"/>
  <c r="D650" i="20"/>
  <c r="D649" i="20"/>
  <c r="D648" i="20" s="1"/>
  <c r="D646" i="20"/>
  <c r="D645" i="20"/>
  <c r="D644" i="20"/>
  <c r="D643" i="20"/>
  <c r="D642" i="20"/>
  <c r="D641" i="20" s="1"/>
  <c r="D639" i="20"/>
  <c r="D638" i="20"/>
  <c r="D637" i="20"/>
  <c r="D636" i="20"/>
  <c r="D635" i="20"/>
  <c r="D634" i="20" s="1"/>
  <c r="D632" i="20"/>
  <c r="D631" i="20"/>
  <c r="D630" i="20"/>
  <c r="D629" i="20"/>
  <c r="D628" i="20"/>
  <c r="D627" i="20" s="1"/>
  <c r="D625" i="20"/>
  <c r="D624" i="20"/>
  <c r="D623" i="20"/>
  <c r="D622" i="20"/>
  <c r="D621" i="20"/>
  <c r="D620" i="20" s="1"/>
  <c r="D618" i="20"/>
  <c r="D617" i="20"/>
  <c r="D616" i="20"/>
  <c r="D615" i="20"/>
  <c r="D614" i="20"/>
  <c r="D613" i="20" s="1"/>
  <c r="D611" i="20"/>
  <c r="D610" i="20"/>
  <c r="D609" i="20"/>
  <c r="D608" i="20"/>
  <c r="D607" i="20"/>
  <c r="D606" i="20" s="1"/>
  <c r="D604" i="20"/>
  <c r="D603" i="20"/>
  <c r="D602" i="20"/>
  <c r="D601" i="20"/>
  <c r="D600" i="20"/>
  <c r="D599" i="20" s="1"/>
  <c r="D597" i="20"/>
  <c r="D596" i="20"/>
  <c r="D595" i="20"/>
  <c r="D594" i="20"/>
  <c r="D593" i="20"/>
  <c r="D592" i="20" s="1"/>
  <c r="D590" i="20"/>
  <c r="D589" i="20"/>
  <c r="D588" i="20"/>
  <c r="D587" i="20"/>
  <c r="D586" i="20"/>
  <c r="D585" i="20" s="1"/>
  <c r="D583" i="20"/>
  <c r="D582" i="20"/>
  <c r="D581" i="20"/>
  <c r="D580" i="20"/>
  <c r="D579" i="20"/>
  <c r="D578" i="20" s="1"/>
  <c r="D576" i="20"/>
  <c r="D575" i="20"/>
  <c r="D574" i="20"/>
  <c r="D573" i="20"/>
  <c r="D572" i="20"/>
  <c r="D571" i="20" s="1"/>
  <c r="D569" i="20"/>
  <c r="D568" i="20"/>
  <c r="D567" i="20"/>
  <c r="D566" i="20"/>
  <c r="D565" i="20"/>
  <c r="D564" i="20" s="1"/>
  <c r="D562" i="20"/>
  <c r="D561" i="20"/>
  <c r="D560" i="20"/>
  <c r="D559" i="20"/>
  <c r="D558" i="20"/>
  <c r="D557" i="20" s="1"/>
  <c r="D555" i="20"/>
  <c r="D554" i="20"/>
  <c r="D1619" i="20"/>
  <c r="D552" i="20"/>
  <c r="D551" i="20"/>
  <c r="D548" i="20"/>
  <c r="D547" i="20"/>
  <c r="D546" i="20"/>
  <c r="D545" i="20"/>
  <c r="D544" i="20"/>
  <c r="D543" i="20" s="1"/>
  <c r="D541" i="20"/>
  <c r="D540" i="20"/>
  <c r="D539" i="20"/>
  <c r="D538" i="20"/>
  <c r="D537" i="20"/>
  <c r="D536" i="20" s="1"/>
  <c r="D534" i="20"/>
  <c r="D533" i="20"/>
  <c r="D532" i="20"/>
  <c r="D531" i="20"/>
  <c r="D530" i="20"/>
  <c r="D529" i="20" s="1"/>
  <c r="D527" i="20"/>
  <c r="D526" i="20"/>
  <c r="D525" i="20"/>
  <c r="D524" i="20"/>
  <c r="D523" i="20"/>
  <c r="D522" i="20" s="1"/>
  <c r="D520" i="20"/>
  <c r="D519" i="20"/>
  <c r="D518" i="20"/>
  <c r="D517" i="20"/>
  <c r="D516" i="20"/>
  <c r="D515" i="20" s="1"/>
  <c r="D513" i="20"/>
  <c r="D512" i="20"/>
  <c r="D511" i="20"/>
  <c r="D510" i="20"/>
  <c r="D509" i="20"/>
  <c r="D508" i="20" s="1"/>
  <c r="D506" i="20"/>
  <c r="D505" i="20"/>
  <c r="D504" i="20"/>
  <c r="D503" i="20"/>
  <c r="D502" i="20"/>
  <c r="D501" i="20" s="1"/>
  <c r="D499" i="20"/>
  <c r="D498" i="20"/>
  <c r="D497" i="20"/>
  <c r="D496" i="20"/>
  <c r="D495" i="20"/>
  <c r="D494" i="20" s="1"/>
  <c r="D492" i="20"/>
  <c r="D491" i="20"/>
  <c r="D490" i="20"/>
  <c r="D489" i="20"/>
  <c r="D488" i="20"/>
  <c r="D487" i="20" s="1"/>
  <c r="D485" i="20"/>
  <c r="D484" i="20"/>
  <c r="D483" i="20"/>
  <c r="D482" i="20"/>
  <c r="D481" i="20"/>
  <c r="D480" i="20" s="1"/>
  <c r="D478" i="20"/>
  <c r="D477" i="20"/>
  <c r="D476" i="20"/>
  <c r="D475" i="20"/>
  <c r="D474" i="20"/>
  <c r="D473" i="20" s="1"/>
  <c r="D471" i="20"/>
  <c r="D470" i="20"/>
  <c r="D469" i="20"/>
  <c r="D468" i="20"/>
  <c r="D467" i="20"/>
  <c r="D466" i="20" s="1"/>
  <c r="D464" i="20"/>
  <c r="D463" i="20"/>
  <c r="D462" i="20"/>
  <c r="D461" i="20"/>
  <c r="D460" i="20"/>
  <c r="D459" i="20" s="1"/>
  <c r="D457" i="20"/>
  <c r="D456" i="20"/>
  <c r="D455" i="20"/>
  <c r="D454" i="20"/>
  <c r="D453" i="20"/>
  <c r="D452" i="20" s="1"/>
  <c r="D450" i="20"/>
  <c r="D449" i="20"/>
  <c r="D448" i="20"/>
  <c r="D447" i="20"/>
  <c r="D446" i="20"/>
  <c r="D445" i="20" s="1"/>
  <c r="D443" i="20"/>
  <c r="D442" i="20"/>
  <c r="D441" i="20"/>
  <c r="D440" i="20"/>
  <c r="D439" i="20"/>
  <c r="D438" i="20" s="1"/>
  <c r="D436" i="20"/>
  <c r="D435" i="20"/>
  <c r="D434" i="20"/>
  <c r="D433" i="20"/>
  <c r="D432" i="20"/>
  <c r="D431" i="20" s="1"/>
  <c r="D429" i="20"/>
  <c r="D428" i="20"/>
  <c r="D427" i="20"/>
  <c r="D426" i="20"/>
  <c r="D425" i="20"/>
  <c r="D424" i="20" s="1"/>
  <c r="D422" i="20"/>
  <c r="D421" i="20"/>
  <c r="D420" i="20"/>
  <c r="D419" i="20"/>
  <c r="D418" i="20"/>
  <c r="D417" i="20" s="1"/>
  <c r="D415" i="20"/>
  <c r="D414" i="20"/>
  <c r="D413" i="20"/>
  <c r="D412" i="20"/>
  <c r="D411" i="20"/>
  <c r="D410" i="20" s="1"/>
  <c r="D408" i="20"/>
  <c r="D407" i="20"/>
  <c r="D406" i="20"/>
  <c r="D405" i="20"/>
  <c r="D404" i="20"/>
  <c r="D403" i="20" s="1"/>
  <c r="D401" i="20"/>
  <c r="D400" i="20"/>
  <c r="D399" i="20"/>
  <c r="D398" i="20"/>
  <c r="D397" i="20"/>
  <c r="D396" i="20" s="1"/>
  <c r="D394" i="20"/>
  <c r="D393" i="20"/>
  <c r="D392" i="20"/>
  <c r="D391" i="20"/>
  <c r="D390" i="20"/>
  <c r="D389" i="20" s="1"/>
  <c r="D387" i="20"/>
  <c r="D386" i="20"/>
  <c r="D385" i="20"/>
  <c r="D384" i="20"/>
  <c r="D383" i="20"/>
  <c r="D382" i="20" s="1"/>
  <c r="D380" i="20"/>
  <c r="D379" i="20"/>
  <c r="D378" i="20"/>
  <c r="D377" i="20"/>
  <c r="D376" i="20"/>
  <c r="D375" i="20" s="1"/>
  <c r="D373" i="20"/>
  <c r="D372" i="20"/>
  <c r="D371" i="20"/>
  <c r="D370" i="20"/>
  <c r="D369" i="20"/>
  <c r="D368" i="20" s="1"/>
  <c r="D366" i="20"/>
  <c r="D365" i="20"/>
  <c r="D364" i="20"/>
  <c r="D363" i="20"/>
  <c r="D362" i="20"/>
  <c r="D361" i="20" s="1"/>
  <c r="D359" i="20"/>
  <c r="D358" i="20"/>
  <c r="D357" i="20"/>
  <c r="D356" i="20"/>
  <c r="D355" i="20"/>
  <c r="D354" i="20" s="1"/>
  <c r="D352" i="20"/>
  <c r="D351" i="20"/>
  <c r="D350" i="20"/>
  <c r="D349" i="20"/>
  <c r="D348" i="20"/>
  <c r="D347" i="20" s="1"/>
  <c r="D345" i="20"/>
  <c r="D344" i="20"/>
  <c r="D343" i="20"/>
  <c r="D342" i="20"/>
  <c r="D341" i="20"/>
  <c r="D340" i="20" s="1"/>
  <c r="D338" i="20"/>
  <c r="D337" i="20"/>
  <c r="D336" i="20"/>
  <c r="D335" i="20"/>
  <c r="D334" i="20"/>
  <c r="D333" i="20" s="1"/>
  <c r="D331" i="20"/>
  <c r="D330" i="20"/>
  <c r="D329" i="20"/>
  <c r="D328" i="20"/>
  <c r="D327" i="20"/>
  <c r="D326" i="20" s="1"/>
  <c r="D324" i="20"/>
  <c r="D323" i="20"/>
  <c r="D322" i="20"/>
  <c r="D321" i="20"/>
  <c r="D320" i="20"/>
  <c r="D319" i="20" s="1"/>
  <c r="D317" i="20"/>
  <c r="D316" i="20"/>
  <c r="D315" i="20"/>
  <c r="D314" i="20"/>
  <c r="D313" i="20"/>
  <c r="D312" i="20" s="1"/>
  <c r="D310" i="20"/>
  <c r="D309" i="20"/>
  <c r="D308" i="20"/>
  <c r="D307" i="20"/>
  <c r="D306" i="20"/>
  <c r="D305" i="20" s="1"/>
  <c r="D303" i="20"/>
  <c r="D302" i="20"/>
  <c r="D301" i="20"/>
  <c r="D300" i="20"/>
  <c r="D299" i="20"/>
  <c r="D298" i="20" s="1"/>
  <c r="D296" i="20"/>
  <c r="D295" i="20"/>
  <c r="D294" i="20"/>
  <c r="D293" i="20"/>
  <c r="D292" i="20"/>
  <c r="D291" i="20" s="1"/>
  <c r="D289" i="20"/>
  <c r="D288" i="20"/>
  <c r="D287" i="20"/>
  <c r="D286" i="20"/>
  <c r="D285" i="20"/>
  <c r="D284" i="20" s="1"/>
  <c r="D282" i="20"/>
  <c r="D281" i="20"/>
  <c r="D280" i="20"/>
  <c r="D279" i="20"/>
  <c r="D278" i="20"/>
  <c r="D277" i="20" s="1"/>
  <c r="D275" i="20"/>
  <c r="D274" i="20"/>
  <c r="D273" i="20"/>
  <c r="D272" i="20"/>
  <c r="D271" i="20"/>
  <c r="D270" i="20" s="1"/>
  <c r="D268" i="20"/>
  <c r="D267" i="20"/>
  <c r="D266" i="20"/>
  <c r="D265" i="20"/>
  <c r="D264" i="20"/>
  <c r="D263" i="20" s="1"/>
  <c r="D261" i="20"/>
  <c r="D260" i="20"/>
  <c r="D259" i="20"/>
  <c r="D258" i="20"/>
  <c r="D257" i="20"/>
  <c r="D256" i="20" s="1"/>
  <c r="D254" i="20"/>
  <c r="D253" i="20"/>
  <c r="D252" i="20"/>
  <c r="D251" i="20"/>
  <c r="D250" i="20"/>
  <c r="D249" i="20" s="1"/>
  <c r="D247" i="20"/>
  <c r="D246" i="20"/>
  <c r="D245" i="20"/>
  <c r="D244" i="20"/>
  <c r="D243" i="20"/>
  <c r="D242" i="20" s="1"/>
  <c r="D240" i="20"/>
  <c r="D239" i="20"/>
  <c r="D238" i="20"/>
  <c r="D237" i="20"/>
  <c r="D236" i="20"/>
  <c r="D235" i="20" s="1"/>
  <c r="D233" i="20"/>
  <c r="D232" i="20"/>
  <c r="D231" i="20"/>
  <c r="D230" i="20"/>
  <c r="D229" i="20"/>
  <c r="D228" i="20" s="1"/>
  <c r="D226" i="20"/>
  <c r="D225" i="20"/>
  <c r="D224" i="20"/>
  <c r="D223" i="20"/>
  <c r="D222" i="20"/>
  <c r="D221" i="20" s="1"/>
  <c r="D219" i="20"/>
  <c r="D218" i="20"/>
  <c r="D217" i="20"/>
  <c r="D216" i="20"/>
  <c r="D215" i="20"/>
  <c r="D214" i="20" s="1"/>
  <c r="D212" i="20"/>
  <c r="D211" i="20"/>
  <c r="D210" i="20"/>
  <c r="D209" i="20"/>
  <c r="D208" i="20"/>
  <c r="D207" i="20" s="1"/>
  <c r="D205" i="20"/>
  <c r="D204" i="20"/>
  <c r="D203" i="20"/>
  <c r="D202" i="20"/>
  <c r="D201" i="20"/>
  <c r="D200" i="20" s="1"/>
  <c r="D198" i="20"/>
  <c r="D197" i="20"/>
  <c r="D196" i="20"/>
  <c r="D195" i="20"/>
  <c r="D194" i="20"/>
  <c r="D193" i="20" s="1"/>
  <c r="D191" i="20"/>
  <c r="D190" i="20"/>
  <c r="D189" i="20"/>
  <c r="D188" i="20"/>
  <c r="D187" i="20"/>
  <c r="D186" i="20" s="1"/>
  <c r="D184" i="20"/>
  <c r="D183" i="20"/>
  <c r="D182" i="20"/>
  <c r="D181" i="20"/>
  <c r="D180" i="20"/>
  <c r="D179" i="20" s="1"/>
  <c r="D177" i="20"/>
  <c r="D176" i="20"/>
  <c r="D175" i="20"/>
  <c r="D174" i="20"/>
  <c r="D173" i="20"/>
  <c r="D172" i="20" s="1"/>
  <c r="D170" i="20"/>
  <c r="D169" i="20"/>
  <c r="D168" i="20"/>
  <c r="D167" i="20"/>
  <c r="D166" i="20"/>
  <c r="D165" i="20" s="1"/>
  <c r="D163" i="20"/>
  <c r="D162" i="20"/>
  <c r="D161" i="20"/>
  <c r="D160" i="20"/>
  <c r="D159" i="20"/>
  <c r="D158" i="20" s="1"/>
  <c r="D156" i="20"/>
  <c r="D155" i="20"/>
  <c r="D154" i="20"/>
  <c r="D153" i="20"/>
  <c r="D152" i="20"/>
  <c r="D151" i="20" s="1"/>
  <c r="D149" i="20"/>
  <c r="D148" i="20"/>
  <c r="D147" i="20"/>
  <c r="D146" i="20"/>
  <c r="D145" i="20"/>
  <c r="D144" i="20" s="1"/>
  <c r="D142" i="20"/>
  <c r="D141" i="20"/>
  <c r="D140" i="20"/>
  <c r="D139" i="20"/>
  <c r="D138" i="20"/>
  <c r="D137" i="20" s="1"/>
  <c r="D135" i="20"/>
  <c r="D134" i="20"/>
  <c r="D133" i="20"/>
  <c r="D132" i="20"/>
  <c r="D131" i="20"/>
  <c r="D130" i="20" s="1"/>
  <c r="D128" i="20"/>
  <c r="D127" i="20"/>
  <c r="D126" i="20"/>
  <c r="D125" i="20"/>
  <c r="D124" i="20"/>
  <c r="D123" i="20" s="1"/>
  <c r="D121" i="20"/>
  <c r="D120" i="20"/>
  <c r="D119" i="20"/>
  <c r="D118" i="20"/>
  <c r="D117" i="20"/>
  <c r="D116" i="20" s="1"/>
  <c r="D114" i="20"/>
  <c r="D113" i="20"/>
  <c r="D112" i="20"/>
  <c r="D111" i="20"/>
  <c r="D110" i="20"/>
  <c r="D109" i="20" s="1"/>
  <c r="D107" i="20"/>
  <c r="D106" i="20"/>
  <c r="D105" i="20"/>
  <c r="D104" i="20"/>
  <c r="D103" i="20"/>
  <c r="D102" i="20" s="1"/>
  <c r="D100" i="20"/>
  <c r="D99" i="20"/>
  <c r="D98" i="20"/>
  <c r="D97" i="20"/>
  <c r="D96" i="20"/>
  <c r="D95" i="20" s="1"/>
  <c r="D93" i="20"/>
  <c r="D92" i="20"/>
  <c r="D91" i="20"/>
  <c r="D90" i="20"/>
  <c r="D89" i="20"/>
  <c r="D88" i="20" s="1"/>
  <c r="D86" i="20"/>
  <c r="D85" i="20"/>
  <c r="D84" i="20"/>
  <c r="D83" i="20"/>
  <c r="D82" i="20"/>
  <c r="D81" i="20" s="1"/>
  <c r="D79" i="20"/>
  <c r="D78" i="20"/>
  <c r="D77" i="20"/>
  <c r="D76" i="20"/>
  <c r="D75" i="20"/>
  <c r="D74" i="20" s="1"/>
  <c r="D72" i="20"/>
  <c r="D71" i="20"/>
  <c r="D70" i="20"/>
  <c r="D69" i="20"/>
  <c r="D68" i="20"/>
  <c r="D67" i="20" s="1"/>
  <c r="D65" i="20"/>
  <c r="D64" i="20"/>
  <c r="D63" i="20"/>
  <c r="D62" i="20"/>
  <c r="D61" i="20"/>
  <c r="D60" i="20" s="1"/>
  <c r="D58" i="20"/>
  <c r="D57" i="20"/>
  <c r="D56" i="20"/>
  <c r="D55" i="20"/>
  <c r="D54" i="20"/>
  <c r="D53" i="20" s="1"/>
  <c r="D51" i="20"/>
  <c r="D50" i="20"/>
  <c r="D49" i="20"/>
  <c r="D48" i="20"/>
  <c r="D47" i="20"/>
  <c r="D46" i="20" s="1"/>
  <c r="D44" i="20"/>
  <c r="D43" i="20"/>
  <c r="D42" i="20"/>
  <c r="D41" i="20"/>
  <c r="D40" i="20"/>
  <c r="D39" i="20" s="1"/>
  <c r="D37" i="20"/>
  <c r="D36" i="20"/>
  <c r="D35" i="20"/>
  <c r="D34" i="20"/>
  <c r="D33" i="20"/>
  <c r="D32" i="20" s="1"/>
  <c r="D30" i="20"/>
  <c r="D29" i="20"/>
  <c r="D28" i="20"/>
  <c r="D27" i="20"/>
  <c r="D26" i="20"/>
  <c r="D25" i="20" s="1"/>
  <c r="D23" i="20"/>
  <c r="D22" i="20"/>
  <c r="D21" i="20"/>
  <c r="D20" i="20"/>
  <c r="D19" i="20"/>
  <c r="D18" i="20" s="1"/>
  <c r="D16" i="20"/>
  <c r="D15" i="20"/>
  <c r="D14" i="20"/>
  <c r="D13" i="20"/>
  <c r="D12" i="20"/>
  <c r="D11" i="20" s="1"/>
  <c r="D9" i="20"/>
  <c r="D8" i="20"/>
  <c r="D7" i="20"/>
  <c r="D6" i="20"/>
  <c r="D5" i="20"/>
  <c r="D4" i="20" s="1"/>
  <c r="D553" i="20"/>
  <c r="D1618" i="20"/>
  <c r="D1617" i="20"/>
  <c r="D1616" i="20"/>
  <c r="D1615" i="20"/>
  <c r="D1614" i="20" s="1"/>
  <c r="D1612" i="20"/>
  <c r="D1611" i="20"/>
  <c r="D1610" i="20"/>
  <c r="D1609" i="20"/>
  <c r="D1608" i="20"/>
  <c r="D1607" i="20" s="1"/>
  <c r="D1605" i="20"/>
  <c r="D1604" i="20"/>
  <c r="D1603" i="20"/>
  <c r="D1602" i="20"/>
  <c r="D1601" i="20"/>
  <c r="D1600" i="20" s="1"/>
  <c r="D1598" i="20"/>
  <c r="D1597" i="20"/>
  <c r="D1596" i="20"/>
  <c r="D1595" i="20"/>
  <c r="D1594" i="20"/>
  <c r="D1593" i="20" s="1"/>
  <c r="D1591" i="20"/>
  <c r="D1590" i="20"/>
  <c r="D1589" i="20"/>
  <c r="D1588" i="20"/>
  <c r="D1587" i="20"/>
  <c r="D1586" i="20" s="1"/>
  <c r="D1584" i="20"/>
  <c r="D1583" i="20"/>
  <c r="D1582" i="20"/>
  <c r="D1581" i="20"/>
  <c r="D1580" i="20"/>
  <c r="D1579" i="20" s="1"/>
  <c r="D1577" i="20"/>
  <c r="D1576" i="20"/>
  <c r="D1575" i="20"/>
  <c r="D1574" i="20"/>
  <c r="D1573" i="20"/>
  <c r="D1572" i="20" s="1"/>
  <c r="D1570" i="20"/>
  <c r="D1569" i="20"/>
  <c r="D1568" i="20"/>
  <c r="D1567" i="20"/>
  <c r="D1566" i="20"/>
  <c r="D1565" i="20" s="1"/>
  <c r="D1563" i="20"/>
  <c r="D1562" i="20"/>
  <c r="D1561" i="20"/>
  <c r="D1560" i="20"/>
  <c r="D1559" i="20"/>
  <c r="D1558" i="20" s="1"/>
  <c r="D1556" i="20"/>
  <c r="D1555" i="20"/>
  <c r="D1554" i="20"/>
  <c r="D1553" i="20"/>
  <c r="D1552" i="20"/>
  <c r="D1551" i="20" s="1"/>
  <c r="D1549" i="20"/>
  <c r="D1548" i="20"/>
  <c r="C1547" i="20"/>
  <c r="C1546" i="20"/>
  <c r="C1545" i="20"/>
  <c r="C1542" i="20"/>
  <c r="C1541" i="20"/>
  <c r="C1540" i="20"/>
  <c r="C1539" i="20"/>
  <c r="C1538" i="20"/>
  <c r="C1537" i="20" s="1"/>
  <c r="C1535" i="20"/>
  <c r="C1534" i="20"/>
  <c r="C1533" i="20"/>
  <c r="C1532" i="20"/>
  <c r="C1531" i="20"/>
  <c r="C1530" i="20" s="1"/>
  <c r="C1528" i="20"/>
  <c r="C1527" i="20"/>
  <c r="C1526" i="20"/>
  <c r="C1525" i="20"/>
  <c r="C1524" i="20"/>
  <c r="C1523" i="20" s="1"/>
  <c r="C1521" i="20"/>
  <c r="C1520" i="20"/>
  <c r="C1519" i="20"/>
  <c r="C1518" i="20"/>
  <c r="C1517" i="20"/>
  <c r="C1516" i="20" s="1"/>
  <c r="C1514" i="20"/>
  <c r="C1513" i="20"/>
  <c r="C1512" i="20"/>
  <c r="C1511" i="20"/>
  <c r="C1510" i="20"/>
  <c r="C1509" i="20" s="1"/>
  <c r="C1507" i="20"/>
  <c r="C1506" i="20"/>
  <c r="C1505" i="20"/>
  <c r="C1504" i="20"/>
  <c r="C1503" i="20"/>
  <c r="C1502" i="20" s="1"/>
  <c r="C1500" i="20"/>
  <c r="C1499" i="20"/>
  <c r="C1498" i="20"/>
  <c r="C1497" i="20"/>
  <c r="C1496" i="20"/>
  <c r="C1495" i="20" s="1"/>
  <c r="C1493" i="20"/>
  <c r="C1492" i="20"/>
  <c r="C1491" i="20"/>
  <c r="C1490" i="20"/>
  <c r="C1489" i="20"/>
  <c r="C1488" i="20" s="1"/>
  <c r="C1486" i="20"/>
  <c r="C1485" i="20"/>
  <c r="C1484" i="20"/>
  <c r="C1483" i="20"/>
  <c r="C1482" i="20"/>
  <c r="C1481" i="20" s="1"/>
  <c r="C1479" i="20"/>
  <c r="C1478" i="20"/>
  <c r="C1477" i="20"/>
  <c r="C1476" i="20"/>
  <c r="C1475" i="20"/>
  <c r="C1474" i="20" s="1"/>
  <c r="C1472" i="20"/>
  <c r="C1471" i="20"/>
  <c r="C1470" i="20"/>
  <c r="C1469" i="20"/>
  <c r="C1468" i="20"/>
  <c r="C1467" i="20" s="1"/>
  <c r="C1465" i="20"/>
  <c r="C1464" i="20"/>
  <c r="C1463" i="20"/>
  <c r="C1462" i="20"/>
  <c r="C1461" i="20"/>
  <c r="C1460" i="20" s="1"/>
  <c r="C1458" i="20"/>
  <c r="C1457" i="20"/>
  <c r="C1456" i="20"/>
  <c r="C1455" i="20"/>
  <c r="C1454" i="20"/>
  <c r="C1453" i="20" s="1"/>
  <c r="C1451" i="20"/>
  <c r="C1450" i="20"/>
  <c r="C1449" i="20"/>
  <c r="C1448" i="20"/>
  <c r="C1447" i="20"/>
  <c r="C1446" i="20" s="1"/>
  <c r="C1444" i="20"/>
  <c r="C1443" i="20"/>
  <c r="C1442" i="20"/>
  <c r="C1441" i="20"/>
  <c r="C1440" i="20"/>
  <c r="C1439" i="20" s="1"/>
  <c r="C1437" i="20"/>
  <c r="C1436" i="20"/>
  <c r="C1435" i="20"/>
  <c r="C1434" i="20"/>
  <c r="C1433" i="20"/>
  <c r="C1432" i="20" s="1"/>
  <c r="C1430" i="20"/>
  <c r="C1429" i="20"/>
  <c r="C1428" i="20"/>
  <c r="C1427" i="20"/>
  <c r="C1426" i="20"/>
  <c r="C1425" i="20" s="1"/>
  <c r="C1423" i="20"/>
  <c r="C1422" i="20"/>
  <c r="C1421" i="20"/>
  <c r="C1420" i="20"/>
  <c r="C1419" i="20"/>
  <c r="C1418" i="20" s="1"/>
  <c r="C1416" i="20"/>
  <c r="C1415" i="20"/>
  <c r="C1414" i="20"/>
  <c r="C1413" i="20"/>
  <c r="C1412" i="20"/>
  <c r="C1411" i="20" s="1"/>
  <c r="C1409" i="20"/>
  <c r="C1408" i="20"/>
  <c r="C1407" i="20"/>
  <c r="C1406" i="20"/>
  <c r="C1405" i="20"/>
  <c r="C1404" i="20" s="1"/>
  <c r="C1402" i="20"/>
  <c r="C1401" i="20"/>
  <c r="C1400" i="20"/>
  <c r="C1399" i="20"/>
  <c r="C1398" i="20"/>
  <c r="C1397" i="20" s="1"/>
  <c r="C1395" i="20"/>
  <c r="C1394" i="20"/>
  <c r="C1393" i="20"/>
  <c r="C1392" i="20"/>
  <c r="C1391" i="20"/>
  <c r="C1390" i="20" s="1"/>
  <c r="C1388" i="20"/>
  <c r="C1387" i="20"/>
  <c r="C1386" i="20"/>
  <c r="C1385" i="20"/>
  <c r="C1384" i="20"/>
  <c r="C1383" i="20" s="1"/>
  <c r="C1381" i="20"/>
  <c r="C1380" i="20"/>
  <c r="C1379" i="20"/>
  <c r="C1378" i="20"/>
  <c r="C1377" i="20"/>
  <c r="C1376" i="20" s="1"/>
  <c r="C1374" i="20"/>
  <c r="C1373" i="20"/>
  <c r="C1372" i="20"/>
  <c r="C1371" i="20"/>
  <c r="C1370" i="20"/>
  <c r="C1369" i="20" s="1"/>
  <c r="C1367" i="20"/>
  <c r="C1366" i="20"/>
  <c r="C1365" i="20"/>
  <c r="C1364" i="20"/>
  <c r="C1363" i="20"/>
  <c r="C1362" i="20" s="1"/>
  <c r="C1360" i="20"/>
  <c r="C1359" i="20"/>
  <c r="C1358" i="20"/>
  <c r="C1357" i="20"/>
  <c r="C1356" i="20"/>
  <c r="C1355" i="20" s="1"/>
  <c r="C1353" i="20"/>
  <c r="C1352" i="20"/>
  <c r="C1351" i="20"/>
  <c r="C1350" i="20"/>
  <c r="C1349" i="20"/>
  <c r="C1348" i="20" s="1"/>
  <c r="C1346" i="20"/>
  <c r="C1345" i="20"/>
  <c r="C1344" i="20"/>
  <c r="C1343" i="20"/>
  <c r="C1342" i="20"/>
  <c r="C1341" i="20" s="1"/>
  <c r="C1339" i="20"/>
  <c r="C1338" i="20"/>
  <c r="C1337" i="20"/>
  <c r="C1336" i="20"/>
  <c r="C1335" i="20"/>
  <c r="C1334" i="20" s="1"/>
  <c r="C1332" i="20"/>
  <c r="C1331" i="20"/>
  <c r="C1330" i="20"/>
  <c r="C1329" i="20"/>
  <c r="C1328" i="20"/>
  <c r="C1327" i="20" s="1"/>
  <c r="C1325" i="20"/>
  <c r="C1324" i="20"/>
  <c r="C1323" i="20"/>
  <c r="C1322" i="20"/>
  <c r="C1321" i="20"/>
  <c r="C1320" i="20" s="1"/>
  <c r="C1318" i="20"/>
  <c r="C1317" i="20"/>
  <c r="C1316" i="20"/>
  <c r="C1315" i="20"/>
  <c r="C1314" i="20"/>
  <c r="C1313" i="20" s="1"/>
  <c r="C1311" i="20"/>
  <c r="C1310" i="20"/>
  <c r="C1309" i="20"/>
  <c r="C1308" i="20"/>
  <c r="C1307" i="20"/>
  <c r="C1306" i="20" s="1"/>
  <c r="C1304" i="20"/>
  <c r="C1303" i="20"/>
  <c r="C1302" i="20"/>
  <c r="C1301" i="20"/>
  <c r="C1300" i="20"/>
  <c r="C1299" i="20" s="1"/>
  <c r="C1297" i="20"/>
  <c r="C1296" i="20"/>
  <c r="C1295" i="20"/>
  <c r="C1294" i="20"/>
  <c r="C1293" i="20"/>
  <c r="C1292" i="20" s="1"/>
  <c r="C1290" i="20"/>
  <c r="C1289" i="20"/>
  <c r="C1288" i="20"/>
  <c r="C1287" i="20"/>
  <c r="C1286" i="20"/>
  <c r="C1285" i="20" s="1"/>
  <c r="C1283" i="20"/>
  <c r="C1282" i="20"/>
  <c r="C1281" i="20"/>
  <c r="C1280" i="20"/>
  <c r="C1279" i="20"/>
  <c r="C1278" i="20" s="1"/>
  <c r="C1276" i="20"/>
  <c r="C1275" i="20"/>
  <c r="C1274" i="20"/>
  <c r="C1273" i="20"/>
  <c r="C1272" i="20"/>
  <c r="C1271" i="20" s="1"/>
  <c r="C1269" i="20"/>
  <c r="C1268" i="20"/>
  <c r="C1267" i="20"/>
  <c r="C1266" i="20"/>
  <c r="C1265" i="20"/>
  <c r="C1264" i="20" s="1"/>
  <c r="C1262" i="20"/>
  <c r="C1261" i="20"/>
  <c r="C1260" i="20"/>
  <c r="C1259" i="20"/>
  <c r="C1258" i="20"/>
  <c r="C1257" i="20" s="1"/>
  <c r="C1255" i="20"/>
  <c r="C1254" i="20"/>
  <c r="C1253" i="20"/>
  <c r="C1252" i="20"/>
  <c r="C1251" i="20"/>
  <c r="C1250" i="20" s="1"/>
  <c r="C1248" i="20"/>
  <c r="C1247" i="20"/>
  <c r="C1246" i="20"/>
  <c r="C1245" i="20"/>
  <c r="C1244" i="20"/>
  <c r="C1243" i="20" s="1"/>
  <c r="C1241" i="20"/>
  <c r="C1240" i="20"/>
  <c r="C1239" i="20"/>
  <c r="C1238" i="20"/>
  <c r="C1237" i="20"/>
  <c r="C1236" i="20" s="1"/>
  <c r="C1234" i="20"/>
  <c r="C1233" i="20"/>
  <c r="C1232" i="20"/>
  <c r="C1231" i="20"/>
  <c r="C1230" i="20"/>
  <c r="C1229" i="20" s="1"/>
  <c r="C1227" i="20"/>
  <c r="C1226" i="20"/>
  <c r="C1225" i="20"/>
  <c r="C1224" i="20"/>
  <c r="C1223" i="20"/>
  <c r="C1222" i="20" s="1"/>
  <c r="C1220" i="20"/>
  <c r="C1219" i="20"/>
  <c r="C1218" i="20"/>
  <c r="C1217" i="20"/>
  <c r="C1216" i="20"/>
  <c r="C1215" i="20" s="1"/>
  <c r="C1213" i="20"/>
  <c r="C1212" i="20"/>
  <c r="C1211" i="20"/>
  <c r="C1210" i="20"/>
  <c r="C1209" i="20"/>
  <c r="C1208" i="20" s="1"/>
  <c r="C1206" i="20"/>
  <c r="C1205" i="20"/>
  <c r="C1204" i="20"/>
  <c r="C1203" i="20"/>
  <c r="C1202" i="20"/>
  <c r="C1201" i="20" s="1"/>
  <c r="C1199" i="20"/>
  <c r="C1198" i="20"/>
  <c r="C1197" i="20"/>
  <c r="C1196" i="20"/>
  <c r="C1195" i="20"/>
  <c r="C1194" i="20" s="1"/>
  <c r="C1192" i="20"/>
  <c r="C1191" i="20"/>
  <c r="C1190" i="20"/>
  <c r="C1189" i="20"/>
  <c r="C1188" i="20"/>
  <c r="C1187" i="20" s="1"/>
  <c r="C1185" i="20"/>
  <c r="C1184" i="20"/>
  <c r="C1183" i="20"/>
  <c r="C1182" i="20"/>
  <c r="C1181" i="20"/>
  <c r="C1180" i="20" s="1"/>
  <c r="C1178" i="20"/>
  <c r="C1177" i="20"/>
  <c r="C1176" i="20"/>
  <c r="C1175" i="20"/>
  <c r="C1174" i="20"/>
  <c r="C1173" i="20" s="1"/>
  <c r="C1171" i="20"/>
  <c r="C1170" i="20"/>
  <c r="C1169" i="20"/>
  <c r="C1168" i="20"/>
  <c r="C1167" i="20"/>
  <c r="C1166" i="20" s="1"/>
  <c r="C1164" i="20"/>
  <c r="C1163" i="20"/>
  <c r="C1162" i="20"/>
  <c r="C1161" i="20"/>
  <c r="C1619" i="20"/>
  <c r="C1157" i="20"/>
  <c r="C1156" i="20"/>
  <c r="C1155" i="20"/>
  <c r="C1154" i="20"/>
  <c r="C1153" i="20"/>
  <c r="C1152" i="20" s="1"/>
  <c r="C1150" i="20"/>
  <c r="C1149" i="20"/>
  <c r="C1148" i="20"/>
  <c r="C1147" i="20"/>
  <c r="C1146" i="20"/>
  <c r="C1145" i="20" s="1"/>
  <c r="C1143" i="20"/>
  <c r="C1142" i="20"/>
  <c r="C1141" i="20"/>
  <c r="C1140" i="20"/>
  <c r="C1139" i="20"/>
  <c r="C1138" i="20" s="1"/>
  <c r="C1136" i="20"/>
  <c r="C1135" i="20"/>
  <c r="C1134" i="20"/>
  <c r="C1133" i="20"/>
  <c r="C1132" i="20"/>
  <c r="C1131" i="20" s="1"/>
  <c r="C1129" i="20"/>
  <c r="C1128" i="20"/>
  <c r="C1127" i="20"/>
  <c r="C1126" i="20"/>
  <c r="C1125" i="20"/>
  <c r="C1124" i="20" s="1"/>
  <c r="C1122" i="20"/>
  <c r="C1121" i="20"/>
  <c r="C1120" i="20"/>
  <c r="C1119" i="20"/>
  <c r="C1118" i="20"/>
  <c r="C1117" i="20" s="1"/>
  <c r="C1115" i="20"/>
  <c r="C1114" i="20"/>
  <c r="C1113" i="20"/>
  <c r="C1112" i="20"/>
  <c r="C1111" i="20"/>
  <c r="C1110" i="20" s="1"/>
  <c r="C1108" i="20"/>
  <c r="C1107" i="20"/>
  <c r="C1106" i="20"/>
  <c r="C1105" i="20"/>
  <c r="C1104" i="20"/>
  <c r="C1103" i="20" s="1"/>
  <c r="C1101" i="20"/>
  <c r="C1100" i="20"/>
  <c r="C1099" i="20"/>
  <c r="C1098" i="20"/>
  <c r="C1097" i="20"/>
  <c r="C1096" i="20" s="1"/>
  <c r="C1094" i="20"/>
  <c r="C1093" i="20"/>
  <c r="C1092" i="20"/>
  <c r="C1091" i="20"/>
  <c r="C1090" i="20"/>
  <c r="C1089" i="20" s="1"/>
  <c r="C1087" i="20"/>
  <c r="C1086" i="20"/>
  <c r="C1085" i="20"/>
  <c r="C1084" i="20"/>
  <c r="C1083" i="20"/>
  <c r="C1082" i="20" s="1"/>
  <c r="C1080" i="20"/>
  <c r="C1079" i="20"/>
  <c r="C1078" i="20"/>
  <c r="C1077" i="20"/>
  <c r="C1076" i="20"/>
  <c r="C1075" i="20" s="1"/>
  <c r="C1073" i="20"/>
  <c r="C1072" i="20"/>
  <c r="C1071" i="20"/>
  <c r="C1070" i="20"/>
  <c r="C1069" i="20"/>
  <c r="C1068" i="20" s="1"/>
  <c r="C1066" i="20"/>
  <c r="C1065" i="20"/>
  <c r="C1064" i="20"/>
  <c r="C1063" i="20"/>
  <c r="C1062" i="20"/>
  <c r="C1061" i="20" s="1"/>
  <c r="C1059" i="20"/>
  <c r="C1058" i="20"/>
  <c r="C1057" i="20"/>
  <c r="C1056" i="20"/>
  <c r="C1055" i="20"/>
  <c r="C1054" i="20" s="1"/>
  <c r="C1052" i="20"/>
  <c r="C1051" i="20"/>
  <c r="C1050" i="20"/>
  <c r="C1049" i="20"/>
  <c r="C1048" i="20"/>
  <c r="C1047" i="20" s="1"/>
  <c r="C1045" i="20"/>
  <c r="C1044" i="20"/>
  <c r="C1043" i="20"/>
  <c r="C1042" i="20"/>
  <c r="C1041" i="20"/>
  <c r="C1040" i="20" s="1"/>
  <c r="C1038" i="20"/>
  <c r="C1037" i="20"/>
  <c r="C1036" i="20"/>
  <c r="C1035" i="20"/>
  <c r="C1034" i="20"/>
  <c r="C1033" i="20" s="1"/>
  <c r="C1031" i="20"/>
  <c r="C1030" i="20"/>
  <c r="C1029" i="20"/>
  <c r="C1028" i="20"/>
  <c r="C1027" i="20"/>
  <c r="C1026" i="20" s="1"/>
  <c r="C1024" i="20"/>
  <c r="C1023" i="20"/>
  <c r="C1022" i="20"/>
  <c r="C1021" i="20"/>
  <c r="C1020" i="20"/>
  <c r="C1019" i="20" s="1"/>
  <c r="C1017" i="20"/>
  <c r="C1016" i="20"/>
  <c r="C1015" i="20"/>
  <c r="C1014" i="20"/>
  <c r="C1013" i="20"/>
  <c r="C1012" i="20" s="1"/>
  <c r="C1010" i="20"/>
  <c r="C1009" i="20"/>
  <c r="C1008" i="20"/>
  <c r="C1007" i="20"/>
  <c r="C1006" i="20"/>
  <c r="C1005" i="20" s="1"/>
  <c r="C1003" i="20"/>
  <c r="C1002" i="20"/>
  <c r="C1001" i="20"/>
  <c r="C1000" i="20"/>
  <c r="C999" i="20"/>
  <c r="C998" i="20" s="1"/>
  <c r="C996" i="20"/>
  <c r="C995" i="20"/>
  <c r="C994" i="20"/>
  <c r="C993" i="20"/>
  <c r="C992" i="20"/>
  <c r="C991" i="20" s="1"/>
  <c r="C989" i="20"/>
  <c r="C988" i="20"/>
  <c r="C987" i="20"/>
  <c r="C986" i="20"/>
  <c r="C985" i="20"/>
  <c r="C984" i="20" s="1"/>
  <c r="C982" i="20"/>
  <c r="C981" i="20"/>
  <c r="C980" i="20"/>
  <c r="C979" i="20"/>
  <c r="C978" i="20"/>
  <c r="C977" i="20" s="1"/>
  <c r="C975" i="20"/>
  <c r="C974" i="20"/>
  <c r="C973" i="20"/>
  <c r="C972" i="20"/>
  <c r="C971" i="20"/>
  <c r="C970" i="20" s="1"/>
  <c r="C968" i="20"/>
  <c r="C967" i="20"/>
  <c r="C966" i="20"/>
  <c r="C965" i="20"/>
  <c r="C964" i="20"/>
  <c r="C963" i="20" s="1"/>
  <c r="C961" i="20"/>
  <c r="C960" i="20"/>
  <c r="C959" i="20"/>
  <c r="C958" i="20"/>
  <c r="C957" i="20"/>
  <c r="C956" i="20" s="1"/>
  <c r="C954" i="20"/>
  <c r="C953" i="20"/>
  <c r="C952" i="20"/>
  <c r="C951" i="20"/>
  <c r="C950" i="20"/>
  <c r="C949" i="20" s="1"/>
  <c r="C947" i="20"/>
  <c r="C946" i="20"/>
  <c r="C945" i="20"/>
  <c r="C944" i="20"/>
  <c r="C943" i="20"/>
  <c r="C942" i="20" s="1"/>
  <c r="C940" i="20"/>
  <c r="C939" i="20"/>
  <c r="C938" i="20"/>
  <c r="C937" i="20"/>
  <c r="C936" i="20"/>
  <c r="C935" i="20" s="1"/>
  <c r="C933" i="20"/>
  <c r="C932" i="20"/>
  <c r="C931" i="20"/>
  <c r="C930" i="20"/>
  <c r="C929" i="20"/>
  <c r="C928" i="20" s="1"/>
  <c r="C926" i="20"/>
  <c r="C925" i="20"/>
  <c r="C924" i="20"/>
  <c r="C923" i="20"/>
  <c r="C922" i="20"/>
  <c r="C921" i="20" s="1"/>
  <c r="C919" i="20"/>
  <c r="C918" i="20"/>
  <c r="C917" i="20"/>
  <c r="C916" i="20"/>
  <c r="C915" i="20"/>
  <c r="C914" i="20" s="1"/>
  <c r="C912" i="20"/>
  <c r="C911" i="20"/>
  <c r="C910" i="20"/>
  <c r="C909" i="20"/>
  <c r="C908" i="20"/>
  <c r="C907" i="20" s="1"/>
  <c r="C905" i="20"/>
  <c r="C904" i="20"/>
  <c r="C903" i="20"/>
  <c r="C902" i="20"/>
  <c r="C901" i="20"/>
  <c r="C900" i="20" s="1"/>
  <c r="C898" i="20"/>
  <c r="C897" i="20"/>
  <c r="C896" i="20"/>
  <c r="C895" i="20"/>
  <c r="C894" i="20"/>
  <c r="C893" i="20" s="1"/>
  <c r="C891" i="20"/>
  <c r="C890" i="20"/>
  <c r="C889" i="20"/>
  <c r="C888" i="20"/>
  <c r="C887" i="20"/>
  <c r="C886" i="20" s="1"/>
  <c r="C884" i="20"/>
  <c r="C883" i="20"/>
  <c r="C882" i="20"/>
  <c r="C881" i="20"/>
  <c r="C880" i="20"/>
  <c r="C879" i="20" s="1"/>
  <c r="C877" i="20"/>
  <c r="C876" i="20"/>
  <c r="C875" i="20"/>
  <c r="C874" i="20"/>
  <c r="C873" i="20"/>
  <c r="C872" i="20" s="1"/>
  <c r="C870" i="20"/>
  <c r="C869" i="20"/>
  <c r="C868" i="20"/>
  <c r="C867" i="20"/>
  <c r="C866" i="20"/>
  <c r="C865" i="20" s="1"/>
  <c r="C863" i="20"/>
  <c r="C862" i="20"/>
  <c r="C861" i="20"/>
  <c r="C860" i="20"/>
  <c r="C859" i="20"/>
  <c r="C858" i="20" s="1"/>
  <c r="C856" i="20"/>
  <c r="C855" i="20"/>
  <c r="C854" i="20"/>
  <c r="C853" i="20"/>
  <c r="C852" i="20"/>
  <c r="C851" i="20" s="1"/>
  <c r="C849" i="20"/>
  <c r="C848" i="20"/>
  <c r="C847" i="20"/>
  <c r="C846" i="20"/>
  <c r="C845" i="20"/>
  <c r="C844" i="20" s="1"/>
  <c r="C842" i="20"/>
  <c r="C841" i="20"/>
  <c r="C840" i="20"/>
  <c r="C839" i="20"/>
  <c r="C838" i="20"/>
  <c r="C837" i="20" s="1"/>
  <c r="C835" i="20"/>
  <c r="C834" i="20"/>
  <c r="C833" i="20"/>
  <c r="C832" i="20"/>
  <c r="C831" i="20"/>
  <c r="C830" i="20" s="1"/>
  <c r="C828" i="20"/>
  <c r="C827" i="20"/>
  <c r="C826" i="20"/>
  <c r="C825" i="20"/>
  <c r="C824" i="20"/>
  <c r="C823" i="20" s="1"/>
  <c r="C821" i="20"/>
  <c r="C820" i="20"/>
  <c r="C819" i="20"/>
  <c r="C818" i="20"/>
  <c r="C817" i="20"/>
  <c r="C816" i="20" s="1"/>
  <c r="C814" i="20"/>
  <c r="C813" i="20"/>
  <c r="C812" i="20"/>
  <c r="C811" i="20"/>
  <c r="C810" i="20"/>
  <c r="C809" i="20" s="1"/>
  <c r="C807" i="20"/>
  <c r="C806" i="20"/>
  <c r="C805" i="20"/>
  <c r="C804" i="20"/>
  <c r="C803" i="20"/>
  <c r="C802" i="20" s="1"/>
  <c r="C800" i="20"/>
  <c r="C799" i="20"/>
  <c r="C798" i="20"/>
  <c r="C797" i="20"/>
  <c r="C796" i="20"/>
  <c r="C795" i="20" s="1"/>
  <c r="C793" i="20"/>
  <c r="C792" i="20"/>
  <c r="C791" i="20"/>
  <c r="C790" i="20"/>
  <c r="C789" i="20"/>
  <c r="C788" i="20" s="1"/>
  <c r="C786" i="20"/>
  <c r="C785" i="20"/>
  <c r="C784" i="20"/>
  <c r="C783" i="20"/>
  <c r="C782" i="20"/>
  <c r="C781" i="20" s="1"/>
  <c r="C779" i="20"/>
  <c r="C778" i="20"/>
  <c r="C777" i="20"/>
  <c r="C776" i="20"/>
  <c r="C775" i="20"/>
  <c r="C774" i="20" s="1"/>
  <c r="C772" i="20"/>
  <c r="C771" i="20"/>
  <c r="C770" i="20"/>
  <c r="C769" i="20"/>
  <c r="C768" i="20"/>
  <c r="C767" i="20" s="1"/>
  <c r="C765" i="20"/>
  <c r="C764" i="20"/>
  <c r="C763" i="20"/>
  <c r="C762" i="20"/>
  <c r="C761" i="20"/>
  <c r="C760" i="20" s="1"/>
  <c r="C758" i="20"/>
  <c r="C757" i="20"/>
  <c r="C756" i="20"/>
  <c r="C755" i="20"/>
  <c r="C754" i="20"/>
  <c r="C753" i="20" s="1"/>
  <c r="C751" i="20"/>
  <c r="C750" i="20"/>
  <c r="C749" i="20"/>
  <c r="C748" i="20"/>
  <c r="C747" i="20"/>
  <c r="C746" i="20" s="1"/>
  <c r="C744" i="20"/>
  <c r="C743" i="20"/>
  <c r="C742" i="20"/>
  <c r="C741" i="20"/>
  <c r="C740" i="20"/>
  <c r="C739" i="20" s="1"/>
  <c r="C737" i="20"/>
  <c r="C736" i="20"/>
  <c r="C735" i="20"/>
  <c r="C734" i="20"/>
  <c r="C733" i="20"/>
  <c r="C732" i="20" s="1"/>
  <c r="C730" i="20"/>
  <c r="C729" i="20"/>
  <c r="C728" i="20"/>
  <c r="C727" i="20"/>
  <c r="C726" i="20"/>
  <c r="C725" i="20" s="1"/>
  <c r="C723" i="20"/>
  <c r="C722" i="20"/>
  <c r="C721" i="20"/>
  <c r="C720" i="20"/>
  <c r="C719" i="20"/>
  <c r="C718" i="20" s="1"/>
  <c r="C716" i="20"/>
  <c r="C715" i="20"/>
  <c r="C714" i="20"/>
  <c r="C713" i="20"/>
  <c r="C712" i="20"/>
  <c r="C711" i="20" s="1"/>
  <c r="C709" i="20"/>
  <c r="C708" i="20"/>
  <c r="C707" i="20"/>
  <c r="C706" i="20"/>
  <c r="C705" i="20"/>
  <c r="C704" i="20" s="1"/>
  <c r="C702" i="20"/>
  <c r="C701" i="20"/>
  <c r="C700" i="20"/>
  <c r="C699" i="20"/>
  <c r="C698" i="20"/>
  <c r="C697" i="20" s="1"/>
  <c r="C695" i="20"/>
  <c r="C694" i="20"/>
  <c r="C693" i="20"/>
  <c r="C692" i="20"/>
  <c r="C691" i="20"/>
  <c r="C690" i="20" s="1"/>
  <c r="C688" i="20"/>
  <c r="C687" i="20"/>
  <c r="C686" i="20"/>
  <c r="C685" i="20"/>
  <c r="C684" i="20"/>
  <c r="C683" i="20" s="1"/>
  <c r="C681" i="20"/>
  <c r="C680" i="20"/>
  <c r="C679" i="20"/>
  <c r="C678" i="20"/>
  <c r="C677" i="20"/>
  <c r="C676" i="20" s="1"/>
  <c r="C674" i="20"/>
  <c r="C673" i="20"/>
  <c r="C672" i="20"/>
  <c r="C671" i="20"/>
  <c r="C670" i="20"/>
  <c r="C669" i="20" s="1"/>
  <c r="C667" i="20"/>
  <c r="C666" i="20"/>
  <c r="C665" i="20"/>
  <c r="C664" i="20"/>
  <c r="C663" i="20"/>
  <c r="C662" i="20" s="1"/>
  <c r="C660" i="20"/>
  <c r="C659" i="20"/>
  <c r="C658" i="20"/>
  <c r="C657" i="20"/>
  <c r="C656" i="20"/>
  <c r="C655" i="20" s="1"/>
  <c r="C653" i="20"/>
  <c r="C652" i="20"/>
  <c r="C651" i="20"/>
  <c r="C650" i="20"/>
  <c r="C649" i="20"/>
  <c r="C648" i="20" s="1"/>
  <c r="C646" i="20"/>
  <c r="C645" i="20"/>
  <c r="C644" i="20"/>
  <c r="C643" i="20"/>
  <c r="C642" i="20"/>
  <c r="C641" i="20" s="1"/>
  <c r="C639" i="20"/>
  <c r="C638" i="20"/>
  <c r="C637" i="20"/>
  <c r="C636" i="20"/>
  <c r="C635" i="20"/>
  <c r="C634" i="20" s="1"/>
  <c r="C632" i="20"/>
  <c r="C631" i="20"/>
  <c r="C630" i="20"/>
  <c r="C629" i="20"/>
  <c r="C628" i="20"/>
  <c r="C627" i="20" s="1"/>
  <c r="C625" i="20"/>
  <c r="C624" i="20"/>
  <c r="C623" i="20"/>
  <c r="C622" i="20"/>
  <c r="C621" i="20"/>
  <c r="C620" i="20" s="1"/>
  <c r="C618" i="20"/>
  <c r="C617" i="20"/>
  <c r="C616" i="20"/>
  <c r="C615" i="20"/>
  <c r="C614" i="20"/>
  <c r="C613" i="20" s="1"/>
  <c r="C611" i="20"/>
  <c r="C610" i="20"/>
  <c r="C609" i="20"/>
  <c r="C608" i="20"/>
  <c r="C607" i="20"/>
  <c r="C606" i="20" s="1"/>
  <c r="C604" i="20"/>
  <c r="C603" i="20"/>
  <c r="C602" i="20"/>
  <c r="C601" i="20"/>
  <c r="C600" i="20"/>
  <c r="C599" i="20" s="1"/>
  <c r="C597" i="20"/>
  <c r="C596" i="20"/>
  <c r="C595" i="20"/>
  <c r="C594" i="20"/>
  <c r="C593" i="20"/>
  <c r="C592" i="20" s="1"/>
  <c r="C590" i="20"/>
  <c r="C589" i="20"/>
  <c r="C588" i="20"/>
  <c r="C587" i="20"/>
  <c r="C586" i="20"/>
  <c r="C585" i="20" s="1"/>
  <c r="C583" i="20"/>
  <c r="C582" i="20"/>
  <c r="C581" i="20"/>
  <c r="C580" i="20"/>
  <c r="C579" i="20"/>
  <c r="C578" i="20" s="1"/>
  <c r="C576" i="20"/>
  <c r="C575" i="20"/>
  <c r="C574" i="20"/>
  <c r="C573" i="20"/>
  <c r="C572" i="20"/>
  <c r="C571" i="20" s="1"/>
  <c r="C569" i="20"/>
  <c r="C568" i="20"/>
  <c r="C567" i="20"/>
  <c r="C566" i="20"/>
  <c r="C565" i="20"/>
  <c r="C564" i="20" s="1"/>
  <c r="C562" i="20"/>
  <c r="C561" i="20"/>
  <c r="C560" i="20"/>
  <c r="C559" i="20"/>
  <c r="C558" i="20"/>
  <c r="C557" i="20" s="1"/>
  <c r="C555" i="20"/>
  <c r="C554" i="20"/>
  <c r="C553" i="20"/>
  <c r="C552" i="20"/>
  <c r="C551" i="20"/>
  <c r="C550" i="20" s="1"/>
  <c r="C548" i="20"/>
  <c r="C547" i="20"/>
  <c r="C546" i="20"/>
  <c r="C545" i="20"/>
  <c r="C544" i="20"/>
  <c r="C543" i="20" s="1"/>
  <c r="C541" i="20"/>
  <c r="C540" i="20"/>
  <c r="C539" i="20"/>
  <c r="C538" i="20"/>
  <c r="C537" i="20"/>
  <c r="C536" i="20" s="1"/>
  <c r="C534" i="20"/>
  <c r="C533" i="20"/>
  <c r="C532" i="20"/>
  <c r="C531" i="20"/>
  <c r="C530" i="20"/>
  <c r="C529" i="20" s="1"/>
  <c r="C527" i="20"/>
  <c r="C526" i="20"/>
  <c r="C525" i="20"/>
  <c r="C524" i="20"/>
  <c r="C523" i="20"/>
  <c r="C522" i="20" s="1"/>
  <c r="C520" i="20"/>
  <c r="C519" i="20"/>
  <c r="C518" i="20"/>
  <c r="C517" i="20"/>
  <c r="C516" i="20"/>
  <c r="C515" i="20" s="1"/>
  <c r="C513" i="20"/>
  <c r="C512" i="20"/>
  <c r="C511" i="20"/>
  <c r="C510" i="20"/>
  <c r="C509" i="20"/>
  <c r="C508" i="20" s="1"/>
  <c r="C506" i="20"/>
  <c r="C505" i="20"/>
  <c r="C504" i="20"/>
  <c r="C503" i="20"/>
  <c r="C502" i="20"/>
  <c r="C501" i="20" s="1"/>
  <c r="C499" i="20"/>
  <c r="C498" i="20"/>
  <c r="C497" i="20"/>
  <c r="C496" i="20"/>
  <c r="C495" i="20"/>
  <c r="C494" i="20" s="1"/>
  <c r="C492" i="20"/>
  <c r="C491" i="20"/>
  <c r="C490" i="20"/>
  <c r="C489" i="20"/>
  <c r="C488" i="20"/>
  <c r="C487" i="20" s="1"/>
  <c r="C485" i="20"/>
  <c r="C484" i="20"/>
  <c r="C483" i="20"/>
  <c r="C482" i="20"/>
  <c r="C481" i="20"/>
  <c r="C480" i="20" s="1"/>
  <c r="C478" i="20"/>
  <c r="C477" i="20"/>
  <c r="C476" i="20"/>
  <c r="C475" i="20"/>
  <c r="C474" i="20"/>
  <c r="C473" i="20" s="1"/>
  <c r="C471" i="20"/>
  <c r="C470" i="20"/>
  <c r="C469" i="20"/>
  <c r="C468" i="20"/>
  <c r="C467" i="20"/>
  <c r="C466" i="20" s="1"/>
  <c r="C464" i="20"/>
  <c r="C463" i="20"/>
  <c r="C462" i="20"/>
  <c r="C461" i="20"/>
  <c r="C460" i="20"/>
  <c r="C459" i="20" s="1"/>
  <c r="C457" i="20"/>
  <c r="C456" i="20"/>
  <c r="C455" i="20"/>
  <c r="C454" i="20"/>
  <c r="C453" i="20"/>
  <c r="C452" i="20" s="1"/>
  <c r="C450" i="20"/>
  <c r="C449" i="20"/>
  <c r="C448" i="20"/>
  <c r="C447" i="20"/>
  <c r="C446" i="20"/>
  <c r="C445" i="20" s="1"/>
  <c r="C443" i="20"/>
  <c r="C442" i="20"/>
  <c r="C441" i="20"/>
  <c r="C440" i="20"/>
  <c r="C439" i="20"/>
  <c r="C438" i="20" s="1"/>
  <c r="C436" i="20"/>
  <c r="C435" i="20"/>
  <c r="C434" i="20"/>
  <c r="C433" i="20"/>
  <c r="C432" i="20"/>
  <c r="C431" i="20" s="1"/>
  <c r="C429" i="20"/>
  <c r="C428" i="20"/>
  <c r="C427" i="20"/>
  <c r="C426" i="20"/>
  <c r="C425" i="20"/>
  <c r="C424" i="20" s="1"/>
  <c r="C422" i="20"/>
  <c r="C421" i="20"/>
  <c r="C420" i="20"/>
  <c r="C419" i="20"/>
  <c r="C418" i="20"/>
  <c r="C417" i="20" s="1"/>
  <c r="C415" i="20"/>
  <c r="C414" i="20"/>
  <c r="C413" i="20"/>
  <c r="C412" i="20"/>
  <c r="C411" i="20"/>
  <c r="C410" i="20" s="1"/>
  <c r="C408" i="20"/>
  <c r="C407" i="20"/>
  <c r="C406" i="20"/>
  <c r="C405" i="20"/>
  <c r="C404" i="20"/>
  <c r="C403" i="20" s="1"/>
  <c r="C401" i="20"/>
  <c r="C400" i="20"/>
  <c r="C399" i="20"/>
  <c r="C398" i="20"/>
  <c r="C397" i="20"/>
  <c r="C396" i="20" s="1"/>
  <c r="C394" i="20"/>
  <c r="C393" i="20"/>
  <c r="C392" i="20"/>
  <c r="C391" i="20"/>
  <c r="C390" i="20"/>
  <c r="C389" i="20" s="1"/>
  <c r="C387" i="20"/>
  <c r="C386" i="20"/>
  <c r="C385" i="20"/>
  <c r="C384" i="20"/>
  <c r="C383" i="20"/>
  <c r="C382" i="20" s="1"/>
  <c r="C380" i="20"/>
  <c r="C379" i="20"/>
  <c r="C378" i="20"/>
  <c r="C377" i="20"/>
  <c r="C376" i="20"/>
  <c r="C375" i="20" s="1"/>
  <c r="C373" i="20"/>
  <c r="C372" i="20"/>
  <c r="C371" i="20"/>
  <c r="C370" i="20"/>
  <c r="C369" i="20"/>
  <c r="C368" i="20" s="1"/>
  <c r="C366" i="20"/>
  <c r="C365" i="20"/>
  <c r="C364" i="20"/>
  <c r="C363" i="20"/>
  <c r="C362" i="20"/>
  <c r="C361" i="20" s="1"/>
  <c r="C359" i="20"/>
  <c r="C358" i="20"/>
  <c r="C357" i="20"/>
  <c r="C356" i="20"/>
  <c r="C355" i="20"/>
  <c r="C354" i="20" s="1"/>
  <c r="C352" i="20"/>
  <c r="C351" i="20"/>
  <c r="C350" i="20"/>
  <c r="C349" i="20"/>
  <c r="C348" i="20"/>
  <c r="C347" i="20" s="1"/>
  <c r="C345" i="20"/>
  <c r="C344" i="20"/>
  <c r="C343" i="20"/>
  <c r="C342" i="20"/>
  <c r="C341" i="20"/>
  <c r="C340" i="20" s="1"/>
  <c r="C338" i="20"/>
  <c r="C337" i="20"/>
  <c r="C336" i="20"/>
  <c r="C335" i="20"/>
  <c r="C334" i="20"/>
  <c r="C333" i="20" s="1"/>
  <c r="C331" i="20"/>
  <c r="C330" i="20"/>
  <c r="C329" i="20"/>
  <c r="C328" i="20"/>
  <c r="C327" i="20"/>
  <c r="C326" i="20" s="1"/>
  <c r="C324" i="20"/>
  <c r="C323" i="20"/>
  <c r="C322" i="20"/>
  <c r="C321" i="20"/>
  <c r="C320" i="20"/>
  <c r="C319" i="20" s="1"/>
  <c r="C317" i="20"/>
  <c r="C316" i="20"/>
  <c r="C315" i="20"/>
  <c r="C314" i="20"/>
  <c r="C313" i="20"/>
  <c r="C312" i="20" s="1"/>
  <c r="C310" i="20"/>
  <c r="C309" i="20"/>
  <c r="C308" i="20"/>
  <c r="C307" i="20"/>
  <c r="C306" i="20"/>
  <c r="C305" i="20" s="1"/>
  <c r="C303" i="20"/>
  <c r="C302" i="20"/>
  <c r="C301" i="20"/>
  <c r="C300" i="20"/>
  <c r="C299" i="20"/>
  <c r="C298" i="20" s="1"/>
  <c r="C296" i="20"/>
  <c r="C295" i="20"/>
  <c r="C294" i="20"/>
  <c r="C293" i="20"/>
  <c r="C292" i="20"/>
  <c r="C291" i="20" s="1"/>
  <c r="C289" i="20"/>
  <c r="C288" i="20"/>
  <c r="C287" i="20"/>
  <c r="C286" i="20"/>
  <c r="C285" i="20"/>
  <c r="C284" i="20" s="1"/>
  <c r="C282" i="20"/>
  <c r="C281" i="20"/>
  <c r="C280" i="20"/>
  <c r="C279" i="20"/>
  <c r="C278" i="20"/>
  <c r="C277" i="20" s="1"/>
  <c r="C275" i="20"/>
  <c r="C274" i="20"/>
  <c r="C273" i="20"/>
  <c r="C272" i="20"/>
  <c r="C271" i="20"/>
  <c r="C270" i="20" s="1"/>
  <c r="C268" i="20"/>
  <c r="C267" i="20"/>
  <c r="C266" i="20"/>
  <c r="C265" i="20"/>
  <c r="C264" i="20"/>
  <c r="C263" i="20" s="1"/>
  <c r="C261" i="20"/>
  <c r="C260" i="20"/>
  <c r="C259" i="20"/>
  <c r="C258" i="20"/>
  <c r="C257" i="20"/>
  <c r="C256" i="20" s="1"/>
  <c r="C254" i="20"/>
  <c r="C253" i="20"/>
  <c r="C252" i="20"/>
  <c r="C251" i="20"/>
  <c r="C250" i="20"/>
  <c r="C249" i="20" s="1"/>
  <c r="C247" i="20"/>
  <c r="C246" i="20"/>
  <c r="C245" i="20"/>
  <c r="C244" i="20"/>
  <c r="C243" i="20"/>
  <c r="C242" i="20" s="1"/>
  <c r="C240" i="20"/>
  <c r="C239" i="20"/>
  <c r="C238" i="20"/>
  <c r="C237" i="20"/>
  <c r="C236" i="20"/>
  <c r="C235" i="20" s="1"/>
  <c r="C233" i="20"/>
  <c r="C232" i="20"/>
  <c r="C231" i="20"/>
  <c r="C230" i="20"/>
  <c r="C229" i="20"/>
  <c r="C228" i="20" s="1"/>
  <c r="C226" i="20"/>
  <c r="C225" i="20"/>
  <c r="C224" i="20"/>
  <c r="C223" i="20"/>
  <c r="C222" i="20"/>
  <c r="C221" i="20" s="1"/>
  <c r="C219" i="20"/>
  <c r="C218" i="20"/>
  <c r="C217" i="20"/>
  <c r="C216" i="20"/>
  <c r="C215" i="20"/>
  <c r="C214" i="20" s="1"/>
  <c r="C212" i="20"/>
  <c r="C211" i="20"/>
  <c r="C210" i="20"/>
  <c r="C209" i="20"/>
  <c r="C208" i="20"/>
  <c r="C207" i="20" s="1"/>
  <c r="C205" i="20"/>
  <c r="C204" i="20"/>
  <c r="C203" i="20"/>
  <c r="C202" i="20"/>
  <c r="C201" i="20"/>
  <c r="C200" i="20" s="1"/>
  <c r="C198" i="20"/>
  <c r="C197" i="20"/>
  <c r="C196" i="20"/>
  <c r="C195" i="20"/>
  <c r="C194" i="20"/>
  <c r="C193" i="20" s="1"/>
  <c r="C191" i="20"/>
  <c r="C190" i="20"/>
  <c r="C189" i="20"/>
  <c r="C188" i="20"/>
  <c r="C187" i="20"/>
  <c r="C186" i="20" s="1"/>
  <c r="C184" i="20"/>
  <c r="C183" i="20"/>
  <c r="C182" i="20"/>
  <c r="C181" i="20"/>
  <c r="C180" i="20"/>
  <c r="C179" i="20" s="1"/>
  <c r="C177" i="20"/>
  <c r="C176" i="20"/>
  <c r="C175" i="20"/>
  <c r="C174" i="20"/>
  <c r="C173" i="20"/>
  <c r="C172" i="20" s="1"/>
  <c r="C170" i="20"/>
  <c r="C169" i="20"/>
  <c r="C168" i="20"/>
  <c r="C167" i="20"/>
  <c r="C166" i="20"/>
  <c r="C165" i="20" s="1"/>
  <c r="C163" i="20"/>
  <c r="C162" i="20"/>
  <c r="C161" i="20"/>
  <c r="C160" i="20"/>
  <c r="C159" i="20"/>
  <c r="C158" i="20" s="1"/>
  <c r="C156" i="20"/>
  <c r="C155" i="20"/>
  <c r="C154" i="20"/>
  <c r="C153" i="20"/>
  <c r="C152" i="20"/>
  <c r="C151" i="20" s="1"/>
  <c r="C149" i="20"/>
  <c r="C148" i="20"/>
  <c r="C147" i="20"/>
  <c r="C146" i="20"/>
  <c r="C145" i="20"/>
  <c r="C144" i="20" s="1"/>
  <c r="C142" i="20"/>
  <c r="C141" i="20"/>
  <c r="C140" i="20"/>
  <c r="C139" i="20"/>
  <c r="C138" i="20"/>
  <c r="C137" i="20" s="1"/>
  <c r="C135" i="20"/>
  <c r="C134" i="20"/>
  <c r="C133" i="20"/>
  <c r="C132" i="20"/>
  <c r="C131" i="20"/>
  <c r="C130" i="20" s="1"/>
  <c r="C128" i="20"/>
  <c r="C127" i="20"/>
  <c r="C126" i="20"/>
  <c r="C125" i="20"/>
  <c r="C124" i="20"/>
  <c r="C123" i="20" s="1"/>
  <c r="C121" i="20"/>
  <c r="C120" i="20"/>
  <c r="C119" i="20"/>
  <c r="C118" i="20"/>
  <c r="C117" i="20"/>
  <c r="C116" i="20" s="1"/>
  <c r="C114" i="20"/>
  <c r="C113" i="20"/>
  <c r="C112" i="20"/>
  <c r="C111" i="20"/>
  <c r="C110" i="20"/>
  <c r="C109" i="20" s="1"/>
  <c r="C107" i="20"/>
  <c r="C106" i="20"/>
  <c r="C105" i="20"/>
  <c r="C104" i="20"/>
  <c r="C103" i="20"/>
  <c r="C102" i="20" s="1"/>
  <c r="C100" i="20"/>
  <c r="C99" i="20"/>
  <c r="C98" i="20"/>
  <c r="C97" i="20"/>
  <c r="C96" i="20"/>
  <c r="C95" i="20" s="1"/>
  <c r="C93" i="20"/>
  <c r="C92" i="20"/>
  <c r="C91" i="20"/>
  <c r="C90" i="20"/>
  <c r="C89" i="20"/>
  <c r="C88" i="20" s="1"/>
  <c r="C86" i="20"/>
  <c r="C85" i="20"/>
  <c r="C84" i="20"/>
  <c r="C83" i="20"/>
  <c r="C82" i="20"/>
  <c r="C81" i="20" s="1"/>
  <c r="C79" i="20"/>
  <c r="C78" i="20"/>
  <c r="C77" i="20"/>
  <c r="C76" i="20"/>
  <c r="C75" i="20"/>
  <c r="C74" i="20" s="1"/>
  <c r="C72" i="20"/>
  <c r="C71" i="20"/>
  <c r="C70" i="20"/>
  <c r="C69" i="20"/>
  <c r="C68" i="20"/>
  <c r="C67" i="20" s="1"/>
  <c r="C65" i="20"/>
  <c r="C64" i="20"/>
  <c r="C63" i="20"/>
  <c r="C62" i="20"/>
  <c r="C61" i="20"/>
  <c r="C60" i="20" s="1"/>
  <c r="C58" i="20"/>
  <c r="C57" i="20"/>
  <c r="C56" i="20"/>
  <c r="C55" i="20"/>
  <c r="C54" i="20"/>
  <c r="C53" i="20" s="1"/>
  <c r="C51" i="20"/>
  <c r="C50" i="20"/>
  <c r="C49" i="20"/>
  <c r="C48" i="20"/>
  <c r="C47" i="20"/>
  <c r="C46" i="20" s="1"/>
  <c r="C44" i="20"/>
  <c r="C43" i="20"/>
  <c r="C42" i="20"/>
  <c r="C41" i="20"/>
  <c r="C40" i="20"/>
  <c r="C39" i="20" s="1"/>
  <c r="C37" i="20"/>
  <c r="C36" i="20"/>
  <c r="C35" i="20"/>
  <c r="C34" i="20"/>
  <c r="C33" i="20"/>
  <c r="C32" i="20" s="1"/>
  <c r="C30" i="20"/>
  <c r="C29" i="20"/>
  <c r="C28" i="20"/>
  <c r="C27" i="20"/>
  <c r="C26" i="20"/>
  <c r="C25" i="20" s="1"/>
  <c r="C23" i="20"/>
  <c r="C22" i="20"/>
  <c r="C21" i="20"/>
  <c r="C20" i="20"/>
  <c r="C19" i="20"/>
  <c r="C18" i="20" s="1"/>
  <c r="C16" i="20"/>
  <c r="C15" i="20"/>
  <c r="C14" i="20"/>
  <c r="C13" i="20"/>
  <c r="C12" i="20"/>
  <c r="C11" i="20" s="1"/>
  <c r="C9" i="20"/>
  <c r="C8" i="20"/>
  <c r="C7" i="20"/>
  <c r="C6" i="20"/>
  <c r="C5" i="20"/>
  <c r="C4" i="20" s="1"/>
  <c r="C1618" i="20"/>
  <c r="C1617" i="20"/>
  <c r="C1616" i="20"/>
  <c r="C1615" i="20"/>
  <c r="C1614" i="20" s="1"/>
  <c r="C1612" i="20"/>
  <c r="C1611" i="20"/>
  <c r="C1610" i="20"/>
  <c r="C1609" i="20"/>
  <c r="C1608" i="20"/>
  <c r="C1607" i="20" s="1"/>
  <c r="C1605" i="20"/>
  <c r="C1604" i="20"/>
  <c r="C1603" i="20"/>
  <c r="C1602" i="20"/>
  <c r="C1601" i="20"/>
  <c r="C1600" i="20" s="1"/>
  <c r="C1598" i="20"/>
  <c r="C1597" i="20"/>
  <c r="C1596" i="20"/>
  <c r="C1595" i="20"/>
  <c r="C1594" i="20"/>
  <c r="C1593" i="20" s="1"/>
  <c r="C1591" i="20"/>
  <c r="C1590" i="20"/>
  <c r="C1589" i="20"/>
  <c r="C1588" i="20"/>
  <c r="C1587" i="20"/>
  <c r="C1586" i="20" s="1"/>
  <c r="C1584" i="20"/>
  <c r="C1583" i="20"/>
  <c r="C1582" i="20"/>
  <c r="C1581" i="20"/>
  <c r="C1580" i="20"/>
  <c r="C1579" i="20" s="1"/>
  <c r="C1577" i="20"/>
  <c r="C1576" i="20"/>
  <c r="C1575" i="20"/>
  <c r="C1574" i="20"/>
  <c r="C1573" i="20"/>
  <c r="C1572" i="20" s="1"/>
  <c r="C1570" i="20"/>
  <c r="C1569" i="20"/>
  <c r="C1568" i="20"/>
  <c r="C1567" i="20"/>
  <c r="C1566" i="20"/>
  <c r="C1565" i="20" s="1"/>
  <c r="C1563" i="20"/>
  <c r="C1562" i="20"/>
  <c r="C1561" i="20"/>
  <c r="C1560" i="20"/>
  <c r="C1559" i="20"/>
  <c r="C1558" i="20" s="1"/>
  <c r="C1556" i="20"/>
  <c r="C1555" i="20"/>
  <c r="C1554" i="20"/>
  <c r="C1553" i="20"/>
  <c r="C1552" i="20"/>
  <c r="C1551" i="20" s="1"/>
  <c r="C1549" i="20"/>
  <c r="C1548" i="20"/>
  <c r="C1160" i="20"/>
  <c r="C1159" i="20" s="1"/>
  <c r="AA669" i="20" l="1"/>
  <c r="X165" i="20"/>
  <c r="F417" i="20"/>
  <c r="G3" i="20"/>
  <c r="K998" i="20"/>
  <c r="F326" i="20"/>
  <c r="R116" i="20"/>
  <c r="R1614" i="20"/>
  <c r="K501" i="20"/>
  <c r="K830" i="20"/>
  <c r="K872" i="20"/>
  <c r="K1124" i="20"/>
  <c r="K1180" i="20"/>
  <c r="K1236" i="20"/>
  <c r="K1439" i="20"/>
  <c r="F144" i="20"/>
  <c r="K347" i="20"/>
  <c r="K907" i="20"/>
  <c r="R1600" i="20"/>
  <c r="F151" i="20"/>
  <c r="AB4" i="20"/>
  <c r="AA4" i="20"/>
  <c r="Z4" i="20"/>
  <c r="Y4" i="20"/>
  <c r="X4" i="20"/>
  <c r="V4" i="20"/>
  <c r="U4" i="20"/>
  <c r="R4" i="20"/>
  <c r="Q4" i="20"/>
  <c r="P4" i="20"/>
  <c r="O4" i="20"/>
  <c r="N4" i="20"/>
  <c r="L3" i="20"/>
  <c r="L4" i="20"/>
  <c r="K4" i="20"/>
  <c r="E3" i="20"/>
  <c r="E4" i="20"/>
  <c r="AB991" i="20"/>
  <c r="AB340" i="20"/>
  <c r="AB3" i="20" s="1"/>
  <c r="AB1313" i="20"/>
  <c r="AB1320" i="20"/>
  <c r="AB1327" i="20"/>
  <c r="AB1334" i="20"/>
  <c r="AB1341" i="20"/>
  <c r="AB1348" i="20"/>
  <c r="AB1355" i="20"/>
  <c r="AB1362" i="20"/>
  <c r="AB1369" i="20"/>
  <c r="AB1376" i="20"/>
  <c r="AB1383" i="20"/>
  <c r="AB1390" i="20"/>
  <c r="AB1397" i="20"/>
  <c r="AB1404" i="20"/>
  <c r="AB1411" i="20"/>
  <c r="AB1418" i="20"/>
  <c r="AB1425" i="20"/>
  <c r="AB1432" i="20"/>
  <c r="AB1439" i="20"/>
  <c r="AB1446" i="20"/>
  <c r="AB1453" i="20"/>
  <c r="AB1460" i="20"/>
  <c r="AB1467" i="20"/>
  <c r="AB1474" i="20"/>
  <c r="AB1481" i="20"/>
  <c r="AB1488" i="20"/>
  <c r="AB1495" i="20"/>
  <c r="AB1502" i="20"/>
  <c r="AB1509" i="20"/>
  <c r="AB1516" i="20"/>
  <c r="AB1523" i="20"/>
  <c r="AB1530" i="20"/>
  <c r="AB1537" i="20"/>
  <c r="AB1544" i="20"/>
  <c r="AB1551" i="20"/>
  <c r="AB1558" i="20"/>
  <c r="AB1565" i="20"/>
  <c r="AB1572" i="20"/>
  <c r="AB1579" i="20"/>
  <c r="AB1586" i="20"/>
  <c r="AB1593" i="20"/>
  <c r="AB1600" i="20"/>
  <c r="AB1607" i="20"/>
  <c r="AB1614" i="20"/>
  <c r="AA991" i="20"/>
  <c r="AA3" i="20" s="1"/>
  <c r="W200" i="20"/>
  <c r="W214" i="20"/>
  <c r="W228" i="20"/>
  <c r="W242" i="20"/>
  <c r="W256" i="20"/>
  <c r="W270" i="20"/>
  <c r="W284" i="20"/>
  <c r="W298" i="20"/>
  <c r="W312" i="20"/>
  <c r="W326" i="20"/>
  <c r="W340" i="20"/>
  <c r="W354" i="20"/>
  <c r="W368" i="20"/>
  <c r="W382" i="20"/>
  <c r="W389" i="20"/>
  <c r="W11" i="20"/>
  <c r="W25" i="20"/>
  <c r="K1005" i="20"/>
  <c r="K1327" i="20"/>
  <c r="K1460" i="20"/>
  <c r="K242" i="20"/>
  <c r="H1614" i="20"/>
  <c r="F193" i="20"/>
  <c r="Z1397" i="20"/>
  <c r="Z599" i="20"/>
  <c r="Z3" i="20" s="1"/>
  <c r="Y585" i="20"/>
  <c r="Y179" i="20"/>
  <c r="Y3" i="20" s="1"/>
  <c r="Y599" i="20"/>
  <c r="X599" i="20"/>
  <c r="X3" i="20" s="1"/>
  <c r="W193" i="20"/>
  <c r="W207" i="20"/>
  <c r="W221" i="20"/>
  <c r="W235" i="20"/>
  <c r="W249" i="20"/>
  <c r="W263" i="20"/>
  <c r="W277" i="20"/>
  <c r="W291" i="20"/>
  <c r="W305" i="20"/>
  <c r="W319" i="20"/>
  <c r="W333" i="20"/>
  <c r="W347" i="20"/>
  <c r="W361" i="20"/>
  <c r="W375" i="20"/>
  <c r="W4" i="20"/>
  <c r="W18" i="20"/>
  <c r="N11" i="20"/>
  <c r="K1061" i="20"/>
  <c r="K1208" i="20"/>
  <c r="K1264" i="20"/>
  <c r="K1488" i="20"/>
  <c r="K1523" i="20"/>
  <c r="W32" i="20"/>
  <c r="W39" i="20"/>
  <c r="W46" i="20"/>
  <c r="W53" i="20"/>
  <c r="W60" i="20"/>
  <c r="W67" i="20"/>
  <c r="W74" i="20"/>
  <c r="W81" i="20"/>
  <c r="W88" i="20"/>
  <c r="W95" i="20"/>
  <c r="W102" i="20"/>
  <c r="W109" i="20"/>
  <c r="W116" i="20"/>
  <c r="W123" i="20"/>
  <c r="W130" i="20"/>
  <c r="W137" i="20"/>
  <c r="W144" i="20"/>
  <c r="W151" i="20"/>
  <c r="W158" i="20"/>
  <c r="W165" i="20"/>
  <c r="W172" i="20"/>
  <c r="W179" i="20"/>
  <c r="W186" i="20"/>
  <c r="W802" i="20"/>
  <c r="V1215" i="20"/>
  <c r="V3" i="20" s="1"/>
  <c r="V1222" i="20"/>
  <c r="V1229" i="20"/>
  <c r="V1236" i="20"/>
  <c r="V1243" i="20"/>
  <c r="V1250" i="20"/>
  <c r="V1257" i="20"/>
  <c r="V1264" i="20"/>
  <c r="V1271" i="20"/>
  <c r="V1278" i="20"/>
  <c r="V1285" i="20"/>
  <c r="V1292" i="20"/>
  <c r="V1299" i="20"/>
  <c r="V1306" i="20"/>
  <c r="V1313" i="20"/>
  <c r="V1320" i="20"/>
  <c r="V1327" i="20"/>
  <c r="V1334" i="20"/>
  <c r="V1341" i="20"/>
  <c r="V1348" i="20"/>
  <c r="V1355" i="20"/>
  <c r="V1362" i="20"/>
  <c r="V1369" i="20"/>
  <c r="V1376" i="20"/>
  <c r="V1383" i="20"/>
  <c r="V1390" i="20"/>
  <c r="V1397" i="20"/>
  <c r="V1404" i="20"/>
  <c r="V1411" i="20"/>
  <c r="V1418" i="20"/>
  <c r="V1425" i="20"/>
  <c r="V1432" i="20"/>
  <c r="V1439" i="20"/>
  <c r="V1446" i="20"/>
  <c r="V1453" i="20"/>
  <c r="V1460" i="20"/>
  <c r="V1467" i="20"/>
  <c r="V1474" i="20"/>
  <c r="V1481" i="20"/>
  <c r="V1488" i="20"/>
  <c r="V1495" i="20"/>
  <c r="V1502" i="20"/>
  <c r="V1509" i="20"/>
  <c r="V1516" i="20"/>
  <c r="V1523" i="20"/>
  <c r="V1530" i="20"/>
  <c r="V1537" i="20"/>
  <c r="V1544" i="20"/>
  <c r="V1551" i="20"/>
  <c r="V1558" i="20"/>
  <c r="V1565" i="20"/>
  <c r="V1572" i="20"/>
  <c r="V1579" i="20"/>
  <c r="V1586" i="20"/>
  <c r="V1593" i="20"/>
  <c r="V1600" i="20"/>
  <c r="V1607" i="20"/>
  <c r="V1614" i="20"/>
  <c r="U1215" i="20"/>
  <c r="U1313" i="20"/>
  <c r="U1222" i="20"/>
  <c r="U1229" i="20"/>
  <c r="U1236" i="20"/>
  <c r="U1243" i="20"/>
  <c r="U1250" i="20"/>
  <c r="U1257" i="20"/>
  <c r="U1264" i="20"/>
  <c r="U1271" i="20"/>
  <c r="U1278" i="20"/>
  <c r="U1285" i="20"/>
  <c r="U1292" i="20"/>
  <c r="U1299" i="20"/>
  <c r="U11" i="20"/>
  <c r="U18" i="20"/>
  <c r="U25" i="20"/>
  <c r="U32" i="20"/>
  <c r="U39" i="20"/>
  <c r="U46" i="20"/>
  <c r="U53" i="20"/>
  <c r="U60" i="20"/>
  <c r="U67" i="20"/>
  <c r="U74" i="20"/>
  <c r="U81" i="20"/>
  <c r="U88" i="20"/>
  <c r="U95" i="20"/>
  <c r="U102" i="20"/>
  <c r="U109" i="20"/>
  <c r="U116" i="20"/>
  <c r="U123" i="20"/>
  <c r="U130" i="20"/>
  <c r="U137" i="20"/>
  <c r="U144" i="20"/>
  <c r="U151" i="20"/>
  <c r="U158" i="20"/>
  <c r="U165" i="20"/>
  <c r="U172" i="20"/>
  <c r="U179" i="20"/>
  <c r="U186" i="20"/>
  <c r="U193" i="20"/>
  <c r="U200" i="20"/>
  <c r="U207" i="20"/>
  <c r="U214" i="20"/>
  <c r="U221" i="20"/>
  <c r="U228" i="20"/>
  <c r="U235" i="20"/>
  <c r="U242" i="20"/>
  <c r="U249" i="20"/>
  <c r="U256" i="20"/>
  <c r="U263" i="20"/>
  <c r="U270" i="20"/>
  <c r="U277" i="20"/>
  <c r="U284" i="20"/>
  <c r="U291" i="20"/>
  <c r="U298" i="20"/>
  <c r="U305" i="20"/>
  <c r="U312" i="20"/>
  <c r="U319" i="20"/>
  <c r="U326" i="20"/>
  <c r="U333" i="20"/>
  <c r="U340" i="20"/>
  <c r="U347" i="20"/>
  <c r="U354" i="20"/>
  <c r="U361" i="20"/>
  <c r="U368" i="20"/>
  <c r="U375" i="20"/>
  <c r="U382" i="20"/>
  <c r="U389" i="20"/>
  <c r="U396" i="20"/>
  <c r="U403" i="20"/>
  <c r="U410" i="20"/>
  <c r="U417" i="20"/>
  <c r="U424" i="20"/>
  <c r="U431" i="20"/>
  <c r="U438" i="20"/>
  <c r="U445" i="20"/>
  <c r="U452" i="20"/>
  <c r="U459" i="20"/>
  <c r="U466" i="20"/>
  <c r="U473" i="20"/>
  <c r="U480" i="20"/>
  <c r="U487" i="20"/>
  <c r="U494" i="20"/>
  <c r="U501" i="20"/>
  <c r="U508" i="20"/>
  <c r="U515" i="20"/>
  <c r="U522" i="20"/>
  <c r="U529" i="20"/>
  <c r="U536" i="20"/>
  <c r="U543" i="20"/>
  <c r="U550" i="20"/>
  <c r="U557" i="20"/>
  <c r="U564" i="20"/>
  <c r="U571" i="20"/>
  <c r="U578" i="20"/>
  <c r="U585" i="20"/>
  <c r="U592" i="20"/>
  <c r="U599" i="20"/>
  <c r="U606" i="20"/>
  <c r="U613" i="20"/>
  <c r="U620" i="20"/>
  <c r="U627" i="20"/>
  <c r="U634" i="20"/>
  <c r="U641" i="20"/>
  <c r="U648" i="20"/>
  <c r="U655" i="20"/>
  <c r="U662" i="20"/>
  <c r="U669" i="20"/>
  <c r="U676" i="20"/>
  <c r="U683" i="20"/>
  <c r="U690" i="20"/>
  <c r="U697" i="20"/>
  <c r="U704" i="20"/>
  <c r="U711" i="20"/>
  <c r="U718" i="20"/>
  <c r="U725" i="20"/>
  <c r="U732" i="20"/>
  <c r="U739" i="20"/>
  <c r="U746" i="20"/>
  <c r="U753" i="20"/>
  <c r="U760" i="20"/>
  <c r="U767" i="20"/>
  <c r="U774" i="20"/>
  <c r="U781" i="20"/>
  <c r="U788" i="20"/>
  <c r="U795" i="20"/>
  <c r="U802" i="20"/>
  <c r="U809" i="20"/>
  <c r="U816" i="20"/>
  <c r="U823" i="20"/>
  <c r="U830" i="20"/>
  <c r="U837" i="20"/>
  <c r="U844" i="20"/>
  <c r="U851" i="20"/>
  <c r="U858" i="20"/>
  <c r="U865" i="20"/>
  <c r="U872" i="20"/>
  <c r="U879" i="20"/>
  <c r="U886" i="20"/>
  <c r="U893" i="20"/>
  <c r="U900" i="20"/>
  <c r="U907" i="20"/>
  <c r="U914" i="20"/>
  <c r="U921" i="20"/>
  <c r="U928" i="20"/>
  <c r="U935" i="20"/>
  <c r="U942" i="20"/>
  <c r="U949" i="20"/>
  <c r="U956" i="20"/>
  <c r="U963" i="20"/>
  <c r="U970" i="20"/>
  <c r="U977" i="20"/>
  <c r="U984" i="20"/>
  <c r="U991" i="20"/>
  <c r="U998" i="20"/>
  <c r="U1005" i="20"/>
  <c r="U1012" i="20"/>
  <c r="U1019" i="20"/>
  <c r="U1026" i="20"/>
  <c r="U1033" i="20"/>
  <c r="U1040" i="20"/>
  <c r="U1047" i="20"/>
  <c r="U1061" i="20"/>
  <c r="U1068" i="20"/>
  <c r="U1075" i="20"/>
  <c r="U1082" i="20"/>
  <c r="U1089" i="20"/>
  <c r="U1096" i="20"/>
  <c r="U1103" i="20"/>
  <c r="U1110" i="20"/>
  <c r="U1117" i="20"/>
  <c r="U1124" i="20"/>
  <c r="U1131" i="20"/>
  <c r="U1138" i="20"/>
  <c r="U1145" i="20"/>
  <c r="U1152" i="20"/>
  <c r="U1159" i="20"/>
  <c r="U1166" i="20"/>
  <c r="U1173" i="20"/>
  <c r="U1180" i="20"/>
  <c r="U1187" i="20"/>
  <c r="U1194" i="20"/>
  <c r="U1201" i="20"/>
  <c r="U1208" i="20"/>
  <c r="Q956" i="20"/>
  <c r="Q900" i="20"/>
  <c r="Q655" i="20"/>
  <c r="Q480" i="20"/>
  <c r="N18" i="20"/>
  <c r="N25" i="20"/>
  <c r="N32" i="20"/>
  <c r="N39" i="20"/>
  <c r="N46" i="20"/>
  <c r="N53" i="20"/>
  <c r="N60" i="20"/>
  <c r="N67" i="20"/>
  <c r="N74" i="20"/>
  <c r="N81" i="20"/>
  <c r="N88" i="20"/>
  <c r="N95" i="20"/>
  <c r="N102" i="20"/>
  <c r="N109" i="20"/>
  <c r="N116" i="20"/>
  <c r="N123" i="20"/>
  <c r="N130" i="20"/>
  <c r="K648" i="20"/>
  <c r="K1152" i="20"/>
  <c r="K1187" i="20"/>
  <c r="K1362" i="20"/>
  <c r="K193" i="20"/>
  <c r="K263" i="20"/>
  <c r="T1040" i="20"/>
  <c r="T816" i="20"/>
  <c r="T809" i="20"/>
  <c r="T3" i="20" s="1"/>
  <c r="S11" i="20"/>
  <c r="S1579" i="20"/>
  <c r="S18" i="20"/>
  <c r="S25" i="20"/>
  <c r="S32" i="20"/>
  <c r="S39" i="20"/>
  <c r="S46" i="20"/>
  <c r="S53" i="20"/>
  <c r="S60" i="20"/>
  <c r="S67" i="20"/>
  <c r="S74" i="20"/>
  <c r="S81" i="20"/>
  <c r="S88" i="20"/>
  <c r="S95" i="20"/>
  <c r="S102" i="20"/>
  <c r="S109" i="20"/>
  <c r="S116" i="20"/>
  <c r="S123" i="20"/>
  <c r="S130" i="20"/>
  <c r="S137" i="20"/>
  <c r="S144" i="20"/>
  <c r="S151" i="20"/>
  <c r="S158" i="20"/>
  <c r="S165" i="20"/>
  <c r="S172" i="20"/>
  <c r="S179" i="20"/>
  <c r="S186" i="20"/>
  <c r="S193" i="20"/>
  <c r="S200" i="20"/>
  <c r="S207" i="20"/>
  <c r="S214" i="20"/>
  <c r="S221" i="20"/>
  <c r="S228" i="20"/>
  <c r="S235" i="20"/>
  <c r="S242" i="20"/>
  <c r="S249" i="20"/>
  <c r="S256" i="20"/>
  <c r="S263" i="20"/>
  <c r="S270" i="20"/>
  <c r="S277" i="20"/>
  <c r="S284" i="20"/>
  <c r="S291" i="20"/>
  <c r="S298" i="20"/>
  <c r="S305" i="20"/>
  <c r="S312" i="20"/>
  <c r="S319" i="20"/>
  <c r="S326" i="20"/>
  <c r="S333" i="20"/>
  <c r="S340" i="20"/>
  <c r="S347" i="20"/>
  <c r="S354" i="20"/>
  <c r="S361" i="20"/>
  <c r="S368" i="20"/>
  <c r="S375" i="20"/>
  <c r="S382" i="20"/>
  <c r="S389" i="20"/>
  <c r="S396" i="20"/>
  <c r="S403" i="20"/>
  <c r="S410" i="20"/>
  <c r="S417" i="20"/>
  <c r="S424" i="20"/>
  <c r="S431" i="20"/>
  <c r="S438" i="20"/>
  <c r="S445" i="20"/>
  <c r="S452" i="20"/>
  <c r="S459" i="20"/>
  <c r="S466" i="20"/>
  <c r="S473" i="20"/>
  <c r="S480" i="20"/>
  <c r="S487" i="20"/>
  <c r="S494" i="20"/>
  <c r="S501" i="20"/>
  <c r="S508" i="20"/>
  <c r="S515" i="20"/>
  <c r="S522" i="20"/>
  <c r="S529" i="20"/>
  <c r="S536" i="20"/>
  <c r="S543" i="20"/>
  <c r="S550" i="20"/>
  <c r="S557" i="20"/>
  <c r="S564" i="20"/>
  <c r="S571" i="20"/>
  <c r="S578" i="20"/>
  <c r="S585" i="20"/>
  <c r="S592" i="20"/>
  <c r="S599" i="20"/>
  <c r="S606" i="20"/>
  <c r="S613" i="20"/>
  <c r="S620" i="20"/>
  <c r="S627" i="20"/>
  <c r="S634" i="20"/>
  <c r="S641" i="20"/>
  <c r="S648" i="20"/>
  <c r="S655" i="20"/>
  <c r="S662" i="20"/>
  <c r="S669" i="20"/>
  <c r="S676" i="20"/>
  <c r="S683" i="20"/>
  <c r="S690" i="20"/>
  <c r="S697" i="20"/>
  <c r="S704" i="20"/>
  <c r="S711" i="20"/>
  <c r="S718" i="20"/>
  <c r="S725" i="20"/>
  <c r="S732" i="20"/>
  <c r="S739" i="20"/>
  <c r="S746" i="20"/>
  <c r="S753" i="20"/>
  <c r="S760" i="20"/>
  <c r="S767" i="20"/>
  <c r="S774" i="20"/>
  <c r="S781" i="20"/>
  <c r="S788" i="20"/>
  <c r="S795" i="20"/>
  <c r="S802" i="20"/>
  <c r="S809" i="20"/>
  <c r="S816" i="20"/>
  <c r="S823" i="20"/>
  <c r="S830" i="20"/>
  <c r="S837" i="20"/>
  <c r="S844" i="20"/>
  <c r="S851" i="20"/>
  <c r="S858" i="20"/>
  <c r="S865" i="20"/>
  <c r="S872" i="20"/>
  <c r="S879" i="20"/>
  <c r="S886" i="20"/>
  <c r="S893" i="20"/>
  <c r="S900" i="20"/>
  <c r="S907" i="20"/>
  <c r="S914" i="20"/>
  <c r="S921" i="20"/>
  <c r="S928" i="20"/>
  <c r="S935" i="20"/>
  <c r="S942" i="20"/>
  <c r="S949" i="20"/>
  <c r="S956" i="20"/>
  <c r="S963" i="20"/>
  <c r="S970" i="20"/>
  <c r="S977" i="20"/>
  <c r="S984" i="20"/>
  <c r="S991" i="20"/>
  <c r="S998" i="20"/>
  <c r="S1005" i="20"/>
  <c r="S1012" i="20"/>
  <c r="S1019" i="20"/>
  <c r="S1026" i="20"/>
  <c r="S1033" i="20"/>
  <c r="S1040" i="20"/>
  <c r="S1047" i="20"/>
  <c r="S1054" i="20"/>
  <c r="S1061" i="20"/>
  <c r="S1068" i="20"/>
  <c r="S1075" i="20"/>
  <c r="S1082" i="20"/>
  <c r="S1089" i="20"/>
  <c r="S1096" i="20"/>
  <c r="S1103" i="20"/>
  <c r="S1110" i="20"/>
  <c r="S1117" i="20"/>
  <c r="S1124" i="20"/>
  <c r="S1131" i="20"/>
  <c r="S1138" i="20"/>
  <c r="S1145" i="20"/>
  <c r="S1152" i="20"/>
  <c r="S1159" i="20"/>
  <c r="S1166" i="20"/>
  <c r="S1173" i="20"/>
  <c r="S1180" i="20"/>
  <c r="S1187" i="20"/>
  <c r="S1194" i="20"/>
  <c r="S1201" i="20"/>
  <c r="S1208" i="20"/>
  <c r="S1215" i="20"/>
  <c r="S1222" i="20"/>
  <c r="S1229" i="20"/>
  <c r="S1236" i="20"/>
  <c r="S1243" i="20"/>
  <c r="S1250" i="20"/>
  <c r="S1257" i="20"/>
  <c r="S1264" i="20"/>
  <c r="S1271" i="20"/>
  <c r="S1278" i="20"/>
  <c r="S1285" i="20"/>
  <c r="S1292" i="20"/>
  <c r="S1299" i="20"/>
  <c r="S1306" i="20"/>
  <c r="S1313" i="20"/>
  <c r="S1320" i="20"/>
  <c r="S1327" i="20"/>
  <c r="S1334" i="20"/>
  <c r="S1341" i="20"/>
  <c r="S1348" i="20"/>
  <c r="S1355" i="20"/>
  <c r="S1362" i="20"/>
  <c r="S1369" i="20"/>
  <c r="S1376" i="20"/>
  <c r="S1383" i="20"/>
  <c r="S1390" i="20"/>
  <c r="S1397" i="20"/>
  <c r="R1376" i="20"/>
  <c r="R1208" i="20"/>
  <c r="R123" i="20"/>
  <c r="R3" i="20" s="1"/>
  <c r="R130" i="20"/>
  <c r="R137" i="20"/>
  <c r="R144" i="20"/>
  <c r="R151" i="20"/>
  <c r="R158" i="20"/>
  <c r="R165" i="20"/>
  <c r="R172" i="20"/>
  <c r="R179" i="20"/>
  <c r="R186" i="20"/>
  <c r="R193" i="20"/>
  <c r="R200" i="20"/>
  <c r="Q837" i="20"/>
  <c r="Q410" i="20"/>
  <c r="K970" i="20"/>
  <c r="K1082" i="20"/>
  <c r="K1397" i="20"/>
  <c r="Q368" i="20"/>
  <c r="Q3" i="20" s="1"/>
  <c r="P1243" i="20"/>
  <c r="P1229" i="20"/>
  <c r="P3" i="20" s="1"/>
  <c r="O781" i="20"/>
  <c r="O3" i="20" s="1"/>
  <c r="O1495" i="20"/>
  <c r="O1502" i="20"/>
  <c r="O1509" i="20"/>
  <c r="O1516" i="20"/>
  <c r="O1523" i="20"/>
  <c r="O1530" i="20"/>
  <c r="O1537" i="20"/>
  <c r="O1544" i="20"/>
  <c r="O1551" i="20"/>
  <c r="O1558" i="20"/>
  <c r="O1565" i="20"/>
  <c r="O1572" i="20"/>
  <c r="O1579" i="20"/>
  <c r="O1586" i="20"/>
  <c r="O1593" i="20"/>
  <c r="O1600" i="20"/>
  <c r="O1607" i="20"/>
  <c r="O1614" i="20"/>
  <c r="O1327" i="20"/>
  <c r="O1334" i="20"/>
  <c r="O1341" i="20"/>
  <c r="O1348" i="20"/>
  <c r="O1355" i="20"/>
  <c r="O1362" i="20"/>
  <c r="O1369" i="20"/>
  <c r="O1376" i="20"/>
  <c r="O1383" i="20"/>
  <c r="O1390" i="20"/>
  <c r="O1397" i="20"/>
  <c r="O1404" i="20"/>
  <c r="O1411" i="20"/>
  <c r="O1418" i="20"/>
  <c r="O1425" i="20"/>
  <c r="O1432" i="20"/>
  <c r="O1439" i="20"/>
  <c r="O1446" i="20"/>
  <c r="O1453" i="20"/>
  <c r="O1460" i="20"/>
  <c r="O1467" i="20"/>
  <c r="O1474" i="20"/>
  <c r="O1481" i="20"/>
  <c r="O1488" i="20"/>
  <c r="K809" i="20"/>
  <c r="K1026" i="20"/>
  <c r="K1110" i="20"/>
  <c r="H1404" i="20"/>
  <c r="F277" i="20"/>
  <c r="N1005" i="20"/>
  <c r="N137" i="20"/>
  <c r="N144" i="20"/>
  <c r="N151" i="20"/>
  <c r="N158" i="20"/>
  <c r="N165" i="20"/>
  <c r="N172" i="20"/>
  <c r="N179" i="20"/>
  <c r="N186" i="20"/>
  <c r="N193" i="20"/>
  <c r="N200" i="20"/>
  <c r="N207" i="20"/>
  <c r="N214" i="20"/>
  <c r="N221" i="20"/>
  <c r="N228" i="20"/>
  <c r="N235" i="20"/>
  <c r="N242" i="20"/>
  <c r="N249" i="20"/>
  <c r="N256" i="20"/>
  <c r="N263" i="20"/>
  <c r="N270" i="20"/>
  <c r="N277" i="20"/>
  <c r="N284" i="20"/>
  <c r="N291" i="20"/>
  <c r="N298" i="20"/>
  <c r="N305" i="20"/>
  <c r="N312" i="20"/>
  <c r="N319" i="20"/>
  <c r="N326" i="20"/>
  <c r="N333" i="20"/>
  <c r="N340" i="20"/>
  <c r="N347" i="20"/>
  <c r="N354" i="20"/>
  <c r="N361" i="20"/>
  <c r="N368" i="20"/>
  <c r="N375" i="20"/>
  <c r="N382" i="20"/>
  <c r="N389" i="20"/>
  <c r="N396" i="20"/>
  <c r="N403" i="20"/>
  <c r="N410" i="20"/>
  <c r="N417" i="20"/>
  <c r="N424" i="20"/>
  <c r="N431" i="20"/>
  <c r="N438" i="20"/>
  <c r="N445" i="20"/>
  <c r="N515" i="20"/>
  <c r="M312" i="20"/>
  <c r="M319" i="20"/>
  <c r="M333" i="20"/>
  <c r="M340" i="20"/>
  <c r="M347" i="20"/>
  <c r="M368" i="20"/>
  <c r="M375" i="20"/>
  <c r="M382" i="20"/>
  <c r="M410" i="20"/>
  <c r="M417" i="20"/>
  <c r="M431" i="20"/>
  <c r="M438" i="20"/>
  <c r="M445" i="20"/>
  <c r="M466" i="20"/>
  <c r="M473" i="20"/>
  <c r="M480" i="20"/>
  <c r="M501" i="20"/>
  <c r="M508" i="20"/>
  <c r="M522" i="20"/>
  <c r="M529" i="20"/>
  <c r="M564" i="20"/>
  <c r="M578" i="20"/>
  <c r="M585" i="20"/>
  <c r="M599" i="20"/>
  <c r="M606" i="20"/>
  <c r="M613" i="20"/>
  <c r="M627" i="20"/>
  <c r="M641" i="20"/>
  <c r="M662" i="20"/>
  <c r="M683" i="20"/>
  <c r="M690" i="20"/>
  <c r="M697" i="20"/>
  <c r="M704" i="20"/>
  <c r="M711" i="20"/>
  <c r="M718" i="20"/>
  <c r="M725" i="20"/>
  <c r="M739" i="20"/>
  <c r="M746" i="20"/>
  <c r="M753" i="20"/>
  <c r="M760" i="20"/>
  <c r="M767" i="20"/>
  <c r="M788" i="20"/>
  <c r="M802" i="20"/>
  <c r="M830" i="20"/>
  <c r="M837" i="20"/>
  <c r="M851" i="20"/>
  <c r="M872" i="20"/>
  <c r="M879" i="20"/>
  <c r="M900" i="20"/>
  <c r="M907" i="20"/>
  <c r="M921" i="20"/>
  <c r="M928" i="20"/>
  <c r="M942" i="20"/>
  <c r="M949" i="20"/>
  <c r="M956" i="20"/>
  <c r="M963" i="20"/>
  <c r="M970" i="20"/>
  <c r="M991" i="20"/>
  <c r="M1005" i="20"/>
  <c r="M1012" i="20"/>
  <c r="M1026" i="20"/>
  <c r="M1040" i="20"/>
  <c r="M1054" i="20"/>
  <c r="M1061" i="20"/>
  <c r="M1068" i="20"/>
  <c r="M1075" i="20"/>
  <c r="M1082" i="20"/>
  <c r="M1089" i="20"/>
  <c r="M1117" i="20"/>
  <c r="M1124" i="20"/>
  <c r="M1145" i="20"/>
  <c r="M1152" i="20"/>
  <c r="M1180" i="20"/>
  <c r="M1187" i="20"/>
  <c r="M1229" i="20"/>
  <c r="M1250" i="20"/>
  <c r="M1257" i="20"/>
  <c r="M1271" i="20"/>
  <c r="M1278" i="20"/>
  <c r="M1292" i="20"/>
  <c r="M1299" i="20"/>
  <c r="M1306" i="20"/>
  <c r="M1313" i="20"/>
  <c r="M1320" i="20"/>
  <c r="M1327" i="20"/>
  <c r="M1334" i="20"/>
  <c r="M1341" i="20"/>
  <c r="M1348" i="20"/>
  <c r="M1355" i="20"/>
  <c r="M1362" i="20"/>
  <c r="M1369" i="20"/>
  <c r="M1376" i="20"/>
  <c r="M1383" i="20"/>
  <c r="M1390" i="20"/>
  <c r="M1397" i="20"/>
  <c r="M1404" i="20"/>
  <c r="M1411" i="20"/>
  <c r="M1418" i="20"/>
  <c r="M1425" i="20"/>
  <c r="M1432" i="20"/>
  <c r="M1439" i="20"/>
  <c r="M1446" i="20"/>
  <c r="M1453" i="20"/>
  <c r="M1460" i="20"/>
  <c r="M1467" i="20"/>
  <c r="M1474" i="20"/>
  <c r="M1481" i="20"/>
  <c r="M1488" i="20"/>
  <c r="M1495" i="20"/>
  <c r="M1502" i="20"/>
  <c r="M1509" i="20"/>
  <c r="M1516" i="20"/>
  <c r="M1523" i="20"/>
  <c r="M1530" i="20"/>
  <c r="M1537" i="20"/>
  <c r="M1544" i="20"/>
  <c r="M1551" i="20"/>
  <c r="M1558" i="20"/>
  <c r="M1565" i="20"/>
  <c r="M1572" i="20"/>
  <c r="M1579" i="20"/>
  <c r="M1586" i="20"/>
  <c r="M1593" i="20"/>
  <c r="M1600" i="20"/>
  <c r="M1607" i="20"/>
  <c r="M1614" i="20"/>
  <c r="M305" i="20"/>
  <c r="M151" i="20"/>
  <c r="M130" i="20"/>
  <c r="M102" i="20"/>
  <c r="M81" i="20"/>
  <c r="M46" i="20"/>
  <c r="M291" i="20"/>
  <c r="M676" i="20"/>
  <c r="M277" i="20"/>
  <c r="M228" i="20"/>
  <c r="M214" i="20"/>
  <c r="M774" i="20"/>
  <c r="M781" i="20"/>
  <c r="M795" i="20"/>
  <c r="M809" i="20"/>
  <c r="M816" i="20"/>
  <c r="M823" i="20"/>
  <c r="M844" i="20"/>
  <c r="M858" i="20"/>
  <c r="M865" i="20"/>
  <c r="M886" i="20"/>
  <c r="M893" i="20"/>
  <c r="M914" i="20"/>
  <c r="M935" i="20"/>
  <c r="M977" i="20"/>
  <c r="M984" i="20"/>
  <c r="M998" i="20"/>
  <c r="M1019" i="20"/>
  <c r="M1033" i="20"/>
  <c r="M1047" i="20"/>
  <c r="M1096" i="20"/>
  <c r="M1103" i="20"/>
  <c r="M1110" i="20"/>
  <c r="M1131" i="20"/>
  <c r="M1138" i="20"/>
  <c r="M1166" i="20"/>
  <c r="M1173" i="20"/>
  <c r="M1194" i="20"/>
  <c r="M1201" i="20"/>
  <c r="M1208" i="20"/>
  <c r="M1215" i="20"/>
  <c r="M1222" i="20"/>
  <c r="M1236" i="20"/>
  <c r="M1243" i="20"/>
  <c r="M4" i="20"/>
  <c r="M11" i="20"/>
  <c r="M3" i="20" s="1"/>
  <c r="M18" i="20"/>
  <c r="M25" i="20"/>
  <c r="M32" i="20"/>
  <c r="M39" i="20"/>
  <c r="M53" i="20"/>
  <c r="M60" i="20"/>
  <c r="M67" i="20"/>
  <c r="M74" i="20"/>
  <c r="M88" i="20"/>
  <c r="M95" i="20"/>
  <c r="M109" i="20"/>
  <c r="M116" i="20"/>
  <c r="M123" i="20"/>
  <c r="M137" i="20"/>
  <c r="M144" i="20"/>
  <c r="M158" i="20"/>
  <c r="M165" i="20"/>
  <c r="M172" i="20"/>
  <c r="M179" i="20"/>
  <c r="M186" i="20"/>
  <c r="M193" i="20"/>
  <c r="M200" i="20"/>
  <c r="M207" i="20"/>
  <c r="M221" i="20"/>
  <c r="M235" i="20"/>
  <c r="M242" i="20"/>
  <c r="M249" i="20"/>
  <c r="M256" i="20"/>
  <c r="M263" i="20"/>
  <c r="M270" i="20"/>
  <c r="M284" i="20"/>
  <c r="M298" i="20"/>
  <c r="L326" i="20"/>
  <c r="L354" i="20"/>
  <c r="L389" i="20"/>
  <c r="L396" i="20"/>
  <c r="L417" i="20"/>
  <c r="L445" i="20"/>
  <c r="L452" i="20"/>
  <c r="L459" i="20"/>
  <c r="L466" i="20"/>
  <c r="L473" i="20"/>
  <c r="L480" i="20"/>
  <c r="L508" i="20"/>
  <c r="L515" i="20"/>
  <c r="L522" i="20"/>
  <c r="L536" i="20"/>
  <c r="L543" i="20"/>
  <c r="L557" i="20"/>
  <c r="L564" i="20"/>
  <c r="L571" i="20"/>
  <c r="L578" i="20"/>
  <c r="L592" i="20"/>
  <c r="L613" i="20"/>
  <c r="L634" i="20"/>
  <c r="L648" i="20"/>
  <c r="L697" i="20"/>
  <c r="L718" i="20"/>
  <c r="L795" i="20"/>
  <c r="L802" i="20"/>
  <c r="L823" i="20"/>
  <c r="L844" i="20"/>
  <c r="L851" i="20"/>
  <c r="L858" i="20"/>
  <c r="L872" i="20"/>
  <c r="L879" i="20"/>
  <c r="L886" i="20"/>
  <c r="L907" i="20"/>
  <c r="L935" i="20"/>
  <c r="L963" i="20"/>
  <c r="L977" i="20"/>
  <c r="L998" i="20"/>
  <c r="L1005" i="20"/>
  <c r="L1040" i="20"/>
  <c r="L1047" i="20"/>
  <c r="L312" i="20"/>
  <c r="L291" i="20"/>
  <c r="L256" i="20"/>
  <c r="L242" i="20"/>
  <c r="L214" i="20"/>
  <c r="L158" i="20"/>
  <c r="L144" i="20"/>
  <c r="L130" i="20"/>
  <c r="L18" i="20"/>
  <c r="L11" i="20"/>
  <c r="L25" i="20"/>
  <c r="L46" i="20"/>
  <c r="L81" i="20"/>
  <c r="L88" i="20"/>
  <c r="L95" i="20"/>
  <c r="L109" i="20"/>
  <c r="L123" i="20"/>
  <c r="L165" i="20"/>
  <c r="L179" i="20"/>
  <c r="L207" i="20"/>
  <c r="L235" i="20"/>
  <c r="L249" i="20"/>
  <c r="L263" i="20"/>
  <c r="L270" i="20"/>
  <c r="L277" i="20"/>
  <c r="L284" i="20"/>
  <c r="L298" i="20"/>
  <c r="L340" i="20"/>
  <c r="L368" i="20"/>
  <c r="L375" i="20"/>
  <c r="L382" i="20"/>
  <c r="L431" i="20"/>
  <c r="L438" i="20"/>
  <c r="L39" i="20"/>
  <c r="L53" i="20"/>
  <c r="L74" i="20"/>
  <c r="L102" i="20"/>
  <c r="L151" i="20"/>
  <c r="L172" i="20"/>
  <c r="L193" i="20"/>
  <c r="L200" i="20"/>
  <c r="L228" i="20"/>
  <c r="L333" i="20"/>
  <c r="L347" i="20"/>
  <c r="L361" i="20"/>
  <c r="L403" i="20"/>
  <c r="L410" i="20"/>
  <c r="L550" i="20"/>
  <c r="L599" i="20"/>
  <c r="L655" i="20"/>
  <c r="L662" i="20"/>
  <c r="L683" i="20"/>
  <c r="L690" i="20"/>
  <c r="L711" i="20"/>
  <c r="L732" i="20"/>
  <c r="L739" i="20"/>
  <c r="L746" i="20"/>
  <c r="L914" i="20"/>
  <c r="L921" i="20"/>
  <c r="L928" i="20"/>
  <c r="L1012" i="20"/>
  <c r="L1019" i="20"/>
  <c r="L1026" i="20"/>
  <c r="L1075" i="20"/>
  <c r="L1082" i="20"/>
  <c r="L1089" i="20"/>
  <c r="L1103" i="20"/>
  <c r="L1117" i="20"/>
  <c r="L1131" i="20"/>
  <c r="L1138" i="20"/>
  <c r="L1152" i="20"/>
  <c r="L1159" i="20"/>
  <c r="L1600" i="20"/>
  <c r="L1593" i="20"/>
  <c r="L1579" i="20"/>
  <c r="L1565" i="20"/>
  <c r="L487" i="20"/>
  <c r="L494" i="20"/>
  <c r="L501" i="20"/>
  <c r="L529" i="20"/>
  <c r="L585" i="20"/>
  <c r="L606" i="20"/>
  <c r="L620" i="20"/>
  <c r="L627" i="20"/>
  <c r="L641" i="20"/>
  <c r="L669" i="20"/>
  <c r="L676" i="20"/>
  <c r="L753" i="20"/>
  <c r="L760" i="20"/>
  <c r="L767" i="20"/>
  <c r="L774" i="20"/>
  <c r="L781" i="20"/>
  <c r="L788" i="20"/>
  <c r="L809" i="20"/>
  <c r="L816" i="20"/>
  <c r="L830" i="20"/>
  <c r="L865" i="20"/>
  <c r="L893" i="20"/>
  <c r="L900" i="20"/>
  <c r="L942" i="20"/>
  <c r="L949" i="20"/>
  <c r="L956" i="20"/>
  <c r="L970" i="20"/>
  <c r="L984" i="20"/>
  <c r="L991" i="20"/>
  <c r="L1054" i="20"/>
  <c r="L1061" i="20"/>
  <c r="L1068" i="20"/>
  <c r="L1096" i="20"/>
  <c r="L1110" i="20"/>
  <c r="L1124" i="20"/>
  <c r="L1145" i="20"/>
  <c r="L1166" i="20"/>
  <c r="L1173" i="20"/>
  <c r="L1180" i="20"/>
  <c r="L1187" i="20"/>
  <c r="L1194" i="20"/>
  <c r="L1201" i="20"/>
  <c r="L1208" i="20"/>
  <c r="L1236" i="20"/>
  <c r="L1243" i="20"/>
  <c r="L1250" i="20"/>
  <c r="L1264" i="20"/>
  <c r="L1271" i="20"/>
  <c r="L1306" i="20"/>
  <c r="L1327" i="20"/>
  <c r="L1334" i="20"/>
  <c r="L1362" i="20"/>
  <c r="L1369" i="20"/>
  <c r="L1383" i="20"/>
  <c r="L1397" i="20"/>
  <c r="L1404" i="20"/>
  <c r="L1411" i="20"/>
  <c r="L1432" i="20"/>
  <c r="L1453" i="20"/>
  <c r="L1467" i="20"/>
  <c r="L1474" i="20"/>
  <c r="L1488" i="20"/>
  <c r="L1495" i="20"/>
  <c r="L1523" i="20"/>
  <c r="L1530" i="20"/>
  <c r="L1544" i="20"/>
  <c r="L1558" i="20"/>
  <c r="L1586" i="20"/>
  <c r="L1607" i="20"/>
  <c r="L1614" i="20"/>
  <c r="K1019" i="20"/>
  <c r="K1033" i="20"/>
  <c r="K1040" i="20"/>
  <c r="K1068" i="20"/>
  <c r="K1075" i="20"/>
  <c r="K1117" i="20"/>
  <c r="K1222" i="20"/>
  <c r="K1250" i="20"/>
  <c r="K1355" i="20"/>
  <c r="K1411" i="20"/>
  <c r="K1425" i="20"/>
  <c r="K1530" i="20"/>
  <c r="K1537" i="20"/>
  <c r="K1544" i="20"/>
  <c r="K1558" i="20"/>
  <c r="K1572" i="20"/>
  <c r="K1600" i="20"/>
  <c r="K60" i="20"/>
  <c r="K74" i="20"/>
  <c r="K109" i="20"/>
  <c r="K130" i="20"/>
  <c r="K165" i="20"/>
  <c r="K200" i="20"/>
  <c r="K256" i="20"/>
  <c r="K298" i="20"/>
  <c r="K326" i="20"/>
  <c r="K340" i="20"/>
  <c r="K361" i="20"/>
  <c r="K389" i="20"/>
  <c r="K424" i="20"/>
  <c r="K438" i="20"/>
  <c r="K473" i="20"/>
  <c r="K508" i="20"/>
  <c r="K529" i="20"/>
  <c r="K536" i="20"/>
  <c r="K578" i="20"/>
  <c r="K606" i="20"/>
  <c r="K655" i="20"/>
  <c r="K697" i="20"/>
  <c r="K725" i="20"/>
  <c r="K739" i="20"/>
  <c r="K760" i="20"/>
  <c r="K788" i="20"/>
  <c r="K844" i="20"/>
  <c r="K886" i="20"/>
  <c r="K921" i="20"/>
  <c r="K977" i="20"/>
  <c r="K991" i="20"/>
  <c r="K1054" i="20"/>
  <c r="K1096" i="20"/>
  <c r="K1131" i="20"/>
  <c r="K1166" i="20"/>
  <c r="K1194" i="20"/>
  <c r="K1229" i="20"/>
  <c r="K1278" i="20"/>
  <c r="K1320" i="20"/>
  <c r="K1341" i="20"/>
  <c r="K1348" i="20"/>
  <c r="K1369" i="20"/>
  <c r="K1404" i="20"/>
  <c r="K1467" i="20"/>
  <c r="K1474" i="20"/>
  <c r="K1495" i="20"/>
  <c r="K1502" i="20"/>
  <c r="K1579" i="20"/>
  <c r="K1586" i="20"/>
  <c r="K1593" i="20"/>
  <c r="K1614" i="20"/>
  <c r="K1607" i="20"/>
  <c r="K1516" i="20"/>
  <c r="K1481" i="20"/>
  <c r="K1446" i="20"/>
  <c r="K1432" i="20"/>
  <c r="K1418" i="20"/>
  <c r="K1383" i="20"/>
  <c r="K1334" i="20"/>
  <c r="K1313" i="20"/>
  <c r="K1292" i="20"/>
  <c r="K1271" i="20"/>
  <c r="K1257" i="20"/>
  <c r="K1215" i="20"/>
  <c r="K1173" i="20"/>
  <c r="K1159" i="20"/>
  <c r="K1138" i="20"/>
  <c r="K1103" i="20"/>
  <c r="K1089" i="20"/>
  <c r="K1012" i="20"/>
  <c r="K984" i="20"/>
  <c r="K956" i="20"/>
  <c r="K942" i="20"/>
  <c r="K900" i="20"/>
  <c r="K851" i="20"/>
  <c r="K823" i="20"/>
  <c r="K802" i="20"/>
  <c r="K781" i="20"/>
  <c r="K746" i="20"/>
  <c r="K676" i="20"/>
  <c r="K641" i="20"/>
  <c r="K613" i="20"/>
  <c r="K599" i="20"/>
  <c r="K564" i="20"/>
  <c r="K550" i="20"/>
  <c r="K515" i="20"/>
  <c r="K487" i="20"/>
  <c r="K445" i="20"/>
  <c r="K431" i="20"/>
  <c r="K417" i="20"/>
  <c r="K382" i="20"/>
  <c r="K305" i="20"/>
  <c r="K277" i="20"/>
  <c r="K235" i="20"/>
  <c r="K221" i="20"/>
  <c r="K207" i="20"/>
  <c r="K137" i="20"/>
  <c r="K102" i="20"/>
  <c r="K81" i="20"/>
  <c r="K67" i="20"/>
  <c r="K53" i="20"/>
  <c r="K32" i="20"/>
  <c r="K123" i="20"/>
  <c r="K18" i="20"/>
  <c r="K39" i="20"/>
  <c r="K186" i="20"/>
  <c r="K270" i="20"/>
  <c r="K284" i="20"/>
  <c r="K319" i="20"/>
  <c r="K375" i="20"/>
  <c r="K396" i="20"/>
  <c r="K410" i="20"/>
  <c r="K452" i="20"/>
  <c r="K466" i="20"/>
  <c r="K480" i="20"/>
  <c r="K522" i="20"/>
  <c r="K543" i="20"/>
  <c r="K1243" i="20"/>
  <c r="K1299" i="20"/>
  <c r="K949" i="20"/>
  <c r="K935" i="20"/>
  <c r="K928" i="20"/>
  <c r="K914" i="20"/>
  <c r="K893" i="20"/>
  <c r="K837" i="20"/>
  <c r="K795" i="20"/>
  <c r="K732" i="20"/>
  <c r="K718" i="20"/>
  <c r="K683" i="20"/>
  <c r="K669" i="20"/>
  <c r="K620" i="20"/>
  <c r="K557" i="20"/>
  <c r="K459" i="20"/>
  <c r="K403" i="20"/>
  <c r="K368" i="20"/>
  <c r="K333" i="20"/>
  <c r="K312" i="20"/>
  <c r="K291" i="20"/>
  <c r="K249" i="20"/>
  <c r="K228" i="20"/>
  <c r="K179" i="20"/>
  <c r="K172" i="20"/>
  <c r="K144" i="20"/>
  <c r="K116" i="20"/>
  <c r="K25" i="20"/>
  <c r="K585" i="20"/>
  <c r="K592" i="20"/>
  <c r="K627" i="20"/>
  <c r="K690" i="20"/>
  <c r="K704" i="20"/>
  <c r="K753" i="20"/>
  <c r="K774" i="20"/>
  <c r="K816" i="20"/>
  <c r="K858" i="20"/>
  <c r="K865" i="20"/>
  <c r="J1236" i="20"/>
  <c r="J1222" i="20"/>
  <c r="J1187" i="20"/>
  <c r="J1166" i="20"/>
  <c r="J1124" i="20"/>
  <c r="J1082" i="20"/>
  <c r="J1047" i="20"/>
  <c r="J949" i="20"/>
  <c r="J928" i="20"/>
  <c r="J1614" i="20"/>
  <c r="J1537" i="20"/>
  <c r="J1509" i="20"/>
  <c r="J1474" i="20"/>
  <c r="J1460" i="20"/>
  <c r="J1432" i="20"/>
  <c r="J1383" i="20"/>
  <c r="J1348" i="20"/>
  <c r="J1334" i="20"/>
  <c r="J1285" i="20"/>
  <c r="J1201" i="20"/>
  <c r="J1138" i="20"/>
  <c r="J1096" i="20"/>
  <c r="J1068" i="20"/>
  <c r="J1026" i="20"/>
  <c r="J970" i="20"/>
  <c r="J809" i="20"/>
  <c r="J760" i="20"/>
  <c r="J739" i="20"/>
  <c r="J718" i="20"/>
  <c r="J620" i="20"/>
  <c r="J613" i="20"/>
  <c r="J606" i="20"/>
  <c r="J592" i="20"/>
  <c r="J578" i="20"/>
  <c r="J536" i="20"/>
  <c r="J522" i="20"/>
  <c r="J508" i="20"/>
  <c r="J494" i="20"/>
  <c r="J473" i="20"/>
  <c r="J452" i="20"/>
  <c r="J431" i="20"/>
  <c r="J382" i="20"/>
  <c r="J354" i="20"/>
  <c r="J1586" i="20"/>
  <c r="J1523" i="20"/>
  <c r="J1488" i="20"/>
  <c r="J1446" i="20"/>
  <c r="J1418" i="20"/>
  <c r="J1397" i="20"/>
  <c r="J1369" i="20"/>
  <c r="J1341" i="20"/>
  <c r="J1320" i="20"/>
  <c r="J1306" i="20"/>
  <c r="J1264" i="20"/>
  <c r="J1243" i="20"/>
  <c r="J1152" i="20"/>
  <c r="J1145" i="20"/>
  <c r="J1117" i="20"/>
  <c r="J25" i="20"/>
  <c r="J32" i="20"/>
  <c r="J67" i="20"/>
  <c r="J116" i="20"/>
  <c r="J123" i="20"/>
  <c r="J130" i="20"/>
  <c r="J144" i="20"/>
  <c r="J158" i="20"/>
  <c r="J221" i="20"/>
  <c r="J235" i="20"/>
  <c r="J256" i="20"/>
  <c r="J263" i="20"/>
  <c r="J270" i="20"/>
  <c r="J277" i="20"/>
  <c r="J284" i="20"/>
  <c r="J298" i="20"/>
  <c r="J333" i="20"/>
  <c r="J347" i="20"/>
  <c r="J375" i="20"/>
  <c r="J396" i="20"/>
  <c r="J424" i="20"/>
  <c r="J459" i="20"/>
  <c r="J480" i="20"/>
  <c r="J501" i="20"/>
  <c r="J515" i="20"/>
  <c r="J550" i="20"/>
  <c r="J634" i="20"/>
  <c r="J697" i="20"/>
  <c r="J725" i="20"/>
  <c r="J753" i="20"/>
  <c r="J837" i="20"/>
  <c r="J858" i="20"/>
  <c r="J998" i="20"/>
  <c r="J1019" i="20"/>
  <c r="J1040" i="20"/>
  <c r="J1061" i="20"/>
  <c r="J1089" i="20"/>
  <c r="J1110" i="20"/>
  <c r="J1131" i="20"/>
  <c r="J1173" i="20"/>
  <c r="J1215" i="20"/>
  <c r="J1229" i="20"/>
  <c r="J1257" i="20"/>
  <c r="J1271" i="20"/>
  <c r="J1299" i="20"/>
  <c r="J1313" i="20"/>
  <c r="J1404" i="20"/>
  <c r="J1425" i="20"/>
  <c r="J1453" i="20"/>
  <c r="J1481" i="20"/>
  <c r="J1516" i="20"/>
  <c r="J1558" i="20"/>
  <c r="J1593" i="20"/>
  <c r="J1600" i="20"/>
  <c r="J1054" i="20"/>
  <c r="J1012" i="20"/>
  <c r="J991" i="20"/>
  <c r="J977" i="20"/>
  <c r="J956" i="20"/>
  <c r="J907" i="20"/>
  <c r="J886" i="20"/>
  <c r="J865" i="20"/>
  <c r="J816" i="20"/>
  <c r="J767" i="20"/>
  <c r="J704" i="20"/>
  <c r="J690" i="20"/>
  <c r="J669" i="20"/>
  <c r="J648" i="20"/>
  <c r="J599" i="20"/>
  <c r="J585" i="20"/>
  <c r="J564" i="20"/>
  <c r="J529" i="20"/>
  <c r="J487" i="20"/>
  <c r="J466" i="20"/>
  <c r="J417" i="20"/>
  <c r="J403" i="20"/>
  <c r="J368" i="20"/>
  <c r="J361" i="20"/>
  <c r="J312" i="20"/>
  <c r="J109" i="20"/>
  <c r="J102" i="20"/>
  <c r="J95" i="20"/>
  <c r="J88" i="20"/>
  <c r="J81" i="20"/>
  <c r="J74" i="20"/>
  <c r="J60" i="20"/>
  <c r="J53" i="20"/>
  <c r="J46" i="20"/>
  <c r="J4" i="20"/>
  <c r="J879" i="20"/>
  <c r="J844" i="20"/>
  <c r="J823" i="20"/>
  <c r="J788" i="20"/>
  <c r="J774" i="20"/>
  <c r="J732" i="20"/>
  <c r="J676" i="20"/>
  <c r="J655" i="20"/>
  <c r="J11" i="20"/>
  <c r="J137" i="20"/>
  <c r="J151" i="20"/>
  <c r="J179" i="20"/>
  <c r="J186" i="20"/>
  <c r="J193" i="20"/>
  <c r="J200" i="20"/>
  <c r="J207" i="20"/>
  <c r="J228" i="20"/>
  <c r="J242" i="20"/>
  <c r="J249" i="20"/>
  <c r="J291" i="20"/>
  <c r="J305" i="20"/>
  <c r="J389" i="20"/>
  <c r="J445" i="20"/>
  <c r="J543" i="20"/>
  <c r="J571" i="20"/>
  <c r="J641" i="20"/>
  <c r="J662" i="20"/>
  <c r="J711" i="20"/>
  <c r="J746" i="20"/>
  <c r="J781" i="20"/>
  <c r="J830" i="20"/>
  <c r="J851" i="20"/>
  <c r="J872" i="20"/>
  <c r="J900" i="20"/>
  <c r="J914" i="20"/>
  <c r="J942" i="20"/>
  <c r="J963" i="20"/>
  <c r="J984" i="20"/>
  <c r="J1075" i="20"/>
  <c r="J1159" i="20"/>
  <c r="J1194" i="20"/>
  <c r="J1208" i="20"/>
  <c r="J1250" i="20"/>
  <c r="J1292" i="20"/>
  <c r="J1355" i="20"/>
  <c r="J1411" i="20"/>
  <c r="J1467" i="20"/>
  <c r="J1502" i="20"/>
  <c r="J1530" i="20"/>
  <c r="J1544" i="20"/>
  <c r="J1572" i="20"/>
  <c r="I361" i="20"/>
  <c r="I382" i="20"/>
  <c r="I424" i="20"/>
  <c r="I452" i="20"/>
  <c r="I466" i="20"/>
  <c r="I494" i="20"/>
  <c r="I501" i="20"/>
  <c r="I508" i="20"/>
  <c r="I515" i="20"/>
  <c r="I529" i="20"/>
  <c r="I536" i="20"/>
  <c r="I543" i="20"/>
  <c r="I557" i="20"/>
  <c r="I641" i="20"/>
  <c r="I704" i="20"/>
  <c r="I711" i="20"/>
  <c r="I774" i="20"/>
  <c r="I781" i="20"/>
  <c r="I809" i="20"/>
  <c r="I823" i="20"/>
  <c r="I928" i="20"/>
  <c r="I935" i="20"/>
  <c r="I963" i="20"/>
  <c r="I991" i="20"/>
  <c r="I1019" i="20"/>
  <c r="I1026" i="20"/>
  <c r="I1033" i="20"/>
  <c r="I1047" i="20"/>
  <c r="I1054" i="20"/>
  <c r="I1103" i="20"/>
  <c r="I949" i="20"/>
  <c r="I956" i="20"/>
  <c r="I984" i="20"/>
  <c r="I998" i="20"/>
  <c r="I1061" i="20"/>
  <c r="I1068" i="20"/>
  <c r="I1110" i="20"/>
  <c r="I1117" i="20"/>
  <c r="I1124" i="20"/>
  <c r="I1159" i="20"/>
  <c r="I1201" i="20"/>
  <c r="I1208" i="20"/>
  <c r="I1306" i="20"/>
  <c r="I1320" i="20"/>
  <c r="I1376" i="20"/>
  <c r="I1383" i="20"/>
  <c r="I1390" i="20"/>
  <c r="I1397" i="20"/>
  <c r="I1404" i="20"/>
  <c r="I1425" i="20"/>
  <c r="I1467" i="20"/>
  <c r="I1474" i="20"/>
  <c r="I1481" i="20"/>
  <c r="I1586" i="20"/>
  <c r="I1607" i="20"/>
  <c r="I1131" i="20"/>
  <c r="I1145" i="20"/>
  <c r="I1152" i="20"/>
  <c r="I1180" i="20"/>
  <c r="I1236" i="20"/>
  <c r="I1243" i="20"/>
  <c r="I1250" i="20"/>
  <c r="I1257" i="20"/>
  <c r="I1271" i="20"/>
  <c r="I1285" i="20"/>
  <c r="I1292" i="20"/>
  <c r="I1299" i="20"/>
  <c r="I1313" i="20"/>
  <c r="I1341" i="20"/>
  <c r="I1348" i="20"/>
  <c r="I1355" i="20"/>
  <c r="I1411" i="20"/>
  <c r="I1418" i="20"/>
  <c r="I1432" i="20"/>
  <c r="I1446" i="20"/>
  <c r="I1453" i="20"/>
  <c r="I1537" i="20"/>
  <c r="I1544" i="20"/>
  <c r="I1551" i="20"/>
  <c r="I1558" i="20"/>
  <c r="I1572" i="20"/>
  <c r="I879" i="20"/>
  <c r="I858" i="20"/>
  <c r="I851" i="20"/>
  <c r="I32" i="20"/>
  <c r="I53" i="20"/>
  <c r="I67" i="20"/>
  <c r="I95" i="20"/>
  <c r="I123" i="20"/>
  <c r="I151" i="20"/>
  <c r="I214" i="20"/>
  <c r="I242" i="20"/>
  <c r="I249" i="20"/>
  <c r="I270" i="20"/>
  <c r="I291" i="20"/>
  <c r="I305" i="20"/>
  <c r="I333" i="20"/>
  <c r="I354" i="20"/>
  <c r="I410" i="20"/>
  <c r="I564" i="20"/>
  <c r="I571" i="20"/>
  <c r="I578" i="20"/>
  <c r="I585" i="20"/>
  <c r="I592" i="20"/>
  <c r="I599" i="20"/>
  <c r="I606" i="20"/>
  <c r="I627" i="20"/>
  <c r="I634" i="20"/>
  <c r="I648" i="20"/>
  <c r="I655" i="20"/>
  <c r="I662" i="20"/>
  <c r="I669" i="20"/>
  <c r="I676" i="20"/>
  <c r="I683" i="20"/>
  <c r="I690" i="20"/>
  <c r="I718" i="20"/>
  <c r="I732" i="20"/>
  <c r="I739" i="20"/>
  <c r="I788" i="20"/>
  <c r="I795" i="20"/>
  <c r="I802" i="20"/>
  <c r="I816" i="20"/>
  <c r="I830" i="20"/>
  <c r="I837" i="20"/>
  <c r="I844" i="20"/>
  <c r="I865" i="20"/>
  <c r="I872" i="20"/>
  <c r="I886" i="20"/>
  <c r="I893" i="20"/>
  <c r="I900" i="20"/>
  <c r="I907" i="20"/>
  <c r="I914" i="20"/>
  <c r="I921" i="20"/>
  <c r="I942" i="20"/>
  <c r="I970" i="20"/>
  <c r="I1012" i="20"/>
  <c r="I1040" i="20"/>
  <c r="I1075" i="20"/>
  <c r="I1089" i="20"/>
  <c r="I1096" i="20"/>
  <c r="I1166" i="20"/>
  <c r="I1187" i="20"/>
  <c r="I1194" i="20"/>
  <c r="I25" i="20"/>
  <c r="I459" i="20"/>
  <c r="I438" i="20"/>
  <c r="I403" i="20"/>
  <c r="I396" i="20"/>
  <c r="I375" i="20"/>
  <c r="I347" i="20"/>
  <c r="I319" i="20"/>
  <c r="I207" i="20"/>
  <c r="I186" i="20"/>
  <c r="I179" i="20"/>
  <c r="I165" i="20"/>
  <c r="I130" i="20"/>
  <c r="I109" i="20"/>
  <c r="I81" i="20"/>
  <c r="I18" i="20"/>
  <c r="I4" i="20"/>
  <c r="I550" i="20"/>
  <c r="I340" i="20"/>
  <c r="I326" i="20"/>
  <c r="I298" i="20"/>
  <c r="I277" i="20"/>
  <c r="I263" i="20"/>
  <c r="I172" i="20"/>
  <c r="I88" i="20"/>
  <c r="I74" i="20"/>
  <c r="I60" i="20"/>
  <c r="I39" i="20"/>
  <c r="I11" i="20"/>
  <c r="I46" i="20"/>
  <c r="I116" i="20"/>
  <c r="I137" i="20"/>
  <c r="I144" i="20"/>
  <c r="I193" i="20"/>
  <c r="I221" i="20"/>
  <c r="I228" i="20"/>
  <c r="I235" i="20"/>
  <c r="I256" i="20"/>
  <c r="H494" i="20"/>
  <c r="H522" i="20"/>
  <c r="H550" i="20"/>
  <c r="H564" i="20"/>
  <c r="H585" i="20"/>
  <c r="H613" i="20"/>
  <c r="H669" i="20"/>
  <c r="H683" i="20"/>
  <c r="H704" i="20"/>
  <c r="H718" i="20"/>
  <c r="H788" i="20"/>
  <c r="H816" i="20"/>
  <c r="H837" i="20"/>
  <c r="H865" i="20"/>
  <c r="H886" i="20"/>
  <c r="H914" i="20"/>
  <c r="H935" i="20"/>
  <c r="H949" i="20"/>
  <c r="H970" i="20"/>
  <c r="H1005" i="20"/>
  <c r="H1012" i="20"/>
  <c r="H1054" i="20"/>
  <c r="H1096" i="20"/>
  <c r="H1138" i="20"/>
  <c r="H1166" i="20"/>
  <c r="H1229" i="20"/>
  <c r="H1355" i="20"/>
  <c r="H1390" i="20"/>
  <c r="H1460" i="20"/>
  <c r="H1586" i="20"/>
  <c r="H1607" i="20"/>
  <c r="H627" i="20"/>
  <c r="H508" i="20"/>
  <c r="H480" i="20"/>
  <c r="H473" i="20"/>
  <c r="H459" i="20"/>
  <c r="H445" i="20"/>
  <c r="H641" i="20"/>
  <c r="H662" i="20"/>
  <c r="H690" i="20"/>
  <c r="H725" i="20"/>
  <c r="H746" i="20"/>
  <c r="H809" i="20"/>
  <c r="H844" i="20"/>
  <c r="H858" i="20"/>
  <c r="H872" i="20"/>
  <c r="H893" i="20"/>
  <c r="H921" i="20"/>
  <c r="H942" i="20"/>
  <c r="H998" i="20"/>
  <c r="H1019" i="20"/>
  <c r="H1040" i="20"/>
  <c r="H1068" i="20"/>
  <c r="H1110" i="20"/>
  <c r="H1187" i="20"/>
  <c r="H1208" i="20"/>
  <c r="H1215" i="20"/>
  <c r="H1257" i="20"/>
  <c r="H1264" i="20"/>
  <c r="H1278" i="20"/>
  <c r="H1299" i="20"/>
  <c r="H1313" i="20"/>
  <c r="H1334" i="20"/>
  <c r="H1341" i="20"/>
  <c r="H1425" i="20"/>
  <c r="H1446" i="20"/>
  <c r="H1467" i="20"/>
  <c r="H1495" i="20"/>
  <c r="H1509" i="20"/>
  <c r="H1530" i="20"/>
  <c r="H1544" i="20"/>
  <c r="H1558" i="20"/>
  <c r="H1593" i="20"/>
  <c r="H1537" i="20"/>
  <c r="H1516" i="20"/>
  <c r="H1474" i="20"/>
  <c r="H1453" i="20"/>
  <c r="H1432" i="20"/>
  <c r="H1418" i="20"/>
  <c r="H1383" i="20"/>
  <c r="H1362" i="20"/>
  <c r="H1348" i="20"/>
  <c r="H1292" i="20"/>
  <c r="H1285" i="20"/>
  <c r="H1222" i="20"/>
  <c r="H1180" i="20"/>
  <c r="H1145" i="20"/>
  <c r="H1033" i="20"/>
  <c r="H963" i="20"/>
  <c r="H900" i="20"/>
  <c r="H753" i="20"/>
  <c r="H732" i="20"/>
  <c r="H697" i="20"/>
  <c r="H578" i="20"/>
  <c r="H557" i="20"/>
  <c r="H515" i="20"/>
  <c r="H452" i="20"/>
  <c r="H487" i="20"/>
  <c r="H501" i="20"/>
  <c r="H529" i="20"/>
  <c r="H536" i="20"/>
  <c r="H571" i="20"/>
  <c r="H599" i="20"/>
  <c r="H620" i="20"/>
  <c r="H739" i="20"/>
  <c r="H767" i="20"/>
  <c r="H774" i="20"/>
  <c r="H781" i="20"/>
  <c r="H830" i="20"/>
  <c r="H851" i="20"/>
  <c r="H879" i="20"/>
  <c r="H928" i="20"/>
  <c r="H956" i="20"/>
  <c r="H991" i="20"/>
  <c r="H1047" i="20"/>
  <c r="H1117" i="20"/>
  <c r="H1152" i="20"/>
  <c r="H1159" i="20"/>
  <c r="H1173" i="20"/>
  <c r="H1236" i="20"/>
  <c r="H1306" i="20"/>
  <c r="H1320" i="20"/>
  <c r="H1397" i="20"/>
  <c r="H1411" i="20"/>
  <c r="H1488" i="20"/>
  <c r="H1551" i="20"/>
  <c r="H1565" i="20"/>
  <c r="H1579" i="20"/>
  <c r="H1600" i="20"/>
  <c r="F137" i="20"/>
  <c r="F557" i="20"/>
  <c r="F550" i="20"/>
  <c r="E1544" i="20"/>
  <c r="E1173" i="20"/>
  <c r="D1544" i="20"/>
  <c r="D550" i="20"/>
  <c r="D3" i="20" s="1"/>
  <c r="C1544" i="20"/>
  <c r="C3" i="20" s="1"/>
  <c r="N3" i="20" l="1"/>
  <c r="K3" i="20"/>
  <c r="U3" i="20"/>
  <c r="W3" i="20"/>
  <c r="J3" i="20"/>
  <c r="I3" i="20"/>
  <c r="S3" i="20"/>
  <c r="H3" i="20"/>
  <c r="F3" i="20"/>
</calcChain>
</file>

<file path=xl/sharedStrings.xml><?xml version="1.0" encoding="utf-8"?>
<sst xmlns="http://schemas.openxmlformats.org/spreadsheetml/2006/main" count="4376" uniqueCount="309">
  <si>
    <t>Ключ</t>
  </si>
  <si>
    <t>Шифр/объект</t>
  </si>
  <si>
    <t xml:space="preserve"> 4214.00.П.04.ГРП.004.000.ВК.</t>
  </si>
  <si>
    <t xml:space="preserve"> 4214.00.П.04.ГРП.004.000.Т.</t>
  </si>
  <si>
    <t xml:space="preserve"> 4214.00.П.04.ГРП.004.003.АС</t>
  </si>
  <si>
    <t xml:space="preserve"> 4214.00.П.04.ГРП.004.004.АС</t>
  </si>
  <si>
    <t xml:space="preserve"> 4214.00.П.04.ГРП.004.004.ТХ</t>
  </si>
  <si>
    <t xml:space="preserve"> 4214.00.П.04.ГРП.004.008.АС.</t>
  </si>
  <si>
    <t xml:space="preserve"> 4214.00.П.04.ГРП.004.014.АС</t>
  </si>
  <si>
    <t xml:space="preserve"> 4214.00.П.04.ГРП.004.014.ВК</t>
  </si>
  <si>
    <t xml:space="preserve"> 4214.00.П.04.ГРП.004.021.АС.</t>
  </si>
  <si>
    <t xml:space="preserve"> 4214.00.П.04.ГРП.004.022.АС.</t>
  </si>
  <si>
    <t xml:space="preserve"> 4214.00.П.04.ГРП.004.022.ТХ.</t>
  </si>
  <si>
    <t xml:space="preserve"> 4214.00.П.04.ГРП.004.025.АС.</t>
  </si>
  <si>
    <t xml:space="preserve"> 4214.00.П.04.ГРП.004.025.Т.</t>
  </si>
  <si>
    <t xml:space="preserve"> 4214.01.П.04.ВЭЛ.000.000.ЭВ.</t>
  </si>
  <si>
    <t xml:space="preserve"> 4214.1.П.04.ГРП.4.000.ЭХЗ.ВР</t>
  </si>
  <si>
    <t xml:space="preserve"> 4214.2.Р.04.ШГ.4.000.Л.000</t>
  </si>
  <si>
    <t xml:space="preserve"> 4214.2.Р.04.ШГ.4.000.ЭХЗ.2.000</t>
  </si>
  <si>
    <t>0704.019.Р.14/0.0004.КСПХГ.000.23203.188-АК</t>
  </si>
  <si>
    <t>0704.019.Р.14_0.0004.КСПХГ.000.23203.188-ТХ</t>
  </si>
  <si>
    <t xml:space="preserve">0704.019.Р.14_0.0004.КСПХГ.000.31156.051-АТХ </t>
  </si>
  <si>
    <t>0704.019.Р.14_0.0004.КСПХГ.000.31156.051-ТХ</t>
  </si>
  <si>
    <t>0704.019.Р.14_0.0004.КСПХГ.000.31610.000-ИК1</t>
  </si>
  <si>
    <t>0704.019.Р.14_0.0004.КСПХГ.000.37504.51а-ТХ</t>
  </si>
  <si>
    <t>0704.019.Р.9/0.0004.КСПХГ.000.30505.000-ТС1</t>
  </si>
  <si>
    <t>0704.019.Р.9_0.0004.КСПХГ.000.23201.191-ТХ</t>
  </si>
  <si>
    <t>0704.019.Р.9_0.0004.КСПХГ.000.31110.194-ТХ</t>
  </si>
  <si>
    <t>0704.019.Р.9_0.0004.КСПХГ.000.31122.193-ТХ</t>
  </si>
  <si>
    <t>0704.019.Р.9_0.0004.КСПХГ.000.31131.189-ТХ</t>
  </si>
  <si>
    <t>0704.019.Р.9_0.0004.КСПХГ.000.31606.000-ТХ</t>
  </si>
  <si>
    <t>0704.019.Р.9_0.0004.КСПХГ.000.31610.000-ИК2</t>
  </si>
  <si>
    <t>0704.019.Р.9_0.0004.КСПХГ.000.34601.192-ТХ</t>
  </si>
  <si>
    <t>0704.019.Р.9_0.0004.КСПХГ.000.37802.190-ТХ</t>
  </si>
  <si>
    <t>4214.006.Р.2022.1251.КСПХГ.000.211.АС</t>
  </si>
  <si>
    <t>4214.2.00.Р.04.КСПХГ.000.105.АТ</t>
  </si>
  <si>
    <t>4214.2.Р.04.ВЭЛ.000.000.АС3</t>
  </si>
  <si>
    <t>4214.2.Р.04.ВЭЛ.000.000.ЭВ3</t>
  </si>
  <si>
    <t>4214.2.Р.04.КСПХГ.000.000.АС</t>
  </si>
  <si>
    <t>4214.2.Р.04.КСПХГ.000.000.АС1</t>
  </si>
  <si>
    <t>4214.2.Р.04.КСПХГ.000.000.АС10</t>
  </si>
  <si>
    <t>4214.2.Р.04.КСПХГ.000.000.АС11</t>
  </si>
  <si>
    <t>4214.2.Р.04.КСПХГ.000.000.АС3</t>
  </si>
  <si>
    <t>4214.2.Р.04.КСПХГ.000.000.АС4</t>
  </si>
  <si>
    <t>4214.2.Р.04.КСПХГ.000.000.АС5</t>
  </si>
  <si>
    <t>4214.2.Р.04.КСПХГ.000.000.АС6</t>
  </si>
  <si>
    <t>4214.2.Р.04.КСПХГ.000.000.АС7</t>
  </si>
  <si>
    <t>4214.2.Р.04.КСПХГ.000.000.АС8</t>
  </si>
  <si>
    <t>4214.2.Р.04.КСПХГ.000.000.АС9</t>
  </si>
  <si>
    <t>4214.2.Р.04.КСПХГ.000.000.АСУ</t>
  </si>
  <si>
    <t>4214.2.Р.04.КСПХГ.000.000.АСУЭ</t>
  </si>
  <si>
    <t>4214.2.Р.04.КСПХГ.000.000.АТ</t>
  </si>
  <si>
    <t>4214.2.Р.04.КСПХГ.000.000.ГП</t>
  </si>
  <si>
    <t>4214.2.Р.04.КСПХГ.000.000.НВК</t>
  </si>
  <si>
    <t>4214.2.Р.04.КСПХГ.000.000.НВК1</t>
  </si>
  <si>
    <t>4214.2.Р.04.КСПХГ.000.000.ПС</t>
  </si>
  <si>
    <t>4214.2.Р.04.КСПХГ.000.000.СПБА</t>
  </si>
  <si>
    <t>4214.2.Р.04.КСПХГ.000.000.Т</t>
  </si>
  <si>
    <t>4214.2.Р.04.КСПХГ.000.000.ТК1</t>
  </si>
  <si>
    <t>4214.2.Р.04.КСПХГ.000.000.ТК2</t>
  </si>
  <si>
    <t>4214.2.Р.04.КСПХГ.000.000.ТК3</t>
  </si>
  <si>
    <t>4214.2.Р.04.КСПХГ.000.106.АТ</t>
  </si>
  <si>
    <t>4214.2.Р.04.КСПХГ.000.188.АС</t>
  </si>
  <si>
    <t>4214.2.Р.04.КСПХГ.000.188.АТ</t>
  </si>
  <si>
    <t>4214.2.Р.04.КСПХГ.000.188.ВК</t>
  </si>
  <si>
    <t>4214.2.Р.04.КСПХГ.000.188.ГТ</t>
  </si>
  <si>
    <t>4214.2.Р.04.КСПХГ.000.188.КМ</t>
  </si>
  <si>
    <t>4214.2.Р.04.КСПХГ.000.188.КМ1</t>
  </si>
  <si>
    <t>4214.2.Р.04.КСПХГ.000.188.ОВ</t>
  </si>
  <si>
    <t>4214.2.Р.04.КСПХГ.000.188.ОФ</t>
  </si>
  <si>
    <t>4214.2.Р.04.КСПХГ.000.188.ПС</t>
  </si>
  <si>
    <t>4214.2.Р.04.КСПХГ.000.188.СОП</t>
  </si>
  <si>
    <t>4214.2.Р.04.КСПХГ.000.188.СПБА</t>
  </si>
  <si>
    <t>4214.2.Р.04.КСПХГ.000.188.СС</t>
  </si>
  <si>
    <t>4214.2.Р.04.КСПХГ.000.188.Т</t>
  </si>
  <si>
    <t>4214.2.Р.04.КСПХГ.000.188.ЭМ</t>
  </si>
  <si>
    <t>4214.2.Р.04.КСПХГ.000.188.ЭО</t>
  </si>
  <si>
    <t>4214.2.Р.04.КСПХГ.000.189.АТХ</t>
  </si>
  <si>
    <t>4214.2.Р.04.КСПХГ.000.189.Т1</t>
  </si>
  <si>
    <t>4214.2.Р.04.КСПХГ.000.190.АС</t>
  </si>
  <si>
    <t>4214.2.Р.04.КСПХГ.000.190.Т</t>
  </si>
  <si>
    <t>4214.2.Р.04.КСПХГ.000.191.АС</t>
  </si>
  <si>
    <t>4214.2.Р.04.КСПХГ.000.191.ОВ</t>
  </si>
  <si>
    <t>4214.2.Р.04.КСПХГ.000.191.ПС</t>
  </si>
  <si>
    <t>4214.2.Р.04.КСПХГ.000.191.СОП</t>
  </si>
  <si>
    <t>4214.2.Р.04.КСПХГ.000.191.СПБА</t>
  </si>
  <si>
    <t>4214.2.Р.04.КСПХГ.000.191.СС</t>
  </si>
  <si>
    <t>4214.2.Р.04.КСПХГ.000.191.Т</t>
  </si>
  <si>
    <t>4214.2.Р.04.КСПХГ.000.191.ЭМ</t>
  </si>
  <si>
    <t>4214.2.Р.04.КСПХГ.000.192.АС</t>
  </si>
  <si>
    <t>4214.2.Р.04.КСПХГ.000.192.Т</t>
  </si>
  <si>
    <t>4214.2.Р.04.КСПХГ.000.193.АС</t>
  </si>
  <si>
    <t>4214.2.Р.04.КСПХГ.000.193.АТ</t>
  </si>
  <si>
    <t>4214.2.Р.04.КСПХГ.000.193.Т</t>
  </si>
  <si>
    <t>4214.2.Р.04.КСПХГ.000.193.ТС</t>
  </si>
  <si>
    <t>4214.2.Р.04.КСПХГ.000.194.АС</t>
  </si>
  <si>
    <t>4214.2.Р.04.КСПХГ.000.194.АТ</t>
  </si>
  <si>
    <t>4214.2.Р.04.КСПХГ.000.194.Т</t>
  </si>
  <si>
    <t>4214.2.Р.04.КСПХГ.000.194.ТС</t>
  </si>
  <si>
    <t>4214.2.Р.04.КСПХГ.000.202.АС</t>
  </si>
  <si>
    <t>4214.2.Р.04.КСПХГ.000.202.АТ</t>
  </si>
  <si>
    <t>4214.2.Р.04.КСПХГ.000.202.АТ1</t>
  </si>
  <si>
    <t>4214.2.Р.04.КСПХГ.000.202.ВК</t>
  </si>
  <si>
    <t>4214.2.Р.04.КСПХГ.000.202.ГТ</t>
  </si>
  <si>
    <t>4214.2.Р.04.КСПХГ.000.202.ОВ</t>
  </si>
  <si>
    <t>4214.2.Р.04.КСПХГ.000.202.ПС</t>
  </si>
  <si>
    <t>4214.2.Р.04.КСПХГ.000.202.СОП</t>
  </si>
  <si>
    <t>4214.2.Р.04.КСПХГ.000.202.СПБА</t>
  </si>
  <si>
    <t>4214.2.Р.04.КСПХГ.000.202.СС</t>
  </si>
  <si>
    <t>4214.2.Р.04.КСПХГ.000.202.ЭМ</t>
  </si>
  <si>
    <t>4214.2.Р.04.КСПХГ.000.206.АС</t>
  </si>
  <si>
    <t>4214.2.Р.04.КСПХГ.000.209.АС</t>
  </si>
  <si>
    <t>4214.2.Р.04.КСПХГ.000.209.АС1</t>
  </si>
  <si>
    <t>4214.2.Р.04.КСПХГ.000.209.АТ</t>
  </si>
  <si>
    <t>4214.2.Р.04.КСПХГ.000.209.ТС</t>
  </si>
  <si>
    <t>4214.2.Р.04.КСПХГ.000.209.ТХ</t>
  </si>
  <si>
    <t>4214.2.Р.04.КСПХГ.000.210.АС</t>
  </si>
  <si>
    <t>4214.2.Р.04.КСПХГ.000.212.АС</t>
  </si>
  <si>
    <t>4214.2.Р.04.КСПХГ.000.213.АС</t>
  </si>
  <si>
    <t>4214.2.Р.04.КСПХГ.000.214.АС</t>
  </si>
  <si>
    <t>4214.2.Р.04.КСПХГ.000.215.АС</t>
  </si>
  <si>
    <t>4214.2.Р.04.КСПХГ.000.216.АС</t>
  </si>
  <si>
    <t>4214.2.Р.04.КСПХГ.000.217.АС</t>
  </si>
  <si>
    <t>4214.2.Р.04.КСПХГ.000.218.АС</t>
  </si>
  <si>
    <t>4214.2.Р.04.КСПХГ.000.219.АС</t>
  </si>
  <si>
    <t>4214.2.Р.04.КСПХГ.000.221.АС</t>
  </si>
  <si>
    <t>4214.2.Р.04.КСПХГ.000.222.АС</t>
  </si>
  <si>
    <t>4214.2.Р.04.КСПХГ.000.223.АС</t>
  </si>
  <si>
    <t>4214.2.Р.04.КСПХГ.000.224.АС</t>
  </si>
  <si>
    <t>4214.2.Р.04.КСПХГ.000.51.АС</t>
  </si>
  <si>
    <t>4214.2.Р.04.КСПХГ.000.51.Т</t>
  </si>
  <si>
    <t>4214.2.Р.04.КСПХГ.000.51а.АС</t>
  </si>
  <si>
    <t>4214.2.Р.04.КСПХГ.000.51а.Т</t>
  </si>
  <si>
    <t>4214.2.Р.04.КСПХГ.189.АС</t>
  </si>
  <si>
    <t>4214.2.Р.04.КСПХГ.189.ТС</t>
  </si>
  <si>
    <t>4214.2.Р.04.КСПХГ.191.АТ</t>
  </si>
  <si>
    <t>4214.2.Р.04.КСПХГ.191.АТ1</t>
  </si>
  <si>
    <t>4214.2.Р.04.КСПХГ.191.ВК</t>
  </si>
  <si>
    <t>4214.2.Р.04.КСПХГ.191.ГТ</t>
  </si>
  <si>
    <t>4214.2.Р.04.КСПХГ.191.КМ</t>
  </si>
  <si>
    <t>4214.2.Р.04.КСПХГ.191.КМ1</t>
  </si>
  <si>
    <t>4214.2.Р.04.КСПХГ.191.ОФ</t>
  </si>
  <si>
    <t>4214.2.Р.04.КСПХГ.191.ЭО</t>
  </si>
  <si>
    <t>4214.2.Р.04.Шг.4.000.АС10</t>
  </si>
  <si>
    <t>4214.2.Р.04.Шг.4.000.АС11</t>
  </si>
  <si>
    <t>4214.2.Р.04.Шг.4.000.АС12</t>
  </si>
  <si>
    <t>4214.2.Р.04.Шг.4.000.АС13</t>
  </si>
  <si>
    <t>4214.2.Р.04.Шг.4.000.АС14</t>
  </si>
  <si>
    <t>4214.2.Р.04.Шг.4.000.АС15</t>
  </si>
  <si>
    <t>4214.2.Р.04.Шг.4.000.АС16</t>
  </si>
  <si>
    <t>4214.2.Р.04.Шг.4.000.АС17</t>
  </si>
  <si>
    <t>4214.2.Р.04.Шг.4.000.АС18</t>
  </si>
  <si>
    <t>4214.2.Р.04.Шг.4.000.АС19</t>
  </si>
  <si>
    <t>4214.2.Р.04.Шг.4.000.АС20</t>
  </si>
  <si>
    <t>4214.2.Р.04.Шг.4.000.АС21</t>
  </si>
  <si>
    <t>4214.2.Р.04.Шг.4.000.АС22</t>
  </si>
  <si>
    <t>4214.2.Р.04.Шг.4.000.АС23</t>
  </si>
  <si>
    <t>4214.2.Р.04.Шг.4.000.АС24</t>
  </si>
  <si>
    <t>4214.2.Р.04.Шг.4.000.АС25</t>
  </si>
  <si>
    <t>4214.2.Р.04.Шг.4.000.АС8</t>
  </si>
  <si>
    <t>4214.2.Р.04.Шг.4.000.АС9</t>
  </si>
  <si>
    <t>4214.2.Р.04.Шг.4.000.ГП1</t>
  </si>
  <si>
    <t>4214.2.Р.04.Шг.4.000.ГП10</t>
  </si>
  <si>
    <t>4214.2.Р.04.Шг.4.000.ГП11</t>
  </si>
  <si>
    <t>4214.2.Р.04.Шг.4.000.ГП12</t>
  </si>
  <si>
    <t>4214.2.Р.04.Шг.4.000.ГП13</t>
  </si>
  <si>
    <t>4214.2.Р.04.Шг.4.000.ГП14</t>
  </si>
  <si>
    <t>4214.2.Р.04.Шг.4.000.ГП15</t>
  </si>
  <si>
    <t>4214.2.Р.04.Шг.4.000.ГП16</t>
  </si>
  <si>
    <t>4214.2.Р.04.Шг.4.000.ГП17</t>
  </si>
  <si>
    <t>4214.2.Р.04.Шг.4.000.ГП18</t>
  </si>
  <si>
    <t>4214.2.Р.04.Шг.4.000.ГП19</t>
  </si>
  <si>
    <t>4214.2.Р.04.Шг.4.000.ГП2</t>
  </si>
  <si>
    <t>4214.2.Р.04.Шг.4.000.ГП3</t>
  </si>
  <si>
    <t>4214.2.Р.04.Шг.4.000.ГП4</t>
  </si>
  <si>
    <t>4214.2.Р.04.Шг.4.000.ГП5</t>
  </si>
  <si>
    <t>4214.2.Р.04.Шг.4.000.ГП6</t>
  </si>
  <si>
    <t>4214.2.Р.04.Шг.4.000.ГП7</t>
  </si>
  <si>
    <t>4214.2.Р.04.Шг.4.000.ГП8</t>
  </si>
  <si>
    <t>4214.2.Р.04.Шг.4.000.ГП9</t>
  </si>
  <si>
    <t>4214.2.Р.04.Шг.4.000.ЭГ10</t>
  </si>
  <si>
    <t>4214.2.Р.04.Шг.4.000.ЭГ11</t>
  </si>
  <si>
    <t>4214.2.Р.04.Шг.4.000.ЭГ12</t>
  </si>
  <si>
    <t>4214.2.Р.04.Шг.4.000.ЭГ13</t>
  </si>
  <si>
    <t>4214.2.Р.04.Шг.4.000.ЭГ14</t>
  </si>
  <si>
    <t>4214.2.Р.04.Шг.4.000.ЭГ15</t>
  </si>
  <si>
    <t>4214.2.Р.04.Шг.4.000.ЭГ16</t>
  </si>
  <si>
    <t>4214.2.Р.04.Шг.4.000.ЭГ17</t>
  </si>
  <si>
    <t>4214.2.Р.04.Шг.4.000.ЭГ18</t>
  </si>
  <si>
    <t>4214.2.Р.04.Шг.4.000.ЭГ19</t>
  </si>
  <si>
    <t>4214.2.Р.04.Шг.4.000.ЭГ20</t>
  </si>
  <si>
    <t>4214.2.Р.04.Шг.4.000.ЭГ21</t>
  </si>
  <si>
    <t>4214.2.Р.04.Шг.4.000.ЭГ22</t>
  </si>
  <si>
    <t>4214.2.Р.04.Шг.4.000.ЭГ5</t>
  </si>
  <si>
    <t>4214.2.Р.04.Шг.4.000.ЭГ6</t>
  </si>
  <si>
    <t>4214.2.Р.04.Шг.4.000.ЭГ7</t>
  </si>
  <si>
    <t>4214.2.Р.04.Шг.4.000.ЭГ8</t>
  </si>
  <si>
    <t>4214.2.Р.04.Шг.4.000.ЭГ9</t>
  </si>
  <si>
    <t>4214.2.Р.04.Шг.4.000.ЭМ1</t>
  </si>
  <si>
    <t>4214.2.Р.04.Шг.4.000.ЭМ10</t>
  </si>
  <si>
    <t>4214.2.Р.04.Шг.4.000.ЭМ11</t>
  </si>
  <si>
    <t>4214.2.Р.04.Шг.4.000.ЭМ12</t>
  </si>
  <si>
    <t>4214.2.Р.04.Шг.4.000.ЭМ13</t>
  </si>
  <si>
    <t>4214.2.Р.04.Шг.4.000.ЭМ14</t>
  </si>
  <si>
    <t>4214.2.Р.04.Шг.4.000.ЭМ15</t>
  </si>
  <si>
    <t>4214.2.Р.04.Шг.4.000.ЭМ16</t>
  </si>
  <si>
    <t>4214.2.Р.04.Шг.4.000.ЭМ17</t>
  </si>
  <si>
    <t>4214.2.Р.04.Шг.4.000.ЭМ18</t>
  </si>
  <si>
    <t>4214.2.Р.04.Шг.4.000.ЭМ19</t>
  </si>
  <si>
    <t>4214.2.Р.04.Шг.4.000.ЭМ2</t>
  </si>
  <si>
    <t>4214.2.Р.04.Шг.4.000.ЭМ3</t>
  </si>
  <si>
    <t>4214.2.Р.04.Шг.4.000.ЭМ4</t>
  </si>
  <si>
    <t>4214.2.Р.04.Шг.4.000.ЭМ5</t>
  </si>
  <si>
    <t>4214.2.Р.04.Шг.4.000.ЭМ6</t>
  </si>
  <si>
    <t>4214.2.Р.04.Шг.4.000.ЭМ7</t>
  </si>
  <si>
    <t>4214.2.Р.04.Шг.4.000.ЭМ8</t>
  </si>
  <si>
    <t>4214.2.Р.04.Шг.4.000.ЭМ9</t>
  </si>
  <si>
    <t>4214.2.Р.КСПХГ.000.000.ЭС1</t>
  </si>
  <si>
    <t>4214К.00.Р.04.КСПХГ.000.000.АТС</t>
  </si>
  <si>
    <t>4214К.00.Р.04.КСПХГ.000.000.ДС</t>
  </si>
  <si>
    <t>4214К.00.Р.04.КСПХГ.000.000.СС</t>
  </si>
  <si>
    <t>4214К.00.Р.04.КСПХГ.000.0000.БСЭ</t>
  </si>
  <si>
    <t>4214К.00.Р.04.КСПХГ.000.ЭОК</t>
  </si>
  <si>
    <t>4214К.00.Р.04.КСПХГ.000.ЭС2</t>
  </si>
  <si>
    <t>4214К.00.Р.04.КСПХГ.000.ЭХЗ</t>
  </si>
  <si>
    <t>4214К.00.Р.04.Шг.2.000.Л1</t>
  </si>
  <si>
    <t>ГРП2 Скважины</t>
  </si>
  <si>
    <t>ГРП4(штаб)</t>
  </si>
  <si>
    <t>ГРП4/Городок</t>
  </si>
  <si>
    <t>ЕСПХГ</t>
  </si>
  <si>
    <t>Крановый узел(импульсный газ ) ГРП2</t>
  </si>
  <si>
    <t>КСПХГ</t>
  </si>
  <si>
    <t>Склад ФДС г.Энгельс</t>
  </si>
  <si>
    <t>Трамвай маршрут №9</t>
  </si>
  <si>
    <t>№ п.п.</t>
  </si>
  <si>
    <t>Марка, модель ТС</t>
  </si>
  <si>
    <t>Гос.ном.знак</t>
  </si>
  <si>
    <t>Собственник</t>
  </si>
  <si>
    <t>Часы</t>
  </si>
  <si>
    <t>Шифр</t>
  </si>
  <si>
    <t>Вид. р.</t>
  </si>
  <si>
    <t>Е 066 КМ 164</t>
  </si>
  <si>
    <t>ООО ФДС</t>
  </si>
  <si>
    <t>Л</t>
  </si>
  <si>
    <t>Д</t>
  </si>
  <si>
    <t>З</t>
  </si>
  <si>
    <t>М</t>
  </si>
  <si>
    <t>Х 726 СХ 797</t>
  </si>
  <si>
    <t>0634 АА 64</t>
  </si>
  <si>
    <t>К 098 ВК 164</t>
  </si>
  <si>
    <t>А 347 ЕМ 164</t>
  </si>
  <si>
    <t>6038 СМ 64</t>
  </si>
  <si>
    <t>Н 499 ОК 65</t>
  </si>
  <si>
    <t>К 054 ВК 164</t>
  </si>
  <si>
    <t>К 327 ЕА 164</t>
  </si>
  <si>
    <t>А 184 МО 164</t>
  </si>
  <si>
    <t>К 259 ХА 164</t>
  </si>
  <si>
    <t>ООО УТТиСТ</t>
  </si>
  <si>
    <t>Р 552 ТО 197</t>
  </si>
  <si>
    <t>1678 РВ 64</t>
  </si>
  <si>
    <t>0433 СЕ 64</t>
  </si>
  <si>
    <t>А 129 МО 164</t>
  </si>
  <si>
    <t>2688 РВ 64</t>
  </si>
  <si>
    <t>ООО СССР</t>
  </si>
  <si>
    <t>Е 996 ЕН 164</t>
  </si>
  <si>
    <t>В 391 МХ 797</t>
  </si>
  <si>
    <t>Н 307 ОК 65</t>
  </si>
  <si>
    <t>О 285 МС 11</t>
  </si>
  <si>
    <t>К 222 ХА 164</t>
  </si>
  <si>
    <t>В 483 УХ 64</t>
  </si>
  <si>
    <t>К 280 ХА 164</t>
  </si>
  <si>
    <t>К782ХН164</t>
  </si>
  <si>
    <t>Е547ЕТ164</t>
  </si>
  <si>
    <t>К251ХА164</t>
  </si>
  <si>
    <t>Монтажные работы</t>
  </si>
  <si>
    <t>Демонтажные работы</t>
  </si>
  <si>
    <t>П</t>
  </si>
  <si>
    <t>Погрузка, перевозка</t>
  </si>
  <si>
    <t>Перевозка людей</t>
  </si>
  <si>
    <t>Земляные работы</t>
  </si>
  <si>
    <t>Трал (арендная техника)</t>
  </si>
  <si>
    <t>-</t>
  </si>
  <si>
    <t>Отработано часов:</t>
  </si>
  <si>
    <t>Renault Duster (Е 066 КМ 164)</t>
  </si>
  <si>
    <t>КАМАЗ длинномер К1Е1А6 с КМУ (Х 726 СХ 797)</t>
  </si>
  <si>
    <t>Экскаватор погрузчик JCB (0634 АА 64)</t>
  </si>
  <si>
    <t>Автобус ПАЗ (30 мест) (К 098 ВК 164)</t>
  </si>
  <si>
    <t>МАЗ 6501В9-8420-000 (Грузовой самосвал) (А 347 ЕМ 164)</t>
  </si>
  <si>
    <t>Виброкаток Bomag BMP 8500 1,6т (6038 СМ 64)</t>
  </si>
  <si>
    <t>FAW (Бортовой с КМУ 7т) (Н 499 ОК 65)</t>
  </si>
  <si>
    <t>УАЗ Профи (К 054 ВК 164)</t>
  </si>
  <si>
    <t>Ford Tranzit (К 327 ЕА 164)</t>
  </si>
  <si>
    <t>УАЗ Патриот (А 184 МО 164)</t>
  </si>
  <si>
    <t>Камаз 658610-05 (Бортовой с КМУ) (К 259 ХА 164)</t>
  </si>
  <si>
    <t>Кран автомобильный КС-55713-4 " Галичанин" КАМАЗ (25т) (Р 552 ТО 197)</t>
  </si>
  <si>
    <t>Фронтальный погрузчик LIEBHERR (1678 РВ 64)</t>
  </si>
  <si>
    <t>Виброкаток Bomag BMP 8500 1,6т (0433 СЕ 64)</t>
  </si>
  <si>
    <t>Кран автомобильный «Галичанин» КС 55713-5В (25т) (А 129 МО 164)</t>
  </si>
  <si>
    <t>Колесный полноворотный экскаватор (2688 РВ 64)</t>
  </si>
  <si>
    <t>ГA3 ГАЗель БИЗНЕС (Е 996 ЕН 164)</t>
  </si>
  <si>
    <t>Исузу (Грузовой самосвал) (В 391 МХ 797)</t>
  </si>
  <si>
    <t>FAW (Бортовой с КМУ 7т) (Н 307 ОК 65)</t>
  </si>
  <si>
    <t>КАМАЗ-43118-10 (Миксер) (О 285 МС 11)</t>
  </si>
  <si>
    <t>Соболь (7 мест) (К 222 ХА 164)</t>
  </si>
  <si>
    <t>Грузовой тягач седельный КАМАЗ 44108-RF (длиномер) (В 483 УХ 64)</t>
  </si>
  <si>
    <t>Камаз 658610-05 (Бортовой с КМУ) (К 280 ХА 164)</t>
  </si>
  <si>
    <t>УАЗ Профи (К782ХН164)</t>
  </si>
  <si>
    <t>АУЗ Патриот (Е547ЕТ164)</t>
  </si>
  <si>
    <t>Камаз 667-511-300 (Бортовой с КМУ) (К251ХА164)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</si>
</sst>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mmmm\ yyyy;@"/>
    <numFmt numFmtId="165" formatCode="[$-419]General"/>
    <numFmt numFmtId="166" formatCode="dd/mm"/>
    <numFmt numFmtId="167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i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rgb="FFFFFFFF"/>
      <name val="Calibri"/>
      <family val="2"/>
      <charset val="204"/>
      <scheme val="minor"/>
    </font>
    <font>
      <b/>
      <i/>
      <sz val="11"/>
      <color rgb="FF000000"/>
      <name val="Calibri"/>
      <family val="2"/>
      <charset val="204"/>
      <scheme val="minor"/>
    </font>
    <font>
      <b/>
      <i/>
      <sz val="10"/>
      <color rgb="FFFF0000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  <font>
      <b/>
      <i/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B384B"/>
        <bgColor indexed="64"/>
      </patternFill>
    </fill>
    <fill>
      <patternFill patternType="solid">
        <fgColor rgb="FF2B384B"/>
        <bgColor theme="4" tint="0.79998168889431442"/>
      </patternFill>
    </fill>
    <fill>
      <patternFill patternType="solid">
        <fgColor rgb="FF26262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2" fillId="0" borderId="0"/>
    <xf numFmtId="165" fontId="7" fillId="0" borderId="0" applyBorder="0" applyProtection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vertical="center"/>
    </xf>
    <xf numFmtId="164" fontId="4" fillId="2" borderId="4" xfId="1" applyNumberFormat="1" applyFont="1" applyFill="1" applyBorder="1" applyAlignment="1">
      <alignment vertical="center"/>
    </xf>
    <xf numFmtId="164" fontId="4" fillId="2" borderId="5" xfId="1" applyNumberFormat="1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vertical="center"/>
    </xf>
    <xf numFmtId="164" fontId="4" fillId="2" borderId="6" xfId="1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6" fontId="8" fillId="2" borderId="1" xfId="1" applyNumberFormat="1" applyFont="1" applyFill="1" applyBorder="1" applyAlignment="1">
      <alignment horizontal="center" vertical="center" textRotation="90"/>
    </xf>
    <xf numFmtId="166" fontId="8" fillId="2" borderId="6" xfId="1" applyNumberFormat="1" applyFont="1" applyFill="1" applyBorder="1" applyAlignment="1">
      <alignment horizontal="center" vertical="center" textRotation="90"/>
    </xf>
    <xf numFmtId="166" fontId="8" fillId="2" borderId="5" xfId="1" applyNumberFormat="1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vertical="center" wrapText="1"/>
    </xf>
    <xf numFmtId="3" fontId="10" fillId="2" borderId="6" xfId="0" applyNumberFormat="1" applyFont="1" applyFill="1" applyBorder="1" applyAlignment="1">
      <alignment horizontal="center" vertical="center" wrapText="1"/>
    </xf>
    <xf numFmtId="167" fontId="10" fillId="2" borderId="5" xfId="0" applyNumberFormat="1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vertical="center" wrapText="1"/>
    </xf>
    <xf numFmtId="167" fontId="10" fillId="2" borderId="6" xfId="0" applyNumberFormat="1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167" fontId="0" fillId="2" borderId="0" xfId="0" applyNumberFormat="1" applyFill="1"/>
    <xf numFmtId="0" fontId="11" fillId="5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left" vertical="center"/>
    </xf>
    <xf numFmtId="167" fontId="13" fillId="2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/>
    </xf>
    <xf numFmtId="165" fontId="15" fillId="2" borderId="1" xfId="2" applyFont="1" applyFill="1" applyBorder="1" applyAlignment="1">
      <alignment horizontal="center" vertical="center" wrapText="1"/>
    </xf>
    <xf numFmtId="165" fontId="15" fillId="2" borderId="1" xfId="2" applyFon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horizontal="center" vertical="center" wrapText="1"/>
    </xf>
    <xf numFmtId="14" fontId="6" fillId="2" borderId="4" xfId="0" applyNumberFormat="1" applyFont="1" applyFill="1" applyBorder="1" applyAlignment="1">
      <alignment horizontal="center" vertical="center" wrapText="1"/>
    </xf>
    <xf numFmtId="14" fontId="6" fillId="2" borderId="5" xfId="0" applyNumberFormat="1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6" borderId="8" xfId="0" applyNumberFormat="1" applyFont="1" applyFill="1" applyBorder="1" applyAlignment="1">
      <alignment horizontal="center" vertical="center" wrapText="1"/>
    </xf>
    <xf numFmtId="0" fontId="12" fillId="3" borderId="8" xfId="0" applyNumberFormat="1" applyFont="1" applyFill="1" applyBorder="1" applyAlignment="1">
      <alignment horizontal="center" vertical="center" wrapText="1"/>
    </xf>
    <xf numFmtId="0" fontId="11" fillId="5" borderId="8" xfId="0" applyNumberFormat="1" applyFont="1" applyFill="1" applyBorder="1" applyAlignment="1">
      <alignment horizontal="center" vertical="center"/>
    </xf>
    <xf numFmtId="0" fontId="11" fillId="7" borderId="8" xfId="0" applyNumberFormat="1" applyFont="1" applyFill="1" applyBorder="1" applyAlignment="1">
      <alignment horizontal="center" vertical="center"/>
    </xf>
    <xf numFmtId="0" fontId="0" fillId="7" borderId="0" xfId="0" applyNumberFormat="1" applyFill="1"/>
    <xf numFmtId="0" fontId="11" fillId="5" borderId="8" xfId="0" applyNumberFormat="1" applyFont="1" applyFill="1" applyBorder="1" applyAlignment="1">
      <alignment horizontal="center" vertical="center" wrapText="1"/>
    </xf>
    <xf numFmtId="0" fontId="14" fillId="2" borderId="8" xfId="0" applyNumberFormat="1" applyFont="1" applyFill="1" applyBorder="1" applyAlignment="1">
      <alignment horizontal="center" vertical="center"/>
    </xf>
  </cellXfs>
  <cellStyles count="4">
    <cellStyle name="Excel Built-in Normal 1" xfId="2" xr:uid="{A98DF1C5-CE09-4C01-9CD2-A891EC1B88B8}"/>
    <cellStyle name="Обычный" xfId="0" builtinId="0"/>
    <cellStyle name="Обычный 7 2 2 2 2 2 2 2 2 2 2 2 2 2 2 3 2 2 2 2 2 2" xfId="1" xr:uid="{6830840C-11F6-4154-927C-84F38A174AB9}"/>
    <cellStyle name="Обычный 7 2 2 2 2 2 2 2 2 2 2 2 2 2 2 3 2 2 2 2 2 2 2" xfId="3" xr:uid="{73CC0931-ED9D-4C7B-B407-89F497D816A3}"/>
  </cellStyles>
  <dxfs count="4">
    <dxf>
      <font>
        <color rgb="FFFFFFFF"/>
      </font>
    </dxf>
    <dxf>
      <font>
        <color rgb="FF262626"/>
      </font>
    </dxf>
    <dxf>
      <font>
        <b/>
        <i/>
        <color rgb="FFE46C0A"/>
      </font>
    </dxf>
    <dxf>
      <font>
        <color rgb="FF2B384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B387-8FFF-4780-A5DC-8B707559B4DC}">
  <sheetPr codeName="Лист3">
    <tabColor rgb="FFB13165"/>
    <pageSetUpPr fitToPage="1"/>
  </sheetPr>
  <dimension ref="A1:BHX31"/>
  <sheetViews>
    <sheetView tabSelected="1" view="pageBreakPreview" zoomScale="70" zoomScaleNormal="100" zoomScaleSheetLayoutView="70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RowHeight="14.4" outlineLevelCol="1" x14ac:dyDescent="0.3"/>
  <cols>
    <col min="1" max="1" width="8.21875" style="3" customWidth="1"/>
    <col min="2" max="2" width="58.109375" style="3" customWidth="1"/>
    <col min="3" max="3" width="45.33203125" style="3" customWidth="1"/>
    <col min="4" max="4" width="21.77734375" style="3" customWidth="1"/>
    <col min="5" max="5" width="4.77734375" style="3" customWidth="1"/>
    <col min="6" max="98" width="6.77734375" style="31" customWidth="1" outlineLevel="1"/>
    <col min="99" max="99" width="4.77734375" style="3" customWidth="1"/>
    <col min="100" max="192" width="6.77734375" style="3" hidden="1" customWidth="1" outlineLevel="1"/>
    <col min="193" max="193" width="4.77734375" style="3" customWidth="1" collapsed="1"/>
    <col min="194" max="277" width="6.77734375" style="3" hidden="1" customWidth="1" outlineLevel="1"/>
    <col min="278" max="278" width="4.77734375" style="3" customWidth="1" collapsed="1"/>
    <col min="279" max="371" width="6.77734375" style="3" hidden="1" customWidth="1" outlineLevel="1"/>
    <col min="372" max="372" width="4.77734375" style="3" customWidth="1" collapsed="1"/>
    <col min="373" max="462" width="6.77734375" style="3" hidden="1" customWidth="1" outlineLevel="1"/>
    <col min="463" max="463" width="4.77734375" style="3" customWidth="1" collapsed="1"/>
    <col min="464" max="556" width="6.77734375" style="3" customWidth="1" outlineLevel="1"/>
    <col min="557" max="557" width="4.77734375" style="3" customWidth="1"/>
    <col min="558" max="647" width="6.77734375" style="3" customWidth="1" outlineLevel="1"/>
    <col min="648" max="648" width="4.77734375" style="3" customWidth="1"/>
    <col min="649" max="741" width="6.77734375" style="3" hidden="1" customWidth="1" outlineLevel="1"/>
    <col min="742" max="742" width="4.77734375" style="3" customWidth="1" collapsed="1"/>
    <col min="743" max="835" width="6.77734375" style="3" hidden="1" customWidth="1" outlineLevel="1"/>
    <col min="836" max="836" width="4.77734375" style="3" customWidth="1" collapsed="1"/>
    <col min="837" max="926" width="6.77734375" style="3" hidden="1" customWidth="1" outlineLevel="1"/>
    <col min="927" max="927" width="4.77734375" style="3" customWidth="1" collapsed="1"/>
    <col min="928" max="1020" width="6.77734375" style="3" hidden="1" customWidth="1" outlineLevel="1"/>
    <col min="1021" max="1021" width="4.77734375" style="3" customWidth="1" collapsed="1"/>
    <col min="1022" max="1111" width="6.77734375" style="3" hidden="1" customWidth="1" outlineLevel="1"/>
    <col min="1112" max="1112" width="4.77734375" style="3" customWidth="1" collapsed="1"/>
    <col min="1113" max="1202" width="6.77734375" style="3" hidden="1" customWidth="1" outlineLevel="1"/>
    <col min="1203" max="1203" width="4.77734375" style="3" customWidth="1" collapsed="1"/>
    <col min="1204" max="1293" width="6.77734375" style="3" hidden="1" customWidth="1" outlineLevel="1"/>
    <col min="1294" max="1294" width="4.77734375" style="3" customWidth="1" collapsed="1"/>
    <col min="1295" max="1378" width="6.77734375" style="3" hidden="1" customWidth="1" outlineLevel="1"/>
    <col min="1379" max="1379" width="4.77734375" style="3" customWidth="1" collapsed="1"/>
    <col min="1380" max="1472" width="6.77734375" style="3" hidden="1" customWidth="1" outlineLevel="1"/>
    <col min="1473" max="1473" width="4.77734375" style="3" customWidth="1" collapsed="1"/>
    <col min="1474" max="1563" width="6.77734375" style="3" hidden="1" customWidth="1" outlineLevel="1"/>
    <col min="1564" max="1564" width="4.77734375" style="3" customWidth="1" collapsed="1"/>
    <col min="1565" max="16384" width="8.88671875" style="3"/>
  </cols>
  <sheetData>
    <row r="1" spans="1:1564" ht="19.2" customHeight="1" x14ac:dyDescent="0.3">
      <c r="A1" s="4"/>
      <c r="B1" s="4"/>
      <c r="C1" s="4"/>
      <c r="D1" s="5"/>
      <c r="E1" s="3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36"/>
      <c r="CV1" s="8"/>
      <c r="CW1" s="9"/>
      <c r="CX1" s="9"/>
      <c r="CY1" s="9"/>
      <c r="CZ1" s="9"/>
      <c r="DA1" s="9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36"/>
      <c r="GL1" s="8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36"/>
      <c r="JS1" s="8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10"/>
      <c r="NH1" s="36"/>
      <c r="NI1" s="8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36"/>
      <c r="QV1" s="8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10"/>
      <c r="UK1" s="36"/>
      <c r="UL1" s="8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36"/>
      <c r="XY1" s="8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10"/>
      <c r="ABN1" s="36"/>
      <c r="ABO1" s="8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10"/>
      <c r="AFD1" s="36"/>
      <c r="AFE1" s="8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36"/>
      <c r="AIR1" s="8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10"/>
      <c r="AMG1" s="36"/>
      <c r="AMH1" s="8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10"/>
      <c r="APT1" s="36"/>
      <c r="APU1" s="8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10"/>
      <c r="ATG1" s="36"/>
      <c r="ATH1" s="8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10"/>
      <c r="AWT1" s="36"/>
      <c r="AWU1" s="8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36"/>
      <c r="BAB1" s="8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10"/>
      <c r="BDN1" s="10"/>
      <c r="BDO1" s="10"/>
      <c r="BDP1" s="10"/>
      <c r="BDQ1" s="36"/>
      <c r="BDR1" s="8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10"/>
      <c r="BHD1" s="36"/>
    </row>
    <row r="2" spans="1:1564" ht="19.2" customHeight="1" x14ac:dyDescent="0.3">
      <c r="A2" s="5"/>
      <c r="B2" s="5"/>
      <c r="C2" s="5"/>
      <c r="D2" s="5"/>
      <c r="E2" s="37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37"/>
      <c r="CV2" s="13"/>
      <c r="CW2" s="4"/>
      <c r="CX2" s="4"/>
      <c r="CY2" s="4"/>
      <c r="CZ2" s="4"/>
      <c r="DA2" s="4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37"/>
      <c r="GL2" s="13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37"/>
      <c r="JS2" s="13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14"/>
      <c r="NH2" s="37"/>
      <c r="NI2" s="13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37"/>
      <c r="QV2" s="13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14"/>
      <c r="UK2" s="37"/>
      <c r="UL2" s="13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37"/>
      <c r="XY2" s="13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14"/>
      <c r="ABN2" s="37"/>
      <c r="ABO2" s="13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14"/>
      <c r="AFD2" s="37"/>
      <c r="AFE2" s="13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37"/>
      <c r="AIR2" s="13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14"/>
      <c r="AMG2" s="37"/>
      <c r="AMH2" s="13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14"/>
      <c r="APT2" s="37"/>
      <c r="APU2" s="13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14"/>
      <c r="ATG2" s="37"/>
      <c r="ATH2" s="13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14"/>
      <c r="AWT2" s="37"/>
      <c r="AWU2" s="13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37"/>
      <c r="BAB2" s="13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14"/>
      <c r="BDN2" s="14"/>
      <c r="BDO2" s="14"/>
      <c r="BDP2" s="14"/>
      <c r="BDQ2" s="37"/>
      <c r="BDR2" s="13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14"/>
      <c r="BHD2" s="37"/>
    </row>
    <row r="3" spans="1:1564" ht="30" customHeight="1" x14ac:dyDescent="0.3">
      <c r="A3" s="15"/>
      <c r="B3" s="15"/>
      <c r="C3" s="16"/>
      <c r="D3" s="16"/>
      <c r="E3" s="37"/>
      <c r="F3" s="42">
        <v>45992</v>
      </c>
      <c r="G3" s="43"/>
      <c r="H3" s="44"/>
      <c r="I3" s="42">
        <v>45993</v>
      </c>
      <c r="J3" s="43"/>
      <c r="K3" s="44"/>
      <c r="L3" s="42">
        <v>45994</v>
      </c>
      <c r="M3" s="43"/>
      <c r="N3" s="44"/>
      <c r="O3" s="42">
        <v>45995</v>
      </c>
      <c r="P3" s="43"/>
      <c r="Q3" s="44"/>
      <c r="R3" s="42">
        <v>45996</v>
      </c>
      <c r="S3" s="43"/>
      <c r="T3" s="44"/>
      <c r="U3" s="42">
        <v>45997</v>
      </c>
      <c r="V3" s="43"/>
      <c r="W3" s="44"/>
      <c r="X3" s="42">
        <v>45998</v>
      </c>
      <c r="Y3" s="43"/>
      <c r="Z3" s="44"/>
      <c r="AA3" s="42">
        <v>45999</v>
      </c>
      <c r="AB3" s="43"/>
      <c r="AC3" s="44"/>
      <c r="AD3" s="42">
        <v>46000</v>
      </c>
      <c r="AE3" s="43"/>
      <c r="AF3" s="44"/>
      <c r="AG3" s="42">
        <v>46001</v>
      </c>
      <c r="AH3" s="43"/>
      <c r="AI3" s="44"/>
      <c r="AJ3" s="42">
        <v>46002</v>
      </c>
      <c r="AK3" s="43"/>
      <c r="AL3" s="44"/>
      <c r="AM3" s="42">
        <v>46003</v>
      </c>
      <c r="AN3" s="43"/>
      <c r="AO3" s="44"/>
      <c r="AP3" s="42">
        <v>46004</v>
      </c>
      <c r="AQ3" s="43"/>
      <c r="AR3" s="44"/>
      <c r="AS3" s="42">
        <v>46005</v>
      </c>
      <c r="AT3" s="43"/>
      <c r="AU3" s="44"/>
      <c r="AV3" s="42">
        <v>46006</v>
      </c>
      <c r="AW3" s="43"/>
      <c r="AX3" s="44"/>
      <c r="AY3" s="42">
        <v>46007</v>
      </c>
      <c r="AZ3" s="43"/>
      <c r="BA3" s="44"/>
      <c r="BB3" s="42">
        <v>46008</v>
      </c>
      <c r="BC3" s="43"/>
      <c r="BD3" s="44"/>
      <c r="BE3" s="42">
        <v>46009</v>
      </c>
      <c r="BF3" s="43"/>
      <c r="BG3" s="44"/>
      <c r="BH3" s="42">
        <v>46010</v>
      </c>
      <c r="BI3" s="43"/>
      <c r="BJ3" s="44"/>
      <c r="BK3" s="42">
        <v>46011</v>
      </c>
      <c r="BL3" s="43"/>
      <c r="BM3" s="44"/>
      <c r="BN3" s="42">
        <v>46012</v>
      </c>
      <c r="BO3" s="43"/>
      <c r="BP3" s="44"/>
      <c r="BQ3" s="42">
        <v>46013</v>
      </c>
      <c r="BR3" s="43"/>
      <c r="BS3" s="44"/>
      <c r="BT3" s="42">
        <v>46014</v>
      </c>
      <c r="BU3" s="43"/>
      <c r="BV3" s="44"/>
      <c r="BW3" s="42">
        <v>46015</v>
      </c>
      <c r="BX3" s="43"/>
      <c r="BY3" s="44"/>
      <c r="BZ3" s="42">
        <v>46016</v>
      </c>
      <c r="CA3" s="43"/>
      <c r="CB3" s="44"/>
      <c r="CC3" s="42">
        <v>46017</v>
      </c>
      <c r="CD3" s="43"/>
      <c r="CE3" s="44"/>
      <c r="CF3" s="42">
        <v>46018</v>
      </c>
      <c r="CG3" s="43"/>
      <c r="CH3" s="44"/>
      <c r="CI3" s="42">
        <v>46019</v>
      </c>
      <c r="CJ3" s="43"/>
      <c r="CK3" s="44"/>
      <c r="CL3" s="42">
        <v>46020</v>
      </c>
      <c r="CM3" s="43"/>
      <c r="CN3" s="44"/>
      <c r="CO3" s="42">
        <v>46021</v>
      </c>
      <c r="CP3" s="43"/>
      <c r="CQ3" s="44"/>
      <c r="CR3" s="42">
        <v>46022</v>
      </c>
      <c r="CS3" s="43"/>
      <c r="CT3" s="44"/>
      <c r="CU3" s="37"/>
      <c r="CV3" s="42">
        <v>46023</v>
      </c>
      <c r="CW3" s="43"/>
      <c r="CX3" s="44"/>
      <c r="CY3" s="42">
        <v>46024</v>
      </c>
      <c r="CZ3" s="43"/>
      <c r="DA3" s="44"/>
      <c r="DB3" s="42">
        <v>46025</v>
      </c>
      <c r="DC3" s="43"/>
      <c r="DD3" s="44"/>
      <c r="DE3" s="42">
        <v>46026</v>
      </c>
      <c r="DF3" s="43"/>
      <c r="DG3" s="44"/>
      <c r="DH3" s="42">
        <v>46027</v>
      </c>
      <c r="DI3" s="43"/>
      <c r="DJ3" s="44"/>
      <c r="DK3" s="42">
        <v>46028</v>
      </c>
      <c r="DL3" s="43"/>
      <c r="DM3" s="44"/>
      <c r="DN3" s="42">
        <v>46029</v>
      </c>
      <c r="DO3" s="43"/>
      <c r="DP3" s="44"/>
      <c r="DQ3" s="42">
        <v>46030</v>
      </c>
      <c r="DR3" s="43"/>
      <c r="DS3" s="44"/>
      <c r="DT3" s="42">
        <v>46031</v>
      </c>
      <c r="DU3" s="43"/>
      <c r="DV3" s="44"/>
      <c r="DW3" s="42">
        <v>46032</v>
      </c>
      <c r="DX3" s="43"/>
      <c r="DY3" s="44"/>
      <c r="DZ3" s="42">
        <v>46033</v>
      </c>
      <c r="EA3" s="43"/>
      <c r="EB3" s="44"/>
      <c r="EC3" s="42">
        <v>46034</v>
      </c>
      <c r="ED3" s="43"/>
      <c r="EE3" s="44"/>
      <c r="EF3" s="42">
        <v>46035</v>
      </c>
      <c r="EG3" s="43"/>
      <c r="EH3" s="44"/>
      <c r="EI3" s="42">
        <v>46036</v>
      </c>
      <c r="EJ3" s="43"/>
      <c r="EK3" s="44"/>
      <c r="EL3" s="42">
        <v>46037</v>
      </c>
      <c r="EM3" s="43"/>
      <c r="EN3" s="44"/>
      <c r="EO3" s="42">
        <v>46038</v>
      </c>
      <c r="EP3" s="43"/>
      <c r="EQ3" s="44"/>
      <c r="ER3" s="42">
        <v>46039</v>
      </c>
      <c r="ES3" s="43"/>
      <c r="ET3" s="44"/>
      <c r="EU3" s="42">
        <v>46040</v>
      </c>
      <c r="EV3" s="43"/>
      <c r="EW3" s="44"/>
      <c r="EX3" s="42">
        <v>46041</v>
      </c>
      <c r="EY3" s="43"/>
      <c r="EZ3" s="44"/>
      <c r="FA3" s="42">
        <v>46042</v>
      </c>
      <c r="FB3" s="43"/>
      <c r="FC3" s="44"/>
      <c r="FD3" s="42">
        <v>46043</v>
      </c>
      <c r="FE3" s="43"/>
      <c r="FF3" s="44"/>
      <c r="FG3" s="42">
        <v>46044</v>
      </c>
      <c r="FH3" s="43"/>
      <c r="FI3" s="44"/>
      <c r="FJ3" s="42">
        <v>46045</v>
      </c>
      <c r="FK3" s="43"/>
      <c r="FL3" s="44"/>
      <c r="FM3" s="42">
        <v>46046</v>
      </c>
      <c r="FN3" s="43"/>
      <c r="FO3" s="44"/>
      <c r="FP3" s="42">
        <v>46047</v>
      </c>
      <c r="FQ3" s="43"/>
      <c r="FR3" s="44"/>
      <c r="FS3" s="42">
        <v>46048</v>
      </c>
      <c r="FT3" s="43"/>
      <c r="FU3" s="44"/>
      <c r="FV3" s="42">
        <v>46049</v>
      </c>
      <c r="FW3" s="43"/>
      <c r="FX3" s="44"/>
      <c r="FY3" s="42">
        <v>46050</v>
      </c>
      <c r="FZ3" s="43"/>
      <c r="GA3" s="44"/>
      <c r="GB3" s="42">
        <v>46051</v>
      </c>
      <c r="GC3" s="43"/>
      <c r="GD3" s="44"/>
      <c r="GE3" s="42">
        <v>46052</v>
      </c>
      <c r="GF3" s="43"/>
      <c r="GG3" s="44"/>
      <c r="GH3" s="42">
        <v>46053</v>
      </c>
      <c r="GI3" s="43"/>
      <c r="GJ3" s="44"/>
      <c r="GK3" s="37"/>
      <c r="GL3" s="42">
        <v>46054</v>
      </c>
      <c r="GM3" s="43"/>
      <c r="GN3" s="44"/>
      <c r="GO3" s="42">
        <v>46055</v>
      </c>
      <c r="GP3" s="43"/>
      <c r="GQ3" s="44"/>
      <c r="GR3" s="42">
        <v>46056</v>
      </c>
      <c r="GS3" s="43"/>
      <c r="GT3" s="44"/>
      <c r="GU3" s="42">
        <v>46057</v>
      </c>
      <c r="GV3" s="43"/>
      <c r="GW3" s="44"/>
      <c r="GX3" s="42">
        <v>46058</v>
      </c>
      <c r="GY3" s="43"/>
      <c r="GZ3" s="44"/>
      <c r="HA3" s="42">
        <v>46059</v>
      </c>
      <c r="HB3" s="43"/>
      <c r="HC3" s="44"/>
      <c r="HD3" s="42">
        <v>46060</v>
      </c>
      <c r="HE3" s="43"/>
      <c r="HF3" s="44"/>
      <c r="HG3" s="42">
        <v>46061</v>
      </c>
      <c r="HH3" s="43"/>
      <c r="HI3" s="44"/>
      <c r="HJ3" s="42">
        <v>46062</v>
      </c>
      <c r="HK3" s="43"/>
      <c r="HL3" s="44"/>
      <c r="HM3" s="42">
        <v>46063</v>
      </c>
      <c r="HN3" s="43"/>
      <c r="HO3" s="44"/>
      <c r="HP3" s="42">
        <v>46064</v>
      </c>
      <c r="HQ3" s="43"/>
      <c r="HR3" s="44"/>
      <c r="HS3" s="42">
        <v>46065</v>
      </c>
      <c r="HT3" s="43"/>
      <c r="HU3" s="44"/>
      <c r="HV3" s="42">
        <v>46066</v>
      </c>
      <c r="HW3" s="43"/>
      <c r="HX3" s="44"/>
      <c r="HY3" s="42">
        <v>46067</v>
      </c>
      <c r="HZ3" s="43"/>
      <c r="IA3" s="44"/>
      <c r="IB3" s="42">
        <v>46068</v>
      </c>
      <c r="IC3" s="43"/>
      <c r="ID3" s="44"/>
      <c r="IE3" s="42">
        <v>46069</v>
      </c>
      <c r="IF3" s="43"/>
      <c r="IG3" s="44"/>
      <c r="IH3" s="42">
        <v>46070</v>
      </c>
      <c r="II3" s="43"/>
      <c r="IJ3" s="44"/>
      <c r="IK3" s="42">
        <v>46071</v>
      </c>
      <c r="IL3" s="43"/>
      <c r="IM3" s="44"/>
      <c r="IN3" s="42">
        <v>46072</v>
      </c>
      <c r="IO3" s="43"/>
      <c r="IP3" s="44"/>
      <c r="IQ3" s="42">
        <v>46073</v>
      </c>
      <c r="IR3" s="43"/>
      <c r="IS3" s="44"/>
      <c r="IT3" s="42">
        <v>46074</v>
      </c>
      <c r="IU3" s="43"/>
      <c r="IV3" s="44"/>
      <c r="IW3" s="42">
        <v>46075</v>
      </c>
      <c r="IX3" s="43"/>
      <c r="IY3" s="44"/>
      <c r="IZ3" s="42">
        <v>46076</v>
      </c>
      <c r="JA3" s="43"/>
      <c r="JB3" s="44"/>
      <c r="JC3" s="42">
        <v>46077</v>
      </c>
      <c r="JD3" s="43"/>
      <c r="JE3" s="44"/>
      <c r="JF3" s="42">
        <v>46078</v>
      </c>
      <c r="JG3" s="43"/>
      <c r="JH3" s="44"/>
      <c r="JI3" s="42">
        <v>46079</v>
      </c>
      <c r="JJ3" s="43"/>
      <c r="JK3" s="44"/>
      <c r="JL3" s="42">
        <v>46080</v>
      </c>
      <c r="JM3" s="43"/>
      <c r="JN3" s="44"/>
      <c r="JO3" s="42">
        <v>46081</v>
      </c>
      <c r="JP3" s="43"/>
      <c r="JQ3" s="44"/>
      <c r="JR3" s="37"/>
      <c r="JS3" s="42">
        <v>46082</v>
      </c>
      <c r="JT3" s="43"/>
      <c r="JU3" s="44"/>
      <c r="JV3" s="42">
        <v>46083</v>
      </c>
      <c r="JW3" s="43"/>
      <c r="JX3" s="44"/>
      <c r="JY3" s="42">
        <v>46084</v>
      </c>
      <c r="JZ3" s="43"/>
      <c r="KA3" s="44"/>
      <c r="KB3" s="42">
        <v>46085</v>
      </c>
      <c r="KC3" s="43"/>
      <c r="KD3" s="44"/>
      <c r="KE3" s="42">
        <v>46086</v>
      </c>
      <c r="KF3" s="43"/>
      <c r="KG3" s="44"/>
      <c r="KH3" s="42">
        <v>46087</v>
      </c>
      <c r="KI3" s="43"/>
      <c r="KJ3" s="44"/>
      <c r="KK3" s="42">
        <v>46088</v>
      </c>
      <c r="KL3" s="43"/>
      <c r="KM3" s="44"/>
      <c r="KN3" s="42">
        <v>46089</v>
      </c>
      <c r="KO3" s="43"/>
      <c r="KP3" s="44"/>
      <c r="KQ3" s="42">
        <v>46090</v>
      </c>
      <c r="KR3" s="43"/>
      <c r="KS3" s="44"/>
      <c r="KT3" s="42">
        <v>46091</v>
      </c>
      <c r="KU3" s="43"/>
      <c r="KV3" s="44"/>
      <c r="KW3" s="42">
        <v>46092</v>
      </c>
      <c r="KX3" s="43"/>
      <c r="KY3" s="44"/>
      <c r="KZ3" s="42">
        <v>46093</v>
      </c>
      <c r="LA3" s="43"/>
      <c r="LB3" s="44"/>
      <c r="LC3" s="42">
        <v>46094</v>
      </c>
      <c r="LD3" s="43"/>
      <c r="LE3" s="44"/>
      <c r="LF3" s="42">
        <v>46095</v>
      </c>
      <c r="LG3" s="43"/>
      <c r="LH3" s="44"/>
      <c r="LI3" s="42">
        <v>46096</v>
      </c>
      <c r="LJ3" s="43"/>
      <c r="LK3" s="44"/>
      <c r="LL3" s="42">
        <v>46097</v>
      </c>
      <c r="LM3" s="43"/>
      <c r="LN3" s="44"/>
      <c r="LO3" s="42">
        <v>46098</v>
      </c>
      <c r="LP3" s="43"/>
      <c r="LQ3" s="44"/>
      <c r="LR3" s="42">
        <v>46099</v>
      </c>
      <c r="LS3" s="43"/>
      <c r="LT3" s="44"/>
      <c r="LU3" s="42">
        <v>46100</v>
      </c>
      <c r="LV3" s="43"/>
      <c r="LW3" s="44"/>
      <c r="LX3" s="42">
        <v>46101</v>
      </c>
      <c r="LY3" s="43"/>
      <c r="LZ3" s="44"/>
      <c r="MA3" s="42">
        <v>46102</v>
      </c>
      <c r="MB3" s="43"/>
      <c r="MC3" s="44"/>
      <c r="MD3" s="42">
        <v>46103</v>
      </c>
      <c r="ME3" s="43"/>
      <c r="MF3" s="44"/>
      <c r="MG3" s="42">
        <v>46104</v>
      </c>
      <c r="MH3" s="43"/>
      <c r="MI3" s="44"/>
      <c r="MJ3" s="42">
        <v>46105</v>
      </c>
      <c r="MK3" s="43"/>
      <c r="ML3" s="44"/>
      <c r="MM3" s="42">
        <v>46106</v>
      </c>
      <c r="MN3" s="43"/>
      <c r="MO3" s="44"/>
      <c r="MP3" s="42">
        <v>46107</v>
      </c>
      <c r="MQ3" s="43"/>
      <c r="MR3" s="44"/>
      <c r="MS3" s="42">
        <v>46108</v>
      </c>
      <c r="MT3" s="43"/>
      <c r="MU3" s="44"/>
      <c r="MV3" s="42">
        <v>46109</v>
      </c>
      <c r="MW3" s="43"/>
      <c r="MX3" s="44"/>
      <c r="MY3" s="42">
        <v>46110</v>
      </c>
      <c r="MZ3" s="43"/>
      <c r="NA3" s="44"/>
      <c r="NB3" s="42">
        <v>46111</v>
      </c>
      <c r="NC3" s="43"/>
      <c r="ND3" s="44"/>
      <c r="NE3" s="42">
        <v>46112</v>
      </c>
      <c r="NF3" s="43"/>
      <c r="NG3" s="44"/>
      <c r="NH3" s="37"/>
      <c r="NI3" s="42">
        <v>46113</v>
      </c>
      <c r="NJ3" s="43"/>
      <c r="NK3" s="44"/>
      <c r="NL3" s="42">
        <v>46114</v>
      </c>
      <c r="NM3" s="43"/>
      <c r="NN3" s="44"/>
      <c r="NO3" s="42">
        <v>46115</v>
      </c>
      <c r="NP3" s="43"/>
      <c r="NQ3" s="44"/>
      <c r="NR3" s="42">
        <v>46116</v>
      </c>
      <c r="NS3" s="43"/>
      <c r="NT3" s="44"/>
      <c r="NU3" s="42">
        <v>46117</v>
      </c>
      <c r="NV3" s="43"/>
      <c r="NW3" s="44"/>
      <c r="NX3" s="42">
        <v>46118</v>
      </c>
      <c r="NY3" s="43"/>
      <c r="NZ3" s="44"/>
      <c r="OA3" s="42">
        <v>46119</v>
      </c>
      <c r="OB3" s="43"/>
      <c r="OC3" s="44"/>
      <c r="OD3" s="42">
        <v>46120</v>
      </c>
      <c r="OE3" s="43"/>
      <c r="OF3" s="44"/>
      <c r="OG3" s="42">
        <v>46121</v>
      </c>
      <c r="OH3" s="43"/>
      <c r="OI3" s="44"/>
      <c r="OJ3" s="42">
        <v>46122</v>
      </c>
      <c r="OK3" s="43"/>
      <c r="OL3" s="44"/>
      <c r="OM3" s="42">
        <v>46123</v>
      </c>
      <c r="ON3" s="43"/>
      <c r="OO3" s="44"/>
      <c r="OP3" s="42">
        <v>46124</v>
      </c>
      <c r="OQ3" s="43"/>
      <c r="OR3" s="44"/>
      <c r="OS3" s="42">
        <v>46125</v>
      </c>
      <c r="OT3" s="43"/>
      <c r="OU3" s="44"/>
      <c r="OV3" s="42">
        <v>46126</v>
      </c>
      <c r="OW3" s="43"/>
      <c r="OX3" s="44"/>
      <c r="OY3" s="42">
        <v>46127</v>
      </c>
      <c r="OZ3" s="43"/>
      <c r="PA3" s="44"/>
      <c r="PB3" s="42">
        <v>46128</v>
      </c>
      <c r="PC3" s="43"/>
      <c r="PD3" s="44"/>
      <c r="PE3" s="42">
        <v>46129</v>
      </c>
      <c r="PF3" s="43"/>
      <c r="PG3" s="44"/>
      <c r="PH3" s="42">
        <v>46130</v>
      </c>
      <c r="PI3" s="43"/>
      <c r="PJ3" s="44"/>
      <c r="PK3" s="42">
        <v>46131</v>
      </c>
      <c r="PL3" s="43"/>
      <c r="PM3" s="44"/>
      <c r="PN3" s="42">
        <v>46132</v>
      </c>
      <c r="PO3" s="43"/>
      <c r="PP3" s="44"/>
      <c r="PQ3" s="42">
        <v>46133</v>
      </c>
      <c r="PR3" s="43"/>
      <c r="PS3" s="44"/>
      <c r="PT3" s="42">
        <v>46134</v>
      </c>
      <c r="PU3" s="43"/>
      <c r="PV3" s="44"/>
      <c r="PW3" s="42">
        <v>46135</v>
      </c>
      <c r="PX3" s="43"/>
      <c r="PY3" s="44"/>
      <c r="PZ3" s="42">
        <v>46136</v>
      </c>
      <c r="QA3" s="43"/>
      <c r="QB3" s="44"/>
      <c r="QC3" s="42">
        <v>46137</v>
      </c>
      <c r="QD3" s="43"/>
      <c r="QE3" s="44"/>
      <c r="QF3" s="42">
        <v>46138</v>
      </c>
      <c r="QG3" s="43"/>
      <c r="QH3" s="44"/>
      <c r="QI3" s="42">
        <v>46139</v>
      </c>
      <c r="QJ3" s="43"/>
      <c r="QK3" s="44"/>
      <c r="QL3" s="42">
        <v>46140</v>
      </c>
      <c r="QM3" s="43"/>
      <c r="QN3" s="44"/>
      <c r="QO3" s="42">
        <v>46141</v>
      </c>
      <c r="QP3" s="43"/>
      <c r="QQ3" s="44"/>
      <c r="QR3" s="42">
        <v>46142</v>
      </c>
      <c r="QS3" s="43"/>
      <c r="QT3" s="44"/>
      <c r="QU3" s="37"/>
      <c r="QV3" s="42">
        <v>46143</v>
      </c>
      <c r="QW3" s="43"/>
      <c r="QX3" s="44"/>
      <c r="QY3" s="42">
        <v>46144</v>
      </c>
      <c r="QZ3" s="43"/>
      <c r="RA3" s="44"/>
      <c r="RB3" s="42">
        <v>46145</v>
      </c>
      <c r="RC3" s="43"/>
      <c r="RD3" s="44"/>
      <c r="RE3" s="42">
        <v>46146</v>
      </c>
      <c r="RF3" s="43"/>
      <c r="RG3" s="44"/>
      <c r="RH3" s="42">
        <v>46147</v>
      </c>
      <c r="RI3" s="43"/>
      <c r="RJ3" s="44"/>
      <c r="RK3" s="42">
        <v>46148</v>
      </c>
      <c r="RL3" s="43"/>
      <c r="RM3" s="44"/>
      <c r="RN3" s="42">
        <v>46149</v>
      </c>
      <c r="RO3" s="43"/>
      <c r="RP3" s="44"/>
      <c r="RQ3" s="42">
        <v>46150</v>
      </c>
      <c r="RR3" s="43"/>
      <c r="RS3" s="44"/>
      <c r="RT3" s="42">
        <v>46151</v>
      </c>
      <c r="RU3" s="43"/>
      <c r="RV3" s="44"/>
      <c r="RW3" s="42">
        <v>46152</v>
      </c>
      <c r="RX3" s="43"/>
      <c r="RY3" s="44"/>
      <c r="RZ3" s="42">
        <v>46153</v>
      </c>
      <c r="SA3" s="43"/>
      <c r="SB3" s="44"/>
      <c r="SC3" s="42">
        <v>46154</v>
      </c>
      <c r="SD3" s="43"/>
      <c r="SE3" s="44"/>
      <c r="SF3" s="42">
        <v>46155</v>
      </c>
      <c r="SG3" s="43"/>
      <c r="SH3" s="44"/>
      <c r="SI3" s="42">
        <v>46156</v>
      </c>
      <c r="SJ3" s="43"/>
      <c r="SK3" s="44"/>
      <c r="SL3" s="42">
        <v>46157</v>
      </c>
      <c r="SM3" s="43"/>
      <c r="SN3" s="44"/>
      <c r="SO3" s="42">
        <v>46158</v>
      </c>
      <c r="SP3" s="43"/>
      <c r="SQ3" s="44"/>
      <c r="SR3" s="42">
        <v>46159</v>
      </c>
      <c r="SS3" s="43"/>
      <c r="ST3" s="44"/>
      <c r="SU3" s="42">
        <v>46160</v>
      </c>
      <c r="SV3" s="43"/>
      <c r="SW3" s="44"/>
      <c r="SX3" s="42">
        <v>46161</v>
      </c>
      <c r="SY3" s="43"/>
      <c r="SZ3" s="44"/>
      <c r="TA3" s="42">
        <v>46162</v>
      </c>
      <c r="TB3" s="43"/>
      <c r="TC3" s="44"/>
      <c r="TD3" s="42">
        <v>46163</v>
      </c>
      <c r="TE3" s="43"/>
      <c r="TF3" s="44"/>
      <c r="TG3" s="42">
        <v>46164</v>
      </c>
      <c r="TH3" s="43"/>
      <c r="TI3" s="44"/>
      <c r="TJ3" s="42">
        <v>46165</v>
      </c>
      <c r="TK3" s="43"/>
      <c r="TL3" s="44"/>
      <c r="TM3" s="42">
        <v>46166</v>
      </c>
      <c r="TN3" s="43"/>
      <c r="TO3" s="44"/>
      <c r="TP3" s="42">
        <v>46167</v>
      </c>
      <c r="TQ3" s="43"/>
      <c r="TR3" s="44"/>
      <c r="TS3" s="42">
        <v>46168</v>
      </c>
      <c r="TT3" s="43"/>
      <c r="TU3" s="44"/>
      <c r="TV3" s="42">
        <v>46169</v>
      </c>
      <c r="TW3" s="43"/>
      <c r="TX3" s="44"/>
      <c r="TY3" s="42">
        <v>46170</v>
      </c>
      <c r="TZ3" s="43"/>
      <c r="UA3" s="44"/>
      <c r="UB3" s="42">
        <v>46171</v>
      </c>
      <c r="UC3" s="43"/>
      <c r="UD3" s="44"/>
      <c r="UE3" s="42">
        <v>46172</v>
      </c>
      <c r="UF3" s="43"/>
      <c r="UG3" s="44"/>
      <c r="UH3" s="42">
        <v>46173</v>
      </c>
      <c r="UI3" s="43"/>
      <c r="UJ3" s="44"/>
      <c r="UK3" s="37"/>
      <c r="UL3" s="42">
        <v>46174</v>
      </c>
      <c r="UM3" s="43"/>
      <c r="UN3" s="44"/>
      <c r="UO3" s="42">
        <v>46175</v>
      </c>
      <c r="UP3" s="43"/>
      <c r="UQ3" s="44"/>
      <c r="UR3" s="42">
        <v>46176</v>
      </c>
      <c r="US3" s="43"/>
      <c r="UT3" s="44"/>
      <c r="UU3" s="42">
        <v>46177</v>
      </c>
      <c r="UV3" s="43"/>
      <c r="UW3" s="44"/>
      <c r="UX3" s="42">
        <v>46178</v>
      </c>
      <c r="UY3" s="43"/>
      <c r="UZ3" s="44"/>
      <c r="VA3" s="42">
        <v>46179</v>
      </c>
      <c r="VB3" s="43"/>
      <c r="VC3" s="44"/>
      <c r="VD3" s="42">
        <v>46180</v>
      </c>
      <c r="VE3" s="43"/>
      <c r="VF3" s="44"/>
      <c r="VG3" s="42">
        <v>46181</v>
      </c>
      <c r="VH3" s="43"/>
      <c r="VI3" s="44"/>
      <c r="VJ3" s="42">
        <v>46182</v>
      </c>
      <c r="VK3" s="43"/>
      <c r="VL3" s="44"/>
      <c r="VM3" s="42">
        <v>46183</v>
      </c>
      <c r="VN3" s="43"/>
      <c r="VO3" s="44"/>
      <c r="VP3" s="42">
        <v>46184</v>
      </c>
      <c r="VQ3" s="43"/>
      <c r="VR3" s="44"/>
      <c r="VS3" s="42">
        <v>46185</v>
      </c>
      <c r="VT3" s="43"/>
      <c r="VU3" s="44"/>
      <c r="VV3" s="42">
        <v>46186</v>
      </c>
      <c r="VW3" s="43"/>
      <c r="VX3" s="44"/>
      <c r="VY3" s="42">
        <v>46187</v>
      </c>
      <c r="VZ3" s="43"/>
      <c r="WA3" s="44"/>
      <c r="WB3" s="42">
        <v>46188</v>
      </c>
      <c r="WC3" s="43"/>
      <c r="WD3" s="44"/>
      <c r="WE3" s="42">
        <v>46189</v>
      </c>
      <c r="WF3" s="43"/>
      <c r="WG3" s="44"/>
      <c r="WH3" s="42">
        <v>46190</v>
      </c>
      <c r="WI3" s="43"/>
      <c r="WJ3" s="44"/>
      <c r="WK3" s="42">
        <v>46191</v>
      </c>
      <c r="WL3" s="43"/>
      <c r="WM3" s="44"/>
      <c r="WN3" s="42">
        <v>46192</v>
      </c>
      <c r="WO3" s="43"/>
      <c r="WP3" s="44"/>
      <c r="WQ3" s="42">
        <v>46193</v>
      </c>
      <c r="WR3" s="43"/>
      <c r="WS3" s="44"/>
      <c r="WT3" s="42">
        <v>46194</v>
      </c>
      <c r="WU3" s="43"/>
      <c r="WV3" s="44"/>
      <c r="WW3" s="42">
        <v>46195</v>
      </c>
      <c r="WX3" s="43"/>
      <c r="WY3" s="44"/>
      <c r="WZ3" s="42">
        <v>46196</v>
      </c>
      <c r="XA3" s="43"/>
      <c r="XB3" s="44"/>
      <c r="XC3" s="42">
        <v>46197</v>
      </c>
      <c r="XD3" s="43"/>
      <c r="XE3" s="44"/>
      <c r="XF3" s="42">
        <v>46198</v>
      </c>
      <c r="XG3" s="43"/>
      <c r="XH3" s="44"/>
      <c r="XI3" s="42">
        <v>46199</v>
      </c>
      <c r="XJ3" s="43"/>
      <c r="XK3" s="44"/>
      <c r="XL3" s="42">
        <v>46200</v>
      </c>
      <c r="XM3" s="43"/>
      <c r="XN3" s="44"/>
      <c r="XO3" s="42">
        <v>46201</v>
      </c>
      <c r="XP3" s="43"/>
      <c r="XQ3" s="44"/>
      <c r="XR3" s="42">
        <v>46202</v>
      </c>
      <c r="XS3" s="43"/>
      <c r="XT3" s="44"/>
      <c r="XU3" s="42">
        <v>46203</v>
      </c>
      <c r="XV3" s="43"/>
      <c r="XW3" s="44"/>
      <c r="XX3" s="37"/>
      <c r="XY3" s="42">
        <v>46204</v>
      </c>
      <c r="XZ3" s="43"/>
      <c r="YA3" s="44"/>
      <c r="YB3" s="42">
        <v>46205</v>
      </c>
      <c r="YC3" s="43"/>
      <c r="YD3" s="44"/>
      <c r="YE3" s="42">
        <v>46206</v>
      </c>
      <c r="YF3" s="43"/>
      <c r="YG3" s="44"/>
      <c r="YH3" s="42">
        <v>46207</v>
      </c>
      <c r="YI3" s="43"/>
      <c r="YJ3" s="44"/>
      <c r="YK3" s="42">
        <v>46208</v>
      </c>
      <c r="YL3" s="43"/>
      <c r="YM3" s="44"/>
      <c r="YN3" s="42">
        <v>46209</v>
      </c>
      <c r="YO3" s="43"/>
      <c r="YP3" s="44"/>
      <c r="YQ3" s="42">
        <v>46210</v>
      </c>
      <c r="YR3" s="43"/>
      <c r="YS3" s="44"/>
      <c r="YT3" s="42">
        <v>46211</v>
      </c>
      <c r="YU3" s="43"/>
      <c r="YV3" s="44"/>
      <c r="YW3" s="42">
        <v>46212</v>
      </c>
      <c r="YX3" s="43"/>
      <c r="YY3" s="44"/>
      <c r="YZ3" s="42">
        <v>46213</v>
      </c>
      <c r="ZA3" s="43"/>
      <c r="ZB3" s="44"/>
      <c r="ZC3" s="42">
        <v>46214</v>
      </c>
      <c r="ZD3" s="43"/>
      <c r="ZE3" s="44"/>
      <c r="ZF3" s="42">
        <v>46215</v>
      </c>
      <c r="ZG3" s="43"/>
      <c r="ZH3" s="44"/>
      <c r="ZI3" s="42">
        <v>46216</v>
      </c>
      <c r="ZJ3" s="43"/>
      <c r="ZK3" s="44"/>
      <c r="ZL3" s="42">
        <v>46217</v>
      </c>
      <c r="ZM3" s="43"/>
      <c r="ZN3" s="44"/>
      <c r="ZO3" s="42">
        <v>46218</v>
      </c>
      <c r="ZP3" s="43"/>
      <c r="ZQ3" s="44"/>
      <c r="ZR3" s="42">
        <v>46219</v>
      </c>
      <c r="ZS3" s="43"/>
      <c r="ZT3" s="44"/>
      <c r="ZU3" s="42">
        <v>46220</v>
      </c>
      <c r="ZV3" s="43"/>
      <c r="ZW3" s="44"/>
      <c r="ZX3" s="42">
        <v>46221</v>
      </c>
      <c r="ZY3" s="43"/>
      <c r="ZZ3" s="44"/>
      <c r="AAA3" s="42">
        <v>46222</v>
      </c>
      <c r="AAB3" s="43"/>
      <c r="AAC3" s="44"/>
      <c r="AAD3" s="42">
        <v>46223</v>
      </c>
      <c r="AAE3" s="43"/>
      <c r="AAF3" s="44"/>
      <c r="AAG3" s="42">
        <v>46224</v>
      </c>
      <c r="AAH3" s="43"/>
      <c r="AAI3" s="44"/>
      <c r="AAJ3" s="42">
        <v>46225</v>
      </c>
      <c r="AAK3" s="43"/>
      <c r="AAL3" s="44"/>
      <c r="AAM3" s="42">
        <v>46226</v>
      </c>
      <c r="AAN3" s="43"/>
      <c r="AAO3" s="44"/>
      <c r="AAP3" s="42">
        <v>46227</v>
      </c>
      <c r="AAQ3" s="43"/>
      <c r="AAR3" s="44"/>
      <c r="AAS3" s="42">
        <v>46228</v>
      </c>
      <c r="AAT3" s="43"/>
      <c r="AAU3" s="44"/>
      <c r="AAV3" s="42">
        <v>46229</v>
      </c>
      <c r="AAW3" s="43"/>
      <c r="AAX3" s="44"/>
      <c r="AAY3" s="42">
        <v>46230</v>
      </c>
      <c r="AAZ3" s="43"/>
      <c r="ABA3" s="44"/>
      <c r="ABB3" s="42">
        <v>46231</v>
      </c>
      <c r="ABC3" s="43"/>
      <c r="ABD3" s="44"/>
      <c r="ABE3" s="42">
        <v>46232</v>
      </c>
      <c r="ABF3" s="43"/>
      <c r="ABG3" s="44"/>
      <c r="ABH3" s="42">
        <v>46233</v>
      </c>
      <c r="ABI3" s="43"/>
      <c r="ABJ3" s="44"/>
      <c r="ABK3" s="42">
        <v>46234</v>
      </c>
      <c r="ABL3" s="43"/>
      <c r="ABM3" s="44"/>
      <c r="ABN3" s="37"/>
      <c r="ABO3" s="42">
        <v>46235</v>
      </c>
      <c r="ABP3" s="43"/>
      <c r="ABQ3" s="44"/>
      <c r="ABR3" s="42">
        <v>46236</v>
      </c>
      <c r="ABS3" s="43"/>
      <c r="ABT3" s="44"/>
      <c r="ABU3" s="42">
        <v>46237</v>
      </c>
      <c r="ABV3" s="43"/>
      <c r="ABW3" s="44"/>
      <c r="ABX3" s="42">
        <v>46238</v>
      </c>
      <c r="ABY3" s="43"/>
      <c r="ABZ3" s="44"/>
      <c r="ACA3" s="42">
        <v>46239</v>
      </c>
      <c r="ACB3" s="43"/>
      <c r="ACC3" s="44"/>
      <c r="ACD3" s="42">
        <v>46240</v>
      </c>
      <c r="ACE3" s="43"/>
      <c r="ACF3" s="44"/>
      <c r="ACG3" s="42">
        <v>46241</v>
      </c>
      <c r="ACH3" s="43"/>
      <c r="ACI3" s="44"/>
      <c r="ACJ3" s="42">
        <v>46242</v>
      </c>
      <c r="ACK3" s="43"/>
      <c r="ACL3" s="44"/>
      <c r="ACM3" s="42">
        <v>46243</v>
      </c>
      <c r="ACN3" s="43"/>
      <c r="ACO3" s="44"/>
      <c r="ACP3" s="42">
        <v>46244</v>
      </c>
      <c r="ACQ3" s="43"/>
      <c r="ACR3" s="44"/>
      <c r="ACS3" s="42">
        <v>46245</v>
      </c>
      <c r="ACT3" s="43"/>
      <c r="ACU3" s="44"/>
      <c r="ACV3" s="42">
        <v>46246</v>
      </c>
      <c r="ACW3" s="43"/>
      <c r="ACX3" s="44"/>
      <c r="ACY3" s="42">
        <v>46247</v>
      </c>
      <c r="ACZ3" s="43"/>
      <c r="ADA3" s="44"/>
      <c r="ADB3" s="42">
        <v>46248</v>
      </c>
      <c r="ADC3" s="43"/>
      <c r="ADD3" s="44"/>
      <c r="ADE3" s="42">
        <v>46249</v>
      </c>
      <c r="ADF3" s="43"/>
      <c r="ADG3" s="44"/>
      <c r="ADH3" s="42">
        <v>46250</v>
      </c>
      <c r="ADI3" s="43"/>
      <c r="ADJ3" s="44"/>
      <c r="ADK3" s="42">
        <v>46251</v>
      </c>
      <c r="ADL3" s="43"/>
      <c r="ADM3" s="44"/>
      <c r="ADN3" s="42">
        <v>46252</v>
      </c>
      <c r="ADO3" s="43"/>
      <c r="ADP3" s="44"/>
      <c r="ADQ3" s="42">
        <v>46253</v>
      </c>
      <c r="ADR3" s="43"/>
      <c r="ADS3" s="44"/>
      <c r="ADT3" s="42">
        <v>46254</v>
      </c>
      <c r="ADU3" s="43"/>
      <c r="ADV3" s="44"/>
      <c r="ADW3" s="42">
        <v>46255</v>
      </c>
      <c r="ADX3" s="43"/>
      <c r="ADY3" s="44"/>
      <c r="ADZ3" s="42">
        <v>46256</v>
      </c>
      <c r="AEA3" s="43"/>
      <c r="AEB3" s="44"/>
      <c r="AEC3" s="42">
        <v>46257</v>
      </c>
      <c r="AED3" s="43"/>
      <c r="AEE3" s="44"/>
      <c r="AEF3" s="42">
        <v>46258</v>
      </c>
      <c r="AEG3" s="43"/>
      <c r="AEH3" s="44"/>
      <c r="AEI3" s="42">
        <v>46259</v>
      </c>
      <c r="AEJ3" s="43"/>
      <c r="AEK3" s="44"/>
      <c r="AEL3" s="42">
        <v>46260</v>
      </c>
      <c r="AEM3" s="43"/>
      <c r="AEN3" s="44"/>
      <c r="AEO3" s="42">
        <v>46261</v>
      </c>
      <c r="AEP3" s="43"/>
      <c r="AEQ3" s="44"/>
      <c r="AER3" s="42">
        <v>46262</v>
      </c>
      <c r="AES3" s="43"/>
      <c r="AET3" s="44"/>
      <c r="AEU3" s="42">
        <v>46263</v>
      </c>
      <c r="AEV3" s="43"/>
      <c r="AEW3" s="44"/>
      <c r="AEX3" s="42">
        <v>46264</v>
      </c>
      <c r="AEY3" s="43"/>
      <c r="AEZ3" s="44"/>
      <c r="AFA3" s="42">
        <v>46265</v>
      </c>
      <c r="AFB3" s="43"/>
      <c r="AFC3" s="44"/>
      <c r="AFD3" s="37"/>
      <c r="AFE3" s="42">
        <v>46266</v>
      </c>
      <c r="AFF3" s="43"/>
      <c r="AFG3" s="44"/>
      <c r="AFH3" s="42">
        <v>46267</v>
      </c>
      <c r="AFI3" s="43"/>
      <c r="AFJ3" s="44"/>
      <c r="AFK3" s="42">
        <v>46268</v>
      </c>
      <c r="AFL3" s="43"/>
      <c r="AFM3" s="44"/>
      <c r="AFN3" s="42">
        <v>46269</v>
      </c>
      <c r="AFO3" s="43"/>
      <c r="AFP3" s="44"/>
      <c r="AFQ3" s="42">
        <v>46270</v>
      </c>
      <c r="AFR3" s="43"/>
      <c r="AFS3" s="44"/>
      <c r="AFT3" s="42">
        <v>46271</v>
      </c>
      <c r="AFU3" s="43"/>
      <c r="AFV3" s="44"/>
      <c r="AFW3" s="42">
        <v>46272</v>
      </c>
      <c r="AFX3" s="43"/>
      <c r="AFY3" s="44"/>
      <c r="AFZ3" s="42">
        <v>46273</v>
      </c>
      <c r="AGA3" s="43"/>
      <c r="AGB3" s="44"/>
      <c r="AGC3" s="42">
        <v>46274</v>
      </c>
      <c r="AGD3" s="43"/>
      <c r="AGE3" s="44"/>
      <c r="AGF3" s="42">
        <v>46275</v>
      </c>
      <c r="AGG3" s="43"/>
      <c r="AGH3" s="44"/>
      <c r="AGI3" s="42">
        <v>46276</v>
      </c>
      <c r="AGJ3" s="43"/>
      <c r="AGK3" s="44"/>
      <c r="AGL3" s="42">
        <v>46277</v>
      </c>
      <c r="AGM3" s="43"/>
      <c r="AGN3" s="44"/>
      <c r="AGO3" s="42">
        <v>46278</v>
      </c>
      <c r="AGP3" s="43"/>
      <c r="AGQ3" s="44"/>
      <c r="AGR3" s="42">
        <v>46279</v>
      </c>
      <c r="AGS3" s="43"/>
      <c r="AGT3" s="44"/>
      <c r="AGU3" s="42">
        <v>46280</v>
      </c>
      <c r="AGV3" s="43"/>
      <c r="AGW3" s="44"/>
      <c r="AGX3" s="42">
        <v>46281</v>
      </c>
      <c r="AGY3" s="43"/>
      <c r="AGZ3" s="44"/>
      <c r="AHA3" s="42">
        <v>46282</v>
      </c>
      <c r="AHB3" s="43"/>
      <c r="AHC3" s="44"/>
      <c r="AHD3" s="42">
        <v>46283</v>
      </c>
      <c r="AHE3" s="43"/>
      <c r="AHF3" s="44"/>
      <c r="AHG3" s="42">
        <v>46284</v>
      </c>
      <c r="AHH3" s="43"/>
      <c r="AHI3" s="44"/>
      <c r="AHJ3" s="42">
        <v>46285</v>
      </c>
      <c r="AHK3" s="43"/>
      <c r="AHL3" s="44"/>
      <c r="AHM3" s="42">
        <v>46286</v>
      </c>
      <c r="AHN3" s="43"/>
      <c r="AHO3" s="44"/>
      <c r="AHP3" s="42">
        <v>46287</v>
      </c>
      <c r="AHQ3" s="43"/>
      <c r="AHR3" s="44"/>
      <c r="AHS3" s="42">
        <v>46288</v>
      </c>
      <c r="AHT3" s="43"/>
      <c r="AHU3" s="44"/>
      <c r="AHV3" s="42">
        <v>46289</v>
      </c>
      <c r="AHW3" s="43"/>
      <c r="AHX3" s="44"/>
      <c r="AHY3" s="42">
        <v>46290</v>
      </c>
      <c r="AHZ3" s="43"/>
      <c r="AIA3" s="44"/>
      <c r="AIB3" s="42">
        <v>46291</v>
      </c>
      <c r="AIC3" s="43"/>
      <c r="AID3" s="44"/>
      <c r="AIE3" s="42">
        <v>46292</v>
      </c>
      <c r="AIF3" s="43"/>
      <c r="AIG3" s="44"/>
      <c r="AIH3" s="42">
        <v>46293</v>
      </c>
      <c r="AII3" s="43"/>
      <c r="AIJ3" s="44"/>
      <c r="AIK3" s="42">
        <v>46294</v>
      </c>
      <c r="AIL3" s="43"/>
      <c r="AIM3" s="44"/>
      <c r="AIN3" s="42">
        <v>46295</v>
      </c>
      <c r="AIO3" s="43"/>
      <c r="AIP3" s="44"/>
      <c r="AIQ3" s="37"/>
      <c r="AIR3" s="42">
        <v>46296</v>
      </c>
      <c r="AIS3" s="43"/>
      <c r="AIT3" s="44"/>
      <c r="AIU3" s="42">
        <v>46297</v>
      </c>
      <c r="AIV3" s="43"/>
      <c r="AIW3" s="44"/>
      <c r="AIX3" s="42">
        <v>46298</v>
      </c>
      <c r="AIY3" s="43"/>
      <c r="AIZ3" s="44"/>
      <c r="AJA3" s="42">
        <v>46299</v>
      </c>
      <c r="AJB3" s="43"/>
      <c r="AJC3" s="44"/>
      <c r="AJD3" s="42">
        <v>46300</v>
      </c>
      <c r="AJE3" s="43"/>
      <c r="AJF3" s="44"/>
      <c r="AJG3" s="42">
        <v>46301</v>
      </c>
      <c r="AJH3" s="43"/>
      <c r="AJI3" s="44"/>
      <c r="AJJ3" s="42">
        <v>46302</v>
      </c>
      <c r="AJK3" s="43"/>
      <c r="AJL3" s="44"/>
      <c r="AJM3" s="42">
        <v>46303</v>
      </c>
      <c r="AJN3" s="43"/>
      <c r="AJO3" s="44"/>
      <c r="AJP3" s="42">
        <v>46304</v>
      </c>
      <c r="AJQ3" s="43"/>
      <c r="AJR3" s="44"/>
      <c r="AJS3" s="42">
        <v>46305</v>
      </c>
      <c r="AJT3" s="43"/>
      <c r="AJU3" s="44"/>
      <c r="AJV3" s="42">
        <v>46306</v>
      </c>
      <c r="AJW3" s="43"/>
      <c r="AJX3" s="44"/>
      <c r="AJY3" s="42">
        <v>46307</v>
      </c>
      <c r="AJZ3" s="43"/>
      <c r="AKA3" s="44"/>
      <c r="AKB3" s="42">
        <v>46308</v>
      </c>
      <c r="AKC3" s="43"/>
      <c r="AKD3" s="44"/>
      <c r="AKE3" s="42">
        <v>46309</v>
      </c>
      <c r="AKF3" s="43"/>
      <c r="AKG3" s="44"/>
      <c r="AKH3" s="42">
        <v>46310</v>
      </c>
      <c r="AKI3" s="43"/>
      <c r="AKJ3" s="44"/>
      <c r="AKK3" s="42">
        <v>46311</v>
      </c>
      <c r="AKL3" s="43"/>
      <c r="AKM3" s="44"/>
      <c r="AKN3" s="42">
        <v>46312</v>
      </c>
      <c r="AKO3" s="43"/>
      <c r="AKP3" s="44"/>
      <c r="AKQ3" s="42">
        <v>46313</v>
      </c>
      <c r="AKR3" s="43"/>
      <c r="AKS3" s="44"/>
      <c r="AKT3" s="42">
        <v>46314</v>
      </c>
      <c r="AKU3" s="43"/>
      <c r="AKV3" s="44"/>
      <c r="AKW3" s="42">
        <v>46315</v>
      </c>
      <c r="AKX3" s="43"/>
      <c r="AKY3" s="44"/>
      <c r="AKZ3" s="42">
        <v>46316</v>
      </c>
      <c r="ALA3" s="43"/>
      <c r="ALB3" s="44"/>
      <c r="ALC3" s="42">
        <v>46317</v>
      </c>
      <c r="ALD3" s="43"/>
      <c r="ALE3" s="44"/>
      <c r="ALF3" s="42">
        <v>46318</v>
      </c>
      <c r="ALG3" s="43"/>
      <c r="ALH3" s="44"/>
      <c r="ALI3" s="42">
        <v>46319</v>
      </c>
      <c r="ALJ3" s="43"/>
      <c r="ALK3" s="44"/>
      <c r="ALL3" s="42">
        <v>46320</v>
      </c>
      <c r="ALM3" s="43"/>
      <c r="ALN3" s="44"/>
      <c r="ALO3" s="42">
        <v>46321</v>
      </c>
      <c r="ALP3" s="43"/>
      <c r="ALQ3" s="44"/>
      <c r="ALR3" s="42">
        <v>46322</v>
      </c>
      <c r="ALS3" s="43"/>
      <c r="ALT3" s="44"/>
      <c r="ALU3" s="42">
        <v>46323</v>
      </c>
      <c r="ALV3" s="43"/>
      <c r="ALW3" s="44"/>
      <c r="ALX3" s="42">
        <v>46324</v>
      </c>
      <c r="ALY3" s="43"/>
      <c r="ALZ3" s="44"/>
      <c r="AMA3" s="42">
        <v>46325</v>
      </c>
      <c r="AMB3" s="43"/>
      <c r="AMC3" s="44"/>
      <c r="AMD3" s="42">
        <v>46326</v>
      </c>
      <c r="AME3" s="43"/>
      <c r="AMF3" s="44"/>
      <c r="AMG3" s="37"/>
      <c r="AMH3" s="42">
        <v>46327</v>
      </c>
      <c r="AMI3" s="43"/>
      <c r="AMJ3" s="44"/>
      <c r="AMK3" s="42">
        <v>46328</v>
      </c>
      <c r="AML3" s="43"/>
      <c r="AMM3" s="44"/>
      <c r="AMN3" s="42">
        <v>46329</v>
      </c>
      <c r="AMO3" s="43"/>
      <c r="AMP3" s="44"/>
      <c r="AMQ3" s="42">
        <v>46330</v>
      </c>
      <c r="AMR3" s="43"/>
      <c r="AMS3" s="44"/>
      <c r="AMT3" s="42">
        <v>46331</v>
      </c>
      <c r="AMU3" s="43"/>
      <c r="AMV3" s="44"/>
      <c r="AMW3" s="42">
        <v>46332</v>
      </c>
      <c r="AMX3" s="43"/>
      <c r="AMY3" s="44"/>
      <c r="AMZ3" s="42">
        <v>46333</v>
      </c>
      <c r="ANA3" s="43"/>
      <c r="ANB3" s="44"/>
      <c r="ANC3" s="42">
        <v>46334</v>
      </c>
      <c r="AND3" s="43"/>
      <c r="ANE3" s="44"/>
      <c r="ANF3" s="42">
        <v>46335</v>
      </c>
      <c r="ANG3" s="43"/>
      <c r="ANH3" s="44"/>
      <c r="ANI3" s="42">
        <v>46336</v>
      </c>
      <c r="ANJ3" s="43"/>
      <c r="ANK3" s="44"/>
      <c r="ANL3" s="42">
        <v>46337</v>
      </c>
      <c r="ANM3" s="43"/>
      <c r="ANN3" s="44"/>
      <c r="ANO3" s="42">
        <v>46338</v>
      </c>
      <c r="ANP3" s="43"/>
      <c r="ANQ3" s="44"/>
      <c r="ANR3" s="42">
        <v>46339</v>
      </c>
      <c r="ANS3" s="43"/>
      <c r="ANT3" s="44"/>
      <c r="ANU3" s="42">
        <v>46340</v>
      </c>
      <c r="ANV3" s="43"/>
      <c r="ANW3" s="44"/>
      <c r="ANX3" s="42">
        <v>46341</v>
      </c>
      <c r="ANY3" s="43"/>
      <c r="ANZ3" s="44"/>
      <c r="AOA3" s="42">
        <v>46342</v>
      </c>
      <c r="AOB3" s="43"/>
      <c r="AOC3" s="44"/>
      <c r="AOD3" s="42">
        <v>46343</v>
      </c>
      <c r="AOE3" s="43"/>
      <c r="AOF3" s="44"/>
      <c r="AOG3" s="42">
        <v>46344</v>
      </c>
      <c r="AOH3" s="43"/>
      <c r="AOI3" s="44"/>
      <c r="AOJ3" s="42">
        <v>46345</v>
      </c>
      <c r="AOK3" s="43"/>
      <c r="AOL3" s="44"/>
      <c r="AOM3" s="42">
        <v>46346</v>
      </c>
      <c r="AON3" s="43"/>
      <c r="AOO3" s="44"/>
      <c r="AOP3" s="42">
        <v>46347</v>
      </c>
      <c r="AOQ3" s="43"/>
      <c r="AOR3" s="44"/>
      <c r="AOS3" s="42">
        <v>46348</v>
      </c>
      <c r="AOT3" s="43"/>
      <c r="AOU3" s="44"/>
      <c r="AOV3" s="42">
        <v>46349</v>
      </c>
      <c r="AOW3" s="43"/>
      <c r="AOX3" s="44"/>
      <c r="AOY3" s="42">
        <v>46350</v>
      </c>
      <c r="AOZ3" s="43"/>
      <c r="APA3" s="44"/>
      <c r="APB3" s="42">
        <v>46351</v>
      </c>
      <c r="APC3" s="43"/>
      <c r="APD3" s="44"/>
      <c r="APE3" s="42">
        <v>46352</v>
      </c>
      <c r="APF3" s="43"/>
      <c r="APG3" s="44"/>
      <c r="APH3" s="42">
        <v>46353</v>
      </c>
      <c r="API3" s="43"/>
      <c r="APJ3" s="44"/>
      <c r="APK3" s="42">
        <v>46354</v>
      </c>
      <c r="APL3" s="43"/>
      <c r="APM3" s="44"/>
      <c r="APN3" s="42">
        <v>46355</v>
      </c>
      <c r="APO3" s="43"/>
      <c r="APP3" s="44"/>
      <c r="APQ3" s="42">
        <v>46356</v>
      </c>
      <c r="APR3" s="43"/>
      <c r="APS3" s="44"/>
      <c r="APT3" s="37"/>
      <c r="APU3" s="42">
        <v>46357</v>
      </c>
      <c r="APV3" s="43"/>
      <c r="APW3" s="44"/>
      <c r="APX3" s="42">
        <v>46358</v>
      </c>
      <c r="APY3" s="43"/>
      <c r="APZ3" s="44"/>
      <c r="AQA3" s="42">
        <v>46359</v>
      </c>
      <c r="AQB3" s="43"/>
      <c r="AQC3" s="44"/>
      <c r="AQD3" s="42">
        <v>46360</v>
      </c>
      <c r="AQE3" s="43"/>
      <c r="AQF3" s="44"/>
      <c r="AQG3" s="42">
        <v>46361</v>
      </c>
      <c r="AQH3" s="43"/>
      <c r="AQI3" s="44"/>
      <c r="AQJ3" s="42">
        <v>46362</v>
      </c>
      <c r="AQK3" s="43"/>
      <c r="AQL3" s="44"/>
      <c r="AQM3" s="42">
        <v>46363</v>
      </c>
      <c r="AQN3" s="43"/>
      <c r="AQO3" s="44"/>
      <c r="AQP3" s="42">
        <v>46364</v>
      </c>
      <c r="AQQ3" s="43"/>
      <c r="AQR3" s="44"/>
      <c r="AQS3" s="42">
        <v>46365</v>
      </c>
      <c r="AQT3" s="43"/>
      <c r="AQU3" s="44"/>
      <c r="AQV3" s="42">
        <v>46366</v>
      </c>
      <c r="AQW3" s="43"/>
      <c r="AQX3" s="44"/>
      <c r="AQY3" s="42">
        <v>46367</v>
      </c>
      <c r="AQZ3" s="43"/>
      <c r="ARA3" s="44"/>
      <c r="ARB3" s="42">
        <v>46368</v>
      </c>
      <c r="ARC3" s="43"/>
      <c r="ARD3" s="44"/>
      <c r="ARE3" s="42">
        <v>46369</v>
      </c>
      <c r="ARF3" s="43"/>
      <c r="ARG3" s="44"/>
      <c r="ARH3" s="42">
        <v>46370</v>
      </c>
      <c r="ARI3" s="43"/>
      <c r="ARJ3" s="44"/>
      <c r="ARK3" s="42">
        <v>46371</v>
      </c>
      <c r="ARL3" s="43"/>
      <c r="ARM3" s="44"/>
      <c r="ARN3" s="42">
        <v>46372</v>
      </c>
      <c r="ARO3" s="43"/>
      <c r="ARP3" s="44"/>
      <c r="ARQ3" s="42">
        <v>46373</v>
      </c>
      <c r="ARR3" s="43"/>
      <c r="ARS3" s="44"/>
      <c r="ART3" s="42">
        <v>46374</v>
      </c>
      <c r="ARU3" s="43"/>
      <c r="ARV3" s="44"/>
      <c r="ARW3" s="42">
        <v>46375</v>
      </c>
      <c r="ARX3" s="43"/>
      <c r="ARY3" s="44"/>
      <c r="ARZ3" s="42">
        <v>46376</v>
      </c>
      <c r="ASA3" s="43"/>
      <c r="ASB3" s="44"/>
      <c r="ASC3" s="42">
        <v>46377</v>
      </c>
      <c r="ASD3" s="43"/>
      <c r="ASE3" s="44"/>
      <c r="ASF3" s="42">
        <v>46378</v>
      </c>
      <c r="ASG3" s="43"/>
      <c r="ASH3" s="44"/>
      <c r="ASI3" s="42">
        <v>46379</v>
      </c>
      <c r="ASJ3" s="43"/>
      <c r="ASK3" s="44"/>
      <c r="ASL3" s="42">
        <v>46380</v>
      </c>
      <c r="ASM3" s="43"/>
      <c r="ASN3" s="44"/>
      <c r="ASO3" s="42">
        <v>46381</v>
      </c>
      <c r="ASP3" s="43"/>
      <c r="ASQ3" s="44"/>
      <c r="ASR3" s="42">
        <v>46382</v>
      </c>
      <c r="ASS3" s="43"/>
      <c r="AST3" s="44"/>
      <c r="ASU3" s="42">
        <v>46383</v>
      </c>
      <c r="ASV3" s="43"/>
      <c r="ASW3" s="44"/>
      <c r="ASX3" s="42">
        <v>46384</v>
      </c>
      <c r="ASY3" s="43"/>
      <c r="ASZ3" s="44"/>
      <c r="ATA3" s="42">
        <v>46385</v>
      </c>
      <c r="ATB3" s="43"/>
      <c r="ATC3" s="44"/>
      <c r="ATD3" s="42">
        <v>46386</v>
      </c>
      <c r="ATE3" s="43"/>
      <c r="ATF3" s="44"/>
      <c r="ATG3" s="37"/>
      <c r="ATH3" s="42">
        <v>46388</v>
      </c>
      <c r="ATI3" s="43"/>
      <c r="ATJ3" s="44"/>
      <c r="ATK3" s="42">
        <v>46389</v>
      </c>
      <c r="ATL3" s="43"/>
      <c r="ATM3" s="44"/>
      <c r="ATN3" s="42">
        <v>46390</v>
      </c>
      <c r="ATO3" s="43"/>
      <c r="ATP3" s="44"/>
      <c r="ATQ3" s="42">
        <v>46391</v>
      </c>
      <c r="ATR3" s="43"/>
      <c r="ATS3" s="44"/>
      <c r="ATT3" s="42">
        <v>46392</v>
      </c>
      <c r="ATU3" s="43"/>
      <c r="ATV3" s="44"/>
      <c r="ATW3" s="42">
        <v>46393</v>
      </c>
      <c r="ATX3" s="43"/>
      <c r="ATY3" s="44"/>
      <c r="ATZ3" s="42">
        <v>46394</v>
      </c>
      <c r="AUA3" s="43"/>
      <c r="AUB3" s="44"/>
      <c r="AUC3" s="42">
        <v>46395</v>
      </c>
      <c r="AUD3" s="43"/>
      <c r="AUE3" s="44"/>
      <c r="AUF3" s="42">
        <v>46396</v>
      </c>
      <c r="AUG3" s="43"/>
      <c r="AUH3" s="44"/>
      <c r="AUI3" s="42">
        <v>46397</v>
      </c>
      <c r="AUJ3" s="43"/>
      <c r="AUK3" s="44"/>
      <c r="AUL3" s="42">
        <v>46398</v>
      </c>
      <c r="AUM3" s="43"/>
      <c r="AUN3" s="44"/>
      <c r="AUO3" s="42">
        <v>46399</v>
      </c>
      <c r="AUP3" s="43"/>
      <c r="AUQ3" s="44"/>
      <c r="AUR3" s="42">
        <v>46400</v>
      </c>
      <c r="AUS3" s="43"/>
      <c r="AUT3" s="44"/>
      <c r="AUU3" s="42">
        <v>46401</v>
      </c>
      <c r="AUV3" s="43"/>
      <c r="AUW3" s="44"/>
      <c r="AUX3" s="42">
        <v>46402</v>
      </c>
      <c r="AUY3" s="43"/>
      <c r="AUZ3" s="44"/>
      <c r="AVA3" s="42">
        <v>46403</v>
      </c>
      <c r="AVB3" s="43"/>
      <c r="AVC3" s="44"/>
      <c r="AVD3" s="42">
        <v>46404</v>
      </c>
      <c r="AVE3" s="43"/>
      <c r="AVF3" s="44"/>
      <c r="AVG3" s="42">
        <v>46405</v>
      </c>
      <c r="AVH3" s="43"/>
      <c r="AVI3" s="44"/>
      <c r="AVJ3" s="42">
        <v>46406</v>
      </c>
      <c r="AVK3" s="43"/>
      <c r="AVL3" s="44"/>
      <c r="AVM3" s="42">
        <v>46407</v>
      </c>
      <c r="AVN3" s="43"/>
      <c r="AVO3" s="44"/>
      <c r="AVP3" s="42">
        <v>46408</v>
      </c>
      <c r="AVQ3" s="43"/>
      <c r="AVR3" s="44"/>
      <c r="AVS3" s="42">
        <v>46409</v>
      </c>
      <c r="AVT3" s="43"/>
      <c r="AVU3" s="44"/>
      <c r="AVV3" s="42">
        <v>46410</v>
      </c>
      <c r="AVW3" s="43"/>
      <c r="AVX3" s="44"/>
      <c r="AVY3" s="42">
        <v>46411</v>
      </c>
      <c r="AVZ3" s="43"/>
      <c r="AWA3" s="44"/>
      <c r="AWB3" s="42">
        <v>46412</v>
      </c>
      <c r="AWC3" s="43"/>
      <c r="AWD3" s="44"/>
      <c r="AWE3" s="42">
        <v>46413</v>
      </c>
      <c r="AWF3" s="43"/>
      <c r="AWG3" s="44"/>
      <c r="AWH3" s="42">
        <v>46414</v>
      </c>
      <c r="AWI3" s="43"/>
      <c r="AWJ3" s="44"/>
      <c r="AWK3" s="42">
        <v>46415</v>
      </c>
      <c r="AWL3" s="43"/>
      <c r="AWM3" s="44"/>
      <c r="AWN3" s="42">
        <v>46416</v>
      </c>
      <c r="AWO3" s="43"/>
      <c r="AWP3" s="44"/>
      <c r="AWQ3" s="42">
        <v>46417</v>
      </c>
      <c r="AWR3" s="43"/>
      <c r="AWS3" s="44"/>
      <c r="AWT3" s="37"/>
      <c r="AWU3" s="42">
        <v>46419</v>
      </c>
      <c r="AWV3" s="43"/>
      <c r="AWW3" s="44"/>
      <c r="AWX3" s="42">
        <v>46420</v>
      </c>
      <c r="AWY3" s="43"/>
      <c r="AWZ3" s="44"/>
      <c r="AXA3" s="42">
        <v>46421</v>
      </c>
      <c r="AXB3" s="43"/>
      <c r="AXC3" s="44"/>
      <c r="AXD3" s="42">
        <v>46422</v>
      </c>
      <c r="AXE3" s="43"/>
      <c r="AXF3" s="44"/>
      <c r="AXG3" s="42">
        <v>46423</v>
      </c>
      <c r="AXH3" s="43"/>
      <c r="AXI3" s="44"/>
      <c r="AXJ3" s="42">
        <v>46424</v>
      </c>
      <c r="AXK3" s="43"/>
      <c r="AXL3" s="44"/>
      <c r="AXM3" s="42">
        <v>46425</v>
      </c>
      <c r="AXN3" s="43"/>
      <c r="AXO3" s="44"/>
      <c r="AXP3" s="42">
        <v>46426</v>
      </c>
      <c r="AXQ3" s="43"/>
      <c r="AXR3" s="44"/>
      <c r="AXS3" s="42">
        <v>46427</v>
      </c>
      <c r="AXT3" s="43"/>
      <c r="AXU3" s="44"/>
      <c r="AXV3" s="42">
        <v>46428</v>
      </c>
      <c r="AXW3" s="43"/>
      <c r="AXX3" s="44"/>
      <c r="AXY3" s="42">
        <v>46429</v>
      </c>
      <c r="AXZ3" s="43"/>
      <c r="AYA3" s="44"/>
      <c r="AYB3" s="42">
        <v>46430</v>
      </c>
      <c r="AYC3" s="43"/>
      <c r="AYD3" s="44"/>
      <c r="AYE3" s="42">
        <v>46431</v>
      </c>
      <c r="AYF3" s="43"/>
      <c r="AYG3" s="44"/>
      <c r="AYH3" s="42">
        <v>46432</v>
      </c>
      <c r="AYI3" s="43"/>
      <c r="AYJ3" s="44"/>
      <c r="AYK3" s="42">
        <v>46433</v>
      </c>
      <c r="AYL3" s="43"/>
      <c r="AYM3" s="44"/>
      <c r="AYN3" s="42">
        <v>46434</v>
      </c>
      <c r="AYO3" s="43"/>
      <c r="AYP3" s="44"/>
      <c r="AYQ3" s="42">
        <v>46435</v>
      </c>
      <c r="AYR3" s="43"/>
      <c r="AYS3" s="44"/>
      <c r="AYT3" s="42">
        <v>46436</v>
      </c>
      <c r="AYU3" s="43"/>
      <c r="AYV3" s="44"/>
      <c r="AYW3" s="42">
        <v>46437</v>
      </c>
      <c r="AYX3" s="43"/>
      <c r="AYY3" s="44"/>
      <c r="AYZ3" s="42">
        <v>46438</v>
      </c>
      <c r="AZA3" s="43"/>
      <c r="AZB3" s="44"/>
      <c r="AZC3" s="42">
        <v>46439</v>
      </c>
      <c r="AZD3" s="43"/>
      <c r="AZE3" s="44"/>
      <c r="AZF3" s="42">
        <v>46440</v>
      </c>
      <c r="AZG3" s="43"/>
      <c r="AZH3" s="44"/>
      <c r="AZI3" s="42">
        <v>46441</v>
      </c>
      <c r="AZJ3" s="43"/>
      <c r="AZK3" s="44"/>
      <c r="AZL3" s="42">
        <v>46442</v>
      </c>
      <c r="AZM3" s="43"/>
      <c r="AZN3" s="44"/>
      <c r="AZO3" s="42">
        <v>46443</v>
      </c>
      <c r="AZP3" s="43"/>
      <c r="AZQ3" s="44"/>
      <c r="AZR3" s="42">
        <v>46444</v>
      </c>
      <c r="AZS3" s="43"/>
      <c r="AZT3" s="44"/>
      <c r="AZU3" s="42">
        <v>46445</v>
      </c>
      <c r="AZV3" s="43"/>
      <c r="AZW3" s="44"/>
      <c r="AZX3" s="42">
        <v>46446</v>
      </c>
      <c r="AZY3" s="43"/>
      <c r="AZZ3" s="44"/>
      <c r="BAA3" s="37"/>
      <c r="BAB3" s="42">
        <v>46447</v>
      </c>
      <c r="BAC3" s="43"/>
      <c r="BAD3" s="44"/>
      <c r="BAE3" s="42">
        <v>46448</v>
      </c>
      <c r="BAF3" s="43"/>
      <c r="BAG3" s="44"/>
      <c r="BAH3" s="42">
        <v>46449</v>
      </c>
      <c r="BAI3" s="43"/>
      <c r="BAJ3" s="44"/>
      <c r="BAK3" s="42">
        <v>46450</v>
      </c>
      <c r="BAL3" s="43"/>
      <c r="BAM3" s="44"/>
      <c r="BAN3" s="42">
        <v>46451</v>
      </c>
      <c r="BAO3" s="43"/>
      <c r="BAP3" s="44"/>
      <c r="BAQ3" s="42">
        <v>46452</v>
      </c>
      <c r="BAR3" s="43"/>
      <c r="BAS3" s="44"/>
      <c r="BAT3" s="42">
        <v>46453</v>
      </c>
      <c r="BAU3" s="43"/>
      <c r="BAV3" s="44"/>
      <c r="BAW3" s="42">
        <v>46454</v>
      </c>
      <c r="BAX3" s="43"/>
      <c r="BAY3" s="44"/>
      <c r="BAZ3" s="42">
        <v>46455</v>
      </c>
      <c r="BBA3" s="43"/>
      <c r="BBB3" s="44"/>
      <c r="BBC3" s="42">
        <v>46456</v>
      </c>
      <c r="BBD3" s="43"/>
      <c r="BBE3" s="44"/>
      <c r="BBF3" s="42">
        <v>46457</v>
      </c>
      <c r="BBG3" s="43"/>
      <c r="BBH3" s="44"/>
      <c r="BBI3" s="42">
        <v>46458</v>
      </c>
      <c r="BBJ3" s="43"/>
      <c r="BBK3" s="44"/>
      <c r="BBL3" s="42">
        <v>46459</v>
      </c>
      <c r="BBM3" s="43"/>
      <c r="BBN3" s="44"/>
      <c r="BBO3" s="42">
        <v>46460</v>
      </c>
      <c r="BBP3" s="43"/>
      <c r="BBQ3" s="44"/>
      <c r="BBR3" s="42">
        <v>46461</v>
      </c>
      <c r="BBS3" s="43"/>
      <c r="BBT3" s="44"/>
      <c r="BBU3" s="42">
        <v>46462</v>
      </c>
      <c r="BBV3" s="43"/>
      <c r="BBW3" s="44"/>
      <c r="BBX3" s="42">
        <v>46463</v>
      </c>
      <c r="BBY3" s="43"/>
      <c r="BBZ3" s="44"/>
      <c r="BCA3" s="42">
        <v>46464</v>
      </c>
      <c r="BCB3" s="43"/>
      <c r="BCC3" s="44"/>
      <c r="BCD3" s="42">
        <v>46465</v>
      </c>
      <c r="BCE3" s="43"/>
      <c r="BCF3" s="44"/>
      <c r="BCG3" s="42">
        <v>46466</v>
      </c>
      <c r="BCH3" s="43"/>
      <c r="BCI3" s="44"/>
      <c r="BCJ3" s="42">
        <v>46467</v>
      </c>
      <c r="BCK3" s="43"/>
      <c r="BCL3" s="44"/>
      <c r="BCM3" s="42">
        <v>46468</v>
      </c>
      <c r="BCN3" s="43"/>
      <c r="BCO3" s="44"/>
      <c r="BCP3" s="42">
        <v>46469</v>
      </c>
      <c r="BCQ3" s="43"/>
      <c r="BCR3" s="44"/>
      <c r="BCS3" s="42">
        <v>46470</v>
      </c>
      <c r="BCT3" s="43"/>
      <c r="BCU3" s="44"/>
      <c r="BCV3" s="42">
        <v>46471</v>
      </c>
      <c r="BCW3" s="43"/>
      <c r="BCX3" s="44"/>
      <c r="BCY3" s="42">
        <v>46472</v>
      </c>
      <c r="BCZ3" s="43"/>
      <c r="BDA3" s="44"/>
      <c r="BDB3" s="42">
        <v>46473</v>
      </c>
      <c r="BDC3" s="43"/>
      <c r="BDD3" s="44"/>
      <c r="BDE3" s="42">
        <v>46474</v>
      </c>
      <c r="BDF3" s="43"/>
      <c r="BDG3" s="44"/>
      <c r="BDH3" s="42">
        <v>46475</v>
      </c>
      <c r="BDI3" s="43"/>
      <c r="BDJ3" s="44"/>
      <c r="BDK3" s="42">
        <v>46476</v>
      </c>
      <c r="BDL3" s="43"/>
      <c r="BDM3" s="44"/>
      <c r="BDN3" s="42">
        <v>46477</v>
      </c>
      <c r="BDO3" s="43"/>
      <c r="BDP3" s="44"/>
      <c r="BDQ3" s="37"/>
      <c r="BDR3" s="42">
        <v>46478</v>
      </c>
      <c r="BDS3" s="43"/>
      <c r="BDT3" s="44"/>
      <c r="BDU3" s="42">
        <v>46479</v>
      </c>
      <c r="BDV3" s="43"/>
      <c r="BDW3" s="44"/>
      <c r="BDX3" s="42">
        <v>46480</v>
      </c>
      <c r="BDY3" s="43"/>
      <c r="BDZ3" s="44"/>
      <c r="BEA3" s="42">
        <v>46481</v>
      </c>
      <c r="BEB3" s="43"/>
      <c r="BEC3" s="44"/>
      <c r="BED3" s="42">
        <v>46482</v>
      </c>
      <c r="BEE3" s="43"/>
      <c r="BEF3" s="44"/>
      <c r="BEG3" s="42">
        <v>46483</v>
      </c>
      <c r="BEH3" s="43"/>
      <c r="BEI3" s="44"/>
      <c r="BEJ3" s="42">
        <v>46484</v>
      </c>
      <c r="BEK3" s="43"/>
      <c r="BEL3" s="44"/>
      <c r="BEM3" s="42">
        <v>46485</v>
      </c>
      <c r="BEN3" s="43"/>
      <c r="BEO3" s="44"/>
      <c r="BEP3" s="42">
        <v>46486</v>
      </c>
      <c r="BEQ3" s="43"/>
      <c r="BER3" s="44"/>
      <c r="BES3" s="42">
        <v>46487</v>
      </c>
      <c r="BET3" s="43"/>
      <c r="BEU3" s="44"/>
      <c r="BEV3" s="42">
        <v>46488</v>
      </c>
      <c r="BEW3" s="43"/>
      <c r="BEX3" s="44"/>
      <c r="BEY3" s="42">
        <v>46489</v>
      </c>
      <c r="BEZ3" s="43"/>
      <c r="BFA3" s="44"/>
      <c r="BFB3" s="42">
        <v>46490</v>
      </c>
      <c r="BFC3" s="43"/>
      <c r="BFD3" s="44"/>
      <c r="BFE3" s="42">
        <v>46491</v>
      </c>
      <c r="BFF3" s="43"/>
      <c r="BFG3" s="44"/>
      <c r="BFH3" s="42">
        <v>46492</v>
      </c>
      <c r="BFI3" s="43"/>
      <c r="BFJ3" s="44"/>
      <c r="BFK3" s="42">
        <v>46493</v>
      </c>
      <c r="BFL3" s="43"/>
      <c r="BFM3" s="44"/>
      <c r="BFN3" s="42">
        <v>46494</v>
      </c>
      <c r="BFO3" s="43"/>
      <c r="BFP3" s="44"/>
      <c r="BFQ3" s="42">
        <v>46495</v>
      </c>
      <c r="BFR3" s="43"/>
      <c r="BFS3" s="44"/>
      <c r="BFT3" s="42">
        <v>46496</v>
      </c>
      <c r="BFU3" s="43"/>
      <c r="BFV3" s="44"/>
      <c r="BFW3" s="42">
        <v>46497</v>
      </c>
      <c r="BFX3" s="43"/>
      <c r="BFY3" s="44"/>
      <c r="BFZ3" s="42">
        <v>46498</v>
      </c>
      <c r="BGA3" s="43"/>
      <c r="BGB3" s="44"/>
      <c r="BGC3" s="42">
        <v>46499</v>
      </c>
      <c r="BGD3" s="43"/>
      <c r="BGE3" s="44"/>
      <c r="BGF3" s="42">
        <v>46500</v>
      </c>
      <c r="BGG3" s="43"/>
      <c r="BGH3" s="44"/>
      <c r="BGI3" s="42">
        <v>46501</v>
      </c>
      <c r="BGJ3" s="43"/>
      <c r="BGK3" s="44"/>
      <c r="BGL3" s="42">
        <v>46502</v>
      </c>
      <c r="BGM3" s="43"/>
      <c r="BGN3" s="44"/>
      <c r="BGO3" s="42">
        <v>46503</v>
      </c>
      <c r="BGP3" s="43"/>
      <c r="BGQ3" s="44"/>
      <c r="BGR3" s="42">
        <v>46504</v>
      </c>
      <c r="BGS3" s="43"/>
      <c r="BGT3" s="44"/>
      <c r="BGU3" s="42">
        <v>46505</v>
      </c>
      <c r="BGV3" s="43"/>
      <c r="BGW3" s="44"/>
      <c r="BGX3" s="42">
        <v>46506</v>
      </c>
      <c r="BGY3" s="43"/>
      <c r="BGZ3" s="44"/>
      <c r="BHA3" s="42">
        <v>46507</v>
      </c>
      <c r="BHB3" s="43"/>
      <c r="BHC3" s="44"/>
      <c r="BHD3" s="37"/>
    </row>
    <row r="4" spans="1:1564" s="21" customFormat="1" ht="72" customHeight="1" x14ac:dyDescent="0.3">
      <c r="A4" s="17" t="s">
        <v>234</v>
      </c>
      <c r="B4" s="40" t="s">
        <v>235</v>
      </c>
      <c r="C4" s="40" t="s">
        <v>236</v>
      </c>
      <c r="D4" s="40" t="s">
        <v>237</v>
      </c>
      <c r="E4" s="37"/>
      <c r="F4" s="18" t="s">
        <v>238</v>
      </c>
      <c r="G4" s="18" t="s">
        <v>239</v>
      </c>
      <c r="H4" s="18" t="s">
        <v>240</v>
      </c>
      <c r="I4" s="18" t="s">
        <v>238</v>
      </c>
      <c r="J4" s="18" t="s">
        <v>239</v>
      </c>
      <c r="K4" s="18" t="s">
        <v>240</v>
      </c>
      <c r="L4" s="18" t="s">
        <v>238</v>
      </c>
      <c r="M4" s="18" t="s">
        <v>239</v>
      </c>
      <c r="N4" s="18" t="s">
        <v>240</v>
      </c>
      <c r="O4" s="18" t="s">
        <v>238</v>
      </c>
      <c r="P4" s="18" t="s">
        <v>239</v>
      </c>
      <c r="Q4" s="18" t="s">
        <v>240</v>
      </c>
      <c r="R4" s="18" t="s">
        <v>238</v>
      </c>
      <c r="S4" s="18" t="s">
        <v>239</v>
      </c>
      <c r="T4" s="18" t="s">
        <v>240</v>
      </c>
      <c r="U4" s="18" t="s">
        <v>238</v>
      </c>
      <c r="V4" s="18" t="s">
        <v>239</v>
      </c>
      <c r="W4" s="18" t="s">
        <v>240</v>
      </c>
      <c r="X4" s="18" t="s">
        <v>238</v>
      </c>
      <c r="Y4" s="18" t="s">
        <v>239</v>
      </c>
      <c r="Z4" s="18" t="s">
        <v>240</v>
      </c>
      <c r="AA4" s="18" t="s">
        <v>238</v>
      </c>
      <c r="AB4" s="18" t="s">
        <v>239</v>
      </c>
      <c r="AC4" s="18" t="s">
        <v>240</v>
      </c>
      <c r="AD4" s="18" t="s">
        <v>238</v>
      </c>
      <c r="AE4" s="18" t="s">
        <v>239</v>
      </c>
      <c r="AF4" s="18" t="s">
        <v>240</v>
      </c>
      <c r="AG4" s="18" t="s">
        <v>238</v>
      </c>
      <c r="AH4" s="18" t="s">
        <v>239</v>
      </c>
      <c r="AI4" s="18" t="s">
        <v>240</v>
      </c>
      <c r="AJ4" s="18" t="s">
        <v>238</v>
      </c>
      <c r="AK4" s="18" t="s">
        <v>239</v>
      </c>
      <c r="AL4" s="18" t="s">
        <v>240</v>
      </c>
      <c r="AM4" s="18" t="s">
        <v>238</v>
      </c>
      <c r="AN4" s="18" t="s">
        <v>239</v>
      </c>
      <c r="AO4" s="18" t="s">
        <v>240</v>
      </c>
      <c r="AP4" s="18" t="s">
        <v>238</v>
      </c>
      <c r="AQ4" s="18" t="s">
        <v>239</v>
      </c>
      <c r="AR4" s="18" t="s">
        <v>240</v>
      </c>
      <c r="AS4" s="18" t="s">
        <v>238</v>
      </c>
      <c r="AT4" s="18" t="s">
        <v>239</v>
      </c>
      <c r="AU4" s="18" t="s">
        <v>240</v>
      </c>
      <c r="AV4" s="18" t="s">
        <v>238</v>
      </c>
      <c r="AW4" s="18" t="s">
        <v>239</v>
      </c>
      <c r="AX4" s="18" t="s">
        <v>240</v>
      </c>
      <c r="AY4" s="18" t="s">
        <v>238</v>
      </c>
      <c r="AZ4" s="18" t="s">
        <v>239</v>
      </c>
      <c r="BA4" s="18" t="s">
        <v>240</v>
      </c>
      <c r="BB4" s="18" t="s">
        <v>238</v>
      </c>
      <c r="BC4" s="18" t="s">
        <v>239</v>
      </c>
      <c r="BD4" s="18" t="s">
        <v>240</v>
      </c>
      <c r="BE4" s="18" t="s">
        <v>238</v>
      </c>
      <c r="BF4" s="18" t="s">
        <v>239</v>
      </c>
      <c r="BG4" s="18" t="s">
        <v>240</v>
      </c>
      <c r="BH4" s="18" t="s">
        <v>238</v>
      </c>
      <c r="BI4" s="18" t="s">
        <v>239</v>
      </c>
      <c r="BJ4" s="18" t="s">
        <v>240</v>
      </c>
      <c r="BK4" s="18" t="s">
        <v>238</v>
      </c>
      <c r="BL4" s="18" t="s">
        <v>239</v>
      </c>
      <c r="BM4" s="18" t="s">
        <v>240</v>
      </c>
      <c r="BN4" s="18" t="s">
        <v>238</v>
      </c>
      <c r="BO4" s="18" t="s">
        <v>239</v>
      </c>
      <c r="BP4" s="18" t="s">
        <v>240</v>
      </c>
      <c r="BQ4" s="18" t="s">
        <v>238</v>
      </c>
      <c r="BR4" s="18" t="s">
        <v>239</v>
      </c>
      <c r="BS4" s="18" t="s">
        <v>240</v>
      </c>
      <c r="BT4" s="18" t="s">
        <v>238</v>
      </c>
      <c r="BU4" s="18" t="s">
        <v>239</v>
      </c>
      <c r="BV4" s="18" t="s">
        <v>240</v>
      </c>
      <c r="BW4" s="18" t="s">
        <v>238</v>
      </c>
      <c r="BX4" s="18" t="s">
        <v>239</v>
      </c>
      <c r="BY4" s="18" t="s">
        <v>240</v>
      </c>
      <c r="BZ4" s="18" t="s">
        <v>238</v>
      </c>
      <c r="CA4" s="18" t="s">
        <v>239</v>
      </c>
      <c r="CB4" s="18" t="s">
        <v>240</v>
      </c>
      <c r="CC4" s="18" t="s">
        <v>238</v>
      </c>
      <c r="CD4" s="18" t="s">
        <v>239</v>
      </c>
      <c r="CE4" s="18" t="s">
        <v>240</v>
      </c>
      <c r="CF4" s="18" t="s">
        <v>238</v>
      </c>
      <c r="CG4" s="18" t="s">
        <v>239</v>
      </c>
      <c r="CH4" s="18" t="s">
        <v>240</v>
      </c>
      <c r="CI4" s="18" t="s">
        <v>238</v>
      </c>
      <c r="CJ4" s="18" t="s">
        <v>239</v>
      </c>
      <c r="CK4" s="18" t="s">
        <v>240</v>
      </c>
      <c r="CL4" s="18" t="s">
        <v>238</v>
      </c>
      <c r="CM4" s="18" t="s">
        <v>239</v>
      </c>
      <c r="CN4" s="18" t="s">
        <v>240</v>
      </c>
      <c r="CO4" s="18" t="s">
        <v>238</v>
      </c>
      <c r="CP4" s="18" t="s">
        <v>239</v>
      </c>
      <c r="CQ4" s="18" t="s">
        <v>240</v>
      </c>
      <c r="CR4" s="18" t="s">
        <v>238</v>
      </c>
      <c r="CS4" s="18" t="s">
        <v>239</v>
      </c>
      <c r="CT4" s="19" t="s">
        <v>240</v>
      </c>
      <c r="CU4" s="37"/>
      <c r="CV4" s="20" t="s">
        <v>238</v>
      </c>
      <c r="CW4" s="18" t="s">
        <v>239</v>
      </c>
      <c r="CX4" s="18" t="s">
        <v>240</v>
      </c>
      <c r="CY4" s="18" t="s">
        <v>238</v>
      </c>
      <c r="CZ4" s="18" t="s">
        <v>239</v>
      </c>
      <c r="DA4" s="18" t="s">
        <v>240</v>
      </c>
      <c r="DB4" s="20" t="s">
        <v>238</v>
      </c>
      <c r="DC4" s="18" t="s">
        <v>239</v>
      </c>
      <c r="DD4" s="18" t="s">
        <v>240</v>
      </c>
      <c r="DE4" s="18" t="s">
        <v>238</v>
      </c>
      <c r="DF4" s="18" t="s">
        <v>239</v>
      </c>
      <c r="DG4" s="18" t="s">
        <v>240</v>
      </c>
      <c r="DH4" s="18" t="s">
        <v>238</v>
      </c>
      <c r="DI4" s="18" t="s">
        <v>239</v>
      </c>
      <c r="DJ4" s="18" t="s">
        <v>240</v>
      </c>
      <c r="DK4" s="18" t="s">
        <v>238</v>
      </c>
      <c r="DL4" s="18" t="s">
        <v>239</v>
      </c>
      <c r="DM4" s="18" t="s">
        <v>240</v>
      </c>
      <c r="DN4" s="18" t="s">
        <v>238</v>
      </c>
      <c r="DO4" s="18" t="s">
        <v>239</v>
      </c>
      <c r="DP4" s="18" t="s">
        <v>240</v>
      </c>
      <c r="DQ4" s="18" t="s">
        <v>238</v>
      </c>
      <c r="DR4" s="18" t="s">
        <v>239</v>
      </c>
      <c r="DS4" s="18" t="s">
        <v>240</v>
      </c>
      <c r="DT4" s="18" t="s">
        <v>238</v>
      </c>
      <c r="DU4" s="18" t="s">
        <v>239</v>
      </c>
      <c r="DV4" s="18" t="s">
        <v>240</v>
      </c>
      <c r="DW4" s="18" t="s">
        <v>238</v>
      </c>
      <c r="DX4" s="18" t="s">
        <v>239</v>
      </c>
      <c r="DY4" s="18" t="s">
        <v>240</v>
      </c>
      <c r="DZ4" s="18" t="s">
        <v>238</v>
      </c>
      <c r="EA4" s="18" t="s">
        <v>239</v>
      </c>
      <c r="EB4" s="18" t="s">
        <v>240</v>
      </c>
      <c r="EC4" s="18" t="s">
        <v>238</v>
      </c>
      <c r="ED4" s="18" t="s">
        <v>239</v>
      </c>
      <c r="EE4" s="18" t="s">
        <v>240</v>
      </c>
      <c r="EF4" s="18" t="s">
        <v>238</v>
      </c>
      <c r="EG4" s="18" t="s">
        <v>239</v>
      </c>
      <c r="EH4" s="18" t="s">
        <v>240</v>
      </c>
      <c r="EI4" s="18" t="s">
        <v>238</v>
      </c>
      <c r="EJ4" s="18" t="s">
        <v>239</v>
      </c>
      <c r="EK4" s="18" t="s">
        <v>240</v>
      </c>
      <c r="EL4" s="18" t="s">
        <v>238</v>
      </c>
      <c r="EM4" s="18" t="s">
        <v>239</v>
      </c>
      <c r="EN4" s="18" t="s">
        <v>240</v>
      </c>
      <c r="EO4" s="18" t="s">
        <v>238</v>
      </c>
      <c r="EP4" s="18" t="s">
        <v>239</v>
      </c>
      <c r="EQ4" s="18" t="s">
        <v>240</v>
      </c>
      <c r="ER4" s="18" t="s">
        <v>238</v>
      </c>
      <c r="ES4" s="18" t="s">
        <v>239</v>
      </c>
      <c r="ET4" s="18" t="s">
        <v>240</v>
      </c>
      <c r="EU4" s="18" t="s">
        <v>238</v>
      </c>
      <c r="EV4" s="18" t="s">
        <v>239</v>
      </c>
      <c r="EW4" s="18" t="s">
        <v>240</v>
      </c>
      <c r="EX4" s="18" t="s">
        <v>238</v>
      </c>
      <c r="EY4" s="18" t="s">
        <v>239</v>
      </c>
      <c r="EZ4" s="18" t="s">
        <v>240</v>
      </c>
      <c r="FA4" s="18" t="s">
        <v>238</v>
      </c>
      <c r="FB4" s="18" t="s">
        <v>239</v>
      </c>
      <c r="FC4" s="18" t="s">
        <v>240</v>
      </c>
      <c r="FD4" s="18" t="s">
        <v>238</v>
      </c>
      <c r="FE4" s="18" t="s">
        <v>239</v>
      </c>
      <c r="FF4" s="18" t="s">
        <v>240</v>
      </c>
      <c r="FG4" s="18" t="s">
        <v>238</v>
      </c>
      <c r="FH4" s="18" t="s">
        <v>239</v>
      </c>
      <c r="FI4" s="18" t="s">
        <v>240</v>
      </c>
      <c r="FJ4" s="18" t="s">
        <v>238</v>
      </c>
      <c r="FK4" s="18" t="s">
        <v>239</v>
      </c>
      <c r="FL4" s="18" t="s">
        <v>240</v>
      </c>
      <c r="FM4" s="18" t="s">
        <v>238</v>
      </c>
      <c r="FN4" s="18" t="s">
        <v>239</v>
      </c>
      <c r="FO4" s="18" t="s">
        <v>240</v>
      </c>
      <c r="FP4" s="18" t="s">
        <v>238</v>
      </c>
      <c r="FQ4" s="18" t="s">
        <v>239</v>
      </c>
      <c r="FR4" s="18" t="s">
        <v>240</v>
      </c>
      <c r="FS4" s="18" t="s">
        <v>238</v>
      </c>
      <c r="FT4" s="18" t="s">
        <v>239</v>
      </c>
      <c r="FU4" s="18" t="s">
        <v>240</v>
      </c>
      <c r="FV4" s="18" t="s">
        <v>238</v>
      </c>
      <c r="FW4" s="18" t="s">
        <v>239</v>
      </c>
      <c r="FX4" s="18" t="s">
        <v>240</v>
      </c>
      <c r="FY4" s="18" t="s">
        <v>238</v>
      </c>
      <c r="FZ4" s="18" t="s">
        <v>239</v>
      </c>
      <c r="GA4" s="18" t="s">
        <v>240</v>
      </c>
      <c r="GB4" s="18" t="s">
        <v>238</v>
      </c>
      <c r="GC4" s="18" t="s">
        <v>239</v>
      </c>
      <c r="GD4" s="18" t="s">
        <v>240</v>
      </c>
      <c r="GE4" s="18" t="s">
        <v>238</v>
      </c>
      <c r="GF4" s="18" t="s">
        <v>239</v>
      </c>
      <c r="GG4" s="18" t="s">
        <v>240</v>
      </c>
      <c r="GH4" s="18" t="s">
        <v>238</v>
      </c>
      <c r="GI4" s="18" t="s">
        <v>239</v>
      </c>
      <c r="GJ4" s="19" t="s">
        <v>240</v>
      </c>
      <c r="GK4" s="37"/>
      <c r="GL4" s="20" t="s">
        <v>238</v>
      </c>
      <c r="GM4" s="18" t="s">
        <v>239</v>
      </c>
      <c r="GN4" s="18" t="s">
        <v>240</v>
      </c>
      <c r="GO4" s="18" t="s">
        <v>238</v>
      </c>
      <c r="GP4" s="18" t="s">
        <v>239</v>
      </c>
      <c r="GQ4" s="18" t="s">
        <v>240</v>
      </c>
      <c r="GR4" s="18" t="s">
        <v>238</v>
      </c>
      <c r="GS4" s="18" t="s">
        <v>239</v>
      </c>
      <c r="GT4" s="18" t="s">
        <v>240</v>
      </c>
      <c r="GU4" s="18" t="s">
        <v>238</v>
      </c>
      <c r="GV4" s="18" t="s">
        <v>239</v>
      </c>
      <c r="GW4" s="18" t="s">
        <v>240</v>
      </c>
      <c r="GX4" s="18" t="s">
        <v>238</v>
      </c>
      <c r="GY4" s="18" t="s">
        <v>239</v>
      </c>
      <c r="GZ4" s="18" t="s">
        <v>240</v>
      </c>
      <c r="HA4" s="18" t="s">
        <v>238</v>
      </c>
      <c r="HB4" s="18" t="s">
        <v>239</v>
      </c>
      <c r="HC4" s="18" t="s">
        <v>240</v>
      </c>
      <c r="HD4" s="18" t="s">
        <v>238</v>
      </c>
      <c r="HE4" s="18" t="s">
        <v>239</v>
      </c>
      <c r="HF4" s="18" t="s">
        <v>240</v>
      </c>
      <c r="HG4" s="18" t="s">
        <v>238</v>
      </c>
      <c r="HH4" s="18" t="s">
        <v>239</v>
      </c>
      <c r="HI4" s="18" t="s">
        <v>240</v>
      </c>
      <c r="HJ4" s="18" t="s">
        <v>238</v>
      </c>
      <c r="HK4" s="18" t="s">
        <v>239</v>
      </c>
      <c r="HL4" s="18" t="s">
        <v>240</v>
      </c>
      <c r="HM4" s="18" t="s">
        <v>238</v>
      </c>
      <c r="HN4" s="18" t="s">
        <v>239</v>
      </c>
      <c r="HO4" s="18" t="s">
        <v>240</v>
      </c>
      <c r="HP4" s="18" t="s">
        <v>238</v>
      </c>
      <c r="HQ4" s="18" t="s">
        <v>239</v>
      </c>
      <c r="HR4" s="18" t="s">
        <v>240</v>
      </c>
      <c r="HS4" s="18" t="s">
        <v>238</v>
      </c>
      <c r="HT4" s="18" t="s">
        <v>239</v>
      </c>
      <c r="HU4" s="18" t="s">
        <v>240</v>
      </c>
      <c r="HV4" s="18" t="s">
        <v>238</v>
      </c>
      <c r="HW4" s="18" t="s">
        <v>239</v>
      </c>
      <c r="HX4" s="18" t="s">
        <v>240</v>
      </c>
      <c r="HY4" s="18" t="s">
        <v>238</v>
      </c>
      <c r="HZ4" s="18" t="s">
        <v>239</v>
      </c>
      <c r="IA4" s="18" t="s">
        <v>240</v>
      </c>
      <c r="IB4" s="18" t="s">
        <v>238</v>
      </c>
      <c r="IC4" s="18" t="s">
        <v>239</v>
      </c>
      <c r="ID4" s="18" t="s">
        <v>240</v>
      </c>
      <c r="IE4" s="18" t="s">
        <v>238</v>
      </c>
      <c r="IF4" s="18" t="s">
        <v>239</v>
      </c>
      <c r="IG4" s="18" t="s">
        <v>240</v>
      </c>
      <c r="IH4" s="18" t="s">
        <v>238</v>
      </c>
      <c r="II4" s="18" t="s">
        <v>239</v>
      </c>
      <c r="IJ4" s="18" t="s">
        <v>240</v>
      </c>
      <c r="IK4" s="18" t="s">
        <v>238</v>
      </c>
      <c r="IL4" s="18" t="s">
        <v>239</v>
      </c>
      <c r="IM4" s="18" t="s">
        <v>240</v>
      </c>
      <c r="IN4" s="18" t="s">
        <v>238</v>
      </c>
      <c r="IO4" s="18" t="s">
        <v>239</v>
      </c>
      <c r="IP4" s="18" t="s">
        <v>240</v>
      </c>
      <c r="IQ4" s="18" t="s">
        <v>238</v>
      </c>
      <c r="IR4" s="18" t="s">
        <v>239</v>
      </c>
      <c r="IS4" s="18" t="s">
        <v>240</v>
      </c>
      <c r="IT4" s="18" t="s">
        <v>238</v>
      </c>
      <c r="IU4" s="18" t="s">
        <v>239</v>
      </c>
      <c r="IV4" s="18" t="s">
        <v>240</v>
      </c>
      <c r="IW4" s="18" t="s">
        <v>238</v>
      </c>
      <c r="IX4" s="18" t="s">
        <v>239</v>
      </c>
      <c r="IY4" s="18" t="s">
        <v>240</v>
      </c>
      <c r="IZ4" s="18" t="s">
        <v>238</v>
      </c>
      <c r="JA4" s="18" t="s">
        <v>239</v>
      </c>
      <c r="JB4" s="18" t="s">
        <v>240</v>
      </c>
      <c r="JC4" s="18" t="s">
        <v>238</v>
      </c>
      <c r="JD4" s="18" t="s">
        <v>239</v>
      </c>
      <c r="JE4" s="18" t="s">
        <v>240</v>
      </c>
      <c r="JF4" s="18" t="s">
        <v>238</v>
      </c>
      <c r="JG4" s="18" t="s">
        <v>239</v>
      </c>
      <c r="JH4" s="18" t="s">
        <v>240</v>
      </c>
      <c r="JI4" s="18" t="s">
        <v>238</v>
      </c>
      <c r="JJ4" s="18" t="s">
        <v>239</v>
      </c>
      <c r="JK4" s="18" t="s">
        <v>240</v>
      </c>
      <c r="JL4" s="18" t="s">
        <v>238</v>
      </c>
      <c r="JM4" s="18" t="s">
        <v>239</v>
      </c>
      <c r="JN4" s="18" t="s">
        <v>240</v>
      </c>
      <c r="JO4" s="18" t="s">
        <v>238</v>
      </c>
      <c r="JP4" s="18" t="s">
        <v>239</v>
      </c>
      <c r="JQ4" s="18" t="s">
        <v>240</v>
      </c>
      <c r="JR4" s="37"/>
      <c r="JS4" s="20" t="s">
        <v>238</v>
      </c>
      <c r="JT4" s="18" t="s">
        <v>239</v>
      </c>
      <c r="JU4" s="18" t="s">
        <v>240</v>
      </c>
      <c r="JV4" s="18" t="s">
        <v>238</v>
      </c>
      <c r="JW4" s="18" t="s">
        <v>239</v>
      </c>
      <c r="JX4" s="18" t="s">
        <v>240</v>
      </c>
      <c r="JY4" s="18" t="s">
        <v>238</v>
      </c>
      <c r="JZ4" s="18" t="s">
        <v>239</v>
      </c>
      <c r="KA4" s="18" t="s">
        <v>240</v>
      </c>
      <c r="KB4" s="18" t="s">
        <v>238</v>
      </c>
      <c r="KC4" s="18" t="s">
        <v>239</v>
      </c>
      <c r="KD4" s="18" t="s">
        <v>240</v>
      </c>
      <c r="KE4" s="18" t="s">
        <v>238</v>
      </c>
      <c r="KF4" s="18" t="s">
        <v>239</v>
      </c>
      <c r="KG4" s="18" t="s">
        <v>240</v>
      </c>
      <c r="KH4" s="18" t="s">
        <v>238</v>
      </c>
      <c r="KI4" s="18" t="s">
        <v>239</v>
      </c>
      <c r="KJ4" s="18" t="s">
        <v>240</v>
      </c>
      <c r="KK4" s="18" t="s">
        <v>238</v>
      </c>
      <c r="KL4" s="18" t="s">
        <v>239</v>
      </c>
      <c r="KM4" s="18" t="s">
        <v>240</v>
      </c>
      <c r="KN4" s="18" t="s">
        <v>238</v>
      </c>
      <c r="KO4" s="18" t="s">
        <v>239</v>
      </c>
      <c r="KP4" s="18" t="s">
        <v>240</v>
      </c>
      <c r="KQ4" s="18" t="s">
        <v>238</v>
      </c>
      <c r="KR4" s="18" t="s">
        <v>239</v>
      </c>
      <c r="KS4" s="18" t="s">
        <v>240</v>
      </c>
      <c r="KT4" s="18" t="s">
        <v>238</v>
      </c>
      <c r="KU4" s="18" t="s">
        <v>239</v>
      </c>
      <c r="KV4" s="18" t="s">
        <v>240</v>
      </c>
      <c r="KW4" s="18" t="s">
        <v>238</v>
      </c>
      <c r="KX4" s="18" t="s">
        <v>239</v>
      </c>
      <c r="KY4" s="18" t="s">
        <v>240</v>
      </c>
      <c r="KZ4" s="18" t="s">
        <v>238</v>
      </c>
      <c r="LA4" s="18" t="s">
        <v>239</v>
      </c>
      <c r="LB4" s="18" t="s">
        <v>240</v>
      </c>
      <c r="LC4" s="18" t="s">
        <v>238</v>
      </c>
      <c r="LD4" s="18" t="s">
        <v>239</v>
      </c>
      <c r="LE4" s="18" t="s">
        <v>240</v>
      </c>
      <c r="LF4" s="18" t="s">
        <v>238</v>
      </c>
      <c r="LG4" s="18" t="s">
        <v>239</v>
      </c>
      <c r="LH4" s="18" t="s">
        <v>240</v>
      </c>
      <c r="LI4" s="18" t="s">
        <v>238</v>
      </c>
      <c r="LJ4" s="18" t="s">
        <v>239</v>
      </c>
      <c r="LK4" s="18" t="s">
        <v>240</v>
      </c>
      <c r="LL4" s="18" t="s">
        <v>238</v>
      </c>
      <c r="LM4" s="18" t="s">
        <v>239</v>
      </c>
      <c r="LN4" s="18" t="s">
        <v>240</v>
      </c>
      <c r="LO4" s="18" t="s">
        <v>238</v>
      </c>
      <c r="LP4" s="18" t="s">
        <v>239</v>
      </c>
      <c r="LQ4" s="18" t="s">
        <v>240</v>
      </c>
      <c r="LR4" s="18" t="s">
        <v>238</v>
      </c>
      <c r="LS4" s="18" t="s">
        <v>239</v>
      </c>
      <c r="LT4" s="18" t="s">
        <v>240</v>
      </c>
      <c r="LU4" s="18" t="s">
        <v>238</v>
      </c>
      <c r="LV4" s="18" t="s">
        <v>239</v>
      </c>
      <c r="LW4" s="18" t="s">
        <v>240</v>
      </c>
      <c r="LX4" s="18" t="s">
        <v>238</v>
      </c>
      <c r="LY4" s="18" t="s">
        <v>239</v>
      </c>
      <c r="LZ4" s="18" t="s">
        <v>240</v>
      </c>
      <c r="MA4" s="18" t="s">
        <v>238</v>
      </c>
      <c r="MB4" s="18" t="s">
        <v>239</v>
      </c>
      <c r="MC4" s="18" t="s">
        <v>240</v>
      </c>
      <c r="MD4" s="18" t="s">
        <v>238</v>
      </c>
      <c r="ME4" s="18" t="s">
        <v>239</v>
      </c>
      <c r="MF4" s="18" t="s">
        <v>240</v>
      </c>
      <c r="MG4" s="18" t="s">
        <v>238</v>
      </c>
      <c r="MH4" s="18" t="s">
        <v>239</v>
      </c>
      <c r="MI4" s="18" t="s">
        <v>240</v>
      </c>
      <c r="MJ4" s="18" t="s">
        <v>238</v>
      </c>
      <c r="MK4" s="18" t="s">
        <v>239</v>
      </c>
      <c r="ML4" s="18" t="s">
        <v>240</v>
      </c>
      <c r="MM4" s="18" t="s">
        <v>238</v>
      </c>
      <c r="MN4" s="18" t="s">
        <v>239</v>
      </c>
      <c r="MO4" s="18" t="s">
        <v>240</v>
      </c>
      <c r="MP4" s="18" t="s">
        <v>238</v>
      </c>
      <c r="MQ4" s="18" t="s">
        <v>239</v>
      </c>
      <c r="MR4" s="18" t="s">
        <v>240</v>
      </c>
      <c r="MS4" s="18" t="s">
        <v>238</v>
      </c>
      <c r="MT4" s="18" t="s">
        <v>239</v>
      </c>
      <c r="MU4" s="18" t="s">
        <v>240</v>
      </c>
      <c r="MV4" s="18" t="s">
        <v>238</v>
      </c>
      <c r="MW4" s="18" t="s">
        <v>239</v>
      </c>
      <c r="MX4" s="18" t="s">
        <v>240</v>
      </c>
      <c r="MY4" s="18" t="s">
        <v>238</v>
      </c>
      <c r="MZ4" s="18" t="s">
        <v>239</v>
      </c>
      <c r="NA4" s="18" t="s">
        <v>240</v>
      </c>
      <c r="NB4" s="18" t="s">
        <v>238</v>
      </c>
      <c r="NC4" s="18" t="s">
        <v>239</v>
      </c>
      <c r="ND4" s="18" t="s">
        <v>240</v>
      </c>
      <c r="NE4" s="18" t="s">
        <v>238</v>
      </c>
      <c r="NF4" s="18" t="s">
        <v>239</v>
      </c>
      <c r="NG4" s="19" t="s">
        <v>240</v>
      </c>
      <c r="NH4" s="37"/>
      <c r="NI4" s="20" t="s">
        <v>238</v>
      </c>
      <c r="NJ4" s="18" t="s">
        <v>239</v>
      </c>
      <c r="NK4" s="18" t="s">
        <v>240</v>
      </c>
      <c r="NL4" s="18" t="s">
        <v>238</v>
      </c>
      <c r="NM4" s="18" t="s">
        <v>239</v>
      </c>
      <c r="NN4" s="18" t="s">
        <v>240</v>
      </c>
      <c r="NO4" s="18" t="s">
        <v>238</v>
      </c>
      <c r="NP4" s="18" t="s">
        <v>239</v>
      </c>
      <c r="NQ4" s="18" t="s">
        <v>240</v>
      </c>
      <c r="NR4" s="18" t="s">
        <v>238</v>
      </c>
      <c r="NS4" s="18" t="s">
        <v>239</v>
      </c>
      <c r="NT4" s="18" t="s">
        <v>240</v>
      </c>
      <c r="NU4" s="18" t="s">
        <v>238</v>
      </c>
      <c r="NV4" s="18" t="s">
        <v>239</v>
      </c>
      <c r="NW4" s="18" t="s">
        <v>240</v>
      </c>
      <c r="NX4" s="18" t="s">
        <v>238</v>
      </c>
      <c r="NY4" s="18" t="s">
        <v>239</v>
      </c>
      <c r="NZ4" s="18" t="s">
        <v>240</v>
      </c>
      <c r="OA4" s="18" t="s">
        <v>238</v>
      </c>
      <c r="OB4" s="18" t="s">
        <v>239</v>
      </c>
      <c r="OC4" s="18" t="s">
        <v>240</v>
      </c>
      <c r="OD4" s="18" t="s">
        <v>238</v>
      </c>
      <c r="OE4" s="18" t="s">
        <v>239</v>
      </c>
      <c r="OF4" s="18" t="s">
        <v>240</v>
      </c>
      <c r="OG4" s="18" t="s">
        <v>238</v>
      </c>
      <c r="OH4" s="18" t="s">
        <v>239</v>
      </c>
      <c r="OI4" s="18" t="s">
        <v>240</v>
      </c>
      <c r="OJ4" s="18" t="s">
        <v>238</v>
      </c>
      <c r="OK4" s="18" t="s">
        <v>239</v>
      </c>
      <c r="OL4" s="18" t="s">
        <v>240</v>
      </c>
      <c r="OM4" s="18" t="s">
        <v>238</v>
      </c>
      <c r="ON4" s="18" t="s">
        <v>239</v>
      </c>
      <c r="OO4" s="18" t="s">
        <v>240</v>
      </c>
      <c r="OP4" s="18" t="s">
        <v>238</v>
      </c>
      <c r="OQ4" s="18" t="s">
        <v>239</v>
      </c>
      <c r="OR4" s="18" t="s">
        <v>240</v>
      </c>
      <c r="OS4" s="18" t="s">
        <v>238</v>
      </c>
      <c r="OT4" s="18" t="s">
        <v>239</v>
      </c>
      <c r="OU4" s="18" t="s">
        <v>240</v>
      </c>
      <c r="OV4" s="18" t="s">
        <v>238</v>
      </c>
      <c r="OW4" s="18" t="s">
        <v>239</v>
      </c>
      <c r="OX4" s="18" t="s">
        <v>240</v>
      </c>
      <c r="OY4" s="18" t="s">
        <v>238</v>
      </c>
      <c r="OZ4" s="18" t="s">
        <v>239</v>
      </c>
      <c r="PA4" s="18" t="s">
        <v>240</v>
      </c>
      <c r="PB4" s="18" t="s">
        <v>238</v>
      </c>
      <c r="PC4" s="18" t="s">
        <v>239</v>
      </c>
      <c r="PD4" s="18" t="s">
        <v>240</v>
      </c>
      <c r="PE4" s="18" t="s">
        <v>238</v>
      </c>
      <c r="PF4" s="18" t="s">
        <v>239</v>
      </c>
      <c r="PG4" s="18" t="s">
        <v>240</v>
      </c>
      <c r="PH4" s="18" t="s">
        <v>238</v>
      </c>
      <c r="PI4" s="18" t="s">
        <v>239</v>
      </c>
      <c r="PJ4" s="18" t="s">
        <v>240</v>
      </c>
      <c r="PK4" s="18" t="s">
        <v>238</v>
      </c>
      <c r="PL4" s="18" t="s">
        <v>239</v>
      </c>
      <c r="PM4" s="18" t="s">
        <v>240</v>
      </c>
      <c r="PN4" s="18" t="s">
        <v>238</v>
      </c>
      <c r="PO4" s="18" t="s">
        <v>239</v>
      </c>
      <c r="PP4" s="18" t="s">
        <v>240</v>
      </c>
      <c r="PQ4" s="18" t="s">
        <v>238</v>
      </c>
      <c r="PR4" s="18" t="s">
        <v>239</v>
      </c>
      <c r="PS4" s="18" t="s">
        <v>240</v>
      </c>
      <c r="PT4" s="18" t="s">
        <v>238</v>
      </c>
      <c r="PU4" s="18" t="s">
        <v>239</v>
      </c>
      <c r="PV4" s="18" t="s">
        <v>240</v>
      </c>
      <c r="PW4" s="18" t="s">
        <v>238</v>
      </c>
      <c r="PX4" s="18" t="s">
        <v>239</v>
      </c>
      <c r="PY4" s="18" t="s">
        <v>240</v>
      </c>
      <c r="PZ4" s="18" t="s">
        <v>238</v>
      </c>
      <c r="QA4" s="18" t="s">
        <v>239</v>
      </c>
      <c r="QB4" s="18" t="s">
        <v>240</v>
      </c>
      <c r="QC4" s="18" t="s">
        <v>238</v>
      </c>
      <c r="QD4" s="18" t="s">
        <v>239</v>
      </c>
      <c r="QE4" s="18" t="s">
        <v>240</v>
      </c>
      <c r="QF4" s="18" t="s">
        <v>238</v>
      </c>
      <c r="QG4" s="18" t="s">
        <v>239</v>
      </c>
      <c r="QH4" s="18" t="s">
        <v>240</v>
      </c>
      <c r="QI4" s="18" t="s">
        <v>238</v>
      </c>
      <c r="QJ4" s="18" t="s">
        <v>239</v>
      </c>
      <c r="QK4" s="18" t="s">
        <v>240</v>
      </c>
      <c r="QL4" s="18" t="s">
        <v>238</v>
      </c>
      <c r="QM4" s="18" t="s">
        <v>239</v>
      </c>
      <c r="QN4" s="18" t="s">
        <v>240</v>
      </c>
      <c r="QO4" s="18" t="s">
        <v>238</v>
      </c>
      <c r="QP4" s="18" t="s">
        <v>239</v>
      </c>
      <c r="QQ4" s="18" t="s">
        <v>240</v>
      </c>
      <c r="QR4" s="18" t="s">
        <v>238</v>
      </c>
      <c r="QS4" s="18" t="s">
        <v>239</v>
      </c>
      <c r="QT4" s="18" t="s">
        <v>240</v>
      </c>
      <c r="QU4" s="37"/>
      <c r="QV4" s="20" t="s">
        <v>238</v>
      </c>
      <c r="QW4" s="18" t="s">
        <v>239</v>
      </c>
      <c r="QX4" s="18" t="s">
        <v>240</v>
      </c>
      <c r="QY4" s="18" t="s">
        <v>238</v>
      </c>
      <c r="QZ4" s="18" t="s">
        <v>239</v>
      </c>
      <c r="RA4" s="18" t="s">
        <v>240</v>
      </c>
      <c r="RB4" s="18" t="s">
        <v>238</v>
      </c>
      <c r="RC4" s="18" t="s">
        <v>239</v>
      </c>
      <c r="RD4" s="18" t="s">
        <v>240</v>
      </c>
      <c r="RE4" s="18" t="s">
        <v>238</v>
      </c>
      <c r="RF4" s="18" t="s">
        <v>239</v>
      </c>
      <c r="RG4" s="18" t="s">
        <v>240</v>
      </c>
      <c r="RH4" s="18" t="s">
        <v>238</v>
      </c>
      <c r="RI4" s="18" t="s">
        <v>239</v>
      </c>
      <c r="RJ4" s="18" t="s">
        <v>240</v>
      </c>
      <c r="RK4" s="18" t="s">
        <v>238</v>
      </c>
      <c r="RL4" s="18" t="s">
        <v>239</v>
      </c>
      <c r="RM4" s="18" t="s">
        <v>240</v>
      </c>
      <c r="RN4" s="18" t="s">
        <v>238</v>
      </c>
      <c r="RO4" s="18" t="s">
        <v>239</v>
      </c>
      <c r="RP4" s="18" t="s">
        <v>240</v>
      </c>
      <c r="RQ4" s="18" t="s">
        <v>238</v>
      </c>
      <c r="RR4" s="18" t="s">
        <v>239</v>
      </c>
      <c r="RS4" s="18" t="s">
        <v>240</v>
      </c>
      <c r="RT4" s="18" t="s">
        <v>238</v>
      </c>
      <c r="RU4" s="18" t="s">
        <v>239</v>
      </c>
      <c r="RV4" s="18" t="s">
        <v>240</v>
      </c>
      <c r="RW4" s="18" t="s">
        <v>238</v>
      </c>
      <c r="RX4" s="18" t="s">
        <v>239</v>
      </c>
      <c r="RY4" s="18" t="s">
        <v>240</v>
      </c>
      <c r="RZ4" s="18" t="s">
        <v>238</v>
      </c>
      <c r="SA4" s="18" t="s">
        <v>239</v>
      </c>
      <c r="SB4" s="18" t="s">
        <v>240</v>
      </c>
      <c r="SC4" s="18" t="s">
        <v>238</v>
      </c>
      <c r="SD4" s="18" t="s">
        <v>239</v>
      </c>
      <c r="SE4" s="18" t="s">
        <v>240</v>
      </c>
      <c r="SF4" s="18" t="s">
        <v>238</v>
      </c>
      <c r="SG4" s="18" t="s">
        <v>239</v>
      </c>
      <c r="SH4" s="18" t="s">
        <v>240</v>
      </c>
      <c r="SI4" s="18" t="s">
        <v>238</v>
      </c>
      <c r="SJ4" s="18" t="s">
        <v>239</v>
      </c>
      <c r="SK4" s="18" t="s">
        <v>240</v>
      </c>
      <c r="SL4" s="18" t="s">
        <v>238</v>
      </c>
      <c r="SM4" s="18" t="s">
        <v>239</v>
      </c>
      <c r="SN4" s="18" t="s">
        <v>240</v>
      </c>
      <c r="SO4" s="18" t="s">
        <v>238</v>
      </c>
      <c r="SP4" s="18" t="s">
        <v>239</v>
      </c>
      <c r="SQ4" s="18" t="s">
        <v>240</v>
      </c>
      <c r="SR4" s="18" t="s">
        <v>238</v>
      </c>
      <c r="SS4" s="18" t="s">
        <v>239</v>
      </c>
      <c r="ST4" s="18" t="s">
        <v>240</v>
      </c>
      <c r="SU4" s="18" t="s">
        <v>238</v>
      </c>
      <c r="SV4" s="18" t="s">
        <v>239</v>
      </c>
      <c r="SW4" s="18" t="s">
        <v>240</v>
      </c>
      <c r="SX4" s="18" t="s">
        <v>238</v>
      </c>
      <c r="SY4" s="18" t="s">
        <v>239</v>
      </c>
      <c r="SZ4" s="18" t="s">
        <v>240</v>
      </c>
      <c r="TA4" s="18" t="s">
        <v>238</v>
      </c>
      <c r="TB4" s="18" t="s">
        <v>239</v>
      </c>
      <c r="TC4" s="18" t="s">
        <v>240</v>
      </c>
      <c r="TD4" s="18" t="s">
        <v>238</v>
      </c>
      <c r="TE4" s="18" t="s">
        <v>239</v>
      </c>
      <c r="TF4" s="18" t="s">
        <v>240</v>
      </c>
      <c r="TG4" s="18" t="s">
        <v>238</v>
      </c>
      <c r="TH4" s="18" t="s">
        <v>239</v>
      </c>
      <c r="TI4" s="18" t="s">
        <v>240</v>
      </c>
      <c r="TJ4" s="18" t="s">
        <v>238</v>
      </c>
      <c r="TK4" s="18" t="s">
        <v>239</v>
      </c>
      <c r="TL4" s="18" t="s">
        <v>240</v>
      </c>
      <c r="TM4" s="18" t="s">
        <v>238</v>
      </c>
      <c r="TN4" s="18" t="s">
        <v>239</v>
      </c>
      <c r="TO4" s="18" t="s">
        <v>240</v>
      </c>
      <c r="TP4" s="18" t="s">
        <v>238</v>
      </c>
      <c r="TQ4" s="18" t="s">
        <v>239</v>
      </c>
      <c r="TR4" s="18" t="s">
        <v>240</v>
      </c>
      <c r="TS4" s="18" t="s">
        <v>238</v>
      </c>
      <c r="TT4" s="18" t="s">
        <v>239</v>
      </c>
      <c r="TU4" s="18" t="s">
        <v>240</v>
      </c>
      <c r="TV4" s="18" t="s">
        <v>238</v>
      </c>
      <c r="TW4" s="18" t="s">
        <v>239</v>
      </c>
      <c r="TX4" s="18" t="s">
        <v>240</v>
      </c>
      <c r="TY4" s="18" t="s">
        <v>238</v>
      </c>
      <c r="TZ4" s="18" t="s">
        <v>239</v>
      </c>
      <c r="UA4" s="18" t="s">
        <v>240</v>
      </c>
      <c r="UB4" s="18" t="s">
        <v>238</v>
      </c>
      <c r="UC4" s="18" t="s">
        <v>239</v>
      </c>
      <c r="UD4" s="18" t="s">
        <v>240</v>
      </c>
      <c r="UE4" s="18" t="s">
        <v>238</v>
      </c>
      <c r="UF4" s="18" t="s">
        <v>239</v>
      </c>
      <c r="UG4" s="18" t="s">
        <v>240</v>
      </c>
      <c r="UH4" s="18" t="s">
        <v>238</v>
      </c>
      <c r="UI4" s="18" t="s">
        <v>239</v>
      </c>
      <c r="UJ4" s="19" t="s">
        <v>240</v>
      </c>
      <c r="UK4" s="37"/>
      <c r="UL4" s="20" t="s">
        <v>238</v>
      </c>
      <c r="UM4" s="18" t="s">
        <v>239</v>
      </c>
      <c r="UN4" s="18" t="s">
        <v>240</v>
      </c>
      <c r="UO4" s="18" t="s">
        <v>238</v>
      </c>
      <c r="UP4" s="18" t="s">
        <v>239</v>
      </c>
      <c r="UQ4" s="18" t="s">
        <v>240</v>
      </c>
      <c r="UR4" s="18" t="s">
        <v>238</v>
      </c>
      <c r="US4" s="18" t="s">
        <v>239</v>
      </c>
      <c r="UT4" s="18" t="s">
        <v>240</v>
      </c>
      <c r="UU4" s="18" t="s">
        <v>238</v>
      </c>
      <c r="UV4" s="18" t="s">
        <v>239</v>
      </c>
      <c r="UW4" s="18" t="s">
        <v>240</v>
      </c>
      <c r="UX4" s="18" t="s">
        <v>238</v>
      </c>
      <c r="UY4" s="18" t="s">
        <v>239</v>
      </c>
      <c r="UZ4" s="18" t="s">
        <v>240</v>
      </c>
      <c r="VA4" s="18" t="s">
        <v>238</v>
      </c>
      <c r="VB4" s="18" t="s">
        <v>239</v>
      </c>
      <c r="VC4" s="18" t="s">
        <v>240</v>
      </c>
      <c r="VD4" s="18" t="s">
        <v>238</v>
      </c>
      <c r="VE4" s="18" t="s">
        <v>239</v>
      </c>
      <c r="VF4" s="18" t="s">
        <v>240</v>
      </c>
      <c r="VG4" s="18" t="s">
        <v>238</v>
      </c>
      <c r="VH4" s="18" t="s">
        <v>239</v>
      </c>
      <c r="VI4" s="18" t="s">
        <v>240</v>
      </c>
      <c r="VJ4" s="18" t="s">
        <v>238</v>
      </c>
      <c r="VK4" s="18" t="s">
        <v>239</v>
      </c>
      <c r="VL4" s="18" t="s">
        <v>240</v>
      </c>
      <c r="VM4" s="18" t="s">
        <v>238</v>
      </c>
      <c r="VN4" s="18" t="s">
        <v>239</v>
      </c>
      <c r="VO4" s="18" t="s">
        <v>240</v>
      </c>
      <c r="VP4" s="18" t="s">
        <v>238</v>
      </c>
      <c r="VQ4" s="18" t="s">
        <v>239</v>
      </c>
      <c r="VR4" s="18" t="s">
        <v>240</v>
      </c>
      <c r="VS4" s="18" t="s">
        <v>238</v>
      </c>
      <c r="VT4" s="18" t="s">
        <v>239</v>
      </c>
      <c r="VU4" s="18" t="s">
        <v>240</v>
      </c>
      <c r="VV4" s="18" t="s">
        <v>238</v>
      </c>
      <c r="VW4" s="18" t="s">
        <v>239</v>
      </c>
      <c r="VX4" s="18" t="s">
        <v>240</v>
      </c>
      <c r="VY4" s="18" t="s">
        <v>238</v>
      </c>
      <c r="VZ4" s="18" t="s">
        <v>239</v>
      </c>
      <c r="WA4" s="18" t="s">
        <v>240</v>
      </c>
      <c r="WB4" s="18" t="s">
        <v>238</v>
      </c>
      <c r="WC4" s="18" t="s">
        <v>239</v>
      </c>
      <c r="WD4" s="18" t="s">
        <v>240</v>
      </c>
      <c r="WE4" s="18" t="s">
        <v>238</v>
      </c>
      <c r="WF4" s="18" t="s">
        <v>239</v>
      </c>
      <c r="WG4" s="18" t="s">
        <v>240</v>
      </c>
      <c r="WH4" s="18" t="s">
        <v>238</v>
      </c>
      <c r="WI4" s="18" t="s">
        <v>239</v>
      </c>
      <c r="WJ4" s="18" t="s">
        <v>240</v>
      </c>
      <c r="WK4" s="18" t="s">
        <v>238</v>
      </c>
      <c r="WL4" s="18" t="s">
        <v>239</v>
      </c>
      <c r="WM4" s="18" t="s">
        <v>240</v>
      </c>
      <c r="WN4" s="18" t="s">
        <v>238</v>
      </c>
      <c r="WO4" s="18" t="s">
        <v>239</v>
      </c>
      <c r="WP4" s="18" t="s">
        <v>240</v>
      </c>
      <c r="WQ4" s="18" t="s">
        <v>238</v>
      </c>
      <c r="WR4" s="18" t="s">
        <v>239</v>
      </c>
      <c r="WS4" s="18" t="s">
        <v>240</v>
      </c>
      <c r="WT4" s="18" t="s">
        <v>238</v>
      </c>
      <c r="WU4" s="18" t="s">
        <v>239</v>
      </c>
      <c r="WV4" s="18" t="s">
        <v>240</v>
      </c>
      <c r="WW4" s="18" t="s">
        <v>238</v>
      </c>
      <c r="WX4" s="18" t="s">
        <v>239</v>
      </c>
      <c r="WY4" s="18" t="s">
        <v>240</v>
      </c>
      <c r="WZ4" s="18" t="s">
        <v>238</v>
      </c>
      <c r="XA4" s="18" t="s">
        <v>239</v>
      </c>
      <c r="XB4" s="18" t="s">
        <v>240</v>
      </c>
      <c r="XC4" s="18" t="s">
        <v>238</v>
      </c>
      <c r="XD4" s="18" t="s">
        <v>239</v>
      </c>
      <c r="XE4" s="18" t="s">
        <v>240</v>
      </c>
      <c r="XF4" s="18" t="s">
        <v>238</v>
      </c>
      <c r="XG4" s="18" t="s">
        <v>239</v>
      </c>
      <c r="XH4" s="18" t="s">
        <v>240</v>
      </c>
      <c r="XI4" s="18" t="s">
        <v>238</v>
      </c>
      <c r="XJ4" s="18" t="s">
        <v>239</v>
      </c>
      <c r="XK4" s="18" t="s">
        <v>240</v>
      </c>
      <c r="XL4" s="18" t="s">
        <v>238</v>
      </c>
      <c r="XM4" s="18" t="s">
        <v>239</v>
      </c>
      <c r="XN4" s="18" t="s">
        <v>240</v>
      </c>
      <c r="XO4" s="18" t="s">
        <v>238</v>
      </c>
      <c r="XP4" s="18" t="s">
        <v>239</v>
      </c>
      <c r="XQ4" s="18" t="s">
        <v>240</v>
      </c>
      <c r="XR4" s="18" t="s">
        <v>238</v>
      </c>
      <c r="XS4" s="18" t="s">
        <v>239</v>
      </c>
      <c r="XT4" s="18" t="s">
        <v>240</v>
      </c>
      <c r="XU4" s="18" t="s">
        <v>238</v>
      </c>
      <c r="XV4" s="18" t="s">
        <v>239</v>
      </c>
      <c r="XW4" s="18" t="s">
        <v>240</v>
      </c>
      <c r="XX4" s="37"/>
      <c r="XY4" s="20" t="s">
        <v>238</v>
      </c>
      <c r="XZ4" s="18" t="s">
        <v>239</v>
      </c>
      <c r="YA4" s="18" t="s">
        <v>240</v>
      </c>
      <c r="YB4" s="18" t="s">
        <v>238</v>
      </c>
      <c r="YC4" s="18" t="s">
        <v>239</v>
      </c>
      <c r="YD4" s="18" t="s">
        <v>240</v>
      </c>
      <c r="YE4" s="18" t="s">
        <v>238</v>
      </c>
      <c r="YF4" s="18" t="s">
        <v>239</v>
      </c>
      <c r="YG4" s="18" t="s">
        <v>240</v>
      </c>
      <c r="YH4" s="18" t="s">
        <v>238</v>
      </c>
      <c r="YI4" s="18" t="s">
        <v>239</v>
      </c>
      <c r="YJ4" s="18" t="s">
        <v>240</v>
      </c>
      <c r="YK4" s="18" t="s">
        <v>238</v>
      </c>
      <c r="YL4" s="18" t="s">
        <v>239</v>
      </c>
      <c r="YM4" s="18" t="s">
        <v>240</v>
      </c>
      <c r="YN4" s="18" t="s">
        <v>238</v>
      </c>
      <c r="YO4" s="18" t="s">
        <v>239</v>
      </c>
      <c r="YP4" s="18" t="s">
        <v>240</v>
      </c>
      <c r="YQ4" s="18" t="s">
        <v>238</v>
      </c>
      <c r="YR4" s="18" t="s">
        <v>239</v>
      </c>
      <c r="YS4" s="18" t="s">
        <v>240</v>
      </c>
      <c r="YT4" s="18" t="s">
        <v>238</v>
      </c>
      <c r="YU4" s="18" t="s">
        <v>239</v>
      </c>
      <c r="YV4" s="18" t="s">
        <v>240</v>
      </c>
      <c r="YW4" s="18" t="s">
        <v>238</v>
      </c>
      <c r="YX4" s="18" t="s">
        <v>239</v>
      </c>
      <c r="YY4" s="18" t="s">
        <v>240</v>
      </c>
      <c r="YZ4" s="18" t="s">
        <v>238</v>
      </c>
      <c r="ZA4" s="18" t="s">
        <v>239</v>
      </c>
      <c r="ZB4" s="18" t="s">
        <v>240</v>
      </c>
      <c r="ZC4" s="18" t="s">
        <v>238</v>
      </c>
      <c r="ZD4" s="18" t="s">
        <v>239</v>
      </c>
      <c r="ZE4" s="18" t="s">
        <v>240</v>
      </c>
      <c r="ZF4" s="18" t="s">
        <v>238</v>
      </c>
      <c r="ZG4" s="18" t="s">
        <v>239</v>
      </c>
      <c r="ZH4" s="18" t="s">
        <v>240</v>
      </c>
      <c r="ZI4" s="18" t="s">
        <v>238</v>
      </c>
      <c r="ZJ4" s="18" t="s">
        <v>239</v>
      </c>
      <c r="ZK4" s="18" t="s">
        <v>240</v>
      </c>
      <c r="ZL4" s="18" t="s">
        <v>238</v>
      </c>
      <c r="ZM4" s="18" t="s">
        <v>239</v>
      </c>
      <c r="ZN4" s="18" t="s">
        <v>240</v>
      </c>
      <c r="ZO4" s="18" t="s">
        <v>238</v>
      </c>
      <c r="ZP4" s="18" t="s">
        <v>239</v>
      </c>
      <c r="ZQ4" s="18" t="s">
        <v>240</v>
      </c>
      <c r="ZR4" s="18" t="s">
        <v>238</v>
      </c>
      <c r="ZS4" s="18" t="s">
        <v>239</v>
      </c>
      <c r="ZT4" s="18" t="s">
        <v>240</v>
      </c>
      <c r="ZU4" s="18" t="s">
        <v>238</v>
      </c>
      <c r="ZV4" s="18" t="s">
        <v>239</v>
      </c>
      <c r="ZW4" s="18" t="s">
        <v>240</v>
      </c>
      <c r="ZX4" s="18" t="s">
        <v>238</v>
      </c>
      <c r="ZY4" s="18" t="s">
        <v>239</v>
      </c>
      <c r="ZZ4" s="18" t="s">
        <v>240</v>
      </c>
      <c r="AAA4" s="18" t="s">
        <v>238</v>
      </c>
      <c r="AAB4" s="18" t="s">
        <v>239</v>
      </c>
      <c r="AAC4" s="18" t="s">
        <v>240</v>
      </c>
      <c r="AAD4" s="18" t="s">
        <v>238</v>
      </c>
      <c r="AAE4" s="18" t="s">
        <v>239</v>
      </c>
      <c r="AAF4" s="18" t="s">
        <v>240</v>
      </c>
      <c r="AAG4" s="18" t="s">
        <v>238</v>
      </c>
      <c r="AAH4" s="18" t="s">
        <v>239</v>
      </c>
      <c r="AAI4" s="18" t="s">
        <v>240</v>
      </c>
      <c r="AAJ4" s="18" t="s">
        <v>238</v>
      </c>
      <c r="AAK4" s="18" t="s">
        <v>239</v>
      </c>
      <c r="AAL4" s="18" t="s">
        <v>240</v>
      </c>
      <c r="AAM4" s="18" t="s">
        <v>238</v>
      </c>
      <c r="AAN4" s="18" t="s">
        <v>239</v>
      </c>
      <c r="AAO4" s="18" t="s">
        <v>240</v>
      </c>
      <c r="AAP4" s="18" t="s">
        <v>238</v>
      </c>
      <c r="AAQ4" s="18" t="s">
        <v>239</v>
      </c>
      <c r="AAR4" s="18" t="s">
        <v>240</v>
      </c>
      <c r="AAS4" s="18" t="s">
        <v>238</v>
      </c>
      <c r="AAT4" s="18" t="s">
        <v>239</v>
      </c>
      <c r="AAU4" s="18" t="s">
        <v>240</v>
      </c>
      <c r="AAV4" s="18" t="s">
        <v>238</v>
      </c>
      <c r="AAW4" s="18" t="s">
        <v>239</v>
      </c>
      <c r="AAX4" s="18" t="s">
        <v>240</v>
      </c>
      <c r="AAY4" s="18" t="s">
        <v>238</v>
      </c>
      <c r="AAZ4" s="18" t="s">
        <v>239</v>
      </c>
      <c r="ABA4" s="18" t="s">
        <v>240</v>
      </c>
      <c r="ABB4" s="18" t="s">
        <v>238</v>
      </c>
      <c r="ABC4" s="18" t="s">
        <v>239</v>
      </c>
      <c r="ABD4" s="18" t="s">
        <v>240</v>
      </c>
      <c r="ABE4" s="18" t="s">
        <v>238</v>
      </c>
      <c r="ABF4" s="18" t="s">
        <v>239</v>
      </c>
      <c r="ABG4" s="18" t="s">
        <v>240</v>
      </c>
      <c r="ABH4" s="18" t="s">
        <v>238</v>
      </c>
      <c r="ABI4" s="18" t="s">
        <v>239</v>
      </c>
      <c r="ABJ4" s="18" t="s">
        <v>240</v>
      </c>
      <c r="ABK4" s="18" t="s">
        <v>238</v>
      </c>
      <c r="ABL4" s="18" t="s">
        <v>239</v>
      </c>
      <c r="ABM4" s="19" t="s">
        <v>240</v>
      </c>
      <c r="ABN4" s="37"/>
      <c r="ABO4" s="20" t="s">
        <v>238</v>
      </c>
      <c r="ABP4" s="18" t="s">
        <v>239</v>
      </c>
      <c r="ABQ4" s="18" t="s">
        <v>240</v>
      </c>
      <c r="ABR4" s="18" t="s">
        <v>238</v>
      </c>
      <c r="ABS4" s="18" t="s">
        <v>239</v>
      </c>
      <c r="ABT4" s="18" t="s">
        <v>240</v>
      </c>
      <c r="ABU4" s="18" t="s">
        <v>238</v>
      </c>
      <c r="ABV4" s="18" t="s">
        <v>239</v>
      </c>
      <c r="ABW4" s="18" t="s">
        <v>240</v>
      </c>
      <c r="ABX4" s="18" t="s">
        <v>238</v>
      </c>
      <c r="ABY4" s="18" t="s">
        <v>239</v>
      </c>
      <c r="ABZ4" s="18" t="s">
        <v>240</v>
      </c>
      <c r="ACA4" s="18" t="s">
        <v>238</v>
      </c>
      <c r="ACB4" s="18" t="s">
        <v>239</v>
      </c>
      <c r="ACC4" s="18" t="s">
        <v>240</v>
      </c>
      <c r="ACD4" s="18" t="s">
        <v>238</v>
      </c>
      <c r="ACE4" s="18" t="s">
        <v>239</v>
      </c>
      <c r="ACF4" s="18" t="s">
        <v>240</v>
      </c>
      <c r="ACG4" s="18" t="s">
        <v>238</v>
      </c>
      <c r="ACH4" s="18" t="s">
        <v>239</v>
      </c>
      <c r="ACI4" s="18" t="s">
        <v>240</v>
      </c>
      <c r="ACJ4" s="18" t="s">
        <v>238</v>
      </c>
      <c r="ACK4" s="18" t="s">
        <v>239</v>
      </c>
      <c r="ACL4" s="18" t="s">
        <v>240</v>
      </c>
      <c r="ACM4" s="18" t="s">
        <v>238</v>
      </c>
      <c r="ACN4" s="18" t="s">
        <v>239</v>
      </c>
      <c r="ACO4" s="18" t="s">
        <v>240</v>
      </c>
      <c r="ACP4" s="18" t="s">
        <v>238</v>
      </c>
      <c r="ACQ4" s="18" t="s">
        <v>239</v>
      </c>
      <c r="ACR4" s="18" t="s">
        <v>240</v>
      </c>
      <c r="ACS4" s="18" t="s">
        <v>238</v>
      </c>
      <c r="ACT4" s="18" t="s">
        <v>239</v>
      </c>
      <c r="ACU4" s="18" t="s">
        <v>240</v>
      </c>
      <c r="ACV4" s="18" t="s">
        <v>238</v>
      </c>
      <c r="ACW4" s="18" t="s">
        <v>239</v>
      </c>
      <c r="ACX4" s="18" t="s">
        <v>240</v>
      </c>
      <c r="ACY4" s="18" t="s">
        <v>238</v>
      </c>
      <c r="ACZ4" s="18" t="s">
        <v>239</v>
      </c>
      <c r="ADA4" s="18" t="s">
        <v>240</v>
      </c>
      <c r="ADB4" s="18" t="s">
        <v>238</v>
      </c>
      <c r="ADC4" s="18" t="s">
        <v>239</v>
      </c>
      <c r="ADD4" s="18" t="s">
        <v>240</v>
      </c>
      <c r="ADE4" s="18" t="s">
        <v>238</v>
      </c>
      <c r="ADF4" s="18" t="s">
        <v>239</v>
      </c>
      <c r="ADG4" s="18" t="s">
        <v>240</v>
      </c>
      <c r="ADH4" s="18" t="s">
        <v>238</v>
      </c>
      <c r="ADI4" s="18" t="s">
        <v>239</v>
      </c>
      <c r="ADJ4" s="18" t="s">
        <v>240</v>
      </c>
      <c r="ADK4" s="18" t="s">
        <v>238</v>
      </c>
      <c r="ADL4" s="18" t="s">
        <v>239</v>
      </c>
      <c r="ADM4" s="18" t="s">
        <v>240</v>
      </c>
      <c r="ADN4" s="18" t="s">
        <v>238</v>
      </c>
      <c r="ADO4" s="18" t="s">
        <v>239</v>
      </c>
      <c r="ADP4" s="18" t="s">
        <v>240</v>
      </c>
      <c r="ADQ4" s="18" t="s">
        <v>238</v>
      </c>
      <c r="ADR4" s="18" t="s">
        <v>239</v>
      </c>
      <c r="ADS4" s="18" t="s">
        <v>240</v>
      </c>
      <c r="ADT4" s="18" t="s">
        <v>238</v>
      </c>
      <c r="ADU4" s="18" t="s">
        <v>239</v>
      </c>
      <c r="ADV4" s="18" t="s">
        <v>240</v>
      </c>
      <c r="ADW4" s="18" t="s">
        <v>238</v>
      </c>
      <c r="ADX4" s="18" t="s">
        <v>239</v>
      </c>
      <c r="ADY4" s="18" t="s">
        <v>240</v>
      </c>
      <c r="ADZ4" s="18" t="s">
        <v>238</v>
      </c>
      <c r="AEA4" s="18" t="s">
        <v>239</v>
      </c>
      <c r="AEB4" s="18" t="s">
        <v>240</v>
      </c>
      <c r="AEC4" s="18" t="s">
        <v>238</v>
      </c>
      <c r="AED4" s="18" t="s">
        <v>239</v>
      </c>
      <c r="AEE4" s="18" t="s">
        <v>240</v>
      </c>
      <c r="AEF4" s="18" t="s">
        <v>238</v>
      </c>
      <c r="AEG4" s="18" t="s">
        <v>239</v>
      </c>
      <c r="AEH4" s="18" t="s">
        <v>240</v>
      </c>
      <c r="AEI4" s="18" t="s">
        <v>238</v>
      </c>
      <c r="AEJ4" s="18" t="s">
        <v>239</v>
      </c>
      <c r="AEK4" s="18" t="s">
        <v>240</v>
      </c>
      <c r="AEL4" s="18" t="s">
        <v>238</v>
      </c>
      <c r="AEM4" s="18" t="s">
        <v>239</v>
      </c>
      <c r="AEN4" s="18" t="s">
        <v>240</v>
      </c>
      <c r="AEO4" s="18" t="s">
        <v>238</v>
      </c>
      <c r="AEP4" s="18" t="s">
        <v>239</v>
      </c>
      <c r="AEQ4" s="18" t="s">
        <v>240</v>
      </c>
      <c r="AER4" s="18" t="s">
        <v>238</v>
      </c>
      <c r="AES4" s="18" t="s">
        <v>239</v>
      </c>
      <c r="AET4" s="18" t="s">
        <v>240</v>
      </c>
      <c r="AEU4" s="18" t="s">
        <v>238</v>
      </c>
      <c r="AEV4" s="18" t="s">
        <v>239</v>
      </c>
      <c r="AEW4" s="18" t="s">
        <v>240</v>
      </c>
      <c r="AEX4" s="18" t="s">
        <v>238</v>
      </c>
      <c r="AEY4" s="18" t="s">
        <v>239</v>
      </c>
      <c r="AEZ4" s="18" t="s">
        <v>240</v>
      </c>
      <c r="AFA4" s="18" t="s">
        <v>238</v>
      </c>
      <c r="AFB4" s="18" t="s">
        <v>239</v>
      </c>
      <c r="AFC4" s="19" t="s">
        <v>240</v>
      </c>
      <c r="AFD4" s="37"/>
      <c r="AFE4" s="20" t="s">
        <v>238</v>
      </c>
      <c r="AFF4" s="18" t="s">
        <v>239</v>
      </c>
      <c r="AFG4" s="18" t="s">
        <v>240</v>
      </c>
      <c r="AFH4" s="18" t="s">
        <v>238</v>
      </c>
      <c r="AFI4" s="18" t="s">
        <v>239</v>
      </c>
      <c r="AFJ4" s="18" t="s">
        <v>240</v>
      </c>
      <c r="AFK4" s="18" t="s">
        <v>238</v>
      </c>
      <c r="AFL4" s="18" t="s">
        <v>239</v>
      </c>
      <c r="AFM4" s="18" t="s">
        <v>240</v>
      </c>
      <c r="AFN4" s="18" t="s">
        <v>238</v>
      </c>
      <c r="AFO4" s="18" t="s">
        <v>239</v>
      </c>
      <c r="AFP4" s="18" t="s">
        <v>240</v>
      </c>
      <c r="AFQ4" s="18" t="s">
        <v>238</v>
      </c>
      <c r="AFR4" s="18" t="s">
        <v>239</v>
      </c>
      <c r="AFS4" s="18" t="s">
        <v>240</v>
      </c>
      <c r="AFT4" s="18" t="s">
        <v>238</v>
      </c>
      <c r="AFU4" s="18" t="s">
        <v>239</v>
      </c>
      <c r="AFV4" s="18" t="s">
        <v>240</v>
      </c>
      <c r="AFW4" s="18" t="s">
        <v>238</v>
      </c>
      <c r="AFX4" s="18" t="s">
        <v>239</v>
      </c>
      <c r="AFY4" s="18" t="s">
        <v>240</v>
      </c>
      <c r="AFZ4" s="18" t="s">
        <v>238</v>
      </c>
      <c r="AGA4" s="18" t="s">
        <v>239</v>
      </c>
      <c r="AGB4" s="18" t="s">
        <v>240</v>
      </c>
      <c r="AGC4" s="18" t="s">
        <v>238</v>
      </c>
      <c r="AGD4" s="18" t="s">
        <v>239</v>
      </c>
      <c r="AGE4" s="18" t="s">
        <v>240</v>
      </c>
      <c r="AGF4" s="18" t="s">
        <v>238</v>
      </c>
      <c r="AGG4" s="18" t="s">
        <v>239</v>
      </c>
      <c r="AGH4" s="18" t="s">
        <v>240</v>
      </c>
      <c r="AGI4" s="18" t="s">
        <v>238</v>
      </c>
      <c r="AGJ4" s="18" t="s">
        <v>239</v>
      </c>
      <c r="AGK4" s="18" t="s">
        <v>240</v>
      </c>
      <c r="AGL4" s="18" t="s">
        <v>238</v>
      </c>
      <c r="AGM4" s="18" t="s">
        <v>239</v>
      </c>
      <c r="AGN4" s="18" t="s">
        <v>240</v>
      </c>
      <c r="AGO4" s="18" t="s">
        <v>238</v>
      </c>
      <c r="AGP4" s="18" t="s">
        <v>239</v>
      </c>
      <c r="AGQ4" s="18" t="s">
        <v>240</v>
      </c>
      <c r="AGR4" s="18" t="s">
        <v>238</v>
      </c>
      <c r="AGS4" s="18" t="s">
        <v>239</v>
      </c>
      <c r="AGT4" s="18" t="s">
        <v>240</v>
      </c>
      <c r="AGU4" s="18" t="s">
        <v>238</v>
      </c>
      <c r="AGV4" s="18" t="s">
        <v>239</v>
      </c>
      <c r="AGW4" s="18" t="s">
        <v>240</v>
      </c>
      <c r="AGX4" s="18" t="s">
        <v>238</v>
      </c>
      <c r="AGY4" s="18" t="s">
        <v>239</v>
      </c>
      <c r="AGZ4" s="18" t="s">
        <v>240</v>
      </c>
      <c r="AHA4" s="18" t="s">
        <v>238</v>
      </c>
      <c r="AHB4" s="18" t="s">
        <v>239</v>
      </c>
      <c r="AHC4" s="18" t="s">
        <v>240</v>
      </c>
      <c r="AHD4" s="18" t="s">
        <v>238</v>
      </c>
      <c r="AHE4" s="18" t="s">
        <v>239</v>
      </c>
      <c r="AHF4" s="18" t="s">
        <v>240</v>
      </c>
      <c r="AHG4" s="18" t="s">
        <v>238</v>
      </c>
      <c r="AHH4" s="18" t="s">
        <v>239</v>
      </c>
      <c r="AHI4" s="18" t="s">
        <v>240</v>
      </c>
      <c r="AHJ4" s="18" t="s">
        <v>238</v>
      </c>
      <c r="AHK4" s="18" t="s">
        <v>239</v>
      </c>
      <c r="AHL4" s="18" t="s">
        <v>240</v>
      </c>
      <c r="AHM4" s="18" t="s">
        <v>238</v>
      </c>
      <c r="AHN4" s="18" t="s">
        <v>239</v>
      </c>
      <c r="AHO4" s="18" t="s">
        <v>240</v>
      </c>
      <c r="AHP4" s="18" t="s">
        <v>238</v>
      </c>
      <c r="AHQ4" s="18" t="s">
        <v>239</v>
      </c>
      <c r="AHR4" s="18" t="s">
        <v>240</v>
      </c>
      <c r="AHS4" s="18" t="s">
        <v>238</v>
      </c>
      <c r="AHT4" s="18" t="s">
        <v>239</v>
      </c>
      <c r="AHU4" s="18" t="s">
        <v>240</v>
      </c>
      <c r="AHV4" s="18" t="s">
        <v>238</v>
      </c>
      <c r="AHW4" s="18" t="s">
        <v>239</v>
      </c>
      <c r="AHX4" s="18" t="s">
        <v>240</v>
      </c>
      <c r="AHY4" s="18" t="s">
        <v>238</v>
      </c>
      <c r="AHZ4" s="18" t="s">
        <v>239</v>
      </c>
      <c r="AIA4" s="18" t="s">
        <v>240</v>
      </c>
      <c r="AIB4" s="18" t="s">
        <v>238</v>
      </c>
      <c r="AIC4" s="18" t="s">
        <v>239</v>
      </c>
      <c r="AID4" s="18" t="s">
        <v>240</v>
      </c>
      <c r="AIE4" s="18" t="s">
        <v>238</v>
      </c>
      <c r="AIF4" s="18" t="s">
        <v>239</v>
      </c>
      <c r="AIG4" s="18" t="s">
        <v>240</v>
      </c>
      <c r="AIH4" s="18" t="s">
        <v>238</v>
      </c>
      <c r="AII4" s="18" t="s">
        <v>239</v>
      </c>
      <c r="AIJ4" s="18" t="s">
        <v>240</v>
      </c>
      <c r="AIK4" s="18" t="s">
        <v>238</v>
      </c>
      <c r="AIL4" s="18" t="s">
        <v>239</v>
      </c>
      <c r="AIM4" s="18" t="s">
        <v>240</v>
      </c>
      <c r="AIN4" s="18" t="s">
        <v>238</v>
      </c>
      <c r="AIO4" s="18" t="s">
        <v>239</v>
      </c>
      <c r="AIP4" s="18" t="s">
        <v>240</v>
      </c>
      <c r="AIQ4" s="37"/>
      <c r="AIR4" s="20" t="s">
        <v>238</v>
      </c>
      <c r="AIS4" s="18" t="s">
        <v>239</v>
      </c>
      <c r="AIT4" s="18" t="s">
        <v>240</v>
      </c>
      <c r="AIU4" s="18" t="s">
        <v>238</v>
      </c>
      <c r="AIV4" s="18" t="s">
        <v>239</v>
      </c>
      <c r="AIW4" s="18" t="s">
        <v>240</v>
      </c>
      <c r="AIX4" s="18" t="s">
        <v>238</v>
      </c>
      <c r="AIY4" s="18" t="s">
        <v>239</v>
      </c>
      <c r="AIZ4" s="18" t="s">
        <v>240</v>
      </c>
      <c r="AJA4" s="18" t="s">
        <v>238</v>
      </c>
      <c r="AJB4" s="18" t="s">
        <v>239</v>
      </c>
      <c r="AJC4" s="18" t="s">
        <v>240</v>
      </c>
      <c r="AJD4" s="18" t="s">
        <v>238</v>
      </c>
      <c r="AJE4" s="18" t="s">
        <v>239</v>
      </c>
      <c r="AJF4" s="18" t="s">
        <v>240</v>
      </c>
      <c r="AJG4" s="18" t="s">
        <v>238</v>
      </c>
      <c r="AJH4" s="18" t="s">
        <v>239</v>
      </c>
      <c r="AJI4" s="18" t="s">
        <v>240</v>
      </c>
      <c r="AJJ4" s="18" t="s">
        <v>238</v>
      </c>
      <c r="AJK4" s="18" t="s">
        <v>239</v>
      </c>
      <c r="AJL4" s="18" t="s">
        <v>240</v>
      </c>
      <c r="AJM4" s="18" t="s">
        <v>238</v>
      </c>
      <c r="AJN4" s="18" t="s">
        <v>239</v>
      </c>
      <c r="AJO4" s="18" t="s">
        <v>240</v>
      </c>
      <c r="AJP4" s="18" t="s">
        <v>238</v>
      </c>
      <c r="AJQ4" s="18" t="s">
        <v>239</v>
      </c>
      <c r="AJR4" s="18" t="s">
        <v>240</v>
      </c>
      <c r="AJS4" s="18" t="s">
        <v>238</v>
      </c>
      <c r="AJT4" s="18" t="s">
        <v>239</v>
      </c>
      <c r="AJU4" s="18" t="s">
        <v>240</v>
      </c>
      <c r="AJV4" s="18" t="s">
        <v>238</v>
      </c>
      <c r="AJW4" s="18" t="s">
        <v>239</v>
      </c>
      <c r="AJX4" s="18" t="s">
        <v>240</v>
      </c>
      <c r="AJY4" s="18" t="s">
        <v>238</v>
      </c>
      <c r="AJZ4" s="18" t="s">
        <v>239</v>
      </c>
      <c r="AKA4" s="18" t="s">
        <v>240</v>
      </c>
      <c r="AKB4" s="18" t="s">
        <v>238</v>
      </c>
      <c r="AKC4" s="18" t="s">
        <v>239</v>
      </c>
      <c r="AKD4" s="18" t="s">
        <v>240</v>
      </c>
      <c r="AKE4" s="18" t="s">
        <v>238</v>
      </c>
      <c r="AKF4" s="18" t="s">
        <v>239</v>
      </c>
      <c r="AKG4" s="18" t="s">
        <v>240</v>
      </c>
      <c r="AKH4" s="18" t="s">
        <v>238</v>
      </c>
      <c r="AKI4" s="18" t="s">
        <v>239</v>
      </c>
      <c r="AKJ4" s="18" t="s">
        <v>240</v>
      </c>
      <c r="AKK4" s="18" t="s">
        <v>238</v>
      </c>
      <c r="AKL4" s="18" t="s">
        <v>239</v>
      </c>
      <c r="AKM4" s="18" t="s">
        <v>240</v>
      </c>
      <c r="AKN4" s="18" t="s">
        <v>238</v>
      </c>
      <c r="AKO4" s="18" t="s">
        <v>239</v>
      </c>
      <c r="AKP4" s="18" t="s">
        <v>240</v>
      </c>
      <c r="AKQ4" s="18" t="s">
        <v>238</v>
      </c>
      <c r="AKR4" s="18" t="s">
        <v>239</v>
      </c>
      <c r="AKS4" s="18" t="s">
        <v>240</v>
      </c>
      <c r="AKT4" s="18" t="s">
        <v>238</v>
      </c>
      <c r="AKU4" s="18" t="s">
        <v>239</v>
      </c>
      <c r="AKV4" s="18" t="s">
        <v>240</v>
      </c>
      <c r="AKW4" s="18" t="s">
        <v>238</v>
      </c>
      <c r="AKX4" s="18" t="s">
        <v>239</v>
      </c>
      <c r="AKY4" s="18" t="s">
        <v>240</v>
      </c>
      <c r="AKZ4" s="18" t="s">
        <v>238</v>
      </c>
      <c r="ALA4" s="18" t="s">
        <v>239</v>
      </c>
      <c r="ALB4" s="18" t="s">
        <v>240</v>
      </c>
      <c r="ALC4" s="18" t="s">
        <v>238</v>
      </c>
      <c r="ALD4" s="18" t="s">
        <v>239</v>
      </c>
      <c r="ALE4" s="18" t="s">
        <v>240</v>
      </c>
      <c r="ALF4" s="18" t="s">
        <v>238</v>
      </c>
      <c r="ALG4" s="18" t="s">
        <v>239</v>
      </c>
      <c r="ALH4" s="18" t="s">
        <v>240</v>
      </c>
      <c r="ALI4" s="18" t="s">
        <v>238</v>
      </c>
      <c r="ALJ4" s="18" t="s">
        <v>239</v>
      </c>
      <c r="ALK4" s="18" t="s">
        <v>240</v>
      </c>
      <c r="ALL4" s="18" t="s">
        <v>238</v>
      </c>
      <c r="ALM4" s="18" t="s">
        <v>239</v>
      </c>
      <c r="ALN4" s="18" t="s">
        <v>240</v>
      </c>
      <c r="ALO4" s="18" t="s">
        <v>238</v>
      </c>
      <c r="ALP4" s="18" t="s">
        <v>239</v>
      </c>
      <c r="ALQ4" s="18" t="s">
        <v>240</v>
      </c>
      <c r="ALR4" s="18" t="s">
        <v>238</v>
      </c>
      <c r="ALS4" s="18" t="s">
        <v>239</v>
      </c>
      <c r="ALT4" s="18" t="s">
        <v>240</v>
      </c>
      <c r="ALU4" s="18" t="s">
        <v>238</v>
      </c>
      <c r="ALV4" s="18" t="s">
        <v>239</v>
      </c>
      <c r="ALW4" s="18" t="s">
        <v>240</v>
      </c>
      <c r="ALX4" s="18" t="s">
        <v>238</v>
      </c>
      <c r="ALY4" s="18" t="s">
        <v>239</v>
      </c>
      <c r="ALZ4" s="18" t="s">
        <v>240</v>
      </c>
      <c r="AMA4" s="18" t="s">
        <v>238</v>
      </c>
      <c r="AMB4" s="18" t="s">
        <v>239</v>
      </c>
      <c r="AMC4" s="18" t="s">
        <v>240</v>
      </c>
      <c r="AMD4" s="18" t="s">
        <v>238</v>
      </c>
      <c r="AME4" s="18" t="s">
        <v>239</v>
      </c>
      <c r="AMF4" s="19" t="s">
        <v>240</v>
      </c>
      <c r="AMG4" s="37"/>
      <c r="AMH4" s="20" t="s">
        <v>238</v>
      </c>
      <c r="AMI4" s="18" t="s">
        <v>239</v>
      </c>
      <c r="AMJ4" s="18" t="s">
        <v>240</v>
      </c>
      <c r="AMK4" s="18" t="s">
        <v>238</v>
      </c>
      <c r="AML4" s="18" t="s">
        <v>239</v>
      </c>
      <c r="AMM4" s="18" t="s">
        <v>240</v>
      </c>
      <c r="AMN4" s="18" t="s">
        <v>238</v>
      </c>
      <c r="AMO4" s="18" t="s">
        <v>239</v>
      </c>
      <c r="AMP4" s="18" t="s">
        <v>240</v>
      </c>
      <c r="AMQ4" s="18" t="s">
        <v>238</v>
      </c>
      <c r="AMR4" s="18" t="s">
        <v>239</v>
      </c>
      <c r="AMS4" s="18" t="s">
        <v>240</v>
      </c>
      <c r="AMT4" s="18" t="s">
        <v>238</v>
      </c>
      <c r="AMU4" s="18" t="s">
        <v>239</v>
      </c>
      <c r="AMV4" s="18" t="s">
        <v>240</v>
      </c>
      <c r="AMW4" s="18" t="s">
        <v>238</v>
      </c>
      <c r="AMX4" s="18" t="s">
        <v>239</v>
      </c>
      <c r="AMY4" s="18" t="s">
        <v>240</v>
      </c>
      <c r="AMZ4" s="18" t="s">
        <v>238</v>
      </c>
      <c r="ANA4" s="18" t="s">
        <v>239</v>
      </c>
      <c r="ANB4" s="18" t="s">
        <v>240</v>
      </c>
      <c r="ANC4" s="18" t="s">
        <v>238</v>
      </c>
      <c r="AND4" s="18" t="s">
        <v>239</v>
      </c>
      <c r="ANE4" s="18" t="s">
        <v>240</v>
      </c>
      <c r="ANF4" s="18" t="s">
        <v>238</v>
      </c>
      <c r="ANG4" s="18" t="s">
        <v>239</v>
      </c>
      <c r="ANH4" s="18" t="s">
        <v>240</v>
      </c>
      <c r="ANI4" s="18" t="s">
        <v>238</v>
      </c>
      <c r="ANJ4" s="18" t="s">
        <v>239</v>
      </c>
      <c r="ANK4" s="18" t="s">
        <v>240</v>
      </c>
      <c r="ANL4" s="18" t="s">
        <v>238</v>
      </c>
      <c r="ANM4" s="18" t="s">
        <v>239</v>
      </c>
      <c r="ANN4" s="18" t="s">
        <v>240</v>
      </c>
      <c r="ANO4" s="18" t="s">
        <v>238</v>
      </c>
      <c r="ANP4" s="18" t="s">
        <v>239</v>
      </c>
      <c r="ANQ4" s="18" t="s">
        <v>240</v>
      </c>
      <c r="ANR4" s="18" t="s">
        <v>238</v>
      </c>
      <c r="ANS4" s="18" t="s">
        <v>239</v>
      </c>
      <c r="ANT4" s="18" t="s">
        <v>240</v>
      </c>
      <c r="ANU4" s="18" t="s">
        <v>238</v>
      </c>
      <c r="ANV4" s="18" t="s">
        <v>239</v>
      </c>
      <c r="ANW4" s="18" t="s">
        <v>240</v>
      </c>
      <c r="ANX4" s="18" t="s">
        <v>238</v>
      </c>
      <c r="ANY4" s="18" t="s">
        <v>239</v>
      </c>
      <c r="ANZ4" s="18" t="s">
        <v>240</v>
      </c>
      <c r="AOA4" s="18" t="s">
        <v>238</v>
      </c>
      <c r="AOB4" s="18" t="s">
        <v>239</v>
      </c>
      <c r="AOC4" s="18" t="s">
        <v>240</v>
      </c>
      <c r="AOD4" s="18" t="s">
        <v>238</v>
      </c>
      <c r="AOE4" s="18" t="s">
        <v>239</v>
      </c>
      <c r="AOF4" s="18" t="s">
        <v>240</v>
      </c>
      <c r="AOG4" s="18" t="s">
        <v>238</v>
      </c>
      <c r="AOH4" s="18" t="s">
        <v>239</v>
      </c>
      <c r="AOI4" s="18" t="s">
        <v>240</v>
      </c>
      <c r="AOJ4" s="18" t="s">
        <v>238</v>
      </c>
      <c r="AOK4" s="18" t="s">
        <v>239</v>
      </c>
      <c r="AOL4" s="18" t="s">
        <v>240</v>
      </c>
      <c r="AOM4" s="18" t="s">
        <v>238</v>
      </c>
      <c r="AON4" s="18" t="s">
        <v>239</v>
      </c>
      <c r="AOO4" s="18" t="s">
        <v>240</v>
      </c>
      <c r="AOP4" s="18" t="s">
        <v>238</v>
      </c>
      <c r="AOQ4" s="18" t="s">
        <v>239</v>
      </c>
      <c r="AOR4" s="18" t="s">
        <v>240</v>
      </c>
      <c r="AOS4" s="18" t="s">
        <v>238</v>
      </c>
      <c r="AOT4" s="18" t="s">
        <v>239</v>
      </c>
      <c r="AOU4" s="18" t="s">
        <v>240</v>
      </c>
      <c r="AOV4" s="18" t="s">
        <v>238</v>
      </c>
      <c r="AOW4" s="18" t="s">
        <v>239</v>
      </c>
      <c r="AOX4" s="18" t="s">
        <v>240</v>
      </c>
      <c r="AOY4" s="18" t="s">
        <v>238</v>
      </c>
      <c r="AOZ4" s="18" t="s">
        <v>239</v>
      </c>
      <c r="APA4" s="18" t="s">
        <v>240</v>
      </c>
      <c r="APB4" s="18" t="s">
        <v>238</v>
      </c>
      <c r="APC4" s="18" t="s">
        <v>239</v>
      </c>
      <c r="APD4" s="18" t="s">
        <v>240</v>
      </c>
      <c r="APE4" s="18" t="s">
        <v>238</v>
      </c>
      <c r="APF4" s="18" t="s">
        <v>239</v>
      </c>
      <c r="APG4" s="18" t="s">
        <v>240</v>
      </c>
      <c r="APH4" s="18" t="s">
        <v>238</v>
      </c>
      <c r="API4" s="18" t="s">
        <v>239</v>
      </c>
      <c r="APJ4" s="18" t="s">
        <v>240</v>
      </c>
      <c r="APK4" s="18" t="s">
        <v>238</v>
      </c>
      <c r="APL4" s="18" t="s">
        <v>239</v>
      </c>
      <c r="APM4" s="18" t="s">
        <v>240</v>
      </c>
      <c r="APN4" s="18" t="s">
        <v>238</v>
      </c>
      <c r="APO4" s="18" t="s">
        <v>239</v>
      </c>
      <c r="APP4" s="18" t="s">
        <v>240</v>
      </c>
      <c r="APQ4" s="18" t="s">
        <v>238</v>
      </c>
      <c r="APR4" s="18" t="s">
        <v>239</v>
      </c>
      <c r="APS4" s="19" t="s">
        <v>240</v>
      </c>
      <c r="APT4" s="37"/>
      <c r="APU4" s="20" t="s">
        <v>238</v>
      </c>
      <c r="APV4" s="18" t="s">
        <v>239</v>
      </c>
      <c r="APW4" s="18" t="s">
        <v>240</v>
      </c>
      <c r="APX4" s="18" t="s">
        <v>238</v>
      </c>
      <c r="APY4" s="18" t="s">
        <v>239</v>
      </c>
      <c r="APZ4" s="18" t="s">
        <v>240</v>
      </c>
      <c r="AQA4" s="18" t="s">
        <v>238</v>
      </c>
      <c r="AQB4" s="18" t="s">
        <v>239</v>
      </c>
      <c r="AQC4" s="18" t="s">
        <v>240</v>
      </c>
      <c r="AQD4" s="18" t="s">
        <v>238</v>
      </c>
      <c r="AQE4" s="18" t="s">
        <v>239</v>
      </c>
      <c r="AQF4" s="18" t="s">
        <v>240</v>
      </c>
      <c r="AQG4" s="18" t="s">
        <v>238</v>
      </c>
      <c r="AQH4" s="18" t="s">
        <v>239</v>
      </c>
      <c r="AQI4" s="18" t="s">
        <v>240</v>
      </c>
      <c r="AQJ4" s="18" t="s">
        <v>238</v>
      </c>
      <c r="AQK4" s="18" t="s">
        <v>239</v>
      </c>
      <c r="AQL4" s="18" t="s">
        <v>240</v>
      </c>
      <c r="AQM4" s="18" t="s">
        <v>238</v>
      </c>
      <c r="AQN4" s="18" t="s">
        <v>239</v>
      </c>
      <c r="AQO4" s="18" t="s">
        <v>240</v>
      </c>
      <c r="AQP4" s="18" t="s">
        <v>238</v>
      </c>
      <c r="AQQ4" s="18" t="s">
        <v>239</v>
      </c>
      <c r="AQR4" s="18" t="s">
        <v>240</v>
      </c>
      <c r="AQS4" s="18" t="s">
        <v>238</v>
      </c>
      <c r="AQT4" s="18" t="s">
        <v>239</v>
      </c>
      <c r="AQU4" s="18" t="s">
        <v>240</v>
      </c>
      <c r="AQV4" s="18" t="s">
        <v>238</v>
      </c>
      <c r="AQW4" s="18" t="s">
        <v>239</v>
      </c>
      <c r="AQX4" s="18" t="s">
        <v>240</v>
      </c>
      <c r="AQY4" s="18" t="s">
        <v>238</v>
      </c>
      <c r="AQZ4" s="18" t="s">
        <v>239</v>
      </c>
      <c r="ARA4" s="18" t="s">
        <v>240</v>
      </c>
      <c r="ARB4" s="18" t="s">
        <v>238</v>
      </c>
      <c r="ARC4" s="18" t="s">
        <v>239</v>
      </c>
      <c r="ARD4" s="18" t="s">
        <v>240</v>
      </c>
      <c r="ARE4" s="18" t="s">
        <v>238</v>
      </c>
      <c r="ARF4" s="18" t="s">
        <v>239</v>
      </c>
      <c r="ARG4" s="18" t="s">
        <v>240</v>
      </c>
      <c r="ARH4" s="18" t="s">
        <v>238</v>
      </c>
      <c r="ARI4" s="18" t="s">
        <v>239</v>
      </c>
      <c r="ARJ4" s="18" t="s">
        <v>240</v>
      </c>
      <c r="ARK4" s="18" t="s">
        <v>238</v>
      </c>
      <c r="ARL4" s="18" t="s">
        <v>239</v>
      </c>
      <c r="ARM4" s="18" t="s">
        <v>240</v>
      </c>
      <c r="ARN4" s="18" t="s">
        <v>238</v>
      </c>
      <c r="ARO4" s="18" t="s">
        <v>239</v>
      </c>
      <c r="ARP4" s="18" t="s">
        <v>240</v>
      </c>
      <c r="ARQ4" s="18" t="s">
        <v>238</v>
      </c>
      <c r="ARR4" s="18" t="s">
        <v>239</v>
      </c>
      <c r="ARS4" s="18" t="s">
        <v>240</v>
      </c>
      <c r="ART4" s="18" t="s">
        <v>238</v>
      </c>
      <c r="ARU4" s="18" t="s">
        <v>239</v>
      </c>
      <c r="ARV4" s="18" t="s">
        <v>240</v>
      </c>
      <c r="ARW4" s="18" t="s">
        <v>238</v>
      </c>
      <c r="ARX4" s="18" t="s">
        <v>239</v>
      </c>
      <c r="ARY4" s="18" t="s">
        <v>240</v>
      </c>
      <c r="ARZ4" s="18" t="s">
        <v>238</v>
      </c>
      <c r="ASA4" s="18" t="s">
        <v>239</v>
      </c>
      <c r="ASB4" s="18" t="s">
        <v>240</v>
      </c>
      <c r="ASC4" s="18" t="s">
        <v>238</v>
      </c>
      <c r="ASD4" s="18" t="s">
        <v>239</v>
      </c>
      <c r="ASE4" s="18" t="s">
        <v>240</v>
      </c>
      <c r="ASF4" s="18" t="s">
        <v>238</v>
      </c>
      <c r="ASG4" s="18" t="s">
        <v>239</v>
      </c>
      <c r="ASH4" s="18" t="s">
        <v>240</v>
      </c>
      <c r="ASI4" s="18" t="s">
        <v>238</v>
      </c>
      <c r="ASJ4" s="18" t="s">
        <v>239</v>
      </c>
      <c r="ASK4" s="18" t="s">
        <v>240</v>
      </c>
      <c r="ASL4" s="18" t="s">
        <v>238</v>
      </c>
      <c r="ASM4" s="18" t="s">
        <v>239</v>
      </c>
      <c r="ASN4" s="18" t="s">
        <v>240</v>
      </c>
      <c r="ASO4" s="18" t="s">
        <v>238</v>
      </c>
      <c r="ASP4" s="18" t="s">
        <v>239</v>
      </c>
      <c r="ASQ4" s="18" t="s">
        <v>240</v>
      </c>
      <c r="ASR4" s="18" t="s">
        <v>238</v>
      </c>
      <c r="ASS4" s="18" t="s">
        <v>239</v>
      </c>
      <c r="AST4" s="18" t="s">
        <v>240</v>
      </c>
      <c r="ASU4" s="18" t="s">
        <v>238</v>
      </c>
      <c r="ASV4" s="18" t="s">
        <v>239</v>
      </c>
      <c r="ASW4" s="18" t="s">
        <v>240</v>
      </c>
      <c r="ASX4" s="18" t="s">
        <v>238</v>
      </c>
      <c r="ASY4" s="18" t="s">
        <v>239</v>
      </c>
      <c r="ASZ4" s="18" t="s">
        <v>240</v>
      </c>
      <c r="ATA4" s="18" t="s">
        <v>238</v>
      </c>
      <c r="ATB4" s="18" t="s">
        <v>239</v>
      </c>
      <c r="ATC4" s="18" t="s">
        <v>240</v>
      </c>
      <c r="ATD4" s="18" t="s">
        <v>238</v>
      </c>
      <c r="ATE4" s="18" t="s">
        <v>239</v>
      </c>
      <c r="ATF4" s="19" t="s">
        <v>240</v>
      </c>
      <c r="ATG4" s="37"/>
      <c r="ATH4" s="20" t="s">
        <v>238</v>
      </c>
      <c r="ATI4" s="18" t="s">
        <v>239</v>
      </c>
      <c r="ATJ4" s="18" t="s">
        <v>240</v>
      </c>
      <c r="ATK4" s="18" t="s">
        <v>238</v>
      </c>
      <c r="ATL4" s="18" t="s">
        <v>239</v>
      </c>
      <c r="ATM4" s="18" t="s">
        <v>240</v>
      </c>
      <c r="ATN4" s="18" t="s">
        <v>238</v>
      </c>
      <c r="ATO4" s="18" t="s">
        <v>239</v>
      </c>
      <c r="ATP4" s="18" t="s">
        <v>240</v>
      </c>
      <c r="ATQ4" s="18" t="s">
        <v>238</v>
      </c>
      <c r="ATR4" s="18" t="s">
        <v>239</v>
      </c>
      <c r="ATS4" s="18" t="s">
        <v>240</v>
      </c>
      <c r="ATT4" s="18" t="s">
        <v>238</v>
      </c>
      <c r="ATU4" s="18" t="s">
        <v>239</v>
      </c>
      <c r="ATV4" s="18" t="s">
        <v>240</v>
      </c>
      <c r="ATW4" s="18" t="s">
        <v>238</v>
      </c>
      <c r="ATX4" s="18" t="s">
        <v>239</v>
      </c>
      <c r="ATY4" s="18" t="s">
        <v>240</v>
      </c>
      <c r="ATZ4" s="18" t="s">
        <v>238</v>
      </c>
      <c r="AUA4" s="18" t="s">
        <v>239</v>
      </c>
      <c r="AUB4" s="18" t="s">
        <v>240</v>
      </c>
      <c r="AUC4" s="18" t="s">
        <v>238</v>
      </c>
      <c r="AUD4" s="18" t="s">
        <v>239</v>
      </c>
      <c r="AUE4" s="18" t="s">
        <v>240</v>
      </c>
      <c r="AUF4" s="18" t="s">
        <v>238</v>
      </c>
      <c r="AUG4" s="18" t="s">
        <v>239</v>
      </c>
      <c r="AUH4" s="18" t="s">
        <v>240</v>
      </c>
      <c r="AUI4" s="18" t="s">
        <v>238</v>
      </c>
      <c r="AUJ4" s="18" t="s">
        <v>239</v>
      </c>
      <c r="AUK4" s="18" t="s">
        <v>240</v>
      </c>
      <c r="AUL4" s="18" t="s">
        <v>238</v>
      </c>
      <c r="AUM4" s="18" t="s">
        <v>239</v>
      </c>
      <c r="AUN4" s="18" t="s">
        <v>240</v>
      </c>
      <c r="AUO4" s="18" t="s">
        <v>238</v>
      </c>
      <c r="AUP4" s="18" t="s">
        <v>239</v>
      </c>
      <c r="AUQ4" s="18" t="s">
        <v>240</v>
      </c>
      <c r="AUR4" s="18" t="s">
        <v>238</v>
      </c>
      <c r="AUS4" s="18" t="s">
        <v>239</v>
      </c>
      <c r="AUT4" s="18" t="s">
        <v>240</v>
      </c>
      <c r="AUU4" s="18" t="s">
        <v>238</v>
      </c>
      <c r="AUV4" s="18" t="s">
        <v>239</v>
      </c>
      <c r="AUW4" s="18" t="s">
        <v>240</v>
      </c>
      <c r="AUX4" s="18" t="s">
        <v>238</v>
      </c>
      <c r="AUY4" s="18" t="s">
        <v>239</v>
      </c>
      <c r="AUZ4" s="18" t="s">
        <v>240</v>
      </c>
      <c r="AVA4" s="18" t="s">
        <v>238</v>
      </c>
      <c r="AVB4" s="18" t="s">
        <v>239</v>
      </c>
      <c r="AVC4" s="18" t="s">
        <v>240</v>
      </c>
      <c r="AVD4" s="18" t="s">
        <v>238</v>
      </c>
      <c r="AVE4" s="18" t="s">
        <v>239</v>
      </c>
      <c r="AVF4" s="18" t="s">
        <v>240</v>
      </c>
      <c r="AVG4" s="18" t="s">
        <v>238</v>
      </c>
      <c r="AVH4" s="18" t="s">
        <v>239</v>
      </c>
      <c r="AVI4" s="18" t="s">
        <v>240</v>
      </c>
      <c r="AVJ4" s="18" t="s">
        <v>238</v>
      </c>
      <c r="AVK4" s="18" t="s">
        <v>239</v>
      </c>
      <c r="AVL4" s="18" t="s">
        <v>240</v>
      </c>
      <c r="AVM4" s="18" t="s">
        <v>238</v>
      </c>
      <c r="AVN4" s="18" t="s">
        <v>239</v>
      </c>
      <c r="AVO4" s="18" t="s">
        <v>240</v>
      </c>
      <c r="AVP4" s="18" t="s">
        <v>238</v>
      </c>
      <c r="AVQ4" s="18" t="s">
        <v>239</v>
      </c>
      <c r="AVR4" s="18" t="s">
        <v>240</v>
      </c>
      <c r="AVS4" s="18" t="s">
        <v>238</v>
      </c>
      <c r="AVT4" s="18" t="s">
        <v>239</v>
      </c>
      <c r="AVU4" s="18" t="s">
        <v>240</v>
      </c>
      <c r="AVV4" s="18" t="s">
        <v>238</v>
      </c>
      <c r="AVW4" s="18" t="s">
        <v>239</v>
      </c>
      <c r="AVX4" s="18" t="s">
        <v>240</v>
      </c>
      <c r="AVY4" s="18" t="s">
        <v>238</v>
      </c>
      <c r="AVZ4" s="18" t="s">
        <v>239</v>
      </c>
      <c r="AWA4" s="18" t="s">
        <v>240</v>
      </c>
      <c r="AWB4" s="18" t="s">
        <v>238</v>
      </c>
      <c r="AWC4" s="18" t="s">
        <v>239</v>
      </c>
      <c r="AWD4" s="18" t="s">
        <v>240</v>
      </c>
      <c r="AWE4" s="18" t="s">
        <v>238</v>
      </c>
      <c r="AWF4" s="18" t="s">
        <v>239</v>
      </c>
      <c r="AWG4" s="18" t="s">
        <v>240</v>
      </c>
      <c r="AWH4" s="18" t="s">
        <v>238</v>
      </c>
      <c r="AWI4" s="18" t="s">
        <v>239</v>
      </c>
      <c r="AWJ4" s="18" t="s">
        <v>240</v>
      </c>
      <c r="AWK4" s="18" t="s">
        <v>238</v>
      </c>
      <c r="AWL4" s="18" t="s">
        <v>239</v>
      </c>
      <c r="AWM4" s="18" t="s">
        <v>240</v>
      </c>
      <c r="AWN4" s="18" t="s">
        <v>238</v>
      </c>
      <c r="AWO4" s="18" t="s">
        <v>239</v>
      </c>
      <c r="AWP4" s="18" t="s">
        <v>240</v>
      </c>
      <c r="AWQ4" s="18" t="s">
        <v>238</v>
      </c>
      <c r="AWR4" s="18" t="s">
        <v>239</v>
      </c>
      <c r="AWS4" s="19" t="s">
        <v>240</v>
      </c>
      <c r="AWT4" s="37"/>
      <c r="AWU4" s="20" t="s">
        <v>238</v>
      </c>
      <c r="AWV4" s="18" t="s">
        <v>239</v>
      </c>
      <c r="AWW4" s="18" t="s">
        <v>240</v>
      </c>
      <c r="AWX4" s="18" t="s">
        <v>238</v>
      </c>
      <c r="AWY4" s="18" t="s">
        <v>239</v>
      </c>
      <c r="AWZ4" s="18" t="s">
        <v>240</v>
      </c>
      <c r="AXA4" s="18" t="s">
        <v>238</v>
      </c>
      <c r="AXB4" s="18" t="s">
        <v>239</v>
      </c>
      <c r="AXC4" s="18" t="s">
        <v>240</v>
      </c>
      <c r="AXD4" s="18" t="s">
        <v>238</v>
      </c>
      <c r="AXE4" s="18" t="s">
        <v>239</v>
      </c>
      <c r="AXF4" s="18" t="s">
        <v>240</v>
      </c>
      <c r="AXG4" s="18" t="s">
        <v>238</v>
      </c>
      <c r="AXH4" s="18" t="s">
        <v>239</v>
      </c>
      <c r="AXI4" s="18" t="s">
        <v>240</v>
      </c>
      <c r="AXJ4" s="18" t="s">
        <v>238</v>
      </c>
      <c r="AXK4" s="18" t="s">
        <v>239</v>
      </c>
      <c r="AXL4" s="18" t="s">
        <v>240</v>
      </c>
      <c r="AXM4" s="18" t="s">
        <v>238</v>
      </c>
      <c r="AXN4" s="18" t="s">
        <v>239</v>
      </c>
      <c r="AXO4" s="18" t="s">
        <v>240</v>
      </c>
      <c r="AXP4" s="18" t="s">
        <v>238</v>
      </c>
      <c r="AXQ4" s="18" t="s">
        <v>239</v>
      </c>
      <c r="AXR4" s="18" t="s">
        <v>240</v>
      </c>
      <c r="AXS4" s="18" t="s">
        <v>238</v>
      </c>
      <c r="AXT4" s="18" t="s">
        <v>239</v>
      </c>
      <c r="AXU4" s="18" t="s">
        <v>240</v>
      </c>
      <c r="AXV4" s="18" t="s">
        <v>238</v>
      </c>
      <c r="AXW4" s="18" t="s">
        <v>239</v>
      </c>
      <c r="AXX4" s="18" t="s">
        <v>240</v>
      </c>
      <c r="AXY4" s="18" t="s">
        <v>238</v>
      </c>
      <c r="AXZ4" s="18" t="s">
        <v>239</v>
      </c>
      <c r="AYA4" s="18" t="s">
        <v>240</v>
      </c>
      <c r="AYB4" s="18" t="s">
        <v>238</v>
      </c>
      <c r="AYC4" s="18" t="s">
        <v>239</v>
      </c>
      <c r="AYD4" s="18" t="s">
        <v>240</v>
      </c>
      <c r="AYE4" s="18" t="s">
        <v>238</v>
      </c>
      <c r="AYF4" s="18" t="s">
        <v>239</v>
      </c>
      <c r="AYG4" s="18" t="s">
        <v>240</v>
      </c>
      <c r="AYH4" s="18" t="s">
        <v>238</v>
      </c>
      <c r="AYI4" s="18" t="s">
        <v>239</v>
      </c>
      <c r="AYJ4" s="18" t="s">
        <v>240</v>
      </c>
      <c r="AYK4" s="18" t="s">
        <v>238</v>
      </c>
      <c r="AYL4" s="18" t="s">
        <v>239</v>
      </c>
      <c r="AYM4" s="18" t="s">
        <v>240</v>
      </c>
      <c r="AYN4" s="18" t="s">
        <v>238</v>
      </c>
      <c r="AYO4" s="18" t="s">
        <v>239</v>
      </c>
      <c r="AYP4" s="18" t="s">
        <v>240</v>
      </c>
      <c r="AYQ4" s="18" t="s">
        <v>238</v>
      </c>
      <c r="AYR4" s="18" t="s">
        <v>239</v>
      </c>
      <c r="AYS4" s="18" t="s">
        <v>240</v>
      </c>
      <c r="AYT4" s="18" t="s">
        <v>238</v>
      </c>
      <c r="AYU4" s="18" t="s">
        <v>239</v>
      </c>
      <c r="AYV4" s="18" t="s">
        <v>240</v>
      </c>
      <c r="AYW4" s="18" t="s">
        <v>238</v>
      </c>
      <c r="AYX4" s="18" t="s">
        <v>239</v>
      </c>
      <c r="AYY4" s="18" t="s">
        <v>240</v>
      </c>
      <c r="AYZ4" s="18" t="s">
        <v>238</v>
      </c>
      <c r="AZA4" s="18" t="s">
        <v>239</v>
      </c>
      <c r="AZB4" s="18" t="s">
        <v>240</v>
      </c>
      <c r="AZC4" s="18" t="s">
        <v>238</v>
      </c>
      <c r="AZD4" s="18" t="s">
        <v>239</v>
      </c>
      <c r="AZE4" s="18" t="s">
        <v>240</v>
      </c>
      <c r="AZF4" s="18" t="s">
        <v>238</v>
      </c>
      <c r="AZG4" s="18" t="s">
        <v>239</v>
      </c>
      <c r="AZH4" s="18" t="s">
        <v>240</v>
      </c>
      <c r="AZI4" s="18" t="s">
        <v>238</v>
      </c>
      <c r="AZJ4" s="18" t="s">
        <v>239</v>
      </c>
      <c r="AZK4" s="18" t="s">
        <v>240</v>
      </c>
      <c r="AZL4" s="18" t="s">
        <v>238</v>
      </c>
      <c r="AZM4" s="18" t="s">
        <v>239</v>
      </c>
      <c r="AZN4" s="18" t="s">
        <v>240</v>
      </c>
      <c r="AZO4" s="18" t="s">
        <v>238</v>
      </c>
      <c r="AZP4" s="18" t="s">
        <v>239</v>
      </c>
      <c r="AZQ4" s="18" t="s">
        <v>240</v>
      </c>
      <c r="AZR4" s="18" t="s">
        <v>238</v>
      </c>
      <c r="AZS4" s="18" t="s">
        <v>239</v>
      </c>
      <c r="AZT4" s="18" t="s">
        <v>240</v>
      </c>
      <c r="AZU4" s="18" t="s">
        <v>238</v>
      </c>
      <c r="AZV4" s="18" t="s">
        <v>239</v>
      </c>
      <c r="AZW4" s="18" t="s">
        <v>240</v>
      </c>
      <c r="AZX4" s="18" t="s">
        <v>238</v>
      </c>
      <c r="AZY4" s="18" t="s">
        <v>239</v>
      </c>
      <c r="AZZ4" s="18" t="s">
        <v>240</v>
      </c>
      <c r="BAA4" s="37"/>
      <c r="BAB4" s="20" t="s">
        <v>238</v>
      </c>
      <c r="BAC4" s="18" t="s">
        <v>239</v>
      </c>
      <c r="BAD4" s="18" t="s">
        <v>240</v>
      </c>
      <c r="BAE4" s="18" t="s">
        <v>238</v>
      </c>
      <c r="BAF4" s="18" t="s">
        <v>239</v>
      </c>
      <c r="BAG4" s="18" t="s">
        <v>240</v>
      </c>
      <c r="BAH4" s="18" t="s">
        <v>238</v>
      </c>
      <c r="BAI4" s="18" t="s">
        <v>239</v>
      </c>
      <c r="BAJ4" s="18" t="s">
        <v>240</v>
      </c>
      <c r="BAK4" s="18" t="s">
        <v>238</v>
      </c>
      <c r="BAL4" s="18" t="s">
        <v>239</v>
      </c>
      <c r="BAM4" s="18" t="s">
        <v>240</v>
      </c>
      <c r="BAN4" s="18" t="s">
        <v>238</v>
      </c>
      <c r="BAO4" s="18" t="s">
        <v>239</v>
      </c>
      <c r="BAP4" s="18" t="s">
        <v>240</v>
      </c>
      <c r="BAQ4" s="18" t="s">
        <v>238</v>
      </c>
      <c r="BAR4" s="18" t="s">
        <v>239</v>
      </c>
      <c r="BAS4" s="18" t="s">
        <v>240</v>
      </c>
      <c r="BAT4" s="18" t="s">
        <v>238</v>
      </c>
      <c r="BAU4" s="18" t="s">
        <v>239</v>
      </c>
      <c r="BAV4" s="18" t="s">
        <v>240</v>
      </c>
      <c r="BAW4" s="18" t="s">
        <v>238</v>
      </c>
      <c r="BAX4" s="18" t="s">
        <v>239</v>
      </c>
      <c r="BAY4" s="18" t="s">
        <v>240</v>
      </c>
      <c r="BAZ4" s="18" t="s">
        <v>238</v>
      </c>
      <c r="BBA4" s="18" t="s">
        <v>239</v>
      </c>
      <c r="BBB4" s="18" t="s">
        <v>240</v>
      </c>
      <c r="BBC4" s="18" t="s">
        <v>238</v>
      </c>
      <c r="BBD4" s="18" t="s">
        <v>239</v>
      </c>
      <c r="BBE4" s="18" t="s">
        <v>240</v>
      </c>
      <c r="BBF4" s="18" t="s">
        <v>238</v>
      </c>
      <c r="BBG4" s="18" t="s">
        <v>239</v>
      </c>
      <c r="BBH4" s="18" t="s">
        <v>240</v>
      </c>
      <c r="BBI4" s="18" t="s">
        <v>238</v>
      </c>
      <c r="BBJ4" s="18" t="s">
        <v>239</v>
      </c>
      <c r="BBK4" s="18" t="s">
        <v>240</v>
      </c>
      <c r="BBL4" s="18" t="s">
        <v>238</v>
      </c>
      <c r="BBM4" s="18" t="s">
        <v>239</v>
      </c>
      <c r="BBN4" s="18" t="s">
        <v>240</v>
      </c>
      <c r="BBO4" s="18" t="s">
        <v>238</v>
      </c>
      <c r="BBP4" s="18" t="s">
        <v>239</v>
      </c>
      <c r="BBQ4" s="18" t="s">
        <v>240</v>
      </c>
      <c r="BBR4" s="18" t="s">
        <v>238</v>
      </c>
      <c r="BBS4" s="18" t="s">
        <v>239</v>
      </c>
      <c r="BBT4" s="18" t="s">
        <v>240</v>
      </c>
      <c r="BBU4" s="18" t="s">
        <v>238</v>
      </c>
      <c r="BBV4" s="18" t="s">
        <v>239</v>
      </c>
      <c r="BBW4" s="18" t="s">
        <v>240</v>
      </c>
      <c r="BBX4" s="18" t="s">
        <v>238</v>
      </c>
      <c r="BBY4" s="18" t="s">
        <v>239</v>
      </c>
      <c r="BBZ4" s="18" t="s">
        <v>240</v>
      </c>
      <c r="BCA4" s="18" t="s">
        <v>238</v>
      </c>
      <c r="BCB4" s="18" t="s">
        <v>239</v>
      </c>
      <c r="BCC4" s="18" t="s">
        <v>240</v>
      </c>
      <c r="BCD4" s="18" t="s">
        <v>238</v>
      </c>
      <c r="BCE4" s="18" t="s">
        <v>239</v>
      </c>
      <c r="BCF4" s="18" t="s">
        <v>240</v>
      </c>
      <c r="BCG4" s="18" t="s">
        <v>238</v>
      </c>
      <c r="BCH4" s="18" t="s">
        <v>239</v>
      </c>
      <c r="BCI4" s="18" t="s">
        <v>240</v>
      </c>
      <c r="BCJ4" s="18" t="s">
        <v>238</v>
      </c>
      <c r="BCK4" s="18" t="s">
        <v>239</v>
      </c>
      <c r="BCL4" s="18" t="s">
        <v>240</v>
      </c>
      <c r="BCM4" s="18" t="s">
        <v>238</v>
      </c>
      <c r="BCN4" s="18" t="s">
        <v>239</v>
      </c>
      <c r="BCO4" s="18" t="s">
        <v>240</v>
      </c>
      <c r="BCP4" s="18" t="s">
        <v>238</v>
      </c>
      <c r="BCQ4" s="18" t="s">
        <v>239</v>
      </c>
      <c r="BCR4" s="18" t="s">
        <v>240</v>
      </c>
      <c r="BCS4" s="18" t="s">
        <v>238</v>
      </c>
      <c r="BCT4" s="18" t="s">
        <v>239</v>
      </c>
      <c r="BCU4" s="18" t="s">
        <v>240</v>
      </c>
      <c r="BCV4" s="18" t="s">
        <v>238</v>
      </c>
      <c r="BCW4" s="18" t="s">
        <v>239</v>
      </c>
      <c r="BCX4" s="18" t="s">
        <v>240</v>
      </c>
      <c r="BCY4" s="18" t="s">
        <v>238</v>
      </c>
      <c r="BCZ4" s="18" t="s">
        <v>239</v>
      </c>
      <c r="BDA4" s="18" t="s">
        <v>240</v>
      </c>
      <c r="BDB4" s="18" t="s">
        <v>238</v>
      </c>
      <c r="BDC4" s="18" t="s">
        <v>239</v>
      </c>
      <c r="BDD4" s="18" t="s">
        <v>240</v>
      </c>
      <c r="BDE4" s="18" t="s">
        <v>238</v>
      </c>
      <c r="BDF4" s="18" t="s">
        <v>239</v>
      </c>
      <c r="BDG4" s="18" t="s">
        <v>240</v>
      </c>
      <c r="BDH4" s="18" t="s">
        <v>238</v>
      </c>
      <c r="BDI4" s="18" t="s">
        <v>239</v>
      </c>
      <c r="BDJ4" s="18" t="s">
        <v>240</v>
      </c>
      <c r="BDK4" s="18" t="s">
        <v>238</v>
      </c>
      <c r="BDL4" s="18" t="s">
        <v>239</v>
      </c>
      <c r="BDM4" s="19" t="s">
        <v>240</v>
      </c>
      <c r="BDN4" s="18" t="s">
        <v>238</v>
      </c>
      <c r="BDO4" s="18" t="s">
        <v>239</v>
      </c>
      <c r="BDP4" s="19" t="s">
        <v>240</v>
      </c>
      <c r="BDQ4" s="37"/>
      <c r="BDR4" s="20" t="s">
        <v>238</v>
      </c>
      <c r="BDS4" s="18" t="s">
        <v>239</v>
      </c>
      <c r="BDT4" s="18" t="s">
        <v>240</v>
      </c>
      <c r="BDU4" s="18" t="s">
        <v>238</v>
      </c>
      <c r="BDV4" s="18" t="s">
        <v>239</v>
      </c>
      <c r="BDW4" s="18" t="s">
        <v>240</v>
      </c>
      <c r="BDX4" s="18" t="s">
        <v>238</v>
      </c>
      <c r="BDY4" s="18" t="s">
        <v>239</v>
      </c>
      <c r="BDZ4" s="18" t="s">
        <v>240</v>
      </c>
      <c r="BEA4" s="18" t="s">
        <v>238</v>
      </c>
      <c r="BEB4" s="18" t="s">
        <v>239</v>
      </c>
      <c r="BEC4" s="18" t="s">
        <v>240</v>
      </c>
      <c r="BED4" s="18" t="s">
        <v>238</v>
      </c>
      <c r="BEE4" s="18" t="s">
        <v>239</v>
      </c>
      <c r="BEF4" s="18" t="s">
        <v>240</v>
      </c>
      <c r="BEG4" s="18" t="s">
        <v>238</v>
      </c>
      <c r="BEH4" s="18" t="s">
        <v>239</v>
      </c>
      <c r="BEI4" s="18" t="s">
        <v>240</v>
      </c>
      <c r="BEJ4" s="18" t="s">
        <v>238</v>
      </c>
      <c r="BEK4" s="18" t="s">
        <v>239</v>
      </c>
      <c r="BEL4" s="18" t="s">
        <v>240</v>
      </c>
      <c r="BEM4" s="18" t="s">
        <v>238</v>
      </c>
      <c r="BEN4" s="18" t="s">
        <v>239</v>
      </c>
      <c r="BEO4" s="18" t="s">
        <v>240</v>
      </c>
      <c r="BEP4" s="18" t="s">
        <v>238</v>
      </c>
      <c r="BEQ4" s="18" t="s">
        <v>239</v>
      </c>
      <c r="BER4" s="18" t="s">
        <v>240</v>
      </c>
      <c r="BES4" s="18" t="s">
        <v>238</v>
      </c>
      <c r="BET4" s="18" t="s">
        <v>239</v>
      </c>
      <c r="BEU4" s="18" t="s">
        <v>240</v>
      </c>
      <c r="BEV4" s="18" t="s">
        <v>238</v>
      </c>
      <c r="BEW4" s="18" t="s">
        <v>239</v>
      </c>
      <c r="BEX4" s="18" t="s">
        <v>240</v>
      </c>
      <c r="BEY4" s="18" t="s">
        <v>238</v>
      </c>
      <c r="BEZ4" s="18" t="s">
        <v>239</v>
      </c>
      <c r="BFA4" s="18" t="s">
        <v>240</v>
      </c>
      <c r="BFB4" s="18" t="s">
        <v>238</v>
      </c>
      <c r="BFC4" s="18" t="s">
        <v>239</v>
      </c>
      <c r="BFD4" s="18" t="s">
        <v>240</v>
      </c>
      <c r="BFE4" s="18" t="s">
        <v>238</v>
      </c>
      <c r="BFF4" s="18" t="s">
        <v>239</v>
      </c>
      <c r="BFG4" s="18" t="s">
        <v>240</v>
      </c>
      <c r="BFH4" s="18" t="s">
        <v>238</v>
      </c>
      <c r="BFI4" s="18" t="s">
        <v>239</v>
      </c>
      <c r="BFJ4" s="18" t="s">
        <v>240</v>
      </c>
      <c r="BFK4" s="18" t="s">
        <v>238</v>
      </c>
      <c r="BFL4" s="18" t="s">
        <v>239</v>
      </c>
      <c r="BFM4" s="18" t="s">
        <v>240</v>
      </c>
      <c r="BFN4" s="18" t="s">
        <v>238</v>
      </c>
      <c r="BFO4" s="18" t="s">
        <v>239</v>
      </c>
      <c r="BFP4" s="18" t="s">
        <v>240</v>
      </c>
      <c r="BFQ4" s="18" t="s">
        <v>238</v>
      </c>
      <c r="BFR4" s="18" t="s">
        <v>239</v>
      </c>
      <c r="BFS4" s="18" t="s">
        <v>240</v>
      </c>
      <c r="BFT4" s="18" t="s">
        <v>238</v>
      </c>
      <c r="BFU4" s="18" t="s">
        <v>239</v>
      </c>
      <c r="BFV4" s="18" t="s">
        <v>240</v>
      </c>
      <c r="BFW4" s="18" t="s">
        <v>238</v>
      </c>
      <c r="BFX4" s="18" t="s">
        <v>239</v>
      </c>
      <c r="BFY4" s="18" t="s">
        <v>240</v>
      </c>
      <c r="BFZ4" s="18" t="s">
        <v>238</v>
      </c>
      <c r="BGA4" s="18" t="s">
        <v>239</v>
      </c>
      <c r="BGB4" s="18" t="s">
        <v>240</v>
      </c>
      <c r="BGC4" s="18" t="s">
        <v>238</v>
      </c>
      <c r="BGD4" s="18" t="s">
        <v>239</v>
      </c>
      <c r="BGE4" s="18" t="s">
        <v>240</v>
      </c>
      <c r="BGF4" s="18" t="s">
        <v>238</v>
      </c>
      <c r="BGG4" s="18" t="s">
        <v>239</v>
      </c>
      <c r="BGH4" s="18" t="s">
        <v>240</v>
      </c>
      <c r="BGI4" s="18" t="s">
        <v>238</v>
      </c>
      <c r="BGJ4" s="18" t="s">
        <v>239</v>
      </c>
      <c r="BGK4" s="18" t="s">
        <v>240</v>
      </c>
      <c r="BGL4" s="18" t="s">
        <v>238</v>
      </c>
      <c r="BGM4" s="18" t="s">
        <v>239</v>
      </c>
      <c r="BGN4" s="18" t="s">
        <v>240</v>
      </c>
      <c r="BGO4" s="18" t="s">
        <v>238</v>
      </c>
      <c r="BGP4" s="18" t="s">
        <v>239</v>
      </c>
      <c r="BGQ4" s="18" t="s">
        <v>240</v>
      </c>
      <c r="BGR4" s="18" t="s">
        <v>238</v>
      </c>
      <c r="BGS4" s="18" t="s">
        <v>239</v>
      </c>
      <c r="BGT4" s="18" t="s">
        <v>240</v>
      </c>
      <c r="BGU4" s="18" t="s">
        <v>238</v>
      </c>
      <c r="BGV4" s="18" t="s">
        <v>239</v>
      </c>
      <c r="BGW4" s="18" t="s">
        <v>240</v>
      </c>
      <c r="BGX4" s="18" t="s">
        <v>238</v>
      </c>
      <c r="BGY4" s="18" t="s">
        <v>239</v>
      </c>
      <c r="BGZ4" s="18" t="s">
        <v>240</v>
      </c>
      <c r="BHA4" s="18" t="s">
        <v>238</v>
      </c>
      <c r="BHB4" s="18" t="s">
        <v>239</v>
      </c>
      <c r="BHC4" s="19" t="s">
        <v>240</v>
      </c>
      <c r="BHD4" s="37"/>
    </row>
    <row r="5" spans="1:1564" ht="31.95" customHeight="1" x14ac:dyDescent="0.3">
      <c r="A5" s="22">
        <v>1</v>
      </c>
      <c r="B5" s="40" t="s">
        <v>283</v>
      </c>
      <c r="C5" s="40" t="s">
        <v>241</v>
      </c>
      <c r="D5" s="40" t="s">
        <v>242</v>
      </c>
      <c r="E5" s="37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4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5"/>
      <c r="CU5" s="37"/>
      <c r="CV5" s="26"/>
      <c r="CW5" s="27"/>
      <c r="CX5" s="27"/>
      <c r="CY5" s="27"/>
      <c r="CZ5" s="27"/>
      <c r="DA5" s="27"/>
      <c r="DB5" s="26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8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8"/>
      <c r="GG5" s="27"/>
      <c r="GH5" s="27"/>
      <c r="GI5" s="27"/>
      <c r="GJ5" s="29"/>
      <c r="GK5" s="37"/>
      <c r="GL5" s="26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8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37"/>
      <c r="JS5" s="26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8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8"/>
      <c r="NC5" s="27"/>
      <c r="ND5" s="27"/>
      <c r="NE5" s="27"/>
      <c r="NF5" s="27"/>
      <c r="NG5" s="29"/>
      <c r="NH5" s="37"/>
      <c r="NI5" s="26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8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37"/>
      <c r="QV5" s="26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8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8"/>
      <c r="UE5" s="27"/>
      <c r="UF5" s="27"/>
      <c r="UG5" s="27"/>
      <c r="UH5" s="27"/>
      <c r="UI5" s="27"/>
      <c r="UJ5" s="29"/>
      <c r="UK5" s="37"/>
      <c r="UL5" s="26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8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37"/>
      <c r="XY5" s="26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8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8"/>
      <c r="ABE5" s="27"/>
      <c r="ABF5" s="27"/>
      <c r="ABG5" s="27"/>
      <c r="ABH5" s="27"/>
      <c r="ABI5" s="27"/>
      <c r="ABJ5" s="27"/>
      <c r="ABK5" s="27"/>
      <c r="ABL5" s="27"/>
      <c r="ABM5" s="29"/>
      <c r="ABN5" s="37"/>
      <c r="ABO5" s="26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8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9"/>
      <c r="AFD5" s="37"/>
      <c r="AFE5" s="26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8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8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37"/>
      <c r="AIR5" s="26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8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9"/>
      <c r="AMG5" s="37"/>
      <c r="AMH5" s="26"/>
      <c r="AMI5" s="27"/>
      <c r="AMJ5" s="27"/>
      <c r="AMK5" s="27"/>
      <c r="AML5" s="27"/>
      <c r="AMM5" s="27"/>
      <c r="AMN5" s="27"/>
      <c r="AMO5" s="27"/>
      <c r="AMP5" s="27"/>
      <c r="AMQ5" s="27"/>
      <c r="AMR5" s="27"/>
      <c r="AMS5" s="27"/>
      <c r="AMT5" s="27"/>
      <c r="AMU5" s="27"/>
      <c r="AMV5" s="27"/>
      <c r="AMW5" s="27"/>
      <c r="AMX5" s="27"/>
      <c r="AMY5" s="27"/>
      <c r="AMZ5" s="27"/>
      <c r="ANA5" s="27"/>
      <c r="ANB5" s="27"/>
      <c r="ANC5" s="27"/>
      <c r="AND5" s="27"/>
      <c r="ANE5" s="27"/>
      <c r="ANF5" s="27"/>
      <c r="ANG5" s="27"/>
      <c r="ANH5" s="27"/>
      <c r="ANI5" s="27"/>
      <c r="ANJ5" s="27"/>
      <c r="ANK5" s="27"/>
      <c r="ANL5" s="27"/>
      <c r="ANM5" s="27"/>
      <c r="ANN5" s="27"/>
      <c r="ANO5" s="27"/>
      <c r="ANP5" s="27"/>
      <c r="ANQ5" s="27"/>
      <c r="ANR5" s="27"/>
      <c r="ANS5" s="27"/>
      <c r="ANT5" s="27"/>
      <c r="ANU5" s="27"/>
      <c r="ANV5" s="27"/>
      <c r="ANW5" s="27"/>
      <c r="ANX5" s="27"/>
      <c r="ANY5" s="27"/>
      <c r="ANZ5" s="27"/>
      <c r="AOA5" s="27"/>
      <c r="AOB5" s="27"/>
      <c r="AOC5" s="28"/>
      <c r="AOD5" s="27"/>
      <c r="AOE5" s="27"/>
      <c r="AOF5" s="27"/>
      <c r="AOG5" s="27"/>
      <c r="AOH5" s="27"/>
      <c r="AOI5" s="27"/>
      <c r="AOJ5" s="27"/>
      <c r="AOK5" s="27"/>
      <c r="AOL5" s="27"/>
      <c r="AOM5" s="27"/>
      <c r="AON5" s="27"/>
      <c r="AOO5" s="27"/>
      <c r="AOP5" s="27"/>
      <c r="AOQ5" s="27"/>
      <c r="AOR5" s="27"/>
      <c r="AOS5" s="27"/>
      <c r="AOT5" s="27"/>
      <c r="AOU5" s="27"/>
      <c r="AOV5" s="27"/>
      <c r="AOW5" s="27"/>
      <c r="AOX5" s="27"/>
      <c r="AOY5" s="27"/>
      <c r="AOZ5" s="27"/>
      <c r="APA5" s="27"/>
      <c r="APB5" s="27"/>
      <c r="APC5" s="27"/>
      <c r="APD5" s="27"/>
      <c r="APE5" s="27"/>
      <c r="APF5" s="27"/>
      <c r="APG5" s="27"/>
      <c r="APH5" s="27"/>
      <c r="API5" s="27"/>
      <c r="APJ5" s="27"/>
      <c r="APK5" s="27"/>
      <c r="APL5" s="27"/>
      <c r="APM5" s="27"/>
      <c r="APN5" s="27"/>
      <c r="APO5" s="27"/>
      <c r="APP5" s="27"/>
      <c r="APQ5" s="27"/>
      <c r="APR5" s="27"/>
      <c r="APS5" s="29"/>
      <c r="APT5" s="37"/>
      <c r="APU5" s="26"/>
      <c r="APV5" s="27"/>
      <c r="APW5" s="27"/>
      <c r="APX5" s="27"/>
      <c r="APY5" s="27"/>
      <c r="APZ5" s="27"/>
      <c r="AQA5" s="27"/>
      <c r="AQB5" s="27"/>
      <c r="AQC5" s="27"/>
      <c r="AQD5" s="27"/>
      <c r="AQE5" s="27"/>
      <c r="AQF5" s="27"/>
      <c r="AQG5" s="27"/>
      <c r="AQH5" s="27"/>
      <c r="AQI5" s="27"/>
      <c r="AQJ5" s="27"/>
      <c r="AQK5" s="27"/>
      <c r="AQL5" s="27"/>
      <c r="AQM5" s="27"/>
      <c r="AQN5" s="27"/>
      <c r="AQO5" s="27"/>
      <c r="AQP5" s="27"/>
      <c r="AQQ5" s="27"/>
      <c r="AQR5" s="27"/>
      <c r="AQS5" s="27"/>
      <c r="AQT5" s="27"/>
      <c r="AQU5" s="27"/>
      <c r="AQV5" s="27"/>
      <c r="AQW5" s="27"/>
      <c r="AQX5" s="27"/>
      <c r="AQY5" s="27"/>
      <c r="AQZ5" s="27"/>
      <c r="ARA5" s="27"/>
      <c r="ARB5" s="27"/>
      <c r="ARC5" s="27"/>
      <c r="ARD5" s="27"/>
      <c r="ARE5" s="27"/>
      <c r="ARF5" s="27"/>
      <c r="ARG5" s="27"/>
      <c r="ARH5" s="27"/>
      <c r="ARI5" s="27"/>
      <c r="ARJ5" s="27"/>
      <c r="ARK5" s="27"/>
      <c r="ARL5" s="27"/>
      <c r="ARM5" s="27"/>
      <c r="ARN5" s="27"/>
      <c r="ARO5" s="27"/>
      <c r="ARP5" s="28"/>
      <c r="ARQ5" s="27"/>
      <c r="ARR5" s="27"/>
      <c r="ARS5" s="27"/>
      <c r="ART5" s="27"/>
      <c r="ARU5" s="27"/>
      <c r="ARV5" s="27"/>
      <c r="ARW5" s="27"/>
      <c r="ARX5" s="27"/>
      <c r="ARY5" s="27"/>
      <c r="ARZ5" s="27"/>
      <c r="ASA5" s="27"/>
      <c r="ASB5" s="27"/>
      <c r="ASC5" s="27"/>
      <c r="ASD5" s="27"/>
      <c r="ASE5" s="27"/>
      <c r="ASF5" s="27"/>
      <c r="ASG5" s="27"/>
      <c r="ASH5" s="27"/>
      <c r="ASI5" s="27"/>
      <c r="ASJ5" s="27"/>
      <c r="ASK5" s="27"/>
      <c r="ASL5" s="27"/>
      <c r="ASM5" s="27"/>
      <c r="ASN5" s="27"/>
      <c r="ASO5" s="27"/>
      <c r="ASP5" s="27"/>
      <c r="ASQ5" s="27"/>
      <c r="ASR5" s="27"/>
      <c r="ASS5" s="27"/>
      <c r="AST5" s="27"/>
      <c r="ASU5" s="27"/>
      <c r="ASV5" s="27"/>
      <c r="ASW5" s="27"/>
      <c r="ASX5" s="27"/>
      <c r="ASY5" s="27"/>
      <c r="ASZ5" s="27"/>
      <c r="ATA5" s="27"/>
      <c r="ATB5" s="27"/>
      <c r="ATC5" s="27"/>
      <c r="ATD5" s="27"/>
      <c r="ATE5" s="27"/>
      <c r="ATF5" s="29"/>
      <c r="ATG5" s="37"/>
      <c r="ATH5" s="26"/>
      <c r="ATI5" s="27"/>
      <c r="ATJ5" s="27"/>
      <c r="ATK5" s="27"/>
      <c r="ATL5" s="27"/>
      <c r="ATM5" s="27"/>
      <c r="ATN5" s="27"/>
      <c r="ATO5" s="27"/>
      <c r="ATP5" s="27"/>
      <c r="ATQ5" s="27"/>
      <c r="ATR5" s="27"/>
      <c r="ATS5" s="27"/>
      <c r="ATT5" s="27"/>
      <c r="ATU5" s="27"/>
      <c r="ATV5" s="27"/>
      <c r="ATW5" s="27"/>
      <c r="ATX5" s="27"/>
      <c r="ATY5" s="27"/>
      <c r="ATZ5" s="27"/>
      <c r="AUA5" s="27"/>
      <c r="AUB5" s="27"/>
      <c r="AUC5" s="27"/>
      <c r="AUD5" s="27"/>
      <c r="AUE5" s="27"/>
      <c r="AUF5" s="27"/>
      <c r="AUG5" s="27"/>
      <c r="AUH5" s="27"/>
      <c r="AUI5" s="27"/>
      <c r="AUJ5" s="27"/>
      <c r="AUK5" s="27"/>
      <c r="AUL5" s="27"/>
      <c r="AUM5" s="27"/>
      <c r="AUN5" s="27"/>
      <c r="AUO5" s="27"/>
      <c r="AUP5" s="27"/>
      <c r="AUQ5" s="27"/>
      <c r="AUR5" s="27"/>
      <c r="AUS5" s="27"/>
      <c r="AUT5" s="27"/>
      <c r="AUU5" s="27"/>
      <c r="AUV5" s="27"/>
      <c r="AUW5" s="27"/>
      <c r="AUX5" s="27"/>
      <c r="AUY5" s="27"/>
      <c r="AUZ5" s="27"/>
      <c r="AVA5" s="27"/>
      <c r="AVB5" s="27"/>
      <c r="AVC5" s="28"/>
      <c r="AVD5" s="27"/>
      <c r="AVE5" s="27"/>
      <c r="AVF5" s="27"/>
      <c r="AVG5" s="27"/>
      <c r="AVH5" s="27"/>
      <c r="AVI5" s="27"/>
      <c r="AVJ5" s="27"/>
      <c r="AVK5" s="27"/>
      <c r="AVL5" s="27"/>
      <c r="AVM5" s="27"/>
      <c r="AVN5" s="27"/>
      <c r="AVO5" s="27"/>
      <c r="AVP5" s="27"/>
      <c r="AVQ5" s="27"/>
      <c r="AVR5" s="27"/>
      <c r="AVS5" s="27"/>
      <c r="AVT5" s="27"/>
      <c r="AVU5" s="27"/>
      <c r="AVV5" s="27"/>
      <c r="AVW5" s="27"/>
      <c r="AVX5" s="27"/>
      <c r="AVY5" s="27"/>
      <c r="AVZ5" s="27"/>
      <c r="AWA5" s="27"/>
      <c r="AWB5" s="27"/>
      <c r="AWC5" s="27"/>
      <c r="AWD5" s="27"/>
      <c r="AWE5" s="27"/>
      <c r="AWF5" s="27"/>
      <c r="AWG5" s="27"/>
      <c r="AWH5" s="27"/>
      <c r="AWI5" s="27"/>
      <c r="AWJ5" s="27"/>
      <c r="AWK5" s="27"/>
      <c r="AWL5" s="27"/>
      <c r="AWM5" s="27"/>
      <c r="AWN5" s="27"/>
      <c r="AWO5" s="27"/>
      <c r="AWP5" s="27"/>
      <c r="AWQ5" s="27"/>
      <c r="AWR5" s="27"/>
      <c r="AWS5" s="29"/>
      <c r="AWT5" s="37"/>
      <c r="AWU5" s="26"/>
      <c r="AWV5" s="27"/>
      <c r="AWW5" s="27"/>
      <c r="AWX5" s="27"/>
      <c r="AWY5" s="27"/>
      <c r="AWZ5" s="27"/>
      <c r="AXA5" s="27"/>
      <c r="AXB5" s="27"/>
      <c r="AXC5" s="27"/>
      <c r="AXD5" s="27"/>
      <c r="AXE5" s="27"/>
      <c r="AXF5" s="27"/>
      <c r="AXG5" s="27"/>
      <c r="AXH5" s="27"/>
      <c r="AXI5" s="27"/>
      <c r="AXJ5" s="27"/>
      <c r="AXK5" s="27"/>
      <c r="AXL5" s="27"/>
      <c r="AXM5" s="27"/>
      <c r="AXN5" s="27"/>
      <c r="AXO5" s="27"/>
      <c r="AXP5" s="27"/>
      <c r="AXQ5" s="27"/>
      <c r="AXR5" s="27"/>
      <c r="AXS5" s="27"/>
      <c r="AXT5" s="27"/>
      <c r="AXU5" s="27"/>
      <c r="AXV5" s="27"/>
      <c r="AXW5" s="27"/>
      <c r="AXX5" s="27"/>
      <c r="AXY5" s="27"/>
      <c r="AXZ5" s="27"/>
      <c r="AYA5" s="27"/>
      <c r="AYB5" s="27"/>
      <c r="AYC5" s="27"/>
      <c r="AYD5" s="27"/>
      <c r="AYE5" s="27"/>
      <c r="AYF5" s="27"/>
      <c r="AYG5" s="27"/>
      <c r="AYH5" s="27"/>
      <c r="AYI5" s="27"/>
      <c r="AYJ5" s="27"/>
      <c r="AYK5" s="27"/>
      <c r="AYL5" s="27"/>
      <c r="AYM5" s="27"/>
      <c r="AYN5" s="27"/>
      <c r="AYO5" s="27"/>
      <c r="AYP5" s="28"/>
      <c r="AYQ5" s="27"/>
      <c r="AYR5" s="27"/>
      <c r="AYS5" s="27"/>
      <c r="AYT5" s="27"/>
      <c r="AYU5" s="27"/>
      <c r="AYV5" s="27"/>
      <c r="AYW5" s="27"/>
      <c r="AYX5" s="27"/>
      <c r="AYY5" s="27"/>
      <c r="AYZ5" s="27"/>
      <c r="AZA5" s="27"/>
      <c r="AZB5" s="27"/>
      <c r="AZC5" s="27"/>
      <c r="AZD5" s="27"/>
      <c r="AZE5" s="27"/>
      <c r="AZF5" s="27"/>
      <c r="AZG5" s="27"/>
      <c r="AZH5" s="27"/>
      <c r="AZI5" s="27"/>
      <c r="AZJ5" s="27"/>
      <c r="AZK5" s="27"/>
      <c r="AZL5" s="27"/>
      <c r="AZM5" s="27"/>
      <c r="AZN5" s="27"/>
      <c r="AZO5" s="27"/>
      <c r="AZP5" s="27"/>
      <c r="AZQ5" s="27"/>
      <c r="AZR5" s="27"/>
      <c r="AZS5" s="27"/>
      <c r="AZT5" s="27"/>
      <c r="AZU5" s="27"/>
      <c r="AZV5" s="27"/>
      <c r="AZW5" s="27"/>
      <c r="AZX5" s="27"/>
      <c r="AZY5" s="27"/>
      <c r="AZZ5" s="27"/>
      <c r="BAA5" s="37"/>
      <c r="BAB5" s="26"/>
      <c r="BAC5" s="27"/>
      <c r="BAD5" s="27"/>
      <c r="BAE5" s="27"/>
      <c r="BAF5" s="27"/>
      <c r="BAG5" s="27"/>
      <c r="BAH5" s="27"/>
      <c r="BAI5" s="27"/>
      <c r="BAJ5" s="27"/>
      <c r="BAK5" s="27"/>
      <c r="BAL5" s="27"/>
      <c r="BAM5" s="27"/>
      <c r="BAN5" s="27"/>
      <c r="BAO5" s="27"/>
      <c r="BAP5" s="27"/>
      <c r="BAQ5" s="27"/>
      <c r="BAR5" s="27"/>
      <c r="BAS5" s="27"/>
      <c r="BAT5" s="27"/>
      <c r="BAU5" s="27"/>
      <c r="BAV5" s="27"/>
      <c r="BAW5" s="27"/>
      <c r="BAX5" s="27"/>
      <c r="BAY5" s="27"/>
      <c r="BAZ5" s="27"/>
      <c r="BBA5" s="27"/>
      <c r="BBB5" s="27"/>
      <c r="BBC5" s="27"/>
      <c r="BBD5" s="27"/>
      <c r="BBE5" s="27"/>
      <c r="BBF5" s="27"/>
      <c r="BBG5" s="27"/>
      <c r="BBH5" s="27"/>
      <c r="BBI5" s="27"/>
      <c r="BBJ5" s="27"/>
      <c r="BBK5" s="27"/>
      <c r="BBL5" s="27"/>
      <c r="BBM5" s="27"/>
      <c r="BBN5" s="27"/>
      <c r="BBO5" s="27"/>
      <c r="BBP5" s="27"/>
      <c r="BBQ5" s="27"/>
      <c r="BBR5" s="27"/>
      <c r="BBS5" s="27"/>
      <c r="BBT5" s="27"/>
      <c r="BBU5" s="27"/>
      <c r="BBV5" s="27"/>
      <c r="BBW5" s="28"/>
      <c r="BBX5" s="27"/>
      <c r="BBY5" s="27"/>
      <c r="BBZ5" s="27"/>
      <c r="BCA5" s="27"/>
      <c r="BCB5" s="27"/>
      <c r="BCC5" s="27"/>
      <c r="BCD5" s="27"/>
      <c r="BCE5" s="27"/>
      <c r="BCF5" s="27"/>
      <c r="BCG5" s="27"/>
      <c r="BCH5" s="27"/>
      <c r="BCI5" s="27"/>
      <c r="BCJ5" s="27"/>
      <c r="BCK5" s="27"/>
      <c r="BCL5" s="27"/>
      <c r="BCM5" s="27"/>
      <c r="BCN5" s="27"/>
      <c r="BCO5" s="27"/>
      <c r="BCP5" s="27"/>
      <c r="BCQ5" s="27"/>
      <c r="BCR5" s="27"/>
      <c r="BCS5" s="27"/>
      <c r="BCT5" s="27"/>
      <c r="BCU5" s="27"/>
      <c r="BCV5" s="27"/>
      <c r="BCW5" s="27"/>
      <c r="BCX5" s="27"/>
      <c r="BCY5" s="27"/>
      <c r="BCZ5" s="27"/>
      <c r="BDA5" s="27"/>
      <c r="BDB5" s="27"/>
      <c r="BDC5" s="27"/>
      <c r="BDD5" s="27"/>
      <c r="BDE5" s="27"/>
      <c r="BDF5" s="27"/>
      <c r="BDG5" s="27"/>
      <c r="BDH5" s="27"/>
      <c r="BDI5" s="27"/>
      <c r="BDJ5" s="27"/>
      <c r="BDK5" s="27"/>
      <c r="BDL5" s="27"/>
      <c r="BDM5" s="29"/>
      <c r="BDN5" s="29"/>
      <c r="BDO5" s="29"/>
      <c r="BDP5" s="29"/>
      <c r="BDQ5" s="37"/>
      <c r="BDR5" s="26"/>
      <c r="BDS5" s="27"/>
      <c r="BDT5" s="27"/>
      <c r="BDU5" s="27"/>
      <c r="BDV5" s="27"/>
      <c r="BDW5" s="27"/>
      <c r="BDX5" s="27"/>
      <c r="BDY5" s="27"/>
      <c r="BDZ5" s="27"/>
      <c r="BEA5" s="27"/>
      <c r="BEB5" s="27"/>
      <c r="BEC5" s="27"/>
      <c r="BED5" s="27"/>
      <c r="BEE5" s="27"/>
      <c r="BEF5" s="27"/>
      <c r="BEG5" s="27"/>
      <c r="BEH5" s="27"/>
      <c r="BEI5" s="27"/>
      <c r="BEJ5" s="27"/>
      <c r="BEK5" s="27"/>
      <c r="BEL5" s="27"/>
      <c r="BEM5" s="27"/>
      <c r="BEN5" s="27"/>
      <c r="BEO5" s="27"/>
      <c r="BEP5" s="27"/>
      <c r="BEQ5" s="27"/>
      <c r="BER5" s="27"/>
      <c r="BES5" s="27"/>
      <c r="BET5" s="27"/>
      <c r="BEU5" s="27"/>
      <c r="BEV5" s="27"/>
      <c r="BEW5" s="27"/>
      <c r="BEX5" s="27"/>
      <c r="BEY5" s="27"/>
      <c r="BEZ5" s="27"/>
      <c r="BFA5" s="27"/>
      <c r="BFB5" s="27"/>
      <c r="BFC5" s="27"/>
      <c r="BFD5" s="27"/>
      <c r="BFE5" s="27"/>
      <c r="BFF5" s="27"/>
      <c r="BFG5" s="27"/>
      <c r="BFH5" s="27"/>
      <c r="BFI5" s="27"/>
      <c r="BFJ5" s="27"/>
      <c r="BFK5" s="27"/>
      <c r="BFL5" s="27"/>
      <c r="BFM5" s="28"/>
      <c r="BFN5" s="27"/>
      <c r="BFO5" s="27"/>
      <c r="BFP5" s="27"/>
      <c r="BFQ5" s="27"/>
      <c r="BFR5" s="27"/>
      <c r="BFS5" s="27"/>
      <c r="BFT5" s="27"/>
      <c r="BFU5" s="27"/>
      <c r="BFV5" s="27"/>
      <c r="BFW5" s="27"/>
      <c r="BFX5" s="27"/>
      <c r="BFY5" s="27"/>
      <c r="BFZ5" s="27"/>
      <c r="BGA5" s="27"/>
      <c r="BGB5" s="27"/>
      <c r="BGC5" s="27"/>
      <c r="BGD5" s="27"/>
      <c r="BGE5" s="27"/>
      <c r="BGF5" s="27"/>
      <c r="BGG5" s="27"/>
      <c r="BGH5" s="27"/>
      <c r="BGI5" s="27"/>
      <c r="BGJ5" s="27"/>
      <c r="BGK5" s="27"/>
      <c r="BGL5" s="27"/>
      <c r="BGM5" s="27"/>
      <c r="BGN5" s="27"/>
      <c r="BGO5" s="27"/>
      <c r="BGP5" s="27"/>
      <c r="BGQ5" s="27"/>
      <c r="BGR5" s="27"/>
      <c r="BGS5" s="27"/>
      <c r="BGT5" s="27"/>
      <c r="BGU5" s="27"/>
      <c r="BGV5" s="27"/>
      <c r="BGW5" s="27"/>
      <c r="BGX5" s="27"/>
      <c r="BGY5" s="27"/>
      <c r="BGZ5" s="27"/>
      <c r="BHA5" s="27"/>
      <c r="BHB5" s="27"/>
      <c r="BHC5" s="29"/>
      <c r="BHD5" s="37"/>
    </row>
    <row r="6" spans="1:1564" ht="31.95" customHeight="1" x14ac:dyDescent="0.3">
      <c r="A6" s="22">
        <v>2</v>
      </c>
      <c r="B6" s="40" t="s">
        <v>284</v>
      </c>
      <c r="C6" s="40" t="s">
        <v>247</v>
      </c>
      <c r="D6" s="40" t="s">
        <v>242</v>
      </c>
      <c r="E6" s="37"/>
      <c r="F6" s="30"/>
      <c r="G6" s="23"/>
      <c r="H6" s="23"/>
      <c r="I6" s="30"/>
      <c r="J6" s="23"/>
      <c r="K6" s="23"/>
      <c r="L6" s="30"/>
      <c r="M6" s="23"/>
      <c r="N6" s="23"/>
      <c r="O6" s="30"/>
      <c r="P6" s="23"/>
      <c r="Q6" s="23"/>
      <c r="R6" s="30"/>
      <c r="S6" s="23"/>
      <c r="T6" s="23"/>
      <c r="U6" s="30"/>
      <c r="V6" s="23"/>
      <c r="W6" s="23"/>
      <c r="X6" s="30"/>
      <c r="Y6" s="23"/>
      <c r="Z6" s="23"/>
      <c r="AA6" s="30"/>
      <c r="AB6" s="23"/>
      <c r="AC6" s="23"/>
      <c r="AD6" s="30"/>
      <c r="AE6" s="23"/>
      <c r="AF6" s="23"/>
      <c r="AG6" s="30"/>
      <c r="AH6" s="23"/>
      <c r="AI6" s="23"/>
      <c r="AJ6" s="30"/>
      <c r="AK6" s="23"/>
      <c r="AL6" s="23"/>
      <c r="AM6" s="30"/>
      <c r="AN6" s="23"/>
      <c r="AO6" s="23"/>
      <c r="AP6" s="30"/>
      <c r="AQ6" s="23"/>
      <c r="AR6" s="23"/>
      <c r="AS6" s="30"/>
      <c r="AT6" s="23"/>
      <c r="AU6" s="23"/>
      <c r="AV6" s="30"/>
      <c r="AW6" s="23"/>
      <c r="AX6" s="23"/>
      <c r="AY6" s="30"/>
      <c r="AZ6" s="23"/>
      <c r="BA6" s="23"/>
      <c r="BB6" s="30"/>
      <c r="BC6" s="23"/>
      <c r="BD6" s="23"/>
      <c r="BE6" s="30"/>
      <c r="BF6" s="23"/>
      <c r="BG6" s="23"/>
      <c r="BH6" s="30"/>
      <c r="BI6" s="23"/>
      <c r="BJ6" s="23"/>
      <c r="BK6" s="30"/>
      <c r="BL6" s="23"/>
      <c r="BM6" s="23"/>
      <c r="BN6" s="30"/>
      <c r="BO6" s="23"/>
      <c r="BP6" s="24"/>
      <c r="BQ6" s="30"/>
      <c r="BR6" s="23"/>
      <c r="BS6" s="23"/>
      <c r="BT6" s="30"/>
      <c r="BU6" s="23"/>
      <c r="BV6" s="23"/>
      <c r="BW6" s="30"/>
      <c r="BX6" s="23"/>
      <c r="BY6" s="23"/>
      <c r="BZ6" s="30"/>
      <c r="CA6" s="23"/>
      <c r="CB6" s="23"/>
      <c r="CC6" s="30"/>
      <c r="CD6" s="23"/>
      <c r="CE6" s="23"/>
      <c r="CF6" s="30"/>
      <c r="CG6" s="23"/>
      <c r="CH6" s="23"/>
      <c r="CI6" s="30"/>
      <c r="CJ6" s="23"/>
      <c r="CK6" s="23"/>
      <c r="CL6" s="30"/>
      <c r="CM6" s="23"/>
      <c r="CN6" s="23"/>
      <c r="CO6" s="30"/>
      <c r="CP6" s="23"/>
      <c r="CQ6" s="23"/>
      <c r="CR6" s="30"/>
      <c r="CS6" s="23"/>
      <c r="CT6" s="25"/>
      <c r="CU6" s="37"/>
      <c r="CV6" s="26"/>
      <c r="CW6" s="27"/>
      <c r="CX6" s="27"/>
      <c r="CY6" s="27"/>
      <c r="CZ6" s="27"/>
      <c r="DA6" s="27"/>
      <c r="DB6" s="26"/>
      <c r="DC6" s="27"/>
      <c r="DD6" s="27"/>
      <c r="DE6" s="26"/>
      <c r="DF6" s="27"/>
      <c r="DG6" s="27"/>
      <c r="DH6" s="26"/>
      <c r="DI6" s="27"/>
      <c r="DJ6" s="27"/>
      <c r="DK6" s="26"/>
      <c r="DL6" s="27"/>
      <c r="DM6" s="27"/>
      <c r="DN6" s="26"/>
      <c r="DO6" s="27"/>
      <c r="DP6" s="27"/>
      <c r="DQ6" s="26"/>
      <c r="DR6" s="27"/>
      <c r="DS6" s="27"/>
      <c r="DT6" s="26"/>
      <c r="DU6" s="27"/>
      <c r="DV6" s="27"/>
      <c r="DW6" s="26"/>
      <c r="DX6" s="27"/>
      <c r="DY6" s="27"/>
      <c r="DZ6" s="26"/>
      <c r="EA6" s="28"/>
      <c r="EB6" s="27"/>
      <c r="EC6" s="26"/>
      <c r="ED6" s="27"/>
      <c r="EE6" s="27"/>
      <c r="EF6" s="26"/>
      <c r="EG6" s="27"/>
      <c r="EH6" s="27"/>
      <c r="EI6" s="26"/>
      <c r="EJ6" s="27"/>
      <c r="EK6" s="27"/>
      <c r="EL6" s="26"/>
      <c r="EM6" s="27"/>
      <c r="EN6" s="27"/>
      <c r="EO6" s="26"/>
      <c r="EP6" s="27"/>
      <c r="EQ6" s="27"/>
      <c r="ER6" s="26"/>
      <c r="ES6" s="27"/>
      <c r="ET6" s="27"/>
      <c r="EU6" s="26"/>
      <c r="EV6" s="27"/>
      <c r="EW6" s="27"/>
      <c r="EX6" s="26"/>
      <c r="EY6" s="27"/>
      <c r="EZ6" s="27"/>
      <c r="FA6" s="26"/>
      <c r="FB6" s="27"/>
      <c r="FC6" s="27"/>
      <c r="FD6" s="26"/>
      <c r="FE6" s="27"/>
      <c r="FF6" s="27"/>
      <c r="FG6" s="26"/>
      <c r="FH6" s="27"/>
      <c r="FI6" s="27"/>
      <c r="FJ6" s="26"/>
      <c r="FK6" s="27"/>
      <c r="FL6" s="27"/>
      <c r="FM6" s="26"/>
      <c r="FN6" s="27"/>
      <c r="FO6" s="27"/>
      <c r="FP6" s="26"/>
      <c r="FQ6" s="27"/>
      <c r="FR6" s="27"/>
      <c r="FS6" s="26"/>
      <c r="FT6" s="27"/>
      <c r="FU6" s="27"/>
      <c r="FV6" s="26"/>
      <c r="FW6" s="27"/>
      <c r="FX6" s="27"/>
      <c r="FY6" s="26"/>
      <c r="FZ6" s="27"/>
      <c r="GA6" s="27"/>
      <c r="GB6" s="26"/>
      <c r="GC6" s="27"/>
      <c r="GD6" s="27"/>
      <c r="GE6" s="26"/>
      <c r="GF6" s="28"/>
      <c r="GG6" s="27"/>
      <c r="GH6" s="26"/>
      <c r="GI6" s="27"/>
      <c r="GJ6" s="29"/>
      <c r="GK6" s="37"/>
      <c r="GL6" s="26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8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37"/>
      <c r="JS6" s="26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8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8"/>
      <c r="NC6" s="27"/>
      <c r="ND6" s="27"/>
      <c r="NE6" s="27"/>
      <c r="NF6" s="27"/>
      <c r="NG6" s="29"/>
      <c r="NH6" s="37"/>
      <c r="NI6" s="26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8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37"/>
      <c r="QV6" s="26"/>
      <c r="QW6" s="27"/>
      <c r="QX6" s="27"/>
      <c r="QY6" s="27"/>
      <c r="QZ6" s="27"/>
      <c r="RA6" s="27"/>
      <c r="RB6" s="27"/>
      <c r="RC6" s="27"/>
      <c r="RD6" s="27"/>
      <c r="RE6" s="27">
        <v>8</v>
      </c>
      <c r="RF6" s="27">
        <v>228</v>
      </c>
      <c r="RG6" s="27" t="s">
        <v>276</v>
      </c>
      <c r="RH6" s="27"/>
      <c r="RI6" s="27"/>
      <c r="RJ6" s="27"/>
      <c r="RK6" s="27"/>
      <c r="RL6" s="27"/>
      <c r="RM6" s="27"/>
      <c r="RN6" s="27">
        <v>8</v>
      </c>
      <c r="RO6" s="27">
        <v>228</v>
      </c>
      <c r="RP6" s="27" t="s">
        <v>276</v>
      </c>
      <c r="RQ6" s="27">
        <v>8</v>
      </c>
      <c r="RR6" s="27">
        <v>228</v>
      </c>
      <c r="RS6" s="27" t="s">
        <v>276</v>
      </c>
      <c r="RT6" s="27"/>
      <c r="RU6" s="27"/>
      <c r="RV6" s="27"/>
      <c r="RW6" s="27"/>
      <c r="RX6" s="27"/>
      <c r="RY6" s="27"/>
      <c r="RZ6" s="27"/>
      <c r="SA6" s="27"/>
      <c r="SB6" s="27"/>
      <c r="SC6" s="27">
        <v>8</v>
      </c>
      <c r="SD6" s="27">
        <v>228</v>
      </c>
      <c r="SE6" s="27" t="s">
        <v>276</v>
      </c>
      <c r="SF6" s="27">
        <v>8</v>
      </c>
      <c r="SG6" s="27">
        <v>228</v>
      </c>
      <c r="SH6" s="27" t="s">
        <v>276</v>
      </c>
      <c r="SI6" s="27">
        <v>8</v>
      </c>
      <c r="SJ6" s="27">
        <v>228</v>
      </c>
      <c r="SK6" s="27" t="s">
        <v>276</v>
      </c>
      <c r="SL6" s="27">
        <v>8</v>
      </c>
      <c r="SM6" s="27">
        <v>228</v>
      </c>
      <c r="SN6" s="27" t="s">
        <v>276</v>
      </c>
      <c r="SO6" s="27"/>
      <c r="SP6" s="27"/>
      <c r="SQ6" s="27"/>
      <c r="SR6" s="27"/>
      <c r="SS6" s="27"/>
      <c r="ST6" s="27"/>
      <c r="SU6" s="27">
        <v>8</v>
      </c>
      <c r="SV6" s="27">
        <v>228</v>
      </c>
      <c r="SW6" s="27" t="s">
        <v>276</v>
      </c>
      <c r="SX6" s="27">
        <v>8</v>
      </c>
      <c r="SY6" s="27">
        <v>228</v>
      </c>
      <c r="SZ6" s="27" t="s">
        <v>276</v>
      </c>
      <c r="TA6" s="27">
        <v>8</v>
      </c>
      <c r="TB6" s="27">
        <v>228</v>
      </c>
      <c r="TC6" s="27" t="s">
        <v>276</v>
      </c>
      <c r="TD6" s="27">
        <v>8</v>
      </c>
      <c r="TE6" s="27">
        <v>228</v>
      </c>
      <c r="TF6" s="27" t="s">
        <v>276</v>
      </c>
      <c r="TG6" s="27"/>
      <c r="TH6" s="27"/>
      <c r="TI6" s="27"/>
      <c r="TJ6" s="27"/>
      <c r="TK6" s="27"/>
      <c r="TL6" s="27"/>
      <c r="TM6" s="27"/>
      <c r="TN6" s="27"/>
      <c r="TO6" s="27"/>
      <c r="TP6" s="27">
        <v>8</v>
      </c>
      <c r="TQ6" s="27">
        <v>45</v>
      </c>
      <c r="TR6" s="27" t="s">
        <v>246</v>
      </c>
      <c r="TS6" s="27">
        <v>8</v>
      </c>
      <c r="TT6" s="27">
        <v>45</v>
      </c>
      <c r="TU6" s="27" t="s">
        <v>246</v>
      </c>
      <c r="TV6" s="27">
        <v>8</v>
      </c>
      <c r="TW6" s="27">
        <v>45</v>
      </c>
      <c r="TX6" s="27" t="s">
        <v>246</v>
      </c>
      <c r="TY6" s="27"/>
      <c r="TZ6" s="27"/>
      <c r="UA6" s="27"/>
      <c r="UB6" s="27"/>
      <c r="UC6" s="27"/>
      <c r="UD6" s="28"/>
      <c r="UE6" s="27"/>
      <c r="UF6" s="27"/>
      <c r="UG6" s="27"/>
      <c r="UH6" s="27"/>
      <c r="UI6" s="27"/>
      <c r="UJ6" s="29"/>
      <c r="UK6" s="37"/>
      <c r="UL6" s="26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8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37"/>
      <c r="XY6" s="26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8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>
        <v>8</v>
      </c>
      <c r="ABC6" s="27">
        <v>80</v>
      </c>
      <c r="ABD6" s="27" t="s">
        <v>276</v>
      </c>
      <c r="ABE6" s="27"/>
      <c r="ABF6" s="27"/>
      <c r="ABG6" s="27"/>
      <c r="ABH6" s="27"/>
      <c r="ABI6" s="27"/>
      <c r="ABJ6" s="27"/>
      <c r="ABK6" s="27"/>
      <c r="ABL6" s="27"/>
      <c r="ABM6" s="29"/>
      <c r="ABN6" s="37"/>
      <c r="ABO6" s="26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8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9"/>
      <c r="AFD6" s="37"/>
      <c r="AFE6" s="26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8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8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37"/>
      <c r="AIR6" s="26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8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9"/>
      <c r="AMG6" s="37"/>
      <c r="AMH6" s="26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8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9"/>
      <c r="APT6" s="37"/>
      <c r="APU6" s="26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8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9"/>
      <c r="ATG6" s="37"/>
      <c r="ATH6" s="26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8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9"/>
      <c r="AWT6" s="37"/>
      <c r="AWU6" s="26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8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37"/>
      <c r="BAB6" s="26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8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9"/>
      <c r="BDN6" s="29"/>
      <c r="BDO6" s="29"/>
      <c r="BDP6" s="29"/>
      <c r="BDQ6" s="37"/>
      <c r="BDR6" s="26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8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9"/>
      <c r="BHD6" s="37"/>
    </row>
    <row r="7" spans="1:1564" ht="31.95" customHeight="1" x14ac:dyDescent="0.3">
      <c r="A7" s="22">
        <v>3</v>
      </c>
      <c r="B7" s="40" t="s">
        <v>285</v>
      </c>
      <c r="C7" s="40" t="s">
        <v>248</v>
      </c>
      <c r="D7" s="40" t="s">
        <v>242</v>
      </c>
      <c r="E7" s="37"/>
      <c r="F7" s="30"/>
      <c r="G7" s="23"/>
      <c r="H7" s="23"/>
      <c r="I7" s="30"/>
      <c r="J7" s="23"/>
      <c r="K7" s="23"/>
      <c r="L7" s="30"/>
      <c r="M7" s="23"/>
      <c r="N7" s="23"/>
      <c r="O7" s="30"/>
      <c r="P7" s="23"/>
      <c r="Q7" s="23"/>
      <c r="R7" s="30"/>
      <c r="S7" s="23"/>
      <c r="T7" s="23"/>
      <c r="U7" s="30"/>
      <c r="V7" s="23"/>
      <c r="W7" s="23"/>
      <c r="X7" s="30"/>
      <c r="Y7" s="23"/>
      <c r="Z7" s="23"/>
      <c r="AA7" s="30"/>
      <c r="AB7" s="23"/>
      <c r="AC7" s="23"/>
      <c r="AD7" s="30"/>
      <c r="AE7" s="23"/>
      <c r="AF7" s="23"/>
      <c r="AG7" s="30"/>
      <c r="AH7" s="23"/>
      <c r="AI7" s="23"/>
      <c r="AJ7" s="30"/>
      <c r="AK7" s="23"/>
      <c r="AL7" s="23"/>
      <c r="AM7" s="30"/>
      <c r="AN7" s="23"/>
      <c r="AO7" s="23"/>
      <c r="AP7" s="30"/>
      <c r="AQ7" s="23"/>
      <c r="AR7" s="23"/>
      <c r="AS7" s="30"/>
      <c r="AT7" s="23"/>
      <c r="AU7" s="23"/>
      <c r="AV7" s="30"/>
      <c r="AW7" s="23"/>
      <c r="AX7" s="23"/>
      <c r="AY7" s="30"/>
      <c r="AZ7" s="23"/>
      <c r="BA7" s="23"/>
      <c r="BB7" s="30"/>
      <c r="BC7" s="23"/>
      <c r="BD7" s="23"/>
      <c r="BE7" s="30"/>
      <c r="BF7" s="23"/>
      <c r="BG7" s="23"/>
      <c r="BH7" s="30"/>
      <c r="BI7" s="23"/>
      <c r="BJ7" s="23"/>
      <c r="BK7" s="30"/>
      <c r="BL7" s="23"/>
      <c r="BM7" s="23"/>
      <c r="BN7" s="30"/>
      <c r="BO7" s="23"/>
      <c r="BP7" s="24"/>
      <c r="BQ7" s="30"/>
      <c r="BR7" s="23"/>
      <c r="BS7" s="23"/>
      <c r="BT7" s="30"/>
      <c r="BU7" s="23"/>
      <c r="BV7" s="23"/>
      <c r="BW7" s="30"/>
      <c r="BX7" s="23"/>
      <c r="BY7" s="23"/>
      <c r="BZ7" s="30"/>
      <c r="CA7" s="23"/>
      <c r="CB7" s="23"/>
      <c r="CC7" s="30"/>
      <c r="CD7" s="23"/>
      <c r="CE7" s="23"/>
      <c r="CF7" s="30"/>
      <c r="CG7" s="23"/>
      <c r="CH7" s="23"/>
      <c r="CI7" s="30"/>
      <c r="CJ7" s="23"/>
      <c r="CK7" s="23"/>
      <c r="CL7" s="30"/>
      <c r="CM7" s="23"/>
      <c r="CN7" s="23"/>
      <c r="CO7" s="30"/>
      <c r="CP7" s="23"/>
      <c r="CQ7" s="23"/>
      <c r="CR7" s="30"/>
      <c r="CS7" s="23"/>
      <c r="CT7" s="25"/>
      <c r="CU7" s="37"/>
      <c r="CV7" s="26"/>
      <c r="CW7" s="27"/>
      <c r="CX7" s="27"/>
      <c r="CY7" s="27"/>
      <c r="CZ7" s="27"/>
      <c r="DA7" s="27"/>
      <c r="DB7" s="26"/>
      <c r="DC7" s="27"/>
      <c r="DD7" s="27"/>
      <c r="DE7" s="26"/>
      <c r="DF7" s="27"/>
      <c r="DG7" s="27"/>
      <c r="DH7" s="26"/>
      <c r="DI7" s="27"/>
      <c r="DJ7" s="27"/>
      <c r="DK7" s="26"/>
      <c r="DL7" s="27"/>
      <c r="DM7" s="27"/>
      <c r="DN7" s="26"/>
      <c r="DO7" s="27"/>
      <c r="DP7" s="27"/>
      <c r="DQ7" s="26"/>
      <c r="DR7" s="27"/>
      <c r="DS7" s="27"/>
      <c r="DT7" s="26"/>
      <c r="DU7" s="27"/>
      <c r="DV7" s="27"/>
      <c r="DW7" s="26"/>
      <c r="DX7" s="27"/>
      <c r="DY7" s="27"/>
      <c r="DZ7" s="26"/>
      <c r="EA7" s="27"/>
      <c r="EB7" s="27"/>
      <c r="EC7" s="26"/>
      <c r="ED7" s="27"/>
      <c r="EE7" s="27"/>
      <c r="EF7" s="26"/>
      <c r="EG7" s="27"/>
      <c r="EH7" s="27"/>
      <c r="EI7" s="26"/>
      <c r="EJ7" s="27"/>
      <c r="EK7" s="27"/>
      <c r="EL7" s="26"/>
      <c r="EM7" s="27"/>
      <c r="EN7" s="27"/>
      <c r="EO7" s="26"/>
      <c r="EP7" s="27"/>
      <c r="EQ7" s="27"/>
      <c r="ER7" s="26"/>
      <c r="ES7" s="27"/>
      <c r="ET7" s="27"/>
      <c r="EU7" s="26"/>
      <c r="EV7" s="27"/>
      <c r="EW7" s="27"/>
      <c r="EX7" s="26"/>
      <c r="EY7" s="27"/>
      <c r="EZ7" s="27"/>
      <c r="FA7" s="26"/>
      <c r="FB7" s="27"/>
      <c r="FC7" s="27"/>
      <c r="FD7" s="26"/>
      <c r="FE7" s="27"/>
      <c r="FF7" s="27"/>
      <c r="FG7" s="26"/>
      <c r="FH7" s="27"/>
      <c r="FI7" s="27"/>
      <c r="FJ7" s="26"/>
      <c r="FK7" s="27"/>
      <c r="FL7" s="27"/>
      <c r="FM7" s="26"/>
      <c r="FN7" s="27"/>
      <c r="FO7" s="27"/>
      <c r="FP7" s="26"/>
      <c r="FQ7" s="27"/>
      <c r="FR7" s="27"/>
      <c r="FS7" s="26"/>
      <c r="FT7" s="27"/>
      <c r="FU7" s="27"/>
      <c r="FV7" s="26"/>
      <c r="FW7" s="27"/>
      <c r="FX7" s="27"/>
      <c r="FY7" s="26"/>
      <c r="FZ7" s="27"/>
      <c r="GA7" s="27"/>
      <c r="GB7" s="26"/>
      <c r="GC7" s="27"/>
      <c r="GD7" s="27"/>
      <c r="GE7" s="26"/>
      <c r="GF7" s="27"/>
      <c r="GG7" s="27"/>
      <c r="GH7" s="26"/>
      <c r="GI7" s="27"/>
      <c r="GJ7" s="29"/>
      <c r="GK7" s="37"/>
      <c r="GL7" s="26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37"/>
      <c r="JS7" s="26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9"/>
      <c r="NH7" s="37"/>
      <c r="NI7" s="26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37"/>
      <c r="QV7" s="26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9"/>
      <c r="UK7" s="37"/>
      <c r="UL7" s="26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37"/>
      <c r="XY7" s="26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9"/>
      <c r="ABN7" s="37"/>
      <c r="ABO7" s="26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9"/>
      <c r="AFD7" s="37"/>
      <c r="AFE7" s="26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37"/>
      <c r="AIR7" s="26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9"/>
      <c r="AMG7" s="37"/>
      <c r="AMH7" s="26"/>
      <c r="AMI7" s="27"/>
      <c r="AMJ7" s="27"/>
      <c r="AMK7" s="27"/>
      <c r="AML7" s="27"/>
      <c r="AMM7" s="27"/>
      <c r="AMN7" s="27"/>
      <c r="AMO7" s="27"/>
      <c r="AMP7" s="27"/>
      <c r="AMQ7" s="27"/>
      <c r="AMR7" s="27"/>
      <c r="AMS7" s="27"/>
      <c r="AMT7" s="27"/>
      <c r="AMU7" s="27"/>
      <c r="AMV7" s="27"/>
      <c r="AMW7" s="27"/>
      <c r="AMX7" s="27"/>
      <c r="AMY7" s="27"/>
      <c r="AMZ7" s="27"/>
      <c r="ANA7" s="27"/>
      <c r="ANB7" s="27"/>
      <c r="ANC7" s="27"/>
      <c r="AND7" s="27"/>
      <c r="ANE7" s="27"/>
      <c r="ANF7" s="27"/>
      <c r="ANG7" s="27"/>
      <c r="ANH7" s="27"/>
      <c r="ANI7" s="27"/>
      <c r="ANJ7" s="27"/>
      <c r="ANK7" s="27"/>
      <c r="ANL7" s="27"/>
      <c r="ANM7" s="27"/>
      <c r="ANN7" s="27"/>
      <c r="ANO7" s="27"/>
      <c r="ANP7" s="27"/>
      <c r="ANQ7" s="27"/>
      <c r="ANR7" s="27"/>
      <c r="ANS7" s="27"/>
      <c r="ANT7" s="27"/>
      <c r="ANU7" s="27"/>
      <c r="ANV7" s="27"/>
      <c r="ANW7" s="27"/>
      <c r="ANX7" s="27"/>
      <c r="ANY7" s="27"/>
      <c r="ANZ7" s="27"/>
      <c r="AOA7" s="27"/>
      <c r="AOB7" s="27"/>
      <c r="AOC7" s="27"/>
      <c r="AOD7" s="27"/>
      <c r="AOE7" s="27"/>
      <c r="AOF7" s="27"/>
      <c r="AOG7" s="27"/>
      <c r="AOH7" s="27"/>
      <c r="AOI7" s="27"/>
      <c r="AOJ7" s="27"/>
      <c r="AOK7" s="27"/>
      <c r="AOL7" s="27"/>
      <c r="AOM7" s="27"/>
      <c r="AON7" s="27"/>
      <c r="AOO7" s="27"/>
      <c r="AOP7" s="27"/>
      <c r="AOQ7" s="27"/>
      <c r="AOR7" s="27"/>
      <c r="AOS7" s="27"/>
      <c r="AOT7" s="27"/>
      <c r="AOU7" s="27"/>
      <c r="AOV7" s="27"/>
      <c r="AOW7" s="27"/>
      <c r="AOX7" s="27"/>
      <c r="AOY7" s="27"/>
      <c r="AOZ7" s="27"/>
      <c r="APA7" s="27"/>
      <c r="APB7" s="27"/>
      <c r="APC7" s="27"/>
      <c r="APD7" s="27"/>
      <c r="APE7" s="27"/>
      <c r="APF7" s="27"/>
      <c r="APG7" s="27"/>
      <c r="APH7" s="27"/>
      <c r="API7" s="27"/>
      <c r="APJ7" s="27"/>
      <c r="APK7" s="27"/>
      <c r="APL7" s="27"/>
      <c r="APM7" s="27"/>
      <c r="APN7" s="27"/>
      <c r="APO7" s="27"/>
      <c r="APP7" s="27"/>
      <c r="APQ7" s="27"/>
      <c r="APR7" s="27"/>
      <c r="APS7" s="29"/>
      <c r="APT7" s="37"/>
      <c r="APU7" s="26"/>
      <c r="APV7" s="27"/>
      <c r="APW7" s="27"/>
      <c r="APX7" s="27"/>
      <c r="APY7" s="27"/>
      <c r="APZ7" s="27"/>
      <c r="AQA7" s="27"/>
      <c r="AQB7" s="27"/>
      <c r="AQC7" s="27"/>
      <c r="AQD7" s="27"/>
      <c r="AQE7" s="27"/>
      <c r="AQF7" s="27"/>
      <c r="AQG7" s="27"/>
      <c r="AQH7" s="27"/>
      <c r="AQI7" s="27"/>
      <c r="AQJ7" s="27"/>
      <c r="AQK7" s="27"/>
      <c r="AQL7" s="27"/>
      <c r="AQM7" s="27"/>
      <c r="AQN7" s="27"/>
      <c r="AQO7" s="27"/>
      <c r="AQP7" s="27"/>
      <c r="AQQ7" s="27"/>
      <c r="AQR7" s="27"/>
      <c r="AQS7" s="27"/>
      <c r="AQT7" s="27"/>
      <c r="AQU7" s="27"/>
      <c r="AQV7" s="27"/>
      <c r="AQW7" s="27"/>
      <c r="AQX7" s="27"/>
      <c r="AQY7" s="27"/>
      <c r="AQZ7" s="27"/>
      <c r="ARA7" s="27"/>
      <c r="ARB7" s="27"/>
      <c r="ARC7" s="27"/>
      <c r="ARD7" s="27"/>
      <c r="ARE7" s="27"/>
      <c r="ARF7" s="27"/>
      <c r="ARG7" s="27"/>
      <c r="ARH7" s="27"/>
      <c r="ARI7" s="27"/>
      <c r="ARJ7" s="27"/>
      <c r="ARK7" s="27"/>
      <c r="ARL7" s="27"/>
      <c r="ARM7" s="27"/>
      <c r="ARN7" s="27"/>
      <c r="ARO7" s="27"/>
      <c r="ARP7" s="27"/>
      <c r="ARQ7" s="27"/>
      <c r="ARR7" s="27"/>
      <c r="ARS7" s="27"/>
      <c r="ART7" s="27"/>
      <c r="ARU7" s="27"/>
      <c r="ARV7" s="27"/>
      <c r="ARW7" s="27"/>
      <c r="ARX7" s="27"/>
      <c r="ARY7" s="27"/>
      <c r="ARZ7" s="27"/>
      <c r="ASA7" s="27"/>
      <c r="ASB7" s="27"/>
      <c r="ASC7" s="27"/>
      <c r="ASD7" s="27"/>
      <c r="ASE7" s="27"/>
      <c r="ASF7" s="27"/>
      <c r="ASG7" s="27"/>
      <c r="ASH7" s="27"/>
      <c r="ASI7" s="27"/>
      <c r="ASJ7" s="27"/>
      <c r="ASK7" s="27"/>
      <c r="ASL7" s="27"/>
      <c r="ASM7" s="27"/>
      <c r="ASN7" s="27"/>
      <c r="ASO7" s="27"/>
      <c r="ASP7" s="27"/>
      <c r="ASQ7" s="27"/>
      <c r="ASR7" s="27"/>
      <c r="ASS7" s="27"/>
      <c r="AST7" s="27"/>
      <c r="ASU7" s="27"/>
      <c r="ASV7" s="27"/>
      <c r="ASW7" s="27"/>
      <c r="ASX7" s="27"/>
      <c r="ASY7" s="27"/>
      <c r="ASZ7" s="27"/>
      <c r="ATA7" s="27"/>
      <c r="ATB7" s="27"/>
      <c r="ATC7" s="27"/>
      <c r="ATD7" s="27"/>
      <c r="ATE7" s="27"/>
      <c r="ATF7" s="29"/>
      <c r="ATG7" s="37"/>
      <c r="ATH7" s="26"/>
      <c r="ATI7" s="27"/>
      <c r="ATJ7" s="27"/>
      <c r="ATK7" s="27"/>
      <c r="ATL7" s="27"/>
      <c r="ATM7" s="27"/>
      <c r="ATN7" s="27"/>
      <c r="ATO7" s="27"/>
      <c r="ATP7" s="27"/>
      <c r="ATQ7" s="27"/>
      <c r="ATR7" s="27"/>
      <c r="ATS7" s="27"/>
      <c r="ATT7" s="27"/>
      <c r="ATU7" s="27"/>
      <c r="ATV7" s="27"/>
      <c r="ATW7" s="27"/>
      <c r="ATX7" s="27"/>
      <c r="ATY7" s="27"/>
      <c r="ATZ7" s="27"/>
      <c r="AUA7" s="27"/>
      <c r="AUB7" s="27"/>
      <c r="AUC7" s="27"/>
      <c r="AUD7" s="27"/>
      <c r="AUE7" s="27"/>
      <c r="AUF7" s="27"/>
      <c r="AUG7" s="27"/>
      <c r="AUH7" s="27"/>
      <c r="AUI7" s="27"/>
      <c r="AUJ7" s="27"/>
      <c r="AUK7" s="27"/>
      <c r="AUL7" s="27"/>
      <c r="AUM7" s="27"/>
      <c r="AUN7" s="27"/>
      <c r="AUO7" s="27"/>
      <c r="AUP7" s="27"/>
      <c r="AUQ7" s="27"/>
      <c r="AUR7" s="27"/>
      <c r="AUS7" s="27"/>
      <c r="AUT7" s="27"/>
      <c r="AUU7" s="27"/>
      <c r="AUV7" s="27"/>
      <c r="AUW7" s="27"/>
      <c r="AUX7" s="27"/>
      <c r="AUY7" s="27"/>
      <c r="AUZ7" s="27"/>
      <c r="AVA7" s="27"/>
      <c r="AVB7" s="27"/>
      <c r="AVC7" s="27"/>
      <c r="AVD7" s="27"/>
      <c r="AVE7" s="27"/>
      <c r="AVF7" s="27"/>
      <c r="AVG7" s="27"/>
      <c r="AVH7" s="27"/>
      <c r="AVI7" s="27"/>
      <c r="AVJ7" s="27"/>
      <c r="AVK7" s="27"/>
      <c r="AVL7" s="27"/>
      <c r="AVM7" s="27"/>
      <c r="AVN7" s="27"/>
      <c r="AVO7" s="27"/>
      <c r="AVP7" s="27"/>
      <c r="AVQ7" s="27"/>
      <c r="AVR7" s="27"/>
      <c r="AVS7" s="27"/>
      <c r="AVT7" s="27"/>
      <c r="AVU7" s="27"/>
      <c r="AVV7" s="27"/>
      <c r="AVW7" s="27"/>
      <c r="AVX7" s="27"/>
      <c r="AVY7" s="27"/>
      <c r="AVZ7" s="27"/>
      <c r="AWA7" s="27"/>
      <c r="AWB7" s="27"/>
      <c r="AWC7" s="27"/>
      <c r="AWD7" s="27"/>
      <c r="AWE7" s="27"/>
      <c r="AWF7" s="27"/>
      <c r="AWG7" s="27"/>
      <c r="AWH7" s="27"/>
      <c r="AWI7" s="27"/>
      <c r="AWJ7" s="27"/>
      <c r="AWK7" s="27"/>
      <c r="AWL7" s="27"/>
      <c r="AWM7" s="27"/>
      <c r="AWN7" s="27"/>
      <c r="AWO7" s="27"/>
      <c r="AWP7" s="27"/>
      <c r="AWQ7" s="27"/>
      <c r="AWR7" s="27"/>
      <c r="AWS7" s="29"/>
      <c r="AWT7" s="37"/>
      <c r="AWU7" s="26"/>
      <c r="AWV7" s="27"/>
      <c r="AWW7" s="27"/>
      <c r="AWX7" s="27"/>
      <c r="AWY7" s="27"/>
      <c r="AWZ7" s="27"/>
      <c r="AXA7" s="27"/>
      <c r="AXB7" s="27"/>
      <c r="AXC7" s="27"/>
      <c r="AXD7" s="27"/>
      <c r="AXE7" s="27"/>
      <c r="AXF7" s="27"/>
      <c r="AXG7" s="27"/>
      <c r="AXH7" s="27"/>
      <c r="AXI7" s="27"/>
      <c r="AXJ7" s="27"/>
      <c r="AXK7" s="27"/>
      <c r="AXL7" s="27"/>
      <c r="AXM7" s="27"/>
      <c r="AXN7" s="27"/>
      <c r="AXO7" s="27"/>
      <c r="AXP7" s="27"/>
      <c r="AXQ7" s="27"/>
      <c r="AXR7" s="27"/>
      <c r="AXS7" s="27"/>
      <c r="AXT7" s="27"/>
      <c r="AXU7" s="27"/>
      <c r="AXV7" s="27"/>
      <c r="AXW7" s="27"/>
      <c r="AXX7" s="27"/>
      <c r="AXY7" s="27"/>
      <c r="AXZ7" s="27"/>
      <c r="AYA7" s="27"/>
      <c r="AYB7" s="27"/>
      <c r="AYC7" s="27"/>
      <c r="AYD7" s="27"/>
      <c r="AYE7" s="27"/>
      <c r="AYF7" s="27"/>
      <c r="AYG7" s="27"/>
      <c r="AYH7" s="27"/>
      <c r="AYI7" s="27"/>
      <c r="AYJ7" s="27"/>
      <c r="AYK7" s="27"/>
      <c r="AYL7" s="27"/>
      <c r="AYM7" s="27"/>
      <c r="AYN7" s="27"/>
      <c r="AYO7" s="27"/>
      <c r="AYP7" s="27"/>
      <c r="AYQ7" s="27"/>
      <c r="AYR7" s="27"/>
      <c r="AYS7" s="27"/>
      <c r="AYT7" s="27"/>
      <c r="AYU7" s="27"/>
      <c r="AYV7" s="27"/>
      <c r="AYW7" s="27"/>
      <c r="AYX7" s="27"/>
      <c r="AYY7" s="27"/>
      <c r="AYZ7" s="27"/>
      <c r="AZA7" s="27"/>
      <c r="AZB7" s="27"/>
      <c r="AZC7" s="27"/>
      <c r="AZD7" s="27"/>
      <c r="AZE7" s="27"/>
      <c r="AZF7" s="27"/>
      <c r="AZG7" s="27"/>
      <c r="AZH7" s="27"/>
      <c r="AZI7" s="27"/>
      <c r="AZJ7" s="27"/>
      <c r="AZK7" s="27"/>
      <c r="AZL7" s="27"/>
      <c r="AZM7" s="27"/>
      <c r="AZN7" s="27"/>
      <c r="AZO7" s="27"/>
      <c r="AZP7" s="27"/>
      <c r="AZQ7" s="27"/>
      <c r="AZR7" s="27"/>
      <c r="AZS7" s="27"/>
      <c r="AZT7" s="27"/>
      <c r="AZU7" s="27"/>
      <c r="AZV7" s="27"/>
      <c r="AZW7" s="27"/>
      <c r="AZX7" s="27"/>
      <c r="AZY7" s="27"/>
      <c r="AZZ7" s="27"/>
      <c r="BAA7" s="37"/>
      <c r="BAB7" s="26"/>
      <c r="BAC7" s="27"/>
      <c r="BAD7" s="27"/>
      <c r="BAE7" s="27"/>
      <c r="BAF7" s="27"/>
      <c r="BAG7" s="27"/>
      <c r="BAH7" s="27"/>
      <c r="BAI7" s="27"/>
      <c r="BAJ7" s="27"/>
      <c r="BAK7" s="27"/>
      <c r="BAL7" s="27"/>
      <c r="BAM7" s="27"/>
      <c r="BAN7" s="27"/>
      <c r="BAO7" s="27"/>
      <c r="BAP7" s="27"/>
      <c r="BAQ7" s="27"/>
      <c r="BAR7" s="27"/>
      <c r="BAS7" s="27"/>
      <c r="BAT7" s="27"/>
      <c r="BAU7" s="27"/>
      <c r="BAV7" s="27"/>
      <c r="BAW7" s="27"/>
      <c r="BAX7" s="27"/>
      <c r="BAY7" s="27"/>
      <c r="BAZ7" s="27"/>
      <c r="BBA7" s="27"/>
      <c r="BBB7" s="27"/>
      <c r="BBC7" s="27"/>
      <c r="BBD7" s="27"/>
      <c r="BBE7" s="27"/>
      <c r="BBF7" s="27"/>
      <c r="BBG7" s="27"/>
      <c r="BBH7" s="27"/>
      <c r="BBI7" s="27"/>
      <c r="BBJ7" s="27"/>
      <c r="BBK7" s="27"/>
      <c r="BBL7" s="27"/>
      <c r="BBM7" s="27"/>
      <c r="BBN7" s="27"/>
      <c r="BBO7" s="27"/>
      <c r="BBP7" s="27"/>
      <c r="BBQ7" s="27"/>
      <c r="BBR7" s="27"/>
      <c r="BBS7" s="27"/>
      <c r="BBT7" s="27"/>
      <c r="BBU7" s="27"/>
      <c r="BBV7" s="27"/>
      <c r="BBW7" s="27"/>
      <c r="BBX7" s="27"/>
      <c r="BBY7" s="27"/>
      <c r="BBZ7" s="27"/>
      <c r="BCA7" s="27"/>
      <c r="BCB7" s="27"/>
      <c r="BCC7" s="27"/>
      <c r="BCD7" s="27"/>
      <c r="BCE7" s="27"/>
      <c r="BCF7" s="27"/>
      <c r="BCG7" s="27"/>
      <c r="BCH7" s="27"/>
      <c r="BCI7" s="27"/>
      <c r="BCJ7" s="27"/>
      <c r="BCK7" s="27"/>
      <c r="BCL7" s="27"/>
      <c r="BCM7" s="27"/>
      <c r="BCN7" s="27"/>
      <c r="BCO7" s="27"/>
      <c r="BCP7" s="27"/>
      <c r="BCQ7" s="27"/>
      <c r="BCR7" s="27"/>
      <c r="BCS7" s="27"/>
      <c r="BCT7" s="27"/>
      <c r="BCU7" s="27"/>
      <c r="BCV7" s="27"/>
      <c r="BCW7" s="27"/>
      <c r="BCX7" s="27"/>
      <c r="BCY7" s="27"/>
      <c r="BCZ7" s="27"/>
      <c r="BDA7" s="27"/>
      <c r="BDB7" s="27"/>
      <c r="BDC7" s="27"/>
      <c r="BDD7" s="27"/>
      <c r="BDE7" s="27"/>
      <c r="BDF7" s="27"/>
      <c r="BDG7" s="27"/>
      <c r="BDH7" s="27"/>
      <c r="BDI7" s="27"/>
      <c r="BDJ7" s="27"/>
      <c r="BDK7" s="27"/>
      <c r="BDL7" s="27"/>
      <c r="BDM7" s="29"/>
      <c r="BDN7" s="29"/>
      <c r="BDO7" s="29"/>
      <c r="BDP7" s="29"/>
      <c r="BDQ7" s="37"/>
      <c r="BDR7" s="26"/>
      <c r="BDS7" s="27"/>
      <c r="BDT7" s="27"/>
      <c r="BDU7" s="27"/>
      <c r="BDV7" s="27"/>
      <c r="BDW7" s="27"/>
      <c r="BDX7" s="27"/>
      <c r="BDY7" s="27"/>
      <c r="BDZ7" s="27"/>
      <c r="BEA7" s="27"/>
      <c r="BEB7" s="27"/>
      <c r="BEC7" s="27"/>
      <c r="BED7" s="27"/>
      <c r="BEE7" s="27"/>
      <c r="BEF7" s="27"/>
      <c r="BEG7" s="27"/>
      <c r="BEH7" s="27"/>
      <c r="BEI7" s="27"/>
      <c r="BEJ7" s="27"/>
      <c r="BEK7" s="27"/>
      <c r="BEL7" s="27"/>
      <c r="BEM7" s="27"/>
      <c r="BEN7" s="27"/>
      <c r="BEO7" s="27"/>
      <c r="BEP7" s="27"/>
      <c r="BEQ7" s="27"/>
      <c r="BER7" s="27"/>
      <c r="BES7" s="27"/>
      <c r="BET7" s="27"/>
      <c r="BEU7" s="27"/>
      <c r="BEV7" s="27"/>
      <c r="BEW7" s="27"/>
      <c r="BEX7" s="27"/>
      <c r="BEY7" s="27"/>
      <c r="BEZ7" s="27"/>
      <c r="BFA7" s="27"/>
      <c r="BFB7" s="27"/>
      <c r="BFC7" s="27"/>
      <c r="BFD7" s="27"/>
      <c r="BFE7" s="27"/>
      <c r="BFF7" s="27"/>
      <c r="BFG7" s="27"/>
      <c r="BFH7" s="27"/>
      <c r="BFI7" s="27"/>
      <c r="BFJ7" s="27"/>
      <c r="BFK7" s="27"/>
      <c r="BFL7" s="27"/>
      <c r="BFM7" s="27"/>
      <c r="BFN7" s="27"/>
      <c r="BFO7" s="27"/>
      <c r="BFP7" s="27"/>
      <c r="BFQ7" s="27"/>
      <c r="BFR7" s="27"/>
      <c r="BFS7" s="27"/>
      <c r="BFT7" s="27"/>
      <c r="BFU7" s="27"/>
      <c r="BFV7" s="27"/>
      <c r="BFW7" s="27"/>
      <c r="BFX7" s="27"/>
      <c r="BFY7" s="27"/>
      <c r="BFZ7" s="27"/>
      <c r="BGA7" s="27"/>
      <c r="BGB7" s="27"/>
      <c r="BGC7" s="27"/>
      <c r="BGD7" s="27"/>
      <c r="BGE7" s="27"/>
      <c r="BGF7" s="27"/>
      <c r="BGG7" s="27"/>
      <c r="BGH7" s="27"/>
      <c r="BGI7" s="27"/>
      <c r="BGJ7" s="27"/>
      <c r="BGK7" s="27"/>
      <c r="BGL7" s="27"/>
      <c r="BGM7" s="27"/>
      <c r="BGN7" s="27"/>
      <c r="BGO7" s="27"/>
      <c r="BGP7" s="27"/>
      <c r="BGQ7" s="27"/>
      <c r="BGR7" s="27"/>
      <c r="BGS7" s="27"/>
      <c r="BGT7" s="27"/>
      <c r="BGU7" s="27"/>
      <c r="BGV7" s="27"/>
      <c r="BGW7" s="27"/>
      <c r="BGX7" s="27"/>
      <c r="BGY7" s="27"/>
      <c r="BGZ7" s="27"/>
      <c r="BHA7" s="27"/>
      <c r="BHB7" s="27"/>
      <c r="BHC7" s="29"/>
      <c r="BHD7" s="37"/>
    </row>
    <row r="8" spans="1:1564" ht="31.95" customHeight="1" x14ac:dyDescent="0.3">
      <c r="A8" s="22">
        <v>4</v>
      </c>
      <c r="B8" s="40" t="s">
        <v>286</v>
      </c>
      <c r="C8" s="40" t="s">
        <v>249</v>
      </c>
      <c r="D8" s="40" t="s">
        <v>242</v>
      </c>
      <c r="E8" s="37"/>
      <c r="F8" s="30"/>
      <c r="G8" s="23"/>
      <c r="H8" s="23"/>
      <c r="I8" s="30"/>
      <c r="J8" s="23"/>
      <c r="K8" s="23"/>
      <c r="L8" s="30"/>
      <c r="M8" s="23"/>
      <c r="N8" s="23"/>
      <c r="O8" s="30"/>
      <c r="P8" s="23"/>
      <c r="Q8" s="23"/>
      <c r="R8" s="30"/>
      <c r="S8" s="23"/>
      <c r="T8" s="23"/>
      <c r="U8" s="30"/>
      <c r="V8" s="23"/>
      <c r="W8" s="23"/>
      <c r="X8" s="30"/>
      <c r="Y8" s="23"/>
      <c r="Z8" s="23"/>
      <c r="AA8" s="30"/>
      <c r="AB8" s="23"/>
      <c r="AC8" s="23"/>
      <c r="AD8" s="30"/>
      <c r="AE8" s="23"/>
      <c r="AF8" s="23"/>
      <c r="AG8" s="30"/>
      <c r="AH8" s="23"/>
      <c r="AI8" s="23"/>
      <c r="AJ8" s="30"/>
      <c r="AK8" s="23"/>
      <c r="AL8" s="23"/>
      <c r="AM8" s="30"/>
      <c r="AN8" s="23"/>
      <c r="AO8" s="23"/>
      <c r="AP8" s="30"/>
      <c r="AQ8" s="23"/>
      <c r="AR8" s="23"/>
      <c r="AS8" s="30"/>
      <c r="AT8" s="23"/>
      <c r="AU8" s="23"/>
      <c r="AV8" s="30"/>
      <c r="AW8" s="23"/>
      <c r="AX8" s="23"/>
      <c r="AY8" s="30"/>
      <c r="AZ8" s="23"/>
      <c r="BA8" s="23"/>
      <c r="BB8" s="30"/>
      <c r="BC8" s="23"/>
      <c r="BD8" s="23"/>
      <c r="BE8" s="30"/>
      <c r="BF8" s="23"/>
      <c r="BG8" s="23"/>
      <c r="BH8" s="30"/>
      <c r="BI8" s="23"/>
      <c r="BJ8" s="23"/>
      <c r="BK8" s="30"/>
      <c r="BL8" s="23"/>
      <c r="BM8" s="23"/>
      <c r="BN8" s="30"/>
      <c r="BO8" s="23"/>
      <c r="BP8" s="24"/>
      <c r="BQ8" s="30"/>
      <c r="BR8" s="23"/>
      <c r="BS8" s="23"/>
      <c r="BT8" s="30"/>
      <c r="BU8" s="23"/>
      <c r="BV8" s="23"/>
      <c r="BW8" s="30"/>
      <c r="BX8" s="23"/>
      <c r="BY8" s="23"/>
      <c r="BZ8" s="30"/>
      <c r="CA8" s="23"/>
      <c r="CB8" s="23"/>
      <c r="CC8" s="30"/>
      <c r="CD8" s="23"/>
      <c r="CE8" s="23"/>
      <c r="CF8" s="30"/>
      <c r="CG8" s="23"/>
      <c r="CH8" s="23"/>
      <c r="CI8" s="30"/>
      <c r="CJ8" s="23"/>
      <c r="CK8" s="23"/>
      <c r="CL8" s="30"/>
      <c r="CM8" s="23"/>
      <c r="CN8" s="23"/>
      <c r="CO8" s="30"/>
      <c r="CP8" s="23"/>
      <c r="CQ8" s="23"/>
      <c r="CR8" s="30"/>
      <c r="CS8" s="23"/>
      <c r="CT8" s="25"/>
      <c r="CU8" s="37"/>
      <c r="CV8" s="26"/>
      <c r="CW8" s="27"/>
      <c r="CX8" s="27"/>
      <c r="CY8" s="27"/>
      <c r="CZ8" s="27"/>
      <c r="DA8" s="27"/>
      <c r="DB8" s="26"/>
      <c r="DC8" s="27"/>
      <c r="DD8" s="27"/>
      <c r="DE8" s="26"/>
      <c r="DF8" s="27"/>
      <c r="DG8" s="27"/>
      <c r="DH8" s="26"/>
      <c r="DI8" s="27"/>
      <c r="DJ8" s="27"/>
      <c r="DK8" s="26"/>
      <c r="DL8" s="27"/>
      <c r="DM8" s="27"/>
      <c r="DN8" s="26"/>
      <c r="DO8" s="27"/>
      <c r="DP8" s="27"/>
      <c r="DQ8" s="26"/>
      <c r="DR8" s="27"/>
      <c r="DS8" s="27"/>
      <c r="DT8" s="26"/>
      <c r="DU8" s="27"/>
      <c r="DV8" s="27"/>
      <c r="DW8" s="26"/>
      <c r="DX8" s="27"/>
      <c r="DY8" s="27"/>
      <c r="DZ8" s="26"/>
      <c r="EA8" s="27"/>
      <c r="EB8" s="27"/>
      <c r="EC8" s="26"/>
      <c r="ED8" s="27"/>
      <c r="EE8" s="27"/>
      <c r="EF8" s="26"/>
      <c r="EG8" s="27"/>
      <c r="EH8" s="27"/>
      <c r="EI8" s="26"/>
      <c r="EJ8" s="27"/>
      <c r="EK8" s="27"/>
      <c r="EL8" s="26"/>
      <c r="EM8" s="27"/>
      <c r="EN8" s="27"/>
      <c r="EO8" s="26"/>
      <c r="EP8" s="27"/>
      <c r="EQ8" s="27"/>
      <c r="ER8" s="26"/>
      <c r="ES8" s="27"/>
      <c r="ET8" s="27"/>
      <c r="EU8" s="26"/>
      <c r="EV8" s="27"/>
      <c r="EW8" s="27"/>
      <c r="EX8" s="26"/>
      <c r="EY8" s="27"/>
      <c r="EZ8" s="27"/>
      <c r="FA8" s="26"/>
      <c r="FB8" s="27"/>
      <c r="FC8" s="27"/>
      <c r="FD8" s="26"/>
      <c r="FE8" s="27"/>
      <c r="FF8" s="27"/>
      <c r="FG8" s="26"/>
      <c r="FH8" s="27"/>
      <c r="FI8" s="27"/>
      <c r="FJ8" s="26"/>
      <c r="FK8" s="27"/>
      <c r="FL8" s="27"/>
      <c r="FM8" s="26"/>
      <c r="FN8" s="27"/>
      <c r="FO8" s="27"/>
      <c r="FP8" s="26"/>
      <c r="FQ8" s="27"/>
      <c r="FR8" s="27"/>
      <c r="FS8" s="26"/>
      <c r="FT8" s="27"/>
      <c r="FU8" s="27"/>
      <c r="FV8" s="26"/>
      <c r="FW8" s="27"/>
      <c r="FX8" s="27"/>
      <c r="FY8" s="26"/>
      <c r="FZ8" s="27"/>
      <c r="GA8" s="27"/>
      <c r="GB8" s="26"/>
      <c r="GC8" s="27"/>
      <c r="GD8" s="27"/>
      <c r="GE8" s="26"/>
      <c r="GF8" s="27"/>
      <c r="GG8" s="27"/>
      <c r="GH8" s="26"/>
      <c r="GI8" s="27"/>
      <c r="GJ8" s="29"/>
      <c r="GK8" s="37"/>
      <c r="GL8" s="26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37"/>
      <c r="JS8" s="26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9"/>
      <c r="NH8" s="37"/>
      <c r="NI8" s="26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37"/>
      <c r="QV8" s="26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9"/>
      <c r="UK8" s="37"/>
      <c r="UL8" s="26"/>
      <c r="UM8" s="27"/>
      <c r="UN8" s="27"/>
      <c r="UO8" s="27"/>
      <c r="UP8" s="27"/>
      <c r="UQ8" s="27"/>
      <c r="UR8" s="27"/>
      <c r="US8" s="27"/>
      <c r="UT8" s="27"/>
      <c r="UU8" s="27"/>
      <c r="UV8" s="27"/>
      <c r="UW8" s="27"/>
      <c r="UX8" s="27"/>
      <c r="UY8" s="27"/>
      <c r="UZ8" s="27"/>
      <c r="VA8" s="27"/>
      <c r="VB8" s="27"/>
      <c r="VC8" s="27"/>
      <c r="VD8" s="27"/>
      <c r="VE8" s="27"/>
      <c r="VF8" s="27"/>
      <c r="VG8" s="27"/>
      <c r="VH8" s="27"/>
      <c r="VI8" s="27"/>
      <c r="VJ8" s="27"/>
      <c r="VK8" s="27"/>
      <c r="VL8" s="27"/>
      <c r="VM8" s="27"/>
      <c r="VN8" s="27"/>
      <c r="VO8" s="27"/>
      <c r="VP8" s="27"/>
      <c r="VQ8" s="27"/>
      <c r="VR8" s="27"/>
      <c r="VS8" s="27"/>
      <c r="VT8" s="27"/>
      <c r="VU8" s="27"/>
      <c r="VV8" s="27"/>
      <c r="VW8" s="27"/>
      <c r="VX8" s="27"/>
      <c r="VY8" s="27"/>
      <c r="VZ8" s="27"/>
      <c r="WA8" s="27"/>
      <c r="WB8" s="27"/>
      <c r="WC8" s="27"/>
      <c r="WD8" s="27"/>
      <c r="WE8" s="27"/>
      <c r="WF8" s="27"/>
      <c r="WG8" s="27"/>
      <c r="WH8" s="27"/>
      <c r="WI8" s="27"/>
      <c r="WJ8" s="27"/>
      <c r="WK8" s="27"/>
      <c r="WL8" s="27"/>
      <c r="WM8" s="27"/>
      <c r="WN8" s="27"/>
      <c r="WO8" s="27"/>
      <c r="WP8" s="27"/>
      <c r="WQ8" s="27"/>
      <c r="WR8" s="27"/>
      <c r="WS8" s="27"/>
      <c r="WT8" s="27"/>
      <c r="WU8" s="27"/>
      <c r="WV8" s="27"/>
      <c r="WW8" s="27"/>
      <c r="WX8" s="27"/>
      <c r="WY8" s="27"/>
      <c r="WZ8" s="27"/>
      <c r="XA8" s="27"/>
      <c r="XB8" s="27"/>
      <c r="XC8" s="27"/>
      <c r="XD8" s="27"/>
      <c r="XE8" s="27"/>
      <c r="XF8" s="27"/>
      <c r="XG8" s="27"/>
      <c r="XH8" s="27"/>
      <c r="XI8" s="27"/>
      <c r="XJ8" s="27"/>
      <c r="XK8" s="27"/>
      <c r="XL8" s="27"/>
      <c r="XM8" s="27"/>
      <c r="XN8" s="27"/>
      <c r="XO8" s="27"/>
      <c r="XP8" s="27"/>
      <c r="XQ8" s="27"/>
      <c r="XR8" s="27"/>
      <c r="XS8" s="27"/>
      <c r="XT8" s="27"/>
      <c r="XU8" s="27"/>
      <c r="XV8" s="27"/>
      <c r="XW8" s="27"/>
      <c r="XX8" s="37"/>
      <c r="XY8" s="26"/>
      <c r="XZ8" s="27"/>
      <c r="YA8" s="27"/>
      <c r="YB8" s="27"/>
      <c r="YC8" s="27"/>
      <c r="YD8" s="27"/>
      <c r="YE8" s="27"/>
      <c r="YF8" s="27"/>
      <c r="YG8" s="27"/>
      <c r="YH8" s="27"/>
      <c r="YI8" s="27"/>
      <c r="YJ8" s="27"/>
      <c r="YK8" s="27"/>
      <c r="YL8" s="27"/>
      <c r="YM8" s="27"/>
      <c r="YN8" s="27"/>
      <c r="YO8" s="27"/>
      <c r="YP8" s="27"/>
      <c r="YQ8" s="27"/>
      <c r="YR8" s="27"/>
      <c r="YS8" s="27"/>
      <c r="YT8" s="27"/>
      <c r="YU8" s="27"/>
      <c r="YV8" s="27"/>
      <c r="YW8" s="27"/>
      <c r="YX8" s="27"/>
      <c r="YY8" s="27"/>
      <c r="YZ8" s="27"/>
      <c r="ZA8" s="27"/>
      <c r="ZB8" s="27"/>
      <c r="ZC8" s="27"/>
      <c r="ZD8" s="27"/>
      <c r="ZE8" s="27"/>
      <c r="ZF8" s="27"/>
      <c r="ZG8" s="27"/>
      <c r="ZH8" s="27"/>
      <c r="ZI8" s="27"/>
      <c r="ZJ8" s="27"/>
      <c r="ZK8" s="27"/>
      <c r="ZL8" s="27"/>
      <c r="ZM8" s="27"/>
      <c r="ZN8" s="27"/>
      <c r="ZO8" s="27"/>
      <c r="ZP8" s="27"/>
      <c r="ZQ8" s="27"/>
      <c r="ZR8" s="27"/>
      <c r="ZS8" s="27"/>
      <c r="ZT8" s="27"/>
      <c r="ZU8" s="27"/>
      <c r="ZV8" s="27"/>
      <c r="ZW8" s="27"/>
      <c r="ZX8" s="27"/>
      <c r="ZY8" s="27"/>
      <c r="ZZ8" s="27"/>
      <c r="AAA8" s="27"/>
      <c r="AAB8" s="27"/>
      <c r="AAC8" s="27"/>
      <c r="AAD8" s="27"/>
      <c r="AAE8" s="27"/>
      <c r="AAF8" s="27"/>
      <c r="AAG8" s="27"/>
      <c r="AAH8" s="27"/>
      <c r="AAI8" s="27"/>
      <c r="AAJ8" s="27"/>
      <c r="AAK8" s="27"/>
      <c r="AAL8" s="27"/>
      <c r="AAM8" s="27"/>
      <c r="AAN8" s="27"/>
      <c r="AAO8" s="27"/>
      <c r="AAP8" s="27"/>
      <c r="AAQ8" s="27"/>
      <c r="AAR8" s="27"/>
      <c r="AAS8" s="27"/>
      <c r="AAT8" s="27"/>
      <c r="AAU8" s="27"/>
      <c r="AAV8" s="27"/>
      <c r="AAW8" s="27"/>
      <c r="AAX8" s="27"/>
      <c r="AAY8" s="27"/>
      <c r="AAZ8" s="27"/>
      <c r="ABA8" s="27"/>
      <c r="ABB8" s="27"/>
      <c r="ABC8" s="27"/>
      <c r="ABD8" s="27"/>
      <c r="ABE8" s="27"/>
      <c r="ABF8" s="27"/>
      <c r="ABG8" s="27"/>
      <c r="ABH8" s="27"/>
      <c r="ABI8" s="27"/>
      <c r="ABJ8" s="27"/>
      <c r="ABK8" s="27"/>
      <c r="ABL8" s="27"/>
      <c r="ABM8" s="29"/>
      <c r="ABN8" s="37"/>
      <c r="ABO8" s="26"/>
      <c r="ABP8" s="27"/>
      <c r="ABQ8" s="27"/>
      <c r="ABR8" s="27"/>
      <c r="ABS8" s="27"/>
      <c r="ABT8" s="27"/>
      <c r="ABU8" s="27"/>
      <c r="ABV8" s="27"/>
      <c r="ABW8" s="27"/>
      <c r="ABX8" s="27"/>
      <c r="ABY8" s="27"/>
      <c r="ABZ8" s="27"/>
      <c r="ACA8" s="27"/>
      <c r="ACB8" s="27"/>
      <c r="ACC8" s="27"/>
      <c r="ACD8" s="27"/>
      <c r="ACE8" s="27"/>
      <c r="ACF8" s="27"/>
      <c r="ACG8" s="27"/>
      <c r="ACH8" s="27"/>
      <c r="ACI8" s="27"/>
      <c r="ACJ8" s="27"/>
      <c r="ACK8" s="27"/>
      <c r="ACL8" s="27"/>
      <c r="ACM8" s="27"/>
      <c r="ACN8" s="27"/>
      <c r="ACO8" s="27"/>
      <c r="ACP8" s="27"/>
      <c r="ACQ8" s="27"/>
      <c r="ACR8" s="27"/>
      <c r="ACS8" s="27"/>
      <c r="ACT8" s="27"/>
      <c r="ACU8" s="27"/>
      <c r="ACV8" s="27"/>
      <c r="ACW8" s="27"/>
      <c r="ACX8" s="27"/>
      <c r="ACY8" s="27"/>
      <c r="ACZ8" s="27"/>
      <c r="ADA8" s="27"/>
      <c r="ADB8" s="27"/>
      <c r="ADC8" s="27"/>
      <c r="ADD8" s="27"/>
      <c r="ADE8" s="27"/>
      <c r="ADF8" s="27"/>
      <c r="ADG8" s="27"/>
      <c r="ADH8" s="27"/>
      <c r="ADI8" s="27"/>
      <c r="ADJ8" s="27"/>
      <c r="ADK8" s="27"/>
      <c r="ADL8" s="27"/>
      <c r="ADM8" s="27"/>
      <c r="ADN8" s="27"/>
      <c r="ADO8" s="27"/>
      <c r="ADP8" s="27"/>
      <c r="ADQ8" s="27"/>
      <c r="ADR8" s="27"/>
      <c r="ADS8" s="27"/>
      <c r="ADT8" s="27"/>
      <c r="ADU8" s="27"/>
      <c r="ADV8" s="27"/>
      <c r="ADW8" s="27"/>
      <c r="ADX8" s="27"/>
      <c r="ADY8" s="27"/>
      <c r="ADZ8" s="27"/>
      <c r="AEA8" s="27"/>
      <c r="AEB8" s="27"/>
      <c r="AEC8" s="27"/>
      <c r="AED8" s="27"/>
      <c r="AEE8" s="27"/>
      <c r="AEF8" s="27"/>
      <c r="AEG8" s="27"/>
      <c r="AEH8" s="27"/>
      <c r="AEI8" s="27"/>
      <c r="AEJ8" s="27"/>
      <c r="AEK8" s="27"/>
      <c r="AEL8" s="27"/>
      <c r="AEM8" s="27"/>
      <c r="AEN8" s="27"/>
      <c r="AEO8" s="27"/>
      <c r="AEP8" s="27"/>
      <c r="AEQ8" s="27"/>
      <c r="AER8" s="27"/>
      <c r="AES8" s="27"/>
      <c r="AET8" s="27"/>
      <c r="AEU8" s="27"/>
      <c r="AEV8" s="27"/>
      <c r="AEW8" s="27"/>
      <c r="AEX8" s="27"/>
      <c r="AEY8" s="27"/>
      <c r="AEZ8" s="27"/>
      <c r="AFA8" s="27"/>
      <c r="AFB8" s="27"/>
      <c r="AFC8" s="29"/>
      <c r="AFD8" s="37"/>
      <c r="AFE8" s="26"/>
      <c r="AFF8" s="27"/>
      <c r="AFG8" s="27"/>
      <c r="AFH8" s="27"/>
      <c r="AFI8" s="27"/>
      <c r="AFJ8" s="27"/>
      <c r="AFK8" s="27"/>
      <c r="AFL8" s="27"/>
      <c r="AFM8" s="27"/>
      <c r="AFN8" s="27"/>
      <c r="AFO8" s="27"/>
      <c r="AFP8" s="27"/>
      <c r="AFQ8" s="27"/>
      <c r="AFR8" s="27"/>
      <c r="AFS8" s="27"/>
      <c r="AFT8" s="27"/>
      <c r="AFU8" s="27"/>
      <c r="AFV8" s="27"/>
      <c r="AFW8" s="27"/>
      <c r="AFX8" s="27"/>
      <c r="AFY8" s="27"/>
      <c r="AFZ8" s="27"/>
      <c r="AGA8" s="27"/>
      <c r="AGB8" s="27"/>
      <c r="AGC8" s="27"/>
      <c r="AGD8" s="27"/>
      <c r="AGE8" s="27"/>
      <c r="AGF8" s="27"/>
      <c r="AGG8" s="27"/>
      <c r="AGH8" s="27"/>
      <c r="AGI8" s="27"/>
      <c r="AGJ8" s="27"/>
      <c r="AGK8" s="27"/>
      <c r="AGL8" s="27"/>
      <c r="AGM8" s="27"/>
      <c r="AGN8" s="27"/>
      <c r="AGO8" s="27"/>
      <c r="AGP8" s="27"/>
      <c r="AGQ8" s="27"/>
      <c r="AGR8" s="27"/>
      <c r="AGS8" s="27"/>
      <c r="AGT8" s="27"/>
      <c r="AGU8" s="27"/>
      <c r="AGV8" s="27"/>
      <c r="AGW8" s="27"/>
      <c r="AGX8" s="27"/>
      <c r="AGY8" s="27"/>
      <c r="AGZ8" s="27"/>
      <c r="AHA8" s="27"/>
      <c r="AHB8" s="27"/>
      <c r="AHC8" s="27"/>
      <c r="AHD8" s="27"/>
      <c r="AHE8" s="27"/>
      <c r="AHF8" s="27"/>
      <c r="AHG8" s="27"/>
      <c r="AHH8" s="27"/>
      <c r="AHI8" s="27"/>
      <c r="AHJ8" s="27"/>
      <c r="AHK8" s="27"/>
      <c r="AHL8" s="27"/>
      <c r="AHM8" s="27"/>
      <c r="AHN8" s="27"/>
      <c r="AHO8" s="27"/>
      <c r="AHP8" s="27"/>
      <c r="AHQ8" s="27"/>
      <c r="AHR8" s="27"/>
      <c r="AHS8" s="27"/>
      <c r="AHT8" s="27"/>
      <c r="AHU8" s="27"/>
      <c r="AHV8" s="27"/>
      <c r="AHW8" s="27"/>
      <c r="AHX8" s="27"/>
      <c r="AHY8" s="27"/>
      <c r="AHZ8" s="27"/>
      <c r="AIA8" s="27"/>
      <c r="AIB8" s="27"/>
      <c r="AIC8" s="27"/>
      <c r="AID8" s="27"/>
      <c r="AIE8" s="27"/>
      <c r="AIF8" s="27"/>
      <c r="AIG8" s="27"/>
      <c r="AIH8" s="27"/>
      <c r="AII8" s="27"/>
      <c r="AIJ8" s="27"/>
      <c r="AIK8" s="27"/>
      <c r="AIL8" s="27"/>
      <c r="AIM8" s="27"/>
      <c r="AIN8" s="27"/>
      <c r="AIO8" s="27"/>
      <c r="AIP8" s="27"/>
      <c r="AIQ8" s="37"/>
      <c r="AIR8" s="26"/>
      <c r="AIS8" s="27"/>
      <c r="AIT8" s="27"/>
      <c r="AIU8" s="27"/>
      <c r="AIV8" s="27"/>
      <c r="AIW8" s="27"/>
      <c r="AIX8" s="27"/>
      <c r="AIY8" s="27"/>
      <c r="AIZ8" s="27"/>
      <c r="AJA8" s="27"/>
      <c r="AJB8" s="27"/>
      <c r="AJC8" s="27"/>
      <c r="AJD8" s="27"/>
      <c r="AJE8" s="27"/>
      <c r="AJF8" s="27"/>
      <c r="AJG8" s="27"/>
      <c r="AJH8" s="27"/>
      <c r="AJI8" s="27"/>
      <c r="AJJ8" s="27"/>
      <c r="AJK8" s="27"/>
      <c r="AJL8" s="27"/>
      <c r="AJM8" s="27"/>
      <c r="AJN8" s="27"/>
      <c r="AJO8" s="27"/>
      <c r="AJP8" s="27"/>
      <c r="AJQ8" s="27"/>
      <c r="AJR8" s="27"/>
      <c r="AJS8" s="27"/>
      <c r="AJT8" s="27"/>
      <c r="AJU8" s="27"/>
      <c r="AJV8" s="27"/>
      <c r="AJW8" s="27"/>
      <c r="AJX8" s="27"/>
      <c r="AJY8" s="27"/>
      <c r="AJZ8" s="27"/>
      <c r="AKA8" s="27"/>
      <c r="AKB8" s="27"/>
      <c r="AKC8" s="27"/>
      <c r="AKD8" s="27"/>
      <c r="AKE8" s="27"/>
      <c r="AKF8" s="27"/>
      <c r="AKG8" s="27"/>
      <c r="AKH8" s="27"/>
      <c r="AKI8" s="27"/>
      <c r="AKJ8" s="27"/>
      <c r="AKK8" s="27"/>
      <c r="AKL8" s="27"/>
      <c r="AKM8" s="27"/>
      <c r="AKN8" s="27"/>
      <c r="AKO8" s="27"/>
      <c r="AKP8" s="27"/>
      <c r="AKQ8" s="27"/>
      <c r="AKR8" s="27"/>
      <c r="AKS8" s="27"/>
      <c r="AKT8" s="27"/>
      <c r="AKU8" s="27"/>
      <c r="AKV8" s="27"/>
      <c r="AKW8" s="27"/>
      <c r="AKX8" s="27"/>
      <c r="AKY8" s="27"/>
      <c r="AKZ8" s="27"/>
      <c r="ALA8" s="27"/>
      <c r="ALB8" s="27"/>
      <c r="ALC8" s="27"/>
      <c r="ALD8" s="27"/>
      <c r="ALE8" s="27"/>
      <c r="ALF8" s="27"/>
      <c r="ALG8" s="27"/>
      <c r="ALH8" s="27"/>
      <c r="ALI8" s="27"/>
      <c r="ALJ8" s="27"/>
      <c r="ALK8" s="27"/>
      <c r="ALL8" s="27"/>
      <c r="ALM8" s="27"/>
      <c r="ALN8" s="27"/>
      <c r="ALO8" s="27"/>
      <c r="ALP8" s="27"/>
      <c r="ALQ8" s="27"/>
      <c r="ALR8" s="27"/>
      <c r="ALS8" s="27"/>
      <c r="ALT8" s="27"/>
      <c r="ALU8" s="27"/>
      <c r="ALV8" s="27"/>
      <c r="ALW8" s="27"/>
      <c r="ALX8" s="27"/>
      <c r="ALY8" s="27"/>
      <c r="ALZ8" s="27"/>
      <c r="AMA8" s="27"/>
      <c r="AMB8" s="27"/>
      <c r="AMC8" s="27"/>
      <c r="AMD8" s="27"/>
      <c r="AME8" s="27"/>
      <c r="AMF8" s="29"/>
      <c r="AMG8" s="37"/>
      <c r="AMH8" s="26"/>
      <c r="AMI8" s="27"/>
      <c r="AMJ8" s="27"/>
      <c r="AMK8" s="27"/>
      <c r="AML8" s="27"/>
      <c r="AMM8" s="27"/>
      <c r="AMN8" s="27"/>
      <c r="AMO8" s="27"/>
      <c r="AMP8" s="27"/>
      <c r="AMQ8" s="27"/>
      <c r="AMR8" s="27"/>
      <c r="AMS8" s="27"/>
      <c r="AMT8" s="27"/>
      <c r="AMU8" s="27"/>
      <c r="AMV8" s="27"/>
      <c r="AMW8" s="27"/>
      <c r="AMX8" s="27"/>
      <c r="AMY8" s="27"/>
      <c r="AMZ8" s="27"/>
      <c r="ANA8" s="27"/>
      <c r="ANB8" s="27"/>
      <c r="ANC8" s="27"/>
      <c r="AND8" s="27"/>
      <c r="ANE8" s="27"/>
      <c r="ANF8" s="27"/>
      <c r="ANG8" s="27"/>
      <c r="ANH8" s="27"/>
      <c r="ANI8" s="27"/>
      <c r="ANJ8" s="27"/>
      <c r="ANK8" s="27"/>
      <c r="ANL8" s="27"/>
      <c r="ANM8" s="27"/>
      <c r="ANN8" s="27"/>
      <c r="ANO8" s="27"/>
      <c r="ANP8" s="27"/>
      <c r="ANQ8" s="27"/>
      <c r="ANR8" s="27"/>
      <c r="ANS8" s="27"/>
      <c r="ANT8" s="27"/>
      <c r="ANU8" s="27"/>
      <c r="ANV8" s="27"/>
      <c r="ANW8" s="27"/>
      <c r="ANX8" s="27"/>
      <c r="ANY8" s="27"/>
      <c r="ANZ8" s="27"/>
      <c r="AOA8" s="27"/>
      <c r="AOB8" s="27"/>
      <c r="AOC8" s="27"/>
      <c r="AOD8" s="27"/>
      <c r="AOE8" s="27"/>
      <c r="AOF8" s="27"/>
      <c r="AOG8" s="27"/>
      <c r="AOH8" s="27"/>
      <c r="AOI8" s="27"/>
      <c r="AOJ8" s="27"/>
      <c r="AOK8" s="27"/>
      <c r="AOL8" s="27"/>
      <c r="AOM8" s="27"/>
      <c r="AON8" s="27"/>
      <c r="AOO8" s="27"/>
      <c r="AOP8" s="27"/>
      <c r="AOQ8" s="27"/>
      <c r="AOR8" s="27"/>
      <c r="AOS8" s="27"/>
      <c r="AOT8" s="27"/>
      <c r="AOU8" s="27"/>
      <c r="AOV8" s="27"/>
      <c r="AOW8" s="27"/>
      <c r="AOX8" s="27"/>
      <c r="AOY8" s="27"/>
      <c r="AOZ8" s="27"/>
      <c r="APA8" s="27"/>
      <c r="APB8" s="27"/>
      <c r="APC8" s="27"/>
      <c r="APD8" s="27"/>
      <c r="APE8" s="27"/>
      <c r="APF8" s="27"/>
      <c r="APG8" s="27"/>
      <c r="APH8" s="27"/>
      <c r="API8" s="27"/>
      <c r="APJ8" s="27"/>
      <c r="APK8" s="27"/>
      <c r="APL8" s="27"/>
      <c r="APM8" s="27"/>
      <c r="APN8" s="27"/>
      <c r="APO8" s="27"/>
      <c r="APP8" s="27"/>
      <c r="APQ8" s="27"/>
      <c r="APR8" s="27"/>
      <c r="APS8" s="29"/>
      <c r="APT8" s="37"/>
      <c r="APU8" s="26"/>
      <c r="APV8" s="27"/>
      <c r="APW8" s="27"/>
      <c r="APX8" s="27"/>
      <c r="APY8" s="27"/>
      <c r="APZ8" s="27"/>
      <c r="AQA8" s="27"/>
      <c r="AQB8" s="27"/>
      <c r="AQC8" s="27"/>
      <c r="AQD8" s="27"/>
      <c r="AQE8" s="27"/>
      <c r="AQF8" s="27"/>
      <c r="AQG8" s="27"/>
      <c r="AQH8" s="27"/>
      <c r="AQI8" s="27"/>
      <c r="AQJ8" s="27"/>
      <c r="AQK8" s="27"/>
      <c r="AQL8" s="27"/>
      <c r="AQM8" s="27"/>
      <c r="AQN8" s="27"/>
      <c r="AQO8" s="27"/>
      <c r="AQP8" s="27"/>
      <c r="AQQ8" s="27"/>
      <c r="AQR8" s="27"/>
      <c r="AQS8" s="27"/>
      <c r="AQT8" s="27"/>
      <c r="AQU8" s="27"/>
      <c r="AQV8" s="27"/>
      <c r="AQW8" s="27"/>
      <c r="AQX8" s="27"/>
      <c r="AQY8" s="27"/>
      <c r="AQZ8" s="27"/>
      <c r="ARA8" s="27"/>
      <c r="ARB8" s="27"/>
      <c r="ARC8" s="27"/>
      <c r="ARD8" s="27"/>
      <c r="ARE8" s="27"/>
      <c r="ARF8" s="27"/>
      <c r="ARG8" s="27"/>
      <c r="ARH8" s="27"/>
      <c r="ARI8" s="27"/>
      <c r="ARJ8" s="27"/>
      <c r="ARK8" s="27"/>
      <c r="ARL8" s="27"/>
      <c r="ARM8" s="27"/>
      <c r="ARN8" s="27"/>
      <c r="ARO8" s="27"/>
      <c r="ARP8" s="27"/>
      <c r="ARQ8" s="27"/>
      <c r="ARR8" s="27"/>
      <c r="ARS8" s="27"/>
      <c r="ART8" s="27"/>
      <c r="ARU8" s="27"/>
      <c r="ARV8" s="27"/>
      <c r="ARW8" s="27"/>
      <c r="ARX8" s="27"/>
      <c r="ARY8" s="27"/>
      <c r="ARZ8" s="27"/>
      <c r="ASA8" s="27"/>
      <c r="ASB8" s="27"/>
      <c r="ASC8" s="27"/>
      <c r="ASD8" s="27"/>
      <c r="ASE8" s="27"/>
      <c r="ASF8" s="27"/>
      <c r="ASG8" s="27"/>
      <c r="ASH8" s="27"/>
      <c r="ASI8" s="27"/>
      <c r="ASJ8" s="27"/>
      <c r="ASK8" s="27"/>
      <c r="ASL8" s="27"/>
      <c r="ASM8" s="27"/>
      <c r="ASN8" s="27"/>
      <c r="ASO8" s="27"/>
      <c r="ASP8" s="27"/>
      <c r="ASQ8" s="27"/>
      <c r="ASR8" s="27"/>
      <c r="ASS8" s="27"/>
      <c r="AST8" s="27"/>
      <c r="ASU8" s="27"/>
      <c r="ASV8" s="27"/>
      <c r="ASW8" s="27"/>
      <c r="ASX8" s="27"/>
      <c r="ASY8" s="27"/>
      <c r="ASZ8" s="27"/>
      <c r="ATA8" s="27"/>
      <c r="ATB8" s="27"/>
      <c r="ATC8" s="27"/>
      <c r="ATD8" s="27"/>
      <c r="ATE8" s="27"/>
      <c r="ATF8" s="29"/>
      <c r="ATG8" s="37"/>
      <c r="ATH8" s="26"/>
      <c r="ATI8" s="27"/>
      <c r="ATJ8" s="27"/>
      <c r="ATK8" s="27"/>
      <c r="ATL8" s="27"/>
      <c r="ATM8" s="27"/>
      <c r="ATN8" s="27"/>
      <c r="ATO8" s="27"/>
      <c r="ATP8" s="27"/>
      <c r="ATQ8" s="27"/>
      <c r="ATR8" s="27"/>
      <c r="ATS8" s="27"/>
      <c r="ATT8" s="27"/>
      <c r="ATU8" s="27"/>
      <c r="ATV8" s="27"/>
      <c r="ATW8" s="27"/>
      <c r="ATX8" s="27"/>
      <c r="ATY8" s="27"/>
      <c r="ATZ8" s="27"/>
      <c r="AUA8" s="27"/>
      <c r="AUB8" s="27"/>
      <c r="AUC8" s="27"/>
      <c r="AUD8" s="27"/>
      <c r="AUE8" s="27"/>
      <c r="AUF8" s="27"/>
      <c r="AUG8" s="27"/>
      <c r="AUH8" s="27"/>
      <c r="AUI8" s="27"/>
      <c r="AUJ8" s="27"/>
      <c r="AUK8" s="27"/>
      <c r="AUL8" s="27"/>
      <c r="AUM8" s="27"/>
      <c r="AUN8" s="27"/>
      <c r="AUO8" s="27"/>
      <c r="AUP8" s="27"/>
      <c r="AUQ8" s="27"/>
      <c r="AUR8" s="27"/>
      <c r="AUS8" s="27"/>
      <c r="AUT8" s="27"/>
      <c r="AUU8" s="27"/>
      <c r="AUV8" s="27"/>
      <c r="AUW8" s="27"/>
      <c r="AUX8" s="27"/>
      <c r="AUY8" s="27"/>
      <c r="AUZ8" s="27"/>
      <c r="AVA8" s="27"/>
      <c r="AVB8" s="27"/>
      <c r="AVC8" s="27"/>
      <c r="AVD8" s="27"/>
      <c r="AVE8" s="27"/>
      <c r="AVF8" s="27"/>
      <c r="AVG8" s="27"/>
      <c r="AVH8" s="27"/>
      <c r="AVI8" s="27"/>
      <c r="AVJ8" s="27"/>
      <c r="AVK8" s="27"/>
      <c r="AVL8" s="27"/>
      <c r="AVM8" s="27"/>
      <c r="AVN8" s="27"/>
      <c r="AVO8" s="27"/>
      <c r="AVP8" s="27"/>
      <c r="AVQ8" s="27"/>
      <c r="AVR8" s="27"/>
      <c r="AVS8" s="27"/>
      <c r="AVT8" s="27"/>
      <c r="AVU8" s="27"/>
      <c r="AVV8" s="27"/>
      <c r="AVW8" s="27"/>
      <c r="AVX8" s="27"/>
      <c r="AVY8" s="27"/>
      <c r="AVZ8" s="27"/>
      <c r="AWA8" s="27"/>
      <c r="AWB8" s="27"/>
      <c r="AWC8" s="27"/>
      <c r="AWD8" s="27"/>
      <c r="AWE8" s="27"/>
      <c r="AWF8" s="27"/>
      <c r="AWG8" s="27"/>
      <c r="AWH8" s="27"/>
      <c r="AWI8" s="27"/>
      <c r="AWJ8" s="27"/>
      <c r="AWK8" s="27"/>
      <c r="AWL8" s="27"/>
      <c r="AWM8" s="27"/>
      <c r="AWN8" s="27"/>
      <c r="AWO8" s="27"/>
      <c r="AWP8" s="27"/>
      <c r="AWQ8" s="27"/>
      <c r="AWR8" s="27"/>
      <c r="AWS8" s="29"/>
      <c r="AWT8" s="37"/>
      <c r="AWU8" s="26"/>
      <c r="AWV8" s="27"/>
      <c r="AWW8" s="27"/>
      <c r="AWX8" s="27"/>
      <c r="AWY8" s="27"/>
      <c r="AWZ8" s="27"/>
      <c r="AXA8" s="27"/>
      <c r="AXB8" s="27"/>
      <c r="AXC8" s="27"/>
      <c r="AXD8" s="27"/>
      <c r="AXE8" s="27"/>
      <c r="AXF8" s="27"/>
      <c r="AXG8" s="27"/>
      <c r="AXH8" s="27"/>
      <c r="AXI8" s="27"/>
      <c r="AXJ8" s="27"/>
      <c r="AXK8" s="27"/>
      <c r="AXL8" s="27"/>
      <c r="AXM8" s="27"/>
      <c r="AXN8" s="27"/>
      <c r="AXO8" s="27"/>
      <c r="AXP8" s="27"/>
      <c r="AXQ8" s="27"/>
      <c r="AXR8" s="27"/>
      <c r="AXS8" s="27"/>
      <c r="AXT8" s="27"/>
      <c r="AXU8" s="27"/>
      <c r="AXV8" s="27"/>
      <c r="AXW8" s="27"/>
      <c r="AXX8" s="27"/>
      <c r="AXY8" s="27"/>
      <c r="AXZ8" s="27"/>
      <c r="AYA8" s="27"/>
      <c r="AYB8" s="27"/>
      <c r="AYC8" s="27"/>
      <c r="AYD8" s="27"/>
      <c r="AYE8" s="27"/>
      <c r="AYF8" s="27"/>
      <c r="AYG8" s="27"/>
      <c r="AYH8" s="27"/>
      <c r="AYI8" s="27"/>
      <c r="AYJ8" s="27"/>
      <c r="AYK8" s="27"/>
      <c r="AYL8" s="27"/>
      <c r="AYM8" s="27"/>
      <c r="AYN8" s="27"/>
      <c r="AYO8" s="27"/>
      <c r="AYP8" s="27"/>
      <c r="AYQ8" s="27"/>
      <c r="AYR8" s="27"/>
      <c r="AYS8" s="27"/>
      <c r="AYT8" s="27"/>
      <c r="AYU8" s="27"/>
      <c r="AYV8" s="27"/>
      <c r="AYW8" s="27"/>
      <c r="AYX8" s="27"/>
      <c r="AYY8" s="27"/>
      <c r="AYZ8" s="27"/>
      <c r="AZA8" s="27"/>
      <c r="AZB8" s="27"/>
      <c r="AZC8" s="27"/>
      <c r="AZD8" s="27"/>
      <c r="AZE8" s="27"/>
      <c r="AZF8" s="27"/>
      <c r="AZG8" s="27"/>
      <c r="AZH8" s="27"/>
      <c r="AZI8" s="27"/>
      <c r="AZJ8" s="27"/>
      <c r="AZK8" s="27"/>
      <c r="AZL8" s="27"/>
      <c r="AZM8" s="27"/>
      <c r="AZN8" s="27"/>
      <c r="AZO8" s="27"/>
      <c r="AZP8" s="27"/>
      <c r="AZQ8" s="27"/>
      <c r="AZR8" s="27"/>
      <c r="AZS8" s="27"/>
      <c r="AZT8" s="27"/>
      <c r="AZU8" s="27"/>
      <c r="AZV8" s="27"/>
      <c r="AZW8" s="27"/>
      <c r="AZX8" s="27"/>
      <c r="AZY8" s="27"/>
      <c r="AZZ8" s="27"/>
      <c r="BAA8" s="37"/>
      <c r="BAB8" s="26"/>
      <c r="BAC8" s="27"/>
      <c r="BAD8" s="27"/>
      <c r="BAE8" s="27"/>
      <c r="BAF8" s="27"/>
      <c r="BAG8" s="27"/>
      <c r="BAH8" s="27"/>
      <c r="BAI8" s="27"/>
      <c r="BAJ8" s="27"/>
      <c r="BAK8" s="27"/>
      <c r="BAL8" s="27"/>
      <c r="BAM8" s="27"/>
      <c r="BAN8" s="27"/>
      <c r="BAO8" s="27"/>
      <c r="BAP8" s="27"/>
      <c r="BAQ8" s="27"/>
      <c r="BAR8" s="27"/>
      <c r="BAS8" s="27"/>
      <c r="BAT8" s="27"/>
      <c r="BAU8" s="27"/>
      <c r="BAV8" s="27"/>
      <c r="BAW8" s="27"/>
      <c r="BAX8" s="27"/>
      <c r="BAY8" s="27"/>
      <c r="BAZ8" s="27"/>
      <c r="BBA8" s="27"/>
      <c r="BBB8" s="27"/>
      <c r="BBC8" s="27"/>
      <c r="BBD8" s="27"/>
      <c r="BBE8" s="27"/>
      <c r="BBF8" s="27"/>
      <c r="BBG8" s="27"/>
      <c r="BBH8" s="27"/>
      <c r="BBI8" s="27"/>
      <c r="BBJ8" s="27"/>
      <c r="BBK8" s="27"/>
      <c r="BBL8" s="27"/>
      <c r="BBM8" s="27"/>
      <c r="BBN8" s="27"/>
      <c r="BBO8" s="27"/>
      <c r="BBP8" s="27"/>
      <c r="BBQ8" s="27"/>
      <c r="BBR8" s="27"/>
      <c r="BBS8" s="27"/>
      <c r="BBT8" s="27"/>
      <c r="BBU8" s="27"/>
      <c r="BBV8" s="27"/>
      <c r="BBW8" s="27"/>
      <c r="BBX8" s="27"/>
      <c r="BBY8" s="27"/>
      <c r="BBZ8" s="27"/>
      <c r="BCA8" s="27"/>
      <c r="BCB8" s="27"/>
      <c r="BCC8" s="27"/>
      <c r="BCD8" s="27"/>
      <c r="BCE8" s="27"/>
      <c r="BCF8" s="27"/>
      <c r="BCG8" s="27"/>
      <c r="BCH8" s="27"/>
      <c r="BCI8" s="27"/>
      <c r="BCJ8" s="27"/>
      <c r="BCK8" s="27"/>
      <c r="BCL8" s="27"/>
      <c r="BCM8" s="27"/>
      <c r="BCN8" s="27"/>
      <c r="BCO8" s="27"/>
      <c r="BCP8" s="27"/>
      <c r="BCQ8" s="27"/>
      <c r="BCR8" s="27"/>
      <c r="BCS8" s="27"/>
      <c r="BCT8" s="27"/>
      <c r="BCU8" s="27"/>
      <c r="BCV8" s="27"/>
      <c r="BCW8" s="27"/>
      <c r="BCX8" s="27"/>
      <c r="BCY8" s="27"/>
      <c r="BCZ8" s="27"/>
      <c r="BDA8" s="27"/>
      <c r="BDB8" s="27"/>
      <c r="BDC8" s="27"/>
      <c r="BDD8" s="27"/>
      <c r="BDE8" s="27"/>
      <c r="BDF8" s="27"/>
      <c r="BDG8" s="27"/>
      <c r="BDH8" s="27"/>
      <c r="BDI8" s="27"/>
      <c r="BDJ8" s="27"/>
      <c r="BDK8" s="27"/>
      <c r="BDL8" s="27"/>
      <c r="BDM8" s="29"/>
      <c r="BDN8" s="29"/>
      <c r="BDO8" s="29"/>
      <c r="BDP8" s="29"/>
      <c r="BDQ8" s="37"/>
      <c r="BDR8" s="26"/>
      <c r="BDS8" s="27"/>
      <c r="BDT8" s="27"/>
      <c r="BDU8" s="27"/>
      <c r="BDV8" s="27"/>
      <c r="BDW8" s="27"/>
      <c r="BDX8" s="27"/>
      <c r="BDY8" s="27"/>
      <c r="BDZ8" s="27"/>
      <c r="BEA8" s="27"/>
      <c r="BEB8" s="27"/>
      <c r="BEC8" s="27"/>
      <c r="BED8" s="27"/>
      <c r="BEE8" s="27"/>
      <c r="BEF8" s="27"/>
      <c r="BEG8" s="27"/>
      <c r="BEH8" s="27"/>
      <c r="BEI8" s="27"/>
      <c r="BEJ8" s="27"/>
      <c r="BEK8" s="27"/>
      <c r="BEL8" s="27"/>
      <c r="BEM8" s="27"/>
      <c r="BEN8" s="27"/>
      <c r="BEO8" s="27"/>
      <c r="BEP8" s="27"/>
      <c r="BEQ8" s="27"/>
      <c r="BER8" s="27"/>
      <c r="BES8" s="27"/>
      <c r="BET8" s="27"/>
      <c r="BEU8" s="27"/>
      <c r="BEV8" s="27"/>
      <c r="BEW8" s="27"/>
      <c r="BEX8" s="27"/>
      <c r="BEY8" s="27"/>
      <c r="BEZ8" s="27"/>
      <c r="BFA8" s="27"/>
      <c r="BFB8" s="27"/>
      <c r="BFC8" s="27"/>
      <c r="BFD8" s="27"/>
      <c r="BFE8" s="27"/>
      <c r="BFF8" s="27"/>
      <c r="BFG8" s="27"/>
      <c r="BFH8" s="27"/>
      <c r="BFI8" s="27"/>
      <c r="BFJ8" s="27"/>
      <c r="BFK8" s="27"/>
      <c r="BFL8" s="27"/>
      <c r="BFM8" s="27"/>
      <c r="BFN8" s="27"/>
      <c r="BFO8" s="27"/>
      <c r="BFP8" s="27"/>
      <c r="BFQ8" s="27"/>
      <c r="BFR8" s="27"/>
      <c r="BFS8" s="27"/>
      <c r="BFT8" s="27"/>
      <c r="BFU8" s="27"/>
      <c r="BFV8" s="27"/>
      <c r="BFW8" s="27"/>
      <c r="BFX8" s="27"/>
      <c r="BFY8" s="27"/>
      <c r="BFZ8" s="27"/>
      <c r="BGA8" s="27"/>
      <c r="BGB8" s="27"/>
      <c r="BGC8" s="27"/>
      <c r="BGD8" s="27"/>
      <c r="BGE8" s="27"/>
      <c r="BGF8" s="27"/>
      <c r="BGG8" s="27"/>
      <c r="BGH8" s="27"/>
      <c r="BGI8" s="27"/>
      <c r="BGJ8" s="27"/>
      <c r="BGK8" s="27"/>
      <c r="BGL8" s="27"/>
      <c r="BGM8" s="27"/>
      <c r="BGN8" s="27"/>
      <c r="BGO8" s="27"/>
      <c r="BGP8" s="27"/>
      <c r="BGQ8" s="27"/>
      <c r="BGR8" s="27"/>
      <c r="BGS8" s="27"/>
      <c r="BGT8" s="27"/>
      <c r="BGU8" s="27"/>
      <c r="BGV8" s="27"/>
      <c r="BGW8" s="27"/>
      <c r="BGX8" s="27"/>
      <c r="BGY8" s="27"/>
      <c r="BGZ8" s="27"/>
      <c r="BHA8" s="27"/>
      <c r="BHB8" s="27"/>
      <c r="BHC8" s="29"/>
      <c r="BHD8" s="37"/>
    </row>
    <row r="9" spans="1:1564" ht="31.95" customHeight="1" x14ac:dyDescent="0.3">
      <c r="A9" s="22">
        <v>5</v>
      </c>
      <c r="B9" s="41" t="s">
        <v>287</v>
      </c>
      <c r="C9" s="40" t="s">
        <v>250</v>
      </c>
      <c r="D9" s="40" t="s">
        <v>242</v>
      </c>
      <c r="E9" s="37"/>
      <c r="F9" s="30"/>
      <c r="G9" s="23"/>
      <c r="H9" s="23"/>
      <c r="I9" s="30"/>
      <c r="J9" s="23"/>
      <c r="K9" s="23"/>
      <c r="L9" s="30"/>
      <c r="M9" s="23"/>
      <c r="N9" s="23"/>
      <c r="O9" s="30"/>
      <c r="P9" s="23"/>
      <c r="Q9" s="23"/>
      <c r="R9" s="30"/>
      <c r="S9" s="23"/>
      <c r="T9" s="23"/>
      <c r="U9" s="30"/>
      <c r="V9" s="23"/>
      <c r="W9" s="23"/>
      <c r="X9" s="30"/>
      <c r="Y9" s="23"/>
      <c r="Z9" s="23"/>
      <c r="AA9" s="30"/>
      <c r="AB9" s="23"/>
      <c r="AC9" s="23"/>
      <c r="AD9" s="30"/>
      <c r="AE9" s="23"/>
      <c r="AF9" s="23"/>
      <c r="AG9" s="30"/>
      <c r="AH9" s="23"/>
      <c r="AI9" s="23"/>
      <c r="AJ9" s="30"/>
      <c r="AK9" s="23"/>
      <c r="AL9" s="23"/>
      <c r="AM9" s="30"/>
      <c r="AN9" s="23"/>
      <c r="AO9" s="23"/>
      <c r="AP9" s="30"/>
      <c r="AQ9" s="23"/>
      <c r="AR9" s="23"/>
      <c r="AS9" s="30"/>
      <c r="AT9" s="23"/>
      <c r="AU9" s="23"/>
      <c r="AV9" s="30"/>
      <c r="AW9" s="23"/>
      <c r="AX9" s="23"/>
      <c r="AY9" s="30"/>
      <c r="AZ9" s="23"/>
      <c r="BA9" s="23"/>
      <c r="BB9" s="30"/>
      <c r="BC9" s="23"/>
      <c r="BD9" s="23"/>
      <c r="BE9" s="30"/>
      <c r="BF9" s="23"/>
      <c r="BG9" s="23"/>
      <c r="BH9" s="30"/>
      <c r="BI9" s="23"/>
      <c r="BJ9" s="23"/>
      <c r="BK9" s="30"/>
      <c r="BL9" s="23"/>
      <c r="BM9" s="23"/>
      <c r="BN9" s="30"/>
      <c r="BO9" s="23"/>
      <c r="BP9" s="24"/>
      <c r="BQ9" s="30"/>
      <c r="BR9" s="23"/>
      <c r="BS9" s="23"/>
      <c r="BT9" s="30"/>
      <c r="BU9" s="23"/>
      <c r="BV9" s="23"/>
      <c r="BW9" s="30"/>
      <c r="BX9" s="23"/>
      <c r="BY9" s="23"/>
      <c r="BZ9" s="30"/>
      <c r="CA9" s="23"/>
      <c r="CB9" s="23"/>
      <c r="CC9" s="30"/>
      <c r="CD9" s="23"/>
      <c r="CE9" s="23"/>
      <c r="CF9" s="30"/>
      <c r="CG9" s="23"/>
      <c r="CH9" s="23"/>
      <c r="CI9" s="30"/>
      <c r="CJ9" s="23"/>
      <c r="CK9" s="23"/>
      <c r="CL9" s="30"/>
      <c r="CM9" s="23"/>
      <c r="CN9" s="23"/>
      <c r="CO9" s="30"/>
      <c r="CP9" s="23"/>
      <c r="CQ9" s="23"/>
      <c r="CR9" s="30"/>
      <c r="CS9" s="23"/>
      <c r="CT9" s="25"/>
      <c r="CU9" s="37"/>
      <c r="CV9" s="26"/>
      <c r="CW9" s="27"/>
      <c r="CX9" s="27"/>
      <c r="CY9" s="27"/>
      <c r="CZ9" s="27"/>
      <c r="DA9" s="27"/>
      <c r="DB9" s="26"/>
      <c r="DC9" s="27"/>
      <c r="DD9" s="27"/>
      <c r="DE9" s="26"/>
      <c r="DF9" s="27"/>
      <c r="DG9" s="27"/>
      <c r="DH9" s="26"/>
      <c r="DI9" s="27"/>
      <c r="DJ9" s="27"/>
      <c r="DK9" s="26"/>
      <c r="DL9" s="27"/>
      <c r="DM9" s="27"/>
      <c r="DN9" s="26"/>
      <c r="DO9" s="27"/>
      <c r="DP9" s="27"/>
      <c r="DQ9" s="26"/>
      <c r="DR9" s="27"/>
      <c r="DS9" s="27"/>
      <c r="DT9" s="26"/>
      <c r="DU9" s="27"/>
      <c r="DV9" s="27"/>
      <c r="DW9" s="26"/>
      <c r="DX9" s="27"/>
      <c r="DY9" s="27"/>
      <c r="DZ9" s="26"/>
      <c r="EA9" s="27"/>
      <c r="EB9" s="27"/>
      <c r="EC9" s="26"/>
      <c r="ED9" s="27"/>
      <c r="EE9" s="27"/>
      <c r="EF9" s="26"/>
      <c r="EG9" s="27"/>
      <c r="EH9" s="27"/>
      <c r="EI9" s="26"/>
      <c r="EJ9" s="27"/>
      <c r="EK9" s="27"/>
      <c r="EL9" s="26"/>
      <c r="EM9" s="27"/>
      <c r="EN9" s="27"/>
      <c r="EO9" s="26"/>
      <c r="EP9" s="27"/>
      <c r="EQ9" s="27"/>
      <c r="ER9" s="26"/>
      <c r="ES9" s="27"/>
      <c r="ET9" s="27"/>
      <c r="EU9" s="26"/>
      <c r="EV9" s="27"/>
      <c r="EW9" s="27"/>
      <c r="EX9" s="26"/>
      <c r="EY9" s="27"/>
      <c r="EZ9" s="27"/>
      <c r="FA9" s="26"/>
      <c r="FB9" s="27"/>
      <c r="FC9" s="27"/>
      <c r="FD9" s="26"/>
      <c r="FE9" s="27"/>
      <c r="FF9" s="27"/>
      <c r="FG9" s="26"/>
      <c r="FH9" s="27"/>
      <c r="FI9" s="27"/>
      <c r="FJ9" s="26"/>
      <c r="FK9" s="27"/>
      <c r="FL9" s="27"/>
      <c r="FM9" s="26"/>
      <c r="FN9" s="27"/>
      <c r="FO9" s="27"/>
      <c r="FP9" s="26"/>
      <c r="FQ9" s="27"/>
      <c r="FR9" s="27"/>
      <c r="FS9" s="26"/>
      <c r="FT9" s="27"/>
      <c r="FU9" s="27"/>
      <c r="FV9" s="26"/>
      <c r="FW9" s="27"/>
      <c r="FX9" s="27"/>
      <c r="FY9" s="26"/>
      <c r="FZ9" s="27"/>
      <c r="GA9" s="27"/>
      <c r="GB9" s="26"/>
      <c r="GC9" s="27"/>
      <c r="GD9" s="27"/>
      <c r="GE9" s="26"/>
      <c r="GF9" s="27"/>
      <c r="GG9" s="27"/>
      <c r="GH9" s="26"/>
      <c r="GI9" s="27"/>
      <c r="GJ9" s="29"/>
      <c r="GK9" s="37"/>
      <c r="GL9" s="26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37"/>
      <c r="JS9" s="26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7"/>
      <c r="MU9" s="27"/>
      <c r="MV9" s="27"/>
      <c r="MW9" s="27"/>
      <c r="MX9" s="27"/>
      <c r="MY9" s="27"/>
      <c r="MZ9" s="27"/>
      <c r="NA9" s="27"/>
      <c r="NB9" s="27"/>
      <c r="NC9" s="27"/>
      <c r="ND9" s="27"/>
      <c r="NE9" s="27"/>
      <c r="NF9" s="27"/>
      <c r="NG9" s="29"/>
      <c r="NH9" s="37"/>
      <c r="NI9" s="26"/>
      <c r="NJ9" s="27"/>
      <c r="NK9" s="27"/>
      <c r="NL9" s="27"/>
      <c r="NM9" s="27"/>
      <c r="NN9" s="27"/>
      <c r="NO9" s="27"/>
      <c r="NP9" s="27"/>
      <c r="NQ9" s="27"/>
      <c r="NR9" s="27"/>
      <c r="NS9" s="27"/>
      <c r="NT9" s="27"/>
      <c r="NU9" s="27"/>
      <c r="NV9" s="27"/>
      <c r="NW9" s="27"/>
      <c r="NX9" s="27"/>
      <c r="NY9" s="27"/>
      <c r="NZ9" s="27"/>
      <c r="OA9" s="27"/>
      <c r="OB9" s="27"/>
      <c r="OC9" s="27"/>
      <c r="OD9" s="27"/>
      <c r="OE9" s="27"/>
      <c r="OF9" s="27"/>
      <c r="OG9" s="27"/>
      <c r="OH9" s="27"/>
      <c r="OI9" s="27"/>
      <c r="OJ9" s="27"/>
      <c r="OK9" s="27"/>
      <c r="OL9" s="27"/>
      <c r="OM9" s="27"/>
      <c r="ON9" s="27"/>
      <c r="OO9" s="27"/>
      <c r="OP9" s="27"/>
      <c r="OQ9" s="27"/>
      <c r="OR9" s="27"/>
      <c r="OS9" s="27"/>
      <c r="OT9" s="27"/>
      <c r="OU9" s="27"/>
      <c r="OV9" s="27"/>
      <c r="OW9" s="27"/>
      <c r="OX9" s="27"/>
      <c r="OY9" s="27"/>
      <c r="OZ9" s="27"/>
      <c r="PA9" s="27"/>
      <c r="PB9" s="27"/>
      <c r="PC9" s="27"/>
      <c r="PD9" s="27"/>
      <c r="PE9" s="27"/>
      <c r="PF9" s="27"/>
      <c r="PG9" s="27"/>
      <c r="PH9" s="27"/>
      <c r="PI9" s="27"/>
      <c r="PJ9" s="27"/>
      <c r="PK9" s="27"/>
      <c r="PL9" s="27"/>
      <c r="PM9" s="27"/>
      <c r="PN9" s="27"/>
      <c r="PO9" s="27"/>
      <c r="PP9" s="27"/>
      <c r="PQ9" s="27"/>
      <c r="PR9" s="27"/>
      <c r="PS9" s="27"/>
      <c r="PT9" s="27"/>
      <c r="PU9" s="27"/>
      <c r="PV9" s="27"/>
      <c r="PW9" s="27"/>
      <c r="PX9" s="27"/>
      <c r="PY9" s="27"/>
      <c r="PZ9" s="27"/>
      <c r="QA9" s="27"/>
      <c r="QB9" s="27"/>
      <c r="QC9" s="27"/>
      <c r="QD9" s="27"/>
      <c r="QE9" s="27"/>
      <c r="QF9" s="27"/>
      <c r="QG9" s="27"/>
      <c r="QH9" s="27"/>
      <c r="QI9" s="27"/>
      <c r="QJ9" s="27"/>
      <c r="QK9" s="27"/>
      <c r="QL9" s="27"/>
      <c r="QM9" s="27"/>
      <c r="QN9" s="27"/>
      <c r="QO9" s="27"/>
      <c r="QP9" s="27"/>
      <c r="QQ9" s="27"/>
      <c r="QR9" s="27"/>
      <c r="QS9" s="27"/>
      <c r="QT9" s="27"/>
      <c r="QU9" s="37"/>
      <c r="QV9" s="26"/>
      <c r="QW9" s="27"/>
      <c r="QX9" s="27"/>
      <c r="QY9" s="27"/>
      <c r="QZ9" s="27"/>
      <c r="RA9" s="27"/>
      <c r="RB9" s="27"/>
      <c r="RC9" s="27"/>
      <c r="RD9" s="27"/>
      <c r="RE9" s="27"/>
      <c r="RF9" s="27"/>
      <c r="RG9" s="27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7"/>
      <c r="RX9" s="27"/>
      <c r="RY9" s="27"/>
      <c r="RZ9" s="27"/>
      <c r="SA9" s="27"/>
      <c r="SB9" s="27"/>
      <c r="SC9" s="27"/>
      <c r="SD9" s="27"/>
      <c r="SE9" s="27"/>
      <c r="SF9" s="27"/>
      <c r="SG9" s="27"/>
      <c r="SH9" s="27"/>
      <c r="SI9" s="27"/>
      <c r="SJ9" s="27"/>
      <c r="SK9" s="27"/>
      <c r="SL9" s="27"/>
      <c r="SM9" s="27"/>
      <c r="SN9" s="27"/>
      <c r="SO9" s="27"/>
      <c r="SP9" s="27"/>
      <c r="SQ9" s="27"/>
      <c r="SR9" s="27"/>
      <c r="SS9" s="27"/>
      <c r="ST9" s="27"/>
      <c r="SU9" s="27"/>
      <c r="SV9" s="27"/>
      <c r="SW9" s="27"/>
      <c r="SX9" s="27"/>
      <c r="SY9" s="27"/>
      <c r="SZ9" s="27"/>
      <c r="TA9" s="27"/>
      <c r="TB9" s="27"/>
      <c r="TC9" s="27"/>
      <c r="TD9" s="27"/>
      <c r="TE9" s="27"/>
      <c r="TF9" s="27"/>
      <c r="TG9" s="27"/>
      <c r="TH9" s="27"/>
      <c r="TI9" s="27"/>
      <c r="TJ9" s="27"/>
      <c r="TK9" s="27"/>
      <c r="TL9" s="27"/>
      <c r="TM9" s="27"/>
      <c r="TN9" s="27"/>
      <c r="TO9" s="27"/>
      <c r="TP9" s="27"/>
      <c r="TQ9" s="27"/>
      <c r="TR9" s="27"/>
      <c r="TS9" s="27"/>
      <c r="TT9" s="27"/>
      <c r="TU9" s="27"/>
      <c r="TV9" s="27"/>
      <c r="TW9" s="27"/>
      <c r="TX9" s="27"/>
      <c r="TY9" s="27"/>
      <c r="TZ9" s="27"/>
      <c r="UA9" s="27"/>
      <c r="UB9" s="27"/>
      <c r="UC9" s="27"/>
      <c r="UD9" s="27"/>
      <c r="UE9" s="27"/>
      <c r="UF9" s="27"/>
      <c r="UG9" s="27"/>
      <c r="UH9" s="27"/>
      <c r="UI9" s="27"/>
      <c r="UJ9" s="29"/>
      <c r="UK9" s="37"/>
      <c r="UL9" s="26"/>
      <c r="UM9" s="27"/>
      <c r="UN9" s="27"/>
      <c r="UO9" s="27"/>
      <c r="UP9" s="27"/>
      <c r="UQ9" s="27"/>
      <c r="UR9" s="27"/>
      <c r="US9" s="27"/>
      <c r="UT9" s="27"/>
      <c r="UU9" s="27"/>
      <c r="UV9" s="27"/>
      <c r="UW9" s="27"/>
      <c r="UX9" s="27"/>
      <c r="UY9" s="27"/>
      <c r="UZ9" s="27"/>
      <c r="VA9" s="27"/>
      <c r="VB9" s="27"/>
      <c r="VC9" s="27"/>
      <c r="VD9" s="27"/>
      <c r="VE9" s="27"/>
      <c r="VF9" s="27"/>
      <c r="VG9" s="27"/>
      <c r="VH9" s="27"/>
      <c r="VI9" s="27"/>
      <c r="VJ9" s="27"/>
      <c r="VK9" s="27"/>
      <c r="VL9" s="27"/>
      <c r="VM9" s="27"/>
      <c r="VN9" s="27"/>
      <c r="VO9" s="27"/>
      <c r="VP9" s="27"/>
      <c r="VQ9" s="27"/>
      <c r="VR9" s="27"/>
      <c r="VS9" s="27"/>
      <c r="VT9" s="27"/>
      <c r="VU9" s="27"/>
      <c r="VV9" s="27"/>
      <c r="VW9" s="27"/>
      <c r="VX9" s="27"/>
      <c r="VY9" s="27"/>
      <c r="VZ9" s="27"/>
      <c r="WA9" s="27"/>
      <c r="WB9" s="27"/>
      <c r="WC9" s="27"/>
      <c r="WD9" s="27"/>
      <c r="WE9" s="27"/>
      <c r="WF9" s="27"/>
      <c r="WG9" s="27"/>
      <c r="WH9" s="27"/>
      <c r="WI9" s="27"/>
      <c r="WJ9" s="27"/>
      <c r="WK9" s="27"/>
      <c r="WL9" s="27"/>
      <c r="WM9" s="27"/>
      <c r="WN9" s="27"/>
      <c r="WO9" s="27"/>
      <c r="WP9" s="27"/>
      <c r="WQ9" s="27"/>
      <c r="WR9" s="27"/>
      <c r="WS9" s="27"/>
      <c r="WT9" s="27"/>
      <c r="WU9" s="27"/>
      <c r="WV9" s="27"/>
      <c r="WW9" s="27"/>
      <c r="WX9" s="27"/>
      <c r="WY9" s="27"/>
      <c r="WZ9" s="27"/>
      <c r="XA9" s="27"/>
      <c r="XB9" s="27"/>
      <c r="XC9" s="27"/>
      <c r="XD9" s="27"/>
      <c r="XE9" s="27"/>
      <c r="XF9" s="27"/>
      <c r="XG9" s="27"/>
      <c r="XH9" s="27"/>
      <c r="XI9" s="27"/>
      <c r="XJ9" s="27"/>
      <c r="XK9" s="27"/>
      <c r="XL9" s="27"/>
      <c r="XM9" s="27"/>
      <c r="XN9" s="27"/>
      <c r="XO9" s="27"/>
      <c r="XP9" s="27"/>
      <c r="XQ9" s="27"/>
      <c r="XR9" s="27"/>
      <c r="XS9" s="27"/>
      <c r="XT9" s="27"/>
      <c r="XU9" s="27"/>
      <c r="XV9" s="27"/>
      <c r="XW9" s="27"/>
      <c r="XX9" s="37"/>
      <c r="XY9" s="26"/>
      <c r="XZ9" s="27"/>
      <c r="YA9" s="27"/>
      <c r="YB9" s="27"/>
      <c r="YC9" s="27"/>
      <c r="YD9" s="27"/>
      <c r="YE9" s="27"/>
      <c r="YF9" s="27"/>
      <c r="YG9" s="27"/>
      <c r="YH9" s="27"/>
      <c r="YI9" s="27"/>
      <c r="YJ9" s="27"/>
      <c r="YK9" s="27"/>
      <c r="YL9" s="27"/>
      <c r="YM9" s="27"/>
      <c r="YN9" s="27"/>
      <c r="YO9" s="27"/>
      <c r="YP9" s="27"/>
      <c r="YQ9" s="27"/>
      <c r="YR9" s="27"/>
      <c r="YS9" s="27"/>
      <c r="YT9" s="27"/>
      <c r="YU9" s="27"/>
      <c r="YV9" s="27"/>
      <c r="YW9" s="27"/>
      <c r="YX9" s="27"/>
      <c r="YY9" s="27"/>
      <c r="YZ9" s="27"/>
      <c r="ZA9" s="27"/>
      <c r="ZB9" s="27"/>
      <c r="ZC9" s="27"/>
      <c r="ZD9" s="27"/>
      <c r="ZE9" s="27"/>
      <c r="ZF9" s="27"/>
      <c r="ZG9" s="27"/>
      <c r="ZH9" s="27"/>
      <c r="ZI9" s="27"/>
      <c r="ZJ9" s="27"/>
      <c r="ZK9" s="27"/>
      <c r="ZL9" s="27"/>
      <c r="ZM9" s="27"/>
      <c r="ZN9" s="27"/>
      <c r="ZO9" s="27"/>
      <c r="ZP9" s="27"/>
      <c r="ZQ9" s="27"/>
      <c r="ZR9" s="27"/>
      <c r="ZS9" s="27"/>
      <c r="ZT9" s="27"/>
      <c r="ZU9" s="27"/>
      <c r="ZV9" s="27"/>
      <c r="ZW9" s="27"/>
      <c r="ZX9" s="27"/>
      <c r="ZY9" s="27"/>
      <c r="ZZ9" s="27"/>
      <c r="AAA9" s="27"/>
      <c r="AAB9" s="27"/>
      <c r="AAC9" s="27"/>
      <c r="AAD9" s="27"/>
      <c r="AAE9" s="27"/>
      <c r="AAF9" s="27"/>
      <c r="AAG9" s="27"/>
      <c r="AAH9" s="27"/>
      <c r="AAI9" s="27"/>
      <c r="AAJ9" s="27"/>
      <c r="AAK9" s="27"/>
      <c r="AAL9" s="27"/>
      <c r="AAM9" s="27"/>
      <c r="AAN9" s="27"/>
      <c r="AAO9" s="27"/>
      <c r="AAP9" s="27"/>
      <c r="AAQ9" s="27"/>
      <c r="AAR9" s="27"/>
      <c r="AAS9" s="27"/>
      <c r="AAT9" s="27"/>
      <c r="AAU9" s="27"/>
      <c r="AAV9" s="27"/>
      <c r="AAW9" s="27"/>
      <c r="AAX9" s="27"/>
      <c r="AAY9" s="27"/>
      <c r="AAZ9" s="27"/>
      <c r="ABA9" s="27"/>
      <c r="ABB9" s="27"/>
      <c r="ABC9" s="27"/>
      <c r="ABD9" s="27"/>
      <c r="ABE9" s="27"/>
      <c r="ABF9" s="27"/>
      <c r="ABG9" s="27"/>
      <c r="ABH9" s="27"/>
      <c r="ABI9" s="27"/>
      <c r="ABJ9" s="27"/>
      <c r="ABK9" s="27"/>
      <c r="ABL9" s="27"/>
      <c r="ABM9" s="29"/>
      <c r="ABN9" s="37"/>
      <c r="ABO9" s="26"/>
      <c r="ABP9" s="27"/>
      <c r="ABQ9" s="27"/>
      <c r="ABR9" s="27"/>
      <c r="ABS9" s="27"/>
      <c r="ABT9" s="27"/>
      <c r="ABU9" s="27"/>
      <c r="ABV9" s="27"/>
      <c r="ABW9" s="27"/>
      <c r="ABX9" s="27"/>
      <c r="ABY9" s="27"/>
      <c r="ABZ9" s="27"/>
      <c r="ACA9" s="27"/>
      <c r="ACB9" s="27"/>
      <c r="ACC9" s="27"/>
      <c r="ACD9" s="27"/>
      <c r="ACE9" s="27"/>
      <c r="ACF9" s="27"/>
      <c r="ACG9" s="27"/>
      <c r="ACH9" s="27"/>
      <c r="ACI9" s="27"/>
      <c r="ACJ9" s="27"/>
      <c r="ACK9" s="27"/>
      <c r="ACL9" s="27"/>
      <c r="ACM9" s="27"/>
      <c r="ACN9" s="27"/>
      <c r="ACO9" s="27"/>
      <c r="ACP9" s="27"/>
      <c r="ACQ9" s="27"/>
      <c r="ACR9" s="27"/>
      <c r="ACS9" s="27"/>
      <c r="ACT9" s="27"/>
      <c r="ACU9" s="27"/>
      <c r="ACV9" s="27"/>
      <c r="ACW9" s="27"/>
      <c r="ACX9" s="27"/>
      <c r="ACY9" s="27"/>
      <c r="ACZ9" s="27"/>
      <c r="ADA9" s="27"/>
      <c r="ADB9" s="27"/>
      <c r="ADC9" s="27"/>
      <c r="ADD9" s="27"/>
      <c r="ADE9" s="27"/>
      <c r="ADF9" s="27"/>
      <c r="ADG9" s="27"/>
      <c r="ADH9" s="27"/>
      <c r="ADI9" s="27"/>
      <c r="ADJ9" s="27"/>
      <c r="ADK9" s="27"/>
      <c r="ADL9" s="27"/>
      <c r="ADM9" s="27"/>
      <c r="ADN9" s="27"/>
      <c r="ADO9" s="27"/>
      <c r="ADP9" s="27"/>
      <c r="ADQ9" s="27"/>
      <c r="ADR9" s="27"/>
      <c r="ADS9" s="27"/>
      <c r="ADT9" s="27"/>
      <c r="ADU9" s="27"/>
      <c r="ADV9" s="27"/>
      <c r="ADW9" s="27"/>
      <c r="ADX9" s="27"/>
      <c r="ADY9" s="27"/>
      <c r="ADZ9" s="27"/>
      <c r="AEA9" s="27"/>
      <c r="AEB9" s="27"/>
      <c r="AEC9" s="27"/>
      <c r="AED9" s="27"/>
      <c r="AEE9" s="27"/>
      <c r="AEF9" s="27"/>
      <c r="AEG9" s="27"/>
      <c r="AEH9" s="27"/>
      <c r="AEI9" s="27"/>
      <c r="AEJ9" s="27"/>
      <c r="AEK9" s="27"/>
      <c r="AEL9" s="27"/>
      <c r="AEM9" s="27"/>
      <c r="AEN9" s="27"/>
      <c r="AEO9" s="27"/>
      <c r="AEP9" s="27"/>
      <c r="AEQ9" s="27"/>
      <c r="AER9" s="27"/>
      <c r="AES9" s="27"/>
      <c r="AET9" s="27"/>
      <c r="AEU9" s="27"/>
      <c r="AEV9" s="27"/>
      <c r="AEW9" s="27"/>
      <c r="AEX9" s="27"/>
      <c r="AEY9" s="27"/>
      <c r="AEZ9" s="27"/>
      <c r="AFA9" s="27"/>
      <c r="AFB9" s="27"/>
      <c r="AFC9" s="29"/>
      <c r="AFD9" s="37"/>
      <c r="AFE9" s="26"/>
      <c r="AFF9" s="27"/>
      <c r="AFG9" s="27"/>
      <c r="AFH9" s="27"/>
      <c r="AFI9" s="27"/>
      <c r="AFJ9" s="27"/>
      <c r="AFK9" s="27"/>
      <c r="AFL9" s="27"/>
      <c r="AFM9" s="27"/>
      <c r="AFN9" s="27"/>
      <c r="AFO9" s="27"/>
      <c r="AFP9" s="27"/>
      <c r="AFQ9" s="27"/>
      <c r="AFR9" s="27"/>
      <c r="AFS9" s="27"/>
      <c r="AFT9" s="27"/>
      <c r="AFU9" s="27"/>
      <c r="AFV9" s="27"/>
      <c r="AFW9" s="27"/>
      <c r="AFX9" s="27"/>
      <c r="AFY9" s="27"/>
      <c r="AFZ9" s="27"/>
      <c r="AGA9" s="27"/>
      <c r="AGB9" s="27"/>
      <c r="AGC9" s="27"/>
      <c r="AGD9" s="27"/>
      <c r="AGE9" s="27"/>
      <c r="AGF9" s="27"/>
      <c r="AGG9" s="27"/>
      <c r="AGH9" s="27"/>
      <c r="AGI9" s="27"/>
      <c r="AGJ9" s="27"/>
      <c r="AGK9" s="27"/>
      <c r="AGL9" s="27"/>
      <c r="AGM9" s="27"/>
      <c r="AGN9" s="27"/>
      <c r="AGO9" s="27"/>
      <c r="AGP9" s="27"/>
      <c r="AGQ9" s="27"/>
      <c r="AGR9" s="27"/>
      <c r="AGS9" s="27"/>
      <c r="AGT9" s="27"/>
      <c r="AGU9" s="27"/>
      <c r="AGV9" s="27"/>
      <c r="AGW9" s="27"/>
      <c r="AGX9" s="27"/>
      <c r="AGY9" s="27"/>
      <c r="AGZ9" s="27"/>
      <c r="AHA9" s="27"/>
      <c r="AHB9" s="27"/>
      <c r="AHC9" s="27"/>
      <c r="AHD9" s="27"/>
      <c r="AHE9" s="27"/>
      <c r="AHF9" s="27"/>
      <c r="AHG9" s="27"/>
      <c r="AHH9" s="27"/>
      <c r="AHI9" s="27"/>
      <c r="AHJ9" s="27"/>
      <c r="AHK9" s="27"/>
      <c r="AHL9" s="27"/>
      <c r="AHM9" s="27"/>
      <c r="AHN9" s="27"/>
      <c r="AHO9" s="27"/>
      <c r="AHP9" s="27"/>
      <c r="AHQ9" s="27"/>
      <c r="AHR9" s="27"/>
      <c r="AHS9" s="27"/>
      <c r="AHT9" s="27"/>
      <c r="AHU9" s="27"/>
      <c r="AHV9" s="27"/>
      <c r="AHW9" s="27"/>
      <c r="AHX9" s="27"/>
      <c r="AHY9" s="27"/>
      <c r="AHZ9" s="27"/>
      <c r="AIA9" s="27"/>
      <c r="AIB9" s="27"/>
      <c r="AIC9" s="27"/>
      <c r="AID9" s="27"/>
      <c r="AIE9" s="27"/>
      <c r="AIF9" s="27"/>
      <c r="AIG9" s="27"/>
      <c r="AIH9" s="27"/>
      <c r="AII9" s="27"/>
      <c r="AIJ9" s="27"/>
      <c r="AIK9" s="27"/>
      <c r="AIL9" s="27"/>
      <c r="AIM9" s="27"/>
      <c r="AIN9" s="27"/>
      <c r="AIO9" s="27"/>
      <c r="AIP9" s="27"/>
      <c r="AIQ9" s="37"/>
      <c r="AIR9" s="26"/>
      <c r="AIS9" s="27"/>
      <c r="AIT9" s="27"/>
      <c r="AIU9" s="27"/>
      <c r="AIV9" s="27"/>
      <c r="AIW9" s="27"/>
      <c r="AIX9" s="27"/>
      <c r="AIY9" s="27"/>
      <c r="AIZ9" s="27"/>
      <c r="AJA9" s="27"/>
      <c r="AJB9" s="27"/>
      <c r="AJC9" s="27"/>
      <c r="AJD9" s="27"/>
      <c r="AJE9" s="27"/>
      <c r="AJF9" s="27"/>
      <c r="AJG9" s="27"/>
      <c r="AJH9" s="27"/>
      <c r="AJI9" s="27"/>
      <c r="AJJ9" s="27"/>
      <c r="AJK9" s="27"/>
      <c r="AJL9" s="27"/>
      <c r="AJM9" s="27"/>
      <c r="AJN9" s="27"/>
      <c r="AJO9" s="27"/>
      <c r="AJP9" s="27"/>
      <c r="AJQ9" s="27"/>
      <c r="AJR9" s="27"/>
      <c r="AJS9" s="27"/>
      <c r="AJT9" s="27"/>
      <c r="AJU9" s="27"/>
      <c r="AJV9" s="27"/>
      <c r="AJW9" s="27"/>
      <c r="AJX9" s="27"/>
      <c r="AJY9" s="27"/>
      <c r="AJZ9" s="27"/>
      <c r="AKA9" s="27"/>
      <c r="AKB9" s="27"/>
      <c r="AKC9" s="27"/>
      <c r="AKD9" s="27"/>
      <c r="AKE9" s="27"/>
      <c r="AKF9" s="27"/>
      <c r="AKG9" s="27"/>
      <c r="AKH9" s="27"/>
      <c r="AKI9" s="27"/>
      <c r="AKJ9" s="27"/>
      <c r="AKK9" s="27"/>
      <c r="AKL9" s="27"/>
      <c r="AKM9" s="27"/>
      <c r="AKN9" s="27"/>
      <c r="AKO9" s="27"/>
      <c r="AKP9" s="27"/>
      <c r="AKQ9" s="27"/>
      <c r="AKR9" s="27"/>
      <c r="AKS9" s="27"/>
      <c r="AKT9" s="27"/>
      <c r="AKU9" s="27"/>
      <c r="AKV9" s="27"/>
      <c r="AKW9" s="27"/>
      <c r="AKX9" s="27"/>
      <c r="AKY9" s="27"/>
      <c r="AKZ9" s="27"/>
      <c r="ALA9" s="27"/>
      <c r="ALB9" s="27"/>
      <c r="ALC9" s="27"/>
      <c r="ALD9" s="27"/>
      <c r="ALE9" s="27"/>
      <c r="ALF9" s="27"/>
      <c r="ALG9" s="27"/>
      <c r="ALH9" s="27"/>
      <c r="ALI9" s="27"/>
      <c r="ALJ9" s="27"/>
      <c r="ALK9" s="27"/>
      <c r="ALL9" s="27"/>
      <c r="ALM9" s="27"/>
      <c r="ALN9" s="27"/>
      <c r="ALO9" s="27"/>
      <c r="ALP9" s="27"/>
      <c r="ALQ9" s="27"/>
      <c r="ALR9" s="27"/>
      <c r="ALS9" s="27"/>
      <c r="ALT9" s="27"/>
      <c r="ALU9" s="27"/>
      <c r="ALV9" s="27"/>
      <c r="ALW9" s="27"/>
      <c r="ALX9" s="27"/>
      <c r="ALY9" s="27"/>
      <c r="ALZ9" s="27"/>
      <c r="AMA9" s="27"/>
      <c r="AMB9" s="27"/>
      <c r="AMC9" s="27"/>
      <c r="AMD9" s="27"/>
      <c r="AME9" s="27"/>
      <c r="AMF9" s="29"/>
      <c r="AMG9" s="37"/>
      <c r="AMH9" s="26"/>
      <c r="AMI9" s="27"/>
      <c r="AMJ9" s="27"/>
      <c r="AMK9" s="27"/>
      <c r="AML9" s="27"/>
      <c r="AMM9" s="27"/>
      <c r="AMN9" s="27"/>
      <c r="AMO9" s="27"/>
      <c r="AMP9" s="27"/>
      <c r="AMQ9" s="27"/>
      <c r="AMR9" s="27"/>
      <c r="AMS9" s="27"/>
      <c r="AMT9" s="27"/>
      <c r="AMU9" s="27"/>
      <c r="AMV9" s="27"/>
      <c r="AMW9" s="27"/>
      <c r="AMX9" s="27"/>
      <c r="AMY9" s="27"/>
      <c r="AMZ9" s="27"/>
      <c r="ANA9" s="27"/>
      <c r="ANB9" s="27"/>
      <c r="ANC9" s="27"/>
      <c r="AND9" s="27"/>
      <c r="ANE9" s="27"/>
      <c r="ANF9" s="27"/>
      <c r="ANG9" s="27"/>
      <c r="ANH9" s="27"/>
      <c r="ANI9" s="27"/>
      <c r="ANJ9" s="27"/>
      <c r="ANK9" s="27"/>
      <c r="ANL9" s="27"/>
      <c r="ANM9" s="27"/>
      <c r="ANN9" s="27"/>
      <c r="ANO9" s="27"/>
      <c r="ANP9" s="27"/>
      <c r="ANQ9" s="27"/>
      <c r="ANR9" s="27"/>
      <c r="ANS9" s="27"/>
      <c r="ANT9" s="27"/>
      <c r="ANU9" s="27"/>
      <c r="ANV9" s="27"/>
      <c r="ANW9" s="27"/>
      <c r="ANX9" s="27"/>
      <c r="ANY9" s="27"/>
      <c r="ANZ9" s="27"/>
      <c r="AOA9" s="27"/>
      <c r="AOB9" s="27"/>
      <c r="AOC9" s="27"/>
      <c r="AOD9" s="27"/>
      <c r="AOE9" s="27"/>
      <c r="AOF9" s="27"/>
      <c r="AOG9" s="27"/>
      <c r="AOH9" s="27"/>
      <c r="AOI9" s="27"/>
      <c r="AOJ9" s="27"/>
      <c r="AOK9" s="27"/>
      <c r="AOL9" s="27"/>
      <c r="AOM9" s="27"/>
      <c r="AON9" s="27"/>
      <c r="AOO9" s="27"/>
      <c r="AOP9" s="27"/>
      <c r="AOQ9" s="27"/>
      <c r="AOR9" s="27"/>
      <c r="AOS9" s="27"/>
      <c r="AOT9" s="27"/>
      <c r="AOU9" s="27"/>
      <c r="AOV9" s="27"/>
      <c r="AOW9" s="27"/>
      <c r="AOX9" s="27"/>
      <c r="AOY9" s="27"/>
      <c r="AOZ9" s="27"/>
      <c r="APA9" s="27"/>
      <c r="APB9" s="27"/>
      <c r="APC9" s="27"/>
      <c r="APD9" s="27"/>
      <c r="APE9" s="27"/>
      <c r="APF9" s="27"/>
      <c r="APG9" s="27"/>
      <c r="APH9" s="27"/>
      <c r="API9" s="27"/>
      <c r="APJ9" s="27"/>
      <c r="APK9" s="27"/>
      <c r="APL9" s="27"/>
      <c r="APM9" s="27"/>
      <c r="APN9" s="27"/>
      <c r="APO9" s="27"/>
      <c r="APP9" s="27"/>
      <c r="APQ9" s="27"/>
      <c r="APR9" s="27"/>
      <c r="APS9" s="29"/>
      <c r="APT9" s="37"/>
      <c r="APU9" s="26"/>
      <c r="APV9" s="27"/>
      <c r="APW9" s="27"/>
      <c r="APX9" s="27"/>
      <c r="APY9" s="27"/>
      <c r="APZ9" s="27"/>
      <c r="AQA9" s="27"/>
      <c r="AQB9" s="27"/>
      <c r="AQC9" s="27"/>
      <c r="AQD9" s="27"/>
      <c r="AQE9" s="27"/>
      <c r="AQF9" s="27"/>
      <c r="AQG9" s="27"/>
      <c r="AQH9" s="27"/>
      <c r="AQI9" s="27"/>
      <c r="AQJ9" s="27"/>
      <c r="AQK9" s="27"/>
      <c r="AQL9" s="27"/>
      <c r="AQM9" s="27"/>
      <c r="AQN9" s="27"/>
      <c r="AQO9" s="27"/>
      <c r="AQP9" s="27"/>
      <c r="AQQ9" s="27"/>
      <c r="AQR9" s="27"/>
      <c r="AQS9" s="27"/>
      <c r="AQT9" s="27"/>
      <c r="AQU9" s="27"/>
      <c r="AQV9" s="27"/>
      <c r="AQW9" s="27"/>
      <c r="AQX9" s="27"/>
      <c r="AQY9" s="27"/>
      <c r="AQZ9" s="27"/>
      <c r="ARA9" s="27"/>
      <c r="ARB9" s="27"/>
      <c r="ARC9" s="27"/>
      <c r="ARD9" s="27"/>
      <c r="ARE9" s="27"/>
      <c r="ARF9" s="27"/>
      <c r="ARG9" s="27"/>
      <c r="ARH9" s="27"/>
      <c r="ARI9" s="27"/>
      <c r="ARJ9" s="27"/>
      <c r="ARK9" s="27"/>
      <c r="ARL9" s="27"/>
      <c r="ARM9" s="27"/>
      <c r="ARN9" s="27"/>
      <c r="ARO9" s="27"/>
      <c r="ARP9" s="27"/>
      <c r="ARQ9" s="27"/>
      <c r="ARR9" s="27"/>
      <c r="ARS9" s="27"/>
      <c r="ART9" s="27"/>
      <c r="ARU9" s="27"/>
      <c r="ARV9" s="27"/>
      <c r="ARW9" s="27"/>
      <c r="ARX9" s="27"/>
      <c r="ARY9" s="27"/>
      <c r="ARZ9" s="27"/>
      <c r="ASA9" s="27"/>
      <c r="ASB9" s="27"/>
      <c r="ASC9" s="27"/>
      <c r="ASD9" s="27"/>
      <c r="ASE9" s="27"/>
      <c r="ASF9" s="27"/>
      <c r="ASG9" s="27"/>
      <c r="ASH9" s="27"/>
      <c r="ASI9" s="27"/>
      <c r="ASJ9" s="27"/>
      <c r="ASK9" s="27"/>
      <c r="ASL9" s="27"/>
      <c r="ASM9" s="27"/>
      <c r="ASN9" s="27"/>
      <c r="ASO9" s="27"/>
      <c r="ASP9" s="27"/>
      <c r="ASQ9" s="27"/>
      <c r="ASR9" s="27"/>
      <c r="ASS9" s="27"/>
      <c r="AST9" s="27"/>
      <c r="ASU9" s="27"/>
      <c r="ASV9" s="27"/>
      <c r="ASW9" s="27"/>
      <c r="ASX9" s="27"/>
      <c r="ASY9" s="27"/>
      <c r="ASZ9" s="27"/>
      <c r="ATA9" s="27"/>
      <c r="ATB9" s="27"/>
      <c r="ATC9" s="27"/>
      <c r="ATD9" s="27"/>
      <c r="ATE9" s="27"/>
      <c r="ATF9" s="29"/>
      <c r="ATG9" s="37"/>
      <c r="ATH9" s="26"/>
      <c r="ATI9" s="27"/>
      <c r="ATJ9" s="27"/>
      <c r="ATK9" s="27"/>
      <c r="ATL9" s="27"/>
      <c r="ATM9" s="27"/>
      <c r="ATN9" s="27"/>
      <c r="ATO9" s="27"/>
      <c r="ATP9" s="27"/>
      <c r="ATQ9" s="27"/>
      <c r="ATR9" s="27"/>
      <c r="ATS9" s="27"/>
      <c r="ATT9" s="27"/>
      <c r="ATU9" s="27"/>
      <c r="ATV9" s="27"/>
      <c r="ATW9" s="27"/>
      <c r="ATX9" s="27"/>
      <c r="ATY9" s="27"/>
      <c r="ATZ9" s="27"/>
      <c r="AUA9" s="27"/>
      <c r="AUB9" s="27"/>
      <c r="AUC9" s="27"/>
      <c r="AUD9" s="27"/>
      <c r="AUE9" s="27"/>
      <c r="AUF9" s="27"/>
      <c r="AUG9" s="27"/>
      <c r="AUH9" s="27"/>
      <c r="AUI9" s="27"/>
      <c r="AUJ9" s="27"/>
      <c r="AUK9" s="27"/>
      <c r="AUL9" s="27"/>
      <c r="AUM9" s="27"/>
      <c r="AUN9" s="27"/>
      <c r="AUO9" s="27"/>
      <c r="AUP9" s="27"/>
      <c r="AUQ9" s="27"/>
      <c r="AUR9" s="27"/>
      <c r="AUS9" s="27"/>
      <c r="AUT9" s="27"/>
      <c r="AUU9" s="27"/>
      <c r="AUV9" s="27"/>
      <c r="AUW9" s="27"/>
      <c r="AUX9" s="27"/>
      <c r="AUY9" s="27"/>
      <c r="AUZ9" s="27"/>
      <c r="AVA9" s="27"/>
      <c r="AVB9" s="27"/>
      <c r="AVC9" s="27"/>
      <c r="AVD9" s="27"/>
      <c r="AVE9" s="27"/>
      <c r="AVF9" s="27"/>
      <c r="AVG9" s="27"/>
      <c r="AVH9" s="27"/>
      <c r="AVI9" s="27"/>
      <c r="AVJ9" s="27"/>
      <c r="AVK9" s="27"/>
      <c r="AVL9" s="27"/>
      <c r="AVM9" s="27"/>
      <c r="AVN9" s="27"/>
      <c r="AVO9" s="27"/>
      <c r="AVP9" s="27"/>
      <c r="AVQ9" s="27"/>
      <c r="AVR9" s="27"/>
      <c r="AVS9" s="27"/>
      <c r="AVT9" s="27"/>
      <c r="AVU9" s="27"/>
      <c r="AVV9" s="27"/>
      <c r="AVW9" s="27"/>
      <c r="AVX9" s="27"/>
      <c r="AVY9" s="27"/>
      <c r="AVZ9" s="27"/>
      <c r="AWA9" s="27"/>
      <c r="AWB9" s="27"/>
      <c r="AWC9" s="27"/>
      <c r="AWD9" s="27"/>
      <c r="AWE9" s="27"/>
      <c r="AWF9" s="27"/>
      <c r="AWG9" s="27"/>
      <c r="AWH9" s="27"/>
      <c r="AWI9" s="27"/>
      <c r="AWJ9" s="27"/>
      <c r="AWK9" s="27"/>
      <c r="AWL9" s="27"/>
      <c r="AWM9" s="27"/>
      <c r="AWN9" s="27"/>
      <c r="AWO9" s="27"/>
      <c r="AWP9" s="27"/>
      <c r="AWQ9" s="27"/>
      <c r="AWR9" s="27"/>
      <c r="AWS9" s="29"/>
      <c r="AWT9" s="37"/>
      <c r="AWU9" s="26"/>
      <c r="AWV9" s="27"/>
      <c r="AWW9" s="27"/>
      <c r="AWX9" s="27"/>
      <c r="AWY9" s="27"/>
      <c r="AWZ9" s="27"/>
      <c r="AXA9" s="27"/>
      <c r="AXB9" s="27"/>
      <c r="AXC9" s="27"/>
      <c r="AXD9" s="27"/>
      <c r="AXE9" s="27"/>
      <c r="AXF9" s="27"/>
      <c r="AXG9" s="27"/>
      <c r="AXH9" s="27"/>
      <c r="AXI9" s="27"/>
      <c r="AXJ9" s="27"/>
      <c r="AXK9" s="27"/>
      <c r="AXL9" s="27"/>
      <c r="AXM9" s="27"/>
      <c r="AXN9" s="27"/>
      <c r="AXO9" s="27"/>
      <c r="AXP9" s="27"/>
      <c r="AXQ9" s="27"/>
      <c r="AXR9" s="27"/>
      <c r="AXS9" s="27"/>
      <c r="AXT9" s="27"/>
      <c r="AXU9" s="27"/>
      <c r="AXV9" s="27"/>
      <c r="AXW9" s="27"/>
      <c r="AXX9" s="27"/>
      <c r="AXY9" s="27"/>
      <c r="AXZ9" s="27"/>
      <c r="AYA9" s="27"/>
      <c r="AYB9" s="27"/>
      <c r="AYC9" s="27"/>
      <c r="AYD9" s="27"/>
      <c r="AYE9" s="27"/>
      <c r="AYF9" s="27"/>
      <c r="AYG9" s="27"/>
      <c r="AYH9" s="27"/>
      <c r="AYI9" s="27"/>
      <c r="AYJ9" s="27"/>
      <c r="AYK9" s="27"/>
      <c r="AYL9" s="27"/>
      <c r="AYM9" s="27"/>
      <c r="AYN9" s="27"/>
      <c r="AYO9" s="27"/>
      <c r="AYP9" s="27"/>
      <c r="AYQ9" s="27"/>
      <c r="AYR9" s="27"/>
      <c r="AYS9" s="27"/>
      <c r="AYT9" s="27"/>
      <c r="AYU9" s="27"/>
      <c r="AYV9" s="27"/>
      <c r="AYW9" s="27"/>
      <c r="AYX9" s="27"/>
      <c r="AYY9" s="27"/>
      <c r="AYZ9" s="27"/>
      <c r="AZA9" s="27"/>
      <c r="AZB9" s="27"/>
      <c r="AZC9" s="27"/>
      <c r="AZD9" s="27"/>
      <c r="AZE9" s="27"/>
      <c r="AZF9" s="27"/>
      <c r="AZG9" s="27"/>
      <c r="AZH9" s="27"/>
      <c r="AZI9" s="27"/>
      <c r="AZJ9" s="27"/>
      <c r="AZK9" s="27"/>
      <c r="AZL9" s="27"/>
      <c r="AZM9" s="27"/>
      <c r="AZN9" s="27"/>
      <c r="AZO9" s="27"/>
      <c r="AZP9" s="27"/>
      <c r="AZQ9" s="27"/>
      <c r="AZR9" s="27"/>
      <c r="AZS9" s="27"/>
      <c r="AZT9" s="27"/>
      <c r="AZU9" s="27"/>
      <c r="AZV9" s="27"/>
      <c r="AZW9" s="27"/>
      <c r="AZX9" s="27"/>
      <c r="AZY9" s="27"/>
      <c r="AZZ9" s="27"/>
      <c r="BAA9" s="37"/>
      <c r="BAB9" s="26"/>
      <c r="BAC9" s="27"/>
      <c r="BAD9" s="27"/>
      <c r="BAE9" s="27"/>
      <c r="BAF9" s="27"/>
      <c r="BAG9" s="27"/>
      <c r="BAH9" s="27"/>
      <c r="BAI9" s="27"/>
      <c r="BAJ9" s="27"/>
      <c r="BAK9" s="27"/>
      <c r="BAL9" s="27"/>
      <c r="BAM9" s="27"/>
      <c r="BAN9" s="27"/>
      <c r="BAO9" s="27"/>
      <c r="BAP9" s="27"/>
      <c r="BAQ9" s="27"/>
      <c r="BAR9" s="27"/>
      <c r="BAS9" s="27"/>
      <c r="BAT9" s="27"/>
      <c r="BAU9" s="27"/>
      <c r="BAV9" s="27"/>
      <c r="BAW9" s="27"/>
      <c r="BAX9" s="27"/>
      <c r="BAY9" s="27"/>
      <c r="BAZ9" s="27"/>
      <c r="BBA9" s="27"/>
      <c r="BBB9" s="27"/>
      <c r="BBC9" s="27"/>
      <c r="BBD9" s="27"/>
      <c r="BBE9" s="27"/>
      <c r="BBF9" s="27"/>
      <c r="BBG9" s="27"/>
      <c r="BBH9" s="27"/>
      <c r="BBI9" s="27"/>
      <c r="BBJ9" s="27"/>
      <c r="BBK9" s="27"/>
      <c r="BBL9" s="27"/>
      <c r="BBM9" s="27"/>
      <c r="BBN9" s="27"/>
      <c r="BBO9" s="27"/>
      <c r="BBP9" s="27"/>
      <c r="BBQ9" s="27"/>
      <c r="BBR9" s="27"/>
      <c r="BBS9" s="27"/>
      <c r="BBT9" s="27"/>
      <c r="BBU9" s="27"/>
      <c r="BBV9" s="27"/>
      <c r="BBW9" s="27"/>
      <c r="BBX9" s="27"/>
      <c r="BBY9" s="27"/>
      <c r="BBZ9" s="27"/>
      <c r="BCA9" s="27"/>
      <c r="BCB9" s="27"/>
      <c r="BCC9" s="27"/>
      <c r="BCD9" s="27"/>
      <c r="BCE9" s="27"/>
      <c r="BCF9" s="27"/>
      <c r="BCG9" s="27"/>
      <c r="BCH9" s="27"/>
      <c r="BCI9" s="27"/>
      <c r="BCJ9" s="27"/>
      <c r="BCK9" s="27"/>
      <c r="BCL9" s="27"/>
      <c r="BCM9" s="27"/>
      <c r="BCN9" s="27"/>
      <c r="BCO9" s="27"/>
      <c r="BCP9" s="27"/>
      <c r="BCQ9" s="27"/>
      <c r="BCR9" s="27"/>
      <c r="BCS9" s="27"/>
      <c r="BCT9" s="27"/>
      <c r="BCU9" s="27"/>
      <c r="BCV9" s="27"/>
      <c r="BCW9" s="27"/>
      <c r="BCX9" s="27"/>
      <c r="BCY9" s="27"/>
      <c r="BCZ9" s="27"/>
      <c r="BDA9" s="27"/>
      <c r="BDB9" s="27"/>
      <c r="BDC9" s="27"/>
      <c r="BDD9" s="27"/>
      <c r="BDE9" s="27"/>
      <c r="BDF9" s="27"/>
      <c r="BDG9" s="27"/>
      <c r="BDH9" s="27"/>
      <c r="BDI9" s="27"/>
      <c r="BDJ9" s="27"/>
      <c r="BDK9" s="27"/>
      <c r="BDL9" s="27"/>
      <c r="BDM9" s="29"/>
      <c r="BDN9" s="29"/>
      <c r="BDO9" s="29"/>
      <c r="BDP9" s="29"/>
      <c r="BDQ9" s="37"/>
      <c r="BDR9" s="26"/>
      <c r="BDS9" s="27"/>
      <c r="BDT9" s="27"/>
      <c r="BDU9" s="27"/>
      <c r="BDV9" s="27"/>
      <c r="BDW9" s="27"/>
      <c r="BDX9" s="27"/>
      <c r="BDY9" s="27"/>
      <c r="BDZ9" s="27"/>
      <c r="BEA9" s="27"/>
      <c r="BEB9" s="27"/>
      <c r="BEC9" s="27"/>
      <c r="BED9" s="27"/>
      <c r="BEE9" s="27"/>
      <c r="BEF9" s="27"/>
      <c r="BEG9" s="27"/>
      <c r="BEH9" s="27"/>
      <c r="BEI9" s="27"/>
      <c r="BEJ9" s="27"/>
      <c r="BEK9" s="27"/>
      <c r="BEL9" s="27"/>
      <c r="BEM9" s="27"/>
      <c r="BEN9" s="27"/>
      <c r="BEO9" s="27"/>
      <c r="BEP9" s="27"/>
      <c r="BEQ9" s="27"/>
      <c r="BER9" s="27"/>
      <c r="BES9" s="27"/>
      <c r="BET9" s="27"/>
      <c r="BEU9" s="27"/>
      <c r="BEV9" s="27"/>
      <c r="BEW9" s="27"/>
      <c r="BEX9" s="27"/>
      <c r="BEY9" s="27"/>
      <c r="BEZ9" s="27"/>
      <c r="BFA9" s="27"/>
      <c r="BFB9" s="27"/>
      <c r="BFC9" s="27"/>
      <c r="BFD9" s="27"/>
      <c r="BFE9" s="27"/>
      <c r="BFF9" s="27"/>
      <c r="BFG9" s="27"/>
      <c r="BFH9" s="27"/>
      <c r="BFI9" s="27"/>
      <c r="BFJ9" s="27"/>
      <c r="BFK9" s="27"/>
      <c r="BFL9" s="27"/>
      <c r="BFM9" s="27"/>
      <c r="BFN9" s="27"/>
      <c r="BFO9" s="27"/>
      <c r="BFP9" s="27"/>
      <c r="BFQ9" s="27"/>
      <c r="BFR9" s="27"/>
      <c r="BFS9" s="27"/>
      <c r="BFT9" s="27"/>
      <c r="BFU9" s="27"/>
      <c r="BFV9" s="27"/>
      <c r="BFW9" s="27"/>
      <c r="BFX9" s="27"/>
      <c r="BFY9" s="27"/>
      <c r="BFZ9" s="27"/>
      <c r="BGA9" s="27"/>
      <c r="BGB9" s="27"/>
      <c r="BGC9" s="27"/>
      <c r="BGD9" s="27"/>
      <c r="BGE9" s="27"/>
      <c r="BGF9" s="27"/>
      <c r="BGG9" s="27"/>
      <c r="BGH9" s="27"/>
      <c r="BGI9" s="27"/>
      <c r="BGJ9" s="27"/>
      <c r="BGK9" s="27"/>
      <c r="BGL9" s="27"/>
      <c r="BGM9" s="27"/>
      <c r="BGN9" s="27"/>
      <c r="BGO9" s="27"/>
      <c r="BGP9" s="27"/>
      <c r="BGQ9" s="27"/>
      <c r="BGR9" s="27"/>
      <c r="BGS9" s="27"/>
      <c r="BGT9" s="27"/>
      <c r="BGU9" s="27"/>
      <c r="BGV9" s="27"/>
      <c r="BGW9" s="27"/>
      <c r="BGX9" s="27"/>
      <c r="BGY9" s="27"/>
      <c r="BGZ9" s="27"/>
      <c r="BHA9" s="27"/>
      <c r="BHB9" s="27"/>
      <c r="BHC9" s="29"/>
      <c r="BHD9" s="37"/>
    </row>
    <row r="10" spans="1:1564" ht="31.95" customHeight="1" x14ac:dyDescent="0.3">
      <c r="A10" s="22">
        <v>6</v>
      </c>
      <c r="B10" s="40" t="s">
        <v>288</v>
      </c>
      <c r="C10" s="40" t="s">
        <v>251</v>
      </c>
      <c r="D10" s="40" t="s">
        <v>242</v>
      </c>
      <c r="E10" s="37"/>
      <c r="F10" s="30"/>
      <c r="G10" s="23"/>
      <c r="H10" s="23"/>
      <c r="I10" s="30"/>
      <c r="J10" s="23"/>
      <c r="K10" s="23"/>
      <c r="L10" s="30"/>
      <c r="M10" s="23"/>
      <c r="N10" s="23"/>
      <c r="O10" s="30"/>
      <c r="P10" s="23"/>
      <c r="Q10" s="23"/>
      <c r="R10" s="30"/>
      <c r="S10" s="23"/>
      <c r="T10" s="23"/>
      <c r="U10" s="30"/>
      <c r="V10" s="23"/>
      <c r="W10" s="23"/>
      <c r="X10" s="30"/>
      <c r="Y10" s="23"/>
      <c r="Z10" s="23"/>
      <c r="AA10" s="30"/>
      <c r="AB10" s="23"/>
      <c r="AC10" s="23"/>
      <c r="AD10" s="30"/>
      <c r="AE10" s="23"/>
      <c r="AF10" s="23"/>
      <c r="AG10" s="30"/>
      <c r="AH10" s="23"/>
      <c r="AI10" s="23"/>
      <c r="AJ10" s="30"/>
      <c r="AK10" s="23"/>
      <c r="AL10" s="23"/>
      <c r="AM10" s="30"/>
      <c r="AN10" s="23"/>
      <c r="AO10" s="23"/>
      <c r="AP10" s="30"/>
      <c r="AQ10" s="23"/>
      <c r="AR10" s="23"/>
      <c r="AS10" s="30"/>
      <c r="AT10" s="23"/>
      <c r="AU10" s="23"/>
      <c r="AV10" s="30"/>
      <c r="AW10" s="23"/>
      <c r="AX10" s="23"/>
      <c r="AY10" s="30"/>
      <c r="AZ10" s="23"/>
      <c r="BA10" s="23"/>
      <c r="BB10" s="30"/>
      <c r="BC10" s="23"/>
      <c r="BD10" s="23"/>
      <c r="BE10" s="30"/>
      <c r="BF10" s="23"/>
      <c r="BG10" s="23"/>
      <c r="BH10" s="30"/>
      <c r="BI10" s="23"/>
      <c r="BJ10" s="23"/>
      <c r="BK10" s="30"/>
      <c r="BL10" s="23"/>
      <c r="BM10" s="23"/>
      <c r="BN10" s="30"/>
      <c r="BO10" s="23"/>
      <c r="BP10" s="24"/>
      <c r="BQ10" s="30"/>
      <c r="BR10" s="23"/>
      <c r="BS10" s="23"/>
      <c r="BT10" s="30"/>
      <c r="BU10" s="23"/>
      <c r="BV10" s="23"/>
      <c r="BW10" s="30"/>
      <c r="BX10" s="23"/>
      <c r="BY10" s="23"/>
      <c r="BZ10" s="30"/>
      <c r="CA10" s="23"/>
      <c r="CB10" s="23"/>
      <c r="CC10" s="30"/>
      <c r="CD10" s="23"/>
      <c r="CE10" s="23"/>
      <c r="CF10" s="30"/>
      <c r="CG10" s="23"/>
      <c r="CH10" s="23"/>
      <c r="CI10" s="30"/>
      <c r="CJ10" s="23"/>
      <c r="CK10" s="23"/>
      <c r="CL10" s="30"/>
      <c r="CM10" s="23"/>
      <c r="CN10" s="23"/>
      <c r="CO10" s="30"/>
      <c r="CP10" s="23"/>
      <c r="CQ10" s="23"/>
      <c r="CR10" s="30"/>
      <c r="CS10" s="23"/>
      <c r="CT10" s="25"/>
      <c r="CU10" s="37"/>
      <c r="CV10" s="26"/>
      <c r="CW10" s="27"/>
      <c r="CX10" s="27"/>
      <c r="CY10" s="27"/>
      <c r="CZ10" s="27"/>
      <c r="DA10" s="27"/>
      <c r="DB10" s="26"/>
      <c r="DC10" s="27"/>
      <c r="DD10" s="27"/>
      <c r="DE10" s="26"/>
      <c r="DF10" s="27"/>
      <c r="DG10" s="27"/>
      <c r="DH10" s="26"/>
      <c r="DI10" s="27"/>
      <c r="DJ10" s="27"/>
      <c r="DK10" s="26"/>
      <c r="DL10" s="27"/>
      <c r="DM10" s="27"/>
      <c r="DN10" s="26"/>
      <c r="DO10" s="27"/>
      <c r="DP10" s="27"/>
      <c r="DQ10" s="26"/>
      <c r="DR10" s="27"/>
      <c r="DS10" s="27"/>
      <c r="DT10" s="26"/>
      <c r="DU10" s="27"/>
      <c r="DV10" s="27"/>
      <c r="DW10" s="26"/>
      <c r="DX10" s="27"/>
      <c r="DY10" s="27"/>
      <c r="DZ10" s="26"/>
      <c r="EA10" s="27"/>
      <c r="EB10" s="27"/>
      <c r="EC10" s="26"/>
      <c r="ED10" s="27"/>
      <c r="EE10" s="27"/>
      <c r="EF10" s="26"/>
      <c r="EG10" s="27"/>
      <c r="EH10" s="27"/>
      <c r="EI10" s="26"/>
      <c r="EJ10" s="27"/>
      <c r="EK10" s="27"/>
      <c r="EL10" s="26"/>
      <c r="EM10" s="27"/>
      <c r="EN10" s="27"/>
      <c r="EO10" s="26"/>
      <c r="EP10" s="27"/>
      <c r="EQ10" s="27"/>
      <c r="ER10" s="26"/>
      <c r="ES10" s="27"/>
      <c r="ET10" s="27"/>
      <c r="EU10" s="26"/>
      <c r="EV10" s="27"/>
      <c r="EW10" s="27"/>
      <c r="EX10" s="26"/>
      <c r="EY10" s="27"/>
      <c r="EZ10" s="27"/>
      <c r="FA10" s="26"/>
      <c r="FB10" s="27"/>
      <c r="FC10" s="27"/>
      <c r="FD10" s="26"/>
      <c r="FE10" s="27"/>
      <c r="FF10" s="27"/>
      <c r="FG10" s="26"/>
      <c r="FH10" s="27"/>
      <c r="FI10" s="27"/>
      <c r="FJ10" s="26"/>
      <c r="FK10" s="27"/>
      <c r="FL10" s="27"/>
      <c r="FM10" s="26"/>
      <c r="FN10" s="27"/>
      <c r="FO10" s="27"/>
      <c r="FP10" s="26"/>
      <c r="FQ10" s="27"/>
      <c r="FR10" s="27"/>
      <c r="FS10" s="26"/>
      <c r="FT10" s="27"/>
      <c r="FU10" s="27"/>
      <c r="FV10" s="26"/>
      <c r="FW10" s="27"/>
      <c r="FX10" s="27"/>
      <c r="FY10" s="26"/>
      <c r="FZ10" s="27"/>
      <c r="GA10" s="27"/>
      <c r="GB10" s="26"/>
      <c r="GC10" s="27"/>
      <c r="GD10" s="27"/>
      <c r="GE10" s="26"/>
      <c r="GF10" s="27"/>
      <c r="GG10" s="27"/>
      <c r="GH10" s="26"/>
      <c r="GI10" s="27"/>
      <c r="GJ10" s="29"/>
      <c r="GK10" s="37"/>
      <c r="GL10" s="26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37"/>
      <c r="JS10" s="26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9"/>
      <c r="NH10" s="37"/>
      <c r="NI10" s="26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37"/>
      <c r="QV10" s="26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9"/>
      <c r="UK10" s="37"/>
      <c r="UL10" s="26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37"/>
      <c r="XY10" s="26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9"/>
      <c r="ABN10" s="37"/>
      <c r="ABO10" s="26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9"/>
      <c r="AFD10" s="37"/>
      <c r="AFE10" s="26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37"/>
      <c r="AIR10" s="26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  <c r="AKL10" s="27"/>
      <c r="AKM10" s="27"/>
      <c r="AKN10" s="27"/>
      <c r="AKO10" s="27"/>
      <c r="AKP10" s="27"/>
      <c r="AKQ10" s="27"/>
      <c r="AKR10" s="27"/>
      <c r="AKS10" s="27"/>
      <c r="AKT10" s="27"/>
      <c r="AKU10" s="27"/>
      <c r="AKV10" s="27"/>
      <c r="AKW10" s="27"/>
      <c r="AKX10" s="27"/>
      <c r="AKY10" s="27"/>
      <c r="AKZ10" s="27"/>
      <c r="ALA10" s="27"/>
      <c r="ALB10" s="27"/>
      <c r="ALC10" s="27"/>
      <c r="ALD10" s="27"/>
      <c r="ALE10" s="27"/>
      <c r="ALF10" s="27"/>
      <c r="ALG10" s="27"/>
      <c r="ALH10" s="27"/>
      <c r="ALI10" s="27"/>
      <c r="ALJ10" s="27"/>
      <c r="ALK10" s="27"/>
      <c r="ALL10" s="27"/>
      <c r="ALM10" s="27"/>
      <c r="ALN10" s="27"/>
      <c r="ALO10" s="27"/>
      <c r="ALP10" s="27"/>
      <c r="ALQ10" s="27"/>
      <c r="ALR10" s="27"/>
      <c r="ALS10" s="27"/>
      <c r="ALT10" s="27"/>
      <c r="ALU10" s="27"/>
      <c r="ALV10" s="27"/>
      <c r="ALW10" s="27"/>
      <c r="ALX10" s="27"/>
      <c r="ALY10" s="27"/>
      <c r="ALZ10" s="27"/>
      <c r="AMA10" s="27"/>
      <c r="AMB10" s="27"/>
      <c r="AMC10" s="27"/>
      <c r="AMD10" s="27"/>
      <c r="AME10" s="27"/>
      <c r="AMF10" s="29"/>
      <c r="AMG10" s="37"/>
      <c r="AMH10" s="26"/>
      <c r="AMI10" s="27"/>
      <c r="AMJ10" s="27"/>
      <c r="AMK10" s="27"/>
      <c r="AML10" s="27"/>
      <c r="AMM10" s="27"/>
      <c r="AMN10" s="27"/>
      <c r="AMO10" s="27"/>
      <c r="AMP10" s="27"/>
      <c r="AMQ10" s="27"/>
      <c r="AMR10" s="27"/>
      <c r="AMS10" s="27"/>
      <c r="AMT10" s="27"/>
      <c r="AMU10" s="27"/>
      <c r="AMV10" s="27"/>
      <c r="AMW10" s="27"/>
      <c r="AMX10" s="27"/>
      <c r="AMY10" s="27"/>
      <c r="AMZ10" s="27"/>
      <c r="ANA10" s="27"/>
      <c r="ANB10" s="27"/>
      <c r="ANC10" s="27"/>
      <c r="AND10" s="27"/>
      <c r="ANE10" s="27"/>
      <c r="ANF10" s="27"/>
      <c r="ANG10" s="27"/>
      <c r="ANH10" s="27"/>
      <c r="ANI10" s="27"/>
      <c r="ANJ10" s="27"/>
      <c r="ANK10" s="27"/>
      <c r="ANL10" s="27"/>
      <c r="ANM10" s="27"/>
      <c r="ANN10" s="27"/>
      <c r="ANO10" s="27"/>
      <c r="ANP10" s="27"/>
      <c r="ANQ10" s="27"/>
      <c r="ANR10" s="27"/>
      <c r="ANS10" s="27"/>
      <c r="ANT10" s="27"/>
      <c r="ANU10" s="27"/>
      <c r="ANV10" s="27"/>
      <c r="ANW10" s="27"/>
      <c r="ANX10" s="27"/>
      <c r="ANY10" s="27"/>
      <c r="ANZ10" s="27"/>
      <c r="AOA10" s="27"/>
      <c r="AOB10" s="27"/>
      <c r="AOC10" s="27"/>
      <c r="AOD10" s="27"/>
      <c r="AOE10" s="27"/>
      <c r="AOF10" s="27"/>
      <c r="AOG10" s="27"/>
      <c r="AOH10" s="27"/>
      <c r="AOI10" s="27"/>
      <c r="AOJ10" s="27"/>
      <c r="AOK10" s="27"/>
      <c r="AOL10" s="27"/>
      <c r="AOM10" s="27"/>
      <c r="AON10" s="27"/>
      <c r="AOO10" s="27"/>
      <c r="AOP10" s="27"/>
      <c r="AOQ10" s="27"/>
      <c r="AOR10" s="27"/>
      <c r="AOS10" s="27"/>
      <c r="AOT10" s="27"/>
      <c r="AOU10" s="27"/>
      <c r="AOV10" s="27"/>
      <c r="AOW10" s="27"/>
      <c r="AOX10" s="27"/>
      <c r="AOY10" s="27"/>
      <c r="AOZ10" s="27"/>
      <c r="APA10" s="27"/>
      <c r="APB10" s="27"/>
      <c r="APC10" s="27"/>
      <c r="APD10" s="27"/>
      <c r="APE10" s="27"/>
      <c r="APF10" s="27"/>
      <c r="APG10" s="27"/>
      <c r="APH10" s="27"/>
      <c r="API10" s="27"/>
      <c r="APJ10" s="27"/>
      <c r="APK10" s="27"/>
      <c r="APL10" s="27"/>
      <c r="APM10" s="27"/>
      <c r="APN10" s="27"/>
      <c r="APO10" s="27"/>
      <c r="APP10" s="27"/>
      <c r="APQ10" s="27"/>
      <c r="APR10" s="27"/>
      <c r="APS10" s="29"/>
      <c r="APT10" s="37"/>
      <c r="APU10" s="26"/>
      <c r="APV10" s="27"/>
      <c r="APW10" s="27"/>
      <c r="APX10" s="27"/>
      <c r="APY10" s="27"/>
      <c r="APZ10" s="27"/>
      <c r="AQA10" s="27"/>
      <c r="AQB10" s="27"/>
      <c r="AQC10" s="27"/>
      <c r="AQD10" s="27"/>
      <c r="AQE10" s="27"/>
      <c r="AQF10" s="27"/>
      <c r="AQG10" s="27"/>
      <c r="AQH10" s="27"/>
      <c r="AQI10" s="27"/>
      <c r="AQJ10" s="27"/>
      <c r="AQK10" s="27"/>
      <c r="AQL10" s="27"/>
      <c r="AQM10" s="27"/>
      <c r="AQN10" s="27"/>
      <c r="AQO10" s="27"/>
      <c r="AQP10" s="27"/>
      <c r="AQQ10" s="27"/>
      <c r="AQR10" s="27"/>
      <c r="AQS10" s="27"/>
      <c r="AQT10" s="27"/>
      <c r="AQU10" s="27"/>
      <c r="AQV10" s="27"/>
      <c r="AQW10" s="27"/>
      <c r="AQX10" s="27"/>
      <c r="AQY10" s="27"/>
      <c r="AQZ10" s="27"/>
      <c r="ARA10" s="27"/>
      <c r="ARB10" s="27"/>
      <c r="ARC10" s="27"/>
      <c r="ARD10" s="27"/>
      <c r="ARE10" s="27"/>
      <c r="ARF10" s="27"/>
      <c r="ARG10" s="27"/>
      <c r="ARH10" s="27"/>
      <c r="ARI10" s="27"/>
      <c r="ARJ10" s="27"/>
      <c r="ARK10" s="27"/>
      <c r="ARL10" s="27"/>
      <c r="ARM10" s="27"/>
      <c r="ARN10" s="27"/>
      <c r="ARO10" s="27"/>
      <c r="ARP10" s="27"/>
      <c r="ARQ10" s="27"/>
      <c r="ARR10" s="27"/>
      <c r="ARS10" s="27"/>
      <c r="ART10" s="27"/>
      <c r="ARU10" s="27"/>
      <c r="ARV10" s="27"/>
      <c r="ARW10" s="27"/>
      <c r="ARX10" s="27"/>
      <c r="ARY10" s="27"/>
      <c r="ARZ10" s="27"/>
      <c r="ASA10" s="27"/>
      <c r="ASB10" s="27"/>
      <c r="ASC10" s="27"/>
      <c r="ASD10" s="27"/>
      <c r="ASE10" s="27"/>
      <c r="ASF10" s="27"/>
      <c r="ASG10" s="27"/>
      <c r="ASH10" s="27"/>
      <c r="ASI10" s="27"/>
      <c r="ASJ10" s="27"/>
      <c r="ASK10" s="27"/>
      <c r="ASL10" s="27"/>
      <c r="ASM10" s="27"/>
      <c r="ASN10" s="27"/>
      <c r="ASO10" s="27"/>
      <c r="ASP10" s="27"/>
      <c r="ASQ10" s="27"/>
      <c r="ASR10" s="27"/>
      <c r="ASS10" s="27"/>
      <c r="AST10" s="27"/>
      <c r="ASU10" s="27"/>
      <c r="ASV10" s="27"/>
      <c r="ASW10" s="27"/>
      <c r="ASX10" s="27"/>
      <c r="ASY10" s="27"/>
      <c r="ASZ10" s="27"/>
      <c r="ATA10" s="27"/>
      <c r="ATB10" s="27"/>
      <c r="ATC10" s="27"/>
      <c r="ATD10" s="27"/>
      <c r="ATE10" s="27"/>
      <c r="ATF10" s="29"/>
      <c r="ATG10" s="37"/>
      <c r="ATH10" s="26"/>
      <c r="ATI10" s="27"/>
      <c r="ATJ10" s="27"/>
      <c r="ATK10" s="27"/>
      <c r="ATL10" s="27"/>
      <c r="ATM10" s="27"/>
      <c r="ATN10" s="27"/>
      <c r="ATO10" s="27"/>
      <c r="ATP10" s="27"/>
      <c r="ATQ10" s="27"/>
      <c r="ATR10" s="27"/>
      <c r="ATS10" s="27"/>
      <c r="ATT10" s="27"/>
      <c r="ATU10" s="27"/>
      <c r="ATV10" s="27"/>
      <c r="ATW10" s="27"/>
      <c r="ATX10" s="27"/>
      <c r="ATY10" s="27"/>
      <c r="ATZ10" s="27"/>
      <c r="AUA10" s="27"/>
      <c r="AUB10" s="27"/>
      <c r="AUC10" s="27"/>
      <c r="AUD10" s="27"/>
      <c r="AUE10" s="27"/>
      <c r="AUF10" s="27"/>
      <c r="AUG10" s="27"/>
      <c r="AUH10" s="27"/>
      <c r="AUI10" s="27"/>
      <c r="AUJ10" s="27"/>
      <c r="AUK10" s="27"/>
      <c r="AUL10" s="27"/>
      <c r="AUM10" s="27"/>
      <c r="AUN10" s="27"/>
      <c r="AUO10" s="27"/>
      <c r="AUP10" s="27"/>
      <c r="AUQ10" s="27"/>
      <c r="AUR10" s="27"/>
      <c r="AUS10" s="27"/>
      <c r="AUT10" s="27"/>
      <c r="AUU10" s="27"/>
      <c r="AUV10" s="27"/>
      <c r="AUW10" s="27"/>
      <c r="AUX10" s="27"/>
      <c r="AUY10" s="27"/>
      <c r="AUZ10" s="27"/>
      <c r="AVA10" s="27"/>
      <c r="AVB10" s="27"/>
      <c r="AVC10" s="27"/>
      <c r="AVD10" s="27"/>
      <c r="AVE10" s="27"/>
      <c r="AVF10" s="27"/>
      <c r="AVG10" s="27"/>
      <c r="AVH10" s="27"/>
      <c r="AVI10" s="27"/>
      <c r="AVJ10" s="27"/>
      <c r="AVK10" s="27"/>
      <c r="AVL10" s="27"/>
      <c r="AVM10" s="27"/>
      <c r="AVN10" s="27"/>
      <c r="AVO10" s="27"/>
      <c r="AVP10" s="27"/>
      <c r="AVQ10" s="27"/>
      <c r="AVR10" s="27"/>
      <c r="AVS10" s="27"/>
      <c r="AVT10" s="27"/>
      <c r="AVU10" s="27"/>
      <c r="AVV10" s="27"/>
      <c r="AVW10" s="27"/>
      <c r="AVX10" s="27"/>
      <c r="AVY10" s="27"/>
      <c r="AVZ10" s="27"/>
      <c r="AWA10" s="27"/>
      <c r="AWB10" s="27"/>
      <c r="AWC10" s="27"/>
      <c r="AWD10" s="27"/>
      <c r="AWE10" s="27"/>
      <c r="AWF10" s="27"/>
      <c r="AWG10" s="27"/>
      <c r="AWH10" s="27"/>
      <c r="AWI10" s="27"/>
      <c r="AWJ10" s="27"/>
      <c r="AWK10" s="27"/>
      <c r="AWL10" s="27"/>
      <c r="AWM10" s="27"/>
      <c r="AWN10" s="27"/>
      <c r="AWO10" s="27"/>
      <c r="AWP10" s="27"/>
      <c r="AWQ10" s="27"/>
      <c r="AWR10" s="27"/>
      <c r="AWS10" s="29"/>
      <c r="AWT10" s="37"/>
      <c r="AWU10" s="26"/>
      <c r="AWV10" s="27"/>
      <c r="AWW10" s="27"/>
      <c r="AWX10" s="27"/>
      <c r="AWY10" s="27"/>
      <c r="AWZ10" s="27"/>
      <c r="AXA10" s="27"/>
      <c r="AXB10" s="27"/>
      <c r="AXC10" s="27"/>
      <c r="AXD10" s="27"/>
      <c r="AXE10" s="27"/>
      <c r="AXF10" s="27"/>
      <c r="AXG10" s="27"/>
      <c r="AXH10" s="27"/>
      <c r="AXI10" s="27"/>
      <c r="AXJ10" s="27"/>
      <c r="AXK10" s="27"/>
      <c r="AXL10" s="27"/>
      <c r="AXM10" s="27"/>
      <c r="AXN10" s="27"/>
      <c r="AXO10" s="27"/>
      <c r="AXP10" s="27"/>
      <c r="AXQ10" s="27"/>
      <c r="AXR10" s="27"/>
      <c r="AXS10" s="27"/>
      <c r="AXT10" s="27"/>
      <c r="AXU10" s="27"/>
      <c r="AXV10" s="27"/>
      <c r="AXW10" s="27"/>
      <c r="AXX10" s="27"/>
      <c r="AXY10" s="27"/>
      <c r="AXZ10" s="27"/>
      <c r="AYA10" s="27"/>
      <c r="AYB10" s="27"/>
      <c r="AYC10" s="27"/>
      <c r="AYD10" s="27"/>
      <c r="AYE10" s="27"/>
      <c r="AYF10" s="27"/>
      <c r="AYG10" s="27"/>
      <c r="AYH10" s="27"/>
      <c r="AYI10" s="27"/>
      <c r="AYJ10" s="27"/>
      <c r="AYK10" s="27"/>
      <c r="AYL10" s="27"/>
      <c r="AYM10" s="27"/>
      <c r="AYN10" s="27"/>
      <c r="AYO10" s="27"/>
      <c r="AYP10" s="27"/>
      <c r="AYQ10" s="27"/>
      <c r="AYR10" s="27"/>
      <c r="AYS10" s="27"/>
      <c r="AYT10" s="27"/>
      <c r="AYU10" s="27"/>
      <c r="AYV10" s="27"/>
      <c r="AYW10" s="27"/>
      <c r="AYX10" s="27"/>
      <c r="AYY10" s="27"/>
      <c r="AYZ10" s="27"/>
      <c r="AZA10" s="27"/>
      <c r="AZB10" s="27"/>
      <c r="AZC10" s="27"/>
      <c r="AZD10" s="27"/>
      <c r="AZE10" s="27"/>
      <c r="AZF10" s="27"/>
      <c r="AZG10" s="27"/>
      <c r="AZH10" s="27"/>
      <c r="AZI10" s="27"/>
      <c r="AZJ10" s="27"/>
      <c r="AZK10" s="27"/>
      <c r="AZL10" s="27"/>
      <c r="AZM10" s="27"/>
      <c r="AZN10" s="27"/>
      <c r="AZO10" s="27"/>
      <c r="AZP10" s="27"/>
      <c r="AZQ10" s="27"/>
      <c r="AZR10" s="27"/>
      <c r="AZS10" s="27"/>
      <c r="AZT10" s="27"/>
      <c r="AZU10" s="27"/>
      <c r="AZV10" s="27"/>
      <c r="AZW10" s="27"/>
      <c r="AZX10" s="27"/>
      <c r="AZY10" s="27"/>
      <c r="AZZ10" s="27"/>
      <c r="BAA10" s="37"/>
      <c r="BAB10" s="26"/>
      <c r="BAC10" s="27"/>
      <c r="BAD10" s="27"/>
      <c r="BAE10" s="27"/>
      <c r="BAF10" s="27"/>
      <c r="BAG10" s="27"/>
      <c r="BAH10" s="27"/>
      <c r="BAI10" s="27"/>
      <c r="BAJ10" s="27"/>
      <c r="BAK10" s="27"/>
      <c r="BAL10" s="27"/>
      <c r="BAM10" s="27"/>
      <c r="BAN10" s="27"/>
      <c r="BAO10" s="27"/>
      <c r="BAP10" s="27"/>
      <c r="BAQ10" s="27"/>
      <c r="BAR10" s="27"/>
      <c r="BAS10" s="27"/>
      <c r="BAT10" s="27"/>
      <c r="BAU10" s="27"/>
      <c r="BAV10" s="27"/>
      <c r="BAW10" s="27"/>
      <c r="BAX10" s="27"/>
      <c r="BAY10" s="27"/>
      <c r="BAZ10" s="27"/>
      <c r="BBA10" s="27"/>
      <c r="BBB10" s="27"/>
      <c r="BBC10" s="27"/>
      <c r="BBD10" s="27"/>
      <c r="BBE10" s="27"/>
      <c r="BBF10" s="27"/>
      <c r="BBG10" s="27"/>
      <c r="BBH10" s="27"/>
      <c r="BBI10" s="27"/>
      <c r="BBJ10" s="27"/>
      <c r="BBK10" s="27"/>
      <c r="BBL10" s="27"/>
      <c r="BBM10" s="27"/>
      <c r="BBN10" s="27"/>
      <c r="BBO10" s="27"/>
      <c r="BBP10" s="27"/>
      <c r="BBQ10" s="27"/>
      <c r="BBR10" s="27"/>
      <c r="BBS10" s="27"/>
      <c r="BBT10" s="27"/>
      <c r="BBU10" s="27"/>
      <c r="BBV10" s="27"/>
      <c r="BBW10" s="27"/>
      <c r="BBX10" s="27"/>
      <c r="BBY10" s="27"/>
      <c r="BBZ10" s="27"/>
      <c r="BCA10" s="27"/>
      <c r="BCB10" s="27"/>
      <c r="BCC10" s="27"/>
      <c r="BCD10" s="27"/>
      <c r="BCE10" s="27"/>
      <c r="BCF10" s="27"/>
      <c r="BCG10" s="27"/>
      <c r="BCH10" s="27"/>
      <c r="BCI10" s="27"/>
      <c r="BCJ10" s="27"/>
      <c r="BCK10" s="27"/>
      <c r="BCL10" s="27"/>
      <c r="BCM10" s="27"/>
      <c r="BCN10" s="27"/>
      <c r="BCO10" s="27"/>
      <c r="BCP10" s="27"/>
      <c r="BCQ10" s="27"/>
      <c r="BCR10" s="27"/>
      <c r="BCS10" s="27"/>
      <c r="BCT10" s="27"/>
      <c r="BCU10" s="27"/>
      <c r="BCV10" s="27"/>
      <c r="BCW10" s="27"/>
      <c r="BCX10" s="27"/>
      <c r="BCY10" s="27"/>
      <c r="BCZ10" s="27"/>
      <c r="BDA10" s="27"/>
      <c r="BDB10" s="27"/>
      <c r="BDC10" s="27"/>
      <c r="BDD10" s="27"/>
      <c r="BDE10" s="27"/>
      <c r="BDF10" s="27"/>
      <c r="BDG10" s="27"/>
      <c r="BDH10" s="27"/>
      <c r="BDI10" s="27"/>
      <c r="BDJ10" s="27"/>
      <c r="BDK10" s="27"/>
      <c r="BDL10" s="27"/>
      <c r="BDM10" s="29"/>
      <c r="BDN10" s="29"/>
      <c r="BDO10" s="29"/>
      <c r="BDP10" s="29"/>
      <c r="BDQ10" s="37"/>
      <c r="BDR10" s="26"/>
      <c r="BDS10" s="27"/>
      <c r="BDT10" s="27"/>
      <c r="BDU10" s="27"/>
      <c r="BDV10" s="27"/>
      <c r="BDW10" s="27"/>
      <c r="BDX10" s="27"/>
      <c r="BDY10" s="27"/>
      <c r="BDZ10" s="27"/>
      <c r="BEA10" s="27"/>
      <c r="BEB10" s="27"/>
      <c r="BEC10" s="27"/>
      <c r="BED10" s="27"/>
      <c r="BEE10" s="27"/>
      <c r="BEF10" s="27"/>
      <c r="BEG10" s="27"/>
      <c r="BEH10" s="27"/>
      <c r="BEI10" s="27"/>
      <c r="BEJ10" s="27"/>
      <c r="BEK10" s="27"/>
      <c r="BEL10" s="27"/>
      <c r="BEM10" s="27"/>
      <c r="BEN10" s="27"/>
      <c r="BEO10" s="27"/>
      <c r="BEP10" s="27"/>
      <c r="BEQ10" s="27"/>
      <c r="BER10" s="27"/>
      <c r="BES10" s="27"/>
      <c r="BET10" s="27"/>
      <c r="BEU10" s="27"/>
      <c r="BEV10" s="27"/>
      <c r="BEW10" s="27"/>
      <c r="BEX10" s="27"/>
      <c r="BEY10" s="27"/>
      <c r="BEZ10" s="27"/>
      <c r="BFA10" s="27"/>
      <c r="BFB10" s="27"/>
      <c r="BFC10" s="27"/>
      <c r="BFD10" s="27"/>
      <c r="BFE10" s="27"/>
      <c r="BFF10" s="27"/>
      <c r="BFG10" s="27"/>
      <c r="BFH10" s="27"/>
      <c r="BFI10" s="27"/>
      <c r="BFJ10" s="27"/>
      <c r="BFK10" s="27"/>
      <c r="BFL10" s="27"/>
      <c r="BFM10" s="27"/>
      <c r="BFN10" s="27"/>
      <c r="BFO10" s="27"/>
      <c r="BFP10" s="27"/>
      <c r="BFQ10" s="27"/>
      <c r="BFR10" s="27"/>
      <c r="BFS10" s="27"/>
      <c r="BFT10" s="27"/>
      <c r="BFU10" s="27"/>
      <c r="BFV10" s="27"/>
      <c r="BFW10" s="27"/>
      <c r="BFX10" s="27"/>
      <c r="BFY10" s="27"/>
      <c r="BFZ10" s="27"/>
      <c r="BGA10" s="27"/>
      <c r="BGB10" s="27"/>
      <c r="BGC10" s="27"/>
      <c r="BGD10" s="27"/>
      <c r="BGE10" s="27"/>
      <c r="BGF10" s="27"/>
      <c r="BGG10" s="27"/>
      <c r="BGH10" s="27"/>
      <c r="BGI10" s="27"/>
      <c r="BGJ10" s="27"/>
      <c r="BGK10" s="27"/>
      <c r="BGL10" s="27"/>
      <c r="BGM10" s="27"/>
      <c r="BGN10" s="27"/>
      <c r="BGO10" s="27"/>
      <c r="BGP10" s="27"/>
      <c r="BGQ10" s="27"/>
      <c r="BGR10" s="27"/>
      <c r="BGS10" s="27"/>
      <c r="BGT10" s="27"/>
      <c r="BGU10" s="27"/>
      <c r="BGV10" s="27"/>
      <c r="BGW10" s="27"/>
      <c r="BGX10" s="27"/>
      <c r="BGY10" s="27"/>
      <c r="BGZ10" s="27"/>
      <c r="BHA10" s="27"/>
      <c r="BHB10" s="27"/>
      <c r="BHC10" s="29"/>
      <c r="BHD10" s="37"/>
    </row>
    <row r="11" spans="1:1564" ht="31.95" customHeight="1" x14ac:dyDescent="0.3">
      <c r="A11" s="22">
        <v>7</v>
      </c>
      <c r="B11" s="40" t="s">
        <v>289</v>
      </c>
      <c r="C11" s="40" t="s">
        <v>252</v>
      </c>
      <c r="D11" s="40" t="s">
        <v>242</v>
      </c>
      <c r="E11" s="37"/>
      <c r="F11" s="30"/>
      <c r="G11" s="23"/>
      <c r="H11" s="23"/>
      <c r="I11" s="30"/>
      <c r="J11" s="23"/>
      <c r="K11" s="23"/>
      <c r="L11" s="30"/>
      <c r="M11" s="23"/>
      <c r="N11" s="23"/>
      <c r="O11" s="30"/>
      <c r="P11" s="23"/>
      <c r="Q11" s="23"/>
      <c r="R11" s="30"/>
      <c r="S11" s="23"/>
      <c r="T11" s="23"/>
      <c r="U11" s="30"/>
      <c r="V11" s="23"/>
      <c r="W11" s="23"/>
      <c r="X11" s="30"/>
      <c r="Y11" s="23"/>
      <c r="Z11" s="23"/>
      <c r="AA11" s="30"/>
      <c r="AB11" s="23"/>
      <c r="AC11" s="23"/>
      <c r="AD11" s="30"/>
      <c r="AE11" s="23"/>
      <c r="AF11" s="23"/>
      <c r="AG11" s="30"/>
      <c r="AH11" s="23"/>
      <c r="AI11" s="23"/>
      <c r="AJ11" s="30"/>
      <c r="AK11" s="23"/>
      <c r="AL11" s="23"/>
      <c r="AM11" s="30"/>
      <c r="AN11" s="23"/>
      <c r="AO11" s="23"/>
      <c r="AP11" s="30"/>
      <c r="AQ11" s="23"/>
      <c r="AR11" s="23"/>
      <c r="AS11" s="30"/>
      <c r="AT11" s="23"/>
      <c r="AU11" s="23"/>
      <c r="AV11" s="30"/>
      <c r="AW11" s="23"/>
      <c r="AX11" s="23"/>
      <c r="AY11" s="30"/>
      <c r="AZ11" s="23"/>
      <c r="BA11" s="23"/>
      <c r="BB11" s="30"/>
      <c r="BC11" s="23"/>
      <c r="BD11" s="23"/>
      <c r="BE11" s="30"/>
      <c r="BF11" s="23"/>
      <c r="BG11" s="23"/>
      <c r="BH11" s="30"/>
      <c r="BI11" s="23"/>
      <c r="BJ11" s="23"/>
      <c r="BK11" s="30"/>
      <c r="BL11" s="23"/>
      <c r="BM11" s="23"/>
      <c r="BN11" s="30"/>
      <c r="BO11" s="23"/>
      <c r="BP11" s="24"/>
      <c r="BQ11" s="30"/>
      <c r="BR11" s="23"/>
      <c r="BS11" s="23"/>
      <c r="BT11" s="30"/>
      <c r="BU11" s="23"/>
      <c r="BV11" s="23"/>
      <c r="BW11" s="30"/>
      <c r="BX11" s="23"/>
      <c r="BY11" s="23"/>
      <c r="BZ11" s="30"/>
      <c r="CA11" s="23"/>
      <c r="CB11" s="23"/>
      <c r="CC11" s="30"/>
      <c r="CD11" s="23"/>
      <c r="CE11" s="23"/>
      <c r="CF11" s="30"/>
      <c r="CG11" s="23"/>
      <c r="CH11" s="23"/>
      <c r="CI11" s="30"/>
      <c r="CJ11" s="23"/>
      <c r="CK11" s="23"/>
      <c r="CL11" s="30"/>
      <c r="CM11" s="23"/>
      <c r="CN11" s="23"/>
      <c r="CO11" s="30"/>
      <c r="CP11" s="23"/>
      <c r="CQ11" s="23"/>
      <c r="CR11" s="30"/>
      <c r="CS11" s="23"/>
      <c r="CT11" s="25"/>
      <c r="CU11" s="37"/>
      <c r="CV11" s="26"/>
      <c r="CW11" s="27"/>
      <c r="CX11" s="27"/>
      <c r="CY11" s="27"/>
      <c r="CZ11" s="27"/>
      <c r="DA11" s="27"/>
      <c r="DB11" s="26"/>
      <c r="DC11" s="27"/>
      <c r="DD11" s="27"/>
      <c r="DE11" s="26"/>
      <c r="DF11" s="27"/>
      <c r="DG11" s="27"/>
      <c r="DH11" s="26"/>
      <c r="DI11" s="27"/>
      <c r="DJ11" s="27"/>
      <c r="DK11" s="26"/>
      <c r="DL11" s="27"/>
      <c r="DM11" s="27"/>
      <c r="DN11" s="26"/>
      <c r="DO11" s="27"/>
      <c r="DP11" s="27"/>
      <c r="DQ11" s="26"/>
      <c r="DR11" s="27"/>
      <c r="DS11" s="27"/>
      <c r="DT11" s="26"/>
      <c r="DU11" s="27"/>
      <c r="DV11" s="27"/>
      <c r="DW11" s="26"/>
      <c r="DX11" s="27"/>
      <c r="DY11" s="27"/>
      <c r="DZ11" s="26"/>
      <c r="EA11" s="27"/>
      <c r="EB11" s="27"/>
      <c r="EC11" s="26"/>
      <c r="ED11" s="27"/>
      <c r="EE11" s="27"/>
      <c r="EF11" s="26"/>
      <c r="EG11" s="27"/>
      <c r="EH11" s="27"/>
      <c r="EI11" s="26"/>
      <c r="EJ11" s="27"/>
      <c r="EK11" s="27"/>
      <c r="EL11" s="26"/>
      <c r="EM11" s="27"/>
      <c r="EN11" s="27"/>
      <c r="EO11" s="26"/>
      <c r="EP11" s="27"/>
      <c r="EQ11" s="27"/>
      <c r="ER11" s="26"/>
      <c r="ES11" s="27"/>
      <c r="ET11" s="27"/>
      <c r="EU11" s="26"/>
      <c r="EV11" s="27"/>
      <c r="EW11" s="27"/>
      <c r="EX11" s="26"/>
      <c r="EY11" s="27"/>
      <c r="EZ11" s="27"/>
      <c r="FA11" s="26"/>
      <c r="FB11" s="27"/>
      <c r="FC11" s="27"/>
      <c r="FD11" s="26"/>
      <c r="FE11" s="27"/>
      <c r="FF11" s="27"/>
      <c r="FG11" s="26"/>
      <c r="FH11" s="27"/>
      <c r="FI11" s="27"/>
      <c r="FJ11" s="26"/>
      <c r="FK11" s="27"/>
      <c r="FL11" s="27"/>
      <c r="FM11" s="26"/>
      <c r="FN11" s="27"/>
      <c r="FO11" s="27"/>
      <c r="FP11" s="26"/>
      <c r="FQ11" s="27"/>
      <c r="FR11" s="27"/>
      <c r="FS11" s="26"/>
      <c r="FT11" s="27"/>
      <c r="FU11" s="27"/>
      <c r="FV11" s="26"/>
      <c r="FW11" s="27"/>
      <c r="FX11" s="27"/>
      <c r="FY11" s="26"/>
      <c r="FZ11" s="27"/>
      <c r="GA11" s="27"/>
      <c r="GB11" s="26"/>
      <c r="GC11" s="27"/>
      <c r="GD11" s="27"/>
      <c r="GE11" s="26"/>
      <c r="GF11" s="27"/>
      <c r="GG11" s="27"/>
      <c r="GH11" s="26"/>
      <c r="GI11" s="27"/>
      <c r="GJ11" s="29"/>
      <c r="GK11" s="37"/>
      <c r="GL11" s="26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37"/>
      <c r="JS11" s="26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9"/>
      <c r="NH11" s="37"/>
      <c r="NI11" s="26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37"/>
      <c r="QV11" s="26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>
        <v>8</v>
      </c>
      <c r="SD11" s="27">
        <v>228</v>
      </c>
      <c r="SE11" s="27" t="s">
        <v>276</v>
      </c>
      <c r="SF11" s="27">
        <v>8</v>
      </c>
      <c r="SG11" s="27">
        <v>228</v>
      </c>
      <c r="SH11" s="27" t="s">
        <v>276</v>
      </c>
      <c r="SI11" s="27"/>
      <c r="SJ11" s="27"/>
      <c r="SK11" s="27"/>
      <c r="SL11" s="27">
        <v>8</v>
      </c>
      <c r="SM11" s="27">
        <v>45</v>
      </c>
      <c r="SN11" s="27" t="s">
        <v>244</v>
      </c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>
        <v>8</v>
      </c>
      <c r="TQ11" s="27">
        <v>45</v>
      </c>
      <c r="TR11" s="27" t="s">
        <v>246</v>
      </c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9"/>
      <c r="UK11" s="37"/>
      <c r="UL11" s="26"/>
      <c r="UM11" s="27"/>
      <c r="UN11" s="27"/>
      <c r="UO11" s="27">
        <v>8</v>
      </c>
      <c r="UP11" s="27">
        <v>45</v>
      </c>
      <c r="UQ11" s="27" t="s">
        <v>244</v>
      </c>
      <c r="UR11" s="27">
        <v>8</v>
      </c>
      <c r="US11" s="27">
        <v>45</v>
      </c>
      <c r="UT11" s="27" t="s">
        <v>246</v>
      </c>
      <c r="UU11" s="27">
        <v>8</v>
      </c>
      <c r="UV11" s="27">
        <v>42</v>
      </c>
      <c r="UW11" s="27" t="s">
        <v>246</v>
      </c>
      <c r="UX11" s="27">
        <v>8</v>
      </c>
      <c r="UY11" s="27">
        <v>42</v>
      </c>
      <c r="UZ11" s="27" t="s">
        <v>246</v>
      </c>
      <c r="VA11" s="27"/>
      <c r="VB11" s="27"/>
      <c r="VC11" s="27"/>
      <c r="VD11" s="27"/>
      <c r="VE11" s="27"/>
      <c r="VF11" s="27"/>
      <c r="VG11" s="27">
        <v>8</v>
      </c>
      <c r="VH11" s="27">
        <v>42</v>
      </c>
      <c r="VI11" s="27" t="s">
        <v>246</v>
      </c>
      <c r="VJ11" s="27"/>
      <c r="VK11" s="27"/>
      <c r="VL11" s="27"/>
      <c r="VM11" s="27">
        <v>8</v>
      </c>
      <c r="VN11" s="27">
        <v>42</v>
      </c>
      <c r="VO11" s="27" t="s">
        <v>244</v>
      </c>
      <c r="VP11" s="27">
        <v>8</v>
      </c>
      <c r="VQ11" s="27">
        <v>42</v>
      </c>
      <c r="VR11" s="27" t="s">
        <v>244</v>
      </c>
      <c r="VS11" s="27"/>
      <c r="VT11" s="27"/>
      <c r="VU11" s="27"/>
      <c r="VV11" s="27"/>
      <c r="VW11" s="27"/>
      <c r="VX11" s="27"/>
      <c r="VY11" s="27"/>
      <c r="VZ11" s="27"/>
      <c r="WA11" s="27"/>
      <c r="WB11" s="27">
        <v>8</v>
      </c>
      <c r="WC11" s="27">
        <v>42</v>
      </c>
      <c r="WD11" s="27" t="s">
        <v>246</v>
      </c>
      <c r="WE11" s="27">
        <v>8</v>
      </c>
      <c r="WF11" s="27">
        <v>42</v>
      </c>
      <c r="WG11" s="27" t="s">
        <v>246</v>
      </c>
      <c r="WH11" s="27"/>
      <c r="WI11" s="27"/>
      <c r="WJ11" s="27"/>
      <c r="WK11" s="27">
        <v>8</v>
      </c>
      <c r="WL11" s="27">
        <v>45</v>
      </c>
      <c r="WM11" s="27" t="s">
        <v>246</v>
      </c>
      <c r="WN11" s="27">
        <v>8</v>
      </c>
      <c r="WO11" s="27">
        <v>45</v>
      </c>
      <c r="WP11" s="27" t="s">
        <v>246</v>
      </c>
      <c r="WQ11" s="27"/>
      <c r="WR11" s="27"/>
      <c r="WS11" s="27"/>
      <c r="WT11" s="27">
        <v>8</v>
      </c>
      <c r="WU11" s="27">
        <v>42</v>
      </c>
      <c r="WV11" s="27" t="s">
        <v>246</v>
      </c>
      <c r="WW11" s="27">
        <v>8</v>
      </c>
      <c r="WX11" s="27">
        <v>42</v>
      </c>
      <c r="WY11" s="27" t="s">
        <v>246</v>
      </c>
      <c r="WZ11" s="27">
        <v>8</v>
      </c>
      <c r="XA11" s="27">
        <v>42</v>
      </c>
      <c r="XB11" s="27" t="s">
        <v>246</v>
      </c>
      <c r="XC11" s="27">
        <v>8</v>
      </c>
      <c r="XD11" s="27">
        <v>42</v>
      </c>
      <c r="XE11" s="27" t="s">
        <v>246</v>
      </c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>
        <v>8</v>
      </c>
      <c r="XV11" s="27">
        <v>42</v>
      </c>
      <c r="XW11" s="27" t="s">
        <v>246</v>
      </c>
      <c r="XX11" s="37"/>
      <c r="XY11" s="26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>
        <v>8</v>
      </c>
      <c r="AAZ11" s="27">
        <v>42</v>
      </c>
      <c r="ABA11" s="27" t="s">
        <v>246</v>
      </c>
      <c r="ABB11" s="27">
        <v>8</v>
      </c>
      <c r="ABC11" s="27">
        <v>42</v>
      </c>
      <c r="ABD11" s="27" t="s">
        <v>246</v>
      </c>
      <c r="ABE11" s="27"/>
      <c r="ABF11" s="27"/>
      <c r="ABG11" s="27"/>
      <c r="ABH11" s="27"/>
      <c r="ABI11" s="27"/>
      <c r="ABJ11" s="27"/>
      <c r="ABK11" s="27"/>
      <c r="ABL11" s="27"/>
      <c r="ABM11" s="29"/>
      <c r="ABN11" s="37"/>
      <c r="ABO11" s="26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9"/>
      <c r="AFD11" s="37"/>
      <c r="AFE11" s="26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37"/>
      <c r="AIR11" s="26"/>
      <c r="AIS11" s="27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27"/>
      <c r="ALJ11" s="27"/>
      <c r="ALK11" s="27"/>
      <c r="ALL11" s="27"/>
      <c r="ALM11" s="27"/>
      <c r="ALN11" s="27"/>
      <c r="ALO11" s="27"/>
      <c r="ALP11" s="27"/>
      <c r="ALQ11" s="27"/>
      <c r="ALR11" s="27"/>
      <c r="ALS11" s="27"/>
      <c r="ALT11" s="27"/>
      <c r="ALU11" s="27"/>
      <c r="ALV11" s="27"/>
      <c r="ALW11" s="27"/>
      <c r="ALX11" s="27"/>
      <c r="ALY11" s="27"/>
      <c r="ALZ11" s="27"/>
      <c r="AMA11" s="27"/>
      <c r="AMB11" s="27"/>
      <c r="AMC11" s="27"/>
      <c r="AMD11" s="27"/>
      <c r="AME11" s="27"/>
      <c r="AMF11" s="29"/>
      <c r="AMG11" s="37"/>
      <c r="AMH11" s="26"/>
      <c r="AMI11" s="27"/>
      <c r="AMJ11" s="27"/>
      <c r="AMK11" s="27"/>
      <c r="AML11" s="27"/>
      <c r="AMM11" s="27"/>
      <c r="AMN11" s="27"/>
      <c r="AMO11" s="27"/>
      <c r="AMP11" s="27"/>
      <c r="AMQ11" s="27"/>
      <c r="AMR11" s="27"/>
      <c r="AMS11" s="27"/>
      <c r="AMT11" s="27"/>
      <c r="AMU11" s="27"/>
      <c r="AMV11" s="27"/>
      <c r="AMW11" s="27"/>
      <c r="AMX11" s="27"/>
      <c r="AMY11" s="27"/>
      <c r="AMZ11" s="27"/>
      <c r="ANA11" s="27"/>
      <c r="ANB11" s="27"/>
      <c r="ANC11" s="27"/>
      <c r="AND11" s="27"/>
      <c r="ANE11" s="27"/>
      <c r="ANF11" s="27"/>
      <c r="ANG11" s="27"/>
      <c r="ANH11" s="27"/>
      <c r="ANI11" s="27"/>
      <c r="ANJ11" s="27"/>
      <c r="ANK11" s="27"/>
      <c r="ANL11" s="27"/>
      <c r="ANM11" s="27"/>
      <c r="ANN11" s="27"/>
      <c r="ANO11" s="27"/>
      <c r="ANP11" s="27"/>
      <c r="ANQ11" s="27"/>
      <c r="ANR11" s="27"/>
      <c r="ANS11" s="27"/>
      <c r="ANT11" s="27"/>
      <c r="ANU11" s="27"/>
      <c r="ANV11" s="27"/>
      <c r="ANW11" s="27"/>
      <c r="ANX11" s="27"/>
      <c r="ANY11" s="27"/>
      <c r="ANZ11" s="27"/>
      <c r="AOA11" s="27"/>
      <c r="AOB11" s="27"/>
      <c r="AOC11" s="27"/>
      <c r="AOD11" s="27"/>
      <c r="AOE11" s="27"/>
      <c r="AOF11" s="27"/>
      <c r="AOG11" s="27"/>
      <c r="AOH11" s="27"/>
      <c r="AOI11" s="27"/>
      <c r="AOJ11" s="27"/>
      <c r="AOK11" s="27"/>
      <c r="AOL11" s="27"/>
      <c r="AOM11" s="27"/>
      <c r="AON11" s="27"/>
      <c r="AOO11" s="27"/>
      <c r="AOP11" s="27"/>
      <c r="AOQ11" s="27"/>
      <c r="AOR11" s="27"/>
      <c r="AOS11" s="27"/>
      <c r="AOT11" s="27"/>
      <c r="AOU11" s="27"/>
      <c r="AOV11" s="27"/>
      <c r="AOW11" s="27"/>
      <c r="AOX11" s="27"/>
      <c r="AOY11" s="27"/>
      <c r="AOZ11" s="27"/>
      <c r="APA11" s="27"/>
      <c r="APB11" s="27"/>
      <c r="APC11" s="27"/>
      <c r="APD11" s="27"/>
      <c r="APE11" s="27"/>
      <c r="APF11" s="27"/>
      <c r="APG11" s="27"/>
      <c r="APH11" s="27"/>
      <c r="API11" s="27"/>
      <c r="APJ11" s="27"/>
      <c r="APK11" s="27"/>
      <c r="APL11" s="27"/>
      <c r="APM11" s="27"/>
      <c r="APN11" s="27"/>
      <c r="APO11" s="27"/>
      <c r="APP11" s="27"/>
      <c r="APQ11" s="27"/>
      <c r="APR11" s="27"/>
      <c r="APS11" s="29"/>
      <c r="APT11" s="37"/>
      <c r="APU11" s="26"/>
      <c r="APV11" s="27"/>
      <c r="APW11" s="27"/>
      <c r="APX11" s="27"/>
      <c r="APY11" s="27"/>
      <c r="APZ11" s="27"/>
      <c r="AQA11" s="27"/>
      <c r="AQB11" s="27"/>
      <c r="AQC11" s="27"/>
      <c r="AQD11" s="27"/>
      <c r="AQE11" s="27"/>
      <c r="AQF11" s="27"/>
      <c r="AQG11" s="27"/>
      <c r="AQH11" s="27"/>
      <c r="AQI11" s="27"/>
      <c r="AQJ11" s="27"/>
      <c r="AQK11" s="27"/>
      <c r="AQL11" s="27"/>
      <c r="AQM11" s="27"/>
      <c r="AQN11" s="27"/>
      <c r="AQO11" s="27"/>
      <c r="AQP11" s="27"/>
      <c r="AQQ11" s="27"/>
      <c r="AQR11" s="27"/>
      <c r="AQS11" s="27"/>
      <c r="AQT11" s="27"/>
      <c r="AQU11" s="27"/>
      <c r="AQV11" s="27"/>
      <c r="AQW11" s="27"/>
      <c r="AQX11" s="27"/>
      <c r="AQY11" s="27"/>
      <c r="AQZ11" s="27"/>
      <c r="ARA11" s="27"/>
      <c r="ARB11" s="27"/>
      <c r="ARC11" s="27"/>
      <c r="ARD11" s="27"/>
      <c r="ARE11" s="27"/>
      <c r="ARF11" s="27"/>
      <c r="ARG11" s="27"/>
      <c r="ARH11" s="27"/>
      <c r="ARI11" s="27"/>
      <c r="ARJ11" s="27"/>
      <c r="ARK11" s="27"/>
      <c r="ARL11" s="27"/>
      <c r="ARM11" s="27"/>
      <c r="ARN11" s="27"/>
      <c r="ARO11" s="27"/>
      <c r="ARP11" s="27"/>
      <c r="ARQ11" s="27"/>
      <c r="ARR11" s="27"/>
      <c r="ARS11" s="27"/>
      <c r="ART11" s="27"/>
      <c r="ARU11" s="27"/>
      <c r="ARV11" s="27"/>
      <c r="ARW11" s="27"/>
      <c r="ARX11" s="27"/>
      <c r="ARY11" s="27"/>
      <c r="ARZ11" s="27"/>
      <c r="ASA11" s="27"/>
      <c r="ASB11" s="27"/>
      <c r="ASC11" s="27"/>
      <c r="ASD11" s="27"/>
      <c r="ASE11" s="27"/>
      <c r="ASF11" s="27"/>
      <c r="ASG11" s="27"/>
      <c r="ASH11" s="27"/>
      <c r="ASI11" s="27"/>
      <c r="ASJ11" s="27"/>
      <c r="ASK11" s="27"/>
      <c r="ASL11" s="27"/>
      <c r="ASM11" s="27"/>
      <c r="ASN11" s="27"/>
      <c r="ASO11" s="27"/>
      <c r="ASP11" s="27"/>
      <c r="ASQ11" s="27"/>
      <c r="ASR11" s="27"/>
      <c r="ASS11" s="27"/>
      <c r="AST11" s="27"/>
      <c r="ASU11" s="27"/>
      <c r="ASV11" s="27"/>
      <c r="ASW11" s="27"/>
      <c r="ASX11" s="27"/>
      <c r="ASY11" s="27"/>
      <c r="ASZ11" s="27"/>
      <c r="ATA11" s="27"/>
      <c r="ATB11" s="27"/>
      <c r="ATC11" s="27"/>
      <c r="ATD11" s="27"/>
      <c r="ATE11" s="27"/>
      <c r="ATF11" s="29"/>
      <c r="ATG11" s="37"/>
      <c r="ATH11" s="26"/>
      <c r="ATI11" s="27"/>
      <c r="ATJ11" s="27"/>
      <c r="ATK11" s="27"/>
      <c r="ATL11" s="27"/>
      <c r="ATM11" s="27"/>
      <c r="ATN11" s="27"/>
      <c r="ATO11" s="27"/>
      <c r="ATP11" s="27"/>
      <c r="ATQ11" s="27"/>
      <c r="ATR11" s="27"/>
      <c r="ATS11" s="27"/>
      <c r="ATT11" s="27"/>
      <c r="ATU11" s="27"/>
      <c r="ATV11" s="27"/>
      <c r="ATW11" s="27"/>
      <c r="ATX11" s="27"/>
      <c r="ATY11" s="27"/>
      <c r="ATZ11" s="27"/>
      <c r="AUA11" s="27"/>
      <c r="AUB11" s="27"/>
      <c r="AUC11" s="27"/>
      <c r="AUD11" s="27"/>
      <c r="AUE11" s="27"/>
      <c r="AUF11" s="27"/>
      <c r="AUG11" s="27"/>
      <c r="AUH11" s="27"/>
      <c r="AUI11" s="27"/>
      <c r="AUJ11" s="27"/>
      <c r="AUK11" s="27"/>
      <c r="AUL11" s="27"/>
      <c r="AUM11" s="27"/>
      <c r="AUN11" s="27"/>
      <c r="AUO11" s="27"/>
      <c r="AUP11" s="27"/>
      <c r="AUQ11" s="27"/>
      <c r="AUR11" s="27"/>
      <c r="AUS11" s="27"/>
      <c r="AUT11" s="27"/>
      <c r="AUU11" s="27"/>
      <c r="AUV11" s="27"/>
      <c r="AUW11" s="27"/>
      <c r="AUX11" s="27"/>
      <c r="AUY11" s="27"/>
      <c r="AUZ11" s="27"/>
      <c r="AVA11" s="27"/>
      <c r="AVB11" s="27"/>
      <c r="AVC11" s="27"/>
      <c r="AVD11" s="27"/>
      <c r="AVE11" s="27"/>
      <c r="AVF11" s="27"/>
      <c r="AVG11" s="27"/>
      <c r="AVH11" s="27"/>
      <c r="AVI11" s="27"/>
      <c r="AVJ11" s="27"/>
      <c r="AVK11" s="27"/>
      <c r="AVL11" s="27"/>
      <c r="AVM11" s="27"/>
      <c r="AVN11" s="27"/>
      <c r="AVO11" s="27"/>
      <c r="AVP11" s="27"/>
      <c r="AVQ11" s="27"/>
      <c r="AVR11" s="27"/>
      <c r="AVS11" s="27"/>
      <c r="AVT11" s="27"/>
      <c r="AVU11" s="27"/>
      <c r="AVV11" s="27"/>
      <c r="AVW11" s="27"/>
      <c r="AVX11" s="27"/>
      <c r="AVY11" s="27"/>
      <c r="AVZ11" s="27"/>
      <c r="AWA11" s="27"/>
      <c r="AWB11" s="27"/>
      <c r="AWC11" s="27"/>
      <c r="AWD11" s="27"/>
      <c r="AWE11" s="27"/>
      <c r="AWF11" s="27"/>
      <c r="AWG11" s="27"/>
      <c r="AWH11" s="27"/>
      <c r="AWI11" s="27"/>
      <c r="AWJ11" s="27"/>
      <c r="AWK11" s="27"/>
      <c r="AWL11" s="27"/>
      <c r="AWM11" s="27"/>
      <c r="AWN11" s="27"/>
      <c r="AWO11" s="27"/>
      <c r="AWP11" s="27"/>
      <c r="AWQ11" s="27"/>
      <c r="AWR11" s="27"/>
      <c r="AWS11" s="29"/>
      <c r="AWT11" s="37"/>
      <c r="AWU11" s="26"/>
      <c r="AWV11" s="27"/>
      <c r="AWW11" s="27"/>
      <c r="AWX11" s="27"/>
      <c r="AWY11" s="27"/>
      <c r="AWZ11" s="27"/>
      <c r="AXA11" s="27"/>
      <c r="AXB11" s="27"/>
      <c r="AXC11" s="27"/>
      <c r="AXD11" s="27"/>
      <c r="AXE11" s="27"/>
      <c r="AXF11" s="27"/>
      <c r="AXG11" s="27"/>
      <c r="AXH11" s="27"/>
      <c r="AXI11" s="27"/>
      <c r="AXJ11" s="27"/>
      <c r="AXK11" s="27"/>
      <c r="AXL11" s="27"/>
      <c r="AXM11" s="27"/>
      <c r="AXN11" s="27"/>
      <c r="AXO11" s="27"/>
      <c r="AXP11" s="27"/>
      <c r="AXQ11" s="27"/>
      <c r="AXR11" s="27"/>
      <c r="AXS11" s="27"/>
      <c r="AXT11" s="27"/>
      <c r="AXU11" s="27"/>
      <c r="AXV11" s="27"/>
      <c r="AXW11" s="27"/>
      <c r="AXX11" s="27"/>
      <c r="AXY11" s="27"/>
      <c r="AXZ11" s="27"/>
      <c r="AYA11" s="27"/>
      <c r="AYB11" s="27"/>
      <c r="AYC11" s="27"/>
      <c r="AYD11" s="27"/>
      <c r="AYE11" s="27"/>
      <c r="AYF11" s="27"/>
      <c r="AYG11" s="27"/>
      <c r="AYH11" s="27"/>
      <c r="AYI11" s="27"/>
      <c r="AYJ11" s="27"/>
      <c r="AYK11" s="27"/>
      <c r="AYL11" s="27"/>
      <c r="AYM11" s="27"/>
      <c r="AYN11" s="27"/>
      <c r="AYO11" s="27"/>
      <c r="AYP11" s="27"/>
      <c r="AYQ11" s="27"/>
      <c r="AYR11" s="27"/>
      <c r="AYS11" s="27"/>
      <c r="AYT11" s="27"/>
      <c r="AYU11" s="27"/>
      <c r="AYV11" s="27"/>
      <c r="AYW11" s="27"/>
      <c r="AYX11" s="27"/>
      <c r="AYY11" s="27"/>
      <c r="AYZ11" s="27"/>
      <c r="AZA11" s="27"/>
      <c r="AZB11" s="27"/>
      <c r="AZC11" s="27"/>
      <c r="AZD11" s="27"/>
      <c r="AZE11" s="27"/>
      <c r="AZF11" s="27"/>
      <c r="AZG11" s="27"/>
      <c r="AZH11" s="27"/>
      <c r="AZI11" s="27"/>
      <c r="AZJ11" s="27"/>
      <c r="AZK11" s="27"/>
      <c r="AZL11" s="27"/>
      <c r="AZM11" s="27"/>
      <c r="AZN11" s="27"/>
      <c r="AZO11" s="27"/>
      <c r="AZP11" s="27"/>
      <c r="AZQ11" s="27"/>
      <c r="AZR11" s="27"/>
      <c r="AZS11" s="27"/>
      <c r="AZT11" s="27"/>
      <c r="AZU11" s="27"/>
      <c r="AZV11" s="27"/>
      <c r="AZW11" s="27"/>
      <c r="AZX11" s="27"/>
      <c r="AZY11" s="27"/>
      <c r="AZZ11" s="27"/>
      <c r="BAA11" s="37"/>
      <c r="BAB11" s="26"/>
      <c r="BAC11" s="27"/>
      <c r="BAD11" s="27"/>
      <c r="BAE11" s="27"/>
      <c r="BAF11" s="27"/>
      <c r="BAG11" s="27"/>
      <c r="BAH11" s="27"/>
      <c r="BAI11" s="27"/>
      <c r="BAJ11" s="27"/>
      <c r="BAK11" s="27"/>
      <c r="BAL11" s="27"/>
      <c r="BAM11" s="27"/>
      <c r="BAN11" s="27"/>
      <c r="BAO11" s="27"/>
      <c r="BAP11" s="27"/>
      <c r="BAQ11" s="27"/>
      <c r="BAR11" s="27"/>
      <c r="BAS11" s="27"/>
      <c r="BAT11" s="27"/>
      <c r="BAU11" s="27"/>
      <c r="BAV11" s="27"/>
      <c r="BAW11" s="27"/>
      <c r="BAX11" s="27"/>
      <c r="BAY11" s="27"/>
      <c r="BAZ11" s="27"/>
      <c r="BBA11" s="27"/>
      <c r="BBB11" s="27"/>
      <c r="BBC11" s="27"/>
      <c r="BBD11" s="27"/>
      <c r="BBE11" s="27"/>
      <c r="BBF11" s="27"/>
      <c r="BBG11" s="27"/>
      <c r="BBH11" s="27"/>
      <c r="BBI11" s="27"/>
      <c r="BBJ11" s="27"/>
      <c r="BBK11" s="27"/>
      <c r="BBL11" s="27"/>
      <c r="BBM11" s="27"/>
      <c r="BBN11" s="27"/>
      <c r="BBO11" s="27"/>
      <c r="BBP11" s="27"/>
      <c r="BBQ11" s="27"/>
      <c r="BBR11" s="27"/>
      <c r="BBS11" s="27"/>
      <c r="BBT11" s="27"/>
      <c r="BBU11" s="27"/>
      <c r="BBV11" s="27"/>
      <c r="BBW11" s="27"/>
      <c r="BBX11" s="27"/>
      <c r="BBY11" s="27"/>
      <c r="BBZ11" s="27"/>
      <c r="BCA11" s="27"/>
      <c r="BCB11" s="27"/>
      <c r="BCC11" s="27"/>
      <c r="BCD11" s="27"/>
      <c r="BCE11" s="27"/>
      <c r="BCF11" s="27"/>
      <c r="BCG11" s="27"/>
      <c r="BCH11" s="27"/>
      <c r="BCI11" s="27"/>
      <c r="BCJ11" s="27"/>
      <c r="BCK11" s="27"/>
      <c r="BCL11" s="27"/>
      <c r="BCM11" s="27"/>
      <c r="BCN11" s="27"/>
      <c r="BCO11" s="27"/>
      <c r="BCP11" s="27"/>
      <c r="BCQ11" s="27"/>
      <c r="BCR11" s="27"/>
      <c r="BCS11" s="27"/>
      <c r="BCT11" s="27"/>
      <c r="BCU11" s="27"/>
      <c r="BCV11" s="27"/>
      <c r="BCW11" s="27"/>
      <c r="BCX11" s="27"/>
      <c r="BCY11" s="27"/>
      <c r="BCZ11" s="27"/>
      <c r="BDA11" s="27"/>
      <c r="BDB11" s="27"/>
      <c r="BDC11" s="27"/>
      <c r="BDD11" s="27"/>
      <c r="BDE11" s="27"/>
      <c r="BDF11" s="27"/>
      <c r="BDG11" s="27"/>
      <c r="BDH11" s="27"/>
      <c r="BDI11" s="27"/>
      <c r="BDJ11" s="27"/>
      <c r="BDK11" s="27"/>
      <c r="BDL11" s="27"/>
      <c r="BDM11" s="29"/>
      <c r="BDN11" s="29"/>
      <c r="BDO11" s="29"/>
      <c r="BDP11" s="29"/>
      <c r="BDQ11" s="37"/>
      <c r="BDR11" s="26"/>
      <c r="BDS11" s="27"/>
      <c r="BDT11" s="27"/>
      <c r="BDU11" s="27"/>
      <c r="BDV11" s="27"/>
      <c r="BDW11" s="27"/>
      <c r="BDX11" s="27"/>
      <c r="BDY11" s="27"/>
      <c r="BDZ11" s="27"/>
      <c r="BEA11" s="27"/>
      <c r="BEB11" s="27"/>
      <c r="BEC11" s="27"/>
      <c r="BED11" s="27"/>
      <c r="BEE11" s="27"/>
      <c r="BEF11" s="27"/>
      <c r="BEG11" s="27"/>
      <c r="BEH11" s="27"/>
      <c r="BEI11" s="27"/>
      <c r="BEJ11" s="27"/>
      <c r="BEK11" s="27"/>
      <c r="BEL11" s="27"/>
      <c r="BEM11" s="27"/>
      <c r="BEN11" s="27"/>
      <c r="BEO11" s="27"/>
      <c r="BEP11" s="27"/>
      <c r="BEQ11" s="27"/>
      <c r="BER11" s="27"/>
      <c r="BES11" s="27"/>
      <c r="BET11" s="27"/>
      <c r="BEU11" s="27"/>
      <c r="BEV11" s="27"/>
      <c r="BEW11" s="27"/>
      <c r="BEX11" s="27"/>
      <c r="BEY11" s="27"/>
      <c r="BEZ11" s="27"/>
      <c r="BFA11" s="27"/>
      <c r="BFB11" s="27"/>
      <c r="BFC11" s="27"/>
      <c r="BFD11" s="27"/>
      <c r="BFE11" s="27"/>
      <c r="BFF11" s="27"/>
      <c r="BFG11" s="27"/>
      <c r="BFH11" s="27"/>
      <c r="BFI11" s="27"/>
      <c r="BFJ11" s="27"/>
      <c r="BFK11" s="27"/>
      <c r="BFL11" s="27"/>
      <c r="BFM11" s="27"/>
      <c r="BFN11" s="27"/>
      <c r="BFO11" s="27"/>
      <c r="BFP11" s="27"/>
      <c r="BFQ11" s="27"/>
      <c r="BFR11" s="27"/>
      <c r="BFS11" s="27"/>
      <c r="BFT11" s="27"/>
      <c r="BFU11" s="27"/>
      <c r="BFV11" s="27"/>
      <c r="BFW11" s="27"/>
      <c r="BFX11" s="27"/>
      <c r="BFY11" s="27"/>
      <c r="BFZ11" s="27"/>
      <c r="BGA11" s="27"/>
      <c r="BGB11" s="27"/>
      <c r="BGC11" s="27"/>
      <c r="BGD11" s="27"/>
      <c r="BGE11" s="27"/>
      <c r="BGF11" s="27"/>
      <c r="BGG11" s="27"/>
      <c r="BGH11" s="27"/>
      <c r="BGI11" s="27"/>
      <c r="BGJ11" s="27"/>
      <c r="BGK11" s="27"/>
      <c r="BGL11" s="27"/>
      <c r="BGM11" s="27"/>
      <c r="BGN11" s="27"/>
      <c r="BGO11" s="27"/>
      <c r="BGP11" s="27"/>
      <c r="BGQ11" s="27"/>
      <c r="BGR11" s="27"/>
      <c r="BGS11" s="27"/>
      <c r="BGT11" s="27"/>
      <c r="BGU11" s="27"/>
      <c r="BGV11" s="27"/>
      <c r="BGW11" s="27"/>
      <c r="BGX11" s="27"/>
      <c r="BGY11" s="27"/>
      <c r="BGZ11" s="27"/>
      <c r="BHA11" s="27"/>
      <c r="BHB11" s="27"/>
      <c r="BHC11" s="29"/>
      <c r="BHD11" s="37"/>
    </row>
    <row r="12" spans="1:1564" ht="31.95" customHeight="1" x14ac:dyDescent="0.3">
      <c r="A12" s="22">
        <v>8</v>
      </c>
      <c r="B12" s="40" t="s">
        <v>290</v>
      </c>
      <c r="C12" s="40" t="s">
        <v>253</v>
      </c>
      <c r="D12" s="40" t="s">
        <v>242</v>
      </c>
      <c r="E12" s="37"/>
      <c r="F12" s="30"/>
      <c r="G12" s="23"/>
      <c r="H12" s="23"/>
      <c r="I12" s="30"/>
      <c r="J12" s="23"/>
      <c r="K12" s="23"/>
      <c r="L12" s="30"/>
      <c r="M12" s="23"/>
      <c r="N12" s="23"/>
      <c r="O12" s="30"/>
      <c r="P12" s="23"/>
      <c r="Q12" s="23"/>
      <c r="R12" s="30"/>
      <c r="S12" s="23"/>
      <c r="T12" s="23"/>
      <c r="U12" s="30"/>
      <c r="V12" s="23"/>
      <c r="W12" s="23"/>
      <c r="X12" s="30"/>
      <c r="Y12" s="23"/>
      <c r="Z12" s="23"/>
      <c r="AA12" s="30"/>
      <c r="AB12" s="23"/>
      <c r="AC12" s="23"/>
      <c r="AD12" s="30"/>
      <c r="AE12" s="23"/>
      <c r="AF12" s="23"/>
      <c r="AG12" s="30"/>
      <c r="AH12" s="23"/>
      <c r="AI12" s="23"/>
      <c r="AJ12" s="30"/>
      <c r="AK12" s="23"/>
      <c r="AL12" s="23"/>
      <c r="AM12" s="30"/>
      <c r="AN12" s="23"/>
      <c r="AO12" s="23"/>
      <c r="AP12" s="30"/>
      <c r="AQ12" s="23"/>
      <c r="AR12" s="23"/>
      <c r="AS12" s="30"/>
      <c r="AT12" s="23"/>
      <c r="AU12" s="23"/>
      <c r="AV12" s="30"/>
      <c r="AW12" s="23"/>
      <c r="AX12" s="23"/>
      <c r="AY12" s="30"/>
      <c r="AZ12" s="23"/>
      <c r="BA12" s="23"/>
      <c r="BB12" s="30"/>
      <c r="BC12" s="23"/>
      <c r="BD12" s="23"/>
      <c r="BE12" s="30"/>
      <c r="BF12" s="23"/>
      <c r="BG12" s="23"/>
      <c r="BH12" s="30"/>
      <c r="BI12" s="23"/>
      <c r="BJ12" s="23"/>
      <c r="BK12" s="30"/>
      <c r="BL12" s="23"/>
      <c r="BM12" s="23"/>
      <c r="BN12" s="30"/>
      <c r="BO12" s="23"/>
      <c r="BP12" s="24"/>
      <c r="BQ12" s="30"/>
      <c r="BR12" s="23"/>
      <c r="BS12" s="23"/>
      <c r="BT12" s="30"/>
      <c r="BU12" s="23"/>
      <c r="BV12" s="23"/>
      <c r="BW12" s="30"/>
      <c r="BX12" s="23"/>
      <c r="BY12" s="23"/>
      <c r="BZ12" s="30"/>
      <c r="CA12" s="23"/>
      <c r="CB12" s="23"/>
      <c r="CC12" s="30"/>
      <c r="CD12" s="23"/>
      <c r="CE12" s="23"/>
      <c r="CF12" s="30"/>
      <c r="CG12" s="23"/>
      <c r="CH12" s="23"/>
      <c r="CI12" s="30"/>
      <c r="CJ12" s="23"/>
      <c r="CK12" s="23"/>
      <c r="CL12" s="30"/>
      <c r="CM12" s="23"/>
      <c r="CN12" s="23"/>
      <c r="CO12" s="30"/>
      <c r="CP12" s="23"/>
      <c r="CQ12" s="23"/>
      <c r="CR12" s="30"/>
      <c r="CS12" s="23"/>
      <c r="CT12" s="25"/>
      <c r="CU12" s="37"/>
      <c r="CV12" s="26"/>
      <c r="CW12" s="27"/>
      <c r="CX12" s="27"/>
      <c r="CY12" s="27"/>
      <c r="CZ12" s="27"/>
      <c r="DA12" s="27"/>
      <c r="DB12" s="26"/>
      <c r="DC12" s="27"/>
      <c r="DD12" s="27"/>
      <c r="DE12" s="26"/>
      <c r="DF12" s="27"/>
      <c r="DG12" s="27"/>
      <c r="DH12" s="26"/>
      <c r="DI12" s="27"/>
      <c r="DJ12" s="27"/>
      <c r="DK12" s="26"/>
      <c r="DL12" s="27"/>
      <c r="DM12" s="27"/>
      <c r="DN12" s="26"/>
      <c r="DO12" s="27"/>
      <c r="DP12" s="27"/>
      <c r="DQ12" s="26"/>
      <c r="DR12" s="27"/>
      <c r="DS12" s="27"/>
      <c r="DT12" s="26"/>
      <c r="DU12" s="27"/>
      <c r="DV12" s="27"/>
      <c r="DW12" s="26"/>
      <c r="DX12" s="27"/>
      <c r="DY12" s="27"/>
      <c r="DZ12" s="26"/>
      <c r="EA12" s="27"/>
      <c r="EB12" s="27"/>
      <c r="EC12" s="26"/>
      <c r="ED12" s="27"/>
      <c r="EE12" s="27"/>
      <c r="EF12" s="26"/>
      <c r="EG12" s="27"/>
      <c r="EH12" s="27"/>
      <c r="EI12" s="26"/>
      <c r="EJ12" s="27"/>
      <c r="EK12" s="27"/>
      <c r="EL12" s="26"/>
      <c r="EM12" s="27"/>
      <c r="EN12" s="27"/>
      <c r="EO12" s="26"/>
      <c r="EP12" s="27"/>
      <c r="EQ12" s="27"/>
      <c r="ER12" s="26"/>
      <c r="ES12" s="27"/>
      <c r="ET12" s="27"/>
      <c r="EU12" s="26"/>
      <c r="EV12" s="27"/>
      <c r="EW12" s="27"/>
      <c r="EX12" s="26"/>
      <c r="EY12" s="27"/>
      <c r="EZ12" s="27"/>
      <c r="FA12" s="26"/>
      <c r="FB12" s="27"/>
      <c r="FC12" s="27"/>
      <c r="FD12" s="26"/>
      <c r="FE12" s="27"/>
      <c r="FF12" s="27"/>
      <c r="FG12" s="26"/>
      <c r="FH12" s="27"/>
      <c r="FI12" s="27"/>
      <c r="FJ12" s="26"/>
      <c r="FK12" s="27"/>
      <c r="FL12" s="27"/>
      <c r="FM12" s="26"/>
      <c r="FN12" s="27"/>
      <c r="FO12" s="27"/>
      <c r="FP12" s="26"/>
      <c r="FQ12" s="27"/>
      <c r="FR12" s="27"/>
      <c r="FS12" s="26"/>
      <c r="FT12" s="27"/>
      <c r="FU12" s="27"/>
      <c r="FV12" s="26"/>
      <c r="FW12" s="27"/>
      <c r="FX12" s="27"/>
      <c r="FY12" s="26"/>
      <c r="FZ12" s="27"/>
      <c r="GA12" s="27"/>
      <c r="GB12" s="26"/>
      <c r="GC12" s="27"/>
      <c r="GD12" s="27"/>
      <c r="GE12" s="26"/>
      <c r="GF12" s="27"/>
      <c r="GG12" s="27"/>
      <c r="GH12" s="26"/>
      <c r="GI12" s="27"/>
      <c r="GJ12" s="29"/>
      <c r="GK12" s="37"/>
      <c r="GL12" s="26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37"/>
      <c r="JS12" s="26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9"/>
      <c r="NH12" s="37"/>
      <c r="NI12" s="26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37"/>
      <c r="QV12" s="26"/>
      <c r="QW12" s="27"/>
      <c r="QX12" s="27"/>
      <c r="QY12" s="27"/>
      <c r="QZ12" s="27"/>
      <c r="RA12" s="27"/>
      <c r="RB12" s="27"/>
      <c r="RC12" s="27"/>
      <c r="RD12" s="27"/>
      <c r="RE12" s="27">
        <v>8</v>
      </c>
      <c r="RF12" s="27">
        <v>228</v>
      </c>
      <c r="RG12" s="27" t="s">
        <v>276</v>
      </c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9"/>
      <c r="UK12" s="37"/>
      <c r="UL12" s="26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37"/>
      <c r="XY12" s="26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9"/>
      <c r="ABN12" s="37"/>
      <c r="ABO12" s="26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9"/>
      <c r="AFD12" s="37"/>
      <c r="AFE12" s="26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37"/>
      <c r="AIR12" s="26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9"/>
      <c r="AMG12" s="37"/>
      <c r="AMH12" s="26"/>
      <c r="AMI12" s="27"/>
      <c r="AMJ12" s="27"/>
      <c r="AMK12" s="27"/>
      <c r="AML12" s="27"/>
      <c r="AMM12" s="27"/>
      <c r="AMN12" s="27"/>
      <c r="AMO12" s="27"/>
      <c r="AMP12" s="27"/>
      <c r="AMQ12" s="27"/>
      <c r="AMR12" s="27"/>
      <c r="AMS12" s="27"/>
      <c r="AMT12" s="27"/>
      <c r="AMU12" s="27"/>
      <c r="AMV12" s="27"/>
      <c r="AMW12" s="27"/>
      <c r="AMX12" s="27"/>
      <c r="AMY12" s="27"/>
      <c r="AMZ12" s="27"/>
      <c r="ANA12" s="27"/>
      <c r="ANB12" s="27"/>
      <c r="ANC12" s="27"/>
      <c r="AND12" s="27"/>
      <c r="ANE12" s="27"/>
      <c r="ANF12" s="27"/>
      <c r="ANG12" s="27"/>
      <c r="ANH12" s="27"/>
      <c r="ANI12" s="27"/>
      <c r="ANJ12" s="27"/>
      <c r="ANK12" s="27"/>
      <c r="ANL12" s="27"/>
      <c r="ANM12" s="27"/>
      <c r="ANN12" s="27"/>
      <c r="ANO12" s="27"/>
      <c r="ANP12" s="27"/>
      <c r="ANQ12" s="27"/>
      <c r="ANR12" s="27"/>
      <c r="ANS12" s="27"/>
      <c r="ANT12" s="27"/>
      <c r="ANU12" s="27"/>
      <c r="ANV12" s="27"/>
      <c r="ANW12" s="27"/>
      <c r="ANX12" s="27"/>
      <c r="ANY12" s="27"/>
      <c r="ANZ12" s="27"/>
      <c r="AOA12" s="27"/>
      <c r="AOB12" s="27"/>
      <c r="AOC12" s="27"/>
      <c r="AOD12" s="27"/>
      <c r="AOE12" s="27"/>
      <c r="AOF12" s="27"/>
      <c r="AOG12" s="27"/>
      <c r="AOH12" s="27"/>
      <c r="AOI12" s="27"/>
      <c r="AOJ12" s="27"/>
      <c r="AOK12" s="27"/>
      <c r="AOL12" s="27"/>
      <c r="AOM12" s="27"/>
      <c r="AON12" s="27"/>
      <c r="AOO12" s="27"/>
      <c r="AOP12" s="27"/>
      <c r="AOQ12" s="27"/>
      <c r="AOR12" s="27"/>
      <c r="AOS12" s="27"/>
      <c r="AOT12" s="27"/>
      <c r="AOU12" s="27"/>
      <c r="AOV12" s="27"/>
      <c r="AOW12" s="27"/>
      <c r="AOX12" s="27"/>
      <c r="AOY12" s="27"/>
      <c r="AOZ12" s="27"/>
      <c r="APA12" s="27"/>
      <c r="APB12" s="27"/>
      <c r="APC12" s="27"/>
      <c r="APD12" s="27"/>
      <c r="APE12" s="27"/>
      <c r="APF12" s="27"/>
      <c r="APG12" s="27"/>
      <c r="APH12" s="27"/>
      <c r="API12" s="27"/>
      <c r="APJ12" s="27"/>
      <c r="APK12" s="27"/>
      <c r="APL12" s="27"/>
      <c r="APM12" s="27"/>
      <c r="APN12" s="27"/>
      <c r="APO12" s="27"/>
      <c r="APP12" s="27"/>
      <c r="APQ12" s="27"/>
      <c r="APR12" s="27"/>
      <c r="APS12" s="29"/>
      <c r="APT12" s="37"/>
      <c r="APU12" s="26"/>
      <c r="APV12" s="27"/>
      <c r="APW12" s="27"/>
      <c r="APX12" s="27"/>
      <c r="APY12" s="27"/>
      <c r="APZ12" s="27"/>
      <c r="AQA12" s="27"/>
      <c r="AQB12" s="27"/>
      <c r="AQC12" s="27"/>
      <c r="AQD12" s="27"/>
      <c r="AQE12" s="27"/>
      <c r="AQF12" s="27"/>
      <c r="AQG12" s="27"/>
      <c r="AQH12" s="27"/>
      <c r="AQI12" s="27"/>
      <c r="AQJ12" s="27"/>
      <c r="AQK12" s="27"/>
      <c r="AQL12" s="27"/>
      <c r="AQM12" s="27"/>
      <c r="AQN12" s="27"/>
      <c r="AQO12" s="27"/>
      <c r="AQP12" s="27"/>
      <c r="AQQ12" s="27"/>
      <c r="AQR12" s="27"/>
      <c r="AQS12" s="27"/>
      <c r="AQT12" s="27"/>
      <c r="AQU12" s="27"/>
      <c r="AQV12" s="27"/>
      <c r="AQW12" s="27"/>
      <c r="AQX12" s="27"/>
      <c r="AQY12" s="27"/>
      <c r="AQZ12" s="27"/>
      <c r="ARA12" s="27"/>
      <c r="ARB12" s="27"/>
      <c r="ARC12" s="27"/>
      <c r="ARD12" s="27"/>
      <c r="ARE12" s="27"/>
      <c r="ARF12" s="27"/>
      <c r="ARG12" s="27"/>
      <c r="ARH12" s="27"/>
      <c r="ARI12" s="27"/>
      <c r="ARJ12" s="27"/>
      <c r="ARK12" s="27"/>
      <c r="ARL12" s="27"/>
      <c r="ARM12" s="27"/>
      <c r="ARN12" s="27"/>
      <c r="ARO12" s="27"/>
      <c r="ARP12" s="27"/>
      <c r="ARQ12" s="27"/>
      <c r="ARR12" s="27"/>
      <c r="ARS12" s="27"/>
      <c r="ART12" s="27"/>
      <c r="ARU12" s="27"/>
      <c r="ARV12" s="27"/>
      <c r="ARW12" s="27"/>
      <c r="ARX12" s="27"/>
      <c r="ARY12" s="27"/>
      <c r="ARZ12" s="27"/>
      <c r="ASA12" s="27"/>
      <c r="ASB12" s="27"/>
      <c r="ASC12" s="27"/>
      <c r="ASD12" s="27"/>
      <c r="ASE12" s="27"/>
      <c r="ASF12" s="27"/>
      <c r="ASG12" s="27"/>
      <c r="ASH12" s="27"/>
      <c r="ASI12" s="27"/>
      <c r="ASJ12" s="27"/>
      <c r="ASK12" s="27"/>
      <c r="ASL12" s="27"/>
      <c r="ASM12" s="27"/>
      <c r="ASN12" s="27"/>
      <c r="ASO12" s="27"/>
      <c r="ASP12" s="27"/>
      <c r="ASQ12" s="27"/>
      <c r="ASR12" s="27"/>
      <c r="ASS12" s="27"/>
      <c r="AST12" s="27"/>
      <c r="ASU12" s="27"/>
      <c r="ASV12" s="27"/>
      <c r="ASW12" s="27"/>
      <c r="ASX12" s="27"/>
      <c r="ASY12" s="27"/>
      <c r="ASZ12" s="27"/>
      <c r="ATA12" s="27"/>
      <c r="ATB12" s="27"/>
      <c r="ATC12" s="27"/>
      <c r="ATD12" s="27"/>
      <c r="ATE12" s="27"/>
      <c r="ATF12" s="29"/>
      <c r="ATG12" s="37"/>
      <c r="ATH12" s="26"/>
      <c r="ATI12" s="27"/>
      <c r="ATJ12" s="27"/>
      <c r="ATK12" s="27"/>
      <c r="ATL12" s="27"/>
      <c r="ATM12" s="27"/>
      <c r="ATN12" s="27"/>
      <c r="ATO12" s="27"/>
      <c r="ATP12" s="27"/>
      <c r="ATQ12" s="27"/>
      <c r="ATR12" s="27"/>
      <c r="ATS12" s="27"/>
      <c r="ATT12" s="27"/>
      <c r="ATU12" s="27"/>
      <c r="ATV12" s="27"/>
      <c r="ATW12" s="27"/>
      <c r="ATX12" s="27"/>
      <c r="ATY12" s="27"/>
      <c r="ATZ12" s="27"/>
      <c r="AUA12" s="27"/>
      <c r="AUB12" s="27"/>
      <c r="AUC12" s="27"/>
      <c r="AUD12" s="27"/>
      <c r="AUE12" s="27"/>
      <c r="AUF12" s="27"/>
      <c r="AUG12" s="27"/>
      <c r="AUH12" s="27"/>
      <c r="AUI12" s="27"/>
      <c r="AUJ12" s="27"/>
      <c r="AUK12" s="27"/>
      <c r="AUL12" s="27"/>
      <c r="AUM12" s="27"/>
      <c r="AUN12" s="27"/>
      <c r="AUO12" s="27"/>
      <c r="AUP12" s="27"/>
      <c r="AUQ12" s="27"/>
      <c r="AUR12" s="27"/>
      <c r="AUS12" s="27"/>
      <c r="AUT12" s="27"/>
      <c r="AUU12" s="27"/>
      <c r="AUV12" s="27"/>
      <c r="AUW12" s="27"/>
      <c r="AUX12" s="27"/>
      <c r="AUY12" s="27"/>
      <c r="AUZ12" s="27"/>
      <c r="AVA12" s="27"/>
      <c r="AVB12" s="27"/>
      <c r="AVC12" s="27"/>
      <c r="AVD12" s="27"/>
      <c r="AVE12" s="27"/>
      <c r="AVF12" s="27"/>
      <c r="AVG12" s="27"/>
      <c r="AVH12" s="27"/>
      <c r="AVI12" s="27"/>
      <c r="AVJ12" s="27"/>
      <c r="AVK12" s="27"/>
      <c r="AVL12" s="27"/>
      <c r="AVM12" s="27"/>
      <c r="AVN12" s="27"/>
      <c r="AVO12" s="27"/>
      <c r="AVP12" s="27"/>
      <c r="AVQ12" s="27"/>
      <c r="AVR12" s="27"/>
      <c r="AVS12" s="27"/>
      <c r="AVT12" s="27"/>
      <c r="AVU12" s="27"/>
      <c r="AVV12" s="27"/>
      <c r="AVW12" s="27"/>
      <c r="AVX12" s="27"/>
      <c r="AVY12" s="27"/>
      <c r="AVZ12" s="27"/>
      <c r="AWA12" s="27"/>
      <c r="AWB12" s="27"/>
      <c r="AWC12" s="27"/>
      <c r="AWD12" s="27"/>
      <c r="AWE12" s="27"/>
      <c r="AWF12" s="27"/>
      <c r="AWG12" s="27"/>
      <c r="AWH12" s="27"/>
      <c r="AWI12" s="27"/>
      <c r="AWJ12" s="27"/>
      <c r="AWK12" s="27"/>
      <c r="AWL12" s="27"/>
      <c r="AWM12" s="27"/>
      <c r="AWN12" s="27"/>
      <c r="AWO12" s="27"/>
      <c r="AWP12" s="27"/>
      <c r="AWQ12" s="27"/>
      <c r="AWR12" s="27"/>
      <c r="AWS12" s="29"/>
      <c r="AWT12" s="37"/>
      <c r="AWU12" s="26"/>
      <c r="AWV12" s="27"/>
      <c r="AWW12" s="27"/>
      <c r="AWX12" s="27"/>
      <c r="AWY12" s="27"/>
      <c r="AWZ12" s="27"/>
      <c r="AXA12" s="27"/>
      <c r="AXB12" s="27"/>
      <c r="AXC12" s="27"/>
      <c r="AXD12" s="27"/>
      <c r="AXE12" s="27"/>
      <c r="AXF12" s="27"/>
      <c r="AXG12" s="27"/>
      <c r="AXH12" s="27"/>
      <c r="AXI12" s="27"/>
      <c r="AXJ12" s="27"/>
      <c r="AXK12" s="27"/>
      <c r="AXL12" s="27"/>
      <c r="AXM12" s="27"/>
      <c r="AXN12" s="27"/>
      <c r="AXO12" s="27"/>
      <c r="AXP12" s="27"/>
      <c r="AXQ12" s="27"/>
      <c r="AXR12" s="27"/>
      <c r="AXS12" s="27"/>
      <c r="AXT12" s="27"/>
      <c r="AXU12" s="27"/>
      <c r="AXV12" s="27"/>
      <c r="AXW12" s="27"/>
      <c r="AXX12" s="27"/>
      <c r="AXY12" s="27"/>
      <c r="AXZ12" s="27"/>
      <c r="AYA12" s="27"/>
      <c r="AYB12" s="27"/>
      <c r="AYC12" s="27"/>
      <c r="AYD12" s="27"/>
      <c r="AYE12" s="27"/>
      <c r="AYF12" s="27"/>
      <c r="AYG12" s="27"/>
      <c r="AYH12" s="27"/>
      <c r="AYI12" s="27"/>
      <c r="AYJ12" s="27"/>
      <c r="AYK12" s="27"/>
      <c r="AYL12" s="27"/>
      <c r="AYM12" s="27"/>
      <c r="AYN12" s="27"/>
      <c r="AYO12" s="27"/>
      <c r="AYP12" s="27"/>
      <c r="AYQ12" s="27"/>
      <c r="AYR12" s="27"/>
      <c r="AYS12" s="27"/>
      <c r="AYT12" s="27"/>
      <c r="AYU12" s="27"/>
      <c r="AYV12" s="27"/>
      <c r="AYW12" s="27"/>
      <c r="AYX12" s="27"/>
      <c r="AYY12" s="27"/>
      <c r="AYZ12" s="27"/>
      <c r="AZA12" s="27"/>
      <c r="AZB12" s="27"/>
      <c r="AZC12" s="27"/>
      <c r="AZD12" s="27"/>
      <c r="AZE12" s="27"/>
      <c r="AZF12" s="27"/>
      <c r="AZG12" s="27"/>
      <c r="AZH12" s="27"/>
      <c r="AZI12" s="27"/>
      <c r="AZJ12" s="27"/>
      <c r="AZK12" s="27"/>
      <c r="AZL12" s="27"/>
      <c r="AZM12" s="27"/>
      <c r="AZN12" s="27"/>
      <c r="AZO12" s="27"/>
      <c r="AZP12" s="27"/>
      <c r="AZQ12" s="27"/>
      <c r="AZR12" s="27"/>
      <c r="AZS12" s="27"/>
      <c r="AZT12" s="27"/>
      <c r="AZU12" s="27"/>
      <c r="AZV12" s="27"/>
      <c r="AZW12" s="27"/>
      <c r="AZX12" s="27"/>
      <c r="AZY12" s="27"/>
      <c r="AZZ12" s="27"/>
      <c r="BAA12" s="37"/>
      <c r="BAB12" s="26"/>
      <c r="BAC12" s="27"/>
      <c r="BAD12" s="27"/>
      <c r="BAE12" s="27"/>
      <c r="BAF12" s="27"/>
      <c r="BAG12" s="27"/>
      <c r="BAH12" s="27"/>
      <c r="BAI12" s="27"/>
      <c r="BAJ12" s="27"/>
      <c r="BAK12" s="27"/>
      <c r="BAL12" s="27"/>
      <c r="BAM12" s="27"/>
      <c r="BAN12" s="27"/>
      <c r="BAO12" s="27"/>
      <c r="BAP12" s="27"/>
      <c r="BAQ12" s="27"/>
      <c r="BAR12" s="27"/>
      <c r="BAS12" s="27"/>
      <c r="BAT12" s="27"/>
      <c r="BAU12" s="27"/>
      <c r="BAV12" s="27"/>
      <c r="BAW12" s="27"/>
      <c r="BAX12" s="27"/>
      <c r="BAY12" s="27"/>
      <c r="BAZ12" s="27"/>
      <c r="BBA12" s="27"/>
      <c r="BBB12" s="27"/>
      <c r="BBC12" s="27"/>
      <c r="BBD12" s="27"/>
      <c r="BBE12" s="27"/>
      <c r="BBF12" s="27"/>
      <c r="BBG12" s="27"/>
      <c r="BBH12" s="27"/>
      <c r="BBI12" s="27"/>
      <c r="BBJ12" s="27"/>
      <c r="BBK12" s="27"/>
      <c r="BBL12" s="27"/>
      <c r="BBM12" s="27"/>
      <c r="BBN12" s="27"/>
      <c r="BBO12" s="27"/>
      <c r="BBP12" s="27"/>
      <c r="BBQ12" s="27"/>
      <c r="BBR12" s="27"/>
      <c r="BBS12" s="27"/>
      <c r="BBT12" s="27"/>
      <c r="BBU12" s="27"/>
      <c r="BBV12" s="27"/>
      <c r="BBW12" s="27"/>
      <c r="BBX12" s="27"/>
      <c r="BBY12" s="27"/>
      <c r="BBZ12" s="27"/>
      <c r="BCA12" s="27"/>
      <c r="BCB12" s="27"/>
      <c r="BCC12" s="27"/>
      <c r="BCD12" s="27"/>
      <c r="BCE12" s="27"/>
      <c r="BCF12" s="27"/>
      <c r="BCG12" s="27"/>
      <c r="BCH12" s="27"/>
      <c r="BCI12" s="27"/>
      <c r="BCJ12" s="27"/>
      <c r="BCK12" s="27"/>
      <c r="BCL12" s="27"/>
      <c r="BCM12" s="27"/>
      <c r="BCN12" s="27"/>
      <c r="BCO12" s="27"/>
      <c r="BCP12" s="27"/>
      <c r="BCQ12" s="27"/>
      <c r="BCR12" s="27"/>
      <c r="BCS12" s="27"/>
      <c r="BCT12" s="27"/>
      <c r="BCU12" s="27"/>
      <c r="BCV12" s="27"/>
      <c r="BCW12" s="27"/>
      <c r="BCX12" s="27"/>
      <c r="BCY12" s="27"/>
      <c r="BCZ12" s="27"/>
      <c r="BDA12" s="27"/>
      <c r="BDB12" s="27"/>
      <c r="BDC12" s="27"/>
      <c r="BDD12" s="27"/>
      <c r="BDE12" s="27"/>
      <c r="BDF12" s="27"/>
      <c r="BDG12" s="27"/>
      <c r="BDH12" s="27"/>
      <c r="BDI12" s="27"/>
      <c r="BDJ12" s="27"/>
      <c r="BDK12" s="27"/>
      <c r="BDL12" s="27"/>
      <c r="BDM12" s="29"/>
      <c r="BDN12" s="29"/>
      <c r="BDO12" s="29"/>
      <c r="BDP12" s="29"/>
      <c r="BDQ12" s="37"/>
      <c r="BDR12" s="26"/>
      <c r="BDS12" s="27"/>
      <c r="BDT12" s="27"/>
      <c r="BDU12" s="27"/>
      <c r="BDV12" s="27"/>
      <c r="BDW12" s="27"/>
      <c r="BDX12" s="27"/>
      <c r="BDY12" s="27"/>
      <c r="BDZ12" s="27"/>
      <c r="BEA12" s="27"/>
      <c r="BEB12" s="27"/>
      <c r="BEC12" s="27"/>
      <c r="BED12" s="27"/>
      <c r="BEE12" s="27"/>
      <c r="BEF12" s="27"/>
      <c r="BEG12" s="27"/>
      <c r="BEH12" s="27"/>
      <c r="BEI12" s="27"/>
      <c r="BEJ12" s="27"/>
      <c r="BEK12" s="27"/>
      <c r="BEL12" s="27"/>
      <c r="BEM12" s="27"/>
      <c r="BEN12" s="27"/>
      <c r="BEO12" s="27"/>
      <c r="BEP12" s="27"/>
      <c r="BEQ12" s="27"/>
      <c r="BER12" s="27"/>
      <c r="BES12" s="27"/>
      <c r="BET12" s="27"/>
      <c r="BEU12" s="27"/>
      <c r="BEV12" s="27"/>
      <c r="BEW12" s="27"/>
      <c r="BEX12" s="27"/>
      <c r="BEY12" s="27"/>
      <c r="BEZ12" s="27"/>
      <c r="BFA12" s="27"/>
      <c r="BFB12" s="27"/>
      <c r="BFC12" s="27"/>
      <c r="BFD12" s="27"/>
      <c r="BFE12" s="27"/>
      <c r="BFF12" s="27"/>
      <c r="BFG12" s="27"/>
      <c r="BFH12" s="27"/>
      <c r="BFI12" s="27"/>
      <c r="BFJ12" s="27"/>
      <c r="BFK12" s="27"/>
      <c r="BFL12" s="27"/>
      <c r="BFM12" s="27"/>
      <c r="BFN12" s="27"/>
      <c r="BFO12" s="27"/>
      <c r="BFP12" s="27"/>
      <c r="BFQ12" s="27"/>
      <c r="BFR12" s="27"/>
      <c r="BFS12" s="27"/>
      <c r="BFT12" s="27"/>
      <c r="BFU12" s="27"/>
      <c r="BFV12" s="27"/>
      <c r="BFW12" s="27"/>
      <c r="BFX12" s="27"/>
      <c r="BFY12" s="27"/>
      <c r="BFZ12" s="27"/>
      <c r="BGA12" s="27"/>
      <c r="BGB12" s="27"/>
      <c r="BGC12" s="27"/>
      <c r="BGD12" s="27"/>
      <c r="BGE12" s="27"/>
      <c r="BGF12" s="27"/>
      <c r="BGG12" s="27"/>
      <c r="BGH12" s="27"/>
      <c r="BGI12" s="27"/>
      <c r="BGJ12" s="27"/>
      <c r="BGK12" s="27"/>
      <c r="BGL12" s="27"/>
      <c r="BGM12" s="27"/>
      <c r="BGN12" s="27"/>
      <c r="BGO12" s="27"/>
      <c r="BGP12" s="27"/>
      <c r="BGQ12" s="27"/>
      <c r="BGR12" s="27"/>
      <c r="BGS12" s="27"/>
      <c r="BGT12" s="27"/>
      <c r="BGU12" s="27"/>
      <c r="BGV12" s="27"/>
      <c r="BGW12" s="27"/>
      <c r="BGX12" s="27"/>
      <c r="BGY12" s="27"/>
      <c r="BGZ12" s="27"/>
      <c r="BHA12" s="27"/>
      <c r="BHB12" s="27"/>
      <c r="BHC12" s="29"/>
      <c r="BHD12" s="37"/>
    </row>
    <row r="13" spans="1:1564" ht="31.95" customHeight="1" x14ac:dyDescent="0.3">
      <c r="A13" s="22">
        <v>9</v>
      </c>
      <c r="B13" s="40" t="s">
        <v>291</v>
      </c>
      <c r="C13" s="40" t="s">
        <v>254</v>
      </c>
      <c r="D13" s="40" t="s">
        <v>242</v>
      </c>
      <c r="E13" s="37"/>
      <c r="F13" s="30"/>
      <c r="G13" s="23"/>
      <c r="H13" s="23"/>
      <c r="I13" s="30"/>
      <c r="J13" s="23"/>
      <c r="K13" s="23"/>
      <c r="L13" s="30"/>
      <c r="M13" s="23"/>
      <c r="N13" s="23"/>
      <c r="O13" s="30"/>
      <c r="P13" s="23"/>
      <c r="Q13" s="23"/>
      <c r="R13" s="30"/>
      <c r="S13" s="23"/>
      <c r="T13" s="23"/>
      <c r="U13" s="30"/>
      <c r="V13" s="23"/>
      <c r="W13" s="23"/>
      <c r="X13" s="30"/>
      <c r="Y13" s="23"/>
      <c r="Z13" s="23"/>
      <c r="AA13" s="30"/>
      <c r="AB13" s="23"/>
      <c r="AC13" s="23"/>
      <c r="AD13" s="30"/>
      <c r="AE13" s="23"/>
      <c r="AF13" s="23"/>
      <c r="AG13" s="30"/>
      <c r="AH13" s="23"/>
      <c r="AI13" s="23"/>
      <c r="AJ13" s="30"/>
      <c r="AK13" s="23"/>
      <c r="AL13" s="23"/>
      <c r="AM13" s="30"/>
      <c r="AN13" s="23"/>
      <c r="AO13" s="23"/>
      <c r="AP13" s="30"/>
      <c r="AQ13" s="23"/>
      <c r="AR13" s="23"/>
      <c r="AS13" s="30"/>
      <c r="AT13" s="23"/>
      <c r="AU13" s="23"/>
      <c r="AV13" s="30"/>
      <c r="AW13" s="23"/>
      <c r="AX13" s="23"/>
      <c r="AY13" s="30"/>
      <c r="AZ13" s="23"/>
      <c r="BA13" s="23"/>
      <c r="BB13" s="30"/>
      <c r="BC13" s="23"/>
      <c r="BD13" s="23"/>
      <c r="BE13" s="30"/>
      <c r="BF13" s="23"/>
      <c r="BG13" s="23"/>
      <c r="BH13" s="30"/>
      <c r="BI13" s="23"/>
      <c r="BJ13" s="23"/>
      <c r="BK13" s="30"/>
      <c r="BL13" s="23"/>
      <c r="BM13" s="23"/>
      <c r="BN13" s="30"/>
      <c r="BO13" s="23"/>
      <c r="BP13" s="24"/>
      <c r="BQ13" s="30"/>
      <c r="BR13" s="23"/>
      <c r="BS13" s="23"/>
      <c r="BT13" s="30"/>
      <c r="BU13" s="23"/>
      <c r="BV13" s="23"/>
      <c r="BW13" s="30"/>
      <c r="BX13" s="23"/>
      <c r="BY13" s="23"/>
      <c r="BZ13" s="30"/>
      <c r="CA13" s="23"/>
      <c r="CB13" s="23"/>
      <c r="CC13" s="30"/>
      <c r="CD13" s="23"/>
      <c r="CE13" s="23"/>
      <c r="CF13" s="30"/>
      <c r="CG13" s="23"/>
      <c r="CH13" s="23"/>
      <c r="CI13" s="30"/>
      <c r="CJ13" s="23"/>
      <c r="CK13" s="23"/>
      <c r="CL13" s="30"/>
      <c r="CM13" s="23"/>
      <c r="CN13" s="23"/>
      <c r="CO13" s="30"/>
      <c r="CP13" s="23"/>
      <c r="CQ13" s="23"/>
      <c r="CR13" s="30"/>
      <c r="CS13" s="23"/>
      <c r="CT13" s="25"/>
      <c r="CU13" s="37"/>
      <c r="CV13" s="26"/>
      <c r="CW13" s="27"/>
      <c r="CX13" s="27"/>
      <c r="CY13" s="27"/>
      <c r="CZ13" s="27"/>
      <c r="DA13" s="27"/>
      <c r="DB13" s="26"/>
      <c r="DC13" s="27"/>
      <c r="DD13" s="27"/>
      <c r="DE13" s="26"/>
      <c r="DF13" s="27"/>
      <c r="DG13" s="27"/>
      <c r="DH13" s="26"/>
      <c r="DI13" s="27"/>
      <c r="DJ13" s="27"/>
      <c r="DK13" s="26"/>
      <c r="DL13" s="27"/>
      <c r="DM13" s="27"/>
      <c r="DN13" s="26"/>
      <c r="DO13" s="27"/>
      <c r="DP13" s="27"/>
      <c r="DQ13" s="26"/>
      <c r="DR13" s="27"/>
      <c r="DS13" s="27"/>
      <c r="DT13" s="26"/>
      <c r="DU13" s="27"/>
      <c r="DV13" s="27"/>
      <c r="DW13" s="26"/>
      <c r="DX13" s="27"/>
      <c r="DY13" s="27"/>
      <c r="DZ13" s="26"/>
      <c r="EA13" s="27"/>
      <c r="EB13" s="27"/>
      <c r="EC13" s="26"/>
      <c r="ED13" s="27"/>
      <c r="EE13" s="27"/>
      <c r="EF13" s="26"/>
      <c r="EG13" s="27"/>
      <c r="EH13" s="27"/>
      <c r="EI13" s="26"/>
      <c r="EJ13" s="27"/>
      <c r="EK13" s="27"/>
      <c r="EL13" s="26"/>
      <c r="EM13" s="27"/>
      <c r="EN13" s="27"/>
      <c r="EO13" s="26"/>
      <c r="EP13" s="27"/>
      <c r="EQ13" s="27"/>
      <c r="ER13" s="26"/>
      <c r="ES13" s="27"/>
      <c r="ET13" s="27"/>
      <c r="EU13" s="26"/>
      <c r="EV13" s="27"/>
      <c r="EW13" s="27"/>
      <c r="EX13" s="26"/>
      <c r="EY13" s="27"/>
      <c r="EZ13" s="27"/>
      <c r="FA13" s="26"/>
      <c r="FB13" s="27"/>
      <c r="FC13" s="27"/>
      <c r="FD13" s="26"/>
      <c r="FE13" s="27"/>
      <c r="FF13" s="27"/>
      <c r="FG13" s="26"/>
      <c r="FH13" s="27"/>
      <c r="FI13" s="27"/>
      <c r="FJ13" s="26"/>
      <c r="FK13" s="27"/>
      <c r="FL13" s="27"/>
      <c r="FM13" s="26"/>
      <c r="FN13" s="27"/>
      <c r="FO13" s="27"/>
      <c r="FP13" s="26"/>
      <c r="FQ13" s="27"/>
      <c r="FR13" s="27"/>
      <c r="FS13" s="26"/>
      <c r="FT13" s="27"/>
      <c r="FU13" s="27"/>
      <c r="FV13" s="26"/>
      <c r="FW13" s="27"/>
      <c r="FX13" s="27"/>
      <c r="FY13" s="26"/>
      <c r="FZ13" s="27"/>
      <c r="GA13" s="27"/>
      <c r="GB13" s="26"/>
      <c r="GC13" s="27"/>
      <c r="GD13" s="27"/>
      <c r="GE13" s="26"/>
      <c r="GF13" s="27"/>
      <c r="GG13" s="27"/>
      <c r="GH13" s="26"/>
      <c r="GI13" s="27"/>
      <c r="GJ13" s="29"/>
      <c r="GK13" s="37"/>
      <c r="GL13" s="26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37"/>
      <c r="JS13" s="26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9"/>
      <c r="NH13" s="37"/>
      <c r="NI13" s="26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37"/>
      <c r="QV13" s="26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9"/>
      <c r="UK13" s="37"/>
      <c r="UL13" s="26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37"/>
      <c r="XY13" s="26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9"/>
      <c r="ABN13" s="37"/>
      <c r="ABO13" s="26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9"/>
      <c r="AFD13" s="37"/>
      <c r="AFE13" s="26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37"/>
      <c r="AIR13" s="26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9"/>
      <c r="AMG13" s="37"/>
      <c r="AMH13" s="26"/>
      <c r="AMI13" s="27"/>
      <c r="AMJ13" s="27"/>
      <c r="AMK13" s="27"/>
      <c r="AML13" s="27"/>
      <c r="AMM13" s="27"/>
      <c r="AMN13" s="27"/>
      <c r="AMO13" s="27"/>
      <c r="AMP13" s="27"/>
      <c r="AMQ13" s="27"/>
      <c r="AMR13" s="27"/>
      <c r="AMS13" s="27"/>
      <c r="AMT13" s="27"/>
      <c r="AMU13" s="27"/>
      <c r="AMV13" s="27"/>
      <c r="AMW13" s="27"/>
      <c r="AMX13" s="27"/>
      <c r="AMY13" s="27"/>
      <c r="AMZ13" s="27"/>
      <c r="ANA13" s="27"/>
      <c r="ANB13" s="27"/>
      <c r="ANC13" s="27"/>
      <c r="AND13" s="27"/>
      <c r="ANE13" s="27"/>
      <c r="ANF13" s="27"/>
      <c r="ANG13" s="27"/>
      <c r="ANH13" s="27"/>
      <c r="ANI13" s="27"/>
      <c r="ANJ13" s="27"/>
      <c r="ANK13" s="27"/>
      <c r="ANL13" s="27"/>
      <c r="ANM13" s="27"/>
      <c r="ANN13" s="27"/>
      <c r="ANO13" s="27"/>
      <c r="ANP13" s="27"/>
      <c r="ANQ13" s="27"/>
      <c r="ANR13" s="27"/>
      <c r="ANS13" s="27"/>
      <c r="ANT13" s="27"/>
      <c r="ANU13" s="27"/>
      <c r="ANV13" s="27"/>
      <c r="ANW13" s="27"/>
      <c r="ANX13" s="27"/>
      <c r="ANY13" s="27"/>
      <c r="ANZ13" s="27"/>
      <c r="AOA13" s="27"/>
      <c r="AOB13" s="27"/>
      <c r="AOC13" s="27"/>
      <c r="AOD13" s="27"/>
      <c r="AOE13" s="27"/>
      <c r="AOF13" s="27"/>
      <c r="AOG13" s="27"/>
      <c r="AOH13" s="27"/>
      <c r="AOI13" s="27"/>
      <c r="AOJ13" s="27"/>
      <c r="AOK13" s="27"/>
      <c r="AOL13" s="27"/>
      <c r="AOM13" s="27"/>
      <c r="AON13" s="27"/>
      <c r="AOO13" s="27"/>
      <c r="AOP13" s="27"/>
      <c r="AOQ13" s="27"/>
      <c r="AOR13" s="27"/>
      <c r="AOS13" s="27"/>
      <c r="AOT13" s="27"/>
      <c r="AOU13" s="27"/>
      <c r="AOV13" s="27"/>
      <c r="AOW13" s="27"/>
      <c r="AOX13" s="27"/>
      <c r="AOY13" s="27"/>
      <c r="AOZ13" s="27"/>
      <c r="APA13" s="27"/>
      <c r="APB13" s="27"/>
      <c r="APC13" s="27"/>
      <c r="APD13" s="27"/>
      <c r="APE13" s="27"/>
      <c r="APF13" s="27"/>
      <c r="APG13" s="27"/>
      <c r="APH13" s="27"/>
      <c r="API13" s="27"/>
      <c r="APJ13" s="27"/>
      <c r="APK13" s="27"/>
      <c r="APL13" s="27"/>
      <c r="APM13" s="27"/>
      <c r="APN13" s="27"/>
      <c r="APO13" s="27"/>
      <c r="APP13" s="27"/>
      <c r="APQ13" s="27"/>
      <c r="APR13" s="27"/>
      <c r="APS13" s="29"/>
      <c r="APT13" s="37"/>
      <c r="APU13" s="26"/>
      <c r="APV13" s="27"/>
      <c r="APW13" s="27"/>
      <c r="APX13" s="27"/>
      <c r="APY13" s="27"/>
      <c r="APZ13" s="27"/>
      <c r="AQA13" s="27"/>
      <c r="AQB13" s="27"/>
      <c r="AQC13" s="27"/>
      <c r="AQD13" s="27"/>
      <c r="AQE13" s="27"/>
      <c r="AQF13" s="27"/>
      <c r="AQG13" s="27"/>
      <c r="AQH13" s="27"/>
      <c r="AQI13" s="27"/>
      <c r="AQJ13" s="27"/>
      <c r="AQK13" s="27"/>
      <c r="AQL13" s="27"/>
      <c r="AQM13" s="27"/>
      <c r="AQN13" s="27"/>
      <c r="AQO13" s="27"/>
      <c r="AQP13" s="27"/>
      <c r="AQQ13" s="27"/>
      <c r="AQR13" s="27"/>
      <c r="AQS13" s="27"/>
      <c r="AQT13" s="27"/>
      <c r="AQU13" s="27"/>
      <c r="AQV13" s="27"/>
      <c r="AQW13" s="27"/>
      <c r="AQX13" s="27"/>
      <c r="AQY13" s="27"/>
      <c r="AQZ13" s="27"/>
      <c r="ARA13" s="27"/>
      <c r="ARB13" s="27"/>
      <c r="ARC13" s="27"/>
      <c r="ARD13" s="27"/>
      <c r="ARE13" s="27"/>
      <c r="ARF13" s="27"/>
      <c r="ARG13" s="27"/>
      <c r="ARH13" s="27"/>
      <c r="ARI13" s="27"/>
      <c r="ARJ13" s="27"/>
      <c r="ARK13" s="27"/>
      <c r="ARL13" s="27"/>
      <c r="ARM13" s="27"/>
      <c r="ARN13" s="27"/>
      <c r="ARO13" s="27"/>
      <c r="ARP13" s="27"/>
      <c r="ARQ13" s="27"/>
      <c r="ARR13" s="27"/>
      <c r="ARS13" s="27"/>
      <c r="ART13" s="27"/>
      <c r="ARU13" s="27"/>
      <c r="ARV13" s="27"/>
      <c r="ARW13" s="27"/>
      <c r="ARX13" s="27"/>
      <c r="ARY13" s="27"/>
      <c r="ARZ13" s="27"/>
      <c r="ASA13" s="27"/>
      <c r="ASB13" s="27"/>
      <c r="ASC13" s="27"/>
      <c r="ASD13" s="27"/>
      <c r="ASE13" s="27"/>
      <c r="ASF13" s="27"/>
      <c r="ASG13" s="27"/>
      <c r="ASH13" s="27"/>
      <c r="ASI13" s="27"/>
      <c r="ASJ13" s="27"/>
      <c r="ASK13" s="27"/>
      <c r="ASL13" s="27"/>
      <c r="ASM13" s="27"/>
      <c r="ASN13" s="27"/>
      <c r="ASO13" s="27"/>
      <c r="ASP13" s="27"/>
      <c r="ASQ13" s="27"/>
      <c r="ASR13" s="27"/>
      <c r="ASS13" s="27"/>
      <c r="AST13" s="27"/>
      <c r="ASU13" s="27"/>
      <c r="ASV13" s="27"/>
      <c r="ASW13" s="27"/>
      <c r="ASX13" s="27"/>
      <c r="ASY13" s="27"/>
      <c r="ASZ13" s="27"/>
      <c r="ATA13" s="27"/>
      <c r="ATB13" s="27"/>
      <c r="ATC13" s="27"/>
      <c r="ATD13" s="27"/>
      <c r="ATE13" s="27"/>
      <c r="ATF13" s="29"/>
      <c r="ATG13" s="37"/>
      <c r="ATH13" s="26"/>
      <c r="ATI13" s="27"/>
      <c r="ATJ13" s="27"/>
      <c r="ATK13" s="27"/>
      <c r="ATL13" s="27"/>
      <c r="ATM13" s="27"/>
      <c r="ATN13" s="27"/>
      <c r="ATO13" s="27"/>
      <c r="ATP13" s="27"/>
      <c r="ATQ13" s="27"/>
      <c r="ATR13" s="27"/>
      <c r="ATS13" s="27"/>
      <c r="ATT13" s="27"/>
      <c r="ATU13" s="27"/>
      <c r="ATV13" s="27"/>
      <c r="ATW13" s="27"/>
      <c r="ATX13" s="27"/>
      <c r="ATY13" s="27"/>
      <c r="ATZ13" s="27"/>
      <c r="AUA13" s="27"/>
      <c r="AUB13" s="27"/>
      <c r="AUC13" s="27"/>
      <c r="AUD13" s="27"/>
      <c r="AUE13" s="27"/>
      <c r="AUF13" s="27"/>
      <c r="AUG13" s="27"/>
      <c r="AUH13" s="27"/>
      <c r="AUI13" s="27"/>
      <c r="AUJ13" s="27"/>
      <c r="AUK13" s="27"/>
      <c r="AUL13" s="27"/>
      <c r="AUM13" s="27"/>
      <c r="AUN13" s="27"/>
      <c r="AUO13" s="27"/>
      <c r="AUP13" s="27"/>
      <c r="AUQ13" s="27"/>
      <c r="AUR13" s="27"/>
      <c r="AUS13" s="27"/>
      <c r="AUT13" s="27"/>
      <c r="AUU13" s="27"/>
      <c r="AUV13" s="27"/>
      <c r="AUW13" s="27"/>
      <c r="AUX13" s="27"/>
      <c r="AUY13" s="27"/>
      <c r="AUZ13" s="27"/>
      <c r="AVA13" s="27"/>
      <c r="AVB13" s="27"/>
      <c r="AVC13" s="27"/>
      <c r="AVD13" s="27"/>
      <c r="AVE13" s="27"/>
      <c r="AVF13" s="27"/>
      <c r="AVG13" s="27"/>
      <c r="AVH13" s="27"/>
      <c r="AVI13" s="27"/>
      <c r="AVJ13" s="27"/>
      <c r="AVK13" s="27"/>
      <c r="AVL13" s="27"/>
      <c r="AVM13" s="27"/>
      <c r="AVN13" s="27"/>
      <c r="AVO13" s="27"/>
      <c r="AVP13" s="27"/>
      <c r="AVQ13" s="27"/>
      <c r="AVR13" s="27"/>
      <c r="AVS13" s="27"/>
      <c r="AVT13" s="27"/>
      <c r="AVU13" s="27"/>
      <c r="AVV13" s="27"/>
      <c r="AVW13" s="27"/>
      <c r="AVX13" s="27"/>
      <c r="AVY13" s="27"/>
      <c r="AVZ13" s="27"/>
      <c r="AWA13" s="27"/>
      <c r="AWB13" s="27"/>
      <c r="AWC13" s="27"/>
      <c r="AWD13" s="27"/>
      <c r="AWE13" s="27"/>
      <c r="AWF13" s="27"/>
      <c r="AWG13" s="27"/>
      <c r="AWH13" s="27"/>
      <c r="AWI13" s="27"/>
      <c r="AWJ13" s="27"/>
      <c r="AWK13" s="27"/>
      <c r="AWL13" s="27"/>
      <c r="AWM13" s="27"/>
      <c r="AWN13" s="27"/>
      <c r="AWO13" s="27"/>
      <c r="AWP13" s="27"/>
      <c r="AWQ13" s="27"/>
      <c r="AWR13" s="27"/>
      <c r="AWS13" s="29"/>
      <c r="AWT13" s="37"/>
      <c r="AWU13" s="26"/>
      <c r="AWV13" s="27"/>
      <c r="AWW13" s="27"/>
      <c r="AWX13" s="27"/>
      <c r="AWY13" s="27"/>
      <c r="AWZ13" s="27"/>
      <c r="AXA13" s="27"/>
      <c r="AXB13" s="27"/>
      <c r="AXC13" s="27"/>
      <c r="AXD13" s="27"/>
      <c r="AXE13" s="27"/>
      <c r="AXF13" s="27"/>
      <c r="AXG13" s="27"/>
      <c r="AXH13" s="27"/>
      <c r="AXI13" s="27"/>
      <c r="AXJ13" s="27"/>
      <c r="AXK13" s="27"/>
      <c r="AXL13" s="27"/>
      <c r="AXM13" s="27"/>
      <c r="AXN13" s="27"/>
      <c r="AXO13" s="27"/>
      <c r="AXP13" s="27"/>
      <c r="AXQ13" s="27"/>
      <c r="AXR13" s="27"/>
      <c r="AXS13" s="27"/>
      <c r="AXT13" s="27"/>
      <c r="AXU13" s="27"/>
      <c r="AXV13" s="27"/>
      <c r="AXW13" s="27"/>
      <c r="AXX13" s="27"/>
      <c r="AXY13" s="27"/>
      <c r="AXZ13" s="27"/>
      <c r="AYA13" s="27"/>
      <c r="AYB13" s="27"/>
      <c r="AYC13" s="27"/>
      <c r="AYD13" s="27"/>
      <c r="AYE13" s="27"/>
      <c r="AYF13" s="27"/>
      <c r="AYG13" s="27"/>
      <c r="AYH13" s="27"/>
      <c r="AYI13" s="27"/>
      <c r="AYJ13" s="27"/>
      <c r="AYK13" s="27"/>
      <c r="AYL13" s="27"/>
      <c r="AYM13" s="27"/>
      <c r="AYN13" s="27"/>
      <c r="AYO13" s="27"/>
      <c r="AYP13" s="27"/>
      <c r="AYQ13" s="27"/>
      <c r="AYR13" s="27"/>
      <c r="AYS13" s="27"/>
      <c r="AYT13" s="27"/>
      <c r="AYU13" s="27"/>
      <c r="AYV13" s="27"/>
      <c r="AYW13" s="27"/>
      <c r="AYX13" s="27"/>
      <c r="AYY13" s="27"/>
      <c r="AYZ13" s="27"/>
      <c r="AZA13" s="27"/>
      <c r="AZB13" s="27"/>
      <c r="AZC13" s="27"/>
      <c r="AZD13" s="27"/>
      <c r="AZE13" s="27"/>
      <c r="AZF13" s="27"/>
      <c r="AZG13" s="27"/>
      <c r="AZH13" s="27"/>
      <c r="AZI13" s="27"/>
      <c r="AZJ13" s="27"/>
      <c r="AZK13" s="27"/>
      <c r="AZL13" s="27"/>
      <c r="AZM13" s="27"/>
      <c r="AZN13" s="27"/>
      <c r="AZO13" s="27"/>
      <c r="AZP13" s="27"/>
      <c r="AZQ13" s="27"/>
      <c r="AZR13" s="27"/>
      <c r="AZS13" s="27"/>
      <c r="AZT13" s="27"/>
      <c r="AZU13" s="27"/>
      <c r="AZV13" s="27"/>
      <c r="AZW13" s="27"/>
      <c r="AZX13" s="27"/>
      <c r="AZY13" s="27"/>
      <c r="AZZ13" s="27"/>
      <c r="BAA13" s="37"/>
      <c r="BAB13" s="26"/>
      <c r="BAC13" s="27"/>
      <c r="BAD13" s="27"/>
      <c r="BAE13" s="27"/>
      <c r="BAF13" s="27"/>
      <c r="BAG13" s="27"/>
      <c r="BAH13" s="27"/>
      <c r="BAI13" s="27"/>
      <c r="BAJ13" s="27"/>
      <c r="BAK13" s="27"/>
      <c r="BAL13" s="27"/>
      <c r="BAM13" s="27"/>
      <c r="BAN13" s="27"/>
      <c r="BAO13" s="27"/>
      <c r="BAP13" s="27"/>
      <c r="BAQ13" s="27"/>
      <c r="BAR13" s="27"/>
      <c r="BAS13" s="27"/>
      <c r="BAT13" s="27"/>
      <c r="BAU13" s="27"/>
      <c r="BAV13" s="27"/>
      <c r="BAW13" s="27"/>
      <c r="BAX13" s="27"/>
      <c r="BAY13" s="27"/>
      <c r="BAZ13" s="27"/>
      <c r="BBA13" s="27"/>
      <c r="BBB13" s="27"/>
      <c r="BBC13" s="27"/>
      <c r="BBD13" s="27"/>
      <c r="BBE13" s="27"/>
      <c r="BBF13" s="27"/>
      <c r="BBG13" s="27"/>
      <c r="BBH13" s="27"/>
      <c r="BBI13" s="27"/>
      <c r="BBJ13" s="27"/>
      <c r="BBK13" s="27"/>
      <c r="BBL13" s="27"/>
      <c r="BBM13" s="27"/>
      <c r="BBN13" s="27"/>
      <c r="BBO13" s="27"/>
      <c r="BBP13" s="27"/>
      <c r="BBQ13" s="27"/>
      <c r="BBR13" s="27"/>
      <c r="BBS13" s="27"/>
      <c r="BBT13" s="27"/>
      <c r="BBU13" s="27"/>
      <c r="BBV13" s="27"/>
      <c r="BBW13" s="27"/>
      <c r="BBX13" s="27"/>
      <c r="BBY13" s="27"/>
      <c r="BBZ13" s="27"/>
      <c r="BCA13" s="27"/>
      <c r="BCB13" s="27"/>
      <c r="BCC13" s="27"/>
      <c r="BCD13" s="27"/>
      <c r="BCE13" s="27"/>
      <c r="BCF13" s="27"/>
      <c r="BCG13" s="27"/>
      <c r="BCH13" s="27"/>
      <c r="BCI13" s="27"/>
      <c r="BCJ13" s="27"/>
      <c r="BCK13" s="27"/>
      <c r="BCL13" s="27"/>
      <c r="BCM13" s="27"/>
      <c r="BCN13" s="27"/>
      <c r="BCO13" s="27"/>
      <c r="BCP13" s="27"/>
      <c r="BCQ13" s="27"/>
      <c r="BCR13" s="27"/>
      <c r="BCS13" s="27"/>
      <c r="BCT13" s="27"/>
      <c r="BCU13" s="27"/>
      <c r="BCV13" s="27"/>
      <c r="BCW13" s="27"/>
      <c r="BCX13" s="27"/>
      <c r="BCY13" s="27"/>
      <c r="BCZ13" s="27"/>
      <c r="BDA13" s="27"/>
      <c r="BDB13" s="27"/>
      <c r="BDC13" s="27"/>
      <c r="BDD13" s="27"/>
      <c r="BDE13" s="27"/>
      <c r="BDF13" s="27"/>
      <c r="BDG13" s="27"/>
      <c r="BDH13" s="27"/>
      <c r="BDI13" s="27"/>
      <c r="BDJ13" s="27"/>
      <c r="BDK13" s="27"/>
      <c r="BDL13" s="27"/>
      <c r="BDM13" s="29"/>
      <c r="BDN13" s="29"/>
      <c r="BDO13" s="29"/>
      <c r="BDP13" s="29"/>
      <c r="BDQ13" s="37"/>
      <c r="BDR13" s="26"/>
      <c r="BDS13" s="27"/>
      <c r="BDT13" s="27"/>
      <c r="BDU13" s="27"/>
      <c r="BDV13" s="27"/>
      <c r="BDW13" s="27"/>
      <c r="BDX13" s="27"/>
      <c r="BDY13" s="27"/>
      <c r="BDZ13" s="27"/>
      <c r="BEA13" s="27"/>
      <c r="BEB13" s="27"/>
      <c r="BEC13" s="27"/>
      <c r="BED13" s="27"/>
      <c r="BEE13" s="27"/>
      <c r="BEF13" s="27"/>
      <c r="BEG13" s="27"/>
      <c r="BEH13" s="27"/>
      <c r="BEI13" s="27"/>
      <c r="BEJ13" s="27"/>
      <c r="BEK13" s="27"/>
      <c r="BEL13" s="27"/>
      <c r="BEM13" s="27"/>
      <c r="BEN13" s="27"/>
      <c r="BEO13" s="27"/>
      <c r="BEP13" s="27"/>
      <c r="BEQ13" s="27"/>
      <c r="BER13" s="27"/>
      <c r="BES13" s="27"/>
      <c r="BET13" s="27"/>
      <c r="BEU13" s="27"/>
      <c r="BEV13" s="27"/>
      <c r="BEW13" s="27"/>
      <c r="BEX13" s="27"/>
      <c r="BEY13" s="27"/>
      <c r="BEZ13" s="27"/>
      <c r="BFA13" s="27"/>
      <c r="BFB13" s="27"/>
      <c r="BFC13" s="27"/>
      <c r="BFD13" s="27"/>
      <c r="BFE13" s="27"/>
      <c r="BFF13" s="27"/>
      <c r="BFG13" s="27"/>
      <c r="BFH13" s="27"/>
      <c r="BFI13" s="27"/>
      <c r="BFJ13" s="27"/>
      <c r="BFK13" s="27"/>
      <c r="BFL13" s="27"/>
      <c r="BFM13" s="27"/>
      <c r="BFN13" s="27"/>
      <c r="BFO13" s="27"/>
      <c r="BFP13" s="27"/>
      <c r="BFQ13" s="27"/>
      <c r="BFR13" s="27"/>
      <c r="BFS13" s="27"/>
      <c r="BFT13" s="27"/>
      <c r="BFU13" s="27"/>
      <c r="BFV13" s="27"/>
      <c r="BFW13" s="27"/>
      <c r="BFX13" s="27"/>
      <c r="BFY13" s="27"/>
      <c r="BFZ13" s="27"/>
      <c r="BGA13" s="27"/>
      <c r="BGB13" s="27"/>
      <c r="BGC13" s="27"/>
      <c r="BGD13" s="27"/>
      <c r="BGE13" s="27"/>
      <c r="BGF13" s="27"/>
      <c r="BGG13" s="27"/>
      <c r="BGH13" s="27"/>
      <c r="BGI13" s="27"/>
      <c r="BGJ13" s="27"/>
      <c r="BGK13" s="27"/>
      <c r="BGL13" s="27"/>
      <c r="BGM13" s="27"/>
      <c r="BGN13" s="27"/>
      <c r="BGO13" s="27"/>
      <c r="BGP13" s="27"/>
      <c r="BGQ13" s="27"/>
      <c r="BGR13" s="27"/>
      <c r="BGS13" s="27"/>
      <c r="BGT13" s="27"/>
      <c r="BGU13" s="27"/>
      <c r="BGV13" s="27"/>
      <c r="BGW13" s="27"/>
      <c r="BGX13" s="27"/>
      <c r="BGY13" s="27"/>
      <c r="BGZ13" s="27"/>
      <c r="BHA13" s="27"/>
      <c r="BHB13" s="27"/>
      <c r="BHC13" s="29"/>
      <c r="BHD13" s="37"/>
    </row>
    <row r="14" spans="1:1564" ht="31.95" customHeight="1" x14ac:dyDescent="0.3">
      <c r="A14" s="22">
        <v>10</v>
      </c>
      <c r="B14" s="40" t="s">
        <v>292</v>
      </c>
      <c r="C14" s="40" t="s">
        <v>255</v>
      </c>
      <c r="D14" s="40" t="s">
        <v>242</v>
      </c>
      <c r="E14" s="37"/>
      <c r="F14" s="30"/>
      <c r="G14" s="23"/>
      <c r="H14" s="23"/>
      <c r="I14" s="30"/>
      <c r="J14" s="23"/>
      <c r="K14" s="23"/>
      <c r="L14" s="30"/>
      <c r="M14" s="23"/>
      <c r="N14" s="23"/>
      <c r="O14" s="30"/>
      <c r="P14" s="23"/>
      <c r="Q14" s="23"/>
      <c r="R14" s="30"/>
      <c r="S14" s="23"/>
      <c r="T14" s="23"/>
      <c r="U14" s="30"/>
      <c r="V14" s="23"/>
      <c r="W14" s="23"/>
      <c r="X14" s="30"/>
      <c r="Y14" s="23"/>
      <c r="Z14" s="23"/>
      <c r="AA14" s="30"/>
      <c r="AB14" s="23"/>
      <c r="AC14" s="23"/>
      <c r="AD14" s="30"/>
      <c r="AE14" s="23"/>
      <c r="AF14" s="23"/>
      <c r="AG14" s="30"/>
      <c r="AH14" s="23"/>
      <c r="AI14" s="23"/>
      <c r="AJ14" s="30"/>
      <c r="AK14" s="23"/>
      <c r="AL14" s="23"/>
      <c r="AM14" s="30"/>
      <c r="AN14" s="23"/>
      <c r="AO14" s="23"/>
      <c r="AP14" s="30"/>
      <c r="AQ14" s="23"/>
      <c r="AR14" s="23"/>
      <c r="AS14" s="30"/>
      <c r="AT14" s="23"/>
      <c r="AU14" s="23"/>
      <c r="AV14" s="30"/>
      <c r="AW14" s="23"/>
      <c r="AX14" s="23"/>
      <c r="AY14" s="30"/>
      <c r="AZ14" s="23"/>
      <c r="BA14" s="23"/>
      <c r="BB14" s="30"/>
      <c r="BC14" s="23"/>
      <c r="BD14" s="23"/>
      <c r="BE14" s="30"/>
      <c r="BF14" s="23"/>
      <c r="BG14" s="23"/>
      <c r="BH14" s="30"/>
      <c r="BI14" s="23"/>
      <c r="BJ14" s="23"/>
      <c r="BK14" s="30"/>
      <c r="BL14" s="23"/>
      <c r="BM14" s="23"/>
      <c r="BN14" s="30"/>
      <c r="BO14" s="23"/>
      <c r="BP14" s="24"/>
      <c r="BQ14" s="30"/>
      <c r="BR14" s="23"/>
      <c r="BS14" s="23"/>
      <c r="BT14" s="30"/>
      <c r="BU14" s="23"/>
      <c r="BV14" s="23"/>
      <c r="BW14" s="30"/>
      <c r="BX14" s="23"/>
      <c r="BY14" s="23"/>
      <c r="BZ14" s="30"/>
      <c r="CA14" s="23"/>
      <c r="CB14" s="23"/>
      <c r="CC14" s="30"/>
      <c r="CD14" s="23"/>
      <c r="CE14" s="23"/>
      <c r="CF14" s="30"/>
      <c r="CG14" s="23"/>
      <c r="CH14" s="23"/>
      <c r="CI14" s="30"/>
      <c r="CJ14" s="23"/>
      <c r="CK14" s="23"/>
      <c r="CL14" s="30"/>
      <c r="CM14" s="23"/>
      <c r="CN14" s="23"/>
      <c r="CO14" s="30"/>
      <c r="CP14" s="23"/>
      <c r="CQ14" s="23"/>
      <c r="CR14" s="30"/>
      <c r="CS14" s="23"/>
      <c r="CT14" s="25"/>
      <c r="CU14" s="37"/>
      <c r="CV14" s="26"/>
      <c r="CW14" s="27"/>
      <c r="CX14" s="27"/>
      <c r="CY14" s="27"/>
      <c r="CZ14" s="27"/>
      <c r="DA14" s="27"/>
      <c r="DB14" s="26"/>
      <c r="DC14" s="27"/>
      <c r="DD14" s="27"/>
      <c r="DE14" s="26"/>
      <c r="DF14" s="27"/>
      <c r="DG14" s="27"/>
      <c r="DH14" s="26"/>
      <c r="DI14" s="27"/>
      <c r="DJ14" s="27"/>
      <c r="DK14" s="26"/>
      <c r="DL14" s="27"/>
      <c r="DM14" s="27"/>
      <c r="DN14" s="26"/>
      <c r="DO14" s="27"/>
      <c r="DP14" s="27"/>
      <c r="DQ14" s="26"/>
      <c r="DR14" s="27"/>
      <c r="DS14" s="27"/>
      <c r="DT14" s="26"/>
      <c r="DU14" s="27"/>
      <c r="DV14" s="27"/>
      <c r="DW14" s="26"/>
      <c r="DX14" s="27"/>
      <c r="DY14" s="27"/>
      <c r="DZ14" s="26"/>
      <c r="EA14" s="27"/>
      <c r="EB14" s="27"/>
      <c r="EC14" s="26"/>
      <c r="ED14" s="27"/>
      <c r="EE14" s="27"/>
      <c r="EF14" s="26"/>
      <c r="EG14" s="27"/>
      <c r="EH14" s="27"/>
      <c r="EI14" s="26"/>
      <c r="EJ14" s="27"/>
      <c r="EK14" s="27"/>
      <c r="EL14" s="26"/>
      <c r="EM14" s="27"/>
      <c r="EN14" s="27"/>
      <c r="EO14" s="26"/>
      <c r="EP14" s="27"/>
      <c r="EQ14" s="27"/>
      <c r="ER14" s="26"/>
      <c r="ES14" s="27"/>
      <c r="ET14" s="27"/>
      <c r="EU14" s="26"/>
      <c r="EV14" s="27"/>
      <c r="EW14" s="27"/>
      <c r="EX14" s="26"/>
      <c r="EY14" s="27"/>
      <c r="EZ14" s="27"/>
      <c r="FA14" s="26"/>
      <c r="FB14" s="27"/>
      <c r="FC14" s="27"/>
      <c r="FD14" s="26"/>
      <c r="FE14" s="27"/>
      <c r="FF14" s="27"/>
      <c r="FG14" s="26"/>
      <c r="FH14" s="27"/>
      <c r="FI14" s="27"/>
      <c r="FJ14" s="26"/>
      <c r="FK14" s="27"/>
      <c r="FL14" s="27"/>
      <c r="FM14" s="26"/>
      <c r="FN14" s="27"/>
      <c r="FO14" s="27"/>
      <c r="FP14" s="26"/>
      <c r="FQ14" s="27"/>
      <c r="FR14" s="27"/>
      <c r="FS14" s="26"/>
      <c r="FT14" s="27"/>
      <c r="FU14" s="27"/>
      <c r="FV14" s="26"/>
      <c r="FW14" s="27"/>
      <c r="FX14" s="27"/>
      <c r="FY14" s="26"/>
      <c r="FZ14" s="27"/>
      <c r="GA14" s="27"/>
      <c r="GB14" s="26"/>
      <c r="GC14" s="27"/>
      <c r="GD14" s="27"/>
      <c r="GE14" s="26"/>
      <c r="GF14" s="27"/>
      <c r="GG14" s="27"/>
      <c r="GH14" s="26"/>
      <c r="GI14" s="27"/>
      <c r="GJ14" s="29"/>
      <c r="GK14" s="37"/>
      <c r="GL14" s="26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37"/>
      <c r="JS14" s="26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9"/>
      <c r="NH14" s="37"/>
      <c r="NI14" s="26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37"/>
      <c r="QV14" s="26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9"/>
      <c r="UK14" s="37"/>
      <c r="UL14" s="26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37"/>
      <c r="XY14" s="26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9"/>
      <c r="ABN14" s="37"/>
      <c r="ABO14" s="26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9"/>
      <c r="AFD14" s="37"/>
      <c r="AFE14" s="26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37"/>
      <c r="AIR14" s="26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9"/>
      <c r="AMG14" s="37"/>
      <c r="AMH14" s="26"/>
      <c r="AMI14" s="27"/>
      <c r="AMJ14" s="27"/>
      <c r="AMK14" s="27"/>
      <c r="AML14" s="27"/>
      <c r="AMM14" s="27"/>
      <c r="AMN14" s="27"/>
      <c r="AMO14" s="27"/>
      <c r="AMP14" s="27"/>
      <c r="AMQ14" s="27"/>
      <c r="AMR14" s="27"/>
      <c r="AMS14" s="27"/>
      <c r="AMT14" s="27"/>
      <c r="AMU14" s="27"/>
      <c r="AMV14" s="27"/>
      <c r="AMW14" s="27"/>
      <c r="AMX14" s="27"/>
      <c r="AMY14" s="27"/>
      <c r="AMZ14" s="27"/>
      <c r="ANA14" s="27"/>
      <c r="ANB14" s="27"/>
      <c r="ANC14" s="27"/>
      <c r="AND14" s="27"/>
      <c r="ANE14" s="27"/>
      <c r="ANF14" s="27"/>
      <c r="ANG14" s="27"/>
      <c r="ANH14" s="27"/>
      <c r="ANI14" s="27"/>
      <c r="ANJ14" s="27"/>
      <c r="ANK14" s="27"/>
      <c r="ANL14" s="27"/>
      <c r="ANM14" s="27"/>
      <c r="ANN14" s="27"/>
      <c r="ANO14" s="27"/>
      <c r="ANP14" s="27"/>
      <c r="ANQ14" s="27"/>
      <c r="ANR14" s="27"/>
      <c r="ANS14" s="27"/>
      <c r="ANT14" s="27"/>
      <c r="ANU14" s="27"/>
      <c r="ANV14" s="27"/>
      <c r="ANW14" s="27"/>
      <c r="ANX14" s="27"/>
      <c r="ANY14" s="27"/>
      <c r="ANZ14" s="27"/>
      <c r="AOA14" s="27"/>
      <c r="AOB14" s="27"/>
      <c r="AOC14" s="27"/>
      <c r="AOD14" s="27"/>
      <c r="AOE14" s="27"/>
      <c r="AOF14" s="27"/>
      <c r="AOG14" s="27"/>
      <c r="AOH14" s="27"/>
      <c r="AOI14" s="27"/>
      <c r="AOJ14" s="27"/>
      <c r="AOK14" s="27"/>
      <c r="AOL14" s="27"/>
      <c r="AOM14" s="27"/>
      <c r="AON14" s="27"/>
      <c r="AOO14" s="27"/>
      <c r="AOP14" s="27"/>
      <c r="AOQ14" s="27"/>
      <c r="AOR14" s="27"/>
      <c r="AOS14" s="27"/>
      <c r="AOT14" s="27"/>
      <c r="AOU14" s="27"/>
      <c r="AOV14" s="27"/>
      <c r="AOW14" s="27"/>
      <c r="AOX14" s="27"/>
      <c r="AOY14" s="27"/>
      <c r="AOZ14" s="27"/>
      <c r="APA14" s="27"/>
      <c r="APB14" s="27"/>
      <c r="APC14" s="27"/>
      <c r="APD14" s="27"/>
      <c r="APE14" s="27"/>
      <c r="APF14" s="27"/>
      <c r="APG14" s="27"/>
      <c r="APH14" s="27"/>
      <c r="API14" s="27"/>
      <c r="APJ14" s="27"/>
      <c r="APK14" s="27"/>
      <c r="APL14" s="27"/>
      <c r="APM14" s="27"/>
      <c r="APN14" s="27"/>
      <c r="APO14" s="27"/>
      <c r="APP14" s="27"/>
      <c r="APQ14" s="27"/>
      <c r="APR14" s="27"/>
      <c r="APS14" s="29"/>
      <c r="APT14" s="37"/>
      <c r="APU14" s="26"/>
      <c r="APV14" s="27"/>
      <c r="APW14" s="27"/>
      <c r="APX14" s="27"/>
      <c r="APY14" s="27"/>
      <c r="APZ14" s="27"/>
      <c r="AQA14" s="27"/>
      <c r="AQB14" s="27"/>
      <c r="AQC14" s="27"/>
      <c r="AQD14" s="27"/>
      <c r="AQE14" s="27"/>
      <c r="AQF14" s="27"/>
      <c r="AQG14" s="27"/>
      <c r="AQH14" s="27"/>
      <c r="AQI14" s="27"/>
      <c r="AQJ14" s="27"/>
      <c r="AQK14" s="27"/>
      <c r="AQL14" s="27"/>
      <c r="AQM14" s="27"/>
      <c r="AQN14" s="27"/>
      <c r="AQO14" s="27"/>
      <c r="AQP14" s="27"/>
      <c r="AQQ14" s="27"/>
      <c r="AQR14" s="27"/>
      <c r="AQS14" s="27"/>
      <c r="AQT14" s="27"/>
      <c r="AQU14" s="27"/>
      <c r="AQV14" s="27"/>
      <c r="AQW14" s="27"/>
      <c r="AQX14" s="27"/>
      <c r="AQY14" s="27"/>
      <c r="AQZ14" s="27"/>
      <c r="ARA14" s="27"/>
      <c r="ARB14" s="27"/>
      <c r="ARC14" s="27"/>
      <c r="ARD14" s="27"/>
      <c r="ARE14" s="27"/>
      <c r="ARF14" s="27"/>
      <c r="ARG14" s="27"/>
      <c r="ARH14" s="27"/>
      <c r="ARI14" s="27"/>
      <c r="ARJ14" s="27"/>
      <c r="ARK14" s="27"/>
      <c r="ARL14" s="27"/>
      <c r="ARM14" s="27"/>
      <c r="ARN14" s="27"/>
      <c r="ARO14" s="27"/>
      <c r="ARP14" s="27"/>
      <c r="ARQ14" s="27"/>
      <c r="ARR14" s="27"/>
      <c r="ARS14" s="27"/>
      <c r="ART14" s="27"/>
      <c r="ARU14" s="27"/>
      <c r="ARV14" s="27"/>
      <c r="ARW14" s="27"/>
      <c r="ARX14" s="27"/>
      <c r="ARY14" s="27"/>
      <c r="ARZ14" s="27"/>
      <c r="ASA14" s="27"/>
      <c r="ASB14" s="27"/>
      <c r="ASC14" s="27"/>
      <c r="ASD14" s="27"/>
      <c r="ASE14" s="27"/>
      <c r="ASF14" s="27"/>
      <c r="ASG14" s="27"/>
      <c r="ASH14" s="27"/>
      <c r="ASI14" s="27"/>
      <c r="ASJ14" s="27"/>
      <c r="ASK14" s="27"/>
      <c r="ASL14" s="27"/>
      <c r="ASM14" s="27"/>
      <c r="ASN14" s="27"/>
      <c r="ASO14" s="27"/>
      <c r="ASP14" s="27"/>
      <c r="ASQ14" s="27"/>
      <c r="ASR14" s="27"/>
      <c r="ASS14" s="27"/>
      <c r="AST14" s="27"/>
      <c r="ASU14" s="27"/>
      <c r="ASV14" s="27"/>
      <c r="ASW14" s="27"/>
      <c r="ASX14" s="27"/>
      <c r="ASY14" s="27"/>
      <c r="ASZ14" s="27"/>
      <c r="ATA14" s="27"/>
      <c r="ATB14" s="27"/>
      <c r="ATC14" s="27"/>
      <c r="ATD14" s="27"/>
      <c r="ATE14" s="27"/>
      <c r="ATF14" s="29"/>
      <c r="ATG14" s="37"/>
      <c r="ATH14" s="26"/>
      <c r="ATI14" s="27"/>
      <c r="ATJ14" s="27"/>
      <c r="ATK14" s="27"/>
      <c r="ATL14" s="27"/>
      <c r="ATM14" s="27"/>
      <c r="ATN14" s="27"/>
      <c r="ATO14" s="27"/>
      <c r="ATP14" s="27"/>
      <c r="ATQ14" s="27"/>
      <c r="ATR14" s="27"/>
      <c r="ATS14" s="27"/>
      <c r="ATT14" s="27"/>
      <c r="ATU14" s="27"/>
      <c r="ATV14" s="27"/>
      <c r="ATW14" s="27"/>
      <c r="ATX14" s="27"/>
      <c r="ATY14" s="27"/>
      <c r="ATZ14" s="27"/>
      <c r="AUA14" s="27"/>
      <c r="AUB14" s="27"/>
      <c r="AUC14" s="27"/>
      <c r="AUD14" s="27"/>
      <c r="AUE14" s="27"/>
      <c r="AUF14" s="27"/>
      <c r="AUG14" s="27"/>
      <c r="AUH14" s="27"/>
      <c r="AUI14" s="27"/>
      <c r="AUJ14" s="27"/>
      <c r="AUK14" s="27"/>
      <c r="AUL14" s="27"/>
      <c r="AUM14" s="27"/>
      <c r="AUN14" s="27"/>
      <c r="AUO14" s="27"/>
      <c r="AUP14" s="27"/>
      <c r="AUQ14" s="27"/>
      <c r="AUR14" s="27"/>
      <c r="AUS14" s="27"/>
      <c r="AUT14" s="27"/>
      <c r="AUU14" s="27"/>
      <c r="AUV14" s="27"/>
      <c r="AUW14" s="27"/>
      <c r="AUX14" s="27"/>
      <c r="AUY14" s="27"/>
      <c r="AUZ14" s="27"/>
      <c r="AVA14" s="27"/>
      <c r="AVB14" s="27"/>
      <c r="AVC14" s="27"/>
      <c r="AVD14" s="27"/>
      <c r="AVE14" s="27"/>
      <c r="AVF14" s="27"/>
      <c r="AVG14" s="27"/>
      <c r="AVH14" s="27"/>
      <c r="AVI14" s="27"/>
      <c r="AVJ14" s="27"/>
      <c r="AVK14" s="27"/>
      <c r="AVL14" s="27"/>
      <c r="AVM14" s="27"/>
      <c r="AVN14" s="27"/>
      <c r="AVO14" s="27"/>
      <c r="AVP14" s="27"/>
      <c r="AVQ14" s="27"/>
      <c r="AVR14" s="27"/>
      <c r="AVS14" s="27"/>
      <c r="AVT14" s="27"/>
      <c r="AVU14" s="27"/>
      <c r="AVV14" s="27"/>
      <c r="AVW14" s="27"/>
      <c r="AVX14" s="27"/>
      <c r="AVY14" s="27"/>
      <c r="AVZ14" s="27"/>
      <c r="AWA14" s="27"/>
      <c r="AWB14" s="27"/>
      <c r="AWC14" s="27"/>
      <c r="AWD14" s="27"/>
      <c r="AWE14" s="27"/>
      <c r="AWF14" s="27"/>
      <c r="AWG14" s="27"/>
      <c r="AWH14" s="27"/>
      <c r="AWI14" s="27"/>
      <c r="AWJ14" s="27"/>
      <c r="AWK14" s="27"/>
      <c r="AWL14" s="27"/>
      <c r="AWM14" s="27"/>
      <c r="AWN14" s="27"/>
      <c r="AWO14" s="27"/>
      <c r="AWP14" s="27"/>
      <c r="AWQ14" s="27"/>
      <c r="AWR14" s="27"/>
      <c r="AWS14" s="29"/>
      <c r="AWT14" s="37"/>
      <c r="AWU14" s="26"/>
      <c r="AWV14" s="27"/>
      <c r="AWW14" s="27"/>
      <c r="AWX14" s="27"/>
      <c r="AWY14" s="27"/>
      <c r="AWZ14" s="27"/>
      <c r="AXA14" s="27"/>
      <c r="AXB14" s="27"/>
      <c r="AXC14" s="27"/>
      <c r="AXD14" s="27"/>
      <c r="AXE14" s="27"/>
      <c r="AXF14" s="27"/>
      <c r="AXG14" s="27"/>
      <c r="AXH14" s="27"/>
      <c r="AXI14" s="27"/>
      <c r="AXJ14" s="27"/>
      <c r="AXK14" s="27"/>
      <c r="AXL14" s="27"/>
      <c r="AXM14" s="27"/>
      <c r="AXN14" s="27"/>
      <c r="AXO14" s="27"/>
      <c r="AXP14" s="27"/>
      <c r="AXQ14" s="27"/>
      <c r="AXR14" s="27"/>
      <c r="AXS14" s="27"/>
      <c r="AXT14" s="27"/>
      <c r="AXU14" s="27"/>
      <c r="AXV14" s="27"/>
      <c r="AXW14" s="27"/>
      <c r="AXX14" s="27"/>
      <c r="AXY14" s="27"/>
      <c r="AXZ14" s="27"/>
      <c r="AYA14" s="27"/>
      <c r="AYB14" s="27"/>
      <c r="AYC14" s="27"/>
      <c r="AYD14" s="27"/>
      <c r="AYE14" s="27"/>
      <c r="AYF14" s="27"/>
      <c r="AYG14" s="27"/>
      <c r="AYH14" s="27"/>
      <c r="AYI14" s="27"/>
      <c r="AYJ14" s="27"/>
      <c r="AYK14" s="27"/>
      <c r="AYL14" s="27"/>
      <c r="AYM14" s="27"/>
      <c r="AYN14" s="27"/>
      <c r="AYO14" s="27"/>
      <c r="AYP14" s="27"/>
      <c r="AYQ14" s="27"/>
      <c r="AYR14" s="27"/>
      <c r="AYS14" s="27"/>
      <c r="AYT14" s="27"/>
      <c r="AYU14" s="27"/>
      <c r="AYV14" s="27"/>
      <c r="AYW14" s="27"/>
      <c r="AYX14" s="27"/>
      <c r="AYY14" s="27"/>
      <c r="AYZ14" s="27"/>
      <c r="AZA14" s="27"/>
      <c r="AZB14" s="27"/>
      <c r="AZC14" s="27"/>
      <c r="AZD14" s="27"/>
      <c r="AZE14" s="27"/>
      <c r="AZF14" s="27"/>
      <c r="AZG14" s="27"/>
      <c r="AZH14" s="27"/>
      <c r="AZI14" s="27"/>
      <c r="AZJ14" s="27"/>
      <c r="AZK14" s="27"/>
      <c r="AZL14" s="27"/>
      <c r="AZM14" s="27"/>
      <c r="AZN14" s="27"/>
      <c r="AZO14" s="27"/>
      <c r="AZP14" s="27"/>
      <c r="AZQ14" s="27"/>
      <c r="AZR14" s="27"/>
      <c r="AZS14" s="27"/>
      <c r="AZT14" s="27"/>
      <c r="AZU14" s="27"/>
      <c r="AZV14" s="27"/>
      <c r="AZW14" s="27"/>
      <c r="AZX14" s="27"/>
      <c r="AZY14" s="27"/>
      <c r="AZZ14" s="27"/>
      <c r="BAA14" s="37"/>
      <c r="BAB14" s="26"/>
      <c r="BAC14" s="27"/>
      <c r="BAD14" s="27"/>
      <c r="BAE14" s="27"/>
      <c r="BAF14" s="27"/>
      <c r="BAG14" s="27"/>
      <c r="BAH14" s="27"/>
      <c r="BAI14" s="27"/>
      <c r="BAJ14" s="27"/>
      <c r="BAK14" s="27"/>
      <c r="BAL14" s="27"/>
      <c r="BAM14" s="27"/>
      <c r="BAN14" s="27"/>
      <c r="BAO14" s="27"/>
      <c r="BAP14" s="27"/>
      <c r="BAQ14" s="27"/>
      <c r="BAR14" s="27"/>
      <c r="BAS14" s="27"/>
      <c r="BAT14" s="27"/>
      <c r="BAU14" s="27"/>
      <c r="BAV14" s="27"/>
      <c r="BAW14" s="27"/>
      <c r="BAX14" s="27"/>
      <c r="BAY14" s="27"/>
      <c r="BAZ14" s="27"/>
      <c r="BBA14" s="27"/>
      <c r="BBB14" s="27"/>
      <c r="BBC14" s="27"/>
      <c r="BBD14" s="27"/>
      <c r="BBE14" s="27"/>
      <c r="BBF14" s="27"/>
      <c r="BBG14" s="27"/>
      <c r="BBH14" s="27"/>
      <c r="BBI14" s="27"/>
      <c r="BBJ14" s="27"/>
      <c r="BBK14" s="27"/>
      <c r="BBL14" s="27"/>
      <c r="BBM14" s="27"/>
      <c r="BBN14" s="27"/>
      <c r="BBO14" s="27"/>
      <c r="BBP14" s="27"/>
      <c r="BBQ14" s="27"/>
      <c r="BBR14" s="27"/>
      <c r="BBS14" s="27"/>
      <c r="BBT14" s="27"/>
      <c r="BBU14" s="27"/>
      <c r="BBV14" s="27"/>
      <c r="BBW14" s="27"/>
      <c r="BBX14" s="27"/>
      <c r="BBY14" s="27"/>
      <c r="BBZ14" s="27"/>
      <c r="BCA14" s="27"/>
      <c r="BCB14" s="27"/>
      <c r="BCC14" s="27"/>
      <c r="BCD14" s="27"/>
      <c r="BCE14" s="27"/>
      <c r="BCF14" s="27"/>
      <c r="BCG14" s="27"/>
      <c r="BCH14" s="27"/>
      <c r="BCI14" s="27"/>
      <c r="BCJ14" s="27"/>
      <c r="BCK14" s="27"/>
      <c r="BCL14" s="27"/>
      <c r="BCM14" s="27"/>
      <c r="BCN14" s="27"/>
      <c r="BCO14" s="27"/>
      <c r="BCP14" s="27"/>
      <c r="BCQ14" s="27"/>
      <c r="BCR14" s="27"/>
      <c r="BCS14" s="27"/>
      <c r="BCT14" s="27"/>
      <c r="BCU14" s="27"/>
      <c r="BCV14" s="27"/>
      <c r="BCW14" s="27"/>
      <c r="BCX14" s="27"/>
      <c r="BCY14" s="27"/>
      <c r="BCZ14" s="27"/>
      <c r="BDA14" s="27"/>
      <c r="BDB14" s="27"/>
      <c r="BDC14" s="27"/>
      <c r="BDD14" s="27"/>
      <c r="BDE14" s="27"/>
      <c r="BDF14" s="27"/>
      <c r="BDG14" s="27"/>
      <c r="BDH14" s="27"/>
      <c r="BDI14" s="27"/>
      <c r="BDJ14" s="27"/>
      <c r="BDK14" s="27"/>
      <c r="BDL14" s="27"/>
      <c r="BDM14" s="29"/>
      <c r="BDN14" s="29"/>
      <c r="BDO14" s="29"/>
      <c r="BDP14" s="29"/>
      <c r="BDQ14" s="37"/>
      <c r="BDR14" s="26"/>
      <c r="BDS14" s="27"/>
      <c r="BDT14" s="27"/>
      <c r="BDU14" s="27"/>
      <c r="BDV14" s="27"/>
      <c r="BDW14" s="27"/>
      <c r="BDX14" s="27"/>
      <c r="BDY14" s="27"/>
      <c r="BDZ14" s="27"/>
      <c r="BEA14" s="27"/>
      <c r="BEB14" s="27"/>
      <c r="BEC14" s="27"/>
      <c r="BED14" s="27"/>
      <c r="BEE14" s="27"/>
      <c r="BEF14" s="27"/>
      <c r="BEG14" s="27"/>
      <c r="BEH14" s="27"/>
      <c r="BEI14" s="27"/>
      <c r="BEJ14" s="27"/>
      <c r="BEK14" s="27"/>
      <c r="BEL14" s="27"/>
      <c r="BEM14" s="27"/>
      <c r="BEN14" s="27"/>
      <c r="BEO14" s="27"/>
      <c r="BEP14" s="27"/>
      <c r="BEQ14" s="27"/>
      <c r="BER14" s="27"/>
      <c r="BES14" s="27"/>
      <c r="BET14" s="27"/>
      <c r="BEU14" s="27"/>
      <c r="BEV14" s="27"/>
      <c r="BEW14" s="27"/>
      <c r="BEX14" s="27"/>
      <c r="BEY14" s="27"/>
      <c r="BEZ14" s="27"/>
      <c r="BFA14" s="27"/>
      <c r="BFB14" s="27"/>
      <c r="BFC14" s="27"/>
      <c r="BFD14" s="27"/>
      <c r="BFE14" s="27"/>
      <c r="BFF14" s="27"/>
      <c r="BFG14" s="27"/>
      <c r="BFH14" s="27"/>
      <c r="BFI14" s="27"/>
      <c r="BFJ14" s="27"/>
      <c r="BFK14" s="27"/>
      <c r="BFL14" s="27"/>
      <c r="BFM14" s="27"/>
      <c r="BFN14" s="27"/>
      <c r="BFO14" s="27"/>
      <c r="BFP14" s="27"/>
      <c r="BFQ14" s="27"/>
      <c r="BFR14" s="27"/>
      <c r="BFS14" s="27"/>
      <c r="BFT14" s="27"/>
      <c r="BFU14" s="27"/>
      <c r="BFV14" s="27"/>
      <c r="BFW14" s="27"/>
      <c r="BFX14" s="27"/>
      <c r="BFY14" s="27"/>
      <c r="BFZ14" s="27"/>
      <c r="BGA14" s="27"/>
      <c r="BGB14" s="27"/>
      <c r="BGC14" s="27"/>
      <c r="BGD14" s="27"/>
      <c r="BGE14" s="27"/>
      <c r="BGF14" s="27"/>
      <c r="BGG14" s="27"/>
      <c r="BGH14" s="27"/>
      <c r="BGI14" s="27"/>
      <c r="BGJ14" s="27"/>
      <c r="BGK14" s="27"/>
      <c r="BGL14" s="27"/>
      <c r="BGM14" s="27"/>
      <c r="BGN14" s="27"/>
      <c r="BGO14" s="27"/>
      <c r="BGP14" s="27"/>
      <c r="BGQ14" s="27"/>
      <c r="BGR14" s="27"/>
      <c r="BGS14" s="27"/>
      <c r="BGT14" s="27"/>
      <c r="BGU14" s="27"/>
      <c r="BGV14" s="27"/>
      <c r="BGW14" s="27"/>
      <c r="BGX14" s="27"/>
      <c r="BGY14" s="27"/>
      <c r="BGZ14" s="27"/>
      <c r="BHA14" s="27"/>
      <c r="BHB14" s="27"/>
      <c r="BHC14" s="29"/>
      <c r="BHD14" s="37"/>
    </row>
    <row r="15" spans="1:1564" ht="31.95" customHeight="1" x14ac:dyDescent="0.3">
      <c r="A15" s="22">
        <v>11</v>
      </c>
      <c r="B15" s="40" t="s">
        <v>293</v>
      </c>
      <c r="C15" s="40" t="s">
        <v>256</v>
      </c>
      <c r="D15" s="40" t="s">
        <v>257</v>
      </c>
      <c r="E15" s="37"/>
      <c r="F15" s="30"/>
      <c r="G15" s="23"/>
      <c r="H15" s="23"/>
      <c r="I15" s="30"/>
      <c r="J15" s="23"/>
      <c r="K15" s="23"/>
      <c r="L15" s="30"/>
      <c r="M15" s="23"/>
      <c r="N15" s="23"/>
      <c r="O15" s="30"/>
      <c r="P15" s="23"/>
      <c r="Q15" s="23"/>
      <c r="R15" s="30"/>
      <c r="S15" s="23"/>
      <c r="T15" s="23"/>
      <c r="U15" s="30"/>
      <c r="V15" s="23"/>
      <c r="W15" s="23"/>
      <c r="X15" s="30"/>
      <c r="Y15" s="23"/>
      <c r="Z15" s="23"/>
      <c r="AA15" s="30"/>
      <c r="AB15" s="23"/>
      <c r="AC15" s="23"/>
      <c r="AD15" s="30"/>
      <c r="AE15" s="23"/>
      <c r="AF15" s="23"/>
      <c r="AG15" s="30"/>
      <c r="AH15" s="23"/>
      <c r="AI15" s="23"/>
      <c r="AJ15" s="30"/>
      <c r="AK15" s="23"/>
      <c r="AL15" s="23"/>
      <c r="AM15" s="30"/>
      <c r="AN15" s="23"/>
      <c r="AO15" s="23"/>
      <c r="AP15" s="30"/>
      <c r="AQ15" s="23"/>
      <c r="AR15" s="23"/>
      <c r="AS15" s="30"/>
      <c r="AT15" s="23"/>
      <c r="AU15" s="23"/>
      <c r="AV15" s="30"/>
      <c r="AW15" s="23"/>
      <c r="AX15" s="23"/>
      <c r="AY15" s="30"/>
      <c r="AZ15" s="23"/>
      <c r="BA15" s="23"/>
      <c r="BB15" s="30"/>
      <c r="BC15" s="23"/>
      <c r="BD15" s="23"/>
      <c r="BE15" s="30"/>
      <c r="BF15" s="23"/>
      <c r="BG15" s="23"/>
      <c r="BH15" s="30"/>
      <c r="BI15" s="23"/>
      <c r="BJ15" s="23"/>
      <c r="BK15" s="30"/>
      <c r="BL15" s="23"/>
      <c r="BM15" s="23"/>
      <c r="BN15" s="30"/>
      <c r="BO15" s="23"/>
      <c r="BP15" s="24"/>
      <c r="BQ15" s="30"/>
      <c r="BR15" s="23"/>
      <c r="BS15" s="23"/>
      <c r="BT15" s="30"/>
      <c r="BU15" s="23"/>
      <c r="BV15" s="23"/>
      <c r="BW15" s="30"/>
      <c r="BX15" s="23"/>
      <c r="BY15" s="23"/>
      <c r="BZ15" s="30"/>
      <c r="CA15" s="23"/>
      <c r="CB15" s="23"/>
      <c r="CC15" s="30"/>
      <c r="CD15" s="23"/>
      <c r="CE15" s="23"/>
      <c r="CF15" s="30"/>
      <c r="CG15" s="23"/>
      <c r="CH15" s="23"/>
      <c r="CI15" s="30"/>
      <c r="CJ15" s="23"/>
      <c r="CK15" s="23"/>
      <c r="CL15" s="30"/>
      <c r="CM15" s="23"/>
      <c r="CN15" s="23"/>
      <c r="CO15" s="30"/>
      <c r="CP15" s="23"/>
      <c r="CQ15" s="23"/>
      <c r="CR15" s="30"/>
      <c r="CS15" s="23"/>
      <c r="CT15" s="25"/>
      <c r="CU15" s="37"/>
      <c r="CV15" s="26"/>
      <c r="CW15" s="27"/>
      <c r="CX15" s="27"/>
      <c r="CY15" s="27"/>
      <c r="CZ15" s="27"/>
      <c r="DA15" s="27"/>
      <c r="DB15" s="26"/>
      <c r="DC15" s="27"/>
      <c r="DD15" s="27"/>
      <c r="DE15" s="26"/>
      <c r="DF15" s="27"/>
      <c r="DG15" s="27"/>
      <c r="DH15" s="26"/>
      <c r="DI15" s="27"/>
      <c r="DJ15" s="27"/>
      <c r="DK15" s="26"/>
      <c r="DL15" s="27"/>
      <c r="DM15" s="27"/>
      <c r="DN15" s="26"/>
      <c r="DO15" s="27"/>
      <c r="DP15" s="27"/>
      <c r="DQ15" s="26"/>
      <c r="DR15" s="27"/>
      <c r="DS15" s="27"/>
      <c r="DT15" s="26"/>
      <c r="DU15" s="27"/>
      <c r="DV15" s="27"/>
      <c r="DW15" s="26"/>
      <c r="DX15" s="27"/>
      <c r="DY15" s="27"/>
      <c r="DZ15" s="26"/>
      <c r="EA15" s="27"/>
      <c r="EB15" s="27"/>
      <c r="EC15" s="26"/>
      <c r="ED15" s="27"/>
      <c r="EE15" s="27"/>
      <c r="EF15" s="26"/>
      <c r="EG15" s="27"/>
      <c r="EH15" s="27"/>
      <c r="EI15" s="26"/>
      <c r="EJ15" s="27"/>
      <c r="EK15" s="27"/>
      <c r="EL15" s="26"/>
      <c r="EM15" s="27"/>
      <c r="EN15" s="27"/>
      <c r="EO15" s="26"/>
      <c r="EP15" s="27"/>
      <c r="EQ15" s="27"/>
      <c r="ER15" s="26"/>
      <c r="ES15" s="27"/>
      <c r="ET15" s="27"/>
      <c r="EU15" s="26"/>
      <c r="EV15" s="27"/>
      <c r="EW15" s="27"/>
      <c r="EX15" s="26"/>
      <c r="EY15" s="27"/>
      <c r="EZ15" s="27"/>
      <c r="FA15" s="26"/>
      <c r="FB15" s="27"/>
      <c r="FC15" s="27"/>
      <c r="FD15" s="26"/>
      <c r="FE15" s="27"/>
      <c r="FF15" s="27"/>
      <c r="FG15" s="26"/>
      <c r="FH15" s="27"/>
      <c r="FI15" s="27"/>
      <c r="FJ15" s="26"/>
      <c r="FK15" s="27"/>
      <c r="FL15" s="27"/>
      <c r="FM15" s="26"/>
      <c r="FN15" s="27"/>
      <c r="FO15" s="27"/>
      <c r="FP15" s="26"/>
      <c r="FQ15" s="27"/>
      <c r="FR15" s="27"/>
      <c r="FS15" s="26"/>
      <c r="FT15" s="27"/>
      <c r="FU15" s="27"/>
      <c r="FV15" s="26"/>
      <c r="FW15" s="27"/>
      <c r="FX15" s="27"/>
      <c r="FY15" s="26"/>
      <c r="FZ15" s="27"/>
      <c r="GA15" s="27"/>
      <c r="GB15" s="26"/>
      <c r="GC15" s="27"/>
      <c r="GD15" s="27"/>
      <c r="GE15" s="26"/>
      <c r="GF15" s="27"/>
      <c r="GG15" s="27"/>
      <c r="GH15" s="26"/>
      <c r="GI15" s="27"/>
      <c r="GJ15" s="29"/>
      <c r="GK15" s="37"/>
      <c r="GL15" s="26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37"/>
      <c r="JS15" s="26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9"/>
      <c r="NH15" s="37"/>
      <c r="NI15" s="26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37"/>
      <c r="QV15" s="26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>
        <v>8</v>
      </c>
      <c r="TZ15" s="27">
        <v>45</v>
      </c>
      <c r="UA15" s="27" t="s">
        <v>246</v>
      </c>
      <c r="UB15" s="27"/>
      <c r="UC15" s="27"/>
      <c r="UD15" s="27"/>
      <c r="UE15" s="27"/>
      <c r="UF15" s="27"/>
      <c r="UG15" s="27"/>
      <c r="UH15" s="27"/>
      <c r="UI15" s="27"/>
      <c r="UJ15" s="29"/>
      <c r="UK15" s="37"/>
      <c r="UL15" s="26"/>
      <c r="UM15" s="27"/>
      <c r="UN15" s="27"/>
      <c r="UO15" s="27">
        <v>8</v>
      </c>
      <c r="UP15" s="27">
        <v>45</v>
      </c>
      <c r="UQ15" s="27" t="s">
        <v>244</v>
      </c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>
        <v>8</v>
      </c>
      <c r="VK15" s="27">
        <v>45</v>
      </c>
      <c r="VL15" s="27" t="s">
        <v>244</v>
      </c>
      <c r="VM15" s="27">
        <v>8</v>
      </c>
      <c r="VN15" s="27">
        <v>45</v>
      </c>
      <c r="VO15" s="27" t="s">
        <v>244</v>
      </c>
      <c r="VP15" s="27">
        <v>8</v>
      </c>
      <c r="VQ15" s="27">
        <v>45</v>
      </c>
      <c r="VR15" s="27" t="s">
        <v>244</v>
      </c>
      <c r="VS15" s="27"/>
      <c r="VT15" s="27"/>
      <c r="VU15" s="27"/>
      <c r="VV15" s="27"/>
      <c r="VW15" s="27"/>
      <c r="VX15" s="27"/>
      <c r="VY15" s="27"/>
      <c r="VZ15" s="27"/>
      <c r="WA15" s="27"/>
      <c r="WB15" s="27">
        <v>8</v>
      </c>
      <c r="WC15" s="27">
        <v>45</v>
      </c>
      <c r="WD15" s="27" t="s">
        <v>246</v>
      </c>
      <c r="WE15" s="27">
        <v>8</v>
      </c>
      <c r="WF15" s="27">
        <v>45</v>
      </c>
      <c r="WG15" s="27" t="s">
        <v>246</v>
      </c>
      <c r="WH15" s="27"/>
      <c r="WI15" s="27"/>
      <c r="WJ15" s="27"/>
      <c r="WK15" s="27">
        <v>8</v>
      </c>
      <c r="WL15" s="27">
        <v>45</v>
      </c>
      <c r="WM15" s="27" t="s">
        <v>246</v>
      </c>
      <c r="WN15" s="27">
        <v>8</v>
      </c>
      <c r="WO15" s="27">
        <v>45</v>
      </c>
      <c r="WP15" s="27" t="s">
        <v>246</v>
      </c>
      <c r="WQ15" s="27"/>
      <c r="WR15" s="27"/>
      <c r="WS15" s="27"/>
      <c r="WT15" s="27">
        <v>8</v>
      </c>
      <c r="WU15" s="27">
        <v>45</v>
      </c>
      <c r="WV15" s="27" t="s">
        <v>246</v>
      </c>
      <c r="WW15" s="27">
        <v>8</v>
      </c>
      <c r="WX15" s="27">
        <v>42</v>
      </c>
      <c r="WY15" s="27" t="s">
        <v>246</v>
      </c>
      <c r="WZ15" s="27">
        <v>8</v>
      </c>
      <c r="XA15" s="27">
        <v>42</v>
      </c>
      <c r="XB15" s="27" t="s">
        <v>246</v>
      </c>
      <c r="XC15" s="27">
        <v>8</v>
      </c>
      <c r="XD15" s="27">
        <v>42</v>
      </c>
      <c r="XE15" s="27" t="s">
        <v>246</v>
      </c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>
        <v>8</v>
      </c>
      <c r="XV15" s="27">
        <v>42</v>
      </c>
      <c r="XW15" s="27" t="s">
        <v>246</v>
      </c>
      <c r="XX15" s="37"/>
      <c r="XY15" s="27">
        <v>8</v>
      </c>
      <c r="XZ15" s="27">
        <v>42</v>
      </c>
      <c r="YA15" s="27" t="s">
        <v>246</v>
      </c>
      <c r="YB15" s="27">
        <v>8</v>
      </c>
      <c r="YC15" s="27">
        <v>42</v>
      </c>
      <c r="YD15" s="27" t="s">
        <v>246</v>
      </c>
      <c r="YE15" s="27">
        <v>8</v>
      </c>
      <c r="YF15" s="27">
        <v>42</v>
      </c>
      <c r="YG15" s="27" t="s">
        <v>246</v>
      </c>
      <c r="YH15" s="27"/>
      <c r="YI15" s="27"/>
      <c r="YJ15" s="27"/>
      <c r="YK15" s="27"/>
      <c r="YL15" s="27"/>
      <c r="YM15" s="27"/>
      <c r="YN15" s="27"/>
      <c r="YO15" s="27"/>
      <c r="YP15" s="27"/>
      <c r="YQ15" s="27">
        <v>8</v>
      </c>
      <c r="YR15" s="27">
        <v>42</v>
      </c>
      <c r="YS15" s="27" t="s">
        <v>246</v>
      </c>
      <c r="YT15" s="27"/>
      <c r="YU15" s="27"/>
      <c r="YV15" s="27"/>
      <c r="YW15" s="27">
        <v>8</v>
      </c>
      <c r="YX15" s="27">
        <v>42</v>
      </c>
      <c r="YY15" s="27" t="s">
        <v>246</v>
      </c>
      <c r="YZ15" s="27">
        <v>8</v>
      </c>
      <c r="ZA15" s="27">
        <v>42</v>
      </c>
      <c r="ZB15" s="27" t="s">
        <v>246</v>
      </c>
      <c r="ZC15" s="27"/>
      <c r="ZD15" s="27"/>
      <c r="ZE15" s="27"/>
      <c r="ZF15" s="27"/>
      <c r="ZG15" s="27"/>
      <c r="ZH15" s="27"/>
      <c r="ZI15" s="27">
        <v>8</v>
      </c>
      <c r="ZJ15" s="27">
        <v>42</v>
      </c>
      <c r="ZK15" s="27" t="s">
        <v>246</v>
      </c>
      <c r="ZL15" s="27">
        <v>8</v>
      </c>
      <c r="ZM15" s="27">
        <v>42</v>
      </c>
      <c r="ZN15" s="27" t="s">
        <v>246</v>
      </c>
      <c r="ZO15" s="27">
        <v>8</v>
      </c>
      <c r="ZP15" s="27">
        <v>42</v>
      </c>
      <c r="ZQ15" s="27" t="s">
        <v>246</v>
      </c>
      <c r="ZR15" s="27">
        <v>8</v>
      </c>
      <c r="ZS15" s="27">
        <v>42</v>
      </c>
      <c r="ZT15" s="27" t="s">
        <v>246</v>
      </c>
      <c r="ZU15" s="27">
        <v>8</v>
      </c>
      <c r="ZV15" s="27">
        <v>42</v>
      </c>
      <c r="ZW15" s="27" t="s">
        <v>246</v>
      </c>
      <c r="ZX15" s="27"/>
      <c r="ZY15" s="27"/>
      <c r="ZZ15" s="27"/>
      <c r="AAA15" s="27"/>
      <c r="AAB15" s="27"/>
      <c r="AAC15" s="27"/>
      <c r="AAD15" s="27">
        <v>8</v>
      </c>
      <c r="AAE15" s="27">
        <v>42</v>
      </c>
      <c r="AAF15" s="27" t="s">
        <v>246</v>
      </c>
      <c r="AAG15" s="27">
        <v>8</v>
      </c>
      <c r="AAH15" s="27">
        <v>42</v>
      </c>
      <c r="AAI15" s="27" t="s">
        <v>246</v>
      </c>
      <c r="AAJ15" s="27"/>
      <c r="AAK15" s="27"/>
      <c r="AAL15" s="27"/>
      <c r="AAM15" s="27">
        <v>8</v>
      </c>
      <c r="AAN15" s="27">
        <v>42</v>
      </c>
      <c r="AAO15" s="27" t="s">
        <v>246</v>
      </c>
      <c r="AAP15" s="27">
        <v>8</v>
      </c>
      <c r="AAQ15" s="27">
        <v>42</v>
      </c>
      <c r="AAR15" s="27" t="s">
        <v>246</v>
      </c>
      <c r="AAS15" s="27"/>
      <c r="AAT15" s="27"/>
      <c r="AAU15" s="27"/>
      <c r="AAV15" s="27"/>
      <c r="AAW15" s="27"/>
      <c r="AAX15" s="27"/>
      <c r="AAY15" s="27">
        <v>8</v>
      </c>
      <c r="AAZ15" s="27">
        <v>42</v>
      </c>
      <c r="ABA15" s="27" t="s">
        <v>246</v>
      </c>
      <c r="ABB15" s="27">
        <v>8</v>
      </c>
      <c r="ABC15" s="27">
        <v>42</v>
      </c>
      <c r="ABD15" s="27" t="s">
        <v>246</v>
      </c>
      <c r="ABE15" s="27"/>
      <c r="ABF15" s="27"/>
      <c r="ABG15" s="27"/>
      <c r="ABH15" s="27"/>
      <c r="ABI15" s="27"/>
      <c r="ABJ15" s="27"/>
      <c r="ABK15" s="27"/>
      <c r="ABL15" s="27"/>
      <c r="ABM15" s="29"/>
      <c r="ABN15" s="37"/>
      <c r="ABO15" s="26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9"/>
      <c r="AFD15" s="37"/>
      <c r="AFE15" s="26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37"/>
      <c r="AIR15" s="26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9"/>
      <c r="AMG15" s="37"/>
      <c r="AMH15" s="26"/>
      <c r="AMI15" s="27"/>
      <c r="AMJ15" s="27"/>
      <c r="AMK15" s="27"/>
      <c r="AML15" s="27"/>
      <c r="AMM15" s="27"/>
      <c r="AMN15" s="27"/>
      <c r="AMO15" s="27"/>
      <c r="AMP15" s="27"/>
      <c r="AMQ15" s="27"/>
      <c r="AMR15" s="27"/>
      <c r="AMS15" s="27"/>
      <c r="AMT15" s="27"/>
      <c r="AMU15" s="27"/>
      <c r="AMV15" s="27"/>
      <c r="AMW15" s="27"/>
      <c r="AMX15" s="27"/>
      <c r="AMY15" s="27"/>
      <c r="AMZ15" s="27"/>
      <c r="ANA15" s="27"/>
      <c r="ANB15" s="27"/>
      <c r="ANC15" s="27"/>
      <c r="AND15" s="27"/>
      <c r="ANE15" s="27"/>
      <c r="ANF15" s="27"/>
      <c r="ANG15" s="27"/>
      <c r="ANH15" s="27"/>
      <c r="ANI15" s="27"/>
      <c r="ANJ15" s="27"/>
      <c r="ANK15" s="27"/>
      <c r="ANL15" s="27"/>
      <c r="ANM15" s="27"/>
      <c r="ANN15" s="27"/>
      <c r="ANO15" s="27"/>
      <c r="ANP15" s="27"/>
      <c r="ANQ15" s="27"/>
      <c r="ANR15" s="27"/>
      <c r="ANS15" s="27"/>
      <c r="ANT15" s="27"/>
      <c r="ANU15" s="27"/>
      <c r="ANV15" s="27"/>
      <c r="ANW15" s="27"/>
      <c r="ANX15" s="27"/>
      <c r="ANY15" s="27"/>
      <c r="ANZ15" s="27"/>
      <c r="AOA15" s="27"/>
      <c r="AOB15" s="27"/>
      <c r="AOC15" s="27"/>
      <c r="AOD15" s="27"/>
      <c r="AOE15" s="27"/>
      <c r="AOF15" s="27"/>
      <c r="AOG15" s="27"/>
      <c r="AOH15" s="27"/>
      <c r="AOI15" s="27"/>
      <c r="AOJ15" s="27"/>
      <c r="AOK15" s="27"/>
      <c r="AOL15" s="27"/>
      <c r="AOM15" s="27"/>
      <c r="AON15" s="27"/>
      <c r="AOO15" s="27"/>
      <c r="AOP15" s="27"/>
      <c r="AOQ15" s="27"/>
      <c r="AOR15" s="27"/>
      <c r="AOS15" s="27"/>
      <c r="AOT15" s="27"/>
      <c r="AOU15" s="27"/>
      <c r="AOV15" s="27"/>
      <c r="AOW15" s="27"/>
      <c r="AOX15" s="27"/>
      <c r="AOY15" s="27"/>
      <c r="AOZ15" s="27"/>
      <c r="APA15" s="27"/>
      <c r="APB15" s="27"/>
      <c r="APC15" s="27"/>
      <c r="APD15" s="27"/>
      <c r="APE15" s="27"/>
      <c r="APF15" s="27"/>
      <c r="APG15" s="27"/>
      <c r="APH15" s="27"/>
      <c r="API15" s="27"/>
      <c r="APJ15" s="27"/>
      <c r="APK15" s="27"/>
      <c r="APL15" s="27"/>
      <c r="APM15" s="27"/>
      <c r="APN15" s="27"/>
      <c r="APO15" s="27"/>
      <c r="APP15" s="27"/>
      <c r="APQ15" s="27"/>
      <c r="APR15" s="27"/>
      <c r="APS15" s="29"/>
      <c r="APT15" s="37"/>
      <c r="APU15" s="26"/>
      <c r="APV15" s="27"/>
      <c r="APW15" s="27"/>
      <c r="APX15" s="27"/>
      <c r="APY15" s="27"/>
      <c r="APZ15" s="27"/>
      <c r="AQA15" s="27"/>
      <c r="AQB15" s="27"/>
      <c r="AQC15" s="27"/>
      <c r="AQD15" s="27"/>
      <c r="AQE15" s="27"/>
      <c r="AQF15" s="27"/>
      <c r="AQG15" s="27"/>
      <c r="AQH15" s="27"/>
      <c r="AQI15" s="27"/>
      <c r="AQJ15" s="27"/>
      <c r="AQK15" s="27"/>
      <c r="AQL15" s="27"/>
      <c r="AQM15" s="27"/>
      <c r="AQN15" s="27"/>
      <c r="AQO15" s="27"/>
      <c r="AQP15" s="27"/>
      <c r="AQQ15" s="27"/>
      <c r="AQR15" s="27"/>
      <c r="AQS15" s="27"/>
      <c r="AQT15" s="27"/>
      <c r="AQU15" s="27"/>
      <c r="AQV15" s="27"/>
      <c r="AQW15" s="27"/>
      <c r="AQX15" s="27"/>
      <c r="AQY15" s="27"/>
      <c r="AQZ15" s="27"/>
      <c r="ARA15" s="27"/>
      <c r="ARB15" s="27"/>
      <c r="ARC15" s="27"/>
      <c r="ARD15" s="27"/>
      <c r="ARE15" s="27"/>
      <c r="ARF15" s="27"/>
      <c r="ARG15" s="27"/>
      <c r="ARH15" s="27"/>
      <c r="ARI15" s="27"/>
      <c r="ARJ15" s="27"/>
      <c r="ARK15" s="27"/>
      <c r="ARL15" s="27"/>
      <c r="ARM15" s="27"/>
      <c r="ARN15" s="27"/>
      <c r="ARO15" s="27"/>
      <c r="ARP15" s="27"/>
      <c r="ARQ15" s="27"/>
      <c r="ARR15" s="27"/>
      <c r="ARS15" s="27"/>
      <c r="ART15" s="27"/>
      <c r="ARU15" s="27"/>
      <c r="ARV15" s="27"/>
      <c r="ARW15" s="27"/>
      <c r="ARX15" s="27"/>
      <c r="ARY15" s="27"/>
      <c r="ARZ15" s="27"/>
      <c r="ASA15" s="27"/>
      <c r="ASB15" s="27"/>
      <c r="ASC15" s="27"/>
      <c r="ASD15" s="27"/>
      <c r="ASE15" s="27"/>
      <c r="ASF15" s="27"/>
      <c r="ASG15" s="27"/>
      <c r="ASH15" s="27"/>
      <c r="ASI15" s="27"/>
      <c r="ASJ15" s="27"/>
      <c r="ASK15" s="27"/>
      <c r="ASL15" s="27"/>
      <c r="ASM15" s="27"/>
      <c r="ASN15" s="27"/>
      <c r="ASO15" s="27"/>
      <c r="ASP15" s="27"/>
      <c r="ASQ15" s="27"/>
      <c r="ASR15" s="27"/>
      <c r="ASS15" s="27"/>
      <c r="AST15" s="27"/>
      <c r="ASU15" s="27"/>
      <c r="ASV15" s="27"/>
      <c r="ASW15" s="27"/>
      <c r="ASX15" s="27"/>
      <c r="ASY15" s="27"/>
      <c r="ASZ15" s="27"/>
      <c r="ATA15" s="27"/>
      <c r="ATB15" s="27"/>
      <c r="ATC15" s="27"/>
      <c r="ATD15" s="27"/>
      <c r="ATE15" s="27"/>
      <c r="ATF15" s="29"/>
      <c r="ATG15" s="37"/>
      <c r="ATH15" s="26"/>
      <c r="ATI15" s="27"/>
      <c r="ATJ15" s="27"/>
      <c r="ATK15" s="27"/>
      <c r="ATL15" s="27"/>
      <c r="ATM15" s="27"/>
      <c r="ATN15" s="27"/>
      <c r="ATO15" s="27"/>
      <c r="ATP15" s="27"/>
      <c r="ATQ15" s="27"/>
      <c r="ATR15" s="27"/>
      <c r="ATS15" s="27"/>
      <c r="ATT15" s="27"/>
      <c r="ATU15" s="27"/>
      <c r="ATV15" s="27"/>
      <c r="ATW15" s="27"/>
      <c r="ATX15" s="27"/>
      <c r="ATY15" s="27"/>
      <c r="ATZ15" s="27"/>
      <c r="AUA15" s="27"/>
      <c r="AUB15" s="27"/>
      <c r="AUC15" s="27"/>
      <c r="AUD15" s="27"/>
      <c r="AUE15" s="27"/>
      <c r="AUF15" s="27"/>
      <c r="AUG15" s="27"/>
      <c r="AUH15" s="27"/>
      <c r="AUI15" s="27"/>
      <c r="AUJ15" s="27"/>
      <c r="AUK15" s="27"/>
      <c r="AUL15" s="27"/>
      <c r="AUM15" s="27"/>
      <c r="AUN15" s="27"/>
      <c r="AUO15" s="27"/>
      <c r="AUP15" s="27"/>
      <c r="AUQ15" s="27"/>
      <c r="AUR15" s="27"/>
      <c r="AUS15" s="27"/>
      <c r="AUT15" s="27"/>
      <c r="AUU15" s="27"/>
      <c r="AUV15" s="27"/>
      <c r="AUW15" s="27"/>
      <c r="AUX15" s="27"/>
      <c r="AUY15" s="27"/>
      <c r="AUZ15" s="27"/>
      <c r="AVA15" s="27"/>
      <c r="AVB15" s="27"/>
      <c r="AVC15" s="27"/>
      <c r="AVD15" s="27"/>
      <c r="AVE15" s="27"/>
      <c r="AVF15" s="27"/>
      <c r="AVG15" s="27"/>
      <c r="AVH15" s="27"/>
      <c r="AVI15" s="27"/>
      <c r="AVJ15" s="27"/>
      <c r="AVK15" s="27"/>
      <c r="AVL15" s="27"/>
      <c r="AVM15" s="27"/>
      <c r="AVN15" s="27"/>
      <c r="AVO15" s="27"/>
      <c r="AVP15" s="27"/>
      <c r="AVQ15" s="27"/>
      <c r="AVR15" s="27"/>
      <c r="AVS15" s="27"/>
      <c r="AVT15" s="27"/>
      <c r="AVU15" s="27"/>
      <c r="AVV15" s="27"/>
      <c r="AVW15" s="27"/>
      <c r="AVX15" s="27"/>
      <c r="AVY15" s="27"/>
      <c r="AVZ15" s="27"/>
      <c r="AWA15" s="27"/>
      <c r="AWB15" s="27"/>
      <c r="AWC15" s="27"/>
      <c r="AWD15" s="27"/>
      <c r="AWE15" s="27"/>
      <c r="AWF15" s="27"/>
      <c r="AWG15" s="27"/>
      <c r="AWH15" s="27"/>
      <c r="AWI15" s="27"/>
      <c r="AWJ15" s="27"/>
      <c r="AWK15" s="27"/>
      <c r="AWL15" s="27"/>
      <c r="AWM15" s="27"/>
      <c r="AWN15" s="27"/>
      <c r="AWO15" s="27"/>
      <c r="AWP15" s="27"/>
      <c r="AWQ15" s="27"/>
      <c r="AWR15" s="27"/>
      <c r="AWS15" s="29"/>
      <c r="AWT15" s="37"/>
      <c r="AWU15" s="26"/>
      <c r="AWV15" s="27"/>
      <c r="AWW15" s="27"/>
      <c r="AWX15" s="27"/>
      <c r="AWY15" s="27"/>
      <c r="AWZ15" s="27"/>
      <c r="AXA15" s="27"/>
      <c r="AXB15" s="27"/>
      <c r="AXC15" s="27"/>
      <c r="AXD15" s="27"/>
      <c r="AXE15" s="27"/>
      <c r="AXF15" s="27"/>
      <c r="AXG15" s="27"/>
      <c r="AXH15" s="27"/>
      <c r="AXI15" s="27"/>
      <c r="AXJ15" s="27"/>
      <c r="AXK15" s="27"/>
      <c r="AXL15" s="27"/>
      <c r="AXM15" s="27"/>
      <c r="AXN15" s="27"/>
      <c r="AXO15" s="27"/>
      <c r="AXP15" s="27"/>
      <c r="AXQ15" s="27"/>
      <c r="AXR15" s="27"/>
      <c r="AXS15" s="27"/>
      <c r="AXT15" s="27"/>
      <c r="AXU15" s="27"/>
      <c r="AXV15" s="27"/>
      <c r="AXW15" s="27"/>
      <c r="AXX15" s="27"/>
      <c r="AXY15" s="27"/>
      <c r="AXZ15" s="27"/>
      <c r="AYA15" s="27"/>
      <c r="AYB15" s="27"/>
      <c r="AYC15" s="27"/>
      <c r="AYD15" s="27"/>
      <c r="AYE15" s="27"/>
      <c r="AYF15" s="27"/>
      <c r="AYG15" s="27"/>
      <c r="AYH15" s="27"/>
      <c r="AYI15" s="27"/>
      <c r="AYJ15" s="27"/>
      <c r="AYK15" s="27"/>
      <c r="AYL15" s="27"/>
      <c r="AYM15" s="27"/>
      <c r="AYN15" s="27"/>
      <c r="AYO15" s="27"/>
      <c r="AYP15" s="27"/>
      <c r="AYQ15" s="27"/>
      <c r="AYR15" s="27"/>
      <c r="AYS15" s="27"/>
      <c r="AYT15" s="27"/>
      <c r="AYU15" s="27"/>
      <c r="AYV15" s="27"/>
      <c r="AYW15" s="27"/>
      <c r="AYX15" s="27"/>
      <c r="AYY15" s="27"/>
      <c r="AYZ15" s="27"/>
      <c r="AZA15" s="27"/>
      <c r="AZB15" s="27"/>
      <c r="AZC15" s="27"/>
      <c r="AZD15" s="27"/>
      <c r="AZE15" s="27"/>
      <c r="AZF15" s="27"/>
      <c r="AZG15" s="27"/>
      <c r="AZH15" s="27"/>
      <c r="AZI15" s="27"/>
      <c r="AZJ15" s="27"/>
      <c r="AZK15" s="27"/>
      <c r="AZL15" s="27"/>
      <c r="AZM15" s="27"/>
      <c r="AZN15" s="27"/>
      <c r="AZO15" s="27"/>
      <c r="AZP15" s="27"/>
      <c r="AZQ15" s="27"/>
      <c r="AZR15" s="27"/>
      <c r="AZS15" s="27"/>
      <c r="AZT15" s="27"/>
      <c r="AZU15" s="27"/>
      <c r="AZV15" s="27"/>
      <c r="AZW15" s="27"/>
      <c r="AZX15" s="27"/>
      <c r="AZY15" s="27"/>
      <c r="AZZ15" s="27"/>
      <c r="BAA15" s="37"/>
      <c r="BAB15" s="26"/>
      <c r="BAC15" s="27"/>
      <c r="BAD15" s="27"/>
      <c r="BAE15" s="27"/>
      <c r="BAF15" s="27"/>
      <c r="BAG15" s="27"/>
      <c r="BAH15" s="27"/>
      <c r="BAI15" s="27"/>
      <c r="BAJ15" s="27"/>
      <c r="BAK15" s="27"/>
      <c r="BAL15" s="27"/>
      <c r="BAM15" s="27"/>
      <c r="BAN15" s="27"/>
      <c r="BAO15" s="27"/>
      <c r="BAP15" s="27"/>
      <c r="BAQ15" s="27"/>
      <c r="BAR15" s="27"/>
      <c r="BAS15" s="27"/>
      <c r="BAT15" s="27"/>
      <c r="BAU15" s="27"/>
      <c r="BAV15" s="27"/>
      <c r="BAW15" s="27"/>
      <c r="BAX15" s="27"/>
      <c r="BAY15" s="27"/>
      <c r="BAZ15" s="27"/>
      <c r="BBA15" s="27"/>
      <c r="BBB15" s="27"/>
      <c r="BBC15" s="27"/>
      <c r="BBD15" s="27"/>
      <c r="BBE15" s="27"/>
      <c r="BBF15" s="27"/>
      <c r="BBG15" s="27"/>
      <c r="BBH15" s="27"/>
      <c r="BBI15" s="27"/>
      <c r="BBJ15" s="27"/>
      <c r="BBK15" s="27"/>
      <c r="BBL15" s="27"/>
      <c r="BBM15" s="27"/>
      <c r="BBN15" s="27"/>
      <c r="BBO15" s="27"/>
      <c r="BBP15" s="27"/>
      <c r="BBQ15" s="27"/>
      <c r="BBR15" s="27"/>
      <c r="BBS15" s="27"/>
      <c r="BBT15" s="27"/>
      <c r="BBU15" s="27"/>
      <c r="BBV15" s="27"/>
      <c r="BBW15" s="27"/>
      <c r="BBX15" s="27"/>
      <c r="BBY15" s="27"/>
      <c r="BBZ15" s="27"/>
      <c r="BCA15" s="27"/>
      <c r="BCB15" s="27"/>
      <c r="BCC15" s="27"/>
      <c r="BCD15" s="27"/>
      <c r="BCE15" s="27"/>
      <c r="BCF15" s="27"/>
      <c r="BCG15" s="27"/>
      <c r="BCH15" s="27"/>
      <c r="BCI15" s="27"/>
      <c r="BCJ15" s="27"/>
      <c r="BCK15" s="27"/>
      <c r="BCL15" s="27"/>
      <c r="BCM15" s="27"/>
      <c r="BCN15" s="27"/>
      <c r="BCO15" s="27"/>
      <c r="BCP15" s="27"/>
      <c r="BCQ15" s="27"/>
      <c r="BCR15" s="27"/>
      <c r="BCS15" s="27"/>
      <c r="BCT15" s="27"/>
      <c r="BCU15" s="27"/>
      <c r="BCV15" s="27"/>
      <c r="BCW15" s="27"/>
      <c r="BCX15" s="27"/>
      <c r="BCY15" s="27"/>
      <c r="BCZ15" s="27"/>
      <c r="BDA15" s="27"/>
      <c r="BDB15" s="27"/>
      <c r="BDC15" s="27"/>
      <c r="BDD15" s="27"/>
      <c r="BDE15" s="27"/>
      <c r="BDF15" s="27"/>
      <c r="BDG15" s="27"/>
      <c r="BDH15" s="27"/>
      <c r="BDI15" s="27"/>
      <c r="BDJ15" s="27"/>
      <c r="BDK15" s="27"/>
      <c r="BDL15" s="27"/>
      <c r="BDM15" s="29"/>
      <c r="BDN15" s="29"/>
      <c r="BDO15" s="29"/>
      <c r="BDP15" s="29"/>
      <c r="BDQ15" s="37"/>
      <c r="BDR15" s="26"/>
      <c r="BDS15" s="27"/>
      <c r="BDT15" s="27"/>
      <c r="BDU15" s="27"/>
      <c r="BDV15" s="27"/>
      <c r="BDW15" s="27"/>
      <c r="BDX15" s="27"/>
      <c r="BDY15" s="27"/>
      <c r="BDZ15" s="27"/>
      <c r="BEA15" s="27"/>
      <c r="BEB15" s="27"/>
      <c r="BEC15" s="27"/>
      <c r="BED15" s="27"/>
      <c r="BEE15" s="27"/>
      <c r="BEF15" s="27"/>
      <c r="BEG15" s="27"/>
      <c r="BEH15" s="27"/>
      <c r="BEI15" s="27"/>
      <c r="BEJ15" s="27"/>
      <c r="BEK15" s="27"/>
      <c r="BEL15" s="27"/>
      <c r="BEM15" s="27"/>
      <c r="BEN15" s="27"/>
      <c r="BEO15" s="27"/>
      <c r="BEP15" s="27"/>
      <c r="BEQ15" s="27"/>
      <c r="BER15" s="27"/>
      <c r="BES15" s="27"/>
      <c r="BET15" s="27"/>
      <c r="BEU15" s="27"/>
      <c r="BEV15" s="27"/>
      <c r="BEW15" s="27"/>
      <c r="BEX15" s="27"/>
      <c r="BEY15" s="27"/>
      <c r="BEZ15" s="27"/>
      <c r="BFA15" s="27"/>
      <c r="BFB15" s="27"/>
      <c r="BFC15" s="27"/>
      <c r="BFD15" s="27"/>
      <c r="BFE15" s="27"/>
      <c r="BFF15" s="27"/>
      <c r="BFG15" s="27"/>
      <c r="BFH15" s="27"/>
      <c r="BFI15" s="27"/>
      <c r="BFJ15" s="27"/>
      <c r="BFK15" s="27"/>
      <c r="BFL15" s="27"/>
      <c r="BFM15" s="27"/>
      <c r="BFN15" s="27"/>
      <c r="BFO15" s="27"/>
      <c r="BFP15" s="27"/>
      <c r="BFQ15" s="27"/>
      <c r="BFR15" s="27"/>
      <c r="BFS15" s="27"/>
      <c r="BFT15" s="27"/>
      <c r="BFU15" s="27"/>
      <c r="BFV15" s="27"/>
      <c r="BFW15" s="27"/>
      <c r="BFX15" s="27"/>
      <c r="BFY15" s="27"/>
      <c r="BFZ15" s="27"/>
      <c r="BGA15" s="27"/>
      <c r="BGB15" s="27"/>
      <c r="BGC15" s="27"/>
      <c r="BGD15" s="27"/>
      <c r="BGE15" s="27"/>
      <c r="BGF15" s="27"/>
      <c r="BGG15" s="27"/>
      <c r="BGH15" s="27"/>
      <c r="BGI15" s="27"/>
      <c r="BGJ15" s="27"/>
      <c r="BGK15" s="27"/>
      <c r="BGL15" s="27"/>
      <c r="BGM15" s="27"/>
      <c r="BGN15" s="27"/>
      <c r="BGO15" s="27"/>
      <c r="BGP15" s="27"/>
      <c r="BGQ15" s="27"/>
      <c r="BGR15" s="27"/>
      <c r="BGS15" s="27"/>
      <c r="BGT15" s="27"/>
      <c r="BGU15" s="27"/>
      <c r="BGV15" s="27"/>
      <c r="BGW15" s="27"/>
      <c r="BGX15" s="27"/>
      <c r="BGY15" s="27"/>
      <c r="BGZ15" s="27"/>
      <c r="BHA15" s="27"/>
      <c r="BHB15" s="27"/>
      <c r="BHC15" s="29"/>
      <c r="BHD15" s="37"/>
    </row>
    <row r="16" spans="1:1564" ht="48.6" customHeight="1" x14ac:dyDescent="0.3">
      <c r="A16" s="22">
        <v>12</v>
      </c>
      <c r="B16" s="40" t="s">
        <v>294</v>
      </c>
      <c r="C16" s="40" t="s">
        <v>258</v>
      </c>
      <c r="D16" s="40" t="s">
        <v>242</v>
      </c>
      <c r="E16" s="37"/>
      <c r="F16" s="30"/>
      <c r="G16" s="23"/>
      <c r="H16" s="23"/>
      <c r="I16" s="30"/>
      <c r="J16" s="23"/>
      <c r="K16" s="23"/>
      <c r="L16" s="30"/>
      <c r="M16" s="23"/>
      <c r="N16" s="23"/>
      <c r="O16" s="30"/>
      <c r="P16" s="23"/>
      <c r="Q16" s="23"/>
      <c r="R16" s="30"/>
      <c r="S16" s="23"/>
      <c r="T16" s="23"/>
      <c r="U16" s="30"/>
      <c r="V16" s="23"/>
      <c r="W16" s="23"/>
      <c r="X16" s="30"/>
      <c r="Y16" s="23"/>
      <c r="Z16" s="23"/>
      <c r="AA16" s="30"/>
      <c r="AB16" s="23"/>
      <c r="AC16" s="23"/>
      <c r="AD16" s="30"/>
      <c r="AE16" s="23"/>
      <c r="AF16" s="23"/>
      <c r="AG16" s="30"/>
      <c r="AH16" s="23"/>
      <c r="AI16" s="23"/>
      <c r="AJ16" s="30"/>
      <c r="AK16" s="23"/>
      <c r="AL16" s="23"/>
      <c r="AM16" s="30"/>
      <c r="AN16" s="23"/>
      <c r="AO16" s="23"/>
      <c r="AP16" s="30"/>
      <c r="AQ16" s="23"/>
      <c r="AR16" s="23"/>
      <c r="AS16" s="30"/>
      <c r="AT16" s="23"/>
      <c r="AU16" s="23"/>
      <c r="AV16" s="30"/>
      <c r="AW16" s="23"/>
      <c r="AX16" s="23"/>
      <c r="AY16" s="30"/>
      <c r="AZ16" s="23"/>
      <c r="BA16" s="23"/>
      <c r="BB16" s="30"/>
      <c r="BC16" s="23"/>
      <c r="BD16" s="23"/>
      <c r="BE16" s="30"/>
      <c r="BF16" s="23"/>
      <c r="BG16" s="23"/>
      <c r="BH16" s="30"/>
      <c r="BI16" s="23"/>
      <c r="BJ16" s="23"/>
      <c r="BK16" s="30"/>
      <c r="BL16" s="23"/>
      <c r="BM16" s="23"/>
      <c r="BN16" s="30"/>
      <c r="BO16" s="23"/>
      <c r="BP16" s="24"/>
      <c r="BQ16" s="30"/>
      <c r="BR16" s="23"/>
      <c r="BS16" s="23"/>
      <c r="BT16" s="30"/>
      <c r="BU16" s="23"/>
      <c r="BV16" s="23"/>
      <c r="BW16" s="30"/>
      <c r="BX16" s="23"/>
      <c r="BY16" s="23"/>
      <c r="BZ16" s="30"/>
      <c r="CA16" s="23"/>
      <c r="CB16" s="23"/>
      <c r="CC16" s="30"/>
      <c r="CD16" s="23"/>
      <c r="CE16" s="23"/>
      <c r="CF16" s="30"/>
      <c r="CG16" s="23"/>
      <c r="CH16" s="23"/>
      <c r="CI16" s="30"/>
      <c r="CJ16" s="23"/>
      <c r="CK16" s="23"/>
      <c r="CL16" s="30"/>
      <c r="CM16" s="23"/>
      <c r="CN16" s="23"/>
      <c r="CO16" s="30"/>
      <c r="CP16" s="23"/>
      <c r="CQ16" s="23"/>
      <c r="CR16" s="30"/>
      <c r="CS16" s="23"/>
      <c r="CT16" s="25"/>
      <c r="CU16" s="37"/>
      <c r="CV16" s="26"/>
      <c r="CW16" s="27"/>
      <c r="CX16" s="27"/>
      <c r="CY16" s="27"/>
      <c r="CZ16" s="27"/>
      <c r="DA16" s="27"/>
      <c r="DB16" s="26"/>
      <c r="DC16" s="27"/>
      <c r="DD16" s="27"/>
      <c r="DE16" s="26"/>
      <c r="DF16" s="27"/>
      <c r="DG16" s="27"/>
      <c r="DH16" s="26"/>
      <c r="DI16" s="27"/>
      <c r="DJ16" s="27"/>
      <c r="DK16" s="26"/>
      <c r="DL16" s="27"/>
      <c r="DM16" s="27"/>
      <c r="DN16" s="26"/>
      <c r="DO16" s="27"/>
      <c r="DP16" s="27"/>
      <c r="DQ16" s="26"/>
      <c r="DR16" s="27"/>
      <c r="DS16" s="27"/>
      <c r="DT16" s="26"/>
      <c r="DU16" s="27"/>
      <c r="DV16" s="27"/>
      <c r="DW16" s="26"/>
      <c r="DX16" s="27"/>
      <c r="DY16" s="27"/>
      <c r="DZ16" s="26"/>
      <c r="EA16" s="27"/>
      <c r="EB16" s="27"/>
      <c r="EC16" s="26"/>
      <c r="ED16" s="27"/>
      <c r="EE16" s="27"/>
      <c r="EF16" s="26"/>
      <c r="EG16" s="27"/>
      <c r="EH16" s="27"/>
      <c r="EI16" s="26"/>
      <c r="EJ16" s="27"/>
      <c r="EK16" s="27"/>
      <c r="EL16" s="26"/>
      <c r="EM16" s="27"/>
      <c r="EN16" s="27"/>
      <c r="EO16" s="26"/>
      <c r="EP16" s="27"/>
      <c r="EQ16" s="27"/>
      <c r="ER16" s="26"/>
      <c r="ES16" s="27"/>
      <c r="ET16" s="27"/>
      <c r="EU16" s="26"/>
      <c r="EV16" s="27"/>
      <c r="EW16" s="27"/>
      <c r="EX16" s="26"/>
      <c r="EY16" s="27"/>
      <c r="EZ16" s="27"/>
      <c r="FA16" s="26"/>
      <c r="FB16" s="27"/>
      <c r="FC16" s="27"/>
      <c r="FD16" s="26"/>
      <c r="FE16" s="27"/>
      <c r="FF16" s="27"/>
      <c r="FG16" s="26"/>
      <c r="FH16" s="27"/>
      <c r="FI16" s="27"/>
      <c r="FJ16" s="26"/>
      <c r="FK16" s="27"/>
      <c r="FL16" s="27"/>
      <c r="FM16" s="26"/>
      <c r="FN16" s="27"/>
      <c r="FO16" s="27"/>
      <c r="FP16" s="26"/>
      <c r="FQ16" s="27"/>
      <c r="FR16" s="27"/>
      <c r="FS16" s="26"/>
      <c r="FT16" s="27"/>
      <c r="FU16" s="27"/>
      <c r="FV16" s="26"/>
      <c r="FW16" s="27"/>
      <c r="FX16" s="27"/>
      <c r="FY16" s="26"/>
      <c r="FZ16" s="27"/>
      <c r="GA16" s="27"/>
      <c r="GB16" s="26"/>
      <c r="GC16" s="27"/>
      <c r="GD16" s="27"/>
      <c r="GE16" s="26"/>
      <c r="GF16" s="27"/>
      <c r="GG16" s="27"/>
      <c r="GH16" s="26"/>
      <c r="GI16" s="27"/>
      <c r="GJ16" s="29"/>
      <c r="GK16" s="37"/>
      <c r="GL16" s="26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37"/>
      <c r="JS16" s="26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9"/>
      <c r="NH16" s="37"/>
      <c r="NI16" s="26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37"/>
      <c r="QV16" s="26"/>
      <c r="QW16" s="27"/>
      <c r="QX16" s="27"/>
      <c r="QY16" s="27"/>
      <c r="QZ16" s="27"/>
      <c r="RA16" s="27"/>
      <c r="RB16" s="27"/>
      <c r="RC16" s="27"/>
      <c r="RD16" s="27"/>
      <c r="RE16" s="27">
        <v>8</v>
      </c>
      <c r="RF16" s="27">
        <v>228</v>
      </c>
      <c r="RG16" s="27" t="s">
        <v>276</v>
      </c>
      <c r="RH16" s="27"/>
      <c r="RI16" s="27"/>
      <c r="RJ16" s="27"/>
      <c r="RK16" s="27"/>
      <c r="RL16" s="27"/>
      <c r="RM16" s="27"/>
      <c r="RN16" s="27">
        <v>8</v>
      </c>
      <c r="RO16" s="27">
        <v>228</v>
      </c>
      <c r="RP16" s="27" t="s">
        <v>276</v>
      </c>
      <c r="RQ16" s="27">
        <v>8</v>
      </c>
      <c r="RR16" s="27">
        <v>228</v>
      </c>
      <c r="RS16" s="27" t="s">
        <v>276</v>
      </c>
      <c r="RT16" s="27"/>
      <c r="RU16" s="27"/>
      <c r="RV16" s="27"/>
      <c r="RW16" s="27"/>
      <c r="RX16" s="27"/>
      <c r="RY16" s="27"/>
      <c r="RZ16" s="27"/>
      <c r="SA16" s="27"/>
      <c r="SB16" s="27"/>
      <c r="SC16" s="27">
        <v>8</v>
      </c>
      <c r="SD16" s="27">
        <v>228</v>
      </c>
      <c r="SE16" s="27" t="s">
        <v>276</v>
      </c>
      <c r="SF16" s="27">
        <v>8</v>
      </c>
      <c r="SG16" s="27">
        <v>228</v>
      </c>
      <c r="SH16" s="27" t="s">
        <v>276</v>
      </c>
      <c r="SI16" s="27">
        <v>8</v>
      </c>
      <c r="SJ16" s="27">
        <v>228</v>
      </c>
      <c r="SK16" s="27" t="s">
        <v>276</v>
      </c>
      <c r="SL16" s="27">
        <v>8</v>
      </c>
      <c r="SM16" s="27">
        <v>228</v>
      </c>
      <c r="SN16" s="27" t="s">
        <v>276</v>
      </c>
      <c r="SO16" s="27"/>
      <c r="SP16" s="27"/>
      <c r="SQ16" s="27"/>
      <c r="SR16" s="27"/>
      <c r="SS16" s="27"/>
      <c r="ST16" s="27"/>
      <c r="SU16" s="27">
        <v>8</v>
      </c>
      <c r="SV16" s="27">
        <v>228</v>
      </c>
      <c r="SW16" s="27" t="s">
        <v>276</v>
      </c>
      <c r="SX16" s="27">
        <v>8</v>
      </c>
      <c r="SY16" s="27">
        <v>228</v>
      </c>
      <c r="SZ16" s="27" t="s">
        <v>276</v>
      </c>
      <c r="TA16" s="27">
        <v>8</v>
      </c>
      <c r="TB16" s="27">
        <v>228</v>
      </c>
      <c r="TC16" s="27" t="s">
        <v>276</v>
      </c>
      <c r="TD16" s="27">
        <v>8</v>
      </c>
      <c r="TE16" s="27">
        <v>228</v>
      </c>
      <c r="TF16" s="27" t="s">
        <v>276</v>
      </c>
      <c r="TG16" s="27"/>
      <c r="TH16" s="27"/>
      <c r="TI16" s="27"/>
      <c r="TJ16" s="27"/>
      <c r="TK16" s="27"/>
      <c r="TL16" s="27"/>
      <c r="TM16" s="27"/>
      <c r="TN16" s="27"/>
      <c r="TO16" s="27"/>
      <c r="TP16" s="27">
        <v>8</v>
      </c>
      <c r="TQ16" s="27">
        <v>45</v>
      </c>
      <c r="TR16" s="27" t="s">
        <v>246</v>
      </c>
      <c r="TS16" s="27">
        <v>8</v>
      </c>
      <c r="TT16" s="27">
        <v>45</v>
      </c>
      <c r="TU16" s="27" t="s">
        <v>246</v>
      </c>
      <c r="TV16" s="27">
        <v>8</v>
      </c>
      <c r="TW16" s="27">
        <v>45</v>
      </c>
      <c r="TX16" s="27" t="s">
        <v>246</v>
      </c>
      <c r="TY16" s="27">
        <v>8</v>
      </c>
      <c r="TZ16" s="27">
        <v>45</v>
      </c>
      <c r="UA16" s="27" t="s">
        <v>246</v>
      </c>
      <c r="UB16" s="27"/>
      <c r="UC16" s="27"/>
      <c r="UD16" s="27"/>
      <c r="UE16" s="27"/>
      <c r="UF16" s="27"/>
      <c r="UG16" s="27"/>
      <c r="UH16" s="27"/>
      <c r="UI16" s="27"/>
      <c r="UJ16" s="29"/>
      <c r="UK16" s="37"/>
      <c r="UL16" s="27">
        <v>8</v>
      </c>
      <c r="UM16" s="27">
        <v>80</v>
      </c>
      <c r="UN16" s="27" t="s">
        <v>244</v>
      </c>
      <c r="UO16" s="27"/>
      <c r="UP16" s="27"/>
      <c r="UQ16" s="27"/>
      <c r="UR16" s="27">
        <v>8</v>
      </c>
      <c r="US16" s="27">
        <v>45</v>
      </c>
      <c r="UT16" s="27" t="s">
        <v>246</v>
      </c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>
        <v>8</v>
      </c>
      <c r="VN16" s="27">
        <v>42</v>
      </c>
      <c r="VO16" s="27" t="s">
        <v>244</v>
      </c>
      <c r="VP16" s="27">
        <v>8</v>
      </c>
      <c r="VQ16" s="27">
        <v>42</v>
      </c>
      <c r="VR16" s="27" t="s">
        <v>244</v>
      </c>
      <c r="VS16" s="27"/>
      <c r="VT16" s="27"/>
      <c r="VU16" s="27"/>
      <c r="VV16" s="27"/>
      <c r="VW16" s="27"/>
      <c r="VX16" s="27"/>
      <c r="VY16" s="27"/>
      <c r="VZ16" s="27"/>
      <c r="WA16" s="27"/>
      <c r="WB16" s="27">
        <v>8</v>
      </c>
      <c r="WC16" s="27">
        <v>42</v>
      </c>
      <c r="WD16" s="27" t="s">
        <v>246</v>
      </c>
      <c r="WE16" s="27">
        <v>8</v>
      </c>
      <c r="WF16" s="27">
        <v>42</v>
      </c>
      <c r="WG16" s="27" t="s">
        <v>246</v>
      </c>
      <c r="WH16" s="27"/>
      <c r="WI16" s="27"/>
      <c r="WJ16" s="27"/>
      <c r="WK16" s="27">
        <v>8</v>
      </c>
      <c r="WL16" s="27">
        <v>42</v>
      </c>
      <c r="WM16" s="27" t="s">
        <v>246</v>
      </c>
      <c r="WN16" s="27">
        <v>8</v>
      </c>
      <c r="WO16" s="27">
        <v>42</v>
      </c>
      <c r="WP16" s="27" t="s">
        <v>246</v>
      </c>
      <c r="WQ16" s="27"/>
      <c r="WR16" s="27"/>
      <c r="WS16" s="27"/>
      <c r="WT16" s="27">
        <v>8</v>
      </c>
      <c r="WU16" s="27">
        <v>42</v>
      </c>
      <c r="WV16" s="27" t="s">
        <v>246</v>
      </c>
      <c r="WW16" s="27">
        <v>8</v>
      </c>
      <c r="WX16" s="27">
        <v>42</v>
      </c>
      <c r="WY16" s="27" t="s">
        <v>246</v>
      </c>
      <c r="WZ16" s="27">
        <v>8</v>
      </c>
      <c r="XA16" s="27">
        <v>42</v>
      </c>
      <c r="XB16" s="27" t="s">
        <v>246</v>
      </c>
      <c r="XC16" s="27">
        <v>8</v>
      </c>
      <c r="XD16" s="27">
        <v>45</v>
      </c>
      <c r="XE16" s="27" t="s">
        <v>246</v>
      </c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>
        <v>8</v>
      </c>
      <c r="XV16" s="27">
        <v>42</v>
      </c>
      <c r="XW16" s="27" t="s">
        <v>246</v>
      </c>
      <c r="XX16" s="37"/>
      <c r="XY16" s="27">
        <v>8</v>
      </c>
      <c r="XZ16" s="27">
        <v>42</v>
      </c>
      <c r="YA16" s="27" t="s">
        <v>246</v>
      </c>
      <c r="YB16" s="27">
        <v>8</v>
      </c>
      <c r="YC16" s="27">
        <v>42</v>
      </c>
      <c r="YD16" s="27" t="s">
        <v>246</v>
      </c>
      <c r="YE16" s="27">
        <v>8</v>
      </c>
      <c r="YF16" s="27">
        <v>42</v>
      </c>
      <c r="YG16" s="27" t="s">
        <v>246</v>
      </c>
      <c r="YH16" s="27"/>
      <c r="YI16" s="27"/>
      <c r="YJ16" s="27"/>
      <c r="YK16" s="27"/>
      <c r="YL16" s="27"/>
      <c r="YM16" s="27"/>
      <c r="YN16" s="27"/>
      <c r="YO16" s="27"/>
      <c r="YP16" s="27"/>
      <c r="YQ16" s="27">
        <v>8</v>
      </c>
      <c r="YR16" s="27">
        <v>42</v>
      </c>
      <c r="YS16" s="27" t="s">
        <v>246</v>
      </c>
      <c r="YT16" s="27"/>
      <c r="YU16" s="27"/>
      <c r="YV16" s="27"/>
      <c r="YW16" s="27">
        <v>8</v>
      </c>
      <c r="YX16" s="27">
        <v>42</v>
      </c>
      <c r="YY16" s="27" t="s">
        <v>246</v>
      </c>
      <c r="YZ16" s="27">
        <v>8</v>
      </c>
      <c r="ZA16" s="27">
        <v>42</v>
      </c>
      <c r="ZB16" s="27" t="s">
        <v>246</v>
      </c>
      <c r="ZC16" s="27"/>
      <c r="ZD16" s="27"/>
      <c r="ZE16" s="27"/>
      <c r="ZF16" s="27"/>
      <c r="ZG16" s="27"/>
      <c r="ZH16" s="27"/>
      <c r="ZI16" s="27">
        <v>8</v>
      </c>
      <c r="ZJ16" s="27">
        <v>42</v>
      </c>
      <c r="ZK16" s="27" t="s">
        <v>246</v>
      </c>
      <c r="ZL16" s="27">
        <v>8</v>
      </c>
      <c r="ZM16" s="27">
        <v>42</v>
      </c>
      <c r="ZN16" s="27" t="s">
        <v>246</v>
      </c>
      <c r="ZO16" s="27">
        <v>8</v>
      </c>
      <c r="ZP16" s="27">
        <v>42</v>
      </c>
      <c r="ZQ16" s="27" t="s">
        <v>246</v>
      </c>
      <c r="ZR16" s="27">
        <v>8</v>
      </c>
      <c r="ZS16" s="27">
        <v>42</v>
      </c>
      <c r="ZT16" s="27" t="s">
        <v>246</v>
      </c>
      <c r="ZU16" s="27">
        <v>8</v>
      </c>
      <c r="ZV16" s="27">
        <v>42</v>
      </c>
      <c r="ZW16" s="27" t="s">
        <v>246</v>
      </c>
      <c r="ZX16" s="27"/>
      <c r="ZY16" s="27"/>
      <c r="ZZ16" s="27"/>
      <c r="AAA16" s="27"/>
      <c r="AAB16" s="27"/>
      <c r="AAC16" s="27"/>
      <c r="AAD16" s="27">
        <v>8</v>
      </c>
      <c r="AAE16" s="27">
        <v>42</v>
      </c>
      <c r="AAF16" s="27" t="s">
        <v>246</v>
      </c>
      <c r="AAG16" s="27">
        <v>8</v>
      </c>
      <c r="AAH16" s="27">
        <v>42</v>
      </c>
      <c r="AAI16" s="27" t="s">
        <v>246</v>
      </c>
      <c r="AAJ16" s="27"/>
      <c r="AAK16" s="27"/>
      <c r="AAL16" s="27"/>
      <c r="AAM16" s="27">
        <v>8</v>
      </c>
      <c r="AAN16" s="27">
        <v>42</v>
      </c>
      <c r="AAO16" s="27" t="s">
        <v>246</v>
      </c>
      <c r="AAP16" s="27">
        <v>8</v>
      </c>
      <c r="AAQ16" s="27">
        <v>42</v>
      </c>
      <c r="AAR16" s="35" t="s">
        <v>246</v>
      </c>
      <c r="AAS16" s="27"/>
      <c r="AAT16" s="27"/>
      <c r="AAU16" s="27"/>
      <c r="AAV16" s="27"/>
      <c r="AAW16" s="27"/>
      <c r="AAX16" s="27"/>
      <c r="AAY16" s="27">
        <v>8</v>
      </c>
      <c r="AAZ16" s="27">
        <v>42</v>
      </c>
      <c r="ABA16" s="27" t="s">
        <v>246</v>
      </c>
      <c r="ABB16" s="27">
        <v>8</v>
      </c>
      <c r="ABC16" s="27">
        <v>42</v>
      </c>
      <c r="ABD16" s="27" t="s">
        <v>246</v>
      </c>
      <c r="ABE16" s="27"/>
      <c r="ABF16" s="27"/>
      <c r="ABG16" s="27"/>
      <c r="ABH16" s="27"/>
      <c r="ABI16" s="27"/>
      <c r="ABJ16" s="27"/>
      <c r="ABK16" s="27"/>
      <c r="ABL16" s="27"/>
      <c r="ABM16" s="29"/>
      <c r="ABN16" s="37"/>
      <c r="ABO16" s="26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9"/>
      <c r="AFD16" s="37"/>
      <c r="AFE16" s="26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37"/>
      <c r="AIR16" s="26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7"/>
      <c r="AKR16" s="27"/>
      <c r="AKS16" s="27"/>
      <c r="AKT16" s="27"/>
      <c r="AKU16" s="27"/>
      <c r="AKV16" s="27"/>
      <c r="AKW16" s="27"/>
      <c r="AKX16" s="27"/>
      <c r="AKY16" s="27"/>
      <c r="AKZ16" s="27"/>
      <c r="ALA16" s="27"/>
      <c r="ALB16" s="27"/>
      <c r="ALC16" s="27"/>
      <c r="ALD16" s="27"/>
      <c r="ALE16" s="27"/>
      <c r="ALF16" s="27"/>
      <c r="ALG16" s="27"/>
      <c r="ALH16" s="27"/>
      <c r="ALI16" s="27"/>
      <c r="ALJ16" s="27"/>
      <c r="ALK16" s="27"/>
      <c r="ALL16" s="27"/>
      <c r="ALM16" s="27"/>
      <c r="ALN16" s="27"/>
      <c r="ALO16" s="27"/>
      <c r="ALP16" s="27"/>
      <c r="ALQ16" s="27"/>
      <c r="ALR16" s="27"/>
      <c r="ALS16" s="27"/>
      <c r="ALT16" s="27"/>
      <c r="ALU16" s="27"/>
      <c r="ALV16" s="27"/>
      <c r="ALW16" s="27"/>
      <c r="ALX16" s="27"/>
      <c r="ALY16" s="27"/>
      <c r="ALZ16" s="27"/>
      <c r="AMA16" s="27"/>
      <c r="AMB16" s="27"/>
      <c r="AMC16" s="27"/>
      <c r="AMD16" s="27"/>
      <c r="AME16" s="27"/>
      <c r="AMF16" s="29"/>
      <c r="AMG16" s="37"/>
      <c r="AMH16" s="26"/>
      <c r="AMI16" s="27"/>
      <c r="AMJ16" s="27"/>
      <c r="AMK16" s="27"/>
      <c r="AML16" s="27"/>
      <c r="AMM16" s="27"/>
      <c r="AMN16" s="27"/>
      <c r="AMO16" s="27"/>
      <c r="AMP16" s="27"/>
      <c r="AMQ16" s="27"/>
      <c r="AMR16" s="27"/>
      <c r="AMS16" s="27"/>
      <c r="AMT16" s="27"/>
      <c r="AMU16" s="27"/>
      <c r="AMV16" s="27"/>
      <c r="AMW16" s="27"/>
      <c r="AMX16" s="27"/>
      <c r="AMY16" s="27"/>
      <c r="AMZ16" s="27"/>
      <c r="ANA16" s="27"/>
      <c r="ANB16" s="27"/>
      <c r="ANC16" s="27"/>
      <c r="AND16" s="27"/>
      <c r="ANE16" s="27"/>
      <c r="ANF16" s="27"/>
      <c r="ANG16" s="27"/>
      <c r="ANH16" s="27"/>
      <c r="ANI16" s="27"/>
      <c r="ANJ16" s="27"/>
      <c r="ANK16" s="27"/>
      <c r="ANL16" s="27"/>
      <c r="ANM16" s="27"/>
      <c r="ANN16" s="27"/>
      <c r="ANO16" s="27"/>
      <c r="ANP16" s="27"/>
      <c r="ANQ16" s="27"/>
      <c r="ANR16" s="27"/>
      <c r="ANS16" s="27"/>
      <c r="ANT16" s="27"/>
      <c r="ANU16" s="27"/>
      <c r="ANV16" s="27"/>
      <c r="ANW16" s="27"/>
      <c r="ANX16" s="27"/>
      <c r="ANY16" s="27"/>
      <c r="ANZ16" s="27"/>
      <c r="AOA16" s="27"/>
      <c r="AOB16" s="27"/>
      <c r="AOC16" s="27"/>
      <c r="AOD16" s="27"/>
      <c r="AOE16" s="27"/>
      <c r="AOF16" s="27"/>
      <c r="AOG16" s="27"/>
      <c r="AOH16" s="27"/>
      <c r="AOI16" s="27"/>
      <c r="AOJ16" s="27"/>
      <c r="AOK16" s="27"/>
      <c r="AOL16" s="27"/>
      <c r="AOM16" s="27"/>
      <c r="AON16" s="27"/>
      <c r="AOO16" s="27"/>
      <c r="AOP16" s="27"/>
      <c r="AOQ16" s="27"/>
      <c r="AOR16" s="27"/>
      <c r="AOS16" s="27"/>
      <c r="AOT16" s="27"/>
      <c r="AOU16" s="27"/>
      <c r="AOV16" s="27"/>
      <c r="AOW16" s="27"/>
      <c r="AOX16" s="27"/>
      <c r="AOY16" s="27"/>
      <c r="AOZ16" s="27"/>
      <c r="APA16" s="27"/>
      <c r="APB16" s="27"/>
      <c r="APC16" s="27"/>
      <c r="APD16" s="27"/>
      <c r="APE16" s="27"/>
      <c r="APF16" s="27"/>
      <c r="APG16" s="27"/>
      <c r="APH16" s="27"/>
      <c r="API16" s="27"/>
      <c r="APJ16" s="27"/>
      <c r="APK16" s="27"/>
      <c r="APL16" s="27"/>
      <c r="APM16" s="27"/>
      <c r="APN16" s="27"/>
      <c r="APO16" s="27"/>
      <c r="APP16" s="27"/>
      <c r="APQ16" s="27"/>
      <c r="APR16" s="27"/>
      <c r="APS16" s="29"/>
      <c r="APT16" s="37"/>
      <c r="APU16" s="26"/>
      <c r="APV16" s="27"/>
      <c r="APW16" s="27"/>
      <c r="APX16" s="27"/>
      <c r="APY16" s="27"/>
      <c r="APZ16" s="27"/>
      <c r="AQA16" s="27"/>
      <c r="AQB16" s="27"/>
      <c r="AQC16" s="27"/>
      <c r="AQD16" s="27"/>
      <c r="AQE16" s="27"/>
      <c r="AQF16" s="27"/>
      <c r="AQG16" s="27"/>
      <c r="AQH16" s="27"/>
      <c r="AQI16" s="27"/>
      <c r="AQJ16" s="27"/>
      <c r="AQK16" s="27"/>
      <c r="AQL16" s="27"/>
      <c r="AQM16" s="27"/>
      <c r="AQN16" s="27"/>
      <c r="AQO16" s="27"/>
      <c r="AQP16" s="27"/>
      <c r="AQQ16" s="27"/>
      <c r="AQR16" s="27"/>
      <c r="AQS16" s="27"/>
      <c r="AQT16" s="27"/>
      <c r="AQU16" s="27"/>
      <c r="AQV16" s="27"/>
      <c r="AQW16" s="27"/>
      <c r="AQX16" s="27"/>
      <c r="AQY16" s="27"/>
      <c r="AQZ16" s="27"/>
      <c r="ARA16" s="27"/>
      <c r="ARB16" s="27"/>
      <c r="ARC16" s="27"/>
      <c r="ARD16" s="27"/>
      <c r="ARE16" s="27"/>
      <c r="ARF16" s="27"/>
      <c r="ARG16" s="27"/>
      <c r="ARH16" s="27"/>
      <c r="ARI16" s="27"/>
      <c r="ARJ16" s="27"/>
      <c r="ARK16" s="27"/>
      <c r="ARL16" s="27"/>
      <c r="ARM16" s="27"/>
      <c r="ARN16" s="27"/>
      <c r="ARO16" s="27"/>
      <c r="ARP16" s="27"/>
      <c r="ARQ16" s="27"/>
      <c r="ARR16" s="27"/>
      <c r="ARS16" s="27"/>
      <c r="ART16" s="27"/>
      <c r="ARU16" s="27"/>
      <c r="ARV16" s="27"/>
      <c r="ARW16" s="27"/>
      <c r="ARX16" s="27"/>
      <c r="ARY16" s="27"/>
      <c r="ARZ16" s="27"/>
      <c r="ASA16" s="27"/>
      <c r="ASB16" s="27"/>
      <c r="ASC16" s="27"/>
      <c r="ASD16" s="27"/>
      <c r="ASE16" s="27"/>
      <c r="ASF16" s="27"/>
      <c r="ASG16" s="27"/>
      <c r="ASH16" s="27"/>
      <c r="ASI16" s="27"/>
      <c r="ASJ16" s="27"/>
      <c r="ASK16" s="27"/>
      <c r="ASL16" s="27"/>
      <c r="ASM16" s="27"/>
      <c r="ASN16" s="27"/>
      <c r="ASO16" s="27"/>
      <c r="ASP16" s="27"/>
      <c r="ASQ16" s="27"/>
      <c r="ASR16" s="27"/>
      <c r="ASS16" s="27"/>
      <c r="AST16" s="27"/>
      <c r="ASU16" s="27"/>
      <c r="ASV16" s="27"/>
      <c r="ASW16" s="27"/>
      <c r="ASX16" s="27"/>
      <c r="ASY16" s="27"/>
      <c r="ASZ16" s="27"/>
      <c r="ATA16" s="27"/>
      <c r="ATB16" s="27"/>
      <c r="ATC16" s="27"/>
      <c r="ATD16" s="27"/>
      <c r="ATE16" s="27"/>
      <c r="ATF16" s="29"/>
      <c r="ATG16" s="37"/>
      <c r="ATH16" s="26"/>
      <c r="ATI16" s="27"/>
      <c r="ATJ16" s="27"/>
      <c r="ATK16" s="27"/>
      <c r="ATL16" s="27"/>
      <c r="ATM16" s="27"/>
      <c r="ATN16" s="27"/>
      <c r="ATO16" s="27"/>
      <c r="ATP16" s="27"/>
      <c r="ATQ16" s="27"/>
      <c r="ATR16" s="27"/>
      <c r="ATS16" s="27"/>
      <c r="ATT16" s="27"/>
      <c r="ATU16" s="27"/>
      <c r="ATV16" s="27"/>
      <c r="ATW16" s="27"/>
      <c r="ATX16" s="27"/>
      <c r="ATY16" s="27"/>
      <c r="ATZ16" s="27"/>
      <c r="AUA16" s="27"/>
      <c r="AUB16" s="27"/>
      <c r="AUC16" s="27"/>
      <c r="AUD16" s="27"/>
      <c r="AUE16" s="27"/>
      <c r="AUF16" s="27"/>
      <c r="AUG16" s="27"/>
      <c r="AUH16" s="27"/>
      <c r="AUI16" s="27"/>
      <c r="AUJ16" s="27"/>
      <c r="AUK16" s="27"/>
      <c r="AUL16" s="27"/>
      <c r="AUM16" s="27"/>
      <c r="AUN16" s="27"/>
      <c r="AUO16" s="27"/>
      <c r="AUP16" s="27"/>
      <c r="AUQ16" s="27"/>
      <c r="AUR16" s="27"/>
      <c r="AUS16" s="27"/>
      <c r="AUT16" s="27"/>
      <c r="AUU16" s="27"/>
      <c r="AUV16" s="27"/>
      <c r="AUW16" s="27"/>
      <c r="AUX16" s="27"/>
      <c r="AUY16" s="27"/>
      <c r="AUZ16" s="27"/>
      <c r="AVA16" s="27"/>
      <c r="AVB16" s="27"/>
      <c r="AVC16" s="27"/>
      <c r="AVD16" s="27"/>
      <c r="AVE16" s="27"/>
      <c r="AVF16" s="27"/>
      <c r="AVG16" s="27"/>
      <c r="AVH16" s="27"/>
      <c r="AVI16" s="27"/>
      <c r="AVJ16" s="27"/>
      <c r="AVK16" s="27"/>
      <c r="AVL16" s="27"/>
      <c r="AVM16" s="27"/>
      <c r="AVN16" s="27"/>
      <c r="AVO16" s="27"/>
      <c r="AVP16" s="27"/>
      <c r="AVQ16" s="27"/>
      <c r="AVR16" s="27"/>
      <c r="AVS16" s="27"/>
      <c r="AVT16" s="27"/>
      <c r="AVU16" s="27"/>
      <c r="AVV16" s="27"/>
      <c r="AVW16" s="27"/>
      <c r="AVX16" s="27"/>
      <c r="AVY16" s="27"/>
      <c r="AVZ16" s="27"/>
      <c r="AWA16" s="27"/>
      <c r="AWB16" s="27"/>
      <c r="AWC16" s="27"/>
      <c r="AWD16" s="27"/>
      <c r="AWE16" s="27"/>
      <c r="AWF16" s="27"/>
      <c r="AWG16" s="27"/>
      <c r="AWH16" s="27"/>
      <c r="AWI16" s="27"/>
      <c r="AWJ16" s="27"/>
      <c r="AWK16" s="27"/>
      <c r="AWL16" s="27"/>
      <c r="AWM16" s="27"/>
      <c r="AWN16" s="27"/>
      <c r="AWO16" s="27"/>
      <c r="AWP16" s="27"/>
      <c r="AWQ16" s="27"/>
      <c r="AWR16" s="27"/>
      <c r="AWS16" s="29"/>
      <c r="AWT16" s="37"/>
      <c r="AWU16" s="26"/>
      <c r="AWV16" s="27"/>
      <c r="AWW16" s="27"/>
      <c r="AWX16" s="27"/>
      <c r="AWY16" s="27"/>
      <c r="AWZ16" s="27"/>
      <c r="AXA16" s="27"/>
      <c r="AXB16" s="27"/>
      <c r="AXC16" s="27"/>
      <c r="AXD16" s="27"/>
      <c r="AXE16" s="27"/>
      <c r="AXF16" s="27"/>
      <c r="AXG16" s="27"/>
      <c r="AXH16" s="27"/>
      <c r="AXI16" s="27"/>
      <c r="AXJ16" s="27"/>
      <c r="AXK16" s="27"/>
      <c r="AXL16" s="27"/>
      <c r="AXM16" s="27"/>
      <c r="AXN16" s="27"/>
      <c r="AXO16" s="27"/>
      <c r="AXP16" s="27"/>
      <c r="AXQ16" s="27"/>
      <c r="AXR16" s="27"/>
      <c r="AXS16" s="27"/>
      <c r="AXT16" s="27"/>
      <c r="AXU16" s="27"/>
      <c r="AXV16" s="27"/>
      <c r="AXW16" s="27"/>
      <c r="AXX16" s="27"/>
      <c r="AXY16" s="27"/>
      <c r="AXZ16" s="27"/>
      <c r="AYA16" s="27"/>
      <c r="AYB16" s="27"/>
      <c r="AYC16" s="27"/>
      <c r="AYD16" s="27"/>
      <c r="AYE16" s="27"/>
      <c r="AYF16" s="27"/>
      <c r="AYG16" s="27"/>
      <c r="AYH16" s="27"/>
      <c r="AYI16" s="27"/>
      <c r="AYJ16" s="27"/>
      <c r="AYK16" s="27"/>
      <c r="AYL16" s="27"/>
      <c r="AYM16" s="27"/>
      <c r="AYN16" s="27"/>
      <c r="AYO16" s="27"/>
      <c r="AYP16" s="27"/>
      <c r="AYQ16" s="27"/>
      <c r="AYR16" s="27"/>
      <c r="AYS16" s="27"/>
      <c r="AYT16" s="27"/>
      <c r="AYU16" s="27"/>
      <c r="AYV16" s="27"/>
      <c r="AYW16" s="27"/>
      <c r="AYX16" s="27"/>
      <c r="AYY16" s="27"/>
      <c r="AYZ16" s="27"/>
      <c r="AZA16" s="27"/>
      <c r="AZB16" s="27"/>
      <c r="AZC16" s="27"/>
      <c r="AZD16" s="27"/>
      <c r="AZE16" s="27"/>
      <c r="AZF16" s="27"/>
      <c r="AZG16" s="27"/>
      <c r="AZH16" s="27"/>
      <c r="AZI16" s="27"/>
      <c r="AZJ16" s="27"/>
      <c r="AZK16" s="27"/>
      <c r="AZL16" s="27"/>
      <c r="AZM16" s="27"/>
      <c r="AZN16" s="27"/>
      <c r="AZO16" s="27"/>
      <c r="AZP16" s="27"/>
      <c r="AZQ16" s="27"/>
      <c r="AZR16" s="27"/>
      <c r="AZS16" s="27"/>
      <c r="AZT16" s="27"/>
      <c r="AZU16" s="27"/>
      <c r="AZV16" s="27"/>
      <c r="AZW16" s="27"/>
      <c r="AZX16" s="27"/>
      <c r="AZY16" s="27"/>
      <c r="AZZ16" s="27"/>
      <c r="BAA16" s="37"/>
      <c r="BAB16" s="26"/>
      <c r="BAC16" s="27"/>
      <c r="BAD16" s="27"/>
      <c r="BAE16" s="27"/>
      <c r="BAF16" s="27"/>
      <c r="BAG16" s="27"/>
      <c r="BAH16" s="27"/>
      <c r="BAI16" s="27"/>
      <c r="BAJ16" s="27"/>
      <c r="BAK16" s="27"/>
      <c r="BAL16" s="27"/>
      <c r="BAM16" s="27"/>
      <c r="BAN16" s="27"/>
      <c r="BAO16" s="27"/>
      <c r="BAP16" s="27"/>
      <c r="BAQ16" s="27"/>
      <c r="BAR16" s="27"/>
      <c r="BAS16" s="27"/>
      <c r="BAT16" s="27"/>
      <c r="BAU16" s="27"/>
      <c r="BAV16" s="27"/>
      <c r="BAW16" s="27"/>
      <c r="BAX16" s="27"/>
      <c r="BAY16" s="27"/>
      <c r="BAZ16" s="27"/>
      <c r="BBA16" s="27"/>
      <c r="BBB16" s="27"/>
      <c r="BBC16" s="27"/>
      <c r="BBD16" s="27"/>
      <c r="BBE16" s="27"/>
      <c r="BBF16" s="27"/>
      <c r="BBG16" s="27"/>
      <c r="BBH16" s="27"/>
      <c r="BBI16" s="27"/>
      <c r="BBJ16" s="27"/>
      <c r="BBK16" s="27"/>
      <c r="BBL16" s="27"/>
      <c r="BBM16" s="27"/>
      <c r="BBN16" s="27"/>
      <c r="BBO16" s="27"/>
      <c r="BBP16" s="27"/>
      <c r="BBQ16" s="27"/>
      <c r="BBR16" s="27"/>
      <c r="BBS16" s="27"/>
      <c r="BBT16" s="27"/>
      <c r="BBU16" s="27"/>
      <c r="BBV16" s="27"/>
      <c r="BBW16" s="27"/>
      <c r="BBX16" s="27"/>
      <c r="BBY16" s="27"/>
      <c r="BBZ16" s="27"/>
      <c r="BCA16" s="27"/>
      <c r="BCB16" s="27"/>
      <c r="BCC16" s="27"/>
      <c r="BCD16" s="27"/>
      <c r="BCE16" s="27"/>
      <c r="BCF16" s="27"/>
      <c r="BCG16" s="27"/>
      <c r="BCH16" s="27"/>
      <c r="BCI16" s="27"/>
      <c r="BCJ16" s="27"/>
      <c r="BCK16" s="27"/>
      <c r="BCL16" s="27"/>
      <c r="BCM16" s="27"/>
      <c r="BCN16" s="27"/>
      <c r="BCO16" s="27"/>
      <c r="BCP16" s="27"/>
      <c r="BCQ16" s="27"/>
      <c r="BCR16" s="27"/>
      <c r="BCS16" s="27"/>
      <c r="BCT16" s="27"/>
      <c r="BCU16" s="27"/>
      <c r="BCV16" s="27"/>
      <c r="BCW16" s="27"/>
      <c r="BCX16" s="27"/>
      <c r="BCY16" s="27"/>
      <c r="BCZ16" s="27"/>
      <c r="BDA16" s="27"/>
      <c r="BDB16" s="27"/>
      <c r="BDC16" s="27"/>
      <c r="BDD16" s="27"/>
      <c r="BDE16" s="27"/>
      <c r="BDF16" s="27"/>
      <c r="BDG16" s="27"/>
      <c r="BDH16" s="27"/>
      <c r="BDI16" s="27"/>
      <c r="BDJ16" s="27"/>
      <c r="BDK16" s="27"/>
      <c r="BDL16" s="27"/>
      <c r="BDM16" s="29"/>
      <c r="BDN16" s="29"/>
      <c r="BDO16" s="29"/>
      <c r="BDP16" s="29"/>
      <c r="BDQ16" s="37"/>
      <c r="BDR16" s="26"/>
      <c r="BDS16" s="27"/>
      <c r="BDT16" s="27"/>
      <c r="BDU16" s="27"/>
      <c r="BDV16" s="27"/>
      <c r="BDW16" s="27"/>
      <c r="BDX16" s="27"/>
      <c r="BDY16" s="27"/>
      <c r="BDZ16" s="27"/>
      <c r="BEA16" s="27"/>
      <c r="BEB16" s="27"/>
      <c r="BEC16" s="27"/>
      <c r="BED16" s="27"/>
      <c r="BEE16" s="27"/>
      <c r="BEF16" s="27"/>
      <c r="BEG16" s="27"/>
      <c r="BEH16" s="27"/>
      <c r="BEI16" s="27"/>
      <c r="BEJ16" s="27"/>
      <c r="BEK16" s="27"/>
      <c r="BEL16" s="27"/>
      <c r="BEM16" s="27"/>
      <c r="BEN16" s="27"/>
      <c r="BEO16" s="27"/>
      <c r="BEP16" s="27"/>
      <c r="BEQ16" s="27"/>
      <c r="BER16" s="27"/>
      <c r="BES16" s="27"/>
      <c r="BET16" s="27"/>
      <c r="BEU16" s="27"/>
      <c r="BEV16" s="27"/>
      <c r="BEW16" s="27"/>
      <c r="BEX16" s="27"/>
      <c r="BEY16" s="27"/>
      <c r="BEZ16" s="27"/>
      <c r="BFA16" s="27"/>
      <c r="BFB16" s="27"/>
      <c r="BFC16" s="27"/>
      <c r="BFD16" s="27"/>
      <c r="BFE16" s="27"/>
      <c r="BFF16" s="27"/>
      <c r="BFG16" s="27"/>
      <c r="BFH16" s="27"/>
      <c r="BFI16" s="27"/>
      <c r="BFJ16" s="27"/>
      <c r="BFK16" s="27"/>
      <c r="BFL16" s="27"/>
      <c r="BFM16" s="27"/>
      <c r="BFN16" s="27"/>
      <c r="BFO16" s="27"/>
      <c r="BFP16" s="27"/>
      <c r="BFQ16" s="27"/>
      <c r="BFR16" s="27"/>
      <c r="BFS16" s="27"/>
      <c r="BFT16" s="27"/>
      <c r="BFU16" s="27"/>
      <c r="BFV16" s="27"/>
      <c r="BFW16" s="27"/>
      <c r="BFX16" s="27"/>
      <c r="BFY16" s="27"/>
      <c r="BFZ16" s="27"/>
      <c r="BGA16" s="27"/>
      <c r="BGB16" s="27"/>
      <c r="BGC16" s="27"/>
      <c r="BGD16" s="27"/>
      <c r="BGE16" s="27"/>
      <c r="BGF16" s="27"/>
      <c r="BGG16" s="27"/>
      <c r="BGH16" s="27"/>
      <c r="BGI16" s="27"/>
      <c r="BGJ16" s="27"/>
      <c r="BGK16" s="27"/>
      <c r="BGL16" s="27"/>
      <c r="BGM16" s="27"/>
      <c r="BGN16" s="27"/>
      <c r="BGO16" s="27"/>
      <c r="BGP16" s="27"/>
      <c r="BGQ16" s="27"/>
      <c r="BGR16" s="27"/>
      <c r="BGS16" s="27"/>
      <c r="BGT16" s="27"/>
      <c r="BGU16" s="27"/>
      <c r="BGV16" s="27"/>
      <c r="BGW16" s="27"/>
      <c r="BGX16" s="27"/>
      <c r="BGY16" s="27"/>
      <c r="BGZ16" s="27"/>
      <c r="BHA16" s="27"/>
      <c r="BHB16" s="27"/>
      <c r="BHC16" s="29"/>
      <c r="BHD16" s="37"/>
    </row>
    <row r="17" spans="1:1564" ht="31.95" customHeight="1" x14ac:dyDescent="0.3">
      <c r="A17" s="22">
        <v>13</v>
      </c>
      <c r="B17" s="40" t="s">
        <v>295</v>
      </c>
      <c r="C17" s="40" t="s">
        <v>259</v>
      </c>
      <c r="D17" s="40" t="s">
        <v>242</v>
      </c>
      <c r="E17" s="37"/>
      <c r="F17" s="30"/>
      <c r="G17" s="23"/>
      <c r="H17" s="23"/>
      <c r="I17" s="30"/>
      <c r="J17" s="23"/>
      <c r="K17" s="23"/>
      <c r="L17" s="30"/>
      <c r="M17" s="23"/>
      <c r="N17" s="23"/>
      <c r="O17" s="30"/>
      <c r="P17" s="23"/>
      <c r="Q17" s="23"/>
      <c r="R17" s="30"/>
      <c r="S17" s="23"/>
      <c r="T17" s="23"/>
      <c r="U17" s="30"/>
      <c r="V17" s="23"/>
      <c r="W17" s="23"/>
      <c r="X17" s="30"/>
      <c r="Y17" s="23"/>
      <c r="Z17" s="23"/>
      <c r="AA17" s="30"/>
      <c r="AB17" s="23"/>
      <c r="AC17" s="23"/>
      <c r="AD17" s="30"/>
      <c r="AE17" s="23"/>
      <c r="AF17" s="23"/>
      <c r="AG17" s="30"/>
      <c r="AH17" s="23"/>
      <c r="AI17" s="23"/>
      <c r="AJ17" s="30"/>
      <c r="AK17" s="23"/>
      <c r="AL17" s="23"/>
      <c r="AM17" s="30"/>
      <c r="AN17" s="23"/>
      <c r="AO17" s="23"/>
      <c r="AP17" s="30"/>
      <c r="AQ17" s="23"/>
      <c r="AR17" s="23"/>
      <c r="AS17" s="30"/>
      <c r="AT17" s="23"/>
      <c r="AU17" s="23"/>
      <c r="AV17" s="30"/>
      <c r="AW17" s="23"/>
      <c r="AX17" s="23"/>
      <c r="AY17" s="30"/>
      <c r="AZ17" s="23"/>
      <c r="BA17" s="23"/>
      <c r="BB17" s="30"/>
      <c r="BC17" s="23"/>
      <c r="BD17" s="23"/>
      <c r="BE17" s="30"/>
      <c r="BF17" s="23"/>
      <c r="BG17" s="23"/>
      <c r="BH17" s="30"/>
      <c r="BI17" s="23"/>
      <c r="BJ17" s="23"/>
      <c r="BK17" s="30"/>
      <c r="BL17" s="23"/>
      <c r="BM17" s="23"/>
      <c r="BN17" s="30"/>
      <c r="BO17" s="23"/>
      <c r="BP17" s="24"/>
      <c r="BQ17" s="30"/>
      <c r="BR17" s="23"/>
      <c r="BS17" s="23"/>
      <c r="BT17" s="30"/>
      <c r="BU17" s="23"/>
      <c r="BV17" s="23"/>
      <c r="BW17" s="30"/>
      <c r="BX17" s="23"/>
      <c r="BY17" s="23"/>
      <c r="BZ17" s="30"/>
      <c r="CA17" s="23"/>
      <c r="CB17" s="23"/>
      <c r="CC17" s="30"/>
      <c r="CD17" s="23"/>
      <c r="CE17" s="23"/>
      <c r="CF17" s="30"/>
      <c r="CG17" s="23"/>
      <c r="CH17" s="23"/>
      <c r="CI17" s="30"/>
      <c r="CJ17" s="23"/>
      <c r="CK17" s="23"/>
      <c r="CL17" s="30"/>
      <c r="CM17" s="23"/>
      <c r="CN17" s="23"/>
      <c r="CO17" s="30"/>
      <c r="CP17" s="23"/>
      <c r="CQ17" s="23"/>
      <c r="CR17" s="30"/>
      <c r="CS17" s="23"/>
      <c r="CT17" s="25"/>
      <c r="CU17" s="37"/>
      <c r="CV17" s="26"/>
      <c r="CW17" s="27"/>
      <c r="CX17" s="27"/>
      <c r="CY17" s="27"/>
      <c r="CZ17" s="27"/>
      <c r="DA17" s="27"/>
      <c r="DB17" s="26"/>
      <c r="DC17" s="27"/>
      <c r="DD17" s="27"/>
      <c r="DE17" s="26"/>
      <c r="DF17" s="27"/>
      <c r="DG17" s="27"/>
      <c r="DH17" s="26"/>
      <c r="DI17" s="27"/>
      <c r="DJ17" s="27"/>
      <c r="DK17" s="26"/>
      <c r="DL17" s="27"/>
      <c r="DM17" s="27"/>
      <c r="DN17" s="26"/>
      <c r="DO17" s="27"/>
      <c r="DP17" s="27"/>
      <c r="DQ17" s="26"/>
      <c r="DR17" s="27"/>
      <c r="DS17" s="27"/>
      <c r="DT17" s="26"/>
      <c r="DU17" s="27"/>
      <c r="DV17" s="27"/>
      <c r="DW17" s="26"/>
      <c r="DX17" s="27"/>
      <c r="DY17" s="27"/>
      <c r="DZ17" s="26"/>
      <c r="EA17" s="27"/>
      <c r="EB17" s="27"/>
      <c r="EC17" s="26"/>
      <c r="ED17" s="27"/>
      <c r="EE17" s="27"/>
      <c r="EF17" s="26"/>
      <c r="EG17" s="27"/>
      <c r="EH17" s="27"/>
      <c r="EI17" s="26"/>
      <c r="EJ17" s="27"/>
      <c r="EK17" s="27"/>
      <c r="EL17" s="26"/>
      <c r="EM17" s="27"/>
      <c r="EN17" s="27"/>
      <c r="EO17" s="26"/>
      <c r="EP17" s="27"/>
      <c r="EQ17" s="27"/>
      <c r="ER17" s="26"/>
      <c r="ES17" s="27"/>
      <c r="ET17" s="27"/>
      <c r="EU17" s="26"/>
      <c r="EV17" s="27"/>
      <c r="EW17" s="27"/>
      <c r="EX17" s="26"/>
      <c r="EY17" s="27"/>
      <c r="EZ17" s="27"/>
      <c r="FA17" s="26"/>
      <c r="FB17" s="27"/>
      <c r="FC17" s="27"/>
      <c r="FD17" s="26"/>
      <c r="FE17" s="27"/>
      <c r="FF17" s="27"/>
      <c r="FG17" s="26"/>
      <c r="FH17" s="27"/>
      <c r="FI17" s="27"/>
      <c r="FJ17" s="26"/>
      <c r="FK17" s="27"/>
      <c r="FL17" s="27"/>
      <c r="FM17" s="26"/>
      <c r="FN17" s="27"/>
      <c r="FO17" s="27"/>
      <c r="FP17" s="26"/>
      <c r="FQ17" s="27"/>
      <c r="FR17" s="27"/>
      <c r="FS17" s="26"/>
      <c r="FT17" s="27"/>
      <c r="FU17" s="27"/>
      <c r="FV17" s="26"/>
      <c r="FW17" s="27"/>
      <c r="FX17" s="27"/>
      <c r="FY17" s="26"/>
      <c r="FZ17" s="27"/>
      <c r="GA17" s="27"/>
      <c r="GB17" s="26"/>
      <c r="GC17" s="27"/>
      <c r="GD17" s="27"/>
      <c r="GE17" s="26"/>
      <c r="GF17" s="27"/>
      <c r="GG17" s="27"/>
      <c r="GH17" s="26"/>
      <c r="GI17" s="27"/>
      <c r="GJ17" s="29"/>
      <c r="GK17" s="37"/>
      <c r="GL17" s="26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37"/>
      <c r="JS17" s="26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9"/>
      <c r="NH17" s="37"/>
      <c r="NI17" s="26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37"/>
      <c r="QV17" s="26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9"/>
      <c r="UK17" s="37"/>
      <c r="UL17" s="26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3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9"/>
      <c r="ABN17" s="37"/>
      <c r="ABO17" s="26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9"/>
      <c r="AFD17" s="37"/>
      <c r="AFE17" s="26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37"/>
      <c r="AIR17" s="26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/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7"/>
      <c r="AKR17" s="27"/>
      <c r="AKS17" s="27"/>
      <c r="AKT17" s="27"/>
      <c r="AKU17" s="27"/>
      <c r="AKV17" s="27"/>
      <c r="AKW17" s="27"/>
      <c r="AKX17" s="27"/>
      <c r="AKY17" s="27"/>
      <c r="AKZ17" s="27"/>
      <c r="ALA17" s="27"/>
      <c r="ALB17" s="27"/>
      <c r="ALC17" s="27"/>
      <c r="ALD17" s="27"/>
      <c r="ALE17" s="27"/>
      <c r="ALF17" s="27"/>
      <c r="ALG17" s="27"/>
      <c r="ALH17" s="27"/>
      <c r="ALI17" s="27"/>
      <c r="ALJ17" s="27"/>
      <c r="ALK17" s="27"/>
      <c r="ALL17" s="27"/>
      <c r="ALM17" s="27"/>
      <c r="ALN17" s="27"/>
      <c r="ALO17" s="27"/>
      <c r="ALP17" s="27"/>
      <c r="ALQ17" s="27"/>
      <c r="ALR17" s="27"/>
      <c r="ALS17" s="27"/>
      <c r="ALT17" s="27"/>
      <c r="ALU17" s="27"/>
      <c r="ALV17" s="27"/>
      <c r="ALW17" s="27"/>
      <c r="ALX17" s="27"/>
      <c r="ALY17" s="27"/>
      <c r="ALZ17" s="27"/>
      <c r="AMA17" s="27"/>
      <c r="AMB17" s="27"/>
      <c r="AMC17" s="27"/>
      <c r="AMD17" s="27"/>
      <c r="AME17" s="27"/>
      <c r="AMF17" s="29"/>
      <c r="AMG17" s="37"/>
      <c r="AMH17" s="26"/>
      <c r="AMI17" s="27"/>
      <c r="AMJ17" s="27"/>
      <c r="AMK17" s="27"/>
      <c r="AML17" s="27"/>
      <c r="AMM17" s="27"/>
      <c r="AMN17" s="27"/>
      <c r="AMO17" s="27"/>
      <c r="AMP17" s="27"/>
      <c r="AMQ17" s="27"/>
      <c r="AMR17" s="27"/>
      <c r="AMS17" s="27"/>
      <c r="AMT17" s="27"/>
      <c r="AMU17" s="27"/>
      <c r="AMV17" s="27"/>
      <c r="AMW17" s="27"/>
      <c r="AMX17" s="27"/>
      <c r="AMY17" s="27"/>
      <c r="AMZ17" s="27"/>
      <c r="ANA17" s="27"/>
      <c r="ANB17" s="27"/>
      <c r="ANC17" s="27"/>
      <c r="AND17" s="27"/>
      <c r="ANE17" s="27"/>
      <c r="ANF17" s="27"/>
      <c r="ANG17" s="27"/>
      <c r="ANH17" s="27"/>
      <c r="ANI17" s="27"/>
      <c r="ANJ17" s="27"/>
      <c r="ANK17" s="27"/>
      <c r="ANL17" s="27"/>
      <c r="ANM17" s="27"/>
      <c r="ANN17" s="27"/>
      <c r="ANO17" s="27"/>
      <c r="ANP17" s="27"/>
      <c r="ANQ17" s="27"/>
      <c r="ANR17" s="27"/>
      <c r="ANS17" s="27"/>
      <c r="ANT17" s="27"/>
      <c r="ANU17" s="27"/>
      <c r="ANV17" s="27"/>
      <c r="ANW17" s="27"/>
      <c r="ANX17" s="27"/>
      <c r="ANY17" s="27"/>
      <c r="ANZ17" s="27"/>
      <c r="AOA17" s="27"/>
      <c r="AOB17" s="27"/>
      <c r="AOC17" s="27"/>
      <c r="AOD17" s="27"/>
      <c r="AOE17" s="27"/>
      <c r="AOF17" s="27"/>
      <c r="AOG17" s="27"/>
      <c r="AOH17" s="27"/>
      <c r="AOI17" s="27"/>
      <c r="AOJ17" s="27"/>
      <c r="AOK17" s="27"/>
      <c r="AOL17" s="27"/>
      <c r="AOM17" s="27"/>
      <c r="AON17" s="27"/>
      <c r="AOO17" s="27"/>
      <c r="AOP17" s="27"/>
      <c r="AOQ17" s="27"/>
      <c r="AOR17" s="27"/>
      <c r="AOS17" s="27"/>
      <c r="AOT17" s="27"/>
      <c r="AOU17" s="27"/>
      <c r="AOV17" s="27"/>
      <c r="AOW17" s="27"/>
      <c r="AOX17" s="27"/>
      <c r="AOY17" s="27"/>
      <c r="AOZ17" s="27"/>
      <c r="APA17" s="27"/>
      <c r="APB17" s="27"/>
      <c r="APC17" s="27"/>
      <c r="APD17" s="27"/>
      <c r="APE17" s="27"/>
      <c r="APF17" s="27"/>
      <c r="APG17" s="27"/>
      <c r="APH17" s="27"/>
      <c r="API17" s="27"/>
      <c r="APJ17" s="27"/>
      <c r="APK17" s="27"/>
      <c r="APL17" s="27"/>
      <c r="APM17" s="27"/>
      <c r="APN17" s="27"/>
      <c r="APO17" s="27"/>
      <c r="APP17" s="27"/>
      <c r="APQ17" s="27"/>
      <c r="APR17" s="27"/>
      <c r="APS17" s="29"/>
      <c r="APT17" s="37"/>
      <c r="APU17" s="26"/>
      <c r="APV17" s="27"/>
      <c r="APW17" s="27"/>
      <c r="APX17" s="27"/>
      <c r="APY17" s="27"/>
      <c r="APZ17" s="27"/>
      <c r="AQA17" s="27"/>
      <c r="AQB17" s="27"/>
      <c r="AQC17" s="27"/>
      <c r="AQD17" s="27"/>
      <c r="AQE17" s="27"/>
      <c r="AQF17" s="27"/>
      <c r="AQG17" s="27"/>
      <c r="AQH17" s="27"/>
      <c r="AQI17" s="27"/>
      <c r="AQJ17" s="27"/>
      <c r="AQK17" s="27"/>
      <c r="AQL17" s="27"/>
      <c r="AQM17" s="27"/>
      <c r="AQN17" s="27"/>
      <c r="AQO17" s="27"/>
      <c r="AQP17" s="27"/>
      <c r="AQQ17" s="27"/>
      <c r="AQR17" s="27"/>
      <c r="AQS17" s="27"/>
      <c r="AQT17" s="27"/>
      <c r="AQU17" s="27"/>
      <c r="AQV17" s="27"/>
      <c r="AQW17" s="27"/>
      <c r="AQX17" s="27"/>
      <c r="AQY17" s="27"/>
      <c r="AQZ17" s="27"/>
      <c r="ARA17" s="27"/>
      <c r="ARB17" s="27"/>
      <c r="ARC17" s="27"/>
      <c r="ARD17" s="27"/>
      <c r="ARE17" s="27"/>
      <c r="ARF17" s="27"/>
      <c r="ARG17" s="27"/>
      <c r="ARH17" s="27"/>
      <c r="ARI17" s="27"/>
      <c r="ARJ17" s="27"/>
      <c r="ARK17" s="27"/>
      <c r="ARL17" s="27"/>
      <c r="ARM17" s="27"/>
      <c r="ARN17" s="27"/>
      <c r="ARO17" s="27"/>
      <c r="ARP17" s="27"/>
      <c r="ARQ17" s="27"/>
      <c r="ARR17" s="27"/>
      <c r="ARS17" s="27"/>
      <c r="ART17" s="27"/>
      <c r="ARU17" s="27"/>
      <c r="ARV17" s="27"/>
      <c r="ARW17" s="27"/>
      <c r="ARX17" s="27"/>
      <c r="ARY17" s="27"/>
      <c r="ARZ17" s="27"/>
      <c r="ASA17" s="27"/>
      <c r="ASB17" s="27"/>
      <c r="ASC17" s="27"/>
      <c r="ASD17" s="27"/>
      <c r="ASE17" s="27"/>
      <c r="ASF17" s="27"/>
      <c r="ASG17" s="27"/>
      <c r="ASH17" s="27"/>
      <c r="ASI17" s="27"/>
      <c r="ASJ17" s="27"/>
      <c r="ASK17" s="27"/>
      <c r="ASL17" s="27"/>
      <c r="ASM17" s="27"/>
      <c r="ASN17" s="27"/>
      <c r="ASO17" s="27"/>
      <c r="ASP17" s="27"/>
      <c r="ASQ17" s="27"/>
      <c r="ASR17" s="27"/>
      <c r="ASS17" s="27"/>
      <c r="AST17" s="27"/>
      <c r="ASU17" s="27"/>
      <c r="ASV17" s="27"/>
      <c r="ASW17" s="27"/>
      <c r="ASX17" s="27"/>
      <c r="ASY17" s="27"/>
      <c r="ASZ17" s="27"/>
      <c r="ATA17" s="27"/>
      <c r="ATB17" s="27"/>
      <c r="ATC17" s="27"/>
      <c r="ATD17" s="27"/>
      <c r="ATE17" s="27"/>
      <c r="ATF17" s="29"/>
      <c r="ATG17" s="37"/>
      <c r="ATH17" s="26"/>
      <c r="ATI17" s="27"/>
      <c r="ATJ17" s="27"/>
      <c r="ATK17" s="27"/>
      <c r="ATL17" s="27"/>
      <c r="ATM17" s="27"/>
      <c r="ATN17" s="27"/>
      <c r="ATO17" s="27"/>
      <c r="ATP17" s="27"/>
      <c r="ATQ17" s="27"/>
      <c r="ATR17" s="27"/>
      <c r="ATS17" s="27"/>
      <c r="ATT17" s="27"/>
      <c r="ATU17" s="27"/>
      <c r="ATV17" s="27"/>
      <c r="ATW17" s="27"/>
      <c r="ATX17" s="27"/>
      <c r="ATY17" s="27"/>
      <c r="ATZ17" s="27"/>
      <c r="AUA17" s="27"/>
      <c r="AUB17" s="27"/>
      <c r="AUC17" s="27"/>
      <c r="AUD17" s="27"/>
      <c r="AUE17" s="27"/>
      <c r="AUF17" s="27"/>
      <c r="AUG17" s="27"/>
      <c r="AUH17" s="27"/>
      <c r="AUI17" s="27"/>
      <c r="AUJ17" s="27"/>
      <c r="AUK17" s="27"/>
      <c r="AUL17" s="27"/>
      <c r="AUM17" s="27"/>
      <c r="AUN17" s="27"/>
      <c r="AUO17" s="27"/>
      <c r="AUP17" s="27"/>
      <c r="AUQ17" s="27"/>
      <c r="AUR17" s="27"/>
      <c r="AUS17" s="27"/>
      <c r="AUT17" s="27"/>
      <c r="AUU17" s="27"/>
      <c r="AUV17" s="27"/>
      <c r="AUW17" s="27"/>
      <c r="AUX17" s="27"/>
      <c r="AUY17" s="27"/>
      <c r="AUZ17" s="27"/>
      <c r="AVA17" s="27"/>
      <c r="AVB17" s="27"/>
      <c r="AVC17" s="27"/>
      <c r="AVD17" s="27"/>
      <c r="AVE17" s="27"/>
      <c r="AVF17" s="27"/>
      <c r="AVG17" s="27"/>
      <c r="AVH17" s="27"/>
      <c r="AVI17" s="27"/>
      <c r="AVJ17" s="27"/>
      <c r="AVK17" s="27"/>
      <c r="AVL17" s="27"/>
      <c r="AVM17" s="27"/>
      <c r="AVN17" s="27"/>
      <c r="AVO17" s="27"/>
      <c r="AVP17" s="27"/>
      <c r="AVQ17" s="27"/>
      <c r="AVR17" s="27"/>
      <c r="AVS17" s="27"/>
      <c r="AVT17" s="27"/>
      <c r="AVU17" s="27"/>
      <c r="AVV17" s="27"/>
      <c r="AVW17" s="27"/>
      <c r="AVX17" s="27"/>
      <c r="AVY17" s="27"/>
      <c r="AVZ17" s="27"/>
      <c r="AWA17" s="27"/>
      <c r="AWB17" s="27"/>
      <c r="AWC17" s="27"/>
      <c r="AWD17" s="27"/>
      <c r="AWE17" s="27"/>
      <c r="AWF17" s="27"/>
      <c r="AWG17" s="27"/>
      <c r="AWH17" s="27"/>
      <c r="AWI17" s="27"/>
      <c r="AWJ17" s="27"/>
      <c r="AWK17" s="27"/>
      <c r="AWL17" s="27"/>
      <c r="AWM17" s="27"/>
      <c r="AWN17" s="27"/>
      <c r="AWO17" s="27"/>
      <c r="AWP17" s="27"/>
      <c r="AWQ17" s="27"/>
      <c r="AWR17" s="27"/>
      <c r="AWS17" s="29"/>
      <c r="AWT17" s="37"/>
      <c r="AWU17" s="26"/>
      <c r="AWV17" s="27"/>
      <c r="AWW17" s="27"/>
      <c r="AWX17" s="27"/>
      <c r="AWY17" s="27"/>
      <c r="AWZ17" s="27"/>
      <c r="AXA17" s="27"/>
      <c r="AXB17" s="27"/>
      <c r="AXC17" s="27"/>
      <c r="AXD17" s="27"/>
      <c r="AXE17" s="27"/>
      <c r="AXF17" s="27"/>
      <c r="AXG17" s="27"/>
      <c r="AXH17" s="27"/>
      <c r="AXI17" s="27"/>
      <c r="AXJ17" s="27"/>
      <c r="AXK17" s="27"/>
      <c r="AXL17" s="27"/>
      <c r="AXM17" s="27"/>
      <c r="AXN17" s="27"/>
      <c r="AXO17" s="27"/>
      <c r="AXP17" s="27"/>
      <c r="AXQ17" s="27"/>
      <c r="AXR17" s="27"/>
      <c r="AXS17" s="27"/>
      <c r="AXT17" s="27"/>
      <c r="AXU17" s="27"/>
      <c r="AXV17" s="27"/>
      <c r="AXW17" s="27"/>
      <c r="AXX17" s="27"/>
      <c r="AXY17" s="27"/>
      <c r="AXZ17" s="27"/>
      <c r="AYA17" s="27"/>
      <c r="AYB17" s="27"/>
      <c r="AYC17" s="27"/>
      <c r="AYD17" s="27"/>
      <c r="AYE17" s="27"/>
      <c r="AYF17" s="27"/>
      <c r="AYG17" s="27"/>
      <c r="AYH17" s="27"/>
      <c r="AYI17" s="27"/>
      <c r="AYJ17" s="27"/>
      <c r="AYK17" s="27"/>
      <c r="AYL17" s="27"/>
      <c r="AYM17" s="27"/>
      <c r="AYN17" s="27"/>
      <c r="AYO17" s="27"/>
      <c r="AYP17" s="27"/>
      <c r="AYQ17" s="27"/>
      <c r="AYR17" s="27"/>
      <c r="AYS17" s="27"/>
      <c r="AYT17" s="27"/>
      <c r="AYU17" s="27"/>
      <c r="AYV17" s="27"/>
      <c r="AYW17" s="27"/>
      <c r="AYX17" s="27"/>
      <c r="AYY17" s="27"/>
      <c r="AYZ17" s="27"/>
      <c r="AZA17" s="27"/>
      <c r="AZB17" s="27"/>
      <c r="AZC17" s="27"/>
      <c r="AZD17" s="27"/>
      <c r="AZE17" s="27"/>
      <c r="AZF17" s="27"/>
      <c r="AZG17" s="27"/>
      <c r="AZH17" s="27"/>
      <c r="AZI17" s="27"/>
      <c r="AZJ17" s="27"/>
      <c r="AZK17" s="27"/>
      <c r="AZL17" s="27"/>
      <c r="AZM17" s="27"/>
      <c r="AZN17" s="27"/>
      <c r="AZO17" s="27"/>
      <c r="AZP17" s="27"/>
      <c r="AZQ17" s="27"/>
      <c r="AZR17" s="27"/>
      <c r="AZS17" s="27"/>
      <c r="AZT17" s="27"/>
      <c r="AZU17" s="27"/>
      <c r="AZV17" s="27"/>
      <c r="AZW17" s="27"/>
      <c r="AZX17" s="27"/>
      <c r="AZY17" s="27"/>
      <c r="AZZ17" s="27"/>
      <c r="BAA17" s="37"/>
      <c r="BAB17" s="26"/>
      <c r="BAC17" s="27"/>
      <c r="BAD17" s="27"/>
      <c r="BAE17" s="27"/>
      <c r="BAF17" s="27"/>
      <c r="BAG17" s="27"/>
      <c r="BAH17" s="27"/>
      <c r="BAI17" s="27"/>
      <c r="BAJ17" s="27"/>
      <c r="BAK17" s="27"/>
      <c r="BAL17" s="27"/>
      <c r="BAM17" s="27"/>
      <c r="BAN17" s="27"/>
      <c r="BAO17" s="27"/>
      <c r="BAP17" s="27"/>
      <c r="BAQ17" s="27"/>
      <c r="BAR17" s="27"/>
      <c r="BAS17" s="27"/>
      <c r="BAT17" s="27"/>
      <c r="BAU17" s="27"/>
      <c r="BAV17" s="27"/>
      <c r="BAW17" s="27"/>
      <c r="BAX17" s="27"/>
      <c r="BAY17" s="27"/>
      <c r="BAZ17" s="27"/>
      <c r="BBA17" s="27"/>
      <c r="BBB17" s="27"/>
      <c r="BBC17" s="27"/>
      <c r="BBD17" s="27"/>
      <c r="BBE17" s="27"/>
      <c r="BBF17" s="27"/>
      <c r="BBG17" s="27"/>
      <c r="BBH17" s="27"/>
      <c r="BBI17" s="27"/>
      <c r="BBJ17" s="27"/>
      <c r="BBK17" s="27"/>
      <c r="BBL17" s="27"/>
      <c r="BBM17" s="27"/>
      <c r="BBN17" s="27"/>
      <c r="BBO17" s="27"/>
      <c r="BBP17" s="27"/>
      <c r="BBQ17" s="27"/>
      <c r="BBR17" s="27"/>
      <c r="BBS17" s="27"/>
      <c r="BBT17" s="27"/>
      <c r="BBU17" s="27"/>
      <c r="BBV17" s="27"/>
      <c r="BBW17" s="27"/>
      <c r="BBX17" s="27"/>
      <c r="BBY17" s="27"/>
      <c r="BBZ17" s="27"/>
      <c r="BCA17" s="27"/>
      <c r="BCB17" s="27"/>
      <c r="BCC17" s="27"/>
      <c r="BCD17" s="27"/>
      <c r="BCE17" s="27"/>
      <c r="BCF17" s="27"/>
      <c r="BCG17" s="27"/>
      <c r="BCH17" s="27"/>
      <c r="BCI17" s="27"/>
      <c r="BCJ17" s="27"/>
      <c r="BCK17" s="27"/>
      <c r="BCL17" s="27"/>
      <c r="BCM17" s="27"/>
      <c r="BCN17" s="27"/>
      <c r="BCO17" s="27"/>
      <c r="BCP17" s="27"/>
      <c r="BCQ17" s="27"/>
      <c r="BCR17" s="27"/>
      <c r="BCS17" s="27"/>
      <c r="BCT17" s="27"/>
      <c r="BCU17" s="27"/>
      <c r="BCV17" s="27"/>
      <c r="BCW17" s="27"/>
      <c r="BCX17" s="27"/>
      <c r="BCY17" s="27"/>
      <c r="BCZ17" s="27"/>
      <c r="BDA17" s="27"/>
      <c r="BDB17" s="27"/>
      <c r="BDC17" s="27"/>
      <c r="BDD17" s="27"/>
      <c r="BDE17" s="27"/>
      <c r="BDF17" s="27"/>
      <c r="BDG17" s="27"/>
      <c r="BDH17" s="27"/>
      <c r="BDI17" s="27"/>
      <c r="BDJ17" s="27"/>
      <c r="BDK17" s="27"/>
      <c r="BDL17" s="27"/>
      <c r="BDM17" s="29"/>
      <c r="BDN17" s="29"/>
      <c r="BDO17" s="29"/>
      <c r="BDP17" s="29"/>
      <c r="BDQ17" s="37"/>
      <c r="BDR17" s="26"/>
      <c r="BDS17" s="27"/>
      <c r="BDT17" s="27"/>
      <c r="BDU17" s="27"/>
      <c r="BDV17" s="27"/>
      <c r="BDW17" s="27"/>
      <c r="BDX17" s="27"/>
      <c r="BDY17" s="27"/>
      <c r="BDZ17" s="27"/>
      <c r="BEA17" s="27"/>
      <c r="BEB17" s="27"/>
      <c r="BEC17" s="27"/>
      <c r="BED17" s="27"/>
      <c r="BEE17" s="27"/>
      <c r="BEF17" s="27"/>
      <c r="BEG17" s="27"/>
      <c r="BEH17" s="27"/>
      <c r="BEI17" s="27"/>
      <c r="BEJ17" s="27"/>
      <c r="BEK17" s="27"/>
      <c r="BEL17" s="27"/>
      <c r="BEM17" s="27"/>
      <c r="BEN17" s="27"/>
      <c r="BEO17" s="27"/>
      <c r="BEP17" s="27"/>
      <c r="BEQ17" s="27"/>
      <c r="BER17" s="27"/>
      <c r="BES17" s="27"/>
      <c r="BET17" s="27"/>
      <c r="BEU17" s="27"/>
      <c r="BEV17" s="27"/>
      <c r="BEW17" s="27"/>
      <c r="BEX17" s="27"/>
      <c r="BEY17" s="27"/>
      <c r="BEZ17" s="27"/>
      <c r="BFA17" s="27"/>
      <c r="BFB17" s="27"/>
      <c r="BFC17" s="27"/>
      <c r="BFD17" s="27"/>
      <c r="BFE17" s="27"/>
      <c r="BFF17" s="27"/>
      <c r="BFG17" s="27"/>
      <c r="BFH17" s="27"/>
      <c r="BFI17" s="27"/>
      <c r="BFJ17" s="27"/>
      <c r="BFK17" s="27"/>
      <c r="BFL17" s="27"/>
      <c r="BFM17" s="27"/>
      <c r="BFN17" s="27"/>
      <c r="BFO17" s="27"/>
      <c r="BFP17" s="27"/>
      <c r="BFQ17" s="27"/>
      <c r="BFR17" s="27"/>
      <c r="BFS17" s="27"/>
      <c r="BFT17" s="27"/>
      <c r="BFU17" s="27"/>
      <c r="BFV17" s="27"/>
      <c r="BFW17" s="27"/>
      <c r="BFX17" s="27"/>
      <c r="BFY17" s="27"/>
      <c r="BFZ17" s="27"/>
      <c r="BGA17" s="27"/>
      <c r="BGB17" s="27"/>
      <c r="BGC17" s="27"/>
      <c r="BGD17" s="27"/>
      <c r="BGE17" s="27"/>
      <c r="BGF17" s="27"/>
      <c r="BGG17" s="27"/>
      <c r="BGH17" s="27"/>
      <c r="BGI17" s="27"/>
      <c r="BGJ17" s="27"/>
      <c r="BGK17" s="27"/>
      <c r="BGL17" s="27"/>
      <c r="BGM17" s="27"/>
      <c r="BGN17" s="27"/>
      <c r="BGO17" s="27"/>
      <c r="BGP17" s="27"/>
      <c r="BGQ17" s="27"/>
      <c r="BGR17" s="27"/>
      <c r="BGS17" s="27"/>
      <c r="BGT17" s="27"/>
      <c r="BGU17" s="27"/>
      <c r="BGV17" s="27"/>
      <c r="BGW17" s="27"/>
      <c r="BGX17" s="27"/>
      <c r="BGY17" s="27"/>
      <c r="BGZ17" s="27"/>
      <c r="BHA17" s="27"/>
      <c r="BHB17" s="27"/>
      <c r="BHC17" s="29"/>
      <c r="BHD17" s="37"/>
    </row>
    <row r="18" spans="1:1564" ht="31.95" customHeight="1" x14ac:dyDescent="0.3">
      <c r="A18" s="22">
        <v>14</v>
      </c>
      <c r="B18" s="40" t="s">
        <v>296</v>
      </c>
      <c r="C18" s="40" t="s">
        <v>260</v>
      </c>
      <c r="D18" s="40" t="s">
        <v>242</v>
      </c>
      <c r="E18" s="37"/>
      <c r="F18" s="30"/>
      <c r="G18" s="23"/>
      <c r="H18" s="23"/>
      <c r="I18" s="30"/>
      <c r="J18" s="23"/>
      <c r="K18" s="23"/>
      <c r="L18" s="30"/>
      <c r="M18" s="23"/>
      <c r="N18" s="23"/>
      <c r="O18" s="30"/>
      <c r="P18" s="23"/>
      <c r="Q18" s="23"/>
      <c r="R18" s="30"/>
      <c r="S18" s="23"/>
      <c r="T18" s="23"/>
      <c r="U18" s="30"/>
      <c r="V18" s="23"/>
      <c r="W18" s="23"/>
      <c r="X18" s="30"/>
      <c r="Y18" s="23"/>
      <c r="Z18" s="23"/>
      <c r="AA18" s="30"/>
      <c r="AB18" s="23"/>
      <c r="AC18" s="23"/>
      <c r="AD18" s="30"/>
      <c r="AE18" s="23"/>
      <c r="AF18" s="23"/>
      <c r="AG18" s="30"/>
      <c r="AH18" s="23"/>
      <c r="AI18" s="23"/>
      <c r="AJ18" s="30"/>
      <c r="AK18" s="23"/>
      <c r="AL18" s="23"/>
      <c r="AM18" s="30"/>
      <c r="AN18" s="23"/>
      <c r="AO18" s="23"/>
      <c r="AP18" s="30"/>
      <c r="AQ18" s="23"/>
      <c r="AR18" s="23"/>
      <c r="AS18" s="30"/>
      <c r="AT18" s="23"/>
      <c r="AU18" s="23"/>
      <c r="AV18" s="30"/>
      <c r="AW18" s="23"/>
      <c r="AX18" s="23"/>
      <c r="AY18" s="30"/>
      <c r="AZ18" s="23"/>
      <c r="BA18" s="23"/>
      <c r="BB18" s="30"/>
      <c r="BC18" s="23"/>
      <c r="BD18" s="23"/>
      <c r="BE18" s="30"/>
      <c r="BF18" s="23"/>
      <c r="BG18" s="23"/>
      <c r="BH18" s="30"/>
      <c r="BI18" s="23"/>
      <c r="BJ18" s="23"/>
      <c r="BK18" s="30"/>
      <c r="BL18" s="23"/>
      <c r="BM18" s="23"/>
      <c r="BN18" s="30"/>
      <c r="BO18" s="23"/>
      <c r="BP18" s="24"/>
      <c r="BQ18" s="30"/>
      <c r="BR18" s="23"/>
      <c r="BS18" s="23"/>
      <c r="BT18" s="30"/>
      <c r="BU18" s="23"/>
      <c r="BV18" s="23"/>
      <c r="BW18" s="30"/>
      <c r="BX18" s="23"/>
      <c r="BY18" s="23"/>
      <c r="BZ18" s="30"/>
      <c r="CA18" s="23"/>
      <c r="CB18" s="23"/>
      <c r="CC18" s="30"/>
      <c r="CD18" s="23"/>
      <c r="CE18" s="23"/>
      <c r="CF18" s="30"/>
      <c r="CG18" s="23"/>
      <c r="CH18" s="23"/>
      <c r="CI18" s="30"/>
      <c r="CJ18" s="23"/>
      <c r="CK18" s="23"/>
      <c r="CL18" s="30"/>
      <c r="CM18" s="23"/>
      <c r="CN18" s="23"/>
      <c r="CO18" s="30"/>
      <c r="CP18" s="23"/>
      <c r="CQ18" s="23"/>
      <c r="CR18" s="30"/>
      <c r="CS18" s="23"/>
      <c r="CT18" s="25"/>
      <c r="CU18" s="37"/>
      <c r="CV18" s="26"/>
      <c r="CW18" s="27"/>
      <c r="CX18" s="27"/>
      <c r="CY18" s="27"/>
      <c r="CZ18" s="27"/>
      <c r="DA18" s="27"/>
      <c r="DB18" s="26"/>
      <c r="DC18" s="27"/>
      <c r="DD18" s="27"/>
      <c r="DE18" s="26"/>
      <c r="DF18" s="27"/>
      <c r="DG18" s="27"/>
      <c r="DH18" s="26"/>
      <c r="DI18" s="27"/>
      <c r="DJ18" s="27"/>
      <c r="DK18" s="26"/>
      <c r="DL18" s="27"/>
      <c r="DM18" s="27"/>
      <c r="DN18" s="26"/>
      <c r="DO18" s="27"/>
      <c r="DP18" s="27"/>
      <c r="DQ18" s="26"/>
      <c r="DR18" s="27"/>
      <c r="DS18" s="27"/>
      <c r="DT18" s="26"/>
      <c r="DU18" s="27"/>
      <c r="DV18" s="27"/>
      <c r="DW18" s="26"/>
      <c r="DX18" s="27"/>
      <c r="DY18" s="27"/>
      <c r="DZ18" s="26"/>
      <c r="EA18" s="27"/>
      <c r="EB18" s="27"/>
      <c r="EC18" s="26"/>
      <c r="ED18" s="27"/>
      <c r="EE18" s="27"/>
      <c r="EF18" s="26"/>
      <c r="EG18" s="27"/>
      <c r="EH18" s="27"/>
      <c r="EI18" s="26"/>
      <c r="EJ18" s="27"/>
      <c r="EK18" s="27"/>
      <c r="EL18" s="26"/>
      <c r="EM18" s="27"/>
      <c r="EN18" s="27"/>
      <c r="EO18" s="26"/>
      <c r="EP18" s="27"/>
      <c r="EQ18" s="27"/>
      <c r="ER18" s="26"/>
      <c r="ES18" s="27"/>
      <c r="ET18" s="27"/>
      <c r="EU18" s="26"/>
      <c r="EV18" s="27"/>
      <c r="EW18" s="27"/>
      <c r="EX18" s="26"/>
      <c r="EY18" s="27"/>
      <c r="EZ18" s="27"/>
      <c r="FA18" s="26"/>
      <c r="FB18" s="27"/>
      <c r="FC18" s="27"/>
      <c r="FD18" s="26"/>
      <c r="FE18" s="27"/>
      <c r="FF18" s="27"/>
      <c r="FG18" s="26"/>
      <c r="FH18" s="27"/>
      <c r="FI18" s="27"/>
      <c r="FJ18" s="26"/>
      <c r="FK18" s="27"/>
      <c r="FL18" s="27"/>
      <c r="FM18" s="26"/>
      <c r="FN18" s="27"/>
      <c r="FO18" s="27"/>
      <c r="FP18" s="26"/>
      <c r="FQ18" s="27"/>
      <c r="FR18" s="27"/>
      <c r="FS18" s="26"/>
      <c r="FT18" s="27"/>
      <c r="FU18" s="27"/>
      <c r="FV18" s="26"/>
      <c r="FW18" s="27"/>
      <c r="FX18" s="27"/>
      <c r="FY18" s="26"/>
      <c r="FZ18" s="27"/>
      <c r="GA18" s="27"/>
      <c r="GB18" s="26"/>
      <c r="GC18" s="27"/>
      <c r="GD18" s="27"/>
      <c r="GE18" s="26"/>
      <c r="GF18" s="27"/>
      <c r="GG18" s="27"/>
      <c r="GH18" s="26"/>
      <c r="GI18" s="27"/>
      <c r="GJ18" s="29"/>
      <c r="GK18" s="37"/>
      <c r="GL18" s="26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37"/>
      <c r="JS18" s="26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9"/>
      <c r="NH18" s="37"/>
      <c r="NI18" s="26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37"/>
      <c r="QV18" s="26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9"/>
      <c r="UK18" s="37"/>
      <c r="UL18" s="26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3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9"/>
      <c r="ABN18" s="37"/>
      <c r="ABO18" s="26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9"/>
      <c r="AFD18" s="37"/>
      <c r="AFE18" s="26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7"/>
      <c r="AGV18" s="27"/>
      <c r="AGW18" s="27"/>
      <c r="AGX18" s="27"/>
      <c r="AGY18" s="27"/>
      <c r="AGZ18" s="27"/>
      <c r="AHA18" s="27"/>
      <c r="AHB18" s="27"/>
      <c r="AHC18" s="27"/>
      <c r="AHD18" s="27"/>
      <c r="AHE18" s="27"/>
      <c r="AHF18" s="27"/>
      <c r="AHG18" s="27"/>
      <c r="AHH18" s="27"/>
      <c r="AHI18" s="27"/>
      <c r="AHJ18" s="27"/>
      <c r="AHK18" s="27"/>
      <c r="AHL18" s="27"/>
      <c r="AHM18" s="27"/>
      <c r="AHN18" s="27"/>
      <c r="AHO18" s="27"/>
      <c r="AHP18" s="27"/>
      <c r="AHQ18" s="27"/>
      <c r="AHR18" s="27"/>
      <c r="AHS18" s="27"/>
      <c r="AHT18" s="27"/>
      <c r="AHU18" s="27"/>
      <c r="AHV18" s="27"/>
      <c r="AHW18" s="27"/>
      <c r="AHX18" s="27"/>
      <c r="AHY18" s="27"/>
      <c r="AHZ18" s="27"/>
      <c r="AIA18" s="27"/>
      <c r="AIB18" s="27"/>
      <c r="AIC18" s="27"/>
      <c r="AID18" s="27"/>
      <c r="AIE18" s="27"/>
      <c r="AIF18" s="27"/>
      <c r="AIG18" s="27"/>
      <c r="AIH18" s="27"/>
      <c r="AII18" s="27"/>
      <c r="AIJ18" s="27"/>
      <c r="AIK18" s="27"/>
      <c r="AIL18" s="27"/>
      <c r="AIM18" s="27"/>
      <c r="AIN18" s="27"/>
      <c r="AIO18" s="27"/>
      <c r="AIP18" s="27"/>
      <c r="AIQ18" s="37"/>
      <c r="AIR18" s="26"/>
      <c r="AIS18" s="27"/>
      <c r="AIT18" s="27"/>
      <c r="AIU18" s="27"/>
      <c r="AIV18" s="27"/>
      <c r="AIW18" s="27"/>
      <c r="AIX18" s="27"/>
      <c r="AIY18" s="27"/>
      <c r="AIZ18" s="27"/>
      <c r="AJA18" s="27"/>
      <c r="AJB18" s="27"/>
      <c r="AJC18" s="27"/>
      <c r="AJD18" s="27"/>
      <c r="AJE18" s="27"/>
      <c r="AJF18" s="27"/>
      <c r="AJG18" s="27"/>
      <c r="AJH18" s="27"/>
      <c r="AJI18" s="27"/>
      <c r="AJJ18" s="27"/>
      <c r="AJK18" s="27"/>
      <c r="AJL18" s="27"/>
      <c r="AJM18" s="27"/>
      <c r="AJN18" s="27"/>
      <c r="AJO18" s="27"/>
      <c r="AJP18" s="27"/>
      <c r="AJQ18" s="27"/>
      <c r="AJR18" s="27"/>
      <c r="AJS18" s="27"/>
      <c r="AJT18" s="27"/>
      <c r="AJU18" s="27"/>
      <c r="AJV18" s="27"/>
      <c r="AJW18" s="27"/>
      <c r="AJX18" s="27"/>
      <c r="AJY18" s="27"/>
      <c r="AJZ18" s="27"/>
      <c r="AKA18" s="27"/>
      <c r="AKB18" s="27"/>
      <c r="AKC18" s="27"/>
      <c r="AKD18" s="27"/>
      <c r="AKE18" s="27"/>
      <c r="AKF18" s="27"/>
      <c r="AKG18" s="27"/>
      <c r="AKH18" s="27"/>
      <c r="AKI18" s="27"/>
      <c r="AKJ18" s="27"/>
      <c r="AKK18" s="27"/>
      <c r="AKL18" s="27"/>
      <c r="AKM18" s="27"/>
      <c r="AKN18" s="27"/>
      <c r="AKO18" s="27"/>
      <c r="AKP18" s="27"/>
      <c r="AKQ18" s="27"/>
      <c r="AKR18" s="27"/>
      <c r="AKS18" s="27"/>
      <c r="AKT18" s="27"/>
      <c r="AKU18" s="27"/>
      <c r="AKV18" s="27"/>
      <c r="AKW18" s="27"/>
      <c r="AKX18" s="27"/>
      <c r="AKY18" s="27"/>
      <c r="AKZ18" s="27"/>
      <c r="ALA18" s="27"/>
      <c r="ALB18" s="27"/>
      <c r="ALC18" s="27"/>
      <c r="ALD18" s="27"/>
      <c r="ALE18" s="27"/>
      <c r="ALF18" s="27"/>
      <c r="ALG18" s="27"/>
      <c r="ALH18" s="27"/>
      <c r="ALI18" s="27"/>
      <c r="ALJ18" s="27"/>
      <c r="ALK18" s="27"/>
      <c r="ALL18" s="27"/>
      <c r="ALM18" s="27"/>
      <c r="ALN18" s="27"/>
      <c r="ALO18" s="27"/>
      <c r="ALP18" s="27"/>
      <c r="ALQ18" s="27"/>
      <c r="ALR18" s="27"/>
      <c r="ALS18" s="27"/>
      <c r="ALT18" s="27"/>
      <c r="ALU18" s="27"/>
      <c r="ALV18" s="27"/>
      <c r="ALW18" s="27"/>
      <c r="ALX18" s="27"/>
      <c r="ALY18" s="27"/>
      <c r="ALZ18" s="27"/>
      <c r="AMA18" s="27"/>
      <c r="AMB18" s="27"/>
      <c r="AMC18" s="27"/>
      <c r="AMD18" s="27"/>
      <c r="AME18" s="27"/>
      <c r="AMF18" s="29"/>
      <c r="AMG18" s="37"/>
      <c r="AMH18" s="26"/>
      <c r="AMI18" s="27"/>
      <c r="AMJ18" s="27"/>
      <c r="AMK18" s="27"/>
      <c r="AML18" s="27"/>
      <c r="AMM18" s="27"/>
      <c r="AMN18" s="27"/>
      <c r="AMO18" s="27"/>
      <c r="AMP18" s="27"/>
      <c r="AMQ18" s="27"/>
      <c r="AMR18" s="27"/>
      <c r="AMS18" s="27"/>
      <c r="AMT18" s="27"/>
      <c r="AMU18" s="27"/>
      <c r="AMV18" s="27"/>
      <c r="AMW18" s="27"/>
      <c r="AMX18" s="27"/>
      <c r="AMY18" s="27"/>
      <c r="AMZ18" s="27"/>
      <c r="ANA18" s="27"/>
      <c r="ANB18" s="27"/>
      <c r="ANC18" s="27"/>
      <c r="AND18" s="27"/>
      <c r="ANE18" s="27"/>
      <c r="ANF18" s="27"/>
      <c r="ANG18" s="27"/>
      <c r="ANH18" s="27"/>
      <c r="ANI18" s="27"/>
      <c r="ANJ18" s="27"/>
      <c r="ANK18" s="27"/>
      <c r="ANL18" s="27"/>
      <c r="ANM18" s="27"/>
      <c r="ANN18" s="27"/>
      <c r="ANO18" s="27"/>
      <c r="ANP18" s="27"/>
      <c r="ANQ18" s="27"/>
      <c r="ANR18" s="27"/>
      <c r="ANS18" s="27"/>
      <c r="ANT18" s="27"/>
      <c r="ANU18" s="27"/>
      <c r="ANV18" s="27"/>
      <c r="ANW18" s="27"/>
      <c r="ANX18" s="27"/>
      <c r="ANY18" s="27"/>
      <c r="ANZ18" s="27"/>
      <c r="AOA18" s="27"/>
      <c r="AOB18" s="27"/>
      <c r="AOC18" s="27"/>
      <c r="AOD18" s="27"/>
      <c r="AOE18" s="27"/>
      <c r="AOF18" s="27"/>
      <c r="AOG18" s="27"/>
      <c r="AOH18" s="27"/>
      <c r="AOI18" s="27"/>
      <c r="AOJ18" s="27"/>
      <c r="AOK18" s="27"/>
      <c r="AOL18" s="27"/>
      <c r="AOM18" s="27"/>
      <c r="AON18" s="27"/>
      <c r="AOO18" s="27"/>
      <c r="AOP18" s="27"/>
      <c r="AOQ18" s="27"/>
      <c r="AOR18" s="27"/>
      <c r="AOS18" s="27"/>
      <c r="AOT18" s="27"/>
      <c r="AOU18" s="27"/>
      <c r="AOV18" s="27"/>
      <c r="AOW18" s="27"/>
      <c r="AOX18" s="27"/>
      <c r="AOY18" s="27"/>
      <c r="AOZ18" s="27"/>
      <c r="APA18" s="27"/>
      <c r="APB18" s="27"/>
      <c r="APC18" s="27"/>
      <c r="APD18" s="27"/>
      <c r="APE18" s="27"/>
      <c r="APF18" s="27"/>
      <c r="APG18" s="27"/>
      <c r="APH18" s="27"/>
      <c r="API18" s="27"/>
      <c r="APJ18" s="27"/>
      <c r="APK18" s="27"/>
      <c r="APL18" s="27"/>
      <c r="APM18" s="27"/>
      <c r="APN18" s="27"/>
      <c r="APO18" s="27"/>
      <c r="APP18" s="27"/>
      <c r="APQ18" s="27"/>
      <c r="APR18" s="27"/>
      <c r="APS18" s="29"/>
      <c r="APT18" s="37"/>
      <c r="APU18" s="26"/>
      <c r="APV18" s="27"/>
      <c r="APW18" s="27"/>
      <c r="APX18" s="27"/>
      <c r="APY18" s="27"/>
      <c r="APZ18" s="27"/>
      <c r="AQA18" s="27"/>
      <c r="AQB18" s="27"/>
      <c r="AQC18" s="27"/>
      <c r="AQD18" s="27"/>
      <c r="AQE18" s="27"/>
      <c r="AQF18" s="27"/>
      <c r="AQG18" s="27"/>
      <c r="AQH18" s="27"/>
      <c r="AQI18" s="27"/>
      <c r="AQJ18" s="27"/>
      <c r="AQK18" s="27"/>
      <c r="AQL18" s="27"/>
      <c r="AQM18" s="27"/>
      <c r="AQN18" s="27"/>
      <c r="AQO18" s="27"/>
      <c r="AQP18" s="27"/>
      <c r="AQQ18" s="27"/>
      <c r="AQR18" s="27"/>
      <c r="AQS18" s="27"/>
      <c r="AQT18" s="27"/>
      <c r="AQU18" s="27"/>
      <c r="AQV18" s="27"/>
      <c r="AQW18" s="27"/>
      <c r="AQX18" s="27"/>
      <c r="AQY18" s="27"/>
      <c r="AQZ18" s="27"/>
      <c r="ARA18" s="27"/>
      <c r="ARB18" s="27"/>
      <c r="ARC18" s="27"/>
      <c r="ARD18" s="27"/>
      <c r="ARE18" s="27"/>
      <c r="ARF18" s="27"/>
      <c r="ARG18" s="27"/>
      <c r="ARH18" s="27"/>
      <c r="ARI18" s="27"/>
      <c r="ARJ18" s="27"/>
      <c r="ARK18" s="27"/>
      <c r="ARL18" s="27"/>
      <c r="ARM18" s="27"/>
      <c r="ARN18" s="27"/>
      <c r="ARO18" s="27"/>
      <c r="ARP18" s="27"/>
      <c r="ARQ18" s="27"/>
      <c r="ARR18" s="27"/>
      <c r="ARS18" s="27"/>
      <c r="ART18" s="27"/>
      <c r="ARU18" s="27"/>
      <c r="ARV18" s="27"/>
      <c r="ARW18" s="27"/>
      <c r="ARX18" s="27"/>
      <c r="ARY18" s="27"/>
      <c r="ARZ18" s="27"/>
      <c r="ASA18" s="27"/>
      <c r="ASB18" s="27"/>
      <c r="ASC18" s="27"/>
      <c r="ASD18" s="27"/>
      <c r="ASE18" s="27"/>
      <c r="ASF18" s="27"/>
      <c r="ASG18" s="27"/>
      <c r="ASH18" s="27"/>
      <c r="ASI18" s="27"/>
      <c r="ASJ18" s="27"/>
      <c r="ASK18" s="27"/>
      <c r="ASL18" s="27"/>
      <c r="ASM18" s="27"/>
      <c r="ASN18" s="27"/>
      <c r="ASO18" s="27"/>
      <c r="ASP18" s="27"/>
      <c r="ASQ18" s="27"/>
      <c r="ASR18" s="27"/>
      <c r="ASS18" s="27"/>
      <c r="AST18" s="27"/>
      <c r="ASU18" s="27"/>
      <c r="ASV18" s="27"/>
      <c r="ASW18" s="27"/>
      <c r="ASX18" s="27"/>
      <c r="ASY18" s="27"/>
      <c r="ASZ18" s="27"/>
      <c r="ATA18" s="27"/>
      <c r="ATB18" s="27"/>
      <c r="ATC18" s="27"/>
      <c r="ATD18" s="27"/>
      <c r="ATE18" s="27"/>
      <c r="ATF18" s="29"/>
      <c r="ATG18" s="37"/>
      <c r="ATH18" s="26"/>
      <c r="ATI18" s="27"/>
      <c r="ATJ18" s="27"/>
      <c r="ATK18" s="27"/>
      <c r="ATL18" s="27"/>
      <c r="ATM18" s="27"/>
      <c r="ATN18" s="27"/>
      <c r="ATO18" s="27"/>
      <c r="ATP18" s="27"/>
      <c r="ATQ18" s="27"/>
      <c r="ATR18" s="27"/>
      <c r="ATS18" s="27"/>
      <c r="ATT18" s="27"/>
      <c r="ATU18" s="27"/>
      <c r="ATV18" s="27"/>
      <c r="ATW18" s="27"/>
      <c r="ATX18" s="27"/>
      <c r="ATY18" s="27"/>
      <c r="ATZ18" s="27"/>
      <c r="AUA18" s="27"/>
      <c r="AUB18" s="27"/>
      <c r="AUC18" s="27"/>
      <c r="AUD18" s="27"/>
      <c r="AUE18" s="27"/>
      <c r="AUF18" s="27"/>
      <c r="AUG18" s="27"/>
      <c r="AUH18" s="27"/>
      <c r="AUI18" s="27"/>
      <c r="AUJ18" s="27"/>
      <c r="AUK18" s="27"/>
      <c r="AUL18" s="27"/>
      <c r="AUM18" s="27"/>
      <c r="AUN18" s="27"/>
      <c r="AUO18" s="27"/>
      <c r="AUP18" s="27"/>
      <c r="AUQ18" s="27"/>
      <c r="AUR18" s="27"/>
      <c r="AUS18" s="27"/>
      <c r="AUT18" s="27"/>
      <c r="AUU18" s="27"/>
      <c r="AUV18" s="27"/>
      <c r="AUW18" s="27"/>
      <c r="AUX18" s="27"/>
      <c r="AUY18" s="27"/>
      <c r="AUZ18" s="27"/>
      <c r="AVA18" s="27"/>
      <c r="AVB18" s="27"/>
      <c r="AVC18" s="27"/>
      <c r="AVD18" s="27"/>
      <c r="AVE18" s="27"/>
      <c r="AVF18" s="27"/>
      <c r="AVG18" s="27"/>
      <c r="AVH18" s="27"/>
      <c r="AVI18" s="27"/>
      <c r="AVJ18" s="27"/>
      <c r="AVK18" s="27"/>
      <c r="AVL18" s="27"/>
      <c r="AVM18" s="27"/>
      <c r="AVN18" s="27"/>
      <c r="AVO18" s="27"/>
      <c r="AVP18" s="27"/>
      <c r="AVQ18" s="27"/>
      <c r="AVR18" s="27"/>
      <c r="AVS18" s="27"/>
      <c r="AVT18" s="27"/>
      <c r="AVU18" s="27"/>
      <c r="AVV18" s="27"/>
      <c r="AVW18" s="27"/>
      <c r="AVX18" s="27"/>
      <c r="AVY18" s="27"/>
      <c r="AVZ18" s="27"/>
      <c r="AWA18" s="27"/>
      <c r="AWB18" s="27"/>
      <c r="AWC18" s="27"/>
      <c r="AWD18" s="27"/>
      <c r="AWE18" s="27"/>
      <c r="AWF18" s="27"/>
      <c r="AWG18" s="27"/>
      <c r="AWH18" s="27"/>
      <c r="AWI18" s="27"/>
      <c r="AWJ18" s="27"/>
      <c r="AWK18" s="27"/>
      <c r="AWL18" s="27"/>
      <c r="AWM18" s="27"/>
      <c r="AWN18" s="27"/>
      <c r="AWO18" s="27"/>
      <c r="AWP18" s="27"/>
      <c r="AWQ18" s="27"/>
      <c r="AWR18" s="27"/>
      <c r="AWS18" s="29"/>
      <c r="AWT18" s="37"/>
      <c r="AWU18" s="26"/>
      <c r="AWV18" s="27"/>
      <c r="AWW18" s="27"/>
      <c r="AWX18" s="27"/>
      <c r="AWY18" s="27"/>
      <c r="AWZ18" s="27"/>
      <c r="AXA18" s="27"/>
      <c r="AXB18" s="27"/>
      <c r="AXC18" s="27"/>
      <c r="AXD18" s="27"/>
      <c r="AXE18" s="27"/>
      <c r="AXF18" s="27"/>
      <c r="AXG18" s="27"/>
      <c r="AXH18" s="27"/>
      <c r="AXI18" s="27"/>
      <c r="AXJ18" s="27"/>
      <c r="AXK18" s="27"/>
      <c r="AXL18" s="27"/>
      <c r="AXM18" s="27"/>
      <c r="AXN18" s="27"/>
      <c r="AXO18" s="27"/>
      <c r="AXP18" s="27"/>
      <c r="AXQ18" s="27"/>
      <c r="AXR18" s="27"/>
      <c r="AXS18" s="27"/>
      <c r="AXT18" s="27"/>
      <c r="AXU18" s="27"/>
      <c r="AXV18" s="27"/>
      <c r="AXW18" s="27"/>
      <c r="AXX18" s="27"/>
      <c r="AXY18" s="27"/>
      <c r="AXZ18" s="27"/>
      <c r="AYA18" s="27"/>
      <c r="AYB18" s="27"/>
      <c r="AYC18" s="27"/>
      <c r="AYD18" s="27"/>
      <c r="AYE18" s="27"/>
      <c r="AYF18" s="27"/>
      <c r="AYG18" s="27"/>
      <c r="AYH18" s="27"/>
      <c r="AYI18" s="27"/>
      <c r="AYJ18" s="27"/>
      <c r="AYK18" s="27"/>
      <c r="AYL18" s="27"/>
      <c r="AYM18" s="27"/>
      <c r="AYN18" s="27"/>
      <c r="AYO18" s="27"/>
      <c r="AYP18" s="27"/>
      <c r="AYQ18" s="27"/>
      <c r="AYR18" s="27"/>
      <c r="AYS18" s="27"/>
      <c r="AYT18" s="27"/>
      <c r="AYU18" s="27"/>
      <c r="AYV18" s="27"/>
      <c r="AYW18" s="27"/>
      <c r="AYX18" s="27"/>
      <c r="AYY18" s="27"/>
      <c r="AYZ18" s="27"/>
      <c r="AZA18" s="27"/>
      <c r="AZB18" s="27"/>
      <c r="AZC18" s="27"/>
      <c r="AZD18" s="27"/>
      <c r="AZE18" s="27"/>
      <c r="AZF18" s="27"/>
      <c r="AZG18" s="27"/>
      <c r="AZH18" s="27"/>
      <c r="AZI18" s="27"/>
      <c r="AZJ18" s="27"/>
      <c r="AZK18" s="27"/>
      <c r="AZL18" s="27"/>
      <c r="AZM18" s="27"/>
      <c r="AZN18" s="27"/>
      <c r="AZO18" s="27"/>
      <c r="AZP18" s="27"/>
      <c r="AZQ18" s="27"/>
      <c r="AZR18" s="27"/>
      <c r="AZS18" s="27"/>
      <c r="AZT18" s="27"/>
      <c r="AZU18" s="27"/>
      <c r="AZV18" s="27"/>
      <c r="AZW18" s="27"/>
      <c r="AZX18" s="27"/>
      <c r="AZY18" s="27"/>
      <c r="AZZ18" s="27"/>
      <c r="BAA18" s="37"/>
      <c r="BAB18" s="26"/>
      <c r="BAC18" s="27"/>
      <c r="BAD18" s="27"/>
      <c r="BAE18" s="27"/>
      <c r="BAF18" s="27"/>
      <c r="BAG18" s="27"/>
      <c r="BAH18" s="27"/>
      <c r="BAI18" s="27"/>
      <c r="BAJ18" s="27"/>
      <c r="BAK18" s="27"/>
      <c r="BAL18" s="27"/>
      <c r="BAM18" s="27"/>
      <c r="BAN18" s="27"/>
      <c r="BAO18" s="27"/>
      <c r="BAP18" s="27"/>
      <c r="BAQ18" s="27"/>
      <c r="BAR18" s="27"/>
      <c r="BAS18" s="27"/>
      <c r="BAT18" s="27"/>
      <c r="BAU18" s="27"/>
      <c r="BAV18" s="27"/>
      <c r="BAW18" s="27"/>
      <c r="BAX18" s="27"/>
      <c r="BAY18" s="27"/>
      <c r="BAZ18" s="27"/>
      <c r="BBA18" s="27"/>
      <c r="BBB18" s="27"/>
      <c r="BBC18" s="27"/>
      <c r="BBD18" s="27"/>
      <c r="BBE18" s="27"/>
      <c r="BBF18" s="27"/>
      <c r="BBG18" s="27"/>
      <c r="BBH18" s="27"/>
      <c r="BBI18" s="27"/>
      <c r="BBJ18" s="27"/>
      <c r="BBK18" s="27"/>
      <c r="BBL18" s="27"/>
      <c r="BBM18" s="27"/>
      <c r="BBN18" s="27"/>
      <c r="BBO18" s="27"/>
      <c r="BBP18" s="27"/>
      <c r="BBQ18" s="27"/>
      <c r="BBR18" s="27"/>
      <c r="BBS18" s="27"/>
      <c r="BBT18" s="27"/>
      <c r="BBU18" s="27"/>
      <c r="BBV18" s="27"/>
      <c r="BBW18" s="27"/>
      <c r="BBX18" s="27"/>
      <c r="BBY18" s="27"/>
      <c r="BBZ18" s="27"/>
      <c r="BCA18" s="27"/>
      <c r="BCB18" s="27"/>
      <c r="BCC18" s="27"/>
      <c r="BCD18" s="27"/>
      <c r="BCE18" s="27"/>
      <c r="BCF18" s="27"/>
      <c r="BCG18" s="27"/>
      <c r="BCH18" s="27"/>
      <c r="BCI18" s="27"/>
      <c r="BCJ18" s="27"/>
      <c r="BCK18" s="27"/>
      <c r="BCL18" s="27"/>
      <c r="BCM18" s="27"/>
      <c r="BCN18" s="27"/>
      <c r="BCO18" s="27"/>
      <c r="BCP18" s="27"/>
      <c r="BCQ18" s="27"/>
      <c r="BCR18" s="27"/>
      <c r="BCS18" s="27"/>
      <c r="BCT18" s="27"/>
      <c r="BCU18" s="27"/>
      <c r="BCV18" s="27"/>
      <c r="BCW18" s="27"/>
      <c r="BCX18" s="27"/>
      <c r="BCY18" s="27"/>
      <c r="BCZ18" s="27"/>
      <c r="BDA18" s="27"/>
      <c r="BDB18" s="27"/>
      <c r="BDC18" s="27"/>
      <c r="BDD18" s="27"/>
      <c r="BDE18" s="27"/>
      <c r="BDF18" s="27"/>
      <c r="BDG18" s="27"/>
      <c r="BDH18" s="27"/>
      <c r="BDI18" s="27"/>
      <c r="BDJ18" s="27"/>
      <c r="BDK18" s="27"/>
      <c r="BDL18" s="27"/>
      <c r="BDM18" s="29"/>
      <c r="BDN18" s="29"/>
      <c r="BDO18" s="29"/>
      <c r="BDP18" s="29"/>
      <c r="BDQ18" s="37"/>
      <c r="BDR18" s="26"/>
      <c r="BDS18" s="27"/>
      <c r="BDT18" s="27"/>
      <c r="BDU18" s="27"/>
      <c r="BDV18" s="27"/>
      <c r="BDW18" s="27"/>
      <c r="BDX18" s="27"/>
      <c r="BDY18" s="27"/>
      <c r="BDZ18" s="27"/>
      <c r="BEA18" s="27"/>
      <c r="BEB18" s="27"/>
      <c r="BEC18" s="27"/>
      <c r="BED18" s="27"/>
      <c r="BEE18" s="27"/>
      <c r="BEF18" s="27"/>
      <c r="BEG18" s="27"/>
      <c r="BEH18" s="27"/>
      <c r="BEI18" s="27"/>
      <c r="BEJ18" s="27"/>
      <c r="BEK18" s="27"/>
      <c r="BEL18" s="27"/>
      <c r="BEM18" s="27"/>
      <c r="BEN18" s="27"/>
      <c r="BEO18" s="27"/>
      <c r="BEP18" s="27"/>
      <c r="BEQ18" s="27"/>
      <c r="BER18" s="27"/>
      <c r="BES18" s="27"/>
      <c r="BET18" s="27"/>
      <c r="BEU18" s="27"/>
      <c r="BEV18" s="27"/>
      <c r="BEW18" s="27"/>
      <c r="BEX18" s="27"/>
      <c r="BEY18" s="27"/>
      <c r="BEZ18" s="27"/>
      <c r="BFA18" s="27"/>
      <c r="BFB18" s="27"/>
      <c r="BFC18" s="27"/>
      <c r="BFD18" s="27"/>
      <c r="BFE18" s="27"/>
      <c r="BFF18" s="27"/>
      <c r="BFG18" s="27"/>
      <c r="BFH18" s="27"/>
      <c r="BFI18" s="27"/>
      <c r="BFJ18" s="27"/>
      <c r="BFK18" s="27"/>
      <c r="BFL18" s="27"/>
      <c r="BFM18" s="27"/>
      <c r="BFN18" s="27"/>
      <c r="BFO18" s="27"/>
      <c r="BFP18" s="27"/>
      <c r="BFQ18" s="27"/>
      <c r="BFR18" s="27"/>
      <c r="BFS18" s="27"/>
      <c r="BFT18" s="27"/>
      <c r="BFU18" s="27"/>
      <c r="BFV18" s="27"/>
      <c r="BFW18" s="27"/>
      <c r="BFX18" s="27"/>
      <c r="BFY18" s="27"/>
      <c r="BFZ18" s="27"/>
      <c r="BGA18" s="27"/>
      <c r="BGB18" s="27"/>
      <c r="BGC18" s="27"/>
      <c r="BGD18" s="27"/>
      <c r="BGE18" s="27"/>
      <c r="BGF18" s="27"/>
      <c r="BGG18" s="27"/>
      <c r="BGH18" s="27"/>
      <c r="BGI18" s="27"/>
      <c r="BGJ18" s="27"/>
      <c r="BGK18" s="27"/>
      <c r="BGL18" s="27"/>
      <c r="BGM18" s="27"/>
      <c r="BGN18" s="27"/>
      <c r="BGO18" s="27"/>
      <c r="BGP18" s="27"/>
      <c r="BGQ18" s="27"/>
      <c r="BGR18" s="27"/>
      <c r="BGS18" s="27"/>
      <c r="BGT18" s="27"/>
      <c r="BGU18" s="27"/>
      <c r="BGV18" s="27"/>
      <c r="BGW18" s="27"/>
      <c r="BGX18" s="27"/>
      <c r="BGY18" s="27"/>
      <c r="BGZ18" s="27"/>
      <c r="BHA18" s="27"/>
      <c r="BHB18" s="27"/>
      <c r="BHC18" s="29"/>
      <c r="BHD18" s="37"/>
    </row>
    <row r="19" spans="1:1564" ht="46.8" customHeight="1" x14ac:dyDescent="0.3">
      <c r="A19" s="22">
        <v>15</v>
      </c>
      <c r="B19" s="40" t="s">
        <v>297</v>
      </c>
      <c r="C19" s="40" t="s">
        <v>261</v>
      </c>
      <c r="D19" s="40" t="s">
        <v>257</v>
      </c>
      <c r="E19" s="37"/>
      <c r="F19" s="30"/>
      <c r="G19" s="23"/>
      <c r="H19" s="23"/>
      <c r="I19" s="30"/>
      <c r="J19" s="23"/>
      <c r="K19" s="23"/>
      <c r="L19" s="30"/>
      <c r="M19" s="23"/>
      <c r="N19" s="23"/>
      <c r="O19" s="30"/>
      <c r="P19" s="23"/>
      <c r="Q19" s="23"/>
      <c r="R19" s="30"/>
      <c r="S19" s="23"/>
      <c r="T19" s="23"/>
      <c r="U19" s="30"/>
      <c r="V19" s="23"/>
      <c r="W19" s="23"/>
      <c r="X19" s="30"/>
      <c r="Y19" s="23"/>
      <c r="Z19" s="23"/>
      <c r="AA19" s="30"/>
      <c r="AB19" s="23"/>
      <c r="AC19" s="23"/>
      <c r="AD19" s="30"/>
      <c r="AE19" s="23"/>
      <c r="AF19" s="23"/>
      <c r="AG19" s="30"/>
      <c r="AH19" s="23"/>
      <c r="AI19" s="23"/>
      <c r="AJ19" s="30"/>
      <c r="AK19" s="23"/>
      <c r="AL19" s="23"/>
      <c r="AM19" s="30"/>
      <c r="AN19" s="23"/>
      <c r="AO19" s="23"/>
      <c r="AP19" s="30"/>
      <c r="AQ19" s="23"/>
      <c r="AR19" s="23"/>
      <c r="AS19" s="30"/>
      <c r="AT19" s="23"/>
      <c r="AU19" s="23"/>
      <c r="AV19" s="30"/>
      <c r="AW19" s="23"/>
      <c r="AX19" s="23"/>
      <c r="AY19" s="30"/>
      <c r="AZ19" s="23"/>
      <c r="BA19" s="23"/>
      <c r="BB19" s="30"/>
      <c r="BC19" s="23"/>
      <c r="BD19" s="23"/>
      <c r="BE19" s="30"/>
      <c r="BF19" s="23"/>
      <c r="BG19" s="23"/>
      <c r="BH19" s="30"/>
      <c r="BI19" s="23"/>
      <c r="BJ19" s="23"/>
      <c r="BK19" s="30"/>
      <c r="BL19" s="23"/>
      <c r="BM19" s="23"/>
      <c r="BN19" s="30"/>
      <c r="BO19" s="23"/>
      <c r="BP19" s="24"/>
      <c r="BQ19" s="30"/>
      <c r="BR19" s="23"/>
      <c r="BS19" s="23"/>
      <c r="BT19" s="30"/>
      <c r="BU19" s="23"/>
      <c r="BV19" s="23"/>
      <c r="BW19" s="30"/>
      <c r="BX19" s="23"/>
      <c r="BY19" s="23"/>
      <c r="BZ19" s="30"/>
      <c r="CA19" s="23"/>
      <c r="CB19" s="23"/>
      <c r="CC19" s="30"/>
      <c r="CD19" s="23"/>
      <c r="CE19" s="23"/>
      <c r="CF19" s="30"/>
      <c r="CG19" s="23"/>
      <c r="CH19" s="23"/>
      <c r="CI19" s="30"/>
      <c r="CJ19" s="23"/>
      <c r="CK19" s="23"/>
      <c r="CL19" s="30"/>
      <c r="CM19" s="23"/>
      <c r="CN19" s="23"/>
      <c r="CO19" s="30"/>
      <c r="CP19" s="23"/>
      <c r="CQ19" s="23"/>
      <c r="CR19" s="30"/>
      <c r="CS19" s="23"/>
      <c r="CT19" s="25"/>
      <c r="CU19" s="37"/>
      <c r="CV19" s="26"/>
      <c r="CW19" s="27"/>
      <c r="CX19" s="27"/>
      <c r="CY19" s="27"/>
      <c r="CZ19" s="27"/>
      <c r="DA19" s="27"/>
      <c r="DB19" s="26"/>
      <c r="DC19" s="27"/>
      <c r="DD19" s="27"/>
      <c r="DE19" s="26"/>
      <c r="DF19" s="27"/>
      <c r="DG19" s="27"/>
      <c r="DH19" s="26"/>
      <c r="DI19" s="27"/>
      <c r="DJ19" s="27"/>
      <c r="DK19" s="26"/>
      <c r="DL19" s="27"/>
      <c r="DM19" s="27"/>
      <c r="DN19" s="26"/>
      <c r="DO19" s="27"/>
      <c r="DP19" s="27"/>
      <c r="DQ19" s="26"/>
      <c r="DR19" s="27"/>
      <c r="DS19" s="27"/>
      <c r="DT19" s="26"/>
      <c r="DU19" s="27"/>
      <c r="DV19" s="27"/>
      <c r="DW19" s="26"/>
      <c r="DX19" s="27"/>
      <c r="DY19" s="27"/>
      <c r="DZ19" s="26"/>
      <c r="EA19" s="27"/>
      <c r="EB19" s="27"/>
      <c r="EC19" s="26"/>
      <c r="ED19" s="27"/>
      <c r="EE19" s="27"/>
      <c r="EF19" s="26"/>
      <c r="EG19" s="27"/>
      <c r="EH19" s="27"/>
      <c r="EI19" s="26"/>
      <c r="EJ19" s="27"/>
      <c r="EK19" s="27"/>
      <c r="EL19" s="26"/>
      <c r="EM19" s="27"/>
      <c r="EN19" s="27"/>
      <c r="EO19" s="26"/>
      <c r="EP19" s="27"/>
      <c r="EQ19" s="27"/>
      <c r="ER19" s="26"/>
      <c r="ES19" s="27"/>
      <c r="ET19" s="27"/>
      <c r="EU19" s="26"/>
      <c r="EV19" s="27"/>
      <c r="EW19" s="27"/>
      <c r="EX19" s="26"/>
      <c r="EY19" s="27"/>
      <c r="EZ19" s="27"/>
      <c r="FA19" s="26"/>
      <c r="FB19" s="27"/>
      <c r="FC19" s="27"/>
      <c r="FD19" s="26"/>
      <c r="FE19" s="27"/>
      <c r="FF19" s="27"/>
      <c r="FG19" s="26"/>
      <c r="FH19" s="27"/>
      <c r="FI19" s="27"/>
      <c r="FJ19" s="26"/>
      <c r="FK19" s="27"/>
      <c r="FL19" s="27"/>
      <c r="FM19" s="26"/>
      <c r="FN19" s="27"/>
      <c r="FO19" s="27"/>
      <c r="FP19" s="26"/>
      <c r="FQ19" s="27"/>
      <c r="FR19" s="27"/>
      <c r="FS19" s="26"/>
      <c r="FT19" s="27"/>
      <c r="FU19" s="27"/>
      <c r="FV19" s="26"/>
      <c r="FW19" s="27"/>
      <c r="FX19" s="27"/>
      <c r="FY19" s="26"/>
      <c r="FZ19" s="27"/>
      <c r="GA19" s="27"/>
      <c r="GB19" s="26"/>
      <c r="GC19" s="27"/>
      <c r="GD19" s="27"/>
      <c r="GE19" s="26"/>
      <c r="GF19" s="27"/>
      <c r="GG19" s="27"/>
      <c r="GH19" s="26"/>
      <c r="GI19" s="27"/>
      <c r="GJ19" s="29"/>
      <c r="GK19" s="37"/>
      <c r="GL19" s="26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37"/>
      <c r="JS19" s="26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9"/>
      <c r="NH19" s="37"/>
      <c r="NI19" s="26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37"/>
      <c r="QV19" s="26"/>
      <c r="QW19" s="27"/>
      <c r="QX19" s="27"/>
      <c r="QY19" s="27"/>
      <c r="QZ19" s="27"/>
      <c r="RA19" s="27"/>
      <c r="RB19" s="27"/>
      <c r="RC19" s="27"/>
      <c r="RD19" s="27"/>
      <c r="RE19" s="27">
        <v>8</v>
      </c>
      <c r="RF19" s="27">
        <v>228</v>
      </c>
      <c r="RG19" s="27" t="s">
        <v>276</v>
      </c>
      <c r="RH19" s="27"/>
      <c r="RI19" s="27"/>
      <c r="RJ19" s="27"/>
      <c r="RK19" s="27"/>
      <c r="RL19" s="27"/>
      <c r="RM19" s="27"/>
      <c r="RN19" s="27">
        <v>8</v>
      </c>
      <c r="RO19" s="27">
        <v>228</v>
      </c>
      <c r="RP19" s="27" t="s">
        <v>276</v>
      </c>
      <c r="RQ19" s="27">
        <v>8</v>
      </c>
      <c r="RR19" s="27">
        <v>228</v>
      </c>
      <c r="RS19" s="27" t="s">
        <v>276</v>
      </c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>
        <v>8</v>
      </c>
      <c r="SJ19" s="27">
        <v>228</v>
      </c>
      <c r="SK19" s="27" t="s">
        <v>276</v>
      </c>
      <c r="SL19" s="27">
        <v>8</v>
      </c>
      <c r="SM19" s="27">
        <v>228</v>
      </c>
      <c r="SN19" s="27" t="s">
        <v>276</v>
      </c>
      <c r="SO19" s="27"/>
      <c r="SP19" s="27"/>
      <c r="SQ19" s="27"/>
      <c r="SR19" s="27"/>
      <c r="SS19" s="27"/>
      <c r="ST19" s="27"/>
      <c r="SU19" s="27">
        <v>8</v>
      </c>
      <c r="SV19" s="27">
        <v>228</v>
      </c>
      <c r="SW19" s="27" t="s">
        <v>276</v>
      </c>
      <c r="SX19" s="27">
        <v>8</v>
      </c>
      <c r="SY19" s="27">
        <v>228</v>
      </c>
      <c r="SZ19" s="27" t="s">
        <v>276</v>
      </c>
      <c r="TA19" s="27">
        <v>8</v>
      </c>
      <c r="TB19" s="27">
        <v>228</v>
      </c>
      <c r="TC19" s="27" t="s">
        <v>276</v>
      </c>
      <c r="TD19" s="27">
        <v>8</v>
      </c>
      <c r="TE19" s="27">
        <v>228</v>
      </c>
      <c r="TF19" s="27" t="s">
        <v>276</v>
      </c>
      <c r="TG19" s="27"/>
      <c r="TH19" s="27"/>
      <c r="TI19" s="27"/>
      <c r="TJ19" s="27"/>
      <c r="TK19" s="27"/>
      <c r="TL19" s="27"/>
      <c r="TM19" s="27"/>
      <c r="TN19" s="27"/>
      <c r="TO19" s="27"/>
      <c r="TP19" s="27">
        <v>8</v>
      </c>
      <c r="TQ19" s="27">
        <v>45</v>
      </c>
      <c r="TR19" s="27" t="s">
        <v>246</v>
      </c>
      <c r="TS19" s="27">
        <v>8</v>
      </c>
      <c r="TT19" s="27">
        <v>45</v>
      </c>
      <c r="TU19" s="27" t="s">
        <v>246</v>
      </c>
      <c r="TV19" s="27">
        <v>8</v>
      </c>
      <c r="TW19" s="27">
        <v>45</v>
      </c>
      <c r="TX19" s="27" t="s">
        <v>246</v>
      </c>
      <c r="TY19" s="27">
        <v>8</v>
      </c>
      <c r="TZ19" s="27">
        <v>45</v>
      </c>
      <c r="UA19" s="27" t="s">
        <v>246</v>
      </c>
      <c r="UB19" s="27"/>
      <c r="UC19" s="27"/>
      <c r="UD19" s="27"/>
      <c r="UE19" s="27"/>
      <c r="UF19" s="27"/>
      <c r="UG19" s="27"/>
      <c r="UH19" s="27"/>
      <c r="UI19" s="27"/>
      <c r="UJ19" s="29"/>
      <c r="UK19" s="37"/>
      <c r="UL19" s="26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  <c r="WC19" s="27"/>
      <c r="WD19" s="27"/>
      <c r="WE19" s="27"/>
      <c r="WF19" s="27"/>
      <c r="WG19" s="27"/>
      <c r="WH19" s="27"/>
      <c r="WI19" s="27"/>
      <c r="WJ19" s="27"/>
      <c r="WK19" s="27"/>
      <c r="WL19" s="27"/>
      <c r="WM19" s="27"/>
      <c r="WN19" s="27"/>
      <c r="WO19" s="27"/>
      <c r="WP19" s="27"/>
      <c r="WQ19" s="27"/>
      <c r="WR19" s="27"/>
      <c r="WS19" s="27"/>
      <c r="WT19" s="27"/>
      <c r="WU19" s="27"/>
      <c r="WV19" s="27"/>
      <c r="WW19" s="27"/>
      <c r="WX19" s="27"/>
      <c r="WY19" s="27"/>
      <c r="WZ19" s="27"/>
      <c r="XA19" s="27"/>
      <c r="XB19" s="27"/>
      <c r="XC19" s="27"/>
      <c r="XD19" s="27"/>
      <c r="XE19" s="27"/>
      <c r="XF19" s="27"/>
      <c r="XG19" s="27"/>
      <c r="XH19" s="27"/>
      <c r="XI19" s="27"/>
      <c r="XJ19" s="27"/>
      <c r="XK19" s="27"/>
      <c r="XL19" s="27"/>
      <c r="XM19" s="27"/>
      <c r="XN19" s="27"/>
      <c r="XO19" s="27"/>
      <c r="XP19" s="27"/>
      <c r="XQ19" s="27"/>
      <c r="XR19" s="27"/>
      <c r="XS19" s="27"/>
      <c r="XT19" s="27"/>
      <c r="XU19" s="27"/>
      <c r="XV19" s="27"/>
      <c r="XW19" s="27"/>
      <c r="XX19" s="37"/>
      <c r="XY19" s="27"/>
      <c r="XZ19" s="27"/>
      <c r="YA19" s="27"/>
      <c r="YB19" s="27"/>
      <c r="YC19" s="27"/>
      <c r="YD19" s="27"/>
      <c r="YE19" s="27"/>
      <c r="YF19" s="27"/>
      <c r="YG19" s="27"/>
      <c r="YH19" s="27"/>
      <c r="YI19" s="27"/>
      <c r="YJ19" s="27"/>
      <c r="YK19" s="27"/>
      <c r="YL19" s="27"/>
      <c r="YM19" s="27"/>
      <c r="YN19" s="27"/>
      <c r="YO19" s="27"/>
      <c r="YP19" s="27"/>
      <c r="YQ19" s="27"/>
      <c r="YR19" s="27"/>
      <c r="YS19" s="27"/>
      <c r="YT19" s="27"/>
      <c r="YU19" s="27"/>
      <c r="YV19" s="27"/>
      <c r="YW19" s="27"/>
      <c r="YX19" s="27"/>
      <c r="YY19" s="27"/>
      <c r="YZ19" s="27"/>
      <c r="ZA19" s="27"/>
      <c r="ZB19" s="27"/>
      <c r="ZC19" s="27"/>
      <c r="ZD19" s="27"/>
      <c r="ZE19" s="27"/>
      <c r="ZF19" s="27"/>
      <c r="ZG19" s="27"/>
      <c r="ZH19" s="27"/>
      <c r="ZI19" s="27"/>
      <c r="ZJ19" s="27"/>
      <c r="ZK19" s="27"/>
      <c r="ZL19" s="27"/>
      <c r="ZM19" s="27"/>
      <c r="ZN19" s="27"/>
      <c r="ZO19" s="27"/>
      <c r="ZP19" s="27"/>
      <c r="ZQ19" s="27"/>
      <c r="ZR19" s="27"/>
      <c r="ZS19" s="27"/>
      <c r="ZT19" s="27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7"/>
      <c r="AAI19" s="27"/>
      <c r="AAJ19" s="27"/>
      <c r="AAK19" s="27"/>
      <c r="AAL19" s="27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7"/>
      <c r="AAX19" s="27"/>
      <c r="AAY19" s="27"/>
      <c r="AAZ19" s="27"/>
      <c r="ABA19" s="27"/>
      <c r="ABB19" s="27">
        <v>8</v>
      </c>
      <c r="ABC19" s="27">
        <v>42</v>
      </c>
      <c r="ABD19" s="27" t="s">
        <v>246</v>
      </c>
      <c r="ABE19" s="27"/>
      <c r="ABF19" s="27"/>
      <c r="ABG19" s="27"/>
      <c r="ABH19" s="27"/>
      <c r="ABI19" s="27"/>
      <c r="ABJ19" s="27"/>
      <c r="ABK19" s="27"/>
      <c r="ABL19" s="27"/>
      <c r="ABM19" s="29"/>
      <c r="ABN19" s="37"/>
      <c r="ABO19" s="26"/>
      <c r="ABP19" s="27"/>
      <c r="ABQ19" s="27"/>
      <c r="ABR19" s="27"/>
      <c r="ABS19" s="27"/>
      <c r="ABT19" s="27"/>
      <c r="ABU19" s="27"/>
      <c r="ABV19" s="27"/>
      <c r="ABW19" s="27"/>
      <c r="ABX19" s="27"/>
      <c r="ABY19" s="27"/>
      <c r="ABZ19" s="27"/>
      <c r="ACA19" s="27"/>
      <c r="ACB19" s="27"/>
      <c r="ACC19" s="27"/>
      <c r="ACD19" s="27"/>
      <c r="ACE19" s="27"/>
      <c r="ACF19" s="27"/>
      <c r="ACG19" s="27"/>
      <c r="ACH19" s="27"/>
      <c r="ACI19" s="27"/>
      <c r="ACJ19" s="27"/>
      <c r="ACK19" s="27"/>
      <c r="ACL19" s="27"/>
      <c r="ACM19" s="27"/>
      <c r="ACN19" s="27"/>
      <c r="ACO19" s="27"/>
      <c r="ACP19" s="27"/>
      <c r="ACQ19" s="27"/>
      <c r="ACR19" s="27"/>
      <c r="ACS19" s="27"/>
      <c r="ACT19" s="27"/>
      <c r="ACU19" s="27"/>
      <c r="ACV19" s="27"/>
      <c r="ACW19" s="27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7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7"/>
      <c r="AEB19" s="27"/>
      <c r="AEC19" s="27"/>
      <c r="AED19" s="27"/>
      <c r="AEE19" s="27"/>
      <c r="AEF19" s="27"/>
      <c r="AEG19" s="27"/>
      <c r="AEH19" s="27"/>
      <c r="AEI19" s="27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9"/>
      <c r="AFD19" s="37"/>
      <c r="AFE19" s="26"/>
      <c r="AFF19" s="27"/>
      <c r="AFG19" s="27"/>
      <c r="AFH19" s="27"/>
      <c r="AFI19" s="27"/>
      <c r="AFJ19" s="27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7"/>
      <c r="AFW19" s="27"/>
      <c r="AFX19" s="27"/>
      <c r="AFY19" s="27"/>
      <c r="AFZ19" s="27"/>
      <c r="AGA19" s="27"/>
      <c r="AGB19" s="27"/>
      <c r="AGC19" s="27"/>
      <c r="AGD19" s="27"/>
      <c r="AGE19" s="27"/>
      <c r="AGF19" s="27"/>
      <c r="AGG19" s="27"/>
      <c r="AGH19" s="27"/>
      <c r="AGI19" s="27"/>
      <c r="AGJ19" s="27"/>
      <c r="AGK19" s="27"/>
      <c r="AGL19" s="27"/>
      <c r="AGM19" s="27"/>
      <c r="AGN19" s="27"/>
      <c r="AGO19" s="27"/>
      <c r="AGP19" s="27"/>
      <c r="AGQ19" s="27"/>
      <c r="AGR19" s="27"/>
      <c r="AGS19" s="27"/>
      <c r="AGT19" s="27"/>
      <c r="AGU19" s="27"/>
      <c r="AGV19" s="27"/>
      <c r="AGW19" s="27"/>
      <c r="AGX19" s="27"/>
      <c r="AGY19" s="27"/>
      <c r="AGZ19" s="27"/>
      <c r="AHA19" s="27"/>
      <c r="AHB19" s="27"/>
      <c r="AHC19" s="27"/>
      <c r="AHD19" s="27"/>
      <c r="AHE19" s="27"/>
      <c r="AHF19" s="27"/>
      <c r="AHG19" s="27"/>
      <c r="AHH19" s="27"/>
      <c r="AHI19" s="27"/>
      <c r="AHJ19" s="27"/>
      <c r="AHK19" s="27"/>
      <c r="AHL19" s="27"/>
      <c r="AHM19" s="27"/>
      <c r="AHN19" s="27"/>
      <c r="AHO19" s="27"/>
      <c r="AHP19" s="27"/>
      <c r="AHQ19" s="27"/>
      <c r="AHR19" s="27"/>
      <c r="AHS19" s="27"/>
      <c r="AHT19" s="27"/>
      <c r="AHU19" s="27"/>
      <c r="AHV19" s="27"/>
      <c r="AHW19" s="27"/>
      <c r="AHX19" s="27"/>
      <c r="AHY19" s="27"/>
      <c r="AHZ19" s="27"/>
      <c r="AIA19" s="27"/>
      <c r="AIB19" s="27"/>
      <c r="AIC19" s="27"/>
      <c r="AID19" s="27"/>
      <c r="AIE19" s="27"/>
      <c r="AIF19" s="27"/>
      <c r="AIG19" s="27"/>
      <c r="AIH19" s="27"/>
      <c r="AII19" s="27"/>
      <c r="AIJ19" s="27"/>
      <c r="AIK19" s="27"/>
      <c r="AIL19" s="27"/>
      <c r="AIM19" s="27"/>
      <c r="AIN19" s="27"/>
      <c r="AIO19" s="27"/>
      <c r="AIP19" s="27"/>
      <c r="AIQ19" s="37"/>
      <c r="AIR19" s="26"/>
      <c r="AIS19" s="27"/>
      <c r="AIT19" s="27"/>
      <c r="AIU19" s="27"/>
      <c r="AIV19" s="27"/>
      <c r="AIW19" s="27"/>
      <c r="AIX19" s="27"/>
      <c r="AIY19" s="27"/>
      <c r="AIZ19" s="27"/>
      <c r="AJA19" s="27"/>
      <c r="AJB19" s="27"/>
      <c r="AJC19" s="27"/>
      <c r="AJD19" s="27"/>
      <c r="AJE19" s="27"/>
      <c r="AJF19" s="27"/>
      <c r="AJG19" s="27"/>
      <c r="AJH19" s="27"/>
      <c r="AJI19" s="27"/>
      <c r="AJJ19" s="27"/>
      <c r="AJK19" s="27"/>
      <c r="AJL19" s="27"/>
      <c r="AJM19" s="27"/>
      <c r="AJN19" s="27"/>
      <c r="AJO19" s="27"/>
      <c r="AJP19" s="27"/>
      <c r="AJQ19" s="27"/>
      <c r="AJR19" s="27"/>
      <c r="AJS19" s="27"/>
      <c r="AJT19" s="27"/>
      <c r="AJU19" s="27"/>
      <c r="AJV19" s="27"/>
      <c r="AJW19" s="27"/>
      <c r="AJX19" s="27"/>
      <c r="AJY19" s="27"/>
      <c r="AJZ19" s="27"/>
      <c r="AKA19" s="27"/>
      <c r="AKB19" s="27"/>
      <c r="AKC19" s="27"/>
      <c r="AKD19" s="27"/>
      <c r="AKE19" s="27"/>
      <c r="AKF19" s="27"/>
      <c r="AKG19" s="27"/>
      <c r="AKH19" s="27"/>
      <c r="AKI19" s="27"/>
      <c r="AKJ19" s="27"/>
      <c r="AKK19" s="27"/>
      <c r="AKL19" s="27"/>
      <c r="AKM19" s="27"/>
      <c r="AKN19" s="27"/>
      <c r="AKO19" s="27"/>
      <c r="AKP19" s="27"/>
      <c r="AKQ19" s="27"/>
      <c r="AKR19" s="27"/>
      <c r="AKS19" s="27"/>
      <c r="AKT19" s="27"/>
      <c r="AKU19" s="27"/>
      <c r="AKV19" s="27"/>
      <c r="AKW19" s="27"/>
      <c r="AKX19" s="27"/>
      <c r="AKY19" s="27"/>
      <c r="AKZ19" s="27"/>
      <c r="ALA19" s="27"/>
      <c r="ALB19" s="27"/>
      <c r="ALC19" s="27"/>
      <c r="ALD19" s="27"/>
      <c r="ALE19" s="27"/>
      <c r="ALF19" s="27"/>
      <c r="ALG19" s="27"/>
      <c r="ALH19" s="27"/>
      <c r="ALI19" s="27"/>
      <c r="ALJ19" s="27"/>
      <c r="ALK19" s="27"/>
      <c r="ALL19" s="27"/>
      <c r="ALM19" s="27"/>
      <c r="ALN19" s="27"/>
      <c r="ALO19" s="27"/>
      <c r="ALP19" s="27"/>
      <c r="ALQ19" s="27"/>
      <c r="ALR19" s="27"/>
      <c r="ALS19" s="27"/>
      <c r="ALT19" s="27"/>
      <c r="ALU19" s="27"/>
      <c r="ALV19" s="27"/>
      <c r="ALW19" s="27"/>
      <c r="ALX19" s="27"/>
      <c r="ALY19" s="27"/>
      <c r="ALZ19" s="27"/>
      <c r="AMA19" s="27"/>
      <c r="AMB19" s="27"/>
      <c r="AMC19" s="27"/>
      <c r="AMD19" s="27"/>
      <c r="AME19" s="27"/>
      <c r="AMF19" s="29"/>
      <c r="AMG19" s="37"/>
      <c r="AMH19" s="26"/>
      <c r="AMI19" s="27"/>
      <c r="AMJ19" s="27"/>
      <c r="AMK19" s="27"/>
      <c r="AML19" s="27"/>
      <c r="AMM19" s="27"/>
      <c r="AMN19" s="27"/>
      <c r="AMO19" s="27"/>
      <c r="AMP19" s="27"/>
      <c r="AMQ19" s="27"/>
      <c r="AMR19" s="27"/>
      <c r="AMS19" s="27"/>
      <c r="AMT19" s="27"/>
      <c r="AMU19" s="27"/>
      <c r="AMV19" s="27"/>
      <c r="AMW19" s="27"/>
      <c r="AMX19" s="27"/>
      <c r="AMY19" s="27"/>
      <c r="AMZ19" s="27"/>
      <c r="ANA19" s="27"/>
      <c r="ANB19" s="27"/>
      <c r="ANC19" s="27"/>
      <c r="AND19" s="27"/>
      <c r="ANE19" s="27"/>
      <c r="ANF19" s="27"/>
      <c r="ANG19" s="27"/>
      <c r="ANH19" s="27"/>
      <c r="ANI19" s="27"/>
      <c r="ANJ19" s="27"/>
      <c r="ANK19" s="27"/>
      <c r="ANL19" s="27"/>
      <c r="ANM19" s="27"/>
      <c r="ANN19" s="27"/>
      <c r="ANO19" s="27"/>
      <c r="ANP19" s="27"/>
      <c r="ANQ19" s="27"/>
      <c r="ANR19" s="27"/>
      <c r="ANS19" s="27"/>
      <c r="ANT19" s="27"/>
      <c r="ANU19" s="27"/>
      <c r="ANV19" s="27"/>
      <c r="ANW19" s="27"/>
      <c r="ANX19" s="27"/>
      <c r="ANY19" s="27"/>
      <c r="ANZ19" s="27"/>
      <c r="AOA19" s="27"/>
      <c r="AOB19" s="27"/>
      <c r="AOC19" s="27"/>
      <c r="AOD19" s="27"/>
      <c r="AOE19" s="27"/>
      <c r="AOF19" s="27"/>
      <c r="AOG19" s="27"/>
      <c r="AOH19" s="27"/>
      <c r="AOI19" s="27"/>
      <c r="AOJ19" s="27"/>
      <c r="AOK19" s="27"/>
      <c r="AOL19" s="27"/>
      <c r="AOM19" s="27"/>
      <c r="AON19" s="27"/>
      <c r="AOO19" s="27"/>
      <c r="AOP19" s="27"/>
      <c r="AOQ19" s="27"/>
      <c r="AOR19" s="27"/>
      <c r="AOS19" s="27"/>
      <c r="AOT19" s="27"/>
      <c r="AOU19" s="27"/>
      <c r="AOV19" s="27"/>
      <c r="AOW19" s="27"/>
      <c r="AOX19" s="27"/>
      <c r="AOY19" s="27"/>
      <c r="AOZ19" s="27"/>
      <c r="APA19" s="27"/>
      <c r="APB19" s="27"/>
      <c r="APC19" s="27"/>
      <c r="APD19" s="27"/>
      <c r="APE19" s="27"/>
      <c r="APF19" s="27"/>
      <c r="APG19" s="27"/>
      <c r="APH19" s="27"/>
      <c r="API19" s="27"/>
      <c r="APJ19" s="27"/>
      <c r="APK19" s="27"/>
      <c r="APL19" s="27"/>
      <c r="APM19" s="27"/>
      <c r="APN19" s="27"/>
      <c r="APO19" s="27"/>
      <c r="APP19" s="27"/>
      <c r="APQ19" s="27"/>
      <c r="APR19" s="27"/>
      <c r="APS19" s="29"/>
      <c r="APT19" s="37"/>
      <c r="APU19" s="26"/>
      <c r="APV19" s="27"/>
      <c r="APW19" s="27"/>
      <c r="APX19" s="27"/>
      <c r="APY19" s="27"/>
      <c r="APZ19" s="27"/>
      <c r="AQA19" s="27"/>
      <c r="AQB19" s="27"/>
      <c r="AQC19" s="27"/>
      <c r="AQD19" s="27"/>
      <c r="AQE19" s="27"/>
      <c r="AQF19" s="27"/>
      <c r="AQG19" s="27"/>
      <c r="AQH19" s="27"/>
      <c r="AQI19" s="27"/>
      <c r="AQJ19" s="27"/>
      <c r="AQK19" s="27"/>
      <c r="AQL19" s="27"/>
      <c r="AQM19" s="27"/>
      <c r="AQN19" s="27"/>
      <c r="AQO19" s="27"/>
      <c r="AQP19" s="27"/>
      <c r="AQQ19" s="27"/>
      <c r="AQR19" s="27"/>
      <c r="AQS19" s="27"/>
      <c r="AQT19" s="27"/>
      <c r="AQU19" s="27"/>
      <c r="AQV19" s="27"/>
      <c r="AQW19" s="27"/>
      <c r="AQX19" s="27"/>
      <c r="AQY19" s="27"/>
      <c r="AQZ19" s="27"/>
      <c r="ARA19" s="27"/>
      <c r="ARB19" s="27"/>
      <c r="ARC19" s="27"/>
      <c r="ARD19" s="27"/>
      <c r="ARE19" s="27"/>
      <c r="ARF19" s="27"/>
      <c r="ARG19" s="27"/>
      <c r="ARH19" s="27"/>
      <c r="ARI19" s="27"/>
      <c r="ARJ19" s="27"/>
      <c r="ARK19" s="27"/>
      <c r="ARL19" s="27"/>
      <c r="ARM19" s="27"/>
      <c r="ARN19" s="27"/>
      <c r="ARO19" s="27"/>
      <c r="ARP19" s="27"/>
      <c r="ARQ19" s="27"/>
      <c r="ARR19" s="27"/>
      <c r="ARS19" s="27"/>
      <c r="ART19" s="27"/>
      <c r="ARU19" s="27"/>
      <c r="ARV19" s="27"/>
      <c r="ARW19" s="27"/>
      <c r="ARX19" s="27"/>
      <c r="ARY19" s="27"/>
      <c r="ARZ19" s="27"/>
      <c r="ASA19" s="27"/>
      <c r="ASB19" s="27"/>
      <c r="ASC19" s="27"/>
      <c r="ASD19" s="27"/>
      <c r="ASE19" s="27"/>
      <c r="ASF19" s="27"/>
      <c r="ASG19" s="27"/>
      <c r="ASH19" s="27"/>
      <c r="ASI19" s="27"/>
      <c r="ASJ19" s="27"/>
      <c r="ASK19" s="27"/>
      <c r="ASL19" s="27"/>
      <c r="ASM19" s="27"/>
      <c r="ASN19" s="27"/>
      <c r="ASO19" s="27"/>
      <c r="ASP19" s="27"/>
      <c r="ASQ19" s="27"/>
      <c r="ASR19" s="27"/>
      <c r="ASS19" s="27"/>
      <c r="AST19" s="27"/>
      <c r="ASU19" s="27"/>
      <c r="ASV19" s="27"/>
      <c r="ASW19" s="27"/>
      <c r="ASX19" s="27"/>
      <c r="ASY19" s="27"/>
      <c r="ASZ19" s="27"/>
      <c r="ATA19" s="27"/>
      <c r="ATB19" s="27"/>
      <c r="ATC19" s="27"/>
      <c r="ATD19" s="27"/>
      <c r="ATE19" s="27"/>
      <c r="ATF19" s="29"/>
      <c r="ATG19" s="37"/>
      <c r="ATH19" s="26"/>
      <c r="ATI19" s="27"/>
      <c r="ATJ19" s="27"/>
      <c r="ATK19" s="27"/>
      <c r="ATL19" s="27"/>
      <c r="ATM19" s="27"/>
      <c r="ATN19" s="27"/>
      <c r="ATO19" s="27"/>
      <c r="ATP19" s="27"/>
      <c r="ATQ19" s="27"/>
      <c r="ATR19" s="27"/>
      <c r="ATS19" s="27"/>
      <c r="ATT19" s="27"/>
      <c r="ATU19" s="27"/>
      <c r="ATV19" s="27"/>
      <c r="ATW19" s="27"/>
      <c r="ATX19" s="27"/>
      <c r="ATY19" s="27"/>
      <c r="ATZ19" s="27"/>
      <c r="AUA19" s="27"/>
      <c r="AUB19" s="27"/>
      <c r="AUC19" s="27"/>
      <c r="AUD19" s="27"/>
      <c r="AUE19" s="27"/>
      <c r="AUF19" s="27"/>
      <c r="AUG19" s="27"/>
      <c r="AUH19" s="27"/>
      <c r="AUI19" s="27"/>
      <c r="AUJ19" s="27"/>
      <c r="AUK19" s="27"/>
      <c r="AUL19" s="27"/>
      <c r="AUM19" s="27"/>
      <c r="AUN19" s="27"/>
      <c r="AUO19" s="27"/>
      <c r="AUP19" s="27"/>
      <c r="AUQ19" s="27"/>
      <c r="AUR19" s="27"/>
      <c r="AUS19" s="27"/>
      <c r="AUT19" s="27"/>
      <c r="AUU19" s="27"/>
      <c r="AUV19" s="27"/>
      <c r="AUW19" s="27"/>
      <c r="AUX19" s="27"/>
      <c r="AUY19" s="27"/>
      <c r="AUZ19" s="27"/>
      <c r="AVA19" s="27"/>
      <c r="AVB19" s="27"/>
      <c r="AVC19" s="27"/>
      <c r="AVD19" s="27"/>
      <c r="AVE19" s="27"/>
      <c r="AVF19" s="27"/>
      <c r="AVG19" s="27"/>
      <c r="AVH19" s="27"/>
      <c r="AVI19" s="27"/>
      <c r="AVJ19" s="27"/>
      <c r="AVK19" s="27"/>
      <c r="AVL19" s="27"/>
      <c r="AVM19" s="27"/>
      <c r="AVN19" s="27"/>
      <c r="AVO19" s="27"/>
      <c r="AVP19" s="27"/>
      <c r="AVQ19" s="27"/>
      <c r="AVR19" s="27"/>
      <c r="AVS19" s="27"/>
      <c r="AVT19" s="27"/>
      <c r="AVU19" s="27"/>
      <c r="AVV19" s="27"/>
      <c r="AVW19" s="27"/>
      <c r="AVX19" s="27"/>
      <c r="AVY19" s="27"/>
      <c r="AVZ19" s="27"/>
      <c r="AWA19" s="27"/>
      <c r="AWB19" s="27"/>
      <c r="AWC19" s="27"/>
      <c r="AWD19" s="27"/>
      <c r="AWE19" s="27"/>
      <c r="AWF19" s="27"/>
      <c r="AWG19" s="27"/>
      <c r="AWH19" s="27"/>
      <c r="AWI19" s="27"/>
      <c r="AWJ19" s="27"/>
      <c r="AWK19" s="27"/>
      <c r="AWL19" s="27"/>
      <c r="AWM19" s="27"/>
      <c r="AWN19" s="27"/>
      <c r="AWO19" s="27"/>
      <c r="AWP19" s="27"/>
      <c r="AWQ19" s="27"/>
      <c r="AWR19" s="27"/>
      <c r="AWS19" s="29"/>
      <c r="AWT19" s="37"/>
      <c r="AWU19" s="26"/>
      <c r="AWV19" s="27"/>
      <c r="AWW19" s="27"/>
      <c r="AWX19" s="27"/>
      <c r="AWY19" s="27"/>
      <c r="AWZ19" s="27"/>
      <c r="AXA19" s="27"/>
      <c r="AXB19" s="27"/>
      <c r="AXC19" s="27"/>
      <c r="AXD19" s="27"/>
      <c r="AXE19" s="27"/>
      <c r="AXF19" s="27"/>
      <c r="AXG19" s="27"/>
      <c r="AXH19" s="27"/>
      <c r="AXI19" s="27"/>
      <c r="AXJ19" s="27"/>
      <c r="AXK19" s="27"/>
      <c r="AXL19" s="27"/>
      <c r="AXM19" s="27"/>
      <c r="AXN19" s="27"/>
      <c r="AXO19" s="27"/>
      <c r="AXP19" s="27"/>
      <c r="AXQ19" s="27"/>
      <c r="AXR19" s="27"/>
      <c r="AXS19" s="27"/>
      <c r="AXT19" s="27"/>
      <c r="AXU19" s="27"/>
      <c r="AXV19" s="27"/>
      <c r="AXW19" s="27"/>
      <c r="AXX19" s="27"/>
      <c r="AXY19" s="27"/>
      <c r="AXZ19" s="27"/>
      <c r="AYA19" s="27"/>
      <c r="AYB19" s="27"/>
      <c r="AYC19" s="27"/>
      <c r="AYD19" s="27"/>
      <c r="AYE19" s="27"/>
      <c r="AYF19" s="27"/>
      <c r="AYG19" s="27"/>
      <c r="AYH19" s="27"/>
      <c r="AYI19" s="27"/>
      <c r="AYJ19" s="27"/>
      <c r="AYK19" s="27"/>
      <c r="AYL19" s="27"/>
      <c r="AYM19" s="27"/>
      <c r="AYN19" s="27"/>
      <c r="AYO19" s="27"/>
      <c r="AYP19" s="27"/>
      <c r="AYQ19" s="27"/>
      <c r="AYR19" s="27"/>
      <c r="AYS19" s="27"/>
      <c r="AYT19" s="27"/>
      <c r="AYU19" s="27"/>
      <c r="AYV19" s="27"/>
      <c r="AYW19" s="27"/>
      <c r="AYX19" s="27"/>
      <c r="AYY19" s="27"/>
      <c r="AYZ19" s="27"/>
      <c r="AZA19" s="27"/>
      <c r="AZB19" s="27"/>
      <c r="AZC19" s="27"/>
      <c r="AZD19" s="27"/>
      <c r="AZE19" s="27"/>
      <c r="AZF19" s="27"/>
      <c r="AZG19" s="27"/>
      <c r="AZH19" s="27"/>
      <c r="AZI19" s="27"/>
      <c r="AZJ19" s="27"/>
      <c r="AZK19" s="27"/>
      <c r="AZL19" s="27"/>
      <c r="AZM19" s="27"/>
      <c r="AZN19" s="27"/>
      <c r="AZO19" s="27"/>
      <c r="AZP19" s="27"/>
      <c r="AZQ19" s="27"/>
      <c r="AZR19" s="27"/>
      <c r="AZS19" s="27"/>
      <c r="AZT19" s="27"/>
      <c r="AZU19" s="27"/>
      <c r="AZV19" s="27"/>
      <c r="AZW19" s="27"/>
      <c r="AZX19" s="27"/>
      <c r="AZY19" s="27"/>
      <c r="AZZ19" s="27"/>
      <c r="BAA19" s="37"/>
      <c r="BAB19" s="26"/>
      <c r="BAC19" s="27"/>
      <c r="BAD19" s="27"/>
      <c r="BAE19" s="27"/>
      <c r="BAF19" s="27"/>
      <c r="BAG19" s="27"/>
      <c r="BAH19" s="27"/>
      <c r="BAI19" s="27"/>
      <c r="BAJ19" s="27"/>
      <c r="BAK19" s="27"/>
      <c r="BAL19" s="27"/>
      <c r="BAM19" s="27"/>
      <c r="BAN19" s="27"/>
      <c r="BAO19" s="27"/>
      <c r="BAP19" s="27"/>
      <c r="BAQ19" s="27"/>
      <c r="BAR19" s="27"/>
      <c r="BAS19" s="27"/>
      <c r="BAT19" s="27"/>
      <c r="BAU19" s="27"/>
      <c r="BAV19" s="27"/>
      <c r="BAW19" s="27"/>
      <c r="BAX19" s="27"/>
      <c r="BAY19" s="27"/>
      <c r="BAZ19" s="27"/>
      <c r="BBA19" s="27"/>
      <c r="BBB19" s="27"/>
      <c r="BBC19" s="27"/>
      <c r="BBD19" s="27"/>
      <c r="BBE19" s="27"/>
      <c r="BBF19" s="27"/>
      <c r="BBG19" s="27"/>
      <c r="BBH19" s="27"/>
      <c r="BBI19" s="27"/>
      <c r="BBJ19" s="27"/>
      <c r="BBK19" s="27"/>
      <c r="BBL19" s="27"/>
      <c r="BBM19" s="27"/>
      <c r="BBN19" s="27"/>
      <c r="BBO19" s="27"/>
      <c r="BBP19" s="27"/>
      <c r="BBQ19" s="27"/>
      <c r="BBR19" s="27"/>
      <c r="BBS19" s="27"/>
      <c r="BBT19" s="27"/>
      <c r="BBU19" s="27"/>
      <c r="BBV19" s="27"/>
      <c r="BBW19" s="27"/>
      <c r="BBX19" s="27"/>
      <c r="BBY19" s="27"/>
      <c r="BBZ19" s="27"/>
      <c r="BCA19" s="27"/>
      <c r="BCB19" s="27"/>
      <c r="BCC19" s="27"/>
      <c r="BCD19" s="27"/>
      <c r="BCE19" s="27"/>
      <c r="BCF19" s="27"/>
      <c r="BCG19" s="27"/>
      <c r="BCH19" s="27"/>
      <c r="BCI19" s="27"/>
      <c r="BCJ19" s="27"/>
      <c r="BCK19" s="27"/>
      <c r="BCL19" s="27"/>
      <c r="BCM19" s="27"/>
      <c r="BCN19" s="27"/>
      <c r="BCO19" s="27"/>
      <c r="BCP19" s="27"/>
      <c r="BCQ19" s="27"/>
      <c r="BCR19" s="27"/>
      <c r="BCS19" s="27"/>
      <c r="BCT19" s="27"/>
      <c r="BCU19" s="27"/>
      <c r="BCV19" s="27"/>
      <c r="BCW19" s="27"/>
      <c r="BCX19" s="27"/>
      <c r="BCY19" s="27"/>
      <c r="BCZ19" s="27"/>
      <c r="BDA19" s="27"/>
      <c r="BDB19" s="27"/>
      <c r="BDC19" s="27"/>
      <c r="BDD19" s="27"/>
      <c r="BDE19" s="27"/>
      <c r="BDF19" s="27"/>
      <c r="BDG19" s="27"/>
      <c r="BDH19" s="27"/>
      <c r="BDI19" s="27"/>
      <c r="BDJ19" s="27"/>
      <c r="BDK19" s="27"/>
      <c r="BDL19" s="27"/>
      <c r="BDM19" s="29"/>
      <c r="BDN19" s="29"/>
      <c r="BDO19" s="29"/>
      <c r="BDP19" s="29"/>
      <c r="BDQ19" s="37"/>
      <c r="BDR19" s="26"/>
      <c r="BDS19" s="27"/>
      <c r="BDT19" s="27"/>
      <c r="BDU19" s="27"/>
      <c r="BDV19" s="27"/>
      <c r="BDW19" s="27"/>
      <c r="BDX19" s="27"/>
      <c r="BDY19" s="27"/>
      <c r="BDZ19" s="27"/>
      <c r="BEA19" s="27"/>
      <c r="BEB19" s="27"/>
      <c r="BEC19" s="27"/>
      <c r="BED19" s="27"/>
      <c r="BEE19" s="27"/>
      <c r="BEF19" s="27"/>
      <c r="BEG19" s="27"/>
      <c r="BEH19" s="27"/>
      <c r="BEI19" s="27"/>
      <c r="BEJ19" s="27"/>
      <c r="BEK19" s="27"/>
      <c r="BEL19" s="27"/>
      <c r="BEM19" s="27"/>
      <c r="BEN19" s="27"/>
      <c r="BEO19" s="27"/>
      <c r="BEP19" s="27"/>
      <c r="BEQ19" s="27"/>
      <c r="BER19" s="27"/>
      <c r="BES19" s="27"/>
      <c r="BET19" s="27"/>
      <c r="BEU19" s="27"/>
      <c r="BEV19" s="27"/>
      <c r="BEW19" s="27"/>
      <c r="BEX19" s="27"/>
      <c r="BEY19" s="27"/>
      <c r="BEZ19" s="27"/>
      <c r="BFA19" s="27"/>
      <c r="BFB19" s="27"/>
      <c r="BFC19" s="27"/>
      <c r="BFD19" s="27"/>
      <c r="BFE19" s="27"/>
      <c r="BFF19" s="27"/>
      <c r="BFG19" s="27"/>
      <c r="BFH19" s="27"/>
      <c r="BFI19" s="27"/>
      <c r="BFJ19" s="27"/>
      <c r="BFK19" s="27"/>
      <c r="BFL19" s="27"/>
      <c r="BFM19" s="27"/>
      <c r="BFN19" s="27"/>
      <c r="BFO19" s="27"/>
      <c r="BFP19" s="27"/>
      <c r="BFQ19" s="27"/>
      <c r="BFR19" s="27"/>
      <c r="BFS19" s="27"/>
      <c r="BFT19" s="27"/>
      <c r="BFU19" s="27"/>
      <c r="BFV19" s="27"/>
      <c r="BFW19" s="27"/>
      <c r="BFX19" s="27"/>
      <c r="BFY19" s="27"/>
      <c r="BFZ19" s="27"/>
      <c r="BGA19" s="27"/>
      <c r="BGB19" s="27"/>
      <c r="BGC19" s="27"/>
      <c r="BGD19" s="27"/>
      <c r="BGE19" s="27"/>
      <c r="BGF19" s="27"/>
      <c r="BGG19" s="27"/>
      <c r="BGH19" s="27"/>
      <c r="BGI19" s="27"/>
      <c r="BGJ19" s="27"/>
      <c r="BGK19" s="27"/>
      <c r="BGL19" s="27"/>
      <c r="BGM19" s="27"/>
      <c r="BGN19" s="27"/>
      <c r="BGO19" s="27"/>
      <c r="BGP19" s="27"/>
      <c r="BGQ19" s="27"/>
      <c r="BGR19" s="27"/>
      <c r="BGS19" s="27"/>
      <c r="BGT19" s="27"/>
      <c r="BGU19" s="27"/>
      <c r="BGV19" s="27"/>
      <c r="BGW19" s="27"/>
      <c r="BGX19" s="27"/>
      <c r="BGY19" s="27"/>
      <c r="BGZ19" s="27"/>
      <c r="BHA19" s="27"/>
      <c r="BHB19" s="27"/>
      <c r="BHC19" s="29"/>
      <c r="BHD19" s="37"/>
    </row>
    <row r="20" spans="1:1564" ht="31.95" customHeight="1" x14ac:dyDescent="0.3">
      <c r="A20" s="22">
        <v>16</v>
      </c>
      <c r="B20" s="40" t="s">
        <v>298</v>
      </c>
      <c r="C20" s="40" t="s">
        <v>262</v>
      </c>
      <c r="D20" s="40" t="s">
        <v>263</v>
      </c>
      <c r="E20" s="37"/>
      <c r="F20" s="30"/>
      <c r="G20" s="23"/>
      <c r="H20" s="23"/>
      <c r="I20" s="30"/>
      <c r="J20" s="23"/>
      <c r="K20" s="23"/>
      <c r="L20" s="30"/>
      <c r="M20" s="23"/>
      <c r="N20" s="23"/>
      <c r="O20" s="30"/>
      <c r="P20" s="23"/>
      <c r="Q20" s="23"/>
      <c r="R20" s="30"/>
      <c r="S20" s="23"/>
      <c r="T20" s="23"/>
      <c r="U20" s="30"/>
      <c r="V20" s="23"/>
      <c r="W20" s="23"/>
      <c r="X20" s="30"/>
      <c r="Y20" s="23"/>
      <c r="Z20" s="23"/>
      <c r="AA20" s="30"/>
      <c r="AB20" s="23"/>
      <c r="AC20" s="23"/>
      <c r="AD20" s="30"/>
      <c r="AE20" s="23"/>
      <c r="AF20" s="23"/>
      <c r="AG20" s="30"/>
      <c r="AH20" s="23"/>
      <c r="AI20" s="23"/>
      <c r="AJ20" s="30"/>
      <c r="AK20" s="23"/>
      <c r="AL20" s="23"/>
      <c r="AM20" s="30"/>
      <c r="AN20" s="23"/>
      <c r="AO20" s="23"/>
      <c r="AP20" s="30"/>
      <c r="AQ20" s="23"/>
      <c r="AR20" s="23"/>
      <c r="AS20" s="30"/>
      <c r="AT20" s="23"/>
      <c r="AU20" s="23"/>
      <c r="AV20" s="30"/>
      <c r="AW20" s="23"/>
      <c r="AX20" s="23"/>
      <c r="AY20" s="30"/>
      <c r="AZ20" s="23"/>
      <c r="BA20" s="23"/>
      <c r="BB20" s="30"/>
      <c r="BC20" s="23"/>
      <c r="BD20" s="23"/>
      <c r="BE20" s="30"/>
      <c r="BF20" s="23"/>
      <c r="BG20" s="23"/>
      <c r="BH20" s="30"/>
      <c r="BI20" s="23"/>
      <c r="BJ20" s="23"/>
      <c r="BK20" s="30"/>
      <c r="BL20" s="23"/>
      <c r="BM20" s="23"/>
      <c r="BN20" s="30"/>
      <c r="BO20" s="23"/>
      <c r="BP20" s="24"/>
      <c r="BQ20" s="30"/>
      <c r="BR20" s="23"/>
      <c r="BS20" s="23"/>
      <c r="BT20" s="30"/>
      <c r="BU20" s="23"/>
      <c r="BV20" s="23"/>
      <c r="BW20" s="30"/>
      <c r="BX20" s="23"/>
      <c r="BY20" s="23"/>
      <c r="BZ20" s="30"/>
      <c r="CA20" s="23"/>
      <c r="CB20" s="23"/>
      <c r="CC20" s="30"/>
      <c r="CD20" s="23"/>
      <c r="CE20" s="23"/>
      <c r="CF20" s="30"/>
      <c r="CG20" s="23"/>
      <c r="CH20" s="23"/>
      <c r="CI20" s="30"/>
      <c r="CJ20" s="23"/>
      <c r="CK20" s="23"/>
      <c r="CL20" s="30"/>
      <c r="CM20" s="23"/>
      <c r="CN20" s="23"/>
      <c r="CO20" s="30"/>
      <c r="CP20" s="23"/>
      <c r="CQ20" s="23"/>
      <c r="CR20" s="30"/>
      <c r="CS20" s="23"/>
      <c r="CT20" s="25"/>
      <c r="CU20" s="37"/>
      <c r="CV20" s="26"/>
      <c r="CW20" s="27"/>
      <c r="CX20" s="27"/>
      <c r="CY20" s="27"/>
      <c r="CZ20" s="27"/>
      <c r="DA20" s="27"/>
      <c r="DB20" s="26"/>
      <c r="DC20" s="27"/>
      <c r="DD20" s="27"/>
      <c r="DE20" s="26"/>
      <c r="DF20" s="27"/>
      <c r="DG20" s="27"/>
      <c r="DH20" s="26"/>
      <c r="DI20" s="27"/>
      <c r="DJ20" s="27"/>
      <c r="DK20" s="26"/>
      <c r="DL20" s="27"/>
      <c r="DM20" s="27"/>
      <c r="DN20" s="26"/>
      <c r="DO20" s="27"/>
      <c r="DP20" s="27"/>
      <c r="DQ20" s="26"/>
      <c r="DR20" s="27"/>
      <c r="DS20" s="27"/>
      <c r="DT20" s="26"/>
      <c r="DU20" s="27"/>
      <c r="DV20" s="27"/>
      <c r="DW20" s="26"/>
      <c r="DX20" s="27"/>
      <c r="DY20" s="27"/>
      <c r="DZ20" s="26"/>
      <c r="EA20" s="27"/>
      <c r="EB20" s="27"/>
      <c r="EC20" s="26"/>
      <c r="ED20" s="27"/>
      <c r="EE20" s="27"/>
      <c r="EF20" s="26"/>
      <c r="EG20" s="27"/>
      <c r="EH20" s="27"/>
      <c r="EI20" s="26"/>
      <c r="EJ20" s="27"/>
      <c r="EK20" s="27"/>
      <c r="EL20" s="26"/>
      <c r="EM20" s="27"/>
      <c r="EN20" s="27"/>
      <c r="EO20" s="26"/>
      <c r="EP20" s="27"/>
      <c r="EQ20" s="27"/>
      <c r="ER20" s="26"/>
      <c r="ES20" s="27"/>
      <c r="ET20" s="27"/>
      <c r="EU20" s="26"/>
      <c r="EV20" s="27"/>
      <c r="EW20" s="27"/>
      <c r="EX20" s="26"/>
      <c r="EY20" s="27"/>
      <c r="EZ20" s="27"/>
      <c r="FA20" s="26"/>
      <c r="FB20" s="27"/>
      <c r="FC20" s="27"/>
      <c r="FD20" s="26"/>
      <c r="FE20" s="27"/>
      <c r="FF20" s="27"/>
      <c r="FG20" s="26"/>
      <c r="FH20" s="27"/>
      <c r="FI20" s="27"/>
      <c r="FJ20" s="26"/>
      <c r="FK20" s="27"/>
      <c r="FL20" s="27"/>
      <c r="FM20" s="26"/>
      <c r="FN20" s="27"/>
      <c r="FO20" s="27"/>
      <c r="FP20" s="26"/>
      <c r="FQ20" s="27"/>
      <c r="FR20" s="27"/>
      <c r="FS20" s="26"/>
      <c r="FT20" s="27"/>
      <c r="FU20" s="27"/>
      <c r="FV20" s="26"/>
      <c r="FW20" s="27"/>
      <c r="FX20" s="27"/>
      <c r="FY20" s="26"/>
      <c r="FZ20" s="27"/>
      <c r="GA20" s="27"/>
      <c r="GB20" s="26"/>
      <c r="GC20" s="27"/>
      <c r="GD20" s="27"/>
      <c r="GE20" s="26"/>
      <c r="GF20" s="27"/>
      <c r="GG20" s="27"/>
      <c r="GH20" s="26"/>
      <c r="GI20" s="27"/>
      <c r="GJ20" s="29"/>
      <c r="GK20" s="37"/>
      <c r="GL20" s="26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37"/>
      <c r="JS20" s="26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9"/>
      <c r="NH20" s="37"/>
      <c r="NI20" s="26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37"/>
      <c r="QV20" s="26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>
        <v>8</v>
      </c>
      <c r="TZ20" s="27">
        <v>45</v>
      </c>
      <c r="UA20" s="27" t="s">
        <v>276</v>
      </c>
      <c r="UB20" s="27"/>
      <c r="UC20" s="27"/>
      <c r="UD20" s="27"/>
      <c r="UE20" s="27"/>
      <c r="UF20" s="27"/>
      <c r="UG20" s="27"/>
      <c r="UH20" s="27"/>
      <c r="UI20" s="27"/>
      <c r="UJ20" s="29"/>
      <c r="UK20" s="37"/>
      <c r="UL20" s="26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3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9"/>
      <c r="ABN20" s="37"/>
      <c r="ABO20" s="26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9"/>
      <c r="AFD20" s="37"/>
      <c r="AFE20" s="26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37"/>
      <c r="AIR20" s="26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  <c r="AKL20" s="27"/>
      <c r="AKM20" s="27"/>
      <c r="AKN20" s="27"/>
      <c r="AKO20" s="27"/>
      <c r="AKP20" s="27"/>
      <c r="AKQ20" s="27"/>
      <c r="AKR20" s="27"/>
      <c r="AKS20" s="27"/>
      <c r="AKT20" s="27"/>
      <c r="AKU20" s="27"/>
      <c r="AKV20" s="27"/>
      <c r="AKW20" s="27"/>
      <c r="AKX20" s="27"/>
      <c r="AKY20" s="27"/>
      <c r="AKZ20" s="27"/>
      <c r="ALA20" s="27"/>
      <c r="ALB20" s="27"/>
      <c r="ALC20" s="27"/>
      <c r="ALD20" s="27"/>
      <c r="ALE20" s="27"/>
      <c r="ALF20" s="27"/>
      <c r="ALG20" s="27"/>
      <c r="ALH20" s="27"/>
      <c r="ALI20" s="27"/>
      <c r="ALJ20" s="27"/>
      <c r="ALK20" s="27"/>
      <c r="ALL20" s="27"/>
      <c r="ALM20" s="27"/>
      <c r="ALN20" s="27"/>
      <c r="ALO20" s="27"/>
      <c r="ALP20" s="27"/>
      <c r="ALQ20" s="27"/>
      <c r="ALR20" s="27"/>
      <c r="ALS20" s="27"/>
      <c r="ALT20" s="27"/>
      <c r="ALU20" s="27"/>
      <c r="ALV20" s="27"/>
      <c r="ALW20" s="27"/>
      <c r="ALX20" s="27"/>
      <c r="ALY20" s="27"/>
      <c r="ALZ20" s="27"/>
      <c r="AMA20" s="27"/>
      <c r="AMB20" s="27"/>
      <c r="AMC20" s="27"/>
      <c r="AMD20" s="27"/>
      <c r="AME20" s="27"/>
      <c r="AMF20" s="29"/>
      <c r="AMG20" s="37"/>
      <c r="AMH20" s="26"/>
      <c r="AMI20" s="27"/>
      <c r="AMJ20" s="27"/>
      <c r="AMK20" s="27"/>
      <c r="AML20" s="27"/>
      <c r="AMM20" s="27"/>
      <c r="AMN20" s="27"/>
      <c r="AMO20" s="27"/>
      <c r="AMP20" s="27"/>
      <c r="AMQ20" s="27"/>
      <c r="AMR20" s="27"/>
      <c r="AMS20" s="27"/>
      <c r="AMT20" s="27"/>
      <c r="AMU20" s="27"/>
      <c r="AMV20" s="27"/>
      <c r="AMW20" s="27"/>
      <c r="AMX20" s="27"/>
      <c r="AMY20" s="27"/>
      <c r="AMZ20" s="27"/>
      <c r="ANA20" s="27"/>
      <c r="ANB20" s="27"/>
      <c r="ANC20" s="27"/>
      <c r="AND20" s="27"/>
      <c r="ANE20" s="27"/>
      <c r="ANF20" s="27"/>
      <c r="ANG20" s="27"/>
      <c r="ANH20" s="27"/>
      <c r="ANI20" s="27"/>
      <c r="ANJ20" s="27"/>
      <c r="ANK20" s="27"/>
      <c r="ANL20" s="27"/>
      <c r="ANM20" s="27"/>
      <c r="ANN20" s="27"/>
      <c r="ANO20" s="27"/>
      <c r="ANP20" s="27"/>
      <c r="ANQ20" s="27"/>
      <c r="ANR20" s="27"/>
      <c r="ANS20" s="27"/>
      <c r="ANT20" s="27"/>
      <c r="ANU20" s="27"/>
      <c r="ANV20" s="27"/>
      <c r="ANW20" s="27"/>
      <c r="ANX20" s="27"/>
      <c r="ANY20" s="27"/>
      <c r="ANZ20" s="27"/>
      <c r="AOA20" s="27"/>
      <c r="AOB20" s="27"/>
      <c r="AOC20" s="27"/>
      <c r="AOD20" s="27"/>
      <c r="AOE20" s="27"/>
      <c r="AOF20" s="27"/>
      <c r="AOG20" s="27"/>
      <c r="AOH20" s="27"/>
      <c r="AOI20" s="27"/>
      <c r="AOJ20" s="27"/>
      <c r="AOK20" s="27"/>
      <c r="AOL20" s="27"/>
      <c r="AOM20" s="27"/>
      <c r="AON20" s="27"/>
      <c r="AOO20" s="27"/>
      <c r="AOP20" s="27"/>
      <c r="AOQ20" s="27"/>
      <c r="AOR20" s="27"/>
      <c r="AOS20" s="27"/>
      <c r="AOT20" s="27"/>
      <c r="AOU20" s="27"/>
      <c r="AOV20" s="27"/>
      <c r="AOW20" s="27"/>
      <c r="AOX20" s="27"/>
      <c r="AOY20" s="27"/>
      <c r="AOZ20" s="27"/>
      <c r="APA20" s="27"/>
      <c r="APB20" s="27"/>
      <c r="APC20" s="27"/>
      <c r="APD20" s="27"/>
      <c r="APE20" s="27"/>
      <c r="APF20" s="27"/>
      <c r="APG20" s="27"/>
      <c r="APH20" s="27"/>
      <c r="API20" s="27"/>
      <c r="APJ20" s="27"/>
      <c r="APK20" s="27"/>
      <c r="APL20" s="27"/>
      <c r="APM20" s="27"/>
      <c r="APN20" s="27"/>
      <c r="APO20" s="27"/>
      <c r="APP20" s="27"/>
      <c r="APQ20" s="27"/>
      <c r="APR20" s="27"/>
      <c r="APS20" s="29"/>
      <c r="APT20" s="37"/>
      <c r="APU20" s="26"/>
      <c r="APV20" s="27"/>
      <c r="APW20" s="27"/>
      <c r="APX20" s="27"/>
      <c r="APY20" s="27"/>
      <c r="APZ20" s="27"/>
      <c r="AQA20" s="27"/>
      <c r="AQB20" s="27"/>
      <c r="AQC20" s="27"/>
      <c r="AQD20" s="27"/>
      <c r="AQE20" s="27"/>
      <c r="AQF20" s="27"/>
      <c r="AQG20" s="27"/>
      <c r="AQH20" s="27"/>
      <c r="AQI20" s="27"/>
      <c r="AQJ20" s="27"/>
      <c r="AQK20" s="27"/>
      <c r="AQL20" s="27"/>
      <c r="AQM20" s="27"/>
      <c r="AQN20" s="27"/>
      <c r="AQO20" s="27"/>
      <c r="AQP20" s="27"/>
      <c r="AQQ20" s="27"/>
      <c r="AQR20" s="27"/>
      <c r="AQS20" s="27"/>
      <c r="AQT20" s="27"/>
      <c r="AQU20" s="27"/>
      <c r="AQV20" s="27"/>
      <c r="AQW20" s="27"/>
      <c r="AQX20" s="27"/>
      <c r="AQY20" s="27"/>
      <c r="AQZ20" s="27"/>
      <c r="ARA20" s="27"/>
      <c r="ARB20" s="27"/>
      <c r="ARC20" s="27"/>
      <c r="ARD20" s="27"/>
      <c r="ARE20" s="27"/>
      <c r="ARF20" s="27"/>
      <c r="ARG20" s="27"/>
      <c r="ARH20" s="27"/>
      <c r="ARI20" s="27"/>
      <c r="ARJ20" s="27"/>
      <c r="ARK20" s="27"/>
      <c r="ARL20" s="27"/>
      <c r="ARM20" s="27"/>
      <c r="ARN20" s="27"/>
      <c r="ARO20" s="27"/>
      <c r="ARP20" s="27"/>
      <c r="ARQ20" s="27"/>
      <c r="ARR20" s="27"/>
      <c r="ARS20" s="27"/>
      <c r="ART20" s="27"/>
      <c r="ARU20" s="27"/>
      <c r="ARV20" s="27"/>
      <c r="ARW20" s="27"/>
      <c r="ARX20" s="27"/>
      <c r="ARY20" s="27"/>
      <c r="ARZ20" s="27"/>
      <c r="ASA20" s="27"/>
      <c r="ASB20" s="27"/>
      <c r="ASC20" s="27"/>
      <c r="ASD20" s="27"/>
      <c r="ASE20" s="27"/>
      <c r="ASF20" s="27"/>
      <c r="ASG20" s="27"/>
      <c r="ASH20" s="27"/>
      <c r="ASI20" s="27"/>
      <c r="ASJ20" s="27"/>
      <c r="ASK20" s="27"/>
      <c r="ASL20" s="27"/>
      <c r="ASM20" s="27"/>
      <c r="ASN20" s="27"/>
      <c r="ASO20" s="27"/>
      <c r="ASP20" s="27"/>
      <c r="ASQ20" s="27"/>
      <c r="ASR20" s="27"/>
      <c r="ASS20" s="27"/>
      <c r="AST20" s="27"/>
      <c r="ASU20" s="27"/>
      <c r="ASV20" s="27"/>
      <c r="ASW20" s="27"/>
      <c r="ASX20" s="27"/>
      <c r="ASY20" s="27"/>
      <c r="ASZ20" s="27"/>
      <c r="ATA20" s="27"/>
      <c r="ATB20" s="27"/>
      <c r="ATC20" s="27"/>
      <c r="ATD20" s="27"/>
      <c r="ATE20" s="27"/>
      <c r="ATF20" s="29"/>
      <c r="ATG20" s="37"/>
      <c r="ATH20" s="26"/>
      <c r="ATI20" s="27"/>
      <c r="ATJ20" s="27"/>
      <c r="ATK20" s="27"/>
      <c r="ATL20" s="27"/>
      <c r="ATM20" s="27"/>
      <c r="ATN20" s="27"/>
      <c r="ATO20" s="27"/>
      <c r="ATP20" s="27"/>
      <c r="ATQ20" s="27"/>
      <c r="ATR20" s="27"/>
      <c r="ATS20" s="27"/>
      <c r="ATT20" s="27"/>
      <c r="ATU20" s="27"/>
      <c r="ATV20" s="27"/>
      <c r="ATW20" s="27"/>
      <c r="ATX20" s="27"/>
      <c r="ATY20" s="27"/>
      <c r="ATZ20" s="27"/>
      <c r="AUA20" s="27"/>
      <c r="AUB20" s="27"/>
      <c r="AUC20" s="27"/>
      <c r="AUD20" s="27"/>
      <c r="AUE20" s="27"/>
      <c r="AUF20" s="27"/>
      <c r="AUG20" s="27"/>
      <c r="AUH20" s="27"/>
      <c r="AUI20" s="27"/>
      <c r="AUJ20" s="27"/>
      <c r="AUK20" s="27"/>
      <c r="AUL20" s="27"/>
      <c r="AUM20" s="27"/>
      <c r="AUN20" s="27"/>
      <c r="AUO20" s="27"/>
      <c r="AUP20" s="27"/>
      <c r="AUQ20" s="27"/>
      <c r="AUR20" s="27"/>
      <c r="AUS20" s="27"/>
      <c r="AUT20" s="27"/>
      <c r="AUU20" s="27"/>
      <c r="AUV20" s="27"/>
      <c r="AUW20" s="27"/>
      <c r="AUX20" s="27"/>
      <c r="AUY20" s="27"/>
      <c r="AUZ20" s="27"/>
      <c r="AVA20" s="27"/>
      <c r="AVB20" s="27"/>
      <c r="AVC20" s="27"/>
      <c r="AVD20" s="27"/>
      <c r="AVE20" s="27"/>
      <c r="AVF20" s="27"/>
      <c r="AVG20" s="27"/>
      <c r="AVH20" s="27"/>
      <c r="AVI20" s="27"/>
      <c r="AVJ20" s="27"/>
      <c r="AVK20" s="27"/>
      <c r="AVL20" s="27"/>
      <c r="AVM20" s="27"/>
      <c r="AVN20" s="27"/>
      <c r="AVO20" s="27"/>
      <c r="AVP20" s="27"/>
      <c r="AVQ20" s="27"/>
      <c r="AVR20" s="27"/>
      <c r="AVS20" s="27"/>
      <c r="AVT20" s="27"/>
      <c r="AVU20" s="27"/>
      <c r="AVV20" s="27"/>
      <c r="AVW20" s="27"/>
      <c r="AVX20" s="27"/>
      <c r="AVY20" s="27"/>
      <c r="AVZ20" s="27"/>
      <c r="AWA20" s="27"/>
      <c r="AWB20" s="27"/>
      <c r="AWC20" s="27"/>
      <c r="AWD20" s="27"/>
      <c r="AWE20" s="27"/>
      <c r="AWF20" s="27"/>
      <c r="AWG20" s="27"/>
      <c r="AWH20" s="27"/>
      <c r="AWI20" s="27"/>
      <c r="AWJ20" s="27"/>
      <c r="AWK20" s="27"/>
      <c r="AWL20" s="27"/>
      <c r="AWM20" s="27"/>
      <c r="AWN20" s="27"/>
      <c r="AWO20" s="27"/>
      <c r="AWP20" s="27"/>
      <c r="AWQ20" s="27"/>
      <c r="AWR20" s="27"/>
      <c r="AWS20" s="29"/>
      <c r="AWT20" s="37"/>
      <c r="AWU20" s="26"/>
      <c r="AWV20" s="27"/>
      <c r="AWW20" s="27"/>
      <c r="AWX20" s="27"/>
      <c r="AWY20" s="27"/>
      <c r="AWZ20" s="27"/>
      <c r="AXA20" s="27"/>
      <c r="AXB20" s="27"/>
      <c r="AXC20" s="27"/>
      <c r="AXD20" s="27"/>
      <c r="AXE20" s="27"/>
      <c r="AXF20" s="27"/>
      <c r="AXG20" s="27"/>
      <c r="AXH20" s="27"/>
      <c r="AXI20" s="27"/>
      <c r="AXJ20" s="27"/>
      <c r="AXK20" s="27"/>
      <c r="AXL20" s="27"/>
      <c r="AXM20" s="27"/>
      <c r="AXN20" s="27"/>
      <c r="AXO20" s="27"/>
      <c r="AXP20" s="27"/>
      <c r="AXQ20" s="27"/>
      <c r="AXR20" s="27"/>
      <c r="AXS20" s="27"/>
      <c r="AXT20" s="27"/>
      <c r="AXU20" s="27"/>
      <c r="AXV20" s="27"/>
      <c r="AXW20" s="27"/>
      <c r="AXX20" s="27"/>
      <c r="AXY20" s="27"/>
      <c r="AXZ20" s="27"/>
      <c r="AYA20" s="27"/>
      <c r="AYB20" s="27"/>
      <c r="AYC20" s="27"/>
      <c r="AYD20" s="27"/>
      <c r="AYE20" s="27"/>
      <c r="AYF20" s="27"/>
      <c r="AYG20" s="27"/>
      <c r="AYH20" s="27"/>
      <c r="AYI20" s="27"/>
      <c r="AYJ20" s="27"/>
      <c r="AYK20" s="27"/>
      <c r="AYL20" s="27"/>
      <c r="AYM20" s="27"/>
      <c r="AYN20" s="27"/>
      <c r="AYO20" s="27"/>
      <c r="AYP20" s="27"/>
      <c r="AYQ20" s="27"/>
      <c r="AYR20" s="27"/>
      <c r="AYS20" s="27"/>
      <c r="AYT20" s="27"/>
      <c r="AYU20" s="27"/>
      <c r="AYV20" s="27"/>
      <c r="AYW20" s="27"/>
      <c r="AYX20" s="27"/>
      <c r="AYY20" s="27"/>
      <c r="AYZ20" s="27"/>
      <c r="AZA20" s="27"/>
      <c r="AZB20" s="27"/>
      <c r="AZC20" s="27"/>
      <c r="AZD20" s="27"/>
      <c r="AZE20" s="27"/>
      <c r="AZF20" s="27"/>
      <c r="AZG20" s="27"/>
      <c r="AZH20" s="27"/>
      <c r="AZI20" s="27"/>
      <c r="AZJ20" s="27"/>
      <c r="AZK20" s="27"/>
      <c r="AZL20" s="27"/>
      <c r="AZM20" s="27"/>
      <c r="AZN20" s="27"/>
      <c r="AZO20" s="27"/>
      <c r="AZP20" s="27"/>
      <c r="AZQ20" s="27"/>
      <c r="AZR20" s="27"/>
      <c r="AZS20" s="27"/>
      <c r="AZT20" s="27"/>
      <c r="AZU20" s="27"/>
      <c r="AZV20" s="27"/>
      <c r="AZW20" s="27"/>
      <c r="AZX20" s="27"/>
      <c r="AZY20" s="27"/>
      <c r="AZZ20" s="27"/>
      <c r="BAA20" s="37"/>
      <c r="BAB20" s="26"/>
      <c r="BAC20" s="27"/>
      <c r="BAD20" s="27"/>
      <c r="BAE20" s="27"/>
      <c r="BAF20" s="27"/>
      <c r="BAG20" s="27"/>
      <c r="BAH20" s="27"/>
      <c r="BAI20" s="27"/>
      <c r="BAJ20" s="27"/>
      <c r="BAK20" s="27"/>
      <c r="BAL20" s="27"/>
      <c r="BAM20" s="27"/>
      <c r="BAN20" s="27"/>
      <c r="BAO20" s="27"/>
      <c r="BAP20" s="27"/>
      <c r="BAQ20" s="27"/>
      <c r="BAR20" s="27"/>
      <c r="BAS20" s="27"/>
      <c r="BAT20" s="27"/>
      <c r="BAU20" s="27"/>
      <c r="BAV20" s="27"/>
      <c r="BAW20" s="27"/>
      <c r="BAX20" s="27"/>
      <c r="BAY20" s="27"/>
      <c r="BAZ20" s="27"/>
      <c r="BBA20" s="27"/>
      <c r="BBB20" s="27"/>
      <c r="BBC20" s="27"/>
      <c r="BBD20" s="27"/>
      <c r="BBE20" s="27"/>
      <c r="BBF20" s="27"/>
      <c r="BBG20" s="27"/>
      <c r="BBH20" s="27"/>
      <c r="BBI20" s="27"/>
      <c r="BBJ20" s="27"/>
      <c r="BBK20" s="27"/>
      <c r="BBL20" s="27"/>
      <c r="BBM20" s="27"/>
      <c r="BBN20" s="27"/>
      <c r="BBO20" s="27"/>
      <c r="BBP20" s="27"/>
      <c r="BBQ20" s="27"/>
      <c r="BBR20" s="27"/>
      <c r="BBS20" s="27"/>
      <c r="BBT20" s="27"/>
      <c r="BBU20" s="27"/>
      <c r="BBV20" s="27"/>
      <c r="BBW20" s="27"/>
      <c r="BBX20" s="27"/>
      <c r="BBY20" s="27"/>
      <c r="BBZ20" s="27"/>
      <c r="BCA20" s="27"/>
      <c r="BCB20" s="27"/>
      <c r="BCC20" s="27"/>
      <c r="BCD20" s="27"/>
      <c r="BCE20" s="27"/>
      <c r="BCF20" s="27"/>
      <c r="BCG20" s="27"/>
      <c r="BCH20" s="27"/>
      <c r="BCI20" s="27"/>
      <c r="BCJ20" s="27"/>
      <c r="BCK20" s="27"/>
      <c r="BCL20" s="27"/>
      <c r="BCM20" s="27"/>
      <c r="BCN20" s="27"/>
      <c r="BCO20" s="27"/>
      <c r="BCP20" s="27"/>
      <c r="BCQ20" s="27"/>
      <c r="BCR20" s="27"/>
      <c r="BCS20" s="27"/>
      <c r="BCT20" s="27"/>
      <c r="BCU20" s="27"/>
      <c r="BCV20" s="27"/>
      <c r="BCW20" s="27"/>
      <c r="BCX20" s="27"/>
      <c r="BCY20" s="27"/>
      <c r="BCZ20" s="27"/>
      <c r="BDA20" s="27"/>
      <c r="BDB20" s="27"/>
      <c r="BDC20" s="27"/>
      <c r="BDD20" s="27"/>
      <c r="BDE20" s="27"/>
      <c r="BDF20" s="27"/>
      <c r="BDG20" s="27"/>
      <c r="BDH20" s="27"/>
      <c r="BDI20" s="27"/>
      <c r="BDJ20" s="27"/>
      <c r="BDK20" s="27"/>
      <c r="BDL20" s="27"/>
      <c r="BDM20" s="29"/>
      <c r="BDN20" s="29"/>
      <c r="BDO20" s="29"/>
      <c r="BDP20" s="29"/>
      <c r="BDQ20" s="37"/>
      <c r="BDR20" s="26"/>
      <c r="BDS20" s="27"/>
      <c r="BDT20" s="27"/>
      <c r="BDU20" s="27"/>
      <c r="BDV20" s="27"/>
      <c r="BDW20" s="27"/>
      <c r="BDX20" s="27"/>
      <c r="BDY20" s="27"/>
      <c r="BDZ20" s="27"/>
      <c r="BEA20" s="27"/>
      <c r="BEB20" s="27"/>
      <c r="BEC20" s="27"/>
      <c r="BED20" s="27"/>
      <c r="BEE20" s="27"/>
      <c r="BEF20" s="27"/>
      <c r="BEG20" s="27"/>
      <c r="BEH20" s="27"/>
      <c r="BEI20" s="27"/>
      <c r="BEJ20" s="27"/>
      <c r="BEK20" s="27"/>
      <c r="BEL20" s="27"/>
      <c r="BEM20" s="27"/>
      <c r="BEN20" s="27"/>
      <c r="BEO20" s="27"/>
      <c r="BEP20" s="27"/>
      <c r="BEQ20" s="27"/>
      <c r="BER20" s="27"/>
      <c r="BES20" s="27"/>
      <c r="BET20" s="27"/>
      <c r="BEU20" s="27"/>
      <c r="BEV20" s="27"/>
      <c r="BEW20" s="27"/>
      <c r="BEX20" s="27"/>
      <c r="BEY20" s="27"/>
      <c r="BEZ20" s="27"/>
      <c r="BFA20" s="27"/>
      <c r="BFB20" s="27"/>
      <c r="BFC20" s="27"/>
      <c r="BFD20" s="27"/>
      <c r="BFE20" s="27"/>
      <c r="BFF20" s="27"/>
      <c r="BFG20" s="27"/>
      <c r="BFH20" s="27"/>
      <c r="BFI20" s="27"/>
      <c r="BFJ20" s="27"/>
      <c r="BFK20" s="27"/>
      <c r="BFL20" s="27"/>
      <c r="BFM20" s="27"/>
      <c r="BFN20" s="27"/>
      <c r="BFO20" s="27"/>
      <c r="BFP20" s="27"/>
      <c r="BFQ20" s="27"/>
      <c r="BFR20" s="27"/>
      <c r="BFS20" s="27"/>
      <c r="BFT20" s="27"/>
      <c r="BFU20" s="27"/>
      <c r="BFV20" s="27"/>
      <c r="BFW20" s="27"/>
      <c r="BFX20" s="27"/>
      <c r="BFY20" s="27"/>
      <c r="BFZ20" s="27"/>
      <c r="BGA20" s="27"/>
      <c r="BGB20" s="27"/>
      <c r="BGC20" s="27"/>
      <c r="BGD20" s="27"/>
      <c r="BGE20" s="27"/>
      <c r="BGF20" s="27"/>
      <c r="BGG20" s="27"/>
      <c r="BGH20" s="27"/>
      <c r="BGI20" s="27"/>
      <c r="BGJ20" s="27"/>
      <c r="BGK20" s="27"/>
      <c r="BGL20" s="27"/>
      <c r="BGM20" s="27"/>
      <c r="BGN20" s="27"/>
      <c r="BGO20" s="27"/>
      <c r="BGP20" s="27"/>
      <c r="BGQ20" s="27"/>
      <c r="BGR20" s="27"/>
      <c r="BGS20" s="27"/>
      <c r="BGT20" s="27"/>
      <c r="BGU20" s="27"/>
      <c r="BGV20" s="27"/>
      <c r="BGW20" s="27"/>
      <c r="BGX20" s="27"/>
      <c r="BGY20" s="27"/>
      <c r="BGZ20" s="27"/>
      <c r="BHA20" s="27"/>
      <c r="BHB20" s="27"/>
      <c r="BHC20" s="29"/>
      <c r="BHD20" s="37"/>
    </row>
    <row r="21" spans="1:1564" ht="31.95" customHeight="1" x14ac:dyDescent="0.3">
      <c r="A21" s="22">
        <v>17</v>
      </c>
      <c r="B21" s="40" t="s">
        <v>299</v>
      </c>
      <c r="C21" s="40" t="s">
        <v>264</v>
      </c>
      <c r="D21" s="40" t="s">
        <v>257</v>
      </c>
      <c r="E21" s="37"/>
      <c r="F21" s="30"/>
      <c r="G21" s="23"/>
      <c r="H21" s="23"/>
      <c r="I21" s="30"/>
      <c r="J21" s="23"/>
      <c r="K21" s="23"/>
      <c r="L21" s="30"/>
      <c r="M21" s="23"/>
      <c r="N21" s="23"/>
      <c r="O21" s="30"/>
      <c r="P21" s="23"/>
      <c r="Q21" s="23"/>
      <c r="R21" s="30"/>
      <c r="S21" s="23"/>
      <c r="T21" s="23"/>
      <c r="U21" s="30"/>
      <c r="V21" s="23"/>
      <c r="W21" s="23"/>
      <c r="X21" s="30"/>
      <c r="Y21" s="23"/>
      <c r="Z21" s="23"/>
      <c r="AA21" s="30"/>
      <c r="AB21" s="23"/>
      <c r="AC21" s="23"/>
      <c r="AD21" s="30"/>
      <c r="AE21" s="23"/>
      <c r="AF21" s="23"/>
      <c r="AG21" s="30"/>
      <c r="AH21" s="23"/>
      <c r="AI21" s="23"/>
      <c r="AJ21" s="30"/>
      <c r="AK21" s="23"/>
      <c r="AL21" s="23"/>
      <c r="AM21" s="30"/>
      <c r="AN21" s="23"/>
      <c r="AO21" s="23"/>
      <c r="AP21" s="30"/>
      <c r="AQ21" s="23"/>
      <c r="AR21" s="23"/>
      <c r="AS21" s="30"/>
      <c r="AT21" s="23"/>
      <c r="AU21" s="23"/>
      <c r="AV21" s="30"/>
      <c r="AW21" s="23"/>
      <c r="AX21" s="23"/>
      <c r="AY21" s="30"/>
      <c r="AZ21" s="23"/>
      <c r="BA21" s="23"/>
      <c r="BB21" s="30"/>
      <c r="BC21" s="23"/>
      <c r="BD21" s="23"/>
      <c r="BE21" s="30"/>
      <c r="BF21" s="23"/>
      <c r="BG21" s="23"/>
      <c r="BH21" s="30"/>
      <c r="BI21" s="23"/>
      <c r="BJ21" s="23"/>
      <c r="BK21" s="30"/>
      <c r="BL21" s="23"/>
      <c r="BM21" s="23"/>
      <c r="BN21" s="30"/>
      <c r="BO21" s="23"/>
      <c r="BP21" s="24"/>
      <c r="BQ21" s="30"/>
      <c r="BR21" s="23"/>
      <c r="BS21" s="23"/>
      <c r="BT21" s="30"/>
      <c r="BU21" s="23"/>
      <c r="BV21" s="23"/>
      <c r="BW21" s="30"/>
      <c r="BX21" s="23"/>
      <c r="BY21" s="23"/>
      <c r="BZ21" s="30"/>
      <c r="CA21" s="23"/>
      <c r="CB21" s="23"/>
      <c r="CC21" s="30"/>
      <c r="CD21" s="23"/>
      <c r="CE21" s="23"/>
      <c r="CF21" s="30"/>
      <c r="CG21" s="23"/>
      <c r="CH21" s="23"/>
      <c r="CI21" s="30"/>
      <c r="CJ21" s="23"/>
      <c r="CK21" s="23"/>
      <c r="CL21" s="30"/>
      <c r="CM21" s="23"/>
      <c r="CN21" s="23"/>
      <c r="CO21" s="30"/>
      <c r="CP21" s="23"/>
      <c r="CQ21" s="23"/>
      <c r="CR21" s="30"/>
      <c r="CS21" s="23"/>
      <c r="CT21" s="25"/>
      <c r="CU21" s="37"/>
      <c r="CV21" s="26"/>
      <c r="CW21" s="27"/>
      <c r="CX21" s="27"/>
      <c r="CY21" s="27"/>
      <c r="CZ21" s="27"/>
      <c r="DA21" s="27"/>
      <c r="DB21" s="26"/>
      <c r="DC21" s="27"/>
      <c r="DD21" s="27"/>
      <c r="DE21" s="26"/>
      <c r="DF21" s="27"/>
      <c r="DG21" s="27"/>
      <c r="DH21" s="26"/>
      <c r="DI21" s="27"/>
      <c r="DJ21" s="27"/>
      <c r="DK21" s="26"/>
      <c r="DL21" s="27"/>
      <c r="DM21" s="27"/>
      <c r="DN21" s="26"/>
      <c r="DO21" s="27"/>
      <c r="DP21" s="27"/>
      <c r="DQ21" s="26"/>
      <c r="DR21" s="27"/>
      <c r="DS21" s="27"/>
      <c r="DT21" s="26"/>
      <c r="DU21" s="27"/>
      <c r="DV21" s="27"/>
      <c r="DW21" s="26"/>
      <c r="DX21" s="27"/>
      <c r="DY21" s="27"/>
      <c r="DZ21" s="26"/>
      <c r="EA21" s="27"/>
      <c r="EB21" s="27"/>
      <c r="EC21" s="26"/>
      <c r="ED21" s="27"/>
      <c r="EE21" s="27"/>
      <c r="EF21" s="26"/>
      <c r="EG21" s="27"/>
      <c r="EH21" s="27"/>
      <c r="EI21" s="26"/>
      <c r="EJ21" s="27"/>
      <c r="EK21" s="27"/>
      <c r="EL21" s="26"/>
      <c r="EM21" s="27"/>
      <c r="EN21" s="27"/>
      <c r="EO21" s="26"/>
      <c r="EP21" s="27"/>
      <c r="EQ21" s="27"/>
      <c r="ER21" s="26"/>
      <c r="ES21" s="27"/>
      <c r="ET21" s="27"/>
      <c r="EU21" s="26"/>
      <c r="EV21" s="27"/>
      <c r="EW21" s="27"/>
      <c r="EX21" s="26"/>
      <c r="EY21" s="27"/>
      <c r="EZ21" s="27"/>
      <c r="FA21" s="26"/>
      <c r="FB21" s="27"/>
      <c r="FC21" s="27"/>
      <c r="FD21" s="26"/>
      <c r="FE21" s="27"/>
      <c r="FF21" s="27"/>
      <c r="FG21" s="26"/>
      <c r="FH21" s="27"/>
      <c r="FI21" s="27"/>
      <c r="FJ21" s="26"/>
      <c r="FK21" s="27"/>
      <c r="FL21" s="27"/>
      <c r="FM21" s="26"/>
      <c r="FN21" s="27"/>
      <c r="FO21" s="27"/>
      <c r="FP21" s="26"/>
      <c r="FQ21" s="27"/>
      <c r="FR21" s="27"/>
      <c r="FS21" s="26"/>
      <c r="FT21" s="27"/>
      <c r="FU21" s="27"/>
      <c r="FV21" s="26"/>
      <c r="FW21" s="27"/>
      <c r="FX21" s="27"/>
      <c r="FY21" s="26"/>
      <c r="FZ21" s="27"/>
      <c r="GA21" s="27"/>
      <c r="GB21" s="26"/>
      <c r="GC21" s="27"/>
      <c r="GD21" s="27"/>
      <c r="GE21" s="26"/>
      <c r="GF21" s="27"/>
      <c r="GG21" s="27"/>
      <c r="GH21" s="26"/>
      <c r="GI21" s="27"/>
      <c r="GJ21" s="29"/>
      <c r="GK21" s="37"/>
      <c r="GL21" s="26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37"/>
      <c r="JS21" s="26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9"/>
      <c r="NH21" s="37"/>
      <c r="NI21" s="26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37"/>
      <c r="QV21" s="26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9"/>
      <c r="UK21" s="37"/>
      <c r="UL21" s="26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  <c r="WC21" s="27"/>
      <c r="WD21" s="27"/>
      <c r="WE21" s="27"/>
      <c r="WF21" s="27"/>
      <c r="WG21" s="27"/>
      <c r="WH21" s="27"/>
      <c r="WI21" s="27"/>
      <c r="WJ21" s="27"/>
      <c r="WK21" s="27"/>
      <c r="WL21" s="27"/>
      <c r="WM21" s="27"/>
      <c r="WN21" s="27"/>
      <c r="WO21" s="27"/>
      <c r="WP21" s="27"/>
      <c r="WQ21" s="27"/>
      <c r="WR21" s="27"/>
      <c r="WS21" s="27"/>
      <c r="WT21" s="27"/>
      <c r="WU21" s="27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7"/>
      <c r="XN21" s="27"/>
      <c r="XO21" s="27"/>
      <c r="XP21" s="27"/>
      <c r="XQ21" s="27"/>
      <c r="XR21" s="27"/>
      <c r="XS21" s="27"/>
      <c r="XT21" s="27"/>
      <c r="XU21" s="27"/>
      <c r="XV21" s="27"/>
      <c r="XW21" s="27"/>
      <c r="XX21" s="37"/>
      <c r="XY21" s="27"/>
      <c r="XZ21" s="27"/>
      <c r="YA21" s="27"/>
      <c r="YB21" s="27"/>
      <c r="YC21" s="27"/>
      <c r="YD21" s="27"/>
      <c r="YE21" s="27"/>
      <c r="YF21" s="27"/>
      <c r="YG21" s="27"/>
      <c r="YH21" s="27"/>
      <c r="YI21" s="27"/>
      <c r="YJ21" s="27"/>
      <c r="YK21" s="27"/>
      <c r="YL21" s="27"/>
      <c r="YM21" s="27"/>
      <c r="YN21" s="27"/>
      <c r="YO21" s="27"/>
      <c r="YP21" s="27"/>
      <c r="YQ21" s="27"/>
      <c r="YR21" s="27"/>
      <c r="YS21" s="27"/>
      <c r="YT21" s="27"/>
      <c r="YU21" s="27"/>
      <c r="YV21" s="27"/>
      <c r="YW21" s="27"/>
      <c r="YX21" s="27"/>
      <c r="YY21" s="27"/>
      <c r="YZ21" s="27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7"/>
      <c r="ZN21" s="27"/>
      <c r="ZO21" s="27"/>
      <c r="ZP21" s="27"/>
      <c r="ZQ21" s="27"/>
      <c r="ZR21" s="27"/>
      <c r="ZS21" s="27"/>
      <c r="ZT21" s="27"/>
      <c r="ZU21" s="27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7"/>
      <c r="AAX21" s="27"/>
      <c r="AAY21" s="27"/>
      <c r="AAZ21" s="27"/>
      <c r="ABA21" s="27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9"/>
      <c r="ABN21" s="37"/>
      <c r="ABO21" s="26"/>
      <c r="ABP21" s="27"/>
      <c r="ABQ21" s="27"/>
      <c r="ABR21" s="27"/>
      <c r="ABS21" s="27"/>
      <c r="ABT21" s="27"/>
      <c r="ABU21" s="27"/>
      <c r="ABV21" s="27"/>
      <c r="ABW21" s="27"/>
      <c r="ABX21" s="27"/>
      <c r="ABY21" s="27"/>
      <c r="ABZ21" s="27"/>
      <c r="ACA21" s="27"/>
      <c r="ACB21" s="27"/>
      <c r="ACC21" s="27"/>
      <c r="ACD21" s="27"/>
      <c r="ACE21" s="27"/>
      <c r="ACF21" s="27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7"/>
      <c r="ACZ21" s="27"/>
      <c r="ADA21" s="27"/>
      <c r="ADB21" s="27"/>
      <c r="ADC21" s="27"/>
      <c r="ADD21" s="27"/>
      <c r="ADE21" s="27"/>
      <c r="ADF21" s="27"/>
      <c r="ADG21" s="27"/>
      <c r="ADH21" s="27"/>
      <c r="ADI21" s="27"/>
      <c r="ADJ21" s="27"/>
      <c r="ADK21" s="27"/>
      <c r="ADL21" s="27"/>
      <c r="ADM21" s="27"/>
      <c r="ADN21" s="27"/>
      <c r="ADO21" s="27"/>
      <c r="ADP21" s="27"/>
      <c r="ADQ21" s="27"/>
      <c r="ADR21" s="27"/>
      <c r="ADS21" s="27"/>
      <c r="ADT21" s="27"/>
      <c r="ADU21" s="27"/>
      <c r="ADV21" s="27"/>
      <c r="ADW21" s="27"/>
      <c r="ADX21" s="27"/>
      <c r="ADY21" s="27"/>
      <c r="ADZ21" s="27"/>
      <c r="AEA21" s="27"/>
      <c r="AEB21" s="27"/>
      <c r="AEC21" s="27"/>
      <c r="AED21" s="27"/>
      <c r="AEE21" s="27"/>
      <c r="AEF21" s="27"/>
      <c r="AEG21" s="27"/>
      <c r="AEH21" s="27"/>
      <c r="AEI21" s="27"/>
      <c r="AEJ21" s="27"/>
      <c r="AEK21" s="27"/>
      <c r="AEL21" s="27"/>
      <c r="AEM21" s="27"/>
      <c r="AEN21" s="27"/>
      <c r="AEO21" s="27"/>
      <c r="AEP21" s="27"/>
      <c r="AEQ21" s="27"/>
      <c r="AER21" s="27"/>
      <c r="AES21" s="27"/>
      <c r="AET21" s="27"/>
      <c r="AEU21" s="27"/>
      <c r="AEV21" s="27"/>
      <c r="AEW21" s="27"/>
      <c r="AEX21" s="27"/>
      <c r="AEY21" s="27"/>
      <c r="AEZ21" s="27"/>
      <c r="AFA21" s="27"/>
      <c r="AFB21" s="27"/>
      <c r="AFC21" s="29"/>
      <c r="AFD21" s="37"/>
      <c r="AFE21" s="26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7"/>
      <c r="AFR21" s="27"/>
      <c r="AFS21" s="27"/>
      <c r="AFT21" s="27"/>
      <c r="AFU21" s="27"/>
      <c r="AFV21" s="27"/>
      <c r="AFW21" s="27"/>
      <c r="AFX21" s="27"/>
      <c r="AFY21" s="27"/>
      <c r="AFZ21" s="27"/>
      <c r="AGA21" s="27"/>
      <c r="AGB21" s="27"/>
      <c r="AGC21" s="27"/>
      <c r="AGD21" s="27"/>
      <c r="AGE21" s="27"/>
      <c r="AGF21" s="27"/>
      <c r="AGG21" s="27"/>
      <c r="AGH21" s="27"/>
      <c r="AGI21" s="27"/>
      <c r="AGJ21" s="27"/>
      <c r="AGK21" s="27"/>
      <c r="AGL21" s="27"/>
      <c r="AGM21" s="27"/>
      <c r="AGN21" s="27"/>
      <c r="AGO21" s="27"/>
      <c r="AGP21" s="27"/>
      <c r="AGQ21" s="27"/>
      <c r="AGR21" s="27"/>
      <c r="AGS21" s="27"/>
      <c r="AGT21" s="27"/>
      <c r="AGU21" s="27"/>
      <c r="AGV21" s="27"/>
      <c r="AGW21" s="27"/>
      <c r="AGX21" s="27"/>
      <c r="AGY21" s="27"/>
      <c r="AGZ21" s="27"/>
      <c r="AHA21" s="27"/>
      <c r="AHB21" s="27"/>
      <c r="AHC21" s="27"/>
      <c r="AHD21" s="27"/>
      <c r="AHE21" s="27"/>
      <c r="AHF21" s="27"/>
      <c r="AHG21" s="27"/>
      <c r="AHH21" s="27"/>
      <c r="AHI21" s="27"/>
      <c r="AHJ21" s="27"/>
      <c r="AHK21" s="27"/>
      <c r="AHL21" s="27"/>
      <c r="AHM21" s="27"/>
      <c r="AHN21" s="27"/>
      <c r="AHO21" s="27"/>
      <c r="AHP21" s="27"/>
      <c r="AHQ21" s="27"/>
      <c r="AHR21" s="27"/>
      <c r="AHS21" s="27"/>
      <c r="AHT21" s="27"/>
      <c r="AHU21" s="27"/>
      <c r="AHV21" s="27"/>
      <c r="AHW21" s="27"/>
      <c r="AHX21" s="27"/>
      <c r="AHY21" s="27"/>
      <c r="AHZ21" s="27"/>
      <c r="AIA21" s="27"/>
      <c r="AIB21" s="27"/>
      <c r="AIC21" s="27"/>
      <c r="AID21" s="27"/>
      <c r="AIE21" s="27"/>
      <c r="AIF21" s="27"/>
      <c r="AIG21" s="27"/>
      <c r="AIH21" s="27"/>
      <c r="AII21" s="27"/>
      <c r="AIJ21" s="27"/>
      <c r="AIK21" s="27"/>
      <c r="AIL21" s="27"/>
      <c r="AIM21" s="27"/>
      <c r="AIN21" s="27"/>
      <c r="AIO21" s="27"/>
      <c r="AIP21" s="27"/>
      <c r="AIQ21" s="37"/>
      <c r="AIR21" s="26"/>
      <c r="AIS21" s="27"/>
      <c r="AIT21" s="27"/>
      <c r="AIU21" s="27"/>
      <c r="AIV21" s="27"/>
      <c r="AIW21" s="27"/>
      <c r="AIX21" s="27"/>
      <c r="AIY21" s="27"/>
      <c r="AIZ21" s="27"/>
      <c r="AJA21" s="27"/>
      <c r="AJB21" s="27"/>
      <c r="AJC21" s="27"/>
      <c r="AJD21" s="27"/>
      <c r="AJE21" s="27"/>
      <c r="AJF21" s="27"/>
      <c r="AJG21" s="27"/>
      <c r="AJH21" s="27"/>
      <c r="AJI21" s="27"/>
      <c r="AJJ21" s="27"/>
      <c r="AJK21" s="27"/>
      <c r="AJL21" s="27"/>
      <c r="AJM21" s="27"/>
      <c r="AJN21" s="27"/>
      <c r="AJO21" s="27"/>
      <c r="AJP21" s="27"/>
      <c r="AJQ21" s="27"/>
      <c r="AJR21" s="27"/>
      <c r="AJS21" s="27"/>
      <c r="AJT21" s="27"/>
      <c r="AJU21" s="27"/>
      <c r="AJV21" s="27"/>
      <c r="AJW21" s="27"/>
      <c r="AJX21" s="27"/>
      <c r="AJY21" s="27"/>
      <c r="AJZ21" s="27"/>
      <c r="AKA21" s="27"/>
      <c r="AKB21" s="27"/>
      <c r="AKC21" s="27"/>
      <c r="AKD21" s="27"/>
      <c r="AKE21" s="27"/>
      <c r="AKF21" s="27"/>
      <c r="AKG21" s="27"/>
      <c r="AKH21" s="27"/>
      <c r="AKI21" s="27"/>
      <c r="AKJ21" s="27"/>
      <c r="AKK21" s="27"/>
      <c r="AKL21" s="27"/>
      <c r="AKM21" s="27"/>
      <c r="AKN21" s="27"/>
      <c r="AKO21" s="27"/>
      <c r="AKP21" s="27"/>
      <c r="AKQ21" s="27"/>
      <c r="AKR21" s="27"/>
      <c r="AKS21" s="27"/>
      <c r="AKT21" s="27"/>
      <c r="AKU21" s="27"/>
      <c r="AKV21" s="27"/>
      <c r="AKW21" s="27"/>
      <c r="AKX21" s="27"/>
      <c r="AKY21" s="27"/>
      <c r="AKZ21" s="27"/>
      <c r="ALA21" s="27"/>
      <c r="ALB21" s="27"/>
      <c r="ALC21" s="27"/>
      <c r="ALD21" s="27"/>
      <c r="ALE21" s="27"/>
      <c r="ALF21" s="27"/>
      <c r="ALG21" s="27"/>
      <c r="ALH21" s="27"/>
      <c r="ALI21" s="27"/>
      <c r="ALJ21" s="27"/>
      <c r="ALK21" s="27"/>
      <c r="ALL21" s="27"/>
      <c r="ALM21" s="27"/>
      <c r="ALN21" s="27"/>
      <c r="ALO21" s="27"/>
      <c r="ALP21" s="27"/>
      <c r="ALQ21" s="27"/>
      <c r="ALR21" s="27"/>
      <c r="ALS21" s="27"/>
      <c r="ALT21" s="27"/>
      <c r="ALU21" s="27"/>
      <c r="ALV21" s="27"/>
      <c r="ALW21" s="27"/>
      <c r="ALX21" s="27"/>
      <c r="ALY21" s="27"/>
      <c r="ALZ21" s="27"/>
      <c r="AMA21" s="27"/>
      <c r="AMB21" s="27"/>
      <c r="AMC21" s="27"/>
      <c r="AMD21" s="27"/>
      <c r="AME21" s="27"/>
      <c r="AMF21" s="29"/>
      <c r="AMG21" s="37"/>
      <c r="AMH21" s="26"/>
      <c r="AMI21" s="27"/>
      <c r="AMJ21" s="27"/>
      <c r="AMK21" s="27"/>
      <c r="AML21" s="27"/>
      <c r="AMM21" s="27"/>
      <c r="AMN21" s="27"/>
      <c r="AMO21" s="27"/>
      <c r="AMP21" s="27"/>
      <c r="AMQ21" s="27"/>
      <c r="AMR21" s="27"/>
      <c r="AMS21" s="27"/>
      <c r="AMT21" s="27"/>
      <c r="AMU21" s="27"/>
      <c r="AMV21" s="27"/>
      <c r="AMW21" s="27"/>
      <c r="AMX21" s="27"/>
      <c r="AMY21" s="27"/>
      <c r="AMZ21" s="27"/>
      <c r="ANA21" s="27"/>
      <c r="ANB21" s="27"/>
      <c r="ANC21" s="27"/>
      <c r="AND21" s="27"/>
      <c r="ANE21" s="27"/>
      <c r="ANF21" s="27"/>
      <c r="ANG21" s="27"/>
      <c r="ANH21" s="27"/>
      <c r="ANI21" s="27"/>
      <c r="ANJ21" s="27"/>
      <c r="ANK21" s="27"/>
      <c r="ANL21" s="27"/>
      <c r="ANM21" s="27"/>
      <c r="ANN21" s="27"/>
      <c r="ANO21" s="27"/>
      <c r="ANP21" s="27"/>
      <c r="ANQ21" s="27"/>
      <c r="ANR21" s="27"/>
      <c r="ANS21" s="27"/>
      <c r="ANT21" s="27"/>
      <c r="ANU21" s="27"/>
      <c r="ANV21" s="27"/>
      <c r="ANW21" s="27"/>
      <c r="ANX21" s="27"/>
      <c r="ANY21" s="27"/>
      <c r="ANZ21" s="27"/>
      <c r="AOA21" s="27"/>
      <c r="AOB21" s="27"/>
      <c r="AOC21" s="27"/>
      <c r="AOD21" s="27"/>
      <c r="AOE21" s="27"/>
      <c r="AOF21" s="27"/>
      <c r="AOG21" s="27"/>
      <c r="AOH21" s="27"/>
      <c r="AOI21" s="27"/>
      <c r="AOJ21" s="27"/>
      <c r="AOK21" s="27"/>
      <c r="AOL21" s="27"/>
      <c r="AOM21" s="27"/>
      <c r="AON21" s="27"/>
      <c r="AOO21" s="27"/>
      <c r="AOP21" s="27"/>
      <c r="AOQ21" s="27"/>
      <c r="AOR21" s="27"/>
      <c r="AOS21" s="27"/>
      <c r="AOT21" s="27"/>
      <c r="AOU21" s="27"/>
      <c r="AOV21" s="27"/>
      <c r="AOW21" s="27"/>
      <c r="AOX21" s="27"/>
      <c r="AOY21" s="27"/>
      <c r="AOZ21" s="27"/>
      <c r="APA21" s="27"/>
      <c r="APB21" s="27"/>
      <c r="APC21" s="27"/>
      <c r="APD21" s="27"/>
      <c r="APE21" s="27"/>
      <c r="APF21" s="27"/>
      <c r="APG21" s="27"/>
      <c r="APH21" s="27"/>
      <c r="API21" s="27"/>
      <c r="APJ21" s="27"/>
      <c r="APK21" s="27"/>
      <c r="APL21" s="27"/>
      <c r="APM21" s="27"/>
      <c r="APN21" s="27"/>
      <c r="APO21" s="27"/>
      <c r="APP21" s="27"/>
      <c r="APQ21" s="27"/>
      <c r="APR21" s="27"/>
      <c r="APS21" s="29"/>
      <c r="APT21" s="37"/>
      <c r="APU21" s="26"/>
      <c r="APV21" s="27"/>
      <c r="APW21" s="27"/>
      <c r="APX21" s="27"/>
      <c r="APY21" s="27"/>
      <c r="APZ21" s="27"/>
      <c r="AQA21" s="27"/>
      <c r="AQB21" s="27"/>
      <c r="AQC21" s="27"/>
      <c r="AQD21" s="27"/>
      <c r="AQE21" s="27"/>
      <c r="AQF21" s="27"/>
      <c r="AQG21" s="27"/>
      <c r="AQH21" s="27"/>
      <c r="AQI21" s="27"/>
      <c r="AQJ21" s="27"/>
      <c r="AQK21" s="27"/>
      <c r="AQL21" s="27"/>
      <c r="AQM21" s="27"/>
      <c r="AQN21" s="27"/>
      <c r="AQO21" s="27"/>
      <c r="AQP21" s="27"/>
      <c r="AQQ21" s="27"/>
      <c r="AQR21" s="27"/>
      <c r="AQS21" s="27"/>
      <c r="AQT21" s="27"/>
      <c r="AQU21" s="27"/>
      <c r="AQV21" s="27"/>
      <c r="AQW21" s="27"/>
      <c r="AQX21" s="27"/>
      <c r="AQY21" s="27"/>
      <c r="AQZ21" s="27"/>
      <c r="ARA21" s="27"/>
      <c r="ARB21" s="27"/>
      <c r="ARC21" s="27"/>
      <c r="ARD21" s="27"/>
      <c r="ARE21" s="27"/>
      <c r="ARF21" s="27"/>
      <c r="ARG21" s="27"/>
      <c r="ARH21" s="27"/>
      <c r="ARI21" s="27"/>
      <c r="ARJ21" s="27"/>
      <c r="ARK21" s="27"/>
      <c r="ARL21" s="27"/>
      <c r="ARM21" s="27"/>
      <c r="ARN21" s="27"/>
      <c r="ARO21" s="27"/>
      <c r="ARP21" s="27"/>
      <c r="ARQ21" s="27"/>
      <c r="ARR21" s="27"/>
      <c r="ARS21" s="27"/>
      <c r="ART21" s="27"/>
      <c r="ARU21" s="27"/>
      <c r="ARV21" s="27"/>
      <c r="ARW21" s="27"/>
      <c r="ARX21" s="27"/>
      <c r="ARY21" s="27"/>
      <c r="ARZ21" s="27"/>
      <c r="ASA21" s="27"/>
      <c r="ASB21" s="27"/>
      <c r="ASC21" s="27"/>
      <c r="ASD21" s="27"/>
      <c r="ASE21" s="27"/>
      <c r="ASF21" s="27"/>
      <c r="ASG21" s="27"/>
      <c r="ASH21" s="27"/>
      <c r="ASI21" s="27"/>
      <c r="ASJ21" s="27"/>
      <c r="ASK21" s="27"/>
      <c r="ASL21" s="27"/>
      <c r="ASM21" s="27"/>
      <c r="ASN21" s="27"/>
      <c r="ASO21" s="27"/>
      <c r="ASP21" s="27"/>
      <c r="ASQ21" s="27"/>
      <c r="ASR21" s="27"/>
      <c r="ASS21" s="27"/>
      <c r="AST21" s="27"/>
      <c r="ASU21" s="27"/>
      <c r="ASV21" s="27"/>
      <c r="ASW21" s="27"/>
      <c r="ASX21" s="27"/>
      <c r="ASY21" s="27"/>
      <c r="ASZ21" s="27"/>
      <c r="ATA21" s="27"/>
      <c r="ATB21" s="27"/>
      <c r="ATC21" s="27"/>
      <c r="ATD21" s="27"/>
      <c r="ATE21" s="27"/>
      <c r="ATF21" s="29"/>
      <c r="ATG21" s="37"/>
      <c r="ATH21" s="26"/>
      <c r="ATI21" s="27"/>
      <c r="ATJ21" s="27"/>
      <c r="ATK21" s="27"/>
      <c r="ATL21" s="27"/>
      <c r="ATM21" s="27"/>
      <c r="ATN21" s="27"/>
      <c r="ATO21" s="27"/>
      <c r="ATP21" s="27"/>
      <c r="ATQ21" s="27"/>
      <c r="ATR21" s="27"/>
      <c r="ATS21" s="27"/>
      <c r="ATT21" s="27"/>
      <c r="ATU21" s="27"/>
      <c r="ATV21" s="27"/>
      <c r="ATW21" s="27"/>
      <c r="ATX21" s="27"/>
      <c r="ATY21" s="27"/>
      <c r="ATZ21" s="27"/>
      <c r="AUA21" s="27"/>
      <c r="AUB21" s="27"/>
      <c r="AUC21" s="27"/>
      <c r="AUD21" s="27"/>
      <c r="AUE21" s="27"/>
      <c r="AUF21" s="27"/>
      <c r="AUG21" s="27"/>
      <c r="AUH21" s="27"/>
      <c r="AUI21" s="27"/>
      <c r="AUJ21" s="27"/>
      <c r="AUK21" s="27"/>
      <c r="AUL21" s="27"/>
      <c r="AUM21" s="27"/>
      <c r="AUN21" s="27"/>
      <c r="AUO21" s="27"/>
      <c r="AUP21" s="27"/>
      <c r="AUQ21" s="27"/>
      <c r="AUR21" s="27"/>
      <c r="AUS21" s="27"/>
      <c r="AUT21" s="27"/>
      <c r="AUU21" s="27"/>
      <c r="AUV21" s="27"/>
      <c r="AUW21" s="27"/>
      <c r="AUX21" s="27"/>
      <c r="AUY21" s="27"/>
      <c r="AUZ21" s="27"/>
      <c r="AVA21" s="27"/>
      <c r="AVB21" s="27"/>
      <c r="AVC21" s="27"/>
      <c r="AVD21" s="27"/>
      <c r="AVE21" s="27"/>
      <c r="AVF21" s="27"/>
      <c r="AVG21" s="27"/>
      <c r="AVH21" s="27"/>
      <c r="AVI21" s="27"/>
      <c r="AVJ21" s="27"/>
      <c r="AVK21" s="27"/>
      <c r="AVL21" s="27"/>
      <c r="AVM21" s="27"/>
      <c r="AVN21" s="27"/>
      <c r="AVO21" s="27"/>
      <c r="AVP21" s="27"/>
      <c r="AVQ21" s="27"/>
      <c r="AVR21" s="27"/>
      <c r="AVS21" s="27"/>
      <c r="AVT21" s="27"/>
      <c r="AVU21" s="27"/>
      <c r="AVV21" s="27"/>
      <c r="AVW21" s="27"/>
      <c r="AVX21" s="27"/>
      <c r="AVY21" s="27"/>
      <c r="AVZ21" s="27"/>
      <c r="AWA21" s="27"/>
      <c r="AWB21" s="27"/>
      <c r="AWC21" s="27"/>
      <c r="AWD21" s="27"/>
      <c r="AWE21" s="27"/>
      <c r="AWF21" s="27"/>
      <c r="AWG21" s="27"/>
      <c r="AWH21" s="27"/>
      <c r="AWI21" s="27"/>
      <c r="AWJ21" s="27"/>
      <c r="AWK21" s="27"/>
      <c r="AWL21" s="27"/>
      <c r="AWM21" s="27"/>
      <c r="AWN21" s="27"/>
      <c r="AWO21" s="27"/>
      <c r="AWP21" s="27"/>
      <c r="AWQ21" s="27"/>
      <c r="AWR21" s="27"/>
      <c r="AWS21" s="29"/>
      <c r="AWT21" s="37"/>
      <c r="AWU21" s="26"/>
      <c r="AWV21" s="27"/>
      <c r="AWW21" s="27"/>
      <c r="AWX21" s="27"/>
      <c r="AWY21" s="27"/>
      <c r="AWZ21" s="27"/>
      <c r="AXA21" s="27"/>
      <c r="AXB21" s="27"/>
      <c r="AXC21" s="27"/>
      <c r="AXD21" s="27"/>
      <c r="AXE21" s="27"/>
      <c r="AXF21" s="27"/>
      <c r="AXG21" s="27"/>
      <c r="AXH21" s="27"/>
      <c r="AXI21" s="27"/>
      <c r="AXJ21" s="27"/>
      <c r="AXK21" s="27"/>
      <c r="AXL21" s="27"/>
      <c r="AXM21" s="27"/>
      <c r="AXN21" s="27"/>
      <c r="AXO21" s="27"/>
      <c r="AXP21" s="27"/>
      <c r="AXQ21" s="27"/>
      <c r="AXR21" s="27"/>
      <c r="AXS21" s="27"/>
      <c r="AXT21" s="27"/>
      <c r="AXU21" s="27"/>
      <c r="AXV21" s="27"/>
      <c r="AXW21" s="27"/>
      <c r="AXX21" s="27"/>
      <c r="AXY21" s="27"/>
      <c r="AXZ21" s="27"/>
      <c r="AYA21" s="27"/>
      <c r="AYB21" s="27"/>
      <c r="AYC21" s="27"/>
      <c r="AYD21" s="27"/>
      <c r="AYE21" s="27"/>
      <c r="AYF21" s="27"/>
      <c r="AYG21" s="27"/>
      <c r="AYH21" s="27"/>
      <c r="AYI21" s="27"/>
      <c r="AYJ21" s="27"/>
      <c r="AYK21" s="27"/>
      <c r="AYL21" s="27"/>
      <c r="AYM21" s="27"/>
      <c r="AYN21" s="27"/>
      <c r="AYO21" s="27"/>
      <c r="AYP21" s="27"/>
      <c r="AYQ21" s="27"/>
      <c r="AYR21" s="27"/>
      <c r="AYS21" s="27"/>
      <c r="AYT21" s="27"/>
      <c r="AYU21" s="27"/>
      <c r="AYV21" s="27"/>
      <c r="AYW21" s="27"/>
      <c r="AYX21" s="27"/>
      <c r="AYY21" s="27"/>
      <c r="AYZ21" s="27"/>
      <c r="AZA21" s="27"/>
      <c r="AZB21" s="27"/>
      <c r="AZC21" s="27"/>
      <c r="AZD21" s="27"/>
      <c r="AZE21" s="27"/>
      <c r="AZF21" s="27"/>
      <c r="AZG21" s="27"/>
      <c r="AZH21" s="27"/>
      <c r="AZI21" s="27"/>
      <c r="AZJ21" s="27"/>
      <c r="AZK21" s="27"/>
      <c r="AZL21" s="27"/>
      <c r="AZM21" s="27"/>
      <c r="AZN21" s="27"/>
      <c r="AZO21" s="27"/>
      <c r="AZP21" s="27"/>
      <c r="AZQ21" s="27"/>
      <c r="AZR21" s="27"/>
      <c r="AZS21" s="27"/>
      <c r="AZT21" s="27"/>
      <c r="AZU21" s="27"/>
      <c r="AZV21" s="27"/>
      <c r="AZW21" s="27"/>
      <c r="AZX21" s="27"/>
      <c r="AZY21" s="27"/>
      <c r="AZZ21" s="27"/>
      <c r="BAA21" s="37"/>
      <c r="BAB21" s="26"/>
      <c r="BAC21" s="27"/>
      <c r="BAD21" s="27"/>
      <c r="BAE21" s="27"/>
      <c r="BAF21" s="27"/>
      <c r="BAG21" s="27"/>
      <c r="BAH21" s="27"/>
      <c r="BAI21" s="27"/>
      <c r="BAJ21" s="27"/>
      <c r="BAK21" s="27"/>
      <c r="BAL21" s="27"/>
      <c r="BAM21" s="27"/>
      <c r="BAN21" s="27"/>
      <c r="BAO21" s="27"/>
      <c r="BAP21" s="27"/>
      <c r="BAQ21" s="27"/>
      <c r="BAR21" s="27"/>
      <c r="BAS21" s="27"/>
      <c r="BAT21" s="27"/>
      <c r="BAU21" s="27"/>
      <c r="BAV21" s="27"/>
      <c r="BAW21" s="27"/>
      <c r="BAX21" s="27"/>
      <c r="BAY21" s="27"/>
      <c r="BAZ21" s="27"/>
      <c r="BBA21" s="27"/>
      <c r="BBB21" s="27"/>
      <c r="BBC21" s="27"/>
      <c r="BBD21" s="27"/>
      <c r="BBE21" s="27"/>
      <c r="BBF21" s="27"/>
      <c r="BBG21" s="27"/>
      <c r="BBH21" s="27"/>
      <c r="BBI21" s="27"/>
      <c r="BBJ21" s="27"/>
      <c r="BBK21" s="27"/>
      <c r="BBL21" s="27"/>
      <c r="BBM21" s="27"/>
      <c r="BBN21" s="27"/>
      <c r="BBO21" s="27"/>
      <c r="BBP21" s="27"/>
      <c r="BBQ21" s="27"/>
      <c r="BBR21" s="27"/>
      <c r="BBS21" s="27"/>
      <c r="BBT21" s="27"/>
      <c r="BBU21" s="27"/>
      <c r="BBV21" s="27"/>
      <c r="BBW21" s="27"/>
      <c r="BBX21" s="27"/>
      <c r="BBY21" s="27"/>
      <c r="BBZ21" s="27"/>
      <c r="BCA21" s="27"/>
      <c r="BCB21" s="27"/>
      <c r="BCC21" s="27"/>
      <c r="BCD21" s="27"/>
      <c r="BCE21" s="27"/>
      <c r="BCF21" s="27"/>
      <c r="BCG21" s="27"/>
      <c r="BCH21" s="27"/>
      <c r="BCI21" s="27"/>
      <c r="BCJ21" s="27"/>
      <c r="BCK21" s="27"/>
      <c r="BCL21" s="27"/>
      <c r="BCM21" s="27"/>
      <c r="BCN21" s="27"/>
      <c r="BCO21" s="27"/>
      <c r="BCP21" s="27"/>
      <c r="BCQ21" s="27"/>
      <c r="BCR21" s="27"/>
      <c r="BCS21" s="27"/>
      <c r="BCT21" s="27"/>
      <c r="BCU21" s="27"/>
      <c r="BCV21" s="27"/>
      <c r="BCW21" s="27"/>
      <c r="BCX21" s="27"/>
      <c r="BCY21" s="27"/>
      <c r="BCZ21" s="27"/>
      <c r="BDA21" s="27"/>
      <c r="BDB21" s="27"/>
      <c r="BDC21" s="27"/>
      <c r="BDD21" s="27"/>
      <c r="BDE21" s="27"/>
      <c r="BDF21" s="27"/>
      <c r="BDG21" s="27"/>
      <c r="BDH21" s="27"/>
      <c r="BDI21" s="27"/>
      <c r="BDJ21" s="27"/>
      <c r="BDK21" s="27"/>
      <c r="BDL21" s="27"/>
      <c r="BDM21" s="29"/>
      <c r="BDN21" s="29"/>
      <c r="BDO21" s="29"/>
      <c r="BDP21" s="29"/>
      <c r="BDQ21" s="37"/>
      <c r="BDR21" s="26"/>
      <c r="BDS21" s="27"/>
      <c r="BDT21" s="27"/>
      <c r="BDU21" s="27"/>
      <c r="BDV21" s="27"/>
      <c r="BDW21" s="27"/>
      <c r="BDX21" s="27"/>
      <c r="BDY21" s="27"/>
      <c r="BDZ21" s="27"/>
      <c r="BEA21" s="27"/>
      <c r="BEB21" s="27"/>
      <c r="BEC21" s="27"/>
      <c r="BED21" s="27"/>
      <c r="BEE21" s="27"/>
      <c r="BEF21" s="27"/>
      <c r="BEG21" s="27"/>
      <c r="BEH21" s="27"/>
      <c r="BEI21" s="27"/>
      <c r="BEJ21" s="27"/>
      <c r="BEK21" s="27"/>
      <c r="BEL21" s="27"/>
      <c r="BEM21" s="27"/>
      <c r="BEN21" s="27"/>
      <c r="BEO21" s="27"/>
      <c r="BEP21" s="27"/>
      <c r="BEQ21" s="27"/>
      <c r="BER21" s="27"/>
      <c r="BES21" s="27"/>
      <c r="BET21" s="27"/>
      <c r="BEU21" s="27"/>
      <c r="BEV21" s="27"/>
      <c r="BEW21" s="27"/>
      <c r="BEX21" s="27"/>
      <c r="BEY21" s="27"/>
      <c r="BEZ21" s="27"/>
      <c r="BFA21" s="27"/>
      <c r="BFB21" s="27"/>
      <c r="BFC21" s="27"/>
      <c r="BFD21" s="27"/>
      <c r="BFE21" s="27"/>
      <c r="BFF21" s="27"/>
      <c r="BFG21" s="27"/>
      <c r="BFH21" s="27"/>
      <c r="BFI21" s="27"/>
      <c r="BFJ21" s="27"/>
      <c r="BFK21" s="27"/>
      <c r="BFL21" s="27"/>
      <c r="BFM21" s="27"/>
      <c r="BFN21" s="27"/>
      <c r="BFO21" s="27"/>
      <c r="BFP21" s="27"/>
      <c r="BFQ21" s="27"/>
      <c r="BFR21" s="27"/>
      <c r="BFS21" s="27"/>
      <c r="BFT21" s="27"/>
      <c r="BFU21" s="27"/>
      <c r="BFV21" s="27"/>
      <c r="BFW21" s="27"/>
      <c r="BFX21" s="27"/>
      <c r="BFY21" s="27"/>
      <c r="BFZ21" s="27"/>
      <c r="BGA21" s="27"/>
      <c r="BGB21" s="27"/>
      <c r="BGC21" s="27"/>
      <c r="BGD21" s="27"/>
      <c r="BGE21" s="27"/>
      <c r="BGF21" s="27"/>
      <c r="BGG21" s="27"/>
      <c r="BGH21" s="27"/>
      <c r="BGI21" s="27"/>
      <c r="BGJ21" s="27"/>
      <c r="BGK21" s="27"/>
      <c r="BGL21" s="27"/>
      <c r="BGM21" s="27"/>
      <c r="BGN21" s="27"/>
      <c r="BGO21" s="27"/>
      <c r="BGP21" s="27"/>
      <c r="BGQ21" s="27"/>
      <c r="BGR21" s="27"/>
      <c r="BGS21" s="27"/>
      <c r="BGT21" s="27"/>
      <c r="BGU21" s="27"/>
      <c r="BGV21" s="27"/>
      <c r="BGW21" s="27"/>
      <c r="BGX21" s="27"/>
      <c r="BGY21" s="27"/>
      <c r="BGZ21" s="27"/>
      <c r="BHA21" s="27"/>
      <c r="BHB21" s="27"/>
      <c r="BHC21" s="29"/>
      <c r="BHD21" s="37"/>
    </row>
    <row r="22" spans="1:1564" ht="31.95" customHeight="1" x14ac:dyDescent="0.3">
      <c r="A22" s="22">
        <v>18</v>
      </c>
      <c r="B22" s="40" t="s">
        <v>300</v>
      </c>
      <c r="C22" s="40" t="s">
        <v>265</v>
      </c>
      <c r="D22" s="40" t="s">
        <v>242</v>
      </c>
      <c r="E22" s="37"/>
      <c r="F22" s="30"/>
      <c r="G22" s="23"/>
      <c r="H22" s="23"/>
      <c r="I22" s="30"/>
      <c r="J22" s="23"/>
      <c r="K22" s="23"/>
      <c r="L22" s="30"/>
      <c r="M22" s="23"/>
      <c r="N22" s="23"/>
      <c r="O22" s="30"/>
      <c r="P22" s="23"/>
      <c r="Q22" s="23"/>
      <c r="R22" s="30"/>
      <c r="S22" s="23"/>
      <c r="T22" s="23"/>
      <c r="U22" s="30"/>
      <c r="V22" s="23"/>
      <c r="W22" s="23"/>
      <c r="X22" s="30"/>
      <c r="Y22" s="23"/>
      <c r="Z22" s="23"/>
      <c r="AA22" s="30"/>
      <c r="AB22" s="23"/>
      <c r="AC22" s="23"/>
      <c r="AD22" s="30"/>
      <c r="AE22" s="23"/>
      <c r="AF22" s="23"/>
      <c r="AG22" s="30"/>
      <c r="AH22" s="23"/>
      <c r="AI22" s="23"/>
      <c r="AJ22" s="30"/>
      <c r="AK22" s="23"/>
      <c r="AL22" s="23"/>
      <c r="AM22" s="30"/>
      <c r="AN22" s="23"/>
      <c r="AO22" s="23"/>
      <c r="AP22" s="30"/>
      <c r="AQ22" s="23"/>
      <c r="AR22" s="23"/>
      <c r="AS22" s="30"/>
      <c r="AT22" s="23"/>
      <c r="AU22" s="23"/>
      <c r="AV22" s="30"/>
      <c r="AW22" s="23"/>
      <c r="AX22" s="23"/>
      <c r="AY22" s="30"/>
      <c r="AZ22" s="23"/>
      <c r="BA22" s="23"/>
      <c r="BB22" s="30"/>
      <c r="BC22" s="23"/>
      <c r="BD22" s="23"/>
      <c r="BE22" s="30"/>
      <c r="BF22" s="23"/>
      <c r="BG22" s="23"/>
      <c r="BH22" s="30"/>
      <c r="BI22" s="23"/>
      <c r="BJ22" s="23"/>
      <c r="BK22" s="30"/>
      <c r="BL22" s="23"/>
      <c r="BM22" s="23"/>
      <c r="BN22" s="30"/>
      <c r="BO22" s="23"/>
      <c r="BP22" s="24"/>
      <c r="BQ22" s="30"/>
      <c r="BR22" s="23"/>
      <c r="BS22" s="23"/>
      <c r="BT22" s="30"/>
      <c r="BU22" s="23"/>
      <c r="BV22" s="23"/>
      <c r="BW22" s="30"/>
      <c r="BX22" s="23"/>
      <c r="BY22" s="23"/>
      <c r="BZ22" s="30"/>
      <c r="CA22" s="23"/>
      <c r="CB22" s="23"/>
      <c r="CC22" s="30"/>
      <c r="CD22" s="23"/>
      <c r="CE22" s="23"/>
      <c r="CF22" s="30"/>
      <c r="CG22" s="23"/>
      <c r="CH22" s="23"/>
      <c r="CI22" s="30"/>
      <c r="CJ22" s="23"/>
      <c r="CK22" s="23"/>
      <c r="CL22" s="30"/>
      <c r="CM22" s="23"/>
      <c r="CN22" s="23"/>
      <c r="CO22" s="30"/>
      <c r="CP22" s="23"/>
      <c r="CQ22" s="23"/>
      <c r="CR22" s="30"/>
      <c r="CS22" s="23"/>
      <c r="CT22" s="25"/>
      <c r="CU22" s="37"/>
      <c r="CV22" s="26"/>
      <c r="CW22" s="27"/>
      <c r="CX22" s="27"/>
      <c r="CY22" s="27"/>
      <c r="CZ22" s="27"/>
      <c r="DA22" s="27"/>
      <c r="DB22" s="26"/>
      <c r="DC22" s="27"/>
      <c r="DD22" s="27"/>
      <c r="DE22" s="26"/>
      <c r="DF22" s="27"/>
      <c r="DG22" s="27"/>
      <c r="DH22" s="26"/>
      <c r="DI22" s="27"/>
      <c r="DJ22" s="27"/>
      <c r="DK22" s="26"/>
      <c r="DL22" s="27"/>
      <c r="DM22" s="27"/>
      <c r="DN22" s="26"/>
      <c r="DO22" s="27"/>
      <c r="DP22" s="27"/>
      <c r="DQ22" s="26"/>
      <c r="DR22" s="27"/>
      <c r="DS22" s="27"/>
      <c r="DT22" s="26"/>
      <c r="DU22" s="27"/>
      <c r="DV22" s="27"/>
      <c r="DW22" s="26"/>
      <c r="DX22" s="27"/>
      <c r="DY22" s="27"/>
      <c r="DZ22" s="26"/>
      <c r="EA22" s="27"/>
      <c r="EB22" s="27"/>
      <c r="EC22" s="26"/>
      <c r="ED22" s="27"/>
      <c r="EE22" s="27"/>
      <c r="EF22" s="26"/>
      <c r="EG22" s="27"/>
      <c r="EH22" s="27"/>
      <c r="EI22" s="26"/>
      <c r="EJ22" s="27"/>
      <c r="EK22" s="27"/>
      <c r="EL22" s="26"/>
      <c r="EM22" s="27"/>
      <c r="EN22" s="27"/>
      <c r="EO22" s="26"/>
      <c r="EP22" s="27"/>
      <c r="EQ22" s="27"/>
      <c r="ER22" s="26"/>
      <c r="ES22" s="27"/>
      <c r="ET22" s="27"/>
      <c r="EU22" s="26"/>
      <c r="EV22" s="27"/>
      <c r="EW22" s="27"/>
      <c r="EX22" s="26"/>
      <c r="EY22" s="27"/>
      <c r="EZ22" s="27"/>
      <c r="FA22" s="26"/>
      <c r="FB22" s="27"/>
      <c r="FC22" s="27"/>
      <c r="FD22" s="26"/>
      <c r="FE22" s="27"/>
      <c r="FF22" s="27"/>
      <c r="FG22" s="26"/>
      <c r="FH22" s="27"/>
      <c r="FI22" s="27"/>
      <c r="FJ22" s="26"/>
      <c r="FK22" s="27"/>
      <c r="FL22" s="27"/>
      <c r="FM22" s="26"/>
      <c r="FN22" s="27"/>
      <c r="FO22" s="27"/>
      <c r="FP22" s="26"/>
      <c r="FQ22" s="27"/>
      <c r="FR22" s="27"/>
      <c r="FS22" s="26"/>
      <c r="FT22" s="27"/>
      <c r="FU22" s="27"/>
      <c r="FV22" s="26"/>
      <c r="FW22" s="27"/>
      <c r="FX22" s="27"/>
      <c r="FY22" s="26"/>
      <c r="FZ22" s="27"/>
      <c r="GA22" s="27"/>
      <c r="GB22" s="26"/>
      <c r="GC22" s="27"/>
      <c r="GD22" s="27"/>
      <c r="GE22" s="26"/>
      <c r="GF22" s="27"/>
      <c r="GG22" s="27"/>
      <c r="GH22" s="26"/>
      <c r="GI22" s="27"/>
      <c r="GJ22" s="29"/>
      <c r="GK22" s="37"/>
      <c r="GL22" s="26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37"/>
      <c r="JS22" s="26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9"/>
      <c r="NH22" s="37"/>
      <c r="NI22" s="26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37"/>
      <c r="QV22" s="26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9"/>
      <c r="UK22" s="37"/>
      <c r="UL22" s="26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3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9"/>
      <c r="ABN22" s="37"/>
      <c r="ABO22" s="26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9"/>
      <c r="AFD22" s="37"/>
      <c r="AFE22" s="26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  <c r="AGC22" s="27"/>
      <c r="AGD22" s="27"/>
      <c r="AGE22" s="27"/>
      <c r="AGF22" s="27"/>
      <c r="AGG22" s="27"/>
      <c r="AGH22" s="27"/>
      <c r="AGI22" s="27"/>
      <c r="AGJ22" s="27"/>
      <c r="AGK22" s="27"/>
      <c r="AGL22" s="27"/>
      <c r="AGM22" s="27"/>
      <c r="AGN22" s="27"/>
      <c r="AGO22" s="27"/>
      <c r="AGP22" s="27"/>
      <c r="AGQ22" s="27"/>
      <c r="AGR22" s="27"/>
      <c r="AGS22" s="27"/>
      <c r="AGT22" s="27"/>
      <c r="AGU22" s="27"/>
      <c r="AGV22" s="27"/>
      <c r="AGW22" s="27"/>
      <c r="AGX22" s="27"/>
      <c r="AGY22" s="27"/>
      <c r="AGZ22" s="27"/>
      <c r="AHA22" s="27"/>
      <c r="AHB22" s="27"/>
      <c r="AHC22" s="27"/>
      <c r="AHD22" s="27"/>
      <c r="AHE22" s="27"/>
      <c r="AHF22" s="27"/>
      <c r="AHG22" s="27"/>
      <c r="AHH22" s="27"/>
      <c r="AHI22" s="27"/>
      <c r="AHJ22" s="27"/>
      <c r="AHK22" s="27"/>
      <c r="AHL22" s="27"/>
      <c r="AHM22" s="27"/>
      <c r="AHN22" s="27"/>
      <c r="AHO22" s="27"/>
      <c r="AHP22" s="27"/>
      <c r="AHQ22" s="27"/>
      <c r="AHR22" s="27"/>
      <c r="AHS22" s="27"/>
      <c r="AHT22" s="27"/>
      <c r="AHU22" s="27"/>
      <c r="AHV22" s="27"/>
      <c r="AHW22" s="27"/>
      <c r="AHX22" s="27"/>
      <c r="AHY22" s="27"/>
      <c r="AHZ22" s="27"/>
      <c r="AIA22" s="27"/>
      <c r="AIB22" s="27"/>
      <c r="AIC22" s="27"/>
      <c r="AID22" s="27"/>
      <c r="AIE22" s="27"/>
      <c r="AIF22" s="27"/>
      <c r="AIG22" s="27"/>
      <c r="AIH22" s="27"/>
      <c r="AII22" s="27"/>
      <c r="AIJ22" s="27"/>
      <c r="AIK22" s="27"/>
      <c r="AIL22" s="27"/>
      <c r="AIM22" s="27"/>
      <c r="AIN22" s="27"/>
      <c r="AIO22" s="27"/>
      <c r="AIP22" s="27"/>
      <c r="AIQ22" s="37"/>
      <c r="AIR22" s="26"/>
      <c r="AIS22" s="27"/>
      <c r="AIT22" s="27"/>
      <c r="AIU22" s="27"/>
      <c r="AIV22" s="27"/>
      <c r="AIW22" s="27"/>
      <c r="AIX22" s="27"/>
      <c r="AIY22" s="27"/>
      <c r="AIZ22" s="27"/>
      <c r="AJA22" s="27"/>
      <c r="AJB22" s="27"/>
      <c r="AJC22" s="27"/>
      <c r="AJD22" s="27"/>
      <c r="AJE22" s="27"/>
      <c r="AJF22" s="27"/>
      <c r="AJG22" s="27"/>
      <c r="AJH22" s="27"/>
      <c r="AJI22" s="27"/>
      <c r="AJJ22" s="27"/>
      <c r="AJK22" s="27"/>
      <c r="AJL22" s="27"/>
      <c r="AJM22" s="27"/>
      <c r="AJN22" s="27"/>
      <c r="AJO22" s="27"/>
      <c r="AJP22" s="27"/>
      <c r="AJQ22" s="27"/>
      <c r="AJR22" s="27"/>
      <c r="AJS22" s="27"/>
      <c r="AJT22" s="27"/>
      <c r="AJU22" s="27"/>
      <c r="AJV22" s="27"/>
      <c r="AJW22" s="27"/>
      <c r="AJX22" s="27"/>
      <c r="AJY22" s="27"/>
      <c r="AJZ22" s="27"/>
      <c r="AKA22" s="27"/>
      <c r="AKB22" s="27"/>
      <c r="AKC22" s="27"/>
      <c r="AKD22" s="27"/>
      <c r="AKE22" s="27"/>
      <c r="AKF22" s="27"/>
      <c r="AKG22" s="27"/>
      <c r="AKH22" s="27"/>
      <c r="AKI22" s="27"/>
      <c r="AKJ22" s="27"/>
      <c r="AKK22" s="27"/>
      <c r="AKL22" s="27"/>
      <c r="AKM22" s="27"/>
      <c r="AKN22" s="27"/>
      <c r="AKO22" s="27"/>
      <c r="AKP22" s="27"/>
      <c r="AKQ22" s="27"/>
      <c r="AKR22" s="27"/>
      <c r="AKS22" s="27"/>
      <c r="AKT22" s="27"/>
      <c r="AKU22" s="27"/>
      <c r="AKV22" s="27"/>
      <c r="AKW22" s="27"/>
      <c r="AKX22" s="27"/>
      <c r="AKY22" s="27"/>
      <c r="AKZ22" s="27"/>
      <c r="ALA22" s="27"/>
      <c r="ALB22" s="27"/>
      <c r="ALC22" s="27"/>
      <c r="ALD22" s="27"/>
      <c r="ALE22" s="27"/>
      <c r="ALF22" s="27"/>
      <c r="ALG22" s="27"/>
      <c r="ALH22" s="27"/>
      <c r="ALI22" s="27"/>
      <c r="ALJ22" s="27"/>
      <c r="ALK22" s="27"/>
      <c r="ALL22" s="27"/>
      <c r="ALM22" s="27"/>
      <c r="ALN22" s="27"/>
      <c r="ALO22" s="27"/>
      <c r="ALP22" s="27"/>
      <c r="ALQ22" s="27"/>
      <c r="ALR22" s="27"/>
      <c r="ALS22" s="27"/>
      <c r="ALT22" s="27"/>
      <c r="ALU22" s="27"/>
      <c r="ALV22" s="27"/>
      <c r="ALW22" s="27"/>
      <c r="ALX22" s="27"/>
      <c r="ALY22" s="27"/>
      <c r="ALZ22" s="27"/>
      <c r="AMA22" s="27"/>
      <c r="AMB22" s="27"/>
      <c r="AMC22" s="27"/>
      <c r="AMD22" s="27"/>
      <c r="AME22" s="27"/>
      <c r="AMF22" s="29"/>
      <c r="AMG22" s="37"/>
      <c r="AMH22" s="26"/>
      <c r="AMI22" s="27"/>
      <c r="AMJ22" s="27"/>
      <c r="AMK22" s="27"/>
      <c r="AML22" s="27"/>
      <c r="AMM22" s="27"/>
      <c r="AMN22" s="27"/>
      <c r="AMO22" s="27"/>
      <c r="AMP22" s="27"/>
      <c r="AMQ22" s="27"/>
      <c r="AMR22" s="27"/>
      <c r="AMS22" s="27"/>
      <c r="AMT22" s="27"/>
      <c r="AMU22" s="27"/>
      <c r="AMV22" s="27"/>
      <c r="AMW22" s="27"/>
      <c r="AMX22" s="27"/>
      <c r="AMY22" s="27"/>
      <c r="AMZ22" s="27"/>
      <c r="ANA22" s="27"/>
      <c r="ANB22" s="27"/>
      <c r="ANC22" s="27"/>
      <c r="AND22" s="27"/>
      <c r="ANE22" s="27"/>
      <c r="ANF22" s="27"/>
      <c r="ANG22" s="27"/>
      <c r="ANH22" s="27"/>
      <c r="ANI22" s="27"/>
      <c r="ANJ22" s="27"/>
      <c r="ANK22" s="27"/>
      <c r="ANL22" s="27"/>
      <c r="ANM22" s="27"/>
      <c r="ANN22" s="27"/>
      <c r="ANO22" s="27"/>
      <c r="ANP22" s="27"/>
      <c r="ANQ22" s="27"/>
      <c r="ANR22" s="27"/>
      <c r="ANS22" s="27"/>
      <c r="ANT22" s="27"/>
      <c r="ANU22" s="27"/>
      <c r="ANV22" s="27"/>
      <c r="ANW22" s="27"/>
      <c r="ANX22" s="27"/>
      <c r="ANY22" s="27"/>
      <c r="ANZ22" s="27"/>
      <c r="AOA22" s="27"/>
      <c r="AOB22" s="27"/>
      <c r="AOC22" s="27"/>
      <c r="AOD22" s="27"/>
      <c r="AOE22" s="27"/>
      <c r="AOF22" s="27"/>
      <c r="AOG22" s="27"/>
      <c r="AOH22" s="27"/>
      <c r="AOI22" s="27"/>
      <c r="AOJ22" s="27"/>
      <c r="AOK22" s="27"/>
      <c r="AOL22" s="27"/>
      <c r="AOM22" s="27"/>
      <c r="AON22" s="27"/>
      <c r="AOO22" s="27"/>
      <c r="AOP22" s="27"/>
      <c r="AOQ22" s="27"/>
      <c r="AOR22" s="27"/>
      <c r="AOS22" s="27"/>
      <c r="AOT22" s="27"/>
      <c r="AOU22" s="27"/>
      <c r="AOV22" s="27"/>
      <c r="AOW22" s="27"/>
      <c r="AOX22" s="27"/>
      <c r="AOY22" s="27"/>
      <c r="AOZ22" s="27"/>
      <c r="APA22" s="27"/>
      <c r="APB22" s="27"/>
      <c r="APC22" s="27"/>
      <c r="APD22" s="27"/>
      <c r="APE22" s="27"/>
      <c r="APF22" s="27"/>
      <c r="APG22" s="27"/>
      <c r="APH22" s="27"/>
      <c r="API22" s="27"/>
      <c r="APJ22" s="27"/>
      <c r="APK22" s="27"/>
      <c r="APL22" s="27"/>
      <c r="APM22" s="27"/>
      <c r="APN22" s="27"/>
      <c r="APO22" s="27"/>
      <c r="APP22" s="27"/>
      <c r="APQ22" s="27"/>
      <c r="APR22" s="27"/>
      <c r="APS22" s="29"/>
      <c r="APT22" s="37"/>
      <c r="APU22" s="26"/>
      <c r="APV22" s="27"/>
      <c r="APW22" s="27"/>
      <c r="APX22" s="27"/>
      <c r="APY22" s="27"/>
      <c r="APZ22" s="27"/>
      <c r="AQA22" s="27"/>
      <c r="AQB22" s="27"/>
      <c r="AQC22" s="27"/>
      <c r="AQD22" s="27"/>
      <c r="AQE22" s="27"/>
      <c r="AQF22" s="27"/>
      <c r="AQG22" s="27"/>
      <c r="AQH22" s="27"/>
      <c r="AQI22" s="27"/>
      <c r="AQJ22" s="27"/>
      <c r="AQK22" s="27"/>
      <c r="AQL22" s="27"/>
      <c r="AQM22" s="27"/>
      <c r="AQN22" s="27"/>
      <c r="AQO22" s="27"/>
      <c r="AQP22" s="27"/>
      <c r="AQQ22" s="27"/>
      <c r="AQR22" s="27"/>
      <c r="AQS22" s="27"/>
      <c r="AQT22" s="27"/>
      <c r="AQU22" s="27"/>
      <c r="AQV22" s="27"/>
      <c r="AQW22" s="27"/>
      <c r="AQX22" s="27"/>
      <c r="AQY22" s="27"/>
      <c r="AQZ22" s="27"/>
      <c r="ARA22" s="27"/>
      <c r="ARB22" s="27"/>
      <c r="ARC22" s="27"/>
      <c r="ARD22" s="27"/>
      <c r="ARE22" s="27"/>
      <c r="ARF22" s="27"/>
      <c r="ARG22" s="27"/>
      <c r="ARH22" s="27"/>
      <c r="ARI22" s="27"/>
      <c r="ARJ22" s="27"/>
      <c r="ARK22" s="27"/>
      <c r="ARL22" s="27"/>
      <c r="ARM22" s="27"/>
      <c r="ARN22" s="27"/>
      <c r="ARO22" s="27"/>
      <c r="ARP22" s="27"/>
      <c r="ARQ22" s="27"/>
      <c r="ARR22" s="27"/>
      <c r="ARS22" s="27"/>
      <c r="ART22" s="27"/>
      <c r="ARU22" s="27"/>
      <c r="ARV22" s="27"/>
      <c r="ARW22" s="27"/>
      <c r="ARX22" s="27"/>
      <c r="ARY22" s="27"/>
      <c r="ARZ22" s="27"/>
      <c r="ASA22" s="27"/>
      <c r="ASB22" s="27"/>
      <c r="ASC22" s="27"/>
      <c r="ASD22" s="27"/>
      <c r="ASE22" s="27"/>
      <c r="ASF22" s="27"/>
      <c r="ASG22" s="27"/>
      <c r="ASH22" s="27"/>
      <c r="ASI22" s="27"/>
      <c r="ASJ22" s="27"/>
      <c r="ASK22" s="27"/>
      <c r="ASL22" s="27"/>
      <c r="ASM22" s="27"/>
      <c r="ASN22" s="27"/>
      <c r="ASO22" s="27"/>
      <c r="ASP22" s="27"/>
      <c r="ASQ22" s="27"/>
      <c r="ASR22" s="27"/>
      <c r="ASS22" s="27"/>
      <c r="AST22" s="27"/>
      <c r="ASU22" s="27"/>
      <c r="ASV22" s="27"/>
      <c r="ASW22" s="27"/>
      <c r="ASX22" s="27"/>
      <c r="ASY22" s="27"/>
      <c r="ASZ22" s="27"/>
      <c r="ATA22" s="27"/>
      <c r="ATB22" s="27"/>
      <c r="ATC22" s="27"/>
      <c r="ATD22" s="27"/>
      <c r="ATE22" s="27"/>
      <c r="ATF22" s="29"/>
      <c r="ATG22" s="37"/>
      <c r="ATH22" s="26"/>
      <c r="ATI22" s="27"/>
      <c r="ATJ22" s="27"/>
      <c r="ATK22" s="27"/>
      <c r="ATL22" s="27"/>
      <c r="ATM22" s="27"/>
      <c r="ATN22" s="27"/>
      <c r="ATO22" s="27"/>
      <c r="ATP22" s="27"/>
      <c r="ATQ22" s="27"/>
      <c r="ATR22" s="27"/>
      <c r="ATS22" s="27"/>
      <c r="ATT22" s="27"/>
      <c r="ATU22" s="27"/>
      <c r="ATV22" s="27"/>
      <c r="ATW22" s="27"/>
      <c r="ATX22" s="27"/>
      <c r="ATY22" s="27"/>
      <c r="ATZ22" s="27"/>
      <c r="AUA22" s="27"/>
      <c r="AUB22" s="27"/>
      <c r="AUC22" s="27"/>
      <c r="AUD22" s="27"/>
      <c r="AUE22" s="27"/>
      <c r="AUF22" s="27"/>
      <c r="AUG22" s="27"/>
      <c r="AUH22" s="27"/>
      <c r="AUI22" s="27"/>
      <c r="AUJ22" s="27"/>
      <c r="AUK22" s="27"/>
      <c r="AUL22" s="27"/>
      <c r="AUM22" s="27"/>
      <c r="AUN22" s="27"/>
      <c r="AUO22" s="27"/>
      <c r="AUP22" s="27"/>
      <c r="AUQ22" s="27"/>
      <c r="AUR22" s="27"/>
      <c r="AUS22" s="27"/>
      <c r="AUT22" s="27"/>
      <c r="AUU22" s="27"/>
      <c r="AUV22" s="27"/>
      <c r="AUW22" s="27"/>
      <c r="AUX22" s="27"/>
      <c r="AUY22" s="27"/>
      <c r="AUZ22" s="27"/>
      <c r="AVA22" s="27"/>
      <c r="AVB22" s="27"/>
      <c r="AVC22" s="27"/>
      <c r="AVD22" s="27"/>
      <c r="AVE22" s="27"/>
      <c r="AVF22" s="27"/>
      <c r="AVG22" s="27"/>
      <c r="AVH22" s="27"/>
      <c r="AVI22" s="27"/>
      <c r="AVJ22" s="27"/>
      <c r="AVK22" s="27"/>
      <c r="AVL22" s="27"/>
      <c r="AVM22" s="27"/>
      <c r="AVN22" s="27"/>
      <c r="AVO22" s="27"/>
      <c r="AVP22" s="27"/>
      <c r="AVQ22" s="27"/>
      <c r="AVR22" s="27"/>
      <c r="AVS22" s="27"/>
      <c r="AVT22" s="27"/>
      <c r="AVU22" s="27"/>
      <c r="AVV22" s="27"/>
      <c r="AVW22" s="27"/>
      <c r="AVX22" s="27"/>
      <c r="AVY22" s="27"/>
      <c r="AVZ22" s="27"/>
      <c r="AWA22" s="27"/>
      <c r="AWB22" s="27"/>
      <c r="AWC22" s="27"/>
      <c r="AWD22" s="27"/>
      <c r="AWE22" s="27"/>
      <c r="AWF22" s="27"/>
      <c r="AWG22" s="27"/>
      <c r="AWH22" s="27"/>
      <c r="AWI22" s="27"/>
      <c r="AWJ22" s="27"/>
      <c r="AWK22" s="27"/>
      <c r="AWL22" s="27"/>
      <c r="AWM22" s="27"/>
      <c r="AWN22" s="27"/>
      <c r="AWO22" s="27"/>
      <c r="AWP22" s="27"/>
      <c r="AWQ22" s="27"/>
      <c r="AWR22" s="27"/>
      <c r="AWS22" s="29"/>
      <c r="AWT22" s="37"/>
      <c r="AWU22" s="26"/>
      <c r="AWV22" s="27"/>
      <c r="AWW22" s="27"/>
      <c r="AWX22" s="27"/>
      <c r="AWY22" s="27"/>
      <c r="AWZ22" s="27"/>
      <c r="AXA22" s="27"/>
      <c r="AXB22" s="27"/>
      <c r="AXC22" s="27"/>
      <c r="AXD22" s="27"/>
      <c r="AXE22" s="27"/>
      <c r="AXF22" s="27"/>
      <c r="AXG22" s="27"/>
      <c r="AXH22" s="27"/>
      <c r="AXI22" s="27"/>
      <c r="AXJ22" s="27"/>
      <c r="AXK22" s="27"/>
      <c r="AXL22" s="27"/>
      <c r="AXM22" s="27"/>
      <c r="AXN22" s="27"/>
      <c r="AXO22" s="27"/>
      <c r="AXP22" s="27"/>
      <c r="AXQ22" s="27"/>
      <c r="AXR22" s="27"/>
      <c r="AXS22" s="27"/>
      <c r="AXT22" s="27"/>
      <c r="AXU22" s="27"/>
      <c r="AXV22" s="27"/>
      <c r="AXW22" s="27"/>
      <c r="AXX22" s="27"/>
      <c r="AXY22" s="27"/>
      <c r="AXZ22" s="27"/>
      <c r="AYA22" s="27"/>
      <c r="AYB22" s="27"/>
      <c r="AYC22" s="27"/>
      <c r="AYD22" s="27"/>
      <c r="AYE22" s="27"/>
      <c r="AYF22" s="27"/>
      <c r="AYG22" s="27"/>
      <c r="AYH22" s="27"/>
      <c r="AYI22" s="27"/>
      <c r="AYJ22" s="27"/>
      <c r="AYK22" s="27"/>
      <c r="AYL22" s="27"/>
      <c r="AYM22" s="27"/>
      <c r="AYN22" s="27"/>
      <c r="AYO22" s="27"/>
      <c r="AYP22" s="27"/>
      <c r="AYQ22" s="27"/>
      <c r="AYR22" s="27"/>
      <c r="AYS22" s="27"/>
      <c r="AYT22" s="27"/>
      <c r="AYU22" s="27"/>
      <c r="AYV22" s="27"/>
      <c r="AYW22" s="27"/>
      <c r="AYX22" s="27"/>
      <c r="AYY22" s="27"/>
      <c r="AYZ22" s="27"/>
      <c r="AZA22" s="27"/>
      <c r="AZB22" s="27"/>
      <c r="AZC22" s="27"/>
      <c r="AZD22" s="27"/>
      <c r="AZE22" s="27"/>
      <c r="AZF22" s="27"/>
      <c r="AZG22" s="27"/>
      <c r="AZH22" s="27"/>
      <c r="AZI22" s="27"/>
      <c r="AZJ22" s="27"/>
      <c r="AZK22" s="27"/>
      <c r="AZL22" s="27"/>
      <c r="AZM22" s="27"/>
      <c r="AZN22" s="27"/>
      <c r="AZO22" s="27"/>
      <c r="AZP22" s="27"/>
      <c r="AZQ22" s="27"/>
      <c r="AZR22" s="27"/>
      <c r="AZS22" s="27"/>
      <c r="AZT22" s="27"/>
      <c r="AZU22" s="27"/>
      <c r="AZV22" s="27"/>
      <c r="AZW22" s="27"/>
      <c r="AZX22" s="27"/>
      <c r="AZY22" s="27"/>
      <c r="AZZ22" s="27"/>
      <c r="BAA22" s="37"/>
      <c r="BAB22" s="26"/>
      <c r="BAC22" s="27"/>
      <c r="BAD22" s="27"/>
      <c r="BAE22" s="27"/>
      <c r="BAF22" s="27"/>
      <c r="BAG22" s="27"/>
      <c r="BAH22" s="27"/>
      <c r="BAI22" s="27"/>
      <c r="BAJ22" s="27"/>
      <c r="BAK22" s="27"/>
      <c r="BAL22" s="27"/>
      <c r="BAM22" s="27"/>
      <c r="BAN22" s="27"/>
      <c r="BAO22" s="27"/>
      <c r="BAP22" s="27"/>
      <c r="BAQ22" s="27"/>
      <c r="BAR22" s="27"/>
      <c r="BAS22" s="27"/>
      <c r="BAT22" s="27"/>
      <c r="BAU22" s="27"/>
      <c r="BAV22" s="27"/>
      <c r="BAW22" s="27"/>
      <c r="BAX22" s="27"/>
      <c r="BAY22" s="27"/>
      <c r="BAZ22" s="27"/>
      <c r="BBA22" s="27"/>
      <c r="BBB22" s="27"/>
      <c r="BBC22" s="27"/>
      <c r="BBD22" s="27"/>
      <c r="BBE22" s="27"/>
      <c r="BBF22" s="27"/>
      <c r="BBG22" s="27"/>
      <c r="BBH22" s="27"/>
      <c r="BBI22" s="27"/>
      <c r="BBJ22" s="27"/>
      <c r="BBK22" s="27"/>
      <c r="BBL22" s="27"/>
      <c r="BBM22" s="27"/>
      <c r="BBN22" s="27"/>
      <c r="BBO22" s="27"/>
      <c r="BBP22" s="27"/>
      <c r="BBQ22" s="27"/>
      <c r="BBR22" s="27"/>
      <c r="BBS22" s="27"/>
      <c r="BBT22" s="27"/>
      <c r="BBU22" s="27"/>
      <c r="BBV22" s="27"/>
      <c r="BBW22" s="27"/>
      <c r="BBX22" s="27"/>
      <c r="BBY22" s="27"/>
      <c r="BBZ22" s="27"/>
      <c r="BCA22" s="27"/>
      <c r="BCB22" s="27"/>
      <c r="BCC22" s="27"/>
      <c r="BCD22" s="27"/>
      <c r="BCE22" s="27"/>
      <c r="BCF22" s="27"/>
      <c r="BCG22" s="27"/>
      <c r="BCH22" s="27"/>
      <c r="BCI22" s="27"/>
      <c r="BCJ22" s="27"/>
      <c r="BCK22" s="27"/>
      <c r="BCL22" s="27"/>
      <c r="BCM22" s="27"/>
      <c r="BCN22" s="27"/>
      <c r="BCO22" s="27"/>
      <c r="BCP22" s="27"/>
      <c r="BCQ22" s="27"/>
      <c r="BCR22" s="27"/>
      <c r="BCS22" s="27"/>
      <c r="BCT22" s="27"/>
      <c r="BCU22" s="27"/>
      <c r="BCV22" s="27"/>
      <c r="BCW22" s="27"/>
      <c r="BCX22" s="27"/>
      <c r="BCY22" s="27"/>
      <c r="BCZ22" s="27"/>
      <c r="BDA22" s="27"/>
      <c r="BDB22" s="27"/>
      <c r="BDC22" s="27"/>
      <c r="BDD22" s="27"/>
      <c r="BDE22" s="27"/>
      <c r="BDF22" s="27"/>
      <c r="BDG22" s="27"/>
      <c r="BDH22" s="27"/>
      <c r="BDI22" s="27"/>
      <c r="BDJ22" s="27"/>
      <c r="BDK22" s="27"/>
      <c r="BDL22" s="27"/>
      <c r="BDM22" s="29"/>
      <c r="BDN22" s="29"/>
      <c r="BDO22" s="29"/>
      <c r="BDP22" s="29"/>
      <c r="BDQ22" s="37"/>
      <c r="BDR22" s="26"/>
      <c r="BDS22" s="27"/>
      <c r="BDT22" s="27"/>
      <c r="BDU22" s="27"/>
      <c r="BDV22" s="27"/>
      <c r="BDW22" s="27"/>
      <c r="BDX22" s="27"/>
      <c r="BDY22" s="27"/>
      <c r="BDZ22" s="27"/>
      <c r="BEA22" s="27"/>
      <c r="BEB22" s="27"/>
      <c r="BEC22" s="27"/>
      <c r="BED22" s="27"/>
      <c r="BEE22" s="27"/>
      <c r="BEF22" s="27"/>
      <c r="BEG22" s="27"/>
      <c r="BEH22" s="27"/>
      <c r="BEI22" s="27"/>
      <c r="BEJ22" s="27"/>
      <c r="BEK22" s="27"/>
      <c r="BEL22" s="27"/>
      <c r="BEM22" s="27"/>
      <c r="BEN22" s="27"/>
      <c r="BEO22" s="27"/>
      <c r="BEP22" s="27"/>
      <c r="BEQ22" s="27"/>
      <c r="BER22" s="27"/>
      <c r="BES22" s="27"/>
      <c r="BET22" s="27"/>
      <c r="BEU22" s="27"/>
      <c r="BEV22" s="27"/>
      <c r="BEW22" s="27"/>
      <c r="BEX22" s="27"/>
      <c r="BEY22" s="27"/>
      <c r="BEZ22" s="27"/>
      <c r="BFA22" s="27"/>
      <c r="BFB22" s="27"/>
      <c r="BFC22" s="27"/>
      <c r="BFD22" s="27"/>
      <c r="BFE22" s="27"/>
      <c r="BFF22" s="27"/>
      <c r="BFG22" s="27"/>
      <c r="BFH22" s="27"/>
      <c r="BFI22" s="27"/>
      <c r="BFJ22" s="27"/>
      <c r="BFK22" s="27"/>
      <c r="BFL22" s="27"/>
      <c r="BFM22" s="27"/>
      <c r="BFN22" s="27"/>
      <c r="BFO22" s="27"/>
      <c r="BFP22" s="27"/>
      <c r="BFQ22" s="27"/>
      <c r="BFR22" s="27"/>
      <c r="BFS22" s="27"/>
      <c r="BFT22" s="27"/>
      <c r="BFU22" s="27"/>
      <c r="BFV22" s="27"/>
      <c r="BFW22" s="27"/>
      <c r="BFX22" s="27"/>
      <c r="BFY22" s="27"/>
      <c r="BFZ22" s="27"/>
      <c r="BGA22" s="27"/>
      <c r="BGB22" s="27"/>
      <c r="BGC22" s="27"/>
      <c r="BGD22" s="27"/>
      <c r="BGE22" s="27"/>
      <c r="BGF22" s="27"/>
      <c r="BGG22" s="27"/>
      <c r="BGH22" s="27"/>
      <c r="BGI22" s="27"/>
      <c r="BGJ22" s="27"/>
      <c r="BGK22" s="27"/>
      <c r="BGL22" s="27"/>
      <c r="BGM22" s="27"/>
      <c r="BGN22" s="27"/>
      <c r="BGO22" s="27"/>
      <c r="BGP22" s="27"/>
      <c r="BGQ22" s="27"/>
      <c r="BGR22" s="27"/>
      <c r="BGS22" s="27"/>
      <c r="BGT22" s="27"/>
      <c r="BGU22" s="27"/>
      <c r="BGV22" s="27"/>
      <c r="BGW22" s="27"/>
      <c r="BGX22" s="27"/>
      <c r="BGY22" s="27"/>
      <c r="BGZ22" s="27"/>
      <c r="BHA22" s="27"/>
      <c r="BHB22" s="27"/>
      <c r="BHC22" s="29"/>
      <c r="BHD22" s="37"/>
    </row>
    <row r="23" spans="1:1564" ht="31.95" customHeight="1" x14ac:dyDescent="0.3">
      <c r="A23" s="22">
        <v>19</v>
      </c>
      <c r="B23" s="40" t="s">
        <v>301</v>
      </c>
      <c r="C23" s="40" t="s">
        <v>266</v>
      </c>
      <c r="D23" s="40" t="s">
        <v>242</v>
      </c>
      <c r="E23" s="37"/>
      <c r="F23" s="30"/>
      <c r="G23" s="23"/>
      <c r="H23" s="23"/>
      <c r="I23" s="30"/>
      <c r="J23" s="23"/>
      <c r="K23" s="23"/>
      <c r="L23" s="30"/>
      <c r="M23" s="23"/>
      <c r="N23" s="23"/>
      <c r="O23" s="30"/>
      <c r="P23" s="23"/>
      <c r="Q23" s="23"/>
      <c r="R23" s="30"/>
      <c r="S23" s="23"/>
      <c r="T23" s="23"/>
      <c r="U23" s="30"/>
      <c r="V23" s="23"/>
      <c r="W23" s="23"/>
      <c r="X23" s="30"/>
      <c r="Y23" s="23"/>
      <c r="Z23" s="23"/>
      <c r="AA23" s="30"/>
      <c r="AB23" s="23"/>
      <c r="AC23" s="23"/>
      <c r="AD23" s="30"/>
      <c r="AE23" s="23"/>
      <c r="AF23" s="23"/>
      <c r="AG23" s="30"/>
      <c r="AH23" s="23"/>
      <c r="AI23" s="23"/>
      <c r="AJ23" s="30"/>
      <c r="AK23" s="23"/>
      <c r="AL23" s="23"/>
      <c r="AM23" s="30"/>
      <c r="AN23" s="23"/>
      <c r="AO23" s="23"/>
      <c r="AP23" s="30"/>
      <c r="AQ23" s="23"/>
      <c r="AR23" s="23"/>
      <c r="AS23" s="30"/>
      <c r="AT23" s="23"/>
      <c r="AU23" s="23"/>
      <c r="AV23" s="30"/>
      <c r="AW23" s="23"/>
      <c r="AX23" s="23"/>
      <c r="AY23" s="30"/>
      <c r="AZ23" s="23"/>
      <c r="BA23" s="23"/>
      <c r="BB23" s="30"/>
      <c r="BC23" s="23"/>
      <c r="BD23" s="23"/>
      <c r="BE23" s="30"/>
      <c r="BF23" s="23"/>
      <c r="BG23" s="23"/>
      <c r="BH23" s="30"/>
      <c r="BI23" s="23"/>
      <c r="BJ23" s="23"/>
      <c r="BK23" s="30"/>
      <c r="BL23" s="23"/>
      <c r="BM23" s="23"/>
      <c r="BN23" s="30"/>
      <c r="BO23" s="23"/>
      <c r="BP23" s="24"/>
      <c r="BQ23" s="30"/>
      <c r="BR23" s="23"/>
      <c r="BS23" s="23"/>
      <c r="BT23" s="30"/>
      <c r="BU23" s="23"/>
      <c r="BV23" s="23"/>
      <c r="BW23" s="30"/>
      <c r="BX23" s="23"/>
      <c r="BY23" s="23"/>
      <c r="BZ23" s="30"/>
      <c r="CA23" s="23"/>
      <c r="CB23" s="23"/>
      <c r="CC23" s="30"/>
      <c r="CD23" s="23"/>
      <c r="CE23" s="23"/>
      <c r="CF23" s="30"/>
      <c r="CG23" s="23"/>
      <c r="CH23" s="23"/>
      <c r="CI23" s="30"/>
      <c r="CJ23" s="23"/>
      <c r="CK23" s="23"/>
      <c r="CL23" s="30"/>
      <c r="CM23" s="23"/>
      <c r="CN23" s="23"/>
      <c r="CO23" s="30"/>
      <c r="CP23" s="23"/>
      <c r="CQ23" s="23"/>
      <c r="CR23" s="30"/>
      <c r="CS23" s="23"/>
      <c r="CT23" s="25"/>
      <c r="CU23" s="37"/>
      <c r="CV23" s="26"/>
      <c r="CW23" s="27"/>
      <c r="CX23" s="27"/>
      <c r="CY23" s="27"/>
      <c r="CZ23" s="27"/>
      <c r="DA23" s="27"/>
      <c r="DB23" s="26"/>
      <c r="DC23" s="27"/>
      <c r="DD23" s="27"/>
      <c r="DE23" s="26"/>
      <c r="DF23" s="27"/>
      <c r="DG23" s="27"/>
      <c r="DH23" s="26"/>
      <c r="DI23" s="27"/>
      <c r="DJ23" s="27"/>
      <c r="DK23" s="26"/>
      <c r="DL23" s="27"/>
      <c r="DM23" s="27"/>
      <c r="DN23" s="26"/>
      <c r="DO23" s="27"/>
      <c r="DP23" s="27"/>
      <c r="DQ23" s="26"/>
      <c r="DR23" s="27"/>
      <c r="DS23" s="27"/>
      <c r="DT23" s="26"/>
      <c r="DU23" s="27"/>
      <c r="DV23" s="27"/>
      <c r="DW23" s="26"/>
      <c r="DX23" s="27"/>
      <c r="DY23" s="27"/>
      <c r="DZ23" s="26"/>
      <c r="EA23" s="27"/>
      <c r="EB23" s="27"/>
      <c r="EC23" s="26"/>
      <c r="ED23" s="27"/>
      <c r="EE23" s="27"/>
      <c r="EF23" s="26"/>
      <c r="EG23" s="27"/>
      <c r="EH23" s="27"/>
      <c r="EI23" s="26"/>
      <c r="EJ23" s="27"/>
      <c r="EK23" s="27"/>
      <c r="EL23" s="26"/>
      <c r="EM23" s="27"/>
      <c r="EN23" s="27"/>
      <c r="EO23" s="26"/>
      <c r="EP23" s="27"/>
      <c r="EQ23" s="27"/>
      <c r="ER23" s="26"/>
      <c r="ES23" s="27"/>
      <c r="ET23" s="27"/>
      <c r="EU23" s="26"/>
      <c r="EV23" s="27"/>
      <c r="EW23" s="27"/>
      <c r="EX23" s="26"/>
      <c r="EY23" s="27"/>
      <c r="EZ23" s="27"/>
      <c r="FA23" s="26"/>
      <c r="FB23" s="27"/>
      <c r="FC23" s="27"/>
      <c r="FD23" s="26"/>
      <c r="FE23" s="27"/>
      <c r="FF23" s="27"/>
      <c r="FG23" s="26"/>
      <c r="FH23" s="27"/>
      <c r="FI23" s="27"/>
      <c r="FJ23" s="26"/>
      <c r="FK23" s="27"/>
      <c r="FL23" s="27"/>
      <c r="FM23" s="26"/>
      <c r="FN23" s="27"/>
      <c r="FO23" s="27"/>
      <c r="FP23" s="26"/>
      <c r="FQ23" s="27"/>
      <c r="FR23" s="27"/>
      <c r="FS23" s="26"/>
      <c r="FT23" s="27"/>
      <c r="FU23" s="27"/>
      <c r="FV23" s="26"/>
      <c r="FW23" s="27"/>
      <c r="FX23" s="27"/>
      <c r="FY23" s="26"/>
      <c r="FZ23" s="27"/>
      <c r="GA23" s="27"/>
      <c r="GB23" s="26"/>
      <c r="GC23" s="27"/>
      <c r="GD23" s="27"/>
      <c r="GE23" s="26"/>
      <c r="GF23" s="27"/>
      <c r="GG23" s="27"/>
      <c r="GH23" s="26"/>
      <c r="GI23" s="27"/>
      <c r="GJ23" s="29"/>
      <c r="GK23" s="37"/>
      <c r="GL23" s="26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37"/>
      <c r="JS23" s="26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9"/>
      <c r="NH23" s="37"/>
      <c r="NI23" s="26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37"/>
      <c r="QV23" s="26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>
        <v>8</v>
      </c>
      <c r="SV23" s="27">
        <v>45</v>
      </c>
      <c r="SW23" s="27" t="s">
        <v>244</v>
      </c>
      <c r="SX23" s="27">
        <v>8</v>
      </c>
      <c r="SY23" s="27">
        <v>45</v>
      </c>
      <c r="SZ23" s="27" t="s">
        <v>244</v>
      </c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9"/>
      <c r="UK23" s="37"/>
      <c r="UL23" s="26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>
        <v>8</v>
      </c>
      <c r="WO23" s="27">
        <v>45</v>
      </c>
      <c r="WP23" s="27" t="s">
        <v>246</v>
      </c>
      <c r="WQ23" s="27"/>
      <c r="WR23" s="27"/>
      <c r="WS23" s="27"/>
      <c r="WT23" s="27">
        <v>8</v>
      </c>
      <c r="WU23" s="27">
        <v>45</v>
      </c>
      <c r="WV23" s="27" t="s">
        <v>246</v>
      </c>
      <c r="WW23" s="27">
        <v>8</v>
      </c>
      <c r="WX23" s="27">
        <v>42</v>
      </c>
      <c r="WY23" s="27" t="s">
        <v>246</v>
      </c>
      <c r="WZ23" s="27">
        <v>8</v>
      </c>
      <c r="XA23" s="27">
        <v>42</v>
      </c>
      <c r="XB23" s="27" t="s">
        <v>246</v>
      </c>
      <c r="XC23" s="27">
        <v>8</v>
      </c>
      <c r="XD23" s="27">
        <v>45</v>
      </c>
      <c r="XE23" s="27" t="s">
        <v>246</v>
      </c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>
        <v>8</v>
      </c>
      <c r="XV23" s="27">
        <v>42</v>
      </c>
      <c r="XW23" s="27" t="s">
        <v>246</v>
      </c>
      <c r="XX23" s="37"/>
      <c r="XY23" s="27">
        <v>8</v>
      </c>
      <c r="XZ23" s="27">
        <v>45</v>
      </c>
      <c r="YA23" s="27" t="s">
        <v>246</v>
      </c>
      <c r="YB23" s="27">
        <v>8</v>
      </c>
      <c r="YC23" s="27">
        <v>45</v>
      </c>
      <c r="YD23" s="27" t="s">
        <v>246</v>
      </c>
      <c r="YE23" s="27">
        <v>8</v>
      </c>
      <c r="YF23" s="27">
        <v>42</v>
      </c>
      <c r="YG23" s="27" t="s">
        <v>246</v>
      </c>
      <c r="YH23" s="27"/>
      <c r="YI23" s="27"/>
      <c r="YJ23" s="27"/>
      <c r="YK23" s="27"/>
      <c r="YL23" s="27"/>
      <c r="YM23" s="27"/>
      <c r="YN23" s="27"/>
      <c r="YO23" s="27"/>
      <c r="YP23" s="27"/>
      <c r="YQ23" s="27">
        <v>8</v>
      </c>
      <c r="YR23" s="27">
        <v>42</v>
      </c>
      <c r="YS23" s="27" t="s">
        <v>246</v>
      </c>
      <c r="YT23" s="27"/>
      <c r="YU23" s="27"/>
      <c r="YV23" s="27"/>
      <c r="YW23" s="27">
        <v>8</v>
      </c>
      <c r="YX23" s="27">
        <v>42</v>
      </c>
      <c r="YY23" s="27" t="s">
        <v>246</v>
      </c>
      <c r="YZ23" s="27">
        <v>8</v>
      </c>
      <c r="ZA23" s="27">
        <v>42</v>
      </c>
      <c r="ZB23" s="27" t="s">
        <v>246</v>
      </c>
      <c r="ZC23" s="27"/>
      <c r="ZD23" s="27"/>
      <c r="ZE23" s="27"/>
      <c r="ZF23" s="27"/>
      <c r="ZG23" s="27"/>
      <c r="ZH23" s="27"/>
      <c r="ZI23" s="27">
        <v>8</v>
      </c>
      <c r="ZJ23" s="27">
        <v>42</v>
      </c>
      <c r="ZK23" s="27" t="s">
        <v>246</v>
      </c>
      <c r="ZL23" s="27">
        <v>8</v>
      </c>
      <c r="ZM23" s="27">
        <v>42</v>
      </c>
      <c r="ZN23" s="27" t="s">
        <v>246</v>
      </c>
      <c r="ZO23" s="27">
        <v>8</v>
      </c>
      <c r="ZP23" s="27">
        <v>42</v>
      </c>
      <c r="ZQ23" s="27" t="s">
        <v>246</v>
      </c>
      <c r="ZR23" s="27">
        <v>8</v>
      </c>
      <c r="ZS23" s="27">
        <v>42</v>
      </c>
      <c r="ZT23" s="27" t="s">
        <v>246</v>
      </c>
      <c r="ZU23" s="27">
        <v>8</v>
      </c>
      <c r="ZV23" s="27">
        <v>42</v>
      </c>
      <c r="ZW23" s="27" t="s">
        <v>246</v>
      </c>
      <c r="ZX23" s="27"/>
      <c r="ZY23" s="27"/>
      <c r="ZZ23" s="27"/>
      <c r="AAA23" s="27"/>
      <c r="AAB23" s="27"/>
      <c r="AAC23" s="27"/>
      <c r="AAD23" s="27">
        <v>8</v>
      </c>
      <c r="AAE23" s="27">
        <v>42</v>
      </c>
      <c r="AAF23" s="27" t="s">
        <v>246</v>
      </c>
      <c r="AAG23" s="27">
        <v>8</v>
      </c>
      <c r="AAH23" s="27">
        <v>42</v>
      </c>
      <c r="AAI23" s="27" t="s">
        <v>246</v>
      </c>
      <c r="AAJ23" s="27"/>
      <c r="AAK23" s="27"/>
      <c r="AAL23" s="27"/>
      <c r="AAM23" s="27">
        <v>8</v>
      </c>
      <c r="AAN23" s="27">
        <v>42</v>
      </c>
      <c r="AAO23" s="27" t="s">
        <v>246</v>
      </c>
      <c r="AAP23" s="27">
        <v>8</v>
      </c>
      <c r="AAQ23" s="27">
        <v>45</v>
      </c>
      <c r="AAR23" s="27" t="s">
        <v>246</v>
      </c>
      <c r="AAS23" s="27"/>
      <c r="AAT23" s="27"/>
      <c r="AAU23" s="27"/>
      <c r="AAV23" s="27"/>
      <c r="AAW23" s="27"/>
      <c r="AAX23" s="27"/>
      <c r="AAY23" s="27">
        <v>8</v>
      </c>
      <c r="AAZ23" s="27">
        <v>42</v>
      </c>
      <c r="ABA23" s="27" t="s">
        <v>246</v>
      </c>
      <c r="ABB23" s="27">
        <v>8</v>
      </c>
      <c r="ABC23" s="27">
        <v>42</v>
      </c>
      <c r="ABD23" s="27" t="s">
        <v>246</v>
      </c>
      <c r="ABE23" s="27"/>
      <c r="ABF23" s="27"/>
      <c r="ABG23" s="27"/>
      <c r="ABH23" s="27"/>
      <c r="ABI23" s="27"/>
      <c r="ABJ23" s="27"/>
      <c r="ABK23" s="27"/>
      <c r="ABL23" s="27"/>
      <c r="ABM23" s="29"/>
      <c r="ABN23" s="37"/>
      <c r="ABO23" s="26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9"/>
      <c r="AFD23" s="37"/>
      <c r="AFE23" s="26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37"/>
      <c r="AIR23" s="26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9"/>
      <c r="AMG23" s="37"/>
      <c r="AMH23" s="26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9"/>
      <c r="APT23" s="37"/>
      <c r="APU23" s="26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9"/>
      <c r="ATG23" s="37"/>
      <c r="ATH23" s="26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9"/>
      <c r="AWT23" s="37"/>
      <c r="AWU23" s="26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37"/>
      <c r="BAB23" s="26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9"/>
      <c r="BDN23" s="29"/>
      <c r="BDO23" s="29"/>
      <c r="BDP23" s="29"/>
      <c r="BDQ23" s="37"/>
      <c r="BDR23" s="26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9"/>
      <c r="BHD23" s="37"/>
    </row>
    <row r="24" spans="1:1564" ht="30" customHeight="1" x14ac:dyDescent="0.3">
      <c r="A24" s="22">
        <v>20</v>
      </c>
      <c r="B24" s="40" t="s">
        <v>302</v>
      </c>
      <c r="C24" s="40" t="s">
        <v>267</v>
      </c>
      <c r="D24" s="40" t="s">
        <v>242</v>
      </c>
      <c r="E24" s="37"/>
      <c r="F24" s="30"/>
      <c r="G24" s="23"/>
      <c r="H24" s="23"/>
      <c r="I24" s="30"/>
      <c r="J24" s="23"/>
      <c r="K24" s="23"/>
      <c r="L24" s="30"/>
      <c r="M24" s="23"/>
      <c r="N24" s="23"/>
      <c r="O24" s="30"/>
      <c r="P24" s="23"/>
      <c r="Q24" s="23"/>
      <c r="R24" s="30"/>
      <c r="S24" s="23"/>
      <c r="T24" s="23"/>
      <c r="U24" s="30"/>
      <c r="V24" s="23"/>
      <c r="W24" s="23"/>
      <c r="X24" s="30"/>
      <c r="Y24" s="23"/>
      <c r="Z24" s="23"/>
      <c r="AA24" s="30"/>
      <c r="AB24" s="23"/>
      <c r="AC24" s="23"/>
      <c r="AD24" s="30"/>
      <c r="AE24" s="23"/>
      <c r="AF24" s="23"/>
      <c r="AG24" s="30"/>
      <c r="AH24" s="23"/>
      <c r="AI24" s="23"/>
      <c r="AJ24" s="30"/>
      <c r="AK24" s="23"/>
      <c r="AL24" s="23"/>
      <c r="AM24" s="30"/>
      <c r="AN24" s="23"/>
      <c r="AO24" s="23"/>
      <c r="AP24" s="30"/>
      <c r="AQ24" s="23"/>
      <c r="AR24" s="23"/>
      <c r="AS24" s="30"/>
      <c r="AT24" s="23"/>
      <c r="AU24" s="23"/>
      <c r="AV24" s="30"/>
      <c r="AW24" s="23"/>
      <c r="AX24" s="23"/>
      <c r="AY24" s="30"/>
      <c r="AZ24" s="23"/>
      <c r="BA24" s="23"/>
      <c r="BB24" s="30"/>
      <c r="BC24" s="23"/>
      <c r="BD24" s="23"/>
      <c r="BE24" s="30"/>
      <c r="BF24" s="23"/>
      <c r="BG24" s="23"/>
      <c r="BH24" s="30"/>
      <c r="BI24" s="23"/>
      <c r="BJ24" s="23"/>
      <c r="BK24" s="30"/>
      <c r="BL24" s="23"/>
      <c r="BM24" s="23"/>
      <c r="BN24" s="30"/>
      <c r="BO24" s="23"/>
      <c r="BP24" s="24"/>
      <c r="BQ24" s="30"/>
      <c r="BR24" s="23"/>
      <c r="BS24" s="23"/>
      <c r="BT24" s="30"/>
      <c r="BU24" s="23"/>
      <c r="BV24" s="23"/>
      <c r="BW24" s="30"/>
      <c r="BX24" s="23"/>
      <c r="BY24" s="23"/>
      <c r="BZ24" s="30"/>
      <c r="CA24" s="23"/>
      <c r="CB24" s="23"/>
      <c r="CC24" s="30"/>
      <c r="CD24" s="23"/>
      <c r="CE24" s="23"/>
      <c r="CF24" s="30"/>
      <c r="CG24" s="23"/>
      <c r="CH24" s="23"/>
      <c r="CI24" s="30"/>
      <c r="CJ24" s="23"/>
      <c r="CK24" s="23"/>
      <c r="CL24" s="30"/>
      <c r="CM24" s="23"/>
      <c r="CN24" s="23"/>
      <c r="CO24" s="30"/>
      <c r="CP24" s="23"/>
      <c r="CQ24" s="23"/>
      <c r="CR24" s="30"/>
      <c r="CS24" s="23"/>
      <c r="CT24" s="25"/>
      <c r="CU24" s="37"/>
      <c r="CV24" s="26"/>
      <c r="CW24" s="27"/>
      <c r="CX24" s="27"/>
      <c r="CY24" s="27"/>
      <c r="CZ24" s="27"/>
      <c r="DA24" s="27"/>
      <c r="DB24" s="26"/>
      <c r="DC24" s="27"/>
      <c r="DD24" s="27"/>
      <c r="DE24" s="26"/>
      <c r="DF24" s="27"/>
      <c r="DG24" s="27"/>
      <c r="DH24" s="26"/>
      <c r="DI24" s="27"/>
      <c r="DJ24" s="27"/>
      <c r="DK24" s="26"/>
      <c r="DL24" s="27"/>
      <c r="DM24" s="27"/>
      <c r="DN24" s="26"/>
      <c r="DO24" s="27"/>
      <c r="DP24" s="27"/>
      <c r="DQ24" s="26"/>
      <c r="DR24" s="27"/>
      <c r="DS24" s="27"/>
      <c r="DT24" s="26"/>
      <c r="DU24" s="27"/>
      <c r="DV24" s="27"/>
      <c r="DW24" s="26"/>
      <c r="DX24" s="27"/>
      <c r="DY24" s="27"/>
      <c r="DZ24" s="26"/>
      <c r="EA24" s="27"/>
      <c r="EB24" s="27"/>
      <c r="EC24" s="26"/>
      <c r="ED24" s="27"/>
      <c r="EE24" s="27"/>
      <c r="EF24" s="26"/>
      <c r="EG24" s="27"/>
      <c r="EH24" s="27"/>
      <c r="EI24" s="26"/>
      <c r="EJ24" s="27"/>
      <c r="EK24" s="27"/>
      <c r="EL24" s="26"/>
      <c r="EM24" s="27"/>
      <c r="EN24" s="27"/>
      <c r="EO24" s="26"/>
      <c r="EP24" s="27"/>
      <c r="EQ24" s="27"/>
      <c r="ER24" s="26"/>
      <c r="ES24" s="27"/>
      <c r="ET24" s="27"/>
      <c r="EU24" s="26"/>
      <c r="EV24" s="27"/>
      <c r="EW24" s="27"/>
      <c r="EX24" s="26"/>
      <c r="EY24" s="27"/>
      <c r="EZ24" s="27"/>
      <c r="FA24" s="26"/>
      <c r="FB24" s="27"/>
      <c r="FC24" s="27"/>
      <c r="FD24" s="26"/>
      <c r="FE24" s="27"/>
      <c r="FF24" s="27"/>
      <c r="FG24" s="26"/>
      <c r="FH24" s="27"/>
      <c r="FI24" s="27"/>
      <c r="FJ24" s="26"/>
      <c r="FK24" s="27"/>
      <c r="FL24" s="27"/>
      <c r="FM24" s="26"/>
      <c r="FN24" s="27"/>
      <c r="FO24" s="27"/>
      <c r="FP24" s="26"/>
      <c r="FQ24" s="27"/>
      <c r="FR24" s="27"/>
      <c r="FS24" s="26"/>
      <c r="FT24" s="27"/>
      <c r="FU24" s="27"/>
      <c r="FV24" s="26"/>
      <c r="FW24" s="27"/>
      <c r="FX24" s="27"/>
      <c r="FY24" s="26"/>
      <c r="FZ24" s="27"/>
      <c r="GA24" s="27"/>
      <c r="GB24" s="26"/>
      <c r="GC24" s="27"/>
      <c r="GD24" s="27"/>
      <c r="GE24" s="26"/>
      <c r="GF24" s="27"/>
      <c r="GG24" s="27"/>
      <c r="GH24" s="26"/>
      <c r="GI24" s="27"/>
      <c r="GJ24" s="29"/>
      <c r="GK24" s="37"/>
      <c r="GL24" s="26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37"/>
      <c r="JS24" s="26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9"/>
      <c r="NH24" s="37"/>
      <c r="NI24" s="26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37"/>
      <c r="QV24" s="26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9"/>
      <c r="UK24" s="37"/>
      <c r="UL24" s="26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37"/>
      <c r="XY24" s="26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9"/>
      <c r="ABN24" s="37"/>
      <c r="ABO24" s="26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9"/>
      <c r="AFD24" s="37"/>
      <c r="AFE24" s="26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37"/>
      <c r="AIR24" s="26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9"/>
      <c r="AMG24" s="37"/>
      <c r="AMH24" s="26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9"/>
      <c r="APT24" s="37"/>
      <c r="APU24" s="26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9"/>
      <c r="ATG24" s="37"/>
      <c r="ATH24" s="26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9"/>
      <c r="AWT24" s="37"/>
      <c r="AWU24" s="26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37"/>
      <c r="BAB24" s="26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9"/>
      <c r="BDN24" s="29"/>
      <c r="BDO24" s="29"/>
      <c r="BDP24" s="29"/>
      <c r="BDQ24" s="37"/>
      <c r="BDR24" s="26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9"/>
      <c r="BHD24" s="37"/>
    </row>
    <row r="25" spans="1:1564" ht="30" customHeight="1" x14ac:dyDescent="0.3">
      <c r="A25" s="22">
        <v>21</v>
      </c>
      <c r="B25" s="40" t="s">
        <v>303</v>
      </c>
      <c r="C25" s="40" t="s">
        <v>268</v>
      </c>
      <c r="D25" s="40" t="s">
        <v>257</v>
      </c>
      <c r="E25" s="37"/>
      <c r="F25" s="30"/>
      <c r="G25" s="23"/>
      <c r="H25" s="23"/>
      <c r="I25" s="30"/>
      <c r="J25" s="23"/>
      <c r="K25" s="23"/>
      <c r="L25" s="30"/>
      <c r="M25" s="23"/>
      <c r="N25" s="23"/>
      <c r="O25" s="30"/>
      <c r="P25" s="23"/>
      <c r="Q25" s="23"/>
      <c r="R25" s="30"/>
      <c r="S25" s="23"/>
      <c r="T25" s="23"/>
      <c r="U25" s="30"/>
      <c r="V25" s="23"/>
      <c r="W25" s="23"/>
      <c r="X25" s="30"/>
      <c r="Y25" s="23"/>
      <c r="Z25" s="23"/>
      <c r="AA25" s="30"/>
      <c r="AB25" s="23"/>
      <c r="AC25" s="23"/>
      <c r="AD25" s="30"/>
      <c r="AE25" s="23"/>
      <c r="AF25" s="23"/>
      <c r="AG25" s="30"/>
      <c r="AH25" s="23"/>
      <c r="AI25" s="23"/>
      <c r="AJ25" s="30"/>
      <c r="AK25" s="23"/>
      <c r="AL25" s="23"/>
      <c r="AM25" s="30"/>
      <c r="AN25" s="23"/>
      <c r="AO25" s="23"/>
      <c r="AP25" s="30"/>
      <c r="AQ25" s="23"/>
      <c r="AR25" s="23"/>
      <c r="AS25" s="30"/>
      <c r="AT25" s="23"/>
      <c r="AU25" s="23"/>
      <c r="AV25" s="30"/>
      <c r="AW25" s="23"/>
      <c r="AX25" s="23"/>
      <c r="AY25" s="30"/>
      <c r="AZ25" s="23"/>
      <c r="BA25" s="23"/>
      <c r="BB25" s="30"/>
      <c r="BC25" s="23"/>
      <c r="BD25" s="23"/>
      <c r="BE25" s="30"/>
      <c r="BF25" s="23"/>
      <c r="BG25" s="23"/>
      <c r="BH25" s="30"/>
      <c r="BI25" s="23"/>
      <c r="BJ25" s="23"/>
      <c r="BK25" s="30"/>
      <c r="BL25" s="23"/>
      <c r="BM25" s="23"/>
      <c r="BN25" s="30"/>
      <c r="BO25" s="23"/>
      <c r="BP25" s="24"/>
      <c r="BQ25" s="30"/>
      <c r="BR25" s="23"/>
      <c r="BS25" s="23"/>
      <c r="BT25" s="30"/>
      <c r="BU25" s="23"/>
      <c r="BV25" s="23"/>
      <c r="BW25" s="30"/>
      <c r="BX25" s="23"/>
      <c r="BY25" s="23"/>
      <c r="BZ25" s="30"/>
      <c r="CA25" s="23"/>
      <c r="CB25" s="23"/>
      <c r="CC25" s="30"/>
      <c r="CD25" s="23"/>
      <c r="CE25" s="23"/>
      <c r="CF25" s="30"/>
      <c r="CG25" s="23"/>
      <c r="CH25" s="23"/>
      <c r="CI25" s="30"/>
      <c r="CJ25" s="23"/>
      <c r="CK25" s="23"/>
      <c r="CL25" s="30"/>
      <c r="CM25" s="23"/>
      <c r="CN25" s="23"/>
      <c r="CO25" s="30"/>
      <c r="CP25" s="23"/>
      <c r="CQ25" s="23"/>
      <c r="CR25" s="30"/>
      <c r="CS25" s="23"/>
      <c r="CT25" s="25"/>
      <c r="CU25" s="37"/>
      <c r="CV25" s="26"/>
      <c r="CW25" s="27"/>
      <c r="CX25" s="27"/>
      <c r="CY25" s="27"/>
      <c r="CZ25" s="27"/>
      <c r="DA25" s="27"/>
      <c r="DB25" s="26"/>
      <c r="DC25" s="27"/>
      <c r="DD25" s="27"/>
      <c r="DE25" s="26"/>
      <c r="DF25" s="27"/>
      <c r="DG25" s="27"/>
      <c r="DH25" s="26"/>
      <c r="DI25" s="27"/>
      <c r="DJ25" s="27"/>
      <c r="DK25" s="26"/>
      <c r="DL25" s="27"/>
      <c r="DM25" s="27"/>
      <c r="DN25" s="26"/>
      <c r="DO25" s="27"/>
      <c r="DP25" s="27"/>
      <c r="DQ25" s="26"/>
      <c r="DR25" s="27"/>
      <c r="DS25" s="27"/>
      <c r="DT25" s="26"/>
      <c r="DU25" s="27"/>
      <c r="DV25" s="27"/>
      <c r="DW25" s="26"/>
      <c r="DX25" s="27"/>
      <c r="DY25" s="27"/>
      <c r="DZ25" s="26"/>
      <c r="EA25" s="27"/>
      <c r="EB25" s="27"/>
      <c r="EC25" s="26"/>
      <c r="ED25" s="27"/>
      <c r="EE25" s="27"/>
      <c r="EF25" s="26"/>
      <c r="EG25" s="27"/>
      <c r="EH25" s="27"/>
      <c r="EI25" s="26"/>
      <c r="EJ25" s="27"/>
      <c r="EK25" s="27"/>
      <c r="EL25" s="26"/>
      <c r="EM25" s="27"/>
      <c r="EN25" s="27"/>
      <c r="EO25" s="26"/>
      <c r="EP25" s="27"/>
      <c r="EQ25" s="27"/>
      <c r="ER25" s="26"/>
      <c r="ES25" s="27"/>
      <c r="ET25" s="27"/>
      <c r="EU25" s="26"/>
      <c r="EV25" s="27"/>
      <c r="EW25" s="27"/>
      <c r="EX25" s="26"/>
      <c r="EY25" s="27"/>
      <c r="EZ25" s="27"/>
      <c r="FA25" s="26"/>
      <c r="FB25" s="27"/>
      <c r="FC25" s="27"/>
      <c r="FD25" s="26"/>
      <c r="FE25" s="27"/>
      <c r="FF25" s="27"/>
      <c r="FG25" s="26"/>
      <c r="FH25" s="27"/>
      <c r="FI25" s="27"/>
      <c r="FJ25" s="26"/>
      <c r="FK25" s="27"/>
      <c r="FL25" s="27"/>
      <c r="FM25" s="26"/>
      <c r="FN25" s="27"/>
      <c r="FO25" s="27"/>
      <c r="FP25" s="26"/>
      <c r="FQ25" s="27"/>
      <c r="FR25" s="27"/>
      <c r="FS25" s="26"/>
      <c r="FT25" s="27"/>
      <c r="FU25" s="27"/>
      <c r="FV25" s="26"/>
      <c r="FW25" s="27"/>
      <c r="FX25" s="27"/>
      <c r="FY25" s="26"/>
      <c r="FZ25" s="27"/>
      <c r="GA25" s="27"/>
      <c r="GB25" s="26"/>
      <c r="GC25" s="27"/>
      <c r="GD25" s="27"/>
      <c r="GE25" s="26"/>
      <c r="GF25" s="27"/>
      <c r="GG25" s="27"/>
      <c r="GH25" s="26"/>
      <c r="GI25" s="27"/>
      <c r="GJ25" s="29"/>
      <c r="GK25" s="37"/>
      <c r="GL25" s="26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37"/>
      <c r="JS25" s="26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9"/>
      <c r="NH25" s="37"/>
      <c r="NI25" s="26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37"/>
      <c r="QV25" s="26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9"/>
      <c r="UK25" s="37"/>
      <c r="UL25" s="26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37"/>
      <c r="XY25" s="26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9"/>
      <c r="ABN25" s="37"/>
      <c r="ABO25" s="26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9"/>
      <c r="AFD25" s="37"/>
      <c r="AFE25" s="26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37"/>
      <c r="AIR25" s="26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7"/>
      <c r="ALE25" s="27"/>
      <c r="ALF25" s="27"/>
      <c r="ALG25" s="27"/>
      <c r="ALH25" s="27"/>
      <c r="ALI25" s="27"/>
      <c r="ALJ25" s="27"/>
      <c r="ALK25" s="27"/>
      <c r="ALL25" s="27"/>
      <c r="ALM25" s="27"/>
      <c r="ALN25" s="27"/>
      <c r="ALO25" s="27"/>
      <c r="ALP25" s="27"/>
      <c r="ALQ25" s="27"/>
      <c r="ALR25" s="27"/>
      <c r="ALS25" s="27"/>
      <c r="ALT25" s="27"/>
      <c r="ALU25" s="27"/>
      <c r="ALV25" s="27"/>
      <c r="ALW25" s="27"/>
      <c r="ALX25" s="27"/>
      <c r="ALY25" s="27"/>
      <c r="ALZ25" s="27"/>
      <c r="AMA25" s="27"/>
      <c r="AMB25" s="27"/>
      <c r="AMC25" s="27"/>
      <c r="AMD25" s="27"/>
      <c r="AME25" s="27"/>
      <c r="AMF25" s="29"/>
      <c r="AMG25" s="37"/>
      <c r="AMH25" s="26"/>
      <c r="AMI25" s="27"/>
      <c r="AMJ25" s="27"/>
      <c r="AMK25" s="27"/>
      <c r="AML25" s="27"/>
      <c r="AMM25" s="27"/>
      <c r="AMN25" s="27"/>
      <c r="AMO25" s="27"/>
      <c r="AMP25" s="27"/>
      <c r="AMQ25" s="27"/>
      <c r="AMR25" s="27"/>
      <c r="AMS25" s="27"/>
      <c r="AMT25" s="27"/>
      <c r="AMU25" s="27"/>
      <c r="AMV25" s="27"/>
      <c r="AMW25" s="27"/>
      <c r="AMX25" s="27"/>
      <c r="AMY25" s="27"/>
      <c r="AMZ25" s="27"/>
      <c r="ANA25" s="27"/>
      <c r="ANB25" s="27"/>
      <c r="ANC25" s="27"/>
      <c r="AND25" s="27"/>
      <c r="ANE25" s="27"/>
      <c r="ANF25" s="27"/>
      <c r="ANG25" s="27"/>
      <c r="ANH25" s="27"/>
      <c r="ANI25" s="27"/>
      <c r="ANJ25" s="27"/>
      <c r="ANK25" s="27"/>
      <c r="ANL25" s="27"/>
      <c r="ANM25" s="27"/>
      <c r="ANN25" s="27"/>
      <c r="ANO25" s="27"/>
      <c r="ANP25" s="27"/>
      <c r="ANQ25" s="27"/>
      <c r="ANR25" s="27"/>
      <c r="ANS25" s="27"/>
      <c r="ANT25" s="27"/>
      <c r="ANU25" s="27"/>
      <c r="ANV25" s="27"/>
      <c r="ANW25" s="27"/>
      <c r="ANX25" s="27"/>
      <c r="ANY25" s="27"/>
      <c r="ANZ25" s="27"/>
      <c r="AOA25" s="27"/>
      <c r="AOB25" s="27"/>
      <c r="AOC25" s="27"/>
      <c r="AOD25" s="27"/>
      <c r="AOE25" s="27"/>
      <c r="AOF25" s="27"/>
      <c r="AOG25" s="27"/>
      <c r="AOH25" s="27"/>
      <c r="AOI25" s="27"/>
      <c r="AOJ25" s="27"/>
      <c r="AOK25" s="27"/>
      <c r="AOL25" s="27"/>
      <c r="AOM25" s="27"/>
      <c r="AON25" s="27"/>
      <c r="AOO25" s="27"/>
      <c r="AOP25" s="27"/>
      <c r="AOQ25" s="27"/>
      <c r="AOR25" s="27"/>
      <c r="AOS25" s="27"/>
      <c r="AOT25" s="27"/>
      <c r="AOU25" s="27"/>
      <c r="AOV25" s="27"/>
      <c r="AOW25" s="27"/>
      <c r="AOX25" s="27"/>
      <c r="AOY25" s="27"/>
      <c r="AOZ25" s="27"/>
      <c r="APA25" s="27"/>
      <c r="APB25" s="27"/>
      <c r="APC25" s="27"/>
      <c r="APD25" s="27"/>
      <c r="APE25" s="27"/>
      <c r="APF25" s="27"/>
      <c r="APG25" s="27"/>
      <c r="APH25" s="27"/>
      <c r="API25" s="27"/>
      <c r="APJ25" s="27"/>
      <c r="APK25" s="27"/>
      <c r="APL25" s="27"/>
      <c r="APM25" s="27"/>
      <c r="APN25" s="27"/>
      <c r="APO25" s="27"/>
      <c r="APP25" s="27"/>
      <c r="APQ25" s="27"/>
      <c r="APR25" s="27"/>
      <c r="APS25" s="29"/>
      <c r="APT25" s="37"/>
      <c r="APU25" s="26"/>
      <c r="APV25" s="27"/>
      <c r="APW25" s="27"/>
      <c r="APX25" s="27"/>
      <c r="APY25" s="27"/>
      <c r="APZ25" s="27"/>
      <c r="AQA25" s="27"/>
      <c r="AQB25" s="27"/>
      <c r="AQC25" s="27"/>
      <c r="AQD25" s="27"/>
      <c r="AQE25" s="27"/>
      <c r="AQF25" s="27"/>
      <c r="AQG25" s="27"/>
      <c r="AQH25" s="27"/>
      <c r="AQI25" s="27"/>
      <c r="AQJ25" s="27"/>
      <c r="AQK25" s="27"/>
      <c r="AQL25" s="27"/>
      <c r="AQM25" s="27"/>
      <c r="AQN25" s="27"/>
      <c r="AQO25" s="27"/>
      <c r="AQP25" s="27"/>
      <c r="AQQ25" s="27"/>
      <c r="AQR25" s="27"/>
      <c r="AQS25" s="27"/>
      <c r="AQT25" s="27"/>
      <c r="AQU25" s="27"/>
      <c r="AQV25" s="27"/>
      <c r="AQW25" s="27"/>
      <c r="AQX25" s="27"/>
      <c r="AQY25" s="27"/>
      <c r="AQZ25" s="27"/>
      <c r="ARA25" s="27"/>
      <c r="ARB25" s="27"/>
      <c r="ARC25" s="27"/>
      <c r="ARD25" s="27"/>
      <c r="ARE25" s="27"/>
      <c r="ARF25" s="27"/>
      <c r="ARG25" s="27"/>
      <c r="ARH25" s="27"/>
      <c r="ARI25" s="27"/>
      <c r="ARJ25" s="27"/>
      <c r="ARK25" s="27"/>
      <c r="ARL25" s="27"/>
      <c r="ARM25" s="27"/>
      <c r="ARN25" s="27"/>
      <c r="ARO25" s="27"/>
      <c r="ARP25" s="27"/>
      <c r="ARQ25" s="27"/>
      <c r="ARR25" s="27"/>
      <c r="ARS25" s="27"/>
      <c r="ART25" s="27"/>
      <c r="ARU25" s="27"/>
      <c r="ARV25" s="27"/>
      <c r="ARW25" s="27"/>
      <c r="ARX25" s="27"/>
      <c r="ARY25" s="27"/>
      <c r="ARZ25" s="27"/>
      <c r="ASA25" s="27"/>
      <c r="ASB25" s="27"/>
      <c r="ASC25" s="27"/>
      <c r="ASD25" s="27"/>
      <c r="ASE25" s="27"/>
      <c r="ASF25" s="27"/>
      <c r="ASG25" s="27"/>
      <c r="ASH25" s="27"/>
      <c r="ASI25" s="27"/>
      <c r="ASJ25" s="27"/>
      <c r="ASK25" s="27"/>
      <c r="ASL25" s="27"/>
      <c r="ASM25" s="27"/>
      <c r="ASN25" s="27"/>
      <c r="ASO25" s="27"/>
      <c r="ASP25" s="27"/>
      <c r="ASQ25" s="27"/>
      <c r="ASR25" s="27"/>
      <c r="ASS25" s="27"/>
      <c r="AST25" s="27"/>
      <c r="ASU25" s="27"/>
      <c r="ASV25" s="27"/>
      <c r="ASW25" s="27"/>
      <c r="ASX25" s="27"/>
      <c r="ASY25" s="27"/>
      <c r="ASZ25" s="27"/>
      <c r="ATA25" s="27"/>
      <c r="ATB25" s="27"/>
      <c r="ATC25" s="27"/>
      <c r="ATD25" s="27"/>
      <c r="ATE25" s="27"/>
      <c r="ATF25" s="29"/>
      <c r="ATG25" s="37"/>
      <c r="ATH25" s="26"/>
      <c r="ATI25" s="27"/>
      <c r="ATJ25" s="27"/>
      <c r="ATK25" s="27"/>
      <c r="ATL25" s="27"/>
      <c r="ATM25" s="27"/>
      <c r="ATN25" s="27"/>
      <c r="ATO25" s="27"/>
      <c r="ATP25" s="27"/>
      <c r="ATQ25" s="27"/>
      <c r="ATR25" s="27"/>
      <c r="ATS25" s="27"/>
      <c r="ATT25" s="27"/>
      <c r="ATU25" s="27"/>
      <c r="ATV25" s="27"/>
      <c r="ATW25" s="27"/>
      <c r="ATX25" s="27"/>
      <c r="ATY25" s="27"/>
      <c r="ATZ25" s="27"/>
      <c r="AUA25" s="27"/>
      <c r="AUB25" s="27"/>
      <c r="AUC25" s="27"/>
      <c r="AUD25" s="27"/>
      <c r="AUE25" s="27"/>
      <c r="AUF25" s="27"/>
      <c r="AUG25" s="27"/>
      <c r="AUH25" s="27"/>
      <c r="AUI25" s="27"/>
      <c r="AUJ25" s="27"/>
      <c r="AUK25" s="27"/>
      <c r="AUL25" s="27"/>
      <c r="AUM25" s="27"/>
      <c r="AUN25" s="27"/>
      <c r="AUO25" s="27"/>
      <c r="AUP25" s="27"/>
      <c r="AUQ25" s="27"/>
      <c r="AUR25" s="27"/>
      <c r="AUS25" s="27"/>
      <c r="AUT25" s="27"/>
      <c r="AUU25" s="27"/>
      <c r="AUV25" s="27"/>
      <c r="AUW25" s="27"/>
      <c r="AUX25" s="27"/>
      <c r="AUY25" s="27"/>
      <c r="AUZ25" s="27"/>
      <c r="AVA25" s="27"/>
      <c r="AVB25" s="27"/>
      <c r="AVC25" s="27"/>
      <c r="AVD25" s="27"/>
      <c r="AVE25" s="27"/>
      <c r="AVF25" s="27"/>
      <c r="AVG25" s="27"/>
      <c r="AVH25" s="27"/>
      <c r="AVI25" s="27"/>
      <c r="AVJ25" s="27"/>
      <c r="AVK25" s="27"/>
      <c r="AVL25" s="27"/>
      <c r="AVM25" s="27"/>
      <c r="AVN25" s="27"/>
      <c r="AVO25" s="27"/>
      <c r="AVP25" s="27"/>
      <c r="AVQ25" s="27"/>
      <c r="AVR25" s="27"/>
      <c r="AVS25" s="27"/>
      <c r="AVT25" s="27"/>
      <c r="AVU25" s="27"/>
      <c r="AVV25" s="27"/>
      <c r="AVW25" s="27"/>
      <c r="AVX25" s="27"/>
      <c r="AVY25" s="27"/>
      <c r="AVZ25" s="27"/>
      <c r="AWA25" s="27"/>
      <c r="AWB25" s="27"/>
      <c r="AWC25" s="27"/>
      <c r="AWD25" s="27"/>
      <c r="AWE25" s="27"/>
      <c r="AWF25" s="27"/>
      <c r="AWG25" s="27"/>
      <c r="AWH25" s="27"/>
      <c r="AWI25" s="27"/>
      <c r="AWJ25" s="27"/>
      <c r="AWK25" s="27"/>
      <c r="AWL25" s="27"/>
      <c r="AWM25" s="27"/>
      <c r="AWN25" s="27"/>
      <c r="AWO25" s="27"/>
      <c r="AWP25" s="27"/>
      <c r="AWQ25" s="27"/>
      <c r="AWR25" s="27"/>
      <c r="AWS25" s="29"/>
      <c r="AWT25" s="37"/>
      <c r="AWU25" s="26"/>
      <c r="AWV25" s="27"/>
      <c r="AWW25" s="27"/>
      <c r="AWX25" s="27"/>
      <c r="AWY25" s="27"/>
      <c r="AWZ25" s="27"/>
      <c r="AXA25" s="27"/>
      <c r="AXB25" s="27"/>
      <c r="AXC25" s="27"/>
      <c r="AXD25" s="27"/>
      <c r="AXE25" s="27"/>
      <c r="AXF25" s="27"/>
      <c r="AXG25" s="27"/>
      <c r="AXH25" s="27"/>
      <c r="AXI25" s="27"/>
      <c r="AXJ25" s="27"/>
      <c r="AXK25" s="27"/>
      <c r="AXL25" s="27"/>
      <c r="AXM25" s="27"/>
      <c r="AXN25" s="27"/>
      <c r="AXO25" s="27"/>
      <c r="AXP25" s="27"/>
      <c r="AXQ25" s="27"/>
      <c r="AXR25" s="27"/>
      <c r="AXS25" s="27"/>
      <c r="AXT25" s="27"/>
      <c r="AXU25" s="27"/>
      <c r="AXV25" s="27"/>
      <c r="AXW25" s="27"/>
      <c r="AXX25" s="27"/>
      <c r="AXY25" s="27"/>
      <c r="AXZ25" s="27"/>
      <c r="AYA25" s="27"/>
      <c r="AYB25" s="27"/>
      <c r="AYC25" s="27"/>
      <c r="AYD25" s="27"/>
      <c r="AYE25" s="27"/>
      <c r="AYF25" s="27"/>
      <c r="AYG25" s="27"/>
      <c r="AYH25" s="27"/>
      <c r="AYI25" s="27"/>
      <c r="AYJ25" s="27"/>
      <c r="AYK25" s="27"/>
      <c r="AYL25" s="27"/>
      <c r="AYM25" s="27"/>
      <c r="AYN25" s="27"/>
      <c r="AYO25" s="27"/>
      <c r="AYP25" s="27"/>
      <c r="AYQ25" s="27"/>
      <c r="AYR25" s="27"/>
      <c r="AYS25" s="27"/>
      <c r="AYT25" s="27"/>
      <c r="AYU25" s="27"/>
      <c r="AYV25" s="27"/>
      <c r="AYW25" s="27"/>
      <c r="AYX25" s="27"/>
      <c r="AYY25" s="27"/>
      <c r="AYZ25" s="27"/>
      <c r="AZA25" s="27"/>
      <c r="AZB25" s="27"/>
      <c r="AZC25" s="27"/>
      <c r="AZD25" s="27"/>
      <c r="AZE25" s="27"/>
      <c r="AZF25" s="27"/>
      <c r="AZG25" s="27"/>
      <c r="AZH25" s="27"/>
      <c r="AZI25" s="27"/>
      <c r="AZJ25" s="27"/>
      <c r="AZK25" s="27"/>
      <c r="AZL25" s="27"/>
      <c r="AZM25" s="27"/>
      <c r="AZN25" s="27"/>
      <c r="AZO25" s="27"/>
      <c r="AZP25" s="27"/>
      <c r="AZQ25" s="27"/>
      <c r="AZR25" s="27"/>
      <c r="AZS25" s="27"/>
      <c r="AZT25" s="27"/>
      <c r="AZU25" s="27"/>
      <c r="AZV25" s="27"/>
      <c r="AZW25" s="27"/>
      <c r="AZX25" s="27"/>
      <c r="AZY25" s="27"/>
      <c r="AZZ25" s="27"/>
      <c r="BAA25" s="37"/>
      <c r="BAB25" s="26"/>
      <c r="BAC25" s="27"/>
      <c r="BAD25" s="27"/>
      <c r="BAE25" s="27"/>
      <c r="BAF25" s="27"/>
      <c r="BAG25" s="27"/>
      <c r="BAH25" s="27"/>
      <c r="BAI25" s="27"/>
      <c r="BAJ25" s="27"/>
      <c r="BAK25" s="27"/>
      <c r="BAL25" s="27"/>
      <c r="BAM25" s="27"/>
      <c r="BAN25" s="27"/>
      <c r="BAO25" s="27"/>
      <c r="BAP25" s="27"/>
      <c r="BAQ25" s="27"/>
      <c r="BAR25" s="27"/>
      <c r="BAS25" s="27"/>
      <c r="BAT25" s="27"/>
      <c r="BAU25" s="27"/>
      <c r="BAV25" s="27"/>
      <c r="BAW25" s="27"/>
      <c r="BAX25" s="27"/>
      <c r="BAY25" s="27"/>
      <c r="BAZ25" s="27"/>
      <c r="BBA25" s="27"/>
      <c r="BBB25" s="27"/>
      <c r="BBC25" s="27"/>
      <c r="BBD25" s="27"/>
      <c r="BBE25" s="27"/>
      <c r="BBF25" s="27"/>
      <c r="BBG25" s="27"/>
      <c r="BBH25" s="27"/>
      <c r="BBI25" s="27"/>
      <c r="BBJ25" s="27"/>
      <c r="BBK25" s="27"/>
      <c r="BBL25" s="27"/>
      <c r="BBM25" s="27"/>
      <c r="BBN25" s="27"/>
      <c r="BBO25" s="27"/>
      <c r="BBP25" s="27"/>
      <c r="BBQ25" s="27"/>
      <c r="BBR25" s="27"/>
      <c r="BBS25" s="27"/>
      <c r="BBT25" s="27"/>
      <c r="BBU25" s="27"/>
      <c r="BBV25" s="27"/>
      <c r="BBW25" s="27"/>
      <c r="BBX25" s="27"/>
      <c r="BBY25" s="27"/>
      <c r="BBZ25" s="27"/>
      <c r="BCA25" s="27"/>
      <c r="BCB25" s="27"/>
      <c r="BCC25" s="27"/>
      <c r="BCD25" s="27"/>
      <c r="BCE25" s="27"/>
      <c r="BCF25" s="27"/>
      <c r="BCG25" s="27"/>
      <c r="BCH25" s="27"/>
      <c r="BCI25" s="27"/>
      <c r="BCJ25" s="27"/>
      <c r="BCK25" s="27"/>
      <c r="BCL25" s="27"/>
      <c r="BCM25" s="27"/>
      <c r="BCN25" s="27"/>
      <c r="BCO25" s="27"/>
      <c r="BCP25" s="27"/>
      <c r="BCQ25" s="27"/>
      <c r="BCR25" s="27"/>
      <c r="BCS25" s="27"/>
      <c r="BCT25" s="27"/>
      <c r="BCU25" s="27"/>
      <c r="BCV25" s="27"/>
      <c r="BCW25" s="27"/>
      <c r="BCX25" s="27"/>
      <c r="BCY25" s="27"/>
      <c r="BCZ25" s="27"/>
      <c r="BDA25" s="27"/>
      <c r="BDB25" s="27"/>
      <c r="BDC25" s="27"/>
      <c r="BDD25" s="27"/>
      <c r="BDE25" s="27"/>
      <c r="BDF25" s="27"/>
      <c r="BDG25" s="27"/>
      <c r="BDH25" s="27"/>
      <c r="BDI25" s="27"/>
      <c r="BDJ25" s="27"/>
      <c r="BDK25" s="27"/>
      <c r="BDL25" s="27"/>
      <c r="BDM25" s="29"/>
      <c r="BDN25" s="29"/>
      <c r="BDO25" s="29"/>
      <c r="BDP25" s="29"/>
      <c r="BDQ25" s="37"/>
      <c r="BDR25" s="26"/>
      <c r="BDS25" s="27"/>
      <c r="BDT25" s="27"/>
      <c r="BDU25" s="27"/>
      <c r="BDV25" s="27"/>
      <c r="BDW25" s="27"/>
      <c r="BDX25" s="27"/>
      <c r="BDY25" s="27"/>
      <c r="BDZ25" s="27"/>
      <c r="BEA25" s="27"/>
      <c r="BEB25" s="27"/>
      <c r="BEC25" s="27"/>
      <c r="BED25" s="27"/>
      <c r="BEE25" s="27"/>
      <c r="BEF25" s="27"/>
      <c r="BEG25" s="27"/>
      <c r="BEH25" s="27"/>
      <c r="BEI25" s="27"/>
      <c r="BEJ25" s="27"/>
      <c r="BEK25" s="27"/>
      <c r="BEL25" s="27"/>
      <c r="BEM25" s="27"/>
      <c r="BEN25" s="27"/>
      <c r="BEO25" s="27"/>
      <c r="BEP25" s="27"/>
      <c r="BEQ25" s="27"/>
      <c r="BER25" s="27"/>
      <c r="BES25" s="27"/>
      <c r="BET25" s="27"/>
      <c r="BEU25" s="27"/>
      <c r="BEV25" s="27"/>
      <c r="BEW25" s="27"/>
      <c r="BEX25" s="27"/>
      <c r="BEY25" s="27"/>
      <c r="BEZ25" s="27"/>
      <c r="BFA25" s="27"/>
      <c r="BFB25" s="27"/>
      <c r="BFC25" s="27"/>
      <c r="BFD25" s="27"/>
      <c r="BFE25" s="27"/>
      <c r="BFF25" s="27"/>
      <c r="BFG25" s="27"/>
      <c r="BFH25" s="27"/>
      <c r="BFI25" s="27"/>
      <c r="BFJ25" s="27"/>
      <c r="BFK25" s="27"/>
      <c r="BFL25" s="27"/>
      <c r="BFM25" s="27"/>
      <c r="BFN25" s="27"/>
      <c r="BFO25" s="27"/>
      <c r="BFP25" s="27"/>
      <c r="BFQ25" s="27"/>
      <c r="BFR25" s="27"/>
      <c r="BFS25" s="27"/>
      <c r="BFT25" s="27"/>
      <c r="BFU25" s="27"/>
      <c r="BFV25" s="27"/>
      <c r="BFW25" s="27"/>
      <c r="BFX25" s="27"/>
      <c r="BFY25" s="27"/>
      <c r="BFZ25" s="27"/>
      <c r="BGA25" s="27"/>
      <c r="BGB25" s="27"/>
      <c r="BGC25" s="27"/>
      <c r="BGD25" s="27"/>
      <c r="BGE25" s="27"/>
      <c r="BGF25" s="27"/>
      <c r="BGG25" s="27"/>
      <c r="BGH25" s="27"/>
      <c r="BGI25" s="27"/>
      <c r="BGJ25" s="27"/>
      <c r="BGK25" s="27"/>
      <c r="BGL25" s="27"/>
      <c r="BGM25" s="27"/>
      <c r="BGN25" s="27"/>
      <c r="BGO25" s="27"/>
      <c r="BGP25" s="27"/>
      <c r="BGQ25" s="27"/>
      <c r="BGR25" s="27"/>
      <c r="BGS25" s="27"/>
      <c r="BGT25" s="27"/>
      <c r="BGU25" s="27"/>
      <c r="BGV25" s="27"/>
      <c r="BGW25" s="27"/>
      <c r="BGX25" s="27"/>
      <c r="BGY25" s="27"/>
      <c r="BGZ25" s="27"/>
      <c r="BHA25" s="27"/>
      <c r="BHB25" s="27"/>
      <c r="BHC25" s="29"/>
      <c r="BHD25" s="37"/>
    </row>
    <row r="26" spans="1:1564" ht="45" customHeight="1" x14ac:dyDescent="0.3">
      <c r="A26" s="22">
        <v>22</v>
      </c>
      <c r="B26" s="40" t="s">
        <v>304</v>
      </c>
      <c r="C26" s="40" t="s">
        <v>269</v>
      </c>
      <c r="D26" s="40" t="s">
        <v>257</v>
      </c>
      <c r="E26" s="37"/>
      <c r="F26" s="30"/>
      <c r="G26" s="23"/>
      <c r="H26" s="23"/>
      <c r="I26" s="30"/>
      <c r="J26" s="23"/>
      <c r="K26" s="23"/>
      <c r="L26" s="30"/>
      <c r="M26" s="23"/>
      <c r="N26" s="23"/>
      <c r="O26" s="30"/>
      <c r="P26" s="23"/>
      <c r="Q26" s="23"/>
      <c r="R26" s="30"/>
      <c r="S26" s="23"/>
      <c r="T26" s="23"/>
      <c r="U26" s="30"/>
      <c r="V26" s="23"/>
      <c r="W26" s="23"/>
      <c r="X26" s="30"/>
      <c r="Y26" s="23"/>
      <c r="Z26" s="23"/>
      <c r="AA26" s="30"/>
      <c r="AB26" s="23"/>
      <c r="AC26" s="23"/>
      <c r="AD26" s="30"/>
      <c r="AE26" s="23"/>
      <c r="AF26" s="23"/>
      <c r="AG26" s="30"/>
      <c r="AH26" s="23"/>
      <c r="AI26" s="23"/>
      <c r="AJ26" s="30"/>
      <c r="AK26" s="23"/>
      <c r="AL26" s="23"/>
      <c r="AM26" s="30"/>
      <c r="AN26" s="23"/>
      <c r="AO26" s="23"/>
      <c r="AP26" s="30"/>
      <c r="AQ26" s="23"/>
      <c r="AR26" s="23"/>
      <c r="AS26" s="30"/>
      <c r="AT26" s="23"/>
      <c r="AU26" s="23"/>
      <c r="AV26" s="30"/>
      <c r="AW26" s="23"/>
      <c r="AX26" s="23"/>
      <c r="AY26" s="30"/>
      <c r="AZ26" s="23"/>
      <c r="BA26" s="23"/>
      <c r="BB26" s="30"/>
      <c r="BC26" s="23"/>
      <c r="BD26" s="23"/>
      <c r="BE26" s="30"/>
      <c r="BF26" s="23"/>
      <c r="BG26" s="23"/>
      <c r="BH26" s="30"/>
      <c r="BI26" s="23"/>
      <c r="BJ26" s="23"/>
      <c r="BK26" s="30"/>
      <c r="BL26" s="23"/>
      <c r="BM26" s="23"/>
      <c r="BN26" s="30"/>
      <c r="BO26" s="23"/>
      <c r="BP26" s="24"/>
      <c r="BQ26" s="30"/>
      <c r="BR26" s="23"/>
      <c r="BS26" s="23"/>
      <c r="BT26" s="30"/>
      <c r="BU26" s="23"/>
      <c r="BV26" s="23"/>
      <c r="BW26" s="30"/>
      <c r="BX26" s="23"/>
      <c r="BY26" s="23"/>
      <c r="BZ26" s="30"/>
      <c r="CA26" s="23"/>
      <c r="CB26" s="23"/>
      <c r="CC26" s="30"/>
      <c r="CD26" s="23"/>
      <c r="CE26" s="23"/>
      <c r="CF26" s="30"/>
      <c r="CG26" s="23"/>
      <c r="CH26" s="23"/>
      <c r="CI26" s="30"/>
      <c r="CJ26" s="23"/>
      <c r="CK26" s="23"/>
      <c r="CL26" s="30"/>
      <c r="CM26" s="23"/>
      <c r="CN26" s="23"/>
      <c r="CO26" s="30"/>
      <c r="CP26" s="23"/>
      <c r="CQ26" s="23"/>
      <c r="CR26" s="30"/>
      <c r="CS26" s="23"/>
      <c r="CT26" s="25"/>
      <c r="CU26" s="37"/>
      <c r="CV26" s="26"/>
      <c r="CW26" s="27"/>
      <c r="CX26" s="27"/>
      <c r="CY26" s="27"/>
      <c r="CZ26" s="27"/>
      <c r="DA26" s="27"/>
      <c r="DB26" s="26"/>
      <c r="DC26" s="27"/>
      <c r="DD26" s="27"/>
      <c r="DE26" s="26"/>
      <c r="DF26" s="27"/>
      <c r="DG26" s="27"/>
      <c r="DH26" s="26"/>
      <c r="DI26" s="27"/>
      <c r="DJ26" s="27"/>
      <c r="DK26" s="26"/>
      <c r="DL26" s="27"/>
      <c r="DM26" s="27"/>
      <c r="DN26" s="26"/>
      <c r="DO26" s="27"/>
      <c r="DP26" s="27"/>
      <c r="DQ26" s="26"/>
      <c r="DR26" s="27"/>
      <c r="DS26" s="27"/>
      <c r="DT26" s="26"/>
      <c r="DU26" s="27"/>
      <c r="DV26" s="27"/>
      <c r="DW26" s="26"/>
      <c r="DX26" s="27"/>
      <c r="DY26" s="27"/>
      <c r="DZ26" s="26"/>
      <c r="EA26" s="27"/>
      <c r="EB26" s="27"/>
      <c r="EC26" s="26"/>
      <c r="ED26" s="27"/>
      <c r="EE26" s="27"/>
      <c r="EF26" s="26"/>
      <c r="EG26" s="27"/>
      <c r="EH26" s="27"/>
      <c r="EI26" s="26"/>
      <c r="EJ26" s="27"/>
      <c r="EK26" s="27"/>
      <c r="EL26" s="26"/>
      <c r="EM26" s="27"/>
      <c r="EN26" s="27"/>
      <c r="EO26" s="26"/>
      <c r="EP26" s="27"/>
      <c r="EQ26" s="27"/>
      <c r="ER26" s="26"/>
      <c r="ES26" s="27"/>
      <c r="ET26" s="27"/>
      <c r="EU26" s="26"/>
      <c r="EV26" s="27"/>
      <c r="EW26" s="27"/>
      <c r="EX26" s="26"/>
      <c r="EY26" s="27"/>
      <c r="EZ26" s="27"/>
      <c r="FA26" s="26"/>
      <c r="FB26" s="27"/>
      <c r="FC26" s="27"/>
      <c r="FD26" s="26"/>
      <c r="FE26" s="27"/>
      <c r="FF26" s="27"/>
      <c r="FG26" s="26"/>
      <c r="FH26" s="27"/>
      <c r="FI26" s="27"/>
      <c r="FJ26" s="26"/>
      <c r="FK26" s="27"/>
      <c r="FL26" s="27"/>
      <c r="FM26" s="26"/>
      <c r="FN26" s="27"/>
      <c r="FO26" s="27"/>
      <c r="FP26" s="26"/>
      <c r="FQ26" s="27"/>
      <c r="FR26" s="27"/>
      <c r="FS26" s="26"/>
      <c r="FT26" s="27"/>
      <c r="FU26" s="27"/>
      <c r="FV26" s="26"/>
      <c r="FW26" s="27"/>
      <c r="FX26" s="27"/>
      <c r="FY26" s="26"/>
      <c r="FZ26" s="27"/>
      <c r="GA26" s="27"/>
      <c r="GB26" s="26"/>
      <c r="GC26" s="27"/>
      <c r="GD26" s="27"/>
      <c r="GE26" s="26"/>
      <c r="GF26" s="27"/>
      <c r="GG26" s="27"/>
      <c r="GH26" s="26"/>
      <c r="GI26" s="27"/>
      <c r="GJ26" s="29"/>
      <c r="GK26" s="37"/>
      <c r="GL26" s="26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37"/>
      <c r="JS26" s="26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9"/>
      <c r="NH26" s="37"/>
      <c r="NI26" s="26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37"/>
      <c r="QV26" s="26"/>
      <c r="QW26" s="27"/>
      <c r="QX26" s="27"/>
      <c r="QY26" s="27"/>
      <c r="QZ26" s="27"/>
      <c r="RA26" s="27"/>
      <c r="RB26" s="27"/>
      <c r="RC26" s="27"/>
      <c r="RD26" s="27"/>
      <c r="RE26" s="27">
        <v>8</v>
      </c>
      <c r="RF26" s="27">
        <v>228</v>
      </c>
      <c r="RG26" s="27" t="s">
        <v>276</v>
      </c>
      <c r="RH26" s="27"/>
      <c r="RI26" s="27"/>
      <c r="RJ26" s="27"/>
      <c r="RK26" s="27"/>
      <c r="RL26" s="27"/>
      <c r="RM26" s="27"/>
      <c r="RN26" s="27">
        <v>8</v>
      </c>
      <c r="RO26" s="27">
        <v>228</v>
      </c>
      <c r="RP26" s="27" t="s">
        <v>276</v>
      </c>
      <c r="RQ26" s="27">
        <v>8</v>
      </c>
      <c r="RR26" s="27">
        <v>228</v>
      </c>
      <c r="RS26" s="27" t="s">
        <v>276</v>
      </c>
      <c r="RT26" s="27"/>
      <c r="RU26" s="27"/>
      <c r="RV26" s="27"/>
      <c r="RW26" s="27"/>
      <c r="RX26" s="27"/>
      <c r="RY26" s="27"/>
      <c r="RZ26" s="27"/>
      <c r="SA26" s="27"/>
      <c r="SB26" s="27"/>
      <c r="SC26" s="27">
        <v>8</v>
      </c>
      <c r="SD26" s="27">
        <v>228</v>
      </c>
      <c r="SE26" s="27" t="s">
        <v>276</v>
      </c>
      <c r="SF26" s="27">
        <v>8</v>
      </c>
      <c r="SG26" s="27">
        <v>228</v>
      </c>
      <c r="SH26" s="27" t="s">
        <v>276</v>
      </c>
      <c r="SI26" s="27">
        <v>8</v>
      </c>
      <c r="SJ26" s="27">
        <v>228</v>
      </c>
      <c r="SK26" s="27" t="s">
        <v>276</v>
      </c>
      <c r="SL26" s="27">
        <v>8</v>
      </c>
      <c r="SM26" s="27">
        <v>228</v>
      </c>
      <c r="SN26" s="27" t="s">
        <v>276</v>
      </c>
      <c r="SO26" s="27"/>
      <c r="SP26" s="27"/>
      <c r="SQ26" s="27"/>
      <c r="SR26" s="27"/>
      <c r="SS26" s="27"/>
      <c r="ST26" s="27"/>
      <c r="SU26" s="27">
        <v>8</v>
      </c>
      <c r="SV26" s="27">
        <v>228</v>
      </c>
      <c r="SW26" s="27" t="s">
        <v>276</v>
      </c>
      <c r="SX26" s="27">
        <v>8</v>
      </c>
      <c r="SY26" s="27">
        <v>228</v>
      </c>
      <c r="SZ26" s="27" t="s">
        <v>276</v>
      </c>
      <c r="TA26" s="27">
        <v>8</v>
      </c>
      <c r="TB26" s="27">
        <v>228</v>
      </c>
      <c r="TC26" s="27" t="s">
        <v>276</v>
      </c>
      <c r="TD26" s="27">
        <v>8</v>
      </c>
      <c r="TE26" s="27">
        <v>228</v>
      </c>
      <c r="TF26" s="27" t="s">
        <v>276</v>
      </c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9"/>
      <c r="UK26" s="37"/>
      <c r="UL26" s="26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37"/>
      <c r="XY26" s="26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9"/>
      <c r="ABN26" s="37"/>
      <c r="ABO26" s="26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9"/>
      <c r="AFD26" s="37"/>
      <c r="AFE26" s="26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  <c r="AGC26" s="27"/>
      <c r="AGD26" s="27"/>
      <c r="AGE26" s="27"/>
      <c r="AGF26" s="27"/>
      <c r="AGG26" s="27"/>
      <c r="AGH26" s="27"/>
      <c r="AGI26" s="27"/>
      <c r="AGJ26" s="27"/>
      <c r="AGK26" s="27"/>
      <c r="AGL26" s="27"/>
      <c r="AGM26" s="27"/>
      <c r="AGN26" s="27"/>
      <c r="AGO26" s="27"/>
      <c r="AGP26" s="27"/>
      <c r="AGQ26" s="27"/>
      <c r="AGR26" s="27"/>
      <c r="AGS26" s="27"/>
      <c r="AGT26" s="27"/>
      <c r="AGU26" s="27"/>
      <c r="AGV26" s="27"/>
      <c r="AGW26" s="27"/>
      <c r="AGX26" s="27"/>
      <c r="AGY26" s="27"/>
      <c r="AGZ26" s="27"/>
      <c r="AHA26" s="27"/>
      <c r="AHB26" s="27"/>
      <c r="AHC26" s="27"/>
      <c r="AHD26" s="27"/>
      <c r="AHE26" s="27"/>
      <c r="AHF26" s="27"/>
      <c r="AHG26" s="27"/>
      <c r="AHH26" s="27"/>
      <c r="AHI26" s="27"/>
      <c r="AHJ26" s="27"/>
      <c r="AHK26" s="27"/>
      <c r="AHL26" s="27"/>
      <c r="AHM26" s="27"/>
      <c r="AHN26" s="27"/>
      <c r="AHO26" s="27"/>
      <c r="AHP26" s="27"/>
      <c r="AHQ26" s="27"/>
      <c r="AHR26" s="27"/>
      <c r="AHS26" s="27"/>
      <c r="AHT26" s="27"/>
      <c r="AHU26" s="27"/>
      <c r="AHV26" s="27"/>
      <c r="AHW26" s="27"/>
      <c r="AHX26" s="27"/>
      <c r="AHY26" s="27"/>
      <c r="AHZ26" s="27"/>
      <c r="AIA26" s="27"/>
      <c r="AIB26" s="27"/>
      <c r="AIC26" s="27"/>
      <c r="AID26" s="27"/>
      <c r="AIE26" s="27"/>
      <c r="AIF26" s="27"/>
      <c r="AIG26" s="27"/>
      <c r="AIH26" s="27"/>
      <c r="AII26" s="27"/>
      <c r="AIJ26" s="27"/>
      <c r="AIK26" s="27"/>
      <c r="AIL26" s="27"/>
      <c r="AIM26" s="27"/>
      <c r="AIN26" s="27"/>
      <c r="AIO26" s="27"/>
      <c r="AIP26" s="27"/>
      <c r="AIQ26" s="37"/>
      <c r="AIR26" s="26"/>
      <c r="AIS26" s="27"/>
      <c r="AIT26" s="27"/>
      <c r="AIU26" s="27"/>
      <c r="AIV26" s="27"/>
      <c r="AIW26" s="27"/>
      <c r="AIX26" s="27"/>
      <c r="AIY26" s="27"/>
      <c r="AIZ26" s="27"/>
      <c r="AJA26" s="27"/>
      <c r="AJB26" s="27"/>
      <c r="AJC26" s="27"/>
      <c r="AJD26" s="27"/>
      <c r="AJE26" s="27"/>
      <c r="AJF26" s="27"/>
      <c r="AJG26" s="27"/>
      <c r="AJH26" s="27"/>
      <c r="AJI26" s="27"/>
      <c r="AJJ26" s="27"/>
      <c r="AJK26" s="27"/>
      <c r="AJL26" s="27"/>
      <c r="AJM26" s="27"/>
      <c r="AJN26" s="27"/>
      <c r="AJO26" s="27"/>
      <c r="AJP26" s="27"/>
      <c r="AJQ26" s="27"/>
      <c r="AJR26" s="27"/>
      <c r="AJS26" s="27"/>
      <c r="AJT26" s="27"/>
      <c r="AJU26" s="27"/>
      <c r="AJV26" s="27"/>
      <c r="AJW26" s="27"/>
      <c r="AJX26" s="27"/>
      <c r="AJY26" s="27"/>
      <c r="AJZ26" s="27"/>
      <c r="AKA26" s="27"/>
      <c r="AKB26" s="27"/>
      <c r="AKC26" s="27"/>
      <c r="AKD26" s="27"/>
      <c r="AKE26" s="27"/>
      <c r="AKF26" s="27"/>
      <c r="AKG26" s="27"/>
      <c r="AKH26" s="27"/>
      <c r="AKI26" s="27"/>
      <c r="AKJ26" s="27"/>
      <c r="AKK26" s="27"/>
      <c r="AKL26" s="27"/>
      <c r="AKM26" s="27"/>
      <c r="AKN26" s="27"/>
      <c r="AKO26" s="27"/>
      <c r="AKP26" s="27"/>
      <c r="AKQ26" s="27"/>
      <c r="AKR26" s="27"/>
      <c r="AKS26" s="27"/>
      <c r="AKT26" s="27"/>
      <c r="AKU26" s="27"/>
      <c r="AKV26" s="27"/>
      <c r="AKW26" s="27"/>
      <c r="AKX26" s="27"/>
      <c r="AKY26" s="27"/>
      <c r="AKZ26" s="27"/>
      <c r="ALA26" s="27"/>
      <c r="ALB26" s="27"/>
      <c r="ALC26" s="27"/>
      <c r="ALD26" s="27"/>
      <c r="ALE26" s="27"/>
      <c r="ALF26" s="27"/>
      <c r="ALG26" s="27"/>
      <c r="ALH26" s="27"/>
      <c r="ALI26" s="27"/>
      <c r="ALJ26" s="27"/>
      <c r="ALK26" s="27"/>
      <c r="ALL26" s="27"/>
      <c r="ALM26" s="27"/>
      <c r="ALN26" s="27"/>
      <c r="ALO26" s="27"/>
      <c r="ALP26" s="27"/>
      <c r="ALQ26" s="27"/>
      <c r="ALR26" s="27"/>
      <c r="ALS26" s="27"/>
      <c r="ALT26" s="27"/>
      <c r="ALU26" s="27"/>
      <c r="ALV26" s="27"/>
      <c r="ALW26" s="27"/>
      <c r="ALX26" s="27"/>
      <c r="ALY26" s="27"/>
      <c r="ALZ26" s="27"/>
      <c r="AMA26" s="27"/>
      <c r="AMB26" s="27"/>
      <c r="AMC26" s="27"/>
      <c r="AMD26" s="27"/>
      <c r="AME26" s="27"/>
      <c r="AMF26" s="29"/>
      <c r="AMG26" s="37"/>
      <c r="AMH26" s="26"/>
      <c r="AMI26" s="27"/>
      <c r="AMJ26" s="27"/>
      <c r="AMK26" s="27"/>
      <c r="AML26" s="27"/>
      <c r="AMM26" s="27"/>
      <c r="AMN26" s="27"/>
      <c r="AMO26" s="27"/>
      <c r="AMP26" s="27"/>
      <c r="AMQ26" s="27"/>
      <c r="AMR26" s="27"/>
      <c r="AMS26" s="27"/>
      <c r="AMT26" s="27"/>
      <c r="AMU26" s="27"/>
      <c r="AMV26" s="27"/>
      <c r="AMW26" s="27"/>
      <c r="AMX26" s="27"/>
      <c r="AMY26" s="27"/>
      <c r="AMZ26" s="27"/>
      <c r="ANA26" s="27"/>
      <c r="ANB26" s="27"/>
      <c r="ANC26" s="27"/>
      <c r="AND26" s="27"/>
      <c r="ANE26" s="27"/>
      <c r="ANF26" s="27"/>
      <c r="ANG26" s="27"/>
      <c r="ANH26" s="27"/>
      <c r="ANI26" s="27"/>
      <c r="ANJ26" s="27"/>
      <c r="ANK26" s="27"/>
      <c r="ANL26" s="27"/>
      <c r="ANM26" s="27"/>
      <c r="ANN26" s="27"/>
      <c r="ANO26" s="27"/>
      <c r="ANP26" s="27"/>
      <c r="ANQ26" s="27"/>
      <c r="ANR26" s="27"/>
      <c r="ANS26" s="27"/>
      <c r="ANT26" s="27"/>
      <c r="ANU26" s="27"/>
      <c r="ANV26" s="27"/>
      <c r="ANW26" s="27"/>
      <c r="ANX26" s="27"/>
      <c r="ANY26" s="27"/>
      <c r="ANZ26" s="27"/>
      <c r="AOA26" s="27"/>
      <c r="AOB26" s="27"/>
      <c r="AOC26" s="27"/>
      <c r="AOD26" s="27"/>
      <c r="AOE26" s="27"/>
      <c r="AOF26" s="27"/>
      <c r="AOG26" s="27"/>
      <c r="AOH26" s="27"/>
      <c r="AOI26" s="27"/>
      <c r="AOJ26" s="27"/>
      <c r="AOK26" s="27"/>
      <c r="AOL26" s="27"/>
      <c r="AOM26" s="27"/>
      <c r="AON26" s="27"/>
      <c r="AOO26" s="27"/>
      <c r="AOP26" s="27"/>
      <c r="AOQ26" s="27"/>
      <c r="AOR26" s="27"/>
      <c r="AOS26" s="27"/>
      <c r="AOT26" s="27"/>
      <c r="AOU26" s="27"/>
      <c r="AOV26" s="27"/>
      <c r="AOW26" s="27"/>
      <c r="AOX26" s="27"/>
      <c r="AOY26" s="27"/>
      <c r="AOZ26" s="27"/>
      <c r="APA26" s="27"/>
      <c r="APB26" s="27"/>
      <c r="APC26" s="27"/>
      <c r="APD26" s="27"/>
      <c r="APE26" s="27"/>
      <c r="APF26" s="27"/>
      <c r="APG26" s="27"/>
      <c r="APH26" s="27"/>
      <c r="API26" s="27"/>
      <c r="APJ26" s="27"/>
      <c r="APK26" s="27"/>
      <c r="APL26" s="27"/>
      <c r="APM26" s="27"/>
      <c r="APN26" s="27"/>
      <c r="APO26" s="27"/>
      <c r="APP26" s="27"/>
      <c r="APQ26" s="27"/>
      <c r="APR26" s="27"/>
      <c r="APS26" s="29"/>
      <c r="APT26" s="37"/>
      <c r="APU26" s="26"/>
      <c r="APV26" s="27"/>
      <c r="APW26" s="27"/>
      <c r="APX26" s="27"/>
      <c r="APY26" s="27"/>
      <c r="APZ26" s="27"/>
      <c r="AQA26" s="27"/>
      <c r="AQB26" s="27"/>
      <c r="AQC26" s="27"/>
      <c r="AQD26" s="27"/>
      <c r="AQE26" s="27"/>
      <c r="AQF26" s="27"/>
      <c r="AQG26" s="27"/>
      <c r="AQH26" s="27"/>
      <c r="AQI26" s="27"/>
      <c r="AQJ26" s="27"/>
      <c r="AQK26" s="27"/>
      <c r="AQL26" s="27"/>
      <c r="AQM26" s="27"/>
      <c r="AQN26" s="27"/>
      <c r="AQO26" s="27"/>
      <c r="AQP26" s="27"/>
      <c r="AQQ26" s="27"/>
      <c r="AQR26" s="27"/>
      <c r="AQS26" s="27"/>
      <c r="AQT26" s="27"/>
      <c r="AQU26" s="27"/>
      <c r="AQV26" s="27"/>
      <c r="AQW26" s="27"/>
      <c r="AQX26" s="27"/>
      <c r="AQY26" s="27"/>
      <c r="AQZ26" s="27"/>
      <c r="ARA26" s="27"/>
      <c r="ARB26" s="27"/>
      <c r="ARC26" s="27"/>
      <c r="ARD26" s="27"/>
      <c r="ARE26" s="27"/>
      <c r="ARF26" s="27"/>
      <c r="ARG26" s="27"/>
      <c r="ARH26" s="27"/>
      <c r="ARI26" s="27"/>
      <c r="ARJ26" s="27"/>
      <c r="ARK26" s="27"/>
      <c r="ARL26" s="27"/>
      <c r="ARM26" s="27"/>
      <c r="ARN26" s="27"/>
      <c r="ARO26" s="27"/>
      <c r="ARP26" s="27"/>
      <c r="ARQ26" s="27"/>
      <c r="ARR26" s="27"/>
      <c r="ARS26" s="27"/>
      <c r="ART26" s="27"/>
      <c r="ARU26" s="27"/>
      <c r="ARV26" s="27"/>
      <c r="ARW26" s="27"/>
      <c r="ARX26" s="27"/>
      <c r="ARY26" s="27"/>
      <c r="ARZ26" s="27"/>
      <c r="ASA26" s="27"/>
      <c r="ASB26" s="27"/>
      <c r="ASC26" s="27"/>
      <c r="ASD26" s="27"/>
      <c r="ASE26" s="27"/>
      <c r="ASF26" s="27"/>
      <c r="ASG26" s="27"/>
      <c r="ASH26" s="27"/>
      <c r="ASI26" s="27"/>
      <c r="ASJ26" s="27"/>
      <c r="ASK26" s="27"/>
      <c r="ASL26" s="27"/>
      <c r="ASM26" s="27"/>
      <c r="ASN26" s="27"/>
      <c r="ASO26" s="27"/>
      <c r="ASP26" s="27"/>
      <c r="ASQ26" s="27"/>
      <c r="ASR26" s="27"/>
      <c r="ASS26" s="27"/>
      <c r="AST26" s="27"/>
      <c r="ASU26" s="27"/>
      <c r="ASV26" s="27"/>
      <c r="ASW26" s="27"/>
      <c r="ASX26" s="27"/>
      <c r="ASY26" s="27"/>
      <c r="ASZ26" s="27"/>
      <c r="ATA26" s="27"/>
      <c r="ATB26" s="27"/>
      <c r="ATC26" s="27"/>
      <c r="ATD26" s="27"/>
      <c r="ATE26" s="27"/>
      <c r="ATF26" s="29"/>
      <c r="ATG26" s="37"/>
      <c r="ATH26" s="26"/>
      <c r="ATI26" s="27"/>
      <c r="ATJ26" s="27"/>
      <c r="ATK26" s="27"/>
      <c r="ATL26" s="27"/>
      <c r="ATM26" s="27"/>
      <c r="ATN26" s="27"/>
      <c r="ATO26" s="27"/>
      <c r="ATP26" s="27"/>
      <c r="ATQ26" s="27"/>
      <c r="ATR26" s="27"/>
      <c r="ATS26" s="27"/>
      <c r="ATT26" s="27"/>
      <c r="ATU26" s="27"/>
      <c r="ATV26" s="27"/>
      <c r="ATW26" s="27"/>
      <c r="ATX26" s="27"/>
      <c r="ATY26" s="27"/>
      <c r="ATZ26" s="27"/>
      <c r="AUA26" s="27"/>
      <c r="AUB26" s="27"/>
      <c r="AUC26" s="27"/>
      <c r="AUD26" s="27"/>
      <c r="AUE26" s="27"/>
      <c r="AUF26" s="27"/>
      <c r="AUG26" s="27"/>
      <c r="AUH26" s="27"/>
      <c r="AUI26" s="27"/>
      <c r="AUJ26" s="27"/>
      <c r="AUK26" s="27"/>
      <c r="AUL26" s="27"/>
      <c r="AUM26" s="27"/>
      <c r="AUN26" s="27"/>
      <c r="AUO26" s="27"/>
      <c r="AUP26" s="27"/>
      <c r="AUQ26" s="27"/>
      <c r="AUR26" s="27"/>
      <c r="AUS26" s="27"/>
      <c r="AUT26" s="27"/>
      <c r="AUU26" s="27"/>
      <c r="AUV26" s="27"/>
      <c r="AUW26" s="27"/>
      <c r="AUX26" s="27"/>
      <c r="AUY26" s="27"/>
      <c r="AUZ26" s="27"/>
      <c r="AVA26" s="27"/>
      <c r="AVB26" s="27"/>
      <c r="AVC26" s="27"/>
      <c r="AVD26" s="27"/>
      <c r="AVE26" s="27"/>
      <c r="AVF26" s="27"/>
      <c r="AVG26" s="27"/>
      <c r="AVH26" s="27"/>
      <c r="AVI26" s="27"/>
      <c r="AVJ26" s="27"/>
      <c r="AVK26" s="27"/>
      <c r="AVL26" s="27"/>
      <c r="AVM26" s="27"/>
      <c r="AVN26" s="27"/>
      <c r="AVO26" s="27"/>
      <c r="AVP26" s="27"/>
      <c r="AVQ26" s="27"/>
      <c r="AVR26" s="27"/>
      <c r="AVS26" s="27"/>
      <c r="AVT26" s="27"/>
      <c r="AVU26" s="27"/>
      <c r="AVV26" s="27"/>
      <c r="AVW26" s="27"/>
      <c r="AVX26" s="27"/>
      <c r="AVY26" s="27"/>
      <c r="AVZ26" s="27"/>
      <c r="AWA26" s="27"/>
      <c r="AWB26" s="27"/>
      <c r="AWC26" s="27"/>
      <c r="AWD26" s="27"/>
      <c r="AWE26" s="27"/>
      <c r="AWF26" s="27"/>
      <c r="AWG26" s="27"/>
      <c r="AWH26" s="27"/>
      <c r="AWI26" s="27"/>
      <c r="AWJ26" s="27"/>
      <c r="AWK26" s="27"/>
      <c r="AWL26" s="27"/>
      <c r="AWM26" s="27"/>
      <c r="AWN26" s="27"/>
      <c r="AWO26" s="27"/>
      <c r="AWP26" s="27"/>
      <c r="AWQ26" s="27"/>
      <c r="AWR26" s="27"/>
      <c r="AWS26" s="29"/>
      <c r="AWT26" s="37"/>
      <c r="AWU26" s="26"/>
      <c r="AWV26" s="27"/>
      <c r="AWW26" s="27"/>
      <c r="AWX26" s="27"/>
      <c r="AWY26" s="27"/>
      <c r="AWZ26" s="27"/>
      <c r="AXA26" s="27"/>
      <c r="AXB26" s="27"/>
      <c r="AXC26" s="27"/>
      <c r="AXD26" s="27"/>
      <c r="AXE26" s="27"/>
      <c r="AXF26" s="27"/>
      <c r="AXG26" s="27"/>
      <c r="AXH26" s="27"/>
      <c r="AXI26" s="27"/>
      <c r="AXJ26" s="27"/>
      <c r="AXK26" s="27"/>
      <c r="AXL26" s="27"/>
      <c r="AXM26" s="27"/>
      <c r="AXN26" s="27"/>
      <c r="AXO26" s="27"/>
      <c r="AXP26" s="27"/>
      <c r="AXQ26" s="27"/>
      <c r="AXR26" s="27"/>
      <c r="AXS26" s="27"/>
      <c r="AXT26" s="27"/>
      <c r="AXU26" s="27"/>
      <c r="AXV26" s="27"/>
      <c r="AXW26" s="27"/>
      <c r="AXX26" s="27"/>
      <c r="AXY26" s="27"/>
      <c r="AXZ26" s="27"/>
      <c r="AYA26" s="27"/>
      <c r="AYB26" s="27"/>
      <c r="AYC26" s="27"/>
      <c r="AYD26" s="27"/>
      <c r="AYE26" s="27"/>
      <c r="AYF26" s="27"/>
      <c r="AYG26" s="27"/>
      <c r="AYH26" s="27"/>
      <c r="AYI26" s="27"/>
      <c r="AYJ26" s="27"/>
      <c r="AYK26" s="27"/>
      <c r="AYL26" s="27"/>
      <c r="AYM26" s="27"/>
      <c r="AYN26" s="27"/>
      <c r="AYO26" s="27"/>
      <c r="AYP26" s="27"/>
      <c r="AYQ26" s="27"/>
      <c r="AYR26" s="27"/>
      <c r="AYS26" s="27"/>
      <c r="AYT26" s="27"/>
      <c r="AYU26" s="27"/>
      <c r="AYV26" s="27"/>
      <c r="AYW26" s="27"/>
      <c r="AYX26" s="27"/>
      <c r="AYY26" s="27"/>
      <c r="AYZ26" s="27"/>
      <c r="AZA26" s="27"/>
      <c r="AZB26" s="27"/>
      <c r="AZC26" s="27"/>
      <c r="AZD26" s="27"/>
      <c r="AZE26" s="27"/>
      <c r="AZF26" s="27"/>
      <c r="AZG26" s="27"/>
      <c r="AZH26" s="27"/>
      <c r="AZI26" s="27"/>
      <c r="AZJ26" s="27"/>
      <c r="AZK26" s="27"/>
      <c r="AZL26" s="27"/>
      <c r="AZM26" s="27"/>
      <c r="AZN26" s="27"/>
      <c r="AZO26" s="27"/>
      <c r="AZP26" s="27"/>
      <c r="AZQ26" s="27"/>
      <c r="AZR26" s="27"/>
      <c r="AZS26" s="27"/>
      <c r="AZT26" s="27"/>
      <c r="AZU26" s="27"/>
      <c r="AZV26" s="27"/>
      <c r="AZW26" s="27"/>
      <c r="AZX26" s="27"/>
      <c r="AZY26" s="27"/>
      <c r="AZZ26" s="27"/>
      <c r="BAA26" s="37"/>
      <c r="BAB26" s="26"/>
      <c r="BAC26" s="27"/>
      <c r="BAD26" s="27"/>
      <c r="BAE26" s="27"/>
      <c r="BAF26" s="27"/>
      <c r="BAG26" s="27"/>
      <c r="BAH26" s="27"/>
      <c r="BAI26" s="27"/>
      <c r="BAJ26" s="27"/>
      <c r="BAK26" s="27"/>
      <c r="BAL26" s="27"/>
      <c r="BAM26" s="27"/>
      <c r="BAN26" s="27"/>
      <c r="BAO26" s="27"/>
      <c r="BAP26" s="27"/>
      <c r="BAQ26" s="27"/>
      <c r="BAR26" s="27"/>
      <c r="BAS26" s="27"/>
      <c r="BAT26" s="27"/>
      <c r="BAU26" s="27"/>
      <c r="BAV26" s="27"/>
      <c r="BAW26" s="27"/>
      <c r="BAX26" s="27"/>
      <c r="BAY26" s="27"/>
      <c r="BAZ26" s="27"/>
      <c r="BBA26" s="27"/>
      <c r="BBB26" s="27"/>
      <c r="BBC26" s="27"/>
      <c r="BBD26" s="27"/>
      <c r="BBE26" s="27"/>
      <c r="BBF26" s="27"/>
      <c r="BBG26" s="27"/>
      <c r="BBH26" s="27"/>
      <c r="BBI26" s="27"/>
      <c r="BBJ26" s="27"/>
      <c r="BBK26" s="27"/>
      <c r="BBL26" s="27"/>
      <c r="BBM26" s="27"/>
      <c r="BBN26" s="27"/>
      <c r="BBO26" s="27"/>
      <c r="BBP26" s="27"/>
      <c r="BBQ26" s="27"/>
      <c r="BBR26" s="27"/>
      <c r="BBS26" s="27"/>
      <c r="BBT26" s="27"/>
      <c r="BBU26" s="27"/>
      <c r="BBV26" s="27"/>
      <c r="BBW26" s="27"/>
      <c r="BBX26" s="27"/>
      <c r="BBY26" s="27"/>
      <c r="BBZ26" s="27"/>
      <c r="BCA26" s="27"/>
      <c r="BCB26" s="27"/>
      <c r="BCC26" s="27"/>
      <c r="BCD26" s="27"/>
      <c r="BCE26" s="27"/>
      <c r="BCF26" s="27"/>
      <c r="BCG26" s="27"/>
      <c r="BCH26" s="27"/>
      <c r="BCI26" s="27"/>
      <c r="BCJ26" s="27"/>
      <c r="BCK26" s="27"/>
      <c r="BCL26" s="27"/>
      <c r="BCM26" s="27"/>
      <c r="BCN26" s="27"/>
      <c r="BCO26" s="27"/>
      <c r="BCP26" s="27"/>
      <c r="BCQ26" s="27"/>
      <c r="BCR26" s="27"/>
      <c r="BCS26" s="27"/>
      <c r="BCT26" s="27"/>
      <c r="BCU26" s="27"/>
      <c r="BCV26" s="27"/>
      <c r="BCW26" s="27"/>
      <c r="BCX26" s="27"/>
      <c r="BCY26" s="27"/>
      <c r="BCZ26" s="27"/>
      <c r="BDA26" s="27"/>
      <c r="BDB26" s="27"/>
      <c r="BDC26" s="27"/>
      <c r="BDD26" s="27"/>
      <c r="BDE26" s="27"/>
      <c r="BDF26" s="27"/>
      <c r="BDG26" s="27"/>
      <c r="BDH26" s="27"/>
      <c r="BDI26" s="27"/>
      <c r="BDJ26" s="27"/>
      <c r="BDK26" s="27"/>
      <c r="BDL26" s="27"/>
      <c r="BDM26" s="29"/>
      <c r="BDN26" s="29"/>
      <c r="BDO26" s="29"/>
      <c r="BDP26" s="29"/>
      <c r="BDQ26" s="37"/>
      <c r="BDR26" s="26"/>
      <c r="BDS26" s="27"/>
      <c r="BDT26" s="27"/>
      <c r="BDU26" s="27"/>
      <c r="BDV26" s="27"/>
      <c r="BDW26" s="27"/>
      <c r="BDX26" s="27"/>
      <c r="BDY26" s="27"/>
      <c r="BDZ26" s="27"/>
      <c r="BEA26" s="27"/>
      <c r="BEB26" s="27"/>
      <c r="BEC26" s="27"/>
      <c r="BED26" s="27"/>
      <c r="BEE26" s="27"/>
      <c r="BEF26" s="27"/>
      <c r="BEG26" s="27"/>
      <c r="BEH26" s="27"/>
      <c r="BEI26" s="27"/>
      <c r="BEJ26" s="27"/>
      <c r="BEK26" s="27"/>
      <c r="BEL26" s="27"/>
      <c r="BEM26" s="27"/>
      <c r="BEN26" s="27"/>
      <c r="BEO26" s="27"/>
      <c r="BEP26" s="27"/>
      <c r="BEQ26" s="27"/>
      <c r="BER26" s="27"/>
      <c r="BES26" s="27"/>
      <c r="BET26" s="27"/>
      <c r="BEU26" s="27"/>
      <c r="BEV26" s="27"/>
      <c r="BEW26" s="27"/>
      <c r="BEX26" s="27"/>
      <c r="BEY26" s="27"/>
      <c r="BEZ26" s="27"/>
      <c r="BFA26" s="27"/>
      <c r="BFB26" s="27"/>
      <c r="BFC26" s="27"/>
      <c r="BFD26" s="27"/>
      <c r="BFE26" s="27"/>
      <c r="BFF26" s="27"/>
      <c r="BFG26" s="27"/>
      <c r="BFH26" s="27"/>
      <c r="BFI26" s="27"/>
      <c r="BFJ26" s="27"/>
      <c r="BFK26" s="27"/>
      <c r="BFL26" s="27"/>
      <c r="BFM26" s="27"/>
      <c r="BFN26" s="27"/>
      <c r="BFO26" s="27"/>
      <c r="BFP26" s="27"/>
      <c r="BFQ26" s="27"/>
      <c r="BFR26" s="27"/>
      <c r="BFS26" s="27"/>
      <c r="BFT26" s="27"/>
      <c r="BFU26" s="27"/>
      <c r="BFV26" s="27"/>
      <c r="BFW26" s="27"/>
      <c r="BFX26" s="27"/>
      <c r="BFY26" s="27"/>
      <c r="BFZ26" s="27"/>
      <c r="BGA26" s="27"/>
      <c r="BGB26" s="27"/>
      <c r="BGC26" s="27"/>
      <c r="BGD26" s="27"/>
      <c r="BGE26" s="27"/>
      <c r="BGF26" s="27"/>
      <c r="BGG26" s="27"/>
      <c r="BGH26" s="27"/>
      <c r="BGI26" s="27"/>
      <c r="BGJ26" s="27"/>
      <c r="BGK26" s="27"/>
      <c r="BGL26" s="27"/>
      <c r="BGM26" s="27"/>
      <c r="BGN26" s="27"/>
      <c r="BGO26" s="27"/>
      <c r="BGP26" s="27"/>
      <c r="BGQ26" s="27"/>
      <c r="BGR26" s="27"/>
      <c r="BGS26" s="27"/>
      <c r="BGT26" s="27"/>
      <c r="BGU26" s="27"/>
      <c r="BGV26" s="27"/>
      <c r="BGW26" s="27"/>
      <c r="BGX26" s="27"/>
      <c r="BGY26" s="27"/>
      <c r="BGZ26" s="27"/>
      <c r="BHA26" s="27"/>
      <c r="BHB26" s="27"/>
      <c r="BHC26" s="29"/>
      <c r="BHD26" s="37"/>
    </row>
    <row r="27" spans="1:1564" ht="30" customHeight="1" x14ac:dyDescent="0.3">
      <c r="A27" s="22">
        <v>23</v>
      </c>
      <c r="B27" s="40" t="s">
        <v>305</v>
      </c>
      <c r="C27" s="40" t="s">
        <v>270</v>
      </c>
      <c r="D27" s="40" t="s">
        <v>257</v>
      </c>
      <c r="E27" s="37"/>
      <c r="F27" s="30"/>
      <c r="G27" s="23"/>
      <c r="H27" s="23"/>
      <c r="I27" s="30"/>
      <c r="J27" s="23"/>
      <c r="K27" s="23"/>
      <c r="L27" s="30"/>
      <c r="M27" s="23"/>
      <c r="N27" s="23"/>
      <c r="O27" s="30"/>
      <c r="P27" s="23"/>
      <c r="Q27" s="23"/>
      <c r="R27" s="30"/>
      <c r="S27" s="23"/>
      <c r="T27" s="23"/>
      <c r="U27" s="30"/>
      <c r="V27" s="23"/>
      <c r="W27" s="23"/>
      <c r="X27" s="30"/>
      <c r="Y27" s="23"/>
      <c r="Z27" s="23"/>
      <c r="AA27" s="30"/>
      <c r="AB27" s="23"/>
      <c r="AC27" s="23"/>
      <c r="AD27" s="30"/>
      <c r="AE27" s="23"/>
      <c r="AF27" s="23"/>
      <c r="AG27" s="30"/>
      <c r="AH27" s="23"/>
      <c r="AI27" s="23"/>
      <c r="AJ27" s="30"/>
      <c r="AK27" s="23"/>
      <c r="AL27" s="23"/>
      <c r="AM27" s="30"/>
      <c r="AN27" s="23"/>
      <c r="AO27" s="23"/>
      <c r="AP27" s="30"/>
      <c r="AQ27" s="23"/>
      <c r="AR27" s="23"/>
      <c r="AS27" s="30"/>
      <c r="AT27" s="23"/>
      <c r="AU27" s="23"/>
      <c r="AV27" s="30"/>
      <c r="AW27" s="23"/>
      <c r="AX27" s="23"/>
      <c r="AY27" s="30"/>
      <c r="AZ27" s="23"/>
      <c r="BA27" s="23"/>
      <c r="BB27" s="30"/>
      <c r="BC27" s="23"/>
      <c r="BD27" s="23"/>
      <c r="BE27" s="30"/>
      <c r="BF27" s="23"/>
      <c r="BG27" s="23"/>
      <c r="BH27" s="30"/>
      <c r="BI27" s="23"/>
      <c r="BJ27" s="23"/>
      <c r="BK27" s="30"/>
      <c r="BL27" s="23"/>
      <c r="BM27" s="23"/>
      <c r="BN27" s="30"/>
      <c r="BO27" s="23"/>
      <c r="BP27" s="24"/>
      <c r="BQ27" s="30"/>
      <c r="BR27" s="23"/>
      <c r="BS27" s="23"/>
      <c r="BT27" s="30"/>
      <c r="BU27" s="23"/>
      <c r="BV27" s="23"/>
      <c r="BW27" s="30"/>
      <c r="BX27" s="23"/>
      <c r="BY27" s="23"/>
      <c r="BZ27" s="30"/>
      <c r="CA27" s="23"/>
      <c r="CB27" s="23"/>
      <c r="CC27" s="30"/>
      <c r="CD27" s="23"/>
      <c r="CE27" s="23"/>
      <c r="CF27" s="30"/>
      <c r="CG27" s="23"/>
      <c r="CH27" s="23"/>
      <c r="CI27" s="30"/>
      <c r="CJ27" s="23"/>
      <c r="CK27" s="23"/>
      <c r="CL27" s="30"/>
      <c r="CM27" s="23"/>
      <c r="CN27" s="23"/>
      <c r="CO27" s="30"/>
      <c r="CP27" s="23"/>
      <c r="CQ27" s="23"/>
      <c r="CR27" s="30"/>
      <c r="CS27" s="23"/>
      <c r="CT27" s="25"/>
      <c r="CU27" s="37"/>
      <c r="CV27" s="26"/>
      <c r="CW27" s="27"/>
      <c r="CX27" s="27"/>
      <c r="CY27" s="27"/>
      <c r="CZ27" s="27"/>
      <c r="DA27" s="27"/>
      <c r="DB27" s="26"/>
      <c r="DC27" s="27"/>
      <c r="DD27" s="27"/>
      <c r="DE27" s="26"/>
      <c r="DF27" s="27"/>
      <c r="DG27" s="27"/>
      <c r="DH27" s="26"/>
      <c r="DI27" s="27"/>
      <c r="DJ27" s="27"/>
      <c r="DK27" s="26"/>
      <c r="DL27" s="27"/>
      <c r="DM27" s="27"/>
      <c r="DN27" s="26"/>
      <c r="DO27" s="27"/>
      <c r="DP27" s="27"/>
      <c r="DQ27" s="26"/>
      <c r="DR27" s="27"/>
      <c r="DS27" s="27"/>
      <c r="DT27" s="26"/>
      <c r="DU27" s="27"/>
      <c r="DV27" s="27"/>
      <c r="DW27" s="26"/>
      <c r="DX27" s="27"/>
      <c r="DY27" s="27"/>
      <c r="DZ27" s="26"/>
      <c r="EA27" s="27"/>
      <c r="EB27" s="27"/>
      <c r="EC27" s="26"/>
      <c r="ED27" s="27"/>
      <c r="EE27" s="27"/>
      <c r="EF27" s="26"/>
      <c r="EG27" s="27"/>
      <c r="EH27" s="27"/>
      <c r="EI27" s="26"/>
      <c r="EJ27" s="27"/>
      <c r="EK27" s="27"/>
      <c r="EL27" s="26"/>
      <c r="EM27" s="27"/>
      <c r="EN27" s="27"/>
      <c r="EO27" s="26"/>
      <c r="EP27" s="27"/>
      <c r="EQ27" s="27"/>
      <c r="ER27" s="26"/>
      <c r="ES27" s="27"/>
      <c r="ET27" s="27"/>
      <c r="EU27" s="26"/>
      <c r="EV27" s="27"/>
      <c r="EW27" s="27"/>
      <c r="EX27" s="26"/>
      <c r="EY27" s="27"/>
      <c r="EZ27" s="27"/>
      <c r="FA27" s="26"/>
      <c r="FB27" s="27"/>
      <c r="FC27" s="27"/>
      <c r="FD27" s="26"/>
      <c r="FE27" s="27"/>
      <c r="FF27" s="27"/>
      <c r="FG27" s="26"/>
      <c r="FH27" s="27"/>
      <c r="FI27" s="27"/>
      <c r="FJ27" s="26"/>
      <c r="FK27" s="27"/>
      <c r="FL27" s="27"/>
      <c r="FM27" s="26"/>
      <c r="FN27" s="27"/>
      <c r="FO27" s="27"/>
      <c r="FP27" s="26"/>
      <c r="FQ27" s="27"/>
      <c r="FR27" s="27"/>
      <c r="FS27" s="26"/>
      <c r="FT27" s="27"/>
      <c r="FU27" s="27"/>
      <c r="FV27" s="26"/>
      <c r="FW27" s="27"/>
      <c r="FX27" s="27"/>
      <c r="FY27" s="26"/>
      <c r="FZ27" s="27"/>
      <c r="GA27" s="27"/>
      <c r="GB27" s="26"/>
      <c r="GC27" s="27"/>
      <c r="GD27" s="27"/>
      <c r="GE27" s="26"/>
      <c r="GF27" s="27"/>
      <c r="GG27" s="27"/>
      <c r="GH27" s="26"/>
      <c r="GI27" s="27"/>
      <c r="GJ27" s="29"/>
      <c r="GK27" s="37"/>
      <c r="GL27" s="26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37"/>
      <c r="JS27" s="26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9"/>
      <c r="NH27" s="37"/>
      <c r="NI27" s="26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37"/>
      <c r="QV27" s="26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9"/>
      <c r="UK27" s="37"/>
      <c r="UL27" s="26"/>
      <c r="UM27" s="27"/>
      <c r="UN27" s="27"/>
      <c r="UO27" s="27"/>
      <c r="UP27" s="27"/>
      <c r="UQ27" s="27"/>
      <c r="UR27" s="27"/>
      <c r="US27" s="27"/>
      <c r="UT27" s="27"/>
      <c r="UU27" s="27"/>
      <c r="UV27" s="27"/>
      <c r="UW27" s="27"/>
      <c r="UX27" s="27"/>
      <c r="UY27" s="27"/>
      <c r="UZ27" s="27"/>
      <c r="VA27" s="27"/>
      <c r="VB27" s="27"/>
      <c r="VC27" s="27"/>
      <c r="VD27" s="27"/>
      <c r="VE27" s="27"/>
      <c r="VF27" s="27"/>
      <c r="VG27" s="27"/>
      <c r="VH27" s="27"/>
      <c r="VI27" s="27"/>
      <c r="VJ27" s="27"/>
      <c r="VK27" s="27"/>
      <c r="VL27" s="27"/>
      <c r="VM27" s="27"/>
      <c r="VN27" s="27"/>
      <c r="VO27" s="27"/>
      <c r="VP27" s="27"/>
      <c r="VQ27" s="27"/>
      <c r="VR27" s="27"/>
      <c r="VS27" s="27"/>
      <c r="VT27" s="27"/>
      <c r="VU27" s="27"/>
      <c r="VV27" s="27"/>
      <c r="VW27" s="27"/>
      <c r="VX27" s="27"/>
      <c r="VY27" s="27"/>
      <c r="VZ27" s="27"/>
      <c r="WA27" s="27"/>
      <c r="WB27" s="27"/>
      <c r="WC27" s="27"/>
      <c r="WD27" s="27"/>
      <c r="WE27" s="27"/>
      <c r="WF27" s="27"/>
      <c r="WG27" s="27"/>
      <c r="WH27" s="27"/>
      <c r="WI27" s="27"/>
      <c r="WJ27" s="27"/>
      <c r="WK27" s="27"/>
      <c r="WL27" s="27"/>
      <c r="WM27" s="27"/>
      <c r="WN27" s="27"/>
      <c r="WO27" s="27"/>
      <c r="WP27" s="27"/>
      <c r="WQ27" s="27"/>
      <c r="WR27" s="27"/>
      <c r="WS27" s="27"/>
      <c r="WT27" s="27"/>
      <c r="WU27" s="27"/>
      <c r="WV27" s="27"/>
      <c r="WW27" s="27"/>
      <c r="WX27" s="27"/>
      <c r="WY27" s="27"/>
      <c r="WZ27" s="27"/>
      <c r="XA27" s="27"/>
      <c r="XB27" s="27"/>
      <c r="XC27" s="27"/>
      <c r="XD27" s="27"/>
      <c r="XE27" s="27"/>
      <c r="XF27" s="27"/>
      <c r="XG27" s="27"/>
      <c r="XH27" s="27"/>
      <c r="XI27" s="27"/>
      <c r="XJ27" s="27"/>
      <c r="XK27" s="27"/>
      <c r="XL27" s="27"/>
      <c r="XM27" s="27"/>
      <c r="XN27" s="27"/>
      <c r="XO27" s="27"/>
      <c r="XP27" s="27"/>
      <c r="XQ27" s="27"/>
      <c r="XR27" s="27"/>
      <c r="XS27" s="27"/>
      <c r="XT27" s="27"/>
      <c r="XU27" s="27"/>
      <c r="XV27" s="27"/>
      <c r="XW27" s="27"/>
      <c r="XX27" s="37"/>
      <c r="XY27" s="26"/>
      <c r="XZ27" s="27"/>
      <c r="YA27" s="27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27"/>
      <c r="ZT27" s="27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27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9"/>
      <c r="ABN27" s="37"/>
      <c r="ABO27" s="26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27"/>
      <c r="AES27" s="27"/>
      <c r="AET27" s="27"/>
      <c r="AEU27" s="27"/>
      <c r="AEV27" s="27"/>
      <c r="AEW27" s="27"/>
      <c r="AEX27" s="27"/>
      <c r="AEY27" s="27"/>
      <c r="AEZ27" s="27"/>
      <c r="AFA27" s="27"/>
      <c r="AFB27" s="27"/>
      <c r="AFC27" s="29"/>
      <c r="AFD27" s="37"/>
      <c r="AFE27" s="26"/>
      <c r="AFF27" s="27"/>
      <c r="AFG27" s="27"/>
      <c r="AFH27" s="27"/>
      <c r="AFI27" s="27"/>
      <c r="AFJ27" s="27"/>
      <c r="AFK27" s="27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  <c r="AFV27" s="27"/>
      <c r="AFW27" s="27"/>
      <c r="AFX27" s="27"/>
      <c r="AFY27" s="27"/>
      <c r="AFZ27" s="27"/>
      <c r="AGA27" s="27"/>
      <c r="AGB27" s="27"/>
      <c r="AGC27" s="27"/>
      <c r="AGD27" s="27"/>
      <c r="AGE27" s="27"/>
      <c r="AGF27" s="27"/>
      <c r="AGG27" s="27"/>
      <c r="AGH27" s="27"/>
      <c r="AGI27" s="27"/>
      <c r="AGJ27" s="27"/>
      <c r="AGK27" s="27"/>
      <c r="AGL27" s="27"/>
      <c r="AGM27" s="27"/>
      <c r="AGN27" s="27"/>
      <c r="AGO27" s="27"/>
      <c r="AGP27" s="27"/>
      <c r="AGQ27" s="27"/>
      <c r="AGR27" s="27"/>
      <c r="AGS27" s="27"/>
      <c r="AGT27" s="27"/>
      <c r="AGU27" s="27"/>
      <c r="AGV27" s="27"/>
      <c r="AGW27" s="27"/>
      <c r="AGX27" s="27"/>
      <c r="AGY27" s="27"/>
      <c r="AGZ27" s="27"/>
      <c r="AHA27" s="27"/>
      <c r="AHB27" s="27"/>
      <c r="AHC27" s="27"/>
      <c r="AHD27" s="27"/>
      <c r="AHE27" s="27"/>
      <c r="AHF27" s="27"/>
      <c r="AHG27" s="27"/>
      <c r="AHH27" s="27"/>
      <c r="AHI27" s="27"/>
      <c r="AHJ27" s="27"/>
      <c r="AHK27" s="27"/>
      <c r="AHL27" s="27"/>
      <c r="AHM27" s="27"/>
      <c r="AHN27" s="27"/>
      <c r="AHO27" s="27"/>
      <c r="AHP27" s="27"/>
      <c r="AHQ27" s="27"/>
      <c r="AHR27" s="27"/>
      <c r="AHS27" s="27"/>
      <c r="AHT27" s="27"/>
      <c r="AHU27" s="27"/>
      <c r="AHV27" s="27"/>
      <c r="AHW27" s="27"/>
      <c r="AHX27" s="27"/>
      <c r="AHY27" s="27"/>
      <c r="AHZ27" s="27"/>
      <c r="AIA27" s="27"/>
      <c r="AIB27" s="27"/>
      <c r="AIC27" s="27"/>
      <c r="AID27" s="27"/>
      <c r="AIE27" s="27"/>
      <c r="AIF27" s="27"/>
      <c r="AIG27" s="27"/>
      <c r="AIH27" s="27"/>
      <c r="AII27" s="27"/>
      <c r="AIJ27" s="27"/>
      <c r="AIK27" s="27"/>
      <c r="AIL27" s="27"/>
      <c r="AIM27" s="27"/>
      <c r="AIN27" s="27"/>
      <c r="AIO27" s="27"/>
      <c r="AIP27" s="27"/>
      <c r="AIQ27" s="37"/>
      <c r="AIR27" s="26"/>
      <c r="AIS27" s="27"/>
      <c r="AIT27" s="27"/>
      <c r="AIU27" s="27"/>
      <c r="AIV27" s="27"/>
      <c r="AIW27" s="27"/>
      <c r="AIX27" s="27"/>
      <c r="AIY27" s="27"/>
      <c r="AIZ27" s="27"/>
      <c r="AJA27" s="27"/>
      <c r="AJB27" s="27"/>
      <c r="AJC27" s="27"/>
      <c r="AJD27" s="27"/>
      <c r="AJE27" s="27"/>
      <c r="AJF27" s="27"/>
      <c r="AJG27" s="27"/>
      <c r="AJH27" s="27"/>
      <c r="AJI27" s="27"/>
      <c r="AJJ27" s="27"/>
      <c r="AJK27" s="27"/>
      <c r="AJL27" s="27"/>
      <c r="AJM27" s="27"/>
      <c r="AJN27" s="27"/>
      <c r="AJO27" s="27"/>
      <c r="AJP27" s="27"/>
      <c r="AJQ27" s="27"/>
      <c r="AJR27" s="27"/>
      <c r="AJS27" s="27"/>
      <c r="AJT27" s="27"/>
      <c r="AJU27" s="27"/>
      <c r="AJV27" s="27"/>
      <c r="AJW27" s="27"/>
      <c r="AJX27" s="27"/>
      <c r="AJY27" s="27"/>
      <c r="AJZ27" s="27"/>
      <c r="AKA27" s="27"/>
      <c r="AKB27" s="27"/>
      <c r="AKC27" s="27"/>
      <c r="AKD27" s="27"/>
      <c r="AKE27" s="27"/>
      <c r="AKF27" s="27"/>
      <c r="AKG27" s="27"/>
      <c r="AKH27" s="27"/>
      <c r="AKI27" s="27"/>
      <c r="AKJ27" s="27"/>
      <c r="AKK27" s="27"/>
      <c r="AKL27" s="27"/>
      <c r="AKM27" s="27"/>
      <c r="AKN27" s="27"/>
      <c r="AKO27" s="27"/>
      <c r="AKP27" s="27"/>
      <c r="AKQ27" s="27"/>
      <c r="AKR27" s="27"/>
      <c r="AKS27" s="27"/>
      <c r="AKT27" s="27"/>
      <c r="AKU27" s="27"/>
      <c r="AKV27" s="27"/>
      <c r="AKW27" s="27"/>
      <c r="AKX27" s="27"/>
      <c r="AKY27" s="27"/>
      <c r="AKZ27" s="27"/>
      <c r="ALA27" s="27"/>
      <c r="ALB27" s="27"/>
      <c r="ALC27" s="27"/>
      <c r="ALD27" s="27"/>
      <c r="ALE27" s="27"/>
      <c r="ALF27" s="27"/>
      <c r="ALG27" s="27"/>
      <c r="ALH27" s="27"/>
      <c r="ALI27" s="27"/>
      <c r="ALJ27" s="27"/>
      <c r="ALK27" s="27"/>
      <c r="ALL27" s="27"/>
      <c r="ALM27" s="27"/>
      <c r="ALN27" s="27"/>
      <c r="ALO27" s="27"/>
      <c r="ALP27" s="27"/>
      <c r="ALQ27" s="27"/>
      <c r="ALR27" s="27"/>
      <c r="ALS27" s="27"/>
      <c r="ALT27" s="27"/>
      <c r="ALU27" s="27"/>
      <c r="ALV27" s="27"/>
      <c r="ALW27" s="27"/>
      <c r="ALX27" s="27"/>
      <c r="ALY27" s="27"/>
      <c r="ALZ27" s="27"/>
      <c r="AMA27" s="27"/>
      <c r="AMB27" s="27"/>
      <c r="AMC27" s="27"/>
      <c r="AMD27" s="27"/>
      <c r="AME27" s="27"/>
      <c r="AMF27" s="29"/>
      <c r="AMG27" s="37"/>
      <c r="AMH27" s="26"/>
      <c r="AMI27" s="27"/>
      <c r="AMJ27" s="27"/>
      <c r="AMK27" s="27"/>
      <c r="AML27" s="27"/>
      <c r="AMM27" s="27"/>
      <c r="AMN27" s="27"/>
      <c r="AMO27" s="27"/>
      <c r="AMP27" s="27"/>
      <c r="AMQ27" s="27"/>
      <c r="AMR27" s="27"/>
      <c r="AMS27" s="27"/>
      <c r="AMT27" s="27"/>
      <c r="AMU27" s="27"/>
      <c r="AMV27" s="27"/>
      <c r="AMW27" s="27"/>
      <c r="AMX27" s="27"/>
      <c r="AMY27" s="27"/>
      <c r="AMZ27" s="27"/>
      <c r="ANA27" s="27"/>
      <c r="ANB27" s="27"/>
      <c r="ANC27" s="27"/>
      <c r="AND27" s="27"/>
      <c r="ANE27" s="27"/>
      <c r="ANF27" s="27"/>
      <c r="ANG27" s="27"/>
      <c r="ANH27" s="27"/>
      <c r="ANI27" s="27"/>
      <c r="ANJ27" s="27"/>
      <c r="ANK27" s="27"/>
      <c r="ANL27" s="27"/>
      <c r="ANM27" s="27"/>
      <c r="ANN27" s="27"/>
      <c r="ANO27" s="27"/>
      <c r="ANP27" s="27"/>
      <c r="ANQ27" s="27"/>
      <c r="ANR27" s="27"/>
      <c r="ANS27" s="27"/>
      <c r="ANT27" s="27"/>
      <c r="ANU27" s="27"/>
      <c r="ANV27" s="27"/>
      <c r="ANW27" s="27"/>
      <c r="ANX27" s="27"/>
      <c r="ANY27" s="27"/>
      <c r="ANZ27" s="27"/>
      <c r="AOA27" s="27"/>
      <c r="AOB27" s="27"/>
      <c r="AOC27" s="27"/>
      <c r="AOD27" s="27"/>
      <c r="AOE27" s="27"/>
      <c r="AOF27" s="27"/>
      <c r="AOG27" s="27"/>
      <c r="AOH27" s="27"/>
      <c r="AOI27" s="27"/>
      <c r="AOJ27" s="27"/>
      <c r="AOK27" s="27"/>
      <c r="AOL27" s="27"/>
      <c r="AOM27" s="27"/>
      <c r="AON27" s="27"/>
      <c r="AOO27" s="27"/>
      <c r="AOP27" s="27"/>
      <c r="AOQ27" s="27"/>
      <c r="AOR27" s="27"/>
      <c r="AOS27" s="27"/>
      <c r="AOT27" s="27"/>
      <c r="AOU27" s="27"/>
      <c r="AOV27" s="27"/>
      <c r="AOW27" s="27"/>
      <c r="AOX27" s="27"/>
      <c r="AOY27" s="27"/>
      <c r="AOZ27" s="27"/>
      <c r="APA27" s="27"/>
      <c r="APB27" s="27"/>
      <c r="APC27" s="27"/>
      <c r="APD27" s="27"/>
      <c r="APE27" s="27"/>
      <c r="APF27" s="27"/>
      <c r="APG27" s="27"/>
      <c r="APH27" s="27"/>
      <c r="API27" s="27"/>
      <c r="APJ27" s="27"/>
      <c r="APK27" s="27"/>
      <c r="APL27" s="27"/>
      <c r="APM27" s="27"/>
      <c r="APN27" s="27"/>
      <c r="APO27" s="27"/>
      <c r="APP27" s="27"/>
      <c r="APQ27" s="27"/>
      <c r="APR27" s="27"/>
      <c r="APS27" s="29"/>
      <c r="APT27" s="37"/>
      <c r="APU27" s="26"/>
      <c r="APV27" s="27"/>
      <c r="APW27" s="27"/>
      <c r="APX27" s="27"/>
      <c r="APY27" s="27"/>
      <c r="APZ27" s="27"/>
      <c r="AQA27" s="27"/>
      <c r="AQB27" s="27"/>
      <c r="AQC27" s="27"/>
      <c r="AQD27" s="27"/>
      <c r="AQE27" s="27"/>
      <c r="AQF27" s="27"/>
      <c r="AQG27" s="27"/>
      <c r="AQH27" s="27"/>
      <c r="AQI27" s="27"/>
      <c r="AQJ27" s="27"/>
      <c r="AQK27" s="27"/>
      <c r="AQL27" s="27"/>
      <c r="AQM27" s="27"/>
      <c r="AQN27" s="27"/>
      <c r="AQO27" s="27"/>
      <c r="AQP27" s="27"/>
      <c r="AQQ27" s="27"/>
      <c r="AQR27" s="27"/>
      <c r="AQS27" s="27"/>
      <c r="AQT27" s="27"/>
      <c r="AQU27" s="27"/>
      <c r="AQV27" s="27"/>
      <c r="AQW27" s="27"/>
      <c r="AQX27" s="27"/>
      <c r="AQY27" s="27"/>
      <c r="AQZ27" s="27"/>
      <c r="ARA27" s="27"/>
      <c r="ARB27" s="27"/>
      <c r="ARC27" s="27"/>
      <c r="ARD27" s="27"/>
      <c r="ARE27" s="27"/>
      <c r="ARF27" s="27"/>
      <c r="ARG27" s="27"/>
      <c r="ARH27" s="27"/>
      <c r="ARI27" s="27"/>
      <c r="ARJ27" s="27"/>
      <c r="ARK27" s="27"/>
      <c r="ARL27" s="27"/>
      <c r="ARM27" s="27"/>
      <c r="ARN27" s="27"/>
      <c r="ARO27" s="27"/>
      <c r="ARP27" s="27"/>
      <c r="ARQ27" s="27"/>
      <c r="ARR27" s="27"/>
      <c r="ARS27" s="27"/>
      <c r="ART27" s="27"/>
      <c r="ARU27" s="27"/>
      <c r="ARV27" s="27"/>
      <c r="ARW27" s="27"/>
      <c r="ARX27" s="27"/>
      <c r="ARY27" s="27"/>
      <c r="ARZ27" s="27"/>
      <c r="ASA27" s="27"/>
      <c r="ASB27" s="27"/>
      <c r="ASC27" s="27"/>
      <c r="ASD27" s="27"/>
      <c r="ASE27" s="27"/>
      <c r="ASF27" s="27"/>
      <c r="ASG27" s="27"/>
      <c r="ASH27" s="27"/>
      <c r="ASI27" s="27"/>
      <c r="ASJ27" s="27"/>
      <c r="ASK27" s="27"/>
      <c r="ASL27" s="27"/>
      <c r="ASM27" s="27"/>
      <c r="ASN27" s="27"/>
      <c r="ASO27" s="27"/>
      <c r="ASP27" s="27"/>
      <c r="ASQ27" s="27"/>
      <c r="ASR27" s="27"/>
      <c r="ASS27" s="27"/>
      <c r="AST27" s="27"/>
      <c r="ASU27" s="27"/>
      <c r="ASV27" s="27"/>
      <c r="ASW27" s="27"/>
      <c r="ASX27" s="27"/>
      <c r="ASY27" s="27"/>
      <c r="ASZ27" s="27"/>
      <c r="ATA27" s="27"/>
      <c r="ATB27" s="27"/>
      <c r="ATC27" s="27"/>
      <c r="ATD27" s="27"/>
      <c r="ATE27" s="27"/>
      <c r="ATF27" s="29"/>
      <c r="ATG27" s="37"/>
      <c r="ATH27" s="26"/>
      <c r="ATI27" s="27"/>
      <c r="ATJ27" s="27"/>
      <c r="ATK27" s="27"/>
      <c r="ATL27" s="27"/>
      <c r="ATM27" s="27"/>
      <c r="ATN27" s="27"/>
      <c r="ATO27" s="27"/>
      <c r="ATP27" s="27"/>
      <c r="ATQ27" s="27"/>
      <c r="ATR27" s="27"/>
      <c r="ATS27" s="27"/>
      <c r="ATT27" s="27"/>
      <c r="ATU27" s="27"/>
      <c r="ATV27" s="27"/>
      <c r="ATW27" s="27"/>
      <c r="ATX27" s="27"/>
      <c r="ATY27" s="27"/>
      <c r="ATZ27" s="27"/>
      <c r="AUA27" s="27"/>
      <c r="AUB27" s="27"/>
      <c r="AUC27" s="27"/>
      <c r="AUD27" s="27"/>
      <c r="AUE27" s="27"/>
      <c r="AUF27" s="27"/>
      <c r="AUG27" s="27"/>
      <c r="AUH27" s="27"/>
      <c r="AUI27" s="27"/>
      <c r="AUJ27" s="27"/>
      <c r="AUK27" s="27"/>
      <c r="AUL27" s="27"/>
      <c r="AUM27" s="27"/>
      <c r="AUN27" s="27"/>
      <c r="AUO27" s="27"/>
      <c r="AUP27" s="27"/>
      <c r="AUQ27" s="27"/>
      <c r="AUR27" s="27"/>
      <c r="AUS27" s="27"/>
      <c r="AUT27" s="27"/>
      <c r="AUU27" s="27"/>
      <c r="AUV27" s="27"/>
      <c r="AUW27" s="27"/>
      <c r="AUX27" s="27"/>
      <c r="AUY27" s="27"/>
      <c r="AUZ27" s="27"/>
      <c r="AVA27" s="27"/>
      <c r="AVB27" s="27"/>
      <c r="AVC27" s="27"/>
      <c r="AVD27" s="27"/>
      <c r="AVE27" s="27"/>
      <c r="AVF27" s="27"/>
      <c r="AVG27" s="27"/>
      <c r="AVH27" s="27"/>
      <c r="AVI27" s="27"/>
      <c r="AVJ27" s="27"/>
      <c r="AVK27" s="27"/>
      <c r="AVL27" s="27"/>
      <c r="AVM27" s="27"/>
      <c r="AVN27" s="27"/>
      <c r="AVO27" s="27"/>
      <c r="AVP27" s="27"/>
      <c r="AVQ27" s="27"/>
      <c r="AVR27" s="27"/>
      <c r="AVS27" s="27"/>
      <c r="AVT27" s="27"/>
      <c r="AVU27" s="27"/>
      <c r="AVV27" s="27"/>
      <c r="AVW27" s="27"/>
      <c r="AVX27" s="27"/>
      <c r="AVY27" s="27"/>
      <c r="AVZ27" s="27"/>
      <c r="AWA27" s="27"/>
      <c r="AWB27" s="27"/>
      <c r="AWC27" s="27"/>
      <c r="AWD27" s="27"/>
      <c r="AWE27" s="27"/>
      <c r="AWF27" s="27"/>
      <c r="AWG27" s="27"/>
      <c r="AWH27" s="27"/>
      <c r="AWI27" s="27"/>
      <c r="AWJ27" s="27"/>
      <c r="AWK27" s="27"/>
      <c r="AWL27" s="27"/>
      <c r="AWM27" s="27"/>
      <c r="AWN27" s="27"/>
      <c r="AWO27" s="27"/>
      <c r="AWP27" s="27"/>
      <c r="AWQ27" s="27"/>
      <c r="AWR27" s="27"/>
      <c r="AWS27" s="29"/>
      <c r="AWT27" s="37"/>
      <c r="AWU27" s="26"/>
      <c r="AWV27" s="27"/>
      <c r="AWW27" s="27"/>
      <c r="AWX27" s="27"/>
      <c r="AWY27" s="27"/>
      <c r="AWZ27" s="27"/>
      <c r="AXA27" s="27"/>
      <c r="AXB27" s="27"/>
      <c r="AXC27" s="27"/>
      <c r="AXD27" s="27"/>
      <c r="AXE27" s="27"/>
      <c r="AXF27" s="27"/>
      <c r="AXG27" s="27"/>
      <c r="AXH27" s="27"/>
      <c r="AXI27" s="27"/>
      <c r="AXJ27" s="27"/>
      <c r="AXK27" s="27"/>
      <c r="AXL27" s="27"/>
      <c r="AXM27" s="27"/>
      <c r="AXN27" s="27"/>
      <c r="AXO27" s="27"/>
      <c r="AXP27" s="27"/>
      <c r="AXQ27" s="27"/>
      <c r="AXR27" s="27"/>
      <c r="AXS27" s="27"/>
      <c r="AXT27" s="27"/>
      <c r="AXU27" s="27"/>
      <c r="AXV27" s="27"/>
      <c r="AXW27" s="27"/>
      <c r="AXX27" s="27"/>
      <c r="AXY27" s="27"/>
      <c r="AXZ27" s="27"/>
      <c r="AYA27" s="27"/>
      <c r="AYB27" s="27"/>
      <c r="AYC27" s="27"/>
      <c r="AYD27" s="27"/>
      <c r="AYE27" s="27"/>
      <c r="AYF27" s="27"/>
      <c r="AYG27" s="27"/>
      <c r="AYH27" s="27"/>
      <c r="AYI27" s="27"/>
      <c r="AYJ27" s="27"/>
      <c r="AYK27" s="27"/>
      <c r="AYL27" s="27"/>
      <c r="AYM27" s="27"/>
      <c r="AYN27" s="27"/>
      <c r="AYO27" s="27"/>
      <c r="AYP27" s="27"/>
      <c r="AYQ27" s="27"/>
      <c r="AYR27" s="27"/>
      <c r="AYS27" s="27"/>
      <c r="AYT27" s="27"/>
      <c r="AYU27" s="27"/>
      <c r="AYV27" s="27"/>
      <c r="AYW27" s="27"/>
      <c r="AYX27" s="27"/>
      <c r="AYY27" s="27"/>
      <c r="AYZ27" s="27"/>
      <c r="AZA27" s="27"/>
      <c r="AZB27" s="27"/>
      <c r="AZC27" s="27"/>
      <c r="AZD27" s="27"/>
      <c r="AZE27" s="27"/>
      <c r="AZF27" s="27"/>
      <c r="AZG27" s="27"/>
      <c r="AZH27" s="27"/>
      <c r="AZI27" s="27"/>
      <c r="AZJ27" s="27"/>
      <c r="AZK27" s="27"/>
      <c r="AZL27" s="27"/>
      <c r="AZM27" s="27"/>
      <c r="AZN27" s="27"/>
      <c r="AZO27" s="27"/>
      <c r="AZP27" s="27"/>
      <c r="AZQ27" s="27"/>
      <c r="AZR27" s="27"/>
      <c r="AZS27" s="27"/>
      <c r="AZT27" s="27"/>
      <c r="AZU27" s="27"/>
      <c r="AZV27" s="27"/>
      <c r="AZW27" s="27"/>
      <c r="AZX27" s="27"/>
      <c r="AZY27" s="27"/>
      <c r="AZZ27" s="27"/>
      <c r="BAA27" s="37"/>
      <c r="BAB27" s="26"/>
      <c r="BAC27" s="27"/>
      <c r="BAD27" s="27"/>
      <c r="BAE27" s="27"/>
      <c r="BAF27" s="27"/>
      <c r="BAG27" s="27"/>
      <c r="BAH27" s="27"/>
      <c r="BAI27" s="27"/>
      <c r="BAJ27" s="27"/>
      <c r="BAK27" s="27"/>
      <c r="BAL27" s="27"/>
      <c r="BAM27" s="27"/>
      <c r="BAN27" s="27"/>
      <c r="BAO27" s="27"/>
      <c r="BAP27" s="27"/>
      <c r="BAQ27" s="27"/>
      <c r="BAR27" s="27"/>
      <c r="BAS27" s="27"/>
      <c r="BAT27" s="27"/>
      <c r="BAU27" s="27"/>
      <c r="BAV27" s="27"/>
      <c r="BAW27" s="27"/>
      <c r="BAX27" s="27"/>
      <c r="BAY27" s="27"/>
      <c r="BAZ27" s="27"/>
      <c r="BBA27" s="27"/>
      <c r="BBB27" s="27"/>
      <c r="BBC27" s="27"/>
      <c r="BBD27" s="27"/>
      <c r="BBE27" s="27"/>
      <c r="BBF27" s="27"/>
      <c r="BBG27" s="27"/>
      <c r="BBH27" s="27"/>
      <c r="BBI27" s="27"/>
      <c r="BBJ27" s="27"/>
      <c r="BBK27" s="27"/>
      <c r="BBL27" s="27"/>
      <c r="BBM27" s="27"/>
      <c r="BBN27" s="27"/>
      <c r="BBO27" s="27"/>
      <c r="BBP27" s="27"/>
      <c r="BBQ27" s="27"/>
      <c r="BBR27" s="27"/>
      <c r="BBS27" s="27"/>
      <c r="BBT27" s="27"/>
      <c r="BBU27" s="27"/>
      <c r="BBV27" s="27"/>
      <c r="BBW27" s="27"/>
      <c r="BBX27" s="27"/>
      <c r="BBY27" s="27"/>
      <c r="BBZ27" s="27"/>
      <c r="BCA27" s="27"/>
      <c r="BCB27" s="27"/>
      <c r="BCC27" s="27"/>
      <c r="BCD27" s="27"/>
      <c r="BCE27" s="27"/>
      <c r="BCF27" s="27"/>
      <c r="BCG27" s="27"/>
      <c r="BCH27" s="27"/>
      <c r="BCI27" s="27"/>
      <c r="BCJ27" s="27"/>
      <c r="BCK27" s="27"/>
      <c r="BCL27" s="27"/>
      <c r="BCM27" s="27"/>
      <c r="BCN27" s="27"/>
      <c r="BCO27" s="27"/>
      <c r="BCP27" s="27"/>
      <c r="BCQ27" s="27"/>
      <c r="BCR27" s="27"/>
      <c r="BCS27" s="27"/>
      <c r="BCT27" s="27"/>
      <c r="BCU27" s="27"/>
      <c r="BCV27" s="27"/>
      <c r="BCW27" s="27"/>
      <c r="BCX27" s="27"/>
      <c r="BCY27" s="27"/>
      <c r="BCZ27" s="27"/>
      <c r="BDA27" s="27"/>
      <c r="BDB27" s="27"/>
      <c r="BDC27" s="27"/>
      <c r="BDD27" s="27"/>
      <c r="BDE27" s="27"/>
      <c r="BDF27" s="27"/>
      <c r="BDG27" s="27"/>
      <c r="BDH27" s="27"/>
      <c r="BDI27" s="27"/>
      <c r="BDJ27" s="27"/>
      <c r="BDK27" s="27"/>
      <c r="BDL27" s="27"/>
      <c r="BDM27" s="29"/>
      <c r="BDN27" s="29"/>
      <c r="BDO27" s="29"/>
      <c r="BDP27" s="29"/>
      <c r="BDQ27" s="37"/>
      <c r="BDR27" s="26"/>
      <c r="BDS27" s="27"/>
      <c r="BDT27" s="27"/>
      <c r="BDU27" s="27"/>
      <c r="BDV27" s="27"/>
      <c r="BDW27" s="27"/>
      <c r="BDX27" s="27"/>
      <c r="BDY27" s="27"/>
      <c r="BDZ27" s="27"/>
      <c r="BEA27" s="27"/>
      <c r="BEB27" s="27"/>
      <c r="BEC27" s="27"/>
      <c r="BED27" s="27"/>
      <c r="BEE27" s="27"/>
      <c r="BEF27" s="27"/>
      <c r="BEG27" s="27"/>
      <c r="BEH27" s="27"/>
      <c r="BEI27" s="27"/>
      <c r="BEJ27" s="27"/>
      <c r="BEK27" s="27"/>
      <c r="BEL27" s="27"/>
      <c r="BEM27" s="27"/>
      <c r="BEN27" s="27"/>
      <c r="BEO27" s="27"/>
      <c r="BEP27" s="27"/>
      <c r="BEQ27" s="27"/>
      <c r="BER27" s="27"/>
      <c r="BES27" s="27"/>
      <c r="BET27" s="27"/>
      <c r="BEU27" s="27"/>
      <c r="BEV27" s="27"/>
      <c r="BEW27" s="27"/>
      <c r="BEX27" s="27"/>
      <c r="BEY27" s="27"/>
      <c r="BEZ27" s="27"/>
      <c r="BFA27" s="27"/>
      <c r="BFB27" s="27"/>
      <c r="BFC27" s="27"/>
      <c r="BFD27" s="27"/>
      <c r="BFE27" s="27"/>
      <c r="BFF27" s="27"/>
      <c r="BFG27" s="27"/>
      <c r="BFH27" s="27"/>
      <c r="BFI27" s="27"/>
      <c r="BFJ27" s="27"/>
      <c r="BFK27" s="27"/>
      <c r="BFL27" s="27"/>
      <c r="BFM27" s="27"/>
      <c r="BFN27" s="27"/>
      <c r="BFO27" s="27"/>
      <c r="BFP27" s="27"/>
      <c r="BFQ27" s="27"/>
      <c r="BFR27" s="27"/>
      <c r="BFS27" s="27"/>
      <c r="BFT27" s="27"/>
      <c r="BFU27" s="27"/>
      <c r="BFV27" s="27"/>
      <c r="BFW27" s="27"/>
      <c r="BFX27" s="27"/>
      <c r="BFY27" s="27"/>
      <c r="BFZ27" s="27"/>
      <c r="BGA27" s="27"/>
      <c r="BGB27" s="27"/>
      <c r="BGC27" s="27"/>
      <c r="BGD27" s="27"/>
      <c r="BGE27" s="27"/>
      <c r="BGF27" s="27"/>
      <c r="BGG27" s="27"/>
      <c r="BGH27" s="27"/>
      <c r="BGI27" s="27"/>
      <c r="BGJ27" s="27"/>
      <c r="BGK27" s="27"/>
      <c r="BGL27" s="27"/>
      <c r="BGM27" s="27"/>
      <c r="BGN27" s="27"/>
      <c r="BGO27" s="27"/>
      <c r="BGP27" s="27"/>
      <c r="BGQ27" s="27"/>
      <c r="BGR27" s="27"/>
      <c r="BGS27" s="27"/>
      <c r="BGT27" s="27"/>
      <c r="BGU27" s="27"/>
      <c r="BGV27" s="27"/>
      <c r="BGW27" s="27"/>
      <c r="BGX27" s="27"/>
      <c r="BGY27" s="27"/>
      <c r="BGZ27" s="27"/>
      <c r="BHA27" s="27"/>
      <c r="BHB27" s="27"/>
      <c r="BHC27" s="29"/>
      <c r="BHD27" s="37"/>
    </row>
    <row r="28" spans="1:1564" ht="30" customHeight="1" x14ac:dyDescent="0.3">
      <c r="A28" s="22">
        <v>24</v>
      </c>
      <c r="B28" s="40" t="s">
        <v>306</v>
      </c>
      <c r="C28" s="40" t="s">
        <v>271</v>
      </c>
      <c r="D28" s="40" t="s">
        <v>257</v>
      </c>
      <c r="E28" s="37"/>
      <c r="F28" s="30"/>
      <c r="G28" s="23"/>
      <c r="H28" s="23"/>
      <c r="I28" s="30"/>
      <c r="J28" s="23"/>
      <c r="K28" s="23"/>
      <c r="L28" s="30"/>
      <c r="M28" s="23"/>
      <c r="N28" s="23"/>
      <c r="O28" s="30"/>
      <c r="P28" s="23"/>
      <c r="Q28" s="23"/>
      <c r="R28" s="30"/>
      <c r="S28" s="23"/>
      <c r="T28" s="23"/>
      <c r="U28" s="30"/>
      <c r="V28" s="23"/>
      <c r="W28" s="23"/>
      <c r="X28" s="30"/>
      <c r="Y28" s="23"/>
      <c r="Z28" s="23"/>
      <c r="AA28" s="30"/>
      <c r="AB28" s="23"/>
      <c r="AC28" s="23"/>
      <c r="AD28" s="30"/>
      <c r="AE28" s="23"/>
      <c r="AF28" s="23"/>
      <c r="AG28" s="30"/>
      <c r="AH28" s="23"/>
      <c r="AI28" s="23"/>
      <c r="AJ28" s="30"/>
      <c r="AK28" s="23"/>
      <c r="AL28" s="23"/>
      <c r="AM28" s="30"/>
      <c r="AN28" s="23"/>
      <c r="AO28" s="23"/>
      <c r="AP28" s="30"/>
      <c r="AQ28" s="23"/>
      <c r="AR28" s="23"/>
      <c r="AS28" s="30"/>
      <c r="AT28" s="23"/>
      <c r="AU28" s="23"/>
      <c r="AV28" s="30"/>
      <c r="AW28" s="23"/>
      <c r="AX28" s="23"/>
      <c r="AY28" s="30"/>
      <c r="AZ28" s="23"/>
      <c r="BA28" s="23"/>
      <c r="BB28" s="30"/>
      <c r="BC28" s="23"/>
      <c r="BD28" s="23"/>
      <c r="BE28" s="30"/>
      <c r="BF28" s="23"/>
      <c r="BG28" s="23"/>
      <c r="BH28" s="30"/>
      <c r="BI28" s="23"/>
      <c r="BJ28" s="23"/>
      <c r="BK28" s="30"/>
      <c r="BL28" s="23"/>
      <c r="BM28" s="23"/>
      <c r="BN28" s="30"/>
      <c r="BO28" s="23"/>
      <c r="BP28" s="24"/>
      <c r="BQ28" s="30"/>
      <c r="BR28" s="23"/>
      <c r="BS28" s="23"/>
      <c r="BT28" s="30"/>
      <c r="BU28" s="23"/>
      <c r="BV28" s="23"/>
      <c r="BW28" s="30"/>
      <c r="BX28" s="23"/>
      <c r="BY28" s="23"/>
      <c r="BZ28" s="30"/>
      <c r="CA28" s="23"/>
      <c r="CB28" s="23"/>
      <c r="CC28" s="30"/>
      <c r="CD28" s="23"/>
      <c r="CE28" s="23"/>
      <c r="CF28" s="30"/>
      <c r="CG28" s="23"/>
      <c r="CH28" s="23"/>
      <c r="CI28" s="30"/>
      <c r="CJ28" s="23"/>
      <c r="CK28" s="23"/>
      <c r="CL28" s="30"/>
      <c r="CM28" s="23"/>
      <c r="CN28" s="23"/>
      <c r="CO28" s="30"/>
      <c r="CP28" s="23"/>
      <c r="CQ28" s="23"/>
      <c r="CR28" s="30"/>
      <c r="CS28" s="23"/>
      <c r="CT28" s="25"/>
      <c r="CU28" s="37"/>
      <c r="CV28" s="26"/>
      <c r="CW28" s="27"/>
      <c r="CX28" s="27"/>
      <c r="CY28" s="27"/>
      <c r="CZ28" s="27"/>
      <c r="DA28" s="27"/>
      <c r="DB28" s="26"/>
      <c r="DC28" s="27"/>
      <c r="DD28" s="27"/>
      <c r="DE28" s="26"/>
      <c r="DF28" s="27"/>
      <c r="DG28" s="27"/>
      <c r="DH28" s="26"/>
      <c r="DI28" s="27"/>
      <c r="DJ28" s="27"/>
      <c r="DK28" s="26"/>
      <c r="DL28" s="27"/>
      <c r="DM28" s="27"/>
      <c r="DN28" s="26"/>
      <c r="DO28" s="27"/>
      <c r="DP28" s="27"/>
      <c r="DQ28" s="26"/>
      <c r="DR28" s="27"/>
      <c r="DS28" s="27"/>
      <c r="DT28" s="26"/>
      <c r="DU28" s="27"/>
      <c r="DV28" s="27"/>
      <c r="DW28" s="26"/>
      <c r="DX28" s="27"/>
      <c r="DY28" s="27"/>
      <c r="DZ28" s="26"/>
      <c r="EA28" s="27"/>
      <c r="EB28" s="27"/>
      <c r="EC28" s="26"/>
      <c r="ED28" s="27"/>
      <c r="EE28" s="27"/>
      <c r="EF28" s="26"/>
      <c r="EG28" s="27"/>
      <c r="EH28" s="27"/>
      <c r="EI28" s="26"/>
      <c r="EJ28" s="27"/>
      <c r="EK28" s="27"/>
      <c r="EL28" s="26"/>
      <c r="EM28" s="27"/>
      <c r="EN28" s="27"/>
      <c r="EO28" s="26"/>
      <c r="EP28" s="27"/>
      <c r="EQ28" s="27"/>
      <c r="ER28" s="26"/>
      <c r="ES28" s="27"/>
      <c r="ET28" s="27"/>
      <c r="EU28" s="26"/>
      <c r="EV28" s="27"/>
      <c r="EW28" s="27"/>
      <c r="EX28" s="26"/>
      <c r="EY28" s="27"/>
      <c r="EZ28" s="27"/>
      <c r="FA28" s="26"/>
      <c r="FB28" s="27"/>
      <c r="FC28" s="27"/>
      <c r="FD28" s="26"/>
      <c r="FE28" s="27"/>
      <c r="FF28" s="27"/>
      <c r="FG28" s="26"/>
      <c r="FH28" s="27"/>
      <c r="FI28" s="27"/>
      <c r="FJ28" s="26"/>
      <c r="FK28" s="27"/>
      <c r="FL28" s="27"/>
      <c r="FM28" s="26"/>
      <c r="FN28" s="27"/>
      <c r="FO28" s="27"/>
      <c r="FP28" s="26"/>
      <c r="FQ28" s="27"/>
      <c r="FR28" s="27"/>
      <c r="FS28" s="26"/>
      <c r="FT28" s="27"/>
      <c r="FU28" s="27"/>
      <c r="FV28" s="26"/>
      <c r="FW28" s="27"/>
      <c r="FX28" s="27"/>
      <c r="FY28" s="26"/>
      <c r="FZ28" s="27"/>
      <c r="GA28" s="27"/>
      <c r="GB28" s="26"/>
      <c r="GC28" s="27"/>
      <c r="GD28" s="27"/>
      <c r="GE28" s="26"/>
      <c r="GF28" s="27"/>
      <c r="GG28" s="27"/>
      <c r="GH28" s="26"/>
      <c r="GI28" s="27"/>
      <c r="GJ28" s="29"/>
      <c r="GK28" s="37"/>
      <c r="GL28" s="26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37"/>
      <c r="JS28" s="26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9"/>
      <c r="NH28" s="37"/>
      <c r="NI28" s="26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37"/>
      <c r="QV28" s="26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9"/>
      <c r="UK28" s="37"/>
      <c r="UL28" s="26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37"/>
      <c r="XY28" s="26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/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9"/>
      <c r="ABN28" s="37"/>
      <c r="ABO28" s="26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9"/>
      <c r="AFD28" s="37"/>
      <c r="AFE28" s="26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  <c r="AGC28" s="27"/>
      <c r="AGD28" s="27"/>
      <c r="AGE28" s="27"/>
      <c r="AGF28" s="27"/>
      <c r="AGG28" s="27"/>
      <c r="AGH28" s="27"/>
      <c r="AGI28" s="27"/>
      <c r="AGJ28" s="27"/>
      <c r="AGK28" s="27"/>
      <c r="AGL28" s="27"/>
      <c r="AGM28" s="27"/>
      <c r="AGN28" s="27"/>
      <c r="AGO28" s="27"/>
      <c r="AGP28" s="27"/>
      <c r="AGQ28" s="27"/>
      <c r="AGR28" s="27"/>
      <c r="AGS28" s="27"/>
      <c r="AGT28" s="27"/>
      <c r="AGU28" s="27"/>
      <c r="AGV28" s="27"/>
      <c r="AGW28" s="27"/>
      <c r="AGX28" s="27"/>
      <c r="AGY28" s="27"/>
      <c r="AGZ28" s="27"/>
      <c r="AHA28" s="27"/>
      <c r="AHB28" s="27"/>
      <c r="AHC28" s="27"/>
      <c r="AHD28" s="27"/>
      <c r="AHE28" s="27"/>
      <c r="AHF28" s="27"/>
      <c r="AHG28" s="27"/>
      <c r="AHH28" s="27"/>
      <c r="AHI28" s="27"/>
      <c r="AHJ28" s="27"/>
      <c r="AHK28" s="27"/>
      <c r="AHL28" s="27"/>
      <c r="AHM28" s="27"/>
      <c r="AHN28" s="27"/>
      <c r="AHO28" s="27"/>
      <c r="AHP28" s="27"/>
      <c r="AHQ28" s="27"/>
      <c r="AHR28" s="27"/>
      <c r="AHS28" s="27"/>
      <c r="AHT28" s="27"/>
      <c r="AHU28" s="27"/>
      <c r="AHV28" s="27"/>
      <c r="AHW28" s="27"/>
      <c r="AHX28" s="27"/>
      <c r="AHY28" s="27"/>
      <c r="AHZ28" s="27"/>
      <c r="AIA28" s="27"/>
      <c r="AIB28" s="27"/>
      <c r="AIC28" s="27"/>
      <c r="AID28" s="27"/>
      <c r="AIE28" s="27"/>
      <c r="AIF28" s="27"/>
      <c r="AIG28" s="27"/>
      <c r="AIH28" s="27"/>
      <c r="AII28" s="27"/>
      <c r="AIJ28" s="27"/>
      <c r="AIK28" s="27"/>
      <c r="AIL28" s="27"/>
      <c r="AIM28" s="27"/>
      <c r="AIN28" s="27"/>
      <c r="AIO28" s="27"/>
      <c r="AIP28" s="27"/>
      <c r="AIQ28" s="37"/>
      <c r="AIR28" s="26"/>
      <c r="AIS28" s="27"/>
      <c r="AIT28" s="27"/>
      <c r="AIU28" s="27"/>
      <c r="AIV28" s="27"/>
      <c r="AIW28" s="27"/>
      <c r="AIX28" s="27"/>
      <c r="AIY28" s="27"/>
      <c r="AIZ28" s="27"/>
      <c r="AJA28" s="27"/>
      <c r="AJB28" s="27"/>
      <c r="AJC28" s="27"/>
      <c r="AJD28" s="27"/>
      <c r="AJE28" s="27"/>
      <c r="AJF28" s="27"/>
      <c r="AJG28" s="27"/>
      <c r="AJH28" s="27"/>
      <c r="AJI28" s="27"/>
      <c r="AJJ28" s="27"/>
      <c r="AJK28" s="27"/>
      <c r="AJL28" s="27"/>
      <c r="AJM28" s="27"/>
      <c r="AJN28" s="27"/>
      <c r="AJO28" s="27"/>
      <c r="AJP28" s="27"/>
      <c r="AJQ28" s="27"/>
      <c r="AJR28" s="27"/>
      <c r="AJS28" s="27"/>
      <c r="AJT28" s="27"/>
      <c r="AJU28" s="27"/>
      <c r="AJV28" s="27"/>
      <c r="AJW28" s="27"/>
      <c r="AJX28" s="27"/>
      <c r="AJY28" s="27"/>
      <c r="AJZ28" s="27"/>
      <c r="AKA28" s="27"/>
      <c r="AKB28" s="27"/>
      <c r="AKC28" s="27"/>
      <c r="AKD28" s="27"/>
      <c r="AKE28" s="27"/>
      <c r="AKF28" s="27"/>
      <c r="AKG28" s="27"/>
      <c r="AKH28" s="27"/>
      <c r="AKI28" s="27"/>
      <c r="AKJ28" s="27"/>
      <c r="AKK28" s="27"/>
      <c r="AKL28" s="27"/>
      <c r="AKM28" s="27"/>
      <c r="AKN28" s="27"/>
      <c r="AKO28" s="27"/>
      <c r="AKP28" s="27"/>
      <c r="AKQ28" s="27"/>
      <c r="AKR28" s="27"/>
      <c r="AKS28" s="27"/>
      <c r="AKT28" s="27"/>
      <c r="AKU28" s="27"/>
      <c r="AKV28" s="27"/>
      <c r="AKW28" s="27"/>
      <c r="AKX28" s="27"/>
      <c r="AKY28" s="27"/>
      <c r="AKZ28" s="27"/>
      <c r="ALA28" s="27"/>
      <c r="ALB28" s="27"/>
      <c r="ALC28" s="27"/>
      <c r="ALD28" s="27"/>
      <c r="ALE28" s="27"/>
      <c r="ALF28" s="27"/>
      <c r="ALG28" s="27"/>
      <c r="ALH28" s="27"/>
      <c r="ALI28" s="27"/>
      <c r="ALJ28" s="27"/>
      <c r="ALK28" s="27"/>
      <c r="ALL28" s="27"/>
      <c r="ALM28" s="27"/>
      <c r="ALN28" s="27"/>
      <c r="ALO28" s="27"/>
      <c r="ALP28" s="27"/>
      <c r="ALQ28" s="27"/>
      <c r="ALR28" s="27"/>
      <c r="ALS28" s="27"/>
      <c r="ALT28" s="27"/>
      <c r="ALU28" s="27"/>
      <c r="ALV28" s="27"/>
      <c r="ALW28" s="27"/>
      <c r="ALX28" s="27"/>
      <c r="ALY28" s="27"/>
      <c r="ALZ28" s="27"/>
      <c r="AMA28" s="27"/>
      <c r="AMB28" s="27"/>
      <c r="AMC28" s="27"/>
      <c r="AMD28" s="27"/>
      <c r="AME28" s="27"/>
      <c r="AMF28" s="29"/>
      <c r="AMG28" s="37"/>
      <c r="AMH28" s="26"/>
      <c r="AMI28" s="27"/>
      <c r="AMJ28" s="27"/>
      <c r="AMK28" s="27"/>
      <c r="AML28" s="27"/>
      <c r="AMM28" s="27"/>
      <c r="AMN28" s="27"/>
      <c r="AMO28" s="27"/>
      <c r="AMP28" s="27"/>
      <c r="AMQ28" s="27"/>
      <c r="AMR28" s="27"/>
      <c r="AMS28" s="27"/>
      <c r="AMT28" s="27"/>
      <c r="AMU28" s="27"/>
      <c r="AMV28" s="27"/>
      <c r="AMW28" s="27"/>
      <c r="AMX28" s="27"/>
      <c r="AMY28" s="27"/>
      <c r="AMZ28" s="27"/>
      <c r="ANA28" s="27"/>
      <c r="ANB28" s="27"/>
      <c r="ANC28" s="27"/>
      <c r="AND28" s="27"/>
      <c r="ANE28" s="27"/>
      <c r="ANF28" s="27"/>
      <c r="ANG28" s="27"/>
      <c r="ANH28" s="27"/>
      <c r="ANI28" s="27"/>
      <c r="ANJ28" s="27"/>
      <c r="ANK28" s="27"/>
      <c r="ANL28" s="27"/>
      <c r="ANM28" s="27"/>
      <c r="ANN28" s="27"/>
      <c r="ANO28" s="27"/>
      <c r="ANP28" s="27"/>
      <c r="ANQ28" s="27"/>
      <c r="ANR28" s="27"/>
      <c r="ANS28" s="27"/>
      <c r="ANT28" s="27"/>
      <c r="ANU28" s="27"/>
      <c r="ANV28" s="27"/>
      <c r="ANW28" s="27"/>
      <c r="ANX28" s="27"/>
      <c r="ANY28" s="27"/>
      <c r="ANZ28" s="27"/>
      <c r="AOA28" s="27"/>
      <c r="AOB28" s="27"/>
      <c r="AOC28" s="27"/>
      <c r="AOD28" s="27"/>
      <c r="AOE28" s="27"/>
      <c r="AOF28" s="27"/>
      <c r="AOG28" s="27"/>
      <c r="AOH28" s="27"/>
      <c r="AOI28" s="27"/>
      <c r="AOJ28" s="27"/>
      <c r="AOK28" s="27"/>
      <c r="AOL28" s="27"/>
      <c r="AOM28" s="27"/>
      <c r="AON28" s="27"/>
      <c r="AOO28" s="27"/>
      <c r="AOP28" s="27"/>
      <c r="AOQ28" s="27"/>
      <c r="AOR28" s="27"/>
      <c r="AOS28" s="27"/>
      <c r="AOT28" s="27"/>
      <c r="AOU28" s="27"/>
      <c r="AOV28" s="27"/>
      <c r="AOW28" s="27"/>
      <c r="AOX28" s="27"/>
      <c r="AOY28" s="27"/>
      <c r="AOZ28" s="27"/>
      <c r="APA28" s="27"/>
      <c r="APB28" s="27"/>
      <c r="APC28" s="27"/>
      <c r="APD28" s="27"/>
      <c r="APE28" s="27"/>
      <c r="APF28" s="27"/>
      <c r="APG28" s="27"/>
      <c r="APH28" s="27"/>
      <c r="API28" s="27"/>
      <c r="APJ28" s="27"/>
      <c r="APK28" s="27"/>
      <c r="APL28" s="27"/>
      <c r="APM28" s="27"/>
      <c r="APN28" s="27"/>
      <c r="APO28" s="27"/>
      <c r="APP28" s="27"/>
      <c r="APQ28" s="27"/>
      <c r="APR28" s="27"/>
      <c r="APS28" s="29"/>
      <c r="APT28" s="37"/>
      <c r="APU28" s="26"/>
      <c r="APV28" s="27"/>
      <c r="APW28" s="27"/>
      <c r="APX28" s="27"/>
      <c r="APY28" s="27"/>
      <c r="APZ28" s="27"/>
      <c r="AQA28" s="27"/>
      <c r="AQB28" s="27"/>
      <c r="AQC28" s="27"/>
      <c r="AQD28" s="27"/>
      <c r="AQE28" s="27"/>
      <c r="AQF28" s="27"/>
      <c r="AQG28" s="27"/>
      <c r="AQH28" s="27"/>
      <c r="AQI28" s="27"/>
      <c r="AQJ28" s="27"/>
      <c r="AQK28" s="27"/>
      <c r="AQL28" s="27"/>
      <c r="AQM28" s="27"/>
      <c r="AQN28" s="27"/>
      <c r="AQO28" s="27"/>
      <c r="AQP28" s="27"/>
      <c r="AQQ28" s="27"/>
      <c r="AQR28" s="27"/>
      <c r="AQS28" s="27"/>
      <c r="AQT28" s="27"/>
      <c r="AQU28" s="27"/>
      <c r="AQV28" s="27"/>
      <c r="AQW28" s="27"/>
      <c r="AQX28" s="27"/>
      <c r="AQY28" s="27"/>
      <c r="AQZ28" s="27"/>
      <c r="ARA28" s="27"/>
      <c r="ARB28" s="27"/>
      <c r="ARC28" s="27"/>
      <c r="ARD28" s="27"/>
      <c r="ARE28" s="27"/>
      <c r="ARF28" s="27"/>
      <c r="ARG28" s="27"/>
      <c r="ARH28" s="27"/>
      <c r="ARI28" s="27"/>
      <c r="ARJ28" s="27"/>
      <c r="ARK28" s="27"/>
      <c r="ARL28" s="27"/>
      <c r="ARM28" s="27"/>
      <c r="ARN28" s="27"/>
      <c r="ARO28" s="27"/>
      <c r="ARP28" s="27"/>
      <c r="ARQ28" s="27"/>
      <c r="ARR28" s="27"/>
      <c r="ARS28" s="27"/>
      <c r="ART28" s="27"/>
      <c r="ARU28" s="27"/>
      <c r="ARV28" s="27"/>
      <c r="ARW28" s="27"/>
      <c r="ARX28" s="27"/>
      <c r="ARY28" s="27"/>
      <c r="ARZ28" s="27"/>
      <c r="ASA28" s="27"/>
      <c r="ASB28" s="27"/>
      <c r="ASC28" s="27"/>
      <c r="ASD28" s="27"/>
      <c r="ASE28" s="27"/>
      <c r="ASF28" s="27"/>
      <c r="ASG28" s="27"/>
      <c r="ASH28" s="27"/>
      <c r="ASI28" s="27"/>
      <c r="ASJ28" s="27"/>
      <c r="ASK28" s="27"/>
      <c r="ASL28" s="27"/>
      <c r="ASM28" s="27"/>
      <c r="ASN28" s="27"/>
      <c r="ASO28" s="27"/>
      <c r="ASP28" s="27"/>
      <c r="ASQ28" s="27"/>
      <c r="ASR28" s="27"/>
      <c r="ASS28" s="27"/>
      <c r="AST28" s="27"/>
      <c r="ASU28" s="27"/>
      <c r="ASV28" s="27"/>
      <c r="ASW28" s="27"/>
      <c r="ASX28" s="27"/>
      <c r="ASY28" s="27"/>
      <c r="ASZ28" s="27"/>
      <c r="ATA28" s="27"/>
      <c r="ATB28" s="27"/>
      <c r="ATC28" s="27"/>
      <c r="ATD28" s="27"/>
      <c r="ATE28" s="27"/>
      <c r="ATF28" s="29"/>
      <c r="ATG28" s="37"/>
      <c r="ATH28" s="26"/>
      <c r="ATI28" s="27"/>
      <c r="ATJ28" s="27"/>
      <c r="ATK28" s="27"/>
      <c r="ATL28" s="27"/>
      <c r="ATM28" s="27"/>
      <c r="ATN28" s="27"/>
      <c r="ATO28" s="27"/>
      <c r="ATP28" s="27"/>
      <c r="ATQ28" s="27"/>
      <c r="ATR28" s="27"/>
      <c r="ATS28" s="27"/>
      <c r="ATT28" s="27"/>
      <c r="ATU28" s="27"/>
      <c r="ATV28" s="27"/>
      <c r="ATW28" s="27"/>
      <c r="ATX28" s="27"/>
      <c r="ATY28" s="27"/>
      <c r="ATZ28" s="27"/>
      <c r="AUA28" s="27"/>
      <c r="AUB28" s="27"/>
      <c r="AUC28" s="27"/>
      <c r="AUD28" s="27"/>
      <c r="AUE28" s="27"/>
      <c r="AUF28" s="27"/>
      <c r="AUG28" s="27"/>
      <c r="AUH28" s="27"/>
      <c r="AUI28" s="27"/>
      <c r="AUJ28" s="27"/>
      <c r="AUK28" s="27"/>
      <c r="AUL28" s="27"/>
      <c r="AUM28" s="27"/>
      <c r="AUN28" s="27"/>
      <c r="AUO28" s="27"/>
      <c r="AUP28" s="27"/>
      <c r="AUQ28" s="27"/>
      <c r="AUR28" s="27"/>
      <c r="AUS28" s="27"/>
      <c r="AUT28" s="27"/>
      <c r="AUU28" s="27"/>
      <c r="AUV28" s="27"/>
      <c r="AUW28" s="27"/>
      <c r="AUX28" s="27"/>
      <c r="AUY28" s="27"/>
      <c r="AUZ28" s="27"/>
      <c r="AVA28" s="27"/>
      <c r="AVB28" s="27"/>
      <c r="AVC28" s="27"/>
      <c r="AVD28" s="27"/>
      <c r="AVE28" s="27"/>
      <c r="AVF28" s="27"/>
      <c r="AVG28" s="27"/>
      <c r="AVH28" s="27"/>
      <c r="AVI28" s="27"/>
      <c r="AVJ28" s="27"/>
      <c r="AVK28" s="27"/>
      <c r="AVL28" s="27"/>
      <c r="AVM28" s="27"/>
      <c r="AVN28" s="27"/>
      <c r="AVO28" s="27"/>
      <c r="AVP28" s="27"/>
      <c r="AVQ28" s="27"/>
      <c r="AVR28" s="27"/>
      <c r="AVS28" s="27"/>
      <c r="AVT28" s="27"/>
      <c r="AVU28" s="27"/>
      <c r="AVV28" s="27"/>
      <c r="AVW28" s="27"/>
      <c r="AVX28" s="27"/>
      <c r="AVY28" s="27"/>
      <c r="AVZ28" s="27"/>
      <c r="AWA28" s="27"/>
      <c r="AWB28" s="27"/>
      <c r="AWC28" s="27"/>
      <c r="AWD28" s="27"/>
      <c r="AWE28" s="27"/>
      <c r="AWF28" s="27"/>
      <c r="AWG28" s="27"/>
      <c r="AWH28" s="27"/>
      <c r="AWI28" s="27"/>
      <c r="AWJ28" s="27"/>
      <c r="AWK28" s="27"/>
      <c r="AWL28" s="27"/>
      <c r="AWM28" s="27"/>
      <c r="AWN28" s="27"/>
      <c r="AWO28" s="27"/>
      <c r="AWP28" s="27"/>
      <c r="AWQ28" s="27"/>
      <c r="AWR28" s="27"/>
      <c r="AWS28" s="29"/>
      <c r="AWT28" s="37"/>
      <c r="AWU28" s="26"/>
      <c r="AWV28" s="27"/>
      <c r="AWW28" s="27"/>
      <c r="AWX28" s="27"/>
      <c r="AWY28" s="27"/>
      <c r="AWZ28" s="27"/>
      <c r="AXA28" s="27"/>
      <c r="AXB28" s="27"/>
      <c r="AXC28" s="27"/>
      <c r="AXD28" s="27"/>
      <c r="AXE28" s="27"/>
      <c r="AXF28" s="27"/>
      <c r="AXG28" s="27"/>
      <c r="AXH28" s="27"/>
      <c r="AXI28" s="27"/>
      <c r="AXJ28" s="27"/>
      <c r="AXK28" s="27"/>
      <c r="AXL28" s="27"/>
      <c r="AXM28" s="27"/>
      <c r="AXN28" s="27"/>
      <c r="AXO28" s="27"/>
      <c r="AXP28" s="27"/>
      <c r="AXQ28" s="27"/>
      <c r="AXR28" s="27"/>
      <c r="AXS28" s="27"/>
      <c r="AXT28" s="27"/>
      <c r="AXU28" s="27"/>
      <c r="AXV28" s="27"/>
      <c r="AXW28" s="27"/>
      <c r="AXX28" s="27"/>
      <c r="AXY28" s="27"/>
      <c r="AXZ28" s="27"/>
      <c r="AYA28" s="27"/>
      <c r="AYB28" s="27"/>
      <c r="AYC28" s="27"/>
      <c r="AYD28" s="27"/>
      <c r="AYE28" s="27"/>
      <c r="AYF28" s="27"/>
      <c r="AYG28" s="27"/>
      <c r="AYH28" s="27"/>
      <c r="AYI28" s="27"/>
      <c r="AYJ28" s="27"/>
      <c r="AYK28" s="27"/>
      <c r="AYL28" s="27"/>
      <c r="AYM28" s="27"/>
      <c r="AYN28" s="27"/>
      <c r="AYO28" s="27"/>
      <c r="AYP28" s="27"/>
      <c r="AYQ28" s="27"/>
      <c r="AYR28" s="27"/>
      <c r="AYS28" s="27"/>
      <c r="AYT28" s="27"/>
      <c r="AYU28" s="27"/>
      <c r="AYV28" s="27"/>
      <c r="AYW28" s="27"/>
      <c r="AYX28" s="27"/>
      <c r="AYY28" s="27"/>
      <c r="AYZ28" s="27"/>
      <c r="AZA28" s="27"/>
      <c r="AZB28" s="27"/>
      <c r="AZC28" s="27"/>
      <c r="AZD28" s="27"/>
      <c r="AZE28" s="27"/>
      <c r="AZF28" s="27"/>
      <c r="AZG28" s="27"/>
      <c r="AZH28" s="27"/>
      <c r="AZI28" s="27"/>
      <c r="AZJ28" s="27"/>
      <c r="AZK28" s="27"/>
      <c r="AZL28" s="27"/>
      <c r="AZM28" s="27"/>
      <c r="AZN28" s="27"/>
      <c r="AZO28" s="27"/>
      <c r="AZP28" s="27"/>
      <c r="AZQ28" s="27"/>
      <c r="AZR28" s="27"/>
      <c r="AZS28" s="27"/>
      <c r="AZT28" s="27"/>
      <c r="AZU28" s="27"/>
      <c r="AZV28" s="27"/>
      <c r="AZW28" s="27"/>
      <c r="AZX28" s="27"/>
      <c r="AZY28" s="27"/>
      <c r="AZZ28" s="27"/>
      <c r="BAA28" s="37"/>
      <c r="BAB28" s="26"/>
      <c r="BAC28" s="27"/>
      <c r="BAD28" s="27"/>
      <c r="BAE28" s="27"/>
      <c r="BAF28" s="27"/>
      <c r="BAG28" s="27"/>
      <c r="BAH28" s="27"/>
      <c r="BAI28" s="27"/>
      <c r="BAJ28" s="27"/>
      <c r="BAK28" s="27"/>
      <c r="BAL28" s="27"/>
      <c r="BAM28" s="27"/>
      <c r="BAN28" s="27"/>
      <c r="BAO28" s="27"/>
      <c r="BAP28" s="27"/>
      <c r="BAQ28" s="27"/>
      <c r="BAR28" s="27"/>
      <c r="BAS28" s="27"/>
      <c r="BAT28" s="27"/>
      <c r="BAU28" s="27"/>
      <c r="BAV28" s="27"/>
      <c r="BAW28" s="27"/>
      <c r="BAX28" s="27"/>
      <c r="BAY28" s="27"/>
      <c r="BAZ28" s="27"/>
      <c r="BBA28" s="27"/>
      <c r="BBB28" s="27"/>
      <c r="BBC28" s="27"/>
      <c r="BBD28" s="27"/>
      <c r="BBE28" s="27"/>
      <c r="BBF28" s="27"/>
      <c r="BBG28" s="27"/>
      <c r="BBH28" s="27"/>
      <c r="BBI28" s="27"/>
      <c r="BBJ28" s="27"/>
      <c r="BBK28" s="27"/>
      <c r="BBL28" s="27"/>
      <c r="BBM28" s="27"/>
      <c r="BBN28" s="27"/>
      <c r="BBO28" s="27"/>
      <c r="BBP28" s="27"/>
      <c r="BBQ28" s="27"/>
      <c r="BBR28" s="27"/>
      <c r="BBS28" s="27"/>
      <c r="BBT28" s="27"/>
      <c r="BBU28" s="27"/>
      <c r="BBV28" s="27"/>
      <c r="BBW28" s="27"/>
      <c r="BBX28" s="27"/>
      <c r="BBY28" s="27"/>
      <c r="BBZ28" s="27"/>
      <c r="BCA28" s="27"/>
      <c r="BCB28" s="27"/>
      <c r="BCC28" s="27"/>
      <c r="BCD28" s="27"/>
      <c r="BCE28" s="27"/>
      <c r="BCF28" s="27"/>
      <c r="BCG28" s="27"/>
      <c r="BCH28" s="27"/>
      <c r="BCI28" s="27"/>
      <c r="BCJ28" s="27"/>
      <c r="BCK28" s="27"/>
      <c r="BCL28" s="27"/>
      <c r="BCM28" s="27"/>
      <c r="BCN28" s="27"/>
      <c r="BCO28" s="27"/>
      <c r="BCP28" s="27"/>
      <c r="BCQ28" s="27"/>
      <c r="BCR28" s="27"/>
      <c r="BCS28" s="27"/>
      <c r="BCT28" s="27"/>
      <c r="BCU28" s="27"/>
      <c r="BCV28" s="27"/>
      <c r="BCW28" s="27"/>
      <c r="BCX28" s="27"/>
      <c r="BCY28" s="27"/>
      <c r="BCZ28" s="27"/>
      <c r="BDA28" s="27"/>
      <c r="BDB28" s="27"/>
      <c r="BDC28" s="27"/>
      <c r="BDD28" s="27"/>
      <c r="BDE28" s="27"/>
      <c r="BDF28" s="27"/>
      <c r="BDG28" s="27"/>
      <c r="BDH28" s="27"/>
      <c r="BDI28" s="27"/>
      <c r="BDJ28" s="27"/>
      <c r="BDK28" s="27"/>
      <c r="BDL28" s="27"/>
      <c r="BDM28" s="29"/>
      <c r="BDN28" s="29"/>
      <c r="BDO28" s="29"/>
      <c r="BDP28" s="29"/>
      <c r="BDQ28" s="37"/>
      <c r="BDR28" s="26"/>
      <c r="BDS28" s="27"/>
      <c r="BDT28" s="27"/>
      <c r="BDU28" s="27"/>
      <c r="BDV28" s="27"/>
      <c r="BDW28" s="27"/>
      <c r="BDX28" s="27"/>
      <c r="BDY28" s="27"/>
      <c r="BDZ28" s="27"/>
      <c r="BEA28" s="27"/>
      <c r="BEB28" s="27"/>
      <c r="BEC28" s="27"/>
      <c r="BED28" s="27"/>
      <c r="BEE28" s="27"/>
      <c r="BEF28" s="27"/>
      <c r="BEG28" s="27"/>
      <c r="BEH28" s="27"/>
      <c r="BEI28" s="27"/>
      <c r="BEJ28" s="27"/>
      <c r="BEK28" s="27"/>
      <c r="BEL28" s="27"/>
      <c r="BEM28" s="27"/>
      <c r="BEN28" s="27"/>
      <c r="BEO28" s="27"/>
      <c r="BEP28" s="27"/>
      <c r="BEQ28" s="27"/>
      <c r="BER28" s="27"/>
      <c r="BES28" s="27"/>
      <c r="BET28" s="27"/>
      <c r="BEU28" s="27"/>
      <c r="BEV28" s="27"/>
      <c r="BEW28" s="27"/>
      <c r="BEX28" s="27"/>
      <c r="BEY28" s="27"/>
      <c r="BEZ28" s="27"/>
      <c r="BFA28" s="27"/>
      <c r="BFB28" s="27"/>
      <c r="BFC28" s="27"/>
      <c r="BFD28" s="27"/>
      <c r="BFE28" s="27"/>
      <c r="BFF28" s="27"/>
      <c r="BFG28" s="27"/>
      <c r="BFH28" s="27"/>
      <c r="BFI28" s="27"/>
      <c r="BFJ28" s="27"/>
      <c r="BFK28" s="27"/>
      <c r="BFL28" s="27"/>
      <c r="BFM28" s="27"/>
      <c r="BFN28" s="27"/>
      <c r="BFO28" s="27"/>
      <c r="BFP28" s="27"/>
      <c r="BFQ28" s="27"/>
      <c r="BFR28" s="27"/>
      <c r="BFS28" s="27"/>
      <c r="BFT28" s="27"/>
      <c r="BFU28" s="27"/>
      <c r="BFV28" s="27"/>
      <c r="BFW28" s="27"/>
      <c r="BFX28" s="27"/>
      <c r="BFY28" s="27"/>
      <c r="BFZ28" s="27"/>
      <c r="BGA28" s="27"/>
      <c r="BGB28" s="27"/>
      <c r="BGC28" s="27"/>
      <c r="BGD28" s="27"/>
      <c r="BGE28" s="27"/>
      <c r="BGF28" s="27"/>
      <c r="BGG28" s="27"/>
      <c r="BGH28" s="27"/>
      <c r="BGI28" s="27"/>
      <c r="BGJ28" s="27"/>
      <c r="BGK28" s="27"/>
      <c r="BGL28" s="27"/>
      <c r="BGM28" s="27"/>
      <c r="BGN28" s="27"/>
      <c r="BGO28" s="27"/>
      <c r="BGP28" s="27"/>
      <c r="BGQ28" s="27"/>
      <c r="BGR28" s="27"/>
      <c r="BGS28" s="27"/>
      <c r="BGT28" s="27"/>
      <c r="BGU28" s="27"/>
      <c r="BGV28" s="27"/>
      <c r="BGW28" s="27"/>
      <c r="BGX28" s="27"/>
      <c r="BGY28" s="27"/>
      <c r="BGZ28" s="27"/>
      <c r="BHA28" s="27"/>
      <c r="BHB28" s="27"/>
      <c r="BHC28" s="29"/>
      <c r="BHD28" s="37"/>
    </row>
    <row r="29" spans="1:1564" ht="30" customHeight="1" x14ac:dyDescent="0.3">
      <c r="A29" s="22">
        <v>25</v>
      </c>
      <c r="B29" s="40" t="s">
        <v>307</v>
      </c>
      <c r="C29" s="40" t="s">
        <v>272</v>
      </c>
      <c r="D29" s="40" t="s">
        <v>257</v>
      </c>
      <c r="E29" s="37"/>
      <c r="F29" s="30"/>
      <c r="G29" s="23"/>
      <c r="H29" s="23"/>
      <c r="I29" s="30"/>
      <c r="J29" s="23"/>
      <c r="K29" s="23"/>
      <c r="L29" s="30"/>
      <c r="M29" s="23"/>
      <c r="N29" s="23"/>
      <c r="O29" s="30"/>
      <c r="P29" s="23"/>
      <c r="Q29" s="23"/>
      <c r="R29" s="30"/>
      <c r="S29" s="23"/>
      <c r="T29" s="23"/>
      <c r="U29" s="30"/>
      <c r="V29" s="23"/>
      <c r="W29" s="23"/>
      <c r="X29" s="30"/>
      <c r="Y29" s="23"/>
      <c r="Z29" s="23"/>
      <c r="AA29" s="30"/>
      <c r="AB29" s="23"/>
      <c r="AC29" s="23"/>
      <c r="AD29" s="30"/>
      <c r="AE29" s="23"/>
      <c r="AF29" s="23"/>
      <c r="AG29" s="30"/>
      <c r="AH29" s="23"/>
      <c r="AI29" s="23"/>
      <c r="AJ29" s="30"/>
      <c r="AK29" s="23"/>
      <c r="AL29" s="23"/>
      <c r="AM29" s="30"/>
      <c r="AN29" s="23"/>
      <c r="AO29" s="23"/>
      <c r="AP29" s="30"/>
      <c r="AQ29" s="23"/>
      <c r="AR29" s="23"/>
      <c r="AS29" s="30"/>
      <c r="AT29" s="23"/>
      <c r="AU29" s="23"/>
      <c r="AV29" s="30"/>
      <c r="AW29" s="23"/>
      <c r="AX29" s="23"/>
      <c r="AY29" s="30"/>
      <c r="AZ29" s="23"/>
      <c r="BA29" s="23"/>
      <c r="BB29" s="30"/>
      <c r="BC29" s="23"/>
      <c r="BD29" s="23"/>
      <c r="BE29" s="30"/>
      <c r="BF29" s="23"/>
      <c r="BG29" s="23"/>
      <c r="BH29" s="30"/>
      <c r="BI29" s="23"/>
      <c r="BJ29" s="23"/>
      <c r="BK29" s="30"/>
      <c r="BL29" s="23"/>
      <c r="BM29" s="23"/>
      <c r="BN29" s="30"/>
      <c r="BO29" s="23"/>
      <c r="BP29" s="24"/>
      <c r="BQ29" s="30"/>
      <c r="BR29" s="23"/>
      <c r="BS29" s="23"/>
      <c r="BT29" s="30"/>
      <c r="BU29" s="23"/>
      <c r="BV29" s="23"/>
      <c r="BW29" s="30"/>
      <c r="BX29" s="23"/>
      <c r="BY29" s="23"/>
      <c r="BZ29" s="30"/>
      <c r="CA29" s="23"/>
      <c r="CB29" s="23"/>
      <c r="CC29" s="30"/>
      <c r="CD29" s="23"/>
      <c r="CE29" s="23"/>
      <c r="CF29" s="30"/>
      <c r="CG29" s="23"/>
      <c r="CH29" s="23"/>
      <c r="CI29" s="30"/>
      <c r="CJ29" s="23"/>
      <c r="CK29" s="23"/>
      <c r="CL29" s="30"/>
      <c r="CM29" s="23"/>
      <c r="CN29" s="23"/>
      <c r="CO29" s="30"/>
      <c r="CP29" s="23"/>
      <c r="CQ29" s="23"/>
      <c r="CR29" s="30"/>
      <c r="CS29" s="23"/>
      <c r="CT29" s="25"/>
      <c r="CU29" s="37"/>
      <c r="CV29" s="26"/>
      <c r="CW29" s="27"/>
      <c r="CX29" s="27"/>
      <c r="CY29" s="27"/>
      <c r="CZ29" s="27"/>
      <c r="DA29" s="27"/>
      <c r="DB29" s="26"/>
      <c r="DC29" s="27"/>
      <c r="DD29" s="27"/>
      <c r="DE29" s="26"/>
      <c r="DF29" s="27"/>
      <c r="DG29" s="27"/>
      <c r="DH29" s="26"/>
      <c r="DI29" s="27"/>
      <c r="DJ29" s="27"/>
      <c r="DK29" s="26"/>
      <c r="DL29" s="27"/>
      <c r="DM29" s="27"/>
      <c r="DN29" s="26"/>
      <c r="DO29" s="27"/>
      <c r="DP29" s="27"/>
      <c r="DQ29" s="26"/>
      <c r="DR29" s="27"/>
      <c r="DS29" s="27"/>
      <c r="DT29" s="26"/>
      <c r="DU29" s="27"/>
      <c r="DV29" s="27"/>
      <c r="DW29" s="26"/>
      <c r="DX29" s="27"/>
      <c r="DY29" s="27"/>
      <c r="DZ29" s="26"/>
      <c r="EA29" s="27"/>
      <c r="EB29" s="27"/>
      <c r="EC29" s="26"/>
      <c r="ED29" s="27"/>
      <c r="EE29" s="27"/>
      <c r="EF29" s="26"/>
      <c r="EG29" s="27"/>
      <c r="EH29" s="27"/>
      <c r="EI29" s="26"/>
      <c r="EJ29" s="27"/>
      <c r="EK29" s="27"/>
      <c r="EL29" s="26"/>
      <c r="EM29" s="27"/>
      <c r="EN29" s="27"/>
      <c r="EO29" s="26"/>
      <c r="EP29" s="27"/>
      <c r="EQ29" s="27"/>
      <c r="ER29" s="26"/>
      <c r="ES29" s="27"/>
      <c r="ET29" s="27"/>
      <c r="EU29" s="26"/>
      <c r="EV29" s="27"/>
      <c r="EW29" s="27"/>
      <c r="EX29" s="26"/>
      <c r="EY29" s="27"/>
      <c r="EZ29" s="27"/>
      <c r="FA29" s="26"/>
      <c r="FB29" s="27"/>
      <c r="FC29" s="27"/>
      <c r="FD29" s="26"/>
      <c r="FE29" s="27"/>
      <c r="FF29" s="27"/>
      <c r="FG29" s="26"/>
      <c r="FH29" s="27"/>
      <c r="FI29" s="27"/>
      <c r="FJ29" s="26"/>
      <c r="FK29" s="27"/>
      <c r="FL29" s="27"/>
      <c r="FM29" s="26"/>
      <c r="FN29" s="27"/>
      <c r="FO29" s="27"/>
      <c r="FP29" s="26"/>
      <c r="FQ29" s="27"/>
      <c r="FR29" s="27"/>
      <c r="FS29" s="26"/>
      <c r="FT29" s="27"/>
      <c r="FU29" s="27"/>
      <c r="FV29" s="26"/>
      <c r="FW29" s="27"/>
      <c r="FX29" s="27"/>
      <c r="FY29" s="26"/>
      <c r="FZ29" s="27"/>
      <c r="GA29" s="27"/>
      <c r="GB29" s="26"/>
      <c r="GC29" s="27"/>
      <c r="GD29" s="27"/>
      <c r="GE29" s="26"/>
      <c r="GF29" s="27"/>
      <c r="GG29" s="27"/>
      <c r="GH29" s="26"/>
      <c r="GI29" s="27"/>
      <c r="GJ29" s="29"/>
      <c r="GK29" s="37"/>
      <c r="GL29" s="26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37"/>
      <c r="JS29" s="26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9"/>
      <c r="NH29" s="37"/>
      <c r="NI29" s="26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37"/>
      <c r="QV29" s="26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9"/>
      <c r="UK29" s="37"/>
      <c r="UL29" s="26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37"/>
      <c r="XY29" s="26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  <c r="ZG29" s="27"/>
      <c r="ZH29" s="27"/>
      <c r="ZI29" s="27"/>
      <c r="ZJ29" s="27"/>
      <c r="ZK29" s="27"/>
      <c r="ZL29" s="27"/>
      <c r="ZM29" s="27"/>
      <c r="ZN29" s="27"/>
      <c r="ZO29" s="27"/>
      <c r="ZP29" s="27"/>
      <c r="ZQ29" s="27"/>
      <c r="ZR29" s="27"/>
      <c r="ZS29" s="27"/>
      <c r="ZT29" s="27"/>
      <c r="ZU29" s="27"/>
      <c r="ZV29" s="27"/>
      <c r="ZW29" s="27"/>
      <c r="ZX29" s="27"/>
      <c r="ZY29" s="27"/>
      <c r="ZZ29" s="27"/>
      <c r="AAA29" s="27"/>
      <c r="AAB29" s="27"/>
      <c r="AAC29" s="27"/>
      <c r="AAD29" s="27"/>
      <c r="AAE29" s="27"/>
      <c r="AAF29" s="27"/>
      <c r="AAG29" s="27"/>
      <c r="AAH29" s="27"/>
      <c r="AAI29" s="27"/>
      <c r="AAJ29" s="27"/>
      <c r="AAK29" s="27"/>
      <c r="AAL29" s="27"/>
      <c r="AAM29" s="27"/>
      <c r="AAN29" s="27"/>
      <c r="AAO29" s="27"/>
      <c r="AAP29" s="27"/>
      <c r="AAQ29" s="27"/>
      <c r="AAR29" s="27"/>
      <c r="AAS29" s="27"/>
      <c r="AAT29" s="27"/>
      <c r="AAU29" s="27"/>
      <c r="AAV29" s="27"/>
      <c r="AAW29" s="27"/>
      <c r="AAX29" s="27"/>
      <c r="AAY29" s="27"/>
      <c r="AAZ29" s="27"/>
      <c r="ABA29" s="27"/>
      <c r="ABB29" s="27"/>
      <c r="ABC29" s="27"/>
      <c r="ABD29" s="27"/>
      <c r="ABE29" s="27"/>
      <c r="ABF29" s="27"/>
      <c r="ABG29" s="27"/>
      <c r="ABH29" s="27"/>
      <c r="ABI29" s="27"/>
      <c r="ABJ29" s="27"/>
      <c r="ABK29" s="27"/>
      <c r="ABL29" s="27"/>
      <c r="ABM29" s="29"/>
      <c r="ABN29" s="37"/>
      <c r="ABO29" s="26"/>
      <c r="ABP29" s="27"/>
      <c r="ABQ29" s="27"/>
      <c r="ABR29" s="27"/>
      <c r="ABS29" s="27"/>
      <c r="ABT29" s="27"/>
      <c r="ABU29" s="27"/>
      <c r="ABV29" s="27"/>
      <c r="ABW29" s="27"/>
      <c r="ABX29" s="27"/>
      <c r="ABY29" s="27"/>
      <c r="ABZ29" s="27"/>
      <c r="ACA29" s="27"/>
      <c r="ACB29" s="27"/>
      <c r="ACC29" s="27"/>
      <c r="ACD29" s="27"/>
      <c r="ACE29" s="27"/>
      <c r="ACF29" s="27"/>
      <c r="ACG29" s="27"/>
      <c r="ACH29" s="27"/>
      <c r="ACI29" s="27"/>
      <c r="ACJ29" s="27"/>
      <c r="ACK29" s="27"/>
      <c r="ACL29" s="27"/>
      <c r="ACM29" s="27"/>
      <c r="ACN29" s="27"/>
      <c r="ACO29" s="27"/>
      <c r="ACP29" s="27"/>
      <c r="ACQ29" s="27"/>
      <c r="ACR29" s="27"/>
      <c r="ACS29" s="27"/>
      <c r="ACT29" s="27"/>
      <c r="ACU29" s="27"/>
      <c r="ACV29" s="27"/>
      <c r="ACW29" s="27"/>
      <c r="ACX29" s="27"/>
      <c r="ACY29" s="27"/>
      <c r="ACZ29" s="27"/>
      <c r="ADA29" s="27"/>
      <c r="ADB29" s="27"/>
      <c r="ADC29" s="27"/>
      <c r="ADD29" s="27"/>
      <c r="ADE29" s="27"/>
      <c r="ADF29" s="27"/>
      <c r="ADG29" s="27"/>
      <c r="ADH29" s="27"/>
      <c r="ADI29" s="27"/>
      <c r="ADJ29" s="27"/>
      <c r="ADK29" s="27"/>
      <c r="ADL29" s="27"/>
      <c r="ADM29" s="27"/>
      <c r="ADN29" s="27"/>
      <c r="ADO29" s="27"/>
      <c r="ADP29" s="27"/>
      <c r="ADQ29" s="27"/>
      <c r="ADR29" s="27"/>
      <c r="ADS29" s="27"/>
      <c r="ADT29" s="27"/>
      <c r="ADU29" s="27"/>
      <c r="ADV29" s="27"/>
      <c r="ADW29" s="27"/>
      <c r="ADX29" s="27"/>
      <c r="ADY29" s="27"/>
      <c r="ADZ29" s="27"/>
      <c r="AEA29" s="27"/>
      <c r="AEB29" s="27"/>
      <c r="AEC29" s="27"/>
      <c r="AED29" s="27"/>
      <c r="AEE29" s="27"/>
      <c r="AEF29" s="27"/>
      <c r="AEG29" s="27"/>
      <c r="AEH29" s="27"/>
      <c r="AEI29" s="27"/>
      <c r="AEJ29" s="27"/>
      <c r="AEK29" s="27"/>
      <c r="AEL29" s="27"/>
      <c r="AEM29" s="27"/>
      <c r="AEN29" s="27"/>
      <c r="AEO29" s="27"/>
      <c r="AEP29" s="27"/>
      <c r="AEQ29" s="27"/>
      <c r="AER29" s="27"/>
      <c r="AES29" s="27"/>
      <c r="AET29" s="27"/>
      <c r="AEU29" s="27"/>
      <c r="AEV29" s="27"/>
      <c r="AEW29" s="27"/>
      <c r="AEX29" s="27"/>
      <c r="AEY29" s="27"/>
      <c r="AEZ29" s="27"/>
      <c r="AFA29" s="27"/>
      <c r="AFB29" s="27"/>
      <c r="AFC29" s="29"/>
      <c r="AFD29" s="37"/>
      <c r="AFE29" s="26"/>
      <c r="AFF29" s="27"/>
      <c r="AFG29" s="27"/>
      <c r="AFH29" s="27"/>
      <c r="AFI29" s="27"/>
      <c r="AFJ29" s="27"/>
      <c r="AFK29" s="27"/>
      <c r="AFL29" s="27"/>
      <c r="AFM29" s="27"/>
      <c r="AFN29" s="27"/>
      <c r="AFO29" s="27"/>
      <c r="AFP29" s="27"/>
      <c r="AFQ29" s="27"/>
      <c r="AFR29" s="27"/>
      <c r="AFS29" s="27"/>
      <c r="AFT29" s="27"/>
      <c r="AFU29" s="27"/>
      <c r="AFV29" s="27"/>
      <c r="AFW29" s="27"/>
      <c r="AFX29" s="27"/>
      <c r="AFY29" s="27"/>
      <c r="AFZ29" s="27"/>
      <c r="AGA29" s="27"/>
      <c r="AGB29" s="27"/>
      <c r="AGC29" s="27"/>
      <c r="AGD29" s="27"/>
      <c r="AGE29" s="27"/>
      <c r="AGF29" s="27"/>
      <c r="AGG29" s="27"/>
      <c r="AGH29" s="27"/>
      <c r="AGI29" s="27"/>
      <c r="AGJ29" s="27"/>
      <c r="AGK29" s="27"/>
      <c r="AGL29" s="27"/>
      <c r="AGM29" s="27"/>
      <c r="AGN29" s="27"/>
      <c r="AGO29" s="27"/>
      <c r="AGP29" s="27"/>
      <c r="AGQ29" s="27"/>
      <c r="AGR29" s="27"/>
      <c r="AGS29" s="27"/>
      <c r="AGT29" s="27"/>
      <c r="AGU29" s="27"/>
      <c r="AGV29" s="27"/>
      <c r="AGW29" s="27"/>
      <c r="AGX29" s="27"/>
      <c r="AGY29" s="27"/>
      <c r="AGZ29" s="27"/>
      <c r="AHA29" s="27"/>
      <c r="AHB29" s="27"/>
      <c r="AHC29" s="27"/>
      <c r="AHD29" s="27"/>
      <c r="AHE29" s="27"/>
      <c r="AHF29" s="27"/>
      <c r="AHG29" s="27"/>
      <c r="AHH29" s="27"/>
      <c r="AHI29" s="27"/>
      <c r="AHJ29" s="27"/>
      <c r="AHK29" s="27"/>
      <c r="AHL29" s="27"/>
      <c r="AHM29" s="27"/>
      <c r="AHN29" s="27"/>
      <c r="AHO29" s="27"/>
      <c r="AHP29" s="27"/>
      <c r="AHQ29" s="27"/>
      <c r="AHR29" s="27"/>
      <c r="AHS29" s="27"/>
      <c r="AHT29" s="27"/>
      <c r="AHU29" s="27"/>
      <c r="AHV29" s="27"/>
      <c r="AHW29" s="27"/>
      <c r="AHX29" s="27"/>
      <c r="AHY29" s="27"/>
      <c r="AHZ29" s="27"/>
      <c r="AIA29" s="27"/>
      <c r="AIB29" s="27"/>
      <c r="AIC29" s="27"/>
      <c r="AID29" s="27"/>
      <c r="AIE29" s="27"/>
      <c r="AIF29" s="27"/>
      <c r="AIG29" s="27"/>
      <c r="AIH29" s="27"/>
      <c r="AII29" s="27"/>
      <c r="AIJ29" s="27"/>
      <c r="AIK29" s="27"/>
      <c r="AIL29" s="27"/>
      <c r="AIM29" s="27"/>
      <c r="AIN29" s="27"/>
      <c r="AIO29" s="27"/>
      <c r="AIP29" s="27"/>
      <c r="AIQ29" s="37"/>
      <c r="AIR29" s="26"/>
      <c r="AIS29" s="27"/>
      <c r="AIT29" s="27"/>
      <c r="AIU29" s="27"/>
      <c r="AIV29" s="27"/>
      <c r="AIW29" s="27"/>
      <c r="AIX29" s="27"/>
      <c r="AIY29" s="27"/>
      <c r="AIZ29" s="27"/>
      <c r="AJA29" s="27"/>
      <c r="AJB29" s="27"/>
      <c r="AJC29" s="27"/>
      <c r="AJD29" s="27"/>
      <c r="AJE29" s="27"/>
      <c r="AJF29" s="27"/>
      <c r="AJG29" s="27"/>
      <c r="AJH29" s="27"/>
      <c r="AJI29" s="27"/>
      <c r="AJJ29" s="27"/>
      <c r="AJK29" s="27"/>
      <c r="AJL29" s="27"/>
      <c r="AJM29" s="27"/>
      <c r="AJN29" s="27"/>
      <c r="AJO29" s="27"/>
      <c r="AJP29" s="27"/>
      <c r="AJQ29" s="27"/>
      <c r="AJR29" s="27"/>
      <c r="AJS29" s="27"/>
      <c r="AJT29" s="27"/>
      <c r="AJU29" s="27"/>
      <c r="AJV29" s="27"/>
      <c r="AJW29" s="27"/>
      <c r="AJX29" s="27"/>
      <c r="AJY29" s="27"/>
      <c r="AJZ29" s="27"/>
      <c r="AKA29" s="27"/>
      <c r="AKB29" s="27"/>
      <c r="AKC29" s="27"/>
      <c r="AKD29" s="27"/>
      <c r="AKE29" s="27"/>
      <c r="AKF29" s="27"/>
      <c r="AKG29" s="27"/>
      <c r="AKH29" s="27"/>
      <c r="AKI29" s="27"/>
      <c r="AKJ29" s="27"/>
      <c r="AKK29" s="27"/>
      <c r="AKL29" s="27"/>
      <c r="AKM29" s="27"/>
      <c r="AKN29" s="27"/>
      <c r="AKO29" s="27"/>
      <c r="AKP29" s="27"/>
      <c r="AKQ29" s="27"/>
      <c r="AKR29" s="27"/>
      <c r="AKS29" s="27"/>
      <c r="AKT29" s="27"/>
      <c r="AKU29" s="27"/>
      <c r="AKV29" s="27"/>
      <c r="AKW29" s="27"/>
      <c r="AKX29" s="27"/>
      <c r="AKY29" s="27"/>
      <c r="AKZ29" s="27"/>
      <c r="ALA29" s="27"/>
      <c r="ALB29" s="27"/>
      <c r="ALC29" s="27"/>
      <c r="ALD29" s="27"/>
      <c r="ALE29" s="27"/>
      <c r="ALF29" s="27"/>
      <c r="ALG29" s="27"/>
      <c r="ALH29" s="27"/>
      <c r="ALI29" s="27"/>
      <c r="ALJ29" s="27"/>
      <c r="ALK29" s="27"/>
      <c r="ALL29" s="27"/>
      <c r="ALM29" s="27"/>
      <c r="ALN29" s="27"/>
      <c r="ALO29" s="27"/>
      <c r="ALP29" s="27"/>
      <c r="ALQ29" s="27"/>
      <c r="ALR29" s="27"/>
      <c r="ALS29" s="27"/>
      <c r="ALT29" s="27"/>
      <c r="ALU29" s="27"/>
      <c r="ALV29" s="27"/>
      <c r="ALW29" s="27"/>
      <c r="ALX29" s="27"/>
      <c r="ALY29" s="27"/>
      <c r="ALZ29" s="27"/>
      <c r="AMA29" s="27"/>
      <c r="AMB29" s="27"/>
      <c r="AMC29" s="27"/>
      <c r="AMD29" s="27"/>
      <c r="AME29" s="27"/>
      <c r="AMF29" s="29"/>
      <c r="AMG29" s="37"/>
      <c r="AMH29" s="26"/>
      <c r="AMI29" s="27"/>
      <c r="AMJ29" s="27"/>
      <c r="AMK29" s="27"/>
      <c r="AML29" s="27"/>
      <c r="AMM29" s="27"/>
      <c r="AMN29" s="27"/>
      <c r="AMO29" s="27"/>
      <c r="AMP29" s="27"/>
      <c r="AMQ29" s="27"/>
      <c r="AMR29" s="27"/>
      <c r="AMS29" s="27"/>
      <c r="AMT29" s="27"/>
      <c r="AMU29" s="27"/>
      <c r="AMV29" s="27"/>
      <c r="AMW29" s="27"/>
      <c r="AMX29" s="27"/>
      <c r="AMY29" s="27"/>
      <c r="AMZ29" s="27"/>
      <c r="ANA29" s="27"/>
      <c r="ANB29" s="27"/>
      <c r="ANC29" s="27"/>
      <c r="AND29" s="27"/>
      <c r="ANE29" s="27"/>
      <c r="ANF29" s="27"/>
      <c r="ANG29" s="27"/>
      <c r="ANH29" s="27"/>
      <c r="ANI29" s="27"/>
      <c r="ANJ29" s="27"/>
      <c r="ANK29" s="27"/>
      <c r="ANL29" s="27"/>
      <c r="ANM29" s="27"/>
      <c r="ANN29" s="27"/>
      <c r="ANO29" s="27"/>
      <c r="ANP29" s="27"/>
      <c r="ANQ29" s="27"/>
      <c r="ANR29" s="27"/>
      <c r="ANS29" s="27"/>
      <c r="ANT29" s="27"/>
      <c r="ANU29" s="27"/>
      <c r="ANV29" s="27"/>
      <c r="ANW29" s="27"/>
      <c r="ANX29" s="27"/>
      <c r="ANY29" s="27"/>
      <c r="ANZ29" s="27"/>
      <c r="AOA29" s="27"/>
      <c r="AOB29" s="27"/>
      <c r="AOC29" s="27"/>
      <c r="AOD29" s="27"/>
      <c r="AOE29" s="27"/>
      <c r="AOF29" s="27"/>
      <c r="AOG29" s="27"/>
      <c r="AOH29" s="27"/>
      <c r="AOI29" s="27"/>
      <c r="AOJ29" s="27"/>
      <c r="AOK29" s="27"/>
      <c r="AOL29" s="27"/>
      <c r="AOM29" s="27"/>
      <c r="AON29" s="27"/>
      <c r="AOO29" s="27"/>
      <c r="AOP29" s="27"/>
      <c r="AOQ29" s="27"/>
      <c r="AOR29" s="27"/>
      <c r="AOS29" s="27"/>
      <c r="AOT29" s="27"/>
      <c r="AOU29" s="27"/>
      <c r="AOV29" s="27"/>
      <c r="AOW29" s="27"/>
      <c r="AOX29" s="27"/>
      <c r="AOY29" s="27"/>
      <c r="AOZ29" s="27"/>
      <c r="APA29" s="27"/>
      <c r="APB29" s="27"/>
      <c r="APC29" s="27"/>
      <c r="APD29" s="27"/>
      <c r="APE29" s="27"/>
      <c r="APF29" s="27"/>
      <c r="APG29" s="27"/>
      <c r="APH29" s="27"/>
      <c r="API29" s="27"/>
      <c r="APJ29" s="27"/>
      <c r="APK29" s="27"/>
      <c r="APL29" s="27"/>
      <c r="APM29" s="27"/>
      <c r="APN29" s="27"/>
      <c r="APO29" s="27"/>
      <c r="APP29" s="27"/>
      <c r="APQ29" s="27"/>
      <c r="APR29" s="27"/>
      <c r="APS29" s="29"/>
      <c r="APT29" s="37"/>
      <c r="APU29" s="26"/>
      <c r="APV29" s="27"/>
      <c r="APW29" s="27"/>
      <c r="APX29" s="27"/>
      <c r="APY29" s="27"/>
      <c r="APZ29" s="27"/>
      <c r="AQA29" s="27"/>
      <c r="AQB29" s="27"/>
      <c r="AQC29" s="27"/>
      <c r="AQD29" s="27"/>
      <c r="AQE29" s="27"/>
      <c r="AQF29" s="27"/>
      <c r="AQG29" s="27"/>
      <c r="AQH29" s="27"/>
      <c r="AQI29" s="27"/>
      <c r="AQJ29" s="27"/>
      <c r="AQK29" s="27"/>
      <c r="AQL29" s="27"/>
      <c r="AQM29" s="27"/>
      <c r="AQN29" s="27"/>
      <c r="AQO29" s="27"/>
      <c r="AQP29" s="27"/>
      <c r="AQQ29" s="27"/>
      <c r="AQR29" s="27"/>
      <c r="AQS29" s="27"/>
      <c r="AQT29" s="27"/>
      <c r="AQU29" s="27"/>
      <c r="AQV29" s="27"/>
      <c r="AQW29" s="27"/>
      <c r="AQX29" s="27"/>
      <c r="AQY29" s="27"/>
      <c r="AQZ29" s="27"/>
      <c r="ARA29" s="27"/>
      <c r="ARB29" s="27"/>
      <c r="ARC29" s="27"/>
      <c r="ARD29" s="27"/>
      <c r="ARE29" s="27"/>
      <c r="ARF29" s="27"/>
      <c r="ARG29" s="27"/>
      <c r="ARH29" s="27"/>
      <c r="ARI29" s="27"/>
      <c r="ARJ29" s="27"/>
      <c r="ARK29" s="27"/>
      <c r="ARL29" s="27"/>
      <c r="ARM29" s="27"/>
      <c r="ARN29" s="27"/>
      <c r="ARO29" s="27"/>
      <c r="ARP29" s="27"/>
      <c r="ARQ29" s="27"/>
      <c r="ARR29" s="27"/>
      <c r="ARS29" s="27"/>
      <c r="ART29" s="27"/>
      <c r="ARU29" s="27"/>
      <c r="ARV29" s="27"/>
      <c r="ARW29" s="27"/>
      <c r="ARX29" s="27"/>
      <c r="ARY29" s="27"/>
      <c r="ARZ29" s="27"/>
      <c r="ASA29" s="27"/>
      <c r="ASB29" s="27"/>
      <c r="ASC29" s="27"/>
      <c r="ASD29" s="27"/>
      <c r="ASE29" s="27"/>
      <c r="ASF29" s="27"/>
      <c r="ASG29" s="27"/>
      <c r="ASH29" s="27"/>
      <c r="ASI29" s="27"/>
      <c r="ASJ29" s="27"/>
      <c r="ASK29" s="27"/>
      <c r="ASL29" s="27"/>
      <c r="ASM29" s="27"/>
      <c r="ASN29" s="27"/>
      <c r="ASO29" s="27"/>
      <c r="ASP29" s="27"/>
      <c r="ASQ29" s="27"/>
      <c r="ASR29" s="27"/>
      <c r="ASS29" s="27"/>
      <c r="AST29" s="27"/>
      <c r="ASU29" s="27"/>
      <c r="ASV29" s="27"/>
      <c r="ASW29" s="27"/>
      <c r="ASX29" s="27"/>
      <c r="ASY29" s="27"/>
      <c r="ASZ29" s="27"/>
      <c r="ATA29" s="27"/>
      <c r="ATB29" s="27"/>
      <c r="ATC29" s="27"/>
      <c r="ATD29" s="27"/>
      <c r="ATE29" s="27"/>
      <c r="ATF29" s="29"/>
      <c r="ATG29" s="37"/>
      <c r="ATH29" s="26"/>
      <c r="ATI29" s="27"/>
      <c r="ATJ29" s="27"/>
      <c r="ATK29" s="27"/>
      <c r="ATL29" s="27"/>
      <c r="ATM29" s="27"/>
      <c r="ATN29" s="27"/>
      <c r="ATO29" s="27"/>
      <c r="ATP29" s="27"/>
      <c r="ATQ29" s="27"/>
      <c r="ATR29" s="27"/>
      <c r="ATS29" s="27"/>
      <c r="ATT29" s="27"/>
      <c r="ATU29" s="27"/>
      <c r="ATV29" s="27"/>
      <c r="ATW29" s="27"/>
      <c r="ATX29" s="27"/>
      <c r="ATY29" s="27"/>
      <c r="ATZ29" s="27"/>
      <c r="AUA29" s="27"/>
      <c r="AUB29" s="27"/>
      <c r="AUC29" s="27"/>
      <c r="AUD29" s="27"/>
      <c r="AUE29" s="27"/>
      <c r="AUF29" s="27"/>
      <c r="AUG29" s="27"/>
      <c r="AUH29" s="27"/>
      <c r="AUI29" s="27"/>
      <c r="AUJ29" s="27"/>
      <c r="AUK29" s="27"/>
      <c r="AUL29" s="27"/>
      <c r="AUM29" s="27"/>
      <c r="AUN29" s="27"/>
      <c r="AUO29" s="27"/>
      <c r="AUP29" s="27"/>
      <c r="AUQ29" s="27"/>
      <c r="AUR29" s="27"/>
      <c r="AUS29" s="27"/>
      <c r="AUT29" s="27"/>
      <c r="AUU29" s="27"/>
      <c r="AUV29" s="27"/>
      <c r="AUW29" s="27"/>
      <c r="AUX29" s="27"/>
      <c r="AUY29" s="27"/>
      <c r="AUZ29" s="27"/>
      <c r="AVA29" s="27"/>
      <c r="AVB29" s="27"/>
      <c r="AVC29" s="27"/>
      <c r="AVD29" s="27"/>
      <c r="AVE29" s="27"/>
      <c r="AVF29" s="27"/>
      <c r="AVG29" s="27"/>
      <c r="AVH29" s="27"/>
      <c r="AVI29" s="27"/>
      <c r="AVJ29" s="27"/>
      <c r="AVK29" s="27"/>
      <c r="AVL29" s="27"/>
      <c r="AVM29" s="27"/>
      <c r="AVN29" s="27"/>
      <c r="AVO29" s="27"/>
      <c r="AVP29" s="27"/>
      <c r="AVQ29" s="27"/>
      <c r="AVR29" s="27"/>
      <c r="AVS29" s="27"/>
      <c r="AVT29" s="27"/>
      <c r="AVU29" s="27"/>
      <c r="AVV29" s="27"/>
      <c r="AVW29" s="27"/>
      <c r="AVX29" s="27"/>
      <c r="AVY29" s="27"/>
      <c r="AVZ29" s="27"/>
      <c r="AWA29" s="27"/>
      <c r="AWB29" s="27"/>
      <c r="AWC29" s="27"/>
      <c r="AWD29" s="27"/>
      <c r="AWE29" s="27"/>
      <c r="AWF29" s="27"/>
      <c r="AWG29" s="27"/>
      <c r="AWH29" s="27"/>
      <c r="AWI29" s="27"/>
      <c r="AWJ29" s="27"/>
      <c r="AWK29" s="27"/>
      <c r="AWL29" s="27"/>
      <c r="AWM29" s="27"/>
      <c r="AWN29" s="27"/>
      <c r="AWO29" s="27"/>
      <c r="AWP29" s="27"/>
      <c r="AWQ29" s="27"/>
      <c r="AWR29" s="27"/>
      <c r="AWS29" s="29"/>
      <c r="AWT29" s="37"/>
      <c r="AWU29" s="26"/>
      <c r="AWV29" s="27"/>
      <c r="AWW29" s="27"/>
      <c r="AWX29" s="27"/>
      <c r="AWY29" s="27"/>
      <c r="AWZ29" s="27"/>
      <c r="AXA29" s="27"/>
      <c r="AXB29" s="27"/>
      <c r="AXC29" s="27"/>
      <c r="AXD29" s="27"/>
      <c r="AXE29" s="27"/>
      <c r="AXF29" s="27"/>
      <c r="AXG29" s="27"/>
      <c r="AXH29" s="27"/>
      <c r="AXI29" s="27"/>
      <c r="AXJ29" s="27"/>
      <c r="AXK29" s="27"/>
      <c r="AXL29" s="27"/>
      <c r="AXM29" s="27"/>
      <c r="AXN29" s="27"/>
      <c r="AXO29" s="27"/>
      <c r="AXP29" s="27"/>
      <c r="AXQ29" s="27"/>
      <c r="AXR29" s="27"/>
      <c r="AXS29" s="27"/>
      <c r="AXT29" s="27"/>
      <c r="AXU29" s="27"/>
      <c r="AXV29" s="27"/>
      <c r="AXW29" s="27"/>
      <c r="AXX29" s="27"/>
      <c r="AXY29" s="27"/>
      <c r="AXZ29" s="27"/>
      <c r="AYA29" s="27"/>
      <c r="AYB29" s="27"/>
      <c r="AYC29" s="27"/>
      <c r="AYD29" s="27"/>
      <c r="AYE29" s="27"/>
      <c r="AYF29" s="27"/>
      <c r="AYG29" s="27"/>
      <c r="AYH29" s="27"/>
      <c r="AYI29" s="27"/>
      <c r="AYJ29" s="27"/>
      <c r="AYK29" s="27"/>
      <c r="AYL29" s="27"/>
      <c r="AYM29" s="27"/>
      <c r="AYN29" s="27"/>
      <c r="AYO29" s="27"/>
      <c r="AYP29" s="27"/>
      <c r="AYQ29" s="27"/>
      <c r="AYR29" s="27"/>
      <c r="AYS29" s="27"/>
      <c r="AYT29" s="27"/>
      <c r="AYU29" s="27"/>
      <c r="AYV29" s="27"/>
      <c r="AYW29" s="27"/>
      <c r="AYX29" s="27"/>
      <c r="AYY29" s="27"/>
      <c r="AYZ29" s="27"/>
      <c r="AZA29" s="27"/>
      <c r="AZB29" s="27"/>
      <c r="AZC29" s="27"/>
      <c r="AZD29" s="27"/>
      <c r="AZE29" s="27"/>
      <c r="AZF29" s="27"/>
      <c r="AZG29" s="27"/>
      <c r="AZH29" s="27"/>
      <c r="AZI29" s="27"/>
      <c r="AZJ29" s="27"/>
      <c r="AZK29" s="27"/>
      <c r="AZL29" s="27"/>
      <c r="AZM29" s="27"/>
      <c r="AZN29" s="27"/>
      <c r="AZO29" s="27"/>
      <c r="AZP29" s="27"/>
      <c r="AZQ29" s="27"/>
      <c r="AZR29" s="27"/>
      <c r="AZS29" s="27"/>
      <c r="AZT29" s="27"/>
      <c r="AZU29" s="27"/>
      <c r="AZV29" s="27"/>
      <c r="AZW29" s="27"/>
      <c r="AZX29" s="27"/>
      <c r="AZY29" s="27"/>
      <c r="AZZ29" s="27"/>
      <c r="BAA29" s="37"/>
      <c r="BAB29" s="26"/>
      <c r="BAC29" s="27"/>
      <c r="BAD29" s="27"/>
      <c r="BAE29" s="27"/>
      <c r="BAF29" s="27"/>
      <c r="BAG29" s="27"/>
      <c r="BAH29" s="27"/>
      <c r="BAI29" s="27"/>
      <c r="BAJ29" s="27"/>
      <c r="BAK29" s="27"/>
      <c r="BAL29" s="27"/>
      <c r="BAM29" s="27"/>
      <c r="BAN29" s="27"/>
      <c r="BAO29" s="27"/>
      <c r="BAP29" s="27"/>
      <c r="BAQ29" s="27"/>
      <c r="BAR29" s="27"/>
      <c r="BAS29" s="27"/>
      <c r="BAT29" s="27"/>
      <c r="BAU29" s="27"/>
      <c r="BAV29" s="27"/>
      <c r="BAW29" s="27"/>
      <c r="BAX29" s="27"/>
      <c r="BAY29" s="27"/>
      <c r="BAZ29" s="27"/>
      <c r="BBA29" s="27"/>
      <c r="BBB29" s="27"/>
      <c r="BBC29" s="27"/>
      <c r="BBD29" s="27"/>
      <c r="BBE29" s="27"/>
      <c r="BBF29" s="27"/>
      <c r="BBG29" s="27"/>
      <c r="BBH29" s="27"/>
      <c r="BBI29" s="27"/>
      <c r="BBJ29" s="27"/>
      <c r="BBK29" s="27"/>
      <c r="BBL29" s="27"/>
      <c r="BBM29" s="27"/>
      <c r="BBN29" s="27"/>
      <c r="BBO29" s="27"/>
      <c r="BBP29" s="27"/>
      <c r="BBQ29" s="27"/>
      <c r="BBR29" s="27"/>
      <c r="BBS29" s="27"/>
      <c r="BBT29" s="27"/>
      <c r="BBU29" s="27"/>
      <c r="BBV29" s="27"/>
      <c r="BBW29" s="27"/>
      <c r="BBX29" s="27"/>
      <c r="BBY29" s="27"/>
      <c r="BBZ29" s="27"/>
      <c r="BCA29" s="27"/>
      <c r="BCB29" s="27"/>
      <c r="BCC29" s="27"/>
      <c r="BCD29" s="27"/>
      <c r="BCE29" s="27"/>
      <c r="BCF29" s="27"/>
      <c r="BCG29" s="27"/>
      <c r="BCH29" s="27"/>
      <c r="BCI29" s="27"/>
      <c r="BCJ29" s="27"/>
      <c r="BCK29" s="27"/>
      <c r="BCL29" s="27"/>
      <c r="BCM29" s="27"/>
      <c r="BCN29" s="27"/>
      <c r="BCO29" s="27"/>
      <c r="BCP29" s="27"/>
      <c r="BCQ29" s="27"/>
      <c r="BCR29" s="27"/>
      <c r="BCS29" s="27"/>
      <c r="BCT29" s="27"/>
      <c r="BCU29" s="27"/>
      <c r="BCV29" s="27"/>
      <c r="BCW29" s="27"/>
      <c r="BCX29" s="27"/>
      <c r="BCY29" s="27"/>
      <c r="BCZ29" s="27"/>
      <c r="BDA29" s="27"/>
      <c r="BDB29" s="27"/>
      <c r="BDC29" s="27"/>
      <c r="BDD29" s="27"/>
      <c r="BDE29" s="27"/>
      <c r="BDF29" s="27"/>
      <c r="BDG29" s="27"/>
      <c r="BDH29" s="27"/>
      <c r="BDI29" s="27"/>
      <c r="BDJ29" s="27"/>
      <c r="BDK29" s="27"/>
      <c r="BDL29" s="27"/>
      <c r="BDM29" s="29"/>
      <c r="BDN29" s="29"/>
      <c r="BDO29" s="29"/>
      <c r="BDP29" s="29"/>
      <c r="BDQ29" s="37"/>
      <c r="BDR29" s="26"/>
      <c r="BDS29" s="27"/>
      <c r="BDT29" s="27"/>
      <c r="BDU29" s="27"/>
      <c r="BDV29" s="27"/>
      <c r="BDW29" s="27"/>
      <c r="BDX29" s="27"/>
      <c r="BDY29" s="27"/>
      <c r="BDZ29" s="27"/>
      <c r="BEA29" s="27"/>
      <c r="BEB29" s="27"/>
      <c r="BEC29" s="27"/>
      <c r="BED29" s="27"/>
      <c r="BEE29" s="27"/>
      <c r="BEF29" s="27"/>
      <c r="BEG29" s="27"/>
      <c r="BEH29" s="27"/>
      <c r="BEI29" s="27"/>
      <c r="BEJ29" s="27"/>
      <c r="BEK29" s="27"/>
      <c r="BEL29" s="27"/>
      <c r="BEM29" s="27"/>
      <c r="BEN29" s="27"/>
      <c r="BEO29" s="27"/>
      <c r="BEP29" s="27"/>
      <c r="BEQ29" s="27"/>
      <c r="BER29" s="27"/>
      <c r="BES29" s="27"/>
      <c r="BET29" s="27"/>
      <c r="BEU29" s="27"/>
      <c r="BEV29" s="27"/>
      <c r="BEW29" s="27"/>
      <c r="BEX29" s="27"/>
      <c r="BEY29" s="27"/>
      <c r="BEZ29" s="27"/>
      <c r="BFA29" s="27"/>
      <c r="BFB29" s="27"/>
      <c r="BFC29" s="27"/>
      <c r="BFD29" s="27"/>
      <c r="BFE29" s="27"/>
      <c r="BFF29" s="27"/>
      <c r="BFG29" s="27"/>
      <c r="BFH29" s="27"/>
      <c r="BFI29" s="27"/>
      <c r="BFJ29" s="27"/>
      <c r="BFK29" s="27"/>
      <c r="BFL29" s="27"/>
      <c r="BFM29" s="27"/>
      <c r="BFN29" s="27"/>
      <c r="BFO29" s="27"/>
      <c r="BFP29" s="27"/>
      <c r="BFQ29" s="27"/>
      <c r="BFR29" s="27"/>
      <c r="BFS29" s="27"/>
      <c r="BFT29" s="27"/>
      <c r="BFU29" s="27"/>
      <c r="BFV29" s="27"/>
      <c r="BFW29" s="27"/>
      <c r="BFX29" s="27"/>
      <c r="BFY29" s="27"/>
      <c r="BFZ29" s="27"/>
      <c r="BGA29" s="27"/>
      <c r="BGB29" s="27"/>
      <c r="BGC29" s="27"/>
      <c r="BGD29" s="27"/>
      <c r="BGE29" s="27"/>
      <c r="BGF29" s="27"/>
      <c r="BGG29" s="27"/>
      <c r="BGH29" s="27"/>
      <c r="BGI29" s="27"/>
      <c r="BGJ29" s="27"/>
      <c r="BGK29" s="27"/>
      <c r="BGL29" s="27"/>
      <c r="BGM29" s="27"/>
      <c r="BGN29" s="27"/>
      <c r="BGO29" s="27"/>
      <c r="BGP29" s="27"/>
      <c r="BGQ29" s="27"/>
      <c r="BGR29" s="27"/>
      <c r="BGS29" s="27"/>
      <c r="BGT29" s="27"/>
      <c r="BGU29" s="27"/>
      <c r="BGV29" s="27"/>
      <c r="BGW29" s="27"/>
      <c r="BGX29" s="27"/>
      <c r="BGY29" s="27"/>
      <c r="BGZ29" s="27"/>
      <c r="BHA29" s="27"/>
      <c r="BHB29" s="27"/>
      <c r="BHC29" s="29"/>
      <c r="BHD29" s="37"/>
    </row>
    <row r="30" spans="1:1564" ht="30" customHeight="1" x14ac:dyDescent="0.3">
      <c r="A30" s="22">
        <v>26</v>
      </c>
      <c r="B30" s="40" t="s">
        <v>308</v>
      </c>
      <c r="C30" s="40" t="s">
        <v>273</v>
      </c>
      <c r="D30" s="40" t="s">
        <v>257</v>
      </c>
      <c r="E30" s="37"/>
      <c r="F30" s="30"/>
      <c r="G30" s="23"/>
      <c r="H30" s="23"/>
      <c r="I30" s="30"/>
      <c r="J30" s="23"/>
      <c r="K30" s="23"/>
      <c r="L30" s="30"/>
      <c r="M30" s="23"/>
      <c r="N30" s="23"/>
      <c r="O30" s="30"/>
      <c r="P30" s="23"/>
      <c r="Q30" s="23"/>
      <c r="R30" s="30"/>
      <c r="S30" s="23"/>
      <c r="T30" s="23"/>
      <c r="U30" s="30"/>
      <c r="V30" s="23"/>
      <c r="W30" s="23"/>
      <c r="X30" s="30"/>
      <c r="Y30" s="23"/>
      <c r="Z30" s="23"/>
      <c r="AA30" s="30"/>
      <c r="AB30" s="23"/>
      <c r="AC30" s="23"/>
      <c r="AD30" s="30"/>
      <c r="AE30" s="23"/>
      <c r="AF30" s="23"/>
      <c r="AG30" s="30"/>
      <c r="AH30" s="23"/>
      <c r="AI30" s="23"/>
      <c r="AJ30" s="30"/>
      <c r="AK30" s="23"/>
      <c r="AL30" s="23"/>
      <c r="AM30" s="30"/>
      <c r="AN30" s="23"/>
      <c r="AO30" s="23"/>
      <c r="AP30" s="30"/>
      <c r="AQ30" s="23"/>
      <c r="AR30" s="23"/>
      <c r="AS30" s="30"/>
      <c r="AT30" s="23"/>
      <c r="AU30" s="23"/>
      <c r="AV30" s="30"/>
      <c r="AW30" s="23"/>
      <c r="AX30" s="23"/>
      <c r="AY30" s="30"/>
      <c r="AZ30" s="23"/>
      <c r="BA30" s="23"/>
      <c r="BB30" s="30"/>
      <c r="BC30" s="23"/>
      <c r="BD30" s="23"/>
      <c r="BE30" s="30"/>
      <c r="BF30" s="23"/>
      <c r="BG30" s="23"/>
      <c r="BH30" s="30"/>
      <c r="BI30" s="23"/>
      <c r="BJ30" s="23"/>
      <c r="BK30" s="30"/>
      <c r="BL30" s="23"/>
      <c r="BM30" s="23"/>
      <c r="BN30" s="30"/>
      <c r="BO30" s="23"/>
      <c r="BP30" s="24"/>
      <c r="BQ30" s="30"/>
      <c r="BR30" s="23"/>
      <c r="BS30" s="23"/>
      <c r="BT30" s="30"/>
      <c r="BU30" s="23"/>
      <c r="BV30" s="23"/>
      <c r="BW30" s="30"/>
      <c r="BX30" s="23"/>
      <c r="BY30" s="23"/>
      <c r="BZ30" s="30"/>
      <c r="CA30" s="23"/>
      <c r="CB30" s="23"/>
      <c r="CC30" s="30"/>
      <c r="CD30" s="23"/>
      <c r="CE30" s="23"/>
      <c r="CF30" s="30"/>
      <c r="CG30" s="23"/>
      <c r="CH30" s="23"/>
      <c r="CI30" s="30"/>
      <c r="CJ30" s="23"/>
      <c r="CK30" s="23"/>
      <c r="CL30" s="30"/>
      <c r="CM30" s="23"/>
      <c r="CN30" s="23"/>
      <c r="CO30" s="30"/>
      <c r="CP30" s="23"/>
      <c r="CQ30" s="23"/>
      <c r="CR30" s="30"/>
      <c r="CS30" s="23"/>
      <c r="CT30" s="25"/>
      <c r="CU30" s="37"/>
      <c r="CV30" s="26"/>
      <c r="CW30" s="27"/>
      <c r="CX30" s="27"/>
      <c r="CY30" s="27"/>
      <c r="CZ30" s="27"/>
      <c r="DA30" s="27"/>
      <c r="DB30" s="26"/>
      <c r="DC30" s="27"/>
      <c r="DD30" s="27"/>
      <c r="DE30" s="26"/>
      <c r="DF30" s="27"/>
      <c r="DG30" s="27"/>
      <c r="DH30" s="26"/>
      <c r="DI30" s="27"/>
      <c r="DJ30" s="27"/>
      <c r="DK30" s="26"/>
      <c r="DL30" s="27"/>
      <c r="DM30" s="27"/>
      <c r="DN30" s="26"/>
      <c r="DO30" s="27"/>
      <c r="DP30" s="27"/>
      <c r="DQ30" s="26"/>
      <c r="DR30" s="27"/>
      <c r="DS30" s="27"/>
      <c r="DT30" s="26"/>
      <c r="DU30" s="27"/>
      <c r="DV30" s="27"/>
      <c r="DW30" s="26"/>
      <c r="DX30" s="27"/>
      <c r="DY30" s="27"/>
      <c r="DZ30" s="26"/>
      <c r="EA30" s="27"/>
      <c r="EB30" s="27"/>
      <c r="EC30" s="26"/>
      <c r="ED30" s="27"/>
      <c r="EE30" s="27"/>
      <c r="EF30" s="26"/>
      <c r="EG30" s="27"/>
      <c r="EH30" s="27"/>
      <c r="EI30" s="26"/>
      <c r="EJ30" s="27"/>
      <c r="EK30" s="27"/>
      <c r="EL30" s="26"/>
      <c r="EM30" s="27"/>
      <c r="EN30" s="27"/>
      <c r="EO30" s="26"/>
      <c r="EP30" s="27"/>
      <c r="EQ30" s="27"/>
      <c r="ER30" s="26"/>
      <c r="ES30" s="27"/>
      <c r="ET30" s="27"/>
      <c r="EU30" s="26"/>
      <c r="EV30" s="27"/>
      <c r="EW30" s="27"/>
      <c r="EX30" s="26"/>
      <c r="EY30" s="27"/>
      <c r="EZ30" s="27"/>
      <c r="FA30" s="26"/>
      <c r="FB30" s="27"/>
      <c r="FC30" s="27"/>
      <c r="FD30" s="26"/>
      <c r="FE30" s="27"/>
      <c r="FF30" s="27"/>
      <c r="FG30" s="26"/>
      <c r="FH30" s="27"/>
      <c r="FI30" s="27"/>
      <c r="FJ30" s="26"/>
      <c r="FK30" s="27"/>
      <c r="FL30" s="27"/>
      <c r="FM30" s="26"/>
      <c r="FN30" s="27"/>
      <c r="FO30" s="27"/>
      <c r="FP30" s="26"/>
      <c r="FQ30" s="27"/>
      <c r="FR30" s="27"/>
      <c r="FS30" s="26"/>
      <c r="FT30" s="27"/>
      <c r="FU30" s="27"/>
      <c r="FV30" s="26"/>
      <c r="FW30" s="27"/>
      <c r="FX30" s="27"/>
      <c r="FY30" s="26"/>
      <c r="FZ30" s="27"/>
      <c r="GA30" s="27"/>
      <c r="GB30" s="26"/>
      <c r="GC30" s="27"/>
      <c r="GD30" s="27"/>
      <c r="GE30" s="26"/>
      <c r="GF30" s="27"/>
      <c r="GG30" s="27"/>
      <c r="GH30" s="26"/>
      <c r="GI30" s="27"/>
      <c r="GJ30" s="29"/>
      <c r="GK30" s="37"/>
      <c r="GL30" s="26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37"/>
      <c r="JS30" s="26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9"/>
      <c r="NH30" s="37"/>
      <c r="NI30" s="26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37"/>
      <c r="QV30" s="26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/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9"/>
      <c r="UK30" s="37"/>
      <c r="UL30" s="26"/>
      <c r="UM30" s="27"/>
      <c r="UN30" s="27"/>
      <c r="UO30" s="27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7"/>
      <c r="VG30" s="27"/>
      <c r="VH30" s="27"/>
      <c r="VI30" s="27"/>
      <c r="VJ30" s="27"/>
      <c r="VK30" s="27"/>
      <c r="VL30" s="27"/>
      <c r="VM30" s="27"/>
      <c r="VN30" s="27"/>
      <c r="VO30" s="27"/>
      <c r="VP30" s="27"/>
      <c r="VQ30" s="27"/>
      <c r="VR30" s="27"/>
      <c r="VS30" s="27"/>
      <c r="VT30" s="27"/>
      <c r="VU30" s="27"/>
      <c r="VV30" s="27"/>
      <c r="VW30" s="27"/>
      <c r="VX30" s="27"/>
      <c r="VY30" s="27"/>
      <c r="VZ30" s="27"/>
      <c r="WA30" s="27"/>
      <c r="WB30" s="27"/>
      <c r="WC30" s="27"/>
      <c r="WD30" s="27"/>
      <c r="WE30" s="27"/>
      <c r="WF30" s="27"/>
      <c r="WG30" s="27"/>
      <c r="WH30" s="27"/>
      <c r="WI30" s="27"/>
      <c r="WJ30" s="27"/>
      <c r="WK30" s="27"/>
      <c r="WL30" s="27"/>
      <c r="WM30" s="27"/>
      <c r="WN30" s="27"/>
      <c r="WO30" s="27"/>
      <c r="WP30" s="27"/>
      <c r="WQ30" s="27"/>
      <c r="WR30" s="27"/>
      <c r="WS30" s="27"/>
      <c r="WT30" s="27"/>
      <c r="WU30" s="27"/>
      <c r="WV30" s="27"/>
      <c r="WW30" s="27"/>
      <c r="WX30" s="27"/>
      <c r="WY30" s="27"/>
      <c r="WZ30" s="27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7"/>
      <c r="XL30" s="27"/>
      <c r="XM30" s="27"/>
      <c r="XN30" s="27"/>
      <c r="XO30" s="27"/>
      <c r="XP30" s="27"/>
      <c r="XQ30" s="27"/>
      <c r="XR30" s="27"/>
      <c r="XS30" s="27"/>
      <c r="XT30" s="27"/>
      <c r="XU30" s="27"/>
      <c r="XV30" s="27"/>
      <c r="XW30" s="27"/>
      <c r="XX30" s="37"/>
      <c r="XY30" s="26"/>
      <c r="XZ30" s="27"/>
      <c r="YA30" s="27"/>
      <c r="YB30" s="27"/>
      <c r="YC30" s="27"/>
      <c r="YD30" s="27"/>
      <c r="YE30" s="27"/>
      <c r="YF30" s="27"/>
      <c r="YG30" s="27"/>
      <c r="YH30" s="27"/>
      <c r="YI30" s="27"/>
      <c r="YJ30" s="27"/>
      <c r="YK30" s="27"/>
      <c r="YL30" s="27"/>
      <c r="YM30" s="27"/>
      <c r="YN30" s="27"/>
      <c r="YO30" s="27"/>
      <c r="YP30" s="27"/>
      <c r="YQ30" s="27"/>
      <c r="YR30" s="27"/>
      <c r="YS30" s="27"/>
      <c r="YT30" s="27"/>
      <c r="YU30" s="27"/>
      <c r="YV30" s="27"/>
      <c r="YW30" s="27"/>
      <c r="YX30" s="27"/>
      <c r="YY30" s="27"/>
      <c r="YZ30" s="27"/>
      <c r="ZA30" s="27"/>
      <c r="ZB30" s="27"/>
      <c r="ZC30" s="27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7"/>
      <c r="ZO30" s="27"/>
      <c r="ZP30" s="27"/>
      <c r="ZQ30" s="27"/>
      <c r="ZR30" s="27"/>
      <c r="ZS30" s="27"/>
      <c r="ZT30" s="27"/>
      <c r="ZU30" s="27"/>
      <c r="ZV30" s="27"/>
      <c r="ZW30" s="27"/>
      <c r="ZX30" s="27"/>
      <c r="ZY30" s="27"/>
      <c r="ZZ30" s="27"/>
      <c r="AAA30" s="27"/>
      <c r="AAB30" s="27"/>
      <c r="AAC30" s="27"/>
      <c r="AAD30" s="27"/>
      <c r="AAE30" s="27"/>
      <c r="AAF30" s="27"/>
      <c r="AAG30" s="27"/>
      <c r="AAH30" s="27"/>
      <c r="AAI30" s="27"/>
      <c r="AAJ30" s="27"/>
      <c r="AAK30" s="27"/>
      <c r="AAL30" s="27"/>
      <c r="AAM30" s="27"/>
      <c r="AAN30" s="27"/>
      <c r="AAO30" s="27"/>
      <c r="AAP30" s="27"/>
      <c r="AAQ30" s="27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7"/>
      <c r="ABE30" s="27"/>
      <c r="ABF30" s="27"/>
      <c r="ABG30" s="27"/>
      <c r="ABH30" s="27"/>
      <c r="ABI30" s="27"/>
      <c r="ABJ30" s="27"/>
      <c r="ABK30" s="27"/>
      <c r="ABL30" s="27"/>
      <c r="ABM30" s="29"/>
      <c r="ABN30" s="37"/>
      <c r="ABO30" s="26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7"/>
      <c r="ACA30" s="27"/>
      <c r="ACB30" s="27"/>
      <c r="ACC30" s="27"/>
      <c r="ACD30" s="27"/>
      <c r="ACE30" s="27"/>
      <c r="ACF30" s="27"/>
      <c r="ACG30" s="27"/>
      <c r="ACH30" s="27"/>
      <c r="ACI30" s="27"/>
      <c r="ACJ30" s="27"/>
      <c r="ACK30" s="27"/>
      <c r="ACL30" s="27"/>
      <c r="ACM30" s="27"/>
      <c r="ACN30" s="27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7"/>
      <c r="ADD30" s="27"/>
      <c r="ADE30" s="27"/>
      <c r="ADF30" s="27"/>
      <c r="ADG30" s="27"/>
      <c r="ADH30" s="27"/>
      <c r="ADI30" s="27"/>
      <c r="ADJ30" s="27"/>
      <c r="ADK30" s="27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7"/>
      <c r="ADX30" s="27"/>
      <c r="ADY30" s="27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7"/>
      <c r="AEK30" s="27"/>
      <c r="AEL30" s="27"/>
      <c r="AEM30" s="27"/>
      <c r="AEN30" s="27"/>
      <c r="AEO30" s="27"/>
      <c r="AEP30" s="27"/>
      <c r="AEQ30" s="27"/>
      <c r="AER30" s="27"/>
      <c r="AES30" s="27"/>
      <c r="AET30" s="27"/>
      <c r="AEU30" s="27"/>
      <c r="AEV30" s="27"/>
      <c r="AEW30" s="27"/>
      <c r="AEX30" s="27"/>
      <c r="AEY30" s="27"/>
      <c r="AEZ30" s="27"/>
      <c r="AFA30" s="27"/>
      <c r="AFB30" s="27"/>
      <c r="AFC30" s="29"/>
      <c r="AFD30" s="37"/>
      <c r="AFE30" s="26"/>
      <c r="AFF30" s="27"/>
      <c r="AFG30" s="27"/>
      <c r="AFH30" s="27"/>
      <c r="AFI30" s="27"/>
      <c r="AFJ30" s="27"/>
      <c r="AFK30" s="27"/>
      <c r="AFL30" s="27"/>
      <c r="AFM30" s="27"/>
      <c r="AFN30" s="27"/>
      <c r="AFO30" s="27"/>
      <c r="AFP30" s="27"/>
      <c r="AFQ30" s="27"/>
      <c r="AFR30" s="27"/>
      <c r="AFS30" s="27"/>
      <c r="AFT30" s="27"/>
      <c r="AFU30" s="27"/>
      <c r="AFV30" s="27"/>
      <c r="AFW30" s="27"/>
      <c r="AFX30" s="27"/>
      <c r="AFY30" s="27"/>
      <c r="AFZ30" s="27"/>
      <c r="AGA30" s="27"/>
      <c r="AGB30" s="27"/>
      <c r="AGC30" s="27"/>
      <c r="AGD30" s="27"/>
      <c r="AGE30" s="27"/>
      <c r="AGF30" s="27"/>
      <c r="AGG30" s="27"/>
      <c r="AGH30" s="27"/>
      <c r="AGI30" s="27"/>
      <c r="AGJ30" s="27"/>
      <c r="AGK30" s="27"/>
      <c r="AGL30" s="27"/>
      <c r="AGM30" s="27"/>
      <c r="AGN30" s="27"/>
      <c r="AGO30" s="27"/>
      <c r="AGP30" s="27"/>
      <c r="AGQ30" s="27"/>
      <c r="AGR30" s="27"/>
      <c r="AGS30" s="27"/>
      <c r="AGT30" s="27"/>
      <c r="AGU30" s="27"/>
      <c r="AGV30" s="27"/>
      <c r="AGW30" s="27"/>
      <c r="AGX30" s="27"/>
      <c r="AGY30" s="27"/>
      <c r="AGZ30" s="27"/>
      <c r="AHA30" s="27"/>
      <c r="AHB30" s="27"/>
      <c r="AHC30" s="27"/>
      <c r="AHD30" s="27"/>
      <c r="AHE30" s="27"/>
      <c r="AHF30" s="27"/>
      <c r="AHG30" s="27"/>
      <c r="AHH30" s="27"/>
      <c r="AHI30" s="27"/>
      <c r="AHJ30" s="27"/>
      <c r="AHK30" s="27"/>
      <c r="AHL30" s="27"/>
      <c r="AHM30" s="27"/>
      <c r="AHN30" s="27"/>
      <c r="AHO30" s="27"/>
      <c r="AHP30" s="27"/>
      <c r="AHQ30" s="27"/>
      <c r="AHR30" s="27"/>
      <c r="AHS30" s="27"/>
      <c r="AHT30" s="27"/>
      <c r="AHU30" s="27"/>
      <c r="AHV30" s="27"/>
      <c r="AHW30" s="27"/>
      <c r="AHX30" s="27"/>
      <c r="AHY30" s="27"/>
      <c r="AHZ30" s="27"/>
      <c r="AIA30" s="27"/>
      <c r="AIB30" s="27"/>
      <c r="AIC30" s="27"/>
      <c r="AID30" s="27"/>
      <c r="AIE30" s="27"/>
      <c r="AIF30" s="27"/>
      <c r="AIG30" s="27"/>
      <c r="AIH30" s="27"/>
      <c r="AII30" s="27"/>
      <c r="AIJ30" s="27"/>
      <c r="AIK30" s="27"/>
      <c r="AIL30" s="27"/>
      <c r="AIM30" s="27"/>
      <c r="AIN30" s="27"/>
      <c r="AIO30" s="27"/>
      <c r="AIP30" s="27"/>
      <c r="AIQ30" s="37"/>
      <c r="AIR30" s="26"/>
      <c r="AIS30" s="27"/>
      <c r="AIT30" s="27"/>
      <c r="AIU30" s="27"/>
      <c r="AIV30" s="27"/>
      <c r="AIW30" s="27"/>
      <c r="AIX30" s="27"/>
      <c r="AIY30" s="27"/>
      <c r="AIZ30" s="27"/>
      <c r="AJA30" s="27"/>
      <c r="AJB30" s="27"/>
      <c r="AJC30" s="27"/>
      <c r="AJD30" s="27"/>
      <c r="AJE30" s="27"/>
      <c r="AJF30" s="27"/>
      <c r="AJG30" s="27"/>
      <c r="AJH30" s="27"/>
      <c r="AJI30" s="27"/>
      <c r="AJJ30" s="27"/>
      <c r="AJK30" s="27"/>
      <c r="AJL30" s="27"/>
      <c r="AJM30" s="27"/>
      <c r="AJN30" s="27"/>
      <c r="AJO30" s="27"/>
      <c r="AJP30" s="27"/>
      <c r="AJQ30" s="27"/>
      <c r="AJR30" s="27"/>
      <c r="AJS30" s="27"/>
      <c r="AJT30" s="27"/>
      <c r="AJU30" s="27"/>
      <c r="AJV30" s="27"/>
      <c r="AJW30" s="27"/>
      <c r="AJX30" s="27"/>
      <c r="AJY30" s="27"/>
      <c r="AJZ30" s="27"/>
      <c r="AKA30" s="27"/>
      <c r="AKB30" s="27"/>
      <c r="AKC30" s="27"/>
      <c r="AKD30" s="27"/>
      <c r="AKE30" s="27"/>
      <c r="AKF30" s="27"/>
      <c r="AKG30" s="27"/>
      <c r="AKH30" s="27"/>
      <c r="AKI30" s="27"/>
      <c r="AKJ30" s="27"/>
      <c r="AKK30" s="27"/>
      <c r="AKL30" s="27"/>
      <c r="AKM30" s="27"/>
      <c r="AKN30" s="27"/>
      <c r="AKO30" s="27"/>
      <c r="AKP30" s="27"/>
      <c r="AKQ30" s="27"/>
      <c r="AKR30" s="27"/>
      <c r="AKS30" s="27"/>
      <c r="AKT30" s="27"/>
      <c r="AKU30" s="27"/>
      <c r="AKV30" s="27"/>
      <c r="AKW30" s="27"/>
      <c r="AKX30" s="27"/>
      <c r="AKY30" s="27"/>
      <c r="AKZ30" s="27"/>
      <c r="ALA30" s="27"/>
      <c r="ALB30" s="27"/>
      <c r="ALC30" s="27"/>
      <c r="ALD30" s="27"/>
      <c r="ALE30" s="27"/>
      <c r="ALF30" s="27"/>
      <c r="ALG30" s="27"/>
      <c r="ALH30" s="27"/>
      <c r="ALI30" s="27"/>
      <c r="ALJ30" s="27"/>
      <c r="ALK30" s="27"/>
      <c r="ALL30" s="27"/>
      <c r="ALM30" s="27"/>
      <c r="ALN30" s="27"/>
      <c r="ALO30" s="27"/>
      <c r="ALP30" s="27"/>
      <c r="ALQ30" s="27"/>
      <c r="ALR30" s="27"/>
      <c r="ALS30" s="27"/>
      <c r="ALT30" s="27"/>
      <c r="ALU30" s="27"/>
      <c r="ALV30" s="27"/>
      <c r="ALW30" s="27"/>
      <c r="ALX30" s="27"/>
      <c r="ALY30" s="27"/>
      <c r="ALZ30" s="27"/>
      <c r="AMA30" s="27"/>
      <c r="AMB30" s="27"/>
      <c r="AMC30" s="27"/>
      <c r="AMD30" s="27"/>
      <c r="AME30" s="27"/>
      <c r="AMF30" s="29"/>
      <c r="AMG30" s="37"/>
      <c r="AMH30" s="26"/>
      <c r="AMI30" s="27"/>
      <c r="AMJ30" s="27"/>
      <c r="AMK30" s="27"/>
      <c r="AML30" s="27"/>
      <c r="AMM30" s="27"/>
      <c r="AMN30" s="27"/>
      <c r="AMO30" s="27"/>
      <c r="AMP30" s="27"/>
      <c r="AMQ30" s="27"/>
      <c r="AMR30" s="27"/>
      <c r="AMS30" s="27"/>
      <c r="AMT30" s="27"/>
      <c r="AMU30" s="27"/>
      <c r="AMV30" s="27"/>
      <c r="AMW30" s="27"/>
      <c r="AMX30" s="27"/>
      <c r="AMY30" s="27"/>
      <c r="AMZ30" s="27"/>
      <c r="ANA30" s="27"/>
      <c r="ANB30" s="27"/>
      <c r="ANC30" s="27"/>
      <c r="AND30" s="27"/>
      <c r="ANE30" s="27"/>
      <c r="ANF30" s="27"/>
      <c r="ANG30" s="27"/>
      <c r="ANH30" s="27"/>
      <c r="ANI30" s="27"/>
      <c r="ANJ30" s="27"/>
      <c r="ANK30" s="27"/>
      <c r="ANL30" s="27"/>
      <c r="ANM30" s="27"/>
      <c r="ANN30" s="27"/>
      <c r="ANO30" s="27"/>
      <c r="ANP30" s="27"/>
      <c r="ANQ30" s="27"/>
      <c r="ANR30" s="27"/>
      <c r="ANS30" s="27"/>
      <c r="ANT30" s="27"/>
      <c r="ANU30" s="27"/>
      <c r="ANV30" s="27"/>
      <c r="ANW30" s="27"/>
      <c r="ANX30" s="27"/>
      <c r="ANY30" s="27"/>
      <c r="ANZ30" s="27"/>
      <c r="AOA30" s="27"/>
      <c r="AOB30" s="27"/>
      <c r="AOC30" s="27"/>
      <c r="AOD30" s="27"/>
      <c r="AOE30" s="27"/>
      <c r="AOF30" s="27"/>
      <c r="AOG30" s="27"/>
      <c r="AOH30" s="27"/>
      <c r="AOI30" s="27"/>
      <c r="AOJ30" s="27"/>
      <c r="AOK30" s="27"/>
      <c r="AOL30" s="27"/>
      <c r="AOM30" s="27"/>
      <c r="AON30" s="27"/>
      <c r="AOO30" s="27"/>
      <c r="AOP30" s="27"/>
      <c r="AOQ30" s="27"/>
      <c r="AOR30" s="27"/>
      <c r="AOS30" s="27"/>
      <c r="AOT30" s="27"/>
      <c r="AOU30" s="27"/>
      <c r="AOV30" s="27"/>
      <c r="AOW30" s="27"/>
      <c r="AOX30" s="27"/>
      <c r="AOY30" s="27"/>
      <c r="AOZ30" s="27"/>
      <c r="APA30" s="27"/>
      <c r="APB30" s="27"/>
      <c r="APC30" s="27"/>
      <c r="APD30" s="27"/>
      <c r="APE30" s="27"/>
      <c r="APF30" s="27"/>
      <c r="APG30" s="27"/>
      <c r="APH30" s="27"/>
      <c r="API30" s="27"/>
      <c r="APJ30" s="27"/>
      <c r="APK30" s="27"/>
      <c r="APL30" s="27"/>
      <c r="APM30" s="27"/>
      <c r="APN30" s="27"/>
      <c r="APO30" s="27"/>
      <c r="APP30" s="27"/>
      <c r="APQ30" s="27"/>
      <c r="APR30" s="27"/>
      <c r="APS30" s="29"/>
      <c r="APT30" s="37"/>
      <c r="APU30" s="26"/>
      <c r="APV30" s="27"/>
      <c r="APW30" s="27"/>
      <c r="APX30" s="27"/>
      <c r="APY30" s="27"/>
      <c r="APZ30" s="27"/>
      <c r="AQA30" s="27"/>
      <c r="AQB30" s="27"/>
      <c r="AQC30" s="27"/>
      <c r="AQD30" s="27"/>
      <c r="AQE30" s="27"/>
      <c r="AQF30" s="27"/>
      <c r="AQG30" s="27"/>
      <c r="AQH30" s="27"/>
      <c r="AQI30" s="27"/>
      <c r="AQJ30" s="27"/>
      <c r="AQK30" s="27"/>
      <c r="AQL30" s="27"/>
      <c r="AQM30" s="27"/>
      <c r="AQN30" s="27"/>
      <c r="AQO30" s="27"/>
      <c r="AQP30" s="27"/>
      <c r="AQQ30" s="27"/>
      <c r="AQR30" s="27"/>
      <c r="AQS30" s="27"/>
      <c r="AQT30" s="27"/>
      <c r="AQU30" s="27"/>
      <c r="AQV30" s="27"/>
      <c r="AQW30" s="27"/>
      <c r="AQX30" s="27"/>
      <c r="AQY30" s="27"/>
      <c r="AQZ30" s="27"/>
      <c r="ARA30" s="27"/>
      <c r="ARB30" s="27"/>
      <c r="ARC30" s="27"/>
      <c r="ARD30" s="27"/>
      <c r="ARE30" s="27"/>
      <c r="ARF30" s="27"/>
      <c r="ARG30" s="27"/>
      <c r="ARH30" s="27"/>
      <c r="ARI30" s="27"/>
      <c r="ARJ30" s="27"/>
      <c r="ARK30" s="27"/>
      <c r="ARL30" s="27"/>
      <c r="ARM30" s="27"/>
      <c r="ARN30" s="27"/>
      <c r="ARO30" s="27"/>
      <c r="ARP30" s="27"/>
      <c r="ARQ30" s="27"/>
      <c r="ARR30" s="27"/>
      <c r="ARS30" s="27"/>
      <c r="ART30" s="27"/>
      <c r="ARU30" s="27"/>
      <c r="ARV30" s="27"/>
      <c r="ARW30" s="27"/>
      <c r="ARX30" s="27"/>
      <c r="ARY30" s="27"/>
      <c r="ARZ30" s="27"/>
      <c r="ASA30" s="27"/>
      <c r="ASB30" s="27"/>
      <c r="ASC30" s="27"/>
      <c r="ASD30" s="27"/>
      <c r="ASE30" s="27"/>
      <c r="ASF30" s="27"/>
      <c r="ASG30" s="27"/>
      <c r="ASH30" s="27"/>
      <c r="ASI30" s="27"/>
      <c r="ASJ30" s="27"/>
      <c r="ASK30" s="27"/>
      <c r="ASL30" s="27"/>
      <c r="ASM30" s="27"/>
      <c r="ASN30" s="27"/>
      <c r="ASO30" s="27"/>
      <c r="ASP30" s="27"/>
      <c r="ASQ30" s="27"/>
      <c r="ASR30" s="27"/>
      <c r="ASS30" s="27"/>
      <c r="AST30" s="27"/>
      <c r="ASU30" s="27"/>
      <c r="ASV30" s="27"/>
      <c r="ASW30" s="27"/>
      <c r="ASX30" s="27"/>
      <c r="ASY30" s="27"/>
      <c r="ASZ30" s="27"/>
      <c r="ATA30" s="27"/>
      <c r="ATB30" s="27"/>
      <c r="ATC30" s="27"/>
      <c r="ATD30" s="27"/>
      <c r="ATE30" s="27"/>
      <c r="ATF30" s="29"/>
      <c r="ATG30" s="37"/>
      <c r="ATH30" s="26"/>
      <c r="ATI30" s="27"/>
      <c r="ATJ30" s="27"/>
      <c r="ATK30" s="27"/>
      <c r="ATL30" s="27"/>
      <c r="ATM30" s="27"/>
      <c r="ATN30" s="27"/>
      <c r="ATO30" s="27"/>
      <c r="ATP30" s="27"/>
      <c r="ATQ30" s="27"/>
      <c r="ATR30" s="27"/>
      <c r="ATS30" s="27"/>
      <c r="ATT30" s="27"/>
      <c r="ATU30" s="27"/>
      <c r="ATV30" s="27"/>
      <c r="ATW30" s="27"/>
      <c r="ATX30" s="27"/>
      <c r="ATY30" s="27"/>
      <c r="ATZ30" s="27"/>
      <c r="AUA30" s="27"/>
      <c r="AUB30" s="27"/>
      <c r="AUC30" s="27"/>
      <c r="AUD30" s="27"/>
      <c r="AUE30" s="27"/>
      <c r="AUF30" s="27"/>
      <c r="AUG30" s="27"/>
      <c r="AUH30" s="27"/>
      <c r="AUI30" s="27"/>
      <c r="AUJ30" s="27"/>
      <c r="AUK30" s="27"/>
      <c r="AUL30" s="27"/>
      <c r="AUM30" s="27"/>
      <c r="AUN30" s="27"/>
      <c r="AUO30" s="27"/>
      <c r="AUP30" s="27"/>
      <c r="AUQ30" s="27"/>
      <c r="AUR30" s="27"/>
      <c r="AUS30" s="27"/>
      <c r="AUT30" s="27"/>
      <c r="AUU30" s="27"/>
      <c r="AUV30" s="27"/>
      <c r="AUW30" s="27"/>
      <c r="AUX30" s="27"/>
      <c r="AUY30" s="27"/>
      <c r="AUZ30" s="27"/>
      <c r="AVA30" s="27"/>
      <c r="AVB30" s="27"/>
      <c r="AVC30" s="27"/>
      <c r="AVD30" s="27"/>
      <c r="AVE30" s="27"/>
      <c r="AVF30" s="27"/>
      <c r="AVG30" s="27"/>
      <c r="AVH30" s="27"/>
      <c r="AVI30" s="27"/>
      <c r="AVJ30" s="27"/>
      <c r="AVK30" s="27"/>
      <c r="AVL30" s="27"/>
      <c r="AVM30" s="27"/>
      <c r="AVN30" s="27"/>
      <c r="AVO30" s="27"/>
      <c r="AVP30" s="27"/>
      <c r="AVQ30" s="27"/>
      <c r="AVR30" s="27"/>
      <c r="AVS30" s="27"/>
      <c r="AVT30" s="27"/>
      <c r="AVU30" s="27"/>
      <c r="AVV30" s="27"/>
      <c r="AVW30" s="27"/>
      <c r="AVX30" s="27"/>
      <c r="AVY30" s="27"/>
      <c r="AVZ30" s="27"/>
      <c r="AWA30" s="27"/>
      <c r="AWB30" s="27"/>
      <c r="AWC30" s="27"/>
      <c r="AWD30" s="27"/>
      <c r="AWE30" s="27"/>
      <c r="AWF30" s="27"/>
      <c r="AWG30" s="27"/>
      <c r="AWH30" s="27"/>
      <c r="AWI30" s="27"/>
      <c r="AWJ30" s="27"/>
      <c r="AWK30" s="27"/>
      <c r="AWL30" s="27"/>
      <c r="AWM30" s="27"/>
      <c r="AWN30" s="27"/>
      <c r="AWO30" s="27"/>
      <c r="AWP30" s="27"/>
      <c r="AWQ30" s="27"/>
      <c r="AWR30" s="27"/>
      <c r="AWS30" s="29"/>
      <c r="AWT30" s="37"/>
      <c r="AWU30" s="26"/>
      <c r="AWV30" s="27"/>
      <c r="AWW30" s="27"/>
      <c r="AWX30" s="27"/>
      <c r="AWY30" s="27"/>
      <c r="AWZ30" s="27"/>
      <c r="AXA30" s="27"/>
      <c r="AXB30" s="27"/>
      <c r="AXC30" s="27"/>
      <c r="AXD30" s="27"/>
      <c r="AXE30" s="27"/>
      <c r="AXF30" s="27"/>
      <c r="AXG30" s="27"/>
      <c r="AXH30" s="27"/>
      <c r="AXI30" s="27"/>
      <c r="AXJ30" s="27"/>
      <c r="AXK30" s="27"/>
      <c r="AXL30" s="27"/>
      <c r="AXM30" s="27"/>
      <c r="AXN30" s="27"/>
      <c r="AXO30" s="27"/>
      <c r="AXP30" s="27"/>
      <c r="AXQ30" s="27"/>
      <c r="AXR30" s="27"/>
      <c r="AXS30" s="27"/>
      <c r="AXT30" s="27"/>
      <c r="AXU30" s="27"/>
      <c r="AXV30" s="27"/>
      <c r="AXW30" s="27"/>
      <c r="AXX30" s="27"/>
      <c r="AXY30" s="27"/>
      <c r="AXZ30" s="27"/>
      <c r="AYA30" s="27"/>
      <c r="AYB30" s="27"/>
      <c r="AYC30" s="27"/>
      <c r="AYD30" s="27"/>
      <c r="AYE30" s="27"/>
      <c r="AYF30" s="27"/>
      <c r="AYG30" s="27"/>
      <c r="AYH30" s="27"/>
      <c r="AYI30" s="27"/>
      <c r="AYJ30" s="27"/>
      <c r="AYK30" s="27"/>
      <c r="AYL30" s="27"/>
      <c r="AYM30" s="27"/>
      <c r="AYN30" s="27"/>
      <c r="AYO30" s="27"/>
      <c r="AYP30" s="27"/>
      <c r="AYQ30" s="27"/>
      <c r="AYR30" s="27"/>
      <c r="AYS30" s="27"/>
      <c r="AYT30" s="27"/>
      <c r="AYU30" s="27"/>
      <c r="AYV30" s="27"/>
      <c r="AYW30" s="27"/>
      <c r="AYX30" s="27"/>
      <c r="AYY30" s="27"/>
      <c r="AYZ30" s="27"/>
      <c r="AZA30" s="27"/>
      <c r="AZB30" s="27"/>
      <c r="AZC30" s="27"/>
      <c r="AZD30" s="27"/>
      <c r="AZE30" s="27"/>
      <c r="AZF30" s="27"/>
      <c r="AZG30" s="27"/>
      <c r="AZH30" s="27"/>
      <c r="AZI30" s="27"/>
      <c r="AZJ30" s="27"/>
      <c r="AZK30" s="27"/>
      <c r="AZL30" s="27"/>
      <c r="AZM30" s="27"/>
      <c r="AZN30" s="27"/>
      <c r="AZO30" s="27"/>
      <c r="AZP30" s="27"/>
      <c r="AZQ30" s="27"/>
      <c r="AZR30" s="27"/>
      <c r="AZS30" s="27"/>
      <c r="AZT30" s="27"/>
      <c r="AZU30" s="27"/>
      <c r="AZV30" s="27"/>
      <c r="AZW30" s="27"/>
      <c r="AZX30" s="27"/>
      <c r="AZY30" s="27"/>
      <c r="AZZ30" s="27"/>
      <c r="BAA30" s="37"/>
      <c r="BAB30" s="26"/>
      <c r="BAC30" s="27"/>
      <c r="BAD30" s="27"/>
      <c r="BAE30" s="27"/>
      <c r="BAF30" s="27"/>
      <c r="BAG30" s="27"/>
      <c r="BAH30" s="27"/>
      <c r="BAI30" s="27"/>
      <c r="BAJ30" s="27"/>
      <c r="BAK30" s="27"/>
      <c r="BAL30" s="27"/>
      <c r="BAM30" s="27"/>
      <c r="BAN30" s="27"/>
      <c r="BAO30" s="27"/>
      <c r="BAP30" s="27"/>
      <c r="BAQ30" s="27"/>
      <c r="BAR30" s="27"/>
      <c r="BAS30" s="27"/>
      <c r="BAT30" s="27"/>
      <c r="BAU30" s="27"/>
      <c r="BAV30" s="27"/>
      <c r="BAW30" s="27"/>
      <c r="BAX30" s="27"/>
      <c r="BAY30" s="27"/>
      <c r="BAZ30" s="27"/>
      <c r="BBA30" s="27"/>
      <c r="BBB30" s="27"/>
      <c r="BBC30" s="27"/>
      <c r="BBD30" s="27"/>
      <c r="BBE30" s="27"/>
      <c r="BBF30" s="27"/>
      <c r="BBG30" s="27"/>
      <c r="BBH30" s="27"/>
      <c r="BBI30" s="27"/>
      <c r="BBJ30" s="27"/>
      <c r="BBK30" s="27"/>
      <c r="BBL30" s="27"/>
      <c r="BBM30" s="27"/>
      <c r="BBN30" s="27"/>
      <c r="BBO30" s="27"/>
      <c r="BBP30" s="27"/>
      <c r="BBQ30" s="27"/>
      <c r="BBR30" s="27"/>
      <c r="BBS30" s="27"/>
      <c r="BBT30" s="27"/>
      <c r="BBU30" s="27"/>
      <c r="BBV30" s="27"/>
      <c r="BBW30" s="27"/>
      <c r="BBX30" s="27"/>
      <c r="BBY30" s="27"/>
      <c r="BBZ30" s="27"/>
      <c r="BCA30" s="27"/>
      <c r="BCB30" s="27"/>
      <c r="BCC30" s="27"/>
      <c r="BCD30" s="27"/>
      <c r="BCE30" s="27"/>
      <c r="BCF30" s="27"/>
      <c r="BCG30" s="27"/>
      <c r="BCH30" s="27"/>
      <c r="BCI30" s="27"/>
      <c r="BCJ30" s="27"/>
      <c r="BCK30" s="27"/>
      <c r="BCL30" s="27"/>
      <c r="BCM30" s="27"/>
      <c r="BCN30" s="27"/>
      <c r="BCO30" s="27"/>
      <c r="BCP30" s="27"/>
      <c r="BCQ30" s="27"/>
      <c r="BCR30" s="27"/>
      <c r="BCS30" s="27"/>
      <c r="BCT30" s="27"/>
      <c r="BCU30" s="27"/>
      <c r="BCV30" s="27"/>
      <c r="BCW30" s="27"/>
      <c r="BCX30" s="27"/>
      <c r="BCY30" s="27"/>
      <c r="BCZ30" s="27"/>
      <c r="BDA30" s="27"/>
      <c r="BDB30" s="27"/>
      <c r="BDC30" s="27"/>
      <c r="BDD30" s="27"/>
      <c r="BDE30" s="27"/>
      <c r="BDF30" s="27"/>
      <c r="BDG30" s="27"/>
      <c r="BDH30" s="27"/>
      <c r="BDI30" s="27"/>
      <c r="BDJ30" s="27"/>
      <c r="BDK30" s="27"/>
      <c r="BDL30" s="27"/>
      <c r="BDM30" s="29"/>
      <c r="BDN30" s="29"/>
      <c r="BDO30" s="29"/>
      <c r="BDP30" s="29"/>
      <c r="BDQ30" s="37"/>
      <c r="BDR30" s="26"/>
      <c r="BDS30" s="27"/>
      <c r="BDT30" s="27"/>
      <c r="BDU30" s="27"/>
      <c r="BDV30" s="27"/>
      <c r="BDW30" s="27"/>
      <c r="BDX30" s="27"/>
      <c r="BDY30" s="27"/>
      <c r="BDZ30" s="27"/>
      <c r="BEA30" s="27"/>
      <c r="BEB30" s="27"/>
      <c r="BEC30" s="27"/>
      <c r="BED30" s="27"/>
      <c r="BEE30" s="27"/>
      <c r="BEF30" s="27"/>
      <c r="BEG30" s="27"/>
      <c r="BEH30" s="27"/>
      <c r="BEI30" s="27"/>
      <c r="BEJ30" s="27"/>
      <c r="BEK30" s="27"/>
      <c r="BEL30" s="27"/>
      <c r="BEM30" s="27"/>
      <c r="BEN30" s="27"/>
      <c r="BEO30" s="27"/>
      <c r="BEP30" s="27"/>
      <c r="BEQ30" s="27"/>
      <c r="BER30" s="27"/>
      <c r="BES30" s="27"/>
      <c r="BET30" s="27"/>
      <c r="BEU30" s="27"/>
      <c r="BEV30" s="27"/>
      <c r="BEW30" s="27"/>
      <c r="BEX30" s="27"/>
      <c r="BEY30" s="27"/>
      <c r="BEZ30" s="27"/>
      <c r="BFA30" s="27"/>
      <c r="BFB30" s="27"/>
      <c r="BFC30" s="27"/>
      <c r="BFD30" s="27"/>
      <c r="BFE30" s="27"/>
      <c r="BFF30" s="27"/>
      <c r="BFG30" s="27"/>
      <c r="BFH30" s="27"/>
      <c r="BFI30" s="27"/>
      <c r="BFJ30" s="27"/>
      <c r="BFK30" s="27"/>
      <c r="BFL30" s="27"/>
      <c r="BFM30" s="27"/>
      <c r="BFN30" s="27"/>
      <c r="BFO30" s="27"/>
      <c r="BFP30" s="27"/>
      <c r="BFQ30" s="27"/>
      <c r="BFR30" s="27"/>
      <c r="BFS30" s="27"/>
      <c r="BFT30" s="27"/>
      <c r="BFU30" s="27"/>
      <c r="BFV30" s="27"/>
      <c r="BFW30" s="27"/>
      <c r="BFX30" s="27"/>
      <c r="BFY30" s="27"/>
      <c r="BFZ30" s="27"/>
      <c r="BGA30" s="27"/>
      <c r="BGB30" s="27"/>
      <c r="BGC30" s="27"/>
      <c r="BGD30" s="27"/>
      <c r="BGE30" s="27"/>
      <c r="BGF30" s="27"/>
      <c r="BGG30" s="27"/>
      <c r="BGH30" s="27"/>
      <c r="BGI30" s="27"/>
      <c r="BGJ30" s="27"/>
      <c r="BGK30" s="27"/>
      <c r="BGL30" s="27"/>
      <c r="BGM30" s="27"/>
      <c r="BGN30" s="27"/>
      <c r="BGO30" s="27"/>
      <c r="BGP30" s="27"/>
      <c r="BGQ30" s="27"/>
      <c r="BGR30" s="27"/>
      <c r="BGS30" s="27"/>
      <c r="BGT30" s="27"/>
      <c r="BGU30" s="27"/>
      <c r="BGV30" s="27"/>
      <c r="BGW30" s="27"/>
      <c r="BGX30" s="27"/>
      <c r="BGY30" s="27"/>
      <c r="BGZ30" s="27"/>
      <c r="BHA30" s="27"/>
      <c r="BHB30" s="27"/>
      <c r="BHC30" s="29"/>
      <c r="BHD30" s="37"/>
    </row>
    <row r="31" spans="1:1564" ht="30" customHeight="1" x14ac:dyDescent="0.3">
      <c r="A31" s="22">
        <v>27</v>
      </c>
      <c r="B31" s="40" t="s">
        <v>280</v>
      </c>
      <c r="C31" s="40" t="s">
        <v>281</v>
      </c>
      <c r="D31" s="40" t="s">
        <v>281</v>
      </c>
      <c r="E31" s="37"/>
      <c r="F31" s="30"/>
      <c r="G31" s="23"/>
      <c r="H31" s="23"/>
      <c r="I31" s="30"/>
      <c r="J31" s="23"/>
      <c r="K31" s="23"/>
      <c r="L31" s="30"/>
      <c r="M31" s="23"/>
      <c r="N31" s="23"/>
      <c r="O31" s="30"/>
      <c r="P31" s="23"/>
      <c r="Q31" s="23"/>
      <c r="R31" s="30"/>
      <c r="S31" s="23"/>
      <c r="T31" s="23"/>
      <c r="U31" s="30"/>
      <c r="V31" s="23"/>
      <c r="W31" s="23"/>
      <c r="X31" s="30"/>
      <c r="Y31" s="23"/>
      <c r="Z31" s="23"/>
      <c r="AA31" s="30"/>
      <c r="AB31" s="23"/>
      <c r="AC31" s="23"/>
      <c r="AD31" s="30"/>
      <c r="AE31" s="23"/>
      <c r="AF31" s="23"/>
      <c r="AG31" s="30"/>
      <c r="AH31" s="23"/>
      <c r="AI31" s="23"/>
      <c r="AJ31" s="30"/>
      <c r="AK31" s="23"/>
      <c r="AL31" s="23"/>
      <c r="AM31" s="30"/>
      <c r="AN31" s="23"/>
      <c r="AO31" s="23"/>
      <c r="AP31" s="30"/>
      <c r="AQ31" s="23"/>
      <c r="AR31" s="23"/>
      <c r="AS31" s="30"/>
      <c r="AT31" s="23"/>
      <c r="AU31" s="23"/>
      <c r="AV31" s="30"/>
      <c r="AW31" s="23"/>
      <c r="AX31" s="23"/>
      <c r="AY31" s="30"/>
      <c r="AZ31" s="23"/>
      <c r="BA31" s="23"/>
      <c r="BB31" s="30"/>
      <c r="BC31" s="23"/>
      <c r="BD31" s="23"/>
      <c r="BE31" s="30"/>
      <c r="BF31" s="23"/>
      <c r="BG31" s="23"/>
      <c r="BH31" s="30"/>
      <c r="BI31" s="23"/>
      <c r="BJ31" s="23"/>
      <c r="BK31" s="30"/>
      <c r="BL31" s="23"/>
      <c r="BM31" s="23"/>
      <c r="BN31" s="30"/>
      <c r="BO31" s="23"/>
      <c r="BP31" s="24"/>
      <c r="BQ31" s="30"/>
      <c r="BR31" s="23"/>
      <c r="BS31" s="23"/>
      <c r="BT31" s="30"/>
      <c r="BU31" s="23"/>
      <c r="BV31" s="23"/>
      <c r="BW31" s="30"/>
      <c r="BX31" s="23"/>
      <c r="BY31" s="23"/>
      <c r="BZ31" s="30"/>
      <c r="CA31" s="23"/>
      <c r="CB31" s="23"/>
      <c r="CC31" s="30"/>
      <c r="CD31" s="23"/>
      <c r="CE31" s="23"/>
      <c r="CF31" s="30"/>
      <c r="CG31" s="23"/>
      <c r="CH31" s="23"/>
      <c r="CI31" s="30"/>
      <c r="CJ31" s="23"/>
      <c r="CK31" s="23"/>
      <c r="CL31" s="30"/>
      <c r="CM31" s="23"/>
      <c r="CN31" s="23"/>
      <c r="CO31" s="30"/>
      <c r="CP31" s="23"/>
      <c r="CQ31" s="23"/>
      <c r="CR31" s="30"/>
      <c r="CS31" s="23"/>
      <c r="CT31" s="25"/>
      <c r="CU31" s="37"/>
      <c r="CV31" s="26"/>
      <c r="CW31" s="27"/>
      <c r="CX31" s="27"/>
      <c r="CY31" s="27"/>
      <c r="CZ31" s="27"/>
      <c r="DA31" s="27"/>
      <c r="DB31" s="26"/>
      <c r="DC31" s="27"/>
      <c r="DD31" s="27"/>
      <c r="DE31" s="26"/>
      <c r="DF31" s="27"/>
      <c r="DG31" s="27"/>
      <c r="DH31" s="26"/>
      <c r="DI31" s="27"/>
      <c r="DJ31" s="27"/>
      <c r="DK31" s="26"/>
      <c r="DL31" s="27"/>
      <c r="DM31" s="27"/>
      <c r="DN31" s="26"/>
      <c r="DO31" s="27"/>
      <c r="DP31" s="27"/>
      <c r="DQ31" s="26"/>
      <c r="DR31" s="27"/>
      <c r="DS31" s="27"/>
      <c r="DT31" s="26"/>
      <c r="DU31" s="27"/>
      <c r="DV31" s="27"/>
      <c r="DW31" s="26"/>
      <c r="DX31" s="27"/>
      <c r="DY31" s="27"/>
      <c r="DZ31" s="26"/>
      <c r="EA31" s="27"/>
      <c r="EB31" s="27"/>
      <c r="EC31" s="26"/>
      <c r="ED31" s="27"/>
      <c r="EE31" s="27"/>
      <c r="EF31" s="26"/>
      <c r="EG31" s="27"/>
      <c r="EH31" s="27"/>
      <c r="EI31" s="26"/>
      <c r="EJ31" s="27"/>
      <c r="EK31" s="27"/>
      <c r="EL31" s="26"/>
      <c r="EM31" s="27"/>
      <c r="EN31" s="27"/>
      <c r="EO31" s="26"/>
      <c r="EP31" s="27"/>
      <c r="EQ31" s="27"/>
      <c r="ER31" s="26"/>
      <c r="ES31" s="27"/>
      <c r="ET31" s="27"/>
      <c r="EU31" s="26"/>
      <c r="EV31" s="27"/>
      <c r="EW31" s="27"/>
      <c r="EX31" s="26"/>
      <c r="EY31" s="27"/>
      <c r="EZ31" s="27"/>
      <c r="FA31" s="26"/>
      <c r="FB31" s="27"/>
      <c r="FC31" s="27"/>
      <c r="FD31" s="26"/>
      <c r="FE31" s="27"/>
      <c r="FF31" s="27"/>
      <c r="FG31" s="26"/>
      <c r="FH31" s="27"/>
      <c r="FI31" s="27"/>
      <c r="FJ31" s="26"/>
      <c r="FK31" s="27"/>
      <c r="FL31" s="27"/>
      <c r="FM31" s="26"/>
      <c r="FN31" s="27"/>
      <c r="FO31" s="27"/>
      <c r="FP31" s="26"/>
      <c r="FQ31" s="27"/>
      <c r="FR31" s="27"/>
      <c r="FS31" s="26"/>
      <c r="FT31" s="27"/>
      <c r="FU31" s="27"/>
      <c r="FV31" s="26"/>
      <c r="FW31" s="27"/>
      <c r="FX31" s="27"/>
      <c r="FY31" s="26"/>
      <c r="FZ31" s="27"/>
      <c r="GA31" s="27"/>
      <c r="GB31" s="26"/>
      <c r="GC31" s="27"/>
      <c r="GD31" s="27"/>
      <c r="GE31" s="26"/>
      <c r="GF31" s="27"/>
      <c r="GG31" s="27"/>
      <c r="GH31" s="26"/>
      <c r="GI31" s="27"/>
      <c r="GJ31" s="29"/>
      <c r="GK31" s="37"/>
      <c r="GL31" s="26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37"/>
      <c r="JS31" s="26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9"/>
      <c r="NH31" s="37"/>
      <c r="NI31" s="26"/>
      <c r="NJ31" s="27"/>
      <c r="NK31" s="27"/>
      <c r="NL31" s="27"/>
      <c r="NM31" s="27"/>
      <c r="NN31" s="27"/>
      <c r="NO31" s="27"/>
      <c r="NP31" s="27"/>
      <c r="NQ31" s="27"/>
      <c r="NR31" s="27"/>
      <c r="NS31" s="27"/>
      <c r="NT31" s="27"/>
      <c r="NU31" s="27"/>
      <c r="NV31" s="27"/>
      <c r="NW31" s="27"/>
      <c r="NX31" s="27"/>
      <c r="NY31" s="27"/>
      <c r="NZ31" s="27"/>
      <c r="OA31" s="27"/>
      <c r="OB31" s="27"/>
      <c r="OC31" s="27"/>
      <c r="OD31" s="27"/>
      <c r="OE31" s="27"/>
      <c r="OF31" s="27"/>
      <c r="OG31" s="27"/>
      <c r="OH31" s="27"/>
      <c r="OI31" s="27"/>
      <c r="OJ31" s="27"/>
      <c r="OK31" s="27"/>
      <c r="OL31" s="27"/>
      <c r="OM31" s="27"/>
      <c r="ON31" s="27"/>
      <c r="OO31" s="27"/>
      <c r="OP31" s="27"/>
      <c r="OQ31" s="27"/>
      <c r="OR31" s="27"/>
      <c r="OS31" s="27"/>
      <c r="OT31" s="27"/>
      <c r="OU31" s="27"/>
      <c r="OV31" s="27"/>
      <c r="OW31" s="27"/>
      <c r="OX31" s="27"/>
      <c r="OY31" s="27"/>
      <c r="OZ31" s="27"/>
      <c r="PA31" s="27"/>
      <c r="PB31" s="27"/>
      <c r="PC31" s="27"/>
      <c r="PD31" s="27"/>
      <c r="PE31" s="27"/>
      <c r="PF31" s="27"/>
      <c r="PG31" s="27"/>
      <c r="PH31" s="27"/>
      <c r="PI31" s="27"/>
      <c r="PJ31" s="27"/>
      <c r="PK31" s="27"/>
      <c r="PL31" s="27"/>
      <c r="PM31" s="27"/>
      <c r="PN31" s="27"/>
      <c r="PO31" s="27"/>
      <c r="PP31" s="27"/>
      <c r="PQ31" s="27"/>
      <c r="PR31" s="27"/>
      <c r="PS31" s="27"/>
      <c r="PT31" s="27"/>
      <c r="PU31" s="27"/>
      <c r="PV31" s="27"/>
      <c r="PW31" s="27"/>
      <c r="PX31" s="27"/>
      <c r="PY31" s="27"/>
      <c r="PZ31" s="27"/>
      <c r="QA31" s="27"/>
      <c r="QB31" s="27"/>
      <c r="QC31" s="27"/>
      <c r="QD31" s="27"/>
      <c r="QE31" s="27"/>
      <c r="QF31" s="27"/>
      <c r="QG31" s="27"/>
      <c r="QH31" s="27"/>
      <c r="QI31" s="27"/>
      <c r="QJ31" s="27"/>
      <c r="QK31" s="27"/>
      <c r="QL31" s="27"/>
      <c r="QM31" s="27"/>
      <c r="QN31" s="27"/>
      <c r="QO31" s="27"/>
      <c r="QP31" s="27"/>
      <c r="QQ31" s="27"/>
      <c r="QR31" s="27"/>
      <c r="QS31" s="27"/>
      <c r="QT31" s="27"/>
      <c r="QU31" s="37"/>
      <c r="QV31" s="26"/>
      <c r="QW31" s="27"/>
      <c r="QX31" s="27"/>
      <c r="QY31" s="27"/>
      <c r="QZ31" s="27"/>
      <c r="RA31" s="27"/>
      <c r="RB31" s="27"/>
      <c r="RC31" s="27"/>
      <c r="RD31" s="27"/>
      <c r="RE31" s="27"/>
      <c r="RF31" s="27"/>
      <c r="RG31" s="27"/>
      <c r="RH31" s="27"/>
      <c r="RI31" s="27"/>
      <c r="RJ31" s="27"/>
      <c r="RK31" s="27"/>
      <c r="RL31" s="27"/>
      <c r="RM31" s="27"/>
      <c r="RN31" s="27"/>
      <c r="RO31" s="27"/>
      <c r="RP31" s="27"/>
      <c r="RQ31" s="27"/>
      <c r="RR31" s="27"/>
      <c r="RS31" s="27"/>
      <c r="RT31" s="27"/>
      <c r="RU31" s="27"/>
      <c r="RV31" s="27"/>
      <c r="RW31" s="27"/>
      <c r="RX31" s="27"/>
      <c r="RY31" s="27"/>
      <c r="RZ31" s="27"/>
      <c r="SA31" s="27"/>
      <c r="SB31" s="27"/>
      <c r="SC31" s="27"/>
      <c r="SD31" s="27"/>
      <c r="SE31" s="27"/>
      <c r="SF31" s="27"/>
      <c r="SG31" s="27"/>
      <c r="SH31" s="27"/>
      <c r="SI31" s="27"/>
      <c r="SJ31" s="27"/>
      <c r="SK31" s="27"/>
      <c r="SL31" s="27"/>
      <c r="SM31" s="27"/>
      <c r="SN31" s="27"/>
      <c r="SO31" s="27"/>
      <c r="SP31" s="27"/>
      <c r="SQ31" s="27"/>
      <c r="SR31" s="27"/>
      <c r="SS31" s="27"/>
      <c r="ST31" s="27"/>
      <c r="SU31" s="27"/>
      <c r="SV31" s="27"/>
      <c r="SW31" s="27"/>
      <c r="SX31" s="27"/>
      <c r="SY31" s="27"/>
      <c r="SZ31" s="27"/>
      <c r="TA31" s="27"/>
      <c r="TB31" s="27"/>
      <c r="TC31" s="27"/>
      <c r="TD31" s="27"/>
      <c r="TE31" s="27"/>
      <c r="TF31" s="27"/>
      <c r="TG31" s="27"/>
      <c r="TH31" s="27"/>
      <c r="TI31" s="27"/>
      <c r="TJ31" s="27"/>
      <c r="TK31" s="27"/>
      <c r="TL31" s="27"/>
      <c r="TM31" s="27"/>
      <c r="TN31" s="27"/>
      <c r="TO31" s="27"/>
      <c r="TP31" s="27"/>
      <c r="TQ31" s="27"/>
      <c r="TR31" s="27"/>
      <c r="TS31" s="27">
        <v>8</v>
      </c>
      <c r="TT31" s="27">
        <v>45</v>
      </c>
      <c r="TU31" s="27" t="s">
        <v>276</v>
      </c>
      <c r="TV31" s="27">
        <v>8</v>
      </c>
      <c r="TW31" s="27">
        <v>45</v>
      </c>
      <c r="TX31" s="27" t="s">
        <v>276</v>
      </c>
      <c r="TY31" s="27"/>
      <c r="TZ31" s="27"/>
      <c r="UA31" s="27"/>
      <c r="UB31" s="27"/>
      <c r="UC31" s="27"/>
      <c r="UD31" s="27"/>
      <c r="UE31" s="27"/>
      <c r="UF31" s="27"/>
      <c r="UG31" s="27"/>
      <c r="UH31" s="27"/>
      <c r="UI31" s="27"/>
      <c r="UJ31" s="29"/>
      <c r="UK31" s="37"/>
      <c r="UL31" s="26"/>
      <c r="UM31" s="27"/>
      <c r="UN31" s="27"/>
      <c r="UO31" s="27"/>
      <c r="UP31" s="27"/>
      <c r="UQ31" s="27"/>
      <c r="UR31" s="27"/>
      <c r="US31" s="27"/>
      <c r="UT31" s="27"/>
      <c r="UU31" s="27"/>
      <c r="UV31" s="27"/>
      <c r="UW31" s="27"/>
      <c r="UX31" s="27"/>
      <c r="UY31" s="27"/>
      <c r="UZ31" s="27"/>
      <c r="VA31" s="27"/>
      <c r="VB31" s="27"/>
      <c r="VC31" s="27"/>
      <c r="VD31" s="27"/>
      <c r="VE31" s="27"/>
      <c r="VF31" s="27"/>
      <c r="VG31" s="27"/>
      <c r="VH31" s="27"/>
      <c r="VI31" s="27"/>
      <c r="VJ31" s="27"/>
      <c r="VK31" s="27"/>
      <c r="VL31" s="27"/>
      <c r="VM31" s="27"/>
      <c r="VN31" s="27"/>
      <c r="VO31" s="27"/>
      <c r="VP31" s="27"/>
      <c r="VQ31" s="27"/>
      <c r="VR31" s="27"/>
      <c r="VS31" s="27"/>
      <c r="VT31" s="27"/>
      <c r="VU31" s="27"/>
      <c r="VV31" s="27"/>
      <c r="VW31" s="27"/>
      <c r="VX31" s="27"/>
      <c r="VY31" s="27"/>
      <c r="VZ31" s="27"/>
      <c r="WA31" s="27"/>
      <c r="WB31" s="27"/>
      <c r="WC31" s="27"/>
      <c r="WD31" s="27"/>
      <c r="WE31" s="27"/>
      <c r="WF31" s="27"/>
      <c r="WG31" s="27"/>
      <c r="WH31" s="27"/>
      <c r="WI31" s="27"/>
      <c r="WJ31" s="27"/>
      <c r="WK31" s="27"/>
      <c r="WL31" s="27"/>
      <c r="WM31" s="27"/>
      <c r="WN31" s="27"/>
      <c r="WO31" s="27"/>
      <c r="WP31" s="27"/>
      <c r="WQ31" s="27"/>
      <c r="WR31" s="27"/>
      <c r="WS31" s="27"/>
      <c r="WT31" s="27"/>
      <c r="WU31" s="27"/>
      <c r="WV31" s="27"/>
      <c r="WW31" s="27"/>
      <c r="WX31" s="27"/>
      <c r="WY31" s="27"/>
      <c r="WZ31" s="27"/>
      <c r="XA31" s="27"/>
      <c r="XB31" s="27"/>
      <c r="XC31" s="27"/>
      <c r="XD31" s="27"/>
      <c r="XE31" s="27"/>
      <c r="XF31" s="27"/>
      <c r="XG31" s="27"/>
      <c r="XH31" s="27"/>
      <c r="XI31" s="27"/>
      <c r="XJ31" s="27"/>
      <c r="XK31" s="27"/>
      <c r="XL31" s="27"/>
      <c r="XM31" s="27"/>
      <c r="XN31" s="27"/>
      <c r="XO31" s="27"/>
      <c r="XP31" s="27"/>
      <c r="XQ31" s="27"/>
      <c r="XR31" s="27"/>
      <c r="XS31" s="27"/>
      <c r="XT31" s="27"/>
      <c r="XU31" s="27"/>
      <c r="XV31" s="27"/>
      <c r="XW31" s="27"/>
      <c r="XX31" s="37"/>
      <c r="XY31" s="26"/>
      <c r="XZ31" s="27"/>
      <c r="YA31" s="27"/>
      <c r="YB31" s="27"/>
      <c r="YC31" s="27"/>
      <c r="YD31" s="27"/>
      <c r="YE31" s="27"/>
      <c r="YF31" s="27"/>
      <c r="YG31" s="27"/>
      <c r="YH31" s="27"/>
      <c r="YI31" s="27"/>
      <c r="YJ31" s="27"/>
      <c r="YK31" s="27"/>
      <c r="YL31" s="27"/>
      <c r="YM31" s="27"/>
      <c r="YN31" s="27"/>
      <c r="YO31" s="27"/>
      <c r="YP31" s="27"/>
      <c r="YQ31" s="27"/>
      <c r="YR31" s="27"/>
      <c r="YS31" s="27"/>
      <c r="YT31" s="27"/>
      <c r="YU31" s="27"/>
      <c r="YV31" s="27"/>
      <c r="YW31" s="27"/>
      <c r="YX31" s="27"/>
      <c r="YY31" s="27"/>
      <c r="YZ31" s="27"/>
      <c r="ZA31" s="27"/>
      <c r="ZB31" s="27"/>
      <c r="ZC31" s="27"/>
      <c r="ZD31" s="27"/>
      <c r="ZE31" s="27"/>
      <c r="ZF31" s="27"/>
      <c r="ZG31" s="27"/>
      <c r="ZH31" s="27"/>
      <c r="ZI31" s="27"/>
      <c r="ZJ31" s="27"/>
      <c r="ZK31" s="27"/>
      <c r="ZL31" s="27"/>
      <c r="ZM31" s="27"/>
      <c r="ZN31" s="27"/>
      <c r="ZO31" s="27"/>
      <c r="ZP31" s="27"/>
      <c r="ZQ31" s="27"/>
      <c r="ZR31" s="27"/>
      <c r="ZS31" s="27"/>
      <c r="ZT31" s="27"/>
      <c r="ZU31" s="27"/>
      <c r="ZV31" s="27"/>
      <c r="ZW31" s="27"/>
      <c r="ZX31" s="27"/>
      <c r="ZY31" s="27"/>
      <c r="ZZ31" s="27"/>
      <c r="AAA31" s="27"/>
      <c r="AAB31" s="27"/>
      <c r="AAC31" s="27"/>
      <c r="AAD31" s="27"/>
      <c r="AAE31" s="27"/>
      <c r="AAF31" s="27"/>
      <c r="AAG31" s="27"/>
      <c r="AAH31" s="27"/>
      <c r="AAI31" s="27"/>
      <c r="AAJ31" s="27"/>
      <c r="AAK31" s="27"/>
      <c r="AAL31" s="27"/>
      <c r="AAM31" s="27"/>
      <c r="AAN31" s="27"/>
      <c r="AAO31" s="27"/>
      <c r="AAP31" s="27"/>
      <c r="AAQ31" s="27"/>
      <c r="AAR31" s="27"/>
      <c r="AAS31" s="27"/>
      <c r="AAT31" s="27"/>
      <c r="AAU31" s="27"/>
      <c r="AAV31" s="27"/>
      <c r="AAW31" s="27"/>
      <c r="AAX31" s="27"/>
      <c r="AAY31" s="27"/>
      <c r="AAZ31" s="27"/>
      <c r="ABA31" s="27"/>
      <c r="ABB31" s="27"/>
      <c r="ABC31" s="27"/>
      <c r="ABD31" s="27"/>
      <c r="ABE31" s="27"/>
      <c r="ABF31" s="27"/>
      <c r="ABG31" s="27"/>
      <c r="ABH31" s="27"/>
      <c r="ABI31" s="27"/>
      <c r="ABJ31" s="27"/>
      <c r="ABK31" s="27"/>
      <c r="ABL31" s="27"/>
      <c r="ABM31" s="29"/>
      <c r="ABN31" s="37"/>
      <c r="ABO31" s="26"/>
      <c r="ABP31" s="27"/>
      <c r="ABQ31" s="27"/>
      <c r="ABR31" s="27"/>
      <c r="ABS31" s="27"/>
      <c r="ABT31" s="27"/>
      <c r="ABU31" s="27"/>
      <c r="ABV31" s="27"/>
      <c r="ABW31" s="27"/>
      <c r="ABX31" s="27"/>
      <c r="ABY31" s="27"/>
      <c r="ABZ31" s="27"/>
      <c r="ACA31" s="27"/>
      <c r="ACB31" s="27"/>
      <c r="ACC31" s="27"/>
      <c r="ACD31" s="27"/>
      <c r="ACE31" s="27"/>
      <c r="ACF31" s="27"/>
      <c r="ACG31" s="27"/>
      <c r="ACH31" s="27"/>
      <c r="ACI31" s="27"/>
      <c r="ACJ31" s="27"/>
      <c r="ACK31" s="27"/>
      <c r="ACL31" s="27"/>
      <c r="ACM31" s="27"/>
      <c r="ACN31" s="27"/>
      <c r="ACO31" s="27"/>
      <c r="ACP31" s="27"/>
      <c r="ACQ31" s="27"/>
      <c r="ACR31" s="27"/>
      <c r="ACS31" s="27"/>
      <c r="ACT31" s="27"/>
      <c r="ACU31" s="27"/>
      <c r="ACV31" s="27"/>
      <c r="ACW31" s="27"/>
      <c r="ACX31" s="27"/>
      <c r="ACY31" s="27"/>
      <c r="ACZ31" s="27"/>
      <c r="ADA31" s="27"/>
      <c r="ADB31" s="27"/>
      <c r="ADC31" s="27"/>
      <c r="ADD31" s="27"/>
      <c r="ADE31" s="27"/>
      <c r="ADF31" s="27"/>
      <c r="ADG31" s="27"/>
      <c r="ADH31" s="27"/>
      <c r="ADI31" s="27"/>
      <c r="ADJ31" s="27"/>
      <c r="ADK31" s="27"/>
      <c r="ADL31" s="27"/>
      <c r="ADM31" s="27"/>
      <c r="ADN31" s="27"/>
      <c r="ADO31" s="27"/>
      <c r="ADP31" s="27"/>
      <c r="ADQ31" s="27"/>
      <c r="ADR31" s="27"/>
      <c r="ADS31" s="27"/>
      <c r="ADT31" s="27"/>
      <c r="ADU31" s="27"/>
      <c r="ADV31" s="27"/>
      <c r="ADW31" s="27"/>
      <c r="ADX31" s="27"/>
      <c r="ADY31" s="27"/>
      <c r="ADZ31" s="27"/>
      <c r="AEA31" s="27"/>
      <c r="AEB31" s="27"/>
      <c r="AEC31" s="27"/>
      <c r="AED31" s="27"/>
      <c r="AEE31" s="27"/>
      <c r="AEF31" s="27"/>
      <c r="AEG31" s="27"/>
      <c r="AEH31" s="27"/>
      <c r="AEI31" s="27"/>
      <c r="AEJ31" s="27"/>
      <c r="AEK31" s="27"/>
      <c r="AEL31" s="27"/>
      <c r="AEM31" s="27"/>
      <c r="AEN31" s="27"/>
      <c r="AEO31" s="27"/>
      <c r="AEP31" s="27"/>
      <c r="AEQ31" s="27"/>
      <c r="AER31" s="27"/>
      <c r="AES31" s="27"/>
      <c r="AET31" s="27"/>
      <c r="AEU31" s="27"/>
      <c r="AEV31" s="27"/>
      <c r="AEW31" s="27"/>
      <c r="AEX31" s="27"/>
      <c r="AEY31" s="27"/>
      <c r="AEZ31" s="27"/>
      <c r="AFA31" s="27"/>
      <c r="AFB31" s="27"/>
      <c r="AFC31" s="29"/>
      <c r="AFD31" s="37"/>
      <c r="AFE31" s="26"/>
      <c r="AFF31" s="27"/>
      <c r="AFG31" s="27"/>
      <c r="AFH31" s="27"/>
      <c r="AFI31" s="27"/>
      <c r="AFJ31" s="27"/>
      <c r="AFK31" s="27"/>
      <c r="AFL31" s="27"/>
      <c r="AFM31" s="27"/>
      <c r="AFN31" s="27"/>
      <c r="AFO31" s="27"/>
      <c r="AFP31" s="27"/>
      <c r="AFQ31" s="27"/>
      <c r="AFR31" s="27"/>
      <c r="AFS31" s="27"/>
      <c r="AFT31" s="27"/>
      <c r="AFU31" s="27"/>
      <c r="AFV31" s="27"/>
      <c r="AFW31" s="27"/>
      <c r="AFX31" s="27"/>
      <c r="AFY31" s="27"/>
      <c r="AFZ31" s="27"/>
      <c r="AGA31" s="27"/>
      <c r="AGB31" s="27"/>
      <c r="AGC31" s="27"/>
      <c r="AGD31" s="27"/>
      <c r="AGE31" s="27"/>
      <c r="AGF31" s="27"/>
      <c r="AGG31" s="27"/>
      <c r="AGH31" s="27"/>
      <c r="AGI31" s="27"/>
      <c r="AGJ31" s="27"/>
      <c r="AGK31" s="27"/>
      <c r="AGL31" s="27"/>
      <c r="AGM31" s="27"/>
      <c r="AGN31" s="27"/>
      <c r="AGO31" s="27"/>
      <c r="AGP31" s="27"/>
      <c r="AGQ31" s="27"/>
      <c r="AGR31" s="27"/>
      <c r="AGS31" s="27"/>
      <c r="AGT31" s="27"/>
      <c r="AGU31" s="27"/>
      <c r="AGV31" s="27"/>
      <c r="AGW31" s="27"/>
      <c r="AGX31" s="27"/>
      <c r="AGY31" s="27"/>
      <c r="AGZ31" s="27"/>
      <c r="AHA31" s="27"/>
      <c r="AHB31" s="27"/>
      <c r="AHC31" s="27"/>
      <c r="AHD31" s="27"/>
      <c r="AHE31" s="27"/>
      <c r="AHF31" s="27"/>
      <c r="AHG31" s="27"/>
      <c r="AHH31" s="27"/>
      <c r="AHI31" s="27"/>
      <c r="AHJ31" s="27"/>
      <c r="AHK31" s="27"/>
      <c r="AHL31" s="27"/>
      <c r="AHM31" s="27"/>
      <c r="AHN31" s="27"/>
      <c r="AHO31" s="27"/>
      <c r="AHP31" s="27"/>
      <c r="AHQ31" s="27"/>
      <c r="AHR31" s="27"/>
      <c r="AHS31" s="27"/>
      <c r="AHT31" s="27"/>
      <c r="AHU31" s="27"/>
      <c r="AHV31" s="27"/>
      <c r="AHW31" s="27"/>
      <c r="AHX31" s="27"/>
      <c r="AHY31" s="27"/>
      <c r="AHZ31" s="27"/>
      <c r="AIA31" s="27"/>
      <c r="AIB31" s="27"/>
      <c r="AIC31" s="27"/>
      <c r="AID31" s="27"/>
      <c r="AIE31" s="27"/>
      <c r="AIF31" s="27"/>
      <c r="AIG31" s="27"/>
      <c r="AIH31" s="27"/>
      <c r="AII31" s="27"/>
      <c r="AIJ31" s="27"/>
      <c r="AIK31" s="27"/>
      <c r="AIL31" s="27"/>
      <c r="AIM31" s="27"/>
      <c r="AIN31" s="27"/>
      <c r="AIO31" s="27"/>
      <c r="AIP31" s="27"/>
      <c r="AIQ31" s="37"/>
      <c r="AIR31" s="26"/>
      <c r="AIS31" s="27"/>
      <c r="AIT31" s="27"/>
      <c r="AIU31" s="27"/>
      <c r="AIV31" s="27"/>
      <c r="AIW31" s="27"/>
      <c r="AIX31" s="27"/>
      <c r="AIY31" s="27"/>
      <c r="AIZ31" s="27"/>
      <c r="AJA31" s="27"/>
      <c r="AJB31" s="27"/>
      <c r="AJC31" s="27"/>
      <c r="AJD31" s="27"/>
      <c r="AJE31" s="27"/>
      <c r="AJF31" s="27"/>
      <c r="AJG31" s="27"/>
      <c r="AJH31" s="27"/>
      <c r="AJI31" s="27"/>
      <c r="AJJ31" s="27"/>
      <c r="AJK31" s="27"/>
      <c r="AJL31" s="27"/>
      <c r="AJM31" s="27"/>
      <c r="AJN31" s="27"/>
      <c r="AJO31" s="27"/>
      <c r="AJP31" s="27"/>
      <c r="AJQ31" s="27"/>
      <c r="AJR31" s="27"/>
      <c r="AJS31" s="27"/>
      <c r="AJT31" s="27"/>
      <c r="AJU31" s="27"/>
      <c r="AJV31" s="27"/>
      <c r="AJW31" s="27"/>
      <c r="AJX31" s="27"/>
      <c r="AJY31" s="27"/>
      <c r="AJZ31" s="27"/>
      <c r="AKA31" s="27"/>
      <c r="AKB31" s="27"/>
      <c r="AKC31" s="27"/>
      <c r="AKD31" s="27"/>
      <c r="AKE31" s="27"/>
      <c r="AKF31" s="27"/>
      <c r="AKG31" s="27"/>
      <c r="AKH31" s="27"/>
      <c r="AKI31" s="27"/>
      <c r="AKJ31" s="27"/>
      <c r="AKK31" s="27"/>
      <c r="AKL31" s="27"/>
      <c r="AKM31" s="27"/>
      <c r="AKN31" s="27"/>
      <c r="AKO31" s="27"/>
      <c r="AKP31" s="27"/>
      <c r="AKQ31" s="27"/>
      <c r="AKR31" s="27"/>
      <c r="AKS31" s="27"/>
      <c r="AKT31" s="27"/>
      <c r="AKU31" s="27"/>
      <c r="AKV31" s="27"/>
      <c r="AKW31" s="27"/>
      <c r="AKX31" s="27"/>
      <c r="AKY31" s="27"/>
      <c r="AKZ31" s="27"/>
      <c r="ALA31" s="27"/>
      <c r="ALB31" s="27"/>
      <c r="ALC31" s="27"/>
      <c r="ALD31" s="27"/>
      <c r="ALE31" s="27"/>
      <c r="ALF31" s="27"/>
      <c r="ALG31" s="27"/>
      <c r="ALH31" s="27"/>
      <c r="ALI31" s="27"/>
      <c r="ALJ31" s="27"/>
      <c r="ALK31" s="27"/>
      <c r="ALL31" s="27"/>
      <c r="ALM31" s="27"/>
      <c r="ALN31" s="27"/>
      <c r="ALO31" s="27"/>
      <c r="ALP31" s="27"/>
      <c r="ALQ31" s="27"/>
      <c r="ALR31" s="27"/>
      <c r="ALS31" s="27"/>
      <c r="ALT31" s="27"/>
      <c r="ALU31" s="27"/>
      <c r="ALV31" s="27"/>
      <c r="ALW31" s="27"/>
      <c r="ALX31" s="27"/>
      <c r="ALY31" s="27"/>
      <c r="ALZ31" s="27"/>
      <c r="AMA31" s="27"/>
      <c r="AMB31" s="27"/>
      <c r="AMC31" s="27"/>
      <c r="AMD31" s="27"/>
      <c r="AME31" s="27"/>
      <c r="AMF31" s="29"/>
      <c r="AMG31" s="37"/>
      <c r="AMH31" s="26"/>
      <c r="AMI31" s="27"/>
      <c r="AMJ31" s="27"/>
      <c r="AMK31" s="27"/>
      <c r="AML31" s="27"/>
      <c r="AMM31" s="27"/>
      <c r="AMN31" s="27"/>
      <c r="AMO31" s="27"/>
      <c r="AMP31" s="27"/>
      <c r="AMQ31" s="27"/>
      <c r="AMR31" s="27"/>
      <c r="AMS31" s="27"/>
      <c r="AMT31" s="27"/>
      <c r="AMU31" s="27"/>
      <c r="AMV31" s="27"/>
      <c r="AMW31" s="27"/>
      <c r="AMX31" s="27"/>
      <c r="AMY31" s="27"/>
      <c r="AMZ31" s="27"/>
      <c r="ANA31" s="27"/>
      <c r="ANB31" s="27"/>
      <c r="ANC31" s="27"/>
      <c r="AND31" s="27"/>
      <c r="ANE31" s="27"/>
      <c r="ANF31" s="27"/>
      <c r="ANG31" s="27"/>
      <c r="ANH31" s="27"/>
      <c r="ANI31" s="27"/>
      <c r="ANJ31" s="27"/>
      <c r="ANK31" s="27"/>
      <c r="ANL31" s="27"/>
      <c r="ANM31" s="27"/>
      <c r="ANN31" s="27"/>
      <c r="ANO31" s="27"/>
      <c r="ANP31" s="27"/>
      <c r="ANQ31" s="27"/>
      <c r="ANR31" s="27"/>
      <c r="ANS31" s="27"/>
      <c r="ANT31" s="27"/>
      <c r="ANU31" s="27"/>
      <c r="ANV31" s="27"/>
      <c r="ANW31" s="27"/>
      <c r="ANX31" s="27"/>
      <c r="ANY31" s="27"/>
      <c r="ANZ31" s="27"/>
      <c r="AOA31" s="27"/>
      <c r="AOB31" s="27"/>
      <c r="AOC31" s="27"/>
      <c r="AOD31" s="27"/>
      <c r="AOE31" s="27"/>
      <c r="AOF31" s="27"/>
      <c r="AOG31" s="27"/>
      <c r="AOH31" s="27"/>
      <c r="AOI31" s="27"/>
      <c r="AOJ31" s="27"/>
      <c r="AOK31" s="27"/>
      <c r="AOL31" s="27"/>
      <c r="AOM31" s="27"/>
      <c r="AON31" s="27"/>
      <c r="AOO31" s="27"/>
      <c r="AOP31" s="27"/>
      <c r="AOQ31" s="27"/>
      <c r="AOR31" s="27"/>
      <c r="AOS31" s="27"/>
      <c r="AOT31" s="27"/>
      <c r="AOU31" s="27"/>
      <c r="AOV31" s="27"/>
      <c r="AOW31" s="27"/>
      <c r="AOX31" s="27"/>
      <c r="AOY31" s="27"/>
      <c r="AOZ31" s="27"/>
      <c r="APA31" s="27"/>
      <c r="APB31" s="27"/>
      <c r="APC31" s="27"/>
      <c r="APD31" s="27"/>
      <c r="APE31" s="27"/>
      <c r="APF31" s="27"/>
      <c r="APG31" s="27"/>
      <c r="APH31" s="27"/>
      <c r="API31" s="27"/>
      <c r="APJ31" s="27"/>
      <c r="APK31" s="27"/>
      <c r="APL31" s="27"/>
      <c r="APM31" s="27"/>
      <c r="APN31" s="27"/>
      <c r="APO31" s="27"/>
      <c r="APP31" s="27"/>
      <c r="APQ31" s="27"/>
      <c r="APR31" s="27"/>
      <c r="APS31" s="29"/>
      <c r="APT31" s="37"/>
      <c r="APU31" s="26"/>
      <c r="APV31" s="27"/>
      <c r="APW31" s="27"/>
      <c r="APX31" s="27"/>
      <c r="APY31" s="27"/>
      <c r="APZ31" s="27"/>
      <c r="AQA31" s="27"/>
      <c r="AQB31" s="27"/>
      <c r="AQC31" s="27"/>
      <c r="AQD31" s="27"/>
      <c r="AQE31" s="27"/>
      <c r="AQF31" s="27"/>
      <c r="AQG31" s="27"/>
      <c r="AQH31" s="27"/>
      <c r="AQI31" s="27"/>
      <c r="AQJ31" s="27"/>
      <c r="AQK31" s="27"/>
      <c r="AQL31" s="27"/>
      <c r="AQM31" s="27"/>
      <c r="AQN31" s="27"/>
      <c r="AQO31" s="27"/>
      <c r="AQP31" s="27"/>
      <c r="AQQ31" s="27"/>
      <c r="AQR31" s="27"/>
      <c r="AQS31" s="27"/>
      <c r="AQT31" s="27"/>
      <c r="AQU31" s="27"/>
      <c r="AQV31" s="27"/>
      <c r="AQW31" s="27"/>
      <c r="AQX31" s="27"/>
      <c r="AQY31" s="27"/>
      <c r="AQZ31" s="27"/>
      <c r="ARA31" s="27"/>
      <c r="ARB31" s="27"/>
      <c r="ARC31" s="27"/>
      <c r="ARD31" s="27"/>
      <c r="ARE31" s="27"/>
      <c r="ARF31" s="27"/>
      <c r="ARG31" s="27"/>
      <c r="ARH31" s="27"/>
      <c r="ARI31" s="27"/>
      <c r="ARJ31" s="27"/>
      <c r="ARK31" s="27"/>
      <c r="ARL31" s="27"/>
      <c r="ARM31" s="27"/>
      <c r="ARN31" s="27"/>
      <c r="ARO31" s="27"/>
      <c r="ARP31" s="27"/>
      <c r="ARQ31" s="27"/>
      <c r="ARR31" s="27"/>
      <c r="ARS31" s="27"/>
      <c r="ART31" s="27"/>
      <c r="ARU31" s="27"/>
      <c r="ARV31" s="27"/>
      <c r="ARW31" s="27"/>
      <c r="ARX31" s="27"/>
      <c r="ARY31" s="27"/>
      <c r="ARZ31" s="27"/>
      <c r="ASA31" s="27"/>
      <c r="ASB31" s="27"/>
      <c r="ASC31" s="27"/>
      <c r="ASD31" s="27"/>
      <c r="ASE31" s="27"/>
      <c r="ASF31" s="27"/>
      <c r="ASG31" s="27"/>
      <c r="ASH31" s="27"/>
      <c r="ASI31" s="27"/>
      <c r="ASJ31" s="27"/>
      <c r="ASK31" s="27"/>
      <c r="ASL31" s="27"/>
      <c r="ASM31" s="27"/>
      <c r="ASN31" s="27"/>
      <c r="ASO31" s="27"/>
      <c r="ASP31" s="27"/>
      <c r="ASQ31" s="27"/>
      <c r="ASR31" s="27"/>
      <c r="ASS31" s="27"/>
      <c r="AST31" s="27"/>
      <c r="ASU31" s="27"/>
      <c r="ASV31" s="27"/>
      <c r="ASW31" s="27"/>
      <c r="ASX31" s="27"/>
      <c r="ASY31" s="27"/>
      <c r="ASZ31" s="27"/>
      <c r="ATA31" s="27"/>
      <c r="ATB31" s="27"/>
      <c r="ATC31" s="27"/>
      <c r="ATD31" s="27"/>
      <c r="ATE31" s="27"/>
      <c r="ATF31" s="29"/>
      <c r="ATG31" s="37"/>
      <c r="ATH31" s="26"/>
      <c r="ATI31" s="27"/>
      <c r="ATJ31" s="27"/>
      <c r="ATK31" s="27"/>
      <c r="ATL31" s="27"/>
      <c r="ATM31" s="27"/>
      <c r="ATN31" s="27"/>
      <c r="ATO31" s="27"/>
      <c r="ATP31" s="27"/>
      <c r="ATQ31" s="27"/>
      <c r="ATR31" s="27"/>
      <c r="ATS31" s="27"/>
      <c r="ATT31" s="27"/>
      <c r="ATU31" s="27"/>
      <c r="ATV31" s="27"/>
      <c r="ATW31" s="27"/>
      <c r="ATX31" s="27"/>
      <c r="ATY31" s="27"/>
      <c r="ATZ31" s="27"/>
      <c r="AUA31" s="27"/>
      <c r="AUB31" s="27"/>
      <c r="AUC31" s="27"/>
      <c r="AUD31" s="27"/>
      <c r="AUE31" s="27"/>
      <c r="AUF31" s="27"/>
      <c r="AUG31" s="27"/>
      <c r="AUH31" s="27"/>
      <c r="AUI31" s="27"/>
      <c r="AUJ31" s="27"/>
      <c r="AUK31" s="27"/>
      <c r="AUL31" s="27"/>
      <c r="AUM31" s="27"/>
      <c r="AUN31" s="27"/>
      <c r="AUO31" s="27"/>
      <c r="AUP31" s="27"/>
      <c r="AUQ31" s="27"/>
      <c r="AUR31" s="27"/>
      <c r="AUS31" s="27"/>
      <c r="AUT31" s="27"/>
      <c r="AUU31" s="27"/>
      <c r="AUV31" s="27"/>
      <c r="AUW31" s="27"/>
      <c r="AUX31" s="27"/>
      <c r="AUY31" s="27"/>
      <c r="AUZ31" s="27"/>
      <c r="AVA31" s="27"/>
      <c r="AVB31" s="27"/>
      <c r="AVC31" s="27"/>
      <c r="AVD31" s="27"/>
      <c r="AVE31" s="27"/>
      <c r="AVF31" s="27"/>
      <c r="AVG31" s="27"/>
      <c r="AVH31" s="27"/>
      <c r="AVI31" s="27"/>
      <c r="AVJ31" s="27"/>
      <c r="AVK31" s="27"/>
      <c r="AVL31" s="27"/>
      <c r="AVM31" s="27"/>
      <c r="AVN31" s="27"/>
      <c r="AVO31" s="27"/>
      <c r="AVP31" s="27"/>
      <c r="AVQ31" s="27"/>
      <c r="AVR31" s="27"/>
      <c r="AVS31" s="27"/>
      <c r="AVT31" s="27"/>
      <c r="AVU31" s="27"/>
      <c r="AVV31" s="27"/>
      <c r="AVW31" s="27"/>
      <c r="AVX31" s="27"/>
      <c r="AVY31" s="27"/>
      <c r="AVZ31" s="27"/>
      <c r="AWA31" s="27"/>
      <c r="AWB31" s="27"/>
      <c r="AWC31" s="27"/>
      <c r="AWD31" s="27"/>
      <c r="AWE31" s="27"/>
      <c r="AWF31" s="27"/>
      <c r="AWG31" s="27"/>
      <c r="AWH31" s="27"/>
      <c r="AWI31" s="27"/>
      <c r="AWJ31" s="27"/>
      <c r="AWK31" s="27"/>
      <c r="AWL31" s="27"/>
      <c r="AWM31" s="27"/>
      <c r="AWN31" s="27"/>
      <c r="AWO31" s="27"/>
      <c r="AWP31" s="27"/>
      <c r="AWQ31" s="27"/>
      <c r="AWR31" s="27"/>
      <c r="AWS31" s="29"/>
      <c r="AWT31" s="37"/>
      <c r="AWU31" s="26"/>
      <c r="AWV31" s="27"/>
      <c r="AWW31" s="27"/>
      <c r="AWX31" s="27"/>
      <c r="AWY31" s="27"/>
      <c r="AWZ31" s="27"/>
      <c r="AXA31" s="27"/>
      <c r="AXB31" s="27"/>
      <c r="AXC31" s="27"/>
      <c r="AXD31" s="27"/>
      <c r="AXE31" s="27"/>
      <c r="AXF31" s="27"/>
      <c r="AXG31" s="27"/>
      <c r="AXH31" s="27"/>
      <c r="AXI31" s="27"/>
      <c r="AXJ31" s="27"/>
      <c r="AXK31" s="27"/>
      <c r="AXL31" s="27"/>
      <c r="AXM31" s="27"/>
      <c r="AXN31" s="27"/>
      <c r="AXO31" s="27"/>
      <c r="AXP31" s="27"/>
      <c r="AXQ31" s="27"/>
      <c r="AXR31" s="27"/>
      <c r="AXS31" s="27"/>
      <c r="AXT31" s="27"/>
      <c r="AXU31" s="27"/>
      <c r="AXV31" s="27"/>
      <c r="AXW31" s="27"/>
      <c r="AXX31" s="27"/>
      <c r="AXY31" s="27"/>
      <c r="AXZ31" s="27"/>
      <c r="AYA31" s="27"/>
      <c r="AYB31" s="27"/>
      <c r="AYC31" s="27"/>
      <c r="AYD31" s="27"/>
      <c r="AYE31" s="27"/>
      <c r="AYF31" s="27"/>
      <c r="AYG31" s="27"/>
      <c r="AYH31" s="27"/>
      <c r="AYI31" s="27"/>
      <c r="AYJ31" s="27"/>
      <c r="AYK31" s="27"/>
      <c r="AYL31" s="27"/>
      <c r="AYM31" s="27"/>
      <c r="AYN31" s="27"/>
      <c r="AYO31" s="27"/>
      <c r="AYP31" s="27"/>
      <c r="AYQ31" s="27"/>
      <c r="AYR31" s="27"/>
      <c r="AYS31" s="27"/>
      <c r="AYT31" s="27"/>
      <c r="AYU31" s="27"/>
      <c r="AYV31" s="27"/>
      <c r="AYW31" s="27"/>
      <c r="AYX31" s="27"/>
      <c r="AYY31" s="27"/>
      <c r="AYZ31" s="27"/>
      <c r="AZA31" s="27"/>
      <c r="AZB31" s="27"/>
      <c r="AZC31" s="27"/>
      <c r="AZD31" s="27"/>
      <c r="AZE31" s="27"/>
      <c r="AZF31" s="27"/>
      <c r="AZG31" s="27"/>
      <c r="AZH31" s="27"/>
      <c r="AZI31" s="27"/>
      <c r="AZJ31" s="27"/>
      <c r="AZK31" s="27"/>
      <c r="AZL31" s="27"/>
      <c r="AZM31" s="27"/>
      <c r="AZN31" s="27"/>
      <c r="AZO31" s="27"/>
      <c r="AZP31" s="27"/>
      <c r="AZQ31" s="27"/>
      <c r="AZR31" s="27"/>
      <c r="AZS31" s="27"/>
      <c r="AZT31" s="27"/>
      <c r="AZU31" s="27"/>
      <c r="AZV31" s="27"/>
      <c r="AZW31" s="27"/>
      <c r="AZX31" s="27"/>
      <c r="AZY31" s="27"/>
      <c r="AZZ31" s="27"/>
      <c r="BAA31" s="37"/>
      <c r="BAB31" s="26"/>
      <c r="BAC31" s="27"/>
      <c r="BAD31" s="27"/>
      <c r="BAE31" s="27"/>
      <c r="BAF31" s="27"/>
      <c r="BAG31" s="27"/>
      <c r="BAH31" s="27"/>
      <c r="BAI31" s="27"/>
      <c r="BAJ31" s="27"/>
      <c r="BAK31" s="27"/>
      <c r="BAL31" s="27"/>
      <c r="BAM31" s="27"/>
      <c r="BAN31" s="27"/>
      <c r="BAO31" s="27"/>
      <c r="BAP31" s="27"/>
      <c r="BAQ31" s="27"/>
      <c r="BAR31" s="27"/>
      <c r="BAS31" s="27"/>
      <c r="BAT31" s="27"/>
      <c r="BAU31" s="27"/>
      <c r="BAV31" s="27"/>
      <c r="BAW31" s="27"/>
      <c r="BAX31" s="27"/>
      <c r="BAY31" s="27"/>
      <c r="BAZ31" s="27"/>
      <c r="BBA31" s="27"/>
      <c r="BBB31" s="27"/>
      <c r="BBC31" s="27"/>
      <c r="BBD31" s="27"/>
      <c r="BBE31" s="27"/>
      <c r="BBF31" s="27"/>
      <c r="BBG31" s="27"/>
      <c r="BBH31" s="27"/>
      <c r="BBI31" s="27"/>
      <c r="BBJ31" s="27"/>
      <c r="BBK31" s="27"/>
      <c r="BBL31" s="27"/>
      <c r="BBM31" s="27"/>
      <c r="BBN31" s="27"/>
      <c r="BBO31" s="27"/>
      <c r="BBP31" s="27"/>
      <c r="BBQ31" s="27"/>
      <c r="BBR31" s="27"/>
      <c r="BBS31" s="27"/>
      <c r="BBT31" s="27"/>
      <c r="BBU31" s="27"/>
      <c r="BBV31" s="27"/>
      <c r="BBW31" s="27"/>
      <c r="BBX31" s="27"/>
      <c r="BBY31" s="27"/>
      <c r="BBZ31" s="27"/>
      <c r="BCA31" s="27"/>
      <c r="BCB31" s="27"/>
      <c r="BCC31" s="27"/>
      <c r="BCD31" s="27"/>
      <c r="BCE31" s="27"/>
      <c r="BCF31" s="27"/>
      <c r="BCG31" s="27"/>
      <c r="BCH31" s="27"/>
      <c r="BCI31" s="27"/>
      <c r="BCJ31" s="27"/>
      <c r="BCK31" s="27"/>
      <c r="BCL31" s="27"/>
      <c r="BCM31" s="27"/>
      <c r="BCN31" s="27"/>
      <c r="BCO31" s="27"/>
      <c r="BCP31" s="27"/>
      <c r="BCQ31" s="27"/>
      <c r="BCR31" s="27"/>
      <c r="BCS31" s="27"/>
      <c r="BCT31" s="27"/>
      <c r="BCU31" s="27"/>
      <c r="BCV31" s="27"/>
      <c r="BCW31" s="27"/>
      <c r="BCX31" s="27"/>
      <c r="BCY31" s="27"/>
      <c r="BCZ31" s="27"/>
      <c r="BDA31" s="27"/>
      <c r="BDB31" s="27"/>
      <c r="BDC31" s="27"/>
      <c r="BDD31" s="27"/>
      <c r="BDE31" s="27"/>
      <c r="BDF31" s="27"/>
      <c r="BDG31" s="27"/>
      <c r="BDH31" s="27"/>
      <c r="BDI31" s="27"/>
      <c r="BDJ31" s="27"/>
      <c r="BDK31" s="27"/>
      <c r="BDL31" s="27"/>
      <c r="BDM31" s="29"/>
      <c r="BDN31" s="29"/>
      <c r="BDO31" s="29"/>
      <c r="BDP31" s="29"/>
      <c r="BDQ31" s="37"/>
      <c r="BDR31" s="26"/>
      <c r="BDS31" s="27"/>
      <c r="BDT31" s="27"/>
      <c r="BDU31" s="27"/>
      <c r="BDV31" s="27"/>
      <c r="BDW31" s="27"/>
      <c r="BDX31" s="27"/>
      <c r="BDY31" s="27"/>
      <c r="BDZ31" s="27"/>
      <c r="BEA31" s="27"/>
      <c r="BEB31" s="27"/>
      <c r="BEC31" s="27"/>
      <c r="BED31" s="27"/>
      <c r="BEE31" s="27"/>
      <c r="BEF31" s="27"/>
      <c r="BEG31" s="27"/>
      <c r="BEH31" s="27"/>
      <c r="BEI31" s="27"/>
      <c r="BEJ31" s="27"/>
      <c r="BEK31" s="27"/>
      <c r="BEL31" s="27"/>
      <c r="BEM31" s="27"/>
      <c r="BEN31" s="27"/>
      <c r="BEO31" s="27"/>
      <c r="BEP31" s="27"/>
      <c r="BEQ31" s="27"/>
      <c r="BER31" s="27"/>
      <c r="BES31" s="27"/>
      <c r="BET31" s="27"/>
      <c r="BEU31" s="27"/>
      <c r="BEV31" s="27"/>
      <c r="BEW31" s="27"/>
      <c r="BEX31" s="27"/>
      <c r="BEY31" s="27"/>
      <c r="BEZ31" s="27"/>
      <c r="BFA31" s="27"/>
      <c r="BFB31" s="27"/>
      <c r="BFC31" s="27"/>
      <c r="BFD31" s="27"/>
      <c r="BFE31" s="27"/>
      <c r="BFF31" s="27"/>
      <c r="BFG31" s="27"/>
      <c r="BFH31" s="27"/>
      <c r="BFI31" s="27"/>
      <c r="BFJ31" s="27"/>
      <c r="BFK31" s="27"/>
      <c r="BFL31" s="27"/>
      <c r="BFM31" s="27"/>
      <c r="BFN31" s="27"/>
      <c r="BFO31" s="27"/>
      <c r="BFP31" s="27"/>
      <c r="BFQ31" s="27"/>
      <c r="BFR31" s="27"/>
      <c r="BFS31" s="27"/>
      <c r="BFT31" s="27"/>
      <c r="BFU31" s="27"/>
      <c r="BFV31" s="27"/>
      <c r="BFW31" s="27"/>
      <c r="BFX31" s="27"/>
      <c r="BFY31" s="27"/>
      <c r="BFZ31" s="27"/>
      <c r="BGA31" s="27"/>
      <c r="BGB31" s="27"/>
      <c r="BGC31" s="27"/>
      <c r="BGD31" s="27"/>
      <c r="BGE31" s="27"/>
      <c r="BGF31" s="27"/>
      <c r="BGG31" s="27"/>
      <c r="BGH31" s="27"/>
      <c r="BGI31" s="27"/>
      <c r="BGJ31" s="27"/>
      <c r="BGK31" s="27"/>
      <c r="BGL31" s="27"/>
      <c r="BGM31" s="27"/>
      <c r="BGN31" s="27"/>
      <c r="BGO31" s="27"/>
      <c r="BGP31" s="27"/>
      <c r="BGQ31" s="27"/>
      <c r="BGR31" s="27"/>
      <c r="BGS31" s="27"/>
      <c r="BGT31" s="27"/>
      <c r="BGU31" s="27"/>
      <c r="BGV31" s="27"/>
      <c r="BGW31" s="27"/>
      <c r="BGX31" s="27"/>
      <c r="BGY31" s="27"/>
      <c r="BGZ31" s="27"/>
      <c r="BHA31" s="27"/>
      <c r="BHB31" s="27"/>
      <c r="BHC31" s="29"/>
      <c r="BHD31" s="37"/>
    </row>
  </sheetData>
  <mergeCells count="514">
    <mergeCell ref="BHA3:BHC3"/>
    <mergeCell ref="BGI3:BGK3"/>
    <mergeCell ref="BGL3:BGN3"/>
    <mergeCell ref="BGO3:BGQ3"/>
    <mergeCell ref="BGR3:BGT3"/>
    <mergeCell ref="BGU3:BGW3"/>
    <mergeCell ref="BGX3:BGZ3"/>
    <mergeCell ref="BFQ3:BFS3"/>
    <mergeCell ref="BFT3:BFV3"/>
    <mergeCell ref="BFW3:BFY3"/>
    <mergeCell ref="BFZ3:BGB3"/>
    <mergeCell ref="BGC3:BGE3"/>
    <mergeCell ref="BGF3:BGH3"/>
    <mergeCell ref="BEY3:BFA3"/>
    <mergeCell ref="BFB3:BFD3"/>
    <mergeCell ref="BFE3:BFG3"/>
    <mergeCell ref="BFH3:BFJ3"/>
    <mergeCell ref="BFK3:BFM3"/>
    <mergeCell ref="BFN3:BFP3"/>
    <mergeCell ref="BEG3:BEI3"/>
    <mergeCell ref="BEJ3:BEL3"/>
    <mergeCell ref="BEM3:BEO3"/>
    <mergeCell ref="BEP3:BER3"/>
    <mergeCell ref="BES3:BEU3"/>
    <mergeCell ref="BEV3:BEX3"/>
    <mergeCell ref="BDN3:BDP3"/>
    <mergeCell ref="BDR3:BDT3"/>
    <mergeCell ref="BDU3:BDW3"/>
    <mergeCell ref="BDX3:BDZ3"/>
    <mergeCell ref="BEA3:BEC3"/>
    <mergeCell ref="BED3:BEF3"/>
    <mergeCell ref="BCV3:BCX3"/>
    <mergeCell ref="BCY3:BDA3"/>
    <mergeCell ref="BDB3:BDD3"/>
    <mergeCell ref="BDE3:BDG3"/>
    <mergeCell ref="BDH3:BDJ3"/>
    <mergeCell ref="BDK3:BDM3"/>
    <mergeCell ref="BCD3:BCF3"/>
    <mergeCell ref="BCG3:BCI3"/>
    <mergeCell ref="BCJ3:BCL3"/>
    <mergeCell ref="BCM3:BCO3"/>
    <mergeCell ref="BCP3:BCR3"/>
    <mergeCell ref="BCS3:BCU3"/>
    <mergeCell ref="BBL3:BBN3"/>
    <mergeCell ref="BBO3:BBQ3"/>
    <mergeCell ref="BBR3:BBT3"/>
    <mergeCell ref="BBU3:BBW3"/>
    <mergeCell ref="BBX3:BBZ3"/>
    <mergeCell ref="BCA3:BCC3"/>
    <mergeCell ref="BAT3:BAV3"/>
    <mergeCell ref="BAW3:BAY3"/>
    <mergeCell ref="BAZ3:BBB3"/>
    <mergeCell ref="BBC3:BBE3"/>
    <mergeCell ref="BBF3:BBH3"/>
    <mergeCell ref="BBI3:BBK3"/>
    <mergeCell ref="BAB3:BAD3"/>
    <mergeCell ref="BAE3:BAG3"/>
    <mergeCell ref="BAH3:BAJ3"/>
    <mergeCell ref="BAK3:BAM3"/>
    <mergeCell ref="BAN3:BAP3"/>
    <mergeCell ref="BAQ3:BAS3"/>
    <mergeCell ref="AZI3:AZK3"/>
    <mergeCell ref="AZL3:AZN3"/>
    <mergeCell ref="AZO3:AZQ3"/>
    <mergeCell ref="AZR3:AZT3"/>
    <mergeCell ref="AZU3:AZW3"/>
    <mergeCell ref="AZX3:AZZ3"/>
    <mergeCell ref="AYQ3:AYS3"/>
    <mergeCell ref="AYT3:AYV3"/>
    <mergeCell ref="AYW3:AYY3"/>
    <mergeCell ref="AYZ3:AZB3"/>
    <mergeCell ref="AZC3:AZE3"/>
    <mergeCell ref="AZF3:AZH3"/>
    <mergeCell ref="AXY3:AYA3"/>
    <mergeCell ref="AYB3:AYD3"/>
    <mergeCell ref="AYE3:AYG3"/>
    <mergeCell ref="AYH3:AYJ3"/>
    <mergeCell ref="AYK3:AYM3"/>
    <mergeCell ref="AYN3:AYP3"/>
    <mergeCell ref="AXG3:AXI3"/>
    <mergeCell ref="AXJ3:AXL3"/>
    <mergeCell ref="AXM3:AXO3"/>
    <mergeCell ref="AXP3:AXR3"/>
    <mergeCell ref="AXS3:AXU3"/>
    <mergeCell ref="AXV3:AXX3"/>
    <mergeCell ref="AWN3:AWP3"/>
    <mergeCell ref="AWQ3:AWS3"/>
    <mergeCell ref="AWU3:AWW3"/>
    <mergeCell ref="AWX3:AWZ3"/>
    <mergeCell ref="AXA3:AXC3"/>
    <mergeCell ref="AXD3:AXF3"/>
    <mergeCell ref="AVV3:AVX3"/>
    <mergeCell ref="AVY3:AWA3"/>
    <mergeCell ref="AWB3:AWD3"/>
    <mergeCell ref="AWE3:AWG3"/>
    <mergeCell ref="AWH3:AWJ3"/>
    <mergeCell ref="AWK3:AWM3"/>
    <mergeCell ref="AVD3:AVF3"/>
    <mergeCell ref="AVG3:AVI3"/>
    <mergeCell ref="AVJ3:AVL3"/>
    <mergeCell ref="AVM3:AVO3"/>
    <mergeCell ref="AVP3:AVR3"/>
    <mergeCell ref="AVS3:AVU3"/>
    <mergeCell ref="AUL3:AUN3"/>
    <mergeCell ref="AUO3:AUQ3"/>
    <mergeCell ref="AUR3:AUT3"/>
    <mergeCell ref="AUU3:AUW3"/>
    <mergeCell ref="AUX3:AUZ3"/>
    <mergeCell ref="AVA3:AVC3"/>
    <mergeCell ref="ATT3:ATV3"/>
    <mergeCell ref="ATW3:ATY3"/>
    <mergeCell ref="ATZ3:AUB3"/>
    <mergeCell ref="AUC3:AUE3"/>
    <mergeCell ref="AUF3:AUH3"/>
    <mergeCell ref="AUI3:AUK3"/>
    <mergeCell ref="ATA3:ATC3"/>
    <mergeCell ref="ATD3:ATF3"/>
    <mergeCell ref="ATH3:ATJ3"/>
    <mergeCell ref="ATK3:ATM3"/>
    <mergeCell ref="ATN3:ATP3"/>
    <mergeCell ref="ATQ3:ATS3"/>
    <mergeCell ref="ASI3:ASK3"/>
    <mergeCell ref="ASL3:ASN3"/>
    <mergeCell ref="ASO3:ASQ3"/>
    <mergeCell ref="ASR3:AST3"/>
    <mergeCell ref="ASU3:ASW3"/>
    <mergeCell ref="ASX3:ASZ3"/>
    <mergeCell ref="ARQ3:ARS3"/>
    <mergeCell ref="ART3:ARV3"/>
    <mergeCell ref="ARW3:ARY3"/>
    <mergeCell ref="ARZ3:ASB3"/>
    <mergeCell ref="ASC3:ASE3"/>
    <mergeCell ref="ASF3:ASH3"/>
    <mergeCell ref="AQY3:ARA3"/>
    <mergeCell ref="ARB3:ARD3"/>
    <mergeCell ref="ARE3:ARG3"/>
    <mergeCell ref="ARH3:ARJ3"/>
    <mergeCell ref="ARK3:ARM3"/>
    <mergeCell ref="ARN3:ARP3"/>
    <mergeCell ref="AQG3:AQI3"/>
    <mergeCell ref="AQJ3:AQL3"/>
    <mergeCell ref="AQM3:AQO3"/>
    <mergeCell ref="AQP3:AQR3"/>
    <mergeCell ref="AQS3:AQU3"/>
    <mergeCell ref="AQV3:AQX3"/>
    <mergeCell ref="APN3:APP3"/>
    <mergeCell ref="APQ3:APS3"/>
    <mergeCell ref="APU3:APW3"/>
    <mergeCell ref="APX3:APZ3"/>
    <mergeCell ref="AQA3:AQC3"/>
    <mergeCell ref="AQD3:AQF3"/>
    <mergeCell ref="AOV3:AOX3"/>
    <mergeCell ref="AOY3:APA3"/>
    <mergeCell ref="APB3:APD3"/>
    <mergeCell ref="APE3:APG3"/>
    <mergeCell ref="APH3:APJ3"/>
    <mergeCell ref="APK3:APM3"/>
    <mergeCell ref="AOD3:AOF3"/>
    <mergeCell ref="AOG3:AOI3"/>
    <mergeCell ref="AOJ3:AOL3"/>
    <mergeCell ref="AOM3:AOO3"/>
    <mergeCell ref="AOP3:AOR3"/>
    <mergeCell ref="AOS3:AOU3"/>
    <mergeCell ref="ANL3:ANN3"/>
    <mergeCell ref="ANO3:ANQ3"/>
    <mergeCell ref="ANR3:ANT3"/>
    <mergeCell ref="ANU3:ANW3"/>
    <mergeCell ref="ANX3:ANZ3"/>
    <mergeCell ref="AOA3:AOC3"/>
    <mergeCell ref="AMT3:AMV3"/>
    <mergeCell ref="AMW3:AMY3"/>
    <mergeCell ref="AMZ3:ANB3"/>
    <mergeCell ref="ANC3:ANE3"/>
    <mergeCell ref="ANF3:ANH3"/>
    <mergeCell ref="ANI3:ANK3"/>
    <mergeCell ref="ALO3:ALQ3"/>
    <mergeCell ref="ALR3:ALT3"/>
    <mergeCell ref="ALU3:ALW3"/>
    <mergeCell ref="ALX3:ALZ3"/>
    <mergeCell ref="AMA3:AMC3"/>
    <mergeCell ref="AMD3:AMF3"/>
    <mergeCell ref="AMH3:AMJ3"/>
    <mergeCell ref="AMK3:AMM3"/>
    <mergeCell ref="AMN3:AMP3"/>
    <mergeCell ref="AMQ3:AMS3"/>
    <mergeCell ref="AKW3:AKY3"/>
    <mergeCell ref="AKZ3:ALB3"/>
    <mergeCell ref="ALC3:ALE3"/>
    <mergeCell ref="ALF3:ALH3"/>
    <mergeCell ref="ALI3:ALK3"/>
    <mergeCell ref="ALL3:ALN3"/>
    <mergeCell ref="AKE3:AKG3"/>
    <mergeCell ref="AKH3:AKJ3"/>
    <mergeCell ref="AKK3:AKM3"/>
    <mergeCell ref="AKN3:AKP3"/>
    <mergeCell ref="AKQ3:AKS3"/>
    <mergeCell ref="AKT3:AKV3"/>
    <mergeCell ref="AJM3:AJO3"/>
    <mergeCell ref="AJP3:AJR3"/>
    <mergeCell ref="AJS3:AJU3"/>
    <mergeCell ref="AJV3:AJX3"/>
    <mergeCell ref="AJY3:AKA3"/>
    <mergeCell ref="AKB3:AKD3"/>
    <mergeCell ref="AIU3:AIW3"/>
    <mergeCell ref="AIX3:AIZ3"/>
    <mergeCell ref="AJA3:AJC3"/>
    <mergeCell ref="AJD3:AJF3"/>
    <mergeCell ref="AJG3:AJI3"/>
    <mergeCell ref="AJJ3:AJL3"/>
    <mergeCell ref="AIB3:AID3"/>
    <mergeCell ref="AIE3:AIG3"/>
    <mergeCell ref="AIH3:AIJ3"/>
    <mergeCell ref="AIK3:AIM3"/>
    <mergeCell ref="AIN3:AIP3"/>
    <mergeCell ref="AIR3:AIT3"/>
    <mergeCell ref="AHJ3:AHL3"/>
    <mergeCell ref="AHM3:AHO3"/>
    <mergeCell ref="AHP3:AHR3"/>
    <mergeCell ref="AHS3:AHU3"/>
    <mergeCell ref="AHV3:AHX3"/>
    <mergeCell ref="AHY3:AIA3"/>
    <mergeCell ref="AGR3:AGT3"/>
    <mergeCell ref="AGU3:AGW3"/>
    <mergeCell ref="AGX3:AGZ3"/>
    <mergeCell ref="AHA3:AHC3"/>
    <mergeCell ref="AHD3:AHF3"/>
    <mergeCell ref="AHG3:AHI3"/>
    <mergeCell ref="AFZ3:AGB3"/>
    <mergeCell ref="AGC3:AGE3"/>
    <mergeCell ref="AGF3:AGH3"/>
    <mergeCell ref="AGI3:AGK3"/>
    <mergeCell ref="AGL3:AGN3"/>
    <mergeCell ref="AGO3:AGQ3"/>
    <mergeCell ref="AFH3:AFJ3"/>
    <mergeCell ref="AFK3:AFM3"/>
    <mergeCell ref="AFN3:AFP3"/>
    <mergeCell ref="AFQ3:AFS3"/>
    <mergeCell ref="AFT3:AFV3"/>
    <mergeCell ref="AFW3:AFY3"/>
    <mergeCell ref="AEO3:AEQ3"/>
    <mergeCell ref="AER3:AET3"/>
    <mergeCell ref="AEU3:AEW3"/>
    <mergeCell ref="AEX3:AEZ3"/>
    <mergeCell ref="AFA3:AFC3"/>
    <mergeCell ref="AFE3:AFG3"/>
    <mergeCell ref="ADW3:ADY3"/>
    <mergeCell ref="ADZ3:AEB3"/>
    <mergeCell ref="AEC3:AEE3"/>
    <mergeCell ref="AEF3:AEH3"/>
    <mergeCell ref="AEI3:AEK3"/>
    <mergeCell ref="AEL3:AEN3"/>
    <mergeCell ref="ADE3:ADG3"/>
    <mergeCell ref="ADH3:ADJ3"/>
    <mergeCell ref="ADK3:ADM3"/>
    <mergeCell ref="ADN3:ADP3"/>
    <mergeCell ref="ADQ3:ADS3"/>
    <mergeCell ref="ADT3:ADV3"/>
    <mergeCell ref="ACM3:ACO3"/>
    <mergeCell ref="ACP3:ACR3"/>
    <mergeCell ref="ACS3:ACU3"/>
    <mergeCell ref="ACV3:ACX3"/>
    <mergeCell ref="ACY3:ADA3"/>
    <mergeCell ref="ADB3:ADD3"/>
    <mergeCell ref="ABU3:ABW3"/>
    <mergeCell ref="ABX3:ABZ3"/>
    <mergeCell ref="ACA3:ACC3"/>
    <mergeCell ref="ACD3:ACF3"/>
    <mergeCell ref="ACG3:ACI3"/>
    <mergeCell ref="ACJ3:ACL3"/>
    <mergeCell ref="ABB3:ABD3"/>
    <mergeCell ref="ABE3:ABG3"/>
    <mergeCell ref="ABH3:ABJ3"/>
    <mergeCell ref="ABK3:ABM3"/>
    <mergeCell ref="ABO3:ABQ3"/>
    <mergeCell ref="ABR3:ABT3"/>
    <mergeCell ref="AAJ3:AAL3"/>
    <mergeCell ref="AAM3:AAO3"/>
    <mergeCell ref="AAP3:AAR3"/>
    <mergeCell ref="AAS3:AAU3"/>
    <mergeCell ref="AAV3:AAX3"/>
    <mergeCell ref="AAY3:ABA3"/>
    <mergeCell ref="ZR3:ZT3"/>
    <mergeCell ref="ZU3:ZW3"/>
    <mergeCell ref="ZX3:ZZ3"/>
    <mergeCell ref="AAA3:AAC3"/>
    <mergeCell ref="AAD3:AAF3"/>
    <mergeCell ref="AAG3:AAI3"/>
    <mergeCell ref="YZ3:ZB3"/>
    <mergeCell ref="ZC3:ZE3"/>
    <mergeCell ref="ZF3:ZH3"/>
    <mergeCell ref="ZI3:ZK3"/>
    <mergeCell ref="ZL3:ZN3"/>
    <mergeCell ref="ZO3:ZQ3"/>
    <mergeCell ref="YH3:YJ3"/>
    <mergeCell ref="YK3:YM3"/>
    <mergeCell ref="YN3:YP3"/>
    <mergeCell ref="YQ3:YS3"/>
    <mergeCell ref="YT3:YV3"/>
    <mergeCell ref="YW3:YY3"/>
    <mergeCell ref="XO3:XQ3"/>
    <mergeCell ref="XR3:XT3"/>
    <mergeCell ref="XU3:XW3"/>
    <mergeCell ref="XY3:YA3"/>
    <mergeCell ref="YB3:YD3"/>
    <mergeCell ref="YE3:YG3"/>
    <mergeCell ref="WW3:WY3"/>
    <mergeCell ref="WZ3:XB3"/>
    <mergeCell ref="XC3:XE3"/>
    <mergeCell ref="XF3:XH3"/>
    <mergeCell ref="XI3:XK3"/>
    <mergeCell ref="XL3:XN3"/>
    <mergeCell ref="WE3:WG3"/>
    <mergeCell ref="WH3:WJ3"/>
    <mergeCell ref="WK3:WM3"/>
    <mergeCell ref="WN3:WP3"/>
    <mergeCell ref="WQ3:WS3"/>
    <mergeCell ref="WT3:WV3"/>
    <mergeCell ref="VM3:VO3"/>
    <mergeCell ref="VP3:VR3"/>
    <mergeCell ref="VS3:VU3"/>
    <mergeCell ref="VV3:VX3"/>
    <mergeCell ref="VY3:WA3"/>
    <mergeCell ref="WB3:WD3"/>
    <mergeCell ref="UU3:UW3"/>
    <mergeCell ref="UX3:UZ3"/>
    <mergeCell ref="VA3:VC3"/>
    <mergeCell ref="VD3:VF3"/>
    <mergeCell ref="VG3:VI3"/>
    <mergeCell ref="VJ3:VL3"/>
    <mergeCell ref="UB3:UD3"/>
    <mergeCell ref="UE3:UG3"/>
    <mergeCell ref="UH3:UJ3"/>
    <mergeCell ref="UL3:UN3"/>
    <mergeCell ref="UO3:UQ3"/>
    <mergeCell ref="UR3:UT3"/>
    <mergeCell ref="TJ3:TL3"/>
    <mergeCell ref="TM3:TO3"/>
    <mergeCell ref="TP3:TR3"/>
    <mergeCell ref="TS3:TU3"/>
    <mergeCell ref="TV3:TX3"/>
    <mergeCell ref="TY3:UA3"/>
    <mergeCell ref="SR3:ST3"/>
    <mergeCell ref="SU3:SW3"/>
    <mergeCell ref="SX3:SZ3"/>
    <mergeCell ref="TA3:TC3"/>
    <mergeCell ref="TD3:TF3"/>
    <mergeCell ref="TG3:TI3"/>
    <mergeCell ref="RZ3:SB3"/>
    <mergeCell ref="SC3:SE3"/>
    <mergeCell ref="SF3:SH3"/>
    <mergeCell ref="SI3:SK3"/>
    <mergeCell ref="SL3:SN3"/>
    <mergeCell ref="SO3:SQ3"/>
    <mergeCell ref="RH3:RJ3"/>
    <mergeCell ref="RK3:RM3"/>
    <mergeCell ref="RN3:RP3"/>
    <mergeCell ref="RQ3:RS3"/>
    <mergeCell ref="RT3:RV3"/>
    <mergeCell ref="RW3:RY3"/>
    <mergeCell ref="QC3:QE3"/>
    <mergeCell ref="QF3:QH3"/>
    <mergeCell ref="QI3:QK3"/>
    <mergeCell ref="QL3:QN3"/>
    <mergeCell ref="QO3:QQ3"/>
    <mergeCell ref="QR3:QT3"/>
    <mergeCell ref="QV3:QX3"/>
    <mergeCell ref="QY3:RA3"/>
    <mergeCell ref="RB3:RD3"/>
    <mergeCell ref="RE3:RG3"/>
    <mergeCell ref="PK3:PM3"/>
    <mergeCell ref="PN3:PP3"/>
    <mergeCell ref="PQ3:PS3"/>
    <mergeCell ref="PT3:PV3"/>
    <mergeCell ref="PW3:PY3"/>
    <mergeCell ref="PZ3:QB3"/>
    <mergeCell ref="OS3:OU3"/>
    <mergeCell ref="OV3:OX3"/>
    <mergeCell ref="OY3:PA3"/>
    <mergeCell ref="PB3:PD3"/>
    <mergeCell ref="PE3:PG3"/>
    <mergeCell ref="PH3:PJ3"/>
    <mergeCell ref="OA3:OC3"/>
    <mergeCell ref="OD3:OF3"/>
    <mergeCell ref="OG3:OI3"/>
    <mergeCell ref="OJ3:OL3"/>
    <mergeCell ref="OM3:OO3"/>
    <mergeCell ref="OP3:OR3"/>
    <mergeCell ref="NI3:NK3"/>
    <mergeCell ref="NL3:NN3"/>
    <mergeCell ref="NO3:NQ3"/>
    <mergeCell ref="NR3:NT3"/>
    <mergeCell ref="NU3:NW3"/>
    <mergeCell ref="NX3:NZ3"/>
    <mergeCell ref="MP3:MR3"/>
    <mergeCell ref="MS3:MU3"/>
    <mergeCell ref="MV3:MX3"/>
    <mergeCell ref="MY3:NA3"/>
    <mergeCell ref="NB3:ND3"/>
    <mergeCell ref="NE3:NG3"/>
    <mergeCell ref="LX3:LZ3"/>
    <mergeCell ref="MA3:MC3"/>
    <mergeCell ref="MD3:MF3"/>
    <mergeCell ref="MG3:MI3"/>
    <mergeCell ref="MJ3:ML3"/>
    <mergeCell ref="MM3:MO3"/>
    <mergeCell ref="LF3:LH3"/>
    <mergeCell ref="LI3:LK3"/>
    <mergeCell ref="LL3:LN3"/>
    <mergeCell ref="LO3:LQ3"/>
    <mergeCell ref="LR3:LT3"/>
    <mergeCell ref="LU3:LW3"/>
    <mergeCell ref="KN3:KP3"/>
    <mergeCell ref="KQ3:KS3"/>
    <mergeCell ref="KT3:KV3"/>
    <mergeCell ref="KW3:KY3"/>
    <mergeCell ref="KZ3:LB3"/>
    <mergeCell ref="LC3:LE3"/>
    <mergeCell ref="GH3:GJ3"/>
    <mergeCell ref="GL3:GN3"/>
    <mergeCell ref="GO3:GQ3"/>
    <mergeCell ref="GR3:GT3"/>
    <mergeCell ref="GU3:GW3"/>
    <mergeCell ref="GX3:GZ3"/>
    <mergeCell ref="IK3:IM3"/>
    <mergeCell ref="IN3:IP3"/>
    <mergeCell ref="IQ3:IS3"/>
    <mergeCell ref="HS3:HU3"/>
    <mergeCell ref="HV3:HX3"/>
    <mergeCell ref="HY3:IA3"/>
    <mergeCell ref="IB3:ID3"/>
    <mergeCell ref="IE3:IG3"/>
    <mergeCell ref="IH3:IJ3"/>
    <mergeCell ref="HA3:HC3"/>
    <mergeCell ref="HD3:HF3"/>
    <mergeCell ref="HG3:HI3"/>
    <mergeCell ref="HJ3:HL3"/>
    <mergeCell ref="HM3:HO3"/>
    <mergeCell ref="HP3:HR3"/>
    <mergeCell ref="FP3:FR3"/>
    <mergeCell ref="FS3:FU3"/>
    <mergeCell ref="FV3:FX3"/>
    <mergeCell ref="FY3:GA3"/>
    <mergeCell ref="GB3:GD3"/>
    <mergeCell ref="GE3:GG3"/>
    <mergeCell ref="EX3:EZ3"/>
    <mergeCell ref="FA3:FC3"/>
    <mergeCell ref="FD3:FF3"/>
    <mergeCell ref="FG3:FI3"/>
    <mergeCell ref="FJ3:FL3"/>
    <mergeCell ref="FM3:FO3"/>
    <mergeCell ref="EF3:EH3"/>
    <mergeCell ref="EI3:EK3"/>
    <mergeCell ref="EL3:EN3"/>
    <mergeCell ref="EO3:EQ3"/>
    <mergeCell ref="ER3:ET3"/>
    <mergeCell ref="EU3:EW3"/>
    <mergeCell ref="DN3:DP3"/>
    <mergeCell ref="DQ3:DS3"/>
    <mergeCell ref="DT3:DV3"/>
    <mergeCell ref="DW3:DY3"/>
    <mergeCell ref="DZ3:EB3"/>
    <mergeCell ref="EC3:EE3"/>
    <mergeCell ref="CV3:CX3"/>
    <mergeCell ref="CY3:DA3"/>
    <mergeCell ref="DB3:DD3"/>
    <mergeCell ref="DE3:DG3"/>
    <mergeCell ref="DH3:DJ3"/>
    <mergeCell ref="DK3:DM3"/>
    <mergeCell ref="CC3:CE3"/>
    <mergeCell ref="CF3:CH3"/>
    <mergeCell ref="CI3:CK3"/>
    <mergeCell ref="CL3:CN3"/>
    <mergeCell ref="CO3:CQ3"/>
    <mergeCell ref="CR3:CT3"/>
    <mergeCell ref="BK3:BM3"/>
    <mergeCell ref="BN3:BP3"/>
    <mergeCell ref="BQ3:BS3"/>
    <mergeCell ref="BT3:BV3"/>
    <mergeCell ref="BW3:BY3"/>
    <mergeCell ref="BZ3:CB3"/>
    <mergeCell ref="AS3:AU3"/>
    <mergeCell ref="AV3:AX3"/>
    <mergeCell ref="AY3:BA3"/>
    <mergeCell ref="BB3:BD3"/>
    <mergeCell ref="BE3:BG3"/>
    <mergeCell ref="BH3:BJ3"/>
    <mergeCell ref="AG3:AI3"/>
    <mergeCell ref="AJ3:AL3"/>
    <mergeCell ref="AM3:AO3"/>
    <mergeCell ref="AP3:AR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IT3:IV3"/>
    <mergeCell ref="IW3:IY3"/>
    <mergeCell ref="IZ3:JB3"/>
    <mergeCell ref="JV3:JX3"/>
    <mergeCell ref="JY3:KA3"/>
    <mergeCell ref="KB3:KD3"/>
    <mergeCell ref="KE3:KG3"/>
    <mergeCell ref="KH3:KJ3"/>
    <mergeCell ref="KK3:KM3"/>
    <mergeCell ref="JC3:JE3"/>
    <mergeCell ref="JF3:JH3"/>
    <mergeCell ref="JI3:JK3"/>
    <mergeCell ref="JL3:JN3"/>
    <mergeCell ref="JO3:JQ3"/>
    <mergeCell ref="JS3:JU3"/>
  </mergeCells>
  <pageMargins left="0.25" right="0.25" top="0.75" bottom="0.75" header="0.3" footer="0.3"/>
  <pageSetup paperSize="9" scale="46" fitToWidth="0" orientation="landscape" r:id="rId1"/>
  <colBreaks count="47" manualBreakCount="47">
    <brk id="4" max="30" man="1"/>
    <brk id="5" max="30" man="1"/>
    <brk id="35" max="30" man="1"/>
    <brk id="65" max="30" man="1"/>
    <brk id="95" max="30" man="1"/>
    <brk id="129" max="30" man="1"/>
    <brk id="159" max="30" man="1"/>
    <brk id="189" max="30" man="1"/>
    <brk id="223" max="30" man="1"/>
    <brk id="253" max="30" man="1"/>
    <brk id="308" max="30" man="1"/>
    <brk id="338" max="30" man="1"/>
    <brk id="368" max="30" man="1"/>
    <brk id="402" max="30" man="1"/>
    <brk id="432" max="30" man="1"/>
    <brk id="493" max="30" man="1"/>
    <brk id="523" max="30" man="1"/>
    <brk id="553" max="30" man="1"/>
    <brk id="587" max="30" man="1"/>
    <brk id="617" max="30" man="1"/>
    <brk id="678" max="30" man="1"/>
    <brk id="708" max="30" man="1"/>
    <brk id="738" max="30" man="1"/>
    <brk id="772" max="30" man="1"/>
    <brk id="802" max="30" man="1"/>
    <brk id="832" max="30" man="1"/>
    <brk id="866" max="30" man="1"/>
    <brk id="896" max="30" man="1"/>
    <brk id="927" max="30" man="1"/>
    <brk id="957" max="30" man="1"/>
    <brk id="987" max="30" man="1"/>
    <brk id="1017" max="30" man="1"/>
    <brk id="1051" max="30" man="1"/>
    <brk id="1081" max="30" man="1"/>
    <brk id="1142" max="30" man="1"/>
    <brk id="1172" max="30" man="1"/>
    <brk id="1203" max="30" man="1"/>
    <brk id="1233" max="30" man="1"/>
    <brk id="1263" max="30" man="1"/>
    <brk id="1294" max="30" man="1"/>
    <brk id="1324" max="30" man="1"/>
    <brk id="1354" max="30" man="1"/>
    <brk id="1409" max="30" man="1"/>
    <brk id="1439" max="30" man="1"/>
    <brk id="1469" max="30" man="1"/>
    <brk id="1503" max="30" man="1"/>
    <brk id="1533" max="3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89E0-309A-4CF5-855D-833E9C42B009}">
  <sheetPr codeName="Лист4">
    <outlinePr summaryBelow="0"/>
  </sheetPr>
  <dimension ref="A1:AB1627"/>
  <sheetViews>
    <sheetView view="pageBreakPreview" zoomScale="60" zoomScaleNormal="100" workbookViewId="0">
      <pane ySplit="3" topLeftCell="A81" activePane="bottomLeft" state="frozen"/>
      <selection pane="bottomLeft" activeCell="C5" sqref="C5"/>
    </sheetView>
  </sheetViews>
  <sheetFormatPr defaultRowHeight="14.4" outlineLevelRow="1" x14ac:dyDescent="0.3"/>
  <cols>
    <col min="1" max="1" width="8.88671875" style="1"/>
    <col min="2" max="2" width="43.77734375" customWidth="1"/>
    <col min="3" max="9" width="15.77734375" customWidth="1"/>
    <col min="10" max="10" width="16.88671875" customWidth="1"/>
    <col min="11" max="19" width="15.77734375" customWidth="1"/>
    <col min="20" max="28" width="10.77734375" customWidth="1"/>
  </cols>
  <sheetData>
    <row r="1" spans="1:28" ht="144" x14ac:dyDescent="0.3">
      <c r="A1" s="32" t="s">
        <v>0</v>
      </c>
      <c r="B1" s="32" t="s">
        <v>1</v>
      </c>
      <c r="C1" s="47" t="s">
        <v>301</v>
      </c>
      <c r="D1" s="47" t="s">
        <v>289</v>
      </c>
      <c r="E1" s="47" t="s">
        <v>291</v>
      </c>
      <c r="F1" s="47" t="s">
        <v>283</v>
      </c>
      <c r="G1" s="47" t="s">
        <v>286</v>
      </c>
      <c r="H1" s="47" t="s">
        <v>307</v>
      </c>
      <c r="I1" s="47" t="s">
        <v>296</v>
      </c>
      <c r="J1" s="47" t="s">
        <v>288</v>
      </c>
      <c r="K1" s="47" t="s">
        <v>299</v>
      </c>
      <c r="L1" s="47" t="s">
        <v>304</v>
      </c>
      <c r="M1" s="47" t="s">
        <v>300</v>
      </c>
      <c r="N1" s="47" t="s">
        <v>293</v>
      </c>
      <c r="O1" s="47" t="s">
        <v>305</v>
      </c>
      <c r="P1" s="47" t="s">
        <v>308</v>
      </c>
      <c r="Q1" s="47" t="s">
        <v>284</v>
      </c>
      <c r="R1" s="47" t="s">
        <v>302</v>
      </c>
      <c r="S1" s="47" t="s">
        <v>298</v>
      </c>
      <c r="T1" s="52" t="s">
        <v>297</v>
      </c>
      <c r="U1" s="52" t="s">
        <v>294</v>
      </c>
      <c r="V1" s="52" t="s">
        <v>287</v>
      </c>
      <c r="W1" s="52" t="s">
        <v>303</v>
      </c>
      <c r="X1" s="52" t="s">
        <v>292</v>
      </c>
      <c r="Y1" s="52" t="s">
        <v>290</v>
      </c>
      <c r="Z1" s="52" t="s">
        <v>306</v>
      </c>
      <c r="AA1" s="52" t="s">
        <v>295</v>
      </c>
      <c r="AB1" s="52" t="s">
        <v>285</v>
      </c>
    </row>
    <row r="2" spans="1:28" x14ac:dyDescent="0.3">
      <c r="A2" s="45" t="s">
        <v>0</v>
      </c>
      <c r="B2" s="46"/>
      <c r="C2" s="47">
        <f>MATCH(C$1,Техника!$B$1:$B$31,0)</f>
        <v>23</v>
      </c>
      <c r="D2" s="47">
        <f>MATCH(D$1,Техника!$B$1:$B$31,0)</f>
        <v>11</v>
      </c>
      <c r="E2" s="47">
        <f>MATCH(E$1,Техника!$B$1:$B$31,0)</f>
        <v>13</v>
      </c>
      <c r="F2" s="47">
        <f>MATCH(F$1,Техника!$B$1:$B$31,0)</f>
        <v>5</v>
      </c>
      <c r="G2" s="47">
        <f>MATCH(G$1,Техника!$B$1:$B$31,0)</f>
        <v>8</v>
      </c>
      <c r="H2" s="47">
        <f>MATCH(H$1,Техника!$B$1:$B$31,0)</f>
        <v>29</v>
      </c>
      <c r="I2" s="47">
        <f>MATCH(I$1,Техника!$B$1:$B$31,0)</f>
        <v>18</v>
      </c>
      <c r="J2" s="47">
        <f>MATCH(J$1,Техника!$B$1:$B$31,0)</f>
        <v>10</v>
      </c>
      <c r="K2" s="47">
        <f>MATCH(K$1,Техника!$B$1:$B$31,0)</f>
        <v>21</v>
      </c>
      <c r="L2" s="47">
        <f>MATCH(L$1,Техника!$B$1:$B$31,0)</f>
        <v>26</v>
      </c>
      <c r="M2" s="47">
        <f>MATCH(M$1,Техника!$B$1:$B$31,0)</f>
        <v>22</v>
      </c>
      <c r="N2" s="47">
        <f>MATCH(N$1,Техника!$B$1:$B$31,0)</f>
        <v>15</v>
      </c>
      <c r="O2" s="47">
        <f>MATCH(O$1,Техника!$B$1:$B$31,0)</f>
        <v>27</v>
      </c>
      <c r="P2" s="47">
        <f>MATCH(P$1,Техника!$B$1:$B$31,0)</f>
        <v>30</v>
      </c>
      <c r="Q2" s="47">
        <f>MATCH(Q$1,Техника!$B$1:$B$31,0)</f>
        <v>6</v>
      </c>
      <c r="R2" s="47">
        <f>MATCH(R$1,Техника!$B$1:$B$31,0)</f>
        <v>24</v>
      </c>
      <c r="S2" s="47">
        <f>MATCH(S$1,Техника!$B$1:$B$31,0)</f>
        <v>20</v>
      </c>
      <c r="T2" s="47">
        <f>MATCH(T$1,Техника!$B$1:$B$31,0)</f>
        <v>19</v>
      </c>
      <c r="U2" s="47">
        <f>MATCH(U$1,Техника!$B$1:$B$31,0)</f>
        <v>16</v>
      </c>
      <c r="V2" s="47">
        <f>MATCH(V$1,Техника!$B$1:$B$31,0)</f>
        <v>9</v>
      </c>
      <c r="W2" s="47">
        <f>MATCH(W$1,Техника!$B$1:$B$31,0)</f>
        <v>25</v>
      </c>
      <c r="X2" s="47">
        <f>MATCH(X$1,Техника!$B$1:$B$31,0)</f>
        <v>14</v>
      </c>
      <c r="Y2" s="47">
        <f>MATCH(Y$1,Техника!$B$1:$B$31,0)</f>
        <v>12</v>
      </c>
      <c r="Z2" s="47">
        <f>MATCH(Z$1,Техника!$B$1:$B$31,0)</f>
        <v>28</v>
      </c>
      <c r="AA2" s="47">
        <f>MATCH(AA$1,Техника!$B$1:$B$31,0)</f>
        <v>17</v>
      </c>
      <c r="AB2" s="47">
        <f>MATCH(AB$1,Техника!$B$1:$B$31,0)</f>
        <v>7</v>
      </c>
    </row>
    <row r="3" spans="1:28" s="3" customFormat="1" ht="55.05" customHeight="1" x14ac:dyDescent="0.3">
      <c r="A3" s="45" t="s">
        <v>282</v>
      </c>
      <c r="B3" s="46"/>
      <c r="C3" s="48">
        <f t="shared" ref="C3:AB3" si="0">SUMPRODUCT(ISNUMBER($A$5:$A$1622)*C$5:C$1622)</f>
        <v>200</v>
      </c>
      <c r="D3" s="48">
        <f t="shared" si="0"/>
        <v>176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88</v>
      </c>
      <c r="M3" s="48">
        <f t="shared" si="0"/>
        <v>0</v>
      </c>
      <c r="N3" s="48">
        <f t="shared" si="0"/>
        <v>248</v>
      </c>
      <c r="O3" s="48">
        <f t="shared" si="0"/>
        <v>0</v>
      </c>
      <c r="P3" s="48">
        <f t="shared" si="0"/>
        <v>0</v>
      </c>
      <c r="Q3" s="48">
        <f t="shared" si="0"/>
        <v>120</v>
      </c>
      <c r="R3" s="48">
        <f t="shared" si="0"/>
        <v>0</v>
      </c>
      <c r="S3" s="48">
        <f t="shared" si="0"/>
        <v>8</v>
      </c>
      <c r="T3" s="53">
        <f t="shared" si="0"/>
        <v>112</v>
      </c>
      <c r="U3" s="53">
        <f t="shared" si="0"/>
        <v>360</v>
      </c>
      <c r="V3" s="53">
        <f t="shared" si="0"/>
        <v>0</v>
      </c>
      <c r="W3" s="53">
        <f t="shared" si="0"/>
        <v>0</v>
      </c>
      <c r="X3" s="53">
        <f t="shared" si="0"/>
        <v>0</v>
      </c>
      <c r="Y3" s="53">
        <f t="shared" si="0"/>
        <v>8</v>
      </c>
      <c r="Z3" s="53">
        <f t="shared" si="0"/>
        <v>0</v>
      </c>
      <c r="AA3" s="53">
        <f t="shared" si="0"/>
        <v>0</v>
      </c>
      <c r="AB3" s="53">
        <f t="shared" si="0"/>
        <v>0</v>
      </c>
    </row>
    <row r="4" spans="1:28" ht="25.05" customHeight="1" collapsed="1" x14ac:dyDescent="0.3">
      <c r="A4" s="32">
        <v>1</v>
      </c>
      <c r="B4" s="32" t="s">
        <v>2</v>
      </c>
      <c r="C4" s="49">
        <f>SUM(C5:C9)</f>
        <v>0</v>
      </c>
      <c r="D4" s="49">
        <f>SUM(D5:D9)</f>
        <v>0</v>
      </c>
      <c r="E4" s="49">
        <f>SUM(E5:E9)</f>
        <v>0</v>
      </c>
      <c r="F4" s="49">
        <f>SUM(F5:F9)</f>
        <v>0</v>
      </c>
      <c r="G4" s="49">
        <f>SUM(G5:G9)</f>
        <v>0</v>
      </c>
      <c r="H4" s="49">
        <f>SUM(H5:H9)</f>
        <v>0</v>
      </c>
      <c r="I4" s="49">
        <f>SUM(I5:I9)</f>
        <v>0</v>
      </c>
      <c r="J4" s="49">
        <f>SUM(J5:J9)</f>
        <v>0</v>
      </c>
      <c r="K4" s="49">
        <f>SUM(K5:K9)</f>
        <v>0</v>
      </c>
      <c r="L4" s="49">
        <f>SUM(L5:L9)</f>
        <v>0</v>
      </c>
      <c r="M4" s="49">
        <f>SUM(M5:M9)</f>
        <v>0</v>
      </c>
      <c r="N4" s="49">
        <f>SUM(N5:N9)</f>
        <v>0</v>
      </c>
      <c r="O4" s="49">
        <f>SUM(O5:O9)</f>
        <v>0</v>
      </c>
      <c r="P4" s="49">
        <f>SUM(P5:P9)</f>
        <v>0</v>
      </c>
      <c r="Q4" s="49">
        <f>SUM(Q5:Q9)</f>
        <v>0</v>
      </c>
      <c r="R4" s="49">
        <f>SUM(R5:R9)</f>
        <v>0</v>
      </c>
      <c r="S4" s="49">
        <f>SUM(S5:S9)</f>
        <v>0</v>
      </c>
      <c r="T4" s="49">
        <f>SUM(T5:T9)</f>
        <v>0</v>
      </c>
      <c r="U4" s="49">
        <f>SUM(U5:U9)</f>
        <v>0</v>
      </c>
      <c r="V4" s="49">
        <f>SUM(V5:V9)</f>
        <v>0</v>
      </c>
      <c r="W4" s="49">
        <f>SUM(W5:W9)</f>
        <v>0</v>
      </c>
      <c r="X4" s="49">
        <f>SUM(X5:X9)</f>
        <v>0</v>
      </c>
      <c r="Y4" s="49">
        <f>SUM(Y5:Y9)</f>
        <v>0</v>
      </c>
      <c r="Z4" s="49">
        <f>SUM(Z5:Z9)</f>
        <v>0</v>
      </c>
      <c r="AA4" s="49">
        <f>SUM(AA5:AA9)</f>
        <v>0</v>
      </c>
      <c r="AB4" s="49">
        <f>SUM(AB5:AB9)</f>
        <v>0</v>
      </c>
    </row>
    <row r="5" spans="1:28" hidden="1" outlineLevel="1" x14ac:dyDescent="0.3">
      <c r="A5" s="33" t="s">
        <v>246</v>
      </c>
      <c r="B5" s="34" t="s">
        <v>274</v>
      </c>
      <c r="C5" s="50">
        <f>SUMIFS(INDEX(Техника!$F$1:$ABM$500,C$2,0),Техника!$F$4:$ABM$4,"Часы",INDEX(Техника!$G$1:$ABN$500,C$2,0),$A$4,INDEX(Техника!$H$1:$ABO$500,C$2,0),"М")</f>
        <v>0</v>
      </c>
      <c r="D5" s="50">
        <f>SUMIFS(INDEX(Техника!$F$1:$ABM$500,D$2,0),Техника!$F$4:$ABM$4,"Часы",INDEX(Техника!$G$1:$ABN$500,D$2,0),$A$4,INDEX(Техника!$H$1:$ABO$500,D$2,0),"М")</f>
        <v>0</v>
      </c>
      <c r="E5" s="50">
        <f>SUMIFS(INDEX(Техника!$F$1:$ABM$500,E$2,0),Техника!$F$4:$ABM$4,"Часы",INDEX(Техника!$G$1:$ABN$500,E$2,0),$A$4,INDEX(Техника!$H$1:$ABO$500,E$2,0),"М")</f>
        <v>0</v>
      </c>
      <c r="F5" s="50">
        <f>SUMIFS(INDEX(Техника!$F$1:$ABM$500,F$2,0),Техника!$F$4:$ABM$4,"Часы",INDEX(Техника!$G$1:$ABN$500,F$2,0),$A$4,INDEX(Техника!$H$1:$ABO$500,F$2,0),"М")</f>
        <v>0</v>
      </c>
      <c r="G5" s="50">
        <f>SUMIFS(INDEX(Техника!$F$1:$ABM$500,G$2,0),Техника!$F$4:$ABM$4,"Часы",INDEX(Техника!$G$1:$ABN$500,G$2,0),$A$4,INDEX(Техника!$H$1:$ABO$500,G$2,0),"М")</f>
        <v>0</v>
      </c>
      <c r="H5" s="50">
        <f>SUMIFS(INDEX(Техника!$F$1:$ABM$500,H$2,0),Техника!$F$4:$ABM$4,"Часы",INDEX(Техника!$G$1:$ABN$500,H$2,0),$A$4,INDEX(Техника!$H$1:$ABO$500,H$2,0),"М")</f>
        <v>0</v>
      </c>
      <c r="I5" s="50">
        <f>SUMIFS(INDEX(Техника!$F$1:$ABM$500,I$2,0),Техника!$F$4:$ABM$4,"Часы",INDEX(Техника!$G$1:$ABN$500,I$2,0),$A$4,INDEX(Техника!$H$1:$ABO$500,I$2,0),"М")</f>
        <v>0</v>
      </c>
      <c r="J5" s="50">
        <f>SUMIFS(INDEX(Техника!$F$1:$ABM$500,J$2,0),Техника!$F$4:$ABM$4,"Часы",INDEX(Техника!$G$1:$ABN$500,J$2,0),$A$4,INDEX(Техника!$H$1:$ABO$500,J$2,0),"М")</f>
        <v>0</v>
      </c>
      <c r="K5" s="50">
        <f>SUMIFS(INDEX(Техника!$F$1:$ABM$500,K$2,0),Техника!$F$4:$ABM$4,"Часы",INDEX(Техника!$G$1:$ABN$500,K$2,0),$A$4,INDEX(Техника!$H$1:$ABO$500,K$2,0),"М")</f>
        <v>0</v>
      </c>
      <c r="L5" s="50">
        <f>SUMIFS(INDEX(Техника!$F$1:$ABM$500,L$2,0),Техника!$F$4:$ABM$4,"Часы",INDEX(Техника!$G$1:$ABN$500,L$2,0),$A$4,INDEX(Техника!$H$1:$ABO$500,L$2,0),"М")</f>
        <v>0</v>
      </c>
      <c r="M5" s="50">
        <f>SUMIFS(INDEX(Техника!$F$1:$ABM$500,M$2,0),Техника!$F$4:$ABM$4,"Часы",INDEX(Техника!$G$1:$ABN$500,M$2,0),$A$4,INDEX(Техника!$H$1:$ABO$500,M$2,0),"М")</f>
        <v>0</v>
      </c>
      <c r="N5" s="50">
        <f>SUMIFS(INDEX(Техника!$F$1:$ABM$500,N$2,0),Техника!$F$4:$ABM$4,"Часы",INDEX(Техника!$G$1:$ABN$500,N$2,0),$A$4,INDEX(Техника!$H$1:$ABO$500,N$2,0),"М")</f>
        <v>0</v>
      </c>
      <c r="O5" s="50">
        <f>SUMIFS(INDEX(Техника!$F$1:$ABM$500,O$2,0),Техника!$F$4:$ABM$4,"Часы",INDEX(Техника!$G$1:$ABN$500,O$2,0),$A$4,INDEX(Техника!$H$1:$ABO$500,O$2,0),"М")</f>
        <v>0</v>
      </c>
      <c r="P5" s="50">
        <f>SUMIFS(INDEX(Техника!$F$1:$ABM$500,P$2,0),Техника!$F$4:$ABM$4,"Часы",INDEX(Техника!$G$1:$ABN$500,P$2,0),$A$4,INDEX(Техника!$H$1:$ABO$500,P$2,0),"М")</f>
        <v>0</v>
      </c>
      <c r="Q5" s="50">
        <f>SUMIFS(INDEX(Техника!$F$1:$ABM$500,Q$2,0),Техника!$F$4:$ABM$4,"Часы",INDEX(Техника!$G$1:$ABN$500,Q$2,0),$A$4,INDEX(Техника!$H$1:$ABO$500,Q$2,0),"М")</f>
        <v>0</v>
      </c>
      <c r="R5" s="50">
        <f>SUMIFS(INDEX(Техника!$F$1:$ABM$500,R$2,0),Техника!$F$4:$ABM$4,"Часы",INDEX(Техника!$G$1:$ABN$500,R$2,0),$A$4,INDEX(Техника!$H$1:$ABO$500,R$2,0),"М")</f>
        <v>0</v>
      </c>
      <c r="S5" s="50">
        <f>SUMIFS(INDEX(Техника!$F$1:$ABM$500,S$2,0),Техника!$F$4:$ABM$4,"Часы",INDEX(Техника!$G$1:$ABN$500,S$2,0),$A$4,INDEX(Техника!$H$1:$ABO$500,S$2,0),"М")</f>
        <v>0</v>
      </c>
      <c r="T5" s="50">
        <f>SUMIFS(INDEX(Техника!$F$1:$ABM$500,T$2,0),Техника!$F$4:$ABM$4,"Часы",INDEX(Техника!$G$1:$ABN$500,T$2,0),$A$4,INDEX(Техника!$H$1:$ABO$500,T$2,0),"М")</f>
        <v>0</v>
      </c>
      <c r="U5" s="50">
        <f>SUMIFS(INDEX(Техника!$F$1:$ABM$500,U$2,0),Техника!$F$4:$ABM$4,"Часы",INDEX(Техника!$G$1:$ABN$500,U$2,0),$A$4,INDEX(Техника!$H$1:$ABO$500,U$2,0),"М")</f>
        <v>0</v>
      </c>
      <c r="V5" s="50">
        <f>SUMIFS(INDEX(Техника!$F$1:$ABM$500,V$2,0),Техника!$F$4:$ABM$4,"Часы",INDEX(Техника!$G$1:$ABN$500,V$2,0),$A$4,INDEX(Техника!$H$1:$ABO$500,V$2,0),"М")</f>
        <v>0</v>
      </c>
      <c r="W5" s="50">
        <f>SUMIFS(INDEX(Техника!$F$1:$ABM$500,W$2,0),Техника!$F$4:$ABM$4,"Часы",INDEX(Техника!$G$1:$ABN$500,W$2,0),$A$4,INDEX(Техника!$H$1:$ABO$500,W$2,0),"М")</f>
        <v>0</v>
      </c>
      <c r="X5" s="50">
        <f>SUMIFS(INDEX(Техника!$F$1:$ABM$500,X$2,0),Техника!$F$4:$ABM$4,"Часы",INDEX(Техника!$G$1:$ABN$500,X$2,0),$A$4,INDEX(Техника!$H$1:$ABO$500,X$2,0),"М")</f>
        <v>0</v>
      </c>
      <c r="Y5" s="50">
        <f>SUMIFS(INDEX(Техника!$F$1:$ABM$500,Y$2,0),Техника!$F$4:$ABM$4,"Часы",INDEX(Техника!$G$1:$ABN$500,Y$2,0),$A$4,INDEX(Техника!$H$1:$ABO$500,Y$2,0),"М")</f>
        <v>0</v>
      </c>
      <c r="Z5" s="50">
        <f>SUMIFS(INDEX(Техника!$F$1:$ABM$500,Z$2,0),Техника!$F$4:$ABM$4,"Часы",INDEX(Техника!$G$1:$ABN$500,Z$2,0),$A$4,INDEX(Техника!$H$1:$ABO$500,Z$2,0),"М")</f>
        <v>0</v>
      </c>
      <c r="AA5" s="50">
        <f>SUMIFS(INDEX(Техника!$F$1:$ABM$500,AA$2,0),Техника!$F$4:$ABM$4,"Часы",INDEX(Техника!$G$1:$ABN$500,AA$2,0),$A$4,INDEX(Техника!$H$1:$ABO$500,AA$2,0),"М")</f>
        <v>0</v>
      </c>
      <c r="AB5" s="50">
        <f>SUMIFS(INDEX(Техника!$F$1:$ABM$500,AB$2,0),Техника!$F$4:$ABM$4,"Часы",INDEX(Техника!$G$1:$ABN$500,AB$2,0),$A$4,INDEX(Техника!$H$1:$ABO$500,AB$2,0),"М")</f>
        <v>0</v>
      </c>
    </row>
    <row r="6" spans="1:28" hidden="1" outlineLevel="1" x14ac:dyDescent="0.3">
      <c r="A6" s="33" t="s">
        <v>244</v>
      </c>
      <c r="B6" s="34" t="s">
        <v>275</v>
      </c>
      <c r="C6" s="50">
        <f>SUMIFS(INDEX(Техника!$F$1:$ABM$500,C$2,0),Техника!$F$4:$ABM$4,"Часы",INDEX(Техника!$G$1:$ABN$500,C$2,0),$A$4,INDEX(Техника!$H$1:$ABO$500,C$2,0),"Д")</f>
        <v>0</v>
      </c>
      <c r="D6" s="50">
        <f>SUMIFS(INDEX(Техника!$F$1:$ABM$500,D$2,0),Техника!$F$4:$ABM$4,"Часы",INDEX(Техника!$G$1:$ABN$500,D$2,0),$A$4,INDEX(Техника!$H$1:$ABO$500,D$2,0),"Д")</f>
        <v>0</v>
      </c>
      <c r="E6" s="50">
        <f>SUMIFS(INDEX(Техника!$F$1:$ABM$500,E$2,0),Техника!$F$4:$ABM$4,"Часы",INDEX(Техника!$G$1:$ABN$500,E$2,0),$A$4,INDEX(Техника!$H$1:$ABO$500,E$2,0),"Д")</f>
        <v>0</v>
      </c>
      <c r="F6" s="50">
        <f>SUMIFS(INDEX(Техника!$F$1:$ABM$500,F$2,0),Техника!$F$4:$ABM$4,"Часы",INDEX(Техника!$G$1:$ABN$500,F$2,0),$A$4,INDEX(Техника!$H$1:$ABO$500,F$2,0),"Д")</f>
        <v>0</v>
      </c>
      <c r="G6" s="50">
        <f>SUMIFS(INDEX(Техника!$F$1:$ABM$500,G$2,0),Техника!$F$4:$ABM$4,"Часы",INDEX(Техника!$G$1:$ABN$500,G$2,0),$A$4,INDEX(Техника!$H$1:$ABO$500,G$2,0),"Д")</f>
        <v>0</v>
      </c>
      <c r="H6" s="50">
        <f>SUMIFS(INDEX(Техника!$F$1:$ABM$500,H$2,0),Техника!$F$4:$ABM$4,"Часы",INDEX(Техника!$G$1:$ABN$500,H$2,0),$A$4,INDEX(Техника!$H$1:$ABO$500,H$2,0),"Д")</f>
        <v>0</v>
      </c>
      <c r="I6" s="50">
        <f>SUMIFS(INDEX(Техника!$F$1:$ABM$500,I$2,0),Техника!$F$4:$ABM$4,"Часы",INDEX(Техника!$G$1:$ABN$500,I$2,0),$A$4,INDEX(Техника!$H$1:$ABO$500,I$2,0),"Д")</f>
        <v>0</v>
      </c>
      <c r="J6" s="50">
        <f>SUMIFS(INDEX(Техника!$F$1:$ABM$500,J$2,0),Техника!$F$4:$ABM$4,"Часы",INDEX(Техника!$G$1:$ABN$500,J$2,0),$A$4,INDEX(Техника!$H$1:$ABO$500,J$2,0),"Д")</f>
        <v>0</v>
      </c>
      <c r="K6" s="50">
        <f>SUMIFS(INDEX(Техника!$F$1:$ABM$500,K$2,0),Техника!$F$4:$ABM$4,"Часы",INDEX(Техника!$G$1:$ABN$500,K$2,0),$A$4,INDEX(Техника!$H$1:$ABO$500,K$2,0),"Д")</f>
        <v>0</v>
      </c>
      <c r="L6" s="50">
        <f>SUMIFS(INDEX(Техника!$F$1:$ABM$500,L$2,0),Техника!$F$4:$ABM$4,"Часы",INDEX(Техника!$G$1:$ABN$500,L$2,0),$A$4,INDEX(Техника!$H$1:$ABO$500,L$2,0),"Д")</f>
        <v>0</v>
      </c>
      <c r="M6" s="50">
        <f>SUMIFS(INDEX(Техника!$F$1:$ABM$500,M$2,0),Техника!$F$4:$ABM$4,"Часы",INDEX(Техника!$G$1:$ABN$500,M$2,0),$A$4,INDEX(Техника!$H$1:$ABO$500,M$2,0),"Д")</f>
        <v>0</v>
      </c>
      <c r="N6" s="50">
        <f>SUMIFS(INDEX(Техника!$F$1:$ABM$500,N$2,0),Техника!$F$4:$ABM$4,"Часы",INDEX(Техника!$G$1:$ABN$500,N$2,0),$A$4,INDEX(Техника!$H$1:$ABO$500,N$2,0),"Д")</f>
        <v>0</v>
      </c>
      <c r="O6" s="50">
        <f>SUMIFS(INDEX(Техника!$F$1:$ABM$500,O$2,0),Техника!$F$4:$ABM$4,"Часы",INDEX(Техника!$G$1:$ABN$500,O$2,0),$A$4,INDEX(Техника!$H$1:$ABO$500,O$2,0),"Д")</f>
        <v>0</v>
      </c>
      <c r="P6" s="50">
        <f>SUMIFS(INDEX(Техника!$F$1:$ABM$500,P$2,0),Техника!$F$4:$ABM$4,"Часы",INDEX(Техника!$G$1:$ABN$500,P$2,0),$A$4,INDEX(Техника!$H$1:$ABO$500,P$2,0),"Д")</f>
        <v>0</v>
      </c>
      <c r="Q6" s="50">
        <f>SUMIFS(INDEX(Техника!$F$1:$ABM$500,Q$2,0),Техника!$F$4:$ABM$4,"Часы",INDEX(Техника!$G$1:$ABN$500,Q$2,0),$A$4,INDEX(Техника!$H$1:$ABO$500,Q$2,0),"Д")</f>
        <v>0</v>
      </c>
      <c r="R6" s="50">
        <f>SUMIFS(INDEX(Техника!$F$1:$ABM$500,R$2,0),Техника!$F$4:$ABM$4,"Часы",INDEX(Техника!$G$1:$ABN$500,R$2,0),$A$4,INDEX(Техника!$H$1:$ABO$500,R$2,0),"Д")</f>
        <v>0</v>
      </c>
      <c r="S6" s="50">
        <f>SUMIFS(INDEX(Техника!$F$1:$ABM$500,S$2,0),Техника!$F$4:$ABM$4,"Часы",INDEX(Техника!$G$1:$ABN$500,S$2,0),$A$4,INDEX(Техника!$H$1:$ABO$500,S$2,0),"Д")</f>
        <v>0</v>
      </c>
      <c r="T6" s="50">
        <f>SUMIFS(INDEX(Техника!$F$1:$ABM$500,T$2,0),Техника!$F$4:$ABM$4,"Часы",INDEX(Техника!$G$1:$ABN$500,T$2,0),$A$4,INDEX(Техника!$H$1:$ABO$500,T$2,0),"Д")</f>
        <v>0</v>
      </c>
      <c r="U6" s="50">
        <f>SUMIFS(INDEX(Техника!$F$1:$ABM$500,U$2,0),Техника!$F$4:$ABM$4,"Часы",INDEX(Техника!$G$1:$ABN$500,U$2,0),$A$4,INDEX(Техника!$H$1:$ABO$500,U$2,0),"Д")</f>
        <v>0</v>
      </c>
      <c r="V6" s="50">
        <f>SUMIFS(INDEX(Техника!$F$1:$ABM$500,V$2,0),Техника!$F$4:$ABM$4,"Часы",INDEX(Техника!$G$1:$ABN$500,V$2,0),$A$4,INDEX(Техника!$H$1:$ABO$500,V$2,0),"Д")</f>
        <v>0</v>
      </c>
      <c r="W6" s="50">
        <f>SUMIFS(INDEX(Техника!$F$1:$ABM$500,W$2,0),Техника!$F$4:$ABM$4,"Часы",INDEX(Техника!$G$1:$ABN$500,W$2,0),$A$4,INDEX(Техника!$H$1:$ABO$500,W$2,0),"Д")</f>
        <v>0</v>
      </c>
      <c r="X6" s="50">
        <f>SUMIFS(INDEX(Техника!$F$1:$ABM$500,X$2,0),Техника!$F$4:$ABM$4,"Часы",INDEX(Техника!$G$1:$ABN$500,X$2,0),$A$4,INDEX(Техника!$H$1:$ABO$500,X$2,0),"Д")</f>
        <v>0</v>
      </c>
      <c r="Y6" s="50">
        <f>SUMIFS(INDEX(Техника!$F$1:$ABM$500,Y$2,0),Техника!$F$4:$ABM$4,"Часы",INDEX(Техника!$G$1:$ABN$500,Y$2,0),$A$4,INDEX(Техника!$H$1:$ABO$500,Y$2,0),"Д")</f>
        <v>0</v>
      </c>
      <c r="Z6" s="50">
        <f>SUMIFS(INDEX(Техника!$F$1:$ABM$500,Z$2,0),Техника!$F$4:$ABM$4,"Часы",INDEX(Техника!$G$1:$ABN$500,Z$2,0),$A$4,INDEX(Техника!$H$1:$ABO$500,Z$2,0),"Д")</f>
        <v>0</v>
      </c>
      <c r="AA6" s="50">
        <f>SUMIFS(INDEX(Техника!$F$1:$ABM$500,AA$2,0),Техника!$F$4:$ABM$4,"Часы",INDEX(Техника!$G$1:$ABN$500,AA$2,0),$A$4,INDEX(Техника!$H$1:$ABO$500,AA$2,0),"Д")</f>
        <v>0</v>
      </c>
      <c r="AB6" s="50">
        <f>SUMIFS(INDEX(Техника!$F$1:$ABM$500,AB$2,0),Техника!$F$4:$ABM$4,"Часы",INDEX(Техника!$G$1:$ABN$500,AB$2,0),$A$4,INDEX(Техника!$H$1:$ABO$500,AB$2,0),"Д")</f>
        <v>0</v>
      </c>
    </row>
    <row r="7" spans="1:28" hidden="1" outlineLevel="1" x14ac:dyDescent="0.3">
      <c r="A7" s="33" t="s">
        <v>276</v>
      </c>
      <c r="B7" s="34" t="s">
        <v>277</v>
      </c>
      <c r="C7" s="50">
        <f>SUMIFS(INDEX(Техника!$F$1:$ABM$500,C$2,0),Техника!$F$4:$ABM$4,"Часы",INDEX(Техника!$G$1:$ABN$500,C$2,0),$A$4,INDEX(Техника!$H$1:$ABO$500,C$2,0),"П")</f>
        <v>0</v>
      </c>
      <c r="D7" s="50">
        <f>SUMIFS(INDEX(Техника!$F$1:$ABM$500,D$2,0),Техника!$F$4:$ABM$4,"Часы",INDEX(Техника!$G$1:$ABN$500,D$2,0),$A$4,INDEX(Техника!$H$1:$ABO$500,D$2,0),"П")</f>
        <v>0</v>
      </c>
      <c r="E7" s="50">
        <f>SUMIFS(INDEX(Техника!$F$1:$ABM$500,E$2,0),Техника!$F$4:$ABM$4,"Часы",INDEX(Техника!$G$1:$ABN$500,E$2,0),$A$4,INDEX(Техника!$H$1:$ABO$500,E$2,0),"П")</f>
        <v>0</v>
      </c>
      <c r="F7" s="50">
        <f>SUMIFS(INDEX(Техника!$F$1:$ABM$500,F$2,0),Техника!$F$4:$ABM$4,"Часы",INDEX(Техника!$G$1:$ABN$500,F$2,0),$A$4,INDEX(Техника!$H$1:$ABO$500,F$2,0),"П")</f>
        <v>0</v>
      </c>
      <c r="G7" s="50">
        <f>SUMIFS(INDEX(Техника!$F$1:$ABM$500,G$2,0),Техника!$F$4:$ABM$4,"Часы",INDEX(Техника!$G$1:$ABN$500,G$2,0),$A$4,INDEX(Техника!$H$1:$ABO$500,G$2,0),"П")</f>
        <v>0</v>
      </c>
      <c r="H7" s="50">
        <f>SUMIFS(INDEX(Техника!$F$1:$ABM$500,H$2,0),Техника!$F$4:$ABM$4,"Часы",INDEX(Техника!$G$1:$ABN$500,H$2,0),$A$4,INDEX(Техника!$H$1:$ABO$500,H$2,0),"П")</f>
        <v>0</v>
      </c>
      <c r="I7" s="50">
        <f>SUMIFS(INDEX(Техника!$F$1:$ABM$500,I$2,0),Техника!$F$4:$ABM$4,"Часы",INDEX(Техника!$G$1:$ABN$500,I$2,0),$A$4,INDEX(Техника!$H$1:$ABO$500,I$2,0),"П")</f>
        <v>0</v>
      </c>
      <c r="J7" s="50">
        <f>SUMIFS(INDEX(Техника!$F$1:$ABM$500,J$2,0),Техника!$F$4:$ABM$4,"Часы",INDEX(Техника!$G$1:$ABN$500,J$2,0),$A$4,INDEX(Техника!$H$1:$ABO$500,J$2,0),"П")</f>
        <v>0</v>
      </c>
      <c r="K7" s="50">
        <f>SUMIFS(INDEX(Техника!$F$1:$ABM$500,K$2,0),Техника!$F$4:$ABM$4,"Часы",INDEX(Техника!$G$1:$ABN$500,K$2,0),$A$4,INDEX(Техника!$H$1:$ABO$500,K$2,0),"П")</f>
        <v>0</v>
      </c>
      <c r="L7" s="50">
        <f>SUMIFS(INDEX(Техника!$F$1:$ABM$500,L$2,0),Техника!$F$4:$ABM$4,"Часы",INDEX(Техника!$G$1:$ABN$500,L$2,0),$A$4,INDEX(Техника!$H$1:$ABO$500,L$2,0),"П")</f>
        <v>0</v>
      </c>
      <c r="M7" s="50">
        <f>SUMIFS(INDEX(Техника!$F$1:$ABM$500,M$2,0),Техника!$F$4:$ABM$4,"Часы",INDEX(Техника!$G$1:$ABN$500,M$2,0),$A$4,INDEX(Техника!$H$1:$ABO$500,M$2,0),"П")</f>
        <v>0</v>
      </c>
      <c r="N7" s="50">
        <f>SUMIFS(INDEX(Техника!$F$1:$ABM$500,N$2,0),Техника!$F$4:$ABM$4,"Часы",INDEX(Техника!$G$1:$ABN$500,N$2,0),$A$4,INDEX(Техника!$H$1:$ABO$500,N$2,0),"П")</f>
        <v>0</v>
      </c>
      <c r="O7" s="50">
        <f>SUMIFS(INDEX(Техника!$F$1:$ABM$500,O$2,0),Техника!$F$4:$ABM$4,"Часы",INDEX(Техника!$G$1:$ABN$500,O$2,0),$A$4,INDEX(Техника!$H$1:$ABO$500,O$2,0),"П")</f>
        <v>0</v>
      </c>
      <c r="P7" s="50">
        <f>SUMIFS(INDEX(Техника!$F$1:$ABM$500,P$2,0),Техника!$F$4:$ABM$4,"Часы",INDEX(Техника!$G$1:$ABN$500,P$2,0),$A$4,INDEX(Техника!$H$1:$ABO$500,P$2,0),"П")</f>
        <v>0</v>
      </c>
      <c r="Q7" s="50">
        <f>SUMIFS(INDEX(Техника!$F$1:$ABM$500,Q$2,0),Техника!$F$4:$ABM$4,"Часы",INDEX(Техника!$G$1:$ABN$500,Q$2,0),$A$4,INDEX(Техника!$H$1:$ABO$500,Q$2,0),"П")</f>
        <v>0</v>
      </c>
      <c r="R7" s="50">
        <f>SUMIFS(INDEX(Техника!$F$1:$ABM$500,R$2,0),Техника!$F$4:$ABM$4,"Часы",INDEX(Техника!$G$1:$ABN$500,R$2,0),$A$4,INDEX(Техника!$H$1:$ABO$500,R$2,0),"П")</f>
        <v>0</v>
      </c>
      <c r="S7" s="50">
        <f>SUMIFS(INDEX(Техника!$F$1:$ABM$500,S$2,0),Техника!$F$4:$ABM$4,"Часы",INDEX(Техника!$G$1:$ABN$500,S$2,0),$A$4,INDEX(Техника!$H$1:$ABO$500,S$2,0),"П")</f>
        <v>0</v>
      </c>
      <c r="T7" s="50">
        <f>SUMIFS(INDEX(Техника!$F$1:$ABM$500,T$2,0),Техника!$F$4:$ABM$4,"Часы",INDEX(Техника!$G$1:$ABN$500,T$2,0),$A$4,INDEX(Техника!$H$1:$ABO$500,T$2,0),"П")</f>
        <v>0</v>
      </c>
      <c r="U7" s="50">
        <f>SUMIFS(INDEX(Техника!$F$1:$ABM$500,U$2,0),Техника!$F$4:$ABM$4,"Часы",INDEX(Техника!$G$1:$ABN$500,U$2,0),$A$4,INDEX(Техника!$H$1:$ABO$500,U$2,0),"П")</f>
        <v>0</v>
      </c>
      <c r="V7" s="50">
        <f>SUMIFS(INDEX(Техника!$F$1:$ABM$500,V$2,0),Техника!$F$4:$ABM$4,"Часы",INDEX(Техника!$G$1:$ABN$500,V$2,0),$A$4,INDEX(Техника!$H$1:$ABO$500,V$2,0),"П")</f>
        <v>0</v>
      </c>
      <c r="W7" s="50">
        <f>SUMIFS(INDEX(Техника!$F$1:$ABM$500,W$2,0),Техника!$F$4:$ABM$4,"Часы",INDEX(Техника!$G$1:$ABN$500,W$2,0),$A$4,INDEX(Техника!$H$1:$ABO$500,W$2,0),"П")</f>
        <v>0</v>
      </c>
      <c r="X7" s="50">
        <f>SUMIFS(INDEX(Техника!$F$1:$ABM$500,X$2,0),Техника!$F$4:$ABM$4,"Часы",INDEX(Техника!$G$1:$ABN$500,X$2,0),$A$4,INDEX(Техника!$H$1:$ABO$500,X$2,0),"П")</f>
        <v>0</v>
      </c>
      <c r="Y7" s="50">
        <f>SUMIFS(INDEX(Техника!$F$1:$ABM$500,Y$2,0),Техника!$F$4:$ABM$4,"Часы",INDEX(Техника!$G$1:$ABN$500,Y$2,0),$A$4,INDEX(Техника!$H$1:$ABO$500,Y$2,0),"П")</f>
        <v>0</v>
      </c>
      <c r="Z7" s="50">
        <f>SUMIFS(INDEX(Техника!$F$1:$ABM$500,Z$2,0),Техника!$F$4:$ABM$4,"Часы",INDEX(Техника!$G$1:$ABN$500,Z$2,0),$A$4,INDEX(Техника!$H$1:$ABO$500,Z$2,0),"П")</f>
        <v>0</v>
      </c>
      <c r="AA7" s="50">
        <f>SUMIFS(INDEX(Техника!$F$1:$ABM$500,AA$2,0),Техника!$F$4:$ABM$4,"Часы",INDEX(Техника!$G$1:$ABN$500,AA$2,0),$A$4,INDEX(Техника!$H$1:$ABO$500,AA$2,0),"П")</f>
        <v>0</v>
      </c>
      <c r="AB7" s="50">
        <f>SUMIFS(INDEX(Техника!$F$1:$ABM$500,AB$2,0),Техника!$F$4:$ABM$4,"Часы",INDEX(Техника!$G$1:$ABN$500,AB$2,0),$A$4,INDEX(Техника!$H$1:$ABO$500,AB$2,0),"П")</f>
        <v>0</v>
      </c>
    </row>
    <row r="8" spans="1:28" hidden="1" outlineLevel="1" x14ac:dyDescent="0.3">
      <c r="A8" s="33" t="s">
        <v>243</v>
      </c>
      <c r="B8" s="34" t="s">
        <v>278</v>
      </c>
      <c r="C8" s="50">
        <f>SUMIFS(INDEX(Техника!$F$1:$ABM$500,C$2,0),Техника!$F$4:$ABM$4,"Часы",INDEX(Техника!$G$1:$ABN$500,C$2,0),$A$4,INDEX(Техника!$H$1:$ABO$500,C$2,0),"Л")</f>
        <v>0</v>
      </c>
      <c r="D8" s="50">
        <f>SUMIFS(INDEX(Техника!$F$1:$ABM$500,D$2,0),Техника!$F$4:$ABM$4,"Часы",INDEX(Техника!$G$1:$ABN$500,D$2,0),$A$4,INDEX(Техника!$H$1:$ABO$500,D$2,0),"Л")</f>
        <v>0</v>
      </c>
      <c r="E8" s="50">
        <f>SUMIFS(INDEX(Техника!$F$1:$ABM$500,E$2,0),Техника!$F$4:$ABM$4,"Часы",INDEX(Техника!$G$1:$ABN$500,E$2,0),$A$4,INDEX(Техника!$H$1:$ABO$500,E$2,0),"Л")</f>
        <v>0</v>
      </c>
      <c r="F8" s="50">
        <f>SUMIFS(INDEX(Техника!$F$1:$ABM$500,F$2,0),Техника!$F$4:$ABM$4,"Часы",INDEX(Техника!$G$1:$ABN$500,F$2,0),$A$4,INDEX(Техника!$H$1:$ABO$500,F$2,0),"Л")</f>
        <v>0</v>
      </c>
      <c r="G8" s="50">
        <f>SUMIFS(INDEX(Техника!$F$1:$ABM$500,G$2,0),Техника!$F$4:$ABM$4,"Часы",INDEX(Техника!$G$1:$ABN$500,G$2,0),$A$4,INDEX(Техника!$H$1:$ABO$500,G$2,0),"Л")</f>
        <v>0</v>
      </c>
      <c r="H8" s="50">
        <f>SUMIFS(INDEX(Техника!$F$1:$ABM$500,H$2,0),Техника!$F$4:$ABM$4,"Часы",INDEX(Техника!$G$1:$ABN$500,H$2,0),$A$4,INDEX(Техника!$H$1:$ABO$500,H$2,0),"Л")</f>
        <v>0</v>
      </c>
      <c r="I8" s="50">
        <f>SUMIFS(INDEX(Техника!$F$1:$ABM$500,I$2,0),Техника!$F$4:$ABM$4,"Часы",INDEX(Техника!$G$1:$ABN$500,I$2,0),$A$4,INDEX(Техника!$H$1:$ABO$500,I$2,0),"Л")</f>
        <v>0</v>
      </c>
      <c r="J8" s="50">
        <f>SUMIFS(INDEX(Техника!$F$1:$ABM$500,J$2,0),Техника!$F$4:$ABM$4,"Часы",INDEX(Техника!$G$1:$ABN$500,J$2,0),$A$4,INDEX(Техника!$H$1:$ABO$500,J$2,0),"Л")</f>
        <v>0</v>
      </c>
      <c r="K8" s="50">
        <f>SUMIFS(INDEX(Техника!$F$1:$ABM$500,K$2,0),Техника!$F$4:$ABM$4,"Часы",INDEX(Техника!$G$1:$ABN$500,K$2,0),$A$4,INDEX(Техника!$H$1:$ABO$500,K$2,0),"Л")</f>
        <v>0</v>
      </c>
      <c r="L8" s="50">
        <f>SUMIFS(INDEX(Техника!$F$1:$ABM$500,L$2,0),Техника!$F$4:$ABM$4,"Часы",INDEX(Техника!$G$1:$ABN$500,L$2,0),$A$4,INDEX(Техника!$H$1:$ABO$500,L$2,0),"Л")</f>
        <v>0</v>
      </c>
      <c r="M8" s="50">
        <f>SUMIFS(INDEX(Техника!$F$1:$ABM$500,M$2,0),Техника!$F$4:$ABM$4,"Часы",INDEX(Техника!$G$1:$ABN$500,M$2,0),$A$4,INDEX(Техника!$H$1:$ABO$500,M$2,0),"Л")</f>
        <v>0</v>
      </c>
      <c r="N8" s="50">
        <f>SUMIFS(INDEX(Техника!$F$1:$ABM$500,N$2,0),Техника!$F$4:$ABM$4,"Часы",INDEX(Техника!$G$1:$ABN$500,N$2,0),$A$4,INDEX(Техника!$H$1:$ABO$500,N$2,0),"Л")</f>
        <v>0</v>
      </c>
      <c r="O8" s="50">
        <f>SUMIFS(INDEX(Техника!$F$1:$ABM$500,O$2,0),Техника!$F$4:$ABM$4,"Часы",INDEX(Техника!$G$1:$ABN$500,O$2,0),$A$4,INDEX(Техника!$H$1:$ABO$500,O$2,0),"Л")</f>
        <v>0</v>
      </c>
      <c r="P8" s="50">
        <f>SUMIFS(INDEX(Техника!$F$1:$ABM$500,P$2,0),Техника!$F$4:$ABM$4,"Часы",INDEX(Техника!$G$1:$ABN$500,P$2,0),$A$4,INDEX(Техника!$H$1:$ABO$500,P$2,0),"Л")</f>
        <v>0</v>
      </c>
      <c r="Q8" s="50">
        <f>SUMIFS(INDEX(Техника!$F$1:$ABM$500,Q$2,0),Техника!$F$4:$ABM$4,"Часы",INDEX(Техника!$G$1:$ABN$500,Q$2,0),$A$4,INDEX(Техника!$H$1:$ABO$500,Q$2,0),"Л")</f>
        <v>0</v>
      </c>
      <c r="R8" s="50">
        <f>SUMIFS(INDEX(Техника!$F$1:$ABM$500,R$2,0),Техника!$F$4:$ABM$4,"Часы",INDEX(Техника!$G$1:$ABN$500,R$2,0),$A$4,INDEX(Техника!$H$1:$ABO$500,R$2,0),"Л")</f>
        <v>0</v>
      </c>
      <c r="S8" s="50">
        <f>SUMIFS(INDEX(Техника!$F$1:$ABM$500,S$2,0),Техника!$F$4:$ABM$4,"Часы",INDEX(Техника!$G$1:$ABN$500,S$2,0),$A$4,INDEX(Техника!$H$1:$ABO$500,S$2,0),"Л")</f>
        <v>0</v>
      </c>
      <c r="T8" s="50">
        <f>SUMIFS(INDEX(Техника!$F$1:$ABM$500,T$2,0),Техника!$F$4:$ABM$4,"Часы",INDEX(Техника!$G$1:$ABN$500,T$2,0),$A$4,INDEX(Техника!$H$1:$ABO$500,T$2,0),"Л")</f>
        <v>0</v>
      </c>
      <c r="U8" s="50">
        <f>SUMIFS(INDEX(Техника!$F$1:$ABM$500,U$2,0),Техника!$F$4:$ABM$4,"Часы",INDEX(Техника!$G$1:$ABN$500,U$2,0),$A$4,INDEX(Техника!$H$1:$ABO$500,U$2,0),"Л")</f>
        <v>0</v>
      </c>
      <c r="V8" s="50">
        <f>SUMIFS(INDEX(Техника!$F$1:$ABM$500,V$2,0),Техника!$F$4:$ABM$4,"Часы",INDEX(Техника!$G$1:$ABN$500,V$2,0),$A$4,INDEX(Техника!$H$1:$ABO$500,V$2,0),"Л")</f>
        <v>0</v>
      </c>
      <c r="W8" s="50">
        <f>SUMIFS(INDEX(Техника!$F$1:$ABM$500,W$2,0),Техника!$F$4:$ABM$4,"Часы",INDEX(Техника!$G$1:$ABN$500,W$2,0),$A$4,INDEX(Техника!$H$1:$ABO$500,W$2,0),"Л")</f>
        <v>0</v>
      </c>
      <c r="X8" s="50">
        <f>SUMIFS(INDEX(Техника!$F$1:$ABM$500,X$2,0),Техника!$F$4:$ABM$4,"Часы",INDEX(Техника!$G$1:$ABN$500,X$2,0),$A$4,INDEX(Техника!$H$1:$ABO$500,X$2,0),"Л")</f>
        <v>0</v>
      </c>
      <c r="Y8" s="50">
        <f>SUMIFS(INDEX(Техника!$F$1:$ABM$500,Y$2,0),Техника!$F$4:$ABM$4,"Часы",INDEX(Техника!$G$1:$ABN$500,Y$2,0),$A$4,INDEX(Техника!$H$1:$ABO$500,Y$2,0),"Л")</f>
        <v>0</v>
      </c>
      <c r="Z8" s="50">
        <f>SUMIFS(INDEX(Техника!$F$1:$ABM$500,Z$2,0),Техника!$F$4:$ABM$4,"Часы",INDEX(Техника!$G$1:$ABN$500,Z$2,0),$A$4,INDEX(Техника!$H$1:$ABO$500,Z$2,0),"Л")</f>
        <v>0</v>
      </c>
      <c r="AA8" s="50">
        <f>SUMIFS(INDEX(Техника!$F$1:$ABM$500,AA$2,0),Техника!$F$4:$ABM$4,"Часы",INDEX(Техника!$G$1:$ABN$500,AA$2,0),$A$4,INDEX(Техника!$H$1:$ABO$500,AA$2,0),"Л")</f>
        <v>0</v>
      </c>
      <c r="AB8" s="50">
        <f>SUMIFS(INDEX(Техника!$F$1:$ABM$500,AB$2,0),Техника!$F$4:$ABM$4,"Часы",INDEX(Техника!$G$1:$ABN$500,AB$2,0),$A$4,INDEX(Техника!$H$1:$ABO$500,AB$2,0),"Л")</f>
        <v>0</v>
      </c>
    </row>
    <row r="9" spans="1:28" hidden="1" outlineLevel="1" x14ac:dyDescent="0.3">
      <c r="A9" s="33" t="s">
        <v>245</v>
      </c>
      <c r="B9" s="34" t="s">
        <v>279</v>
      </c>
      <c r="C9" s="50">
        <f>SUMIFS(INDEX(Техника!$F$1:$ABM$500,C$2,0),Техника!$F$4:$ABM$4,"Часы",INDEX(Техника!$G$1:$ABN$500,C$2,0),$A$4,INDEX(Техника!$H$1:$ABO$500,C$2,0),"З")</f>
        <v>0</v>
      </c>
      <c r="D9" s="50">
        <f>SUMIFS(INDEX(Техника!$F$1:$ABM$500,D$2,0),Техника!$F$4:$ABM$4,"Часы",INDEX(Техника!$G$1:$ABN$500,D$2,0),$A$4,INDEX(Техника!$H$1:$ABO$500,D$2,0),"З")</f>
        <v>0</v>
      </c>
      <c r="E9" s="50">
        <f>SUMIFS(INDEX(Техника!$F$1:$ABM$500,E$2,0),Техника!$F$4:$ABM$4,"Часы",INDEX(Техника!$G$1:$ABN$500,E$2,0),$A$4,INDEX(Техника!$H$1:$ABO$500,E$2,0),"З")</f>
        <v>0</v>
      </c>
      <c r="F9" s="50">
        <f>SUMIFS(INDEX(Техника!$F$1:$ABM$500,F$2,0),Техника!$F$4:$ABM$4,"Часы",INDEX(Техника!$G$1:$ABN$500,F$2,0),$A$4,INDEX(Техника!$H$1:$ABO$500,F$2,0),"З")</f>
        <v>0</v>
      </c>
      <c r="G9" s="50">
        <f>SUMIFS(INDEX(Техника!$F$1:$ABM$500,G$2,0),Техника!$F$4:$ABM$4,"Часы",INDEX(Техника!$G$1:$ABN$500,G$2,0),$A$4,INDEX(Техника!$H$1:$ABO$500,G$2,0),"З")</f>
        <v>0</v>
      </c>
      <c r="H9" s="50">
        <f>SUMIFS(INDEX(Техника!$F$1:$ABM$500,H$2,0),Техника!$F$4:$ABM$4,"Часы",INDEX(Техника!$G$1:$ABN$500,H$2,0),$A$4,INDEX(Техника!$H$1:$ABO$500,H$2,0),"З")</f>
        <v>0</v>
      </c>
      <c r="I9" s="50">
        <f>SUMIFS(INDEX(Техника!$F$1:$ABM$500,I$2,0),Техника!$F$4:$ABM$4,"Часы",INDEX(Техника!$G$1:$ABN$500,I$2,0),$A$4,INDEX(Техника!$H$1:$ABO$500,I$2,0),"З")</f>
        <v>0</v>
      </c>
      <c r="J9" s="50">
        <f>SUMIFS(INDEX(Техника!$F$1:$ABM$500,J$2,0),Техника!$F$4:$ABM$4,"Часы",INDEX(Техника!$G$1:$ABN$500,J$2,0),$A$4,INDEX(Техника!$H$1:$ABO$500,J$2,0),"З")</f>
        <v>0</v>
      </c>
      <c r="K9" s="50">
        <f>SUMIFS(INDEX(Техника!$F$1:$ABM$500,K$2,0),Техника!$F$4:$ABM$4,"Часы",INDEX(Техника!$G$1:$ABN$500,K$2,0),$A$4,INDEX(Техника!$H$1:$ABO$500,K$2,0),"З")</f>
        <v>0</v>
      </c>
      <c r="L9" s="50">
        <f>SUMIFS(INDEX(Техника!$F$1:$ABM$500,L$2,0),Техника!$F$4:$ABM$4,"Часы",INDEX(Техника!$G$1:$ABN$500,L$2,0),$A$4,INDEX(Техника!$H$1:$ABO$500,L$2,0),"З")</f>
        <v>0</v>
      </c>
      <c r="M9" s="50">
        <f>SUMIFS(INDEX(Техника!$F$1:$ABM$500,M$2,0),Техника!$F$4:$ABM$4,"Часы",INDEX(Техника!$G$1:$ABN$500,M$2,0),$A$4,INDEX(Техника!$H$1:$ABO$500,M$2,0),"З")</f>
        <v>0</v>
      </c>
      <c r="N9" s="50">
        <f>SUMIFS(INDEX(Техника!$F$1:$ABM$500,N$2,0),Техника!$F$4:$ABM$4,"Часы",INDEX(Техника!$G$1:$ABN$500,N$2,0),$A$4,INDEX(Техника!$H$1:$ABO$500,N$2,0),"З")</f>
        <v>0</v>
      </c>
      <c r="O9" s="50">
        <f>SUMIFS(INDEX(Техника!$F$1:$ABM$500,O$2,0),Техника!$F$4:$ABM$4,"Часы",INDEX(Техника!$G$1:$ABN$500,O$2,0),$A$4,INDEX(Техника!$H$1:$ABO$500,O$2,0),"З")</f>
        <v>0</v>
      </c>
      <c r="P9" s="50">
        <f>SUMIFS(INDEX(Техника!$F$1:$ABM$500,P$2,0),Техника!$F$4:$ABM$4,"Часы",INDEX(Техника!$G$1:$ABN$500,P$2,0),$A$4,INDEX(Техника!$H$1:$ABO$500,P$2,0),"З")</f>
        <v>0</v>
      </c>
      <c r="Q9" s="50">
        <f>SUMIFS(INDEX(Техника!$F$1:$ABM$500,Q$2,0),Техника!$F$4:$ABM$4,"Часы",INDEX(Техника!$G$1:$ABN$500,Q$2,0),$A$4,INDEX(Техника!$H$1:$ABO$500,Q$2,0),"З")</f>
        <v>0</v>
      </c>
      <c r="R9" s="50">
        <f>SUMIFS(INDEX(Техника!$F$1:$ABM$500,R$2,0),Техника!$F$4:$ABM$4,"Часы",INDEX(Техника!$G$1:$ABN$500,R$2,0),$A$4,INDEX(Техника!$H$1:$ABO$500,R$2,0),"З")</f>
        <v>0</v>
      </c>
      <c r="S9" s="50">
        <f>SUMIFS(INDEX(Техника!$F$1:$ABM$500,S$2,0),Техника!$F$4:$ABM$4,"Часы",INDEX(Техника!$G$1:$ABN$500,S$2,0),$A$4,INDEX(Техника!$H$1:$ABO$500,S$2,0),"З")</f>
        <v>0</v>
      </c>
      <c r="T9" s="50">
        <f>SUMIFS(INDEX(Техника!$F$1:$ABM$500,T$2,0),Техника!$F$4:$ABM$4,"Часы",INDEX(Техника!$G$1:$ABN$500,T$2,0),$A$4,INDEX(Техника!$H$1:$ABO$500,T$2,0),"З")</f>
        <v>0</v>
      </c>
      <c r="U9" s="50">
        <f>SUMIFS(INDEX(Техника!$F$1:$ABM$500,U$2,0),Техника!$F$4:$ABM$4,"Часы",INDEX(Техника!$G$1:$ABN$500,U$2,0),$A$4,INDEX(Техника!$H$1:$ABO$500,U$2,0),"З")</f>
        <v>0</v>
      </c>
      <c r="V9" s="50">
        <f>SUMIFS(INDEX(Техника!$F$1:$ABM$500,V$2,0),Техника!$F$4:$ABM$4,"Часы",INDEX(Техника!$G$1:$ABN$500,V$2,0),$A$4,INDEX(Техника!$H$1:$ABO$500,V$2,0),"З")</f>
        <v>0</v>
      </c>
      <c r="W9" s="50">
        <f>SUMIFS(INDEX(Техника!$F$1:$ABM$500,W$2,0),Техника!$F$4:$ABM$4,"Часы",INDEX(Техника!$G$1:$ABN$500,W$2,0),$A$4,INDEX(Техника!$H$1:$ABO$500,W$2,0),"З")</f>
        <v>0</v>
      </c>
      <c r="X9" s="50">
        <f>SUMIFS(INDEX(Техника!$F$1:$ABM$500,X$2,0),Техника!$F$4:$ABM$4,"Часы",INDEX(Техника!$G$1:$ABN$500,X$2,0),$A$4,INDEX(Техника!$H$1:$ABO$500,X$2,0),"З")</f>
        <v>0</v>
      </c>
      <c r="Y9" s="50">
        <f>SUMIFS(INDEX(Техника!$F$1:$ABM$500,Y$2,0),Техника!$F$4:$ABM$4,"Часы",INDEX(Техника!$G$1:$ABN$500,Y$2,0),$A$4,INDEX(Техника!$H$1:$ABO$500,Y$2,0),"З")</f>
        <v>0</v>
      </c>
      <c r="Z9" s="50">
        <f>SUMIFS(INDEX(Техника!$F$1:$ABM$500,Z$2,0),Техника!$F$4:$ABM$4,"Часы",INDEX(Техника!$G$1:$ABN$500,Z$2,0),$A$4,INDEX(Техника!$H$1:$ABO$500,Z$2,0),"З")</f>
        <v>0</v>
      </c>
      <c r="AA9" s="50">
        <f>SUMIFS(INDEX(Техника!$F$1:$ABM$500,AA$2,0),Техника!$F$4:$ABM$4,"Часы",INDEX(Техника!$G$1:$ABN$500,AA$2,0),$A$4,INDEX(Техника!$H$1:$ABO$500,AA$2,0),"З")</f>
        <v>0</v>
      </c>
      <c r="AB9" s="50">
        <f>SUMIFS(INDEX(Техника!$F$1:$ABM$500,AB$2,0),Техника!$F$4:$ABM$4,"Часы",INDEX(Техника!$G$1:$ABN$500,AB$2,0),$A$4,INDEX(Техника!$H$1:$ABO$500,AB$2,0),"З")</f>
        <v>0</v>
      </c>
    </row>
    <row r="10" spans="1:28" ht="7.95" customHeight="1" x14ac:dyDescent="0.3">
      <c r="A10" s="38"/>
      <c r="B10" s="39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 spans="1:28" ht="25.05" customHeight="1" collapsed="1" x14ac:dyDescent="0.3">
      <c r="A11" s="32">
        <v>2</v>
      </c>
      <c r="B11" s="32" t="s">
        <v>3</v>
      </c>
      <c r="C11" s="49">
        <f>SUM(C12:C16)</f>
        <v>0</v>
      </c>
      <c r="D11" s="49">
        <f>SUM(D12:D16)</f>
        <v>0</v>
      </c>
      <c r="E11" s="49">
        <f>SUM(E12:E16)</f>
        <v>0</v>
      </c>
      <c r="F11" s="49">
        <f>SUM(F12:F16)</f>
        <v>0</v>
      </c>
      <c r="G11" s="49">
        <f>SUM(G12:G16)</f>
        <v>0</v>
      </c>
      <c r="H11" s="49">
        <f>SUM(H12:H16)</f>
        <v>0</v>
      </c>
      <c r="I11" s="49">
        <f>SUM(I12:I16)</f>
        <v>0</v>
      </c>
      <c r="J11" s="49">
        <f>SUM(J12:J16)</f>
        <v>0</v>
      </c>
      <c r="K11" s="49">
        <f>SUM(K12:K16)</f>
        <v>0</v>
      </c>
      <c r="L11" s="49">
        <f>SUM(L12:L16)</f>
        <v>0</v>
      </c>
      <c r="M11" s="49">
        <f>SUM(M12:M16)</f>
        <v>0</v>
      </c>
      <c r="N11" s="49">
        <f>SUM(N12:N16)</f>
        <v>0</v>
      </c>
      <c r="O11" s="49">
        <f>SUM(O12:O16)</f>
        <v>0</v>
      </c>
      <c r="P11" s="49">
        <f>SUM(P12:P16)</f>
        <v>0</v>
      </c>
      <c r="Q11" s="49">
        <f>SUM(Q12:Q16)</f>
        <v>0</v>
      </c>
      <c r="R11" s="49">
        <f>SUM(R12:R16)</f>
        <v>0</v>
      </c>
      <c r="S11" s="49">
        <f>SUM(S12:S16)</f>
        <v>0</v>
      </c>
      <c r="T11" s="49">
        <f>SUM(T12:T16)</f>
        <v>0</v>
      </c>
      <c r="U11" s="49">
        <f>SUM(U12:U16)</f>
        <v>0</v>
      </c>
      <c r="V11" s="49">
        <f>SUM(V12:V16)</f>
        <v>0</v>
      </c>
      <c r="W11" s="49">
        <f>SUM(W12:W16)</f>
        <v>0</v>
      </c>
      <c r="X11" s="49">
        <f>SUM(X12:X16)</f>
        <v>0</v>
      </c>
      <c r="Y11" s="49">
        <f>SUM(Y12:Y16)</f>
        <v>0</v>
      </c>
      <c r="Z11" s="49">
        <f>SUM(Z12:Z16)</f>
        <v>0</v>
      </c>
      <c r="AA11" s="49">
        <f>SUM(AA12:AA16)</f>
        <v>0</v>
      </c>
      <c r="AB11" s="49">
        <f>SUM(AB12:AB16)</f>
        <v>0</v>
      </c>
    </row>
    <row r="12" spans="1:28" hidden="1" outlineLevel="1" x14ac:dyDescent="0.3">
      <c r="A12" s="33" t="s">
        <v>246</v>
      </c>
      <c r="B12" s="34" t="s">
        <v>274</v>
      </c>
      <c r="C12" s="50">
        <f>SUMIFS(INDEX(Техника!$F$1:$ABM$500,C$2,0),Техника!$F$4:$ABM$4,"Часы",INDEX(Техника!$G$1:$ABN$500,C$2,0),$A$11,INDEX(Техника!$H$1:$ABO$500,C$2,0),"М")</f>
        <v>0</v>
      </c>
      <c r="D12" s="50">
        <f>SUMIFS(INDEX(Техника!$F$1:$ABM$500,D$2,0),Техника!$F$4:$ABM$4,"Часы",INDEX(Техника!$G$1:$ABN$500,D$2,0),$A$11,INDEX(Техника!$H$1:$ABO$500,D$2,0),"М")</f>
        <v>0</v>
      </c>
      <c r="E12" s="50">
        <f>SUMIFS(INDEX(Техника!$F$1:$ABM$500,E$2,0),Техника!$F$4:$ABM$4,"Часы",INDEX(Техника!$G$1:$ABN$500,E$2,0),$A$11,INDEX(Техника!$H$1:$ABO$500,E$2,0),"М")</f>
        <v>0</v>
      </c>
      <c r="F12" s="50">
        <f>SUMIFS(INDEX(Техника!$F$1:$ABM$500,F$2,0),Техника!$F$4:$ABM$4,"Часы",INDEX(Техника!$G$1:$ABN$500,F$2,0),$A$11,INDEX(Техника!$H$1:$ABO$500,F$2,0),"М")</f>
        <v>0</v>
      </c>
      <c r="G12" s="50">
        <f>SUMIFS(INDEX(Техника!$F$1:$ABM$500,G$2,0),Техника!$F$4:$ABM$4,"Часы",INDEX(Техника!$G$1:$ABN$500,G$2,0),$A$11,INDEX(Техника!$H$1:$ABO$500,G$2,0),"М")</f>
        <v>0</v>
      </c>
      <c r="H12" s="50">
        <f>SUMIFS(INDEX(Техника!$F$1:$ABM$500,H$2,0),Техника!$F$4:$ABM$4,"Часы",INDEX(Техника!$G$1:$ABN$500,H$2,0),$A$11,INDEX(Техника!$H$1:$ABO$500,H$2,0),"М")</f>
        <v>0</v>
      </c>
      <c r="I12" s="50">
        <f>SUMIFS(INDEX(Техника!$F$1:$ABM$500,I$2,0),Техника!$F$4:$ABM$4,"Часы",INDEX(Техника!$G$1:$ABN$500,I$2,0),$A$11,INDEX(Техника!$H$1:$ABO$500,I$2,0),"М")</f>
        <v>0</v>
      </c>
      <c r="J12" s="50">
        <f>SUMIFS(INDEX(Техника!$F$1:$ABM$500,J$2,0),Техника!$F$4:$ABM$4,"Часы",INDEX(Техника!$G$1:$ABN$500,J$2,0),$A$11,INDEX(Техника!$H$1:$ABO$500,J$2,0),"М")</f>
        <v>0</v>
      </c>
      <c r="K12" s="50">
        <f>SUMIFS(INDEX(Техника!$F$1:$ABM$500,K$2,0),Техника!$F$4:$ABM$4,"Часы",INDEX(Техника!$G$1:$ABN$500,K$2,0),$A$11,INDEX(Техника!$H$1:$ABO$500,K$2,0),"М")</f>
        <v>0</v>
      </c>
      <c r="L12" s="50">
        <f>SUMIFS(INDEX(Техника!$F$1:$ABM$500,L$2,0),Техника!$F$4:$ABM$4,"Часы",INDEX(Техника!$G$1:$ABN$500,L$2,0),$A$11,INDEX(Техника!$H$1:$ABO$500,L$2,0),"М")</f>
        <v>0</v>
      </c>
      <c r="M12" s="50">
        <f>SUMIFS(INDEX(Техника!$F$1:$ABM$500,M$2,0),Техника!$F$4:$ABM$4,"Часы",INDEX(Техника!$G$1:$ABN$500,M$2,0),$A$11,INDEX(Техника!$H$1:$ABO$500,M$2,0),"М")</f>
        <v>0</v>
      </c>
      <c r="N12" s="50">
        <f>SUMIFS(INDEX(Техника!$F$1:$ABM$500,N$2,0),Техника!$F$4:$ABM$4,"Часы",INDEX(Техника!$G$1:$ABN$500,N$2,0),$A$11,INDEX(Техника!$H$1:$ABO$500,N$2,0),"М")</f>
        <v>0</v>
      </c>
      <c r="O12" s="50">
        <f>SUMIFS(INDEX(Техника!$F$1:$ABM$500,O$2,0),Техника!$F$4:$ABM$4,"Часы",INDEX(Техника!$G$1:$ABN$500,O$2,0),$A$11,INDEX(Техника!$H$1:$ABO$500,O$2,0),"М")</f>
        <v>0</v>
      </c>
      <c r="P12" s="50">
        <f>SUMIFS(INDEX(Техника!$F$1:$ABM$500,P$2,0),Техника!$F$4:$ABM$4,"Часы",INDEX(Техника!$G$1:$ABN$500,P$2,0),$A$11,INDEX(Техника!$H$1:$ABO$500,P$2,0),"М")</f>
        <v>0</v>
      </c>
      <c r="Q12" s="50">
        <f>SUMIFS(INDEX(Техника!$F$1:$ABM$500,Q$2,0),Техника!$F$4:$ABM$4,"Часы",INDEX(Техника!$G$1:$ABN$500,Q$2,0),$A$11,INDEX(Техника!$H$1:$ABO$500,Q$2,0),"М")</f>
        <v>0</v>
      </c>
      <c r="R12" s="50">
        <f>SUMIFS(INDEX(Техника!$F$1:$ABM$500,R$2,0),Техника!$F$4:$ABM$4,"Часы",INDEX(Техника!$G$1:$ABN$500,R$2,0),$A$11,INDEX(Техника!$H$1:$ABO$500,R$2,0),"М")</f>
        <v>0</v>
      </c>
      <c r="S12" s="50">
        <f>SUMIFS(INDEX(Техника!$F$1:$ABM$500,S$2,0),Техника!$F$4:$ABM$4,"Часы",INDEX(Техника!$G$1:$ABN$500,S$2,0),$A$11,INDEX(Техника!$H$1:$ABO$500,S$2,0),"М")</f>
        <v>0</v>
      </c>
      <c r="T12" s="50">
        <f>SUMIFS(INDEX(Техника!$F$1:$ABM$500,T$2,0),Техника!$F$4:$ABM$4,"Часы",INDEX(Техника!$G$1:$ABN$500,T$2,0),$A$11,INDEX(Техника!$H$1:$ABO$500,T$2,0),"М")</f>
        <v>0</v>
      </c>
      <c r="U12" s="50">
        <f>SUMIFS(INDEX(Техника!$F$1:$ABM$500,U$2,0),Техника!$F$4:$ABM$4,"Часы",INDEX(Техника!$G$1:$ABN$500,U$2,0),$A$11,INDEX(Техника!$H$1:$ABO$500,U$2,0),"М")</f>
        <v>0</v>
      </c>
      <c r="V12" s="50">
        <f>SUMIFS(INDEX(Техника!$F$1:$ABM$500,V$2,0),Техника!$F$4:$ABM$4,"Часы",INDEX(Техника!$G$1:$ABN$500,V$2,0),$A$11,INDEX(Техника!$H$1:$ABO$500,V$2,0),"М")</f>
        <v>0</v>
      </c>
      <c r="W12" s="50">
        <f>SUMIFS(INDEX(Техника!$F$1:$ABM$500,W$2,0),Техника!$F$4:$ABM$4,"Часы",INDEX(Техника!$G$1:$ABN$500,W$2,0),$A$11,INDEX(Техника!$H$1:$ABO$500,W$2,0),"М")</f>
        <v>0</v>
      </c>
      <c r="X12" s="50">
        <f>SUMIFS(INDEX(Техника!$F$1:$ABM$500,X$2,0),Техника!$F$4:$ABM$4,"Часы",INDEX(Техника!$G$1:$ABN$500,X$2,0),$A$11,INDEX(Техника!$H$1:$ABO$500,X$2,0),"М")</f>
        <v>0</v>
      </c>
      <c r="Y12" s="50">
        <f>SUMIFS(INDEX(Техника!$F$1:$ABM$500,Y$2,0),Техника!$F$4:$ABM$4,"Часы",INDEX(Техника!$G$1:$ABN$500,Y$2,0),$A$11,INDEX(Техника!$H$1:$ABO$500,Y$2,0),"М")</f>
        <v>0</v>
      </c>
      <c r="Z12" s="50">
        <f>SUMIFS(INDEX(Техника!$F$1:$ABM$500,Z$2,0),Техника!$F$4:$ABM$4,"Часы",INDEX(Техника!$G$1:$ABN$500,Z$2,0),$A$11,INDEX(Техника!$H$1:$ABO$500,Z$2,0),"М")</f>
        <v>0</v>
      </c>
      <c r="AA12" s="50">
        <f>SUMIFS(INDEX(Техника!$F$1:$ABM$500,AA$2,0),Техника!$F$4:$ABM$4,"Часы",INDEX(Техника!$G$1:$ABN$500,AA$2,0),$A$11,INDEX(Техника!$H$1:$ABO$500,AA$2,0),"М")</f>
        <v>0</v>
      </c>
      <c r="AB12" s="50">
        <f>SUMIFS(INDEX(Техника!$F$1:$ABM$500,AB$2,0),Техника!$F$4:$ABM$4,"Часы",INDEX(Техника!$G$1:$ABN$500,AB$2,0),$A$11,INDEX(Техника!$H$1:$ABO$500,AB$2,0),"М")</f>
        <v>0</v>
      </c>
    </row>
    <row r="13" spans="1:28" hidden="1" outlineLevel="1" x14ac:dyDescent="0.3">
      <c r="A13" s="33" t="s">
        <v>244</v>
      </c>
      <c r="B13" s="34" t="s">
        <v>275</v>
      </c>
      <c r="C13" s="50">
        <f>SUMIFS(INDEX(Техника!$F$1:$ABM$500,C$2,0),Техника!$F$4:$ABM$4,"Часы",INDEX(Техника!$G$1:$ABN$500,C$2,0),$A$11,INDEX(Техника!$H$1:$ABO$500,C$2,0),"Д")</f>
        <v>0</v>
      </c>
      <c r="D13" s="50">
        <f>SUMIFS(INDEX(Техника!$F$1:$ABM$500,D$2,0),Техника!$F$4:$ABM$4,"Часы",INDEX(Техника!$G$1:$ABN$500,D$2,0),$A$11,INDEX(Техника!$H$1:$ABO$500,D$2,0),"Д")</f>
        <v>0</v>
      </c>
      <c r="E13" s="50">
        <f>SUMIFS(INDEX(Техника!$F$1:$ABM$500,E$2,0),Техника!$F$4:$ABM$4,"Часы",INDEX(Техника!$G$1:$ABN$500,E$2,0),$A$11,INDEX(Техника!$H$1:$ABO$500,E$2,0),"Д")</f>
        <v>0</v>
      </c>
      <c r="F13" s="50">
        <f>SUMIFS(INDEX(Техника!$F$1:$ABM$500,F$2,0),Техника!$F$4:$ABM$4,"Часы",INDEX(Техника!$G$1:$ABN$500,F$2,0),$A$11,INDEX(Техника!$H$1:$ABO$500,F$2,0),"Д")</f>
        <v>0</v>
      </c>
      <c r="G13" s="50">
        <f>SUMIFS(INDEX(Техника!$F$1:$ABM$500,G$2,0),Техника!$F$4:$ABM$4,"Часы",INDEX(Техника!$G$1:$ABN$500,G$2,0),$A$11,INDEX(Техника!$H$1:$ABO$500,G$2,0),"Д")</f>
        <v>0</v>
      </c>
      <c r="H13" s="50">
        <f>SUMIFS(INDEX(Техника!$F$1:$ABM$500,H$2,0),Техника!$F$4:$ABM$4,"Часы",INDEX(Техника!$G$1:$ABN$500,H$2,0),$A$11,INDEX(Техника!$H$1:$ABO$500,H$2,0),"Д")</f>
        <v>0</v>
      </c>
      <c r="I13" s="50">
        <f>SUMIFS(INDEX(Техника!$F$1:$ABM$500,I$2,0),Техника!$F$4:$ABM$4,"Часы",INDEX(Техника!$G$1:$ABN$500,I$2,0),$A$11,INDEX(Техника!$H$1:$ABO$500,I$2,0),"Д")</f>
        <v>0</v>
      </c>
      <c r="J13" s="50">
        <f>SUMIFS(INDEX(Техника!$F$1:$ABM$500,J$2,0),Техника!$F$4:$ABM$4,"Часы",INDEX(Техника!$G$1:$ABN$500,J$2,0),$A$11,INDEX(Техника!$H$1:$ABO$500,J$2,0),"Д")</f>
        <v>0</v>
      </c>
      <c r="K13" s="50">
        <f>SUMIFS(INDEX(Техника!$F$1:$ABM$500,K$2,0),Техника!$F$4:$ABM$4,"Часы",INDEX(Техника!$G$1:$ABN$500,K$2,0),$A$11,INDEX(Техника!$H$1:$ABO$500,K$2,0),"Д")</f>
        <v>0</v>
      </c>
      <c r="L13" s="50">
        <f>SUMIFS(INDEX(Техника!$F$1:$ABM$500,L$2,0),Техника!$F$4:$ABM$4,"Часы",INDEX(Техника!$G$1:$ABN$500,L$2,0),$A$11,INDEX(Техника!$H$1:$ABO$500,L$2,0),"Д")</f>
        <v>0</v>
      </c>
      <c r="M13" s="50">
        <f>SUMIFS(INDEX(Техника!$F$1:$ABM$500,M$2,0),Техника!$F$4:$ABM$4,"Часы",INDEX(Техника!$G$1:$ABN$500,M$2,0),$A$11,INDEX(Техника!$H$1:$ABO$500,M$2,0),"Д")</f>
        <v>0</v>
      </c>
      <c r="N13" s="50">
        <f>SUMIFS(INDEX(Техника!$F$1:$ABM$500,N$2,0),Техника!$F$4:$ABM$4,"Часы",INDEX(Техника!$G$1:$ABN$500,N$2,0),$A$11,INDEX(Техника!$H$1:$ABO$500,N$2,0),"Д")</f>
        <v>0</v>
      </c>
      <c r="O13" s="50">
        <f>SUMIFS(INDEX(Техника!$F$1:$ABM$500,O$2,0),Техника!$F$4:$ABM$4,"Часы",INDEX(Техника!$G$1:$ABN$500,O$2,0),$A$11,INDEX(Техника!$H$1:$ABO$500,O$2,0),"Д")</f>
        <v>0</v>
      </c>
      <c r="P13" s="50">
        <f>SUMIFS(INDEX(Техника!$F$1:$ABM$500,P$2,0),Техника!$F$4:$ABM$4,"Часы",INDEX(Техника!$G$1:$ABN$500,P$2,0),$A$11,INDEX(Техника!$H$1:$ABO$500,P$2,0),"Д")</f>
        <v>0</v>
      </c>
      <c r="Q13" s="50">
        <f>SUMIFS(INDEX(Техника!$F$1:$ABM$500,Q$2,0),Техника!$F$4:$ABM$4,"Часы",INDEX(Техника!$G$1:$ABN$500,Q$2,0),$A$11,INDEX(Техника!$H$1:$ABO$500,Q$2,0),"Д")</f>
        <v>0</v>
      </c>
      <c r="R13" s="50">
        <f>SUMIFS(INDEX(Техника!$F$1:$ABM$500,R$2,0),Техника!$F$4:$ABM$4,"Часы",INDEX(Техника!$G$1:$ABN$500,R$2,0),$A$11,INDEX(Техника!$H$1:$ABO$500,R$2,0),"Д")</f>
        <v>0</v>
      </c>
      <c r="S13" s="50">
        <f>SUMIFS(INDEX(Техника!$F$1:$ABM$500,S$2,0),Техника!$F$4:$ABM$4,"Часы",INDEX(Техника!$G$1:$ABN$500,S$2,0),$A$11,INDEX(Техника!$H$1:$ABO$500,S$2,0),"Д")</f>
        <v>0</v>
      </c>
      <c r="T13" s="50">
        <f>SUMIFS(INDEX(Техника!$F$1:$ABM$500,T$2,0),Техника!$F$4:$ABM$4,"Часы",INDEX(Техника!$G$1:$ABN$500,T$2,0),$A$11,INDEX(Техника!$H$1:$ABO$500,T$2,0),"Д")</f>
        <v>0</v>
      </c>
      <c r="U13" s="50">
        <f>SUMIFS(INDEX(Техника!$F$1:$ABM$500,U$2,0),Техника!$F$4:$ABM$4,"Часы",INDEX(Техника!$G$1:$ABN$500,U$2,0),$A$11,INDEX(Техника!$H$1:$ABO$500,U$2,0),"Д")</f>
        <v>0</v>
      </c>
      <c r="V13" s="50">
        <f>SUMIFS(INDEX(Техника!$F$1:$ABM$500,V$2,0),Техника!$F$4:$ABM$4,"Часы",INDEX(Техника!$G$1:$ABN$500,V$2,0),$A$11,INDEX(Техника!$H$1:$ABO$500,V$2,0),"Д")</f>
        <v>0</v>
      </c>
      <c r="W13" s="50">
        <f>SUMIFS(INDEX(Техника!$F$1:$ABM$500,W$2,0),Техника!$F$4:$ABM$4,"Часы",INDEX(Техника!$G$1:$ABN$500,W$2,0),$A$11,INDEX(Техника!$H$1:$ABO$500,W$2,0),"Д")</f>
        <v>0</v>
      </c>
      <c r="X13" s="50">
        <f>SUMIFS(INDEX(Техника!$F$1:$ABM$500,X$2,0),Техника!$F$4:$ABM$4,"Часы",INDEX(Техника!$G$1:$ABN$500,X$2,0),$A$11,INDEX(Техника!$H$1:$ABO$500,X$2,0),"Д")</f>
        <v>0</v>
      </c>
      <c r="Y13" s="50">
        <f>SUMIFS(INDEX(Техника!$F$1:$ABM$500,Y$2,0),Техника!$F$4:$ABM$4,"Часы",INDEX(Техника!$G$1:$ABN$500,Y$2,0),$A$11,INDEX(Техника!$H$1:$ABO$500,Y$2,0),"Д")</f>
        <v>0</v>
      </c>
      <c r="Z13" s="50">
        <f>SUMIFS(INDEX(Техника!$F$1:$ABM$500,Z$2,0),Техника!$F$4:$ABM$4,"Часы",INDEX(Техника!$G$1:$ABN$500,Z$2,0),$A$11,INDEX(Техника!$H$1:$ABO$500,Z$2,0),"Д")</f>
        <v>0</v>
      </c>
      <c r="AA13" s="50">
        <f>SUMIFS(INDEX(Техника!$F$1:$ABM$500,AA$2,0),Техника!$F$4:$ABM$4,"Часы",INDEX(Техника!$G$1:$ABN$500,AA$2,0),$A$11,INDEX(Техника!$H$1:$ABO$500,AA$2,0),"Д")</f>
        <v>0</v>
      </c>
      <c r="AB13" s="50">
        <f>SUMIFS(INDEX(Техника!$F$1:$ABM$500,AB$2,0),Техника!$F$4:$ABM$4,"Часы",INDEX(Техника!$G$1:$ABN$500,AB$2,0),$A$11,INDEX(Техника!$H$1:$ABO$500,AB$2,0),"Д")</f>
        <v>0</v>
      </c>
    </row>
    <row r="14" spans="1:28" hidden="1" outlineLevel="1" x14ac:dyDescent="0.3">
      <c r="A14" s="33" t="s">
        <v>276</v>
      </c>
      <c r="B14" s="34" t="s">
        <v>277</v>
      </c>
      <c r="C14" s="50">
        <f>SUMIFS(INDEX(Техника!$F$1:$ABM$500,C$2,0),Техника!$F$4:$ABM$4,"Часы",INDEX(Техника!$G$1:$ABN$500,C$2,0),$A$11,INDEX(Техника!$H$1:$ABO$500,C$2,0),"П")</f>
        <v>0</v>
      </c>
      <c r="D14" s="50">
        <f>SUMIFS(INDEX(Техника!$F$1:$ABM$500,D$2,0),Техника!$F$4:$ABM$4,"Часы",INDEX(Техника!$G$1:$ABN$500,D$2,0),$A$11,INDEX(Техника!$H$1:$ABO$500,D$2,0),"П")</f>
        <v>0</v>
      </c>
      <c r="E14" s="50">
        <f>SUMIFS(INDEX(Техника!$F$1:$ABM$500,E$2,0),Техника!$F$4:$ABM$4,"Часы",INDEX(Техника!$G$1:$ABN$500,E$2,0),$A$11,INDEX(Техника!$H$1:$ABO$500,E$2,0),"П")</f>
        <v>0</v>
      </c>
      <c r="F14" s="50">
        <f>SUMIFS(INDEX(Техника!$F$1:$ABM$500,F$2,0),Техника!$F$4:$ABM$4,"Часы",INDEX(Техника!$G$1:$ABN$500,F$2,0),$A$11,INDEX(Техника!$H$1:$ABO$500,F$2,0),"П")</f>
        <v>0</v>
      </c>
      <c r="G14" s="50">
        <f>SUMIFS(INDEX(Техника!$F$1:$ABM$500,G$2,0),Техника!$F$4:$ABM$4,"Часы",INDEX(Техника!$G$1:$ABN$500,G$2,0),$A$11,INDEX(Техника!$H$1:$ABO$500,G$2,0),"П")</f>
        <v>0</v>
      </c>
      <c r="H14" s="50">
        <f>SUMIFS(INDEX(Техника!$F$1:$ABM$500,H$2,0),Техника!$F$4:$ABM$4,"Часы",INDEX(Техника!$G$1:$ABN$500,H$2,0),$A$11,INDEX(Техника!$H$1:$ABO$500,H$2,0),"П")</f>
        <v>0</v>
      </c>
      <c r="I14" s="50">
        <f>SUMIFS(INDEX(Техника!$F$1:$ABM$500,I$2,0),Техника!$F$4:$ABM$4,"Часы",INDEX(Техника!$G$1:$ABN$500,I$2,0),$A$11,INDEX(Техника!$H$1:$ABO$500,I$2,0),"П")</f>
        <v>0</v>
      </c>
      <c r="J14" s="50">
        <f>SUMIFS(INDEX(Техника!$F$1:$ABM$500,J$2,0),Техника!$F$4:$ABM$4,"Часы",INDEX(Техника!$G$1:$ABN$500,J$2,0),$A$11,INDEX(Техника!$H$1:$ABO$500,J$2,0),"П")</f>
        <v>0</v>
      </c>
      <c r="K14" s="50">
        <f>SUMIFS(INDEX(Техника!$F$1:$ABM$500,K$2,0),Техника!$F$4:$ABM$4,"Часы",INDEX(Техника!$G$1:$ABN$500,K$2,0),$A$11,INDEX(Техника!$H$1:$ABO$500,K$2,0),"П")</f>
        <v>0</v>
      </c>
      <c r="L14" s="50">
        <f>SUMIFS(INDEX(Техника!$F$1:$ABM$500,L$2,0),Техника!$F$4:$ABM$4,"Часы",INDEX(Техника!$G$1:$ABN$500,L$2,0),$A$11,INDEX(Техника!$H$1:$ABO$500,L$2,0),"П")</f>
        <v>0</v>
      </c>
      <c r="M14" s="50">
        <f>SUMIFS(INDEX(Техника!$F$1:$ABM$500,M$2,0),Техника!$F$4:$ABM$4,"Часы",INDEX(Техника!$G$1:$ABN$500,M$2,0),$A$11,INDEX(Техника!$H$1:$ABO$500,M$2,0),"П")</f>
        <v>0</v>
      </c>
      <c r="N14" s="50">
        <f>SUMIFS(INDEX(Техника!$F$1:$ABM$500,N$2,0),Техника!$F$4:$ABM$4,"Часы",INDEX(Техника!$G$1:$ABN$500,N$2,0),$A$11,INDEX(Техника!$H$1:$ABO$500,N$2,0),"П")</f>
        <v>0</v>
      </c>
      <c r="O14" s="50">
        <f>SUMIFS(INDEX(Техника!$F$1:$ABM$500,O$2,0),Техника!$F$4:$ABM$4,"Часы",INDEX(Техника!$G$1:$ABN$500,O$2,0),$A$11,INDEX(Техника!$H$1:$ABO$500,O$2,0),"П")</f>
        <v>0</v>
      </c>
      <c r="P14" s="50">
        <f>SUMIFS(INDEX(Техника!$F$1:$ABM$500,P$2,0),Техника!$F$4:$ABM$4,"Часы",INDEX(Техника!$G$1:$ABN$500,P$2,0),$A$11,INDEX(Техника!$H$1:$ABO$500,P$2,0),"П")</f>
        <v>0</v>
      </c>
      <c r="Q14" s="50">
        <f>SUMIFS(INDEX(Техника!$F$1:$ABM$500,Q$2,0),Техника!$F$4:$ABM$4,"Часы",INDEX(Техника!$G$1:$ABN$500,Q$2,0),$A$11,INDEX(Техника!$H$1:$ABO$500,Q$2,0),"П")</f>
        <v>0</v>
      </c>
      <c r="R14" s="50">
        <f>SUMIFS(INDEX(Техника!$F$1:$ABM$500,R$2,0),Техника!$F$4:$ABM$4,"Часы",INDEX(Техника!$G$1:$ABN$500,R$2,0),$A$11,INDEX(Техника!$H$1:$ABO$500,R$2,0),"П")</f>
        <v>0</v>
      </c>
      <c r="S14" s="50">
        <f>SUMIFS(INDEX(Техника!$F$1:$ABM$500,S$2,0),Техника!$F$4:$ABM$4,"Часы",INDEX(Техника!$G$1:$ABN$500,S$2,0),$A$11,INDEX(Техника!$H$1:$ABO$500,S$2,0),"П")</f>
        <v>0</v>
      </c>
      <c r="T14" s="50">
        <f>SUMIFS(INDEX(Техника!$F$1:$ABM$500,T$2,0),Техника!$F$4:$ABM$4,"Часы",INDEX(Техника!$G$1:$ABN$500,T$2,0),$A$11,INDEX(Техника!$H$1:$ABO$500,T$2,0),"П")</f>
        <v>0</v>
      </c>
      <c r="U14" s="50">
        <f>SUMIFS(INDEX(Техника!$F$1:$ABM$500,U$2,0),Техника!$F$4:$ABM$4,"Часы",INDEX(Техника!$G$1:$ABN$500,U$2,0),$A$11,INDEX(Техника!$H$1:$ABO$500,U$2,0),"П")</f>
        <v>0</v>
      </c>
      <c r="V14" s="50">
        <f>SUMIFS(INDEX(Техника!$F$1:$ABM$500,V$2,0),Техника!$F$4:$ABM$4,"Часы",INDEX(Техника!$G$1:$ABN$500,V$2,0),$A$11,INDEX(Техника!$H$1:$ABO$500,V$2,0),"П")</f>
        <v>0</v>
      </c>
      <c r="W14" s="50">
        <f>SUMIFS(INDEX(Техника!$F$1:$ABM$500,W$2,0),Техника!$F$4:$ABM$4,"Часы",INDEX(Техника!$G$1:$ABN$500,W$2,0),$A$11,INDEX(Техника!$H$1:$ABO$500,W$2,0),"П")</f>
        <v>0</v>
      </c>
      <c r="X14" s="50">
        <f>SUMIFS(INDEX(Техника!$F$1:$ABM$500,X$2,0),Техника!$F$4:$ABM$4,"Часы",INDEX(Техника!$G$1:$ABN$500,X$2,0),$A$11,INDEX(Техника!$H$1:$ABO$500,X$2,0),"П")</f>
        <v>0</v>
      </c>
      <c r="Y14" s="50">
        <f>SUMIFS(INDEX(Техника!$F$1:$ABM$500,Y$2,0),Техника!$F$4:$ABM$4,"Часы",INDEX(Техника!$G$1:$ABN$500,Y$2,0),$A$11,INDEX(Техника!$H$1:$ABO$500,Y$2,0),"П")</f>
        <v>0</v>
      </c>
      <c r="Z14" s="50">
        <f>SUMIFS(INDEX(Техника!$F$1:$ABM$500,Z$2,0),Техника!$F$4:$ABM$4,"Часы",INDEX(Техника!$G$1:$ABN$500,Z$2,0),$A$11,INDEX(Техника!$H$1:$ABO$500,Z$2,0),"П")</f>
        <v>0</v>
      </c>
      <c r="AA14" s="50">
        <f>SUMIFS(INDEX(Техника!$F$1:$ABM$500,AA$2,0),Техника!$F$4:$ABM$4,"Часы",INDEX(Техника!$G$1:$ABN$500,AA$2,0),$A$11,INDEX(Техника!$H$1:$ABO$500,AA$2,0),"П")</f>
        <v>0</v>
      </c>
      <c r="AB14" s="50">
        <f>SUMIFS(INDEX(Техника!$F$1:$ABM$500,AB$2,0),Техника!$F$4:$ABM$4,"Часы",INDEX(Техника!$G$1:$ABN$500,AB$2,0),$A$11,INDEX(Техника!$H$1:$ABO$500,AB$2,0),"П")</f>
        <v>0</v>
      </c>
    </row>
    <row r="15" spans="1:28" hidden="1" outlineLevel="1" x14ac:dyDescent="0.3">
      <c r="A15" s="33" t="s">
        <v>243</v>
      </c>
      <c r="B15" s="34" t="s">
        <v>278</v>
      </c>
      <c r="C15" s="50">
        <f>SUMIFS(INDEX(Техника!$F$1:$ABM$500,C$2,0),Техника!$F$4:$ABM$4,"Часы",INDEX(Техника!$G$1:$ABN$500,C$2,0),$A$11,INDEX(Техника!$H$1:$ABO$500,C$2,0),"Л")</f>
        <v>0</v>
      </c>
      <c r="D15" s="50">
        <f>SUMIFS(INDEX(Техника!$F$1:$ABM$500,D$2,0),Техника!$F$4:$ABM$4,"Часы",INDEX(Техника!$G$1:$ABN$500,D$2,0),$A$11,INDEX(Техника!$H$1:$ABO$500,D$2,0),"Л")</f>
        <v>0</v>
      </c>
      <c r="E15" s="50">
        <f>SUMIFS(INDEX(Техника!$F$1:$ABM$500,E$2,0),Техника!$F$4:$ABM$4,"Часы",INDEX(Техника!$G$1:$ABN$500,E$2,0),$A$11,INDEX(Техника!$H$1:$ABO$500,E$2,0),"Л")</f>
        <v>0</v>
      </c>
      <c r="F15" s="50">
        <f>SUMIFS(INDEX(Техника!$F$1:$ABM$500,F$2,0),Техника!$F$4:$ABM$4,"Часы",INDEX(Техника!$G$1:$ABN$500,F$2,0),$A$11,INDEX(Техника!$H$1:$ABO$500,F$2,0),"Л")</f>
        <v>0</v>
      </c>
      <c r="G15" s="50">
        <f>SUMIFS(INDEX(Техника!$F$1:$ABM$500,G$2,0),Техника!$F$4:$ABM$4,"Часы",INDEX(Техника!$G$1:$ABN$500,G$2,0),$A$11,INDEX(Техника!$H$1:$ABO$500,G$2,0),"Л")</f>
        <v>0</v>
      </c>
      <c r="H15" s="50">
        <f>SUMIFS(INDEX(Техника!$F$1:$ABM$500,H$2,0),Техника!$F$4:$ABM$4,"Часы",INDEX(Техника!$G$1:$ABN$500,H$2,0),$A$11,INDEX(Техника!$H$1:$ABO$500,H$2,0),"Л")</f>
        <v>0</v>
      </c>
      <c r="I15" s="50">
        <f>SUMIFS(INDEX(Техника!$F$1:$ABM$500,I$2,0),Техника!$F$4:$ABM$4,"Часы",INDEX(Техника!$G$1:$ABN$500,I$2,0),$A$11,INDEX(Техника!$H$1:$ABO$500,I$2,0),"Л")</f>
        <v>0</v>
      </c>
      <c r="J15" s="50">
        <f>SUMIFS(INDEX(Техника!$F$1:$ABM$500,J$2,0),Техника!$F$4:$ABM$4,"Часы",INDEX(Техника!$G$1:$ABN$500,J$2,0),$A$11,INDEX(Техника!$H$1:$ABO$500,J$2,0),"Л")</f>
        <v>0</v>
      </c>
      <c r="K15" s="50">
        <f>SUMIFS(INDEX(Техника!$F$1:$ABM$500,K$2,0),Техника!$F$4:$ABM$4,"Часы",INDEX(Техника!$G$1:$ABN$500,K$2,0),$A$11,INDEX(Техника!$H$1:$ABO$500,K$2,0),"Л")</f>
        <v>0</v>
      </c>
      <c r="L15" s="50">
        <f>SUMIFS(INDEX(Техника!$F$1:$ABM$500,L$2,0),Техника!$F$4:$ABM$4,"Часы",INDEX(Техника!$G$1:$ABN$500,L$2,0),$A$11,INDEX(Техника!$H$1:$ABO$500,L$2,0),"Л")</f>
        <v>0</v>
      </c>
      <c r="M15" s="50">
        <f>SUMIFS(INDEX(Техника!$F$1:$ABM$500,M$2,0),Техника!$F$4:$ABM$4,"Часы",INDEX(Техника!$G$1:$ABN$500,M$2,0),$A$11,INDEX(Техника!$H$1:$ABO$500,M$2,0),"Л")</f>
        <v>0</v>
      </c>
      <c r="N15" s="50">
        <f>SUMIFS(INDEX(Техника!$F$1:$ABM$500,N$2,0),Техника!$F$4:$ABM$4,"Часы",INDEX(Техника!$G$1:$ABN$500,N$2,0),$A$11,INDEX(Техника!$H$1:$ABO$500,N$2,0),"Л")</f>
        <v>0</v>
      </c>
      <c r="O15" s="50">
        <f>SUMIFS(INDEX(Техника!$F$1:$ABM$500,O$2,0),Техника!$F$4:$ABM$4,"Часы",INDEX(Техника!$G$1:$ABN$500,O$2,0),$A$11,INDEX(Техника!$H$1:$ABO$500,O$2,0),"Л")</f>
        <v>0</v>
      </c>
      <c r="P15" s="50">
        <f>SUMIFS(INDEX(Техника!$F$1:$ABM$500,P$2,0),Техника!$F$4:$ABM$4,"Часы",INDEX(Техника!$G$1:$ABN$500,P$2,0),$A$11,INDEX(Техника!$H$1:$ABO$500,P$2,0),"Л")</f>
        <v>0</v>
      </c>
      <c r="Q15" s="50">
        <f>SUMIFS(INDEX(Техника!$F$1:$ABM$500,Q$2,0),Техника!$F$4:$ABM$4,"Часы",INDEX(Техника!$G$1:$ABN$500,Q$2,0),$A$11,INDEX(Техника!$H$1:$ABO$500,Q$2,0),"Л")</f>
        <v>0</v>
      </c>
      <c r="R15" s="50">
        <f>SUMIFS(INDEX(Техника!$F$1:$ABM$500,R$2,0),Техника!$F$4:$ABM$4,"Часы",INDEX(Техника!$G$1:$ABN$500,R$2,0),$A$11,INDEX(Техника!$H$1:$ABO$500,R$2,0),"Л")</f>
        <v>0</v>
      </c>
      <c r="S15" s="50">
        <f>SUMIFS(INDEX(Техника!$F$1:$ABM$500,S$2,0),Техника!$F$4:$ABM$4,"Часы",INDEX(Техника!$G$1:$ABN$500,S$2,0),$A$11,INDEX(Техника!$H$1:$ABO$500,S$2,0),"Л")</f>
        <v>0</v>
      </c>
      <c r="T15" s="50">
        <f>SUMIFS(INDEX(Техника!$F$1:$ABM$500,T$2,0),Техника!$F$4:$ABM$4,"Часы",INDEX(Техника!$G$1:$ABN$500,T$2,0),$A$11,INDEX(Техника!$H$1:$ABO$500,T$2,0),"Л")</f>
        <v>0</v>
      </c>
      <c r="U15" s="50">
        <f>SUMIFS(INDEX(Техника!$F$1:$ABM$500,U$2,0),Техника!$F$4:$ABM$4,"Часы",INDEX(Техника!$G$1:$ABN$500,U$2,0),$A$11,INDEX(Техника!$H$1:$ABO$500,U$2,0),"Л")</f>
        <v>0</v>
      </c>
      <c r="V15" s="50">
        <f>SUMIFS(INDEX(Техника!$F$1:$ABM$500,V$2,0),Техника!$F$4:$ABM$4,"Часы",INDEX(Техника!$G$1:$ABN$500,V$2,0),$A$11,INDEX(Техника!$H$1:$ABO$500,V$2,0),"Л")</f>
        <v>0</v>
      </c>
      <c r="W15" s="50">
        <f>SUMIFS(INDEX(Техника!$F$1:$ABM$500,W$2,0),Техника!$F$4:$ABM$4,"Часы",INDEX(Техника!$G$1:$ABN$500,W$2,0),$A$11,INDEX(Техника!$H$1:$ABO$500,W$2,0),"Л")</f>
        <v>0</v>
      </c>
      <c r="X15" s="50">
        <f>SUMIFS(INDEX(Техника!$F$1:$ABM$500,X$2,0),Техника!$F$4:$ABM$4,"Часы",INDEX(Техника!$G$1:$ABN$500,X$2,0),$A$11,INDEX(Техника!$H$1:$ABO$500,X$2,0),"Л")</f>
        <v>0</v>
      </c>
      <c r="Y15" s="50">
        <f>SUMIFS(INDEX(Техника!$F$1:$ABM$500,Y$2,0),Техника!$F$4:$ABM$4,"Часы",INDEX(Техника!$G$1:$ABN$500,Y$2,0),$A$11,INDEX(Техника!$H$1:$ABO$500,Y$2,0),"Л")</f>
        <v>0</v>
      </c>
      <c r="Z15" s="50">
        <f>SUMIFS(INDEX(Техника!$F$1:$ABM$500,Z$2,0),Техника!$F$4:$ABM$4,"Часы",INDEX(Техника!$G$1:$ABN$500,Z$2,0),$A$11,INDEX(Техника!$H$1:$ABO$500,Z$2,0),"Л")</f>
        <v>0</v>
      </c>
      <c r="AA15" s="50">
        <f>SUMIFS(INDEX(Техника!$F$1:$ABM$500,AA$2,0),Техника!$F$4:$ABM$4,"Часы",INDEX(Техника!$G$1:$ABN$500,AA$2,0),$A$11,INDEX(Техника!$H$1:$ABO$500,AA$2,0),"Л")</f>
        <v>0</v>
      </c>
      <c r="AB15" s="50">
        <f>SUMIFS(INDEX(Техника!$F$1:$ABM$500,AB$2,0),Техника!$F$4:$ABM$4,"Часы",INDEX(Техника!$G$1:$ABN$500,AB$2,0),$A$11,INDEX(Техника!$H$1:$ABO$500,AB$2,0),"Л")</f>
        <v>0</v>
      </c>
    </row>
    <row r="16" spans="1:28" hidden="1" outlineLevel="1" x14ac:dyDescent="0.3">
      <c r="A16" s="33" t="s">
        <v>245</v>
      </c>
      <c r="B16" s="34" t="s">
        <v>279</v>
      </c>
      <c r="C16" s="50">
        <f>SUMIFS(INDEX(Техника!$F$1:$ABM$500,C$2,0),Техника!$F$4:$ABM$4,"Часы",INDEX(Техника!$G$1:$ABN$500,C$2,0),$A$11,INDEX(Техника!$H$1:$ABO$500,C$2,0),"З")</f>
        <v>0</v>
      </c>
      <c r="D16" s="50">
        <f>SUMIFS(INDEX(Техника!$F$1:$ABM$500,D$2,0),Техника!$F$4:$ABM$4,"Часы",INDEX(Техника!$G$1:$ABN$500,D$2,0),$A$11,INDEX(Техника!$H$1:$ABO$500,D$2,0),"З")</f>
        <v>0</v>
      </c>
      <c r="E16" s="50">
        <f>SUMIFS(INDEX(Техника!$F$1:$ABM$500,E$2,0),Техника!$F$4:$ABM$4,"Часы",INDEX(Техника!$G$1:$ABN$500,E$2,0),$A$11,INDEX(Техника!$H$1:$ABO$500,E$2,0),"З")</f>
        <v>0</v>
      </c>
      <c r="F16" s="50">
        <f>SUMIFS(INDEX(Техника!$F$1:$ABM$500,F$2,0),Техника!$F$4:$ABM$4,"Часы",INDEX(Техника!$G$1:$ABN$500,F$2,0),$A$11,INDEX(Техника!$H$1:$ABO$500,F$2,0),"З")</f>
        <v>0</v>
      </c>
      <c r="G16" s="50">
        <f>SUMIFS(INDEX(Техника!$F$1:$ABM$500,G$2,0),Техника!$F$4:$ABM$4,"Часы",INDEX(Техника!$G$1:$ABN$500,G$2,0),$A$11,INDEX(Техника!$H$1:$ABO$500,G$2,0),"З")</f>
        <v>0</v>
      </c>
      <c r="H16" s="50">
        <f>SUMIFS(INDEX(Техника!$F$1:$ABM$500,H$2,0),Техника!$F$4:$ABM$4,"Часы",INDEX(Техника!$G$1:$ABN$500,H$2,0),$A$11,INDEX(Техника!$H$1:$ABO$500,H$2,0),"З")</f>
        <v>0</v>
      </c>
      <c r="I16" s="50">
        <f>SUMIFS(INDEX(Техника!$F$1:$ABM$500,I$2,0),Техника!$F$4:$ABM$4,"Часы",INDEX(Техника!$G$1:$ABN$500,I$2,0),$A$11,INDEX(Техника!$H$1:$ABO$500,I$2,0),"З")</f>
        <v>0</v>
      </c>
      <c r="J16" s="50">
        <f>SUMIFS(INDEX(Техника!$F$1:$ABM$500,J$2,0),Техника!$F$4:$ABM$4,"Часы",INDEX(Техника!$G$1:$ABN$500,J$2,0),$A$11,INDEX(Техника!$H$1:$ABO$500,J$2,0),"З")</f>
        <v>0</v>
      </c>
      <c r="K16" s="50">
        <f>SUMIFS(INDEX(Техника!$F$1:$ABM$500,K$2,0),Техника!$F$4:$ABM$4,"Часы",INDEX(Техника!$G$1:$ABN$500,K$2,0),$A$11,INDEX(Техника!$H$1:$ABO$500,K$2,0),"З")</f>
        <v>0</v>
      </c>
      <c r="L16" s="50">
        <f>SUMIFS(INDEX(Техника!$F$1:$ABM$500,L$2,0),Техника!$F$4:$ABM$4,"Часы",INDEX(Техника!$G$1:$ABN$500,L$2,0),$A$11,INDEX(Техника!$H$1:$ABO$500,L$2,0),"З")</f>
        <v>0</v>
      </c>
      <c r="M16" s="50">
        <f>SUMIFS(INDEX(Техника!$F$1:$ABM$500,M$2,0),Техника!$F$4:$ABM$4,"Часы",INDEX(Техника!$G$1:$ABN$500,M$2,0),$A$11,INDEX(Техника!$H$1:$ABO$500,M$2,0),"З")</f>
        <v>0</v>
      </c>
      <c r="N16" s="50">
        <f>SUMIFS(INDEX(Техника!$F$1:$ABM$500,N$2,0),Техника!$F$4:$ABM$4,"Часы",INDEX(Техника!$G$1:$ABN$500,N$2,0),$A$11,INDEX(Техника!$H$1:$ABO$500,N$2,0),"З")</f>
        <v>0</v>
      </c>
      <c r="O16" s="50">
        <f>SUMIFS(INDEX(Техника!$F$1:$ABM$500,O$2,0),Техника!$F$4:$ABM$4,"Часы",INDEX(Техника!$G$1:$ABN$500,O$2,0),$A$11,INDEX(Техника!$H$1:$ABO$500,O$2,0),"З")</f>
        <v>0</v>
      </c>
      <c r="P16" s="50">
        <f>SUMIFS(INDEX(Техника!$F$1:$ABM$500,P$2,0),Техника!$F$4:$ABM$4,"Часы",INDEX(Техника!$G$1:$ABN$500,P$2,0),$A$11,INDEX(Техника!$H$1:$ABO$500,P$2,0),"З")</f>
        <v>0</v>
      </c>
      <c r="Q16" s="50">
        <f>SUMIFS(INDEX(Техника!$F$1:$ABM$500,Q$2,0),Техника!$F$4:$ABM$4,"Часы",INDEX(Техника!$G$1:$ABN$500,Q$2,0),$A$11,INDEX(Техника!$H$1:$ABO$500,Q$2,0),"З")</f>
        <v>0</v>
      </c>
      <c r="R16" s="50">
        <f>SUMIFS(INDEX(Техника!$F$1:$ABM$500,R$2,0),Техника!$F$4:$ABM$4,"Часы",INDEX(Техника!$G$1:$ABN$500,R$2,0),$A$11,INDEX(Техника!$H$1:$ABO$500,R$2,0),"З")</f>
        <v>0</v>
      </c>
      <c r="S16" s="50">
        <f>SUMIFS(INDEX(Техника!$F$1:$ABM$500,S$2,0),Техника!$F$4:$ABM$4,"Часы",INDEX(Техника!$G$1:$ABN$500,S$2,0),$A$11,INDEX(Техника!$H$1:$ABO$500,S$2,0),"З")</f>
        <v>0</v>
      </c>
      <c r="T16" s="50">
        <f>SUMIFS(INDEX(Техника!$F$1:$ABM$500,T$2,0),Техника!$F$4:$ABM$4,"Часы",INDEX(Техника!$G$1:$ABN$500,T$2,0),$A$11,INDEX(Техника!$H$1:$ABO$500,T$2,0),"З")</f>
        <v>0</v>
      </c>
      <c r="U16" s="50">
        <f>SUMIFS(INDEX(Техника!$F$1:$ABM$500,U$2,0),Техника!$F$4:$ABM$4,"Часы",INDEX(Техника!$G$1:$ABN$500,U$2,0),$A$11,INDEX(Техника!$H$1:$ABO$500,U$2,0),"З")</f>
        <v>0</v>
      </c>
      <c r="V16" s="50">
        <f>SUMIFS(INDEX(Техника!$F$1:$ABM$500,V$2,0),Техника!$F$4:$ABM$4,"Часы",INDEX(Техника!$G$1:$ABN$500,V$2,0),$A$11,INDEX(Техника!$H$1:$ABO$500,V$2,0),"З")</f>
        <v>0</v>
      </c>
      <c r="W16" s="50">
        <f>SUMIFS(INDEX(Техника!$F$1:$ABM$500,W$2,0),Техника!$F$4:$ABM$4,"Часы",INDEX(Техника!$G$1:$ABN$500,W$2,0),$A$11,INDEX(Техника!$H$1:$ABO$500,W$2,0),"З")</f>
        <v>0</v>
      </c>
      <c r="X16" s="50">
        <f>SUMIFS(INDEX(Техника!$F$1:$ABM$500,X$2,0),Техника!$F$4:$ABM$4,"Часы",INDEX(Техника!$G$1:$ABN$500,X$2,0),$A$11,INDEX(Техника!$H$1:$ABO$500,X$2,0),"З")</f>
        <v>0</v>
      </c>
      <c r="Y16" s="50">
        <f>SUMIFS(INDEX(Техника!$F$1:$ABM$500,Y$2,0),Техника!$F$4:$ABM$4,"Часы",INDEX(Техника!$G$1:$ABN$500,Y$2,0),$A$11,INDEX(Техника!$H$1:$ABO$500,Y$2,0),"З")</f>
        <v>0</v>
      </c>
      <c r="Z16" s="50">
        <f>SUMIFS(INDEX(Техника!$F$1:$ABM$500,Z$2,0),Техника!$F$4:$ABM$4,"Часы",INDEX(Техника!$G$1:$ABN$500,Z$2,0),$A$11,INDEX(Техника!$H$1:$ABO$500,Z$2,0),"З")</f>
        <v>0</v>
      </c>
      <c r="AA16" s="50">
        <f>SUMIFS(INDEX(Техника!$F$1:$ABM$500,AA$2,0),Техника!$F$4:$ABM$4,"Часы",INDEX(Техника!$G$1:$ABN$500,AA$2,0),$A$11,INDEX(Техника!$H$1:$ABO$500,AA$2,0),"З")</f>
        <v>0</v>
      </c>
      <c r="AB16" s="50">
        <f>SUMIFS(INDEX(Техника!$F$1:$ABM$500,AB$2,0),Техника!$F$4:$ABM$4,"Часы",INDEX(Техника!$G$1:$ABN$500,AB$2,0),$A$11,INDEX(Техника!$H$1:$ABO$500,AB$2,0),"З")</f>
        <v>0</v>
      </c>
    </row>
    <row r="17" spans="1:28" ht="7.95" customHeight="1" x14ac:dyDescent="0.3">
      <c r="A17" s="38"/>
      <c r="B17" s="39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 spans="1:28" ht="25.05" customHeight="1" collapsed="1" x14ac:dyDescent="0.3">
      <c r="A18" s="32">
        <v>3</v>
      </c>
      <c r="B18" s="32" t="s">
        <v>4</v>
      </c>
      <c r="C18" s="49">
        <f>SUM(C19:C23)</f>
        <v>0</v>
      </c>
      <c r="D18" s="49">
        <f>SUM(D19:D23)</f>
        <v>0</v>
      </c>
      <c r="E18" s="49">
        <f>SUM(E19:E23)</f>
        <v>0</v>
      </c>
      <c r="F18" s="49">
        <f>SUM(F19:F23)</f>
        <v>0</v>
      </c>
      <c r="G18" s="49">
        <f>SUM(G19:G23)</f>
        <v>0</v>
      </c>
      <c r="H18" s="49">
        <f>SUM(H19:H23)</f>
        <v>0</v>
      </c>
      <c r="I18" s="49">
        <f>SUM(I19:I23)</f>
        <v>0</v>
      </c>
      <c r="J18" s="49">
        <f>SUM(J19:J23)</f>
        <v>0</v>
      </c>
      <c r="K18" s="49">
        <f>SUM(K19:K23)</f>
        <v>0</v>
      </c>
      <c r="L18" s="49">
        <f>SUM(L19:L23)</f>
        <v>0</v>
      </c>
      <c r="M18" s="49">
        <f>SUM(M19:M23)</f>
        <v>0</v>
      </c>
      <c r="N18" s="49">
        <f>SUM(N19:N23)</f>
        <v>0</v>
      </c>
      <c r="O18" s="49">
        <f>SUM(O19:O23)</f>
        <v>0</v>
      </c>
      <c r="P18" s="49">
        <f>SUM(P19:P23)</f>
        <v>0</v>
      </c>
      <c r="Q18" s="49">
        <f>SUM(Q19:Q23)</f>
        <v>0</v>
      </c>
      <c r="R18" s="49">
        <f>SUM(R19:R23)</f>
        <v>0</v>
      </c>
      <c r="S18" s="49">
        <f>SUM(S19:S23)</f>
        <v>0</v>
      </c>
      <c r="T18" s="49">
        <f>SUM(T19:T23)</f>
        <v>0</v>
      </c>
      <c r="U18" s="49">
        <f>SUM(U19:U23)</f>
        <v>0</v>
      </c>
      <c r="V18" s="49">
        <f>SUM(V19:V23)</f>
        <v>0</v>
      </c>
      <c r="W18" s="49">
        <f>SUM(W19:W23)</f>
        <v>0</v>
      </c>
      <c r="X18" s="49">
        <f>SUM(X19:X23)</f>
        <v>0</v>
      </c>
      <c r="Y18" s="49">
        <f>SUM(Y19:Y23)</f>
        <v>0</v>
      </c>
      <c r="Z18" s="49">
        <f>SUM(Z19:Z23)</f>
        <v>0</v>
      </c>
      <c r="AA18" s="49">
        <f>SUM(AA19:AA23)</f>
        <v>0</v>
      </c>
      <c r="AB18" s="49">
        <f>SUM(AB19:AB23)</f>
        <v>0</v>
      </c>
    </row>
    <row r="19" spans="1:28" hidden="1" outlineLevel="1" x14ac:dyDescent="0.3">
      <c r="A19" s="33" t="s">
        <v>246</v>
      </c>
      <c r="B19" s="34" t="s">
        <v>274</v>
      </c>
      <c r="C19" s="50">
        <f>SUMIFS(INDEX(Техника!$F$1:$ABM$500,C$2,0),Техника!$F$4:$ABM$4,"Часы",INDEX(Техника!$G$1:$ABN$500,C$2,0),$A$18,INDEX(Техника!$H$1:$ABO$500,C$2,0),"М")</f>
        <v>0</v>
      </c>
      <c r="D19" s="50">
        <f>SUMIFS(INDEX(Техника!$F$1:$ABM$500,D$2,0),Техника!$F$4:$ABM$4,"Часы",INDEX(Техника!$G$1:$ABN$500,D$2,0),$A$18,INDEX(Техника!$H$1:$ABO$500,D$2,0),"М")</f>
        <v>0</v>
      </c>
      <c r="E19" s="50">
        <f>SUMIFS(INDEX(Техника!$F$1:$ABM$500,E$2,0),Техника!$F$4:$ABM$4,"Часы",INDEX(Техника!$G$1:$ABN$500,E$2,0),$A$18,INDEX(Техника!$H$1:$ABO$500,E$2,0),"М")</f>
        <v>0</v>
      </c>
      <c r="F19" s="50">
        <f>SUMIFS(INDEX(Техника!$F$1:$ABM$500,F$2,0),Техника!$F$4:$ABM$4,"Часы",INDEX(Техника!$G$1:$ABN$500,F$2,0),$A$18,INDEX(Техника!$H$1:$ABO$500,F$2,0),"М")</f>
        <v>0</v>
      </c>
      <c r="G19" s="50">
        <f>SUMIFS(INDEX(Техника!$F$1:$ABM$500,G$2,0),Техника!$F$4:$ABM$4,"Часы",INDEX(Техника!$G$1:$ABN$500,G$2,0),$A$18,INDEX(Техника!$H$1:$ABO$500,G$2,0),"М")</f>
        <v>0</v>
      </c>
      <c r="H19" s="50">
        <f>SUMIFS(INDEX(Техника!$F$1:$ABM$500,H$2,0),Техника!$F$4:$ABM$4,"Часы",INDEX(Техника!$G$1:$ABN$500,H$2,0),$A$18,INDEX(Техника!$H$1:$ABO$500,H$2,0),"М")</f>
        <v>0</v>
      </c>
      <c r="I19" s="50">
        <f>SUMIFS(INDEX(Техника!$F$1:$ABM$500,I$2,0),Техника!$F$4:$ABM$4,"Часы",INDEX(Техника!$G$1:$ABN$500,I$2,0),$A$18,INDEX(Техника!$H$1:$ABO$500,I$2,0),"М")</f>
        <v>0</v>
      </c>
      <c r="J19" s="50">
        <f>SUMIFS(INDEX(Техника!$F$1:$ABM$500,J$2,0),Техника!$F$4:$ABM$4,"Часы",INDEX(Техника!$G$1:$ABN$500,J$2,0),$A$18,INDEX(Техника!$H$1:$ABO$500,J$2,0),"М")</f>
        <v>0</v>
      </c>
      <c r="K19" s="50">
        <f>SUMIFS(INDEX(Техника!$F$1:$ABM$500,K$2,0),Техника!$F$4:$ABM$4,"Часы",INDEX(Техника!$G$1:$ABN$500,K$2,0),$A$18,INDEX(Техника!$H$1:$ABO$500,K$2,0),"М")</f>
        <v>0</v>
      </c>
      <c r="L19" s="50">
        <f>SUMIFS(INDEX(Техника!$F$1:$ABM$500,L$2,0),Техника!$F$4:$ABM$4,"Часы",INDEX(Техника!$G$1:$ABN$500,L$2,0),$A$18,INDEX(Техника!$H$1:$ABO$500,L$2,0),"М")</f>
        <v>0</v>
      </c>
      <c r="M19" s="50">
        <f>SUMIFS(INDEX(Техника!$F$1:$ABM$500,M$2,0),Техника!$F$4:$ABM$4,"Часы",INDEX(Техника!$G$1:$ABN$500,M$2,0),$A$18,INDEX(Техника!$H$1:$ABO$500,M$2,0),"М")</f>
        <v>0</v>
      </c>
      <c r="N19" s="50">
        <f>SUMIFS(INDEX(Техника!$F$1:$ABM$500,N$2,0),Техника!$F$4:$ABM$4,"Часы",INDEX(Техника!$G$1:$ABN$500,N$2,0),$A$18,INDEX(Техника!$H$1:$ABO$500,N$2,0),"М")</f>
        <v>0</v>
      </c>
      <c r="O19" s="50">
        <f>SUMIFS(INDEX(Техника!$F$1:$ABM$500,O$2,0),Техника!$F$4:$ABM$4,"Часы",INDEX(Техника!$G$1:$ABN$500,O$2,0),$A$18,INDEX(Техника!$H$1:$ABO$500,O$2,0),"М")</f>
        <v>0</v>
      </c>
      <c r="P19" s="50">
        <f>SUMIFS(INDEX(Техника!$F$1:$ABM$500,P$2,0),Техника!$F$4:$ABM$4,"Часы",INDEX(Техника!$G$1:$ABN$500,P$2,0),$A$18,INDEX(Техника!$H$1:$ABO$500,P$2,0),"М")</f>
        <v>0</v>
      </c>
      <c r="Q19" s="50">
        <f>SUMIFS(INDEX(Техника!$F$1:$ABM$500,Q$2,0),Техника!$F$4:$ABM$4,"Часы",INDEX(Техника!$G$1:$ABN$500,Q$2,0),$A$18,INDEX(Техника!$H$1:$ABO$500,Q$2,0),"М")</f>
        <v>0</v>
      </c>
      <c r="R19" s="50">
        <f>SUMIFS(INDEX(Техника!$F$1:$ABM$500,R$2,0),Техника!$F$4:$ABM$4,"Часы",INDEX(Техника!$G$1:$ABN$500,R$2,0),$A$18,INDEX(Техника!$H$1:$ABO$500,R$2,0),"М")</f>
        <v>0</v>
      </c>
      <c r="S19" s="50">
        <f>SUMIFS(INDEX(Техника!$F$1:$ABM$500,S$2,0),Техника!$F$4:$ABM$4,"Часы",INDEX(Техника!$G$1:$ABN$500,S$2,0),$A$18,INDEX(Техника!$H$1:$ABO$500,S$2,0),"М")</f>
        <v>0</v>
      </c>
      <c r="T19" s="50">
        <f>SUMIFS(INDEX(Техника!$F$1:$ABM$500,T$2,0),Техника!$F$4:$ABM$4,"Часы",INDEX(Техника!$G$1:$ABN$500,T$2,0),$A$18,INDEX(Техника!$H$1:$ABO$500,T$2,0),"М")</f>
        <v>0</v>
      </c>
      <c r="U19" s="50">
        <f>SUMIFS(INDEX(Техника!$F$1:$ABM$500,U$2,0),Техника!$F$4:$ABM$4,"Часы",INDEX(Техника!$G$1:$ABN$500,U$2,0),$A$18,INDEX(Техника!$H$1:$ABO$500,U$2,0),"М")</f>
        <v>0</v>
      </c>
      <c r="V19" s="50">
        <f>SUMIFS(INDEX(Техника!$F$1:$ABM$500,V$2,0),Техника!$F$4:$ABM$4,"Часы",INDEX(Техника!$G$1:$ABN$500,V$2,0),$A$18,INDEX(Техника!$H$1:$ABO$500,V$2,0),"М")</f>
        <v>0</v>
      </c>
      <c r="W19" s="50">
        <f>SUMIFS(INDEX(Техника!$F$1:$ABM$500,W$2,0),Техника!$F$4:$ABM$4,"Часы",INDEX(Техника!$G$1:$ABN$500,W$2,0),$A$18,INDEX(Техника!$H$1:$ABO$500,W$2,0),"М")</f>
        <v>0</v>
      </c>
      <c r="X19" s="50">
        <f>SUMIFS(INDEX(Техника!$F$1:$ABM$500,X$2,0),Техника!$F$4:$ABM$4,"Часы",INDEX(Техника!$G$1:$ABN$500,X$2,0),$A$18,INDEX(Техника!$H$1:$ABO$500,X$2,0),"М")</f>
        <v>0</v>
      </c>
      <c r="Y19" s="50">
        <f>SUMIFS(INDEX(Техника!$F$1:$ABM$500,Y$2,0),Техника!$F$4:$ABM$4,"Часы",INDEX(Техника!$G$1:$ABN$500,Y$2,0),$A$18,INDEX(Техника!$H$1:$ABO$500,Y$2,0),"М")</f>
        <v>0</v>
      </c>
      <c r="Z19" s="50">
        <f>SUMIFS(INDEX(Техника!$F$1:$ABM$500,Z$2,0),Техника!$F$4:$ABM$4,"Часы",INDEX(Техника!$G$1:$ABN$500,Z$2,0),$A$18,INDEX(Техника!$H$1:$ABO$500,Z$2,0),"М")</f>
        <v>0</v>
      </c>
      <c r="AA19" s="50">
        <f>SUMIFS(INDEX(Техника!$F$1:$ABM$500,AA$2,0),Техника!$F$4:$ABM$4,"Часы",INDEX(Техника!$G$1:$ABN$500,AA$2,0),$A$18,INDEX(Техника!$H$1:$ABO$500,AA$2,0),"М")</f>
        <v>0</v>
      </c>
      <c r="AB19" s="50">
        <f>SUMIFS(INDEX(Техника!$F$1:$ABM$500,AB$2,0),Техника!$F$4:$ABM$4,"Часы",INDEX(Техника!$G$1:$ABN$500,AB$2,0),$A$18,INDEX(Техника!$H$1:$ABO$500,AB$2,0),"М")</f>
        <v>0</v>
      </c>
    </row>
    <row r="20" spans="1:28" hidden="1" outlineLevel="1" x14ac:dyDescent="0.3">
      <c r="A20" s="33" t="s">
        <v>244</v>
      </c>
      <c r="B20" s="34" t="s">
        <v>275</v>
      </c>
      <c r="C20" s="50">
        <f>SUMIFS(INDEX(Техника!$F$1:$ABM$500,C$2,0),Техника!$F$4:$ABM$4,"Часы",INDEX(Техника!$G$1:$ABN$500,C$2,0),$A$18,INDEX(Техника!$H$1:$ABO$500,C$2,0),"Д")</f>
        <v>0</v>
      </c>
      <c r="D20" s="50">
        <f>SUMIFS(INDEX(Техника!$F$1:$ABM$500,D$2,0),Техника!$F$4:$ABM$4,"Часы",INDEX(Техника!$G$1:$ABN$500,D$2,0),$A$18,INDEX(Техника!$H$1:$ABO$500,D$2,0),"Д")</f>
        <v>0</v>
      </c>
      <c r="E20" s="50">
        <f>SUMIFS(INDEX(Техника!$F$1:$ABM$500,E$2,0),Техника!$F$4:$ABM$4,"Часы",INDEX(Техника!$G$1:$ABN$500,E$2,0),$A$18,INDEX(Техника!$H$1:$ABO$500,E$2,0),"Д")</f>
        <v>0</v>
      </c>
      <c r="F20" s="50">
        <f>SUMIFS(INDEX(Техника!$F$1:$ABM$500,F$2,0),Техника!$F$4:$ABM$4,"Часы",INDEX(Техника!$G$1:$ABN$500,F$2,0),$A$18,INDEX(Техника!$H$1:$ABO$500,F$2,0),"Д")</f>
        <v>0</v>
      </c>
      <c r="G20" s="50">
        <f>SUMIFS(INDEX(Техника!$F$1:$ABM$500,G$2,0),Техника!$F$4:$ABM$4,"Часы",INDEX(Техника!$G$1:$ABN$500,G$2,0),$A$18,INDEX(Техника!$H$1:$ABO$500,G$2,0),"Д")</f>
        <v>0</v>
      </c>
      <c r="H20" s="50">
        <f>SUMIFS(INDEX(Техника!$F$1:$ABM$500,H$2,0),Техника!$F$4:$ABM$4,"Часы",INDEX(Техника!$G$1:$ABN$500,H$2,0),$A$18,INDEX(Техника!$H$1:$ABO$500,H$2,0),"Д")</f>
        <v>0</v>
      </c>
      <c r="I20" s="50">
        <f>SUMIFS(INDEX(Техника!$F$1:$ABM$500,I$2,0),Техника!$F$4:$ABM$4,"Часы",INDEX(Техника!$G$1:$ABN$500,I$2,0),$A$18,INDEX(Техника!$H$1:$ABO$500,I$2,0),"Д")</f>
        <v>0</v>
      </c>
      <c r="J20" s="50">
        <f>SUMIFS(INDEX(Техника!$F$1:$ABM$500,J$2,0),Техника!$F$4:$ABM$4,"Часы",INDEX(Техника!$G$1:$ABN$500,J$2,0),$A$18,INDEX(Техника!$H$1:$ABO$500,J$2,0),"Д")</f>
        <v>0</v>
      </c>
      <c r="K20" s="50">
        <f>SUMIFS(INDEX(Техника!$F$1:$ABM$500,K$2,0),Техника!$F$4:$ABM$4,"Часы",INDEX(Техника!$G$1:$ABN$500,K$2,0),$A$18,INDEX(Техника!$H$1:$ABO$500,K$2,0),"Д")</f>
        <v>0</v>
      </c>
      <c r="L20" s="50">
        <f>SUMIFS(INDEX(Техника!$F$1:$ABM$500,L$2,0),Техника!$F$4:$ABM$4,"Часы",INDEX(Техника!$G$1:$ABN$500,L$2,0),$A$18,INDEX(Техника!$H$1:$ABO$500,L$2,0),"Д")</f>
        <v>0</v>
      </c>
      <c r="M20" s="50">
        <f>SUMIFS(INDEX(Техника!$F$1:$ABM$500,M$2,0),Техника!$F$4:$ABM$4,"Часы",INDEX(Техника!$G$1:$ABN$500,M$2,0),$A$18,INDEX(Техника!$H$1:$ABO$500,M$2,0),"Д")</f>
        <v>0</v>
      </c>
      <c r="N20" s="50">
        <f>SUMIFS(INDEX(Техника!$F$1:$ABM$500,N$2,0),Техника!$F$4:$ABM$4,"Часы",INDEX(Техника!$G$1:$ABN$500,N$2,0),$A$18,INDEX(Техника!$H$1:$ABO$500,N$2,0),"Д")</f>
        <v>0</v>
      </c>
      <c r="O20" s="50">
        <f>SUMIFS(INDEX(Техника!$F$1:$ABM$500,O$2,0),Техника!$F$4:$ABM$4,"Часы",INDEX(Техника!$G$1:$ABN$500,O$2,0),$A$18,INDEX(Техника!$H$1:$ABO$500,O$2,0),"Д")</f>
        <v>0</v>
      </c>
      <c r="P20" s="50">
        <f>SUMIFS(INDEX(Техника!$F$1:$ABM$500,P$2,0),Техника!$F$4:$ABM$4,"Часы",INDEX(Техника!$G$1:$ABN$500,P$2,0),$A$18,INDEX(Техника!$H$1:$ABO$500,P$2,0),"Д")</f>
        <v>0</v>
      </c>
      <c r="Q20" s="50">
        <f>SUMIFS(INDEX(Техника!$F$1:$ABM$500,Q$2,0),Техника!$F$4:$ABM$4,"Часы",INDEX(Техника!$G$1:$ABN$500,Q$2,0),$A$18,INDEX(Техника!$H$1:$ABO$500,Q$2,0),"Д")</f>
        <v>0</v>
      </c>
      <c r="R20" s="50">
        <f>SUMIFS(INDEX(Техника!$F$1:$ABM$500,R$2,0),Техника!$F$4:$ABM$4,"Часы",INDEX(Техника!$G$1:$ABN$500,R$2,0),$A$18,INDEX(Техника!$H$1:$ABO$500,R$2,0),"Д")</f>
        <v>0</v>
      </c>
      <c r="S20" s="50">
        <f>SUMIFS(INDEX(Техника!$F$1:$ABM$500,S$2,0),Техника!$F$4:$ABM$4,"Часы",INDEX(Техника!$G$1:$ABN$500,S$2,0),$A$18,INDEX(Техника!$H$1:$ABO$500,S$2,0),"Д")</f>
        <v>0</v>
      </c>
      <c r="T20" s="50">
        <f>SUMIFS(INDEX(Техника!$F$1:$ABM$500,T$2,0),Техника!$F$4:$ABM$4,"Часы",INDEX(Техника!$G$1:$ABN$500,T$2,0),$A$18,INDEX(Техника!$H$1:$ABO$500,T$2,0),"Д")</f>
        <v>0</v>
      </c>
      <c r="U20" s="50">
        <f>SUMIFS(INDEX(Техника!$F$1:$ABM$500,U$2,0),Техника!$F$4:$ABM$4,"Часы",INDEX(Техника!$G$1:$ABN$500,U$2,0),$A$18,INDEX(Техника!$H$1:$ABO$500,U$2,0),"Д")</f>
        <v>0</v>
      </c>
      <c r="V20" s="50">
        <f>SUMIFS(INDEX(Техника!$F$1:$ABM$500,V$2,0),Техника!$F$4:$ABM$4,"Часы",INDEX(Техника!$G$1:$ABN$500,V$2,0),$A$18,INDEX(Техника!$H$1:$ABO$500,V$2,0),"Д")</f>
        <v>0</v>
      </c>
      <c r="W20" s="50">
        <f>SUMIFS(INDEX(Техника!$F$1:$ABM$500,W$2,0),Техника!$F$4:$ABM$4,"Часы",INDEX(Техника!$G$1:$ABN$500,W$2,0),$A$18,INDEX(Техника!$H$1:$ABO$500,W$2,0),"Д")</f>
        <v>0</v>
      </c>
      <c r="X20" s="50">
        <f>SUMIFS(INDEX(Техника!$F$1:$ABM$500,X$2,0),Техника!$F$4:$ABM$4,"Часы",INDEX(Техника!$G$1:$ABN$500,X$2,0),$A$18,INDEX(Техника!$H$1:$ABO$500,X$2,0),"Д")</f>
        <v>0</v>
      </c>
      <c r="Y20" s="50">
        <f>SUMIFS(INDEX(Техника!$F$1:$ABM$500,Y$2,0),Техника!$F$4:$ABM$4,"Часы",INDEX(Техника!$G$1:$ABN$500,Y$2,0),$A$18,INDEX(Техника!$H$1:$ABO$500,Y$2,0),"Д")</f>
        <v>0</v>
      </c>
      <c r="Z20" s="50">
        <f>SUMIFS(INDEX(Техника!$F$1:$ABM$500,Z$2,0),Техника!$F$4:$ABM$4,"Часы",INDEX(Техника!$G$1:$ABN$500,Z$2,0),$A$18,INDEX(Техника!$H$1:$ABO$500,Z$2,0),"Д")</f>
        <v>0</v>
      </c>
      <c r="AA20" s="50">
        <f>SUMIFS(INDEX(Техника!$F$1:$ABM$500,AA$2,0),Техника!$F$4:$ABM$4,"Часы",INDEX(Техника!$G$1:$ABN$500,AA$2,0),$A$18,INDEX(Техника!$H$1:$ABO$500,AA$2,0),"Д")</f>
        <v>0</v>
      </c>
      <c r="AB20" s="50">
        <f>SUMIFS(INDEX(Техника!$F$1:$ABM$500,AB$2,0),Техника!$F$4:$ABM$4,"Часы",INDEX(Техника!$G$1:$ABN$500,AB$2,0),$A$18,INDEX(Техника!$H$1:$ABO$500,AB$2,0),"Д")</f>
        <v>0</v>
      </c>
    </row>
    <row r="21" spans="1:28" hidden="1" outlineLevel="1" x14ac:dyDescent="0.3">
      <c r="A21" s="33" t="s">
        <v>276</v>
      </c>
      <c r="B21" s="34" t="s">
        <v>277</v>
      </c>
      <c r="C21" s="50">
        <f>SUMIFS(INDEX(Техника!$F$1:$ABM$500,C$2,0),Техника!$F$4:$ABM$4,"Часы",INDEX(Техника!$G$1:$ABN$500,C$2,0),$A$18,INDEX(Техника!$H$1:$ABO$500,C$2,0),"П")</f>
        <v>0</v>
      </c>
      <c r="D21" s="50">
        <f>SUMIFS(INDEX(Техника!$F$1:$ABM$500,D$2,0),Техника!$F$4:$ABM$4,"Часы",INDEX(Техника!$G$1:$ABN$500,D$2,0),$A$18,INDEX(Техника!$H$1:$ABO$500,D$2,0),"П")</f>
        <v>0</v>
      </c>
      <c r="E21" s="50">
        <f>SUMIFS(INDEX(Техника!$F$1:$ABM$500,E$2,0),Техника!$F$4:$ABM$4,"Часы",INDEX(Техника!$G$1:$ABN$500,E$2,0),$A$18,INDEX(Техника!$H$1:$ABO$500,E$2,0),"П")</f>
        <v>0</v>
      </c>
      <c r="F21" s="50">
        <f>SUMIFS(INDEX(Техника!$F$1:$ABM$500,F$2,0),Техника!$F$4:$ABM$4,"Часы",INDEX(Техника!$G$1:$ABN$500,F$2,0),$A$18,INDEX(Техника!$H$1:$ABO$500,F$2,0),"П")</f>
        <v>0</v>
      </c>
      <c r="G21" s="50">
        <f>SUMIFS(INDEX(Техника!$F$1:$ABM$500,G$2,0),Техника!$F$4:$ABM$4,"Часы",INDEX(Техника!$G$1:$ABN$500,G$2,0),$A$18,INDEX(Техника!$H$1:$ABO$500,G$2,0),"П")</f>
        <v>0</v>
      </c>
      <c r="H21" s="50">
        <f>SUMIFS(INDEX(Техника!$F$1:$ABM$500,H$2,0),Техника!$F$4:$ABM$4,"Часы",INDEX(Техника!$G$1:$ABN$500,H$2,0),$A$18,INDEX(Техника!$H$1:$ABO$500,H$2,0),"П")</f>
        <v>0</v>
      </c>
      <c r="I21" s="50">
        <f>SUMIFS(INDEX(Техника!$F$1:$ABM$500,I$2,0),Техника!$F$4:$ABM$4,"Часы",INDEX(Техника!$G$1:$ABN$500,I$2,0),$A$18,INDEX(Техника!$H$1:$ABO$500,I$2,0),"П")</f>
        <v>0</v>
      </c>
      <c r="J21" s="50">
        <f>SUMIFS(INDEX(Техника!$F$1:$ABM$500,J$2,0),Техника!$F$4:$ABM$4,"Часы",INDEX(Техника!$G$1:$ABN$500,J$2,0),$A$18,INDEX(Техника!$H$1:$ABO$500,J$2,0),"П")</f>
        <v>0</v>
      </c>
      <c r="K21" s="50">
        <f>SUMIFS(INDEX(Техника!$F$1:$ABM$500,K$2,0),Техника!$F$4:$ABM$4,"Часы",INDEX(Техника!$G$1:$ABN$500,K$2,0),$A$18,INDEX(Техника!$H$1:$ABO$500,K$2,0),"П")</f>
        <v>0</v>
      </c>
      <c r="L21" s="50">
        <f>SUMIFS(INDEX(Техника!$F$1:$ABM$500,L$2,0),Техника!$F$4:$ABM$4,"Часы",INDEX(Техника!$G$1:$ABN$500,L$2,0),$A$18,INDEX(Техника!$H$1:$ABO$500,L$2,0),"П")</f>
        <v>0</v>
      </c>
      <c r="M21" s="50">
        <f>SUMIFS(INDEX(Техника!$F$1:$ABM$500,M$2,0),Техника!$F$4:$ABM$4,"Часы",INDEX(Техника!$G$1:$ABN$500,M$2,0),$A$18,INDEX(Техника!$H$1:$ABO$500,M$2,0),"П")</f>
        <v>0</v>
      </c>
      <c r="N21" s="50">
        <f>SUMIFS(INDEX(Техника!$F$1:$ABM$500,N$2,0),Техника!$F$4:$ABM$4,"Часы",INDEX(Техника!$G$1:$ABN$500,N$2,0),$A$18,INDEX(Техника!$H$1:$ABO$500,N$2,0),"П")</f>
        <v>0</v>
      </c>
      <c r="O21" s="50">
        <f>SUMIFS(INDEX(Техника!$F$1:$ABM$500,O$2,0),Техника!$F$4:$ABM$4,"Часы",INDEX(Техника!$G$1:$ABN$500,O$2,0),$A$18,INDEX(Техника!$H$1:$ABO$500,O$2,0),"П")</f>
        <v>0</v>
      </c>
      <c r="P21" s="50">
        <f>SUMIFS(INDEX(Техника!$F$1:$ABM$500,P$2,0),Техника!$F$4:$ABM$4,"Часы",INDEX(Техника!$G$1:$ABN$500,P$2,0),$A$18,INDEX(Техника!$H$1:$ABO$500,P$2,0),"П")</f>
        <v>0</v>
      </c>
      <c r="Q21" s="50">
        <f>SUMIFS(INDEX(Техника!$F$1:$ABM$500,Q$2,0),Техника!$F$4:$ABM$4,"Часы",INDEX(Техника!$G$1:$ABN$500,Q$2,0),$A$18,INDEX(Техника!$H$1:$ABO$500,Q$2,0),"П")</f>
        <v>0</v>
      </c>
      <c r="R21" s="50">
        <f>SUMIFS(INDEX(Техника!$F$1:$ABM$500,R$2,0),Техника!$F$4:$ABM$4,"Часы",INDEX(Техника!$G$1:$ABN$500,R$2,0),$A$18,INDEX(Техника!$H$1:$ABO$500,R$2,0),"П")</f>
        <v>0</v>
      </c>
      <c r="S21" s="50">
        <f>SUMIFS(INDEX(Техника!$F$1:$ABM$500,S$2,0),Техника!$F$4:$ABM$4,"Часы",INDEX(Техника!$G$1:$ABN$500,S$2,0),$A$18,INDEX(Техника!$H$1:$ABO$500,S$2,0),"П")</f>
        <v>0</v>
      </c>
      <c r="T21" s="50">
        <f>SUMIFS(INDEX(Техника!$F$1:$ABM$500,T$2,0),Техника!$F$4:$ABM$4,"Часы",INDEX(Техника!$G$1:$ABN$500,T$2,0),$A$18,INDEX(Техника!$H$1:$ABO$500,T$2,0),"П")</f>
        <v>0</v>
      </c>
      <c r="U21" s="50">
        <f>SUMIFS(INDEX(Техника!$F$1:$ABM$500,U$2,0),Техника!$F$4:$ABM$4,"Часы",INDEX(Техника!$G$1:$ABN$500,U$2,0),$A$18,INDEX(Техника!$H$1:$ABO$500,U$2,0),"П")</f>
        <v>0</v>
      </c>
      <c r="V21" s="50">
        <f>SUMIFS(INDEX(Техника!$F$1:$ABM$500,V$2,0),Техника!$F$4:$ABM$4,"Часы",INDEX(Техника!$G$1:$ABN$500,V$2,0),$A$18,INDEX(Техника!$H$1:$ABO$500,V$2,0),"П")</f>
        <v>0</v>
      </c>
      <c r="W21" s="50">
        <f>SUMIFS(INDEX(Техника!$F$1:$ABM$500,W$2,0),Техника!$F$4:$ABM$4,"Часы",INDEX(Техника!$G$1:$ABN$500,W$2,0),$A$18,INDEX(Техника!$H$1:$ABO$500,W$2,0),"П")</f>
        <v>0</v>
      </c>
      <c r="X21" s="50">
        <f>SUMIFS(INDEX(Техника!$F$1:$ABM$500,X$2,0),Техника!$F$4:$ABM$4,"Часы",INDEX(Техника!$G$1:$ABN$500,X$2,0),$A$18,INDEX(Техника!$H$1:$ABO$500,X$2,0),"П")</f>
        <v>0</v>
      </c>
      <c r="Y21" s="50">
        <f>SUMIFS(INDEX(Техника!$F$1:$ABM$500,Y$2,0),Техника!$F$4:$ABM$4,"Часы",INDEX(Техника!$G$1:$ABN$500,Y$2,0),$A$18,INDEX(Техника!$H$1:$ABO$500,Y$2,0),"П")</f>
        <v>0</v>
      </c>
      <c r="Z21" s="50">
        <f>SUMIFS(INDEX(Техника!$F$1:$ABM$500,Z$2,0),Техника!$F$4:$ABM$4,"Часы",INDEX(Техника!$G$1:$ABN$500,Z$2,0),$A$18,INDEX(Техника!$H$1:$ABO$500,Z$2,0),"П")</f>
        <v>0</v>
      </c>
      <c r="AA21" s="50">
        <f>SUMIFS(INDEX(Техника!$F$1:$ABM$500,AA$2,0),Техника!$F$4:$ABM$4,"Часы",INDEX(Техника!$G$1:$ABN$500,AA$2,0),$A$18,INDEX(Техника!$H$1:$ABO$500,AA$2,0),"П")</f>
        <v>0</v>
      </c>
      <c r="AB21" s="50">
        <f>SUMIFS(INDEX(Техника!$F$1:$ABM$500,AB$2,0),Техника!$F$4:$ABM$4,"Часы",INDEX(Техника!$G$1:$ABN$500,AB$2,0),$A$18,INDEX(Техника!$H$1:$ABO$500,AB$2,0),"П")</f>
        <v>0</v>
      </c>
    </row>
    <row r="22" spans="1:28" hidden="1" outlineLevel="1" x14ac:dyDescent="0.3">
      <c r="A22" s="33" t="s">
        <v>243</v>
      </c>
      <c r="B22" s="34" t="s">
        <v>278</v>
      </c>
      <c r="C22" s="50">
        <f>SUMIFS(INDEX(Техника!$F$1:$ABM$500,C$2,0),Техника!$F$4:$ABM$4,"Часы",INDEX(Техника!$G$1:$ABN$500,C$2,0),$A$18,INDEX(Техника!$H$1:$ABO$500,C$2,0),"Л")</f>
        <v>0</v>
      </c>
      <c r="D22" s="50">
        <f>SUMIFS(INDEX(Техника!$F$1:$ABM$500,D$2,0),Техника!$F$4:$ABM$4,"Часы",INDEX(Техника!$G$1:$ABN$500,D$2,0),$A$18,INDEX(Техника!$H$1:$ABO$500,D$2,0),"Л")</f>
        <v>0</v>
      </c>
      <c r="E22" s="50">
        <f>SUMIFS(INDEX(Техника!$F$1:$ABM$500,E$2,0),Техника!$F$4:$ABM$4,"Часы",INDEX(Техника!$G$1:$ABN$500,E$2,0),$A$18,INDEX(Техника!$H$1:$ABO$500,E$2,0),"Л")</f>
        <v>0</v>
      </c>
      <c r="F22" s="50">
        <f>SUMIFS(INDEX(Техника!$F$1:$ABM$500,F$2,0),Техника!$F$4:$ABM$4,"Часы",INDEX(Техника!$G$1:$ABN$500,F$2,0),$A$18,INDEX(Техника!$H$1:$ABO$500,F$2,0),"Л")</f>
        <v>0</v>
      </c>
      <c r="G22" s="50">
        <f>SUMIFS(INDEX(Техника!$F$1:$ABM$500,G$2,0),Техника!$F$4:$ABM$4,"Часы",INDEX(Техника!$G$1:$ABN$500,G$2,0),$A$18,INDEX(Техника!$H$1:$ABO$500,G$2,0),"Л")</f>
        <v>0</v>
      </c>
      <c r="H22" s="50">
        <f>SUMIFS(INDEX(Техника!$F$1:$ABM$500,H$2,0),Техника!$F$4:$ABM$4,"Часы",INDEX(Техника!$G$1:$ABN$500,H$2,0),$A$18,INDEX(Техника!$H$1:$ABO$500,H$2,0),"Л")</f>
        <v>0</v>
      </c>
      <c r="I22" s="50">
        <f>SUMIFS(INDEX(Техника!$F$1:$ABM$500,I$2,0),Техника!$F$4:$ABM$4,"Часы",INDEX(Техника!$G$1:$ABN$500,I$2,0),$A$18,INDEX(Техника!$H$1:$ABO$500,I$2,0),"Л")</f>
        <v>0</v>
      </c>
      <c r="J22" s="50">
        <f>SUMIFS(INDEX(Техника!$F$1:$ABM$500,J$2,0),Техника!$F$4:$ABM$4,"Часы",INDEX(Техника!$G$1:$ABN$500,J$2,0),$A$18,INDEX(Техника!$H$1:$ABO$500,J$2,0),"Л")</f>
        <v>0</v>
      </c>
      <c r="K22" s="50">
        <f>SUMIFS(INDEX(Техника!$F$1:$ABM$500,K$2,0),Техника!$F$4:$ABM$4,"Часы",INDEX(Техника!$G$1:$ABN$500,K$2,0),$A$18,INDEX(Техника!$H$1:$ABO$500,K$2,0),"Л")</f>
        <v>0</v>
      </c>
      <c r="L22" s="50">
        <f>SUMIFS(INDEX(Техника!$F$1:$ABM$500,L$2,0),Техника!$F$4:$ABM$4,"Часы",INDEX(Техника!$G$1:$ABN$500,L$2,0),$A$18,INDEX(Техника!$H$1:$ABO$500,L$2,0),"Л")</f>
        <v>0</v>
      </c>
      <c r="M22" s="50">
        <f>SUMIFS(INDEX(Техника!$F$1:$ABM$500,M$2,0),Техника!$F$4:$ABM$4,"Часы",INDEX(Техника!$G$1:$ABN$500,M$2,0),$A$18,INDEX(Техника!$H$1:$ABO$500,M$2,0),"Л")</f>
        <v>0</v>
      </c>
      <c r="N22" s="50">
        <f>SUMIFS(INDEX(Техника!$F$1:$ABM$500,N$2,0),Техника!$F$4:$ABM$4,"Часы",INDEX(Техника!$G$1:$ABN$500,N$2,0),$A$18,INDEX(Техника!$H$1:$ABO$500,N$2,0),"Л")</f>
        <v>0</v>
      </c>
      <c r="O22" s="50">
        <f>SUMIFS(INDEX(Техника!$F$1:$ABM$500,O$2,0),Техника!$F$4:$ABM$4,"Часы",INDEX(Техника!$G$1:$ABN$500,O$2,0),$A$18,INDEX(Техника!$H$1:$ABO$500,O$2,0),"Л")</f>
        <v>0</v>
      </c>
      <c r="P22" s="50">
        <f>SUMIFS(INDEX(Техника!$F$1:$ABM$500,P$2,0),Техника!$F$4:$ABM$4,"Часы",INDEX(Техника!$G$1:$ABN$500,P$2,0),$A$18,INDEX(Техника!$H$1:$ABO$500,P$2,0),"Л")</f>
        <v>0</v>
      </c>
      <c r="Q22" s="50">
        <f>SUMIFS(INDEX(Техника!$F$1:$ABM$500,Q$2,0),Техника!$F$4:$ABM$4,"Часы",INDEX(Техника!$G$1:$ABN$500,Q$2,0),$A$18,INDEX(Техника!$H$1:$ABO$500,Q$2,0),"Л")</f>
        <v>0</v>
      </c>
      <c r="R22" s="50">
        <f>SUMIFS(INDEX(Техника!$F$1:$ABM$500,R$2,0),Техника!$F$4:$ABM$4,"Часы",INDEX(Техника!$G$1:$ABN$500,R$2,0),$A$18,INDEX(Техника!$H$1:$ABO$500,R$2,0),"Л")</f>
        <v>0</v>
      </c>
      <c r="S22" s="50">
        <f>SUMIFS(INDEX(Техника!$F$1:$ABM$500,S$2,0),Техника!$F$4:$ABM$4,"Часы",INDEX(Техника!$G$1:$ABN$500,S$2,0),$A$18,INDEX(Техника!$H$1:$ABO$500,S$2,0),"Л")</f>
        <v>0</v>
      </c>
      <c r="T22" s="50">
        <f>SUMIFS(INDEX(Техника!$F$1:$ABM$500,T$2,0),Техника!$F$4:$ABM$4,"Часы",INDEX(Техника!$G$1:$ABN$500,T$2,0),$A$18,INDEX(Техника!$H$1:$ABO$500,T$2,0),"Л")</f>
        <v>0</v>
      </c>
      <c r="U22" s="50">
        <f>SUMIFS(INDEX(Техника!$F$1:$ABM$500,U$2,0),Техника!$F$4:$ABM$4,"Часы",INDEX(Техника!$G$1:$ABN$500,U$2,0),$A$18,INDEX(Техника!$H$1:$ABO$500,U$2,0),"Л")</f>
        <v>0</v>
      </c>
      <c r="V22" s="50">
        <f>SUMIFS(INDEX(Техника!$F$1:$ABM$500,V$2,0),Техника!$F$4:$ABM$4,"Часы",INDEX(Техника!$G$1:$ABN$500,V$2,0),$A$18,INDEX(Техника!$H$1:$ABO$500,V$2,0),"Л")</f>
        <v>0</v>
      </c>
      <c r="W22" s="50">
        <f>SUMIFS(INDEX(Техника!$F$1:$ABM$500,W$2,0),Техника!$F$4:$ABM$4,"Часы",INDEX(Техника!$G$1:$ABN$500,W$2,0),$A$18,INDEX(Техника!$H$1:$ABO$500,W$2,0),"Л")</f>
        <v>0</v>
      </c>
      <c r="X22" s="50">
        <f>SUMIFS(INDEX(Техника!$F$1:$ABM$500,X$2,0),Техника!$F$4:$ABM$4,"Часы",INDEX(Техника!$G$1:$ABN$500,X$2,0),$A$18,INDEX(Техника!$H$1:$ABO$500,X$2,0),"Л")</f>
        <v>0</v>
      </c>
      <c r="Y22" s="50">
        <f>SUMIFS(INDEX(Техника!$F$1:$ABM$500,Y$2,0),Техника!$F$4:$ABM$4,"Часы",INDEX(Техника!$G$1:$ABN$500,Y$2,0),$A$18,INDEX(Техника!$H$1:$ABO$500,Y$2,0),"Л")</f>
        <v>0</v>
      </c>
      <c r="Z22" s="50">
        <f>SUMIFS(INDEX(Техника!$F$1:$ABM$500,Z$2,0),Техника!$F$4:$ABM$4,"Часы",INDEX(Техника!$G$1:$ABN$500,Z$2,0),$A$18,INDEX(Техника!$H$1:$ABO$500,Z$2,0),"Л")</f>
        <v>0</v>
      </c>
      <c r="AA22" s="50">
        <f>SUMIFS(INDEX(Техника!$F$1:$ABM$500,AA$2,0),Техника!$F$4:$ABM$4,"Часы",INDEX(Техника!$G$1:$ABN$500,AA$2,0),$A$18,INDEX(Техника!$H$1:$ABO$500,AA$2,0),"Л")</f>
        <v>0</v>
      </c>
      <c r="AB22" s="50">
        <f>SUMIFS(INDEX(Техника!$F$1:$ABM$500,AB$2,0),Техника!$F$4:$ABM$4,"Часы",INDEX(Техника!$G$1:$ABN$500,AB$2,0),$A$18,INDEX(Техника!$H$1:$ABO$500,AB$2,0),"Л")</f>
        <v>0</v>
      </c>
    </row>
    <row r="23" spans="1:28" hidden="1" outlineLevel="1" x14ac:dyDescent="0.3">
      <c r="A23" s="33" t="s">
        <v>245</v>
      </c>
      <c r="B23" s="34" t="s">
        <v>279</v>
      </c>
      <c r="C23" s="50">
        <f>SUMIFS(INDEX(Техника!$F$1:$ABM$500,C$2,0),Техника!$F$4:$ABM$4,"Часы",INDEX(Техника!$G$1:$ABN$500,C$2,0),$A$18,INDEX(Техника!$H$1:$ABO$500,C$2,0),"З")</f>
        <v>0</v>
      </c>
      <c r="D23" s="50">
        <f>SUMIFS(INDEX(Техника!$F$1:$ABM$500,D$2,0),Техника!$F$4:$ABM$4,"Часы",INDEX(Техника!$G$1:$ABN$500,D$2,0),$A$18,INDEX(Техника!$H$1:$ABO$500,D$2,0),"З")</f>
        <v>0</v>
      </c>
      <c r="E23" s="50">
        <f>SUMIFS(INDEX(Техника!$F$1:$ABM$500,E$2,0),Техника!$F$4:$ABM$4,"Часы",INDEX(Техника!$G$1:$ABN$500,E$2,0),$A$18,INDEX(Техника!$H$1:$ABO$500,E$2,0),"З")</f>
        <v>0</v>
      </c>
      <c r="F23" s="50">
        <f>SUMIFS(INDEX(Техника!$F$1:$ABM$500,F$2,0),Техника!$F$4:$ABM$4,"Часы",INDEX(Техника!$G$1:$ABN$500,F$2,0),$A$18,INDEX(Техника!$H$1:$ABO$500,F$2,0),"З")</f>
        <v>0</v>
      </c>
      <c r="G23" s="50">
        <f>SUMIFS(INDEX(Техника!$F$1:$ABM$500,G$2,0),Техника!$F$4:$ABM$4,"Часы",INDEX(Техника!$G$1:$ABN$500,G$2,0),$A$18,INDEX(Техника!$H$1:$ABO$500,G$2,0),"З")</f>
        <v>0</v>
      </c>
      <c r="H23" s="50">
        <f>SUMIFS(INDEX(Техника!$F$1:$ABM$500,H$2,0),Техника!$F$4:$ABM$4,"Часы",INDEX(Техника!$G$1:$ABN$500,H$2,0),$A$18,INDEX(Техника!$H$1:$ABO$500,H$2,0),"З")</f>
        <v>0</v>
      </c>
      <c r="I23" s="50">
        <f>SUMIFS(INDEX(Техника!$F$1:$ABM$500,I$2,0),Техника!$F$4:$ABM$4,"Часы",INDEX(Техника!$G$1:$ABN$500,I$2,0),$A$18,INDEX(Техника!$H$1:$ABO$500,I$2,0),"З")</f>
        <v>0</v>
      </c>
      <c r="J23" s="50">
        <f>SUMIFS(INDEX(Техника!$F$1:$ABM$500,J$2,0),Техника!$F$4:$ABM$4,"Часы",INDEX(Техника!$G$1:$ABN$500,J$2,0),$A$18,INDEX(Техника!$H$1:$ABO$500,J$2,0),"З")</f>
        <v>0</v>
      </c>
      <c r="K23" s="50">
        <f>SUMIFS(INDEX(Техника!$F$1:$ABM$500,K$2,0),Техника!$F$4:$ABM$4,"Часы",INDEX(Техника!$G$1:$ABN$500,K$2,0),$A$18,INDEX(Техника!$H$1:$ABO$500,K$2,0),"З")</f>
        <v>0</v>
      </c>
      <c r="L23" s="50">
        <f>SUMIFS(INDEX(Техника!$F$1:$ABM$500,L$2,0),Техника!$F$4:$ABM$4,"Часы",INDEX(Техника!$G$1:$ABN$500,L$2,0),$A$18,INDEX(Техника!$H$1:$ABO$500,L$2,0),"З")</f>
        <v>0</v>
      </c>
      <c r="M23" s="50">
        <f>SUMIFS(INDEX(Техника!$F$1:$ABM$500,M$2,0),Техника!$F$4:$ABM$4,"Часы",INDEX(Техника!$G$1:$ABN$500,M$2,0),$A$18,INDEX(Техника!$H$1:$ABO$500,M$2,0),"З")</f>
        <v>0</v>
      </c>
      <c r="N23" s="50">
        <f>SUMIFS(INDEX(Техника!$F$1:$ABM$500,N$2,0),Техника!$F$4:$ABM$4,"Часы",INDEX(Техника!$G$1:$ABN$500,N$2,0),$A$18,INDEX(Техника!$H$1:$ABO$500,N$2,0),"З")</f>
        <v>0</v>
      </c>
      <c r="O23" s="50">
        <f>SUMIFS(INDEX(Техника!$F$1:$ABM$500,O$2,0),Техника!$F$4:$ABM$4,"Часы",INDEX(Техника!$G$1:$ABN$500,O$2,0),$A$18,INDEX(Техника!$H$1:$ABO$500,O$2,0),"З")</f>
        <v>0</v>
      </c>
      <c r="P23" s="50">
        <f>SUMIFS(INDEX(Техника!$F$1:$ABM$500,P$2,0),Техника!$F$4:$ABM$4,"Часы",INDEX(Техника!$G$1:$ABN$500,P$2,0),$A$18,INDEX(Техника!$H$1:$ABO$500,P$2,0),"З")</f>
        <v>0</v>
      </c>
      <c r="Q23" s="50">
        <f>SUMIFS(INDEX(Техника!$F$1:$ABM$500,Q$2,0),Техника!$F$4:$ABM$4,"Часы",INDEX(Техника!$G$1:$ABN$500,Q$2,0),$A$18,INDEX(Техника!$H$1:$ABO$500,Q$2,0),"З")</f>
        <v>0</v>
      </c>
      <c r="R23" s="50">
        <f>SUMIFS(INDEX(Техника!$F$1:$ABM$500,R$2,0),Техника!$F$4:$ABM$4,"Часы",INDEX(Техника!$G$1:$ABN$500,R$2,0),$A$18,INDEX(Техника!$H$1:$ABO$500,R$2,0),"З")</f>
        <v>0</v>
      </c>
      <c r="S23" s="50">
        <f>SUMIFS(INDEX(Техника!$F$1:$ABM$500,S$2,0),Техника!$F$4:$ABM$4,"Часы",INDEX(Техника!$G$1:$ABN$500,S$2,0),$A$18,INDEX(Техника!$H$1:$ABO$500,S$2,0),"З")</f>
        <v>0</v>
      </c>
      <c r="T23" s="50">
        <f>SUMIFS(INDEX(Техника!$F$1:$ABM$500,T$2,0),Техника!$F$4:$ABM$4,"Часы",INDEX(Техника!$G$1:$ABN$500,T$2,0),$A$18,INDEX(Техника!$H$1:$ABO$500,T$2,0),"З")</f>
        <v>0</v>
      </c>
      <c r="U23" s="50">
        <f>SUMIFS(INDEX(Техника!$F$1:$ABM$500,U$2,0),Техника!$F$4:$ABM$4,"Часы",INDEX(Техника!$G$1:$ABN$500,U$2,0),$A$18,INDEX(Техника!$H$1:$ABO$500,U$2,0),"З")</f>
        <v>0</v>
      </c>
      <c r="V23" s="50">
        <f>SUMIFS(INDEX(Техника!$F$1:$ABM$500,V$2,0),Техника!$F$4:$ABM$4,"Часы",INDEX(Техника!$G$1:$ABN$500,V$2,0),$A$18,INDEX(Техника!$H$1:$ABO$500,V$2,0),"З")</f>
        <v>0</v>
      </c>
      <c r="W23" s="50">
        <f>SUMIFS(INDEX(Техника!$F$1:$ABM$500,W$2,0),Техника!$F$4:$ABM$4,"Часы",INDEX(Техника!$G$1:$ABN$500,W$2,0),$A$18,INDEX(Техника!$H$1:$ABO$500,W$2,0),"З")</f>
        <v>0</v>
      </c>
      <c r="X23" s="50">
        <f>SUMIFS(INDEX(Техника!$F$1:$ABM$500,X$2,0),Техника!$F$4:$ABM$4,"Часы",INDEX(Техника!$G$1:$ABN$500,X$2,0),$A$18,INDEX(Техника!$H$1:$ABO$500,X$2,0),"З")</f>
        <v>0</v>
      </c>
      <c r="Y23" s="50">
        <f>SUMIFS(INDEX(Техника!$F$1:$ABM$500,Y$2,0),Техника!$F$4:$ABM$4,"Часы",INDEX(Техника!$G$1:$ABN$500,Y$2,0),$A$18,INDEX(Техника!$H$1:$ABO$500,Y$2,0),"З")</f>
        <v>0</v>
      </c>
      <c r="Z23" s="50">
        <f>SUMIFS(INDEX(Техника!$F$1:$ABM$500,Z$2,0),Техника!$F$4:$ABM$4,"Часы",INDEX(Техника!$G$1:$ABN$500,Z$2,0),$A$18,INDEX(Техника!$H$1:$ABO$500,Z$2,0),"З")</f>
        <v>0</v>
      </c>
      <c r="AA23" s="50">
        <f>SUMIFS(INDEX(Техника!$F$1:$ABM$500,AA$2,0),Техника!$F$4:$ABM$4,"Часы",INDEX(Техника!$G$1:$ABN$500,AA$2,0),$A$18,INDEX(Техника!$H$1:$ABO$500,AA$2,0),"З")</f>
        <v>0</v>
      </c>
      <c r="AB23" s="50">
        <f>SUMIFS(INDEX(Техника!$F$1:$ABM$500,AB$2,0),Техника!$F$4:$ABM$4,"Часы",INDEX(Техника!$G$1:$ABN$500,AB$2,0),$A$18,INDEX(Техника!$H$1:$ABO$500,AB$2,0),"З")</f>
        <v>0</v>
      </c>
    </row>
    <row r="24" spans="1:28" ht="7.95" customHeight="1" x14ac:dyDescent="0.3">
      <c r="A24" s="38"/>
      <c r="B24" s="39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 spans="1:28" ht="25.05" customHeight="1" collapsed="1" x14ac:dyDescent="0.3">
      <c r="A25" s="32">
        <v>4</v>
      </c>
      <c r="B25" s="32" t="s">
        <v>5</v>
      </c>
      <c r="C25" s="49">
        <f>SUM(C26:C30)</f>
        <v>0</v>
      </c>
      <c r="D25" s="49">
        <f>SUM(D26:D30)</f>
        <v>0</v>
      </c>
      <c r="E25" s="49">
        <f>SUM(E26:E30)</f>
        <v>0</v>
      </c>
      <c r="F25" s="49">
        <f>SUM(F26:F30)</f>
        <v>0</v>
      </c>
      <c r="G25" s="49">
        <f>SUM(G26:G30)</f>
        <v>0</v>
      </c>
      <c r="H25" s="49">
        <f>SUM(H26:H30)</f>
        <v>0</v>
      </c>
      <c r="I25" s="49">
        <f>SUM(I26:I30)</f>
        <v>0</v>
      </c>
      <c r="J25" s="49">
        <f>SUM(J26:J30)</f>
        <v>0</v>
      </c>
      <c r="K25" s="49">
        <f>SUM(K26:K30)</f>
        <v>0</v>
      </c>
      <c r="L25" s="49">
        <f>SUM(L26:L30)</f>
        <v>0</v>
      </c>
      <c r="M25" s="49">
        <f>SUM(M26:M30)</f>
        <v>0</v>
      </c>
      <c r="N25" s="49">
        <f>SUM(N26:N30)</f>
        <v>0</v>
      </c>
      <c r="O25" s="49">
        <f>SUM(O26:O30)</f>
        <v>0</v>
      </c>
      <c r="P25" s="49">
        <f>SUM(P26:P30)</f>
        <v>0</v>
      </c>
      <c r="Q25" s="49">
        <f>SUM(Q26:Q30)</f>
        <v>0</v>
      </c>
      <c r="R25" s="49">
        <f>SUM(R26:R30)</f>
        <v>0</v>
      </c>
      <c r="S25" s="49">
        <f>SUM(S26:S30)</f>
        <v>0</v>
      </c>
      <c r="T25" s="49">
        <f>SUM(T26:T30)</f>
        <v>0</v>
      </c>
      <c r="U25" s="49">
        <f>SUM(U26:U30)</f>
        <v>0</v>
      </c>
      <c r="V25" s="49">
        <f>SUM(V26:V30)</f>
        <v>0</v>
      </c>
      <c r="W25" s="49">
        <f>SUM(W26:W30)</f>
        <v>0</v>
      </c>
      <c r="X25" s="49">
        <f>SUM(X26:X30)</f>
        <v>0</v>
      </c>
      <c r="Y25" s="49">
        <f>SUM(Y26:Y30)</f>
        <v>0</v>
      </c>
      <c r="Z25" s="49">
        <f>SUM(Z26:Z30)</f>
        <v>0</v>
      </c>
      <c r="AA25" s="49">
        <f>SUM(AA26:AA30)</f>
        <v>0</v>
      </c>
      <c r="AB25" s="49">
        <f>SUM(AB26:AB30)</f>
        <v>0</v>
      </c>
    </row>
    <row r="26" spans="1:28" hidden="1" outlineLevel="1" x14ac:dyDescent="0.3">
      <c r="A26" s="33" t="s">
        <v>246</v>
      </c>
      <c r="B26" s="34" t="s">
        <v>274</v>
      </c>
      <c r="C26" s="50">
        <f>SUMIFS(INDEX(Техника!$F$1:$ABM$500,C$2,0),Техника!$F$4:$ABM$4,"Часы",INDEX(Техника!$G$1:$ABN$500,C$2,0),$A$25,INDEX(Техника!$H$1:$ABO$500,C$2,0),"М")</f>
        <v>0</v>
      </c>
      <c r="D26" s="50">
        <f>SUMIFS(INDEX(Техника!$F$1:$ABM$500,D$2,0),Техника!$F$4:$ABM$4,"Часы",INDEX(Техника!$G$1:$ABN$500,D$2,0),$A$25,INDEX(Техника!$H$1:$ABO$500,D$2,0),"М")</f>
        <v>0</v>
      </c>
      <c r="E26" s="50">
        <f>SUMIFS(INDEX(Техника!$F$1:$ABM$500,E$2,0),Техника!$F$4:$ABM$4,"Часы",INDEX(Техника!$G$1:$ABN$500,E$2,0),$A$25,INDEX(Техника!$H$1:$ABO$500,E$2,0),"М")</f>
        <v>0</v>
      </c>
      <c r="F26" s="50">
        <f>SUMIFS(INDEX(Техника!$F$1:$ABM$500,F$2,0),Техника!$F$4:$ABM$4,"Часы",INDEX(Техника!$G$1:$ABN$500,F$2,0),$A$25,INDEX(Техника!$H$1:$ABO$500,F$2,0),"М")</f>
        <v>0</v>
      </c>
      <c r="G26" s="50">
        <f>SUMIFS(INDEX(Техника!$F$1:$ABM$500,G$2,0),Техника!$F$4:$ABM$4,"Часы",INDEX(Техника!$G$1:$ABN$500,G$2,0),$A$25,INDEX(Техника!$H$1:$ABO$500,G$2,0),"М")</f>
        <v>0</v>
      </c>
      <c r="H26" s="50">
        <f>SUMIFS(INDEX(Техника!$F$1:$ABM$500,H$2,0),Техника!$F$4:$ABM$4,"Часы",INDEX(Техника!$G$1:$ABN$500,H$2,0),$A$25,INDEX(Техника!$H$1:$ABO$500,H$2,0),"М")</f>
        <v>0</v>
      </c>
      <c r="I26" s="50">
        <f>SUMIFS(INDEX(Техника!$F$1:$ABM$500,I$2,0),Техника!$F$4:$ABM$4,"Часы",INDEX(Техника!$G$1:$ABN$500,I$2,0),$A$25,INDEX(Техника!$H$1:$ABO$500,I$2,0),"М")</f>
        <v>0</v>
      </c>
      <c r="J26" s="50">
        <f>SUMIFS(INDEX(Техника!$F$1:$ABM$500,J$2,0),Техника!$F$4:$ABM$4,"Часы",INDEX(Техника!$G$1:$ABN$500,J$2,0),$A$25,INDEX(Техника!$H$1:$ABO$500,J$2,0),"М")</f>
        <v>0</v>
      </c>
      <c r="K26" s="50">
        <f>SUMIFS(INDEX(Техника!$F$1:$ABM$500,K$2,0),Техника!$F$4:$ABM$4,"Часы",INDEX(Техника!$G$1:$ABN$500,K$2,0),$A$25,INDEX(Техника!$H$1:$ABO$500,K$2,0),"М")</f>
        <v>0</v>
      </c>
      <c r="L26" s="50">
        <f>SUMIFS(INDEX(Техника!$F$1:$ABM$500,L$2,0),Техника!$F$4:$ABM$4,"Часы",INDEX(Техника!$G$1:$ABN$500,L$2,0),$A$25,INDEX(Техника!$H$1:$ABO$500,L$2,0),"М")</f>
        <v>0</v>
      </c>
      <c r="M26" s="50">
        <f>SUMIFS(INDEX(Техника!$F$1:$ABM$500,M$2,0),Техника!$F$4:$ABM$4,"Часы",INDEX(Техника!$G$1:$ABN$500,M$2,0),$A$25,INDEX(Техника!$H$1:$ABO$500,M$2,0),"М")</f>
        <v>0</v>
      </c>
      <c r="N26" s="50">
        <f>SUMIFS(INDEX(Техника!$F$1:$ABM$500,N$2,0),Техника!$F$4:$ABM$4,"Часы",INDEX(Техника!$G$1:$ABN$500,N$2,0),$A$25,INDEX(Техника!$H$1:$ABO$500,N$2,0),"М")</f>
        <v>0</v>
      </c>
      <c r="O26" s="50">
        <f>SUMIFS(INDEX(Техника!$F$1:$ABM$500,O$2,0),Техника!$F$4:$ABM$4,"Часы",INDEX(Техника!$G$1:$ABN$500,O$2,0),$A$25,INDEX(Техника!$H$1:$ABO$500,O$2,0),"М")</f>
        <v>0</v>
      </c>
      <c r="P26" s="50">
        <f>SUMIFS(INDEX(Техника!$F$1:$ABM$500,P$2,0),Техника!$F$4:$ABM$4,"Часы",INDEX(Техника!$G$1:$ABN$500,P$2,0),$A$25,INDEX(Техника!$H$1:$ABO$500,P$2,0),"М")</f>
        <v>0</v>
      </c>
      <c r="Q26" s="50">
        <f>SUMIFS(INDEX(Техника!$F$1:$ABM$500,Q$2,0),Техника!$F$4:$ABM$4,"Часы",INDEX(Техника!$G$1:$ABN$500,Q$2,0),$A$25,INDEX(Техника!$H$1:$ABO$500,Q$2,0),"М")</f>
        <v>0</v>
      </c>
      <c r="R26" s="50">
        <f>SUMIFS(INDEX(Техника!$F$1:$ABM$500,R$2,0),Техника!$F$4:$ABM$4,"Часы",INDEX(Техника!$G$1:$ABN$500,R$2,0),$A$25,INDEX(Техника!$H$1:$ABO$500,R$2,0),"М")</f>
        <v>0</v>
      </c>
      <c r="S26" s="50">
        <f>SUMIFS(INDEX(Техника!$F$1:$ABM$500,S$2,0),Техника!$F$4:$ABM$4,"Часы",INDEX(Техника!$G$1:$ABN$500,S$2,0),$A$25,INDEX(Техника!$H$1:$ABO$500,S$2,0),"М")</f>
        <v>0</v>
      </c>
      <c r="T26" s="50">
        <f>SUMIFS(INDEX(Техника!$F$1:$ABM$500,T$2,0),Техника!$F$4:$ABM$4,"Часы",INDEX(Техника!$G$1:$ABN$500,T$2,0),$A$25,INDEX(Техника!$H$1:$ABO$500,T$2,0),"М")</f>
        <v>0</v>
      </c>
      <c r="U26" s="50">
        <f>SUMIFS(INDEX(Техника!$F$1:$ABM$500,U$2,0),Техника!$F$4:$ABM$4,"Часы",INDEX(Техника!$G$1:$ABN$500,U$2,0),$A$25,INDEX(Техника!$H$1:$ABO$500,U$2,0),"М")</f>
        <v>0</v>
      </c>
      <c r="V26" s="50">
        <f>SUMIFS(INDEX(Техника!$F$1:$ABM$500,V$2,0),Техника!$F$4:$ABM$4,"Часы",INDEX(Техника!$G$1:$ABN$500,V$2,0),$A$25,INDEX(Техника!$H$1:$ABO$500,V$2,0),"М")</f>
        <v>0</v>
      </c>
      <c r="W26" s="50">
        <f>SUMIFS(INDEX(Техника!$F$1:$ABM$500,W$2,0),Техника!$F$4:$ABM$4,"Часы",INDEX(Техника!$G$1:$ABN$500,W$2,0),$A$25,INDEX(Техника!$H$1:$ABO$500,W$2,0),"М")</f>
        <v>0</v>
      </c>
      <c r="X26" s="50">
        <f>SUMIFS(INDEX(Техника!$F$1:$ABM$500,X$2,0),Техника!$F$4:$ABM$4,"Часы",INDEX(Техника!$G$1:$ABN$500,X$2,0),$A$25,INDEX(Техника!$H$1:$ABO$500,X$2,0),"М")</f>
        <v>0</v>
      </c>
      <c r="Y26" s="50">
        <f>SUMIFS(INDEX(Техника!$F$1:$ABM$500,Y$2,0),Техника!$F$4:$ABM$4,"Часы",INDEX(Техника!$G$1:$ABN$500,Y$2,0),$A$25,INDEX(Техника!$H$1:$ABO$500,Y$2,0),"М")</f>
        <v>0</v>
      </c>
      <c r="Z26" s="50">
        <f>SUMIFS(INDEX(Техника!$F$1:$ABM$500,Z$2,0),Техника!$F$4:$ABM$4,"Часы",INDEX(Техника!$G$1:$ABN$500,Z$2,0),$A$25,INDEX(Техника!$H$1:$ABO$500,Z$2,0),"М")</f>
        <v>0</v>
      </c>
      <c r="AA26" s="50">
        <f>SUMIFS(INDEX(Техника!$F$1:$ABM$500,AA$2,0),Техника!$F$4:$ABM$4,"Часы",INDEX(Техника!$G$1:$ABN$500,AA$2,0),$A$25,INDEX(Техника!$H$1:$ABO$500,AA$2,0),"М")</f>
        <v>0</v>
      </c>
      <c r="AB26" s="50">
        <f>SUMIFS(INDEX(Техника!$F$1:$ABM$500,AB$2,0),Техника!$F$4:$ABM$4,"Часы",INDEX(Техника!$G$1:$ABN$500,AB$2,0),$A$25,INDEX(Техника!$H$1:$ABO$500,AB$2,0),"М")</f>
        <v>0</v>
      </c>
    </row>
    <row r="27" spans="1:28" hidden="1" outlineLevel="1" x14ac:dyDescent="0.3">
      <c r="A27" s="33" t="s">
        <v>244</v>
      </c>
      <c r="B27" s="34" t="s">
        <v>275</v>
      </c>
      <c r="C27" s="50">
        <f>SUMIFS(INDEX(Техника!$F$1:$ABM$500,C$2,0),Техника!$F$4:$ABM$4,"Часы",INDEX(Техника!$G$1:$ABN$500,C$2,0),$A$25,INDEX(Техника!$H$1:$ABO$500,C$2,0),"Д")</f>
        <v>0</v>
      </c>
      <c r="D27" s="50">
        <f>SUMIFS(INDEX(Техника!$F$1:$ABM$500,D$2,0),Техника!$F$4:$ABM$4,"Часы",INDEX(Техника!$G$1:$ABN$500,D$2,0),$A$25,INDEX(Техника!$H$1:$ABO$500,D$2,0),"Д")</f>
        <v>0</v>
      </c>
      <c r="E27" s="50">
        <f>SUMIFS(INDEX(Техника!$F$1:$ABM$500,E$2,0),Техника!$F$4:$ABM$4,"Часы",INDEX(Техника!$G$1:$ABN$500,E$2,0),$A$25,INDEX(Техника!$H$1:$ABO$500,E$2,0),"Д")</f>
        <v>0</v>
      </c>
      <c r="F27" s="50">
        <f>SUMIFS(INDEX(Техника!$F$1:$ABM$500,F$2,0),Техника!$F$4:$ABM$4,"Часы",INDEX(Техника!$G$1:$ABN$500,F$2,0),$A$25,INDEX(Техника!$H$1:$ABO$500,F$2,0),"Д")</f>
        <v>0</v>
      </c>
      <c r="G27" s="50">
        <f>SUMIFS(INDEX(Техника!$F$1:$ABM$500,G$2,0),Техника!$F$4:$ABM$4,"Часы",INDEX(Техника!$G$1:$ABN$500,G$2,0),$A$25,INDEX(Техника!$H$1:$ABO$500,G$2,0),"Д")</f>
        <v>0</v>
      </c>
      <c r="H27" s="50">
        <f>SUMIFS(INDEX(Техника!$F$1:$ABM$500,H$2,0),Техника!$F$4:$ABM$4,"Часы",INDEX(Техника!$G$1:$ABN$500,H$2,0),$A$25,INDEX(Техника!$H$1:$ABO$500,H$2,0),"Д")</f>
        <v>0</v>
      </c>
      <c r="I27" s="50">
        <f>SUMIFS(INDEX(Техника!$F$1:$ABM$500,I$2,0),Техника!$F$4:$ABM$4,"Часы",INDEX(Техника!$G$1:$ABN$500,I$2,0),$A$25,INDEX(Техника!$H$1:$ABO$500,I$2,0),"Д")</f>
        <v>0</v>
      </c>
      <c r="J27" s="50">
        <f>SUMIFS(INDEX(Техника!$F$1:$ABM$500,J$2,0),Техника!$F$4:$ABM$4,"Часы",INDEX(Техника!$G$1:$ABN$500,J$2,0),$A$25,INDEX(Техника!$H$1:$ABO$500,J$2,0),"Д")</f>
        <v>0</v>
      </c>
      <c r="K27" s="50">
        <f>SUMIFS(INDEX(Техника!$F$1:$ABM$500,K$2,0),Техника!$F$4:$ABM$4,"Часы",INDEX(Техника!$G$1:$ABN$500,K$2,0),$A$25,INDEX(Техника!$H$1:$ABO$500,K$2,0),"Д")</f>
        <v>0</v>
      </c>
      <c r="L27" s="50">
        <f>SUMIFS(INDEX(Техника!$F$1:$ABM$500,L$2,0),Техника!$F$4:$ABM$4,"Часы",INDEX(Техника!$G$1:$ABN$500,L$2,0),$A$25,INDEX(Техника!$H$1:$ABO$500,L$2,0),"Д")</f>
        <v>0</v>
      </c>
      <c r="M27" s="50">
        <f>SUMIFS(INDEX(Техника!$F$1:$ABM$500,M$2,0),Техника!$F$4:$ABM$4,"Часы",INDEX(Техника!$G$1:$ABN$500,M$2,0),$A$25,INDEX(Техника!$H$1:$ABO$500,M$2,0),"Д")</f>
        <v>0</v>
      </c>
      <c r="N27" s="50">
        <f>SUMIFS(INDEX(Техника!$F$1:$ABM$500,N$2,0),Техника!$F$4:$ABM$4,"Часы",INDEX(Техника!$G$1:$ABN$500,N$2,0),$A$25,INDEX(Техника!$H$1:$ABO$500,N$2,0),"Д")</f>
        <v>0</v>
      </c>
      <c r="O27" s="50">
        <f>SUMIFS(INDEX(Техника!$F$1:$ABM$500,O$2,0),Техника!$F$4:$ABM$4,"Часы",INDEX(Техника!$G$1:$ABN$500,O$2,0),$A$25,INDEX(Техника!$H$1:$ABO$500,O$2,0),"Д")</f>
        <v>0</v>
      </c>
      <c r="P27" s="50">
        <f>SUMIFS(INDEX(Техника!$F$1:$ABM$500,P$2,0),Техника!$F$4:$ABM$4,"Часы",INDEX(Техника!$G$1:$ABN$500,P$2,0),$A$25,INDEX(Техника!$H$1:$ABO$500,P$2,0),"Д")</f>
        <v>0</v>
      </c>
      <c r="Q27" s="50">
        <f>SUMIFS(INDEX(Техника!$F$1:$ABM$500,Q$2,0),Техника!$F$4:$ABM$4,"Часы",INDEX(Техника!$G$1:$ABN$500,Q$2,0),$A$25,INDEX(Техника!$H$1:$ABO$500,Q$2,0),"Д")</f>
        <v>0</v>
      </c>
      <c r="R27" s="50">
        <f>SUMIFS(INDEX(Техника!$F$1:$ABM$500,R$2,0),Техника!$F$4:$ABM$4,"Часы",INDEX(Техника!$G$1:$ABN$500,R$2,0),$A$25,INDEX(Техника!$H$1:$ABO$500,R$2,0),"Д")</f>
        <v>0</v>
      </c>
      <c r="S27" s="50">
        <f>SUMIFS(INDEX(Техника!$F$1:$ABM$500,S$2,0),Техника!$F$4:$ABM$4,"Часы",INDEX(Техника!$G$1:$ABN$500,S$2,0),$A$25,INDEX(Техника!$H$1:$ABO$500,S$2,0),"Д")</f>
        <v>0</v>
      </c>
      <c r="T27" s="50">
        <f>SUMIFS(INDEX(Техника!$F$1:$ABM$500,T$2,0),Техника!$F$4:$ABM$4,"Часы",INDEX(Техника!$G$1:$ABN$500,T$2,0),$A$25,INDEX(Техника!$H$1:$ABO$500,T$2,0),"Д")</f>
        <v>0</v>
      </c>
      <c r="U27" s="50">
        <f>SUMIFS(INDEX(Техника!$F$1:$ABM$500,U$2,0),Техника!$F$4:$ABM$4,"Часы",INDEX(Техника!$G$1:$ABN$500,U$2,0),$A$25,INDEX(Техника!$H$1:$ABO$500,U$2,0),"Д")</f>
        <v>0</v>
      </c>
      <c r="V27" s="50">
        <f>SUMIFS(INDEX(Техника!$F$1:$ABM$500,V$2,0),Техника!$F$4:$ABM$4,"Часы",INDEX(Техника!$G$1:$ABN$500,V$2,0),$A$25,INDEX(Техника!$H$1:$ABO$500,V$2,0),"Д")</f>
        <v>0</v>
      </c>
      <c r="W27" s="50">
        <f>SUMIFS(INDEX(Техника!$F$1:$ABM$500,W$2,0),Техника!$F$4:$ABM$4,"Часы",INDEX(Техника!$G$1:$ABN$500,W$2,0),$A$25,INDEX(Техника!$H$1:$ABO$500,W$2,0),"Д")</f>
        <v>0</v>
      </c>
      <c r="X27" s="50">
        <f>SUMIFS(INDEX(Техника!$F$1:$ABM$500,X$2,0),Техника!$F$4:$ABM$4,"Часы",INDEX(Техника!$G$1:$ABN$500,X$2,0),$A$25,INDEX(Техника!$H$1:$ABO$500,X$2,0),"Д")</f>
        <v>0</v>
      </c>
      <c r="Y27" s="50">
        <f>SUMIFS(INDEX(Техника!$F$1:$ABM$500,Y$2,0),Техника!$F$4:$ABM$4,"Часы",INDEX(Техника!$G$1:$ABN$500,Y$2,0),$A$25,INDEX(Техника!$H$1:$ABO$500,Y$2,0),"Д")</f>
        <v>0</v>
      </c>
      <c r="Z27" s="50">
        <f>SUMIFS(INDEX(Техника!$F$1:$ABM$500,Z$2,0),Техника!$F$4:$ABM$4,"Часы",INDEX(Техника!$G$1:$ABN$500,Z$2,0),$A$25,INDEX(Техника!$H$1:$ABO$500,Z$2,0),"Д")</f>
        <v>0</v>
      </c>
      <c r="AA27" s="50">
        <f>SUMIFS(INDEX(Техника!$F$1:$ABM$500,AA$2,0),Техника!$F$4:$ABM$4,"Часы",INDEX(Техника!$G$1:$ABN$500,AA$2,0),$A$25,INDEX(Техника!$H$1:$ABO$500,AA$2,0),"Д")</f>
        <v>0</v>
      </c>
      <c r="AB27" s="50">
        <f>SUMIFS(INDEX(Техника!$F$1:$ABM$500,AB$2,0),Техника!$F$4:$ABM$4,"Часы",INDEX(Техника!$G$1:$ABN$500,AB$2,0),$A$25,INDEX(Техника!$H$1:$ABO$500,AB$2,0),"Д")</f>
        <v>0</v>
      </c>
    </row>
    <row r="28" spans="1:28" hidden="1" outlineLevel="1" x14ac:dyDescent="0.3">
      <c r="A28" s="33" t="s">
        <v>276</v>
      </c>
      <c r="B28" s="34" t="s">
        <v>277</v>
      </c>
      <c r="C28" s="50">
        <f>SUMIFS(INDEX(Техника!$F$1:$ABM$500,C$2,0),Техника!$F$4:$ABM$4,"Часы",INDEX(Техника!$G$1:$ABN$500,C$2,0),$A$25,INDEX(Техника!$H$1:$ABO$500,C$2,0),"П")</f>
        <v>0</v>
      </c>
      <c r="D28" s="50">
        <f>SUMIFS(INDEX(Техника!$F$1:$ABM$500,D$2,0),Техника!$F$4:$ABM$4,"Часы",INDEX(Техника!$G$1:$ABN$500,D$2,0),$A$25,INDEX(Техника!$H$1:$ABO$500,D$2,0),"П")</f>
        <v>0</v>
      </c>
      <c r="E28" s="50">
        <f>SUMIFS(INDEX(Техника!$F$1:$ABM$500,E$2,0),Техника!$F$4:$ABM$4,"Часы",INDEX(Техника!$G$1:$ABN$500,E$2,0),$A$25,INDEX(Техника!$H$1:$ABO$500,E$2,0),"П")</f>
        <v>0</v>
      </c>
      <c r="F28" s="50">
        <f>SUMIFS(INDEX(Техника!$F$1:$ABM$500,F$2,0),Техника!$F$4:$ABM$4,"Часы",INDEX(Техника!$G$1:$ABN$500,F$2,0),$A$25,INDEX(Техника!$H$1:$ABO$500,F$2,0),"П")</f>
        <v>0</v>
      </c>
      <c r="G28" s="50">
        <f>SUMIFS(INDEX(Техника!$F$1:$ABM$500,G$2,0),Техника!$F$4:$ABM$4,"Часы",INDEX(Техника!$G$1:$ABN$500,G$2,0),$A$25,INDEX(Техника!$H$1:$ABO$500,G$2,0),"П")</f>
        <v>0</v>
      </c>
      <c r="H28" s="50">
        <f>SUMIFS(INDEX(Техника!$F$1:$ABM$500,H$2,0),Техника!$F$4:$ABM$4,"Часы",INDEX(Техника!$G$1:$ABN$500,H$2,0),$A$25,INDEX(Техника!$H$1:$ABO$500,H$2,0),"П")</f>
        <v>0</v>
      </c>
      <c r="I28" s="50">
        <f>SUMIFS(INDEX(Техника!$F$1:$ABM$500,I$2,0),Техника!$F$4:$ABM$4,"Часы",INDEX(Техника!$G$1:$ABN$500,I$2,0),$A$25,INDEX(Техника!$H$1:$ABO$500,I$2,0),"П")</f>
        <v>0</v>
      </c>
      <c r="J28" s="50">
        <f>SUMIFS(INDEX(Техника!$F$1:$ABM$500,J$2,0),Техника!$F$4:$ABM$4,"Часы",INDEX(Техника!$G$1:$ABN$500,J$2,0),$A$25,INDEX(Техника!$H$1:$ABO$500,J$2,0),"П")</f>
        <v>0</v>
      </c>
      <c r="K28" s="50">
        <f>SUMIFS(INDEX(Техника!$F$1:$ABM$500,K$2,0),Техника!$F$4:$ABM$4,"Часы",INDEX(Техника!$G$1:$ABN$500,K$2,0),$A$25,INDEX(Техника!$H$1:$ABO$500,K$2,0),"П")</f>
        <v>0</v>
      </c>
      <c r="L28" s="50">
        <f>SUMIFS(INDEX(Техника!$F$1:$ABM$500,L$2,0),Техника!$F$4:$ABM$4,"Часы",INDEX(Техника!$G$1:$ABN$500,L$2,0),$A$25,INDEX(Техника!$H$1:$ABO$500,L$2,0),"П")</f>
        <v>0</v>
      </c>
      <c r="M28" s="50">
        <f>SUMIFS(INDEX(Техника!$F$1:$ABM$500,M$2,0),Техника!$F$4:$ABM$4,"Часы",INDEX(Техника!$G$1:$ABN$500,M$2,0),$A$25,INDEX(Техника!$H$1:$ABO$500,M$2,0),"П")</f>
        <v>0</v>
      </c>
      <c r="N28" s="50">
        <f>SUMIFS(INDEX(Техника!$F$1:$ABM$500,N$2,0),Техника!$F$4:$ABM$4,"Часы",INDEX(Техника!$G$1:$ABN$500,N$2,0),$A$25,INDEX(Техника!$H$1:$ABO$500,N$2,0),"П")</f>
        <v>0</v>
      </c>
      <c r="O28" s="50">
        <f>SUMIFS(INDEX(Техника!$F$1:$ABM$500,O$2,0),Техника!$F$4:$ABM$4,"Часы",INDEX(Техника!$G$1:$ABN$500,O$2,0),$A$25,INDEX(Техника!$H$1:$ABO$500,O$2,0),"П")</f>
        <v>0</v>
      </c>
      <c r="P28" s="50">
        <f>SUMIFS(INDEX(Техника!$F$1:$ABM$500,P$2,0),Техника!$F$4:$ABM$4,"Часы",INDEX(Техника!$G$1:$ABN$500,P$2,0),$A$25,INDEX(Техника!$H$1:$ABO$500,P$2,0),"П")</f>
        <v>0</v>
      </c>
      <c r="Q28" s="50">
        <f>SUMIFS(INDEX(Техника!$F$1:$ABM$500,Q$2,0),Техника!$F$4:$ABM$4,"Часы",INDEX(Техника!$G$1:$ABN$500,Q$2,0),$A$25,INDEX(Техника!$H$1:$ABO$500,Q$2,0),"П")</f>
        <v>0</v>
      </c>
      <c r="R28" s="50">
        <f>SUMIFS(INDEX(Техника!$F$1:$ABM$500,R$2,0),Техника!$F$4:$ABM$4,"Часы",INDEX(Техника!$G$1:$ABN$500,R$2,0),$A$25,INDEX(Техника!$H$1:$ABO$500,R$2,0),"П")</f>
        <v>0</v>
      </c>
      <c r="S28" s="50">
        <f>SUMIFS(INDEX(Техника!$F$1:$ABM$500,S$2,0),Техника!$F$4:$ABM$4,"Часы",INDEX(Техника!$G$1:$ABN$500,S$2,0),$A$25,INDEX(Техника!$H$1:$ABO$500,S$2,0),"П")</f>
        <v>0</v>
      </c>
      <c r="T28" s="50">
        <f>SUMIFS(INDEX(Техника!$F$1:$ABM$500,T$2,0),Техника!$F$4:$ABM$4,"Часы",INDEX(Техника!$G$1:$ABN$500,T$2,0),$A$25,INDEX(Техника!$H$1:$ABO$500,T$2,0),"П")</f>
        <v>0</v>
      </c>
      <c r="U28" s="50">
        <f>SUMIFS(INDEX(Техника!$F$1:$ABM$500,U$2,0),Техника!$F$4:$ABM$4,"Часы",INDEX(Техника!$G$1:$ABN$500,U$2,0),$A$25,INDEX(Техника!$H$1:$ABO$500,U$2,0),"П")</f>
        <v>0</v>
      </c>
      <c r="V28" s="50">
        <f>SUMIFS(INDEX(Техника!$F$1:$ABM$500,V$2,0),Техника!$F$4:$ABM$4,"Часы",INDEX(Техника!$G$1:$ABN$500,V$2,0),$A$25,INDEX(Техника!$H$1:$ABO$500,V$2,0),"П")</f>
        <v>0</v>
      </c>
      <c r="W28" s="50">
        <f>SUMIFS(INDEX(Техника!$F$1:$ABM$500,W$2,0),Техника!$F$4:$ABM$4,"Часы",INDEX(Техника!$G$1:$ABN$500,W$2,0),$A$25,INDEX(Техника!$H$1:$ABO$500,W$2,0),"П")</f>
        <v>0</v>
      </c>
      <c r="X28" s="50">
        <f>SUMIFS(INDEX(Техника!$F$1:$ABM$500,X$2,0),Техника!$F$4:$ABM$4,"Часы",INDEX(Техника!$G$1:$ABN$500,X$2,0),$A$25,INDEX(Техника!$H$1:$ABO$500,X$2,0),"П")</f>
        <v>0</v>
      </c>
      <c r="Y28" s="50">
        <f>SUMIFS(INDEX(Техника!$F$1:$ABM$500,Y$2,0),Техника!$F$4:$ABM$4,"Часы",INDEX(Техника!$G$1:$ABN$500,Y$2,0),$A$25,INDEX(Техника!$H$1:$ABO$500,Y$2,0),"П")</f>
        <v>0</v>
      </c>
      <c r="Z28" s="50">
        <f>SUMIFS(INDEX(Техника!$F$1:$ABM$500,Z$2,0),Техника!$F$4:$ABM$4,"Часы",INDEX(Техника!$G$1:$ABN$500,Z$2,0),$A$25,INDEX(Техника!$H$1:$ABO$500,Z$2,0),"П")</f>
        <v>0</v>
      </c>
      <c r="AA28" s="50">
        <f>SUMIFS(INDEX(Техника!$F$1:$ABM$500,AA$2,0),Техника!$F$4:$ABM$4,"Часы",INDEX(Техника!$G$1:$ABN$500,AA$2,0),$A$25,INDEX(Техника!$H$1:$ABO$500,AA$2,0),"П")</f>
        <v>0</v>
      </c>
      <c r="AB28" s="50">
        <f>SUMIFS(INDEX(Техника!$F$1:$ABM$500,AB$2,0),Техника!$F$4:$ABM$4,"Часы",INDEX(Техника!$G$1:$ABN$500,AB$2,0),$A$25,INDEX(Техника!$H$1:$ABO$500,AB$2,0),"П")</f>
        <v>0</v>
      </c>
    </row>
    <row r="29" spans="1:28" hidden="1" outlineLevel="1" x14ac:dyDescent="0.3">
      <c r="A29" s="33" t="s">
        <v>243</v>
      </c>
      <c r="B29" s="34" t="s">
        <v>278</v>
      </c>
      <c r="C29" s="50">
        <f>SUMIFS(INDEX(Техника!$F$1:$ABM$500,C$2,0),Техника!$F$4:$ABM$4,"Часы",INDEX(Техника!$G$1:$ABN$500,C$2,0),$A$25,INDEX(Техника!$H$1:$ABO$500,C$2,0),"Л")</f>
        <v>0</v>
      </c>
      <c r="D29" s="50">
        <f>SUMIFS(INDEX(Техника!$F$1:$ABM$500,D$2,0),Техника!$F$4:$ABM$4,"Часы",INDEX(Техника!$G$1:$ABN$500,D$2,0),$A$25,INDEX(Техника!$H$1:$ABO$500,D$2,0),"Л")</f>
        <v>0</v>
      </c>
      <c r="E29" s="50">
        <f>SUMIFS(INDEX(Техника!$F$1:$ABM$500,E$2,0),Техника!$F$4:$ABM$4,"Часы",INDEX(Техника!$G$1:$ABN$500,E$2,0),$A$25,INDEX(Техника!$H$1:$ABO$500,E$2,0),"Л")</f>
        <v>0</v>
      </c>
      <c r="F29" s="50">
        <f>SUMIFS(INDEX(Техника!$F$1:$ABM$500,F$2,0),Техника!$F$4:$ABM$4,"Часы",INDEX(Техника!$G$1:$ABN$500,F$2,0),$A$25,INDEX(Техника!$H$1:$ABO$500,F$2,0),"Л")</f>
        <v>0</v>
      </c>
      <c r="G29" s="50">
        <f>SUMIFS(INDEX(Техника!$F$1:$ABM$500,G$2,0),Техника!$F$4:$ABM$4,"Часы",INDEX(Техника!$G$1:$ABN$500,G$2,0),$A$25,INDEX(Техника!$H$1:$ABO$500,G$2,0),"Л")</f>
        <v>0</v>
      </c>
      <c r="H29" s="50">
        <f>SUMIFS(INDEX(Техника!$F$1:$ABM$500,H$2,0),Техника!$F$4:$ABM$4,"Часы",INDEX(Техника!$G$1:$ABN$500,H$2,0),$A$25,INDEX(Техника!$H$1:$ABO$500,H$2,0),"Л")</f>
        <v>0</v>
      </c>
      <c r="I29" s="50">
        <f>SUMIFS(INDEX(Техника!$F$1:$ABM$500,I$2,0),Техника!$F$4:$ABM$4,"Часы",INDEX(Техника!$G$1:$ABN$500,I$2,0),$A$25,INDEX(Техника!$H$1:$ABO$500,I$2,0),"Л")</f>
        <v>0</v>
      </c>
      <c r="J29" s="50">
        <f>SUMIFS(INDEX(Техника!$F$1:$ABM$500,J$2,0),Техника!$F$4:$ABM$4,"Часы",INDEX(Техника!$G$1:$ABN$500,J$2,0),$A$25,INDEX(Техника!$H$1:$ABO$500,J$2,0),"Л")</f>
        <v>0</v>
      </c>
      <c r="K29" s="50">
        <f>SUMIFS(INDEX(Техника!$F$1:$ABM$500,K$2,0),Техника!$F$4:$ABM$4,"Часы",INDEX(Техника!$G$1:$ABN$500,K$2,0),$A$25,INDEX(Техника!$H$1:$ABO$500,K$2,0),"Л")</f>
        <v>0</v>
      </c>
      <c r="L29" s="50">
        <f>SUMIFS(INDEX(Техника!$F$1:$ABM$500,L$2,0),Техника!$F$4:$ABM$4,"Часы",INDEX(Техника!$G$1:$ABN$500,L$2,0),$A$25,INDEX(Техника!$H$1:$ABO$500,L$2,0),"Л")</f>
        <v>0</v>
      </c>
      <c r="M29" s="50">
        <f>SUMIFS(INDEX(Техника!$F$1:$ABM$500,M$2,0),Техника!$F$4:$ABM$4,"Часы",INDEX(Техника!$G$1:$ABN$500,M$2,0),$A$25,INDEX(Техника!$H$1:$ABO$500,M$2,0),"Л")</f>
        <v>0</v>
      </c>
      <c r="N29" s="50">
        <f>SUMIFS(INDEX(Техника!$F$1:$ABM$500,N$2,0),Техника!$F$4:$ABM$4,"Часы",INDEX(Техника!$G$1:$ABN$500,N$2,0),$A$25,INDEX(Техника!$H$1:$ABO$500,N$2,0),"Л")</f>
        <v>0</v>
      </c>
      <c r="O29" s="50">
        <f>SUMIFS(INDEX(Техника!$F$1:$ABM$500,O$2,0),Техника!$F$4:$ABM$4,"Часы",INDEX(Техника!$G$1:$ABN$500,O$2,0),$A$25,INDEX(Техника!$H$1:$ABO$500,O$2,0),"Л")</f>
        <v>0</v>
      </c>
      <c r="P29" s="50">
        <f>SUMIFS(INDEX(Техника!$F$1:$ABM$500,P$2,0),Техника!$F$4:$ABM$4,"Часы",INDEX(Техника!$G$1:$ABN$500,P$2,0),$A$25,INDEX(Техника!$H$1:$ABO$500,P$2,0),"Л")</f>
        <v>0</v>
      </c>
      <c r="Q29" s="50">
        <f>SUMIFS(INDEX(Техника!$F$1:$ABM$500,Q$2,0),Техника!$F$4:$ABM$4,"Часы",INDEX(Техника!$G$1:$ABN$500,Q$2,0),$A$25,INDEX(Техника!$H$1:$ABO$500,Q$2,0),"Л")</f>
        <v>0</v>
      </c>
      <c r="R29" s="50">
        <f>SUMIFS(INDEX(Техника!$F$1:$ABM$500,R$2,0),Техника!$F$4:$ABM$4,"Часы",INDEX(Техника!$G$1:$ABN$500,R$2,0),$A$25,INDEX(Техника!$H$1:$ABO$500,R$2,0),"Л")</f>
        <v>0</v>
      </c>
      <c r="S29" s="50">
        <f>SUMIFS(INDEX(Техника!$F$1:$ABM$500,S$2,0),Техника!$F$4:$ABM$4,"Часы",INDEX(Техника!$G$1:$ABN$500,S$2,0),$A$25,INDEX(Техника!$H$1:$ABO$500,S$2,0),"Л")</f>
        <v>0</v>
      </c>
      <c r="T29" s="50">
        <f>SUMIFS(INDEX(Техника!$F$1:$ABM$500,T$2,0),Техника!$F$4:$ABM$4,"Часы",INDEX(Техника!$G$1:$ABN$500,T$2,0),$A$25,INDEX(Техника!$H$1:$ABO$500,T$2,0),"Л")</f>
        <v>0</v>
      </c>
      <c r="U29" s="50">
        <f>SUMIFS(INDEX(Техника!$F$1:$ABM$500,U$2,0),Техника!$F$4:$ABM$4,"Часы",INDEX(Техника!$G$1:$ABN$500,U$2,0),$A$25,INDEX(Техника!$H$1:$ABO$500,U$2,0),"Л")</f>
        <v>0</v>
      </c>
      <c r="V29" s="50">
        <f>SUMIFS(INDEX(Техника!$F$1:$ABM$500,V$2,0),Техника!$F$4:$ABM$4,"Часы",INDEX(Техника!$G$1:$ABN$500,V$2,0),$A$25,INDEX(Техника!$H$1:$ABO$500,V$2,0),"Л")</f>
        <v>0</v>
      </c>
      <c r="W29" s="50">
        <f>SUMIFS(INDEX(Техника!$F$1:$ABM$500,W$2,0),Техника!$F$4:$ABM$4,"Часы",INDEX(Техника!$G$1:$ABN$500,W$2,0),$A$25,INDEX(Техника!$H$1:$ABO$500,W$2,0),"Л")</f>
        <v>0</v>
      </c>
      <c r="X29" s="50">
        <f>SUMIFS(INDEX(Техника!$F$1:$ABM$500,X$2,0),Техника!$F$4:$ABM$4,"Часы",INDEX(Техника!$G$1:$ABN$500,X$2,0),$A$25,INDEX(Техника!$H$1:$ABO$500,X$2,0),"Л")</f>
        <v>0</v>
      </c>
      <c r="Y29" s="50">
        <f>SUMIFS(INDEX(Техника!$F$1:$ABM$500,Y$2,0),Техника!$F$4:$ABM$4,"Часы",INDEX(Техника!$G$1:$ABN$500,Y$2,0),$A$25,INDEX(Техника!$H$1:$ABO$500,Y$2,0),"Л")</f>
        <v>0</v>
      </c>
      <c r="Z29" s="50">
        <f>SUMIFS(INDEX(Техника!$F$1:$ABM$500,Z$2,0),Техника!$F$4:$ABM$4,"Часы",INDEX(Техника!$G$1:$ABN$500,Z$2,0),$A$25,INDEX(Техника!$H$1:$ABO$500,Z$2,0),"Л")</f>
        <v>0</v>
      </c>
      <c r="AA29" s="50">
        <f>SUMIFS(INDEX(Техника!$F$1:$ABM$500,AA$2,0),Техника!$F$4:$ABM$4,"Часы",INDEX(Техника!$G$1:$ABN$500,AA$2,0),$A$25,INDEX(Техника!$H$1:$ABO$500,AA$2,0),"Л")</f>
        <v>0</v>
      </c>
      <c r="AB29" s="50">
        <f>SUMIFS(INDEX(Техника!$F$1:$ABM$500,AB$2,0),Техника!$F$4:$ABM$4,"Часы",INDEX(Техника!$G$1:$ABN$500,AB$2,0),$A$25,INDEX(Техника!$H$1:$ABO$500,AB$2,0),"Л")</f>
        <v>0</v>
      </c>
    </row>
    <row r="30" spans="1:28" hidden="1" outlineLevel="1" x14ac:dyDescent="0.3">
      <c r="A30" s="33" t="s">
        <v>245</v>
      </c>
      <c r="B30" s="34" t="s">
        <v>279</v>
      </c>
      <c r="C30" s="50">
        <f>SUMIFS(INDEX(Техника!$F$1:$ABM$500,C$2,0),Техника!$F$4:$ABM$4,"Часы",INDEX(Техника!$G$1:$ABN$500,C$2,0),$A$25,INDEX(Техника!$H$1:$ABO$500,C$2,0),"З")</f>
        <v>0</v>
      </c>
      <c r="D30" s="50">
        <f>SUMIFS(INDEX(Техника!$F$1:$ABM$500,D$2,0),Техника!$F$4:$ABM$4,"Часы",INDEX(Техника!$G$1:$ABN$500,D$2,0),$A$25,INDEX(Техника!$H$1:$ABO$500,D$2,0),"З")</f>
        <v>0</v>
      </c>
      <c r="E30" s="50">
        <f>SUMIFS(INDEX(Техника!$F$1:$ABM$500,E$2,0),Техника!$F$4:$ABM$4,"Часы",INDEX(Техника!$G$1:$ABN$500,E$2,0),$A$25,INDEX(Техника!$H$1:$ABO$500,E$2,0),"З")</f>
        <v>0</v>
      </c>
      <c r="F30" s="50">
        <f>SUMIFS(INDEX(Техника!$F$1:$ABM$500,F$2,0),Техника!$F$4:$ABM$4,"Часы",INDEX(Техника!$G$1:$ABN$500,F$2,0),$A$25,INDEX(Техника!$H$1:$ABO$500,F$2,0),"З")</f>
        <v>0</v>
      </c>
      <c r="G30" s="50">
        <f>SUMIFS(INDEX(Техника!$F$1:$ABM$500,G$2,0),Техника!$F$4:$ABM$4,"Часы",INDEX(Техника!$G$1:$ABN$500,G$2,0),$A$25,INDEX(Техника!$H$1:$ABO$500,G$2,0),"З")</f>
        <v>0</v>
      </c>
      <c r="H30" s="50">
        <f>SUMIFS(INDEX(Техника!$F$1:$ABM$500,H$2,0),Техника!$F$4:$ABM$4,"Часы",INDEX(Техника!$G$1:$ABN$500,H$2,0),$A$25,INDEX(Техника!$H$1:$ABO$500,H$2,0),"З")</f>
        <v>0</v>
      </c>
      <c r="I30" s="50">
        <f>SUMIFS(INDEX(Техника!$F$1:$ABM$500,I$2,0),Техника!$F$4:$ABM$4,"Часы",INDEX(Техника!$G$1:$ABN$500,I$2,0),$A$25,INDEX(Техника!$H$1:$ABO$500,I$2,0),"З")</f>
        <v>0</v>
      </c>
      <c r="J30" s="50">
        <f>SUMIFS(INDEX(Техника!$F$1:$ABM$500,J$2,0),Техника!$F$4:$ABM$4,"Часы",INDEX(Техника!$G$1:$ABN$500,J$2,0),$A$25,INDEX(Техника!$H$1:$ABO$500,J$2,0),"З")</f>
        <v>0</v>
      </c>
      <c r="K30" s="50">
        <f>SUMIFS(INDEX(Техника!$F$1:$ABM$500,K$2,0),Техника!$F$4:$ABM$4,"Часы",INDEX(Техника!$G$1:$ABN$500,K$2,0),$A$25,INDEX(Техника!$H$1:$ABO$500,K$2,0),"З")</f>
        <v>0</v>
      </c>
      <c r="L30" s="50">
        <f>SUMIFS(INDEX(Техника!$F$1:$ABM$500,L$2,0),Техника!$F$4:$ABM$4,"Часы",INDEX(Техника!$G$1:$ABN$500,L$2,0),$A$25,INDEX(Техника!$H$1:$ABO$500,L$2,0),"З")</f>
        <v>0</v>
      </c>
      <c r="M30" s="50">
        <f>SUMIFS(INDEX(Техника!$F$1:$ABM$500,M$2,0),Техника!$F$4:$ABM$4,"Часы",INDEX(Техника!$G$1:$ABN$500,M$2,0),$A$25,INDEX(Техника!$H$1:$ABO$500,M$2,0),"З")</f>
        <v>0</v>
      </c>
      <c r="N30" s="50">
        <f>SUMIFS(INDEX(Техника!$F$1:$ABM$500,N$2,0),Техника!$F$4:$ABM$4,"Часы",INDEX(Техника!$G$1:$ABN$500,N$2,0),$A$25,INDEX(Техника!$H$1:$ABO$500,N$2,0),"З")</f>
        <v>0</v>
      </c>
      <c r="O30" s="50">
        <f>SUMIFS(INDEX(Техника!$F$1:$ABM$500,O$2,0),Техника!$F$4:$ABM$4,"Часы",INDEX(Техника!$G$1:$ABN$500,O$2,0),$A$25,INDEX(Техника!$H$1:$ABO$500,O$2,0),"З")</f>
        <v>0</v>
      </c>
      <c r="P30" s="50">
        <f>SUMIFS(INDEX(Техника!$F$1:$ABM$500,P$2,0),Техника!$F$4:$ABM$4,"Часы",INDEX(Техника!$G$1:$ABN$500,P$2,0),$A$25,INDEX(Техника!$H$1:$ABO$500,P$2,0),"З")</f>
        <v>0</v>
      </c>
      <c r="Q30" s="50">
        <f>SUMIFS(INDEX(Техника!$F$1:$ABM$500,Q$2,0),Техника!$F$4:$ABM$4,"Часы",INDEX(Техника!$G$1:$ABN$500,Q$2,0),$A$25,INDEX(Техника!$H$1:$ABO$500,Q$2,0),"З")</f>
        <v>0</v>
      </c>
      <c r="R30" s="50">
        <f>SUMIFS(INDEX(Техника!$F$1:$ABM$500,R$2,0),Техника!$F$4:$ABM$4,"Часы",INDEX(Техника!$G$1:$ABN$500,R$2,0),$A$25,INDEX(Техника!$H$1:$ABO$500,R$2,0),"З")</f>
        <v>0</v>
      </c>
      <c r="S30" s="50">
        <f>SUMIFS(INDEX(Техника!$F$1:$ABM$500,S$2,0),Техника!$F$4:$ABM$4,"Часы",INDEX(Техника!$G$1:$ABN$500,S$2,0),$A$25,INDEX(Техника!$H$1:$ABO$500,S$2,0),"З")</f>
        <v>0</v>
      </c>
      <c r="T30" s="50">
        <f>SUMIFS(INDEX(Техника!$F$1:$ABM$500,T$2,0),Техника!$F$4:$ABM$4,"Часы",INDEX(Техника!$G$1:$ABN$500,T$2,0),$A$25,INDEX(Техника!$H$1:$ABO$500,T$2,0),"З")</f>
        <v>0</v>
      </c>
      <c r="U30" s="50">
        <f>SUMIFS(INDEX(Техника!$F$1:$ABM$500,U$2,0),Техника!$F$4:$ABM$4,"Часы",INDEX(Техника!$G$1:$ABN$500,U$2,0),$A$25,INDEX(Техника!$H$1:$ABO$500,U$2,0),"З")</f>
        <v>0</v>
      </c>
      <c r="V30" s="50">
        <f>SUMIFS(INDEX(Техника!$F$1:$ABM$500,V$2,0),Техника!$F$4:$ABM$4,"Часы",INDEX(Техника!$G$1:$ABN$500,V$2,0),$A$25,INDEX(Техника!$H$1:$ABO$500,V$2,0),"З")</f>
        <v>0</v>
      </c>
      <c r="W30" s="50">
        <f>SUMIFS(INDEX(Техника!$F$1:$ABM$500,W$2,0),Техника!$F$4:$ABM$4,"Часы",INDEX(Техника!$G$1:$ABN$500,W$2,0),$A$25,INDEX(Техника!$H$1:$ABO$500,W$2,0),"З")</f>
        <v>0</v>
      </c>
      <c r="X30" s="50">
        <f>SUMIFS(INDEX(Техника!$F$1:$ABM$500,X$2,0),Техника!$F$4:$ABM$4,"Часы",INDEX(Техника!$G$1:$ABN$500,X$2,0),$A$25,INDEX(Техника!$H$1:$ABO$500,X$2,0),"З")</f>
        <v>0</v>
      </c>
      <c r="Y30" s="50">
        <f>SUMIFS(INDEX(Техника!$F$1:$ABM$500,Y$2,0),Техника!$F$4:$ABM$4,"Часы",INDEX(Техника!$G$1:$ABN$500,Y$2,0),$A$25,INDEX(Техника!$H$1:$ABO$500,Y$2,0),"З")</f>
        <v>0</v>
      </c>
      <c r="Z30" s="50">
        <f>SUMIFS(INDEX(Техника!$F$1:$ABM$500,Z$2,0),Техника!$F$4:$ABM$4,"Часы",INDEX(Техника!$G$1:$ABN$500,Z$2,0),$A$25,INDEX(Техника!$H$1:$ABO$500,Z$2,0),"З")</f>
        <v>0</v>
      </c>
      <c r="AA30" s="50">
        <f>SUMIFS(INDEX(Техника!$F$1:$ABM$500,AA$2,0),Техника!$F$4:$ABM$4,"Часы",INDEX(Техника!$G$1:$ABN$500,AA$2,0),$A$25,INDEX(Техника!$H$1:$ABO$500,AA$2,0),"З")</f>
        <v>0</v>
      </c>
      <c r="AB30" s="50">
        <f>SUMIFS(INDEX(Техника!$F$1:$ABM$500,AB$2,0),Техника!$F$4:$ABM$4,"Часы",INDEX(Техника!$G$1:$ABN$500,AB$2,0),$A$25,INDEX(Техника!$H$1:$ABO$500,AB$2,0),"З")</f>
        <v>0</v>
      </c>
    </row>
    <row r="31" spans="1:28" ht="7.95" customHeight="1" x14ac:dyDescent="0.3">
      <c r="A31" s="38"/>
      <c r="B31" s="39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 spans="1:28" ht="25.05" customHeight="1" collapsed="1" x14ac:dyDescent="0.3">
      <c r="A32" s="32">
        <v>5</v>
      </c>
      <c r="B32" s="32" t="s">
        <v>6</v>
      </c>
      <c r="C32" s="49">
        <f>SUM(C33:C37)</f>
        <v>0</v>
      </c>
      <c r="D32" s="49">
        <f>SUM(D33:D37)</f>
        <v>0</v>
      </c>
      <c r="E32" s="49">
        <f>SUM(E33:E37)</f>
        <v>0</v>
      </c>
      <c r="F32" s="49">
        <f>SUM(F33:F37)</f>
        <v>0</v>
      </c>
      <c r="G32" s="49">
        <f>SUM(G33:G37)</f>
        <v>0</v>
      </c>
      <c r="H32" s="49">
        <f>SUM(H33:H37)</f>
        <v>0</v>
      </c>
      <c r="I32" s="49">
        <f>SUM(I33:I37)</f>
        <v>0</v>
      </c>
      <c r="J32" s="49">
        <f>SUM(J33:J37)</f>
        <v>0</v>
      </c>
      <c r="K32" s="49">
        <f>SUM(K33:K37)</f>
        <v>0</v>
      </c>
      <c r="L32" s="49">
        <f>SUM(L33:L37)</f>
        <v>0</v>
      </c>
      <c r="M32" s="49">
        <f>SUM(M33:M37)</f>
        <v>0</v>
      </c>
      <c r="N32" s="49">
        <f>SUM(N33:N37)</f>
        <v>0</v>
      </c>
      <c r="O32" s="49">
        <f>SUM(O33:O37)</f>
        <v>0</v>
      </c>
      <c r="P32" s="49">
        <f>SUM(P33:P37)</f>
        <v>0</v>
      </c>
      <c r="Q32" s="49">
        <f>SUM(Q33:Q37)</f>
        <v>0</v>
      </c>
      <c r="R32" s="49">
        <f>SUM(R33:R37)</f>
        <v>0</v>
      </c>
      <c r="S32" s="49">
        <f>SUM(S33:S37)</f>
        <v>0</v>
      </c>
      <c r="T32" s="49">
        <f>SUM(T33:T37)</f>
        <v>0</v>
      </c>
      <c r="U32" s="49">
        <f>SUM(U33:U37)</f>
        <v>0</v>
      </c>
      <c r="V32" s="49">
        <f>SUM(V33:V37)</f>
        <v>0</v>
      </c>
      <c r="W32" s="49">
        <f>SUM(W33:W37)</f>
        <v>0</v>
      </c>
      <c r="X32" s="49">
        <f>SUM(X33:X37)</f>
        <v>0</v>
      </c>
      <c r="Y32" s="49">
        <f>SUM(Y33:Y37)</f>
        <v>0</v>
      </c>
      <c r="Z32" s="49">
        <f>SUM(Z33:Z37)</f>
        <v>0</v>
      </c>
      <c r="AA32" s="49">
        <f>SUM(AA33:AA37)</f>
        <v>0</v>
      </c>
      <c r="AB32" s="49">
        <f>SUM(AB33:AB37)</f>
        <v>0</v>
      </c>
    </row>
    <row r="33" spans="1:28" hidden="1" outlineLevel="1" x14ac:dyDescent="0.3">
      <c r="A33" s="33" t="s">
        <v>246</v>
      </c>
      <c r="B33" s="34" t="s">
        <v>274</v>
      </c>
      <c r="C33" s="50">
        <f>SUMIFS(INDEX(Техника!$F$1:$ABM$500,C$2,0),Техника!$F$4:$ABM$4,"Часы",INDEX(Техника!$G$1:$ABN$500,C$2,0),$A$32,INDEX(Техника!$H$1:$ABO$500,C$2,0),"М")</f>
        <v>0</v>
      </c>
      <c r="D33" s="50">
        <f>SUMIFS(INDEX(Техника!$F$1:$ABM$500,D$2,0),Техника!$F$4:$ABM$4,"Часы",INDEX(Техника!$G$1:$ABN$500,D$2,0),$A$32,INDEX(Техника!$H$1:$ABO$500,D$2,0),"М")</f>
        <v>0</v>
      </c>
      <c r="E33" s="50">
        <f>SUMIFS(INDEX(Техника!$F$1:$ABM$500,E$2,0),Техника!$F$4:$ABM$4,"Часы",INDEX(Техника!$G$1:$ABN$500,E$2,0),$A$32,INDEX(Техника!$H$1:$ABO$500,E$2,0),"М")</f>
        <v>0</v>
      </c>
      <c r="F33" s="50">
        <f>SUMIFS(INDEX(Техника!$F$1:$ABM$500,F$2,0),Техника!$F$4:$ABM$4,"Часы",INDEX(Техника!$G$1:$ABN$500,F$2,0),$A$32,INDEX(Техника!$H$1:$ABO$500,F$2,0),"М")</f>
        <v>0</v>
      </c>
      <c r="G33" s="50">
        <f>SUMIFS(INDEX(Техника!$F$1:$ABM$500,G$2,0),Техника!$F$4:$ABM$4,"Часы",INDEX(Техника!$G$1:$ABN$500,G$2,0),$A$32,INDEX(Техника!$H$1:$ABO$500,G$2,0),"М")</f>
        <v>0</v>
      </c>
      <c r="H33" s="50">
        <f>SUMIFS(INDEX(Техника!$F$1:$ABM$500,H$2,0),Техника!$F$4:$ABM$4,"Часы",INDEX(Техника!$G$1:$ABN$500,H$2,0),$A$32,INDEX(Техника!$H$1:$ABO$500,H$2,0),"М")</f>
        <v>0</v>
      </c>
      <c r="I33" s="50">
        <f>SUMIFS(INDEX(Техника!$F$1:$ABM$500,I$2,0),Техника!$F$4:$ABM$4,"Часы",INDEX(Техника!$G$1:$ABN$500,I$2,0),$A$32,INDEX(Техника!$H$1:$ABO$500,I$2,0),"М")</f>
        <v>0</v>
      </c>
      <c r="J33" s="50">
        <f>SUMIFS(INDEX(Техника!$F$1:$ABM$500,J$2,0),Техника!$F$4:$ABM$4,"Часы",INDEX(Техника!$G$1:$ABN$500,J$2,0),$A$32,INDEX(Техника!$H$1:$ABO$500,J$2,0),"М")</f>
        <v>0</v>
      </c>
      <c r="K33" s="50">
        <f>SUMIFS(INDEX(Техника!$F$1:$ABM$500,K$2,0),Техника!$F$4:$ABM$4,"Часы",INDEX(Техника!$G$1:$ABN$500,K$2,0),$A$32,INDEX(Техника!$H$1:$ABO$500,K$2,0),"М")</f>
        <v>0</v>
      </c>
      <c r="L33" s="50">
        <f>SUMIFS(INDEX(Техника!$F$1:$ABM$500,L$2,0),Техника!$F$4:$ABM$4,"Часы",INDEX(Техника!$G$1:$ABN$500,L$2,0),$A$32,INDEX(Техника!$H$1:$ABO$500,L$2,0),"М")</f>
        <v>0</v>
      </c>
      <c r="M33" s="50">
        <f>SUMIFS(INDEX(Техника!$F$1:$ABM$500,M$2,0),Техника!$F$4:$ABM$4,"Часы",INDEX(Техника!$G$1:$ABN$500,M$2,0),$A$32,INDEX(Техника!$H$1:$ABO$500,M$2,0),"М")</f>
        <v>0</v>
      </c>
      <c r="N33" s="50">
        <f>SUMIFS(INDEX(Техника!$F$1:$ABM$500,N$2,0),Техника!$F$4:$ABM$4,"Часы",INDEX(Техника!$G$1:$ABN$500,N$2,0),$A$32,INDEX(Техника!$H$1:$ABO$500,N$2,0),"М")</f>
        <v>0</v>
      </c>
      <c r="O33" s="50">
        <f>SUMIFS(INDEX(Техника!$F$1:$ABM$500,O$2,0),Техника!$F$4:$ABM$4,"Часы",INDEX(Техника!$G$1:$ABN$500,O$2,0),$A$32,INDEX(Техника!$H$1:$ABO$500,O$2,0),"М")</f>
        <v>0</v>
      </c>
      <c r="P33" s="50">
        <f>SUMIFS(INDEX(Техника!$F$1:$ABM$500,P$2,0),Техника!$F$4:$ABM$4,"Часы",INDEX(Техника!$G$1:$ABN$500,P$2,0),$A$32,INDEX(Техника!$H$1:$ABO$500,P$2,0),"М")</f>
        <v>0</v>
      </c>
      <c r="Q33" s="50">
        <f>SUMIFS(INDEX(Техника!$F$1:$ABM$500,Q$2,0),Техника!$F$4:$ABM$4,"Часы",INDEX(Техника!$G$1:$ABN$500,Q$2,0),$A$32,INDEX(Техника!$H$1:$ABO$500,Q$2,0),"М")</f>
        <v>0</v>
      </c>
      <c r="R33" s="50">
        <f>SUMIFS(INDEX(Техника!$F$1:$ABM$500,R$2,0),Техника!$F$4:$ABM$4,"Часы",INDEX(Техника!$G$1:$ABN$500,R$2,0),$A$32,INDEX(Техника!$H$1:$ABO$500,R$2,0),"М")</f>
        <v>0</v>
      </c>
      <c r="S33" s="50">
        <f>SUMIFS(INDEX(Техника!$F$1:$ABM$500,S$2,0),Техника!$F$4:$ABM$4,"Часы",INDEX(Техника!$G$1:$ABN$500,S$2,0),$A$32,INDEX(Техника!$H$1:$ABO$500,S$2,0),"М")</f>
        <v>0</v>
      </c>
      <c r="T33" s="50">
        <f>SUMIFS(INDEX(Техника!$F$1:$ABM$500,T$2,0),Техника!$F$4:$ABM$4,"Часы",INDEX(Техника!$G$1:$ABN$500,T$2,0),$A$32,INDEX(Техника!$H$1:$ABO$500,T$2,0),"М")</f>
        <v>0</v>
      </c>
      <c r="U33" s="50">
        <f>SUMIFS(INDEX(Техника!$F$1:$ABM$500,U$2,0),Техника!$F$4:$ABM$4,"Часы",INDEX(Техника!$G$1:$ABN$500,U$2,0),$A$32,INDEX(Техника!$H$1:$ABO$500,U$2,0),"М")</f>
        <v>0</v>
      </c>
      <c r="V33" s="50">
        <f>SUMIFS(INDEX(Техника!$F$1:$ABM$500,V$2,0),Техника!$F$4:$ABM$4,"Часы",INDEX(Техника!$G$1:$ABN$500,V$2,0),$A$32,INDEX(Техника!$H$1:$ABO$500,V$2,0),"М")</f>
        <v>0</v>
      </c>
      <c r="W33" s="50">
        <f>SUMIFS(INDEX(Техника!$F$1:$ABM$500,W$2,0),Техника!$F$4:$ABM$4,"Часы",INDEX(Техника!$G$1:$ABN$500,W$2,0),$A$32,INDEX(Техника!$H$1:$ABO$500,W$2,0),"М")</f>
        <v>0</v>
      </c>
      <c r="X33" s="50">
        <f>SUMIFS(INDEX(Техника!$F$1:$ABM$500,X$2,0),Техника!$F$4:$ABM$4,"Часы",INDEX(Техника!$G$1:$ABN$500,X$2,0),$A$32,INDEX(Техника!$H$1:$ABO$500,X$2,0),"М")</f>
        <v>0</v>
      </c>
      <c r="Y33" s="50">
        <f>SUMIFS(INDEX(Техника!$F$1:$ABM$500,Y$2,0),Техника!$F$4:$ABM$4,"Часы",INDEX(Техника!$G$1:$ABN$500,Y$2,0),$A$32,INDEX(Техника!$H$1:$ABO$500,Y$2,0),"М")</f>
        <v>0</v>
      </c>
      <c r="Z33" s="50">
        <f>SUMIFS(INDEX(Техника!$F$1:$ABM$500,Z$2,0),Техника!$F$4:$ABM$4,"Часы",INDEX(Техника!$G$1:$ABN$500,Z$2,0),$A$32,INDEX(Техника!$H$1:$ABO$500,Z$2,0),"М")</f>
        <v>0</v>
      </c>
      <c r="AA33" s="50">
        <f>SUMIFS(INDEX(Техника!$F$1:$ABM$500,AA$2,0),Техника!$F$4:$ABM$4,"Часы",INDEX(Техника!$G$1:$ABN$500,AA$2,0),$A$32,INDEX(Техника!$H$1:$ABO$500,AA$2,0),"М")</f>
        <v>0</v>
      </c>
      <c r="AB33" s="50">
        <f>SUMIFS(INDEX(Техника!$F$1:$ABM$500,AB$2,0),Техника!$F$4:$ABM$4,"Часы",INDEX(Техника!$G$1:$ABN$500,AB$2,0),$A$32,INDEX(Техника!$H$1:$ABO$500,AB$2,0),"М")</f>
        <v>0</v>
      </c>
    </row>
    <row r="34" spans="1:28" hidden="1" outlineLevel="1" x14ac:dyDescent="0.3">
      <c r="A34" s="33" t="s">
        <v>244</v>
      </c>
      <c r="B34" s="34" t="s">
        <v>275</v>
      </c>
      <c r="C34" s="50">
        <f>SUMIFS(INDEX(Техника!$F$1:$ABM$500,C$2,0),Техника!$F$4:$ABM$4,"Часы",INDEX(Техника!$G$1:$ABN$500,C$2,0),$A$32,INDEX(Техника!$H$1:$ABO$500,C$2,0),"Д")</f>
        <v>0</v>
      </c>
      <c r="D34" s="50">
        <f>SUMIFS(INDEX(Техника!$F$1:$ABM$500,D$2,0),Техника!$F$4:$ABM$4,"Часы",INDEX(Техника!$G$1:$ABN$500,D$2,0),$A$32,INDEX(Техника!$H$1:$ABO$500,D$2,0),"Д")</f>
        <v>0</v>
      </c>
      <c r="E34" s="50">
        <f>SUMIFS(INDEX(Техника!$F$1:$ABM$500,E$2,0),Техника!$F$4:$ABM$4,"Часы",INDEX(Техника!$G$1:$ABN$500,E$2,0),$A$32,INDEX(Техника!$H$1:$ABO$500,E$2,0),"Д")</f>
        <v>0</v>
      </c>
      <c r="F34" s="50">
        <f>SUMIFS(INDEX(Техника!$F$1:$ABM$500,F$2,0),Техника!$F$4:$ABM$4,"Часы",INDEX(Техника!$G$1:$ABN$500,F$2,0),$A$32,INDEX(Техника!$H$1:$ABO$500,F$2,0),"Д")</f>
        <v>0</v>
      </c>
      <c r="G34" s="50">
        <f>SUMIFS(INDEX(Техника!$F$1:$ABM$500,G$2,0),Техника!$F$4:$ABM$4,"Часы",INDEX(Техника!$G$1:$ABN$500,G$2,0),$A$32,INDEX(Техника!$H$1:$ABO$500,G$2,0),"Д")</f>
        <v>0</v>
      </c>
      <c r="H34" s="50">
        <f>SUMIFS(INDEX(Техника!$F$1:$ABM$500,H$2,0),Техника!$F$4:$ABM$4,"Часы",INDEX(Техника!$G$1:$ABN$500,H$2,0),$A$32,INDEX(Техника!$H$1:$ABO$500,H$2,0),"Д")</f>
        <v>0</v>
      </c>
      <c r="I34" s="50">
        <f>SUMIFS(INDEX(Техника!$F$1:$ABM$500,I$2,0),Техника!$F$4:$ABM$4,"Часы",INDEX(Техника!$G$1:$ABN$500,I$2,0),$A$32,INDEX(Техника!$H$1:$ABO$500,I$2,0),"Д")</f>
        <v>0</v>
      </c>
      <c r="J34" s="50">
        <f>SUMIFS(INDEX(Техника!$F$1:$ABM$500,J$2,0),Техника!$F$4:$ABM$4,"Часы",INDEX(Техника!$G$1:$ABN$500,J$2,0),$A$32,INDEX(Техника!$H$1:$ABO$500,J$2,0),"Д")</f>
        <v>0</v>
      </c>
      <c r="K34" s="50">
        <f>SUMIFS(INDEX(Техника!$F$1:$ABM$500,K$2,0),Техника!$F$4:$ABM$4,"Часы",INDEX(Техника!$G$1:$ABN$500,K$2,0),$A$32,INDEX(Техника!$H$1:$ABO$500,K$2,0),"Д")</f>
        <v>0</v>
      </c>
      <c r="L34" s="50">
        <f>SUMIFS(INDEX(Техника!$F$1:$ABM$500,L$2,0),Техника!$F$4:$ABM$4,"Часы",INDEX(Техника!$G$1:$ABN$500,L$2,0),$A$32,INDEX(Техника!$H$1:$ABO$500,L$2,0),"Д")</f>
        <v>0</v>
      </c>
      <c r="M34" s="50">
        <f>SUMIFS(INDEX(Техника!$F$1:$ABM$500,M$2,0),Техника!$F$4:$ABM$4,"Часы",INDEX(Техника!$G$1:$ABN$500,M$2,0),$A$32,INDEX(Техника!$H$1:$ABO$500,M$2,0),"Д")</f>
        <v>0</v>
      </c>
      <c r="N34" s="50">
        <f>SUMIFS(INDEX(Техника!$F$1:$ABM$500,N$2,0),Техника!$F$4:$ABM$4,"Часы",INDEX(Техника!$G$1:$ABN$500,N$2,0),$A$32,INDEX(Техника!$H$1:$ABO$500,N$2,0),"Д")</f>
        <v>0</v>
      </c>
      <c r="O34" s="50">
        <f>SUMIFS(INDEX(Техника!$F$1:$ABM$500,O$2,0),Техника!$F$4:$ABM$4,"Часы",INDEX(Техника!$G$1:$ABN$500,O$2,0),$A$32,INDEX(Техника!$H$1:$ABO$500,O$2,0),"Д")</f>
        <v>0</v>
      </c>
      <c r="P34" s="50">
        <f>SUMIFS(INDEX(Техника!$F$1:$ABM$500,P$2,0),Техника!$F$4:$ABM$4,"Часы",INDEX(Техника!$G$1:$ABN$500,P$2,0),$A$32,INDEX(Техника!$H$1:$ABO$500,P$2,0),"Д")</f>
        <v>0</v>
      </c>
      <c r="Q34" s="50">
        <f>SUMIFS(INDEX(Техника!$F$1:$ABM$500,Q$2,0),Техника!$F$4:$ABM$4,"Часы",INDEX(Техника!$G$1:$ABN$500,Q$2,0),$A$32,INDEX(Техника!$H$1:$ABO$500,Q$2,0),"Д")</f>
        <v>0</v>
      </c>
      <c r="R34" s="50">
        <f>SUMIFS(INDEX(Техника!$F$1:$ABM$500,R$2,0),Техника!$F$4:$ABM$4,"Часы",INDEX(Техника!$G$1:$ABN$500,R$2,0),$A$32,INDEX(Техника!$H$1:$ABO$500,R$2,0),"Д")</f>
        <v>0</v>
      </c>
      <c r="S34" s="50">
        <f>SUMIFS(INDEX(Техника!$F$1:$ABM$500,S$2,0),Техника!$F$4:$ABM$4,"Часы",INDEX(Техника!$G$1:$ABN$500,S$2,0),$A$32,INDEX(Техника!$H$1:$ABO$500,S$2,0),"Д")</f>
        <v>0</v>
      </c>
      <c r="T34" s="50">
        <f>SUMIFS(INDEX(Техника!$F$1:$ABM$500,T$2,0),Техника!$F$4:$ABM$4,"Часы",INDEX(Техника!$G$1:$ABN$500,T$2,0),$A$32,INDEX(Техника!$H$1:$ABO$500,T$2,0),"Д")</f>
        <v>0</v>
      </c>
      <c r="U34" s="50">
        <f>SUMIFS(INDEX(Техника!$F$1:$ABM$500,U$2,0),Техника!$F$4:$ABM$4,"Часы",INDEX(Техника!$G$1:$ABN$500,U$2,0),$A$32,INDEX(Техника!$H$1:$ABO$500,U$2,0),"Д")</f>
        <v>0</v>
      </c>
      <c r="V34" s="50">
        <f>SUMIFS(INDEX(Техника!$F$1:$ABM$500,V$2,0),Техника!$F$4:$ABM$4,"Часы",INDEX(Техника!$G$1:$ABN$500,V$2,0),$A$32,INDEX(Техника!$H$1:$ABO$500,V$2,0),"Д")</f>
        <v>0</v>
      </c>
      <c r="W34" s="50">
        <f>SUMIFS(INDEX(Техника!$F$1:$ABM$500,W$2,0),Техника!$F$4:$ABM$4,"Часы",INDEX(Техника!$G$1:$ABN$500,W$2,0),$A$32,INDEX(Техника!$H$1:$ABO$500,W$2,0),"Д")</f>
        <v>0</v>
      </c>
      <c r="X34" s="50">
        <f>SUMIFS(INDEX(Техника!$F$1:$ABM$500,X$2,0),Техника!$F$4:$ABM$4,"Часы",INDEX(Техника!$G$1:$ABN$500,X$2,0),$A$32,INDEX(Техника!$H$1:$ABO$500,X$2,0),"Д")</f>
        <v>0</v>
      </c>
      <c r="Y34" s="50">
        <f>SUMIFS(INDEX(Техника!$F$1:$ABM$500,Y$2,0),Техника!$F$4:$ABM$4,"Часы",INDEX(Техника!$G$1:$ABN$500,Y$2,0),$A$32,INDEX(Техника!$H$1:$ABO$500,Y$2,0),"Д")</f>
        <v>0</v>
      </c>
      <c r="Z34" s="50">
        <f>SUMIFS(INDEX(Техника!$F$1:$ABM$500,Z$2,0),Техника!$F$4:$ABM$4,"Часы",INDEX(Техника!$G$1:$ABN$500,Z$2,0),$A$32,INDEX(Техника!$H$1:$ABO$500,Z$2,0),"Д")</f>
        <v>0</v>
      </c>
      <c r="AA34" s="50">
        <f>SUMIFS(INDEX(Техника!$F$1:$ABM$500,AA$2,0),Техника!$F$4:$ABM$4,"Часы",INDEX(Техника!$G$1:$ABN$500,AA$2,0),$A$32,INDEX(Техника!$H$1:$ABO$500,AA$2,0),"Д")</f>
        <v>0</v>
      </c>
      <c r="AB34" s="50">
        <f>SUMIFS(INDEX(Техника!$F$1:$ABM$500,AB$2,0),Техника!$F$4:$ABM$4,"Часы",INDEX(Техника!$G$1:$ABN$500,AB$2,0),$A$32,INDEX(Техника!$H$1:$ABO$500,AB$2,0),"Д")</f>
        <v>0</v>
      </c>
    </row>
    <row r="35" spans="1:28" hidden="1" outlineLevel="1" x14ac:dyDescent="0.3">
      <c r="A35" s="33" t="s">
        <v>276</v>
      </c>
      <c r="B35" s="34" t="s">
        <v>277</v>
      </c>
      <c r="C35" s="50">
        <f>SUMIFS(INDEX(Техника!$F$1:$ABM$500,C$2,0),Техника!$F$4:$ABM$4,"Часы",INDEX(Техника!$G$1:$ABN$500,C$2,0),$A$32,INDEX(Техника!$H$1:$ABO$500,C$2,0),"П")</f>
        <v>0</v>
      </c>
      <c r="D35" s="50">
        <f>SUMIFS(INDEX(Техника!$F$1:$ABM$500,D$2,0),Техника!$F$4:$ABM$4,"Часы",INDEX(Техника!$G$1:$ABN$500,D$2,0),$A$32,INDEX(Техника!$H$1:$ABO$500,D$2,0),"П")</f>
        <v>0</v>
      </c>
      <c r="E35" s="50">
        <f>SUMIFS(INDEX(Техника!$F$1:$ABM$500,E$2,0),Техника!$F$4:$ABM$4,"Часы",INDEX(Техника!$G$1:$ABN$500,E$2,0),$A$32,INDEX(Техника!$H$1:$ABO$500,E$2,0),"П")</f>
        <v>0</v>
      </c>
      <c r="F35" s="50">
        <f>SUMIFS(INDEX(Техника!$F$1:$ABM$500,F$2,0),Техника!$F$4:$ABM$4,"Часы",INDEX(Техника!$G$1:$ABN$500,F$2,0),$A$32,INDEX(Техника!$H$1:$ABO$500,F$2,0),"П")</f>
        <v>0</v>
      </c>
      <c r="G35" s="50">
        <f>SUMIFS(INDEX(Техника!$F$1:$ABM$500,G$2,0),Техника!$F$4:$ABM$4,"Часы",INDEX(Техника!$G$1:$ABN$500,G$2,0),$A$32,INDEX(Техника!$H$1:$ABO$500,G$2,0),"П")</f>
        <v>0</v>
      </c>
      <c r="H35" s="50">
        <f>SUMIFS(INDEX(Техника!$F$1:$ABM$500,H$2,0),Техника!$F$4:$ABM$4,"Часы",INDEX(Техника!$G$1:$ABN$500,H$2,0),$A$32,INDEX(Техника!$H$1:$ABO$500,H$2,0),"П")</f>
        <v>0</v>
      </c>
      <c r="I35" s="50">
        <f>SUMIFS(INDEX(Техника!$F$1:$ABM$500,I$2,0),Техника!$F$4:$ABM$4,"Часы",INDEX(Техника!$G$1:$ABN$500,I$2,0),$A$32,INDEX(Техника!$H$1:$ABO$500,I$2,0),"П")</f>
        <v>0</v>
      </c>
      <c r="J35" s="50">
        <f>SUMIFS(INDEX(Техника!$F$1:$ABM$500,J$2,0),Техника!$F$4:$ABM$4,"Часы",INDEX(Техника!$G$1:$ABN$500,J$2,0),$A$32,INDEX(Техника!$H$1:$ABO$500,J$2,0),"П")</f>
        <v>0</v>
      </c>
      <c r="K35" s="50">
        <f>SUMIFS(INDEX(Техника!$F$1:$ABM$500,K$2,0),Техника!$F$4:$ABM$4,"Часы",INDEX(Техника!$G$1:$ABN$500,K$2,0),$A$32,INDEX(Техника!$H$1:$ABO$500,K$2,0),"П")</f>
        <v>0</v>
      </c>
      <c r="L35" s="50">
        <f>SUMIFS(INDEX(Техника!$F$1:$ABM$500,L$2,0),Техника!$F$4:$ABM$4,"Часы",INDEX(Техника!$G$1:$ABN$500,L$2,0),$A$32,INDEX(Техника!$H$1:$ABO$500,L$2,0),"П")</f>
        <v>0</v>
      </c>
      <c r="M35" s="50">
        <f>SUMIFS(INDEX(Техника!$F$1:$ABM$500,M$2,0),Техника!$F$4:$ABM$4,"Часы",INDEX(Техника!$G$1:$ABN$500,M$2,0),$A$32,INDEX(Техника!$H$1:$ABO$500,M$2,0),"П")</f>
        <v>0</v>
      </c>
      <c r="N35" s="50">
        <f>SUMIFS(INDEX(Техника!$F$1:$ABM$500,N$2,0),Техника!$F$4:$ABM$4,"Часы",INDEX(Техника!$G$1:$ABN$500,N$2,0),$A$32,INDEX(Техника!$H$1:$ABO$500,N$2,0),"П")</f>
        <v>0</v>
      </c>
      <c r="O35" s="50">
        <f>SUMIFS(INDEX(Техника!$F$1:$ABM$500,O$2,0),Техника!$F$4:$ABM$4,"Часы",INDEX(Техника!$G$1:$ABN$500,O$2,0),$A$32,INDEX(Техника!$H$1:$ABO$500,O$2,0),"П")</f>
        <v>0</v>
      </c>
      <c r="P35" s="50">
        <f>SUMIFS(INDEX(Техника!$F$1:$ABM$500,P$2,0),Техника!$F$4:$ABM$4,"Часы",INDEX(Техника!$G$1:$ABN$500,P$2,0),$A$32,INDEX(Техника!$H$1:$ABO$500,P$2,0),"П")</f>
        <v>0</v>
      </c>
      <c r="Q35" s="50">
        <f>SUMIFS(INDEX(Техника!$F$1:$ABM$500,Q$2,0),Техника!$F$4:$ABM$4,"Часы",INDEX(Техника!$G$1:$ABN$500,Q$2,0),$A$32,INDEX(Техника!$H$1:$ABO$500,Q$2,0),"П")</f>
        <v>0</v>
      </c>
      <c r="R35" s="50">
        <f>SUMIFS(INDEX(Техника!$F$1:$ABM$500,R$2,0),Техника!$F$4:$ABM$4,"Часы",INDEX(Техника!$G$1:$ABN$500,R$2,0),$A$32,INDEX(Техника!$H$1:$ABO$500,R$2,0),"П")</f>
        <v>0</v>
      </c>
      <c r="S35" s="50">
        <f>SUMIFS(INDEX(Техника!$F$1:$ABM$500,S$2,0),Техника!$F$4:$ABM$4,"Часы",INDEX(Техника!$G$1:$ABN$500,S$2,0),$A$32,INDEX(Техника!$H$1:$ABO$500,S$2,0),"П")</f>
        <v>0</v>
      </c>
      <c r="T35" s="50">
        <f>SUMIFS(INDEX(Техника!$F$1:$ABM$500,T$2,0),Техника!$F$4:$ABM$4,"Часы",INDEX(Техника!$G$1:$ABN$500,T$2,0),$A$32,INDEX(Техника!$H$1:$ABO$500,T$2,0),"П")</f>
        <v>0</v>
      </c>
      <c r="U35" s="50">
        <f>SUMIFS(INDEX(Техника!$F$1:$ABM$500,U$2,0),Техника!$F$4:$ABM$4,"Часы",INDEX(Техника!$G$1:$ABN$500,U$2,0),$A$32,INDEX(Техника!$H$1:$ABO$500,U$2,0),"П")</f>
        <v>0</v>
      </c>
      <c r="V35" s="50">
        <f>SUMIFS(INDEX(Техника!$F$1:$ABM$500,V$2,0),Техника!$F$4:$ABM$4,"Часы",INDEX(Техника!$G$1:$ABN$500,V$2,0),$A$32,INDEX(Техника!$H$1:$ABO$500,V$2,0),"П")</f>
        <v>0</v>
      </c>
      <c r="W35" s="50">
        <f>SUMIFS(INDEX(Техника!$F$1:$ABM$500,W$2,0),Техника!$F$4:$ABM$4,"Часы",INDEX(Техника!$G$1:$ABN$500,W$2,0),$A$32,INDEX(Техника!$H$1:$ABO$500,W$2,0),"П")</f>
        <v>0</v>
      </c>
      <c r="X35" s="50">
        <f>SUMIFS(INDEX(Техника!$F$1:$ABM$500,X$2,0),Техника!$F$4:$ABM$4,"Часы",INDEX(Техника!$G$1:$ABN$500,X$2,0),$A$32,INDEX(Техника!$H$1:$ABO$500,X$2,0),"П")</f>
        <v>0</v>
      </c>
      <c r="Y35" s="50">
        <f>SUMIFS(INDEX(Техника!$F$1:$ABM$500,Y$2,0),Техника!$F$4:$ABM$4,"Часы",INDEX(Техника!$G$1:$ABN$500,Y$2,0),$A$32,INDEX(Техника!$H$1:$ABO$500,Y$2,0),"П")</f>
        <v>0</v>
      </c>
      <c r="Z35" s="50">
        <f>SUMIFS(INDEX(Техника!$F$1:$ABM$500,Z$2,0),Техника!$F$4:$ABM$4,"Часы",INDEX(Техника!$G$1:$ABN$500,Z$2,0),$A$32,INDEX(Техника!$H$1:$ABO$500,Z$2,0),"П")</f>
        <v>0</v>
      </c>
      <c r="AA35" s="50">
        <f>SUMIFS(INDEX(Техника!$F$1:$ABM$500,AA$2,0),Техника!$F$4:$ABM$4,"Часы",INDEX(Техника!$G$1:$ABN$500,AA$2,0),$A$32,INDEX(Техника!$H$1:$ABO$500,AA$2,0),"П")</f>
        <v>0</v>
      </c>
      <c r="AB35" s="50">
        <f>SUMIFS(INDEX(Техника!$F$1:$ABM$500,AB$2,0),Техника!$F$4:$ABM$4,"Часы",INDEX(Техника!$G$1:$ABN$500,AB$2,0),$A$32,INDEX(Техника!$H$1:$ABO$500,AB$2,0),"П")</f>
        <v>0</v>
      </c>
    </row>
    <row r="36" spans="1:28" hidden="1" outlineLevel="1" x14ac:dyDescent="0.3">
      <c r="A36" s="33" t="s">
        <v>243</v>
      </c>
      <c r="B36" s="34" t="s">
        <v>278</v>
      </c>
      <c r="C36" s="50">
        <f>SUMIFS(INDEX(Техника!$F$1:$ABM$500,C$2,0),Техника!$F$4:$ABM$4,"Часы",INDEX(Техника!$G$1:$ABN$500,C$2,0),$A$32,INDEX(Техника!$H$1:$ABO$500,C$2,0),"Л")</f>
        <v>0</v>
      </c>
      <c r="D36" s="50">
        <f>SUMIFS(INDEX(Техника!$F$1:$ABM$500,D$2,0),Техника!$F$4:$ABM$4,"Часы",INDEX(Техника!$G$1:$ABN$500,D$2,0),$A$32,INDEX(Техника!$H$1:$ABO$500,D$2,0),"Л")</f>
        <v>0</v>
      </c>
      <c r="E36" s="50">
        <f>SUMIFS(INDEX(Техника!$F$1:$ABM$500,E$2,0),Техника!$F$4:$ABM$4,"Часы",INDEX(Техника!$G$1:$ABN$500,E$2,0),$A$32,INDEX(Техника!$H$1:$ABO$500,E$2,0),"Л")</f>
        <v>0</v>
      </c>
      <c r="F36" s="50">
        <f>SUMIFS(INDEX(Техника!$F$1:$ABM$500,F$2,0),Техника!$F$4:$ABM$4,"Часы",INDEX(Техника!$G$1:$ABN$500,F$2,0),$A$32,INDEX(Техника!$H$1:$ABO$500,F$2,0),"Л")</f>
        <v>0</v>
      </c>
      <c r="G36" s="50">
        <f>SUMIFS(INDEX(Техника!$F$1:$ABM$500,G$2,0),Техника!$F$4:$ABM$4,"Часы",INDEX(Техника!$G$1:$ABN$500,G$2,0),$A$32,INDEX(Техника!$H$1:$ABO$500,G$2,0),"Л")</f>
        <v>0</v>
      </c>
      <c r="H36" s="50">
        <f>SUMIFS(INDEX(Техника!$F$1:$ABM$500,H$2,0),Техника!$F$4:$ABM$4,"Часы",INDEX(Техника!$G$1:$ABN$500,H$2,0),$A$32,INDEX(Техника!$H$1:$ABO$500,H$2,0),"Л")</f>
        <v>0</v>
      </c>
      <c r="I36" s="50">
        <f>SUMIFS(INDEX(Техника!$F$1:$ABM$500,I$2,0),Техника!$F$4:$ABM$4,"Часы",INDEX(Техника!$G$1:$ABN$500,I$2,0),$A$32,INDEX(Техника!$H$1:$ABO$500,I$2,0),"Л")</f>
        <v>0</v>
      </c>
      <c r="J36" s="50">
        <f>SUMIFS(INDEX(Техника!$F$1:$ABM$500,J$2,0),Техника!$F$4:$ABM$4,"Часы",INDEX(Техника!$G$1:$ABN$500,J$2,0),$A$32,INDEX(Техника!$H$1:$ABO$500,J$2,0),"Л")</f>
        <v>0</v>
      </c>
      <c r="K36" s="50">
        <f>SUMIFS(INDEX(Техника!$F$1:$ABM$500,K$2,0),Техника!$F$4:$ABM$4,"Часы",INDEX(Техника!$G$1:$ABN$500,K$2,0),$A$32,INDEX(Техника!$H$1:$ABO$500,K$2,0),"Л")</f>
        <v>0</v>
      </c>
      <c r="L36" s="50">
        <f>SUMIFS(INDEX(Техника!$F$1:$ABM$500,L$2,0),Техника!$F$4:$ABM$4,"Часы",INDEX(Техника!$G$1:$ABN$500,L$2,0),$A$32,INDEX(Техника!$H$1:$ABO$500,L$2,0),"Л")</f>
        <v>0</v>
      </c>
      <c r="M36" s="50">
        <f>SUMIFS(INDEX(Техника!$F$1:$ABM$500,M$2,0),Техника!$F$4:$ABM$4,"Часы",INDEX(Техника!$G$1:$ABN$500,M$2,0),$A$32,INDEX(Техника!$H$1:$ABO$500,M$2,0),"Л")</f>
        <v>0</v>
      </c>
      <c r="N36" s="50">
        <f>SUMIFS(INDEX(Техника!$F$1:$ABM$500,N$2,0),Техника!$F$4:$ABM$4,"Часы",INDEX(Техника!$G$1:$ABN$500,N$2,0),$A$32,INDEX(Техника!$H$1:$ABO$500,N$2,0),"Л")</f>
        <v>0</v>
      </c>
      <c r="O36" s="50">
        <f>SUMIFS(INDEX(Техника!$F$1:$ABM$500,O$2,0),Техника!$F$4:$ABM$4,"Часы",INDEX(Техника!$G$1:$ABN$500,O$2,0),$A$32,INDEX(Техника!$H$1:$ABO$500,O$2,0),"Л")</f>
        <v>0</v>
      </c>
      <c r="P36" s="50">
        <f>SUMIFS(INDEX(Техника!$F$1:$ABM$500,P$2,0),Техника!$F$4:$ABM$4,"Часы",INDEX(Техника!$G$1:$ABN$500,P$2,0),$A$32,INDEX(Техника!$H$1:$ABO$500,P$2,0),"Л")</f>
        <v>0</v>
      </c>
      <c r="Q36" s="50">
        <f>SUMIFS(INDEX(Техника!$F$1:$ABM$500,Q$2,0),Техника!$F$4:$ABM$4,"Часы",INDEX(Техника!$G$1:$ABN$500,Q$2,0),$A$32,INDEX(Техника!$H$1:$ABO$500,Q$2,0),"Л")</f>
        <v>0</v>
      </c>
      <c r="R36" s="50">
        <f>SUMIFS(INDEX(Техника!$F$1:$ABM$500,R$2,0),Техника!$F$4:$ABM$4,"Часы",INDEX(Техника!$G$1:$ABN$500,R$2,0),$A$32,INDEX(Техника!$H$1:$ABO$500,R$2,0),"Л")</f>
        <v>0</v>
      </c>
      <c r="S36" s="50">
        <f>SUMIFS(INDEX(Техника!$F$1:$ABM$500,S$2,0),Техника!$F$4:$ABM$4,"Часы",INDEX(Техника!$G$1:$ABN$500,S$2,0),$A$32,INDEX(Техника!$H$1:$ABO$500,S$2,0),"Л")</f>
        <v>0</v>
      </c>
      <c r="T36" s="50">
        <f>SUMIFS(INDEX(Техника!$F$1:$ABM$500,T$2,0),Техника!$F$4:$ABM$4,"Часы",INDEX(Техника!$G$1:$ABN$500,T$2,0),$A$32,INDEX(Техника!$H$1:$ABO$500,T$2,0),"Л")</f>
        <v>0</v>
      </c>
      <c r="U36" s="50">
        <f>SUMIFS(INDEX(Техника!$F$1:$ABM$500,U$2,0),Техника!$F$4:$ABM$4,"Часы",INDEX(Техника!$G$1:$ABN$500,U$2,0),$A$32,INDEX(Техника!$H$1:$ABO$500,U$2,0),"Л")</f>
        <v>0</v>
      </c>
      <c r="V36" s="50">
        <f>SUMIFS(INDEX(Техника!$F$1:$ABM$500,V$2,0),Техника!$F$4:$ABM$4,"Часы",INDEX(Техника!$G$1:$ABN$500,V$2,0),$A$32,INDEX(Техника!$H$1:$ABO$500,V$2,0),"Л")</f>
        <v>0</v>
      </c>
      <c r="W36" s="50">
        <f>SUMIFS(INDEX(Техника!$F$1:$ABM$500,W$2,0),Техника!$F$4:$ABM$4,"Часы",INDEX(Техника!$G$1:$ABN$500,W$2,0),$A$32,INDEX(Техника!$H$1:$ABO$500,W$2,0),"Л")</f>
        <v>0</v>
      </c>
      <c r="X36" s="50">
        <f>SUMIFS(INDEX(Техника!$F$1:$ABM$500,X$2,0),Техника!$F$4:$ABM$4,"Часы",INDEX(Техника!$G$1:$ABN$500,X$2,0),$A$32,INDEX(Техника!$H$1:$ABO$500,X$2,0),"Л")</f>
        <v>0</v>
      </c>
      <c r="Y36" s="50">
        <f>SUMIFS(INDEX(Техника!$F$1:$ABM$500,Y$2,0),Техника!$F$4:$ABM$4,"Часы",INDEX(Техника!$G$1:$ABN$500,Y$2,0),$A$32,INDEX(Техника!$H$1:$ABO$500,Y$2,0),"Л")</f>
        <v>0</v>
      </c>
      <c r="Z36" s="50">
        <f>SUMIFS(INDEX(Техника!$F$1:$ABM$500,Z$2,0),Техника!$F$4:$ABM$4,"Часы",INDEX(Техника!$G$1:$ABN$500,Z$2,0),$A$32,INDEX(Техника!$H$1:$ABO$500,Z$2,0),"Л")</f>
        <v>0</v>
      </c>
      <c r="AA36" s="50">
        <f>SUMIFS(INDEX(Техника!$F$1:$ABM$500,AA$2,0),Техника!$F$4:$ABM$4,"Часы",INDEX(Техника!$G$1:$ABN$500,AA$2,0),$A$32,INDEX(Техника!$H$1:$ABO$500,AA$2,0),"Л")</f>
        <v>0</v>
      </c>
      <c r="AB36" s="50">
        <f>SUMIFS(INDEX(Техника!$F$1:$ABM$500,AB$2,0),Техника!$F$4:$ABM$4,"Часы",INDEX(Техника!$G$1:$ABN$500,AB$2,0),$A$32,INDEX(Техника!$H$1:$ABO$500,AB$2,0),"Л")</f>
        <v>0</v>
      </c>
    </row>
    <row r="37" spans="1:28" hidden="1" outlineLevel="1" x14ac:dyDescent="0.3">
      <c r="A37" s="33" t="s">
        <v>245</v>
      </c>
      <c r="B37" s="34" t="s">
        <v>279</v>
      </c>
      <c r="C37" s="50">
        <f>SUMIFS(INDEX(Техника!$F$1:$ABM$500,C$2,0),Техника!$F$4:$ABM$4,"Часы",INDEX(Техника!$G$1:$ABN$500,C$2,0),$A$32,INDEX(Техника!$H$1:$ABO$500,C$2,0),"З")</f>
        <v>0</v>
      </c>
      <c r="D37" s="50">
        <f>SUMIFS(INDEX(Техника!$F$1:$ABM$500,D$2,0),Техника!$F$4:$ABM$4,"Часы",INDEX(Техника!$G$1:$ABN$500,D$2,0),$A$32,INDEX(Техника!$H$1:$ABO$500,D$2,0),"З")</f>
        <v>0</v>
      </c>
      <c r="E37" s="50">
        <f>SUMIFS(INDEX(Техника!$F$1:$ABM$500,E$2,0),Техника!$F$4:$ABM$4,"Часы",INDEX(Техника!$G$1:$ABN$500,E$2,0),$A$32,INDEX(Техника!$H$1:$ABO$500,E$2,0),"З")</f>
        <v>0</v>
      </c>
      <c r="F37" s="50">
        <f>SUMIFS(INDEX(Техника!$F$1:$ABM$500,F$2,0),Техника!$F$4:$ABM$4,"Часы",INDEX(Техника!$G$1:$ABN$500,F$2,0),$A$32,INDEX(Техника!$H$1:$ABO$500,F$2,0),"З")</f>
        <v>0</v>
      </c>
      <c r="G37" s="50">
        <f>SUMIFS(INDEX(Техника!$F$1:$ABM$500,G$2,0),Техника!$F$4:$ABM$4,"Часы",INDEX(Техника!$G$1:$ABN$500,G$2,0),$A$32,INDEX(Техника!$H$1:$ABO$500,G$2,0),"З")</f>
        <v>0</v>
      </c>
      <c r="H37" s="50">
        <f>SUMIFS(INDEX(Техника!$F$1:$ABM$500,H$2,0),Техника!$F$4:$ABM$4,"Часы",INDEX(Техника!$G$1:$ABN$500,H$2,0),$A$32,INDEX(Техника!$H$1:$ABO$500,H$2,0),"З")</f>
        <v>0</v>
      </c>
      <c r="I37" s="50">
        <f>SUMIFS(INDEX(Техника!$F$1:$ABM$500,I$2,0),Техника!$F$4:$ABM$4,"Часы",INDEX(Техника!$G$1:$ABN$500,I$2,0),$A$32,INDEX(Техника!$H$1:$ABO$500,I$2,0),"З")</f>
        <v>0</v>
      </c>
      <c r="J37" s="50">
        <f>SUMIFS(INDEX(Техника!$F$1:$ABM$500,J$2,0),Техника!$F$4:$ABM$4,"Часы",INDEX(Техника!$G$1:$ABN$500,J$2,0),$A$32,INDEX(Техника!$H$1:$ABO$500,J$2,0),"З")</f>
        <v>0</v>
      </c>
      <c r="K37" s="50">
        <f>SUMIFS(INDEX(Техника!$F$1:$ABM$500,K$2,0),Техника!$F$4:$ABM$4,"Часы",INDEX(Техника!$G$1:$ABN$500,K$2,0),$A$32,INDEX(Техника!$H$1:$ABO$500,K$2,0),"З")</f>
        <v>0</v>
      </c>
      <c r="L37" s="50">
        <f>SUMIFS(INDEX(Техника!$F$1:$ABM$500,L$2,0),Техника!$F$4:$ABM$4,"Часы",INDEX(Техника!$G$1:$ABN$500,L$2,0),$A$32,INDEX(Техника!$H$1:$ABO$500,L$2,0),"З")</f>
        <v>0</v>
      </c>
      <c r="M37" s="50">
        <f>SUMIFS(INDEX(Техника!$F$1:$ABM$500,M$2,0),Техника!$F$4:$ABM$4,"Часы",INDEX(Техника!$G$1:$ABN$500,M$2,0),$A$32,INDEX(Техника!$H$1:$ABO$500,M$2,0),"З")</f>
        <v>0</v>
      </c>
      <c r="N37" s="50">
        <f>SUMIFS(INDEX(Техника!$F$1:$ABM$500,N$2,0),Техника!$F$4:$ABM$4,"Часы",INDEX(Техника!$G$1:$ABN$500,N$2,0),$A$32,INDEX(Техника!$H$1:$ABO$500,N$2,0),"З")</f>
        <v>0</v>
      </c>
      <c r="O37" s="50">
        <f>SUMIFS(INDEX(Техника!$F$1:$ABM$500,O$2,0),Техника!$F$4:$ABM$4,"Часы",INDEX(Техника!$G$1:$ABN$500,O$2,0),$A$32,INDEX(Техника!$H$1:$ABO$500,O$2,0),"З")</f>
        <v>0</v>
      </c>
      <c r="P37" s="50">
        <f>SUMIFS(INDEX(Техника!$F$1:$ABM$500,P$2,0),Техника!$F$4:$ABM$4,"Часы",INDEX(Техника!$G$1:$ABN$500,P$2,0),$A$32,INDEX(Техника!$H$1:$ABO$500,P$2,0),"З")</f>
        <v>0</v>
      </c>
      <c r="Q37" s="50">
        <f>SUMIFS(INDEX(Техника!$F$1:$ABM$500,Q$2,0),Техника!$F$4:$ABM$4,"Часы",INDEX(Техника!$G$1:$ABN$500,Q$2,0),$A$32,INDEX(Техника!$H$1:$ABO$500,Q$2,0),"З")</f>
        <v>0</v>
      </c>
      <c r="R37" s="50">
        <f>SUMIFS(INDEX(Техника!$F$1:$ABM$500,R$2,0),Техника!$F$4:$ABM$4,"Часы",INDEX(Техника!$G$1:$ABN$500,R$2,0),$A$32,INDEX(Техника!$H$1:$ABO$500,R$2,0),"З")</f>
        <v>0</v>
      </c>
      <c r="S37" s="50">
        <f>SUMIFS(INDEX(Техника!$F$1:$ABM$500,S$2,0),Техника!$F$4:$ABM$4,"Часы",INDEX(Техника!$G$1:$ABN$500,S$2,0),$A$32,INDEX(Техника!$H$1:$ABO$500,S$2,0),"З")</f>
        <v>0</v>
      </c>
      <c r="T37" s="50">
        <f>SUMIFS(INDEX(Техника!$F$1:$ABM$500,T$2,0),Техника!$F$4:$ABM$4,"Часы",INDEX(Техника!$G$1:$ABN$500,T$2,0),$A$32,INDEX(Техника!$H$1:$ABO$500,T$2,0),"З")</f>
        <v>0</v>
      </c>
      <c r="U37" s="50">
        <f>SUMIFS(INDEX(Техника!$F$1:$ABM$500,U$2,0),Техника!$F$4:$ABM$4,"Часы",INDEX(Техника!$G$1:$ABN$500,U$2,0),$A$32,INDEX(Техника!$H$1:$ABO$500,U$2,0),"З")</f>
        <v>0</v>
      </c>
      <c r="V37" s="50">
        <f>SUMIFS(INDEX(Техника!$F$1:$ABM$500,V$2,0),Техника!$F$4:$ABM$4,"Часы",INDEX(Техника!$G$1:$ABN$500,V$2,0),$A$32,INDEX(Техника!$H$1:$ABO$500,V$2,0),"З")</f>
        <v>0</v>
      </c>
      <c r="W37" s="50">
        <f>SUMIFS(INDEX(Техника!$F$1:$ABM$500,W$2,0),Техника!$F$4:$ABM$4,"Часы",INDEX(Техника!$G$1:$ABN$500,W$2,0),$A$32,INDEX(Техника!$H$1:$ABO$500,W$2,0),"З")</f>
        <v>0</v>
      </c>
      <c r="X37" s="50">
        <f>SUMIFS(INDEX(Техника!$F$1:$ABM$500,X$2,0),Техника!$F$4:$ABM$4,"Часы",INDEX(Техника!$G$1:$ABN$500,X$2,0),$A$32,INDEX(Техника!$H$1:$ABO$500,X$2,0),"З")</f>
        <v>0</v>
      </c>
      <c r="Y37" s="50">
        <f>SUMIFS(INDEX(Техника!$F$1:$ABM$500,Y$2,0),Техника!$F$4:$ABM$4,"Часы",INDEX(Техника!$G$1:$ABN$500,Y$2,0),$A$32,INDEX(Техника!$H$1:$ABO$500,Y$2,0),"З")</f>
        <v>0</v>
      </c>
      <c r="Z37" s="50">
        <f>SUMIFS(INDEX(Техника!$F$1:$ABM$500,Z$2,0),Техника!$F$4:$ABM$4,"Часы",INDEX(Техника!$G$1:$ABN$500,Z$2,0),$A$32,INDEX(Техника!$H$1:$ABO$500,Z$2,0),"З")</f>
        <v>0</v>
      </c>
      <c r="AA37" s="50">
        <f>SUMIFS(INDEX(Техника!$F$1:$ABM$500,AA$2,0),Техника!$F$4:$ABM$4,"Часы",INDEX(Техника!$G$1:$ABN$500,AA$2,0),$A$32,INDEX(Техника!$H$1:$ABO$500,AA$2,0),"З")</f>
        <v>0</v>
      </c>
      <c r="AB37" s="50">
        <f>SUMIFS(INDEX(Техника!$F$1:$ABM$500,AB$2,0),Техника!$F$4:$ABM$4,"Часы",INDEX(Техника!$G$1:$ABN$500,AB$2,0),$A$32,INDEX(Техника!$H$1:$ABO$500,AB$2,0),"З")</f>
        <v>0</v>
      </c>
    </row>
    <row r="38" spans="1:28" ht="7.95" customHeight="1" x14ac:dyDescent="0.3">
      <c r="A38" s="38"/>
      <c r="B38" s="39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 spans="1:28" ht="25.05" customHeight="1" collapsed="1" x14ac:dyDescent="0.3">
      <c r="A39" s="32">
        <v>6</v>
      </c>
      <c r="B39" s="32" t="s">
        <v>7</v>
      </c>
      <c r="C39" s="49">
        <f>SUM(C40:C44)</f>
        <v>0</v>
      </c>
      <c r="D39" s="49">
        <f>SUM(D40:D44)</f>
        <v>0</v>
      </c>
      <c r="E39" s="49">
        <f>SUM(E40:E44)</f>
        <v>0</v>
      </c>
      <c r="F39" s="49">
        <f>SUM(F40:F44)</f>
        <v>0</v>
      </c>
      <c r="G39" s="49">
        <f>SUM(G40:G44)</f>
        <v>0</v>
      </c>
      <c r="H39" s="49">
        <f>SUM(H40:H44)</f>
        <v>0</v>
      </c>
      <c r="I39" s="49">
        <f>SUM(I40:I44)</f>
        <v>0</v>
      </c>
      <c r="J39" s="49">
        <f>SUM(J40:J44)</f>
        <v>0</v>
      </c>
      <c r="K39" s="49">
        <f>SUM(K40:K44)</f>
        <v>0</v>
      </c>
      <c r="L39" s="49">
        <f>SUM(L40:L44)</f>
        <v>0</v>
      </c>
      <c r="M39" s="49">
        <f>SUM(M40:M44)</f>
        <v>0</v>
      </c>
      <c r="N39" s="49">
        <f>SUM(N40:N44)</f>
        <v>0</v>
      </c>
      <c r="O39" s="49">
        <f>SUM(O40:O44)</f>
        <v>0</v>
      </c>
      <c r="P39" s="49">
        <f>SUM(P40:P44)</f>
        <v>0</v>
      </c>
      <c r="Q39" s="49">
        <f>SUM(Q40:Q44)</f>
        <v>0</v>
      </c>
      <c r="R39" s="49">
        <f>SUM(R40:R44)</f>
        <v>0</v>
      </c>
      <c r="S39" s="49">
        <f>SUM(S40:S44)</f>
        <v>0</v>
      </c>
      <c r="T39" s="49">
        <f>SUM(T40:T44)</f>
        <v>0</v>
      </c>
      <c r="U39" s="49">
        <f>SUM(U40:U44)</f>
        <v>0</v>
      </c>
      <c r="V39" s="49">
        <f>SUM(V40:V44)</f>
        <v>0</v>
      </c>
      <c r="W39" s="49">
        <f>SUM(W40:W44)</f>
        <v>0</v>
      </c>
      <c r="X39" s="49">
        <f>SUM(X40:X44)</f>
        <v>0</v>
      </c>
      <c r="Y39" s="49">
        <f>SUM(Y40:Y44)</f>
        <v>0</v>
      </c>
      <c r="Z39" s="49">
        <f>SUM(Z40:Z44)</f>
        <v>0</v>
      </c>
      <c r="AA39" s="49">
        <f>SUM(AA40:AA44)</f>
        <v>0</v>
      </c>
      <c r="AB39" s="49">
        <f>SUM(AB40:AB44)</f>
        <v>0</v>
      </c>
    </row>
    <row r="40" spans="1:28" hidden="1" outlineLevel="1" x14ac:dyDescent="0.3">
      <c r="A40" s="33" t="s">
        <v>246</v>
      </c>
      <c r="B40" s="34" t="s">
        <v>274</v>
      </c>
      <c r="C40" s="50">
        <f>SUMIFS(INDEX(Техника!$F$1:$ABM$500,C$2,0),Техника!$F$4:$ABM$4,"Часы",INDEX(Техника!$G$1:$ABN$500,C$2,0),$A$39,INDEX(Техника!$H$1:$ABO$500,C$2,0),"М")</f>
        <v>0</v>
      </c>
      <c r="D40" s="50">
        <f>SUMIFS(INDEX(Техника!$F$1:$ABM$500,D$2,0),Техника!$F$4:$ABM$4,"Часы",INDEX(Техника!$G$1:$ABN$500,D$2,0),$A$39,INDEX(Техника!$H$1:$ABO$500,D$2,0),"М")</f>
        <v>0</v>
      </c>
      <c r="E40" s="50">
        <f>SUMIFS(INDEX(Техника!$F$1:$ABM$500,E$2,0),Техника!$F$4:$ABM$4,"Часы",INDEX(Техника!$G$1:$ABN$500,E$2,0),$A$39,INDEX(Техника!$H$1:$ABO$500,E$2,0),"М")</f>
        <v>0</v>
      </c>
      <c r="F40" s="50">
        <f>SUMIFS(INDEX(Техника!$F$1:$ABM$500,F$2,0),Техника!$F$4:$ABM$4,"Часы",INDEX(Техника!$G$1:$ABN$500,F$2,0),$A$39,INDEX(Техника!$H$1:$ABO$500,F$2,0),"М")</f>
        <v>0</v>
      </c>
      <c r="G40" s="50">
        <f>SUMIFS(INDEX(Техника!$F$1:$ABM$500,G$2,0),Техника!$F$4:$ABM$4,"Часы",INDEX(Техника!$G$1:$ABN$500,G$2,0),$A$39,INDEX(Техника!$H$1:$ABO$500,G$2,0),"М")</f>
        <v>0</v>
      </c>
      <c r="H40" s="50">
        <f>SUMIFS(INDEX(Техника!$F$1:$ABM$500,H$2,0),Техника!$F$4:$ABM$4,"Часы",INDEX(Техника!$G$1:$ABN$500,H$2,0),$A$39,INDEX(Техника!$H$1:$ABO$500,H$2,0),"М")</f>
        <v>0</v>
      </c>
      <c r="I40" s="50">
        <f>SUMIFS(INDEX(Техника!$F$1:$ABM$500,I$2,0),Техника!$F$4:$ABM$4,"Часы",INDEX(Техника!$G$1:$ABN$500,I$2,0),$A$39,INDEX(Техника!$H$1:$ABO$500,I$2,0),"М")</f>
        <v>0</v>
      </c>
      <c r="J40" s="50">
        <f>SUMIFS(INDEX(Техника!$F$1:$ABM$500,J$2,0),Техника!$F$4:$ABM$4,"Часы",INDEX(Техника!$G$1:$ABN$500,J$2,0),$A$39,INDEX(Техника!$H$1:$ABO$500,J$2,0),"М")</f>
        <v>0</v>
      </c>
      <c r="K40" s="50">
        <f>SUMIFS(INDEX(Техника!$F$1:$ABM$500,K$2,0),Техника!$F$4:$ABM$4,"Часы",INDEX(Техника!$G$1:$ABN$500,K$2,0),$A$39,INDEX(Техника!$H$1:$ABO$500,K$2,0),"М")</f>
        <v>0</v>
      </c>
      <c r="L40" s="50">
        <f>SUMIFS(INDEX(Техника!$F$1:$ABM$500,L$2,0),Техника!$F$4:$ABM$4,"Часы",INDEX(Техника!$G$1:$ABN$500,L$2,0),$A$39,INDEX(Техника!$H$1:$ABO$500,L$2,0),"М")</f>
        <v>0</v>
      </c>
      <c r="M40" s="50">
        <f>SUMIFS(INDEX(Техника!$F$1:$ABM$500,M$2,0),Техника!$F$4:$ABM$4,"Часы",INDEX(Техника!$G$1:$ABN$500,M$2,0),$A$39,INDEX(Техника!$H$1:$ABO$500,M$2,0),"М")</f>
        <v>0</v>
      </c>
      <c r="N40" s="50">
        <f>SUMIFS(INDEX(Техника!$F$1:$ABM$500,N$2,0),Техника!$F$4:$ABM$4,"Часы",INDEX(Техника!$G$1:$ABN$500,N$2,0),$A$39,INDEX(Техника!$H$1:$ABO$500,N$2,0),"М")</f>
        <v>0</v>
      </c>
      <c r="O40" s="50">
        <f>SUMIFS(INDEX(Техника!$F$1:$ABM$500,O$2,0),Техника!$F$4:$ABM$4,"Часы",INDEX(Техника!$G$1:$ABN$500,O$2,0),$A$39,INDEX(Техника!$H$1:$ABO$500,O$2,0),"М")</f>
        <v>0</v>
      </c>
      <c r="P40" s="50">
        <f>SUMIFS(INDEX(Техника!$F$1:$ABM$500,P$2,0),Техника!$F$4:$ABM$4,"Часы",INDEX(Техника!$G$1:$ABN$500,P$2,0),$A$39,INDEX(Техника!$H$1:$ABO$500,P$2,0),"М")</f>
        <v>0</v>
      </c>
      <c r="Q40" s="50">
        <f>SUMIFS(INDEX(Техника!$F$1:$ABM$500,Q$2,0),Техника!$F$4:$ABM$4,"Часы",INDEX(Техника!$G$1:$ABN$500,Q$2,0),$A$39,INDEX(Техника!$H$1:$ABO$500,Q$2,0),"М")</f>
        <v>0</v>
      </c>
      <c r="R40" s="50">
        <f>SUMIFS(INDEX(Техника!$F$1:$ABM$500,R$2,0),Техника!$F$4:$ABM$4,"Часы",INDEX(Техника!$G$1:$ABN$500,R$2,0),$A$39,INDEX(Техника!$H$1:$ABO$500,R$2,0),"М")</f>
        <v>0</v>
      </c>
      <c r="S40" s="50">
        <f>SUMIFS(INDEX(Техника!$F$1:$ABM$500,S$2,0),Техника!$F$4:$ABM$4,"Часы",INDEX(Техника!$G$1:$ABN$500,S$2,0),$A$39,INDEX(Техника!$H$1:$ABO$500,S$2,0),"М")</f>
        <v>0</v>
      </c>
      <c r="T40" s="50">
        <f>SUMIFS(INDEX(Техника!$F$1:$ABM$500,T$2,0),Техника!$F$4:$ABM$4,"Часы",INDEX(Техника!$G$1:$ABN$500,T$2,0),$A$39,INDEX(Техника!$H$1:$ABO$500,T$2,0),"М")</f>
        <v>0</v>
      </c>
      <c r="U40" s="50">
        <f>SUMIFS(INDEX(Техника!$F$1:$ABM$500,U$2,0),Техника!$F$4:$ABM$4,"Часы",INDEX(Техника!$G$1:$ABN$500,U$2,0),$A$39,INDEX(Техника!$H$1:$ABO$500,U$2,0),"М")</f>
        <v>0</v>
      </c>
      <c r="V40" s="50">
        <f>SUMIFS(INDEX(Техника!$F$1:$ABM$500,V$2,0),Техника!$F$4:$ABM$4,"Часы",INDEX(Техника!$G$1:$ABN$500,V$2,0),$A$39,INDEX(Техника!$H$1:$ABO$500,V$2,0),"М")</f>
        <v>0</v>
      </c>
      <c r="W40" s="50">
        <f>SUMIFS(INDEX(Техника!$F$1:$ABM$500,W$2,0),Техника!$F$4:$ABM$4,"Часы",INDEX(Техника!$G$1:$ABN$500,W$2,0),$A$39,INDEX(Техника!$H$1:$ABO$500,W$2,0),"М")</f>
        <v>0</v>
      </c>
      <c r="X40" s="50">
        <f>SUMIFS(INDEX(Техника!$F$1:$ABM$500,X$2,0),Техника!$F$4:$ABM$4,"Часы",INDEX(Техника!$G$1:$ABN$500,X$2,0),$A$39,INDEX(Техника!$H$1:$ABO$500,X$2,0),"М")</f>
        <v>0</v>
      </c>
      <c r="Y40" s="50">
        <f>SUMIFS(INDEX(Техника!$F$1:$ABM$500,Y$2,0),Техника!$F$4:$ABM$4,"Часы",INDEX(Техника!$G$1:$ABN$500,Y$2,0),$A$39,INDEX(Техника!$H$1:$ABO$500,Y$2,0),"М")</f>
        <v>0</v>
      </c>
      <c r="Z40" s="50">
        <f>SUMIFS(INDEX(Техника!$F$1:$ABM$500,Z$2,0),Техника!$F$4:$ABM$4,"Часы",INDEX(Техника!$G$1:$ABN$500,Z$2,0),$A$39,INDEX(Техника!$H$1:$ABO$500,Z$2,0),"М")</f>
        <v>0</v>
      </c>
      <c r="AA40" s="50">
        <f>SUMIFS(INDEX(Техника!$F$1:$ABM$500,AA$2,0),Техника!$F$4:$ABM$4,"Часы",INDEX(Техника!$G$1:$ABN$500,AA$2,0),$A$39,INDEX(Техника!$H$1:$ABO$500,AA$2,0),"М")</f>
        <v>0</v>
      </c>
      <c r="AB40" s="50">
        <f>SUMIFS(INDEX(Техника!$F$1:$ABM$500,AB$2,0),Техника!$F$4:$ABM$4,"Часы",INDEX(Техника!$G$1:$ABN$500,AB$2,0),$A$39,INDEX(Техника!$H$1:$ABO$500,AB$2,0),"М")</f>
        <v>0</v>
      </c>
    </row>
    <row r="41" spans="1:28" hidden="1" outlineLevel="1" x14ac:dyDescent="0.3">
      <c r="A41" s="33" t="s">
        <v>244</v>
      </c>
      <c r="B41" s="34" t="s">
        <v>275</v>
      </c>
      <c r="C41" s="50">
        <f>SUMIFS(INDEX(Техника!$F$1:$ABM$500,C$2,0),Техника!$F$4:$ABM$4,"Часы",INDEX(Техника!$G$1:$ABN$500,C$2,0),$A$39,INDEX(Техника!$H$1:$ABO$500,C$2,0),"Д")</f>
        <v>0</v>
      </c>
      <c r="D41" s="50">
        <f>SUMIFS(INDEX(Техника!$F$1:$ABM$500,D$2,0),Техника!$F$4:$ABM$4,"Часы",INDEX(Техника!$G$1:$ABN$500,D$2,0),$A$39,INDEX(Техника!$H$1:$ABO$500,D$2,0),"Д")</f>
        <v>0</v>
      </c>
      <c r="E41" s="50">
        <f>SUMIFS(INDEX(Техника!$F$1:$ABM$500,E$2,0),Техника!$F$4:$ABM$4,"Часы",INDEX(Техника!$G$1:$ABN$500,E$2,0),$A$39,INDEX(Техника!$H$1:$ABO$500,E$2,0),"Д")</f>
        <v>0</v>
      </c>
      <c r="F41" s="50">
        <f>SUMIFS(INDEX(Техника!$F$1:$ABM$500,F$2,0),Техника!$F$4:$ABM$4,"Часы",INDEX(Техника!$G$1:$ABN$500,F$2,0),$A$39,INDEX(Техника!$H$1:$ABO$500,F$2,0),"Д")</f>
        <v>0</v>
      </c>
      <c r="G41" s="50">
        <f>SUMIFS(INDEX(Техника!$F$1:$ABM$500,G$2,0),Техника!$F$4:$ABM$4,"Часы",INDEX(Техника!$G$1:$ABN$500,G$2,0),$A$39,INDEX(Техника!$H$1:$ABO$500,G$2,0),"Д")</f>
        <v>0</v>
      </c>
      <c r="H41" s="50">
        <f>SUMIFS(INDEX(Техника!$F$1:$ABM$500,H$2,0),Техника!$F$4:$ABM$4,"Часы",INDEX(Техника!$G$1:$ABN$500,H$2,0),$A$39,INDEX(Техника!$H$1:$ABO$500,H$2,0),"Д")</f>
        <v>0</v>
      </c>
      <c r="I41" s="50">
        <f>SUMIFS(INDEX(Техника!$F$1:$ABM$500,I$2,0),Техника!$F$4:$ABM$4,"Часы",INDEX(Техника!$G$1:$ABN$500,I$2,0),$A$39,INDEX(Техника!$H$1:$ABO$500,I$2,0),"Д")</f>
        <v>0</v>
      </c>
      <c r="J41" s="50">
        <f>SUMIFS(INDEX(Техника!$F$1:$ABM$500,J$2,0),Техника!$F$4:$ABM$4,"Часы",INDEX(Техника!$G$1:$ABN$500,J$2,0),$A$39,INDEX(Техника!$H$1:$ABO$500,J$2,0),"Д")</f>
        <v>0</v>
      </c>
      <c r="K41" s="50">
        <f>SUMIFS(INDEX(Техника!$F$1:$ABM$500,K$2,0),Техника!$F$4:$ABM$4,"Часы",INDEX(Техника!$G$1:$ABN$500,K$2,0),$A$39,INDEX(Техника!$H$1:$ABO$500,K$2,0),"Д")</f>
        <v>0</v>
      </c>
      <c r="L41" s="50">
        <f>SUMIFS(INDEX(Техника!$F$1:$ABM$500,L$2,0),Техника!$F$4:$ABM$4,"Часы",INDEX(Техника!$G$1:$ABN$500,L$2,0),$A$39,INDEX(Техника!$H$1:$ABO$500,L$2,0),"Д")</f>
        <v>0</v>
      </c>
      <c r="M41" s="50">
        <f>SUMIFS(INDEX(Техника!$F$1:$ABM$500,M$2,0),Техника!$F$4:$ABM$4,"Часы",INDEX(Техника!$G$1:$ABN$500,M$2,0),$A$39,INDEX(Техника!$H$1:$ABO$500,M$2,0),"Д")</f>
        <v>0</v>
      </c>
      <c r="N41" s="50">
        <f>SUMIFS(INDEX(Техника!$F$1:$ABM$500,N$2,0),Техника!$F$4:$ABM$4,"Часы",INDEX(Техника!$G$1:$ABN$500,N$2,0),$A$39,INDEX(Техника!$H$1:$ABO$500,N$2,0),"Д")</f>
        <v>0</v>
      </c>
      <c r="O41" s="50">
        <f>SUMIFS(INDEX(Техника!$F$1:$ABM$500,O$2,0),Техника!$F$4:$ABM$4,"Часы",INDEX(Техника!$G$1:$ABN$500,O$2,0),$A$39,INDEX(Техника!$H$1:$ABO$500,O$2,0),"Д")</f>
        <v>0</v>
      </c>
      <c r="P41" s="50">
        <f>SUMIFS(INDEX(Техника!$F$1:$ABM$500,P$2,0),Техника!$F$4:$ABM$4,"Часы",INDEX(Техника!$G$1:$ABN$500,P$2,0),$A$39,INDEX(Техника!$H$1:$ABO$500,P$2,0),"Д")</f>
        <v>0</v>
      </c>
      <c r="Q41" s="50">
        <f>SUMIFS(INDEX(Техника!$F$1:$ABM$500,Q$2,0),Техника!$F$4:$ABM$4,"Часы",INDEX(Техника!$G$1:$ABN$500,Q$2,0),$A$39,INDEX(Техника!$H$1:$ABO$500,Q$2,0),"Д")</f>
        <v>0</v>
      </c>
      <c r="R41" s="50">
        <f>SUMIFS(INDEX(Техника!$F$1:$ABM$500,R$2,0),Техника!$F$4:$ABM$4,"Часы",INDEX(Техника!$G$1:$ABN$500,R$2,0),$A$39,INDEX(Техника!$H$1:$ABO$500,R$2,0),"Д")</f>
        <v>0</v>
      </c>
      <c r="S41" s="50">
        <f>SUMIFS(INDEX(Техника!$F$1:$ABM$500,S$2,0),Техника!$F$4:$ABM$4,"Часы",INDEX(Техника!$G$1:$ABN$500,S$2,0),$A$39,INDEX(Техника!$H$1:$ABO$500,S$2,0),"Д")</f>
        <v>0</v>
      </c>
      <c r="T41" s="50">
        <f>SUMIFS(INDEX(Техника!$F$1:$ABM$500,T$2,0),Техника!$F$4:$ABM$4,"Часы",INDEX(Техника!$G$1:$ABN$500,T$2,0),$A$39,INDEX(Техника!$H$1:$ABO$500,T$2,0),"Д")</f>
        <v>0</v>
      </c>
      <c r="U41" s="50">
        <f>SUMIFS(INDEX(Техника!$F$1:$ABM$500,U$2,0),Техника!$F$4:$ABM$4,"Часы",INDEX(Техника!$G$1:$ABN$500,U$2,0),$A$39,INDEX(Техника!$H$1:$ABO$500,U$2,0),"Д")</f>
        <v>0</v>
      </c>
      <c r="V41" s="50">
        <f>SUMIFS(INDEX(Техника!$F$1:$ABM$500,V$2,0),Техника!$F$4:$ABM$4,"Часы",INDEX(Техника!$G$1:$ABN$500,V$2,0),$A$39,INDEX(Техника!$H$1:$ABO$500,V$2,0),"Д")</f>
        <v>0</v>
      </c>
      <c r="W41" s="50">
        <f>SUMIFS(INDEX(Техника!$F$1:$ABM$500,W$2,0),Техника!$F$4:$ABM$4,"Часы",INDEX(Техника!$G$1:$ABN$500,W$2,0),$A$39,INDEX(Техника!$H$1:$ABO$500,W$2,0),"Д")</f>
        <v>0</v>
      </c>
      <c r="X41" s="50">
        <f>SUMIFS(INDEX(Техника!$F$1:$ABM$500,X$2,0),Техника!$F$4:$ABM$4,"Часы",INDEX(Техника!$G$1:$ABN$500,X$2,0),$A$39,INDEX(Техника!$H$1:$ABO$500,X$2,0),"Д")</f>
        <v>0</v>
      </c>
      <c r="Y41" s="50">
        <f>SUMIFS(INDEX(Техника!$F$1:$ABM$500,Y$2,0),Техника!$F$4:$ABM$4,"Часы",INDEX(Техника!$G$1:$ABN$500,Y$2,0),$A$39,INDEX(Техника!$H$1:$ABO$500,Y$2,0),"Д")</f>
        <v>0</v>
      </c>
      <c r="Z41" s="50">
        <f>SUMIFS(INDEX(Техника!$F$1:$ABM$500,Z$2,0),Техника!$F$4:$ABM$4,"Часы",INDEX(Техника!$G$1:$ABN$500,Z$2,0),$A$39,INDEX(Техника!$H$1:$ABO$500,Z$2,0),"Д")</f>
        <v>0</v>
      </c>
      <c r="AA41" s="50">
        <f>SUMIFS(INDEX(Техника!$F$1:$ABM$500,AA$2,0),Техника!$F$4:$ABM$4,"Часы",INDEX(Техника!$G$1:$ABN$500,AA$2,0),$A$39,INDEX(Техника!$H$1:$ABO$500,AA$2,0),"Д")</f>
        <v>0</v>
      </c>
      <c r="AB41" s="50">
        <f>SUMIFS(INDEX(Техника!$F$1:$ABM$500,AB$2,0),Техника!$F$4:$ABM$4,"Часы",INDEX(Техника!$G$1:$ABN$500,AB$2,0),$A$39,INDEX(Техника!$H$1:$ABO$500,AB$2,0),"Д")</f>
        <v>0</v>
      </c>
    </row>
    <row r="42" spans="1:28" hidden="1" outlineLevel="1" x14ac:dyDescent="0.3">
      <c r="A42" s="33" t="s">
        <v>276</v>
      </c>
      <c r="B42" s="34" t="s">
        <v>277</v>
      </c>
      <c r="C42" s="50">
        <f>SUMIFS(INDEX(Техника!$F$1:$ABM$500,C$2,0),Техника!$F$4:$ABM$4,"Часы",INDEX(Техника!$G$1:$ABN$500,C$2,0),$A$39,INDEX(Техника!$H$1:$ABO$500,C$2,0),"П")</f>
        <v>0</v>
      </c>
      <c r="D42" s="50">
        <f>SUMIFS(INDEX(Техника!$F$1:$ABM$500,D$2,0),Техника!$F$4:$ABM$4,"Часы",INDEX(Техника!$G$1:$ABN$500,D$2,0),$A$39,INDEX(Техника!$H$1:$ABO$500,D$2,0),"П")</f>
        <v>0</v>
      </c>
      <c r="E42" s="50">
        <f>SUMIFS(INDEX(Техника!$F$1:$ABM$500,E$2,0),Техника!$F$4:$ABM$4,"Часы",INDEX(Техника!$G$1:$ABN$500,E$2,0),$A$39,INDEX(Техника!$H$1:$ABO$500,E$2,0),"П")</f>
        <v>0</v>
      </c>
      <c r="F42" s="50">
        <f>SUMIFS(INDEX(Техника!$F$1:$ABM$500,F$2,0),Техника!$F$4:$ABM$4,"Часы",INDEX(Техника!$G$1:$ABN$500,F$2,0),$A$39,INDEX(Техника!$H$1:$ABO$500,F$2,0),"П")</f>
        <v>0</v>
      </c>
      <c r="G42" s="50">
        <f>SUMIFS(INDEX(Техника!$F$1:$ABM$500,G$2,0),Техника!$F$4:$ABM$4,"Часы",INDEX(Техника!$G$1:$ABN$500,G$2,0),$A$39,INDEX(Техника!$H$1:$ABO$500,G$2,0),"П")</f>
        <v>0</v>
      </c>
      <c r="H42" s="50">
        <f>SUMIFS(INDEX(Техника!$F$1:$ABM$500,H$2,0),Техника!$F$4:$ABM$4,"Часы",INDEX(Техника!$G$1:$ABN$500,H$2,0),$A$39,INDEX(Техника!$H$1:$ABO$500,H$2,0),"П")</f>
        <v>0</v>
      </c>
      <c r="I42" s="50">
        <f>SUMIFS(INDEX(Техника!$F$1:$ABM$500,I$2,0),Техника!$F$4:$ABM$4,"Часы",INDEX(Техника!$G$1:$ABN$500,I$2,0),$A$39,INDEX(Техника!$H$1:$ABO$500,I$2,0),"П")</f>
        <v>0</v>
      </c>
      <c r="J42" s="50">
        <f>SUMIFS(INDEX(Техника!$F$1:$ABM$500,J$2,0),Техника!$F$4:$ABM$4,"Часы",INDEX(Техника!$G$1:$ABN$500,J$2,0),$A$39,INDEX(Техника!$H$1:$ABO$500,J$2,0),"П")</f>
        <v>0</v>
      </c>
      <c r="K42" s="50">
        <f>SUMIFS(INDEX(Техника!$F$1:$ABM$500,K$2,0),Техника!$F$4:$ABM$4,"Часы",INDEX(Техника!$G$1:$ABN$500,K$2,0),$A$39,INDEX(Техника!$H$1:$ABO$500,K$2,0),"П")</f>
        <v>0</v>
      </c>
      <c r="L42" s="50">
        <f>SUMIFS(INDEX(Техника!$F$1:$ABM$500,L$2,0),Техника!$F$4:$ABM$4,"Часы",INDEX(Техника!$G$1:$ABN$500,L$2,0),$A$39,INDEX(Техника!$H$1:$ABO$500,L$2,0),"П")</f>
        <v>0</v>
      </c>
      <c r="M42" s="50">
        <f>SUMIFS(INDEX(Техника!$F$1:$ABM$500,M$2,0),Техника!$F$4:$ABM$4,"Часы",INDEX(Техника!$G$1:$ABN$500,M$2,0),$A$39,INDEX(Техника!$H$1:$ABO$500,M$2,0),"П")</f>
        <v>0</v>
      </c>
      <c r="N42" s="50">
        <f>SUMIFS(INDEX(Техника!$F$1:$ABM$500,N$2,0),Техника!$F$4:$ABM$4,"Часы",INDEX(Техника!$G$1:$ABN$500,N$2,0),$A$39,INDEX(Техника!$H$1:$ABO$500,N$2,0),"П")</f>
        <v>0</v>
      </c>
      <c r="O42" s="50">
        <f>SUMIFS(INDEX(Техника!$F$1:$ABM$500,O$2,0),Техника!$F$4:$ABM$4,"Часы",INDEX(Техника!$G$1:$ABN$500,O$2,0),$A$39,INDEX(Техника!$H$1:$ABO$500,O$2,0),"П")</f>
        <v>0</v>
      </c>
      <c r="P42" s="50">
        <f>SUMIFS(INDEX(Техника!$F$1:$ABM$500,P$2,0),Техника!$F$4:$ABM$4,"Часы",INDEX(Техника!$G$1:$ABN$500,P$2,0),$A$39,INDEX(Техника!$H$1:$ABO$500,P$2,0),"П")</f>
        <v>0</v>
      </c>
      <c r="Q42" s="50">
        <f>SUMIFS(INDEX(Техника!$F$1:$ABM$500,Q$2,0),Техника!$F$4:$ABM$4,"Часы",INDEX(Техника!$G$1:$ABN$500,Q$2,0),$A$39,INDEX(Техника!$H$1:$ABO$500,Q$2,0),"П")</f>
        <v>0</v>
      </c>
      <c r="R42" s="50">
        <f>SUMIFS(INDEX(Техника!$F$1:$ABM$500,R$2,0),Техника!$F$4:$ABM$4,"Часы",INDEX(Техника!$G$1:$ABN$500,R$2,0),$A$39,INDEX(Техника!$H$1:$ABO$500,R$2,0),"П")</f>
        <v>0</v>
      </c>
      <c r="S42" s="50">
        <f>SUMIFS(INDEX(Техника!$F$1:$ABM$500,S$2,0),Техника!$F$4:$ABM$4,"Часы",INDEX(Техника!$G$1:$ABN$500,S$2,0),$A$39,INDEX(Техника!$H$1:$ABO$500,S$2,0),"П")</f>
        <v>0</v>
      </c>
      <c r="T42" s="50">
        <f>SUMIFS(INDEX(Техника!$F$1:$ABM$500,T$2,0),Техника!$F$4:$ABM$4,"Часы",INDEX(Техника!$G$1:$ABN$500,T$2,0),$A$39,INDEX(Техника!$H$1:$ABO$500,T$2,0),"П")</f>
        <v>0</v>
      </c>
      <c r="U42" s="50">
        <f>SUMIFS(INDEX(Техника!$F$1:$ABM$500,U$2,0),Техника!$F$4:$ABM$4,"Часы",INDEX(Техника!$G$1:$ABN$500,U$2,0),$A$39,INDEX(Техника!$H$1:$ABO$500,U$2,0),"П")</f>
        <v>0</v>
      </c>
      <c r="V42" s="50">
        <f>SUMIFS(INDEX(Техника!$F$1:$ABM$500,V$2,0),Техника!$F$4:$ABM$4,"Часы",INDEX(Техника!$G$1:$ABN$500,V$2,0),$A$39,INDEX(Техника!$H$1:$ABO$500,V$2,0),"П")</f>
        <v>0</v>
      </c>
      <c r="W42" s="50">
        <f>SUMIFS(INDEX(Техника!$F$1:$ABM$500,W$2,0),Техника!$F$4:$ABM$4,"Часы",INDEX(Техника!$G$1:$ABN$500,W$2,0),$A$39,INDEX(Техника!$H$1:$ABO$500,W$2,0),"П")</f>
        <v>0</v>
      </c>
      <c r="X42" s="50">
        <f>SUMIFS(INDEX(Техника!$F$1:$ABM$500,X$2,0),Техника!$F$4:$ABM$4,"Часы",INDEX(Техника!$G$1:$ABN$500,X$2,0),$A$39,INDEX(Техника!$H$1:$ABO$500,X$2,0),"П")</f>
        <v>0</v>
      </c>
      <c r="Y42" s="50">
        <f>SUMIFS(INDEX(Техника!$F$1:$ABM$500,Y$2,0),Техника!$F$4:$ABM$4,"Часы",INDEX(Техника!$G$1:$ABN$500,Y$2,0),$A$39,INDEX(Техника!$H$1:$ABO$500,Y$2,0),"П")</f>
        <v>0</v>
      </c>
      <c r="Z42" s="50">
        <f>SUMIFS(INDEX(Техника!$F$1:$ABM$500,Z$2,0),Техника!$F$4:$ABM$4,"Часы",INDEX(Техника!$G$1:$ABN$500,Z$2,0),$A$39,INDEX(Техника!$H$1:$ABO$500,Z$2,0),"П")</f>
        <v>0</v>
      </c>
      <c r="AA42" s="50">
        <f>SUMIFS(INDEX(Техника!$F$1:$ABM$500,AA$2,0),Техника!$F$4:$ABM$4,"Часы",INDEX(Техника!$G$1:$ABN$500,AA$2,0),$A$39,INDEX(Техника!$H$1:$ABO$500,AA$2,0),"П")</f>
        <v>0</v>
      </c>
      <c r="AB42" s="50">
        <f>SUMIFS(INDEX(Техника!$F$1:$ABM$500,AB$2,0),Техника!$F$4:$ABM$4,"Часы",INDEX(Техника!$G$1:$ABN$500,AB$2,0),$A$39,INDEX(Техника!$H$1:$ABO$500,AB$2,0),"П")</f>
        <v>0</v>
      </c>
    </row>
    <row r="43" spans="1:28" hidden="1" outlineLevel="1" x14ac:dyDescent="0.3">
      <c r="A43" s="33" t="s">
        <v>243</v>
      </c>
      <c r="B43" s="34" t="s">
        <v>278</v>
      </c>
      <c r="C43" s="50">
        <f>SUMIFS(INDEX(Техника!$F$1:$ABM$500,C$2,0),Техника!$F$4:$ABM$4,"Часы",INDEX(Техника!$G$1:$ABN$500,C$2,0),$A$39,INDEX(Техника!$H$1:$ABO$500,C$2,0),"Л")</f>
        <v>0</v>
      </c>
      <c r="D43" s="50">
        <f>SUMIFS(INDEX(Техника!$F$1:$ABM$500,D$2,0),Техника!$F$4:$ABM$4,"Часы",INDEX(Техника!$G$1:$ABN$500,D$2,0),$A$39,INDEX(Техника!$H$1:$ABO$500,D$2,0),"Л")</f>
        <v>0</v>
      </c>
      <c r="E43" s="50">
        <f>SUMIFS(INDEX(Техника!$F$1:$ABM$500,E$2,0),Техника!$F$4:$ABM$4,"Часы",INDEX(Техника!$G$1:$ABN$500,E$2,0),$A$39,INDEX(Техника!$H$1:$ABO$500,E$2,0),"Л")</f>
        <v>0</v>
      </c>
      <c r="F43" s="50">
        <f>SUMIFS(INDEX(Техника!$F$1:$ABM$500,F$2,0),Техника!$F$4:$ABM$4,"Часы",INDEX(Техника!$G$1:$ABN$500,F$2,0),$A$39,INDEX(Техника!$H$1:$ABO$500,F$2,0),"Л")</f>
        <v>0</v>
      </c>
      <c r="G43" s="50">
        <f>SUMIFS(INDEX(Техника!$F$1:$ABM$500,G$2,0),Техника!$F$4:$ABM$4,"Часы",INDEX(Техника!$G$1:$ABN$500,G$2,0),$A$39,INDEX(Техника!$H$1:$ABO$500,G$2,0),"Л")</f>
        <v>0</v>
      </c>
      <c r="H43" s="50">
        <f>SUMIFS(INDEX(Техника!$F$1:$ABM$500,H$2,0),Техника!$F$4:$ABM$4,"Часы",INDEX(Техника!$G$1:$ABN$500,H$2,0),$A$39,INDEX(Техника!$H$1:$ABO$500,H$2,0),"Л")</f>
        <v>0</v>
      </c>
      <c r="I43" s="50">
        <f>SUMIFS(INDEX(Техника!$F$1:$ABM$500,I$2,0),Техника!$F$4:$ABM$4,"Часы",INDEX(Техника!$G$1:$ABN$500,I$2,0),$A$39,INDEX(Техника!$H$1:$ABO$500,I$2,0),"Л")</f>
        <v>0</v>
      </c>
      <c r="J43" s="50">
        <f>SUMIFS(INDEX(Техника!$F$1:$ABM$500,J$2,0),Техника!$F$4:$ABM$4,"Часы",INDEX(Техника!$G$1:$ABN$500,J$2,0),$A$39,INDEX(Техника!$H$1:$ABO$500,J$2,0),"Л")</f>
        <v>0</v>
      </c>
      <c r="K43" s="50">
        <f>SUMIFS(INDEX(Техника!$F$1:$ABM$500,K$2,0),Техника!$F$4:$ABM$4,"Часы",INDEX(Техника!$G$1:$ABN$500,K$2,0),$A$39,INDEX(Техника!$H$1:$ABO$500,K$2,0),"Л")</f>
        <v>0</v>
      </c>
      <c r="L43" s="50">
        <f>SUMIFS(INDEX(Техника!$F$1:$ABM$500,L$2,0),Техника!$F$4:$ABM$4,"Часы",INDEX(Техника!$G$1:$ABN$500,L$2,0),$A$39,INDEX(Техника!$H$1:$ABO$500,L$2,0),"Л")</f>
        <v>0</v>
      </c>
      <c r="M43" s="50">
        <f>SUMIFS(INDEX(Техника!$F$1:$ABM$500,M$2,0),Техника!$F$4:$ABM$4,"Часы",INDEX(Техника!$G$1:$ABN$500,M$2,0),$A$39,INDEX(Техника!$H$1:$ABO$500,M$2,0),"Л")</f>
        <v>0</v>
      </c>
      <c r="N43" s="50">
        <f>SUMIFS(INDEX(Техника!$F$1:$ABM$500,N$2,0),Техника!$F$4:$ABM$4,"Часы",INDEX(Техника!$G$1:$ABN$500,N$2,0),$A$39,INDEX(Техника!$H$1:$ABO$500,N$2,0),"Л")</f>
        <v>0</v>
      </c>
      <c r="O43" s="50">
        <f>SUMIFS(INDEX(Техника!$F$1:$ABM$500,O$2,0),Техника!$F$4:$ABM$4,"Часы",INDEX(Техника!$G$1:$ABN$500,O$2,0),$A$39,INDEX(Техника!$H$1:$ABO$500,O$2,0),"Л")</f>
        <v>0</v>
      </c>
      <c r="P43" s="50">
        <f>SUMIFS(INDEX(Техника!$F$1:$ABM$500,P$2,0),Техника!$F$4:$ABM$4,"Часы",INDEX(Техника!$G$1:$ABN$500,P$2,0),$A$39,INDEX(Техника!$H$1:$ABO$500,P$2,0),"Л")</f>
        <v>0</v>
      </c>
      <c r="Q43" s="50">
        <f>SUMIFS(INDEX(Техника!$F$1:$ABM$500,Q$2,0),Техника!$F$4:$ABM$4,"Часы",INDEX(Техника!$G$1:$ABN$500,Q$2,0),$A$39,INDEX(Техника!$H$1:$ABO$500,Q$2,0),"Л")</f>
        <v>0</v>
      </c>
      <c r="R43" s="50">
        <f>SUMIFS(INDEX(Техника!$F$1:$ABM$500,R$2,0),Техника!$F$4:$ABM$4,"Часы",INDEX(Техника!$G$1:$ABN$500,R$2,0),$A$39,INDEX(Техника!$H$1:$ABO$500,R$2,0),"Л")</f>
        <v>0</v>
      </c>
      <c r="S43" s="50">
        <f>SUMIFS(INDEX(Техника!$F$1:$ABM$500,S$2,0),Техника!$F$4:$ABM$4,"Часы",INDEX(Техника!$G$1:$ABN$500,S$2,0),$A$39,INDEX(Техника!$H$1:$ABO$500,S$2,0),"Л")</f>
        <v>0</v>
      </c>
      <c r="T43" s="50">
        <f>SUMIFS(INDEX(Техника!$F$1:$ABM$500,T$2,0),Техника!$F$4:$ABM$4,"Часы",INDEX(Техника!$G$1:$ABN$500,T$2,0),$A$39,INDEX(Техника!$H$1:$ABO$500,T$2,0),"Л")</f>
        <v>0</v>
      </c>
      <c r="U43" s="50">
        <f>SUMIFS(INDEX(Техника!$F$1:$ABM$500,U$2,0),Техника!$F$4:$ABM$4,"Часы",INDEX(Техника!$G$1:$ABN$500,U$2,0),$A$39,INDEX(Техника!$H$1:$ABO$500,U$2,0),"Л")</f>
        <v>0</v>
      </c>
      <c r="V43" s="50">
        <f>SUMIFS(INDEX(Техника!$F$1:$ABM$500,V$2,0),Техника!$F$4:$ABM$4,"Часы",INDEX(Техника!$G$1:$ABN$500,V$2,0),$A$39,INDEX(Техника!$H$1:$ABO$500,V$2,0),"Л")</f>
        <v>0</v>
      </c>
      <c r="W43" s="50">
        <f>SUMIFS(INDEX(Техника!$F$1:$ABM$500,W$2,0),Техника!$F$4:$ABM$4,"Часы",INDEX(Техника!$G$1:$ABN$500,W$2,0),$A$39,INDEX(Техника!$H$1:$ABO$500,W$2,0),"Л")</f>
        <v>0</v>
      </c>
      <c r="X43" s="50">
        <f>SUMIFS(INDEX(Техника!$F$1:$ABM$500,X$2,0),Техника!$F$4:$ABM$4,"Часы",INDEX(Техника!$G$1:$ABN$500,X$2,0),$A$39,INDEX(Техника!$H$1:$ABO$500,X$2,0),"Л")</f>
        <v>0</v>
      </c>
      <c r="Y43" s="50">
        <f>SUMIFS(INDEX(Техника!$F$1:$ABM$500,Y$2,0),Техника!$F$4:$ABM$4,"Часы",INDEX(Техника!$G$1:$ABN$500,Y$2,0),$A$39,INDEX(Техника!$H$1:$ABO$500,Y$2,0),"Л")</f>
        <v>0</v>
      </c>
      <c r="Z43" s="50">
        <f>SUMIFS(INDEX(Техника!$F$1:$ABM$500,Z$2,0),Техника!$F$4:$ABM$4,"Часы",INDEX(Техника!$G$1:$ABN$500,Z$2,0),$A$39,INDEX(Техника!$H$1:$ABO$500,Z$2,0),"Л")</f>
        <v>0</v>
      </c>
      <c r="AA43" s="50">
        <f>SUMIFS(INDEX(Техника!$F$1:$ABM$500,AA$2,0),Техника!$F$4:$ABM$4,"Часы",INDEX(Техника!$G$1:$ABN$500,AA$2,0),$A$39,INDEX(Техника!$H$1:$ABO$500,AA$2,0),"Л")</f>
        <v>0</v>
      </c>
      <c r="AB43" s="50">
        <f>SUMIFS(INDEX(Техника!$F$1:$ABM$500,AB$2,0),Техника!$F$4:$ABM$4,"Часы",INDEX(Техника!$G$1:$ABN$500,AB$2,0),$A$39,INDEX(Техника!$H$1:$ABO$500,AB$2,0),"Л")</f>
        <v>0</v>
      </c>
    </row>
    <row r="44" spans="1:28" hidden="1" outlineLevel="1" x14ac:dyDescent="0.3">
      <c r="A44" s="33" t="s">
        <v>245</v>
      </c>
      <c r="B44" s="34" t="s">
        <v>279</v>
      </c>
      <c r="C44" s="50">
        <f>SUMIFS(INDEX(Техника!$F$1:$ABM$500,C$2,0),Техника!$F$4:$ABM$4,"Часы",INDEX(Техника!$G$1:$ABN$500,C$2,0),$A$39,INDEX(Техника!$H$1:$ABO$500,C$2,0),"З")</f>
        <v>0</v>
      </c>
      <c r="D44" s="50">
        <f>SUMIFS(INDEX(Техника!$F$1:$ABM$500,D$2,0),Техника!$F$4:$ABM$4,"Часы",INDEX(Техника!$G$1:$ABN$500,D$2,0),$A$39,INDEX(Техника!$H$1:$ABO$500,D$2,0),"З")</f>
        <v>0</v>
      </c>
      <c r="E44" s="50">
        <f>SUMIFS(INDEX(Техника!$F$1:$ABM$500,E$2,0),Техника!$F$4:$ABM$4,"Часы",INDEX(Техника!$G$1:$ABN$500,E$2,0),$A$39,INDEX(Техника!$H$1:$ABO$500,E$2,0),"З")</f>
        <v>0</v>
      </c>
      <c r="F44" s="50">
        <f>SUMIFS(INDEX(Техника!$F$1:$ABM$500,F$2,0),Техника!$F$4:$ABM$4,"Часы",INDEX(Техника!$G$1:$ABN$500,F$2,0),$A$39,INDEX(Техника!$H$1:$ABO$500,F$2,0),"З")</f>
        <v>0</v>
      </c>
      <c r="G44" s="50">
        <f>SUMIFS(INDEX(Техника!$F$1:$ABM$500,G$2,0),Техника!$F$4:$ABM$4,"Часы",INDEX(Техника!$G$1:$ABN$500,G$2,0),$A$39,INDEX(Техника!$H$1:$ABO$500,G$2,0),"З")</f>
        <v>0</v>
      </c>
      <c r="H44" s="50">
        <f>SUMIFS(INDEX(Техника!$F$1:$ABM$500,H$2,0),Техника!$F$4:$ABM$4,"Часы",INDEX(Техника!$G$1:$ABN$500,H$2,0),$A$39,INDEX(Техника!$H$1:$ABO$500,H$2,0),"З")</f>
        <v>0</v>
      </c>
      <c r="I44" s="50">
        <f>SUMIFS(INDEX(Техника!$F$1:$ABM$500,I$2,0),Техника!$F$4:$ABM$4,"Часы",INDEX(Техника!$G$1:$ABN$500,I$2,0),$A$39,INDEX(Техника!$H$1:$ABO$500,I$2,0),"З")</f>
        <v>0</v>
      </c>
      <c r="J44" s="50">
        <f>SUMIFS(INDEX(Техника!$F$1:$ABM$500,J$2,0),Техника!$F$4:$ABM$4,"Часы",INDEX(Техника!$G$1:$ABN$500,J$2,0),$A$39,INDEX(Техника!$H$1:$ABO$500,J$2,0),"З")</f>
        <v>0</v>
      </c>
      <c r="K44" s="50">
        <f>SUMIFS(INDEX(Техника!$F$1:$ABM$500,K$2,0),Техника!$F$4:$ABM$4,"Часы",INDEX(Техника!$G$1:$ABN$500,K$2,0),$A$39,INDEX(Техника!$H$1:$ABO$500,K$2,0),"З")</f>
        <v>0</v>
      </c>
      <c r="L44" s="50">
        <f>SUMIFS(INDEX(Техника!$F$1:$ABM$500,L$2,0),Техника!$F$4:$ABM$4,"Часы",INDEX(Техника!$G$1:$ABN$500,L$2,0),$A$39,INDEX(Техника!$H$1:$ABO$500,L$2,0),"З")</f>
        <v>0</v>
      </c>
      <c r="M44" s="50">
        <f>SUMIFS(INDEX(Техника!$F$1:$ABM$500,M$2,0),Техника!$F$4:$ABM$4,"Часы",INDEX(Техника!$G$1:$ABN$500,M$2,0),$A$39,INDEX(Техника!$H$1:$ABO$500,M$2,0),"З")</f>
        <v>0</v>
      </c>
      <c r="N44" s="50">
        <f>SUMIFS(INDEX(Техника!$F$1:$ABM$500,N$2,0),Техника!$F$4:$ABM$4,"Часы",INDEX(Техника!$G$1:$ABN$500,N$2,0),$A$39,INDEX(Техника!$H$1:$ABO$500,N$2,0),"З")</f>
        <v>0</v>
      </c>
      <c r="O44" s="50">
        <f>SUMIFS(INDEX(Техника!$F$1:$ABM$500,O$2,0),Техника!$F$4:$ABM$4,"Часы",INDEX(Техника!$G$1:$ABN$500,O$2,0),$A$39,INDEX(Техника!$H$1:$ABO$500,O$2,0),"З")</f>
        <v>0</v>
      </c>
      <c r="P44" s="50">
        <f>SUMIFS(INDEX(Техника!$F$1:$ABM$500,P$2,0),Техника!$F$4:$ABM$4,"Часы",INDEX(Техника!$G$1:$ABN$500,P$2,0),$A$39,INDEX(Техника!$H$1:$ABO$500,P$2,0),"З")</f>
        <v>0</v>
      </c>
      <c r="Q44" s="50">
        <f>SUMIFS(INDEX(Техника!$F$1:$ABM$500,Q$2,0),Техника!$F$4:$ABM$4,"Часы",INDEX(Техника!$G$1:$ABN$500,Q$2,0),$A$39,INDEX(Техника!$H$1:$ABO$500,Q$2,0),"З")</f>
        <v>0</v>
      </c>
      <c r="R44" s="50">
        <f>SUMIFS(INDEX(Техника!$F$1:$ABM$500,R$2,0),Техника!$F$4:$ABM$4,"Часы",INDEX(Техника!$G$1:$ABN$500,R$2,0),$A$39,INDEX(Техника!$H$1:$ABO$500,R$2,0),"З")</f>
        <v>0</v>
      </c>
      <c r="S44" s="50">
        <f>SUMIFS(INDEX(Техника!$F$1:$ABM$500,S$2,0),Техника!$F$4:$ABM$4,"Часы",INDEX(Техника!$G$1:$ABN$500,S$2,0),$A$39,INDEX(Техника!$H$1:$ABO$500,S$2,0),"З")</f>
        <v>0</v>
      </c>
      <c r="T44" s="50">
        <f>SUMIFS(INDEX(Техника!$F$1:$ABM$500,T$2,0),Техника!$F$4:$ABM$4,"Часы",INDEX(Техника!$G$1:$ABN$500,T$2,0),$A$39,INDEX(Техника!$H$1:$ABO$500,T$2,0),"З")</f>
        <v>0</v>
      </c>
      <c r="U44" s="50">
        <f>SUMIFS(INDEX(Техника!$F$1:$ABM$500,U$2,0),Техника!$F$4:$ABM$4,"Часы",INDEX(Техника!$G$1:$ABN$500,U$2,0),$A$39,INDEX(Техника!$H$1:$ABO$500,U$2,0),"З")</f>
        <v>0</v>
      </c>
      <c r="V44" s="50">
        <f>SUMIFS(INDEX(Техника!$F$1:$ABM$500,V$2,0),Техника!$F$4:$ABM$4,"Часы",INDEX(Техника!$G$1:$ABN$500,V$2,0),$A$39,INDEX(Техника!$H$1:$ABO$500,V$2,0),"З")</f>
        <v>0</v>
      </c>
      <c r="W44" s="50">
        <f>SUMIFS(INDEX(Техника!$F$1:$ABM$500,W$2,0),Техника!$F$4:$ABM$4,"Часы",INDEX(Техника!$G$1:$ABN$500,W$2,0),$A$39,INDEX(Техника!$H$1:$ABO$500,W$2,0),"З")</f>
        <v>0</v>
      </c>
      <c r="X44" s="50">
        <f>SUMIFS(INDEX(Техника!$F$1:$ABM$500,X$2,0),Техника!$F$4:$ABM$4,"Часы",INDEX(Техника!$G$1:$ABN$500,X$2,0),$A$39,INDEX(Техника!$H$1:$ABO$500,X$2,0),"З")</f>
        <v>0</v>
      </c>
      <c r="Y44" s="50">
        <f>SUMIFS(INDEX(Техника!$F$1:$ABM$500,Y$2,0),Техника!$F$4:$ABM$4,"Часы",INDEX(Техника!$G$1:$ABN$500,Y$2,0),$A$39,INDEX(Техника!$H$1:$ABO$500,Y$2,0),"З")</f>
        <v>0</v>
      </c>
      <c r="Z44" s="50">
        <f>SUMIFS(INDEX(Техника!$F$1:$ABM$500,Z$2,0),Техника!$F$4:$ABM$4,"Часы",INDEX(Техника!$G$1:$ABN$500,Z$2,0),$A$39,INDEX(Техника!$H$1:$ABO$500,Z$2,0),"З")</f>
        <v>0</v>
      </c>
      <c r="AA44" s="50">
        <f>SUMIFS(INDEX(Техника!$F$1:$ABM$500,AA$2,0),Техника!$F$4:$ABM$4,"Часы",INDEX(Техника!$G$1:$ABN$500,AA$2,0),$A$39,INDEX(Техника!$H$1:$ABO$500,AA$2,0),"З")</f>
        <v>0</v>
      </c>
      <c r="AB44" s="50">
        <f>SUMIFS(INDEX(Техника!$F$1:$ABM$500,AB$2,0),Техника!$F$4:$ABM$4,"Часы",INDEX(Техника!$G$1:$ABN$500,AB$2,0),$A$39,INDEX(Техника!$H$1:$ABO$500,AB$2,0),"З")</f>
        <v>0</v>
      </c>
    </row>
    <row r="45" spans="1:28" ht="7.95" customHeight="1" x14ac:dyDescent="0.3">
      <c r="A45" s="38"/>
      <c r="B45" s="39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 spans="1:28" ht="25.05" customHeight="1" collapsed="1" x14ac:dyDescent="0.3">
      <c r="A46" s="32">
        <v>7</v>
      </c>
      <c r="B46" s="32" t="s">
        <v>8</v>
      </c>
      <c r="C46" s="49">
        <f>SUM(C47:C51)</f>
        <v>0</v>
      </c>
      <c r="D46" s="49">
        <f>SUM(D47:D51)</f>
        <v>0</v>
      </c>
      <c r="E46" s="49">
        <f>SUM(E47:E51)</f>
        <v>0</v>
      </c>
      <c r="F46" s="49">
        <f>SUM(F47:F51)</f>
        <v>0</v>
      </c>
      <c r="G46" s="49">
        <f>SUM(G47:G51)</f>
        <v>0</v>
      </c>
      <c r="H46" s="49">
        <f>SUM(H47:H51)</f>
        <v>0</v>
      </c>
      <c r="I46" s="49">
        <f>SUM(I47:I51)</f>
        <v>0</v>
      </c>
      <c r="J46" s="49">
        <f>SUM(J47:J51)</f>
        <v>0</v>
      </c>
      <c r="K46" s="49">
        <f>SUM(K47:K51)</f>
        <v>0</v>
      </c>
      <c r="L46" s="49">
        <f>SUM(L47:L51)</f>
        <v>0</v>
      </c>
      <c r="M46" s="49">
        <f>SUM(M47:M51)</f>
        <v>0</v>
      </c>
      <c r="N46" s="49">
        <f>SUM(N47:N51)</f>
        <v>0</v>
      </c>
      <c r="O46" s="49">
        <f>SUM(O47:O51)</f>
        <v>0</v>
      </c>
      <c r="P46" s="49">
        <f>SUM(P47:P51)</f>
        <v>0</v>
      </c>
      <c r="Q46" s="49">
        <f>SUM(Q47:Q51)</f>
        <v>0</v>
      </c>
      <c r="R46" s="49">
        <f>SUM(R47:R51)</f>
        <v>0</v>
      </c>
      <c r="S46" s="49">
        <f>SUM(S47:S51)</f>
        <v>0</v>
      </c>
      <c r="T46" s="49">
        <f>SUM(T47:T51)</f>
        <v>0</v>
      </c>
      <c r="U46" s="49">
        <f>SUM(U47:U51)</f>
        <v>0</v>
      </c>
      <c r="V46" s="49">
        <f>SUM(V47:V51)</f>
        <v>0</v>
      </c>
      <c r="W46" s="49">
        <f>SUM(W47:W51)</f>
        <v>0</v>
      </c>
      <c r="X46" s="49">
        <f>SUM(X47:X51)</f>
        <v>0</v>
      </c>
      <c r="Y46" s="49">
        <f>SUM(Y47:Y51)</f>
        <v>0</v>
      </c>
      <c r="Z46" s="49">
        <f>SUM(Z47:Z51)</f>
        <v>0</v>
      </c>
      <c r="AA46" s="49">
        <f>SUM(AA47:AA51)</f>
        <v>0</v>
      </c>
      <c r="AB46" s="49">
        <f>SUM(AB47:AB51)</f>
        <v>0</v>
      </c>
    </row>
    <row r="47" spans="1:28" hidden="1" outlineLevel="1" x14ac:dyDescent="0.3">
      <c r="A47" s="33" t="s">
        <v>246</v>
      </c>
      <c r="B47" s="34" t="s">
        <v>274</v>
      </c>
      <c r="C47" s="50">
        <f>SUMIFS(INDEX(Техника!$F$1:$ABM$500,C$2,0),Техника!$F$4:$ABM$4,"Часы",INDEX(Техника!$G$1:$ABN$500,C$2,0),$A$46,INDEX(Техника!$H$1:$ABO$500,C$2,0),"М")</f>
        <v>0</v>
      </c>
      <c r="D47" s="50">
        <f>SUMIFS(INDEX(Техника!$F$1:$ABM$500,D$2,0),Техника!$F$4:$ABM$4,"Часы",INDEX(Техника!$G$1:$ABN$500,D$2,0),$A$46,INDEX(Техника!$H$1:$ABO$500,D$2,0),"М")</f>
        <v>0</v>
      </c>
      <c r="E47" s="50">
        <f>SUMIFS(INDEX(Техника!$F$1:$ABM$500,E$2,0),Техника!$F$4:$ABM$4,"Часы",INDEX(Техника!$G$1:$ABN$500,E$2,0),$A$46,INDEX(Техника!$H$1:$ABO$500,E$2,0),"М")</f>
        <v>0</v>
      </c>
      <c r="F47" s="50">
        <f>SUMIFS(INDEX(Техника!$F$1:$ABM$500,F$2,0),Техника!$F$4:$ABM$4,"Часы",INDEX(Техника!$G$1:$ABN$500,F$2,0),$A$46,INDEX(Техника!$H$1:$ABO$500,F$2,0),"М")</f>
        <v>0</v>
      </c>
      <c r="G47" s="50">
        <f>SUMIFS(INDEX(Техника!$F$1:$ABM$500,G$2,0),Техника!$F$4:$ABM$4,"Часы",INDEX(Техника!$G$1:$ABN$500,G$2,0),$A$46,INDEX(Техника!$H$1:$ABO$500,G$2,0),"М")</f>
        <v>0</v>
      </c>
      <c r="H47" s="50">
        <f>SUMIFS(INDEX(Техника!$F$1:$ABM$500,H$2,0),Техника!$F$4:$ABM$4,"Часы",INDEX(Техника!$G$1:$ABN$500,H$2,0),$A$46,INDEX(Техника!$H$1:$ABO$500,H$2,0),"М")</f>
        <v>0</v>
      </c>
      <c r="I47" s="50">
        <f>SUMIFS(INDEX(Техника!$F$1:$ABM$500,I$2,0),Техника!$F$4:$ABM$4,"Часы",INDEX(Техника!$G$1:$ABN$500,I$2,0),$A$46,INDEX(Техника!$H$1:$ABO$500,I$2,0),"М")</f>
        <v>0</v>
      </c>
      <c r="J47" s="50">
        <f>SUMIFS(INDEX(Техника!$F$1:$ABM$500,J$2,0),Техника!$F$4:$ABM$4,"Часы",INDEX(Техника!$G$1:$ABN$500,J$2,0),$A$46,INDEX(Техника!$H$1:$ABO$500,J$2,0),"М")</f>
        <v>0</v>
      </c>
      <c r="K47" s="50">
        <f>SUMIFS(INDEX(Техника!$F$1:$ABM$500,K$2,0),Техника!$F$4:$ABM$4,"Часы",INDEX(Техника!$G$1:$ABN$500,K$2,0),$A$46,INDEX(Техника!$H$1:$ABO$500,K$2,0),"М")</f>
        <v>0</v>
      </c>
      <c r="L47" s="50">
        <f>SUMIFS(INDEX(Техника!$F$1:$ABM$500,L$2,0),Техника!$F$4:$ABM$4,"Часы",INDEX(Техника!$G$1:$ABN$500,L$2,0),$A$46,INDEX(Техника!$H$1:$ABO$500,L$2,0),"М")</f>
        <v>0</v>
      </c>
      <c r="M47" s="50">
        <f>SUMIFS(INDEX(Техника!$F$1:$ABM$500,M$2,0),Техника!$F$4:$ABM$4,"Часы",INDEX(Техника!$G$1:$ABN$500,M$2,0),$A$46,INDEX(Техника!$H$1:$ABO$500,M$2,0),"М")</f>
        <v>0</v>
      </c>
      <c r="N47" s="50">
        <f>SUMIFS(INDEX(Техника!$F$1:$ABM$500,N$2,0),Техника!$F$4:$ABM$4,"Часы",INDEX(Техника!$G$1:$ABN$500,N$2,0),$A$46,INDEX(Техника!$H$1:$ABO$500,N$2,0),"М")</f>
        <v>0</v>
      </c>
      <c r="O47" s="50">
        <f>SUMIFS(INDEX(Техника!$F$1:$ABM$500,O$2,0),Техника!$F$4:$ABM$4,"Часы",INDEX(Техника!$G$1:$ABN$500,O$2,0),$A$46,INDEX(Техника!$H$1:$ABO$500,O$2,0),"М")</f>
        <v>0</v>
      </c>
      <c r="P47" s="50">
        <f>SUMIFS(INDEX(Техника!$F$1:$ABM$500,P$2,0),Техника!$F$4:$ABM$4,"Часы",INDEX(Техника!$G$1:$ABN$500,P$2,0),$A$46,INDEX(Техника!$H$1:$ABO$500,P$2,0),"М")</f>
        <v>0</v>
      </c>
      <c r="Q47" s="50">
        <f>SUMIFS(INDEX(Техника!$F$1:$ABM$500,Q$2,0),Техника!$F$4:$ABM$4,"Часы",INDEX(Техника!$G$1:$ABN$500,Q$2,0),$A$46,INDEX(Техника!$H$1:$ABO$500,Q$2,0),"М")</f>
        <v>0</v>
      </c>
      <c r="R47" s="50">
        <f>SUMIFS(INDEX(Техника!$F$1:$ABM$500,R$2,0),Техника!$F$4:$ABM$4,"Часы",INDEX(Техника!$G$1:$ABN$500,R$2,0),$A$46,INDEX(Техника!$H$1:$ABO$500,R$2,0),"М")</f>
        <v>0</v>
      </c>
      <c r="S47" s="50">
        <f>SUMIFS(INDEX(Техника!$F$1:$ABM$500,S$2,0),Техника!$F$4:$ABM$4,"Часы",INDEX(Техника!$G$1:$ABN$500,S$2,0),$A$46,INDEX(Техника!$H$1:$ABO$500,S$2,0),"М")</f>
        <v>0</v>
      </c>
      <c r="T47" s="50">
        <f>SUMIFS(INDEX(Техника!$F$1:$ABM$500,T$2,0),Техника!$F$4:$ABM$4,"Часы",INDEX(Техника!$G$1:$ABN$500,T$2,0),$A$46,INDEX(Техника!$H$1:$ABO$500,T$2,0),"М")</f>
        <v>0</v>
      </c>
      <c r="U47" s="50">
        <f>SUMIFS(INDEX(Техника!$F$1:$ABM$500,U$2,0),Техника!$F$4:$ABM$4,"Часы",INDEX(Техника!$G$1:$ABN$500,U$2,0),$A$46,INDEX(Техника!$H$1:$ABO$500,U$2,0),"М")</f>
        <v>0</v>
      </c>
      <c r="V47" s="50">
        <f>SUMIFS(INDEX(Техника!$F$1:$ABM$500,V$2,0),Техника!$F$4:$ABM$4,"Часы",INDEX(Техника!$G$1:$ABN$500,V$2,0),$A$46,INDEX(Техника!$H$1:$ABO$500,V$2,0),"М")</f>
        <v>0</v>
      </c>
      <c r="W47" s="50">
        <f>SUMIFS(INDEX(Техника!$F$1:$ABM$500,W$2,0),Техника!$F$4:$ABM$4,"Часы",INDEX(Техника!$G$1:$ABN$500,W$2,0),$A$46,INDEX(Техника!$H$1:$ABO$500,W$2,0),"М")</f>
        <v>0</v>
      </c>
      <c r="X47" s="50">
        <f>SUMIFS(INDEX(Техника!$F$1:$ABM$500,X$2,0),Техника!$F$4:$ABM$4,"Часы",INDEX(Техника!$G$1:$ABN$500,X$2,0),$A$46,INDEX(Техника!$H$1:$ABO$500,X$2,0),"М")</f>
        <v>0</v>
      </c>
      <c r="Y47" s="50">
        <f>SUMIFS(INDEX(Техника!$F$1:$ABM$500,Y$2,0),Техника!$F$4:$ABM$4,"Часы",INDEX(Техника!$G$1:$ABN$500,Y$2,0),$A$46,INDEX(Техника!$H$1:$ABO$500,Y$2,0),"М")</f>
        <v>0</v>
      </c>
      <c r="Z47" s="50">
        <f>SUMIFS(INDEX(Техника!$F$1:$ABM$500,Z$2,0),Техника!$F$4:$ABM$4,"Часы",INDEX(Техника!$G$1:$ABN$500,Z$2,0),$A$46,INDEX(Техника!$H$1:$ABO$500,Z$2,0),"М")</f>
        <v>0</v>
      </c>
      <c r="AA47" s="50">
        <f>SUMIFS(INDEX(Техника!$F$1:$ABM$500,AA$2,0),Техника!$F$4:$ABM$4,"Часы",INDEX(Техника!$G$1:$ABN$500,AA$2,0),$A$46,INDEX(Техника!$H$1:$ABO$500,AA$2,0),"М")</f>
        <v>0</v>
      </c>
      <c r="AB47" s="50">
        <f>SUMIFS(INDEX(Техника!$F$1:$ABM$500,AB$2,0),Техника!$F$4:$ABM$4,"Часы",INDEX(Техника!$G$1:$ABN$500,AB$2,0),$A$46,INDEX(Техника!$H$1:$ABO$500,AB$2,0),"М")</f>
        <v>0</v>
      </c>
    </row>
    <row r="48" spans="1:28" hidden="1" outlineLevel="1" x14ac:dyDescent="0.3">
      <c r="A48" s="33" t="s">
        <v>244</v>
      </c>
      <c r="B48" s="34" t="s">
        <v>275</v>
      </c>
      <c r="C48" s="50">
        <f>SUMIFS(INDEX(Техника!$F$1:$ABM$500,C$2,0),Техника!$F$4:$ABM$4,"Часы",INDEX(Техника!$G$1:$ABN$500,C$2,0),$A$46,INDEX(Техника!$H$1:$ABO$500,C$2,0),"Д")</f>
        <v>0</v>
      </c>
      <c r="D48" s="50">
        <f>SUMIFS(INDEX(Техника!$F$1:$ABM$500,D$2,0),Техника!$F$4:$ABM$4,"Часы",INDEX(Техника!$G$1:$ABN$500,D$2,0),$A$46,INDEX(Техника!$H$1:$ABO$500,D$2,0),"Д")</f>
        <v>0</v>
      </c>
      <c r="E48" s="50">
        <f>SUMIFS(INDEX(Техника!$F$1:$ABM$500,E$2,0),Техника!$F$4:$ABM$4,"Часы",INDEX(Техника!$G$1:$ABN$500,E$2,0),$A$46,INDEX(Техника!$H$1:$ABO$500,E$2,0),"Д")</f>
        <v>0</v>
      </c>
      <c r="F48" s="50">
        <f>SUMIFS(INDEX(Техника!$F$1:$ABM$500,F$2,0),Техника!$F$4:$ABM$4,"Часы",INDEX(Техника!$G$1:$ABN$500,F$2,0),$A$46,INDEX(Техника!$H$1:$ABO$500,F$2,0),"Д")</f>
        <v>0</v>
      </c>
      <c r="G48" s="50">
        <f>SUMIFS(INDEX(Техника!$F$1:$ABM$500,G$2,0),Техника!$F$4:$ABM$4,"Часы",INDEX(Техника!$G$1:$ABN$500,G$2,0),$A$46,INDEX(Техника!$H$1:$ABO$500,G$2,0),"Д")</f>
        <v>0</v>
      </c>
      <c r="H48" s="50">
        <f>SUMIFS(INDEX(Техника!$F$1:$ABM$500,H$2,0),Техника!$F$4:$ABM$4,"Часы",INDEX(Техника!$G$1:$ABN$500,H$2,0),$A$46,INDEX(Техника!$H$1:$ABO$500,H$2,0),"Д")</f>
        <v>0</v>
      </c>
      <c r="I48" s="50">
        <f>SUMIFS(INDEX(Техника!$F$1:$ABM$500,I$2,0),Техника!$F$4:$ABM$4,"Часы",INDEX(Техника!$G$1:$ABN$500,I$2,0),$A$46,INDEX(Техника!$H$1:$ABO$500,I$2,0),"Д")</f>
        <v>0</v>
      </c>
      <c r="J48" s="50">
        <f>SUMIFS(INDEX(Техника!$F$1:$ABM$500,J$2,0),Техника!$F$4:$ABM$4,"Часы",INDEX(Техника!$G$1:$ABN$500,J$2,0),$A$46,INDEX(Техника!$H$1:$ABO$500,J$2,0),"Д")</f>
        <v>0</v>
      </c>
      <c r="K48" s="50">
        <f>SUMIFS(INDEX(Техника!$F$1:$ABM$500,K$2,0),Техника!$F$4:$ABM$4,"Часы",INDEX(Техника!$G$1:$ABN$500,K$2,0),$A$46,INDEX(Техника!$H$1:$ABO$500,K$2,0),"Д")</f>
        <v>0</v>
      </c>
      <c r="L48" s="50">
        <f>SUMIFS(INDEX(Техника!$F$1:$ABM$500,L$2,0),Техника!$F$4:$ABM$4,"Часы",INDEX(Техника!$G$1:$ABN$500,L$2,0),$A$46,INDEX(Техника!$H$1:$ABO$500,L$2,0),"Д")</f>
        <v>0</v>
      </c>
      <c r="M48" s="50">
        <f>SUMIFS(INDEX(Техника!$F$1:$ABM$500,M$2,0),Техника!$F$4:$ABM$4,"Часы",INDEX(Техника!$G$1:$ABN$500,M$2,0),$A$46,INDEX(Техника!$H$1:$ABO$500,M$2,0),"Д")</f>
        <v>0</v>
      </c>
      <c r="N48" s="50">
        <f>SUMIFS(INDEX(Техника!$F$1:$ABM$500,N$2,0),Техника!$F$4:$ABM$4,"Часы",INDEX(Техника!$G$1:$ABN$500,N$2,0),$A$46,INDEX(Техника!$H$1:$ABO$500,N$2,0),"Д")</f>
        <v>0</v>
      </c>
      <c r="O48" s="50">
        <f>SUMIFS(INDEX(Техника!$F$1:$ABM$500,O$2,0),Техника!$F$4:$ABM$4,"Часы",INDEX(Техника!$G$1:$ABN$500,O$2,0),$A$46,INDEX(Техника!$H$1:$ABO$500,O$2,0),"Д")</f>
        <v>0</v>
      </c>
      <c r="P48" s="50">
        <f>SUMIFS(INDEX(Техника!$F$1:$ABM$500,P$2,0),Техника!$F$4:$ABM$4,"Часы",INDEX(Техника!$G$1:$ABN$500,P$2,0),$A$46,INDEX(Техника!$H$1:$ABO$500,P$2,0),"Д")</f>
        <v>0</v>
      </c>
      <c r="Q48" s="50">
        <f>SUMIFS(INDEX(Техника!$F$1:$ABM$500,Q$2,0),Техника!$F$4:$ABM$4,"Часы",INDEX(Техника!$G$1:$ABN$500,Q$2,0),$A$46,INDEX(Техника!$H$1:$ABO$500,Q$2,0),"Д")</f>
        <v>0</v>
      </c>
      <c r="R48" s="50">
        <f>SUMIFS(INDEX(Техника!$F$1:$ABM$500,R$2,0),Техника!$F$4:$ABM$4,"Часы",INDEX(Техника!$G$1:$ABN$500,R$2,0),$A$46,INDEX(Техника!$H$1:$ABO$500,R$2,0),"Д")</f>
        <v>0</v>
      </c>
      <c r="S48" s="50">
        <f>SUMIFS(INDEX(Техника!$F$1:$ABM$500,S$2,0),Техника!$F$4:$ABM$4,"Часы",INDEX(Техника!$G$1:$ABN$500,S$2,0),$A$46,INDEX(Техника!$H$1:$ABO$500,S$2,0),"Д")</f>
        <v>0</v>
      </c>
      <c r="T48" s="50">
        <f>SUMIFS(INDEX(Техника!$F$1:$ABM$500,T$2,0),Техника!$F$4:$ABM$4,"Часы",INDEX(Техника!$G$1:$ABN$500,T$2,0),$A$46,INDEX(Техника!$H$1:$ABO$500,T$2,0),"Д")</f>
        <v>0</v>
      </c>
      <c r="U48" s="50">
        <f>SUMIFS(INDEX(Техника!$F$1:$ABM$500,U$2,0),Техника!$F$4:$ABM$4,"Часы",INDEX(Техника!$G$1:$ABN$500,U$2,0),$A$46,INDEX(Техника!$H$1:$ABO$500,U$2,0),"Д")</f>
        <v>0</v>
      </c>
      <c r="V48" s="50">
        <f>SUMIFS(INDEX(Техника!$F$1:$ABM$500,V$2,0),Техника!$F$4:$ABM$4,"Часы",INDEX(Техника!$G$1:$ABN$500,V$2,0),$A$46,INDEX(Техника!$H$1:$ABO$500,V$2,0),"Д")</f>
        <v>0</v>
      </c>
      <c r="W48" s="50">
        <f>SUMIFS(INDEX(Техника!$F$1:$ABM$500,W$2,0),Техника!$F$4:$ABM$4,"Часы",INDEX(Техника!$G$1:$ABN$500,W$2,0),$A$46,INDEX(Техника!$H$1:$ABO$500,W$2,0),"Д")</f>
        <v>0</v>
      </c>
      <c r="X48" s="50">
        <f>SUMIFS(INDEX(Техника!$F$1:$ABM$500,X$2,0),Техника!$F$4:$ABM$4,"Часы",INDEX(Техника!$G$1:$ABN$500,X$2,0),$A$46,INDEX(Техника!$H$1:$ABO$500,X$2,0),"Д")</f>
        <v>0</v>
      </c>
      <c r="Y48" s="50">
        <f>SUMIFS(INDEX(Техника!$F$1:$ABM$500,Y$2,0),Техника!$F$4:$ABM$4,"Часы",INDEX(Техника!$G$1:$ABN$500,Y$2,0),$A$46,INDEX(Техника!$H$1:$ABO$500,Y$2,0),"Д")</f>
        <v>0</v>
      </c>
      <c r="Z48" s="50">
        <f>SUMIFS(INDEX(Техника!$F$1:$ABM$500,Z$2,0),Техника!$F$4:$ABM$4,"Часы",INDEX(Техника!$G$1:$ABN$500,Z$2,0),$A$46,INDEX(Техника!$H$1:$ABO$500,Z$2,0),"Д")</f>
        <v>0</v>
      </c>
      <c r="AA48" s="50">
        <f>SUMIFS(INDEX(Техника!$F$1:$ABM$500,AA$2,0),Техника!$F$4:$ABM$4,"Часы",INDEX(Техника!$G$1:$ABN$500,AA$2,0),$A$46,INDEX(Техника!$H$1:$ABO$500,AA$2,0),"Д")</f>
        <v>0</v>
      </c>
      <c r="AB48" s="50">
        <f>SUMIFS(INDEX(Техника!$F$1:$ABM$500,AB$2,0),Техника!$F$4:$ABM$4,"Часы",INDEX(Техника!$G$1:$ABN$500,AB$2,0),$A$46,INDEX(Техника!$H$1:$ABO$500,AB$2,0),"Д")</f>
        <v>0</v>
      </c>
    </row>
    <row r="49" spans="1:28" hidden="1" outlineLevel="1" x14ac:dyDescent="0.3">
      <c r="A49" s="33" t="s">
        <v>276</v>
      </c>
      <c r="B49" s="34" t="s">
        <v>277</v>
      </c>
      <c r="C49" s="50">
        <f>SUMIFS(INDEX(Техника!$F$1:$ABM$500,C$2,0),Техника!$F$4:$ABM$4,"Часы",INDEX(Техника!$G$1:$ABN$500,C$2,0),$A$46,INDEX(Техника!$H$1:$ABO$500,C$2,0),"П")</f>
        <v>0</v>
      </c>
      <c r="D49" s="50">
        <f>SUMIFS(INDEX(Техника!$F$1:$ABM$500,D$2,0),Техника!$F$4:$ABM$4,"Часы",INDEX(Техника!$G$1:$ABN$500,D$2,0),$A$46,INDEX(Техника!$H$1:$ABO$500,D$2,0),"П")</f>
        <v>0</v>
      </c>
      <c r="E49" s="50">
        <f>SUMIFS(INDEX(Техника!$F$1:$ABM$500,E$2,0),Техника!$F$4:$ABM$4,"Часы",INDEX(Техника!$G$1:$ABN$500,E$2,0),$A$46,INDEX(Техника!$H$1:$ABO$500,E$2,0),"П")</f>
        <v>0</v>
      </c>
      <c r="F49" s="50">
        <f>SUMIFS(INDEX(Техника!$F$1:$ABM$500,F$2,0),Техника!$F$4:$ABM$4,"Часы",INDEX(Техника!$G$1:$ABN$500,F$2,0),$A$46,INDEX(Техника!$H$1:$ABO$500,F$2,0),"П")</f>
        <v>0</v>
      </c>
      <c r="G49" s="50">
        <f>SUMIFS(INDEX(Техника!$F$1:$ABM$500,G$2,0),Техника!$F$4:$ABM$4,"Часы",INDEX(Техника!$G$1:$ABN$500,G$2,0),$A$46,INDEX(Техника!$H$1:$ABO$500,G$2,0),"П")</f>
        <v>0</v>
      </c>
      <c r="H49" s="50">
        <f>SUMIFS(INDEX(Техника!$F$1:$ABM$500,H$2,0),Техника!$F$4:$ABM$4,"Часы",INDEX(Техника!$G$1:$ABN$500,H$2,0),$A$46,INDEX(Техника!$H$1:$ABO$500,H$2,0),"П")</f>
        <v>0</v>
      </c>
      <c r="I49" s="50">
        <f>SUMIFS(INDEX(Техника!$F$1:$ABM$500,I$2,0),Техника!$F$4:$ABM$4,"Часы",INDEX(Техника!$G$1:$ABN$500,I$2,0),$A$46,INDEX(Техника!$H$1:$ABO$500,I$2,0),"П")</f>
        <v>0</v>
      </c>
      <c r="J49" s="50">
        <f>SUMIFS(INDEX(Техника!$F$1:$ABM$500,J$2,0),Техника!$F$4:$ABM$4,"Часы",INDEX(Техника!$G$1:$ABN$500,J$2,0),$A$46,INDEX(Техника!$H$1:$ABO$500,J$2,0),"П")</f>
        <v>0</v>
      </c>
      <c r="K49" s="50">
        <f>SUMIFS(INDEX(Техника!$F$1:$ABM$500,K$2,0),Техника!$F$4:$ABM$4,"Часы",INDEX(Техника!$G$1:$ABN$500,K$2,0),$A$46,INDEX(Техника!$H$1:$ABO$500,K$2,0),"П")</f>
        <v>0</v>
      </c>
      <c r="L49" s="50">
        <f>SUMIFS(INDEX(Техника!$F$1:$ABM$500,L$2,0),Техника!$F$4:$ABM$4,"Часы",INDEX(Техника!$G$1:$ABN$500,L$2,0),$A$46,INDEX(Техника!$H$1:$ABO$500,L$2,0),"П")</f>
        <v>0</v>
      </c>
      <c r="M49" s="50">
        <f>SUMIFS(INDEX(Техника!$F$1:$ABM$500,M$2,0),Техника!$F$4:$ABM$4,"Часы",INDEX(Техника!$G$1:$ABN$500,M$2,0),$A$46,INDEX(Техника!$H$1:$ABO$500,M$2,0),"П")</f>
        <v>0</v>
      </c>
      <c r="N49" s="50">
        <f>SUMIFS(INDEX(Техника!$F$1:$ABM$500,N$2,0),Техника!$F$4:$ABM$4,"Часы",INDEX(Техника!$G$1:$ABN$500,N$2,0),$A$46,INDEX(Техника!$H$1:$ABO$500,N$2,0),"П")</f>
        <v>0</v>
      </c>
      <c r="O49" s="50">
        <f>SUMIFS(INDEX(Техника!$F$1:$ABM$500,O$2,0),Техника!$F$4:$ABM$4,"Часы",INDEX(Техника!$G$1:$ABN$500,O$2,0),$A$46,INDEX(Техника!$H$1:$ABO$500,O$2,0),"П")</f>
        <v>0</v>
      </c>
      <c r="P49" s="50">
        <f>SUMIFS(INDEX(Техника!$F$1:$ABM$500,P$2,0),Техника!$F$4:$ABM$4,"Часы",INDEX(Техника!$G$1:$ABN$500,P$2,0),$A$46,INDEX(Техника!$H$1:$ABO$500,P$2,0),"П")</f>
        <v>0</v>
      </c>
      <c r="Q49" s="50">
        <f>SUMIFS(INDEX(Техника!$F$1:$ABM$500,Q$2,0),Техника!$F$4:$ABM$4,"Часы",INDEX(Техника!$G$1:$ABN$500,Q$2,0),$A$46,INDEX(Техника!$H$1:$ABO$500,Q$2,0),"П")</f>
        <v>0</v>
      </c>
      <c r="R49" s="50">
        <f>SUMIFS(INDEX(Техника!$F$1:$ABM$500,R$2,0),Техника!$F$4:$ABM$4,"Часы",INDEX(Техника!$G$1:$ABN$500,R$2,0),$A$46,INDEX(Техника!$H$1:$ABO$500,R$2,0),"П")</f>
        <v>0</v>
      </c>
      <c r="S49" s="50">
        <f>SUMIFS(INDEX(Техника!$F$1:$ABM$500,S$2,0),Техника!$F$4:$ABM$4,"Часы",INDEX(Техника!$G$1:$ABN$500,S$2,0),$A$46,INDEX(Техника!$H$1:$ABO$500,S$2,0),"П")</f>
        <v>0</v>
      </c>
      <c r="T49" s="50">
        <f>SUMIFS(INDEX(Техника!$F$1:$ABM$500,T$2,0),Техника!$F$4:$ABM$4,"Часы",INDEX(Техника!$G$1:$ABN$500,T$2,0),$A$46,INDEX(Техника!$H$1:$ABO$500,T$2,0),"П")</f>
        <v>0</v>
      </c>
      <c r="U49" s="50">
        <f>SUMIFS(INDEX(Техника!$F$1:$ABM$500,U$2,0),Техника!$F$4:$ABM$4,"Часы",INDEX(Техника!$G$1:$ABN$500,U$2,0),$A$46,INDEX(Техника!$H$1:$ABO$500,U$2,0),"П")</f>
        <v>0</v>
      </c>
      <c r="V49" s="50">
        <f>SUMIFS(INDEX(Техника!$F$1:$ABM$500,V$2,0),Техника!$F$4:$ABM$4,"Часы",INDEX(Техника!$G$1:$ABN$500,V$2,0),$A$46,INDEX(Техника!$H$1:$ABO$500,V$2,0),"П")</f>
        <v>0</v>
      </c>
      <c r="W49" s="50">
        <f>SUMIFS(INDEX(Техника!$F$1:$ABM$500,W$2,0),Техника!$F$4:$ABM$4,"Часы",INDEX(Техника!$G$1:$ABN$500,W$2,0),$A$46,INDEX(Техника!$H$1:$ABO$500,W$2,0),"П")</f>
        <v>0</v>
      </c>
      <c r="X49" s="50">
        <f>SUMIFS(INDEX(Техника!$F$1:$ABM$500,X$2,0),Техника!$F$4:$ABM$4,"Часы",INDEX(Техника!$G$1:$ABN$500,X$2,0),$A$46,INDEX(Техника!$H$1:$ABO$500,X$2,0),"П")</f>
        <v>0</v>
      </c>
      <c r="Y49" s="50">
        <f>SUMIFS(INDEX(Техника!$F$1:$ABM$500,Y$2,0),Техника!$F$4:$ABM$4,"Часы",INDEX(Техника!$G$1:$ABN$500,Y$2,0),$A$46,INDEX(Техника!$H$1:$ABO$500,Y$2,0),"П")</f>
        <v>0</v>
      </c>
      <c r="Z49" s="50">
        <f>SUMIFS(INDEX(Техника!$F$1:$ABM$500,Z$2,0),Техника!$F$4:$ABM$4,"Часы",INDEX(Техника!$G$1:$ABN$500,Z$2,0),$A$46,INDEX(Техника!$H$1:$ABO$500,Z$2,0),"П")</f>
        <v>0</v>
      </c>
      <c r="AA49" s="50">
        <f>SUMIFS(INDEX(Техника!$F$1:$ABM$500,AA$2,0),Техника!$F$4:$ABM$4,"Часы",INDEX(Техника!$G$1:$ABN$500,AA$2,0),$A$46,INDEX(Техника!$H$1:$ABO$500,AA$2,0),"П")</f>
        <v>0</v>
      </c>
      <c r="AB49" s="50">
        <f>SUMIFS(INDEX(Техника!$F$1:$ABM$500,AB$2,0),Техника!$F$4:$ABM$4,"Часы",INDEX(Техника!$G$1:$ABN$500,AB$2,0),$A$46,INDEX(Техника!$H$1:$ABO$500,AB$2,0),"П")</f>
        <v>0</v>
      </c>
    </row>
    <row r="50" spans="1:28" hidden="1" outlineLevel="1" x14ac:dyDescent="0.3">
      <c r="A50" s="33" t="s">
        <v>243</v>
      </c>
      <c r="B50" s="34" t="s">
        <v>278</v>
      </c>
      <c r="C50" s="50">
        <f>SUMIFS(INDEX(Техника!$F$1:$ABM$500,C$2,0),Техника!$F$4:$ABM$4,"Часы",INDEX(Техника!$G$1:$ABN$500,C$2,0),$A$46,INDEX(Техника!$H$1:$ABO$500,C$2,0),"Л")</f>
        <v>0</v>
      </c>
      <c r="D50" s="50">
        <f>SUMIFS(INDEX(Техника!$F$1:$ABM$500,D$2,0),Техника!$F$4:$ABM$4,"Часы",INDEX(Техника!$G$1:$ABN$500,D$2,0),$A$46,INDEX(Техника!$H$1:$ABO$500,D$2,0),"Л")</f>
        <v>0</v>
      </c>
      <c r="E50" s="50">
        <f>SUMIFS(INDEX(Техника!$F$1:$ABM$500,E$2,0),Техника!$F$4:$ABM$4,"Часы",INDEX(Техника!$G$1:$ABN$500,E$2,0),$A$46,INDEX(Техника!$H$1:$ABO$500,E$2,0),"Л")</f>
        <v>0</v>
      </c>
      <c r="F50" s="50">
        <f>SUMIFS(INDEX(Техника!$F$1:$ABM$500,F$2,0),Техника!$F$4:$ABM$4,"Часы",INDEX(Техника!$G$1:$ABN$500,F$2,0),$A$46,INDEX(Техника!$H$1:$ABO$500,F$2,0),"Л")</f>
        <v>0</v>
      </c>
      <c r="G50" s="50">
        <f>SUMIFS(INDEX(Техника!$F$1:$ABM$500,G$2,0),Техника!$F$4:$ABM$4,"Часы",INDEX(Техника!$G$1:$ABN$500,G$2,0),$A$46,INDEX(Техника!$H$1:$ABO$500,G$2,0),"Л")</f>
        <v>0</v>
      </c>
      <c r="H50" s="50">
        <f>SUMIFS(INDEX(Техника!$F$1:$ABM$500,H$2,0),Техника!$F$4:$ABM$4,"Часы",INDEX(Техника!$G$1:$ABN$500,H$2,0),$A$46,INDEX(Техника!$H$1:$ABO$500,H$2,0),"Л")</f>
        <v>0</v>
      </c>
      <c r="I50" s="50">
        <f>SUMIFS(INDEX(Техника!$F$1:$ABM$500,I$2,0),Техника!$F$4:$ABM$4,"Часы",INDEX(Техника!$G$1:$ABN$500,I$2,0),$A$46,INDEX(Техника!$H$1:$ABO$500,I$2,0),"Л")</f>
        <v>0</v>
      </c>
      <c r="J50" s="50">
        <f>SUMIFS(INDEX(Техника!$F$1:$ABM$500,J$2,0),Техника!$F$4:$ABM$4,"Часы",INDEX(Техника!$G$1:$ABN$500,J$2,0),$A$46,INDEX(Техника!$H$1:$ABO$500,J$2,0),"Л")</f>
        <v>0</v>
      </c>
      <c r="K50" s="50">
        <f>SUMIFS(INDEX(Техника!$F$1:$ABM$500,K$2,0),Техника!$F$4:$ABM$4,"Часы",INDEX(Техника!$G$1:$ABN$500,K$2,0),$A$46,INDEX(Техника!$H$1:$ABO$500,K$2,0),"Л")</f>
        <v>0</v>
      </c>
      <c r="L50" s="50">
        <f>SUMIFS(INDEX(Техника!$F$1:$ABM$500,L$2,0),Техника!$F$4:$ABM$4,"Часы",INDEX(Техника!$G$1:$ABN$500,L$2,0),$A$46,INDEX(Техника!$H$1:$ABO$500,L$2,0),"Л")</f>
        <v>0</v>
      </c>
      <c r="M50" s="50">
        <f>SUMIFS(INDEX(Техника!$F$1:$ABM$500,M$2,0),Техника!$F$4:$ABM$4,"Часы",INDEX(Техника!$G$1:$ABN$500,M$2,0),$A$46,INDEX(Техника!$H$1:$ABO$500,M$2,0),"Л")</f>
        <v>0</v>
      </c>
      <c r="N50" s="50">
        <f>SUMIFS(INDEX(Техника!$F$1:$ABM$500,N$2,0),Техника!$F$4:$ABM$4,"Часы",INDEX(Техника!$G$1:$ABN$500,N$2,0),$A$46,INDEX(Техника!$H$1:$ABO$500,N$2,0),"Л")</f>
        <v>0</v>
      </c>
      <c r="O50" s="50">
        <f>SUMIFS(INDEX(Техника!$F$1:$ABM$500,O$2,0),Техника!$F$4:$ABM$4,"Часы",INDEX(Техника!$G$1:$ABN$500,O$2,0),$A$46,INDEX(Техника!$H$1:$ABO$500,O$2,0),"Л")</f>
        <v>0</v>
      </c>
      <c r="P50" s="50">
        <f>SUMIFS(INDEX(Техника!$F$1:$ABM$500,P$2,0),Техника!$F$4:$ABM$4,"Часы",INDEX(Техника!$G$1:$ABN$500,P$2,0),$A$46,INDEX(Техника!$H$1:$ABO$500,P$2,0),"Л")</f>
        <v>0</v>
      </c>
      <c r="Q50" s="50">
        <f>SUMIFS(INDEX(Техника!$F$1:$ABM$500,Q$2,0),Техника!$F$4:$ABM$4,"Часы",INDEX(Техника!$G$1:$ABN$500,Q$2,0),$A$46,INDEX(Техника!$H$1:$ABO$500,Q$2,0),"Л")</f>
        <v>0</v>
      </c>
      <c r="R50" s="50">
        <f>SUMIFS(INDEX(Техника!$F$1:$ABM$500,R$2,0),Техника!$F$4:$ABM$4,"Часы",INDEX(Техника!$G$1:$ABN$500,R$2,0),$A$46,INDEX(Техника!$H$1:$ABO$500,R$2,0),"Л")</f>
        <v>0</v>
      </c>
      <c r="S50" s="50">
        <f>SUMIFS(INDEX(Техника!$F$1:$ABM$500,S$2,0),Техника!$F$4:$ABM$4,"Часы",INDEX(Техника!$G$1:$ABN$500,S$2,0),$A$46,INDEX(Техника!$H$1:$ABO$500,S$2,0),"Л")</f>
        <v>0</v>
      </c>
      <c r="T50" s="50">
        <f>SUMIFS(INDEX(Техника!$F$1:$ABM$500,T$2,0),Техника!$F$4:$ABM$4,"Часы",INDEX(Техника!$G$1:$ABN$500,T$2,0),$A$46,INDEX(Техника!$H$1:$ABO$500,T$2,0),"Л")</f>
        <v>0</v>
      </c>
      <c r="U50" s="50">
        <f>SUMIFS(INDEX(Техника!$F$1:$ABM$500,U$2,0),Техника!$F$4:$ABM$4,"Часы",INDEX(Техника!$G$1:$ABN$500,U$2,0),$A$46,INDEX(Техника!$H$1:$ABO$500,U$2,0),"Л")</f>
        <v>0</v>
      </c>
      <c r="V50" s="50">
        <f>SUMIFS(INDEX(Техника!$F$1:$ABM$500,V$2,0),Техника!$F$4:$ABM$4,"Часы",INDEX(Техника!$G$1:$ABN$500,V$2,0),$A$46,INDEX(Техника!$H$1:$ABO$500,V$2,0),"Л")</f>
        <v>0</v>
      </c>
      <c r="W50" s="50">
        <f>SUMIFS(INDEX(Техника!$F$1:$ABM$500,W$2,0),Техника!$F$4:$ABM$4,"Часы",INDEX(Техника!$G$1:$ABN$500,W$2,0),$A$46,INDEX(Техника!$H$1:$ABO$500,W$2,0),"Л")</f>
        <v>0</v>
      </c>
      <c r="X50" s="50">
        <f>SUMIFS(INDEX(Техника!$F$1:$ABM$500,X$2,0),Техника!$F$4:$ABM$4,"Часы",INDEX(Техника!$G$1:$ABN$500,X$2,0),$A$46,INDEX(Техника!$H$1:$ABO$500,X$2,0),"Л")</f>
        <v>0</v>
      </c>
      <c r="Y50" s="50">
        <f>SUMIFS(INDEX(Техника!$F$1:$ABM$500,Y$2,0),Техника!$F$4:$ABM$4,"Часы",INDEX(Техника!$G$1:$ABN$500,Y$2,0),$A$46,INDEX(Техника!$H$1:$ABO$500,Y$2,0),"Л")</f>
        <v>0</v>
      </c>
      <c r="Z50" s="50">
        <f>SUMIFS(INDEX(Техника!$F$1:$ABM$500,Z$2,0),Техника!$F$4:$ABM$4,"Часы",INDEX(Техника!$G$1:$ABN$500,Z$2,0),$A$46,INDEX(Техника!$H$1:$ABO$500,Z$2,0),"Л")</f>
        <v>0</v>
      </c>
      <c r="AA50" s="50">
        <f>SUMIFS(INDEX(Техника!$F$1:$ABM$500,AA$2,0),Техника!$F$4:$ABM$4,"Часы",INDEX(Техника!$G$1:$ABN$500,AA$2,0),$A$46,INDEX(Техника!$H$1:$ABO$500,AA$2,0),"Л")</f>
        <v>0</v>
      </c>
      <c r="AB50" s="50">
        <f>SUMIFS(INDEX(Техника!$F$1:$ABM$500,AB$2,0),Техника!$F$4:$ABM$4,"Часы",INDEX(Техника!$G$1:$ABN$500,AB$2,0),$A$46,INDEX(Техника!$H$1:$ABO$500,AB$2,0),"Л")</f>
        <v>0</v>
      </c>
    </row>
    <row r="51" spans="1:28" hidden="1" outlineLevel="1" x14ac:dyDescent="0.3">
      <c r="A51" s="33" t="s">
        <v>245</v>
      </c>
      <c r="B51" s="34" t="s">
        <v>279</v>
      </c>
      <c r="C51" s="50">
        <f>SUMIFS(INDEX(Техника!$F$1:$ABM$500,C$2,0),Техника!$F$4:$ABM$4,"Часы",INDEX(Техника!$G$1:$ABN$500,C$2,0),$A$46,INDEX(Техника!$H$1:$ABO$500,C$2,0),"З")</f>
        <v>0</v>
      </c>
      <c r="D51" s="50">
        <f>SUMIFS(INDEX(Техника!$F$1:$ABM$500,D$2,0),Техника!$F$4:$ABM$4,"Часы",INDEX(Техника!$G$1:$ABN$500,D$2,0),$A$46,INDEX(Техника!$H$1:$ABO$500,D$2,0),"З")</f>
        <v>0</v>
      </c>
      <c r="E51" s="50">
        <f>SUMIFS(INDEX(Техника!$F$1:$ABM$500,E$2,0),Техника!$F$4:$ABM$4,"Часы",INDEX(Техника!$G$1:$ABN$500,E$2,0),$A$46,INDEX(Техника!$H$1:$ABO$500,E$2,0),"З")</f>
        <v>0</v>
      </c>
      <c r="F51" s="50">
        <f>SUMIFS(INDEX(Техника!$F$1:$ABM$500,F$2,0),Техника!$F$4:$ABM$4,"Часы",INDEX(Техника!$G$1:$ABN$500,F$2,0),$A$46,INDEX(Техника!$H$1:$ABO$500,F$2,0),"З")</f>
        <v>0</v>
      </c>
      <c r="G51" s="50">
        <f>SUMIFS(INDEX(Техника!$F$1:$ABM$500,G$2,0),Техника!$F$4:$ABM$4,"Часы",INDEX(Техника!$G$1:$ABN$500,G$2,0),$A$46,INDEX(Техника!$H$1:$ABO$500,G$2,0),"З")</f>
        <v>0</v>
      </c>
      <c r="H51" s="50">
        <f>SUMIFS(INDEX(Техника!$F$1:$ABM$500,H$2,0),Техника!$F$4:$ABM$4,"Часы",INDEX(Техника!$G$1:$ABN$500,H$2,0),$A$46,INDEX(Техника!$H$1:$ABO$500,H$2,0),"З")</f>
        <v>0</v>
      </c>
      <c r="I51" s="50">
        <f>SUMIFS(INDEX(Техника!$F$1:$ABM$500,I$2,0),Техника!$F$4:$ABM$4,"Часы",INDEX(Техника!$G$1:$ABN$500,I$2,0),$A$46,INDEX(Техника!$H$1:$ABO$500,I$2,0),"З")</f>
        <v>0</v>
      </c>
      <c r="J51" s="50">
        <f>SUMIFS(INDEX(Техника!$F$1:$ABM$500,J$2,0),Техника!$F$4:$ABM$4,"Часы",INDEX(Техника!$G$1:$ABN$500,J$2,0),$A$46,INDEX(Техника!$H$1:$ABO$500,J$2,0),"З")</f>
        <v>0</v>
      </c>
      <c r="K51" s="50">
        <f>SUMIFS(INDEX(Техника!$F$1:$ABM$500,K$2,0),Техника!$F$4:$ABM$4,"Часы",INDEX(Техника!$G$1:$ABN$500,K$2,0),$A$46,INDEX(Техника!$H$1:$ABO$500,K$2,0),"З")</f>
        <v>0</v>
      </c>
      <c r="L51" s="50">
        <f>SUMIFS(INDEX(Техника!$F$1:$ABM$500,L$2,0),Техника!$F$4:$ABM$4,"Часы",INDEX(Техника!$G$1:$ABN$500,L$2,0),$A$46,INDEX(Техника!$H$1:$ABO$500,L$2,0),"З")</f>
        <v>0</v>
      </c>
      <c r="M51" s="50">
        <f>SUMIFS(INDEX(Техника!$F$1:$ABM$500,M$2,0),Техника!$F$4:$ABM$4,"Часы",INDEX(Техника!$G$1:$ABN$500,M$2,0),$A$46,INDEX(Техника!$H$1:$ABO$500,M$2,0),"З")</f>
        <v>0</v>
      </c>
      <c r="N51" s="50">
        <f>SUMIFS(INDEX(Техника!$F$1:$ABM$500,N$2,0),Техника!$F$4:$ABM$4,"Часы",INDEX(Техника!$G$1:$ABN$500,N$2,0),$A$46,INDEX(Техника!$H$1:$ABO$500,N$2,0),"З")</f>
        <v>0</v>
      </c>
      <c r="O51" s="50">
        <f>SUMIFS(INDEX(Техника!$F$1:$ABM$500,O$2,0),Техника!$F$4:$ABM$4,"Часы",INDEX(Техника!$G$1:$ABN$500,O$2,0),$A$46,INDEX(Техника!$H$1:$ABO$500,O$2,0),"З")</f>
        <v>0</v>
      </c>
      <c r="P51" s="50">
        <f>SUMIFS(INDEX(Техника!$F$1:$ABM$500,P$2,0),Техника!$F$4:$ABM$4,"Часы",INDEX(Техника!$G$1:$ABN$500,P$2,0),$A$46,INDEX(Техника!$H$1:$ABO$500,P$2,0),"З")</f>
        <v>0</v>
      </c>
      <c r="Q51" s="50">
        <f>SUMIFS(INDEX(Техника!$F$1:$ABM$500,Q$2,0),Техника!$F$4:$ABM$4,"Часы",INDEX(Техника!$G$1:$ABN$500,Q$2,0),$A$46,INDEX(Техника!$H$1:$ABO$500,Q$2,0),"З")</f>
        <v>0</v>
      </c>
      <c r="R51" s="50">
        <f>SUMIFS(INDEX(Техника!$F$1:$ABM$500,R$2,0),Техника!$F$4:$ABM$4,"Часы",INDEX(Техника!$G$1:$ABN$500,R$2,0),$A$46,INDEX(Техника!$H$1:$ABO$500,R$2,0),"З")</f>
        <v>0</v>
      </c>
      <c r="S51" s="50">
        <f>SUMIFS(INDEX(Техника!$F$1:$ABM$500,S$2,0),Техника!$F$4:$ABM$4,"Часы",INDEX(Техника!$G$1:$ABN$500,S$2,0),$A$46,INDEX(Техника!$H$1:$ABO$500,S$2,0),"З")</f>
        <v>0</v>
      </c>
      <c r="T51" s="50">
        <f>SUMIFS(INDEX(Техника!$F$1:$ABM$500,T$2,0),Техника!$F$4:$ABM$4,"Часы",INDEX(Техника!$G$1:$ABN$500,T$2,0),$A$46,INDEX(Техника!$H$1:$ABO$500,T$2,0),"З")</f>
        <v>0</v>
      </c>
      <c r="U51" s="50">
        <f>SUMIFS(INDEX(Техника!$F$1:$ABM$500,U$2,0),Техника!$F$4:$ABM$4,"Часы",INDEX(Техника!$G$1:$ABN$500,U$2,0),$A$46,INDEX(Техника!$H$1:$ABO$500,U$2,0),"З")</f>
        <v>0</v>
      </c>
      <c r="V51" s="50">
        <f>SUMIFS(INDEX(Техника!$F$1:$ABM$500,V$2,0),Техника!$F$4:$ABM$4,"Часы",INDEX(Техника!$G$1:$ABN$500,V$2,0),$A$46,INDEX(Техника!$H$1:$ABO$500,V$2,0),"З")</f>
        <v>0</v>
      </c>
      <c r="W51" s="50">
        <f>SUMIFS(INDEX(Техника!$F$1:$ABM$500,W$2,0),Техника!$F$4:$ABM$4,"Часы",INDEX(Техника!$G$1:$ABN$500,W$2,0),$A$46,INDEX(Техника!$H$1:$ABO$500,W$2,0),"З")</f>
        <v>0</v>
      </c>
      <c r="X51" s="50">
        <f>SUMIFS(INDEX(Техника!$F$1:$ABM$500,X$2,0),Техника!$F$4:$ABM$4,"Часы",INDEX(Техника!$G$1:$ABN$500,X$2,0),$A$46,INDEX(Техника!$H$1:$ABO$500,X$2,0),"З")</f>
        <v>0</v>
      </c>
      <c r="Y51" s="50">
        <f>SUMIFS(INDEX(Техника!$F$1:$ABM$500,Y$2,0),Техника!$F$4:$ABM$4,"Часы",INDEX(Техника!$G$1:$ABN$500,Y$2,0),$A$46,INDEX(Техника!$H$1:$ABO$500,Y$2,0),"З")</f>
        <v>0</v>
      </c>
      <c r="Z51" s="50">
        <f>SUMIFS(INDEX(Техника!$F$1:$ABM$500,Z$2,0),Техника!$F$4:$ABM$4,"Часы",INDEX(Техника!$G$1:$ABN$500,Z$2,0),$A$46,INDEX(Техника!$H$1:$ABO$500,Z$2,0),"З")</f>
        <v>0</v>
      </c>
      <c r="AA51" s="50">
        <f>SUMIFS(INDEX(Техника!$F$1:$ABM$500,AA$2,0),Техника!$F$4:$ABM$4,"Часы",INDEX(Техника!$G$1:$ABN$500,AA$2,0),$A$46,INDEX(Техника!$H$1:$ABO$500,AA$2,0),"З")</f>
        <v>0</v>
      </c>
      <c r="AB51" s="50">
        <f>SUMIFS(INDEX(Техника!$F$1:$ABM$500,AB$2,0),Техника!$F$4:$ABM$4,"Часы",INDEX(Техника!$G$1:$ABN$500,AB$2,0),$A$46,INDEX(Техника!$H$1:$ABO$500,AB$2,0),"З")</f>
        <v>0</v>
      </c>
    </row>
    <row r="52" spans="1:28" ht="7.95" customHeight="1" x14ac:dyDescent="0.3">
      <c r="A52" s="38"/>
      <c r="B52" s="39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 spans="1:28" ht="25.05" customHeight="1" collapsed="1" x14ac:dyDescent="0.3">
      <c r="A53" s="32">
        <v>8</v>
      </c>
      <c r="B53" s="32" t="s">
        <v>9</v>
      </c>
      <c r="C53" s="49">
        <f>SUM(C54:C58)</f>
        <v>0</v>
      </c>
      <c r="D53" s="49">
        <f>SUM(D54:D58)</f>
        <v>0</v>
      </c>
      <c r="E53" s="49">
        <f>SUM(E54:E58)</f>
        <v>0</v>
      </c>
      <c r="F53" s="49">
        <f>SUM(F54:F58)</f>
        <v>0</v>
      </c>
      <c r="G53" s="49">
        <f>SUM(G54:G58)</f>
        <v>0</v>
      </c>
      <c r="H53" s="49">
        <f>SUM(H54:H58)</f>
        <v>0</v>
      </c>
      <c r="I53" s="49">
        <f>SUM(I54:I58)</f>
        <v>0</v>
      </c>
      <c r="J53" s="49">
        <f>SUM(J54:J58)</f>
        <v>0</v>
      </c>
      <c r="K53" s="49">
        <f>SUM(K54:K58)</f>
        <v>0</v>
      </c>
      <c r="L53" s="49">
        <f>SUM(L54:L58)</f>
        <v>0</v>
      </c>
      <c r="M53" s="49">
        <f>SUM(M54:M58)</f>
        <v>0</v>
      </c>
      <c r="N53" s="49">
        <f>SUM(N54:N58)</f>
        <v>0</v>
      </c>
      <c r="O53" s="49">
        <f>SUM(O54:O58)</f>
        <v>0</v>
      </c>
      <c r="P53" s="49">
        <f>SUM(P54:P58)</f>
        <v>0</v>
      </c>
      <c r="Q53" s="49">
        <f>SUM(Q54:Q58)</f>
        <v>0</v>
      </c>
      <c r="R53" s="49">
        <f>SUM(R54:R58)</f>
        <v>0</v>
      </c>
      <c r="S53" s="49">
        <f>SUM(S54:S58)</f>
        <v>0</v>
      </c>
      <c r="T53" s="49">
        <f>SUM(T54:T58)</f>
        <v>0</v>
      </c>
      <c r="U53" s="49">
        <f>SUM(U54:U58)</f>
        <v>0</v>
      </c>
      <c r="V53" s="49">
        <f>SUM(V54:V58)</f>
        <v>0</v>
      </c>
      <c r="W53" s="49">
        <f>SUM(W54:W58)</f>
        <v>0</v>
      </c>
      <c r="X53" s="49">
        <f>SUM(X54:X58)</f>
        <v>0</v>
      </c>
      <c r="Y53" s="49">
        <f>SUM(Y54:Y58)</f>
        <v>0</v>
      </c>
      <c r="Z53" s="49">
        <f>SUM(Z54:Z58)</f>
        <v>0</v>
      </c>
      <c r="AA53" s="49">
        <f>SUM(AA54:AA58)</f>
        <v>0</v>
      </c>
      <c r="AB53" s="49">
        <f>SUM(AB54:AB58)</f>
        <v>0</v>
      </c>
    </row>
    <row r="54" spans="1:28" hidden="1" outlineLevel="1" x14ac:dyDescent="0.3">
      <c r="A54" s="33" t="s">
        <v>246</v>
      </c>
      <c r="B54" s="34" t="s">
        <v>274</v>
      </c>
      <c r="C54" s="50">
        <f>SUMIFS(INDEX(Техника!$F$1:$ABM$500,C$2,0),Техника!$F$4:$ABM$4,"Часы",INDEX(Техника!$G$1:$ABN$500,C$2,0),$A$53,INDEX(Техника!$H$1:$ABO$500,C$2,0),"М")</f>
        <v>0</v>
      </c>
      <c r="D54" s="50">
        <f>SUMIFS(INDEX(Техника!$F$1:$ABM$500,D$2,0),Техника!$F$4:$ABM$4,"Часы",INDEX(Техника!$G$1:$ABN$500,D$2,0),$A$53,INDEX(Техника!$H$1:$ABO$500,D$2,0),"М")</f>
        <v>0</v>
      </c>
      <c r="E54" s="50">
        <f>SUMIFS(INDEX(Техника!$F$1:$ABM$500,E$2,0),Техника!$F$4:$ABM$4,"Часы",INDEX(Техника!$G$1:$ABN$500,E$2,0),$A$53,INDEX(Техника!$H$1:$ABO$500,E$2,0),"М")</f>
        <v>0</v>
      </c>
      <c r="F54" s="50">
        <f>SUMIFS(INDEX(Техника!$F$1:$ABM$500,F$2,0),Техника!$F$4:$ABM$4,"Часы",INDEX(Техника!$G$1:$ABN$500,F$2,0),$A$53,INDEX(Техника!$H$1:$ABO$500,F$2,0),"М")</f>
        <v>0</v>
      </c>
      <c r="G54" s="50">
        <f>SUMIFS(INDEX(Техника!$F$1:$ABM$500,G$2,0),Техника!$F$4:$ABM$4,"Часы",INDEX(Техника!$G$1:$ABN$500,G$2,0),$A$53,INDEX(Техника!$H$1:$ABO$500,G$2,0),"М")</f>
        <v>0</v>
      </c>
      <c r="H54" s="50">
        <f>SUMIFS(INDEX(Техника!$F$1:$ABM$500,H$2,0),Техника!$F$4:$ABM$4,"Часы",INDEX(Техника!$G$1:$ABN$500,H$2,0),$A$53,INDEX(Техника!$H$1:$ABO$500,H$2,0),"М")</f>
        <v>0</v>
      </c>
      <c r="I54" s="50">
        <f>SUMIFS(INDEX(Техника!$F$1:$ABM$500,I$2,0),Техника!$F$4:$ABM$4,"Часы",INDEX(Техника!$G$1:$ABN$500,I$2,0),$A$53,INDEX(Техника!$H$1:$ABO$500,I$2,0),"М")</f>
        <v>0</v>
      </c>
      <c r="J54" s="50">
        <f>SUMIFS(INDEX(Техника!$F$1:$ABM$500,J$2,0),Техника!$F$4:$ABM$4,"Часы",INDEX(Техника!$G$1:$ABN$500,J$2,0),$A$53,INDEX(Техника!$H$1:$ABO$500,J$2,0),"М")</f>
        <v>0</v>
      </c>
      <c r="K54" s="50">
        <f>SUMIFS(INDEX(Техника!$F$1:$ABM$500,K$2,0),Техника!$F$4:$ABM$4,"Часы",INDEX(Техника!$G$1:$ABN$500,K$2,0),$A$53,INDEX(Техника!$H$1:$ABO$500,K$2,0),"М")</f>
        <v>0</v>
      </c>
      <c r="L54" s="50">
        <f>SUMIFS(INDEX(Техника!$F$1:$ABM$500,L$2,0),Техника!$F$4:$ABM$4,"Часы",INDEX(Техника!$G$1:$ABN$500,L$2,0),$A$53,INDEX(Техника!$H$1:$ABO$500,L$2,0),"М")</f>
        <v>0</v>
      </c>
      <c r="M54" s="50">
        <f>SUMIFS(INDEX(Техника!$F$1:$ABM$500,M$2,0),Техника!$F$4:$ABM$4,"Часы",INDEX(Техника!$G$1:$ABN$500,M$2,0),$A$53,INDEX(Техника!$H$1:$ABO$500,M$2,0),"М")</f>
        <v>0</v>
      </c>
      <c r="N54" s="50">
        <f>SUMIFS(INDEX(Техника!$F$1:$ABM$500,N$2,0),Техника!$F$4:$ABM$4,"Часы",INDEX(Техника!$G$1:$ABN$500,N$2,0),$A$53,INDEX(Техника!$H$1:$ABO$500,N$2,0),"М")</f>
        <v>0</v>
      </c>
      <c r="O54" s="50">
        <f>SUMIFS(INDEX(Техника!$F$1:$ABM$500,O$2,0),Техника!$F$4:$ABM$4,"Часы",INDEX(Техника!$G$1:$ABN$500,O$2,0),$A$53,INDEX(Техника!$H$1:$ABO$500,O$2,0),"М")</f>
        <v>0</v>
      </c>
      <c r="P54" s="50">
        <f>SUMIFS(INDEX(Техника!$F$1:$ABM$500,P$2,0),Техника!$F$4:$ABM$4,"Часы",INDEX(Техника!$G$1:$ABN$500,P$2,0),$A$53,INDEX(Техника!$H$1:$ABO$500,P$2,0),"М")</f>
        <v>0</v>
      </c>
      <c r="Q54" s="50">
        <f>SUMIFS(INDEX(Техника!$F$1:$ABM$500,Q$2,0),Техника!$F$4:$ABM$4,"Часы",INDEX(Техника!$G$1:$ABN$500,Q$2,0),$A$53,INDEX(Техника!$H$1:$ABO$500,Q$2,0),"М")</f>
        <v>0</v>
      </c>
      <c r="R54" s="50">
        <f>SUMIFS(INDEX(Техника!$F$1:$ABM$500,R$2,0),Техника!$F$4:$ABM$4,"Часы",INDEX(Техника!$G$1:$ABN$500,R$2,0),$A$53,INDEX(Техника!$H$1:$ABO$500,R$2,0),"М")</f>
        <v>0</v>
      </c>
      <c r="S54" s="50">
        <f>SUMIFS(INDEX(Техника!$F$1:$ABM$500,S$2,0),Техника!$F$4:$ABM$4,"Часы",INDEX(Техника!$G$1:$ABN$500,S$2,0),$A$53,INDEX(Техника!$H$1:$ABO$500,S$2,0),"М")</f>
        <v>0</v>
      </c>
      <c r="T54" s="50">
        <f>SUMIFS(INDEX(Техника!$F$1:$ABM$500,T$2,0),Техника!$F$4:$ABM$4,"Часы",INDEX(Техника!$G$1:$ABN$500,T$2,0),$A$53,INDEX(Техника!$H$1:$ABO$500,T$2,0),"М")</f>
        <v>0</v>
      </c>
      <c r="U54" s="50">
        <f>SUMIFS(INDEX(Техника!$F$1:$ABM$500,U$2,0),Техника!$F$4:$ABM$4,"Часы",INDEX(Техника!$G$1:$ABN$500,U$2,0),$A$53,INDEX(Техника!$H$1:$ABO$500,U$2,0),"М")</f>
        <v>0</v>
      </c>
      <c r="V54" s="50">
        <f>SUMIFS(INDEX(Техника!$F$1:$ABM$500,V$2,0),Техника!$F$4:$ABM$4,"Часы",INDEX(Техника!$G$1:$ABN$500,V$2,0),$A$53,INDEX(Техника!$H$1:$ABO$500,V$2,0),"М")</f>
        <v>0</v>
      </c>
      <c r="W54" s="50">
        <f>SUMIFS(INDEX(Техника!$F$1:$ABM$500,W$2,0),Техника!$F$4:$ABM$4,"Часы",INDEX(Техника!$G$1:$ABN$500,W$2,0),$A$53,INDEX(Техника!$H$1:$ABO$500,W$2,0),"М")</f>
        <v>0</v>
      </c>
      <c r="X54" s="50">
        <f>SUMIFS(INDEX(Техника!$F$1:$ABM$500,X$2,0),Техника!$F$4:$ABM$4,"Часы",INDEX(Техника!$G$1:$ABN$500,X$2,0),$A$53,INDEX(Техника!$H$1:$ABO$500,X$2,0),"М")</f>
        <v>0</v>
      </c>
      <c r="Y54" s="50">
        <f>SUMIFS(INDEX(Техника!$F$1:$ABM$500,Y$2,0),Техника!$F$4:$ABM$4,"Часы",INDEX(Техника!$G$1:$ABN$500,Y$2,0),$A$53,INDEX(Техника!$H$1:$ABO$500,Y$2,0),"М")</f>
        <v>0</v>
      </c>
      <c r="Z54" s="50">
        <f>SUMIFS(INDEX(Техника!$F$1:$ABM$500,Z$2,0),Техника!$F$4:$ABM$4,"Часы",INDEX(Техника!$G$1:$ABN$500,Z$2,0),$A$53,INDEX(Техника!$H$1:$ABO$500,Z$2,0),"М")</f>
        <v>0</v>
      </c>
      <c r="AA54" s="50">
        <f>SUMIFS(INDEX(Техника!$F$1:$ABM$500,AA$2,0),Техника!$F$4:$ABM$4,"Часы",INDEX(Техника!$G$1:$ABN$500,AA$2,0),$A$53,INDEX(Техника!$H$1:$ABO$500,AA$2,0),"М")</f>
        <v>0</v>
      </c>
      <c r="AB54" s="50">
        <f>SUMIFS(INDEX(Техника!$F$1:$ABM$500,AB$2,0),Техника!$F$4:$ABM$4,"Часы",INDEX(Техника!$G$1:$ABN$500,AB$2,0),$A$53,INDEX(Техника!$H$1:$ABO$500,AB$2,0),"М")</f>
        <v>0</v>
      </c>
    </row>
    <row r="55" spans="1:28" hidden="1" outlineLevel="1" x14ac:dyDescent="0.3">
      <c r="A55" s="33" t="s">
        <v>244</v>
      </c>
      <c r="B55" s="34" t="s">
        <v>275</v>
      </c>
      <c r="C55" s="50">
        <f>SUMIFS(INDEX(Техника!$F$1:$ABM$500,C$2,0),Техника!$F$4:$ABM$4,"Часы",INDEX(Техника!$G$1:$ABN$500,C$2,0),$A$53,INDEX(Техника!$H$1:$ABO$500,C$2,0),"Д")</f>
        <v>0</v>
      </c>
      <c r="D55" s="50">
        <f>SUMIFS(INDEX(Техника!$F$1:$ABM$500,D$2,0),Техника!$F$4:$ABM$4,"Часы",INDEX(Техника!$G$1:$ABN$500,D$2,0),$A$53,INDEX(Техника!$H$1:$ABO$500,D$2,0),"Д")</f>
        <v>0</v>
      </c>
      <c r="E55" s="50">
        <f>SUMIFS(INDEX(Техника!$F$1:$ABM$500,E$2,0),Техника!$F$4:$ABM$4,"Часы",INDEX(Техника!$G$1:$ABN$500,E$2,0),$A$53,INDEX(Техника!$H$1:$ABO$500,E$2,0),"Д")</f>
        <v>0</v>
      </c>
      <c r="F55" s="50">
        <f>SUMIFS(INDEX(Техника!$F$1:$ABM$500,F$2,0),Техника!$F$4:$ABM$4,"Часы",INDEX(Техника!$G$1:$ABN$500,F$2,0),$A$53,INDEX(Техника!$H$1:$ABO$500,F$2,0),"Д")</f>
        <v>0</v>
      </c>
      <c r="G55" s="50">
        <f>SUMIFS(INDEX(Техника!$F$1:$ABM$500,G$2,0),Техника!$F$4:$ABM$4,"Часы",INDEX(Техника!$G$1:$ABN$500,G$2,0),$A$53,INDEX(Техника!$H$1:$ABO$500,G$2,0),"Д")</f>
        <v>0</v>
      </c>
      <c r="H55" s="50">
        <f>SUMIFS(INDEX(Техника!$F$1:$ABM$500,H$2,0),Техника!$F$4:$ABM$4,"Часы",INDEX(Техника!$G$1:$ABN$500,H$2,0),$A$53,INDEX(Техника!$H$1:$ABO$500,H$2,0),"Д")</f>
        <v>0</v>
      </c>
      <c r="I55" s="50">
        <f>SUMIFS(INDEX(Техника!$F$1:$ABM$500,I$2,0),Техника!$F$4:$ABM$4,"Часы",INDEX(Техника!$G$1:$ABN$500,I$2,0),$A$53,INDEX(Техника!$H$1:$ABO$500,I$2,0),"Д")</f>
        <v>0</v>
      </c>
      <c r="J55" s="50">
        <f>SUMIFS(INDEX(Техника!$F$1:$ABM$500,J$2,0),Техника!$F$4:$ABM$4,"Часы",INDEX(Техника!$G$1:$ABN$500,J$2,0),$A$53,INDEX(Техника!$H$1:$ABO$500,J$2,0),"Д")</f>
        <v>0</v>
      </c>
      <c r="K55" s="50">
        <f>SUMIFS(INDEX(Техника!$F$1:$ABM$500,K$2,0),Техника!$F$4:$ABM$4,"Часы",INDEX(Техника!$G$1:$ABN$500,K$2,0),$A$53,INDEX(Техника!$H$1:$ABO$500,K$2,0),"Д")</f>
        <v>0</v>
      </c>
      <c r="L55" s="50">
        <f>SUMIFS(INDEX(Техника!$F$1:$ABM$500,L$2,0),Техника!$F$4:$ABM$4,"Часы",INDEX(Техника!$G$1:$ABN$500,L$2,0),$A$53,INDEX(Техника!$H$1:$ABO$500,L$2,0),"Д")</f>
        <v>0</v>
      </c>
      <c r="M55" s="50">
        <f>SUMIFS(INDEX(Техника!$F$1:$ABM$500,M$2,0),Техника!$F$4:$ABM$4,"Часы",INDEX(Техника!$G$1:$ABN$500,M$2,0),$A$53,INDEX(Техника!$H$1:$ABO$500,M$2,0),"Д")</f>
        <v>0</v>
      </c>
      <c r="N55" s="50">
        <f>SUMIFS(INDEX(Техника!$F$1:$ABM$500,N$2,0),Техника!$F$4:$ABM$4,"Часы",INDEX(Техника!$G$1:$ABN$500,N$2,0),$A$53,INDEX(Техника!$H$1:$ABO$500,N$2,0),"Д")</f>
        <v>0</v>
      </c>
      <c r="O55" s="50">
        <f>SUMIFS(INDEX(Техника!$F$1:$ABM$500,O$2,0),Техника!$F$4:$ABM$4,"Часы",INDEX(Техника!$G$1:$ABN$500,O$2,0),$A$53,INDEX(Техника!$H$1:$ABO$500,O$2,0),"Д")</f>
        <v>0</v>
      </c>
      <c r="P55" s="50">
        <f>SUMIFS(INDEX(Техника!$F$1:$ABM$500,P$2,0),Техника!$F$4:$ABM$4,"Часы",INDEX(Техника!$G$1:$ABN$500,P$2,0),$A$53,INDEX(Техника!$H$1:$ABO$500,P$2,0),"Д")</f>
        <v>0</v>
      </c>
      <c r="Q55" s="50">
        <f>SUMIFS(INDEX(Техника!$F$1:$ABM$500,Q$2,0),Техника!$F$4:$ABM$4,"Часы",INDEX(Техника!$G$1:$ABN$500,Q$2,0),$A$53,INDEX(Техника!$H$1:$ABO$500,Q$2,0),"Д")</f>
        <v>0</v>
      </c>
      <c r="R55" s="50">
        <f>SUMIFS(INDEX(Техника!$F$1:$ABM$500,R$2,0),Техника!$F$4:$ABM$4,"Часы",INDEX(Техника!$G$1:$ABN$500,R$2,0),$A$53,INDEX(Техника!$H$1:$ABO$500,R$2,0),"Д")</f>
        <v>0</v>
      </c>
      <c r="S55" s="50">
        <f>SUMIFS(INDEX(Техника!$F$1:$ABM$500,S$2,0),Техника!$F$4:$ABM$4,"Часы",INDEX(Техника!$G$1:$ABN$500,S$2,0),$A$53,INDEX(Техника!$H$1:$ABO$500,S$2,0),"Д")</f>
        <v>0</v>
      </c>
      <c r="T55" s="50">
        <f>SUMIFS(INDEX(Техника!$F$1:$ABM$500,T$2,0),Техника!$F$4:$ABM$4,"Часы",INDEX(Техника!$G$1:$ABN$500,T$2,0),$A$53,INDEX(Техника!$H$1:$ABO$500,T$2,0),"Д")</f>
        <v>0</v>
      </c>
      <c r="U55" s="50">
        <f>SUMIFS(INDEX(Техника!$F$1:$ABM$500,U$2,0),Техника!$F$4:$ABM$4,"Часы",INDEX(Техника!$G$1:$ABN$500,U$2,0),$A$53,INDEX(Техника!$H$1:$ABO$500,U$2,0),"Д")</f>
        <v>0</v>
      </c>
      <c r="V55" s="50">
        <f>SUMIFS(INDEX(Техника!$F$1:$ABM$500,V$2,0),Техника!$F$4:$ABM$4,"Часы",INDEX(Техника!$G$1:$ABN$500,V$2,0),$A$53,INDEX(Техника!$H$1:$ABO$500,V$2,0),"Д")</f>
        <v>0</v>
      </c>
      <c r="W55" s="50">
        <f>SUMIFS(INDEX(Техника!$F$1:$ABM$500,W$2,0),Техника!$F$4:$ABM$4,"Часы",INDEX(Техника!$G$1:$ABN$500,W$2,0),$A$53,INDEX(Техника!$H$1:$ABO$500,W$2,0),"Д")</f>
        <v>0</v>
      </c>
      <c r="X55" s="50">
        <f>SUMIFS(INDEX(Техника!$F$1:$ABM$500,X$2,0),Техника!$F$4:$ABM$4,"Часы",INDEX(Техника!$G$1:$ABN$500,X$2,0),$A$53,INDEX(Техника!$H$1:$ABO$500,X$2,0),"Д")</f>
        <v>0</v>
      </c>
      <c r="Y55" s="50">
        <f>SUMIFS(INDEX(Техника!$F$1:$ABM$500,Y$2,0),Техника!$F$4:$ABM$4,"Часы",INDEX(Техника!$G$1:$ABN$500,Y$2,0),$A$53,INDEX(Техника!$H$1:$ABO$500,Y$2,0),"Д")</f>
        <v>0</v>
      </c>
      <c r="Z55" s="50">
        <f>SUMIFS(INDEX(Техника!$F$1:$ABM$500,Z$2,0),Техника!$F$4:$ABM$4,"Часы",INDEX(Техника!$G$1:$ABN$500,Z$2,0),$A$53,INDEX(Техника!$H$1:$ABO$500,Z$2,0),"Д")</f>
        <v>0</v>
      </c>
      <c r="AA55" s="50">
        <f>SUMIFS(INDEX(Техника!$F$1:$ABM$500,AA$2,0),Техника!$F$4:$ABM$4,"Часы",INDEX(Техника!$G$1:$ABN$500,AA$2,0),$A$53,INDEX(Техника!$H$1:$ABO$500,AA$2,0),"Д")</f>
        <v>0</v>
      </c>
      <c r="AB55" s="50">
        <f>SUMIFS(INDEX(Техника!$F$1:$ABM$500,AB$2,0),Техника!$F$4:$ABM$4,"Часы",INDEX(Техника!$G$1:$ABN$500,AB$2,0),$A$53,INDEX(Техника!$H$1:$ABO$500,AB$2,0),"Д")</f>
        <v>0</v>
      </c>
    </row>
    <row r="56" spans="1:28" hidden="1" outlineLevel="1" x14ac:dyDescent="0.3">
      <c r="A56" s="33" t="s">
        <v>276</v>
      </c>
      <c r="B56" s="34" t="s">
        <v>277</v>
      </c>
      <c r="C56" s="50">
        <f>SUMIFS(INDEX(Техника!$F$1:$ABM$500,C$2,0),Техника!$F$4:$ABM$4,"Часы",INDEX(Техника!$G$1:$ABN$500,C$2,0),$A$53,INDEX(Техника!$H$1:$ABO$500,C$2,0),"П")</f>
        <v>0</v>
      </c>
      <c r="D56" s="50">
        <f>SUMIFS(INDEX(Техника!$F$1:$ABM$500,D$2,0),Техника!$F$4:$ABM$4,"Часы",INDEX(Техника!$G$1:$ABN$500,D$2,0),$A$53,INDEX(Техника!$H$1:$ABO$500,D$2,0),"П")</f>
        <v>0</v>
      </c>
      <c r="E56" s="50">
        <f>SUMIFS(INDEX(Техника!$F$1:$ABM$500,E$2,0),Техника!$F$4:$ABM$4,"Часы",INDEX(Техника!$G$1:$ABN$500,E$2,0),$A$53,INDEX(Техника!$H$1:$ABO$500,E$2,0),"П")</f>
        <v>0</v>
      </c>
      <c r="F56" s="50">
        <f>SUMIFS(INDEX(Техника!$F$1:$ABM$500,F$2,0),Техника!$F$4:$ABM$4,"Часы",INDEX(Техника!$G$1:$ABN$500,F$2,0),$A$53,INDEX(Техника!$H$1:$ABO$500,F$2,0),"П")</f>
        <v>0</v>
      </c>
      <c r="G56" s="50">
        <f>SUMIFS(INDEX(Техника!$F$1:$ABM$500,G$2,0),Техника!$F$4:$ABM$4,"Часы",INDEX(Техника!$G$1:$ABN$500,G$2,0),$A$53,INDEX(Техника!$H$1:$ABO$500,G$2,0),"П")</f>
        <v>0</v>
      </c>
      <c r="H56" s="50">
        <f>SUMIFS(INDEX(Техника!$F$1:$ABM$500,H$2,0),Техника!$F$4:$ABM$4,"Часы",INDEX(Техника!$G$1:$ABN$500,H$2,0),$A$53,INDEX(Техника!$H$1:$ABO$500,H$2,0),"П")</f>
        <v>0</v>
      </c>
      <c r="I56" s="50">
        <f>SUMIFS(INDEX(Техника!$F$1:$ABM$500,I$2,0),Техника!$F$4:$ABM$4,"Часы",INDEX(Техника!$G$1:$ABN$500,I$2,0),$A$53,INDEX(Техника!$H$1:$ABO$500,I$2,0),"П")</f>
        <v>0</v>
      </c>
      <c r="J56" s="50">
        <f>SUMIFS(INDEX(Техника!$F$1:$ABM$500,J$2,0),Техника!$F$4:$ABM$4,"Часы",INDEX(Техника!$G$1:$ABN$500,J$2,0),$A$53,INDEX(Техника!$H$1:$ABO$500,J$2,0),"П")</f>
        <v>0</v>
      </c>
      <c r="K56" s="50">
        <f>SUMIFS(INDEX(Техника!$F$1:$ABM$500,K$2,0),Техника!$F$4:$ABM$4,"Часы",INDEX(Техника!$G$1:$ABN$500,K$2,0),$A$53,INDEX(Техника!$H$1:$ABO$500,K$2,0),"П")</f>
        <v>0</v>
      </c>
      <c r="L56" s="50">
        <f>SUMIFS(INDEX(Техника!$F$1:$ABM$500,L$2,0),Техника!$F$4:$ABM$4,"Часы",INDEX(Техника!$G$1:$ABN$500,L$2,0),$A$53,INDEX(Техника!$H$1:$ABO$500,L$2,0),"П")</f>
        <v>0</v>
      </c>
      <c r="M56" s="50">
        <f>SUMIFS(INDEX(Техника!$F$1:$ABM$500,M$2,0),Техника!$F$4:$ABM$4,"Часы",INDEX(Техника!$G$1:$ABN$500,M$2,0),$A$53,INDEX(Техника!$H$1:$ABO$500,M$2,0),"П")</f>
        <v>0</v>
      </c>
      <c r="N56" s="50">
        <f>SUMIFS(INDEX(Техника!$F$1:$ABM$500,N$2,0),Техника!$F$4:$ABM$4,"Часы",INDEX(Техника!$G$1:$ABN$500,N$2,0),$A$53,INDEX(Техника!$H$1:$ABO$500,N$2,0),"П")</f>
        <v>0</v>
      </c>
      <c r="O56" s="50">
        <f>SUMIFS(INDEX(Техника!$F$1:$ABM$500,O$2,0),Техника!$F$4:$ABM$4,"Часы",INDEX(Техника!$G$1:$ABN$500,O$2,0),$A$53,INDEX(Техника!$H$1:$ABO$500,O$2,0),"П")</f>
        <v>0</v>
      </c>
      <c r="P56" s="50">
        <f>SUMIFS(INDEX(Техника!$F$1:$ABM$500,P$2,0),Техника!$F$4:$ABM$4,"Часы",INDEX(Техника!$G$1:$ABN$500,P$2,0),$A$53,INDEX(Техника!$H$1:$ABO$500,P$2,0),"П")</f>
        <v>0</v>
      </c>
      <c r="Q56" s="50">
        <f>SUMIFS(INDEX(Техника!$F$1:$ABM$500,Q$2,0),Техника!$F$4:$ABM$4,"Часы",INDEX(Техника!$G$1:$ABN$500,Q$2,0),$A$53,INDEX(Техника!$H$1:$ABO$500,Q$2,0),"П")</f>
        <v>0</v>
      </c>
      <c r="R56" s="50">
        <f>SUMIFS(INDEX(Техника!$F$1:$ABM$500,R$2,0),Техника!$F$4:$ABM$4,"Часы",INDEX(Техника!$G$1:$ABN$500,R$2,0),$A$53,INDEX(Техника!$H$1:$ABO$500,R$2,0),"П")</f>
        <v>0</v>
      </c>
      <c r="S56" s="50">
        <f>SUMIFS(INDEX(Техника!$F$1:$ABM$500,S$2,0),Техника!$F$4:$ABM$4,"Часы",INDEX(Техника!$G$1:$ABN$500,S$2,0),$A$53,INDEX(Техника!$H$1:$ABO$500,S$2,0),"П")</f>
        <v>0</v>
      </c>
      <c r="T56" s="50">
        <f>SUMIFS(INDEX(Техника!$F$1:$ABM$500,T$2,0),Техника!$F$4:$ABM$4,"Часы",INDEX(Техника!$G$1:$ABN$500,T$2,0),$A$53,INDEX(Техника!$H$1:$ABO$500,T$2,0),"П")</f>
        <v>0</v>
      </c>
      <c r="U56" s="50">
        <f>SUMIFS(INDEX(Техника!$F$1:$ABM$500,U$2,0),Техника!$F$4:$ABM$4,"Часы",INDEX(Техника!$G$1:$ABN$500,U$2,0),$A$53,INDEX(Техника!$H$1:$ABO$500,U$2,0),"П")</f>
        <v>0</v>
      </c>
      <c r="V56" s="50">
        <f>SUMIFS(INDEX(Техника!$F$1:$ABM$500,V$2,0),Техника!$F$4:$ABM$4,"Часы",INDEX(Техника!$G$1:$ABN$500,V$2,0),$A$53,INDEX(Техника!$H$1:$ABO$500,V$2,0),"П")</f>
        <v>0</v>
      </c>
      <c r="W56" s="50">
        <f>SUMIFS(INDEX(Техника!$F$1:$ABM$500,W$2,0),Техника!$F$4:$ABM$4,"Часы",INDEX(Техника!$G$1:$ABN$500,W$2,0),$A$53,INDEX(Техника!$H$1:$ABO$500,W$2,0),"П")</f>
        <v>0</v>
      </c>
      <c r="X56" s="50">
        <f>SUMIFS(INDEX(Техника!$F$1:$ABM$500,X$2,0),Техника!$F$4:$ABM$4,"Часы",INDEX(Техника!$G$1:$ABN$500,X$2,0),$A$53,INDEX(Техника!$H$1:$ABO$500,X$2,0),"П")</f>
        <v>0</v>
      </c>
      <c r="Y56" s="50">
        <f>SUMIFS(INDEX(Техника!$F$1:$ABM$500,Y$2,0),Техника!$F$4:$ABM$4,"Часы",INDEX(Техника!$G$1:$ABN$500,Y$2,0),$A$53,INDEX(Техника!$H$1:$ABO$500,Y$2,0),"П")</f>
        <v>0</v>
      </c>
      <c r="Z56" s="50">
        <f>SUMIFS(INDEX(Техника!$F$1:$ABM$500,Z$2,0),Техника!$F$4:$ABM$4,"Часы",INDEX(Техника!$G$1:$ABN$500,Z$2,0),$A$53,INDEX(Техника!$H$1:$ABO$500,Z$2,0),"П")</f>
        <v>0</v>
      </c>
      <c r="AA56" s="50">
        <f>SUMIFS(INDEX(Техника!$F$1:$ABM$500,AA$2,0),Техника!$F$4:$ABM$4,"Часы",INDEX(Техника!$G$1:$ABN$500,AA$2,0),$A$53,INDEX(Техника!$H$1:$ABO$500,AA$2,0),"П")</f>
        <v>0</v>
      </c>
      <c r="AB56" s="50">
        <f>SUMIFS(INDEX(Техника!$F$1:$ABM$500,AB$2,0),Техника!$F$4:$ABM$4,"Часы",INDEX(Техника!$G$1:$ABN$500,AB$2,0),$A$53,INDEX(Техника!$H$1:$ABO$500,AB$2,0),"П")</f>
        <v>0</v>
      </c>
    </row>
    <row r="57" spans="1:28" hidden="1" outlineLevel="1" x14ac:dyDescent="0.3">
      <c r="A57" s="33" t="s">
        <v>243</v>
      </c>
      <c r="B57" s="34" t="s">
        <v>278</v>
      </c>
      <c r="C57" s="50">
        <f>SUMIFS(INDEX(Техника!$F$1:$ABM$500,C$2,0),Техника!$F$4:$ABM$4,"Часы",INDEX(Техника!$G$1:$ABN$500,C$2,0),$A$53,INDEX(Техника!$H$1:$ABO$500,C$2,0),"Л")</f>
        <v>0</v>
      </c>
      <c r="D57" s="50">
        <f>SUMIFS(INDEX(Техника!$F$1:$ABM$500,D$2,0),Техника!$F$4:$ABM$4,"Часы",INDEX(Техника!$G$1:$ABN$500,D$2,0),$A$53,INDEX(Техника!$H$1:$ABO$500,D$2,0),"Л")</f>
        <v>0</v>
      </c>
      <c r="E57" s="50">
        <f>SUMIFS(INDEX(Техника!$F$1:$ABM$500,E$2,0),Техника!$F$4:$ABM$4,"Часы",INDEX(Техника!$G$1:$ABN$500,E$2,0),$A$53,INDEX(Техника!$H$1:$ABO$500,E$2,0),"Л")</f>
        <v>0</v>
      </c>
      <c r="F57" s="50">
        <f>SUMIFS(INDEX(Техника!$F$1:$ABM$500,F$2,0),Техника!$F$4:$ABM$4,"Часы",INDEX(Техника!$G$1:$ABN$500,F$2,0),$A$53,INDEX(Техника!$H$1:$ABO$500,F$2,0),"Л")</f>
        <v>0</v>
      </c>
      <c r="G57" s="50">
        <f>SUMIFS(INDEX(Техника!$F$1:$ABM$500,G$2,0),Техника!$F$4:$ABM$4,"Часы",INDEX(Техника!$G$1:$ABN$500,G$2,0),$A$53,INDEX(Техника!$H$1:$ABO$500,G$2,0),"Л")</f>
        <v>0</v>
      </c>
      <c r="H57" s="50">
        <f>SUMIFS(INDEX(Техника!$F$1:$ABM$500,H$2,0),Техника!$F$4:$ABM$4,"Часы",INDEX(Техника!$G$1:$ABN$500,H$2,0),$A$53,INDEX(Техника!$H$1:$ABO$500,H$2,0),"Л")</f>
        <v>0</v>
      </c>
      <c r="I57" s="50">
        <f>SUMIFS(INDEX(Техника!$F$1:$ABM$500,I$2,0),Техника!$F$4:$ABM$4,"Часы",INDEX(Техника!$G$1:$ABN$500,I$2,0),$A$53,INDEX(Техника!$H$1:$ABO$500,I$2,0),"Л")</f>
        <v>0</v>
      </c>
      <c r="J57" s="50">
        <f>SUMIFS(INDEX(Техника!$F$1:$ABM$500,J$2,0),Техника!$F$4:$ABM$4,"Часы",INDEX(Техника!$G$1:$ABN$500,J$2,0),$A$53,INDEX(Техника!$H$1:$ABO$500,J$2,0),"Л")</f>
        <v>0</v>
      </c>
      <c r="K57" s="50">
        <f>SUMIFS(INDEX(Техника!$F$1:$ABM$500,K$2,0),Техника!$F$4:$ABM$4,"Часы",INDEX(Техника!$G$1:$ABN$500,K$2,0),$A$53,INDEX(Техника!$H$1:$ABO$500,K$2,0),"Л")</f>
        <v>0</v>
      </c>
      <c r="L57" s="50">
        <f>SUMIFS(INDEX(Техника!$F$1:$ABM$500,L$2,0),Техника!$F$4:$ABM$4,"Часы",INDEX(Техника!$G$1:$ABN$500,L$2,0),$A$53,INDEX(Техника!$H$1:$ABO$500,L$2,0),"Л")</f>
        <v>0</v>
      </c>
      <c r="M57" s="50">
        <f>SUMIFS(INDEX(Техника!$F$1:$ABM$500,M$2,0),Техника!$F$4:$ABM$4,"Часы",INDEX(Техника!$G$1:$ABN$500,M$2,0),$A$53,INDEX(Техника!$H$1:$ABO$500,M$2,0),"Л")</f>
        <v>0</v>
      </c>
      <c r="N57" s="50">
        <f>SUMIFS(INDEX(Техника!$F$1:$ABM$500,N$2,0),Техника!$F$4:$ABM$4,"Часы",INDEX(Техника!$G$1:$ABN$500,N$2,0),$A$53,INDEX(Техника!$H$1:$ABO$500,N$2,0),"Л")</f>
        <v>0</v>
      </c>
      <c r="O57" s="50">
        <f>SUMIFS(INDEX(Техника!$F$1:$ABM$500,O$2,0),Техника!$F$4:$ABM$4,"Часы",INDEX(Техника!$G$1:$ABN$500,O$2,0),$A$53,INDEX(Техника!$H$1:$ABO$500,O$2,0),"Л")</f>
        <v>0</v>
      </c>
      <c r="P57" s="50">
        <f>SUMIFS(INDEX(Техника!$F$1:$ABM$500,P$2,0),Техника!$F$4:$ABM$4,"Часы",INDEX(Техника!$G$1:$ABN$500,P$2,0),$A$53,INDEX(Техника!$H$1:$ABO$500,P$2,0),"Л")</f>
        <v>0</v>
      </c>
      <c r="Q57" s="50">
        <f>SUMIFS(INDEX(Техника!$F$1:$ABM$500,Q$2,0),Техника!$F$4:$ABM$4,"Часы",INDEX(Техника!$G$1:$ABN$500,Q$2,0),$A$53,INDEX(Техника!$H$1:$ABO$500,Q$2,0),"Л")</f>
        <v>0</v>
      </c>
      <c r="R57" s="50">
        <f>SUMIFS(INDEX(Техника!$F$1:$ABM$500,R$2,0),Техника!$F$4:$ABM$4,"Часы",INDEX(Техника!$G$1:$ABN$500,R$2,0),$A$53,INDEX(Техника!$H$1:$ABO$500,R$2,0),"Л")</f>
        <v>0</v>
      </c>
      <c r="S57" s="50">
        <f>SUMIFS(INDEX(Техника!$F$1:$ABM$500,S$2,0),Техника!$F$4:$ABM$4,"Часы",INDEX(Техника!$G$1:$ABN$500,S$2,0),$A$53,INDEX(Техника!$H$1:$ABO$500,S$2,0),"Л")</f>
        <v>0</v>
      </c>
      <c r="T57" s="50">
        <f>SUMIFS(INDEX(Техника!$F$1:$ABM$500,T$2,0),Техника!$F$4:$ABM$4,"Часы",INDEX(Техника!$G$1:$ABN$500,T$2,0),$A$53,INDEX(Техника!$H$1:$ABO$500,T$2,0),"Л")</f>
        <v>0</v>
      </c>
      <c r="U57" s="50">
        <f>SUMIFS(INDEX(Техника!$F$1:$ABM$500,U$2,0),Техника!$F$4:$ABM$4,"Часы",INDEX(Техника!$G$1:$ABN$500,U$2,0),$A$53,INDEX(Техника!$H$1:$ABO$500,U$2,0),"Л")</f>
        <v>0</v>
      </c>
      <c r="V57" s="50">
        <f>SUMIFS(INDEX(Техника!$F$1:$ABM$500,V$2,0),Техника!$F$4:$ABM$4,"Часы",INDEX(Техника!$G$1:$ABN$500,V$2,0),$A$53,INDEX(Техника!$H$1:$ABO$500,V$2,0),"Л")</f>
        <v>0</v>
      </c>
      <c r="W57" s="50">
        <f>SUMIFS(INDEX(Техника!$F$1:$ABM$500,W$2,0),Техника!$F$4:$ABM$4,"Часы",INDEX(Техника!$G$1:$ABN$500,W$2,0),$A$53,INDEX(Техника!$H$1:$ABO$500,W$2,0),"Л")</f>
        <v>0</v>
      </c>
      <c r="X57" s="50">
        <f>SUMIFS(INDEX(Техника!$F$1:$ABM$500,X$2,0),Техника!$F$4:$ABM$4,"Часы",INDEX(Техника!$G$1:$ABN$500,X$2,0),$A$53,INDEX(Техника!$H$1:$ABO$500,X$2,0),"Л")</f>
        <v>0</v>
      </c>
      <c r="Y57" s="50">
        <f>SUMIFS(INDEX(Техника!$F$1:$ABM$500,Y$2,0),Техника!$F$4:$ABM$4,"Часы",INDEX(Техника!$G$1:$ABN$500,Y$2,0),$A$53,INDEX(Техника!$H$1:$ABO$500,Y$2,0),"Л")</f>
        <v>0</v>
      </c>
      <c r="Z57" s="50">
        <f>SUMIFS(INDEX(Техника!$F$1:$ABM$500,Z$2,0),Техника!$F$4:$ABM$4,"Часы",INDEX(Техника!$G$1:$ABN$500,Z$2,0),$A$53,INDEX(Техника!$H$1:$ABO$500,Z$2,0),"Л")</f>
        <v>0</v>
      </c>
      <c r="AA57" s="50">
        <f>SUMIFS(INDEX(Техника!$F$1:$ABM$500,AA$2,0),Техника!$F$4:$ABM$4,"Часы",INDEX(Техника!$G$1:$ABN$500,AA$2,0),$A$53,INDEX(Техника!$H$1:$ABO$500,AA$2,0),"Л")</f>
        <v>0</v>
      </c>
      <c r="AB57" s="50">
        <f>SUMIFS(INDEX(Техника!$F$1:$ABM$500,AB$2,0),Техника!$F$4:$ABM$4,"Часы",INDEX(Техника!$G$1:$ABN$500,AB$2,0),$A$53,INDEX(Техника!$H$1:$ABO$500,AB$2,0),"Л")</f>
        <v>0</v>
      </c>
    </row>
    <row r="58" spans="1:28" hidden="1" outlineLevel="1" x14ac:dyDescent="0.3">
      <c r="A58" s="33" t="s">
        <v>245</v>
      </c>
      <c r="B58" s="34" t="s">
        <v>279</v>
      </c>
      <c r="C58" s="50">
        <f>SUMIFS(INDEX(Техника!$F$1:$ABM$500,C$2,0),Техника!$F$4:$ABM$4,"Часы",INDEX(Техника!$G$1:$ABN$500,C$2,0),$A$53,INDEX(Техника!$H$1:$ABO$500,C$2,0),"З")</f>
        <v>0</v>
      </c>
      <c r="D58" s="50">
        <f>SUMIFS(INDEX(Техника!$F$1:$ABM$500,D$2,0),Техника!$F$4:$ABM$4,"Часы",INDEX(Техника!$G$1:$ABN$500,D$2,0),$A$53,INDEX(Техника!$H$1:$ABO$500,D$2,0),"З")</f>
        <v>0</v>
      </c>
      <c r="E58" s="50">
        <f>SUMIFS(INDEX(Техника!$F$1:$ABM$500,E$2,0),Техника!$F$4:$ABM$4,"Часы",INDEX(Техника!$G$1:$ABN$500,E$2,0),$A$53,INDEX(Техника!$H$1:$ABO$500,E$2,0),"З")</f>
        <v>0</v>
      </c>
      <c r="F58" s="50">
        <f>SUMIFS(INDEX(Техника!$F$1:$ABM$500,F$2,0),Техника!$F$4:$ABM$4,"Часы",INDEX(Техника!$G$1:$ABN$500,F$2,0),$A$53,INDEX(Техника!$H$1:$ABO$500,F$2,0),"З")</f>
        <v>0</v>
      </c>
      <c r="G58" s="50">
        <f>SUMIFS(INDEX(Техника!$F$1:$ABM$500,G$2,0),Техника!$F$4:$ABM$4,"Часы",INDEX(Техника!$G$1:$ABN$500,G$2,0),$A$53,INDEX(Техника!$H$1:$ABO$500,G$2,0),"З")</f>
        <v>0</v>
      </c>
      <c r="H58" s="50">
        <f>SUMIFS(INDEX(Техника!$F$1:$ABM$500,H$2,0),Техника!$F$4:$ABM$4,"Часы",INDEX(Техника!$G$1:$ABN$500,H$2,0),$A$53,INDEX(Техника!$H$1:$ABO$500,H$2,0),"З")</f>
        <v>0</v>
      </c>
      <c r="I58" s="50">
        <f>SUMIFS(INDEX(Техника!$F$1:$ABM$500,I$2,0),Техника!$F$4:$ABM$4,"Часы",INDEX(Техника!$G$1:$ABN$500,I$2,0),$A$53,INDEX(Техника!$H$1:$ABO$500,I$2,0),"З")</f>
        <v>0</v>
      </c>
      <c r="J58" s="50">
        <f>SUMIFS(INDEX(Техника!$F$1:$ABM$500,J$2,0),Техника!$F$4:$ABM$4,"Часы",INDEX(Техника!$G$1:$ABN$500,J$2,0),$A$53,INDEX(Техника!$H$1:$ABO$500,J$2,0),"З")</f>
        <v>0</v>
      </c>
      <c r="K58" s="50">
        <f>SUMIFS(INDEX(Техника!$F$1:$ABM$500,K$2,0),Техника!$F$4:$ABM$4,"Часы",INDEX(Техника!$G$1:$ABN$500,K$2,0),$A$53,INDEX(Техника!$H$1:$ABO$500,K$2,0),"З")</f>
        <v>0</v>
      </c>
      <c r="L58" s="50">
        <f>SUMIFS(INDEX(Техника!$F$1:$ABM$500,L$2,0),Техника!$F$4:$ABM$4,"Часы",INDEX(Техника!$G$1:$ABN$500,L$2,0),$A$53,INDEX(Техника!$H$1:$ABO$500,L$2,0),"З")</f>
        <v>0</v>
      </c>
      <c r="M58" s="50">
        <f>SUMIFS(INDEX(Техника!$F$1:$ABM$500,M$2,0),Техника!$F$4:$ABM$4,"Часы",INDEX(Техника!$G$1:$ABN$500,M$2,0),$A$53,INDEX(Техника!$H$1:$ABO$500,M$2,0),"З")</f>
        <v>0</v>
      </c>
      <c r="N58" s="50">
        <f>SUMIFS(INDEX(Техника!$F$1:$ABM$500,N$2,0),Техника!$F$4:$ABM$4,"Часы",INDEX(Техника!$G$1:$ABN$500,N$2,0),$A$53,INDEX(Техника!$H$1:$ABO$500,N$2,0),"З")</f>
        <v>0</v>
      </c>
      <c r="O58" s="50">
        <f>SUMIFS(INDEX(Техника!$F$1:$ABM$500,O$2,0),Техника!$F$4:$ABM$4,"Часы",INDEX(Техника!$G$1:$ABN$500,O$2,0),$A$53,INDEX(Техника!$H$1:$ABO$500,O$2,0),"З")</f>
        <v>0</v>
      </c>
      <c r="P58" s="50">
        <f>SUMIFS(INDEX(Техника!$F$1:$ABM$500,P$2,0),Техника!$F$4:$ABM$4,"Часы",INDEX(Техника!$G$1:$ABN$500,P$2,0),$A$53,INDEX(Техника!$H$1:$ABO$500,P$2,0),"З")</f>
        <v>0</v>
      </c>
      <c r="Q58" s="50">
        <f>SUMIFS(INDEX(Техника!$F$1:$ABM$500,Q$2,0),Техника!$F$4:$ABM$4,"Часы",INDEX(Техника!$G$1:$ABN$500,Q$2,0),$A$53,INDEX(Техника!$H$1:$ABO$500,Q$2,0),"З")</f>
        <v>0</v>
      </c>
      <c r="R58" s="50">
        <f>SUMIFS(INDEX(Техника!$F$1:$ABM$500,R$2,0),Техника!$F$4:$ABM$4,"Часы",INDEX(Техника!$G$1:$ABN$500,R$2,0),$A$53,INDEX(Техника!$H$1:$ABO$500,R$2,0),"З")</f>
        <v>0</v>
      </c>
      <c r="S58" s="50">
        <f>SUMIFS(INDEX(Техника!$F$1:$ABM$500,S$2,0),Техника!$F$4:$ABM$4,"Часы",INDEX(Техника!$G$1:$ABN$500,S$2,0),$A$53,INDEX(Техника!$H$1:$ABO$500,S$2,0),"З")</f>
        <v>0</v>
      </c>
      <c r="T58" s="50">
        <f>SUMIFS(INDEX(Техника!$F$1:$ABM$500,T$2,0),Техника!$F$4:$ABM$4,"Часы",INDEX(Техника!$G$1:$ABN$500,T$2,0),$A$53,INDEX(Техника!$H$1:$ABO$500,T$2,0),"З")</f>
        <v>0</v>
      </c>
      <c r="U58" s="50">
        <f>SUMIFS(INDEX(Техника!$F$1:$ABM$500,U$2,0),Техника!$F$4:$ABM$4,"Часы",INDEX(Техника!$G$1:$ABN$500,U$2,0),$A$53,INDEX(Техника!$H$1:$ABO$500,U$2,0),"З")</f>
        <v>0</v>
      </c>
      <c r="V58" s="50">
        <f>SUMIFS(INDEX(Техника!$F$1:$ABM$500,V$2,0),Техника!$F$4:$ABM$4,"Часы",INDEX(Техника!$G$1:$ABN$500,V$2,0),$A$53,INDEX(Техника!$H$1:$ABO$500,V$2,0),"З")</f>
        <v>0</v>
      </c>
      <c r="W58" s="50">
        <f>SUMIFS(INDEX(Техника!$F$1:$ABM$500,W$2,0),Техника!$F$4:$ABM$4,"Часы",INDEX(Техника!$G$1:$ABN$500,W$2,0),$A$53,INDEX(Техника!$H$1:$ABO$500,W$2,0),"З")</f>
        <v>0</v>
      </c>
      <c r="X58" s="50">
        <f>SUMIFS(INDEX(Техника!$F$1:$ABM$500,X$2,0),Техника!$F$4:$ABM$4,"Часы",INDEX(Техника!$G$1:$ABN$500,X$2,0),$A$53,INDEX(Техника!$H$1:$ABO$500,X$2,0),"З")</f>
        <v>0</v>
      </c>
      <c r="Y58" s="50">
        <f>SUMIFS(INDEX(Техника!$F$1:$ABM$500,Y$2,0),Техника!$F$4:$ABM$4,"Часы",INDEX(Техника!$G$1:$ABN$500,Y$2,0),$A$53,INDEX(Техника!$H$1:$ABO$500,Y$2,0),"З")</f>
        <v>0</v>
      </c>
      <c r="Z58" s="50">
        <f>SUMIFS(INDEX(Техника!$F$1:$ABM$500,Z$2,0),Техника!$F$4:$ABM$4,"Часы",INDEX(Техника!$G$1:$ABN$500,Z$2,0),$A$53,INDEX(Техника!$H$1:$ABO$500,Z$2,0),"З")</f>
        <v>0</v>
      </c>
      <c r="AA58" s="50">
        <f>SUMIFS(INDEX(Техника!$F$1:$ABM$500,AA$2,0),Техника!$F$4:$ABM$4,"Часы",INDEX(Техника!$G$1:$ABN$500,AA$2,0),$A$53,INDEX(Техника!$H$1:$ABO$500,AA$2,0),"З")</f>
        <v>0</v>
      </c>
      <c r="AB58" s="50">
        <f>SUMIFS(INDEX(Техника!$F$1:$ABM$500,AB$2,0),Техника!$F$4:$ABM$4,"Часы",INDEX(Техника!$G$1:$ABN$500,AB$2,0),$A$53,INDEX(Техника!$H$1:$ABO$500,AB$2,0),"З")</f>
        <v>0</v>
      </c>
    </row>
    <row r="59" spans="1:28" ht="7.95" customHeight="1" x14ac:dyDescent="0.3">
      <c r="A59" s="38"/>
      <c r="B59" s="39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 spans="1:28" ht="25.05" customHeight="1" collapsed="1" x14ac:dyDescent="0.3">
      <c r="A60" s="32">
        <v>9</v>
      </c>
      <c r="B60" s="32" t="s">
        <v>10</v>
      </c>
      <c r="C60" s="49">
        <f>SUM(C61:C65)</f>
        <v>0</v>
      </c>
      <c r="D60" s="49">
        <f>SUM(D61:D65)</f>
        <v>0</v>
      </c>
      <c r="E60" s="49">
        <f>SUM(E61:E65)</f>
        <v>0</v>
      </c>
      <c r="F60" s="49">
        <f>SUM(F61:F65)</f>
        <v>0</v>
      </c>
      <c r="G60" s="49">
        <f>SUM(G61:G65)</f>
        <v>0</v>
      </c>
      <c r="H60" s="49">
        <f>SUM(H61:H65)</f>
        <v>0</v>
      </c>
      <c r="I60" s="49">
        <f>SUM(I61:I65)</f>
        <v>0</v>
      </c>
      <c r="J60" s="49">
        <f>SUM(J61:J65)</f>
        <v>0</v>
      </c>
      <c r="K60" s="49">
        <f>SUM(K61:K65)</f>
        <v>0</v>
      </c>
      <c r="L60" s="49">
        <f>SUM(L61:L65)</f>
        <v>0</v>
      </c>
      <c r="M60" s="49">
        <f>SUM(M61:M65)</f>
        <v>0</v>
      </c>
      <c r="N60" s="49">
        <f>SUM(N61:N65)</f>
        <v>0</v>
      </c>
      <c r="O60" s="49">
        <f>SUM(O61:O65)</f>
        <v>0</v>
      </c>
      <c r="P60" s="49">
        <f>SUM(P61:P65)</f>
        <v>0</v>
      </c>
      <c r="Q60" s="49">
        <f>SUM(Q61:Q65)</f>
        <v>0</v>
      </c>
      <c r="R60" s="49">
        <f>SUM(R61:R65)</f>
        <v>0</v>
      </c>
      <c r="S60" s="49">
        <f>SUM(S61:S65)</f>
        <v>0</v>
      </c>
      <c r="T60" s="49">
        <f>SUM(T61:T65)</f>
        <v>0</v>
      </c>
      <c r="U60" s="49">
        <f>SUM(U61:U65)</f>
        <v>0</v>
      </c>
      <c r="V60" s="49">
        <f>SUM(V61:V65)</f>
        <v>0</v>
      </c>
      <c r="W60" s="49">
        <f>SUM(W61:W65)</f>
        <v>0</v>
      </c>
      <c r="X60" s="49">
        <f>SUM(X61:X65)</f>
        <v>0</v>
      </c>
      <c r="Y60" s="49">
        <f>SUM(Y61:Y65)</f>
        <v>0</v>
      </c>
      <c r="Z60" s="49">
        <f>SUM(Z61:Z65)</f>
        <v>0</v>
      </c>
      <c r="AA60" s="49">
        <f>SUM(AA61:AA65)</f>
        <v>0</v>
      </c>
      <c r="AB60" s="49">
        <f>SUM(AB61:AB65)</f>
        <v>0</v>
      </c>
    </row>
    <row r="61" spans="1:28" hidden="1" outlineLevel="1" x14ac:dyDescent="0.3">
      <c r="A61" s="33" t="s">
        <v>246</v>
      </c>
      <c r="B61" s="34" t="s">
        <v>274</v>
      </c>
      <c r="C61" s="50">
        <f>SUMIFS(INDEX(Техника!$F$1:$ABM$500,C$2,0),Техника!$F$4:$ABM$4,"Часы",INDEX(Техника!$G$1:$ABN$500,C$2,0),$A$60,INDEX(Техника!$H$1:$ABO$500,C$2,0),"М")</f>
        <v>0</v>
      </c>
      <c r="D61" s="50">
        <f>SUMIFS(INDEX(Техника!$F$1:$ABM$500,D$2,0),Техника!$F$4:$ABM$4,"Часы",INDEX(Техника!$G$1:$ABN$500,D$2,0),$A$60,INDEX(Техника!$H$1:$ABO$500,D$2,0),"М")</f>
        <v>0</v>
      </c>
      <c r="E61" s="50">
        <f>SUMIFS(INDEX(Техника!$F$1:$ABM$500,E$2,0),Техника!$F$4:$ABM$4,"Часы",INDEX(Техника!$G$1:$ABN$500,E$2,0),$A$60,INDEX(Техника!$H$1:$ABO$500,E$2,0),"М")</f>
        <v>0</v>
      </c>
      <c r="F61" s="50">
        <f>SUMIFS(INDEX(Техника!$F$1:$ABM$500,F$2,0),Техника!$F$4:$ABM$4,"Часы",INDEX(Техника!$G$1:$ABN$500,F$2,0),$A$60,INDEX(Техника!$H$1:$ABO$500,F$2,0),"М")</f>
        <v>0</v>
      </c>
      <c r="G61" s="50">
        <f>SUMIFS(INDEX(Техника!$F$1:$ABM$500,G$2,0),Техника!$F$4:$ABM$4,"Часы",INDEX(Техника!$G$1:$ABN$500,G$2,0),$A$60,INDEX(Техника!$H$1:$ABO$500,G$2,0),"М")</f>
        <v>0</v>
      </c>
      <c r="H61" s="50">
        <f>SUMIFS(INDEX(Техника!$F$1:$ABM$500,H$2,0),Техника!$F$4:$ABM$4,"Часы",INDEX(Техника!$G$1:$ABN$500,H$2,0),$A$60,INDEX(Техника!$H$1:$ABO$500,H$2,0),"М")</f>
        <v>0</v>
      </c>
      <c r="I61" s="50">
        <f>SUMIFS(INDEX(Техника!$F$1:$ABM$500,I$2,0),Техника!$F$4:$ABM$4,"Часы",INDEX(Техника!$G$1:$ABN$500,I$2,0),$A$60,INDEX(Техника!$H$1:$ABO$500,I$2,0),"М")</f>
        <v>0</v>
      </c>
      <c r="J61" s="50">
        <f>SUMIFS(INDEX(Техника!$F$1:$ABM$500,J$2,0),Техника!$F$4:$ABM$4,"Часы",INDEX(Техника!$G$1:$ABN$500,J$2,0),$A$60,INDEX(Техника!$H$1:$ABO$500,J$2,0),"М")</f>
        <v>0</v>
      </c>
      <c r="K61" s="50">
        <f>SUMIFS(INDEX(Техника!$F$1:$ABM$500,K$2,0),Техника!$F$4:$ABM$4,"Часы",INDEX(Техника!$G$1:$ABN$500,K$2,0),$A$60,INDEX(Техника!$H$1:$ABO$500,K$2,0),"М")</f>
        <v>0</v>
      </c>
      <c r="L61" s="50">
        <f>SUMIFS(INDEX(Техника!$F$1:$ABM$500,L$2,0),Техника!$F$4:$ABM$4,"Часы",INDEX(Техника!$G$1:$ABN$500,L$2,0),$A$60,INDEX(Техника!$H$1:$ABO$500,L$2,0),"М")</f>
        <v>0</v>
      </c>
      <c r="M61" s="50">
        <f>SUMIFS(INDEX(Техника!$F$1:$ABM$500,M$2,0),Техника!$F$4:$ABM$4,"Часы",INDEX(Техника!$G$1:$ABN$500,M$2,0),$A$60,INDEX(Техника!$H$1:$ABO$500,M$2,0),"М")</f>
        <v>0</v>
      </c>
      <c r="N61" s="50">
        <f>SUMIFS(INDEX(Техника!$F$1:$ABM$500,N$2,0),Техника!$F$4:$ABM$4,"Часы",INDEX(Техника!$G$1:$ABN$500,N$2,0),$A$60,INDEX(Техника!$H$1:$ABO$500,N$2,0),"М")</f>
        <v>0</v>
      </c>
      <c r="O61" s="50">
        <f>SUMIFS(INDEX(Техника!$F$1:$ABM$500,O$2,0),Техника!$F$4:$ABM$4,"Часы",INDEX(Техника!$G$1:$ABN$500,O$2,0),$A$60,INDEX(Техника!$H$1:$ABO$500,O$2,0),"М")</f>
        <v>0</v>
      </c>
      <c r="P61" s="50">
        <f>SUMIFS(INDEX(Техника!$F$1:$ABM$500,P$2,0),Техника!$F$4:$ABM$4,"Часы",INDEX(Техника!$G$1:$ABN$500,P$2,0),$A$60,INDEX(Техника!$H$1:$ABO$500,P$2,0),"М")</f>
        <v>0</v>
      </c>
      <c r="Q61" s="50">
        <f>SUMIFS(INDEX(Техника!$F$1:$ABM$500,Q$2,0),Техника!$F$4:$ABM$4,"Часы",INDEX(Техника!$G$1:$ABN$500,Q$2,0),$A$60,INDEX(Техника!$H$1:$ABO$500,Q$2,0),"М")</f>
        <v>0</v>
      </c>
      <c r="R61" s="50">
        <f>SUMIFS(INDEX(Техника!$F$1:$ABM$500,R$2,0),Техника!$F$4:$ABM$4,"Часы",INDEX(Техника!$G$1:$ABN$500,R$2,0),$A$60,INDEX(Техника!$H$1:$ABO$500,R$2,0),"М")</f>
        <v>0</v>
      </c>
      <c r="S61" s="50">
        <f>SUMIFS(INDEX(Техника!$F$1:$ABM$500,S$2,0),Техника!$F$4:$ABM$4,"Часы",INDEX(Техника!$G$1:$ABN$500,S$2,0),$A$60,INDEX(Техника!$H$1:$ABO$500,S$2,0),"М")</f>
        <v>0</v>
      </c>
      <c r="T61" s="50">
        <f>SUMIFS(INDEX(Техника!$F$1:$ABM$500,T$2,0),Техника!$F$4:$ABM$4,"Часы",INDEX(Техника!$G$1:$ABN$500,T$2,0),$A$60,INDEX(Техника!$H$1:$ABO$500,T$2,0),"М")</f>
        <v>0</v>
      </c>
      <c r="U61" s="50">
        <f>SUMIFS(INDEX(Техника!$F$1:$ABM$500,U$2,0),Техника!$F$4:$ABM$4,"Часы",INDEX(Техника!$G$1:$ABN$500,U$2,0),$A$60,INDEX(Техника!$H$1:$ABO$500,U$2,0),"М")</f>
        <v>0</v>
      </c>
      <c r="V61" s="50">
        <f>SUMIFS(INDEX(Техника!$F$1:$ABM$500,V$2,0),Техника!$F$4:$ABM$4,"Часы",INDEX(Техника!$G$1:$ABN$500,V$2,0),$A$60,INDEX(Техника!$H$1:$ABO$500,V$2,0),"М")</f>
        <v>0</v>
      </c>
      <c r="W61" s="50">
        <f>SUMIFS(INDEX(Техника!$F$1:$ABM$500,W$2,0),Техника!$F$4:$ABM$4,"Часы",INDEX(Техника!$G$1:$ABN$500,W$2,0),$A$60,INDEX(Техника!$H$1:$ABO$500,W$2,0),"М")</f>
        <v>0</v>
      </c>
      <c r="X61" s="50">
        <f>SUMIFS(INDEX(Техника!$F$1:$ABM$500,X$2,0),Техника!$F$4:$ABM$4,"Часы",INDEX(Техника!$G$1:$ABN$500,X$2,0),$A$60,INDEX(Техника!$H$1:$ABO$500,X$2,0),"М")</f>
        <v>0</v>
      </c>
      <c r="Y61" s="50">
        <f>SUMIFS(INDEX(Техника!$F$1:$ABM$500,Y$2,0),Техника!$F$4:$ABM$4,"Часы",INDEX(Техника!$G$1:$ABN$500,Y$2,0),$A$60,INDEX(Техника!$H$1:$ABO$500,Y$2,0),"М")</f>
        <v>0</v>
      </c>
      <c r="Z61" s="50">
        <f>SUMIFS(INDEX(Техника!$F$1:$ABM$500,Z$2,0),Техника!$F$4:$ABM$4,"Часы",INDEX(Техника!$G$1:$ABN$500,Z$2,0),$A$60,INDEX(Техника!$H$1:$ABO$500,Z$2,0),"М")</f>
        <v>0</v>
      </c>
      <c r="AA61" s="50">
        <f>SUMIFS(INDEX(Техника!$F$1:$ABM$500,AA$2,0),Техника!$F$4:$ABM$4,"Часы",INDEX(Техника!$G$1:$ABN$500,AA$2,0),$A$60,INDEX(Техника!$H$1:$ABO$500,AA$2,0),"М")</f>
        <v>0</v>
      </c>
      <c r="AB61" s="50">
        <f>SUMIFS(INDEX(Техника!$F$1:$ABM$500,AB$2,0),Техника!$F$4:$ABM$4,"Часы",INDEX(Техника!$G$1:$ABN$500,AB$2,0),$A$60,INDEX(Техника!$H$1:$ABO$500,AB$2,0),"М")</f>
        <v>0</v>
      </c>
    </row>
    <row r="62" spans="1:28" hidden="1" outlineLevel="1" x14ac:dyDescent="0.3">
      <c r="A62" s="33" t="s">
        <v>244</v>
      </c>
      <c r="B62" s="34" t="s">
        <v>275</v>
      </c>
      <c r="C62" s="50">
        <f>SUMIFS(INDEX(Техника!$F$1:$ABM$500,C$2,0),Техника!$F$4:$ABM$4,"Часы",INDEX(Техника!$G$1:$ABN$500,C$2,0),$A$60,INDEX(Техника!$H$1:$ABO$500,C$2,0),"Д")</f>
        <v>0</v>
      </c>
      <c r="D62" s="50">
        <f>SUMIFS(INDEX(Техника!$F$1:$ABM$500,D$2,0),Техника!$F$4:$ABM$4,"Часы",INDEX(Техника!$G$1:$ABN$500,D$2,0),$A$60,INDEX(Техника!$H$1:$ABO$500,D$2,0),"Д")</f>
        <v>0</v>
      </c>
      <c r="E62" s="50">
        <f>SUMIFS(INDEX(Техника!$F$1:$ABM$500,E$2,0),Техника!$F$4:$ABM$4,"Часы",INDEX(Техника!$G$1:$ABN$500,E$2,0),$A$60,INDEX(Техника!$H$1:$ABO$500,E$2,0),"Д")</f>
        <v>0</v>
      </c>
      <c r="F62" s="50">
        <f>SUMIFS(INDEX(Техника!$F$1:$ABM$500,F$2,0),Техника!$F$4:$ABM$4,"Часы",INDEX(Техника!$G$1:$ABN$500,F$2,0),$A$60,INDEX(Техника!$H$1:$ABO$500,F$2,0),"Д")</f>
        <v>0</v>
      </c>
      <c r="G62" s="50">
        <f>SUMIFS(INDEX(Техника!$F$1:$ABM$500,G$2,0),Техника!$F$4:$ABM$4,"Часы",INDEX(Техника!$G$1:$ABN$500,G$2,0),$A$60,INDEX(Техника!$H$1:$ABO$500,G$2,0),"Д")</f>
        <v>0</v>
      </c>
      <c r="H62" s="50">
        <f>SUMIFS(INDEX(Техника!$F$1:$ABM$500,H$2,0),Техника!$F$4:$ABM$4,"Часы",INDEX(Техника!$G$1:$ABN$500,H$2,0),$A$60,INDEX(Техника!$H$1:$ABO$500,H$2,0),"Д")</f>
        <v>0</v>
      </c>
      <c r="I62" s="50">
        <f>SUMIFS(INDEX(Техника!$F$1:$ABM$500,I$2,0),Техника!$F$4:$ABM$4,"Часы",INDEX(Техника!$G$1:$ABN$500,I$2,0),$A$60,INDEX(Техника!$H$1:$ABO$500,I$2,0),"Д")</f>
        <v>0</v>
      </c>
      <c r="J62" s="50">
        <f>SUMIFS(INDEX(Техника!$F$1:$ABM$500,J$2,0),Техника!$F$4:$ABM$4,"Часы",INDEX(Техника!$G$1:$ABN$500,J$2,0),$A$60,INDEX(Техника!$H$1:$ABO$500,J$2,0),"Д")</f>
        <v>0</v>
      </c>
      <c r="K62" s="50">
        <f>SUMIFS(INDEX(Техника!$F$1:$ABM$500,K$2,0),Техника!$F$4:$ABM$4,"Часы",INDEX(Техника!$G$1:$ABN$500,K$2,0),$A$60,INDEX(Техника!$H$1:$ABO$500,K$2,0),"Д")</f>
        <v>0</v>
      </c>
      <c r="L62" s="50">
        <f>SUMIFS(INDEX(Техника!$F$1:$ABM$500,L$2,0),Техника!$F$4:$ABM$4,"Часы",INDEX(Техника!$G$1:$ABN$500,L$2,0),$A$60,INDEX(Техника!$H$1:$ABO$500,L$2,0),"Д")</f>
        <v>0</v>
      </c>
      <c r="M62" s="50">
        <f>SUMIFS(INDEX(Техника!$F$1:$ABM$500,M$2,0),Техника!$F$4:$ABM$4,"Часы",INDEX(Техника!$G$1:$ABN$500,M$2,0),$A$60,INDEX(Техника!$H$1:$ABO$500,M$2,0),"Д")</f>
        <v>0</v>
      </c>
      <c r="N62" s="50">
        <f>SUMIFS(INDEX(Техника!$F$1:$ABM$500,N$2,0),Техника!$F$4:$ABM$4,"Часы",INDEX(Техника!$G$1:$ABN$500,N$2,0),$A$60,INDEX(Техника!$H$1:$ABO$500,N$2,0),"Д")</f>
        <v>0</v>
      </c>
      <c r="O62" s="50">
        <f>SUMIFS(INDEX(Техника!$F$1:$ABM$500,O$2,0),Техника!$F$4:$ABM$4,"Часы",INDEX(Техника!$G$1:$ABN$500,O$2,0),$A$60,INDEX(Техника!$H$1:$ABO$500,O$2,0),"Д")</f>
        <v>0</v>
      </c>
      <c r="P62" s="50">
        <f>SUMIFS(INDEX(Техника!$F$1:$ABM$500,P$2,0),Техника!$F$4:$ABM$4,"Часы",INDEX(Техника!$G$1:$ABN$500,P$2,0),$A$60,INDEX(Техника!$H$1:$ABO$500,P$2,0),"Д")</f>
        <v>0</v>
      </c>
      <c r="Q62" s="50">
        <f>SUMIFS(INDEX(Техника!$F$1:$ABM$500,Q$2,0),Техника!$F$4:$ABM$4,"Часы",INDEX(Техника!$G$1:$ABN$500,Q$2,0),$A$60,INDEX(Техника!$H$1:$ABO$500,Q$2,0),"Д")</f>
        <v>0</v>
      </c>
      <c r="R62" s="50">
        <f>SUMIFS(INDEX(Техника!$F$1:$ABM$500,R$2,0),Техника!$F$4:$ABM$4,"Часы",INDEX(Техника!$G$1:$ABN$500,R$2,0),$A$60,INDEX(Техника!$H$1:$ABO$500,R$2,0),"Д")</f>
        <v>0</v>
      </c>
      <c r="S62" s="50">
        <f>SUMIFS(INDEX(Техника!$F$1:$ABM$500,S$2,0),Техника!$F$4:$ABM$4,"Часы",INDEX(Техника!$G$1:$ABN$500,S$2,0),$A$60,INDEX(Техника!$H$1:$ABO$500,S$2,0),"Д")</f>
        <v>0</v>
      </c>
      <c r="T62" s="50">
        <f>SUMIFS(INDEX(Техника!$F$1:$ABM$500,T$2,0),Техника!$F$4:$ABM$4,"Часы",INDEX(Техника!$G$1:$ABN$500,T$2,0),$A$60,INDEX(Техника!$H$1:$ABO$500,T$2,0),"Д")</f>
        <v>0</v>
      </c>
      <c r="U62" s="50">
        <f>SUMIFS(INDEX(Техника!$F$1:$ABM$500,U$2,0),Техника!$F$4:$ABM$4,"Часы",INDEX(Техника!$G$1:$ABN$500,U$2,0),$A$60,INDEX(Техника!$H$1:$ABO$500,U$2,0),"Д")</f>
        <v>0</v>
      </c>
      <c r="V62" s="50">
        <f>SUMIFS(INDEX(Техника!$F$1:$ABM$500,V$2,0),Техника!$F$4:$ABM$4,"Часы",INDEX(Техника!$G$1:$ABN$500,V$2,0),$A$60,INDEX(Техника!$H$1:$ABO$500,V$2,0),"Д")</f>
        <v>0</v>
      </c>
      <c r="W62" s="50">
        <f>SUMIFS(INDEX(Техника!$F$1:$ABM$500,W$2,0),Техника!$F$4:$ABM$4,"Часы",INDEX(Техника!$G$1:$ABN$500,W$2,0),$A$60,INDEX(Техника!$H$1:$ABO$500,W$2,0),"Д")</f>
        <v>0</v>
      </c>
      <c r="X62" s="50">
        <f>SUMIFS(INDEX(Техника!$F$1:$ABM$500,X$2,0),Техника!$F$4:$ABM$4,"Часы",INDEX(Техника!$G$1:$ABN$500,X$2,0),$A$60,INDEX(Техника!$H$1:$ABO$500,X$2,0),"Д")</f>
        <v>0</v>
      </c>
      <c r="Y62" s="50">
        <f>SUMIFS(INDEX(Техника!$F$1:$ABM$500,Y$2,0),Техника!$F$4:$ABM$4,"Часы",INDEX(Техника!$G$1:$ABN$500,Y$2,0),$A$60,INDEX(Техника!$H$1:$ABO$500,Y$2,0),"Д")</f>
        <v>0</v>
      </c>
      <c r="Z62" s="50">
        <f>SUMIFS(INDEX(Техника!$F$1:$ABM$500,Z$2,0),Техника!$F$4:$ABM$4,"Часы",INDEX(Техника!$G$1:$ABN$500,Z$2,0),$A$60,INDEX(Техника!$H$1:$ABO$500,Z$2,0),"Д")</f>
        <v>0</v>
      </c>
      <c r="AA62" s="50">
        <f>SUMIFS(INDEX(Техника!$F$1:$ABM$500,AA$2,0),Техника!$F$4:$ABM$4,"Часы",INDEX(Техника!$G$1:$ABN$500,AA$2,0),$A$60,INDEX(Техника!$H$1:$ABO$500,AA$2,0),"Д")</f>
        <v>0</v>
      </c>
      <c r="AB62" s="50">
        <f>SUMIFS(INDEX(Техника!$F$1:$ABM$500,AB$2,0),Техника!$F$4:$ABM$4,"Часы",INDEX(Техника!$G$1:$ABN$500,AB$2,0),$A$60,INDEX(Техника!$H$1:$ABO$500,AB$2,0),"Д")</f>
        <v>0</v>
      </c>
    </row>
    <row r="63" spans="1:28" hidden="1" outlineLevel="1" x14ac:dyDescent="0.3">
      <c r="A63" s="33" t="s">
        <v>276</v>
      </c>
      <c r="B63" s="34" t="s">
        <v>277</v>
      </c>
      <c r="C63" s="50">
        <f>SUMIFS(INDEX(Техника!$F$1:$ABM$500,C$2,0),Техника!$F$4:$ABM$4,"Часы",INDEX(Техника!$G$1:$ABN$500,C$2,0),$A$60,INDEX(Техника!$H$1:$ABO$500,C$2,0),"П")</f>
        <v>0</v>
      </c>
      <c r="D63" s="50">
        <f>SUMIFS(INDEX(Техника!$F$1:$ABM$500,D$2,0),Техника!$F$4:$ABM$4,"Часы",INDEX(Техника!$G$1:$ABN$500,D$2,0),$A$60,INDEX(Техника!$H$1:$ABO$500,D$2,0),"П")</f>
        <v>0</v>
      </c>
      <c r="E63" s="50">
        <f>SUMIFS(INDEX(Техника!$F$1:$ABM$500,E$2,0),Техника!$F$4:$ABM$4,"Часы",INDEX(Техника!$G$1:$ABN$500,E$2,0),$A$60,INDEX(Техника!$H$1:$ABO$500,E$2,0),"П")</f>
        <v>0</v>
      </c>
      <c r="F63" s="50">
        <f>SUMIFS(INDEX(Техника!$F$1:$ABM$500,F$2,0),Техника!$F$4:$ABM$4,"Часы",INDEX(Техника!$G$1:$ABN$500,F$2,0),$A$60,INDEX(Техника!$H$1:$ABO$500,F$2,0),"П")</f>
        <v>0</v>
      </c>
      <c r="G63" s="50">
        <f>SUMIFS(INDEX(Техника!$F$1:$ABM$500,G$2,0),Техника!$F$4:$ABM$4,"Часы",INDEX(Техника!$G$1:$ABN$500,G$2,0),$A$60,INDEX(Техника!$H$1:$ABO$500,G$2,0),"П")</f>
        <v>0</v>
      </c>
      <c r="H63" s="50">
        <f>SUMIFS(INDEX(Техника!$F$1:$ABM$500,H$2,0),Техника!$F$4:$ABM$4,"Часы",INDEX(Техника!$G$1:$ABN$500,H$2,0),$A$60,INDEX(Техника!$H$1:$ABO$500,H$2,0),"П")</f>
        <v>0</v>
      </c>
      <c r="I63" s="50">
        <f>SUMIFS(INDEX(Техника!$F$1:$ABM$500,I$2,0),Техника!$F$4:$ABM$4,"Часы",INDEX(Техника!$G$1:$ABN$500,I$2,0),$A$60,INDEX(Техника!$H$1:$ABO$500,I$2,0),"П")</f>
        <v>0</v>
      </c>
      <c r="J63" s="50">
        <f>SUMIFS(INDEX(Техника!$F$1:$ABM$500,J$2,0),Техника!$F$4:$ABM$4,"Часы",INDEX(Техника!$G$1:$ABN$500,J$2,0),$A$60,INDEX(Техника!$H$1:$ABO$500,J$2,0),"П")</f>
        <v>0</v>
      </c>
      <c r="K63" s="50">
        <f>SUMIFS(INDEX(Техника!$F$1:$ABM$500,K$2,0),Техника!$F$4:$ABM$4,"Часы",INDEX(Техника!$G$1:$ABN$500,K$2,0),$A$60,INDEX(Техника!$H$1:$ABO$500,K$2,0),"П")</f>
        <v>0</v>
      </c>
      <c r="L63" s="50">
        <f>SUMIFS(INDEX(Техника!$F$1:$ABM$500,L$2,0),Техника!$F$4:$ABM$4,"Часы",INDEX(Техника!$G$1:$ABN$500,L$2,0),$A$60,INDEX(Техника!$H$1:$ABO$500,L$2,0),"П")</f>
        <v>0</v>
      </c>
      <c r="M63" s="50">
        <f>SUMIFS(INDEX(Техника!$F$1:$ABM$500,M$2,0),Техника!$F$4:$ABM$4,"Часы",INDEX(Техника!$G$1:$ABN$500,M$2,0),$A$60,INDEX(Техника!$H$1:$ABO$500,M$2,0),"П")</f>
        <v>0</v>
      </c>
      <c r="N63" s="50">
        <f>SUMIFS(INDEX(Техника!$F$1:$ABM$500,N$2,0),Техника!$F$4:$ABM$4,"Часы",INDEX(Техника!$G$1:$ABN$500,N$2,0),$A$60,INDEX(Техника!$H$1:$ABO$500,N$2,0),"П")</f>
        <v>0</v>
      </c>
      <c r="O63" s="50">
        <f>SUMIFS(INDEX(Техника!$F$1:$ABM$500,O$2,0),Техника!$F$4:$ABM$4,"Часы",INDEX(Техника!$G$1:$ABN$500,O$2,0),$A$60,INDEX(Техника!$H$1:$ABO$500,O$2,0),"П")</f>
        <v>0</v>
      </c>
      <c r="P63" s="50">
        <f>SUMIFS(INDEX(Техника!$F$1:$ABM$500,P$2,0),Техника!$F$4:$ABM$4,"Часы",INDEX(Техника!$G$1:$ABN$500,P$2,0),$A$60,INDEX(Техника!$H$1:$ABO$500,P$2,0),"П")</f>
        <v>0</v>
      </c>
      <c r="Q63" s="50">
        <f>SUMIFS(INDEX(Техника!$F$1:$ABM$500,Q$2,0),Техника!$F$4:$ABM$4,"Часы",INDEX(Техника!$G$1:$ABN$500,Q$2,0),$A$60,INDEX(Техника!$H$1:$ABO$500,Q$2,0),"П")</f>
        <v>0</v>
      </c>
      <c r="R63" s="50">
        <f>SUMIFS(INDEX(Техника!$F$1:$ABM$500,R$2,0),Техника!$F$4:$ABM$4,"Часы",INDEX(Техника!$G$1:$ABN$500,R$2,0),$A$60,INDEX(Техника!$H$1:$ABO$500,R$2,0),"П")</f>
        <v>0</v>
      </c>
      <c r="S63" s="50">
        <f>SUMIFS(INDEX(Техника!$F$1:$ABM$500,S$2,0),Техника!$F$4:$ABM$4,"Часы",INDEX(Техника!$G$1:$ABN$500,S$2,0),$A$60,INDEX(Техника!$H$1:$ABO$500,S$2,0),"П")</f>
        <v>0</v>
      </c>
      <c r="T63" s="50">
        <f>SUMIFS(INDEX(Техника!$F$1:$ABM$500,T$2,0),Техника!$F$4:$ABM$4,"Часы",INDEX(Техника!$G$1:$ABN$500,T$2,0),$A$60,INDEX(Техника!$H$1:$ABO$500,T$2,0),"П")</f>
        <v>0</v>
      </c>
      <c r="U63" s="50">
        <f>SUMIFS(INDEX(Техника!$F$1:$ABM$500,U$2,0),Техника!$F$4:$ABM$4,"Часы",INDEX(Техника!$G$1:$ABN$500,U$2,0),$A$60,INDEX(Техника!$H$1:$ABO$500,U$2,0),"П")</f>
        <v>0</v>
      </c>
      <c r="V63" s="50">
        <f>SUMIFS(INDEX(Техника!$F$1:$ABM$500,V$2,0),Техника!$F$4:$ABM$4,"Часы",INDEX(Техника!$G$1:$ABN$500,V$2,0),$A$60,INDEX(Техника!$H$1:$ABO$500,V$2,0),"П")</f>
        <v>0</v>
      </c>
      <c r="W63" s="50">
        <f>SUMIFS(INDEX(Техника!$F$1:$ABM$500,W$2,0),Техника!$F$4:$ABM$4,"Часы",INDEX(Техника!$G$1:$ABN$500,W$2,0),$A$60,INDEX(Техника!$H$1:$ABO$500,W$2,0),"П")</f>
        <v>0</v>
      </c>
      <c r="X63" s="50">
        <f>SUMIFS(INDEX(Техника!$F$1:$ABM$500,X$2,0),Техника!$F$4:$ABM$4,"Часы",INDEX(Техника!$G$1:$ABN$500,X$2,0),$A$60,INDEX(Техника!$H$1:$ABO$500,X$2,0),"П")</f>
        <v>0</v>
      </c>
      <c r="Y63" s="50">
        <f>SUMIFS(INDEX(Техника!$F$1:$ABM$500,Y$2,0),Техника!$F$4:$ABM$4,"Часы",INDEX(Техника!$G$1:$ABN$500,Y$2,0),$A$60,INDEX(Техника!$H$1:$ABO$500,Y$2,0),"П")</f>
        <v>0</v>
      </c>
      <c r="Z63" s="50">
        <f>SUMIFS(INDEX(Техника!$F$1:$ABM$500,Z$2,0),Техника!$F$4:$ABM$4,"Часы",INDEX(Техника!$G$1:$ABN$500,Z$2,0),$A$60,INDEX(Техника!$H$1:$ABO$500,Z$2,0),"П")</f>
        <v>0</v>
      </c>
      <c r="AA63" s="50">
        <f>SUMIFS(INDEX(Техника!$F$1:$ABM$500,AA$2,0),Техника!$F$4:$ABM$4,"Часы",INDEX(Техника!$G$1:$ABN$500,AA$2,0),$A$60,INDEX(Техника!$H$1:$ABO$500,AA$2,0),"П")</f>
        <v>0</v>
      </c>
      <c r="AB63" s="50">
        <f>SUMIFS(INDEX(Техника!$F$1:$ABM$500,AB$2,0),Техника!$F$4:$ABM$4,"Часы",INDEX(Техника!$G$1:$ABN$500,AB$2,0),$A$60,INDEX(Техника!$H$1:$ABO$500,AB$2,0),"П")</f>
        <v>0</v>
      </c>
    </row>
    <row r="64" spans="1:28" hidden="1" outlineLevel="1" x14ac:dyDescent="0.3">
      <c r="A64" s="33" t="s">
        <v>243</v>
      </c>
      <c r="B64" s="34" t="s">
        <v>278</v>
      </c>
      <c r="C64" s="50">
        <f>SUMIFS(INDEX(Техника!$F$1:$ABM$500,C$2,0),Техника!$F$4:$ABM$4,"Часы",INDEX(Техника!$G$1:$ABN$500,C$2,0),$A$60,INDEX(Техника!$H$1:$ABO$500,C$2,0),"Л")</f>
        <v>0</v>
      </c>
      <c r="D64" s="50">
        <f>SUMIFS(INDEX(Техника!$F$1:$ABM$500,D$2,0),Техника!$F$4:$ABM$4,"Часы",INDEX(Техника!$G$1:$ABN$500,D$2,0),$A$60,INDEX(Техника!$H$1:$ABO$500,D$2,0),"Л")</f>
        <v>0</v>
      </c>
      <c r="E64" s="50">
        <f>SUMIFS(INDEX(Техника!$F$1:$ABM$500,E$2,0),Техника!$F$4:$ABM$4,"Часы",INDEX(Техника!$G$1:$ABN$500,E$2,0),$A$60,INDEX(Техника!$H$1:$ABO$500,E$2,0),"Л")</f>
        <v>0</v>
      </c>
      <c r="F64" s="50">
        <f>SUMIFS(INDEX(Техника!$F$1:$ABM$500,F$2,0),Техника!$F$4:$ABM$4,"Часы",INDEX(Техника!$G$1:$ABN$500,F$2,0),$A$60,INDEX(Техника!$H$1:$ABO$500,F$2,0),"Л")</f>
        <v>0</v>
      </c>
      <c r="G64" s="50">
        <f>SUMIFS(INDEX(Техника!$F$1:$ABM$500,G$2,0),Техника!$F$4:$ABM$4,"Часы",INDEX(Техника!$G$1:$ABN$500,G$2,0),$A$60,INDEX(Техника!$H$1:$ABO$500,G$2,0),"Л")</f>
        <v>0</v>
      </c>
      <c r="H64" s="50">
        <f>SUMIFS(INDEX(Техника!$F$1:$ABM$500,H$2,0),Техника!$F$4:$ABM$4,"Часы",INDEX(Техника!$G$1:$ABN$500,H$2,0),$A$60,INDEX(Техника!$H$1:$ABO$500,H$2,0),"Л")</f>
        <v>0</v>
      </c>
      <c r="I64" s="50">
        <f>SUMIFS(INDEX(Техника!$F$1:$ABM$500,I$2,0),Техника!$F$4:$ABM$4,"Часы",INDEX(Техника!$G$1:$ABN$500,I$2,0),$A$60,INDEX(Техника!$H$1:$ABO$500,I$2,0),"Л")</f>
        <v>0</v>
      </c>
      <c r="J64" s="50">
        <f>SUMIFS(INDEX(Техника!$F$1:$ABM$500,J$2,0),Техника!$F$4:$ABM$4,"Часы",INDEX(Техника!$G$1:$ABN$500,J$2,0),$A$60,INDEX(Техника!$H$1:$ABO$500,J$2,0),"Л")</f>
        <v>0</v>
      </c>
      <c r="K64" s="50">
        <f>SUMIFS(INDEX(Техника!$F$1:$ABM$500,K$2,0),Техника!$F$4:$ABM$4,"Часы",INDEX(Техника!$G$1:$ABN$500,K$2,0),$A$60,INDEX(Техника!$H$1:$ABO$500,K$2,0),"Л")</f>
        <v>0</v>
      </c>
      <c r="L64" s="50">
        <f>SUMIFS(INDEX(Техника!$F$1:$ABM$500,L$2,0),Техника!$F$4:$ABM$4,"Часы",INDEX(Техника!$G$1:$ABN$500,L$2,0),$A$60,INDEX(Техника!$H$1:$ABO$500,L$2,0),"Л")</f>
        <v>0</v>
      </c>
      <c r="M64" s="50">
        <f>SUMIFS(INDEX(Техника!$F$1:$ABM$500,M$2,0),Техника!$F$4:$ABM$4,"Часы",INDEX(Техника!$G$1:$ABN$500,M$2,0),$A$60,INDEX(Техника!$H$1:$ABO$500,M$2,0),"Л")</f>
        <v>0</v>
      </c>
      <c r="N64" s="50">
        <f>SUMIFS(INDEX(Техника!$F$1:$ABM$500,N$2,0),Техника!$F$4:$ABM$4,"Часы",INDEX(Техника!$G$1:$ABN$500,N$2,0),$A$60,INDEX(Техника!$H$1:$ABO$500,N$2,0),"Л")</f>
        <v>0</v>
      </c>
      <c r="O64" s="50">
        <f>SUMIFS(INDEX(Техника!$F$1:$ABM$500,O$2,0),Техника!$F$4:$ABM$4,"Часы",INDEX(Техника!$G$1:$ABN$500,O$2,0),$A$60,INDEX(Техника!$H$1:$ABO$500,O$2,0),"Л")</f>
        <v>0</v>
      </c>
      <c r="P64" s="50">
        <f>SUMIFS(INDEX(Техника!$F$1:$ABM$500,P$2,0),Техника!$F$4:$ABM$4,"Часы",INDEX(Техника!$G$1:$ABN$500,P$2,0),$A$60,INDEX(Техника!$H$1:$ABO$500,P$2,0),"Л")</f>
        <v>0</v>
      </c>
      <c r="Q64" s="50">
        <f>SUMIFS(INDEX(Техника!$F$1:$ABM$500,Q$2,0),Техника!$F$4:$ABM$4,"Часы",INDEX(Техника!$G$1:$ABN$500,Q$2,0),$A$60,INDEX(Техника!$H$1:$ABO$500,Q$2,0),"Л")</f>
        <v>0</v>
      </c>
      <c r="R64" s="50">
        <f>SUMIFS(INDEX(Техника!$F$1:$ABM$500,R$2,0),Техника!$F$4:$ABM$4,"Часы",INDEX(Техника!$G$1:$ABN$500,R$2,0),$A$60,INDEX(Техника!$H$1:$ABO$500,R$2,0),"Л")</f>
        <v>0</v>
      </c>
      <c r="S64" s="50">
        <f>SUMIFS(INDEX(Техника!$F$1:$ABM$500,S$2,0),Техника!$F$4:$ABM$4,"Часы",INDEX(Техника!$G$1:$ABN$500,S$2,0),$A$60,INDEX(Техника!$H$1:$ABO$500,S$2,0),"Л")</f>
        <v>0</v>
      </c>
      <c r="T64" s="50">
        <f>SUMIFS(INDEX(Техника!$F$1:$ABM$500,T$2,0),Техника!$F$4:$ABM$4,"Часы",INDEX(Техника!$G$1:$ABN$500,T$2,0),$A$60,INDEX(Техника!$H$1:$ABO$500,T$2,0),"Л")</f>
        <v>0</v>
      </c>
      <c r="U64" s="50">
        <f>SUMIFS(INDEX(Техника!$F$1:$ABM$500,U$2,0),Техника!$F$4:$ABM$4,"Часы",INDEX(Техника!$G$1:$ABN$500,U$2,0),$A$60,INDEX(Техника!$H$1:$ABO$500,U$2,0),"Л")</f>
        <v>0</v>
      </c>
      <c r="V64" s="50">
        <f>SUMIFS(INDEX(Техника!$F$1:$ABM$500,V$2,0),Техника!$F$4:$ABM$4,"Часы",INDEX(Техника!$G$1:$ABN$500,V$2,0),$A$60,INDEX(Техника!$H$1:$ABO$500,V$2,0),"Л")</f>
        <v>0</v>
      </c>
      <c r="W64" s="50">
        <f>SUMIFS(INDEX(Техника!$F$1:$ABM$500,W$2,0),Техника!$F$4:$ABM$4,"Часы",INDEX(Техника!$G$1:$ABN$500,W$2,0),$A$60,INDEX(Техника!$H$1:$ABO$500,W$2,0),"Л")</f>
        <v>0</v>
      </c>
      <c r="X64" s="50">
        <f>SUMIFS(INDEX(Техника!$F$1:$ABM$500,X$2,0),Техника!$F$4:$ABM$4,"Часы",INDEX(Техника!$G$1:$ABN$500,X$2,0),$A$60,INDEX(Техника!$H$1:$ABO$500,X$2,0),"Л")</f>
        <v>0</v>
      </c>
      <c r="Y64" s="50">
        <f>SUMIFS(INDEX(Техника!$F$1:$ABM$500,Y$2,0),Техника!$F$4:$ABM$4,"Часы",INDEX(Техника!$G$1:$ABN$500,Y$2,0),$A$60,INDEX(Техника!$H$1:$ABO$500,Y$2,0),"Л")</f>
        <v>0</v>
      </c>
      <c r="Z64" s="50">
        <f>SUMIFS(INDEX(Техника!$F$1:$ABM$500,Z$2,0),Техника!$F$4:$ABM$4,"Часы",INDEX(Техника!$G$1:$ABN$500,Z$2,0),$A$60,INDEX(Техника!$H$1:$ABO$500,Z$2,0),"Л")</f>
        <v>0</v>
      </c>
      <c r="AA64" s="50">
        <f>SUMIFS(INDEX(Техника!$F$1:$ABM$500,AA$2,0),Техника!$F$4:$ABM$4,"Часы",INDEX(Техника!$G$1:$ABN$500,AA$2,0),$A$60,INDEX(Техника!$H$1:$ABO$500,AA$2,0),"Л")</f>
        <v>0</v>
      </c>
      <c r="AB64" s="50">
        <f>SUMIFS(INDEX(Техника!$F$1:$ABM$500,AB$2,0),Техника!$F$4:$ABM$4,"Часы",INDEX(Техника!$G$1:$ABN$500,AB$2,0),$A$60,INDEX(Техника!$H$1:$ABO$500,AB$2,0),"Л")</f>
        <v>0</v>
      </c>
    </row>
    <row r="65" spans="1:28" hidden="1" outlineLevel="1" x14ac:dyDescent="0.3">
      <c r="A65" s="33" t="s">
        <v>245</v>
      </c>
      <c r="B65" s="34" t="s">
        <v>279</v>
      </c>
      <c r="C65" s="50">
        <f>SUMIFS(INDEX(Техника!$F$1:$ABM$500,C$2,0),Техника!$F$4:$ABM$4,"Часы",INDEX(Техника!$G$1:$ABN$500,C$2,0),$A$60,INDEX(Техника!$H$1:$ABO$500,C$2,0),"З")</f>
        <v>0</v>
      </c>
      <c r="D65" s="50">
        <f>SUMIFS(INDEX(Техника!$F$1:$ABM$500,D$2,0),Техника!$F$4:$ABM$4,"Часы",INDEX(Техника!$G$1:$ABN$500,D$2,0),$A$60,INDEX(Техника!$H$1:$ABO$500,D$2,0),"З")</f>
        <v>0</v>
      </c>
      <c r="E65" s="50">
        <f>SUMIFS(INDEX(Техника!$F$1:$ABM$500,E$2,0),Техника!$F$4:$ABM$4,"Часы",INDEX(Техника!$G$1:$ABN$500,E$2,0),$A$60,INDEX(Техника!$H$1:$ABO$500,E$2,0),"З")</f>
        <v>0</v>
      </c>
      <c r="F65" s="50">
        <f>SUMIFS(INDEX(Техника!$F$1:$ABM$500,F$2,0),Техника!$F$4:$ABM$4,"Часы",INDEX(Техника!$G$1:$ABN$500,F$2,0),$A$60,INDEX(Техника!$H$1:$ABO$500,F$2,0),"З")</f>
        <v>0</v>
      </c>
      <c r="G65" s="50">
        <f>SUMIFS(INDEX(Техника!$F$1:$ABM$500,G$2,0),Техника!$F$4:$ABM$4,"Часы",INDEX(Техника!$G$1:$ABN$500,G$2,0),$A$60,INDEX(Техника!$H$1:$ABO$500,G$2,0),"З")</f>
        <v>0</v>
      </c>
      <c r="H65" s="50">
        <f>SUMIFS(INDEX(Техника!$F$1:$ABM$500,H$2,0),Техника!$F$4:$ABM$4,"Часы",INDEX(Техника!$G$1:$ABN$500,H$2,0),$A$60,INDEX(Техника!$H$1:$ABO$500,H$2,0),"З")</f>
        <v>0</v>
      </c>
      <c r="I65" s="50">
        <f>SUMIFS(INDEX(Техника!$F$1:$ABM$500,I$2,0),Техника!$F$4:$ABM$4,"Часы",INDEX(Техника!$G$1:$ABN$500,I$2,0),$A$60,INDEX(Техника!$H$1:$ABO$500,I$2,0),"З")</f>
        <v>0</v>
      </c>
      <c r="J65" s="50">
        <f>SUMIFS(INDEX(Техника!$F$1:$ABM$500,J$2,0),Техника!$F$4:$ABM$4,"Часы",INDEX(Техника!$G$1:$ABN$500,J$2,0),$A$60,INDEX(Техника!$H$1:$ABO$500,J$2,0),"З")</f>
        <v>0</v>
      </c>
      <c r="K65" s="50">
        <f>SUMIFS(INDEX(Техника!$F$1:$ABM$500,K$2,0),Техника!$F$4:$ABM$4,"Часы",INDEX(Техника!$G$1:$ABN$500,K$2,0),$A$60,INDEX(Техника!$H$1:$ABO$500,K$2,0),"З")</f>
        <v>0</v>
      </c>
      <c r="L65" s="50">
        <f>SUMIFS(INDEX(Техника!$F$1:$ABM$500,L$2,0),Техника!$F$4:$ABM$4,"Часы",INDEX(Техника!$G$1:$ABN$500,L$2,0),$A$60,INDEX(Техника!$H$1:$ABO$500,L$2,0),"З")</f>
        <v>0</v>
      </c>
      <c r="M65" s="50">
        <f>SUMIFS(INDEX(Техника!$F$1:$ABM$500,M$2,0),Техника!$F$4:$ABM$4,"Часы",INDEX(Техника!$G$1:$ABN$500,M$2,0),$A$60,INDEX(Техника!$H$1:$ABO$500,M$2,0),"З")</f>
        <v>0</v>
      </c>
      <c r="N65" s="50">
        <f>SUMIFS(INDEX(Техника!$F$1:$ABM$500,N$2,0),Техника!$F$4:$ABM$4,"Часы",INDEX(Техника!$G$1:$ABN$500,N$2,0),$A$60,INDEX(Техника!$H$1:$ABO$500,N$2,0),"З")</f>
        <v>0</v>
      </c>
      <c r="O65" s="50">
        <f>SUMIFS(INDEX(Техника!$F$1:$ABM$500,O$2,0),Техника!$F$4:$ABM$4,"Часы",INDEX(Техника!$G$1:$ABN$500,O$2,0),$A$60,INDEX(Техника!$H$1:$ABO$500,O$2,0),"З")</f>
        <v>0</v>
      </c>
      <c r="P65" s="50">
        <f>SUMIFS(INDEX(Техника!$F$1:$ABM$500,P$2,0),Техника!$F$4:$ABM$4,"Часы",INDEX(Техника!$G$1:$ABN$500,P$2,0),$A$60,INDEX(Техника!$H$1:$ABO$500,P$2,0),"З")</f>
        <v>0</v>
      </c>
      <c r="Q65" s="50">
        <f>SUMIFS(INDEX(Техника!$F$1:$ABM$500,Q$2,0),Техника!$F$4:$ABM$4,"Часы",INDEX(Техника!$G$1:$ABN$500,Q$2,0),$A$60,INDEX(Техника!$H$1:$ABO$500,Q$2,0),"З")</f>
        <v>0</v>
      </c>
      <c r="R65" s="50">
        <f>SUMIFS(INDEX(Техника!$F$1:$ABM$500,R$2,0),Техника!$F$4:$ABM$4,"Часы",INDEX(Техника!$G$1:$ABN$500,R$2,0),$A$60,INDEX(Техника!$H$1:$ABO$500,R$2,0),"З")</f>
        <v>0</v>
      </c>
      <c r="S65" s="50">
        <f>SUMIFS(INDEX(Техника!$F$1:$ABM$500,S$2,0),Техника!$F$4:$ABM$4,"Часы",INDEX(Техника!$G$1:$ABN$500,S$2,0),$A$60,INDEX(Техника!$H$1:$ABO$500,S$2,0),"З")</f>
        <v>0</v>
      </c>
      <c r="T65" s="50">
        <f>SUMIFS(INDEX(Техника!$F$1:$ABM$500,T$2,0),Техника!$F$4:$ABM$4,"Часы",INDEX(Техника!$G$1:$ABN$500,T$2,0),$A$60,INDEX(Техника!$H$1:$ABO$500,T$2,0),"З")</f>
        <v>0</v>
      </c>
      <c r="U65" s="50">
        <f>SUMIFS(INDEX(Техника!$F$1:$ABM$500,U$2,0),Техника!$F$4:$ABM$4,"Часы",INDEX(Техника!$G$1:$ABN$500,U$2,0),$A$60,INDEX(Техника!$H$1:$ABO$500,U$2,0),"З")</f>
        <v>0</v>
      </c>
      <c r="V65" s="50">
        <f>SUMIFS(INDEX(Техника!$F$1:$ABM$500,V$2,0),Техника!$F$4:$ABM$4,"Часы",INDEX(Техника!$G$1:$ABN$500,V$2,0),$A$60,INDEX(Техника!$H$1:$ABO$500,V$2,0),"З")</f>
        <v>0</v>
      </c>
      <c r="W65" s="50">
        <f>SUMIFS(INDEX(Техника!$F$1:$ABM$500,W$2,0),Техника!$F$4:$ABM$4,"Часы",INDEX(Техника!$G$1:$ABN$500,W$2,0),$A$60,INDEX(Техника!$H$1:$ABO$500,W$2,0),"З")</f>
        <v>0</v>
      </c>
      <c r="X65" s="50">
        <f>SUMIFS(INDEX(Техника!$F$1:$ABM$500,X$2,0),Техника!$F$4:$ABM$4,"Часы",INDEX(Техника!$G$1:$ABN$500,X$2,0),$A$60,INDEX(Техника!$H$1:$ABO$500,X$2,0),"З")</f>
        <v>0</v>
      </c>
      <c r="Y65" s="50">
        <f>SUMIFS(INDEX(Техника!$F$1:$ABM$500,Y$2,0),Техника!$F$4:$ABM$4,"Часы",INDEX(Техника!$G$1:$ABN$500,Y$2,0),$A$60,INDEX(Техника!$H$1:$ABO$500,Y$2,0),"З")</f>
        <v>0</v>
      </c>
      <c r="Z65" s="50">
        <f>SUMIFS(INDEX(Техника!$F$1:$ABM$500,Z$2,0),Техника!$F$4:$ABM$4,"Часы",INDEX(Техника!$G$1:$ABN$500,Z$2,0),$A$60,INDEX(Техника!$H$1:$ABO$500,Z$2,0),"З")</f>
        <v>0</v>
      </c>
      <c r="AA65" s="50">
        <f>SUMIFS(INDEX(Техника!$F$1:$ABM$500,AA$2,0),Техника!$F$4:$ABM$4,"Часы",INDEX(Техника!$G$1:$ABN$500,AA$2,0),$A$60,INDEX(Техника!$H$1:$ABO$500,AA$2,0),"З")</f>
        <v>0</v>
      </c>
      <c r="AB65" s="50">
        <f>SUMIFS(INDEX(Техника!$F$1:$ABM$500,AB$2,0),Техника!$F$4:$ABM$4,"Часы",INDEX(Техника!$G$1:$ABN$500,AB$2,0),$A$60,INDEX(Техника!$H$1:$ABO$500,AB$2,0),"З")</f>
        <v>0</v>
      </c>
    </row>
    <row r="66" spans="1:28" ht="7.95" customHeight="1" x14ac:dyDescent="0.3">
      <c r="A66" s="38"/>
      <c r="B66" s="39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 spans="1:28" ht="25.05" customHeight="1" collapsed="1" x14ac:dyDescent="0.3">
      <c r="A67" s="32">
        <v>10</v>
      </c>
      <c r="B67" s="32" t="s">
        <v>11</v>
      </c>
      <c r="C67" s="49">
        <f>SUM(C68:C72)</f>
        <v>0</v>
      </c>
      <c r="D67" s="49">
        <f>SUM(D68:D72)</f>
        <v>0</v>
      </c>
      <c r="E67" s="49">
        <f>SUM(E68:E72)</f>
        <v>0</v>
      </c>
      <c r="F67" s="49">
        <f>SUM(F68:F72)</f>
        <v>0</v>
      </c>
      <c r="G67" s="49">
        <f>SUM(G68:G72)</f>
        <v>0</v>
      </c>
      <c r="H67" s="49">
        <f>SUM(H68:H72)</f>
        <v>0</v>
      </c>
      <c r="I67" s="49">
        <f>SUM(I68:I72)</f>
        <v>0</v>
      </c>
      <c r="J67" s="49">
        <f>SUM(J68:J72)</f>
        <v>0</v>
      </c>
      <c r="K67" s="49">
        <f>SUM(K68:K72)</f>
        <v>0</v>
      </c>
      <c r="L67" s="49">
        <f>SUM(L68:L72)</f>
        <v>0</v>
      </c>
      <c r="M67" s="49">
        <f>SUM(M68:M72)</f>
        <v>0</v>
      </c>
      <c r="N67" s="49">
        <f>SUM(N68:N72)</f>
        <v>0</v>
      </c>
      <c r="O67" s="49">
        <f>SUM(O68:O72)</f>
        <v>0</v>
      </c>
      <c r="P67" s="49">
        <f>SUM(P68:P72)</f>
        <v>0</v>
      </c>
      <c r="Q67" s="49">
        <f>SUM(Q68:Q72)</f>
        <v>0</v>
      </c>
      <c r="R67" s="49">
        <f>SUM(R68:R72)</f>
        <v>0</v>
      </c>
      <c r="S67" s="49">
        <f>SUM(S68:S72)</f>
        <v>0</v>
      </c>
      <c r="T67" s="49">
        <f>SUM(T68:T72)</f>
        <v>0</v>
      </c>
      <c r="U67" s="49">
        <f>SUM(U68:U72)</f>
        <v>0</v>
      </c>
      <c r="V67" s="49">
        <f>SUM(V68:V72)</f>
        <v>0</v>
      </c>
      <c r="W67" s="49">
        <f>SUM(W68:W72)</f>
        <v>0</v>
      </c>
      <c r="X67" s="49">
        <f>SUM(X68:X72)</f>
        <v>0</v>
      </c>
      <c r="Y67" s="49">
        <f>SUM(Y68:Y72)</f>
        <v>0</v>
      </c>
      <c r="Z67" s="49">
        <f>SUM(Z68:Z72)</f>
        <v>0</v>
      </c>
      <c r="AA67" s="49">
        <f>SUM(AA68:AA72)</f>
        <v>0</v>
      </c>
      <c r="AB67" s="49">
        <f>SUM(AB68:AB72)</f>
        <v>0</v>
      </c>
    </row>
    <row r="68" spans="1:28" hidden="1" outlineLevel="1" x14ac:dyDescent="0.3">
      <c r="A68" s="33" t="s">
        <v>246</v>
      </c>
      <c r="B68" s="34" t="s">
        <v>274</v>
      </c>
      <c r="C68" s="50">
        <f>SUMIFS(INDEX(Техника!$F$1:$ABM$500,C$2,0),Техника!$F$4:$ABM$4,"Часы",INDEX(Техника!$G$1:$ABN$500,C$2,0),$A$67,INDEX(Техника!$H$1:$ABO$500,C$2,0),"М")</f>
        <v>0</v>
      </c>
      <c r="D68" s="50">
        <f>SUMIFS(INDEX(Техника!$F$1:$ABM$500,D$2,0),Техника!$F$4:$ABM$4,"Часы",INDEX(Техника!$G$1:$ABN$500,D$2,0),$A$67,INDEX(Техника!$H$1:$ABO$500,D$2,0),"М")</f>
        <v>0</v>
      </c>
      <c r="E68" s="50">
        <f>SUMIFS(INDEX(Техника!$F$1:$ABM$500,E$2,0),Техника!$F$4:$ABM$4,"Часы",INDEX(Техника!$G$1:$ABN$500,E$2,0),$A$67,INDEX(Техника!$H$1:$ABO$500,E$2,0),"М")</f>
        <v>0</v>
      </c>
      <c r="F68" s="50">
        <f>SUMIFS(INDEX(Техника!$F$1:$ABM$500,F$2,0),Техника!$F$4:$ABM$4,"Часы",INDEX(Техника!$G$1:$ABN$500,F$2,0),$A$67,INDEX(Техника!$H$1:$ABO$500,F$2,0),"М")</f>
        <v>0</v>
      </c>
      <c r="G68" s="50">
        <f>SUMIFS(INDEX(Техника!$F$1:$ABM$500,G$2,0),Техника!$F$4:$ABM$4,"Часы",INDEX(Техника!$G$1:$ABN$500,G$2,0),$A$67,INDEX(Техника!$H$1:$ABO$500,G$2,0),"М")</f>
        <v>0</v>
      </c>
      <c r="H68" s="50">
        <f>SUMIFS(INDEX(Техника!$F$1:$ABM$500,H$2,0),Техника!$F$4:$ABM$4,"Часы",INDEX(Техника!$G$1:$ABN$500,H$2,0),$A$67,INDEX(Техника!$H$1:$ABO$500,H$2,0),"М")</f>
        <v>0</v>
      </c>
      <c r="I68" s="50">
        <f>SUMIFS(INDEX(Техника!$F$1:$ABM$500,I$2,0),Техника!$F$4:$ABM$4,"Часы",INDEX(Техника!$G$1:$ABN$500,I$2,0),$A$67,INDEX(Техника!$H$1:$ABO$500,I$2,0),"М")</f>
        <v>0</v>
      </c>
      <c r="J68" s="50">
        <f>SUMIFS(INDEX(Техника!$F$1:$ABM$500,J$2,0),Техника!$F$4:$ABM$4,"Часы",INDEX(Техника!$G$1:$ABN$500,J$2,0),$A$67,INDEX(Техника!$H$1:$ABO$500,J$2,0),"М")</f>
        <v>0</v>
      </c>
      <c r="K68" s="50">
        <f>SUMIFS(INDEX(Техника!$F$1:$ABM$500,K$2,0),Техника!$F$4:$ABM$4,"Часы",INDEX(Техника!$G$1:$ABN$500,K$2,0),$A$67,INDEX(Техника!$H$1:$ABO$500,K$2,0),"М")</f>
        <v>0</v>
      </c>
      <c r="L68" s="50">
        <f>SUMIFS(INDEX(Техника!$F$1:$ABM$500,L$2,0),Техника!$F$4:$ABM$4,"Часы",INDEX(Техника!$G$1:$ABN$500,L$2,0),$A$67,INDEX(Техника!$H$1:$ABO$500,L$2,0),"М")</f>
        <v>0</v>
      </c>
      <c r="M68" s="50">
        <f>SUMIFS(INDEX(Техника!$F$1:$ABM$500,M$2,0),Техника!$F$4:$ABM$4,"Часы",INDEX(Техника!$G$1:$ABN$500,M$2,0),$A$67,INDEX(Техника!$H$1:$ABO$500,M$2,0),"М")</f>
        <v>0</v>
      </c>
      <c r="N68" s="50">
        <f>SUMIFS(INDEX(Техника!$F$1:$ABM$500,N$2,0),Техника!$F$4:$ABM$4,"Часы",INDEX(Техника!$G$1:$ABN$500,N$2,0),$A$67,INDEX(Техника!$H$1:$ABO$500,N$2,0),"М")</f>
        <v>0</v>
      </c>
      <c r="O68" s="50">
        <f>SUMIFS(INDEX(Техника!$F$1:$ABM$500,O$2,0),Техника!$F$4:$ABM$4,"Часы",INDEX(Техника!$G$1:$ABN$500,O$2,0),$A$67,INDEX(Техника!$H$1:$ABO$500,O$2,0),"М")</f>
        <v>0</v>
      </c>
      <c r="P68" s="50">
        <f>SUMIFS(INDEX(Техника!$F$1:$ABM$500,P$2,0),Техника!$F$4:$ABM$4,"Часы",INDEX(Техника!$G$1:$ABN$500,P$2,0),$A$67,INDEX(Техника!$H$1:$ABO$500,P$2,0),"М")</f>
        <v>0</v>
      </c>
      <c r="Q68" s="50">
        <f>SUMIFS(INDEX(Техника!$F$1:$ABM$500,Q$2,0),Техника!$F$4:$ABM$4,"Часы",INDEX(Техника!$G$1:$ABN$500,Q$2,0),$A$67,INDEX(Техника!$H$1:$ABO$500,Q$2,0),"М")</f>
        <v>0</v>
      </c>
      <c r="R68" s="50">
        <f>SUMIFS(INDEX(Техника!$F$1:$ABM$500,R$2,0),Техника!$F$4:$ABM$4,"Часы",INDEX(Техника!$G$1:$ABN$500,R$2,0),$A$67,INDEX(Техника!$H$1:$ABO$500,R$2,0),"М")</f>
        <v>0</v>
      </c>
      <c r="S68" s="50">
        <f>SUMIFS(INDEX(Техника!$F$1:$ABM$500,S$2,0),Техника!$F$4:$ABM$4,"Часы",INDEX(Техника!$G$1:$ABN$500,S$2,0),$A$67,INDEX(Техника!$H$1:$ABO$500,S$2,0),"М")</f>
        <v>0</v>
      </c>
      <c r="T68" s="50">
        <f>SUMIFS(INDEX(Техника!$F$1:$ABM$500,T$2,0),Техника!$F$4:$ABM$4,"Часы",INDEX(Техника!$G$1:$ABN$500,T$2,0),$A$67,INDEX(Техника!$H$1:$ABO$500,T$2,0),"М")</f>
        <v>0</v>
      </c>
      <c r="U68" s="50">
        <f>SUMIFS(INDEX(Техника!$F$1:$ABM$500,U$2,0),Техника!$F$4:$ABM$4,"Часы",INDEX(Техника!$G$1:$ABN$500,U$2,0),$A$67,INDEX(Техника!$H$1:$ABO$500,U$2,0),"М")</f>
        <v>0</v>
      </c>
      <c r="V68" s="50">
        <f>SUMIFS(INDEX(Техника!$F$1:$ABM$500,V$2,0),Техника!$F$4:$ABM$4,"Часы",INDEX(Техника!$G$1:$ABN$500,V$2,0),$A$67,INDEX(Техника!$H$1:$ABO$500,V$2,0),"М")</f>
        <v>0</v>
      </c>
      <c r="W68" s="50">
        <f>SUMIFS(INDEX(Техника!$F$1:$ABM$500,W$2,0),Техника!$F$4:$ABM$4,"Часы",INDEX(Техника!$G$1:$ABN$500,W$2,0),$A$67,INDEX(Техника!$H$1:$ABO$500,W$2,0),"М")</f>
        <v>0</v>
      </c>
      <c r="X68" s="50">
        <f>SUMIFS(INDEX(Техника!$F$1:$ABM$500,X$2,0),Техника!$F$4:$ABM$4,"Часы",INDEX(Техника!$G$1:$ABN$500,X$2,0),$A$67,INDEX(Техника!$H$1:$ABO$500,X$2,0),"М")</f>
        <v>0</v>
      </c>
      <c r="Y68" s="50">
        <f>SUMIFS(INDEX(Техника!$F$1:$ABM$500,Y$2,0),Техника!$F$4:$ABM$4,"Часы",INDEX(Техника!$G$1:$ABN$500,Y$2,0),$A$67,INDEX(Техника!$H$1:$ABO$500,Y$2,0),"М")</f>
        <v>0</v>
      </c>
      <c r="Z68" s="50">
        <f>SUMIFS(INDEX(Техника!$F$1:$ABM$500,Z$2,0),Техника!$F$4:$ABM$4,"Часы",INDEX(Техника!$G$1:$ABN$500,Z$2,0),$A$67,INDEX(Техника!$H$1:$ABO$500,Z$2,0),"М")</f>
        <v>0</v>
      </c>
      <c r="AA68" s="50">
        <f>SUMIFS(INDEX(Техника!$F$1:$ABM$500,AA$2,0),Техника!$F$4:$ABM$4,"Часы",INDEX(Техника!$G$1:$ABN$500,AA$2,0),$A$67,INDEX(Техника!$H$1:$ABO$500,AA$2,0),"М")</f>
        <v>0</v>
      </c>
      <c r="AB68" s="50">
        <f>SUMIFS(INDEX(Техника!$F$1:$ABM$500,AB$2,0),Техника!$F$4:$ABM$4,"Часы",INDEX(Техника!$G$1:$ABN$500,AB$2,0),$A$67,INDEX(Техника!$H$1:$ABO$500,AB$2,0),"М")</f>
        <v>0</v>
      </c>
    </row>
    <row r="69" spans="1:28" hidden="1" outlineLevel="1" x14ac:dyDescent="0.3">
      <c r="A69" s="33" t="s">
        <v>244</v>
      </c>
      <c r="B69" s="34" t="s">
        <v>275</v>
      </c>
      <c r="C69" s="50">
        <f>SUMIFS(INDEX(Техника!$F$1:$ABM$500,C$2,0),Техника!$F$4:$ABM$4,"Часы",INDEX(Техника!$G$1:$ABN$500,C$2,0),$A$67,INDEX(Техника!$H$1:$ABO$500,C$2,0),"Д")</f>
        <v>0</v>
      </c>
      <c r="D69" s="50">
        <f>SUMIFS(INDEX(Техника!$F$1:$ABM$500,D$2,0),Техника!$F$4:$ABM$4,"Часы",INDEX(Техника!$G$1:$ABN$500,D$2,0),$A$67,INDEX(Техника!$H$1:$ABO$500,D$2,0),"Д")</f>
        <v>0</v>
      </c>
      <c r="E69" s="50">
        <f>SUMIFS(INDEX(Техника!$F$1:$ABM$500,E$2,0),Техника!$F$4:$ABM$4,"Часы",INDEX(Техника!$G$1:$ABN$500,E$2,0),$A$67,INDEX(Техника!$H$1:$ABO$500,E$2,0),"Д")</f>
        <v>0</v>
      </c>
      <c r="F69" s="50">
        <f>SUMIFS(INDEX(Техника!$F$1:$ABM$500,F$2,0),Техника!$F$4:$ABM$4,"Часы",INDEX(Техника!$G$1:$ABN$500,F$2,0),$A$67,INDEX(Техника!$H$1:$ABO$500,F$2,0),"Д")</f>
        <v>0</v>
      </c>
      <c r="G69" s="50">
        <f>SUMIFS(INDEX(Техника!$F$1:$ABM$500,G$2,0),Техника!$F$4:$ABM$4,"Часы",INDEX(Техника!$G$1:$ABN$500,G$2,0),$A$67,INDEX(Техника!$H$1:$ABO$500,G$2,0),"Д")</f>
        <v>0</v>
      </c>
      <c r="H69" s="50">
        <f>SUMIFS(INDEX(Техника!$F$1:$ABM$500,H$2,0),Техника!$F$4:$ABM$4,"Часы",INDEX(Техника!$G$1:$ABN$500,H$2,0),$A$67,INDEX(Техника!$H$1:$ABO$500,H$2,0),"Д")</f>
        <v>0</v>
      </c>
      <c r="I69" s="50">
        <f>SUMIFS(INDEX(Техника!$F$1:$ABM$500,I$2,0),Техника!$F$4:$ABM$4,"Часы",INDEX(Техника!$G$1:$ABN$500,I$2,0),$A$67,INDEX(Техника!$H$1:$ABO$500,I$2,0),"Д")</f>
        <v>0</v>
      </c>
      <c r="J69" s="50">
        <f>SUMIFS(INDEX(Техника!$F$1:$ABM$500,J$2,0),Техника!$F$4:$ABM$4,"Часы",INDEX(Техника!$G$1:$ABN$500,J$2,0),$A$67,INDEX(Техника!$H$1:$ABO$500,J$2,0),"Д")</f>
        <v>0</v>
      </c>
      <c r="K69" s="50">
        <f>SUMIFS(INDEX(Техника!$F$1:$ABM$500,K$2,0),Техника!$F$4:$ABM$4,"Часы",INDEX(Техника!$G$1:$ABN$500,K$2,0),$A$67,INDEX(Техника!$H$1:$ABO$500,K$2,0),"Д")</f>
        <v>0</v>
      </c>
      <c r="L69" s="50">
        <f>SUMIFS(INDEX(Техника!$F$1:$ABM$500,L$2,0),Техника!$F$4:$ABM$4,"Часы",INDEX(Техника!$G$1:$ABN$500,L$2,0),$A$67,INDEX(Техника!$H$1:$ABO$500,L$2,0),"Д")</f>
        <v>0</v>
      </c>
      <c r="M69" s="50">
        <f>SUMIFS(INDEX(Техника!$F$1:$ABM$500,M$2,0),Техника!$F$4:$ABM$4,"Часы",INDEX(Техника!$G$1:$ABN$500,M$2,0),$A$67,INDEX(Техника!$H$1:$ABO$500,M$2,0),"Д")</f>
        <v>0</v>
      </c>
      <c r="N69" s="50">
        <f>SUMIFS(INDEX(Техника!$F$1:$ABM$500,N$2,0),Техника!$F$4:$ABM$4,"Часы",INDEX(Техника!$G$1:$ABN$500,N$2,0),$A$67,INDEX(Техника!$H$1:$ABO$500,N$2,0),"Д")</f>
        <v>0</v>
      </c>
      <c r="O69" s="50">
        <f>SUMIFS(INDEX(Техника!$F$1:$ABM$500,O$2,0),Техника!$F$4:$ABM$4,"Часы",INDEX(Техника!$G$1:$ABN$500,O$2,0),$A$67,INDEX(Техника!$H$1:$ABO$500,O$2,0),"Д")</f>
        <v>0</v>
      </c>
      <c r="P69" s="50">
        <f>SUMIFS(INDEX(Техника!$F$1:$ABM$500,P$2,0),Техника!$F$4:$ABM$4,"Часы",INDEX(Техника!$G$1:$ABN$500,P$2,0),$A$67,INDEX(Техника!$H$1:$ABO$500,P$2,0),"Д")</f>
        <v>0</v>
      </c>
      <c r="Q69" s="50">
        <f>SUMIFS(INDEX(Техника!$F$1:$ABM$500,Q$2,0),Техника!$F$4:$ABM$4,"Часы",INDEX(Техника!$G$1:$ABN$500,Q$2,0),$A$67,INDEX(Техника!$H$1:$ABO$500,Q$2,0),"Д")</f>
        <v>0</v>
      </c>
      <c r="R69" s="50">
        <f>SUMIFS(INDEX(Техника!$F$1:$ABM$500,R$2,0),Техника!$F$4:$ABM$4,"Часы",INDEX(Техника!$G$1:$ABN$500,R$2,0),$A$67,INDEX(Техника!$H$1:$ABO$500,R$2,0),"Д")</f>
        <v>0</v>
      </c>
      <c r="S69" s="50">
        <f>SUMIFS(INDEX(Техника!$F$1:$ABM$500,S$2,0),Техника!$F$4:$ABM$4,"Часы",INDEX(Техника!$G$1:$ABN$500,S$2,0),$A$67,INDEX(Техника!$H$1:$ABO$500,S$2,0),"Д")</f>
        <v>0</v>
      </c>
      <c r="T69" s="50">
        <f>SUMIFS(INDEX(Техника!$F$1:$ABM$500,T$2,0),Техника!$F$4:$ABM$4,"Часы",INDEX(Техника!$G$1:$ABN$500,T$2,0),$A$67,INDEX(Техника!$H$1:$ABO$500,T$2,0),"Д")</f>
        <v>0</v>
      </c>
      <c r="U69" s="50">
        <f>SUMIFS(INDEX(Техника!$F$1:$ABM$500,U$2,0),Техника!$F$4:$ABM$4,"Часы",INDEX(Техника!$G$1:$ABN$500,U$2,0),$A$67,INDEX(Техника!$H$1:$ABO$500,U$2,0),"Д")</f>
        <v>0</v>
      </c>
      <c r="V69" s="50">
        <f>SUMIFS(INDEX(Техника!$F$1:$ABM$500,V$2,0),Техника!$F$4:$ABM$4,"Часы",INDEX(Техника!$G$1:$ABN$500,V$2,0),$A$67,INDEX(Техника!$H$1:$ABO$500,V$2,0),"Д")</f>
        <v>0</v>
      </c>
      <c r="W69" s="50">
        <f>SUMIFS(INDEX(Техника!$F$1:$ABM$500,W$2,0),Техника!$F$4:$ABM$4,"Часы",INDEX(Техника!$G$1:$ABN$500,W$2,0),$A$67,INDEX(Техника!$H$1:$ABO$500,W$2,0),"Д")</f>
        <v>0</v>
      </c>
      <c r="X69" s="50">
        <f>SUMIFS(INDEX(Техника!$F$1:$ABM$500,X$2,0),Техника!$F$4:$ABM$4,"Часы",INDEX(Техника!$G$1:$ABN$500,X$2,0),$A$67,INDEX(Техника!$H$1:$ABO$500,X$2,0),"Д")</f>
        <v>0</v>
      </c>
      <c r="Y69" s="50">
        <f>SUMIFS(INDEX(Техника!$F$1:$ABM$500,Y$2,0),Техника!$F$4:$ABM$4,"Часы",INDEX(Техника!$G$1:$ABN$500,Y$2,0),$A$67,INDEX(Техника!$H$1:$ABO$500,Y$2,0),"Д")</f>
        <v>0</v>
      </c>
      <c r="Z69" s="50">
        <f>SUMIFS(INDEX(Техника!$F$1:$ABM$500,Z$2,0),Техника!$F$4:$ABM$4,"Часы",INDEX(Техника!$G$1:$ABN$500,Z$2,0),$A$67,INDEX(Техника!$H$1:$ABO$500,Z$2,0),"Д")</f>
        <v>0</v>
      </c>
      <c r="AA69" s="50">
        <f>SUMIFS(INDEX(Техника!$F$1:$ABM$500,AA$2,0),Техника!$F$4:$ABM$4,"Часы",INDEX(Техника!$G$1:$ABN$500,AA$2,0),$A$67,INDEX(Техника!$H$1:$ABO$500,AA$2,0),"Д")</f>
        <v>0</v>
      </c>
      <c r="AB69" s="50">
        <f>SUMIFS(INDEX(Техника!$F$1:$ABM$500,AB$2,0),Техника!$F$4:$ABM$4,"Часы",INDEX(Техника!$G$1:$ABN$500,AB$2,0),$A$67,INDEX(Техника!$H$1:$ABO$500,AB$2,0),"Д")</f>
        <v>0</v>
      </c>
    </row>
    <row r="70" spans="1:28" hidden="1" outlineLevel="1" x14ac:dyDescent="0.3">
      <c r="A70" s="33" t="s">
        <v>276</v>
      </c>
      <c r="B70" s="34" t="s">
        <v>277</v>
      </c>
      <c r="C70" s="50">
        <f>SUMIFS(INDEX(Техника!$F$1:$ABM$500,C$2,0),Техника!$F$4:$ABM$4,"Часы",INDEX(Техника!$G$1:$ABN$500,C$2,0),$A$67,INDEX(Техника!$H$1:$ABO$500,C$2,0),"П")</f>
        <v>0</v>
      </c>
      <c r="D70" s="50">
        <f>SUMIFS(INDEX(Техника!$F$1:$ABM$500,D$2,0),Техника!$F$4:$ABM$4,"Часы",INDEX(Техника!$G$1:$ABN$500,D$2,0),$A$67,INDEX(Техника!$H$1:$ABO$500,D$2,0),"П")</f>
        <v>0</v>
      </c>
      <c r="E70" s="50">
        <f>SUMIFS(INDEX(Техника!$F$1:$ABM$500,E$2,0),Техника!$F$4:$ABM$4,"Часы",INDEX(Техника!$G$1:$ABN$500,E$2,0),$A$67,INDEX(Техника!$H$1:$ABO$500,E$2,0),"П")</f>
        <v>0</v>
      </c>
      <c r="F70" s="50">
        <f>SUMIFS(INDEX(Техника!$F$1:$ABM$500,F$2,0),Техника!$F$4:$ABM$4,"Часы",INDEX(Техника!$G$1:$ABN$500,F$2,0),$A$67,INDEX(Техника!$H$1:$ABO$500,F$2,0),"П")</f>
        <v>0</v>
      </c>
      <c r="G70" s="50">
        <f>SUMIFS(INDEX(Техника!$F$1:$ABM$500,G$2,0),Техника!$F$4:$ABM$4,"Часы",INDEX(Техника!$G$1:$ABN$500,G$2,0),$A$67,INDEX(Техника!$H$1:$ABO$500,G$2,0),"П")</f>
        <v>0</v>
      </c>
      <c r="H70" s="50">
        <f>SUMIFS(INDEX(Техника!$F$1:$ABM$500,H$2,0),Техника!$F$4:$ABM$4,"Часы",INDEX(Техника!$G$1:$ABN$500,H$2,0),$A$67,INDEX(Техника!$H$1:$ABO$500,H$2,0),"П")</f>
        <v>0</v>
      </c>
      <c r="I70" s="50">
        <f>SUMIFS(INDEX(Техника!$F$1:$ABM$500,I$2,0),Техника!$F$4:$ABM$4,"Часы",INDEX(Техника!$G$1:$ABN$500,I$2,0),$A$67,INDEX(Техника!$H$1:$ABO$500,I$2,0),"П")</f>
        <v>0</v>
      </c>
      <c r="J70" s="50">
        <f>SUMIFS(INDEX(Техника!$F$1:$ABM$500,J$2,0),Техника!$F$4:$ABM$4,"Часы",INDEX(Техника!$G$1:$ABN$500,J$2,0),$A$67,INDEX(Техника!$H$1:$ABO$500,J$2,0),"П")</f>
        <v>0</v>
      </c>
      <c r="K70" s="50">
        <f>SUMIFS(INDEX(Техника!$F$1:$ABM$500,K$2,0),Техника!$F$4:$ABM$4,"Часы",INDEX(Техника!$G$1:$ABN$500,K$2,0),$A$67,INDEX(Техника!$H$1:$ABO$500,K$2,0),"П")</f>
        <v>0</v>
      </c>
      <c r="L70" s="50">
        <f>SUMIFS(INDEX(Техника!$F$1:$ABM$500,L$2,0),Техника!$F$4:$ABM$4,"Часы",INDEX(Техника!$G$1:$ABN$500,L$2,0),$A$67,INDEX(Техника!$H$1:$ABO$500,L$2,0),"П")</f>
        <v>0</v>
      </c>
      <c r="M70" s="50">
        <f>SUMIFS(INDEX(Техника!$F$1:$ABM$500,M$2,0),Техника!$F$4:$ABM$4,"Часы",INDEX(Техника!$G$1:$ABN$500,M$2,0),$A$67,INDEX(Техника!$H$1:$ABO$500,M$2,0),"П")</f>
        <v>0</v>
      </c>
      <c r="N70" s="50">
        <f>SUMIFS(INDEX(Техника!$F$1:$ABM$500,N$2,0),Техника!$F$4:$ABM$4,"Часы",INDEX(Техника!$G$1:$ABN$500,N$2,0),$A$67,INDEX(Техника!$H$1:$ABO$500,N$2,0),"П")</f>
        <v>0</v>
      </c>
      <c r="O70" s="50">
        <f>SUMIFS(INDEX(Техника!$F$1:$ABM$500,O$2,0),Техника!$F$4:$ABM$4,"Часы",INDEX(Техника!$G$1:$ABN$500,O$2,0),$A$67,INDEX(Техника!$H$1:$ABO$500,O$2,0),"П")</f>
        <v>0</v>
      </c>
      <c r="P70" s="50">
        <f>SUMIFS(INDEX(Техника!$F$1:$ABM$500,P$2,0),Техника!$F$4:$ABM$4,"Часы",INDEX(Техника!$G$1:$ABN$500,P$2,0),$A$67,INDEX(Техника!$H$1:$ABO$500,P$2,0),"П")</f>
        <v>0</v>
      </c>
      <c r="Q70" s="50">
        <f>SUMIFS(INDEX(Техника!$F$1:$ABM$500,Q$2,0),Техника!$F$4:$ABM$4,"Часы",INDEX(Техника!$G$1:$ABN$500,Q$2,0),$A$67,INDEX(Техника!$H$1:$ABO$500,Q$2,0),"П")</f>
        <v>0</v>
      </c>
      <c r="R70" s="50">
        <f>SUMIFS(INDEX(Техника!$F$1:$ABM$500,R$2,0),Техника!$F$4:$ABM$4,"Часы",INDEX(Техника!$G$1:$ABN$500,R$2,0),$A$67,INDEX(Техника!$H$1:$ABO$500,R$2,0),"П")</f>
        <v>0</v>
      </c>
      <c r="S70" s="50">
        <f>SUMIFS(INDEX(Техника!$F$1:$ABM$500,S$2,0),Техника!$F$4:$ABM$4,"Часы",INDEX(Техника!$G$1:$ABN$500,S$2,0),$A$67,INDEX(Техника!$H$1:$ABO$500,S$2,0),"П")</f>
        <v>0</v>
      </c>
      <c r="T70" s="50">
        <f>SUMIFS(INDEX(Техника!$F$1:$ABM$500,T$2,0),Техника!$F$4:$ABM$4,"Часы",INDEX(Техника!$G$1:$ABN$500,T$2,0),$A$67,INDEX(Техника!$H$1:$ABO$500,T$2,0),"П")</f>
        <v>0</v>
      </c>
      <c r="U70" s="50">
        <f>SUMIFS(INDEX(Техника!$F$1:$ABM$500,U$2,0),Техника!$F$4:$ABM$4,"Часы",INDEX(Техника!$G$1:$ABN$500,U$2,0),$A$67,INDEX(Техника!$H$1:$ABO$500,U$2,0),"П")</f>
        <v>0</v>
      </c>
      <c r="V70" s="50">
        <f>SUMIFS(INDEX(Техника!$F$1:$ABM$500,V$2,0),Техника!$F$4:$ABM$4,"Часы",INDEX(Техника!$G$1:$ABN$500,V$2,0),$A$67,INDEX(Техника!$H$1:$ABO$500,V$2,0),"П")</f>
        <v>0</v>
      </c>
      <c r="W70" s="50">
        <f>SUMIFS(INDEX(Техника!$F$1:$ABM$500,W$2,0),Техника!$F$4:$ABM$4,"Часы",INDEX(Техника!$G$1:$ABN$500,W$2,0),$A$67,INDEX(Техника!$H$1:$ABO$500,W$2,0),"П")</f>
        <v>0</v>
      </c>
      <c r="X70" s="50">
        <f>SUMIFS(INDEX(Техника!$F$1:$ABM$500,X$2,0),Техника!$F$4:$ABM$4,"Часы",INDEX(Техника!$G$1:$ABN$500,X$2,0),$A$67,INDEX(Техника!$H$1:$ABO$500,X$2,0),"П")</f>
        <v>0</v>
      </c>
      <c r="Y70" s="50">
        <f>SUMIFS(INDEX(Техника!$F$1:$ABM$500,Y$2,0),Техника!$F$4:$ABM$4,"Часы",INDEX(Техника!$G$1:$ABN$500,Y$2,0),$A$67,INDEX(Техника!$H$1:$ABO$500,Y$2,0),"П")</f>
        <v>0</v>
      </c>
      <c r="Z70" s="50">
        <f>SUMIFS(INDEX(Техника!$F$1:$ABM$500,Z$2,0),Техника!$F$4:$ABM$4,"Часы",INDEX(Техника!$G$1:$ABN$500,Z$2,0),$A$67,INDEX(Техника!$H$1:$ABO$500,Z$2,0),"П")</f>
        <v>0</v>
      </c>
      <c r="AA70" s="50">
        <f>SUMIFS(INDEX(Техника!$F$1:$ABM$500,AA$2,0),Техника!$F$4:$ABM$4,"Часы",INDEX(Техника!$G$1:$ABN$500,AA$2,0),$A$67,INDEX(Техника!$H$1:$ABO$500,AA$2,0),"П")</f>
        <v>0</v>
      </c>
      <c r="AB70" s="50">
        <f>SUMIFS(INDEX(Техника!$F$1:$ABM$500,AB$2,0),Техника!$F$4:$ABM$4,"Часы",INDEX(Техника!$G$1:$ABN$500,AB$2,0),$A$67,INDEX(Техника!$H$1:$ABO$500,AB$2,0),"П")</f>
        <v>0</v>
      </c>
    </row>
    <row r="71" spans="1:28" hidden="1" outlineLevel="1" x14ac:dyDescent="0.3">
      <c r="A71" s="33" t="s">
        <v>243</v>
      </c>
      <c r="B71" s="34" t="s">
        <v>278</v>
      </c>
      <c r="C71" s="50">
        <f>SUMIFS(INDEX(Техника!$F$1:$ABM$500,C$2,0),Техника!$F$4:$ABM$4,"Часы",INDEX(Техника!$G$1:$ABN$500,C$2,0),$A$67,INDEX(Техника!$H$1:$ABO$500,C$2,0),"Л")</f>
        <v>0</v>
      </c>
      <c r="D71" s="50">
        <f>SUMIFS(INDEX(Техника!$F$1:$ABM$500,D$2,0),Техника!$F$4:$ABM$4,"Часы",INDEX(Техника!$G$1:$ABN$500,D$2,0),$A$67,INDEX(Техника!$H$1:$ABO$500,D$2,0),"Л")</f>
        <v>0</v>
      </c>
      <c r="E71" s="50">
        <f>SUMIFS(INDEX(Техника!$F$1:$ABM$500,E$2,0),Техника!$F$4:$ABM$4,"Часы",INDEX(Техника!$G$1:$ABN$500,E$2,0),$A$67,INDEX(Техника!$H$1:$ABO$500,E$2,0),"Л")</f>
        <v>0</v>
      </c>
      <c r="F71" s="50">
        <f>SUMIFS(INDEX(Техника!$F$1:$ABM$500,F$2,0),Техника!$F$4:$ABM$4,"Часы",INDEX(Техника!$G$1:$ABN$500,F$2,0),$A$67,INDEX(Техника!$H$1:$ABO$500,F$2,0),"Л")</f>
        <v>0</v>
      </c>
      <c r="G71" s="50">
        <f>SUMIFS(INDEX(Техника!$F$1:$ABM$500,G$2,0),Техника!$F$4:$ABM$4,"Часы",INDEX(Техника!$G$1:$ABN$500,G$2,0),$A$67,INDEX(Техника!$H$1:$ABO$500,G$2,0),"Л")</f>
        <v>0</v>
      </c>
      <c r="H71" s="50">
        <f>SUMIFS(INDEX(Техника!$F$1:$ABM$500,H$2,0),Техника!$F$4:$ABM$4,"Часы",INDEX(Техника!$G$1:$ABN$500,H$2,0),$A$67,INDEX(Техника!$H$1:$ABO$500,H$2,0),"Л")</f>
        <v>0</v>
      </c>
      <c r="I71" s="50">
        <f>SUMIFS(INDEX(Техника!$F$1:$ABM$500,I$2,0),Техника!$F$4:$ABM$4,"Часы",INDEX(Техника!$G$1:$ABN$500,I$2,0),$A$67,INDEX(Техника!$H$1:$ABO$500,I$2,0),"Л")</f>
        <v>0</v>
      </c>
      <c r="J71" s="50">
        <f>SUMIFS(INDEX(Техника!$F$1:$ABM$500,J$2,0),Техника!$F$4:$ABM$4,"Часы",INDEX(Техника!$G$1:$ABN$500,J$2,0),$A$67,INDEX(Техника!$H$1:$ABO$500,J$2,0),"Л")</f>
        <v>0</v>
      </c>
      <c r="K71" s="50">
        <f>SUMIFS(INDEX(Техника!$F$1:$ABM$500,K$2,0),Техника!$F$4:$ABM$4,"Часы",INDEX(Техника!$G$1:$ABN$500,K$2,0),$A$67,INDEX(Техника!$H$1:$ABO$500,K$2,0),"Л")</f>
        <v>0</v>
      </c>
      <c r="L71" s="50">
        <f>SUMIFS(INDEX(Техника!$F$1:$ABM$500,L$2,0),Техника!$F$4:$ABM$4,"Часы",INDEX(Техника!$G$1:$ABN$500,L$2,0),$A$67,INDEX(Техника!$H$1:$ABO$500,L$2,0),"Л")</f>
        <v>0</v>
      </c>
      <c r="M71" s="50">
        <f>SUMIFS(INDEX(Техника!$F$1:$ABM$500,M$2,0),Техника!$F$4:$ABM$4,"Часы",INDEX(Техника!$G$1:$ABN$500,M$2,0),$A$67,INDEX(Техника!$H$1:$ABO$500,M$2,0),"Л")</f>
        <v>0</v>
      </c>
      <c r="N71" s="50">
        <f>SUMIFS(INDEX(Техника!$F$1:$ABM$500,N$2,0),Техника!$F$4:$ABM$4,"Часы",INDEX(Техника!$G$1:$ABN$500,N$2,0),$A$67,INDEX(Техника!$H$1:$ABO$500,N$2,0),"Л")</f>
        <v>0</v>
      </c>
      <c r="O71" s="50">
        <f>SUMIFS(INDEX(Техника!$F$1:$ABM$500,O$2,0),Техника!$F$4:$ABM$4,"Часы",INDEX(Техника!$G$1:$ABN$500,O$2,0),$A$67,INDEX(Техника!$H$1:$ABO$500,O$2,0),"Л")</f>
        <v>0</v>
      </c>
      <c r="P71" s="50">
        <f>SUMIFS(INDEX(Техника!$F$1:$ABM$500,P$2,0),Техника!$F$4:$ABM$4,"Часы",INDEX(Техника!$G$1:$ABN$500,P$2,0),$A$67,INDEX(Техника!$H$1:$ABO$500,P$2,0),"Л")</f>
        <v>0</v>
      </c>
      <c r="Q71" s="50">
        <f>SUMIFS(INDEX(Техника!$F$1:$ABM$500,Q$2,0),Техника!$F$4:$ABM$4,"Часы",INDEX(Техника!$G$1:$ABN$500,Q$2,0),$A$67,INDEX(Техника!$H$1:$ABO$500,Q$2,0),"Л")</f>
        <v>0</v>
      </c>
      <c r="R71" s="50">
        <f>SUMIFS(INDEX(Техника!$F$1:$ABM$500,R$2,0),Техника!$F$4:$ABM$4,"Часы",INDEX(Техника!$G$1:$ABN$500,R$2,0),$A$67,INDEX(Техника!$H$1:$ABO$500,R$2,0),"Л")</f>
        <v>0</v>
      </c>
      <c r="S71" s="50">
        <f>SUMIFS(INDEX(Техника!$F$1:$ABM$500,S$2,0),Техника!$F$4:$ABM$4,"Часы",INDEX(Техника!$G$1:$ABN$500,S$2,0),$A$67,INDEX(Техника!$H$1:$ABO$500,S$2,0),"Л")</f>
        <v>0</v>
      </c>
      <c r="T71" s="50">
        <f>SUMIFS(INDEX(Техника!$F$1:$ABM$500,T$2,0),Техника!$F$4:$ABM$4,"Часы",INDEX(Техника!$G$1:$ABN$500,T$2,0),$A$67,INDEX(Техника!$H$1:$ABO$500,T$2,0),"Л")</f>
        <v>0</v>
      </c>
      <c r="U71" s="50">
        <f>SUMIFS(INDEX(Техника!$F$1:$ABM$500,U$2,0),Техника!$F$4:$ABM$4,"Часы",INDEX(Техника!$G$1:$ABN$500,U$2,0),$A$67,INDEX(Техника!$H$1:$ABO$500,U$2,0),"Л")</f>
        <v>0</v>
      </c>
      <c r="V71" s="50">
        <f>SUMIFS(INDEX(Техника!$F$1:$ABM$500,V$2,0),Техника!$F$4:$ABM$4,"Часы",INDEX(Техника!$G$1:$ABN$500,V$2,0),$A$67,INDEX(Техника!$H$1:$ABO$500,V$2,0),"Л")</f>
        <v>0</v>
      </c>
      <c r="W71" s="50">
        <f>SUMIFS(INDEX(Техника!$F$1:$ABM$500,W$2,0),Техника!$F$4:$ABM$4,"Часы",INDEX(Техника!$G$1:$ABN$500,W$2,0),$A$67,INDEX(Техника!$H$1:$ABO$500,W$2,0),"Л")</f>
        <v>0</v>
      </c>
      <c r="X71" s="50">
        <f>SUMIFS(INDEX(Техника!$F$1:$ABM$500,X$2,0),Техника!$F$4:$ABM$4,"Часы",INDEX(Техника!$G$1:$ABN$500,X$2,0),$A$67,INDEX(Техника!$H$1:$ABO$500,X$2,0),"Л")</f>
        <v>0</v>
      </c>
      <c r="Y71" s="50">
        <f>SUMIFS(INDEX(Техника!$F$1:$ABM$500,Y$2,0),Техника!$F$4:$ABM$4,"Часы",INDEX(Техника!$G$1:$ABN$500,Y$2,0),$A$67,INDEX(Техника!$H$1:$ABO$500,Y$2,0),"Л")</f>
        <v>0</v>
      </c>
      <c r="Z71" s="50">
        <f>SUMIFS(INDEX(Техника!$F$1:$ABM$500,Z$2,0),Техника!$F$4:$ABM$4,"Часы",INDEX(Техника!$G$1:$ABN$500,Z$2,0),$A$67,INDEX(Техника!$H$1:$ABO$500,Z$2,0),"Л")</f>
        <v>0</v>
      </c>
      <c r="AA71" s="50">
        <f>SUMIFS(INDEX(Техника!$F$1:$ABM$500,AA$2,0),Техника!$F$4:$ABM$4,"Часы",INDEX(Техника!$G$1:$ABN$500,AA$2,0),$A$67,INDEX(Техника!$H$1:$ABO$500,AA$2,0),"Л")</f>
        <v>0</v>
      </c>
      <c r="AB71" s="50">
        <f>SUMIFS(INDEX(Техника!$F$1:$ABM$500,AB$2,0),Техника!$F$4:$ABM$4,"Часы",INDEX(Техника!$G$1:$ABN$500,AB$2,0),$A$67,INDEX(Техника!$H$1:$ABO$500,AB$2,0),"Л")</f>
        <v>0</v>
      </c>
    </row>
    <row r="72" spans="1:28" hidden="1" outlineLevel="1" x14ac:dyDescent="0.3">
      <c r="A72" s="33" t="s">
        <v>245</v>
      </c>
      <c r="B72" s="34" t="s">
        <v>279</v>
      </c>
      <c r="C72" s="50">
        <f>SUMIFS(INDEX(Техника!$F$1:$ABM$500,C$2,0),Техника!$F$4:$ABM$4,"Часы",INDEX(Техника!$G$1:$ABN$500,C$2,0),$A$67,INDEX(Техника!$H$1:$ABO$500,C$2,0),"З")</f>
        <v>0</v>
      </c>
      <c r="D72" s="50">
        <f>SUMIFS(INDEX(Техника!$F$1:$ABM$500,D$2,0),Техника!$F$4:$ABM$4,"Часы",INDEX(Техника!$G$1:$ABN$500,D$2,0),$A$67,INDEX(Техника!$H$1:$ABO$500,D$2,0),"З")</f>
        <v>0</v>
      </c>
      <c r="E72" s="50">
        <f>SUMIFS(INDEX(Техника!$F$1:$ABM$500,E$2,0),Техника!$F$4:$ABM$4,"Часы",INDEX(Техника!$G$1:$ABN$500,E$2,0),$A$67,INDEX(Техника!$H$1:$ABO$500,E$2,0),"З")</f>
        <v>0</v>
      </c>
      <c r="F72" s="50">
        <f>SUMIFS(INDEX(Техника!$F$1:$ABM$500,F$2,0),Техника!$F$4:$ABM$4,"Часы",INDEX(Техника!$G$1:$ABN$500,F$2,0),$A$67,INDEX(Техника!$H$1:$ABO$500,F$2,0),"З")</f>
        <v>0</v>
      </c>
      <c r="G72" s="50">
        <f>SUMIFS(INDEX(Техника!$F$1:$ABM$500,G$2,0),Техника!$F$4:$ABM$4,"Часы",INDEX(Техника!$G$1:$ABN$500,G$2,0),$A$67,INDEX(Техника!$H$1:$ABO$500,G$2,0),"З")</f>
        <v>0</v>
      </c>
      <c r="H72" s="50">
        <f>SUMIFS(INDEX(Техника!$F$1:$ABM$500,H$2,0),Техника!$F$4:$ABM$4,"Часы",INDEX(Техника!$G$1:$ABN$500,H$2,0),$A$67,INDEX(Техника!$H$1:$ABO$500,H$2,0),"З")</f>
        <v>0</v>
      </c>
      <c r="I72" s="50">
        <f>SUMIFS(INDEX(Техника!$F$1:$ABM$500,I$2,0),Техника!$F$4:$ABM$4,"Часы",INDEX(Техника!$G$1:$ABN$500,I$2,0),$A$67,INDEX(Техника!$H$1:$ABO$500,I$2,0),"З")</f>
        <v>0</v>
      </c>
      <c r="J72" s="50">
        <f>SUMIFS(INDEX(Техника!$F$1:$ABM$500,J$2,0),Техника!$F$4:$ABM$4,"Часы",INDEX(Техника!$G$1:$ABN$500,J$2,0),$A$67,INDEX(Техника!$H$1:$ABO$500,J$2,0),"З")</f>
        <v>0</v>
      </c>
      <c r="K72" s="50">
        <f>SUMIFS(INDEX(Техника!$F$1:$ABM$500,K$2,0),Техника!$F$4:$ABM$4,"Часы",INDEX(Техника!$G$1:$ABN$500,K$2,0),$A$67,INDEX(Техника!$H$1:$ABO$500,K$2,0),"З")</f>
        <v>0</v>
      </c>
      <c r="L72" s="50">
        <f>SUMIFS(INDEX(Техника!$F$1:$ABM$500,L$2,0),Техника!$F$4:$ABM$4,"Часы",INDEX(Техника!$G$1:$ABN$500,L$2,0),$A$67,INDEX(Техника!$H$1:$ABO$500,L$2,0),"З")</f>
        <v>0</v>
      </c>
      <c r="M72" s="50">
        <f>SUMIFS(INDEX(Техника!$F$1:$ABM$500,M$2,0),Техника!$F$4:$ABM$4,"Часы",INDEX(Техника!$G$1:$ABN$500,M$2,0),$A$67,INDEX(Техника!$H$1:$ABO$500,M$2,0),"З")</f>
        <v>0</v>
      </c>
      <c r="N72" s="50">
        <f>SUMIFS(INDEX(Техника!$F$1:$ABM$500,N$2,0),Техника!$F$4:$ABM$4,"Часы",INDEX(Техника!$G$1:$ABN$500,N$2,0),$A$67,INDEX(Техника!$H$1:$ABO$500,N$2,0),"З")</f>
        <v>0</v>
      </c>
      <c r="O72" s="50">
        <f>SUMIFS(INDEX(Техника!$F$1:$ABM$500,O$2,0),Техника!$F$4:$ABM$4,"Часы",INDEX(Техника!$G$1:$ABN$500,O$2,0),$A$67,INDEX(Техника!$H$1:$ABO$500,O$2,0),"З")</f>
        <v>0</v>
      </c>
      <c r="P72" s="50">
        <f>SUMIFS(INDEX(Техника!$F$1:$ABM$500,P$2,0),Техника!$F$4:$ABM$4,"Часы",INDEX(Техника!$G$1:$ABN$500,P$2,0),$A$67,INDEX(Техника!$H$1:$ABO$500,P$2,0),"З")</f>
        <v>0</v>
      </c>
      <c r="Q72" s="50">
        <f>SUMIFS(INDEX(Техника!$F$1:$ABM$500,Q$2,0),Техника!$F$4:$ABM$4,"Часы",INDEX(Техника!$G$1:$ABN$500,Q$2,0),$A$67,INDEX(Техника!$H$1:$ABO$500,Q$2,0),"З")</f>
        <v>0</v>
      </c>
      <c r="R72" s="50">
        <f>SUMIFS(INDEX(Техника!$F$1:$ABM$500,R$2,0),Техника!$F$4:$ABM$4,"Часы",INDEX(Техника!$G$1:$ABN$500,R$2,0),$A$67,INDEX(Техника!$H$1:$ABO$500,R$2,0),"З")</f>
        <v>0</v>
      </c>
      <c r="S72" s="50">
        <f>SUMIFS(INDEX(Техника!$F$1:$ABM$500,S$2,0),Техника!$F$4:$ABM$4,"Часы",INDEX(Техника!$G$1:$ABN$500,S$2,0),$A$67,INDEX(Техника!$H$1:$ABO$500,S$2,0),"З")</f>
        <v>0</v>
      </c>
      <c r="T72" s="50">
        <f>SUMIFS(INDEX(Техника!$F$1:$ABM$500,T$2,0),Техника!$F$4:$ABM$4,"Часы",INDEX(Техника!$G$1:$ABN$500,T$2,0),$A$67,INDEX(Техника!$H$1:$ABO$500,T$2,0),"З")</f>
        <v>0</v>
      </c>
      <c r="U72" s="50">
        <f>SUMIFS(INDEX(Техника!$F$1:$ABM$500,U$2,0),Техника!$F$4:$ABM$4,"Часы",INDEX(Техника!$G$1:$ABN$500,U$2,0),$A$67,INDEX(Техника!$H$1:$ABO$500,U$2,0),"З")</f>
        <v>0</v>
      </c>
      <c r="V72" s="50">
        <f>SUMIFS(INDEX(Техника!$F$1:$ABM$500,V$2,0),Техника!$F$4:$ABM$4,"Часы",INDEX(Техника!$G$1:$ABN$500,V$2,0),$A$67,INDEX(Техника!$H$1:$ABO$500,V$2,0),"З")</f>
        <v>0</v>
      </c>
      <c r="W72" s="50">
        <f>SUMIFS(INDEX(Техника!$F$1:$ABM$500,W$2,0),Техника!$F$4:$ABM$4,"Часы",INDEX(Техника!$G$1:$ABN$500,W$2,0),$A$67,INDEX(Техника!$H$1:$ABO$500,W$2,0),"З")</f>
        <v>0</v>
      </c>
      <c r="X72" s="50">
        <f>SUMIFS(INDEX(Техника!$F$1:$ABM$500,X$2,0),Техника!$F$4:$ABM$4,"Часы",INDEX(Техника!$G$1:$ABN$500,X$2,0),$A$67,INDEX(Техника!$H$1:$ABO$500,X$2,0),"З")</f>
        <v>0</v>
      </c>
      <c r="Y72" s="50">
        <f>SUMIFS(INDEX(Техника!$F$1:$ABM$500,Y$2,0),Техника!$F$4:$ABM$4,"Часы",INDEX(Техника!$G$1:$ABN$500,Y$2,0),$A$67,INDEX(Техника!$H$1:$ABO$500,Y$2,0),"З")</f>
        <v>0</v>
      </c>
      <c r="Z72" s="50">
        <f>SUMIFS(INDEX(Техника!$F$1:$ABM$500,Z$2,0),Техника!$F$4:$ABM$4,"Часы",INDEX(Техника!$G$1:$ABN$500,Z$2,0),$A$67,INDEX(Техника!$H$1:$ABO$500,Z$2,0),"З")</f>
        <v>0</v>
      </c>
      <c r="AA72" s="50">
        <f>SUMIFS(INDEX(Техника!$F$1:$ABM$500,AA$2,0),Техника!$F$4:$ABM$4,"Часы",INDEX(Техника!$G$1:$ABN$500,AA$2,0),$A$67,INDEX(Техника!$H$1:$ABO$500,AA$2,0),"З")</f>
        <v>0</v>
      </c>
      <c r="AB72" s="50">
        <f>SUMIFS(INDEX(Техника!$F$1:$ABM$500,AB$2,0),Техника!$F$4:$ABM$4,"Часы",INDEX(Техника!$G$1:$ABN$500,AB$2,0),$A$67,INDEX(Техника!$H$1:$ABO$500,AB$2,0),"З")</f>
        <v>0</v>
      </c>
    </row>
    <row r="73" spans="1:28" ht="7.95" customHeight="1" x14ac:dyDescent="0.3">
      <c r="A73" s="38"/>
      <c r="B73" s="39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 spans="1:28" ht="25.05" customHeight="1" collapsed="1" x14ac:dyDescent="0.3">
      <c r="A74" s="32">
        <v>11</v>
      </c>
      <c r="B74" s="32" t="s">
        <v>12</v>
      </c>
      <c r="C74" s="49">
        <f>SUM(C75:C79)</f>
        <v>0</v>
      </c>
      <c r="D74" s="49">
        <f>SUM(D75:D79)</f>
        <v>0</v>
      </c>
      <c r="E74" s="49">
        <f>SUM(E75:E79)</f>
        <v>0</v>
      </c>
      <c r="F74" s="49">
        <f>SUM(F75:F79)</f>
        <v>0</v>
      </c>
      <c r="G74" s="49">
        <f>SUM(G75:G79)</f>
        <v>0</v>
      </c>
      <c r="H74" s="49">
        <f>SUM(H75:H79)</f>
        <v>0</v>
      </c>
      <c r="I74" s="49">
        <f>SUM(I75:I79)</f>
        <v>0</v>
      </c>
      <c r="J74" s="49">
        <f>SUM(J75:J79)</f>
        <v>0</v>
      </c>
      <c r="K74" s="49">
        <f>SUM(K75:K79)</f>
        <v>0</v>
      </c>
      <c r="L74" s="49">
        <f>SUM(L75:L79)</f>
        <v>0</v>
      </c>
      <c r="M74" s="49">
        <f>SUM(M75:M79)</f>
        <v>0</v>
      </c>
      <c r="N74" s="49">
        <f>SUM(N75:N79)</f>
        <v>0</v>
      </c>
      <c r="O74" s="49">
        <f>SUM(O75:O79)</f>
        <v>0</v>
      </c>
      <c r="P74" s="49">
        <f>SUM(P75:P79)</f>
        <v>0</v>
      </c>
      <c r="Q74" s="49">
        <f>SUM(Q75:Q79)</f>
        <v>0</v>
      </c>
      <c r="R74" s="49">
        <f>SUM(R75:R79)</f>
        <v>0</v>
      </c>
      <c r="S74" s="49">
        <f>SUM(S75:S79)</f>
        <v>0</v>
      </c>
      <c r="T74" s="49">
        <f>SUM(T75:T79)</f>
        <v>0</v>
      </c>
      <c r="U74" s="49">
        <f>SUM(U75:U79)</f>
        <v>0</v>
      </c>
      <c r="V74" s="49">
        <f>SUM(V75:V79)</f>
        <v>0</v>
      </c>
      <c r="W74" s="49">
        <f>SUM(W75:W79)</f>
        <v>0</v>
      </c>
      <c r="X74" s="49">
        <f>SUM(X75:X79)</f>
        <v>0</v>
      </c>
      <c r="Y74" s="49">
        <f>SUM(Y75:Y79)</f>
        <v>0</v>
      </c>
      <c r="Z74" s="49">
        <f>SUM(Z75:Z79)</f>
        <v>0</v>
      </c>
      <c r="AA74" s="49">
        <f>SUM(AA75:AA79)</f>
        <v>0</v>
      </c>
      <c r="AB74" s="49">
        <f>SUM(AB75:AB79)</f>
        <v>0</v>
      </c>
    </row>
    <row r="75" spans="1:28" hidden="1" outlineLevel="1" x14ac:dyDescent="0.3">
      <c r="A75" s="33" t="s">
        <v>246</v>
      </c>
      <c r="B75" s="34" t="s">
        <v>274</v>
      </c>
      <c r="C75" s="50">
        <f>SUMIFS(INDEX(Техника!$F$1:$ABM$500,C$2,0),Техника!$F$4:$ABM$4,"Часы",INDEX(Техника!$G$1:$ABN$500,C$2,0),$A$74,INDEX(Техника!$H$1:$ABO$500,C$2,0),"М")</f>
        <v>0</v>
      </c>
      <c r="D75" s="50">
        <f>SUMIFS(INDEX(Техника!$F$1:$ABM$500,D$2,0),Техника!$F$4:$ABM$4,"Часы",INDEX(Техника!$G$1:$ABN$500,D$2,0),$A$74,INDEX(Техника!$H$1:$ABO$500,D$2,0),"М")</f>
        <v>0</v>
      </c>
      <c r="E75" s="50">
        <f>SUMIFS(INDEX(Техника!$F$1:$ABM$500,E$2,0),Техника!$F$4:$ABM$4,"Часы",INDEX(Техника!$G$1:$ABN$500,E$2,0),$A$74,INDEX(Техника!$H$1:$ABO$500,E$2,0),"М")</f>
        <v>0</v>
      </c>
      <c r="F75" s="50">
        <f>SUMIFS(INDEX(Техника!$F$1:$ABM$500,F$2,0),Техника!$F$4:$ABM$4,"Часы",INDEX(Техника!$G$1:$ABN$500,F$2,0),$A$74,INDEX(Техника!$H$1:$ABO$500,F$2,0),"М")</f>
        <v>0</v>
      </c>
      <c r="G75" s="50">
        <f>SUMIFS(INDEX(Техника!$F$1:$ABM$500,G$2,0),Техника!$F$4:$ABM$4,"Часы",INDEX(Техника!$G$1:$ABN$500,G$2,0),$A$74,INDEX(Техника!$H$1:$ABO$500,G$2,0),"М")</f>
        <v>0</v>
      </c>
      <c r="H75" s="50">
        <f>SUMIFS(INDEX(Техника!$F$1:$ABM$500,H$2,0),Техника!$F$4:$ABM$4,"Часы",INDEX(Техника!$G$1:$ABN$500,H$2,0),$A$74,INDEX(Техника!$H$1:$ABO$500,H$2,0),"М")</f>
        <v>0</v>
      </c>
      <c r="I75" s="50">
        <f>SUMIFS(INDEX(Техника!$F$1:$ABM$500,I$2,0),Техника!$F$4:$ABM$4,"Часы",INDEX(Техника!$G$1:$ABN$500,I$2,0),$A$74,INDEX(Техника!$H$1:$ABO$500,I$2,0),"М")</f>
        <v>0</v>
      </c>
      <c r="J75" s="50">
        <f>SUMIFS(INDEX(Техника!$F$1:$ABM$500,J$2,0),Техника!$F$4:$ABM$4,"Часы",INDEX(Техника!$G$1:$ABN$500,J$2,0),$A$74,INDEX(Техника!$H$1:$ABO$500,J$2,0),"М")</f>
        <v>0</v>
      </c>
      <c r="K75" s="50">
        <f>SUMIFS(INDEX(Техника!$F$1:$ABM$500,K$2,0),Техника!$F$4:$ABM$4,"Часы",INDEX(Техника!$G$1:$ABN$500,K$2,0),$A$74,INDEX(Техника!$H$1:$ABO$500,K$2,0),"М")</f>
        <v>0</v>
      </c>
      <c r="L75" s="50">
        <f>SUMIFS(INDEX(Техника!$F$1:$ABM$500,L$2,0),Техника!$F$4:$ABM$4,"Часы",INDEX(Техника!$G$1:$ABN$500,L$2,0),$A$74,INDEX(Техника!$H$1:$ABO$500,L$2,0),"М")</f>
        <v>0</v>
      </c>
      <c r="M75" s="50">
        <f>SUMIFS(INDEX(Техника!$F$1:$ABM$500,M$2,0),Техника!$F$4:$ABM$4,"Часы",INDEX(Техника!$G$1:$ABN$500,M$2,0),$A$74,INDEX(Техника!$H$1:$ABO$500,M$2,0),"М")</f>
        <v>0</v>
      </c>
      <c r="N75" s="50">
        <f>SUMIFS(INDEX(Техника!$F$1:$ABM$500,N$2,0),Техника!$F$4:$ABM$4,"Часы",INDEX(Техника!$G$1:$ABN$500,N$2,0),$A$74,INDEX(Техника!$H$1:$ABO$500,N$2,0),"М")</f>
        <v>0</v>
      </c>
      <c r="O75" s="50">
        <f>SUMIFS(INDEX(Техника!$F$1:$ABM$500,O$2,0),Техника!$F$4:$ABM$4,"Часы",INDEX(Техника!$G$1:$ABN$500,O$2,0),$A$74,INDEX(Техника!$H$1:$ABO$500,O$2,0),"М")</f>
        <v>0</v>
      </c>
      <c r="P75" s="50">
        <f>SUMIFS(INDEX(Техника!$F$1:$ABM$500,P$2,0),Техника!$F$4:$ABM$4,"Часы",INDEX(Техника!$G$1:$ABN$500,P$2,0),$A$74,INDEX(Техника!$H$1:$ABO$500,P$2,0),"М")</f>
        <v>0</v>
      </c>
      <c r="Q75" s="50">
        <f>SUMIFS(INDEX(Техника!$F$1:$ABM$500,Q$2,0),Техника!$F$4:$ABM$4,"Часы",INDEX(Техника!$G$1:$ABN$500,Q$2,0),$A$74,INDEX(Техника!$H$1:$ABO$500,Q$2,0),"М")</f>
        <v>0</v>
      </c>
      <c r="R75" s="50">
        <f>SUMIFS(INDEX(Техника!$F$1:$ABM$500,R$2,0),Техника!$F$4:$ABM$4,"Часы",INDEX(Техника!$G$1:$ABN$500,R$2,0),$A$74,INDEX(Техника!$H$1:$ABO$500,R$2,0),"М")</f>
        <v>0</v>
      </c>
      <c r="S75" s="50">
        <f>SUMIFS(INDEX(Техника!$F$1:$ABM$500,S$2,0),Техника!$F$4:$ABM$4,"Часы",INDEX(Техника!$G$1:$ABN$500,S$2,0),$A$74,INDEX(Техника!$H$1:$ABO$500,S$2,0),"М")</f>
        <v>0</v>
      </c>
      <c r="T75" s="50">
        <f>SUMIFS(INDEX(Техника!$F$1:$ABM$500,T$2,0),Техника!$F$4:$ABM$4,"Часы",INDEX(Техника!$G$1:$ABN$500,T$2,0),$A$74,INDEX(Техника!$H$1:$ABO$500,T$2,0),"М")</f>
        <v>0</v>
      </c>
      <c r="U75" s="50">
        <f>SUMIFS(INDEX(Техника!$F$1:$ABM$500,U$2,0),Техника!$F$4:$ABM$4,"Часы",INDEX(Техника!$G$1:$ABN$500,U$2,0),$A$74,INDEX(Техника!$H$1:$ABO$500,U$2,0),"М")</f>
        <v>0</v>
      </c>
      <c r="V75" s="50">
        <f>SUMIFS(INDEX(Техника!$F$1:$ABM$500,V$2,0),Техника!$F$4:$ABM$4,"Часы",INDEX(Техника!$G$1:$ABN$500,V$2,0),$A$74,INDEX(Техника!$H$1:$ABO$500,V$2,0),"М")</f>
        <v>0</v>
      </c>
      <c r="W75" s="50">
        <f>SUMIFS(INDEX(Техника!$F$1:$ABM$500,W$2,0),Техника!$F$4:$ABM$4,"Часы",INDEX(Техника!$G$1:$ABN$500,W$2,0),$A$74,INDEX(Техника!$H$1:$ABO$500,W$2,0),"М")</f>
        <v>0</v>
      </c>
      <c r="X75" s="50">
        <f>SUMIFS(INDEX(Техника!$F$1:$ABM$500,X$2,0),Техника!$F$4:$ABM$4,"Часы",INDEX(Техника!$G$1:$ABN$500,X$2,0),$A$74,INDEX(Техника!$H$1:$ABO$500,X$2,0),"М")</f>
        <v>0</v>
      </c>
      <c r="Y75" s="50">
        <f>SUMIFS(INDEX(Техника!$F$1:$ABM$500,Y$2,0),Техника!$F$4:$ABM$4,"Часы",INDEX(Техника!$G$1:$ABN$500,Y$2,0),$A$74,INDEX(Техника!$H$1:$ABO$500,Y$2,0),"М")</f>
        <v>0</v>
      </c>
      <c r="Z75" s="50">
        <f>SUMIFS(INDEX(Техника!$F$1:$ABM$500,Z$2,0),Техника!$F$4:$ABM$4,"Часы",INDEX(Техника!$G$1:$ABN$500,Z$2,0),$A$74,INDEX(Техника!$H$1:$ABO$500,Z$2,0),"М")</f>
        <v>0</v>
      </c>
      <c r="AA75" s="50">
        <f>SUMIFS(INDEX(Техника!$F$1:$ABM$500,AA$2,0),Техника!$F$4:$ABM$4,"Часы",INDEX(Техника!$G$1:$ABN$500,AA$2,0),$A$74,INDEX(Техника!$H$1:$ABO$500,AA$2,0),"М")</f>
        <v>0</v>
      </c>
      <c r="AB75" s="50">
        <f>SUMIFS(INDEX(Техника!$F$1:$ABM$500,AB$2,0),Техника!$F$4:$ABM$4,"Часы",INDEX(Техника!$G$1:$ABN$500,AB$2,0),$A$74,INDEX(Техника!$H$1:$ABO$500,AB$2,0),"М")</f>
        <v>0</v>
      </c>
    </row>
    <row r="76" spans="1:28" hidden="1" outlineLevel="1" x14ac:dyDescent="0.3">
      <c r="A76" s="33" t="s">
        <v>244</v>
      </c>
      <c r="B76" s="34" t="s">
        <v>275</v>
      </c>
      <c r="C76" s="50">
        <f>SUMIFS(INDEX(Техника!$F$1:$ABM$500,C$2,0),Техника!$F$4:$ABM$4,"Часы",INDEX(Техника!$G$1:$ABN$500,C$2,0),$A$74,INDEX(Техника!$H$1:$ABO$500,C$2,0),"Д")</f>
        <v>0</v>
      </c>
      <c r="D76" s="50">
        <f>SUMIFS(INDEX(Техника!$F$1:$ABM$500,D$2,0),Техника!$F$4:$ABM$4,"Часы",INDEX(Техника!$G$1:$ABN$500,D$2,0),$A$74,INDEX(Техника!$H$1:$ABO$500,D$2,0),"Д")</f>
        <v>0</v>
      </c>
      <c r="E76" s="50">
        <f>SUMIFS(INDEX(Техника!$F$1:$ABM$500,E$2,0),Техника!$F$4:$ABM$4,"Часы",INDEX(Техника!$G$1:$ABN$500,E$2,0),$A$74,INDEX(Техника!$H$1:$ABO$500,E$2,0),"Д")</f>
        <v>0</v>
      </c>
      <c r="F76" s="50">
        <f>SUMIFS(INDEX(Техника!$F$1:$ABM$500,F$2,0),Техника!$F$4:$ABM$4,"Часы",INDEX(Техника!$G$1:$ABN$500,F$2,0),$A$74,INDEX(Техника!$H$1:$ABO$500,F$2,0),"Д")</f>
        <v>0</v>
      </c>
      <c r="G76" s="50">
        <f>SUMIFS(INDEX(Техника!$F$1:$ABM$500,G$2,0),Техника!$F$4:$ABM$4,"Часы",INDEX(Техника!$G$1:$ABN$500,G$2,0),$A$74,INDEX(Техника!$H$1:$ABO$500,G$2,0),"Д")</f>
        <v>0</v>
      </c>
      <c r="H76" s="50">
        <f>SUMIFS(INDEX(Техника!$F$1:$ABM$500,H$2,0),Техника!$F$4:$ABM$4,"Часы",INDEX(Техника!$G$1:$ABN$500,H$2,0),$A$74,INDEX(Техника!$H$1:$ABO$500,H$2,0),"Д")</f>
        <v>0</v>
      </c>
      <c r="I76" s="50">
        <f>SUMIFS(INDEX(Техника!$F$1:$ABM$500,I$2,0),Техника!$F$4:$ABM$4,"Часы",INDEX(Техника!$G$1:$ABN$500,I$2,0),$A$74,INDEX(Техника!$H$1:$ABO$500,I$2,0),"Д")</f>
        <v>0</v>
      </c>
      <c r="J76" s="50">
        <f>SUMIFS(INDEX(Техника!$F$1:$ABM$500,J$2,0),Техника!$F$4:$ABM$4,"Часы",INDEX(Техника!$G$1:$ABN$500,J$2,0),$A$74,INDEX(Техника!$H$1:$ABO$500,J$2,0),"Д")</f>
        <v>0</v>
      </c>
      <c r="K76" s="50">
        <f>SUMIFS(INDEX(Техника!$F$1:$ABM$500,K$2,0),Техника!$F$4:$ABM$4,"Часы",INDEX(Техника!$G$1:$ABN$500,K$2,0),$A$74,INDEX(Техника!$H$1:$ABO$500,K$2,0),"Д")</f>
        <v>0</v>
      </c>
      <c r="L76" s="50">
        <f>SUMIFS(INDEX(Техника!$F$1:$ABM$500,L$2,0),Техника!$F$4:$ABM$4,"Часы",INDEX(Техника!$G$1:$ABN$500,L$2,0),$A$74,INDEX(Техника!$H$1:$ABO$500,L$2,0),"Д")</f>
        <v>0</v>
      </c>
      <c r="M76" s="50">
        <f>SUMIFS(INDEX(Техника!$F$1:$ABM$500,M$2,0),Техника!$F$4:$ABM$4,"Часы",INDEX(Техника!$G$1:$ABN$500,M$2,0),$A$74,INDEX(Техника!$H$1:$ABO$500,M$2,0),"Д")</f>
        <v>0</v>
      </c>
      <c r="N76" s="50">
        <f>SUMIFS(INDEX(Техника!$F$1:$ABM$500,N$2,0),Техника!$F$4:$ABM$4,"Часы",INDEX(Техника!$G$1:$ABN$500,N$2,0),$A$74,INDEX(Техника!$H$1:$ABO$500,N$2,0),"Д")</f>
        <v>0</v>
      </c>
      <c r="O76" s="50">
        <f>SUMIFS(INDEX(Техника!$F$1:$ABM$500,O$2,0),Техника!$F$4:$ABM$4,"Часы",INDEX(Техника!$G$1:$ABN$500,O$2,0),$A$74,INDEX(Техника!$H$1:$ABO$500,O$2,0),"Д")</f>
        <v>0</v>
      </c>
      <c r="P76" s="50">
        <f>SUMIFS(INDEX(Техника!$F$1:$ABM$500,P$2,0),Техника!$F$4:$ABM$4,"Часы",INDEX(Техника!$G$1:$ABN$500,P$2,0),$A$74,INDEX(Техника!$H$1:$ABO$500,P$2,0),"Д")</f>
        <v>0</v>
      </c>
      <c r="Q76" s="50">
        <f>SUMIFS(INDEX(Техника!$F$1:$ABM$500,Q$2,0),Техника!$F$4:$ABM$4,"Часы",INDEX(Техника!$G$1:$ABN$500,Q$2,0),$A$74,INDEX(Техника!$H$1:$ABO$500,Q$2,0),"Д")</f>
        <v>0</v>
      </c>
      <c r="R76" s="50">
        <f>SUMIFS(INDEX(Техника!$F$1:$ABM$500,R$2,0),Техника!$F$4:$ABM$4,"Часы",INDEX(Техника!$G$1:$ABN$500,R$2,0),$A$74,INDEX(Техника!$H$1:$ABO$500,R$2,0),"Д")</f>
        <v>0</v>
      </c>
      <c r="S76" s="50">
        <f>SUMIFS(INDEX(Техника!$F$1:$ABM$500,S$2,0),Техника!$F$4:$ABM$4,"Часы",INDEX(Техника!$G$1:$ABN$500,S$2,0),$A$74,INDEX(Техника!$H$1:$ABO$500,S$2,0),"Д")</f>
        <v>0</v>
      </c>
      <c r="T76" s="50">
        <f>SUMIFS(INDEX(Техника!$F$1:$ABM$500,T$2,0),Техника!$F$4:$ABM$4,"Часы",INDEX(Техника!$G$1:$ABN$500,T$2,0),$A$74,INDEX(Техника!$H$1:$ABO$500,T$2,0),"Д")</f>
        <v>0</v>
      </c>
      <c r="U76" s="50">
        <f>SUMIFS(INDEX(Техника!$F$1:$ABM$500,U$2,0),Техника!$F$4:$ABM$4,"Часы",INDEX(Техника!$G$1:$ABN$500,U$2,0),$A$74,INDEX(Техника!$H$1:$ABO$500,U$2,0),"Д")</f>
        <v>0</v>
      </c>
      <c r="V76" s="50">
        <f>SUMIFS(INDEX(Техника!$F$1:$ABM$500,V$2,0),Техника!$F$4:$ABM$4,"Часы",INDEX(Техника!$G$1:$ABN$500,V$2,0),$A$74,INDEX(Техника!$H$1:$ABO$500,V$2,0),"Д")</f>
        <v>0</v>
      </c>
      <c r="W76" s="50">
        <f>SUMIFS(INDEX(Техника!$F$1:$ABM$500,W$2,0),Техника!$F$4:$ABM$4,"Часы",INDEX(Техника!$G$1:$ABN$500,W$2,0),$A$74,INDEX(Техника!$H$1:$ABO$500,W$2,0),"Д")</f>
        <v>0</v>
      </c>
      <c r="X76" s="50">
        <f>SUMIFS(INDEX(Техника!$F$1:$ABM$500,X$2,0),Техника!$F$4:$ABM$4,"Часы",INDEX(Техника!$G$1:$ABN$500,X$2,0),$A$74,INDEX(Техника!$H$1:$ABO$500,X$2,0),"Д")</f>
        <v>0</v>
      </c>
      <c r="Y76" s="50">
        <f>SUMIFS(INDEX(Техника!$F$1:$ABM$500,Y$2,0),Техника!$F$4:$ABM$4,"Часы",INDEX(Техника!$G$1:$ABN$500,Y$2,0),$A$74,INDEX(Техника!$H$1:$ABO$500,Y$2,0),"Д")</f>
        <v>0</v>
      </c>
      <c r="Z76" s="50">
        <f>SUMIFS(INDEX(Техника!$F$1:$ABM$500,Z$2,0),Техника!$F$4:$ABM$4,"Часы",INDEX(Техника!$G$1:$ABN$500,Z$2,0),$A$74,INDEX(Техника!$H$1:$ABO$500,Z$2,0),"Д")</f>
        <v>0</v>
      </c>
      <c r="AA76" s="50">
        <f>SUMIFS(INDEX(Техника!$F$1:$ABM$500,AA$2,0),Техника!$F$4:$ABM$4,"Часы",INDEX(Техника!$G$1:$ABN$500,AA$2,0),$A$74,INDEX(Техника!$H$1:$ABO$500,AA$2,0),"Д")</f>
        <v>0</v>
      </c>
      <c r="AB76" s="50">
        <f>SUMIFS(INDEX(Техника!$F$1:$ABM$500,AB$2,0),Техника!$F$4:$ABM$4,"Часы",INDEX(Техника!$G$1:$ABN$500,AB$2,0),$A$74,INDEX(Техника!$H$1:$ABO$500,AB$2,0),"Д")</f>
        <v>0</v>
      </c>
    </row>
    <row r="77" spans="1:28" hidden="1" outlineLevel="1" x14ac:dyDescent="0.3">
      <c r="A77" s="33" t="s">
        <v>276</v>
      </c>
      <c r="B77" s="34" t="s">
        <v>277</v>
      </c>
      <c r="C77" s="50">
        <f>SUMIFS(INDEX(Техника!$F$1:$ABM$500,C$2,0),Техника!$F$4:$ABM$4,"Часы",INDEX(Техника!$G$1:$ABN$500,C$2,0),$A$74,INDEX(Техника!$H$1:$ABO$500,C$2,0),"П")</f>
        <v>0</v>
      </c>
      <c r="D77" s="50">
        <f>SUMIFS(INDEX(Техника!$F$1:$ABM$500,D$2,0),Техника!$F$4:$ABM$4,"Часы",INDEX(Техника!$G$1:$ABN$500,D$2,0),$A$74,INDEX(Техника!$H$1:$ABO$500,D$2,0),"П")</f>
        <v>0</v>
      </c>
      <c r="E77" s="50">
        <f>SUMIFS(INDEX(Техника!$F$1:$ABM$500,E$2,0),Техника!$F$4:$ABM$4,"Часы",INDEX(Техника!$G$1:$ABN$500,E$2,0),$A$74,INDEX(Техника!$H$1:$ABO$500,E$2,0),"П")</f>
        <v>0</v>
      </c>
      <c r="F77" s="50">
        <f>SUMIFS(INDEX(Техника!$F$1:$ABM$500,F$2,0),Техника!$F$4:$ABM$4,"Часы",INDEX(Техника!$G$1:$ABN$500,F$2,0),$A$74,INDEX(Техника!$H$1:$ABO$500,F$2,0),"П")</f>
        <v>0</v>
      </c>
      <c r="G77" s="50">
        <f>SUMIFS(INDEX(Техника!$F$1:$ABM$500,G$2,0),Техника!$F$4:$ABM$4,"Часы",INDEX(Техника!$G$1:$ABN$500,G$2,0),$A$74,INDEX(Техника!$H$1:$ABO$500,G$2,0),"П")</f>
        <v>0</v>
      </c>
      <c r="H77" s="50">
        <f>SUMIFS(INDEX(Техника!$F$1:$ABM$500,H$2,0),Техника!$F$4:$ABM$4,"Часы",INDEX(Техника!$G$1:$ABN$500,H$2,0),$A$74,INDEX(Техника!$H$1:$ABO$500,H$2,0),"П")</f>
        <v>0</v>
      </c>
      <c r="I77" s="50">
        <f>SUMIFS(INDEX(Техника!$F$1:$ABM$500,I$2,0),Техника!$F$4:$ABM$4,"Часы",INDEX(Техника!$G$1:$ABN$500,I$2,0),$A$74,INDEX(Техника!$H$1:$ABO$500,I$2,0),"П")</f>
        <v>0</v>
      </c>
      <c r="J77" s="50">
        <f>SUMIFS(INDEX(Техника!$F$1:$ABM$500,J$2,0),Техника!$F$4:$ABM$4,"Часы",INDEX(Техника!$G$1:$ABN$500,J$2,0),$A$74,INDEX(Техника!$H$1:$ABO$500,J$2,0),"П")</f>
        <v>0</v>
      </c>
      <c r="K77" s="50">
        <f>SUMIFS(INDEX(Техника!$F$1:$ABM$500,K$2,0),Техника!$F$4:$ABM$4,"Часы",INDEX(Техника!$G$1:$ABN$500,K$2,0),$A$74,INDEX(Техника!$H$1:$ABO$500,K$2,0),"П")</f>
        <v>0</v>
      </c>
      <c r="L77" s="50">
        <f>SUMIFS(INDEX(Техника!$F$1:$ABM$500,L$2,0),Техника!$F$4:$ABM$4,"Часы",INDEX(Техника!$G$1:$ABN$500,L$2,0),$A$74,INDEX(Техника!$H$1:$ABO$500,L$2,0),"П")</f>
        <v>0</v>
      </c>
      <c r="M77" s="50">
        <f>SUMIFS(INDEX(Техника!$F$1:$ABM$500,M$2,0),Техника!$F$4:$ABM$4,"Часы",INDEX(Техника!$G$1:$ABN$500,M$2,0),$A$74,INDEX(Техника!$H$1:$ABO$500,M$2,0),"П")</f>
        <v>0</v>
      </c>
      <c r="N77" s="50">
        <f>SUMIFS(INDEX(Техника!$F$1:$ABM$500,N$2,0),Техника!$F$4:$ABM$4,"Часы",INDEX(Техника!$G$1:$ABN$500,N$2,0),$A$74,INDEX(Техника!$H$1:$ABO$500,N$2,0),"П")</f>
        <v>0</v>
      </c>
      <c r="O77" s="50">
        <f>SUMIFS(INDEX(Техника!$F$1:$ABM$500,O$2,0),Техника!$F$4:$ABM$4,"Часы",INDEX(Техника!$G$1:$ABN$500,O$2,0),$A$74,INDEX(Техника!$H$1:$ABO$500,O$2,0),"П")</f>
        <v>0</v>
      </c>
      <c r="P77" s="50">
        <f>SUMIFS(INDEX(Техника!$F$1:$ABM$500,P$2,0),Техника!$F$4:$ABM$4,"Часы",INDEX(Техника!$G$1:$ABN$500,P$2,0),$A$74,INDEX(Техника!$H$1:$ABO$500,P$2,0),"П")</f>
        <v>0</v>
      </c>
      <c r="Q77" s="50">
        <f>SUMIFS(INDEX(Техника!$F$1:$ABM$500,Q$2,0),Техника!$F$4:$ABM$4,"Часы",INDEX(Техника!$G$1:$ABN$500,Q$2,0),$A$74,INDEX(Техника!$H$1:$ABO$500,Q$2,0),"П")</f>
        <v>0</v>
      </c>
      <c r="R77" s="50">
        <f>SUMIFS(INDEX(Техника!$F$1:$ABM$500,R$2,0),Техника!$F$4:$ABM$4,"Часы",INDEX(Техника!$G$1:$ABN$500,R$2,0),$A$74,INDEX(Техника!$H$1:$ABO$500,R$2,0),"П")</f>
        <v>0</v>
      </c>
      <c r="S77" s="50">
        <f>SUMIFS(INDEX(Техника!$F$1:$ABM$500,S$2,0),Техника!$F$4:$ABM$4,"Часы",INDEX(Техника!$G$1:$ABN$500,S$2,0),$A$74,INDEX(Техника!$H$1:$ABO$500,S$2,0),"П")</f>
        <v>0</v>
      </c>
      <c r="T77" s="50">
        <f>SUMIFS(INDEX(Техника!$F$1:$ABM$500,T$2,0),Техника!$F$4:$ABM$4,"Часы",INDEX(Техника!$G$1:$ABN$500,T$2,0),$A$74,INDEX(Техника!$H$1:$ABO$500,T$2,0),"П")</f>
        <v>0</v>
      </c>
      <c r="U77" s="50">
        <f>SUMIFS(INDEX(Техника!$F$1:$ABM$500,U$2,0),Техника!$F$4:$ABM$4,"Часы",INDEX(Техника!$G$1:$ABN$500,U$2,0),$A$74,INDEX(Техника!$H$1:$ABO$500,U$2,0),"П")</f>
        <v>0</v>
      </c>
      <c r="V77" s="50">
        <f>SUMIFS(INDEX(Техника!$F$1:$ABM$500,V$2,0),Техника!$F$4:$ABM$4,"Часы",INDEX(Техника!$G$1:$ABN$500,V$2,0),$A$74,INDEX(Техника!$H$1:$ABO$500,V$2,0),"П")</f>
        <v>0</v>
      </c>
      <c r="W77" s="50">
        <f>SUMIFS(INDEX(Техника!$F$1:$ABM$500,W$2,0),Техника!$F$4:$ABM$4,"Часы",INDEX(Техника!$G$1:$ABN$500,W$2,0),$A$74,INDEX(Техника!$H$1:$ABO$500,W$2,0),"П")</f>
        <v>0</v>
      </c>
      <c r="X77" s="50">
        <f>SUMIFS(INDEX(Техника!$F$1:$ABM$500,X$2,0),Техника!$F$4:$ABM$4,"Часы",INDEX(Техника!$G$1:$ABN$500,X$2,0),$A$74,INDEX(Техника!$H$1:$ABO$500,X$2,0),"П")</f>
        <v>0</v>
      </c>
      <c r="Y77" s="50">
        <f>SUMIFS(INDEX(Техника!$F$1:$ABM$500,Y$2,0),Техника!$F$4:$ABM$4,"Часы",INDEX(Техника!$G$1:$ABN$500,Y$2,0),$A$74,INDEX(Техника!$H$1:$ABO$500,Y$2,0),"П")</f>
        <v>0</v>
      </c>
      <c r="Z77" s="50">
        <f>SUMIFS(INDEX(Техника!$F$1:$ABM$500,Z$2,0),Техника!$F$4:$ABM$4,"Часы",INDEX(Техника!$G$1:$ABN$500,Z$2,0),$A$74,INDEX(Техника!$H$1:$ABO$500,Z$2,0),"П")</f>
        <v>0</v>
      </c>
      <c r="AA77" s="50">
        <f>SUMIFS(INDEX(Техника!$F$1:$ABM$500,AA$2,0),Техника!$F$4:$ABM$4,"Часы",INDEX(Техника!$G$1:$ABN$500,AA$2,0),$A$74,INDEX(Техника!$H$1:$ABO$500,AA$2,0),"П")</f>
        <v>0</v>
      </c>
      <c r="AB77" s="50">
        <f>SUMIFS(INDEX(Техника!$F$1:$ABM$500,AB$2,0),Техника!$F$4:$ABM$4,"Часы",INDEX(Техника!$G$1:$ABN$500,AB$2,0),$A$74,INDEX(Техника!$H$1:$ABO$500,AB$2,0),"П")</f>
        <v>0</v>
      </c>
    </row>
    <row r="78" spans="1:28" hidden="1" outlineLevel="1" x14ac:dyDescent="0.3">
      <c r="A78" s="33" t="s">
        <v>243</v>
      </c>
      <c r="B78" s="34" t="s">
        <v>278</v>
      </c>
      <c r="C78" s="50">
        <f>SUMIFS(INDEX(Техника!$F$1:$ABM$500,C$2,0),Техника!$F$4:$ABM$4,"Часы",INDEX(Техника!$G$1:$ABN$500,C$2,0),$A$74,INDEX(Техника!$H$1:$ABO$500,C$2,0),"Л")</f>
        <v>0</v>
      </c>
      <c r="D78" s="50">
        <f>SUMIFS(INDEX(Техника!$F$1:$ABM$500,D$2,0),Техника!$F$4:$ABM$4,"Часы",INDEX(Техника!$G$1:$ABN$500,D$2,0),$A$74,INDEX(Техника!$H$1:$ABO$500,D$2,0),"Л")</f>
        <v>0</v>
      </c>
      <c r="E78" s="50">
        <f>SUMIFS(INDEX(Техника!$F$1:$ABM$500,E$2,0),Техника!$F$4:$ABM$4,"Часы",INDEX(Техника!$G$1:$ABN$500,E$2,0),$A$74,INDEX(Техника!$H$1:$ABO$500,E$2,0),"Л")</f>
        <v>0</v>
      </c>
      <c r="F78" s="50">
        <f>SUMIFS(INDEX(Техника!$F$1:$ABM$500,F$2,0),Техника!$F$4:$ABM$4,"Часы",INDEX(Техника!$G$1:$ABN$500,F$2,0),$A$74,INDEX(Техника!$H$1:$ABO$500,F$2,0),"Л")</f>
        <v>0</v>
      </c>
      <c r="G78" s="50">
        <f>SUMIFS(INDEX(Техника!$F$1:$ABM$500,G$2,0),Техника!$F$4:$ABM$4,"Часы",INDEX(Техника!$G$1:$ABN$500,G$2,0),$A$74,INDEX(Техника!$H$1:$ABO$500,G$2,0),"Л")</f>
        <v>0</v>
      </c>
      <c r="H78" s="50">
        <f>SUMIFS(INDEX(Техника!$F$1:$ABM$500,H$2,0),Техника!$F$4:$ABM$4,"Часы",INDEX(Техника!$G$1:$ABN$500,H$2,0),$A$74,INDEX(Техника!$H$1:$ABO$500,H$2,0),"Л")</f>
        <v>0</v>
      </c>
      <c r="I78" s="50">
        <f>SUMIFS(INDEX(Техника!$F$1:$ABM$500,I$2,0),Техника!$F$4:$ABM$4,"Часы",INDEX(Техника!$G$1:$ABN$500,I$2,0),$A$74,INDEX(Техника!$H$1:$ABO$500,I$2,0),"Л")</f>
        <v>0</v>
      </c>
      <c r="J78" s="50">
        <f>SUMIFS(INDEX(Техника!$F$1:$ABM$500,J$2,0),Техника!$F$4:$ABM$4,"Часы",INDEX(Техника!$G$1:$ABN$500,J$2,0),$A$74,INDEX(Техника!$H$1:$ABO$500,J$2,0),"Л")</f>
        <v>0</v>
      </c>
      <c r="K78" s="50">
        <f>SUMIFS(INDEX(Техника!$F$1:$ABM$500,K$2,0),Техника!$F$4:$ABM$4,"Часы",INDEX(Техника!$G$1:$ABN$500,K$2,0),$A$74,INDEX(Техника!$H$1:$ABO$500,K$2,0),"Л")</f>
        <v>0</v>
      </c>
      <c r="L78" s="50">
        <f>SUMIFS(INDEX(Техника!$F$1:$ABM$500,L$2,0),Техника!$F$4:$ABM$4,"Часы",INDEX(Техника!$G$1:$ABN$500,L$2,0),$A$74,INDEX(Техника!$H$1:$ABO$500,L$2,0),"Л")</f>
        <v>0</v>
      </c>
      <c r="M78" s="50">
        <f>SUMIFS(INDEX(Техника!$F$1:$ABM$500,M$2,0),Техника!$F$4:$ABM$4,"Часы",INDEX(Техника!$G$1:$ABN$500,M$2,0),$A$74,INDEX(Техника!$H$1:$ABO$500,M$2,0),"Л")</f>
        <v>0</v>
      </c>
      <c r="N78" s="50">
        <f>SUMIFS(INDEX(Техника!$F$1:$ABM$500,N$2,0),Техника!$F$4:$ABM$4,"Часы",INDEX(Техника!$G$1:$ABN$500,N$2,0),$A$74,INDEX(Техника!$H$1:$ABO$500,N$2,0),"Л")</f>
        <v>0</v>
      </c>
      <c r="O78" s="50">
        <f>SUMIFS(INDEX(Техника!$F$1:$ABM$500,O$2,0),Техника!$F$4:$ABM$4,"Часы",INDEX(Техника!$G$1:$ABN$500,O$2,0),$A$74,INDEX(Техника!$H$1:$ABO$500,O$2,0),"Л")</f>
        <v>0</v>
      </c>
      <c r="P78" s="50">
        <f>SUMIFS(INDEX(Техника!$F$1:$ABM$500,P$2,0),Техника!$F$4:$ABM$4,"Часы",INDEX(Техника!$G$1:$ABN$500,P$2,0),$A$74,INDEX(Техника!$H$1:$ABO$500,P$2,0),"Л")</f>
        <v>0</v>
      </c>
      <c r="Q78" s="50">
        <f>SUMIFS(INDEX(Техника!$F$1:$ABM$500,Q$2,0),Техника!$F$4:$ABM$4,"Часы",INDEX(Техника!$G$1:$ABN$500,Q$2,0),$A$74,INDEX(Техника!$H$1:$ABO$500,Q$2,0),"Л")</f>
        <v>0</v>
      </c>
      <c r="R78" s="50">
        <f>SUMIFS(INDEX(Техника!$F$1:$ABM$500,R$2,0),Техника!$F$4:$ABM$4,"Часы",INDEX(Техника!$G$1:$ABN$500,R$2,0),$A$74,INDEX(Техника!$H$1:$ABO$500,R$2,0),"Л")</f>
        <v>0</v>
      </c>
      <c r="S78" s="50">
        <f>SUMIFS(INDEX(Техника!$F$1:$ABM$500,S$2,0),Техника!$F$4:$ABM$4,"Часы",INDEX(Техника!$G$1:$ABN$500,S$2,0),$A$74,INDEX(Техника!$H$1:$ABO$500,S$2,0),"Л")</f>
        <v>0</v>
      </c>
      <c r="T78" s="50">
        <f>SUMIFS(INDEX(Техника!$F$1:$ABM$500,T$2,0),Техника!$F$4:$ABM$4,"Часы",INDEX(Техника!$G$1:$ABN$500,T$2,0),$A$74,INDEX(Техника!$H$1:$ABO$500,T$2,0),"Л")</f>
        <v>0</v>
      </c>
      <c r="U78" s="50">
        <f>SUMIFS(INDEX(Техника!$F$1:$ABM$500,U$2,0),Техника!$F$4:$ABM$4,"Часы",INDEX(Техника!$G$1:$ABN$500,U$2,0),$A$74,INDEX(Техника!$H$1:$ABO$500,U$2,0),"Л")</f>
        <v>0</v>
      </c>
      <c r="V78" s="50">
        <f>SUMIFS(INDEX(Техника!$F$1:$ABM$500,V$2,0),Техника!$F$4:$ABM$4,"Часы",INDEX(Техника!$G$1:$ABN$500,V$2,0),$A$74,INDEX(Техника!$H$1:$ABO$500,V$2,0),"Л")</f>
        <v>0</v>
      </c>
      <c r="W78" s="50">
        <f>SUMIFS(INDEX(Техника!$F$1:$ABM$500,W$2,0),Техника!$F$4:$ABM$4,"Часы",INDEX(Техника!$G$1:$ABN$500,W$2,0),$A$74,INDEX(Техника!$H$1:$ABO$500,W$2,0),"Л")</f>
        <v>0</v>
      </c>
      <c r="X78" s="50">
        <f>SUMIFS(INDEX(Техника!$F$1:$ABM$500,X$2,0),Техника!$F$4:$ABM$4,"Часы",INDEX(Техника!$G$1:$ABN$500,X$2,0),$A$74,INDEX(Техника!$H$1:$ABO$500,X$2,0),"Л")</f>
        <v>0</v>
      </c>
      <c r="Y78" s="50">
        <f>SUMIFS(INDEX(Техника!$F$1:$ABM$500,Y$2,0),Техника!$F$4:$ABM$4,"Часы",INDEX(Техника!$G$1:$ABN$500,Y$2,0),$A$74,INDEX(Техника!$H$1:$ABO$500,Y$2,0),"Л")</f>
        <v>0</v>
      </c>
      <c r="Z78" s="50">
        <f>SUMIFS(INDEX(Техника!$F$1:$ABM$500,Z$2,0),Техника!$F$4:$ABM$4,"Часы",INDEX(Техника!$G$1:$ABN$500,Z$2,0),$A$74,INDEX(Техника!$H$1:$ABO$500,Z$2,0),"Л")</f>
        <v>0</v>
      </c>
      <c r="AA78" s="50">
        <f>SUMIFS(INDEX(Техника!$F$1:$ABM$500,AA$2,0),Техника!$F$4:$ABM$4,"Часы",INDEX(Техника!$G$1:$ABN$500,AA$2,0),$A$74,INDEX(Техника!$H$1:$ABO$500,AA$2,0),"Л")</f>
        <v>0</v>
      </c>
      <c r="AB78" s="50">
        <f>SUMIFS(INDEX(Техника!$F$1:$ABM$500,AB$2,0),Техника!$F$4:$ABM$4,"Часы",INDEX(Техника!$G$1:$ABN$500,AB$2,0),$A$74,INDEX(Техника!$H$1:$ABO$500,AB$2,0),"Л")</f>
        <v>0</v>
      </c>
    </row>
    <row r="79" spans="1:28" hidden="1" outlineLevel="1" x14ac:dyDescent="0.3">
      <c r="A79" s="33" t="s">
        <v>245</v>
      </c>
      <c r="B79" s="34" t="s">
        <v>279</v>
      </c>
      <c r="C79" s="50">
        <f>SUMIFS(INDEX(Техника!$F$1:$ABM$500,C$2,0),Техника!$F$4:$ABM$4,"Часы",INDEX(Техника!$G$1:$ABN$500,C$2,0),$A$74,INDEX(Техника!$H$1:$ABO$500,C$2,0),"З")</f>
        <v>0</v>
      </c>
      <c r="D79" s="50">
        <f>SUMIFS(INDEX(Техника!$F$1:$ABM$500,D$2,0),Техника!$F$4:$ABM$4,"Часы",INDEX(Техника!$G$1:$ABN$500,D$2,0),$A$74,INDEX(Техника!$H$1:$ABO$500,D$2,0),"З")</f>
        <v>0</v>
      </c>
      <c r="E79" s="50">
        <f>SUMIFS(INDEX(Техника!$F$1:$ABM$500,E$2,0),Техника!$F$4:$ABM$4,"Часы",INDEX(Техника!$G$1:$ABN$500,E$2,0),$A$74,INDEX(Техника!$H$1:$ABO$500,E$2,0),"З")</f>
        <v>0</v>
      </c>
      <c r="F79" s="50">
        <f>SUMIFS(INDEX(Техника!$F$1:$ABM$500,F$2,0),Техника!$F$4:$ABM$4,"Часы",INDEX(Техника!$G$1:$ABN$500,F$2,0),$A$74,INDEX(Техника!$H$1:$ABO$500,F$2,0),"З")</f>
        <v>0</v>
      </c>
      <c r="G79" s="50">
        <f>SUMIFS(INDEX(Техника!$F$1:$ABM$500,G$2,0),Техника!$F$4:$ABM$4,"Часы",INDEX(Техника!$G$1:$ABN$500,G$2,0),$A$74,INDEX(Техника!$H$1:$ABO$500,G$2,0),"З")</f>
        <v>0</v>
      </c>
      <c r="H79" s="50">
        <f>SUMIFS(INDEX(Техника!$F$1:$ABM$500,H$2,0),Техника!$F$4:$ABM$4,"Часы",INDEX(Техника!$G$1:$ABN$500,H$2,0),$A$74,INDEX(Техника!$H$1:$ABO$500,H$2,0),"З")</f>
        <v>0</v>
      </c>
      <c r="I79" s="50">
        <f>SUMIFS(INDEX(Техника!$F$1:$ABM$500,I$2,0),Техника!$F$4:$ABM$4,"Часы",INDEX(Техника!$G$1:$ABN$500,I$2,0),$A$74,INDEX(Техника!$H$1:$ABO$500,I$2,0),"З")</f>
        <v>0</v>
      </c>
      <c r="J79" s="50">
        <f>SUMIFS(INDEX(Техника!$F$1:$ABM$500,J$2,0),Техника!$F$4:$ABM$4,"Часы",INDEX(Техника!$G$1:$ABN$500,J$2,0),$A$74,INDEX(Техника!$H$1:$ABO$500,J$2,0),"З")</f>
        <v>0</v>
      </c>
      <c r="K79" s="50">
        <f>SUMIFS(INDEX(Техника!$F$1:$ABM$500,K$2,0),Техника!$F$4:$ABM$4,"Часы",INDEX(Техника!$G$1:$ABN$500,K$2,0),$A$74,INDEX(Техника!$H$1:$ABO$500,K$2,0),"З")</f>
        <v>0</v>
      </c>
      <c r="L79" s="50">
        <f>SUMIFS(INDEX(Техника!$F$1:$ABM$500,L$2,0),Техника!$F$4:$ABM$4,"Часы",INDEX(Техника!$G$1:$ABN$500,L$2,0),$A$74,INDEX(Техника!$H$1:$ABO$500,L$2,0),"З")</f>
        <v>0</v>
      </c>
      <c r="M79" s="50">
        <f>SUMIFS(INDEX(Техника!$F$1:$ABM$500,M$2,0),Техника!$F$4:$ABM$4,"Часы",INDEX(Техника!$G$1:$ABN$500,M$2,0),$A$74,INDEX(Техника!$H$1:$ABO$500,M$2,0),"З")</f>
        <v>0</v>
      </c>
      <c r="N79" s="50">
        <f>SUMIFS(INDEX(Техника!$F$1:$ABM$500,N$2,0),Техника!$F$4:$ABM$4,"Часы",INDEX(Техника!$G$1:$ABN$500,N$2,0),$A$74,INDEX(Техника!$H$1:$ABO$500,N$2,0),"З")</f>
        <v>0</v>
      </c>
      <c r="O79" s="50">
        <f>SUMIFS(INDEX(Техника!$F$1:$ABM$500,O$2,0),Техника!$F$4:$ABM$4,"Часы",INDEX(Техника!$G$1:$ABN$500,O$2,0),$A$74,INDEX(Техника!$H$1:$ABO$500,O$2,0),"З")</f>
        <v>0</v>
      </c>
      <c r="P79" s="50">
        <f>SUMIFS(INDEX(Техника!$F$1:$ABM$500,P$2,0),Техника!$F$4:$ABM$4,"Часы",INDEX(Техника!$G$1:$ABN$500,P$2,0),$A$74,INDEX(Техника!$H$1:$ABO$500,P$2,0),"З")</f>
        <v>0</v>
      </c>
      <c r="Q79" s="50">
        <f>SUMIFS(INDEX(Техника!$F$1:$ABM$500,Q$2,0),Техника!$F$4:$ABM$4,"Часы",INDEX(Техника!$G$1:$ABN$500,Q$2,0),$A$74,INDEX(Техника!$H$1:$ABO$500,Q$2,0),"З")</f>
        <v>0</v>
      </c>
      <c r="R79" s="50">
        <f>SUMIFS(INDEX(Техника!$F$1:$ABM$500,R$2,0),Техника!$F$4:$ABM$4,"Часы",INDEX(Техника!$G$1:$ABN$500,R$2,0),$A$74,INDEX(Техника!$H$1:$ABO$500,R$2,0),"З")</f>
        <v>0</v>
      </c>
      <c r="S79" s="50">
        <f>SUMIFS(INDEX(Техника!$F$1:$ABM$500,S$2,0),Техника!$F$4:$ABM$4,"Часы",INDEX(Техника!$G$1:$ABN$500,S$2,0),$A$74,INDEX(Техника!$H$1:$ABO$500,S$2,0),"З")</f>
        <v>0</v>
      </c>
      <c r="T79" s="50">
        <f>SUMIFS(INDEX(Техника!$F$1:$ABM$500,T$2,0),Техника!$F$4:$ABM$4,"Часы",INDEX(Техника!$G$1:$ABN$500,T$2,0),$A$74,INDEX(Техника!$H$1:$ABO$500,T$2,0),"З")</f>
        <v>0</v>
      </c>
      <c r="U79" s="50">
        <f>SUMIFS(INDEX(Техника!$F$1:$ABM$500,U$2,0),Техника!$F$4:$ABM$4,"Часы",INDEX(Техника!$G$1:$ABN$500,U$2,0),$A$74,INDEX(Техника!$H$1:$ABO$500,U$2,0),"З")</f>
        <v>0</v>
      </c>
      <c r="V79" s="50">
        <f>SUMIFS(INDEX(Техника!$F$1:$ABM$500,V$2,0),Техника!$F$4:$ABM$4,"Часы",INDEX(Техника!$G$1:$ABN$500,V$2,0),$A$74,INDEX(Техника!$H$1:$ABO$500,V$2,0),"З")</f>
        <v>0</v>
      </c>
      <c r="W79" s="50">
        <f>SUMIFS(INDEX(Техника!$F$1:$ABM$500,W$2,0),Техника!$F$4:$ABM$4,"Часы",INDEX(Техника!$G$1:$ABN$500,W$2,0),$A$74,INDEX(Техника!$H$1:$ABO$500,W$2,0),"З")</f>
        <v>0</v>
      </c>
      <c r="X79" s="50">
        <f>SUMIFS(INDEX(Техника!$F$1:$ABM$500,X$2,0),Техника!$F$4:$ABM$4,"Часы",INDEX(Техника!$G$1:$ABN$500,X$2,0),$A$74,INDEX(Техника!$H$1:$ABO$500,X$2,0),"З")</f>
        <v>0</v>
      </c>
      <c r="Y79" s="50">
        <f>SUMIFS(INDEX(Техника!$F$1:$ABM$500,Y$2,0),Техника!$F$4:$ABM$4,"Часы",INDEX(Техника!$G$1:$ABN$500,Y$2,0),$A$74,INDEX(Техника!$H$1:$ABO$500,Y$2,0),"З")</f>
        <v>0</v>
      </c>
      <c r="Z79" s="50">
        <f>SUMIFS(INDEX(Техника!$F$1:$ABM$500,Z$2,0),Техника!$F$4:$ABM$4,"Часы",INDEX(Техника!$G$1:$ABN$500,Z$2,0),$A$74,INDEX(Техника!$H$1:$ABO$500,Z$2,0),"З")</f>
        <v>0</v>
      </c>
      <c r="AA79" s="50">
        <f>SUMIFS(INDEX(Техника!$F$1:$ABM$500,AA$2,0),Техника!$F$4:$ABM$4,"Часы",INDEX(Техника!$G$1:$ABN$500,AA$2,0),$A$74,INDEX(Техника!$H$1:$ABO$500,AA$2,0),"З")</f>
        <v>0</v>
      </c>
      <c r="AB79" s="50">
        <f>SUMIFS(INDEX(Техника!$F$1:$ABM$500,AB$2,0),Техника!$F$4:$ABM$4,"Часы",INDEX(Техника!$G$1:$ABN$500,AB$2,0),$A$74,INDEX(Техника!$H$1:$ABO$500,AB$2,0),"З")</f>
        <v>0</v>
      </c>
    </row>
    <row r="80" spans="1:28" ht="7.95" customHeight="1" x14ac:dyDescent="0.3">
      <c r="A80" s="38"/>
      <c r="B80" s="39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 spans="1:28" ht="25.05" customHeight="1" collapsed="1" x14ac:dyDescent="0.3">
      <c r="A81" s="32">
        <v>12</v>
      </c>
      <c r="B81" s="32" t="s">
        <v>13</v>
      </c>
      <c r="C81" s="49">
        <f>SUM(C82:C86)</f>
        <v>0</v>
      </c>
      <c r="D81" s="49">
        <f>SUM(D82:D86)</f>
        <v>0</v>
      </c>
      <c r="E81" s="49">
        <f>SUM(E82:E86)</f>
        <v>0</v>
      </c>
      <c r="F81" s="49">
        <f>SUM(F82:F86)</f>
        <v>0</v>
      </c>
      <c r="G81" s="49">
        <f>SUM(G82:G86)</f>
        <v>0</v>
      </c>
      <c r="H81" s="49">
        <f>SUM(H82:H86)</f>
        <v>0</v>
      </c>
      <c r="I81" s="49">
        <f>SUM(I82:I86)</f>
        <v>0</v>
      </c>
      <c r="J81" s="49">
        <f>SUM(J82:J86)</f>
        <v>0</v>
      </c>
      <c r="K81" s="49">
        <f>SUM(K82:K86)</f>
        <v>0</v>
      </c>
      <c r="L81" s="49">
        <f>SUM(L82:L86)</f>
        <v>0</v>
      </c>
      <c r="M81" s="49">
        <f>SUM(M82:M86)</f>
        <v>0</v>
      </c>
      <c r="N81" s="49">
        <f>SUM(N82:N86)</f>
        <v>0</v>
      </c>
      <c r="O81" s="49">
        <f>SUM(O82:O86)</f>
        <v>0</v>
      </c>
      <c r="P81" s="49">
        <f>SUM(P82:P86)</f>
        <v>0</v>
      </c>
      <c r="Q81" s="49">
        <f>SUM(Q82:Q86)</f>
        <v>0</v>
      </c>
      <c r="R81" s="49">
        <f>SUM(R82:R86)</f>
        <v>0</v>
      </c>
      <c r="S81" s="49">
        <f>SUM(S82:S86)</f>
        <v>0</v>
      </c>
      <c r="T81" s="49">
        <f>SUM(T82:T86)</f>
        <v>0</v>
      </c>
      <c r="U81" s="49">
        <f>SUM(U82:U86)</f>
        <v>0</v>
      </c>
      <c r="V81" s="49">
        <f>SUM(V82:V86)</f>
        <v>0</v>
      </c>
      <c r="W81" s="49">
        <f>SUM(W82:W86)</f>
        <v>0</v>
      </c>
      <c r="X81" s="49">
        <f>SUM(X82:X86)</f>
        <v>0</v>
      </c>
      <c r="Y81" s="49">
        <f>SUM(Y82:Y86)</f>
        <v>0</v>
      </c>
      <c r="Z81" s="49">
        <f>SUM(Z82:Z86)</f>
        <v>0</v>
      </c>
      <c r="AA81" s="49">
        <f>SUM(AA82:AA86)</f>
        <v>0</v>
      </c>
      <c r="AB81" s="49">
        <f>SUM(AB82:AB86)</f>
        <v>0</v>
      </c>
    </row>
    <row r="82" spans="1:28" hidden="1" outlineLevel="1" x14ac:dyDescent="0.3">
      <c r="A82" s="33" t="s">
        <v>246</v>
      </c>
      <c r="B82" s="34" t="s">
        <v>274</v>
      </c>
      <c r="C82" s="50">
        <f>SUMIFS(INDEX(Техника!$F$1:$ABM$500,C$2,0),Техника!$F$4:$ABM$4,"Часы",INDEX(Техника!$G$1:$ABN$500,C$2,0),$A$81,INDEX(Техника!$H$1:$ABO$500,C$2,0),"М")</f>
        <v>0</v>
      </c>
      <c r="D82" s="50">
        <f>SUMIFS(INDEX(Техника!$F$1:$ABM$500,D$2,0),Техника!$F$4:$ABM$4,"Часы",INDEX(Техника!$G$1:$ABN$500,D$2,0),$A$81,INDEX(Техника!$H$1:$ABO$500,D$2,0),"М")</f>
        <v>0</v>
      </c>
      <c r="E82" s="50">
        <f>SUMIFS(INDEX(Техника!$F$1:$ABM$500,E$2,0),Техника!$F$4:$ABM$4,"Часы",INDEX(Техника!$G$1:$ABN$500,E$2,0),$A$81,INDEX(Техника!$H$1:$ABO$500,E$2,0),"М")</f>
        <v>0</v>
      </c>
      <c r="F82" s="50">
        <f>SUMIFS(INDEX(Техника!$F$1:$ABM$500,F$2,0),Техника!$F$4:$ABM$4,"Часы",INDEX(Техника!$G$1:$ABN$500,F$2,0),$A$81,INDEX(Техника!$H$1:$ABO$500,F$2,0),"М")</f>
        <v>0</v>
      </c>
      <c r="G82" s="50">
        <f>SUMIFS(INDEX(Техника!$F$1:$ABM$500,G$2,0),Техника!$F$4:$ABM$4,"Часы",INDEX(Техника!$G$1:$ABN$500,G$2,0),$A$81,INDEX(Техника!$H$1:$ABO$500,G$2,0),"М")</f>
        <v>0</v>
      </c>
      <c r="H82" s="50">
        <f>SUMIFS(INDEX(Техника!$F$1:$ABM$500,H$2,0),Техника!$F$4:$ABM$4,"Часы",INDEX(Техника!$G$1:$ABN$500,H$2,0),$A$81,INDEX(Техника!$H$1:$ABO$500,H$2,0),"М")</f>
        <v>0</v>
      </c>
      <c r="I82" s="50">
        <f>SUMIFS(INDEX(Техника!$F$1:$ABM$500,I$2,0),Техника!$F$4:$ABM$4,"Часы",INDEX(Техника!$G$1:$ABN$500,I$2,0),$A$81,INDEX(Техника!$H$1:$ABO$500,I$2,0),"М")</f>
        <v>0</v>
      </c>
      <c r="J82" s="50">
        <f>SUMIFS(INDEX(Техника!$F$1:$ABM$500,J$2,0),Техника!$F$4:$ABM$4,"Часы",INDEX(Техника!$G$1:$ABN$500,J$2,0),$A$81,INDEX(Техника!$H$1:$ABO$500,J$2,0),"М")</f>
        <v>0</v>
      </c>
      <c r="K82" s="50">
        <f>SUMIFS(INDEX(Техника!$F$1:$ABM$500,K$2,0),Техника!$F$4:$ABM$4,"Часы",INDEX(Техника!$G$1:$ABN$500,K$2,0),$A$81,INDEX(Техника!$H$1:$ABO$500,K$2,0),"М")</f>
        <v>0</v>
      </c>
      <c r="L82" s="50">
        <f>SUMIFS(INDEX(Техника!$F$1:$ABM$500,L$2,0),Техника!$F$4:$ABM$4,"Часы",INDEX(Техника!$G$1:$ABN$500,L$2,0),$A$81,INDEX(Техника!$H$1:$ABO$500,L$2,0),"М")</f>
        <v>0</v>
      </c>
      <c r="M82" s="50">
        <f>SUMIFS(INDEX(Техника!$F$1:$ABM$500,M$2,0),Техника!$F$4:$ABM$4,"Часы",INDEX(Техника!$G$1:$ABN$500,M$2,0),$A$81,INDEX(Техника!$H$1:$ABO$500,M$2,0),"М")</f>
        <v>0</v>
      </c>
      <c r="N82" s="50">
        <f>SUMIFS(INDEX(Техника!$F$1:$ABM$500,N$2,0),Техника!$F$4:$ABM$4,"Часы",INDEX(Техника!$G$1:$ABN$500,N$2,0),$A$81,INDEX(Техника!$H$1:$ABO$500,N$2,0),"М")</f>
        <v>0</v>
      </c>
      <c r="O82" s="50">
        <f>SUMIFS(INDEX(Техника!$F$1:$ABM$500,O$2,0),Техника!$F$4:$ABM$4,"Часы",INDEX(Техника!$G$1:$ABN$500,O$2,0),$A$81,INDEX(Техника!$H$1:$ABO$500,O$2,0),"М")</f>
        <v>0</v>
      </c>
      <c r="P82" s="50">
        <f>SUMIFS(INDEX(Техника!$F$1:$ABM$500,P$2,0),Техника!$F$4:$ABM$4,"Часы",INDEX(Техника!$G$1:$ABN$500,P$2,0),$A$81,INDEX(Техника!$H$1:$ABO$500,P$2,0),"М")</f>
        <v>0</v>
      </c>
      <c r="Q82" s="50">
        <f>SUMIFS(INDEX(Техника!$F$1:$ABM$500,Q$2,0),Техника!$F$4:$ABM$4,"Часы",INDEX(Техника!$G$1:$ABN$500,Q$2,0),$A$81,INDEX(Техника!$H$1:$ABO$500,Q$2,0),"М")</f>
        <v>0</v>
      </c>
      <c r="R82" s="50">
        <f>SUMIFS(INDEX(Техника!$F$1:$ABM$500,R$2,0),Техника!$F$4:$ABM$4,"Часы",INDEX(Техника!$G$1:$ABN$500,R$2,0),$A$81,INDEX(Техника!$H$1:$ABO$500,R$2,0),"М")</f>
        <v>0</v>
      </c>
      <c r="S82" s="50">
        <f>SUMIFS(INDEX(Техника!$F$1:$ABM$500,S$2,0),Техника!$F$4:$ABM$4,"Часы",INDEX(Техника!$G$1:$ABN$500,S$2,0),$A$81,INDEX(Техника!$H$1:$ABO$500,S$2,0),"М")</f>
        <v>0</v>
      </c>
      <c r="T82" s="50">
        <f>SUMIFS(INDEX(Техника!$F$1:$ABM$500,T$2,0),Техника!$F$4:$ABM$4,"Часы",INDEX(Техника!$G$1:$ABN$500,T$2,0),$A$81,INDEX(Техника!$H$1:$ABO$500,T$2,0),"М")</f>
        <v>0</v>
      </c>
      <c r="U82" s="50">
        <f>SUMIFS(INDEX(Техника!$F$1:$ABM$500,U$2,0),Техника!$F$4:$ABM$4,"Часы",INDEX(Техника!$G$1:$ABN$500,U$2,0),$A$81,INDEX(Техника!$H$1:$ABO$500,U$2,0),"М")</f>
        <v>0</v>
      </c>
      <c r="V82" s="50">
        <f>SUMIFS(INDEX(Техника!$F$1:$ABM$500,V$2,0),Техника!$F$4:$ABM$4,"Часы",INDEX(Техника!$G$1:$ABN$500,V$2,0),$A$81,INDEX(Техника!$H$1:$ABO$500,V$2,0),"М")</f>
        <v>0</v>
      </c>
      <c r="W82" s="50">
        <f>SUMIFS(INDEX(Техника!$F$1:$ABM$500,W$2,0),Техника!$F$4:$ABM$4,"Часы",INDEX(Техника!$G$1:$ABN$500,W$2,0),$A$81,INDEX(Техника!$H$1:$ABO$500,W$2,0),"М")</f>
        <v>0</v>
      </c>
      <c r="X82" s="50">
        <f>SUMIFS(INDEX(Техника!$F$1:$ABM$500,X$2,0),Техника!$F$4:$ABM$4,"Часы",INDEX(Техника!$G$1:$ABN$500,X$2,0),$A$81,INDEX(Техника!$H$1:$ABO$500,X$2,0),"М")</f>
        <v>0</v>
      </c>
      <c r="Y82" s="50">
        <f>SUMIFS(INDEX(Техника!$F$1:$ABM$500,Y$2,0),Техника!$F$4:$ABM$4,"Часы",INDEX(Техника!$G$1:$ABN$500,Y$2,0),$A$81,INDEX(Техника!$H$1:$ABO$500,Y$2,0),"М")</f>
        <v>0</v>
      </c>
      <c r="Z82" s="50">
        <f>SUMIFS(INDEX(Техника!$F$1:$ABM$500,Z$2,0),Техника!$F$4:$ABM$4,"Часы",INDEX(Техника!$G$1:$ABN$500,Z$2,0),$A$81,INDEX(Техника!$H$1:$ABO$500,Z$2,0),"М")</f>
        <v>0</v>
      </c>
      <c r="AA82" s="50">
        <f>SUMIFS(INDEX(Техника!$F$1:$ABM$500,AA$2,0),Техника!$F$4:$ABM$4,"Часы",INDEX(Техника!$G$1:$ABN$500,AA$2,0),$A$81,INDEX(Техника!$H$1:$ABO$500,AA$2,0),"М")</f>
        <v>0</v>
      </c>
      <c r="AB82" s="50">
        <f>SUMIFS(INDEX(Техника!$F$1:$ABM$500,AB$2,0),Техника!$F$4:$ABM$4,"Часы",INDEX(Техника!$G$1:$ABN$500,AB$2,0),$A$81,INDEX(Техника!$H$1:$ABO$500,AB$2,0),"М")</f>
        <v>0</v>
      </c>
    </row>
    <row r="83" spans="1:28" hidden="1" outlineLevel="1" x14ac:dyDescent="0.3">
      <c r="A83" s="33" t="s">
        <v>244</v>
      </c>
      <c r="B83" s="34" t="s">
        <v>275</v>
      </c>
      <c r="C83" s="50">
        <f>SUMIFS(INDEX(Техника!$F$1:$ABM$500,C$2,0),Техника!$F$4:$ABM$4,"Часы",INDEX(Техника!$G$1:$ABN$500,C$2,0),$A$81,INDEX(Техника!$H$1:$ABO$500,C$2,0),"Д")</f>
        <v>0</v>
      </c>
      <c r="D83" s="50">
        <f>SUMIFS(INDEX(Техника!$F$1:$ABM$500,D$2,0),Техника!$F$4:$ABM$4,"Часы",INDEX(Техника!$G$1:$ABN$500,D$2,0),$A$81,INDEX(Техника!$H$1:$ABO$500,D$2,0),"Д")</f>
        <v>0</v>
      </c>
      <c r="E83" s="50">
        <f>SUMIFS(INDEX(Техника!$F$1:$ABM$500,E$2,0),Техника!$F$4:$ABM$4,"Часы",INDEX(Техника!$G$1:$ABN$500,E$2,0),$A$81,INDEX(Техника!$H$1:$ABO$500,E$2,0),"Д")</f>
        <v>0</v>
      </c>
      <c r="F83" s="50">
        <f>SUMIFS(INDEX(Техника!$F$1:$ABM$500,F$2,0),Техника!$F$4:$ABM$4,"Часы",INDEX(Техника!$G$1:$ABN$500,F$2,0),$A$81,INDEX(Техника!$H$1:$ABO$500,F$2,0),"Д")</f>
        <v>0</v>
      </c>
      <c r="G83" s="50">
        <f>SUMIFS(INDEX(Техника!$F$1:$ABM$500,G$2,0),Техника!$F$4:$ABM$4,"Часы",INDEX(Техника!$G$1:$ABN$500,G$2,0),$A$81,INDEX(Техника!$H$1:$ABO$500,G$2,0),"Д")</f>
        <v>0</v>
      </c>
      <c r="H83" s="50">
        <f>SUMIFS(INDEX(Техника!$F$1:$ABM$500,H$2,0),Техника!$F$4:$ABM$4,"Часы",INDEX(Техника!$G$1:$ABN$500,H$2,0),$A$81,INDEX(Техника!$H$1:$ABO$500,H$2,0),"Д")</f>
        <v>0</v>
      </c>
      <c r="I83" s="50">
        <f>SUMIFS(INDEX(Техника!$F$1:$ABM$500,I$2,0),Техника!$F$4:$ABM$4,"Часы",INDEX(Техника!$G$1:$ABN$500,I$2,0),$A$81,INDEX(Техника!$H$1:$ABO$500,I$2,0),"Д")</f>
        <v>0</v>
      </c>
      <c r="J83" s="50">
        <f>SUMIFS(INDEX(Техника!$F$1:$ABM$500,J$2,0),Техника!$F$4:$ABM$4,"Часы",INDEX(Техника!$G$1:$ABN$500,J$2,0),$A$81,INDEX(Техника!$H$1:$ABO$500,J$2,0),"Д")</f>
        <v>0</v>
      </c>
      <c r="K83" s="50">
        <f>SUMIFS(INDEX(Техника!$F$1:$ABM$500,K$2,0),Техника!$F$4:$ABM$4,"Часы",INDEX(Техника!$G$1:$ABN$500,K$2,0),$A$81,INDEX(Техника!$H$1:$ABO$500,K$2,0),"Д")</f>
        <v>0</v>
      </c>
      <c r="L83" s="50">
        <f>SUMIFS(INDEX(Техника!$F$1:$ABM$500,L$2,0),Техника!$F$4:$ABM$4,"Часы",INDEX(Техника!$G$1:$ABN$500,L$2,0),$A$81,INDEX(Техника!$H$1:$ABO$500,L$2,0),"Д")</f>
        <v>0</v>
      </c>
      <c r="M83" s="50">
        <f>SUMIFS(INDEX(Техника!$F$1:$ABM$500,M$2,0),Техника!$F$4:$ABM$4,"Часы",INDEX(Техника!$G$1:$ABN$500,M$2,0),$A$81,INDEX(Техника!$H$1:$ABO$500,M$2,0),"Д")</f>
        <v>0</v>
      </c>
      <c r="N83" s="50">
        <f>SUMIFS(INDEX(Техника!$F$1:$ABM$500,N$2,0),Техника!$F$4:$ABM$4,"Часы",INDEX(Техника!$G$1:$ABN$500,N$2,0),$A$81,INDEX(Техника!$H$1:$ABO$500,N$2,0),"Д")</f>
        <v>0</v>
      </c>
      <c r="O83" s="50">
        <f>SUMIFS(INDEX(Техника!$F$1:$ABM$500,O$2,0),Техника!$F$4:$ABM$4,"Часы",INDEX(Техника!$G$1:$ABN$500,O$2,0),$A$81,INDEX(Техника!$H$1:$ABO$500,O$2,0),"Д")</f>
        <v>0</v>
      </c>
      <c r="P83" s="50">
        <f>SUMIFS(INDEX(Техника!$F$1:$ABM$500,P$2,0),Техника!$F$4:$ABM$4,"Часы",INDEX(Техника!$G$1:$ABN$500,P$2,0),$A$81,INDEX(Техника!$H$1:$ABO$500,P$2,0),"Д")</f>
        <v>0</v>
      </c>
      <c r="Q83" s="50">
        <f>SUMIFS(INDEX(Техника!$F$1:$ABM$500,Q$2,0),Техника!$F$4:$ABM$4,"Часы",INDEX(Техника!$G$1:$ABN$500,Q$2,0),$A$81,INDEX(Техника!$H$1:$ABO$500,Q$2,0),"Д")</f>
        <v>0</v>
      </c>
      <c r="R83" s="50">
        <f>SUMIFS(INDEX(Техника!$F$1:$ABM$500,R$2,0),Техника!$F$4:$ABM$4,"Часы",INDEX(Техника!$G$1:$ABN$500,R$2,0),$A$81,INDEX(Техника!$H$1:$ABO$500,R$2,0),"Д")</f>
        <v>0</v>
      </c>
      <c r="S83" s="50">
        <f>SUMIFS(INDEX(Техника!$F$1:$ABM$500,S$2,0),Техника!$F$4:$ABM$4,"Часы",INDEX(Техника!$G$1:$ABN$500,S$2,0),$A$81,INDEX(Техника!$H$1:$ABO$500,S$2,0),"Д")</f>
        <v>0</v>
      </c>
      <c r="T83" s="50">
        <f>SUMIFS(INDEX(Техника!$F$1:$ABM$500,T$2,0),Техника!$F$4:$ABM$4,"Часы",INDEX(Техника!$G$1:$ABN$500,T$2,0),$A$81,INDEX(Техника!$H$1:$ABO$500,T$2,0),"Д")</f>
        <v>0</v>
      </c>
      <c r="U83" s="50">
        <f>SUMIFS(INDEX(Техника!$F$1:$ABM$500,U$2,0),Техника!$F$4:$ABM$4,"Часы",INDEX(Техника!$G$1:$ABN$500,U$2,0),$A$81,INDEX(Техника!$H$1:$ABO$500,U$2,0),"Д")</f>
        <v>0</v>
      </c>
      <c r="V83" s="50">
        <f>SUMIFS(INDEX(Техника!$F$1:$ABM$500,V$2,0),Техника!$F$4:$ABM$4,"Часы",INDEX(Техника!$G$1:$ABN$500,V$2,0),$A$81,INDEX(Техника!$H$1:$ABO$500,V$2,0),"Д")</f>
        <v>0</v>
      </c>
      <c r="W83" s="50">
        <f>SUMIFS(INDEX(Техника!$F$1:$ABM$500,W$2,0),Техника!$F$4:$ABM$4,"Часы",INDEX(Техника!$G$1:$ABN$500,W$2,0),$A$81,INDEX(Техника!$H$1:$ABO$500,W$2,0),"Д")</f>
        <v>0</v>
      </c>
      <c r="X83" s="50">
        <f>SUMIFS(INDEX(Техника!$F$1:$ABM$500,X$2,0),Техника!$F$4:$ABM$4,"Часы",INDEX(Техника!$G$1:$ABN$500,X$2,0),$A$81,INDEX(Техника!$H$1:$ABO$500,X$2,0),"Д")</f>
        <v>0</v>
      </c>
      <c r="Y83" s="50">
        <f>SUMIFS(INDEX(Техника!$F$1:$ABM$500,Y$2,0),Техника!$F$4:$ABM$4,"Часы",INDEX(Техника!$G$1:$ABN$500,Y$2,0),$A$81,INDEX(Техника!$H$1:$ABO$500,Y$2,0),"Д")</f>
        <v>0</v>
      </c>
      <c r="Z83" s="50">
        <f>SUMIFS(INDEX(Техника!$F$1:$ABM$500,Z$2,0),Техника!$F$4:$ABM$4,"Часы",INDEX(Техника!$G$1:$ABN$500,Z$2,0),$A$81,INDEX(Техника!$H$1:$ABO$500,Z$2,0),"Д")</f>
        <v>0</v>
      </c>
      <c r="AA83" s="50">
        <f>SUMIFS(INDEX(Техника!$F$1:$ABM$500,AA$2,0),Техника!$F$4:$ABM$4,"Часы",INDEX(Техника!$G$1:$ABN$500,AA$2,0),$A$81,INDEX(Техника!$H$1:$ABO$500,AA$2,0),"Д")</f>
        <v>0</v>
      </c>
      <c r="AB83" s="50">
        <f>SUMIFS(INDEX(Техника!$F$1:$ABM$500,AB$2,0),Техника!$F$4:$ABM$4,"Часы",INDEX(Техника!$G$1:$ABN$500,AB$2,0),$A$81,INDEX(Техника!$H$1:$ABO$500,AB$2,0),"Д")</f>
        <v>0</v>
      </c>
    </row>
    <row r="84" spans="1:28" hidden="1" outlineLevel="1" x14ac:dyDescent="0.3">
      <c r="A84" s="33" t="s">
        <v>276</v>
      </c>
      <c r="B84" s="34" t="s">
        <v>277</v>
      </c>
      <c r="C84" s="50">
        <f>SUMIFS(INDEX(Техника!$F$1:$ABM$500,C$2,0),Техника!$F$4:$ABM$4,"Часы",INDEX(Техника!$G$1:$ABN$500,C$2,0),$A$81,INDEX(Техника!$H$1:$ABO$500,C$2,0),"П")</f>
        <v>0</v>
      </c>
      <c r="D84" s="50">
        <f>SUMIFS(INDEX(Техника!$F$1:$ABM$500,D$2,0),Техника!$F$4:$ABM$4,"Часы",INDEX(Техника!$G$1:$ABN$500,D$2,0),$A$81,INDEX(Техника!$H$1:$ABO$500,D$2,0),"П")</f>
        <v>0</v>
      </c>
      <c r="E84" s="50">
        <f>SUMIFS(INDEX(Техника!$F$1:$ABM$500,E$2,0),Техника!$F$4:$ABM$4,"Часы",INDEX(Техника!$G$1:$ABN$500,E$2,0),$A$81,INDEX(Техника!$H$1:$ABO$500,E$2,0),"П")</f>
        <v>0</v>
      </c>
      <c r="F84" s="50">
        <f>SUMIFS(INDEX(Техника!$F$1:$ABM$500,F$2,0),Техника!$F$4:$ABM$4,"Часы",INDEX(Техника!$G$1:$ABN$500,F$2,0),$A$81,INDEX(Техника!$H$1:$ABO$500,F$2,0),"П")</f>
        <v>0</v>
      </c>
      <c r="G84" s="50">
        <f>SUMIFS(INDEX(Техника!$F$1:$ABM$500,G$2,0),Техника!$F$4:$ABM$4,"Часы",INDEX(Техника!$G$1:$ABN$500,G$2,0),$A$81,INDEX(Техника!$H$1:$ABO$500,G$2,0),"П")</f>
        <v>0</v>
      </c>
      <c r="H84" s="50">
        <f>SUMIFS(INDEX(Техника!$F$1:$ABM$500,H$2,0),Техника!$F$4:$ABM$4,"Часы",INDEX(Техника!$G$1:$ABN$500,H$2,0),$A$81,INDEX(Техника!$H$1:$ABO$500,H$2,0),"П")</f>
        <v>0</v>
      </c>
      <c r="I84" s="50">
        <f>SUMIFS(INDEX(Техника!$F$1:$ABM$500,I$2,0),Техника!$F$4:$ABM$4,"Часы",INDEX(Техника!$G$1:$ABN$500,I$2,0),$A$81,INDEX(Техника!$H$1:$ABO$500,I$2,0),"П")</f>
        <v>0</v>
      </c>
      <c r="J84" s="50">
        <f>SUMIFS(INDEX(Техника!$F$1:$ABM$500,J$2,0),Техника!$F$4:$ABM$4,"Часы",INDEX(Техника!$G$1:$ABN$500,J$2,0),$A$81,INDEX(Техника!$H$1:$ABO$500,J$2,0),"П")</f>
        <v>0</v>
      </c>
      <c r="K84" s="50">
        <f>SUMIFS(INDEX(Техника!$F$1:$ABM$500,K$2,0),Техника!$F$4:$ABM$4,"Часы",INDEX(Техника!$G$1:$ABN$500,K$2,0),$A$81,INDEX(Техника!$H$1:$ABO$500,K$2,0),"П")</f>
        <v>0</v>
      </c>
      <c r="L84" s="50">
        <f>SUMIFS(INDEX(Техника!$F$1:$ABM$500,L$2,0),Техника!$F$4:$ABM$4,"Часы",INDEX(Техника!$G$1:$ABN$500,L$2,0),$A$81,INDEX(Техника!$H$1:$ABO$500,L$2,0),"П")</f>
        <v>0</v>
      </c>
      <c r="M84" s="50">
        <f>SUMIFS(INDEX(Техника!$F$1:$ABM$500,M$2,0),Техника!$F$4:$ABM$4,"Часы",INDEX(Техника!$G$1:$ABN$500,M$2,0),$A$81,INDEX(Техника!$H$1:$ABO$500,M$2,0),"П")</f>
        <v>0</v>
      </c>
      <c r="N84" s="50">
        <f>SUMIFS(INDEX(Техника!$F$1:$ABM$500,N$2,0),Техника!$F$4:$ABM$4,"Часы",INDEX(Техника!$G$1:$ABN$500,N$2,0),$A$81,INDEX(Техника!$H$1:$ABO$500,N$2,0),"П")</f>
        <v>0</v>
      </c>
      <c r="O84" s="50">
        <f>SUMIFS(INDEX(Техника!$F$1:$ABM$500,O$2,0),Техника!$F$4:$ABM$4,"Часы",INDEX(Техника!$G$1:$ABN$500,O$2,0),$A$81,INDEX(Техника!$H$1:$ABO$500,O$2,0),"П")</f>
        <v>0</v>
      </c>
      <c r="P84" s="50">
        <f>SUMIFS(INDEX(Техника!$F$1:$ABM$500,P$2,0),Техника!$F$4:$ABM$4,"Часы",INDEX(Техника!$G$1:$ABN$500,P$2,0),$A$81,INDEX(Техника!$H$1:$ABO$500,P$2,0),"П")</f>
        <v>0</v>
      </c>
      <c r="Q84" s="50">
        <f>SUMIFS(INDEX(Техника!$F$1:$ABM$500,Q$2,0),Техника!$F$4:$ABM$4,"Часы",INDEX(Техника!$G$1:$ABN$500,Q$2,0),$A$81,INDEX(Техника!$H$1:$ABO$500,Q$2,0),"П")</f>
        <v>0</v>
      </c>
      <c r="R84" s="50">
        <f>SUMIFS(INDEX(Техника!$F$1:$ABM$500,R$2,0),Техника!$F$4:$ABM$4,"Часы",INDEX(Техника!$G$1:$ABN$500,R$2,0),$A$81,INDEX(Техника!$H$1:$ABO$500,R$2,0),"П")</f>
        <v>0</v>
      </c>
      <c r="S84" s="50">
        <f>SUMIFS(INDEX(Техника!$F$1:$ABM$500,S$2,0),Техника!$F$4:$ABM$4,"Часы",INDEX(Техника!$G$1:$ABN$500,S$2,0),$A$81,INDEX(Техника!$H$1:$ABO$500,S$2,0),"П")</f>
        <v>0</v>
      </c>
      <c r="T84" s="50">
        <f>SUMIFS(INDEX(Техника!$F$1:$ABM$500,T$2,0),Техника!$F$4:$ABM$4,"Часы",INDEX(Техника!$G$1:$ABN$500,T$2,0),$A$81,INDEX(Техника!$H$1:$ABO$500,T$2,0),"П")</f>
        <v>0</v>
      </c>
      <c r="U84" s="50">
        <f>SUMIFS(INDEX(Техника!$F$1:$ABM$500,U$2,0),Техника!$F$4:$ABM$4,"Часы",INDEX(Техника!$G$1:$ABN$500,U$2,0),$A$81,INDEX(Техника!$H$1:$ABO$500,U$2,0),"П")</f>
        <v>0</v>
      </c>
      <c r="V84" s="50">
        <f>SUMIFS(INDEX(Техника!$F$1:$ABM$500,V$2,0),Техника!$F$4:$ABM$4,"Часы",INDEX(Техника!$G$1:$ABN$500,V$2,0),$A$81,INDEX(Техника!$H$1:$ABO$500,V$2,0),"П")</f>
        <v>0</v>
      </c>
      <c r="W84" s="50">
        <f>SUMIFS(INDEX(Техника!$F$1:$ABM$500,W$2,0),Техника!$F$4:$ABM$4,"Часы",INDEX(Техника!$G$1:$ABN$500,W$2,0),$A$81,INDEX(Техника!$H$1:$ABO$500,W$2,0),"П")</f>
        <v>0</v>
      </c>
      <c r="X84" s="50">
        <f>SUMIFS(INDEX(Техника!$F$1:$ABM$500,X$2,0),Техника!$F$4:$ABM$4,"Часы",INDEX(Техника!$G$1:$ABN$500,X$2,0),$A$81,INDEX(Техника!$H$1:$ABO$500,X$2,0),"П")</f>
        <v>0</v>
      </c>
      <c r="Y84" s="50">
        <f>SUMIFS(INDEX(Техника!$F$1:$ABM$500,Y$2,0),Техника!$F$4:$ABM$4,"Часы",INDEX(Техника!$G$1:$ABN$500,Y$2,0),$A$81,INDEX(Техника!$H$1:$ABO$500,Y$2,0),"П")</f>
        <v>0</v>
      </c>
      <c r="Z84" s="50">
        <f>SUMIFS(INDEX(Техника!$F$1:$ABM$500,Z$2,0),Техника!$F$4:$ABM$4,"Часы",INDEX(Техника!$G$1:$ABN$500,Z$2,0),$A$81,INDEX(Техника!$H$1:$ABO$500,Z$2,0),"П")</f>
        <v>0</v>
      </c>
      <c r="AA84" s="50">
        <f>SUMIFS(INDEX(Техника!$F$1:$ABM$500,AA$2,0),Техника!$F$4:$ABM$4,"Часы",INDEX(Техника!$G$1:$ABN$500,AA$2,0),$A$81,INDEX(Техника!$H$1:$ABO$500,AA$2,0),"П")</f>
        <v>0</v>
      </c>
      <c r="AB84" s="50">
        <f>SUMIFS(INDEX(Техника!$F$1:$ABM$500,AB$2,0),Техника!$F$4:$ABM$4,"Часы",INDEX(Техника!$G$1:$ABN$500,AB$2,0),$A$81,INDEX(Техника!$H$1:$ABO$500,AB$2,0),"П")</f>
        <v>0</v>
      </c>
    </row>
    <row r="85" spans="1:28" hidden="1" outlineLevel="1" x14ac:dyDescent="0.3">
      <c r="A85" s="33" t="s">
        <v>243</v>
      </c>
      <c r="B85" s="34" t="s">
        <v>278</v>
      </c>
      <c r="C85" s="50">
        <f>SUMIFS(INDEX(Техника!$F$1:$ABM$500,C$2,0),Техника!$F$4:$ABM$4,"Часы",INDEX(Техника!$G$1:$ABN$500,C$2,0),$A$81,INDEX(Техника!$H$1:$ABO$500,C$2,0),"Л")</f>
        <v>0</v>
      </c>
      <c r="D85" s="50">
        <f>SUMIFS(INDEX(Техника!$F$1:$ABM$500,D$2,0),Техника!$F$4:$ABM$4,"Часы",INDEX(Техника!$G$1:$ABN$500,D$2,0),$A$81,INDEX(Техника!$H$1:$ABO$500,D$2,0),"Л")</f>
        <v>0</v>
      </c>
      <c r="E85" s="50">
        <f>SUMIFS(INDEX(Техника!$F$1:$ABM$500,E$2,0),Техника!$F$4:$ABM$4,"Часы",INDEX(Техника!$G$1:$ABN$500,E$2,0),$A$81,INDEX(Техника!$H$1:$ABO$500,E$2,0),"Л")</f>
        <v>0</v>
      </c>
      <c r="F85" s="50">
        <f>SUMIFS(INDEX(Техника!$F$1:$ABM$500,F$2,0),Техника!$F$4:$ABM$4,"Часы",INDEX(Техника!$G$1:$ABN$500,F$2,0),$A$81,INDEX(Техника!$H$1:$ABO$500,F$2,0),"Л")</f>
        <v>0</v>
      </c>
      <c r="G85" s="50">
        <f>SUMIFS(INDEX(Техника!$F$1:$ABM$500,G$2,0),Техника!$F$4:$ABM$4,"Часы",INDEX(Техника!$G$1:$ABN$500,G$2,0),$A$81,INDEX(Техника!$H$1:$ABO$500,G$2,0),"Л")</f>
        <v>0</v>
      </c>
      <c r="H85" s="50">
        <f>SUMIFS(INDEX(Техника!$F$1:$ABM$500,H$2,0),Техника!$F$4:$ABM$4,"Часы",INDEX(Техника!$G$1:$ABN$500,H$2,0),$A$81,INDEX(Техника!$H$1:$ABO$500,H$2,0),"Л")</f>
        <v>0</v>
      </c>
      <c r="I85" s="50">
        <f>SUMIFS(INDEX(Техника!$F$1:$ABM$500,I$2,0),Техника!$F$4:$ABM$4,"Часы",INDEX(Техника!$G$1:$ABN$500,I$2,0),$A$81,INDEX(Техника!$H$1:$ABO$500,I$2,0),"Л")</f>
        <v>0</v>
      </c>
      <c r="J85" s="50">
        <f>SUMIFS(INDEX(Техника!$F$1:$ABM$500,J$2,0),Техника!$F$4:$ABM$4,"Часы",INDEX(Техника!$G$1:$ABN$500,J$2,0),$A$81,INDEX(Техника!$H$1:$ABO$500,J$2,0),"Л")</f>
        <v>0</v>
      </c>
      <c r="K85" s="50">
        <f>SUMIFS(INDEX(Техника!$F$1:$ABM$500,K$2,0),Техника!$F$4:$ABM$4,"Часы",INDEX(Техника!$G$1:$ABN$500,K$2,0),$A$81,INDEX(Техника!$H$1:$ABO$500,K$2,0),"Л")</f>
        <v>0</v>
      </c>
      <c r="L85" s="50">
        <f>SUMIFS(INDEX(Техника!$F$1:$ABM$500,L$2,0),Техника!$F$4:$ABM$4,"Часы",INDEX(Техника!$G$1:$ABN$500,L$2,0),$A$81,INDEX(Техника!$H$1:$ABO$500,L$2,0),"Л")</f>
        <v>0</v>
      </c>
      <c r="M85" s="50">
        <f>SUMIFS(INDEX(Техника!$F$1:$ABM$500,M$2,0),Техника!$F$4:$ABM$4,"Часы",INDEX(Техника!$G$1:$ABN$500,M$2,0),$A$81,INDEX(Техника!$H$1:$ABO$500,M$2,0),"Л")</f>
        <v>0</v>
      </c>
      <c r="N85" s="50">
        <f>SUMIFS(INDEX(Техника!$F$1:$ABM$500,N$2,0),Техника!$F$4:$ABM$4,"Часы",INDEX(Техника!$G$1:$ABN$500,N$2,0),$A$81,INDEX(Техника!$H$1:$ABO$500,N$2,0),"Л")</f>
        <v>0</v>
      </c>
      <c r="O85" s="50">
        <f>SUMIFS(INDEX(Техника!$F$1:$ABM$500,O$2,0),Техника!$F$4:$ABM$4,"Часы",INDEX(Техника!$G$1:$ABN$500,O$2,0),$A$81,INDEX(Техника!$H$1:$ABO$500,O$2,0),"Л")</f>
        <v>0</v>
      </c>
      <c r="P85" s="50">
        <f>SUMIFS(INDEX(Техника!$F$1:$ABM$500,P$2,0),Техника!$F$4:$ABM$4,"Часы",INDEX(Техника!$G$1:$ABN$500,P$2,0),$A$81,INDEX(Техника!$H$1:$ABO$500,P$2,0),"Л")</f>
        <v>0</v>
      </c>
      <c r="Q85" s="50">
        <f>SUMIFS(INDEX(Техника!$F$1:$ABM$500,Q$2,0),Техника!$F$4:$ABM$4,"Часы",INDEX(Техника!$G$1:$ABN$500,Q$2,0),$A$81,INDEX(Техника!$H$1:$ABO$500,Q$2,0),"Л")</f>
        <v>0</v>
      </c>
      <c r="R85" s="50">
        <f>SUMIFS(INDEX(Техника!$F$1:$ABM$500,R$2,0),Техника!$F$4:$ABM$4,"Часы",INDEX(Техника!$G$1:$ABN$500,R$2,0),$A$81,INDEX(Техника!$H$1:$ABO$500,R$2,0),"Л")</f>
        <v>0</v>
      </c>
      <c r="S85" s="50">
        <f>SUMIFS(INDEX(Техника!$F$1:$ABM$500,S$2,0),Техника!$F$4:$ABM$4,"Часы",INDEX(Техника!$G$1:$ABN$500,S$2,0),$A$81,INDEX(Техника!$H$1:$ABO$500,S$2,0),"Л")</f>
        <v>0</v>
      </c>
      <c r="T85" s="50">
        <f>SUMIFS(INDEX(Техника!$F$1:$ABM$500,T$2,0),Техника!$F$4:$ABM$4,"Часы",INDEX(Техника!$G$1:$ABN$500,T$2,0),$A$81,INDEX(Техника!$H$1:$ABO$500,T$2,0),"Л")</f>
        <v>0</v>
      </c>
      <c r="U85" s="50">
        <f>SUMIFS(INDEX(Техника!$F$1:$ABM$500,U$2,0),Техника!$F$4:$ABM$4,"Часы",INDEX(Техника!$G$1:$ABN$500,U$2,0),$A$81,INDEX(Техника!$H$1:$ABO$500,U$2,0),"Л")</f>
        <v>0</v>
      </c>
      <c r="V85" s="50">
        <f>SUMIFS(INDEX(Техника!$F$1:$ABM$500,V$2,0),Техника!$F$4:$ABM$4,"Часы",INDEX(Техника!$G$1:$ABN$500,V$2,0),$A$81,INDEX(Техника!$H$1:$ABO$500,V$2,0),"Л")</f>
        <v>0</v>
      </c>
      <c r="W85" s="50">
        <f>SUMIFS(INDEX(Техника!$F$1:$ABM$500,W$2,0),Техника!$F$4:$ABM$4,"Часы",INDEX(Техника!$G$1:$ABN$500,W$2,0),$A$81,INDEX(Техника!$H$1:$ABO$500,W$2,0),"Л")</f>
        <v>0</v>
      </c>
      <c r="X85" s="50">
        <f>SUMIFS(INDEX(Техника!$F$1:$ABM$500,X$2,0),Техника!$F$4:$ABM$4,"Часы",INDEX(Техника!$G$1:$ABN$500,X$2,0),$A$81,INDEX(Техника!$H$1:$ABO$500,X$2,0),"Л")</f>
        <v>0</v>
      </c>
      <c r="Y85" s="50">
        <f>SUMIFS(INDEX(Техника!$F$1:$ABM$500,Y$2,0),Техника!$F$4:$ABM$4,"Часы",INDEX(Техника!$G$1:$ABN$500,Y$2,0),$A$81,INDEX(Техника!$H$1:$ABO$500,Y$2,0),"Л")</f>
        <v>0</v>
      </c>
      <c r="Z85" s="50">
        <f>SUMIFS(INDEX(Техника!$F$1:$ABM$500,Z$2,0),Техника!$F$4:$ABM$4,"Часы",INDEX(Техника!$G$1:$ABN$500,Z$2,0),$A$81,INDEX(Техника!$H$1:$ABO$500,Z$2,0),"Л")</f>
        <v>0</v>
      </c>
      <c r="AA85" s="50">
        <f>SUMIFS(INDEX(Техника!$F$1:$ABM$500,AA$2,0),Техника!$F$4:$ABM$4,"Часы",INDEX(Техника!$G$1:$ABN$500,AA$2,0),$A$81,INDEX(Техника!$H$1:$ABO$500,AA$2,0),"Л")</f>
        <v>0</v>
      </c>
      <c r="AB85" s="50">
        <f>SUMIFS(INDEX(Техника!$F$1:$ABM$500,AB$2,0),Техника!$F$4:$ABM$4,"Часы",INDEX(Техника!$G$1:$ABN$500,AB$2,0),$A$81,INDEX(Техника!$H$1:$ABO$500,AB$2,0),"Л")</f>
        <v>0</v>
      </c>
    </row>
    <row r="86" spans="1:28" hidden="1" outlineLevel="1" x14ac:dyDescent="0.3">
      <c r="A86" s="33" t="s">
        <v>245</v>
      </c>
      <c r="B86" s="34" t="s">
        <v>279</v>
      </c>
      <c r="C86" s="50">
        <f>SUMIFS(INDEX(Техника!$F$1:$ABM$500,C$2,0),Техника!$F$4:$ABM$4,"Часы",INDEX(Техника!$G$1:$ABN$500,C$2,0),$A$81,INDEX(Техника!$H$1:$ABO$500,C$2,0),"З")</f>
        <v>0</v>
      </c>
      <c r="D86" s="50">
        <f>SUMIFS(INDEX(Техника!$F$1:$ABM$500,D$2,0),Техника!$F$4:$ABM$4,"Часы",INDEX(Техника!$G$1:$ABN$500,D$2,0),$A$81,INDEX(Техника!$H$1:$ABO$500,D$2,0),"З")</f>
        <v>0</v>
      </c>
      <c r="E86" s="50">
        <f>SUMIFS(INDEX(Техника!$F$1:$ABM$500,E$2,0),Техника!$F$4:$ABM$4,"Часы",INDEX(Техника!$G$1:$ABN$500,E$2,0),$A$81,INDEX(Техника!$H$1:$ABO$500,E$2,0),"З")</f>
        <v>0</v>
      </c>
      <c r="F86" s="50">
        <f>SUMIFS(INDEX(Техника!$F$1:$ABM$500,F$2,0),Техника!$F$4:$ABM$4,"Часы",INDEX(Техника!$G$1:$ABN$500,F$2,0),$A$81,INDEX(Техника!$H$1:$ABO$500,F$2,0),"З")</f>
        <v>0</v>
      </c>
      <c r="G86" s="50">
        <f>SUMIFS(INDEX(Техника!$F$1:$ABM$500,G$2,0),Техника!$F$4:$ABM$4,"Часы",INDEX(Техника!$G$1:$ABN$500,G$2,0),$A$81,INDEX(Техника!$H$1:$ABO$500,G$2,0),"З")</f>
        <v>0</v>
      </c>
      <c r="H86" s="50">
        <f>SUMIFS(INDEX(Техника!$F$1:$ABM$500,H$2,0),Техника!$F$4:$ABM$4,"Часы",INDEX(Техника!$G$1:$ABN$500,H$2,0),$A$81,INDEX(Техника!$H$1:$ABO$500,H$2,0),"З")</f>
        <v>0</v>
      </c>
      <c r="I86" s="50">
        <f>SUMIFS(INDEX(Техника!$F$1:$ABM$500,I$2,0),Техника!$F$4:$ABM$4,"Часы",INDEX(Техника!$G$1:$ABN$500,I$2,0),$A$81,INDEX(Техника!$H$1:$ABO$500,I$2,0),"З")</f>
        <v>0</v>
      </c>
      <c r="J86" s="50">
        <f>SUMIFS(INDEX(Техника!$F$1:$ABM$500,J$2,0),Техника!$F$4:$ABM$4,"Часы",INDEX(Техника!$G$1:$ABN$500,J$2,0),$A$81,INDEX(Техника!$H$1:$ABO$500,J$2,0),"З")</f>
        <v>0</v>
      </c>
      <c r="K86" s="50">
        <f>SUMIFS(INDEX(Техника!$F$1:$ABM$500,K$2,0),Техника!$F$4:$ABM$4,"Часы",INDEX(Техника!$G$1:$ABN$500,K$2,0),$A$81,INDEX(Техника!$H$1:$ABO$500,K$2,0),"З")</f>
        <v>0</v>
      </c>
      <c r="L86" s="50">
        <f>SUMIFS(INDEX(Техника!$F$1:$ABM$500,L$2,0),Техника!$F$4:$ABM$4,"Часы",INDEX(Техника!$G$1:$ABN$500,L$2,0),$A$81,INDEX(Техника!$H$1:$ABO$500,L$2,0),"З")</f>
        <v>0</v>
      </c>
      <c r="M86" s="50">
        <f>SUMIFS(INDEX(Техника!$F$1:$ABM$500,M$2,0),Техника!$F$4:$ABM$4,"Часы",INDEX(Техника!$G$1:$ABN$500,M$2,0),$A$81,INDEX(Техника!$H$1:$ABO$500,M$2,0),"З")</f>
        <v>0</v>
      </c>
      <c r="N86" s="50">
        <f>SUMIFS(INDEX(Техника!$F$1:$ABM$500,N$2,0),Техника!$F$4:$ABM$4,"Часы",INDEX(Техника!$G$1:$ABN$500,N$2,0),$A$81,INDEX(Техника!$H$1:$ABO$500,N$2,0),"З")</f>
        <v>0</v>
      </c>
      <c r="O86" s="50">
        <f>SUMIFS(INDEX(Техника!$F$1:$ABM$500,O$2,0),Техника!$F$4:$ABM$4,"Часы",INDEX(Техника!$G$1:$ABN$500,O$2,0),$A$81,INDEX(Техника!$H$1:$ABO$500,O$2,0),"З")</f>
        <v>0</v>
      </c>
      <c r="P86" s="50">
        <f>SUMIFS(INDEX(Техника!$F$1:$ABM$500,P$2,0),Техника!$F$4:$ABM$4,"Часы",INDEX(Техника!$G$1:$ABN$500,P$2,0),$A$81,INDEX(Техника!$H$1:$ABO$500,P$2,0),"З")</f>
        <v>0</v>
      </c>
      <c r="Q86" s="50">
        <f>SUMIFS(INDEX(Техника!$F$1:$ABM$500,Q$2,0),Техника!$F$4:$ABM$4,"Часы",INDEX(Техника!$G$1:$ABN$500,Q$2,0),$A$81,INDEX(Техника!$H$1:$ABO$500,Q$2,0),"З")</f>
        <v>0</v>
      </c>
      <c r="R86" s="50">
        <f>SUMIFS(INDEX(Техника!$F$1:$ABM$500,R$2,0),Техника!$F$4:$ABM$4,"Часы",INDEX(Техника!$G$1:$ABN$500,R$2,0),$A$81,INDEX(Техника!$H$1:$ABO$500,R$2,0),"З")</f>
        <v>0</v>
      </c>
      <c r="S86" s="50">
        <f>SUMIFS(INDEX(Техника!$F$1:$ABM$500,S$2,0),Техника!$F$4:$ABM$4,"Часы",INDEX(Техника!$G$1:$ABN$500,S$2,0),$A$81,INDEX(Техника!$H$1:$ABO$500,S$2,0),"З")</f>
        <v>0</v>
      </c>
      <c r="T86" s="50">
        <f>SUMIFS(INDEX(Техника!$F$1:$ABM$500,T$2,0),Техника!$F$4:$ABM$4,"Часы",INDEX(Техника!$G$1:$ABN$500,T$2,0),$A$81,INDEX(Техника!$H$1:$ABO$500,T$2,0),"З")</f>
        <v>0</v>
      </c>
      <c r="U86" s="50">
        <f>SUMIFS(INDEX(Техника!$F$1:$ABM$500,U$2,0),Техника!$F$4:$ABM$4,"Часы",INDEX(Техника!$G$1:$ABN$500,U$2,0),$A$81,INDEX(Техника!$H$1:$ABO$500,U$2,0),"З")</f>
        <v>0</v>
      </c>
      <c r="V86" s="50">
        <f>SUMIFS(INDEX(Техника!$F$1:$ABM$500,V$2,0),Техника!$F$4:$ABM$4,"Часы",INDEX(Техника!$G$1:$ABN$500,V$2,0),$A$81,INDEX(Техника!$H$1:$ABO$500,V$2,0),"З")</f>
        <v>0</v>
      </c>
      <c r="W86" s="50">
        <f>SUMIFS(INDEX(Техника!$F$1:$ABM$500,W$2,0),Техника!$F$4:$ABM$4,"Часы",INDEX(Техника!$G$1:$ABN$500,W$2,0),$A$81,INDEX(Техника!$H$1:$ABO$500,W$2,0),"З")</f>
        <v>0</v>
      </c>
      <c r="X86" s="50">
        <f>SUMIFS(INDEX(Техника!$F$1:$ABM$500,X$2,0),Техника!$F$4:$ABM$4,"Часы",INDEX(Техника!$G$1:$ABN$500,X$2,0),$A$81,INDEX(Техника!$H$1:$ABO$500,X$2,0),"З")</f>
        <v>0</v>
      </c>
      <c r="Y86" s="50">
        <f>SUMIFS(INDEX(Техника!$F$1:$ABM$500,Y$2,0),Техника!$F$4:$ABM$4,"Часы",INDEX(Техника!$G$1:$ABN$500,Y$2,0),$A$81,INDEX(Техника!$H$1:$ABO$500,Y$2,0),"З")</f>
        <v>0</v>
      </c>
      <c r="Z86" s="50">
        <f>SUMIFS(INDEX(Техника!$F$1:$ABM$500,Z$2,0),Техника!$F$4:$ABM$4,"Часы",INDEX(Техника!$G$1:$ABN$500,Z$2,0),$A$81,INDEX(Техника!$H$1:$ABO$500,Z$2,0),"З")</f>
        <v>0</v>
      </c>
      <c r="AA86" s="50">
        <f>SUMIFS(INDEX(Техника!$F$1:$ABM$500,AA$2,0),Техника!$F$4:$ABM$4,"Часы",INDEX(Техника!$G$1:$ABN$500,AA$2,0),$A$81,INDEX(Техника!$H$1:$ABO$500,AA$2,0),"З")</f>
        <v>0</v>
      </c>
      <c r="AB86" s="50">
        <f>SUMIFS(INDEX(Техника!$F$1:$ABM$500,AB$2,0),Техника!$F$4:$ABM$4,"Часы",INDEX(Техника!$G$1:$ABN$500,AB$2,0),$A$81,INDEX(Техника!$H$1:$ABO$500,AB$2,0),"З")</f>
        <v>0</v>
      </c>
    </row>
    <row r="87" spans="1:28" ht="7.95" customHeight="1" x14ac:dyDescent="0.3">
      <c r="A87" s="38"/>
      <c r="B87" s="39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 spans="1:28" ht="25.05" customHeight="1" collapsed="1" x14ac:dyDescent="0.3">
      <c r="A88" s="32">
        <v>13</v>
      </c>
      <c r="B88" s="32" t="s">
        <v>14</v>
      </c>
      <c r="C88" s="49">
        <f>SUM(C89:C93)</f>
        <v>0</v>
      </c>
      <c r="D88" s="49">
        <f>SUM(D89:D93)</f>
        <v>0</v>
      </c>
      <c r="E88" s="49">
        <f>SUM(E89:E93)</f>
        <v>0</v>
      </c>
      <c r="F88" s="49">
        <f>SUM(F89:F93)</f>
        <v>0</v>
      </c>
      <c r="G88" s="49">
        <f>SUM(G89:G93)</f>
        <v>0</v>
      </c>
      <c r="H88" s="49">
        <f>SUM(H89:H93)</f>
        <v>0</v>
      </c>
      <c r="I88" s="49">
        <f>SUM(I89:I93)</f>
        <v>0</v>
      </c>
      <c r="J88" s="49">
        <f>SUM(J89:J93)</f>
        <v>0</v>
      </c>
      <c r="K88" s="49">
        <f>SUM(K89:K93)</f>
        <v>0</v>
      </c>
      <c r="L88" s="49">
        <f>SUM(L89:L93)</f>
        <v>0</v>
      </c>
      <c r="M88" s="49">
        <f>SUM(M89:M93)</f>
        <v>0</v>
      </c>
      <c r="N88" s="49">
        <f>SUM(N89:N93)</f>
        <v>0</v>
      </c>
      <c r="O88" s="49">
        <f>SUM(O89:O93)</f>
        <v>0</v>
      </c>
      <c r="P88" s="49">
        <f>SUM(P89:P93)</f>
        <v>0</v>
      </c>
      <c r="Q88" s="49">
        <f>SUM(Q89:Q93)</f>
        <v>0</v>
      </c>
      <c r="R88" s="49">
        <f>SUM(R89:R93)</f>
        <v>0</v>
      </c>
      <c r="S88" s="49">
        <f>SUM(S89:S93)</f>
        <v>0</v>
      </c>
      <c r="T88" s="49">
        <f>SUM(T89:T93)</f>
        <v>0</v>
      </c>
      <c r="U88" s="49">
        <f>SUM(U89:U93)</f>
        <v>0</v>
      </c>
      <c r="V88" s="49">
        <f>SUM(V89:V93)</f>
        <v>0</v>
      </c>
      <c r="W88" s="49">
        <f>SUM(W89:W93)</f>
        <v>0</v>
      </c>
      <c r="X88" s="49">
        <f>SUM(X89:X93)</f>
        <v>0</v>
      </c>
      <c r="Y88" s="49">
        <f>SUM(Y89:Y93)</f>
        <v>0</v>
      </c>
      <c r="Z88" s="49">
        <f>SUM(Z89:Z93)</f>
        <v>0</v>
      </c>
      <c r="AA88" s="49">
        <f>SUM(AA89:AA93)</f>
        <v>0</v>
      </c>
      <c r="AB88" s="49">
        <f>SUM(AB89:AB93)</f>
        <v>0</v>
      </c>
    </row>
    <row r="89" spans="1:28" hidden="1" outlineLevel="1" x14ac:dyDescent="0.3">
      <c r="A89" s="33" t="s">
        <v>246</v>
      </c>
      <c r="B89" s="34" t="s">
        <v>274</v>
      </c>
      <c r="C89" s="50">
        <f>SUMIFS(INDEX(Техника!$F$1:$ABM$500,C$2,0),Техника!$F$4:$ABM$4,"Часы",INDEX(Техника!$G$1:$ABN$500,C$2,0),$A$88,INDEX(Техника!$H$1:$ABO$500,C$2,0),"М")</f>
        <v>0</v>
      </c>
      <c r="D89" s="50">
        <f>SUMIFS(INDEX(Техника!$F$1:$ABM$500,D$2,0),Техника!$F$4:$ABM$4,"Часы",INDEX(Техника!$G$1:$ABN$500,D$2,0),$A$88,INDEX(Техника!$H$1:$ABO$500,D$2,0),"М")</f>
        <v>0</v>
      </c>
      <c r="E89" s="50">
        <f>SUMIFS(INDEX(Техника!$F$1:$ABM$500,E$2,0),Техника!$F$4:$ABM$4,"Часы",INDEX(Техника!$G$1:$ABN$500,E$2,0),$A$88,INDEX(Техника!$H$1:$ABO$500,E$2,0),"М")</f>
        <v>0</v>
      </c>
      <c r="F89" s="50">
        <f>SUMIFS(INDEX(Техника!$F$1:$ABM$500,F$2,0),Техника!$F$4:$ABM$4,"Часы",INDEX(Техника!$G$1:$ABN$500,F$2,0),$A$88,INDEX(Техника!$H$1:$ABO$500,F$2,0),"М")</f>
        <v>0</v>
      </c>
      <c r="G89" s="50">
        <f>SUMIFS(INDEX(Техника!$F$1:$ABM$500,G$2,0),Техника!$F$4:$ABM$4,"Часы",INDEX(Техника!$G$1:$ABN$500,G$2,0),$A$88,INDEX(Техника!$H$1:$ABO$500,G$2,0),"М")</f>
        <v>0</v>
      </c>
      <c r="H89" s="50">
        <f>SUMIFS(INDEX(Техника!$F$1:$ABM$500,H$2,0),Техника!$F$4:$ABM$4,"Часы",INDEX(Техника!$G$1:$ABN$500,H$2,0),$A$88,INDEX(Техника!$H$1:$ABO$500,H$2,0),"М")</f>
        <v>0</v>
      </c>
      <c r="I89" s="50">
        <f>SUMIFS(INDEX(Техника!$F$1:$ABM$500,I$2,0),Техника!$F$4:$ABM$4,"Часы",INDEX(Техника!$G$1:$ABN$500,I$2,0),$A$88,INDEX(Техника!$H$1:$ABO$500,I$2,0),"М")</f>
        <v>0</v>
      </c>
      <c r="J89" s="50">
        <f>SUMIFS(INDEX(Техника!$F$1:$ABM$500,J$2,0),Техника!$F$4:$ABM$4,"Часы",INDEX(Техника!$G$1:$ABN$500,J$2,0),$A$88,INDEX(Техника!$H$1:$ABO$500,J$2,0),"М")</f>
        <v>0</v>
      </c>
      <c r="K89" s="50">
        <f>SUMIFS(INDEX(Техника!$F$1:$ABM$500,K$2,0),Техника!$F$4:$ABM$4,"Часы",INDEX(Техника!$G$1:$ABN$500,K$2,0),$A$88,INDEX(Техника!$H$1:$ABO$500,K$2,0),"М")</f>
        <v>0</v>
      </c>
      <c r="L89" s="50">
        <f>SUMIFS(INDEX(Техника!$F$1:$ABM$500,L$2,0),Техника!$F$4:$ABM$4,"Часы",INDEX(Техника!$G$1:$ABN$500,L$2,0),$A$88,INDEX(Техника!$H$1:$ABO$500,L$2,0),"М")</f>
        <v>0</v>
      </c>
      <c r="M89" s="50">
        <f>SUMIFS(INDEX(Техника!$F$1:$ABM$500,M$2,0),Техника!$F$4:$ABM$4,"Часы",INDEX(Техника!$G$1:$ABN$500,M$2,0),$A$88,INDEX(Техника!$H$1:$ABO$500,M$2,0),"М")</f>
        <v>0</v>
      </c>
      <c r="N89" s="50">
        <f>SUMIFS(INDEX(Техника!$F$1:$ABM$500,N$2,0),Техника!$F$4:$ABM$4,"Часы",INDEX(Техника!$G$1:$ABN$500,N$2,0),$A$88,INDEX(Техника!$H$1:$ABO$500,N$2,0),"М")</f>
        <v>0</v>
      </c>
      <c r="O89" s="50">
        <f>SUMIFS(INDEX(Техника!$F$1:$ABM$500,O$2,0),Техника!$F$4:$ABM$4,"Часы",INDEX(Техника!$G$1:$ABN$500,O$2,0),$A$88,INDEX(Техника!$H$1:$ABO$500,O$2,0),"М")</f>
        <v>0</v>
      </c>
      <c r="P89" s="50">
        <f>SUMIFS(INDEX(Техника!$F$1:$ABM$500,P$2,0),Техника!$F$4:$ABM$4,"Часы",INDEX(Техника!$G$1:$ABN$500,P$2,0),$A$88,INDEX(Техника!$H$1:$ABO$500,P$2,0),"М")</f>
        <v>0</v>
      </c>
      <c r="Q89" s="50">
        <f>SUMIFS(INDEX(Техника!$F$1:$ABM$500,Q$2,0),Техника!$F$4:$ABM$4,"Часы",INDEX(Техника!$G$1:$ABN$500,Q$2,0),$A$88,INDEX(Техника!$H$1:$ABO$500,Q$2,0),"М")</f>
        <v>0</v>
      </c>
      <c r="R89" s="50">
        <f>SUMIFS(INDEX(Техника!$F$1:$ABM$500,R$2,0),Техника!$F$4:$ABM$4,"Часы",INDEX(Техника!$G$1:$ABN$500,R$2,0),$A$88,INDEX(Техника!$H$1:$ABO$500,R$2,0),"М")</f>
        <v>0</v>
      </c>
      <c r="S89" s="50">
        <f>SUMIFS(INDEX(Техника!$F$1:$ABM$500,S$2,0),Техника!$F$4:$ABM$4,"Часы",INDEX(Техника!$G$1:$ABN$500,S$2,0),$A$88,INDEX(Техника!$H$1:$ABO$500,S$2,0),"М")</f>
        <v>0</v>
      </c>
      <c r="T89" s="50">
        <f>SUMIFS(INDEX(Техника!$F$1:$ABM$500,T$2,0),Техника!$F$4:$ABM$4,"Часы",INDEX(Техника!$G$1:$ABN$500,T$2,0),$A$88,INDEX(Техника!$H$1:$ABO$500,T$2,0),"М")</f>
        <v>0</v>
      </c>
      <c r="U89" s="50">
        <f>SUMIFS(INDEX(Техника!$F$1:$ABM$500,U$2,0),Техника!$F$4:$ABM$4,"Часы",INDEX(Техника!$G$1:$ABN$500,U$2,0),$A$88,INDEX(Техника!$H$1:$ABO$500,U$2,0),"М")</f>
        <v>0</v>
      </c>
      <c r="V89" s="50">
        <f>SUMIFS(INDEX(Техника!$F$1:$ABM$500,V$2,0),Техника!$F$4:$ABM$4,"Часы",INDEX(Техника!$G$1:$ABN$500,V$2,0),$A$88,INDEX(Техника!$H$1:$ABO$500,V$2,0),"М")</f>
        <v>0</v>
      </c>
      <c r="W89" s="50">
        <f>SUMIFS(INDEX(Техника!$F$1:$ABM$500,W$2,0),Техника!$F$4:$ABM$4,"Часы",INDEX(Техника!$G$1:$ABN$500,W$2,0),$A$88,INDEX(Техника!$H$1:$ABO$500,W$2,0),"М")</f>
        <v>0</v>
      </c>
      <c r="X89" s="50">
        <f>SUMIFS(INDEX(Техника!$F$1:$ABM$500,X$2,0),Техника!$F$4:$ABM$4,"Часы",INDEX(Техника!$G$1:$ABN$500,X$2,0),$A$88,INDEX(Техника!$H$1:$ABO$500,X$2,0),"М")</f>
        <v>0</v>
      </c>
      <c r="Y89" s="50">
        <f>SUMIFS(INDEX(Техника!$F$1:$ABM$500,Y$2,0),Техника!$F$4:$ABM$4,"Часы",INDEX(Техника!$G$1:$ABN$500,Y$2,0),$A$88,INDEX(Техника!$H$1:$ABO$500,Y$2,0),"М")</f>
        <v>0</v>
      </c>
      <c r="Z89" s="50">
        <f>SUMIFS(INDEX(Техника!$F$1:$ABM$500,Z$2,0),Техника!$F$4:$ABM$4,"Часы",INDEX(Техника!$G$1:$ABN$500,Z$2,0),$A$88,INDEX(Техника!$H$1:$ABO$500,Z$2,0),"М")</f>
        <v>0</v>
      </c>
      <c r="AA89" s="50">
        <f>SUMIFS(INDEX(Техника!$F$1:$ABM$500,AA$2,0),Техника!$F$4:$ABM$4,"Часы",INDEX(Техника!$G$1:$ABN$500,AA$2,0),$A$88,INDEX(Техника!$H$1:$ABO$500,AA$2,0),"М")</f>
        <v>0</v>
      </c>
      <c r="AB89" s="50">
        <f>SUMIFS(INDEX(Техника!$F$1:$ABM$500,AB$2,0),Техника!$F$4:$ABM$4,"Часы",INDEX(Техника!$G$1:$ABN$500,AB$2,0),$A$88,INDEX(Техника!$H$1:$ABO$500,AB$2,0),"М")</f>
        <v>0</v>
      </c>
    </row>
    <row r="90" spans="1:28" hidden="1" outlineLevel="1" x14ac:dyDescent="0.3">
      <c r="A90" s="33" t="s">
        <v>244</v>
      </c>
      <c r="B90" s="34" t="s">
        <v>275</v>
      </c>
      <c r="C90" s="50">
        <f>SUMIFS(INDEX(Техника!$F$1:$ABM$500,C$2,0),Техника!$F$4:$ABM$4,"Часы",INDEX(Техника!$G$1:$ABN$500,C$2,0),$A$88,INDEX(Техника!$H$1:$ABO$500,C$2,0),"Д")</f>
        <v>0</v>
      </c>
      <c r="D90" s="50">
        <f>SUMIFS(INDEX(Техника!$F$1:$ABM$500,D$2,0),Техника!$F$4:$ABM$4,"Часы",INDEX(Техника!$G$1:$ABN$500,D$2,0),$A$88,INDEX(Техника!$H$1:$ABO$500,D$2,0),"Д")</f>
        <v>0</v>
      </c>
      <c r="E90" s="50">
        <f>SUMIFS(INDEX(Техника!$F$1:$ABM$500,E$2,0),Техника!$F$4:$ABM$4,"Часы",INDEX(Техника!$G$1:$ABN$500,E$2,0),$A$88,INDEX(Техника!$H$1:$ABO$500,E$2,0),"Д")</f>
        <v>0</v>
      </c>
      <c r="F90" s="50">
        <f>SUMIFS(INDEX(Техника!$F$1:$ABM$500,F$2,0),Техника!$F$4:$ABM$4,"Часы",INDEX(Техника!$G$1:$ABN$500,F$2,0),$A$88,INDEX(Техника!$H$1:$ABO$500,F$2,0),"Д")</f>
        <v>0</v>
      </c>
      <c r="G90" s="50">
        <f>SUMIFS(INDEX(Техника!$F$1:$ABM$500,G$2,0),Техника!$F$4:$ABM$4,"Часы",INDEX(Техника!$G$1:$ABN$500,G$2,0),$A$88,INDEX(Техника!$H$1:$ABO$500,G$2,0),"Д")</f>
        <v>0</v>
      </c>
      <c r="H90" s="50">
        <f>SUMIFS(INDEX(Техника!$F$1:$ABM$500,H$2,0),Техника!$F$4:$ABM$4,"Часы",INDEX(Техника!$G$1:$ABN$500,H$2,0),$A$88,INDEX(Техника!$H$1:$ABO$500,H$2,0),"Д")</f>
        <v>0</v>
      </c>
      <c r="I90" s="50">
        <f>SUMIFS(INDEX(Техника!$F$1:$ABM$500,I$2,0),Техника!$F$4:$ABM$4,"Часы",INDEX(Техника!$G$1:$ABN$500,I$2,0),$A$88,INDEX(Техника!$H$1:$ABO$500,I$2,0),"Д")</f>
        <v>0</v>
      </c>
      <c r="J90" s="50">
        <f>SUMIFS(INDEX(Техника!$F$1:$ABM$500,J$2,0),Техника!$F$4:$ABM$4,"Часы",INDEX(Техника!$G$1:$ABN$500,J$2,0),$A$88,INDEX(Техника!$H$1:$ABO$500,J$2,0),"Д")</f>
        <v>0</v>
      </c>
      <c r="K90" s="50">
        <f>SUMIFS(INDEX(Техника!$F$1:$ABM$500,K$2,0),Техника!$F$4:$ABM$4,"Часы",INDEX(Техника!$G$1:$ABN$500,K$2,0),$A$88,INDEX(Техника!$H$1:$ABO$500,K$2,0),"Д")</f>
        <v>0</v>
      </c>
      <c r="L90" s="50">
        <f>SUMIFS(INDEX(Техника!$F$1:$ABM$500,L$2,0),Техника!$F$4:$ABM$4,"Часы",INDEX(Техника!$G$1:$ABN$500,L$2,0),$A$88,INDEX(Техника!$H$1:$ABO$500,L$2,0),"Д")</f>
        <v>0</v>
      </c>
      <c r="M90" s="50">
        <f>SUMIFS(INDEX(Техника!$F$1:$ABM$500,M$2,0),Техника!$F$4:$ABM$4,"Часы",INDEX(Техника!$G$1:$ABN$500,M$2,0),$A$88,INDEX(Техника!$H$1:$ABO$500,M$2,0),"Д")</f>
        <v>0</v>
      </c>
      <c r="N90" s="50">
        <f>SUMIFS(INDEX(Техника!$F$1:$ABM$500,N$2,0),Техника!$F$4:$ABM$4,"Часы",INDEX(Техника!$G$1:$ABN$500,N$2,0),$A$88,INDEX(Техника!$H$1:$ABO$500,N$2,0),"Д")</f>
        <v>0</v>
      </c>
      <c r="O90" s="50">
        <f>SUMIFS(INDEX(Техника!$F$1:$ABM$500,O$2,0),Техника!$F$4:$ABM$4,"Часы",INDEX(Техника!$G$1:$ABN$500,O$2,0),$A$88,INDEX(Техника!$H$1:$ABO$500,O$2,0),"Д")</f>
        <v>0</v>
      </c>
      <c r="P90" s="50">
        <f>SUMIFS(INDEX(Техника!$F$1:$ABM$500,P$2,0),Техника!$F$4:$ABM$4,"Часы",INDEX(Техника!$G$1:$ABN$500,P$2,0),$A$88,INDEX(Техника!$H$1:$ABO$500,P$2,0),"Д")</f>
        <v>0</v>
      </c>
      <c r="Q90" s="50">
        <f>SUMIFS(INDEX(Техника!$F$1:$ABM$500,Q$2,0),Техника!$F$4:$ABM$4,"Часы",INDEX(Техника!$G$1:$ABN$500,Q$2,0),$A$88,INDEX(Техника!$H$1:$ABO$500,Q$2,0),"Д")</f>
        <v>0</v>
      </c>
      <c r="R90" s="50">
        <f>SUMIFS(INDEX(Техника!$F$1:$ABM$500,R$2,0),Техника!$F$4:$ABM$4,"Часы",INDEX(Техника!$G$1:$ABN$500,R$2,0),$A$88,INDEX(Техника!$H$1:$ABO$500,R$2,0),"Д")</f>
        <v>0</v>
      </c>
      <c r="S90" s="50">
        <f>SUMIFS(INDEX(Техника!$F$1:$ABM$500,S$2,0),Техника!$F$4:$ABM$4,"Часы",INDEX(Техника!$G$1:$ABN$500,S$2,0),$A$88,INDEX(Техника!$H$1:$ABO$500,S$2,0),"Д")</f>
        <v>0</v>
      </c>
      <c r="T90" s="50">
        <f>SUMIFS(INDEX(Техника!$F$1:$ABM$500,T$2,0),Техника!$F$4:$ABM$4,"Часы",INDEX(Техника!$G$1:$ABN$500,T$2,0),$A$88,INDEX(Техника!$H$1:$ABO$500,T$2,0),"Д")</f>
        <v>0</v>
      </c>
      <c r="U90" s="50">
        <f>SUMIFS(INDEX(Техника!$F$1:$ABM$500,U$2,0),Техника!$F$4:$ABM$4,"Часы",INDEX(Техника!$G$1:$ABN$500,U$2,0),$A$88,INDEX(Техника!$H$1:$ABO$500,U$2,0),"Д")</f>
        <v>0</v>
      </c>
      <c r="V90" s="50">
        <f>SUMIFS(INDEX(Техника!$F$1:$ABM$500,V$2,0),Техника!$F$4:$ABM$4,"Часы",INDEX(Техника!$G$1:$ABN$500,V$2,0),$A$88,INDEX(Техника!$H$1:$ABO$500,V$2,0),"Д")</f>
        <v>0</v>
      </c>
      <c r="W90" s="50">
        <f>SUMIFS(INDEX(Техника!$F$1:$ABM$500,W$2,0),Техника!$F$4:$ABM$4,"Часы",INDEX(Техника!$G$1:$ABN$500,W$2,0),$A$88,INDEX(Техника!$H$1:$ABO$500,W$2,0),"Д")</f>
        <v>0</v>
      </c>
      <c r="X90" s="50">
        <f>SUMIFS(INDEX(Техника!$F$1:$ABM$500,X$2,0),Техника!$F$4:$ABM$4,"Часы",INDEX(Техника!$G$1:$ABN$500,X$2,0),$A$88,INDEX(Техника!$H$1:$ABO$500,X$2,0),"Д")</f>
        <v>0</v>
      </c>
      <c r="Y90" s="50">
        <f>SUMIFS(INDEX(Техника!$F$1:$ABM$500,Y$2,0),Техника!$F$4:$ABM$4,"Часы",INDEX(Техника!$G$1:$ABN$500,Y$2,0),$A$88,INDEX(Техника!$H$1:$ABO$500,Y$2,0),"Д")</f>
        <v>0</v>
      </c>
      <c r="Z90" s="50">
        <f>SUMIFS(INDEX(Техника!$F$1:$ABM$500,Z$2,0),Техника!$F$4:$ABM$4,"Часы",INDEX(Техника!$G$1:$ABN$500,Z$2,0),$A$88,INDEX(Техника!$H$1:$ABO$500,Z$2,0),"Д")</f>
        <v>0</v>
      </c>
      <c r="AA90" s="50">
        <f>SUMIFS(INDEX(Техника!$F$1:$ABM$500,AA$2,0),Техника!$F$4:$ABM$4,"Часы",INDEX(Техника!$G$1:$ABN$500,AA$2,0),$A$88,INDEX(Техника!$H$1:$ABO$500,AA$2,0),"Д")</f>
        <v>0</v>
      </c>
      <c r="AB90" s="50">
        <f>SUMIFS(INDEX(Техника!$F$1:$ABM$500,AB$2,0),Техника!$F$4:$ABM$4,"Часы",INDEX(Техника!$G$1:$ABN$500,AB$2,0),$A$88,INDEX(Техника!$H$1:$ABO$500,AB$2,0),"Д")</f>
        <v>0</v>
      </c>
    </row>
    <row r="91" spans="1:28" hidden="1" outlineLevel="1" x14ac:dyDescent="0.3">
      <c r="A91" s="33" t="s">
        <v>276</v>
      </c>
      <c r="B91" s="34" t="s">
        <v>277</v>
      </c>
      <c r="C91" s="50">
        <f>SUMIFS(INDEX(Техника!$F$1:$ABM$500,C$2,0),Техника!$F$4:$ABM$4,"Часы",INDEX(Техника!$G$1:$ABN$500,C$2,0),$A$88,INDEX(Техника!$H$1:$ABO$500,C$2,0),"П")</f>
        <v>0</v>
      </c>
      <c r="D91" s="50">
        <f>SUMIFS(INDEX(Техника!$F$1:$ABM$500,D$2,0),Техника!$F$4:$ABM$4,"Часы",INDEX(Техника!$G$1:$ABN$500,D$2,0),$A$88,INDEX(Техника!$H$1:$ABO$500,D$2,0),"П")</f>
        <v>0</v>
      </c>
      <c r="E91" s="50">
        <f>SUMIFS(INDEX(Техника!$F$1:$ABM$500,E$2,0),Техника!$F$4:$ABM$4,"Часы",INDEX(Техника!$G$1:$ABN$500,E$2,0),$A$88,INDEX(Техника!$H$1:$ABO$500,E$2,0),"П")</f>
        <v>0</v>
      </c>
      <c r="F91" s="50">
        <f>SUMIFS(INDEX(Техника!$F$1:$ABM$500,F$2,0),Техника!$F$4:$ABM$4,"Часы",INDEX(Техника!$G$1:$ABN$500,F$2,0),$A$88,INDEX(Техника!$H$1:$ABO$500,F$2,0),"П")</f>
        <v>0</v>
      </c>
      <c r="G91" s="50">
        <f>SUMIFS(INDEX(Техника!$F$1:$ABM$500,G$2,0),Техника!$F$4:$ABM$4,"Часы",INDEX(Техника!$G$1:$ABN$500,G$2,0),$A$88,INDEX(Техника!$H$1:$ABO$500,G$2,0),"П")</f>
        <v>0</v>
      </c>
      <c r="H91" s="50">
        <f>SUMIFS(INDEX(Техника!$F$1:$ABM$500,H$2,0),Техника!$F$4:$ABM$4,"Часы",INDEX(Техника!$G$1:$ABN$500,H$2,0),$A$88,INDEX(Техника!$H$1:$ABO$500,H$2,0),"П")</f>
        <v>0</v>
      </c>
      <c r="I91" s="50">
        <f>SUMIFS(INDEX(Техника!$F$1:$ABM$500,I$2,0),Техника!$F$4:$ABM$4,"Часы",INDEX(Техника!$G$1:$ABN$500,I$2,0),$A$88,INDEX(Техника!$H$1:$ABO$500,I$2,0),"П")</f>
        <v>0</v>
      </c>
      <c r="J91" s="50">
        <f>SUMIFS(INDEX(Техника!$F$1:$ABM$500,J$2,0),Техника!$F$4:$ABM$4,"Часы",INDEX(Техника!$G$1:$ABN$500,J$2,0),$A$88,INDEX(Техника!$H$1:$ABO$500,J$2,0),"П")</f>
        <v>0</v>
      </c>
      <c r="K91" s="50">
        <f>SUMIFS(INDEX(Техника!$F$1:$ABM$500,K$2,0),Техника!$F$4:$ABM$4,"Часы",INDEX(Техника!$G$1:$ABN$500,K$2,0),$A$88,INDEX(Техника!$H$1:$ABO$500,K$2,0),"П")</f>
        <v>0</v>
      </c>
      <c r="L91" s="50">
        <f>SUMIFS(INDEX(Техника!$F$1:$ABM$500,L$2,0),Техника!$F$4:$ABM$4,"Часы",INDEX(Техника!$G$1:$ABN$500,L$2,0),$A$88,INDEX(Техника!$H$1:$ABO$500,L$2,0),"П")</f>
        <v>0</v>
      </c>
      <c r="M91" s="50">
        <f>SUMIFS(INDEX(Техника!$F$1:$ABM$500,M$2,0),Техника!$F$4:$ABM$4,"Часы",INDEX(Техника!$G$1:$ABN$500,M$2,0),$A$88,INDEX(Техника!$H$1:$ABO$500,M$2,0),"П")</f>
        <v>0</v>
      </c>
      <c r="N91" s="50">
        <f>SUMIFS(INDEX(Техника!$F$1:$ABM$500,N$2,0),Техника!$F$4:$ABM$4,"Часы",INDEX(Техника!$G$1:$ABN$500,N$2,0),$A$88,INDEX(Техника!$H$1:$ABO$500,N$2,0),"П")</f>
        <v>0</v>
      </c>
      <c r="O91" s="50">
        <f>SUMIFS(INDEX(Техника!$F$1:$ABM$500,O$2,0),Техника!$F$4:$ABM$4,"Часы",INDEX(Техника!$G$1:$ABN$500,O$2,0),$A$88,INDEX(Техника!$H$1:$ABO$500,O$2,0),"П")</f>
        <v>0</v>
      </c>
      <c r="P91" s="50">
        <f>SUMIFS(INDEX(Техника!$F$1:$ABM$500,P$2,0),Техника!$F$4:$ABM$4,"Часы",INDEX(Техника!$G$1:$ABN$500,P$2,0),$A$88,INDEX(Техника!$H$1:$ABO$500,P$2,0),"П")</f>
        <v>0</v>
      </c>
      <c r="Q91" s="50">
        <f>SUMIFS(INDEX(Техника!$F$1:$ABM$500,Q$2,0),Техника!$F$4:$ABM$4,"Часы",INDEX(Техника!$G$1:$ABN$500,Q$2,0),$A$88,INDEX(Техника!$H$1:$ABO$500,Q$2,0),"П")</f>
        <v>0</v>
      </c>
      <c r="R91" s="50">
        <f>SUMIFS(INDEX(Техника!$F$1:$ABM$500,R$2,0),Техника!$F$4:$ABM$4,"Часы",INDEX(Техника!$G$1:$ABN$500,R$2,0),$A$88,INDEX(Техника!$H$1:$ABO$500,R$2,0),"П")</f>
        <v>0</v>
      </c>
      <c r="S91" s="50">
        <f>SUMIFS(INDEX(Техника!$F$1:$ABM$500,S$2,0),Техника!$F$4:$ABM$4,"Часы",INDEX(Техника!$G$1:$ABN$500,S$2,0),$A$88,INDEX(Техника!$H$1:$ABO$500,S$2,0),"П")</f>
        <v>0</v>
      </c>
      <c r="T91" s="50">
        <f>SUMIFS(INDEX(Техника!$F$1:$ABM$500,T$2,0),Техника!$F$4:$ABM$4,"Часы",INDEX(Техника!$G$1:$ABN$500,T$2,0),$A$88,INDEX(Техника!$H$1:$ABO$500,T$2,0),"П")</f>
        <v>0</v>
      </c>
      <c r="U91" s="50">
        <f>SUMIFS(INDEX(Техника!$F$1:$ABM$500,U$2,0),Техника!$F$4:$ABM$4,"Часы",INDEX(Техника!$G$1:$ABN$500,U$2,0),$A$88,INDEX(Техника!$H$1:$ABO$500,U$2,0),"П")</f>
        <v>0</v>
      </c>
      <c r="V91" s="50">
        <f>SUMIFS(INDEX(Техника!$F$1:$ABM$500,V$2,0),Техника!$F$4:$ABM$4,"Часы",INDEX(Техника!$G$1:$ABN$500,V$2,0),$A$88,INDEX(Техника!$H$1:$ABO$500,V$2,0),"П")</f>
        <v>0</v>
      </c>
      <c r="W91" s="50">
        <f>SUMIFS(INDEX(Техника!$F$1:$ABM$500,W$2,0),Техника!$F$4:$ABM$4,"Часы",INDEX(Техника!$G$1:$ABN$500,W$2,0),$A$88,INDEX(Техника!$H$1:$ABO$500,W$2,0),"П")</f>
        <v>0</v>
      </c>
      <c r="X91" s="50">
        <f>SUMIFS(INDEX(Техника!$F$1:$ABM$500,X$2,0),Техника!$F$4:$ABM$4,"Часы",INDEX(Техника!$G$1:$ABN$500,X$2,0),$A$88,INDEX(Техника!$H$1:$ABO$500,X$2,0),"П")</f>
        <v>0</v>
      </c>
      <c r="Y91" s="50">
        <f>SUMIFS(INDEX(Техника!$F$1:$ABM$500,Y$2,0),Техника!$F$4:$ABM$4,"Часы",INDEX(Техника!$G$1:$ABN$500,Y$2,0),$A$88,INDEX(Техника!$H$1:$ABO$500,Y$2,0),"П")</f>
        <v>0</v>
      </c>
      <c r="Z91" s="50">
        <f>SUMIFS(INDEX(Техника!$F$1:$ABM$500,Z$2,0),Техника!$F$4:$ABM$4,"Часы",INDEX(Техника!$G$1:$ABN$500,Z$2,0),$A$88,INDEX(Техника!$H$1:$ABO$500,Z$2,0),"П")</f>
        <v>0</v>
      </c>
      <c r="AA91" s="50">
        <f>SUMIFS(INDEX(Техника!$F$1:$ABM$500,AA$2,0),Техника!$F$4:$ABM$4,"Часы",INDEX(Техника!$G$1:$ABN$500,AA$2,0),$A$88,INDEX(Техника!$H$1:$ABO$500,AA$2,0),"П")</f>
        <v>0</v>
      </c>
      <c r="AB91" s="50">
        <f>SUMIFS(INDEX(Техника!$F$1:$ABM$500,AB$2,0),Техника!$F$4:$ABM$4,"Часы",INDEX(Техника!$G$1:$ABN$500,AB$2,0),$A$88,INDEX(Техника!$H$1:$ABO$500,AB$2,0),"П")</f>
        <v>0</v>
      </c>
    </row>
    <row r="92" spans="1:28" hidden="1" outlineLevel="1" x14ac:dyDescent="0.3">
      <c r="A92" s="33" t="s">
        <v>243</v>
      </c>
      <c r="B92" s="34" t="s">
        <v>278</v>
      </c>
      <c r="C92" s="50">
        <f>SUMIFS(INDEX(Техника!$F$1:$ABM$500,C$2,0),Техника!$F$4:$ABM$4,"Часы",INDEX(Техника!$G$1:$ABN$500,C$2,0),$A$88,INDEX(Техника!$H$1:$ABO$500,C$2,0),"Л")</f>
        <v>0</v>
      </c>
      <c r="D92" s="50">
        <f>SUMIFS(INDEX(Техника!$F$1:$ABM$500,D$2,0),Техника!$F$4:$ABM$4,"Часы",INDEX(Техника!$G$1:$ABN$500,D$2,0),$A$88,INDEX(Техника!$H$1:$ABO$500,D$2,0),"Л")</f>
        <v>0</v>
      </c>
      <c r="E92" s="50">
        <f>SUMIFS(INDEX(Техника!$F$1:$ABM$500,E$2,0),Техника!$F$4:$ABM$4,"Часы",INDEX(Техника!$G$1:$ABN$500,E$2,0),$A$88,INDEX(Техника!$H$1:$ABO$500,E$2,0),"Л")</f>
        <v>0</v>
      </c>
      <c r="F92" s="50">
        <f>SUMIFS(INDEX(Техника!$F$1:$ABM$500,F$2,0),Техника!$F$4:$ABM$4,"Часы",INDEX(Техника!$G$1:$ABN$500,F$2,0),$A$88,INDEX(Техника!$H$1:$ABO$500,F$2,0),"Л")</f>
        <v>0</v>
      </c>
      <c r="G92" s="50">
        <f>SUMIFS(INDEX(Техника!$F$1:$ABM$500,G$2,0),Техника!$F$4:$ABM$4,"Часы",INDEX(Техника!$G$1:$ABN$500,G$2,0),$A$88,INDEX(Техника!$H$1:$ABO$500,G$2,0),"Л")</f>
        <v>0</v>
      </c>
      <c r="H92" s="50">
        <f>SUMIFS(INDEX(Техника!$F$1:$ABM$500,H$2,0),Техника!$F$4:$ABM$4,"Часы",INDEX(Техника!$G$1:$ABN$500,H$2,0),$A$88,INDEX(Техника!$H$1:$ABO$500,H$2,0),"Л")</f>
        <v>0</v>
      </c>
      <c r="I92" s="50">
        <f>SUMIFS(INDEX(Техника!$F$1:$ABM$500,I$2,0),Техника!$F$4:$ABM$4,"Часы",INDEX(Техника!$G$1:$ABN$500,I$2,0),$A$88,INDEX(Техника!$H$1:$ABO$500,I$2,0),"Л")</f>
        <v>0</v>
      </c>
      <c r="J92" s="50">
        <f>SUMIFS(INDEX(Техника!$F$1:$ABM$500,J$2,0),Техника!$F$4:$ABM$4,"Часы",INDEX(Техника!$G$1:$ABN$500,J$2,0),$A$88,INDEX(Техника!$H$1:$ABO$500,J$2,0),"Л")</f>
        <v>0</v>
      </c>
      <c r="K92" s="50">
        <f>SUMIFS(INDEX(Техника!$F$1:$ABM$500,K$2,0),Техника!$F$4:$ABM$4,"Часы",INDEX(Техника!$G$1:$ABN$500,K$2,0),$A$88,INDEX(Техника!$H$1:$ABO$500,K$2,0),"Л")</f>
        <v>0</v>
      </c>
      <c r="L92" s="50">
        <f>SUMIFS(INDEX(Техника!$F$1:$ABM$500,L$2,0),Техника!$F$4:$ABM$4,"Часы",INDEX(Техника!$G$1:$ABN$500,L$2,0),$A$88,INDEX(Техника!$H$1:$ABO$500,L$2,0),"Л")</f>
        <v>0</v>
      </c>
      <c r="M92" s="50">
        <f>SUMIFS(INDEX(Техника!$F$1:$ABM$500,M$2,0),Техника!$F$4:$ABM$4,"Часы",INDEX(Техника!$G$1:$ABN$500,M$2,0),$A$88,INDEX(Техника!$H$1:$ABO$500,M$2,0),"Л")</f>
        <v>0</v>
      </c>
      <c r="N92" s="50">
        <f>SUMIFS(INDEX(Техника!$F$1:$ABM$500,N$2,0),Техника!$F$4:$ABM$4,"Часы",INDEX(Техника!$G$1:$ABN$500,N$2,0),$A$88,INDEX(Техника!$H$1:$ABO$500,N$2,0),"Л")</f>
        <v>0</v>
      </c>
      <c r="O92" s="50">
        <f>SUMIFS(INDEX(Техника!$F$1:$ABM$500,O$2,0),Техника!$F$4:$ABM$4,"Часы",INDEX(Техника!$G$1:$ABN$500,O$2,0),$A$88,INDEX(Техника!$H$1:$ABO$500,O$2,0),"Л")</f>
        <v>0</v>
      </c>
      <c r="P92" s="50">
        <f>SUMIFS(INDEX(Техника!$F$1:$ABM$500,P$2,0),Техника!$F$4:$ABM$4,"Часы",INDEX(Техника!$G$1:$ABN$500,P$2,0),$A$88,INDEX(Техника!$H$1:$ABO$500,P$2,0),"Л")</f>
        <v>0</v>
      </c>
      <c r="Q92" s="50">
        <f>SUMIFS(INDEX(Техника!$F$1:$ABM$500,Q$2,0),Техника!$F$4:$ABM$4,"Часы",INDEX(Техника!$G$1:$ABN$500,Q$2,0),$A$88,INDEX(Техника!$H$1:$ABO$500,Q$2,0),"Л")</f>
        <v>0</v>
      </c>
      <c r="R92" s="50">
        <f>SUMIFS(INDEX(Техника!$F$1:$ABM$500,R$2,0),Техника!$F$4:$ABM$4,"Часы",INDEX(Техника!$G$1:$ABN$500,R$2,0),$A$88,INDEX(Техника!$H$1:$ABO$500,R$2,0),"Л")</f>
        <v>0</v>
      </c>
      <c r="S92" s="50">
        <f>SUMIFS(INDEX(Техника!$F$1:$ABM$500,S$2,0),Техника!$F$4:$ABM$4,"Часы",INDEX(Техника!$G$1:$ABN$500,S$2,0),$A$88,INDEX(Техника!$H$1:$ABO$500,S$2,0),"Л")</f>
        <v>0</v>
      </c>
      <c r="T92" s="50">
        <f>SUMIFS(INDEX(Техника!$F$1:$ABM$500,T$2,0),Техника!$F$4:$ABM$4,"Часы",INDEX(Техника!$G$1:$ABN$500,T$2,0),$A$88,INDEX(Техника!$H$1:$ABO$500,T$2,0),"Л")</f>
        <v>0</v>
      </c>
      <c r="U92" s="50">
        <f>SUMIFS(INDEX(Техника!$F$1:$ABM$500,U$2,0),Техника!$F$4:$ABM$4,"Часы",INDEX(Техника!$G$1:$ABN$500,U$2,0),$A$88,INDEX(Техника!$H$1:$ABO$500,U$2,0),"Л")</f>
        <v>0</v>
      </c>
      <c r="V92" s="50">
        <f>SUMIFS(INDEX(Техника!$F$1:$ABM$500,V$2,0),Техника!$F$4:$ABM$4,"Часы",INDEX(Техника!$G$1:$ABN$500,V$2,0),$A$88,INDEX(Техника!$H$1:$ABO$500,V$2,0),"Л")</f>
        <v>0</v>
      </c>
      <c r="W92" s="50">
        <f>SUMIFS(INDEX(Техника!$F$1:$ABM$500,W$2,0),Техника!$F$4:$ABM$4,"Часы",INDEX(Техника!$G$1:$ABN$500,W$2,0),$A$88,INDEX(Техника!$H$1:$ABO$500,W$2,0),"Л")</f>
        <v>0</v>
      </c>
      <c r="X92" s="50">
        <f>SUMIFS(INDEX(Техника!$F$1:$ABM$500,X$2,0),Техника!$F$4:$ABM$4,"Часы",INDEX(Техника!$G$1:$ABN$500,X$2,0),$A$88,INDEX(Техника!$H$1:$ABO$500,X$2,0),"Л")</f>
        <v>0</v>
      </c>
      <c r="Y92" s="50">
        <f>SUMIFS(INDEX(Техника!$F$1:$ABM$500,Y$2,0),Техника!$F$4:$ABM$4,"Часы",INDEX(Техника!$G$1:$ABN$500,Y$2,0),$A$88,INDEX(Техника!$H$1:$ABO$500,Y$2,0),"Л")</f>
        <v>0</v>
      </c>
      <c r="Z92" s="50">
        <f>SUMIFS(INDEX(Техника!$F$1:$ABM$500,Z$2,0),Техника!$F$4:$ABM$4,"Часы",INDEX(Техника!$G$1:$ABN$500,Z$2,0),$A$88,INDEX(Техника!$H$1:$ABO$500,Z$2,0),"Л")</f>
        <v>0</v>
      </c>
      <c r="AA92" s="50">
        <f>SUMIFS(INDEX(Техника!$F$1:$ABM$500,AA$2,0),Техника!$F$4:$ABM$4,"Часы",INDEX(Техника!$G$1:$ABN$500,AA$2,0),$A$88,INDEX(Техника!$H$1:$ABO$500,AA$2,0),"Л")</f>
        <v>0</v>
      </c>
      <c r="AB92" s="50">
        <f>SUMIFS(INDEX(Техника!$F$1:$ABM$500,AB$2,0),Техника!$F$4:$ABM$4,"Часы",INDEX(Техника!$G$1:$ABN$500,AB$2,0),$A$88,INDEX(Техника!$H$1:$ABO$500,AB$2,0),"Л")</f>
        <v>0</v>
      </c>
    </row>
    <row r="93" spans="1:28" hidden="1" outlineLevel="1" x14ac:dyDescent="0.3">
      <c r="A93" s="33" t="s">
        <v>245</v>
      </c>
      <c r="B93" s="34" t="s">
        <v>279</v>
      </c>
      <c r="C93" s="50">
        <f>SUMIFS(INDEX(Техника!$F$1:$ABM$500,C$2,0),Техника!$F$4:$ABM$4,"Часы",INDEX(Техника!$G$1:$ABN$500,C$2,0),$A$88,INDEX(Техника!$H$1:$ABO$500,C$2,0),"З")</f>
        <v>0</v>
      </c>
      <c r="D93" s="50">
        <f>SUMIFS(INDEX(Техника!$F$1:$ABM$500,D$2,0),Техника!$F$4:$ABM$4,"Часы",INDEX(Техника!$G$1:$ABN$500,D$2,0),$A$88,INDEX(Техника!$H$1:$ABO$500,D$2,0),"З")</f>
        <v>0</v>
      </c>
      <c r="E93" s="50">
        <f>SUMIFS(INDEX(Техника!$F$1:$ABM$500,E$2,0),Техника!$F$4:$ABM$4,"Часы",INDEX(Техника!$G$1:$ABN$500,E$2,0),$A$88,INDEX(Техника!$H$1:$ABO$500,E$2,0),"З")</f>
        <v>0</v>
      </c>
      <c r="F93" s="50">
        <f>SUMIFS(INDEX(Техника!$F$1:$ABM$500,F$2,0),Техника!$F$4:$ABM$4,"Часы",INDEX(Техника!$G$1:$ABN$500,F$2,0),$A$88,INDEX(Техника!$H$1:$ABO$500,F$2,0),"З")</f>
        <v>0</v>
      </c>
      <c r="G93" s="50">
        <f>SUMIFS(INDEX(Техника!$F$1:$ABM$500,G$2,0),Техника!$F$4:$ABM$4,"Часы",INDEX(Техника!$G$1:$ABN$500,G$2,0),$A$88,INDEX(Техника!$H$1:$ABO$500,G$2,0),"З")</f>
        <v>0</v>
      </c>
      <c r="H93" s="50">
        <f>SUMIFS(INDEX(Техника!$F$1:$ABM$500,H$2,0),Техника!$F$4:$ABM$4,"Часы",INDEX(Техника!$G$1:$ABN$500,H$2,0),$A$88,INDEX(Техника!$H$1:$ABO$500,H$2,0),"З")</f>
        <v>0</v>
      </c>
      <c r="I93" s="50">
        <f>SUMIFS(INDEX(Техника!$F$1:$ABM$500,I$2,0),Техника!$F$4:$ABM$4,"Часы",INDEX(Техника!$G$1:$ABN$500,I$2,0),$A$88,INDEX(Техника!$H$1:$ABO$500,I$2,0),"З")</f>
        <v>0</v>
      </c>
      <c r="J93" s="50">
        <f>SUMIFS(INDEX(Техника!$F$1:$ABM$500,J$2,0),Техника!$F$4:$ABM$4,"Часы",INDEX(Техника!$G$1:$ABN$500,J$2,0),$A$88,INDEX(Техника!$H$1:$ABO$500,J$2,0),"З")</f>
        <v>0</v>
      </c>
      <c r="K93" s="50">
        <f>SUMIFS(INDEX(Техника!$F$1:$ABM$500,K$2,0),Техника!$F$4:$ABM$4,"Часы",INDEX(Техника!$G$1:$ABN$500,K$2,0),$A$88,INDEX(Техника!$H$1:$ABO$500,K$2,0),"З")</f>
        <v>0</v>
      </c>
      <c r="L93" s="50">
        <f>SUMIFS(INDEX(Техника!$F$1:$ABM$500,L$2,0),Техника!$F$4:$ABM$4,"Часы",INDEX(Техника!$G$1:$ABN$500,L$2,0),$A$88,INDEX(Техника!$H$1:$ABO$500,L$2,0),"З")</f>
        <v>0</v>
      </c>
      <c r="M93" s="50">
        <f>SUMIFS(INDEX(Техника!$F$1:$ABM$500,M$2,0),Техника!$F$4:$ABM$4,"Часы",INDEX(Техника!$G$1:$ABN$500,M$2,0),$A$88,INDEX(Техника!$H$1:$ABO$500,M$2,0),"З")</f>
        <v>0</v>
      </c>
      <c r="N93" s="50">
        <f>SUMIFS(INDEX(Техника!$F$1:$ABM$500,N$2,0),Техника!$F$4:$ABM$4,"Часы",INDEX(Техника!$G$1:$ABN$500,N$2,0),$A$88,INDEX(Техника!$H$1:$ABO$500,N$2,0),"З")</f>
        <v>0</v>
      </c>
      <c r="O93" s="50">
        <f>SUMIFS(INDEX(Техника!$F$1:$ABM$500,O$2,0),Техника!$F$4:$ABM$4,"Часы",INDEX(Техника!$G$1:$ABN$500,O$2,0),$A$88,INDEX(Техника!$H$1:$ABO$500,O$2,0),"З")</f>
        <v>0</v>
      </c>
      <c r="P93" s="50">
        <f>SUMIFS(INDEX(Техника!$F$1:$ABM$500,P$2,0),Техника!$F$4:$ABM$4,"Часы",INDEX(Техника!$G$1:$ABN$500,P$2,0),$A$88,INDEX(Техника!$H$1:$ABO$500,P$2,0),"З")</f>
        <v>0</v>
      </c>
      <c r="Q93" s="50">
        <f>SUMIFS(INDEX(Техника!$F$1:$ABM$500,Q$2,0),Техника!$F$4:$ABM$4,"Часы",INDEX(Техника!$G$1:$ABN$500,Q$2,0),$A$88,INDEX(Техника!$H$1:$ABO$500,Q$2,0),"З")</f>
        <v>0</v>
      </c>
      <c r="R93" s="50">
        <f>SUMIFS(INDEX(Техника!$F$1:$ABM$500,R$2,0),Техника!$F$4:$ABM$4,"Часы",INDEX(Техника!$G$1:$ABN$500,R$2,0),$A$88,INDEX(Техника!$H$1:$ABO$500,R$2,0),"З")</f>
        <v>0</v>
      </c>
      <c r="S93" s="50">
        <f>SUMIFS(INDEX(Техника!$F$1:$ABM$500,S$2,0),Техника!$F$4:$ABM$4,"Часы",INDEX(Техника!$G$1:$ABN$500,S$2,0),$A$88,INDEX(Техника!$H$1:$ABO$500,S$2,0),"З")</f>
        <v>0</v>
      </c>
      <c r="T93" s="50">
        <f>SUMIFS(INDEX(Техника!$F$1:$ABM$500,T$2,0),Техника!$F$4:$ABM$4,"Часы",INDEX(Техника!$G$1:$ABN$500,T$2,0),$A$88,INDEX(Техника!$H$1:$ABO$500,T$2,0),"З")</f>
        <v>0</v>
      </c>
      <c r="U93" s="50">
        <f>SUMIFS(INDEX(Техника!$F$1:$ABM$500,U$2,0),Техника!$F$4:$ABM$4,"Часы",INDEX(Техника!$G$1:$ABN$500,U$2,0),$A$88,INDEX(Техника!$H$1:$ABO$500,U$2,0),"З")</f>
        <v>0</v>
      </c>
      <c r="V93" s="50">
        <f>SUMIFS(INDEX(Техника!$F$1:$ABM$500,V$2,0),Техника!$F$4:$ABM$4,"Часы",INDEX(Техника!$G$1:$ABN$500,V$2,0),$A$88,INDEX(Техника!$H$1:$ABO$500,V$2,0),"З")</f>
        <v>0</v>
      </c>
      <c r="W93" s="50">
        <f>SUMIFS(INDEX(Техника!$F$1:$ABM$500,W$2,0),Техника!$F$4:$ABM$4,"Часы",INDEX(Техника!$G$1:$ABN$500,W$2,0),$A$88,INDEX(Техника!$H$1:$ABO$500,W$2,0),"З")</f>
        <v>0</v>
      </c>
      <c r="X93" s="50">
        <f>SUMIFS(INDEX(Техника!$F$1:$ABM$500,X$2,0),Техника!$F$4:$ABM$4,"Часы",INDEX(Техника!$G$1:$ABN$500,X$2,0),$A$88,INDEX(Техника!$H$1:$ABO$500,X$2,0),"З")</f>
        <v>0</v>
      </c>
      <c r="Y93" s="50">
        <f>SUMIFS(INDEX(Техника!$F$1:$ABM$500,Y$2,0),Техника!$F$4:$ABM$4,"Часы",INDEX(Техника!$G$1:$ABN$500,Y$2,0),$A$88,INDEX(Техника!$H$1:$ABO$500,Y$2,0),"З")</f>
        <v>0</v>
      </c>
      <c r="Z93" s="50">
        <f>SUMIFS(INDEX(Техника!$F$1:$ABM$500,Z$2,0),Техника!$F$4:$ABM$4,"Часы",INDEX(Техника!$G$1:$ABN$500,Z$2,0),$A$88,INDEX(Техника!$H$1:$ABO$500,Z$2,0),"З")</f>
        <v>0</v>
      </c>
      <c r="AA93" s="50">
        <f>SUMIFS(INDEX(Техника!$F$1:$ABM$500,AA$2,0),Техника!$F$4:$ABM$4,"Часы",INDEX(Техника!$G$1:$ABN$500,AA$2,0),$A$88,INDEX(Техника!$H$1:$ABO$500,AA$2,0),"З")</f>
        <v>0</v>
      </c>
      <c r="AB93" s="50">
        <f>SUMIFS(INDEX(Техника!$F$1:$ABM$500,AB$2,0),Техника!$F$4:$ABM$4,"Часы",INDEX(Техника!$G$1:$ABN$500,AB$2,0),$A$88,INDEX(Техника!$H$1:$ABO$500,AB$2,0),"З")</f>
        <v>0</v>
      </c>
    </row>
    <row r="94" spans="1:28" ht="7.95" customHeight="1" x14ac:dyDescent="0.3">
      <c r="A94" s="38"/>
      <c r="B94" s="39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 spans="1:28" ht="25.05" customHeight="1" collapsed="1" x14ac:dyDescent="0.3">
      <c r="A95" s="32">
        <v>14</v>
      </c>
      <c r="B95" s="32" t="s">
        <v>15</v>
      </c>
      <c r="C95" s="49">
        <f>SUM(C96:C100)</f>
        <v>0</v>
      </c>
      <c r="D95" s="49">
        <f>SUM(D96:D100)</f>
        <v>0</v>
      </c>
      <c r="E95" s="49">
        <f>SUM(E96:E100)</f>
        <v>0</v>
      </c>
      <c r="F95" s="49">
        <f>SUM(F96:F100)</f>
        <v>0</v>
      </c>
      <c r="G95" s="49">
        <f>SUM(G96:G100)</f>
        <v>0</v>
      </c>
      <c r="H95" s="49">
        <f>SUM(H96:H100)</f>
        <v>0</v>
      </c>
      <c r="I95" s="49">
        <f>SUM(I96:I100)</f>
        <v>0</v>
      </c>
      <c r="J95" s="49">
        <f>SUM(J96:J100)</f>
        <v>0</v>
      </c>
      <c r="K95" s="49">
        <f>SUM(K96:K100)</f>
        <v>0</v>
      </c>
      <c r="L95" s="49">
        <f>SUM(L96:L100)</f>
        <v>0</v>
      </c>
      <c r="M95" s="49">
        <f>SUM(M96:M100)</f>
        <v>0</v>
      </c>
      <c r="N95" s="49">
        <f>SUM(N96:N100)</f>
        <v>0</v>
      </c>
      <c r="O95" s="49">
        <f>SUM(O96:O100)</f>
        <v>0</v>
      </c>
      <c r="P95" s="49">
        <f>SUM(P96:P100)</f>
        <v>0</v>
      </c>
      <c r="Q95" s="49">
        <f>SUM(Q96:Q100)</f>
        <v>0</v>
      </c>
      <c r="R95" s="49">
        <f>SUM(R96:R100)</f>
        <v>0</v>
      </c>
      <c r="S95" s="49">
        <f>SUM(S96:S100)</f>
        <v>0</v>
      </c>
      <c r="T95" s="49">
        <f>SUM(T96:T100)</f>
        <v>0</v>
      </c>
      <c r="U95" s="49">
        <f>SUM(U96:U100)</f>
        <v>0</v>
      </c>
      <c r="V95" s="49">
        <f>SUM(V96:V100)</f>
        <v>0</v>
      </c>
      <c r="W95" s="49">
        <f>SUM(W96:W100)</f>
        <v>0</v>
      </c>
      <c r="X95" s="49">
        <f>SUM(X96:X100)</f>
        <v>0</v>
      </c>
      <c r="Y95" s="49">
        <f>SUM(Y96:Y100)</f>
        <v>0</v>
      </c>
      <c r="Z95" s="49">
        <f>SUM(Z96:Z100)</f>
        <v>0</v>
      </c>
      <c r="AA95" s="49">
        <f>SUM(AA96:AA100)</f>
        <v>0</v>
      </c>
      <c r="AB95" s="49">
        <f>SUM(AB96:AB100)</f>
        <v>0</v>
      </c>
    </row>
    <row r="96" spans="1:28" hidden="1" outlineLevel="1" x14ac:dyDescent="0.3">
      <c r="A96" s="33" t="s">
        <v>246</v>
      </c>
      <c r="B96" s="34" t="s">
        <v>274</v>
      </c>
      <c r="C96" s="50">
        <f>SUMIFS(INDEX(Техника!$F$1:$ABM$500,C$2,0),Техника!$F$4:$ABM$4,"Часы",INDEX(Техника!$G$1:$ABN$500,C$2,0),$A$95,INDEX(Техника!$H$1:$ABO$500,C$2,0),"М")</f>
        <v>0</v>
      </c>
      <c r="D96" s="50">
        <f>SUMIFS(INDEX(Техника!$F$1:$ABM$500,D$2,0),Техника!$F$4:$ABM$4,"Часы",INDEX(Техника!$G$1:$ABN$500,D$2,0),$A$95,INDEX(Техника!$H$1:$ABO$500,D$2,0),"М")</f>
        <v>0</v>
      </c>
      <c r="E96" s="50">
        <f>SUMIFS(INDEX(Техника!$F$1:$ABM$500,E$2,0),Техника!$F$4:$ABM$4,"Часы",INDEX(Техника!$G$1:$ABN$500,E$2,0),$A$95,INDEX(Техника!$H$1:$ABO$500,E$2,0),"М")</f>
        <v>0</v>
      </c>
      <c r="F96" s="50">
        <f>SUMIFS(INDEX(Техника!$F$1:$ABM$500,F$2,0),Техника!$F$4:$ABM$4,"Часы",INDEX(Техника!$G$1:$ABN$500,F$2,0),$A$95,INDEX(Техника!$H$1:$ABO$500,F$2,0),"М")</f>
        <v>0</v>
      </c>
      <c r="G96" s="50">
        <f>SUMIFS(INDEX(Техника!$F$1:$ABM$500,G$2,0),Техника!$F$4:$ABM$4,"Часы",INDEX(Техника!$G$1:$ABN$500,G$2,0),$A$95,INDEX(Техника!$H$1:$ABO$500,G$2,0),"М")</f>
        <v>0</v>
      </c>
      <c r="H96" s="50">
        <f>SUMIFS(INDEX(Техника!$F$1:$ABM$500,H$2,0),Техника!$F$4:$ABM$4,"Часы",INDEX(Техника!$G$1:$ABN$500,H$2,0),$A$95,INDEX(Техника!$H$1:$ABO$500,H$2,0),"М")</f>
        <v>0</v>
      </c>
      <c r="I96" s="50">
        <f>SUMIFS(INDEX(Техника!$F$1:$ABM$500,I$2,0),Техника!$F$4:$ABM$4,"Часы",INDEX(Техника!$G$1:$ABN$500,I$2,0),$A$95,INDEX(Техника!$H$1:$ABO$500,I$2,0),"М")</f>
        <v>0</v>
      </c>
      <c r="J96" s="50">
        <f>SUMIFS(INDEX(Техника!$F$1:$ABM$500,J$2,0),Техника!$F$4:$ABM$4,"Часы",INDEX(Техника!$G$1:$ABN$500,J$2,0),$A$95,INDEX(Техника!$H$1:$ABO$500,J$2,0),"М")</f>
        <v>0</v>
      </c>
      <c r="K96" s="50">
        <f>SUMIFS(INDEX(Техника!$F$1:$ABM$500,K$2,0),Техника!$F$4:$ABM$4,"Часы",INDEX(Техника!$G$1:$ABN$500,K$2,0),$A$95,INDEX(Техника!$H$1:$ABO$500,K$2,0),"М")</f>
        <v>0</v>
      </c>
      <c r="L96" s="50">
        <f>SUMIFS(INDEX(Техника!$F$1:$ABM$500,L$2,0),Техника!$F$4:$ABM$4,"Часы",INDEX(Техника!$G$1:$ABN$500,L$2,0),$A$95,INDEX(Техника!$H$1:$ABO$500,L$2,0),"М")</f>
        <v>0</v>
      </c>
      <c r="M96" s="50">
        <f>SUMIFS(INDEX(Техника!$F$1:$ABM$500,M$2,0),Техника!$F$4:$ABM$4,"Часы",INDEX(Техника!$G$1:$ABN$500,M$2,0),$A$95,INDEX(Техника!$H$1:$ABO$500,M$2,0),"М")</f>
        <v>0</v>
      </c>
      <c r="N96" s="50">
        <f>SUMIFS(INDEX(Техника!$F$1:$ABM$500,N$2,0),Техника!$F$4:$ABM$4,"Часы",INDEX(Техника!$G$1:$ABN$500,N$2,0),$A$95,INDEX(Техника!$H$1:$ABO$500,N$2,0),"М")</f>
        <v>0</v>
      </c>
      <c r="O96" s="50">
        <f>SUMIFS(INDEX(Техника!$F$1:$ABM$500,O$2,0),Техника!$F$4:$ABM$4,"Часы",INDEX(Техника!$G$1:$ABN$500,O$2,0),$A$95,INDEX(Техника!$H$1:$ABO$500,O$2,0),"М")</f>
        <v>0</v>
      </c>
      <c r="P96" s="50">
        <f>SUMIFS(INDEX(Техника!$F$1:$ABM$500,P$2,0),Техника!$F$4:$ABM$4,"Часы",INDEX(Техника!$G$1:$ABN$500,P$2,0),$A$95,INDEX(Техника!$H$1:$ABO$500,P$2,0),"М")</f>
        <v>0</v>
      </c>
      <c r="Q96" s="50">
        <f>SUMIFS(INDEX(Техника!$F$1:$ABM$500,Q$2,0),Техника!$F$4:$ABM$4,"Часы",INDEX(Техника!$G$1:$ABN$500,Q$2,0),$A$95,INDEX(Техника!$H$1:$ABO$500,Q$2,0),"М")</f>
        <v>0</v>
      </c>
      <c r="R96" s="50">
        <f>SUMIFS(INDEX(Техника!$F$1:$ABM$500,R$2,0),Техника!$F$4:$ABM$4,"Часы",INDEX(Техника!$G$1:$ABN$500,R$2,0),$A$95,INDEX(Техника!$H$1:$ABO$500,R$2,0),"М")</f>
        <v>0</v>
      </c>
      <c r="S96" s="50">
        <f>SUMIFS(INDEX(Техника!$F$1:$ABM$500,S$2,0),Техника!$F$4:$ABM$4,"Часы",INDEX(Техника!$G$1:$ABN$500,S$2,0),$A$95,INDEX(Техника!$H$1:$ABO$500,S$2,0),"М")</f>
        <v>0</v>
      </c>
      <c r="T96" s="50">
        <f>SUMIFS(INDEX(Техника!$F$1:$ABM$500,T$2,0),Техника!$F$4:$ABM$4,"Часы",INDEX(Техника!$G$1:$ABN$500,T$2,0),$A$95,INDEX(Техника!$H$1:$ABO$500,T$2,0),"М")</f>
        <v>0</v>
      </c>
      <c r="U96" s="50">
        <f>SUMIFS(INDEX(Техника!$F$1:$ABM$500,U$2,0),Техника!$F$4:$ABM$4,"Часы",INDEX(Техника!$G$1:$ABN$500,U$2,0),$A$95,INDEX(Техника!$H$1:$ABO$500,U$2,0),"М")</f>
        <v>0</v>
      </c>
      <c r="V96" s="50">
        <f>SUMIFS(INDEX(Техника!$F$1:$ABM$500,V$2,0),Техника!$F$4:$ABM$4,"Часы",INDEX(Техника!$G$1:$ABN$500,V$2,0),$A$95,INDEX(Техника!$H$1:$ABO$500,V$2,0),"М")</f>
        <v>0</v>
      </c>
      <c r="W96" s="50">
        <f>SUMIFS(INDEX(Техника!$F$1:$ABM$500,W$2,0),Техника!$F$4:$ABM$4,"Часы",INDEX(Техника!$G$1:$ABN$500,W$2,0),$A$95,INDEX(Техника!$H$1:$ABO$500,W$2,0),"М")</f>
        <v>0</v>
      </c>
      <c r="X96" s="50">
        <f>SUMIFS(INDEX(Техника!$F$1:$ABM$500,X$2,0),Техника!$F$4:$ABM$4,"Часы",INDEX(Техника!$G$1:$ABN$500,X$2,0),$A$95,INDEX(Техника!$H$1:$ABO$500,X$2,0),"М")</f>
        <v>0</v>
      </c>
      <c r="Y96" s="50">
        <f>SUMIFS(INDEX(Техника!$F$1:$ABM$500,Y$2,0),Техника!$F$4:$ABM$4,"Часы",INDEX(Техника!$G$1:$ABN$500,Y$2,0),$A$95,INDEX(Техника!$H$1:$ABO$500,Y$2,0),"М")</f>
        <v>0</v>
      </c>
      <c r="Z96" s="50">
        <f>SUMIFS(INDEX(Техника!$F$1:$ABM$500,Z$2,0),Техника!$F$4:$ABM$4,"Часы",INDEX(Техника!$G$1:$ABN$500,Z$2,0),$A$95,INDEX(Техника!$H$1:$ABO$500,Z$2,0),"М")</f>
        <v>0</v>
      </c>
      <c r="AA96" s="50">
        <f>SUMIFS(INDEX(Техника!$F$1:$ABM$500,AA$2,0),Техника!$F$4:$ABM$4,"Часы",INDEX(Техника!$G$1:$ABN$500,AA$2,0),$A$95,INDEX(Техника!$H$1:$ABO$500,AA$2,0),"М")</f>
        <v>0</v>
      </c>
      <c r="AB96" s="50">
        <f>SUMIFS(INDEX(Техника!$F$1:$ABM$500,AB$2,0),Техника!$F$4:$ABM$4,"Часы",INDEX(Техника!$G$1:$ABN$500,AB$2,0),$A$95,INDEX(Техника!$H$1:$ABO$500,AB$2,0),"М")</f>
        <v>0</v>
      </c>
    </row>
    <row r="97" spans="1:28" hidden="1" outlineLevel="1" x14ac:dyDescent="0.3">
      <c r="A97" s="33" t="s">
        <v>244</v>
      </c>
      <c r="B97" s="34" t="s">
        <v>275</v>
      </c>
      <c r="C97" s="50">
        <f>SUMIFS(INDEX(Техника!$F$1:$ABM$500,C$2,0),Техника!$F$4:$ABM$4,"Часы",INDEX(Техника!$G$1:$ABN$500,C$2,0),$A$95,INDEX(Техника!$H$1:$ABO$500,C$2,0),"Д")</f>
        <v>0</v>
      </c>
      <c r="D97" s="50">
        <f>SUMIFS(INDEX(Техника!$F$1:$ABM$500,D$2,0),Техника!$F$4:$ABM$4,"Часы",INDEX(Техника!$G$1:$ABN$500,D$2,0),$A$95,INDEX(Техника!$H$1:$ABO$500,D$2,0),"Д")</f>
        <v>0</v>
      </c>
      <c r="E97" s="50">
        <f>SUMIFS(INDEX(Техника!$F$1:$ABM$500,E$2,0),Техника!$F$4:$ABM$4,"Часы",INDEX(Техника!$G$1:$ABN$500,E$2,0),$A$95,INDEX(Техника!$H$1:$ABO$500,E$2,0),"Д")</f>
        <v>0</v>
      </c>
      <c r="F97" s="50">
        <f>SUMIFS(INDEX(Техника!$F$1:$ABM$500,F$2,0),Техника!$F$4:$ABM$4,"Часы",INDEX(Техника!$G$1:$ABN$500,F$2,0),$A$95,INDEX(Техника!$H$1:$ABO$500,F$2,0),"Д")</f>
        <v>0</v>
      </c>
      <c r="G97" s="50">
        <f>SUMIFS(INDEX(Техника!$F$1:$ABM$500,G$2,0),Техника!$F$4:$ABM$4,"Часы",INDEX(Техника!$G$1:$ABN$500,G$2,0),$A$95,INDEX(Техника!$H$1:$ABO$500,G$2,0),"Д")</f>
        <v>0</v>
      </c>
      <c r="H97" s="50">
        <f>SUMIFS(INDEX(Техника!$F$1:$ABM$500,H$2,0),Техника!$F$4:$ABM$4,"Часы",INDEX(Техника!$G$1:$ABN$500,H$2,0),$A$95,INDEX(Техника!$H$1:$ABO$500,H$2,0),"Д")</f>
        <v>0</v>
      </c>
      <c r="I97" s="50">
        <f>SUMIFS(INDEX(Техника!$F$1:$ABM$500,I$2,0),Техника!$F$4:$ABM$4,"Часы",INDEX(Техника!$G$1:$ABN$500,I$2,0),$A$95,INDEX(Техника!$H$1:$ABO$500,I$2,0),"Д")</f>
        <v>0</v>
      </c>
      <c r="J97" s="50">
        <f>SUMIFS(INDEX(Техника!$F$1:$ABM$500,J$2,0),Техника!$F$4:$ABM$4,"Часы",INDEX(Техника!$G$1:$ABN$500,J$2,0),$A$95,INDEX(Техника!$H$1:$ABO$500,J$2,0),"Д")</f>
        <v>0</v>
      </c>
      <c r="K97" s="50">
        <f>SUMIFS(INDEX(Техника!$F$1:$ABM$500,K$2,0),Техника!$F$4:$ABM$4,"Часы",INDEX(Техника!$G$1:$ABN$500,K$2,0),$A$95,INDEX(Техника!$H$1:$ABO$500,K$2,0),"Д")</f>
        <v>0</v>
      </c>
      <c r="L97" s="50">
        <f>SUMIFS(INDEX(Техника!$F$1:$ABM$500,L$2,0),Техника!$F$4:$ABM$4,"Часы",INDEX(Техника!$G$1:$ABN$500,L$2,0),$A$95,INDEX(Техника!$H$1:$ABO$500,L$2,0),"Д")</f>
        <v>0</v>
      </c>
      <c r="M97" s="50">
        <f>SUMIFS(INDEX(Техника!$F$1:$ABM$500,M$2,0),Техника!$F$4:$ABM$4,"Часы",INDEX(Техника!$G$1:$ABN$500,M$2,0),$A$95,INDEX(Техника!$H$1:$ABO$500,M$2,0),"Д")</f>
        <v>0</v>
      </c>
      <c r="N97" s="50">
        <f>SUMIFS(INDEX(Техника!$F$1:$ABM$500,N$2,0),Техника!$F$4:$ABM$4,"Часы",INDEX(Техника!$G$1:$ABN$500,N$2,0),$A$95,INDEX(Техника!$H$1:$ABO$500,N$2,0),"Д")</f>
        <v>0</v>
      </c>
      <c r="O97" s="50">
        <f>SUMIFS(INDEX(Техника!$F$1:$ABM$500,O$2,0),Техника!$F$4:$ABM$4,"Часы",INDEX(Техника!$G$1:$ABN$500,O$2,0),$A$95,INDEX(Техника!$H$1:$ABO$500,O$2,0),"Д")</f>
        <v>0</v>
      </c>
      <c r="P97" s="50">
        <f>SUMIFS(INDEX(Техника!$F$1:$ABM$500,P$2,0),Техника!$F$4:$ABM$4,"Часы",INDEX(Техника!$G$1:$ABN$500,P$2,0),$A$95,INDEX(Техника!$H$1:$ABO$500,P$2,0),"Д")</f>
        <v>0</v>
      </c>
      <c r="Q97" s="50">
        <f>SUMIFS(INDEX(Техника!$F$1:$ABM$500,Q$2,0),Техника!$F$4:$ABM$4,"Часы",INDEX(Техника!$G$1:$ABN$500,Q$2,0),$A$95,INDEX(Техника!$H$1:$ABO$500,Q$2,0),"Д")</f>
        <v>0</v>
      </c>
      <c r="R97" s="50">
        <f>SUMIFS(INDEX(Техника!$F$1:$ABM$500,R$2,0),Техника!$F$4:$ABM$4,"Часы",INDEX(Техника!$G$1:$ABN$500,R$2,0),$A$95,INDEX(Техника!$H$1:$ABO$500,R$2,0),"Д")</f>
        <v>0</v>
      </c>
      <c r="S97" s="50">
        <f>SUMIFS(INDEX(Техника!$F$1:$ABM$500,S$2,0),Техника!$F$4:$ABM$4,"Часы",INDEX(Техника!$G$1:$ABN$500,S$2,0),$A$95,INDEX(Техника!$H$1:$ABO$500,S$2,0),"Д")</f>
        <v>0</v>
      </c>
      <c r="T97" s="50">
        <f>SUMIFS(INDEX(Техника!$F$1:$ABM$500,T$2,0),Техника!$F$4:$ABM$4,"Часы",INDEX(Техника!$G$1:$ABN$500,T$2,0),$A$95,INDEX(Техника!$H$1:$ABO$500,T$2,0),"Д")</f>
        <v>0</v>
      </c>
      <c r="U97" s="50">
        <f>SUMIFS(INDEX(Техника!$F$1:$ABM$500,U$2,0),Техника!$F$4:$ABM$4,"Часы",INDEX(Техника!$G$1:$ABN$500,U$2,0),$A$95,INDEX(Техника!$H$1:$ABO$500,U$2,0),"Д")</f>
        <v>0</v>
      </c>
      <c r="V97" s="50">
        <f>SUMIFS(INDEX(Техника!$F$1:$ABM$500,V$2,0),Техника!$F$4:$ABM$4,"Часы",INDEX(Техника!$G$1:$ABN$500,V$2,0),$A$95,INDEX(Техника!$H$1:$ABO$500,V$2,0),"Д")</f>
        <v>0</v>
      </c>
      <c r="W97" s="50">
        <f>SUMIFS(INDEX(Техника!$F$1:$ABM$500,W$2,0),Техника!$F$4:$ABM$4,"Часы",INDEX(Техника!$G$1:$ABN$500,W$2,0),$A$95,INDEX(Техника!$H$1:$ABO$500,W$2,0),"Д")</f>
        <v>0</v>
      </c>
      <c r="X97" s="50">
        <f>SUMIFS(INDEX(Техника!$F$1:$ABM$500,X$2,0),Техника!$F$4:$ABM$4,"Часы",INDEX(Техника!$G$1:$ABN$500,X$2,0),$A$95,INDEX(Техника!$H$1:$ABO$500,X$2,0),"Д")</f>
        <v>0</v>
      </c>
      <c r="Y97" s="50">
        <f>SUMIFS(INDEX(Техника!$F$1:$ABM$500,Y$2,0),Техника!$F$4:$ABM$4,"Часы",INDEX(Техника!$G$1:$ABN$500,Y$2,0),$A$95,INDEX(Техника!$H$1:$ABO$500,Y$2,0),"Д")</f>
        <v>0</v>
      </c>
      <c r="Z97" s="50">
        <f>SUMIFS(INDEX(Техника!$F$1:$ABM$500,Z$2,0),Техника!$F$4:$ABM$4,"Часы",INDEX(Техника!$G$1:$ABN$500,Z$2,0),$A$95,INDEX(Техника!$H$1:$ABO$500,Z$2,0),"Д")</f>
        <v>0</v>
      </c>
      <c r="AA97" s="50">
        <f>SUMIFS(INDEX(Техника!$F$1:$ABM$500,AA$2,0),Техника!$F$4:$ABM$4,"Часы",INDEX(Техника!$G$1:$ABN$500,AA$2,0),$A$95,INDEX(Техника!$H$1:$ABO$500,AA$2,0),"Д")</f>
        <v>0</v>
      </c>
      <c r="AB97" s="50">
        <f>SUMIFS(INDEX(Техника!$F$1:$ABM$500,AB$2,0),Техника!$F$4:$ABM$4,"Часы",INDEX(Техника!$G$1:$ABN$500,AB$2,0),$A$95,INDEX(Техника!$H$1:$ABO$500,AB$2,0),"Д")</f>
        <v>0</v>
      </c>
    </row>
    <row r="98" spans="1:28" hidden="1" outlineLevel="1" x14ac:dyDescent="0.3">
      <c r="A98" s="33" t="s">
        <v>276</v>
      </c>
      <c r="B98" s="34" t="s">
        <v>277</v>
      </c>
      <c r="C98" s="50">
        <f>SUMIFS(INDEX(Техника!$F$1:$ABM$500,C$2,0),Техника!$F$4:$ABM$4,"Часы",INDEX(Техника!$G$1:$ABN$500,C$2,0),$A$95,INDEX(Техника!$H$1:$ABO$500,C$2,0),"П")</f>
        <v>0</v>
      </c>
      <c r="D98" s="50">
        <f>SUMIFS(INDEX(Техника!$F$1:$ABM$500,D$2,0),Техника!$F$4:$ABM$4,"Часы",INDEX(Техника!$G$1:$ABN$500,D$2,0),$A$95,INDEX(Техника!$H$1:$ABO$500,D$2,0),"П")</f>
        <v>0</v>
      </c>
      <c r="E98" s="50">
        <f>SUMIFS(INDEX(Техника!$F$1:$ABM$500,E$2,0),Техника!$F$4:$ABM$4,"Часы",INDEX(Техника!$G$1:$ABN$500,E$2,0),$A$95,INDEX(Техника!$H$1:$ABO$500,E$2,0),"П")</f>
        <v>0</v>
      </c>
      <c r="F98" s="50">
        <f>SUMIFS(INDEX(Техника!$F$1:$ABM$500,F$2,0),Техника!$F$4:$ABM$4,"Часы",INDEX(Техника!$G$1:$ABN$500,F$2,0),$A$95,INDEX(Техника!$H$1:$ABO$500,F$2,0),"П")</f>
        <v>0</v>
      </c>
      <c r="G98" s="50">
        <f>SUMIFS(INDEX(Техника!$F$1:$ABM$500,G$2,0),Техника!$F$4:$ABM$4,"Часы",INDEX(Техника!$G$1:$ABN$500,G$2,0),$A$95,INDEX(Техника!$H$1:$ABO$500,G$2,0),"П")</f>
        <v>0</v>
      </c>
      <c r="H98" s="50">
        <f>SUMIFS(INDEX(Техника!$F$1:$ABM$500,H$2,0),Техника!$F$4:$ABM$4,"Часы",INDEX(Техника!$G$1:$ABN$500,H$2,0),$A$95,INDEX(Техника!$H$1:$ABO$500,H$2,0),"П")</f>
        <v>0</v>
      </c>
      <c r="I98" s="50">
        <f>SUMIFS(INDEX(Техника!$F$1:$ABM$500,I$2,0),Техника!$F$4:$ABM$4,"Часы",INDEX(Техника!$G$1:$ABN$500,I$2,0),$A$95,INDEX(Техника!$H$1:$ABO$500,I$2,0),"П")</f>
        <v>0</v>
      </c>
      <c r="J98" s="50">
        <f>SUMIFS(INDEX(Техника!$F$1:$ABM$500,J$2,0),Техника!$F$4:$ABM$4,"Часы",INDEX(Техника!$G$1:$ABN$500,J$2,0),$A$95,INDEX(Техника!$H$1:$ABO$500,J$2,0),"П")</f>
        <v>0</v>
      </c>
      <c r="K98" s="50">
        <f>SUMIFS(INDEX(Техника!$F$1:$ABM$500,K$2,0),Техника!$F$4:$ABM$4,"Часы",INDEX(Техника!$G$1:$ABN$500,K$2,0),$A$95,INDEX(Техника!$H$1:$ABO$500,K$2,0),"П")</f>
        <v>0</v>
      </c>
      <c r="L98" s="50">
        <f>SUMIFS(INDEX(Техника!$F$1:$ABM$500,L$2,0),Техника!$F$4:$ABM$4,"Часы",INDEX(Техника!$G$1:$ABN$500,L$2,0),$A$95,INDEX(Техника!$H$1:$ABO$500,L$2,0),"П")</f>
        <v>0</v>
      </c>
      <c r="M98" s="50">
        <f>SUMIFS(INDEX(Техника!$F$1:$ABM$500,M$2,0),Техника!$F$4:$ABM$4,"Часы",INDEX(Техника!$G$1:$ABN$500,M$2,0),$A$95,INDEX(Техника!$H$1:$ABO$500,M$2,0),"П")</f>
        <v>0</v>
      </c>
      <c r="N98" s="50">
        <f>SUMIFS(INDEX(Техника!$F$1:$ABM$500,N$2,0),Техника!$F$4:$ABM$4,"Часы",INDEX(Техника!$G$1:$ABN$500,N$2,0),$A$95,INDEX(Техника!$H$1:$ABO$500,N$2,0),"П")</f>
        <v>0</v>
      </c>
      <c r="O98" s="50">
        <f>SUMIFS(INDEX(Техника!$F$1:$ABM$500,O$2,0),Техника!$F$4:$ABM$4,"Часы",INDEX(Техника!$G$1:$ABN$500,O$2,0),$A$95,INDEX(Техника!$H$1:$ABO$500,O$2,0),"П")</f>
        <v>0</v>
      </c>
      <c r="P98" s="50">
        <f>SUMIFS(INDEX(Техника!$F$1:$ABM$500,P$2,0),Техника!$F$4:$ABM$4,"Часы",INDEX(Техника!$G$1:$ABN$500,P$2,0),$A$95,INDEX(Техника!$H$1:$ABO$500,P$2,0),"П")</f>
        <v>0</v>
      </c>
      <c r="Q98" s="50">
        <f>SUMIFS(INDEX(Техника!$F$1:$ABM$500,Q$2,0),Техника!$F$4:$ABM$4,"Часы",INDEX(Техника!$G$1:$ABN$500,Q$2,0),$A$95,INDEX(Техника!$H$1:$ABO$500,Q$2,0),"П")</f>
        <v>0</v>
      </c>
      <c r="R98" s="50">
        <f>SUMIFS(INDEX(Техника!$F$1:$ABM$500,R$2,0),Техника!$F$4:$ABM$4,"Часы",INDEX(Техника!$G$1:$ABN$500,R$2,0),$A$95,INDEX(Техника!$H$1:$ABO$500,R$2,0),"П")</f>
        <v>0</v>
      </c>
      <c r="S98" s="50">
        <f>SUMIFS(INDEX(Техника!$F$1:$ABM$500,S$2,0),Техника!$F$4:$ABM$4,"Часы",INDEX(Техника!$G$1:$ABN$500,S$2,0),$A$95,INDEX(Техника!$H$1:$ABO$500,S$2,0),"П")</f>
        <v>0</v>
      </c>
      <c r="T98" s="50">
        <f>SUMIFS(INDEX(Техника!$F$1:$ABM$500,T$2,0),Техника!$F$4:$ABM$4,"Часы",INDEX(Техника!$G$1:$ABN$500,T$2,0),$A$95,INDEX(Техника!$H$1:$ABO$500,T$2,0),"П")</f>
        <v>0</v>
      </c>
      <c r="U98" s="50">
        <f>SUMIFS(INDEX(Техника!$F$1:$ABM$500,U$2,0),Техника!$F$4:$ABM$4,"Часы",INDEX(Техника!$G$1:$ABN$500,U$2,0),$A$95,INDEX(Техника!$H$1:$ABO$500,U$2,0),"П")</f>
        <v>0</v>
      </c>
      <c r="V98" s="50">
        <f>SUMIFS(INDEX(Техника!$F$1:$ABM$500,V$2,0),Техника!$F$4:$ABM$4,"Часы",INDEX(Техника!$G$1:$ABN$500,V$2,0),$A$95,INDEX(Техника!$H$1:$ABO$500,V$2,0),"П")</f>
        <v>0</v>
      </c>
      <c r="W98" s="50">
        <f>SUMIFS(INDEX(Техника!$F$1:$ABM$500,W$2,0),Техника!$F$4:$ABM$4,"Часы",INDEX(Техника!$G$1:$ABN$500,W$2,0),$A$95,INDEX(Техника!$H$1:$ABO$500,W$2,0),"П")</f>
        <v>0</v>
      </c>
      <c r="X98" s="50">
        <f>SUMIFS(INDEX(Техника!$F$1:$ABM$500,X$2,0),Техника!$F$4:$ABM$4,"Часы",INDEX(Техника!$G$1:$ABN$500,X$2,0),$A$95,INDEX(Техника!$H$1:$ABO$500,X$2,0),"П")</f>
        <v>0</v>
      </c>
      <c r="Y98" s="50">
        <f>SUMIFS(INDEX(Техника!$F$1:$ABM$500,Y$2,0),Техника!$F$4:$ABM$4,"Часы",INDEX(Техника!$G$1:$ABN$500,Y$2,0),$A$95,INDEX(Техника!$H$1:$ABO$500,Y$2,0),"П")</f>
        <v>0</v>
      </c>
      <c r="Z98" s="50">
        <f>SUMIFS(INDEX(Техника!$F$1:$ABM$500,Z$2,0),Техника!$F$4:$ABM$4,"Часы",INDEX(Техника!$G$1:$ABN$500,Z$2,0),$A$95,INDEX(Техника!$H$1:$ABO$500,Z$2,0),"П")</f>
        <v>0</v>
      </c>
      <c r="AA98" s="50">
        <f>SUMIFS(INDEX(Техника!$F$1:$ABM$500,AA$2,0),Техника!$F$4:$ABM$4,"Часы",INDEX(Техника!$G$1:$ABN$500,AA$2,0),$A$95,INDEX(Техника!$H$1:$ABO$500,AA$2,0),"П")</f>
        <v>0</v>
      </c>
      <c r="AB98" s="50">
        <f>SUMIFS(INDEX(Техника!$F$1:$ABM$500,AB$2,0),Техника!$F$4:$ABM$4,"Часы",INDEX(Техника!$G$1:$ABN$500,AB$2,0),$A$95,INDEX(Техника!$H$1:$ABO$500,AB$2,0),"П")</f>
        <v>0</v>
      </c>
    </row>
    <row r="99" spans="1:28" hidden="1" outlineLevel="1" x14ac:dyDescent="0.3">
      <c r="A99" s="33" t="s">
        <v>243</v>
      </c>
      <c r="B99" s="34" t="s">
        <v>278</v>
      </c>
      <c r="C99" s="50">
        <f>SUMIFS(INDEX(Техника!$F$1:$ABM$500,C$2,0),Техника!$F$4:$ABM$4,"Часы",INDEX(Техника!$G$1:$ABN$500,C$2,0),$A$95,INDEX(Техника!$H$1:$ABO$500,C$2,0),"Л")</f>
        <v>0</v>
      </c>
      <c r="D99" s="50">
        <f>SUMIFS(INDEX(Техника!$F$1:$ABM$500,D$2,0),Техника!$F$4:$ABM$4,"Часы",INDEX(Техника!$G$1:$ABN$500,D$2,0),$A$95,INDEX(Техника!$H$1:$ABO$500,D$2,0),"Л")</f>
        <v>0</v>
      </c>
      <c r="E99" s="50">
        <f>SUMIFS(INDEX(Техника!$F$1:$ABM$500,E$2,0),Техника!$F$4:$ABM$4,"Часы",INDEX(Техника!$G$1:$ABN$500,E$2,0),$A$95,INDEX(Техника!$H$1:$ABO$500,E$2,0),"Л")</f>
        <v>0</v>
      </c>
      <c r="F99" s="50">
        <f>SUMIFS(INDEX(Техника!$F$1:$ABM$500,F$2,0),Техника!$F$4:$ABM$4,"Часы",INDEX(Техника!$G$1:$ABN$500,F$2,0),$A$95,INDEX(Техника!$H$1:$ABO$500,F$2,0),"Л")</f>
        <v>0</v>
      </c>
      <c r="G99" s="50">
        <f>SUMIFS(INDEX(Техника!$F$1:$ABM$500,G$2,0),Техника!$F$4:$ABM$4,"Часы",INDEX(Техника!$G$1:$ABN$500,G$2,0),$A$95,INDEX(Техника!$H$1:$ABO$500,G$2,0),"Л")</f>
        <v>0</v>
      </c>
      <c r="H99" s="50">
        <f>SUMIFS(INDEX(Техника!$F$1:$ABM$500,H$2,0),Техника!$F$4:$ABM$4,"Часы",INDEX(Техника!$G$1:$ABN$500,H$2,0),$A$95,INDEX(Техника!$H$1:$ABO$500,H$2,0),"Л")</f>
        <v>0</v>
      </c>
      <c r="I99" s="50">
        <f>SUMIFS(INDEX(Техника!$F$1:$ABM$500,I$2,0),Техника!$F$4:$ABM$4,"Часы",INDEX(Техника!$G$1:$ABN$500,I$2,0),$A$95,INDEX(Техника!$H$1:$ABO$500,I$2,0),"Л")</f>
        <v>0</v>
      </c>
      <c r="J99" s="50">
        <f>SUMIFS(INDEX(Техника!$F$1:$ABM$500,J$2,0),Техника!$F$4:$ABM$4,"Часы",INDEX(Техника!$G$1:$ABN$500,J$2,0),$A$95,INDEX(Техника!$H$1:$ABO$500,J$2,0),"Л")</f>
        <v>0</v>
      </c>
      <c r="K99" s="50">
        <f>SUMIFS(INDEX(Техника!$F$1:$ABM$500,K$2,0),Техника!$F$4:$ABM$4,"Часы",INDEX(Техника!$G$1:$ABN$500,K$2,0),$A$95,INDEX(Техника!$H$1:$ABO$500,K$2,0),"Л")</f>
        <v>0</v>
      </c>
      <c r="L99" s="50">
        <f>SUMIFS(INDEX(Техника!$F$1:$ABM$500,L$2,0),Техника!$F$4:$ABM$4,"Часы",INDEX(Техника!$G$1:$ABN$500,L$2,0),$A$95,INDEX(Техника!$H$1:$ABO$500,L$2,0),"Л")</f>
        <v>0</v>
      </c>
      <c r="M99" s="50">
        <f>SUMIFS(INDEX(Техника!$F$1:$ABM$500,M$2,0),Техника!$F$4:$ABM$4,"Часы",INDEX(Техника!$G$1:$ABN$500,M$2,0),$A$95,INDEX(Техника!$H$1:$ABO$500,M$2,0),"Л")</f>
        <v>0</v>
      </c>
      <c r="N99" s="50">
        <f>SUMIFS(INDEX(Техника!$F$1:$ABM$500,N$2,0),Техника!$F$4:$ABM$4,"Часы",INDEX(Техника!$G$1:$ABN$500,N$2,0),$A$95,INDEX(Техника!$H$1:$ABO$500,N$2,0),"Л")</f>
        <v>0</v>
      </c>
      <c r="O99" s="50">
        <f>SUMIFS(INDEX(Техника!$F$1:$ABM$500,O$2,0),Техника!$F$4:$ABM$4,"Часы",INDEX(Техника!$G$1:$ABN$500,O$2,0),$A$95,INDEX(Техника!$H$1:$ABO$500,O$2,0),"Л")</f>
        <v>0</v>
      </c>
      <c r="P99" s="50">
        <f>SUMIFS(INDEX(Техника!$F$1:$ABM$500,P$2,0),Техника!$F$4:$ABM$4,"Часы",INDEX(Техника!$G$1:$ABN$500,P$2,0),$A$95,INDEX(Техника!$H$1:$ABO$500,P$2,0),"Л")</f>
        <v>0</v>
      </c>
      <c r="Q99" s="50">
        <f>SUMIFS(INDEX(Техника!$F$1:$ABM$500,Q$2,0),Техника!$F$4:$ABM$4,"Часы",INDEX(Техника!$G$1:$ABN$500,Q$2,0),$A$95,INDEX(Техника!$H$1:$ABO$500,Q$2,0),"Л")</f>
        <v>0</v>
      </c>
      <c r="R99" s="50">
        <f>SUMIFS(INDEX(Техника!$F$1:$ABM$500,R$2,0),Техника!$F$4:$ABM$4,"Часы",INDEX(Техника!$G$1:$ABN$500,R$2,0),$A$95,INDEX(Техника!$H$1:$ABO$500,R$2,0),"Л")</f>
        <v>0</v>
      </c>
      <c r="S99" s="50">
        <f>SUMIFS(INDEX(Техника!$F$1:$ABM$500,S$2,0),Техника!$F$4:$ABM$4,"Часы",INDEX(Техника!$G$1:$ABN$500,S$2,0),$A$95,INDEX(Техника!$H$1:$ABO$500,S$2,0),"Л")</f>
        <v>0</v>
      </c>
      <c r="T99" s="50">
        <f>SUMIFS(INDEX(Техника!$F$1:$ABM$500,T$2,0),Техника!$F$4:$ABM$4,"Часы",INDEX(Техника!$G$1:$ABN$500,T$2,0),$A$95,INDEX(Техника!$H$1:$ABO$500,T$2,0),"Л")</f>
        <v>0</v>
      </c>
      <c r="U99" s="50">
        <f>SUMIFS(INDEX(Техника!$F$1:$ABM$500,U$2,0),Техника!$F$4:$ABM$4,"Часы",INDEX(Техника!$G$1:$ABN$500,U$2,0),$A$95,INDEX(Техника!$H$1:$ABO$500,U$2,0),"Л")</f>
        <v>0</v>
      </c>
      <c r="V99" s="50">
        <f>SUMIFS(INDEX(Техника!$F$1:$ABM$500,V$2,0),Техника!$F$4:$ABM$4,"Часы",INDEX(Техника!$G$1:$ABN$500,V$2,0),$A$95,INDEX(Техника!$H$1:$ABO$500,V$2,0),"Л")</f>
        <v>0</v>
      </c>
      <c r="W99" s="50">
        <f>SUMIFS(INDEX(Техника!$F$1:$ABM$500,W$2,0),Техника!$F$4:$ABM$4,"Часы",INDEX(Техника!$G$1:$ABN$500,W$2,0),$A$95,INDEX(Техника!$H$1:$ABO$500,W$2,0),"Л")</f>
        <v>0</v>
      </c>
      <c r="X99" s="50">
        <f>SUMIFS(INDEX(Техника!$F$1:$ABM$500,X$2,0),Техника!$F$4:$ABM$4,"Часы",INDEX(Техника!$G$1:$ABN$500,X$2,0),$A$95,INDEX(Техника!$H$1:$ABO$500,X$2,0),"Л")</f>
        <v>0</v>
      </c>
      <c r="Y99" s="50">
        <f>SUMIFS(INDEX(Техника!$F$1:$ABM$500,Y$2,0),Техника!$F$4:$ABM$4,"Часы",INDEX(Техника!$G$1:$ABN$500,Y$2,0),$A$95,INDEX(Техника!$H$1:$ABO$500,Y$2,0),"Л")</f>
        <v>0</v>
      </c>
      <c r="Z99" s="50">
        <f>SUMIFS(INDEX(Техника!$F$1:$ABM$500,Z$2,0),Техника!$F$4:$ABM$4,"Часы",INDEX(Техника!$G$1:$ABN$500,Z$2,0),$A$95,INDEX(Техника!$H$1:$ABO$500,Z$2,0),"Л")</f>
        <v>0</v>
      </c>
      <c r="AA99" s="50">
        <f>SUMIFS(INDEX(Техника!$F$1:$ABM$500,AA$2,0),Техника!$F$4:$ABM$4,"Часы",INDEX(Техника!$G$1:$ABN$500,AA$2,0),$A$95,INDEX(Техника!$H$1:$ABO$500,AA$2,0),"Л")</f>
        <v>0</v>
      </c>
      <c r="AB99" s="50">
        <f>SUMIFS(INDEX(Техника!$F$1:$ABM$500,AB$2,0),Техника!$F$4:$ABM$4,"Часы",INDEX(Техника!$G$1:$ABN$500,AB$2,0),$A$95,INDEX(Техника!$H$1:$ABO$500,AB$2,0),"Л")</f>
        <v>0</v>
      </c>
    </row>
    <row r="100" spans="1:28" hidden="1" outlineLevel="1" x14ac:dyDescent="0.3">
      <c r="A100" s="33" t="s">
        <v>245</v>
      </c>
      <c r="B100" s="34" t="s">
        <v>279</v>
      </c>
      <c r="C100" s="50">
        <f>SUMIFS(INDEX(Техника!$F$1:$ABM$500,C$2,0),Техника!$F$4:$ABM$4,"Часы",INDEX(Техника!$G$1:$ABN$500,C$2,0),$A$95,INDEX(Техника!$H$1:$ABO$500,C$2,0),"З")</f>
        <v>0</v>
      </c>
      <c r="D100" s="50">
        <f>SUMIFS(INDEX(Техника!$F$1:$ABM$500,D$2,0),Техника!$F$4:$ABM$4,"Часы",INDEX(Техника!$G$1:$ABN$500,D$2,0),$A$95,INDEX(Техника!$H$1:$ABO$500,D$2,0),"З")</f>
        <v>0</v>
      </c>
      <c r="E100" s="50">
        <f>SUMIFS(INDEX(Техника!$F$1:$ABM$500,E$2,0),Техника!$F$4:$ABM$4,"Часы",INDEX(Техника!$G$1:$ABN$500,E$2,0),$A$95,INDEX(Техника!$H$1:$ABO$500,E$2,0),"З")</f>
        <v>0</v>
      </c>
      <c r="F100" s="50">
        <f>SUMIFS(INDEX(Техника!$F$1:$ABM$500,F$2,0),Техника!$F$4:$ABM$4,"Часы",INDEX(Техника!$G$1:$ABN$500,F$2,0),$A$95,INDEX(Техника!$H$1:$ABO$500,F$2,0),"З")</f>
        <v>0</v>
      </c>
      <c r="G100" s="50">
        <f>SUMIFS(INDEX(Техника!$F$1:$ABM$500,G$2,0),Техника!$F$4:$ABM$4,"Часы",INDEX(Техника!$G$1:$ABN$500,G$2,0),$A$95,INDEX(Техника!$H$1:$ABO$500,G$2,0),"З")</f>
        <v>0</v>
      </c>
      <c r="H100" s="50">
        <f>SUMIFS(INDEX(Техника!$F$1:$ABM$500,H$2,0),Техника!$F$4:$ABM$4,"Часы",INDEX(Техника!$G$1:$ABN$500,H$2,0),$A$95,INDEX(Техника!$H$1:$ABO$500,H$2,0),"З")</f>
        <v>0</v>
      </c>
      <c r="I100" s="50">
        <f>SUMIFS(INDEX(Техника!$F$1:$ABM$500,I$2,0),Техника!$F$4:$ABM$4,"Часы",INDEX(Техника!$G$1:$ABN$500,I$2,0),$A$95,INDEX(Техника!$H$1:$ABO$500,I$2,0),"З")</f>
        <v>0</v>
      </c>
      <c r="J100" s="50">
        <f>SUMIFS(INDEX(Техника!$F$1:$ABM$500,J$2,0),Техника!$F$4:$ABM$4,"Часы",INDEX(Техника!$G$1:$ABN$500,J$2,0),$A$95,INDEX(Техника!$H$1:$ABO$500,J$2,0),"З")</f>
        <v>0</v>
      </c>
      <c r="K100" s="50">
        <f>SUMIFS(INDEX(Техника!$F$1:$ABM$500,K$2,0),Техника!$F$4:$ABM$4,"Часы",INDEX(Техника!$G$1:$ABN$500,K$2,0),$A$95,INDEX(Техника!$H$1:$ABO$500,K$2,0),"З")</f>
        <v>0</v>
      </c>
      <c r="L100" s="50">
        <f>SUMIFS(INDEX(Техника!$F$1:$ABM$500,L$2,0),Техника!$F$4:$ABM$4,"Часы",INDEX(Техника!$G$1:$ABN$500,L$2,0),$A$95,INDEX(Техника!$H$1:$ABO$500,L$2,0),"З")</f>
        <v>0</v>
      </c>
      <c r="M100" s="50">
        <f>SUMIFS(INDEX(Техника!$F$1:$ABM$500,M$2,0),Техника!$F$4:$ABM$4,"Часы",INDEX(Техника!$G$1:$ABN$500,M$2,0),$A$95,INDEX(Техника!$H$1:$ABO$500,M$2,0),"З")</f>
        <v>0</v>
      </c>
      <c r="N100" s="50">
        <f>SUMIFS(INDEX(Техника!$F$1:$ABM$500,N$2,0),Техника!$F$4:$ABM$4,"Часы",INDEX(Техника!$G$1:$ABN$500,N$2,0),$A$95,INDEX(Техника!$H$1:$ABO$500,N$2,0),"З")</f>
        <v>0</v>
      </c>
      <c r="O100" s="50">
        <f>SUMIFS(INDEX(Техника!$F$1:$ABM$500,O$2,0),Техника!$F$4:$ABM$4,"Часы",INDEX(Техника!$G$1:$ABN$500,O$2,0),$A$95,INDEX(Техника!$H$1:$ABO$500,O$2,0),"З")</f>
        <v>0</v>
      </c>
      <c r="P100" s="50">
        <f>SUMIFS(INDEX(Техника!$F$1:$ABM$500,P$2,0),Техника!$F$4:$ABM$4,"Часы",INDEX(Техника!$G$1:$ABN$500,P$2,0),$A$95,INDEX(Техника!$H$1:$ABO$500,P$2,0),"З")</f>
        <v>0</v>
      </c>
      <c r="Q100" s="50">
        <f>SUMIFS(INDEX(Техника!$F$1:$ABM$500,Q$2,0),Техника!$F$4:$ABM$4,"Часы",INDEX(Техника!$G$1:$ABN$500,Q$2,0),$A$95,INDEX(Техника!$H$1:$ABO$500,Q$2,0),"З")</f>
        <v>0</v>
      </c>
      <c r="R100" s="50">
        <f>SUMIFS(INDEX(Техника!$F$1:$ABM$500,R$2,0),Техника!$F$4:$ABM$4,"Часы",INDEX(Техника!$G$1:$ABN$500,R$2,0),$A$95,INDEX(Техника!$H$1:$ABO$500,R$2,0),"З")</f>
        <v>0</v>
      </c>
      <c r="S100" s="50">
        <f>SUMIFS(INDEX(Техника!$F$1:$ABM$500,S$2,0),Техника!$F$4:$ABM$4,"Часы",INDEX(Техника!$G$1:$ABN$500,S$2,0),$A$95,INDEX(Техника!$H$1:$ABO$500,S$2,0),"З")</f>
        <v>0</v>
      </c>
      <c r="T100" s="50">
        <f>SUMIFS(INDEX(Техника!$F$1:$ABM$500,T$2,0),Техника!$F$4:$ABM$4,"Часы",INDEX(Техника!$G$1:$ABN$500,T$2,0),$A$95,INDEX(Техника!$H$1:$ABO$500,T$2,0),"З")</f>
        <v>0</v>
      </c>
      <c r="U100" s="50">
        <f>SUMIFS(INDEX(Техника!$F$1:$ABM$500,U$2,0),Техника!$F$4:$ABM$4,"Часы",INDEX(Техника!$G$1:$ABN$500,U$2,0),$A$95,INDEX(Техника!$H$1:$ABO$500,U$2,0),"З")</f>
        <v>0</v>
      </c>
      <c r="V100" s="50">
        <f>SUMIFS(INDEX(Техника!$F$1:$ABM$500,V$2,0),Техника!$F$4:$ABM$4,"Часы",INDEX(Техника!$G$1:$ABN$500,V$2,0),$A$95,INDEX(Техника!$H$1:$ABO$500,V$2,0),"З")</f>
        <v>0</v>
      </c>
      <c r="W100" s="50">
        <f>SUMIFS(INDEX(Техника!$F$1:$ABM$500,W$2,0),Техника!$F$4:$ABM$4,"Часы",INDEX(Техника!$G$1:$ABN$500,W$2,0),$A$95,INDEX(Техника!$H$1:$ABO$500,W$2,0),"З")</f>
        <v>0</v>
      </c>
      <c r="X100" s="50">
        <f>SUMIFS(INDEX(Техника!$F$1:$ABM$500,X$2,0),Техника!$F$4:$ABM$4,"Часы",INDEX(Техника!$G$1:$ABN$500,X$2,0),$A$95,INDEX(Техника!$H$1:$ABO$500,X$2,0),"З")</f>
        <v>0</v>
      </c>
      <c r="Y100" s="50">
        <f>SUMIFS(INDEX(Техника!$F$1:$ABM$500,Y$2,0),Техника!$F$4:$ABM$4,"Часы",INDEX(Техника!$G$1:$ABN$500,Y$2,0),$A$95,INDEX(Техника!$H$1:$ABO$500,Y$2,0),"З")</f>
        <v>0</v>
      </c>
      <c r="Z100" s="50">
        <f>SUMIFS(INDEX(Техника!$F$1:$ABM$500,Z$2,0),Техника!$F$4:$ABM$4,"Часы",INDEX(Техника!$G$1:$ABN$500,Z$2,0),$A$95,INDEX(Техника!$H$1:$ABO$500,Z$2,0),"З")</f>
        <v>0</v>
      </c>
      <c r="AA100" s="50">
        <f>SUMIFS(INDEX(Техника!$F$1:$ABM$500,AA$2,0),Техника!$F$4:$ABM$4,"Часы",INDEX(Техника!$G$1:$ABN$500,AA$2,0),$A$95,INDEX(Техника!$H$1:$ABO$500,AA$2,0),"З")</f>
        <v>0</v>
      </c>
      <c r="AB100" s="50">
        <f>SUMIFS(INDEX(Техника!$F$1:$ABM$500,AB$2,0),Техника!$F$4:$ABM$4,"Часы",INDEX(Техника!$G$1:$ABN$500,AB$2,0),$A$95,INDEX(Техника!$H$1:$ABO$500,AB$2,0),"З")</f>
        <v>0</v>
      </c>
    </row>
    <row r="101" spans="1:28" ht="7.95" customHeight="1" x14ac:dyDescent="0.3">
      <c r="A101" s="38"/>
      <c r="B101" s="39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 spans="1:28" ht="25.05" customHeight="1" collapsed="1" x14ac:dyDescent="0.3">
      <c r="A102" s="32">
        <v>15</v>
      </c>
      <c r="B102" s="32" t="s">
        <v>16</v>
      </c>
      <c r="C102" s="49">
        <f>SUM(C103:C107)</f>
        <v>0</v>
      </c>
      <c r="D102" s="49">
        <f>SUM(D103:D107)</f>
        <v>0</v>
      </c>
      <c r="E102" s="49">
        <f>SUM(E103:E107)</f>
        <v>0</v>
      </c>
      <c r="F102" s="49">
        <f>SUM(F103:F107)</f>
        <v>0</v>
      </c>
      <c r="G102" s="49">
        <f>SUM(G103:G107)</f>
        <v>0</v>
      </c>
      <c r="H102" s="49">
        <f>SUM(H103:H107)</f>
        <v>0</v>
      </c>
      <c r="I102" s="49">
        <f>SUM(I103:I107)</f>
        <v>0</v>
      </c>
      <c r="J102" s="49">
        <f>SUM(J103:J107)</f>
        <v>0</v>
      </c>
      <c r="K102" s="49">
        <f>SUM(K103:K107)</f>
        <v>0</v>
      </c>
      <c r="L102" s="49">
        <f>SUM(L103:L107)</f>
        <v>0</v>
      </c>
      <c r="M102" s="49">
        <f>SUM(M103:M107)</f>
        <v>0</v>
      </c>
      <c r="N102" s="49">
        <f>SUM(N103:N107)</f>
        <v>0</v>
      </c>
      <c r="O102" s="49">
        <f>SUM(O103:O107)</f>
        <v>0</v>
      </c>
      <c r="P102" s="49">
        <f>SUM(P103:P107)</f>
        <v>0</v>
      </c>
      <c r="Q102" s="49">
        <f>SUM(Q103:Q107)</f>
        <v>0</v>
      </c>
      <c r="R102" s="49">
        <f>SUM(R103:R107)</f>
        <v>0</v>
      </c>
      <c r="S102" s="49">
        <f>SUM(S103:S107)</f>
        <v>0</v>
      </c>
      <c r="T102" s="49">
        <f>SUM(T103:T107)</f>
        <v>0</v>
      </c>
      <c r="U102" s="49">
        <f>SUM(U103:U107)</f>
        <v>0</v>
      </c>
      <c r="V102" s="49">
        <f>SUM(V103:V107)</f>
        <v>0</v>
      </c>
      <c r="W102" s="49">
        <f>SUM(W103:W107)</f>
        <v>0</v>
      </c>
      <c r="X102" s="49">
        <f>SUM(X103:X107)</f>
        <v>0</v>
      </c>
      <c r="Y102" s="49">
        <f>SUM(Y103:Y107)</f>
        <v>0</v>
      </c>
      <c r="Z102" s="49">
        <f>SUM(Z103:Z107)</f>
        <v>0</v>
      </c>
      <c r="AA102" s="49">
        <f>SUM(AA103:AA107)</f>
        <v>0</v>
      </c>
      <c r="AB102" s="49">
        <f>SUM(AB103:AB107)</f>
        <v>0</v>
      </c>
    </row>
    <row r="103" spans="1:28" hidden="1" outlineLevel="1" x14ac:dyDescent="0.3">
      <c r="A103" s="33" t="s">
        <v>246</v>
      </c>
      <c r="B103" s="34" t="s">
        <v>274</v>
      </c>
      <c r="C103" s="50">
        <f>SUMIFS(INDEX(Техника!$F$1:$ABM$500,C$2,0),Техника!$F$4:$ABM$4,"Часы",INDEX(Техника!$G$1:$ABN$500,C$2,0),$A$102,INDEX(Техника!$H$1:$ABO$500,C$2,0),"М")</f>
        <v>0</v>
      </c>
      <c r="D103" s="50">
        <f>SUMIFS(INDEX(Техника!$F$1:$ABM$500,D$2,0),Техника!$F$4:$ABM$4,"Часы",INDEX(Техника!$G$1:$ABN$500,D$2,0),$A$102,INDEX(Техника!$H$1:$ABO$500,D$2,0),"М")</f>
        <v>0</v>
      </c>
      <c r="E103" s="50">
        <f>SUMIFS(INDEX(Техника!$F$1:$ABM$500,E$2,0),Техника!$F$4:$ABM$4,"Часы",INDEX(Техника!$G$1:$ABN$500,E$2,0),$A$102,INDEX(Техника!$H$1:$ABO$500,E$2,0),"М")</f>
        <v>0</v>
      </c>
      <c r="F103" s="50">
        <f>SUMIFS(INDEX(Техника!$F$1:$ABM$500,F$2,0),Техника!$F$4:$ABM$4,"Часы",INDEX(Техника!$G$1:$ABN$500,F$2,0),$A$102,INDEX(Техника!$H$1:$ABO$500,F$2,0),"М")</f>
        <v>0</v>
      </c>
      <c r="G103" s="50">
        <f>SUMIFS(INDEX(Техника!$F$1:$ABM$500,G$2,0),Техника!$F$4:$ABM$4,"Часы",INDEX(Техника!$G$1:$ABN$500,G$2,0),$A$102,INDEX(Техника!$H$1:$ABO$500,G$2,0),"М")</f>
        <v>0</v>
      </c>
      <c r="H103" s="50">
        <f>SUMIFS(INDEX(Техника!$F$1:$ABM$500,H$2,0),Техника!$F$4:$ABM$4,"Часы",INDEX(Техника!$G$1:$ABN$500,H$2,0),$A$102,INDEX(Техника!$H$1:$ABO$500,H$2,0),"М")</f>
        <v>0</v>
      </c>
      <c r="I103" s="50">
        <f>SUMIFS(INDEX(Техника!$F$1:$ABM$500,I$2,0),Техника!$F$4:$ABM$4,"Часы",INDEX(Техника!$G$1:$ABN$500,I$2,0),$A$102,INDEX(Техника!$H$1:$ABO$500,I$2,0),"М")</f>
        <v>0</v>
      </c>
      <c r="J103" s="50">
        <f>SUMIFS(INDEX(Техника!$F$1:$ABM$500,J$2,0),Техника!$F$4:$ABM$4,"Часы",INDEX(Техника!$G$1:$ABN$500,J$2,0),$A$102,INDEX(Техника!$H$1:$ABO$500,J$2,0),"М")</f>
        <v>0</v>
      </c>
      <c r="K103" s="50">
        <f>SUMIFS(INDEX(Техника!$F$1:$ABM$500,K$2,0),Техника!$F$4:$ABM$4,"Часы",INDEX(Техника!$G$1:$ABN$500,K$2,0),$A$102,INDEX(Техника!$H$1:$ABO$500,K$2,0),"М")</f>
        <v>0</v>
      </c>
      <c r="L103" s="50">
        <f>SUMIFS(INDEX(Техника!$F$1:$ABM$500,L$2,0),Техника!$F$4:$ABM$4,"Часы",INDEX(Техника!$G$1:$ABN$500,L$2,0),$A$102,INDEX(Техника!$H$1:$ABO$500,L$2,0),"М")</f>
        <v>0</v>
      </c>
      <c r="M103" s="50">
        <f>SUMIFS(INDEX(Техника!$F$1:$ABM$500,M$2,0),Техника!$F$4:$ABM$4,"Часы",INDEX(Техника!$G$1:$ABN$500,M$2,0),$A$102,INDEX(Техника!$H$1:$ABO$500,M$2,0),"М")</f>
        <v>0</v>
      </c>
      <c r="N103" s="50">
        <f>SUMIFS(INDEX(Техника!$F$1:$ABM$500,N$2,0),Техника!$F$4:$ABM$4,"Часы",INDEX(Техника!$G$1:$ABN$500,N$2,0),$A$102,INDEX(Техника!$H$1:$ABO$500,N$2,0),"М")</f>
        <v>0</v>
      </c>
      <c r="O103" s="50">
        <f>SUMIFS(INDEX(Техника!$F$1:$ABM$500,O$2,0),Техника!$F$4:$ABM$4,"Часы",INDEX(Техника!$G$1:$ABN$500,O$2,0),$A$102,INDEX(Техника!$H$1:$ABO$500,O$2,0),"М")</f>
        <v>0</v>
      </c>
      <c r="P103" s="50">
        <f>SUMIFS(INDEX(Техника!$F$1:$ABM$500,P$2,0),Техника!$F$4:$ABM$4,"Часы",INDEX(Техника!$G$1:$ABN$500,P$2,0),$A$102,INDEX(Техника!$H$1:$ABO$500,P$2,0),"М")</f>
        <v>0</v>
      </c>
      <c r="Q103" s="50">
        <f>SUMIFS(INDEX(Техника!$F$1:$ABM$500,Q$2,0),Техника!$F$4:$ABM$4,"Часы",INDEX(Техника!$G$1:$ABN$500,Q$2,0),$A$102,INDEX(Техника!$H$1:$ABO$500,Q$2,0),"М")</f>
        <v>0</v>
      </c>
      <c r="R103" s="50">
        <f>SUMIFS(INDEX(Техника!$F$1:$ABM$500,R$2,0),Техника!$F$4:$ABM$4,"Часы",INDEX(Техника!$G$1:$ABN$500,R$2,0),$A$102,INDEX(Техника!$H$1:$ABO$500,R$2,0),"М")</f>
        <v>0</v>
      </c>
      <c r="S103" s="50">
        <f>SUMIFS(INDEX(Техника!$F$1:$ABM$500,S$2,0),Техника!$F$4:$ABM$4,"Часы",INDEX(Техника!$G$1:$ABN$500,S$2,0),$A$102,INDEX(Техника!$H$1:$ABO$500,S$2,0),"М")</f>
        <v>0</v>
      </c>
      <c r="T103" s="50">
        <f>SUMIFS(INDEX(Техника!$F$1:$ABM$500,T$2,0),Техника!$F$4:$ABM$4,"Часы",INDEX(Техника!$G$1:$ABN$500,T$2,0),$A$102,INDEX(Техника!$H$1:$ABO$500,T$2,0),"М")</f>
        <v>0</v>
      </c>
      <c r="U103" s="50">
        <f>SUMIFS(INDEX(Техника!$F$1:$ABM$500,U$2,0),Техника!$F$4:$ABM$4,"Часы",INDEX(Техника!$G$1:$ABN$500,U$2,0),$A$102,INDEX(Техника!$H$1:$ABO$500,U$2,0),"М")</f>
        <v>0</v>
      </c>
      <c r="V103" s="50">
        <f>SUMIFS(INDEX(Техника!$F$1:$ABM$500,V$2,0),Техника!$F$4:$ABM$4,"Часы",INDEX(Техника!$G$1:$ABN$500,V$2,0),$A$102,INDEX(Техника!$H$1:$ABO$500,V$2,0),"М")</f>
        <v>0</v>
      </c>
      <c r="W103" s="50">
        <f>SUMIFS(INDEX(Техника!$F$1:$ABM$500,W$2,0),Техника!$F$4:$ABM$4,"Часы",INDEX(Техника!$G$1:$ABN$500,W$2,0),$A$102,INDEX(Техника!$H$1:$ABO$500,W$2,0),"М")</f>
        <v>0</v>
      </c>
      <c r="X103" s="50">
        <f>SUMIFS(INDEX(Техника!$F$1:$ABM$500,X$2,0),Техника!$F$4:$ABM$4,"Часы",INDEX(Техника!$G$1:$ABN$500,X$2,0),$A$102,INDEX(Техника!$H$1:$ABO$500,X$2,0),"М")</f>
        <v>0</v>
      </c>
      <c r="Y103" s="50">
        <f>SUMIFS(INDEX(Техника!$F$1:$ABM$500,Y$2,0),Техника!$F$4:$ABM$4,"Часы",INDEX(Техника!$G$1:$ABN$500,Y$2,0),$A$102,INDEX(Техника!$H$1:$ABO$500,Y$2,0),"М")</f>
        <v>0</v>
      </c>
      <c r="Z103" s="50">
        <f>SUMIFS(INDEX(Техника!$F$1:$ABM$500,Z$2,0),Техника!$F$4:$ABM$4,"Часы",INDEX(Техника!$G$1:$ABN$500,Z$2,0),$A$102,INDEX(Техника!$H$1:$ABO$500,Z$2,0),"М")</f>
        <v>0</v>
      </c>
      <c r="AA103" s="50">
        <f>SUMIFS(INDEX(Техника!$F$1:$ABM$500,AA$2,0),Техника!$F$4:$ABM$4,"Часы",INDEX(Техника!$G$1:$ABN$500,AA$2,0),$A$102,INDEX(Техника!$H$1:$ABO$500,AA$2,0),"М")</f>
        <v>0</v>
      </c>
      <c r="AB103" s="50">
        <f>SUMIFS(INDEX(Техника!$F$1:$ABM$500,AB$2,0),Техника!$F$4:$ABM$4,"Часы",INDEX(Техника!$G$1:$ABN$500,AB$2,0),$A$102,INDEX(Техника!$H$1:$ABO$500,AB$2,0),"М")</f>
        <v>0</v>
      </c>
    </row>
    <row r="104" spans="1:28" hidden="1" outlineLevel="1" x14ac:dyDescent="0.3">
      <c r="A104" s="33" t="s">
        <v>244</v>
      </c>
      <c r="B104" s="34" t="s">
        <v>275</v>
      </c>
      <c r="C104" s="50">
        <f>SUMIFS(INDEX(Техника!$F$1:$ABM$500,C$2,0),Техника!$F$4:$ABM$4,"Часы",INDEX(Техника!$G$1:$ABN$500,C$2,0),$A$102,INDEX(Техника!$H$1:$ABO$500,C$2,0),"Д")</f>
        <v>0</v>
      </c>
      <c r="D104" s="50">
        <f>SUMIFS(INDEX(Техника!$F$1:$ABM$500,D$2,0),Техника!$F$4:$ABM$4,"Часы",INDEX(Техника!$G$1:$ABN$500,D$2,0),$A$102,INDEX(Техника!$H$1:$ABO$500,D$2,0),"Д")</f>
        <v>0</v>
      </c>
      <c r="E104" s="50">
        <f>SUMIFS(INDEX(Техника!$F$1:$ABM$500,E$2,0),Техника!$F$4:$ABM$4,"Часы",INDEX(Техника!$G$1:$ABN$500,E$2,0),$A$102,INDEX(Техника!$H$1:$ABO$500,E$2,0),"Д")</f>
        <v>0</v>
      </c>
      <c r="F104" s="50">
        <f>SUMIFS(INDEX(Техника!$F$1:$ABM$500,F$2,0),Техника!$F$4:$ABM$4,"Часы",INDEX(Техника!$G$1:$ABN$500,F$2,0),$A$102,INDEX(Техника!$H$1:$ABO$500,F$2,0),"Д")</f>
        <v>0</v>
      </c>
      <c r="G104" s="50">
        <f>SUMIFS(INDEX(Техника!$F$1:$ABM$500,G$2,0),Техника!$F$4:$ABM$4,"Часы",INDEX(Техника!$G$1:$ABN$500,G$2,0),$A$102,INDEX(Техника!$H$1:$ABO$500,G$2,0),"Д")</f>
        <v>0</v>
      </c>
      <c r="H104" s="50">
        <f>SUMIFS(INDEX(Техника!$F$1:$ABM$500,H$2,0),Техника!$F$4:$ABM$4,"Часы",INDEX(Техника!$G$1:$ABN$500,H$2,0),$A$102,INDEX(Техника!$H$1:$ABO$500,H$2,0),"Д")</f>
        <v>0</v>
      </c>
      <c r="I104" s="50">
        <f>SUMIFS(INDEX(Техника!$F$1:$ABM$500,I$2,0),Техника!$F$4:$ABM$4,"Часы",INDEX(Техника!$G$1:$ABN$500,I$2,0),$A$102,INDEX(Техника!$H$1:$ABO$500,I$2,0),"Д")</f>
        <v>0</v>
      </c>
      <c r="J104" s="50">
        <f>SUMIFS(INDEX(Техника!$F$1:$ABM$500,J$2,0),Техника!$F$4:$ABM$4,"Часы",INDEX(Техника!$G$1:$ABN$500,J$2,0),$A$102,INDEX(Техника!$H$1:$ABO$500,J$2,0),"Д")</f>
        <v>0</v>
      </c>
      <c r="K104" s="50">
        <f>SUMIFS(INDEX(Техника!$F$1:$ABM$500,K$2,0),Техника!$F$4:$ABM$4,"Часы",INDEX(Техника!$G$1:$ABN$500,K$2,0),$A$102,INDEX(Техника!$H$1:$ABO$500,K$2,0),"Д")</f>
        <v>0</v>
      </c>
      <c r="L104" s="50">
        <f>SUMIFS(INDEX(Техника!$F$1:$ABM$500,L$2,0),Техника!$F$4:$ABM$4,"Часы",INDEX(Техника!$G$1:$ABN$500,L$2,0),$A$102,INDEX(Техника!$H$1:$ABO$500,L$2,0),"Д")</f>
        <v>0</v>
      </c>
      <c r="M104" s="50">
        <f>SUMIFS(INDEX(Техника!$F$1:$ABM$500,M$2,0),Техника!$F$4:$ABM$4,"Часы",INDEX(Техника!$G$1:$ABN$500,M$2,0),$A$102,INDEX(Техника!$H$1:$ABO$500,M$2,0),"Д")</f>
        <v>0</v>
      </c>
      <c r="N104" s="50">
        <f>SUMIFS(INDEX(Техника!$F$1:$ABM$500,N$2,0),Техника!$F$4:$ABM$4,"Часы",INDEX(Техника!$G$1:$ABN$500,N$2,0),$A$102,INDEX(Техника!$H$1:$ABO$500,N$2,0),"Д")</f>
        <v>0</v>
      </c>
      <c r="O104" s="50">
        <f>SUMIFS(INDEX(Техника!$F$1:$ABM$500,O$2,0),Техника!$F$4:$ABM$4,"Часы",INDEX(Техника!$G$1:$ABN$500,O$2,0),$A$102,INDEX(Техника!$H$1:$ABO$500,O$2,0),"Д")</f>
        <v>0</v>
      </c>
      <c r="P104" s="50">
        <f>SUMIFS(INDEX(Техника!$F$1:$ABM$500,P$2,0),Техника!$F$4:$ABM$4,"Часы",INDEX(Техника!$G$1:$ABN$500,P$2,0),$A$102,INDEX(Техника!$H$1:$ABO$500,P$2,0),"Д")</f>
        <v>0</v>
      </c>
      <c r="Q104" s="50">
        <f>SUMIFS(INDEX(Техника!$F$1:$ABM$500,Q$2,0),Техника!$F$4:$ABM$4,"Часы",INDEX(Техника!$G$1:$ABN$500,Q$2,0),$A$102,INDEX(Техника!$H$1:$ABO$500,Q$2,0),"Д")</f>
        <v>0</v>
      </c>
      <c r="R104" s="50">
        <f>SUMIFS(INDEX(Техника!$F$1:$ABM$500,R$2,0),Техника!$F$4:$ABM$4,"Часы",INDEX(Техника!$G$1:$ABN$500,R$2,0),$A$102,INDEX(Техника!$H$1:$ABO$500,R$2,0),"Д")</f>
        <v>0</v>
      </c>
      <c r="S104" s="50">
        <f>SUMIFS(INDEX(Техника!$F$1:$ABM$500,S$2,0),Техника!$F$4:$ABM$4,"Часы",INDEX(Техника!$G$1:$ABN$500,S$2,0),$A$102,INDEX(Техника!$H$1:$ABO$500,S$2,0),"Д")</f>
        <v>0</v>
      </c>
      <c r="T104" s="50">
        <f>SUMIFS(INDEX(Техника!$F$1:$ABM$500,T$2,0),Техника!$F$4:$ABM$4,"Часы",INDEX(Техника!$G$1:$ABN$500,T$2,0),$A$102,INDEX(Техника!$H$1:$ABO$500,T$2,0),"Д")</f>
        <v>0</v>
      </c>
      <c r="U104" s="50">
        <f>SUMIFS(INDEX(Техника!$F$1:$ABM$500,U$2,0),Техника!$F$4:$ABM$4,"Часы",INDEX(Техника!$G$1:$ABN$500,U$2,0),$A$102,INDEX(Техника!$H$1:$ABO$500,U$2,0),"Д")</f>
        <v>0</v>
      </c>
      <c r="V104" s="50">
        <f>SUMIFS(INDEX(Техника!$F$1:$ABM$500,V$2,0),Техника!$F$4:$ABM$4,"Часы",INDEX(Техника!$G$1:$ABN$500,V$2,0),$A$102,INDEX(Техника!$H$1:$ABO$500,V$2,0),"Д")</f>
        <v>0</v>
      </c>
      <c r="W104" s="50">
        <f>SUMIFS(INDEX(Техника!$F$1:$ABM$500,W$2,0),Техника!$F$4:$ABM$4,"Часы",INDEX(Техника!$G$1:$ABN$500,W$2,0),$A$102,INDEX(Техника!$H$1:$ABO$500,W$2,0),"Д")</f>
        <v>0</v>
      </c>
      <c r="X104" s="50">
        <f>SUMIFS(INDEX(Техника!$F$1:$ABM$500,X$2,0),Техника!$F$4:$ABM$4,"Часы",INDEX(Техника!$G$1:$ABN$500,X$2,0),$A$102,INDEX(Техника!$H$1:$ABO$500,X$2,0),"Д")</f>
        <v>0</v>
      </c>
      <c r="Y104" s="50">
        <f>SUMIFS(INDEX(Техника!$F$1:$ABM$500,Y$2,0),Техника!$F$4:$ABM$4,"Часы",INDEX(Техника!$G$1:$ABN$500,Y$2,0),$A$102,INDEX(Техника!$H$1:$ABO$500,Y$2,0),"Д")</f>
        <v>0</v>
      </c>
      <c r="Z104" s="50">
        <f>SUMIFS(INDEX(Техника!$F$1:$ABM$500,Z$2,0),Техника!$F$4:$ABM$4,"Часы",INDEX(Техника!$G$1:$ABN$500,Z$2,0),$A$102,INDEX(Техника!$H$1:$ABO$500,Z$2,0),"Д")</f>
        <v>0</v>
      </c>
      <c r="AA104" s="50">
        <f>SUMIFS(INDEX(Техника!$F$1:$ABM$500,AA$2,0),Техника!$F$4:$ABM$4,"Часы",INDEX(Техника!$G$1:$ABN$500,AA$2,0),$A$102,INDEX(Техника!$H$1:$ABO$500,AA$2,0),"Д")</f>
        <v>0</v>
      </c>
      <c r="AB104" s="50">
        <f>SUMIFS(INDEX(Техника!$F$1:$ABM$500,AB$2,0),Техника!$F$4:$ABM$4,"Часы",INDEX(Техника!$G$1:$ABN$500,AB$2,0),$A$102,INDEX(Техника!$H$1:$ABO$500,AB$2,0),"Д")</f>
        <v>0</v>
      </c>
    </row>
    <row r="105" spans="1:28" hidden="1" outlineLevel="1" x14ac:dyDescent="0.3">
      <c r="A105" s="33" t="s">
        <v>276</v>
      </c>
      <c r="B105" s="34" t="s">
        <v>277</v>
      </c>
      <c r="C105" s="50">
        <f>SUMIFS(INDEX(Техника!$F$1:$ABM$500,C$2,0),Техника!$F$4:$ABM$4,"Часы",INDEX(Техника!$G$1:$ABN$500,C$2,0),$A$102,INDEX(Техника!$H$1:$ABO$500,C$2,0),"П")</f>
        <v>0</v>
      </c>
      <c r="D105" s="50">
        <f>SUMIFS(INDEX(Техника!$F$1:$ABM$500,D$2,0),Техника!$F$4:$ABM$4,"Часы",INDEX(Техника!$G$1:$ABN$500,D$2,0),$A$102,INDEX(Техника!$H$1:$ABO$500,D$2,0),"П")</f>
        <v>0</v>
      </c>
      <c r="E105" s="50">
        <f>SUMIFS(INDEX(Техника!$F$1:$ABM$500,E$2,0),Техника!$F$4:$ABM$4,"Часы",INDEX(Техника!$G$1:$ABN$500,E$2,0),$A$102,INDEX(Техника!$H$1:$ABO$500,E$2,0),"П")</f>
        <v>0</v>
      </c>
      <c r="F105" s="50">
        <f>SUMIFS(INDEX(Техника!$F$1:$ABM$500,F$2,0),Техника!$F$4:$ABM$4,"Часы",INDEX(Техника!$G$1:$ABN$500,F$2,0),$A$102,INDEX(Техника!$H$1:$ABO$500,F$2,0),"П")</f>
        <v>0</v>
      </c>
      <c r="G105" s="50">
        <f>SUMIFS(INDEX(Техника!$F$1:$ABM$500,G$2,0),Техника!$F$4:$ABM$4,"Часы",INDEX(Техника!$G$1:$ABN$500,G$2,0),$A$102,INDEX(Техника!$H$1:$ABO$500,G$2,0),"П")</f>
        <v>0</v>
      </c>
      <c r="H105" s="50">
        <f>SUMIFS(INDEX(Техника!$F$1:$ABM$500,H$2,0),Техника!$F$4:$ABM$4,"Часы",INDEX(Техника!$G$1:$ABN$500,H$2,0),$A$102,INDEX(Техника!$H$1:$ABO$500,H$2,0),"П")</f>
        <v>0</v>
      </c>
      <c r="I105" s="50">
        <f>SUMIFS(INDEX(Техника!$F$1:$ABM$500,I$2,0),Техника!$F$4:$ABM$4,"Часы",INDEX(Техника!$G$1:$ABN$500,I$2,0),$A$102,INDEX(Техника!$H$1:$ABO$500,I$2,0),"П")</f>
        <v>0</v>
      </c>
      <c r="J105" s="50">
        <f>SUMIFS(INDEX(Техника!$F$1:$ABM$500,J$2,0),Техника!$F$4:$ABM$4,"Часы",INDEX(Техника!$G$1:$ABN$500,J$2,0),$A$102,INDEX(Техника!$H$1:$ABO$500,J$2,0),"П")</f>
        <v>0</v>
      </c>
      <c r="K105" s="50">
        <f>SUMIFS(INDEX(Техника!$F$1:$ABM$500,K$2,0),Техника!$F$4:$ABM$4,"Часы",INDEX(Техника!$G$1:$ABN$500,K$2,0),$A$102,INDEX(Техника!$H$1:$ABO$500,K$2,0),"П")</f>
        <v>0</v>
      </c>
      <c r="L105" s="50">
        <f>SUMIFS(INDEX(Техника!$F$1:$ABM$500,L$2,0),Техника!$F$4:$ABM$4,"Часы",INDEX(Техника!$G$1:$ABN$500,L$2,0),$A$102,INDEX(Техника!$H$1:$ABO$500,L$2,0),"П")</f>
        <v>0</v>
      </c>
      <c r="M105" s="50">
        <f>SUMIFS(INDEX(Техника!$F$1:$ABM$500,M$2,0),Техника!$F$4:$ABM$4,"Часы",INDEX(Техника!$G$1:$ABN$500,M$2,0),$A$102,INDEX(Техника!$H$1:$ABO$500,M$2,0),"П")</f>
        <v>0</v>
      </c>
      <c r="N105" s="50">
        <f>SUMIFS(INDEX(Техника!$F$1:$ABM$500,N$2,0),Техника!$F$4:$ABM$4,"Часы",INDEX(Техника!$G$1:$ABN$500,N$2,0),$A$102,INDEX(Техника!$H$1:$ABO$500,N$2,0),"П")</f>
        <v>0</v>
      </c>
      <c r="O105" s="50">
        <f>SUMIFS(INDEX(Техника!$F$1:$ABM$500,O$2,0),Техника!$F$4:$ABM$4,"Часы",INDEX(Техника!$G$1:$ABN$500,O$2,0),$A$102,INDEX(Техника!$H$1:$ABO$500,O$2,0),"П")</f>
        <v>0</v>
      </c>
      <c r="P105" s="50">
        <f>SUMIFS(INDEX(Техника!$F$1:$ABM$500,P$2,0),Техника!$F$4:$ABM$4,"Часы",INDEX(Техника!$G$1:$ABN$500,P$2,0),$A$102,INDEX(Техника!$H$1:$ABO$500,P$2,0),"П")</f>
        <v>0</v>
      </c>
      <c r="Q105" s="50">
        <f>SUMIFS(INDEX(Техника!$F$1:$ABM$500,Q$2,0),Техника!$F$4:$ABM$4,"Часы",INDEX(Техника!$G$1:$ABN$500,Q$2,0),$A$102,INDEX(Техника!$H$1:$ABO$500,Q$2,0),"П")</f>
        <v>0</v>
      </c>
      <c r="R105" s="50">
        <f>SUMIFS(INDEX(Техника!$F$1:$ABM$500,R$2,0),Техника!$F$4:$ABM$4,"Часы",INDEX(Техника!$G$1:$ABN$500,R$2,0),$A$102,INDEX(Техника!$H$1:$ABO$500,R$2,0),"П")</f>
        <v>0</v>
      </c>
      <c r="S105" s="50">
        <f>SUMIFS(INDEX(Техника!$F$1:$ABM$500,S$2,0),Техника!$F$4:$ABM$4,"Часы",INDEX(Техника!$G$1:$ABN$500,S$2,0),$A$102,INDEX(Техника!$H$1:$ABO$500,S$2,0),"П")</f>
        <v>0</v>
      </c>
      <c r="T105" s="50">
        <f>SUMIFS(INDEX(Техника!$F$1:$ABM$500,T$2,0),Техника!$F$4:$ABM$4,"Часы",INDEX(Техника!$G$1:$ABN$500,T$2,0),$A$102,INDEX(Техника!$H$1:$ABO$500,T$2,0),"П")</f>
        <v>0</v>
      </c>
      <c r="U105" s="50">
        <f>SUMIFS(INDEX(Техника!$F$1:$ABM$500,U$2,0),Техника!$F$4:$ABM$4,"Часы",INDEX(Техника!$G$1:$ABN$500,U$2,0),$A$102,INDEX(Техника!$H$1:$ABO$500,U$2,0),"П")</f>
        <v>0</v>
      </c>
      <c r="V105" s="50">
        <f>SUMIFS(INDEX(Техника!$F$1:$ABM$500,V$2,0),Техника!$F$4:$ABM$4,"Часы",INDEX(Техника!$G$1:$ABN$500,V$2,0),$A$102,INDEX(Техника!$H$1:$ABO$500,V$2,0),"П")</f>
        <v>0</v>
      </c>
      <c r="W105" s="50">
        <f>SUMIFS(INDEX(Техника!$F$1:$ABM$500,W$2,0),Техника!$F$4:$ABM$4,"Часы",INDEX(Техника!$G$1:$ABN$500,W$2,0),$A$102,INDEX(Техника!$H$1:$ABO$500,W$2,0),"П")</f>
        <v>0</v>
      </c>
      <c r="X105" s="50">
        <f>SUMIFS(INDEX(Техника!$F$1:$ABM$500,X$2,0),Техника!$F$4:$ABM$4,"Часы",INDEX(Техника!$G$1:$ABN$500,X$2,0),$A$102,INDEX(Техника!$H$1:$ABO$500,X$2,0),"П")</f>
        <v>0</v>
      </c>
      <c r="Y105" s="50">
        <f>SUMIFS(INDEX(Техника!$F$1:$ABM$500,Y$2,0),Техника!$F$4:$ABM$4,"Часы",INDEX(Техника!$G$1:$ABN$500,Y$2,0),$A$102,INDEX(Техника!$H$1:$ABO$500,Y$2,0),"П")</f>
        <v>0</v>
      </c>
      <c r="Z105" s="50">
        <f>SUMIFS(INDEX(Техника!$F$1:$ABM$500,Z$2,0),Техника!$F$4:$ABM$4,"Часы",INDEX(Техника!$G$1:$ABN$500,Z$2,0),$A$102,INDEX(Техника!$H$1:$ABO$500,Z$2,0),"П")</f>
        <v>0</v>
      </c>
      <c r="AA105" s="50">
        <f>SUMIFS(INDEX(Техника!$F$1:$ABM$500,AA$2,0),Техника!$F$4:$ABM$4,"Часы",INDEX(Техника!$G$1:$ABN$500,AA$2,0),$A$102,INDEX(Техника!$H$1:$ABO$500,AA$2,0),"П")</f>
        <v>0</v>
      </c>
      <c r="AB105" s="50">
        <f>SUMIFS(INDEX(Техника!$F$1:$ABM$500,AB$2,0),Техника!$F$4:$ABM$4,"Часы",INDEX(Техника!$G$1:$ABN$500,AB$2,0),$A$102,INDEX(Техника!$H$1:$ABO$500,AB$2,0),"П")</f>
        <v>0</v>
      </c>
    </row>
    <row r="106" spans="1:28" hidden="1" outlineLevel="1" x14ac:dyDescent="0.3">
      <c r="A106" s="33" t="s">
        <v>243</v>
      </c>
      <c r="B106" s="34" t="s">
        <v>278</v>
      </c>
      <c r="C106" s="50">
        <f>SUMIFS(INDEX(Техника!$F$1:$ABM$500,C$2,0),Техника!$F$4:$ABM$4,"Часы",INDEX(Техника!$G$1:$ABN$500,C$2,0),$A$102,INDEX(Техника!$H$1:$ABO$500,C$2,0),"Л")</f>
        <v>0</v>
      </c>
      <c r="D106" s="50">
        <f>SUMIFS(INDEX(Техника!$F$1:$ABM$500,D$2,0),Техника!$F$4:$ABM$4,"Часы",INDEX(Техника!$G$1:$ABN$500,D$2,0),$A$102,INDEX(Техника!$H$1:$ABO$500,D$2,0),"Л")</f>
        <v>0</v>
      </c>
      <c r="E106" s="50">
        <f>SUMIFS(INDEX(Техника!$F$1:$ABM$500,E$2,0),Техника!$F$4:$ABM$4,"Часы",INDEX(Техника!$G$1:$ABN$500,E$2,0),$A$102,INDEX(Техника!$H$1:$ABO$500,E$2,0),"Л")</f>
        <v>0</v>
      </c>
      <c r="F106" s="50">
        <f>SUMIFS(INDEX(Техника!$F$1:$ABM$500,F$2,0),Техника!$F$4:$ABM$4,"Часы",INDEX(Техника!$G$1:$ABN$500,F$2,0),$A$102,INDEX(Техника!$H$1:$ABO$500,F$2,0),"Л")</f>
        <v>0</v>
      </c>
      <c r="G106" s="50">
        <f>SUMIFS(INDEX(Техника!$F$1:$ABM$500,G$2,0),Техника!$F$4:$ABM$4,"Часы",INDEX(Техника!$G$1:$ABN$500,G$2,0),$A$102,INDEX(Техника!$H$1:$ABO$500,G$2,0),"Л")</f>
        <v>0</v>
      </c>
      <c r="H106" s="50">
        <f>SUMIFS(INDEX(Техника!$F$1:$ABM$500,H$2,0),Техника!$F$4:$ABM$4,"Часы",INDEX(Техника!$G$1:$ABN$500,H$2,0),$A$102,INDEX(Техника!$H$1:$ABO$500,H$2,0),"Л")</f>
        <v>0</v>
      </c>
      <c r="I106" s="50">
        <f>SUMIFS(INDEX(Техника!$F$1:$ABM$500,I$2,0),Техника!$F$4:$ABM$4,"Часы",INDEX(Техника!$G$1:$ABN$500,I$2,0),$A$102,INDEX(Техника!$H$1:$ABO$500,I$2,0),"Л")</f>
        <v>0</v>
      </c>
      <c r="J106" s="50">
        <f>SUMIFS(INDEX(Техника!$F$1:$ABM$500,J$2,0),Техника!$F$4:$ABM$4,"Часы",INDEX(Техника!$G$1:$ABN$500,J$2,0),$A$102,INDEX(Техника!$H$1:$ABO$500,J$2,0),"Л")</f>
        <v>0</v>
      </c>
      <c r="K106" s="50">
        <f>SUMIFS(INDEX(Техника!$F$1:$ABM$500,K$2,0),Техника!$F$4:$ABM$4,"Часы",INDEX(Техника!$G$1:$ABN$500,K$2,0),$A$102,INDEX(Техника!$H$1:$ABO$500,K$2,0),"Л")</f>
        <v>0</v>
      </c>
      <c r="L106" s="50">
        <f>SUMIFS(INDEX(Техника!$F$1:$ABM$500,L$2,0),Техника!$F$4:$ABM$4,"Часы",INDEX(Техника!$G$1:$ABN$500,L$2,0),$A$102,INDEX(Техника!$H$1:$ABO$500,L$2,0),"Л")</f>
        <v>0</v>
      </c>
      <c r="M106" s="50">
        <f>SUMIFS(INDEX(Техника!$F$1:$ABM$500,M$2,0),Техника!$F$4:$ABM$4,"Часы",INDEX(Техника!$G$1:$ABN$500,M$2,0),$A$102,INDEX(Техника!$H$1:$ABO$500,M$2,0),"Л")</f>
        <v>0</v>
      </c>
      <c r="N106" s="50">
        <f>SUMIFS(INDEX(Техника!$F$1:$ABM$500,N$2,0),Техника!$F$4:$ABM$4,"Часы",INDEX(Техника!$G$1:$ABN$500,N$2,0),$A$102,INDEX(Техника!$H$1:$ABO$500,N$2,0),"Л")</f>
        <v>0</v>
      </c>
      <c r="O106" s="50">
        <f>SUMIFS(INDEX(Техника!$F$1:$ABM$500,O$2,0),Техника!$F$4:$ABM$4,"Часы",INDEX(Техника!$G$1:$ABN$500,O$2,0),$A$102,INDEX(Техника!$H$1:$ABO$500,O$2,0),"Л")</f>
        <v>0</v>
      </c>
      <c r="P106" s="50">
        <f>SUMIFS(INDEX(Техника!$F$1:$ABM$500,P$2,0),Техника!$F$4:$ABM$4,"Часы",INDEX(Техника!$G$1:$ABN$500,P$2,0),$A$102,INDEX(Техника!$H$1:$ABO$500,P$2,0),"Л")</f>
        <v>0</v>
      </c>
      <c r="Q106" s="50">
        <f>SUMIFS(INDEX(Техника!$F$1:$ABM$500,Q$2,0),Техника!$F$4:$ABM$4,"Часы",INDEX(Техника!$G$1:$ABN$500,Q$2,0),$A$102,INDEX(Техника!$H$1:$ABO$500,Q$2,0),"Л")</f>
        <v>0</v>
      </c>
      <c r="R106" s="50">
        <f>SUMIFS(INDEX(Техника!$F$1:$ABM$500,R$2,0),Техника!$F$4:$ABM$4,"Часы",INDEX(Техника!$G$1:$ABN$500,R$2,0),$A$102,INDEX(Техника!$H$1:$ABO$500,R$2,0),"Л")</f>
        <v>0</v>
      </c>
      <c r="S106" s="50">
        <f>SUMIFS(INDEX(Техника!$F$1:$ABM$500,S$2,0),Техника!$F$4:$ABM$4,"Часы",INDEX(Техника!$G$1:$ABN$500,S$2,0),$A$102,INDEX(Техника!$H$1:$ABO$500,S$2,0),"Л")</f>
        <v>0</v>
      </c>
      <c r="T106" s="50">
        <f>SUMIFS(INDEX(Техника!$F$1:$ABM$500,T$2,0),Техника!$F$4:$ABM$4,"Часы",INDEX(Техника!$G$1:$ABN$500,T$2,0),$A$102,INDEX(Техника!$H$1:$ABO$500,T$2,0),"Л")</f>
        <v>0</v>
      </c>
      <c r="U106" s="50">
        <f>SUMIFS(INDEX(Техника!$F$1:$ABM$500,U$2,0),Техника!$F$4:$ABM$4,"Часы",INDEX(Техника!$G$1:$ABN$500,U$2,0),$A$102,INDEX(Техника!$H$1:$ABO$500,U$2,0),"Л")</f>
        <v>0</v>
      </c>
      <c r="V106" s="50">
        <f>SUMIFS(INDEX(Техника!$F$1:$ABM$500,V$2,0),Техника!$F$4:$ABM$4,"Часы",INDEX(Техника!$G$1:$ABN$500,V$2,0),$A$102,INDEX(Техника!$H$1:$ABO$500,V$2,0),"Л")</f>
        <v>0</v>
      </c>
      <c r="W106" s="50">
        <f>SUMIFS(INDEX(Техника!$F$1:$ABM$500,W$2,0),Техника!$F$4:$ABM$4,"Часы",INDEX(Техника!$G$1:$ABN$500,W$2,0),$A$102,INDEX(Техника!$H$1:$ABO$500,W$2,0),"Л")</f>
        <v>0</v>
      </c>
      <c r="X106" s="50">
        <f>SUMIFS(INDEX(Техника!$F$1:$ABM$500,X$2,0),Техника!$F$4:$ABM$4,"Часы",INDEX(Техника!$G$1:$ABN$500,X$2,0),$A$102,INDEX(Техника!$H$1:$ABO$500,X$2,0),"Л")</f>
        <v>0</v>
      </c>
      <c r="Y106" s="50">
        <f>SUMIFS(INDEX(Техника!$F$1:$ABM$500,Y$2,0),Техника!$F$4:$ABM$4,"Часы",INDEX(Техника!$G$1:$ABN$500,Y$2,0),$A$102,INDEX(Техника!$H$1:$ABO$500,Y$2,0),"Л")</f>
        <v>0</v>
      </c>
      <c r="Z106" s="50">
        <f>SUMIFS(INDEX(Техника!$F$1:$ABM$500,Z$2,0),Техника!$F$4:$ABM$4,"Часы",INDEX(Техника!$G$1:$ABN$500,Z$2,0),$A$102,INDEX(Техника!$H$1:$ABO$500,Z$2,0),"Л")</f>
        <v>0</v>
      </c>
      <c r="AA106" s="50">
        <f>SUMIFS(INDEX(Техника!$F$1:$ABM$500,AA$2,0),Техника!$F$4:$ABM$4,"Часы",INDEX(Техника!$G$1:$ABN$500,AA$2,0),$A$102,INDEX(Техника!$H$1:$ABO$500,AA$2,0),"Л")</f>
        <v>0</v>
      </c>
      <c r="AB106" s="50">
        <f>SUMIFS(INDEX(Техника!$F$1:$ABM$500,AB$2,0),Техника!$F$4:$ABM$4,"Часы",INDEX(Техника!$G$1:$ABN$500,AB$2,0),$A$102,INDEX(Техника!$H$1:$ABO$500,AB$2,0),"Л")</f>
        <v>0</v>
      </c>
    </row>
    <row r="107" spans="1:28" hidden="1" outlineLevel="1" x14ac:dyDescent="0.3">
      <c r="A107" s="33" t="s">
        <v>245</v>
      </c>
      <c r="B107" s="34" t="s">
        <v>279</v>
      </c>
      <c r="C107" s="50">
        <f>SUMIFS(INDEX(Техника!$F$1:$ABM$500,C$2,0),Техника!$F$4:$ABM$4,"Часы",INDEX(Техника!$G$1:$ABN$500,C$2,0),$A$102,INDEX(Техника!$H$1:$ABO$500,C$2,0),"З")</f>
        <v>0</v>
      </c>
      <c r="D107" s="50">
        <f>SUMIFS(INDEX(Техника!$F$1:$ABM$500,D$2,0),Техника!$F$4:$ABM$4,"Часы",INDEX(Техника!$G$1:$ABN$500,D$2,0),$A$102,INDEX(Техника!$H$1:$ABO$500,D$2,0),"З")</f>
        <v>0</v>
      </c>
      <c r="E107" s="50">
        <f>SUMIFS(INDEX(Техника!$F$1:$ABM$500,E$2,0),Техника!$F$4:$ABM$4,"Часы",INDEX(Техника!$G$1:$ABN$500,E$2,0),$A$102,INDEX(Техника!$H$1:$ABO$500,E$2,0),"З")</f>
        <v>0</v>
      </c>
      <c r="F107" s="50">
        <f>SUMIFS(INDEX(Техника!$F$1:$ABM$500,F$2,0),Техника!$F$4:$ABM$4,"Часы",INDEX(Техника!$G$1:$ABN$500,F$2,0),$A$102,INDEX(Техника!$H$1:$ABO$500,F$2,0),"З")</f>
        <v>0</v>
      </c>
      <c r="G107" s="50">
        <f>SUMIFS(INDEX(Техника!$F$1:$ABM$500,G$2,0),Техника!$F$4:$ABM$4,"Часы",INDEX(Техника!$G$1:$ABN$500,G$2,0),$A$102,INDEX(Техника!$H$1:$ABO$500,G$2,0),"З")</f>
        <v>0</v>
      </c>
      <c r="H107" s="50">
        <f>SUMIFS(INDEX(Техника!$F$1:$ABM$500,H$2,0),Техника!$F$4:$ABM$4,"Часы",INDEX(Техника!$G$1:$ABN$500,H$2,0),$A$102,INDEX(Техника!$H$1:$ABO$500,H$2,0),"З")</f>
        <v>0</v>
      </c>
      <c r="I107" s="50">
        <f>SUMIFS(INDEX(Техника!$F$1:$ABM$500,I$2,0),Техника!$F$4:$ABM$4,"Часы",INDEX(Техника!$G$1:$ABN$500,I$2,0),$A$102,INDEX(Техника!$H$1:$ABO$500,I$2,0),"З")</f>
        <v>0</v>
      </c>
      <c r="J107" s="50">
        <f>SUMIFS(INDEX(Техника!$F$1:$ABM$500,J$2,0),Техника!$F$4:$ABM$4,"Часы",INDEX(Техника!$G$1:$ABN$500,J$2,0),$A$102,INDEX(Техника!$H$1:$ABO$500,J$2,0),"З")</f>
        <v>0</v>
      </c>
      <c r="K107" s="50">
        <f>SUMIFS(INDEX(Техника!$F$1:$ABM$500,K$2,0),Техника!$F$4:$ABM$4,"Часы",INDEX(Техника!$G$1:$ABN$500,K$2,0),$A$102,INDEX(Техника!$H$1:$ABO$500,K$2,0),"З")</f>
        <v>0</v>
      </c>
      <c r="L107" s="50">
        <f>SUMIFS(INDEX(Техника!$F$1:$ABM$500,L$2,0),Техника!$F$4:$ABM$4,"Часы",INDEX(Техника!$G$1:$ABN$500,L$2,0),$A$102,INDEX(Техника!$H$1:$ABO$500,L$2,0),"З")</f>
        <v>0</v>
      </c>
      <c r="M107" s="50">
        <f>SUMIFS(INDEX(Техника!$F$1:$ABM$500,M$2,0),Техника!$F$4:$ABM$4,"Часы",INDEX(Техника!$G$1:$ABN$500,M$2,0),$A$102,INDEX(Техника!$H$1:$ABO$500,M$2,0),"З")</f>
        <v>0</v>
      </c>
      <c r="N107" s="50">
        <f>SUMIFS(INDEX(Техника!$F$1:$ABM$500,N$2,0),Техника!$F$4:$ABM$4,"Часы",INDEX(Техника!$G$1:$ABN$500,N$2,0),$A$102,INDEX(Техника!$H$1:$ABO$500,N$2,0),"З")</f>
        <v>0</v>
      </c>
      <c r="O107" s="50">
        <f>SUMIFS(INDEX(Техника!$F$1:$ABM$500,O$2,0),Техника!$F$4:$ABM$4,"Часы",INDEX(Техника!$G$1:$ABN$500,O$2,0),$A$102,INDEX(Техника!$H$1:$ABO$500,O$2,0),"З")</f>
        <v>0</v>
      </c>
      <c r="P107" s="50">
        <f>SUMIFS(INDEX(Техника!$F$1:$ABM$500,P$2,0),Техника!$F$4:$ABM$4,"Часы",INDEX(Техника!$G$1:$ABN$500,P$2,0),$A$102,INDEX(Техника!$H$1:$ABO$500,P$2,0),"З")</f>
        <v>0</v>
      </c>
      <c r="Q107" s="50">
        <f>SUMIFS(INDEX(Техника!$F$1:$ABM$500,Q$2,0),Техника!$F$4:$ABM$4,"Часы",INDEX(Техника!$G$1:$ABN$500,Q$2,0),$A$102,INDEX(Техника!$H$1:$ABO$500,Q$2,0),"З")</f>
        <v>0</v>
      </c>
      <c r="R107" s="50">
        <f>SUMIFS(INDEX(Техника!$F$1:$ABM$500,R$2,0),Техника!$F$4:$ABM$4,"Часы",INDEX(Техника!$G$1:$ABN$500,R$2,0),$A$102,INDEX(Техника!$H$1:$ABO$500,R$2,0),"З")</f>
        <v>0</v>
      </c>
      <c r="S107" s="50">
        <f>SUMIFS(INDEX(Техника!$F$1:$ABM$500,S$2,0),Техника!$F$4:$ABM$4,"Часы",INDEX(Техника!$G$1:$ABN$500,S$2,0),$A$102,INDEX(Техника!$H$1:$ABO$500,S$2,0),"З")</f>
        <v>0</v>
      </c>
      <c r="T107" s="50">
        <f>SUMIFS(INDEX(Техника!$F$1:$ABM$500,T$2,0),Техника!$F$4:$ABM$4,"Часы",INDEX(Техника!$G$1:$ABN$500,T$2,0),$A$102,INDEX(Техника!$H$1:$ABO$500,T$2,0),"З")</f>
        <v>0</v>
      </c>
      <c r="U107" s="50">
        <f>SUMIFS(INDEX(Техника!$F$1:$ABM$500,U$2,0),Техника!$F$4:$ABM$4,"Часы",INDEX(Техника!$G$1:$ABN$500,U$2,0),$A$102,INDEX(Техника!$H$1:$ABO$500,U$2,0),"З")</f>
        <v>0</v>
      </c>
      <c r="V107" s="50">
        <f>SUMIFS(INDEX(Техника!$F$1:$ABM$500,V$2,0),Техника!$F$4:$ABM$4,"Часы",INDEX(Техника!$G$1:$ABN$500,V$2,0),$A$102,INDEX(Техника!$H$1:$ABO$500,V$2,0),"З")</f>
        <v>0</v>
      </c>
      <c r="W107" s="50">
        <f>SUMIFS(INDEX(Техника!$F$1:$ABM$500,W$2,0),Техника!$F$4:$ABM$4,"Часы",INDEX(Техника!$G$1:$ABN$500,W$2,0),$A$102,INDEX(Техника!$H$1:$ABO$500,W$2,0),"З")</f>
        <v>0</v>
      </c>
      <c r="X107" s="50">
        <f>SUMIFS(INDEX(Техника!$F$1:$ABM$500,X$2,0),Техника!$F$4:$ABM$4,"Часы",INDEX(Техника!$G$1:$ABN$500,X$2,0),$A$102,INDEX(Техника!$H$1:$ABO$500,X$2,0),"З")</f>
        <v>0</v>
      </c>
      <c r="Y107" s="50">
        <f>SUMIFS(INDEX(Техника!$F$1:$ABM$500,Y$2,0),Техника!$F$4:$ABM$4,"Часы",INDEX(Техника!$G$1:$ABN$500,Y$2,0),$A$102,INDEX(Техника!$H$1:$ABO$500,Y$2,0),"З")</f>
        <v>0</v>
      </c>
      <c r="Z107" s="50">
        <f>SUMIFS(INDEX(Техника!$F$1:$ABM$500,Z$2,0),Техника!$F$4:$ABM$4,"Часы",INDEX(Техника!$G$1:$ABN$500,Z$2,0),$A$102,INDEX(Техника!$H$1:$ABO$500,Z$2,0),"З")</f>
        <v>0</v>
      </c>
      <c r="AA107" s="50">
        <f>SUMIFS(INDEX(Техника!$F$1:$ABM$500,AA$2,0),Техника!$F$4:$ABM$4,"Часы",INDEX(Техника!$G$1:$ABN$500,AA$2,0),$A$102,INDEX(Техника!$H$1:$ABO$500,AA$2,0),"З")</f>
        <v>0</v>
      </c>
      <c r="AB107" s="50">
        <f>SUMIFS(INDEX(Техника!$F$1:$ABM$500,AB$2,0),Техника!$F$4:$ABM$4,"Часы",INDEX(Техника!$G$1:$ABN$500,AB$2,0),$A$102,INDEX(Техника!$H$1:$ABO$500,AB$2,0),"З")</f>
        <v>0</v>
      </c>
    </row>
    <row r="108" spans="1:28" ht="7.95" customHeight="1" x14ac:dyDescent="0.3">
      <c r="A108" s="38"/>
      <c r="B108" s="39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 spans="1:28" ht="25.05" customHeight="1" collapsed="1" x14ac:dyDescent="0.3">
      <c r="A109" s="32">
        <v>16</v>
      </c>
      <c r="B109" s="32" t="s">
        <v>17</v>
      </c>
      <c r="C109" s="49">
        <f>SUM(C110:C114)</f>
        <v>0</v>
      </c>
      <c r="D109" s="49">
        <f>SUM(D110:D114)</f>
        <v>0</v>
      </c>
      <c r="E109" s="49">
        <f>SUM(E110:E114)</f>
        <v>0</v>
      </c>
      <c r="F109" s="49">
        <f>SUM(F110:F114)</f>
        <v>0</v>
      </c>
      <c r="G109" s="49">
        <f>SUM(G110:G114)</f>
        <v>0</v>
      </c>
      <c r="H109" s="49">
        <f>SUM(H110:H114)</f>
        <v>0</v>
      </c>
      <c r="I109" s="49">
        <f>SUM(I110:I114)</f>
        <v>0</v>
      </c>
      <c r="J109" s="49">
        <f>SUM(J110:J114)</f>
        <v>0</v>
      </c>
      <c r="K109" s="49">
        <f>SUM(K110:K114)</f>
        <v>0</v>
      </c>
      <c r="L109" s="49">
        <f>SUM(L110:L114)</f>
        <v>0</v>
      </c>
      <c r="M109" s="49">
        <f>SUM(M110:M114)</f>
        <v>0</v>
      </c>
      <c r="N109" s="49">
        <f>SUM(N110:N114)</f>
        <v>0</v>
      </c>
      <c r="O109" s="49">
        <f>SUM(O110:O114)</f>
        <v>0</v>
      </c>
      <c r="P109" s="49">
        <f>SUM(P110:P114)</f>
        <v>0</v>
      </c>
      <c r="Q109" s="49">
        <f>SUM(Q110:Q114)</f>
        <v>0</v>
      </c>
      <c r="R109" s="49">
        <f>SUM(R110:R114)</f>
        <v>0</v>
      </c>
      <c r="S109" s="49">
        <f>SUM(S110:S114)</f>
        <v>0</v>
      </c>
      <c r="T109" s="49">
        <f>SUM(T110:T114)</f>
        <v>0</v>
      </c>
      <c r="U109" s="49">
        <f>SUM(U110:U114)</f>
        <v>0</v>
      </c>
      <c r="V109" s="49">
        <f>SUM(V110:V114)</f>
        <v>0</v>
      </c>
      <c r="W109" s="49">
        <f>SUM(W110:W114)</f>
        <v>0</v>
      </c>
      <c r="X109" s="49">
        <f>SUM(X110:X114)</f>
        <v>0</v>
      </c>
      <c r="Y109" s="49">
        <f>SUM(Y110:Y114)</f>
        <v>0</v>
      </c>
      <c r="Z109" s="49">
        <f>SUM(Z110:Z114)</f>
        <v>0</v>
      </c>
      <c r="AA109" s="49">
        <f>SUM(AA110:AA114)</f>
        <v>0</v>
      </c>
      <c r="AB109" s="49">
        <f>SUM(AB110:AB114)</f>
        <v>0</v>
      </c>
    </row>
    <row r="110" spans="1:28" hidden="1" outlineLevel="1" x14ac:dyDescent="0.3">
      <c r="A110" s="33" t="s">
        <v>246</v>
      </c>
      <c r="B110" s="34" t="s">
        <v>274</v>
      </c>
      <c r="C110" s="50">
        <f>SUMIFS(INDEX(Техника!$F$1:$ABM$500,C$2,0),Техника!$F$4:$ABM$4,"Часы",INDEX(Техника!$G$1:$ABN$500,C$2,0),$A$109,INDEX(Техника!$H$1:$ABO$500,C$2,0),"М")</f>
        <v>0</v>
      </c>
      <c r="D110" s="50">
        <f>SUMIFS(INDEX(Техника!$F$1:$ABM$500,D$2,0),Техника!$F$4:$ABM$4,"Часы",INDEX(Техника!$G$1:$ABN$500,D$2,0),$A$109,INDEX(Техника!$H$1:$ABO$500,D$2,0),"М")</f>
        <v>0</v>
      </c>
      <c r="E110" s="50">
        <f>SUMIFS(INDEX(Техника!$F$1:$ABM$500,E$2,0),Техника!$F$4:$ABM$4,"Часы",INDEX(Техника!$G$1:$ABN$500,E$2,0),$A$109,INDEX(Техника!$H$1:$ABO$500,E$2,0),"М")</f>
        <v>0</v>
      </c>
      <c r="F110" s="50">
        <f>SUMIFS(INDEX(Техника!$F$1:$ABM$500,F$2,0),Техника!$F$4:$ABM$4,"Часы",INDEX(Техника!$G$1:$ABN$500,F$2,0),$A$109,INDEX(Техника!$H$1:$ABO$500,F$2,0),"М")</f>
        <v>0</v>
      </c>
      <c r="G110" s="50">
        <f>SUMIFS(INDEX(Техника!$F$1:$ABM$500,G$2,0),Техника!$F$4:$ABM$4,"Часы",INDEX(Техника!$G$1:$ABN$500,G$2,0),$A$109,INDEX(Техника!$H$1:$ABO$500,G$2,0),"М")</f>
        <v>0</v>
      </c>
      <c r="H110" s="50">
        <f>SUMIFS(INDEX(Техника!$F$1:$ABM$500,H$2,0),Техника!$F$4:$ABM$4,"Часы",INDEX(Техника!$G$1:$ABN$500,H$2,0),$A$109,INDEX(Техника!$H$1:$ABO$500,H$2,0),"М")</f>
        <v>0</v>
      </c>
      <c r="I110" s="50">
        <f>SUMIFS(INDEX(Техника!$F$1:$ABM$500,I$2,0),Техника!$F$4:$ABM$4,"Часы",INDEX(Техника!$G$1:$ABN$500,I$2,0),$A$109,INDEX(Техника!$H$1:$ABO$500,I$2,0),"М")</f>
        <v>0</v>
      </c>
      <c r="J110" s="50">
        <f>SUMIFS(INDEX(Техника!$F$1:$ABM$500,J$2,0),Техника!$F$4:$ABM$4,"Часы",INDEX(Техника!$G$1:$ABN$500,J$2,0),$A$109,INDEX(Техника!$H$1:$ABO$500,J$2,0),"М")</f>
        <v>0</v>
      </c>
      <c r="K110" s="50">
        <f>SUMIFS(INDEX(Техника!$F$1:$ABM$500,K$2,0),Техника!$F$4:$ABM$4,"Часы",INDEX(Техника!$G$1:$ABN$500,K$2,0),$A$109,INDEX(Техника!$H$1:$ABO$500,K$2,0),"М")</f>
        <v>0</v>
      </c>
      <c r="L110" s="50">
        <f>SUMIFS(INDEX(Техника!$F$1:$ABM$500,L$2,0),Техника!$F$4:$ABM$4,"Часы",INDEX(Техника!$G$1:$ABN$500,L$2,0),$A$109,INDEX(Техника!$H$1:$ABO$500,L$2,0),"М")</f>
        <v>0</v>
      </c>
      <c r="M110" s="50">
        <f>SUMIFS(INDEX(Техника!$F$1:$ABM$500,M$2,0),Техника!$F$4:$ABM$4,"Часы",INDEX(Техника!$G$1:$ABN$500,M$2,0),$A$109,INDEX(Техника!$H$1:$ABO$500,M$2,0),"М")</f>
        <v>0</v>
      </c>
      <c r="N110" s="50">
        <f>SUMIFS(INDEX(Техника!$F$1:$ABM$500,N$2,0),Техника!$F$4:$ABM$4,"Часы",INDEX(Техника!$G$1:$ABN$500,N$2,0),$A$109,INDEX(Техника!$H$1:$ABO$500,N$2,0),"М")</f>
        <v>0</v>
      </c>
      <c r="O110" s="50">
        <f>SUMIFS(INDEX(Техника!$F$1:$ABM$500,O$2,0),Техника!$F$4:$ABM$4,"Часы",INDEX(Техника!$G$1:$ABN$500,O$2,0),$A$109,INDEX(Техника!$H$1:$ABO$500,O$2,0),"М")</f>
        <v>0</v>
      </c>
      <c r="P110" s="50">
        <f>SUMIFS(INDEX(Техника!$F$1:$ABM$500,P$2,0),Техника!$F$4:$ABM$4,"Часы",INDEX(Техника!$G$1:$ABN$500,P$2,0),$A$109,INDEX(Техника!$H$1:$ABO$500,P$2,0),"М")</f>
        <v>0</v>
      </c>
      <c r="Q110" s="50">
        <f>SUMIFS(INDEX(Техника!$F$1:$ABM$500,Q$2,0),Техника!$F$4:$ABM$4,"Часы",INDEX(Техника!$G$1:$ABN$500,Q$2,0),$A$109,INDEX(Техника!$H$1:$ABO$500,Q$2,0),"М")</f>
        <v>0</v>
      </c>
      <c r="R110" s="50">
        <f>SUMIFS(INDEX(Техника!$F$1:$ABM$500,R$2,0),Техника!$F$4:$ABM$4,"Часы",INDEX(Техника!$G$1:$ABN$500,R$2,0),$A$109,INDEX(Техника!$H$1:$ABO$500,R$2,0),"М")</f>
        <v>0</v>
      </c>
      <c r="S110" s="50">
        <f>SUMIFS(INDEX(Техника!$F$1:$ABM$500,S$2,0),Техника!$F$4:$ABM$4,"Часы",INDEX(Техника!$G$1:$ABN$500,S$2,0),$A$109,INDEX(Техника!$H$1:$ABO$500,S$2,0),"М")</f>
        <v>0</v>
      </c>
      <c r="T110" s="50">
        <f>SUMIFS(INDEX(Техника!$F$1:$ABM$500,T$2,0),Техника!$F$4:$ABM$4,"Часы",INDEX(Техника!$G$1:$ABN$500,T$2,0),$A$109,INDEX(Техника!$H$1:$ABO$500,T$2,0),"М")</f>
        <v>0</v>
      </c>
      <c r="U110" s="50">
        <f>SUMIFS(INDEX(Техника!$F$1:$ABM$500,U$2,0),Техника!$F$4:$ABM$4,"Часы",INDEX(Техника!$G$1:$ABN$500,U$2,0),$A$109,INDEX(Техника!$H$1:$ABO$500,U$2,0),"М")</f>
        <v>0</v>
      </c>
      <c r="V110" s="50">
        <f>SUMIFS(INDEX(Техника!$F$1:$ABM$500,V$2,0),Техника!$F$4:$ABM$4,"Часы",INDEX(Техника!$G$1:$ABN$500,V$2,0),$A$109,INDEX(Техника!$H$1:$ABO$500,V$2,0),"М")</f>
        <v>0</v>
      </c>
      <c r="W110" s="50">
        <f>SUMIFS(INDEX(Техника!$F$1:$ABM$500,W$2,0),Техника!$F$4:$ABM$4,"Часы",INDEX(Техника!$G$1:$ABN$500,W$2,0),$A$109,INDEX(Техника!$H$1:$ABO$500,W$2,0),"М")</f>
        <v>0</v>
      </c>
      <c r="X110" s="50">
        <f>SUMIFS(INDEX(Техника!$F$1:$ABM$500,X$2,0),Техника!$F$4:$ABM$4,"Часы",INDEX(Техника!$G$1:$ABN$500,X$2,0),$A$109,INDEX(Техника!$H$1:$ABO$500,X$2,0),"М")</f>
        <v>0</v>
      </c>
      <c r="Y110" s="50">
        <f>SUMIFS(INDEX(Техника!$F$1:$ABM$500,Y$2,0),Техника!$F$4:$ABM$4,"Часы",INDEX(Техника!$G$1:$ABN$500,Y$2,0),$A$109,INDEX(Техника!$H$1:$ABO$500,Y$2,0),"М")</f>
        <v>0</v>
      </c>
      <c r="Z110" s="50">
        <f>SUMIFS(INDEX(Техника!$F$1:$ABM$500,Z$2,0),Техника!$F$4:$ABM$4,"Часы",INDEX(Техника!$G$1:$ABN$500,Z$2,0),$A$109,INDEX(Техника!$H$1:$ABO$500,Z$2,0),"М")</f>
        <v>0</v>
      </c>
      <c r="AA110" s="50">
        <f>SUMIFS(INDEX(Техника!$F$1:$ABM$500,AA$2,0),Техника!$F$4:$ABM$4,"Часы",INDEX(Техника!$G$1:$ABN$500,AA$2,0),$A$109,INDEX(Техника!$H$1:$ABO$500,AA$2,0),"М")</f>
        <v>0</v>
      </c>
      <c r="AB110" s="50">
        <f>SUMIFS(INDEX(Техника!$F$1:$ABM$500,AB$2,0),Техника!$F$4:$ABM$4,"Часы",INDEX(Техника!$G$1:$ABN$500,AB$2,0),$A$109,INDEX(Техника!$H$1:$ABO$500,AB$2,0),"М")</f>
        <v>0</v>
      </c>
    </row>
    <row r="111" spans="1:28" hidden="1" outlineLevel="1" x14ac:dyDescent="0.3">
      <c r="A111" s="33" t="s">
        <v>244</v>
      </c>
      <c r="B111" s="34" t="s">
        <v>275</v>
      </c>
      <c r="C111" s="50">
        <f>SUMIFS(INDEX(Техника!$F$1:$ABM$500,C$2,0),Техника!$F$4:$ABM$4,"Часы",INDEX(Техника!$G$1:$ABN$500,C$2,0),$A$109,INDEX(Техника!$H$1:$ABO$500,C$2,0),"Д")</f>
        <v>0</v>
      </c>
      <c r="D111" s="50">
        <f>SUMIFS(INDEX(Техника!$F$1:$ABM$500,D$2,0),Техника!$F$4:$ABM$4,"Часы",INDEX(Техника!$G$1:$ABN$500,D$2,0),$A$109,INDEX(Техника!$H$1:$ABO$500,D$2,0),"Д")</f>
        <v>0</v>
      </c>
      <c r="E111" s="50">
        <f>SUMIFS(INDEX(Техника!$F$1:$ABM$500,E$2,0),Техника!$F$4:$ABM$4,"Часы",INDEX(Техника!$G$1:$ABN$500,E$2,0),$A$109,INDEX(Техника!$H$1:$ABO$500,E$2,0),"Д")</f>
        <v>0</v>
      </c>
      <c r="F111" s="50">
        <f>SUMIFS(INDEX(Техника!$F$1:$ABM$500,F$2,0),Техника!$F$4:$ABM$4,"Часы",INDEX(Техника!$G$1:$ABN$500,F$2,0),$A$109,INDEX(Техника!$H$1:$ABO$500,F$2,0),"Д")</f>
        <v>0</v>
      </c>
      <c r="G111" s="50">
        <f>SUMIFS(INDEX(Техника!$F$1:$ABM$500,G$2,0),Техника!$F$4:$ABM$4,"Часы",INDEX(Техника!$G$1:$ABN$500,G$2,0),$A$109,INDEX(Техника!$H$1:$ABO$500,G$2,0),"Д")</f>
        <v>0</v>
      </c>
      <c r="H111" s="50">
        <f>SUMIFS(INDEX(Техника!$F$1:$ABM$500,H$2,0),Техника!$F$4:$ABM$4,"Часы",INDEX(Техника!$G$1:$ABN$500,H$2,0),$A$109,INDEX(Техника!$H$1:$ABO$500,H$2,0),"Д")</f>
        <v>0</v>
      </c>
      <c r="I111" s="50">
        <f>SUMIFS(INDEX(Техника!$F$1:$ABM$500,I$2,0),Техника!$F$4:$ABM$4,"Часы",INDEX(Техника!$G$1:$ABN$500,I$2,0),$A$109,INDEX(Техника!$H$1:$ABO$500,I$2,0),"Д")</f>
        <v>0</v>
      </c>
      <c r="J111" s="50">
        <f>SUMIFS(INDEX(Техника!$F$1:$ABM$500,J$2,0),Техника!$F$4:$ABM$4,"Часы",INDEX(Техника!$G$1:$ABN$500,J$2,0),$A$109,INDEX(Техника!$H$1:$ABO$500,J$2,0),"Д")</f>
        <v>0</v>
      </c>
      <c r="K111" s="50">
        <f>SUMIFS(INDEX(Техника!$F$1:$ABM$500,K$2,0),Техника!$F$4:$ABM$4,"Часы",INDEX(Техника!$G$1:$ABN$500,K$2,0),$A$109,INDEX(Техника!$H$1:$ABO$500,K$2,0),"Д")</f>
        <v>0</v>
      </c>
      <c r="L111" s="50">
        <f>SUMIFS(INDEX(Техника!$F$1:$ABM$500,L$2,0),Техника!$F$4:$ABM$4,"Часы",INDEX(Техника!$G$1:$ABN$500,L$2,0),$A$109,INDEX(Техника!$H$1:$ABO$500,L$2,0),"Д")</f>
        <v>0</v>
      </c>
      <c r="M111" s="50">
        <f>SUMIFS(INDEX(Техника!$F$1:$ABM$500,M$2,0),Техника!$F$4:$ABM$4,"Часы",INDEX(Техника!$G$1:$ABN$500,M$2,0),$A$109,INDEX(Техника!$H$1:$ABO$500,M$2,0),"Д")</f>
        <v>0</v>
      </c>
      <c r="N111" s="50">
        <f>SUMIFS(INDEX(Техника!$F$1:$ABM$500,N$2,0),Техника!$F$4:$ABM$4,"Часы",INDEX(Техника!$G$1:$ABN$500,N$2,0),$A$109,INDEX(Техника!$H$1:$ABO$500,N$2,0),"Д")</f>
        <v>0</v>
      </c>
      <c r="O111" s="50">
        <f>SUMIFS(INDEX(Техника!$F$1:$ABM$500,O$2,0),Техника!$F$4:$ABM$4,"Часы",INDEX(Техника!$G$1:$ABN$500,O$2,0),$A$109,INDEX(Техника!$H$1:$ABO$500,O$2,0),"Д")</f>
        <v>0</v>
      </c>
      <c r="P111" s="50">
        <f>SUMIFS(INDEX(Техника!$F$1:$ABM$500,P$2,0),Техника!$F$4:$ABM$4,"Часы",INDEX(Техника!$G$1:$ABN$500,P$2,0),$A$109,INDEX(Техника!$H$1:$ABO$500,P$2,0),"Д")</f>
        <v>0</v>
      </c>
      <c r="Q111" s="50">
        <f>SUMIFS(INDEX(Техника!$F$1:$ABM$500,Q$2,0),Техника!$F$4:$ABM$4,"Часы",INDEX(Техника!$G$1:$ABN$500,Q$2,0),$A$109,INDEX(Техника!$H$1:$ABO$500,Q$2,0),"Д")</f>
        <v>0</v>
      </c>
      <c r="R111" s="50">
        <f>SUMIFS(INDEX(Техника!$F$1:$ABM$500,R$2,0),Техника!$F$4:$ABM$4,"Часы",INDEX(Техника!$G$1:$ABN$500,R$2,0),$A$109,INDEX(Техника!$H$1:$ABO$500,R$2,0),"Д")</f>
        <v>0</v>
      </c>
      <c r="S111" s="50">
        <f>SUMIFS(INDEX(Техника!$F$1:$ABM$500,S$2,0),Техника!$F$4:$ABM$4,"Часы",INDEX(Техника!$G$1:$ABN$500,S$2,0),$A$109,INDEX(Техника!$H$1:$ABO$500,S$2,0),"Д")</f>
        <v>0</v>
      </c>
      <c r="T111" s="50">
        <f>SUMIFS(INDEX(Техника!$F$1:$ABM$500,T$2,0),Техника!$F$4:$ABM$4,"Часы",INDEX(Техника!$G$1:$ABN$500,T$2,0),$A$109,INDEX(Техника!$H$1:$ABO$500,T$2,0),"Д")</f>
        <v>0</v>
      </c>
      <c r="U111" s="50">
        <f>SUMIFS(INDEX(Техника!$F$1:$ABM$500,U$2,0),Техника!$F$4:$ABM$4,"Часы",INDEX(Техника!$G$1:$ABN$500,U$2,0),$A$109,INDEX(Техника!$H$1:$ABO$500,U$2,0),"Д")</f>
        <v>0</v>
      </c>
      <c r="V111" s="50">
        <f>SUMIFS(INDEX(Техника!$F$1:$ABM$500,V$2,0),Техника!$F$4:$ABM$4,"Часы",INDEX(Техника!$G$1:$ABN$500,V$2,0),$A$109,INDEX(Техника!$H$1:$ABO$500,V$2,0),"Д")</f>
        <v>0</v>
      </c>
      <c r="W111" s="50">
        <f>SUMIFS(INDEX(Техника!$F$1:$ABM$500,W$2,0),Техника!$F$4:$ABM$4,"Часы",INDEX(Техника!$G$1:$ABN$500,W$2,0),$A$109,INDEX(Техника!$H$1:$ABO$500,W$2,0),"Д")</f>
        <v>0</v>
      </c>
      <c r="X111" s="50">
        <f>SUMIFS(INDEX(Техника!$F$1:$ABM$500,X$2,0),Техника!$F$4:$ABM$4,"Часы",INDEX(Техника!$G$1:$ABN$500,X$2,0),$A$109,INDEX(Техника!$H$1:$ABO$500,X$2,0),"Д")</f>
        <v>0</v>
      </c>
      <c r="Y111" s="50">
        <f>SUMIFS(INDEX(Техника!$F$1:$ABM$500,Y$2,0),Техника!$F$4:$ABM$4,"Часы",INDEX(Техника!$G$1:$ABN$500,Y$2,0),$A$109,INDEX(Техника!$H$1:$ABO$500,Y$2,0),"Д")</f>
        <v>0</v>
      </c>
      <c r="Z111" s="50">
        <f>SUMIFS(INDEX(Техника!$F$1:$ABM$500,Z$2,0),Техника!$F$4:$ABM$4,"Часы",INDEX(Техника!$G$1:$ABN$500,Z$2,0),$A$109,INDEX(Техника!$H$1:$ABO$500,Z$2,0),"Д")</f>
        <v>0</v>
      </c>
      <c r="AA111" s="50">
        <f>SUMIFS(INDEX(Техника!$F$1:$ABM$500,AA$2,0),Техника!$F$4:$ABM$4,"Часы",INDEX(Техника!$G$1:$ABN$500,AA$2,0),$A$109,INDEX(Техника!$H$1:$ABO$500,AA$2,0),"Д")</f>
        <v>0</v>
      </c>
      <c r="AB111" s="50">
        <f>SUMIFS(INDEX(Техника!$F$1:$ABM$500,AB$2,0),Техника!$F$4:$ABM$4,"Часы",INDEX(Техника!$G$1:$ABN$500,AB$2,0),$A$109,INDEX(Техника!$H$1:$ABO$500,AB$2,0),"Д")</f>
        <v>0</v>
      </c>
    </row>
    <row r="112" spans="1:28" hidden="1" outlineLevel="1" x14ac:dyDescent="0.3">
      <c r="A112" s="33" t="s">
        <v>276</v>
      </c>
      <c r="B112" s="34" t="s">
        <v>277</v>
      </c>
      <c r="C112" s="50">
        <f>SUMIFS(INDEX(Техника!$F$1:$ABM$500,C$2,0),Техника!$F$4:$ABM$4,"Часы",INDEX(Техника!$G$1:$ABN$500,C$2,0),$A$109,INDEX(Техника!$H$1:$ABO$500,C$2,0),"П")</f>
        <v>0</v>
      </c>
      <c r="D112" s="50">
        <f>SUMIFS(INDEX(Техника!$F$1:$ABM$500,D$2,0),Техника!$F$4:$ABM$4,"Часы",INDEX(Техника!$G$1:$ABN$500,D$2,0),$A$109,INDEX(Техника!$H$1:$ABO$500,D$2,0),"П")</f>
        <v>0</v>
      </c>
      <c r="E112" s="50">
        <f>SUMIFS(INDEX(Техника!$F$1:$ABM$500,E$2,0),Техника!$F$4:$ABM$4,"Часы",INDEX(Техника!$G$1:$ABN$500,E$2,0),$A$109,INDEX(Техника!$H$1:$ABO$500,E$2,0),"П")</f>
        <v>0</v>
      </c>
      <c r="F112" s="50">
        <f>SUMIFS(INDEX(Техника!$F$1:$ABM$500,F$2,0),Техника!$F$4:$ABM$4,"Часы",INDEX(Техника!$G$1:$ABN$500,F$2,0),$A$109,INDEX(Техника!$H$1:$ABO$500,F$2,0),"П")</f>
        <v>0</v>
      </c>
      <c r="G112" s="50">
        <f>SUMIFS(INDEX(Техника!$F$1:$ABM$500,G$2,0),Техника!$F$4:$ABM$4,"Часы",INDEX(Техника!$G$1:$ABN$500,G$2,0),$A$109,INDEX(Техника!$H$1:$ABO$500,G$2,0),"П")</f>
        <v>0</v>
      </c>
      <c r="H112" s="50">
        <f>SUMIFS(INDEX(Техника!$F$1:$ABM$500,H$2,0),Техника!$F$4:$ABM$4,"Часы",INDEX(Техника!$G$1:$ABN$500,H$2,0),$A$109,INDEX(Техника!$H$1:$ABO$500,H$2,0),"П")</f>
        <v>0</v>
      </c>
      <c r="I112" s="50">
        <f>SUMIFS(INDEX(Техника!$F$1:$ABM$500,I$2,0),Техника!$F$4:$ABM$4,"Часы",INDEX(Техника!$G$1:$ABN$500,I$2,0),$A$109,INDEX(Техника!$H$1:$ABO$500,I$2,0),"П")</f>
        <v>0</v>
      </c>
      <c r="J112" s="50">
        <f>SUMIFS(INDEX(Техника!$F$1:$ABM$500,J$2,0),Техника!$F$4:$ABM$4,"Часы",INDEX(Техника!$G$1:$ABN$500,J$2,0),$A$109,INDEX(Техника!$H$1:$ABO$500,J$2,0),"П")</f>
        <v>0</v>
      </c>
      <c r="K112" s="50">
        <f>SUMIFS(INDEX(Техника!$F$1:$ABM$500,K$2,0),Техника!$F$4:$ABM$4,"Часы",INDEX(Техника!$G$1:$ABN$500,K$2,0),$A$109,INDEX(Техника!$H$1:$ABO$500,K$2,0),"П")</f>
        <v>0</v>
      </c>
      <c r="L112" s="50">
        <f>SUMIFS(INDEX(Техника!$F$1:$ABM$500,L$2,0),Техника!$F$4:$ABM$4,"Часы",INDEX(Техника!$G$1:$ABN$500,L$2,0),$A$109,INDEX(Техника!$H$1:$ABO$500,L$2,0),"П")</f>
        <v>0</v>
      </c>
      <c r="M112" s="50">
        <f>SUMIFS(INDEX(Техника!$F$1:$ABM$500,M$2,0),Техника!$F$4:$ABM$4,"Часы",INDEX(Техника!$G$1:$ABN$500,M$2,0),$A$109,INDEX(Техника!$H$1:$ABO$500,M$2,0),"П")</f>
        <v>0</v>
      </c>
      <c r="N112" s="50">
        <f>SUMIFS(INDEX(Техника!$F$1:$ABM$500,N$2,0),Техника!$F$4:$ABM$4,"Часы",INDEX(Техника!$G$1:$ABN$500,N$2,0),$A$109,INDEX(Техника!$H$1:$ABO$500,N$2,0),"П")</f>
        <v>0</v>
      </c>
      <c r="O112" s="50">
        <f>SUMIFS(INDEX(Техника!$F$1:$ABM$500,O$2,0),Техника!$F$4:$ABM$4,"Часы",INDEX(Техника!$G$1:$ABN$500,O$2,0),$A$109,INDEX(Техника!$H$1:$ABO$500,O$2,0),"П")</f>
        <v>0</v>
      </c>
      <c r="P112" s="50">
        <f>SUMIFS(INDEX(Техника!$F$1:$ABM$500,P$2,0),Техника!$F$4:$ABM$4,"Часы",INDEX(Техника!$G$1:$ABN$500,P$2,0),$A$109,INDEX(Техника!$H$1:$ABO$500,P$2,0),"П")</f>
        <v>0</v>
      </c>
      <c r="Q112" s="50">
        <f>SUMIFS(INDEX(Техника!$F$1:$ABM$500,Q$2,0),Техника!$F$4:$ABM$4,"Часы",INDEX(Техника!$G$1:$ABN$500,Q$2,0),$A$109,INDEX(Техника!$H$1:$ABO$500,Q$2,0),"П")</f>
        <v>0</v>
      </c>
      <c r="R112" s="50">
        <f>SUMIFS(INDEX(Техника!$F$1:$ABM$500,R$2,0),Техника!$F$4:$ABM$4,"Часы",INDEX(Техника!$G$1:$ABN$500,R$2,0),$A$109,INDEX(Техника!$H$1:$ABO$500,R$2,0),"П")</f>
        <v>0</v>
      </c>
      <c r="S112" s="50">
        <f>SUMIFS(INDEX(Техника!$F$1:$ABM$500,S$2,0),Техника!$F$4:$ABM$4,"Часы",INDEX(Техника!$G$1:$ABN$500,S$2,0),$A$109,INDEX(Техника!$H$1:$ABO$500,S$2,0),"П")</f>
        <v>0</v>
      </c>
      <c r="T112" s="50">
        <f>SUMIFS(INDEX(Техника!$F$1:$ABM$500,T$2,0),Техника!$F$4:$ABM$4,"Часы",INDEX(Техника!$G$1:$ABN$500,T$2,0),$A$109,INDEX(Техника!$H$1:$ABO$500,T$2,0),"П")</f>
        <v>0</v>
      </c>
      <c r="U112" s="50">
        <f>SUMIFS(INDEX(Техника!$F$1:$ABM$500,U$2,0),Техника!$F$4:$ABM$4,"Часы",INDEX(Техника!$G$1:$ABN$500,U$2,0),$A$109,INDEX(Техника!$H$1:$ABO$500,U$2,0),"П")</f>
        <v>0</v>
      </c>
      <c r="V112" s="50">
        <f>SUMIFS(INDEX(Техника!$F$1:$ABM$500,V$2,0),Техника!$F$4:$ABM$4,"Часы",INDEX(Техника!$G$1:$ABN$500,V$2,0),$A$109,INDEX(Техника!$H$1:$ABO$500,V$2,0),"П")</f>
        <v>0</v>
      </c>
      <c r="W112" s="50">
        <f>SUMIFS(INDEX(Техника!$F$1:$ABM$500,W$2,0),Техника!$F$4:$ABM$4,"Часы",INDEX(Техника!$G$1:$ABN$500,W$2,0),$A$109,INDEX(Техника!$H$1:$ABO$500,W$2,0),"П")</f>
        <v>0</v>
      </c>
      <c r="X112" s="50">
        <f>SUMIFS(INDEX(Техника!$F$1:$ABM$500,X$2,0),Техника!$F$4:$ABM$4,"Часы",INDEX(Техника!$G$1:$ABN$500,X$2,0),$A$109,INDEX(Техника!$H$1:$ABO$500,X$2,0),"П")</f>
        <v>0</v>
      </c>
      <c r="Y112" s="50">
        <f>SUMIFS(INDEX(Техника!$F$1:$ABM$500,Y$2,0),Техника!$F$4:$ABM$4,"Часы",INDEX(Техника!$G$1:$ABN$500,Y$2,0),$A$109,INDEX(Техника!$H$1:$ABO$500,Y$2,0),"П")</f>
        <v>0</v>
      </c>
      <c r="Z112" s="50">
        <f>SUMIFS(INDEX(Техника!$F$1:$ABM$500,Z$2,0),Техника!$F$4:$ABM$4,"Часы",INDEX(Техника!$G$1:$ABN$500,Z$2,0),$A$109,INDEX(Техника!$H$1:$ABO$500,Z$2,0),"П")</f>
        <v>0</v>
      </c>
      <c r="AA112" s="50">
        <f>SUMIFS(INDEX(Техника!$F$1:$ABM$500,AA$2,0),Техника!$F$4:$ABM$4,"Часы",INDEX(Техника!$G$1:$ABN$500,AA$2,0),$A$109,INDEX(Техника!$H$1:$ABO$500,AA$2,0),"П")</f>
        <v>0</v>
      </c>
      <c r="AB112" s="50">
        <f>SUMIFS(INDEX(Техника!$F$1:$ABM$500,AB$2,0),Техника!$F$4:$ABM$4,"Часы",INDEX(Техника!$G$1:$ABN$500,AB$2,0),$A$109,INDEX(Техника!$H$1:$ABO$500,AB$2,0),"П")</f>
        <v>0</v>
      </c>
    </row>
    <row r="113" spans="1:28" hidden="1" outlineLevel="1" x14ac:dyDescent="0.3">
      <c r="A113" s="33" t="s">
        <v>243</v>
      </c>
      <c r="B113" s="34" t="s">
        <v>278</v>
      </c>
      <c r="C113" s="50">
        <f>SUMIFS(INDEX(Техника!$F$1:$ABM$500,C$2,0),Техника!$F$4:$ABM$4,"Часы",INDEX(Техника!$G$1:$ABN$500,C$2,0),$A$109,INDEX(Техника!$H$1:$ABO$500,C$2,0),"Л")</f>
        <v>0</v>
      </c>
      <c r="D113" s="50">
        <f>SUMIFS(INDEX(Техника!$F$1:$ABM$500,D$2,0),Техника!$F$4:$ABM$4,"Часы",INDEX(Техника!$G$1:$ABN$500,D$2,0),$A$109,INDEX(Техника!$H$1:$ABO$500,D$2,0),"Л")</f>
        <v>0</v>
      </c>
      <c r="E113" s="50">
        <f>SUMIFS(INDEX(Техника!$F$1:$ABM$500,E$2,0),Техника!$F$4:$ABM$4,"Часы",INDEX(Техника!$G$1:$ABN$500,E$2,0),$A$109,INDEX(Техника!$H$1:$ABO$500,E$2,0),"Л")</f>
        <v>0</v>
      </c>
      <c r="F113" s="50">
        <f>SUMIFS(INDEX(Техника!$F$1:$ABM$500,F$2,0),Техника!$F$4:$ABM$4,"Часы",INDEX(Техника!$G$1:$ABN$500,F$2,0),$A$109,INDEX(Техника!$H$1:$ABO$500,F$2,0),"Л")</f>
        <v>0</v>
      </c>
      <c r="G113" s="50">
        <f>SUMIFS(INDEX(Техника!$F$1:$ABM$500,G$2,0),Техника!$F$4:$ABM$4,"Часы",INDEX(Техника!$G$1:$ABN$500,G$2,0),$A$109,INDEX(Техника!$H$1:$ABO$500,G$2,0),"Л")</f>
        <v>0</v>
      </c>
      <c r="H113" s="50">
        <f>SUMIFS(INDEX(Техника!$F$1:$ABM$500,H$2,0),Техника!$F$4:$ABM$4,"Часы",INDEX(Техника!$G$1:$ABN$500,H$2,0),$A$109,INDEX(Техника!$H$1:$ABO$500,H$2,0),"Л")</f>
        <v>0</v>
      </c>
      <c r="I113" s="50">
        <f>SUMIFS(INDEX(Техника!$F$1:$ABM$500,I$2,0),Техника!$F$4:$ABM$4,"Часы",INDEX(Техника!$G$1:$ABN$500,I$2,0),$A$109,INDEX(Техника!$H$1:$ABO$500,I$2,0),"Л")</f>
        <v>0</v>
      </c>
      <c r="J113" s="50">
        <f>SUMIFS(INDEX(Техника!$F$1:$ABM$500,J$2,0),Техника!$F$4:$ABM$4,"Часы",INDEX(Техника!$G$1:$ABN$500,J$2,0),$A$109,INDEX(Техника!$H$1:$ABO$500,J$2,0),"Л")</f>
        <v>0</v>
      </c>
      <c r="K113" s="50">
        <f>SUMIFS(INDEX(Техника!$F$1:$ABM$500,K$2,0),Техника!$F$4:$ABM$4,"Часы",INDEX(Техника!$G$1:$ABN$500,K$2,0),$A$109,INDEX(Техника!$H$1:$ABO$500,K$2,0),"Л")</f>
        <v>0</v>
      </c>
      <c r="L113" s="50">
        <f>SUMIFS(INDEX(Техника!$F$1:$ABM$500,L$2,0),Техника!$F$4:$ABM$4,"Часы",INDEX(Техника!$G$1:$ABN$500,L$2,0),$A$109,INDEX(Техника!$H$1:$ABO$500,L$2,0),"Л")</f>
        <v>0</v>
      </c>
      <c r="M113" s="50">
        <f>SUMIFS(INDEX(Техника!$F$1:$ABM$500,M$2,0),Техника!$F$4:$ABM$4,"Часы",INDEX(Техника!$G$1:$ABN$500,M$2,0),$A$109,INDEX(Техника!$H$1:$ABO$500,M$2,0),"Л")</f>
        <v>0</v>
      </c>
      <c r="N113" s="50">
        <f>SUMIFS(INDEX(Техника!$F$1:$ABM$500,N$2,0),Техника!$F$4:$ABM$4,"Часы",INDEX(Техника!$G$1:$ABN$500,N$2,0),$A$109,INDEX(Техника!$H$1:$ABO$500,N$2,0),"Л")</f>
        <v>0</v>
      </c>
      <c r="O113" s="50">
        <f>SUMIFS(INDEX(Техника!$F$1:$ABM$500,O$2,0),Техника!$F$4:$ABM$4,"Часы",INDEX(Техника!$G$1:$ABN$500,O$2,0),$A$109,INDEX(Техника!$H$1:$ABO$500,O$2,0),"Л")</f>
        <v>0</v>
      </c>
      <c r="P113" s="50">
        <f>SUMIFS(INDEX(Техника!$F$1:$ABM$500,P$2,0),Техника!$F$4:$ABM$4,"Часы",INDEX(Техника!$G$1:$ABN$500,P$2,0),$A$109,INDEX(Техника!$H$1:$ABO$500,P$2,0),"Л")</f>
        <v>0</v>
      </c>
      <c r="Q113" s="50">
        <f>SUMIFS(INDEX(Техника!$F$1:$ABM$500,Q$2,0),Техника!$F$4:$ABM$4,"Часы",INDEX(Техника!$G$1:$ABN$500,Q$2,0),$A$109,INDEX(Техника!$H$1:$ABO$500,Q$2,0),"Л")</f>
        <v>0</v>
      </c>
      <c r="R113" s="50">
        <f>SUMIFS(INDEX(Техника!$F$1:$ABM$500,R$2,0),Техника!$F$4:$ABM$4,"Часы",INDEX(Техника!$G$1:$ABN$500,R$2,0),$A$109,INDEX(Техника!$H$1:$ABO$500,R$2,0),"Л")</f>
        <v>0</v>
      </c>
      <c r="S113" s="50">
        <f>SUMIFS(INDEX(Техника!$F$1:$ABM$500,S$2,0),Техника!$F$4:$ABM$4,"Часы",INDEX(Техника!$G$1:$ABN$500,S$2,0),$A$109,INDEX(Техника!$H$1:$ABO$500,S$2,0),"Л")</f>
        <v>0</v>
      </c>
      <c r="T113" s="50">
        <f>SUMIFS(INDEX(Техника!$F$1:$ABM$500,T$2,0),Техника!$F$4:$ABM$4,"Часы",INDEX(Техника!$G$1:$ABN$500,T$2,0),$A$109,INDEX(Техника!$H$1:$ABO$500,T$2,0),"Л")</f>
        <v>0</v>
      </c>
      <c r="U113" s="50">
        <f>SUMIFS(INDEX(Техника!$F$1:$ABM$500,U$2,0),Техника!$F$4:$ABM$4,"Часы",INDEX(Техника!$G$1:$ABN$500,U$2,0),$A$109,INDEX(Техника!$H$1:$ABO$500,U$2,0),"Л")</f>
        <v>0</v>
      </c>
      <c r="V113" s="50">
        <f>SUMIFS(INDEX(Техника!$F$1:$ABM$500,V$2,0),Техника!$F$4:$ABM$4,"Часы",INDEX(Техника!$G$1:$ABN$500,V$2,0),$A$109,INDEX(Техника!$H$1:$ABO$500,V$2,0),"Л")</f>
        <v>0</v>
      </c>
      <c r="W113" s="50">
        <f>SUMIFS(INDEX(Техника!$F$1:$ABM$500,W$2,0),Техника!$F$4:$ABM$4,"Часы",INDEX(Техника!$G$1:$ABN$500,W$2,0),$A$109,INDEX(Техника!$H$1:$ABO$500,W$2,0),"Л")</f>
        <v>0</v>
      </c>
      <c r="X113" s="50">
        <f>SUMIFS(INDEX(Техника!$F$1:$ABM$500,X$2,0),Техника!$F$4:$ABM$4,"Часы",INDEX(Техника!$G$1:$ABN$500,X$2,0),$A$109,INDEX(Техника!$H$1:$ABO$500,X$2,0),"Л")</f>
        <v>0</v>
      </c>
      <c r="Y113" s="50">
        <f>SUMIFS(INDEX(Техника!$F$1:$ABM$500,Y$2,0),Техника!$F$4:$ABM$4,"Часы",INDEX(Техника!$G$1:$ABN$500,Y$2,0),$A$109,INDEX(Техника!$H$1:$ABO$500,Y$2,0),"Л")</f>
        <v>0</v>
      </c>
      <c r="Z113" s="50">
        <f>SUMIFS(INDEX(Техника!$F$1:$ABM$500,Z$2,0),Техника!$F$4:$ABM$4,"Часы",INDEX(Техника!$G$1:$ABN$500,Z$2,0),$A$109,INDEX(Техника!$H$1:$ABO$500,Z$2,0),"Л")</f>
        <v>0</v>
      </c>
      <c r="AA113" s="50">
        <f>SUMIFS(INDEX(Техника!$F$1:$ABM$500,AA$2,0),Техника!$F$4:$ABM$4,"Часы",INDEX(Техника!$G$1:$ABN$500,AA$2,0),$A$109,INDEX(Техника!$H$1:$ABO$500,AA$2,0),"Л")</f>
        <v>0</v>
      </c>
      <c r="AB113" s="50">
        <f>SUMIFS(INDEX(Техника!$F$1:$ABM$500,AB$2,0),Техника!$F$4:$ABM$4,"Часы",INDEX(Техника!$G$1:$ABN$500,AB$2,0),$A$109,INDEX(Техника!$H$1:$ABO$500,AB$2,0),"Л")</f>
        <v>0</v>
      </c>
    </row>
    <row r="114" spans="1:28" hidden="1" outlineLevel="1" x14ac:dyDescent="0.3">
      <c r="A114" s="33" t="s">
        <v>245</v>
      </c>
      <c r="B114" s="34" t="s">
        <v>279</v>
      </c>
      <c r="C114" s="50">
        <f>SUMIFS(INDEX(Техника!$F$1:$ABM$500,C$2,0),Техника!$F$4:$ABM$4,"Часы",INDEX(Техника!$G$1:$ABN$500,C$2,0),$A$109,INDEX(Техника!$H$1:$ABO$500,C$2,0),"З")</f>
        <v>0</v>
      </c>
      <c r="D114" s="50">
        <f>SUMIFS(INDEX(Техника!$F$1:$ABM$500,D$2,0),Техника!$F$4:$ABM$4,"Часы",INDEX(Техника!$G$1:$ABN$500,D$2,0),$A$109,INDEX(Техника!$H$1:$ABO$500,D$2,0),"З")</f>
        <v>0</v>
      </c>
      <c r="E114" s="50">
        <f>SUMIFS(INDEX(Техника!$F$1:$ABM$500,E$2,0),Техника!$F$4:$ABM$4,"Часы",INDEX(Техника!$G$1:$ABN$500,E$2,0),$A$109,INDEX(Техника!$H$1:$ABO$500,E$2,0),"З")</f>
        <v>0</v>
      </c>
      <c r="F114" s="50">
        <f>SUMIFS(INDEX(Техника!$F$1:$ABM$500,F$2,0),Техника!$F$4:$ABM$4,"Часы",INDEX(Техника!$G$1:$ABN$500,F$2,0),$A$109,INDEX(Техника!$H$1:$ABO$500,F$2,0),"З")</f>
        <v>0</v>
      </c>
      <c r="G114" s="50">
        <f>SUMIFS(INDEX(Техника!$F$1:$ABM$500,G$2,0),Техника!$F$4:$ABM$4,"Часы",INDEX(Техника!$G$1:$ABN$500,G$2,0),$A$109,INDEX(Техника!$H$1:$ABO$500,G$2,0),"З")</f>
        <v>0</v>
      </c>
      <c r="H114" s="50">
        <f>SUMIFS(INDEX(Техника!$F$1:$ABM$500,H$2,0),Техника!$F$4:$ABM$4,"Часы",INDEX(Техника!$G$1:$ABN$500,H$2,0),$A$109,INDEX(Техника!$H$1:$ABO$500,H$2,0),"З")</f>
        <v>0</v>
      </c>
      <c r="I114" s="50">
        <f>SUMIFS(INDEX(Техника!$F$1:$ABM$500,I$2,0),Техника!$F$4:$ABM$4,"Часы",INDEX(Техника!$G$1:$ABN$500,I$2,0),$A$109,INDEX(Техника!$H$1:$ABO$500,I$2,0),"З")</f>
        <v>0</v>
      </c>
      <c r="J114" s="50">
        <f>SUMIFS(INDEX(Техника!$F$1:$ABM$500,J$2,0),Техника!$F$4:$ABM$4,"Часы",INDEX(Техника!$G$1:$ABN$500,J$2,0),$A$109,INDEX(Техника!$H$1:$ABO$500,J$2,0),"З")</f>
        <v>0</v>
      </c>
      <c r="K114" s="50">
        <f>SUMIFS(INDEX(Техника!$F$1:$ABM$500,K$2,0),Техника!$F$4:$ABM$4,"Часы",INDEX(Техника!$G$1:$ABN$500,K$2,0),$A$109,INDEX(Техника!$H$1:$ABO$500,K$2,0),"З")</f>
        <v>0</v>
      </c>
      <c r="L114" s="50">
        <f>SUMIFS(INDEX(Техника!$F$1:$ABM$500,L$2,0),Техника!$F$4:$ABM$4,"Часы",INDEX(Техника!$G$1:$ABN$500,L$2,0),$A$109,INDEX(Техника!$H$1:$ABO$500,L$2,0),"З")</f>
        <v>0</v>
      </c>
      <c r="M114" s="50">
        <f>SUMIFS(INDEX(Техника!$F$1:$ABM$500,M$2,0),Техника!$F$4:$ABM$4,"Часы",INDEX(Техника!$G$1:$ABN$500,M$2,0),$A$109,INDEX(Техника!$H$1:$ABO$500,M$2,0),"З")</f>
        <v>0</v>
      </c>
      <c r="N114" s="50">
        <f>SUMIFS(INDEX(Техника!$F$1:$ABM$500,N$2,0),Техника!$F$4:$ABM$4,"Часы",INDEX(Техника!$G$1:$ABN$500,N$2,0),$A$109,INDEX(Техника!$H$1:$ABO$500,N$2,0),"З")</f>
        <v>0</v>
      </c>
      <c r="O114" s="50">
        <f>SUMIFS(INDEX(Техника!$F$1:$ABM$500,O$2,0),Техника!$F$4:$ABM$4,"Часы",INDEX(Техника!$G$1:$ABN$500,O$2,0),$A$109,INDEX(Техника!$H$1:$ABO$500,O$2,0),"З")</f>
        <v>0</v>
      </c>
      <c r="P114" s="50">
        <f>SUMIFS(INDEX(Техника!$F$1:$ABM$500,P$2,0),Техника!$F$4:$ABM$4,"Часы",INDEX(Техника!$G$1:$ABN$500,P$2,0),$A$109,INDEX(Техника!$H$1:$ABO$500,P$2,0),"З")</f>
        <v>0</v>
      </c>
      <c r="Q114" s="50">
        <f>SUMIFS(INDEX(Техника!$F$1:$ABM$500,Q$2,0),Техника!$F$4:$ABM$4,"Часы",INDEX(Техника!$G$1:$ABN$500,Q$2,0),$A$109,INDEX(Техника!$H$1:$ABO$500,Q$2,0),"З")</f>
        <v>0</v>
      </c>
      <c r="R114" s="50">
        <f>SUMIFS(INDEX(Техника!$F$1:$ABM$500,R$2,0),Техника!$F$4:$ABM$4,"Часы",INDEX(Техника!$G$1:$ABN$500,R$2,0),$A$109,INDEX(Техника!$H$1:$ABO$500,R$2,0),"З")</f>
        <v>0</v>
      </c>
      <c r="S114" s="50">
        <f>SUMIFS(INDEX(Техника!$F$1:$ABM$500,S$2,0),Техника!$F$4:$ABM$4,"Часы",INDEX(Техника!$G$1:$ABN$500,S$2,0),$A$109,INDEX(Техника!$H$1:$ABO$500,S$2,0),"З")</f>
        <v>0</v>
      </c>
      <c r="T114" s="50">
        <f>SUMIFS(INDEX(Техника!$F$1:$ABM$500,T$2,0),Техника!$F$4:$ABM$4,"Часы",INDEX(Техника!$G$1:$ABN$500,T$2,0),$A$109,INDEX(Техника!$H$1:$ABO$500,T$2,0),"З")</f>
        <v>0</v>
      </c>
      <c r="U114" s="50">
        <f>SUMIFS(INDEX(Техника!$F$1:$ABM$500,U$2,0),Техника!$F$4:$ABM$4,"Часы",INDEX(Техника!$G$1:$ABN$500,U$2,0),$A$109,INDEX(Техника!$H$1:$ABO$500,U$2,0),"З")</f>
        <v>0</v>
      </c>
      <c r="V114" s="50">
        <f>SUMIFS(INDEX(Техника!$F$1:$ABM$500,V$2,0),Техника!$F$4:$ABM$4,"Часы",INDEX(Техника!$G$1:$ABN$500,V$2,0),$A$109,INDEX(Техника!$H$1:$ABO$500,V$2,0),"З")</f>
        <v>0</v>
      </c>
      <c r="W114" s="50">
        <f>SUMIFS(INDEX(Техника!$F$1:$ABM$500,W$2,0),Техника!$F$4:$ABM$4,"Часы",INDEX(Техника!$G$1:$ABN$500,W$2,0),$A$109,INDEX(Техника!$H$1:$ABO$500,W$2,0),"З")</f>
        <v>0</v>
      </c>
      <c r="X114" s="50">
        <f>SUMIFS(INDEX(Техника!$F$1:$ABM$500,X$2,0),Техника!$F$4:$ABM$4,"Часы",INDEX(Техника!$G$1:$ABN$500,X$2,0),$A$109,INDEX(Техника!$H$1:$ABO$500,X$2,0),"З")</f>
        <v>0</v>
      </c>
      <c r="Y114" s="50">
        <f>SUMIFS(INDEX(Техника!$F$1:$ABM$500,Y$2,0),Техника!$F$4:$ABM$4,"Часы",INDEX(Техника!$G$1:$ABN$500,Y$2,0),$A$109,INDEX(Техника!$H$1:$ABO$500,Y$2,0),"З")</f>
        <v>0</v>
      </c>
      <c r="Z114" s="50">
        <f>SUMIFS(INDEX(Техника!$F$1:$ABM$500,Z$2,0),Техника!$F$4:$ABM$4,"Часы",INDEX(Техника!$G$1:$ABN$500,Z$2,0),$A$109,INDEX(Техника!$H$1:$ABO$500,Z$2,0),"З")</f>
        <v>0</v>
      </c>
      <c r="AA114" s="50">
        <f>SUMIFS(INDEX(Техника!$F$1:$ABM$500,AA$2,0),Техника!$F$4:$ABM$4,"Часы",INDEX(Техника!$G$1:$ABN$500,AA$2,0),$A$109,INDEX(Техника!$H$1:$ABO$500,AA$2,0),"З")</f>
        <v>0</v>
      </c>
      <c r="AB114" s="50">
        <f>SUMIFS(INDEX(Техника!$F$1:$ABM$500,AB$2,0),Техника!$F$4:$ABM$4,"Часы",INDEX(Техника!$G$1:$ABN$500,AB$2,0),$A$109,INDEX(Техника!$H$1:$ABO$500,AB$2,0),"З")</f>
        <v>0</v>
      </c>
    </row>
    <row r="115" spans="1:28" ht="7.95" customHeight="1" x14ac:dyDescent="0.3">
      <c r="A115" s="38"/>
      <c r="B115" s="39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spans="1:28" ht="25.05" customHeight="1" collapsed="1" x14ac:dyDescent="0.3">
      <c r="A116" s="32">
        <v>17</v>
      </c>
      <c r="B116" s="32" t="s">
        <v>18</v>
      </c>
      <c r="C116" s="49">
        <f>SUM(C117:C121)</f>
        <v>0</v>
      </c>
      <c r="D116" s="49">
        <f>SUM(D117:D121)</f>
        <v>0</v>
      </c>
      <c r="E116" s="49">
        <f>SUM(E117:E121)</f>
        <v>0</v>
      </c>
      <c r="F116" s="49">
        <f>SUM(F117:F121)</f>
        <v>0</v>
      </c>
      <c r="G116" s="49">
        <f>SUM(G117:G121)</f>
        <v>0</v>
      </c>
      <c r="H116" s="49">
        <f>SUM(H117:H121)</f>
        <v>0</v>
      </c>
      <c r="I116" s="49">
        <f>SUM(I117:I121)</f>
        <v>0</v>
      </c>
      <c r="J116" s="49">
        <f>SUM(J117:J121)</f>
        <v>0</v>
      </c>
      <c r="K116" s="49">
        <f>SUM(K117:K121)</f>
        <v>0</v>
      </c>
      <c r="L116" s="49">
        <f>SUM(L117:L121)</f>
        <v>0</v>
      </c>
      <c r="M116" s="49">
        <f>SUM(M117:M121)</f>
        <v>0</v>
      </c>
      <c r="N116" s="49">
        <f>SUM(N117:N121)</f>
        <v>0</v>
      </c>
      <c r="O116" s="49">
        <f>SUM(O117:O121)</f>
        <v>0</v>
      </c>
      <c r="P116" s="49">
        <f>SUM(P117:P121)</f>
        <v>0</v>
      </c>
      <c r="Q116" s="49">
        <f>SUM(Q117:Q121)</f>
        <v>0</v>
      </c>
      <c r="R116" s="49">
        <f>SUM(R117:R121)</f>
        <v>0</v>
      </c>
      <c r="S116" s="49">
        <f>SUM(S117:S121)</f>
        <v>0</v>
      </c>
      <c r="T116" s="49">
        <f>SUM(T117:T121)</f>
        <v>0</v>
      </c>
      <c r="U116" s="49">
        <f>SUM(U117:U121)</f>
        <v>0</v>
      </c>
      <c r="V116" s="49">
        <f>SUM(V117:V121)</f>
        <v>0</v>
      </c>
      <c r="W116" s="49">
        <f>SUM(W117:W121)</f>
        <v>0</v>
      </c>
      <c r="X116" s="49">
        <f>SUM(X117:X121)</f>
        <v>0</v>
      </c>
      <c r="Y116" s="49">
        <f>SUM(Y117:Y121)</f>
        <v>0</v>
      </c>
      <c r="Z116" s="49">
        <f>SUM(Z117:Z121)</f>
        <v>0</v>
      </c>
      <c r="AA116" s="49">
        <f>SUM(AA117:AA121)</f>
        <v>0</v>
      </c>
      <c r="AB116" s="49">
        <f>SUM(AB117:AB121)</f>
        <v>0</v>
      </c>
    </row>
    <row r="117" spans="1:28" hidden="1" outlineLevel="1" x14ac:dyDescent="0.3">
      <c r="A117" s="33" t="s">
        <v>246</v>
      </c>
      <c r="B117" s="34" t="s">
        <v>274</v>
      </c>
      <c r="C117" s="50">
        <f>SUMIFS(INDEX(Техника!$F$1:$ABM$500,C$2,0),Техника!$F$4:$ABM$4,"Часы",INDEX(Техника!$G$1:$ABN$500,C$2,0),$A$116,INDEX(Техника!$H$1:$ABO$500,C$2,0),"М")</f>
        <v>0</v>
      </c>
      <c r="D117" s="50">
        <f>SUMIFS(INDEX(Техника!$F$1:$ABM$500,D$2,0),Техника!$F$4:$ABM$4,"Часы",INDEX(Техника!$G$1:$ABN$500,D$2,0),$A$116,INDEX(Техника!$H$1:$ABO$500,D$2,0),"М")</f>
        <v>0</v>
      </c>
      <c r="E117" s="50">
        <f>SUMIFS(INDEX(Техника!$F$1:$ABM$500,E$2,0),Техника!$F$4:$ABM$4,"Часы",INDEX(Техника!$G$1:$ABN$500,E$2,0),$A$116,INDEX(Техника!$H$1:$ABO$500,E$2,0),"М")</f>
        <v>0</v>
      </c>
      <c r="F117" s="50">
        <f>SUMIFS(INDEX(Техника!$F$1:$ABM$500,F$2,0),Техника!$F$4:$ABM$4,"Часы",INDEX(Техника!$G$1:$ABN$500,F$2,0),$A$116,INDEX(Техника!$H$1:$ABO$500,F$2,0),"М")</f>
        <v>0</v>
      </c>
      <c r="G117" s="50">
        <f>SUMIFS(INDEX(Техника!$F$1:$ABM$500,G$2,0),Техника!$F$4:$ABM$4,"Часы",INDEX(Техника!$G$1:$ABN$500,G$2,0),$A$116,INDEX(Техника!$H$1:$ABO$500,G$2,0),"М")</f>
        <v>0</v>
      </c>
      <c r="H117" s="50">
        <f>SUMIFS(INDEX(Техника!$F$1:$ABM$500,H$2,0),Техника!$F$4:$ABM$4,"Часы",INDEX(Техника!$G$1:$ABN$500,H$2,0),$A$116,INDEX(Техника!$H$1:$ABO$500,H$2,0),"М")</f>
        <v>0</v>
      </c>
      <c r="I117" s="50">
        <f>SUMIFS(INDEX(Техника!$F$1:$ABM$500,I$2,0),Техника!$F$4:$ABM$4,"Часы",INDEX(Техника!$G$1:$ABN$500,I$2,0),$A$116,INDEX(Техника!$H$1:$ABO$500,I$2,0),"М")</f>
        <v>0</v>
      </c>
      <c r="J117" s="50">
        <f>SUMIFS(INDEX(Техника!$F$1:$ABM$500,J$2,0),Техника!$F$4:$ABM$4,"Часы",INDEX(Техника!$G$1:$ABN$500,J$2,0),$A$116,INDEX(Техника!$H$1:$ABO$500,J$2,0),"М")</f>
        <v>0</v>
      </c>
      <c r="K117" s="50">
        <f>SUMIFS(INDEX(Техника!$F$1:$ABM$500,K$2,0),Техника!$F$4:$ABM$4,"Часы",INDEX(Техника!$G$1:$ABN$500,K$2,0),$A$116,INDEX(Техника!$H$1:$ABO$500,K$2,0),"М")</f>
        <v>0</v>
      </c>
      <c r="L117" s="50">
        <f>SUMIFS(INDEX(Техника!$F$1:$ABM$500,L$2,0),Техника!$F$4:$ABM$4,"Часы",INDEX(Техника!$G$1:$ABN$500,L$2,0),$A$116,INDEX(Техника!$H$1:$ABO$500,L$2,0),"М")</f>
        <v>0</v>
      </c>
      <c r="M117" s="50">
        <f>SUMIFS(INDEX(Техника!$F$1:$ABM$500,M$2,0),Техника!$F$4:$ABM$4,"Часы",INDEX(Техника!$G$1:$ABN$500,M$2,0),$A$116,INDEX(Техника!$H$1:$ABO$500,M$2,0),"М")</f>
        <v>0</v>
      </c>
      <c r="N117" s="50">
        <f>SUMIFS(INDEX(Техника!$F$1:$ABM$500,N$2,0),Техника!$F$4:$ABM$4,"Часы",INDEX(Техника!$G$1:$ABN$500,N$2,0),$A$116,INDEX(Техника!$H$1:$ABO$500,N$2,0),"М")</f>
        <v>0</v>
      </c>
      <c r="O117" s="50">
        <f>SUMIFS(INDEX(Техника!$F$1:$ABM$500,O$2,0),Техника!$F$4:$ABM$4,"Часы",INDEX(Техника!$G$1:$ABN$500,O$2,0),$A$116,INDEX(Техника!$H$1:$ABO$500,O$2,0),"М")</f>
        <v>0</v>
      </c>
      <c r="P117" s="50">
        <f>SUMIFS(INDEX(Техника!$F$1:$ABM$500,P$2,0),Техника!$F$4:$ABM$4,"Часы",INDEX(Техника!$G$1:$ABN$500,P$2,0),$A$116,INDEX(Техника!$H$1:$ABO$500,P$2,0),"М")</f>
        <v>0</v>
      </c>
      <c r="Q117" s="50">
        <f>SUMIFS(INDEX(Техника!$F$1:$ABM$500,Q$2,0),Техника!$F$4:$ABM$4,"Часы",INDEX(Техника!$G$1:$ABN$500,Q$2,0),$A$116,INDEX(Техника!$H$1:$ABO$500,Q$2,0),"М")</f>
        <v>0</v>
      </c>
      <c r="R117" s="50">
        <f>SUMIFS(INDEX(Техника!$F$1:$ABM$500,R$2,0),Техника!$F$4:$ABM$4,"Часы",INDEX(Техника!$G$1:$ABN$500,R$2,0),$A$116,INDEX(Техника!$H$1:$ABO$500,R$2,0),"М")</f>
        <v>0</v>
      </c>
      <c r="S117" s="50">
        <f>SUMIFS(INDEX(Техника!$F$1:$ABM$500,S$2,0),Техника!$F$4:$ABM$4,"Часы",INDEX(Техника!$G$1:$ABN$500,S$2,0),$A$116,INDEX(Техника!$H$1:$ABO$500,S$2,0),"М")</f>
        <v>0</v>
      </c>
      <c r="T117" s="50">
        <f>SUMIFS(INDEX(Техника!$F$1:$ABM$500,T$2,0),Техника!$F$4:$ABM$4,"Часы",INDEX(Техника!$G$1:$ABN$500,T$2,0),$A$116,INDEX(Техника!$H$1:$ABO$500,T$2,0),"М")</f>
        <v>0</v>
      </c>
      <c r="U117" s="50">
        <f>SUMIFS(INDEX(Техника!$F$1:$ABM$500,U$2,0),Техника!$F$4:$ABM$4,"Часы",INDEX(Техника!$G$1:$ABN$500,U$2,0),$A$116,INDEX(Техника!$H$1:$ABO$500,U$2,0),"М")</f>
        <v>0</v>
      </c>
      <c r="V117" s="50">
        <f>SUMIFS(INDEX(Техника!$F$1:$ABM$500,V$2,0),Техника!$F$4:$ABM$4,"Часы",INDEX(Техника!$G$1:$ABN$500,V$2,0),$A$116,INDEX(Техника!$H$1:$ABO$500,V$2,0),"М")</f>
        <v>0</v>
      </c>
      <c r="W117" s="50">
        <f>SUMIFS(INDEX(Техника!$F$1:$ABM$500,W$2,0),Техника!$F$4:$ABM$4,"Часы",INDEX(Техника!$G$1:$ABN$500,W$2,0),$A$116,INDEX(Техника!$H$1:$ABO$500,W$2,0),"М")</f>
        <v>0</v>
      </c>
      <c r="X117" s="50">
        <f>SUMIFS(INDEX(Техника!$F$1:$ABM$500,X$2,0),Техника!$F$4:$ABM$4,"Часы",INDEX(Техника!$G$1:$ABN$500,X$2,0),$A$116,INDEX(Техника!$H$1:$ABO$500,X$2,0),"М")</f>
        <v>0</v>
      </c>
      <c r="Y117" s="50">
        <f>SUMIFS(INDEX(Техника!$F$1:$ABM$500,Y$2,0),Техника!$F$4:$ABM$4,"Часы",INDEX(Техника!$G$1:$ABN$500,Y$2,0),$A$116,INDEX(Техника!$H$1:$ABO$500,Y$2,0),"М")</f>
        <v>0</v>
      </c>
      <c r="Z117" s="50">
        <f>SUMIFS(INDEX(Техника!$F$1:$ABM$500,Z$2,0),Техника!$F$4:$ABM$4,"Часы",INDEX(Техника!$G$1:$ABN$500,Z$2,0),$A$116,INDEX(Техника!$H$1:$ABO$500,Z$2,0),"М")</f>
        <v>0</v>
      </c>
      <c r="AA117" s="50">
        <f>SUMIFS(INDEX(Техника!$F$1:$ABM$500,AA$2,0),Техника!$F$4:$ABM$4,"Часы",INDEX(Техника!$G$1:$ABN$500,AA$2,0),$A$116,INDEX(Техника!$H$1:$ABO$500,AA$2,0),"М")</f>
        <v>0</v>
      </c>
      <c r="AB117" s="50">
        <f>SUMIFS(INDEX(Техника!$F$1:$ABM$500,AB$2,0),Техника!$F$4:$ABM$4,"Часы",INDEX(Техника!$G$1:$ABN$500,AB$2,0),$A$116,INDEX(Техника!$H$1:$ABO$500,AB$2,0),"М")</f>
        <v>0</v>
      </c>
    </row>
    <row r="118" spans="1:28" hidden="1" outlineLevel="1" x14ac:dyDescent="0.3">
      <c r="A118" s="33" t="s">
        <v>244</v>
      </c>
      <c r="B118" s="34" t="s">
        <v>275</v>
      </c>
      <c r="C118" s="50">
        <f>SUMIFS(INDEX(Техника!$F$1:$ABM$500,C$2,0),Техника!$F$4:$ABM$4,"Часы",INDEX(Техника!$G$1:$ABN$500,C$2,0),$A$116,INDEX(Техника!$H$1:$ABO$500,C$2,0),"Д")</f>
        <v>0</v>
      </c>
      <c r="D118" s="50">
        <f>SUMIFS(INDEX(Техника!$F$1:$ABM$500,D$2,0),Техника!$F$4:$ABM$4,"Часы",INDEX(Техника!$G$1:$ABN$500,D$2,0),$A$116,INDEX(Техника!$H$1:$ABO$500,D$2,0),"Д")</f>
        <v>0</v>
      </c>
      <c r="E118" s="50">
        <f>SUMIFS(INDEX(Техника!$F$1:$ABM$500,E$2,0),Техника!$F$4:$ABM$4,"Часы",INDEX(Техника!$G$1:$ABN$500,E$2,0),$A$116,INDEX(Техника!$H$1:$ABO$500,E$2,0),"Д")</f>
        <v>0</v>
      </c>
      <c r="F118" s="50">
        <f>SUMIFS(INDEX(Техника!$F$1:$ABM$500,F$2,0),Техника!$F$4:$ABM$4,"Часы",INDEX(Техника!$G$1:$ABN$500,F$2,0),$A$116,INDEX(Техника!$H$1:$ABO$500,F$2,0),"Д")</f>
        <v>0</v>
      </c>
      <c r="G118" s="50">
        <f>SUMIFS(INDEX(Техника!$F$1:$ABM$500,G$2,0),Техника!$F$4:$ABM$4,"Часы",INDEX(Техника!$G$1:$ABN$500,G$2,0),$A$116,INDEX(Техника!$H$1:$ABO$500,G$2,0),"Д")</f>
        <v>0</v>
      </c>
      <c r="H118" s="50">
        <f>SUMIFS(INDEX(Техника!$F$1:$ABM$500,H$2,0),Техника!$F$4:$ABM$4,"Часы",INDEX(Техника!$G$1:$ABN$500,H$2,0),$A$116,INDEX(Техника!$H$1:$ABO$500,H$2,0),"Д")</f>
        <v>0</v>
      </c>
      <c r="I118" s="50">
        <f>SUMIFS(INDEX(Техника!$F$1:$ABM$500,I$2,0),Техника!$F$4:$ABM$4,"Часы",INDEX(Техника!$G$1:$ABN$500,I$2,0),$A$116,INDEX(Техника!$H$1:$ABO$500,I$2,0),"Д")</f>
        <v>0</v>
      </c>
      <c r="J118" s="50">
        <f>SUMIFS(INDEX(Техника!$F$1:$ABM$500,J$2,0),Техника!$F$4:$ABM$4,"Часы",INDEX(Техника!$G$1:$ABN$500,J$2,0),$A$116,INDEX(Техника!$H$1:$ABO$500,J$2,0),"Д")</f>
        <v>0</v>
      </c>
      <c r="K118" s="50">
        <f>SUMIFS(INDEX(Техника!$F$1:$ABM$500,K$2,0),Техника!$F$4:$ABM$4,"Часы",INDEX(Техника!$G$1:$ABN$500,K$2,0),$A$116,INDEX(Техника!$H$1:$ABO$500,K$2,0),"Д")</f>
        <v>0</v>
      </c>
      <c r="L118" s="50">
        <f>SUMIFS(INDEX(Техника!$F$1:$ABM$500,L$2,0),Техника!$F$4:$ABM$4,"Часы",INDEX(Техника!$G$1:$ABN$500,L$2,0),$A$116,INDEX(Техника!$H$1:$ABO$500,L$2,0),"Д")</f>
        <v>0</v>
      </c>
      <c r="M118" s="50">
        <f>SUMIFS(INDEX(Техника!$F$1:$ABM$500,M$2,0),Техника!$F$4:$ABM$4,"Часы",INDEX(Техника!$G$1:$ABN$500,M$2,0),$A$116,INDEX(Техника!$H$1:$ABO$500,M$2,0),"Д")</f>
        <v>0</v>
      </c>
      <c r="N118" s="50">
        <f>SUMIFS(INDEX(Техника!$F$1:$ABM$500,N$2,0),Техника!$F$4:$ABM$4,"Часы",INDEX(Техника!$G$1:$ABN$500,N$2,0),$A$116,INDEX(Техника!$H$1:$ABO$500,N$2,0),"Д")</f>
        <v>0</v>
      </c>
      <c r="O118" s="50">
        <f>SUMIFS(INDEX(Техника!$F$1:$ABM$500,O$2,0),Техника!$F$4:$ABM$4,"Часы",INDEX(Техника!$G$1:$ABN$500,O$2,0),$A$116,INDEX(Техника!$H$1:$ABO$500,O$2,0),"Д")</f>
        <v>0</v>
      </c>
      <c r="P118" s="50">
        <f>SUMIFS(INDEX(Техника!$F$1:$ABM$500,P$2,0),Техника!$F$4:$ABM$4,"Часы",INDEX(Техника!$G$1:$ABN$500,P$2,0),$A$116,INDEX(Техника!$H$1:$ABO$500,P$2,0),"Д")</f>
        <v>0</v>
      </c>
      <c r="Q118" s="50">
        <f>SUMIFS(INDEX(Техника!$F$1:$ABM$500,Q$2,0),Техника!$F$4:$ABM$4,"Часы",INDEX(Техника!$G$1:$ABN$500,Q$2,0),$A$116,INDEX(Техника!$H$1:$ABO$500,Q$2,0),"Д")</f>
        <v>0</v>
      </c>
      <c r="R118" s="50">
        <f>SUMIFS(INDEX(Техника!$F$1:$ABM$500,R$2,0),Техника!$F$4:$ABM$4,"Часы",INDEX(Техника!$G$1:$ABN$500,R$2,0),$A$116,INDEX(Техника!$H$1:$ABO$500,R$2,0),"Д")</f>
        <v>0</v>
      </c>
      <c r="S118" s="50">
        <f>SUMIFS(INDEX(Техника!$F$1:$ABM$500,S$2,0),Техника!$F$4:$ABM$4,"Часы",INDEX(Техника!$G$1:$ABN$500,S$2,0),$A$116,INDEX(Техника!$H$1:$ABO$500,S$2,0),"Д")</f>
        <v>0</v>
      </c>
      <c r="T118" s="50">
        <f>SUMIFS(INDEX(Техника!$F$1:$ABM$500,T$2,0),Техника!$F$4:$ABM$4,"Часы",INDEX(Техника!$G$1:$ABN$500,T$2,0),$A$116,INDEX(Техника!$H$1:$ABO$500,T$2,0),"Д")</f>
        <v>0</v>
      </c>
      <c r="U118" s="50">
        <f>SUMIFS(INDEX(Техника!$F$1:$ABM$500,U$2,0),Техника!$F$4:$ABM$4,"Часы",INDEX(Техника!$G$1:$ABN$500,U$2,0),$A$116,INDEX(Техника!$H$1:$ABO$500,U$2,0),"Д")</f>
        <v>0</v>
      </c>
      <c r="V118" s="50">
        <f>SUMIFS(INDEX(Техника!$F$1:$ABM$500,V$2,0),Техника!$F$4:$ABM$4,"Часы",INDEX(Техника!$G$1:$ABN$500,V$2,0),$A$116,INDEX(Техника!$H$1:$ABO$500,V$2,0),"Д")</f>
        <v>0</v>
      </c>
      <c r="W118" s="50">
        <f>SUMIFS(INDEX(Техника!$F$1:$ABM$500,W$2,0),Техника!$F$4:$ABM$4,"Часы",INDEX(Техника!$G$1:$ABN$500,W$2,0),$A$116,INDEX(Техника!$H$1:$ABO$500,W$2,0),"Д")</f>
        <v>0</v>
      </c>
      <c r="X118" s="50">
        <f>SUMIFS(INDEX(Техника!$F$1:$ABM$500,X$2,0),Техника!$F$4:$ABM$4,"Часы",INDEX(Техника!$G$1:$ABN$500,X$2,0),$A$116,INDEX(Техника!$H$1:$ABO$500,X$2,0),"Д")</f>
        <v>0</v>
      </c>
      <c r="Y118" s="50">
        <f>SUMIFS(INDEX(Техника!$F$1:$ABM$500,Y$2,0),Техника!$F$4:$ABM$4,"Часы",INDEX(Техника!$G$1:$ABN$500,Y$2,0),$A$116,INDEX(Техника!$H$1:$ABO$500,Y$2,0),"Д")</f>
        <v>0</v>
      </c>
      <c r="Z118" s="50">
        <f>SUMIFS(INDEX(Техника!$F$1:$ABM$500,Z$2,0),Техника!$F$4:$ABM$4,"Часы",INDEX(Техника!$G$1:$ABN$500,Z$2,0),$A$116,INDEX(Техника!$H$1:$ABO$500,Z$2,0),"Д")</f>
        <v>0</v>
      </c>
      <c r="AA118" s="50">
        <f>SUMIFS(INDEX(Техника!$F$1:$ABM$500,AA$2,0),Техника!$F$4:$ABM$4,"Часы",INDEX(Техника!$G$1:$ABN$500,AA$2,0),$A$116,INDEX(Техника!$H$1:$ABO$500,AA$2,0),"Д")</f>
        <v>0</v>
      </c>
      <c r="AB118" s="50">
        <f>SUMIFS(INDEX(Техника!$F$1:$ABM$500,AB$2,0),Техника!$F$4:$ABM$4,"Часы",INDEX(Техника!$G$1:$ABN$500,AB$2,0),$A$116,INDEX(Техника!$H$1:$ABO$500,AB$2,0),"Д")</f>
        <v>0</v>
      </c>
    </row>
    <row r="119" spans="1:28" hidden="1" outlineLevel="1" x14ac:dyDescent="0.3">
      <c r="A119" s="33" t="s">
        <v>276</v>
      </c>
      <c r="B119" s="34" t="s">
        <v>277</v>
      </c>
      <c r="C119" s="50">
        <f>SUMIFS(INDEX(Техника!$F$1:$ABM$500,C$2,0),Техника!$F$4:$ABM$4,"Часы",INDEX(Техника!$G$1:$ABN$500,C$2,0),$A$116,INDEX(Техника!$H$1:$ABO$500,C$2,0),"П")</f>
        <v>0</v>
      </c>
      <c r="D119" s="50">
        <f>SUMIFS(INDEX(Техника!$F$1:$ABM$500,D$2,0),Техника!$F$4:$ABM$4,"Часы",INDEX(Техника!$G$1:$ABN$500,D$2,0),$A$116,INDEX(Техника!$H$1:$ABO$500,D$2,0),"П")</f>
        <v>0</v>
      </c>
      <c r="E119" s="50">
        <f>SUMIFS(INDEX(Техника!$F$1:$ABM$500,E$2,0),Техника!$F$4:$ABM$4,"Часы",INDEX(Техника!$G$1:$ABN$500,E$2,0),$A$116,INDEX(Техника!$H$1:$ABO$500,E$2,0),"П")</f>
        <v>0</v>
      </c>
      <c r="F119" s="50">
        <f>SUMIFS(INDEX(Техника!$F$1:$ABM$500,F$2,0),Техника!$F$4:$ABM$4,"Часы",INDEX(Техника!$G$1:$ABN$500,F$2,0),$A$116,INDEX(Техника!$H$1:$ABO$500,F$2,0),"П")</f>
        <v>0</v>
      </c>
      <c r="G119" s="50">
        <f>SUMIFS(INDEX(Техника!$F$1:$ABM$500,G$2,0),Техника!$F$4:$ABM$4,"Часы",INDEX(Техника!$G$1:$ABN$500,G$2,0),$A$116,INDEX(Техника!$H$1:$ABO$500,G$2,0),"П")</f>
        <v>0</v>
      </c>
      <c r="H119" s="50">
        <f>SUMIFS(INDEX(Техника!$F$1:$ABM$500,H$2,0),Техника!$F$4:$ABM$4,"Часы",INDEX(Техника!$G$1:$ABN$500,H$2,0),$A$116,INDEX(Техника!$H$1:$ABO$500,H$2,0),"П")</f>
        <v>0</v>
      </c>
      <c r="I119" s="50">
        <f>SUMIFS(INDEX(Техника!$F$1:$ABM$500,I$2,0),Техника!$F$4:$ABM$4,"Часы",INDEX(Техника!$G$1:$ABN$500,I$2,0),$A$116,INDEX(Техника!$H$1:$ABO$500,I$2,0),"П")</f>
        <v>0</v>
      </c>
      <c r="J119" s="50">
        <f>SUMIFS(INDEX(Техника!$F$1:$ABM$500,J$2,0),Техника!$F$4:$ABM$4,"Часы",INDEX(Техника!$G$1:$ABN$500,J$2,0),$A$116,INDEX(Техника!$H$1:$ABO$500,J$2,0),"П")</f>
        <v>0</v>
      </c>
      <c r="K119" s="50">
        <f>SUMIFS(INDEX(Техника!$F$1:$ABM$500,K$2,0),Техника!$F$4:$ABM$4,"Часы",INDEX(Техника!$G$1:$ABN$500,K$2,0),$A$116,INDEX(Техника!$H$1:$ABO$500,K$2,0),"П")</f>
        <v>0</v>
      </c>
      <c r="L119" s="50">
        <f>SUMIFS(INDEX(Техника!$F$1:$ABM$500,L$2,0),Техника!$F$4:$ABM$4,"Часы",INDEX(Техника!$G$1:$ABN$500,L$2,0),$A$116,INDEX(Техника!$H$1:$ABO$500,L$2,0),"П")</f>
        <v>0</v>
      </c>
      <c r="M119" s="50">
        <f>SUMIFS(INDEX(Техника!$F$1:$ABM$500,M$2,0),Техника!$F$4:$ABM$4,"Часы",INDEX(Техника!$G$1:$ABN$500,M$2,0),$A$116,INDEX(Техника!$H$1:$ABO$500,M$2,0),"П")</f>
        <v>0</v>
      </c>
      <c r="N119" s="50">
        <f>SUMIFS(INDEX(Техника!$F$1:$ABM$500,N$2,0),Техника!$F$4:$ABM$4,"Часы",INDEX(Техника!$G$1:$ABN$500,N$2,0),$A$116,INDEX(Техника!$H$1:$ABO$500,N$2,0),"П")</f>
        <v>0</v>
      </c>
      <c r="O119" s="50">
        <f>SUMIFS(INDEX(Техника!$F$1:$ABM$500,O$2,0),Техника!$F$4:$ABM$4,"Часы",INDEX(Техника!$G$1:$ABN$500,O$2,0),$A$116,INDEX(Техника!$H$1:$ABO$500,O$2,0),"П")</f>
        <v>0</v>
      </c>
      <c r="P119" s="50">
        <f>SUMIFS(INDEX(Техника!$F$1:$ABM$500,P$2,0),Техника!$F$4:$ABM$4,"Часы",INDEX(Техника!$G$1:$ABN$500,P$2,0),$A$116,INDEX(Техника!$H$1:$ABO$500,P$2,0),"П")</f>
        <v>0</v>
      </c>
      <c r="Q119" s="50">
        <f>SUMIFS(INDEX(Техника!$F$1:$ABM$500,Q$2,0),Техника!$F$4:$ABM$4,"Часы",INDEX(Техника!$G$1:$ABN$500,Q$2,0),$A$116,INDEX(Техника!$H$1:$ABO$500,Q$2,0),"П")</f>
        <v>0</v>
      </c>
      <c r="R119" s="50">
        <f>SUMIFS(INDEX(Техника!$F$1:$ABM$500,R$2,0),Техника!$F$4:$ABM$4,"Часы",INDEX(Техника!$G$1:$ABN$500,R$2,0),$A$116,INDEX(Техника!$H$1:$ABO$500,R$2,0),"П")</f>
        <v>0</v>
      </c>
      <c r="S119" s="50">
        <f>SUMIFS(INDEX(Техника!$F$1:$ABM$500,S$2,0),Техника!$F$4:$ABM$4,"Часы",INDEX(Техника!$G$1:$ABN$500,S$2,0),$A$116,INDEX(Техника!$H$1:$ABO$500,S$2,0),"П")</f>
        <v>0</v>
      </c>
      <c r="T119" s="50">
        <f>SUMIFS(INDEX(Техника!$F$1:$ABM$500,T$2,0),Техника!$F$4:$ABM$4,"Часы",INDEX(Техника!$G$1:$ABN$500,T$2,0),$A$116,INDEX(Техника!$H$1:$ABO$500,T$2,0),"П")</f>
        <v>0</v>
      </c>
      <c r="U119" s="50">
        <f>SUMIFS(INDEX(Техника!$F$1:$ABM$500,U$2,0),Техника!$F$4:$ABM$4,"Часы",INDEX(Техника!$G$1:$ABN$500,U$2,0),$A$116,INDEX(Техника!$H$1:$ABO$500,U$2,0),"П")</f>
        <v>0</v>
      </c>
      <c r="V119" s="50">
        <f>SUMIFS(INDEX(Техника!$F$1:$ABM$500,V$2,0),Техника!$F$4:$ABM$4,"Часы",INDEX(Техника!$G$1:$ABN$500,V$2,0),$A$116,INDEX(Техника!$H$1:$ABO$500,V$2,0),"П")</f>
        <v>0</v>
      </c>
      <c r="W119" s="50">
        <f>SUMIFS(INDEX(Техника!$F$1:$ABM$500,W$2,0),Техника!$F$4:$ABM$4,"Часы",INDEX(Техника!$G$1:$ABN$500,W$2,0),$A$116,INDEX(Техника!$H$1:$ABO$500,W$2,0),"П")</f>
        <v>0</v>
      </c>
      <c r="X119" s="50">
        <f>SUMIFS(INDEX(Техника!$F$1:$ABM$500,X$2,0),Техника!$F$4:$ABM$4,"Часы",INDEX(Техника!$G$1:$ABN$500,X$2,0),$A$116,INDEX(Техника!$H$1:$ABO$500,X$2,0),"П")</f>
        <v>0</v>
      </c>
      <c r="Y119" s="50">
        <f>SUMIFS(INDEX(Техника!$F$1:$ABM$500,Y$2,0),Техника!$F$4:$ABM$4,"Часы",INDEX(Техника!$G$1:$ABN$500,Y$2,0),$A$116,INDEX(Техника!$H$1:$ABO$500,Y$2,0),"П")</f>
        <v>0</v>
      </c>
      <c r="Z119" s="50">
        <f>SUMIFS(INDEX(Техника!$F$1:$ABM$500,Z$2,0),Техника!$F$4:$ABM$4,"Часы",INDEX(Техника!$G$1:$ABN$500,Z$2,0),$A$116,INDEX(Техника!$H$1:$ABO$500,Z$2,0),"П")</f>
        <v>0</v>
      </c>
      <c r="AA119" s="50">
        <f>SUMIFS(INDEX(Техника!$F$1:$ABM$500,AA$2,0),Техника!$F$4:$ABM$4,"Часы",INDEX(Техника!$G$1:$ABN$500,AA$2,0),$A$116,INDEX(Техника!$H$1:$ABO$500,AA$2,0),"П")</f>
        <v>0</v>
      </c>
      <c r="AB119" s="50">
        <f>SUMIFS(INDEX(Техника!$F$1:$ABM$500,AB$2,0),Техника!$F$4:$ABM$4,"Часы",INDEX(Техника!$G$1:$ABN$500,AB$2,0),$A$116,INDEX(Техника!$H$1:$ABO$500,AB$2,0),"П")</f>
        <v>0</v>
      </c>
    </row>
    <row r="120" spans="1:28" hidden="1" outlineLevel="1" x14ac:dyDescent="0.3">
      <c r="A120" s="33" t="s">
        <v>243</v>
      </c>
      <c r="B120" s="34" t="s">
        <v>278</v>
      </c>
      <c r="C120" s="50">
        <f>SUMIFS(INDEX(Техника!$F$1:$ABM$500,C$2,0),Техника!$F$4:$ABM$4,"Часы",INDEX(Техника!$G$1:$ABN$500,C$2,0),$A$116,INDEX(Техника!$H$1:$ABO$500,C$2,0),"Л")</f>
        <v>0</v>
      </c>
      <c r="D120" s="50">
        <f>SUMIFS(INDEX(Техника!$F$1:$ABM$500,D$2,0),Техника!$F$4:$ABM$4,"Часы",INDEX(Техника!$G$1:$ABN$500,D$2,0),$A$116,INDEX(Техника!$H$1:$ABO$500,D$2,0),"Л")</f>
        <v>0</v>
      </c>
      <c r="E120" s="50">
        <f>SUMIFS(INDEX(Техника!$F$1:$ABM$500,E$2,0),Техника!$F$4:$ABM$4,"Часы",INDEX(Техника!$G$1:$ABN$500,E$2,0),$A$116,INDEX(Техника!$H$1:$ABO$500,E$2,0),"Л")</f>
        <v>0</v>
      </c>
      <c r="F120" s="50">
        <f>SUMIFS(INDEX(Техника!$F$1:$ABM$500,F$2,0),Техника!$F$4:$ABM$4,"Часы",INDEX(Техника!$G$1:$ABN$500,F$2,0),$A$116,INDEX(Техника!$H$1:$ABO$500,F$2,0),"Л")</f>
        <v>0</v>
      </c>
      <c r="G120" s="50">
        <f>SUMIFS(INDEX(Техника!$F$1:$ABM$500,G$2,0),Техника!$F$4:$ABM$4,"Часы",INDEX(Техника!$G$1:$ABN$500,G$2,0),$A$116,INDEX(Техника!$H$1:$ABO$500,G$2,0),"Л")</f>
        <v>0</v>
      </c>
      <c r="H120" s="50">
        <f>SUMIFS(INDEX(Техника!$F$1:$ABM$500,H$2,0),Техника!$F$4:$ABM$4,"Часы",INDEX(Техника!$G$1:$ABN$500,H$2,0),$A$116,INDEX(Техника!$H$1:$ABO$500,H$2,0),"Л")</f>
        <v>0</v>
      </c>
      <c r="I120" s="50">
        <f>SUMIFS(INDEX(Техника!$F$1:$ABM$500,I$2,0),Техника!$F$4:$ABM$4,"Часы",INDEX(Техника!$G$1:$ABN$500,I$2,0),$A$116,INDEX(Техника!$H$1:$ABO$500,I$2,0),"Л")</f>
        <v>0</v>
      </c>
      <c r="J120" s="50">
        <f>SUMIFS(INDEX(Техника!$F$1:$ABM$500,J$2,0),Техника!$F$4:$ABM$4,"Часы",INDEX(Техника!$G$1:$ABN$500,J$2,0),$A$116,INDEX(Техника!$H$1:$ABO$500,J$2,0),"Л")</f>
        <v>0</v>
      </c>
      <c r="K120" s="50">
        <f>SUMIFS(INDEX(Техника!$F$1:$ABM$500,K$2,0),Техника!$F$4:$ABM$4,"Часы",INDEX(Техника!$G$1:$ABN$500,K$2,0),$A$116,INDEX(Техника!$H$1:$ABO$500,K$2,0),"Л")</f>
        <v>0</v>
      </c>
      <c r="L120" s="50">
        <f>SUMIFS(INDEX(Техника!$F$1:$ABM$500,L$2,0),Техника!$F$4:$ABM$4,"Часы",INDEX(Техника!$G$1:$ABN$500,L$2,0),$A$116,INDEX(Техника!$H$1:$ABO$500,L$2,0),"Л")</f>
        <v>0</v>
      </c>
      <c r="M120" s="50">
        <f>SUMIFS(INDEX(Техника!$F$1:$ABM$500,M$2,0),Техника!$F$4:$ABM$4,"Часы",INDEX(Техника!$G$1:$ABN$500,M$2,0),$A$116,INDEX(Техника!$H$1:$ABO$500,M$2,0),"Л")</f>
        <v>0</v>
      </c>
      <c r="N120" s="50">
        <f>SUMIFS(INDEX(Техника!$F$1:$ABM$500,N$2,0),Техника!$F$4:$ABM$4,"Часы",INDEX(Техника!$G$1:$ABN$500,N$2,0),$A$116,INDEX(Техника!$H$1:$ABO$500,N$2,0),"Л")</f>
        <v>0</v>
      </c>
      <c r="O120" s="50">
        <f>SUMIFS(INDEX(Техника!$F$1:$ABM$500,O$2,0),Техника!$F$4:$ABM$4,"Часы",INDEX(Техника!$G$1:$ABN$500,O$2,0),$A$116,INDEX(Техника!$H$1:$ABO$500,O$2,0),"Л")</f>
        <v>0</v>
      </c>
      <c r="P120" s="50">
        <f>SUMIFS(INDEX(Техника!$F$1:$ABM$500,P$2,0),Техника!$F$4:$ABM$4,"Часы",INDEX(Техника!$G$1:$ABN$500,P$2,0),$A$116,INDEX(Техника!$H$1:$ABO$500,P$2,0),"Л")</f>
        <v>0</v>
      </c>
      <c r="Q120" s="50">
        <f>SUMIFS(INDEX(Техника!$F$1:$ABM$500,Q$2,0),Техника!$F$4:$ABM$4,"Часы",INDEX(Техника!$G$1:$ABN$500,Q$2,0),$A$116,INDEX(Техника!$H$1:$ABO$500,Q$2,0),"Л")</f>
        <v>0</v>
      </c>
      <c r="R120" s="50">
        <f>SUMIFS(INDEX(Техника!$F$1:$ABM$500,R$2,0),Техника!$F$4:$ABM$4,"Часы",INDEX(Техника!$G$1:$ABN$500,R$2,0),$A$116,INDEX(Техника!$H$1:$ABO$500,R$2,0),"Л")</f>
        <v>0</v>
      </c>
      <c r="S120" s="50">
        <f>SUMIFS(INDEX(Техника!$F$1:$ABM$500,S$2,0),Техника!$F$4:$ABM$4,"Часы",INDEX(Техника!$G$1:$ABN$500,S$2,0),$A$116,INDEX(Техника!$H$1:$ABO$500,S$2,0),"Л")</f>
        <v>0</v>
      </c>
      <c r="T120" s="50">
        <f>SUMIFS(INDEX(Техника!$F$1:$ABM$500,T$2,0),Техника!$F$4:$ABM$4,"Часы",INDEX(Техника!$G$1:$ABN$500,T$2,0),$A$116,INDEX(Техника!$H$1:$ABO$500,T$2,0),"Л")</f>
        <v>0</v>
      </c>
      <c r="U120" s="50">
        <f>SUMIFS(INDEX(Техника!$F$1:$ABM$500,U$2,0),Техника!$F$4:$ABM$4,"Часы",INDEX(Техника!$G$1:$ABN$500,U$2,0),$A$116,INDEX(Техника!$H$1:$ABO$500,U$2,0),"Л")</f>
        <v>0</v>
      </c>
      <c r="V120" s="50">
        <f>SUMIFS(INDEX(Техника!$F$1:$ABM$500,V$2,0),Техника!$F$4:$ABM$4,"Часы",INDEX(Техника!$G$1:$ABN$500,V$2,0),$A$116,INDEX(Техника!$H$1:$ABO$500,V$2,0),"Л")</f>
        <v>0</v>
      </c>
      <c r="W120" s="50">
        <f>SUMIFS(INDEX(Техника!$F$1:$ABM$500,W$2,0),Техника!$F$4:$ABM$4,"Часы",INDEX(Техника!$G$1:$ABN$500,W$2,0),$A$116,INDEX(Техника!$H$1:$ABO$500,W$2,0),"Л")</f>
        <v>0</v>
      </c>
      <c r="X120" s="50">
        <f>SUMIFS(INDEX(Техника!$F$1:$ABM$500,X$2,0),Техника!$F$4:$ABM$4,"Часы",INDEX(Техника!$G$1:$ABN$500,X$2,0),$A$116,INDEX(Техника!$H$1:$ABO$500,X$2,0),"Л")</f>
        <v>0</v>
      </c>
      <c r="Y120" s="50">
        <f>SUMIFS(INDEX(Техника!$F$1:$ABM$500,Y$2,0),Техника!$F$4:$ABM$4,"Часы",INDEX(Техника!$G$1:$ABN$500,Y$2,0),$A$116,INDEX(Техника!$H$1:$ABO$500,Y$2,0),"Л")</f>
        <v>0</v>
      </c>
      <c r="Z120" s="50">
        <f>SUMIFS(INDEX(Техника!$F$1:$ABM$500,Z$2,0),Техника!$F$4:$ABM$4,"Часы",INDEX(Техника!$G$1:$ABN$500,Z$2,0),$A$116,INDEX(Техника!$H$1:$ABO$500,Z$2,0),"Л")</f>
        <v>0</v>
      </c>
      <c r="AA120" s="50">
        <f>SUMIFS(INDEX(Техника!$F$1:$ABM$500,AA$2,0),Техника!$F$4:$ABM$4,"Часы",INDEX(Техника!$G$1:$ABN$500,AA$2,0),$A$116,INDEX(Техника!$H$1:$ABO$500,AA$2,0),"Л")</f>
        <v>0</v>
      </c>
      <c r="AB120" s="50">
        <f>SUMIFS(INDEX(Техника!$F$1:$ABM$500,AB$2,0),Техника!$F$4:$ABM$4,"Часы",INDEX(Техника!$G$1:$ABN$500,AB$2,0),$A$116,INDEX(Техника!$H$1:$ABO$500,AB$2,0),"Л")</f>
        <v>0</v>
      </c>
    </row>
    <row r="121" spans="1:28" hidden="1" outlineLevel="1" x14ac:dyDescent="0.3">
      <c r="A121" s="33" t="s">
        <v>245</v>
      </c>
      <c r="B121" s="34" t="s">
        <v>279</v>
      </c>
      <c r="C121" s="50">
        <f>SUMIFS(INDEX(Техника!$F$1:$ABM$500,C$2,0),Техника!$F$4:$ABM$4,"Часы",INDEX(Техника!$G$1:$ABN$500,C$2,0),$A$116,INDEX(Техника!$H$1:$ABO$500,C$2,0),"З")</f>
        <v>0</v>
      </c>
      <c r="D121" s="50">
        <f>SUMIFS(INDEX(Техника!$F$1:$ABM$500,D$2,0),Техника!$F$4:$ABM$4,"Часы",INDEX(Техника!$G$1:$ABN$500,D$2,0),$A$116,INDEX(Техника!$H$1:$ABO$500,D$2,0),"З")</f>
        <v>0</v>
      </c>
      <c r="E121" s="50">
        <f>SUMIFS(INDEX(Техника!$F$1:$ABM$500,E$2,0),Техника!$F$4:$ABM$4,"Часы",INDEX(Техника!$G$1:$ABN$500,E$2,0),$A$116,INDEX(Техника!$H$1:$ABO$500,E$2,0),"З")</f>
        <v>0</v>
      </c>
      <c r="F121" s="50">
        <f>SUMIFS(INDEX(Техника!$F$1:$ABM$500,F$2,0),Техника!$F$4:$ABM$4,"Часы",INDEX(Техника!$G$1:$ABN$500,F$2,0),$A$116,INDEX(Техника!$H$1:$ABO$500,F$2,0),"З")</f>
        <v>0</v>
      </c>
      <c r="G121" s="50">
        <f>SUMIFS(INDEX(Техника!$F$1:$ABM$500,G$2,0),Техника!$F$4:$ABM$4,"Часы",INDEX(Техника!$G$1:$ABN$500,G$2,0),$A$116,INDEX(Техника!$H$1:$ABO$500,G$2,0),"З")</f>
        <v>0</v>
      </c>
      <c r="H121" s="50">
        <f>SUMIFS(INDEX(Техника!$F$1:$ABM$500,H$2,0),Техника!$F$4:$ABM$4,"Часы",INDEX(Техника!$G$1:$ABN$500,H$2,0),$A$116,INDEX(Техника!$H$1:$ABO$500,H$2,0),"З")</f>
        <v>0</v>
      </c>
      <c r="I121" s="50">
        <f>SUMIFS(INDEX(Техника!$F$1:$ABM$500,I$2,0),Техника!$F$4:$ABM$4,"Часы",INDEX(Техника!$G$1:$ABN$500,I$2,0),$A$116,INDEX(Техника!$H$1:$ABO$500,I$2,0),"З")</f>
        <v>0</v>
      </c>
      <c r="J121" s="50">
        <f>SUMIFS(INDEX(Техника!$F$1:$ABM$500,J$2,0),Техника!$F$4:$ABM$4,"Часы",INDEX(Техника!$G$1:$ABN$500,J$2,0),$A$116,INDEX(Техника!$H$1:$ABO$500,J$2,0),"З")</f>
        <v>0</v>
      </c>
      <c r="K121" s="50">
        <f>SUMIFS(INDEX(Техника!$F$1:$ABM$500,K$2,0),Техника!$F$4:$ABM$4,"Часы",INDEX(Техника!$G$1:$ABN$500,K$2,0),$A$116,INDEX(Техника!$H$1:$ABO$500,K$2,0),"З")</f>
        <v>0</v>
      </c>
      <c r="L121" s="50">
        <f>SUMIFS(INDEX(Техника!$F$1:$ABM$500,L$2,0),Техника!$F$4:$ABM$4,"Часы",INDEX(Техника!$G$1:$ABN$500,L$2,0),$A$116,INDEX(Техника!$H$1:$ABO$500,L$2,0),"З")</f>
        <v>0</v>
      </c>
      <c r="M121" s="50">
        <f>SUMIFS(INDEX(Техника!$F$1:$ABM$500,M$2,0),Техника!$F$4:$ABM$4,"Часы",INDEX(Техника!$G$1:$ABN$500,M$2,0),$A$116,INDEX(Техника!$H$1:$ABO$500,M$2,0),"З")</f>
        <v>0</v>
      </c>
      <c r="N121" s="50">
        <f>SUMIFS(INDEX(Техника!$F$1:$ABM$500,N$2,0),Техника!$F$4:$ABM$4,"Часы",INDEX(Техника!$G$1:$ABN$500,N$2,0),$A$116,INDEX(Техника!$H$1:$ABO$500,N$2,0),"З")</f>
        <v>0</v>
      </c>
      <c r="O121" s="50">
        <f>SUMIFS(INDEX(Техника!$F$1:$ABM$500,O$2,0),Техника!$F$4:$ABM$4,"Часы",INDEX(Техника!$G$1:$ABN$500,O$2,0),$A$116,INDEX(Техника!$H$1:$ABO$500,O$2,0),"З")</f>
        <v>0</v>
      </c>
      <c r="P121" s="50">
        <f>SUMIFS(INDEX(Техника!$F$1:$ABM$500,P$2,0),Техника!$F$4:$ABM$4,"Часы",INDEX(Техника!$G$1:$ABN$500,P$2,0),$A$116,INDEX(Техника!$H$1:$ABO$500,P$2,0),"З")</f>
        <v>0</v>
      </c>
      <c r="Q121" s="50">
        <f>SUMIFS(INDEX(Техника!$F$1:$ABM$500,Q$2,0),Техника!$F$4:$ABM$4,"Часы",INDEX(Техника!$G$1:$ABN$500,Q$2,0),$A$116,INDEX(Техника!$H$1:$ABO$500,Q$2,0),"З")</f>
        <v>0</v>
      </c>
      <c r="R121" s="50">
        <f>SUMIFS(INDEX(Техника!$F$1:$ABM$500,R$2,0),Техника!$F$4:$ABM$4,"Часы",INDEX(Техника!$G$1:$ABN$500,R$2,0),$A$116,INDEX(Техника!$H$1:$ABO$500,R$2,0),"З")</f>
        <v>0</v>
      </c>
      <c r="S121" s="50">
        <f>SUMIFS(INDEX(Техника!$F$1:$ABM$500,S$2,0),Техника!$F$4:$ABM$4,"Часы",INDEX(Техника!$G$1:$ABN$500,S$2,0),$A$116,INDEX(Техника!$H$1:$ABO$500,S$2,0),"З")</f>
        <v>0</v>
      </c>
      <c r="T121" s="50">
        <f>SUMIFS(INDEX(Техника!$F$1:$ABM$500,T$2,0),Техника!$F$4:$ABM$4,"Часы",INDEX(Техника!$G$1:$ABN$500,T$2,0),$A$116,INDEX(Техника!$H$1:$ABO$500,T$2,0),"З")</f>
        <v>0</v>
      </c>
      <c r="U121" s="50">
        <f>SUMIFS(INDEX(Техника!$F$1:$ABM$500,U$2,0),Техника!$F$4:$ABM$4,"Часы",INDEX(Техника!$G$1:$ABN$500,U$2,0),$A$116,INDEX(Техника!$H$1:$ABO$500,U$2,0),"З")</f>
        <v>0</v>
      </c>
      <c r="V121" s="50">
        <f>SUMIFS(INDEX(Техника!$F$1:$ABM$500,V$2,0),Техника!$F$4:$ABM$4,"Часы",INDEX(Техника!$G$1:$ABN$500,V$2,0),$A$116,INDEX(Техника!$H$1:$ABO$500,V$2,0),"З")</f>
        <v>0</v>
      </c>
      <c r="W121" s="50">
        <f>SUMIFS(INDEX(Техника!$F$1:$ABM$500,W$2,0),Техника!$F$4:$ABM$4,"Часы",INDEX(Техника!$G$1:$ABN$500,W$2,0),$A$116,INDEX(Техника!$H$1:$ABO$500,W$2,0),"З")</f>
        <v>0</v>
      </c>
      <c r="X121" s="50">
        <f>SUMIFS(INDEX(Техника!$F$1:$ABM$500,X$2,0),Техника!$F$4:$ABM$4,"Часы",INDEX(Техника!$G$1:$ABN$500,X$2,0),$A$116,INDEX(Техника!$H$1:$ABO$500,X$2,0),"З")</f>
        <v>0</v>
      </c>
      <c r="Y121" s="50">
        <f>SUMIFS(INDEX(Техника!$F$1:$ABM$500,Y$2,0),Техника!$F$4:$ABM$4,"Часы",INDEX(Техника!$G$1:$ABN$500,Y$2,0),$A$116,INDEX(Техника!$H$1:$ABO$500,Y$2,0),"З")</f>
        <v>0</v>
      </c>
      <c r="Z121" s="50">
        <f>SUMIFS(INDEX(Техника!$F$1:$ABM$500,Z$2,0),Техника!$F$4:$ABM$4,"Часы",INDEX(Техника!$G$1:$ABN$500,Z$2,0),$A$116,INDEX(Техника!$H$1:$ABO$500,Z$2,0),"З")</f>
        <v>0</v>
      </c>
      <c r="AA121" s="50">
        <f>SUMIFS(INDEX(Техника!$F$1:$ABM$500,AA$2,0),Техника!$F$4:$ABM$4,"Часы",INDEX(Техника!$G$1:$ABN$500,AA$2,0),$A$116,INDEX(Техника!$H$1:$ABO$500,AA$2,0),"З")</f>
        <v>0</v>
      </c>
      <c r="AB121" s="50">
        <f>SUMIFS(INDEX(Техника!$F$1:$ABM$500,AB$2,0),Техника!$F$4:$ABM$4,"Часы",INDEX(Техника!$G$1:$ABN$500,AB$2,0),$A$116,INDEX(Техника!$H$1:$ABO$500,AB$2,0),"З")</f>
        <v>0</v>
      </c>
    </row>
    <row r="122" spans="1:28" ht="7.95" customHeight="1" x14ac:dyDescent="0.3">
      <c r="A122" s="38"/>
      <c r="B122" s="39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 spans="1:28" ht="25.05" customHeight="1" collapsed="1" x14ac:dyDescent="0.3">
      <c r="A123" s="32">
        <v>18</v>
      </c>
      <c r="B123" s="32" t="s">
        <v>19</v>
      </c>
      <c r="C123" s="49">
        <f>SUM(C124:C128)</f>
        <v>0</v>
      </c>
      <c r="D123" s="49">
        <f>SUM(D124:D128)</f>
        <v>0</v>
      </c>
      <c r="E123" s="49">
        <f>SUM(E124:E128)</f>
        <v>0</v>
      </c>
      <c r="F123" s="49">
        <f>SUM(F124:F128)</f>
        <v>0</v>
      </c>
      <c r="G123" s="49">
        <f>SUM(G124:G128)</f>
        <v>0</v>
      </c>
      <c r="H123" s="49">
        <f>SUM(H124:H128)</f>
        <v>0</v>
      </c>
      <c r="I123" s="49">
        <f>SUM(I124:I128)</f>
        <v>0</v>
      </c>
      <c r="J123" s="49">
        <f>SUM(J124:J128)</f>
        <v>0</v>
      </c>
      <c r="K123" s="49">
        <f>SUM(K124:K128)</f>
        <v>0</v>
      </c>
      <c r="L123" s="49">
        <f>SUM(L124:L128)</f>
        <v>0</v>
      </c>
      <c r="M123" s="49">
        <f>SUM(M124:M128)</f>
        <v>0</v>
      </c>
      <c r="N123" s="49">
        <f>SUM(N124:N128)</f>
        <v>0</v>
      </c>
      <c r="O123" s="49">
        <f>SUM(O124:O128)</f>
        <v>0</v>
      </c>
      <c r="P123" s="49">
        <f>SUM(P124:P128)</f>
        <v>0</v>
      </c>
      <c r="Q123" s="49">
        <f>SUM(Q124:Q128)</f>
        <v>0</v>
      </c>
      <c r="R123" s="49">
        <f>SUM(R124:R128)</f>
        <v>0</v>
      </c>
      <c r="S123" s="49">
        <f>SUM(S124:S128)</f>
        <v>0</v>
      </c>
      <c r="T123" s="49">
        <f>SUM(T124:T128)</f>
        <v>0</v>
      </c>
      <c r="U123" s="49">
        <f>SUM(U124:U128)</f>
        <v>0</v>
      </c>
      <c r="V123" s="49">
        <f>SUM(V124:V128)</f>
        <v>0</v>
      </c>
      <c r="W123" s="49">
        <f>SUM(W124:W128)</f>
        <v>0</v>
      </c>
      <c r="X123" s="49">
        <f>SUM(X124:X128)</f>
        <v>0</v>
      </c>
      <c r="Y123" s="49">
        <f>SUM(Y124:Y128)</f>
        <v>0</v>
      </c>
      <c r="Z123" s="49">
        <f>SUM(Z124:Z128)</f>
        <v>0</v>
      </c>
      <c r="AA123" s="49">
        <f>SUM(AA124:AA128)</f>
        <v>0</v>
      </c>
      <c r="AB123" s="49">
        <f>SUM(AB124:AB128)</f>
        <v>0</v>
      </c>
    </row>
    <row r="124" spans="1:28" hidden="1" outlineLevel="1" x14ac:dyDescent="0.3">
      <c r="A124" s="33" t="s">
        <v>246</v>
      </c>
      <c r="B124" s="34" t="s">
        <v>274</v>
      </c>
      <c r="C124" s="50">
        <f>SUMIFS(INDEX(Техника!$F$1:$ABM$500,C$2,0),Техника!$F$4:$ABM$4,"Часы",INDEX(Техника!$G$1:$ABN$500,C$2,0),$A$123,INDEX(Техника!$H$1:$ABO$500,C$2,0),"М")</f>
        <v>0</v>
      </c>
      <c r="D124" s="50">
        <f>SUMIFS(INDEX(Техника!$F$1:$ABM$500,D$2,0),Техника!$F$4:$ABM$4,"Часы",INDEX(Техника!$G$1:$ABN$500,D$2,0),$A$123,INDEX(Техника!$H$1:$ABO$500,D$2,0),"М")</f>
        <v>0</v>
      </c>
      <c r="E124" s="50">
        <f>SUMIFS(INDEX(Техника!$F$1:$ABM$500,E$2,0),Техника!$F$4:$ABM$4,"Часы",INDEX(Техника!$G$1:$ABN$500,E$2,0),$A$123,INDEX(Техника!$H$1:$ABO$500,E$2,0),"М")</f>
        <v>0</v>
      </c>
      <c r="F124" s="50">
        <f>SUMIFS(INDEX(Техника!$F$1:$ABM$500,F$2,0),Техника!$F$4:$ABM$4,"Часы",INDEX(Техника!$G$1:$ABN$500,F$2,0),$A$123,INDEX(Техника!$H$1:$ABO$500,F$2,0),"М")</f>
        <v>0</v>
      </c>
      <c r="G124" s="50">
        <f>SUMIFS(INDEX(Техника!$F$1:$ABM$500,G$2,0),Техника!$F$4:$ABM$4,"Часы",INDEX(Техника!$G$1:$ABN$500,G$2,0),$A$123,INDEX(Техника!$H$1:$ABO$500,G$2,0),"М")</f>
        <v>0</v>
      </c>
      <c r="H124" s="50">
        <f>SUMIFS(INDEX(Техника!$F$1:$ABM$500,H$2,0),Техника!$F$4:$ABM$4,"Часы",INDEX(Техника!$G$1:$ABN$500,H$2,0),$A$123,INDEX(Техника!$H$1:$ABO$500,H$2,0),"М")</f>
        <v>0</v>
      </c>
      <c r="I124" s="50">
        <f>SUMIFS(INDEX(Техника!$F$1:$ABM$500,I$2,0),Техника!$F$4:$ABM$4,"Часы",INDEX(Техника!$G$1:$ABN$500,I$2,0),$A$123,INDEX(Техника!$H$1:$ABO$500,I$2,0),"М")</f>
        <v>0</v>
      </c>
      <c r="J124" s="50">
        <f>SUMIFS(INDEX(Техника!$F$1:$ABM$500,J$2,0),Техника!$F$4:$ABM$4,"Часы",INDEX(Техника!$G$1:$ABN$500,J$2,0),$A$123,INDEX(Техника!$H$1:$ABO$500,J$2,0),"М")</f>
        <v>0</v>
      </c>
      <c r="K124" s="50">
        <f>SUMIFS(INDEX(Техника!$F$1:$ABM$500,K$2,0),Техника!$F$4:$ABM$4,"Часы",INDEX(Техника!$G$1:$ABN$500,K$2,0),$A$123,INDEX(Техника!$H$1:$ABO$500,K$2,0),"М")</f>
        <v>0</v>
      </c>
      <c r="L124" s="50">
        <f>SUMIFS(INDEX(Техника!$F$1:$ABM$500,L$2,0),Техника!$F$4:$ABM$4,"Часы",INDEX(Техника!$G$1:$ABN$500,L$2,0),$A$123,INDEX(Техника!$H$1:$ABO$500,L$2,0),"М")</f>
        <v>0</v>
      </c>
      <c r="M124" s="50">
        <f>SUMIFS(INDEX(Техника!$F$1:$ABM$500,M$2,0),Техника!$F$4:$ABM$4,"Часы",INDEX(Техника!$G$1:$ABN$500,M$2,0),$A$123,INDEX(Техника!$H$1:$ABO$500,M$2,0),"М")</f>
        <v>0</v>
      </c>
      <c r="N124" s="50">
        <f>SUMIFS(INDEX(Техника!$F$1:$ABM$500,N$2,0),Техника!$F$4:$ABM$4,"Часы",INDEX(Техника!$G$1:$ABN$500,N$2,0),$A$123,INDEX(Техника!$H$1:$ABO$500,N$2,0),"М")</f>
        <v>0</v>
      </c>
      <c r="O124" s="50">
        <f>SUMIFS(INDEX(Техника!$F$1:$ABM$500,O$2,0),Техника!$F$4:$ABM$4,"Часы",INDEX(Техника!$G$1:$ABN$500,O$2,0),$A$123,INDEX(Техника!$H$1:$ABO$500,O$2,0),"М")</f>
        <v>0</v>
      </c>
      <c r="P124" s="50">
        <f>SUMIFS(INDEX(Техника!$F$1:$ABM$500,P$2,0),Техника!$F$4:$ABM$4,"Часы",INDEX(Техника!$G$1:$ABN$500,P$2,0),$A$123,INDEX(Техника!$H$1:$ABO$500,P$2,0),"М")</f>
        <v>0</v>
      </c>
      <c r="Q124" s="50">
        <f>SUMIFS(INDEX(Техника!$F$1:$ABM$500,Q$2,0),Техника!$F$4:$ABM$4,"Часы",INDEX(Техника!$G$1:$ABN$500,Q$2,0),$A$123,INDEX(Техника!$H$1:$ABO$500,Q$2,0),"М")</f>
        <v>0</v>
      </c>
      <c r="R124" s="50">
        <f>SUMIFS(INDEX(Техника!$F$1:$ABM$500,R$2,0),Техника!$F$4:$ABM$4,"Часы",INDEX(Техника!$G$1:$ABN$500,R$2,0),$A$123,INDEX(Техника!$H$1:$ABO$500,R$2,0),"М")</f>
        <v>0</v>
      </c>
      <c r="S124" s="50">
        <f>SUMIFS(INDEX(Техника!$F$1:$ABM$500,S$2,0),Техника!$F$4:$ABM$4,"Часы",INDEX(Техника!$G$1:$ABN$500,S$2,0),$A$123,INDEX(Техника!$H$1:$ABO$500,S$2,0),"М")</f>
        <v>0</v>
      </c>
      <c r="T124" s="50">
        <f>SUMIFS(INDEX(Техника!$F$1:$ABM$500,T$2,0),Техника!$F$4:$ABM$4,"Часы",INDEX(Техника!$G$1:$ABN$500,T$2,0),$A$123,INDEX(Техника!$H$1:$ABO$500,T$2,0),"М")</f>
        <v>0</v>
      </c>
      <c r="U124" s="50">
        <f>SUMIFS(INDEX(Техника!$F$1:$ABM$500,U$2,0),Техника!$F$4:$ABM$4,"Часы",INDEX(Техника!$G$1:$ABN$500,U$2,0),$A$123,INDEX(Техника!$H$1:$ABO$500,U$2,0),"М")</f>
        <v>0</v>
      </c>
      <c r="V124" s="50">
        <f>SUMIFS(INDEX(Техника!$F$1:$ABM$500,V$2,0),Техника!$F$4:$ABM$4,"Часы",INDEX(Техника!$G$1:$ABN$500,V$2,0),$A$123,INDEX(Техника!$H$1:$ABO$500,V$2,0),"М")</f>
        <v>0</v>
      </c>
      <c r="W124" s="50">
        <f>SUMIFS(INDEX(Техника!$F$1:$ABM$500,W$2,0),Техника!$F$4:$ABM$4,"Часы",INDEX(Техника!$G$1:$ABN$500,W$2,0),$A$123,INDEX(Техника!$H$1:$ABO$500,W$2,0),"М")</f>
        <v>0</v>
      </c>
      <c r="X124" s="50">
        <f>SUMIFS(INDEX(Техника!$F$1:$ABM$500,X$2,0),Техника!$F$4:$ABM$4,"Часы",INDEX(Техника!$G$1:$ABN$500,X$2,0),$A$123,INDEX(Техника!$H$1:$ABO$500,X$2,0),"М")</f>
        <v>0</v>
      </c>
      <c r="Y124" s="50">
        <f>SUMIFS(INDEX(Техника!$F$1:$ABM$500,Y$2,0),Техника!$F$4:$ABM$4,"Часы",INDEX(Техника!$G$1:$ABN$500,Y$2,0),$A$123,INDEX(Техника!$H$1:$ABO$500,Y$2,0),"М")</f>
        <v>0</v>
      </c>
      <c r="Z124" s="50">
        <f>SUMIFS(INDEX(Техника!$F$1:$ABM$500,Z$2,0),Техника!$F$4:$ABM$4,"Часы",INDEX(Техника!$G$1:$ABN$500,Z$2,0),$A$123,INDEX(Техника!$H$1:$ABO$500,Z$2,0),"М")</f>
        <v>0</v>
      </c>
      <c r="AA124" s="50">
        <f>SUMIFS(INDEX(Техника!$F$1:$ABM$500,AA$2,0),Техника!$F$4:$ABM$4,"Часы",INDEX(Техника!$G$1:$ABN$500,AA$2,0),$A$123,INDEX(Техника!$H$1:$ABO$500,AA$2,0),"М")</f>
        <v>0</v>
      </c>
      <c r="AB124" s="50">
        <f>SUMIFS(INDEX(Техника!$F$1:$ABM$500,AB$2,0),Техника!$F$4:$ABM$4,"Часы",INDEX(Техника!$G$1:$ABN$500,AB$2,0),$A$123,INDEX(Техника!$H$1:$ABO$500,AB$2,0),"М")</f>
        <v>0</v>
      </c>
    </row>
    <row r="125" spans="1:28" hidden="1" outlineLevel="1" x14ac:dyDescent="0.3">
      <c r="A125" s="33" t="s">
        <v>244</v>
      </c>
      <c r="B125" s="34" t="s">
        <v>275</v>
      </c>
      <c r="C125" s="50">
        <f>SUMIFS(INDEX(Техника!$F$1:$ABM$500,C$2,0),Техника!$F$4:$ABM$4,"Часы",INDEX(Техника!$G$1:$ABN$500,C$2,0),$A$123,INDEX(Техника!$H$1:$ABO$500,C$2,0),"Д")</f>
        <v>0</v>
      </c>
      <c r="D125" s="50">
        <f>SUMIFS(INDEX(Техника!$F$1:$ABM$500,D$2,0),Техника!$F$4:$ABM$4,"Часы",INDEX(Техника!$G$1:$ABN$500,D$2,0),$A$123,INDEX(Техника!$H$1:$ABO$500,D$2,0),"Д")</f>
        <v>0</v>
      </c>
      <c r="E125" s="50">
        <f>SUMIFS(INDEX(Техника!$F$1:$ABM$500,E$2,0),Техника!$F$4:$ABM$4,"Часы",INDEX(Техника!$G$1:$ABN$500,E$2,0),$A$123,INDEX(Техника!$H$1:$ABO$500,E$2,0),"Д")</f>
        <v>0</v>
      </c>
      <c r="F125" s="50">
        <f>SUMIFS(INDEX(Техника!$F$1:$ABM$500,F$2,0),Техника!$F$4:$ABM$4,"Часы",INDEX(Техника!$G$1:$ABN$500,F$2,0),$A$123,INDEX(Техника!$H$1:$ABO$500,F$2,0),"Д")</f>
        <v>0</v>
      </c>
      <c r="G125" s="50">
        <f>SUMIFS(INDEX(Техника!$F$1:$ABM$500,G$2,0),Техника!$F$4:$ABM$4,"Часы",INDEX(Техника!$G$1:$ABN$500,G$2,0),$A$123,INDEX(Техника!$H$1:$ABO$500,G$2,0),"Д")</f>
        <v>0</v>
      </c>
      <c r="H125" s="50">
        <f>SUMIFS(INDEX(Техника!$F$1:$ABM$500,H$2,0),Техника!$F$4:$ABM$4,"Часы",INDEX(Техника!$G$1:$ABN$500,H$2,0),$A$123,INDEX(Техника!$H$1:$ABO$500,H$2,0),"Д")</f>
        <v>0</v>
      </c>
      <c r="I125" s="50">
        <f>SUMIFS(INDEX(Техника!$F$1:$ABM$500,I$2,0),Техника!$F$4:$ABM$4,"Часы",INDEX(Техника!$G$1:$ABN$500,I$2,0),$A$123,INDEX(Техника!$H$1:$ABO$500,I$2,0),"Д")</f>
        <v>0</v>
      </c>
      <c r="J125" s="50">
        <f>SUMIFS(INDEX(Техника!$F$1:$ABM$500,J$2,0),Техника!$F$4:$ABM$4,"Часы",INDEX(Техника!$G$1:$ABN$500,J$2,0),$A$123,INDEX(Техника!$H$1:$ABO$500,J$2,0),"Д")</f>
        <v>0</v>
      </c>
      <c r="K125" s="50">
        <f>SUMIFS(INDEX(Техника!$F$1:$ABM$500,K$2,0),Техника!$F$4:$ABM$4,"Часы",INDEX(Техника!$G$1:$ABN$500,K$2,0),$A$123,INDEX(Техника!$H$1:$ABO$500,K$2,0),"Д")</f>
        <v>0</v>
      </c>
      <c r="L125" s="50">
        <f>SUMIFS(INDEX(Техника!$F$1:$ABM$500,L$2,0),Техника!$F$4:$ABM$4,"Часы",INDEX(Техника!$G$1:$ABN$500,L$2,0),$A$123,INDEX(Техника!$H$1:$ABO$500,L$2,0),"Д")</f>
        <v>0</v>
      </c>
      <c r="M125" s="50">
        <f>SUMIFS(INDEX(Техника!$F$1:$ABM$500,M$2,0),Техника!$F$4:$ABM$4,"Часы",INDEX(Техника!$G$1:$ABN$500,M$2,0),$A$123,INDEX(Техника!$H$1:$ABO$500,M$2,0),"Д")</f>
        <v>0</v>
      </c>
      <c r="N125" s="50">
        <f>SUMIFS(INDEX(Техника!$F$1:$ABM$500,N$2,0),Техника!$F$4:$ABM$4,"Часы",INDEX(Техника!$G$1:$ABN$500,N$2,0),$A$123,INDEX(Техника!$H$1:$ABO$500,N$2,0),"Д")</f>
        <v>0</v>
      </c>
      <c r="O125" s="50">
        <f>SUMIFS(INDEX(Техника!$F$1:$ABM$500,O$2,0),Техника!$F$4:$ABM$4,"Часы",INDEX(Техника!$G$1:$ABN$500,O$2,0),$A$123,INDEX(Техника!$H$1:$ABO$500,O$2,0),"Д")</f>
        <v>0</v>
      </c>
      <c r="P125" s="50">
        <f>SUMIFS(INDEX(Техника!$F$1:$ABM$500,P$2,0),Техника!$F$4:$ABM$4,"Часы",INDEX(Техника!$G$1:$ABN$500,P$2,0),$A$123,INDEX(Техника!$H$1:$ABO$500,P$2,0),"Д")</f>
        <v>0</v>
      </c>
      <c r="Q125" s="50">
        <f>SUMIFS(INDEX(Техника!$F$1:$ABM$500,Q$2,0),Техника!$F$4:$ABM$4,"Часы",INDEX(Техника!$G$1:$ABN$500,Q$2,0),$A$123,INDEX(Техника!$H$1:$ABO$500,Q$2,0),"Д")</f>
        <v>0</v>
      </c>
      <c r="R125" s="50">
        <f>SUMIFS(INDEX(Техника!$F$1:$ABM$500,R$2,0),Техника!$F$4:$ABM$4,"Часы",INDEX(Техника!$G$1:$ABN$500,R$2,0),$A$123,INDEX(Техника!$H$1:$ABO$500,R$2,0),"Д")</f>
        <v>0</v>
      </c>
      <c r="S125" s="50">
        <f>SUMIFS(INDEX(Техника!$F$1:$ABM$500,S$2,0),Техника!$F$4:$ABM$4,"Часы",INDEX(Техника!$G$1:$ABN$500,S$2,0),$A$123,INDEX(Техника!$H$1:$ABO$500,S$2,0),"Д")</f>
        <v>0</v>
      </c>
      <c r="T125" s="50">
        <f>SUMIFS(INDEX(Техника!$F$1:$ABM$500,T$2,0),Техника!$F$4:$ABM$4,"Часы",INDEX(Техника!$G$1:$ABN$500,T$2,0),$A$123,INDEX(Техника!$H$1:$ABO$500,T$2,0),"Д")</f>
        <v>0</v>
      </c>
      <c r="U125" s="50">
        <f>SUMIFS(INDEX(Техника!$F$1:$ABM$500,U$2,0),Техника!$F$4:$ABM$4,"Часы",INDEX(Техника!$G$1:$ABN$500,U$2,0),$A$123,INDEX(Техника!$H$1:$ABO$500,U$2,0),"Д")</f>
        <v>0</v>
      </c>
      <c r="V125" s="50">
        <f>SUMIFS(INDEX(Техника!$F$1:$ABM$500,V$2,0),Техника!$F$4:$ABM$4,"Часы",INDEX(Техника!$G$1:$ABN$500,V$2,0),$A$123,INDEX(Техника!$H$1:$ABO$500,V$2,0),"Д")</f>
        <v>0</v>
      </c>
      <c r="W125" s="50">
        <f>SUMIFS(INDEX(Техника!$F$1:$ABM$500,W$2,0),Техника!$F$4:$ABM$4,"Часы",INDEX(Техника!$G$1:$ABN$500,W$2,0),$A$123,INDEX(Техника!$H$1:$ABO$500,W$2,0),"Д")</f>
        <v>0</v>
      </c>
      <c r="X125" s="50">
        <f>SUMIFS(INDEX(Техника!$F$1:$ABM$500,X$2,0),Техника!$F$4:$ABM$4,"Часы",INDEX(Техника!$G$1:$ABN$500,X$2,0),$A$123,INDEX(Техника!$H$1:$ABO$500,X$2,0),"Д")</f>
        <v>0</v>
      </c>
      <c r="Y125" s="50">
        <f>SUMIFS(INDEX(Техника!$F$1:$ABM$500,Y$2,0),Техника!$F$4:$ABM$4,"Часы",INDEX(Техника!$G$1:$ABN$500,Y$2,0),$A$123,INDEX(Техника!$H$1:$ABO$500,Y$2,0),"Д")</f>
        <v>0</v>
      </c>
      <c r="Z125" s="50">
        <f>SUMIFS(INDEX(Техника!$F$1:$ABM$500,Z$2,0),Техника!$F$4:$ABM$4,"Часы",INDEX(Техника!$G$1:$ABN$500,Z$2,0),$A$123,INDEX(Техника!$H$1:$ABO$500,Z$2,0),"Д")</f>
        <v>0</v>
      </c>
      <c r="AA125" s="50">
        <f>SUMIFS(INDEX(Техника!$F$1:$ABM$500,AA$2,0),Техника!$F$4:$ABM$4,"Часы",INDEX(Техника!$G$1:$ABN$500,AA$2,0),$A$123,INDEX(Техника!$H$1:$ABO$500,AA$2,0),"Д")</f>
        <v>0</v>
      </c>
      <c r="AB125" s="50">
        <f>SUMIFS(INDEX(Техника!$F$1:$ABM$500,AB$2,0),Техника!$F$4:$ABM$4,"Часы",INDEX(Техника!$G$1:$ABN$500,AB$2,0),$A$123,INDEX(Техника!$H$1:$ABO$500,AB$2,0),"Д")</f>
        <v>0</v>
      </c>
    </row>
    <row r="126" spans="1:28" hidden="1" outlineLevel="1" x14ac:dyDescent="0.3">
      <c r="A126" s="33" t="s">
        <v>276</v>
      </c>
      <c r="B126" s="34" t="s">
        <v>277</v>
      </c>
      <c r="C126" s="50">
        <f>SUMIFS(INDEX(Техника!$F$1:$ABM$500,C$2,0),Техника!$F$4:$ABM$4,"Часы",INDEX(Техника!$G$1:$ABN$500,C$2,0),$A$123,INDEX(Техника!$H$1:$ABO$500,C$2,0),"П")</f>
        <v>0</v>
      </c>
      <c r="D126" s="50">
        <f>SUMIFS(INDEX(Техника!$F$1:$ABM$500,D$2,0),Техника!$F$4:$ABM$4,"Часы",INDEX(Техника!$G$1:$ABN$500,D$2,0),$A$123,INDEX(Техника!$H$1:$ABO$500,D$2,0),"П")</f>
        <v>0</v>
      </c>
      <c r="E126" s="50">
        <f>SUMIFS(INDEX(Техника!$F$1:$ABM$500,E$2,0),Техника!$F$4:$ABM$4,"Часы",INDEX(Техника!$G$1:$ABN$500,E$2,0),$A$123,INDEX(Техника!$H$1:$ABO$500,E$2,0),"П")</f>
        <v>0</v>
      </c>
      <c r="F126" s="50">
        <f>SUMIFS(INDEX(Техника!$F$1:$ABM$500,F$2,0),Техника!$F$4:$ABM$4,"Часы",INDEX(Техника!$G$1:$ABN$500,F$2,0),$A$123,INDEX(Техника!$H$1:$ABO$500,F$2,0),"П")</f>
        <v>0</v>
      </c>
      <c r="G126" s="50">
        <f>SUMIFS(INDEX(Техника!$F$1:$ABM$500,G$2,0),Техника!$F$4:$ABM$4,"Часы",INDEX(Техника!$G$1:$ABN$500,G$2,0),$A$123,INDEX(Техника!$H$1:$ABO$500,G$2,0),"П")</f>
        <v>0</v>
      </c>
      <c r="H126" s="50">
        <f>SUMIFS(INDEX(Техника!$F$1:$ABM$500,H$2,0),Техника!$F$4:$ABM$4,"Часы",INDEX(Техника!$G$1:$ABN$500,H$2,0),$A$123,INDEX(Техника!$H$1:$ABO$500,H$2,0),"П")</f>
        <v>0</v>
      </c>
      <c r="I126" s="50">
        <f>SUMIFS(INDEX(Техника!$F$1:$ABM$500,I$2,0),Техника!$F$4:$ABM$4,"Часы",INDEX(Техника!$G$1:$ABN$500,I$2,0),$A$123,INDEX(Техника!$H$1:$ABO$500,I$2,0),"П")</f>
        <v>0</v>
      </c>
      <c r="J126" s="50">
        <f>SUMIFS(INDEX(Техника!$F$1:$ABM$500,J$2,0),Техника!$F$4:$ABM$4,"Часы",INDEX(Техника!$G$1:$ABN$500,J$2,0),$A$123,INDEX(Техника!$H$1:$ABO$500,J$2,0),"П")</f>
        <v>0</v>
      </c>
      <c r="K126" s="50">
        <f>SUMIFS(INDEX(Техника!$F$1:$ABM$500,K$2,0),Техника!$F$4:$ABM$4,"Часы",INDEX(Техника!$G$1:$ABN$500,K$2,0),$A$123,INDEX(Техника!$H$1:$ABO$500,K$2,0),"П")</f>
        <v>0</v>
      </c>
      <c r="L126" s="50">
        <f>SUMIFS(INDEX(Техника!$F$1:$ABM$500,L$2,0),Техника!$F$4:$ABM$4,"Часы",INDEX(Техника!$G$1:$ABN$500,L$2,0),$A$123,INDEX(Техника!$H$1:$ABO$500,L$2,0),"П")</f>
        <v>0</v>
      </c>
      <c r="M126" s="50">
        <f>SUMIFS(INDEX(Техника!$F$1:$ABM$500,M$2,0),Техника!$F$4:$ABM$4,"Часы",INDEX(Техника!$G$1:$ABN$500,M$2,0),$A$123,INDEX(Техника!$H$1:$ABO$500,M$2,0),"П")</f>
        <v>0</v>
      </c>
      <c r="N126" s="50">
        <f>SUMIFS(INDEX(Техника!$F$1:$ABM$500,N$2,0),Техника!$F$4:$ABM$4,"Часы",INDEX(Техника!$G$1:$ABN$500,N$2,0),$A$123,INDEX(Техника!$H$1:$ABO$500,N$2,0),"П")</f>
        <v>0</v>
      </c>
      <c r="O126" s="50">
        <f>SUMIFS(INDEX(Техника!$F$1:$ABM$500,O$2,0),Техника!$F$4:$ABM$4,"Часы",INDEX(Техника!$G$1:$ABN$500,O$2,0),$A$123,INDEX(Техника!$H$1:$ABO$500,O$2,0),"П")</f>
        <v>0</v>
      </c>
      <c r="P126" s="50">
        <f>SUMIFS(INDEX(Техника!$F$1:$ABM$500,P$2,0),Техника!$F$4:$ABM$4,"Часы",INDEX(Техника!$G$1:$ABN$500,P$2,0),$A$123,INDEX(Техника!$H$1:$ABO$500,P$2,0),"П")</f>
        <v>0</v>
      </c>
      <c r="Q126" s="50">
        <f>SUMIFS(INDEX(Техника!$F$1:$ABM$500,Q$2,0),Техника!$F$4:$ABM$4,"Часы",INDEX(Техника!$G$1:$ABN$500,Q$2,0),$A$123,INDEX(Техника!$H$1:$ABO$500,Q$2,0),"П")</f>
        <v>0</v>
      </c>
      <c r="R126" s="50">
        <f>SUMIFS(INDEX(Техника!$F$1:$ABM$500,R$2,0),Техника!$F$4:$ABM$4,"Часы",INDEX(Техника!$G$1:$ABN$500,R$2,0),$A$123,INDEX(Техника!$H$1:$ABO$500,R$2,0),"П")</f>
        <v>0</v>
      </c>
      <c r="S126" s="50">
        <f>SUMIFS(INDEX(Техника!$F$1:$ABM$500,S$2,0),Техника!$F$4:$ABM$4,"Часы",INDEX(Техника!$G$1:$ABN$500,S$2,0),$A$123,INDEX(Техника!$H$1:$ABO$500,S$2,0),"П")</f>
        <v>0</v>
      </c>
      <c r="T126" s="50">
        <f>SUMIFS(INDEX(Техника!$F$1:$ABM$500,T$2,0),Техника!$F$4:$ABM$4,"Часы",INDEX(Техника!$G$1:$ABN$500,T$2,0),$A$123,INDEX(Техника!$H$1:$ABO$500,T$2,0),"П")</f>
        <v>0</v>
      </c>
      <c r="U126" s="50">
        <f>SUMIFS(INDEX(Техника!$F$1:$ABM$500,U$2,0),Техника!$F$4:$ABM$4,"Часы",INDEX(Техника!$G$1:$ABN$500,U$2,0),$A$123,INDEX(Техника!$H$1:$ABO$500,U$2,0),"П")</f>
        <v>0</v>
      </c>
      <c r="V126" s="50">
        <f>SUMIFS(INDEX(Техника!$F$1:$ABM$500,V$2,0),Техника!$F$4:$ABM$4,"Часы",INDEX(Техника!$G$1:$ABN$500,V$2,0),$A$123,INDEX(Техника!$H$1:$ABO$500,V$2,0),"П")</f>
        <v>0</v>
      </c>
      <c r="W126" s="50">
        <f>SUMIFS(INDEX(Техника!$F$1:$ABM$500,W$2,0),Техника!$F$4:$ABM$4,"Часы",INDEX(Техника!$G$1:$ABN$500,W$2,0),$A$123,INDEX(Техника!$H$1:$ABO$500,W$2,0),"П")</f>
        <v>0</v>
      </c>
      <c r="X126" s="50">
        <f>SUMIFS(INDEX(Техника!$F$1:$ABM$500,X$2,0),Техника!$F$4:$ABM$4,"Часы",INDEX(Техника!$G$1:$ABN$500,X$2,0),$A$123,INDEX(Техника!$H$1:$ABO$500,X$2,0),"П")</f>
        <v>0</v>
      </c>
      <c r="Y126" s="50">
        <f>SUMIFS(INDEX(Техника!$F$1:$ABM$500,Y$2,0),Техника!$F$4:$ABM$4,"Часы",INDEX(Техника!$G$1:$ABN$500,Y$2,0),$A$123,INDEX(Техника!$H$1:$ABO$500,Y$2,0),"П")</f>
        <v>0</v>
      </c>
      <c r="Z126" s="50">
        <f>SUMIFS(INDEX(Техника!$F$1:$ABM$500,Z$2,0),Техника!$F$4:$ABM$4,"Часы",INDEX(Техника!$G$1:$ABN$500,Z$2,0),$A$123,INDEX(Техника!$H$1:$ABO$500,Z$2,0),"П")</f>
        <v>0</v>
      </c>
      <c r="AA126" s="50">
        <f>SUMIFS(INDEX(Техника!$F$1:$ABM$500,AA$2,0),Техника!$F$4:$ABM$4,"Часы",INDEX(Техника!$G$1:$ABN$500,AA$2,0),$A$123,INDEX(Техника!$H$1:$ABO$500,AA$2,0),"П")</f>
        <v>0</v>
      </c>
      <c r="AB126" s="50">
        <f>SUMIFS(INDEX(Техника!$F$1:$ABM$500,AB$2,0),Техника!$F$4:$ABM$4,"Часы",INDEX(Техника!$G$1:$ABN$500,AB$2,0),$A$123,INDEX(Техника!$H$1:$ABO$500,AB$2,0),"П")</f>
        <v>0</v>
      </c>
    </row>
    <row r="127" spans="1:28" hidden="1" outlineLevel="1" x14ac:dyDescent="0.3">
      <c r="A127" s="33" t="s">
        <v>243</v>
      </c>
      <c r="B127" s="34" t="s">
        <v>278</v>
      </c>
      <c r="C127" s="50">
        <f>SUMIFS(INDEX(Техника!$F$1:$ABM$500,C$2,0),Техника!$F$4:$ABM$4,"Часы",INDEX(Техника!$G$1:$ABN$500,C$2,0),$A$123,INDEX(Техника!$H$1:$ABO$500,C$2,0),"Л")</f>
        <v>0</v>
      </c>
      <c r="D127" s="50">
        <f>SUMIFS(INDEX(Техника!$F$1:$ABM$500,D$2,0),Техника!$F$4:$ABM$4,"Часы",INDEX(Техника!$G$1:$ABN$500,D$2,0),$A$123,INDEX(Техника!$H$1:$ABO$500,D$2,0),"Л")</f>
        <v>0</v>
      </c>
      <c r="E127" s="50">
        <f>SUMIFS(INDEX(Техника!$F$1:$ABM$500,E$2,0),Техника!$F$4:$ABM$4,"Часы",INDEX(Техника!$G$1:$ABN$500,E$2,0),$A$123,INDEX(Техника!$H$1:$ABO$500,E$2,0),"Л")</f>
        <v>0</v>
      </c>
      <c r="F127" s="50">
        <f>SUMIFS(INDEX(Техника!$F$1:$ABM$500,F$2,0),Техника!$F$4:$ABM$4,"Часы",INDEX(Техника!$G$1:$ABN$500,F$2,0),$A$123,INDEX(Техника!$H$1:$ABO$500,F$2,0),"Л")</f>
        <v>0</v>
      </c>
      <c r="G127" s="50">
        <f>SUMIFS(INDEX(Техника!$F$1:$ABM$500,G$2,0),Техника!$F$4:$ABM$4,"Часы",INDEX(Техника!$G$1:$ABN$500,G$2,0),$A$123,INDEX(Техника!$H$1:$ABO$500,G$2,0),"Л")</f>
        <v>0</v>
      </c>
      <c r="H127" s="50">
        <f>SUMIFS(INDEX(Техника!$F$1:$ABM$500,H$2,0),Техника!$F$4:$ABM$4,"Часы",INDEX(Техника!$G$1:$ABN$500,H$2,0),$A$123,INDEX(Техника!$H$1:$ABO$500,H$2,0),"Л")</f>
        <v>0</v>
      </c>
      <c r="I127" s="50">
        <f>SUMIFS(INDEX(Техника!$F$1:$ABM$500,I$2,0),Техника!$F$4:$ABM$4,"Часы",INDEX(Техника!$G$1:$ABN$500,I$2,0),$A$123,INDEX(Техника!$H$1:$ABO$500,I$2,0),"Л")</f>
        <v>0</v>
      </c>
      <c r="J127" s="50">
        <f>SUMIFS(INDEX(Техника!$F$1:$ABM$500,J$2,0),Техника!$F$4:$ABM$4,"Часы",INDEX(Техника!$G$1:$ABN$500,J$2,0),$A$123,INDEX(Техника!$H$1:$ABO$500,J$2,0),"Л")</f>
        <v>0</v>
      </c>
      <c r="K127" s="50">
        <f>SUMIFS(INDEX(Техника!$F$1:$ABM$500,K$2,0),Техника!$F$4:$ABM$4,"Часы",INDEX(Техника!$G$1:$ABN$500,K$2,0),$A$123,INDEX(Техника!$H$1:$ABO$500,K$2,0),"Л")</f>
        <v>0</v>
      </c>
      <c r="L127" s="50">
        <f>SUMIFS(INDEX(Техника!$F$1:$ABM$500,L$2,0),Техника!$F$4:$ABM$4,"Часы",INDEX(Техника!$G$1:$ABN$500,L$2,0),$A$123,INDEX(Техника!$H$1:$ABO$500,L$2,0),"Л")</f>
        <v>0</v>
      </c>
      <c r="M127" s="50">
        <f>SUMIFS(INDEX(Техника!$F$1:$ABM$500,M$2,0),Техника!$F$4:$ABM$4,"Часы",INDEX(Техника!$G$1:$ABN$500,M$2,0),$A$123,INDEX(Техника!$H$1:$ABO$500,M$2,0),"Л")</f>
        <v>0</v>
      </c>
      <c r="N127" s="50">
        <f>SUMIFS(INDEX(Техника!$F$1:$ABM$500,N$2,0),Техника!$F$4:$ABM$4,"Часы",INDEX(Техника!$G$1:$ABN$500,N$2,0),$A$123,INDEX(Техника!$H$1:$ABO$500,N$2,0),"Л")</f>
        <v>0</v>
      </c>
      <c r="O127" s="50">
        <f>SUMIFS(INDEX(Техника!$F$1:$ABM$500,O$2,0),Техника!$F$4:$ABM$4,"Часы",INDEX(Техника!$G$1:$ABN$500,O$2,0),$A$123,INDEX(Техника!$H$1:$ABO$500,O$2,0),"Л")</f>
        <v>0</v>
      </c>
      <c r="P127" s="50">
        <f>SUMIFS(INDEX(Техника!$F$1:$ABM$500,P$2,0),Техника!$F$4:$ABM$4,"Часы",INDEX(Техника!$G$1:$ABN$500,P$2,0),$A$123,INDEX(Техника!$H$1:$ABO$500,P$2,0),"Л")</f>
        <v>0</v>
      </c>
      <c r="Q127" s="50">
        <f>SUMIFS(INDEX(Техника!$F$1:$ABM$500,Q$2,0),Техника!$F$4:$ABM$4,"Часы",INDEX(Техника!$G$1:$ABN$500,Q$2,0),$A$123,INDEX(Техника!$H$1:$ABO$500,Q$2,0),"Л")</f>
        <v>0</v>
      </c>
      <c r="R127" s="50">
        <f>SUMIFS(INDEX(Техника!$F$1:$ABM$500,R$2,0),Техника!$F$4:$ABM$4,"Часы",INDEX(Техника!$G$1:$ABN$500,R$2,0),$A$123,INDEX(Техника!$H$1:$ABO$500,R$2,0),"Л")</f>
        <v>0</v>
      </c>
      <c r="S127" s="50">
        <f>SUMIFS(INDEX(Техника!$F$1:$ABM$500,S$2,0),Техника!$F$4:$ABM$4,"Часы",INDEX(Техника!$G$1:$ABN$500,S$2,0),$A$123,INDEX(Техника!$H$1:$ABO$500,S$2,0),"Л")</f>
        <v>0</v>
      </c>
      <c r="T127" s="50">
        <f>SUMIFS(INDEX(Техника!$F$1:$ABM$500,T$2,0),Техника!$F$4:$ABM$4,"Часы",INDEX(Техника!$G$1:$ABN$500,T$2,0),$A$123,INDEX(Техника!$H$1:$ABO$500,T$2,0),"Л")</f>
        <v>0</v>
      </c>
      <c r="U127" s="50">
        <f>SUMIFS(INDEX(Техника!$F$1:$ABM$500,U$2,0),Техника!$F$4:$ABM$4,"Часы",INDEX(Техника!$G$1:$ABN$500,U$2,0),$A$123,INDEX(Техника!$H$1:$ABO$500,U$2,0),"Л")</f>
        <v>0</v>
      </c>
      <c r="V127" s="50">
        <f>SUMIFS(INDEX(Техника!$F$1:$ABM$500,V$2,0),Техника!$F$4:$ABM$4,"Часы",INDEX(Техника!$G$1:$ABN$500,V$2,0),$A$123,INDEX(Техника!$H$1:$ABO$500,V$2,0),"Л")</f>
        <v>0</v>
      </c>
      <c r="W127" s="50">
        <f>SUMIFS(INDEX(Техника!$F$1:$ABM$500,W$2,0),Техника!$F$4:$ABM$4,"Часы",INDEX(Техника!$G$1:$ABN$500,W$2,0),$A$123,INDEX(Техника!$H$1:$ABO$500,W$2,0),"Л")</f>
        <v>0</v>
      </c>
      <c r="X127" s="50">
        <f>SUMIFS(INDEX(Техника!$F$1:$ABM$500,X$2,0),Техника!$F$4:$ABM$4,"Часы",INDEX(Техника!$G$1:$ABN$500,X$2,0),$A$123,INDEX(Техника!$H$1:$ABO$500,X$2,0),"Л")</f>
        <v>0</v>
      </c>
      <c r="Y127" s="50">
        <f>SUMIFS(INDEX(Техника!$F$1:$ABM$500,Y$2,0),Техника!$F$4:$ABM$4,"Часы",INDEX(Техника!$G$1:$ABN$500,Y$2,0),$A$123,INDEX(Техника!$H$1:$ABO$500,Y$2,0),"Л")</f>
        <v>0</v>
      </c>
      <c r="Z127" s="50">
        <f>SUMIFS(INDEX(Техника!$F$1:$ABM$500,Z$2,0),Техника!$F$4:$ABM$4,"Часы",INDEX(Техника!$G$1:$ABN$500,Z$2,0),$A$123,INDEX(Техника!$H$1:$ABO$500,Z$2,0),"Л")</f>
        <v>0</v>
      </c>
      <c r="AA127" s="50">
        <f>SUMIFS(INDEX(Техника!$F$1:$ABM$500,AA$2,0),Техника!$F$4:$ABM$4,"Часы",INDEX(Техника!$G$1:$ABN$500,AA$2,0),$A$123,INDEX(Техника!$H$1:$ABO$500,AA$2,0),"Л")</f>
        <v>0</v>
      </c>
      <c r="AB127" s="50">
        <f>SUMIFS(INDEX(Техника!$F$1:$ABM$500,AB$2,0),Техника!$F$4:$ABM$4,"Часы",INDEX(Техника!$G$1:$ABN$500,AB$2,0),$A$123,INDEX(Техника!$H$1:$ABO$500,AB$2,0),"Л")</f>
        <v>0</v>
      </c>
    </row>
    <row r="128" spans="1:28" hidden="1" outlineLevel="1" x14ac:dyDescent="0.3">
      <c r="A128" s="33" t="s">
        <v>245</v>
      </c>
      <c r="B128" s="34" t="s">
        <v>279</v>
      </c>
      <c r="C128" s="50">
        <f>SUMIFS(INDEX(Техника!$F$1:$ABM$500,C$2,0),Техника!$F$4:$ABM$4,"Часы",INDEX(Техника!$G$1:$ABN$500,C$2,0),$A$123,INDEX(Техника!$H$1:$ABO$500,C$2,0),"З")</f>
        <v>0</v>
      </c>
      <c r="D128" s="50">
        <f>SUMIFS(INDEX(Техника!$F$1:$ABM$500,D$2,0),Техника!$F$4:$ABM$4,"Часы",INDEX(Техника!$G$1:$ABN$500,D$2,0),$A$123,INDEX(Техника!$H$1:$ABO$500,D$2,0),"З")</f>
        <v>0</v>
      </c>
      <c r="E128" s="50">
        <f>SUMIFS(INDEX(Техника!$F$1:$ABM$500,E$2,0),Техника!$F$4:$ABM$4,"Часы",INDEX(Техника!$G$1:$ABN$500,E$2,0),$A$123,INDEX(Техника!$H$1:$ABO$500,E$2,0),"З")</f>
        <v>0</v>
      </c>
      <c r="F128" s="50">
        <f>SUMIFS(INDEX(Техника!$F$1:$ABM$500,F$2,0),Техника!$F$4:$ABM$4,"Часы",INDEX(Техника!$G$1:$ABN$500,F$2,0),$A$123,INDEX(Техника!$H$1:$ABO$500,F$2,0),"З")</f>
        <v>0</v>
      </c>
      <c r="G128" s="50">
        <f>SUMIFS(INDEX(Техника!$F$1:$ABM$500,G$2,0),Техника!$F$4:$ABM$4,"Часы",INDEX(Техника!$G$1:$ABN$500,G$2,0),$A$123,INDEX(Техника!$H$1:$ABO$500,G$2,0),"З")</f>
        <v>0</v>
      </c>
      <c r="H128" s="50">
        <f>SUMIFS(INDEX(Техника!$F$1:$ABM$500,H$2,0),Техника!$F$4:$ABM$4,"Часы",INDEX(Техника!$G$1:$ABN$500,H$2,0),$A$123,INDEX(Техника!$H$1:$ABO$500,H$2,0),"З")</f>
        <v>0</v>
      </c>
      <c r="I128" s="50">
        <f>SUMIFS(INDEX(Техника!$F$1:$ABM$500,I$2,0),Техника!$F$4:$ABM$4,"Часы",INDEX(Техника!$G$1:$ABN$500,I$2,0),$A$123,INDEX(Техника!$H$1:$ABO$500,I$2,0),"З")</f>
        <v>0</v>
      </c>
      <c r="J128" s="50">
        <f>SUMIFS(INDEX(Техника!$F$1:$ABM$500,J$2,0),Техника!$F$4:$ABM$4,"Часы",INDEX(Техника!$G$1:$ABN$500,J$2,0),$A$123,INDEX(Техника!$H$1:$ABO$500,J$2,0),"З")</f>
        <v>0</v>
      </c>
      <c r="K128" s="50">
        <f>SUMIFS(INDEX(Техника!$F$1:$ABM$500,K$2,0),Техника!$F$4:$ABM$4,"Часы",INDEX(Техника!$G$1:$ABN$500,K$2,0),$A$123,INDEX(Техника!$H$1:$ABO$500,K$2,0),"З")</f>
        <v>0</v>
      </c>
      <c r="L128" s="50">
        <f>SUMIFS(INDEX(Техника!$F$1:$ABM$500,L$2,0),Техника!$F$4:$ABM$4,"Часы",INDEX(Техника!$G$1:$ABN$500,L$2,0),$A$123,INDEX(Техника!$H$1:$ABO$500,L$2,0),"З")</f>
        <v>0</v>
      </c>
      <c r="M128" s="50">
        <f>SUMIFS(INDEX(Техника!$F$1:$ABM$500,M$2,0),Техника!$F$4:$ABM$4,"Часы",INDEX(Техника!$G$1:$ABN$500,M$2,0),$A$123,INDEX(Техника!$H$1:$ABO$500,M$2,0),"З")</f>
        <v>0</v>
      </c>
      <c r="N128" s="50">
        <f>SUMIFS(INDEX(Техника!$F$1:$ABM$500,N$2,0),Техника!$F$4:$ABM$4,"Часы",INDEX(Техника!$G$1:$ABN$500,N$2,0),$A$123,INDEX(Техника!$H$1:$ABO$500,N$2,0),"З")</f>
        <v>0</v>
      </c>
      <c r="O128" s="50">
        <f>SUMIFS(INDEX(Техника!$F$1:$ABM$500,O$2,0),Техника!$F$4:$ABM$4,"Часы",INDEX(Техника!$G$1:$ABN$500,O$2,0),$A$123,INDEX(Техника!$H$1:$ABO$500,O$2,0),"З")</f>
        <v>0</v>
      </c>
      <c r="P128" s="50">
        <f>SUMIFS(INDEX(Техника!$F$1:$ABM$500,P$2,0),Техника!$F$4:$ABM$4,"Часы",INDEX(Техника!$G$1:$ABN$500,P$2,0),$A$123,INDEX(Техника!$H$1:$ABO$500,P$2,0),"З")</f>
        <v>0</v>
      </c>
      <c r="Q128" s="50">
        <f>SUMIFS(INDEX(Техника!$F$1:$ABM$500,Q$2,0),Техника!$F$4:$ABM$4,"Часы",INDEX(Техника!$G$1:$ABN$500,Q$2,0),$A$123,INDEX(Техника!$H$1:$ABO$500,Q$2,0),"З")</f>
        <v>0</v>
      </c>
      <c r="R128" s="50">
        <f>SUMIFS(INDEX(Техника!$F$1:$ABM$500,R$2,0),Техника!$F$4:$ABM$4,"Часы",INDEX(Техника!$G$1:$ABN$500,R$2,0),$A$123,INDEX(Техника!$H$1:$ABO$500,R$2,0),"З")</f>
        <v>0</v>
      </c>
      <c r="S128" s="50">
        <f>SUMIFS(INDEX(Техника!$F$1:$ABM$500,S$2,0),Техника!$F$4:$ABM$4,"Часы",INDEX(Техника!$G$1:$ABN$500,S$2,0),$A$123,INDEX(Техника!$H$1:$ABO$500,S$2,0),"З")</f>
        <v>0</v>
      </c>
      <c r="T128" s="50">
        <f>SUMIFS(INDEX(Техника!$F$1:$ABM$500,T$2,0),Техника!$F$4:$ABM$4,"Часы",INDEX(Техника!$G$1:$ABN$500,T$2,0),$A$123,INDEX(Техника!$H$1:$ABO$500,T$2,0),"З")</f>
        <v>0</v>
      </c>
      <c r="U128" s="50">
        <f>SUMIFS(INDEX(Техника!$F$1:$ABM$500,U$2,0),Техника!$F$4:$ABM$4,"Часы",INDEX(Техника!$G$1:$ABN$500,U$2,0),$A$123,INDEX(Техника!$H$1:$ABO$500,U$2,0),"З")</f>
        <v>0</v>
      </c>
      <c r="V128" s="50">
        <f>SUMIFS(INDEX(Техника!$F$1:$ABM$500,V$2,0),Техника!$F$4:$ABM$4,"Часы",INDEX(Техника!$G$1:$ABN$500,V$2,0),$A$123,INDEX(Техника!$H$1:$ABO$500,V$2,0),"З")</f>
        <v>0</v>
      </c>
      <c r="W128" s="50">
        <f>SUMIFS(INDEX(Техника!$F$1:$ABM$500,W$2,0),Техника!$F$4:$ABM$4,"Часы",INDEX(Техника!$G$1:$ABN$500,W$2,0),$A$123,INDEX(Техника!$H$1:$ABO$500,W$2,0),"З")</f>
        <v>0</v>
      </c>
      <c r="X128" s="50">
        <f>SUMIFS(INDEX(Техника!$F$1:$ABM$500,X$2,0),Техника!$F$4:$ABM$4,"Часы",INDEX(Техника!$G$1:$ABN$500,X$2,0),$A$123,INDEX(Техника!$H$1:$ABO$500,X$2,0),"З")</f>
        <v>0</v>
      </c>
      <c r="Y128" s="50">
        <f>SUMIFS(INDEX(Техника!$F$1:$ABM$500,Y$2,0),Техника!$F$4:$ABM$4,"Часы",INDEX(Техника!$G$1:$ABN$500,Y$2,0),$A$123,INDEX(Техника!$H$1:$ABO$500,Y$2,0),"З")</f>
        <v>0</v>
      </c>
      <c r="Z128" s="50">
        <f>SUMIFS(INDEX(Техника!$F$1:$ABM$500,Z$2,0),Техника!$F$4:$ABM$4,"Часы",INDEX(Техника!$G$1:$ABN$500,Z$2,0),$A$123,INDEX(Техника!$H$1:$ABO$500,Z$2,0),"З")</f>
        <v>0</v>
      </c>
      <c r="AA128" s="50">
        <f>SUMIFS(INDEX(Техника!$F$1:$ABM$500,AA$2,0),Техника!$F$4:$ABM$4,"Часы",INDEX(Техника!$G$1:$ABN$500,AA$2,0),$A$123,INDEX(Техника!$H$1:$ABO$500,AA$2,0),"З")</f>
        <v>0</v>
      </c>
      <c r="AB128" s="50">
        <f>SUMIFS(INDEX(Техника!$F$1:$ABM$500,AB$2,0),Техника!$F$4:$ABM$4,"Часы",INDEX(Техника!$G$1:$ABN$500,AB$2,0),$A$123,INDEX(Техника!$H$1:$ABO$500,AB$2,0),"З")</f>
        <v>0</v>
      </c>
    </row>
    <row r="129" spans="1:28" ht="7.95" customHeight="1" x14ac:dyDescent="0.3">
      <c r="A129" s="38"/>
      <c r="B129" s="39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 spans="1:28" ht="25.05" customHeight="1" collapsed="1" x14ac:dyDescent="0.3">
      <c r="A130" s="32">
        <v>19</v>
      </c>
      <c r="B130" s="32" t="s">
        <v>20</v>
      </c>
      <c r="C130" s="49">
        <f>SUM(C131:C135)</f>
        <v>0</v>
      </c>
      <c r="D130" s="49">
        <f>SUM(D131:D135)</f>
        <v>0</v>
      </c>
      <c r="E130" s="49">
        <f>SUM(E131:E135)</f>
        <v>0</v>
      </c>
      <c r="F130" s="49">
        <f>SUM(F131:F135)</f>
        <v>0</v>
      </c>
      <c r="G130" s="49">
        <f>SUM(G131:G135)</f>
        <v>0</v>
      </c>
      <c r="H130" s="49">
        <f>SUM(H131:H135)</f>
        <v>0</v>
      </c>
      <c r="I130" s="49">
        <f>SUM(I131:I135)</f>
        <v>0</v>
      </c>
      <c r="J130" s="49">
        <f>SUM(J131:J135)</f>
        <v>0</v>
      </c>
      <c r="K130" s="49">
        <f>SUM(K131:K135)</f>
        <v>0</v>
      </c>
      <c r="L130" s="49">
        <f>SUM(L131:L135)</f>
        <v>0</v>
      </c>
      <c r="M130" s="49">
        <f>SUM(M131:M135)</f>
        <v>0</v>
      </c>
      <c r="N130" s="49">
        <f>SUM(N131:N135)</f>
        <v>0</v>
      </c>
      <c r="O130" s="49">
        <f>SUM(O131:O135)</f>
        <v>0</v>
      </c>
      <c r="P130" s="49">
        <f>SUM(P131:P135)</f>
        <v>0</v>
      </c>
      <c r="Q130" s="49">
        <f>SUM(Q131:Q135)</f>
        <v>0</v>
      </c>
      <c r="R130" s="49">
        <f>SUM(R131:R135)</f>
        <v>0</v>
      </c>
      <c r="S130" s="49">
        <f>SUM(S131:S135)</f>
        <v>0</v>
      </c>
      <c r="T130" s="49">
        <f>SUM(T131:T135)</f>
        <v>0</v>
      </c>
      <c r="U130" s="49">
        <f>SUM(U131:U135)</f>
        <v>0</v>
      </c>
      <c r="V130" s="49">
        <f>SUM(V131:V135)</f>
        <v>0</v>
      </c>
      <c r="W130" s="49">
        <f>SUM(W131:W135)</f>
        <v>0</v>
      </c>
      <c r="X130" s="49">
        <f>SUM(X131:X135)</f>
        <v>0</v>
      </c>
      <c r="Y130" s="49">
        <f>SUM(Y131:Y135)</f>
        <v>0</v>
      </c>
      <c r="Z130" s="49">
        <f>SUM(Z131:Z135)</f>
        <v>0</v>
      </c>
      <c r="AA130" s="49">
        <f>SUM(AA131:AA135)</f>
        <v>0</v>
      </c>
      <c r="AB130" s="49">
        <f>SUM(AB131:AB135)</f>
        <v>0</v>
      </c>
    </row>
    <row r="131" spans="1:28" hidden="1" outlineLevel="1" x14ac:dyDescent="0.3">
      <c r="A131" s="33" t="s">
        <v>246</v>
      </c>
      <c r="B131" s="34" t="s">
        <v>274</v>
      </c>
      <c r="C131" s="50">
        <f>SUMIFS(INDEX(Техника!$F$1:$ABM$500,C$2,0),Техника!$F$4:$ABM$4,"Часы",INDEX(Техника!$G$1:$ABN$500,C$2,0),$A$130,INDEX(Техника!$H$1:$ABO$500,C$2,0),"М")</f>
        <v>0</v>
      </c>
      <c r="D131" s="50">
        <f>SUMIFS(INDEX(Техника!$F$1:$ABM$500,D$2,0),Техника!$F$4:$ABM$4,"Часы",INDEX(Техника!$G$1:$ABN$500,D$2,0),$A$130,INDEX(Техника!$H$1:$ABO$500,D$2,0),"М")</f>
        <v>0</v>
      </c>
      <c r="E131" s="50">
        <f>SUMIFS(INDEX(Техника!$F$1:$ABM$500,E$2,0),Техника!$F$4:$ABM$4,"Часы",INDEX(Техника!$G$1:$ABN$500,E$2,0),$A$130,INDEX(Техника!$H$1:$ABO$500,E$2,0),"М")</f>
        <v>0</v>
      </c>
      <c r="F131" s="50">
        <f>SUMIFS(INDEX(Техника!$F$1:$ABM$500,F$2,0),Техника!$F$4:$ABM$4,"Часы",INDEX(Техника!$G$1:$ABN$500,F$2,0),$A$130,INDEX(Техника!$H$1:$ABO$500,F$2,0),"М")</f>
        <v>0</v>
      </c>
      <c r="G131" s="50">
        <f>SUMIFS(INDEX(Техника!$F$1:$ABM$500,G$2,0),Техника!$F$4:$ABM$4,"Часы",INDEX(Техника!$G$1:$ABN$500,G$2,0),$A$130,INDEX(Техника!$H$1:$ABO$500,G$2,0),"М")</f>
        <v>0</v>
      </c>
      <c r="H131" s="50">
        <f>SUMIFS(INDEX(Техника!$F$1:$ABM$500,H$2,0),Техника!$F$4:$ABM$4,"Часы",INDEX(Техника!$G$1:$ABN$500,H$2,0),$A$130,INDEX(Техника!$H$1:$ABO$500,H$2,0),"М")</f>
        <v>0</v>
      </c>
      <c r="I131" s="50">
        <f>SUMIFS(INDEX(Техника!$F$1:$ABM$500,I$2,0),Техника!$F$4:$ABM$4,"Часы",INDEX(Техника!$G$1:$ABN$500,I$2,0),$A$130,INDEX(Техника!$H$1:$ABO$500,I$2,0),"М")</f>
        <v>0</v>
      </c>
      <c r="J131" s="50">
        <f>SUMIFS(INDEX(Техника!$F$1:$ABM$500,J$2,0),Техника!$F$4:$ABM$4,"Часы",INDEX(Техника!$G$1:$ABN$500,J$2,0),$A$130,INDEX(Техника!$H$1:$ABO$500,J$2,0),"М")</f>
        <v>0</v>
      </c>
      <c r="K131" s="50">
        <f>SUMIFS(INDEX(Техника!$F$1:$ABM$500,K$2,0),Техника!$F$4:$ABM$4,"Часы",INDEX(Техника!$G$1:$ABN$500,K$2,0),$A$130,INDEX(Техника!$H$1:$ABO$500,K$2,0),"М")</f>
        <v>0</v>
      </c>
      <c r="L131" s="50">
        <f>SUMIFS(INDEX(Техника!$F$1:$ABM$500,L$2,0),Техника!$F$4:$ABM$4,"Часы",INDEX(Техника!$G$1:$ABN$500,L$2,0),$A$130,INDEX(Техника!$H$1:$ABO$500,L$2,0),"М")</f>
        <v>0</v>
      </c>
      <c r="M131" s="50">
        <f>SUMIFS(INDEX(Техника!$F$1:$ABM$500,M$2,0),Техника!$F$4:$ABM$4,"Часы",INDEX(Техника!$G$1:$ABN$500,M$2,0),$A$130,INDEX(Техника!$H$1:$ABO$500,M$2,0),"М")</f>
        <v>0</v>
      </c>
      <c r="N131" s="50">
        <f>SUMIFS(INDEX(Техника!$F$1:$ABM$500,N$2,0),Техника!$F$4:$ABM$4,"Часы",INDEX(Техника!$G$1:$ABN$500,N$2,0),$A$130,INDEX(Техника!$H$1:$ABO$500,N$2,0),"М")</f>
        <v>0</v>
      </c>
      <c r="O131" s="50">
        <f>SUMIFS(INDEX(Техника!$F$1:$ABM$500,O$2,0),Техника!$F$4:$ABM$4,"Часы",INDEX(Техника!$G$1:$ABN$500,O$2,0),$A$130,INDEX(Техника!$H$1:$ABO$500,O$2,0),"М")</f>
        <v>0</v>
      </c>
      <c r="P131" s="50">
        <f>SUMIFS(INDEX(Техника!$F$1:$ABM$500,P$2,0),Техника!$F$4:$ABM$4,"Часы",INDEX(Техника!$G$1:$ABN$500,P$2,0),$A$130,INDEX(Техника!$H$1:$ABO$500,P$2,0),"М")</f>
        <v>0</v>
      </c>
      <c r="Q131" s="50">
        <f>SUMIFS(INDEX(Техника!$F$1:$ABM$500,Q$2,0),Техника!$F$4:$ABM$4,"Часы",INDEX(Техника!$G$1:$ABN$500,Q$2,0),$A$130,INDEX(Техника!$H$1:$ABO$500,Q$2,0),"М")</f>
        <v>0</v>
      </c>
      <c r="R131" s="50">
        <f>SUMIFS(INDEX(Техника!$F$1:$ABM$500,R$2,0),Техника!$F$4:$ABM$4,"Часы",INDEX(Техника!$G$1:$ABN$500,R$2,0),$A$130,INDEX(Техника!$H$1:$ABO$500,R$2,0),"М")</f>
        <v>0</v>
      </c>
      <c r="S131" s="50">
        <f>SUMIFS(INDEX(Техника!$F$1:$ABM$500,S$2,0),Техника!$F$4:$ABM$4,"Часы",INDEX(Техника!$G$1:$ABN$500,S$2,0),$A$130,INDEX(Техника!$H$1:$ABO$500,S$2,0),"М")</f>
        <v>0</v>
      </c>
      <c r="T131" s="50">
        <f>SUMIFS(INDEX(Техника!$F$1:$ABM$500,T$2,0),Техника!$F$4:$ABM$4,"Часы",INDEX(Техника!$G$1:$ABN$500,T$2,0),$A$130,INDEX(Техника!$H$1:$ABO$500,T$2,0),"М")</f>
        <v>0</v>
      </c>
      <c r="U131" s="50">
        <f>SUMIFS(INDEX(Техника!$F$1:$ABM$500,U$2,0),Техника!$F$4:$ABM$4,"Часы",INDEX(Техника!$G$1:$ABN$500,U$2,0),$A$130,INDEX(Техника!$H$1:$ABO$500,U$2,0),"М")</f>
        <v>0</v>
      </c>
      <c r="V131" s="50">
        <f>SUMIFS(INDEX(Техника!$F$1:$ABM$500,V$2,0),Техника!$F$4:$ABM$4,"Часы",INDEX(Техника!$G$1:$ABN$500,V$2,0),$A$130,INDEX(Техника!$H$1:$ABO$500,V$2,0),"М")</f>
        <v>0</v>
      </c>
      <c r="W131" s="50">
        <f>SUMIFS(INDEX(Техника!$F$1:$ABM$500,W$2,0),Техника!$F$4:$ABM$4,"Часы",INDEX(Техника!$G$1:$ABN$500,W$2,0),$A$130,INDEX(Техника!$H$1:$ABO$500,W$2,0),"М")</f>
        <v>0</v>
      </c>
      <c r="X131" s="50">
        <f>SUMIFS(INDEX(Техника!$F$1:$ABM$500,X$2,0),Техника!$F$4:$ABM$4,"Часы",INDEX(Техника!$G$1:$ABN$500,X$2,0),$A$130,INDEX(Техника!$H$1:$ABO$500,X$2,0),"М")</f>
        <v>0</v>
      </c>
      <c r="Y131" s="50">
        <f>SUMIFS(INDEX(Техника!$F$1:$ABM$500,Y$2,0),Техника!$F$4:$ABM$4,"Часы",INDEX(Техника!$G$1:$ABN$500,Y$2,0),$A$130,INDEX(Техника!$H$1:$ABO$500,Y$2,0),"М")</f>
        <v>0</v>
      </c>
      <c r="Z131" s="50">
        <f>SUMIFS(INDEX(Техника!$F$1:$ABM$500,Z$2,0),Техника!$F$4:$ABM$4,"Часы",INDEX(Техника!$G$1:$ABN$500,Z$2,0),$A$130,INDEX(Техника!$H$1:$ABO$500,Z$2,0),"М")</f>
        <v>0</v>
      </c>
      <c r="AA131" s="50">
        <f>SUMIFS(INDEX(Техника!$F$1:$ABM$500,AA$2,0),Техника!$F$4:$ABM$4,"Часы",INDEX(Техника!$G$1:$ABN$500,AA$2,0),$A$130,INDEX(Техника!$H$1:$ABO$500,AA$2,0),"М")</f>
        <v>0</v>
      </c>
      <c r="AB131" s="50">
        <f>SUMIFS(INDEX(Техника!$F$1:$ABM$500,AB$2,0),Техника!$F$4:$ABM$4,"Часы",INDEX(Техника!$G$1:$ABN$500,AB$2,0),$A$130,INDEX(Техника!$H$1:$ABO$500,AB$2,0),"М")</f>
        <v>0</v>
      </c>
    </row>
    <row r="132" spans="1:28" hidden="1" outlineLevel="1" x14ac:dyDescent="0.3">
      <c r="A132" s="33" t="s">
        <v>244</v>
      </c>
      <c r="B132" s="34" t="s">
        <v>275</v>
      </c>
      <c r="C132" s="50">
        <f>SUMIFS(INDEX(Техника!$F$1:$ABM$500,C$2,0),Техника!$F$4:$ABM$4,"Часы",INDEX(Техника!$G$1:$ABN$500,C$2,0),$A$130,INDEX(Техника!$H$1:$ABO$500,C$2,0),"Д")</f>
        <v>0</v>
      </c>
      <c r="D132" s="50">
        <f>SUMIFS(INDEX(Техника!$F$1:$ABM$500,D$2,0),Техника!$F$4:$ABM$4,"Часы",INDEX(Техника!$G$1:$ABN$500,D$2,0),$A$130,INDEX(Техника!$H$1:$ABO$500,D$2,0),"Д")</f>
        <v>0</v>
      </c>
      <c r="E132" s="50">
        <f>SUMIFS(INDEX(Техника!$F$1:$ABM$500,E$2,0),Техника!$F$4:$ABM$4,"Часы",INDEX(Техника!$G$1:$ABN$500,E$2,0),$A$130,INDEX(Техника!$H$1:$ABO$500,E$2,0),"Д")</f>
        <v>0</v>
      </c>
      <c r="F132" s="50">
        <f>SUMIFS(INDEX(Техника!$F$1:$ABM$500,F$2,0),Техника!$F$4:$ABM$4,"Часы",INDEX(Техника!$G$1:$ABN$500,F$2,0),$A$130,INDEX(Техника!$H$1:$ABO$500,F$2,0),"Д")</f>
        <v>0</v>
      </c>
      <c r="G132" s="50">
        <f>SUMIFS(INDEX(Техника!$F$1:$ABM$500,G$2,0),Техника!$F$4:$ABM$4,"Часы",INDEX(Техника!$G$1:$ABN$500,G$2,0),$A$130,INDEX(Техника!$H$1:$ABO$500,G$2,0),"Д")</f>
        <v>0</v>
      </c>
      <c r="H132" s="50">
        <f>SUMIFS(INDEX(Техника!$F$1:$ABM$500,H$2,0),Техника!$F$4:$ABM$4,"Часы",INDEX(Техника!$G$1:$ABN$500,H$2,0),$A$130,INDEX(Техника!$H$1:$ABO$500,H$2,0),"Д")</f>
        <v>0</v>
      </c>
      <c r="I132" s="50">
        <f>SUMIFS(INDEX(Техника!$F$1:$ABM$500,I$2,0),Техника!$F$4:$ABM$4,"Часы",INDEX(Техника!$G$1:$ABN$500,I$2,0),$A$130,INDEX(Техника!$H$1:$ABO$500,I$2,0),"Д")</f>
        <v>0</v>
      </c>
      <c r="J132" s="50">
        <f>SUMIFS(INDEX(Техника!$F$1:$ABM$500,J$2,0),Техника!$F$4:$ABM$4,"Часы",INDEX(Техника!$G$1:$ABN$500,J$2,0),$A$130,INDEX(Техника!$H$1:$ABO$500,J$2,0),"Д")</f>
        <v>0</v>
      </c>
      <c r="K132" s="50">
        <f>SUMIFS(INDEX(Техника!$F$1:$ABM$500,K$2,0),Техника!$F$4:$ABM$4,"Часы",INDEX(Техника!$G$1:$ABN$500,K$2,0),$A$130,INDEX(Техника!$H$1:$ABO$500,K$2,0),"Д")</f>
        <v>0</v>
      </c>
      <c r="L132" s="50">
        <f>SUMIFS(INDEX(Техника!$F$1:$ABM$500,L$2,0),Техника!$F$4:$ABM$4,"Часы",INDEX(Техника!$G$1:$ABN$500,L$2,0),$A$130,INDEX(Техника!$H$1:$ABO$500,L$2,0),"Д")</f>
        <v>0</v>
      </c>
      <c r="M132" s="50">
        <f>SUMIFS(INDEX(Техника!$F$1:$ABM$500,M$2,0),Техника!$F$4:$ABM$4,"Часы",INDEX(Техника!$G$1:$ABN$500,M$2,0),$A$130,INDEX(Техника!$H$1:$ABO$500,M$2,0),"Д")</f>
        <v>0</v>
      </c>
      <c r="N132" s="50">
        <f>SUMIFS(INDEX(Техника!$F$1:$ABM$500,N$2,0),Техника!$F$4:$ABM$4,"Часы",INDEX(Техника!$G$1:$ABN$500,N$2,0),$A$130,INDEX(Техника!$H$1:$ABO$500,N$2,0),"Д")</f>
        <v>0</v>
      </c>
      <c r="O132" s="50">
        <f>SUMIFS(INDEX(Техника!$F$1:$ABM$500,O$2,0),Техника!$F$4:$ABM$4,"Часы",INDEX(Техника!$G$1:$ABN$500,O$2,0),$A$130,INDEX(Техника!$H$1:$ABO$500,O$2,0),"Д")</f>
        <v>0</v>
      </c>
      <c r="P132" s="50">
        <f>SUMIFS(INDEX(Техника!$F$1:$ABM$500,P$2,0),Техника!$F$4:$ABM$4,"Часы",INDEX(Техника!$G$1:$ABN$500,P$2,0),$A$130,INDEX(Техника!$H$1:$ABO$500,P$2,0),"Д")</f>
        <v>0</v>
      </c>
      <c r="Q132" s="50">
        <f>SUMIFS(INDEX(Техника!$F$1:$ABM$500,Q$2,0),Техника!$F$4:$ABM$4,"Часы",INDEX(Техника!$G$1:$ABN$500,Q$2,0),$A$130,INDEX(Техника!$H$1:$ABO$500,Q$2,0),"Д")</f>
        <v>0</v>
      </c>
      <c r="R132" s="50">
        <f>SUMIFS(INDEX(Техника!$F$1:$ABM$500,R$2,0),Техника!$F$4:$ABM$4,"Часы",INDEX(Техника!$G$1:$ABN$500,R$2,0),$A$130,INDEX(Техника!$H$1:$ABO$500,R$2,0),"Д")</f>
        <v>0</v>
      </c>
      <c r="S132" s="50">
        <f>SUMIFS(INDEX(Техника!$F$1:$ABM$500,S$2,0),Техника!$F$4:$ABM$4,"Часы",INDEX(Техника!$G$1:$ABN$500,S$2,0),$A$130,INDEX(Техника!$H$1:$ABO$500,S$2,0),"Д")</f>
        <v>0</v>
      </c>
      <c r="T132" s="50">
        <f>SUMIFS(INDEX(Техника!$F$1:$ABM$500,T$2,0),Техника!$F$4:$ABM$4,"Часы",INDEX(Техника!$G$1:$ABN$500,T$2,0),$A$130,INDEX(Техника!$H$1:$ABO$500,T$2,0),"Д")</f>
        <v>0</v>
      </c>
      <c r="U132" s="50">
        <f>SUMIFS(INDEX(Техника!$F$1:$ABM$500,U$2,0),Техника!$F$4:$ABM$4,"Часы",INDEX(Техника!$G$1:$ABN$500,U$2,0),$A$130,INDEX(Техника!$H$1:$ABO$500,U$2,0),"Д")</f>
        <v>0</v>
      </c>
      <c r="V132" s="50">
        <f>SUMIFS(INDEX(Техника!$F$1:$ABM$500,V$2,0),Техника!$F$4:$ABM$4,"Часы",INDEX(Техника!$G$1:$ABN$500,V$2,0),$A$130,INDEX(Техника!$H$1:$ABO$500,V$2,0),"Д")</f>
        <v>0</v>
      </c>
      <c r="W132" s="50">
        <f>SUMIFS(INDEX(Техника!$F$1:$ABM$500,W$2,0),Техника!$F$4:$ABM$4,"Часы",INDEX(Техника!$G$1:$ABN$500,W$2,0),$A$130,INDEX(Техника!$H$1:$ABO$500,W$2,0),"Д")</f>
        <v>0</v>
      </c>
      <c r="X132" s="50">
        <f>SUMIFS(INDEX(Техника!$F$1:$ABM$500,X$2,0),Техника!$F$4:$ABM$4,"Часы",INDEX(Техника!$G$1:$ABN$500,X$2,0),$A$130,INDEX(Техника!$H$1:$ABO$500,X$2,0),"Д")</f>
        <v>0</v>
      </c>
      <c r="Y132" s="50">
        <f>SUMIFS(INDEX(Техника!$F$1:$ABM$500,Y$2,0),Техника!$F$4:$ABM$4,"Часы",INDEX(Техника!$G$1:$ABN$500,Y$2,0),$A$130,INDEX(Техника!$H$1:$ABO$500,Y$2,0),"Д")</f>
        <v>0</v>
      </c>
      <c r="Z132" s="50">
        <f>SUMIFS(INDEX(Техника!$F$1:$ABM$500,Z$2,0),Техника!$F$4:$ABM$4,"Часы",INDEX(Техника!$G$1:$ABN$500,Z$2,0),$A$130,INDEX(Техника!$H$1:$ABO$500,Z$2,0),"Д")</f>
        <v>0</v>
      </c>
      <c r="AA132" s="50">
        <f>SUMIFS(INDEX(Техника!$F$1:$ABM$500,AA$2,0),Техника!$F$4:$ABM$4,"Часы",INDEX(Техника!$G$1:$ABN$500,AA$2,0),$A$130,INDEX(Техника!$H$1:$ABO$500,AA$2,0),"Д")</f>
        <v>0</v>
      </c>
      <c r="AB132" s="50">
        <f>SUMIFS(INDEX(Техника!$F$1:$ABM$500,AB$2,0),Техника!$F$4:$ABM$4,"Часы",INDEX(Техника!$G$1:$ABN$500,AB$2,0),$A$130,INDEX(Техника!$H$1:$ABO$500,AB$2,0),"Д")</f>
        <v>0</v>
      </c>
    </row>
    <row r="133" spans="1:28" hidden="1" outlineLevel="1" x14ac:dyDescent="0.3">
      <c r="A133" s="33" t="s">
        <v>276</v>
      </c>
      <c r="B133" s="34" t="s">
        <v>277</v>
      </c>
      <c r="C133" s="50">
        <f>SUMIFS(INDEX(Техника!$F$1:$ABM$500,C$2,0),Техника!$F$4:$ABM$4,"Часы",INDEX(Техника!$G$1:$ABN$500,C$2,0),$A$130,INDEX(Техника!$H$1:$ABO$500,C$2,0),"П")</f>
        <v>0</v>
      </c>
      <c r="D133" s="50">
        <f>SUMIFS(INDEX(Техника!$F$1:$ABM$500,D$2,0),Техника!$F$4:$ABM$4,"Часы",INDEX(Техника!$G$1:$ABN$500,D$2,0),$A$130,INDEX(Техника!$H$1:$ABO$500,D$2,0),"П")</f>
        <v>0</v>
      </c>
      <c r="E133" s="50">
        <f>SUMIFS(INDEX(Техника!$F$1:$ABM$500,E$2,0),Техника!$F$4:$ABM$4,"Часы",INDEX(Техника!$G$1:$ABN$500,E$2,0),$A$130,INDEX(Техника!$H$1:$ABO$500,E$2,0),"П")</f>
        <v>0</v>
      </c>
      <c r="F133" s="50">
        <f>SUMIFS(INDEX(Техника!$F$1:$ABM$500,F$2,0),Техника!$F$4:$ABM$4,"Часы",INDEX(Техника!$G$1:$ABN$500,F$2,0),$A$130,INDEX(Техника!$H$1:$ABO$500,F$2,0),"П")</f>
        <v>0</v>
      </c>
      <c r="G133" s="50">
        <f>SUMIFS(INDEX(Техника!$F$1:$ABM$500,G$2,0),Техника!$F$4:$ABM$4,"Часы",INDEX(Техника!$G$1:$ABN$500,G$2,0),$A$130,INDEX(Техника!$H$1:$ABO$500,G$2,0),"П")</f>
        <v>0</v>
      </c>
      <c r="H133" s="50">
        <f>SUMIFS(INDEX(Техника!$F$1:$ABM$500,H$2,0),Техника!$F$4:$ABM$4,"Часы",INDEX(Техника!$G$1:$ABN$500,H$2,0),$A$130,INDEX(Техника!$H$1:$ABO$500,H$2,0),"П")</f>
        <v>0</v>
      </c>
      <c r="I133" s="50">
        <f>SUMIFS(INDEX(Техника!$F$1:$ABM$500,I$2,0),Техника!$F$4:$ABM$4,"Часы",INDEX(Техника!$G$1:$ABN$500,I$2,0),$A$130,INDEX(Техника!$H$1:$ABO$500,I$2,0),"П")</f>
        <v>0</v>
      </c>
      <c r="J133" s="50">
        <f>SUMIFS(INDEX(Техника!$F$1:$ABM$500,J$2,0),Техника!$F$4:$ABM$4,"Часы",INDEX(Техника!$G$1:$ABN$500,J$2,0),$A$130,INDEX(Техника!$H$1:$ABO$500,J$2,0),"П")</f>
        <v>0</v>
      </c>
      <c r="K133" s="50">
        <f>SUMIFS(INDEX(Техника!$F$1:$ABM$500,K$2,0),Техника!$F$4:$ABM$4,"Часы",INDEX(Техника!$G$1:$ABN$500,K$2,0),$A$130,INDEX(Техника!$H$1:$ABO$500,K$2,0),"П")</f>
        <v>0</v>
      </c>
      <c r="L133" s="50">
        <f>SUMIFS(INDEX(Техника!$F$1:$ABM$500,L$2,0),Техника!$F$4:$ABM$4,"Часы",INDEX(Техника!$G$1:$ABN$500,L$2,0),$A$130,INDEX(Техника!$H$1:$ABO$500,L$2,0),"П")</f>
        <v>0</v>
      </c>
      <c r="M133" s="50">
        <f>SUMIFS(INDEX(Техника!$F$1:$ABM$500,M$2,0),Техника!$F$4:$ABM$4,"Часы",INDEX(Техника!$G$1:$ABN$500,M$2,0),$A$130,INDEX(Техника!$H$1:$ABO$500,M$2,0),"П")</f>
        <v>0</v>
      </c>
      <c r="N133" s="50">
        <f>SUMIFS(INDEX(Техника!$F$1:$ABM$500,N$2,0),Техника!$F$4:$ABM$4,"Часы",INDEX(Техника!$G$1:$ABN$500,N$2,0),$A$130,INDEX(Техника!$H$1:$ABO$500,N$2,0),"П")</f>
        <v>0</v>
      </c>
      <c r="O133" s="50">
        <f>SUMIFS(INDEX(Техника!$F$1:$ABM$500,O$2,0),Техника!$F$4:$ABM$4,"Часы",INDEX(Техника!$G$1:$ABN$500,O$2,0),$A$130,INDEX(Техника!$H$1:$ABO$500,O$2,0),"П")</f>
        <v>0</v>
      </c>
      <c r="P133" s="50">
        <f>SUMIFS(INDEX(Техника!$F$1:$ABM$500,P$2,0),Техника!$F$4:$ABM$4,"Часы",INDEX(Техника!$G$1:$ABN$500,P$2,0),$A$130,INDEX(Техника!$H$1:$ABO$500,P$2,0),"П")</f>
        <v>0</v>
      </c>
      <c r="Q133" s="50">
        <f>SUMIFS(INDEX(Техника!$F$1:$ABM$500,Q$2,0),Техника!$F$4:$ABM$4,"Часы",INDEX(Техника!$G$1:$ABN$500,Q$2,0),$A$130,INDEX(Техника!$H$1:$ABO$500,Q$2,0),"П")</f>
        <v>0</v>
      </c>
      <c r="R133" s="50">
        <f>SUMIFS(INDEX(Техника!$F$1:$ABM$500,R$2,0),Техника!$F$4:$ABM$4,"Часы",INDEX(Техника!$G$1:$ABN$500,R$2,0),$A$130,INDEX(Техника!$H$1:$ABO$500,R$2,0),"П")</f>
        <v>0</v>
      </c>
      <c r="S133" s="50">
        <f>SUMIFS(INDEX(Техника!$F$1:$ABM$500,S$2,0),Техника!$F$4:$ABM$4,"Часы",INDEX(Техника!$G$1:$ABN$500,S$2,0),$A$130,INDEX(Техника!$H$1:$ABO$500,S$2,0),"П")</f>
        <v>0</v>
      </c>
      <c r="T133" s="50">
        <f>SUMIFS(INDEX(Техника!$F$1:$ABM$500,T$2,0),Техника!$F$4:$ABM$4,"Часы",INDEX(Техника!$G$1:$ABN$500,T$2,0),$A$130,INDEX(Техника!$H$1:$ABO$500,T$2,0),"П")</f>
        <v>0</v>
      </c>
      <c r="U133" s="50">
        <f>SUMIFS(INDEX(Техника!$F$1:$ABM$500,U$2,0),Техника!$F$4:$ABM$4,"Часы",INDEX(Техника!$G$1:$ABN$500,U$2,0),$A$130,INDEX(Техника!$H$1:$ABO$500,U$2,0),"П")</f>
        <v>0</v>
      </c>
      <c r="V133" s="50">
        <f>SUMIFS(INDEX(Техника!$F$1:$ABM$500,V$2,0),Техника!$F$4:$ABM$4,"Часы",INDEX(Техника!$G$1:$ABN$500,V$2,0),$A$130,INDEX(Техника!$H$1:$ABO$500,V$2,0),"П")</f>
        <v>0</v>
      </c>
      <c r="W133" s="50">
        <f>SUMIFS(INDEX(Техника!$F$1:$ABM$500,W$2,0),Техника!$F$4:$ABM$4,"Часы",INDEX(Техника!$G$1:$ABN$500,W$2,0),$A$130,INDEX(Техника!$H$1:$ABO$500,W$2,0),"П")</f>
        <v>0</v>
      </c>
      <c r="X133" s="50">
        <f>SUMIFS(INDEX(Техника!$F$1:$ABM$500,X$2,0),Техника!$F$4:$ABM$4,"Часы",INDEX(Техника!$G$1:$ABN$500,X$2,0),$A$130,INDEX(Техника!$H$1:$ABO$500,X$2,0),"П")</f>
        <v>0</v>
      </c>
      <c r="Y133" s="50">
        <f>SUMIFS(INDEX(Техника!$F$1:$ABM$500,Y$2,0),Техника!$F$4:$ABM$4,"Часы",INDEX(Техника!$G$1:$ABN$500,Y$2,0),$A$130,INDEX(Техника!$H$1:$ABO$500,Y$2,0),"П")</f>
        <v>0</v>
      </c>
      <c r="Z133" s="50">
        <f>SUMIFS(INDEX(Техника!$F$1:$ABM$500,Z$2,0),Техника!$F$4:$ABM$4,"Часы",INDEX(Техника!$G$1:$ABN$500,Z$2,0),$A$130,INDEX(Техника!$H$1:$ABO$500,Z$2,0),"П")</f>
        <v>0</v>
      </c>
      <c r="AA133" s="50">
        <f>SUMIFS(INDEX(Техника!$F$1:$ABM$500,AA$2,0),Техника!$F$4:$ABM$4,"Часы",INDEX(Техника!$G$1:$ABN$500,AA$2,0),$A$130,INDEX(Техника!$H$1:$ABO$500,AA$2,0),"П")</f>
        <v>0</v>
      </c>
      <c r="AB133" s="50">
        <f>SUMIFS(INDEX(Техника!$F$1:$ABM$500,AB$2,0),Техника!$F$4:$ABM$4,"Часы",INDEX(Техника!$G$1:$ABN$500,AB$2,0),$A$130,INDEX(Техника!$H$1:$ABO$500,AB$2,0),"П")</f>
        <v>0</v>
      </c>
    </row>
    <row r="134" spans="1:28" hidden="1" outlineLevel="1" x14ac:dyDescent="0.3">
      <c r="A134" s="33" t="s">
        <v>243</v>
      </c>
      <c r="B134" s="34" t="s">
        <v>278</v>
      </c>
      <c r="C134" s="50">
        <f>SUMIFS(INDEX(Техника!$F$1:$ABM$500,C$2,0),Техника!$F$4:$ABM$4,"Часы",INDEX(Техника!$G$1:$ABN$500,C$2,0),$A$130,INDEX(Техника!$H$1:$ABO$500,C$2,0),"Л")</f>
        <v>0</v>
      </c>
      <c r="D134" s="50">
        <f>SUMIFS(INDEX(Техника!$F$1:$ABM$500,D$2,0),Техника!$F$4:$ABM$4,"Часы",INDEX(Техника!$G$1:$ABN$500,D$2,0),$A$130,INDEX(Техника!$H$1:$ABO$500,D$2,0),"Л")</f>
        <v>0</v>
      </c>
      <c r="E134" s="50">
        <f>SUMIFS(INDEX(Техника!$F$1:$ABM$500,E$2,0),Техника!$F$4:$ABM$4,"Часы",INDEX(Техника!$G$1:$ABN$500,E$2,0),$A$130,INDEX(Техника!$H$1:$ABO$500,E$2,0),"Л")</f>
        <v>0</v>
      </c>
      <c r="F134" s="50">
        <f>SUMIFS(INDEX(Техника!$F$1:$ABM$500,F$2,0),Техника!$F$4:$ABM$4,"Часы",INDEX(Техника!$G$1:$ABN$500,F$2,0),$A$130,INDEX(Техника!$H$1:$ABO$500,F$2,0),"Л")</f>
        <v>0</v>
      </c>
      <c r="G134" s="50">
        <f>SUMIFS(INDEX(Техника!$F$1:$ABM$500,G$2,0),Техника!$F$4:$ABM$4,"Часы",INDEX(Техника!$G$1:$ABN$500,G$2,0),$A$130,INDEX(Техника!$H$1:$ABO$500,G$2,0),"Л")</f>
        <v>0</v>
      </c>
      <c r="H134" s="50">
        <f>SUMIFS(INDEX(Техника!$F$1:$ABM$500,H$2,0),Техника!$F$4:$ABM$4,"Часы",INDEX(Техника!$G$1:$ABN$500,H$2,0),$A$130,INDEX(Техника!$H$1:$ABO$500,H$2,0),"Л")</f>
        <v>0</v>
      </c>
      <c r="I134" s="50">
        <f>SUMIFS(INDEX(Техника!$F$1:$ABM$500,I$2,0),Техника!$F$4:$ABM$4,"Часы",INDEX(Техника!$G$1:$ABN$500,I$2,0),$A$130,INDEX(Техника!$H$1:$ABO$500,I$2,0),"Л")</f>
        <v>0</v>
      </c>
      <c r="J134" s="50">
        <f>SUMIFS(INDEX(Техника!$F$1:$ABM$500,J$2,0),Техника!$F$4:$ABM$4,"Часы",INDEX(Техника!$G$1:$ABN$500,J$2,0),$A$130,INDEX(Техника!$H$1:$ABO$500,J$2,0),"Л")</f>
        <v>0</v>
      </c>
      <c r="K134" s="50">
        <f>SUMIFS(INDEX(Техника!$F$1:$ABM$500,K$2,0),Техника!$F$4:$ABM$4,"Часы",INDEX(Техника!$G$1:$ABN$500,K$2,0),$A$130,INDEX(Техника!$H$1:$ABO$500,K$2,0),"Л")</f>
        <v>0</v>
      </c>
      <c r="L134" s="50">
        <f>SUMIFS(INDEX(Техника!$F$1:$ABM$500,L$2,0),Техника!$F$4:$ABM$4,"Часы",INDEX(Техника!$G$1:$ABN$500,L$2,0),$A$130,INDEX(Техника!$H$1:$ABO$500,L$2,0),"Л")</f>
        <v>0</v>
      </c>
      <c r="M134" s="50">
        <f>SUMIFS(INDEX(Техника!$F$1:$ABM$500,M$2,0),Техника!$F$4:$ABM$4,"Часы",INDEX(Техника!$G$1:$ABN$500,M$2,0),$A$130,INDEX(Техника!$H$1:$ABO$500,M$2,0),"Л")</f>
        <v>0</v>
      </c>
      <c r="N134" s="50">
        <f>SUMIFS(INDEX(Техника!$F$1:$ABM$500,N$2,0),Техника!$F$4:$ABM$4,"Часы",INDEX(Техника!$G$1:$ABN$500,N$2,0),$A$130,INDEX(Техника!$H$1:$ABO$500,N$2,0),"Л")</f>
        <v>0</v>
      </c>
      <c r="O134" s="50">
        <f>SUMIFS(INDEX(Техника!$F$1:$ABM$500,O$2,0),Техника!$F$4:$ABM$4,"Часы",INDEX(Техника!$G$1:$ABN$500,O$2,0),$A$130,INDEX(Техника!$H$1:$ABO$500,O$2,0),"Л")</f>
        <v>0</v>
      </c>
      <c r="P134" s="50">
        <f>SUMIFS(INDEX(Техника!$F$1:$ABM$500,P$2,0),Техника!$F$4:$ABM$4,"Часы",INDEX(Техника!$G$1:$ABN$500,P$2,0),$A$130,INDEX(Техника!$H$1:$ABO$500,P$2,0),"Л")</f>
        <v>0</v>
      </c>
      <c r="Q134" s="50">
        <f>SUMIFS(INDEX(Техника!$F$1:$ABM$500,Q$2,0),Техника!$F$4:$ABM$4,"Часы",INDEX(Техника!$G$1:$ABN$500,Q$2,0),$A$130,INDEX(Техника!$H$1:$ABO$500,Q$2,0),"Л")</f>
        <v>0</v>
      </c>
      <c r="R134" s="50">
        <f>SUMIFS(INDEX(Техника!$F$1:$ABM$500,R$2,0),Техника!$F$4:$ABM$4,"Часы",INDEX(Техника!$G$1:$ABN$500,R$2,0),$A$130,INDEX(Техника!$H$1:$ABO$500,R$2,0),"Л")</f>
        <v>0</v>
      </c>
      <c r="S134" s="50">
        <f>SUMIFS(INDEX(Техника!$F$1:$ABM$500,S$2,0),Техника!$F$4:$ABM$4,"Часы",INDEX(Техника!$G$1:$ABN$500,S$2,0),$A$130,INDEX(Техника!$H$1:$ABO$500,S$2,0),"Л")</f>
        <v>0</v>
      </c>
      <c r="T134" s="50">
        <f>SUMIFS(INDEX(Техника!$F$1:$ABM$500,T$2,0),Техника!$F$4:$ABM$4,"Часы",INDEX(Техника!$G$1:$ABN$500,T$2,0),$A$130,INDEX(Техника!$H$1:$ABO$500,T$2,0),"Л")</f>
        <v>0</v>
      </c>
      <c r="U134" s="50">
        <f>SUMIFS(INDEX(Техника!$F$1:$ABM$500,U$2,0),Техника!$F$4:$ABM$4,"Часы",INDEX(Техника!$G$1:$ABN$500,U$2,0),$A$130,INDEX(Техника!$H$1:$ABO$500,U$2,0),"Л")</f>
        <v>0</v>
      </c>
      <c r="V134" s="50">
        <f>SUMIFS(INDEX(Техника!$F$1:$ABM$500,V$2,0),Техника!$F$4:$ABM$4,"Часы",INDEX(Техника!$G$1:$ABN$500,V$2,0),$A$130,INDEX(Техника!$H$1:$ABO$500,V$2,0),"Л")</f>
        <v>0</v>
      </c>
      <c r="W134" s="50">
        <f>SUMIFS(INDEX(Техника!$F$1:$ABM$500,W$2,0),Техника!$F$4:$ABM$4,"Часы",INDEX(Техника!$G$1:$ABN$500,W$2,0),$A$130,INDEX(Техника!$H$1:$ABO$500,W$2,0),"Л")</f>
        <v>0</v>
      </c>
      <c r="X134" s="50">
        <f>SUMIFS(INDEX(Техника!$F$1:$ABM$500,X$2,0),Техника!$F$4:$ABM$4,"Часы",INDEX(Техника!$G$1:$ABN$500,X$2,0),$A$130,INDEX(Техника!$H$1:$ABO$500,X$2,0),"Л")</f>
        <v>0</v>
      </c>
      <c r="Y134" s="50">
        <f>SUMIFS(INDEX(Техника!$F$1:$ABM$500,Y$2,0),Техника!$F$4:$ABM$4,"Часы",INDEX(Техника!$G$1:$ABN$500,Y$2,0),$A$130,INDEX(Техника!$H$1:$ABO$500,Y$2,0),"Л")</f>
        <v>0</v>
      </c>
      <c r="Z134" s="50">
        <f>SUMIFS(INDEX(Техника!$F$1:$ABM$500,Z$2,0),Техника!$F$4:$ABM$4,"Часы",INDEX(Техника!$G$1:$ABN$500,Z$2,0),$A$130,INDEX(Техника!$H$1:$ABO$500,Z$2,0),"Л")</f>
        <v>0</v>
      </c>
      <c r="AA134" s="50">
        <f>SUMIFS(INDEX(Техника!$F$1:$ABM$500,AA$2,0),Техника!$F$4:$ABM$4,"Часы",INDEX(Техника!$G$1:$ABN$500,AA$2,0),$A$130,INDEX(Техника!$H$1:$ABO$500,AA$2,0),"Л")</f>
        <v>0</v>
      </c>
      <c r="AB134" s="50">
        <f>SUMIFS(INDEX(Техника!$F$1:$ABM$500,AB$2,0),Техника!$F$4:$ABM$4,"Часы",INDEX(Техника!$G$1:$ABN$500,AB$2,0),$A$130,INDEX(Техника!$H$1:$ABO$500,AB$2,0),"Л")</f>
        <v>0</v>
      </c>
    </row>
    <row r="135" spans="1:28" hidden="1" outlineLevel="1" x14ac:dyDescent="0.3">
      <c r="A135" s="33" t="s">
        <v>245</v>
      </c>
      <c r="B135" s="34" t="s">
        <v>279</v>
      </c>
      <c r="C135" s="50">
        <f>SUMIFS(INDEX(Техника!$F$1:$ABM$500,C$2,0),Техника!$F$4:$ABM$4,"Часы",INDEX(Техника!$G$1:$ABN$500,C$2,0),$A$130,INDEX(Техника!$H$1:$ABO$500,C$2,0),"З")</f>
        <v>0</v>
      </c>
      <c r="D135" s="50">
        <f>SUMIFS(INDEX(Техника!$F$1:$ABM$500,D$2,0),Техника!$F$4:$ABM$4,"Часы",INDEX(Техника!$G$1:$ABN$500,D$2,0),$A$130,INDEX(Техника!$H$1:$ABO$500,D$2,0),"З")</f>
        <v>0</v>
      </c>
      <c r="E135" s="50">
        <f>SUMIFS(INDEX(Техника!$F$1:$ABM$500,E$2,0),Техника!$F$4:$ABM$4,"Часы",INDEX(Техника!$G$1:$ABN$500,E$2,0),$A$130,INDEX(Техника!$H$1:$ABO$500,E$2,0),"З")</f>
        <v>0</v>
      </c>
      <c r="F135" s="50">
        <f>SUMIFS(INDEX(Техника!$F$1:$ABM$500,F$2,0),Техника!$F$4:$ABM$4,"Часы",INDEX(Техника!$G$1:$ABN$500,F$2,0),$A$130,INDEX(Техника!$H$1:$ABO$500,F$2,0),"З")</f>
        <v>0</v>
      </c>
      <c r="G135" s="50">
        <f>SUMIFS(INDEX(Техника!$F$1:$ABM$500,G$2,0),Техника!$F$4:$ABM$4,"Часы",INDEX(Техника!$G$1:$ABN$500,G$2,0),$A$130,INDEX(Техника!$H$1:$ABO$500,G$2,0),"З")</f>
        <v>0</v>
      </c>
      <c r="H135" s="50">
        <f>SUMIFS(INDEX(Техника!$F$1:$ABM$500,H$2,0),Техника!$F$4:$ABM$4,"Часы",INDEX(Техника!$G$1:$ABN$500,H$2,0),$A$130,INDEX(Техника!$H$1:$ABO$500,H$2,0),"З")</f>
        <v>0</v>
      </c>
      <c r="I135" s="50">
        <f>SUMIFS(INDEX(Техника!$F$1:$ABM$500,I$2,0),Техника!$F$4:$ABM$4,"Часы",INDEX(Техника!$G$1:$ABN$500,I$2,0),$A$130,INDEX(Техника!$H$1:$ABO$500,I$2,0),"З")</f>
        <v>0</v>
      </c>
      <c r="J135" s="50">
        <f>SUMIFS(INDEX(Техника!$F$1:$ABM$500,J$2,0),Техника!$F$4:$ABM$4,"Часы",INDEX(Техника!$G$1:$ABN$500,J$2,0),$A$130,INDEX(Техника!$H$1:$ABO$500,J$2,0),"З")</f>
        <v>0</v>
      </c>
      <c r="K135" s="50">
        <f>SUMIFS(INDEX(Техника!$F$1:$ABM$500,K$2,0),Техника!$F$4:$ABM$4,"Часы",INDEX(Техника!$G$1:$ABN$500,K$2,0),$A$130,INDEX(Техника!$H$1:$ABO$500,K$2,0),"З")</f>
        <v>0</v>
      </c>
      <c r="L135" s="50">
        <f>SUMIFS(INDEX(Техника!$F$1:$ABM$500,L$2,0),Техника!$F$4:$ABM$4,"Часы",INDEX(Техника!$G$1:$ABN$500,L$2,0),$A$130,INDEX(Техника!$H$1:$ABO$500,L$2,0),"З")</f>
        <v>0</v>
      </c>
      <c r="M135" s="50">
        <f>SUMIFS(INDEX(Техника!$F$1:$ABM$500,M$2,0),Техника!$F$4:$ABM$4,"Часы",INDEX(Техника!$G$1:$ABN$500,M$2,0),$A$130,INDEX(Техника!$H$1:$ABO$500,M$2,0),"З")</f>
        <v>0</v>
      </c>
      <c r="N135" s="50">
        <f>SUMIFS(INDEX(Техника!$F$1:$ABM$500,N$2,0),Техника!$F$4:$ABM$4,"Часы",INDEX(Техника!$G$1:$ABN$500,N$2,0),$A$130,INDEX(Техника!$H$1:$ABO$500,N$2,0),"З")</f>
        <v>0</v>
      </c>
      <c r="O135" s="50">
        <f>SUMIFS(INDEX(Техника!$F$1:$ABM$500,O$2,0),Техника!$F$4:$ABM$4,"Часы",INDEX(Техника!$G$1:$ABN$500,O$2,0),$A$130,INDEX(Техника!$H$1:$ABO$500,O$2,0),"З")</f>
        <v>0</v>
      </c>
      <c r="P135" s="50">
        <f>SUMIFS(INDEX(Техника!$F$1:$ABM$500,P$2,0),Техника!$F$4:$ABM$4,"Часы",INDEX(Техника!$G$1:$ABN$500,P$2,0),$A$130,INDEX(Техника!$H$1:$ABO$500,P$2,0),"З")</f>
        <v>0</v>
      </c>
      <c r="Q135" s="50">
        <f>SUMIFS(INDEX(Техника!$F$1:$ABM$500,Q$2,0),Техника!$F$4:$ABM$4,"Часы",INDEX(Техника!$G$1:$ABN$500,Q$2,0),$A$130,INDEX(Техника!$H$1:$ABO$500,Q$2,0),"З")</f>
        <v>0</v>
      </c>
      <c r="R135" s="50">
        <f>SUMIFS(INDEX(Техника!$F$1:$ABM$500,R$2,0),Техника!$F$4:$ABM$4,"Часы",INDEX(Техника!$G$1:$ABN$500,R$2,0),$A$130,INDEX(Техника!$H$1:$ABO$500,R$2,0),"З")</f>
        <v>0</v>
      </c>
      <c r="S135" s="50">
        <f>SUMIFS(INDEX(Техника!$F$1:$ABM$500,S$2,0),Техника!$F$4:$ABM$4,"Часы",INDEX(Техника!$G$1:$ABN$500,S$2,0),$A$130,INDEX(Техника!$H$1:$ABO$500,S$2,0),"З")</f>
        <v>0</v>
      </c>
      <c r="T135" s="50">
        <f>SUMIFS(INDEX(Техника!$F$1:$ABM$500,T$2,0),Техника!$F$4:$ABM$4,"Часы",INDEX(Техника!$G$1:$ABN$500,T$2,0),$A$130,INDEX(Техника!$H$1:$ABO$500,T$2,0),"З")</f>
        <v>0</v>
      </c>
      <c r="U135" s="50">
        <f>SUMIFS(INDEX(Техника!$F$1:$ABM$500,U$2,0),Техника!$F$4:$ABM$4,"Часы",INDEX(Техника!$G$1:$ABN$500,U$2,0),$A$130,INDEX(Техника!$H$1:$ABO$500,U$2,0),"З")</f>
        <v>0</v>
      </c>
      <c r="V135" s="50">
        <f>SUMIFS(INDEX(Техника!$F$1:$ABM$500,V$2,0),Техника!$F$4:$ABM$4,"Часы",INDEX(Техника!$G$1:$ABN$500,V$2,0),$A$130,INDEX(Техника!$H$1:$ABO$500,V$2,0),"З")</f>
        <v>0</v>
      </c>
      <c r="W135" s="50">
        <f>SUMIFS(INDEX(Техника!$F$1:$ABM$500,W$2,0),Техника!$F$4:$ABM$4,"Часы",INDEX(Техника!$G$1:$ABN$500,W$2,0),$A$130,INDEX(Техника!$H$1:$ABO$500,W$2,0),"З")</f>
        <v>0</v>
      </c>
      <c r="X135" s="50">
        <f>SUMIFS(INDEX(Техника!$F$1:$ABM$500,X$2,0),Техника!$F$4:$ABM$4,"Часы",INDEX(Техника!$G$1:$ABN$500,X$2,0),$A$130,INDEX(Техника!$H$1:$ABO$500,X$2,0),"З")</f>
        <v>0</v>
      </c>
      <c r="Y135" s="50">
        <f>SUMIFS(INDEX(Техника!$F$1:$ABM$500,Y$2,0),Техника!$F$4:$ABM$4,"Часы",INDEX(Техника!$G$1:$ABN$500,Y$2,0),$A$130,INDEX(Техника!$H$1:$ABO$500,Y$2,0),"З")</f>
        <v>0</v>
      </c>
      <c r="Z135" s="50">
        <f>SUMIFS(INDEX(Техника!$F$1:$ABM$500,Z$2,0),Техника!$F$4:$ABM$4,"Часы",INDEX(Техника!$G$1:$ABN$500,Z$2,0),$A$130,INDEX(Техника!$H$1:$ABO$500,Z$2,0),"З")</f>
        <v>0</v>
      </c>
      <c r="AA135" s="50">
        <f>SUMIFS(INDEX(Техника!$F$1:$ABM$500,AA$2,0),Техника!$F$4:$ABM$4,"Часы",INDEX(Техника!$G$1:$ABN$500,AA$2,0),$A$130,INDEX(Техника!$H$1:$ABO$500,AA$2,0),"З")</f>
        <v>0</v>
      </c>
      <c r="AB135" s="50">
        <f>SUMIFS(INDEX(Техника!$F$1:$ABM$500,AB$2,0),Техника!$F$4:$ABM$4,"Часы",INDEX(Техника!$G$1:$ABN$500,AB$2,0),$A$130,INDEX(Техника!$H$1:$ABO$500,AB$2,0),"З")</f>
        <v>0</v>
      </c>
    </row>
    <row r="136" spans="1:28" ht="7.95" customHeight="1" x14ac:dyDescent="0.3">
      <c r="A136" s="38"/>
      <c r="B136" s="39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 spans="1:28" ht="25.05" customHeight="1" collapsed="1" x14ac:dyDescent="0.3">
      <c r="A137" s="32">
        <v>20</v>
      </c>
      <c r="B137" s="32" t="s">
        <v>21</v>
      </c>
      <c r="C137" s="49">
        <f>SUM(C138:C142)</f>
        <v>0</v>
      </c>
      <c r="D137" s="49">
        <f>SUM(D138:D142)</f>
        <v>0</v>
      </c>
      <c r="E137" s="49">
        <f>SUM(E138:E142)</f>
        <v>0</v>
      </c>
      <c r="F137" s="49">
        <f>SUM(F138:F142)</f>
        <v>0</v>
      </c>
      <c r="G137" s="49">
        <f>SUM(G138:G142)</f>
        <v>0</v>
      </c>
      <c r="H137" s="49">
        <f>SUM(H138:H142)</f>
        <v>0</v>
      </c>
      <c r="I137" s="49">
        <f>SUM(I138:I142)</f>
        <v>0</v>
      </c>
      <c r="J137" s="49">
        <f>SUM(J138:J142)</f>
        <v>0</v>
      </c>
      <c r="K137" s="49">
        <f>SUM(K138:K142)</f>
        <v>0</v>
      </c>
      <c r="L137" s="49">
        <f>SUM(L138:L142)</f>
        <v>0</v>
      </c>
      <c r="M137" s="49">
        <f>SUM(M138:M142)</f>
        <v>0</v>
      </c>
      <c r="N137" s="49">
        <f>SUM(N138:N142)</f>
        <v>0</v>
      </c>
      <c r="O137" s="49">
        <f>SUM(O138:O142)</f>
        <v>0</v>
      </c>
      <c r="P137" s="49">
        <f>SUM(P138:P142)</f>
        <v>0</v>
      </c>
      <c r="Q137" s="49">
        <f>SUM(Q138:Q142)</f>
        <v>0</v>
      </c>
      <c r="R137" s="49">
        <f>SUM(R138:R142)</f>
        <v>0</v>
      </c>
      <c r="S137" s="49">
        <f>SUM(S138:S142)</f>
        <v>0</v>
      </c>
      <c r="T137" s="49">
        <f>SUM(T138:T142)</f>
        <v>0</v>
      </c>
      <c r="U137" s="49">
        <f>SUM(U138:U142)</f>
        <v>0</v>
      </c>
      <c r="V137" s="49">
        <f>SUM(V138:V142)</f>
        <v>0</v>
      </c>
      <c r="W137" s="49">
        <f>SUM(W138:W142)</f>
        <v>0</v>
      </c>
      <c r="X137" s="49">
        <f>SUM(X138:X142)</f>
        <v>0</v>
      </c>
      <c r="Y137" s="49">
        <f>SUM(Y138:Y142)</f>
        <v>0</v>
      </c>
      <c r="Z137" s="49">
        <f>SUM(Z138:Z142)</f>
        <v>0</v>
      </c>
      <c r="AA137" s="49">
        <f>SUM(AA138:AA142)</f>
        <v>0</v>
      </c>
      <c r="AB137" s="49">
        <f>SUM(AB138:AB142)</f>
        <v>0</v>
      </c>
    </row>
    <row r="138" spans="1:28" hidden="1" outlineLevel="1" x14ac:dyDescent="0.3">
      <c r="A138" s="33" t="s">
        <v>246</v>
      </c>
      <c r="B138" s="34" t="s">
        <v>274</v>
      </c>
      <c r="C138" s="50">
        <f>SUMIFS(INDEX(Техника!$F$1:$ABM$500,C$2,0),Техника!$F$4:$ABM$4,"Часы",INDEX(Техника!$G$1:$ABN$500,C$2,0),$A$137,INDEX(Техника!$H$1:$ABO$500,C$2,0),"М")</f>
        <v>0</v>
      </c>
      <c r="D138" s="50">
        <f>SUMIFS(INDEX(Техника!$F$1:$ABM$500,D$2,0),Техника!$F$4:$ABM$4,"Часы",INDEX(Техника!$G$1:$ABN$500,D$2,0),$A$137,INDEX(Техника!$H$1:$ABO$500,D$2,0),"М")</f>
        <v>0</v>
      </c>
      <c r="E138" s="50">
        <f>SUMIFS(INDEX(Техника!$F$1:$ABM$500,E$2,0),Техника!$F$4:$ABM$4,"Часы",INDEX(Техника!$G$1:$ABN$500,E$2,0),$A$137,INDEX(Техника!$H$1:$ABO$500,E$2,0),"М")</f>
        <v>0</v>
      </c>
      <c r="F138" s="50">
        <f>SUMIFS(INDEX(Техника!$F$1:$ABM$500,F$2,0),Техника!$F$4:$ABM$4,"Часы",INDEX(Техника!$G$1:$ABN$500,F$2,0),$A$137,INDEX(Техника!$H$1:$ABO$500,F$2,0),"М")</f>
        <v>0</v>
      </c>
      <c r="G138" s="50">
        <f>SUMIFS(INDEX(Техника!$F$1:$ABM$500,G$2,0),Техника!$F$4:$ABM$4,"Часы",INDEX(Техника!$G$1:$ABN$500,G$2,0),$A$137,INDEX(Техника!$H$1:$ABO$500,G$2,0),"М")</f>
        <v>0</v>
      </c>
      <c r="H138" s="50">
        <f>SUMIFS(INDEX(Техника!$F$1:$ABM$500,H$2,0),Техника!$F$4:$ABM$4,"Часы",INDEX(Техника!$G$1:$ABN$500,H$2,0),$A$137,INDEX(Техника!$H$1:$ABO$500,H$2,0),"М")</f>
        <v>0</v>
      </c>
      <c r="I138" s="50">
        <f>SUMIFS(INDEX(Техника!$F$1:$ABM$500,I$2,0),Техника!$F$4:$ABM$4,"Часы",INDEX(Техника!$G$1:$ABN$500,I$2,0),$A$137,INDEX(Техника!$H$1:$ABO$500,I$2,0),"М")</f>
        <v>0</v>
      </c>
      <c r="J138" s="50">
        <f>SUMIFS(INDEX(Техника!$F$1:$ABM$500,J$2,0),Техника!$F$4:$ABM$4,"Часы",INDEX(Техника!$G$1:$ABN$500,J$2,0),$A$137,INDEX(Техника!$H$1:$ABO$500,J$2,0),"М")</f>
        <v>0</v>
      </c>
      <c r="K138" s="50">
        <f>SUMIFS(INDEX(Техника!$F$1:$ABM$500,K$2,0),Техника!$F$4:$ABM$4,"Часы",INDEX(Техника!$G$1:$ABN$500,K$2,0),$A$137,INDEX(Техника!$H$1:$ABO$500,K$2,0),"М")</f>
        <v>0</v>
      </c>
      <c r="L138" s="50">
        <f>SUMIFS(INDEX(Техника!$F$1:$ABM$500,L$2,0),Техника!$F$4:$ABM$4,"Часы",INDEX(Техника!$G$1:$ABN$500,L$2,0),$A$137,INDEX(Техника!$H$1:$ABO$500,L$2,0),"М")</f>
        <v>0</v>
      </c>
      <c r="M138" s="50">
        <f>SUMIFS(INDEX(Техника!$F$1:$ABM$500,M$2,0),Техника!$F$4:$ABM$4,"Часы",INDEX(Техника!$G$1:$ABN$500,M$2,0),$A$137,INDEX(Техника!$H$1:$ABO$500,M$2,0),"М")</f>
        <v>0</v>
      </c>
      <c r="N138" s="50">
        <f>SUMIFS(INDEX(Техника!$F$1:$ABM$500,N$2,0),Техника!$F$4:$ABM$4,"Часы",INDEX(Техника!$G$1:$ABN$500,N$2,0),$A$137,INDEX(Техника!$H$1:$ABO$500,N$2,0),"М")</f>
        <v>0</v>
      </c>
      <c r="O138" s="50">
        <f>SUMIFS(INDEX(Техника!$F$1:$ABM$500,O$2,0),Техника!$F$4:$ABM$4,"Часы",INDEX(Техника!$G$1:$ABN$500,O$2,0),$A$137,INDEX(Техника!$H$1:$ABO$500,O$2,0),"М")</f>
        <v>0</v>
      </c>
      <c r="P138" s="50">
        <f>SUMIFS(INDEX(Техника!$F$1:$ABM$500,P$2,0),Техника!$F$4:$ABM$4,"Часы",INDEX(Техника!$G$1:$ABN$500,P$2,0),$A$137,INDEX(Техника!$H$1:$ABO$500,P$2,0),"М")</f>
        <v>0</v>
      </c>
      <c r="Q138" s="50">
        <f>SUMIFS(INDEX(Техника!$F$1:$ABM$500,Q$2,0),Техника!$F$4:$ABM$4,"Часы",INDEX(Техника!$G$1:$ABN$500,Q$2,0),$A$137,INDEX(Техника!$H$1:$ABO$500,Q$2,0),"М")</f>
        <v>0</v>
      </c>
      <c r="R138" s="50">
        <f>SUMIFS(INDEX(Техника!$F$1:$ABM$500,R$2,0),Техника!$F$4:$ABM$4,"Часы",INDEX(Техника!$G$1:$ABN$500,R$2,0),$A$137,INDEX(Техника!$H$1:$ABO$500,R$2,0),"М")</f>
        <v>0</v>
      </c>
      <c r="S138" s="50">
        <f>SUMIFS(INDEX(Техника!$F$1:$ABM$500,S$2,0),Техника!$F$4:$ABM$4,"Часы",INDEX(Техника!$G$1:$ABN$500,S$2,0),$A$137,INDEX(Техника!$H$1:$ABO$500,S$2,0),"М")</f>
        <v>0</v>
      </c>
      <c r="T138" s="50">
        <f>SUMIFS(INDEX(Техника!$F$1:$ABM$500,T$2,0),Техника!$F$4:$ABM$4,"Часы",INDEX(Техника!$G$1:$ABN$500,T$2,0),$A$137,INDEX(Техника!$H$1:$ABO$500,T$2,0),"М")</f>
        <v>0</v>
      </c>
      <c r="U138" s="50">
        <f>SUMIFS(INDEX(Техника!$F$1:$ABM$500,U$2,0),Техника!$F$4:$ABM$4,"Часы",INDEX(Техника!$G$1:$ABN$500,U$2,0),$A$137,INDEX(Техника!$H$1:$ABO$500,U$2,0),"М")</f>
        <v>0</v>
      </c>
      <c r="V138" s="50">
        <f>SUMIFS(INDEX(Техника!$F$1:$ABM$500,V$2,0),Техника!$F$4:$ABM$4,"Часы",INDEX(Техника!$G$1:$ABN$500,V$2,0),$A$137,INDEX(Техника!$H$1:$ABO$500,V$2,0),"М")</f>
        <v>0</v>
      </c>
      <c r="W138" s="50">
        <f>SUMIFS(INDEX(Техника!$F$1:$ABM$500,W$2,0),Техника!$F$4:$ABM$4,"Часы",INDEX(Техника!$G$1:$ABN$500,W$2,0),$A$137,INDEX(Техника!$H$1:$ABO$500,W$2,0),"М")</f>
        <v>0</v>
      </c>
      <c r="X138" s="50">
        <f>SUMIFS(INDEX(Техника!$F$1:$ABM$500,X$2,0),Техника!$F$4:$ABM$4,"Часы",INDEX(Техника!$G$1:$ABN$500,X$2,0),$A$137,INDEX(Техника!$H$1:$ABO$500,X$2,0),"М")</f>
        <v>0</v>
      </c>
      <c r="Y138" s="50">
        <f>SUMIFS(INDEX(Техника!$F$1:$ABM$500,Y$2,0),Техника!$F$4:$ABM$4,"Часы",INDEX(Техника!$G$1:$ABN$500,Y$2,0),$A$137,INDEX(Техника!$H$1:$ABO$500,Y$2,0),"М")</f>
        <v>0</v>
      </c>
      <c r="Z138" s="50">
        <f>SUMIFS(INDEX(Техника!$F$1:$ABM$500,Z$2,0),Техника!$F$4:$ABM$4,"Часы",INDEX(Техника!$G$1:$ABN$500,Z$2,0),$A$137,INDEX(Техника!$H$1:$ABO$500,Z$2,0),"М")</f>
        <v>0</v>
      </c>
      <c r="AA138" s="50">
        <f>SUMIFS(INDEX(Техника!$F$1:$ABM$500,AA$2,0),Техника!$F$4:$ABM$4,"Часы",INDEX(Техника!$G$1:$ABN$500,AA$2,0),$A$137,INDEX(Техника!$H$1:$ABO$500,AA$2,0),"М")</f>
        <v>0</v>
      </c>
      <c r="AB138" s="50">
        <f>SUMIFS(INDEX(Техника!$F$1:$ABM$500,AB$2,0),Техника!$F$4:$ABM$4,"Часы",INDEX(Техника!$G$1:$ABN$500,AB$2,0),$A$137,INDEX(Техника!$H$1:$ABO$500,AB$2,0),"М")</f>
        <v>0</v>
      </c>
    </row>
    <row r="139" spans="1:28" hidden="1" outlineLevel="1" x14ac:dyDescent="0.3">
      <c r="A139" s="33" t="s">
        <v>244</v>
      </c>
      <c r="B139" s="34" t="s">
        <v>275</v>
      </c>
      <c r="C139" s="50">
        <f>SUMIFS(INDEX(Техника!$F$1:$ABM$500,C$2,0),Техника!$F$4:$ABM$4,"Часы",INDEX(Техника!$G$1:$ABN$500,C$2,0),$A$137,INDEX(Техника!$H$1:$ABO$500,C$2,0),"Д")</f>
        <v>0</v>
      </c>
      <c r="D139" s="50">
        <f>SUMIFS(INDEX(Техника!$F$1:$ABM$500,D$2,0),Техника!$F$4:$ABM$4,"Часы",INDEX(Техника!$G$1:$ABN$500,D$2,0),$A$137,INDEX(Техника!$H$1:$ABO$500,D$2,0),"Д")</f>
        <v>0</v>
      </c>
      <c r="E139" s="50">
        <f>SUMIFS(INDEX(Техника!$F$1:$ABM$500,E$2,0),Техника!$F$4:$ABM$4,"Часы",INDEX(Техника!$G$1:$ABN$500,E$2,0),$A$137,INDEX(Техника!$H$1:$ABO$500,E$2,0),"Д")</f>
        <v>0</v>
      </c>
      <c r="F139" s="50">
        <f>SUMIFS(INDEX(Техника!$F$1:$ABM$500,F$2,0),Техника!$F$4:$ABM$4,"Часы",INDEX(Техника!$G$1:$ABN$500,F$2,0),$A$137,INDEX(Техника!$H$1:$ABO$500,F$2,0),"Д")</f>
        <v>0</v>
      </c>
      <c r="G139" s="50">
        <f>SUMIFS(INDEX(Техника!$F$1:$ABM$500,G$2,0),Техника!$F$4:$ABM$4,"Часы",INDEX(Техника!$G$1:$ABN$500,G$2,0),$A$137,INDEX(Техника!$H$1:$ABO$500,G$2,0),"Д")</f>
        <v>0</v>
      </c>
      <c r="H139" s="50">
        <f>SUMIFS(INDEX(Техника!$F$1:$ABM$500,H$2,0),Техника!$F$4:$ABM$4,"Часы",INDEX(Техника!$G$1:$ABN$500,H$2,0),$A$137,INDEX(Техника!$H$1:$ABO$500,H$2,0),"Д")</f>
        <v>0</v>
      </c>
      <c r="I139" s="50">
        <f>SUMIFS(INDEX(Техника!$F$1:$ABM$500,I$2,0),Техника!$F$4:$ABM$4,"Часы",INDEX(Техника!$G$1:$ABN$500,I$2,0),$A$137,INDEX(Техника!$H$1:$ABO$500,I$2,0),"Д")</f>
        <v>0</v>
      </c>
      <c r="J139" s="50">
        <f>SUMIFS(INDEX(Техника!$F$1:$ABM$500,J$2,0),Техника!$F$4:$ABM$4,"Часы",INDEX(Техника!$G$1:$ABN$500,J$2,0),$A$137,INDEX(Техника!$H$1:$ABO$500,J$2,0),"Д")</f>
        <v>0</v>
      </c>
      <c r="K139" s="50">
        <f>SUMIFS(INDEX(Техника!$F$1:$ABM$500,K$2,0),Техника!$F$4:$ABM$4,"Часы",INDEX(Техника!$G$1:$ABN$500,K$2,0),$A$137,INDEX(Техника!$H$1:$ABO$500,K$2,0),"Д")</f>
        <v>0</v>
      </c>
      <c r="L139" s="50">
        <f>SUMIFS(INDEX(Техника!$F$1:$ABM$500,L$2,0),Техника!$F$4:$ABM$4,"Часы",INDEX(Техника!$G$1:$ABN$500,L$2,0),$A$137,INDEX(Техника!$H$1:$ABO$500,L$2,0),"Д")</f>
        <v>0</v>
      </c>
      <c r="M139" s="50">
        <f>SUMIFS(INDEX(Техника!$F$1:$ABM$500,M$2,0),Техника!$F$4:$ABM$4,"Часы",INDEX(Техника!$G$1:$ABN$500,M$2,0),$A$137,INDEX(Техника!$H$1:$ABO$500,M$2,0),"Д")</f>
        <v>0</v>
      </c>
      <c r="N139" s="50">
        <f>SUMIFS(INDEX(Техника!$F$1:$ABM$500,N$2,0),Техника!$F$4:$ABM$4,"Часы",INDEX(Техника!$G$1:$ABN$500,N$2,0),$A$137,INDEX(Техника!$H$1:$ABO$500,N$2,0),"Д")</f>
        <v>0</v>
      </c>
      <c r="O139" s="50">
        <f>SUMIFS(INDEX(Техника!$F$1:$ABM$500,O$2,0),Техника!$F$4:$ABM$4,"Часы",INDEX(Техника!$G$1:$ABN$500,O$2,0),$A$137,INDEX(Техника!$H$1:$ABO$500,O$2,0),"Д")</f>
        <v>0</v>
      </c>
      <c r="P139" s="50">
        <f>SUMIFS(INDEX(Техника!$F$1:$ABM$500,P$2,0),Техника!$F$4:$ABM$4,"Часы",INDEX(Техника!$G$1:$ABN$500,P$2,0),$A$137,INDEX(Техника!$H$1:$ABO$500,P$2,0),"Д")</f>
        <v>0</v>
      </c>
      <c r="Q139" s="50">
        <f>SUMIFS(INDEX(Техника!$F$1:$ABM$500,Q$2,0),Техника!$F$4:$ABM$4,"Часы",INDEX(Техника!$G$1:$ABN$500,Q$2,0),$A$137,INDEX(Техника!$H$1:$ABO$500,Q$2,0),"Д")</f>
        <v>0</v>
      </c>
      <c r="R139" s="50">
        <f>SUMIFS(INDEX(Техника!$F$1:$ABM$500,R$2,0),Техника!$F$4:$ABM$4,"Часы",INDEX(Техника!$G$1:$ABN$500,R$2,0),$A$137,INDEX(Техника!$H$1:$ABO$500,R$2,0),"Д")</f>
        <v>0</v>
      </c>
      <c r="S139" s="50">
        <f>SUMIFS(INDEX(Техника!$F$1:$ABM$500,S$2,0),Техника!$F$4:$ABM$4,"Часы",INDEX(Техника!$G$1:$ABN$500,S$2,0),$A$137,INDEX(Техника!$H$1:$ABO$500,S$2,0),"Д")</f>
        <v>0</v>
      </c>
      <c r="T139" s="50">
        <f>SUMIFS(INDEX(Техника!$F$1:$ABM$500,T$2,0),Техника!$F$4:$ABM$4,"Часы",INDEX(Техника!$G$1:$ABN$500,T$2,0),$A$137,INDEX(Техника!$H$1:$ABO$500,T$2,0),"Д")</f>
        <v>0</v>
      </c>
      <c r="U139" s="50">
        <f>SUMIFS(INDEX(Техника!$F$1:$ABM$500,U$2,0),Техника!$F$4:$ABM$4,"Часы",INDEX(Техника!$G$1:$ABN$500,U$2,0),$A$137,INDEX(Техника!$H$1:$ABO$500,U$2,0),"Д")</f>
        <v>0</v>
      </c>
      <c r="V139" s="50">
        <f>SUMIFS(INDEX(Техника!$F$1:$ABM$500,V$2,0),Техника!$F$4:$ABM$4,"Часы",INDEX(Техника!$G$1:$ABN$500,V$2,0),$A$137,INDEX(Техника!$H$1:$ABO$500,V$2,0),"Д")</f>
        <v>0</v>
      </c>
      <c r="W139" s="50">
        <f>SUMIFS(INDEX(Техника!$F$1:$ABM$500,W$2,0),Техника!$F$4:$ABM$4,"Часы",INDEX(Техника!$G$1:$ABN$500,W$2,0),$A$137,INDEX(Техника!$H$1:$ABO$500,W$2,0),"Д")</f>
        <v>0</v>
      </c>
      <c r="X139" s="50">
        <f>SUMIFS(INDEX(Техника!$F$1:$ABM$500,X$2,0),Техника!$F$4:$ABM$4,"Часы",INDEX(Техника!$G$1:$ABN$500,X$2,0),$A$137,INDEX(Техника!$H$1:$ABO$500,X$2,0),"Д")</f>
        <v>0</v>
      </c>
      <c r="Y139" s="50">
        <f>SUMIFS(INDEX(Техника!$F$1:$ABM$500,Y$2,0),Техника!$F$4:$ABM$4,"Часы",INDEX(Техника!$G$1:$ABN$500,Y$2,0),$A$137,INDEX(Техника!$H$1:$ABO$500,Y$2,0),"Д")</f>
        <v>0</v>
      </c>
      <c r="Z139" s="50">
        <f>SUMIFS(INDEX(Техника!$F$1:$ABM$500,Z$2,0),Техника!$F$4:$ABM$4,"Часы",INDEX(Техника!$G$1:$ABN$500,Z$2,0),$A$137,INDEX(Техника!$H$1:$ABO$500,Z$2,0),"Д")</f>
        <v>0</v>
      </c>
      <c r="AA139" s="50">
        <f>SUMIFS(INDEX(Техника!$F$1:$ABM$500,AA$2,0),Техника!$F$4:$ABM$4,"Часы",INDEX(Техника!$G$1:$ABN$500,AA$2,0),$A$137,INDEX(Техника!$H$1:$ABO$500,AA$2,0),"Д")</f>
        <v>0</v>
      </c>
      <c r="AB139" s="50">
        <f>SUMIFS(INDEX(Техника!$F$1:$ABM$500,AB$2,0),Техника!$F$4:$ABM$4,"Часы",INDEX(Техника!$G$1:$ABN$500,AB$2,0),$A$137,INDEX(Техника!$H$1:$ABO$500,AB$2,0),"Д")</f>
        <v>0</v>
      </c>
    </row>
    <row r="140" spans="1:28" hidden="1" outlineLevel="1" x14ac:dyDescent="0.3">
      <c r="A140" s="33" t="s">
        <v>276</v>
      </c>
      <c r="B140" s="34" t="s">
        <v>277</v>
      </c>
      <c r="C140" s="50">
        <f>SUMIFS(INDEX(Техника!$F$1:$ABM$500,C$2,0),Техника!$F$4:$ABM$4,"Часы",INDEX(Техника!$G$1:$ABN$500,C$2,0),$A$137,INDEX(Техника!$H$1:$ABO$500,C$2,0),"П")</f>
        <v>0</v>
      </c>
      <c r="D140" s="50">
        <f>SUMIFS(INDEX(Техника!$F$1:$ABM$500,D$2,0),Техника!$F$4:$ABM$4,"Часы",INDEX(Техника!$G$1:$ABN$500,D$2,0),$A$137,INDEX(Техника!$H$1:$ABO$500,D$2,0),"П")</f>
        <v>0</v>
      </c>
      <c r="E140" s="50">
        <f>SUMIFS(INDEX(Техника!$F$1:$ABM$500,E$2,0),Техника!$F$4:$ABM$4,"Часы",INDEX(Техника!$G$1:$ABN$500,E$2,0),$A$137,INDEX(Техника!$H$1:$ABO$500,E$2,0),"П")</f>
        <v>0</v>
      </c>
      <c r="F140" s="50">
        <f>SUMIFS(INDEX(Техника!$F$1:$ABM$500,F$2,0),Техника!$F$4:$ABM$4,"Часы",INDEX(Техника!$G$1:$ABN$500,F$2,0),$A$137,INDEX(Техника!$H$1:$ABO$500,F$2,0),"П")</f>
        <v>0</v>
      </c>
      <c r="G140" s="50">
        <f>SUMIFS(INDEX(Техника!$F$1:$ABM$500,G$2,0),Техника!$F$4:$ABM$4,"Часы",INDEX(Техника!$G$1:$ABN$500,G$2,0),$A$137,INDEX(Техника!$H$1:$ABO$500,G$2,0),"П")</f>
        <v>0</v>
      </c>
      <c r="H140" s="50">
        <f>SUMIFS(INDEX(Техника!$F$1:$ABM$500,H$2,0),Техника!$F$4:$ABM$4,"Часы",INDEX(Техника!$G$1:$ABN$500,H$2,0),$A$137,INDEX(Техника!$H$1:$ABO$500,H$2,0),"П")</f>
        <v>0</v>
      </c>
      <c r="I140" s="50">
        <f>SUMIFS(INDEX(Техника!$F$1:$ABM$500,I$2,0),Техника!$F$4:$ABM$4,"Часы",INDEX(Техника!$G$1:$ABN$500,I$2,0),$A$137,INDEX(Техника!$H$1:$ABO$500,I$2,0),"П")</f>
        <v>0</v>
      </c>
      <c r="J140" s="50">
        <f>SUMIFS(INDEX(Техника!$F$1:$ABM$500,J$2,0),Техника!$F$4:$ABM$4,"Часы",INDEX(Техника!$G$1:$ABN$500,J$2,0),$A$137,INDEX(Техника!$H$1:$ABO$500,J$2,0),"П")</f>
        <v>0</v>
      </c>
      <c r="K140" s="50">
        <f>SUMIFS(INDEX(Техника!$F$1:$ABM$500,K$2,0),Техника!$F$4:$ABM$4,"Часы",INDEX(Техника!$G$1:$ABN$500,K$2,0),$A$137,INDEX(Техника!$H$1:$ABO$500,K$2,0),"П")</f>
        <v>0</v>
      </c>
      <c r="L140" s="50">
        <f>SUMIFS(INDEX(Техника!$F$1:$ABM$500,L$2,0),Техника!$F$4:$ABM$4,"Часы",INDEX(Техника!$G$1:$ABN$500,L$2,0),$A$137,INDEX(Техника!$H$1:$ABO$500,L$2,0),"П")</f>
        <v>0</v>
      </c>
      <c r="M140" s="50">
        <f>SUMIFS(INDEX(Техника!$F$1:$ABM$500,M$2,0),Техника!$F$4:$ABM$4,"Часы",INDEX(Техника!$G$1:$ABN$500,M$2,0),$A$137,INDEX(Техника!$H$1:$ABO$500,M$2,0),"П")</f>
        <v>0</v>
      </c>
      <c r="N140" s="50">
        <f>SUMIFS(INDEX(Техника!$F$1:$ABM$500,N$2,0),Техника!$F$4:$ABM$4,"Часы",INDEX(Техника!$G$1:$ABN$500,N$2,0),$A$137,INDEX(Техника!$H$1:$ABO$500,N$2,0),"П")</f>
        <v>0</v>
      </c>
      <c r="O140" s="50">
        <f>SUMIFS(INDEX(Техника!$F$1:$ABM$500,O$2,0),Техника!$F$4:$ABM$4,"Часы",INDEX(Техника!$G$1:$ABN$500,O$2,0),$A$137,INDEX(Техника!$H$1:$ABO$500,O$2,0),"П")</f>
        <v>0</v>
      </c>
      <c r="P140" s="50">
        <f>SUMIFS(INDEX(Техника!$F$1:$ABM$500,P$2,0),Техника!$F$4:$ABM$4,"Часы",INDEX(Техника!$G$1:$ABN$500,P$2,0),$A$137,INDEX(Техника!$H$1:$ABO$500,P$2,0),"П")</f>
        <v>0</v>
      </c>
      <c r="Q140" s="50">
        <f>SUMIFS(INDEX(Техника!$F$1:$ABM$500,Q$2,0),Техника!$F$4:$ABM$4,"Часы",INDEX(Техника!$G$1:$ABN$500,Q$2,0),$A$137,INDEX(Техника!$H$1:$ABO$500,Q$2,0),"П")</f>
        <v>0</v>
      </c>
      <c r="R140" s="50">
        <f>SUMIFS(INDEX(Техника!$F$1:$ABM$500,R$2,0),Техника!$F$4:$ABM$4,"Часы",INDEX(Техника!$G$1:$ABN$500,R$2,0),$A$137,INDEX(Техника!$H$1:$ABO$500,R$2,0),"П")</f>
        <v>0</v>
      </c>
      <c r="S140" s="50">
        <f>SUMIFS(INDEX(Техника!$F$1:$ABM$500,S$2,0),Техника!$F$4:$ABM$4,"Часы",INDEX(Техника!$G$1:$ABN$500,S$2,0),$A$137,INDEX(Техника!$H$1:$ABO$500,S$2,0),"П")</f>
        <v>0</v>
      </c>
      <c r="T140" s="50">
        <f>SUMIFS(INDEX(Техника!$F$1:$ABM$500,T$2,0),Техника!$F$4:$ABM$4,"Часы",INDEX(Техника!$G$1:$ABN$500,T$2,0),$A$137,INDEX(Техника!$H$1:$ABO$500,T$2,0),"П")</f>
        <v>0</v>
      </c>
      <c r="U140" s="50">
        <f>SUMIFS(INDEX(Техника!$F$1:$ABM$500,U$2,0),Техника!$F$4:$ABM$4,"Часы",INDEX(Техника!$G$1:$ABN$500,U$2,0),$A$137,INDEX(Техника!$H$1:$ABO$500,U$2,0),"П")</f>
        <v>0</v>
      </c>
      <c r="V140" s="50">
        <f>SUMIFS(INDEX(Техника!$F$1:$ABM$500,V$2,0),Техника!$F$4:$ABM$4,"Часы",INDEX(Техника!$G$1:$ABN$500,V$2,0),$A$137,INDEX(Техника!$H$1:$ABO$500,V$2,0),"П")</f>
        <v>0</v>
      </c>
      <c r="W140" s="50">
        <f>SUMIFS(INDEX(Техника!$F$1:$ABM$500,W$2,0),Техника!$F$4:$ABM$4,"Часы",INDEX(Техника!$G$1:$ABN$500,W$2,0),$A$137,INDEX(Техника!$H$1:$ABO$500,W$2,0),"П")</f>
        <v>0</v>
      </c>
      <c r="X140" s="50">
        <f>SUMIFS(INDEX(Техника!$F$1:$ABM$500,X$2,0),Техника!$F$4:$ABM$4,"Часы",INDEX(Техника!$G$1:$ABN$500,X$2,0),$A$137,INDEX(Техника!$H$1:$ABO$500,X$2,0),"П")</f>
        <v>0</v>
      </c>
      <c r="Y140" s="50">
        <f>SUMIFS(INDEX(Техника!$F$1:$ABM$500,Y$2,0),Техника!$F$4:$ABM$4,"Часы",INDEX(Техника!$G$1:$ABN$500,Y$2,0),$A$137,INDEX(Техника!$H$1:$ABO$500,Y$2,0),"П")</f>
        <v>0</v>
      </c>
      <c r="Z140" s="50">
        <f>SUMIFS(INDEX(Техника!$F$1:$ABM$500,Z$2,0),Техника!$F$4:$ABM$4,"Часы",INDEX(Техника!$G$1:$ABN$500,Z$2,0),$A$137,INDEX(Техника!$H$1:$ABO$500,Z$2,0),"П")</f>
        <v>0</v>
      </c>
      <c r="AA140" s="50">
        <f>SUMIFS(INDEX(Техника!$F$1:$ABM$500,AA$2,0),Техника!$F$4:$ABM$4,"Часы",INDEX(Техника!$G$1:$ABN$500,AA$2,0),$A$137,INDEX(Техника!$H$1:$ABO$500,AA$2,0),"П")</f>
        <v>0</v>
      </c>
      <c r="AB140" s="50">
        <f>SUMIFS(INDEX(Техника!$F$1:$ABM$500,AB$2,0),Техника!$F$4:$ABM$4,"Часы",INDEX(Техника!$G$1:$ABN$500,AB$2,0),$A$137,INDEX(Техника!$H$1:$ABO$500,AB$2,0),"П")</f>
        <v>0</v>
      </c>
    </row>
    <row r="141" spans="1:28" hidden="1" outlineLevel="1" x14ac:dyDescent="0.3">
      <c r="A141" s="33" t="s">
        <v>243</v>
      </c>
      <c r="B141" s="34" t="s">
        <v>278</v>
      </c>
      <c r="C141" s="50">
        <f>SUMIFS(INDEX(Техника!$F$1:$ABM$500,C$2,0),Техника!$F$4:$ABM$4,"Часы",INDEX(Техника!$G$1:$ABN$500,C$2,0),$A$137,INDEX(Техника!$H$1:$ABO$500,C$2,0),"Л")</f>
        <v>0</v>
      </c>
      <c r="D141" s="50">
        <f>SUMIFS(INDEX(Техника!$F$1:$ABM$500,D$2,0),Техника!$F$4:$ABM$4,"Часы",INDEX(Техника!$G$1:$ABN$500,D$2,0),$A$137,INDEX(Техника!$H$1:$ABO$500,D$2,0),"Л")</f>
        <v>0</v>
      </c>
      <c r="E141" s="50">
        <f>SUMIFS(INDEX(Техника!$F$1:$ABM$500,E$2,0),Техника!$F$4:$ABM$4,"Часы",INDEX(Техника!$G$1:$ABN$500,E$2,0),$A$137,INDEX(Техника!$H$1:$ABO$500,E$2,0),"Л")</f>
        <v>0</v>
      </c>
      <c r="F141" s="50">
        <f>SUMIFS(INDEX(Техника!$F$1:$ABM$500,F$2,0),Техника!$F$4:$ABM$4,"Часы",INDEX(Техника!$G$1:$ABN$500,F$2,0),$A$137,INDEX(Техника!$H$1:$ABO$500,F$2,0),"Л")</f>
        <v>0</v>
      </c>
      <c r="G141" s="50">
        <f>SUMIFS(INDEX(Техника!$F$1:$ABM$500,G$2,0),Техника!$F$4:$ABM$4,"Часы",INDEX(Техника!$G$1:$ABN$500,G$2,0),$A$137,INDEX(Техника!$H$1:$ABO$500,G$2,0),"Л")</f>
        <v>0</v>
      </c>
      <c r="H141" s="50">
        <f>SUMIFS(INDEX(Техника!$F$1:$ABM$500,H$2,0),Техника!$F$4:$ABM$4,"Часы",INDEX(Техника!$G$1:$ABN$500,H$2,0),$A$137,INDEX(Техника!$H$1:$ABO$500,H$2,0),"Л")</f>
        <v>0</v>
      </c>
      <c r="I141" s="50">
        <f>SUMIFS(INDEX(Техника!$F$1:$ABM$500,I$2,0),Техника!$F$4:$ABM$4,"Часы",INDEX(Техника!$G$1:$ABN$500,I$2,0),$A$137,INDEX(Техника!$H$1:$ABO$500,I$2,0),"Л")</f>
        <v>0</v>
      </c>
      <c r="J141" s="50">
        <f>SUMIFS(INDEX(Техника!$F$1:$ABM$500,J$2,0),Техника!$F$4:$ABM$4,"Часы",INDEX(Техника!$G$1:$ABN$500,J$2,0),$A$137,INDEX(Техника!$H$1:$ABO$500,J$2,0),"Л")</f>
        <v>0</v>
      </c>
      <c r="K141" s="50">
        <f>SUMIFS(INDEX(Техника!$F$1:$ABM$500,K$2,0),Техника!$F$4:$ABM$4,"Часы",INDEX(Техника!$G$1:$ABN$500,K$2,0),$A$137,INDEX(Техника!$H$1:$ABO$500,K$2,0),"Л")</f>
        <v>0</v>
      </c>
      <c r="L141" s="50">
        <f>SUMIFS(INDEX(Техника!$F$1:$ABM$500,L$2,0),Техника!$F$4:$ABM$4,"Часы",INDEX(Техника!$G$1:$ABN$500,L$2,0),$A$137,INDEX(Техника!$H$1:$ABO$500,L$2,0),"Л")</f>
        <v>0</v>
      </c>
      <c r="M141" s="50">
        <f>SUMIFS(INDEX(Техника!$F$1:$ABM$500,M$2,0),Техника!$F$4:$ABM$4,"Часы",INDEX(Техника!$G$1:$ABN$500,M$2,0),$A$137,INDEX(Техника!$H$1:$ABO$500,M$2,0),"Л")</f>
        <v>0</v>
      </c>
      <c r="N141" s="50">
        <f>SUMIFS(INDEX(Техника!$F$1:$ABM$500,N$2,0),Техника!$F$4:$ABM$4,"Часы",INDEX(Техника!$G$1:$ABN$500,N$2,0),$A$137,INDEX(Техника!$H$1:$ABO$500,N$2,0),"Л")</f>
        <v>0</v>
      </c>
      <c r="O141" s="50">
        <f>SUMIFS(INDEX(Техника!$F$1:$ABM$500,O$2,0),Техника!$F$4:$ABM$4,"Часы",INDEX(Техника!$G$1:$ABN$500,O$2,0),$A$137,INDEX(Техника!$H$1:$ABO$500,O$2,0),"Л")</f>
        <v>0</v>
      </c>
      <c r="P141" s="50">
        <f>SUMIFS(INDEX(Техника!$F$1:$ABM$500,P$2,0),Техника!$F$4:$ABM$4,"Часы",INDEX(Техника!$G$1:$ABN$500,P$2,0),$A$137,INDEX(Техника!$H$1:$ABO$500,P$2,0),"Л")</f>
        <v>0</v>
      </c>
      <c r="Q141" s="50">
        <f>SUMIFS(INDEX(Техника!$F$1:$ABM$500,Q$2,0),Техника!$F$4:$ABM$4,"Часы",INDEX(Техника!$G$1:$ABN$500,Q$2,0),$A$137,INDEX(Техника!$H$1:$ABO$500,Q$2,0),"Л")</f>
        <v>0</v>
      </c>
      <c r="R141" s="50">
        <f>SUMIFS(INDEX(Техника!$F$1:$ABM$500,R$2,0),Техника!$F$4:$ABM$4,"Часы",INDEX(Техника!$G$1:$ABN$500,R$2,0),$A$137,INDEX(Техника!$H$1:$ABO$500,R$2,0),"Л")</f>
        <v>0</v>
      </c>
      <c r="S141" s="50">
        <f>SUMIFS(INDEX(Техника!$F$1:$ABM$500,S$2,0),Техника!$F$4:$ABM$4,"Часы",INDEX(Техника!$G$1:$ABN$500,S$2,0),$A$137,INDEX(Техника!$H$1:$ABO$500,S$2,0),"Л")</f>
        <v>0</v>
      </c>
      <c r="T141" s="50">
        <f>SUMIFS(INDEX(Техника!$F$1:$ABM$500,T$2,0),Техника!$F$4:$ABM$4,"Часы",INDEX(Техника!$G$1:$ABN$500,T$2,0),$A$137,INDEX(Техника!$H$1:$ABO$500,T$2,0),"Л")</f>
        <v>0</v>
      </c>
      <c r="U141" s="50">
        <f>SUMIFS(INDEX(Техника!$F$1:$ABM$500,U$2,0),Техника!$F$4:$ABM$4,"Часы",INDEX(Техника!$G$1:$ABN$500,U$2,0),$A$137,INDEX(Техника!$H$1:$ABO$500,U$2,0),"Л")</f>
        <v>0</v>
      </c>
      <c r="V141" s="50">
        <f>SUMIFS(INDEX(Техника!$F$1:$ABM$500,V$2,0),Техника!$F$4:$ABM$4,"Часы",INDEX(Техника!$G$1:$ABN$500,V$2,0),$A$137,INDEX(Техника!$H$1:$ABO$500,V$2,0),"Л")</f>
        <v>0</v>
      </c>
      <c r="W141" s="50">
        <f>SUMIFS(INDEX(Техника!$F$1:$ABM$500,W$2,0),Техника!$F$4:$ABM$4,"Часы",INDEX(Техника!$G$1:$ABN$500,W$2,0),$A$137,INDEX(Техника!$H$1:$ABO$500,W$2,0),"Л")</f>
        <v>0</v>
      </c>
      <c r="X141" s="50">
        <f>SUMIFS(INDEX(Техника!$F$1:$ABM$500,X$2,0),Техника!$F$4:$ABM$4,"Часы",INDEX(Техника!$G$1:$ABN$500,X$2,0),$A$137,INDEX(Техника!$H$1:$ABO$500,X$2,0),"Л")</f>
        <v>0</v>
      </c>
      <c r="Y141" s="50">
        <f>SUMIFS(INDEX(Техника!$F$1:$ABM$500,Y$2,0),Техника!$F$4:$ABM$4,"Часы",INDEX(Техника!$G$1:$ABN$500,Y$2,0),$A$137,INDEX(Техника!$H$1:$ABO$500,Y$2,0),"Л")</f>
        <v>0</v>
      </c>
      <c r="Z141" s="50">
        <f>SUMIFS(INDEX(Техника!$F$1:$ABM$500,Z$2,0),Техника!$F$4:$ABM$4,"Часы",INDEX(Техника!$G$1:$ABN$500,Z$2,0),$A$137,INDEX(Техника!$H$1:$ABO$500,Z$2,0),"Л")</f>
        <v>0</v>
      </c>
      <c r="AA141" s="50">
        <f>SUMIFS(INDEX(Техника!$F$1:$ABM$500,AA$2,0),Техника!$F$4:$ABM$4,"Часы",INDEX(Техника!$G$1:$ABN$500,AA$2,0),$A$137,INDEX(Техника!$H$1:$ABO$500,AA$2,0),"Л")</f>
        <v>0</v>
      </c>
      <c r="AB141" s="50">
        <f>SUMIFS(INDEX(Техника!$F$1:$ABM$500,AB$2,0),Техника!$F$4:$ABM$4,"Часы",INDEX(Техника!$G$1:$ABN$500,AB$2,0),$A$137,INDEX(Техника!$H$1:$ABO$500,AB$2,0),"Л")</f>
        <v>0</v>
      </c>
    </row>
    <row r="142" spans="1:28" hidden="1" outlineLevel="1" x14ac:dyDescent="0.3">
      <c r="A142" s="33" t="s">
        <v>245</v>
      </c>
      <c r="B142" s="34" t="s">
        <v>279</v>
      </c>
      <c r="C142" s="50">
        <f>SUMIFS(INDEX(Техника!$F$1:$ABM$500,C$2,0),Техника!$F$4:$ABM$4,"Часы",INDEX(Техника!$G$1:$ABN$500,C$2,0),$A$137,INDEX(Техника!$H$1:$ABO$500,C$2,0),"З")</f>
        <v>0</v>
      </c>
      <c r="D142" s="50">
        <f>SUMIFS(INDEX(Техника!$F$1:$ABM$500,D$2,0),Техника!$F$4:$ABM$4,"Часы",INDEX(Техника!$G$1:$ABN$500,D$2,0),$A$137,INDEX(Техника!$H$1:$ABO$500,D$2,0),"З")</f>
        <v>0</v>
      </c>
      <c r="E142" s="50">
        <f>SUMIFS(INDEX(Техника!$F$1:$ABM$500,E$2,0),Техника!$F$4:$ABM$4,"Часы",INDEX(Техника!$G$1:$ABN$500,E$2,0),$A$137,INDEX(Техника!$H$1:$ABO$500,E$2,0),"З")</f>
        <v>0</v>
      </c>
      <c r="F142" s="50">
        <f>SUMIFS(INDEX(Техника!$F$1:$ABM$500,F$2,0),Техника!$F$4:$ABM$4,"Часы",INDEX(Техника!$G$1:$ABN$500,F$2,0),$A$137,INDEX(Техника!$H$1:$ABO$500,F$2,0),"З")</f>
        <v>0</v>
      </c>
      <c r="G142" s="50">
        <f>SUMIFS(INDEX(Техника!$F$1:$ABM$500,G$2,0),Техника!$F$4:$ABM$4,"Часы",INDEX(Техника!$G$1:$ABN$500,G$2,0),$A$137,INDEX(Техника!$H$1:$ABO$500,G$2,0),"З")</f>
        <v>0</v>
      </c>
      <c r="H142" s="50">
        <f>SUMIFS(INDEX(Техника!$F$1:$ABM$500,H$2,0),Техника!$F$4:$ABM$4,"Часы",INDEX(Техника!$G$1:$ABN$500,H$2,0),$A$137,INDEX(Техника!$H$1:$ABO$500,H$2,0),"З")</f>
        <v>0</v>
      </c>
      <c r="I142" s="50">
        <f>SUMIFS(INDEX(Техника!$F$1:$ABM$500,I$2,0),Техника!$F$4:$ABM$4,"Часы",INDEX(Техника!$G$1:$ABN$500,I$2,0),$A$137,INDEX(Техника!$H$1:$ABO$500,I$2,0),"З")</f>
        <v>0</v>
      </c>
      <c r="J142" s="50">
        <f>SUMIFS(INDEX(Техника!$F$1:$ABM$500,J$2,0),Техника!$F$4:$ABM$4,"Часы",INDEX(Техника!$G$1:$ABN$500,J$2,0),$A$137,INDEX(Техника!$H$1:$ABO$500,J$2,0),"З")</f>
        <v>0</v>
      </c>
      <c r="K142" s="50">
        <f>SUMIFS(INDEX(Техника!$F$1:$ABM$500,K$2,0),Техника!$F$4:$ABM$4,"Часы",INDEX(Техника!$G$1:$ABN$500,K$2,0),$A$137,INDEX(Техника!$H$1:$ABO$500,K$2,0),"З")</f>
        <v>0</v>
      </c>
      <c r="L142" s="50">
        <f>SUMIFS(INDEX(Техника!$F$1:$ABM$500,L$2,0),Техника!$F$4:$ABM$4,"Часы",INDEX(Техника!$G$1:$ABN$500,L$2,0),$A$137,INDEX(Техника!$H$1:$ABO$500,L$2,0),"З")</f>
        <v>0</v>
      </c>
      <c r="M142" s="50">
        <f>SUMIFS(INDEX(Техника!$F$1:$ABM$500,M$2,0),Техника!$F$4:$ABM$4,"Часы",INDEX(Техника!$G$1:$ABN$500,M$2,0),$A$137,INDEX(Техника!$H$1:$ABO$500,M$2,0),"З")</f>
        <v>0</v>
      </c>
      <c r="N142" s="50">
        <f>SUMIFS(INDEX(Техника!$F$1:$ABM$500,N$2,0),Техника!$F$4:$ABM$4,"Часы",INDEX(Техника!$G$1:$ABN$500,N$2,0),$A$137,INDEX(Техника!$H$1:$ABO$500,N$2,0),"З")</f>
        <v>0</v>
      </c>
      <c r="O142" s="50">
        <f>SUMIFS(INDEX(Техника!$F$1:$ABM$500,O$2,0),Техника!$F$4:$ABM$4,"Часы",INDEX(Техника!$G$1:$ABN$500,O$2,0),$A$137,INDEX(Техника!$H$1:$ABO$500,O$2,0),"З")</f>
        <v>0</v>
      </c>
      <c r="P142" s="50">
        <f>SUMIFS(INDEX(Техника!$F$1:$ABM$500,P$2,0),Техника!$F$4:$ABM$4,"Часы",INDEX(Техника!$G$1:$ABN$500,P$2,0),$A$137,INDEX(Техника!$H$1:$ABO$500,P$2,0),"З")</f>
        <v>0</v>
      </c>
      <c r="Q142" s="50">
        <f>SUMIFS(INDEX(Техника!$F$1:$ABM$500,Q$2,0),Техника!$F$4:$ABM$4,"Часы",INDEX(Техника!$G$1:$ABN$500,Q$2,0),$A$137,INDEX(Техника!$H$1:$ABO$500,Q$2,0),"З")</f>
        <v>0</v>
      </c>
      <c r="R142" s="50">
        <f>SUMIFS(INDEX(Техника!$F$1:$ABM$500,R$2,0),Техника!$F$4:$ABM$4,"Часы",INDEX(Техника!$G$1:$ABN$500,R$2,0),$A$137,INDEX(Техника!$H$1:$ABO$500,R$2,0),"З")</f>
        <v>0</v>
      </c>
      <c r="S142" s="50">
        <f>SUMIFS(INDEX(Техника!$F$1:$ABM$500,S$2,0),Техника!$F$4:$ABM$4,"Часы",INDEX(Техника!$G$1:$ABN$500,S$2,0),$A$137,INDEX(Техника!$H$1:$ABO$500,S$2,0),"З")</f>
        <v>0</v>
      </c>
      <c r="T142" s="50">
        <f>SUMIFS(INDEX(Техника!$F$1:$ABM$500,T$2,0),Техника!$F$4:$ABM$4,"Часы",INDEX(Техника!$G$1:$ABN$500,T$2,0),$A$137,INDEX(Техника!$H$1:$ABO$500,T$2,0),"З")</f>
        <v>0</v>
      </c>
      <c r="U142" s="50">
        <f>SUMIFS(INDEX(Техника!$F$1:$ABM$500,U$2,0),Техника!$F$4:$ABM$4,"Часы",INDEX(Техника!$G$1:$ABN$500,U$2,0),$A$137,INDEX(Техника!$H$1:$ABO$500,U$2,0),"З")</f>
        <v>0</v>
      </c>
      <c r="V142" s="50">
        <f>SUMIFS(INDEX(Техника!$F$1:$ABM$500,V$2,0),Техника!$F$4:$ABM$4,"Часы",INDEX(Техника!$G$1:$ABN$500,V$2,0),$A$137,INDEX(Техника!$H$1:$ABO$500,V$2,0),"З")</f>
        <v>0</v>
      </c>
      <c r="W142" s="50">
        <f>SUMIFS(INDEX(Техника!$F$1:$ABM$500,W$2,0),Техника!$F$4:$ABM$4,"Часы",INDEX(Техника!$G$1:$ABN$500,W$2,0),$A$137,INDEX(Техника!$H$1:$ABO$500,W$2,0),"З")</f>
        <v>0</v>
      </c>
      <c r="X142" s="50">
        <f>SUMIFS(INDEX(Техника!$F$1:$ABM$500,X$2,0),Техника!$F$4:$ABM$4,"Часы",INDEX(Техника!$G$1:$ABN$500,X$2,0),$A$137,INDEX(Техника!$H$1:$ABO$500,X$2,0),"З")</f>
        <v>0</v>
      </c>
      <c r="Y142" s="50">
        <f>SUMIFS(INDEX(Техника!$F$1:$ABM$500,Y$2,0),Техника!$F$4:$ABM$4,"Часы",INDEX(Техника!$G$1:$ABN$500,Y$2,0),$A$137,INDEX(Техника!$H$1:$ABO$500,Y$2,0),"З")</f>
        <v>0</v>
      </c>
      <c r="Z142" s="50">
        <f>SUMIFS(INDEX(Техника!$F$1:$ABM$500,Z$2,0),Техника!$F$4:$ABM$4,"Часы",INDEX(Техника!$G$1:$ABN$500,Z$2,0),$A$137,INDEX(Техника!$H$1:$ABO$500,Z$2,0),"З")</f>
        <v>0</v>
      </c>
      <c r="AA142" s="50">
        <f>SUMIFS(INDEX(Техника!$F$1:$ABM$500,AA$2,0),Техника!$F$4:$ABM$4,"Часы",INDEX(Техника!$G$1:$ABN$500,AA$2,0),$A$137,INDEX(Техника!$H$1:$ABO$500,AA$2,0),"З")</f>
        <v>0</v>
      </c>
      <c r="AB142" s="50">
        <f>SUMIFS(INDEX(Техника!$F$1:$ABM$500,AB$2,0),Техника!$F$4:$ABM$4,"Часы",INDEX(Техника!$G$1:$ABN$500,AB$2,0),$A$137,INDEX(Техника!$H$1:$ABO$500,AB$2,0),"З")</f>
        <v>0</v>
      </c>
    </row>
    <row r="143" spans="1:28" ht="7.95" customHeight="1" x14ac:dyDescent="0.3">
      <c r="A143" s="38"/>
      <c r="B143" s="39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 spans="1:28" ht="25.05" customHeight="1" collapsed="1" x14ac:dyDescent="0.3">
      <c r="A144" s="32">
        <v>21</v>
      </c>
      <c r="B144" s="32" t="s">
        <v>22</v>
      </c>
      <c r="C144" s="49">
        <f>SUM(C145:C149)</f>
        <v>0</v>
      </c>
      <c r="D144" s="49">
        <f>SUM(D145:D149)</f>
        <v>0</v>
      </c>
      <c r="E144" s="49">
        <f>SUM(E145:E149)</f>
        <v>0</v>
      </c>
      <c r="F144" s="49">
        <f>SUM(F145:F149)</f>
        <v>0</v>
      </c>
      <c r="G144" s="49">
        <f>SUM(G145:G149)</f>
        <v>0</v>
      </c>
      <c r="H144" s="49">
        <f>SUM(H145:H149)</f>
        <v>0</v>
      </c>
      <c r="I144" s="49">
        <f>SUM(I145:I149)</f>
        <v>0</v>
      </c>
      <c r="J144" s="49">
        <f>SUM(J145:J149)</f>
        <v>0</v>
      </c>
      <c r="K144" s="49">
        <f>SUM(K145:K149)</f>
        <v>0</v>
      </c>
      <c r="L144" s="49">
        <f>SUM(L145:L149)</f>
        <v>0</v>
      </c>
      <c r="M144" s="49">
        <f>SUM(M145:M149)</f>
        <v>0</v>
      </c>
      <c r="N144" s="49">
        <f>SUM(N145:N149)</f>
        <v>0</v>
      </c>
      <c r="O144" s="49">
        <f>SUM(O145:O149)</f>
        <v>0</v>
      </c>
      <c r="P144" s="49">
        <f>SUM(P145:P149)</f>
        <v>0</v>
      </c>
      <c r="Q144" s="49">
        <f>SUM(Q145:Q149)</f>
        <v>0</v>
      </c>
      <c r="R144" s="49">
        <f>SUM(R145:R149)</f>
        <v>0</v>
      </c>
      <c r="S144" s="49">
        <f>SUM(S145:S149)</f>
        <v>0</v>
      </c>
      <c r="T144" s="49">
        <f>SUM(T145:T149)</f>
        <v>0</v>
      </c>
      <c r="U144" s="49">
        <f>SUM(U145:U149)</f>
        <v>0</v>
      </c>
      <c r="V144" s="49">
        <f>SUM(V145:V149)</f>
        <v>0</v>
      </c>
      <c r="W144" s="49">
        <f>SUM(W145:W149)</f>
        <v>0</v>
      </c>
      <c r="X144" s="49">
        <f>SUM(X145:X149)</f>
        <v>0</v>
      </c>
      <c r="Y144" s="49">
        <f>SUM(Y145:Y149)</f>
        <v>0</v>
      </c>
      <c r="Z144" s="49">
        <f>SUM(Z145:Z149)</f>
        <v>0</v>
      </c>
      <c r="AA144" s="49">
        <f>SUM(AA145:AA149)</f>
        <v>0</v>
      </c>
      <c r="AB144" s="49">
        <f>SUM(AB145:AB149)</f>
        <v>0</v>
      </c>
    </row>
    <row r="145" spans="1:28" hidden="1" outlineLevel="1" x14ac:dyDescent="0.3">
      <c r="A145" s="33" t="s">
        <v>246</v>
      </c>
      <c r="B145" s="34" t="s">
        <v>274</v>
      </c>
      <c r="C145" s="50">
        <f>SUMIFS(INDEX(Техника!$F$1:$ABM$500,C$2,0),Техника!$F$4:$ABM$4,"Часы",INDEX(Техника!$G$1:$ABN$500,C$2,0),$A$144,INDEX(Техника!$H$1:$ABO$500,C$2,0),"М")</f>
        <v>0</v>
      </c>
      <c r="D145" s="50">
        <f>SUMIFS(INDEX(Техника!$F$1:$ABM$500,D$2,0),Техника!$F$4:$ABM$4,"Часы",INDEX(Техника!$G$1:$ABN$500,D$2,0),$A$144,INDEX(Техника!$H$1:$ABO$500,D$2,0),"М")</f>
        <v>0</v>
      </c>
      <c r="E145" s="50">
        <f>SUMIFS(INDEX(Техника!$F$1:$ABM$500,E$2,0),Техника!$F$4:$ABM$4,"Часы",INDEX(Техника!$G$1:$ABN$500,E$2,0),$A$144,INDEX(Техника!$H$1:$ABO$500,E$2,0),"М")</f>
        <v>0</v>
      </c>
      <c r="F145" s="50">
        <f>SUMIFS(INDEX(Техника!$F$1:$ABM$500,F$2,0),Техника!$F$4:$ABM$4,"Часы",INDEX(Техника!$G$1:$ABN$500,F$2,0),$A$144,INDEX(Техника!$H$1:$ABO$500,F$2,0),"М")</f>
        <v>0</v>
      </c>
      <c r="G145" s="50">
        <f>SUMIFS(INDEX(Техника!$F$1:$ABM$500,G$2,0),Техника!$F$4:$ABM$4,"Часы",INDEX(Техника!$G$1:$ABN$500,G$2,0),$A$144,INDEX(Техника!$H$1:$ABO$500,G$2,0),"М")</f>
        <v>0</v>
      </c>
      <c r="H145" s="50">
        <f>SUMIFS(INDEX(Техника!$F$1:$ABM$500,H$2,0),Техника!$F$4:$ABM$4,"Часы",INDEX(Техника!$G$1:$ABN$500,H$2,0),$A$144,INDEX(Техника!$H$1:$ABO$500,H$2,0),"М")</f>
        <v>0</v>
      </c>
      <c r="I145" s="50">
        <f>SUMIFS(INDEX(Техника!$F$1:$ABM$500,I$2,0),Техника!$F$4:$ABM$4,"Часы",INDEX(Техника!$G$1:$ABN$500,I$2,0),$A$144,INDEX(Техника!$H$1:$ABO$500,I$2,0),"М")</f>
        <v>0</v>
      </c>
      <c r="J145" s="50">
        <f>SUMIFS(INDEX(Техника!$F$1:$ABM$500,J$2,0),Техника!$F$4:$ABM$4,"Часы",INDEX(Техника!$G$1:$ABN$500,J$2,0),$A$144,INDEX(Техника!$H$1:$ABO$500,J$2,0),"М")</f>
        <v>0</v>
      </c>
      <c r="K145" s="50">
        <f>SUMIFS(INDEX(Техника!$F$1:$ABM$500,K$2,0),Техника!$F$4:$ABM$4,"Часы",INDEX(Техника!$G$1:$ABN$500,K$2,0),$A$144,INDEX(Техника!$H$1:$ABO$500,K$2,0),"М")</f>
        <v>0</v>
      </c>
      <c r="L145" s="50">
        <f>SUMIFS(INDEX(Техника!$F$1:$ABM$500,L$2,0),Техника!$F$4:$ABM$4,"Часы",INDEX(Техника!$G$1:$ABN$500,L$2,0),$A$144,INDEX(Техника!$H$1:$ABO$500,L$2,0),"М")</f>
        <v>0</v>
      </c>
      <c r="M145" s="50">
        <f>SUMIFS(INDEX(Техника!$F$1:$ABM$500,M$2,0),Техника!$F$4:$ABM$4,"Часы",INDEX(Техника!$G$1:$ABN$500,M$2,0),$A$144,INDEX(Техника!$H$1:$ABO$500,M$2,0),"М")</f>
        <v>0</v>
      </c>
      <c r="N145" s="50">
        <f>SUMIFS(INDEX(Техника!$F$1:$ABM$500,N$2,0),Техника!$F$4:$ABM$4,"Часы",INDEX(Техника!$G$1:$ABN$500,N$2,0),$A$144,INDEX(Техника!$H$1:$ABO$500,N$2,0),"М")</f>
        <v>0</v>
      </c>
      <c r="O145" s="50">
        <f>SUMIFS(INDEX(Техника!$F$1:$ABM$500,O$2,0),Техника!$F$4:$ABM$4,"Часы",INDEX(Техника!$G$1:$ABN$500,O$2,0),$A$144,INDEX(Техника!$H$1:$ABO$500,O$2,0),"М")</f>
        <v>0</v>
      </c>
      <c r="P145" s="50">
        <f>SUMIFS(INDEX(Техника!$F$1:$ABM$500,P$2,0),Техника!$F$4:$ABM$4,"Часы",INDEX(Техника!$G$1:$ABN$500,P$2,0),$A$144,INDEX(Техника!$H$1:$ABO$500,P$2,0),"М")</f>
        <v>0</v>
      </c>
      <c r="Q145" s="50">
        <f>SUMIFS(INDEX(Техника!$F$1:$ABM$500,Q$2,0),Техника!$F$4:$ABM$4,"Часы",INDEX(Техника!$G$1:$ABN$500,Q$2,0),$A$144,INDEX(Техника!$H$1:$ABO$500,Q$2,0),"М")</f>
        <v>0</v>
      </c>
      <c r="R145" s="50">
        <f>SUMIFS(INDEX(Техника!$F$1:$ABM$500,R$2,0),Техника!$F$4:$ABM$4,"Часы",INDEX(Техника!$G$1:$ABN$500,R$2,0),$A$144,INDEX(Техника!$H$1:$ABO$500,R$2,0),"М")</f>
        <v>0</v>
      </c>
      <c r="S145" s="50">
        <f>SUMIFS(INDEX(Техника!$F$1:$ABM$500,S$2,0),Техника!$F$4:$ABM$4,"Часы",INDEX(Техника!$G$1:$ABN$500,S$2,0),$A$144,INDEX(Техника!$H$1:$ABO$500,S$2,0),"М")</f>
        <v>0</v>
      </c>
      <c r="T145" s="50">
        <f>SUMIFS(INDEX(Техника!$F$1:$ABM$500,T$2,0),Техника!$F$4:$ABM$4,"Часы",INDEX(Техника!$G$1:$ABN$500,T$2,0),$A$144,INDEX(Техника!$H$1:$ABO$500,T$2,0),"М")</f>
        <v>0</v>
      </c>
      <c r="U145" s="50">
        <f>SUMIFS(INDEX(Техника!$F$1:$ABM$500,U$2,0),Техника!$F$4:$ABM$4,"Часы",INDEX(Техника!$G$1:$ABN$500,U$2,0),$A$144,INDEX(Техника!$H$1:$ABO$500,U$2,0),"М")</f>
        <v>0</v>
      </c>
      <c r="V145" s="50">
        <f>SUMIFS(INDEX(Техника!$F$1:$ABM$500,V$2,0),Техника!$F$4:$ABM$4,"Часы",INDEX(Техника!$G$1:$ABN$500,V$2,0),$A$144,INDEX(Техника!$H$1:$ABO$500,V$2,0),"М")</f>
        <v>0</v>
      </c>
      <c r="W145" s="50">
        <f>SUMIFS(INDEX(Техника!$F$1:$ABM$500,W$2,0),Техника!$F$4:$ABM$4,"Часы",INDEX(Техника!$G$1:$ABN$500,W$2,0),$A$144,INDEX(Техника!$H$1:$ABO$500,W$2,0),"М")</f>
        <v>0</v>
      </c>
      <c r="X145" s="50">
        <f>SUMIFS(INDEX(Техника!$F$1:$ABM$500,X$2,0),Техника!$F$4:$ABM$4,"Часы",INDEX(Техника!$G$1:$ABN$500,X$2,0),$A$144,INDEX(Техника!$H$1:$ABO$500,X$2,0),"М")</f>
        <v>0</v>
      </c>
      <c r="Y145" s="50">
        <f>SUMIFS(INDEX(Техника!$F$1:$ABM$500,Y$2,0),Техника!$F$4:$ABM$4,"Часы",INDEX(Техника!$G$1:$ABN$500,Y$2,0),$A$144,INDEX(Техника!$H$1:$ABO$500,Y$2,0),"М")</f>
        <v>0</v>
      </c>
      <c r="Z145" s="50">
        <f>SUMIFS(INDEX(Техника!$F$1:$ABM$500,Z$2,0),Техника!$F$4:$ABM$4,"Часы",INDEX(Техника!$G$1:$ABN$500,Z$2,0),$A$144,INDEX(Техника!$H$1:$ABO$500,Z$2,0),"М")</f>
        <v>0</v>
      </c>
      <c r="AA145" s="50">
        <f>SUMIFS(INDEX(Техника!$F$1:$ABM$500,AA$2,0),Техника!$F$4:$ABM$4,"Часы",INDEX(Техника!$G$1:$ABN$500,AA$2,0),$A$144,INDEX(Техника!$H$1:$ABO$500,AA$2,0),"М")</f>
        <v>0</v>
      </c>
      <c r="AB145" s="50">
        <f>SUMIFS(INDEX(Техника!$F$1:$ABM$500,AB$2,0),Техника!$F$4:$ABM$4,"Часы",INDEX(Техника!$G$1:$ABN$500,AB$2,0),$A$144,INDEX(Техника!$H$1:$ABO$500,AB$2,0),"М")</f>
        <v>0</v>
      </c>
    </row>
    <row r="146" spans="1:28" hidden="1" outlineLevel="1" x14ac:dyDescent="0.3">
      <c r="A146" s="33" t="s">
        <v>244</v>
      </c>
      <c r="B146" s="34" t="s">
        <v>275</v>
      </c>
      <c r="C146" s="50">
        <f>SUMIFS(INDEX(Техника!$F$1:$ABM$500,C$2,0),Техника!$F$4:$ABM$4,"Часы",INDEX(Техника!$G$1:$ABN$500,C$2,0),$A$144,INDEX(Техника!$H$1:$ABO$500,C$2,0),"Д")</f>
        <v>0</v>
      </c>
      <c r="D146" s="50">
        <f>SUMIFS(INDEX(Техника!$F$1:$ABM$500,D$2,0),Техника!$F$4:$ABM$4,"Часы",INDEX(Техника!$G$1:$ABN$500,D$2,0),$A$144,INDEX(Техника!$H$1:$ABO$500,D$2,0),"Д")</f>
        <v>0</v>
      </c>
      <c r="E146" s="50">
        <f>SUMIFS(INDEX(Техника!$F$1:$ABM$500,E$2,0),Техника!$F$4:$ABM$4,"Часы",INDEX(Техника!$G$1:$ABN$500,E$2,0),$A$144,INDEX(Техника!$H$1:$ABO$500,E$2,0),"Д")</f>
        <v>0</v>
      </c>
      <c r="F146" s="50">
        <f>SUMIFS(INDEX(Техника!$F$1:$ABM$500,F$2,0),Техника!$F$4:$ABM$4,"Часы",INDEX(Техника!$G$1:$ABN$500,F$2,0),$A$144,INDEX(Техника!$H$1:$ABO$500,F$2,0),"Д")</f>
        <v>0</v>
      </c>
      <c r="G146" s="50">
        <f>SUMIFS(INDEX(Техника!$F$1:$ABM$500,G$2,0),Техника!$F$4:$ABM$4,"Часы",INDEX(Техника!$G$1:$ABN$500,G$2,0),$A$144,INDEX(Техника!$H$1:$ABO$500,G$2,0),"Д")</f>
        <v>0</v>
      </c>
      <c r="H146" s="50">
        <f>SUMIFS(INDEX(Техника!$F$1:$ABM$500,H$2,0),Техника!$F$4:$ABM$4,"Часы",INDEX(Техника!$G$1:$ABN$500,H$2,0),$A$144,INDEX(Техника!$H$1:$ABO$500,H$2,0),"Д")</f>
        <v>0</v>
      </c>
      <c r="I146" s="50">
        <f>SUMIFS(INDEX(Техника!$F$1:$ABM$500,I$2,0),Техника!$F$4:$ABM$4,"Часы",INDEX(Техника!$G$1:$ABN$500,I$2,0),$A$144,INDEX(Техника!$H$1:$ABO$500,I$2,0),"Д")</f>
        <v>0</v>
      </c>
      <c r="J146" s="50">
        <f>SUMIFS(INDEX(Техника!$F$1:$ABM$500,J$2,0),Техника!$F$4:$ABM$4,"Часы",INDEX(Техника!$G$1:$ABN$500,J$2,0),$A$144,INDEX(Техника!$H$1:$ABO$500,J$2,0),"Д")</f>
        <v>0</v>
      </c>
      <c r="K146" s="50">
        <f>SUMIFS(INDEX(Техника!$F$1:$ABM$500,K$2,0),Техника!$F$4:$ABM$4,"Часы",INDEX(Техника!$G$1:$ABN$500,K$2,0),$A$144,INDEX(Техника!$H$1:$ABO$500,K$2,0),"Д")</f>
        <v>0</v>
      </c>
      <c r="L146" s="50">
        <f>SUMIFS(INDEX(Техника!$F$1:$ABM$500,L$2,0),Техника!$F$4:$ABM$4,"Часы",INDEX(Техника!$G$1:$ABN$500,L$2,0),$A$144,INDEX(Техника!$H$1:$ABO$500,L$2,0),"Д")</f>
        <v>0</v>
      </c>
      <c r="M146" s="50">
        <f>SUMIFS(INDEX(Техника!$F$1:$ABM$500,M$2,0),Техника!$F$4:$ABM$4,"Часы",INDEX(Техника!$G$1:$ABN$500,M$2,0),$A$144,INDEX(Техника!$H$1:$ABO$500,M$2,0),"Д")</f>
        <v>0</v>
      </c>
      <c r="N146" s="50">
        <f>SUMIFS(INDEX(Техника!$F$1:$ABM$500,N$2,0),Техника!$F$4:$ABM$4,"Часы",INDEX(Техника!$G$1:$ABN$500,N$2,0),$A$144,INDEX(Техника!$H$1:$ABO$500,N$2,0),"Д")</f>
        <v>0</v>
      </c>
      <c r="O146" s="50">
        <f>SUMIFS(INDEX(Техника!$F$1:$ABM$500,O$2,0),Техника!$F$4:$ABM$4,"Часы",INDEX(Техника!$G$1:$ABN$500,O$2,0),$A$144,INDEX(Техника!$H$1:$ABO$500,O$2,0),"Д")</f>
        <v>0</v>
      </c>
      <c r="P146" s="50">
        <f>SUMIFS(INDEX(Техника!$F$1:$ABM$500,P$2,0),Техника!$F$4:$ABM$4,"Часы",INDEX(Техника!$G$1:$ABN$500,P$2,0),$A$144,INDEX(Техника!$H$1:$ABO$500,P$2,0),"Д")</f>
        <v>0</v>
      </c>
      <c r="Q146" s="50">
        <f>SUMIFS(INDEX(Техника!$F$1:$ABM$500,Q$2,0),Техника!$F$4:$ABM$4,"Часы",INDEX(Техника!$G$1:$ABN$500,Q$2,0),$A$144,INDEX(Техника!$H$1:$ABO$500,Q$2,0),"Д")</f>
        <v>0</v>
      </c>
      <c r="R146" s="50">
        <f>SUMIFS(INDEX(Техника!$F$1:$ABM$500,R$2,0),Техника!$F$4:$ABM$4,"Часы",INDEX(Техника!$G$1:$ABN$500,R$2,0),$A$144,INDEX(Техника!$H$1:$ABO$500,R$2,0),"Д")</f>
        <v>0</v>
      </c>
      <c r="S146" s="50">
        <f>SUMIFS(INDEX(Техника!$F$1:$ABM$500,S$2,0),Техника!$F$4:$ABM$4,"Часы",INDEX(Техника!$G$1:$ABN$500,S$2,0),$A$144,INDEX(Техника!$H$1:$ABO$500,S$2,0),"Д")</f>
        <v>0</v>
      </c>
      <c r="T146" s="50">
        <f>SUMIFS(INDEX(Техника!$F$1:$ABM$500,T$2,0),Техника!$F$4:$ABM$4,"Часы",INDEX(Техника!$G$1:$ABN$500,T$2,0),$A$144,INDEX(Техника!$H$1:$ABO$500,T$2,0),"Д")</f>
        <v>0</v>
      </c>
      <c r="U146" s="50">
        <f>SUMIFS(INDEX(Техника!$F$1:$ABM$500,U$2,0),Техника!$F$4:$ABM$4,"Часы",INDEX(Техника!$G$1:$ABN$500,U$2,0),$A$144,INDEX(Техника!$H$1:$ABO$500,U$2,0),"Д")</f>
        <v>0</v>
      </c>
      <c r="V146" s="50">
        <f>SUMIFS(INDEX(Техника!$F$1:$ABM$500,V$2,0),Техника!$F$4:$ABM$4,"Часы",INDEX(Техника!$G$1:$ABN$500,V$2,0),$A$144,INDEX(Техника!$H$1:$ABO$500,V$2,0),"Д")</f>
        <v>0</v>
      </c>
      <c r="W146" s="50">
        <f>SUMIFS(INDEX(Техника!$F$1:$ABM$500,W$2,0),Техника!$F$4:$ABM$4,"Часы",INDEX(Техника!$G$1:$ABN$500,W$2,0),$A$144,INDEX(Техника!$H$1:$ABO$500,W$2,0),"Д")</f>
        <v>0</v>
      </c>
      <c r="X146" s="50">
        <f>SUMIFS(INDEX(Техника!$F$1:$ABM$500,X$2,0),Техника!$F$4:$ABM$4,"Часы",INDEX(Техника!$G$1:$ABN$500,X$2,0),$A$144,INDEX(Техника!$H$1:$ABO$500,X$2,0),"Д")</f>
        <v>0</v>
      </c>
      <c r="Y146" s="50">
        <f>SUMIFS(INDEX(Техника!$F$1:$ABM$500,Y$2,0),Техника!$F$4:$ABM$4,"Часы",INDEX(Техника!$G$1:$ABN$500,Y$2,0),$A$144,INDEX(Техника!$H$1:$ABO$500,Y$2,0),"Д")</f>
        <v>0</v>
      </c>
      <c r="Z146" s="50">
        <f>SUMIFS(INDEX(Техника!$F$1:$ABM$500,Z$2,0),Техника!$F$4:$ABM$4,"Часы",INDEX(Техника!$G$1:$ABN$500,Z$2,0),$A$144,INDEX(Техника!$H$1:$ABO$500,Z$2,0),"Д")</f>
        <v>0</v>
      </c>
      <c r="AA146" s="50">
        <f>SUMIFS(INDEX(Техника!$F$1:$ABM$500,AA$2,0),Техника!$F$4:$ABM$4,"Часы",INDEX(Техника!$G$1:$ABN$500,AA$2,0),$A$144,INDEX(Техника!$H$1:$ABO$500,AA$2,0),"Д")</f>
        <v>0</v>
      </c>
      <c r="AB146" s="50">
        <f>SUMIFS(INDEX(Техника!$F$1:$ABM$500,AB$2,0),Техника!$F$4:$ABM$4,"Часы",INDEX(Техника!$G$1:$ABN$500,AB$2,0),$A$144,INDEX(Техника!$H$1:$ABO$500,AB$2,0),"Д")</f>
        <v>0</v>
      </c>
    </row>
    <row r="147" spans="1:28" hidden="1" outlineLevel="1" x14ac:dyDescent="0.3">
      <c r="A147" s="33" t="s">
        <v>276</v>
      </c>
      <c r="B147" s="34" t="s">
        <v>277</v>
      </c>
      <c r="C147" s="50">
        <f>SUMIFS(INDEX(Техника!$F$1:$ABM$500,C$2,0),Техника!$F$4:$ABM$4,"Часы",INDEX(Техника!$G$1:$ABN$500,C$2,0),$A$144,INDEX(Техника!$H$1:$ABO$500,C$2,0),"П")</f>
        <v>0</v>
      </c>
      <c r="D147" s="50">
        <f>SUMIFS(INDEX(Техника!$F$1:$ABM$500,D$2,0),Техника!$F$4:$ABM$4,"Часы",INDEX(Техника!$G$1:$ABN$500,D$2,0),$A$144,INDEX(Техника!$H$1:$ABO$500,D$2,0),"П")</f>
        <v>0</v>
      </c>
      <c r="E147" s="50">
        <f>SUMIFS(INDEX(Техника!$F$1:$ABM$500,E$2,0),Техника!$F$4:$ABM$4,"Часы",INDEX(Техника!$G$1:$ABN$500,E$2,0),$A$144,INDEX(Техника!$H$1:$ABO$500,E$2,0),"П")</f>
        <v>0</v>
      </c>
      <c r="F147" s="50">
        <f>SUMIFS(INDEX(Техника!$F$1:$ABM$500,F$2,0),Техника!$F$4:$ABM$4,"Часы",INDEX(Техника!$G$1:$ABN$500,F$2,0),$A$144,INDEX(Техника!$H$1:$ABO$500,F$2,0),"П")</f>
        <v>0</v>
      </c>
      <c r="G147" s="50">
        <f>SUMIFS(INDEX(Техника!$F$1:$ABM$500,G$2,0),Техника!$F$4:$ABM$4,"Часы",INDEX(Техника!$G$1:$ABN$500,G$2,0),$A$144,INDEX(Техника!$H$1:$ABO$500,G$2,0),"П")</f>
        <v>0</v>
      </c>
      <c r="H147" s="50">
        <f>SUMIFS(INDEX(Техника!$F$1:$ABM$500,H$2,0),Техника!$F$4:$ABM$4,"Часы",INDEX(Техника!$G$1:$ABN$500,H$2,0),$A$144,INDEX(Техника!$H$1:$ABO$500,H$2,0),"П")</f>
        <v>0</v>
      </c>
      <c r="I147" s="50">
        <f>SUMIFS(INDEX(Техника!$F$1:$ABM$500,I$2,0),Техника!$F$4:$ABM$4,"Часы",INDEX(Техника!$G$1:$ABN$500,I$2,0),$A$144,INDEX(Техника!$H$1:$ABO$500,I$2,0),"П")</f>
        <v>0</v>
      </c>
      <c r="J147" s="50">
        <f>SUMIFS(INDEX(Техника!$F$1:$ABM$500,J$2,0),Техника!$F$4:$ABM$4,"Часы",INDEX(Техника!$G$1:$ABN$500,J$2,0),$A$144,INDEX(Техника!$H$1:$ABO$500,J$2,0),"П")</f>
        <v>0</v>
      </c>
      <c r="K147" s="50">
        <f>SUMIFS(INDEX(Техника!$F$1:$ABM$500,K$2,0),Техника!$F$4:$ABM$4,"Часы",INDEX(Техника!$G$1:$ABN$500,K$2,0),$A$144,INDEX(Техника!$H$1:$ABO$500,K$2,0),"П")</f>
        <v>0</v>
      </c>
      <c r="L147" s="50">
        <f>SUMIFS(INDEX(Техника!$F$1:$ABM$500,L$2,0),Техника!$F$4:$ABM$4,"Часы",INDEX(Техника!$G$1:$ABN$500,L$2,0),$A$144,INDEX(Техника!$H$1:$ABO$500,L$2,0),"П")</f>
        <v>0</v>
      </c>
      <c r="M147" s="50">
        <f>SUMIFS(INDEX(Техника!$F$1:$ABM$500,M$2,0),Техника!$F$4:$ABM$4,"Часы",INDEX(Техника!$G$1:$ABN$500,M$2,0),$A$144,INDEX(Техника!$H$1:$ABO$500,M$2,0),"П")</f>
        <v>0</v>
      </c>
      <c r="N147" s="50">
        <f>SUMIFS(INDEX(Техника!$F$1:$ABM$500,N$2,0),Техника!$F$4:$ABM$4,"Часы",INDEX(Техника!$G$1:$ABN$500,N$2,0),$A$144,INDEX(Техника!$H$1:$ABO$500,N$2,0),"П")</f>
        <v>0</v>
      </c>
      <c r="O147" s="50">
        <f>SUMIFS(INDEX(Техника!$F$1:$ABM$500,O$2,0),Техника!$F$4:$ABM$4,"Часы",INDEX(Техника!$G$1:$ABN$500,O$2,0),$A$144,INDEX(Техника!$H$1:$ABO$500,O$2,0),"П")</f>
        <v>0</v>
      </c>
      <c r="P147" s="50">
        <f>SUMIFS(INDEX(Техника!$F$1:$ABM$500,P$2,0),Техника!$F$4:$ABM$4,"Часы",INDEX(Техника!$G$1:$ABN$500,P$2,0),$A$144,INDEX(Техника!$H$1:$ABO$500,P$2,0),"П")</f>
        <v>0</v>
      </c>
      <c r="Q147" s="50">
        <f>SUMIFS(INDEX(Техника!$F$1:$ABM$500,Q$2,0),Техника!$F$4:$ABM$4,"Часы",INDEX(Техника!$G$1:$ABN$500,Q$2,0),$A$144,INDEX(Техника!$H$1:$ABO$500,Q$2,0),"П")</f>
        <v>0</v>
      </c>
      <c r="R147" s="50">
        <f>SUMIFS(INDEX(Техника!$F$1:$ABM$500,R$2,0),Техника!$F$4:$ABM$4,"Часы",INDEX(Техника!$G$1:$ABN$500,R$2,0),$A$144,INDEX(Техника!$H$1:$ABO$500,R$2,0),"П")</f>
        <v>0</v>
      </c>
      <c r="S147" s="50">
        <f>SUMIFS(INDEX(Техника!$F$1:$ABM$500,S$2,0),Техника!$F$4:$ABM$4,"Часы",INDEX(Техника!$G$1:$ABN$500,S$2,0),$A$144,INDEX(Техника!$H$1:$ABO$500,S$2,0),"П")</f>
        <v>0</v>
      </c>
      <c r="T147" s="50">
        <f>SUMIFS(INDEX(Техника!$F$1:$ABM$500,T$2,0),Техника!$F$4:$ABM$4,"Часы",INDEX(Техника!$G$1:$ABN$500,T$2,0),$A$144,INDEX(Техника!$H$1:$ABO$500,T$2,0),"П")</f>
        <v>0</v>
      </c>
      <c r="U147" s="50">
        <f>SUMIFS(INDEX(Техника!$F$1:$ABM$500,U$2,0),Техника!$F$4:$ABM$4,"Часы",INDEX(Техника!$G$1:$ABN$500,U$2,0),$A$144,INDEX(Техника!$H$1:$ABO$500,U$2,0),"П")</f>
        <v>0</v>
      </c>
      <c r="V147" s="50">
        <f>SUMIFS(INDEX(Техника!$F$1:$ABM$500,V$2,0),Техника!$F$4:$ABM$4,"Часы",INDEX(Техника!$G$1:$ABN$500,V$2,0),$A$144,INDEX(Техника!$H$1:$ABO$500,V$2,0),"П")</f>
        <v>0</v>
      </c>
      <c r="W147" s="50">
        <f>SUMIFS(INDEX(Техника!$F$1:$ABM$500,W$2,0),Техника!$F$4:$ABM$4,"Часы",INDEX(Техника!$G$1:$ABN$500,W$2,0),$A$144,INDEX(Техника!$H$1:$ABO$500,W$2,0),"П")</f>
        <v>0</v>
      </c>
      <c r="X147" s="50">
        <f>SUMIFS(INDEX(Техника!$F$1:$ABM$500,X$2,0),Техника!$F$4:$ABM$4,"Часы",INDEX(Техника!$G$1:$ABN$500,X$2,0),$A$144,INDEX(Техника!$H$1:$ABO$500,X$2,0),"П")</f>
        <v>0</v>
      </c>
      <c r="Y147" s="50">
        <f>SUMIFS(INDEX(Техника!$F$1:$ABM$500,Y$2,0),Техника!$F$4:$ABM$4,"Часы",INDEX(Техника!$G$1:$ABN$500,Y$2,0),$A$144,INDEX(Техника!$H$1:$ABO$500,Y$2,0),"П")</f>
        <v>0</v>
      </c>
      <c r="Z147" s="50">
        <f>SUMIFS(INDEX(Техника!$F$1:$ABM$500,Z$2,0),Техника!$F$4:$ABM$4,"Часы",INDEX(Техника!$G$1:$ABN$500,Z$2,0),$A$144,INDEX(Техника!$H$1:$ABO$500,Z$2,0),"П")</f>
        <v>0</v>
      </c>
      <c r="AA147" s="50">
        <f>SUMIFS(INDEX(Техника!$F$1:$ABM$500,AA$2,0),Техника!$F$4:$ABM$4,"Часы",INDEX(Техника!$G$1:$ABN$500,AA$2,0),$A$144,INDEX(Техника!$H$1:$ABO$500,AA$2,0),"П")</f>
        <v>0</v>
      </c>
      <c r="AB147" s="50">
        <f>SUMIFS(INDEX(Техника!$F$1:$ABM$500,AB$2,0),Техника!$F$4:$ABM$4,"Часы",INDEX(Техника!$G$1:$ABN$500,AB$2,0),$A$144,INDEX(Техника!$H$1:$ABO$500,AB$2,0),"П")</f>
        <v>0</v>
      </c>
    </row>
    <row r="148" spans="1:28" hidden="1" outlineLevel="1" x14ac:dyDescent="0.3">
      <c r="A148" s="33" t="s">
        <v>243</v>
      </c>
      <c r="B148" s="34" t="s">
        <v>278</v>
      </c>
      <c r="C148" s="50">
        <f>SUMIFS(INDEX(Техника!$F$1:$ABM$500,C$2,0),Техника!$F$4:$ABM$4,"Часы",INDEX(Техника!$G$1:$ABN$500,C$2,0),$A$144,INDEX(Техника!$H$1:$ABO$500,C$2,0),"Л")</f>
        <v>0</v>
      </c>
      <c r="D148" s="50">
        <f>SUMIFS(INDEX(Техника!$F$1:$ABM$500,D$2,0),Техника!$F$4:$ABM$4,"Часы",INDEX(Техника!$G$1:$ABN$500,D$2,0),$A$144,INDEX(Техника!$H$1:$ABO$500,D$2,0),"Л")</f>
        <v>0</v>
      </c>
      <c r="E148" s="50">
        <f>SUMIFS(INDEX(Техника!$F$1:$ABM$500,E$2,0),Техника!$F$4:$ABM$4,"Часы",INDEX(Техника!$G$1:$ABN$500,E$2,0),$A$144,INDEX(Техника!$H$1:$ABO$500,E$2,0),"Л")</f>
        <v>0</v>
      </c>
      <c r="F148" s="50">
        <f>SUMIFS(INDEX(Техника!$F$1:$ABM$500,F$2,0),Техника!$F$4:$ABM$4,"Часы",INDEX(Техника!$G$1:$ABN$500,F$2,0),$A$144,INDEX(Техника!$H$1:$ABO$500,F$2,0),"Л")</f>
        <v>0</v>
      </c>
      <c r="G148" s="50">
        <f>SUMIFS(INDEX(Техника!$F$1:$ABM$500,G$2,0),Техника!$F$4:$ABM$4,"Часы",INDEX(Техника!$G$1:$ABN$500,G$2,0),$A$144,INDEX(Техника!$H$1:$ABO$500,G$2,0),"Л")</f>
        <v>0</v>
      </c>
      <c r="H148" s="50">
        <f>SUMIFS(INDEX(Техника!$F$1:$ABM$500,H$2,0),Техника!$F$4:$ABM$4,"Часы",INDEX(Техника!$G$1:$ABN$500,H$2,0),$A$144,INDEX(Техника!$H$1:$ABO$500,H$2,0),"Л")</f>
        <v>0</v>
      </c>
      <c r="I148" s="50">
        <f>SUMIFS(INDEX(Техника!$F$1:$ABM$500,I$2,0),Техника!$F$4:$ABM$4,"Часы",INDEX(Техника!$G$1:$ABN$500,I$2,0),$A$144,INDEX(Техника!$H$1:$ABO$500,I$2,0),"Л")</f>
        <v>0</v>
      </c>
      <c r="J148" s="50">
        <f>SUMIFS(INDEX(Техника!$F$1:$ABM$500,J$2,0),Техника!$F$4:$ABM$4,"Часы",INDEX(Техника!$G$1:$ABN$500,J$2,0),$A$144,INDEX(Техника!$H$1:$ABO$500,J$2,0),"Л")</f>
        <v>0</v>
      </c>
      <c r="K148" s="50">
        <f>SUMIFS(INDEX(Техника!$F$1:$ABM$500,K$2,0),Техника!$F$4:$ABM$4,"Часы",INDEX(Техника!$G$1:$ABN$500,K$2,0),$A$144,INDEX(Техника!$H$1:$ABO$500,K$2,0),"Л")</f>
        <v>0</v>
      </c>
      <c r="L148" s="50">
        <f>SUMIFS(INDEX(Техника!$F$1:$ABM$500,L$2,0),Техника!$F$4:$ABM$4,"Часы",INDEX(Техника!$G$1:$ABN$500,L$2,0),$A$144,INDEX(Техника!$H$1:$ABO$500,L$2,0),"Л")</f>
        <v>0</v>
      </c>
      <c r="M148" s="50">
        <f>SUMIFS(INDEX(Техника!$F$1:$ABM$500,M$2,0),Техника!$F$4:$ABM$4,"Часы",INDEX(Техника!$G$1:$ABN$500,M$2,0),$A$144,INDEX(Техника!$H$1:$ABO$500,M$2,0),"Л")</f>
        <v>0</v>
      </c>
      <c r="N148" s="50">
        <f>SUMIFS(INDEX(Техника!$F$1:$ABM$500,N$2,0),Техника!$F$4:$ABM$4,"Часы",INDEX(Техника!$G$1:$ABN$500,N$2,0),$A$144,INDEX(Техника!$H$1:$ABO$500,N$2,0),"Л")</f>
        <v>0</v>
      </c>
      <c r="O148" s="50">
        <f>SUMIFS(INDEX(Техника!$F$1:$ABM$500,O$2,0),Техника!$F$4:$ABM$4,"Часы",INDEX(Техника!$G$1:$ABN$500,O$2,0),$A$144,INDEX(Техника!$H$1:$ABO$500,O$2,0),"Л")</f>
        <v>0</v>
      </c>
      <c r="P148" s="50">
        <f>SUMIFS(INDEX(Техника!$F$1:$ABM$500,P$2,0),Техника!$F$4:$ABM$4,"Часы",INDEX(Техника!$G$1:$ABN$500,P$2,0),$A$144,INDEX(Техника!$H$1:$ABO$500,P$2,0),"Л")</f>
        <v>0</v>
      </c>
      <c r="Q148" s="50">
        <f>SUMIFS(INDEX(Техника!$F$1:$ABM$500,Q$2,0),Техника!$F$4:$ABM$4,"Часы",INDEX(Техника!$G$1:$ABN$500,Q$2,0),$A$144,INDEX(Техника!$H$1:$ABO$500,Q$2,0),"Л")</f>
        <v>0</v>
      </c>
      <c r="R148" s="50">
        <f>SUMIFS(INDEX(Техника!$F$1:$ABM$500,R$2,0),Техника!$F$4:$ABM$4,"Часы",INDEX(Техника!$G$1:$ABN$500,R$2,0),$A$144,INDEX(Техника!$H$1:$ABO$500,R$2,0),"Л")</f>
        <v>0</v>
      </c>
      <c r="S148" s="50">
        <f>SUMIFS(INDEX(Техника!$F$1:$ABM$500,S$2,0),Техника!$F$4:$ABM$4,"Часы",INDEX(Техника!$G$1:$ABN$500,S$2,0),$A$144,INDEX(Техника!$H$1:$ABO$500,S$2,0),"Л")</f>
        <v>0</v>
      </c>
      <c r="T148" s="50">
        <f>SUMIFS(INDEX(Техника!$F$1:$ABM$500,T$2,0),Техника!$F$4:$ABM$4,"Часы",INDEX(Техника!$G$1:$ABN$500,T$2,0),$A$144,INDEX(Техника!$H$1:$ABO$500,T$2,0),"Л")</f>
        <v>0</v>
      </c>
      <c r="U148" s="50">
        <f>SUMIFS(INDEX(Техника!$F$1:$ABM$500,U$2,0),Техника!$F$4:$ABM$4,"Часы",INDEX(Техника!$G$1:$ABN$500,U$2,0),$A$144,INDEX(Техника!$H$1:$ABO$500,U$2,0),"Л")</f>
        <v>0</v>
      </c>
      <c r="V148" s="50">
        <f>SUMIFS(INDEX(Техника!$F$1:$ABM$500,V$2,0),Техника!$F$4:$ABM$4,"Часы",INDEX(Техника!$G$1:$ABN$500,V$2,0),$A$144,INDEX(Техника!$H$1:$ABO$500,V$2,0),"Л")</f>
        <v>0</v>
      </c>
      <c r="W148" s="50">
        <f>SUMIFS(INDEX(Техника!$F$1:$ABM$500,W$2,0),Техника!$F$4:$ABM$4,"Часы",INDEX(Техника!$G$1:$ABN$500,W$2,0),$A$144,INDEX(Техника!$H$1:$ABO$500,W$2,0),"Л")</f>
        <v>0</v>
      </c>
      <c r="X148" s="50">
        <f>SUMIFS(INDEX(Техника!$F$1:$ABM$500,X$2,0),Техника!$F$4:$ABM$4,"Часы",INDEX(Техника!$G$1:$ABN$500,X$2,0),$A$144,INDEX(Техника!$H$1:$ABO$500,X$2,0),"Л")</f>
        <v>0</v>
      </c>
      <c r="Y148" s="50">
        <f>SUMIFS(INDEX(Техника!$F$1:$ABM$500,Y$2,0),Техника!$F$4:$ABM$4,"Часы",INDEX(Техника!$G$1:$ABN$500,Y$2,0),$A$144,INDEX(Техника!$H$1:$ABO$500,Y$2,0),"Л")</f>
        <v>0</v>
      </c>
      <c r="Z148" s="50">
        <f>SUMIFS(INDEX(Техника!$F$1:$ABM$500,Z$2,0),Техника!$F$4:$ABM$4,"Часы",INDEX(Техника!$G$1:$ABN$500,Z$2,0),$A$144,INDEX(Техника!$H$1:$ABO$500,Z$2,0),"Л")</f>
        <v>0</v>
      </c>
      <c r="AA148" s="50">
        <f>SUMIFS(INDEX(Техника!$F$1:$ABM$500,AA$2,0),Техника!$F$4:$ABM$4,"Часы",INDEX(Техника!$G$1:$ABN$500,AA$2,0),$A$144,INDEX(Техника!$H$1:$ABO$500,AA$2,0),"Л")</f>
        <v>0</v>
      </c>
      <c r="AB148" s="50">
        <f>SUMIFS(INDEX(Техника!$F$1:$ABM$500,AB$2,0),Техника!$F$4:$ABM$4,"Часы",INDEX(Техника!$G$1:$ABN$500,AB$2,0),$A$144,INDEX(Техника!$H$1:$ABO$500,AB$2,0),"Л")</f>
        <v>0</v>
      </c>
    </row>
    <row r="149" spans="1:28" hidden="1" outlineLevel="1" x14ac:dyDescent="0.3">
      <c r="A149" s="33" t="s">
        <v>245</v>
      </c>
      <c r="B149" s="34" t="s">
        <v>279</v>
      </c>
      <c r="C149" s="50">
        <f>SUMIFS(INDEX(Техника!$F$1:$ABM$500,C$2,0),Техника!$F$4:$ABM$4,"Часы",INDEX(Техника!$G$1:$ABN$500,C$2,0),$A$144,INDEX(Техника!$H$1:$ABO$500,C$2,0),"З")</f>
        <v>0</v>
      </c>
      <c r="D149" s="50">
        <f>SUMIFS(INDEX(Техника!$F$1:$ABM$500,D$2,0),Техника!$F$4:$ABM$4,"Часы",INDEX(Техника!$G$1:$ABN$500,D$2,0),$A$144,INDEX(Техника!$H$1:$ABO$500,D$2,0),"З")</f>
        <v>0</v>
      </c>
      <c r="E149" s="50">
        <f>SUMIFS(INDEX(Техника!$F$1:$ABM$500,E$2,0),Техника!$F$4:$ABM$4,"Часы",INDEX(Техника!$G$1:$ABN$500,E$2,0),$A$144,INDEX(Техника!$H$1:$ABO$500,E$2,0),"З")</f>
        <v>0</v>
      </c>
      <c r="F149" s="50">
        <f>SUMIFS(INDEX(Техника!$F$1:$ABM$500,F$2,0),Техника!$F$4:$ABM$4,"Часы",INDEX(Техника!$G$1:$ABN$500,F$2,0),$A$144,INDEX(Техника!$H$1:$ABO$500,F$2,0),"З")</f>
        <v>0</v>
      </c>
      <c r="G149" s="50">
        <f>SUMIFS(INDEX(Техника!$F$1:$ABM$500,G$2,0),Техника!$F$4:$ABM$4,"Часы",INDEX(Техника!$G$1:$ABN$500,G$2,0),$A$144,INDEX(Техника!$H$1:$ABO$500,G$2,0),"З")</f>
        <v>0</v>
      </c>
      <c r="H149" s="50">
        <f>SUMIFS(INDEX(Техника!$F$1:$ABM$500,H$2,0),Техника!$F$4:$ABM$4,"Часы",INDEX(Техника!$G$1:$ABN$500,H$2,0),$A$144,INDEX(Техника!$H$1:$ABO$500,H$2,0),"З")</f>
        <v>0</v>
      </c>
      <c r="I149" s="50">
        <f>SUMIFS(INDEX(Техника!$F$1:$ABM$500,I$2,0),Техника!$F$4:$ABM$4,"Часы",INDEX(Техника!$G$1:$ABN$500,I$2,0),$A$144,INDEX(Техника!$H$1:$ABO$500,I$2,0),"З")</f>
        <v>0</v>
      </c>
      <c r="J149" s="50">
        <f>SUMIFS(INDEX(Техника!$F$1:$ABM$500,J$2,0),Техника!$F$4:$ABM$4,"Часы",INDEX(Техника!$G$1:$ABN$500,J$2,0),$A$144,INDEX(Техника!$H$1:$ABO$500,J$2,0),"З")</f>
        <v>0</v>
      </c>
      <c r="K149" s="50">
        <f>SUMIFS(INDEX(Техника!$F$1:$ABM$500,K$2,0),Техника!$F$4:$ABM$4,"Часы",INDEX(Техника!$G$1:$ABN$500,K$2,0),$A$144,INDEX(Техника!$H$1:$ABO$500,K$2,0),"З")</f>
        <v>0</v>
      </c>
      <c r="L149" s="50">
        <f>SUMIFS(INDEX(Техника!$F$1:$ABM$500,L$2,0),Техника!$F$4:$ABM$4,"Часы",INDEX(Техника!$G$1:$ABN$500,L$2,0),$A$144,INDEX(Техника!$H$1:$ABO$500,L$2,0),"З")</f>
        <v>0</v>
      </c>
      <c r="M149" s="50">
        <f>SUMIFS(INDEX(Техника!$F$1:$ABM$500,M$2,0),Техника!$F$4:$ABM$4,"Часы",INDEX(Техника!$G$1:$ABN$500,M$2,0),$A$144,INDEX(Техника!$H$1:$ABO$500,M$2,0),"З")</f>
        <v>0</v>
      </c>
      <c r="N149" s="50">
        <f>SUMIFS(INDEX(Техника!$F$1:$ABM$500,N$2,0),Техника!$F$4:$ABM$4,"Часы",INDEX(Техника!$G$1:$ABN$500,N$2,0),$A$144,INDEX(Техника!$H$1:$ABO$500,N$2,0),"З")</f>
        <v>0</v>
      </c>
      <c r="O149" s="50">
        <f>SUMIFS(INDEX(Техника!$F$1:$ABM$500,O$2,0),Техника!$F$4:$ABM$4,"Часы",INDEX(Техника!$G$1:$ABN$500,O$2,0),$A$144,INDEX(Техника!$H$1:$ABO$500,O$2,0),"З")</f>
        <v>0</v>
      </c>
      <c r="P149" s="50">
        <f>SUMIFS(INDEX(Техника!$F$1:$ABM$500,P$2,0),Техника!$F$4:$ABM$4,"Часы",INDEX(Техника!$G$1:$ABN$500,P$2,0),$A$144,INDEX(Техника!$H$1:$ABO$500,P$2,0),"З")</f>
        <v>0</v>
      </c>
      <c r="Q149" s="50">
        <f>SUMIFS(INDEX(Техника!$F$1:$ABM$500,Q$2,0),Техника!$F$4:$ABM$4,"Часы",INDEX(Техника!$G$1:$ABN$500,Q$2,0),$A$144,INDEX(Техника!$H$1:$ABO$500,Q$2,0),"З")</f>
        <v>0</v>
      </c>
      <c r="R149" s="50">
        <f>SUMIFS(INDEX(Техника!$F$1:$ABM$500,R$2,0),Техника!$F$4:$ABM$4,"Часы",INDEX(Техника!$G$1:$ABN$500,R$2,0),$A$144,INDEX(Техника!$H$1:$ABO$500,R$2,0),"З")</f>
        <v>0</v>
      </c>
      <c r="S149" s="50">
        <f>SUMIFS(INDEX(Техника!$F$1:$ABM$500,S$2,0),Техника!$F$4:$ABM$4,"Часы",INDEX(Техника!$G$1:$ABN$500,S$2,0),$A$144,INDEX(Техника!$H$1:$ABO$500,S$2,0),"З")</f>
        <v>0</v>
      </c>
      <c r="T149" s="50">
        <f>SUMIFS(INDEX(Техника!$F$1:$ABM$500,T$2,0),Техника!$F$4:$ABM$4,"Часы",INDEX(Техника!$G$1:$ABN$500,T$2,0),$A$144,INDEX(Техника!$H$1:$ABO$500,T$2,0),"З")</f>
        <v>0</v>
      </c>
      <c r="U149" s="50">
        <f>SUMIFS(INDEX(Техника!$F$1:$ABM$500,U$2,0),Техника!$F$4:$ABM$4,"Часы",INDEX(Техника!$G$1:$ABN$500,U$2,0),$A$144,INDEX(Техника!$H$1:$ABO$500,U$2,0),"З")</f>
        <v>0</v>
      </c>
      <c r="V149" s="50">
        <f>SUMIFS(INDEX(Техника!$F$1:$ABM$500,V$2,0),Техника!$F$4:$ABM$4,"Часы",INDEX(Техника!$G$1:$ABN$500,V$2,0),$A$144,INDEX(Техника!$H$1:$ABO$500,V$2,0),"З")</f>
        <v>0</v>
      </c>
      <c r="W149" s="50">
        <f>SUMIFS(INDEX(Техника!$F$1:$ABM$500,W$2,0),Техника!$F$4:$ABM$4,"Часы",INDEX(Техника!$G$1:$ABN$500,W$2,0),$A$144,INDEX(Техника!$H$1:$ABO$500,W$2,0),"З")</f>
        <v>0</v>
      </c>
      <c r="X149" s="50">
        <f>SUMIFS(INDEX(Техника!$F$1:$ABM$500,X$2,0),Техника!$F$4:$ABM$4,"Часы",INDEX(Техника!$G$1:$ABN$500,X$2,0),$A$144,INDEX(Техника!$H$1:$ABO$500,X$2,0),"З")</f>
        <v>0</v>
      </c>
      <c r="Y149" s="50">
        <f>SUMIFS(INDEX(Техника!$F$1:$ABM$500,Y$2,0),Техника!$F$4:$ABM$4,"Часы",INDEX(Техника!$G$1:$ABN$500,Y$2,0),$A$144,INDEX(Техника!$H$1:$ABO$500,Y$2,0),"З")</f>
        <v>0</v>
      </c>
      <c r="Z149" s="50">
        <f>SUMIFS(INDEX(Техника!$F$1:$ABM$500,Z$2,0),Техника!$F$4:$ABM$4,"Часы",INDEX(Техника!$G$1:$ABN$500,Z$2,0),$A$144,INDEX(Техника!$H$1:$ABO$500,Z$2,0),"З")</f>
        <v>0</v>
      </c>
      <c r="AA149" s="50">
        <f>SUMIFS(INDEX(Техника!$F$1:$ABM$500,AA$2,0),Техника!$F$4:$ABM$4,"Часы",INDEX(Техника!$G$1:$ABN$500,AA$2,0),$A$144,INDEX(Техника!$H$1:$ABO$500,AA$2,0),"З")</f>
        <v>0</v>
      </c>
      <c r="AB149" s="50">
        <f>SUMIFS(INDEX(Техника!$F$1:$ABM$500,AB$2,0),Техника!$F$4:$ABM$4,"Часы",INDEX(Техника!$G$1:$ABN$500,AB$2,0),$A$144,INDEX(Техника!$H$1:$ABO$500,AB$2,0),"З")</f>
        <v>0</v>
      </c>
    </row>
    <row r="150" spans="1:28" ht="7.95" customHeight="1" x14ac:dyDescent="0.3">
      <c r="A150" s="38"/>
      <c r="B150" s="39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 spans="1:28" ht="25.05" customHeight="1" collapsed="1" x14ac:dyDescent="0.3">
      <c r="A151" s="32">
        <v>22</v>
      </c>
      <c r="B151" s="32" t="s">
        <v>23</v>
      </c>
      <c r="C151" s="49">
        <f>SUM(C152:C156)</f>
        <v>0</v>
      </c>
      <c r="D151" s="49">
        <f>SUM(D152:D156)</f>
        <v>0</v>
      </c>
      <c r="E151" s="49">
        <f>SUM(E152:E156)</f>
        <v>0</v>
      </c>
      <c r="F151" s="49">
        <f>SUM(F152:F156)</f>
        <v>0</v>
      </c>
      <c r="G151" s="49">
        <f>SUM(G152:G156)</f>
        <v>0</v>
      </c>
      <c r="H151" s="49">
        <f>SUM(H152:H156)</f>
        <v>0</v>
      </c>
      <c r="I151" s="49">
        <f>SUM(I152:I156)</f>
        <v>0</v>
      </c>
      <c r="J151" s="49">
        <f>SUM(J152:J156)</f>
        <v>0</v>
      </c>
      <c r="K151" s="49">
        <f>SUM(K152:K156)</f>
        <v>0</v>
      </c>
      <c r="L151" s="49">
        <f>SUM(L152:L156)</f>
        <v>0</v>
      </c>
      <c r="M151" s="49">
        <f>SUM(M152:M156)</f>
        <v>0</v>
      </c>
      <c r="N151" s="49">
        <f>SUM(N152:N156)</f>
        <v>0</v>
      </c>
      <c r="O151" s="49">
        <f>SUM(O152:O156)</f>
        <v>0</v>
      </c>
      <c r="P151" s="49">
        <f>SUM(P152:P156)</f>
        <v>0</v>
      </c>
      <c r="Q151" s="49">
        <f>SUM(Q152:Q156)</f>
        <v>0</v>
      </c>
      <c r="R151" s="49">
        <f>SUM(R152:R156)</f>
        <v>0</v>
      </c>
      <c r="S151" s="49">
        <f>SUM(S152:S156)</f>
        <v>0</v>
      </c>
      <c r="T151" s="49">
        <f>SUM(T152:T156)</f>
        <v>0</v>
      </c>
      <c r="U151" s="49">
        <f>SUM(U152:U156)</f>
        <v>0</v>
      </c>
      <c r="V151" s="49">
        <f>SUM(V152:V156)</f>
        <v>0</v>
      </c>
      <c r="W151" s="49">
        <f>SUM(W152:W156)</f>
        <v>0</v>
      </c>
      <c r="X151" s="49">
        <f>SUM(X152:X156)</f>
        <v>0</v>
      </c>
      <c r="Y151" s="49">
        <f>SUM(Y152:Y156)</f>
        <v>0</v>
      </c>
      <c r="Z151" s="49">
        <f>SUM(Z152:Z156)</f>
        <v>0</v>
      </c>
      <c r="AA151" s="49">
        <f>SUM(AA152:AA156)</f>
        <v>0</v>
      </c>
      <c r="AB151" s="49">
        <f>SUM(AB152:AB156)</f>
        <v>0</v>
      </c>
    </row>
    <row r="152" spans="1:28" hidden="1" outlineLevel="1" x14ac:dyDescent="0.3">
      <c r="A152" s="33" t="s">
        <v>246</v>
      </c>
      <c r="B152" s="34" t="s">
        <v>274</v>
      </c>
      <c r="C152" s="50">
        <f>SUMIFS(INDEX(Техника!$F$1:$ABM$500,C$2,0),Техника!$F$4:$ABM$4,"Часы",INDEX(Техника!$G$1:$ABN$500,C$2,0),$A$151,INDEX(Техника!$H$1:$ABO$500,C$2,0),"М")</f>
        <v>0</v>
      </c>
      <c r="D152" s="50">
        <f>SUMIFS(INDEX(Техника!$F$1:$ABM$500,D$2,0),Техника!$F$4:$ABM$4,"Часы",INDEX(Техника!$G$1:$ABN$500,D$2,0),$A$151,INDEX(Техника!$H$1:$ABO$500,D$2,0),"М")</f>
        <v>0</v>
      </c>
      <c r="E152" s="50">
        <f>SUMIFS(INDEX(Техника!$F$1:$ABM$500,E$2,0),Техника!$F$4:$ABM$4,"Часы",INDEX(Техника!$G$1:$ABN$500,E$2,0),$A$151,INDEX(Техника!$H$1:$ABO$500,E$2,0),"М")</f>
        <v>0</v>
      </c>
      <c r="F152" s="50">
        <f>SUMIFS(INDEX(Техника!$F$1:$ABM$500,F$2,0),Техника!$F$4:$ABM$4,"Часы",INDEX(Техника!$G$1:$ABN$500,F$2,0),$A$151,INDEX(Техника!$H$1:$ABO$500,F$2,0),"М")</f>
        <v>0</v>
      </c>
      <c r="G152" s="50">
        <f>SUMIFS(INDEX(Техника!$F$1:$ABM$500,G$2,0),Техника!$F$4:$ABM$4,"Часы",INDEX(Техника!$G$1:$ABN$500,G$2,0),$A$151,INDEX(Техника!$H$1:$ABO$500,G$2,0),"М")</f>
        <v>0</v>
      </c>
      <c r="H152" s="50">
        <f>SUMIFS(INDEX(Техника!$F$1:$ABM$500,H$2,0),Техника!$F$4:$ABM$4,"Часы",INDEX(Техника!$G$1:$ABN$500,H$2,0),$A$151,INDEX(Техника!$H$1:$ABO$500,H$2,0),"М")</f>
        <v>0</v>
      </c>
      <c r="I152" s="50">
        <f>SUMIFS(INDEX(Техника!$F$1:$ABM$500,I$2,0),Техника!$F$4:$ABM$4,"Часы",INDEX(Техника!$G$1:$ABN$500,I$2,0),$A$151,INDEX(Техника!$H$1:$ABO$500,I$2,0),"М")</f>
        <v>0</v>
      </c>
      <c r="J152" s="50">
        <f>SUMIFS(INDEX(Техника!$F$1:$ABM$500,J$2,0),Техника!$F$4:$ABM$4,"Часы",INDEX(Техника!$G$1:$ABN$500,J$2,0),$A$151,INDEX(Техника!$H$1:$ABO$500,J$2,0),"М")</f>
        <v>0</v>
      </c>
      <c r="K152" s="50">
        <f>SUMIFS(INDEX(Техника!$F$1:$ABM$500,K$2,0),Техника!$F$4:$ABM$4,"Часы",INDEX(Техника!$G$1:$ABN$500,K$2,0),$A$151,INDEX(Техника!$H$1:$ABO$500,K$2,0),"М")</f>
        <v>0</v>
      </c>
      <c r="L152" s="50">
        <f>SUMIFS(INDEX(Техника!$F$1:$ABM$500,L$2,0),Техника!$F$4:$ABM$4,"Часы",INDEX(Техника!$G$1:$ABN$500,L$2,0),$A$151,INDEX(Техника!$H$1:$ABO$500,L$2,0),"М")</f>
        <v>0</v>
      </c>
      <c r="M152" s="50">
        <f>SUMIFS(INDEX(Техника!$F$1:$ABM$500,M$2,0),Техника!$F$4:$ABM$4,"Часы",INDEX(Техника!$G$1:$ABN$500,M$2,0),$A$151,INDEX(Техника!$H$1:$ABO$500,M$2,0),"М")</f>
        <v>0</v>
      </c>
      <c r="N152" s="50">
        <f>SUMIFS(INDEX(Техника!$F$1:$ABM$500,N$2,0),Техника!$F$4:$ABM$4,"Часы",INDEX(Техника!$G$1:$ABN$500,N$2,0),$A$151,INDEX(Техника!$H$1:$ABO$500,N$2,0),"М")</f>
        <v>0</v>
      </c>
      <c r="O152" s="50">
        <f>SUMIFS(INDEX(Техника!$F$1:$ABM$500,O$2,0),Техника!$F$4:$ABM$4,"Часы",INDEX(Техника!$G$1:$ABN$500,O$2,0),$A$151,INDEX(Техника!$H$1:$ABO$500,O$2,0),"М")</f>
        <v>0</v>
      </c>
      <c r="P152" s="50">
        <f>SUMIFS(INDEX(Техника!$F$1:$ABM$500,P$2,0),Техника!$F$4:$ABM$4,"Часы",INDEX(Техника!$G$1:$ABN$500,P$2,0),$A$151,INDEX(Техника!$H$1:$ABO$500,P$2,0),"М")</f>
        <v>0</v>
      </c>
      <c r="Q152" s="50">
        <f>SUMIFS(INDEX(Техника!$F$1:$ABM$500,Q$2,0),Техника!$F$4:$ABM$4,"Часы",INDEX(Техника!$G$1:$ABN$500,Q$2,0),$A$151,INDEX(Техника!$H$1:$ABO$500,Q$2,0),"М")</f>
        <v>0</v>
      </c>
      <c r="R152" s="50">
        <f>SUMIFS(INDEX(Техника!$F$1:$ABM$500,R$2,0),Техника!$F$4:$ABM$4,"Часы",INDEX(Техника!$G$1:$ABN$500,R$2,0),$A$151,INDEX(Техника!$H$1:$ABO$500,R$2,0),"М")</f>
        <v>0</v>
      </c>
      <c r="S152" s="50">
        <f>SUMIFS(INDEX(Техника!$F$1:$ABM$500,S$2,0),Техника!$F$4:$ABM$4,"Часы",INDEX(Техника!$G$1:$ABN$500,S$2,0),$A$151,INDEX(Техника!$H$1:$ABO$500,S$2,0),"М")</f>
        <v>0</v>
      </c>
      <c r="T152" s="50">
        <f>SUMIFS(INDEX(Техника!$F$1:$ABM$500,T$2,0),Техника!$F$4:$ABM$4,"Часы",INDEX(Техника!$G$1:$ABN$500,T$2,0),$A$151,INDEX(Техника!$H$1:$ABO$500,T$2,0),"М")</f>
        <v>0</v>
      </c>
      <c r="U152" s="50">
        <f>SUMIFS(INDEX(Техника!$F$1:$ABM$500,U$2,0),Техника!$F$4:$ABM$4,"Часы",INDEX(Техника!$G$1:$ABN$500,U$2,0),$A$151,INDEX(Техника!$H$1:$ABO$500,U$2,0),"М")</f>
        <v>0</v>
      </c>
      <c r="V152" s="50">
        <f>SUMIFS(INDEX(Техника!$F$1:$ABM$500,V$2,0),Техника!$F$4:$ABM$4,"Часы",INDEX(Техника!$G$1:$ABN$500,V$2,0),$A$151,INDEX(Техника!$H$1:$ABO$500,V$2,0),"М")</f>
        <v>0</v>
      </c>
      <c r="W152" s="50">
        <f>SUMIFS(INDEX(Техника!$F$1:$ABM$500,W$2,0),Техника!$F$4:$ABM$4,"Часы",INDEX(Техника!$G$1:$ABN$500,W$2,0),$A$151,INDEX(Техника!$H$1:$ABO$500,W$2,0),"М")</f>
        <v>0</v>
      </c>
      <c r="X152" s="50">
        <f>SUMIFS(INDEX(Техника!$F$1:$ABM$500,X$2,0),Техника!$F$4:$ABM$4,"Часы",INDEX(Техника!$G$1:$ABN$500,X$2,0),$A$151,INDEX(Техника!$H$1:$ABO$500,X$2,0),"М")</f>
        <v>0</v>
      </c>
      <c r="Y152" s="50">
        <f>SUMIFS(INDEX(Техника!$F$1:$ABM$500,Y$2,0),Техника!$F$4:$ABM$4,"Часы",INDEX(Техника!$G$1:$ABN$500,Y$2,0),$A$151,INDEX(Техника!$H$1:$ABO$500,Y$2,0),"М")</f>
        <v>0</v>
      </c>
      <c r="Z152" s="50">
        <f>SUMIFS(INDEX(Техника!$F$1:$ABM$500,Z$2,0),Техника!$F$4:$ABM$4,"Часы",INDEX(Техника!$G$1:$ABN$500,Z$2,0),$A$151,INDEX(Техника!$H$1:$ABO$500,Z$2,0),"М")</f>
        <v>0</v>
      </c>
      <c r="AA152" s="50">
        <f>SUMIFS(INDEX(Техника!$F$1:$ABM$500,AA$2,0),Техника!$F$4:$ABM$4,"Часы",INDEX(Техника!$G$1:$ABN$500,AA$2,0),$A$151,INDEX(Техника!$H$1:$ABO$500,AA$2,0),"М")</f>
        <v>0</v>
      </c>
      <c r="AB152" s="50">
        <f>SUMIFS(INDEX(Техника!$F$1:$ABM$500,AB$2,0),Техника!$F$4:$ABM$4,"Часы",INDEX(Техника!$G$1:$ABN$500,AB$2,0),$A$151,INDEX(Техника!$H$1:$ABO$500,AB$2,0),"М")</f>
        <v>0</v>
      </c>
    </row>
    <row r="153" spans="1:28" hidden="1" outlineLevel="1" x14ac:dyDescent="0.3">
      <c r="A153" s="33" t="s">
        <v>244</v>
      </c>
      <c r="B153" s="34" t="s">
        <v>275</v>
      </c>
      <c r="C153" s="50">
        <f>SUMIFS(INDEX(Техника!$F$1:$ABM$500,C$2,0),Техника!$F$4:$ABM$4,"Часы",INDEX(Техника!$G$1:$ABN$500,C$2,0),$A$151,INDEX(Техника!$H$1:$ABO$500,C$2,0),"Д")</f>
        <v>0</v>
      </c>
      <c r="D153" s="50">
        <f>SUMIFS(INDEX(Техника!$F$1:$ABM$500,D$2,0),Техника!$F$4:$ABM$4,"Часы",INDEX(Техника!$G$1:$ABN$500,D$2,0),$A$151,INDEX(Техника!$H$1:$ABO$500,D$2,0),"Д")</f>
        <v>0</v>
      </c>
      <c r="E153" s="50">
        <f>SUMIFS(INDEX(Техника!$F$1:$ABM$500,E$2,0),Техника!$F$4:$ABM$4,"Часы",INDEX(Техника!$G$1:$ABN$500,E$2,0),$A$151,INDEX(Техника!$H$1:$ABO$500,E$2,0),"Д")</f>
        <v>0</v>
      </c>
      <c r="F153" s="50">
        <f>SUMIFS(INDEX(Техника!$F$1:$ABM$500,F$2,0),Техника!$F$4:$ABM$4,"Часы",INDEX(Техника!$G$1:$ABN$500,F$2,0),$A$151,INDEX(Техника!$H$1:$ABO$500,F$2,0),"Д")</f>
        <v>0</v>
      </c>
      <c r="G153" s="50">
        <f>SUMIFS(INDEX(Техника!$F$1:$ABM$500,G$2,0),Техника!$F$4:$ABM$4,"Часы",INDEX(Техника!$G$1:$ABN$500,G$2,0),$A$151,INDEX(Техника!$H$1:$ABO$500,G$2,0),"Д")</f>
        <v>0</v>
      </c>
      <c r="H153" s="50">
        <f>SUMIFS(INDEX(Техника!$F$1:$ABM$500,H$2,0),Техника!$F$4:$ABM$4,"Часы",INDEX(Техника!$G$1:$ABN$500,H$2,0),$A$151,INDEX(Техника!$H$1:$ABO$500,H$2,0),"Д")</f>
        <v>0</v>
      </c>
      <c r="I153" s="50">
        <f>SUMIFS(INDEX(Техника!$F$1:$ABM$500,I$2,0),Техника!$F$4:$ABM$4,"Часы",INDEX(Техника!$G$1:$ABN$500,I$2,0),$A$151,INDEX(Техника!$H$1:$ABO$500,I$2,0),"Д")</f>
        <v>0</v>
      </c>
      <c r="J153" s="50">
        <f>SUMIFS(INDEX(Техника!$F$1:$ABM$500,J$2,0),Техника!$F$4:$ABM$4,"Часы",INDEX(Техника!$G$1:$ABN$500,J$2,0),$A$151,INDEX(Техника!$H$1:$ABO$500,J$2,0),"Д")</f>
        <v>0</v>
      </c>
      <c r="K153" s="50">
        <f>SUMIFS(INDEX(Техника!$F$1:$ABM$500,K$2,0),Техника!$F$4:$ABM$4,"Часы",INDEX(Техника!$G$1:$ABN$500,K$2,0),$A$151,INDEX(Техника!$H$1:$ABO$500,K$2,0),"Д")</f>
        <v>0</v>
      </c>
      <c r="L153" s="50">
        <f>SUMIFS(INDEX(Техника!$F$1:$ABM$500,L$2,0),Техника!$F$4:$ABM$4,"Часы",INDEX(Техника!$G$1:$ABN$500,L$2,0),$A$151,INDEX(Техника!$H$1:$ABO$500,L$2,0),"Д")</f>
        <v>0</v>
      </c>
      <c r="M153" s="50">
        <f>SUMIFS(INDEX(Техника!$F$1:$ABM$500,M$2,0),Техника!$F$4:$ABM$4,"Часы",INDEX(Техника!$G$1:$ABN$500,M$2,0),$A$151,INDEX(Техника!$H$1:$ABO$500,M$2,0),"Д")</f>
        <v>0</v>
      </c>
      <c r="N153" s="50">
        <f>SUMIFS(INDEX(Техника!$F$1:$ABM$500,N$2,0),Техника!$F$4:$ABM$4,"Часы",INDEX(Техника!$G$1:$ABN$500,N$2,0),$A$151,INDEX(Техника!$H$1:$ABO$500,N$2,0),"Д")</f>
        <v>0</v>
      </c>
      <c r="O153" s="50">
        <f>SUMIFS(INDEX(Техника!$F$1:$ABM$500,O$2,0),Техника!$F$4:$ABM$4,"Часы",INDEX(Техника!$G$1:$ABN$500,O$2,0),$A$151,INDEX(Техника!$H$1:$ABO$500,O$2,0),"Д")</f>
        <v>0</v>
      </c>
      <c r="P153" s="50">
        <f>SUMIFS(INDEX(Техника!$F$1:$ABM$500,P$2,0),Техника!$F$4:$ABM$4,"Часы",INDEX(Техника!$G$1:$ABN$500,P$2,0),$A$151,INDEX(Техника!$H$1:$ABO$500,P$2,0),"Д")</f>
        <v>0</v>
      </c>
      <c r="Q153" s="50">
        <f>SUMIFS(INDEX(Техника!$F$1:$ABM$500,Q$2,0),Техника!$F$4:$ABM$4,"Часы",INDEX(Техника!$G$1:$ABN$500,Q$2,0),$A$151,INDEX(Техника!$H$1:$ABO$500,Q$2,0),"Д")</f>
        <v>0</v>
      </c>
      <c r="R153" s="50">
        <f>SUMIFS(INDEX(Техника!$F$1:$ABM$500,R$2,0),Техника!$F$4:$ABM$4,"Часы",INDEX(Техника!$G$1:$ABN$500,R$2,0),$A$151,INDEX(Техника!$H$1:$ABO$500,R$2,0),"Д")</f>
        <v>0</v>
      </c>
      <c r="S153" s="50">
        <f>SUMIFS(INDEX(Техника!$F$1:$ABM$500,S$2,0),Техника!$F$4:$ABM$4,"Часы",INDEX(Техника!$G$1:$ABN$500,S$2,0),$A$151,INDEX(Техника!$H$1:$ABO$500,S$2,0),"Д")</f>
        <v>0</v>
      </c>
      <c r="T153" s="50">
        <f>SUMIFS(INDEX(Техника!$F$1:$ABM$500,T$2,0),Техника!$F$4:$ABM$4,"Часы",INDEX(Техника!$G$1:$ABN$500,T$2,0),$A$151,INDEX(Техника!$H$1:$ABO$500,T$2,0),"Д")</f>
        <v>0</v>
      </c>
      <c r="U153" s="50">
        <f>SUMIFS(INDEX(Техника!$F$1:$ABM$500,U$2,0),Техника!$F$4:$ABM$4,"Часы",INDEX(Техника!$G$1:$ABN$500,U$2,0),$A$151,INDEX(Техника!$H$1:$ABO$500,U$2,0),"Д")</f>
        <v>0</v>
      </c>
      <c r="V153" s="50">
        <f>SUMIFS(INDEX(Техника!$F$1:$ABM$500,V$2,0),Техника!$F$4:$ABM$4,"Часы",INDEX(Техника!$G$1:$ABN$500,V$2,0),$A$151,INDEX(Техника!$H$1:$ABO$500,V$2,0),"Д")</f>
        <v>0</v>
      </c>
      <c r="W153" s="50">
        <f>SUMIFS(INDEX(Техника!$F$1:$ABM$500,W$2,0),Техника!$F$4:$ABM$4,"Часы",INDEX(Техника!$G$1:$ABN$500,W$2,0),$A$151,INDEX(Техника!$H$1:$ABO$500,W$2,0),"Д")</f>
        <v>0</v>
      </c>
      <c r="X153" s="50">
        <f>SUMIFS(INDEX(Техника!$F$1:$ABM$500,X$2,0),Техника!$F$4:$ABM$4,"Часы",INDEX(Техника!$G$1:$ABN$500,X$2,0),$A$151,INDEX(Техника!$H$1:$ABO$500,X$2,0),"Д")</f>
        <v>0</v>
      </c>
      <c r="Y153" s="50">
        <f>SUMIFS(INDEX(Техника!$F$1:$ABM$500,Y$2,0),Техника!$F$4:$ABM$4,"Часы",INDEX(Техника!$G$1:$ABN$500,Y$2,0),$A$151,INDEX(Техника!$H$1:$ABO$500,Y$2,0),"Д")</f>
        <v>0</v>
      </c>
      <c r="Z153" s="50">
        <f>SUMIFS(INDEX(Техника!$F$1:$ABM$500,Z$2,0),Техника!$F$4:$ABM$4,"Часы",INDEX(Техника!$G$1:$ABN$500,Z$2,0),$A$151,INDEX(Техника!$H$1:$ABO$500,Z$2,0),"Д")</f>
        <v>0</v>
      </c>
      <c r="AA153" s="50">
        <f>SUMIFS(INDEX(Техника!$F$1:$ABM$500,AA$2,0),Техника!$F$4:$ABM$4,"Часы",INDEX(Техника!$G$1:$ABN$500,AA$2,0),$A$151,INDEX(Техника!$H$1:$ABO$500,AA$2,0),"Д")</f>
        <v>0</v>
      </c>
      <c r="AB153" s="50">
        <f>SUMIFS(INDEX(Техника!$F$1:$ABM$500,AB$2,0),Техника!$F$4:$ABM$4,"Часы",INDEX(Техника!$G$1:$ABN$500,AB$2,0),$A$151,INDEX(Техника!$H$1:$ABO$500,AB$2,0),"Д")</f>
        <v>0</v>
      </c>
    </row>
    <row r="154" spans="1:28" hidden="1" outlineLevel="1" x14ac:dyDescent="0.3">
      <c r="A154" s="33" t="s">
        <v>276</v>
      </c>
      <c r="B154" s="34" t="s">
        <v>277</v>
      </c>
      <c r="C154" s="50">
        <f>SUMIFS(INDEX(Техника!$F$1:$ABM$500,C$2,0),Техника!$F$4:$ABM$4,"Часы",INDEX(Техника!$G$1:$ABN$500,C$2,0),$A$151,INDEX(Техника!$H$1:$ABO$500,C$2,0),"П")</f>
        <v>0</v>
      </c>
      <c r="D154" s="50">
        <f>SUMIFS(INDEX(Техника!$F$1:$ABM$500,D$2,0),Техника!$F$4:$ABM$4,"Часы",INDEX(Техника!$G$1:$ABN$500,D$2,0),$A$151,INDEX(Техника!$H$1:$ABO$500,D$2,0),"П")</f>
        <v>0</v>
      </c>
      <c r="E154" s="50">
        <f>SUMIFS(INDEX(Техника!$F$1:$ABM$500,E$2,0),Техника!$F$4:$ABM$4,"Часы",INDEX(Техника!$G$1:$ABN$500,E$2,0),$A$151,INDEX(Техника!$H$1:$ABO$500,E$2,0),"П")</f>
        <v>0</v>
      </c>
      <c r="F154" s="50">
        <f>SUMIFS(INDEX(Техника!$F$1:$ABM$500,F$2,0),Техника!$F$4:$ABM$4,"Часы",INDEX(Техника!$G$1:$ABN$500,F$2,0),$A$151,INDEX(Техника!$H$1:$ABO$500,F$2,0),"П")</f>
        <v>0</v>
      </c>
      <c r="G154" s="50">
        <f>SUMIFS(INDEX(Техника!$F$1:$ABM$500,G$2,0),Техника!$F$4:$ABM$4,"Часы",INDEX(Техника!$G$1:$ABN$500,G$2,0),$A$151,INDEX(Техника!$H$1:$ABO$500,G$2,0),"П")</f>
        <v>0</v>
      </c>
      <c r="H154" s="50">
        <f>SUMIFS(INDEX(Техника!$F$1:$ABM$500,H$2,0),Техника!$F$4:$ABM$4,"Часы",INDEX(Техника!$G$1:$ABN$500,H$2,0),$A$151,INDEX(Техника!$H$1:$ABO$500,H$2,0),"П")</f>
        <v>0</v>
      </c>
      <c r="I154" s="50">
        <f>SUMIFS(INDEX(Техника!$F$1:$ABM$500,I$2,0),Техника!$F$4:$ABM$4,"Часы",INDEX(Техника!$G$1:$ABN$500,I$2,0),$A$151,INDEX(Техника!$H$1:$ABO$500,I$2,0),"П")</f>
        <v>0</v>
      </c>
      <c r="J154" s="50">
        <f>SUMIFS(INDEX(Техника!$F$1:$ABM$500,J$2,0),Техника!$F$4:$ABM$4,"Часы",INDEX(Техника!$G$1:$ABN$500,J$2,0),$A$151,INDEX(Техника!$H$1:$ABO$500,J$2,0),"П")</f>
        <v>0</v>
      </c>
      <c r="K154" s="50">
        <f>SUMIFS(INDEX(Техника!$F$1:$ABM$500,K$2,0),Техника!$F$4:$ABM$4,"Часы",INDEX(Техника!$G$1:$ABN$500,K$2,0),$A$151,INDEX(Техника!$H$1:$ABO$500,K$2,0),"П")</f>
        <v>0</v>
      </c>
      <c r="L154" s="50">
        <f>SUMIFS(INDEX(Техника!$F$1:$ABM$500,L$2,0),Техника!$F$4:$ABM$4,"Часы",INDEX(Техника!$G$1:$ABN$500,L$2,0),$A$151,INDEX(Техника!$H$1:$ABO$500,L$2,0),"П")</f>
        <v>0</v>
      </c>
      <c r="M154" s="50">
        <f>SUMIFS(INDEX(Техника!$F$1:$ABM$500,M$2,0),Техника!$F$4:$ABM$4,"Часы",INDEX(Техника!$G$1:$ABN$500,M$2,0),$A$151,INDEX(Техника!$H$1:$ABO$500,M$2,0),"П")</f>
        <v>0</v>
      </c>
      <c r="N154" s="50">
        <f>SUMIFS(INDEX(Техника!$F$1:$ABM$500,N$2,0),Техника!$F$4:$ABM$4,"Часы",INDEX(Техника!$G$1:$ABN$500,N$2,0),$A$151,INDEX(Техника!$H$1:$ABO$500,N$2,0),"П")</f>
        <v>0</v>
      </c>
      <c r="O154" s="50">
        <f>SUMIFS(INDEX(Техника!$F$1:$ABM$500,O$2,0),Техника!$F$4:$ABM$4,"Часы",INDEX(Техника!$G$1:$ABN$500,O$2,0),$A$151,INDEX(Техника!$H$1:$ABO$500,O$2,0),"П")</f>
        <v>0</v>
      </c>
      <c r="P154" s="50">
        <f>SUMIFS(INDEX(Техника!$F$1:$ABM$500,P$2,0),Техника!$F$4:$ABM$4,"Часы",INDEX(Техника!$G$1:$ABN$500,P$2,0),$A$151,INDEX(Техника!$H$1:$ABO$500,P$2,0),"П")</f>
        <v>0</v>
      </c>
      <c r="Q154" s="50">
        <f>SUMIFS(INDEX(Техника!$F$1:$ABM$500,Q$2,0),Техника!$F$4:$ABM$4,"Часы",INDEX(Техника!$G$1:$ABN$500,Q$2,0),$A$151,INDEX(Техника!$H$1:$ABO$500,Q$2,0),"П")</f>
        <v>0</v>
      </c>
      <c r="R154" s="50">
        <f>SUMIFS(INDEX(Техника!$F$1:$ABM$500,R$2,0),Техника!$F$4:$ABM$4,"Часы",INDEX(Техника!$G$1:$ABN$500,R$2,0),$A$151,INDEX(Техника!$H$1:$ABO$500,R$2,0),"П")</f>
        <v>0</v>
      </c>
      <c r="S154" s="50">
        <f>SUMIFS(INDEX(Техника!$F$1:$ABM$500,S$2,0),Техника!$F$4:$ABM$4,"Часы",INDEX(Техника!$G$1:$ABN$500,S$2,0),$A$151,INDEX(Техника!$H$1:$ABO$500,S$2,0),"П")</f>
        <v>0</v>
      </c>
      <c r="T154" s="50">
        <f>SUMIFS(INDEX(Техника!$F$1:$ABM$500,T$2,0),Техника!$F$4:$ABM$4,"Часы",INDEX(Техника!$G$1:$ABN$500,T$2,0),$A$151,INDEX(Техника!$H$1:$ABO$500,T$2,0),"П")</f>
        <v>0</v>
      </c>
      <c r="U154" s="50">
        <f>SUMIFS(INDEX(Техника!$F$1:$ABM$500,U$2,0),Техника!$F$4:$ABM$4,"Часы",INDEX(Техника!$G$1:$ABN$500,U$2,0),$A$151,INDEX(Техника!$H$1:$ABO$500,U$2,0),"П")</f>
        <v>0</v>
      </c>
      <c r="V154" s="50">
        <f>SUMIFS(INDEX(Техника!$F$1:$ABM$500,V$2,0),Техника!$F$4:$ABM$4,"Часы",INDEX(Техника!$G$1:$ABN$500,V$2,0),$A$151,INDEX(Техника!$H$1:$ABO$500,V$2,0),"П")</f>
        <v>0</v>
      </c>
      <c r="W154" s="50">
        <f>SUMIFS(INDEX(Техника!$F$1:$ABM$500,W$2,0),Техника!$F$4:$ABM$4,"Часы",INDEX(Техника!$G$1:$ABN$500,W$2,0),$A$151,INDEX(Техника!$H$1:$ABO$500,W$2,0),"П")</f>
        <v>0</v>
      </c>
      <c r="X154" s="50">
        <f>SUMIFS(INDEX(Техника!$F$1:$ABM$500,X$2,0),Техника!$F$4:$ABM$4,"Часы",INDEX(Техника!$G$1:$ABN$500,X$2,0),$A$151,INDEX(Техника!$H$1:$ABO$500,X$2,0),"П")</f>
        <v>0</v>
      </c>
      <c r="Y154" s="50">
        <f>SUMIFS(INDEX(Техника!$F$1:$ABM$500,Y$2,0),Техника!$F$4:$ABM$4,"Часы",INDEX(Техника!$G$1:$ABN$500,Y$2,0),$A$151,INDEX(Техника!$H$1:$ABO$500,Y$2,0),"П")</f>
        <v>0</v>
      </c>
      <c r="Z154" s="50">
        <f>SUMIFS(INDEX(Техника!$F$1:$ABM$500,Z$2,0),Техника!$F$4:$ABM$4,"Часы",INDEX(Техника!$G$1:$ABN$500,Z$2,0),$A$151,INDEX(Техника!$H$1:$ABO$500,Z$2,0),"П")</f>
        <v>0</v>
      </c>
      <c r="AA154" s="50">
        <f>SUMIFS(INDEX(Техника!$F$1:$ABM$500,AA$2,0),Техника!$F$4:$ABM$4,"Часы",INDEX(Техника!$G$1:$ABN$500,AA$2,0),$A$151,INDEX(Техника!$H$1:$ABO$500,AA$2,0),"П")</f>
        <v>0</v>
      </c>
      <c r="AB154" s="50">
        <f>SUMIFS(INDEX(Техника!$F$1:$ABM$500,AB$2,0),Техника!$F$4:$ABM$4,"Часы",INDEX(Техника!$G$1:$ABN$500,AB$2,0),$A$151,INDEX(Техника!$H$1:$ABO$500,AB$2,0),"П")</f>
        <v>0</v>
      </c>
    </row>
    <row r="155" spans="1:28" hidden="1" outlineLevel="1" x14ac:dyDescent="0.3">
      <c r="A155" s="33" t="s">
        <v>243</v>
      </c>
      <c r="B155" s="34" t="s">
        <v>278</v>
      </c>
      <c r="C155" s="50">
        <f>SUMIFS(INDEX(Техника!$F$1:$ABM$500,C$2,0),Техника!$F$4:$ABM$4,"Часы",INDEX(Техника!$G$1:$ABN$500,C$2,0),$A$151,INDEX(Техника!$H$1:$ABO$500,C$2,0),"Л")</f>
        <v>0</v>
      </c>
      <c r="D155" s="50">
        <f>SUMIFS(INDEX(Техника!$F$1:$ABM$500,D$2,0),Техника!$F$4:$ABM$4,"Часы",INDEX(Техника!$G$1:$ABN$500,D$2,0),$A$151,INDEX(Техника!$H$1:$ABO$500,D$2,0),"Л")</f>
        <v>0</v>
      </c>
      <c r="E155" s="50">
        <f>SUMIFS(INDEX(Техника!$F$1:$ABM$500,E$2,0),Техника!$F$4:$ABM$4,"Часы",INDEX(Техника!$G$1:$ABN$500,E$2,0),$A$151,INDEX(Техника!$H$1:$ABO$500,E$2,0),"Л")</f>
        <v>0</v>
      </c>
      <c r="F155" s="50">
        <f>SUMIFS(INDEX(Техника!$F$1:$ABM$500,F$2,0),Техника!$F$4:$ABM$4,"Часы",INDEX(Техника!$G$1:$ABN$500,F$2,0),$A$151,INDEX(Техника!$H$1:$ABO$500,F$2,0),"Л")</f>
        <v>0</v>
      </c>
      <c r="G155" s="50">
        <f>SUMIFS(INDEX(Техника!$F$1:$ABM$500,G$2,0),Техника!$F$4:$ABM$4,"Часы",INDEX(Техника!$G$1:$ABN$500,G$2,0),$A$151,INDEX(Техника!$H$1:$ABO$500,G$2,0),"Л")</f>
        <v>0</v>
      </c>
      <c r="H155" s="50">
        <f>SUMIFS(INDEX(Техника!$F$1:$ABM$500,H$2,0),Техника!$F$4:$ABM$4,"Часы",INDEX(Техника!$G$1:$ABN$500,H$2,0),$A$151,INDEX(Техника!$H$1:$ABO$500,H$2,0),"Л")</f>
        <v>0</v>
      </c>
      <c r="I155" s="50">
        <f>SUMIFS(INDEX(Техника!$F$1:$ABM$500,I$2,0),Техника!$F$4:$ABM$4,"Часы",INDEX(Техника!$G$1:$ABN$500,I$2,0),$A$151,INDEX(Техника!$H$1:$ABO$500,I$2,0),"Л")</f>
        <v>0</v>
      </c>
      <c r="J155" s="50">
        <f>SUMIFS(INDEX(Техника!$F$1:$ABM$500,J$2,0),Техника!$F$4:$ABM$4,"Часы",INDEX(Техника!$G$1:$ABN$500,J$2,0),$A$151,INDEX(Техника!$H$1:$ABO$500,J$2,0),"Л")</f>
        <v>0</v>
      </c>
      <c r="K155" s="50">
        <f>SUMIFS(INDEX(Техника!$F$1:$ABM$500,K$2,0),Техника!$F$4:$ABM$4,"Часы",INDEX(Техника!$G$1:$ABN$500,K$2,0),$A$151,INDEX(Техника!$H$1:$ABO$500,K$2,0),"Л")</f>
        <v>0</v>
      </c>
      <c r="L155" s="50">
        <f>SUMIFS(INDEX(Техника!$F$1:$ABM$500,L$2,0),Техника!$F$4:$ABM$4,"Часы",INDEX(Техника!$G$1:$ABN$500,L$2,0),$A$151,INDEX(Техника!$H$1:$ABO$500,L$2,0),"Л")</f>
        <v>0</v>
      </c>
      <c r="M155" s="50">
        <f>SUMIFS(INDEX(Техника!$F$1:$ABM$500,M$2,0),Техника!$F$4:$ABM$4,"Часы",INDEX(Техника!$G$1:$ABN$500,M$2,0),$A$151,INDEX(Техника!$H$1:$ABO$500,M$2,0),"Л")</f>
        <v>0</v>
      </c>
      <c r="N155" s="50">
        <f>SUMIFS(INDEX(Техника!$F$1:$ABM$500,N$2,0),Техника!$F$4:$ABM$4,"Часы",INDEX(Техника!$G$1:$ABN$500,N$2,0),$A$151,INDEX(Техника!$H$1:$ABO$500,N$2,0),"Л")</f>
        <v>0</v>
      </c>
      <c r="O155" s="50">
        <f>SUMIFS(INDEX(Техника!$F$1:$ABM$500,O$2,0),Техника!$F$4:$ABM$4,"Часы",INDEX(Техника!$G$1:$ABN$500,O$2,0),$A$151,INDEX(Техника!$H$1:$ABO$500,O$2,0),"Л")</f>
        <v>0</v>
      </c>
      <c r="P155" s="50">
        <f>SUMIFS(INDEX(Техника!$F$1:$ABM$500,P$2,0),Техника!$F$4:$ABM$4,"Часы",INDEX(Техника!$G$1:$ABN$500,P$2,0),$A$151,INDEX(Техника!$H$1:$ABO$500,P$2,0),"Л")</f>
        <v>0</v>
      </c>
      <c r="Q155" s="50">
        <f>SUMIFS(INDEX(Техника!$F$1:$ABM$500,Q$2,0),Техника!$F$4:$ABM$4,"Часы",INDEX(Техника!$G$1:$ABN$500,Q$2,0),$A$151,INDEX(Техника!$H$1:$ABO$500,Q$2,0),"Л")</f>
        <v>0</v>
      </c>
      <c r="R155" s="50">
        <f>SUMIFS(INDEX(Техника!$F$1:$ABM$500,R$2,0),Техника!$F$4:$ABM$4,"Часы",INDEX(Техника!$G$1:$ABN$500,R$2,0),$A$151,INDEX(Техника!$H$1:$ABO$500,R$2,0),"Л")</f>
        <v>0</v>
      </c>
      <c r="S155" s="50">
        <f>SUMIFS(INDEX(Техника!$F$1:$ABM$500,S$2,0),Техника!$F$4:$ABM$4,"Часы",INDEX(Техника!$G$1:$ABN$500,S$2,0),$A$151,INDEX(Техника!$H$1:$ABO$500,S$2,0),"Л")</f>
        <v>0</v>
      </c>
      <c r="T155" s="50">
        <f>SUMIFS(INDEX(Техника!$F$1:$ABM$500,T$2,0),Техника!$F$4:$ABM$4,"Часы",INDEX(Техника!$G$1:$ABN$500,T$2,0),$A$151,INDEX(Техника!$H$1:$ABO$500,T$2,0),"Л")</f>
        <v>0</v>
      </c>
      <c r="U155" s="50">
        <f>SUMIFS(INDEX(Техника!$F$1:$ABM$500,U$2,0),Техника!$F$4:$ABM$4,"Часы",INDEX(Техника!$G$1:$ABN$500,U$2,0),$A$151,INDEX(Техника!$H$1:$ABO$500,U$2,0),"Л")</f>
        <v>0</v>
      </c>
      <c r="V155" s="50">
        <f>SUMIFS(INDEX(Техника!$F$1:$ABM$500,V$2,0),Техника!$F$4:$ABM$4,"Часы",INDEX(Техника!$G$1:$ABN$500,V$2,0),$A$151,INDEX(Техника!$H$1:$ABO$500,V$2,0),"Л")</f>
        <v>0</v>
      </c>
      <c r="W155" s="50">
        <f>SUMIFS(INDEX(Техника!$F$1:$ABM$500,W$2,0),Техника!$F$4:$ABM$4,"Часы",INDEX(Техника!$G$1:$ABN$500,W$2,0),$A$151,INDEX(Техника!$H$1:$ABO$500,W$2,0),"Л")</f>
        <v>0</v>
      </c>
      <c r="X155" s="50">
        <f>SUMIFS(INDEX(Техника!$F$1:$ABM$500,X$2,0),Техника!$F$4:$ABM$4,"Часы",INDEX(Техника!$G$1:$ABN$500,X$2,0),$A$151,INDEX(Техника!$H$1:$ABO$500,X$2,0),"Л")</f>
        <v>0</v>
      </c>
      <c r="Y155" s="50">
        <f>SUMIFS(INDEX(Техника!$F$1:$ABM$500,Y$2,0),Техника!$F$4:$ABM$4,"Часы",INDEX(Техника!$G$1:$ABN$500,Y$2,0),$A$151,INDEX(Техника!$H$1:$ABO$500,Y$2,0),"Л")</f>
        <v>0</v>
      </c>
      <c r="Z155" s="50">
        <f>SUMIFS(INDEX(Техника!$F$1:$ABM$500,Z$2,0),Техника!$F$4:$ABM$4,"Часы",INDEX(Техника!$G$1:$ABN$500,Z$2,0),$A$151,INDEX(Техника!$H$1:$ABO$500,Z$2,0),"Л")</f>
        <v>0</v>
      </c>
      <c r="AA155" s="50">
        <f>SUMIFS(INDEX(Техника!$F$1:$ABM$500,AA$2,0),Техника!$F$4:$ABM$4,"Часы",INDEX(Техника!$G$1:$ABN$500,AA$2,0),$A$151,INDEX(Техника!$H$1:$ABO$500,AA$2,0),"Л")</f>
        <v>0</v>
      </c>
      <c r="AB155" s="50">
        <f>SUMIFS(INDEX(Техника!$F$1:$ABM$500,AB$2,0),Техника!$F$4:$ABM$4,"Часы",INDEX(Техника!$G$1:$ABN$500,AB$2,0),$A$151,INDEX(Техника!$H$1:$ABO$500,AB$2,0),"Л")</f>
        <v>0</v>
      </c>
    </row>
    <row r="156" spans="1:28" hidden="1" outlineLevel="1" x14ac:dyDescent="0.3">
      <c r="A156" s="33" t="s">
        <v>245</v>
      </c>
      <c r="B156" s="34" t="s">
        <v>279</v>
      </c>
      <c r="C156" s="50">
        <f>SUMIFS(INDEX(Техника!$F$1:$ABM$500,C$2,0),Техника!$F$4:$ABM$4,"Часы",INDEX(Техника!$G$1:$ABN$500,C$2,0),$A$151,INDEX(Техника!$H$1:$ABO$500,C$2,0),"З")</f>
        <v>0</v>
      </c>
      <c r="D156" s="50">
        <f>SUMIFS(INDEX(Техника!$F$1:$ABM$500,D$2,0),Техника!$F$4:$ABM$4,"Часы",INDEX(Техника!$G$1:$ABN$500,D$2,0),$A$151,INDEX(Техника!$H$1:$ABO$500,D$2,0),"З")</f>
        <v>0</v>
      </c>
      <c r="E156" s="50">
        <f>SUMIFS(INDEX(Техника!$F$1:$ABM$500,E$2,0),Техника!$F$4:$ABM$4,"Часы",INDEX(Техника!$G$1:$ABN$500,E$2,0),$A$151,INDEX(Техника!$H$1:$ABO$500,E$2,0),"З")</f>
        <v>0</v>
      </c>
      <c r="F156" s="50">
        <f>SUMIFS(INDEX(Техника!$F$1:$ABM$500,F$2,0),Техника!$F$4:$ABM$4,"Часы",INDEX(Техника!$G$1:$ABN$500,F$2,0),$A$151,INDEX(Техника!$H$1:$ABO$500,F$2,0),"З")</f>
        <v>0</v>
      </c>
      <c r="G156" s="50">
        <f>SUMIFS(INDEX(Техника!$F$1:$ABM$500,G$2,0),Техника!$F$4:$ABM$4,"Часы",INDEX(Техника!$G$1:$ABN$500,G$2,0),$A$151,INDEX(Техника!$H$1:$ABO$500,G$2,0),"З")</f>
        <v>0</v>
      </c>
      <c r="H156" s="50">
        <f>SUMIFS(INDEX(Техника!$F$1:$ABM$500,H$2,0),Техника!$F$4:$ABM$4,"Часы",INDEX(Техника!$G$1:$ABN$500,H$2,0),$A$151,INDEX(Техника!$H$1:$ABO$500,H$2,0),"З")</f>
        <v>0</v>
      </c>
      <c r="I156" s="50">
        <f>SUMIFS(INDEX(Техника!$F$1:$ABM$500,I$2,0),Техника!$F$4:$ABM$4,"Часы",INDEX(Техника!$G$1:$ABN$500,I$2,0),$A$151,INDEX(Техника!$H$1:$ABO$500,I$2,0),"З")</f>
        <v>0</v>
      </c>
      <c r="J156" s="50">
        <f>SUMIFS(INDEX(Техника!$F$1:$ABM$500,J$2,0),Техника!$F$4:$ABM$4,"Часы",INDEX(Техника!$G$1:$ABN$500,J$2,0),$A$151,INDEX(Техника!$H$1:$ABO$500,J$2,0),"З")</f>
        <v>0</v>
      </c>
      <c r="K156" s="50">
        <f>SUMIFS(INDEX(Техника!$F$1:$ABM$500,K$2,0),Техника!$F$4:$ABM$4,"Часы",INDEX(Техника!$G$1:$ABN$500,K$2,0),$A$151,INDEX(Техника!$H$1:$ABO$500,K$2,0),"З")</f>
        <v>0</v>
      </c>
      <c r="L156" s="50">
        <f>SUMIFS(INDEX(Техника!$F$1:$ABM$500,L$2,0),Техника!$F$4:$ABM$4,"Часы",INDEX(Техника!$G$1:$ABN$500,L$2,0),$A$151,INDEX(Техника!$H$1:$ABO$500,L$2,0),"З")</f>
        <v>0</v>
      </c>
      <c r="M156" s="50">
        <f>SUMIFS(INDEX(Техника!$F$1:$ABM$500,M$2,0),Техника!$F$4:$ABM$4,"Часы",INDEX(Техника!$G$1:$ABN$500,M$2,0),$A$151,INDEX(Техника!$H$1:$ABO$500,M$2,0),"З")</f>
        <v>0</v>
      </c>
      <c r="N156" s="50">
        <f>SUMIFS(INDEX(Техника!$F$1:$ABM$500,N$2,0),Техника!$F$4:$ABM$4,"Часы",INDEX(Техника!$G$1:$ABN$500,N$2,0),$A$151,INDEX(Техника!$H$1:$ABO$500,N$2,0),"З")</f>
        <v>0</v>
      </c>
      <c r="O156" s="50">
        <f>SUMIFS(INDEX(Техника!$F$1:$ABM$500,O$2,0),Техника!$F$4:$ABM$4,"Часы",INDEX(Техника!$G$1:$ABN$500,O$2,0),$A$151,INDEX(Техника!$H$1:$ABO$500,O$2,0),"З")</f>
        <v>0</v>
      </c>
      <c r="P156" s="50">
        <f>SUMIFS(INDEX(Техника!$F$1:$ABM$500,P$2,0),Техника!$F$4:$ABM$4,"Часы",INDEX(Техника!$G$1:$ABN$500,P$2,0),$A$151,INDEX(Техника!$H$1:$ABO$500,P$2,0),"З")</f>
        <v>0</v>
      </c>
      <c r="Q156" s="50">
        <f>SUMIFS(INDEX(Техника!$F$1:$ABM$500,Q$2,0),Техника!$F$4:$ABM$4,"Часы",INDEX(Техника!$G$1:$ABN$500,Q$2,0),$A$151,INDEX(Техника!$H$1:$ABO$500,Q$2,0),"З")</f>
        <v>0</v>
      </c>
      <c r="R156" s="50">
        <f>SUMIFS(INDEX(Техника!$F$1:$ABM$500,R$2,0),Техника!$F$4:$ABM$4,"Часы",INDEX(Техника!$G$1:$ABN$500,R$2,0),$A$151,INDEX(Техника!$H$1:$ABO$500,R$2,0),"З")</f>
        <v>0</v>
      </c>
      <c r="S156" s="50">
        <f>SUMIFS(INDEX(Техника!$F$1:$ABM$500,S$2,0),Техника!$F$4:$ABM$4,"Часы",INDEX(Техника!$G$1:$ABN$500,S$2,0),$A$151,INDEX(Техника!$H$1:$ABO$500,S$2,0),"З")</f>
        <v>0</v>
      </c>
      <c r="T156" s="50">
        <f>SUMIFS(INDEX(Техника!$F$1:$ABM$500,T$2,0),Техника!$F$4:$ABM$4,"Часы",INDEX(Техника!$G$1:$ABN$500,T$2,0),$A$151,INDEX(Техника!$H$1:$ABO$500,T$2,0),"З")</f>
        <v>0</v>
      </c>
      <c r="U156" s="50">
        <f>SUMIFS(INDEX(Техника!$F$1:$ABM$500,U$2,0),Техника!$F$4:$ABM$4,"Часы",INDEX(Техника!$G$1:$ABN$500,U$2,0),$A$151,INDEX(Техника!$H$1:$ABO$500,U$2,0),"З")</f>
        <v>0</v>
      </c>
      <c r="V156" s="50">
        <f>SUMIFS(INDEX(Техника!$F$1:$ABM$500,V$2,0),Техника!$F$4:$ABM$4,"Часы",INDEX(Техника!$G$1:$ABN$500,V$2,0),$A$151,INDEX(Техника!$H$1:$ABO$500,V$2,0),"З")</f>
        <v>0</v>
      </c>
      <c r="W156" s="50">
        <f>SUMIFS(INDEX(Техника!$F$1:$ABM$500,W$2,0),Техника!$F$4:$ABM$4,"Часы",INDEX(Техника!$G$1:$ABN$500,W$2,0),$A$151,INDEX(Техника!$H$1:$ABO$500,W$2,0),"З")</f>
        <v>0</v>
      </c>
      <c r="X156" s="50">
        <f>SUMIFS(INDEX(Техника!$F$1:$ABM$500,X$2,0),Техника!$F$4:$ABM$4,"Часы",INDEX(Техника!$G$1:$ABN$500,X$2,0),$A$151,INDEX(Техника!$H$1:$ABO$500,X$2,0),"З")</f>
        <v>0</v>
      </c>
      <c r="Y156" s="50">
        <f>SUMIFS(INDEX(Техника!$F$1:$ABM$500,Y$2,0),Техника!$F$4:$ABM$4,"Часы",INDEX(Техника!$G$1:$ABN$500,Y$2,0),$A$151,INDEX(Техника!$H$1:$ABO$500,Y$2,0),"З")</f>
        <v>0</v>
      </c>
      <c r="Z156" s="50">
        <f>SUMIFS(INDEX(Техника!$F$1:$ABM$500,Z$2,0),Техника!$F$4:$ABM$4,"Часы",INDEX(Техника!$G$1:$ABN$500,Z$2,0),$A$151,INDEX(Техника!$H$1:$ABO$500,Z$2,0),"З")</f>
        <v>0</v>
      </c>
      <c r="AA156" s="50">
        <f>SUMIFS(INDEX(Техника!$F$1:$ABM$500,AA$2,0),Техника!$F$4:$ABM$4,"Часы",INDEX(Техника!$G$1:$ABN$500,AA$2,0),$A$151,INDEX(Техника!$H$1:$ABO$500,AA$2,0),"З")</f>
        <v>0</v>
      </c>
      <c r="AB156" s="50">
        <f>SUMIFS(INDEX(Техника!$F$1:$ABM$500,AB$2,0),Техника!$F$4:$ABM$4,"Часы",INDEX(Техника!$G$1:$ABN$500,AB$2,0),$A$151,INDEX(Техника!$H$1:$ABO$500,AB$2,0),"З")</f>
        <v>0</v>
      </c>
    </row>
    <row r="157" spans="1:28" ht="7.95" customHeight="1" x14ac:dyDescent="0.3">
      <c r="A157" s="38"/>
      <c r="B157" s="39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 spans="1:28" ht="25.05" customHeight="1" collapsed="1" x14ac:dyDescent="0.3">
      <c r="A158" s="32">
        <v>23</v>
      </c>
      <c r="B158" s="32" t="s">
        <v>24</v>
      </c>
      <c r="C158" s="49">
        <f>SUM(C159:C163)</f>
        <v>0</v>
      </c>
      <c r="D158" s="49">
        <f>SUM(D159:D163)</f>
        <v>0</v>
      </c>
      <c r="E158" s="49">
        <f>SUM(E159:E163)</f>
        <v>0</v>
      </c>
      <c r="F158" s="49">
        <f>SUM(F159:F163)</f>
        <v>0</v>
      </c>
      <c r="G158" s="49">
        <f>SUM(G159:G163)</f>
        <v>0</v>
      </c>
      <c r="H158" s="49">
        <f>SUM(H159:H163)</f>
        <v>0</v>
      </c>
      <c r="I158" s="49">
        <f>SUM(I159:I163)</f>
        <v>0</v>
      </c>
      <c r="J158" s="49">
        <f>SUM(J159:J163)</f>
        <v>0</v>
      </c>
      <c r="K158" s="49">
        <f>SUM(K159:K163)</f>
        <v>0</v>
      </c>
      <c r="L158" s="49">
        <f>SUM(L159:L163)</f>
        <v>0</v>
      </c>
      <c r="M158" s="49">
        <f>SUM(M159:M163)</f>
        <v>0</v>
      </c>
      <c r="N158" s="49">
        <f>SUM(N159:N163)</f>
        <v>0</v>
      </c>
      <c r="O158" s="49">
        <f>SUM(O159:O163)</f>
        <v>0</v>
      </c>
      <c r="P158" s="49">
        <f>SUM(P159:P163)</f>
        <v>0</v>
      </c>
      <c r="Q158" s="49">
        <f>SUM(Q159:Q163)</f>
        <v>0</v>
      </c>
      <c r="R158" s="49">
        <f>SUM(R159:R163)</f>
        <v>0</v>
      </c>
      <c r="S158" s="49">
        <f>SUM(S159:S163)</f>
        <v>0</v>
      </c>
      <c r="T158" s="49">
        <f>SUM(T159:T163)</f>
        <v>0</v>
      </c>
      <c r="U158" s="49">
        <f>SUM(U159:U163)</f>
        <v>0</v>
      </c>
      <c r="V158" s="49">
        <f>SUM(V159:V163)</f>
        <v>0</v>
      </c>
      <c r="W158" s="49">
        <f>SUM(W159:W163)</f>
        <v>0</v>
      </c>
      <c r="X158" s="49">
        <f>SUM(X159:X163)</f>
        <v>0</v>
      </c>
      <c r="Y158" s="49">
        <f>SUM(Y159:Y163)</f>
        <v>0</v>
      </c>
      <c r="Z158" s="49">
        <f>SUM(Z159:Z163)</f>
        <v>0</v>
      </c>
      <c r="AA158" s="49">
        <f>SUM(AA159:AA163)</f>
        <v>0</v>
      </c>
      <c r="AB158" s="49">
        <f>SUM(AB159:AB163)</f>
        <v>0</v>
      </c>
    </row>
    <row r="159" spans="1:28" hidden="1" outlineLevel="1" x14ac:dyDescent="0.3">
      <c r="A159" s="33" t="s">
        <v>246</v>
      </c>
      <c r="B159" s="34" t="s">
        <v>274</v>
      </c>
      <c r="C159" s="50">
        <f>SUMIFS(INDEX(Техника!$F$1:$ABM$500,C$2,0),Техника!$F$4:$ABM$4,"Часы",INDEX(Техника!$G$1:$ABN$500,C$2,0),$A$158,INDEX(Техника!$H$1:$ABO$500,C$2,0),"М")</f>
        <v>0</v>
      </c>
      <c r="D159" s="50">
        <f>SUMIFS(INDEX(Техника!$F$1:$ABM$500,D$2,0),Техника!$F$4:$ABM$4,"Часы",INDEX(Техника!$G$1:$ABN$500,D$2,0),$A$158,INDEX(Техника!$H$1:$ABO$500,D$2,0),"М")</f>
        <v>0</v>
      </c>
      <c r="E159" s="50">
        <f>SUMIFS(INDEX(Техника!$F$1:$ABM$500,E$2,0),Техника!$F$4:$ABM$4,"Часы",INDEX(Техника!$G$1:$ABN$500,E$2,0),$A$158,INDEX(Техника!$H$1:$ABO$500,E$2,0),"М")</f>
        <v>0</v>
      </c>
      <c r="F159" s="50">
        <f>SUMIFS(INDEX(Техника!$F$1:$ABM$500,F$2,0),Техника!$F$4:$ABM$4,"Часы",INDEX(Техника!$G$1:$ABN$500,F$2,0),$A$158,INDEX(Техника!$H$1:$ABO$500,F$2,0),"М")</f>
        <v>0</v>
      </c>
      <c r="G159" s="50">
        <f>SUMIFS(INDEX(Техника!$F$1:$ABM$500,G$2,0),Техника!$F$4:$ABM$4,"Часы",INDEX(Техника!$G$1:$ABN$500,G$2,0),$A$158,INDEX(Техника!$H$1:$ABO$500,G$2,0),"М")</f>
        <v>0</v>
      </c>
      <c r="H159" s="50">
        <f>SUMIFS(INDEX(Техника!$F$1:$ABM$500,H$2,0),Техника!$F$4:$ABM$4,"Часы",INDEX(Техника!$G$1:$ABN$500,H$2,0),$A$158,INDEX(Техника!$H$1:$ABO$500,H$2,0),"М")</f>
        <v>0</v>
      </c>
      <c r="I159" s="50">
        <f>SUMIFS(INDEX(Техника!$F$1:$ABM$500,I$2,0),Техника!$F$4:$ABM$4,"Часы",INDEX(Техника!$G$1:$ABN$500,I$2,0),$A$158,INDEX(Техника!$H$1:$ABO$500,I$2,0),"М")</f>
        <v>0</v>
      </c>
      <c r="J159" s="50">
        <f>SUMIFS(INDEX(Техника!$F$1:$ABM$500,J$2,0),Техника!$F$4:$ABM$4,"Часы",INDEX(Техника!$G$1:$ABN$500,J$2,0),$A$158,INDEX(Техника!$H$1:$ABO$500,J$2,0),"М")</f>
        <v>0</v>
      </c>
      <c r="K159" s="50">
        <f>SUMIFS(INDEX(Техника!$F$1:$ABM$500,K$2,0),Техника!$F$4:$ABM$4,"Часы",INDEX(Техника!$G$1:$ABN$500,K$2,0),$A$158,INDEX(Техника!$H$1:$ABO$500,K$2,0),"М")</f>
        <v>0</v>
      </c>
      <c r="L159" s="50">
        <f>SUMIFS(INDEX(Техника!$F$1:$ABM$500,L$2,0),Техника!$F$4:$ABM$4,"Часы",INDEX(Техника!$G$1:$ABN$500,L$2,0),$A$158,INDEX(Техника!$H$1:$ABO$500,L$2,0),"М")</f>
        <v>0</v>
      </c>
      <c r="M159" s="50">
        <f>SUMIFS(INDEX(Техника!$F$1:$ABM$500,M$2,0),Техника!$F$4:$ABM$4,"Часы",INDEX(Техника!$G$1:$ABN$500,M$2,0),$A$158,INDEX(Техника!$H$1:$ABO$500,M$2,0),"М")</f>
        <v>0</v>
      </c>
      <c r="N159" s="50">
        <f>SUMIFS(INDEX(Техника!$F$1:$ABM$500,N$2,0),Техника!$F$4:$ABM$4,"Часы",INDEX(Техника!$G$1:$ABN$500,N$2,0),$A$158,INDEX(Техника!$H$1:$ABO$500,N$2,0),"М")</f>
        <v>0</v>
      </c>
      <c r="O159" s="50">
        <f>SUMIFS(INDEX(Техника!$F$1:$ABM$500,O$2,0),Техника!$F$4:$ABM$4,"Часы",INDEX(Техника!$G$1:$ABN$500,O$2,0),$A$158,INDEX(Техника!$H$1:$ABO$500,O$2,0),"М")</f>
        <v>0</v>
      </c>
      <c r="P159" s="50">
        <f>SUMIFS(INDEX(Техника!$F$1:$ABM$500,P$2,0),Техника!$F$4:$ABM$4,"Часы",INDEX(Техника!$G$1:$ABN$500,P$2,0),$A$158,INDEX(Техника!$H$1:$ABO$500,P$2,0),"М")</f>
        <v>0</v>
      </c>
      <c r="Q159" s="50">
        <f>SUMIFS(INDEX(Техника!$F$1:$ABM$500,Q$2,0),Техника!$F$4:$ABM$4,"Часы",INDEX(Техника!$G$1:$ABN$500,Q$2,0),$A$158,INDEX(Техника!$H$1:$ABO$500,Q$2,0),"М")</f>
        <v>0</v>
      </c>
      <c r="R159" s="50">
        <f>SUMIFS(INDEX(Техника!$F$1:$ABM$500,R$2,0),Техника!$F$4:$ABM$4,"Часы",INDEX(Техника!$G$1:$ABN$500,R$2,0),$A$158,INDEX(Техника!$H$1:$ABO$500,R$2,0),"М")</f>
        <v>0</v>
      </c>
      <c r="S159" s="50">
        <f>SUMIFS(INDEX(Техника!$F$1:$ABM$500,S$2,0),Техника!$F$4:$ABM$4,"Часы",INDEX(Техника!$G$1:$ABN$500,S$2,0),$A$158,INDEX(Техника!$H$1:$ABO$500,S$2,0),"М")</f>
        <v>0</v>
      </c>
      <c r="T159" s="50">
        <f>SUMIFS(INDEX(Техника!$F$1:$ABM$500,T$2,0),Техника!$F$4:$ABM$4,"Часы",INDEX(Техника!$G$1:$ABN$500,T$2,0),$A$158,INDEX(Техника!$H$1:$ABO$500,T$2,0),"М")</f>
        <v>0</v>
      </c>
      <c r="U159" s="50">
        <f>SUMIFS(INDEX(Техника!$F$1:$ABM$500,U$2,0),Техника!$F$4:$ABM$4,"Часы",INDEX(Техника!$G$1:$ABN$500,U$2,0),$A$158,INDEX(Техника!$H$1:$ABO$500,U$2,0),"М")</f>
        <v>0</v>
      </c>
      <c r="V159" s="50">
        <f>SUMIFS(INDEX(Техника!$F$1:$ABM$500,V$2,0),Техника!$F$4:$ABM$4,"Часы",INDEX(Техника!$G$1:$ABN$500,V$2,0),$A$158,INDEX(Техника!$H$1:$ABO$500,V$2,0),"М")</f>
        <v>0</v>
      </c>
      <c r="W159" s="50">
        <f>SUMIFS(INDEX(Техника!$F$1:$ABM$500,W$2,0),Техника!$F$4:$ABM$4,"Часы",INDEX(Техника!$G$1:$ABN$500,W$2,0),$A$158,INDEX(Техника!$H$1:$ABO$500,W$2,0),"М")</f>
        <v>0</v>
      </c>
      <c r="X159" s="50">
        <f>SUMIFS(INDEX(Техника!$F$1:$ABM$500,X$2,0),Техника!$F$4:$ABM$4,"Часы",INDEX(Техника!$G$1:$ABN$500,X$2,0),$A$158,INDEX(Техника!$H$1:$ABO$500,X$2,0),"М")</f>
        <v>0</v>
      </c>
      <c r="Y159" s="50">
        <f>SUMIFS(INDEX(Техника!$F$1:$ABM$500,Y$2,0),Техника!$F$4:$ABM$4,"Часы",INDEX(Техника!$G$1:$ABN$500,Y$2,0),$A$158,INDEX(Техника!$H$1:$ABO$500,Y$2,0),"М")</f>
        <v>0</v>
      </c>
      <c r="Z159" s="50">
        <f>SUMIFS(INDEX(Техника!$F$1:$ABM$500,Z$2,0),Техника!$F$4:$ABM$4,"Часы",INDEX(Техника!$G$1:$ABN$500,Z$2,0),$A$158,INDEX(Техника!$H$1:$ABO$500,Z$2,0),"М")</f>
        <v>0</v>
      </c>
      <c r="AA159" s="50">
        <f>SUMIFS(INDEX(Техника!$F$1:$ABM$500,AA$2,0),Техника!$F$4:$ABM$4,"Часы",INDEX(Техника!$G$1:$ABN$500,AA$2,0),$A$158,INDEX(Техника!$H$1:$ABO$500,AA$2,0),"М")</f>
        <v>0</v>
      </c>
      <c r="AB159" s="50">
        <f>SUMIFS(INDEX(Техника!$F$1:$ABM$500,AB$2,0),Техника!$F$4:$ABM$4,"Часы",INDEX(Техника!$G$1:$ABN$500,AB$2,0),$A$158,INDEX(Техника!$H$1:$ABO$500,AB$2,0),"М")</f>
        <v>0</v>
      </c>
    </row>
    <row r="160" spans="1:28" hidden="1" outlineLevel="1" x14ac:dyDescent="0.3">
      <c r="A160" s="33" t="s">
        <v>244</v>
      </c>
      <c r="B160" s="34" t="s">
        <v>275</v>
      </c>
      <c r="C160" s="50">
        <f>SUMIFS(INDEX(Техника!$F$1:$ABM$500,C$2,0),Техника!$F$4:$ABM$4,"Часы",INDEX(Техника!$G$1:$ABN$500,C$2,0),$A$158,INDEX(Техника!$H$1:$ABO$500,C$2,0),"Д")</f>
        <v>0</v>
      </c>
      <c r="D160" s="50">
        <f>SUMIFS(INDEX(Техника!$F$1:$ABM$500,D$2,0),Техника!$F$4:$ABM$4,"Часы",INDEX(Техника!$G$1:$ABN$500,D$2,0),$A$158,INDEX(Техника!$H$1:$ABO$500,D$2,0),"Д")</f>
        <v>0</v>
      </c>
      <c r="E160" s="50">
        <f>SUMIFS(INDEX(Техника!$F$1:$ABM$500,E$2,0),Техника!$F$4:$ABM$4,"Часы",INDEX(Техника!$G$1:$ABN$500,E$2,0),$A$158,INDEX(Техника!$H$1:$ABO$500,E$2,0),"Д")</f>
        <v>0</v>
      </c>
      <c r="F160" s="50">
        <f>SUMIFS(INDEX(Техника!$F$1:$ABM$500,F$2,0),Техника!$F$4:$ABM$4,"Часы",INDEX(Техника!$G$1:$ABN$500,F$2,0),$A$158,INDEX(Техника!$H$1:$ABO$500,F$2,0),"Д")</f>
        <v>0</v>
      </c>
      <c r="G160" s="50">
        <f>SUMIFS(INDEX(Техника!$F$1:$ABM$500,G$2,0),Техника!$F$4:$ABM$4,"Часы",INDEX(Техника!$G$1:$ABN$500,G$2,0),$A$158,INDEX(Техника!$H$1:$ABO$500,G$2,0),"Д")</f>
        <v>0</v>
      </c>
      <c r="H160" s="50">
        <f>SUMIFS(INDEX(Техника!$F$1:$ABM$500,H$2,0),Техника!$F$4:$ABM$4,"Часы",INDEX(Техника!$G$1:$ABN$500,H$2,0),$A$158,INDEX(Техника!$H$1:$ABO$500,H$2,0),"Д")</f>
        <v>0</v>
      </c>
      <c r="I160" s="50">
        <f>SUMIFS(INDEX(Техника!$F$1:$ABM$500,I$2,0),Техника!$F$4:$ABM$4,"Часы",INDEX(Техника!$G$1:$ABN$500,I$2,0),$A$158,INDEX(Техника!$H$1:$ABO$500,I$2,0),"Д")</f>
        <v>0</v>
      </c>
      <c r="J160" s="50">
        <f>SUMIFS(INDEX(Техника!$F$1:$ABM$500,J$2,0),Техника!$F$4:$ABM$4,"Часы",INDEX(Техника!$G$1:$ABN$500,J$2,0),$A$158,INDEX(Техника!$H$1:$ABO$500,J$2,0),"Д")</f>
        <v>0</v>
      </c>
      <c r="K160" s="50">
        <f>SUMIFS(INDEX(Техника!$F$1:$ABM$500,K$2,0),Техника!$F$4:$ABM$4,"Часы",INDEX(Техника!$G$1:$ABN$500,K$2,0),$A$158,INDEX(Техника!$H$1:$ABO$500,K$2,0),"Д")</f>
        <v>0</v>
      </c>
      <c r="L160" s="50">
        <f>SUMIFS(INDEX(Техника!$F$1:$ABM$500,L$2,0),Техника!$F$4:$ABM$4,"Часы",INDEX(Техника!$G$1:$ABN$500,L$2,0),$A$158,INDEX(Техника!$H$1:$ABO$500,L$2,0),"Д")</f>
        <v>0</v>
      </c>
      <c r="M160" s="50">
        <f>SUMIFS(INDEX(Техника!$F$1:$ABM$500,M$2,0),Техника!$F$4:$ABM$4,"Часы",INDEX(Техника!$G$1:$ABN$500,M$2,0),$A$158,INDEX(Техника!$H$1:$ABO$500,M$2,0),"Д")</f>
        <v>0</v>
      </c>
      <c r="N160" s="50">
        <f>SUMIFS(INDEX(Техника!$F$1:$ABM$500,N$2,0),Техника!$F$4:$ABM$4,"Часы",INDEX(Техника!$G$1:$ABN$500,N$2,0),$A$158,INDEX(Техника!$H$1:$ABO$500,N$2,0),"Д")</f>
        <v>0</v>
      </c>
      <c r="O160" s="50">
        <f>SUMIFS(INDEX(Техника!$F$1:$ABM$500,O$2,0),Техника!$F$4:$ABM$4,"Часы",INDEX(Техника!$G$1:$ABN$500,O$2,0),$A$158,INDEX(Техника!$H$1:$ABO$500,O$2,0),"Д")</f>
        <v>0</v>
      </c>
      <c r="P160" s="50">
        <f>SUMIFS(INDEX(Техника!$F$1:$ABM$500,P$2,0),Техника!$F$4:$ABM$4,"Часы",INDEX(Техника!$G$1:$ABN$500,P$2,0),$A$158,INDEX(Техника!$H$1:$ABO$500,P$2,0),"Д")</f>
        <v>0</v>
      </c>
      <c r="Q160" s="50">
        <f>SUMIFS(INDEX(Техника!$F$1:$ABM$500,Q$2,0),Техника!$F$4:$ABM$4,"Часы",INDEX(Техника!$G$1:$ABN$500,Q$2,0),$A$158,INDEX(Техника!$H$1:$ABO$500,Q$2,0),"Д")</f>
        <v>0</v>
      </c>
      <c r="R160" s="50">
        <f>SUMIFS(INDEX(Техника!$F$1:$ABM$500,R$2,0),Техника!$F$4:$ABM$4,"Часы",INDEX(Техника!$G$1:$ABN$500,R$2,0),$A$158,INDEX(Техника!$H$1:$ABO$500,R$2,0),"Д")</f>
        <v>0</v>
      </c>
      <c r="S160" s="50">
        <f>SUMIFS(INDEX(Техника!$F$1:$ABM$500,S$2,0),Техника!$F$4:$ABM$4,"Часы",INDEX(Техника!$G$1:$ABN$500,S$2,0),$A$158,INDEX(Техника!$H$1:$ABO$500,S$2,0),"Д")</f>
        <v>0</v>
      </c>
      <c r="T160" s="50">
        <f>SUMIFS(INDEX(Техника!$F$1:$ABM$500,T$2,0),Техника!$F$4:$ABM$4,"Часы",INDEX(Техника!$G$1:$ABN$500,T$2,0),$A$158,INDEX(Техника!$H$1:$ABO$500,T$2,0),"Д")</f>
        <v>0</v>
      </c>
      <c r="U160" s="50">
        <f>SUMIFS(INDEX(Техника!$F$1:$ABM$500,U$2,0),Техника!$F$4:$ABM$4,"Часы",INDEX(Техника!$G$1:$ABN$500,U$2,0),$A$158,INDEX(Техника!$H$1:$ABO$500,U$2,0),"Д")</f>
        <v>0</v>
      </c>
      <c r="V160" s="50">
        <f>SUMIFS(INDEX(Техника!$F$1:$ABM$500,V$2,0),Техника!$F$4:$ABM$4,"Часы",INDEX(Техника!$G$1:$ABN$500,V$2,0),$A$158,INDEX(Техника!$H$1:$ABO$500,V$2,0),"Д")</f>
        <v>0</v>
      </c>
      <c r="W160" s="50">
        <f>SUMIFS(INDEX(Техника!$F$1:$ABM$500,W$2,0),Техника!$F$4:$ABM$4,"Часы",INDEX(Техника!$G$1:$ABN$500,W$2,0),$A$158,INDEX(Техника!$H$1:$ABO$500,W$2,0),"Д")</f>
        <v>0</v>
      </c>
      <c r="X160" s="50">
        <f>SUMIFS(INDEX(Техника!$F$1:$ABM$500,X$2,0),Техника!$F$4:$ABM$4,"Часы",INDEX(Техника!$G$1:$ABN$500,X$2,0),$A$158,INDEX(Техника!$H$1:$ABO$500,X$2,0),"Д")</f>
        <v>0</v>
      </c>
      <c r="Y160" s="50">
        <f>SUMIFS(INDEX(Техника!$F$1:$ABM$500,Y$2,0),Техника!$F$4:$ABM$4,"Часы",INDEX(Техника!$G$1:$ABN$500,Y$2,0),$A$158,INDEX(Техника!$H$1:$ABO$500,Y$2,0),"Д")</f>
        <v>0</v>
      </c>
      <c r="Z160" s="50">
        <f>SUMIFS(INDEX(Техника!$F$1:$ABM$500,Z$2,0),Техника!$F$4:$ABM$4,"Часы",INDEX(Техника!$G$1:$ABN$500,Z$2,0),$A$158,INDEX(Техника!$H$1:$ABO$500,Z$2,0),"Д")</f>
        <v>0</v>
      </c>
      <c r="AA160" s="50">
        <f>SUMIFS(INDEX(Техника!$F$1:$ABM$500,AA$2,0),Техника!$F$4:$ABM$4,"Часы",INDEX(Техника!$G$1:$ABN$500,AA$2,0),$A$158,INDEX(Техника!$H$1:$ABO$500,AA$2,0),"Д")</f>
        <v>0</v>
      </c>
      <c r="AB160" s="50">
        <f>SUMIFS(INDEX(Техника!$F$1:$ABM$500,AB$2,0),Техника!$F$4:$ABM$4,"Часы",INDEX(Техника!$G$1:$ABN$500,AB$2,0),$A$158,INDEX(Техника!$H$1:$ABO$500,AB$2,0),"Д")</f>
        <v>0</v>
      </c>
    </row>
    <row r="161" spans="1:28" hidden="1" outlineLevel="1" x14ac:dyDescent="0.3">
      <c r="A161" s="33" t="s">
        <v>276</v>
      </c>
      <c r="B161" s="34" t="s">
        <v>277</v>
      </c>
      <c r="C161" s="50">
        <f>SUMIFS(INDEX(Техника!$F$1:$ABM$500,C$2,0),Техника!$F$4:$ABM$4,"Часы",INDEX(Техника!$G$1:$ABN$500,C$2,0),$A$158,INDEX(Техника!$H$1:$ABO$500,C$2,0),"П")</f>
        <v>0</v>
      </c>
      <c r="D161" s="50">
        <f>SUMIFS(INDEX(Техника!$F$1:$ABM$500,D$2,0),Техника!$F$4:$ABM$4,"Часы",INDEX(Техника!$G$1:$ABN$500,D$2,0),$A$158,INDEX(Техника!$H$1:$ABO$500,D$2,0),"П")</f>
        <v>0</v>
      </c>
      <c r="E161" s="50">
        <f>SUMIFS(INDEX(Техника!$F$1:$ABM$500,E$2,0),Техника!$F$4:$ABM$4,"Часы",INDEX(Техника!$G$1:$ABN$500,E$2,0),$A$158,INDEX(Техника!$H$1:$ABO$500,E$2,0),"П")</f>
        <v>0</v>
      </c>
      <c r="F161" s="50">
        <f>SUMIFS(INDEX(Техника!$F$1:$ABM$500,F$2,0),Техника!$F$4:$ABM$4,"Часы",INDEX(Техника!$G$1:$ABN$500,F$2,0),$A$158,INDEX(Техника!$H$1:$ABO$500,F$2,0),"П")</f>
        <v>0</v>
      </c>
      <c r="G161" s="50">
        <f>SUMIFS(INDEX(Техника!$F$1:$ABM$500,G$2,0),Техника!$F$4:$ABM$4,"Часы",INDEX(Техника!$G$1:$ABN$500,G$2,0),$A$158,INDEX(Техника!$H$1:$ABO$500,G$2,0),"П")</f>
        <v>0</v>
      </c>
      <c r="H161" s="50">
        <f>SUMIFS(INDEX(Техника!$F$1:$ABM$500,H$2,0),Техника!$F$4:$ABM$4,"Часы",INDEX(Техника!$G$1:$ABN$500,H$2,0),$A$158,INDEX(Техника!$H$1:$ABO$500,H$2,0),"П")</f>
        <v>0</v>
      </c>
      <c r="I161" s="50">
        <f>SUMIFS(INDEX(Техника!$F$1:$ABM$500,I$2,0),Техника!$F$4:$ABM$4,"Часы",INDEX(Техника!$G$1:$ABN$500,I$2,0),$A$158,INDEX(Техника!$H$1:$ABO$500,I$2,0),"П")</f>
        <v>0</v>
      </c>
      <c r="J161" s="50">
        <f>SUMIFS(INDEX(Техника!$F$1:$ABM$500,J$2,0),Техника!$F$4:$ABM$4,"Часы",INDEX(Техника!$G$1:$ABN$500,J$2,0),$A$158,INDEX(Техника!$H$1:$ABO$500,J$2,0),"П")</f>
        <v>0</v>
      </c>
      <c r="K161" s="50">
        <f>SUMIFS(INDEX(Техника!$F$1:$ABM$500,K$2,0),Техника!$F$4:$ABM$4,"Часы",INDEX(Техника!$G$1:$ABN$500,K$2,0),$A$158,INDEX(Техника!$H$1:$ABO$500,K$2,0),"П")</f>
        <v>0</v>
      </c>
      <c r="L161" s="50">
        <f>SUMIFS(INDEX(Техника!$F$1:$ABM$500,L$2,0),Техника!$F$4:$ABM$4,"Часы",INDEX(Техника!$G$1:$ABN$500,L$2,0),$A$158,INDEX(Техника!$H$1:$ABO$500,L$2,0),"П")</f>
        <v>0</v>
      </c>
      <c r="M161" s="50">
        <f>SUMIFS(INDEX(Техника!$F$1:$ABM$500,M$2,0),Техника!$F$4:$ABM$4,"Часы",INDEX(Техника!$G$1:$ABN$500,M$2,0),$A$158,INDEX(Техника!$H$1:$ABO$500,M$2,0),"П")</f>
        <v>0</v>
      </c>
      <c r="N161" s="50">
        <f>SUMIFS(INDEX(Техника!$F$1:$ABM$500,N$2,0),Техника!$F$4:$ABM$4,"Часы",INDEX(Техника!$G$1:$ABN$500,N$2,0),$A$158,INDEX(Техника!$H$1:$ABO$500,N$2,0),"П")</f>
        <v>0</v>
      </c>
      <c r="O161" s="50">
        <f>SUMIFS(INDEX(Техника!$F$1:$ABM$500,O$2,0),Техника!$F$4:$ABM$4,"Часы",INDEX(Техника!$G$1:$ABN$500,O$2,0),$A$158,INDEX(Техника!$H$1:$ABO$500,O$2,0),"П")</f>
        <v>0</v>
      </c>
      <c r="P161" s="50">
        <f>SUMIFS(INDEX(Техника!$F$1:$ABM$500,P$2,0),Техника!$F$4:$ABM$4,"Часы",INDEX(Техника!$G$1:$ABN$500,P$2,0),$A$158,INDEX(Техника!$H$1:$ABO$500,P$2,0),"П")</f>
        <v>0</v>
      </c>
      <c r="Q161" s="50">
        <f>SUMIFS(INDEX(Техника!$F$1:$ABM$500,Q$2,0),Техника!$F$4:$ABM$4,"Часы",INDEX(Техника!$G$1:$ABN$500,Q$2,0),$A$158,INDEX(Техника!$H$1:$ABO$500,Q$2,0),"П")</f>
        <v>0</v>
      </c>
      <c r="R161" s="50">
        <f>SUMIFS(INDEX(Техника!$F$1:$ABM$500,R$2,0),Техника!$F$4:$ABM$4,"Часы",INDEX(Техника!$G$1:$ABN$500,R$2,0),$A$158,INDEX(Техника!$H$1:$ABO$500,R$2,0),"П")</f>
        <v>0</v>
      </c>
      <c r="S161" s="50">
        <f>SUMIFS(INDEX(Техника!$F$1:$ABM$500,S$2,0),Техника!$F$4:$ABM$4,"Часы",INDEX(Техника!$G$1:$ABN$500,S$2,0),$A$158,INDEX(Техника!$H$1:$ABO$500,S$2,0),"П")</f>
        <v>0</v>
      </c>
      <c r="T161" s="50">
        <f>SUMIFS(INDEX(Техника!$F$1:$ABM$500,T$2,0),Техника!$F$4:$ABM$4,"Часы",INDEX(Техника!$G$1:$ABN$500,T$2,0),$A$158,INDEX(Техника!$H$1:$ABO$500,T$2,0),"П")</f>
        <v>0</v>
      </c>
      <c r="U161" s="50">
        <f>SUMIFS(INDEX(Техника!$F$1:$ABM$500,U$2,0),Техника!$F$4:$ABM$4,"Часы",INDEX(Техника!$G$1:$ABN$500,U$2,0),$A$158,INDEX(Техника!$H$1:$ABO$500,U$2,0),"П")</f>
        <v>0</v>
      </c>
      <c r="V161" s="50">
        <f>SUMIFS(INDEX(Техника!$F$1:$ABM$500,V$2,0),Техника!$F$4:$ABM$4,"Часы",INDEX(Техника!$G$1:$ABN$500,V$2,0),$A$158,INDEX(Техника!$H$1:$ABO$500,V$2,0),"П")</f>
        <v>0</v>
      </c>
      <c r="W161" s="50">
        <f>SUMIFS(INDEX(Техника!$F$1:$ABM$500,W$2,0),Техника!$F$4:$ABM$4,"Часы",INDEX(Техника!$G$1:$ABN$500,W$2,0),$A$158,INDEX(Техника!$H$1:$ABO$500,W$2,0),"П")</f>
        <v>0</v>
      </c>
      <c r="X161" s="50">
        <f>SUMIFS(INDEX(Техника!$F$1:$ABM$500,X$2,0),Техника!$F$4:$ABM$4,"Часы",INDEX(Техника!$G$1:$ABN$500,X$2,0),$A$158,INDEX(Техника!$H$1:$ABO$500,X$2,0),"П")</f>
        <v>0</v>
      </c>
      <c r="Y161" s="50">
        <f>SUMIFS(INDEX(Техника!$F$1:$ABM$500,Y$2,0),Техника!$F$4:$ABM$4,"Часы",INDEX(Техника!$G$1:$ABN$500,Y$2,0),$A$158,INDEX(Техника!$H$1:$ABO$500,Y$2,0),"П")</f>
        <v>0</v>
      </c>
      <c r="Z161" s="50">
        <f>SUMIFS(INDEX(Техника!$F$1:$ABM$500,Z$2,0),Техника!$F$4:$ABM$4,"Часы",INDEX(Техника!$G$1:$ABN$500,Z$2,0),$A$158,INDEX(Техника!$H$1:$ABO$500,Z$2,0),"П")</f>
        <v>0</v>
      </c>
      <c r="AA161" s="50">
        <f>SUMIFS(INDEX(Техника!$F$1:$ABM$500,AA$2,0),Техника!$F$4:$ABM$4,"Часы",INDEX(Техника!$G$1:$ABN$500,AA$2,0),$A$158,INDEX(Техника!$H$1:$ABO$500,AA$2,0),"П")</f>
        <v>0</v>
      </c>
      <c r="AB161" s="50">
        <f>SUMIFS(INDEX(Техника!$F$1:$ABM$500,AB$2,0),Техника!$F$4:$ABM$4,"Часы",INDEX(Техника!$G$1:$ABN$500,AB$2,0),$A$158,INDEX(Техника!$H$1:$ABO$500,AB$2,0),"П")</f>
        <v>0</v>
      </c>
    </row>
    <row r="162" spans="1:28" hidden="1" outlineLevel="1" x14ac:dyDescent="0.3">
      <c r="A162" s="33" t="s">
        <v>243</v>
      </c>
      <c r="B162" s="34" t="s">
        <v>278</v>
      </c>
      <c r="C162" s="50">
        <f>SUMIFS(INDEX(Техника!$F$1:$ABM$500,C$2,0),Техника!$F$4:$ABM$4,"Часы",INDEX(Техника!$G$1:$ABN$500,C$2,0),$A$158,INDEX(Техника!$H$1:$ABO$500,C$2,0),"Л")</f>
        <v>0</v>
      </c>
      <c r="D162" s="50">
        <f>SUMIFS(INDEX(Техника!$F$1:$ABM$500,D$2,0),Техника!$F$4:$ABM$4,"Часы",INDEX(Техника!$G$1:$ABN$500,D$2,0),$A$158,INDEX(Техника!$H$1:$ABO$500,D$2,0),"Л")</f>
        <v>0</v>
      </c>
      <c r="E162" s="50">
        <f>SUMIFS(INDEX(Техника!$F$1:$ABM$500,E$2,0),Техника!$F$4:$ABM$4,"Часы",INDEX(Техника!$G$1:$ABN$500,E$2,0),$A$158,INDEX(Техника!$H$1:$ABO$500,E$2,0),"Л")</f>
        <v>0</v>
      </c>
      <c r="F162" s="50">
        <f>SUMIFS(INDEX(Техника!$F$1:$ABM$500,F$2,0),Техника!$F$4:$ABM$4,"Часы",INDEX(Техника!$G$1:$ABN$500,F$2,0),$A$158,INDEX(Техника!$H$1:$ABO$500,F$2,0),"Л")</f>
        <v>0</v>
      </c>
      <c r="G162" s="50">
        <f>SUMIFS(INDEX(Техника!$F$1:$ABM$500,G$2,0),Техника!$F$4:$ABM$4,"Часы",INDEX(Техника!$G$1:$ABN$500,G$2,0),$A$158,INDEX(Техника!$H$1:$ABO$500,G$2,0),"Л")</f>
        <v>0</v>
      </c>
      <c r="H162" s="50">
        <f>SUMIFS(INDEX(Техника!$F$1:$ABM$500,H$2,0),Техника!$F$4:$ABM$4,"Часы",INDEX(Техника!$G$1:$ABN$500,H$2,0),$A$158,INDEX(Техника!$H$1:$ABO$500,H$2,0),"Л")</f>
        <v>0</v>
      </c>
      <c r="I162" s="50">
        <f>SUMIFS(INDEX(Техника!$F$1:$ABM$500,I$2,0),Техника!$F$4:$ABM$4,"Часы",INDEX(Техника!$G$1:$ABN$500,I$2,0),$A$158,INDEX(Техника!$H$1:$ABO$500,I$2,0),"Л")</f>
        <v>0</v>
      </c>
      <c r="J162" s="50">
        <f>SUMIFS(INDEX(Техника!$F$1:$ABM$500,J$2,0),Техника!$F$4:$ABM$4,"Часы",INDEX(Техника!$G$1:$ABN$500,J$2,0),$A$158,INDEX(Техника!$H$1:$ABO$500,J$2,0),"Л")</f>
        <v>0</v>
      </c>
      <c r="K162" s="50">
        <f>SUMIFS(INDEX(Техника!$F$1:$ABM$500,K$2,0),Техника!$F$4:$ABM$4,"Часы",INDEX(Техника!$G$1:$ABN$500,K$2,0),$A$158,INDEX(Техника!$H$1:$ABO$500,K$2,0),"Л")</f>
        <v>0</v>
      </c>
      <c r="L162" s="50">
        <f>SUMIFS(INDEX(Техника!$F$1:$ABM$500,L$2,0),Техника!$F$4:$ABM$4,"Часы",INDEX(Техника!$G$1:$ABN$500,L$2,0),$A$158,INDEX(Техника!$H$1:$ABO$500,L$2,0),"Л")</f>
        <v>0</v>
      </c>
      <c r="M162" s="50">
        <f>SUMIFS(INDEX(Техника!$F$1:$ABM$500,M$2,0),Техника!$F$4:$ABM$4,"Часы",INDEX(Техника!$G$1:$ABN$500,M$2,0),$A$158,INDEX(Техника!$H$1:$ABO$500,M$2,0),"Л")</f>
        <v>0</v>
      </c>
      <c r="N162" s="50">
        <f>SUMIFS(INDEX(Техника!$F$1:$ABM$500,N$2,0),Техника!$F$4:$ABM$4,"Часы",INDEX(Техника!$G$1:$ABN$500,N$2,0),$A$158,INDEX(Техника!$H$1:$ABO$500,N$2,0),"Л")</f>
        <v>0</v>
      </c>
      <c r="O162" s="50">
        <f>SUMIFS(INDEX(Техника!$F$1:$ABM$500,O$2,0),Техника!$F$4:$ABM$4,"Часы",INDEX(Техника!$G$1:$ABN$500,O$2,0),$A$158,INDEX(Техника!$H$1:$ABO$500,O$2,0),"Л")</f>
        <v>0</v>
      </c>
      <c r="P162" s="50">
        <f>SUMIFS(INDEX(Техника!$F$1:$ABM$500,P$2,0),Техника!$F$4:$ABM$4,"Часы",INDEX(Техника!$G$1:$ABN$500,P$2,0),$A$158,INDEX(Техника!$H$1:$ABO$500,P$2,0),"Л")</f>
        <v>0</v>
      </c>
      <c r="Q162" s="50">
        <f>SUMIFS(INDEX(Техника!$F$1:$ABM$500,Q$2,0),Техника!$F$4:$ABM$4,"Часы",INDEX(Техника!$G$1:$ABN$500,Q$2,0),$A$158,INDEX(Техника!$H$1:$ABO$500,Q$2,0),"Л")</f>
        <v>0</v>
      </c>
      <c r="R162" s="50">
        <f>SUMIFS(INDEX(Техника!$F$1:$ABM$500,R$2,0),Техника!$F$4:$ABM$4,"Часы",INDEX(Техника!$G$1:$ABN$500,R$2,0),$A$158,INDEX(Техника!$H$1:$ABO$500,R$2,0),"Л")</f>
        <v>0</v>
      </c>
      <c r="S162" s="50">
        <f>SUMIFS(INDEX(Техника!$F$1:$ABM$500,S$2,0),Техника!$F$4:$ABM$4,"Часы",INDEX(Техника!$G$1:$ABN$500,S$2,0),$A$158,INDEX(Техника!$H$1:$ABO$500,S$2,0),"Л")</f>
        <v>0</v>
      </c>
      <c r="T162" s="50">
        <f>SUMIFS(INDEX(Техника!$F$1:$ABM$500,T$2,0),Техника!$F$4:$ABM$4,"Часы",INDEX(Техника!$G$1:$ABN$500,T$2,0),$A$158,INDEX(Техника!$H$1:$ABO$500,T$2,0),"Л")</f>
        <v>0</v>
      </c>
      <c r="U162" s="50">
        <f>SUMIFS(INDEX(Техника!$F$1:$ABM$500,U$2,0),Техника!$F$4:$ABM$4,"Часы",INDEX(Техника!$G$1:$ABN$500,U$2,0),$A$158,INDEX(Техника!$H$1:$ABO$500,U$2,0),"Л")</f>
        <v>0</v>
      </c>
      <c r="V162" s="50">
        <f>SUMIFS(INDEX(Техника!$F$1:$ABM$500,V$2,0),Техника!$F$4:$ABM$4,"Часы",INDEX(Техника!$G$1:$ABN$500,V$2,0),$A$158,INDEX(Техника!$H$1:$ABO$500,V$2,0),"Л")</f>
        <v>0</v>
      </c>
      <c r="W162" s="50">
        <f>SUMIFS(INDEX(Техника!$F$1:$ABM$500,W$2,0),Техника!$F$4:$ABM$4,"Часы",INDEX(Техника!$G$1:$ABN$500,W$2,0),$A$158,INDEX(Техника!$H$1:$ABO$500,W$2,0),"Л")</f>
        <v>0</v>
      </c>
      <c r="X162" s="50">
        <f>SUMIFS(INDEX(Техника!$F$1:$ABM$500,X$2,0),Техника!$F$4:$ABM$4,"Часы",INDEX(Техника!$G$1:$ABN$500,X$2,0),$A$158,INDEX(Техника!$H$1:$ABO$500,X$2,0),"Л")</f>
        <v>0</v>
      </c>
      <c r="Y162" s="50">
        <f>SUMIFS(INDEX(Техника!$F$1:$ABM$500,Y$2,0),Техника!$F$4:$ABM$4,"Часы",INDEX(Техника!$G$1:$ABN$500,Y$2,0),$A$158,INDEX(Техника!$H$1:$ABO$500,Y$2,0),"Л")</f>
        <v>0</v>
      </c>
      <c r="Z162" s="50">
        <f>SUMIFS(INDEX(Техника!$F$1:$ABM$500,Z$2,0),Техника!$F$4:$ABM$4,"Часы",INDEX(Техника!$G$1:$ABN$500,Z$2,0),$A$158,INDEX(Техника!$H$1:$ABO$500,Z$2,0),"Л")</f>
        <v>0</v>
      </c>
      <c r="AA162" s="50">
        <f>SUMIFS(INDEX(Техника!$F$1:$ABM$500,AA$2,0),Техника!$F$4:$ABM$4,"Часы",INDEX(Техника!$G$1:$ABN$500,AA$2,0),$A$158,INDEX(Техника!$H$1:$ABO$500,AA$2,0),"Л")</f>
        <v>0</v>
      </c>
      <c r="AB162" s="50">
        <f>SUMIFS(INDEX(Техника!$F$1:$ABM$500,AB$2,0),Техника!$F$4:$ABM$4,"Часы",INDEX(Техника!$G$1:$ABN$500,AB$2,0),$A$158,INDEX(Техника!$H$1:$ABO$500,AB$2,0),"Л")</f>
        <v>0</v>
      </c>
    </row>
    <row r="163" spans="1:28" hidden="1" outlineLevel="1" x14ac:dyDescent="0.3">
      <c r="A163" s="33" t="s">
        <v>245</v>
      </c>
      <c r="B163" s="34" t="s">
        <v>279</v>
      </c>
      <c r="C163" s="50">
        <f>SUMIFS(INDEX(Техника!$F$1:$ABM$500,C$2,0),Техника!$F$4:$ABM$4,"Часы",INDEX(Техника!$G$1:$ABN$500,C$2,0),$A$158,INDEX(Техника!$H$1:$ABO$500,C$2,0),"З")</f>
        <v>0</v>
      </c>
      <c r="D163" s="50">
        <f>SUMIFS(INDEX(Техника!$F$1:$ABM$500,D$2,0),Техника!$F$4:$ABM$4,"Часы",INDEX(Техника!$G$1:$ABN$500,D$2,0),$A$158,INDEX(Техника!$H$1:$ABO$500,D$2,0),"З")</f>
        <v>0</v>
      </c>
      <c r="E163" s="50">
        <f>SUMIFS(INDEX(Техника!$F$1:$ABM$500,E$2,0),Техника!$F$4:$ABM$4,"Часы",INDEX(Техника!$G$1:$ABN$500,E$2,0),$A$158,INDEX(Техника!$H$1:$ABO$500,E$2,0),"З")</f>
        <v>0</v>
      </c>
      <c r="F163" s="50">
        <f>SUMIFS(INDEX(Техника!$F$1:$ABM$500,F$2,0),Техника!$F$4:$ABM$4,"Часы",INDEX(Техника!$G$1:$ABN$500,F$2,0),$A$158,INDEX(Техника!$H$1:$ABO$500,F$2,0),"З")</f>
        <v>0</v>
      </c>
      <c r="G163" s="50">
        <f>SUMIFS(INDEX(Техника!$F$1:$ABM$500,G$2,0),Техника!$F$4:$ABM$4,"Часы",INDEX(Техника!$G$1:$ABN$500,G$2,0),$A$158,INDEX(Техника!$H$1:$ABO$500,G$2,0),"З")</f>
        <v>0</v>
      </c>
      <c r="H163" s="50">
        <f>SUMIFS(INDEX(Техника!$F$1:$ABM$500,H$2,0),Техника!$F$4:$ABM$4,"Часы",INDEX(Техника!$G$1:$ABN$500,H$2,0),$A$158,INDEX(Техника!$H$1:$ABO$500,H$2,0),"З")</f>
        <v>0</v>
      </c>
      <c r="I163" s="50">
        <f>SUMIFS(INDEX(Техника!$F$1:$ABM$500,I$2,0),Техника!$F$4:$ABM$4,"Часы",INDEX(Техника!$G$1:$ABN$500,I$2,0),$A$158,INDEX(Техника!$H$1:$ABO$500,I$2,0),"З")</f>
        <v>0</v>
      </c>
      <c r="J163" s="50">
        <f>SUMIFS(INDEX(Техника!$F$1:$ABM$500,J$2,0),Техника!$F$4:$ABM$4,"Часы",INDEX(Техника!$G$1:$ABN$500,J$2,0),$A$158,INDEX(Техника!$H$1:$ABO$500,J$2,0),"З")</f>
        <v>0</v>
      </c>
      <c r="K163" s="50">
        <f>SUMIFS(INDEX(Техника!$F$1:$ABM$500,K$2,0),Техника!$F$4:$ABM$4,"Часы",INDEX(Техника!$G$1:$ABN$500,K$2,0),$A$158,INDEX(Техника!$H$1:$ABO$500,K$2,0),"З")</f>
        <v>0</v>
      </c>
      <c r="L163" s="50">
        <f>SUMIFS(INDEX(Техника!$F$1:$ABM$500,L$2,0),Техника!$F$4:$ABM$4,"Часы",INDEX(Техника!$G$1:$ABN$500,L$2,0),$A$158,INDEX(Техника!$H$1:$ABO$500,L$2,0),"З")</f>
        <v>0</v>
      </c>
      <c r="M163" s="50">
        <f>SUMIFS(INDEX(Техника!$F$1:$ABM$500,M$2,0),Техника!$F$4:$ABM$4,"Часы",INDEX(Техника!$G$1:$ABN$500,M$2,0),$A$158,INDEX(Техника!$H$1:$ABO$500,M$2,0),"З")</f>
        <v>0</v>
      </c>
      <c r="N163" s="50">
        <f>SUMIFS(INDEX(Техника!$F$1:$ABM$500,N$2,0),Техника!$F$4:$ABM$4,"Часы",INDEX(Техника!$G$1:$ABN$500,N$2,0),$A$158,INDEX(Техника!$H$1:$ABO$500,N$2,0),"З")</f>
        <v>0</v>
      </c>
      <c r="O163" s="50">
        <f>SUMIFS(INDEX(Техника!$F$1:$ABM$500,O$2,0),Техника!$F$4:$ABM$4,"Часы",INDEX(Техника!$G$1:$ABN$500,O$2,0),$A$158,INDEX(Техника!$H$1:$ABO$500,O$2,0),"З")</f>
        <v>0</v>
      </c>
      <c r="P163" s="50">
        <f>SUMIFS(INDEX(Техника!$F$1:$ABM$500,P$2,0),Техника!$F$4:$ABM$4,"Часы",INDEX(Техника!$G$1:$ABN$500,P$2,0),$A$158,INDEX(Техника!$H$1:$ABO$500,P$2,0),"З")</f>
        <v>0</v>
      </c>
      <c r="Q163" s="50">
        <f>SUMIFS(INDEX(Техника!$F$1:$ABM$500,Q$2,0),Техника!$F$4:$ABM$4,"Часы",INDEX(Техника!$G$1:$ABN$500,Q$2,0),$A$158,INDEX(Техника!$H$1:$ABO$500,Q$2,0),"З")</f>
        <v>0</v>
      </c>
      <c r="R163" s="50">
        <f>SUMIFS(INDEX(Техника!$F$1:$ABM$500,R$2,0),Техника!$F$4:$ABM$4,"Часы",INDEX(Техника!$G$1:$ABN$500,R$2,0),$A$158,INDEX(Техника!$H$1:$ABO$500,R$2,0),"З")</f>
        <v>0</v>
      </c>
      <c r="S163" s="50">
        <f>SUMIFS(INDEX(Техника!$F$1:$ABM$500,S$2,0),Техника!$F$4:$ABM$4,"Часы",INDEX(Техника!$G$1:$ABN$500,S$2,0),$A$158,INDEX(Техника!$H$1:$ABO$500,S$2,0),"З")</f>
        <v>0</v>
      </c>
      <c r="T163" s="50">
        <f>SUMIFS(INDEX(Техника!$F$1:$ABM$500,T$2,0),Техника!$F$4:$ABM$4,"Часы",INDEX(Техника!$G$1:$ABN$500,T$2,0),$A$158,INDEX(Техника!$H$1:$ABO$500,T$2,0),"З")</f>
        <v>0</v>
      </c>
      <c r="U163" s="50">
        <f>SUMIFS(INDEX(Техника!$F$1:$ABM$500,U$2,0),Техника!$F$4:$ABM$4,"Часы",INDEX(Техника!$G$1:$ABN$500,U$2,0),$A$158,INDEX(Техника!$H$1:$ABO$500,U$2,0),"З")</f>
        <v>0</v>
      </c>
      <c r="V163" s="50">
        <f>SUMIFS(INDEX(Техника!$F$1:$ABM$500,V$2,0),Техника!$F$4:$ABM$4,"Часы",INDEX(Техника!$G$1:$ABN$500,V$2,0),$A$158,INDEX(Техника!$H$1:$ABO$500,V$2,0),"З")</f>
        <v>0</v>
      </c>
      <c r="W163" s="50">
        <f>SUMIFS(INDEX(Техника!$F$1:$ABM$500,W$2,0),Техника!$F$4:$ABM$4,"Часы",INDEX(Техника!$G$1:$ABN$500,W$2,0),$A$158,INDEX(Техника!$H$1:$ABO$500,W$2,0),"З")</f>
        <v>0</v>
      </c>
      <c r="X163" s="50">
        <f>SUMIFS(INDEX(Техника!$F$1:$ABM$500,X$2,0),Техника!$F$4:$ABM$4,"Часы",INDEX(Техника!$G$1:$ABN$500,X$2,0),$A$158,INDEX(Техника!$H$1:$ABO$500,X$2,0),"З")</f>
        <v>0</v>
      </c>
      <c r="Y163" s="50">
        <f>SUMIFS(INDEX(Техника!$F$1:$ABM$500,Y$2,0),Техника!$F$4:$ABM$4,"Часы",INDEX(Техника!$G$1:$ABN$500,Y$2,0),$A$158,INDEX(Техника!$H$1:$ABO$500,Y$2,0),"З")</f>
        <v>0</v>
      </c>
      <c r="Z163" s="50">
        <f>SUMIFS(INDEX(Техника!$F$1:$ABM$500,Z$2,0),Техника!$F$4:$ABM$4,"Часы",INDEX(Техника!$G$1:$ABN$500,Z$2,0),$A$158,INDEX(Техника!$H$1:$ABO$500,Z$2,0),"З")</f>
        <v>0</v>
      </c>
      <c r="AA163" s="50">
        <f>SUMIFS(INDEX(Техника!$F$1:$ABM$500,AA$2,0),Техника!$F$4:$ABM$4,"Часы",INDEX(Техника!$G$1:$ABN$500,AA$2,0),$A$158,INDEX(Техника!$H$1:$ABO$500,AA$2,0),"З")</f>
        <v>0</v>
      </c>
      <c r="AB163" s="50">
        <f>SUMIFS(INDEX(Техника!$F$1:$ABM$500,AB$2,0),Техника!$F$4:$ABM$4,"Часы",INDEX(Техника!$G$1:$ABN$500,AB$2,0),$A$158,INDEX(Техника!$H$1:$ABO$500,AB$2,0),"З")</f>
        <v>0</v>
      </c>
    </row>
    <row r="164" spans="1:28" ht="7.95" customHeight="1" x14ac:dyDescent="0.3">
      <c r="A164" s="38"/>
      <c r="B164" s="39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 spans="1:28" ht="25.05" customHeight="1" collapsed="1" x14ac:dyDescent="0.3">
      <c r="A165" s="32">
        <v>24</v>
      </c>
      <c r="B165" s="32" t="s">
        <v>25</v>
      </c>
      <c r="C165" s="49">
        <f>SUM(C166:C170)</f>
        <v>0</v>
      </c>
      <c r="D165" s="49">
        <f>SUM(D166:D170)</f>
        <v>0</v>
      </c>
      <c r="E165" s="49">
        <f>SUM(E166:E170)</f>
        <v>0</v>
      </c>
      <c r="F165" s="49">
        <f>SUM(F166:F170)</f>
        <v>0</v>
      </c>
      <c r="G165" s="49">
        <f>SUM(G166:G170)</f>
        <v>0</v>
      </c>
      <c r="H165" s="49">
        <f>SUM(H166:H170)</f>
        <v>0</v>
      </c>
      <c r="I165" s="49">
        <f>SUM(I166:I170)</f>
        <v>0</v>
      </c>
      <c r="J165" s="49">
        <f>SUM(J166:J170)</f>
        <v>0</v>
      </c>
      <c r="K165" s="49">
        <f>SUM(K166:K170)</f>
        <v>0</v>
      </c>
      <c r="L165" s="49">
        <f>SUM(L166:L170)</f>
        <v>0</v>
      </c>
      <c r="M165" s="49">
        <f>SUM(M166:M170)</f>
        <v>0</v>
      </c>
      <c r="N165" s="49">
        <f>SUM(N166:N170)</f>
        <v>0</v>
      </c>
      <c r="O165" s="49">
        <f>SUM(O166:O170)</f>
        <v>0</v>
      </c>
      <c r="P165" s="49">
        <f>SUM(P166:P170)</f>
        <v>0</v>
      </c>
      <c r="Q165" s="49">
        <f>SUM(Q166:Q170)</f>
        <v>0</v>
      </c>
      <c r="R165" s="49">
        <f>SUM(R166:R170)</f>
        <v>0</v>
      </c>
      <c r="S165" s="49">
        <f>SUM(S166:S170)</f>
        <v>0</v>
      </c>
      <c r="T165" s="49">
        <f>SUM(T166:T170)</f>
        <v>0</v>
      </c>
      <c r="U165" s="49">
        <f>SUM(U166:U170)</f>
        <v>0</v>
      </c>
      <c r="V165" s="49">
        <f>SUM(V166:V170)</f>
        <v>0</v>
      </c>
      <c r="W165" s="49">
        <f>SUM(W166:W170)</f>
        <v>0</v>
      </c>
      <c r="X165" s="49">
        <f>SUM(X166:X170)</f>
        <v>0</v>
      </c>
      <c r="Y165" s="49">
        <f>SUM(Y166:Y170)</f>
        <v>0</v>
      </c>
      <c r="Z165" s="49">
        <f>SUM(Z166:Z170)</f>
        <v>0</v>
      </c>
      <c r="AA165" s="49">
        <f>SUM(AA166:AA170)</f>
        <v>0</v>
      </c>
      <c r="AB165" s="49">
        <f>SUM(AB166:AB170)</f>
        <v>0</v>
      </c>
    </row>
    <row r="166" spans="1:28" hidden="1" outlineLevel="1" x14ac:dyDescent="0.3">
      <c r="A166" s="33" t="s">
        <v>246</v>
      </c>
      <c r="B166" s="34" t="s">
        <v>274</v>
      </c>
      <c r="C166" s="50">
        <f>SUMIFS(INDEX(Техника!$F$1:$ABM$500,C$2,0),Техника!$F$4:$ABM$4,"Часы",INDEX(Техника!$G$1:$ABN$500,C$2,0),$A$165,INDEX(Техника!$H$1:$ABO$500,C$2,0),"М")</f>
        <v>0</v>
      </c>
      <c r="D166" s="50">
        <f>SUMIFS(INDEX(Техника!$F$1:$ABM$500,D$2,0),Техника!$F$4:$ABM$4,"Часы",INDEX(Техника!$G$1:$ABN$500,D$2,0),$A$165,INDEX(Техника!$H$1:$ABO$500,D$2,0),"М")</f>
        <v>0</v>
      </c>
      <c r="E166" s="50">
        <f>SUMIFS(INDEX(Техника!$F$1:$ABM$500,E$2,0),Техника!$F$4:$ABM$4,"Часы",INDEX(Техника!$G$1:$ABN$500,E$2,0),$A$165,INDEX(Техника!$H$1:$ABO$500,E$2,0),"М")</f>
        <v>0</v>
      </c>
      <c r="F166" s="50">
        <f>SUMIFS(INDEX(Техника!$F$1:$ABM$500,F$2,0),Техника!$F$4:$ABM$4,"Часы",INDEX(Техника!$G$1:$ABN$500,F$2,0),$A$165,INDEX(Техника!$H$1:$ABO$500,F$2,0),"М")</f>
        <v>0</v>
      </c>
      <c r="G166" s="50">
        <f>SUMIFS(INDEX(Техника!$F$1:$ABM$500,G$2,0),Техника!$F$4:$ABM$4,"Часы",INDEX(Техника!$G$1:$ABN$500,G$2,0),$A$165,INDEX(Техника!$H$1:$ABO$500,G$2,0),"М")</f>
        <v>0</v>
      </c>
      <c r="H166" s="50">
        <f>SUMIFS(INDEX(Техника!$F$1:$ABM$500,H$2,0),Техника!$F$4:$ABM$4,"Часы",INDEX(Техника!$G$1:$ABN$500,H$2,0),$A$165,INDEX(Техника!$H$1:$ABO$500,H$2,0),"М")</f>
        <v>0</v>
      </c>
      <c r="I166" s="50">
        <f>SUMIFS(INDEX(Техника!$F$1:$ABM$500,I$2,0),Техника!$F$4:$ABM$4,"Часы",INDEX(Техника!$G$1:$ABN$500,I$2,0),$A$165,INDEX(Техника!$H$1:$ABO$500,I$2,0),"М")</f>
        <v>0</v>
      </c>
      <c r="J166" s="50">
        <f>SUMIFS(INDEX(Техника!$F$1:$ABM$500,J$2,0),Техника!$F$4:$ABM$4,"Часы",INDEX(Техника!$G$1:$ABN$500,J$2,0),$A$165,INDEX(Техника!$H$1:$ABO$500,J$2,0),"М")</f>
        <v>0</v>
      </c>
      <c r="K166" s="50">
        <f>SUMIFS(INDEX(Техника!$F$1:$ABM$500,K$2,0),Техника!$F$4:$ABM$4,"Часы",INDEX(Техника!$G$1:$ABN$500,K$2,0),$A$165,INDEX(Техника!$H$1:$ABO$500,K$2,0),"М")</f>
        <v>0</v>
      </c>
      <c r="L166" s="50">
        <f>SUMIFS(INDEX(Техника!$F$1:$ABM$500,L$2,0),Техника!$F$4:$ABM$4,"Часы",INDEX(Техника!$G$1:$ABN$500,L$2,0),$A$165,INDEX(Техника!$H$1:$ABO$500,L$2,0),"М")</f>
        <v>0</v>
      </c>
      <c r="M166" s="50">
        <f>SUMIFS(INDEX(Техника!$F$1:$ABM$500,M$2,0),Техника!$F$4:$ABM$4,"Часы",INDEX(Техника!$G$1:$ABN$500,M$2,0),$A$165,INDEX(Техника!$H$1:$ABO$500,M$2,0),"М")</f>
        <v>0</v>
      </c>
      <c r="N166" s="50">
        <f>SUMIFS(INDEX(Техника!$F$1:$ABM$500,N$2,0),Техника!$F$4:$ABM$4,"Часы",INDEX(Техника!$G$1:$ABN$500,N$2,0),$A$165,INDEX(Техника!$H$1:$ABO$500,N$2,0),"М")</f>
        <v>0</v>
      </c>
      <c r="O166" s="50">
        <f>SUMIFS(INDEX(Техника!$F$1:$ABM$500,O$2,0),Техника!$F$4:$ABM$4,"Часы",INDEX(Техника!$G$1:$ABN$500,O$2,0),$A$165,INDEX(Техника!$H$1:$ABO$500,O$2,0),"М")</f>
        <v>0</v>
      </c>
      <c r="P166" s="50">
        <f>SUMIFS(INDEX(Техника!$F$1:$ABM$500,P$2,0),Техника!$F$4:$ABM$4,"Часы",INDEX(Техника!$G$1:$ABN$500,P$2,0),$A$165,INDEX(Техника!$H$1:$ABO$500,P$2,0),"М")</f>
        <v>0</v>
      </c>
      <c r="Q166" s="50">
        <f>SUMIFS(INDEX(Техника!$F$1:$ABM$500,Q$2,0),Техника!$F$4:$ABM$4,"Часы",INDEX(Техника!$G$1:$ABN$500,Q$2,0),$A$165,INDEX(Техника!$H$1:$ABO$500,Q$2,0),"М")</f>
        <v>0</v>
      </c>
      <c r="R166" s="50">
        <f>SUMIFS(INDEX(Техника!$F$1:$ABM$500,R$2,0),Техника!$F$4:$ABM$4,"Часы",INDEX(Техника!$G$1:$ABN$500,R$2,0),$A$165,INDEX(Техника!$H$1:$ABO$500,R$2,0),"М")</f>
        <v>0</v>
      </c>
      <c r="S166" s="50">
        <f>SUMIFS(INDEX(Техника!$F$1:$ABM$500,S$2,0),Техника!$F$4:$ABM$4,"Часы",INDEX(Техника!$G$1:$ABN$500,S$2,0),$A$165,INDEX(Техника!$H$1:$ABO$500,S$2,0),"М")</f>
        <v>0</v>
      </c>
      <c r="T166" s="50">
        <f>SUMIFS(INDEX(Техника!$F$1:$ABM$500,T$2,0),Техника!$F$4:$ABM$4,"Часы",INDEX(Техника!$G$1:$ABN$500,T$2,0),$A$165,INDEX(Техника!$H$1:$ABO$500,T$2,0),"М")</f>
        <v>0</v>
      </c>
      <c r="U166" s="50">
        <f>SUMIFS(INDEX(Техника!$F$1:$ABM$500,U$2,0),Техника!$F$4:$ABM$4,"Часы",INDEX(Техника!$G$1:$ABN$500,U$2,0),$A$165,INDEX(Техника!$H$1:$ABO$500,U$2,0),"М")</f>
        <v>0</v>
      </c>
      <c r="V166" s="50">
        <f>SUMIFS(INDEX(Техника!$F$1:$ABM$500,V$2,0),Техника!$F$4:$ABM$4,"Часы",INDEX(Техника!$G$1:$ABN$500,V$2,0),$A$165,INDEX(Техника!$H$1:$ABO$500,V$2,0),"М")</f>
        <v>0</v>
      </c>
      <c r="W166" s="50">
        <f>SUMIFS(INDEX(Техника!$F$1:$ABM$500,W$2,0),Техника!$F$4:$ABM$4,"Часы",INDEX(Техника!$G$1:$ABN$500,W$2,0),$A$165,INDEX(Техника!$H$1:$ABO$500,W$2,0),"М")</f>
        <v>0</v>
      </c>
      <c r="X166" s="50">
        <f>SUMIFS(INDEX(Техника!$F$1:$ABM$500,X$2,0),Техника!$F$4:$ABM$4,"Часы",INDEX(Техника!$G$1:$ABN$500,X$2,0),$A$165,INDEX(Техника!$H$1:$ABO$500,X$2,0),"М")</f>
        <v>0</v>
      </c>
      <c r="Y166" s="50">
        <f>SUMIFS(INDEX(Техника!$F$1:$ABM$500,Y$2,0),Техника!$F$4:$ABM$4,"Часы",INDEX(Техника!$G$1:$ABN$500,Y$2,0),$A$165,INDEX(Техника!$H$1:$ABO$500,Y$2,0),"М")</f>
        <v>0</v>
      </c>
      <c r="Z166" s="50">
        <f>SUMIFS(INDEX(Техника!$F$1:$ABM$500,Z$2,0),Техника!$F$4:$ABM$4,"Часы",INDEX(Техника!$G$1:$ABN$500,Z$2,0),$A$165,INDEX(Техника!$H$1:$ABO$500,Z$2,0),"М")</f>
        <v>0</v>
      </c>
      <c r="AA166" s="50">
        <f>SUMIFS(INDEX(Техника!$F$1:$ABM$500,AA$2,0),Техника!$F$4:$ABM$4,"Часы",INDEX(Техника!$G$1:$ABN$500,AA$2,0),$A$165,INDEX(Техника!$H$1:$ABO$500,AA$2,0),"М")</f>
        <v>0</v>
      </c>
      <c r="AB166" s="50">
        <f>SUMIFS(INDEX(Техника!$F$1:$ABM$500,AB$2,0),Техника!$F$4:$ABM$4,"Часы",INDEX(Техника!$G$1:$ABN$500,AB$2,0),$A$165,INDEX(Техника!$H$1:$ABO$500,AB$2,0),"М")</f>
        <v>0</v>
      </c>
    </row>
    <row r="167" spans="1:28" hidden="1" outlineLevel="1" x14ac:dyDescent="0.3">
      <c r="A167" s="33" t="s">
        <v>244</v>
      </c>
      <c r="B167" s="34" t="s">
        <v>275</v>
      </c>
      <c r="C167" s="50">
        <f>SUMIFS(INDEX(Техника!$F$1:$ABM$500,C$2,0),Техника!$F$4:$ABM$4,"Часы",INDEX(Техника!$G$1:$ABN$500,C$2,0),$A$165,INDEX(Техника!$H$1:$ABO$500,C$2,0),"Д")</f>
        <v>0</v>
      </c>
      <c r="D167" s="50">
        <f>SUMIFS(INDEX(Техника!$F$1:$ABM$500,D$2,0),Техника!$F$4:$ABM$4,"Часы",INDEX(Техника!$G$1:$ABN$500,D$2,0),$A$165,INDEX(Техника!$H$1:$ABO$500,D$2,0),"Д")</f>
        <v>0</v>
      </c>
      <c r="E167" s="50">
        <f>SUMIFS(INDEX(Техника!$F$1:$ABM$500,E$2,0),Техника!$F$4:$ABM$4,"Часы",INDEX(Техника!$G$1:$ABN$500,E$2,0),$A$165,INDEX(Техника!$H$1:$ABO$500,E$2,0),"Д")</f>
        <v>0</v>
      </c>
      <c r="F167" s="50">
        <f>SUMIFS(INDEX(Техника!$F$1:$ABM$500,F$2,0),Техника!$F$4:$ABM$4,"Часы",INDEX(Техника!$G$1:$ABN$500,F$2,0),$A$165,INDEX(Техника!$H$1:$ABO$500,F$2,0),"Д")</f>
        <v>0</v>
      </c>
      <c r="G167" s="50">
        <f>SUMIFS(INDEX(Техника!$F$1:$ABM$500,G$2,0),Техника!$F$4:$ABM$4,"Часы",INDEX(Техника!$G$1:$ABN$500,G$2,0),$A$165,INDEX(Техника!$H$1:$ABO$500,G$2,0),"Д")</f>
        <v>0</v>
      </c>
      <c r="H167" s="50">
        <f>SUMIFS(INDEX(Техника!$F$1:$ABM$500,H$2,0),Техника!$F$4:$ABM$4,"Часы",INDEX(Техника!$G$1:$ABN$500,H$2,0),$A$165,INDEX(Техника!$H$1:$ABO$500,H$2,0),"Д")</f>
        <v>0</v>
      </c>
      <c r="I167" s="50">
        <f>SUMIFS(INDEX(Техника!$F$1:$ABM$500,I$2,0),Техника!$F$4:$ABM$4,"Часы",INDEX(Техника!$G$1:$ABN$500,I$2,0),$A$165,INDEX(Техника!$H$1:$ABO$500,I$2,0),"Д")</f>
        <v>0</v>
      </c>
      <c r="J167" s="50">
        <f>SUMIFS(INDEX(Техника!$F$1:$ABM$500,J$2,0),Техника!$F$4:$ABM$4,"Часы",INDEX(Техника!$G$1:$ABN$500,J$2,0),$A$165,INDEX(Техника!$H$1:$ABO$500,J$2,0),"Д")</f>
        <v>0</v>
      </c>
      <c r="K167" s="50">
        <f>SUMIFS(INDEX(Техника!$F$1:$ABM$500,K$2,0),Техника!$F$4:$ABM$4,"Часы",INDEX(Техника!$G$1:$ABN$500,K$2,0),$A$165,INDEX(Техника!$H$1:$ABO$500,K$2,0),"Д")</f>
        <v>0</v>
      </c>
      <c r="L167" s="50">
        <f>SUMIFS(INDEX(Техника!$F$1:$ABM$500,L$2,0),Техника!$F$4:$ABM$4,"Часы",INDEX(Техника!$G$1:$ABN$500,L$2,0),$A$165,INDEX(Техника!$H$1:$ABO$500,L$2,0),"Д")</f>
        <v>0</v>
      </c>
      <c r="M167" s="50">
        <f>SUMIFS(INDEX(Техника!$F$1:$ABM$500,M$2,0),Техника!$F$4:$ABM$4,"Часы",INDEX(Техника!$G$1:$ABN$500,M$2,0),$A$165,INDEX(Техника!$H$1:$ABO$500,M$2,0),"Д")</f>
        <v>0</v>
      </c>
      <c r="N167" s="50">
        <f>SUMIFS(INDEX(Техника!$F$1:$ABM$500,N$2,0),Техника!$F$4:$ABM$4,"Часы",INDEX(Техника!$G$1:$ABN$500,N$2,0),$A$165,INDEX(Техника!$H$1:$ABO$500,N$2,0),"Д")</f>
        <v>0</v>
      </c>
      <c r="O167" s="50">
        <f>SUMIFS(INDEX(Техника!$F$1:$ABM$500,O$2,0),Техника!$F$4:$ABM$4,"Часы",INDEX(Техника!$G$1:$ABN$500,O$2,0),$A$165,INDEX(Техника!$H$1:$ABO$500,O$2,0),"Д")</f>
        <v>0</v>
      </c>
      <c r="P167" s="50">
        <f>SUMIFS(INDEX(Техника!$F$1:$ABM$500,P$2,0),Техника!$F$4:$ABM$4,"Часы",INDEX(Техника!$G$1:$ABN$500,P$2,0),$A$165,INDEX(Техника!$H$1:$ABO$500,P$2,0),"Д")</f>
        <v>0</v>
      </c>
      <c r="Q167" s="50">
        <f>SUMIFS(INDEX(Техника!$F$1:$ABM$500,Q$2,0),Техника!$F$4:$ABM$4,"Часы",INDEX(Техника!$G$1:$ABN$500,Q$2,0),$A$165,INDEX(Техника!$H$1:$ABO$500,Q$2,0),"Д")</f>
        <v>0</v>
      </c>
      <c r="R167" s="50">
        <f>SUMIFS(INDEX(Техника!$F$1:$ABM$500,R$2,0),Техника!$F$4:$ABM$4,"Часы",INDEX(Техника!$G$1:$ABN$500,R$2,0),$A$165,INDEX(Техника!$H$1:$ABO$500,R$2,0),"Д")</f>
        <v>0</v>
      </c>
      <c r="S167" s="50">
        <f>SUMIFS(INDEX(Техника!$F$1:$ABM$500,S$2,0),Техника!$F$4:$ABM$4,"Часы",INDEX(Техника!$G$1:$ABN$500,S$2,0),$A$165,INDEX(Техника!$H$1:$ABO$500,S$2,0),"Д")</f>
        <v>0</v>
      </c>
      <c r="T167" s="50">
        <f>SUMIFS(INDEX(Техника!$F$1:$ABM$500,T$2,0),Техника!$F$4:$ABM$4,"Часы",INDEX(Техника!$G$1:$ABN$500,T$2,0),$A$165,INDEX(Техника!$H$1:$ABO$500,T$2,0),"Д")</f>
        <v>0</v>
      </c>
      <c r="U167" s="50">
        <f>SUMIFS(INDEX(Техника!$F$1:$ABM$500,U$2,0),Техника!$F$4:$ABM$4,"Часы",INDEX(Техника!$G$1:$ABN$500,U$2,0),$A$165,INDEX(Техника!$H$1:$ABO$500,U$2,0),"Д")</f>
        <v>0</v>
      </c>
      <c r="V167" s="50">
        <f>SUMIFS(INDEX(Техника!$F$1:$ABM$500,V$2,0),Техника!$F$4:$ABM$4,"Часы",INDEX(Техника!$G$1:$ABN$500,V$2,0),$A$165,INDEX(Техника!$H$1:$ABO$500,V$2,0),"Д")</f>
        <v>0</v>
      </c>
      <c r="W167" s="50">
        <f>SUMIFS(INDEX(Техника!$F$1:$ABM$500,W$2,0),Техника!$F$4:$ABM$4,"Часы",INDEX(Техника!$G$1:$ABN$500,W$2,0),$A$165,INDEX(Техника!$H$1:$ABO$500,W$2,0),"Д")</f>
        <v>0</v>
      </c>
      <c r="X167" s="50">
        <f>SUMIFS(INDEX(Техника!$F$1:$ABM$500,X$2,0),Техника!$F$4:$ABM$4,"Часы",INDEX(Техника!$G$1:$ABN$500,X$2,0),$A$165,INDEX(Техника!$H$1:$ABO$500,X$2,0),"Д")</f>
        <v>0</v>
      </c>
      <c r="Y167" s="50">
        <f>SUMIFS(INDEX(Техника!$F$1:$ABM$500,Y$2,0),Техника!$F$4:$ABM$4,"Часы",INDEX(Техника!$G$1:$ABN$500,Y$2,0),$A$165,INDEX(Техника!$H$1:$ABO$500,Y$2,0),"Д")</f>
        <v>0</v>
      </c>
      <c r="Z167" s="50">
        <f>SUMIFS(INDEX(Техника!$F$1:$ABM$500,Z$2,0),Техника!$F$4:$ABM$4,"Часы",INDEX(Техника!$G$1:$ABN$500,Z$2,0),$A$165,INDEX(Техника!$H$1:$ABO$500,Z$2,0),"Д")</f>
        <v>0</v>
      </c>
      <c r="AA167" s="50">
        <f>SUMIFS(INDEX(Техника!$F$1:$ABM$500,AA$2,0),Техника!$F$4:$ABM$4,"Часы",INDEX(Техника!$G$1:$ABN$500,AA$2,0),$A$165,INDEX(Техника!$H$1:$ABO$500,AA$2,0),"Д")</f>
        <v>0</v>
      </c>
      <c r="AB167" s="50">
        <f>SUMIFS(INDEX(Техника!$F$1:$ABM$500,AB$2,0),Техника!$F$4:$ABM$4,"Часы",INDEX(Техника!$G$1:$ABN$500,AB$2,0),$A$165,INDEX(Техника!$H$1:$ABO$500,AB$2,0),"Д")</f>
        <v>0</v>
      </c>
    </row>
    <row r="168" spans="1:28" hidden="1" outlineLevel="1" x14ac:dyDescent="0.3">
      <c r="A168" s="33" t="s">
        <v>276</v>
      </c>
      <c r="B168" s="34" t="s">
        <v>277</v>
      </c>
      <c r="C168" s="50">
        <f>SUMIFS(INDEX(Техника!$F$1:$ABM$500,C$2,0),Техника!$F$4:$ABM$4,"Часы",INDEX(Техника!$G$1:$ABN$500,C$2,0),$A$165,INDEX(Техника!$H$1:$ABO$500,C$2,0),"П")</f>
        <v>0</v>
      </c>
      <c r="D168" s="50">
        <f>SUMIFS(INDEX(Техника!$F$1:$ABM$500,D$2,0),Техника!$F$4:$ABM$4,"Часы",INDEX(Техника!$G$1:$ABN$500,D$2,0),$A$165,INDEX(Техника!$H$1:$ABO$500,D$2,0),"П")</f>
        <v>0</v>
      </c>
      <c r="E168" s="50">
        <f>SUMIFS(INDEX(Техника!$F$1:$ABM$500,E$2,0),Техника!$F$4:$ABM$4,"Часы",INDEX(Техника!$G$1:$ABN$500,E$2,0),$A$165,INDEX(Техника!$H$1:$ABO$500,E$2,0),"П")</f>
        <v>0</v>
      </c>
      <c r="F168" s="50">
        <f>SUMIFS(INDEX(Техника!$F$1:$ABM$500,F$2,0),Техника!$F$4:$ABM$4,"Часы",INDEX(Техника!$G$1:$ABN$500,F$2,0),$A$165,INDEX(Техника!$H$1:$ABO$500,F$2,0),"П")</f>
        <v>0</v>
      </c>
      <c r="G168" s="50">
        <f>SUMIFS(INDEX(Техника!$F$1:$ABM$500,G$2,0),Техника!$F$4:$ABM$4,"Часы",INDEX(Техника!$G$1:$ABN$500,G$2,0),$A$165,INDEX(Техника!$H$1:$ABO$500,G$2,0),"П")</f>
        <v>0</v>
      </c>
      <c r="H168" s="50">
        <f>SUMIFS(INDEX(Техника!$F$1:$ABM$500,H$2,0),Техника!$F$4:$ABM$4,"Часы",INDEX(Техника!$G$1:$ABN$500,H$2,0),$A$165,INDEX(Техника!$H$1:$ABO$500,H$2,0),"П")</f>
        <v>0</v>
      </c>
      <c r="I168" s="50">
        <f>SUMIFS(INDEX(Техника!$F$1:$ABM$500,I$2,0),Техника!$F$4:$ABM$4,"Часы",INDEX(Техника!$G$1:$ABN$500,I$2,0),$A$165,INDEX(Техника!$H$1:$ABO$500,I$2,0),"П")</f>
        <v>0</v>
      </c>
      <c r="J168" s="50">
        <f>SUMIFS(INDEX(Техника!$F$1:$ABM$500,J$2,0),Техника!$F$4:$ABM$4,"Часы",INDEX(Техника!$G$1:$ABN$500,J$2,0),$A$165,INDEX(Техника!$H$1:$ABO$500,J$2,0),"П")</f>
        <v>0</v>
      </c>
      <c r="K168" s="50">
        <f>SUMIFS(INDEX(Техника!$F$1:$ABM$500,K$2,0),Техника!$F$4:$ABM$4,"Часы",INDEX(Техника!$G$1:$ABN$500,K$2,0),$A$165,INDEX(Техника!$H$1:$ABO$500,K$2,0),"П")</f>
        <v>0</v>
      </c>
      <c r="L168" s="50">
        <f>SUMIFS(INDEX(Техника!$F$1:$ABM$500,L$2,0),Техника!$F$4:$ABM$4,"Часы",INDEX(Техника!$G$1:$ABN$500,L$2,0),$A$165,INDEX(Техника!$H$1:$ABO$500,L$2,0),"П")</f>
        <v>0</v>
      </c>
      <c r="M168" s="50">
        <f>SUMIFS(INDEX(Техника!$F$1:$ABM$500,M$2,0),Техника!$F$4:$ABM$4,"Часы",INDEX(Техника!$G$1:$ABN$500,M$2,0),$A$165,INDEX(Техника!$H$1:$ABO$500,M$2,0),"П")</f>
        <v>0</v>
      </c>
      <c r="N168" s="50">
        <f>SUMIFS(INDEX(Техника!$F$1:$ABM$500,N$2,0),Техника!$F$4:$ABM$4,"Часы",INDEX(Техника!$G$1:$ABN$500,N$2,0),$A$165,INDEX(Техника!$H$1:$ABO$500,N$2,0),"П")</f>
        <v>0</v>
      </c>
      <c r="O168" s="50">
        <f>SUMIFS(INDEX(Техника!$F$1:$ABM$500,O$2,0),Техника!$F$4:$ABM$4,"Часы",INDEX(Техника!$G$1:$ABN$500,O$2,0),$A$165,INDEX(Техника!$H$1:$ABO$500,O$2,0),"П")</f>
        <v>0</v>
      </c>
      <c r="P168" s="50">
        <f>SUMIFS(INDEX(Техника!$F$1:$ABM$500,P$2,0),Техника!$F$4:$ABM$4,"Часы",INDEX(Техника!$G$1:$ABN$500,P$2,0),$A$165,INDEX(Техника!$H$1:$ABO$500,P$2,0),"П")</f>
        <v>0</v>
      </c>
      <c r="Q168" s="50">
        <f>SUMIFS(INDEX(Техника!$F$1:$ABM$500,Q$2,0),Техника!$F$4:$ABM$4,"Часы",INDEX(Техника!$G$1:$ABN$500,Q$2,0),$A$165,INDEX(Техника!$H$1:$ABO$500,Q$2,0),"П")</f>
        <v>0</v>
      </c>
      <c r="R168" s="50">
        <f>SUMIFS(INDEX(Техника!$F$1:$ABM$500,R$2,0),Техника!$F$4:$ABM$4,"Часы",INDEX(Техника!$G$1:$ABN$500,R$2,0),$A$165,INDEX(Техника!$H$1:$ABO$500,R$2,0),"П")</f>
        <v>0</v>
      </c>
      <c r="S168" s="50">
        <f>SUMIFS(INDEX(Техника!$F$1:$ABM$500,S$2,0),Техника!$F$4:$ABM$4,"Часы",INDEX(Техника!$G$1:$ABN$500,S$2,0),$A$165,INDEX(Техника!$H$1:$ABO$500,S$2,0),"П")</f>
        <v>0</v>
      </c>
      <c r="T168" s="50">
        <f>SUMIFS(INDEX(Техника!$F$1:$ABM$500,T$2,0),Техника!$F$4:$ABM$4,"Часы",INDEX(Техника!$G$1:$ABN$500,T$2,0),$A$165,INDEX(Техника!$H$1:$ABO$500,T$2,0),"П")</f>
        <v>0</v>
      </c>
      <c r="U168" s="50">
        <f>SUMIFS(INDEX(Техника!$F$1:$ABM$500,U$2,0),Техника!$F$4:$ABM$4,"Часы",INDEX(Техника!$G$1:$ABN$500,U$2,0),$A$165,INDEX(Техника!$H$1:$ABO$500,U$2,0),"П")</f>
        <v>0</v>
      </c>
      <c r="V168" s="50">
        <f>SUMIFS(INDEX(Техника!$F$1:$ABM$500,V$2,0),Техника!$F$4:$ABM$4,"Часы",INDEX(Техника!$G$1:$ABN$500,V$2,0),$A$165,INDEX(Техника!$H$1:$ABO$500,V$2,0),"П")</f>
        <v>0</v>
      </c>
      <c r="W168" s="50">
        <f>SUMIFS(INDEX(Техника!$F$1:$ABM$500,W$2,0),Техника!$F$4:$ABM$4,"Часы",INDEX(Техника!$G$1:$ABN$500,W$2,0),$A$165,INDEX(Техника!$H$1:$ABO$500,W$2,0),"П")</f>
        <v>0</v>
      </c>
      <c r="X168" s="50">
        <f>SUMIFS(INDEX(Техника!$F$1:$ABM$500,X$2,0),Техника!$F$4:$ABM$4,"Часы",INDEX(Техника!$G$1:$ABN$500,X$2,0),$A$165,INDEX(Техника!$H$1:$ABO$500,X$2,0),"П")</f>
        <v>0</v>
      </c>
      <c r="Y168" s="50">
        <f>SUMIFS(INDEX(Техника!$F$1:$ABM$500,Y$2,0),Техника!$F$4:$ABM$4,"Часы",INDEX(Техника!$G$1:$ABN$500,Y$2,0),$A$165,INDEX(Техника!$H$1:$ABO$500,Y$2,0),"П")</f>
        <v>0</v>
      </c>
      <c r="Z168" s="50">
        <f>SUMIFS(INDEX(Техника!$F$1:$ABM$500,Z$2,0),Техника!$F$4:$ABM$4,"Часы",INDEX(Техника!$G$1:$ABN$500,Z$2,0),$A$165,INDEX(Техника!$H$1:$ABO$500,Z$2,0),"П")</f>
        <v>0</v>
      </c>
      <c r="AA168" s="50">
        <f>SUMIFS(INDEX(Техника!$F$1:$ABM$500,AA$2,0),Техника!$F$4:$ABM$4,"Часы",INDEX(Техника!$G$1:$ABN$500,AA$2,0),$A$165,INDEX(Техника!$H$1:$ABO$500,AA$2,0),"П")</f>
        <v>0</v>
      </c>
      <c r="AB168" s="50">
        <f>SUMIFS(INDEX(Техника!$F$1:$ABM$500,AB$2,0),Техника!$F$4:$ABM$4,"Часы",INDEX(Техника!$G$1:$ABN$500,AB$2,0),$A$165,INDEX(Техника!$H$1:$ABO$500,AB$2,0),"П")</f>
        <v>0</v>
      </c>
    </row>
    <row r="169" spans="1:28" hidden="1" outlineLevel="1" x14ac:dyDescent="0.3">
      <c r="A169" s="33" t="s">
        <v>243</v>
      </c>
      <c r="B169" s="34" t="s">
        <v>278</v>
      </c>
      <c r="C169" s="50">
        <f>SUMIFS(INDEX(Техника!$F$1:$ABM$500,C$2,0),Техника!$F$4:$ABM$4,"Часы",INDEX(Техника!$G$1:$ABN$500,C$2,0),$A$165,INDEX(Техника!$H$1:$ABO$500,C$2,0),"Л")</f>
        <v>0</v>
      </c>
      <c r="D169" s="50">
        <f>SUMIFS(INDEX(Техника!$F$1:$ABM$500,D$2,0),Техника!$F$4:$ABM$4,"Часы",INDEX(Техника!$G$1:$ABN$500,D$2,0),$A$165,INDEX(Техника!$H$1:$ABO$500,D$2,0),"Л")</f>
        <v>0</v>
      </c>
      <c r="E169" s="50">
        <f>SUMIFS(INDEX(Техника!$F$1:$ABM$500,E$2,0),Техника!$F$4:$ABM$4,"Часы",INDEX(Техника!$G$1:$ABN$500,E$2,0),$A$165,INDEX(Техника!$H$1:$ABO$500,E$2,0),"Л")</f>
        <v>0</v>
      </c>
      <c r="F169" s="50">
        <f>SUMIFS(INDEX(Техника!$F$1:$ABM$500,F$2,0),Техника!$F$4:$ABM$4,"Часы",INDEX(Техника!$G$1:$ABN$500,F$2,0),$A$165,INDEX(Техника!$H$1:$ABO$500,F$2,0),"Л")</f>
        <v>0</v>
      </c>
      <c r="G169" s="50">
        <f>SUMIFS(INDEX(Техника!$F$1:$ABM$500,G$2,0),Техника!$F$4:$ABM$4,"Часы",INDEX(Техника!$G$1:$ABN$500,G$2,0),$A$165,INDEX(Техника!$H$1:$ABO$500,G$2,0),"Л")</f>
        <v>0</v>
      </c>
      <c r="H169" s="50">
        <f>SUMIFS(INDEX(Техника!$F$1:$ABM$500,H$2,0),Техника!$F$4:$ABM$4,"Часы",INDEX(Техника!$G$1:$ABN$500,H$2,0),$A$165,INDEX(Техника!$H$1:$ABO$500,H$2,0),"Л")</f>
        <v>0</v>
      </c>
      <c r="I169" s="50">
        <f>SUMIFS(INDEX(Техника!$F$1:$ABM$500,I$2,0),Техника!$F$4:$ABM$4,"Часы",INDEX(Техника!$G$1:$ABN$500,I$2,0),$A$165,INDEX(Техника!$H$1:$ABO$500,I$2,0),"Л")</f>
        <v>0</v>
      </c>
      <c r="J169" s="50">
        <f>SUMIFS(INDEX(Техника!$F$1:$ABM$500,J$2,0),Техника!$F$4:$ABM$4,"Часы",INDEX(Техника!$G$1:$ABN$500,J$2,0),$A$165,INDEX(Техника!$H$1:$ABO$500,J$2,0),"Л")</f>
        <v>0</v>
      </c>
      <c r="K169" s="50">
        <f>SUMIFS(INDEX(Техника!$F$1:$ABM$500,K$2,0),Техника!$F$4:$ABM$4,"Часы",INDEX(Техника!$G$1:$ABN$500,K$2,0),$A$165,INDEX(Техника!$H$1:$ABO$500,K$2,0),"Л")</f>
        <v>0</v>
      </c>
      <c r="L169" s="50">
        <f>SUMIFS(INDEX(Техника!$F$1:$ABM$500,L$2,0),Техника!$F$4:$ABM$4,"Часы",INDEX(Техника!$G$1:$ABN$500,L$2,0),$A$165,INDEX(Техника!$H$1:$ABO$500,L$2,0),"Л")</f>
        <v>0</v>
      </c>
      <c r="M169" s="50">
        <f>SUMIFS(INDEX(Техника!$F$1:$ABM$500,M$2,0),Техника!$F$4:$ABM$4,"Часы",INDEX(Техника!$G$1:$ABN$500,M$2,0),$A$165,INDEX(Техника!$H$1:$ABO$500,M$2,0),"Л")</f>
        <v>0</v>
      </c>
      <c r="N169" s="50">
        <f>SUMIFS(INDEX(Техника!$F$1:$ABM$500,N$2,0),Техника!$F$4:$ABM$4,"Часы",INDEX(Техника!$G$1:$ABN$500,N$2,0),$A$165,INDEX(Техника!$H$1:$ABO$500,N$2,0),"Л")</f>
        <v>0</v>
      </c>
      <c r="O169" s="50">
        <f>SUMIFS(INDEX(Техника!$F$1:$ABM$500,O$2,0),Техника!$F$4:$ABM$4,"Часы",INDEX(Техника!$G$1:$ABN$500,O$2,0),$A$165,INDEX(Техника!$H$1:$ABO$500,O$2,0),"Л")</f>
        <v>0</v>
      </c>
      <c r="P169" s="50">
        <f>SUMIFS(INDEX(Техника!$F$1:$ABM$500,P$2,0),Техника!$F$4:$ABM$4,"Часы",INDEX(Техника!$G$1:$ABN$500,P$2,0),$A$165,INDEX(Техника!$H$1:$ABO$500,P$2,0),"Л")</f>
        <v>0</v>
      </c>
      <c r="Q169" s="50">
        <f>SUMIFS(INDEX(Техника!$F$1:$ABM$500,Q$2,0),Техника!$F$4:$ABM$4,"Часы",INDEX(Техника!$G$1:$ABN$500,Q$2,0),$A$165,INDEX(Техника!$H$1:$ABO$500,Q$2,0),"Л")</f>
        <v>0</v>
      </c>
      <c r="R169" s="50">
        <f>SUMIFS(INDEX(Техника!$F$1:$ABM$500,R$2,0),Техника!$F$4:$ABM$4,"Часы",INDEX(Техника!$G$1:$ABN$500,R$2,0),$A$165,INDEX(Техника!$H$1:$ABO$500,R$2,0),"Л")</f>
        <v>0</v>
      </c>
      <c r="S169" s="50">
        <f>SUMIFS(INDEX(Техника!$F$1:$ABM$500,S$2,0),Техника!$F$4:$ABM$4,"Часы",INDEX(Техника!$G$1:$ABN$500,S$2,0),$A$165,INDEX(Техника!$H$1:$ABO$500,S$2,0),"Л")</f>
        <v>0</v>
      </c>
      <c r="T169" s="50">
        <f>SUMIFS(INDEX(Техника!$F$1:$ABM$500,T$2,0),Техника!$F$4:$ABM$4,"Часы",INDEX(Техника!$G$1:$ABN$500,T$2,0),$A$165,INDEX(Техника!$H$1:$ABO$500,T$2,0),"Л")</f>
        <v>0</v>
      </c>
      <c r="U169" s="50">
        <f>SUMIFS(INDEX(Техника!$F$1:$ABM$500,U$2,0),Техника!$F$4:$ABM$4,"Часы",INDEX(Техника!$G$1:$ABN$500,U$2,0),$A$165,INDEX(Техника!$H$1:$ABO$500,U$2,0),"Л")</f>
        <v>0</v>
      </c>
      <c r="V169" s="50">
        <f>SUMIFS(INDEX(Техника!$F$1:$ABM$500,V$2,0),Техника!$F$4:$ABM$4,"Часы",INDEX(Техника!$G$1:$ABN$500,V$2,0),$A$165,INDEX(Техника!$H$1:$ABO$500,V$2,0),"Л")</f>
        <v>0</v>
      </c>
      <c r="W169" s="50">
        <f>SUMIFS(INDEX(Техника!$F$1:$ABM$500,W$2,0),Техника!$F$4:$ABM$4,"Часы",INDEX(Техника!$G$1:$ABN$500,W$2,0),$A$165,INDEX(Техника!$H$1:$ABO$500,W$2,0),"Л")</f>
        <v>0</v>
      </c>
      <c r="X169" s="50">
        <f>SUMIFS(INDEX(Техника!$F$1:$ABM$500,X$2,0),Техника!$F$4:$ABM$4,"Часы",INDEX(Техника!$G$1:$ABN$500,X$2,0),$A$165,INDEX(Техника!$H$1:$ABO$500,X$2,0),"Л")</f>
        <v>0</v>
      </c>
      <c r="Y169" s="50">
        <f>SUMIFS(INDEX(Техника!$F$1:$ABM$500,Y$2,0),Техника!$F$4:$ABM$4,"Часы",INDEX(Техника!$G$1:$ABN$500,Y$2,0),$A$165,INDEX(Техника!$H$1:$ABO$500,Y$2,0),"Л")</f>
        <v>0</v>
      </c>
      <c r="Z169" s="50">
        <f>SUMIFS(INDEX(Техника!$F$1:$ABM$500,Z$2,0),Техника!$F$4:$ABM$4,"Часы",INDEX(Техника!$G$1:$ABN$500,Z$2,0),$A$165,INDEX(Техника!$H$1:$ABO$500,Z$2,0),"Л")</f>
        <v>0</v>
      </c>
      <c r="AA169" s="50">
        <f>SUMIFS(INDEX(Техника!$F$1:$ABM$500,AA$2,0),Техника!$F$4:$ABM$4,"Часы",INDEX(Техника!$G$1:$ABN$500,AA$2,0),$A$165,INDEX(Техника!$H$1:$ABO$500,AA$2,0),"Л")</f>
        <v>0</v>
      </c>
      <c r="AB169" s="50">
        <f>SUMIFS(INDEX(Техника!$F$1:$ABM$500,AB$2,0),Техника!$F$4:$ABM$4,"Часы",INDEX(Техника!$G$1:$ABN$500,AB$2,0),$A$165,INDEX(Техника!$H$1:$ABO$500,AB$2,0),"Л")</f>
        <v>0</v>
      </c>
    </row>
    <row r="170" spans="1:28" hidden="1" outlineLevel="1" x14ac:dyDescent="0.3">
      <c r="A170" s="33" t="s">
        <v>245</v>
      </c>
      <c r="B170" s="34" t="s">
        <v>279</v>
      </c>
      <c r="C170" s="50">
        <f>SUMIFS(INDEX(Техника!$F$1:$ABM$500,C$2,0),Техника!$F$4:$ABM$4,"Часы",INDEX(Техника!$G$1:$ABN$500,C$2,0),$A$165,INDEX(Техника!$H$1:$ABO$500,C$2,0),"З")</f>
        <v>0</v>
      </c>
      <c r="D170" s="50">
        <f>SUMIFS(INDEX(Техника!$F$1:$ABM$500,D$2,0),Техника!$F$4:$ABM$4,"Часы",INDEX(Техника!$G$1:$ABN$500,D$2,0),$A$165,INDEX(Техника!$H$1:$ABO$500,D$2,0),"З")</f>
        <v>0</v>
      </c>
      <c r="E170" s="50">
        <f>SUMIFS(INDEX(Техника!$F$1:$ABM$500,E$2,0),Техника!$F$4:$ABM$4,"Часы",INDEX(Техника!$G$1:$ABN$500,E$2,0),$A$165,INDEX(Техника!$H$1:$ABO$500,E$2,0),"З")</f>
        <v>0</v>
      </c>
      <c r="F170" s="50">
        <f>SUMIFS(INDEX(Техника!$F$1:$ABM$500,F$2,0),Техника!$F$4:$ABM$4,"Часы",INDEX(Техника!$G$1:$ABN$500,F$2,0),$A$165,INDEX(Техника!$H$1:$ABO$500,F$2,0),"З")</f>
        <v>0</v>
      </c>
      <c r="G170" s="50">
        <f>SUMIFS(INDEX(Техника!$F$1:$ABM$500,G$2,0),Техника!$F$4:$ABM$4,"Часы",INDEX(Техника!$G$1:$ABN$500,G$2,0),$A$165,INDEX(Техника!$H$1:$ABO$500,G$2,0),"З")</f>
        <v>0</v>
      </c>
      <c r="H170" s="50">
        <f>SUMIFS(INDEX(Техника!$F$1:$ABM$500,H$2,0),Техника!$F$4:$ABM$4,"Часы",INDEX(Техника!$G$1:$ABN$500,H$2,0),$A$165,INDEX(Техника!$H$1:$ABO$500,H$2,0),"З")</f>
        <v>0</v>
      </c>
      <c r="I170" s="50">
        <f>SUMIFS(INDEX(Техника!$F$1:$ABM$500,I$2,0),Техника!$F$4:$ABM$4,"Часы",INDEX(Техника!$G$1:$ABN$500,I$2,0),$A$165,INDEX(Техника!$H$1:$ABO$500,I$2,0),"З")</f>
        <v>0</v>
      </c>
      <c r="J170" s="50">
        <f>SUMIFS(INDEX(Техника!$F$1:$ABM$500,J$2,0),Техника!$F$4:$ABM$4,"Часы",INDEX(Техника!$G$1:$ABN$500,J$2,0),$A$165,INDEX(Техника!$H$1:$ABO$500,J$2,0),"З")</f>
        <v>0</v>
      </c>
      <c r="K170" s="50">
        <f>SUMIFS(INDEX(Техника!$F$1:$ABM$500,K$2,0),Техника!$F$4:$ABM$4,"Часы",INDEX(Техника!$G$1:$ABN$500,K$2,0),$A$165,INDEX(Техника!$H$1:$ABO$500,K$2,0),"З")</f>
        <v>0</v>
      </c>
      <c r="L170" s="50">
        <f>SUMIFS(INDEX(Техника!$F$1:$ABM$500,L$2,0),Техника!$F$4:$ABM$4,"Часы",INDEX(Техника!$G$1:$ABN$500,L$2,0),$A$165,INDEX(Техника!$H$1:$ABO$500,L$2,0),"З")</f>
        <v>0</v>
      </c>
      <c r="M170" s="50">
        <f>SUMIFS(INDEX(Техника!$F$1:$ABM$500,M$2,0),Техника!$F$4:$ABM$4,"Часы",INDEX(Техника!$G$1:$ABN$500,M$2,0),$A$165,INDEX(Техника!$H$1:$ABO$500,M$2,0),"З")</f>
        <v>0</v>
      </c>
      <c r="N170" s="50">
        <f>SUMIFS(INDEX(Техника!$F$1:$ABM$500,N$2,0),Техника!$F$4:$ABM$4,"Часы",INDEX(Техника!$G$1:$ABN$500,N$2,0),$A$165,INDEX(Техника!$H$1:$ABO$500,N$2,0),"З")</f>
        <v>0</v>
      </c>
      <c r="O170" s="50">
        <f>SUMIFS(INDEX(Техника!$F$1:$ABM$500,O$2,0),Техника!$F$4:$ABM$4,"Часы",INDEX(Техника!$G$1:$ABN$500,O$2,0),$A$165,INDEX(Техника!$H$1:$ABO$500,O$2,0),"З")</f>
        <v>0</v>
      </c>
      <c r="P170" s="50">
        <f>SUMIFS(INDEX(Техника!$F$1:$ABM$500,P$2,0),Техника!$F$4:$ABM$4,"Часы",INDEX(Техника!$G$1:$ABN$500,P$2,0),$A$165,INDEX(Техника!$H$1:$ABO$500,P$2,0),"З")</f>
        <v>0</v>
      </c>
      <c r="Q170" s="50">
        <f>SUMIFS(INDEX(Техника!$F$1:$ABM$500,Q$2,0),Техника!$F$4:$ABM$4,"Часы",INDEX(Техника!$G$1:$ABN$500,Q$2,0),$A$165,INDEX(Техника!$H$1:$ABO$500,Q$2,0),"З")</f>
        <v>0</v>
      </c>
      <c r="R170" s="50">
        <f>SUMIFS(INDEX(Техника!$F$1:$ABM$500,R$2,0),Техника!$F$4:$ABM$4,"Часы",INDEX(Техника!$G$1:$ABN$500,R$2,0),$A$165,INDEX(Техника!$H$1:$ABO$500,R$2,0),"З")</f>
        <v>0</v>
      </c>
      <c r="S170" s="50">
        <f>SUMIFS(INDEX(Техника!$F$1:$ABM$500,S$2,0),Техника!$F$4:$ABM$4,"Часы",INDEX(Техника!$G$1:$ABN$500,S$2,0),$A$165,INDEX(Техника!$H$1:$ABO$500,S$2,0),"З")</f>
        <v>0</v>
      </c>
      <c r="T170" s="50">
        <f>SUMIFS(INDEX(Техника!$F$1:$ABM$500,T$2,0),Техника!$F$4:$ABM$4,"Часы",INDEX(Техника!$G$1:$ABN$500,T$2,0),$A$165,INDEX(Техника!$H$1:$ABO$500,T$2,0),"З")</f>
        <v>0</v>
      </c>
      <c r="U170" s="50">
        <f>SUMIFS(INDEX(Техника!$F$1:$ABM$500,U$2,0),Техника!$F$4:$ABM$4,"Часы",INDEX(Техника!$G$1:$ABN$500,U$2,0),$A$165,INDEX(Техника!$H$1:$ABO$500,U$2,0),"З")</f>
        <v>0</v>
      </c>
      <c r="V170" s="50">
        <f>SUMIFS(INDEX(Техника!$F$1:$ABM$500,V$2,0),Техника!$F$4:$ABM$4,"Часы",INDEX(Техника!$G$1:$ABN$500,V$2,0),$A$165,INDEX(Техника!$H$1:$ABO$500,V$2,0),"З")</f>
        <v>0</v>
      </c>
      <c r="W170" s="50">
        <f>SUMIFS(INDEX(Техника!$F$1:$ABM$500,W$2,0),Техника!$F$4:$ABM$4,"Часы",INDEX(Техника!$G$1:$ABN$500,W$2,0),$A$165,INDEX(Техника!$H$1:$ABO$500,W$2,0),"З")</f>
        <v>0</v>
      </c>
      <c r="X170" s="50">
        <f>SUMIFS(INDEX(Техника!$F$1:$ABM$500,X$2,0),Техника!$F$4:$ABM$4,"Часы",INDEX(Техника!$G$1:$ABN$500,X$2,0),$A$165,INDEX(Техника!$H$1:$ABO$500,X$2,0),"З")</f>
        <v>0</v>
      </c>
      <c r="Y170" s="50">
        <f>SUMIFS(INDEX(Техника!$F$1:$ABM$500,Y$2,0),Техника!$F$4:$ABM$4,"Часы",INDEX(Техника!$G$1:$ABN$500,Y$2,0),$A$165,INDEX(Техника!$H$1:$ABO$500,Y$2,0),"З")</f>
        <v>0</v>
      </c>
      <c r="Z170" s="50">
        <f>SUMIFS(INDEX(Техника!$F$1:$ABM$500,Z$2,0),Техника!$F$4:$ABM$4,"Часы",INDEX(Техника!$G$1:$ABN$500,Z$2,0),$A$165,INDEX(Техника!$H$1:$ABO$500,Z$2,0),"З")</f>
        <v>0</v>
      </c>
      <c r="AA170" s="50">
        <f>SUMIFS(INDEX(Техника!$F$1:$ABM$500,AA$2,0),Техника!$F$4:$ABM$4,"Часы",INDEX(Техника!$G$1:$ABN$500,AA$2,0),$A$165,INDEX(Техника!$H$1:$ABO$500,AA$2,0),"З")</f>
        <v>0</v>
      </c>
      <c r="AB170" s="50">
        <f>SUMIFS(INDEX(Техника!$F$1:$ABM$500,AB$2,0),Техника!$F$4:$ABM$4,"Часы",INDEX(Техника!$G$1:$ABN$500,AB$2,0),$A$165,INDEX(Техника!$H$1:$ABO$500,AB$2,0),"З")</f>
        <v>0</v>
      </c>
    </row>
    <row r="171" spans="1:28" ht="7.95" customHeight="1" x14ac:dyDescent="0.3">
      <c r="A171" s="38"/>
      <c r="B171" s="39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 spans="1:28" ht="25.05" customHeight="1" collapsed="1" x14ac:dyDescent="0.3">
      <c r="A172" s="32">
        <v>25</v>
      </c>
      <c r="B172" s="32" t="s">
        <v>26</v>
      </c>
      <c r="C172" s="49">
        <f>SUM(C173:C177)</f>
        <v>0</v>
      </c>
      <c r="D172" s="49">
        <f>SUM(D173:D177)</f>
        <v>0</v>
      </c>
      <c r="E172" s="49">
        <f>SUM(E173:E177)</f>
        <v>0</v>
      </c>
      <c r="F172" s="49">
        <f>SUM(F173:F177)</f>
        <v>0</v>
      </c>
      <c r="G172" s="49">
        <f>SUM(G173:G177)</f>
        <v>0</v>
      </c>
      <c r="H172" s="49">
        <f>SUM(H173:H177)</f>
        <v>0</v>
      </c>
      <c r="I172" s="49">
        <f>SUM(I173:I177)</f>
        <v>0</v>
      </c>
      <c r="J172" s="49">
        <f>SUM(J173:J177)</f>
        <v>0</v>
      </c>
      <c r="K172" s="49">
        <f>SUM(K173:K177)</f>
        <v>0</v>
      </c>
      <c r="L172" s="49">
        <f>SUM(L173:L177)</f>
        <v>0</v>
      </c>
      <c r="M172" s="49">
        <f>SUM(M173:M177)</f>
        <v>0</v>
      </c>
      <c r="N172" s="49">
        <f>SUM(N173:N177)</f>
        <v>0</v>
      </c>
      <c r="O172" s="49">
        <f>SUM(O173:O177)</f>
        <v>0</v>
      </c>
      <c r="P172" s="49">
        <f>SUM(P173:P177)</f>
        <v>0</v>
      </c>
      <c r="Q172" s="49">
        <f>SUM(Q173:Q177)</f>
        <v>0</v>
      </c>
      <c r="R172" s="49">
        <f>SUM(R173:R177)</f>
        <v>0</v>
      </c>
      <c r="S172" s="49">
        <f>SUM(S173:S177)</f>
        <v>0</v>
      </c>
      <c r="T172" s="49">
        <f>SUM(T173:T177)</f>
        <v>0</v>
      </c>
      <c r="U172" s="49">
        <f>SUM(U173:U177)</f>
        <v>0</v>
      </c>
      <c r="V172" s="49">
        <f>SUM(V173:V177)</f>
        <v>0</v>
      </c>
      <c r="W172" s="49">
        <f>SUM(W173:W177)</f>
        <v>0</v>
      </c>
      <c r="X172" s="49">
        <f>SUM(X173:X177)</f>
        <v>0</v>
      </c>
      <c r="Y172" s="49">
        <f>SUM(Y173:Y177)</f>
        <v>0</v>
      </c>
      <c r="Z172" s="49">
        <f>SUM(Z173:Z177)</f>
        <v>0</v>
      </c>
      <c r="AA172" s="49">
        <f>SUM(AA173:AA177)</f>
        <v>0</v>
      </c>
      <c r="AB172" s="49">
        <f>SUM(AB173:AB177)</f>
        <v>0</v>
      </c>
    </row>
    <row r="173" spans="1:28" hidden="1" outlineLevel="1" x14ac:dyDescent="0.3">
      <c r="A173" s="33" t="s">
        <v>246</v>
      </c>
      <c r="B173" s="34" t="s">
        <v>274</v>
      </c>
      <c r="C173" s="50">
        <f>SUMIFS(INDEX(Техника!$F$1:$ABM$500,C$2,0),Техника!$F$4:$ABM$4,"Часы",INDEX(Техника!$G$1:$ABN$500,C$2,0),$A$172,INDEX(Техника!$H$1:$ABO$500,C$2,0),"М")</f>
        <v>0</v>
      </c>
      <c r="D173" s="50">
        <f>SUMIFS(INDEX(Техника!$F$1:$ABM$500,D$2,0),Техника!$F$4:$ABM$4,"Часы",INDEX(Техника!$G$1:$ABN$500,D$2,0),$A$172,INDEX(Техника!$H$1:$ABO$500,D$2,0),"М")</f>
        <v>0</v>
      </c>
      <c r="E173" s="50">
        <f>SUMIFS(INDEX(Техника!$F$1:$ABM$500,E$2,0),Техника!$F$4:$ABM$4,"Часы",INDEX(Техника!$G$1:$ABN$500,E$2,0),$A$172,INDEX(Техника!$H$1:$ABO$500,E$2,0),"М")</f>
        <v>0</v>
      </c>
      <c r="F173" s="50">
        <f>SUMIFS(INDEX(Техника!$F$1:$ABM$500,F$2,0),Техника!$F$4:$ABM$4,"Часы",INDEX(Техника!$G$1:$ABN$500,F$2,0),$A$172,INDEX(Техника!$H$1:$ABO$500,F$2,0),"М")</f>
        <v>0</v>
      </c>
      <c r="G173" s="50">
        <f>SUMIFS(INDEX(Техника!$F$1:$ABM$500,G$2,0),Техника!$F$4:$ABM$4,"Часы",INDEX(Техника!$G$1:$ABN$500,G$2,0),$A$172,INDEX(Техника!$H$1:$ABO$500,G$2,0),"М")</f>
        <v>0</v>
      </c>
      <c r="H173" s="50">
        <f>SUMIFS(INDEX(Техника!$F$1:$ABM$500,H$2,0),Техника!$F$4:$ABM$4,"Часы",INDEX(Техника!$G$1:$ABN$500,H$2,0),$A$172,INDEX(Техника!$H$1:$ABO$500,H$2,0),"М")</f>
        <v>0</v>
      </c>
      <c r="I173" s="50">
        <f>SUMIFS(INDEX(Техника!$F$1:$ABM$500,I$2,0),Техника!$F$4:$ABM$4,"Часы",INDEX(Техника!$G$1:$ABN$500,I$2,0),$A$172,INDEX(Техника!$H$1:$ABO$500,I$2,0),"М")</f>
        <v>0</v>
      </c>
      <c r="J173" s="50">
        <f>SUMIFS(INDEX(Техника!$F$1:$ABM$500,J$2,0),Техника!$F$4:$ABM$4,"Часы",INDEX(Техника!$G$1:$ABN$500,J$2,0),$A$172,INDEX(Техника!$H$1:$ABO$500,J$2,0),"М")</f>
        <v>0</v>
      </c>
      <c r="K173" s="50">
        <f>SUMIFS(INDEX(Техника!$F$1:$ABM$500,K$2,0),Техника!$F$4:$ABM$4,"Часы",INDEX(Техника!$G$1:$ABN$500,K$2,0),$A$172,INDEX(Техника!$H$1:$ABO$500,K$2,0),"М")</f>
        <v>0</v>
      </c>
      <c r="L173" s="50">
        <f>SUMIFS(INDEX(Техника!$F$1:$ABM$500,L$2,0),Техника!$F$4:$ABM$4,"Часы",INDEX(Техника!$G$1:$ABN$500,L$2,0),$A$172,INDEX(Техника!$H$1:$ABO$500,L$2,0),"М")</f>
        <v>0</v>
      </c>
      <c r="M173" s="50">
        <f>SUMIFS(INDEX(Техника!$F$1:$ABM$500,M$2,0),Техника!$F$4:$ABM$4,"Часы",INDEX(Техника!$G$1:$ABN$500,M$2,0),$A$172,INDEX(Техника!$H$1:$ABO$500,M$2,0),"М")</f>
        <v>0</v>
      </c>
      <c r="N173" s="50">
        <f>SUMIFS(INDEX(Техника!$F$1:$ABM$500,N$2,0),Техника!$F$4:$ABM$4,"Часы",INDEX(Техника!$G$1:$ABN$500,N$2,0),$A$172,INDEX(Техника!$H$1:$ABO$500,N$2,0),"М")</f>
        <v>0</v>
      </c>
      <c r="O173" s="50">
        <f>SUMIFS(INDEX(Техника!$F$1:$ABM$500,O$2,0),Техника!$F$4:$ABM$4,"Часы",INDEX(Техника!$G$1:$ABN$500,O$2,0),$A$172,INDEX(Техника!$H$1:$ABO$500,O$2,0),"М")</f>
        <v>0</v>
      </c>
      <c r="P173" s="50">
        <f>SUMIFS(INDEX(Техника!$F$1:$ABM$500,P$2,0),Техника!$F$4:$ABM$4,"Часы",INDEX(Техника!$G$1:$ABN$500,P$2,0),$A$172,INDEX(Техника!$H$1:$ABO$500,P$2,0),"М")</f>
        <v>0</v>
      </c>
      <c r="Q173" s="50">
        <f>SUMIFS(INDEX(Техника!$F$1:$ABM$500,Q$2,0),Техника!$F$4:$ABM$4,"Часы",INDEX(Техника!$G$1:$ABN$500,Q$2,0),$A$172,INDEX(Техника!$H$1:$ABO$500,Q$2,0),"М")</f>
        <v>0</v>
      </c>
      <c r="R173" s="50">
        <f>SUMIFS(INDEX(Техника!$F$1:$ABM$500,R$2,0),Техника!$F$4:$ABM$4,"Часы",INDEX(Техника!$G$1:$ABN$500,R$2,0),$A$172,INDEX(Техника!$H$1:$ABO$500,R$2,0),"М")</f>
        <v>0</v>
      </c>
      <c r="S173" s="50">
        <f>SUMIFS(INDEX(Техника!$F$1:$ABM$500,S$2,0),Техника!$F$4:$ABM$4,"Часы",INDEX(Техника!$G$1:$ABN$500,S$2,0),$A$172,INDEX(Техника!$H$1:$ABO$500,S$2,0),"М")</f>
        <v>0</v>
      </c>
      <c r="T173" s="50">
        <f>SUMIFS(INDEX(Техника!$F$1:$ABM$500,T$2,0),Техника!$F$4:$ABM$4,"Часы",INDEX(Техника!$G$1:$ABN$500,T$2,0),$A$172,INDEX(Техника!$H$1:$ABO$500,T$2,0),"М")</f>
        <v>0</v>
      </c>
      <c r="U173" s="50">
        <f>SUMIFS(INDEX(Техника!$F$1:$ABM$500,U$2,0),Техника!$F$4:$ABM$4,"Часы",INDEX(Техника!$G$1:$ABN$500,U$2,0),$A$172,INDEX(Техника!$H$1:$ABO$500,U$2,0),"М")</f>
        <v>0</v>
      </c>
      <c r="V173" s="50">
        <f>SUMIFS(INDEX(Техника!$F$1:$ABM$500,V$2,0),Техника!$F$4:$ABM$4,"Часы",INDEX(Техника!$G$1:$ABN$500,V$2,0),$A$172,INDEX(Техника!$H$1:$ABO$500,V$2,0),"М")</f>
        <v>0</v>
      </c>
      <c r="W173" s="50">
        <f>SUMIFS(INDEX(Техника!$F$1:$ABM$500,W$2,0),Техника!$F$4:$ABM$4,"Часы",INDEX(Техника!$G$1:$ABN$500,W$2,0),$A$172,INDEX(Техника!$H$1:$ABO$500,W$2,0),"М")</f>
        <v>0</v>
      </c>
      <c r="X173" s="50">
        <f>SUMIFS(INDEX(Техника!$F$1:$ABM$500,X$2,0),Техника!$F$4:$ABM$4,"Часы",INDEX(Техника!$G$1:$ABN$500,X$2,0),$A$172,INDEX(Техника!$H$1:$ABO$500,X$2,0),"М")</f>
        <v>0</v>
      </c>
      <c r="Y173" s="50">
        <f>SUMIFS(INDEX(Техника!$F$1:$ABM$500,Y$2,0),Техника!$F$4:$ABM$4,"Часы",INDEX(Техника!$G$1:$ABN$500,Y$2,0),$A$172,INDEX(Техника!$H$1:$ABO$500,Y$2,0),"М")</f>
        <v>0</v>
      </c>
      <c r="Z173" s="50">
        <f>SUMIFS(INDEX(Техника!$F$1:$ABM$500,Z$2,0),Техника!$F$4:$ABM$4,"Часы",INDEX(Техника!$G$1:$ABN$500,Z$2,0),$A$172,INDEX(Техника!$H$1:$ABO$500,Z$2,0),"М")</f>
        <v>0</v>
      </c>
      <c r="AA173" s="50">
        <f>SUMIFS(INDEX(Техника!$F$1:$ABM$500,AA$2,0),Техника!$F$4:$ABM$4,"Часы",INDEX(Техника!$G$1:$ABN$500,AA$2,0),$A$172,INDEX(Техника!$H$1:$ABO$500,AA$2,0),"М")</f>
        <v>0</v>
      </c>
      <c r="AB173" s="50">
        <f>SUMIFS(INDEX(Техника!$F$1:$ABM$500,AB$2,0),Техника!$F$4:$ABM$4,"Часы",INDEX(Техника!$G$1:$ABN$500,AB$2,0),$A$172,INDEX(Техника!$H$1:$ABO$500,AB$2,0),"М")</f>
        <v>0</v>
      </c>
    </row>
    <row r="174" spans="1:28" hidden="1" outlineLevel="1" x14ac:dyDescent="0.3">
      <c r="A174" s="33" t="s">
        <v>244</v>
      </c>
      <c r="B174" s="34" t="s">
        <v>275</v>
      </c>
      <c r="C174" s="50">
        <f>SUMIFS(INDEX(Техника!$F$1:$ABM$500,C$2,0),Техника!$F$4:$ABM$4,"Часы",INDEX(Техника!$G$1:$ABN$500,C$2,0),$A$172,INDEX(Техника!$H$1:$ABO$500,C$2,0),"Д")</f>
        <v>0</v>
      </c>
      <c r="D174" s="50">
        <f>SUMIFS(INDEX(Техника!$F$1:$ABM$500,D$2,0),Техника!$F$4:$ABM$4,"Часы",INDEX(Техника!$G$1:$ABN$500,D$2,0),$A$172,INDEX(Техника!$H$1:$ABO$500,D$2,0),"Д")</f>
        <v>0</v>
      </c>
      <c r="E174" s="50">
        <f>SUMIFS(INDEX(Техника!$F$1:$ABM$500,E$2,0),Техника!$F$4:$ABM$4,"Часы",INDEX(Техника!$G$1:$ABN$500,E$2,0),$A$172,INDEX(Техника!$H$1:$ABO$500,E$2,0),"Д")</f>
        <v>0</v>
      </c>
      <c r="F174" s="50">
        <f>SUMIFS(INDEX(Техника!$F$1:$ABM$500,F$2,0),Техника!$F$4:$ABM$4,"Часы",INDEX(Техника!$G$1:$ABN$500,F$2,0),$A$172,INDEX(Техника!$H$1:$ABO$500,F$2,0),"Д")</f>
        <v>0</v>
      </c>
      <c r="G174" s="50">
        <f>SUMIFS(INDEX(Техника!$F$1:$ABM$500,G$2,0),Техника!$F$4:$ABM$4,"Часы",INDEX(Техника!$G$1:$ABN$500,G$2,0),$A$172,INDEX(Техника!$H$1:$ABO$500,G$2,0),"Д")</f>
        <v>0</v>
      </c>
      <c r="H174" s="50">
        <f>SUMIFS(INDEX(Техника!$F$1:$ABM$500,H$2,0),Техника!$F$4:$ABM$4,"Часы",INDEX(Техника!$G$1:$ABN$500,H$2,0),$A$172,INDEX(Техника!$H$1:$ABO$500,H$2,0),"Д")</f>
        <v>0</v>
      </c>
      <c r="I174" s="50">
        <f>SUMIFS(INDEX(Техника!$F$1:$ABM$500,I$2,0),Техника!$F$4:$ABM$4,"Часы",INDEX(Техника!$G$1:$ABN$500,I$2,0),$A$172,INDEX(Техника!$H$1:$ABO$500,I$2,0),"Д")</f>
        <v>0</v>
      </c>
      <c r="J174" s="50">
        <f>SUMIFS(INDEX(Техника!$F$1:$ABM$500,J$2,0),Техника!$F$4:$ABM$4,"Часы",INDEX(Техника!$G$1:$ABN$500,J$2,0),$A$172,INDEX(Техника!$H$1:$ABO$500,J$2,0),"Д")</f>
        <v>0</v>
      </c>
      <c r="K174" s="50">
        <f>SUMIFS(INDEX(Техника!$F$1:$ABM$500,K$2,0),Техника!$F$4:$ABM$4,"Часы",INDEX(Техника!$G$1:$ABN$500,K$2,0),$A$172,INDEX(Техника!$H$1:$ABO$500,K$2,0),"Д")</f>
        <v>0</v>
      </c>
      <c r="L174" s="50">
        <f>SUMIFS(INDEX(Техника!$F$1:$ABM$500,L$2,0),Техника!$F$4:$ABM$4,"Часы",INDEX(Техника!$G$1:$ABN$500,L$2,0),$A$172,INDEX(Техника!$H$1:$ABO$500,L$2,0),"Д")</f>
        <v>0</v>
      </c>
      <c r="M174" s="50">
        <f>SUMIFS(INDEX(Техника!$F$1:$ABM$500,M$2,0),Техника!$F$4:$ABM$4,"Часы",INDEX(Техника!$G$1:$ABN$500,M$2,0),$A$172,INDEX(Техника!$H$1:$ABO$500,M$2,0),"Д")</f>
        <v>0</v>
      </c>
      <c r="N174" s="50">
        <f>SUMIFS(INDEX(Техника!$F$1:$ABM$500,N$2,0),Техника!$F$4:$ABM$4,"Часы",INDEX(Техника!$G$1:$ABN$500,N$2,0),$A$172,INDEX(Техника!$H$1:$ABO$500,N$2,0),"Д")</f>
        <v>0</v>
      </c>
      <c r="O174" s="50">
        <f>SUMIFS(INDEX(Техника!$F$1:$ABM$500,O$2,0),Техника!$F$4:$ABM$4,"Часы",INDEX(Техника!$G$1:$ABN$500,O$2,0),$A$172,INDEX(Техника!$H$1:$ABO$500,O$2,0),"Д")</f>
        <v>0</v>
      </c>
      <c r="P174" s="50">
        <f>SUMIFS(INDEX(Техника!$F$1:$ABM$500,P$2,0),Техника!$F$4:$ABM$4,"Часы",INDEX(Техника!$G$1:$ABN$500,P$2,0),$A$172,INDEX(Техника!$H$1:$ABO$500,P$2,0),"Д")</f>
        <v>0</v>
      </c>
      <c r="Q174" s="50">
        <f>SUMIFS(INDEX(Техника!$F$1:$ABM$500,Q$2,0),Техника!$F$4:$ABM$4,"Часы",INDEX(Техника!$G$1:$ABN$500,Q$2,0),$A$172,INDEX(Техника!$H$1:$ABO$500,Q$2,0),"Д")</f>
        <v>0</v>
      </c>
      <c r="R174" s="50">
        <f>SUMIFS(INDEX(Техника!$F$1:$ABM$500,R$2,0),Техника!$F$4:$ABM$4,"Часы",INDEX(Техника!$G$1:$ABN$500,R$2,0),$A$172,INDEX(Техника!$H$1:$ABO$500,R$2,0),"Д")</f>
        <v>0</v>
      </c>
      <c r="S174" s="50">
        <f>SUMIFS(INDEX(Техника!$F$1:$ABM$500,S$2,0),Техника!$F$4:$ABM$4,"Часы",INDEX(Техника!$G$1:$ABN$500,S$2,0),$A$172,INDEX(Техника!$H$1:$ABO$500,S$2,0),"Д")</f>
        <v>0</v>
      </c>
      <c r="T174" s="50">
        <f>SUMIFS(INDEX(Техника!$F$1:$ABM$500,T$2,0),Техника!$F$4:$ABM$4,"Часы",INDEX(Техника!$G$1:$ABN$500,T$2,0),$A$172,INDEX(Техника!$H$1:$ABO$500,T$2,0),"Д")</f>
        <v>0</v>
      </c>
      <c r="U174" s="50">
        <f>SUMIFS(INDEX(Техника!$F$1:$ABM$500,U$2,0),Техника!$F$4:$ABM$4,"Часы",INDEX(Техника!$G$1:$ABN$500,U$2,0),$A$172,INDEX(Техника!$H$1:$ABO$500,U$2,0),"Д")</f>
        <v>0</v>
      </c>
      <c r="V174" s="50">
        <f>SUMIFS(INDEX(Техника!$F$1:$ABM$500,V$2,0),Техника!$F$4:$ABM$4,"Часы",INDEX(Техника!$G$1:$ABN$500,V$2,0),$A$172,INDEX(Техника!$H$1:$ABO$500,V$2,0),"Д")</f>
        <v>0</v>
      </c>
      <c r="W174" s="50">
        <f>SUMIFS(INDEX(Техника!$F$1:$ABM$500,W$2,0),Техника!$F$4:$ABM$4,"Часы",INDEX(Техника!$G$1:$ABN$500,W$2,0),$A$172,INDEX(Техника!$H$1:$ABO$500,W$2,0),"Д")</f>
        <v>0</v>
      </c>
      <c r="X174" s="50">
        <f>SUMIFS(INDEX(Техника!$F$1:$ABM$500,X$2,0),Техника!$F$4:$ABM$4,"Часы",INDEX(Техника!$G$1:$ABN$500,X$2,0),$A$172,INDEX(Техника!$H$1:$ABO$500,X$2,0),"Д")</f>
        <v>0</v>
      </c>
      <c r="Y174" s="50">
        <f>SUMIFS(INDEX(Техника!$F$1:$ABM$500,Y$2,0),Техника!$F$4:$ABM$4,"Часы",INDEX(Техника!$G$1:$ABN$500,Y$2,0),$A$172,INDEX(Техника!$H$1:$ABO$500,Y$2,0),"Д")</f>
        <v>0</v>
      </c>
      <c r="Z174" s="50">
        <f>SUMIFS(INDEX(Техника!$F$1:$ABM$500,Z$2,0),Техника!$F$4:$ABM$4,"Часы",INDEX(Техника!$G$1:$ABN$500,Z$2,0),$A$172,INDEX(Техника!$H$1:$ABO$500,Z$2,0),"Д")</f>
        <v>0</v>
      </c>
      <c r="AA174" s="50">
        <f>SUMIFS(INDEX(Техника!$F$1:$ABM$500,AA$2,0),Техника!$F$4:$ABM$4,"Часы",INDEX(Техника!$G$1:$ABN$500,AA$2,0),$A$172,INDEX(Техника!$H$1:$ABO$500,AA$2,0),"Д")</f>
        <v>0</v>
      </c>
      <c r="AB174" s="50">
        <f>SUMIFS(INDEX(Техника!$F$1:$ABM$500,AB$2,0),Техника!$F$4:$ABM$4,"Часы",INDEX(Техника!$G$1:$ABN$500,AB$2,0),$A$172,INDEX(Техника!$H$1:$ABO$500,AB$2,0),"Д")</f>
        <v>0</v>
      </c>
    </row>
    <row r="175" spans="1:28" hidden="1" outlineLevel="1" x14ac:dyDescent="0.3">
      <c r="A175" s="33" t="s">
        <v>276</v>
      </c>
      <c r="B175" s="34" t="s">
        <v>277</v>
      </c>
      <c r="C175" s="50">
        <f>SUMIFS(INDEX(Техника!$F$1:$ABM$500,C$2,0),Техника!$F$4:$ABM$4,"Часы",INDEX(Техника!$G$1:$ABN$500,C$2,0),$A$172,INDEX(Техника!$H$1:$ABO$500,C$2,0),"П")</f>
        <v>0</v>
      </c>
      <c r="D175" s="50">
        <f>SUMIFS(INDEX(Техника!$F$1:$ABM$500,D$2,0),Техника!$F$4:$ABM$4,"Часы",INDEX(Техника!$G$1:$ABN$500,D$2,0),$A$172,INDEX(Техника!$H$1:$ABO$500,D$2,0),"П")</f>
        <v>0</v>
      </c>
      <c r="E175" s="50">
        <f>SUMIFS(INDEX(Техника!$F$1:$ABM$500,E$2,0),Техника!$F$4:$ABM$4,"Часы",INDEX(Техника!$G$1:$ABN$500,E$2,0),$A$172,INDEX(Техника!$H$1:$ABO$500,E$2,0),"П")</f>
        <v>0</v>
      </c>
      <c r="F175" s="50">
        <f>SUMIFS(INDEX(Техника!$F$1:$ABM$500,F$2,0),Техника!$F$4:$ABM$4,"Часы",INDEX(Техника!$G$1:$ABN$500,F$2,0),$A$172,INDEX(Техника!$H$1:$ABO$500,F$2,0),"П")</f>
        <v>0</v>
      </c>
      <c r="G175" s="50">
        <f>SUMIFS(INDEX(Техника!$F$1:$ABM$500,G$2,0),Техника!$F$4:$ABM$4,"Часы",INDEX(Техника!$G$1:$ABN$500,G$2,0),$A$172,INDEX(Техника!$H$1:$ABO$500,G$2,0),"П")</f>
        <v>0</v>
      </c>
      <c r="H175" s="50">
        <f>SUMIFS(INDEX(Техника!$F$1:$ABM$500,H$2,0),Техника!$F$4:$ABM$4,"Часы",INDEX(Техника!$G$1:$ABN$500,H$2,0),$A$172,INDEX(Техника!$H$1:$ABO$500,H$2,0),"П")</f>
        <v>0</v>
      </c>
      <c r="I175" s="50">
        <f>SUMIFS(INDEX(Техника!$F$1:$ABM$500,I$2,0),Техника!$F$4:$ABM$4,"Часы",INDEX(Техника!$G$1:$ABN$500,I$2,0),$A$172,INDEX(Техника!$H$1:$ABO$500,I$2,0),"П")</f>
        <v>0</v>
      </c>
      <c r="J175" s="50">
        <f>SUMIFS(INDEX(Техника!$F$1:$ABM$500,J$2,0),Техника!$F$4:$ABM$4,"Часы",INDEX(Техника!$G$1:$ABN$500,J$2,0),$A$172,INDEX(Техника!$H$1:$ABO$500,J$2,0),"П")</f>
        <v>0</v>
      </c>
      <c r="K175" s="50">
        <f>SUMIFS(INDEX(Техника!$F$1:$ABM$500,K$2,0),Техника!$F$4:$ABM$4,"Часы",INDEX(Техника!$G$1:$ABN$500,K$2,0),$A$172,INDEX(Техника!$H$1:$ABO$500,K$2,0),"П")</f>
        <v>0</v>
      </c>
      <c r="L175" s="50">
        <f>SUMIFS(INDEX(Техника!$F$1:$ABM$500,L$2,0),Техника!$F$4:$ABM$4,"Часы",INDEX(Техника!$G$1:$ABN$500,L$2,0),$A$172,INDEX(Техника!$H$1:$ABO$500,L$2,0),"П")</f>
        <v>0</v>
      </c>
      <c r="M175" s="50">
        <f>SUMIFS(INDEX(Техника!$F$1:$ABM$500,M$2,0),Техника!$F$4:$ABM$4,"Часы",INDEX(Техника!$G$1:$ABN$500,M$2,0),$A$172,INDEX(Техника!$H$1:$ABO$500,M$2,0),"П")</f>
        <v>0</v>
      </c>
      <c r="N175" s="50">
        <f>SUMIFS(INDEX(Техника!$F$1:$ABM$500,N$2,0),Техника!$F$4:$ABM$4,"Часы",INDEX(Техника!$G$1:$ABN$500,N$2,0),$A$172,INDEX(Техника!$H$1:$ABO$500,N$2,0),"П")</f>
        <v>0</v>
      </c>
      <c r="O175" s="50">
        <f>SUMIFS(INDEX(Техника!$F$1:$ABM$500,O$2,0),Техника!$F$4:$ABM$4,"Часы",INDEX(Техника!$G$1:$ABN$500,O$2,0),$A$172,INDEX(Техника!$H$1:$ABO$500,O$2,0),"П")</f>
        <v>0</v>
      </c>
      <c r="P175" s="50">
        <f>SUMIFS(INDEX(Техника!$F$1:$ABM$500,P$2,0),Техника!$F$4:$ABM$4,"Часы",INDEX(Техника!$G$1:$ABN$500,P$2,0),$A$172,INDEX(Техника!$H$1:$ABO$500,P$2,0),"П")</f>
        <v>0</v>
      </c>
      <c r="Q175" s="50">
        <f>SUMIFS(INDEX(Техника!$F$1:$ABM$500,Q$2,0),Техника!$F$4:$ABM$4,"Часы",INDEX(Техника!$G$1:$ABN$500,Q$2,0),$A$172,INDEX(Техника!$H$1:$ABO$500,Q$2,0),"П")</f>
        <v>0</v>
      </c>
      <c r="R175" s="50">
        <f>SUMIFS(INDEX(Техника!$F$1:$ABM$500,R$2,0),Техника!$F$4:$ABM$4,"Часы",INDEX(Техника!$G$1:$ABN$500,R$2,0),$A$172,INDEX(Техника!$H$1:$ABO$500,R$2,0),"П")</f>
        <v>0</v>
      </c>
      <c r="S175" s="50">
        <f>SUMIFS(INDEX(Техника!$F$1:$ABM$500,S$2,0),Техника!$F$4:$ABM$4,"Часы",INDEX(Техника!$G$1:$ABN$500,S$2,0),$A$172,INDEX(Техника!$H$1:$ABO$500,S$2,0),"П")</f>
        <v>0</v>
      </c>
      <c r="T175" s="50">
        <f>SUMIFS(INDEX(Техника!$F$1:$ABM$500,T$2,0),Техника!$F$4:$ABM$4,"Часы",INDEX(Техника!$G$1:$ABN$500,T$2,0),$A$172,INDEX(Техника!$H$1:$ABO$500,T$2,0),"П")</f>
        <v>0</v>
      </c>
      <c r="U175" s="50">
        <f>SUMIFS(INDEX(Техника!$F$1:$ABM$500,U$2,0),Техника!$F$4:$ABM$4,"Часы",INDEX(Техника!$G$1:$ABN$500,U$2,0),$A$172,INDEX(Техника!$H$1:$ABO$500,U$2,0),"П")</f>
        <v>0</v>
      </c>
      <c r="V175" s="50">
        <f>SUMIFS(INDEX(Техника!$F$1:$ABM$500,V$2,0),Техника!$F$4:$ABM$4,"Часы",INDEX(Техника!$G$1:$ABN$500,V$2,0),$A$172,INDEX(Техника!$H$1:$ABO$500,V$2,0),"П")</f>
        <v>0</v>
      </c>
      <c r="W175" s="50">
        <f>SUMIFS(INDEX(Техника!$F$1:$ABM$500,W$2,0),Техника!$F$4:$ABM$4,"Часы",INDEX(Техника!$G$1:$ABN$500,W$2,0),$A$172,INDEX(Техника!$H$1:$ABO$500,W$2,0),"П")</f>
        <v>0</v>
      </c>
      <c r="X175" s="50">
        <f>SUMIFS(INDEX(Техника!$F$1:$ABM$500,X$2,0),Техника!$F$4:$ABM$4,"Часы",INDEX(Техника!$G$1:$ABN$500,X$2,0),$A$172,INDEX(Техника!$H$1:$ABO$500,X$2,0),"П")</f>
        <v>0</v>
      </c>
      <c r="Y175" s="50">
        <f>SUMIFS(INDEX(Техника!$F$1:$ABM$500,Y$2,0),Техника!$F$4:$ABM$4,"Часы",INDEX(Техника!$G$1:$ABN$500,Y$2,0),$A$172,INDEX(Техника!$H$1:$ABO$500,Y$2,0),"П")</f>
        <v>0</v>
      </c>
      <c r="Z175" s="50">
        <f>SUMIFS(INDEX(Техника!$F$1:$ABM$500,Z$2,0),Техника!$F$4:$ABM$4,"Часы",INDEX(Техника!$G$1:$ABN$500,Z$2,0),$A$172,INDEX(Техника!$H$1:$ABO$500,Z$2,0),"П")</f>
        <v>0</v>
      </c>
      <c r="AA175" s="50">
        <f>SUMIFS(INDEX(Техника!$F$1:$ABM$500,AA$2,0),Техника!$F$4:$ABM$4,"Часы",INDEX(Техника!$G$1:$ABN$500,AA$2,0),$A$172,INDEX(Техника!$H$1:$ABO$500,AA$2,0),"П")</f>
        <v>0</v>
      </c>
      <c r="AB175" s="50">
        <f>SUMIFS(INDEX(Техника!$F$1:$ABM$500,AB$2,0),Техника!$F$4:$ABM$4,"Часы",INDEX(Техника!$G$1:$ABN$500,AB$2,0),$A$172,INDEX(Техника!$H$1:$ABO$500,AB$2,0),"П")</f>
        <v>0</v>
      </c>
    </row>
    <row r="176" spans="1:28" hidden="1" outlineLevel="1" x14ac:dyDescent="0.3">
      <c r="A176" s="33" t="s">
        <v>243</v>
      </c>
      <c r="B176" s="34" t="s">
        <v>278</v>
      </c>
      <c r="C176" s="50">
        <f>SUMIFS(INDEX(Техника!$F$1:$ABM$500,C$2,0),Техника!$F$4:$ABM$4,"Часы",INDEX(Техника!$G$1:$ABN$500,C$2,0),$A$172,INDEX(Техника!$H$1:$ABO$500,C$2,0),"Л")</f>
        <v>0</v>
      </c>
      <c r="D176" s="50">
        <f>SUMIFS(INDEX(Техника!$F$1:$ABM$500,D$2,0),Техника!$F$4:$ABM$4,"Часы",INDEX(Техника!$G$1:$ABN$500,D$2,0),$A$172,INDEX(Техника!$H$1:$ABO$500,D$2,0),"Л")</f>
        <v>0</v>
      </c>
      <c r="E176" s="50">
        <f>SUMIFS(INDEX(Техника!$F$1:$ABM$500,E$2,0),Техника!$F$4:$ABM$4,"Часы",INDEX(Техника!$G$1:$ABN$500,E$2,0),$A$172,INDEX(Техника!$H$1:$ABO$500,E$2,0),"Л")</f>
        <v>0</v>
      </c>
      <c r="F176" s="50">
        <f>SUMIFS(INDEX(Техника!$F$1:$ABM$500,F$2,0),Техника!$F$4:$ABM$4,"Часы",INDEX(Техника!$G$1:$ABN$500,F$2,0),$A$172,INDEX(Техника!$H$1:$ABO$500,F$2,0),"Л")</f>
        <v>0</v>
      </c>
      <c r="G176" s="50">
        <f>SUMIFS(INDEX(Техника!$F$1:$ABM$500,G$2,0),Техника!$F$4:$ABM$4,"Часы",INDEX(Техника!$G$1:$ABN$500,G$2,0),$A$172,INDEX(Техника!$H$1:$ABO$500,G$2,0),"Л")</f>
        <v>0</v>
      </c>
      <c r="H176" s="50">
        <f>SUMIFS(INDEX(Техника!$F$1:$ABM$500,H$2,0),Техника!$F$4:$ABM$4,"Часы",INDEX(Техника!$G$1:$ABN$500,H$2,0),$A$172,INDEX(Техника!$H$1:$ABO$500,H$2,0),"Л")</f>
        <v>0</v>
      </c>
      <c r="I176" s="50">
        <f>SUMIFS(INDEX(Техника!$F$1:$ABM$500,I$2,0),Техника!$F$4:$ABM$4,"Часы",INDEX(Техника!$G$1:$ABN$500,I$2,0),$A$172,INDEX(Техника!$H$1:$ABO$500,I$2,0),"Л")</f>
        <v>0</v>
      </c>
      <c r="J176" s="50">
        <f>SUMIFS(INDEX(Техника!$F$1:$ABM$500,J$2,0),Техника!$F$4:$ABM$4,"Часы",INDEX(Техника!$G$1:$ABN$500,J$2,0),$A$172,INDEX(Техника!$H$1:$ABO$500,J$2,0),"Л")</f>
        <v>0</v>
      </c>
      <c r="K176" s="50">
        <f>SUMIFS(INDEX(Техника!$F$1:$ABM$500,K$2,0),Техника!$F$4:$ABM$4,"Часы",INDEX(Техника!$G$1:$ABN$500,K$2,0),$A$172,INDEX(Техника!$H$1:$ABO$500,K$2,0),"Л")</f>
        <v>0</v>
      </c>
      <c r="L176" s="50">
        <f>SUMIFS(INDEX(Техника!$F$1:$ABM$500,L$2,0),Техника!$F$4:$ABM$4,"Часы",INDEX(Техника!$G$1:$ABN$500,L$2,0),$A$172,INDEX(Техника!$H$1:$ABO$500,L$2,0),"Л")</f>
        <v>0</v>
      </c>
      <c r="M176" s="50">
        <f>SUMIFS(INDEX(Техника!$F$1:$ABM$500,M$2,0),Техника!$F$4:$ABM$4,"Часы",INDEX(Техника!$G$1:$ABN$500,M$2,0),$A$172,INDEX(Техника!$H$1:$ABO$500,M$2,0),"Л")</f>
        <v>0</v>
      </c>
      <c r="N176" s="50">
        <f>SUMIFS(INDEX(Техника!$F$1:$ABM$500,N$2,0),Техника!$F$4:$ABM$4,"Часы",INDEX(Техника!$G$1:$ABN$500,N$2,0),$A$172,INDEX(Техника!$H$1:$ABO$500,N$2,0),"Л")</f>
        <v>0</v>
      </c>
      <c r="O176" s="50">
        <f>SUMIFS(INDEX(Техника!$F$1:$ABM$500,O$2,0),Техника!$F$4:$ABM$4,"Часы",INDEX(Техника!$G$1:$ABN$500,O$2,0),$A$172,INDEX(Техника!$H$1:$ABO$500,O$2,0),"Л")</f>
        <v>0</v>
      </c>
      <c r="P176" s="50">
        <f>SUMIFS(INDEX(Техника!$F$1:$ABM$500,P$2,0),Техника!$F$4:$ABM$4,"Часы",INDEX(Техника!$G$1:$ABN$500,P$2,0),$A$172,INDEX(Техника!$H$1:$ABO$500,P$2,0),"Л")</f>
        <v>0</v>
      </c>
      <c r="Q176" s="50">
        <f>SUMIFS(INDEX(Техника!$F$1:$ABM$500,Q$2,0),Техника!$F$4:$ABM$4,"Часы",INDEX(Техника!$G$1:$ABN$500,Q$2,0),$A$172,INDEX(Техника!$H$1:$ABO$500,Q$2,0),"Л")</f>
        <v>0</v>
      </c>
      <c r="R176" s="50">
        <f>SUMIFS(INDEX(Техника!$F$1:$ABM$500,R$2,0),Техника!$F$4:$ABM$4,"Часы",INDEX(Техника!$G$1:$ABN$500,R$2,0),$A$172,INDEX(Техника!$H$1:$ABO$500,R$2,0),"Л")</f>
        <v>0</v>
      </c>
      <c r="S176" s="50">
        <f>SUMIFS(INDEX(Техника!$F$1:$ABM$500,S$2,0),Техника!$F$4:$ABM$4,"Часы",INDEX(Техника!$G$1:$ABN$500,S$2,0),$A$172,INDEX(Техника!$H$1:$ABO$500,S$2,0),"Л")</f>
        <v>0</v>
      </c>
      <c r="T176" s="50">
        <f>SUMIFS(INDEX(Техника!$F$1:$ABM$500,T$2,0),Техника!$F$4:$ABM$4,"Часы",INDEX(Техника!$G$1:$ABN$500,T$2,0),$A$172,INDEX(Техника!$H$1:$ABO$500,T$2,0),"Л")</f>
        <v>0</v>
      </c>
      <c r="U176" s="50">
        <f>SUMIFS(INDEX(Техника!$F$1:$ABM$500,U$2,0),Техника!$F$4:$ABM$4,"Часы",INDEX(Техника!$G$1:$ABN$500,U$2,0),$A$172,INDEX(Техника!$H$1:$ABO$500,U$2,0),"Л")</f>
        <v>0</v>
      </c>
      <c r="V176" s="50">
        <f>SUMIFS(INDEX(Техника!$F$1:$ABM$500,V$2,0),Техника!$F$4:$ABM$4,"Часы",INDEX(Техника!$G$1:$ABN$500,V$2,0),$A$172,INDEX(Техника!$H$1:$ABO$500,V$2,0),"Л")</f>
        <v>0</v>
      </c>
      <c r="W176" s="50">
        <f>SUMIFS(INDEX(Техника!$F$1:$ABM$500,W$2,0),Техника!$F$4:$ABM$4,"Часы",INDEX(Техника!$G$1:$ABN$500,W$2,0),$A$172,INDEX(Техника!$H$1:$ABO$500,W$2,0),"Л")</f>
        <v>0</v>
      </c>
      <c r="X176" s="50">
        <f>SUMIFS(INDEX(Техника!$F$1:$ABM$500,X$2,0),Техника!$F$4:$ABM$4,"Часы",INDEX(Техника!$G$1:$ABN$500,X$2,0),$A$172,INDEX(Техника!$H$1:$ABO$500,X$2,0),"Л")</f>
        <v>0</v>
      </c>
      <c r="Y176" s="50">
        <f>SUMIFS(INDEX(Техника!$F$1:$ABM$500,Y$2,0),Техника!$F$4:$ABM$4,"Часы",INDEX(Техника!$G$1:$ABN$500,Y$2,0),$A$172,INDEX(Техника!$H$1:$ABO$500,Y$2,0),"Л")</f>
        <v>0</v>
      </c>
      <c r="Z176" s="50">
        <f>SUMIFS(INDEX(Техника!$F$1:$ABM$500,Z$2,0),Техника!$F$4:$ABM$4,"Часы",INDEX(Техника!$G$1:$ABN$500,Z$2,0),$A$172,INDEX(Техника!$H$1:$ABO$500,Z$2,0),"Л")</f>
        <v>0</v>
      </c>
      <c r="AA176" s="50">
        <f>SUMIFS(INDEX(Техника!$F$1:$ABM$500,AA$2,0),Техника!$F$4:$ABM$4,"Часы",INDEX(Техника!$G$1:$ABN$500,AA$2,0),$A$172,INDEX(Техника!$H$1:$ABO$500,AA$2,0),"Л")</f>
        <v>0</v>
      </c>
      <c r="AB176" s="50">
        <f>SUMIFS(INDEX(Техника!$F$1:$ABM$500,AB$2,0),Техника!$F$4:$ABM$4,"Часы",INDEX(Техника!$G$1:$ABN$500,AB$2,0),$A$172,INDEX(Техника!$H$1:$ABO$500,AB$2,0),"Л")</f>
        <v>0</v>
      </c>
    </row>
    <row r="177" spans="1:28" hidden="1" outlineLevel="1" x14ac:dyDescent="0.3">
      <c r="A177" s="33" t="s">
        <v>245</v>
      </c>
      <c r="B177" s="34" t="s">
        <v>279</v>
      </c>
      <c r="C177" s="50">
        <f>SUMIFS(INDEX(Техника!$F$1:$ABM$500,C$2,0),Техника!$F$4:$ABM$4,"Часы",INDEX(Техника!$G$1:$ABN$500,C$2,0),$A$172,INDEX(Техника!$H$1:$ABO$500,C$2,0),"З")</f>
        <v>0</v>
      </c>
      <c r="D177" s="50">
        <f>SUMIFS(INDEX(Техника!$F$1:$ABM$500,D$2,0),Техника!$F$4:$ABM$4,"Часы",INDEX(Техника!$G$1:$ABN$500,D$2,0),$A$172,INDEX(Техника!$H$1:$ABO$500,D$2,0),"З")</f>
        <v>0</v>
      </c>
      <c r="E177" s="50">
        <f>SUMIFS(INDEX(Техника!$F$1:$ABM$500,E$2,0),Техника!$F$4:$ABM$4,"Часы",INDEX(Техника!$G$1:$ABN$500,E$2,0),$A$172,INDEX(Техника!$H$1:$ABO$500,E$2,0),"З")</f>
        <v>0</v>
      </c>
      <c r="F177" s="50">
        <f>SUMIFS(INDEX(Техника!$F$1:$ABM$500,F$2,0),Техника!$F$4:$ABM$4,"Часы",INDEX(Техника!$G$1:$ABN$500,F$2,0),$A$172,INDEX(Техника!$H$1:$ABO$500,F$2,0),"З")</f>
        <v>0</v>
      </c>
      <c r="G177" s="50">
        <f>SUMIFS(INDEX(Техника!$F$1:$ABM$500,G$2,0),Техника!$F$4:$ABM$4,"Часы",INDEX(Техника!$G$1:$ABN$500,G$2,0),$A$172,INDEX(Техника!$H$1:$ABO$500,G$2,0),"З")</f>
        <v>0</v>
      </c>
      <c r="H177" s="50">
        <f>SUMIFS(INDEX(Техника!$F$1:$ABM$500,H$2,0),Техника!$F$4:$ABM$4,"Часы",INDEX(Техника!$G$1:$ABN$500,H$2,0),$A$172,INDEX(Техника!$H$1:$ABO$500,H$2,0),"З")</f>
        <v>0</v>
      </c>
      <c r="I177" s="50">
        <f>SUMIFS(INDEX(Техника!$F$1:$ABM$500,I$2,0),Техника!$F$4:$ABM$4,"Часы",INDEX(Техника!$G$1:$ABN$500,I$2,0),$A$172,INDEX(Техника!$H$1:$ABO$500,I$2,0),"З")</f>
        <v>0</v>
      </c>
      <c r="J177" s="50">
        <f>SUMIFS(INDEX(Техника!$F$1:$ABM$500,J$2,0),Техника!$F$4:$ABM$4,"Часы",INDEX(Техника!$G$1:$ABN$500,J$2,0),$A$172,INDEX(Техника!$H$1:$ABO$500,J$2,0),"З")</f>
        <v>0</v>
      </c>
      <c r="K177" s="50">
        <f>SUMIFS(INDEX(Техника!$F$1:$ABM$500,K$2,0),Техника!$F$4:$ABM$4,"Часы",INDEX(Техника!$G$1:$ABN$500,K$2,0),$A$172,INDEX(Техника!$H$1:$ABO$500,K$2,0),"З")</f>
        <v>0</v>
      </c>
      <c r="L177" s="50">
        <f>SUMIFS(INDEX(Техника!$F$1:$ABM$500,L$2,0),Техника!$F$4:$ABM$4,"Часы",INDEX(Техника!$G$1:$ABN$500,L$2,0),$A$172,INDEX(Техника!$H$1:$ABO$500,L$2,0),"З")</f>
        <v>0</v>
      </c>
      <c r="M177" s="50">
        <f>SUMIFS(INDEX(Техника!$F$1:$ABM$500,M$2,0),Техника!$F$4:$ABM$4,"Часы",INDEX(Техника!$G$1:$ABN$500,M$2,0),$A$172,INDEX(Техника!$H$1:$ABO$500,M$2,0),"З")</f>
        <v>0</v>
      </c>
      <c r="N177" s="50">
        <f>SUMIFS(INDEX(Техника!$F$1:$ABM$500,N$2,0),Техника!$F$4:$ABM$4,"Часы",INDEX(Техника!$G$1:$ABN$500,N$2,0),$A$172,INDEX(Техника!$H$1:$ABO$500,N$2,0),"З")</f>
        <v>0</v>
      </c>
      <c r="O177" s="50">
        <f>SUMIFS(INDEX(Техника!$F$1:$ABM$500,O$2,0),Техника!$F$4:$ABM$4,"Часы",INDEX(Техника!$G$1:$ABN$500,O$2,0),$A$172,INDEX(Техника!$H$1:$ABO$500,O$2,0),"З")</f>
        <v>0</v>
      </c>
      <c r="P177" s="50">
        <f>SUMIFS(INDEX(Техника!$F$1:$ABM$500,P$2,0),Техника!$F$4:$ABM$4,"Часы",INDEX(Техника!$G$1:$ABN$500,P$2,0),$A$172,INDEX(Техника!$H$1:$ABO$500,P$2,0),"З")</f>
        <v>0</v>
      </c>
      <c r="Q177" s="50">
        <f>SUMIFS(INDEX(Техника!$F$1:$ABM$500,Q$2,0),Техника!$F$4:$ABM$4,"Часы",INDEX(Техника!$G$1:$ABN$500,Q$2,0),$A$172,INDEX(Техника!$H$1:$ABO$500,Q$2,0),"З")</f>
        <v>0</v>
      </c>
      <c r="R177" s="50">
        <f>SUMIFS(INDEX(Техника!$F$1:$ABM$500,R$2,0),Техника!$F$4:$ABM$4,"Часы",INDEX(Техника!$G$1:$ABN$500,R$2,0),$A$172,INDEX(Техника!$H$1:$ABO$500,R$2,0),"З")</f>
        <v>0</v>
      </c>
      <c r="S177" s="50">
        <f>SUMIFS(INDEX(Техника!$F$1:$ABM$500,S$2,0),Техника!$F$4:$ABM$4,"Часы",INDEX(Техника!$G$1:$ABN$500,S$2,0),$A$172,INDEX(Техника!$H$1:$ABO$500,S$2,0),"З")</f>
        <v>0</v>
      </c>
      <c r="T177" s="50">
        <f>SUMIFS(INDEX(Техника!$F$1:$ABM$500,T$2,0),Техника!$F$4:$ABM$4,"Часы",INDEX(Техника!$G$1:$ABN$500,T$2,0),$A$172,INDEX(Техника!$H$1:$ABO$500,T$2,0),"З")</f>
        <v>0</v>
      </c>
      <c r="U177" s="50">
        <f>SUMIFS(INDEX(Техника!$F$1:$ABM$500,U$2,0),Техника!$F$4:$ABM$4,"Часы",INDEX(Техника!$G$1:$ABN$500,U$2,0),$A$172,INDEX(Техника!$H$1:$ABO$500,U$2,0),"З")</f>
        <v>0</v>
      </c>
      <c r="V177" s="50">
        <f>SUMIFS(INDEX(Техника!$F$1:$ABM$500,V$2,0),Техника!$F$4:$ABM$4,"Часы",INDEX(Техника!$G$1:$ABN$500,V$2,0),$A$172,INDEX(Техника!$H$1:$ABO$500,V$2,0),"З")</f>
        <v>0</v>
      </c>
      <c r="W177" s="50">
        <f>SUMIFS(INDEX(Техника!$F$1:$ABM$500,W$2,0),Техника!$F$4:$ABM$4,"Часы",INDEX(Техника!$G$1:$ABN$500,W$2,0),$A$172,INDEX(Техника!$H$1:$ABO$500,W$2,0),"З")</f>
        <v>0</v>
      </c>
      <c r="X177" s="50">
        <f>SUMIFS(INDEX(Техника!$F$1:$ABM$500,X$2,0),Техника!$F$4:$ABM$4,"Часы",INDEX(Техника!$G$1:$ABN$500,X$2,0),$A$172,INDEX(Техника!$H$1:$ABO$500,X$2,0),"З")</f>
        <v>0</v>
      </c>
      <c r="Y177" s="50">
        <f>SUMIFS(INDEX(Техника!$F$1:$ABM$500,Y$2,0),Техника!$F$4:$ABM$4,"Часы",INDEX(Техника!$G$1:$ABN$500,Y$2,0),$A$172,INDEX(Техника!$H$1:$ABO$500,Y$2,0),"З")</f>
        <v>0</v>
      </c>
      <c r="Z177" s="50">
        <f>SUMIFS(INDEX(Техника!$F$1:$ABM$500,Z$2,0),Техника!$F$4:$ABM$4,"Часы",INDEX(Техника!$G$1:$ABN$500,Z$2,0),$A$172,INDEX(Техника!$H$1:$ABO$500,Z$2,0),"З")</f>
        <v>0</v>
      </c>
      <c r="AA177" s="50">
        <f>SUMIFS(INDEX(Техника!$F$1:$ABM$500,AA$2,0),Техника!$F$4:$ABM$4,"Часы",INDEX(Техника!$G$1:$ABN$500,AA$2,0),$A$172,INDEX(Техника!$H$1:$ABO$500,AA$2,0),"З")</f>
        <v>0</v>
      </c>
      <c r="AB177" s="50">
        <f>SUMIFS(INDEX(Техника!$F$1:$ABM$500,AB$2,0),Техника!$F$4:$ABM$4,"Часы",INDEX(Техника!$G$1:$ABN$500,AB$2,0),$A$172,INDEX(Техника!$H$1:$ABO$500,AB$2,0),"З")</f>
        <v>0</v>
      </c>
    </row>
    <row r="178" spans="1:28" ht="7.95" customHeight="1" x14ac:dyDescent="0.3">
      <c r="A178" s="38"/>
      <c r="B178" s="39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 spans="1:28" ht="25.05" customHeight="1" collapsed="1" x14ac:dyDescent="0.3">
      <c r="A179" s="32">
        <v>26</v>
      </c>
      <c r="B179" s="32" t="s">
        <v>27</v>
      </c>
      <c r="C179" s="49">
        <f>SUM(C180:C184)</f>
        <v>0</v>
      </c>
      <c r="D179" s="49">
        <f>SUM(D180:D184)</f>
        <v>0</v>
      </c>
      <c r="E179" s="49">
        <f>SUM(E180:E184)</f>
        <v>0</v>
      </c>
      <c r="F179" s="49">
        <f>SUM(F180:F184)</f>
        <v>0</v>
      </c>
      <c r="G179" s="49">
        <f>SUM(G180:G184)</f>
        <v>0</v>
      </c>
      <c r="H179" s="49">
        <f>SUM(H180:H184)</f>
        <v>0</v>
      </c>
      <c r="I179" s="49">
        <f>SUM(I180:I184)</f>
        <v>0</v>
      </c>
      <c r="J179" s="49">
        <f>SUM(J180:J184)</f>
        <v>0</v>
      </c>
      <c r="K179" s="49">
        <f>SUM(K180:K184)</f>
        <v>0</v>
      </c>
      <c r="L179" s="49">
        <f>SUM(L180:L184)</f>
        <v>0</v>
      </c>
      <c r="M179" s="49">
        <f>SUM(M180:M184)</f>
        <v>0</v>
      </c>
      <c r="N179" s="49">
        <f>SUM(N180:N184)</f>
        <v>0</v>
      </c>
      <c r="O179" s="49">
        <f>SUM(O180:O184)</f>
        <v>0</v>
      </c>
      <c r="P179" s="49">
        <f>SUM(P180:P184)</f>
        <v>0</v>
      </c>
      <c r="Q179" s="49">
        <f>SUM(Q180:Q184)</f>
        <v>0</v>
      </c>
      <c r="R179" s="49">
        <f>SUM(R180:R184)</f>
        <v>0</v>
      </c>
      <c r="S179" s="49">
        <f>SUM(S180:S184)</f>
        <v>0</v>
      </c>
      <c r="T179" s="49">
        <f>SUM(T180:T184)</f>
        <v>0</v>
      </c>
      <c r="U179" s="49">
        <f>SUM(U180:U184)</f>
        <v>0</v>
      </c>
      <c r="V179" s="49">
        <f>SUM(V180:V184)</f>
        <v>0</v>
      </c>
      <c r="W179" s="49">
        <f>SUM(W180:W184)</f>
        <v>0</v>
      </c>
      <c r="X179" s="49">
        <f>SUM(X180:X184)</f>
        <v>0</v>
      </c>
      <c r="Y179" s="49">
        <f>SUM(Y180:Y184)</f>
        <v>0</v>
      </c>
      <c r="Z179" s="49">
        <f>SUM(Z180:Z184)</f>
        <v>0</v>
      </c>
      <c r="AA179" s="49">
        <f>SUM(AA180:AA184)</f>
        <v>0</v>
      </c>
      <c r="AB179" s="49">
        <f>SUM(AB180:AB184)</f>
        <v>0</v>
      </c>
    </row>
    <row r="180" spans="1:28" hidden="1" outlineLevel="1" x14ac:dyDescent="0.3">
      <c r="A180" s="33" t="s">
        <v>246</v>
      </c>
      <c r="B180" s="34" t="s">
        <v>274</v>
      </c>
      <c r="C180" s="50">
        <f>SUMIFS(INDEX(Техника!$F$1:$ABM$500,C$2,0),Техника!$F$4:$ABM$4,"Часы",INDEX(Техника!$G$1:$ABN$500,C$2,0),$A$179,INDEX(Техника!$H$1:$ABO$500,C$2,0),"М")</f>
        <v>0</v>
      </c>
      <c r="D180" s="50">
        <f>SUMIFS(INDEX(Техника!$F$1:$ABM$500,D$2,0),Техника!$F$4:$ABM$4,"Часы",INDEX(Техника!$G$1:$ABN$500,D$2,0),$A$179,INDEX(Техника!$H$1:$ABO$500,D$2,0),"М")</f>
        <v>0</v>
      </c>
      <c r="E180" s="50">
        <f>SUMIFS(INDEX(Техника!$F$1:$ABM$500,E$2,0),Техника!$F$4:$ABM$4,"Часы",INDEX(Техника!$G$1:$ABN$500,E$2,0),$A$179,INDEX(Техника!$H$1:$ABO$500,E$2,0),"М")</f>
        <v>0</v>
      </c>
      <c r="F180" s="50">
        <f>SUMIFS(INDEX(Техника!$F$1:$ABM$500,F$2,0),Техника!$F$4:$ABM$4,"Часы",INDEX(Техника!$G$1:$ABN$500,F$2,0),$A$179,INDEX(Техника!$H$1:$ABO$500,F$2,0),"М")</f>
        <v>0</v>
      </c>
      <c r="G180" s="50">
        <f>SUMIFS(INDEX(Техника!$F$1:$ABM$500,G$2,0),Техника!$F$4:$ABM$4,"Часы",INDEX(Техника!$G$1:$ABN$500,G$2,0),$A$179,INDEX(Техника!$H$1:$ABO$500,G$2,0),"М")</f>
        <v>0</v>
      </c>
      <c r="H180" s="50">
        <f>SUMIFS(INDEX(Техника!$F$1:$ABM$500,H$2,0),Техника!$F$4:$ABM$4,"Часы",INDEX(Техника!$G$1:$ABN$500,H$2,0),$A$179,INDEX(Техника!$H$1:$ABO$500,H$2,0),"М")</f>
        <v>0</v>
      </c>
      <c r="I180" s="50">
        <f>SUMIFS(INDEX(Техника!$F$1:$ABM$500,I$2,0),Техника!$F$4:$ABM$4,"Часы",INDEX(Техника!$G$1:$ABN$500,I$2,0),$A$179,INDEX(Техника!$H$1:$ABO$500,I$2,0),"М")</f>
        <v>0</v>
      </c>
      <c r="J180" s="50">
        <f>SUMIFS(INDEX(Техника!$F$1:$ABM$500,J$2,0),Техника!$F$4:$ABM$4,"Часы",INDEX(Техника!$G$1:$ABN$500,J$2,0),$A$179,INDEX(Техника!$H$1:$ABO$500,J$2,0),"М")</f>
        <v>0</v>
      </c>
      <c r="K180" s="50">
        <f>SUMIFS(INDEX(Техника!$F$1:$ABM$500,K$2,0),Техника!$F$4:$ABM$4,"Часы",INDEX(Техника!$G$1:$ABN$500,K$2,0),$A$179,INDEX(Техника!$H$1:$ABO$500,K$2,0),"М")</f>
        <v>0</v>
      </c>
      <c r="L180" s="50">
        <f>SUMIFS(INDEX(Техника!$F$1:$ABM$500,L$2,0),Техника!$F$4:$ABM$4,"Часы",INDEX(Техника!$G$1:$ABN$500,L$2,0),$A$179,INDEX(Техника!$H$1:$ABO$500,L$2,0),"М")</f>
        <v>0</v>
      </c>
      <c r="M180" s="50">
        <f>SUMIFS(INDEX(Техника!$F$1:$ABM$500,M$2,0),Техника!$F$4:$ABM$4,"Часы",INDEX(Техника!$G$1:$ABN$500,M$2,0),$A$179,INDEX(Техника!$H$1:$ABO$500,M$2,0),"М")</f>
        <v>0</v>
      </c>
      <c r="N180" s="50">
        <f>SUMIFS(INDEX(Техника!$F$1:$ABM$500,N$2,0),Техника!$F$4:$ABM$4,"Часы",INDEX(Техника!$G$1:$ABN$500,N$2,0),$A$179,INDEX(Техника!$H$1:$ABO$500,N$2,0),"М")</f>
        <v>0</v>
      </c>
      <c r="O180" s="50">
        <f>SUMIFS(INDEX(Техника!$F$1:$ABM$500,O$2,0),Техника!$F$4:$ABM$4,"Часы",INDEX(Техника!$G$1:$ABN$500,O$2,0),$A$179,INDEX(Техника!$H$1:$ABO$500,O$2,0),"М")</f>
        <v>0</v>
      </c>
      <c r="P180" s="50">
        <f>SUMIFS(INDEX(Техника!$F$1:$ABM$500,P$2,0),Техника!$F$4:$ABM$4,"Часы",INDEX(Техника!$G$1:$ABN$500,P$2,0),$A$179,INDEX(Техника!$H$1:$ABO$500,P$2,0),"М")</f>
        <v>0</v>
      </c>
      <c r="Q180" s="50">
        <f>SUMIFS(INDEX(Техника!$F$1:$ABM$500,Q$2,0),Техника!$F$4:$ABM$4,"Часы",INDEX(Техника!$G$1:$ABN$500,Q$2,0),$A$179,INDEX(Техника!$H$1:$ABO$500,Q$2,0),"М")</f>
        <v>0</v>
      </c>
      <c r="R180" s="50">
        <f>SUMIFS(INDEX(Техника!$F$1:$ABM$500,R$2,0),Техника!$F$4:$ABM$4,"Часы",INDEX(Техника!$G$1:$ABN$500,R$2,0),$A$179,INDEX(Техника!$H$1:$ABO$500,R$2,0),"М")</f>
        <v>0</v>
      </c>
      <c r="S180" s="50">
        <f>SUMIFS(INDEX(Техника!$F$1:$ABM$500,S$2,0),Техника!$F$4:$ABM$4,"Часы",INDEX(Техника!$G$1:$ABN$500,S$2,0),$A$179,INDEX(Техника!$H$1:$ABO$500,S$2,0),"М")</f>
        <v>0</v>
      </c>
      <c r="T180" s="50">
        <f>SUMIFS(INDEX(Техника!$F$1:$ABM$500,T$2,0),Техника!$F$4:$ABM$4,"Часы",INDEX(Техника!$G$1:$ABN$500,T$2,0),$A$179,INDEX(Техника!$H$1:$ABO$500,T$2,0),"М")</f>
        <v>0</v>
      </c>
      <c r="U180" s="50">
        <f>SUMIFS(INDEX(Техника!$F$1:$ABM$500,U$2,0),Техника!$F$4:$ABM$4,"Часы",INDEX(Техника!$G$1:$ABN$500,U$2,0),$A$179,INDEX(Техника!$H$1:$ABO$500,U$2,0),"М")</f>
        <v>0</v>
      </c>
      <c r="V180" s="50">
        <f>SUMIFS(INDEX(Техника!$F$1:$ABM$500,V$2,0),Техника!$F$4:$ABM$4,"Часы",INDEX(Техника!$G$1:$ABN$500,V$2,0),$A$179,INDEX(Техника!$H$1:$ABO$500,V$2,0),"М")</f>
        <v>0</v>
      </c>
      <c r="W180" s="50">
        <f>SUMIFS(INDEX(Техника!$F$1:$ABM$500,W$2,0),Техника!$F$4:$ABM$4,"Часы",INDEX(Техника!$G$1:$ABN$500,W$2,0),$A$179,INDEX(Техника!$H$1:$ABO$500,W$2,0),"М")</f>
        <v>0</v>
      </c>
      <c r="X180" s="50">
        <f>SUMIFS(INDEX(Техника!$F$1:$ABM$500,X$2,0),Техника!$F$4:$ABM$4,"Часы",INDEX(Техника!$G$1:$ABN$500,X$2,0),$A$179,INDEX(Техника!$H$1:$ABO$500,X$2,0),"М")</f>
        <v>0</v>
      </c>
      <c r="Y180" s="50">
        <f>SUMIFS(INDEX(Техника!$F$1:$ABM$500,Y$2,0),Техника!$F$4:$ABM$4,"Часы",INDEX(Техника!$G$1:$ABN$500,Y$2,0),$A$179,INDEX(Техника!$H$1:$ABO$500,Y$2,0),"М")</f>
        <v>0</v>
      </c>
      <c r="Z180" s="50">
        <f>SUMIFS(INDEX(Техника!$F$1:$ABM$500,Z$2,0),Техника!$F$4:$ABM$4,"Часы",INDEX(Техника!$G$1:$ABN$500,Z$2,0),$A$179,INDEX(Техника!$H$1:$ABO$500,Z$2,0),"М")</f>
        <v>0</v>
      </c>
      <c r="AA180" s="50">
        <f>SUMIFS(INDEX(Техника!$F$1:$ABM$500,AA$2,0),Техника!$F$4:$ABM$4,"Часы",INDEX(Техника!$G$1:$ABN$500,AA$2,0),$A$179,INDEX(Техника!$H$1:$ABO$500,AA$2,0),"М")</f>
        <v>0</v>
      </c>
      <c r="AB180" s="50">
        <f>SUMIFS(INDEX(Техника!$F$1:$ABM$500,AB$2,0),Техника!$F$4:$ABM$4,"Часы",INDEX(Техника!$G$1:$ABN$500,AB$2,0),$A$179,INDEX(Техника!$H$1:$ABO$500,AB$2,0),"М")</f>
        <v>0</v>
      </c>
    </row>
    <row r="181" spans="1:28" hidden="1" outlineLevel="1" x14ac:dyDescent="0.3">
      <c r="A181" s="33" t="s">
        <v>244</v>
      </c>
      <c r="B181" s="34" t="s">
        <v>275</v>
      </c>
      <c r="C181" s="50">
        <f>SUMIFS(INDEX(Техника!$F$1:$ABM$500,C$2,0),Техника!$F$4:$ABM$4,"Часы",INDEX(Техника!$G$1:$ABN$500,C$2,0),$A$179,INDEX(Техника!$H$1:$ABO$500,C$2,0),"Д")</f>
        <v>0</v>
      </c>
      <c r="D181" s="50">
        <f>SUMIFS(INDEX(Техника!$F$1:$ABM$500,D$2,0),Техника!$F$4:$ABM$4,"Часы",INDEX(Техника!$G$1:$ABN$500,D$2,0),$A$179,INDEX(Техника!$H$1:$ABO$500,D$2,0),"Д")</f>
        <v>0</v>
      </c>
      <c r="E181" s="50">
        <f>SUMIFS(INDEX(Техника!$F$1:$ABM$500,E$2,0),Техника!$F$4:$ABM$4,"Часы",INDEX(Техника!$G$1:$ABN$500,E$2,0),$A$179,INDEX(Техника!$H$1:$ABO$500,E$2,0),"Д")</f>
        <v>0</v>
      </c>
      <c r="F181" s="50">
        <f>SUMIFS(INDEX(Техника!$F$1:$ABM$500,F$2,0),Техника!$F$4:$ABM$4,"Часы",INDEX(Техника!$G$1:$ABN$500,F$2,0),$A$179,INDEX(Техника!$H$1:$ABO$500,F$2,0),"Д")</f>
        <v>0</v>
      </c>
      <c r="G181" s="50">
        <f>SUMIFS(INDEX(Техника!$F$1:$ABM$500,G$2,0),Техника!$F$4:$ABM$4,"Часы",INDEX(Техника!$G$1:$ABN$500,G$2,0),$A$179,INDEX(Техника!$H$1:$ABO$500,G$2,0),"Д")</f>
        <v>0</v>
      </c>
      <c r="H181" s="50">
        <f>SUMIFS(INDEX(Техника!$F$1:$ABM$500,H$2,0),Техника!$F$4:$ABM$4,"Часы",INDEX(Техника!$G$1:$ABN$500,H$2,0),$A$179,INDEX(Техника!$H$1:$ABO$500,H$2,0),"Д")</f>
        <v>0</v>
      </c>
      <c r="I181" s="50">
        <f>SUMIFS(INDEX(Техника!$F$1:$ABM$500,I$2,0),Техника!$F$4:$ABM$4,"Часы",INDEX(Техника!$G$1:$ABN$500,I$2,0),$A$179,INDEX(Техника!$H$1:$ABO$500,I$2,0),"Д")</f>
        <v>0</v>
      </c>
      <c r="J181" s="50">
        <f>SUMIFS(INDEX(Техника!$F$1:$ABM$500,J$2,0),Техника!$F$4:$ABM$4,"Часы",INDEX(Техника!$G$1:$ABN$500,J$2,0),$A$179,INDEX(Техника!$H$1:$ABO$500,J$2,0),"Д")</f>
        <v>0</v>
      </c>
      <c r="K181" s="50">
        <f>SUMIFS(INDEX(Техника!$F$1:$ABM$500,K$2,0),Техника!$F$4:$ABM$4,"Часы",INDEX(Техника!$G$1:$ABN$500,K$2,0),$A$179,INDEX(Техника!$H$1:$ABO$500,K$2,0),"Д")</f>
        <v>0</v>
      </c>
      <c r="L181" s="50">
        <f>SUMIFS(INDEX(Техника!$F$1:$ABM$500,L$2,0),Техника!$F$4:$ABM$4,"Часы",INDEX(Техника!$G$1:$ABN$500,L$2,0),$A$179,INDEX(Техника!$H$1:$ABO$500,L$2,0),"Д")</f>
        <v>0</v>
      </c>
      <c r="M181" s="50">
        <f>SUMIFS(INDEX(Техника!$F$1:$ABM$500,M$2,0),Техника!$F$4:$ABM$4,"Часы",INDEX(Техника!$G$1:$ABN$500,M$2,0),$A$179,INDEX(Техника!$H$1:$ABO$500,M$2,0),"Д")</f>
        <v>0</v>
      </c>
      <c r="N181" s="50">
        <f>SUMIFS(INDEX(Техника!$F$1:$ABM$500,N$2,0),Техника!$F$4:$ABM$4,"Часы",INDEX(Техника!$G$1:$ABN$500,N$2,0),$A$179,INDEX(Техника!$H$1:$ABO$500,N$2,0),"Д")</f>
        <v>0</v>
      </c>
      <c r="O181" s="50">
        <f>SUMIFS(INDEX(Техника!$F$1:$ABM$500,O$2,0),Техника!$F$4:$ABM$4,"Часы",INDEX(Техника!$G$1:$ABN$500,O$2,0),$A$179,INDEX(Техника!$H$1:$ABO$500,O$2,0),"Д")</f>
        <v>0</v>
      </c>
      <c r="P181" s="50">
        <f>SUMIFS(INDEX(Техника!$F$1:$ABM$500,P$2,0),Техника!$F$4:$ABM$4,"Часы",INDEX(Техника!$G$1:$ABN$500,P$2,0),$A$179,INDEX(Техника!$H$1:$ABO$500,P$2,0),"Д")</f>
        <v>0</v>
      </c>
      <c r="Q181" s="50">
        <f>SUMIFS(INDEX(Техника!$F$1:$ABM$500,Q$2,0),Техника!$F$4:$ABM$4,"Часы",INDEX(Техника!$G$1:$ABN$500,Q$2,0),$A$179,INDEX(Техника!$H$1:$ABO$500,Q$2,0),"Д")</f>
        <v>0</v>
      </c>
      <c r="R181" s="50">
        <f>SUMIFS(INDEX(Техника!$F$1:$ABM$500,R$2,0),Техника!$F$4:$ABM$4,"Часы",INDEX(Техника!$G$1:$ABN$500,R$2,0),$A$179,INDEX(Техника!$H$1:$ABO$500,R$2,0),"Д")</f>
        <v>0</v>
      </c>
      <c r="S181" s="50">
        <f>SUMIFS(INDEX(Техника!$F$1:$ABM$500,S$2,0),Техника!$F$4:$ABM$4,"Часы",INDEX(Техника!$G$1:$ABN$500,S$2,0),$A$179,INDEX(Техника!$H$1:$ABO$500,S$2,0),"Д")</f>
        <v>0</v>
      </c>
      <c r="T181" s="50">
        <f>SUMIFS(INDEX(Техника!$F$1:$ABM$500,T$2,0),Техника!$F$4:$ABM$4,"Часы",INDEX(Техника!$G$1:$ABN$500,T$2,0),$A$179,INDEX(Техника!$H$1:$ABO$500,T$2,0),"Д")</f>
        <v>0</v>
      </c>
      <c r="U181" s="50">
        <f>SUMIFS(INDEX(Техника!$F$1:$ABM$500,U$2,0),Техника!$F$4:$ABM$4,"Часы",INDEX(Техника!$G$1:$ABN$500,U$2,0),$A$179,INDEX(Техника!$H$1:$ABO$500,U$2,0),"Д")</f>
        <v>0</v>
      </c>
      <c r="V181" s="50">
        <f>SUMIFS(INDEX(Техника!$F$1:$ABM$500,V$2,0),Техника!$F$4:$ABM$4,"Часы",INDEX(Техника!$G$1:$ABN$500,V$2,0),$A$179,INDEX(Техника!$H$1:$ABO$500,V$2,0),"Д")</f>
        <v>0</v>
      </c>
      <c r="W181" s="50">
        <f>SUMIFS(INDEX(Техника!$F$1:$ABM$500,W$2,0),Техника!$F$4:$ABM$4,"Часы",INDEX(Техника!$G$1:$ABN$500,W$2,0),$A$179,INDEX(Техника!$H$1:$ABO$500,W$2,0),"Д")</f>
        <v>0</v>
      </c>
      <c r="X181" s="50">
        <f>SUMIFS(INDEX(Техника!$F$1:$ABM$500,X$2,0),Техника!$F$4:$ABM$4,"Часы",INDEX(Техника!$G$1:$ABN$500,X$2,0),$A$179,INDEX(Техника!$H$1:$ABO$500,X$2,0),"Д")</f>
        <v>0</v>
      </c>
      <c r="Y181" s="50">
        <f>SUMIFS(INDEX(Техника!$F$1:$ABM$500,Y$2,0),Техника!$F$4:$ABM$4,"Часы",INDEX(Техника!$G$1:$ABN$500,Y$2,0),$A$179,INDEX(Техника!$H$1:$ABO$500,Y$2,0),"Д")</f>
        <v>0</v>
      </c>
      <c r="Z181" s="50">
        <f>SUMIFS(INDEX(Техника!$F$1:$ABM$500,Z$2,0),Техника!$F$4:$ABM$4,"Часы",INDEX(Техника!$G$1:$ABN$500,Z$2,0),$A$179,INDEX(Техника!$H$1:$ABO$500,Z$2,0),"Д")</f>
        <v>0</v>
      </c>
      <c r="AA181" s="50">
        <f>SUMIFS(INDEX(Техника!$F$1:$ABM$500,AA$2,0),Техника!$F$4:$ABM$4,"Часы",INDEX(Техника!$G$1:$ABN$500,AA$2,0),$A$179,INDEX(Техника!$H$1:$ABO$500,AA$2,0),"Д")</f>
        <v>0</v>
      </c>
      <c r="AB181" s="50">
        <f>SUMIFS(INDEX(Техника!$F$1:$ABM$500,AB$2,0),Техника!$F$4:$ABM$4,"Часы",INDEX(Техника!$G$1:$ABN$500,AB$2,0),$A$179,INDEX(Техника!$H$1:$ABO$500,AB$2,0),"Д")</f>
        <v>0</v>
      </c>
    </row>
    <row r="182" spans="1:28" hidden="1" outlineLevel="1" x14ac:dyDescent="0.3">
      <c r="A182" s="33" t="s">
        <v>276</v>
      </c>
      <c r="B182" s="34" t="s">
        <v>277</v>
      </c>
      <c r="C182" s="50">
        <f>SUMIFS(INDEX(Техника!$F$1:$ABM$500,C$2,0),Техника!$F$4:$ABM$4,"Часы",INDEX(Техника!$G$1:$ABN$500,C$2,0),$A$179,INDEX(Техника!$H$1:$ABO$500,C$2,0),"П")</f>
        <v>0</v>
      </c>
      <c r="D182" s="50">
        <f>SUMIFS(INDEX(Техника!$F$1:$ABM$500,D$2,0),Техника!$F$4:$ABM$4,"Часы",INDEX(Техника!$G$1:$ABN$500,D$2,0),$A$179,INDEX(Техника!$H$1:$ABO$500,D$2,0),"П")</f>
        <v>0</v>
      </c>
      <c r="E182" s="50">
        <f>SUMIFS(INDEX(Техника!$F$1:$ABM$500,E$2,0),Техника!$F$4:$ABM$4,"Часы",INDEX(Техника!$G$1:$ABN$500,E$2,0),$A$179,INDEX(Техника!$H$1:$ABO$500,E$2,0),"П")</f>
        <v>0</v>
      </c>
      <c r="F182" s="50">
        <f>SUMIFS(INDEX(Техника!$F$1:$ABM$500,F$2,0),Техника!$F$4:$ABM$4,"Часы",INDEX(Техника!$G$1:$ABN$500,F$2,0),$A$179,INDEX(Техника!$H$1:$ABO$500,F$2,0),"П")</f>
        <v>0</v>
      </c>
      <c r="G182" s="50">
        <f>SUMIFS(INDEX(Техника!$F$1:$ABM$500,G$2,0),Техника!$F$4:$ABM$4,"Часы",INDEX(Техника!$G$1:$ABN$500,G$2,0),$A$179,INDEX(Техника!$H$1:$ABO$500,G$2,0),"П")</f>
        <v>0</v>
      </c>
      <c r="H182" s="50">
        <f>SUMIFS(INDEX(Техника!$F$1:$ABM$500,H$2,0),Техника!$F$4:$ABM$4,"Часы",INDEX(Техника!$G$1:$ABN$500,H$2,0),$A$179,INDEX(Техника!$H$1:$ABO$500,H$2,0),"П")</f>
        <v>0</v>
      </c>
      <c r="I182" s="50">
        <f>SUMIFS(INDEX(Техника!$F$1:$ABM$500,I$2,0),Техника!$F$4:$ABM$4,"Часы",INDEX(Техника!$G$1:$ABN$500,I$2,0),$A$179,INDEX(Техника!$H$1:$ABO$500,I$2,0),"П")</f>
        <v>0</v>
      </c>
      <c r="J182" s="50">
        <f>SUMIFS(INDEX(Техника!$F$1:$ABM$500,J$2,0),Техника!$F$4:$ABM$4,"Часы",INDEX(Техника!$G$1:$ABN$500,J$2,0),$A$179,INDEX(Техника!$H$1:$ABO$500,J$2,0),"П")</f>
        <v>0</v>
      </c>
      <c r="K182" s="50">
        <f>SUMIFS(INDEX(Техника!$F$1:$ABM$500,K$2,0),Техника!$F$4:$ABM$4,"Часы",INDEX(Техника!$G$1:$ABN$500,K$2,0),$A$179,INDEX(Техника!$H$1:$ABO$500,K$2,0),"П")</f>
        <v>0</v>
      </c>
      <c r="L182" s="50">
        <f>SUMIFS(INDEX(Техника!$F$1:$ABM$500,L$2,0),Техника!$F$4:$ABM$4,"Часы",INDEX(Техника!$G$1:$ABN$500,L$2,0),$A$179,INDEX(Техника!$H$1:$ABO$500,L$2,0),"П")</f>
        <v>0</v>
      </c>
      <c r="M182" s="50">
        <f>SUMIFS(INDEX(Техника!$F$1:$ABM$500,M$2,0),Техника!$F$4:$ABM$4,"Часы",INDEX(Техника!$G$1:$ABN$500,M$2,0),$A$179,INDEX(Техника!$H$1:$ABO$500,M$2,0),"П")</f>
        <v>0</v>
      </c>
      <c r="N182" s="50">
        <f>SUMIFS(INDEX(Техника!$F$1:$ABM$500,N$2,0),Техника!$F$4:$ABM$4,"Часы",INDEX(Техника!$G$1:$ABN$500,N$2,0),$A$179,INDEX(Техника!$H$1:$ABO$500,N$2,0),"П")</f>
        <v>0</v>
      </c>
      <c r="O182" s="50">
        <f>SUMIFS(INDEX(Техника!$F$1:$ABM$500,O$2,0),Техника!$F$4:$ABM$4,"Часы",INDEX(Техника!$G$1:$ABN$500,O$2,0),$A$179,INDEX(Техника!$H$1:$ABO$500,O$2,0),"П")</f>
        <v>0</v>
      </c>
      <c r="P182" s="50">
        <f>SUMIFS(INDEX(Техника!$F$1:$ABM$500,P$2,0),Техника!$F$4:$ABM$4,"Часы",INDEX(Техника!$G$1:$ABN$500,P$2,0),$A$179,INDEX(Техника!$H$1:$ABO$500,P$2,0),"П")</f>
        <v>0</v>
      </c>
      <c r="Q182" s="50">
        <f>SUMIFS(INDEX(Техника!$F$1:$ABM$500,Q$2,0),Техника!$F$4:$ABM$4,"Часы",INDEX(Техника!$G$1:$ABN$500,Q$2,0),$A$179,INDEX(Техника!$H$1:$ABO$500,Q$2,0),"П")</f>
        <v>0</v>
      </c>
      <c r="R182" s="50">
        <f>SUMIFS(INDEX(Техника!$F$1:$ABM$500,R$2,0),Техника!$F$4:$ABM$4,"Часы",INDEX(Техника!$G$1:$ABN$500,R$2,0),$A$179,INDEX(Техника!$H$1:$ABO$500,R$2,0),"П")</f>
        <v>0</v>
      </c>
      <c r="S182" s="50">
        <f>SUMIFS(INDEX(Техника!$F$1:$ABM$500,S$2,0),Техника!$F$4:$ABM$4,"Часы",INDEX(Техника!$G$1:$ABN$500,S$2,0),$A$179,INDEX(Техника!$H$1:$ABO$500,S$2,0),"П")</f>
        <v>0</v>
      </c>
      <c r="T182" s="50">
        <f>SUMIFS(INDEX(Техника!$F$1:$ABM$500,T$2,0),Техника!$F$4:$ABM$4,"Часы",INDEX(Техника!$G$1:$ABN$500,T$2,0),$A$179,INDEX(Техника!$H$1:$ABO$500,T$2,0),"П")</f>
        <v>0</v>
      </c>
      <c r="U182" s="50">
        <f>SUMIFS(INDEX(Техника!$F$1:$ABM$500,U$2,0),Техника!$F$4:$ABM$4,"Часы",INDEX(Техника!$G$1:$ABN$500,U$2,0),$A$179,INDEX(Техника!$H$1:$ABO$500,U$2,0),"П")</f>
        <v>0</v>
      </c>
      <c r="V182" s="50">
        <f>SUMIFS(INDEX(Техника!$F$1:$ABM$500,V$2,0),Техника!$F$4:$ABM$4,"Часы",INDEX(Техника!$G$1:$ABN$500,V$2,0),$A$179,INDEX(Техника!$H$1:$ABO$500,V$2,0),"П")</f>
        <v>0</v>
      </c>
      <c r="W182" s="50">
        <f>SUMIFS(INDEX(Техника!$F$1:$ABM$500,W$2,0),Техника!$F$4:$ABM$4,"Часы",INDEX(Техника!$G$1:$ABN$500,W$2,0),$A$179,INDEX(Техника!$H$1:$ABO$500,W$2,0),"П")</f>
        <v>0</v>
      </c>
      <c r="X182" s="50">
        <f>SUMIFS(INDEX(Техника!$F$1:$ABM$500,X$2,0),Техника!$F$4:$ABM$4,"Часы",INDEX(Техника!$G$1:$ABN$500,X$2,0),$A$179,INDEX(Техника!$H$1:$ABO$500,X$2,0),"П")</f>
        <v>0</v>
      </c>
      <c r="Y182" s="50">
        <f>SUMIFS(INDEX(Техника!$F$1:$ABM$500,Y$2,0),Техника!$F$4:$ABM$4,"Часы",INDEX(Техника!$G$1:$ABN$500,Y$2,0),$A$179,INDEX(Техника!$H$1:$ABO$500,Y$2,0),"П")</f>
        <v>0</v>
      </c>
      <c r="Z182" s="50">
        <f>SUMIFS(INDEX(Техника!$F$1:$ABM$500,Z$2,0),Техника!$F$4:$ABM$4,"Часы",INDEX(Техника!$G$1:$ABN$500,Z$2,0),$A$179,INDEX(Техника!$H$1:$ABO$500,Z$2,0),"П")</f>
        <v>0</v>
      </c>
      <c r="AA182" s="50">
        <f>SUMIFS(INDEX(Техника!$F$1:$ABM$500,AA$2,0),Техника!$F$4:$ABM$4,"Часы",INDEX(Техника!$G$1:$ABN$500,AA$2,0),$A$179,INDEX(Техника!$H$1:$ABO$500,AA$2,0),"П")</f>
        <v>0</v>
      </c>
      <c r="AB182" s="50">
        <f>SUMIFS(INDEX(Техника!$F$1:$ABM$500,AB$2,0),Техника!$F$4:$ABM$4,"Часы",INDEX(Техника!$G$1:$ABN$500,AB$2,0),$A$179,INDEX(Техника!$H$1:$ABO$500,AB$2,0),"П")</f>
        <v>0</v>
      </c>
    </row>
    <row r="183" spans="1:28" hidden="1" outlineLevel="1" x14ac:dyDescent="0.3">
      <c r="A183" s="33" t="s">
        <v>243</v>
      </c>
      <c r="B183" s="34" t="s">
        <v>278</v>
      </c>
      <c r="C183" s="50">
        <f>SUMIFS(INDEX(Техника!$F$1:$ABM$500,C$2,0),Техника!$F$4:$ABM$4,"Часы",INDEX(Техника!$G$1:$ABN$500,C$2,0),$A$179,INDEX(Техника!$H$1:$ABO$500,C$2,0),"Л")</f>
        <v>0</v>
      </c>
      <c r="D183" s="50">
        <f>SUMIFS(INDEX(Техника!$F$1:$ABM$500,D$2,0),Техника!$F$4:$ABM$4,"Часы",INDEX(Техника!$G$1:$ABN$500,D$2,0),$A$179,INDEX(Техника!$H$1:$ABO$500,D$2,0),"Л")</f>
        <v>0</v>
      </c>
      <c r="E183" s="50">
        <f>SUMIFS(INDEX(Техника!$F$1:$ABM$500,E$2,0),Техника!$F$4:$ABM$4,"Часы",INDEX(Техника!$G$1:$ABN$500,E$2,0),$A$179,INDEX(Техника!$H$1:$ABO$500,E$2,0),"Л")</f>
        <v>0</v>
      </c>
      <c r="F183" s="50">
        <f>SUMIFS(INDEX(Техника!$F$1:$ABM$500,F$2,0),Техника!$F$4:$ABM$4,"Часы",INDEX(Техника!$G$1:$ABN$500,F$2,0),$A$179,INDEX(Техника!$H$1:$ABO$500,F$2,0),"Л")</f>
        <v>0</v>
      </c>
      <c r="G183" s="50">
        <f>SUMIFS(INDEX(Техника!$F$1:$ABM$500,G$2,0),Техника!$F$4:$ABM$4,"Часы",INDEX(Техника!$G$1:$ABN$500,G$2,0),$A$179,INDEX(Техника!$H$1:$ABO$500,G$2,0),"Л")</f>
        <v>0</v>
      </c>
      <c r="H183" s="50">
        <f>SUMIFS(INDEX(Техника!$F$1:$ABM$500,H$2,0),Техника!$F$4:$ABM$4,"Часы",INDEX(Техника!$G$1:$ABN$500,H$2,0),$A$179,INDEX(Техника!$H$1:$ABO$500,H$2,0),"Л")</f>
        <v>0</v>
      </c>
      <c r="I183" s="50">
        <f>SUMIFS(INDEX(Техника!$F$1:$ABM$500,I$2,0),Техника!$F$4:$ABM$4,"Часы",INDEX(Техника!$G$1:$ABN$500,I$2,0),$A$179,INDEX(Техника!$H$1:$ABO$500,I$2,0),"Л")</f>
        <v>0</v>
      </c>
      <c r="J183" s="50">
        <f>SUMIFS(INDEX(Техника!$F$1:$ABM$500,J$2,0),Техника!$F$4:$ABM$4,"Часы",INDEX(Техника!$G$1:$ABN$500,J$2,0),$A$179,INDEX(Техника!$H$1:$ABO$500,J$2,0),"Л")</f>
        <v>0</v>
      </c>
      <c r="K183" s="50">
        <f>SUMIFS(INDEX(Техника!$F$1:$ABM$500,K$2,0),Техника!$F$4:$ABM$4,"Часы",INDEX(Техника!$G$1:$ABN$500,K$2,0),$A$179,INDEX(Техника!$H$1:$ABO$500,K$2,0),"Л")</f>
        <v>0</v>
      </c>
      <c r="L183" s="50">
        <f>SUMIFS(INDEX(Техника!$F$1:$ABM$500,L$2,0),Техника!$F$4:$ABM$4,"Часы",INDEX(Техника!$G$1:$ABN$500,L$2,0),$A$179,INDEX(Техника!$H$1:$ABO$500,L$2,0),"Л")</f>
        <v>0</v>
      </c>
      <c r="M183" s="50">
        <f>SUMIFS(INDEX(Техника!$F$1:$ABM$500,M$2,0),Техника!$F$4:$ABM$4,"Часы",INDEX(Техника!$G$1:$ABN$500,M$2,0),$A$179,INDEX(Техника!$H$1:$ABO$500,M$2,0),"Л")</f>
        <v>0</v>
      </c>
      <c r="N183" s="50">
        <f>SUMIFS(INDEX(Техника!$F$1:$ABM$500,N$2,0),Техника!$F$4:$ABM$4,"Часы",INDEX(Техника!$G$1:$ABN$500,N$2,0),$A$179,INDEX(Техника!$H$1:$ABO$500,N$2,0),"Л")</f>
        <v>0</v>
      </c>
      <c r="O183" s="50">
        <f>SUMIFS(INDEX(Техника!$F$1:$ABM$500,O$2,0),Техника!$F$4:$ABM$4,"Часы",INDEX(Техника!$G$1:$ABN$500,O$2,0),$A$179,INDEX(Техника!$H$1:$ABO$500,O$2,0),"Л")</f>
        <v>0</v>
      </c>
      <c r="P183" s="50">
        <f>SUMIFS(INDEX(Техника!$F$1:$ABM$500,P$2,0),Техника!$F$4:$ABM$4,"Часы",INDEX(Техника!$G$1:$ABN$500,P$2,0),$A$179,INDEX(Техника!$H$1:$ABO$500,P$2,0),"Л")</f>
        <v>0</v>
      </c>
      <c r="Q183" s="50">
        <f>SUMIFS(INDEX(Техника!$F$1:$ABM$500,Q$2,0),Техника!$F$4:$ABM$4,"Часы",INDEX(Техника!$G$1:$ABN$500,Q$2,0),$A$179,INDEX(Техника!$H$1:$ABO$500,Q$2,0),"Л")</f>
        <v>0</v>
      </c>
      <c r="R183" s="50">
        <f>SUMIFS(INDEX(Техника!$F$1:$ABM$500,R$2,0),Техника!$F$4:$ABM$4,"Часы",INDEX(Техника!$G$1:$ABN$500,R$2,0),$A$179,INDEX(Техника!$H$1:$ABO$500,R$2,0),"Л")</f>
        <v>0</v>
      </c>
      <c r="S183" s="50">
        <f>SUMIFS(INDEX(Техника!$F$1:$ABM$500,S$2,0),Техника!$F$4:$ABM$4,"Часы",INDEX(Техника!$G$1:$ABN$500,S$2,0),$A$179,INDEX(Техника!$H$1:$ABO$500,S$2,0),"Л")</f>
        <v>0</v>
      </c>
      <c r="T183" s="50">
        <f>SUMIFS(INDEX(Техника!$F$1:$ABM$500,T$2,0),Техника!$F$4:$ABM$4,"Часы",INDEX(Техника!$G$1:$ABN$500,T$2,0),$A$179,INDEX(Техника!$H$1:$ABO$500,T$2,0),"Л")</f>
        <v>0</v>
      </c>
      <c r="U183" s="50">
        <f>SUMIFS(INDEX(Техника!$F$1:$ABM$500,U$2,0),Техника!$F$4:$ABM$4,"Часы",INDEX(Техника!$G$1:$ABN$500,U$2,0),$A$179,INDEX(Техника!$H$1:$ABO$500,U$2,0),"Л")</f>
        <v>0</v>
      </c>
      <c r="V183" s="50">
        <f>SUMIFS(INDEX(Техника!$F$1:$ABM$500,V$2,0),Техника!$F$4:$ABM$4,"Часы",INDEX(Техника!$G$1:$ABN$500,V$2,0),$A$179,INDEX(Техника!$H$1:$ABO$500,V$2,0),"Л")</f>
        <v>0</v>
      </c>
      <c r="W183" s="50">
        <f>SUMIFS(INDEX(Техника!$F$1:$ABM$500,W$2,0),Техника!$F$4:$ABM$4,"Часы",INDEX(Техника!$G$1:$ABN$500,W$2,0),$A$179,INDEX(Техника!$H$1:$ABO$500,W$2,0),"Л")</f>
        <v>0</v>
      </c>
      <c r="X183" s="50">
        <f>SUMIFS(INDEX(Техника!$F$1:$ABM$500,X$2,0),Техника!$F$4:$ABM$4,"Часы",INDEX(Техника!$G$1:$ABN$500,X$2,0),$A$179,INDEX(Техника!$H$1:$ABO$500,X$2,0),"Л")</f>
        <v>0</v>
      </c>
      <c r="Y183" s="50">
        <f>SUMIFS(INDEX(Техника!$F$1:$ABM$500,Y$2,0),Техника!$F$4:$ABM$4,"Часы",INDEX(Техника!$G$1:$ABN$500,Y$2,0),$A$179,INDEX(Техника!$H$1:$ABO$500,Y$2,0),"Л")</f>
        <v>0</v>
      </c>
      <c r="Z183" s="50">
        <f>SUMIFS(INDEX(Техника!$F$1:$ABM$500,Z$2,0),Техника!$F$4:$ABM$4,"Часы",INDEX(Техника!$G$1:$ABN$500,Z$2,0),$A$179,INDEX(Техника!$H$1:$ABO$500,Z$2,0),"Л")</f>
        <v>0</v>
      </c>
      <c r="AA183" s="50">
        <f>SUMIFS(INDEX(Техника!$F$1:$ABM$500,AA$2,0),Техника!$F$4:$ABM$4,"Часы",INDEX(Техника!$G$1:$ABN$500,AA$2,0),$A$179,INDEX(Техника!$H$1:$ABO$500,AA$2,0),"Л")</f>
        <v>0</v>
      </c>
      <c r="AB183" s="50">
        <f>SUMIFS(INDEX(Техника!$F$1:$ABM$500,AB$2,0),Техника!$F$4:$ABM$4,"Часы",INDEX(Техника!$G$1:$ABN$500,AB$2,0),$A$179,INDEX(Техника!$H$1:$ABO$500,AB$2,0),"Л")</f>
        <v>0</v>
      </c>
    </row>
    <row r="184" spans="1:28" hidden="1" outlineLevel="1" x14ac:dyDescent="0.3">
      <c r="A184" s="33" t="s">
        <v>245</v>
      </c>
      <c r="B184" s="34" t="s">
        <v>279</v>
      </c>
      <c r="C184" s="50">
        <f>SUMIFS(INDEX(Техника!$F$1:$ABM$500,C$2,0),Техника!$F$4:$ABM$4,"Часы",INDEX(Техника!$G$1:$ABN$500,C$2,0),$A$179,INDEX(Техника!$H$1:$ABO$500,C$2,0),"З")</f>
        <v>0</v>
      </c>
      <c r="D184" s="50">
        <f>SUMIFS(INDEX(Техника!$F$1:$ABM$500,D$2,0),Техника!$F$4:$ABM$4,"Часы",INDEX(Техника!$G$1:$ABN$500,D$2,0),$A$179,INDEX(Техника!$H$1:$ABO$500,D$2,0),"З")</f>
        <v>0</v>
      </c>
      <c r="E184" s="50">
        <f>SUMIFS(INDEX(Техника!$F$1:$ABM$500,E$2,0),Техника!$F$4:$ABM$4,"Часы",INDEX(Техника!$G$1:$ABN$500,E$2,0),$A$179,INDEX(Техника!$H$1:$ABO$500,E$2,0),"З")</f>
        <v>0</v>
      </c>
      <c r="F184" s="50">
        <f>SUMIFS(INDEX(Техника!$F$1:$ABM$500,F$2,0),Техника!$F$4:$ABM$4,"Часы",INDEX(Техника!$G$1:$ABN$500,F$2,0),$A$179,INDEX(Техника!$H$1:$ABO$500,F$2,0),"З")</f>
        <v>0</v>
      </c>
      <c r="G184" s="50">
        <f>SUMIFS(INDEX(Техника!$F$1:$ABM$500,G$2,0),Техника!$F$4:$ABM$4,"Часы",INDEX(Техника!$G$1:$ABN$500,G$2,0),$A$179,INDEX(Техника!$H$1:$ABO$500,G$2,0),"З")</f>
        <v>0</v>
      </c>
      <c r="H184" s="50">
        <f>SUMIFS(INDEX(Техника!$F$1:$ABM$500,H$2,0),Техника!$F$4:$ABM$4,"Часы",INDEX(Техника!$G$1:$ABN$500,H$2,0),$A$179,INDEX(Техника!$H$1:$ABO$500,H$2,0),"З")</f>
        <v>0</v>
      </c>
      <c r="I184" s="50">
        <f>SUMIFS(INDEX(Техника!$F$1:$ABM$500,I$2,0),Техника!$F$4:$ABM$4,"Часы",INDEX(Техника!$G$1:$ABN$500,I$2,0),$A$179,INDEX(Техника!$H$1:$ABO$500,I$2,0),"З")</f>
        <v>0</v>
      </c>
      <c r="J184" s="50">
        <f>SUMIFS(INDEX(Техника!$F$1:$ABM$500,J$2,0),Техника!$F$4:$ABM$4,"Часы",INDEX(Техника!$G$1:$ABN$500,J$2,0),$A$179,INDEX(Техника!$H$1:$ABO$500,J$2,0),"З")</f>
        <v>0</v>
      </c>
      <c r="K184" s="50">
        <f>SUMIFS(INDEX(Техника!$F$1:$ABM$500,K$2,0),Техника!$F$4:$ABM$4,"Часы",INDEX(Техника!$G$1:$ABN$500,K$2,0),$A$179,INDEX(Техника!$H$1:$ABO$500,K$2,0),"З")</f>
        <v>0</v>
      </c>
      <c r="L184" s="50">
        <f>SUMIFS(INDEX(Техника!$F$1:$ABM$500,L$2,0),Техника!$F$4:$ABM$4,"Часы",INDEX(Техника!$G$1:$ABN$500,L$2,0),$A$179,INDEX(Техника!$H$1:$ABO$500,L$2,0),"З")</f>
        <v>0</v>
      </c>
      <c r="M184" s="50">
        <f>SUMIFS(INDEX(Техника!$F$1:$ABM$500,M$2,0),Техника!$F$4:$ABM$4,"Часы",INDEX(Техника!$G$1:$ABN$500,M$2,0),$A$179,INDEX(Техника!$H$1:$ABO$500,M$2,0),"З")</f>
        <v>0</v>
      </c>
      <c r="N184" s="50">
        <f>SUMIFS(INDEX(Техника!$F$1:$ABM$500,N$2,0),Техника!$F$4:$ABM$4,"Часы",INDEX(Техника!$G$1:$ABN$500,N$2,0),$A$179,INDEX(Техника!$H$1:$ABO$500,N$2,0),"З")</f>
        <v>0</v>
      </c>
      <c r="O184" s="50">
        <f>SUMIFS(INDEX(Техника!$F$1:$ABM$500,O$2,0),Техника!$F$4:$ABM$4,"Часы",INDEX(Техника!$G$1:$ABN$500,O$2,0),$A$179,INDEX(Техника!$H$1:$ABO$500,O$2,0),"З")</f>
        <v>0</v>
      </c>
      <c r="P184" s="50">
        <f>SUMIFS(INDEX(Техника!$F$1:$ABM$500,P$2,0),Техника!$F$4:$ABM$4,"Часы",INDEX(Техника!$G$1:$ABN$500,P$2,0),$A$179,INDEX(Техника!$H$1:$ABO$500,P$2,0),"З")</f>
        <v>0</v>
      </c>
      <c r="Q184" s="50">
        <f>SUMIFS(INDEX(Техника!$F$1:$ABM$500,Q$2,0),Техника!$F$4:$ABM$4,"Часы",INDEX(Техника!$G$1:$ABN$500,Q$2,0),$A$179,INDEX(Техника!$H$1:$ABO$500,Q$2,0),"З")</f>
        <v>0</v>
      </c>
      <c r="R184" s="50">
        <f>SUMIFS(INDEX(Техника!$F$1:$ABM$500,R$2,0),Техника!$F$4:$ABM$4,"Часы",INDEX(Техника!$G$1:$ABN$500,R$2,0),$A$179,INDEX(Техника!$H$1:$ABO$500,R$2,0),"З")</f>
        <v>0</v>
      </c>
      <c r="S184" s="50">
        <f>SUMIFS(INDEX(Техника!$F$1:$ABM$500,S$2,0),Техника!$F$4:$ABM$4,"Часы",INDEX(Техника!$G$1:$ABN$500,S$2,0),$A$179,INDEX(Техника!$H$1:$ABO$500,S$2,0),"З")</f>
        <v>0</v>
      </c>
      <c r="T184" s="50">
        <f>SUMIFS(INDEX(Техника!$F$1:$ABM$500,T$2,0),Техника!$F$4:$ABM$4,"Часы",INDEX(Техника!$G$1:$ABN$500,T$2,0),$A$179,INDEX(Техника!$H$1:$ABO$500,T$2,0),"З")</f>
        <v>0</v>
      </c>
      <c r="U184" s="50">
        <f>SUMIFS(INDEX(Техника!$F$1:$ABM$500,U$2,0),Техника!$F$4:$ABM$4,"Часы",INDEX(Техника!$G$1:$ABN$500,U$2,0),$A$179,INDEX(Техника!$H$1:$ABO$500,U$2,0),"З")</f>
        <v>0</v>
      </c>
      <c r="V184" s="50">
        <f>SUMIFS(INDEX(Техника!$F$1:$ABM$500,V$2,0),Техника!$F$4:$ABM$4,"Часы",INDEX(Техника!$G$1:$ABN$500,V$2,0),$A$179,INDEX(Техника!$H$1:$ABO$500,V$2,0),"З")</f>
        <v>0</v>
      </c>
      <c r="W184" s="50">
        <f>SUMIFS(INDEX(Техника!$F$1:$ABM$500,W$2,0),Техника!$F$4:$ABM$4,"Часы",INDEX(Техника!$G$1:$ABN$500,W$2,0),$A$179,INDEX(Техника!$H$1:$ABO$500,W$2,0),"З")</f>
        <v>0</v>
      </c>
      <c r="X184" s="50">
        <f>SUMIFS(INDEX(Техника!$F$1:$ABM$500,X$2,0),Техника!$F$4:$ABM$4,"Часы",INDEX(Техника!$G$1:$ABN$500,X$2,0),$A$179,INDEX(Техника!$H$1:$ABO$500,X$2,0),"З")</f>
        <v>0</v>
      </c>
      <c r="Y184" s="50">
        <f>SUMIFS(INDEX(Техника!$F$1:$ABM$500,Y$2,0),Техника!$F$4:$ABM$4,"Часы",INDEX(Техника!$G$1:$ABN$500,Y$2,0),$A$179,INDEX(Техника!$H$1:$ABO$500,Y$2,0),"З")</f>
        <v>0</v>
      </c>
      <c r="Z184" s="50">
        <f>SUMIFS(INDEX(Техника!$F$1:$ABM$500,Z$2,0),Техника!$F$4:$ABM$4,"Часы",INDEX(Техника!$G$1:$ABN$500,Z$2,0),$A$179,INDEX(Техника!$H$1:$ABO$500,Z$2,0),"З")</f>
        <v>0</v>
      </c>
      <c r="AA184" s="50">
        <f>SUMIFS(INDEX(Техника!$F$1:$ABM$500,AA$2,0),Техника!$F$4:$ABM$4,"Часы",INDEX(Техника!$G$1:$ABN$500,AA$2,0),$A$179,INDEX(Техника!$H$1:$ABO$500,AA$2,0),"З")</f>
        <v>0</v>
      </c>
      <c r="AB184" s="50">
        <f>SUMIFS(INDEX(Техника!$F$1:$ABM$500,AB$2,0),Техника!$F$4:$ABM$4,"Часы",INDEX(Техника!$G$1:$ABN$500,AB$2,0),$A$179,INDEX(Техника!$H$1:$ABO$500,AB$2,0),"З")</f>
        <v>0</v>
      </c>
    </row>
    <row r="185" spans="1:28" ht="7.95" customHeight="1" x14ac:dyDescent="0.3">
      <c r="A185" s="38"/>
      <c r="B185" s="39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 spans="1:28" ht="25.05" customHeight="1" collapsed="1" x14ac:dyDescent="0.3">
      <c r="A186" s="32">
        <v>27</v>
      </c>
      <c r="B186" s="32" t="s">
        <v>28</v>
      </c>
      <c r="C186" s="49">
        <f>SUM(C187:C191)</f>
        <v>0</v>
      </c>
      <c r="D186" s="49">
        <f>SUM(D187:D191)</f>
        <v>0</v>
      </c>
      <c r="E186" s="49">
        <f>SUM(E187:E191)</f>
        <v>0</v>
      </c>
      <c r="F186" s="49">
        <f>SUM(F187:F191)</f>
        <v>0</v>
      </c>
      <c r="G186" s="49">
        <f>SUM(G187:G191)</f>
        <v>0</v>
      </c>
      <c r="H186" s="49">
        <f>SUM(H187:H191)</f>
        <v>0</v>
      </c>
      <c r="I186" s="49">
        <f>SUM(I187:I191)</f>
        <v>0</v>
      </c>
      <c r="J186" s="49">
        <f>SUM(J187:J191)</f>
        <v>0</v>
      </c>
      <c r="K186" s="49">
        <f>SUM(K187:K191)</f>
        <v>0</v>
      </c>
      <c r="L186" s="49">
        <f>SUM(L187:L191)</f>
        <v>0</v>
      </c>
      <c r="M186" s="49">
        <f>SUM(M187:M191)</f>
        <v>0</v>
      </c>
      <c r="N186" s="49">
        <f>SUM(N187:N191)</f>
        <v>0</v>
      </c>
      <c r="O186" s="49">
        <f>SUM(O187:O191)</f>
        <v>0</v>
      </c>
      <c r="P186" s="49">
        <f>SUM(P187:P191)</f>
        <v>0</v>
      </c>
      <c r="Q186" s="49">
        <f>SUM(Q187:Q191)</f>
        <v>0</v>
      </c>
      <c r="R186" s="49">
        <f>SUM(R187:R191)</f>
        <v>0</v>
      </c>
      <c r="S186" s="49">
        <f>SUM(S187:S191)</f>
        <v>0</v>
      </c>
      <c r="T186" s="49">
        <f>SUM(T187:T191)</f>
        <v>0</v>
      </c>
      <c r="U186" s="49">
        <f>SUM(U187:U191)</f>
        <v>0</v>
      </c>
      <c r="V186" s="49">
        <f>SUM(V187:V191)</f>
        <v>0</v>
      </c>
      <c r="W186" s="49">
        <f>SUM(W187:W191)</f>
        <v>0</v>
      </c>
      <c r="X186" s="49">
        <f>SUM(X187:X191)</f>
        <v>0</v>
      </c>
      <c r="Y186" s="49">
        <f>SUM(Y187:Y191)</f>
        <v>0</v>
      </c>
      <c r="Z186" s="49">
        <f>SUM(Z187:Z191)</f>
        <v>0</v>
      </c>
      <c r="AA186" s="49">
        <f>SUM(AA187:AA191)</f>
        <v>0</v>
      </c>
      <c r="AB186" s="49">
        <f>SUM(AB187:AB191)</f>
        <v>0</v>
      </c>
    </row>
    <row r="187" spans="1:28" hidden="1" outlineLevel="1" x14ac:dyDescent="0.3">
      <c r="A187" s="33" t="s">
        <v>246</v>
      </c>
      <c r="B187" s="34" t="s">
        <v>274</v>
      </c>
      <c r="C187" s="50">
        <f>SUMIFS(INDEX(Техника!$F$1:$ABM$500,C$2,0),Техника!$F$4:$ABM$4,"Часы",INDEX(Техника!$G$1:$ABN$500,C$2,0),$A$186,INDEX(Техника!$H$1:$ABO$500,C$2,0),"М")</f>
        <v>0</v>
      </c>
      <c r="D187" s="50">
        <f>SUMIFS(INDEX(Техника!$F$1:$ABM$500,D$2,0),Техника!$F$4:$ABM$4,"Часы",INDEX(Техника!$G$1:$ABN$500,D$2,0),$A$186,INDEX(Техника!$H$1:$ABO$500,D$2,0),"М")</f>
        <v>0</v>
      </c>
      <c r="E187" s="50">
        <f>SUMIFS(INDEX(Техника!$F$1:$ABM$500,E$2,0),Техника!$F$4:$ABM$4,"Часы",INDEX(Техника!$G$1:$ABN$500,E$2,0),$A$186,INDEX(Техника!$H$1:$ABO$500,E$2,0),"М")</f>
        <v>0</v>
      </c>
      <c r="F187" s="50">
        <f>SUMIFS(INDEX(Техника!$F$1:$ABM$500,F$2,0),Техника!$F$4:$ABM$4,"Часы",INDEX(Техника!$G$1:$ABN$500,F$2,0),$A$186,INDEX(Техника!$H$1:$ABO$500,F$2,0),"М")</f>
        <v>0</v>
      </c>
      <c r="G187" s="50">
        <f>SUMIFS(INDEX(Техника!$F$1:$ABM$500,G$2,0),Техника!$F$4:$ABM$4,"Часы",INDEX(Техника!$G$1:$ABN$500,G$2,0),$A$186,INDEX(Техника!$H$1:$ABO$500,G$2,0),"М")</f>
        <v>0</v>
      </c>
      <c r="H187" s="50">
        <f>SUMIFS(INDEX(Техника!$F$1:$ABM$500,H$2,0),Техника!$F$4:$ABM$4,"Часы",INDEX(Техника!$G$1:$ABN$500,H$2,0),$A$186,INDEX(Техника!$H$1:$ABO$500,H$2,0),"М")</f>
        <v>0</v>
      </c>
      <c r="I187" s="50">
        <f>SUMIFS(INDEX(Техника!$F$1:$ABM$500,I$2,0),Техника!$F$4:$ABM$4,"Часы",INDEX(Техника!$G$1:$ABN$500,I$2,0),$A$186,INDEX(Техника!$H$1:$ABO$500,I$2,0),"М")</f>
        <v>0</v>
      </c>
      <c r="J187" s="50">
        <f>SUMIFS(INDEX(Техника!$F$1:$ABM$500,J$2,0),Техника!$F$4:$ABM$4,"Часы",INDEX(Техника!$G$1:$ABN$500,J$2,0),$A$186,INDEX(Техника!$H$1:$ABO$500,J$2,0),"М")</f>
        <v>0</v>
      </c>
      <c r="K187" s="50">
        <f>SUMIFS(INDEX(Техника!$F$1:$ABM$500,K$2,0),Техника!$F$4:$ABM$4,"Часы",INDEX(Техника!$G$1:$ABN$500,K$2,0),$A$186,INDEX(Техника!$H$1:$ABO$500,K$2,0),"М")</f>
        <v>0</v>
      </c>
      <c r="L187" s="50">
        <f>SUMIFS(INDEX(Техника!$F$1:$ABM$500,L$2,0),Техника!$F$4:$ABM$4,"Часы",INDEX(Техника!$G$1:$ABN$500,L$2,0),$A$186,INDEX(Техника!$H$1:$ABO$500,L$2,0),"М")</f>
        <v>0</v>
      </c>
      <c r="M187" s="50">
        <f>SUMIFS(INDEX(Техника!$F$1:$ABM$500,M$2,0),Техника!$F$4:$ABM$4,"Часы",INDEX(Техника!$G$1:$ABN$500,M$2,0),$A$186,INDEX(Техника!$H$1:$ABO$500,M$2,0),"М")</f>
        <v>0</v>
      </c>
      <c r="N187" s="50">
        <f>SUMIFS(INDEX(Техника!$F$1:$ABM$500,N$2,0),Техника!$F$4:$ABM$4,"Часы",INDEX(Техника!$G$1:$ABN$500,N$2,0),$A$186,INDEX(Техника!$H$1:$ABO$500,N$2,0),"М")</f>
        <v>0</v>
      </c>
      <c r="O187" s="50">
        <f>SUMIFS(INDEX(Техника!$F$1:$ABM$500,O$2,0),Техника!$F$4:$ABM$4,"Часы",INDEX(Техника!$G$1:$ABN$500,O$2,0),$A$186,INDEX(Техника!$H$1:$ABO$500,O$2,0),"М")</f>
        <v>0</v>
      </c>
      <c r="P187" s="50">
        <f>SUMIFS(INDEX(Техника!$F$1:$ABM$500,P$2,0),Техника!$F$4:$ABM$4,"Часы",INDEX(Техника!$G$1:$ABN$500,P$2,0),$A$186,INDEX(Техника!$H$1:$ABO$500,P$2,0),"М")</f>
        <v>0</v>
      </c>
      <c r="Q187" s="50">
        <f>SUMIFS(INDEX(Техника!$F$1:$ABM$500,Q$2,0),Техника!$F$4:$ABM$4,"Часы",INDEX(Техника!$G$1:$ABN$500,Q$2,0),$A$186,INDEX(Техника!$H$1:$ABO$500,Q$2,0),"М")</f>
        <v>0</v>
      </c>
      <c r="R187" s="50">
        <f>SUMIFS(INDEX(Техника!$F$1:$ABM$500,R$2,0),Техника!$F$4:$ABM$4,"Часы",INDEX(Техника!$G$1:$ABN$500,R$2,0),$A$186,INDEX(Техника!$H$1:$ABO$500,R$2,0),"М")</f>
        <v>0</v>
      </c>
      <c r="S187" s="50">
        <f>SUMIFS(INDEX(Техника!$F$1:$ABM$500,S$2,0),Техника!$F$4:$ABM$4,"Часы",INDEX(Техника!$G$1:$ABN$500,S$2,0),$A$186,INDEX(Техника!$H$1:$ABO$500,S$2,0),"М")</f>
        <v>0</v>
      </c>
      <c r="T187" s="50">
        <f>SUMIFS(INDEX(Техника!$F$1:$ABM$500,T$2,0),Техника!$F$4:$ABM$4,"Часы",INDEX(Техника!$G$1:$ABN$500,T$2,0),$A$186,INDEX(Техника!$H$1:$ABO$500,T$2,0),"М")</f>
        <v>0</v>
      </c>
      <c r="U187" s="50">
        <f>SUMIFS(INDEX(Техника!$F$1:$ABM$500,U$2,0),Техника!$F$4:$ABM$4,"Часы",INDEX(Техника!$G$1:$ABN$500,U$2,0),$A$186,INDEX(Техника!$H$1:$ABO$500,U$2,0),"М")</f>
        <v>0</v>
      </c>
      <c r="V187" s="50">
        <f>SUMIFS(INDEX(Техника!$F$1:$ABM$500,V$2,0),Техника!$F$4:$ABM$4,"Часы",INDEX(Техника!$G$1:$ABN$500,V$2,0),$A$186,INDEX(Техника!$H$1:$ABO$500,V$2,0),"М")</f>
        <v>0</v>
      </c>
      <c r="W187" s="50">
        <f>SUMIFS(INDEX(Техника!$F$1:$ABM$500,W$2,0),Техника!$F$4:$ABM$4,"Часы",INDEX(Техника!$G$1:$ABN$500,W$2,0),$A$186,INDEX(Техника!$H$1:$ABO$500,W$2,0),"М")</f>
        <v>0</v>
      </c>
      <c r="X187" s="50">
        <f>SUMIFS(INDEX(Техника!$F$1:$ABM$500,X$2,0),Техника!$F$4:$ABM$4,"Часы",INDEX(Техника!$G$1:$ABN$500,X$2,0),$A$186,INDEX(Техника!$H$1:$ABO$500,X$2,0),"М")</f>
        <v>0</v>
      </c>
      <c r="Y187" s="50">
        <f>SUMIFS(INDEX(Техника!$F$1:$ABM$500,Y$2,0),Техника!$F$4:$ABM$4,"Часы",INDEX(Техника!$G$1:$ABN$500,Y$2,0),$A$186,INDEX(Техника!$H$1:$ABO$500,Y$2,0),"М")</f>
        <v>0</v>
      </c>
      <c r="Z187" s="50">
        <f>SUMIFS(INDEX(Техника!$F$1:$ABM$500,Z$2,0),Техника!$F$4:$ABM$4,"Часы",INDEX(Техника!$G$1:$ABN$500,Z$2,0),$A$186,INDEX(Техника!$H$1:$ABO$500,Z$2,0),"М")</f>
        <v>0</v>
      </c>
      <c r="AA187" s="50">
        <f>SUMIFS(INDEX(Техника!$F$1:$ABM$500,AA$2,0),Техника!$F$4:$ABM$4,"Часы",INDEX(Техника!$G$1:$ABN$500,AA$2,0),$A$186,INDEX(Техника!$H$1:$ABO$500,AA$2,0),"М")</f>
        <v>0</v>
      </c>
      <c r="AB187" s="50">
        <f>SUMIFS(INDEX(Техника!$F$1:$ABM$500,AB$2,0),Техника!$F$4:$ABM$4,"Часы",INDEX(Техника!$G$1:$ABN$500,AB$2,0),$A$186,INDEX(Техника!$H$1:$ABO$500,AB$2,0),"М")</f>
        <v>0</v>
      </c>
    </row>
    <row r="188" spans="1:28" hidden="1" outlineLevel="1" x14ac:dyDescent="0.3">
      <c r="A188" s="33" t="s">
        <v>244</v>
      </c>
      <c r="B188" s="34" t="s">
        <v>275</v>
      </c>
      <c r="C188" s="50">
        <f>SUMIFS(INDEX(Техника!$F$1:$ABM$500,C$2,0),Техника!$F$4:$ABM$4,"Часы",INDEX(Техника!$G$1:$ABN$500,C$2,0),$A$186,INDEX(Техника!$H$1:$ABO$500,C$2,0),"Д")</f>
        <v>0</v>
      </c>
      <c r="D188" s="50">
        <f>SUMIFS(INDEX(Техника!$F$1:$ABM$500,D$2,0),Техника!$F$4:$ABM$4,"Часы",INDEX(Техника!$G$1:$ABN$500,D$2,0),$A$186,INDEX(Техника!$H$1:$ABO$500,D$2,0),"Д")</f>
        <v>0</v>
      </c>
      <c r="E188" s="50">
        <f>SUMIFS(INDEX(Техника!$F$1:$ABM$500,E$2,0),Техника!$F$4:$ABM$4,"Часы",INDEX(Техника!$G$1:$ABN$500,E$2,0),$A$186,INDEX(Техника!$H$1:$ABO$500,E$2,0),"Д")</f>
        <v>0</v>
      </c>
      <c r="F188" s="50">
        <f>SUMIFS(INDEX(Техника!$F$1:$ABM$500,F$2,0),Техника!$F$4:$ABM$4,"Часы",INDEX(Техника!$G$1:$ABN$500,F$2,0),$A$186,INDEX(Техника!$H$1:$ABO$500,F$2,0),"Д")</f>
        <v>0</v>
      </c>
      <c r="G188" s="50">
        <f>SUMIFS(INDEX(Техника!$F$1:$ABM$500,G$2,0),Техника!$F$4:$ABM$4,"Часы",INDEX(Техника!$G$1:$ABN$500,G$2,0),$A$186,INDEX(Техника!$H$1:$ABO$500,G$2,0),"Д")</f>
        <v>0</v>
      </c>
      <c r="H188" s="50">
        <f>SUMIFS(INDEX(Техника!$F$1:$ABM$500,H$2,0),Техника!$F$4:$ABM$4,"Часы",INDEX(Техника!$G$1:$ABN$500,H$2,0),$A$186,INDEX(Техника!$H$1:$ABO$500,H$2,0),"Д")</f>
        <v>0</v>
      </c>
      <c r="I188" s="50">
        <f>SUMIFS(INDEX(Техника!$F$1:$ABM$500,I$2,0),Техника!$F$4:$ABM$4,"Часы",INDEX(Техника!$G$1:$ABN$500,I$2,0),$A$186,INDEX(Техника!$H$1:$ABO$500,I$2,0),"Д")</f>
        <v>0</v>
      </c>
      <c r="J188" s="50">
        <f>SUMIFS(INDEX(Техника!$F$1:$ABM$500,J$2,0),Техника!$F$4:$ABM$4,"Часы",INDEX(Техника!$G$1:$ABN$500,J$2,0),$A$186,INDEX(Техника!$H$1:$ABO$500,J$2,0),"Д")</f>
        <v>0</v>
      </c>
      <c r="K188" s="50">
        <f>SUMIFS(INDEX(Техника!$F$1:$ABM$500,K$2,0),Техника!$F$4:$ABM$4,"Часы",INDEX(Техника!$G$1:$ABN$500,K$2,0),$A$186,INDEX(Техника!$H$1:$ABO$500,K$2,0),"Д")</f>
        <v>0</v>
      </c>
      <c r="L188" s="50">
        <f>SUMIFS(INDEX(Техника!$F$1:$ABM$500,L$2,0),Техника!$F$4:$ABM$4,"Часы",INDEX(Техника!$G$1:$ABN$500,L$2,0),$A$186,INDEX(Техника!$H$1:$ABO$500,L$2,0),"Д")</f>
        <v>0</v>
      </c>
      <c r="M188" s="50">
        <f>SUMIFS(INDEX(Техника!$F$1:$ABM$500,M$2,0),Техника!$F$4:$ABM$4,"Часы",INDEX(Техника!$G$1:$ABN$500,M$2,0),$A$186,INDEX(Техника!$H$1:$ABO$500,M$2,0),"Д")</f>
        <v>0</v>
      </c>
      <c r="N188" s="50">
        <f>SUMIFS(INDEX(Техника!$F$1:$ABM$500,N$2,0),Техника!$F$4:$ABM$4,"Часы",INDEX(Техника!$G$1:$ABN$500,N$2,0),$A$186,INDEX(Техника!$H$1:$ABO$500,N$2,0),"Д")</f>
        <v>0</v>
      </c>
      <c r="O188" s="50">
        <f>SUMIFS(INDEX(Техника!$F$1:$ABM$500,O$2,0),Техника!$F$4:$ABM$4,"Часы",INDEX(Техника!$G$1:$ABN$500,O$2,0),$A$186,INDEX(Техника!$H$1:$ABO$500,O$2,0),"Д")</f>
        <v>0</v>
      </c>
      <c r="P188" s="50">
        <f>SUMIFS(INDEX(Техника!$F$1:$ABM$500,P$2,0),Техника!$F$4:$ABM$4,"Часы",INDEX(Техника!$G$1:$ABN$500,P$2,0),$A$186,INDEX(Техника!$H$1:$ABO$500,P$2,0),"Д")</f>
        <v>0</v>
      </c>
      <c r="Q188" s="50">
        <f>SUMIFS(INDEX(Техника!$F$1:$ABM$500,Q$2,0),Техника!$F$4:$ABM$4,"Часы",INDEX(Техника!$G$1:$ABN$500,Q$2,0),$A$186,INDEX(Техника!$H$1:$ABO$500,Q$2,0),"Д")</f>
        <v>0</v>
      </c>
      <c r="R188" s="50">
        <f>SUMIFS(INDEX(Техника!$F$1:$ABM$500,R$2,0),Техника!$F$4:$ABM$4,"Часы",INDEX(Техника!$G$1:$ABN$500,R$2,0),$A$186,INDEX(Техника!$H$1:$ABO$500,R$2,0),"Д")</f>
        <v>0</v>
      </c>
      <c r="S188" s="50">
        <f>SUMIFS(INDEX(Техника!$F$1:$ABM$500,S$2,0),Техника!$F$4:$ABM$4,"Часы",INDEX(Техника!$G$1:$ABN$500,S$2,0),$A$186,INDEX(Техника!$H$1:$ABO$500,S$2,0),"Д")</f>
        <v>0</v>
      </c>
      <c r="T188" s="50">
        <f>SUMIFS(INDEX(Техника!$F$1:$ABM$500,T$2,0),Техника!$F$4:$ABM$4,"Часы",INDEX(Техника!$G$1:$ABN$500,T$2,0),$A$186,INDEX(Техника!$H$1:$ABO$500,T$2,0),"Д")</f>
        <v>0</v>
      </c>
      <c r="U188" s="50">
        <f>SUMIFS(INDEX(Техника!$F$1:$ABM$500,U$2,0),Техника!$F$4:$ABM$4,"Часы",INDEX(Техника!$G$1:$ABN$500,U$2,0),$A$186,INDEX(Техника!$H$1:$ABO$500,U$2,0),"Д")</f>
        <v>0</v>
      </c>
      <c r="V188" s="50">
        <f>SUMIFS(INDEX(Техника!$F$1:$ABM$500,V$2,0),Техника!$F$4:$ABM$4,"Часы",INDEX(Техника!$G$1:$ABN$500,V$2,0),$A$186,INDEX(Техника!$H$1:$ABO$500,V$2,0),"Д")</f>
        <v>0</v>
      </c>
      <c r="W188" s="50">
        <f>SUMIFS(INDEX(Техника!$F$1:$ABM$500,W$2,0),Техника!$F$4:$ABM$4,"Часы",INDEX(Техника!$G$1:$ABN$500,W$2,0),$A$186,INDEX(Техника!$H$1:$ABO$500,W$2,0),"Д")</f>
        <v>0</v>
      </c>
      <c r="X188" s="50">
        <f>SUMIFS(INDEX(Техника!$F$1:$ABM$500,X$2,0),Техника!$F$4:$ABM$4,"Часы",INDEX(Техника!$G$1:$ABN$500,X$2,0),$A$186,INDEX(Техника!$H$1:$ABO$500,X$2,0),"Д")</f>
        <v>0</v>
      </c>
      <c r="Y188" s="50">
        <f>SUMIFS(INDEX(Техника!$F$1:$ABM$500,Y$2,0),Техника!$F$4:$ABM$4,"Часы",INDEX(Техника!$G$1:$ABN$500,Y$2,0),$A$186,INDEX(Техника!$H$1:$ABO$500,Y$2,0),"Д")</f>
        <v>0</v>
      </c>
      <c r="Z188" s="50">
        <f>SUMIFS(INDEX(Техника!$F$1:$ABM$500,Z$2,0),Техника!$F$4:$ABM$4,"Часы",INDEX(Техника!$G$1:$ABN$500,Z$2,0),$A$186,INDEX(Техника!$H$1:$ABO$500,Z$2,0),"Д")</f>
        <v>0</v>
      </c>
      <c r="AA188" s="50">
        <f>SUMIFS(INDEX(Техника!$F$1:$ABM$500,AA$2,0),Техника!$F$4:$ABM$4,"Часы",INDEX(Техника!$G$1:$ABN$500,AA$2,0),$A$186,INDEX(Техника!$H$1:$ABO$500,AA$2,0),"Д")</f>
        <v>0</v>
      </c>
      <c r="AB188" s="50">
        <f>SUMIFS(INDEX(Техника!$F$1:$ABM$500,AB$2,0),Техника!$F$4:$ABM$4,"Часы",INDEX(Техника!$G$1:$ABN$500,AB$2,0),$A$186,INDEX(Техника!$H$1:$ABO$500,AB$2,0),"Д")</f>
        <v>0</v>
      </c>
    </row>
    <row r="189" spans="1:28" hidden="1" outlineLevel="1" x14ac:dyDescent="0.3">
      <c r="A189" s="33" t="s">
        <v>276</v>
      </c>
      <c r="B189" s="34" t="s">
        <v>277</v>
      </c>
      <c r="C189" s="50">
        <f>SUMIFS(INDEX(Техника!$F$1:$ABM$500,C$2,0),Техника!$F$4:$ABM$4,"Часы",INDEX(Техника!$G$1:$ABN$500,C$2,0),$A$186,INDEX(Техника!$H$1:$ABO$500,C$2,0),"П")</f>
        <v>0</v>
      </c>
      <c r="D189" s="50">
        <f>SUMIFS(INDEX(Техника!$F$1:$ABM$500,D$2,0),Техника!$F$4:$ABM$4,"Часы",INDEX(Техника!$G$1:$ABN$500,D$2,0),$A$186,INDEX(Техника!$H$1:$ABO$500,D$2,0),"П")</f>
        <v>0</v>
      </c>
      <c r="E189" s="50">
        <f>SUMIFS(INDEX(Техника!$F$1:$ABM$500,E$2,0),Техника!$F$4:$ABM$4,"Часы",INDEX(Техника!$G$1:$ABN$500,E$2,0),$A$186,INDEX(Техника!$H$1:$ABO$500,E$2,0),"П")</f>
        <v>0</v>
      </c>
      <c r="F189" s="50">
        <f>SUMIFS(INDEX(Техника!$F$1:$ABM$500,F$2,0),Техника!$F$4:$ABM$4,"Часы",INDEX(Техника!$G$1:$ABN$500,F$2,0),$A$186,INDEX(Техника!$H$1:$ABO$500,F$2,0),"П")</f>
        <v>0</v>
      </c>
      <c r="G189" s="50">
        <f>SUMIFS(INDEX(Техника!$F$1:$ABM$500,G$2,0),Техника!$F$4:$ABM$4,"Часы",INDEX(Техника!$G$1:$ABN$500,G$2,0),$A$186,INDEX(Техника!$H$1:$ABO$500,G$2,0),"П")</f>
        <v>0</v>
      </c>
      <c r="H189" s="50">
        <f>SUMIFS(INDEX(Техника!$F$1:$ABM$500,H$2,0),Техника!$F$4:$ABM$4,"Часы",INDEX(Техника!$G$1:$ABN$500,H$2,0),$A$186,INDEX(Техника!$H$1:$ABO$500,H$2,0),"П")</f>
        <v>0</v>
      </c>
      <c r="I189" s="50">
        <f>SUMIFS(INDEX(Техника!$F$1:$ABM$500,I$2,0),Техника!$F$4:$ABM$4,"Часы",INDEX(Техника!$G$1:$ABN$500,I$2,0),$A$186,INDEX(Техника!$H$1:$ABO$500,I$2,0),"П")</f>
        <v>0</v>
      </c>
      <c r="J189" s="50">
        <f>SUMIFS(INDEX(Техника!$F$1:$ABM$500,J$2,0),Техника!$F$4:$ABM$4,"Часы",INDEX(Техника!$G$1:$ABN$500,J$2,0),$A$186,INDEX(Техника!$H$1:$ABO$500,J$2,0),"П")</f>
        <v>0</v>
      </c>
      <c r="K189" s="50">
        <f>SUMIFS(INDEX(Техника!$F$1:$ABM$500,K$2,0),Техника!$F$4:$ABM$4,"Часы",INDEX(Техника!$G$1:$ABN$500,K$2,0),$A$186,INDEX(Техника!$H$1:$ABO$500,K$2,0),"П")</f>
        <v>0</v>
      </c>
      <c r="L189" s="50">
        <f>SUMIFS(INDEX(Техника!$F$1:$ABM$500,L$2,0),Техника!$F$4:$ABM$4,"Часы",INDEX(Техника!$G$1:$ABN$500,L$2,0),$A$186,INDEX(Техника!$H$1:$ABO$500,L$2,0),"П")</f>
        <v>0</v>
      </c>
      <c r="M189" s="50">
        <f>SUMIFS(INDEX(Техника!$F$1:$ABM$500,M$2,0),Техника!$F$4:$ABM$4,"Часы",INDEX(Техника!$G$1:$ABN$500,M$2,0),$A$186,INDEX(Техника!$H$1:$ABO$500,M$2,0),"П")</f>
        <v>0</v>
      </c>
      <c r="N189" s="50">
        <f>SUMIFS(INDEX(Техника!$F$1:$ABM$500,N$2,0),Техника!$F$4:$ABM$4,"Часы",INDEX(Техника!$G$1:$ABN$500,N$2,0),$A$186,INDEX(Техника!$H$1:$ABO$500,N$2,0),"П")</f>
        <v>0</v>
      </c>
      <c r="O189" s="50">
        <f>SUMIFS(INDEX(Техника!$F$1:$ABM$500,O$2,0),Техника!$F$4:$ABM$4,"Часы",INDEX(Техника!$G$1:$ABN$500,O$2,0),$A$186,INDEX(Техника!$H$1:$ABO$500,O$2,0),"П")</f>
        <v>0</v>
      </c>
      <c r="P189" s="50">
        <f>SUMIFS(INDEX(Техника!$F$1:$ABM$500,P$2,0),Техника!$F$4:$ABM$4,"Часы",INDEX(Техника!$G$1:$ABN$500,P$2,0),$A$186,INDEX(Техника!$H$1:$ABO$500,P$2,0),"П")</f>
        <v>0</v>
      </c>
      <c r="Q189" s="50">
        <f>SUMIFS(INDEX(Техника!$F$1:$ABM$500,Q$2,0),Техника!$F$4:$ABM$4,"Часы",INDEX(Техника!$G$1:$ABN$500,Q$2,0),$A$186,INDEX(Техника!$H$1:$ABO$500,Q$2,0),"П")</f>
        <v>0</v>
      </c>
      <c r="R189" s="50">
        <f>SUMIFS(INDEX(Техника!$F$1:$ABM$500,R$2,0),Техника!$F$4:$ABM$4,"Часы",INDEX(Техника!$G$1:$ABN$500,R$2,0),$A$186,INDEX(Техника!$H$1:$ABO$500,R$2,0),"П")</f>
        <v>0</v>
      </c>
      <c r="S189" s="50">
        <f>SUMIFS(INDEX(Техника!$F$1:$ABM$500,S$2,0),Техника!$F$4:$ABM$4,"Часы",INDEX(Техника!$G$1:$ABN$500,S$2,0),$A$186,INDEX(Техника!$H$1:$ABO$500,S$2,0),"П")</f>
        <v>0</v>
      </c>
      <c r="T189" s="50">
        <f>SUMIFS(INDEX(Техника!$F$1:$ABM$500,T$2,0),Техника!$F$4:$ABM$4,"Часы",INDEX(Техника!$G$1:$ABN$500,T$2,0),$A$186,INDEX(Техника!$H$1:$ABO$500,T$2,0),"П")</f>
        <v>0</v>
      </c>
      <c r="U189" s="50">
        <f>SUMIFS(INDEX(Техника!$F$1:$ABM$500,U$2,0),Техника!$F$4:$ABM$4,"Часы",INDEX(Техника!$G$1:$ABN$500,U$2,0),$A$186,INDEX(Техника!$H$1:$ABO$500,U$2,0),"П")</f>
        <v>0</v>
      </c>
      <c r="V189" s="50">
        <f>SUMIFS(INDEX(Техника!$F$1:$ABM$500,V$2,0),Техника!$F$4:$ABM$4,"Часы",INDEX(Техника!$G$1:$ABN$500,V$2,0),$A$186,INDEX(Техника!$H$1:$ABO$500,V$2,0),"П")</f>
        <v>0</v>
      </c>
      <c r="W189" s="50">
        <f>SUMIFS(INDEX(Техника!$F$1:$ABM$500,W$2,0),Техника!$F$4:$ABM$4,"Часы",INDEX(Техника!$G$1:$ABN$500,W$2,0),$A$186,INDEX(Техника!$H$1:$ABO$500,W$2,0),"П")</f>
        <v>0</v>
      </c>
      <c r="X189" s="50">
        <f>SUMIFS(INDEX(Техника!$F$1:$ABM$500,X$2,0),Техника!$F$4:$ABM$4,"Часы",INDEX(Техника!$G$1:$ABN$500,X$2,0),$A$186,INDEX(Техника!$H$1:$ABO$500,X$2,0),"П")</f>
        <v>0</v>
      </c>
      <c r="Y189" s="50">
        <f>SUMIFS(INDEX(Техника!$F$1:$ABM$500,Y$2,0),Техника!$F$4:$ABM$4,"Часы",INDEX(Техника!$G$1:$ABN$500,Y$2,0),$A$186,INDEX(Техника!$H$1:$ABO$500,Y$2,0),"П")</f>
        <v>0</v>
      </c>
      <c r="Z189" s="50">
        <f>SUMIFS(INDEX(Техника!$F$1:$ABM$500,Z$2,0),Техника!$F$4:$ABM$4,"Часы",INDEX(Техника!$G$1:$ABN$500,Z$2,0),$A$186,INDEX(Техника!$H$1:$ABO$500,Z$2,0),"П")</f>
        <v>0</v>
      </c>
      <c r="AA189" s="50">
        <f>SUMIFS(INDEX(Техника!$F$1:$ABM$500,AA$2,0),Техника!$F$4:$ABM$4,"Часы",INDEX(Техника!$G$1:$ABN$500,AA$2,0),$A$186,INDEX(Техника!$H$1:$ABO$500,AA$2,0),"П")</f>
        <v>0</v>
      </c>
      <c r="AB189" s="50">
        <f>SUMIFS(INDEX(Техника!$F$1:$ABM$500,AB$2,0),Техника!$F$4:$ABM$4,"Часы",INDEX(Техника!$G$1:$ABN$500,AB$2,0),$A$186,INDEX(Техника!$H$1:$ABO$500,AB$2,0),"П")</f>
        <v>0</v>
      </c>
    </row>
    <row r="190" spans="1:28" hidden="1" outlineLevel="1" x14ac:dyDescent="0.3">
      <c r="A190" s="33" t="s">
        <v>243</v>
      </c>
      <c r="B190" s="34" t="s">
        <v>278</v>
      </c>
      <c r="C190" s="50">
        <f>SUMIFS(INDEX(Техника!$F$1:$ABM$500,C$2,0),Техника!$F$4:$ABM$4,"Часы",INDEX(Техника!$G$1:$ABN$500,C$2,0),$A$186,INDEX(Техника!$H$1:$ABO$500,C$2,0),"Л")</f>
        <v>0</v>
      </c>
      <c r="D190" s="50">
        <f>SUMIFS(INDEX(Техника!$F$1:$ABM$500,D$2,0),Техника!$F$4:$ABM$4,"Часы",INDEX(Техника!$G$1:$ABN$500,D$2,0),$A$186,INDEX(Техника!$H$1:$ABO$500,D$2,0),"Л")</f>
        <v>0</v>
      </c>
      <c r="E190" s="50">
        <f>SUMIFS(INDEX(Техника!$F$1:$ABM$500,E$2,0),Техника!$F$4:$ABM$4,"Часы",INDEX(Техника!$G$1:$ABN$500,E$2,0),$A$186,INDEX(Техника!$H$1:$ABO$500,E$2,0),"Л")</f>
        <v>0</v>
      </c>
      <c r="F190" s="50">
        <f>SUMIFS(INDEX(Техника!$F$1:$ABM$500,F$2,0),Техника!$F$4:$ABM$4,"Часы",INDEX(Техника!$G$1:$ABN$500,F$2,0),$A$186,INDEX(Техника!$H$1:$ABO$500,F$2,0),"Л")</f>
        <v>0</v>
      </c>
      <c r="G190" s="50">
        <f>SUMIFS(INDEX(Техника!$F$1:$ABM$500,G$2,0),Техника!$F$4:$ABM$4,"Часы",INDEX(Техника!$G$1:$ABN$500,G$2,0),$A$186,INDEX(Техника!$H$1:$ABO$500,G$2,0),"Л")</f>
        <v>0</v>
      </c>
      <c r="H190" s="50">
        <f>SUMIFS(INDEX(Техника!$F$1:$ABM$500,H$2,0),Техника!$F$4:$ABM$4,"Часы",INDEX(Техника!$G$1:$ABN$500,H$2,0),$A$186,INDEX(Техника!$H$1:$ABO$500,H$2,0),"Л")</f>
        <v>0</v>
      </c>
      <c r="I190" s="50">
        <f>SUMIFS(INDEX(Техника!$F$1:$ABM$500,I$2,0),Техника!$F$4:$ABM$4,"Часы",INDEX(Техника!$G$1:$ABN$500,I$2,0),$A$186,INDEX(Техника!$H$1:$ABO$500,I$2,0),"Л")</f>
        <v>0</v>
      </c>
      <c r="J190" s="50">
        <f>SUMIFS(INDEX(Техника!$F$1:$ABM$500,J$2,0),Техника!$F$4:$ABM$4,"Часы",INDEX(Техника!$G$1:$ABN$500,J$2,0),$A$186,INDEX(Техника!$H$1:$ABO$500,J$2,0),"Л")</f>
        <v>0</v>
      </c>
      <c r="K190" s="50">
        <f>SUMIFS(INDEX(Техника!$F$1:$ABM$500,K$2,0),Техника!$F$4:$ABM$4,"Часы",INDEX(Техника!$G$1:$ABN$500,K$2,0),$A$186,INDEX(Техника!$H$1:$ABO$500,K$2,0),"Л")</f>
        <v>0</v>
      </c>
      <c r="L190" s="50">
        <f>SUMIFS(INDEX(Техника!$F$1:$ABM$500,L$2,0),Техника!$F$4:$ABM$4,"Часы",INDEX(Техника!$G$1:$ABN$500,L$2,0),$A$186,INDEX(Техника!$H$1:$ABO$500,L$2,0),"Л")</f>
        <v>0</v>
      </c>
      <c r="M190" s="50">
        <f>SUMIFS(INDEX(Техника!$F$1:$ABM$500,M$2,0),Техника!$F$4:$ABM$4,"Часы",INDEX(Техника!$G$1:$ABN$500,M$2,0),$A$186,INDEX(Техника!$H$1:$ABO$500,M$2,0),"Л")</f>
        <v>0</v>
      </c>
      <c r="N190" s="50">
        <f>SUMIFS(INDEX(Техника!$F$1:$ABM$500,N$2,0),Техника!$F$4:$ABM$4,"Часы",INDEX(Техника!$G$1:$ABN$500,N$2,0),$A$186,INDEX(Техника!$H$1:$ABO$500,N$2,0),"Л")</f>
        <v>0</v>
      </c>
      <c r="O190" s="50">
        <f>SUMIFS(INDEX(Техника!$F$1:$ABM$500,O$2,0),Техника!$F$4:$ABM$4,"Часы",INDEX(Техника!$G$1:$ABN$500,O$2,0),$A$186,INDEX(Техника!$H$1:$ABO$500,O$2,0),"Л")</f>
        <v>0</v>
      </c>
      <c r="P190" s="50">
        <f>SUMIFS(INDEX(Техника!$F$1:$ABM$500,P$2,0),Техника!$F$4:$ABM$4,"Часы",INDEX(Техника!$G$1:$ABN$500,P$2,0),$A$186,INDEX(Техника!$H$1:$ABO$500,P$2,0),"Л")</f>
        <v>0</v>
      </c>
      <c r="Q190" s="50">
        <f>SUMIFS(INDEX(Техника!$F$1:$ABM$500,Q$2,0),Техника!$F$4:$ABM$4,"Часы",INDEX(Техника!$G$1:$ABN$500,Q$2,0),$A$186,INDEX(Техника!$H$1:$ABO$500,Q$2,0),"Л")</f>
        <v>0</v>
      </c>
      <c r="R190" s="50">
        <f>SUMIFS(INDEX(Техника!$F$1:$ABM$500,R$2,0),Техника!$F$4:$ABM$4,"Часы",INDEX(Техника!$G$1:$ABN$500,R$2,0),$A$186,INDEX(Техника!$H$1:$ABO$500,R$2,0),"Л")</f>
        <v>0</v>
      </c>
      <c r="S190" s="50">
        <f>SUMIFS(INDEX(Техника!$F$1:$ABM$500,S$2,0),Техника!$F$4:$ABM$4,"Часы",INDEX(Техника!$G$1:$ABN$500,S$2,0),$A$186,INDEX(Техника!$H$1:$ABO$500,S$2,0),"Л")</f>
        <v>0</v>
      </c>
      <c r="T190" s="50">
        <f>SUMIFS(INDEX(Техника!$F$1:$ABM$500,T$2,0),Техника!$F$4:$ABM$4,"Часы",INDEX(Техника!$G$1:$ABN$500,T$2,0),$A$186,INDEX(Техника!$H$1:$ABO$500,T$2,0),"Л")</f>
        <v>0</v>
      </c>
      <c r="U190" s="50">
        <f>SUMIFS(INDEX(Техника!$F$1:$ABM$500,U$2,0),Техника!$F$4:$ABM$4,"Часы",INDEX(Техника!$G$1:$ABN$500,U$2,0),$A$186,INDEX(Техника!$H$1:$ABO$500,U$2,0),"Л")</f>
        <v>0</v>
      </c>
      <c r="V190" s="50">
        <f>SUMIFS(INDEX(Техника!$F$1:$ABM$500,V$2,0),Техника!$F$4:$ABM$4,"Часы",INDEX(Техника!$G$1:$ABN$500,V$2,0),$A$186,INDEX(Техника!$H$1:$ABO$500,V$2,0),"Л")</f>
        <v>0</v>
      </c>
      <c r="W190" s="50">
        <f>SUMIFS(INDEX(Техника!$F$1:$ABM$500,W$2,0),Техника!$F$4:$ABM$4,"Часы",INDEX(Техника!$G$1:$ABN$500,W$2,0),$A$186,INDEX(Техника!$H$1:$ABO$500,W$2,0),"Л")</f>
        <v>0</v>
      </c>
      <c r="X190" s="50">
        <f>SUMIFS(INDEX(Техника!$F$1:$ABM$500,X$2,0),Техника!$F$4:$ABM$4,"Часы",INDEX(Техника!$G$1:$ABN$500,X$2,0),$A$186,INDEX(Техника!$H$1:$ABO$500,X$2,0),"Л")</f>
        <v>0</v>
      </c>
      <c r="Y190" s="50">
        <f>SUMIFS(INDEX(Техника!$F$1:$ABM$500,Y$2,0),Техника!$F$4:$ABM$4,"Часы",INDEX(Техника!$G$1:$ABN$500,Y$2,0),$A$186,INDEX(Техника!$H$1:$ABO$500,Y$2,0),"Л")</f>
        <v>0</v>
      </c>
      <c r="Z190" s="50">
        <f>SUMIFS(INDEX(Техника!$F$1:$ABM$500,Z$2,0),Техника!$F$4:$ABM$4,"Часы",INDEX(Техника!$G$1:$ABN$500,Z$2,0),$A$186,INDEX(Техника!$H$1:$ABO$500,Z$2,0),"Л")</f>
        <v>0</v>
      </c>
      <c r="AA190" s="50">
        <f>SUMIFS(INDEX(Техника!$F$1:$ABM$500,AA$2,0),Техника!$F$4:$ABM$4,"Часы",INDEX(Техника!$G$1:$ABN$500,AA$2,0),$A$186,INDEX(Техника!$H$1:$ABO$500,AA$2,0),"Л")</f>
        <v>0</v>
      </c>
      <c r="AB190" s="50">
        <f>SUMIFS(INDEX(Техника!$F$1:$ABM$500,AB$2,0),Техника!$F$4:$ABM$4,"Часы",INDEX(Техника!$G$1:$ABN$500,AB$2,0),$A$186,INDEX(Техника!$H$1:$ABO$500,AB$2,0),"Л")</f>
        <v>0</v>
      </c>
    </row>
    <row r="191" spans="1:28" hidden="1" outlineLevel="1" x14ac:dyDescent="0.3">
      <c r="A191" s="33" t="s">
        <v>245</v>
      </c>
      <c r="B191" s="34" t="s">
        <v>279</v>
      </c>
      <c r="C191" s="50">
        <f>SUMIFS(INDEX(Техника!$F$1:$ABM$500,C$2,0),Техника!$F$4:$ABM$4,"Часы",INDEX(Техника!$G$1:$ABN$500,C$2,0),$A$186,INDEX(Техника!$H$1:$ABO$500,C$2,0),"З")</f>
        <v>0</v>
      </c>
      <c r="D191" s="50">
        <f>SUMIFS(INDEX(Техника!$F$1:$ABM$500,D$2,0),Техника!$F$4:$ABM$4,"Часы",INDEX(Техника!$G$1:$ABN$500,D$2,0),$A$186,INDEX(Техника!$H$1:$ABO$500,D$2,0),"З")</f>
        <v>0</v>
      </c>
      <c r="E191" s="50">
        <f>SUMIFS(INDEX(Техника!$F$1:$ABM$500,E$2,0),Техника!$F$4:$ABM$4,"Часы",INDEX(Техника!$G$1:$ABN$500,E$2,0),$A$186,INDEX(Техника!$H$1:$ABO$500,E$2,0),"З")</f>
        <v>0</v>
      </c>
      <c r="F191" s="50">
        <f>SUMIFS(INDEX(Техника!$F$1:$ABM$500,F$2,0),Техника!$F$4:$ABM$4,"Часы",INDEX(Техника!$G$1:$ABN$500,F$2,0),$A$186,INDEX(Техника!$H$1:$ABO$500,F$2,0),"З")</f>
        <v>0</v>
      </c>
      <c r="G191" s="50">
        <f>SUMIFS(INDEX(Техника!$F$1:$ABM$500,G$2,0),Техника!$F$4:$ABM$4,"Часы",INDEX(Техника!$G$1:$ABN$500,G$2,0),$A$186,INDEX(Техника!$H$1:$ABO$500,G$2,0),"З")</f>
        <v>0</v>
      </c>
      <c r="H191" s="50">
        <f>SUMIFS(INDEX(Техника!$F$1:$ABM$500,H$2,0),Техника!$F$4:$ABM$4,"Часы",INDEX(Техника!$G$1:$ABN$500,H$2,0),$A$186,INDEX(Техника!$H$1:$ABO$500,H$2,0),"З")</f>
        <v>0</v>
      </c>
      <c r="I191" s="50">
        <f>SUMIFS(INDEX(Техника!$F$1:$ABM$500,I$2,0),Техника!$F$4:$ABM$4,"Часы",INDEX(Техника!$G$1:$ABN$500,I$2,0),$A$186,INDEX(Техника!$H$1:$ABO$500,I$2,0),"З")</f>
        <v>0</v>
      </c>
      <c r="J191" s="50">
        <f>SUMIFS(INDEX(Техника!$F$1:$ABM$500,J$2,0),Техника!$F$4:$ABM$4,"Часы",INDEX(Техника!$G$1:$ABN$500,J$2,0),$A$186,INDEX(Техника!$H$1:$ABO$500,J$2,0),"З")</f>
        <v>0</v>
      </c>
      <c r="K191" s="50">
        <f>SUMIFS(INDEX(Техника!$F$1:$ABM$500,K$2,0),Техника!$F$4:$ABM$4,"Часы",INDEX(Техника!$G$1:$ABN$500,K$2,0),$A$186,INDEX(Техника!$H$1:$ABO$500,K$2,0),"З")</f>
        <v>0</v>
      </c>
      <c r="L191" s="50">
        <f>SUMIFS(INDEX(Техника!$F$1:$ABM$500,L$2,0),Техника!$F$4:$ABM$4,"Часы",INDEX(Техника!$G$1:$ABN$500,L$2,0),$A$186,INDEX(Техника!$H$1:$ABO$500,L$2,0),"З")</f>
        <v>0</v>
      </c>
      <c r="M191" s="50">
        <f>SUMIFS(INDEX(Техника!$F$1:$ABM$500,M$2,0),Техника!$F$4:$ABM$4,"Часы",INDEX(Техника!$G$1:$ABN$500,M$2,0),$A$186,INDEX(Техника!$H$1:$ABO$500,M$2,0),"З")</f>
        <v>0</v>
      </c>
      <c r="N191" s="50">
        <f>SUMIFS(INDEX(Техника!$F$1:$ABM$500,N$2,0),Техника!$F$4:$ABM$4,"Часы",INDEX(Техника!$G$1:$ABN$500,N$2,0),$A$186,INDEX(Техника!$H$1:$ABO$500,N$2,0),"З")</f>
        <v>0</v>
      </c>
      <c r="O191" s="50">
        <f>SUMIFS(INDEX(Техника!$F$1:$ABM$500,O$2,0),Техника!$F$4:$ABM$4,"Часы",INDEX(Техника!$G$1:$ABN$500,O$2,0),$A$186,INDEX(Техника!$H$1:$ABO$500,O$2,0),"З")</f>
        <v>0</v>
      </c>
      <c r="P191" s="50">
        <f>SUMIFS(INDEX(Техника!$F$1:$ABM$500,P$2,0),Техника!$F$4:$ABM$4,"Часы",INDEX(Техника!$G$1:$ABN$500,P$2,0),$A$186,INDEX(Техника!$H$1:$ABO$500,P$2,0),"З")</f>
        <v>0</v>
      </c>
      <c r="Q191" s="50">
        <f>SUMIFS(INDEX(Техника!$F$1:$ABM$500,Q$2,0),Техника!$F$4:$ABM$4,"Часы",INDEX(Техника!$G$1:$ABN$500,Q$2,0),$A$186,INDEX(Техника!$H$1:$ABO$500,Q$2,0),"З")</f>
        <v>0</v>
      </c>
      <c r="R191" s="50">
        <f>SUMIFS(INDEX(Техника!$F$1:$ABM$500,R$2,0),Техника!$F$4:$ABM$4,"Часы",INDEX(Техника!$G$1:$ABN$500,R$2,0),$A$186,INDEX(Техника!$H$1:$ABO$500,R$2,0),"З")</f>
        <v>0</v>
      </c>
      <c r="S191" s="50">
        <f>SUMIFS(INDEX(Техника!$F$1:$ABM$500,S$2,0),Техника!$F$4:$ABM$4,"Часы",INDEX(Техника!$G$1:$ABN$500,S$2,0),$A$186,INDEX(Техника!$H$1:$ABO$500,S$2,0),"З")</f>
        <v>0</v>
      </c>
      <c r="T191" s="50">
        <f>SUMIFS(INDEX(Техника!$F$1:$ABM$500,T$2,0),Техника!$F$4:$ABM$4,"Часы",INDEX(Техника!$G$1:$ABN$500,T$2,0),$A$186,INDEX(Техника!$H$1:$ABO$500,T$2,0),"З")</f>
        <v>0</v>
      </c>
      <c r="U191" s="50">
        <f>SUMIFS(INDEX(Техника!$F$1:$ABM$500,U$2,0),Техника!$F$4:$ABM$4,"Часы",INDEX(Техника!$G$1:$ABN$500,U$2,0),$A$186,INDEX(Техника!$H$1:$ABO$500,U$2,0),"З")</f>
        <v>0</v>
      </c>
      <c r="V191" s="50">
        <f>SUMIFS(INDEX(Техника!$F$1:$ABM$500,V$2,0),Техника!$F$4:$ABM$4,"Часы",INDEX(Техника!$G$1:$ABN$500,V$2,0),$A$186,INDEX(Техника!$H$1:$ABO$500,V$2,0),"З")</f>
        <v>0</v>
      </c>
      <c r="W191" s="50">
        <f>SUMIFS(INDEX(Техника!$F$1:$ABM$500,W$2,0),Техника!$F$4:$ABM$4,"Часы",INDEX(Техника!$G$1:$ABN$500,W$2,0),$A$186,INDEX(Техника!$H$1:$ABO$500,W$2,0),"З")</f>
        <v>0</v>
      </c>
      <c r="X191" s="50">
        <f>SUMIFS(INDEX(Техника!$F$1:$ABM$500,X$2,0),Техника!$F$4:$ABM$4,"Часы",INDEX(Техника!$G$1:$ABN$500,X$2,0),$A$186,INDEX(Техника!$H$1:$ABO$500,X$2,0),"З")</f>
        <v>0</v>
      </c>
      <c r="Y191" s="50">
        <f>SUMIFS(INDEX(Техника!$F$1:$ABM$500,Y$2,0),Техника!$F$4:$ABM$4,"Часы",INDEX(Техника!$G$1:$ABN$500,Y$2,0),$A$186,INDEX(Техника!$H$1:$ABO$500,Y$2,0),"З")</f>
        <v>0</v>
      </c>
      <c r="Z191" s="50">
        <f>SUMIFS(INDEX(Техника!$F$1:$ABM$500,Z$2,0),Техника!$F$4:$ABM$4,"Часы",INDEX(Техника!$G$1:$ABN$500,Z$2,0),$A$186,INDEX(Техника!$H$1:$ABO$500,Z$2,0),"З")</f>
        <v>0</v>
      </c>
      <c r="AA191" s="50">
        <f>SUMIFS(INDEX(Техника!$F$1:$ABM$500,AA$2,0),Техника!$F$4:$ABM$4,"Часы",INDEX(Техника!$G$1:$ABN$500,AA$2,0),$A$186,INDEX(Техника!$H$1:$ABO$500,AA$2,0),"З")</f>
        <v>0</v>
      </c>
      <c r="AB191" s="50">
        <f>SUMIFS(INDEX(Техника!$F$1:$ABM$500,AB$2,0),Техника!$F$4:$ABM$4,"Часы",INDEX(Техника!$G$1:$ABN$500,AB$2,0),$A$186,INDEX(Техника!$H$1:$ABO$500,AB$2,0),"З")</f>
        <v>0</v>
      </c>
    </row>
    <row r="192" spans="1:28" ht="7.95" customHeight="1" x14ac:dyDescent="0.3">
      <c r="A192" s="38"/>
      <c r="B192" s="39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 spans="1:28" ht="25.05" customHeight="1" collapsed="1" x14ac:dyDescent="0.3">
      <c r="A193" s="32">
        <v>28</v>
      </c>
      <c r="B193" s="32" t="s">
        <v>29</v>
      </c>
      <c r="C193" s="49">
        <f>SUM(C194:C198)</f>
        <v>0</v>
      </c>
      <c r="D193" s="49">
        <f>SUM(D194:D198)</f>
        <v>0</v>
      </c>
      <c r="E193" s="49">
        <f>SUM(E194:E198)</f>
        <v>0</v>
      </c>
      <c r="F193" s="49">
        <f>SUM(F194:F198)</f>
        <v>0</v>
      </c>
      <c r="G193" s="49">
        <f>SUM(G194:G198)</f>
        <v>0</v>
      </c>
      <c r="H193" s="49">
        <f>SUM(H194:H198)</f>
        <v>0</v>
      </c>
      <c r="I193" s="49">
        <f>SUM(I194:I198)</f>
        <v>0</v>
      </c>
      <c r="J193" s="49">
        <f>SUM(J194:J198)</f>
        <v>0</v>
      </c>
      <c r="K193" s="49">
        <f>SUM(K194:K198)</f>
        <v>0</v>
      </c>
      <c r="L193" s="49">
        <f>SUM(L194:L198)</f>
        <v>0</v>
      </c>
      <c r="M193" s="49">
        <f>SUM(M194:M198)</f>
        <v>0</v>
      </c>
      <c r="N193" s="49">
        <f>SUM(N194:N198)</f>
        <v>0</v>
      </c>
      <c r="O193" s="49">
        <f>SUM(O194:O198)</f>
        <v>0</v>
      </c>
      <c r="P193" s="49">
        <f>SUM(P194:P198)</f>
        <v>0</v>
      </c>
      <c r="Q193" s="49">
        <f>SUM(Q194:Q198)</f>
        <v>0</v>
      </c>
      <c r="R193" s="49">
        <f>SUM(R194:R198)</f>
        <v>0</v>
      </c>
      <c r="S193" s="49">
        <f>SUM(S194:S198)</f>
        <v>0</v>
      </c>
      <c r="T193" s="49">
        <f>SUM(T194:T198)</f>
        <v>0</v>
      </c>
      <c r="U193" s="49">
        <f>SUM(U194:U198)</f>
        <v>0</v>
      </c>
      <c r="V193" s="49">
        <f>SUM(V194:V198)</f>
        <v>0</v>
      </c>
      <c r="W193" s="49">
        <f>SUM(W194:W198)</f>
        <v>0</v>
      </c>
      <c r="X193" s="49">
        <f>SUM(X194:X198)</f>
        <v>0</v>
      </c>
      <c r="Y193" s="49">
        <f>SUM(Y194:Y198)</f>
        <v>0</v>
      </c>
      <c r="Z193" s="49">
        <f>SUM(Z194:Z198)</f>
        <v>0</v>
      </c>
      <c r="AA193" s="49">
        <f>SUM(AA194:AA198)</f>
        <v>0</v>
      </c>
      <c r="AB193" s="49">
        <f>SUM(AB194:AB198)</f>
        <v>0</v>
      </c>
    </row>
    <row r="194" spans="1:28" hidden="1" outlineLevel="1" x14ac:dyDescent="0.3">
      <c r="A194" s="33" t="s">
        <v>246</v>
      </c>
      <c r="B194" s="34" t="s">
        <v>274</v>
      </c>
      <c r="C194" s="50">
        <f>SUMIFS(INDEX(Техника!$F$1:$ABM$500,C$2,0),Техника!$F$4:$ABM$4,"Часы",INDEX(Техника!$G$1:$ABN$500,C$2,0),$A$193,INDEX(Техника!$H$1:$ABO$500,C$2,0),"М")</f>
        <v>0</v>
      </c>
      <c r="D194" s="50">
        <f>SUMIFS(INDEX(Техника!$F$1:$ABM$500,D$2,0),Техника!$F$4:$ABM$4,"Часы",INDEX(Техника!$G$1:$ABN$500,D$2,0),$A$193,INDEX(Техника!$H$1:$ABO$500,D$2,0),"М")</f>
        <v>0</v>
      </c>
      <c r="E194" s="50">
        <f>SUMIFS(INDEX(Техника!$F$1:$ABM$500,E$2,0),Техника!$F$4:$ABM$4,"Часы",INDEX(Техника!$G$1:$ABN$500,E$2,0),$A$193,INDEX(Техника!$H$1:$ABO$500,E$2,0),"М")</f>
        <v>0</v>
      </c>
      <c r="F194" s="50">
        <f>SUMIFS(INDEX(Техника!$F$1:$ABM$500,F$2,0),Техника!$F$4:$ABM$4,"Часы",INDEX(Техника!$G$1:$ABN$500,F$2,0),$A$193,INDEX(Техника!$H$1:$ABO$500,F$2,0),"М")</f>
        <v>0</v>
      </c>
      <c r="G194" s="50">
        <f>SUMIFS(INDEX(Техника!$F$1:$ABM$500,G$2,0),Техника!$F$4:$ABM$4,"Часы",INDEX(Техника!$G$1:$ABN$500,G$2,0),$A$193,INDEX(Техника!$H$1:$ABO$500,G$2,0),"М")</f>
        <v>0</v>
      </c>
      <c r="H194" s="50">
        <f>SUMIFS(INDEX(Техника!$F$1:$ABM$500,H$2,0),Техника!$F$4:$ABM$4,"Часы",INDEX(Техника!$G$1:$ABN$500,H$2,0),$A$193,INDEX(Техника!$H$1:$ABO$500,H$2,0),"М")</f>
        <v>0</v>
      </c>
      <c r="I194" s="50">
        <f>SUMIFS(INDEX(Техника!$F$1:$ABM$500,I$2,0),Техника!$F$4:$ABM$4,"Часы",INDEX(Техника!$G$1:$ABN$500,I$2,0),$A$193,INDEX(Техника!$H$1:$ABO$500,I$2,0),"М")</f>
        <v>0</v>
      </c>
      <c r="J194" s="50">
        <f>SUMIFS(INDEX(Техника!$F$1:$ABM$500,J$2,0),Техника!$F$4:$ABM$4,"Часы",INDEX(Техника!$G$1:$ABN$500,J$2,0),$A$193,INDEX(Техника!$H$1:$ABO$500,J$2,0),"М")</f>
        <v>0</v>
      </c>
      <c r="K194" s="50">
        <f>SUMIFS(INDEX(Техника!$F$1:$ABM$500,K$2,0),Техника!$F$4:$ABM$4,"Часы",INDEX(Техника!$G$1:$ABN$500,K$2,0),$A$193,INDEX(Техника!$H$1:$ABO$500,K$2,0),"М")</f>
        <v>0</v>
      </c>
      <c r="L194" s="50">
        <f>SUMIFS(INDEX(Техника!$F$1:$ABM$500,L$2,0),Техника!$F$4:$ABM$4,"Часы",INDEX(Техника!$G$1:$ABN$500,L$2,0),$A$193,INDEX(Техника!$H$1:$ABO$500,L$2,0),"М")</f>
        <v>0</v>
      </c>
      <c r="M194" s="50">
        <f>SUMIFS(INDEX(Техника!$F$1:$ABM$500,M$2,0),Техника!$F$4:$ABM$4,"Часы",INDEX(Техника!$G$1:$ABN$500,M$2,0),$A$193,INDEX(Техника!$H$1:$ABO$500,M$2,0),"М")</f>
        <v>0</v>
      </c>
      <c r="N194" s="50">
        <f>SUMIFS(INDEX(Техника!$F$1:$ABM$500,N$2,0),Техника!$F$4:$ABM$4,"Часы",INDEX(Техника!$G$1:$ABN$500,N$2,0),$A$193,INDEX(Техника!$H$1:$ABO$500,N$2,0),"М")</f>
        <v>0</v>
      </c>
      <c r="O194" s="50">
        <f>SUMIFS(INDEX(Техника!$F$1:$ABM$500,O$2,0),Техника!$F$4:$ABM$4,"Часы",INDEX(Техника!$G$1:$ABN$500,O$2,0),$A$193,INDEX(Техника!$H$1:$ABO$500,O$2,0),"М")</f>
        <v>0</v>
      </c>
      <c r="P194" s="50">
        <f>SUMIFS(INDEX(Техника!$F$1:$ABM$500,P$2,0),Техника!$F$4:$ABM$4,"Часы",INDEX(Техника!$G$1:$ABN$500,P$2,0),$A$193,INDEX(Техника!$H$1:$ABO$500,P$2,0),"М")</f>
        <v>0</v>
      </c>
      <c r="Q194" s="50">
        <f>SUMIFS(INDEX(Техника!$F$1:$ABM$500,Q$2,0),Техника!$F$4:$ABM$4,"Часы",INDEX(Техника!$G$1:$ABN$500,Q$2,0),$A$193,INDEX(Техника!$H$1:$ABO$500,Q$2,0),"М")</f>
        <v>0</v>
      </c>
      <c r="R194" s="50">
        <f>SUMIFS(INDEX(Техника!$F$1:$ABM$500,R$2,0),Техника!$F$4:$ABM$4,"Часы",INDEX(Техника!$G$1:$ABN$500,R$2,0),$A$193,INDEX(Техника!$H$1:$ABO$500,R$2,0),"М")</f>
        <v>0</v>
      </c>
      <c r="S194" s="50">
        <f>SUMIFS(INDEX(Техника!$F$1:$ABM$500,S$2,0),Техника!$F$4:$ABM$4,"Часы",INDEX(Техника!$G$1:$ABN$500,S$2,0),$A$193,INDEX(Техника!$H$1:$ABO$500,S$2,0),"М")</f>
        <v>0</v>
      </c>
      <c r="T194" s="50">
        <f>SUMIFS(INDEX(Техника!$F$1:$ABM$500,T$2,0),Техника!$F$4:$ABM$4,"Часы",INDEX(Техника!$G$1:$ABN$500,T$2,0),$A$193,INDEX(Техника!$H$1:$ABO$500,T$2,0),"М")</f>
        <v>0</v>
      </c>
      <c r="U194" s="50">
        <f>SUMIFS(INDEX(Техника!$F$1:$ABM$500,U$2,0),Техника!$F$4:$ABM$4,"Часы",INDEX(Техника!$G$1:$ABN$500,U$2,0),$A$193,INDEX(Техника!$H$1:$ABO$500,U$2,0),"М")</f>
        <v>0</v>
      </c>
      <c r="V194" s="50">
        <f>SUMIFS(INDEX(Техника!$F$1:$ABM$500,V$2,0),Техника!$F$4:$ABM$4,"Часы",INDEX(Техника!$G$1:$ABN$500,V$2,0),$A$193,INDEX(Техника!$H$1:$ABO$500,V$2,0),"М")</f>
        <v>0</v>
      </c>
      <c r="W194" s="50">
        <f>SUMIFS(INDEX(Техника!$F$1:$ABM$500,W$2,0),Техника!$F$4:$ABM$4,"Часы",INDEX(Техника!$G$1:$ABN$500,W$2,0),$A$193,INDEX(Техника!$H$1:$ABO$500,W$2,0),"М")</f>
        <v>0</v>
      </c>
      <c r="X194" s="50">
        <f>SUMIFS(INDEX(Техника!$F$1:$ABM$500,X$2,0),Техника!$F$4:$ABM$4,"Часы",INDEX(Техника!$G$1:$ABN$500,X$2,0),$A$193,INDEX(Техника!$H$1:$ABO$500,X$2,0),"М")</f>
        <v>0</v>
      </c>
      <c r="Y194" s="50">
        <f>SUMIFS(INDEX(Техника!$F$1:$ABM$500,Y$2,0),Техника!$F$4:$ABM$4,"Часы",INDEX(Техника!$G$1:$ABN$500,Y$2,0),$A$193,INDEX(Техника!$H$1:$ABO$500,Y$2,0),"М")</f>
        <v>0</v>
      </c>
      <c r="Z194" s="50">
        <f>SUMIFS(INDEX(Техника!$F$1:$ABM$500,Z$2,0),Техника!$F$4:$ABM$4,"Часы",INDEX(Техника!$G$1:$ABN$500,Z$2,0),$A$193,INDEX(Техника!$H$1:$ABO$500,Z$2,0),"М")</f>
        <v>0</v>
      </c>
      <c r="AA194" s="50">
        <f>SUMIFS(INDEX(Техника!$F$1:$ABM$500,AA$2,0),Техника!$F$4:$ABM$4,"Часы",INDEX(Техника!$G$1:$ABN$500,AA$2,0),$A$193,INDEX(Техника!$H$1:$ABO$500,AA$2,0),"М")</f>
        <v>0</v>
      </c>
      <c r="AB194" s="50">
        <f>SUMIFS(INDEX(Техника!$F$1:$ABM$500,AB$2,0),Техника!$F$4:$ABM$4,"Часы",INDEX(Техника!$G$1:$ABN$500,AB$2,0),$A$193,INDEX(Техника!$H$1:$ABO$500,AB$2,0),"М")</f>
        <v>0</v>
      </c>
    </row>
    <row r="195" spans="1:28" hidden="1" outlineLevel="1" x14ac:dyDescent="0.3">
      <c r="A195" s="33" t="s">
        <v>244</v>
      </c>
      <c r="B195" s="34" t="s">
        <v>275</v>
      </c>
      <c r="C195" s="50">
        <f>SUMIFS(INDEX(Техника!$F$1:$ABM$500,C$2,0),Техника!$F$4:$ABM$4,"Часы",INDEX(Техника!$G$1:$ABN$500,C$2,0),$A$193,INDEX(Техника!$H$1:$ABO$500,C$2,0),"Д")</f>
        <v>0</v>
      </c>
      <c r="D195" s="50">
        <f>SUMIFS(INDEX(Техника!$F$1:$ABM$500,D$2,0),Техника!$F$4:$ABM$4,"Часы",INDEX(Техника!$G$1:$ABN$500,D$2,0),$A$193,INDEX(Техника!$H$1:$ABO$500,D$2,0),"Д")</f>
        <v>0</v>
      </c>
      <c r="E195" s="50">
        <f>SUMIFS(INDEX(Техника!$F$1:$ABM$500,E$2,0),Техника!$F$4:$ABM$4,"Часы",INDEX(Техника!$G$1:$ABN$500,E$2,0),$A$193,INDEX(Техника!$H$1:$ABO$500,E$2,0),"Д")</f>
        <v>0</v>
      </c>
      <c r="F195" s="50">
        <f>SUMIFS(INDEX(Техника!$F$1:$ABM$500,F$2,0),Техника!$F$4:$ABM$4,"Часы",INDEX(Техника!$G$1:$ABN$500,F$2,0),$A$193,INDEX(Техника!$H$1:$ABO$500,F$2,0),"Д")</f>
        <v>0</v>
      </c>
      <c r="G195" s="50">
        <f>SUMIFS(INDEX(Техника!$F$1:$ABM$500,G$2,0),Техника!$F$4:$ABM$4,"Часы",INDEX(Техника!$G$1:$ABN$500,G$2,0),$A$193,INDEX(Техника!$H$1:$ABO$500,G$2,0),"Д")</f>
        <v>0</v>
      </c>
      <c r="H195" s="50">
        <f>SUMIFS(INDEX(Техника!$F$1:$ABM$500,H$2,0),Техника!$F$4:$ABM$4,"Часы",INDEX(Техника!$G$1:$ABN$500,H$2,0),$A$193,INDEX(Техника!$H$1:$ABO$500,H$2,0),"Д")</f>
        <v>0</v>
      </c>
      <c r="I195" s="50">
        <f>SUMIFS(INDEX(Техника!$F$1:$ABM$500,I$2,0),Техника!$F$4:$ABM$4,"Часы",INDEX(Техника!$G$1:$ABN$500,I$2,0),$A$193,INDEX(Техника!$H$1:$ABO$500,I$2,0),"Д")</f>
        <v>0</v>
      </c>
      <c r="J195" s="50">
        <f>SUMIFS(INDEX(Техника!$F$1:$ABM$500,J$2,0),Техника!$F$4:$ABM$4,"Часы",INDEX(Техника!$G$1:$ABN$500,J$2,0),$A$193,INDEX(Техника!$H$1:$ABO$500,J$2,0),"Д")</f>
        <v>0</v>
      </c>
      <c r="K195" s="50">
        <f>SUMIFS(INDEX(Техника!$F$1:$ABM$500,K$2,0),Техника!$F$4:$ABM$4,"Часы",INDEX(Техника!$G$1:$ABN$500,K$2,0),$A$193,INDEX(Техника!$H$1:$ABO$500,K$2,0),"Д")</f>
        <v>0</v>
      </c>
      <c r="L195" s="50">
        <f>SUMIFS(INDEX(Техника!$F$1:$ABM$500,L$2,0),Техника!$F$4:$ABM$4,"Часы",INDEX(Техника!$G$1:$ABN$500,L$2,0),$A$193,INDEX(Техника!$H$1:$ABO$500,L$2,0),"Д")</f>
        <v>0</v>
      </c>
      <c r="M195" s="50">
        <f>SUMIFS(INDEX(Техника!$F$1:$ABM$500,M$2,0),Техника!$F$4:$ABM$4,"Часы",INDEX(Техника!$G$1:$ABN$500,M$2,0),$A$193,INDEX(Техника!$H$1:$ABO$500,M$2,0),"Д")</f>
        <v>0</v>
      </c>
      <c r="N195" s="50">
        <f>SUMIFS(INDEX(Техника!$F$1:$ABM$500,N$2,0),Техника!$F$4:$ABM$4,"Часы",INDEX(Техника!$G$1:$ABN$500,N$2,0),$A$193,INDEX(Техника!$H$1:$ABO$500,N$2,0),"Д")</f>
        <v>0</v>
      </c>
      <c r="O195" s="50">
        <f>SUMIFS(INDEX(Техника!$F$1:$ABM$500,O$2,0),Техника!$F$4:$ABM$4,"Часы",INDEX(Техника!$G$1:$ABN$500,O$2,0),$A$193,INDEX(Техника!$H$1:$ABO$500,O$2,0),"Д")</f>
        <v>0</v>
      </c>
      <c r="P195" s="50">
        <f>SUMIFS(INDEX(Техника!$F$1:$ABM$500,P$2,0),Техника!$F$4:$ABM$4,"Часы",INDEX(Техника!$G$1:$ABN$500,P$2,0),$A$193,INDEX(Техника!$H$1:$ABO$500,P$2,0),"Д")</f>
        <v>0</v>
      </c>
      <c r="Q195" s="50">
        <f>SUMIFS(INDEX(Техника!$F$1:$ABM$500,Q$2,0),Техника!$F$4:$ABM$4,"Часы",INDEX(Техника!$G$1:$ABN$500,Q$2,0),$A$193,INDEX(Техника!$H$1:$ABO$500,Q$2,0),"Д")</f>
        <v>0</v>
      </c>
      <c r="R195" s="50">
        <f>SUMIFS(INDEX(Техника!$F$1:$ABM$500,R$2,0),Техника!$F$4:$ABM$4,"Часы",INDEX(Техника!$G$1:$ABN$500,R$2,0),$A$193,INDEX(Техника!$H$1:$ABO$500,R$2,0),"Д")</f>
        <v>0</v>
      </c>
      <c r="S195" s="50">
        <f>SUMIFS(INDEX(Техника!$F$1:$ABM$500,S$2,0),Техника!$F$4:$ABM$4,"Часы",INDEX(Техника!$G$1:$ABN$500,S$2,0),$A$193,INDEX(Техника!$H$1:$ABO$500,S$2,0),"Д")</f>
        <v>0</v>
      </c>
      <c r="T195" s="50">
        <f>SUMIFS(INDEX(Техника!$F$1:$ABM$500,T$2,0),Техника!$F$4:$ABM$4,"Часы",INDEX(Техника!$G$1:$ABN$500,T$2,0),$A$193,INDEX(Техника!$H$1:$ABO$500,T$2,0),"Д")</f>
        <v>0</v>
      </c>
      <c r="U195" s="50">
        <f>SUMIFS(INDEX(Техника!$F$1:$ABM$500,U$2,0),Техника!$F$4:$ABM$4,"Часы",INDEX(Техника!$G$1:$ABN$500,U$2,0),$A$193,INDEX(Техника!$H$1:$ABO$500,U$2,0),"Д")</f>
        <v>0</v>
      </c>
      <c r="V195" s="50">
        <f>SUMIFS(INDEX(Техника!$F$1:$ABM$500,V$2,0),Техника!$F$4:$ABM$4,"Часы",INDEX(Техника!$G$1:$ABN$500,V$2,0),$A$193,INDEX(Техника!$H$1:$ABO$500,V$2,0),"Д")</f>
        <v>0</v>
      </c>
      <c r="W195" s="50">
        <f>SUMIFS(INDEX(Техника!$F$1:$ABM$500,W$2,0),Техника!$F$4:$ABM$4,"Часы",INDEX(Техника!$G$1:$ABN$500,W$2,0),$A$193,INDEX(Техника!$H$1:$ABO$500,W$2,0),"Д")</f>
        <v>0</v>
      </c>
      <c r="X195" s="50">
        <f>SUMIFS(INDEX(Техника!$F$1:$ABM$500,X$2,0),Техника!$F$4:$ABM$4,"Часы",INDEX(Техника!$G$1:$ABN$500,X$2,0),$A$193,INDEX(Техника!$H$1:$ABO$500,X$2,0),"Д")</f>
        <v>0</v>
      </c>
      <c r="Y195" s="50">
        <f>SUMIFS(INDEX(Техника!$F$1:$ABM$500,Y$2,0),Техника!$F$4:$ABM$4,"Часы",INDEX(Техника!$G$1:$ABN$500,Y$2,0),$A$193,INDEX(Техника!$H$1:$ABO$500,Y$2,0),"Д")</f>
        <v>0</v>
      </c>
      <c r="Z195" s="50">
        <f>SUMIFS(INDEX(Техника!$F$1:$ABM$500,Z$2,0),Техника!$F$4:$ABM$4,"Часы",INDEX(Техника!$G$1:$ABN$500,Z$2,0),$A$193,INDEX(Техника!$H$1:$ABO$500,Z$2,0),"Д")</f>
        <v>0</v>
      </c>
      <c r="AA195" s="50">
        <f>SUMIFS(INDEX(Техника!$F$1:$ABM$500,AA$2,0),Техника!$F$4:$ABM$4,"Часы",INDEX(Техника!$G$1:$ABN$500,AA$2,0),$A$193,INDEX(Техника!$H$1:$ABO$500,AA$2,0),"Д")</f>
        <v>0</v>
      </c>
      <c r="AB195" s="50">
        <f>SUMIFS(INDEX(Техника!$F$1:$ABM$500,AB$2,0),Техника!$F$4:$ABM$4,"Часы",INDEX(Техника!$G$1:$ABN$500,AB$2,0),$A$193,INDEX(Техника!$H$1:$ABO$500,AB$2,0),"Д")</f>
        <v>0</v>
      </c>
    </row>
    <row r="196" spans="1:28" hidden="1" outlineLevel="1" x14ac:dyDescent="0.3">
      <c r="A196" s="33" t="s">
        <v>276</v>
      </c>
      <c r="B196" s="34" t="s">
        <v>277</v>
      </c>
      <c r="C196" s="50">
        <f>SUMIFS(INDEX(Техника!$F$1:$ABM$500,C$2,0),Техника!$F$4:$ABM$4,"Часы",INDEX(Техника!$G$1:$ABN$500,C$2,0),$A$193,INDEX(Техника!$H$1:$ABO$500,C$2,0),"П")</f>
        <v>0</v>
      </c>
      <c r="D196" s="50">
        <f>SUMIFS(INDEX(Техника!$F$1:$ABM$500,D$2,0),Техника!$F$4:$ABM$4,"Часы",INDEX(Техника!$G$1:$ABN$500,D$2,0),$A$193,INDEX(Техника!$H$1:$ABO$500,D$2,0),"П")</f>
        <v>0</v>
      </c>
      <c r="E196" s="50">
        <f>SUMIFS(INDEX(Техника!$F$1:$ABM$500,E$2,0),Техника!$F$4:$ABM$4,"Часы",INDEX(Техника!$G$1:$ABN$500,E$2,0),$A$193,INDEX(Техника!$H$1:$ABO$500,E$2,0),"П")</f>
        <v>0</v>
      </c>
      <c r="F196" s="50">
        <f>SUMIFS(INDEX(Техника!$F$1:$ABM$500,F$2,0),Техника!$F$4:$ABM$4,"Часы",INDEX(Техника!$G$1:$ABN$500,F$2,0),$A$193,INDEX(Техника!$H$1:$ABO$500,F$2,0),"П")</f>
        <v>0</v>
      </c>
      <c r="G196" s="50">
        <f>SUMIFS(INDEX(Техника!$F$1:$ABM$500,G$2,0),Техника!$F$4:$ABM$4,"Часы",INDEX(Техника!$G$1:$ABN$500,G$2,0),$A$193,INDEX(Техника!$H$1:$ABO$500,G$2,0),"П")</f>
        <v>0</v>
      </c>
      <c r="H196" s="50">
        <f>SUMIFS(INDEX(Техника!$F$1:$ABM$500,H$2,0),Техника!$F$4:$ABM$4,"Часы",INDEX(Техника!$G$1:$ABN$500,H$2,0),$A$193,INDEX(Техника!$H$1:$ABO$500,H$2,0),"П")</f>
        <v>0</v>
      </c>
      <c r="I196" s="50">
        <f>SUMIFS(INDEX(Техника!$F$1:$ABM$500,I$2,0),Техника!$F$4:$ABM$4,"Часы",INDEX(Техника!$G$1:$ABN$500,I$2,0),$A$193,INDEX(Техника!$H$1:$ABO$500,I$2,0),"П")</f>
        <v>0</v>
      </c>
      <c r="J196" s="50">
        <f>SUMIFS(INDEX(Техника!$F$1:$ABM$500,J$2,0),Техника!$F$4:$ABM$4,"Часы",INDEX(Техника!$G$1:$ABN$500,J$2,0),$A$193,INDEX(Техника!$H$1:$ABO$500,J$2,0),"П")</f>
        <v>0</v>
      </c>
      <c r="K196" s="50">
        <f>SUMIFS(INDEX(Техника!$F$1:$ABM$500,K$2,0),Техника!$F$4:$ABM$4,"Часы",INDEX(Техника!$G$1:$ABN$500,K$2,0),$A$193,INDEX(Техника!$H$1:$ABO$500,K$2,0),"П")</f>
        <v>0</v>
      </c>
      <c r="L196" s="50">
        <f>SUMIFS(INDEX(Техника!$F$1:$ABM$500,L$2,0),Техника!$F$4:$ABM$4,"Часы",INDEX(Техника!$G$1:$ABN$500,L$2,0),$A$193,INDEX(Техника!$H$1:$ABO$500,L$2,0),"П")</f>
        <v>0</v>
      </c>
      <c r="M196" s="50">
        <f>SUMIFS(INDEX(Техника!$F$1:$ABM$500,M$2,0),Техника!$F$4:$ABM$4,"Часы",INDEX(Техника!$G$1:$ABN$500,M$2,0),$A$193,INDEX(Техника!$H$1:$ABO$500,M$2,0),"П")</f>
        <v>0</v>
      </c>
      <c r="N196" s="50">
        <f>SUMIFS(INDEX(Техника!$F$1:$ABM$500,N$2,0),Техника!$F$4:$ABM$4,"Часы",INDEX(Техника!$G$1:$ABN$500,N$2,0),$A$193,INDEX(Техника!$H$1:$ABO$500,N$2,0),"П")</f>
        <v>0</v>
      </c>
      <c r="O196" s="50">
        <f>SUMIFS(INDEX(Техника!$F$1:$ABM$500,O$2,0),Техника!$F$4:$ABM$4,"Часы",INDEX(Техника!$G$1:$ABN$500,O$2,0),$A$193,INDEX(Техника!$H$1:$ABO$500,O$2,0),"П")</f>
        <v>0</v>
      </c>
      <c r="P196" s="50">
        <f>SUMIFS(INDEX(Техника!$F$1:$ABM$500,P$2,0),Техника!$F$4:$ABM$4,"Часы",INDEX(Техника!$G$1:$ABN$500,P$2,0),$A$193,INDEX(Техника!$H$1:$ABO$500,P$2,0),"П")</f>
        <v>0</v>
      </c>
      <c r="Q196" s="50">
        <f>SUMIFS(INDEX(Техника!$F$1:$ABM$500,Q$2,0),Техника!$F$4:$ABM$4,"Часы",INDEX(Техника!$G$1:$ABN$500,Q$2,0),$A$193,INDEX(Техника!$H$1:$ABO$500,Q$2,0),"П")</f>
        <v>0</v>
      </c>
      <c r="R196" s="50">
        <f>SUMIFS(INDEX(Техника!$F$1:$ABM$500,R$2,0),Техника!$F$4:$ABM$4,"Часы",INDEX(Техника!$G$1:$ABN$500,R$2,0),$A$193,INDEX(Техника!$H$1:$ABO$500,R$2,0),"П")</f>
        <v>0</v>
      </c>
      <c r="S196" s="50">
        <f>SUMIFS(INDEX(Техника!$F$1:$ABM$500,S$2,0),Техника!$F$4:$ABM$4,"Часы",INDEX(Техника!$G$1:$ABN$500,S$2,0),$A$193,INDEX(Техника!$H$1:$ABO$500,S$2,0),"П")</f>
        <v>0</v>
      </c>
      <c r="T196" s="50">
        <f>SUMIFS(INDEX(Техника!$F$1:$ABM$500,T$2,0),Техника!$F$4:$ABM$4,"Часы",INDEX(Техника!$G$1:$ABN$500,T$2,0),$A$193,INDEX(Техника!$H$1:$ABO$500,T$2,0),"П")</f>
        <v>0</v>
      </c>
      <c r="U196" s="50">
        <f>SUMIFS(INDEX(Техника!$F$1:$ABM$500,U$2,0),Техника!$F$4:$ABM$4,"Часы",INDEX(Техника!$G$1:$ABN$500,U$2,0),$A$193,INDEX(Техника!$H$1:$ABO$500,U$2,0),"П")</f>
        <v>0</v>
      </c>
      <c r="V196" s="50">
        <f>SUMIFS(INDEX(Техника!$F$1:$ABM$500,V$2,0),Техника!$F$4:$ABM$4,"Часы",INDEX(Техника!$G$1:$ABN$500,V$2,0),$A$193,INDEX(Техника!$H$1:$ABO$500,V$2,0),"П")</f>
        <v>0</v>
      </c>
      <c r="W196" s="50">
        <f>SUMIFS(INDEX(Техника!$F$1:$ABM$500,W$2,0),Техника!$F$4:$ABM$4,"Часы",INDEX(Техника!$G$1:$ABN$500,W$2,0),$A$193,INDEX(Техника!$H$1:$ABO$500,W$2,0),"П")</f>
        <v>0</v>
      </c>
      <c r="X196" s="50">
        <f>SUMIFS(INDEX(Техника!$F$1:$ABM$500,X$2,0),Техника!$F$4:$ABM$4,"Часы",INDEX(Техника!$G$1:$ABN$500,X$2,0),$A$193,INDEX(Техника!$H$1:$ABO$500,X$2,0),"П")</f>
        <v>0</v>
      </c>
      <c r="Y196" s="50">
        <f>SUMIFS(INDEX(Техника!$F$1:$ABM$500,Y$2,0),Техника!$F$4:$ABM$4,"Часы",INDEX(Техника!$G$1:$ABN$500,Y$2,0),$A$193,INDEX(Техника!$H$1:$ABO$500,Y$2,0),"П")</f>
        <v>0</v>
      </c>
      <c r="Z196" s="50">
        <f>SUMIFS(INDEX(Техника!$F$1:$ABM$500,Z$2,0),Техника!$F$4:$ABM$4,"Часы",INDEX(Техника!$G$1:$ABN$500,Z$2,0),$A$193,INDEX(Техника!$H$1:$ABO$500,Z$2,0),"П")</f>
        <v>0</v>
      </c>
      <c r="AA196" s="50">
        <f>SUMIFS(INDEX(Техника!$F$1:$ABM$500,AA$2,0),Техника!$F$4:$ABM$4,"Часы",INDEX(Техника!$G$1:$ABN$500,AA$2,0),$A$193,INDEX(Техника!$H$1:$ABO$500,AA$2,0),"П")</f>
        <v>0</v>
      </c>
      <c r="AB196" s="50">
        <f>SUMIFS(INDEX(Техника!$F$1:$ABM$500,AB$2,0),Техника!$F$4:$ABM$4,"Часы",INDEX(Техника!$G$1:$ABN$500,AB$2,0),$A$193,INDEX(Техника!$H$1:$ABO$500,AB$2,0),"П")</f>
        <v>0</v>
      </c>
    </row>
    <row r="197" spans="1:28" hidden="1" outlineLevel="1" x14ac:dyDescent="0.3">
      <c r="A197" s="33" t="s">
        <v>243</v>
      </c>
      <c r="B197" s="34" t="s">
        <v>278</v>
      </c>
      <c r="C197" s="50">
        <f>SUMIFS(INDEX(Техника!$F$1:$ABM$500,C$2,0),Техника!$F$4:$ABM$4,"Часы",INDEX(Техника!$G$1:$ABN$500,C$2,0),$A$193,INDEX(Техника!$H$1:$ABO$500,C$2,0),"Л")</f>
        <v>0</v>
      </c>
      <c r="D197" s="50">
        <f>SUMIFS(INDEX(Техника!$F$1:$ABM$500,D$2,0),Техника!$F$4:$ABM$4,"Часы",INDEX(Техника!$G$1:$ABN$500,D$2,0),$A$193,INDEX(Техника!$H$1:$ABO$500,D$2,0),"Л")</f>
        <v>0</v>
      </c>
      <c r="E197" s="50">
        <f>SUMIFS(INDEX(Техника!$F$1:$ABM$500,E$2,0),Техника!$F$4:$ABM$4,"Часы",INDEX(Техника!$G$1:$ABN$500,E$2,0),$A$193,INDEX(Техника!$H$1:$ABO$500,E$2,0),"Л")</f>
        <v>0</v>
      </c>
      <c r="F197" s="50">
        <f>SUMIFS(INDEX(Техника!$F$1:$ABM$500,F$2,0),Техника!$F$4:$ABM$4,"Часы",INDEX(Техника!$G$1:$ABN$500,F$2,0),$A$193,INDEX(Техника!$H$1:$ABO$500,F$2,0),"Л")</f>
        <v>0</v>
      </c>
      <c r="G197" s="50">
        <f>SUMIFS(INDEX(Техника!$F$1:$ABM$500,G$2,0),Техника!$F$4:$ABM$4,"Часы",INDEX(Техника!$G$1:$ABN$500,G$2,0),$A$193,INDEX(Техника!$H$1:$ABO$500,G$2,0),"Л")</f>
        <v>0</v>
      </c>
      <c r="H197" s="50">
        <f>SUMIFS(INDEX(Техника!$F$1:$ABM$500,H$2,0),Техника!$F$4:$ABM$4,"Часы",INDEX(Техника!$G$1:$ABN$500,H$2,0),$A$193,INDEX(Техника!$H$1:$ABO$500,H$2,0),"Л")</f>
        <v>0</v>
      </c>
      <c r="I197" s="50">
        <f>SUMIFS(INDEX(Техника!$F$1:$ABM$500,I$2,0),Техника!$F$4:$ABM$4,"Часы",INDEX(Техника!$G$1:$ABN$500,I$2,0),$A$193,INDEX(Техника!$H$1:$ABO$500,I$2,0),"Л")</f>
        <v>0</v>
      </c>
      <c r="J197" s="50">
        <f>SUMIFS(INDEX(Техника!$F$1:$ABM$500,J$2,0),Техника!$F$4:$ABM$4,"Часы",INDEX(Техника!$G$1:$ABN$500,J$2,0),$A$193,INDEX(Техника!$H$1:$ABO$500,J$2,0),"Л")</f>
        <v>0</v>
      </c>
      <c r="K197" s="50">
        <f>SUMIFS(INDEX(Техника!$F$1:$ABM$500,K$2,0),Техника!$F$4:$ABM$4,"Часы",INDEX(Техника!$G$1:$ABN$500,K$2,0),$A$193,INDEX(Техника!$H$1:$ABO$500,K$2,0),"Л")</f>
        <v>0</v>
      </c>
      <c r="L197" s="50">
        <f>SUMIFS(INDEX(Техника!$F$1:$ABM$500,L$2,0),Техника!$F$4:$ABM$4,"Часы",INDEX(Техника!$G$1:$ABN$500,L$2,0),$A$193,INDEX(Техника!$H$1:$ABO$500,L$2,0),"Л")</f>
        <v>0</v>
      </c>
      <c r="M197" s="50">
        <f>SUMIFS(INDEX(Техника!$F$1:$ABM$500,M$2,0),Техника!$F$4:$ABM$4,"Часы",INDEX(Техника!$G$1:$ABN$500,M$2,0),$A$193,INDEX(Техника!$H$1:$ABO$500,M$2,0),"Л")</f>
        <v>0</v>
      </c>
      <c r="N197" s="50">
        <f>SUMIFS(INDEX(Техника!$F$1:$ABM$500,N$2,0),Техника!$F$4:$ABM$4,"Часы",INDEX(Техника!$G$1:$ABN$500,N$2,0),$A$193,INDEX(Техника!$H$1:$ABO$500,N$2,0),"Л")</f>
        <v>0</v>
      </c>
      <c r="O197" s="50">
        <f>SUMIFS(INDEX(Техника!$F$1:$ABM$500,O$2,0),Техника!$F$4:$ABM$4,"Часы",INDEX(Техника!$G$1:$ABN$500,O$2,0),$A$193,INDEX(Техника!$H$1:$ABO$500,O$2,0),"Л")</f>
        <v>0</v>
      </c>
      <c r="P197" s="50">
        <f>SUMIFS(INDEX(Техника!$F$1:$ABM$500,P$2,0),Техника!$F$4:$ABM$4,"Часы",INDEX(Техника!$G$1:$ABN$500,P$2,0),$A$193,INDEX(Техника!$H$1:$ABO$500,P$2,0),"Л")</f>
        <v>0</v>
      </c>
      <c r="Q197" s="50">
        <f>SUMIFS(INDEX(Техника!$F$1:$ABM$500,Q$2,0),Техника!$F$4:$ABM$4,"Часы",INDEX(Техника!$G$1:$ABN$500,Q$2,0),$A$193,INDEX(Техника!$H$1:$ABO$500,Q$2,0),"Л")</f>
        <v>0</v>
      </c>
      <c r="R197" s="50">
        <f>SUMIFS(INDEX(Техника!$F$1:$ABM$500,R$2,0),Техника!$F$4:$ABM$4,"Часы",INDEX(Техника!$G$1:$ABN$500,R$2,0),$A$193,INDEX(Техника!$H$1:$ABO$500,R$2,0),"Л")</f>
        <v>0</v>
      </c>
      <c r="S197" s="50">
        <f>SUMIFS(INDEX(Техника!$F$1:$ABM$500,S$2,0),Техника!$F$4:$ABM$4,"Часы",INDEX(Техника!$G$1:$ABN$500,S$2,0),$A$193,INDEX(Техника!$H$1:$ABO$500,S$2,0),"Л")</f>
        <v>0</v>
      </c>
      <c r="T197" s="50">
        <f>SUMIFS(INDEX(Техника!$F$1:$ABM$500,T$2,0),Техника!$F$4:$ABM$4,"Часы",INDEX(Техника!$G$1:$ABN$500,T$2,0),$A$193,INDEX(Техника!$H$1:$ABO$500,T$2,0),"Л")</f>
        <v>0</v>
      </c>
      <c r="U197" s="50">
        <f>SUMIFS(INDEX(Техника!$F$1:$ABM$500,U$2,0),Техника!$F$4:$ABM$4,"Часы",INDEX(Техника!$G$1:$ABN$500,U$2,0),$A$193,INDEX(Техника!$H$1:$ABO$500,U$2,0),"Л")</f>
        <v>0</v>
      </c>
      <c r="V197" s="50">
        <f>SUMIFS(INDEX(Техника!$F$1:$ABM$500,V$2,0),Техника!$F$4:$ABM$4,"Часы",INDEX(Техника!$G$1:$ABN$500,V$2,0),$A$193,INDEX(Техника!$H$1:$ABO$500,V$2,0),"Л")</f>
        <v>0</v>
      </c>
      <c r="W197" s="50">
        <f>SUMIFS(INDEX(Техника!$F$1:$ABM$500,W$2,0),Техника!$F$4:$ABM$4,"Часы",INDEX(Техника!$G$1:$ABN$500,W$2,0),$A$193,INDEX(Техника!$H$1:$ABO$500,W$2,0),"Л")</f>
        <v>0</v>
      </c>
      <c r="X197" s="50">
        <f>SUMIFS(INDEX(Техника!$F$1:$ABM$500,X$2,0),Техника!$F$4:$ABM$4,"Часы",INDEX(Техника!$G$1:$ABN$500,X$2,0),$A$193,INDEX(Техника!$H$1:$ABO$500,X$2,0),"Л")</f>
        <v>0</v>
      </c>
      <c r="Y197" s="50">
        <f>SUMIFS(INDEX(Техника!$F$1:$ABM$500,Y$2,0),Техника!$F$4:$ABM$4,"Часы",INDEX(Техника!$G$1:$ABN$500,Y$2,0),$A$193,INDEX(Техника!$H$1:$ABO$500,Y$2,0),"Л")</f>
        <v>0</v>
      </c>
      <c r="Z197" s="50">
        <f>SUMIFS(INDEX(Техника!$F$1:$ABM$500,Z$2,0),Техника!$F$4:$ABM$4,"Часы",INDEX(Техника!$G$1:$ABN$500,Z$2,0),$A$193,INDEX(Техника!$H$1:$ABO$500,Z$2,0),"Л")</f>
        <v>0</v>
      </c>
      <c r="AA197" s="50">
        <f>SUMIFS(INDEX(Техника!$F$1:$ABM$500,AA$2,0),Техника!$F$4:$ABM$4,"Часы",INDEX(Техника!$G$1:$ABN$500,AA$2,0),$A$193,INDEX(Техника!$H$1:$ABO$500,AA$2,0),"Л")</f>
        <v>0</v>
      </c>
      <c r="AB197" s="50">
        <f>SUMIFS(INDEX(Техника!$F$1:$ABM$500,AB$2,0),Техника!$F$4:$ABM$4,"Часы",INDEX(Техника!$G$1:$ABN$500,AB$2,0),$A$193,INDEX(Техника!$H$1:$ABO$500,AB$2,0),"Л")</f>
        <v>0</v>
      </c>
    </row>
    <row r="198" spans="1:28" hidden="1" outlineLevel="1" x14ac:dyDescent="0.3">
      <c r="A198" s="33" t="s">
        <v>245</v>
      </c>
      <c r="B198" s="34" t="s">
        <v>279</v>
      </c>
      <c r="C198" s="50">
        <f>SUMIFS(INDEX(Техника!$F$1:$ABM$500,C$2,0),Техника!$F$4:$ABM$4,"Часы",INDEX(Техника!$G$1:$ABN$500,C$2,0),$A$193,INDEX(Техника!$H$1:$ABO$500,C$2,0),"З")</f>
        <v>0</v>
      </c>
      <c r="D198" s="50">
        <f>SUMIFS(INDEX(Техника!$F$1:$ABM$500,D$2,0),Техника!$F$4:$ABM$4,"Часы",INDEX(Техника!$G$1:$ABN$500,D$2,0),$A$193,INDEX(Техника!$H$1:$ABO$500,D$2,0),"З")</f>
        <v>0</v>
      </c>
      <c r="E198" s="50">
        <f>SUMIFS(INDEX(Техника!$F$1:$ABM$500,E$2,0),Техника!$F$4:$ABM$4,"Часы",INDEX(Техника!$G$1:$ABN$500,E$2,0),$A$193,INDEX(Техника!$H$1:$ABO$500,E$2,0),"З")</f>
        <v>0</v>
      </c>
      <c r="F198" s="50">
        <f>SUMIFS(INDEX(Техника!$F$1:$ABM$500,F$2,0),Техника!$F$4:$ABM$4,"Часы",INDEX(Техника!$G$1:$ABN$500,F$2,0),$A$193,INDEX(Техника!$H$1:$ABO$500,F$2,0),"З")</f>
        <v>0</v>
      </c>
      <c r="G198" s="50">
        <f>SUMIFS(INDEX(Техника!$F$1:$ABM$500,G$2,0),Техника!$F$4:$ABM$4,"Часы",INDEX(Техника!$G$1:$ABN$500,G$2,0),$A$193,INDEX(Техника!$H$1:$ABO$500,G$2,0),"З")</f>
        <v>0</v>
      </c>
      <c r="H198" s="50">
        <f>SUMIFS(INDEX(Техника!$F$1:$ABM$500,H$2,0),Техника!$F$4:$ABM$4,"Часы",INDEX(Техника!$G$1:$ABN$500,H$2,0),$A$193,INDEX(Техника!$H$1:$ABO$500,H$2,0),"З")</f>
        <v>0</v>
      </c>
      <c r="I198" s="50">
        <f>SUMIFS(INDEX(Техника!$F$1:$ABM$500,I$2,0),Техника!$F$4:$ABM$4,"Часы",INDEX(Техника!$G$1:$ABN$500,I$2,0),$A$193,INDEX(Техника!$H$1:$ABO$500,I$2,0),"З")</f>
        <v>0</v>
      </c>
      <c r="J198" s="50">
        <f>SUMIFS(INDEX(Техника!$F$1:$ABM$500,J$2,0),Техника!$F$4:$ABM$4,"Часы",INDEX(Техника!$G$1:$ABN$500,J$2,0),$A$193,INDEX(Техника!$H$1:$ABO$500,J$2,0),"З")</f>
        <v>0</v>
      </c>
      <c r="K198" s="50">
        <f>SUMIFS(INDEX(Техника!$F$1:$ABM$500,K$2,0),Техника!$F$4:$ABM$4,"Часы",INDEX(Техника!$G$1:$ABN$500,K$2,0),$A$193,INDEX(Техника!$H$1:$ABO$500,K$2,0),"З")</f>
        <v>0</v>
      </c>
      <c r="L198" s="50">
        <f>SUMIFS(INDEX(Техника!$F$1:$ABM$500,L$2,0),Техника!$F$4:$ABM$4,"Часы",INDEX(Техника!$G$1:$ABN$500,L$2,0),$A$193,INDEX(Техника!$H$1:$ABO$500,L$2,0),"З")</f>
        <v>0</v>
      </c>
      <c r="M198" s="50">
        <f>SUMIFS(INDEX(Техника!$F$1:$ABM$500,M$2,0),Техника!$F$4:$ABM$4,"Часы",INDEX(Техника!$G$1:$ABN$500,M$2,0),$A$193,INDEX(Техника!$H$1:$ABO$500,M$2,0),"З")</f>
        <v>0</v>
      </c>
      <c r="N198" s="50">
        <f>SUMIFS(INDEX(Техника!$F$1:$ABM$500,N$2,0),Техника!$F$4:$ABM$4,"Часы",INDEX(Техника!$G$1:$ABN$500,N$2,0),$A$193,INDEX(Техника!$H$1:$ABO$500,N$2,0),"З")</f>
        <v>0</v>
      </c>
      <c r="O198" s="50">
        <f>SUMIFS(INDEX(Техника!$F$1:$ABM$500,O$2,0),Техника!$F$4:$ABM$4,"Часы",INDEX(Техника!$G$1:$ABN$500,O$2,0),$A$193,INDEX(Техника!$H$1:$ABO$500,O$2,0),"З")</f>
        <v>0</v>
      </c>
      <c r="P198" s="50">
        <f>SUMIFS(INDEX(Техника!$F$1:$ABM$500,P$2,0),Техника!$F$4:$ABM$4,"Часы",INDEX(Техника!$G$1:$ABN$500,P$2,0),$A$193,INDEX(Техника!$H$1:$ABO$500,P$2,0),"З")</f>
        <v>0</v>
      </c>
      <c r="Q198" s="50">
        <f>SUMIFS(INDEX(Техника!$F$1:$ABM$500,Q$2,0),Техника!$F$4:$ABM$4,"Часы",INDEX(Техника!$G$1:$ABN$500,Q$2,0),$A$193,INDEX(Техника!$H$1:$ABO$500,Q$2,0),"З")</f>
        <v>0</v>
      </c>
      <c r="R198" s="50">
        <f>SUMIFS(INDEX(Техника!$F$1:$ABM$500,R$2,0),Техника!$F$4:$ABM$4,"Часы",INDEX(Техника!$G$1:$ABN$500,R$2,0),$A$193,INDEX(Техника!$H$1:$ABO$500,R$2,0),"З")</f>
        <v>0</v>
      </c>
      <c r="S198" s="50">
        <f>SUMIFS(INDEX(Техника!$F$1:$ABM$500,S$2,0),Техника!$F$4:$ABM$4,"Часы",INDEX(Техника!$G$1:$ABN$500,S$2,0),$A$193,INDEX(Техника!$H$1:$ABO$500,S$2,0),"З")</f>
        <v>0</v>
      </c>
      <c r="T198" s="50">
        <f>SUMIFS(INDEX(Техника!$F$1:$ABM$500,T$2,0),Техника!$F$4:$ABM$4,"Часы",INDEX(Техника!$G$1:$ABN$500,T$2,0),$A$193,INDEX(Техника!$H$1:$ABO$500,T$2,0),"З")</f>
        <v>0</v>
      </c>
      <c r="U198" s="50">
        <f>SUMIFS(INDEX(Техника!$F$1:$ABM$500,U$2,0),Техника!$F$4:$ABM$4,"Часы",INDEX(Техника!$G$1:$ABN$500,U$2,0),$A$193,INDEX(Техника!$H$1:$ABO$500,U$2,0),"З")</f>
        <v>0</v>
      </c>
      <c r="V198" s="50">
        <f>SUMIFS(INDEX(Техника!$F$1:$ABM$500,V$2,0),Техника!$F$4:$ABM$4,"Часы",INDEX(Техника!$G$1:$ABN$500,V$2,0),$A$193,INDEX(Техника!$H$1:$ABO$500,V$2,0),"З")</f>
        <v>0</v>
      </c>
      <c r="W198" s="50">
        <f>SUMIFS(INDEX(Техника!$F$1:$ABM$500,W$2,0),Техника!$F$4:$ABM$4,"Часы",INDEX(Техника!$G$1:$ABN$500,W$2,0),$A$193,INDEX(Техника!$H$1:$ABO$500,W$2,0),"З")</f>
        <v>0</v>
      </c>
      <c r="X198" s="50">
        <f>SUMIFS(INDEX(Техника!$F$1:$ABM$500,X$2,0),Техника!$F$4:$ABM$4,"Часы",INDEX(Техника!$G$1:$ABN$500,X$2,0),$A$193,INDEX(Техника!$H$1:$ABO$500,X$2,0),"З")</f>
        <v>0</v>
      </c>
      <c r="Y198" s="50">
        <f>SUMIFS(INDEX(Техника!$F$1:$ABM$500,Y$2,0),Техника!$F$4:$ABM$4,"Часы",INDEX(Техника!$G$1:$ABN$500,Y$2,0),$A$193,INDEX(Техника!$H$1:$ABO$500,Y$2,0),"З")</f>
        <v>0</v>
      </c>
      <c r="Z198" s="50">
        <f>SUMIFS(INDEX(Техника!$F$1:$ABM$500,Z$2,0),Техника!$F$4:$ABM$4,"Часы",INDEX(Техника!$G$1:$ABN$500,Z$2,0),$A$193,INDEX(Техника!$H$1:$ABO$500,Z$2,0),"З")</f>
        <v>0</v>
      </c>
      <c r="AA198" s="50">
        <f>SUMIFS(INDEX(Техника!$F$1:$ABM$500,AA$2,0),Техника!$F$4:$ABM$4,"Часы",INDEX(Техника!$G$1:$ABN$500,AA$2,0),$A$193,INDEX(Техника!$H$1:$ABO$500,AA$2,0),"З")</f>
        <v>0</v>
      </c>
      <c r="AB198" s="50">
        <f>SUMIFS(INDEX(Техника!$F$1:$ABM$500,AB$2,0),Техника!$F$4:$ABM$4,"Часы",INDEX(Техника!$G$1:$ABN$500,AB$2,0),$A$193,INDEX(Техника!$H$1:$ABO$500,AB$2,0),"З")</f>
        <v>0</v>
      </c>
    </row>
    <row r="199" spans="1:28" ht="7.95" customHeight="1" x14ac:dyDescent="0.3">
      <c r="A199" s="38"/>
      <c r="B199" s="39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 spans="1:28" ht="25.05" customHeight="1" collapsed="1" x14ac:dyDescent="0.3">
      <c r="A200" s="32">
        <v>29</v>
      </c>
      <c r="B200" s="32" t="s">
        <v>30</v>
      </c>
      <c r="C200" s="49">
        <f>SUM(C201:C205)</f>
        <v>0</v>
      </c>
      <c r="D200" s="49">
        <f>SUM(D201:D205)</f>
        <v>0</v>
      </c>
      <c r="E200" s="49">
        <f>SUM(E201:E205)</f>
        <v>0</v>
      </c>
      <c r="F200" s="49">
        <f>SUM(F201:F205)</f>
        <v>0</v>
      </c>
      <c r="G200" s="49">
        <f>SUM(G201:G205)</f>
        <v>0</v>
      </c>
      <c r="H200" s="49">
        <f>SUM(H201:H205)</f>
        <v>0</v>
      </c>
      <c r="I200" s="49">
        <f>SUM(I201:I205)</f>
        <v>0</v>
      </c>
      <c r="J200" s="49">
        <f>SUM(J201:J205)</f>
        <v>0</v>
      </c>
      <c r="K200" s="49">
        <f>SUM(K201:K205)</f>
        <v>0</v>
      </c>
      <c r="L200" s="49">
        <f>SUM(L201:L205)</f>
        <v>0</v>
      </c>
      <c r="M200" s="49">
        <f>SUM(M201:M205)</f>
        <v>0</v>
      </c>
      <c r="N200" s="49">
        <f>SUM(N201:N205)</f>
        <v>0</v>
      </c>
      <c r="O200" s="49">
        <f>SUM(O201:O205)</f>
        <v>0</v>
      </c>
      <c r="P200" s="49">
        <f>SUM(P201:P205)</f>
        <v>0</v>
      </c>
      <c r="Q200" s="49">
        <f>SUM(Q201:Q205)</f>
        <v>0</v>
      </c>
      <c r="R200" s="49">
        <f>SUM(R201:R205)</f>
        <v>0</v>
      </c>
      <c r="S200" s="49">
        <f>SUM(S201:S205)</f>
        <v>0</v>
      </c>
      <c r="T200" s="49">
        <f>SUM(T201:T205)</f>
        <v>0</v>
      </c>
      <c r="U200" s="49">
        <f>SUM(U201:U205)</f>
        <v>0</v>
      </c>
      <c r="V200" s="49">
        <f>SUM(V201:V205)</f>
        <v>0</v>
      </c>
      <c r="W200" s="49">
        <f>SUM(W201:W205)</f>
        <v>0</v>
      </c>
      <c r="X200" s="49">
        <f>SUM(X201:X205)</f>
        <v>0</v>
      </c>
      <c r="Y200" s="49">
        <f>SUM(Y201:Y205)</f>
        <v>0</v>
      </c>
      <c r="Z200" s="49">
        <f>SUM(Z201:Z205)</f>
        <v>0</v>
      </c>
      <c r="AA200" s="49">
        <f>SUM(AA201:AA205)</f>
        <v>0</v>
      </c>
      <c r="AB200" s="49">
        <f>SUM(AB201:AB205)</f>
        <v>0</v>
      </c>
    </row>
    <row r="201" spans="1:28" hidden="1" outlineLevel="1" x14ac:dyDescent="0.3">
      <c r="A201" s="33" t="s">
        <v>246</v>
      </c>
      <c r="B201" s="34" t="s">
        <v>274</v>
      </c>
      <c r="C201" s="50">
        <f>SUMIFS(INDEX(Техника!$F$1:$ABM$500,C$2,0),Техника!$F$4:$ABM$4,"Часы",INDEX(Техника!$G$1:$ABN$500,C$2,0),$A$200,INDEX(Техника!$H$1:$ABO$500,C$2,0),"М")</f>
        <v>0</v>
      </c>
      <c r="D201" s="50">
        <f>SUMIFS(INDEX(Техника!$F$1:$ABM$500,D$2,0),Техника!$F$4:$ABM$4,"Часы",INDEX(Техника!$G$1:$ABN$500,D$2,0),$A$200,INDEX(Техника!$H$1:$ABO$500,D$2,0),"М")</f>
        <v>0</v>
      </c>
      <c r="E201" s="50">
        <f>SUMIFS(INDEX(Техника!$F$1:$ABM$500,E$2,0),Техника!$F$4:$ABM$4,"Часы",INDEX(Техника!$G$1:$ABN$500,E$2,0),$A$200,INDEX(Техника!$H$1:$ABO$500,E$2,0),"М")</f>
        <v>0</v>
      </c>
      <c r="F201" s="50">
        <f>SUMIFS(INDEX(Техника!$F$1:$ABM$500,F$2,0),Техника!$F$4:$ABM$4,"Часы",INDEX(Техника!$G$1:$ABN$500,F$2,0),$A$200,INDEX(Техника!$H$1:$ABO$500,F$2,0),"М")</f>
        <v>0</v>
      </c>
      <c r="G201" s="50">
        <f>SUMIFS(INDEX(Техника!$F$1:$ABM$500,G$2,0),Техника!$F$4:$ABM$4,"Часы",INDEX(Техника!$G$1:$ABN$500,G$2,0),$A$200,INDEX(Техника!$H$1:$ABO$500,G$2,0),"М")</f>
        <v>0</v>
      </c>
      <c r="H201" s="50">
        <f>SUMIFS(INDEX(Техника!$F$1:$ABM$500,H$2,0),Техника!$F$4:$ABM$4,"Часы",INDEX(Техника!$G$1:$ABN$500,H$2,0),$A$200,INDEX(Техника!$H$1:$ABO$500,H$2,0),"М")</f>
        <v>0</v>
      </c>
      <c r="I201" s="50">
        <f>SUMIFS(INDEX(Техника!$F$1:$ABM$500,I$2,0),Техника!$F$4:$ABM$4,"Часы",INDEX(Техника!$G$1:$ABN$500,I$2,0),$A$200,INDEX(Техника!$H$1:$ABO$500,I$2,0),"М")</f>
        <v>0</v>
      </c>
      <c r="J201" s="50">
        <f>SUMIFS(INDEX(Техника!$F$1:$ABM$500,J$2,0),Техника!$F$4:$ABM$4,"Часы",INDEX(Техника!$G$1:$ABN$500,J$2,0),$A$200,INDEX(Техника!$H$1:$ABO$500,J$2,0),"М")</f>
        <v>0</v>
      </c>
      <c r="K201" s="50">
        <f>SUMIFS(INDEX(Техника!$F$1:$ABM$500,K$2,0),Техника!$F$4:$ABM$4,"Часы",INDEX(Техника!$G$1:$ABN$500,K$2,0),$A$200,INDEX(Техника!$H$1:$ABO$500,K$2,0),"М")</f>
        <v>0</v>
      </c>
      <c r="L201" s="50">
        <f>SUMIFS(INDEX(Техника!$F$1:$ABM$500,L$2,0),Техника!$F$4:$ABM$4,"Часы",INDEX(Техника!$G$1:$ABN$500,L$2,0),$A$200,INDEX(Техника!$H$1:$ABO$500,L$2,0),"М")</f>
        <v>0</v>
      </c>
      <c r="M201" s="50">
        <f>SUMIFS(INDEX(Техника!$F$1:$ABM$500,M$2,0),Техника!$F$4:$ABM$4,"Часы",INDEX(Техника!$G$1:$ABN$500,M$2,0),$A$200,INDEX(Техника!$H$1:$ABO$500,M$2,0),"М")</f>
        <v>0</v>
      </c>
      <c r="N201" s="50">
        <f>SUMIFS(INDEX(Техника!$F$1:$ABM$500,N$2,0),Техника!$F$4:$ABM$4,"Часы",INDEX(Техника!$G$1:$ABN$500,N$2,0),$A$200,INDEX(Техника!$H$1:$ABO$500,N$2,0),"М")</f>
        <v>0</v>
      </c>
      <c r="O201" s="50">
        <f>SUMIFS(INDEX(Техника!$F$1:$ABM$500,O$2,0),Техника!$F$4:$ABM$4,"Часы",INDEX(Техника!$G$1:$ABN$500,O$2,0),$A$200,INDEX(Техника!$H$1:$ABO$500,O$2,0),"М")</f>
        <v>0</v>
      </c>
      <c r="P201" s="50">
        <f>SUMIFS(INDEX(Техника!$F$1:$ABM$500,P$2,0),Техника!$F$4:$ABM$4,"Часы",INDEX(Техника!$G$1:$ABN$500,P$2,0),$A$200,INDEX(Техника!$H$1:$ABO$500,P$2,0),"М")</f>
        <v>0</v>
      </c>
      <c r="Q201" s="50">
        <f>SUMIFS(INDEX(Техника!$F$1:$ABM$500,Q$2,0),Техника!$F$4:$ABM$4,"Часы",INDEX(Техника!$G$1:$ABN$500,Q$2,0),$A$200,INDEX(Техника!$H$1:$ABO$500,Q$2,0),"М")</f>
        <v>0</v>
      </c>
      <c r="R201" s="50">
        <f>SUMIFS(INDEX(Техника!$F$1:$ABM$500,R$2,0),Техника!$F$4:$ABM$4,"Часы",INDEX(Техника!$G$1:$ABN$500,R$2,0),$A$200,INDEX(Техника!$H$1:$ABO$500,R$2,0),"М")</f>
        <v>0</v>
      </c>
      <c r="S201" s="50">
        <f>SUMIFS(INDEX(Техника!$F$1:$ABM$500,S$2,0),Техника!$F$4:$ABM$4,"Часы",INDEX(Техника!$G$1:$ABN$500,S$2,0),$A$200,INDEX(Техника!$H$1:$ABO$500,S$2,0),"М")</f>
        <v>0</v>
      </c>
      <c r="T201" s="50">
        <f>SUMIFS(INDEX(Техника!$F$1:$ABM$500,T$2,0),Техника!$F$4:$ABM$4,"Часы",INDEX(Техника!$G$1:$ABN$500,T$2,0),$A$200,INDEX(Техника!$H$1:$ABO$500,T$2,0),"М")</f>
        <v>0</v>
      </c>
      <c r="U201" s="50">
        <f>SUMIFS(INDEX(Техника!$F$1:$ABM$500,U$2,0),Техника!$F$4:$ABM$4,"Часы",INDEX(Техника!$G$1:$ABN$500,U$2,0),$A$200,INDEX(Техника!$H$1:$ABO$500,U$2,0),"М")</f>
        <v>0</v>
      </c>
      <c r="V201" s="50">
        <f>SUMIFS(INDEX(Техника!$F$1:$ABM$500,V$2,0),Техника!$F$4:$ABM$4,"Часы",INDEX(Техника!$G$1:$ABN$500,V$2,0),$A$200,INDEX(Техника!$H$1:$ABO$500,V$2,0),"М")</f>
        <v>0</v>
      </c>
      <c r="W201" s="50">
        <f>SUMIFS(INDEX(Техника!$F$1:$ABM$500,W$2,0),Техника!$F$4:$ABM$4,"Часы",INDEX(Техника!$G$1:$ABN$500,W$2,0),$A$200,INDEX(Техника!$H$1:$ABO$500,W$2,0),"М")</f>
        <v>0</v>
      </c>
      <c r="X201" s="50">
        <f>SUMIFS(INDEX(Техника!$F$1:$ABM$500,X$2,0),Техника!$F$4:$ABM$4,"Часы",INDEX(Техника!$G$1:$ABN$500,X$2,0),$A$200,INDEX(Техника!$H$1:$ABO$500,X$2,0),"М")</f>
        <v>0</v>
      </c>
      <c r="Y201" s="50">
        <f>SUMIFS(INDEX(Техника!$F$1:$ABM$500,Y$2,0),Техника!$F$4:$ABM$4,"Часы",INDEX(Техника!$G$1:$ABN$500,Y$2,0),$A$200,INDEX(Техника!$H$1:$ABO$500,Y$2,0),"М")</f>
        <v>0</v>
      </c>
      <c r="Z201" s="50">
        <f>SUMIFS(INDEX(Техника!$F$1:$ABM$500,Z$2,0),Техника!$F$4:$ABM$4,"Часы",INDEX(Техника!$G$1:$ABN$500,Z$2,0),$A$200,INDEX(Техника!$H$1:$ABO$500,Z$2,0),"М")</f>
        <v>0</v>
      </c>
      <c r="AA201" s="50">
        <f>SUMIFS(INDEX(Техника!$F$1:$ABM$500,AA$2,0),Техника!$F$4:$ABM$4,"Часы",INDEX(Техника!$G$1:$ABN$500,AA$2,0),$A$200,INDEX(Техника!$H$1:$ABO$500,AA$2,0),"М")</f>
        <v>0</v>
      </c>
      <c r="AB201" s="50">
        <f>SUMIFS(INDEX(Техника!$F$1:$ABM$500,AB$2,0),Техника!$F$4:$ABM$4,"Часы",INDEX(Техника!$G$1:$ABN$500,AB$2,0),$A$200,INDEX(Техника!$H$1:$ABO$500,AB$2,0),"М")</f>
        <v>0</v>
      </c>
    </row>
    <row r="202" spans="1:28" hidden="1" outlineLevel="1" x14ac:dyDescent="0.3">
      <c r="A202" s="33" t="s">
        <v>244</v>
      </c>
      <c r="B202" s="34" t="s">
        <v>275</v>
      </c>
      <c r="C202" s="50">
        <f>SUMIFS(INDEX(Техника!$F$1:$ABM$500,C$2,0),Техника!$F$4:$ABM$4,"Часы",INDEX(Техника!$G$1:$ABN$500,C$2,0),$A$200,INDEX(Техника!$H$1:$ABO$500,C$2,0),"Д")</f>
        <v>0</v>
      </c>
      <c r="D202" s="50">
        <f>SUMIFS(INDEX(Техника!$F$1:$ABM$500,D$2,0),Техника!$F$4:$ABM$4,"Часы",INDEX(Техника!$G$1:$ABN$500,D$2,0),$A$200,INDEX(Техника!$H$1:$ABO$500,D$2,0),"Д")</f>
        <v>0</v>
      </c>
      <c r="E202" s="50">
        <f>SUMIFS(INDEX(Техника!$F$1:$ABM$500,E$2,0),Техника!$F$4:$ABM$4,"Часы",INDEX(Техника!$G$1:$ABN$500,E$2,0),$A$200,INDEX(Техника!$H$1:$ABO$500,E$2,0),"Д")</f>
        <v>0</v>
      </c>
      <c r="F202" s="50">
        <f>SUMIFS(INDEX(Техника!$F$1:$ABM$500,F$2,0),Техника!$F$4:$ABM$4,"Часы",INDEX(Техника!$G$1:$ABN$500,F$2,0),$A$200,INDEX(Техника!$H$1:$ABO$500,F$2,0),"Д")</f>
        <v>0</v>
      </c>
      <c r="G202" s="50">
        <f>SUMIFS(INDEX(Техника!$F$1:$ABM$500,G$2,0),Техника!$F$4:$ABM$4,"Часы",INDEX(Техника!$G$1:$ABN$500,G$2,0),$A$200,INDEX(Техника!$H$1:$ABO$500,G$2,0),"Д")</f>
        <v>0</v>
      </c>
      <c r="H202" s="50">
        <f>SUMIFS(INDEX(Техника!$F$1:$ABM$500,H$2,0),Техника!$F$4:$ABM$4,"Часы",INDEX(Техника!$G$1:$ABN$500,H$2,0),$A$200,INDEX(Техника!$H$1:$ABO$500,H$2,0),"Д")</f>
        <v>0</v>
      </c>
      <c r="I202" s="50">
        <f>SUMIFS(INDEX(Техника!$F$1:$ABM$500,I$2,0),Техника!$F$4:$ABM$4,"Часы",INDEX(Техника!$G$1:$ABN$500,I$2,0),$A$200,INDEX(Техника!$H$1:$ABO$500,I$2,0),"Д")</f>
        <v>0</v>
      </c>
      <c r="J202" s="50">
        <f>SUMIFS(INDEX(Техника!$F$1:$ABM$500,J$2,0),Техника!$F$4:$ABM$4,"Часы",INDEX(Техника!$G$1:$ABN$500,J$2,0),$A$200,INDEX(Техника!$H$1:$ABO$500,J$2,0),"Д")</f>
        <v>0</v>
      </c>
      <c r="K202" s="50">
        <f>SUMIFS(INDEX(Техника!$F$1:$ABM$500,K$2,0),Техника!$F$4:$ABM$4,"Часы",INDEX(Техника!$G$1:$ABN$500,K$2,0),$A$200,INDEX(Техника!$H$1:$ABO$500,K$2,0),"Д")</f>
        <v>0</v>
      </c>
      <c r="L202" s="50">
        <f>SUMIFS(INDEX(Техника!$F$1:$ABM$500,L$2,0),Техника!$F$4:$ABM$4,"Часы",INDEX(Техника!$G$1:$ABN$500,L$2,0),$A$200,INDEX(Техника!$H$1:$ABO$500,L$2,0),"Д")</f>
        <v>0</v>
      </c>
      <c r="M202" s="50">
        <f>SUMIFS(INDEX(Техника!$F$1:$ABM$500,M$2,0),Техника!$F$4:$ABM$4,"Часы",INDEX(Техника!$G$1:$ABN$500,M$2,0),$A$200,INDEX(Техника!$H$1:$ABO$500,M$2,0),"Д")</f>
        <v>0</v>
      </c>
      <c r="N202" s="50">
        <f>SUMIFS(INDEX(Техника!$F$1:$ABM$500,N$2,0),Техника!$F$4:$ABM$4,"Часы",INDEX(Техника!$G$1:$ABN$500,N$2,0),$A$200,INDEX(Техника!$H$1:$ABO$500,N$2,0),"Д")</f>
        <v>0</v>
      </c>
      <c r="O202" s="50">
        <f>SUMIFS(INDEX(Техника!$F$1:$ABM$500,O$2,0),Техника!$F$4:$ABM$4,"Часы",INDEX(Техника!$G$1:$ABN$500,O$2,0),$A$200,INDEX(Техника!$H$1:$ABO$500,O$2,0),"Д")</f>
        <v>0</v>
      </c>
      <c r="P202" s="50">
        <f>SUMIFS(INDEX(Техника!$F$1:$ABM$500,P$2,0),Техника!$F$4:$ABM$4,"Часы",INDEX(Техника!$G$1:$ABN$500,P$2,0),$A$200,INDEX(Техника!$H$1:$ABO$500,P$2,0),"Д")</f>
        <v>0</v>
      </c>
      <c r="Q202" s="50">
        <f>SUMIFS(INDEX(Техника!$F$1:$ABM$500,Q$2,0),Техника!$F$4:$ABM$4,"Часы",INDEX(Техника!$G$1:$ABN$500,Q$2,0),$A$200,INDEX(Техника!$H$1:$ABO$500,Q$2,0),"Д")</f>
        <v>0</v>
      </c>
      <c r="R202" s="50">
        <f>SUMIFS(INDEX(Техника!$F$1:$ABM$500,R$2,0),Техника!$F$4:$ABM$4,"Часы",INDEX(Техника!$G$1:$ABN$500,R$2,0),$A$200,INDEX(Техника!$H$1:$ABO$500,R$2,0),"Д")</f>
        <v>0</v>
      </c>
      <c r="S202" s="50">
        <f>SUMIFS(INDEX(Техника!$F$1:$ABM$500,S$2,0),Техника!$F$4:$ABM$4,"Часы",INDEX(Техника!$G$1:$ABN$500,S$2,0),$A$200,INDEX(Техника!$H$1:$ABO$500,S$2,0),"Д")</f>
        <v>0</v>
      </c>
      <c r="T202" s="50">
        <f>SUMIFS(INDEX(Техника!$F$1:$ABM$500,T$2,0),Техника!$F$4:$ABM$4,"Часы",INDEX(Техника!$G$1:$ABN$500,T$2,0),$A$200,INDEX(Техника!$H$1:$ABO$500,T$2,0),"Д")</f>
        <v>0</v>
      </c>
      <c r="U202" s="50">
        <f>SUMIFS(INDEX(Техника!$F$1:$ABM$500,U$2,0),Техника!$F$4:$ABM$4,"Часы",INDEX(Техника!$G$1:$ABN$500,U$2,0),$A$200,INDEX(Техника!$H$1:$ABO$500,U$2,0),"Д")</f>
        <v>0</v>
      </c>
      <c r="V202" s="50">
        <f>SUMIFS(INDEX(Техника!$F$1:$ABM$500,V$2,0),Техника!$F$4:$ABM$4,"Часы",INDEX(Техника!$G$1:$ABN$500,V$2,0),$A$200,INDEX(Техника!$H$1:$ABO$500,V$2,0),"Д")</f>
        <v>0</v>
      </c>
      <c r="W202" s="50">
        <f>SUMIFS(INDEX(Техника!$F$1:$ABM$500,W$2,0),Техника!$F$4:$ABM$4,"Часы",INDEX(Техника!$G$1:$ABN$500,W$2,0),$A$200,INDEX(Техника!$H$1:$ABO$500,W$2,0),"Д")</f>
        <v>0</v>
      </c>
      <c r="X202" s="50">
        <f>SUMIFS(INDEX(Техника!$F$1:$ABM$500,X$2,0),Техника!$F$4:$ABM$4,"Часы",INDEX(Техника!$G$1:$ABN$500,X$2,0),$A$200,INDEX(Техника!$H$1:$ABO$500,X$2,0),"Д")</f>
        <v>0</v>
      </c>
      <c r="Y202" s="50">
        <f>SUMIFS(INDEX(Техника!$F$1:$ABM$500,Y$2,0),Техника!$F$4:$ABM$4,"Часы",INDEX(Техника!$G$1:$ABN$500,Y$2,0),$A$200,INDEX(Техника!$H$1:$ABO$500,Y$2,0),"Д")</f>
        <v>0</v>
      </c>
      <c r="Z202" s="50">
        <f>SUMIFS(INDEX(Техника!$F$1:$ABM$500,Z$2,0),Техника!$F$4:$ABM$4,"Часы",INDEX(Техника!$G$1:$ABN$500,Z$2,0),$A$200,INDEX(Техника!$H$1:$ABO$500,Z$2,0),"Д")</f>
        <v>0</v>
      </c>
      <c r="AA202" s="50">
        <f>SUMIFS(INDEX(Техника!$F$1:$ABM$500,AA$2,0),Техника!$F$4:$ABM$4,"Часы",INDEX(Техника!$G$1:$ABN$500,AA$2,0),$A$200,INDEX(Техника!$H$1:$ABO$500,AA$2,0),"Д")</f>
        <v>0</v>
      </c>
      <c r="AB202" s="50">
        <f>SUMIFS(INDEX(Техника!$F$1:$ABM$500,AB$2,0),Техника!$F$4:$ABM$4,"Часы",INDEX(Техника!$G$1:$ABN$500,AB$2,0),$A$200,INDEX(Техника!$H$1:$ABO$500,AB$2,0),"Д")</f>
        <v>0</v>
      </c>
    </row>
    <row r="203" spans="1:28" hidden="1" outlineLevel="1" x14ac:dyDescent="0.3">
      <c r="A203" s="33" t="s">
        <v>276</v>
      </c>
      <c r="B203" s="34" t="s">
        <v>277</v>
      </c>
      <c r="C203" s="50">
        <f>SUMIFS(INDEX(Техника!$F$1:$ABM$500,C$2,0),Техника!$F$4:$ABM$4,"Часы",INDEX(Техника!$G$1:$ABN$500,C$2,0),$A$200,INDEX(Техника!$H$1:$ABO$500,C$2,0),"П")</f>
        <v>0</v>
      </c>
      <c r="D203" s="50">
        <f>SUMIFS(INDEX(Техника!$F$1:$ABM$500,D$2,0),Техника!$F$4:$ABM$4,"Часы",INDEX(Техника!$G$1:$ABN$500,D$2,0),$A$200,INDEX(Техника!$H$1:$ABO$500,D$2,0),"П")</f>
        <v>0</v>
      </c>
      <c r="E203" s="50">
        <f>SUMIFS(INDEX(Техника!$F$1:$ABM$500,E$2,0),Техника!$F$4:$ABM$4,"Часы",INDEX(Техника!$G$1:$ABN$500,E$2,0),$A$200,INDEX(Техника!$H$1:$ABO$500,E$2,0),"П")</f>
        <v>0</v>
      </c>
      <c r="F203" s="50">
        <f>SUMIFS(INDEX(Техника!$F$1:$ABM$500,F$2,0),Техника!$F$4:$ABM$4,"Часы",INDEX(Техника!$G$1:$ABN$500,F$2,0),$A$200,INDEX(Техника!$H$1:$ABO$500,F$2,0),"П")</f>
        <v>0</v>
      </c>
      <c r="G203" s="50">
        <f>SUMIFS(INDEX(Техника!$F$1:$ABM$500,G$2,0),Техника!$F$4:$ABM$4,"Часы",INDEX(Техника!$G$1:$ABN$500,G$2,0),$A$200,INDEX(Техника!$H$1:$ABO$500,G$2,0),"П")</f>
        <v>0</v>
      </c>
      <c r="H203" s="50">
        <f>SUMIFS(INDEX(Техника!$F$1:$ABM$500,H$2,0),Техника!$F$4:$ABM$4,"Часы",INDEX(Техника!$G$1:$ABN$500,H$2,0),$A$200,INDEX(Техника!$H$1:$ABO$500,H$2,0),"П")</f>
        <v>0</v>
      </c>
      <c r="I203" s="50">
        <f>SUMIFS(INDEX(Техника!$F$1:$ABM$500,I$2,0),Техника!$F$4:$ABM$4,"Часы",INDEX(Техника!$G$1:$ABN$500,I$2,0),$A$200,INDEX(Техника!$H$1:$ABO$500,I$2,0),"П")</f>
        <v>0</v>
      </c>
      <c r="J203" s="50">
        <f>SUMIFS(INDEX(Техника!$F$1:$ABM$500,J$2,0),Техника!$F$4:$ABM$4,"Часы",INDEX(Техника!$G$1:$ABN$500,J$2,0),$A$200,INDEX(Техника!$H$1:$ABO$500,J$2,0),"П")</f>
        <v>0</v>
      </c>
      <c r="K203" s="50">
        <f>SUMIFS(INDEX(Техника!$F$1:$ABM$500,K$2,0),Техника!$F$4:$ABM$4,"Часы",INDEX(Техника!$G$1:$ABN$500,K$2,0),$A$200,INDEX(Техника!$H$1:$ABO$500,K$2,0),"П")</f>
        <v>0</v>
      </c>
      <c r="L203" s="50">
        <f>SUMIFS(INDEX(Техника!$F$1:$ABM$500,L$2,0),Техника!$F$4:$ABM$4,"Часы",INDEX(Техника!$G$1:$ABN$500,L$2,0),$A$200,INDEX(Техника!$H$1:$ABO$500,L$2,0),"П")</f>
        <v>0</v>
      </c>
      <c r="M203" s="50">
        <f>SUMIFS(INDEX(Техника!$F$1:$ABM$500,M$2,0),Техника!$F$4:$ABM$4,"Часы",INDEX(Техника!$G$1:$ABN$500,M$2,0),$A$200,INDEX(Техника!$H$1:$ABO$500,M$2,0),"П")</f>
        <v>0</v>
      </c>
      <c r="N203" s="50">
        <f>SUMIFS(INDEX(Техника!$F$1:$ABM$500,N$2,0),Техника!$F$4:$ABM$4,"Часы",INDEX(Техника!$G$1:$ABN$500,N$2,0),$A$200,INDEX(Техника!$H$1:$ABO$500,N$2,0),"П")</f>
        <v>0</v>
      </c>
      <c r="O203" s="50">
        <f>SUMIFS(INDEX(Техника!$F$1:$ABM$500,O$2,0),Техника!$F$4:$ABM$4,"Часы",INDEX(Техника!$G$1:$ABN$500,O$2,0),$A$200,INDEX(Техника!$H$1:$ABO$500,O$2,0),"П")</f>
        <v>0</v>
      </c>
      <c r="P203" s="50">
        <f>SUMIFS(INDEX(Техника!$F$1:$ABM$500,P$2,0),Техника!$F$4:$ABM$4,"Часы",INDEX(Техника!$G$1:$ABN$500,P$2,0),$A$200,INDEX(Техника!$H$1:$ABO$500,P$2,0),"П")</f>
        <v>0</v>
      </c>
      <c r="Q203" s="50">
        <f>SUMIFS(INDEX(Техника!$F$1:$ABM$500,Q$2,0),Техника!$F$4:$ABM$4,"Часы",INDEX(Техника!$G$1:$ABN$500,Q$2,0),$A$200,INDEX(Техника!$H$1:$ABO$500,Q$2,0),"П")</f>
        <v>0</v>
      </c>
      <c r="R203" s="50">
        <f>SUMIFS(INDEX(Техника!$F$1:$ABM$500,R$2,0),Техника!$F$4:$ABM$4,"Часы",INDEX(Техника!$G$1:$ABN$500,R$2,0),$A$200,INDEX(Техника!$H$1:$ABO$500,R$2,0),"П")</f>
        <v>0</v>
      </c>
      <c r="S203" s="50">
        <f>SUMIFS(INDEX(Техника!$F$1:$ABM$500,S$2,0),Техника!$F$4:$ABM$4,"Часы",INDEX(Техника!$G$1:$ABN$500,S$2,0),$A$200,INDEX(Техника!$H$1:$ABO$500,S$2,0),"П")</f>
        <v>0</v>
      </c>
      <c r="T203" s="50">
        <f>SUMIFS(INDEX(Техника!$F$1:$ABM$500,T$2,0),Техника!$F$4:$ABM$4,"Часы",INDEX(Техника!$G$1:$ABN$500,T$2,0),$A$200,INDEX(Техника!$H$1:$ABO$500,T$2,0),"П")</f>
        <v>0</v>
      </c>
      <c r="U203" s="50">
        <f>SUMIFS(INDEX(Техника!$F$1:$ABM$500,U$2,0),Техника!$F$4:$ABM$4,"Часы",INDEX(Техника!$G$1:$ABN$500,U$2,0),$A$200,INDEX(Техника!$H$1:$ABO$500,U$2,0),"П")</f>
        <v>0</v>
      </c>
      <c r="V203" s="50">
        <f>SUMIFS(INDEX(Техника!$F$1:$ABM$500,V$2,0),Техника!$F$4:$ABM$4,"Часы",INDEX(Техника!$G$1:$ABN$500,V$2,0),$A$200,INDEX(Техника!$H$1:$ABO$500,V$2,0),"П")</f>
        <v>0</v>
      </c>
      <c r="W203" s="50">
        <f>SUMIFS(INDEX(Техника!$F$1:$ABM$500,W$2,0),Техника!$F$4:$ABM$4,"Часы",INDEX(Техника!$G$1:$ABN$500,W$2,0),$A$200,INDEX(Техника!$H$1:$ABO$500,W$2,0),"П")</f>
        <v>0</v>
      </c>
      <c r="X203" s="50">
        <f>SUMIFS(INDEX(Техника!$F$1:$ABM$500,X$2,0),Техника!$F$4:$ABM$4,"Часы",INDEX(Техника!$G$1:$ABN$500,X$2,0),$A$200,INDEX(Техника!$H$1:$ABO$500,X$2,0),"П")</f>
        <v>0</v>
      </c>
      <c r="Y203" s="50">
        <f>SUMIFS(INDEX(Техника!$F$1:$ABM$500,Y$2,0),Техника!$F$4:$ABM$4,"Часы",INDEX(Техника!$G$1:$ABN$500,Y$2,0),$A$200,INDEX(Техника!$H$1:$ABO$500,Y$2,0),"П")</f>
        <v>0</v>
      </c>
      <c r="Z203" s="50">
        <f>SUMIFS(INDEX(Техника!$F$1:$ABM$500,Z$2,0),Техника!$F$4:$ABM$4,"Часы",INDEX(Техника!$G$1:$ABN$500,Z$2,0),$A$200,INDEX(Техника!$H$1:$ABO$500,Z$2,0),"П")</f>
        <v>0</v>
      </c>
      <c r="AA203" s="50">
        <f>SUMIFS(INDEX(Техника!$F$1:$ABM$500,AA$2,0),Техника!$F$4:$ABM$4,"Часы",INDEX(Техника!$G$1:$ABN$500,AA$2,0),$A$200,INDEX(Техника!$H$1:$ABO$500,AA$2,0),"П")</f>
        <v>0</v>
      </c>
      <c r="AB203" s="50">
        <f>SUMIFS(INDEX(Техника!$F$1:$ABM$500,AB$2,0),Техника!$F$4:$ABM$4,"Часы",INDEX(Техника!$G$1:$ABN$500,AB$2,0),$A$200,INDEX(Техника!$H$1:$ABO$500,AB$2,0),"П")</f>
        <v>0</v>
      </c>
    </row>
    <row r="204" spans="1:28" hidden="1" outlineLevel="1" x14ac:dyDescent="0.3">
      <c r="A204" s="33" t="s">
        <v>243</v>
      </c>
      <c r="B204" s="34" t="s">
        <v>278</v>
      </c>
      <c r="C204" s="50">
        <f>SUMIFS(INDEX(Техника!$F$1:$ABM$500,C$2,0),Техника!$F$4:$ABM$4,"Часы",INDEX(Техника!$G$1:$ABN$500,C$2,0),$A$200,INDEX(Техника!$H$1:$ABO$500,C$2,0),"Л")</f>
        <v>0</v>
      </c>
      <c r="D204" s="50">
        <f>SUMIFS(INDEX(Техника!$F$1:$ABM$500,D$2,0),Техника!$F$4:$ABM$4,"Часы",INDEX(Техника!$G$1:$ABN$500,D$2,0),$A$200,INDEX(Техника!$H$1:$ABO$500,D$2,0),"Л")</f>
        <v>0</v>
      </c>
      <c r="E204" s="50">
        <f>SUMIFS(INDEX(Техника!$F$1:$ABM$500,E$2,0),Техника!$F$4:$ABM$4,"Часы",INDEX(Техника!$G$1:$ABN$500,E$2,0),$A$200,INDEX(Техника!$H$1:$ABO$500,E$2,0),"Л")</f>
        <v>0</v>
      </c>
      <c r="F204" s="50">
        <f>SUMIFS(INDEX(Техника!$F$1:$ABM$500,F$2,0),Техника!$F$4:$ABM$4,"Часы",INDEX(Техника!$G$1:$ABN$500,F$2,0),$A$200,INDEX(Техника!$H$1:$ABO$500,F$2,0),"Л")</f>
        <v>0</v>
      </c>
      <c r="G204" s="50">
        <f>SUMIFS(INDEX(Техника!$F$1:$ABM$500,G$2,0),Техника!$F$4:$ABM$4,"Часы",INDEX(Техника!$G$1:$ABN$500,G$2,0),$A$200,INDEX(Техника!$H$1:$ABO$500,G$2,0),"Л")</f>
        <v>0</v>
      </c>
      <c r="H204" s="50">
        <f>SUMIFS(INDEX(Техника!$F$1:$ABM$500,H$2,0),Техника!$F$4:$ABM$4,"Часы",INDEX(Техника!$G$1:$ABN$500,H$2,0),$A$200,INDEX(Техника!$H$1:$ABO$500,H$2,0),"Л")</f>
        <v>0</v>
      </c>
      <c r="I204" s="50">
        <f>SUMIFS(INDEX(Техника!$F$1:$ABM$500,I$2,0),Техника!$F$4:$ABM$4,"Часы",INDEX(Техника!$G$1:$ABN$500,I$2,0),$A$200,INDEX(Техника!$H$1:$ABO$500,I$2,0),"Л")</f>
        <v>0</v>
      </c>
      <c r="J204" s="50">
        <f>SUMIFS(INDEX(Техника!$F$1:$ABM$500,J$2,0),Техника!$F$4:$ABM$4,"Часы",INDEX(Техника!$G$1:$ABN$500,J$2,0),$A$200,INDEX(Техника!$H$1:$ABO$500,J$2,0),"Л")</f>
        <v>0</v>
      </c>
      <c r="K204" s="50">
        <f>SUMIFS(INDEX(Техника!$F$1:$ABM$500,K$2,0),Техника!$F$4:$ABM$4,"Часы",INDEX(Техника!$G$1:$ABN$500,K$2,0),$A$200,INDEX(Техника!$H$1:$ABO$500,K$2,0),"Л")</f>
        <v>0</v>
      </c>
      <c r="L204" s="50">
        <f>SUMIFS(INDEX(Техника!$F$1:$ABM$500,L$2,0),Техника!$F$4:$ABM$4,"Часы",INDEX(Техника!$G$1:$ABN$500,L$2,0),$A$200,INDEX(Техника!$H$1:$ABO$500,L$2,0),"Л")</f>
        <v>0</v>
      </c>
      <c r="M204" s="50">
        <f>SUMIFS(INDEX(Техника!$F$1:$ABM$500,M$2,0),Техника!$F$4:$ABM$4,"Часы",INDEX(Техника!$G$1:$ABN$500,M$2,0),$A$200,INDEX(Техника!$H$1:$ABO$500,M$2,0),"Л")</f>
        <v>0</v>
      </c>
      <c r="N204" s="50">
        <f>SUMIFS(INDEX(Техника!$F$1:$ABM$500,N$2,0),Техника!$F$4:$ABM$4,"Часы",INDEX(Техника!$G$1:$ABN$500,N$2,0),$A$200,INDEX(Техника!$H$1:$ABO$500,N$2,0),"Л")</f>
        <v>0</v>
      </c>
      <c r="O204" s="50">
        <f>SUMIFS(INDEX(Техника!$F$1:$ABM$500,O$2,0),Техника!$F$4:$ABM$4,"Часы",INDEX(Техника!$G$1:$ABN$500,O$2,0),$A$200,INDEX(Техника!$H$1:$ABO$500,O$2,0),"Л")</f>
        <v>0</v>
      </c>
      <c r="P204" s="50">
        <f>SUMIFS(INDEX(Техника!$F$1:$ABM$500,P$2,0),Техника!$F$4:$ABM$4,"Часы",INDEX(Техника!$G$1:$ABN$500,P$2,0),$A$200,INDEX(Техника!$H$1:$ABO$500,P$2,0),"Л")</f>
        <v>0</v>
      </c>
      <c r="Q204" s="50">
        <f>SUMIFS(INDEX(Техника!$F$1:$ABM$500,Q$2,0),Техника!$F$4:$ABM$4,"Часы",INDEX(Техника!$G$1:$ABN$500,Q$2,0),$A$200,INDEX(Техника!$H$1:$ABO$500,Q$2,0),"Л")</f>
        <v>0</v>
      </c>
      <c r="R204" s="50">
        <f>SUMIFS(INDEX(Техника!$F$1:$ABM$500,R$2,0),Техника!$F$4:$ABM$4,"Часы",INDEX(Техника!$G$1:$ABN$500,R$2,0),$A$200,INDEX(Техника!$H$1:$ABO$500,R$2,0),"Л")</f>
        <v>0</v>
      </c>
      <c r="S204" s="50">
        <f>SUMIFS(INDEX(Техника!$F$1:$ABM$500,S$2,0),Техника!$F$4:$ABM$4,"Часы",INDEX(Техника!$G$1:$ABN$500,S$2,0),$A$200,INDEX(Техника!$H$1:$ABO$500,S$2,0),"Л")</f>
        <v>0</v>
      </c>
      <c r="T204" s="50">
        <f>SUMIFS(INDEX(Техника!$F$1:$ABM$500,T$2,0),Техника!$F$4:$ABM$4,"Часы",INDEX(Техника!$G$1:$ABN$500,T$2,0),$A$200,INDEX(Техника!$H$1:$ABO$500,T$2,0),"Л")</f>
        <v>0</v>
      </c>
      <c r="U204" s="50">
        <f>SUMIFS(INDEX(Техника!$F$1:$ABM$500,U$2,0),Техника!$F$4:$ABM$4,"Часы",INDEX(Техника!$G$1:$ABN$500,U$2,0),$A$200,INDEX(Техника!$H$1:$ABO$500,U$2,0),"Л")</f>
        <v>0</v>
      </c>
      <c r="V204" s="50">
        <f>SUMIFS(INDEX(Техника!$F$1:$ABM$500,V$2,0),Техника!$F$4:$ABM$4,"Часы",INDEX(Техника!$G$1:$ABN$500,V$2,0),$A$200,INDEX(Техника!$H$1:$ABO$500,V$2,0),"Л")</f>
        <v>0</v>
      </c>
      <c r="W204" s="50">
        <f>SUMIFS(INDEX(Техника!$F$1:$ABM$500,W$2,0),Техника!$F$4:$ABM$4,"Часы",INDEX(Техника!$G$1:$ABN$500,W$2,0),$A$200,INDEX(Техника!$H$1:$ABO$500,W$2,0),"Л")</f>
        <v>0</v>
      </c>
      <c r="X204" s="50">
        <f>SUMIFS(INDEX(Техника!$F$1:$ABM$500,X$2,0),Техника!$F$4:$ABM$4,"Часы",INDEX(Техника!$G$1:$ABN$500,X$2,0),$A$200,INDEX(Техника!$H$1:$ABO$500,X$2,0),"Л")</f>
        <v>0</v>
      </c>
      <c r="Y204" s="50">
        <f>SUMIFS(INDEX(Техника!$F$1:$ABM$500,Y$2,0),Техника!$F$4:$ABM$4,"Часы",INDEX(Техника!$G$1:$ABN$500,Y$2,0),$A$200,INDEX(Техника!$H$1:$ABO$500,Y$2,0),"Л")</f>
        <v>0</v>
      </c>
      <c r="Z204" s="50">
        <f>SUMIFS(INDEX(Техника!$F$1:$ABM$500,Z$2,0),Техника!$F$4:$ABM$4,"Часы",INDEX(Техника!$G$1:$ABN$500,Z$2,0),$A$200,INDEX(Техника!$H$1:$ABO$500,Z$2,0),"Л")</f>
        <v>0</v>
      </c>
      <c r="AA204" s="50">
        <f>SUMIFS(INDEX(Техника!$F$1:$ABM$500,AA$2,0),Техника!$F$4:$ABM$4,"Часы",INDEX(Техника!$G$1:$ABN$500,AA$2,0),$A$200,INDEX(Техника!$H$1:$ABO$500,AA$2,0),"Л")</f>
        <v>0</v>
      </c>
      <c r="AB204" s="50">
        <f>SUMIFS(INDEX(Техника!$F$1:$ABM$500,AB$2,0),Техника!$F$4:$ABM$4,"Часы",INDEX(Техника!$G$1:$ABN$500,AB$2,0),$A$200,INDEX(Техника!$H$1:$ABO$500,AB$2,0),"Л")</f>
        <v>0</v>
      </c>
    </row>
    <row r="205" spans="1:28" hidden="1" outlineLevel="1" x14ac:dyDescent="0.3">
      <c r="A205" s="33" t="s">
        <v>245</v>
      </c>
      <c r="B205" s="34" t="s">
        <v>279</v>
      </c>
      <c r="C205" s="50">
        <f>SUMIFS(INDEX(Техника!$F$1:$ABM$500,C$2,0),Техника!$F$4:$ABM$4,"Часы",INDEX(Техника!$G$1:$ABN$500,C$2,0),$A$200,INDEX(Техника!$H$1:$ABO$500,C$2,0),"З")</f>
        <v>0</v>
      </c>
      <c r="D205" s="50">
        <f>SUMIFS(INDEX(Техника!$F$1:$ABM$500,D$2,0),Техника!$F$4:$ABM$4,"Часы",INDEX(Техника!$G$1:$ABN$500,D$2,0),$A$200,INDEX(Техника!$H$1:$ABO$500,D$2,0),"З")</f>
        <v>0</v>
      </c>
      <c r="E205" s="50">
        <f>SUMIFS(INDEX(Техника!$F$1:$ABM$500,E$2,0),Техника!$F$4:$ABM$4,"Часы",INDEX(Техника!$G$1:$ABN$500,E$2,0),$A$200,INDEX(Техника!$H$1:$ABO$500,E$2,0),"З")</f>
        <v>0</v>
      </c>
      <c r="F205" s="50">
        <f>SUMIFS(INDEX(Техника!$F$1:$ABM$500,F$2,0),Техника!$F$4:$ABM$4,"Часы",INDEX(Техника!$G$1:$ABN$500,F$2,0),$A$200,INDEX(Техника!$H$1:$ABO$500,F$2,0),"З")</f>
        <v>0</v>
      </c>
      <c r="G205" s="50">
        <f>SUMIFS(INDEX(Техника!$F$1:$ABM$500,G$2,0),Техника!$F$4:$ABM$4,"Часы",INDEX(Техника!$G$1:$ABN$500,G$2,0),$A$200,INDEX(Техника!$H$1:$ABO$500,G$2,0),"З")</f>
        <v>0</v>
      </c>
      <c r="H205" s="50">
        <f>SUMIFS(INDEX(Техника!$F$1:$ABM$500,H$2,0),Техника!$F$4:$ABM$4,"Часы",INDEX(Техника!$G$1:$ABN$500,H$2,0),$A$200,INDEX(Техника!$H$1:$ABO$500,H$2,0),"З")</f>
        <v>0</v>
      </c>
      <c r="I205" s="50">
        <f>SUMIFS(INDEX(Техника!$F$1:$ABM$500,I$2,0),Техника!$F$4:$ABM$4,"Часы",INDEX(Техника!$G$1:$ABN$500,I$2,0),$A$200,INDEX(Техника!$H$1:$ABO$500,I$2,0),"З")</f>
        <v>0</v>
      </c>
      <c r="J205" s="50">
        <f>SUMIFS(INDEX(Техника!$F$1:$ABM$500,J$2,0),Техника!$F$4:$ABM$4,"Часы",INDEX(Техника!$G$1:$ABN$500,J$2,0),$A$200,INDEX(Техника!$H$1:$ABO$500,J$2,0),"З")</f>
        <v>0</v>
      </c>
      <c r="K205" s="50">
        <f>SUMIFS(INDEX(Техника!$F$1:$ABM$500,K$2,0),Техника!$F$4:$ABM$4,"Часы",INDEX(Техника!$G$1:$ABN$500,K$2,0),$A$200,INDEX(Техника!$H$1:$ABO$500,K$2,0),"З")</f>
        <v>0</v>
      </c>
      <c r="L205" s="50">
        <f>SUMIFS(INDEX(Техника!$F$1:$ABM$500,L$2,0),Техника!$F$4:$ABM$4,"Часы",INDEX(Техника!$G$1:$ABN$500,L$2,0),$A$200,INDEX(Техника!$H$1:$ABO$500,L$2,0),"З")</f>
        <v>0</v>
      </c>
      <c r="M205" s="50">
        <f>SUMIFS(INDEX(Техника!$F$1:$ABM$500,M$2,0),Техника!$F$4:$ABM$4,"Часы",INDEX(Техника!$G$1:$ABN$500,M$2,0),$A$200,INDEX(Техника!$H$1:$ABO$500,M$2,0),"З")</f>
        <v>0</v>
      </c>
      <c r="N205" s="50">
        <f>SUMIFS(INDEX(Техника!$F$1:$ABM$500,N$2,0),Техника!$F$4:$ABM$4,"Часы",INDEX(Техника!$G$1:$ABN$500,N$2,0),$A$200,INDEX(Техника!$H$1:$ABO$500,N$2,0),"З")</f>
        <v>0</v>
      </c>
      <c r="O205" s="50">
        <f>SUMIFS(INDEX(Техника!$F$1:$ABM$500,O$2,0),Техника!$F$4:$ABM$4,"Часы",INDEX(Техника!$G$1:$ABN$500,O$2,0),$A$200,INDEX(Техника!$H$1:$ABO$500,O$2,0),"З")</f>
        <v>0</v>
      </c>
      <c r="P205" s="50">
        <f>SUMIFS(INDEX(Техника!$F$1:$ABM$500,P$2,0),Техника!$F$4:$ABM$4,"Часы",INDEX(Техника!$G$1:$ABN$500,P$2,0),$A$200,INDEX(Техника!$H$1:$ABO$500,P$2,0),"З")</f>
        <v>0</v>
      </c>
      <c r="Q205" s="50">
        <f>SUMIFS(INDEX(Техника!$F$1:$ABM$500,Q$2,0),Техника!$F$4:$ABM$4,"Часы",INDEX(Техника!$G$1:$ABN$500,Q$2,0),$A$200,INDEX(Техника!$H$1:$ABO$500,Q$2,0),"З")</f>
        <v>0</v>
      </c>
      <c r="R205" s="50">
        <f>SUMIFS(INDEX(Техника!$F$1:$ABM$500,R$2,0),Техника!$F$4:$ABM$4,"Часы",INDEX(Техника!$G$1:$ABN$500,R$2,0),$A$200,INDEX(Техника!$H$1:$ABO$500,R$2,0),"З")</f>
        <v>0</v>
      </c>
      <c r="S205" s="50">
        <f>SUMIFS(INDEX(Техника!$F$1:$ABM$500,S$2,0),Техника!$F$4:$ABM$4,"Часы",INDEX(Техника!$G$1:$ABN$500,S$2,0),$A$200,INDEX(Техника!$H$1:$ABO$500,S$2,0),"З")</f>
        <v>0</v>
      </c>
      <c r="T205" s="50">
        <f>SUMIFS(INDEX(Техника!$F$1:$ABM$500,T$2,0),Техника!$F$4:$ABM$4,"Часы",INDEX(Техника!$G$1:$ABN$500,T$2,0),$A$200,INDEX(Техника!$H$1:$ABO$500,T$2,0),"З")</f>
        <v>0</v>
      </c>
      <c r="U205" s="50">
        <f>SUMIFS(INDEX(Техника!$F$1:$ABM$500,U$2,0),Техника!$F$4:$ABM$4,"Часы",INDEX(Техника!$G$1:$ABN$500,U$2,0),$A$200,INDEX(Техника!$H$1:$ABO$500,U$2,0),"З")</f>
        <v>0</v>
      </c>
      <c r="V205" s="50">
        <f>SUMIFS(INDEX(Техника!$F$1:$ABM$500,V$2,0),Техника!$F$4:$ABM$4,"Часы",INDEX(Техника!$G$1:$ABN$500,V$2,0),$A$200,INDEX(Техника!$H$1:$ABO$500,V$2,0),"З")</f>
        <v>0</v>
      </c>
      <c r="W205" s="50">
        <f>SUMIFS(INDEX(Техника!$F$1:$ABM$500,W$2,0),Техника!$F$4:$ABM$4,"Часы",INDEX(Техника!$G$1:$ABN$500,W$2,0),$A$200,INDEX(Техника!$H$1:$ABO$500,W$2,0),"З")</f>
        <v>0</v>
      </c>
      <c r="X205" s="50">
        <f>SUMIFS(INDEX(Техника!$F$1:$ABM$500,X$2,0),Техника!$F$4:$ABM$4,"Часы",INDEX(Техника!$G$1:$ABN$500,X$2,0),$A$200,INDEX(Техника!$H$1:$ABO$500,X$2,0),"З")</f>
        <v>0</v>
      </c>
      <c r="Y205" s="50">
        <f>SUMIFS(INDEX(Техника!$F$1:$ABM$500,Y$2,0),Техника!$F$4:$ABM$4,"Часы",INDEX(Техника!$G$1:$ABN$500,Y$2,0),$A$200,INDEX(Техника!$H$1:$ABO$500,Y$2,0),"З")</f>
        <v>0</v>
      </c>
      <c r="Z205" s="50">
        <f>SUMIFS(INDEX(Техника!$F$1:$ABM$500,Z$2,0),Техника!$F$4:$ABM$4,"Часы",INDEX(Техника!$G$1:$ABN$500,Z$2,0),$A$200,INDEX(Техника!$H$1:$ABO$500,Z$2,0),"З")</f>
        <v>0</v>
      </c>
      <c r="AA205" s="50">
        <f>SUMIFS(INDEX(Техника!$F$1:$ABM$500,AA$2,0),Техника!$F$4:$ABM$4,"Часы",INDEX(Техника!$G$1:$ABN$500,AA$2,0),$A$200,INDEX(Техника!$H$1:$ABO$500,AA$2,0),"З")</f>
        <v>0</v>
      </c>
      <c r="AB205" s="50">
        <f>SUMIFS(INDEX(Техника!$F$1:$ABM$500,AB$2,0),Техника!$F$4:$ABM$4,"Часы",INDEX(Техника!$G$1:$ABN$500,AB$2,0),$A$200,INDEX(Техника!$H$1:$ABO$500,AB$2,0),"З")</f>
        <v>0</v>
      </c>
    </row>
    <row r="206" spans="1:28" ht="7.95" customHeight="1" x14ac:dyDescent="0.3">
      <c r="A206" s="38"/>
      <c r="B206" s="39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 spans="1:28" ht="25.05" customHeight="1" collapsed="1" x14ac:dyDescent="0.3">
      <c r="A207" s="32">
        <v>30</v>
      </c>
      <c r="B207" s="32" t="s">
        <v>31</v>
      </c>
      <c r="C207" s="49">
        <f>SUM(C208:C212)</f>
        <v>0</v>
      </c>
      <c r="D207" s="49">
        <f>SUM(D208:D212)</f>
        <v>0</v>
      </c>
      <c r="E207" s="49">
        <f>SUM(E208:E212)</f>
        <v>0</v>
      </c>
      <c r="F207" s="49">
        <f>SUM(F208:F212)</f>
        <v>0</v>
      </c>
      <c r="G207" s="49">
        <f>SUM(G208:G212)</f>
        <v>0</v>
      </c>
      <c r="H207" s="49">
        <f>SUM(H208:H212)</f>
        <v>0</v>
      </c>
      <c r="I207" s="49">
        <f>SUM(I208:I212)</f>
        <v>0</v>
      </c>
      <c r="J207" s="49">
        <f>SUM(J208:J212)</f>
        <v>0</v>
      </c>
      <c r="K207" s="49">
        <f>SUM(K208:K212)</f>
        <v>0</v>
      </c>
      <c r="L207" s="49">
        <f>SUM(L208:L212)</f>
        <v>0</v>
      </c>
      <c r="M207" s="49">
        <f>SUM(M208:M212)</f>
        <v>0</v>
      </c>
      <c r="N207" s="49">
        <f>SUM(N208:N212)</f>
        <v>0</v>
      </c>
      <c r="O207" s="49">
        <f>SUM(O208:O212)</f>
        <v>0</v>
      </c>
      <c r="P207" s="49">
        <f>SUM(P208:P212)</f>
        <v>0</v>
      </c>
      <c r="Q207" s="49">
        <f>SUM(Q208:Q212)</f>
        <v>0</v>
      </c>
      <c r="R207" s="49">
        <f>SUM(R208:R212)</f>
        <v>0</v>
      </c>
      <c r="S207" s="49">
        <f>SUM(S208:S212)</f>
        <v>0</v>
      </c>
      <c r="T207" s="49">
        <f>SUM(T208:T212)</f>
        <v>0</v>
      </c>
      <c r="U207" s="49">
        <f>SUM(U208:U212)</f>
        <v>0</v>
      </c>
      <c r="V207" s="49">
        <f>SUM(V208:V212)</f>
        <v>0</v>
      </c>
      <c r="W207" s="49">
        <f>SUM(W208:W212)</f>
        <v>0</v>
      </c>
      <c r="X207" s="49">
        <f>SUM(X208:X212)</f>
        <v>0</v>
      </c>
      <c r="Y207" s="49">
        <f>SUM(Y208:Y212)</f>
        <v>0</v>
      </c>
      <c r="Z207" s="49">
        <f>SUM(Z208:Z212)</f>
        <v>0</v>
      </c>
      <c r="AA207" s="49">
        <f>SUM(AA208:AA212)</f>
        <v>0</v>
      </c>
      <c r="AB207" s="49">
        <f>SUM(AB208:AB212)</f>
        <v>0</v>
      </c>
    </row>
    <row r="208" spans="1:28" hidden="1" outlineLevel="1" x14ac:dyDescent="0.3">
      <c r="A208" s="33" t="s">
        <v>246</v>
      </c>
      <c r="B208" s="34" t="s">
        <v>274</v>
      </c>
      <c r="C208" s="50">
        <f>SUMIFS(INDEX(Техника!$F$1:$ABM$500,C$2,0),Техника!$F$4:$ABM$4,"Часы",INDEX(Техника!$G$1:$ABN$500,C$2,0),$A$207,INDEX(Техника!$H$1:$ABO$500,C$2,0),"М")</f>
        <v>0</v>
      </c>
      <c r="D208" s="50">
        <f>SUMIFS(INDEX(Техника!$F$1:$ABM$500,D$2,0),Техника!$F$4:$ABM$4,"Часы",INDEX(Техника!$G$1:$ABN$500,D$2,0),$A$207,INDEX(Техника!$H$1:$ABO$500,D$2,0),"М")</f>
        <v>0</v>
      </c>
      <c r="E208" s="50">
        <f>SUMIFS(INDEX(Техника!$F$1:$ABM$500,E$2,0),Техника!$F$4:$ABM$4,"Часы",INDEX(Техника!$G$1:$ABN$500,E$2,0),$A$207,INDEX(Техника!$H$1:$ABO$500,E$2,0),"М")</f>
        <v>0</v>
      </c>
      <c r="F208" s="50">
        <f>SUMIFS(INDEX(Техника!$F$1:$ABM$500,F$2,0),Техника!$F$4:$ABM$4,"Часы",INDEX(Техника!$G$1:$ABN$500,F$2,0),$A$207,INDEX(Техника!$H$1:$ABO$500,F$2,0),"М")</f>
        <v>0</v>
      </c>
      <c r="G208" s="50">
        <f>SUMIFS(INDEX(Техника!$F$1:$ABM$500,G$2,0),Техника!$F$4:$ABM$4,"Часы",INDEX(Техника!$G$1:$ABN$500,G$2,0),$A$207,INDEX(Техника!$H$1:$ABO$500,G$2,0),"М")</f>
        <v>0</v>
      </c>
      <c r="H208" s="50">
        <f>SUMIFS(INDEX(Техника!$F$1:$ABM$500,H$2,0),Техника!$F$4:$ABM$4,"Часы",INDEX(Техника!$G$1:$ABN$500,H$2,0),$A$207,INDEX(Техника!$H$1:$ABO$500,H$2,0),"М")</f>
        <v>0</v>
      </c>
      <c r="I208" s="50">
        <f>SUMIFS(INDEX(Техника!$F$1:$ABM$500,I$2,0),Техника!$F$4:$ABM$4,"Часы",INDEX(Техника!$G$1:$ABN$500,I$2,0),$A$207,INDEX(Техника!$H$1:$ABO$500,I$2,0),"М")</f>
        <v>0</v>
      </c>
      <c r="J208" s="50">
        <f>SUMIFS(INDEX(Техника!$F$1:$ABM$500,J$2,0),Техника!$F$4:$ABM$4,"Часы",INDEX(Техника!$G$1:$ABN$500,J$2,0),$A$207,INDEX(Техника!$H$1:$ABO$500,J$2,0),"М")</f>
        <v>0</v>
      </c>
      <c r="K208" s="50">
        <f>SUMIFS(INDEX(Техника!$F$1:$ABM$500,K$2,0),Техника!$F$4:$ABM$4,"Часы",INDEX(Техника!$G$1:$ABN$500,K$2,0),$A$207,INDEX(Техника!$H$1:$ABO$500,K$2,0),"М")</f>
        <v>0</v>
      </c>
      <c r="L208" s="50">
        <f>SUMIFS(INDEX(Техника!$F$1:$ABM$500,L$2,0),Техника!$F$4:$ABM$4,"Часы",INDEX(Техника!$G$1:$ABN$500,L$2,0),$A$207,INDEX(Техника!$H$1:$ABO$500,L$2,0),"М")</f>
        <v>0</v>
      </c>
      <c r="M208" s="50">
        <f>SUMIFS(INDEX(Техника!$F$1:$ABM$500,M$2,0),Техника!$F$4:$ABM$4,"Часы",INDEX(Техника!$G$1:$ABN$500,M$2,0),$A$207,INDEX(Техника!$H$1:$ABO$500,M$2,0),"М")</f>
        <v>0</v>
      </c>
      <c r="N208" s="50">
        <f>SUMIFS(INDEX(Техника!$F$1:$ABM$500,N$2,0),Техника!$F$4:$ABM$4,"Часы",INDEX(Техника!$G$1:$ABN$500,N$2,0),$A$207,INDEX(Техника!$H$1:$ABO$500,N$2,0),"М")</f>
        <v>0</v>
      </c>
      <c r="O208" s="50">
        <f>SUMIFS(INDEX(Техника!$F$1:$ABM$500,O$2,0),Техника!$F$4:$ABM$4,"Часы",INDEX(Техника!$G$1:$ABN$500,O$2,0),$A$207,INDEX(Техника!$H$1:$ABO$500,O$2,0),"М")</f>
        <v>0</v>
      </c>
      <c r="P208" s="50">
        <f>SUMIFS(INDEX(Техника!$F$1:$ABM$500,P$2,0),Техника!$F$4:$ABM$4,"Часы",INDEX(Техника!$G$1:$ABN$500,P$2,0),$A$207,INDEX(Техника!$H$1:$ABO$500,P$2,0),"М")</f>
        <v>0</v>
      </c>
      <c r="Q208" s="50">
        <f>SUMIFS(INDEX(Техника!$F$1:$ABM$500,Q$2,0),Техника!$F$4:$ABM$4,"Часы",INDEX(Техника!$G$1:$ABN$500,Q$2,0),$A$207,INDEX(Техника!$H$1:$ABO$500,Q$2,0),"М")</f>
        <v>0</v>
      </c>
      <c r="R208" s="50">
        <f>SUMIFS(INDEX(Техника!$F$1:$ABM$500,R$2,0),Техника!$F$4:$ABM$4,"Часы",INDEX(Техника!$G$1:$ABN$500,R$2,0),$A$207,INDEX(Техника!$H$1:$ABO$500,R$2,0),"М")</f>
        <v>0</v>
      </c>
      <c r="S208" s="50">
        <f>SUMIFS(INDEX(Техника!$F$1:$ABM$500,S$2,0),Техника!$F$4:$ABM$4,"Часы",INDEX(Техника!$G$1:$ABN$500,S$2,0),$A$207,INDEX(Техника!$H$1:$ABO$500,S$2,0),"М")</f>
        <v>0</v>
      </c>
      <c r="T208" s="50">
        <f>SUMIFS(INDEX(Техника!$F$1:$ABM$500,T$2,0),Техника!$F$4:$ABM$4,"Часы",INDEX(Техника!$G$1:$ABN$500,T$2,0),$A$207,INDEX(Техника!$H$1:$ABO$500,T$2,0),"М")</f>
        <v>0</v>
      </c>
      <c r="U208" s="50">
        <f>SUMIFS(INDEX(Техника!$F$1:$ABM$500,U$2,0),Техника!$F$4:$ABM$4,"Часы",INDEX(Техника!$G$1:$ABN$500,U$2,0),$A$207,INDEX(Техника!$H$1:$ABO$500,U$2,0),"М")</f>
        <v>0</v>
      </c>
      <c r="V208" s="50">
        <f>SUMIFS(INDEX(Техника!$F$1:$ABM$500,V$2,0),Техника!$F$4:$ABM$4,"Часы",INDEX(Техника!$G$1:$ABN$500,V$2,0),$A$207,INDEX(Техника!$H$1:$ABO$500,V$2,0),"М")</f>
        <v>0</v>
      </c>
      <c r="W208" s="50">
        <f>SUMIFS(INDEX(Техника!$F$1:$ABM$500,W$2,0),Техника!$F$4:$ABM$4,"Часы",INDEX(Техника!$G$1:$ABN$500,W$2,0),$A$207,INDEX(Техника!$H$1:$ABO$500,W$2,0),"М")</f>
        <v>0</v>
      </c>
      <c r="X208" s="50">
        <f>SUMIFS(INDEX(Техника!$F$1:$ABM$500,X$2,0),Техника!$F$4:$ABM$4,"Часы",INDEX(Техника!$G$1:$ABN$500,X$2,0),$A$207,INDEX(Техника!$H$1:$ABO$500,X$2,0),"М")</f>
        <v>0</v>
      </c>
      <c r="Y208" s="50">
        <f>SUMIFS(INDEX(Техника!$F$1:$ABM$500,Y$2,0),Техника!$F$4:$ABM$4,"Часы",INDEX(Техника!$G$1:$ABN$500,Y$2,0),$A$207,INDEX(Техника!$H$1:$ABO$500,Y$2,0),"М")</f>
        <v>0</v>
      </c>
      <c r="Z208" s="50">
        <f>SUMIFS(INDEX(Техника!$F$1:$ABM$500,Z$2,0),Техника!$F$4:$ABM$4,"Часы",INDEX(Техника!$G$1:$ABN$500,Z$2,0),$A$207,INDEX(Техника!$H$1:$ABO$500,Z$2,0),"М")</f>
        <v>0</v>
      </c>
      <c r="AA208" s="50">
        <f>SUMIFS(INDEX(Техника!$F$1:$ABM$500,AA$2,0),Техника!$F$4:$ABM$4,"Часы",INDEX(Техника!$G$1:$ABN$500,AA$2,0),$A$207,INDEX(Техника!$H$1:$ABO$500,AA$2,0),"М")</f>
        <v>0</v>
      </c>
      <c r="AB208" s="50">
        <f>SUMIFS(INDEX(Техника!$F$1:$ABM$500,AB$2,0),Техника!$F$4:$ABM$4,"Часы",INDEX(Техника!$G$1:$ABN$500,AB$2,0),$A$207,INDEX(Техника!$H$1:$ABO$500,AB$2,0),"М")</f>
        <v>0</v>
      </c>
    </row>
    <row r="209" spans="1:28" hidden="1" outlineLevel="1" x14ac:dyDescent="0.3">
      <c r="A209" s="33" t="s">
        <v>244</v>
      </c>
      <c r="B209" s="34" t="s">
        <v>275</v>
      </c>
      <c r="C209" s="50">
        <f>SUMIFS(INDEX(Техника!$F$1:$ABM$500,C$2,0),Техника!$F$4:$ABM$4,"Часы",INDEX(Техника!$G$1:$ABN$500,C$2,0),$A$207,INDEX(Техника!$H$1:$ABO$500,C$2,0),"Д")</f>
        <v>0</v>
      </c>
      <c r="D209" s="50">
        <f>SUMIFS(INDEX(Техника!$F$1:$ABM$500,D$2,0),Техника!$F$4:$ABM$4,"Часы",INDEX(Техника!$G$1:$ABN$500,D$2,0),$A$207,INDEX(Техника!$H$1:$ABO$500,D$2,0),"Д")</f>
        <v>0</v>
      </c>
      <c r="E209" s="50">
        <f>SUMIFS(INDEX(Техника!$F$1:$ABM$500,E$2,0),Техника!$F$4:$ABM$4,"Часы",INDEX(Техника!$G$1:$ABN$500,E$2,0),$A$207,INDEX(Техника!$H$1:$ABO$500,E$2,0),"Д")</f>
        <v>0</v>
      </c>
      <c r="F209" s="50">
        <f>SUMIFS(INDEX(Техника!$F$1:$ABM$500,F$2,0),Техника!$F$4:$ABM$4,"Часы",INDEX(Техника!$G$1:$ABN$500,F$2,0),$A$207,INDEX(Техника!$H$1:$ABO$500,F$2,0),"Д")</f>
        <v>0</v>
      </c>
      <c r="G209" s="50">
        <f>SUMIFS(INDEX(Техника!$F$1:$ABM$500,G$2,0),Техника!$F$4:$ABM$4,"Часы",INDEX(Техника!$G$1:$ABN$500,G$2,0),$A$207,INDEX(Техника!$H$1:$ABO$500,G$2,0),"Д")</f>
        <v>0</v>
      </c>
      <c r="H209" s="50">
        <f>SUMIFS(INDEX(Техника!$F$1:$ABM$500,H$2,0),Техника!$F$4:$ABM$4,"Часы",INDEX(Техника!$G$1:$ABN$500,H$2,0),$A$207,INDEX(Техника!$H$1:$ABO$500,H$2,0),"Д")</f>
        <v>0</v>
      </c>
      <c r="I209" s="50">
        <f>SUMIFS(INDEX(Техника!$F$1:$ABM$500,I$2,0),Техника!$F$4:$ABM$4,"Часы",INDEX(Техника!$G$1:$ABN$500,I$2,0),$A$207,INDEX(Техника!$H$1:$ABO$500,I$2,0),"Д")</f>
        <v>0</v>
      </c>
      <c r="J209" s="50">
        <f>SUMIFS(INDEX(Техника!$F$1:$ABM$500,J$2,0),Техника!$F$4:$ABM$4,"Часы",INDEX(Техника!$G$1:$ABN$500,J$2,0),$A$207,INDEX(Техника!$H$1:$ABO$500,J$2,0),"Д")</f>
        <v>0</v>
      </c>
      <c r="K209" s="50">
        <f>SUMIFS(INDEX(Техника!$F$1:$ABM$500,K$2,0),Техника!$F$4:$ABM$4,"Часы",INDEX(Техника!$G$1:$ABN$500,K$2,0),$A$207,INDEX(Техника!$H$1:$ABO$500,K$2,0),"Д")</f>
        <v>0</v>
      </c>
      <c r="L209" s="50">
        <f>SUMIFS(INDEX(Техника!$F$1:$ABM$500,L$2,0),Техника!$F$4:$ABM$4,"Часы",INDEX(Техника!$G$1:$ABN$500,L$2,0),$A$207,INDEX(Техника!$H$1:$ABO$500,L$2,0),"Д")</f>
        <v>0</v>
      </c>
      <c r="M209" s="50">
        <f>SUMIFS(INDEX(Техника!$F$1:$ABM$500,M$2,0),Техника!$F$4:$ABM$4,"Часы",INDEX(Техника!$G$1:$ABN$500,M$2,0),$A$207,INDEX(Техника!$H$1:$ABO$500,M$2,0),"Д")</f>
        <v>0</v>
      </c>
      <c r="N209" s="50">
        <f>SUMIFS(INDEX(Техника!$F$1:$ABM$500,N$2,0),Техника!$F$4:$ABM$4,"Часы",INDEX(Техника!$G$1:$ABN$500,N$2,0),$A$207,INDEX(Техника!$H$1:$ABO$500,N$2,0),"Д")</f>
        <v>0</v>
      </c>
      <c r="O209" s="50">
        <f>SUMIFS(INDEX(Техника!$F$1:$ABM$500,O$2,0),Техника!$F$4:$ABM$4,"Часы",INDEX(Техника!$G$1:$ABN$500,O$2,0),$A$207,INDEX(Техника!$H$1:$ABO$500,O$2,0),"Д")</f>
        <v>0</v>
      </c>
      <c r="P209" s="50">
        <f>SUMIFS(INDEX(Техника!$F$1:$ABM$500,P$2,0),Техника!$F$4:$ABM$4,"Часы",INDEX(Техника!$G$1:$ABN$500,P$2,0),$A$207,INDEX(Техника!$H$1:$ABO$500,P$2,0),"Д")</f>
        <v>0</v>
      </c>
      <c r="Q209" s="50">
        <f>SUMIFS(INDEX(Техника!$F$1:$ABM$500,Q$2,0),Техника!$F$4:$ABM$4,"Часы",INDEX(Техника!$G$1:$ABN$500,Q$2,0),$A$207,INDEX(Техника!$H$1:$ABO$500,Q$2,0),"Д")</f>
        <v>0</v>
      </c>
      <c r="R209" s="50">
        <f>SUMIFS(INDEX(Техника!$F$1:$ABM$500,R$2,0),Техника!$F$4:$ABM$4,"Часы",INDEX(Техника!$G$1:$ABN$500,R$2,0),$A$207,INDEX(Техника!$H$1:$ABO$500,R$2,0),"Д")</f>
        <v>0</v>
      </c>
      <c r="S209" s="50">
        <f>SUMIFS(INDEX(Техника!$F$1:$ABM$500,S$2,0),Техника!$F$4:$ABM$4,"Часы",INDEX(Техника!$G$1:$ABN$500,S$2,0),$A$207,INDEX(Техника!$H$1:$ABO$500,S$2,0),"Д")</f>
        <v>0</v>
      </c>
      <c r="T209" s="50">
        <f>SUMIFS(INDEX(Техника!$F$1:$ABM$500,T$2,0),Техника!$F$4:$ABM$4,"Часы",INDEX(Техника!$G$1:$ABN$500,T$2,0),$A$207,INDEX(Техника!$H$1:$ABO$500,T$2,0),"Д")</f>
        <v>0</v>
      </c>
      <c r="U209" s="50">
        <f>SUMIFS(INDEX(Техника!$F$1:$ABM$500,U$2,0),Техника!$F$4:$ABM$4,"Часы",INDEX(Техника!$G$1:$ABN$500,U$2,0),$A$207,INDEX(Техника!$H$1:$ABO$500,U$2,0),"Д")</f>
        <v>0</v>
      </c>
      <c r="V209" s="50">
        <f>SUMIFS(INDEX(Техника!$F$1:$ABM$500,V$2,0),Техника!$F$4:$ABM$4,"Часы",INDEX(Техника!$G$1:$ABN$500,V$2,0),$A$207,INDEX(Техника!$H$1:$ABO$500,V$2,0),"Д")</f>
        <v>0</v>
      </c>
      <c r="W209" s="50">
        <f>SUMIFS(INDEX(Техника!$F$1:$ABM$500,W$2,0),Техника!$F$4:$ABM$4,"Часы",INDEX(Техника!$G$1:$ABN$500,W$2,0),$A$207,INDEX(Техника!$H$1:$ABO$500,W$2,0),"Д")</f>
        <v>0</v>
      </c>
      <c r="X209" s="50">
        <f>SUMIFS(INDEX(Техника!$F$1:$ABM$500,X$2,0),Техника!$F$4:$ABM$4,"Часы",INDEX(Техника!$G$1:$ABN$500,X$2,0),$A$207,INDEX(Техника!$H$1:$ABO$500,X$2,0),"Д")</f>
        <v>0</v>
      </c>
      <c r="Y209" s="50">
        <f>SUMIFS(INDEX(Техника!$F$1:$ABM$500,Y$2,0),Техника!$F$4:$ABM$4,"Часы",INDEX(Техника!$G$1:$ABN$500,Y$2,0),$A$207,INDEX(Техника!$H$1:$ABO$500,Y$2,0),"Д")</f>
        <v>0</v>
      </c>
      <c r="Z209" s="50">
        <f>SUMIFS(INDEX(Техника!$F$1:$ABM$500,Z$2,0),Техника!$F$4:$ABM$4,"Часы",INDEX(Техника!$G$1:$ABN$500,Z$2,0),$A$207,INDEX(Техника!$H$1:$ABO$500,Z$2,0),"Д")</f>
        <v>0</v>
      </c>
      <c r="AA209" s="50">
        <f>SUMIFS(INDEX(Техника!$F$1:$ABM$500,AA$2,0),Техника!$F$4:$ABM$4,"Часы",INDEX(Техника!$G$1:$ABN$500,AA$2,0),$A$207,INDEX(Техника!$H$1:$ABO$500,AA$2,0),"Д")</f>
        <v>0</v>
      </c>
      <c r="AB209" s="50">
        <f>SUMIFS(INDEX(Техника!$F$1:$ABM$500,AB$2,0),Техника!$F$4:$ABM$4,"Часы",INDEX(Техника!$G$1:$ABN$500,AB$2,0),$A$207,INDEX(Техника!$H$1:$ABO$500,AB$2,0),"Д")</f>
        <v>0</v>
      </c>
    </row>
    <row r="210" spans="1:28" hidden="1" outlineLevel="1" x14ac:dyDescent="0.3">
      <c r="A210" s="33" t="s">
        <v>276</v>
      </c>
      <c r="B210" s="34" t="s">
        <v>277</v>
      </c>
      <c r="C210" s="50">
        <f>SUMIFS(INDEX(Техника!$F$1:$ABM$500,C$2,0),Техника!$F$4:$ABM$4,"Часы",INDEX(Техника!$G$1:$ABN$500,C$2,0),$A$207,INDEX(Техника!$H$1:$ABO$500,C$2,0),"П")</f>
        <v>0</v>
      </c>
      <c r="D210" s="50">
        <f>SUMIFS(INDEX(Техника!$F$1:$ABM$500,D$2,0),Техника!$F$4:$ABM$4,"Часы",INDEX(Техника!$G$1:$ABN$500,D$2,0),$A$207,INDEX(Техника!$H$1:$ABO$500,D$2,0),"П")</f>
        <v>0</v>
      </c>
      <c r="E210" s="50">
        <f>SUMIFS(INDEX(Техника!$F$1:$ABM$500,E$2,0),Техника!$F$4:$ABM$4,"Часы",INDEX(Техника!$G$1:$ABN$500,E$2,0),$A$207,INDEX(Техника!$H$1:$ABO$500,E$2,0),"П")</f>
        <v>0</v>
      </c>
      <c r="F210" s="50">
        <f>SUMIFS(INDEX(Техника!$F$1:$ABM$500,F$2,0),Техника!$F$4:$ABM$4,"Часы",INDEX(Техника!$G$1:$ABN$500,F$2,0),$A$207,INDEX(Техника!$H$1:$ABO$500,F$2,0),"П")</f>
        <v>0</v>
      </c>
      <c r="G210" s="50">
        <f>SUMIFS(INDEX(Техника!$F$1:$ABM$500,G$2,0),Техника!$F$4:$ABM$4,"Часы",INDEX(Техника!$G$1:$ABN$500,G$2,0),$A$207,INDEX(Техника!$H$1:$ABO$500,G$2,0),"П")</f>
        <v>0</v>
      </c>
      <c r="H210" s="50">
        <f>SUMIFS(INDEX(Техника!$F$1:$ABM$500,H$2,0),Техника!$F$4:$ABM$4,"Часы",INDEX(Техника!$G$1:$ABN$500,H$2,0),$A$207,INDEX(Техника!$H$1:$ABO$500,H$2,0),"П")</f>
        <v>0</v>
      </c>
      <c r="I210" s="50">
        <f>SUMIFS(INDEX(Техника!$F$1:$ABM$500,I$2,0),Техника!$F$4:$ABM$4,"Часы",INDEX(Техника!$G$1:$ABN$500,I$2,0),$A$207,INDEX(Техника!$H$1:$ABO$500,I$2,0),"П")</f>
        <v>0</v>
      </c>
      <c r="J210" s="50">
        <f>SUMIFS(INDEX(Техника!$F$1:$ABM$500,J$2,0),Техника!$F$4:$ABM$4,"Часы",INDEX(Техника!$G$1:$ABN$500,J$2,0),$A$207,INDEX(Техника!$H$1:$ABO$500,J$2,0),"П")</f>
        <v>0</v>
      </c>
      <c r="K210" s="50">
        <f>SUMIFS(INDEX(Техника!$F$1:$ABM$500,K$2,0),Техника!$F$4:$ABM$4,"Часы",INDEX(Техника!$G$1:$ABN$500,K$2,0),$A$207,INDEX(Техника!$H$1:$ABO$500,K$2,0),"П")</f>
        <v>0</v>
      </c>
      <c r="L210" s="50">
        <f>SUMIFS(INDEX(Техника!$F$1:$ABM$500,L$2,0),Техника!$F$4:$ABM$4,"Часы",INDEX(Техника!$G$1:$ABN$500,L$2,0),$A$207,INDEX(Техника!$H$1:$ABO$500,L$2,0),"П")</f>
        <v>0</v>
      </c>
      <c r="M210" s="50">
        <f>SUMIFS(INDEX(Техника!$F$1:$ABM$500,M$2,0),Техника!$F$4:$ABM$4,"Часы",INDEX(Техника!$G$1:$ABN$500,M$2,0),$A$207,INDEX(Техника!$H$1:$ABO$500,M$2,0),"П")</f>
        <v>0</v>
      </c>
      <c r="N210" s="50">
        <f>SUMIFS(INDEX(Техника!$F$1:$ABM$500,N$2,0),Техника!$F$4:$ABM$4,"Часы",INDEX(Техника!$G$1:$ABN$500,N$2,0),$A$207,INDEX(Техника!$H$1:$ABO$500,N$2,0),"П")</f>
        <v>0</v>
      </c>
      <c r="O210" s="50">
        <f>SUMIFS(INDEX(Техника!$F$1:$ABM$500,O$2,0),Техника!$F$4:$ABM$4,"Часы",INDEX(Техника!$G$1:$ABN$500,O$2,0),$A$207,INDEX(Техника!$H$1:$ABO$500,O$2,0),"П")</f>
        <v>0</v>
      </c>
      <c r="P210" s="50">
        <f>SUMIFS(INDEX(Техника!$F$1:$ABM$500,P$2,0),Техника!$F$4:$ABM$4,"Часы",INDEX(Техника!$G$1:$ABN$500,P$2,0),$A$207,INDEX(Техника!$H$1:$ABO$500,P$2,0),"П")</f>
        <v>0</v>
      </c>
      <c r="Q210" s="50">
        <f>SUMIFS(INDEX(Техника!$F$1:$ABM$500,Q$2,0),Техника!$F$4:$ABM$4,"Часы",INDEX(Техника!$G$1:$ABN$500,Q$2,0),$A$207,INDEX(Техника!$H$1:$ABO$500,Q$2,0),"П")</f>
        <v>0</v>
      </c>
      <c r="R210" s="50">
        <f>SUMIFS(INDEX(Техника!$F$1:$ABM$500,R$2,0),Техника!$F$4:$ABM$4,"Часы",INDEX(Техника!$G$1:$ABN$500,R$2,0),$A$207,INDEX(Техника!$H$1:$ABO$500,R$2,0),"П")</f>
        <v>0</v>
      </c>
      <c r="S210" s="50">
        <f>SUMIFS(INDEX(Техника!$F$1:$ABM$500,S$2,0),Техника!$F$4:$ABM$4,"Часы",INDEX(Техника!$G$1:$ABN$500,S$2,0),$A$207,INDEX(Техника!$H$1:$ABO$500,S$2,0),"П")</f>
        <v>0</v>
      </c>
      <c r="T210" s="50">
        <f>SUMIFS(INDEX(Техника!$F$1:$ABM$500,T$2,0),Техника!$F$4:$ABM$4,"Часы",INDEX(Техника!$G$1:$ABN$500,T$2,0),$A$207,INDEX(Техника!$H$1:$ABO$500,T$2,0),"П")</f>
        <v>0</v>
      </c>
      <c r="U210" s="50">
        <f>SUMIFS(INDEX(Техника!$F$1:$ABM$500,U$2,0),Техника!$F$4:$ABM$4,"Часы",INDEX(Техника!$G$1:$ABN$500,U$2,0),$A$207,INDEX(Техника!$H$1:$ABO$500,U$2,0),"П")</f>
        <v>0</v>
      </c>
      <c r="V210" s="50">
        <f>SUMIFS(INDEX(Техника!$F$1:$ABM$500,V$2,0),Техника!$F$4:$ABM$4,"Часы",INDEX(Техника!$G$1:$ABN$500,V$2,0),$A$207,INDEX(Техника!$H$1:$ABO$500,V$2,0),"П")</f>
        <v>0</v>
      </c>
      <c r="W210" s="50">
        <f>SUMIFS(INDEX(Техника!$F$1:$ABM$500,W$2,0),Техника!$F$4:$ABM$4,"Часы",INDEX(Техника!$G$1:$ABN$500,W$2,0),$A$207,INDEX(Техника!$H$1:$ABO$500,W$2,0),"П")</f>
        <v>0</v>
      </c>
      <c r="X210" s="50">
        <f>SUMIFS(INDEX(Техника!$F$1:$ABM$500,X$2,0),Техника!$F$4:$ABM$4,"Часы",INDEX(Техника!$G$1:$ABN$500,X$2,0),$A$207,INDEX(Техника!$H$1:$ABO$500,X$2,0),"П")</f>
        <v>0</v>
      </c>
      <c r="Y210" s="50">
        <f>SUMIFS(INDEX(Техника!$F$1:$ABM$500,Y$2,0),Техника!$F$4:$ABM$4,"Часы",INDEX(Техника!$G$1:$ABN$500,Y$2,0),$A$207,INDEX(Техника!$H$1:$ABO$500,Y$2,0),"П")</f>
        <v>0</v>
      </c>
      <c r="Z210" s="50">
        <f>SUMIFS(INDEX(Техника!$F$1:$ABM$500,Z$2,0),Техника!$F$4:$ABM$4,"Часы",INDEX(Техника!$G$1:$ABN$500,Z$2,0),$A$207,INDEX(Техника!$H$1:$ABO$500,Z$2,0),"П")</f>
        <v>0</v>
      </c>
      <c r="AA210" s="50">
        <f>SUMIFS(INDEX(Техника!$F$1:$ABM$500,AA$2,0),Техника!$F$4:$ABM$4,"Часы",INDEX(Техника!$G$1:$ABN$500,AA$2,0),$A$207,INDEX(Техника!$H$1:$ABO$500,AA$2,0),"П")</f>
        <v>0</v>
      </c>
      <c r="AB210" s="50">
        <f>SUMIFS(INDEX(Техника!$F$1:$ABM$500,AB$2,0),Техника!$F$4:$ABM$4,"Часы",INDEX(Техника!$G$1:$ABN$500,AB$2,0),$A$207,INDEX(Техника!$H$1:$ABO$500,AB$2,0),"П")</f>
        <v>0</v>
      </c>
    </row>
    <row r="211" spans="1:28" hidden="1" outlineLevel="1" x14ac:dyDescent="0.3">
      <c r="A211" s="33" t="s">
        <v>243</v>
      </c>
      <c r="B211" s="34" t="s">
        <v>278</v>
      </c>
      <c r="C211" s="50">
        <f>SUMIFS(INDEX(Техника!$F$1:$ABM$500,C$2,0),Техника!$F$4:$ABM$4,"Часы",INDEX(Техника!$G$1:$ABN$500,C$2,0),$A$207,INDEX(Техника!$H$1:$ABO$500,C$2,0),"Л")</f>
        <v>0</v>
      </c>
      <c r="D211" s="50">
        <f>SUMIFS(INDEX(Техника!$F$1:$ABM$500,D$2,0),Техника!$F$4:$ABM$4,"Часы",INDEX(Техника!$G$1:$ABN$500,D$2,0),$A$207,INDEX(Техника!$H$1:$ABO$500,D$2,0),"Л")</f>
        <v>0</v>
      </c>
      <c r="E211" s="50">
        <f>SUMIFS(INDEX(Техника!$F$1:$ABM$500,E$2,0),Техника!$F$4:$ABM$4,"Часы",INDEX(Техника!$G$1:$ABN$500,E$2,0),$A$207,INDEX(Техника!$H$1:$ABO$500,E$2,0),"Л")</f>
        <v>0</v>
      </c>
      <c r="F211" s="50">
        <f>SUMIFS(INDEX(Техника!$F$1:$ABM$500,F$2,0),Техника!$F$4:$ABM$4,"Часы",INDEX(Техника!$G$1:$ABN$500,F$2,0),$A$207,INDEX(Техника!$H$1:$ABO$500,F$2,0),"Л")</f>
        <v>0</v>
      </c>
      <c r="G211" s="50">
        <f>SUMIFS(INDEX(Техника!$F$1:$ABM$500,G$2,0),Техника!$F$4:$ABM$4,"Часы",INDEX(Техника!$G$1:$ABN$500,G$2,0),$A$207,INDEX(Техника!$H$1:$ABO$500,G$2,0),"Л")</f>
        <v>0</v>
      </c>
      <c r="H211" s="50">
        <f>SUMIFS(INDEX(Техника!$F$1:$ABM$500,H$2,0),Техника!$F$4:$ABM$4,"Часы",INDEX(Техника!$G$1:$ABN$500,H$2,0),$A$207,INDEX(Техника!$H$1:$ABO$500,H$2,0),"Л")</f>
        <v>0</v>
      </c>
      <c r="I211" s="50">
        <f>SUMIFS(INDEX(Техника!$F$1:$ABM$500,I$2,0),Техника!$F$4:$ABM$4,"Часы",INDEX(Техника!$G$1:$ABN$500,I$2,0),$A$207,INDEX(Техника!$H$1:$ABO$500,I$2,0),"Л")</f>
        <v>0</v>
      </c>
      <c r="J211" s="50">
        <f>SUMIFS(INDEX(Техника!$F$1:$ABM$500,J$2,0),Техника!$F$4:$ABM$4,"Часы",INDEX(Техника!$G$1:$ABN$500,J$2,0),$A$207,INDEX(Техника!$H$1:$ABO$500,J$2,0),"Л")</f>
        <v>0</v>
      </c>
      <c r="K211" s="50">
        <f>SUMIFS(INDEX(Техника!$F$1:$ABM$500,K$2,0),Техника!$F$4:$ABM$4,"Часы",INDEX(Техника!$G$1:$ABN$500,K$2,0),$A$207,INDEX(Техника!$H$1:$ABO$500,K$2,0),"Л")</f>
        <v>0</v>
      </c>
      <c r="L211" s="50">
        <f>SUMIFS(INDEX(Техника!$F$1:$ABM$500,L$2,0),Техника!$F$4:$ABM$4,"Часы",INDEX(Техника!$G$1:$ABN$500,L$2,0),$A$207,INDEX(Техника!$H$1:$ABO$500,L$2,0),"Л")</f>
        <v>0</v>
      </c>
      <c r="M211" s="50">
        <f>SUMIFS(INDEX(Техника!$F$1:$ABM$500,M$2,0),Техника!$F$4:$ABM$4,"Часы",INDEX(Техника!$G$1:$ABN$500,M$2,0),$A$207,INDEX(Техника!$H$1:$ABO$500,M$2,0),"Л")</f>
        <v>0</v>
      </c>
      <c r="N211" s="50">
        <f>SUMIFS(INDEX(Техника!$F$1:$ABM$500,N$2,0),Техника!$F$4:$ABM$4,"Часы",INDEX(Техника!$G$1:$ABN$500,N$2,0),$A$207,INDEX(Техника!$H$1:$ABO$500,N$2,0),"Л")</f>
        <v>0</v>
      </c>
      <c r="O211" s="50">
        <f>SUMIFS(INDEX(Техника!$F$1:$ABM$500,O$2,0),Техника!$F$4:$ABM$4,"Часы",INDEX(Техника!$G$1:$ABN$500,O$2,0),$A$207,INDEX(Техника!$H$1:$ABO$500,O$2,0),"Л")</f>
        <v>0</v>
      </c>
      <c r="P211" s="50">
        <f>SUMIFS(INDEX(Техника!$F$1:$ABM$500,P$2,0),Техника!$F$4:$ABM$4,"Часы",INDEX(Техника!$G$1:$ABN$500,P$2,0),$A$207,INDEX(Техника!$H$1:$ABO$500,P$2,0),"Л")</f>
        <v>0</v>
      </c>
      <c r="Q211" s="50">
        <f>SUMIFS(INDEX(Техника!$F$1:$ABM$500,Q$2,0),Техника!$F$4:$ABM$4,"Часы",INDEX(Техника!$G$1:$ABN$500,Q$2,0),$A$207,INDEX(Техника!$H$1:$ABO$500,Q$2,0),"Л")</f>
        <v>0</v>
      </c>
      <c r="R211" s="50">
        <f>SUMIFS(INDEX(Техника!$F$1:$ABM$500,R$2,0),Техника!$F$4:$ABM$4,"Часы",INDEX(Техника!$G$1:$ABN$500,R$2,0),$A$207,INDEX(Техника!$H$1:$ABO$500,R$2,0),"Л")</f>
        <v>0</v>
      </c>
      <c r="S211" s="50">
        <f>SUMIFS(INDEX(Техника!$F$1:$ABM$500,S$2,0),Техника!$F$4:$ABM$4,"Часы",INDEX(Техника!$G$1:$ABN$500,S$2,0),$A$207,INDEX(Техника!$H$1:$ABO$500,S$2,0),"Л")</f>
        <v>0</v>
      </c>
      <c r="T211" s="50">
        <f>SUMIFS(INDEX(Техника!$F$1:$ABM$500,T$2,0),Техника!$F$4:$ABM$4,"Часы",INDEX(Техника!$G$1:$ABN$500,T$2,0),$A$207,INDEX(Техника!$H$1:$ABO$500,T$2,0),"Л")</f>
        <v>0</v>
      </c>
      <c r="U211" s="50">
        <f>SUMIFS(INDEX(Техника!$F$1:$ABM$500,U$2,0),Техника!$F$4:$ABM$4,"Часы",INDEX(Техника!$G$1:$ABN$500,U$2,0),$A$207,INDEX(Техника!$H$1:$ABO$500,U$2,0),"Л")</f>
        <v>0</v>
      </c>
      <c r="V211" s="50">
        <f>SUMIFS(INDEX(Техника!$F$1:$ABM$500,V$2,0),Техника!$F$4:$ABM$4,"Часы",INDEX(Техника!$G$1:$ABN$500,V$2,0),$A$207,INDEX(Техника!$H$1:$ABO$500,V$2,0),"Л")</f>
        <v>0</v>
      </c>
      <c r="W211" s="50">
        <f>SUMIFS(INDEX(Техника!$F$1:$ABM$500,W$2,0),Техника!$F$4:$ABM$4,"Часы",INDEX(Техника!$G$1:$ABN$500,W$2,0),$A$207,INDEX(Техника!$H$1:$ABO$500,W$2,0),"Л")</f>
        <v>0</v>
      </c>
      <c r="X211" s="50">
        <f>SUMIFS(INDEX(Техника!$F$1:$ABM$500,X$2,0),Техника!$F$4:$ABM$4,"Часы",INDEX(Техника!$G$1:$ABN$500,X$2,0),$A$207,INDEX(Техника!$H$1:$ABO$500,X$2,0),"Л")</f>
        <v>0</v>
      </c>
      <c r="Y211" s="50">
        <f>SUMIFS(INDEX(Техника!$F$1:$ABM$500,Y$2,0),Техника!$F$4:$ABM$4,"Часы",INDEX(Техника!$G$1:$ABN$500,Y$2,0),$A$207,INDEX(Техника!$H$1:$ABO$500,Y$2,0),"Л")</f>
        <v>0</v>
      </c>
      <c r="Z211" s="50">
        <f>SUMIFS(INDEX(Техника!$F$1:$ABM$500,Z$2,0),Техника!$F$4:$ABM$4,"Часы",INDEX(Техника!$G$1:$ABN$500,Z$2,0),$A$207,INDEX(Техника!$H$1:$ABO$500,Z$2,0),"Л")</f>
        <v>0</v>
      </c>
      <c r="AA211" s="50">
        <f>SUMIFS(INDEX(Техника!$F$1:$ABM$500,AA$2,0),Техника!$F$4:$ABM$4,"Часы",INDEX(Техника!$G$1:$ABN$500,AA$2,0),$A$207,INDEX(Техника!$H$1:$ABO$500,AA$2,0),"Л")</f>
        <v>0</v>
      </c>
      <c r="AB211" s="50">
        <f>SUMIFS(INDEX(Техника!$F$1:$ABM$500,AB$2,0),Техника!$F$4:$ABM$4,"Часы",INDEX(Техника!$G$1:$ABN$500,AB$2,0),$A$207,INDEX(Техника!$H$1:$ABO$500,AB$2,0),"Л")</f>
        <v>0</v>
      </c>
    </row>
    <row r="212" spans="1:28" hidden="1" outlineLevel="1" x14ac:dyDescent="0.3">
      <c r="A212" s="33" t="s">
        <v>245</v>
      </c>
      <c r="B212" s="34" t="s">
        <v>279</v>
      </c>
      <c r="C212" s="50">
        <f>SUMIFS(INDEX(Техника!$F$1:$ABM$500,C$2,0),Техника!$F$4:$ABM$4,"Часы",INDEX(Техника!$G$1:$ABN$500,C$2,0),$A$207,INDEX(Техника!$H$1:$ABO$500,C$2,0),"З")</f>
        <v>0</v>
      </c>
      <c r="D212" s="50">
        <f>SUMIFS(INDEX(Техника!$F$1:$ABM$500,D$2,0),Техника!$F$4:$ABM$4,"Часы",INDEX(Техника!$G$1:$ABN$500,D$2,0),$A$207,INDEX(Техника!$H$1:$ABO$500,D$2,0),"З")</f>
        <v>0</v>
      </c>
      <c r="E212" s="50">
        <f>SUMIFS(INDEX(Техника!$F$1:$ABM$500,E$2,0),Техника!$F$4:$ABM$4,"Часы",INDEX(Техника!$G$1:$ABN$500,E$2,0),$A$207,INDEX(Техника!$H$1:$ABO$500,E$2,0),"З")</f>
        <v>0</v>
      </c>
      <c r="F212" s="50">
        <f>SUMIFS(INDEX(Техника!$F$1:$ABM$500,F$2,0),Техника!$F$4:$ABM$4,"Часы",INDEX(Техника!$G$1:$ABN$500,F$2,0),$A$207,INDEX(Техника!$H$1:$ABO$500,F$2,0),"З")</f>
        <v>0</v>
      </c>
      <c r="G212" s="50">
        <f>SUMIFS(INDEX(Техника!$F$1:$ABM$500,G$2,0),Техника!$F$4:$ABM$4,"Часы",INDEX(Техника!$G$1:$ABN$500,G$2,0),$A$207,INDEX(Техника!$H$1:$ABO$500,G$2,0),"З")</f>
        <v>0</v>
      </c>
      <c r="H212" s="50">
        <f>SUMIFS(INDEX(Техника!$F$1:$ABM$500,H$2,0),Техника!$F$4:$ABM$4,"Часы",INDEX(Техника!$G$1:$ABN$500,H$2,0),$A$207,INDEX(Техника!$H$1:$ABO$500,H$2,0),"З")</f>
        <v>0</v>
      </c>
      <c r="I212" s="50">
        <f>SUMIFS(INDEX(Техника!$F$1:$ABM$500,I$2,0),Техника!$F$4:$ABM$4,"Часы",INDEX(Техника!$G$1:$ABN$500,I$2,0),$A$207,INDEX(Техника!$H$1:$ABO$500,I$2,0),"З")</f>
        <v>0</v>
      </c>
      <c r="J212" s="50">
        <f>SUMIFS(INDEX(Техника!$F$1:$ABM$500,J$2,0),Техника!$F$4:$ABM$4,"Часы",INDEX(Техника!$G$1:$ABN$500,J$2,0),$A$207,INDEX(Техника!$H$1:$ABO$500,J$2,0),"З")</f>
        <v>0</v>
      </c>
      <c r="K212" s="50">
        <f>SUMIFS(INDEX(Техника!$F$1:$ABM$500,K$2,0),Техника!$F$4:$ABM$4,"Часы",INDEX(Техника!$G$1:$ABN$500,K$2,0),$A$207,INDEX(Техника!$H$1:$ABO$500,K$2,0),"З")</f>
        <v>0</v>
      </c>
      <c r="L212" s="50">
        <f>SUMIFS(INDEX(Техника!$F$1:$ABM$500,L$2,0),Техника!$F$4:$ABM$4,"Часы",INDEX(Техника!$G$1:$ABN$500,L$2,0),$A$207,INDEX(Техника!$H$1:$ABO$500,L$2,0),"З")</f>
        <v>0</v>
      </c>
      <c r="M212" s="50">
        <f>SUMIFS(INDEX(Техника!$F$1:$ABM$500,M$2,0),Техника!$F$4:$ABM$4,"Часы",INDEX(Техника!$G$1:$ABN$500,M$2,0),$A$207,INDEX(Техника!$H$1:$ABO$500,M$2,0),"З")</f>
        <v>0</v>
      </c>
      <c r="N212" s="50">
        <f>SUMIFS(INDEX(Техника!$F$1:$ABM$500,N$2,0),Техника!$F$4:$ABM$4,"Часы",INDEX(Техника!$G$1:$ABN$500,N$2,0),$A$207,INDEX(Техника!$H$1:$ABO$500,N$2,0),"З")</f>
        <v>0</v>
      </c>
      <c r="O212" s="50">
        <f>SUMIFS(INDEX(Техника!$F$1:$ABM$500,O$2,0),Техника!$F$4:$ABM$4,"Часы",INDEX(Техника!$G$1:$ABN$500,O$2,0),$A$207,INDEX(Техника!$H$1:$ABO$500,O$2,0),"З")</f>
        <v>0</v>
      </c>
      <c r="P212" s="50">
        <f>SUMIFS(INDEX(Техника!$F$1:$ABM$500,P$2,0),Техника!$F$4:$ABM$4,"Часы",INDEX(Техника!$G$1:$ABN$500,P$2,0),$A$207,INDEX(Техника!$H$1:$ABO$500,P$2,0),"З")</f>
        <v>0</v>
      </c>
      <c r="Q212" s="50">
        <f>SUMIFS(INDEX(Техника!$F$1:$ABM$500,Q$2,0),Техника!$F$4:$ABM$4,"Часы",INDEX(Техника!$G$1:$ABN$500,Q$2,0),$A$207,INDEX(Техника!$H$1:$ABO$500,Q$2,0),"З")</f>
        <v>0</v>
      </c>
      <c r="R212" s="50">
        <f>SUMIFS(INDEX(Техника!$F$1:$ABM$500,R$2,0),Техника!$F$4:$ABM$4,"Часы",INDEX(Техника!$G$1:$ABN$500,R$2,0),$A$207,INDEX(Техника!$H$1:$ABO$500,R$2,0),"З")</f>
        <v>0</v>
      </c>
      <c r="S212" s="50">
        <f>SUMIFS(INDEX(Техника!$F$1:$ABM$500,S$2,0),Техника!$F$4:$ABM$4,"Часы",INDEX(Техника!$G$1:$ABN$500,S$2,0),$A$207,INDEX(Техника!$H$1:$ABO$500,S$2,0),"З")</f>
        <v>0</v>
      </c>
      <c r="T212" s="50">
        <f>SUMIFS(INDEX(Техника!$F$1:$ABM$500,T$2,0),Техника!$F$4:$ABM$4,"Часы",INDEX(Техника!$G$1:$ABN$500,T$2,0),$A$207,INDEX(Техника!$H$1:$ABO$500,T$2,0),"З")</f>
        <v>0</v>
      </c>
      <c r="U212" s="50">
        <f>SUMIFS(INDEX(Техника!$F$1:$ABM$500,U$2,0),Техника!$F$4:$ABM$4,"Часы",INDEX(Техника!$G$1:$ABN$500,U$2,0),$A$207,INDEX(Техника!$H$1:$ABO$500,U$2,0),"З")</f>
        <v>0</v>
      </c>
      <c r="V212" s="50">
        <f>SUMIFS(INDEX(Техника!$F$1:$ABM$500,V$2,0),Техника!$F$4:$ABM$4,"Часы",INDEX(Техника!$G$1:$ABN$500,V$2,0),$A$207,INDEX(Техника!$H$1:$ABO$500,V$2,0),"З")</f>
        <v>0</v>
      </c>
      <c r="W212" s="50">
        <f>SUMIFS(INDEX(Техника!$F$1:$ABM$500,W$2,0),Техника!$F$4:$ABM$4,"Часы",INDEX(Техника!$G$1:$ABN$500,W$2,0),$A$207,INDEX(Техника!$H$1:$ABO$500,W$2,0),"З")</f>
        <v>0</v>
      </c>
      <c r="X212" s="50">
        <f>SUMIFS(INDEX(Техника!$F$1:$ABM$500,X$2,0),Техника!$F$4:$ABM$4,"Часы",INDEX(Техника!$G$1:$ABN$500,X$2,0),$A$207,INDEX(Техника!$H$1:$ABO$500,X$2,0),"З")</f>
        <v>0</v>
      </c>
      <c r="Y212" s="50">
        <f>SUMIFS(INDEX(Техника!$F$1:$ABM$500,Y$2,0),Техника!$F$4:$ABM$4,"Часы",INDEX(Техника!$G$1:$ABN$500,Y$2,0),$A$207,INDEX(Техника!$H$1:$ABO$500,Y$2,0),"З")</f>
        <v>0</v>
      </c>
      <c r="Z212" s="50">
        <f>SUMIFS(INDEX(Техника!$F$1:$ABM$500,Z$2,0),Техника!$F$4:$ABM$4,"Часы",INDEX(Техника!$G$1:$ABN$500,Z$2,0),$A$207,INDEX(Техника!$H$1:$ABO$500,Z$2,0),"З")</f>
        <v>0</v>
      </c>
      <c r="AA212" s="50">
        <f>SUMIFS(INDEX(Техника!$F$1:$ABM$500,AA$2,0),Техника!$F$4:$ABM$4,"Часы",INDEX(Техника!$G$1:$ABN$500,AA$2,0),$A$207,INDEX(Техника!$H$1:$ABO$500,AA$2,0),"З")</f>
        <v>0</v>
      </c>
      <c r="AB212" s="50">
        <f>SUMIFS(INDEX(Техника!$F$1:$ABM$500,AB$2,0),Техника!$F$4:$ABM$4,"Часы",INDEX(Техника!$G$1:$ABN$500,AB$2,0),$A$207,INDEX(Техника!$H$1:$ABO$500,AB$2,0),"З")</f>
        <v>0</v>
      </c>
    </row>
    <row r="213" spans="1:28" ht="7.95" customHeight="1" x14ac:dyDescent="0.3">
      <c r="A213" s="38"/>
      <c r="B213" s="39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 spans="1:28" ht="25.05" customHeight="1" collapsed="1" x14ac:dyDescent="0.3">
      <c r="A214" s="32">
        <v>31</v>
      </c>
      <c r="B214" s="32" t="s">
        <v>32</v>
      </c>
      <c r="C214" s="49">
        <f>SUM(C215:C219)</f>
        <v>0</v>
      </c>
      <c r="D214" s="49">
        <f>SUM(D215:D219)</f>
        <v>0</v>
      </c>
      <c r="E214" s="49">
        <f>SUM(E215:E219)</f>
        <v>0</v>
      </c>
      <c r="F214" s="49">
        <f>SUM(F215:F219)</f>
        <v>0</v>
      </c>
      <c r="G214" s="49">
        <f>SUM(G215:G219)</f>
        <v>0</v>
      </c>
      <c r="H214" s="49">
        <f>SUM(H215:H219)</f>
        <v>0</v>
      </c>
      <c r="I214" s="49">
        <f>SUM(I215:I219)</f>
        <v>0</v>
      </c>
      <c r="J214" s="49">
        <f>SUM(J215:J219)</f>
        <v>0</v>
      </c>
      <c r="K214" s="49">
        <f>SUM(K215:K219)</f>
        <v>0</v>
      </c>
      <c r="L214" s="49">
        <f>SUM(L215:L219)</f>
        <v>0</v>
      </c>
      <c r="M214" s="49">
        <f>SUM(M215:M219)</f>
        <v>0</v>
      </c>
      <c r="N214" s="49">
        <f>SUM(N215:N219)</f>
        <v>0</v>
      </c>
      <c r="O214" s="49">
        <f>SUM(O215:O219)</f>
        <v>0</v>
      </c>
      <c r="P214" s="49">
        <f>SUM(P215:P219)</f>
        <v>0</v>
      </c>
      <c r="Q214" s="49">
        <f>SUM(Q215:Q219)</f>
        <v>0</v>
      </c>
      <c r="R214" s="49">
        <f>SUM(R215:R219)</f>
        <v>0</v>
      </c>
      <c r="S214" s="49">
        <f>SUM(S215:S219)</f>
        <v>0</v>
      </c>
      <c r="T214" s="49">
        <f>SUM(T215:T219)</f>
        <v>0</v>
      </c>
      <c r="U214" s="49">
        <f>SUM(U215:U219)</f>
        <v>0</v>
      </c>
      <c r="V214" s="49">
        <f>SUM(V215:V219)</f>
        <v>0</v>
      </c>
      <c r="W214" s="49">
        <f>SUM(W215:W219)</f>
        <v>0</v>
      </c>
      <c r="X214" s="49">
        <f>SUM(X215:X219)</f>
        <v>0</v>
      </c>
      <c r="Y214" s="49">
        <f>SUM(Y215:Y219)</f>
        <v>0</v>
      </c>
      <c r="Z214" s="49">
        <f>SUM(Z215:Z219)</f>
        <v>0</v>
      </c>
      <c r="AA214" s="49">
        <f>SUM(AA215:AA219)</f>
        <v>0</v>
      </c>
      <c r="AB214" s="49">
        <f>SUM(AB215:AB219)</f>
        <v>0</v>
      </c>
    </row>
    <row r="215" spans="1:28" hidden="1" outlineLevel="1" x14ac:dyDescent="0.3">
      <c r="A215" s="33" t="s">
        <v>246</v>
      </c>
      <c r="B215" s="34" t="s">
        <v>274</v>
      </c>
      <c r="C215" s="50">
        <f>SUMIFS(INDEX(Техника!$F$1:$ABM$500,C$2,0),Техника!$F$4:$ABM$4,"Часы",INDEX(Техника!$G$1:$ABN$500,C$2,0),$A$214,INDEX(Техника!$H$1:$ABO$500,C$2,0),"М")</f>
        <v>0</v>
      </c>
      <c r="D215" s="50">
        <f>SUMIFS(INDEX(Техника!$F$1:$ABM$500,D$2,0),Техника!$F$4:$ABM$4,"Часы",INDEX(Техника!$G$1:$ABN$500,D$2,0),$A$214,INDEX(Техника!$H$1:$ABO$500,D$2,0),"М")</f>
        <v>0</v>
      </c>
      <c r="E215" s="50">
        <f>SUMIFS(INDEX(Техника!$F$1:$ABM$500,E$2,0),Техника!$F$4:$ABM$4,"Часы",INDEX(Техника!$G$1:$ABN$500,E$2,0),$A$214,INDEX(Техника!$H$1:$ABO$500,E$2,0),"М")</f>
        <v>0</v>
      </c>
      <c r="F215" s="50">
        <f>SUMIFS(INDEX(Техника!$F$1:$ABM$500,F$2,0),Техника!$F$4:$ABM$4,"Часы",INDEX(Техника!$G$1:$ABN$500,F$2,0),$A$214,INDEX(Техника!$H$1:$ABO$500,F$2,0),"М")</f>
        <v>0</v>
      </c>
      <c r="G215" s="50">
        <f>SUMIFS(INDEX(Техника!$F$1:$ABM$500,G$2,0),Техника!$F$4:$ABM$4,"Часы",INDEX(Техника!$G$1:$ABN$500,G$2,0),$A$214,INDEX(Техника!$H$1:$ABO$500,G$2,0),"М")</f>
        <v>0</v>
      </c>
      <c r="H215" s="50">
        <f>SUMIFS(INDEX(Техника!$F$1:$ABM$500,H$2,0),Техника!$F$4:$ABM$4,"Часы",INDEX(Техника!$G$1:$ABN$500,H$2,0),$A$214,INDEX(Техника!$H$1:$ABO$500,H$2,0),"М")</f>
        <v>0</v>
      </c>
      <c r="I215" s="50">
        <f>SUMIFS(INDEX(Техника!$F$1:$ABM$500,I$2,0),Техника!$F$4:$ABM$4,"Часы",INDEX(Техника!$G$1:$ABN$500,I$2,0),$A$214,INDEX(Техника!$H$1:$ABO$500,I$2,0),"М")</f>
        <v>0</v>
      </c>
      <c r="J215" s="50">
        <f>SUMIFS(INDEX(Техника!$F$1:$ABM$500,J$2,0),Техника!$F$4:$ABM$4,"Часы",INDEX(Техника!$G$1:$ABN$500,J$2,0),$A$214,INDEX(Техника!$H$1:$ABO$500,J$2,0),"М")</f>
        <v>0</v>
      </c>
      <c r="K215" s="50">
        <f>SUMIFS(INDEX(Техника!$F$1:$ABM$500,K$2,0),Техника!$F$4:$ABM$4,"Часы",INDEX(Техника!$G$1:$ABN$500,K$2,0),$A$214,INDEX(Техника!$H$1:$ABO$500,K$2,0),"М")</f>
        <v>0</v>
      </c>
      <c r="L215" s="50">
        <f>SUMIFS(INDEX(Техника!$F$1:$ABM$500,L$2,0),Техника!$F$4:$ABM$4,"Часы",INDEX(Техника!$G$1:$ABN$500,L$2,0),$A$214,INDEX(Техника!$H$1:$ABO$500,L$2,0),"М")</f>
        <v>0</v>
      </c>
      <c r="M215" s="50">
        <f>SUMIFS(INDEX(Техника!$F$1:$ABM$500,M$2,0),Техника!$F$4:$ABM$4,"Часы",INDEX(Техника!$G$1:$ABN$500,M$2,0),$A$214,INDEX(Техника!$H$1:$ABO$500,M$2,0),"М")</f>
        <v>0</v>
      </c>
      <c r="N215" s="50">
        <f>SUMIFS(INDEX(Техника!$F$1:$ABM$500,N$2,0),Техника!$F$4:$ABM$4,"Часы",INDEX(Техника!$G$1:$ABN$500,N$2,0),$A$214,INDEX(Техника!$H$1:$ABO$500,N$2,0),"М")</f>
        <v>0</v>
      </c>
      <c r="O215" s="50">
        <f>SUMIFS(INDEX(Техника!$F$1:$ABM$500,O$2,0),Техника!$F$4:$ABM$4,"Часы",INDEX(Техника!$G$1:$ABN$500,O$2,0),$A$214,INDEX(Техника!$H$1:$ABO$500,O$2,0),"М")</f>
        <v>0</v>
      </c>
      <c r="P215" s="50">
        <f>SUMIFS(INDEX(Техника!$F$1:$ABM$500,P$2,0),Техника!$F$4:$ABM$4,"Часы",INDEX(Техника!$G$1:$ABN$500,P$2,0),$A$214,INDEX(Техника!$H$1:$ABO$500,P$2,0),"М")</f>
        <v>0</v>
      </c>
      <c r="Q215" s="50">
        <f>SUMIFS(INDEX(Техника!$F$1:$ABM$500,Q$2,0),Техника!$F$4:$ABM$4,"Часы",INDEX(Техника!$G$1:$ABN$500,Q$2,0),$A$214,INDEX(Техника!$H$1:$ABO$500,Q$2,0),"М")</f>
        <v>0</v>
      </c>
      <c r="R215" s="50">
        <f>SUMIFS(INDEX(Техника!$F$1:$ABM$500,R$2,0),Техника!$F$4:$ABM$4,"Часы",INDEX(Техника!$G$1:$ABN$500,R$2,0),$A$214,INDEX(Техника!$H$1:$ABO$500,R$2,0),"М")</f>
        <v>0</v>
      </c>
      <c r="S215" s="50">
        <f>SUMIFS(INDEX(Техника!$F$1:$ABM$500,S$2,0),Техника!$F$4:$ABM$4,"Часы",INDEX(Техника!$G$1:$ABN$500,S$2,0),$A$214,INDEX(Техника!$H$1:$ABO$500,S$2,0),"М")</f>
        <v>0</v>
      </c>
      <c r="T215" s="50">
        <f>SUMIFS(INDEX(Техника!$F$1:$ABM$500,T$2,0),Техника!$F$4:$ABM$4,"Часы",INDEX(Техника!$G$1:$ABN$500,T$2,0),$A$214,INDEX(Техника!$H$1:$ABO$500,T$2,0),"М")</f>
        <v>0</v>
      </c>
      <c r="U215" s="50">
        <f>SUMIFS(INDEX(Техника!$F$1:$ABM$500,U$2,0),Техника!$F$4:$ABM$4,"Часы",INDEX(Техника!$G$1:$ABN$500,U$2,0),$A$214,INDEX(Техника!$H$1:$ABO$500,U$2,0),"М")</f>
        <v>0</v>
      </c>
      <c r="V215" s="50">
        <f>SUMIFS(INDEX(Техника!$F$1:$ABM$500,V$2,0),Техника!$F$4:$ABM$4,"Часы",INDEX(Техника!$G$1:$ABN$500,V$2,0),$A$214,INDEX(Техника!$H$1:$ABO$500,V$2,0),"М")</f>
        <v>0</v>
      </c>
      <c r="W215" s="50">
        <f>SUMIFS(INDEX(Техника!$F$1:$ABM$500,W$2,0),Техника!$F$4:$ABM$4,"Часы",INDEX(Техника!$G$1:$ABN$500,W$2,0),$A$214,INDEX(Техника!$H$1:$ABO$500,W$2,0),"М")</f>
        <v>0</v>
      </c>
      <c r="X215" s="50">
        <f>SUMIFS(INDEX(Техника!$F$1:$ABM$500,X$2,0),Техника!$F$4:$ABM$4,"Часы",INDEX(Техника!$G$1:$ABN$500,X$2,0),$A$214,INDEX(Техника!$H$1:$ABO$500,X$2,0),"М")</f>
        <v>0</v>
      </c>
      <c r="Y215" s="50">
        <f>SUMIFS(INDEX(Техника!$F$1:$ABM$500,Y$2,0),Техника!$F$4:$ABM$4,"Часы",INDEX(Техника!$G$1:$ABN$500,Y$2,0),$A$214,INDEX(Техника!$H$1:$ABO$500,Y$2,0),"М")</f>
        <v>0</v>
      </c>
      <c r="Z215" s="50">
        <f>SUMIFS(INDEX(Техника!$F$1:$ABM$500,Z$2,0),Техника!$F$4:$ABM$4,"Часы",INDEX(Техника!$G$1:$ABN$500,Z$2,0),$A$214,INDEX(Техника!$H$1:$ABO$500,Z$2,0),"М")</f>
        <v>0</v>
      </c>
      <c r="AA215" s="50">
        <f>SUMIFS(INDEX(Техника!$F$1:$ABM$500,AA$2,0),Техника!$F$4:$ABM$4,"Часы",INDEX(Техника!$G$1:$ABN$500,AA$2,0),$A$214,INDEX(Техника!$H$1:$ABO$500,AA$2,0),"М")</f>
        <v>0</v>
      </c>
      <c r="AB215" s="50">
        <f>SUMIFS(INDEX(Техника!$F$1:$ABM$500,AB$2,0),Техника!$F$4:$ABM$4,"Часы",INDEX(Техника!$G$1:$ABN$500,AB$2,0),$A$214,INDEX(Техника!$H$1:$ABO$500,AB$2,0),"М")</f>
        <v>0</v>
      </c>
    </row>
    <row r="216" spans="1:28" hidden="1" outlineLevel="1" x14ac:dyDescent="0.3">
      <c r="A216" s="33" t="s">
        <v>244</v>
      </c>
      <c r="B216" s="34" t="s">
        <v>275</v>
      </c>
      <c r="C216" s="50">
        <f>SUMIFS(INDEX(Техника!$F$1:$ABM$500,C$2,0),Техника!$F$4:$ABM$4,"Часы",INDEX(Техника!$G$1:$ABN$500,C$2,0),$A$214,INDEX(Техника!$H$1:$ABO$500,C$2,0),"Д")</f>
        <v>0</v>
      </c>
      <c r="D216" s="50">
        <f>SUMIFS(INDEX(Техника!$F$1:$ABM$500,D$2,0),Техника!$F$4:$ABM$4,"Часы",INDEX(Техника!$G$1:$ABN$500,D$2,0),$A$214,INDEX(Техника!$H$1:$ABO$500,D$2,0),"Д")</f>
        <v>0</v>
      </c>
      <c r="E216" s="50">
        <f>SUMIFS(INDEX(Техника!$F$1:$ABM$500,E$2,0),Техника!$F$4:$ABM$4,"Часы",INDEX(Техника!$G$1:$ABN$500,E$2,0),$A$214,INDEX(Техника!$H$1:$ABO$500,E$2,0),"Д")</f>
        <v>0</v>
      </c>
      <c r="F216" s="50">
        <f>SUMIFS(INDEX(Техника!$F$1:$ABM$500,F$2,0),Техника!$F$4:$ABM$4,"Часы",INDEX(Техника!$G$1:$ABN$500,F$2,0),$A$214,INDEX(Техника!$H$1:$ABO$500,F$2,0),"Д")</f>
        <v>0</v>
      </c>
      <c r="G216" s="50">
        <f>SUMIFS(INDEX(Техника!$F$1:$ABM$500,G$2,0),Техника!$F$4:$ABM$4,"Часы",INDEX(Техника!$G$1:$ABN$500,G$2,0),$A$214,INDEX(Техника!$H$1:$ABO$500,G$2,0),"Д")</f>
        <v>0</v>
      </c>
      <c r="H216" s="50">
        <f>SUMIFS(INDEX(Техника!$F$1:$ABM$500,H$2,0),Техника!$F$4:$ABM$4,"Часы",INDEX(Техника!$G$1:$ABN$500,H$2,0),$A$214,INDEX(Техника!$H$1:$ABO$500,H$2,0),"Д")</f>
        <v>0</v>
      </c>
      <c r="I216" s="50">
        <f>SUMIFS(INDEX(Техника!$F$1:$ABM$500,I$2,0),Техника!$F$4:$ABM$4,"Часы",INDEX(Техника!$G$1:$ABN$500,I$2,0),$A$214,INDEX(Техника!$H$1:$ABO$500,I$2,0),"Д")</f>
        <v>0</v>
      </c>
      <c r="J216" s="50">
        <f>SUMIFS(INDEX(Техника!$F$1:$ABM$500,J$2,0),Техника!$F$4:$ABM$4,"Часы",INDEX(Техника!$G$1:$ABN$500,J$2,0),$A$214,INDEX(Техника!$H$1:$ABO$500,J$2,0),"Д")</f>
        <v>0</v>
      </c>
      <c r="K216" s="50">
        <f>SUMIFS(INDEX(Техника!$F$1:$ABM$500,K$2,0),Техника!$F$4:$ABM$4,"Часы",INDEX(Техника!$G$1:$ABN$500,K$2,0),$A$214,INDEX(Техника!$H$1:$ABO$500,K$2,0),"Д")</f>
        <v>0</v>
      </c>
      <c r="L216" s="50">
        <f>SUMIFS(INDEX(Техника!$F$1:$ABM$500,L$2,0),Техника!$F$4:$ABM$4,"Часы",INDEX(Техника!$G$1:$ABN$500,L$2,0),$A$214,INDEX(Техника!$H$1:$ABO$500,L$2,0),"Д")</f>
        <v>0</v>
      </c>
      <c r="M216" s="50">
        <f>SUMIFS(INDEX(Техника!$F$1:$ABM$500,M$2,0),Техника!$F$4:$ABM$4,"Часы",INDEX(Техника!$G$1:$ABN$500,M$2,0),$A$214,INDEX(Техника!$H$1:$ABO$500,M$2,0),"Д")</f>
        <v>0</v>
      </c>
      <c r="N216" s="50">
        <f>SUMIFS(INDEX(Техника!$F$1:$ABM$500,N$2,0),Техника!$F$4:$ABM$4,"Часы",INDEX(Техника!$G$1:$ABN$500,N$2,0),$A$214,INDEX(Техника!$H$1:$ABO$500,N$2,0),"Д")</f>
        <v>0</v>
      </c>
      <c r="O216" s="50">
        <f>SUMIFS(INDEX(Техника!$F$1:$ABM$500,O$2,0),Техника!$F$4:$ABM$4,"Часы",INDEX(Техника!$G$1:$ABN$500,O$2,0),$A$214,INDEX(Техника!$H$1:$ABO$500,O$2,0),"Д")</f>
        <v>0</v>
      </c>
      <c r="P216" s="50">
        <f>SUMIFS(INDEX(Техника!$F$1:$ABM$500,P$2,0),Техника!$F$4:$ABM$4,"Часы",INDEX(Техника!$G$1:$ABN$500,P$2,0),$A$214,INDEX(Техника!$H$1:$ABO$500,P$2,0),"Д")</f>
        <v>0</v>
      </c>
      <c r="Q216" s="50">
        <f>SUMIFS(INDEX(Техника!$F$1:$ABM$500,Q$2,0),Техника!$F$4:$ABM$4,"Часы",INDEX(Техника!$G$1:$ABN$500,Q$2,0),$A$214,INDEX(Техника!$H$1:$ABO$500,Q$2,0),"Д")</f>
        <v>0</v>
      </c>
      <c r="R216" s="50">
        <f>SUMIFS(INDEX(Техника!$F$1:$ABM$500,R$2,0),Техника!$F$4:$ABM$4,"Часы",INDEX(Техника!$G$1:$ABN$500,R$2,0),$A$214,INDEX(Техника!$H$1:$ABO$500,R$2,0),"Д")</f>
        <v>0</v>
      </c>
      <c r="S216" s="50">
        <f>SUMIFS(INDEX(Техника!$F$1:$ABM$500,S$2,0),Техника!$F$4:$ABM$4,"Часы",INDEX(Техника!$G$1:$ABN$500,S$2,0),$A$214,INDEX(Техника!$H$1:$ABO$500,S$2,0),"Д")</f>
        <v>0</v>
      </c>
      <c r="T216" s="50">
        <f>SUMIFS(INDEX(Техника!$F$1:$ABM$500,T$2,0),Техника!$F$4:$ABM$4,"Часы",INDEX(Техника!$G$1:$ABN$500,T$2,0),$A$214,INDEX(Техника!$H$1:$ABO$500,T$2,0),"Д")</f>
        <v>0</v>
      </c>
      <c r="U216" s="50">
        <f>SUMIFS(INDEX(Техника!$F$1:$ABM$500,U$2,0),Техника!$F$4:$ABM$4,"Часы",INDEX(Техника!$G$1:$ABN$500,U$2,0),$A$214,INDEX(Техника!$H$1:$ABO$500,U$2,0),"Д")</f>
        <v>0</v>
      </c>
      <c r="V216" s="50">
        <f>SUMIFS(INDEX(Техника!$F$1:$ABM$500,V$2,0),Техника!$F$4:$ABM$4,"Часы",INDEX(Техника!$G$1:$ABN$500,V$2,0),$A$214,INDEX(Техника!$H$1:$ABO$500,V$2,0),"Д")</f>
        <v>0</v>
      </c>
      <c r="W216" s="50">
        <f>SUMIFS(INDEX(Техника!$F$1:$ABM$500,W$2,0),Техника!$F$4:$ABM$4,"Часы",INDEX(Техника!$G$1:$ABN$500,W$2,0),$A$214,INDEX(Техника!$H$1:$ABO$500,W$2,0),"Д")</f>
        <v>0</v>
      </c>
      <c r="X216" s="50">
        <f>SUMIFS(INDEX(Техника!$F$1:$ABM$500,X$2,0),Техника!$F$4:$ABM$4,"Часы",INDEX(Техника!$G$1:$ABN$500,X$2,0),$A$214,INDEX(Техника!$H$1:$ABO$500,X$2,0),"Д")</f>
        <v>0</v>
      </c>
      <c r="Y216" s="50">
        <f>SUMIFS(INDEX(Техника!$F$1:$ABM$500,Y$2,0),Техника!$F$4:$ABM$4,"Часы",INDEX(Техника!$G$1:$ABN$500,Y$2,0),$A$214,INDEX(Техника!$H$1:$ABO$500,Y$2,0),"Д")</f>
        <v>0</v>
      </c>
      <c r="Z216" s="50">
        <f>SUMIFS(INDEX(Техника!$F$1:$ABM$500,Z$2,0),Техника!$F$4:$ABM$4,"Часы",INDEX(Техника!$G$1:$ABN$500,Z$2,0),$A$214,INDEX(Техника!$H$1:$ABO$500,Z$2,0),"Д")</f>
        <v>0</v>
      </c>
      <c r="AA216" s="50">
        <f>SUMIFS(INDEX(Техника!$F$1:$ABM$500,AA$2,0),Техника!$F$4:$ABM$4,"Часы",INDEX(Техника!$G$1:$ABN$500,AA$2,0),$A$214,INDEX(Техника!$H$1:$ABO$500,AA$2,0),"Д")</f>
        <v>0</v>
      </c>
      <c r="AB216" s="50">
        <f>SUMIFS(INDEX(Техника!$F$1:$ABM$500,AB$2,0),Техника!$F$4:$ABM$4,"Часы",INDEX(Техника!$G$1:$ABN$500,AB$2,0),$A$214,INDEX(Техника!$H$1:$ABO$500,AB$2,0),"Д")</f>
        <v>0</v>
      </c>
    </row>
    <row r="217" spans="1:28" hidden="1" outlineLevel="1" x14ac:dyDescent="0.3">
      <c r="A217" s="33" t="s">
        <v>276</v>
      </c>
      <c r="B217" s="34" t="s">
        <v>277</v>
      </c>
      <c r="C217" s="50">
        <f>SUMIFS(INDEX(Техника!$F$1:$ABM$500,C$2,0),Техника!$F$4:$ABM$4,"Часы",INDEX(Техника!$G$1:$ABN$500,C$2,0),$A$214,INDEX(Техника!$H$1:$ABO$500,C$2,0),"П")</f>
        <v>0</v>
      </c>
      <c r="D217" s="50">
        <f>SUMIFS(INDEX(Техника!$F$1:$ABM$500,D$2,0),Техника!$F$4:$ABM$4,"Часы",INDEX(Техника!$G$1:$ABN$500,D$2,0),$A$214,INDEX(Техника!$H$1:$ABO$500,D$2,0),"П")</f>
        <v>0</v>
      </c>
      <c r="E217" s="50">
        <f>SUMIFS(INDEX(Техника!$F$1:$ABM$500,E$2,0),Техника!$F$4:$ABM$4,"Часы",INDEX(Техника!$G$1:$ABN$500,E$2,0),$A$214,INDEX(Техника!$H$1:$ABO$500,E$2,0),"П")</f>
        <v>0</v>
      </c>
      <c r="F217" s="50">
        <f>SUMIFS(INDEX(Техника!$F$1:$ABM$500,F$2,0),Техника!$F$4:$ABM$4,"Часы",INDEX(Техника!$G$1:$ABN$500,F$2,0),$A$214,INDEX(Техника!$H$1:$ABO$500,F$2,0),"П")</f>
        <v>0</v>
      </c>
      <c r="G217" s="50">
        <f>SUMIFS(INDEX(Техника!$F$1:$ABM$500,G$2,0),Техника!$F$4:$ABM$4,"Часы",INDEX(Техника!$G$1:$ABN$500,G$2,0),$A$214,INDEX(Техника!$H$1:$ABO$500,G$2,0),"П")</f>
        <v>0</v>
      </c>
      <c r="H217" s="50">
        <f>SUMIFS(INDEX(Техника!$F$1:$ABM$500,H$2,0),Техника!$F$4:$ABM$4,"Часы",INDEX(Техника!$G$1:$ABN$500,H$2,0),$A$214,INDEX(Техника!$H$1:$ABO$500,H$2,0),"П")</f>
        <v>0</v>
      </c>
      <c r="I217" s="50">
        <f>SUMIFS(INDEX(Техника!$F$1:$ABM$500,I$2,0),Техника!$F$4:$ABM$4,"Часы",INDEX(Техника!$G$1:$ABN$500,I$2,0),$A$214,INDEX(Техника!$H$1:$ABO$500,I$2,0),"П")</f>
        <v>0</v>
      </c>
      <c r="J217" s="50">
        <f>SUMIFS(INDEX(Техника!$F$1:$ABM$500,J$2,0),Техника!$F$4:$ABM$4,"Часы",INDEX(Техника!$G$1:$ABN$500,J$2,0),$A$214,INDEX(Техника!$H$1:$ABO$500,J$2,0),"П")</f>
        <v>0</v>
      </c>
      <c r="K217" s="50">
        <f>SUMIFS(INDEX(Техника!$F$1:$ABM$500,K$2,0),Техника!$F$4:$ABM$4,"Часы",INDEX(Техника!$G$1:$ABN$500,K$2,0),$A$214,INDEX(Техника!$H$1:$ABO$500,K$2,0),"П")</f>
        <v>0</v>
      </c>
      <c r="L217" s="50">
        <f>SUMIFS(INDEX(Техника!$F$1:$ABM$500,L$2,0),Техника!$F$4:$ABM$4,"Часы",INDEX(Техника!$G$1:$ABN$500,L$2,0),$A$214,INDEX(Техника!$H$1:$ABO$500,L$2,0),"П")</f>
        <v>0</v>
      </c>
      <c r="M217" s="50">
        <f>SUMIFS(INDEX(Техника!$F$1:$ABM$500,M$2,0),Техника!$F$4:$ABM$4,"Часы",INDEX(Техника!$G$1:$ABN$500,M$2,0),$A$214,INDEX(Техника!$H$1:$ABO$500,M$2,0),"П")</f>
        <v>0</v>
      </c>
      <c r="N217" s="50">
        <f>SUMIFS(INDEX(Техника!$F$1:$ABM$500,N$2,0),Техника!$F$4:$ABM$4,"Часы",INDEX(Техника!$G$1:$ABN$500,N$2,0),$A$214,INDEX(Техника!$H$1:$ABO$500,N$2,0),"П")</f>
        <v>0</v>
      </c>
      <c r="O217" s="50">
        <f>SUMIFS(INDEX(Техника!$F$1:$ABM$500,O$2,0),Техника!$F$4:$ABM$4,"Часы",INDEX(Техника!$G$1:$ABN$500,O$2,0),$A$214,INDEX(Техника!$H$1:$ABO$500,O$2,0),"П")</f>
        <v>0</v>
      </c>
      <c r="P217" s="50">
        <f>SUMIFS(INDEX(Техника!$F$1:$ABM$500,P$2,0),Техника!$F$4:$ABM$4,"Часы",INDEX(Техника!$G$1:$ABN$500,P$2,0),$A$214,INDEX(Техника!$H$1:$ABO$500,P$2,0),"П")</f>
        <v>0</v>
      </c>
      <c r="Q217" s="50">
        <f>SUMIFS(INDEX(Техника!$F$1:$ABM$500,Q$2,0),Техника!$F$4:$ABM$4,"Часы",INDEX(Техника!$G$1:$ABN$500,Q$2,0),$A$214,INDEX(Техника!$H$1:$ABO$500,Q$2,0),"П")</f>
        <v>0</v>
      </c>
      <c r="R217" s="50">
        <f>SUMIFS(INDEX(Техника!$F$1:$ABM$500,R$2,0),Техника!$F$4:$ABM$4,"Часы",INDEX(Техника!$G$1:$ABN$500,R$2,0),$A$214,INDEX(Техника!$H$1:$ABO$500,R$2,0),"П")</f>
        <v>0</v>
      </c>
      <c r="S217" s="50">
        <f>SUMIFS(INDEX(Техника!$F$1:$ABM$500,S$2,0),Техника!$F$4:$ABM$4,"Часы",INDEX(Техника!$G$1:$ABN$500,S$2,0),$A$214,INDEX(Техника!$H$1:$ABO$500,S$2,0),"П")</f>
        <v>0</v>
      </c>
      <c r="T217" s="50">
        <f>SUMIFS(INDEX(Техника!$F$1:$ABM$500,T$2,0),Техника!$F$4:$ABM$4,"Часы",INDEX(Техника!$G$1:$ABN$500,T$2,0),$A$214,INDEX(Техника!$H$1:$ABO$500,T$2,0),"П")</f>
        <v>0</v>
      </c>
      <c r="U217" s="50">
        <f>SUMIFS(INDEX(Техника!$F$1:$ABM$500,U$2,0),Техника!$F$4:$ABM$4,"Часы",INDEX(Техника!$G$1:$ABN$500,U$2,0),$A$214,INDEX(Техника!$H$1:$ABO$500,U$2,0),"П")</f>
        <v>0</v>
      </c>
      <c r="V217" s="50">
        <f>SUMIFS(INDEX(Техника!$F$1:$ABM$500,V$2,0),Техника!$F$4:$ABM$4,"Часы",INDEX(Техника!$G$1:$ABN$500,V$2,0),$A$214,INDEX(Техника!$H$1:$ABO$500,V$2,0),"П")</f>
        <v>0</v>
      </c>
      <c r="W217" s="50">
        <f>SUMIFS(INDEX(Техника!$F$1:$ABM$500,W$2,0),Техника!$F$4:$ABM$4,"Часы",INDEX(Техника!$G$1:$ABN$500,W$2,0),$A$214,INDEX(Техника!$H$1:$ABO$500,W$2,0),"П")</f>
        <v>0</v>
      </c>
      <c r="X217" s="50">
        <f>SUMIFS(INDEX(Техника!$F$1:$ABM$500,X$2,0),Техника!$F$4:$ABM$4,"Часы",INDEX(Техника!$G$1:$ABN$500,X$2,0),$A$214,INDEX(Техника!$H$1:$ABO$500,X$2,0),"П")</f>
        <v>0</v>
      </c>
      <c r="Y217" s="50">
        <f>SUMIFS(INDEX(Техника!$F$1:$ABM$500,Y$2,0),Техника!$F$4:$ABM$4,"Часы",INDEX(Техника!$G$1:$ABN$500,Y$2,0),$A$214,INDEX(Техника!$H$1:$ABO$500,Y$2,0),"П")</f>
        <v>0</v>
      </c>
      <c r="Z217" s="50">
        <f>SUMIFS(INDEX(Техника!$F$1:$ABM$500,Z$2,0),Техника!$F$4:$ABM$4,"Часы",INDEX(Техника!$G$1:$ABN$500,Z$2,0),$A$214,INDEX(Техника!$H$1:$ABO$500,Z$2,0),"П")</f>
        <v>0</v>
      </c>
      <c r="AA217" s="50">
        <f>SUMIFS(INDEX(Техника!$F$1:$ABM$500,AA$2,0),Техника!$F$4:$ABM$4,"Часы",INDEX(Техника!$G$1:$ABN$500,AA$2,0),$A$214,INDEX(Техника!$H$1:$ABO$500,AA$2,0),"П")</f>
        <v>0</v>
      </c>
      <c r="AB217" s="50">
        <f>SUMIFS(INDEX(Техника!$F$1:$ABM$500,AB$2,0),Техника!$F$4:$ABM$4,"Часы",INDEX(Техника!$G$1:$ABN$500,AB$2,0),$A$214,INDEX(Техника!$H$1:$ABO$500,AB$2,0),"П")</f>
        <v>0</v>
      </c>
    </row>
    <row r="218" spans="1:28" hidden="1" outlineLevel="1" x14ac:dyDescent="0.3">
      <c r="A218" s="33" t="s">
        <v>243</v>
      </c>
      <c r="B218" s="34" t="s">
        <v>278</v>
      </c>
      <c r="C218" s="50">
        <f>SUMIFS(INDEX(Техника!$F$1:$ABM$500,C$2,0),Техника!$F$4:$ABM$4,"Часы",INDEX(Техника!$G$1:$ABN$500,C$2,0),$A$214,INDEX(Техника!$H$1:$ABO$500,C$2,0),"Л")</f>
        <v>0</v>
      </c>
      <c r="D218" s="50">
        <f>SUMIFS(INDEX(Техника!$F$1:$ABM$500,D$2,0),Техника!$F$4:$ABM$4,"Часы",INDEX(Техника!$G$1:$ABN$500,D$2,0),$A$214,INDEX(Техника!$H$1:$ABO$500,D$2,0),"Л")</f>
        <v>0</v>
      </c>
      <c r="E218" s="50">
        <f>SUMIFS(INDEX(Техника!$F$1:$ABM$500,E$2,0),Техника!$F$4:$ABM$4,"Часы",INDEX(Техника!$G$1:$ABN$500,E$2,0),$A$214,INDEX(Техника!$H$1:$ABO$500,E$2,0),"Л")</f>
        <v>0</v>
      </c>
      <c r="F218" s="50">
        <f>SUMIFS(INDEX(Техника!$F$1:$ABM$500,F$2,0),Техника!$F$4:$ABM$4,"Часы",INDEX(Техника!$G$1:$ABN$500,F$2,0),$A$214,INDEX(Техника!$H$1:$ABO$500,F$2,0),"Л")</f>
        <v>0</v>
      </c>
      <c r="G218" s="50">
        <f>SUMIFS(INDEX(Техника!$F$1:$ABM$500,G$2,0),Техника!$F$4:$ABM$4,"Часы",INDEX(Техника!$G$1:$ABN$500,G$2,0),$A$214,INDEX(Техника!$H$1:$ABO$500,G$2,0),"Л")</f>
        <v>0</v>
      </c>
      <c r="H218" s="50">
        <f>SUMIFS(INDEX(Техника!$F$1:$ABM$500,H$2,0),Техника!$F$4:$ABM$4,"Часы",INDEX(Техника!$G$1:$ABN$500,H$2,0),$A$214,INDEX(Техника!$H$1:$ABO$500,H$2,0),"Л")</f>
        <v>0</v>
      </c>
      <c r="I218" s="50">
        <f>SUMIFS(INDEX(Техника!$F$1:$ABM$500,I$2,0),Техника!$F$4:$ABM$4,"Часы",INDEX(Техника!$G$1:$ABN$500,I$2,0),$A$214,INDEX(Техника!$H$1:$ABO$500,I$2,0),"Л")</f>
        <v>0</v>
      </c>
      <c r="J218" s="50">
        <f>SUMIFS(INDEX(Техника!$F$1:$ABM$500,J$2,0),Техника!$F$4:$ABM$4,"Часы",INDEX(Техника!$G$1:$ABN$500,J$2,0),$A$214,INDEX(Техника!$H$1:$ABO$500,J$2,0),"Л")</f>
        <v>0</v>
      </c>
      <c r="K218" s="50">
        <f>SUMIFS(INDEX(Техника!$F$1:$ABM$500,K$2,0),Техника!$F$4:$ABM$4,"Часы",INDEX(Техника!$G$1:$ABN$500,K$2,0),$A$214,INDEX(Техника!$H$1:$ABO$500,K$2,0),"Л")</f>
        <v>0</v>
      </c>
      <c r="L218" s="50">
        <f>SUMIFS(INDEX(Техника!$F$1:$ABM$500,L$2,0),Техника!$F$4:$ABM$4,"Часы",INDEX(Техника!$G$1:$ABN$500,L$2,0),$A$214,INDEX(Техника!$H$1:$ABO$500,L$2,0),"Л")</f>
        <v>0</v>
      </c>
      <c r="M218" s="50">
        <f>SUMIFS(INDEX(Техника!$F$1:$ABM$500,M$2,0),Техника!$F$4:$ABM$4,"Часы",INDEX(Техника!$G$1:$ABN$500,M$2,0),$A$214,INDEX(Техника!$H$1:$ABO$500,M$2,0),"Л")</f>
        <v>0</v>
      </c>
      <c r="N218" s="50">
        <f>SUMIFS(INDEX(Техника!$F$1:$ABM$500,N$2,0),Техника!$F$4:$ABM$4,"Часы",INDEX(Техника!$G$1:$ABN$500,N$2,0),$A$214,INDEX(Техника!$H$1:$ABO$500,N$2,0),"Л")</f>
        <v>0</v>
      </c>
      <c r="O218" s="50">
        <f>SUMIFS(INDEX(Техника!$F$1:$ABM$500,O$2,0),Техника!$F$4:$ABM$4,"Часы",INDEX(Техника!$G$1:$ABN$500,O$2,0),$A$214,INDEX(Техника!$H$1:$ABO$500,O$2,0),"Л")</f>
        <v>0</v>
      </c>
      <c r="P218" s="50">
        <f>SUMIFS(INDEX(Техника!$F$1:$ABM$500,P$2,0),Техника!$F$4:$ABM$4,"Часы",INDEX(Техника!$G$1:$ABN$500,P$2,0),$A$214,INDEX(Техника!$H$1:$ABO$500,P$2,0),"Л")</f>
        <v>0</v>
      </c>
      <c r="Q218" s="50">
        <f>SUMIFS(INDEX(Техника!$F$1:$ABM$500,Q$2,0),Техника!$F$4:$ABM$4,"Часы",INDEX(Техника!$G$1:$ABN$500,Q$2,0),$A$214,INDEX(Техника!$H$1:$ABO$500,Q$2,0),"Л")</f>
        <v>0</v>
      </c>
      <c r="R218" s="50">
        <f>SUMIFS(INDEX(Техника!$F$1:$ABM$500,R$2,0),Техника!$F$4:$ABM$4,"Часы",INDEX(Техника!$G$1:$ABN$500,R$2,0),$A$214,INDEX(Техника!$H$1:$ABO$500,R$2,0),"Л")</f>
        <v>0</v>
      </c>
      <c r="S218" s="50">
        <f>SUMIFS(INDEX(Техника!$F$1:$ABM$500,S$2,0),Техника!$F$4:$ABM$4,"Часы",INDEX(Техника!$G$1:$ABN$500,S$2,0),$A$214,INDEX(Техника!$H$1:$ABO$500,S$2,0),"Л")</f>
        <v>0</v>
      </c>
      <c r="T218" s="50">
        <f>SUMIFS(INDEX(Техника!$F$1:$ABM$500,T$2,0),Техника!$F$4:$ABM$4,"Часы",INDEX(Техника!$G$1:$ABN$500,T$2,0),$A$214,INDEX(Техника!$H$1:$ABO$500,T$2,0),"Л")</f>
        <v>0</v>
      </c>
      <c r="U218" s="50">
        <f>SUMIFS(INDEX(Техника!$F$1:$ABM$500,U$2,0),Техника!$F$4:$ABM$4,"Часы",INDEX(Техника!$G$1:$ABN$500,U$2,0),$A$214,INDEX(Техника!$H$1:$ABO$500,U$2,0),"Л")</f>
        <v>0</v>
      </c>
      <c r="V218" s="50">
        <f>SUMIFS(INDEX(Техника!$F$1:$ABM$500,V$2,0),Техника!$F$4:$ABM$4,"Часы",INDEX(Техника!$G$1:$ABN$500,V$2,0),$A$214,INDEX(Техника!$H$1:$ABO$500,V$2,0),"Л")</f>
        <v>0</v>
      </c>
      <c r="W218" s="50">
        <f>SUMIFS(INDEX(Техника!$F$1:$ABM$500,W$2,0),Техника!$F$4:$ABM$4,"Часы",INDEX(Техника!$G$1:$ABN$500,W$2,0),$A$214,INDEX(Техника!$H$1:$ABO$500,W$2,0),"Л")</f>
        <v>0</v>
      </c>
      <c r="X218" s="50">
        <f>SUMIFS(INDEX(Техника!$F$1:$ABM$500,X$2,0),Техника!$F$4:$ABM$4,"Часы",INDEX(Техника!$G$1:$ABN$500,X$2,0),$A$214,INDEX(Техника!$H$1:$ABO$500,X$2,0),"Л")</f>
        <v>0</v>
      </c>
      <c r="Y218" s="50">
        <f>SUMIFS(INDEX(Техника!$F$1:$ABM$500,Y$2,0),Техника!$F$4:$ABM$4,"Часы",INDEX(Техника!$G$1:$ABN$500,Y$2,0),$A$214,INDEX(Техника!$H$1:$ABO$500,Y$2,0),"Л")</f>
        <v>0</v>
      </c>
      <c r="Z218" s="50">
        <f>SUMIFS(INDEX(Техника!$F$1:$ABM$500,Z$2,0),Техника!$F$4:$ABM$4,"Часы",INDEX(Техника!$G$1:$ABN$500,Z$2,0),$A$214,INDEX(Техника!$H$1:$ABO$500,Z$2,0),"Л")</f>
        <v>0</v>
      </c>
      <c r="AA218" s="50">
        <f>SUMIFS(INDEX(Техника!$F$1:$ABM$500,AA$2,0),Техника!$F$4:$ABM$4,"Часы",INDEX(Техника!$G$1:$ABN$500,AA$2,0),$A$214,INDEX(Техника!$H$1:$ABO$500,AA$2,0),"Л")</f>
        <v>0</v>
      </c>
      <c r="AB218" s="50">
        <f>SUMIFS(INDEX(Техника!$F$1:$ABM$500,AB$2,0),Техника!$F$4:$ABM$4,"Часы",INDEX(Техника!$G$1:$ABN$500,AB$2,0),$A$214,INDEX(Техника!$H$1:$ABO$500,AB$2,0),"Л")</f>
        <v>0</v>
      </c>
    </row>
    <row r="219" spans="1:28" hidden="1" outlineLevel="1" x14ac:dyDescent="0.3">
      <c r="A219" s="33" t="s">
        <v>245</v>
      </c>
      <c r="B219" s="34" t="s">
        <v>279</v>
      </c>
      <c r="C219" s="50">
        <f>SUMIFS(INDEX(Техника!$F$1:$ABM$500,C$2,0),Техника!$F$4:$ABM$4,"Часы",INDEX(Техника!$G$1:$ABN$500,C$2,0),$A$214,INDEX(Техника!$H$1:$ABO$500,C$2,0),"З")</f>
        <v>0</v>
      </c>
      <c r="D219" s="50">
        <f>SUMIFS(INDEX(Техника!$F$1:$ABM$500,D$2,0),Техника!$F$4:$ABM$4,"Часы",INDEX(Техника!$G$1:$ABN$500,D$2,0),$A$214,INDEX(Техника!$H$1:$ABO$500,D$2,0),"З")</f>
        <v>0</v>
      </c>
      <c r="E219" s="50">
        <f>SUMIFS(INDEX(Техника!$F$1:$ABM$500,E$2,0),Техника!$F$4:$ABM$4,"Часы",INDEX(Техника!$G$1:$ABN$500,E$2,0),$A$214,INDEX(Техника!$H$1:$ABO$500,E$2,0),"З")</f>
        <v>0</v>
      </c>
      <c r="F219" s="50">
        <f>SUMIFS(INDEX(Техника!$F$1:$ABM$500,F$2,0),Техника!$F$4:$ABM$4,"Часы",INDEX(Техника!$G$1:$ABN$500,F$2,0),$A$214,INDEX(Техника!$H$1:$ABO$500,F$2,0),"З")</f>
        <v>0</v>
      </c>
      <c r="G219" s="50">
        <f>SUMIFS(INDEX(Техника!$F$1:$ABM$500,G$2,0),Техника!$F$4:$ABM$4,"Часы",INDEX(Техника!$G$1:$ABN$500,G$2,0),$A$214,INDEX(Техника!$H$1:$ABO$500,G$2,0),"З")</f>
        <v>0</v>
      </c>
      <c r="H219" s="50">
        <f>SUMIFS(INDEX(Техника!$F$1:$ABM$500,H$2,0),Техника!$F$4:$ABM$4,"Часы",INDEX(Техника!$G$1:$ABN$500,H$2,0),$A$214,INDEX(Техника!$H$1:$ABO$500,H$2,0),"З")</f>
        <v>0</v>
      </c>
      <c r="I219" s="50">
        <f>SUMIFS(INDEX(Техника!$F$1:$ABM$500,I$2,0),Техника!$F$4:$ABM$4,"Часы",INDEX(Техника!$G$1:$ABN$500,I$2,0),$A$214,INDEX(Техника!$H$1:$ABO$500,I$2,0),"З")</f>
        <v>0</v>
      </c>
      <c r="J219" s="50">
        <f>SUMIFS(INDEX(Техника!$F$1:$ABM$500,J$2,0),Техника!$F$4:$ABM$4,"Часы",INDEX(Техника!$G$1:$ABN$500,J$2,0),$A$214,INDEX(Техника!$H$1:$ABO$500,J$2,0),"З")</f>
        <v>0</v>
      </c>
      <c r="K219" s="50">
        <f>SUMIFS(INDEX(Техника!$F$1:$ABM$500,K$2,0),Техника!$F$4:$ABM$4,"Часы",INDEX(Техника!$G$1:$ABN$500,K$2,0),$A$214,INDEX(Техника!$H$1:$ABO$500,K$2,0),"З")</f>
        <v>0</v>
      </c>
      <c r="L219" s="50">
        <f>SUMIFS(INDEX(Техника!$F$1:$ABM$500,L$2,0),Техника!$F$4:$ABM$4,"Часы",INDEX(Техника!$G$1:$ABN$500,L$2,0),$A$214,INDEX(Техника!$H$1:$ABO$500,L$2,0),"З")</f>
        <v>0</v>
      </c>
      <c r="M219" s="50">
        <f>SUMIFS(INDEX(Техника!$F$1:$ABM$500,M$2,0),Техника!$F$4:$ABM$4,"Часы",INDEX(Техника!$G$1:$ABN$500,M$2,0),$A$214,INDEX(Техника!$H$1:$ABO$500,M$2,0),"З")</f>
        <v>0</v>
      </c>
      <c r="N219" s="50">
        <f>SUMIFS(INDEX(Техника!$F$1:$ABM$500,N$2,0),Техника!$F$4:$ABM$4,"Часы",INDEX(Техника!$G$1:$ABN$500,N$2,0),$A$214,INDEX(Техника!$H$1:$ABO$500,N$2,0),"З")</f>
        <v>0</v>
      </c>
      <c r="O219" s="50">
        <f>SUMIFS(INDEX(Техника!$F$1:$ABM$500,O$2,0),Техника!$F$4:$ABM$4,"Часы",INDEX(Техника!$G$1:$ABN$500,O$2,0),$A$214,INDEX(Техника!$H$1:$ABO$500,O$2,0),"З")</f>
        <v>0</v>
      </c>
      <c r="P219" s="50">
        <f>SUMIFS(INDEX(Техника!$F$1:$ABM$500,P$2,0),Техника!$F$4:$ABM$4,"Часы",INDEX(Техника!$G$1:$ABN$500,P$2,0),$A$214,INDEX(Техника!$H$1:$ABO$500,P$2,0),"З")</f>
        <v>0</v>
      </c>
      <c r="Q219" s="50">
        <f>SUMIFS(INDEX(Техника!$F$1:$ABM$500,Q$2,0),Техника!$F$4:$ABM$4,"Часы",INDEX(Техника!$G$1:$ABN$500,Q$2,0),$A$214,INDEX(Техника!$H$1:$ABO$500,Q$2,0),"З")</f>
        <v>0</v>
      </c>
      <c r="R219" s="50">
        <f>SUMIFS(INDEX(Техника!$F$1:$ABM$500,R$2,0),Техника!$F$4:$ABM$4,"Часы",INDEX(Техника!$G$1:$ABN$500,R$2,0),$A$214,INDEX(Техника!$H$1:$ABO$500,R$2,0),"З")</f>
        <v>0</v>
      </c>
      <c r="S219" s="50">
        <f>SUMIFS(INDEX(Техника!$F$1:$ABM$500,S$2,0),Техника!$F$4:$ABM$4,"Часы",INDEX(Техника!$G$1:$ABN$500,S$2,0),$A$214,INDEX(Техника!$H$1:$ABO$500,S$2,0),"З")</f>
        <v>0</v>
      </c>
      <c r="T219" s="50">
        <f>SUMIFS(INDEX(Техника!$F$1:$ABM$500,T$2,0),Техника!$F$4:$ABM$4,"Часы",INDEX(Техника!$G$1:$ABN$500,T$2,0),$A$214,INDEX(Техника!$H$1:$ABO$500,T$2,0),"З")</f>
        <v>0</v>
      </c>
      <c r="U219" s="50">
        <f>SUMIFS(INDEX(Техника!$F$1:$ABM$500,U$2,0),Техника!$F$4:$ABM$4,"Часы",INDEX(Техника!$G$1:$ABN$500,U$2,0),$A$214,INDEX(Техника!$H$1:$ABO$500,U$2,0),"З")</f>
        <v>0</v>
      </c>
      <c r="V219" s="50">
        <f>SUMIFS(INDEX(Техника!$F$1:$ABM$500,V$2,0),Техника!$F$4:$ABM$4,"Часы",INDEX(Техника!$G$1:$ABN$500,V$2,0),$A$214,INDEX(Техника!$H$1:$ABO$500,V$2,0),"З")</f>
        <v>0</v>
      </c>
      <c r="W219" s="50">
        <f>SUMIFS(INDEX(Техника!$F$1:$ABM$500,W$2,0),Техника!$F$4:$ABM$4,"Часы",INDEX(Техника!$G$1:$ABN$500,W$2,0),$A$214,INDEX(Техника!$H$1:$ABO$500,W$2,0),"З")</f>
        <v>0</v>
      </c>
      <c r="X219" s="50">
        <f>SUMIFS(INDEX(Техника!$F$1:$ABM$500,X$2,0),Техника!$F$4:$ABM$4,"Часы",INDEX(Техника!$G$1:$ABN$500,X$2,0),$A$214,INDEX(Техника!$H$1:$ABO$500,X$2,0),"З")</f>
        <v>0</v>
      </c>
      <c r="Y219" s="50">
        <f>SUMIFS(INDEX(Техника!$F$1:$ABM$500,Y$2,0),Техника!$F$4:$ABM$4,"Часы",INDEX(Техника!$G$1:$ABN$500,Y$2,0),$A$214,INDEX(Техника!$H$1:$ABO$500,Y$2,0),"З")</f>
        <v>0</v>
      </c>
      <c r="Z219" s="50">
        <f>SUMIFS(INDEX(Техника!$F$1:$ABM$500,Z$2,0),Техника!$F$4:$ABM$4,"Часы",INDEX(Техника!$G$1:$ABN$500,Z$2,0),$A$214,INDEX(Техника!$H$1:$ABO$500,Z$2,0),"З")</f>
        <v>0</v>
      </c>
      <c r="AA219" s="50">
        <f>SUMIFS(INDEX(Техника!$F$1:$ABM$500,AA$2,0),Техника!$F$4:$ABM$4,"Часы",INDEX(Техника!$G$1:$ABN$500,AA$2,0),$A$214,INDEX(Техника!$H$1:$ABO$500,AA$2,0),"З")</f>
        <v>0</v>
      </c>
      <c r="AB219" s="50">
        <f>SUMIFS(INDEX(Техника!$F$1:$ABM$500,AB$2,0),Техника!$F$4:$ABM$4,"Часы",INDEX(Техника!$G$1:$ABN$500,AB$2,0),$A$214,INDEX(Техника!$H$1:$ABO$500,AB$2,0),"З")</f>
        <v>0</v>
      </c>
    </row>
    <row r="220" spans="1:28" ht="7.95" customHeight="1" x14ac:dyDescent="0.3">
      <c r="A220" s="38"/>
      <c r="B220" s="39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 spans="1:28" ht="25.05" customHeight="1" collapsed="1" x14ac:dyDescent="0.3">
      <c r="A221" s="32">
        <v>32</v>
      </c>
      <c r="B221" s="32" t="s">
        <v>33</v>
      </c>
      <c r="C221" s="49">
        <f>SUM(C222:C226)</f>
        <v>0</v>
      </c>
      <c r="D221" s="49">
        <f>SUM(D222:D226)</f>
        <v>0</v>
      </c>
      <c r="E221" s="49">
        <f>SUM(E222:E226)</f>
        <v>0</v>
      </c>
      <c r="F221" s="49">
        <f>SUM(F222:F226)</f>
        <v>0</v>
      </c>
      <c r="G221" s="49">
        <f>SUM(G222:G226)</f>
        <v>0</v>
      </c>
      <c r="H221" s="49">
        <f>SUM(H222:H226)</f>
        <v>0</v>
      </c>
      <c r="I221" s="49">
        <f>SUM(I222:I226)</f>
        <v>0</v>
      </c>
      <c r="J221" s="49">
        <f>SUM(J222:J226)</f>
        <v>0</v>
      </c>
      <c r="K221" s="49">
        <f>SUM(K222:K226)</f>
        <v>0</v>
      </c>
      <c r="L221" s="49">
        <f>SUM(L222:L226)</f>
        <v>0</v>
      </c>
      <c r="M221" s="49">
        <f>SUM(M222:M226)</f>
        <v>0</v>
      </c>
      <c r="N221" s="49">
        <f>SUM(N222:N226)</f>
        <v>0</v>
      </c>
      <c r="O221" s="49">
        <f>SUM(O222:O226)</f>
        <v>0</v>
      </c>
      <c r="P221" s="49">
        <f>SUM(P222:P226)</f>
        <v>0</v>
      </c>
      <c r="Q221" s="49">
        <f>SUM(Q222:Q226)</f>
        <v>0</v>
      </c>
      <c r="R221" s="49">
        <f>SUM(R222:R226)</f>
        <v>0</v>
      </c>
      <c r="S221" s="49">
        <f>SUM(S222:S226)</f>
        <v>0</v>
      </c>
      <c r="T221" s="49">
        <f>SUM(T222:T226)</f>
        <v>0</v>
      </c>
      <c r="U221" s="49">
        <f>SUM(U222:U226)</f>
        <v>0</v>
      </c>
      <c r="V221" s="49">
        <f>SUM(V222:V226)</f>
        <v>0</v>
      </c>
      <c r="W221" s="49">
        <f>SUM(W222:W226)</f>
        <v>0</v>
      </c>
      <c r="X221" s="49">
        <f>SUM(X222:X226)</f>
        <v>0</v>
      </c>
      <c r="Y221" s="49">
        <f>SUM(Y222:Y226)</f>
        <v>0</v>
      </c>
      <c r="Z221" s="49">
        <f>SUM(Z222:Z226)</f>
        <v>0</v>
      </c>
      <c r="AA221" s="49">
        <f>SUM(AA222:AA226)</f>
        <v>0</v>
      </c>
      <c r="AB221" s="49">
        <f>SUM(AB222:AB226)</f>
        <v>0</v>
      </c>
    </row>
    <row r="222" spans="1:28" hidden="1" outlineLevel="1" x14ac:dyDescent="0.3">
      <c r="A222" s="33" t="s">
        <v>246</v>
      </c>
      <c r="B222" s="34" t="s">
        <v>274</v>
      </c>
      <c r="C222" s="50">
        <f>SUMIFS(INDEX(Техника!$F$1:$ABM$500,C$2,0),Техника!$F$4:$ABM$4,"Часы",INDEX(Техника!$G$1:$ABN$500,C$2,0),$A$221,INDEX(Техника!$H$1:$ABO$500,C$2,0),"М")</f>
        <v>0</v>
      </c>
      <c r="D222" s="50">
        <f>SUMIFS(INDEX(Техника!$F$1:$ABM$500,D$2,0),Техника!$F$4:$ABM$4,"Часы",INDEX(Техника!$G$1:$ABN$500,D$2,0),$A$221,INDEX(Техника!$H$1:$ABO$500,D$2,0),"М")</f>
        <v>0</v>
      </c>
      <c r="E222" s="50">
        <f>SUMIFS(INDEX(Техника!$F$1:$ABM$500,E$2,0),Техника!$F$4:$ABM$4,"Часы",INDEX(Техника!$G$1:$ABN$500,E$2,0),$A$221,INDEX(Техника!$H$1:$ABO$500,E$2,0),"М")</f>
        <v>0</v>
      </c>
      <c r="F222" s="50">
        <f>SUMIFS(INDEX(Техника!$F$1:$ABM$500,F$2,0),Техника!$F$4:$ABM$4,"Часы",INDEX(Техника!$G$1:$ABN$500,F$2,0),$A$221,INDEX(Техника!$H$1:$ABO$500,F$2,0),"М")</f>
        <v>0</v>
      </c>
      <c r="G222" s="50">
        <f>SUMIFS(INDEX(Техника!$F$1:$ABM$500,G$2,0),Техника!$F$4:$ABM$4,"Часы",INDEX(Техника!$G$1:$ABN$500,G$2,0),$A$221,INDEX(Техника!$H$1:$ABO$500,G$2,0),"М")</f>
        <v>0</v>
      </c>
      <c r="H222" s="50">
        <f>SUMIFS(INDEX(Техника!$F$1:$ABM$500,H$2,0),Техника!$F$4:$ABM$4,"Часы",INDEX(Техника!$G$1:$ABN$500,H$2,0),$A$221,INDEX(Техника!$H$1:$ABO$500,H$2,0),"М")</f>
        <v>0</v>
      </c>
      <c r="I222" s="50">
        <f>SUMIFS(INDEX(Техника!$F$1:$ABM$500,I$2,0),Техника!$F$4:$ABM$4,"Часы",INDEX(Техника!$G$1:$ABN$500,I$2,0),$A$221,INDEX(Техника!$H$1:$ABO$500,I$2,0),"М")</f>
        <v>0</v>
      </c>
      <c r="J222" s="50">
        <f>SUMIFS(INDEX(Техника!$F$1:$ABM$500,J$2,0),Техника!$F$4:$ABM$4,"Часы",INDEX(Техника!$G$1:$ABN$500,J$2,0),$A$221,INDEX(Техника!$H$1:$ABO$500,J$2,0),"М")</f>
        <v>0</v>
      </c>
      <c r="K222" s="50">
        <f>SUMIFS(INDEX(Техника!$F$1:$ABM$500,K$2,0),Техника!$F$4:$ABM$4,"Часы",INDEX(Техника!$G$1:$ABN$500,K$2,0),$A$221,INDEX(Техника!$H$1:$ABO$500,K$2,0),"М")</f>
        <v>0</v>
      </c>
      <c r="L222" s="50">
        <f>SUMIFS(INDEX(Техника!$F$1:$ABM$500,L$2,0),Техника!$F$4:$ABM$4,"Часы",INDEX(Техника!$G$1:$ABN$500,L$2,0),$A$221,INDEX(Техника!$H$1:$ABO$500,L$2,0),"М")</f>
        <v>0</v>
      </c>
      <c r="M222" s="50">
        <f>SUMIFS(INDEX(Техника!$F$1:$ABM$500,M$2,0),Техника!$F$4:$ABM$4,"Часы",INDEX(Техника!$G$1:$ABN$500,M$2,0),$A$221,INDEX(Техника!$H$1:$ABO$500,M$2,0),"М")</f>
        <v>0</v>
      </c>
      <c r="N222" s="50">
        <f>SUMIFS(INDEX(Техника!$F$1:$ABM$500,N$2,0),Техника!$F$4:$ABM$4,"Часы",INDEX(Техника!$G$1:$ABN$500,N$2,0),$A$221,INDEX(Техника!$H$1:$ABO$500,N$2,0),"М")</f>
        <v>0</v>
      </c>
      <c r="O222" s="50">
        <f>SUMIFS(INDEX(Техника!$F$1:$ABM$500,O$2,0),Техника!$F$4:$ABM$4,"Часы",INDEX(Техника!$G$1:$ABN$500,O$2,0),$A$221,INDEX(Техника!$H$1:$ABO$500,O$2,0),"М")</f>
        <v>0</v>
      </c>
      <c r="P222" s="50">
        <f>SUMIFS(INDEX(Техника!$F$1:$ABM$500,P$2,0),Техника!$F$4:$ABM$4,"Часы",INDEX(Техника!$G$1:$ABN$500,P$2,0),$A$221,INDEX(Техника!$H$1:$ABO$500,P$2,0),"М")</f>
        <v>0</v>
      </c>
      <c r="Q222" s="50">
        <f>SUMIFS(INDEX(Техника!$F$1:$ABM$500,Q$2,0),Техника!$F$4:$ABM$4,"Часы",INDEX(Техника!$G$1:$ABN$500,Q$2,0),$A$221,INDEX(Техника!$H$1:$ABO$500,Q$2,0),"М")</f>
        <v>0</v>
      </c>
      <c r="R222" s="50">
        <f>SUMIFS(INDEX(Техника!$F$1:$ABM$500,R$2,0),Техника!$F$4:$ABM$4,"Часы",INDEX(Техника!$G$1:$ABN$500,R$2,0),$A$221,INDEX(Техника!$H$1:$ABO$500,R$2,0),"М")</f>
        <v>0</v>
      </c>
      <c r="S222" s="50">
        <f>SUMIFS(INDEX(Техника!$F$1:$ABM$500,S$2,0),Техника!$F$4:$ABM$4,"Часы",INDEX(Техника!$G$1:$ABN$500,S$2,0),$A$221,INDEX(Техника!$H$1:$ABO$500,S$2,0),"М")</f>
        <v>0</v>
      </c>
      <c r="T222" s="50">
        <f>SUMIFS(INDEX(Техника!$F$1:$ABM$500,T$2,0),Техника!$F$4:$ABM$4,"Часы",INDEX(Техника!$G$1:$ABN$500,T$2,0),$A$221,INDEX(Техника!$H$1:$ABO$500,T$2,0),"М")</f>
        <v>0</v>
      </c>
      <c r="U222" s="50">
        <f>SUMIFS(INDEX(Техника!$F$1:$ABM$500,U$2,0),Техника!$F$4:$ABM$4,"Часы",INDEX(Техника!$G$1:$ABN$500,U$2,0),$A$221,INDEX(Техника!$H$1:$ABO$500,U$2,0),"М")</f>
        <v>0</v>
      </c>
      <c r="V222" s="50">
        <f>SUMIFS(INDEX(Техника!$F$1:$ABM$500,V$2,0),Техника!$F$4:$ABM$4,"Часы",INDEX(Техника!$G$1:$ABN$500,V$2,0),$A$221,INDEX(Техника!$H$1:$ABO$500,V$2,0),"М")</f>
        <v>0</v>
      </c>
      <c r="W222" s="50">
        <f>SUMIFS(INDEX(Техника!$F$1:$ABM$500,W$2,0),Техника!$F$4:$ABM$4,"Часы",INDEX(Техника!$G$1:$ABN$500,W$2,0),$A$221,INDEX(Техника!$H$1:$ABO$500,W$2,0),"М")</f>
        <v>0</v>
      </c>
      <c r="X222" s="50">
        <f>SUMIFS(INDEX(Техника!$F$1:$ABM$500,X$2,0),Техника!$F$4:$ABM$4,"Часы",INDEX(Техника!$G$1:$ABN$500,X$2,0),$A$221,INDEX(Техника!$H$1:$ABO$500,X$2,0),"М")</f>
        <v>0</v>
      </c>
      <c r="Y222" s="50">
        <f>SUMIFS(INDEX(Техника!$F$1:$ABM$500,Y$2,0),Техника!$F$4:$ABM$4,"Часы",INDEX(Техника!$G$1:$ABN$500,Y$2,0),$A$221,INDEX(Техника!$H$1:$ABO$500,Y$2,0),"М")</f>
        <v>0</v>
      </c>
      <c r="Z222" s="50">
        <f>SUMIFS(INDEX(Техника!$F$1:$ABM$500,Z$2,0),Техника!$F$4:$ABM$4,"Часы",INDEX(Техника!$G$1:$ABN$500,Z$2,0),$A$221,INDEX(Техника!$H$1:$ABO$500,Z$2,0),"М")</f>
        <v>0</v>
      </c>
      <c r="AA222" s="50">
        <f>SUMIFS(INDEX(Техника!$F$1:$ABM$500,AA$2,0),Техника!$F$4:$ABM$4,"Часы",INDEX(Техника!$G$1:$ABN$500,AA$2,0),$A$221,INDEX(Техника!$H$1:$ABO$500,AA$2,0),"М")</f>
        <v>0</v>
      </c>
      <c r="AB222" s="50">
        <f>SUMIFS(INDEX(Техника!$F$1:$ABM$500,AB$2,0),Техника!$F$4:$ABM$4,"Часы",INDEX(Техника!$G$1:$ABN$500,AB$2,0),$A$221,INDEX(Техника!$H$1:$ABO$500,AB$2,0),"М")</f>
        <v>0</v>
      </c>
    </row>
    <row r="223" spans="1:28" hidden="1" outlineLevel="1" x14ac:dyDescent="0.3">
      <c r="A223" s="33" t="s">
        <v>244</v>
      </c>
      <c r="B223" s="34" t="s">
        <v>275</v>
      </c>
      <c r="C223" s="50">
        <f>SUMIFS(INDEX(Техника!$F$1:$ABM$500,C$2,0),Техника!$F$4:$ABM$4,"Часы",INDEX(Техника!$G$1:$ABN$500,C$2,0),$A$221,INDEX(Техника!$H$1:$ABO$500,C$2,0),"Д")</f>
        <v>0</v>
      </c>
      <c r="D223" s="50">
        <f>SUMIFS(INDEX(Техника!$F$1:$ABM$500,D$2,0),Техника!$F$4:$ABM$4,"Часы",INDEX(Техника!$G$1:$ABN$500,D$2,0),$A$221,INDEX(Техника!$H$1:$ABO$500,D$2,0),"Д")</f>
        <v>0</v>
      </c>
      <c r="E223" s="50">
        <f>SUMIFS(INDEX(Техника!$F$1:$ABM$500,E$2,0),Техника!$F$4:$ABM$4,"Часы",INDEX(Техника!$G$1:$ABN$500,E$2,0),$A$221,INDEX(Техника!$H$1:$ABO$500,E$2,0),"Д")</f>
        <v>0</v>
      </c>
      <c r="F223" s="50">
        <f>SUMIFS(INDEX(Техника!$F$1:$ABM$500,F$2,0),Техника!$F$4:$ABM$4,"Часы",INDEX(Техника!$G$1:$ABN$500,F$2,0),$A$221,INDEX(Техника!$H$1:$ABO$500,F$2,0),"Д")</f>
        <v>0</v>
      </c>
      <c r="G223" s="50">
        <f>SUMIFS(INDEX(Техника!$F$1:$ABM$500,G$2,0),Техника!$F$4:$ABM$4,"Часы",INDEX(Техника!$G$1:$ABN$500,G$2,0),$A$221,INDEX(Техника!$H$1:$ABO$500,G$2,0),"Д")</f>
        <v>0</v>
      </c>
      <c r="H223" s="50">
        <f>SUMIFS(INDEX(Техника!$F$1:$ABM$500,H$2,0),Техника!$F$4:$ABM$4,"Часы",INDEX(Техника!$G$1:$ABN$500,H$2,0),$A$221,INDEX(Техника!$H$1:$ABO$500,H$2,0),"Д")</f>
        <v>0</v>
      </c>
      <c r="I223" s="50">
        <f>SUMIFS(INDEX(Техника!$F$1:$ABM$500,I$2,0),Техника!$F$4:$ABM$4,"Часы",INDEX(Техника!$G$1:$ABN$500,I$2,0),$A$221,INDEX(Техника!$H$1:$ABO$500,I$2,0),"Д")</f>
        <v>0</v>
      </c>
      <c r="J223" s="50">
        <f>SUMIFS(INDEX(Техника!$F$1:$ABM$500,J$2,0),Техника!$F$4:$ABM$4,"Часы",INDEX(Техника!$G$1:$ABN$500,J$2,0),$A$221,INDEX(Техника!$H$1:$ABO$500,J$2,0),"Д")</f>
        <v>0</v>
      </c>
      <c r="K223" s="50">
        <f>SUMIFS(INDEX(Техника!$F$1:$ABM$500,K$2,0),Техника!$F$4:$ABM$4,"Часы",INDEX(Техника!$G$1:$ABN$500,K$2,0),$A$221,INDEX(Техника!$H$1:$ABO$500,K$2,0),"Д")</f>
        <v>0</v>
      </c>
      <c r="L223" s="50">
        <f>SUMIFS(INDEX(Техника!$F$1:$ABM$500,L$2,0),Техника!$F$4:$ABM$4,"Часы",INDEX(Техника!$G$1:$ABN$500,L$2,0),$A$221,INDEX(Техника!$H$1:$ABO$500,L$2,0),"Д")</f>
        <v>0</v>
      </c>
      <c r="M223" s="50">
        <f>SUMIFS(INDEX(Техника!$F$1:$ABM$500,M$2,0),Техника!$F$4:$ABM$4,"Часы",INDEX(Техника!$G$1:$ABN$500,M$2,0),$A$221,INDEX(Техника!$H$1:$ABO$500,M$2,0),"Д")</f>
        <v>0</v>
      </c>
      <c r="N223" s="50">
        <f>SUMIFS(INDEX(Техника!$F$1:$ABM$500,N$2,0),Техника!$F$4:$ABM$4,"Часы",INDEX(Техника!$G$1:$ABN$500,N$2,0),$A$221,INDEX(Техника!$H$1:$ABO$500,N$2,0),"Д")</f>
        <v>0</v>
      </c>
      <c r="O223" s="50">
        <f>SUMIFS(INDEX(Техника!$F$1:$ABM$500,O$2,0),Техника!$F$4:$ABM$4,"Часы",INDEX(Техника!$G$1:$ABN$500,O$2,0),$A$221,INDEX(Техника!$H$1:$ABO$500,O$2,0),"Д")</f>
        <v>0</v>
      </c>
      <c r="P223" s="50">
        <f>SUMIFS(INDEX(Техника!$F$1:$ABM$500,P$2,0),Техника!$F$4:$ABM$4,"Часы",INDEX(Техника!$G$1:$ABN$500,P$2,0),$A$221,INDEX(Техника!$H$1:$ABO$500,P$2,0),"Д")</f>
        <v>0</v>
      </c>
      <c r="Q223" s="50">
        <f>SUMIFS(INDEX(Техника!$F$1:$ABM$500,Q$2,0),Техника!$F$4:$ABM$4,"Часы",INDEX(Техника!$G$1:$ABN$500,Q$2,0),$A$221,INDEX(Техника!$H$1:$ABO$500,Q$2,0),"Д")</f>
        <v>0</v>
      </c>
      <c r="R223" s="50">
        <f>SUMIFS(INDEX(Техника!$F$1:$ABM$500,R$2,0),Техника!$F$4:$ABM$4,"Часы",INDEX(Техника!$G$1:$ABN$500,R$2,0),$A$221,INDEX(Техника!$H$1:$ABO$500,R$2,0),"Д")</f>
        <v>0</v>
      </c>
      <c r="S223" s="50">
        <f>SUMIFS(INDEX(Техника!$F$1:$ABM$500,S$2,0),Техника!$F$4:$ABM$4,"Часы",INDEX(Техника!$G$1:$ABN$500,S$2,0),$A$221,INDEX(Техника!$H$1:$ABO$500,S$2,0),"Д")</f>
        <v>0</v>
      </c>
      <c r="T223" s="50">
        <f>SUMIFS(INDEX(Техника!$F$1:$ABM$500,T$2,0),Техника!$F$4:$ABM$4,"Часы",INDEX(Техника!$G$1:$ABN$500,T$2,0),$A$221,INDEX(Техника!$H$1:$ABO$500,T$2,0),"Д")</f>
        <v>0</v>
      </c>
      <c r="U223" s="50">
        <f>SUMIFS(INDEX(Техника!$F$1:$ABM$500,U$2,0),Техника!$F$4:$ABM$4,"Часы",INDEX(Техника!$G$1:$ABN$500,U$2,0),$A$221,INDEX(Техника!$H$1:$ABO$500,U$2,0),"Д")</f>
        <v>0</v>
      </c>
      <c r="V223" s="50">
        <f>SUMIFS(INDEX(Техника!$F$1:$ABM$500,V$2,0),Техника!$F$4:$ABM$4,"Часы",INDEX(Техника!$G$1:$ABN$500,V$2,0),$A$221,INDEX(Техника!$H$1:$ABO$500,V$2,0),"Д")</f>
        <v>0</v>
      </c>
      <c r="W223" s="50">
        <f>SUMIFS(INDEX(Техника!$F$1:$ABM$500,W$2,0),Техника!$F$4:$ABM$4,"Часы",INDEX(Техника!$G$1:$ABN$500,W$2,0),$A$221,INDEX(Техника!$H$1:$ABO$500,W$2,0),"Д")</f>
        <v>0</v>
      </c>
      <c r="X223" s="50">
        <f>SUMIFS(INDEX(Техника!$F$1:$ABM$500,X$2,0),Техника!$F$4:$ABM$4,"Часы",INDEX(Техника!$G$1:$ABN$500,X$2,0),$A$221,INDEX(Техника!$H$1:$ABO$500,X$2,0),"Д")</f>
        <v>0</v>
      </c>
      <c r="Y223" s="50">
        <f>SUMIFS(INDEX(Техника!$F$1:$ABM$500,Y$2,0),Техника!$F$4:$ABM$4,"Часы",INDEX(Техника!$G$1:$ABN$500,Y$2,0),$A$221,INDEX(Техника!$H$1:$ABO$500,Y$2,0),"Д")</f>
        <v>0</v>
      </c>
      <c r="Z223" s="50">
        <f>SUMIFS(INDEX(Техника!$F$1:$ABM$500,Z$2,0),Техника!$F$4:$ABM$4,"Часы",INDEX(Техника!$G$1:$ABN$500,Z$2,0),$A$221,INDEX(Техника!$H$1:$ABO$500,Z$2,0),"Д")</f>
        <v>0</v>
      </c>
      <c r="AA223" s="50">
        <f>SUMIFS(INDEX(Техника!$F$1:$ABM$500,AA$2,0),Техника!$F$4:$ABM$4,"Часы",INDEX(Техника!$G$1:$ABN$500,AA$2,0),$A$221,INDEX(Техника!$H$1:$ABO$500,AA$2,0),"Д")</f>
        <v>0</v>
      </c>
      <c r="AB223" s="50">
        <f>SUMIFS(INDEX(Техника!$F$1:$ABM$500,AB$2,0),Техника!$F$4:$ABM$4,"Часы",INDEX(Техника!$G$1:$ABN$500,AB$2,0),$A$221,INDEX(Техника!$H$1:$ABO$500,AB$2,0),"Д")</f>
        <v>0</v>
      </c>
    </row>
    <row r="224" spans="1:28" hidden="1" outlineLevel="1" x14ac:dyDescent="0.3">
      <c r="A224" s="33" t="s">
        <v>276</v>
      </c>
      <c r="B224" s="34" t="s">
        <v>277</v>
      </c>
      <c r="C224" s="50">
        <f>SUMIFS(INDEX(Техника!$F$1:$ABM$500,C$2,0),Техника!$F$4:$ABM$4,"Часы",INDEX(Техника!$G$1:$ABN$500,C$2,0),$A$221,INDEX(Техника!$H$1:$ABO$500,C$2,0),"П")</f>
        <v>0</v>
      </c>
      <c r="D224" s="50">
        <f>SUMIFS(INDEX(Техника!$F$1:$ABM$500,D$2,0),Техника!$F$4:$ABM$4,"Часы",INDEX(Техника!$G$1:$ABN$500,D$2,0),$A$221,INDEX(Техника!$H$1:$ABO$500,D$2,0),"П")</f>
        <v>0</v>
      </c>
      <c r="E224" s="50">
        <f>SUMIFS(INDEX(Техника!$F$1:$ABM$500,E$2,0),Техника!$F$4:$ABM$4,"Часы",INDEX(Техника!$G$1:$ABN$500,E$2,0),$A$221,INDEX(Техника!$H$1:$ABO$500,E$2,0),"П")</f>
        <v>0</v>
      </c>
      <c r="F224" s="50">
        <f>SUMIFS(INDEX(Техника!$F$1:$ABM$500,F$2,0),Техника!$F$4:$ABM$4,"Часы",INDEX(Техника!$G$1:$ABN$500,F$2,0),$A$221,INDEX(Техника!$H$1:$ABO$500,F$2,0),"П")</f>
        <v>0</v>
      </c>
      <c r="G224" s="50">
        <f>SUMIFS(INDEX(Техника!$F$1:$ABM$500,G$2,0),Техника!$F$4:$ABM$4,"Часы",INDEX(Техника!$G$1:$ABN$500,G$2,0),$A$221,INDEX(Техника!$H$1:$ABO$500,G$2,0),"П")</f>
        <v>0</v>
      </c>
      <c r="H224" s="50">
        <f>SUMIFS(INDEX(Техника!$F$1:$ABM$500,H$2,0),Техника!$F$4:$ABM$4,"Часы",INDEX(Техника!$G$1:$ABN$500,H$2,0),$A$221,INDEX(Техника!$H$1:$ABO$500,H$2,0),"П")</f>
        <v>0</v>
      </c>
      <c r="I224" s="50">
        <f>SUMIFS(INDEX(Техника!$F$1:$ABM$500,I$2,0),Техника!$F$4:$ABM$4,"Часы",INDEX(Техника!$G$1:$ABN$500,I$2,0),$A$221,INDEX(Техника!$H$1:$ABO$500,I$2,0),"П")</f>
        <v>0</v>
      </c>
      <c r="J224" s="50">
        <f>SUMIFS(INDEX(Техника!$F$1:$ABM$500,J$2,0),Техника!$F$4:$ABM$4,"Часы",INDEX(Техника!$G$1:$ABN$500,J$2,0),$A$221,INDEX(Техника!$H$1:$ABO$500,J$2,0),"П")</f>
        <v>0</v>
      </c>
      <c r="K224" s="50">
        <f>SUMIFS(INDEX(Техника!$F$1:$ABM$500,K$2,0),Техника!$F$4:$ABM$4,"Часы",INDEX(Техника!$G$1:$ABN$500,K$2,0),$A$221,INDEX(Техника!$H$1:$ABO$500,K$2,0),"П")</f>
        <v>0</v>
      </c>
      <c r="L224" s="50">
        <f>SUMIFS(INDEX(Техника!$F$1:$ABM$500,L$2,0),Техника!$F$4:$ABM$4,"Часы",INDEX(Техника!$G$1:$ABN$500,L$2,0),$A$221,INDEX(Техника!$H$1:$ABO$500,L$2,0),"П")</f>
        <v>0</v>
      </c>
      <c r="M224" s="50">
        <f>SUMIFS(INDEX(Техника!$F$1:$ABM$500,M$2,0),Техника!$F$4:$ABM$4,"Часы",INDEX(Техника!$G$1:$ABN$500,M$2,0),$A$221,INDEX(Техника!$H$1:$ABO$500,M$2,0),"П")</f>
        <v>0</v>
      </c>
      <c r="N224" s="50">
        <f>SUMIFS(INDEX(Техника!$F$1:$ABM$500,N$2,0),Техника!$F$4:$ABM$4,"Часы",INDEX(Техника!$G$1:$ABN$500,N$2,0),$A$221,INDEX(Техника!$H$1:$ABO$500,N$2,0),"П")</f>
        <v>0</v>
      </c>
      <c r="O224" s="50">
        <f>SUMIFS(INDEX(Техника!$F$1:$ABM$500,O$2,0),Техника!$F$4:$ABM$4,"Часы",INDEX(Техника!$G$1:$ABN$500,O$2,0),$A$221,INDEX(Техника!$H$1:$ABO$500,O$2,0),"П")</f>
        <v>0</v>
      </c>
      <c r="P224" s="50">
        <f>SUMIFS(INDEX(Техника!$F$1:$ABM$500,P$2,0),Техника!$F$4:$ABM$4,"Часы",INDEX(Техника!$G$1:$ABN$500,P$2,0),$A$221,INDEX(Техника!$H$1:$ABO$500,P$2,0),"П")</f>
        <v>0</v>
      </c>
      <c r="Q224" s="50">
        <f>SUMIFS(INDEX(Техника!$F$1:$ABM$500,Q$2,0),Техника!$F$4:$ABM$4,"Часы",INDEX(Техника!$G$1:$ABN$500,Q$2,0),$A$221,INDEX(Техника!$H$1:$ABO$500,Q$2,0),"П")</f>
        <v>0</v>
      </c>
      <c r="R224" s="50">
        <f>SUMIFS(INDEX(Техника!$F$1:$ABM$500,R$2,0),Техника!$F$4:$ABM$4,"Часы",INDEX(Техника!$G$1:$ABN$500,R$2,0),$A$221,INDEX(Техника!$H$1:$ABO$500,R$2,0),"П")</f>
        <v>0</v>
      </c>
      <c r="S224" s="50">
        <f>SUMIFS(INDEX(Техника!$F$1:$ABM$500,S$2,0),Техника!$F$4:$ABM$4,"Часы",INDEX(Техника!$G$1:$ABN$500,S$2,0),$A$221,INDEX(Техника!$H$1:$ABO$500,S$2,0),"П")</f>
        <v>0</v>
      </c>
      <c r="T224" s="50">
        <f>SUMIFS(INDEX(Техника!$F$1:$ABM$500,T$2,0),Техника!$F$4:$ABM$4,"Часы",INDEX(Техника!$G$1:$ABN$500,T$2,0),$A$221,INDEX(Техника!$H$1:$ABO$500,T$2,0),"П")</f>
        <v>0</v>
      </c>
      <c r="U224" s="50">
        <f>SUMIFS(INDEX(Техника!$F$1:$ABM$500,U$2,0),Техника!$F$4:$ABM$4,"Часы",INDEX(Техника!$G$1:$ABN$500,U$2,0),$A$221,INDEX(Техника!$H$1:$ABO$500,U$2,0),"П")</f>
        <v>0</v>
      </c>
      <c r="V224" s="50">
        <f>SUMIFS(INDEX(Техника!$F$1:$ABM$500,V$2,0),Техника!$F$4:$ABM$4,"Часы",INDEX(Техника!$G$1:$ABN$500,V$2,0),$A$221,INDEX(Техника!$H$1:$ABO$500,V$2,0),"П")</f>
        <v>0</v>
      </c>
      <c r="W224" s="50">
        <f>SUMIFS(INDEX(Техника!$F$1:$ABM$500,W$2,0),Техника!$F$4:$ABM$4,"Часы",INDEX(Техника!$G$1:$ABN$500,W$2,0),$A$221,INDEX(Техника!$H$1:$ABO$500,W$2,0),"П")</f>
        <v>0</v>
      </c>
      <c r="X224" s="50">
        <f>SUMIFS(INDEX(Техника!$F$1:$ABM$500,X$2,0),Техника!$F$4:$ABM$4,"Часы",INDEX(Техника!$G$1:$ABN$500,X$2,0),$A$221,INDEX(Техника!$H$1:$ABO$500,X$2,0),"П")</f>
        <v>0</v>
      </c>
      <c r="Y224" s="50">
        <f>SUMIFS(INDEX(Техника!$F$1:$ABM$500,Y$2,0),Техника!$F$4:$ABM$4,"Часы",INDEX(Техника!$G$1:$ABN$500,Y$2,0),$A$221,INDEX(Техника!$H$1:$ABO$500,Y$2,0),"П")</f>
        <v>0</v>
      </c>
      <c r="Z224" s="50">
        <f>SUMIFS(INDEX(Техника!$F$1:$ABM$500,Z$2,0),Техника!$F$4:$ABM$4,"Часы",INDEX(Техника!$G$1:$ABN$500,Z$2,0),$A$221,INDEX(Техника!$H$1:$ABO$500,Z$2,0),"П")</f>
        <v>0</v>
      </c>
      <c r="AA224" s="50">
        <f>SUMIFS(INDEX(Техника!$F$1:$ABM$500,AA$2,0),Техника!$F$4:$ABM$4,"Часы",INDEX(Техника!$G$1:$ABN$500,AA$2,0),$A$221,INDEX(Техника!$H$1:$ABO$500,AA$2,0),"П")</f>
        <v>0</v>
      </c>
      <c r="AB224" s="50">
        <f>SUMIFS(INDEX(Техника!$F$1:$ABM$500,AB$2,0),Техника!$F$4:$ABM$4,"Часы",INDEX(Техника!$G$1:$ABN$500,AB$2,0),$A$221,INDEX(Техника!$H$1:$ABO$500,AB$2,0),"П")</f>
        <v>0</v>
      </c>
    </row>
    <row r="225" spans="1:28" hidden="1" outlineLevel="1" x14ac:dyDescent="0.3">
      <c r="A225" s="33" t="s">
        <v>243</v>
      </c>
      <c r="B225" s="34" t="s">
        <v>278</v>
      </c>
      <c r="C225" s="50">
        <f>SUMIFS(INDEX(Техника!$F$1:$ABM$500,C$2,0),Техника!$F$4:$ABM$4,"Часы",INDEX(Техника!$G$1:$ABN$500,C$2,0),$A$221,INDEX(Техника!$H$1:$ABO$500,C$2,0),"Л")</f>
        <v>0</v>
      </c>
      <c r="D225" s="50">
        <f>SUMIFS(INDEX(Техника!$F$1:$ABM$500,D$2,0),Техника!$F$4:$ABM$4,"Часы",INDEX(Техника!$G$1:$ABN$500,D$2,0),$A$221,INDEX(Техника!$H$1:$ABO$500,D$2,0),"Л")</f>
        <v>0</v>
      </c>
      <c r="E225" s="50">
        <f>SUMIFS(INDEX(Техника!$F$1:$ABM$500,E$2,0),Техника!$F$4:$ABM$4,"Часы",INDEX(Техника!$G$1:$ABN$500,E$2,0),$A$221,INDEX(Техника!$H$1:$ABO$500,E$2,0),"Л")</f>
        <v>0</v>
      </c>
      <c r="F225" s="50">
        <f>SUMIFS(INDEX(Техника!$F$1:$ABM$500,F$2,0),Техника!$F$4:$ABM$4,"Часы",INDEX(Техника!$G$1:$ABN$500,F$2,0),$A$221,INDEX(Техника!$H$1:$ABO$500,F$2,0),"Л")</f>
        <v>0</v>
      </c>
      <c r="G225" s="50">
        <f>SUMIFS(INDEX(Техника!$F$1:$ABM$500,G$2,0),Техника!$F$4:$ABM$4,"Часы",INDEX(Техника!$G$1:$ABN$500,G$2,0),$A$221,INDEX(Техника!$H$1:$ABO$500,G$2,0),"Л")</f>
        <v>0</v>
      </c>
      <c r="H225" s="50">
        <f>SUMIFS(INDEX(Техника!$F$1:$ABM$500,H$2,0),Техника!$F$4:$ABM$4,"Часы",INDEX(Техника!$G$1:$ABN$500,H$2,0),$A$221,INDEX(Техника!$H$1:$ABO$500,H$2,0),"Л")</f>
        <v>0</v>
      </c>
      <c r="I225" s="50">
        <f>SUMIFS(INDEX(Техника!$F$1:$ABM$500,I$2,0),Техника!$F$4:$ABM$4,"Часы",INDEX(Техника!$G$1:$ABN$500,I$2,0),$A$221,INDEX(Техника!$H$1:$ABO$500,I$2,0),"Л")</f>
        <v>0</v>
      </c>
      <c r="J225" s="50">
        <f>SUMIFS(INDEX(Техника!$F$1:$ABM$500,J$2,0),Техника!$F$4:$ABM$4,"Часы",INDEX(Техника!$G$1:$ABN$500,J$2,0),$A$221,INDEX(Техника!$H$1:$ABO$500,J$2,0),"Л")</f>
        <v>0</v>
      </c>
      <c r="K225" s="50">
        <f>SUMIFS(INDEX(Техника!$F$1:$ABM$500,K$2,0),Техника!$F$4:$ABM$4,"Часы",INDEX(Техника!$G$1:$ABN$500,K$2,0),$A$221,INDEX(Техника!$H$1:$ABO$500,K$2,0),"Л")</f>
        <v>0</v>
      </c>
      <c r="L225" s="50">
        <f>SUMIFS(INDEX(Техника!$F$1:$ABM$500,L$2,0),Техника!$F$4:$ABM$4,"Часы",INDEX(Техника!$G$1:$ABN$500,L$2,0),$A$221,INDEX(Техника!$H$1:$ABO$500,L$2,0),"Л")</f>
        <v>0</v>
      </c>
      <c r="M225" s="50">
        <f>SUMIFS(INDEX(Техника!$F$1:$ABM$500,M$2,0),Техника!$F$4:$ABM$4,"Часы",INDEX(Техника!$G$1:$ABN$500,M$2,0),$A$221,INDEX(Техника!$H$1:$ABO$500,M$2,0),"Л")</f>
        <v>0</v>
      </c>
      <c r="N225" s="50">
        <f>SUMIFS(INDEX(Техника!$F$1:$ABM$500,N$2,0),Техника!$F$4:$ABM$4,"Часы",INDEX(Техника!$G$1:$ABN$500,N$2,0),$A$221,INDEX(Техника!$H$1:$ABO$500,N$2,0),"Л")</f>
        <v>0</v>
      </c>
      <c r="O225" s="50">
        <f>SUMIFS(INDEX(Техника!$F$1:$ABM$500,O$2,0),Техника!$F$4:$ABM$4,"Часы",INDEX(Техника!$G$1:$ABN$500,O$2,0),$A$221,INDEX(Техника!$H$1:$ABO$500,O$2,0),"Л")</f>
        <v>0</v>
      </c>
      <c r="P225" s="50">
        <f>SUMIFS(INDEX(Техника!$F$1:$ABM$500,P$2,0),Техника!$F$4:$ABM$4,"Часы",INDEX(Техника!$G$1:$ABN$500,P$2,0),$A$221,INDEX(Техника!$H$1:$ABO$500,P$2,0),"Л")</f>
        <v>0</v>
      </c>
      <c r="Q225" s="50">
        <f>SUMIFS(INDEX(Техника!$F$1:$ABM$500,Q$2,0),Техника!$F$4:$ABM$4,"Часы",INDEX(Техника!$G$1:$ABN$500,Q$2,0),$A$221,INDEX(Техника!$H$1:$ABO$500,Q$2,0),"Л")</f>
        <v>0</v>
      </c>
      <c r="R225" s="50">
        <f>SUMIFS(INDEX(Техника!$F$1:$ABM$500,R$2,0),Техника!$F$4:$ABM$4,"Часы",INDEX(Техника!$G$1:$ABN$500,R$2,0),$A$221,INDEX(Техника!$H$1:$ABO$500,R$2,0),"Л")</f>
        <v>0</v>
      </c>
      <c r="S225" s="50">
        <f>SUMIFS(INDEX(Техника!$F$1:$ABM$500,S$2,0),Техника!$F$4:$ABM$4,"Часы",INDEX(Техника!$G$1:$ABN$500,S$2,0),$A$221,INDEX(Техника!$H$1:$ABO$500,S$2,0),"Л")</f>
        <v>0</v>
      </c>
      <c r="T225" s="50">
        <f>SUMIFS(INDEX(Техника!$F$1:$ABM$500,T$2,0),Техника!$F$4:$ABM$4,"Часы",INDEX(Техника!$G$1:$ABN$500,T$2,0),$A$221,INDEX(Техника!$H$1:$ABO$500,T$2,0),"Л")</f>
        <v>0</v>
      </c>
      <c r="U225" s="50">
        <f>SUMIFS(INDEX(Техника!$F$1:$ABM$500,U$2,0),Техника!$F$4:$ABM$4,"Часы",INDEX(Техника!$G$1:$ABN$500,U$2,0),$A$221,INDEX(Техника!$H$1:$ABO$500,U$2,0),"Л")</f>
        <v>0</v>
      </c>
      <c r="V225" s="50">
        <f>SUMIFS(INDEX(Техника!$F$1:$ABM$500,V$2,0),Техника!$F$4:$ABM$4,"Часы",INDEX(Техника!$G$1:$ABN$500,V$2,0),$A$221,INDEX(Техника!$H$1:$ABO$500,V$2,0),"Л")</f>
        <v>0</v>
      </c>
      <c r="W225" s="50">
        <f>SUMIFS(INDEX(Техника!$F$1:$ABM$500,W$2,0),Техника!$F$4:$ABM$4,"Часы",INDEX(Техника!$G$1:$ABN$500,W$2,0),$A$221,INDEX(Техника!$H$1:$ABO$500,W$2,0),"Л")</f>
        <v>0</v>
      </c>
      <c r="X225" s="50">
        <f>SUMIFS(INDEX(Техника!$F$1:$ABM$500,X$2,0),Техника!$F$4:$ABM$4,"Часы",INDEX(Техника!$G$1:$ABN$500,X$2,0),$A$221,INDEX(Техника!$H$1:$ABO$500,X$2,0),"Л")</f>
        <v>0</v>
      </c>
      <c r="Y225" s="50">
        <f>SUMIFS(INDEX(Техника!$F$1:$ABM$500,Y$2,0),Техника!$F$4:$ABM$4,"Часы",INDEX(Техника!$G$1:$ABN$500,Y$2,0),$A$221,INDEX(Техника!$H$1:$ABO$500,Y$2,0),"Л")</f>
        <v>0</v>
      </c>
      <c r="Z225" s="50">
        <f>SUMIFS(INDEX(Техника!$F$1:$ABM$500,Z$2,0),Техника!$F$4:$ABM$4,"Часы",INDEX(Техника!$G$1:$ABN$500,Z$2,0),$A$221,INDEX(Техника!$H$1:$ABO$500,Z$2,0),"Л")</f>
        <v>0</v>
      </c>
      <c r="AA225" s="50">
        <f>SUMIFS(INDEX(Техника!$F$1:$ABM$500,AA$2,0),Техника!$F$4:$ABM$4,"Часы",INDEX(Техника!$G$1:$ABN$500,AA$2,0),$A$221,INDEX(Техника!$H$1:$ABO$500,AA$2,0),"Л")</f>
        <v>0</v>
      </c>
      <c r="AB225" s="50">
        <f>SUMIFS(INDEX(Техника!$F$1:$ABM$500,AB$2,0),Техника!$F$4:$ABM$4,"Часы",INDEX(Техника!$G$1:$ABN$500,AB$2,0),$A$221,INDEX(Техника!$H$1:$ABO$500,AB$2,0),"Л")</f>
        <v>0</v>
      </c>
    </row>
    <row r="226" spans="1:28" hidden="1" outlineLevel="1" x14ac:dyDescent="0.3">
      <c r="A226" s="33" t="s">
        <v>245</v>
      </c>
      <c r="B226" s="34" t="s">
        <v>279</v>
      </c>
      <c r="C226" s="50">
        <f>SUMIFS(INDEX(Техника!$F$1:$ABM$500,C$2,0),Техника!$F$4:$ABM$4,"Часы",INDEX(Техника!$G$1:$ABN$500,C$2,0),$A$221,INDEX(Техника!$H$1:$ABO$500,C$2,0),"З")</f>
        <v>0</v>
      </c>
      <c r="D226" s="50">
        <f>SUMIFS(INDEX(Техника!$F$1:$ABM$500,D$2,0),Техника!$F$4:$ABM$4,"Часы",INDEX(Техника!$G$1:$ABN$500,D$2,0),$A$221,INDEX(Техника!$H$1:$ABO$500,D$2,0),"З")</f>
        <v>0</v>
      </c>
      <c r="E226" s="50">
        <f>SUMIFS(INDEX(Техника!$F$1:$ABM$500,E$2,0),Техника!$F$4:$ABM$4,"Часы",INDEX(Техника!$G$1:$ABN$500,E$2,0),$A$221,INDEX(Техника!$H$1:$ABO$500,E$2,0),"З")</f>
        <v>0</v>
      </c>
      <c r="F226" s="50">
        <f>SUMIFS(INDEX(Техника!$F$1:$ABM$500,F$2,0),Техника!$F$4:$ABM$4,"Часы",INDEX(Техника!$G$1:$ABN$500,F$2,0),$A$221,INDEX(Техника!$H$1:$ABO$500,F$2,0),"З")</f>
        <v>0</v>
      </c>
      <c r="G226" s="50">
        <f>SUMIFS(INDEX(Техника!$F$1:$ABM$500,G$2,0),Техника!$F$4:$ABM$4,"Часы",INDEX(Техника!$G$1:$ABN$500,G$2,0),$A$221,INDEX(Техника!$H$1:$ABO$500,G$2,0),"З")</f>
        <v>0</v>
      </c>
      <c r="H226" s="50">
        <f>SUMIFS(INDEX(Техника!$F$1:$ABM$500,H$2,0),Техника!$F$4:$ABM$4,"Часы",INDEX(Техника!$G$1:$ABN$500,H$2,0),$A$221,INDEX(Техника!$H$1:$ABO$500,H$2,0),"З")</f>
        <v>0</v>
      </c>
      <c r="I226" s="50">
        <f>SUMIFS(INDEX(Техника!$F$1:$ABM$500,I$2,0),Техника!$F$4:$ABM$4,"Часы",INDEX(Техника!$G$1:$ABN$500,I$2,0),$A$221,INDEX(Техника!$H$1:$ABO$500,I$2,0),"З")</f>
        <v>0</v>
      </c>
      <c r="J226" s="50">
        <f>SUMIFS(INDEX(Техника!$F$1:$ABM$500,J$2,0),Техника!$F$4:$ABM$4,"Часы",INDEX(Техника!$G$1:$ABN$500,J$2,0),$A$221,INDEX(Техника!$H$1:$ABO$500,J$2,0),"З")</f>
        <v>0</v>
      </c>
      <c r="K226" s="50">
        <f>SUMIFS(INDEX(Техника!$F$1:$ABM$500,K$2,0),Техника!$F$4:$ABM$4,"Часы",INDEX(Техника!$G$1:$ABN$500,K$2,0),$A$221,INDEX(Техника!$H$1:$ABO$500,K$2,0),"З")</f>
        <v>0</v>
      </c>
      <c r="L226" s="50">
        <f>SUMIFS(INDEX(Техника!$F$1:$ABM$500,L$2,0),Техника!$F$4:$ABM$4,"Часы",INDEX(Техника!$G$1:$ABN$500,L$2,0),$A$221,INDEX(Техника!$H$1:$ABO$500,L$2,0),"З")</f>
        <v>0</v>
      </c>
      <c r="M226" s="50">
        <f>SUMIFS(INDEX(Техника!$F$1:$ABM$500,M$2,0),Техника!$F$4:$ABM$4,"Часы",INDEX(Техника!$G$1:$ABN$500,M$2,0),$A$221,INDEX(Техника!$H$1:$ABO$500,M$2,0),"З")</f>
        <v>0</v>
      </c>
      <c r="N226" s="50">
        <f>SUMIFS(INDEX(Техника!$F$1:$ABM$500,N$2,0),Техника!$F$4:$ABM$4,"Часы",INDEX(Техника!$G$1:$ABN$500,N$2,0),$A$221,INDEX(Техника!$H$1:$ABO$500,N$2,0),"З")</f>
        <v>0</v>
      </c>
      <c r="O226" s="50">
        <f>SUMIFS(INDEX(Техника!$F$1:$ABM$500,O$2,0),Техника!$F$4:$ABM$4,"Часы",INDEX(Техника!$G$1:$ABN$500,O$2,0),$A$221,INDEX(Техника!$H$1:$ABO$500,O$2,0),"З")</f>
        <v>0</v>
      </c>
      <c r="P226" s="50">
        <f>SUMIFS(INDEX(Техника!$F$1:$ABM$500,P$2,0),Техника!$F$4:$ABM$4,"Часы",INDEX(Техника!$G$1:$ABN$500,P$2,0),$A$221,INDEX(Техника!$H$1:$ABO$500,P$2,0),"З")</f>
        <v>0</v>
      </c>
      <c r="Q226" s="50">
        <f>SUMIFS(INDEX(Техника!$F$1:$ABM$500,Q$2,0),Техника!$F$4:$ABM$4,"Часы",INDEX(Техника!$G$1:$ABN$500,Q$2,0),$A$221,INDEX(Техника!$H$1:$ABO$500,Q$2,0),"З")</f>
        <v>0</v>
      </c>
      <c r="R226" s="50">
        <f>SUMIFS(INDEX(Техника!$F$1:$ABM$500,R$2,0),Техника!$F$4:$ABM$4,"Часы",INDEX(Техника!$G$1:$ABN$500,R$2,0),$A$221,INDEX(Техника!$H$1:$ABO$500,R$2,0),"З")</f>
        <v>0</v>
      </c>
      <c r="S226" s="50">
        <f>SUMIFS(INDEX(Техника!$F$1:$ABM$500,S$2,0),Техника!$F$4:$ABM$4,"Часы",INDEX(Техника!$G$1:$ABN$500,S$2,0),$A$221,INDEX(Техника!$H$1:$ABO$500,S$2,0),"З")</f>
        <v>0</v>
      </c>
      <c r="T226" s="50">
        <f>SUMIFS(INDEX(Техника!$F$1:$ABM$500,T$2,0),Техника!$F$4:$ABM$4,"Часы",INDEX(Техника!$G$1:$ABN$500,T$2,0),$A$221,INDEX(Техника!$H$1:$ABO$500,T$2,0),"З")</f>
        <v>0</v>
      </c>
      <c r="U226" s="50">
        <f>SUMIFS(INDEX(Техника!$F$1:$ABM$500,U$2,0),Техника!$F$4:$ABM$4,"Часы",INDEX(Техника!$G$1:$ABN$500,U$2,0),$A$221,INDEX(Техника!$H$1:$ABO$500,U$2,0),"З")</f>
        <v>0</v>
      </c>
      <c r="V226" s="50">
        <f>SUMIFS(INDEX(Техника!$F$1:$ABM$500,V$2,0),Техника!$F$4:$ABM$4,"Часы",INDEX(Техника!$G$1:$ABN$500,V$2,0),$A$221,INDEX(Техника!$H$1:$ABO$500,V$2,0),"З")</f>
        <v>0</v>
      </c>
      <c r="W226" s="50">
        <f>SUMIFS(INDEX(Техника!$F$1:$ABM$500,W$2,0),Техника!$F$4:$ABM$4,"Часы",INDEX(Техника!$G$1:$ABN$500,W$2,0),$A$221,INDEX(Техника!$H$1:$ABO$500,W$2,0),"З")</f>
        <v>0</v>
      </c>
      <c r="X226" s="50">
        <f>SUMIFS(INDEX(Техника!$F$1:$ABM$500,X$2,0),Техника!$F$4:$ABM$4,"Часы",INDEX(Техника!$G$1:$ABN$500,X$2,0),$A$221,INDEX(Техника!$H$1:$ABO$500,X$2,0),"З")</f>
        <v>0</v>
      </c>
      <c r="Y226" s="50">
        <f>SUMIFS(INDEX(Техника!$F$1:$ABM$500,Y$2,0),Техника!$F$4:$ABM$4,"Часы",INDEX(Техника!$G$1:$ABN$500,Y$2,0),$A$221,INDEX(Техника!$H$1:$ABO$500,Y$2,0),"З")</f>
        <v>0</v>
      </c>
      <c r="Z226" s="50">
        <f>SUMIFS(INDEX(Техника!$F$1:$ABM$500,Z$2,0),Техника!$F$4:$ABM$4,"Часы",INDEX(Техника!$G$1:$ABN$500,Z$2,0),$A$221,INDEX(Техника!$H$1:$ABO$500,Z$2,0),"З")</f>
        <v>0</v>
      </c>
      <c r="AA226" s="50">
        <f>SUMIFS(INDEX(Техника!$F$1:$ABM$500,AA$2,0),Техника!$F$4:$ABM$4,"Часы",INDEX(Техника!$G$1:$ABN$500,AA$2,0),$A$221,INDEX(Техника!$H$1:$ABO$500,AA$2,0),"З")</f>
        <v>0</v>
      </c>
      <c r="AB226" s="50">
        <f>SUMIFS(INDEX(Техника!$F$1:$ABM$500,AB$2,0),Техника!$F$4:$ABM$4,"Часы",INDEX(Техника!$G$1:$ABN$500,AB$2,0),$A$221,INDEX(Техника!$H$1:$ABO$500,AB$2,0),"З")</f>
        <v>0</v>
      </c>
    </row>
    <row r="227" spans="1:28" ht="7.95" customHeight="1" x14ac:dyDescent="0.3">
      <c r="A227" s="38"/>
      <c r="B227" s="39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 spans="1:28" ht="25.05" customHeight="1" collapsed="1" x14ac:dyDescent="0.3">
      <c r="A228" s="32">
        <v>33</v>
      </c>
      <c r="B228" s="32" t="s">
        <v>34</v>
      </c>
      <c r="C228" s="49">
        <f>SUM(C229:C233)</f>
        <v>0</v>
      </c>
      <c r="D228" s="49">
        <f>SUM(D229:D233)</f>
        <v>0</v>
      </c>
      <c r="E228" s="49">
        <f>SUM(E229:E233)</f>
        <v>0</v>
      </c>
      <c r="F228" s="49">
        <f>SUM(F229:F233)</f>
        <v>0</v>
      </c>
      <c r="G228" s="49">
        <f>SUM(G229:G233)</f>
        <v>0</v>
      </c>
      <c r="H228" s="49">
        <f>SUM(H229:H233)</f>
        <v>0</v>
      </c>
      <c r="I228" s="49">
        <f>SUM(I229:I233)</f>
        <v>0</v>
      </c>
      <c r="J228" s="49">
        <f>SUM(J229:J233)</f>
        <v>0</v>
      </c>
      <c r="K228" s="49">
        <f>SUM(K229:K233)</f>
        <v>0</v>
      </c>
      <c r="L228" s="49">
        <f>SUM(L229:L233)</f>
        <v>0</v>
      </c>
      <c r="M228" s="49">
        <f>SUM(M229:M233)</f>
        <v>0</v>
      </c>
      <c r="N228" s="49">
        <f>SUM(N229:N233)</f>
        <v>0</v>
      </c>
      <c r="O228" s="49">
        <f>SUM(O229:O233)</f>
        <v>0</v>
      </c>
      <c r="P228" s="49">
        <f>SUM(P229:P233)</f>
        <v>0</v>
      </c>
      <c r="Q228" s="49">
        <f>SUM(Q229:Q233)</f>
        <v>0</v>
      </c>
      <c r="R228" s="49">
        <f>SUM(R229:R233)</f>
        <v>0</v>
      </c>
      <c r="S228" s="49">
        <f>SUM(S229:S233)</f>
        <v>0</v>
      </c>
      <c r="T228" s="49">
        <f>SUM(T229:T233)</f>
        <v>0</v>
      </c>
      <c r="U228" s="49">
        <f>SUM(U229:U233)</f>
        <v>0</v>
      </c>
      <c r="V228" s="49">
        <f>SUM(V229:V233)</f>
        <v>0</v>
      </c>
      <c r="W228" s="49">
        <f>SUM(W229:W233)</f>
        <v>0</v>
      </c>
      <c r="X228" s="49">
        <f>SUM(X229:X233)</f>
        <v>0</v>
      </c>
      <c r="Y228" s="49">
        <f>SUM(Y229:Y233)</f>
        <v>0</v>
      </c>
      <c r="Z228" s="49">
        <f>SUM(Z229:Z233)</f>
        <v>0</v>
      </c>
      <c r="AA228" s="49">
        <f>SUM(AA229:AA233)</f>
        <v>0</v>
      </c>
      <c r="AB228" s="49">
        <f>SUM(AB229:AB233)</f>
        <v>0</v>
      </c>
    </row>
    <row r="229" spans="1:28" hidden="1" outlineLevel="1" x14ac:dyDescent="0.3">
      <c r="A229" s="33" t="s">
        <v>246</v>
      </c>
      <c r="B229" s="34" t="s">
        <v>274</v>
      </c>
      <c r="C229" s="50">
        <f>SUMIFS(INDEX(Техника!$F$1:$ABM$500,C$2,0),Техника!$F$4:$ABM$4,"Часы",INDEX(Техника!$G$1:$ABN$500,C$2,0),$A$228,INDEX(Техника!$H$1:$ABO$500,C$2,0),"М")</f>
        <v>0</v>
      </c>
      <c r="D229" s="50">
        <f>SUMIFS(INDEX(Техника!$F$1:$ABM$500,D$2,0),Техника!$F$4:$ABM$4,"Часы",INDEX(Техника!$G$1:$ABN$500,D$2,0),$A$228,INDEX(Техника!$H$1:$ABO$500,D$2,0),"М")</f>
        <v>0</v>
      </c>
      <c r="E229" s="50">
        <f>SUMIFS(INDEX(Техника!$F$1:$ABM$500,E$2,0),Техника!$F$4:$ABM$4,"Часы",INDEX(Техника!$G$1:$ABN$500,E$2,0),$A$228,INDEX(Техника!$H$1:$ABO$500,E$2,0),"М")</f>
        <v>0</v>
      </c>
      <c r="F229" s="50">
        <f>SUMIFS(INDEX(Техника!$F$1:$ABM$500,F$2,0),Техника!$F$4:$ABM$4,"Часы",INDEX(Техника!$G$1:$ABN$500,F$2,0),$A$228,INDEX(Техника!$H$1:$ABO$500,F$2,0),"М")</f>
        <v>0</v>
      </c>
      <c r="G229" s="50">
        <f>SUMIFS(INDEX(Техника!$F$1:$ABM$500,G$2,0),Техника!$F$4:$ABM$4,"Часы",INDEX(Техника!$G$1:$ABN$500,G$2,0),$A$228,INDEX(Техника!$H$1:$ABO$500,G$2,0),"М")</f>
        <v>0</v>
      </c>
      <c r="H229" s="50">
        <f>SUMIFS(INDEX(Техника!$F$1:$ABM$500,H$2,0),Техника!$F$4:$ABM$4,"Часы",INDEX(Техника!$G$1:$ABN$500,H$2,0),$A$228,INDEX(Техника!$H$1:$ABO$500,H$2,0),"М")</f>
        <v>0</v>
      </c>
      <c r="I229" s="50">
        <f>SUMIFS(INDEX(Техника!$F$1:$ABM$500,I$2,0),Техника!$F$4:$ABM$4,"Часы",INDEX(Техника!$G$1:$ABN$500,I$2,0),$A$228,INDEX(Техника!$H$1:$ABO$500,I$2,0),"М")</f>
        <v>0</v>
      </c>
      <c r="J229" s="50">
        <f>SUMIFS(INDEX(Техника!$F$1:$ABM$500,J$2,0),Техника!$F$4:$ABM$4,"Часы",INDEX(Техника!$G$1:$ABN$500,J$2,0),$A$228,INDEX(Техника!$H$1:$ABO$500,J$2,0),"М")</f>
        <v>0</v>
      </c>
      <c r="K229" s="50">
        <f>SUMIFS(INDEX(Техника!$F$1:$ABM$500,K$2,0),Техника!$F$4:$ABM$4,"Часы",INDEX(Техника!$G$1:$ABN$500,K$2,0),$A$228,INDEX(Техника!$H$1:$ABO$500,K$2,0),"М")</f>
        <v>0</v>
      </c>
      <c r="L229" s="50">
        <f>SUMIFS(INDEX(Техника!$F$1:$ABM$500,L$2,0),Техника!$F$4:$ABM$4,"Часы",INDEX(Техника!$G$1:$ABN$500,L$2,0),$A$228,INDEX(Техника!$H$1:$ABO$500,L$2,0),"М")</f>
        <v>0</v>
      </c>
      <c r="M229" s="50">
        <f>SUMIFS(INDEX(Техника!$F$1:$ABM$500,M$2,0),Техника!$F$4:$ABM$4,"Часы",INDEX(Техника!$G$1:$ABN$500,M$2,0),$A$228,INDEX(Техника!$H$1:$ABO$500,M$2,0),"М")</f>
        <v>0</v>
      </c>
      <c r="N229" s="50">
        <f>SUMIFS(INDEX(Техника!$F$1:$ABM$500,N$2,0),Техника!$F$4:$ABM$4,"Часы",INDEX(Техника!$G$1:$ABN$500,N$2,0),$A$228,INDEX(Техника!$H$1:$ABO$500,N$2,0),"М")</f>
        <v>0</v>
      </c>
      <c r="O229" s="50">
        <f>SUMIFS(INDEX(Техника!$F$1:$ABM$500,O$2,0),Техника!$F$4:$ABM$4,"Часы",INDEX(Техника!$G$1:$ABN$500,O$2,0),$A$228,INDEX(Техника!$H$1:$ABO$500,O$2,0),"М")</f>
        <v>0</v>
      </c>
      <c r="P229" s="50">
        <f>SUMIFS(INDEX(Техника!$F$1:$ABM$500,P$2,0),Техника!$F$4:$ABM$4,"Часы",INDEX(Техника!$G$1:$ABN$500,P$2,0),$A$228,INDEX(Техника!$H$1:$ABO$500,P$2,0),"М")</f>
        <v>0</v>
      </c>
      <c r="Q229" s="50">
        <f>SUMIFS(INDEX(Техника!$F$1:$ABM$500,Q$2,0),Техника!$F$4:$ABM$4,"Часы",INDEX(Техника!$G$1:$ABN$500,Q$2,0),$A$228,INDEX(Техника!$H$1:$ABO$500,Q$2,0),"М")</f>
        <v>0</v>
      </c>
      <c r="R229" s="50">
        <f>SUMIFS(INDEX(Техника!$F$1:$ABM$500,R$2,0),Техника!$F$4:$ABM$4,"Часы",INDEX(Техника!$G$1:$ABN$500,R$2,0),$A$228,INDEX(Техника!$H$1:$ABO$500,R$2,0),"М")</f>
        <v>0</v>
      </c>
      <c r="S229" s="50">
        <f>SUMIFS(INDEX(Техника!$F$1:$ABM$500,S$2,0),Техника!$F$4:$ABM$4,"Часы",INDEX(Техника!$G$1:$ABN$500,S$2,0),$A$228,INDEX(Техника!$H$1:$ABO$500,S$2,0),"М")</f>
        <v>0</v>
      </c>
      <c r="T229" s="50">
        <f>SUMIFS(INDEX(Техника!$F$1:$ABM$500,T$2,0),Техника!$F$4:$ABM$4,"Часы",INDEX(Техника!$G$1:$ABN$500,T$2,0),$A$228,INDEX(Техника!$H$1:$ABO$500,T$2,0),"М")</f>
        <v>0</v>
      </c>
      <c r="U229" s="50">
        <f>SUMIFS(INDEX(Техника!$F$1:$ABM$500,U$2,0),Техника!$F$4:$ABM$4,"Часы",INDEX(Техника!$G$1:$ABN$500,U$2,0),$A$228,INDEX(Техника!$H$1:$ABO$500,U$2,0),"М")</f>
        <v>0</v>
      </c>
      <c r="V229" s="50">
        <f>SUMIFS(INDEX(Техника!$F$1:$ABM$500,V$2,0),Техника!$F$4:$ABM$4,"Часы",INDEX(Техника!$G$1:$ABN$500,V$2,0),$A$228,INDEX(Техника!$H$1:$ABO$500,V$2,0),"М")</f>
        <v>0</v>
      </c>
      <c r="W229" s="50">
        <f>SUMIFS(INDEX(Техника!$F$1:$ABM$500,W$2,0),Техника!$F$4:$ABM$4,"Часы",INDEX(Техника!$G$1:$ABN$500,W$2,0),$A$228,INDEX(Техника!$H$1:$ABO$500,W$2,0),"М")</f>
        <v>0</v>
      </c>
      <c r="X229" s="50">
        <f>SUMIFS(INDEX(Техника!$F$1:$ABM$500,X$2,0),Техника!$F$4:$ABM$4,"Часы",INDEX(Техника!$G$1:$ABN$500,X$2,0),$A$228,INDEX(Техника!$H$1:$ABO$500,X$2,0),"М")</f>
        <v>0</v>
      </c>
      <c r="Y229" s="50">
        <f>SUMIFS(INDEX(Техника!$F$1:$ABM$500,Y$2,0),Техника!$F$4:$ABM$4,"Часы",INDEX(Техника!$G$1:$ABN$500,Y$2,0),$A$228,INDEX(Техника!$H$1:$ABO$500,Y$2,0),"М")</f>
        <v>0</v>
      </c>
      <c r="Z229" s="50">
        <f>SUMIFS(INDEX(Техника!$F$1:$ABM$500,Z$2,0),Техника!$F$4:$ABM$4,"Часы",INDEX(Техника!$G$1:$ABN$500,Z$2,0),$A$228,INDEX(Техника!$H$1:$ABO$500,Z$2,0),"М")</f>
        <v>0</v>
      </c>
      <c r="AA229" s="50">
        <f>SUMIFS(INDEX(Техника!$F$1:$ABM$500,AA$2,0),Техника!$F$4:$ABM$4,"Часы",INDEX(Техника!$G$1:$ABN$500,AA$2,0),$A$228,INDEX(Техника!$H$1:$ABO$500,AA$2,0),"М")</f>
        <v>0</v>
      </c>
      <c r="AB229" s="50">
        <f>SUMIFS(INDEX(Техника!$F$1:$ABM$500,AB$2,0),Техника!$F$4:$ABM$4,"Часы",INDEX(Техника!$G$1:$ABN$500,AB$2,0),$A$228,INDEX(Техника!$H$1:$ABO$500,AB$2,0),"М")</f>
        <v>0</v>
      </c>
    </row>
    <row r="230" spans="1:28" hidden="1" outlineLevel="1" x14ac:dyDescent="0.3">
      <c r="A230" s="33" t="s">
        <v>244</v>
      </c>
      <c r="B230" s="34" t="s">
        <v>275</v>
      </c>
      <c r="C230" s="50">
        <f>SUMIFS(INDEX(Техника!$F$1:$ABM$500,C$2,0),Техника!$F$4:$ABM$4,"Часы",INDEX(Техника!$G$1:$ABN$500,C$2,0),$A$228,INDEX(Техника!$H$1:$ABO$500,C$2,0),"Д")</f>
        <v>0</v>
      </c>
      <c r="D230" s="50">
        <f>SUMIFS(INDEX(Техника!$F$1:$ABM$500,D$2,0),Техника!$F$4:$ABM$4,"Часы",INDEX(Техника!$G$1:$ABN$500,D$2,0),$A$228,INDEX(Техника!$H$1:$ABO$500,D$2,0),"Д")</f>
        <v>0</v>
      </c>
      <c r="E230" s="50">
        <f>SUMIFS(INDEX(Техника!$F$1:$ABM$500,E$2,0),Техника!$F$4:$ABM$4,"Часы",INDEX(Техника!$G$1:$ABN$500,E$2,0),$A$228,INDEX(Техника!$H$1:$ABO$500,E$2,0),"Д")</f>
        <v>0</v>
      </c>
      <c r="F230" s="50">
        <f>SUMIFS(INDEX(Техника!$F$1:$ABM$500,F$2,0),Техника!$F$4:$ABM$4,"Часы",INDEX(Техника!$G$1:$ABN$500,F$2,0),$A$228,INDEX(Техника!$H$1:$ABO$500,F$2,0),"Д")</f>
        <v>0</v>
      </c>
      <c r="G230" s="50">
        <f>SUMIFS(INDEX(Техника!$F$1:$ABM$500,G$2,0),Техника!$F$4:$ABM$4,"Часы",INDEX(Техника!$G$1:$ABN$500,G$2,0),$A$228,INDEX(Техника!$H$1:$ABO$500,G$2,0),"Д")</f>
        <v>0</v>
      </c>
      <c r="H230" s="50">
        <f>SUMIFS(INDEX(Техника!$F$1:$ABM$500,H$2,0),Техника!$F$4:$ABM$4,"Часы",INDEX(Техника!$G$1:$ABN$500,H$2,0),$A$228,INDEX(Техника!$H$1:$ABO$500,H$2,0),"Д")</f>
        <v>0</v>
      </c>
      <c r="I230" s="50">
        <f>SUMIFS(INDEX(Техника!$F$1:$ABM$500,I$2,0),Техника!$F$4:$ABM$4,"Часы",INDEX(Техника!$G$1:$ABN$500,I$2,0),$A$228,INDEX(Техника!$H$1:$ABO$500,I$2,0),"Д")</f>
        <v>0</v>
      </c>
      <c r="J230" s="50">
        <f>SUMIFS(INDEX(Техника!$F$1:$ABM$500,J$2,0),Техника!$F$4:$ABM$4,"Часы",INDEX(Техника!$G$1:$ABN$500,J$2,0),$A$228,INDEX(Техника!$H$1:$ABO$500,J$2,0),"Д")</f>
        <v>0</v>
      </c>
      <c r="K230" s="50">
        <f>SUMIFS(INDEX(Техника!$F$1:$ABM$500,K$2,0),Техника!$F$4:$ABM$4,"Часы",INDEX(Техника!$G$1:$ABN$500,K$2,0),$A$228,INDEX(Техника!$H$1:$ABO$500,K$2,0),"Д")</f>
        <v>0</v>
      </c>
      <c r="L230" s="50">
        <f>SUMIFS(INDEX(Техника!$F$1:$ABM$500,L$2,0),Техника!$F$4:$ABM$4,"Часы",INDEX(Техника!$G$1:$ABN$500,L$2,0),$A$228,INDEX(Техника!$H$1:$ABO$500,L$2,0),"Д")</f>
        <v>0</v>
      </c>
      <c r="M230" s="50">
        <f>SUMIFS(INDEX(Техника!$F$1:$ABM$500,M$2,0),Техника!$F$4:$ABM$4,"Часы",INDEX(Техника!$G$1:$ABN$500,M$2,0),$A$228,INDEX(Техника!$H$1:$ABO$500,M$2,0),"Д")</f>
        <v>0</v>
      </c>
      <c r="N230" s="50">
        <f>SUMIFS(INDEX(Техника!$F$1:$ABM$500,N$2,0),Техника!$F$4:$ABM$4,"Часы",INDEX(Техника!$G$1:$ABN$500,N$2,0),$A$228,INDEX(Техника!$H$1:$ABO$500,N$2,0),"Д")</f>
        <v>0</v>
      </c>
      <c r="O230" s="50">
        <f>SUMIFS(INDEX(Техника!$F$1:$ABM$500,O$2,0),Техника!$F$4:$ABM$4,"Часы",INDEX(Техника!$G$1:$ABN$500,O$2,0),$A$228,INDEX(Техника!$H$1:$ABO$500,O$2,0),"Д")</f>
        <v>0</v>
      </c>
      <c r="P230" s="50">
        <f>SUMIFS(INDEX(Техника!$F$1:$ABM$500,P$2,0),Техника!$F$4:$ABM$4,"Часы",INDEX(Техника!$G$1:$ABN$500,P$2,0),$A$228,INDEX(Техника!$H$1:$ABO$500,P$2,0),"Д")</f>
        <v>0</v>
      </c>
      <c r="Q230" s="50">
        <f>SUMIFS(INDEX(Техника!$F$1:$ABM$500,Q$2,0),Техника!$F$4:$ABM$4,"Часы",INDEX(Техника!$G$1:$ABN$500,Q$2,0),$A$228,INDEX(Техника!$H$1:$ABO$500,Q$2,0),"Д")</f>
        <v>0</v>
      </c>
      <c r="R230" s="50">
        <f>SUMIFS(INDEX(Техника!$F$1:$ABM$500,R$2,0),Техника!$F$4:$ABM$4,"Часы",INDEX(Техника!$G$1:$ABN$500,R$2,0),$A$228,INDEX(Техника!$H$1:$ABO$500,R$2,0),"Д")</f>
        <v>0</v>
      </c>
      <c r="S230" s="50">
        <f>SUMIFS(INDEX(Техника!$F$1:$ABM$500,S$2,0),Техника!$F$4:$ABM$4,"Часы",INDEX(Техника!$G$1:$ABN$500,S$2,0),$A$228,INDEX(Техника!$H$1:$ABO$500,S$2,0),"Д")</f>
        <v>0</v>
      </c>
      <c r="T230" s="50">
        <f>SUMIFS(INDEX(Техника!$F$1:$ABM$500,T$2,0),Техника!$F$4:$ABM$4,"Часы",INDEX(Техника!$G$1:$ABN$500,T$2,0),$A$228,INDEX(Техника!$H$1:$ABO$500,T$2,0),"Д")</f>
        <v>0</v>
      </c>
      <c r="U230" s="50">
        <f>SUMIFS(INDEX(Техника!$F$1:$ABM$500,U$2,0),Техника!$F$4:$ABM$4,"Часы",INDEX(Техника!$G$1:$ABN$500,U$2,0),$A$228,INDEX(Техника!$H$1:$ABO$500,U$2,0),"Д")</f>
        <v>0</v>
      </c>
      <c r="V230" s="50">
        <f>SUMIFS(INDEX(Техника!$F$1:$ABM$500,V$2,0),Техника!$F$4:$ABM$4,"Часы",INDEX(Техника!$G$1:$ABN$500,V$2,0),$A$228,INDEX(Техника!$H$1:$ABO$500,V$2,0),"Д")</f>
        <v>0</v>
      </c>
      <c r="W230" s="50">
        <f>SUMIFS(INDEX(Техника!$F$1:$ABM$500,W$2,0),Техника!$F$4:$ABM$4,"Часы",INDEX(Техника!$G$1:$ABN$500,W$2,0),$A$228,INDEX(Техника!$H$1:$ABO$500,W$2,0),"Д")</f>
        <v>0</v>
      </c>
      <c r="X230" s="50">
        <f>SUMIFS(INDEX(Техника!$F$1:$ABM$500,X$2,0),Техника!$F$4:$ABM$4,"Часы",INDEX(Техника!$G$1:$ABN$500,X$2,0),$A$228,INDEX(Техника!$H$1:$ABO$500,X$2,0),"Д")</f>
        <v>0</v>
      </c>
      <c r="Y230" s="50">
        <f>SUMIFS(INDEX(Техника!$F$1:$ABM$500,Y$2,0),Техника!$F$4:$ABM$4,"Часы",INDEX(Техника!$G$1:$ABN$500,Y$2,0),$A$228,INDEX(Техника!$H$1:$ABO$500,Y$2,0),"Д")</f>
        <v>0</v>
      </c>
      <c r="Z230" s="50">
        <f>SUMIFS(INDEX(Техника!$F$1:$ABM$500,Z$2,0),Техника!$F$4:$ABM$4,"Часы",INDEX(Техника!$G$1:$ABN$500,Z$2,0),$A$228,INDEX(Техника!$H$1:$ABO$500,Z$2,0),"Д")</f>
        <v>0</v>
      </c>
      <c r="AA230" s="50">
        <f>SUMIFS(INDEX(Техника!$F$1:$ABM$500,AA$2,0),Техника!$F$4:$ABM$4,"Часы",INDEX(Техника!$G$1:$ABN$500,AA$2,0),$A$228,INDEX(Техника!$H$1:$ABO$500,AA$2,0),"Д")</f>
        <v>0</v>
      </c>
      <c r="AB230" s="50">
        <f>SUMIFS(INDEX(Техника!$F$1:$ABM$500,AB$2,0),Техника!$F$4:$ABM$4,"Часы",INDEX(Техника!$G$1:$ABN$500,AB$2,0),$A$228,INDEX(Техника!$H$1:$ABO$500,AB$2,0),"Д")</f>
        <v>0</v>
      </c>
    </row>
    <row r="231" spans="1:28" hidden="1" outlineLevel="1" x14ac:dyDescent="0.3">
      <c r="A231" s="33" t="s">
        <v>276</v>
      </c>
      <c r="B231" s="34" t="s">
        <v>277</v>
      </c>
      <c r="C231" s="50">
        <f>SUMIFS(INDEX(Техника!$F$1:$ABM$500,C$2,0),Техника!$F$4:$ABM$4,"Часы",INDEX(Техника!$G$1:$ABN$500,C$2,0),$A$228,INDEX(Техника!$H$1:$ABO$500,C$2,0),"П")</f>
        <v>0</v>
      </c>
      <c r="D231" s="50">
        <f>SUMIFS(INDEX(Техника!$F$1:$ABM$500,D$2,0),Техника!$F$4:$ABM$4,"Часы",INDEX(Техника!$G$1:$ABN$500,D$2,0),$A$228,INDEX(Техника!$H$1:$ABO$500,D$2,0),"П")</f>
        <v>0</v>
      </c>
      <c r="E231" s="50">
        <f>SUMIFS(INDEX(Техника!$F$1:$ABM$500,E$2,0),Техника!$F$4:$ABM$4,"Часы",INDEX(Техника!$G$1:$ABN$500,E$2,0),$A$228,INDEX(Техника!$H$1:$ABO$500,E$2,0),"П")</f>
        <v>0</v>
      </c>
      <c r="F231" s="50">
        <f>SUMIFS(INDEX(Техника!$F$1:$ABM$500,F$2,0),Техника!$F$4:$ABM$4,"Часы",INDEX(Техника!$G$1:$ABN$500,F$2,0),$A$228,INDEX(Техника!$H$1:$ABO$500,F$2,0),"П")</f>
        <v>0</v>
      </c>
      <c r="G231" s="50">
        <f>SUMIFS(INDEX(Техника!$F$1:$ABM$500,G$2,0),Техника!$F$4:$ABM$4,"Часы",INDEX(Техника!$G$1:$ABN$500,G$2,0),$A$228,INDEX(Техника!$H$1:$ABO$500,G$2,0),"П")</f>
        <v>0</v>
      </c>
      <c r="H231" s="50">
        <f>SUMIFS(INDEX(Техника!$F$1:$ABM$500,H$2,0),Техника!$F$4:$ABM$4,"Часы",INDEX(Техника!$G$1:$ABN$500,H$2,0),$A$228,INDEX(Техника!$H$1:$ABO$500,H$2,0),"П")</f>
        <v>0</v>
      </c>
      <c r="I231" s="50">
        <f>SUMIFS(INDEX(Техника!$F$1:$ABM$500,I$2,0),Техника!$F$4:$ABM$4,"Часы",INDEX(Техника!$G$1:$ABN$500,I$2,0),$A$228,INDEX(Техника!$H$1:$ABO$500,I$2,0),"П")</f>
        <v>0</v>
      </c>
      <c r="J231" s="50">
        <f>SUMIFS(INDEX(Техника!$F$1:$ABM$500,J$2,0),Техника!$F$4:$ABM$4,"Часы",INDEX(Техника!$G$1:$ABN$500,J$2,0),$A$228,INDEX(Техника!$H$1:$ABO$500,J$2,0),"П")</f>
        <v>0</v>
      </c>
      <c r="K231" s="50">
        <f>SUMIFS(INDEX(Техника!$F$1:$ABM$500,K$2,0),Техника!$F$4:$ABM$4,"Часы",INDEX(Техника!$G$1:$ABN$500,K$2,0),$A$228,INDEX(Техника!$H$1:$ABO$500,K$2,0),"П")</f>
        <v>0</v>
      </c>
      <c r="L231" s="50">
        <f>SUMIFS(INDEX(Техника!$F$1:$ABM$500,L$2,0),Техника!$F$4:$ABM$4,"Часы",INDEX(Техника!$G$1:$ABN$500,L$2,0),$A$228,INDEX(Техника!$H$1:$ABO$500,L$2,0),"П")</f>
        <v>0</v>
      </c>
      <c r="M231" s="50">
        <f>SUMIFS(INDEX(Техника!$F$1:$ABM$500,M$2,0),Техника!$F$4:$ABM$4,"Часы",INDEX(Техника!$G$1:$ABN$500,M$2,0),$A$228,INDEX(Техника!$H$1:$ABO$500,M$2,0),"П")</f>
        <v>0</v>
      </c>
      <c r="N231" s="50">
        <f>SUMIFS(INDEX(Техника!$F$1:$ABM$500,N$2,0),Техника!$F$4:$ABM$4,"Часы",INDEX(Техника!$G$1:$ABN$500,N$2,0),$A$228,INDEX(Техника!$H$1:$ABO$500,N$2,0),"П")</f>
        <v>0</v>
      </c>
      <c r="O231" s="50">
        <f>SUMIFS(INDEX(Техника!$F$1:$ABM$500,O$2,0),Техника!$F$4:$ABM$4,"Часы",INDEX(Техника!$G$1:$ABN$500,O$2,0),$A$228,INDEX(Техника!$H$1:$ABO$500,O$2,0),"П")</f>
        <v>0</v>
      </c>
      <c r="P231" s="50">
        <f>SUMIFS(INDEX(Техника!$F$1:$ABM$500,P$2,0),Техника!$F$4:$ABM$4,"Часы",INDEX(Техника!$G$1:$ABN$500,P$2,0),$A$228,INDEX(Техника!$H$1:$ABO$500,P$2,0),"П")</f>
        <v>0</v>
      </c>
      <c r="Q231" s="50">
        <f>SUMIFS(INDEX(Техника!$F$1:$ABM$500,Q$2,0),Техника!$F$4:$ABM$4,"Часы",INDEX(Техника!$G$1:$ABN$500,Q$2,0),$A$228,INDEX(Техника!$H$1:$ABO$500,Q$2,0),"П")</f>
        <v>0</v>
      </c>
      <c r="R231" s="50">
        <f>SUMIFS(INDEX(Техника!$F$1:$ABM$500,R$2,0),Техника!$F$4:$ABM$4,"Часы",INDEX(Техника!$G$1:$ABN$500,R$2,0),$A$228,INDEX(Техника!$H$1:$ABO$500,R$2,0),"П")</f>
        <v>0</v>
      </c>
      <c r="S231" s="50">
        <f>SUMIFS(INDEX(Техника!$F$1:$ABM$500,S$2,0),Техника!$F$4:$ABM$4,"Часы",INDEX(Техника!$G$1:$ABN$500,S$2,0),$A$228,INDEX(Техника!$H$1:$ABO$500,S$2,0),"П")</f>
        <v>0</v>
      </c>
      <c r="T231" s="50">
        <f>SUMIFS(INDEX(Техника!$F$1:$ABM$500,T$2,0),Техника!$F$4:$ABM$4,"Часы",INDEX(Техника!$G$1:$ABN$500,T$2,0),$A$228,INDEX(Техника!$H$1:$ABO$500,T$2,0),"П")</f>
        <v>0</v>
      </c>
      <c r="U231" s="50">
        <f>SUMIFS(INDEX(Техника!$F$1:$ABM$500,U$2,0),Техника!$F$4:$ABM$4,"Часы",INDEX(Техника!$G$1:$ABN$500,U$2,0),$A$228,INDEX(Техника!$H$1:$ABO$500,U$2,0),"П")</f>
        <v>0</v>
      </c>
      <c r="V231" s="50">
        <f>SUMIFS(INDEX(Техника!$F$1:$ABM$500,V$2,0),Техника!$F$4:$ABM$4,"Часы",INDEX(Техника!$G$1:$ABN$500,V$2,0),$A$228,INDEX(Техника!$H$1:$ABO$500,V$2,0),"П")</f>
        <v>0</v>
      </c>
      <c r="W231" s="50">
        <f>SUMIFS(INDEX(Техника!$F$1:$ABM$500,W$2,0),Техника!$F$4:$ABM$4,"Часы",INDEX(Техника!$G$1:$ABN$500,W$2,0),$A$228,INDEX(Техника!$H$1:$ABO$500,W$2,0),"П")</f>
        <v>0</v>
      </c>
      <c r="X231" s="50">
        <f>SUMIFS(INDEX(Техника!$F$1:$ABM$500,X$2,0),Техника!$F$4:$ABM$4,"Часы",INDEX(Техника!$G$1:$ABN$500,X$2,0),$A$228,INDEX(Техника!$H$1:$ABO$500,X$2,0),"П")</f>
        <v>0</v>
      </c>
      <c r="Y231" s="50">
        <f>SUMIFS(INDEX(Техника!$F$1:$ABM$500,Y$2,0),Техника!$F$4:$ABM$4,"Часы",INDEX(Техника!$G$1:$ABN$500,Y$2,0),$A$228,INDEX(Техника!$H$1:$ABO$500,Y$2,0),"П")</f>
        <v>0</v>
      </c>
      <c r="Z231" s="50">
        <f>SUMIFS(INDEX(Техника!$F$1:$ABM$500,Z$2,0),Техника!$F$4:$ABM$4,"Часы",INDEX(Техника!$G$1:$ABN$500,Z$2,0),$A$228,INDEX(Техника!$H$1:$ABO$500,Z$2,0),"П")</f>
        <v>0</v>
      </c>
      <c r="AA231" s="50">
        <f>SUMIFS(INDEX(Техника!$F$1:$ABM$500,AA$2,0),Техника!$F$4:$ABM$4,"Часы",INDEX(Техника!$G$1:$ABN$500,AA$2,0),$A$228,INDEX(Техника!$H$1:$ABO$500,AA$2,0),"П")</f>
        <v>0</v>
      </c>
      <c r="AB231" s="50">
        <f>SUMIFS(INDEX(Техника!$F$1:$ABM$500,AB$2,0),Техника!$F$4:$ABM$4,"Часы",INDEX(Техника!$G$1:$ABN$500,AB$2,0),$A$228,INDEX(Техника!$H$1:$ABO$500,AB$2,0),"П")</f>
        <v>0</v>
      </c>
    </row>
    <row r="232" spans="1:28" hidden="1" outlineLevel="1" x14ac:dyDescent="0.3">
      <c r="A232" s="33" t="s">
        <v>243</v>
      </c>
      <c r="B232" s="34" t="s">
        <v>278</v>
      </c>
      <c r="C232" s="50">
        <f>SUMIFS(INDEX(Техника!$F$1:$ABM$500,C$2,0),Техника!$F$4:$ABM$4,"Часы",INDEX(Техника!$G$1:$ABN$500,C$2,0),$A$228,INDEX(Техника!$H$1:$ABO$500,C$2,0),"Л")</f>
        <v>0</v>
      </c>
      <c r="D232" s="50">
        <f>SUMIFS(INDEX(Техника!$F$1:$ABM$500,D$2,0),Техника!$F$4:$ABM$4,"Часы",INDEX(Техника!$G$1:$ABN$500,D$2,0),$A$228,INDEX(Техника!$H$1:$ABO$500,D$2,0),"Л")</f>
        <v>0</v>
      </c>
      <c r="E232" s="50">
        <f>SUMIFS(INDEX(Техника!$F$1:$ABM$500,E$2,0),Техника!$F$4:$ABM$4,"Часы",INDEX(Техника!$G$1:$ABN$500,E$2,0),$A$228,INDEX(Техника!$H$1:$ABO$500,E$2,0),"Л")</f>
        <v>0</v>
      </c>
      <c r="F232" s="50">
        <f>SUMIFS(INDEX(Техника!$F$1:$ABM$500,F$2,0),Техника!$F$4:$ABM$4,"Часы",INDEX(Техника!$G$1:$ABN$500,F$2,0),$A$228,INDEX(Техника!$H$1:$ABO$500,F$2,0),"Л")</f>
        <v>0</v>
      </c>
      <c r="G232" s="50">
        <f>SUMIFS(INDEX(Техника!$F$1:$ABM$500,G$2,0),Техника!$F$4:$ABM$4,"Часы",INDEX(Техника!$G$1:$ABN$500,G$2,0),$A$228,INDEX(Техника!$H$1:$ABO$500,G$2,0),"Л")</f>
        <v>0</v>
      </c>
      <c r="H232" s="50">
        <f>SUMIFS(INDEX(Техника!$F$1:$ABM$500,H$2,0),Техника!$F$4:$ABM$4,"Часы",INDEX(Техника!$G$1:$ABN$500,H$2,0),$A$228,INDEX(Техника!$H$1:$ABO$500,H$2,0),"Л")</f>
        <v>0</v>
      </c>
      <c r="I232" s="50">
        <f>SUMIFS(INDEX(Техника!$F$1:$ABM$500,I$2,0),Техника!$F$4:$ABM$4,"Часы",INDEX(Техника!$G$1:$ABN$500,I$2,0),$A$228,INDEX(Техника!$H$1:$ABO$500,I$2,0),"Л")</f>
        <v>0</v>
      </c>
      <c r="J232" s="50">
        <f>SUMIFS(INDEX(Техника!$F$1:$ABM$500,J$2,0),Техника!$F$4:$ABM$4,"Часы",INDEX(Техника!$G$1:$ABN$500,J$2,0),$A$228,INDEX(Техника!$H$1:$ABO$500,J$2,0),"Л")</f>
        <v>0</v>
      </c>
      <c r="K232" s="50">
        <f>SUMIFS(INDEX(Техника!$F$1:$ABM$500,K$2,0),Техника!$F$4:$ABM$4,"Часы",INDEX(Техника!$G$1:$ABN$500,K$2,0),$A$228,INDEX(Техника!$H$1:$ABO$500,K$2,0),"Л")</f>
        <v>0</v>
      </c>
      <c r="L232" s="50">
        <f>SUMIFS(INDEX(Техника!$F$1:$ABM$500,L$2,0),Техника!$F$4:$ABM$4,"Часы",INDEX(Техника!$G$1:$ABN$500,L$2,0),$A$228,INDEX(Техника!$H$1:$ABO$500,L$2,0),"Л")</f>
        <v>0</v>
      </c>
      <c r="M232" s="50">
        <f>SUMIFS(INDEX(Техника!$F$1:$ABM$500,M$2,0),Техника!$F$4:$ABM$4,"Часы",INDEX(Техника!$G$1:$ABN$500,M$2,0),$A$228,INDEX(Техника!$H$1:$ABO$500,M$2,0),"Л")</f>
        <v>0</v>
      </c>
      <c r="N232" s="50">
        <f>SUMIFS(INDEX(Техника!$F$1:$ABM$500,N$2,0),Техника!$F$4:$ABM$4,"Часы",INDEX(Техника!$G$1:$ABN$500,N$2,0),$A$228,INDEX(Техника!$H$1:$ABO$500,N$2,0),"Л")</f>
        <v>0</v>
      </c>
      <c r="O232" s="50">
        <f>SUMIFS(INDEX(Техника!$F$1:$ABM$500,O$2,0),Техника!$F$4:$ABM$4,"Часы",INDEX(Техника!$G$1:$ABN$500,O$2,0),$A$228,INDEX(Техника!$H$1:$ABO$500,O$2,0),"Л")</f>
        <v>0</v>
      </c>
      <c r="P232" s="50">
        <f>SUMIFS(INDEX(Техника!$F$1:$ABM$500,P$2,0),Техника!$F$4:$ABM$4,"Часы",INDEX(Техника!$G$1:$ABN$500,P$2,0),$A$228,INDEX(Техника!$H$1:$ABO$500,P$2,0),"Л")</f>
        <v>0</v>
      </c>
      <c r="Q232" s="50">
        <f>SUMIFS(INDEX(Техника!$F$1:$ABM$500,Q$2,0),Техника!$F$4:$ABM$4,"Часы",INDEX(Техника!$G$1:$ABN$500,Q$2,0),$A$228,INDEX(Техника!$H$1:$ABO$500,Q$2,0),"Л")</f>
        <v>0</v>
      </c>
      <c r="R232" s="50">
        <f>SUMIFS(INDEX(Техника!$F$1:$ABM$500,R$2,0),Техника!$F$4:$ABM$4,"Часы",INDEX(Техника!$G$1:$ABN$500,R$2,0),$A$228,INDEX(Техника!$H$1:$ABO$500,R$2,0),"Л")</f>
        <v>0</v>
      </c>
      <c r="S232" s="50">
        <f>SUMIFS(INDEX(Техника!$F$1:$ABM$500,S$2,0),Техника!$F$4:$ABM$4,"Часы",INDEX(Техника!$G$1:$ABN$500,S$2,0),$A$228,INDEX(Техника!$H$1:$ABO$500,S$2,0),"Л")</f>
        <v>0</v>
      </c>
      <c r="T232" s="50">
        <f>SUMIFS(INDEX(Техника!$F$1:$ABM$500,T$2,0),Техника!$F$4:$ABM$4,"Часы",INDEX(Техника!$G$1:$ABN$500,T$2,0),$A$228,INDEX(Техника!$H$1:$ABO$500,T$2,0),"Л")</f>
        <v>0</v>
      </c>
      <c r="U232" s="50">
        <f>SUMIFS(INDEX(Техника!$F$1:$ABM$500,U$2,0),Техника!$F$4:$ABM$4,"Часы",INDEX(Техника!$G$1:$ABN$500,U$2,0),$A$228,INDEX(Техника!$H$1:$ABO$500,U$2,0),"Л")</f>
        <v>0</v>
      </c>
      <c r="V232" s="50">
        <f>SUMIFS(INDEX(Техника!$F$1:$ABM$500,V$2,0),Техника!$F$4:$ABM$4,"Часы",INDEX(Техника!$G$1:$ABN$500,V$2,0),$A$228,INDEX(Техника!$H$1:$ABO$500,V$2,0),"Л")</f>
        <v>0</v>
      </c>
      <c r="W232" s="50">
        <f>SUMIFS(INDEX(Техника!$F$1:$ABM$500,W$2,0),Техника!$F$4:$ABM$4,"Часы",INDEX(Техника!$G$1:$ABN$500,W$2,0),$A$228,INDEX(Техника!$H$1:$ABO$500,W$2,0),"Л")</f>
        <v>0</v>
      </c>
      <c r="X232" s="50">
        <f>SUMIFS(INDEX(Техника!$F$1:$ABM$500,X$2,0),Техника!$F$4:$ABM$4,"Часы",INDEX(Техника!$G$1:$ABN$500,X$2,0),$A$228,INDEX(Техника!$H$1:$ABO$500,X$2,0),"Л")</f>
        <v>0</v>
      </c>
      <c r="Y232" s="50">
        <f>SUMIFS(INDEX(Техника!$F$1:$ABM$500,Y$2,0),Техника!$F$4:$ABM$4,"Часы",INDEX(Техника!$G$1:$ABN$500,Y$2,0),$A$228,INDEX(Техника!$H$1:$ABO$500,Y$2,0),"Л")</f>
        <v>0</v>
      </c>
      <c r="Z232" s="50">
        <f>SUMIFS(INDEX(Техника!$F$1:$ABM$500,Z$2,0),Техника!$F$4:$ABM$4,"Часы",INDEX(Техника!$G$1:$ABN$500,Z$2,0),$A$228,INDEX(Техника!$H$1:$ABO$500,Z$2,0),"Л")</f>
        <v>0</v>
      </c>
      <c r="AA232" s="50">
        <f>SUMIFS(INDEX(Техника!$F$1:$ABM$500,AA$2,0),Техника!$F$4:$ABM$4,"Часы",INDEX(Техника!$G$1:$ABN$500,AA$2,0),$A$228,INDEX(Техника!$H$1:$ABO$500,AA$2,0),"Л")</f>
        <v>0</v>
      </c>
      <c r="AB232" s="50">
        <f>SUMIFS(INDEX(Техника!$F$1:$ABM$500,AB$2,0),Техника!$F$4:$ABM$4,"Часы",INDEX(Техника!$G$1:$ABN$500,AB$2,0),$A$228,INDEX(Техника!$H$1:$ABO$500,AB$2,0),"Л")</f>
        <v>0</v>
      </c>
    </row>
    <row r="233" spans="1:28" hidden="1" outlineLevel="1" x14ac:dyDescent="0.3">
      <c r="A233" s="33" t="s">
        <v>245</v>
      </c>
      <c r="B233" s="34" t="s">
        <v>279</v>
      </c>
      <c r="C233" s="50">
        <f>SUMIFS(INDEX(Техника!$F$1:$ABM$500,C$2,0),Техника!$F$4:$ABM$4,"Часы",INDEX(Техника!$G$1:$ABN$500,C$2,0),$A$228,INDEX(Техника!$H$1:$ABO$500,C$2,0),"З")</f>
        <v>0</v>
      </c>
      <c r="D233" s="50">
        <f>SUMIFS(INDEX(Техника!$F$1:$ABM$500,D$2,0),Техника!$F$4:$ABM$4,"Часы",INDEX(Техника!$G$1:$ABN$500,D$2,0),$A$228,INDEX(Техника!$H$1:$ABO$500,D$2,0),"З")</f>
        <v>0</v>
      </c>
      <c r="E233" s="50">
        <f>SUMIFS(INDEX(Техника!$F$1:$ABM$500,E$2,0),Техника!$F$4:$ABM$4,"Часы",INDEX(Техника!$G$1:$ABN$500,E$2,0),$A$228,INDEX(Техника!$H$1:$ABO$500,E$2,0),"З")</f>
        <v>0</v>
      </c>
      <c r="F233" s="50">
        <f>SUMIFS(INDEX(Техника!$F$1:$ABM$500,F$2,0),Техника!$F$4:$ABM$4,"Часы",INDEX(Техника!$G$1:$ABN$500,F$2,0),$A$228,INDEX(Техника!$H$1:$ABO$500,F$2,0),"З")</f>
        <v>0</v>
      </c>
      <c r="G233" s="50">
        <f>SUMIFS(INDEX(Техника!$F$1:$ABM$500,G$2,0),Техника!$F$4:$ABM$4,"Часы",INDEX(Техника!$G$1:$ABN$500,G$2,0),$A$228,INDEX(Техника!$H$1:$ABO$500,G$2,0),"З")</f>
        <v>0</v>
      </c>
      <c r="H233" s="50">
        <f>SUMIFS(INDEX(Техника!$F$1:$ABM$500,H$2,0),Техника!$F$4:$ABM$4,"Часы",INDEX(Техника!$G$1:$ABN$500,H$2,0),$A$228,INDEX(Техника!$H$1:$ABO$500,H$2,0),"З")</f>
        <v>0</v>
      </c>
      <c r="I233" s="50">
        <f>SUMIFS(INDEX(Техника!$F$1:$ABM$500,I$2,0),Техника!$F$4:$ABM$4,"Часы",INDEX(Техника!$G$1:$ABN$500,I$2,0),$A$228,INDEX(Техника!$H$1:$ABO$500,I$2,0),"З")</f>
        <v>0</v>
      </c>
      <c r="J233" s="50">
        <f>SUMIFS(INDEX(Техника!$F$1:$ABM$500,J$2,0),Техника!$F$4:$ABM$4,"Часы",INDEX(Техника!$G$1:$ABN$500,J$2,0),$A$228,INDEX(Техника!$H$1:$ABO$500,J$2,0),"З")</f>
        <v>0</v>
      </c>
      <c r="K233" s="50">
        <f>SUMIFS(INDEX(Техника!$F$1:$ABM$500,K$2,0),Техника!$F$4:$ABM$4,"Часы",INDEX(Техника!$G$1:$ABN$500,K$2,0),$A$228,INDEX(Техника!$H$1:$ABO$500,K$2,0),"З")</f>
        <v>0</v>
      </c>
      <c r="L233" s="50">
        <f>SUMIFS(INDEX(Техника!$F$1:$ABM$500,L$2,0),Техника!$F$4:$ABM$4,"Часы",INDEX(Техника!$G$1:$ABN$500,L$2,0),$A$228,INDEX(Техника!$H$1:$ABO$500,L$2,0),"З")</f>
        <v>0</v>
      </c>
      <c r="M233" s="50">
        <f>SUMIFS(INDEX(Техника!$F$1:$ABM$500,M$2,0),Техника!$F$4:$ABM$4,"Часы",INDEX(Техника!$G$1:$ABN$500,M$2,0),$A$228,INDEX(Техника!$H$1:$ABO$500,M$2,0),"З")</f>
        <v>0</v>
      </c>
      <c r="N233" s="50">
        <f>SUMIFS(INDEX(Техника!$F$1:$ABM$500,N$2,0),Техника!$F$4:$ABM$4,"Часы",INDEX(Техника!$G$1:$ABN$500,N$2,0),$A$228,INDEX(Техника!$H$1:$ABO$500,N$2,0),"З")</f>
        <v>0</v>
      </c>
      <c r="O233" s="50">
        <f>SUMIFS(INDEX(Техника!$F$1:$ABM$500,O$2,0),Техника!$F$4:$ABM$4,"Часы",INDEX(Техника!$G$1:$ABN$500,O$2,0),$A$228,INDEX(Техника!$H$1:$ABO$500,O$2,0),"З")</f>
        <v>0</v>
      </c>
      <c r="P233" s="50">
        <f>SUMIFS(INDEX(Техника!$F$1:$ABM$500,P$2,0),Техника!$F$4:$ABM$4,"Часы",INDEX(Техника!$G$1:$ABN$500,P$2,0),$A$228,INDEX(Техника!$H$1:$ABO$500,P$2,0),"З")</f>
        <v>0</v>
      </c>
      <c r="Q233" s="50">
        <f>SUMIFS(INDEX(Техника!$F$1:$ABM$500,Q$2,0),Техника!$F$4:$ABM$4,"Часы",INDEX(Техника!$G$1:$ABN$500,Q$2,0),$A$228,INDEX(Техника!$H$1:$ABO$500,Q$2,0),"З")</f>
        <v>0</v>
      </c>
      <c r="R233" s="50">
        <f>SUMIFS(INDEX(Техника!$F$1:$ABM$500,R$2,0),Техника!$F$4:$ABM$4,"Часы",INDEX(Техника!$G$1:$ABN$500,R$2,0),$A$228,INDEX(Техника!$H$1:$ABO$500,R$2,0),"З")</f>
        <v>0</v>
      </c>
      <c r="S233" s="50">
        <f>SUMIFS(INDEX(Техника!$F$1:$ABM$500,S$2,0),Техника!$F$4:$ABM$4,"Часы",INDEX(Техника!$G$1:$ABN$500,S$2,0),$A$228,INDEX(Техника!$H$1:$ABO$500,S$2,0),"З")</f>
        <v>0</v>
      </c>
      <c r="T233" s="50">
        <f>SUMIFS(INDEX(Техника!$F$1:$ABM$500,T$2,0),Техника!$F$4:$ABM$4,"Часы",INDEX(Техника!$G$1:$ABN$500,T$2,0),$A$228,INDEX(Техника!$H$1:$ABO$500,T$2,0),"З")</f>
        <v>0</v>
      </c>
      <c r="U233" s="50">
        <f>SUMIFS(INDEX(Техника!$F$1:$ABM$500,U$2,0),Техника!$F$4:$ABM$4,"Часы",INDEX(Техника!$G$1:$ABN$500,U$2,0),$A$228,INDEX(Техника!$H$1:$ABO$500,U$2,0),"З")</f>
        <v>0</v>
      </c>
      <c r="V233" s="50">
        <f>SUMIFS(INDEX(Техника!$F$1:$ABM$500,V$2,0),Техника!$F$4:$ABM$4,"Часы",INDEX(Техника!$G$1:$ABN$500,V$2,0),$A$228,INDEX(Техника!$H$1:$ABO$500,V$2,0),"З")</f>
        <v>0</v>
      </c>
      <c r="W233" s="50">
        <f>SUMIFS(INDEX(Техника!$F$1:$ABM$500,W$2,0),Техника!$F$4:$ABM$4,"Часы",INDEX(Техника!$G$1:$ABN$500,W$2,0),$A$228,INDEX(Техника!$H$1:$ABO$500,W$2,0),"З")</f>
        <v>0</v>
      </c>
      <c r="X233" s="50">
        <f>SUMIFS(INDEX(Техника!$F$1:$ABM$500,X$2,0),Техника!$F$4:$ABM$4,"Часы",INDEX(Техника!$G$1:$ABN$500,X$2,0),$A$228,INDEX(Техника!$H$1:$ABO$500,X$2,0),"З")</f>
        <v>0</v>
      </c>
      <c r="Y233" s="50">
        <f>SUMIFS(INDEX(Техника!$F$1:$ABM$500,Y$2,0),Техника!$F$4:$ABM$4,"Часы",INDEX(Техника!$G$1:$ABN$500,Y$2,0),$A$228,INDEX(Техника!$H$1:$ABO$500,Y$2,0),"З")</f>
        <v>0</v>
      </c>
      <c r="Z233" s="50">
        <f>SUMIFS(INDEX(Техника!$F$1:$ABM$500,Z$2,0),Техника!$F$4:$ABM$4,"Часы",INDEX(Техника!$G$1:$ABN$500,Z$2,0),$A$228,INDEX(Техника!$H$1:$ABO$500,Z$2,0),"З")</f>
        <v>0</v>
      </c>
      <c r="AA233" s="50">
        <f>SUMIFS(INDEX(Техника!$F$1:$ABM$500,AA$2,0),Техника!$F$4:$ABM$4,"Часы",INDEX(Техника!$G$1:$ABN$500,AA$2,0),$A$228,INDEX(Техника!$H$1:$ABO$500,AA$2,0),"З")</f>
        <v>0</v>
      </c>
      <c r="AB233" s="50">
        <f>SUMIFS(INDEX(Техника!$F$1:$ABM$500,AB$2,0),Техника!$F$4:$ABM$4,"Часы",INDEX(Техника!$G$1:$ABN$500,AB$2,0),$A$228,INDEX(Техника!$H$1:$ABO$500,AB$2,0),"З")</f>
        <v>0</v>
      </c>
    </row>
    <row r="234" spans="1:28" ht="7.95" customHeight="1" x14ac:dyDescent="0.3">
      <c r="A234" s="38"/>
      <c r="B234" s="39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 spans="1:28" ht="25.05" customHeight="1" collapsed="1" x14ac:dyDescent="0.3">
      <c r="A235" s="32">
        <v>34</v>
      </c>
      <c r="B235" s="32" t="s">
        <v>35</v>
      </c>
      <c r="C235" s="49">
        <f>SUM(C236:C240)</f>
        <v>0</v>
      </c>
      <c r="D235" s="49">
        <f>SUM(D236:D240)</f>
        <v>0</v>
      </c>
      <c r="E235" s="49">
        <f>SUM(E236:E240)</f>
        <v>0</v>
      </c>
      <c r="F235" s="49">
        <f>SUM(F236:F240)</f>
        <v>0</v>
      </c>
      <c r="G235" s="49">
        <f>SUM(G236:G240)</f>
        <v>0</v>
      </c>
      <c r="H235" s="49">
        <f>SUM(H236:H240)</f>
        <v>0</v>
      </c>
      <c r="I235" s="49">
        <f>SUM(I236:I240)</f>
        <v>0</v>
      </c>
      <c r="J235" s="49">
        <f>SUM(J236:J240)</f>
        <v>0</v>
      </c>
      <c r="K235" s="49">
        <f>SUM(K236:K240)</f>
        <v>0</v>
      </c>
      <c r="L235" s="49">
        <f>SUM(L236:L240)</f>
        <v>0</v>
      </c>
      <c r="M235" s="49">
        <f>SUM(M236:M240)</f>
        <v>0</v>
      </c>
      <c r="N235" s="49">
        <f>SUM(N236:N240)</f>
        <v>0</v>
      </c>
      <c r="O235" s="49">
        <f>SUM(O236:O240)</f>
        <v>0</v>
      </c>
      <c r="P235" s="49">
        <f>SUM(P236:P240)</f>
        <v>0</v>
      </c>
      <c r="Q235" s="49">
        <f>SUM(Q236:Q240)</f>
        <v>0</v>
      </c>
      <c r="R235" s="49">
        <f>SUM(R236:R240)</f>
        <v>0</v>
      </c>
      <c r="S235" s="49">
        <f>SUM(S236:S240)</f>
        <v>0</v>
      </c>
      <c r="T235" s="49">
        <f>SUM(T236:T240)</f>
        <v>0</v>
      </c>
      <c r="U235" s="49">
        <f>SUM(U236:U240)</f>
        <v>0</v>
      </c>
      <c r="V235" s="49">
        <f>SUM(V236:V240)</f>
        <v>0</v>
      </c>
      <c r="W235" s="49">
        <f>SUM(W236:W240)</f>
        <v>0</v>
      </c>
      <c r="X235" s="49">
        <f>SUM(X236:X240)</f>
        <v>0</v>
      </c>
      <c r="Y235" s="49">
        <f>SUM(Y236:Y240)</f>
        <v>0</v>
      </c>
      <c r="Z235" s="49">
        <f>SUM(Z236:Z240)</f>
        <v>0</v>
      </c>
      <c r="AA235" s="49">
        <f>SUM(AA236:AA240)</f>
        <v>0</v>
      </c>
      <c r="AB235" s="49">
        <f>SUM(AB236:AB240)</f>
        <v>0</v>
      </c>
    </row>
    <row r="236" spans="1:28" hidden="1" outlineLevel="1" x14ac:dyDescent="0.3">
      <c r="A236" s="33" t="s">
        <v>246</v>
      </c>
      <c r="B236" s="34" t="s">
        <v>274</v>
      </c>
      <c r="C236" s="50">
        <f>SUMIFS(INDEX(Техника!$F$1:$ABM$500,C$2,0),Техника!$F$4:$ABM$4,"Часы",INDEX(Техника!$G$1:$ABN$500,C$2,0),$A$235,INDEX(Техника!$H$1:$ABO$500,C$2,0),"М")</f>
        <v>0</v>
      </c>
      <c r="D236" s="50">
        <f>SUMIFS(INDEX(Техника!$F$1:$ABM$500,D$2,0),Техника!$F$4:$ABM$4,"Часы",INDEX(Техника!$G$1:$ABN$500,D$2,0),$A$235,INDEX(Техника!$H$1:$ABO$500,D$2,0),"М")</f>
        <v>0</v>
      </c>
      <c r="E236" s="50">
        <f>SUMIFS(INDEX(Техника!$F$1:$ABM$500,E$2,0),Техника!$F$4:$ABM$4,"Часы",INDEX(Техника!$G$1:$ABN$500,E$2,0),$A$235,INDEX(Техника!$H$1:$ABO$500,E$2,0),"М")</f>
        <v>0</v>
      </c>
      <c r="F236" s="50">
        <f>SUMIFS(INDEX(Техника!$F$1:$ABM$500,F$2,0),Техника!$F$4:$ABM$4,"Часы",INDEX(Техника!$G$1:$ABN$500,F$2,0),$A$235,INDEX(Техника!$H$1:$ABO$500,F$2,0),"М")</f>
        <v>0</v>
      </c>
      <c r="G236" s="50">
        <f>SUMIFS(INDEX(Техника!$F$1:$ABM$500,G$2,0),Техника!$F$4:$ABM$4,"Часы",INDEX(Техника!$G$1:$ABN$500,G$2,0),$A$235,INDEX(Техника!$H$1:$ABO$500,G$2,0),"М")</f>
        <v>0</v>
      </c>
      <c r="H236" s="50">
        <f>SUMIFS(INDEX(Техника!$F$1:$ABM$500,H$2,0),Техника!$F$4:$ABM$4,"Часы",INDEX(Техника!$G$1:$ABN$500,H$2,0),$A$235,INDEX(Техника!$H$1:$ABO$500,H$2,0),"М")</f>
        <v>0</v>
      </c>
      <c r="I236" s="50">
        <f>SUMIFS(INDEX(Техника!$F$1:$ABM$500,I$2,0),Техника!$F$4:$ABM$4,"Часы",INDEX(Техника!$G$1:$ABN$500,I$2,0),$A$235,INDEX(Техника!$H$1:$ABO$500,I$2,0),"М")</f>
        <v>0</v>
      </c>
      <c r="J236" s="50">
        <f>SUMIFS(INDEX(Техника!$F$1:$ABM$500,J$2,0),Техника!$F$4:$ABM$4,"Часы",INDEX(Техника!$G$1:$ABN$500,J$2,0),$A$235,INDEX(Техника!$H$1:$ABO$500,J$2,0),"М")</f>
        <v>0</v>
      </c>
      <c r="K236" s="50">
        <f>SUMIFS(INDEX(Техника!$F$1:$ABM$500,K$2,0),Техника!$F$4:$ABM$4,"Часы",INDEX(Техника!$G$1:$ABN$500,K$2,0),$A$235,INDEX(Техника!$H$1:$ABO$500,K$2,0),"М")</f>
        <v>0</v>
      </c>
      <c r="L236" s="50">
        <f>SUMIFS(INDEX(Техника!$F$1:$ABM$500,L$2,0),Техника!$F$4:$ABM$4,"Часы",INDEX(Техника!$G$1:$ABN$500,L$2,0),$A$235,INDEX(Техника!$H$1:$ABO$500,L$2,0),"М")</f>
        <v>0</v>
      </c>
      <c r="M236" s="50">
        <f>SUMIFS(INDEX(Техника!$F$1:$ABM$500,M$2,0),Техника!$F$4:$ABM$4,"Часы",INDEX(Техника!$G$1:$ABN$500,M$2,0),$A$235,INDEX(Техника!$H$1:$ABO$500,M$2,0),"М")</f>
        <v>0</v>
      </c>
      <c r="N236" s="50">
        <f>SUMIFS(INDEX(Техника!$F$1:$ABM$500,N$2,0),Техника!$F$4:$ABM$4,"Часы",INDEX(Техника!$G$1:$ABN$500,N$2,0),$A$235,INDEX(Техника!$H$1:$ABO$500,N$2,0),"М")</f>
        <v>0</v>
      </c>
      <c r="O236" s="50">
        <f>SUMIFS(INDEX(Техника!$F$1:$ABM$500,O$2,0),Техника!$F$4:$ABM$4,"Часы",INDEX(Техника!$G$1:$ABN$500,O$2,0),$A$235,INDEX(Техника!$H$1:$ABO$500,O$2,0),"М")</f>
        <v>0</v>
      </c>
      <c r="P236" s="50">
        <f>SUMIFS(INDEX(Техника!$F$1:$ABM$500,P$2,0),Техника!$F$4:$ABM$4,"Часы",INDEX(Техника!$G$1:$ABN$500,P$2,0),$A$235,INDEX(Техника!$H$1:$ABO$500,P$2,0),"М")</f>
        <v>0</v>
      </c>
      <c r="Q236" s="50">
        <f>SUMIFS(INDEX(Техника!$F$1:$ABM$500,Q$2,0),Техника!$F$4:$ABM$4,"Часы",INDEX(Техника!$G$1:$ABN$500,Q$2,0),$A$235,INDEX(Техника!$H$1:$ABO$500,Q$2,0),"М")</f>
        <v>0</v>
      </c>
      <c r="R236" s="50">
        <f>SUMIFS(INDEX(Техника!$F$1:$ABM$500,R$2,0),Техника!$F$4:$ABM$4,"Часы",INDEX(Техника!$G$1:$ABN$500,R$2,0),$A$235,INDEX(Техника!$H$1:$ABO$500,R$2,0),"М")</f>
        <v>0</v>
      </c>
      <c r="S236" s="50">
        <f>SUMIFS(INDEX(Техника!$F$1:$ABM$500,S$2,0),Техника!$F$4:$ABM$4,"Часы",INDEX(Техника!$G$1:$ABN$500,S$2,0),$A$235,INDEX(Техника!$H$1:$ABO$500,S$2,0),"М")</f>
        <v>0</v>
      </c>
      <c r="T236" s="50">
        <f>SUMIFS(INDEX(Техника!$F$1:$ABM$500,T$2,0),Техника!$F$4:$ABM$4,"Часы",INDEX(Техника!$G$1:$ABN$500,T$2,0),$A$235,INDEX(Техника!$H$1:$ABO$500,T$2,0),"М")</f>
        <v>0</v>
      </c>
      <c r="U236" s="50">
        <f>SUMIFS(INDEX(Техника!$F$1:$ABM$500,U$2,0),Техника!$F$4:$ABM$4,"Часы",INDEX(Техника!$G$1:$ABN$500,U$2,0),$A$235,INDEX(Техника!$H$1:$ABO$500,U$2,0),"М")</f>
        <v>0</v>
      </c>
      <c r="V236" s="50">
        <f>SUMIFS(INDEX(Техника!$F$1:$ABM$500,V$2,0),Техника!$F$4:$ABM$4,"Часы",INDEX(Техника!$G$1:$ABN$500,V$2,0),$A$235,INDEX(Техника!$H$1:$ABO$500,V$2,0),"М")</f>
        <v>0</v>
      </c>
      <c r="W236" s="50">
        <f>SUMIFS(INDEX(Техника!$F$1:$ABM$500,W$2,0),Техника!$F$4:$ABM$4,"Часы",INDEX(Техника!$G$1:$ABN$500,W$2,0),$A$235,INDEX(Техника!$H$1:$ABO$500,W$2,0),"М")</f>
        <v>0</v>
      </c>
      <c r="X236" s="50">
        <f>SUMIFS(INDEX(Техника!$F$1:$ABM$500,X$2,0),Техника!$F$4:$ABM$4,"Часы",INDEX(Техника!$G$1:$ABN$500,X$2,0),$A$235,INDEX(Техника!$H$1:$ABO$500,X$2,0),"М")</f>
        <v>0</v>
      </c>
      <c r="Y236" s="50">
        <f>SUMIFS(INDEX(Техника!$F$1:$ABM$500,Y$2,0),Техника!$F$4:$ABM$4,"Часы",INDEX(Техника!$G$1:$ABN$500,Y$2,0),$A$235,INDEX(Техника!$H$1:$ABO$500,Y$2,0),"М")</f>
        <v>0</v>
      </c>
      <c r="Z236" s="50">
        <f>SUMIFS(INDEX(Техника!$F$1:$ABM$500,Z$2,0),Техника!$F$4:$ABM$4,"Часы",INDEX(Техника!$G$1:$ABN$500,Z$2,0),$A$235,INDEX(Техника!$H$1:$ABO$500,Z$2,0),"М")</f>
        <v>0</v>
      </c>
      <c r="AA236" s="50">
        <f>SUMIFS(INDEX(Техника!$F$1:$ABM$500,AA$2,0),Техника!$F$4:$ABM$4,"Часы",INDEX(Техника!$G$1:$ABN$500,AA$2,0),$A$235,INDEX(Техника!$H$1:$ABO$500,AA$2,0),"М")</f>
        <v>0</v>
      </c>
      <c r="AB236" s="50">
        <f>SUMIFS(INDEX(Техника!$F$1:$ABM$500,AB$2,0),Техника!$F$4:$ABM$4,"Часы",INDEX(Техника!$G$1:$ABN$500,AB$2,0),$A$235,INDEX(Техника!$H$1:$ABO$500,AB$2,0),"М")</f>
        <v>0</v>
      </c>
    </row>
    <row r="237" spans="1:28" hidden="1" outlineLevel="1" x14ac:dyDescent="0.3">
      <c r="A237" s="33" t="s">
        <v>244</v>
      </c>
      <c r="B237" s="34" t="s">
        <v>275</v>
      </c>
      <c r="C237" s="50">
        <f>SUMIFS(INDEX(Техника!$F$1:$ABM$500,C$2,0),Техника!$F$4:$ABM$4,"Часы",INDEX(Техника!$G$1:$ABN$500,C$2,0),$A$235,INDEX(Техника!$H$1:$ABO$500,C$2,0),"Д")</f>
        <v>0</v>
      </c>
      <c r="D237" s="50">
        <f>SUMIFS(INDEX(Техника!$F$1:$ABM$500,D$2,0),Техника!$F$4:$ABM$4,"Часы",INDEX(Техника!$G$1:$ABN$500,D$2,0),$A$235,INDEX(Техника!$H$1:$ABO$500,D$2,0),"Д")</f>
        <v>0</v>
      </c>
      <c r="E237" s="50">
        <f>SUMIFS(INDEX(Техника!$F$1:$ABM$500,E$2,0),Техника!$F$4:$ABM$4,"Часы",INDEX(Техника!$G$1:$ABN$500,E$2,0),$A$235,INDEX(Техника!$H$1:$ABO$500,E$2,0),"Д")</f>
        <v>0</v>
      </c>
      <c r="F237" s="50">
        <f>SUMIFS(INDEX(Техника!$F$1:$ABM$500,F$2,0),Техника!$F$4:$ABM$4,"Часы",INDEX(Техника!$G$1:$ABN$500,F$2,0),$A$235,INDEX(Техника!$H$1:$ABO$500,F$2,0),"Д")</f>
        <v>0</v>
      </c>
      <c r="G237" s="50">
        <f>SUMIFS(INDEX(Техника!$F$1:$ABM$500,G$2,0),Техника!$F$4:$ABM$4,"Часы",INDEX(Техника!$G$1:$ABN$500,G$2,0),$A$235,INDEX(Техника!$H$1:$ABO$500,G$2,0),"Д")</f>
        <v>0</v>
      </c>
      <c r="H237" s="50">
        <f>SUMIFS(INDEX(Техника!$F$1:$ABM$500,H$2,0),Техника!$F$4:$ABM$4,"Часы",INDEX(Техника!$G$1:$ABN$500,H$2,0),$A$235,INDEX(Техника!$H$1:$ABO$500,H$2,0),"Д")</f>
        <v>0</v>
      </c>
      <c r="I237" s="50">
        <f>SUMIFS(INDEX(Техника!$F$1:$ABM$500,I$2,0),Техника!$F$4:$ABM$4,"Часы",INDEX(Техника!$G$1:$ABN$500,I$2,0),$A$235,INDEX(Техника!$H$1:$ABO$500,I$2,0),"Д")</f>
        <v>0</v>
      </c>
      <c r="J237" s="50">
        <f>SUMIFS(INDEX(Техника!$F$1:$ABM$500,J$2,0),Техника!$F$4:$ABM$4,"Часы",INDEX(Техника!$G$1:$ABN$500,J$2,0),$A$235,INDEX(Техника!$H$1:$ABO$500,J$2,0),"Д")</f>
        <v>0</v>
      </c>
      <c r="K237" s="50">
        <f>SUMIFS(INDEX(Техника!$F$1:$ABM$500,K$2,0),Техника!$F$4:$ABM$4,"Часы",INDEX(Техника!$G$1:$ABN$500,K$2,0),$A$235,INDEX(Техника!$H$1:$ABO$500,K$2,0),"Д")</f>
        <v>0</v>
      </c>
      <c r="L237" s="50">
        <f>SUMIFS(INDEX(Техника!$F$1:$ABM$500,L$2,0),Техника!$F$4:$ABM$4,"Часы",INDEX(Техника!$G$1:$ABN$500,L$2,0),$A$235,INDEX(Техника!$H$1:$ABO$500,L$2,0),"Д")</f>
        <v>0</v>
      </c>
      <c r="M237" s="50">
        <f>SUMIFS(INDEX(Техника!$F$1:$ABM$500,M$2,0),Техника!$F$4:$ABM$4,"Часы",INDEX(Техника!$G$1:$ABN$500,M$2,0),$A$235,INDEX(Техника!$H$1:$ABO$500,M$2,0),"Д")</f>
        <v>0</v>
      </c>
      <c r="N237" s="50">
        <f>SUMIFS(INDEX(Техника!$F$1:$ABM$500,N$2,0),Техника!$F$4:$ABM$4,"Часы",INDEX(Техника!$G$1:$ABN$500,N$2,0),$A$235,INDEX(Техника!$H$1:$ABO$500,N$2,0),"Д")</f>
        <v>0</v>
      </c>
      <c r="O237" s="50">
        <f>SUMIFS(INDEX(Техника!$F$1:$ABM$500,O$2,0),Техника!$F$4:$ABM$4,"Часы",INDEX(Техника!$G$1:$ABN$500,O$2,0),$A$235,INDEX(Техника!$H$1:$ABO$500,O$2,0),"Д")</f>
        <v>0</v>
      </c>
      <c r="P237" s="50">
        <f>SUMIFS(INDEX(Техника!$F$1:$ABM$500,P$2,0),Техника!$F$4:$ABM$4,"Часы",INDEX(Техника!$G$1:$ABN$500,P$2,0),$A$235,INDEX(Техника!$H$1:$ABO$500,P$2,0),"Д")</f>
        <v>0</v>
      </c>
      <c r="Q237" s="50">
        <f>SUMIFS(INDEX(Техника!$F$1:$ABM$500,Q$2,0),Техника!$F$4:$ABM$4,"Часы",INDEX(Техника!$G$1:$ABN$500,Q$2,0),$A$235,INDEX(Техника!$H$1:$ABO$500,Q$2,0),"Д")</f>
        <v>0</v>
      </c>
      <c r="R237" s="50">
        <f>SUMIFS(INDEX(Техника!$F$1:$ABM$500,R$2,0),Техника!$F$4:$ABM$4,"Часы",INDEX(Техника!$G$1:$ABN$500,R$2,0),$A$235,INDEX(Техника!$H$1:$ABO$500,R$2,0),"Д")</f>
        <v>0</v>
      </c>
      <c r="S237" s="50">
        <f>SUMIFS(INDEX(Техника!$F$1:$ABM$500,S$2,0),Техника!$F$4:$ABM$4,"Часы",INDEX(Техника!$G$1:$ABN$500,S$2,0),$A$235,INDEX(Техника!$H$1:$ABO$500,S$2,0),"Д")</f>
        <v>0</v>
      </c>
      <c r="T237" s="50">
        <f>SUMIFS(INDEX(Техника!$F$1:$ABM$500,T$2,0),Техника!$F$4:$ABM$4,"Часы",INDEX(Техника!$G$1:$ABN$500,T$2,0),$A$235,INDEX(Техника!$H$1:$ABO$500,T$2,0),"Д")</f>
        <v>0</v>
      </c>
      <c r="U237" s="50">
        <f>SUMIFS(INDEX(Техника!$F$1:$ABM$500,U$2,0),Техника!$F$4:$ABM$4,"Часы",INDEX(Техника!$G$1:$ABN$500,U$2,0),$A$235,INDEX(Техника!$H$1:$ABO$500,U$2,0),"Д")</f>
        <v>0</v>
      </c>
      <c r="V237" s="50">
        <f>SUMIFS(INDEX(Техника!$F$1:$ABM$500,V$2,0),Техника!$F$4:$ABM$4,"Часы",INDEX(Техника!$G$1:$ABN$500,V$2,0),$A$235,INDEX(Техника!$H$1:$ABO$500,V$2,0),"Д")</f>
        <v>0</v>
      </c>
      <c r="W237" s="50">
        <f>SUMIFS(INDEX(Техника!$F$1:$ABM$500,W$2,0),Техника!$F$4:$ABM$4,"Часы",INDEX(Техника!$G$1:$ABN$500,W$2,0),$A$235,INDEX(Техника!$H$1:$ABO$500,W$2,0),"Д")</f>
        <v>0</v>
      </c>
      <c r="X237" s="50">
        <f>SUMIFS(INDEX(Техника!$F$1:$ABM$500,X$2,0),Техника!$F$4:$ABM$4,"Часы",INDEX(Техника!$G$1:$ABN$500,X$2,0),$A$235,INDEX(Техника!$H$1:$ABO$500,X$2,0),"Д")</f>
        <v>0</v>
      </c>
      <c r="Y237" s="50">
        <f>SUMIFS(INDEX(Техника!$F$1:$ABM$500,Y$2,0),Техника!$F$4:$ABM$4,"Часы",INDEX(Техника!$G$1:$ABN$500,Y$2,0),$A$235,INDEX(Техника!$H$1:$ABO$500,Y$2,0),"Д")</f>
        <v>0</v>
      </c>
      <c r="Z237" s="50">
        <f>SUMIFS(INDEX(Техника!$F$1:$ABM$500,Z$2,0),Техника!$F$4:$ABM$4,"Часы",INDEX(Техника!$G$1:$ABN$500,Z$2,0),$A$235,INDEX(Техника!$H$1:$ABO$500,Z$2,0),"Д")</f>
        <v>0</v>
      </c>
      <c r="AA237" s="50">
        <f>SUMIFS(INDEX(Техника!$F$1:$ABM$500,AA$2,0),Техника!$F$4:$ABM$4,"Часы",INDEX(Техника!$G$1:$ABN$500,AA$2,0),$A$235,INDEX(Техника!$H$1:$ABO$500,AA$2,0),"Д")</f>
        <v>0</v>
      </c>
      <c r="AB237" s="50">
        <f>SUMIFS(INDEX(Техника!$F$1:$ABM$500,AB$2,0),Техника!$F$4:$ABM$4,"Часы",INDEX(Техника!$G$1:$ABN$500,AB$2,0),$A$235,INDEX(Техника!$H$1:$ABO$500,AB$2,0),"Д")</f>
        <v>0</v>
      </c>
    </row>
    <row r="238" spans="1:28" hidden="1" outlineLevel="1" x14ac:dyDescent="0.3">
      <c r="A238" s="33" t="s">
        <v>276</v>
      </c>
      <c r="B238" s="34" t="s">
        <v>277</v>
      </c>
      <c r="C238" s="50">
        <f>SUMIFS(INDEX(Техника!$F$1:$ABM$500,C$2,0),Техника!$F$4:$ABM$4,"Часы",INDEX(Техника!$G$1:$ABN$500,C$2,0),$A$235,INDEX(Техника!$H$1:$ABO$500,C$2,0),"П")</f>
        <v>0</v>
      </c>
      <c r="D238" s="50">
        <f>SUMIFS(INDEX(Техника!$F$1:$ABM$500,D$2,0),Техника!$F$4:$ABM$4,"Часы",INDEX(Техника!$G$1:$ABN$500,D$2,0),$A$235,INDEX(Техника!$H$1:$ABO$500,D$2,0),"П")</f>
        <v>0</v>
      </c>
      <c r="E238" s="50">
        <f>SUMIFS(INDEX(Техника!$F$1:$ABM$500,E$2,0),Техника!$F$4:$ABM$4,"Часы",INDEX(Техника!$G$1:$ABN$500,E$2,0),$A$235,INDEX(Техника!$H$1:$ABO$500,E$2,0),"П")</f>
        <v>0</v>
      </c>
      <c r="F238" s="50">
        <f>SUMIFS(INDEX(Техника!$F$1:$ABM$500,F$2,0),Техника!$F$4:$ABM$4,"Часы",INDEX(Техника!$G$1:$ABN$500,F$2,0),$A$235,INDEX(Техника!$H$1:$ABO$500,F$2,0),"П")</f>
        <v>0</v>
      </c>
      <c r="G238" s="50">
        <f>SUMIFS(INDEX(Техника!$F$1:$ABM$500,G$2,0),Техника!$F$4:$ABM$4,"Часы",INDEX(Техника!$G$1:$ABN$500,G$2,0),$A$235,INDEX(Техника!$H$1:$ABO$500,G$2,0),"П")</f>
        <v>0</v>
      </c>
      <c r="H238" s="50">
        <f>SUMIFS(INDEX(Техника!$F$1:$ABM$500,H$2,0),Техника!$F$4:$ABM$4,"Часы",INDEX(Техника!$G$1:$ABN$500,H$2,0),$A$235,INDEX(Техника!$H$1:$ABO$500,H$2,0),"П")</f>
        <v>0</v>
      </c>
      <c r="I238" s="50">
        <f>SUMIFS(INDEX(Техника!$F$1:$ABM$500,I$2,0),Техника!$F$4:$ABM$4,"Часы",INDEX(Техника!$G$1:$ABN$500,I$2,0),$A$235,INDEX(Техника!$H$1:$ABO$500,I$2,0),"П")</f>
        <v>0</v>
      </c>
      <c r="J238" s="50">
        <f>SUMIFS(INDEX(Техника!$F$1:$ABM$500,J$2,0),Техника!$F$4:$ABM$4,"Часы",INDEX(Техника!$G$1:$ABN$500,J$2,0),$A$235,INDEX(Техника!$H$1:$ABO$500,J$2,0),"П")</f>
        <v>0</v>
      </c>
      <c r="K238" s="50">
        <f>SUMIFS(INDEX(Техника!$F$1:$ABM$500,K$2,0),Техника!$F$4:$ABM$4,"Часы",INDEX(Техника!$G$1:$ABN$500,K$2,0),$A$235,INDEX(Техника!$H$1:$ABO$500,K$2,0),"П")</f>
        <v>0</v>
      </c>
      <c r="L238" s="50">
        <f>SUMIFS(INDEX(Техника!$F$1:$ABM$500,L$2,0),Техника!$F$4:$ABM$4,"Часы",INDEX(Техника!$G$1:$ABN$500,L$2,0),$A$235,INDEX(Техника!$H$1:$ABO$500,L$2,0),"П")</f>
        <v>0</v>
      </c>
      <c r="M238" s="50">
        <f>SUMIFS(INDEX(Техника!$F$1:$ABM$500,M$2,0),Техника!$F$4:$ABM$4,"Часы",INDEX(Техника!$G$1:$ABN$500,M$2,0),$A$235,INDEX(Техника!$H$1:$ABO$500,M$2,0),"П")</f>
        <v>0</v>
      </c>
      <c r="N238" s="50">
        <f>SUMIFS(INDEX(Техника!$F$1:$ABM$500,N$2,0),Техника!$F$4:$ABM$4,"Часы",INDEX(Техника!$G$1:$ABN$500,N$2,0),$A$235,INDEX(Техника!$H$1:$ABO$500,N$2,0),"П")</f>
        <v>0</v>
      </c>
      <c r="O238" s="50">
        <f>SUMIFS(INDEX(Техника!$F$1:$ABM$500,O$2,0),Техника!$F$4:$ABM$4,"Часы",INDEX(Техника!$G$1:$ABN$500,O$2,0),$A$235,INDEX(Техника!$H$1:$ABO$500,O$2,0),"П")</f>
        <v>0</v>
      </c>
      <c r="P238" s="50">
        <f>SUMIFS(INDEX(Техника!$F$1:$ABM$500,P$2,0),Техника!$F$4:$ABM$4,"Часы",INDEX(Техника!$G$1:$ABN$500,P$2,0),$A$235,INDEX(Техника!$H$1:$ABO$500,P$2,0),"П")</f>
        <v>0</v>
      </c>
      <c r="Q238" s="50">
        <f>SUMIFS(INDEX(Техника!$F$1:$ABM$500,Q$2,0),Техника!$F$4:$ABM$4,"Часы",INDEX(Техника!$G$1:$ABN$500,Q$2,0),$A$235,INDEX(Техника!$H$1:$ABO$500,Q$2,0),"П")</f>
        <v>0</v>
      </c>
      <c r="R238" s="50">
        <f>SUMIFS(INDEX(Техника!$F$1:$ABM$500,R$2,0),Техника!$F$4:$ABM$4,"Часы",INDEX(Техника!$G$1:$ABN$500,R$2,0),$A$235,INDEX(Техника!$H$1:$ABO$500,R$2,0),"П")</f>
        <v>0</v>
      </c>
      <c r="S238" s="50">
        <f>SUMIFS(INDEX(Техника!$F$1:$ABM$500,S$2,0),Техника!$F$4:$ABM$4,"Часы",INDEX(Техника!$G$1:$ABN$500,S$2,0),$A$235,INDEX(Техника!$H$1:$ABO$500,S$2,0),"П")</f>
        <v>0</v>
      </c>
      <c r="T238" s="50">
        <f>SUMIFS(INDEX(Техника!$F$1:$ABM$500,T$2,0),Техника!$F$4:$ABM$4,"Часы",INDEX(Техника!$G$1:$ABN$500,T$2,0),$A$235,INDEX(Техника!$H$1:$ABO$500,T$2,0),"П")</f>
        <v>0</v>
      </c>
      <c r="U238" s="50">
        <f>SUMIFS(INDEX(Техника!$F$1:$ABM$500,U$2,0),Техника!$F$4:$ABM$4,"Часы",INDEX(Техника!$G$1:$ABN$500,U$2,0),$A$235,INDEX(Техника!$H$1:$ABO$500,U$2,0),"П")</f>
        <v>0</v>
      </c>
      <c r="V238" s="50">
        <f>SUMIFS(INDEX(Техника!$F$1:$ABM$500,V$2,0),Техника!$F$4:$ABM$4,"Часы",INDEX(Техника!$G$1:$ABN$500,V$2,0),$A$235,INDEX(Техника!$H$1:$ABO$500,V$2,0),"П")</f>
        <v>0</v>
      </c>
      <c r="W238" s="50">
        <f>SUMIFS(INDEX(Техника!$F$1:$ABM$500,W$2,0),Техника!$F$4:$ABM$4,"Часы",INDEX(Техника!$G$1:$ABN$500,W$2,0),$A$235,INDEX(Техника!$H$1:$ABO$500,W$2,0),"П")</f>
        <v>0</v>
      </c>
      <c r="X238" s="50">
        <f>SUMIFS(INDEX(Техника!$F$1:$ABM$500,X$2,0),Техника!$F$4:$ABM$4,"Часы",INDEX(Техника!$G$1:$ABN$500,X$2,0),$A$235,INDEX(Техника!$H$1:$ABO$500,X$2,0),"П")</f>
        <v>0</v>
      </c>
      <c r="Y238" s="50">
        <f>SUMIFS(INDEX(Техника!$F$1:$ABM$500,Y$2,0),Техника!$F$4:$ABM$4,"Часы",INDEX(Техника!$G$1:$ABN$500,Y$2,0),$A$235,INDEX(Техника!$H$1:$ABO$500,Y$2,0),"П")</f>
        <v>0</v>
      </c>
      <c r="Z238" s="50">
        <f>SUMIFS(INDEX(Техника!$F$1:$ABM$500,Z$2,0),Техника!$F$4:$ABM$4,"Часы",INDEX(Техника!$G$1:$ABN$500,Z$2,0),$A$235,INDEX(Техника!$H$1:$ABO$500,Z$2,0),"П")</f>
        <v>0</v>
      </c>
      <c r="AA238" s="50">
        <f>SUMIFS(INDEX(Техника!$F$1:$ABM$500,AA$2,0),Техника!$F$4:$ABM$4,"Часы",INDEX(Техника!$G$1:$ABN$500,AA$2,0),$A$235,INDEX(Техника!$H$1:$ABO$500,AA$2,0),"П")</f>
        <v>0</v>
      </c>
      <c r="AB238" s="50">
        <f>SUMIFS(INDEX(Техника!$F$1:$ABM$500,AB$2,0),Техника!$F$4:$ABM$4,"Часы",INDEX(Техника!$G$1:$ABN$500,AB$2,0),$A$235,INDEX(Техника!$H$1:$ABO$500,AB$2,0),"П")</f>
        <v>0</v>
      </c>
    </row>
    <row r="239" spans="1:28" hidden="1" outlineLevel="1" x14ac:dyDescent="0.3">
      <c r="A239" s="33" t="s">
        <v>243</v>
      </c>
      <c r="B239" s="34" t="s">
        <v>278</v>
      </c>
      <c r="C239" s="50">
        <f>SUMIFS(INDEX(Техника!$F$1:$ABM$500,C$2,0),Техника!$F$4:$ABM$4,"Часы",INDEX(Техника!$G$1:$ABN$500,C$2,0),$A$235,INDEX(Техника!$H$1:$ABO$500,C$2,0),"Л")</f>
        <v>0</v>
      </c>
      <c r="D239" s="50">
        <f>SUMIFS(INDEX(Техника!$F$1:$ABM$500,D$2,0),Техника!$F$4:$ABM$4,"Часы",INDEX(Техника!$G$1:$ABN$500,D$2,0),$A$235,INDEX(Техника!$H$1:$ABO$500,D$2,0),"Л")</f>
        <v>0</v>
      </c>
      <c r="E239" s="50">
        <f>SUMIFS(INDEX(Техника!$F$1:$ABM$500,E$2,0),Техника!$F$4:$ABM$4,"Часы",INDEX(Техника!$G$1:$ABN$500,E$2,0),$A$235,INDEX(Техника!$H$1:$ABO$500,E$2,0),"Л")</f>
        <v>0</v>
      </c>
      <c r="F239" s="50">
        <f>SUMIFS(INDEX(Техника!$F$1:$ABM$500,F$2,0),Техника!$F$4:$ABM$4,"Часы",INDEX(Техника!$G$1:$ABN$500,F$2,0),$A$235,INDEX(Техника!$H$1:$ABO$500,F$2,0),"Л")</f>
        <v>0</v>
      </c>
      <c r="G239" s="50">
        <f>SUMIFS(INDEX(Техника!$F$1:$ABM$500,G$2,0),Техника!$F$4:$ABM$4,"Часы",INDEX(Техника!$G$1:$ABN$500,G$2,0),$A$235,INDEX(Техника!$H$1:$ABO$500,G$2,0),"Л")</f>
        <v>0</v>
      </c>
      <c r="H239" s="50">
        <f>SUMIFS(INDEX(Техника!$F$1:$ABM$500,H$2,0),Техника!$F$4:$ABM$4,"Часы",INDEX(Техника!$G$1:$ABN$500,H$2,0),$A$235,INDEX(Техника!$H$1:$ABO$500,H$2,0),"Л")</f>
        <v>0</v>
      </c>
      <c r="I239" s="50">
        <f>SUMIFS(INDEX(Техника!$F$1:$ABM$500,I$2,0),Техника!$F$4:$ABM$4,"Часы",INDEX(Техника!$G$1:$ABN$500,I$2,0),$A$235,INDEX(Техника!$H$1:$ABO$500,I$2,0),"Л")</f>
        <v>0</v>
      </c>
      <c r="J239" s="50">
        <f>SUMIFS(INDEX(Техника!$F$1:$ABM$500,J$2,0),Техника!$F$4:$ABM$4,"Часы",INDEX(Техника!$G$1:$ABN$500,J$2,0),$A$235,INDEX(Техника!$H$1:$ABO$500,J$2,0),"Л")</f>
        <v>0</v>
      </c>
      <c r="K239" s="50">
        <f>SUMIFS(INDEX(Техника!$F$1:$ABM$500,K$2,0),Техника!$F$4:$ABM$4,"Часы",INDEX(Техника!$G$1:$ABN$500,K$2,0),$A$235,INDEX(Техника!$H$1:$ABO$500,K$2,0),"Л")</f>
        <v>0</v>
      </c>
      <c r="L239" s="50">
        <f>SUMIFS(INDEX(Техника!$F$1:$ABM$500,L$2,0),Техника!$F$4:$ABM$4,"Часы",INDEX(Техника!$G$1:$ABN$500,L$2,0),$A$235,INDEX(Техника!$H$1:$ABO$500,L$2,0),"Л")</f>
        <v>0</v>
      </c>
      <c r="M239" s="50">
        <f>SUMIFS(INDEX(Техника!$F$1:$ABM$500,M$2,0),Техника!$F$4:$ABM$4,"Часы",INDEX(Техника!$G$1:$ABN$500,M$2,0),$A$235,INDEX(Техника!$H$1:$ABO$500,M$2,0),"Л")</f>
        <v>0</v>
      </c>
      <c r="N239" s="50">
        <f>SUMIFS(INDEX(Техника!$F$1:$ABM$500,N$2,0),Техника!$F$4:$ABM$4,"Часы",INDEX(Техника!$G$1:$ABN$500,N$2,0),$A$235,INDEX(Техника!$H$1:$ABO$500,N$2,0),"Л")</f>
        <v>0</v>
      </c>
      <c r="O239" s="50">
        <f>SUMIFS(INDEX(Техника!$F$1:$ABM$500,O$2,0),Техника!$F$4:$ABM$4,"Часы",INDEX(Техника!$G$1:$ABN$500,O$2,0),$A$235,INDEX(Техника!$H$1:$ABO$500,O$2,0),"Л")</f>
        <v>0</v>
      </c>
      <c r="P239" s="50">
        <f>SUMIFS(INDEX(Техника!$F$1:$ABM$500,P$2,0),Техника!$F$4:$ABM$4,"Часы",INDEX(Техника!$G$1:$ABN$500,P$2,0),$A$235,INDEX(Техника!$H$1:$ABO$500,P$2,0),"Л")</f>
        <v>0</v>
      </c>
      <c r="Q239" s="50">
        <f>SUMIFS(INDEX(Техника!$F$1:$ABM$500,Q$2,0),Техника!$F$4:$ABM$4,"Часы",INDEX(Техника!$G$1:$ABN$500,Q$2,0),$A$235,INDEX(Техника!$H$1:$ABO$500,Q$2,0),"Л")</f>
        <v>0</v>
      </c>
      <c r="R239" s="50">
        <f>SUMIFS(INDEX(Техника!$F$1:$ABM$500,R$2,0),Техника!$F$4:$ABM$4,"Часы",INDEX(Техника!$G$1:$ABN$500,R$2,0),$A$235,INDEX(Техника!$H$1:$ABO$500,R$2,0),"Л")</f>
        <v>0</v>
      </c>
      <c r="S239" s="50">
        <f>SUMIFS(INDEX(Техника!$F$1:$ABM$500,S$2,0),Техника!$F$4:$ABM$4,"Часы",INDEX(Техника!$G$1:$ABN$500,S$2,0),$A$235,INDEX(Техника!$H$1:$ABO$500,S$2,0),"Л")</f>
        <v>0</v>
      </c>
      <c r="T239" s="50">
        <f>SUMIFS(INDEX(Техника!$F$1:$ABM$500,T$2,0),Техника!$F$4:$ABM$4,"Часы",INDEX(Техника!$G$1:$ABN$500,T$2,0),$A$235,INDEX(Техника!$H$1:$ABO$500,T$2,0),"Л")</f>
        <v>0</v>
      </c>
      <c r="U239" s="50">
        <f>SUMIFS(INDEX(Техника!$F$1:$ABM$500,U$2,0),Техника!$F$4:$ABM$4,"Часы",INDEX(Техника!$G$1:$ABN$500,U$2,0),$A$235,INDEX(Техника!$H$1:$ABO$500,U$2,0),"Л")</f>
        <v>0</v>
      </c>
      <c r="V239" s="50">
        <f>SUMIFS(INDEX(Техника!$F$1:$ABM$500,V$2,0),Техника!$F$4:$ABM$4,"Часы",INDEX(Техника!$G$1:$ABN$500,V$2,0),$A$235,INDEX(Техника!$H$1:$ABO$500,V$2,0),"Л")</f>
        <v>0</v>
      </c>
      <c r="W239" s="50">
        <f>SUMIFS(INDEX(Техника!$F$1:$ABM$500,W$2,0),Техника!$F$4:$ABM$4,"Часы",INDEX(Техника!$G$1:$ABN$500,W$2,0),$A$235,INDEX(Техника!$H$1:$ABO$500,W$2,0),"Л")</f>
        <v>0</v>
      </c>
      <c r="X239" s="50">
        <f>SUMIFS(INDEX(Техника!$F$1:$ABM$500,X$2,0),Техника!$F$4:$ABM$4,"Часы",INDEX(Техника!$G$1:$ABN$500,X$2,0),$A$235,INDEX(Техника!$H$1:$ABO$500,X$2,0),"Л")</f>
        <v>0</v>
      </c>
      <c r="Y239" s="50">
        <f>SUMIFS(INDEX(Техника!$F$1:$ABM$500,Y$2,0),Техника!$F$4:$ABM$4,"Часы",INDEX(Техника!$G$1:$ABN$500,Y$2,0),$A$235,INDEX(Техника!$H$1:$ABO$500,Y$2,0),"Л")</f>
        <v>0</v>
      </c>
      <c r="Z239" s="50">
        <f>SUMIFS(INDEX(Техника!$F$1:$ABM$500,Z$2,0),Техника!$F$4:$ABM$4,"Часы",INDEX(Техника!$G$1:$ABN$500,Z$2,0),$A$235,INDEX(Техника!$H$1:$ABO$500,Z$2,0),"Л")</f>
        <v>0</v>
      </c>
      <c r="AA239" s="50">
        <f>SUMIFS(INDEX(Техника!$F$1:$ABM$500,AA$2,0),Техника!$F$4:$ABM$4,"Часы",INDEX(Техника!$G$1:$ABN$500,AA$2,0),$A$235,INDEX(Техника!$H$1:$ABO$500,AA$2,0),"Л")</f>
        <v>0</v>
      </c>
      <c r="AB239" s="50">
        <f>SUMIFS(INDEX(Техника!$F$1:$ABM$500,AB$2,0),Техника!$F$4:$ABM$4,"Часы",INDEX(Техника!$G$1:$ABN$500,AB$2,0),$A$235,INDEX(Техника!$H$1:$ABO$500,AB$2,0),"Л")</f>
        <v>0</v>
      </c>
    </row>
    <row r="240" spans="1:28" hidden="1" outlineLevel="1" x14ac:dyDescent="0.3">
      <c r="A240" s="33" t="s">
        <v>245</v>
      </c>
      <c r="B240" s="34" t="s">
        <v>279</v>
      </c>
      <c r="C240" s="50">
        <f>SUMIFS(INDEX(Техника!$F$1:$ABM$500,C$2,0),Техника!$F$4:$ABM$4,"Часы",INDEX(Техника!$G$1:$ABN$500,C$2,0),$A$235,INDEX(Техника!$H$1:$ABO$500,C$2,0),"З")</f>
        <v>0</v>
      </c>
      <c r="D240" s="50">
        <f>SUMIFS(INDEX(Техника!$F$1:$ABM$500,D$2,0),Техника!$F$4:$ABM$4,"Часы",INDEX(Техника!$G$1:$ABN$500,D$2,0),$A$235,INDEX(Техника!$H$1:$ABO$500,D$2,0),"З")</f>
        <v>0</v>
      </c>
      <c r="E240" s="50">
        <f>SUMIFS(INDEX(Техника!$F$1:$ABM$500,E$2,0),Техника!$F$4:$ABM$4,"Часы",INDEX(Техника!$G$1:$ABN$500,E$2,0),$A$235,INDEX(Техника!$H$1:$ABO$500,E$2,0),"З")</f>
        <v>0</v>
      </c>
      <c r="F240" s="50">
        <f>SUMIFS(INDEX(Техника!$F$1:$ABM$500,F$2,0),Техника!$F$4:$ABM$4,"Часы",INDEX(Техника!$G$1:$ABN$500,F$2,0),$A$235,INDEX(Техника!$H$1:$ABO$500,F$2,0),"З")</f>
        <v>0</v>
      </c>
      <c r="G240" s="50">
        <f>SUMIFS(INDEX(Техника!$F$1:$ABM$500,G$2,0),Техника!$F$4:$ABM$4,"Часы",INDEX(Техника!$G$1:$ABN$500,G$2,0),$A$235,INDEX(Техника!$H$1:$ABO$500,G$2,0),"З")</f>
        <v>0</v>
      </c>
      <c r="H240" s="50">
        <f>SUMIFS(INDEX(Техника!$F$1:$ABM$500,H$2,0),Техника!$F$4:$ABM$4,"Часы",INDEX(Техника!$G$1:$ABN$500,H$2,0),$A$235,INDEX(Техника!$H$1:$ABO$500,H$2,0),"З")</f>
        <v>0</v>
      </c>
      <c r="I240" s="50">
        <f>SUMIFS(INDEX(Техника!$F$1:$ABM$500,I$2,0),Техника!$F$4:$ABM$4,"Часы",INDEX(Техника!$G$1:$ABN$500,I$2,0),$A$235,INDEX(Техника!$H$1:$ABO$500,I$2,0),"З")</f>
        <v>0</v>
      </c>
      <c r="J240" s="50">
        <f>SUMIFS(INDEX(Техника!$F$1:$ABM$500,J$2,0),Техника!$F$4:$ABM$4,"Часы",INDEX(Техника!$G$1:$ABN$500,J$2,0),$A$235,INDEX(Техника!$H$1:$ABO$500,J$2,0),"З")</f>
        <v>0</v>
      </c>
      <c r="K240" s="50">
        <f>SUMIFS(INDEX(Техника!$F$1:$ABM$500,K$2,0),Техника!$F$4:$ABM$4,"Часы",INDEX(Техника!$G$1:$ABN$500,K$2,0),$A$235,INDEX(Техника!$H$1:$ABO$500,K$2,0),"З")</f>
        <v>0</v>
      </c>
      <c r="L240" s="50">
        <f>SUMIFS(INDEX(Техника!$F$1:$ABM$500,L$2,0),Техника!$F$4:$ABM$4,"Часы",INDEX(Техника!$G$1:$ABN$500,L$2,0),$A$235,INDEX(Техника!$H$1:$ABO$500,L$2,0),"З")</f>
        <v>0</v>
      </c>
      <c r="M240" s="50">
        <f>SUMIFS(INDEX(Техника!$F$1:$ABM$500,M$2,0),Техника!$F$4:$ABM$4,"Часы",INDEX(Техника!$G$1:$ABN$500,M$2,0),$A$235,INDEX(Техника!$H$1:$ABO$500,M$2,0),"З")</f>
        <v>0</v>
      </c>
      <c r="N240" s="50">
        <f>SUMIFS(INDEX(Техника!$F$1:$ABM$500,N$2,0),Техника!$F$4:$ABM$4,"Часы",INDEX(Техника!$G$1:$ABN$500,N$2,0),$A$235,INDEX(Техника!$H$1:$ABO$500,N$2,0),"З")</f>
        <v>0</v>
      </c>
      <c r="O240" s="50">
        <f>SUMIFS(INDEX(Техника!$F$1:$ABM$500,O$2,0),Техника!$F$4:$ABM$4,"Часы",INDEX(Техника!$G$1:$ABN$500,O$2,0),$A$235,INDEX(Техника!$H$1:$ABO$500,O$2,0),"З")</f>
        <v>0</v>
      </c>
      <c r="P240" s="50">
        <f>SUMIFS(INDEX(Техника!$F$1:$ABM$500,P$2,0),Техника!$F$4:$ABM$4,"Часы",INDEX(Техника!$G$1:$ABN$500,P$2,0),$A$235,INDEX(Техника!$H$1:$ABO$500,P$2,0),"З")</f>
        <v>0</v>
      </c>
      <c r="Q240" s="50">
        <f>SUMIFS(INDEX(Техника!$F$1:$ABM$500,Q$2,0),Техника!$F$4:$ABM$4,"Часы",INDEX(Техника!$G$1:$ABN$500,Q$2,0),$A$235,INDEX(Техника!$H$1:$ABO$500,Q$2,0),"З")</f>
        <v>0</v>
      </c>
      <c r="R240" s="50">
        <f>SUMIFS(INDEX(Техника!$F$1:$ABM$500,R$2,0),Техника!$F$4:$ABM$4,"Часы",INDEX(Техника!$G$1:$ABN$500,R$2,0),$A$235,INDEX(Техника!$H$1:$ABO$500,R$2,0),"З")</f>
        <v>0</v>
      </c>
      <c r="S240" s="50">
        <f>SUMIFS(INDEX(Техника!$F$1:$ABM$500,S$2,0),Техника!$F$4:$ABM$4,"Часы",INDEX(Техника!$G$1:$ABN$500,S$2,0),$A$235,INDEX(Техника!$H$1:$ABO$500,S$2,0),"З")</f>
        <v>0</v>
      </c>
      <c r="T240" s="50">
        <f>SUMIFS(INDEX(Техника!$F$1:$ABM$500,T$2,0),Техника!$F$4:$ABM$4,"Часы",INDEX(Техника!$G$1:$ABN$500,T$2,0),$A$235,INDEX(Техника!$H$1:$ABO$500,T$2,0),"З")</f>
        <v>0</v>
      </c>
      <c r="U240" s="50">
        <f>SUMIFS(INDEX(Техника!$F$1:$ABM$500,U$2,0),Техника!$F$4:$ABM$4,"Часы",INDEX(Техника!$G$1:$ABN$500,U$2,0),$A$235,INDEX(Техника!$H$1:$ABO$500,U$2,0),"З")</f>
        <v>0</v>
      </c>
      <c r="V240" s="50">
        <f>SUMIFS(INDEX(Техника!$F$1:$ABM$500,V$2,0),Техника!$F$4:$ABM$4,"Часы",INDEX(Техника!$G$1:$ABN$500,V$2,0),$A$235,INDEX(Техника!$H$1:$ABO$500,V$2,0),"З")</f>
        <v>0</v>
      </c>
      <c r="W240" s="50">
        <f>SUMIFS(INDEX(Техника!$F$1:$ABM$500,W$2,0),Техника!$F$4:$ABM$4,"Часы",INDEX(Техника!$G$1:$ABN$500,W$2,0),$A$235,INDEX(Техника!$H$1:$ABO$500,W$2,0),"З")</f>
        <v>0</v>
      </c>
      <c r="X240" s="50">
        <f>SUMIFS(INDEX(Техника!$F$1:$ABM$500,X$2,0),Техника!$F$4:$ABM$4,"Часы",INDEX(Техника!$G$1:$ABN$500,X$2,0),$A$235,INDEX(Техника!$H$1:$ABO$500,X$2,0),"З")</f>
        <v>0</v>
      </c>
      <c r="Y240" s="50">
        <f>SUMIFS(INDEX(Техника!$F$1:$ABM$500,Y$2,0),Техника!$F$4:$ABM$4,"Часы",INDEX(Техника!$G$1:$ABN$500,Y$2,0),$A$235,INDEX(Техника!$H$1:$ABO$500,Y$2,0),"З")</f>
        <v>0</v>
      </c>
      <c r="Z240" s="50">
        <f>SUMIFS(INDEX(Техника!$F$1:$ABM$500,Z$2,0),Техника!$F$4:$ABM$4,"Часы",INDEX(Техника!$G$1:$ABN$500,Z$2,0),$A$235,INDEX(Техника!$H$1:$ABO$500,Z$2,0),"З")</f>
        <v>0</v>
      </c>
      <c r="AA240" s="50">
        <f>SUMIFS(INDEX(Техника!$F$1:$ABM$500,AA$2,0),Техника!$F$4:$ABM$4,"Часы",INDEX(Техника!$G$1:$ABN$500,AA$2,0),$A$235,INDEX(Техника!$H$1:$ABO$500,AA$2,0),"З")</f>
        <v>0</v>
      </c>
      <c r="AB240" s="50">
        <f>SUMIFS(INDEX(Техника!$F$1:$ABM$500,AB$2,0),Техника!$F$4:$ABM$4,"Часы",INDEX(Техника!$G$1:$ABN$500,AB$2,0),$A$235,INDEX(Техника!$H$1:$ABO$500,AB$2,0),"З")</f>
        <v>0</v>
      </c>
    </row>
    <row r="241" spans="1:28" ht="7.95" customHeight="1" x14ac:dyDescent="0.3">
      <c r="A241" s="38"/>
      <c r="B241" s="39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 spans="1:28" ht="25.05" customHeight="1" collapsed="1" x14ac:dyDescent="0.3">
      <c r="A242" s="32">
        <v>35</v>
      </c>
      <c r="B242" s="32" t="s">
        <v>36</v>
      </c>
      <c r="C242" s="49">
        <f>SUM(C243:C247)</f>
        <v>0</v>
      </c>
      <c r="D242" s="49">
        <f>SUM(D243:D247)</f>
        <v>0</v>
      </c>
      <c r="E242" s="49">
        <f>SUM(E243:E247)</f>
        <v>0</v>
      </c>
      <c r="F242" s="49">
        <f>SUM(F243:F247)</f>
        <v>0</v>
      </c>
      <c r="G242" s="49">
        <f>SUM(G243:G247)</f>
        <v>0</v>
      </c>
      <c r="H242" s="49">
        <f>SUM(H243:H247)</f>
        <v>0</v>
      </c>
      <c r="I242" s="49">
        <f>SUM(I243:I247)</f>
        <v>0</v>
      </c>
      <c r="J242" s="49">
        <f>SUM(J243:J247)</f>
        <v>0</v>
      </c>
      <c r="K242" s="49">
        <f>SUM(K243:K247)</f>
        <v>0</v>
      </c>
      <c r="L242" s="49">
        <f>SUM(L243:L247)</f>
        <v>0</v>
      </c>
      <c r="M242" s="49">
        <f>SUM(M243:M247)</f>
        <v>0</v>
      </c>
      <c r="N242" s="49">
        <f>SUM(N243:N247)</f>
        <v>0</v>
      </c>
      <c r="O242" s="49">
        <f>SUM(O243:O247)</f>
        <v>0</v>
      </c>
      <c r="P242" s="49">
        <f>SUM(P243:P247)</f>
        <v>0</v>
      </c>
      <c r="Q242" s="49">
        <f>SUM(Q243:Q247)</f>
        <v>0</v>
      </c>
      <c r="R242" s="49">
        <f>SUM(R243:R247)</f>
        <v>0</v>
      </c>
      <c r="S242" s="49">
        <f>SUM(S243:S247)</f>
        <v>0</v>
      </c>
      <c r="T242" s="49">
        <f>SUM(T243:T247)</f>
        <v>0</v>
      </c>
      <c r="U242" s="49">
        <f>SUM(U243:U247)</f>
        <v>0</v>
      </c>
      <c r="V242" s="49">
        <f>SUM(V243:V247)</f>
        <v>0</v>
      </c>
      <c r="W242" s="49">
        <f>SUM(W243:W247)</f>
        <v>0</v>
      </c>
      <c r="X242" s="49">
        <f>SUM(X243:X247)</f>
        <v>0</v>
      </c>
      <c r="Y242" s="49">
        <f>SUM(Y243:Y247)</f>
        <v>0</v>
      </c>
      <c r="Z242" s="49">
        <f>SUM(Z243:Z247)</f>
        <v>0</v>
      </c>
      <c r="AA242" s="49">
        <f>SUM(AA243:AA247)</f>
        <v>0</v>
      </c>
      <c r="AB242" s="49">
        <f>SUM(AB243:AB247)</f>
        <v>0</v>
      </c>
    </row>
    <row r="243" spans="1:28" hidden="1" outlineLevel="1" x14ac:dyDescent="0.3">
      <c r="A243" s="33" t="s">
        <v>246</v>
      </c>
      <c r="B243" s="34" t="s">
        <v>274</v>
      </c>
      <c r="C243" s="50">
        <f>SUMIFS(INDEX(Техника!$F$1:$ABM$500,C$2,0),Техника!$F$4:$ABM$4,"Часы",INDEX(Техника!$G$1:$ABN$500,C$2,0),$A$242,INDEX(Техника!$H$1:$ABO$500,C$2,0),"М")</f>
        <v>0</v>
      </c>
      <c r="D243" s="50">
        <f>SUMIFS(INDEX(Техника!$F$1:$ABM$500,D$2,0),Техника!$F$4:$ABM$4,"Часы",INDEX(Техника!$G$1:$ABN$500,D$2,0),$A$242,INDEX(Техника!$H$1:$ABO$500,D$2,0),"М")</f>
        <v>0</v>
      </c>
      <c r="E243" s="50">
        <f>SUMIFS(INDEX(Техника!$F$1:$ABM$500,E$2,0),Техника!$F$4:$ABM$4,"Часы",INDEX(Техника!$G$1:$ABN$500,E$2,0),$A$242,INDEX(Техника!$H$1:$ABO$500,E$2,0),"М")</f>
        <v>0</v>
      </c>
      <c r="F243" s="50">
        <f>SUMIFS(INDEX(Техника!$F$1:$ABM$500,F$2,0),Техника!$F$4:$ABM$4,"Часы",INDEX(Техника!$G$1:$ABN$500,F$2,0),$A$242,INDEX(Техника!$H$1:$ABO$500,F$2,0),"М")</f>
        <v>0</v>
      </c>
      <c r="G243" s="50">
        <f>SUMIFS(INDEX(Техника!$F$1:$ABM$500,G$2,0),Техника!$F$4:$ABM$4,"Часы",INDEX(Техника!$G$1:$ABN$500,G$2,0),$A$242,INDEX(Техника!$H$1:$ABO$500,G$2,0),"М")</f>
        <v>0</v>
      </c>
      <c r="H243" s="50">
        <f>SUMIFS(INDEX(Техника!$F$1:$ABM$500,H$2,0),Техника!$F$4:$ABM$4,"Часы",INDEX(Техника!$G$1:$ABN$500,H$2,0),$A$242,INDEX(Техника!$H$1:$ABO$500,H$2,0),"М")</f>
        <v>0</v>
      </c>
      <c r="I243" s="50">
        <f>SUMIFS(INDEX(Техника!$F$1:$ABM$500,I$2,0),Техника!$F$4:$ABM$4,"Часы",INDEX(Техника!$G$1:$ABN$500,I$2,0),$A$242,INDEX(Техника!$H$1:$ABO$500,I$2,0),"М")</f>
        <v>0</v>
      </c>
      <c r="J243" s="50">
        <f>SUMIFS(INDEX(Техника!$F$1:$ABM$500,J$2,0),Техника!$F$4:$ABM$4,"Часы",INDEX(Техника!$G$1:$ABN$500,J$2,0),$A$242,INDEX(Техника!$H$1:$ABO$500,J$2,0),"М")</f>
        <v>0</v>
      </c>
      <c r="K243" s="50">
        <f>SUMIFS(INDEX(Техника!$F$1:$ABM$500,K$2,0),Техника!$F$4:$ABM$4,"Часы",INDEX(Техника!$G$1:$ABN$500,K$2,0),$A$242,INDEX(Техника!$H$1:$ABO$500,K$2,0),"М")</f>
        <v>0</v>
      </c>
      <c r="L243" s="50">
        <f>SUMIFS(INDEX(Техника!$F$1:$ABM$500,L$2,0),Техника!$F$4:$ABM$4,"Часы",INDEX(Техника!$G$1:$ABN$500,L$2,0),$A$242,INDEX(Техника!$H$1:$ABO$500,L$2,0),"М")</f>
        <v>0</v>
      </c>
      <c r="M243" s="50">
        <f>SUMIFS(INDEX(Техника!$F$1:$ABM$500,M$2,0),Техника!$F$4:$ABM$4,"Часы",INDEX(Техника!$G$1:$ABN$500,M$2,0),$A$242,INDEX(Техника!$H$1:$ABO$500,M$2,0),"М")</f>
        <v>0</v>
      </c>
      <c r="N243" s="50">
        <f>SUMIFS(INDEX(Техника!$F$1:$ABM$500,N$2,0),Техника!$F$4:$ABM$4,"Часы",INDEX(Техника!$G$1:$ABN$500,N$2,0),$A$242,INDEX(Техника!$H$1:$ABO$500,N$2,0),"М")</f>
        <v>0</v>
      </c>
      <c r="O243" s="50">
        <f>SUMIFS(INDEX(Техника!$F$1:$ABM$500,O$2,0),Техника!$F$4:$ABM$4,"Часы",INDEX(Техника!$G$1:$ABN$500,O$2,0),$A$242,INDEX(Техника!$H$1:$ABO$500,O$2,0),"М")</f>
        <v>0</v>
      </c>
      <c r="P243" s="50">
        <f>SUMIFS(INDEX(Техника!$F$1:$ABM$500,P$2,0),Техника!$F$4:$ABM$4,"Часы",INDEX(Техника!$G$1:$ABN$500,P$2,0),$A$242,INDEX(Техника!$H$1:$ABO$500,P$2,0),"М")</f>
        <v>0</v>
      </c>
      <c r="Q243" s="50">
        <f>SUMIFS(INDEX(Техника!$F$1:$ABM$500,Q$2,0),Техника!$F$4:$ABM$4,"Часы",INDEX(Техника!$G$1:$ABN$500,Q$2,0),$A$242,INDEX(Техника!$H$1:$ABO$500,Q$2,0),"М")</f>
        <v>0</v>
      </c>
      <c r="R243" s="50">
        <f>SUMIFS(INDEX(Техника!$F$1:$ABM$500,R$2,0),Техника!$F$4:$ABM$4,"Часы",INDEX(Техника!$G$1:$ABN$500,R$2,0),$A$242,INDEX(Техника!$H$1:$ABO$500,R$2,0),"М")</f>
        <v>0</v>
      </c>
      <c r="S243" s="50">
        <f>SUMIFS(INDEX(Техника!$F$1:$ABM$500,S$2,0),Техника!$F$4:$ABM$4,"Часы",INDEX(Техника!$G$1:$ABN$500,S$2,0),$A$242,INDEX(Техника!$H$1:$ABO$500,S$2,0),"М")</f>
        <v>0</v>
      </c>
      <c r="T243" s="50">
        <f>SUMIFS(INDEX(Техника!$F$1:$ABM$500,T$2,0),Техника!$F$4:$ABM$4,"Часы",INDEX(Техника!$G$1:$ABN$500,T$2,0),$A$242,INDEX(Техника!$H$1:$ABO$500,T$2,0),"М")</f>
        <v>0</v>
      </c>
      <c r="U243" s="50">
        <f>SUMIFS(INDEX(Техника!$F$1:$ABM$500,U$2,0),Техника!$F$4:$ABM$4,"Часы",INDEX(Техника!$G$1:$ABN$500,U$2,0),$A$242,INDEX(Техника!$H$1:$ABO$500,U$2,0),"М")</f>
        <v>0</v>
      </c>
      <c r="V243" s="50">
        <f>SUMIFS(INDEX(Техника!$F$1:$ABM$500,V$2,0),Техника!$F$4:$ABM$4,"Часы",INDEX(Техника!$G$1:$ABN$500,V$2,0),$A$242,INDEX(Техника!$H$1:$ABO$500,V$2,0),"М")</f>
        <v>0</v>
      </c>
      <c r="W243" s="50">
        <f>SUMIFS(INDEX(Техника!$F$1:$ABM$500,W$2,0),Техника!$F$4:$ABM$4,"Часы",INDEX(Техника!$G$1:$ABN$500,W$2,0),$A$242,INDEX(Техника!$H$1:$ABO$500,W$2,0),"М")</f>
        <v>0</v>
      </c>
      <c r="X243" s="50">
        <f>SUMIFS(INDEX(Техника!$F$1:$ABM$500,X$2,0),Техника!$F$4:$ABM$4,"Часы",INDEX(Техника!$G$1:$ABN$500,X$2,0),$A$242,INDEX(Техника!$H$1:$ABO$500,X$2,0),"М")</f>
        <v>0</v>
      </c>
      <c r="Y243" s="50">
        <f>SUMIFS(INDEX(Техника!$F$1:$ABM$500,Y$2,0),Техника!$F$4:$ABM$4,"Часы",INDEX(Техника!$G$1:$ABN$500,Y$2,0),$A$242,INDEX(Техника!$H$1:$ABO$500,Y$2,0),"М")</f>
        <v>0</v>
      </c>
      <c r="Z243" s="50">
        <f>SUMIFS(INDEX(Техника!$F$1:$ABM$500,Z$2,0),Техника!$F$4:$ABM$4,"Часы",INDEX(Техника!$G$1:$ABN$500,Z$2,0),$A$242,INDEX(Техника!$H$1:$ABO$500,Z$2,0),"М")</f>
        <v>0</v>
      </c>
      <c r="AA243" s="50">
        <f>SUMIFS(INDEX(Техника!$F$1:$ABM$500,AA$2,0),Техника!$F$4:$ABM$4,"Часы",INDEX(Техника!$G$1:$ABN$500,AA$2,0),$A$242,INDEX(Техника!$H$1:$ABO$500,AA$2,0),"М")</f>
        <v>0</v>
      </c>
      <c r="AB243" s="50">
        <f>SUMIFS(INDEX(Техника!$F$1:$ABM$500,AB$2,0),Техника!$F$4:$ABM$4,"Часы",INDEX(Техника!$G$1:$ABN$500,AB$2,0),$A$242,INDEX(Техника!$H$1:$ABO$500,AB$2,0),"М")</f>
        <v>0</v>
      </c>
    </row>
    <row r="244" spans="1:28" hidden="1" outlineLevel="1" x14ac:dyDescent="0.3">
      <c r="A244" s="33" t="s">
        <v>244</v>
      </c>
      <c r="B244" s="34" t="s">
        <v>275</v>
      </c>
      <c r="C244" s="50">
        <f>SUMIFS(INDEX(Техника!$F$1:$ABM$500,C$2,0),Техника!$F$4:$ABM$4,"Часы",INDEX(Техника!$G$1:$ABN$500,C$2,0),$A$242,INDEX(Техника!$H$1:$ABO$500,C$2,0),"Д")</f>
        <v>0</v>
      </c>
      <c r="D244" s="50">
        <f>SUMIFS(INDEX(Техника!$F$1:$ABM$500,D$2,0),Техника!$F$4:$ABM$4,"Часы",INDEX(Техника!$G$1:$ABN$500,D$2,0),$A$242,INDEX(Техника!$H$1:$ABO$500,D$2,0),"Д")</f>
        <v>0</v>
      </c>
      <c r="E244" s="50">
        <f>SUMIFS(INDEX(Техника!$F$1:$ABM$500,E$2,0),Техника!$F$4:$ABM$4,"Часы",INDEX(Техника!$G$1:$ABN$500,E$2,0),$A$242,INDEX(Техника!$H$1:$ABO$500,E$2,0),"Д")</f>
        <v>0</v>
      </c>
      <c r="F244" s="50">
        <f>SUMIFS(INDEX(Техника!$F$1:$ABM$500,F$2,0),Техника!$F$4:$ABM$4,"Часы",INDEX(Техника!$G$1:$ABN$500,F$2,0),$A$242,INDEX(Техника!$H$1:$ABO$500,F$2,0),"Д")</f>
        <v>0</v>
      </c>
      <c r="G244" s="50">
        <f>SUMIFS(INDEX(Техника!$F$1:$ABM$500,G$2,0),Техника!$F$4:$ABM$4,"Часы",INDEX(Техника!$G$1:$ABN$500,G$2,0),$A$242,INDEX(Техника!$H$1:$ABO$500,G$2,0),"Д")</f>
        <v>0</v>
      </c>
      <c r="H244" s="50">
        <f>SUMIFS(INDEX(Техника!$F$1:$ABM$500,H$2,0),Техника!$F$4:$ABM$4,"Часы",INDEX(Техника!$G$1:$ABN$500,H$2,0),$A$242,INDEX(Техника!$H$1:$ABO$500,H$2,0),"Д")</f>
        <v>0</v>
      </c>
      <c r="I244" s="50">
        <f>SUMIFS(INDEX(Техника!$F$1:$ABM$500,I$2,0),Техника!$F$4:$ABM$4,"Часы",INDEX(Техника!$G$1:$ABN$500,I$2,0),$A$242,INDEX(Техника!$H$1:$ABO$500,I$2,0),"Д")</f>
        <v>0</v>
      </c>
      <c r="J244" s="50">
        <f>SUMIFS(INDEX(Техника!$F$1:$ABM$500,J$2,0),Техника!$F$4:$ABM$4,"Часы",INDEX(Техника!$G$1:$ABN$500,J$2,0),$A$242,INDEX(Техника!$H$1:$ABO$500,J$2,0),"Д")</f>
        <v>0</v>
      </c>
      <c r="K244" s="50">
        <f>SUMIFS(INDEX(Техника!$F$1:$ABM$500,K$2,0),Техника!$F$4:$ABM$4,"Часы",INDEX(Техника!$G$1:$ABN$500,K$2,0),$A$242,INDEX(Техника!$H$1:$ABO$500,K$2,0),"Д")</f>
        <v>0</v>
      </c>
      <c r="L244" s="50">
        <f>SUMIFS(INDEX(Техника!$F$1:$ABM$500,L$2,0),Техника!$F$4:$ABM$4,"Часы",INDEX(Техника!$G$1:$ABN$500,L$2,0),$A$242,INDEX(Техника!$H$1:$ABO$500,L$2,0),"Д")</f>
        <v>0</v>
      </c>
      <c r="M244" s="50">
        <f>SUMIFS(INDEX(Техника!$F$1:$ABM$500,M$2,0),Техника!$F$4:$ABM$4,"Часы",INDEX(Техника!$G$1:$ABN$500,M$2,0),$A$242,INDEX(Техника!$H$1:$ABO$500,M$2,0),"Д")</f>
        <v>0</v>
      </c>
      <c r="N244" s="50">
        <f>SUMIFS(INDEX(Техника!$F$1:$ABM$500,N$2,0),Техника!$F$4:$ABM$4,"Часы",INDEX(Техника!$G$1:$ABN$500,N$2,0),$A$242,INDEX(Техника!$H$1:$ABO$500,N$2,0),"Д")</f>
        <v>0</v>
      </c>
      <c r="O244" s="50">
        <f>SUMIFS(INDEX(Техника!$F$1:$ABM$500,O$2,0),Техника!$F$4:$ABM$4,"Часы",INDEX(Техника!$G$1:$ABN$500,O$2,0),$A$242,INDEX(Техника!$H$1:$ABO$500,O$2,0),"Д")</f>
        <v>0</v>
      </c>
      <c r="P244" s="50">
        <f>SUMIFS(INDEX(Техника!$F$1:$ABM$500,P$2,0),Техника!$F$4:$ABM$4,"Часы",INDEX(Техника!$G$1:$ABN$500,P$2,0),$A$242,INDEX(Техника!$H$1:$ABO$500,P$2,0),"Д")</f>
        <v>0</v>
      </c>
      <c r="Q244" s="50">
        <f>SUMIFS(INDEX(Техника!$F$1:$ABM$500,Q$2,0),Техника!$F$4:$ABM$4,"Часы",INDEX(Техника!$G$1:$ABN$500,Q$2,0),$A$242,INDEX(Техника!$H$1:$ABO$500,Q$2,0),"Д")</f>
        <v>0</v>
      </c>
      <c r="R244" s="50">
        <f>SUMIFS(INDEX(Техника!$F$1:$ABM$500,R$2,0),Техника!$F$4:$ABM$4,"Часы",INDEX(Техника!$G$1:$ABN$500,R$2,0),$A$242,INDEX(Техника!$H$1:$ABO$500,R$2,0),"Д")</f>
        <v>0</v>
      </c>
      <c r="S244" s="50">
        <f>SUMIFS(INDEX(Техника!$F$1:$ABM$500,S$2,0),Техника!$F$4:$ABM$4,"Часы",INDEX(Техника!$G$1:$ABN$500,S$2,0),$A$242,INDEX(Техника!$H$1:$ABO$500,S$2,0),"Д")</f>
        <v>0</v>
      </c>
      <c r="T244" s="50">
        <f>SUMIFS(INDEX(Техника!$F$1:$ABM$500,T$2,0),Техника!$F$4:$ABM$4,"Часы",INDEX(Техника!$G$1:$ABN$500,T$2,0),$A$242,INDEX(Техника!$H$1:$ABO$500,T$2,0),"Д")</f>
        <v>0</v>
      </c>
      <c r="U244" s="50">
        <f>SUMIFS(INDEX(Техника!$F$1:$ABM$500,U$2,0),Техника!$F$4:$ABM$4,"Часы",INDEX(Техника!$G$1:$ABN$500,U$2,0),$A$242,INDEX(Техника!$H$1:$ABO$500,U$2,0),"Д")</f>
        <v>0</v>
      </c>
      <c r="V244" s="50">
        <f>SUMIFS(INDEX(Техника!$F$1:$ABM$500,V$2,0),Техника!$F$4:$ABM$4,"Часы",INDEX(Техника!$G$1:$ABN$500,V$2,0),$A$242,INDEX(Техника!$H$1:$ABO$500,V$2,0),"Д")</f>
        <v>0</v>
      </c>
      <c r="W244" s="50">
        <f>SUMIFS(INDEX(Техника!$F$1:$ABM$500,W$2,0),Техника!$F$4:$ABM$4,"Часы",INDEX(Техника!$G$1:$ABN$500,W$2,0),$A$242,INDEX(Техника!$H$1:$ABO$500,W$2,0),"Д")</f>
        <v>0</v>
      </c>
      <c r="X244" s="50">
        <f>SUMIFS(INDEX(Техника!$F$1:$ABM$500,X$2,0),Техника!$F$4:$ABM$4,"Часы",INDEX(Техника!$G$1:$ABN$500,X$2,0),$A$242,INDEX(Техника!$H$1:$ABO$500,X$2,0),"Д")</f>
        <v>0</v>
      </c>
      <c r="Y244" s="50">
        <f>SUMIFS(INDEX(Техника!$F$1:$ABM$500,Y$2,0),Техника!$F$4:$ABM$4,"Часы",INDEX(Техника!$G$1:$ABN$500,Y$2,0),$A$242,INDEX(Техника!$H$1:$ABO$500,Y$2,0),"Д")</f>
        <v>0</v>
      </c>
      <c r="Z244" s="50">
        <f>SUMIFS(INDEX(Техника!$F$1:$ABM$500,Z$2,0),Техника!$F$4:$ABM$4,"Часы",INDEX(Техника!$G$1:$ABN$500,Z$2,0),$A$242,INDEX(Техника!$H$1:$ABO$500,Z$2,0),"Д")</f>
        <v>0</v>
      </c>
      <c r="AA244" s="50">
        <f>SUMIFS(INDEX(Техника!$F$1:$ABM$500,AA$2,0),Техника!$F$4:$ABM$4,"Часы",INDEX(Техника!$G$1:$ABN$500,AA$2,0),$A$242,INDEX(Техника!$H$1:$ABO$500,AA$2,0),"Д")</f>
        <v>0</v>
      </c>
      <c r="AB244" s="50">
        <f>SUMIFS(INDEX(Техника!$F$1:$ABM$500,AB$2,0),Техника!$F$4:$ABM$4,"Часы",INDEX(Техника!$G$1:$ABN$500,AB$2,0),$A$242,INDEX(Техника!$H$1:$ABO$500,AB$2,0),"Д")</f>
        <v>0</v>
      </c>
    </row>
    <row r="245" spans="1:28" hidden="1" outlineLevel="1" x14ac:dyDescent="0.3">
      <c r="A245" s="33" t="s">
        <v>276</v>
      </c>
      <c r="B245" s="34" t="s">
        <v>277</v>
      </c>
      <c r="C245" s="50">
        <f>SUMIFS(INDEX(Техника!$F$1:$ABM$500,C$2,0),Техника!$F$4:$ABM$4,"Часы",INDEX(Техника!$G$1:$ABN$500,C$2,0),$A$242,INDEX(Техника!$H$1:$ABO$500,C$2,0),"П")</f>
        <v>0</v>
      </c>
      <c r="D245" s="50">
        <f>SUMIFS(INDEX(Техника!$F$1:$ABM$500,D$2,0),Техника!$F$4:$ABM$4,"Часы",INDEX(Техника!$G$1:$ABN$500,D$2,0),$A$242,INDEX(Техника!$H$1:$ABO$500,D$2,0),"П")</f>
        <v>0</v>
      </c>
      <c r="E245" s="50">
        <f>SUMIFS(INDEX(Техника!$F$1:$ABM$500,E$2,0),Техника!$F$4:$ABM$4,"Часы",INDEX(Техника!$G$1:$ABN$500,E$2,0),$A$242,INDEX(Техника!$H$1:$ABO$500,E$2,0),"П")</f>
        <v>0</v>
      </c>
      <c r="F245" s="50">
        <f>SUMIFS(INDEX(Техника!$F$1:$ABM$500,F$2,0),Техника!$F$4:$ABM$4,"Часы",INDEX(Техника!$G$1:$ABN$500,F$2,0),$A$242,INDEX(Техника!$H$1:$ABO$500,F$2,0),"П")</f>
        <v>0</v>
      </c>
      <c r="G245" s="50">
        <f>SUMIFS(INDEX(Техника!$F$1:$ABM$500,G$2,0),Техника!$F$4:$ABM$4,"Часы",INDEX(Техника!$G$1:$ABN$500,G$2,0),$A$242,INDEX(Техника!$H$1:$ABO$500,G$2,0),"П")</f>
        <v>0</v>
      </c>
      <c r="H245" s="50">
        <f>SUMIFS(INDEX(Техника!$F$1:$ABM$500,H$2,0),Техника!$F$4:$ABM$4,"Часы",INDEX(Техника!$G$1:$ABN$500,H$2,0),$A$242,INDEX(Техника!$H$1:$ABO$500,H$2,0),"П")</f>
        <v>0</v>
      </c>
      <c r="I245" s="50">
        <f>SUMIFS(INDEX(Техника!$F$1:$ABM$500,I$2,0),Техника!$F$4:$ABM$4,"Часы",INDEX(Техника!$G$1:$ABN$500,I$2,0),$A$242,INDEX(Техника!$H$1:$ABO$500,I$2,0),"П")</f>
        <v>0</v>
      </c>
      <c r="J245" s="50">
        <f>SUMIFS(INDEX(Техника!$F$1:$ABM$500,J$2,0),Техника!$F$4:$ABM$4,"Часы",INDEX(Техника!$G$1:$ABN$500,J$2,0),$A$242,INDEX(Техника!$H$1:$ABO$500,J$2,0),"П")</f>
        <v>0</v>
      </c>
      <c r="K245" s="50">
        <f>SUMIFS(INDEX(Техника!$F$1:$ABM$500,K$2,0),Техника!$F$4:$ABM$4,"Часы",INDEX(Техника!$G$1:$ABN$500,K$2,0),$A$242,INDEX(Техника!$H$1:$ABO$500,K$2,0),"П")</f>
        <v>0</v>
      </c>
      <c r="L245" s="50">
        <f>SUMIFS(INDEX(Техника!$F$1:$ABM$500,L$2,0),Техника!$F$4:$ABM$4,"Часы",INDEX(Техника!$G$1:$ABN$500,L$2,0),$A$242,INDEX(Техника!$H$1:$ABO$500,L$2,0),"П")</f>
        <v>0</v>
      </c>
      <c r="M245" s="50">
        <f>SUMIFS(INDEX(Техника!$F$1:$ABM$500,M$2,0),Техника!$F$4:$ABM$4,"Часы",INDEX(Техника!$G$1:$ABN$500,M$2,0),$A$242,INDEX(Техника!$H$1:$ABO$500,M$2,0),"П")</f>
        <v>0</v>
      </c>
      <c r="N245" s="50">
        <f>SUMIFS(INDEX(Техника!$F$1:$ABM$500,N$2,0),Техника!$F$4:$ABM$4,"Часы",INDEX(Техника!$G$1:$ABN$500,N$2,0),$A$242,INDEX(Техника!$H$1:$ABO$500,N$2,0),"П")</f>
        <v>0</v>
      </c>
      <c r="O245" s="50">
        <f>SUMIFS(INDEX(Техника!$F$1:$ABM$500,O$2,0),Техника!$F$4:$ABM$4,"Часы",INDEX(Техника!$G$1:$ABN$500,O$2,0),$A$242,INDEX(Техника!$H$1:$ABO$500,O$2,0),"П")</f>
        <v>0</v>
      </c>
      <c r="P245" s="50">
        <f>SUMIFS(INDEX(Техника!$F$1:$ABM$500,P$2,0),Техника!$F$4:$ABM$4,"Часы",INDEX(Техника!$G$1:$ABN$500,P$2,0),$A$242,INDEX(Техника!$H$1:$ABO$500,P$2,0),"П")</f>
        <v>0</v>
      </c>
      <c r="Q245" s="50">
        <f>SUMIFS(INDEX(Техника!$F$1:$ABM$500,Q$2,0),Техника!$F$4:$ABM$4,"Часы",INDEX(Техника!$G$1:$ABN$500,Q$2,0),$A$242,INDEX(Техника!$H$1:$ABO$500,Q$2,0),"П")</f>
        <v>0</v>
      </c>
      <c r="R245" s="50">
        <f>SUMIFS(INDEX(Техника!$F$1:$ABM$500,R$2,0),Техника!$F$4:$ABM$4,"Часы",INDEX(Техника!$G$1:$ABN$500,R$2,0),$A$242,INDEX(Техника!$H$1:$ABO$500,R$2,0),"П")</f>
        <v>0</v>
      </c>
      <c r="S245" s="50">
        <f>SUMIFS(INDEX(Техника!$F$1:$ABM$500,S$2,0),Техника!$F$4:$ABM$4,"Часы",INDEX(Техника!$G$1:$ABN$500,S$2,0),$A$242,INDEX(Техника!$H$1:$ABO$500,S$2,0),"П")</f>
        <v>0</v>
      </c>
      <c r="T245" s="50">
        <f>SUMIFS(INDEX(Техника!$F$1:$ABM$500,T$2,0),Техника!$F$4:$ABM$4,"Часы",INDEX(Техника!$G$1:$ABN$500,T$2,0),$A$242,INDEX(Техника!$H$1:$ABO$500,T$2,0),"П")</f>
        <v>0</v>
      </c>
      <c r="U245" s="50">
        <f>SUMIFS(INDEX(Техника!$F$1:$ABM$500,U$2,0),Техника!$F$4:$ABM$4,"Часы",INDEX(Техника!$G$1:$ABN$500,U$2,0),$A$242,INDEX(Техника!$H$1:$ABO$500,U$2,0),"П")</f>
        <v>0</v>
      </c>
      <c r="V245" s="50">
        <f>SUMIFS(INDEX(Техника!$F$1:$ABM$500,V$2,0),Техника!$F$4:$ABM$4,"Часы",INDEX(Техника!$G$1:$ABN$500,V$2,0),$A$242,INDEX(Техника!$H$1:$ABO$500,V$2,0),"П")</f>
        <v>0</v>
      </c>
      <c r="W245" s="50">
        <f>SUMIFS(INDEX(Техника!$F$1:$ABM$500,W$2,0),Техника!$F$4:$ABM$4,"Часы",INDEX(Техника!$G$1:$ABN$500,W$2,0),$A$242,INDEX(Техника!$H$1:$ABO$500,W$2,0),"П")</f>
        <v>0</v>
      </c>
      <c r="X245" s="50">
        <f>SUMIFS(INDEX(Техника!$F$1:$ABM$500,X$2,0),Техника!$F$4:$ABM$4,"Часы",INDEX(Техника!$G$1:$ABN$500,X$2,0),$A$242,INDEX(Техника!$H$1:$ABO$500,X$2,0),"П")</f>
        <v>0</v>
      </c>
      <c r="Y245" s="50">
        <f>SUMIFS(INDEX(Техника!$F$1:$ABM$500,Y$2,0),Техника!$F$4:$ABM$4,"Часы",INDEX(Техника!$G$1:$ABN$500,Y$2,0),$A$242,INDEX(Техника!$H$1:$ABO$500,Y$2,0),"П")</f>
        <v>0</v>
      </c>
      <c r="Z245" s="50">
        <f>SUMIFS(INDEX(Техника!$F$1:$ABM$500,Z$2,0),Техника!$F$4:$ABM$4,"Часы",INDEX(Техника!$G$1:$ABN$500,Z$2,0),$A$242,INDEX(Техника!$H$1:$ABO$500,Z$2,0),"П")</f>
        <v>0</v>
      </c>
      <c r="AA245" s="50">
        <f>SUMIFS(INDEX(Техника!$F$1:$ABM$500,AA$2,0),Техника!$F$4:$ABM$4,"Часы",INDEX(Техника!$G$1:$ABN$500,AA$2,0),$A$242,INDEX(Техника!$H$1:$ABO$500,AA$2,0),"П")</f>
        <v>0</v>
      </c>
      <c r="AB245" s="50">
        <f>SUMIFS(INDEX(Техника!$F$1:$ABM$500,AB$2,0),Техника!$F$4:$ABM$4,"Часы",INDEX(Техника!$G$1:$ABN$500,AB$2,0),$A$242,INDEX(Техника!$H$1:$ABO$500,AB$2,0),"П")</f>
        <v>0</v>
      </c>
    </row>
    <row r="246" spans="1:28" hidden="1" outlineLevel="1" x14ac:dyDescent="0.3">
      <c r="A246" s="33" t="s">
        <v>243</v>
      </c>
      <c r="B246" s="34" t="s">
        <v>278</v>
      </c>
      <c r="C246" s="50">
        <f>SUMIFS(INDEX(Техника!$F$1:$ABM$500,C$2,0),Техника!$F$4:$ABM$4,"Часы",INDEX(Техника!$G$1:$ABN$500,C$2,0),$A$242,INDEX(Техника!$H$1:$ABO$500,C$2,0),"Л")</f>
        <v>0</v>
      </c>
      <c r="D246" s="50">
        <f>SUMIFS(INDEX(Техника!$F$1:$ABM$500,D$2,0),Техника!$F$4:$ABM$4,"Часы",INDEX(Техника!$G$1:$ABN$500,D$2,0),$A$242,INDEX(Техника!$H$1:$ABO$500,D$2,0),"Л")</f>
        <v>0</v>
      </c>
      <c r="E246" s="50">
        <f>SUMIFS(INDEX(Техника!$F$1:$ABM$500,E$2,0),Техника!$F$4:$ABM$4,"Часы",INDEX(Техника!$G$1:$ABN$500,E$2,0),$A$242,INDEX(Техника!$H$1:$ABO$500,E$2,0),"Л")</f>
        <v>0</v>
      </c>
      <c r="F246" s="50">
        <f>SUMIFS(INDEX(Техника!$F$1:$ABM$500,F$2,0),Техника!$F$4:$ABM$4,"Часы",INDEX(Техника!$G$1:$ABN$500,F$2,0),$A$242,INDEX(Техника!$H$1:$ABO$500,F$2,0),"Л")</f>
        <v>0</v>
      </c>
      <c r="G246" s="50">
        <f>SUMIFS(INDEX(Техника!$F$1:$ABM$500,G$2,0),Техника!$F$4:$ABM$4,"Часы",INDEX(Техника!$G$1:$ABN$500,G$2,0),$A$242,INDEX(Техника!$H$1:$ABO$500,G$2,0),"Л")</f>
        <v>0</v>
      </c>
      <c r="H246" s="50">
        <f>SUMIFS(INDEX(Техника!$F$1:$ABM$500,H$2,0),Техника!$F$4:$ABM$4,"Часы",INDEX(Техника!$G$1:$ABN$500,H$2,0),$A$242,INDEX(Техника!$H$1:$ABO$500,H$2,0),"Л")</f>
        <v>0</v>
      </c>
      <c r="I246" s="50">
        <f>SUMIFS(INDEX(Техника!$F$1:$ABM$500,I$2,0),Техника!$F$4:$ABM$4,"Часы",INDEX(Техника!$G$1:$ABN$500,I$2,0),$A$242,INDEX(Техника!$H$1:$ABO$500,I$2,0),"Л")</f>
        <v>0</v>
      </c>
      <c r="J246" s="50">
        <f>SUMIFS(INDEX(Техника!$F$1:$ABM$500,J$2,0),Техника!$F$4:$ABM$4,"Часы",INDEX(Техника!$G$1:$ABN$500,J$2,0),$A$242,INDEX(Техника!$H$1:$ABO$500,J$2,0),"Л")</f>
        <v>0</v>
      </c>
      <c r="K246" s="50">
        <f>SUMIFS(INDEX(Техника!$F$1:$ABM$500,K$2,0),Техника!$F$4:$ABM$4,"Часы",INDEX(Техника!$G$1:$ABN$500,K$2,0),$A$242,INDEX(Техника!$H$1:$ABO$500,K$2,0),"Л")</f>
        <v>0</v>
      </c>
      <c r="L246" s="50">
        <f>SUMIFS(INDEX(Техника!$F$1:$ABM$500,L$2,0),Техника!$F$4:$ABM$4,"Часы",INDEX(Техника!$G$1:$ABN$500,L$2,0),$A$242,INDEX(Техника!$H$1:$ABO$500,L$2,0),"Л")</f>
        <v>0</v>
      </c>
      <c r="M246" s="50">
        <f>SUMIFS(INDEX(Техника!$F$1:$ABM$500,M$2,0),Техника!$F$4:$ABM$4,"Часы",INDEX(Техника!$G$1:$ABN$500,M$2,0),$A$242,INDEX(Техника!$H$1:$ABO$500,M$2,0),"Л")</f>
        <v>0</v>
      </c>
      <c r="N246" s="50">
        <f>SUMIFS(INDEX(Техника!$F$1:$ABM$500,N$2,0),Техника!$F$4:$ABM$4,"Часы",INDEX(Техника!$G$1:$ABN$500,N$2,0),$A$242,INDEX(Техника!$H$1:$ABO$500,N$2,0),"Л")</f>
        <v>0</v>
      </c>
      <c r="O246" s="50">
        <f>SUMIFS(INDEX(Техника!$F$1:$ABM$500,O$2,0),Техника!$F$4:$ABM$4,"Часы",INDEX(Техника!$G$1:$ABN$500,O$2,0),$A$242,INDEX(Техника!$H$1:$ABO$500,O$2,0),"Л")</f>
        <v>0</v>
      </c>
      <c r="P246" s="50">
        <f>SUMIFS(INDEX(Техника!$F$1:$ABM$500,P$2,0),Техника!$F$4:$ABM$4,"Часы",INDEX(Техника!$G$1:$ABN$500,P$2,0),$A$242,INDEX(Техника!$H$1:$ABO$500,P$2,0),"Л")</f>
        <v>0</v>
      </c>
      <c r="Q246" s="50">
        <f>SUMIFS(INDEX(Техника!$F$1:$ABM$500,Q$2,0),Техника!$F$4:$ABM$4,"Часы",INDEX(Техника!$G$1:$ABN$500,Q$2,0),$A$242,INDEX(Техника!$H$1:$ABO$500,Q$2,0),"Л")</f>
        <v>0</v>
      </c>
      <c r="R246" s="50">
        <f>SUMIFS(INDEX(Техника!$F$1:$ABM$500,R$2,0),Техника!$F$4:$ABM$4,"Часы",INDEX(Техника!$G$1:$ABN$500,R$2,0),$A$242,INDEX(Техника!$H$1:$ABO$500,R$2,0),"Л")</f>
        <v>0</v>
      </c>
      <c r="S246" s="50">
        <f>SUMIFS(INDEX(Техника!$F$1:$ABM$500,S$2,0),Техника!$F$4:$ABM$4,"Часы",INDEX(Техника!$G$1:$ABN$500,S$2,0),$A$242,INDEX(Техника!$H$1:$ABO$500,S$2,0),"Л")</f>
        <v>0</v>
      </c>
      <c r="T246" s="50">
        <f>SUMIFS(INDEX(Техника!$F$1:$ABM$500,T$2,0),Техника!$F$4:$ABM$4,"Часы",INDEX(Техника!$G$1:$ABN$500,T$2,0),$A$242,INDEX(Техника!$H$1:$ABO$500,T$2,0),"Л")</f>
        <v>0</v>
      </c>
      <c r="U246" s="50">
        <f>SUMIFS(INDEX(Техника!$F$1:$ABM$500,U$2,0),Техника!$F$4:$ABM$4,"Часы",INDEX(Техника!$G$1:$ABN$500,U$2,0),$A$242,INDEX(Техника!$H$1:$ABO$500,U$2,0),"Л")</f>
        <v>0</v>
      </c>
      <c r="V246" s="50">
        <f>SUMIFS(INDEX(Техника!$F$1:$ABM$500,V$2,0),Техника!$F$4:$ABM$4,"Часы",INDEX(Техника!$G$1:$ABN$500,V$2,0),$A$242,INDEX(Техника!$H$1:$ABO$500,V$2,0),"Л")</f>
        <v>0</v>
      </c>
      <c r="W246" s="50">
        <f>SUMIFS(INDEX(Техника!$F$1:$ABM$500,W$2,0),Техника!$F$4:$ABM$4,"Часы",INDEX(Техника!$G$1:$ABN$500,W$2,0),$A$242,INDEX(Техника!$H$1:$ABO$500,W$2,0),"Л")</f>
        <v>0</v>
      </c>
      <c r="X246" s="50">
        <f>SUMIFS(INDEX(Техника!$F$1:$ABM$500,X$2,0),Техника!$F$4:$ABM$4,"Часы",INDEX(Техника!$G$1:$ABN$500,X$2,0),$A$242,INDEX(Техника!$H$1:$ABO$500,X$2,0),"Л")</f>
        <v>0</v>
      </c>
      <c r="Y246" s="50">
        <f>SUMIFS(INDEX(Техника!$F$1:$ABM$500,Y$2,0),Техника!$F$4:$ABM$4,"Часы",INDEX(Техника!$G$1:$ABN$500,Y$2,0),$A$242,INDEX(Техника!$H$1:$ABO$500,Y$2,0),"Л")</f>
        <v>0</v>
      </c>
      <c r="Z246" s="50">
        <f>SUMIFS(INDEX(Техника!$F$1:$ABM$500,Z$2,0),Техника!$F$4:$ABM$4,"Часы",INDEX(Техника!$G$1:$ABN$500,Z$2,0),$A$242,INDEX(Техника!$H$1:$ABO$500,Z$2,0),"Л")</f>
        <v>0</v>
      </c>
      <c r="AA246" s="50">
        <f>SUMIFS(INDEX(Техника!$F$1:$ABM$500,AA$2,0),Техника!$F$4:$ABM$4,"Часы",INDEX(Техника!$G$1:$ABN$500,AA$2,0),$A$242,INDEX(Техника!$H$1:$ABO$500,AA$2,0),"Л")</f>
        <v>0</v>
      </c>
      <c r="AB246" s="50">
        <f>SUMIFS(INDEX(Техника!$F$1:$ABM$500,AB$2,0),Техника!$F$4:$ABM$4,"Часы",INDEX(Техника!$G$1:$ABN$500,AB$2,0),$A$242,INDEX(Техника!$H$1:$ABO$500,AB$2,0),"Л")</f>
        <v>0</v>
      </c>
    </row>
    <row r="247" spans="1:28" hidden="1" outlineLevel="1" x14ac:dyDescent="0.3">
      <c r="A247" s="33" t="s">
        <v>245</v>
      </c>
      <c r="B247" s="34" t="s">
        <v>279</v>
      </c>
      <c r="C247" s="50">
        <f>SUMIFS(INDEX(Техника!$F$1:$ABM$500,C$2,0),Техника!$F$4:$ABM$4,"Часы",INDEX(Техника!$G$1:$ABN$500,C$2,0),$A$242,INDEX(Техника!$H$1:$ABO$500,C$2,0),"З")</f>
        <v>0</v>
      </c>
      <c r="D247" s="50">
        <f>SUMIFS(INDEX(Техника!$F$1:$ABM$500,D$2,0),Техника!$F$4:$ABM$4,"Часы",INDEX(Техника!$G$1:$ABN$500,D$2,0),$A$242,INDEX(Техника!$H$1:$ABO$500,D$2,0),"З")</f>
        <v>0</v>
      </c>
      <c r="E247" s="50">
        <f>SUMIFS(INDEX(Техника!$F$1:$ABM$500,E$2,0),Техника!$F$4:$ABM$4,"Часы",INDEX(Техника!$G$1:$ABN$500,E$2,0),$A$242,INDEX(Техника!$H$1:$ABO$500,E$2,0),"З")</f>
        <v>0</v>
      </c>
      <c r="F247" s="50">
        <f>SUMIFS(INDEX(Техника!$F$1:$ABM$500,F$2,0),Техника!$F$4:$ABM$4,"Часы",INDEX(Техника!$G$1:$ABN$500,F$2,0),$A$242,INDEX(Техника!$H$1:$ABO$500,F$2,0),"З")</f>
        <v>0</v>
      </c>
      <c r="G247" s="50">
        <f>SUMIFS(INDEX(Техника!$F$1:$ABM$500,G$2,0),Техника!$F$4:$ABM$4,"Часы",INDEX(Техника!$G$1:$ABN$500,G$2,0),$A$242,INDEX(Техника!$H$1:$ABO$500,G$2,0),"З")</f>
        <v>0</v>
      </c>
      <c r="H247" s="50">
        <f>SUMIFS(INDEX(Техника!$F$1:$ABM$500,H$2,0),Техника!$F$4:$ABM$4,"Часы",INDEX(Техника!$G$1:$ABN$500,H$2,0),$A$242,INDEX(Техника!$H$1:$ABO$500,H$2,0),"З")</f>
        <v>0</v>
      </c>
      <c r="I247" s="50">
        <f>SUMIFS(INDEX(Техника!$F$1:$ABM$500,I$2,0),Техника!$F$4:$ABM$4,"Часы",INDEX(Техника!$G$1:$ABN$500,I$2,0),$A$242,INDEX(Техника!$H$1:$ABO$500,I$2,0),"З")</f>
        <v>0</v>
      </c>
      <c r="J247" s="50">
        <f>SUMIFS(INDEX(Техника!$F$1:$ABM$500,J$2,0),Техника!$F$4:$ABM$4,"Часы",INDEX(Техника!$G$1:$ABN$500,J$2,0),$A$242,INDEX(Техника!$H$1:$ABO$500,J$2,0),"З")</f>
        <v>0</v>
      </c>
      <c r="K247" s="50">
        <f>SUMIFS(INDEX(Техника!$F$1:$ABM$500,K$2,0),Техника!$F$4:$ABM$4,"Часы",INDEX(Техника!$G$1:$ABN$500,K$2,0),$A$242,INDEX(Техника!$H$1:$ABO$500,K$2,0),"З")</f>
        <v>0</v>
      </c>
      <c r="L247" s="50">
        <f>SUMIFS(INDEX(Техника!$F$1:$ABM$500,L$2,0),Техника!$F$4:$ABM$4,"Часы",INDEX(Техника!$G$1:$ABN$500,L$2,0),$A$242,INDEX(Техника!$H$1:$ABO$500,L$2,0),"З")</f>
        <v>0</v>
      </c>
      <c r="M247" s="50">
        <f>SUMIFS(INDEX(Техника!$F$1:$ABM$500,M$2,0),Техника!$F$4:$ABM$4,"Часы",INDEX(Техника!$G$1:$ABN$500,M$2,0),$A$242,INDEX(Техника!$H$1:$ABO$500,M$2,0),"З")</f>
        <v>0</v>
      </c>
      <c r="N247" s="50">
        <f>SUMIFS(INDEX(Техника!$F$1:$ABM$500,N$2,0),Техника!$F$4:$ABM$4,"Часы",INDEX(Техника!$G$1:$ABN$500,N$2,0),$A$242,INDEX(Техника!$H$1:$ABO$500,N$2,0),"З")</f>
        <v>0</v>
      </c>
      <c r="O247" s="50">
        <f>SUMIFS(INDEX(Техника!$F$1:$ABM$500,O$2,0),Техника!$F$4:$ABM$4,"Часы",INDEX(Техника!$G$1:$ABN$500,O$2,0),$A$242,INDEX(Техника!$H$1:$ABO$500,O$2,0),"З")</f>
        <v>0</v>
      </c>
      <c r="P247" s="50">
        <f>SUMIFS(INDEX(Техника!$F$1:$ABM$500,P$2,0),Техника!$F$4:$ABM$4,"Часы",INDEX(Техника!$G$1:$ABN$500,P$2,0),$A$242,INDEX(Техника!$H$1:$ABO$500,P$2,0),"З")</f>
        <v>0</v>
      </c>
      <c r="Q247" s="50">
        <f>SUMIFS(INDEX(Техника!$F$1:$ABM$500,Q$2,0),Техника!$F$4:$ABM$4,"Часы",INDEX(Техника!$G$1:$ABN$500,Q$2,0),$A$242,INDEX(Техника!$H$1:$ABO$500,Q$2,0),"З")</f>
        <v>0</v>
      </c>
      <c r="R247" s="50">
        <f>SUMIFS(INDEX(Техника!$F$1:$ABM$500,R$2,0),Техника!$F$4:$ABM$4,"Часы",INDEX(Техника!$G$1:$ABN$500,R$2,0),$A$242,INDEX(Техника!$H$1:$ABO$500,R$2,0),"З")</f>
        <v>0</v>
      </c>
      <c r="S247" s="50">
        <f>SUMIFS(INDEX(Техника!$F$1:$ABM$500,S$2,0),Техника!$F$4:$ABM$4,"Часы",INDEX(Техника!$G$1:$ABN$500,S$2,0),$A$242,INDEX(Техника!$H$1:$ABO$500,S$2,0),"З")</f>
        <v>0</v>
      </c>
      <c r="T247" s="50">
        <f>SUMIFS(INDEX(Техника!$F$1:$ABM$500,T$2,0),Техника!$F$4:$ABM$4,"Часы",INDEX(Техника!$G$1:$ABN$500,T$2,0),$A$242,INDEX(Техника!$H$1:$ABO$500,T$2,0),"З")</f>
        <v>0</v>
      </c>
      <c r="U247" s="50">
        <f>SUMIFS(INDEX(Техника!$F$1:$ABM$500,U$2,0),Техника!$F$4:$ABM$4,"Часы",INDEX(Техника!$G$1:$ABN$500,U$2,0),$A$242,INDEX(Техника!$H$1:$ABO$500,U$2,0),"З")</f>
        <v>0</v>
      </c>
      <c r="V247" s="50">
        <f>SUMIFS(INDEX(Техника!$F$1:$ABM$500,V$2,0),Техника!$F$4:$ABM$4,"Часы",INDEX(Техника!$G$1:$ABN$500,V$2,0),$A$242,INDEX(Техника!$H$1:$ABO$500,V$2,0),"З")</f>
        <v>0</v>
      </c>
      <c r="W247" s="50">
        <f>SUMIFS(INDEX(Техника!$F$1:$ABM$500,W$2,0),Техника!$F$4:$ABM$4,"Часы",INDEX(Техника!$G$1:$ABN$500,W$2,0),$A$242,INDEX(Техника!$H$1:$ABO$500,W$2,0),"З")</f>
        <v>0</v>
      </c>
      <c r="X247" s="50">
        <f>SUMIFS(INDEX(Техника!$F$1:$ABM$500,X$2,0),Техника!$F$4:$ABM$4,"Часы",INDEX(Техника!$G$1:$ABN$500,X$2,0),$A$242,INDEX(Техника!$H$1:$ABO$500,X$2,0),"З")</f>
        <v>0</v>
      </c>
      <c r="Y247" s="50">
        <f>SUMIFS(INDEX(Техника!$F$1:$ABM$500,Y$2,0),Техника!$F$4:$ABM$4,"Часы",INDEX(Техника!$G$1:$ABN$500,Y$2,0),$A$242,INDEX(Техника!$H$1:$ABO$500,Y$2,0),"З")</f>
        <v>0</v>
      </c>
      <c r="Z247" s="50">
        <f>SUMIFS(INDEX(Техника!$F$1:$ABM$500,Z$2,0),Техника!$F$4:$ABM$4,"Часы",INDEX(Техника!$G$1:$ABN$500,Z$2,0),$A$242,INDEX(Техника!$H$1:$ABO$500,Z$2,0),"З")</f>
        <v>0</v>
      </c>
      <c r="AA247" s="50">
        <f>SUMIFS(INDEX(Техника!$F$1:$ABM$500,AA$2,0),Техника!$F$4:$ABM$4,"Часы",INDEX(Техника!$G$1:$ABN$500,AA$2,0),$A$242,INDEX(Техника!$H$1:$ABO$500,AA$2,0),"З")</f>
        <v>0</v>
      </c>
      <c r="AB247" s="50">
        <f>SUMIFS(INDEX(Техника!$F$1:$ABM$500,AB$2,0),Техника!$F$4:$ABM$4,"Часы",INDEX(Техника!$G$1:$ABN$500,AB$2,0),$A$242,INDEX(Техника!$H$1:$ABO$500,AB$2,0),"З")</f>
        <v>0</v>
      </c>
    </row>
    <row r="248" spans="1:28" ht="7.95" customHeight="1" x14ac:dyDescent="0.3">
      <c r="A248" s="38"/>
      <c r="B248" s="39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 spans="1:28" ht="25.05" customHeight="1" collapsed="1" x14ac:dyDescent="0.3">
      <c r="A249" s="32">
        <v>36</v>
      </c>
      <c r="B249" s="32" t="s">
        <v>37</v>
      </c>
      <c r="C249" s="49">
        <f>SUM(C250:C254)</f>
        <v>0</v>
      </c>
      <c r="D249" s="49">
        <f>SUM(D250:D254)</f>
        <v>0</v>
      </c>
      <c r="E249" s="49">
        <f>SUM(E250:E254)</f>
        <v>0</v>
      </c>
      <c r="F249" s="49">
        <f>SUM(F250:F254)</f>
        <v>0</v>
      </c>
      <c r="G249" s="49">
        <f>SUM(G250:G254)</f>
        <v>0</v>
      </c>
      <c r="H249" s="49">
        <f>SUM(H250:H254)</f>
        <v>0</v>
      </c>
      <c r="I249" s="49">
        <f>SUM(I250:I254)</f>
        <v>0</v>
      </c>
      <c r="J249" s="49">
        <f>SUM(J250:J254)</f>
        <v>0</v>
      </c>
      <c r="K249" s="49">
        <f>SUM(K250:K254)</f>
        <v>0</v>
      </c>
      <c r="L249" s="49">
        <f>SUM(L250:L254)</f>
        <v>0</v>
      </c>
      <c r="M249" s="49">
        <f>SUM(M250:M254)</f>
        <v>0</v>
      </c>
      <c r="N249" s="49">
        <f>SUM(N250:N254)</f>
        <v>0</v>
      </c>
      <c r="O249" s="49">
        <f>SUM(O250:O254)</f>
        <v>0</v>
      </c>
      <c r="P249" s="49">
        <f>SUM(P250:P254)</f>
        <v>0</v>
      </c>
      <c r="Q249" s="49">
        <f>SUM(Q250:Q254)</f>
        <v>0</v>
      </c>
      <c r="R249" s="49">
        <f>SUM(R250:R254)</f>
        <v>0</v>
      </c>
      <c r="S249" s="49">
        <f>SUM(S250:S254)</f>
        <v>0</v>
      </c>
      <c r="T249" s="49">
        <f>SUM(T250:T254)</f>
        <v>0</v>
      </c>
      <c r="U249" s="49">
        <f>SUM(U250:U254)</f>
        <v>0</v>
      </c>
      <c r="V249" s="49">
        <f>SUM(V250:V254)</f>
        <v>0</v>
      </c>
      <c r="W249" s="49">
        <f>SUM(W250:W254)</f>
        <v>0</v>
      </c>
      <c r="X249" s="49">
        <f>SUM(X250:X254)</f>
        <v>0</v>
      </c>
      <c r="Y249" s="49">
        <f>SUM(Y250:Y254)</f>
        <v>0</v>
      </c>
      <c r="Z249" s="49">
        <f>SUM(Z250:Z254)</f>
        <v>0</v>
      </c>
      <c r="AA249" s="49">
        <f>SUM(AA250:AA254)</f>
        <v>0</v>
      </c>
      <c r="AB249" s="49">
        <f>SUM(AB250:AB254)</f>
        <v>0</v>
      </c>
    </row>
    <row r="250" spans="1:28" hidden="1" outlineLevel="1" x14ac:dyDescent="0.3">
      <c r="A250" s="33" t="s">
        <v>246</v>
      </c>
      <c r="B250" s="34" t="s">
        <v>274</v>
      </c>
      <c r="C250" s="50">
        <f>SUMIFS(INDEX(Техника!$F$1:$ABM$500,C$2,0),Техника!$F$4:$ABM$4,"Часы",INDEX(Техника!$G$1:$ABN$500,C$2,0),$A$249,INDEX(Техника!$H$1:$ABO$500,C$2,0),"М")</f>
        <v>0</v>
      </c>
      <c r="D250" s="50">
        <f>SUMIFS(INDEX(Техника!$F$1:$ABM$500,D$2,0),Техника!$F$4:$ABM$4,"Часы",INDEX(Техника!$G$1:$ABN$500,D$2,0),$A$249,INDEX(Техника!$H$1:$ABO$500,D$2,0),"М")</f>
        <v>0</v>
      </c>
      <c r="E250" s="50">
        <f>SUMIFS(INDEX(Техника!$F$1:$ABM$500,E$2,0),Техника!$F$4:$ABM$4,"Часы",INDEX(Техника!$G$1:$ABN$500,E$2,0),$A$249,INDEX(Техника!$H$1:$ABO$500,E$2,0),"М")</f>
        <v>0</v>
      </c>
      <c r="F250" s="50">
        <f>SUMIFS(INDEX(Техника!$F$1:$ABM$500,F$2,0),Техника!$F$4:$ABM$4,"Часы",INDEX(Техника!$G$1:$ABN$500,F$2,0),$A$249,INDEX(Техника!$H$1:$ABO$500,F$2,0),"М")</f>
        <v>0</v>
      </c>
      <c r="G250" s="50">
        <f>SUMIFS(INDEX(Техника!$F$1:$ABM$500,G$2,0),Техника!$F$4:$ABM$4,"Часы",INDEX(Техника!$G$1:$ABN$500,G$2,0),$A$249,INDEX(Техника!$H$1:$ABO$500,G$2,0),"М")</f>
        <v>0</v>
      </c>
      <c r="H250" s="50">
        <f>SUMIFS(INDEX(Техника!$F$1:$ABM$500,H$2,0),Техника!$F$4:$ABM$4,"Часы",INDEX(Техника!$G$1:$ABN$500,H$2,0),$A$249,INDEX(Техника!$H$1:$ABO$500,H$2,0),"М")</f>
        <v>0</v>
      </c>
      <c r="I250" s="50">
        <f>SUMIFS(INDEX(Техника!$F$1:$ABM$500,I$2,0),Техника!$F$4:$ABM$4,"Часы",INDEX(Техника!$G$1:$ABN$500,I$2,0),$A$249,INDEX(Техника!$H$1:$ABO$500,I$2,0),"М")</f>
        <v>0</v>
      </c>
      <c r="J250" s="50">
        <f>SUMIFS(INDEX(Техника!$F$1:$ABM$500,J$2,0),Техника!$F$4:$ABM$4,"Часы",INDEX(Техника!$G$1:$ABN$500,J$2,0),$A$249,INDEX(Техника!$H$1:$ABO$500,J$2,0),"М")</f>
        <v>0</v>
      </c>
      <c r="K250" s="50">
        <f>SUMIFS(INDEX(Техника!$F$1:$ABM$500,K$2,0),Техника!$F$4:$ABM$4,"Часы",INDEX(Техника!$G$1:$ABN$500,K$2,0),$A$249,INDEX(Техника!$H$1:$ABO$500,K$2,0),"М")</f>
        <v>0</v>
      </c>
      <c r="L250" s="50">
        <f>SUMIFS(INDEX(Техника!$F$1:$ABM$500,L$2,0),Техника!$F$4:$ABM$4,"Часы",INDEX(Техника!$G$1:$ABN$500,L$2,0),$A$249,INDEX(Техника!$H$1:$ABO$500,L$2,0),"М")</f>
        <v>0</v>
      </c>
      <c r="M250" s="50">
        <f>SUMIFS(INDEX(Техника!$F$1:$ABM$500,M$2,0),Техника!$F$4:$ABM$4,"Часы",INDEX(Техника!$G$1:$ABN$500,M$2,0),$A$249,INDEX(Техника!$H$1:$ABO$500,M$2,0),"М")</f>
        <v>0</v>
      </c>
      <c r="N250" s="50">
        <f>SUMIFS(INDEX(Техника!$F$1:$ABM$500,N$2,0),Техника!$F$4:$ABM$4,"Часы",INDEX(Техника!$G$1:$ABN$500,N$2,0),$A$249,INDEX(Техника!$H$1:$ABO$500,N$2,0),"М")</f>
        <v>0</v>
      </c>
      <c r="O250" s="50">
        <f>SUMIFS(INDEX(Техника!$F$1:$ABM$500,O$2,0),Техника!$F$4:$ABM$4,"Часы",INDEX(Техника!$G$1:$ABN$500,O$2,0),$A$249,INDEX(Техника!$H$1:$ABO$500,O$2,0),"М")</f>
        <v>0</v>
      </c>
      <c r="P250" s="50">
        <f>SUMIFS(INDEX(Техника!$F$1:$ABM$500,P$2,0),Техника!$F$4:$ABM$4,"Часы",INDEX(Техника!$G$1:$ABN$500,P$2,0),$A$249,INDEX(Техника!$H$1:$ABO$500,P$2,0),"М")</f>
        <v>0</v>
      </c>
      <c r="Q250" s="50">
        <f>SUMIFS(INDEX(Техника!$F$1:$ABM$500,Q$2,0),Техника!$F$4:$ABM$4,"Часы",INDEX(Техника!$G$1:$ABN$500,Q$2,0),$A$249,INDEX(Техника!$H$1:$ABO$500,Q$2,0),"М")</f>
        <v>0</v>
      </c>
      <c r="R250" s="50">
        <f>SUMIFS(INDEX(Техника!$F$1:$ABM$500,R$2,0),Техника!$F$4:$ABM$4,"Часы",INDEX(Техника!$G$1:$ABN$500,R$2,0),$A$249,INDEX(Техника!$H$1:$ABO$500,R$2,0),"М")</f>
        <v>0</v>
      </c>
      <c r="S250" s="50">
        <f>SUMIFS(INDEX(Техника!$F$1:$ABM$500,S$2,0),Техника!$F$4:$ABM$4,"Часы",INDEX(Техника!$G$1:$ABN$500,S$2,0),$A$249,INDEX(Техника!$H$1:$ABO$500,S$2,0),"М")</f>
        <v>0</v>
      </c>
      <c r="T250" s="50">
        <f>SUMIFS(INDEX(Техника!$F$1:$ABM$500,T$2,0),Техника!$F$4:$ABM$4,"Часы",INDEX(Техника!$G$1:$ABN$500,T$2,0),$A$249,INDEX(Техника!$H$1:$ABO$500,T$2,0),"М")</f>
        <v>0</v>
      </c>
      <c r="U250" s="50">
        <f>SUMIFS(INDEX(Техника!$F$1:$ABM$500,U$2,0),Техника!$F$4:$ABM$4,"Часы",INDEX(Техника!$G$1:$ABN$500,U$2,0),$A$249,INDEX(Техника!$H$1:$ABO$500,U$2,0),"М")</f>
        <v>0</v>
      </c>
      <c r="V250" s="50">
        <f>SUMIFS(INDEX(Техника!$F$1:$ABM$500,V$2,0),Техника!$F$4:$ABM$4,"Часы",INDEX(Техника!$G$1:$ABN$500,V$2,0),$A$249,INDEX(Техника!$H$1:$ABO$500,V$2,0),"М")</f>
        <v>0</v>
      </c>
      <c r="W250" s="50">
        <f>SUMIFS(INDEX(Техника!$F$1:$ABM$500,W$2,0),Техника!$F$4:$ABM$4,"Часы",INDEX(Техника!$G$1:$ABN$500,W$2,0),$A$249,INDEX(Техника!$H$1:$ABO$500,W$2,0),"М")</f>
        <v>0</v>
      </c>
      <c r="X250" s="50">
        <f>SUMIFS(INDEX(Техника!$F$1:$ABM$500,X$2,0),Техника!$F$4:$ABM$4,"Часы",INDEX(Техника!$G$1:$ABN$500,X$2,0),$A$249,INDEX(Техника!$H$1:$ABO$500,X$2,0),"М")</f>
        <v>0</v>
      </c>
      <c r="Y250" s="50">
        <f>SUMIFS(INDEX(Техника!$F$1:$ABM$500,Y$2,0),Техника!$F$4:$ABM$4,"Часы",INDEX(Техника!$G$1:$ABN$500,Y$2,0),$A$249,INDEX(Техника!$H$1:$ABO$500,Y$2,0),"М")</f>
        <v>0</v>
      </c>
      <c r="Z250" s="50">
        <f>SUMIFS(INDEX(Техника!$F$1:$ABM$500,Z$2,0),Техника!$F$4:$ABM$4,"Часы",INDEX(Техника!$G$1:$ABN$500,Z$2,0),$A$249,INDEX(Техника!$H$1:$ABO$500,Z$2,0),"М")</f>
        <v>0</v>
      </c>
      <c r="AA250" s="50">
        <f>SUMIFS(INDEX(Техника!$F$1:$ABM$500,AA$2,0),Техника!$F$4:$ABM$4,"Часы",INDEX(Техника!$G$1:$ABN$500,AA$2,0),$A$249,INDEX(Техника!$H$1:$ABO$500,AA$2,0),"М")</f>
        <v>0</v>
      </c>
      <c r="AB250" s="50">
        <f>SUMIFS(INDEX(Техника!$F$1:$ABM$500,AB$2,0),Техника!$F$4:$ABM$4,"Часы",INDEX(Техника!$G$1:$ABN$500,AB$2,0),$A$249,INDEX(Техника!$H$1:$ABO$500,AB$2,0),"М")</f>
        <v>0</v>
      </c>
    </row>
    <row r="251" spans="1:28" hidden="1" outlineLevel="1" x14ac:dyDescent="0.3">
      <c r="A251" s="33" t="s">
        <v>244</v>
      </c>
      <c r="B251" s="34" t="s">
        <v>275</v>
      </c>
      <c r="C251" s="50">
        <f>SUMIFS(INDEX(Техника!$F$1:$ABM$500,C$2,0),Техника!$F$4:$ABM$4,"Часы",INDEX(Техника!$G$1:$ABN$500,C$2,0),$A$249,INDEX(Техника!$H$1:$ABO$500,C$2,0),"Д")</f>
        <v>0</v>
      </c>
      <c r="D251" s="50">
        <f>SUMIFS(INDEX(Техника!$F$1:$ABM$500,D$2,0),Техника!$F$4:$ABM$4,"Часы",INDEX(Техника!$G$1:$ABN$500,D$2,0),$A$249,INDEX(Техника!$H$1:$ABO$500,D$2,0),"Д")</f>
        <v>0</v>
      </c>
      <c r="E251" s="50">
        <f>SUMIFS(INDEX(Техника!$F$1:$ABM$500,E$2,0),Техника!$F$4:$ABM$4,"Часы",INDEX(Техника!$G$1:$ABN$500,E$2,0),$A$249,INDEX(Техника!$H$1:$ABO$500,E$2,0),"Д")</f>
        <v>0</v>
      </c>
      <c r="F251" s="50">
        <f>SUMIFS(INDEX(Техника!$F$1:$ABM$500,F$2,0),Техника!$F$4:$ABM$4,"Часы",INDEX(Техника!$G$1:$ABN$500,F$2,0),$A$249,INDEX(Техника!$H$1:$ABO$500,F$2,0),"Д")</f>
        <v>0</v>
      </c>
      <c r="G251" s="50">
        <f>SUMIFS(INDEX(Техника!$F$1:$ABM$500,G$2,0),Техника!$F$4:$ABM$4,"Часы",INDEX(Техника!$G$1:$ABN$500,G$2,0),$A$249,INDEX(Техника!$H$1:$ABO$500,G$2,0),"Д")</f>
        <v>0</v>
      </c>
      <c r="H251" s="50">
        <f>SUMIFS(INDEX(Техника!$F$1:$ABM$500,H$2,0),Техника!$F$4:$ABM$4,"Часы",INDEX(Техника!$G$1:$ABN$500,H$2,0),$A$249,INDEX(Техника!$H$1:$ABO$500,H$2,0),"Д")</f>
        <v>0</v>
      </c>
      <c r="I251" s="50">
        <f>SUMIFS(INDEX(Техника!$F$1:$ABM$500,I$2,0),Техника!$F$4:$ABM$4,"Часы",INDEX(Техника!$G$1:$ABN$500,I$2,0),$A$249,INDEX(Техника!$H$1:$ABO$500,I$2,0),"Д")</f>
        <v>0</v>
      </c>
      <c r="J251" s="50">
        <f>SUMIFS(INDEX(Техника!$F$1:$ABM$500,J$2,0),Техника!$F$4:$ABM$4,"Часы",INDEX(Техника!$G$1:$ABN$500,J$2,0),$A$249,INDEX(Техника!$H$1:$ABO$500,J$2,0),"Д")</f>
        <v>0</v>
      </c>
      <c r="K251" s="50">
        <f>SUMIFS(INDEX(Техника!$F$1:$ABM$500,K$2,0),Техника!$F$4:$ABM$4,"Часы",INDEX(Техника!$G$1:$ABN$500,K$2,0),$A$249,INDEX(Техника!$H$1:$ABO$500,K$2,0),"Д")</f>
        <v>0</v>
      </c>
      <c r="L251" s="50">
        <f>SUMIFS(INDEX(Техника!$F$1:$ABM$500,L$2,0),Техника!$F$4:$ABM$4,"Часы",INDEX(Техника!$G$1:$ABN$500,L$2,0),$A$249,INDEX(Техника!$H$1:$ABO$500,L$2,0),"Д")</f>
        <v>0</v>
      </c>
      <c r="M251" s="50">
        <f>SUMIFS(INDEX(Техника!$F$1:$ABM$500,M$2,0),Техника!$F$4:$ABM$4,"Часы",INDEX(Техника!$G$1:$ABN$500,M$2,0),$A$249,INDEX(Техника!$H$1:$ABO$500,M$2,0),"Д")</f>
        <v>0</v>
      </c>
      <c r="N251" s="50">
        <f>SUMIFS(INDEX(Техника!$F$1:$ABM$500,N$2,0),Техника!$F$4:$ABM$4,"Часы",INDEX(Техника!$G$1:$ABN$500,N$2,0),$A$249,INDEX(Техника!$H$1:$ABO$500,N$2,0),"Д")</f>
        <v>0</v>
      </c>
      <c r="O251" s="50">
        <f>SUMIFS(INDEX(Техника!$F$1:$ABM$500,O$2,0),Техника!$F$4:$ABM$4,"Часы",INDEX(Техника!$G$1:$ABN$500,O$2,0),$A$249,INDEX(Техника!$H$1:$ABO$500,O$2,0),"Д")</f>
        <v>0</v>
      </c>
      <c r="P251" s="50">
        <f>SUMIFS(INDEX(Техника!$F$1:$ABM$500,P$2,0),Техника!$F$4:$ABM$4,"Часы",INDEX(Техника!$G$1:$ABN$500,P$2,0),$A$249,INDEX(Техника!$H$1:$ABO$500,P$2,0),"Д")</f>
        <v>0</v>
      </c>
      <c r="Q251" s="50">
        <f>SUMIFS(INDEX(Техника!$F$1:$ABM$500,Q$2,0),Техника!$F$4:$ABM$4,"Часы",INDEX(Техника!$G$1:$ABN$500,Q$2,0),$A$249,INDEX(Техника!$H$1:$ABO$500,Q$2,0),"Д")</f>
        <v>0</v>
      </c>
      <c r="R251" s="50">
        <f>SUMIFS(INDEX(Техника!$F$1:$ABM$500,R$2,0),Техника!$F$4:$ABM$4,"Часы",INDEX(Техника!$G$1:$ABN$500,R$2,0),$A$249,INDEX(Техника!$H$1:$ABO$500,R$2,0),"Д")</f>
        <v>0</v>
      </c>
      <c r="S251" s="50">
        <f>SUMIFS(INDEX(Техника!$F$1:$ABM$500,S$2,0),Техника!$F$4:$ABM$4,"Часы",INDEX(Техника!$G$1:$ABN$500,S$2,0),$A$249,INDEX(Техника!$H$1:$ABO$500,S$2,0),"Д")</f>
        <v>0</v>
      </c>
      <c r="T251" s="50">
        <f>SUMIFS(INDEX(Техника!$F$1:$ABM$500,T$2,0),Техника!$F$4:$ABM$4,"Часы",INDEX(Техника!$G$1:$ABN$500,T$2,0),$A$249,INDEX(Техника!$H$1:$ABO$500,T$2,0),"Д")</f>
        <v>0</v>
      </c>
      <c r="U251" s="50">
        <f>SUMIFS(INDEX(Техника!$F$1:$ABM$500,U$2,0),Техника!$F$4:$ABM$4,"Часы",INDEX(Техника!$G$1:$ABN$500,U$2,0),$A$249,INDEX(Техника!$H$1:$ABO$500,U$2,0),"Д")</f>
        <v>0</v>
      </c>
      <c r="V251" s="50">
        <f>SUMIFS(INDEX(Техника!$F$1:$ABM$500,V$2,0),Техника!$F$4:$ABM$4,"Часы",INDEX(Техника!$G$1:$ABN$500,V$2,0),$A$249,INDEX(Техника!$H$1:$ABO$500,V$2,0),"Д")</f>
        <v>0</v>
      </c>
      <c r="W251" s="50">
        <f>SUMIFS(INDEX(Техника!$F$1:$ABM$500,W$2,0),Техника!$F$4:$ABM$4,"Часы",INDEX(Техника!$G$1:$ABN$500,W$2,0),$A$249,INDEX(Техника!$H$1:$ABO$500,W$2,0),"Д")</f>
        <v>0</v>
      </c>
      <c r="X251" s="50">
        <f>SUMIFS(INDEX(Техника!$F$1:$ABM$500,X$2,0),Техника!$F$4:$ABM$4,"Часы",INDEX(Техника!$G$1:$ABN$500,X$2,0),$A$249,INDEX(Техника!$H$1:$ABO$500,X$2,0),"Д")</f>
        <v>0</v>
      </c>
      <c r="Y251" s="50">
        <f>SUMIFS(INDEX(Техника!$F$1:$ABM$500,Y$2,0),Техника!$F$4:$ABM$4,"Часы",INDEX(Техника!$G$1:$ABN$500,Y$2,0),$A$249,INDEX(Техника!$H$1:$ABO$500,Y$2,0),"Д")</f>
        <v>0</v>
      </c>
      <c r="Z251" s="50">
        <f>SUMIFS(INDEX(Техника!$F$1:$ABM$500,Z$2,0),Техника!$F$4:$ABM$4,"Часы",INDEX(Техника!$G$1:$ABN$500,Z$2,0),$A$249,INDEX(Техника!$H$1:$ABO$500,Z$2,0),"Д")</f>
        <v>0</v>
      </c>
      <c r="AA251" s="50">
        <f>SUMIFS(INDEX(Техника!$F$1:$ABM$500,AA$2,0),Техника!$F$4:$ABM$4,"Часы",INDEX(Техника!$G$1:$ABN$500,AA$2,0),$A$249,INDEX(Техника!$H$1:$ABO$500,AA$2,0),"Д")</f>
        <v>0</v>
      </c>
      <c r="AB251" s="50">
        <f>SUMIFS(INDEX(Техника!$F$1:$ABM$500,AB$2,0),Техника!$F$4:$ABM$4,"Часы",INDEX(Техника!$G$1:$ABN$500,AB$2,0),$A$249,INDEX(Техника!$H$1:$ABO$500,AB$2,0),"Д")</f>
        <v>0</v>
      </c>
    </row>
    <row r="252" spans="1:28" hidden="1" outlineLevel="1" x14ac:dyDescent="0.3">
      <c r="A252" s="33" t="s">
        <v>276</v>
      </c>
      <c r="B252" s="34" t="s">
        <v>277</v>
      </c>
      <c r="C252" s="50">
        <f>SUMIFS(INDEX(Техника!$F$1:$ABM$500,C$2,0),Техника!$F$4:$ABM$4,"Часы",INDEX(Техника!$G$1:$ABN$500,C$2,0),$A$249,INDEX(Техника!$H$1:$ABO$500,C$2,0),"П")</f>
        <v>0</v>
      </c>
      <c r="D252" s="50">
        <f>SUMIFS(INDEX(Техника!$F$1:$ABM$500,D$2,0),Техника!$F$4:$ABM$4,"Часы",INDEX(Техника!$G$1:$ABN$500,D$2,0),$A$249,INDEX(Техника!$H$1:$ABO$500,D$2,0),"П")</f>
        <v>0</v>
      </c>
      <c r="E252" s="50">
        <f>SUMIFS(INDEX(Техника!$F$1:$ABM$500,E$2,0),Техника!$F$4:$ABM$4,"Часы",INDEX(Техника!$G$1:$ABN$500,E$2,0),$A$249,INDEX(Техника!$H$1:$ABO$500,E$2,0),"П")</f>
        <v>0</v>
      </c>
      <c r="F252" s="50">
        <f>SUMIFS(INDEX(Техника!$F$1:$ABM$500,F$2,0),Техника!$F$4:$ABM$4,"Часы",INDEX(Техника!$G$1:$ABN$500,F$2,0),$A$249,INDEX(Техника!$H$1:$ABO$500,F$2,0),"П")</f>
        <v>0</v>
      </c>
      <c r="G252" s="50">
        <f>SUMIFS(INDEX(Техника!$F$1:$ABM$500,G$2,0),Техника!$F$4:$ABM$4,"Часы",INDEX(Техника!$G$1:$ABN$500,G$2,0),$A$249,INDEX(Техника!$H$1:$ABO$500,G$2,0),"П")</f>
        <v>0</v>
      </c>
      <c r="H252" s="50">
        <f>SUMIFS(INDEX(Техника!$F$1:$ABM$500,H$2,0),Техника!$F$4:$ABM$4,"Часы",INDEX(Техника!$G$1:$ABN$500,H$2,0),$A$249,INDEX(Техника!$H$1:$ABO$500,H$2,0),"П")</f>
        <v>0</v>
      </c>
      <c r="I252" s="50">
        <f>SUMIFS(INDEX(Техника!$F$1:$ABM$500,I$2,0),Техника!$F$4:$ABM$4,"Часы",INDEX(Техника!$G$1:$ABN$500,I$2,0),$A$249,INDEX(Техника!$H$1:$ABO$500,I$2,0),"П")</f>
        <v>0</v>
      </c>
      <c r="J252" s="50">
        <f>SUMIFS(INDEX(Техника!$F$1:$ABM$500,J$2,0),Техника!$F$4:$ABM$4,"Часы",INDEX(Техника!$G$1:$ABN$500,J$2,0),$A$249,INDEX(Техника!$H$1:$ABO$500,J$2,0),"П")</f>
        <v>0</v>
      </c>
      <c r="K252" s="50">
        <f>SUMIFS(INDEX(Техника!$F$1:$ABM$500,K$2,0),Техника!$F$4:$ABM$4,"Часы",INDEX(Техника!$G$1:$ABN$500,K$2,0),$A$249,INDEX(Техника!$H$1:$ABO$500,K$2,0),"П")</f>
        <v>0</v>
      </c>
      <c r="L252" s="50">
        <f>SUMIFS(INDEX(Техника!$F$1:$ABM$500,L$2,0),Техника!$F$4:$ABM$4,"Часы",INDEX(Техника!$G$1:$ABN$500,L$2,0),$A$249,INDEX(Техника!$H$1:$ABO$500,L$2,0),"П")</f>
        <v>0</v>
      </c>
      <c r="M252" s="50">
        <f>SUMIFS(INDEX(Техника!$F$1:$ABM$500,M$2,0),Техника!$F$4:$ABM$4,"Часы",INDEX(Техника!$G$1:$ABN$500,M$2,0),$A$249,INDEX(Техника!$H$1:$ABO$500,M$2,0),"П")</f>
        <v>0</v>
      </c>
      <c r="N252" s="50">
        <f>SUMIFS(INDEX(Техника!$F$1:$ABM$500,N$2,0),Техника!$F$4:$ABM$4,"Часы",INDEX(Техника!$G$1:$ABN$500,N$2,0),$A$249,INDEX(Техника!$H$1:$ABO$500,N$2,0),"П")</f>
        <v>0</v>
      </c>
      <c r="O252" s="50">
        <f>SUMIFS(INDEX(Техника!$F$1:$ABM$500,O$2,0),Техника!$F$4:$ABM$4,"Часы",INDEX(Техника!$G$1:$ABN$500,O$2,0),$A$249,INDEX(Техника!$H$1:$ABO$500,O$2,0),"П")</f>
        <v>0</v>
      </c>
      <c r="P252" s="50">
        <f>SUMIFS(INDEX(Техника!$F$1:$ABM$500,P$2,0),Техника!$F$4:$ABM$4,"Часы",INDEX(Техника!$G$1:$ABN$500,P$2,0),$A$249,INDEX(Техника!$H$1:$ABO$500,P$2,0),"П")</f>
        <v>0</v>
      </c>
      <c r="Q252" s="50">
        <f>SUMIFS(INDEX(Техника!$F$1:$ABM$500,Q$2,0),Техника!$F$4:$ABM$4,"Часы",INDEX(Техника!$G$1:$ABN$500,Q$2,0),$A$249,INDEX(Техника!$H$1:$ABO$500,Q$2,0),"П")</f>
        <v>0</v>
      </c>
      <c r="R252" s="50">
        <f>SUMIFS(INDEX(Техника!$F$1:$ABM$500,R$2,0),Техника!$F$4:$ABM$4,"Часы",INDEX(Техника!$G$1:$ABN$500,R$2,0),$A$249,INDEX(Техника!$H$1:$ABO$500,R$2,0),"П")</f>
        <v>0</v>
      </c>
      <c r="S252" s="50">
        <f>SUMIFS(INDEX(Техника!$F$1:$ABM$500,S$2,0),Техника!$F$4:$ABM$4,"Часы",INDEX(Техника!$G$1:$ABN$500,S$2,0),$A$249,INDEX(Техника!$H$1:$ABO$500,S$2,0),"П")</f>
        <v>0</v>
      </c>
      <c r="T252" s="50">
        <f>SUMIFS(INDEX(Техника!$F$1:$ABM$500,T$2,0),Техника!$F$4:$ABM$4,"Часы",INDEX(Техника!$G$1:$ABN$500,T$2,0),$A$249,INDEX(Техника!$H$1:$ABO$500,T$2,0),"П")</f>
        <v>0</v>
      </c>
      <c r="U252" s="50">
        <f>SUMIFS(INDEX(Техника!$F$1:$ABM$500,U$2,0),Техника!$F$4:$ABM$4,"Часы",INDEX(Техника!$G$1:$ABN$500,U$2,0),$A$249,INDEX(Техника!$H$1:$ABO$500,U$2,0),"П")</f>
        <v>0</v>
      </c>
      <c r="V252" s="50">
        <f>SUMIFS(INDEX(Техника!$F$1:$ABM$500,V$2,0),Техника!$F$4:$ABM$4,"Часы",INDEX(Техника!$G$1:$ABN$500,V$2,0),$A$249,INDEX(Техника!$H$1:$ABO$500,V$2,0),"П")</f>
        <v>0</v>
      </c>
      <c r="W252" s="50">
        <f>SUMIFS(INDEX(Техника!$F$1:$ABM$500,W$2,0),Техника!$F$4:$ABM$4,"Часы",INDEX(Техника!$G$1:$ABN$500,W$2,0),$A$249,INDEX(Техника!$H$1:$ABO$500,W$2,0),"П")</f>
        <v>0</v>
      </c>
      <c r="X252" s="50">
        <f>SUMIFS(INDEX(Техника!$F$1:$ABM$500,X$2,0),Техника!$F$4:$ABM$4,"Часы",INDEX(Техника!$G$1:$ABN$500,X$2,0),$A$249,INDEX(Техника!$H$1:$ABO$500,X$2,0),"П")</f>
        <v>0</v>
      </c>
      <c r="Y252" s="50">
        <f>SUMIFS(INDEX(Техника!$F$1:$ABM$500,Y$2,0),Техника!$F$4:$ABM$4,"Часы",INDEX(Техника!$G$1:$ABN$500,Y$2,0),$A$249,INDEX(Техника!$H$1:$ABO$500,Y$2,0),"П")</f>
        <v>0</v>
      </c>
      <c r="Z252" s="50">
        <f>SUMIFS(INDEX(Техника!$F$1:$ABM$500,Z$2,0),Техника!$F$4:$ABM$4,"Часы",INDEX(Техника!$G$1:$ABN$500,Z$2,0),$A$249,INDEX(Техника!$H$1:$ABO$500,Z$2,0),"П")</f>
        <v>0</v>
      </c>
      <c r="AA252" s="50">
        <f>SUMIFS(INDEX(Техника!$F$1:$ABM$500,AA$2,0),Техника!$F$4:$ABM$4,"Часы",INDEX(Техника!$G$1:$ABN$500,AA$2,0),$A$249,INDEX(Техника!$H$1:$ABO$500,AA$2,0),"П")</f>
        <v>0</v>
      </c>
      <c r="AB252" s="50">
        <f>SUMIFS(INDEX(Техника!$F$1:$ABM$500,AB$2,0),Техника!$F$4:$ABM$4,"Часы",INDEX(Техника!$G$1:$ABN$500,AB$2,0),$A$249,INDEX(Техника!$H$1:$ABO$500,AB$2,0),"П")</f>
        <v>0</v>
      </c>
    </row>
    <row r="253" spans="1:28" hidden="1" outlineLevel="1" x14ac:dyDescent="0.3">
      <c r="A253" s="33" t="s">
        <v>243</v>
      </c>
      <c r="B253" s="34" t="s">
        <v>278</v>
      </c>
      <c r="C253" s="50">
        <f>SUMIFS(INDEX(Техника!$F$1:$ABM$500,C$2,0),Техника!$F$4:$ABM$4,"Часы",INDEX(Техника!$G$1:$ABN$500,C$2,0),$A$249,INDEX(Техника!$H$1:$ABO$500,C$2,0),"Л")</f>
        <v>0</v>
      </c>
      <c r="D253" s="50">
        <f>SUMIFS(INDEX(Техника!$F$1:$ABM$500,D$2,0),Техника!$F$4:$ABM$4,"Часы",INDEX(Техника!$G$1:$ABN$500,D$2,0),$A$249,INDEX(Техника!$H$1:$ABO$500,D$2,0),"Л")</f>
        <v>0</v>
      </c>
      <c r="E253" s="50">
        <f>SUMIFS(INDEX(Техника!$F$1:$ABM$500,E$2,0),Техника!$F$4:$ABM$4,"Часы",INDEX(Техника!$G$1:$ABN$500,E$2,0),$A$249,INDEX(Техника!$H$1:$ABO$500,E$2,0),"Л")</f>
        <v>0</v>
      </c>
      <c r="F253" s="50">
        <f>SUMIFS(INDEX(Техника!$F$1:$ABM$500,F$2,0),Техника!$F$4:$ABM$4,"Часы",INDEX(Техника!$G$1:$ABN$500,F$2,0),$A$249,INDEX(Техника!$H$1:$ABO$500,F$2,0),"Л")</f>
        <v>0</v>
      </c>
      <c r="G253" s="50">
        <f>SUMIFS(INDEX(Техника!$F$1:$ABM$500,G$2,0),Техника!$F$4:$ABM$4,"Часы",INDEX(Техника!$G$1:$ABN$500,G$2,0),$A$249,INDEX(Техника!$H$1:$ABO$500,G$2,0),"Л")</f>
        <v>0</v>
      </c>
      <c r="H253" s="50">
        <f>SUMIFS(INDEX(Техника!$F$1:$ABM$500,H$2,0),Техника!$F$4:$ABM$4,"Часы",INDEX(Техника!$G$1:$ABN$500,H$2,0),$A$249,INDEX(Техника!$H$1:$ABO$500,H$2,0),"Л")</f>
        <v>0</v>
      </c>
      <c r="I253" s="50">
        <f>SUMIFS(INDEX(Техника!$F$1:$ABM$500,I$2,0),Техника!$F$4:$ABM$4,"Часы",INDEX(Техника!$G$1:$ABN$500,I$2,0),$A$249,INDEX(Техника!$H$1:$ABO$500,I$2,0),"Л")</f>
        <v>0</v>
      </c>
      <c r="J253" s="50">
        <f>SUMIFS(INDEX(Техника!$F$1:$ABM$500,J$2,0),Техника!$F$4:$ABM$4,"Часы",INDEX(Техника!$G$1:$ABN$500,J$2,0),$A$249,INDEX(Техника!$H$1:$ABO$500,J$2,0),"Л")</f>
        <v>0</v>
      </c>
      <c r="K253" s="50">
        <f>SUMIFS(INDEX(Техника!$F$1:$ABM$500,K$2,0),Техника!$F$4:$ABM$4,"Часы",INDEX(Техника!$G$1:$ABN$500,K$2,0),$A$249,INDEX(Техника!$H$1:$ABO$500,K$2,0),"Л")</f>
        <v>0</v>
      </c>
      <c r="L253" s="50">
        <f>SUMIFS(INDEX(Техника!$F$1:$ABM$500,L$2,0),Техника!$F$4:$ABM$4,"Часы",INDEX(Техника!$G$1:$ABN$500,L$2,0),$A$249,INDEX(Техника!$H$1:$ABO$500,L$2,0),"Л")</f>
        <v>0</v>
      </c>
      <c r="M253" s="50">
        <f>SUMIFS(INDEX(Техника!$F$1:$ABM$500,M$2,0),Техника!$F$4:$ABM$4,"Часы",INDEX(Техника!$G$1:$ABN$500,M$2,0),$A$249,INDEX(Техника!$H$1:$ABO$500,M$2,0),"Л")</f>
        <v>0</v>
      </c>
      <c r="N253" s="50">
        <f>SUMIFS(INDEX(Техника!$F$1:$ABM$500,N$2,0),Техника!$F$4:$ABM$4,"Часы",INDEX(Техника!$G$1:$ABN$500,N$2,0),$A$249,INDEX(Техника!$H$1:$ABO$500,N$2,0),"Л")</f>
        <v>0</v>
      </c>
      <c r="O253" s="50">
        <f>SUMIFS(INDEX(Техника!$F$1:$ABM$500,O$2,0),Техника!$F$4:$ABM$4,"Часы",INDEX(Техника!$G$1:$ABN$500,O$2,0),$A$249,INDEX(Техника!$H$1:$ABO$500,O$2,0),"Л")</f>
        <v>0</v>
      </c>
      <c r="P253" s="50">
        <f>SUMIFS(INDEX(Техника!$F$1:$ABM$500,P$2,0),Техника!$F$4:$ABM$4,"Часы",INDEX(Техника!$G$1:$ABN$500,P$2,0),$A$249,INDEX(Техника!$H$1:$ABO$500,P$2,0),"Л")</f>
        <v>0</v>
      </c>
      <c r="Q253" s="50">
        <f>SUMIFS(INDEX(Техника!$F$1:$ABM$500,Q$2,0),Техника!$F$4:$ABM$4,"Часы",INDEX(Техника!$G$1:$ABN$500,Q$2,0),$A$249,INDEX(Техника!$H$1:$ABO$500,Q$2,0),"Л")</f>
        <v>0</v>
      </c>
      <c r="R253" s="50">
        <f>SUMIFS(INDEX(Техника!$F$1:$ABM$500,R$2,0),Техника!$F$4:$ABM$4,"Часы",INDEX(Техника!$G$1:$ABN$500,R$2,0),$A$249,INDEX(Техника!$H$1:$ABO$500,R$2,0),"Л")</f>
        <v>0</v>
      </c>
      <c r="S253" s="50">
        <f>SUMIFS(INDEX(Техника!$F$1:$ABM$500,S$2,0),Техника!$F$4:$ABM$4,"Часы",INDEX(Техника!$G$1:$ABN$500,S$2,0),$A$249,INDEX(Техника!$H$1:$ABO$500,S$2,0),"Л")</f>
        <v>0</v>
      </c>
      <c r="T253" s="50">
        <f>SUMIFS(INDEX(Техника!$F$1:$ABM$500,T$2,0),Техника!$F$4:$ABM$4,"Часы",INDEX(Техника!$G$1:$ABN$500,T$2,0),$A$249,INDEX(Техника!$H$1:$ABO$500,T$2,0),"Л")</f>
        <v>0</v>
      </c>
      <c r="U253" s="50">
        <f>SUMIFS(INDEX(Техника!$F$1:$ABM$500,U$2,0),Техника!$F$4:$ABM$4,"Часы",INDEX(Техника!$G$1:$ABN$500,U$2,0),$A$249,INDEX(Техника!$H$1:$ABO$500,U$2,0),"Л")</f>
        <v>0</v>
      </c>
      <c r="V253" s="50">
        <f>SUMIFS(INDEX(Техника!$F$1:$ABM$500,V$2,0),Техника!$F$4:$ABM$4,"Часы",INDEX(Техника!$G$1:$ABN$500,V$2,0),$A$249,INDEX(Техника!$H$1:$ABO$500,V$2,0),"Л")</f>
        <v>0</v>
      </c>
      <c r="W253" s="50">
        <f>SUMIFS(INDEX(Техника!$F$1:$ABM$500,W$2,0),Техника!$F$4:$ABM$4,"Часы",INDEX(Техника!$G$1:$ABN$500,W$2,0),$A$249,INDEX(Техника!$H$1:$ABO$500,W$2,0),"Л")</f>
        <v>0</v>
      </c>
      <c r="X253" s="50">
        <f>SUMIFS(INDEX(Техника!$F$1:$ABM$500,X$2,0),Техника!$F$4:$ABM$4,"Часы",INDEX(Техника!$G$1:$ABN$500,X$2,0),$A$249,INDEX(Техника!$H$1:$ABO$500,X$2,0),"Л")</f>
        <v>0</v>
      </c>
      <c r="Y253" s="50">
        <f>SUMIFS(INDEX(Техника!$F$1:$ABM$500,Y$2,0),Техника!$F$4:$ABM$4,"Часы",INDEX(Техника!$G$1:$ABN$500,Y$2,0),$A$249,INDEX(Техника!$H$1:$ABO$500,Y$2,0),"Л")</f>
        <v>0</v>
      </c>
      <c r="Z253" s="50">
        <f>SUMIFS(INDEX(Техника!$F$1:$ABM$500,Z$2,0),Техника!$F$4:$ABM$4,"Часы",INDEX(Техника!$G$1:$ABN$500,Z$2,0),$A$249,INDEX(Техника!$H$1:$ABO$500,Z$2,0),"Л")</f>
        <v>0</v>
      </c>
      <c r="AA253" s="50">
        <f>SUMIFS(INDEX(Техника!$F$1:$ABM$500,AA$2,0),Техника!$F$4:$ABM$4,"Часы",INDEX(Техника!$G$1:$ABN$500,AA$2,0),$A$249,INDEX(Техника!$H$1:$ABO$500,AA$2,0),"Л")</f>
        <v>0</v>
      </c>
      <c r="AB253" s="50">
        <f>SUMIFS(INDEX(Техника!$F$1:$ABM$500,AB$2,0),Техника!$F$4:$ABM$4,"Часы",INDEX(Техника!$G$1:$ABN$500,AB$2,0),$A$249,INDEX(Техника!$H$1:$ABO$500,AB$2,0),"Л")</f>
        <v>0</v>
      </c>
    </row>
    <row r="254" spans="1:28" hidden="1" outlineLevel="1" x14ac:dyDescent="0.3">
      <c r="A254" s="33" t="s">
        <v>245</v>
      </c>
      <c r="B254" s="34" t="s">
        <v>279</v>
      </c>
      <c r="C254" s="50">
        <f>SUMIFS(INDEX(Техника!$F$1:$ABM$500,C$2,0),Техника!$F$4:$ABM$4,"Часы",INDEX(Техника!$G$1:$ABN$500,C$2,0),$A$249,INDEX(Техника!$H$1:$ABO$500,C$2,0),"З")</f>
        <v>0</v>
      </c>
      <c r="D254" s="50">
        <f>SUMIFS(INDEX(Техника!$F$1:$ABM$500,D$2,0),Техника!$F$4:$ABM$4,"Часы",INDEX(Техника!$G$1:$ABN$500,D$2,0),$A$249,INDEX(Техника!$H$1:$ABO$500,D$2,0),"З")</f>
        <v>0</v>
      </c>
      <c r="E254" s="50">
        <f>SUMIFS(INDEX(Техника!$F$1:$ABM$500,E$2,0),Техника!$F$4:$ABM$4,"Часы",INDEX(Техника!$G$1:$ABN$500,E$2,0),$A$249,INDEX(Техника!$H$1:$ABO$500,E$2,0),"З")</f>
        <v>0</v>
      </c>
      <c r="F254" s="50">
        <f>SUMIFS(INDEX(Техника!$F$1:$ABM$500,F$2,0),Техника!$F$4:$ABM$4,"Часы",INDEX(Техника!$G$1:$ABN$500,F$2,0),$A$249,INDEX(Техника!$H$1:$ABO$500,F$2,0),"З")</f>
        <v>0</v>
      </c>
      <c r="G254" s="50">
        <f>SUMIFS(INDEX(Техника!$F$1:$ABM$500,G$2,0),Техника!$F$4:$ABM$4,"Часы",INDEX(Техника!$G$1:$ABN$500,G$2,0),$A$249,INDEX(Техника!$H$1:$ABO$500,G$2,0),"З")</f>
        <v>0</v>
      </c>
      <c r="H254" s="50">
        <f>SUMIFS(INDEX(Техника!$F$1:$ABM$500,H$2,0),Техника!$F$4:$ABM$4,"Часы",INDEX(Техника!$G$1:$ABN$500,H$2,0),$A$249,INDEX(Техника!$H$1:$ABO$500,H$2,0),"З")</f>
        <v>0</v>
      </c>
      <c r="I254" s="50">
        <f>SUMIFS(INDEX(Техника!$F$1:$ABM$500,I$2,0),Техника!$F$4:$ABM$4,"Часы",INDEX(Техника!$G$1:$ABN$500,I$2,0),$A$249,INDEX(Техника!$H$1:$ABO$500,I$2,0),"З")</f>
        <v>0</v>
      </c>
      <c r="J254" s="50">
        <f>SUMIFS(INDEX(Техника!$F$1:$ABM$500,J$2,0),Техника!$F$4:$ABM$4,"Часы",INDEX(Техника!$G$1:$ABN$500,J$2,0),$A$249,INDEX(Техника!$H$1:$ABO$500,J$2,0),"З")</f>
        <v>0</v>
      </c>
      <c r="K254" s="50">
        <f>SUMIFS(INDEX(Техника!$F$1:$ABM$500,K$2,0),Техника!$F$4:$ABM$4,"Часы",INDEX(Техника!$G$1:$ABN$500,K$2,0),$A$249,INDEX(Техника!$H$1:$ABO$500,K$2,0),"З")</f>
        <v>0</v>
      </c>
      <c r="L254" s="50">
        <f>SUMIFS(INDEX(Техника!$F$1:$ABM$500,L$2,0),Техника!$F$4:$ABM$4,"Часы",INDEX(Техника!$G$1:$ABN$500,L$2,0),$A$249,INDEX(Техника!$H$1:$ABO$500,L$2,0),"З")</f>
        <v>0</v>
      </c>
      <c r="M254" s="50">
        <f>SUMIFS(INDEX(Техника!$F$1:$ABM$500,M$2,0),Техника!$F$4:$ABM$4,"Часы",INDEX(Техника!$G$1:$ABN$500,M$2,0),$A$249,INDEX(Техника!$H$1:$ABO$500,M$2,0),"З")</f>
        <v>0</v>
      </c>
      <c r="N254" s="50">
        <f>SUMIFS(INDEX(Техника!$F$1:$ABM$500,N$2,0),Техника!$F$4:$ABM$4,"Часы",INDEX(Техника!$G$1:$ABN$500,N$2,0),$A$249,INDEX(Техника!$H$1:$ABO$500,N$2,0),"З")</f>
        <v>0</v>
      </c>
      <c r="O254" s="50">
        <f>SUMIFS(INDEX(Техника!$F$1:$ABM$500,O$2,0),Техника!$F$4:$ABM$4,"Часы",INDEX(Техника!$G$1:$ABN$500,O$2,0),$A$249,INDEX(Техника!$H$1:$ABO$500,O$2,0),"З")</f>
        <v>0</v>
      </c>
      <c r="P254" s="50">
        <f>SUMIFS(INDEX(Техника!$F$1:$ABM$500,P$2,0),Техника!$F$4:$ABM$4,"Часы",INDEX(Техника!$G$1:$ABN$500,P$2,0),$A$249,INDEX(Техника!$H$1:$ABO$500,P$2,0),"З")</f>
        <v>0</v>
      </c>
      <c r="Q254" s="50">
        <f>SUMIFS(INDEX(Техника!$F$1:$ABM$500,Q$2,0),Техника!$F$4:$ABM$4,"Часы",INDEX(Техника!$G$1:$ABN$500,Q$2,0),$A$249,INDEX(Техника!$H$1:$ABO$500,Q$2,0),"З")</f>
        <v>0</v>
      </c>
      <c r="R254" s="50">
        <f>SUMIFS(INDEX(Техника!$F$1:$ABM$500,R$2,0),Техника!$F$4:$ABM$4,"Часы",INDEX(Техника!$G$1:$ABN$500,R$2,0),$A$249,INDEX(Техника!$H$1:$ABO$500,R$2,0),"З")</f>
        <v>0</v>
      </c>
      <c r="S254" s="50">
        <f>SUMIFS(INDEX(Техника!$F$1:$ABM$500,S$2,0),Техника!$F$4:$ABM$4,"Часы",INDEX(Техника!$G$1:$ABN$500,S$2,0),$A$249,INDEX(Техника!$H$1:$ABO$500,S$2,0),"З")</f>
        <v>0</v>
      </c>
      <c r="T254" s="50">
        <f>SUMIFS(INDEX(Техника!$F$1:$ABM$500,T$2,0),Техника!$F$4:$ABM$4,"Часы",INDEX(Техника!$G$1:$ABN$500,T$2,0),$A$249,INDEX(Техника!$H$1:$ABO$500,T$2,0),"З")</f>
        <v>0</v>
      </c>
      <c r="U254" s="50">
        <f>SUMIFS(INDEX(Техника!$F$1:$ABM$500,U$2,0),Техника!$F$4:$ABM$4,"Часы",INDEX(Техника!$G$1:$ABN$500,U$2,0),$A$249,INDEX(Техника!$H$1:$ABO$500,U$2,0),"З")</f>
        <v>0</v>
      </c>
      <c r="V254" s="50">
        <f>SUMIFS(INDEX(Техника!$F$1:$ABM$500,V$2,0),Техника!$F$4:$ABM$4,"Часы",INDEX(Техника!$G$1:$ABN$500,V$2,0),$A$249,INDEX(Техника!$H$1:$ABO$500,V$2,0),"З")</f>
        <v>0</v>
      </c>
      <c r="W254" s="50">
        <f>SUMIFS(INDEX(Техника!$F$1:$ABM$500,W$2,0),Техника!$F$4:$ABM$4,"Часы",INDEX(Техника!$G$1:$ABN$500,W$2,0),$A$249,INDEX(Техника!$H$1:$ABO$500,W$2,0),"З")</f>
        <v>0</v>
      </c>
      <c r="X254" s="50">
        <f>SUMIFS(INDEX(Техника!$F$1:$ABM$500,X$2,0),Техника!$F$4:$ABM$4,"Часы",INDEX(Техника!$G$1:$ABN$500,X$2,0),$A$249,INDEX(Техника!$H$1:$ABO$500,X$2,0),"З")</f>
        <v>0</v>
      </c>
      <c r="Y254" s="50">
        <f>SUMIFS(INDEX(Техника!$F$1:$ABM$500,Y$2,0),Техника!$F$4:$ABM$4,"Часы",INDEX(Техника!$G$1:$ABN$500,Y$2,0),$A$249,INDEX(Техника!$H$1:$ABO$500,Y$2,0),"З")</f>
        <v>0</v>
      </c>
      <c r="Z254" s="50">
        <f>SUMIFS(INDEX(Техника!$F$1:$ABM$500,Z$2,0),Техника!$F$4:$ABM$4,"Часы",INDEX(Техника!$G$1:$ABN$500,Z$2,0),$A$249,INDEX(Техника!$H$1:$ABO$500,Z$2,0),"З")</f>
        <v>0</v>
      </c>
      <c r="AA254" s="50">
        <f>SUMIFS(INDEX(Техника!$F$1:$ABM$500,AA$2,0),Техника!$F$4:$ABM$4,"Часы",INDEX(Техника!$G$1:$ABN$500,AA$2,0),$A$249,INDEX(Техника!$H$1:$ABO$500,AA$2,0),"З")</f>
        <v>0</v>
      </c>
      <c r="AB254" s="50">
        <f>SUMIFS(INDEX(Техника!$F$1:$ABM$500,AB$2,0),Техника!$F$4:$ABM$4,"Часы",INDEX(Техника!$G$1:$ABN$500,AB$2,0),$A$249,INDEX(Техника!$H$1:$ABO$500,AB$2,0),"З")</f>
        <v>0</v>
      </c>
    </row>
    <row r="255" spans="1:28" ht="7.95" customHeight="1" x14ac:dyDescent="0.3">
      <c r="A255" s="38"/>
      <c r="B255" s="39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</row>
    <row r="256" spans="1:28" ht="25.05" customHeight="1" collapsed="1" x14ac:dyDescent="0.3">
      <c r="A256" s="32">
        <v>37</v>
      </c>
      <c r="B256" s="32" t="s">
        <v>38</v>
      </c>
      <c r="C256" s="49">
        <f>SUM(C257:C261)</f>
        <v>0</v>
      </c>
      <c r="D256" s="49">
        <f>SUM(D257:D261)</f>
        <v>0</v>
      </c>
      <c r="E256" s="49">
        <f>SUM(E257:E261)</f>
        <v>0</v>
      </c>
      <c r="F256" s="49">
        <f>SUM(F257:F261)</f>
        <v>0</v>
      </c>
      <c r="G256" s="49">
        <f>SUM(G257:G261)</f>
        <v>0</v>
      </c>
      <c r="H256" s="49">
        <f>SUM(H257:H261)</f>
        <v>0</v>
      </c>
      <c r="I256" s="49">
        <f>SUM(I257:I261)</f>
        <v>0</v>
      </c>
      <c r="J256" s="49">
        <f>SUM(J257:J261)</f>
        <v>0</v>
      </c>
      <c r="K256" s="49">
        <f>SUM(K257:K261)</f>
        <v>0</v>
      </c>
      <c r="L256" s="49">
        <f>SUM(L257:L261)</f>
        <v>0</v>
      </c>
      <c r="M256" s="49">
        <f>SUM(M257:M261)</f>
        <v>0</v>
      </c>
      <c r="N256" s="49">
        <f>SUM(N257:N261)</f>
        <v>0</v>
      </c>
      <c r="O256" s="49">
        <f>SUM(O257:O261)</f>
        <v>0</v>
      </c>
      <c r="P256" s="49">
        <f>SUM(P257:P261)</f>
        <v>0</v>
      </c>
      <c r="Q256" s="49">
        <f>SUM(Q257:Q261)</f>
        <v>0</v>
      </c>
      <c r="R256" s="49">
        <f>SUM(R257:R261)</f>
        <v>0</v>
      </c>
      <c r="S256" s="49">
        <f>SUM(S257:S261)</f>
        <v>0</v>
      </c>
      <c r="T256" s="49">
        <f>SUM(T257:T261)</f>
        <v>0</v>
      </c>
      <c r="U256" s="49">
        <f>SUM(U257:U261)</f>
        <v>0</v>
      </c>
      <c r="V256" s="49">
        <f>SUM(V257:V261)</f>
        <v>0</v>
      </c>
      <c r="W256" s="49">
        <f>SUM(W257:W261)</f>
        <v>0</v>
      </c>
      <c r="X256" s="49">
        <f>SUM(X257:X261)</f>
        <v>0</v>
      </c>
      <c r="Y256" s="49">
        <f>SUM(Y257:Y261)</f>
        <v>0</v>
      </c>
      <c r="Z256" s="49">
        <f>SUM(Z257:Z261)</f>
        <v>0</v>
      </c>
      <c r="AA256" s="49">
        <f>SUM(AA257:AA261)</f>
        <v>0</v>
      </c>
      <c r="AB256" s="49">
        <f>SUM(AB257:AB261)</f>
        <v>0</v>
      </c>
    </row>
    <row r="257" spans="1:28" hidden="1" outlineLevel="1" x14ac:dyDescent="0.3">
      <c r="A257" s="33" t="s">
        <v>246</v>
      </c>
      <c r="B257" s="34" t="s">
        <v>274</v>
      </c>
      <c r="C257" s="50">
        <f>SUMIFS(INDEX(Техника!$F$1:$ABM$500,C$2,0),Техника!$F$4:$ABM$4,"Часы",INDEX(Техника!$G$1:$ABN$500,C$2,0),$A$256,INDEX(Техника!$H$1:$ABO$500,C$2,0),"М")</f>
        <v>0</v>
      </c>
      <c r="D257" s="50">
        <f>SUMIFS(INDEX(Техника!$F$1:$ABM$500,D$2,0),Техника!$F$4:$ABM$4,"Часы",INDEX(Техника!$G$1:$ABN$500,D$2,0),$A$256,INDEX(Техника!$H$1:$ABO$500,D$2,0),"М")</f>
        <v>0</v>
      </c>
      <c r="E257" s="50">
        <f>SUMIFS(INDEX(Техника!$F$1:$ABM$500,E$2,0),Техника!$F$4:$ABM$4,"Часы",INDEX(Техника!$G$1:$ABN$500,E$2,0),$A$256,INDEX(Техника!$H$1:$ABO$500,E$2,0),"М")</f>
        <v>0</v>
      </c>
      <c r="F257" s="50">
        <f>SUMIFS(INDEX(Техника!$F$1:$ABM$500,F$2,0),Техника!$F$4:$ABM$4,"Часы",INDEX(Техника!$G$1:$ABN$500,F$2,0),$A$256,INDEX(Техника!$H$1:$ABO$500,F$2,0),"М")</f>
        <v>0</v>
      </c>
      <c r="G257" s="50">
        <f>SUMIFS(INDEX(Техника!$F$1:$ABM$500,G$2,0),Техника!$F$4:$ABM$4,"Часы",INDEX(Техника!$G$1:$ABN$500,G$2,0),$A$256,INDEX(Техника!$H$1:$ABO$500,G$2,0),"М")</f>
        <v>0</v>
      </c>
      <c r="H257" s="50">
        <f>SUMIFS(INDEX(Техника!$F$1:$ABM$500,H$2,0),Техника!$F$4:$ABM$4,"Часы",INDEX(Техника!$G$1:$ABN$500,H$2,0),$A$256,INDEX(Техника!$H$1:$ABO$500,H$2,0),"М")</f>
        <v>0</v>
      </c>
      <c r="I257" s="50">
        <f>SUMIFS(INDEX(Техника!$F$1:$ABM$500,I$2,0),Техника!$F$4:$ABM$4,"Часы",INDEX(Техника!$G$1:$ABN$500,I$2,0),$A$256,INDEX(Техника!$H$1:$ABO$500,I$2,0),"М")</f>
        <v>0</v>
      </c>
      <c r="J257" s="50">
        <f>SUMIFS(INDEX(Техника!$F$1:$ABM$500,J$2,0),Техника!$F$4:$ABM$4,"Часы",INDEX(Техника!$G$1:$ABN$500,J$2,0),$A$256,INDEX(Техника!$H$1:$ABO$500,J$2,0),"М")</f>
        <v>0</v>
      </c>
      <c r="K257" s="50">
        <f>SUMIFS(INDEX(Техника!$F$1:$ABM$500,K$2,0),Техника!$F$4:$ABM$4,"Часы",INDEX(Техника!$G$1:$ABN$500,K$2,0),$A$256,INDEX(Техника!$H$1:$ABO$500,K$2,0),"М")</f>
        <v>0</v>
      </c>
      <c r="L257" s="50">
        <f>SUMIFS(INDEX(Техника!$F$1:$ABM$500,L$2,0),Техника!$F$4:$ABM$4,"Часы",INDEX(Техника!$G$1:$ABN$500,L$2,0),$A$256,INDEX(Техника!$H$1:$ABO$500,L$2,0),"М")</f>
        <v>0</v>
      </c>
      <c r="M257" s="50">
        <f>SUMIFS(INDEX(Техника!$F$1:$ABM$500,M$2,0),Техника!$F$4:$ABM$4,"Часы",INDEX(Техника!$G$1:$ABN$500,M$2,0),$A$256,INDEX(Техника!$H$1:$ABO$500,M$2,0),"М")</f>
        <v>0</v>
      </c>
      <c r="N257" s="50">
        <f>SUMIFS(INDEX(Техника!$F$1:$ABM$500,N$2,0),Техника!$F$4:$ABM$4,"Часы",INDEX(Техника!$G$1:$ABN$500,N$2,0),$A$256,INDEX(Техника!$H$1:$ABO$500,N$2,0),"М")</f>
        <v>0</v>
      </c>
      <c r="O257" s="50">
        <f>SUMIFS(INDEX(Техника!$F$1:$ABM$500,O$2,0),Техника!$F$4:$ABM$4,"Часы",INDEX(Техника!$G$1:$ABN$500,O$2,0),$A$256,INDEX(Техника!$H$1:$ABO$500,O$2,0),"М")</f>
        <v>0</v>
      </c>
      <c r="P257" s="50">
        <f>SUMIFS(INDEX(Техника!$F$1:$ABM$500,P$2,0),Техника!$F$4:$ABM$4,"Часы",INDEX(Техника!$G$1:$ABN$500,P$2,0),$A$256,INDEX(Техника!$H$1:$ABO$500,P$2,0),"М")</f>
        <v>0</v>
      </c>
      <c r="Q257" s="50">
        <f>SUMIFS(INDEX(Техника!$F$1:$ABM$500,Q$2,0),Техника!$F$4:$ABM$4,"Часы",INDEX(Техника!$G$1:$ABN$500,Q$2,0),$A$256,INDEX(Техника!$H$1:$ABO$500,Q$2,0),"М")</f>
        <v>0</v>
      </c>
      <c r="R257" s="50">
        <f>SUMIFS(INDEX(Техника!$F$1:$ABM$500,R$2,0),Техника!$F$4:$ABM$4,"Часы",INDEX(Техника!$G$1:$ABN$500,R$2,0),$A$256,INDEX(Техника!$H$1:$ABO$500,R$2,0),"М")</f>
        <v>0</v>
      </c>
      <c r="S257" s="50">
        <f>SUMIFS(INDEX(Техника!$F$1:$ABM$500,S$2,0),Техника!$F$4:$ABM$4,"Часы",INDEX(Техника!$G$1:$ABN$500,S$2,0),$A$256,INDEX(Техника!$H$1:$ABO$500,S$2,0),"М")</f>
        <v>0</v>
      </c>
      <c r="T257" s="50">
        <f>SUMIFS(INDEX(Техника!$F$1:$ABM$500,T$2,0),Техника!$F$4:$ABM$4,"Часы",INDEX(Техника!$G$1:$ABN$500,T$2,0),$A$256,INDEX(Техника!$H$1:$ABO$500,T$2,0),"М")</f>
        <v>0</v>
      </c>
      <c r="U257" s="50">
        <f>SUMIFS(INDEX(Техника!$F$1:$ABM$500,U$2,0),Техника!$F$4:$ABM$4,"Часы",INDEX(Техника!$G$1:$ABN$500,U$2,0),$A$256,INDEX(Техника!$H$1:$ABO$500,U$2,0),"М")</f>
        <v>0</v>
      </c>
      <c r="V257" s="50">
        <f>SUMIFS(INDEX(Техника!$F$1:$ABM$500,V$2,0),Техника!$F$4:$ABM$4,"Часы",INDEX(Техника!$G$1:$ABN$500,V$2,0),$A$256,INDEX(Техника!$H$1:$ABO$500,V$2,0),"М")</f>
        <v>0</v>
      </c>
      <c r="W257" s="50">
        <f>SUMIFS(INDEX(Техника!$F$1:$ABM$500,W$2,0),Техника!$F$4:$ABM$4,"Часы",INDEX(Техника!$G$1:$ABN$500,W$2,0),$A$256,INDEX(Техника!$H$1:$ABO$500,W$2,0),"М")</f>
        <v>0</v>
      </c>
      <c r="X257" s="50">
        <f>SUMIFS(INDEX(Техника!$F$1:$ABM$500,X$2,0),Техника!$F$4:$ABM$4,"Часы",INDEX(Техника!$G$1:$ABN$500,X$2,0),$A$256,INDEX(Техника!$H$1:$ABO$500,X$2,0),"М")</f>
        <v>0</v>
      </c>
      <c r="Y257" s="50">
        <f>SUMIFS(INDEX(Техника!$F$1:$ABM$500,Y$2,0),Техника!$F$4:$ABM$4,"Часы",INDEX(Техника!$G$1:$ABN$500,Y$2,0),$A$256,INDEX(Техника!$H$1:$ABO$500,Y$2,0),"М")</f>
        <v>0</v>
      </c>
      <c r="Z257" s="50">
        <f>SUMIFS(INDEX(Техника!$F$1:$ABM$500,Z$2,0),Техника!$F$4:$ABM$4,"Часы",INDEX(Техника!$G$1:$ABN$500,Z$2,0),$A$256,INDEX(Техника!$H$1:$ABO$500,Z$2,0),"М")</f>
        <v>0</v>
      </c>
      <c r="AA257" s="50">
        <f>SUMIFS(INDEX(Техника!$F$1:$ABM$500,AA$2,0),Техника!$F$4:$ABM$4,"Часы",INDEX(Техника!$G$1:$ABN$500,AA$2,0),$A$256,INDEX(Техника!$H$1:$ABO$500,AA$2,0),"М")</f>
        <v>0</v>
      </c>
      <c r="AB257" s="50">
        <f>SUMIFS(INDEX(Техника!$F$1:$ABM$500,AB$2,0),Техника!$F$4:$ABM$4,"Часы",INDEX(Техника!$G$1:$ABN$500,AB$2,0),$A$256,INDEX(Техника!$H$1:$ABO$500,AB$2,0),"М")</f>
        <v>0</v>
      </c>
    </row>
    <row r="258" spans="1:28" hidden="1" outlineLevel="1" x14ac:dyDescent="0.3">
      <c r="A258" s="33" t="s">
        <v>244</v>
      </c>
      <c r="B258" s="34" t="s">
        <v>275</v>
      </c>
      <c r="C258" s="50">
        <f>SUMIFS(INDEX(Техника!$F$1:$ABM$500,C$2,0),Техника!$F$4:$ABM$4,"Часы",INDEX(Техника!$G$1:$ABN$500,C$2,0),$A$256,INDEX(Техника!$H$1:$ABO$500,C$2,0),"Д")</f>
        <v>0</v>
      </c>
      <c r="D258" s="50">
        <f>SUMIFS(INDEX(Техника!$F$1:$ABM$500,D$2,0),Техника!$F$4:$ABM$4,"Часы",INDEX(Техника!$G$1:$ABN$500,D$2,0),$A$256,INDEX(Техника!$H$1:$ABO$500,D$2,0),"Д")</f>
        <v>0</v>
      </c>
      <c r="E258" s="50">
        <f>SUMIFS(INDEX(Техника!$F$1:$ABM$500,E$2,0),Техника!$F$4:$ABM$4,"Часы",INDEX(Техника!$G$1:$ABN$500,E$2,0),$A$256,INDEX(Техника!$H$1:$ABO$500,E$2,0),"Д")</f>
        <v>0</v>
      </c>
      <c r="F258" s="50">
        <f>SUMIFS(INDEX(Техника!$F$1:$ABM$500,F$2,0),Техника!$F$4:$ABM$4,"Часы",INDEX(Техника!$G$1:$ABN$500,F$2,0),$A$256,INDEX(Техника!$H$1:$ABO$500,F$2,0),"Д")</f>
        <v>0</v>
      </c>
      <c r="G258" s="50">
        <f>SUMIFS(INDEX(Техника!$F$1:$ABM$500,G$2,0),Техника!$F$4:$ABM$4,"Часы",INDEX(Техника!$G$1:$ABN$500,G$2,0),$A$256,INDEX(Техника!$H$1:$ABO$500,G$2,0),"Д")</f>
        <v>0</v>
      </c>
      <c r="H258" s="50">
        <f>SUMIFS(INDEX(Техника!$F$1:$ABM$500,H$2,0),Техника!$F$4:$ABM$4,"Часы",INDEX(Техника!$G$1:$ABN$500,H$2,0),$A$256,INDEX(Техника!$H$1:$ABO$500,H$2,0),"Д")</f>
        <v>0</v>
      </c>
      <c r="I258" s="50">
        <f>SUMIFS(INDEX(Техника!$F$1:$ABM$500,I$2,0),Техника!$F$4:$ABM$4,"Часы",INDEX(Техника!$G$1:$ABN$500,I$2,0),$A$256,INDEX(Техника!$H$1:$ABO$500,I$2,0),"Д")</f>
        <v>0</v>
      </c>
      <c r="J258" s="50">
        <f>SUMIFS(INDEX(Техника!$F$1:$ABM$500,J$2,0),Техника!$F$4:$ABM$4,"Часы",INDEX(Техника!$G$1:$ABN$500,J$2,0),$A$256,INDEX(Техника!$H$1:$ABO$500,J$2,0),"Д")</f>
        <v>0</v>
      </c>
      <c r="K258" s="50">
        <f>SUMIFS(INDEX(Техника!$F$1:$ABM$500,K$2,0),Техника!$F$4:$ABM$4,"Часы",INDEX(Техника!$G$1:$ABN$500,K$2,0),$A$256,INDEX(Техника!$H$1:$ABO$500,K$2,0),"Д")</f>
        <v>0</v>
      </c>
      <c r="L258" s="50">
        <f>SUMIFS(INDEX(Техника!$F$1:$ABM$500,L$2,0),Техника!$F$4:$ABM$4,"Часы",INDEX(Техника!$G$1:$ABN$500,L$2,0),$A$256,INDEX(Техника!$H$1:$ABO$500,L$2,0),"Д")</f>
        <v>0</v>
      </c>
      <c r="M258" s="50">
        <f>SUMIFS(INDEX(Техника!$F$1:$ABM$500,M$2,0),Техника!$F$4:$ABM$4,"Часы",INDEX(Техника!$G$1:$ABN$500,M$2,0),$A$256,INDEX(Техника!$H$1:$ABO$500,M$2,0),"Д")</f>
        <v>0</v>
      </c>
      <c r="N258" s="50">
        <f>SUMIFS(INDEX(Техника!$F$1:$ABM$500,N$2,0),Техника!$F$4:$ABM$4,"Часы",INDEX(Техника!$G$1:$ABN$500,N$2,0),$A$256,INDEX(Техника!$H$1:$ABO$500,N$2,0),"Д")</f>
        <v>0</v>
      </c>
      <c r="O258" s="50">
        <f>SUMIFS(INDEX(Техника!$F$1:$ABM$500,O$2,0),Техника!$F$4:$ABM$4,"Часы",INDEX(Техника!$G$1:$ABN$500,O$2,0),$A$256,INDEX(Техника!$H$1:$ABO$500,O$2,0),"Д")</f>
        <v>0</v>
      </c>
      <c r="P258" s="50">
        <f>SUMIFS(INDEX(Техника!$F$1:$ABM$500,P$2,0),Техника!$F$4:$ABM$4,"Часы",INDEX(Техника!$G$1:$ABN$500,P$2,0),$A$256,INDEX(Техника!$H$1:$ABO$500,P$2,0),"Д")</f>
        <v>0</v>
      </c>
      <c r="Q258" s="50">
        <f>SUMIFS(INDEX(Техника!$F$1:$ABM$500,Q$2,0),Техника!$F$4:$ABM$4,"Часы",INDEX(Техника!$G$1:$ABN$500,Q$2,0),$A$256,INDEX(Техника!$H$1:$ABO$500,Q$2,0),"Д")</f>
        <v>0</v>
      </c>
      <c r="R258" s="50">
        <f>SUMIFS(INDEX(Техника!$F$1:$ABM$500,R$2,0),Техника!$F$4:$ABM$4,"Часы",INDEX(Техника!$G$1:$ABN$500,R$2,0),$A$256,INDEX(Техника!$H$1:$ABO$500,R$2,0),"Д")</f>
        <v>0</v>
      </c>
      <c r="S258" s="50">
        <f>SUMIFS(INDEX(Техника!$F$1:$ABM$500,S$2,0),Техника!$F$4:$ABM$4,"Часы",INDEX(Техника!$G$1:$ABN$500,S$2,0),$A$256,INDEX(Техника!$H$1:$ABO$500,S$2,0),"Д")</f>
        <v>0</v>
      </c>
      <c r="T258" s="50">
        <f>SUMIFS(INDEX(Техника!$F$1:$ABM$500,T$2,0),Техника!$F$4:$ABM$4,"Часы",INDEX(Техника!$G$1:$ABN$500,T$2,0),$A$256,INDEX(Техника!$H$1:$ABO$500,T$2,0),"Д")</f>
        <v>0</v>
      </c>
      <c r="U258" s="50">
        <f>SUMIFS(INDEX(Техника!$F$1:$ABM$500,U$2,0),Техника!$F$4:$ABM$4,"Часы",INDEX(Техника!$G$1:$ABN$500,U$2,0),$A$256,INDEX(Техника!$H$1:$ABO$500,U$2,0),"Д")</f>
        <v>0</v>
      </c>
      <c r="V258" s="50">
        <f>SUMIFS(INDEX(Техника!$F$1:$ABM$500,V$2,0),Техника!$F$4:$ABM$4,"Часы",INDEX(Техника!$G$1:$ABN$500,V$2,0),$A$256,INDEX(Техника!$H$1:$ABO$500,V$2,0),"Д")</f>
        <v>0</v>
      </c>
      <c r="W258" s="50">
        <f>SUMIFS(INDEX(Техника!$F$1:$ABM$500,W$2,0),Техника!$F$4:$ABM$4,"Часы",INDEX(Техника!$G$1:$ABN$500,W$2,0),$A$256,INDEX(Техника!$H$1:$ABO$500,W$2,0),"Д")</f>
        <v>0</v>
      </c>
      <c r="X258" s="50">
        <f>SUMIFS(INDEX(Техника!$F$1:$ABM$500,X$2,0),Техника!$F$4:$ABM$4,"Часы",INDEX(Техника!$G$1:$ABN$500,X$2,0),$A$256,INDEX(Техника!$H$1:$ABO$500,X$2,0),"Д")</f>
        <v>0</v>
      </c>
      <c r="Y258" s="50">
        <f>SUMIFS(INDEX(Техника!$F$1:$ABM$500,Y$2,0),Техника!$F$4:$ABM$4,"Часы",INDEX(Техника!$G$1:$ABN$500,Y$2,0),$A$256,INDEX(Техника!$H$1:$ABO$500,Y$2,0),"Д")</f>
        <v>0</v>
      </c>
      <c r="Z258" s="50">
        <f>SUMIFS(INDEX(Техника!$F$1:$ABM$500,Z$2,0),Техника!$F$4:$ABM$4,"Часы",INDEX(Техника!$G$1:$ABN$500,Z$2,0),$A$256,INDEX(Техника!$H$1:$ABO$500,Z$2,0),"Д")</f>
        <v>0</v>
      </c>
      <c r="AA258" s="50">
        <f>SUMIFS(INDEX(Техника!$F$1:$ABM$500,AA$2,0),Техника!$F$4:$ABM$4,"Часы",INDEX(Техника!$G$1:$ABN$500,AA$2,0),$A$256,INDEX(Техника!$H$1:$ABO$500,AA$2,0),"Д")</f>
        <v>0</v>
      </c>
      <c r="AB258" s="50">
        <f>SUMIFS(INDEX(Техника!$F$1:$ABM$500,AB$2,0),Техника!$F$4:$ABM$4,"Часы",INDEX(Техника!$G$1:$ABN$500,AB$2,0),$A$256,INDEX(Техника!$H$1:$ABO$500,AB$2,0),"Д")</f>
        <v>0</v>
      </c>
    </row>
    <row r="259" spans="1:28" hidden="1" outlineLevel="1" x14ac:dyDescent="0.3">
      <c r="A259" s="33" t="s">
        <v>276</v>
      </c>
      <c r="B259" s="34" t="s">
        <v>277</v>
      </c>
      <c r="C259" s="50">
        <f>SUMIFS(INDEX(Техника!$F$1:$ABM$500,C$2,0),Техника!$F$4:$ABM$4,"Часы",INDEX(Техника!$G$1:$ABN$500,C$2,0),$A$256,INDEX(Техника!$H$1:$ABO$500,C$2,0),"П")</f>
        <v>0</v>
      </c>
      <c r="D259" s="50">
        <f>SUMIFS(INDEX(Техника!$F$1:$ABM$500,D$2,0),Техника!$F$4:$ABM$4,"Часы",INDEX(Техника!$G$1:$ABN$500,D$2,0),$A$256,INDEX(Техника!$H$1:$ABO$500,D$2,0),"П")</f>
        <v>0</v>
      </c>
      <c r="E259" s="50">
        <f>SUMIFS(INDEX(Техника!$F$1:$ABM$500,E$2,0),Техника!$F$4:$ABM$4,"Часы",INDEX(Техника!$G$1:$ABN$500,E$2,0),$A$256,INDEX(Техника!$H$1:$ABO$500,E$2,0),"П")</f>
        <v>0</v>
      </c>
      <c r="F259" s="50">
        <f>SUMIFS(INDEX(Техника!$F$1:$ABM$500,F$2,0),Техника!$F$4:$ABM$4,"Часы",INDEX(Техника!$G$1:$ABN$500,F$2,0),$A$256,INDEX(Техника!$H$1:$ABO$500,F$2,0),"П")</f>
        <v>0</v>
      </c>
      <c r="G259" s="50">
        <f>SUMIFS(INDEX(Техника!$F$1:$ABM$500,G$2,0),Техника!$F$4:$ABM$4,"Часы",INDEX(Техника!$G$1:$ABN$500,G$2,0),$A$256,INDEX(Техника!$H$1:$ABO$500,G$2,0),"П")</f>
        <v>0</v>
      </c>
      <c r="H259" s="50">
        <f>SUMIFS(INDEX(Техника!$F$1:$ABM$500,H$2,0),Техника!$F$4:$ABM$4,"Часы",INDEX(Техника!$G$1:$ABN$500,H$2,0),$A$256,INDEX(Техника!$H$1:$ABO$500,H$2,0),"П")</f>
        <v>0</v>
      </c>
      <c r="I259" s="50">
        <f>SUMIFS(INDEX(Техника!$F$1:$ABM$500,I$2,0),Техника!$F$4:$ABM$4,"Часы",INDEX(Техника!$G$1:$ABN$500,I$2,0),$A$256,INDEX(Техника!$H$1:$ABO$500,I$2,0),"П")</f>
        <v>0</v>
      </c>
      <c r="J259" s="50">
        <f>SUMIFS(INDEX(Техника!$F$1:$ABM$500,J$2,0),Техника!$F$4:$ABM$4,"Часы",INDEX(Техника!$G$1:$ABN$500,J$2,0),$A$256,INDEX(Техника!$H$1:$ABO$500,J$2,0),"П")</f>
        <v>0</v>
      </c>
      <c r="K259" s="50">
        <f>SUMIFS(INDEX(Техника!$F$1:$ABM$500,K$2,0),Техника!$F$4:$ABM$4,"Часы",INDEX(Техника!$G$1:$ABN$500,K$2,0),$A$256,INDEX(Техника!$H$1:$ABO$500,K$2,0),"П")</f>
        <v>0</v>
      </c>
      <c r="L259" s="50">
        <f>SUMIFS(INDEX(Техника!$F$1:$ABM$500,L$2,0),Техника!$F$4:$ABM$4,"Часы",INDEX(Техника!$G$1:$ABN$500,L$2,0),$A$256,INDEX(Техника!$H$1:$ABO$500,L$2,0),"П")</f>
        <v>0</v>
      </c>
      <c r="M259" s="50">
        <f>SUMIFS(INDEX(Техника!$F$1:$ABM$500,M$2,0),Техника!$F$4:$ABM$4,"Часы",INDEX(Техника!$G$1:$ABN$500,M$2,0),$A$256,INDEX(Техника!$H$1:$ABO$500,M$2,0),"П")</f>
        <v>0</v>
      </c>
      <c r="N259" s="50">
        <f>SUMIFS(INDEX(Техника!$F$1:$ABM$500,N$2,0),Техника!$F$4:$ABM$4,"Часы",INDEX(Техника!$G$1:$ABN$500,N$2,0),$A$256,INDEX(Техника!$H$1:$ABO$500,N$2,0),"П")</f>
        <v>0</v>
      </c>
      <c r="O259" s="50">
        <f>SUMIFS(INDEX(Техника!$F$1:$ABM$500,O$2,0),Техника!$F$4:$ABM$4,"Часы",INDEX(Техника!$G$1:$ABN$500,O$2,0),$A$256,INDEX(Техника!$H$1:$ABO$500,O$2,0),"П")</f>
        <v>0</v>
      </c>
      <c r="P259" s="50">
        <f>SUMIFS(INDEX(Техника!$F$1:$ABM$500,P$2,0),Техника!$F$4:$ABM$4,"Часы",INDEX(Техника!$G$1:$ABN$500,P$2,0),$A$256,INDEX(Техника!$H$1:$ABO$500,P$2,0),"П")</f>
        <v>0</v>
      </c>
      <c r="Q259" s="50">
        <f>SUMIFS(INDEX(Техника!$F$1:$ABM$500,Q$2,0),Техника!$F$4:$ABM$4,"Часы",INDEX(Техника!$G$1:$ABN$500,Q$2,0),$A$256,INDEX(Техника!$H$1:$ABO$500,Q$2,0),"П")</f>
        <v>0</v>
      </c>
      <c r="R259" s="50">
        <f>SUMIFS(INDEX(Техника!$F$1:$ABM$500,R$2,0),Техника!$F$4:$ABM$4,"Часы",INDEX(Техника!$G$1:$ABN$500,R$2,0),$A$256,INDEX(Техника!$H$1:$ABO$500,R$2,0),"П")</f>
        <v>0</v>
      </c>
      <c r="S259" s="50">
        <f>SUMIFS(INDEX(Техника!$F$1:$ABM$500,S$2,0),Техника!$F$4:$ABM$4,"Часы",INDEX(Техника!$G$1:$ABN$500,S$2,0),$A$256,INDEX(Техника!$H$1:$ABO$500,S$2,0),"П")</f>
        <v>0</v>
      </c>
      <c r="T259" s="50">
        <f>SUMIFS(INDEX(Техника!$F$1:$ABM$500,T$2,0),Техника!$F$4:$ABM$4,"Часы",INDEX(Техника!$G$1:$ABN$500,T$2,0),$A$256,INDEX(Техника!$H$1:$ABO$500,T$2,0),"П")</f>
        <v>0</v>
      </c>
      <c r="U259" s="50">
        <f>SUMIFS(INDEX(Техника!$F$1:$ABM$500,U$2,0),Техника!$F$4:$ABM$4,"Часы",INDEX(Техника!$G$1:$ABN$500,U$2,0),$A$256,INDEX(Техника!$H$1:$ABO$500,U$2,0),"П")</f>
        <v>0</v>
      </c>
      <c r="V259" s="50">
        <f>SUMIFS(INDEX(Техника!$F$1:$ABM$500,V$2,0),Техника!$F$4:$ABM$4,"Часы",INDEX(Техника!$G$1:$ABN$500,V$2,0),$A$256,INDEX(Техника!$H$1:$ABO$500,V$2,0),"П")</f>
        <v>0</v>
      </c>
      <c r="W259" s="50">
        <f>SUMIFS(INDEX(Техника!$F$1:$ABM$500,W$2,0),Техника!$F$4:$ABM$4,"Часы",INDEX(Техника!$G$1:$ABN$500,W$2,0),$A$256,INDEX(Техника!$H$1:$ABO$500,W$2,0),"П")</f>
        <v>0</v>
      </c>
      <c r="X259" s="50">
        <f>SUMIFS(INDEX(Техника!$F$1:$ABM$500,X$2,0),Техника!$F$4:$ABM$4,"Часы",INDEX(Техника!$G$1:$ABN$500,X$2,0),$A$256,INDEX(Техника!$H$1:$ABO$500,X$2,0),"П")</f>
        <v>0</v>
      </c>
      <c r="Y259" s="50">
        <f>SUMIFS(INDEX(Техника!$F$1:$ABM$500,Y$2,0),Техника!$F$4:$ABM$4,"Часы",INDEX(Техника!$G$1:$ABN$500,Y$2,0),$A$256,INDEX(Техника!$H$1:$ABO$500,Y$2,0),"П")</f>
        <v>0</v>
      </c>
      <c r="Z259" s="50">
        <f>SUMIFS(INDEX(Техника!$F$1:$ABM$500,Z$2,0),Техника!$F$4:$ABM$4,"Часы",INDEX(Техника!$G$1:$ABN$500,Z$2,0),$A$256,INDEX(Техника!$H$1:$ABO$500,Z$2,0),"П")</f>
        <v>0</v>
      </c>
      <c r="AA259" s="50">
        <f>SUMIFS(INDEX(Техника!$F$1:$ABM$500,AA$2,0),Техника!$F$4:$ABM$4,"Часы",INDEX(Техника!$G$1:$ABN$500,AA$2,0),$A$256,INDEX(Техника!$H$1:$ABO$500,AA$2,0),"П")</f>
        <v>0</v>
      </c>
      <c r="AB259" s="50">
        <f>SUMIFS(INDEX(Техника!$F$1:$ABM$500,AB$2,0),Техника!$F$4:$ABM$4,"Часы",INDEX(Техника!$G$1:$ABN$500,AB$2,0),$A$256,INDEX(Техника!$H$1:$ABO$500,AB$2,0),"П")</f>
        <v>0</v>
      </c>
    </row>
    <row r="260" spans="1:28" hidden="1" outlineLevel="1" x14ac:dyDescent="0.3">
      <c r="A260" s="33" t="s">
        <v>243</v>
      </c>
      <c r="B260" s="34" t="s">
        <v>278</v>
      </c>
      <c r="C260" s="50">
        <f>SUMIFS(INDEX(Техника!$F$1:$ABM$500,C$2,0),Техника!$F$4:$ABM$4,"Часы",INDEX(Техника!$G$1:$ABN$500,C$2,0),$A$256,INDEX(Техника!$H$1:$ABO$500,C$2,0),"Л")</f>
        <v>0</v>
      </c>
      <c r="D260" s="50">
        <f>SUMIFS(INDEX(Техника!$F$1:$ABM$500,D$2,0),Техника!$F$4:$ABM$4,"Часы",INDEX(Техника!$G$1:$ABN$500,D$2,0),$A$256,INDEX(Техника!$H$1:$ABO$500,D$2,0),"Л")</f>
        <v>0</v>
      </c>
      <c r="E260" s="50">
        <f>SUMIFS(INDEX(Техника!$F$1:$ABM$500,E$2,0),Техника!$F$4:$ABM$4,"Часы",INDEX(Техника!$G$1:$ABN$500,E$2,0),$A$256,INDEX(Техника!$H$1:$ABO$500,E$2,0),"Л")</f>
        <v>0</v>
      </c>
      <c r="F260" s="50">
        <f>SUMIFS(INDEX(Техника!$F$1:$ABM$500,F$2,0),Техника!$F$4:$ABM$4,"Часы",INDEX(Техника!$G$1:$ABN$500,F$2,0),$A$256,INDEX(Техника!$H$1:$ABO$500,F$2,0),"Л")</f>
        <v>0</v>
      </c>
      <c r="G260" s="50">
        <f>SUMIFS(INDEX(Техника!$F$1:$ABM$500,G$2,0),Техника!$F$4:$ABM$4,"Часы",INDEX(Техника!$G$1:$ABN$500,G$2,0),$A$256,INDEX(Техника!$H$1:$ABO$500,G$2,0),"Л")</f>
        <v>0</v>
      </c>
      <c r="H260" s="50">
        <f>SUMIFS(INDEX(Техника!$F$1:$ABM$500,H$2,0),Техника!$F$4:$ABM$4,"Часы",INDEX(Техника!$G$1:$ABN$500,H$2,0),$A$256,INDEX(Техника!$H$1:$ABO$500,H$2,0),"Л")</f>
        <v>0</v>
      </c>
      <c r="I260" s="50">
        <f>SUMIFS(INDEX(Техника!$F$1:$ABM$500,I$2,0),Техника!$F$4:$ABM$4,"Часы",INDEX(Техника!$G$1:$ABN$500,I$2,0),$A$256,INDEX(Техника!$H$1:$ABO$500,I$2,0),"Л")</f>
        <v>0</v>
      </c>
      <c r="J260" s="50">
        <f>SUMIFS(INDEX(Техника!$F$1:$ABM$500,J$2,0),Техника!$F$4:$ABM$4,"Часы",INDEX(Техника!$G$1:$ABN$500,J$2,0),$A$256,INDEX(Техника!$H$1:$ABO$500,J$2,0),"Л")</f>
        <v>0</v>
      </c>
      <c r="K260" s="50">
        <f>SUMIFS(INDEX(Техника!$F$1:$ABM$500,K$2,0),Техника!$F$4:$ABM$4,"Часы",INDEX(Техника!$G$1:$ABN$500,K$2,0),$A$256,INDEX(Техника!$H$1:$ABO$500,K$2,0),"Л")</f>
        <v>0</v>
      </c>
      <c r="L260" s="50">
        <f>SUMIFS(INDEX(Техника!$F$1:$ABM$500,L$2,0),Техника!$F$4:$ABM$4,"Часы",INDEX(Техника!$G$1:$ABN$500,L$2,0),$A$256,INDEX(Техника!$H$1:$ABO$500,L$2,0),"Л")</f>
        <v>0</v>
      </c>
      <c r="M260" s="50">
        <f>SUMIFS(INDEX(Техника!$F$1:$ABM$500,M$2,0),Техника!$F$4:$ABM$4,"Часы",INDEX(Техника!$G$1:$ABN$500,M$2,0),$A$256,INDEX(Техника!$H$1:$ABO$500,M$2,0),"Л")</f>
        <v>0</v>
      </c>
      <c r="N260" s="50">
        <f>SUMIFS(INDEX(Техника!$F$1:$ABM$500,N$2,0),Техника!$F$4:$ABM$4,"Часы",INDEX(Техника!$G$1:$ABN$500,N$2,0),$A$256,INDEX(Техника!$H$1:$ABO$500,N$2,0),"Л")</f>
        <v>0</v>
      </c>
      <c r="O260" s="50">
        <f>SUMIFS(INDEX(Техника!$F$1:$ABM$500,O$2,0),Техника!$F$4:$ABM$4,"Часы",INDEX(Техника!$G$1:$ABN$500,O$2,0),$A$256,INDEX(Техника!$H$1:$ABO$500,O$2,0),"Л")</f>
        <v>0</v>
      </c>
      <c r="P260" s="50">
        <f>SUMIFS(INDEX(Техника!$F$1:$ABM$500,P$2,0),Техника!$F$4:$ABM$4,"Часы",INDEX(Техника!$G$1:$ABN$500,P$2,0),$A$256,INDEX(Техника!$H$1:$ABO$500,P$2,0),"Л")</f>
        <v>0</v>
      </c>
      <c r="Q260" s="50">
        <f>SUMIFS(INDEX(Техника!$F$1:$ABM$500,Q$2,0),Техника!$F$4:$ABM$4,"Часы",INDEX(Техника!$G$1:$ABN$500,Q$2,0),$A$256,INDEX(Техника!$H$1:$ABO$500,Q$2,0),"Л")</f>
        <v>0</v>
      </c>
      <c r="R260" s="50">
        <f>SUMIFS(INDEX(Техника!$F$1:$ABM$500,R$2,0),Техника!$F$4:$ABM$4,"Часы",INDEX(Техника!$G$1:$ABN$500,R$2,0),$A$256,INDEX(Техника!$H$1:$ABO$500,R$2,0),"Л")</f>
        <v>0</v>
      </c>
      <c r="S260" s="50">
        <f>SUMIFS(INDEX(Техника!$F$1:$ABM$500,S$2,0),Техника!$F$4:$ABM$4,"Часы",INDEX(Техника!$G$1:$ABN$500,S$2,0),$A$256,INDEX(Техника!$H$1:$ABO$500,S$2,0),"Л")</f>
        <v>0</v>
      </c>
      <c r="T260" s="50">
        <f>SUMIFS(INDEX(Техника!$F$1:$ABM$500,T$2,0),Техника!$F$4:$ABM$4,"Часы",INDEX(Техника!$G$1:$ABN$500,T$2,0),$A$256,INDEX(Техника!$H$1:$ABO$500,T$2,0),"Л")</f>
        <v>0</v>
      </c>
      <c r="U260" s="50">
        <f>SUMIFS(INDEX(Техника!$F$1:$ABM$500,U$2,0),Техника!$F$4:$ABM$4,"Часы",INDEX(Техника!$G$1:$ABN$500,U$2,0),$A$256,INDEX(Техника!$H$1:$ABO$500,U$2,0),"Л")</f>
        <v>0</v>
      </c>
      <c r="V260" s="50">
        <f>SUMIFS(INDEX(Техника!$F$1:$ABM$500,V$2,0),Техника!$F$4:$ABM$4,"Часы",INDEX(Техника!$G$1:$ABN$500,V$2,0),$A$256,INDEX(Техника!$H$1:$ABO$500,V$2,0),"Л")</f>
        <v>0</v>
      </c>
      <c r="W260" s="50">
        <f>SUMIFS(INDEX(Техника!$F$1:$ABM$500,W$2,0),Техника!$F$4:$ABM$4,"Часы",INDEX(Техника!$G$1:$ABN$500,W$2,0),$A$256,INDEX(Техника!$H$1:$ABO$500,W$2,0),"Л")</f>
        <v>0</v>
      </c>
      <c r="X260" s="50">
        <f>SUMIFS(INDEX(Техника!$F$1:$ABM$500,X$2,0),Техника!$F$4:$ABM$4,"Часы",INDEX(Техника!$G$1:$ABN$500,X$2,0),$A$256,INDEX(Техника!$H$1:$ABO$500,X$2,0),"Л")</f>
        <v>0</v>
      </c>
      <c r="Y260" s="50">
        <f>SUMIFS(INDEX(Техника!$F$1:$ABM$500,Y$2,0),Техника!$F$4:$ABM$4,"Часы",INDEX(Техника!$G$1:$ABN$500,Y$2,0),$A$256,INDEX(Техника!$H$1:$ABO$500,Y$2,0),"Л")</f>
        <v>0</v>
      </c>
      <c r="Z260" s="50">
        <f>SUMIFS(INDEX(Техника!$F$1:$ABM$500,Z$2,0),Техника!$F$4:$ABM$4,"Часы",INDEX(Техника!$G$1:$ABN$500,Z$2,0),$A$256,INDEX(Техника!$H$1:$ABO$500,Z$2,0),"Л")</f>
        <v>0</v>
      </c>
      <c r="AA260" s="50">
        <f>SUMIFS(INDEX(Техника!$F$1:$ABM$500,AA$2,0),Техника!$F$4:$ABM$4,"Часы",INDEX(Техника!$G$1:$ABN$500,AA$2,0),$A$256,INDEX(Техника!$H$1:$ABO$500,AA$2,0),"Л")</f>
        <v>0</v>
      </c>
      <c r="AB260" s="50">
        <f>SUMIFS(INDEX(Техника!$F$1:$ABM$500,AB$2,0),Техника!$F$4:$ABM$4,"Часы",INDEX(Техника!$G$1:$ABN$500,AB$2,0),$A$256,INDEX(Техника!$H$1:$ABO$500,AB$2,0),"Л")</f>
        <v>0</v>
      </c>
    </row>
    <row r="261" spans="1:28" hidden="1" outlineLevel="1" x14ac:dyDescent="0.3">
      <c r="A261" s="33" t="s">
        <v>245</v>
      </c>
      <c r="B261" s="34" t="s">
        <v>279</v>
      </c>
      <c r="C261" s="50">
        <f>SUMIFS(INDEX(Техника!$F$1:$ABM$500,C$2,0),Техника!$F$4:$ABM$4,"Часы",INDEX(Техника!$G$1:$ABN$500,C$2,0),$A$256,INDEX(Техника!$H$1:$ABO$500,C$2,0),"З")</f>
        <v>0</v>
      </c>
      <c r="D261" s="50">
        <f>SUMIFS(INDEX(Техника!$F$1:$ABM$500,D$2,0),Техника!$F$4:$ABM$4,"Часы",INDEX(Техника!$G$1:$ABN$500,D$2,0),$A$256,INDEX(Техника!$H$1:$ABO$500,D$2,0),"З")</f>
        <v>0</v>
      </c>
      <c r="E261" s="50">
        <f>SUMIFS(INDEX(Техника!$F$1:$ABM$500,E$2,0),Техника!$F$4:$ABM$4,"Часы",INDEX(Техника!$G$1:$ABN$500,E$2,0),$A$256,INDEX(Техника!$H$1:$ABO$500,E$2,0),"З")</f>
        <v>0</v>
      </c>
      <c r="F261" s="50">
        <f>SUMIFS(INDEX(Техника!$F$1:$ABM$500,F$2,0),Техника!$F$4:$ABM$4,"Часы",INDEX(Техника!$G$1:$ABN$500,F$2,0),$A$256,INDEX(Техника!$H$1:$ABO$500,F$2,0),"З")</f>
        <v>0</v>
      </c>
      <c r="G261" s="50">
        <f>SUMIFS(INDEX(Техника!$F$1:$ABM$500,G$2,0),Техника!$F$4:$ABM$4,"Часы",INDEX(Техника!$G$1:$ABN$500,G$2,0),$A$256,INDEX(Техника!$H$1:$ABO$500,G$2,0),"З")</f>
        <v>0</v>
      </c>
      <c r="H261" s="50">
        <f>SUMIFS(INDEX(Техника!$F$1:$ABM$500,H$2,0),Техника!$F$4:$ABM$4,"Часы",INDEX(Техника!$G$1:$ABN$500,H$2,0),$A$256,INDEX(Техника!$H$1:$ABO$500,H$2,0),"З")</f>
        <v>0</v>
      </c>
      <c r="I261" s="50">
        <f>SUMIFS(INDEX(Техника!$F$1:$ABM$500,I$2,0),Техника!$F$4:$ABM$4,"Часы",INDEX(Техника!$G$1:$ABN$500,I$2,0),$A$256,INDEX(Техника!$H$1:$ABO$500,I$2,0),"З")</f>
        <v>0</v>
      </c>
      <c r="J261" s="50">
        <f>SUMIFS(INDEX(Техника!$F$1:$ABM$500,J$2,0),Техника!$F$4:$ABM$4,"Часы",INDEX(Техника!$G$1:$ABN$500,J$2,0),$A$256,INDEX(Техника!$H$1:$ABO$500,J$2,0),"З")</f>
        <v>0</v>
      </c>
      <c r="K261" s="50">
        <f>SUMIFS(INDEX(Техника!$F$1:$ABM$500,K$2,0),Техника!$F$4:$ABM$4,"Часы",INDEX(Техника!$G$1:$ABN$500,K$2,0),$A$256,INDEX(Техника!$H$1:$ABO$500,K$2,0),"З")</f>
        <v>0</v>
      </c>
      <c r="L261" s="50">
        <f>SUMIFS(INDEX(Техника!$F$1:$ABM$500,L$2,0),Техника!$F$4:$ABM$4,"Часы",INDEX(Техника!$G$1:$ABN$500,L$2,0),$A$256,INDEX(Техника!$H$1:$ABO$500,L$2,0),"З")</f>
        <v>0</v>
      </c>
      <c r="M261" s="50">
        <f>SUMIFS(INDEX(Техника!$F$1:$ABM$500,M$2,0),Техника!$F$4:$ABM$4,"Часы",INDEX(Техника!$G$1:$ABN$500,M$2,0),$A$256,INDEX(Техника!$H$1:$ABO$500,M$2,0),"З")</f>
        <v>0</v>
      </c>
      <c r="N261" s="50">
        <f>SUMIFS(INDEX(Техника!$F$1:$ABM$500,N$2,0),Техника!$F$4:$ABM$4,"Часы",INDEX(Техника!$G$1:$ABN$500,N$2,0),$A$256,INDEX(Техника!$H$1:$ABO$500,N$2,0),"З")</f>
        <v>0</v>
      </c>
      <c r="O261" s="50">
        <f>SUMIFS(INDEX(Техника!$F$1:$ABM$500,O$2,0),Техника!$F$4:$ABM$4,"Часы",INDEX(Техника!$G$1:$ABN$500,O$2,0),$A$256,INDEX(Техника!$H$1:$ABO$500,O$2,0),"З")</f>
        <v>0</v>
      </c>
      <c r="P261" s="50">
        <f>SUMIFS(INDEX(Техника!$F$1:$ABM$500,P$2,0),Техника!$F$4:$ABM$4,"Часы",INDEX(Техника!$G$1:$ABN$500,P$2,0),$A$256,INDEX(Техника!$H$1:$ABO$500,P$2,0),"З")</f>
        <v>0</v>
      </c>
      <c r="Q261" s="50">
        <f>SUMIFS(INDEX(Техника!$F$1:$ABM$500,Q$2,0),Техника!$F$4:$ABM$4,"Часы",INDEX(Техника!$G$1:$ABN$500,Q$2,0),$A$256,INDEX(Техника!$H$1:$ABO$500,Q$2,0),"З")</f>
        <v>0</v>
      </c>
      <c r="R261" s="50">
        <f>SUMIFS(INDEX(Техника!$F$1:$ABM$500,R$2,0),Техника!$F$4:$ABM$4,"Часы",INDEX(Техника!$G$1:$ABN$500,R$2,0),$A$256,INDEX(Техника!$H$1:$ABO$500,R$2,0),"З")</f>
        <v>0</v>
      </c>
      <c r="S261" s="50">
        <f>SUMIFS(INDEX(Техника!$F$1:$ABM$500,S$2,0),Техника!$F$4:$ABM$4,"Часы",INDEX(Техника!$G$1:$ABN$500,S$2,0),$A$256,INDEX(Техника!$H$1:$ABO$500,S$2,0),"З")</f>
        <v>0</v>
      </c>
      <c r="T261" s="50">
        <f>SUMIFS(INDEX(Техника!$F$1:$ABM$500,T$2,0),Техника!$F$4:$ABM$4,"Часы",INDEX(Техника!$G$1:$ABN$500,T$2,0),$A$256,INDEX(Техника!$H$1:$ABO$500,T$2,0),"З")</f>
        <v>0</v>
      </c>
      <c r="U261" s="50">
        <f>SUMIFS(INDEX(Техника!$F$1:$ABM$500,U$2,0),Техника!$F$4:$ABM$4,"Часы",INDEX(Техника!$G$1:$ABN$500,U$2,0),$A$256,INDEX(Техника!$H$1:$ABO$500,U$2,0),"З")</f>
        <v>0</v>
      </c>
      <c r="V261" s="50">
        <f>SUMIFS(INDEX(Техника!$F$1:$ABM$500,V$2,0),Техника!$F$4:$ABM$4,"Часы",INDEX(Техника!$G$1:$ABN$500,V$2,0),$A$256,INDEX(Техника!$H$1:$ABO$500,V$2,0),"З")</f>
        <v>0</v>
      </c>
      <c r="W261" s="50">
        <f>SUMIFS(INDEX(Техника!$F$1:$ABM$500,W$2,0),Техника!$F$4:$ABM$4,"Часы",INDEX(Техника!$G$1:$ABN$500,W$2,0),$A$256,INDEX(Техника!$H$1:$ABO$500,W$2,0),"З")</f>
        <v>0</v>
      </c>
      <c r="X261" s="50">
        <f>SUMIFS(INDEX(Техника!$F$1:$ABM$500,X$2,0),Техника!$F$4:$ABM$4,"Часы",INDEX(Техника!$G$1:$ABN$500,X$2,0),$A$256,INDEX(Техника!$H$1:$ABO$500,X$2,0),"З")</f>
        <v>0</v>
      </c>
      <c r="Y261" s="50">
        <f>SUMIFS(INDEX(Техника!$F$1:$ABM$500,Y$2,0),Техника!$F$4:$ABM$4,"Часы",INDEX(Техника!$G$1:$ABN$500,Y$2,0),$A$256,INDEX(Техника!$H$1:$ABO$500,Y$2,0),"З")</f>
        <v>0</v>
      </c>
      <c r="Z261" s="50">
        <f>SUMIFS(INDEX(Техника!$F$1:$ABM$500,Z$2,0),Техника!$F$4:$ABM$4,"Часы",INDEX(Техника!$G$1:$ABN$500,Z$2,0),$A$256,INDEX(Техника!$H$1:$ABO$500,Z$2,0),"З")</f>
        <v>0</v>
      </c>
      <c r="AA261" s="50">
        <f>SUMIFS(INDEX(Техника!$F$1:$ABM$500,AA$2,0),Техника!$F$4:$ABM$4,"Часы",INDEX(Техника!$G$1:$ABN$500,AA$2,0),$A$256,INDEX(Техника!$H$1:$ABO$500,AA$2,0),"З")</f>
        <v>0</v>
      </c>
      <c r="AB261" s="50">
        <f>SUMIFS(INDEX(Техника!$F$1:$ABM$500,AB$2,0),Техника!$F$4:$ABM$4,"Часы",INDEX(Техника!$G$1:$ABN$500,AB$2,0),$A$256,INDEX(Техника!$H$1:$ABO$500,AB$2,0),"З")</f>
        <v>0</v>
      </c>
    </row>
    <row r="262" spans="1:28" ht="7.95" customHeight="1" x14ac:dyDescent="0.3">
      <c r="A262" s="38"/>
      <c r="B262" s="39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</row>
    <row r="263" spans="1:28" ht="25.05" customHeight="1" collapsed="1" x14ac:dyDescent="0.3">
      <c r="A263" s="32">
        <v>38</v>
      </c>
      <c r="B263" s="32" t="s">
        <v>39</v>
      </c>
      <c r="C263" s="49">
        <f>SUM(C264:C268)</f>
        <v>0</v>
      </c>
      <c r="D263" s="49">
        <f>SUM(D264:D268)</f>
        <v>0</v>
      </c>
      <c r="E263" s="49">
        <f>SUM(E264:E268)</f>
        <v>0</v>
      </c>
      <c r="F263" s="49">
        <f>SUM(F264:F268)</f>
        <v>0</v>
      </c>
      <c r="G263" s="49">
        <f>SUM(G264:G268)</f>
        <v>0</v>
      </c>
      <c r="H263" s="49">
        <f>SUM(H264:H268)</f>
        <v>0</v>
      </c>
      <c r="I263" s="49">
        <f>SUM(I264:I268)</f>
        <v>0</v>
      </c>
      <c r="J263" s="49">
        <f>SUM(J264:J268)</f>
        <v>0</v>
      </c>
      <c r="K263" s="49">
        <f>SUM(K264:K268)</f>
        <v>0</v>
      </c>
      <c r="L263" s="49">
        <f>SUM(L264:L268)</f>
        <v>0</v>
      </c>
      <c r="M263" s="49">
        <f>SUM(M264:M268)</f>
        <v>0</v>
      </c>
      <c r="N263" s="49">
        <f>SUM(N264:N268)</f>
        <v>0</v>
      </c>
      <c r="O263" s="49">
        <f>SUM(O264:O268)</f>
        <v>0</v>
      </c>
      <c r="P263" s="49">
        <f>SUM(P264:P268)</f>
        <v>0</v>
      </c>
      <c r="Q263" s="49">
        <f>SUM(Q264:Q268)</f>
        <v>0</v>
      </c>
      <c r="R263" s="49">
        <f>SUM(R264:R268)</f>
        <v>0</v>
      </c>
      <c r="S263" s="49">
        <f>SUM(S264:S268)</f>
        <v>0</v>
      </c>
      <c r="T263" s="49">
        <f>SUM(T264:T268)</f>
        <v>0</v>
      </c>
      <c r="U263" s="49">
        <f>SUM(U264:U268)</f>
        <v>0</v>
      </c>
      <c r="V263" s="49">
        <f>SUM(V264:V268)</f>
        <v>0</v>
      </c>
      <c r="W263" s="49">
        <f>SUM(W264:W268)</f>
        <v>0</v>
      </c>
      <c r="X263" s="49">
        <f>SUM(X264:X268)</f>
        <v>0</v>
      </c>
      <c r="Y263" s="49">
        <f>SUM(Y264:Y268)</f>
        <v>0</v>
      </c>
      <c r="Z263" s="49">
        <f>SUM(Z264:Z268)</f>
        <v>0</v>
      </c>
      <c r="AA263" s="49">
        <f>SUM(AA264:AA268)</f>
        <v>0</v>
      </c>
      <c r="AB263" s="49">
        <f>SUM(AB264:AB268)</f>
        <v>0</v>
      </c>
    </row>
    <row r="264" spans="1:28" hidden="1" outlineLevel="1" x14ac:dyDescent="0.3">
      <c r="A264" s="33" t="s">
        <v>246</v>
      </c>
      <c r="B264" s="34" t="s">
        <v>274</v>
      </c>
      <c r="C264" s="50">
        <f>SUMIFS(INDEX(Техника!$F$1:$ABM$500,C$2,0),Техника!$F$4:$ABM$4,"Часы",INDEX(Техника!$G$1:$ABN$500,C$2,0),$A$263,INDEX(Техника!$H$1:$ABO$500,C$2,0),"М")</f>
        <v>0</v>
      </c>
      <c r="D264" s="50">
        <f>SUMIFS(INDEX(Техника!$F$1:$ABM$500,D$2,0),Техника!$F$4:$ABM$4,"Часы",INDEX(Техника!$G$1:$ABN$500,D$2,0),$A$263,INDEX(Техника!$H$1:$ABO$500,D$2,0),"М")</f>
        <v>0</v>
      </c>
      <c r="E264" s="50">
        <f>SUMIFS(INDEX(Техника!$F$1:$ABM$500,E$2,0),Техника!$F$4:$ABM$4,"Часы",INDEX(Техника!$G$1:$ABN$500,E$2,0),$A$263,INDEX(Техника!$H$1:$ABO$500,E$2,0),"М")</f>
        <v>0</v>
      </c>
      <c r="F264" s="50">
        <f>SUMIFS(INDEX(Техника!$F$1:$ABM$500,F$2,0),Техника!$F$4:$ABM$4,"Часы",INDEX(Техника!$G$1:$ABN$500,F$2,0),$A$263,INDEX(Техника!$H$1:$ABO$500,F$2,0),"М")</f>
        <v>0</v>
      </c>
      <c r="G264" s="50">
        <f>SUMIFS(INDEX(Техника!$F$1:$ABM$500,G$2,0),Техника!$F$4:$ABM$4,"Часы",INDEX(Техника!$G$1:$ABN$500,G$2,0),$A$263,INDEX(Техника!$H$1:$ABO$500,G$2,0),"М")</f>
        <v>0</v>
      </c>
      <c r="H264" s="50">
        <f>SUMIFS(INDEX(Техника!$F$1:$ABM$500,H$2,0),Техника!$F$4:$ABM$4,"Часы",INDEX(Техника!$G$1:$ABN$500,H$2,0),$A$263,INDEX(Техника!$H$1:$ABO$500,H$2,0),"М")</f>
        <v>0</v>
      </c>
      <c r="I264" s="50">
        <f>SUMIFS(INDEX(Техника!$F$1:$ABM$500,I$2,0),Техника!$F$4:$ABM$4,"Часы",INDEX(Техника!$G$1:$ABN$500,I$2,0),$A$263,INDEX(Техника!$H$1:$ABO$500,I$2,0),"М")</f>
        <v>0</v>
      </c>
      <c r="J264" s="50">
        <f>SUMIFS(INDEX(Техника!$F$1:$ABM$500,J$2,0),Техника!$F$4:$ABM$4,"Часы",INDEX(Техника!$G$1:$ABN$500,J$2,0),$A$263,INDEX(Техника!$H$1:$ABO$500,J$2,0),"М")</f>
        <v>0</v>
      </c>
      <c r="K264" s="50">
        <f>SUMIFS(INDEX(Техника!$F$1:$ABM$500,K$2,0),Техника!$F$4:$ABM$4,"Часы",INDEX(Техника!$G$1:$ABN$500,K$2,0),$A$263,INDEX(Техника!$H$1:$ABO$500,K$2,0),"М")</f>
        <v>0</v>
      </c>
      <c r="L264" s="50">
        <f>SUMIFS(INDEX(Техника!$F$1:$ABM$500,L$2,0),Техника!$F$4:$ABM$4,"Часы",INDEX(Техника!$G$1:$ABN$500,L$2,0),$A$263,INDEX(Техника!$H$1:$ABO$500,L$2,0),"М")</f>
        <v>0</v>
      </c>
      <c r="M264" s="50">
        <f>SUMIFS(INDEX(Техника!$F$1:$ABM$500,M$2,0),Техника!$F$4:$ABM$4,"Часы",INDEX(Техника!$G$1:$ABN$500,M$2,0),$A$263,INDEX(Техника!$H$1:$ABO$500,M$2,0),"М")</f>
        <v>0</v>
      </c>
      <c r="N264" s="50">
        <f>SUMIFS(INDEX(Техника!$F$1:$ABM$500,N$2,0),Техника!$F$4:$ABM$4,"Часы",INDEX(Техника!$G$1:$ABN$500,N$2,0),$A$263,INDEX(Техника!$H$1:$ABO$500,N$2,0),"М")</f>
        <v>0</v>
      </c>
      <c r="O264" s="50">
        <f>SUMIFS(INDEX(Техника!$F$1:$ABM$500,O$2,0),Техника!$F$4:$ABM$4,"Часы",INDEX(Техника!$G$1:$ABN$500,O$2,0),$A$263,INDEX(Техника!$H$1:$ABO$500,O$2,0),"М")</f>
        <v>0</v>
      </c>
      <c r="P264" s="50">
        <f>SUMIFS(INDEX(Техника!$F$1:$ABM$500,P$2,0),Техника!$F$4:$ABM$4,"Часы",INDEX(Техника!$G$1:$ABN$500,P$2,0),$A$263,INDEX(Техника!$H$1:$ABO$500,P$2,0),"М")</f>
        <v>0</v>
      </c>
      <c r="Q264" s="50">
        <f>SUMIFS(INDEX(Техника!$F$1:$ABM$500,Q$2,0),Техника!$F$4:$ABM$4,"Часы",INDEX(Техника!$G$1:$ABN$500,Q$2,0),$A$263,INDEX(Техника!$H$1:$ABO$500,Q$2,0),"М")</f>
        <v>0</v>
      </c>
      <c r="R264" s="50">
        <f>SUMIFS(INDEX(Техника!$F$1:$ABM$500,R$2,0),Техника!$F$4:$ABM$4,"Часы",INDEX(Техника!$G$1:$ABN$500,R$2,0),$A$263,INDEX(Техника!$H$1:$ABO$500,R$2,0),"М")</f>
        <v>0</v>
      </c>
      <c r="S264" s="50">
        <f>SUMIFS(INDEX(Техника!$F$1:$ABM$500,S$2,0),Техника!$F$4:$ABM$4,"Часы",INDEX(Техника!$G$1:$ABN$500,S$2,0),$A$263,INDEX(Техника!$H$1:$ABO$500,S$2,0),"М")</f>
        <v>0</v>
      </c>
      <c r="T264" s="50">
        <f>SUMIFS(INDEX(Техника!$F$1:$ABM$500,T$2,0),Техника!$F$4:$ABM$4,"Часы",INDEX(Техника!$G$1:$ABN$500,T$2,0),$A$263,INDEX(Техника!$H$1:$ABO$500,T$2,0),"М")</f>
        <v>0</v>
      </c>
      <c r="U264" s="50">
        <f>SUMIFS(INDEX(Техника!$F$1:$ABM$500,U$2,0),Техника!$F$4:$ABM$4,"Часы",INDEX(Техника!$G$1:$ABN$500,U$2,0),$A$263,INDEX(Техника!$H$1:$ABO$500,U$2,0),"М")</f>
        <v>0</v>
      </c>
      <c r="V264" s="50">
        <f>SUMIFS(INDEX(Техника!$F$1:$ABM$500,V$2,0),Техника!$F$4:$ABM$4,"Часы",INDEX(Техника!$G$1:$ABN$500,V$2,0),$A$263,INDEX(Техника!$H$1:$ABO$500,V$2,0),"М")</f>
        <v>0</v>
      </c>
      <c r="W264" s="50">
        <f>SUMIFS(INDEX(Техника!$F$1:$ABM$500,W$2,0),Техника!$F$4:$ABM$4,"Часы",INDEX(Техника!$G$1:$ABN$500,W$2,0),$A$263,INDEX(Техника!$H$1:$ABO$500,W$2,0),"М")</f>
        <v>0</v>
      </c>
      <c r="X264" s="50">
        <f>SUMIFS(INDEX(Техника!$F$1:$ABM$500,X$2,0),Техника!$F$4:$ABM$4,"Часы",INDEX(Техника!$G$1:$ABN$500,X$2,0),$A$263,INDEX(Техника!$H$1:$ABO$500,X$2,0),"М")</f>
        <v>0</v>
      </c>
      <c r="Y264" s="50">
        <f>SUMIFS(INDEX(Техника!$F$1:$ABM$500,Y$2,0),Техника!$F$4:$ABM$4,"Часы",INDEX(Техника!$G$1:$ABN$500,Y$2,0),$A$263,INDEX(Техника!$H$1:$ABO$500,Y$2,0),"М")</f>
        <v>0</v>
      </c>
      <c r="Z264" s="50">
        <f>SUMIFS(INDEX(Техника!$F$1:$ABM$500,Z$2,0),Техника!$F$4:$ABM$4,"Часы",INDEX(Техника!$G$1:$ABN$500,Z$2,0),$A$263,INDEX(Техника!$H$1:$ABO$500,Z$2,0),"М")</f>
        <v>0</v>
      </c>
      <c r="AA264" s="50">
        <f>SUMIFS(INDEX(Техника!$F$1:$ABM$500,AA$2,0),Техника!$F$4:$ABM$4,"Часы",INDEX(Техника!$G$1:$ABN$500,AA$2,0),$A$263,INDEX(Техника!$H$1:$ABO$500,AA$2,0),"М")</f>
        <v>0</v>
      </c>
      <c r="AB264" s="50">
        <f>SUMIFS(INDEX(Техника!$F$1:$ABM$500,AB$2,0),Техника!$F$4:$ABM$4,"Часы",INDEX(Техника!$G$1:$ABN$500,AB$2,0),$A$263,INDEX(Техника!$H$1:$ABO$500,AB$2,0),"М")</f>
        <v>0</v>
      </c>
    </row>
    <row r="265" spans="1:28" hidden="1" outlineLevel="1" x14ac:dyDescent="0.3">
      <c r="A265" s="33" t="s">
        <v>244</v>
      </c>
      <c r="B265" s="34" t="s">
        <v>275</v>
      </c>
      <c r="C265" s="50">
        <f>SUMIFS(INDEX(Техника!$F$1:$ABM$500,C$2,0),Техника!$F$4:$ABM$4,"Часы",INDEX(Техника!$G$1:$ABN$500,C$2,0),$A$263,INDEX(Техника!$H$1:$ABO$500,C$2,0),"Д")</f>
        <v>0</v>
      </c>
      <c r="D265" s="50">
        <f>SUMIFS(INDEX(Техника!$F$1:$ABM$500,D$2,0),Техника!$F$4:$ABM$4,"Часы",INDEX(Техника!$G$1:$ABN$500,D$2,0),$A$263,INDEX(Техника!$H$1:$ABO$500,D$2,0),"Д")</f>
        <v>0</v>
      </c>
      <c r="E265" s="50">
        <f>SUMIFS(INDEX(Техника!$F$1:$ABM$500,E$2,0),Техника!$F$4:$ABM$4,"Часы",INDEX(Техника!$G$1:$ABN$500,E$2,0),$A$263,INDEX(Техника!$H$1:$ABO$500,E$2,0),"Д")</f>
        <v>0</v>
      </c>
      <c r="F265" s="50">
        <f>SUMIFS(INDEX(Техника!$F$1:$ABM$500,F$2,0),Техника!$F$4:$ABM$4,"Часы",INDEX(Техника!$G$1:$ABN$500,F$2,0),$A$263,INDEX(Техника!$H$1:$ABO$500,F$2,0),"Д")</f>
        <v>0</v>
      </c>
      <c r="G265" s="50">
        <f>SUMIFS(INDEX(Техника!$F$1:$ABM$500,G$2,0),Техника!$F$4:$ABM$4,"Часы",INDEX(Техника!$G$1:$ABN$500,G$2,0),$A$263,INDEX(Техника!$H$1:$ABO$500,G$2,0),"Д")</f>
        <v>0</v>
      </c>
      <c r="H265" s="50">
        <f>SUMIFS(INDEX(Техника!$F$1:$ABM$500,H$2,0),Техника!$F$4:$ABM$4,"Часы",INDEX(Техника!$G$1:$ABN$500,H$2,0),$A$263,INDEX(Техника!$H$1:$ABO$500,H$2,0),"Д")</f>
        <v>0</v>
      </c>
      <c r="I265" s="50">
        <f>SUMIFS(INDEX(Техника!$F$1:$ABM$500,I$2,0),Техника!$F$4:$ABM$4,"Часы",INDEX(Техника!$G$1:$ABN$500,I$2,0),$A$263,INDEX(Техника!$H$1:$ABO$500,I$2,0),"Д")</f>
        <v>0</v>
      </c>
      <c r="J265" s="50">
        <f>SUMIFS(INDEX(Техника!$F$1:$ABM$500,J$2,0),Техника!$F$4:$ABM$4,"Часы",INDEX(Техника!$G$1:$ABN$500,J$2,0),$A$263,INDEX(Техника!$H$1:$ABO$500,J$2,0),"Д")</f>
        <v>0</v>
      </c>
      <c r="K265" s="50">
        <f>SUMIFS(INDEX(Техника!$F$1:$ABM$500,K$2,0),Техника!$F$4:$ABM$4,"Часы",INDEX(Техника!$G$1:$ABN$500,K$2,0),$A$263,INDEX(Техника!$H$1:$ABO$500,K$2,0),"Д")</f>
        <v>0</v>
      </c>
      <c r="L265" s="50">
        <f>SUMIFS(INDEX(Техника!$F$1:$ABM$500,L$2,0),Техника!$F$4:$ABM$4,"Часы",INDEX(Техника!$G$1:$ABN$500,L$2,0),$A$263,INDEX(Техника!$H$1:$ABO$500,L$2,0),"Д")</f>
        <v>0</v>
      </c>
      <c r="M265" s="50">
        <f>SUMIFS(INDEX(Техника!$F$1:$ABM$500,M$2,0),Техника!$F$4:$ABM$4,"Часы",INDEX(Техника!$G$1:$ABN$500,M$2,0),$A$263,INDEX(Техника!$H$1:$ABO$500,M$2,0),"Д")</f>
        <v>0</v>
      </c>
      <c r="N265" s="50">
        <f>SUMIFS(INDEX(Техника!$F$1:$ABM$500,N$2,0),Техника!$F$4:$ABM$4,"Часы",INDEX(Техника!$G$1:$ABN$500,N$2,0),$A$263,INDEX(Техника!$H$1:$ABO$500,N$2,0),"Д")</f>
        <v>0</v>
      </c>
      <c r="O265" s="50">
        <f>SUMIFS(INDEX(Техника!$F$1:$ABM$500,O$2,0),Техника!$F$4:$ABM$4,"Часы",INDEX(Техника!$G$1:$ABN$500,O$2,0),$A$263,INDEX(Техника!$H$1:$ABO$500,O$2,0),"Д")</f>
        <v>0</v>
      </c>
      <c r="P265" s="50">
        <f>SUMIFS(INDEX(Техника!$F$1:$ABM$500,P$2,0),Техника!$F$4:$ABM$4,"Часы",INDEX(Техника!$G$1:$ABN$500,P$2,0),$A$263,INDEX(Техника!$H$1:$ABO$500,P$2,0),"Д")</f>
        <v>0</v>
      </c>
      <c r="Q265" s="50">
        <f>SUMIFS(INDEX(Техника!$F$1:$ABM$500,Q$2,0),Техника!$F$4:$ABM$4,"Часы",INDEX(Техника!$G$1:$ABN$500,Q$2,0),$A$263,INDEX(Техника!$H$1:$ABO$500,Q$2,0),"Д")</f>
        <v>0</v>
      </c>
      <c r="R265" s="50">
        <f>SUMIFS(INDEX(Техника!$F$1:$ABM$500,R$2,0),Техника!$F$4:$ABM$4,"Часы",INDEX(Техника!$G$1:$ABN$500,R$2,0),$A$263,INDEX(Техника!$H$1:$ABO$500,R$2,0),"Д")</f>
        <v>0</v>
      </c>
      <c r="S265" s="50">
        <f>SUMIFS(INDEX(Техника!$F$1:$ABM$500,S$2,0),Техника!$F$4:$ABM$4,"Часы",INDEX(Техника!$G$1:$ABN$500,S$2,0),$A$263,INDEX(Техника!$H$1:$ABO$500,S$2,0),"Д")</f>
        <v>0</v>
      </c>
      <c r="T265" s="50">
        <f>SUMIFS(INDEX(Техника!$F$1:$ABM$500,T$2,0),Техника!$F$4:$ABM$4,"Часы",INDEX(Техника!$G$1:$ABN$500,T$2,0),$A$263,INDEX(Техника!$H$1:$ABO$500,T$2,0),"Д")</f>
        <v>0</v>
      </c>
      <c r="U265" s="50">
        <f>SUMIFS(INDEX(Техника!$F$1:$ABM$500,U$2,0),Техника!$F$4:$ABM$4,"Часы",INDEX(Техника!$G$1:$ABN$500,U$2,0),$A$263,INDEX(Техника!$H$1:$ABO$500,U$2,0),"Д")</f>
        <v>0</v>
      </c>
      <c r="V265" s="50">
        <f>SUMIFS(INDEX(Техника!$F$1:$ABM$500,V$2,0),Техника!$F$4:$ABM$4,"Часы",INDEX(Техника!$G$1:$ABN$500,V$2,0),$A$263,INDEX(Техника!$H$1:$ABO$500,V$2,0),"Д")</f>
        <v>0</v>
      </c>
      <c r="W265" s="50">
        <f>SUMIFS(INDEX(Техника!$F$1:$ABM$500,W$2,0),Техника!$F$4:$ABM$4,"Часы",INDEX(Техника!$G$1:$ABN$500,W$2,0),$A$263,INDEX(Техника!$H$1:$ABO$500,W$2,0),"Д")</f>
        <v>0</v>
      </c>
      <c r="X265" s="50">
        <f>SUMIFS(INDEX(Техника!$F$1:$ABM$500,X$2,0),Техника!$F$4:$ABM$4,"Часы",INDEX(Техника!$G$1:$ABN$500,X$2,0),$A$263,INDEX(Техника!$H$1:$ABO$500,X$2,0),"Д")</f>
        <v>0</v>
      </c>
      <c r="Y265" s="50">
        <f>SUMIFS(INDEX(Техника!$F$1:$ABM$500,Y$2,0),Техника!$F$4:$ABM$4,"Часы",INDEX(Техника!$G$1:$ABN$500,Y$2,0),$A$263,INDEX(Техника!$H$1:$ABO$500,Y$2,0),"Д")</f>
        <v>0</v>
      </c>
      <c r="Z265" s="50">
        <f>SUMIFS(INDEX(Техника!$F$1:$ABM$500,Z$2,0),Техника!$F$4:$ABM$4,"Часы",INDEX(Техника!$G$1:$ABN$500,Z$2,0),$A$263,INDEX(Техника!$H$1:$ABO$500,Z$2,0),"Д")</f>
        <v>0</v>
      </c>
      <c r="AA265" s="50">
        <f>SUMIFS(INDEX(Техника!$F$1:$ABM$500,AA$2,0),Техника!$F$4:$ABM$4,"Часы",INDEX(Техника!$G$1:$ABN$500,AA$2,0),$A$263,INDEX(Техника!$H$1:$ABO$500,AA$2,0),"Д")</f>
        <v>0</v>
      </c>
      <c r="AB265" s="50">
        <f>SUMIFS(INDEX(Техника!$F$1:$ABM$500,AB$2,0),Техника!$F$4:$ABM$4,"Часы",INDEX(Техника!$G$1:$ABN$500,AB$2,0),$A$263,INDEX(Техника!$H$1:$ABO$500,AB$2,0),"Д")</f>
        <v>0</v>
      </c>
    </row>
    <row r="266" spans="1:28" hidden="1" outlineLevel="1" x14ac:dyDescent="0.3">
      <c r="A266" s="33" t="s">
        <v>276</v>
      </c>
      <c r="B266" s="34" t="s">
        <v>277</v>
      </c>
      <c r="C266" s="50">
        <f>SUMIFS(INDEX(Техника!$F$1:$ABM$500,C$2,0),Техника!$F$4:$ABM$4,"Часы",INDEX(Техника!$G$1:$ABN$500,C$2,0),$A$263,INDEX(Техника!$H$1:$ABO$500,C$2,0),"П")</f>
        <v>0</v>
      </c>
      <c r="D266" s="50">
        <f>SUMIFS(INDEX(Техника!$F$1:$ABM$500,D$2,0),Техника!$F$4:$ABM$4,"Часы",INDEX(Техника!$G$1:$ABN$500,D$2,0),$A$263,INDEX(Техника!$H$1:$ABO$500,D$2,0),"П")</f>
        <v>0</v>
      </c>
      <c r="E266" s="50">
        <f>SUMIFS(INDEX(Техника!$F$1:$ABM$500,E$2,0),Техника!$F$4:$ABM$4,"Часы",INDEX(Техника!$G$1:$ABN$500,E$2,0),$A$263,INDEX(Техника!$H$1:$ABO$500,E$2,0),"П")</f>
        <v>0</v>
      </c>
      <c r="F266" s="50">
        <f>SUMIFS(INDEX(Техника!$F$1:$ABM$500,F$2,0),Техника!$F$4:$ABM$4,"Часы",INDEX(Техника!$G$1:$ABN$500,F$2,0),$A$263,INDEX(Техника!$H$1:$ABO$500,F$2,0),"П")</f>
        <v>0</v>
      </c>
      <c r="G266" s="50">
        <f>SUMIFS(INDEX(Техника!$F$1:$ABM$500,G$2,0),Техника!$F$4:$ABM$4,"Часы",INDEX(Техника!$G$1:$ABN$500,G$2,0),$A$263,INDEX(Техника!$H$1:$ABO$500,G$2,0),"П")</f>
        <v>0</v>
      </c>
      <c r="H266" s="50">
        <f>SUMIFS(INDEX(Техника!$F$1:$ABM$500,H$2,0),Техника!$F$4:$ABM$4,"Часы",INDEX(Техника!$G$1:$ABN$500,H$2,0),$A$263,INDEX(Техника!$H$1:$ABO$500,H$2,0),"П")</f>
        <v>0</v>
      </c>
      <c r="I266" s="50">
        <f>SUMIFS(INDEX(Техника!$F$1:$ABM$500,I$2,0),Техника!$F$4:$ABM$4,"Часы",INDEX(Техника!$G$1:$ABN$500,I$2,0),$A$263,INDEX(Техника!$H$1:$ABO$500,I$2,0),"П")</f>
        <v>0</v>
      </c>
      <c r="J266" s="50">
        <f>SUMIFS(INDEX(Техника!$F$1:$ABM$500,J$2,0),Техника!$F$4:$ABM$4,"Часы",INDEX(Техника!$G$1:$ABN$500,J$2,0),$A$263,INDEX(Техника!$H$1:$ABO$500,J$2,0),"П")</f>
        <v>0</v>
      </c>
      <c r="K266" s="50">
        <f>SUMIFS(INDEX(Техника!$F$1:$ABM$500,K$2,0),Техника!$F$4:$ABM$4,"Часы",INDEX(Техника!$G$1:$ABN$500,K$2,0),$A$263,INDEX(Техника!$H$1:$ABO$500,K$2,0),"П")</f>
        <v>0</v>
      </c>
      <c r="L266" s="50">
        <f>SUMIFS(INDEX(Техника!$F$1:$ABM$500,L$2,0),Техника!$F$4:$ABM$4,"Часы",INDEX(Техника!$G$1:$ABN$500,L$2,0),$A$263,INDEX(Техника!$H$1:$ABO$500,L$2,0),"П")</f>
        <v>0</v>
      </c>
      <c r="M266" s="50">
        <f>SUMIFS(INDEX(Техника!$F$1:$ABM$500,M$2,0),Техника!$F$4:$ABM$4,"Часы",INDEX(Техника!$G$1:$ABN$500,M$2,0),$A$263,INDEX(Техника!$H$1:$ABO$500,M$2,0),"П")</f>
        <v>0</v>
      </c>
      <c r="N266" s="50">
        <f>SUMIFS(INDEX(Техника!$F$1:$ABM$500,N$2,0),Техника!$F$4:$ABM$4,"Часы",INDEX(Техника!$G$1:$ABN$500,N$2,0),$A$263,INDEX(Техника!$H$1:$ABO$500,N$2,0),"П")</f>
        <v>0</v>
      </c>
      <c r="O266" s="50">
        <f>SUMIFS(INDEX(Техника!$F$1:$ABM$500,O$2,0),Техника!$F$4:$ABM$4,"Часы",INDEX(Техника!$G$1:$ABN$500,O$2,0),$A$263,INDEX(Техника!$H$1:$ABO$500,O$2,0),"П")</f>
        <v>0</v>
      </c>
      <c r="P266" s="50">
        <f>SUMIFS(INDEX(Техника!$F$1:$ABM$500,P$2,0),Техника!$F$4:$ABM$4,"Часы",INDEX(Техника!$G$1:$ABN$500,P$2,0),$A$263,INDEX(Техника!$H$1:$ABO$500,P$2,0),"П")</f>
        <v>0</v>
      </c>
      <c r="Q266" s="50">
        <f>SUMIFS(INDEX(Техника!$F$1:$ABM$500,Q$2,0),Техника!$F$4:$ABM$4,"Часы",INDEX(Техника!$G$1:$ABN$500,Q$2,0),$A$263,INDEX(Техника!$H$1:$ABO$500,Q$2,0),"П")</f>
        <v>0</v>
      </c>
      <c r="R266" s="50">
        <f>SUMIFS(INDEX(Техника!$F$1:$ABM$500,R$2,0),Техника!$F$4:$ABM$4,"Часы",INDEX(Техника!$G$1:$ABN$500,R$2,0),$A$263,INDEX(Техника!$H$1:$ABO$500,R$2,0),"П")</f>
        <v>0</v>
      </c>
      <c r="S266" s="50">
        <f>SUMIFS(INDEX(Техника!$F$1:$ABM$500,S$2,0),Техника!$F$4:$ABM$4,"Часы",INDEX(Техника!$G$1:$ABN$500,S$2,0),$A$263,INDEX(Техника!$H$1:$ABO$500,S$2,0),"П")</f>
        <v>0</v>
      </c>
      <c r="T266" s="50">
        <f>SUMIFS(INDEX(Техника!$F$1:$ABM$500,T$2,0),Техника!$F$4:$ABM$4,"Часы",INDEX(Техника!$G$1:$ABN$500,T$2,0),$A$263,INDEX(Техника!$H$1:$ABO$500,T$2,0),"П")</f>
        <v>0</v>
      </c>
      <c r="U266" s="50">
        <f>SUMIFS(INDEX(Техника!$F$1:$ABM$500,U$2,0),Техника!$F$4:$ABM$4,"Часы",INDEX(Техника!$G$1:$ABN$500,U$2,0),$A$263,INDEX(Техника!$H$1:$ABO$500,U$2,0),"П")</f>
        <v>0</v>
      </c>
      <c r="V266" s="50">
        <f>SUMIFS(INDEX(Техника!$F$1:$ABM$500,V$2,0),Техника!$F$4:$ABM$4,"Часы",INDEX(Техника!$G$1:$ABN$500,V$2,0),$A$263,INDEX(Техника!$H$1:$ABO$500,V$2,0),"П")</f>
        <v>0</v>
      </c>
      <c r="W266" s="50">
        <f>SUMIFS(INDEX(Техника!$F$1:$ABM$500,W$2,0),Техника!$F$4:$ABM$4,"Часы",INDEX(Техника!$G$1:$ABN$500,W$2,0),$A$263,INDEX(Техника!$H$1:$ABO$500,W$2,0),"П")</f>
        <v>0</v>
      </c>
      <c r="X266" s="50">
        <f>SUMIFS(INDEX(Техника!$F$1:$ABM$500,X$2,0),Техника!$F$4:$ABM$4,"Часы",INDEX(Техника!$G$1:$ABN$500,X$2,0),$A$263,INDEX(Техника!$H$1:$ABO$500,X$2,0),"П")</f>
        <v>0</v>
      </c>
      <c r="Y266" s="50">
        <f>SUMIFS(INDEX(Техника!$F$1:$ABM$500,Y$2,0),Техника!$F$4:$ABM$4,"Часы",INDEX(Техника!$G$1:$ABN$500,Y$2,0),$A$263,INDEX(Техника!$H$1:$ABO$500,Y$2,0),"П")</f>
        <v>0</v>
      </c>
      <c r="Z266" s="50">
        <f>SUMIFS(INDEX(Техника!$F$1:$ABM$500,Z$2,0),Техника!$F$4:$ABM$4,"Часы",INDEX(Техника!$G$1:$ABN$500,Z$2,0),$A$263,INDEX(Техника!$H$1:$ABO$500,Z$2,0),"П")</f>
        <v>0</v>
      </c>
      <c r="AA266" s="50">
        <f>SUMIFS(INDEX(Техника!$F$1:$ABM$500,AA$2,0),Техника!$F$4:$ABM$4,"Часы",INDEX(Техника!$G$1:$ABN$500,AA$2,0),$A$263,INDEX(Техника!$H$1:$ABO$500,AA$2,0),"П")</f>
        <v>0</v>
      </c>
      <c r="AB266" s="50">
        <f>SUMIFS(INDEX(Техника!$F$1:$ABM$500,AB$2,0),Техника!$F$4:$ABM$4,"Часы",INDEX(Техника!$G$1:$ABN$500,AB$2,0),$A$263,INDEX(Техника!$H$1:$ABO$500,AB$2,0),"П")</f>
        <v>0</v>
      </c>
    </row>
    <row r="267" spans="1:28" hidden="1" outlineLevel="1" x14ac:dyDescent="0.3">
      <c r="A267" s="33" t="s">
        <v>243</v>
      </c>
      <c r="B267" s="34" t="s">
        <v>278</v>
      </c>
      <c r="C267" s="50">
        <f>SUMIFS(INDEX(Техника!$F$1:$ABM$500,C$2,0),Техника!$F$4:$ABM$4,"Часы",INDEX(Техника!$G$1:$ABN$500,C$2,0),$A$263,INDEX(Техника!$H$1:$ABO$500,C$2,0),"Л")</f>
        <v>0</v>
      </c>
      <c r="D267" s="50">
        <f>SUMIFS(INDEX(Техника!$F$1:$ABM$500,D$2,0),Техника!$F$4:$ABM$4,"Часы",INDEX(Техника!$G$1:$ABN$500,D$2,0),$A$263,INDEX(Техника!$H$1:$ABO$500,D$2,0),"Л")</f>
        <v>0</v>
      </c>
      <c r="E267" s="50">
        <f>SUMIFS(INDEX(Техника!$F$1:$ABM$500,E$2,0),Техника!$F$4:$ABM$4,"Часы",INDEX(Техника!$G$1:$ABN$500,E$2,0),$A$263,INDEX(Техника!$H$1:$ABO$500,E$2,0),"Л")</f>
        <v>0</v>
      </c>
      <c r="F267" s="50">
        <f>SUMIFS(INDEX(Техника!$F$1:$ABM$500,F$2,0),Техника!$F$4:$ABM$4,"Часы",INDEX(Техника!$G$1:$ABN$500,F$2,0),$A$263,INDEX(Техника!$H$1:$ABO$500,F$2,0),"Л")</f>
        <v>0</v>
      </c>
      <c r="G267" s="50">
        <f>SUMIFS(INDEX(Техника!$F$1:$ABM$500,G$2,0),Техника!$F$4:$ABM$4,"Часы",INDEX(Техника!$G$1:$ABN$500,G$2,0),$A$263,INDEX(Техника!$H$1:$ABO$500,G$2,0),"Л")</f>
        <v>0</v>
      </c>
      <c r="H267" s="50">
        <f>SUMIFS(INDEX(Техника!$F$1:$ABM$500,H$2,0),Техника!$F$4:$ABM$4,"Часы",INDEX(Техника!$G$1:$ABN$500,H$2,0),$A$263,INDEX(Техника!$H$1:$ABO$500,H$2,0),"Л")</f>
        <v>0</v>
      </c>
      <c r="I267" s="50">
        <f>SUMIFS(INDEX(Техника!$F$1:$ABM$500,I$2,0),Техника!$F$4:$ABM$4,"Часы",INDEX(Техника!$G$1:$ABN$500,I$2,0),$A$263,INDEX(Техника!$H$1:$ABO$500,I$2,0),"Л")</f>
        <v>0</v>
      </c>
      <c r="J267" s="50">
        <f>SUMIFS(INDEX(Техника!$F$1:$ABM$500,J$2,0),Техника!$F$4:$ABM$4,"Часы",INDEX(Техника!$G$1:$ABN$500,J$2,0),$A$263,INDEX(Техника!$H$1:$ABO$500,J$2,0),"Л")</f>
        <v>0</v>
      </c>
      <c r="K267" s="50">
        <f>SUMIFS(INDEX(Техника!$F$1:$ABM$500,K$2,0),Техника!$F$4:$ABM$4,"Часы",INDEX(Техника!$G$1:$ABN$500,K$2,0),$A$263,INDEX(Техника!$H$1:$ABO$500,K$2,0),"Л")</f>
        <v>0</v>
      </c>
      <c r="L267" s="50">
        <f>SUMIFS(INDEX(Техника!$F$1:$ABM$500,L$2,0),Техника!$F$4:$ABM$4,"Часы",INDEX(Техника!$G$1:$ABN$500,L$2,0),$A$263,INDEX(Техника!$H$1:$ABO$500,L$2,0),"Л")</f>
        <v>0</v>
      </c>
      <c r="M267" s="50">
        <f>SUMIFS(INDEX(Техника!$F$1:$ABM$500,M$2,0),Техника!$F$4:$ABM$4,"Часы",INDEX(Техника!$G$1:$ABN$500,M$2,0),$A$263,INDEX(Техника!$H$1:$ABO$500,M$2,0),"Л")</f>
        <v>0</v>
      </c>
      <c r="N267" s="50">
        <f>SUMIFS(INDEX(Техника!$F$1:$ABM$500,N$2,0),Техника!$F$4:$ABM$4,"Часы",INDEX(Техника!$G$1:$ABN$500,N$2,0),$A$263,INDEX(Техника!$H$1:$ABO$500,N$2,0),"Л")</f>
        <v>0</v>
      </c>
      <c r="O267" s="50">
        <f>SUMIFS(INDEX(Техника!$F$1:$ABM$500,O$2,0),Техника!$F$4:$ABM$4,"Часы",INDEX(Техника!$G$1:$ABN$500,O$2,0),$A$263,INDEX(Техника!$H$1:$ABO$500,O$2,0),"Л")</f>
        <v>0</v>
      </c>
      <c r="P267" s="50">
        <f>SUMIFS(INDEX(Техника!$F$1:$ABM$500,P$2,0),Техника!$F$4:$ABM$4,"Часы",INDEX(Техника!$G$1:$ABN$500,P$2,0),$A$263,INDEX(Техника!$H$1:$ABO$500,P$2,0),"Л")</f>
        <v>0</v>
      </c>
      <c r="Q267" s="50">
        <f>SUMIFS(INDEX(Техника!$F$1:$ABM$500,Q$2,0),Техника!$F$4:$ABM$4,"Часы",INDEX(Техника!$G$1:$ABN$500,Q$2,0),$A$263,INDEX(Техника!$H$1:$ABO$500,Q$2,0),"Л")</f>
        <v>0</v>
      </c>
      <c r="R267" s="50">
        <f>SUMIFS(INDEX(Техника!$F$1:$ABM$500,R$2,0),Техника!$F$4:$ABM$4,"Часы",INDEX(Техника!$G$1:$ABN$500,R$2,0),$A$263,INDEX(Техника!$H$1:$ABO$500,R$2,0),"Л")</f>
        <v>0</v>
      </c>
      <c r="S267" s="50">
        <f>SUMIFS(INDEX(Техника!$F$1:$ABM$500,S$2,0),Техника!$F$4:$ABM$4,"Часы",INDEX(Техника!$G$1:$ABN$500,S$2,0),$A$263,INDEX(Техника!$H$1:$ABO$500,S$2,0),"Л")</f>
        <v>0</v>
      </c>
      <c r="T267" s="50">
        <f>SUMIFS(INDEX(Техника!$F$1:$ABM$500,T$2,0),Техника!$F$4:$ABM$4,"Часы",INDEX(Техника!$G$1:$ABN$500,T$2,0),$A$263,INDEX(Техника!$H$1:$ABO$500,T$2,0),"Л")</f>
        <v>0</v>
      </c>
      <c r="U267" s="50">
        <f>SUMIFS(INDEX(Техника!$F$1:$ABM$500,U$2,0),Техника!$F$4:$ABM$4,"Часы",INDEX(Техника!$G$1:$ABN$500,U$2,0),$A$263,INDEX(Техника!$H$1:$ABO$500,U$2,0),"Л")</f>
        <v>0</v>
      </c>
      <c r="V267" s="50">
        <f>SUMIFS(INDEX(Техника!$F$1:$ABM$500,V$2,0),Техника!$F$4:$ABM$4,"Часы",INDEX(Техника!$G$1:$ABN$500,V$2,0),$A$263,INDEX(Техника!$H$1:$ABO$500,V$2,0),"Л")</f>
        <v>0</v>
      </c>
      <c r="W267" s="50">
        <f>SUMIFS(INDEX(Техника!$F$1:$ABM$500,W$2,0),Техника!$F$4:$ABM$4,"Часы",INDEX(Техника!$G$1:$ABN$500,W$2,0),$A$263,INDEX(Техника!$H$1:$ABO$500,W$2,0),"Л")</f>
        <v>0</v>
      </c>
      <c r="X267" s="50">
        <f>SUMIFS(INDEX(Техника!$F$1:$ABM$500,X$2,0),Техника!$F$4:$ABM$4,"Часы",INDEX(Техника!$G$1:$ABN$500,X$2,0),$A$263,INDEX(Техника!$H$1:$ABO$500,X$2,0),"Л")</f>
        <v>0</v>
      </c>
      <c r="Y267" s="50">
        <f>SUMIFS(INDEX(Техника!$F$1:$ABM$500,Y$2,0),Техника!$F$4:$ABM$4,"Часы",INDEX(Техника!$G$1:$ABN$500,Y$2,0),$A$263,INDEX(Техника!$H$1:$ABO$500,Y$2,0),"Л")</f>
        <v>0</v>
      </c>
      <c r="Z267" s="50">
        <f>SUMIFS(INDEX(Техника!$F$1:$ABM$500,Z$2,0),Техника!$F$4:$ABM$4,"Часы",INDEX(Техника!$G$1:$ABN$500,Z$2,0),$A$263,INDEX(Техника!$H$1:$ABO$500,Z$2,0),"Л")</f>
        <v>0</v>
      </c>
      <c r="AA267" s="50">
        <f>SUMIFS(INDEX(Техника!$F$1:$ABM$500,AA$2,0),Техника!$F$4:$ABM$4,"Часы",INDEX(Техника!$G$1:$ABN$500,AA$2,0),$A$263,INDEX(Техника!$H$1:$ABO$500,AA$2,0),"Л")</f>
        <v>0</v>
      </c>
      <c r="AB267" s="50">
        <f>SUMIFS(INDEX(Техника!$F$1:$ABM$500,AB$2,0),Техника!$F$4:$ABM$4,"Часы",INDEX(Техника!$G$1:$ABN$500,AB$2,0),$A$263,INDEX(Техника!$H$1:$ABO$500,AB$2,0),"Л")</f>
        <v>0</v>
      </c>
    </row>
    <row r="268" spans="1:28" hidden="1" outlineLevel="1" x14ac:dyDescent="0.3">
      <c r="A268" s="33" t="s">
        <v>245</v>
      </c>
      <c r="B268" s="34" t="s">
        <v>279</v>
      </c>
      <c r="C268" s="50">
        <f>SUMIFS(INDEX(Техника!$F$1:$ABM$500,C$2,0),Техника!$F$4:$ABM$4,"Часы",INDEX(Техника!$G$1:$ABN$500,C$2,0),$A$263,INDEX(Техника!$H$1:$ABO$500,C$2,0),"З")</f>
        <v>0</v>
      </c>
      <c r="D268" s="50">
        <f>SUMIFS(INDEX(Техника!$F$1:$ABM$500,D$2,0),Техника!$F$4:$ABM$4,"Часы",INDEX(Техника!$G$1:$ABN$500,D$2,0),$A$263,INDEX(Техника!$H$1:$ABO$500,D$2,0),"З")</f>
        <v>0</v>
      </c>
      <c r="E268" s="50">
        <f>SUMIFS(INDEX(Техника!$F$1:$ABM$500,E$2,0),Техника!$F$4:$ABM$4,"Часы",INDEX(Техника!$G$1:$ABN$500,E$2,0),$A$263,INDEX(Техника!$H$1:$ABO$500,E$2,0),"З")</f>
        <v>0</v>
      </c>
      <c r="F268" s="50">
        <f>SUMIFS(INDEX(Техника!$F$1:$ABM$500,F$2,0),Техника!$F$4:$ABM$4,"Часы",INDEX(Техника!$G$1:$ABN$500,F$2,0),$A$263,INDEX(Техника!$H$1:$ABO$500,F$2,0),"З")</f>
        <v>0</v>
      </c>
      <c r="G268" s="50">
        <f>SUMIFS(INDEX(Техника!$F$1:$ABM$500,G$2,0),Техника!$F$4:$ABM$4,"Часы",INDEX(Техника!$G$1:$ABN$500,G$2,0),$A$263,INDEX(Техника!$H$1:$ABO$500,G$2,0),"З")</f>
        <v>0</v>
      </c>
      <c r="H268" s="50">
        <f>SUMIFS(INDEX(Техника!$F$1:$ABM$500,H$2,0),Техника!$F$4:$ABM$4,"Часы",INDEX(Техника!$G$1:$ABN$500,H$2,0),$A$263,INDEX(Техника!$H$1:$ABO$500,H$2,0),"З")</f>
        <v>0</v>
      </c>
      <c r="I268" s="50">
        <f>SUMIFS(INDEX(Техника!$F$1:$ABM$500,I$2,0),Техника!$F$4:$ABM$4,"Часы",INDEX(Техника!$G$1:$ABN$500,I$2,0),$A$263,INDEX(Техника!$H$1:$ABO$500,I$2,0),"З")</f>
        <v>0</v>
      </c>
      <c r="J268" s="50">
        <f>SUMIFS(INDEX(Техника!$F$1:$ABM$500,J$2,0),Техника!$F$4:$ABM$4,"Часы",INDEX(Техника!$G$1:$ABN$500,J$2,0),$A$263,INDEX(Техника!$H$1:$ABO$500,J$2,0),"З")</f>
        <v>0</v>
      </c>
      <c r="K268" s="50">
        <f>SUMIFS(INDEX(Техника!$F$1:$ABM$500,K$2,0),Техника!$F$4:$ABM$4,"Часы",INDEX(Техника!$G$1:$ABN$500,K$2,0),$A$263,INDEX(Техника!$H$1:$ABO$500,K$2,0),"З")</f>
        <v>0</v>
      </c>
      <c r="L268" s="50">
        <f>SUMIFS(INDEX(Техника!$F$1:$ABM$500,L$2,0),Техника!$F$4:$ABM$4,"Часы",INDEX(Техника!$G$1:$ABN$500,L$2,0),$A$263,INDEX(Техника!$H$1:$ABO$500,L$2,0),"З")</f>
        <v>0</v>
      </c>
      <c r="M268" s="50">
        <f>SUMIFS(INDEX(Техника!$F$1:$ABM$500,M$2,0),Техника!$F$4:$ABM$4,"Часы",INDEX(Техника!$G$1:$ABN$500,M$2,0),$A$263,INDEX(Техника!$H$1:$ABO$500,M$2,0),"З")</f>
        <v>0</v>
      </c>
      <c r="N268" s="50">
        <f>SUMIFS(INDEX(Техника!$F$1:$ABM$500,N$2,0),Техника!$F$4:$ABM$4,"Часы",INDEX(Техника!$G$1:$ABN$500,N$2,0),$A$263,INDEX(Техника!$H$1:$ABO$500,N$2,0),"З")</f>
        <v>0</v>
      </c>
      <c r="O268" s="50">
        <f>SUMIFS(INDEX(Техника!$F$1:$ABM$500,O$2,0),Техника!$F$4:$ABM$4,"Часы",INDEX(Техника!$G$1:$ABN$500,O$2,0),$A$263,INDEX(Техника!$H$1:$ABO$500,O$2,0),"З")</f>
        <v>0</v>
      </c>
      <c r="P268" s="50">
        <f>SUMIFS(INDEX(Техника!$F$1:$ABM$500,P$2,0),Техника!$F$4:$ABM$4,"Часы",INDEX(Техника!$G$1:$ABN$500,P$2,0),$A$263,INDEX(Техника!$H$1:$ABO$500,P$2,0),"З")</f>
        <v>0</v>
      </c>
      <c r="Q268" s="50">
        <f>SUMIFS(INDEX(Техника!$F$1:$ABM$500,Q$2,0),Техника!$F$4:$ABM$4,"Часы",INDEX(Техника!$G$1:$ABN$500,Q$2,0),$A$263,INDEX(Техника!$H$1:$ABO$500,Q$2,0),"З")</f>
        <v>0</v>
      </c>
      <c r="R268" s="50">
        <f>SUMIFS(INDEX(Техника!$F$1:$ABM$500,R$2,0),Техника!$F$4:$ABM$4,"Часы",INDEX(Техника!$G$1:$ABN$500,R$2,0),$A$263,INDEX(Техника!$H$1:$ABO$500,R$2,0),"З")</f>
        <v>0</v>
      </c>
      <c r="S268" s="50">
        <f>SUMIFS(INDEX(Техника!$F$1:$ABM$500,S$2,0),Техника!$F$4:$ABM$4,"Часы",INDEX(Техника!$G$1:$ABN$500,S$2,0),$A$263,INDEX(Техника!$H$1:$ABO$500,S$2,0),"З")</f>
        <v>0</v>
      </c>
      <c r="T268" s="50">
        <f>SUMIFS(INDEX(Техника!$F$1:$ABM$500,T$2,0),Техника!$F$4:$ABM$4,"Часы",INDEX(Техника!$G$1:$ABN$500,T$2,0),$A$263,INDEX(Техника!$H$1:$ABO$500,T$2,0),"З")</f>
        <v>0</v>
      </c>
      <c r="U268" s="50">
        <f>SUMIFS(INDEX(Техника!$F$1:$ABM$500,U$2,0),Техника!$F$4:$ABM$4,"Часы",INDEX(Техника!$G$1:$ABN$500,U$2,0),$A$263,INDEX(Техника!$H$1:$ABO$500,U$2,0),"З")</f>
        <v>0</v>
      </c>
      <c r="V268" s="50">
        <f>SUMIFS(INDEX(Техника!$F$1:$ABM$500,V$2,0),Техника!$F$4:$ABM$4,"Часы",INDEX(Техника!$G$1:$ABN$500,V$2,0),$A$263,INDEX(Техника!$H$1:$ABO$500,V$2,0),"З")</f>
        <v>0</v>
      </c>
      <c r="W268" s="50">
        <f>SUMIFS(INDEX(Техника!$F$1:$ABM$500,W$2,0),Техника!$F$4:$ABM$4,"Часы",INDEX(Техника!$G$1:$ABN$500,W$2,0),$A$263,INDEX(Техника!$H$1:$ABO$500,W$2,0),"З")</f>
        <v>0</v>
      </c>
      <c r="X268" s="50">
        <f>SUMIFS(INDEX(Техника!$F$1:$ABM$500,X$2,0),Техника!$F$4:$ABM$4,"Часы",INDEX(Техника!$G$1:$ABN$500,X$2,0),$A$263,INDEX(Техника!$H$1:$ABO$500,X$2,0),"З")</f>
        <v>0</v>
      </c>
      <c r="Y268" s="50">
        <f>SUMIFS(INDEX(Техника!$F$1:$ABM$500,Y$2,0),Техника!$F$4:$ABM$4,"Часы",INDEX(Техника!$G$1:$ABN$500,Y$2,0),$A$263,INDEX(Техника!$H$1:$ABO$500,Y$2,0),"З")</f>
        <v>0</v>
      </c>
      <c r="Z268" s="50">
        <f>SUMIFS(INDEX(Техника!$F$1:$ABM$500,Z$2,0),Техника!$F$4:$ABM$4,"Часы",INDEX(Техника!$G$1:$ABN$500,Z$2,0),$A$263,INDEX(Техника!$H$1:$ABO$500,Z$2,0),"З")</f>
        <v>0</v>
      </c>
      <c r="AA268" s="50">
        <f>SUMIFS(INDEX(Техника!$F$1:$ABM$500,AA$2,0),Техника!$F$4:$ABM$4,"Часы",INDEX(Техника!$G$1:$ABN$500,AA$2,0),$A$263,INDEX(Техника!$H$1:$ABO$500,AA$2,0),"З")</f>
        <v>0</v>
      </c>
      <c r="AB268" s="50">
        <f>SUMIFS(INDEX(Техника!$F$1:$ABM$500,AB$2,0),Техника!$F$4:$ABM$4,"Часы",INDEX(Техника!$G$1:$ABN$500,AB$2,0),$A$263,INDEX(Техника!$H$1:$ABO$500,AB$2,0),"З")</f>
        <v>0</v>
      </c>
    </row>
    <row r="269" spans="1:28" ht="7.95" customHeight="1" x14ac:dyDescent="0.3">
      <c r="A269" s="38"/>
      <c r="B269" s="39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 spans="1:28" ht="25.05" customHeight="1" collapsed="1" x14ac:dyDescent="0.3">
      <c r="A270" s="32">
        <v>39</v>
      </c>
      <c r="B270" s="32" t="s">
        <v>40</v>
      </c>
      <c r="C270" s="49">
        <f>SUM(C271:C275)</f>
        <v>0</v>
      </c>
      <c r="D270" s="49">
        <f>SUM(D271:D275)</f>
        <v>0</v>
      </c>
      <c r="E270" s="49">
        <f>SUM(E271:E275)</f>
        <v>0</v>
      </c>
      <c r="F270" s="49">
        <f>SUM(F271:F275)</f>
        <v>0</v>
      </c>
      <c r="G270" s="49">
        <f>SUM(G271:G275)</f>
        <v>0</v>
      </c>
      <c r="H270" s="49">
        <f>SUM(H271:H275)</f>
        <v>0</v>
      </c>
      <c r="I270" s="49">
        <f>SUM(I271:I275)</f>
        <v>0</v>
      </c>
      <c r="J270" s="49">
        <f>SUM(J271:J275)</f>
        <v>0</v>
      </c>
      <c r="K270" s="49">
        <f>SUM(K271:K275)</f>
        <v>0</v>
      </c>
      <c r="L270" s="49">
        <f>SUM(L271:L275)</f>
        <v>0</v>
      </c>
      <c r="M270" s="49">
        <f>SUM(M271:M275)</f>
        <v>0</v>
      </c>
      <c r="N270" s="49">
        <f>SUM(N271:N275)</f>
        <v>0</v>
      </c>
      <c r="O270" s="49">
        <f>SUM(O271:O275)</f>
        <v>0</v>
      </c>
      <c r="P270" s="49">
        <f>SUM(P271:P275)</f>
        <v>0</v>
      </c>
      <c r="Q270" s="49">
        <f>SUM(Q271:Q275)</f>
        <v>0</v>
      </c>
      <c r="R270" s="49">
        <f>SUM(R271:R275)</f>
        <v>0</v>
      </c>
      <c r="S270" s="49">
        <f>SUM(S271:S275)</f>
        <v>0</v>
      </c>
      <c r="T270" s="49">
        <f>SUM(T271:T275)</f>
        <v>0</v>
      </c>
      <c r="U270" s="49">
        <f>SUM(U271:U275)</f>
        <v>0</v>
      </c>
      <c r="V270" s="49">
        <f>SUM(V271:V275)</f>
        <v>0</v>
      </c>
      <c r="W270" s="49">
        <f>SUM(W271:W275)</f>
        <v>0</v>
      </c>
      <c r="X270" s="49">
        <f>SUM(X271:X275)</f>
        <v>0</v>
      </c>
      <c r="Y270" s="49">
        <f>SUM(Y271:Y275)</f>
        <v>0</v>
      </c>
      <c r="Z270" s="49">
        <f>SUM(Z271:Z275)</f>
        <v>0</v>
      </c>
      <c r="AA270" s="49">
        <f>SUM(AA271:AA275)</f>
        <v>0</v>
      </c>
      <c r="AB270" s="49">
        <f>SUM(AB271:AB275)</f>
        <v>0</v>
      </c>
    </row>
    <row r="271" spans="1:28" hidden="1" outlineLevel="1" x14ac:dyDescent="0.3">
      <c r="A271" s="33" t="s">
        <v>246</v>
      </c>
      <c r="B271" s="34" t="s">
        <v>274</v>
      </c>
      <c r="C271" s="50">
        <f>SUMIFS(INDEX(Техника!$F$1:$ABM$500,C$2,0),Техника!$F$4:$ABM$4,"Часы",INDEX(Техника!$G$1:$ABN$500,C$2,0),$A$270,INDEX(Техника!$H$1:$ABO$500,C$2,0),"М")</f>
        <v>0</v>
      </c>
      <c r="D271" s="50">
        <f>SUMIFS(INDEX(Техника!$F$1:$ABM$500,D$2,0),Техника!$F$4:$ABM$4,"Часы",INDEX(Техника!$G$1:$ABN$500,D$2,0),$A$270,INDEX(Техника!$H$1:$ABO$500,D$2,0),"М")</f>
        <v>0</v>
      </c>
      <c r="E271" s="50">
        <f>SUMIFS(INDEX(Техника!$F$1:$ABM$500,E$2,0),Техника!$F$4:$ABM$4,"Часы",INDEX(Техника!$G$1:$ABN$500,E$2,0),$A$270,INDEX(Техника!$H$1:$ABO$500,E$2,0),"М")</f>
        <v>0</v>
      </c>
      <c r="F271" s="50">
        <f>SUMIFS(INDEX(Техника!$F$1:$ABM$500,F$2,0),Техника!$F$4:$ABM$4,"Часы",INDEX(Техника!$G$1:$ABN$500,F$2,0),$A$270,INDEX(Техника!$H$1:$ABO$500,F$2,0),"М")</f>
        <v>0</v>
      </c>
      <c r="G271" s="50">
        <f>SUMIFS(INDEX(Техника!$F$1:$ABM$500,G$2,0),Техника!$F$4:$ABM$4,"Часы",INDEX(Техника!$G$1:$ABN$500,G$2,0),$A$270,INDEX(Техника!$H$1:$ABO$500,G$2,0),"М")</f>
        <v>0</v>
      </c>
      <c r="H271" s="50">
        <f>SUMIFS(INDEX(Техника!$F$1:$ABM$500,H$2,0),Техника!$F$4:$ABM$4,"Часы",INDEX(Техника!$G$1:$ABN$500,H$2,0),$A$270,INDEX(Техника!$H$1:$ABO$500,H$2,0),"М")</f>
        <v>0</v>
      </c>
      <c r="I271" s="50">
        <f>SUMIFS(INDEX(Техника!$F$1:$ABM$500,I$2,0),Техника!$F$4:$ABM$4,"Часы",INDEX(Техника!$G$1:$ABN$500,I$2,0),$A$270,INDEX(Техника!$H$1:$ABO$500,I$2,0),"М")</f>
        <v>0</v>
      </c>
      <c r="J271" s="50">
        <f>SUMIFS(INDEX(Техника!$F$1:$ABM$500,J$2,0),Техника!$F$4:$ABM$4,"Часы",INDEX(Техника!$G$1:$ABN$500,J$2,0),$A$270,INDEX(Техника!$H$1:$ABO$500,J$2,0),"М")</f>
        <v>0</v>
      </c>
      <c r="K271" s="50">
        <f>SUMIFS(INDEX(Техника!$F$1:$ABM$500,K$2,0),Техника!$F$4:$ABM$4,"Часы",INDEX(Техника!$G$1:$ABN$500,K$2,0),$A$270,INDEX(Техника!$H$1:$ABO$500,K$2,0),"М")</f>
        <v>0</v>
      </c>
      <c r="L271" s="50">
        <f>SUMIFS(INDEX(Техника!$F$1:$ABM$500,L$2,0),Техника!$F$4:$ABM$4,"Часы",INDEX(Техника!$G$1:$ABN$500,L$2,0),$A$270,INDEX(Техника!$H$1:$ABO$500,L$2,0),"М")</f>
        <v>0</v>
      </c>
      <c r="M271" s="50">
        <f>SUMIFS(INDEX(Техника!$F$1:$ABM$500,M$2,0),Техника!$F$4:$ABM$4,"Часы",INDEX(Техника!$G$1:$ABN$500,M$2,0),$A$270,INDEX(Техника!$H$1:$ABO$500,M$2,0),"М")</f>
        <v>0</v>
      </c>
      <c r="N271" s="50">
        <f>SUMIFS(INDEX(Техника!$F$1:$ABM$500,N$2,0),Техника!$F$4:$ABM$4,"Часы",INDEX(Техника!$G$1:$ABN$500,N$2,0),$A$270,INDEX(Техника!$H$1:$ABO$500,N$2,0),"М")</f>
        <v>0</v>
      </c>
      <c r="O271" s="50">
        <f>SUMIFS(INDEX(Техника!$F$1:$ABM$500,O$2,0),Техника!$F$4:$ABM$4,"Часы",INDEX(Техника!$G$1:$ABN$500,O$2,0),$A$270,INDEX(Техника!$H$1:$ABO$500,O$2,0),"М")</f>
        <v>0</v>
      </c>
      <c r="P271" s="50">
        <f>SUMIFS(INDEX(Техника!$F$1:$ABM$500,P$2,0),Техника!$F$4:$ABM$4,"Часы",INDEX(Техника!$G$1:$ABN$500,P$2,0),$A$270,INDEX(Техника!$H$1:$ABO$500,P$2,0),"М")</f>
        <v>0</v>
      </c>
      <c r="Q271" s="50">
        <f>SUMIFS(INDEX(Техника!$F$1:$ABM$500,Q$2,0),Техника!$F$4:$ABM$4,"Часы",INDEX(Техника!$G$1:$ABN$500,Q$2,0),$A$270,INDEX(Техника!$H$1:$ABO$500,Q$2,0),"М")</f>
        <v>0</v>
      </c>
      <c r="R271" s="50">
        <f>SUMIFS(INDEX(Техника!$F$1:$ABM$500,R$2,0),Техника!$F$4:$ABM$4,"Часы",INDEX(Техника!$G$1:$ABN$500,R$2,0),$A$270,INDEX(Техника!$H$1:$ABO$500,R$2,0),"М")</f>
        <v>0</v>
      </c>
      <c r="S271" s="50">
        <f>SUMIFS(INDEX(Техника!$F$1:$ABM$500,S$2,0),Техника!$F$4:$ABM$4,"Часы",INDEX(Техника!$G$1:$ABN$500,S$2,0),$A$270,INDEX(Техника!$H$1:$ABO$500,S$2,0),"М")</f>
        <v>0</v>
      </c>
      <c r="T271" s="50">
        <f>SUMIFS(INDEX(Техника!$F$1:$ABM$500,T$2,0),Техника!$F$4:$ABM$4,"Часы",INDEX(Техника!$G$1:$ABN$500,T$2,0),$A$270,INDEX(Техника!$H$1:$ABO$500,T$2,0),"М")</f>
        <v>0</v>
      </c>
      <c r="U271" s="50">
        <f>SUMIFS(INDEX(Техника!$F$1:$ABM$500,U$2,0),Техника!$F$4:$ABM$4,"Часы",INDEX(Техника!$G$1:$ABN$500,U$2,0),$A$270,INDEX(Техника!$H$1:$ABO$500,U$2,0),"М")</f>
        <v>0</v>
      </c>
      <c r="V271" s="50">
        <f>SUMIFS(INDEX(Техника!$F$1:$ABM$500,V$2,0),Техника!$F$4:$ABM$4,"Часы",INDEX(Техника!$G$1:$ABN$500,V$2,0),$A$270,INDEX(Техника!$H$1:$ABO$500,V$2,0),"М")</f>
        <v>0</v>
      </c>
      <c r="W271" s="50">
        <f>SUMIFS(INDEX(Техника!$F$1:$ABM$500,W$2,0),Техника!$F$4:$ABM$4,"Часы",INDEX(Техника!$G$1:$ABN$500,W$2,0),$A$270,INDEX(Техника!$H$1:$ABO$500,W$2,0),"М")</f>
        <v>0</v>
      </c>
      <c r="X271" s="50">
        <f>SUMIFS(INDEX(Техника!$F$1:$ABM$500,X$2,0),Техника!$F$4:$ABM$4,"Часы",INDEX(Техника!$G$1:$ABN$500,X$2,0),$A$270,INDEX(Техника!$H$1:$ABO$500,X$2,0),"М")</f>
        <v>0</v>
      </c>
      <c r="Y271" s="50">
        <f>SUMIFS(INDEX(Техника!$F$1:$ABM$500,Y$2,0),Техника!$F$4:$ABM$4,"Часы",INDEX(Техника!$G$1:$ABN$500,Y$2,0),$A$270,INDEX(Техника!$H$1:$ABO$500,Y$2,0),"М")</f>
        <v>0</v>
      </c>
      <c r="Z271" s="50">
        <f>SUMIFS(INDEX(Техника!$F$1:$ABM$500,Z$2,0),Техника!$F$4:$ABM$4,"Часы",INDEX(Техника!$G$1:$ABN$500,Z$2,0),$A$270,INDEX(Техника!$H$1:$ABO$500,Z$2,0),"М")</f>
        <v>0</v>
      </c>
      <c r="AA271" s="50">
        <f>SUMIFS(INDEX(Техника!$F$1:$ABM$500,AA$2,0),Техника!$F$4:$ABM$4,"Часы",INDEX(Техника!$G$1:$ABN$500,AA$2,0),$A$270,INDEX(Техника!$H$1:$ABO$500,AA$2,0),"М")</f>
        <v>0</v>
      </c>
      <c r="AB271" s="50">
        <f>SUMIFS(INDEX(Техника!$F$1:$ABM$500,AB$2,0),Техника!$F$4:$ABM$4,"Часы",INDEX(Техника!$G$1:$ABN$500,AB$2,0),$A$270,INDEX(Техника!$H$1:$ABO$500,AB$2,0),"М")</f>
        <v>0</v>
      </c>
    </row>
    <row r="272" spans="1:28" hidden="1" outlineLevel="1" x14ac:dyDescent="0.3">
      <c r="A272" s="33" t="s">
        <v>244</v>
      </c>
      <c r="B272" s="34" t="s">
        <v>275</v>
      </c>
      <c r="C272" s="50">
        <f>SUMIFS(INDEX(Техника!$F$1:$ABM$500,C$2,0),Техника!$F$4:$ABM$4,"Часы",INDEX(Техника!$G$1:$ABN$500,C$2,0),$A$270,INDEX(Техника!$H$1:$ABO$500,C$2,0),"Д")</f>
        <v>0</v>
      </c>
      <c r="D272" s="50">
        <f>SUMIFS(INDEX(Техника!$F$1:$ABM$500,D$2,0),Техника!$F$4:$ABM$4,"Часы",INDEX(Техника!$G$1:$ABN$500,D$2,0),$A$270,INDEX(Техника!$H$1:$ABO$500,D$2,0),"Д")</f>
        <v>0</v>
      </c>
      <c r="E272" s="50">
        <f>SUMIFS(INDEX(Техника!$F$1:$ABM$500,E$2,0),Техника!$F$4:$ABM$4,"Часы",INDEX(Техника!$G$1:$ABN$500,E$2,0),$A$270,INDEX(Техника!$H$1:$ABO$500,E$2,0),"Д")</f>
        <v>0</v>
      </c>
      <c r="F272" s="50">
        <f>SUMIFS(INDEX(Техника!$F$1:$ABM$500,F$2,0),Техника!$F$4:$ABM$4,"Часы",INDEX(Техника!$G$1:$ABN$500,F$2,0),$A$270,INDEX(Техника!$H$1:$ABO$500,F$2,0),"Д")</f>
        <v>0</v>
      </c>
      <c r="G272" s="50">
        <f>SUMIFS(INDEX(Техника!$F$1:$ABM$500,G$2,0),Техника!$F$4:$ABM$4,"Часы",INDEX(Техника!$G$1:$ABN$500,G$2,0),$A$270,INDEX(Техника!$H$1:$ABO$500,G$2,0),"Д")</f>
        <v>0</v>
      </c>
      <c r="H272" s="50">
        <f>SUMIFS(INDEX(Техника!$F$1:$ABM$500,H$2,0),Техника!$F$4:$ABM$4,"Часы",INDEX(Техника!$G$1:$ABN$500,H$2,0),$A$270,INDEX(Техника!$H$1:$ABO$500,H$2,0),"Д")</f>
        <v>0</v>
      </c>
      <c r="I272" s="50">
        <f>SUMIFS(INDEX(Техника!$F$1:$ABM$500,I$2,0),Техника!$F$4:$ABM$4,"Часы",INDEX(Техника!$G$1:$ABN$500,I$2,0),$A$270,INDEX(Техника!$H$1:$ABO$500,I$2,0),"Д")</f>
        <v>0</v>
      </c>
      <c r="J272" s="50">
        <f>SUMIFS(INDEX(Техника!$F$1:$ABM$500,J$2,0),Техника!$F$4:$ABM$4,"Часы",INDEX(Техника!$G$1:$ABN$500,J$2,0),$A$270,INDEX(Техника!$H$1:$ABO$500,J$2,0),"Д")</f>
        <v>0</v>
      </c>
      <c r="K272" s="50">
        <f>SUMIFS(INDEX(Техника!$F$1:$ABM$500,K$2,0),Техника!$F$4:$ABM$4,"Часы",INDEX(Техника!$G$1:$ABN$500,K$2,0),$A$270,INDEX(Техника!$H$1:$ABO$500,K$2,0),"Д")</f>
        <v>0</v>
      </c>
      <c r="L272" s="50">
        <f>SUMIFS(INDEX(Техника!$F$1:$ABM$500,L$2,0),Техника!$F$4:$ABM$4,"Часы",INDEX(Техника!$G$1:$ABN$500,L$2,0),$A$270,INDEX(Техника!$H$1:$ABO$500,L$2,0),"Д")</f>
        <v>0</v>
      </c>
      <c r="M272" s="50">
        <f>SUMIFS(INDEX(Техника!$F$1:$ABM$500,M$2,0),Техника!$F$4:$ABM$4,"Часы",INDEX(Техника!$G$1:$ABN$500,M$2,0),$A$270,INDEX(Техника!$H$1:$ABO$500,M$2,0),"Д")</f>
        <v>0</v>
      </c>
      <c r="N272" s="50">
        <f>SUMIFS(INDEX(Техника!$F$1:$ABM$500,N$2,0),Техника!$F$4:$ABM$4,"Часы",INDEX(Техника!$G$1:$ABN$500,N$2,0),$A$270,INDEX(Техника!$H$1:$ABO$500,N$2,0),"Д")</f>
        <v>0</v>
      </c>
      <c r="O272" s="50">
        <f>SUMIFS(INDEX(Техника!$F$1:$ABM$500,O$2,0),Техника!$F$4:$ABM$4,"Часы",INDEX(Техника!$G$1:$ABN$500,O$2,0),$A$270,INDEX(Техника!$H$1:$ABO$500,O$2,0),"Д")</f>
        <v>0</v>
      </c>
      <c r="P272" s="50">
        <f>SUMIFS(INDEX(Техника!$F$1:$ABM$500,P$2,0),Техника!$F$4:$ABM$4,"Часы",INDEX(Техника!$G$1:$ABN$500,P$2,0),$A$270,INDEX(Техника!$H$1:$ABO$500,P$2,0),"Д")</f>
        <v>0</v>
      </c>
      <c r="Q272" s="50">
        <f>SUMIFS(INDEX(Техника!$F$1:$ABM$500,Q$2,0),Техника!$F$4:$ABM$4,"Часы",INDEX(Техника!$G$1:$ABN$500,Q$2,0),$A$270,INDEX(Техника!$H$1:$ABO$500,Q$2,0),"Д")</f>
        <v>0</v>
      </c>
      <c r="R272" s="50">
        <f>SUMIFS(INDEX(Техника!$F$1:$ABM$500,R$2,0),Техника!$F$4:$ABM$4,"Часы",INDEX(Техника!$G$1:$ABN$500,R$2,0),$A$270,INDEX(Техника!$H$1:$ABO$500,R$2,0),"Д")</f>
        <v>0</v>
      </c>
      <c r="S272" s="50">
        <f>SUMIFS(INDEX(Техника!$F$1:$ABM$500,S$2,0),Техника!$F$4:$ABM$4,"Часы",INDEX(Техника!$G$1:$ABN$500,S$2,0),$A$270,INDEX(Техника!$H$1:$ABO$500,S$2,0),"Д")</f>
        <v>0</v>
      </c>
      <c r="T272" s="50">
        <f>SUMIFS(INDEX(Техника!$F$1:$ABM$500,T$2,0),Техника!$F$4:$ABM$4,"Часы",INDEX(Техника!$G$1:$ABN$500,T$2,0),$A$270,INDEX(Техника!$H$1:$ABO$500,T$2,0),"Д")</f>
        <v>0</v>
      </c>
      <c r="U272" s="50">
        <f>SUMIFS(INDEX(Техника!$F$1:$ABM$500,U$2,0),Техника!$F$4:$ABM$4,"Часы",INDEX(Техника!$G$1:$ABN$500,U$2,0),$A$270,INDEX(Техника!$H$1:$ABO$500,U$2,0),"Д")</f>
        <v>0</v>
      </c>
      <c r="V272" s="50">
        <f>SUMIFS(INDEX(Техника!$F$1:$ABM$500,V$2,0),Техника!$F$4:$ABM$4,"Часы",INDEX(Техника!$G$1:$ABN$500,V$2,0),$A$270,INDEX(Техника!$H$1:$ABO$500,V$2,0),"Д")</f>
        <v>0</v>
      </c>
      <c r="W272" s="50">
        <f>SUMIFS(INDEX(Техника!$F$1:$ABM$500,W$2,0),Техника!$F$4:$ABM$4,"Часы",INDEX(Техника!$G$1:$ABN$500,W$2,0),$A$270,INDEX(Техника!$H$1:$ABO$500,W$2,0),"Д")</f>
        <v>0</v>
      </c>
      <c r="X272" s="50">
        <f>SUMIFS(INDEX(Техника!$F$1:$ABM$500,X$2,0),Техника!$F$4:$ABM$4,"Часы",INDEX(Техника!$G$1:$ABN$500,X$2,0),$A$270,INDEX(Техника!$H$1:$ABO$500,X$2,0),"Д")</f>
        <v>0</v>
      </c>
      <c r="Y272" s="50">
        <f>SUMIFS(INDEX(Техника!$F$1:$ABM$500,Y$2,0),Техника!$F$4:$ABM$4,"Часы",INDEX(Техника!$G$1:$ABN$500,Y$2,0),$A$270,INDEX(Техника!$H$1:$ABO$500,Y$2,0),"Д")</f>
        <v>0</v>
      </c>
      <c r="Z272" s="50">
        <f>SUMIFS(INDEX(Техника!$F$1:$ABM$500,Z$2,0),Техника!$F$4:$ABM$4,"Часы",INDEX(Техника!$G$1:$ABN$500,Z$2,0),$A$270,INDEX(Техника!$H$1:$ABO$500,Z$2,0),"Д")</f>
        <v>0</v>
      </c>
      <c r="AA272" s="50">
        <f>SUMIFS(INDEX(Техника!$F$1:$ABM$500,AA$2,0),Техника!$F$4:$ABM$4,"Часы",INDEX(Техника!$G$1:$ABN$500,AA$2,0),$A$270,INDEX(Техника!$H$1:$ABO$500,AA$2,0),"Д")</f>
        <v>0</v>
      </c>
      <c r="AB272" s="50">
        <f>SUMIFS(INDEX(Техника!$F$1:$ABM$500,AB$2,0),Техника!$F$4:$ABM$4,"Часы",INDEX(Техника!$G$1:$ABN$500,AB$2,0),$A$270,INDEX(Техника!$H$1:$ABO$500,AB$2,0),"Д")</f>
        <v>0</v>
      </c>
    </row>
    <row r="273" spans="1:28" hidden="1" outlineLevel="1" x14ac:dyDescent="0.3">
      <c r="A273" s="33" t="s">
        <v>276</v>
      </c>
      <c r="B273" s="34" t="s">
        <v>277</v>
      </c>
      <c r="C273" s="50">
        <f>SUMIFS(INDEX(Техника!$F$1:$ABM$500,C$2,0),Техника!$F$4:$ABM$4,"Часы",INDEX(Техника!$G$1:$ABN$500,C$2,0),$A$270,INDEX(Техника!$H$1:$ABO$500,C$2,0),"П")</f>
        <v>0</v>
      </c>
      <c r="D273" s="50">
        <f>SUMIFS(INDEX(Техника!$F$1:$ABM$500,D$2,0),Техника!$F$4:$ABM$4,"Часы",INDEX(Техника!$G$1:$ABN$500,D$2,0),$A$270,INDEX(Техника!$H$1:$ABO$500,D$2,0),"П")</f>
        <v>0</v>
      </c>
      <c r="E273" s="50">
        <f>SUMIFS(INDEX(Техника!$F$1:$ABM$500,E$2,0),Техника!$F$4:$ABM$4,"Часы",INDEX(Техника!$G$1:$ABN$500,E$2,0),$A$270,INDEX(Техника!$H$1:$ABO$500,E$2,0),"П")</f>
        <v>0</v>
      </c>
      <c r="F273" s="50">
        <f>SUMIFS(INDEX(Техника!$F$1:$ABM$500,F$2,0),Техника!$F$4:$ABM$4,"Часы",INDEX(Техника!$G$1:$ABN$500,F$2,0),$A$270,INDEX(Техника!$H$1:$ABO$500,F$2,0),"П")</f>
        <v>0</v>
      </c>
      <c r="G273" s="50">
        <f>SUMIFS(INDEX(Техника!$F$1:$ABM$500,G$2,0),Техника!$F$4:$ABM$4,"Часы",INDEX(Техника!$G$1:$ABN$500,G$2,0),$A$270,INDEX(Техника!$H$1:$ABO$500,G$2,0),"П")</f>
        <v>0</v>
      </c>
      <c r="H273" s="50">
        <f>SUMIFS(INDEX(Техника!$F$1:$ABM$500,H$2,0),Техника!$F$4:$ABM$4,"Часы",INDEX(Техника!$G$1:$ABN$500,H$2,0),$A$270,INDEX(Техника!$H$1:$ABO$500,H$2,0),"П")</f>
        <v>0</v>
      </c>
      <c r="I273" s="50">
        <f>SUMIFS(INDEX(Техника!$F$1:$ABM$500,I$2,0),Техника!$F$4:$ABM$4,"Часы",INDEX(Техника!$G$1:$ABN$500,I$2,0),$A$270,INDEX(Техника!$H$1:$ABO$500,I$2,0),"П")</f>
        <v>0</v>
      </c>
      <c r="J273" s="50">
        <f>SUMIFS(INDEX(Техника!$F$1:$ABM$500,J$2,0),Техника!$F$4:$ABM$4,"Часы",INDEX(Техника!$G$1:$ABN$500,J$2,0),$A$270,INDEX(Техника!$H$1:$ABO$500,J$2,0),"П")</f>
        <v>0</v>
      </c>
      <c r="K273" s="50">
        <f>SUMIFS(INDEX(Техника!$F$1:$ABM$500,K$2,0),Техника!$F$4:$ABM$4,"Часы",INDEX(Техника!$G$1:$ABN$500,K$2,0),$A$270,INDEX(Техника!$H$1:$ABO$500,K$2,0),"П")</f>
        <v>0</v>
      </c>
      <c r="L273" s="50">
        <f>SUMIFS(INDEX(Техника!$F$1:$ABM$500,L$2,0),Техника!$F$4:$ABM$4,"Часы",INDEX(Техника!$G$1:$ABN$500,L$2,0),$A$270,INDEX(Техника!$H$1:$ABO$500,L$2,0),"П")</f>
        <v>0</v>
      </c>
      <c r="M273" s="50">
        <f>SUMIFS(INDEX(Техника!$F$1:$ABM$500,M$2,0),Техника!$F$4:$ABM$4,"Часы",INDEX(Техника!$G$1:$ABN$500,M$2,0),$A$270,INDEX(Техника!$H$1:$ABO$500,M$2,0),"П")</f>
        <v>0</v>
      </c>
      <c r="N273" s="50">
        <f>SUMIFS(INDEX(Техника!$F$1:$ABM$500,N$2,0),Техника!$F$4:$ABM$4,"Часы",INDEX(Техника!$G$1:$ABN$500,N$2,0),$A$270,INDEX(Техника!$H$1:$ABO$500,N$2,0),"П")</f>
        <v>0</v>
      </c>
      <c r="O273" s="50">
        <f>SUMIFS(INDEX(Техника!$F$1:$ABM$500,O$2,0),Техника!$F$4:$ABM$4,"Часы",INDEX(Техника!$G$1:$ABN$500,O$2,0),$A$270,INDEX(Техника!$H$1:$ABO$500,O$2,0),"П")</f>
        <v>0</v>
      </c>
      <c r="P273" s="50">
        <f>SUMIFS(INDEX(Техника!$F$1:$ABM$500,P$2,0),Техника!$F$4:$ABM$4,"Часы",INDEX(Техника!$G$1:$ABN$500,P$2,0),$A$270,INDEX(Техника!$H$1:$ABO$500,P$2,0),"П")</f>
        <v>0</v>
      </c>
      <c r="Q273" s="50">
        <f>SUMIFS(INDEX(Техника!$F$1:$ABM$500,Q$2,0),Техника!$F$4:$ABM$4,"Часы",INDEX(Техника!$G$1:$ABN$500,Q$2,0),$A$270,INDEX(Техника!$H$1:$ABO$500,Q$2,0),"П")</f>
        <v>0</v>
      </c>
      <c r="R273" s="50">
        <f>SUMIFS(INDEX(Техника!$F$1:$ABM$500,R$2,0),Техника!$F$4:$ABM$4,"Часы",INDEX(Техника!$G$1:$ABN$500,R$2,0),$A$270,INDEX(Техника!$H$1:$ABO$500,R$2,0),"П")</f>
        <v>0</v>
      </c>
      <c r="S273" s="50">
        <f>SUMIFS(INDEX(Техника!$F$1:$ABM$500,S$2,0),Техника!$F$4:$ABM$4,"Часы",INDEX(Техника!$G$1:$ABN$500,S$2,0),$A$270,INDEX(Техника!$H$1:$ABO$500,S$2,0),"П")</f>
        <v>0</v>
      </c>
      <c r="T273" s="50">
        <f>SUMIFS(INDEX(Техника!$F$1:$ABM$500,T$2,0),Техника!$F$4:$ABM$4,"Часы",INDEX(Техника!$G$1:$ABN$500,T$2,0),$A$270,INDEX(Техника!$H$1:$ABO$500,T$2,0),"П")</f>
        <v>0</v>
      </c>
      <c r="U273" s="50">
        <f>SUMIFS(INDEX(Техника!$F$1:$ABM$500,U$2,0),Техника!$F$4:$ABM$4,"Часы",INDEX(Техника!$G$1:$ABN$500,U$2,0),$A$270,INDEX(Техника!$H$1:$ABO$500,U$2,0),"П")</f>
        <v>0</v>
      </c>
      <c r="V273" s="50">
        <f>SUMIFS(INDEX(Техника!$F$1:$ABM$500,V$2,0),Техника!$F$4:$ABM$4,"Часы",INDEX(Техника!$G$1:$ABN$500,V$2,0),$A$270,INDEX(Техника!$H$1:$ABO$500,V$2,0),"П")</f>
        <v>0</v>
      </c>
      <c r="W273" s="50">
        <f>SUMIFS(INDEX(Техника!$F$1:$ABM$500,W$2,0),Техника!$F$4:$ABM$4,"Часы",INDEX(Техника!$G$1:$ABN$500,W$2,0),$A$270,INDEX(Техника!$H$1:$ABO$500,W$2,0),"П")</f>
        <v>0</v>
      </c>
      <c r="X273" s="50">
        <f>SUMIFS(INDEX(Техника!$F$1:$ABM$500,X$2,0),Техника!$F$4:$ABM$4,"Часы",INDEX(Техника!$G$1:$ABN$500,X$2,0),$A$270,INDEX(Техника!$H$1:$ABO$500,X$2,0),"П")</f>
        <v>0</v>
      </c>
      <c r="Y273" s="50">
        <f>SUMIFS(INDEX(Техника!$F$1:$ABM$500,Y$2,0),Техника!$F$4:$ABM$4,"Часы",INDEX(Техника!$G$1:$ABN$500,Y$2,0),$A$270,INDEX(Техника!$H$1:$ABO$500,Y$2,0),"П")</f>
        <v>0</v>
      </c>
      <c r="Z273" s="50">
        <f>SUMIFS(INDEX(Техника!$F$1:$ABM$500,Z$2,0),Техника!$F$4:$ABM$4,"Часы",INDEX(Техника!$G$1:$ABN$500,Z$2,0),$A$270,INDEX(Техника!$H$1:$ABO$500,Z$2,0),"П")</f>
        <v>0</v>
      </c>
      <c r="AA273" s="50">
        <f>SUMIFS(INDEX(Техника!$F$1:$ABM$500,AA$2,0),Техника!$F$4:$ABM$4,"Часы",INDEX(Техника!$G$1:$ABN$500,AA$2,0),$A$270,INDEX(Техника!$H$1:$ABO$500,AA$2,0),"П")</f>
        <v>0</v>
      </c>
      <c r="AB273" s="50">
        <f>SUMIFS(INDEX(Техника!$F$1:$ABM$500,AB$2,0),Техника!$F$4:$ABM$4,"Часы",INDEX(Техника!$G$1:$ABN$500,AB$2,0),$A$270,INDEX(Техника!$H$1:$ABO$500,AB$2,0),"П")</f>
        <v>0</v>
      </c>
    </row>
    <row r="274" spans="1:28" hidden="1" outlineLevel="1" x14ac:dyDescent="0.3">
      <c r="A274" s="33" t="s">
        <v>243</v>
      </c>
      <c r="B274" s="34" t="s">
        <v>278</v>
      </c>
      <c r="C274" s="50">
        <f>SUMIFS(INDEX(Техника!$F$1:$ABM$500,C$2,0),Техника!$F$4:$ABM$4,"Часы",INDEX(Техника!$G$1:$ABN$500,C$2,0),$A$270,INDEX(Техника!$H$1:$ABO$500,C$2,0),"Л")</f>
        <v>0</v>
      </c>
      <c r="D274" s="50">
        <f>SUMIFS(INDEX(Техника!$F$1:$ABM$500,D$2,0),Техника!$F$4:$ABM$4,"Часы",INDEX(Техника!$G$1:$ABN$500,D$2,0),$A$270,INDEX(Техника!$H$1:$ABO$500,D$2,0),"Л")</f>
        <v>0</v>
      </c>
      <c r="E274" s="50">
        <f>SUMIFS(INDEX(Техника!$F$1:$ABM$500,E$2,0),Техника!$F$4:$ABM$4,"Часы",INDEX(Техника!$G$1:$ABN$500,E$2,0),$A$270,INDEX(Техника!$H$1:$ABO$500,E$2,0),"Л")</f>
        <v>0</v>
      </c>
      <c r="F274" s="50">
        <f>SUMIFS(INDEX(Техника!$F$1:$ABM$500,F$2,0),Техника!$F$4:$ABM$4,"Часы",INDEX(Техника!$G$1:$ABN$500,F$2,0),$A$270,INDEX(Техника!$H$1:$ABO$500,F$2,0),"Л")</f>
        <v>0</v>
      </c>
      <c r="G274" s="50">
        <f>SUMIFS(INDEX(Техника!$F$1:$ABM$500,G$2,0),Техника!$F$4:$ABM$4,"Часы",INDEX(Техника!$G$1:$ABN$500,G$2,0),$A$270,INDEX(Техника!$H$1:$ABO$500,G$2,0),"Л")</f>
        <v>0</v>
      </c>
      <c r="H274" s="50">
        <f>SUMIFS(INDEX(Техника!$F$1:$ABM$500,H$2,0),Техника!$F$4:$ABM$4,"Часы",INDEX(Техника!$G$1:$ABN$500,H$2,0),$A$270,INDEX(Техника!$H$1:$ABO$500,H$2,0),"Л")</f>
        <v>0</v>
      </c>
      <c r="I274" s="50">
        <f>SUMIFS(INDEX(Техника!$F$1:$ABM$500,I$2,0),Техника!$F$4:$ABM$4,"Часы",INDEX(Техника!$G$1:$ABN$500,I$2,0),$A$270,INDEX(Техника!$H$1:$ABO$500,I$2,0),"Л")</f>
        <v>0</v>
      </c>
      <c r="J274" s="50">
        <f>SUMIFS(INDEX(Техника!$F$1:$ABM$500,J$2,0),Техника!$F$4:$ABM$4,"Часы",INDEX(Техника!$G$1:$ABN$500,J$2,0),$A$270,INDEX(Техника!$H$1:$ABO$500,J$2,0),"Л")</f>
        <v>0</v>
      </c>
      <c r="K274" s="50">
        <f>SUMIFS(INDEX(Техника!$F$1:$ABM$500,K$2,0),Техника!$F$4:$ABM$4,"Часы",INDEX(Техника!$G$1:$ABN$500,K$2,0),$A$270,INDEX(Техника!$H$1:$ABO$500,K$2,0),"Л")</f>
        <v>0</v>
      </c>
      <c r="L274" s="50">
        <f>SUMIFS(INDEX(Техника!$F$1:$ABM$500,L$2,0),Техника!$F$4:$ABM$4,"Часы",INDEX(Техника!$G$1:$ABN$500,L$2,0),$A$270,INDEX(Техника!$H$1:$ABO$500,L$2,0),"Л")</f>
        <v>0</v>
      </c>
      <c r="M274" s="50">
        <f>SUMIFS(INDEX(Техника!$F$1:$ABM$500,M$2,0),Техника!$F$4:$ABM$4,"Часы",INDEX(Техника!$G$1:$ABN$500,M$2,0),$A$270,INDEX(Техника!$H$1:$ABO$500,M$2,0),"Л")</f>
        <v>0</v>
      </c>
      <c r="N274" s="50">
        <f>SUMIFS(INDEX(Техника!$F$1:$ABM$500,N$2,0),Техника!$F$4:$ABM$4,"Часы",INDEX(Техника!$G$1:$ABN$500,N$2,0),$A$270,INDEX(Техника!$H$1:$ABO$500,N$2,0),"Л")</f>
        <v>0</v>
      </c>
      <c r="O274" s="50">
        <f>SUMIFS(INDEX(Техника!$F$1:$ABM$500,O$2,0),Техника!$F$4:$ABM$4,"Часы",INDEX(Техника!$G$1:$ABN$500,O$2,0),$A$270,INDEX(Техника!$H$1:$ABO$500,O$2,0),"Л")</f>
        <v>0</v>
      </c>
      <c r="P274" s="50">
        <f>SUMIFS(INDEX(Техника!$F$1:$ABM$500,P$2,0),Техника!$F$4:$ABM$4,"Часы",INDEX(Техника!$G$1:$ABN$500,P$2,0),$A$270,INDEX(Техника!$H$1:$ABO$500,P$2,0),"Л")</f>
        <v>0</v>
      </c>
      <c r="Q274" s="50">
        <f>SUMIFS(INDEX(Техника!$F$1:$ABM$500,Q$2,0),Техника!$F$4:$ABM$4,"Часы",INDEX(Техника!$G$1:$ABN$500,Q$2,0),$A$270,INDEX(Техника!$H$1:$ABO$500,Q$2,0),"Л")</f>
        <v>0</v>
      </c>
      <c r="R274" s="50">
        <f>SUMIFS(INDEX(Техника!$F$1:$ABM$500,R$2,0),Техника!$F$4:$ABM$4,"Часы",INDEX(Техника!$G$1:$ABN$500,R$2,0),$A$270,INDEX(Техника!$H$1:$ABO$500,R$2,0),"Л")</f>
        <v>0</v>
      </c>
      <c r="S274" s="50">
        <f>SUMIFS(INDEX(Техника!$F$1:$ABM$500,S$2,0),Техника!$F$4:$ABM$4,"Часы",INDEX(Техника!$G$1:$ABN$500,S$2,0),$A$270,INDEX(Техника!$H$1:$ABO$500,S$2,0),"Л")</f>
        <v>0</v>
      </c>
      <c r="T274" s="50">
        <f>SUMIFS(INDEX(Техника!$F$1:$ABM$500,T$2,0),Техника!$F$4:$ABM$4,"Часы",INDEX(Техника!$G$1:$ABN$500,T$2,0),$A$270,INDEX(Техника!$H$1:$ABO$500,T$2,0),"Л")</f>
        <v>0</v>
      </c>
      <c r="U274" s="50">
        <f>SUMIFS(INDEX(Техника!$F$1:$ABM$500,U$2,0),Техника!$F$4:$ABM$4,"Часы",INDEX(Техника!$G$1:$ABN$500,U$2,0),$A$270,INDEX(Техника!$H$1:$ABO$500,U$2,0),"Л")</f>
        <v>0</v>
      </c>
      <c r="V274" s="50">
        <f>SUMIFS(INDEX(Техника!$F$1:$ABM$500,V$2,0),Техника!$F$4:$ABM$4,"Часы",INDEX(Техника!$G$1:$ABN$500,V$2,0),$A$270,INDEX(Техника!$H$1:$ABO$500,V$2,0),"Л")</f>
        <v>0</v>
      </c>
      <c r="W274" s="50">
        <f>SUMIFS(INDEX(Техника!$F$1:$ABM$500,W$2,0),Техника!$F$4:$ABM$4,"Часы",INDEX(Техника!$G$1:$ABN$500,W$2,0),$A$270,INDEX(Техника!$H$1:$ABO$500,W$2,0),"Л")</f>
        <v>0</v>
      </c>
      <c r="X274" s="50">
        <f>SUMIFS(INDEX(Техника!$F$1:$ABM$500,X$2,0),Техника!$F$4:$ABM$4,"Часы",INDEX(Техника!$G$1:$ABN$500,X$2,0),$A$270,INDEX(Техника!$H$1:$ABO$500,X$2,0),"Л")</f>
        <v>0</v>
      </c>
      <c r="Y274" s="50">
        <f>SUMIFS(INDEX(Техника!$F$1:$ABM$500,Y$2,0),Техника!$F$4:$ABM$4,"Часы",INDEX(Техника!$G$1:$ABN$500,Y$2,0),$A$270,INDEX(Техника!$H$1:$ABO$500,Y$2,0),"Л")</f>
        <v>0</v>
      </c>
      <c r="Z274" s="50">
        <f>SUMIFS(INDEX(Техника!$F$1:$ABM$500,Z$2,0),Техника!$F$4:$ABM$4,"Часы",INDEX(Техника!$G$1:$ABN$500,Z$2,0),$A$270,INDEX(Техника!$H$1:$ABO$500,Z$2,0),"Л")</f>
        <v>0</v>
      </c>
      <c r="AA274" s="50">
        <f>SUMIFS(INDEX(Техника!$F$1:$ABM$500,AA$2,0),Техника!$F$4:$ABM$4,"Часы",INDEX(Техника!$G$1:$ABN$500,AA$2,0),$A$270,INDEX(Техника!$H$1:$ABO$500,AA$2,0),"Л")</f>
        <v>0</v>
      </c>
      <c r="AB274" s="50">
        <f>SUMIFS(INDEX(Техника!$F$1:$ABM$500,AB$2,0),Техника!$F$4:$ABM$4,"Часы",INDEX(Техника!$G$1:$ABN$500,AB$2,0),$A$270,INDEX(Техника!$H$1:$ABO$500,AB$2,0),"Л")</f>
        <v>0</v>
      </c>
    </row>
    <row r="275" spans="1:28" hidden="1" outlineLevel="1" x14ac:dyDescent="0.3">
      <c r="A275" s="33" t="s">
        <v>245</v>
      </c>
      <c r="B275" s="34" t="s">
        <v>279</v>
      </c>
      <c r="C275" s="50">
        <f>SUMIFS(INDEX(Техника!$F$1:$ABM$500,C$2,0),Техника!$F$4:$ABM$4,"Часы",INDEX(Техника!$G$1:$ABN$500,C$2,0),$A$270,INDEX(Техника!$H$1:$ABO$500,C$2,0),"З")</f>
        <v>0</v>
      </c>
      <c r="D275" s="50">
        <f>SUMIFS(INDEX(Техника!$F$1:$ABM$500,D$2,0),Техника!$F$4:$ABM$4,"Часы",INDEX(Техника!$G$1:$ABN$500,D$2,0),$A$270,INDEX(Техника!$H$1:$ABO$500,D$2,0),"З")</f>
        <v>0</v>
      </c>
      <c r="E275" s="50">
        <f>SUMIFS(INDEX(Техника!$F$1:$ABM$500,E$2,0),Техника!$F$4:$ABM$4,"Часы",INDEX(Техника!$G$1:$ABN$500,E$2,0),$A$270,INDEX(Техника!$H$1:$ABO$500,E$2,0),"З")</f>
        <v>0</v>
      </c>
      <c r="F275" s="50">
        <f>SUMIFS(INDEX(Техника!$F$1:$ABM$500,F$2,0),Техника!$F$4:$ABM$4,"Часы",INDEX(Техника!$G$1:$ABN$500,F$2,0),$A$270,INDEX(Техника!$H$1:$ABO$500,F$2,0),"З")</f>
        <v>0</v>
      </c>
      <c r="G275" s="50">
        <f>SUMIFS(INDEX(Техника!$F$1:$ABM$500,G$2,0),Техника!$F$4:$ABM$4,"Часы",INDEX(Техника!$G$1:$ABN$500,G$2,0),$A$270,INDEX(Техника!$H$1:$ABO$500,G$2,0),"З")</f>
        <v>0</v>
      </c>
      <c r="H275" s="50">
        <f>SUMIFS(INDEX(Техника!$F$1:$ABM$500,H$2,0),Техника!$F$4:$ABM$4,"Часы",INDEX(Техника!$G$1:$ABN$500,H$2,0),$A$270,INDEX(Техника!$H$1:$ABO$500,H$2,0),"З")</f>
        <v>0</v>
      </c>
      <c r="I275" s="50">
        <f>SUMIFS(INDEX(Техника!$F$1:$ABM$500,I$2,0),Техника!$F$4:$ABM$4,"Часы",INDEX(Техника!$G$1:$ABN$500,I$2,0),$A$270,INDEX(Техника!$H$1:$ABO$500,I$2,0),"З")</f>
        <v>0</v>
      </c>
      <c r="J275" s="50">
        <f>SUMIFS(INDEX(Техника!$F$1:$ABM$500,J$2,0),Техника!$F$4:$ABM$4,"Часы",INDEX(Техника!$G$1:$ABN$500,J$2,0),$A$270,INDEX(Техника!$H$1:$ABO$500,J$2,0),"З")</f>
        <v>0</v>
      </c>
      <c r="K275" s="50">
        <f>SUMIFS(INDEX(Техника!$F$1:$ABM$500,K$2,0),Техника!$F$4:$ABM$4,"Часы",INDEX(Техника!$G$1:$ABN$500,K$2,0),$A$270,INDEX(Техника!$H$1:$ABO$500,K$2,0),"З")</f>
        <v>0</v>
      </c>
      <c r="L275" s="50">
        <f>SUMIFS(INDEX(Техника!$F$1:$ABM$500,L$2,0),Техника!$F$4:$ABM$4,"Часы",INDEX(Техника!$G$1:$ABN$500,L$2,0),$A$270,INDEX(Техника!$H$1:$ABO$500,L$2,0),"З")</f>
        <v>0</v>
      </c>
      <c r="M275" s="50">
        <f>SUMIFS(INDEX(Техника!$F$1:$ABM$500,M$2,0),Техника!$F$4:$ABM$4,"Часы",INDEX(Техника!$G$1:$ABN$500,M$2,0),$A$270,INDEX(Техника!$H$1:$ABO$500,M$2,0),"З")</f>
        <v>0</v>
      </c>
      <c r="N275" s="50">
        <f>SUMIFS(INDEX(Техника!$F$1:$ABM$500,N$2,0),Техника!$F$4:$ABM$4,"Часы",INDEX(Техника!$G$1:$ABN$500,N$2,0),$A$270,INDEX(Техника!$H$1:$ABO$500,N$2,0),"З")</f>
        <v>0</v>
      </c>
      <c r="O275" s="50">
        <f>SUMIFS(INDEX(Техника!$F$1:$ABM$500,O$2,0),Техника!$F$4:$ABM$4,"Часы",INDEX(Техника!$G$1:$ABN$500,O$2,0),$A$270,INDEX(Техника!$H$1:$ABO$500,O$2,0),"З")</f>
        <v>0</v>
      </c>
      <c r="P275" s="50">
        <f>SUMIFS(INDEX(Техника!$F$1:$ABM$500,P$2,0),Техника!$F$4:$ABM$4,"Часы",INDEX(Техника!$G$1:$ABN$500,P$2,0),$A$270,INDEX(Техника!$H$1:$ABO$500,P$2,0),"З")</f>
        <v>0</v>
      </c>
      <c r="Q275" s="50">
        <f>SUMIFS(INDEX(Техника!$F$1:$ABM$500,Q$2,0),Техника!$F$4:$ABM$4,"Часы",INDEX(Техника!$G$1:$ABN$500,Q$2,0),$A$270,INDEX(Техника!$H$1:$ABO$500,Q$2,0),"З")</f>
        <v>0</v>
      </c>
      <c r="R275" s="50">
        <f>SUMIFS(INDEX(Техника!$F$1:$ABM$500,R$2,0),Техника!$F$4:$ABM$4,"Часы",INDEX(Техника!$G$1:$ABN$500,R$2,0),$A$270,INDEX(Техника!$H$1:$ABO$500,R$2,0),"З")</f>
        <v>0</v>
      </c>
      <c r="S275" s="50">
        <f>SUMIFS(INDEX(Техника!$F$1:$ABM$500,S$2,0),Техника!$F$4:$ABM$4,"Часы",INDEX(Техника!$G$1:$ABN$500,S$2,0),$A$270,INDEX(Техника!$H$1:$ABO$500,S$2,0),"З")</f>
        <v>0</v>
      </c>
      <c r="T275" s="50">
        <f>SUMIFS(INDEX(Техника!$F$1:$ABM$500,T$2,0),Техника!$F$4:$ABM$4,"Часы",INDEX(Техника!$G$1:$ABN$500,T$2,0),$A$270,INDEX(Техника!$H$1:$ABO$500,T$2,0),"З")</f>
        <v>0</v>
      </c>
      <c r="U275" s="50">
        <f>SUMIFS(INDEX(Техника!$F$1:$ABM$500,U$2,0),Техника!$F$4:$ABM$4,"Часы",INDEX(Техника!$G$1:$ABN$500,U$2,0),$A$270,INDEX(Техника!$H$1:$ABO$500,U$2,0),"З")</f>
        <v>0</v>
      </c>
      <c r="V275" s="50">
        <f>SUMIFS(INDEX(Техника!$F$1:$ABM$500,V$2,0),Техника!$F$4:$ABM$4,"Часы",INDEX(Техника!$G$1:$ABN$500,V$2,0),$A$270,INDEX(Техника!$H$1:$ABO$500,V$2,0),"З")</f>
        <v>0</v>
      </c>
      <c r="W275" s="50">
        <f>SUMIFS(INDEX(Техника!$F$1:$ABM$500,W$2,0),Техника!$F$4:$ABM$4,"Часы",INDEX(Техника!$G$1:$ABN$500,W$2,0),$A$270,INDEX(Техника!$H$1:$ABO$500,W$2,0),"З")</f>
        <v>0</v>
      </c>
      <c r="X275" s="50">
        <f>SUMIFS(INDEX(Техника!$F$1:$ABM$500,X$2,0),Техника!$F$4:$ABM$4,"Часы",INDEX(Техника!$G$1:$ABN$500,X$2,0),$A$270,INDEX(Техника!$H$1:$ABO$500,X$2,0),"З")</f>
        <v>0</v>
      </c>
      <c r="Y275" s="50">
        <f>SUMIFS(INDEX(Техника!$F$1:$ABM$500,Y$2,0),Техника!$F$4:$ABM$4,"Часы",INDEX(Техника!$G$1:$ABN$500,Y$2,0),$A$270,INDEX(Техника!$H$1:$ABO$500,Y$2,0),"З")</f>
        <v>0</v>
      </c>
      <c r="Z275" s="50">
        <f>SUMIFS(INDEX(Техника!$F$1:$ABM$500,Z$2,0),Техника!$F$4:$ABM$4,"Часы",INDEX(Техника!$G$1:$ABN$500,Z$2,0),$A$270,INDEX(Техника!$H$1:$ABO$500,Z$2,0),"З")</f>
        <v>0</v>
      </c>
      <c r="AA275" s="50">
        <f>SUMIFS(INDEX(Техника!$F$1:$ABM$500,AA$2,0),Техника!$F$4:$ABM$4,"Часы",INDEX(Техника!$G$1:$ABN$500,AA$2,0),$A$270,INDEX(Техника!$H$1:$ABO$500,AA$2,0),"З")</f>
        <v>0</v>
      </c>
      <c r="AB275" s="50">
        <f>SUMIFS(INDEX(Техника!$F$1:$ABM$500,AB$2,0),Техника!$F$4:$ABM$4,"Часы",INDEX(Техника!$G$1:$ABN$500,AB$2,0),$A$270,INDEX(Техника!$H$1:$ABO$500,AB$2,0),"З")</f>
        <v>0</v>
      </c>
    </row>
    <row r="276" spans="1:28" ht="7.95" customHeight="1" x14ac:dyDescent="0.3">
      <c r="A276" s="38"/>
      <c r="B276" s="39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</row>
    <row r="277" spans="1:28" ht="25.05" customHeight="1" collapsed="1" x14ac:dyDescent="0.3">
      <c r="A277" s="32">
        <v>40</v>
      </c>
      <c r="B277" s="32" t="s">
        <v>41</v>
      </c>
      <c r="C277" s="49">
        <f>SUM(C278:C282)</f>
        <v>0</v>
      </c>
      <c r="D277" s="49">
        <f>SUM(D278:D282)</f>
        <v>0</v>
      </c>
      <c r="E277" s="49">
        <f>SUM(E278:E282)</f>
        <v>0</v>
      </c>
      <c r="F277" s="49">
        <f>SUM(F278:F282)</f>
        <v>0</v>
      </c>
      <c r="G277" s="49">
        <f>SUM(G278:G282)</f>
        <v>0</v>
      </c>
      <c r="H277" s="49">
        <f>SUM(H278:H282)</f>
        <v>0</v>
      </c>
      <c r="I277" s="49">
        <f>SUM(I278:I282)</f>
        <v>0</v>
      </c>
      <c r="J277" s="49">
        <f>SUM(J278:J282)</f>
        <v>0</v>
      </c>
      <c r="K277" s="49">
        <f>SUM(K278:K282)</f>
        <v>0</v>
      </c>
      <c r="L277" s="49">
        <f>SUM(L278:L282)</f>
        <v>0</v>
      </c>
      <c r="M277" s="49">
        <f>SUM(M278:M282)</f>
        <v>0</v>
      </c>
      <c r="N277" s="49">
        <f>SUM(N278:N282)</f>
        <v>0</v>
      </c>
      <c r="O277" s="49">
        <f>SUM(O278:O282)</f>
        <v>0</v>
      </c>
      <c r="P277" s="49">
        <f>SUM(P278:P282)</f>
        <v>0</v>
      </c>
      <c r="Q277" s="49">
        <f>SUM(Q278:Q282)</f>
        <v>0</v>
      </c>
      <c r="R277" s="49">
        <f>SUM(R278:R282)</f>
        <v>0</v>
      </c>
      <c r="S277" s="49">
        <f>SUM(S278:S282)</f>
        <v>0</v>
      </c>
      <c r="T277" s="49">
        <f>SUM(T278:T282)</f>
        <v>0</v>
      </c>
      <c r="U277" s="49">
        <f>SUM(U278:U282)</f>
        <v>0</v>
      </c>
      <c r="V277" s="49">
        <f>SUM(V278:V282)</f>
        <v>0</v>
      </c>
      <c r="W277" s="49">
        <f>SUM(W278:W282)</f>
        <v>0</v>
      </c>
      <c r="X277" s="49">
        <f>SUM(X278:X282)</f>
        <v>0</v>
      </c>
      <c r="Y277" s="49">
        <f>SUM(Y278:Y282)</f>
        <v>0</v>
      </c>
      <c r="Z277" s="49">
        <f>SUM(Z278:Z282)</f>
        <v>0</v>
      </c>
      <c r="AA277" s="49">
        <f>SUM(AA278:AA282)</f>
        <v>0</v>
      </c>
      <c r="AB277" s="49">
        <f>SUM(AB278:AB282)</f>
        <v>0</v>
      </c>
    </row>
    <row r="278" spans="1:28" hidden="1" outlineLevel="1" x14ac:dyDescent="0.3">
      <c r="A278" s="33" t="s">
        <v>246</v>
      </c>
      <c r="B278" s="34" t="s">
        <v>274</v>
      </c>
      <c r="C278" s="50">
        <f>SUMIFS(INDEX(Техника!$F$1:$ABM$500,C$2,0),Техника!$F$4:$ABM$4,"Часы",INDEX(Техника!$G$1:$ABN$500,C$2,0),$A$277,INDEX(Техника!$H$1:$ABO$500,C$2,0),"М")</f>
        <v>0</v>
      </c>
      <c r="D278" s="50">
        <f>SUMIFS(INDEX(Техника!$F$1:$ABM$500,D$2,0),Техника!$F$4:$ABM$4,"Часы",INDEX(Техника!$G$1:$ABN$500,D$2,0),$A$277,INDEX(Техника!$H$1:$ABO$500,D$2,0),"М")</f>
        <v>0</v>
      </c>
      <c r="E278" s="50">
        <f>SUMIFS(INDEX(Техника!$F$1:$ABM$500,E$2,0),Техника!$F$4:$ABM$4,"Часы",INDEX(Техника!$G$1:$ABN$500,E$2,0),$A$277,INDEX(Техника!$H$1:$ABO$500,E$2,0),"М")</f>
        <v>0</v>
      </c>
      <c r="F278" s="50">
        <f>SUMIFS(INDEX(Техника!$F$1:$ABM$500,F$2,0),Техника!$F$4:$ABM$4,"Часы",INDEX(Техника!$G$1:$ABN$500,F$2,0),$A$277,INDEX(Техника!$H$1:$ABO$500,F$2,0),"М")</f>
        <v>0</v>
      </c>
      <c r="G278" s="50">
        <f>SUMIFS(INDEX(Техника!$F$1:$ABM$500,G$2,0),Техника!$F$4:$ABM$4,"Часы",INDEX(Техника!$G$1:$ABN$500,G$2,0),$A$277,INDEX(Техника!$H$1:$ABO$500,G$2,0),"М")</f>
        <v>0</v>
      </c>
      <c r="H278" s="50">
        <f>SUMIFS(INDEX(Техника!$F$1:$ABM$500,H$2,0),Техника!$F$4:$ABM$4,"Часы",INDEX(Техника!$G$1:$ABN$500,H$2,0),$A$277,INDEX(Техника!$H$1:$ABO$500,H$2,0),"М")</f>
        <v>0</v>
      </c>
      <c r="I278" s="50">
        <f>SUMIFS(INDEX(Техника!$F$1:$ABM$500,I$2,0),Техника!$F$4:$ABM$4,"Часы",INDEX(Техника!$G$1:$ABN$500,I$2,0),$A$277,INDEX(Техника!$H$1:$ABO$500,I$2,0),"М")</f>
        <v>0</v>
      </c>
      <c r="J278" s="50">
        <f>SUMIFS(INDEX(Техника!$F$1:$ABM$500,J$2,0),Техника!$F$4:$ABM$4,"Часы",INDEX(Техника!$G$1:$ABN$500,J$2,0),$A$277,INDEX(Техника!$H$1:$ABO$500,J$2,0),"М")</f>
        <v>0</v>
      </c>
      <c r="K278" s="50">
        <f>SUMIFS(INDEX(Техника!$F$1:$ABM$500,K$2,0),Техника!$F$4:$ABM$4,"Часы",INDEX(Техника!$G$1:$ABN$500,K$2,0),$A$277,INDEX(Техника!$H$1:$ABO$500,K$2,0),"М")</f>
        <v>0</v>
      </c>
      <c r="L278" s="50">
        <f>SUMIFS(INDEX(Техника!$F$1:$ABM$500,L$2,0),Техника!$F$4:$ABM$4,"Часы",INDEX(Техника!$G$1:$ABN$500,L$2,0),$A$277,INDEX(Техника!$H$1:$ABO$500,L$2,0),"М")</f>
        <v>0</v>
      </c>
      <c r="M278" s="50">
        <f>SUMIFS(INDEX(Техника!$F$1:$ABM$500,M$2,0),Техника!$F$4:$ABM$4,"Часы",INDEX(Техника!$G$1:$ABN$500,M$2,0),$A$277,INDEX(Техника!$H$1:$ABO$500,M$2,0),"М")</f>
        <v>0</v>
      </c>
      <c r="N278" s="50">
        <f>SUMIFS(INDEX(Техника!$F$1:$ABM$500,N$2,0),Техника!$F$4:$ABM$4,"Часы",INDEX(Техника!$G$1:$ABN$500,N$2,0),$A$277,INDEX(Техника!$H$1:$ABO$500,N$2,0),"М")</f>
        <v>0</v>
      </c>
      <c r="O278" s="50">
        <f>SUMIFS(INDEX(Техника!$F$1:$ABM$500,O$2,0),Техника!$F$4:$ABM$4,"Часы",INDEX(Техника!$G$1:$ABN$500,O$2,0),$A$277,INDEX(Техника!$H$1:$ABO$500,O$2,0),"М")</f>
        <v>0</v>
      </c>
      <c r="P278" s="50">
        <f>SUMIFS(INDEX(Техника!$F$1:$ABM$500,P$2,0),Техника!$F$4:$ABM$4,"Часы",INDEX(Техника!$G$1:$ABN$500,P$2,0),$A$277,INDEX(Техника!$H$1:$ABO$500,P$2,0),"М")</f>
        <v>0</v>
      </c>
      <c r="Q278" s="50">
        <f>SUMIFS(INDEX(Техника!$F$1:$ABM$500,Q$2,0),Техника!$F$4:$ABM$4,"Часы",INDEX(Техника!$G$1:$ABN$500,Q$2,0),$A$277,INDEX(Техника!$H$1:$ABO$500,Q$2,0),"М")</f>
        <v>0</v>
      </c>
      <c r="R278" s="50">
        <f>SUMIFS(INDEX(Техника!$F$1:$ABM$500,R$2,0),Техника!$F$4:$ABM$4,"Часы",INDEX(Техника!$G$1:$ABN$500,R$2,0),$A$277,INDEX(Техника!$H$1:$ABO$500,R$2,0),"М")</f>
        <v>0</v>
      </c>
      <c r="S278" s="50">
        <f>SUMIFS(INDEX(Техника!$F$1:$ABM$500,S$2,0),Техника!$F$4:$ABM$4,"Часы",INDEX(Техника!$G$1:$ABN$500,S$2,0),$A$277,INDEX(Техника!$H$1:$ABO$500,S$2,0),"М")</f>
        <v>0</v>
      </c>
      <c r="T278" s="50">
        <f>SUMIFS(INDEX(Техника!$F$1:$ABM$500,T$2,0),Техника!$F$4:$ABM$4,"Часы",INDEX(Техника!$G$1:$ABN$500,T$2,0),$A$277,INDEX(Техника!$H$1:$ABO$500,T$2,0),"М")</f>
        <v>0</v>
      </c>
      <c r="U278" s="50">
        <f>SUMIFS(INDEX(Техника!$F$1:$ABM$500,U$2,0),Техника!$F$4:$ABM$4,"Часы",INDEX(Техника!$G$1:$ABN$500,U$2,0),$A$277,INDEX(Техника!$H$1:$ABO$500,U$2,0),"М")</f>
        <v>0</v>
      </c>
      <c r="V278" s="50">
        <f>SUMIFS(INDEX(Техника!$F$1:$ABM$500,V$2,0),Техника!$F$4:$ABM$4,"Часы",INDEX(Техника!$G$1:$ABN$500,V$2,0),$A$277,INDEX(Техника!$H$1:$ABO$500,V$2,0),"М")</f>
        <v>0</v>
      </c>
      <c r="W278" s="50">
        <f>SUMIFS(INDEX(Техника!$F$1:$ABM$500,W$2,0),Техника!$F$4:$ABM$4,"Часы",INDEX(Техника!$G$1:$ABN$500,W$2,0),$A$277,INDEX(Техника!$H$1:$ABO$500,W$2,0),"М")</f>
        <v>0</v>
      </c>
      <c r="X278" s="50">
        <f>SUMIFS(INDEX(Техника!$F$1:$ABM$500,X$2,0),Техника!$F$4:$ABM$4,"Часы",INDEX(Техника!$G$1:$ABN$500,X$2,0),$A$277,INDEX(Техника!$H$1:$ABO$500,X$2,0),"М")</f>
        <v>0</v>
      </c>
      <c r="Y278" s="50">
        <f>SUMIFS(INDEX(Техника!$F$1:$ABM$500,Y$2,0),Техника!$F$4:$ABM$4,"Часы",INDEX(Техника!$G$1:$ABN$500,Y$2,0),$A$277,INDEX(Техника!$H$1:$ABO$500,Y$2,0),"М")</f>
        <v>0</v>
      </c>
      <c r="Z278" s="50">
        <f>SUMIFS(INDEX(Техника!$F$1:$ABM$500,Z$2,0),Техника!$F$4:$ABM$4,"Часы",INDEX(Техника!$G$1:$ABN$500,Z$2,0),$A$277,INDEX(Техника!$H$1:$ABO$500,Z$2,0),"М")</f>
        <v>0</v>
      </c>
      <c r="AA278" s="50">
        <f>SUMIFS(INDEX(Техника!$F$1:$ABM$500,AA$2,0),Техника!$F$4:$ABM$4,"Часы",INDEX(Техника!$G$1:$ABN$500,AA$2,0),$A$277,INDEX(Техника!$H$1:$ABO$500,AA$2,0),"М")</f>
        <v>0</v>
      </c>
      <c r="AB278" s="50">
        <f>SUMIFS(INDEX(Техника!$F$1:$ABM$500,AB$2,0),Техника!$F$4:$ABM$4,"Часы",INDEX(Техника!$G$1:$ABN$500,AB$2,0),$A$277,INDEX(Техника!$H$1:$ABO$500,AB$2,0),"М")</f>
        <v>0</v>
      </c>
    </row>
    <row r="279" spans="1:28" hidden="1" outlineLevel="1" x14ac:dyDescent="0.3">
      <c r="A279" s="33" t="s">
        <v>244</v>
      </c>
      <c r="B279" s="34" t="s">
        <v>275</v>
      </c>
      <c r="C279" s="50">
        <f>SUMIFS(INDEX(Техника!$F$1:$ABM$500,C$2,0),Техника!$F$4:$ABM$4,"Часы",INDEX(Техника!$G$1:$ABN$500,C$2,0),$A$277,INDEX(Техника!$H$1:$ABO$500,C$2,0),"Д")</f>
        <v>0</v>
      </c>
      <c r="D279" s="50">
        <f>SUMIFS(INDEX(Техника!$F$1:$ABM$500,D$2,0),Техника!$F$4:$ABM$4,"Часы",INDEX(Техника!$G$1:$ABN$500,D$2,0),$A$277,INDEX(Техника!$H$1:$ABO$500,D$2,0),"Д")</f>
        <v>0</v>
      </c>
      <c r="E279" s="50">
        <f>SUMIFS(INDEX(Техника!$F$1:$ABM$500,E$2,0),Техника!$F$4:$ABM$4,"Часы",INDEX(Техника!$G$1:$ABN$500,E$2,0),$A$277,INDEX(Техника!$H$1:$ABO$500,E$2,0),"Д")</f>
        <v>0</v>
      </c>
      <c r="F279" s="50">
        <f>SUMIFS(INDEX(Техника!$F$1:$ABM$500,F$2,0),Техника!$F$4:$ABM$4,"Часы",INDEX(Техника!$G$1:$ABN$500,F$2,0),$A$277,INDEX(Техника!$H$1:$ABO$500,F$2,0),"Д")</f>
        <v>0</v>
      </c>
      <c r="G279" s="50">
        <f>SUMIFS(INDEX(Техника!$F$1:$ABM$500,G$2,0),Техника!$F$4:$ABM$4,"Часы",INDEX(Техника!$G$1:$ABN$500,G$2,0),$A$277,INDEX(Техника!$H$1:$ABO$500,G$2,0),"Д")</f>
        <v>0</v>
      </c>
      <c r="H279" s="50">
        <f>SUMIFS(INDEX(Техника!$F$1:$ABM$500,H$2,0),Техника!$F$4:$ABM$4,"Часы",INDEX(Техника!$G$1:$ABN$500,H$2,0),$A$277,INDEX(Техника!$H$1:$ABO$500,H$2,0),"Д")</f>
        <v>0</v>
      </c>
      <c r="I279" s="50">
        <f>SUMIFS(INDEX(Техника!$F$1:$ABM$500,I$2,0),Техника!$F$4:$ABM$4,"Часы",INDEX(Техника!$G$1:$ABN$500,I$2,0),$A$277,INDEX(Техника!$H$1:$ABO$500,I$2,0),"Д")</f>
        <v>0</v>
      </c>
      <c r="J279" s="50">
        <f>SUMIFS(INDEX(Техника!$F$1:$ABM$500,J$2,0),Техника!$F$4:$ABM$4,"Часы",INDEX(Техника!$G$1:$ABN$500,J$2,0),$A$277,INDEX(Техника!$H$1:$ABO$500,J$2,0),"Д")</f>
        <v>0</v>
      </c>
      <c r="K279" s="50">
        <f>SUMIFS(INDEX(Техника!$F$1:$ABM$500,K$2,0),Техника!$F$4:$ABM$4,"Часы",INDEX(Техника!$G$1:$ABN$500,K$2,0),$A$277,INDEX(Техника!$H$1:$ABO$500,K$2,0),"Д")</f>
        <v>0</v>
      </c>
      <c r="L279" s="50">
        <f>SUMIFS(INDEX(Техника!$F$1:$ABM$500,L$2,0),Техника!$F$4:$ABM$4,"Часы",INDEX(Техника!$G$1:$ABN$500,L$2,0),$A$277,INDEX(Техника!$H$1:$ABO$500,L$2,0),"Д")</f>
        <v>0</v>
      </c>
      <c r="M279" s="50">
        <f>SUMIFS(INDEX(Техника!$F$1:$ABM$500,M$2,0),Техника!$F$4:$ABM$4,"Часы",INDEX(Техника!$G$1:$ABN$500,M$2,0),$A$277,INDEX(Техника!$H$1:$ABO$500,M$2,0),"Д")</f>
        <v>0</v>
      </c>
      <c r="N279" s="50">
        <f>SUMIFS(INDEX(Техника!$F$1:$ABM$500,N$2,0),Техника!$F$4:$ABM$4,"Часы",INDEX(Техника!$G$1:$ABN$500,N$2,0),$A$277,INDEX(Техника!$H$1:$ABO$500,N$2,0),"Д")</f>
        <v>0</v>
      </c>
      <c r="O279" s="50">
        <f>SUMIFS(INDEX(Техника!$F$1:$ABM$500,O$2,0),Техника!$F$4:$ABM$4,"Часы",INDEX(Техника!$G$1:$ABN$500,O$2,0),$A$277,INDEX(Техника!$H$1:$ABO$500,O$2,0),"Д")</f>
        <v>0</v>
      </c>
      <c r="P279" s="50">
        <f>SUMIFS(INDEX(Техника!$F$1:$ABM$500,P$2,0),Техника!$F$4:$ABM$4,"Часы",INDEX(Техника!$G$1:$ABN$500,P$2,0),$A$277,INDEX(Техника!$H$1:$ABO$500,P$2,0),"Д")</f>
        <v>0</v>
      </c>
      <c r="Q279" s="50">
        <f>SUMIFS(INDEX(Техника!$F$1:$ABM$500,Q$2,0),Техника!$F$4:$ABM$4,"Часы",INDEX(Техника!$G$1:$ABN$500,Q$2,0),$A$277,INDEX(Техника!$H$1:$ABO$500,Q$2,0),"Д")</f>
        <v>0</v>
      </c>
      <c r="R279" s="50">
        <f>SUMIFS(INDEX(Техника!$F$1:$ABM$500,R$2,0),Техника!$F$4:$ABM$4,"Часы",INDEX(Техника!$G$1:$ABN$500,R$2,0),$A$277,INDEX(Техника!$H$1:$ABO$500,R$2,0),"Д")</f>
        <v>0</v>
      </c>
      <c r="S279" s="50">
        <f>SUMIFS(INDEX(Техника!$F$1:$ABM$500,S$2,0),Техника!$F$4:$ABM$4,"Часы",INDEX(Техника!$G$1:$ABN$500,S$2,0),$A$277,INDEX(Техника!$H$1:$ABO$500,S$2,0),"Д")</f>
        <v>0</v>
      </c>
      <c r="T279" s="50">
        <f>SUMIFS(INDEX(Техника!$F$1:$ABM$500,T$2,0),Техника!$F$4:$ABM$4,"Часы",INDEX(Техника!$G$1:$ABN$500,T$2,0),$A$277,INDEX(Техника!$H$1:$ABO$500,T$2,0),"Д")</f>
        <v>0</v>
      </c>
      <c r="U279" s="50">
        <f>SUMIFS(INDEX(Техника!$F$1:$ABM$500,U$2,0),Техника!$F$4:$ABM$4,"Часы",INDEX(Техника!$G$1:$ABN$500,U$2,0),$A$277,INDEX(Техника!$H$1:$ABO$500,U$2,0),"Д")</f>
        <v>0</v>
      </c>
      <c r="V279" s="50">
        <f>SUMIFS(INDEX(Техника!$F$1:$ABM$500,V$2,0),Техника!$F$4:$ABM$4,"Часы",INDEX(Техника!$G$1:$ABN$500,V$2,0),$A$277,INDEX(Техника!$H$1:$ABO$500,V$2,0),"Д")</f>
        <v>0</v>
      </c>
      <c r="W279" s="50">
        <f>SUMIFS(INDEX(Техника!$F$1:$ABM$500,W$2,0),Техника!$F$4:$ABM$4,"Часы",INDEX(Техника!$G$1:$ABN$500,W$2,0),$A$277,INDEX(Техника!$H$1:$ABO$500,W$2,0),"Д")</f>
        <v>0</v>
      </c>
      <c r="X279" s="50">
        <f>SUMIFS(INDEX(Техника!$F$1:$ABM$500,X$2,0),Техника!$F$4:$ABM$4,"Часы",INDEX(Техника!$G$1:$ABN$500,X$2,0),$A$277,INDEX(Техника!$H$1:$ABO$500,X$2,0),"Д")</f>
        <v>0</v>
      </c>
      <c r="Y279" s="50">
        <f>SUMIFS(INDEX(Техника!$F$1:$ABM$500,Y$2,0),Техника!$F$4:$ABM$4,"Часы",INDEX(Техника!$G$1:$ABN$500,Y$2,0),$A$277,INDEX(Техника!$H$1:$ABO$500,Y$2,0),"Д")</f>
        <v>0</v>
      </c>
      <c r="Z279" s="50">
        <f>SUMIFS(INDEX(Техника!$F$1:$ABM$500,Z$2,0),Техника!$F$4:$ABM$4,"Часы",INDEX(Техника!$G$1:$ABN$500,Z$2,0),$A$277,INDEX(Техника!$H$1:$ABO$500,Z$2,0),"Д")</f>
        <v>0</v>
      </c>
      <c r="AA279" s="50">
        <f>SUMIFS(INDEX(Техника!$F$1:$ABM$500,AA$2,0),Техника!$F$4:$ABM$4,"Часы",INDEX(Техника!$G$1:$ABN$500,AA$2,0),$A$277,INDEX(Техника!$H$1:$ABO$500,AA$2,0),"Д")</f>
        <v>0</v>
      </c>
      <c r="AB279" s="50">
        <f>SUMIFS(INDEX(Техника!$F$1:$ABM$500,AB$2,0),Техника!$F$4:$ABM$4,"Часы",INDEX(Техника!$G$1:$ABN$500,AB$2,0),$A$277,INDEX(Техника!$H$1:$ABO$500,AB$2,0),"Д")</f>
        <v>0</v>
      </c>
    </row>
    <row r="280" spans="1:28" hidden="1" outlineLevel="1" x14ac:dyDescent="0.3">
      <c r="A280" s="33" t="s">
        <v>276</v>
      </c>
      <c r="B280" s="34" t="s">
        <v>277</v>
      </c>
      <c r="C280" s="50">
        <f>SUMIFS(INDEX(Техника!$F$1:$ABM$500,C$2,0),Техника!$F$4:$ABM$4,"Часы",INDEX(Техника!$G$1:$ABN$500,C$2,0),$A$277,INDEX(Техника!$H$1:$ABO$500,C$2,0),"П")</f>
        <v>0</v>
      </c>
      <c r="D280" s="50">
        <f>SUMIFS(INDEX(Техника!$F$1:$ABM$500,D$2,0),Техника!$F$4:$ABM$4,"Часы",INDEX(Техника!$G$1:$ABN$500,D$2,0),$A$277,INDEX(Техника!$H$1:$ABO$500,D$2,0),"П")</f>
        <v>0</v>
      </c>
      <c r="E280" s="50">
        <f>SUMIFS(INDEX(Техника!$F$1:$ABM$500,E$2,0),Техника!$F$4:$ABM$4,"Часы",INDEX(Техника!$G$1:$ABN$500,E$2,0),$A$277,INDEX(Техника!$H$1:$ABO$500,E$2,0),"П")</f>
        <v>0</v>
      </c>
      <c r="F280" s="50">
        <f>SUMIFS(INDEX(Техника!$F$1:$ABM$500,F$2,0),Техника!$F$4:$ABM$4,"Часы",INDEX(Техника!$G$1:$ABN$500,F$2,0),$A$277,INDEX(Техника!$H$1:$ABO$500,F$2,0),"П")</f>
        <v>0</v>
      </c>
      <c r="G280" s="50">
        <f>SUMIFS(INDEX(Техника!$F$1:$ABM$500,G$2,0),Техника!$F$4:$ABM$4,"Часы",INDEX(Техника!$G$1:$ABN$500,G$2,0),$A$277,INDEX(Техника!$H$1:$ABO$500,G$2,0),"П")</f>
        <v>0</v>
      </c>
      <c r="H280" s="50">
        <f>SUMIFS(INDEX(Техника!$F$1:$ABM$500,H$2,0),Техника!$F$4:$ABM$4,"Часы",INDEX(Техника!$G$1:$ABN$500,H$2,0),$A$277,INDEX(Техника!$H$1:$ABO$500,H$2,0),"П")</f>
        <v>0</v>
      </c>
      <c r="I280" s="50">
        <f>SUMIFS(INDEX(Техника!$F$1:$ABM$500,I$2,0),Техника!$F$4:$ABM$4,"Часы",INDEX(Техника!$G$1:$ABN$500,I$2,0),$A$277,INDEX(Техника!$H$1:$ABO$500,I$2,0),"П")</f>
        <v>0</v>
      </c>
      <c r="J280" s="50">
        <f>SUMIFS(INDEX(Техника!$F$1:$ABM$500,J$2,0),Техника!$F$4:$ABM$4,"Часы",INDEX(Техника!$G$1:$ABN$500,J$2,0),$A$277,INDEX(Техника!$H$1:$ABO$500,J$2,0),"П")</f>
        <v>0</v>
      </c>
      <c r="K280" s="50">
        <f>SUMIFS(INDEX(Техника!$F$1:$ABM$500,K$2,0),Техника!$F$4:$ABM$4,"Часы",INDEX(Техника!$G$1:$ABN$500,K$2,0),$A$277,INDEX(Техника!$H$1:$ABO$500,K$2,0),"П")</f>
        <v>0</v>
      </c>
      <c r="L280" s="50">
        <f>SUMIFS(INDEX(Техника!$F$1:$ABM$500,L$2,0),Техника!$F$4:$ABM$4,"Часы",INDEX(Техника!$G$1:$ABN$500,L$2,0),$A$277,INDEX(Техника!$H$1:$ABO$500,L$2,0),"П")</f>
        <v>0</v>
      </c>
      <c r="M280" s="50">
        <f>SUMIFS(INDEX(Техника!$F$1:$ABM$500,M$2,0),Техника!$F$4:$ABM$4,"Часы",INDEX(Техника!$G$1:$ABN$500,M$2,0),$A$277,INDEX(Техника!$H$1:$ABO$500,M$2,0),"П")</f>
        <v>0</v>
      </c>
      <c r="N280" s="50">
        <f>SUMIFS(INDEX(Техника!$F$1:$ABM$500,N$2,0),Техника!$F$4:$ABM$4,"Часы",INDEX(Техника!$G$1:$ABN$500,N$2,0),$A$277,INDEX(Техника!$H$1:$ABO$500,N$2,0),"П")</f>
        <v>0</v>
      </c>
      <c r="O280" s="50">
        <f>SUMIFS(INDEX(Техника!$F$1:$ABM$500,O$2,0),Техника!$F$4:$ABM$4,"Часы",INDEX(Техника!$G$1:$ABN$500,O$2,0),$A$277,INDEX(Техника!$H$1:$ABO$500,O$2,0),"П")</f>
        <v>0</v>
      </c>
      <c r="P280" s="50">
        <f>SUMIFS(INDEX(Техника!$F$1:$ABM$500,P$2,0),Техника!$F$4:$ABM$4,"Часы",INDEX(Техника!$G$1:$ABN$500,P$2,0),$A$277,INDEX(Техника!$H$1:$ABO$500,P$2,0),"П")</f>
        <v>0</v>
      </c>
      <c r="Q280" s="50">
        <f>SUMIFS(INDEX(Техника!$F$1:$ABM$500,Q$2,0),Техника!$F$4:$ABM$4,"Часы",INDEX(Техника!$G$1:$ABN$500,Q$2,0),$A$277,INDEX(Техника!$H$1:$ABO$500,Q$2,0),"П")</f>
        <v>0</v>
      </c>
      <c r="R280" s="50">
        <f>SUMIFS(INDEX(Техника!$F$1:$ABM$500,R$2,0),Техника!$F$4:$ABM$4,"Часы",INDEX(Техника!$G$1:$ABN$500,R$2,0),$A$277,INDEX(Техника!$H$1:$ABO$500,R$2,0),"П")</f>
        <v>0</v>
      </c>
      <c r="S280" s="50">
        <f>SUMIFS(INDEX(Техника!$F$1:$ABM$500,S$2,0),Техника!$F$4:$ABM$4,"Часы",INDEX(Техника!$G$1:$ABN$500,S$2,0),$A$277,INDEX(Техника!$H$1:$ABO$500,S$2,0),"П")</f>
        <v>0</v>
      </c>
      <c r="T280" s="50">
        <f>SUMIFS(INDEX(Техника!$F$1:$ABM$500,T$2,0),Техника!$F$4:$ABM$4,"Часы",INDEX(Техника!$G$1:$ABN$500,T$2,0),$A$277,INDEX(Техника!$H$1:$ABO$500,T$2,0),"П")</f>
        <v>0</v>
      </c>
      <c r="U280" s="50">
        <f>SUMIFS(INDEX(Техника!$F$1:$ABM$500,U$2,0),Техника!$F$4:$ABM$4,"Часы",INDEX(Техника!$G$1:$ABN$500,U$2,0),$A$277,INDEX(Техника!$H$1:$ABO$500,U$2,0),"П")</f>
        <v>0</v>
      </c>
      <c r="V280" s="50">
        <f>SUMIFS(INDEX(Техника!$F$1:$ABM$500,V$2,0),Техника!$F$4:$ABM$4,"Часы",INDEX(Техника!$G$1:$ABN$500,V$2,0),$A$277,INDEX(Техника!$H$1:$ABO$500,V$2,0),"П")</f>
        <v>0</v>
      </c>
      <c r="W280" s="50">
        <f>SUMIFS(INDEX(Техника!$F$1:$ABM$500,W$2,0),Техника!$F$4:$ABM$4,"Часы",INDEX(Техника!$G$1:$ABN$500,W$2,0),$A$277,INDEX(Техника!$H$1:$ABO$500,W$2,0),"П")</f>
        <v>0</v>
      </c>
      <c r="X280" s="50">
        <f>SUMIFS(INDEX(Техника!$F$1:$ABM$500,X$2,0),Техника!$F$4:$ABM$4,"Часы",INDEX(Техника!$G$1:$ABN$500,X$2,0),$A$277,INDEX(Техника!$H$1:$ABO$500,X$2,0),"П")</f>
        <v>0</v>
      </c>
      <c r="Y280" s="50">
        <f>SUMIFS(INDEX(Техника!$F$1:$ABM$500,Y$2,0),Техника!$F$4:$ABM$4,"Часы",INDEX(Техника!$G$1:$ABN$500,Y$2,0),$A$277,INDEX(Техника!$H$1:$ABO$500,Y$2,0),"П")</f>
        <v>0</v>
      </c>
      <c r="Z280" s="50">
        <f>SUMIFS(INDEX(Техника!$F$1:$ABM$500,Z$2,0),Техника!$F$4:$ABM$4,"Часы",INDEX(Техника!$G$1:$ABN$500,Z$2,0),$A$277,INDEX(Техника!$H$1:$ABO$500,Z$2,0),"П")</f>
        <v>0</v>
      </c>
      <c r="AA280" s="50">
        <f>SUMIFS(INDEX(Техника!$F$1:$ABM$500,AA$2,0),Техника!$F$4:$ABM$4,"Часы",INDEX(Техника!$G$1:$ABN$500,AA$2,0),$A$277,INDEX(Техника!$H$1:$ABO$500,AA$2,0),"П")</f>
        <v>0</v>
      </c>
      <c r="AB280" s="50">
        <f>SUMIFS(INDEX(Техника!$F$1:$ABM$500,AB$2,0),Техника!$F$4:$ABM$4,"Часы",INDEX(Техника!$G$1:$ABN$500,AB$2,0),$A$277,INDEX(Техника!$H$1:$ABO$500,AB$2,0),"П")</f>
        <v>0</v>
      </c>
    </row>
    <row r="281" spans="1:28" hidden="1" outlineLevel="1" x14ac:dyDescent="0.3">
      <c r="A281" s="33" t="s">
        <v>243</v>
      </c>
      <c r="B281" s="34" t="s">
        <v>278</v>
      </c>
      <c r="C281" s="50">
        <f>SUMIFS(INDEX(Техника!$F$1:$ABM$500,C$2,0),Техника!$F$4:$ABM$4,"Часы",INDEX(Техника!$G$1:$ABN$500,C$2,0),$A$277,INDEX(Техника!$H$1:$ABO$500,C$2,0),"Л")</f>
        <v>0</v>
      </c>
      <c r="D281" s="50">
        <f>SUMIFS(INDEX(Техника!$F$1:$ABM$500,D$2,0),Техника!$F$4:$ABM$4,"Часы",INDEX(Техника!$G$1:$ABN$500,D$2,0),$A$277,INDEX(Техника!$H$1:$ABO$500,D$2,0),"Л")</f>
        <v>0</v>
      </c>
      <c r="E281" s="50">
        <f>SUMIFS(INDEX(Техника!$F$1:$ABM$500,E$2,0),Техника!$F$4:$ABM$4,"Часы",INDEX(Техника!$G$1:$ABN$500,E$2,0),$A$277,INDEX(Техника!$H$1:$ABO$500,E$2,0),"Л")</f>
        <v>0</v>
      </c>
      <c r="F281" s="50">
        <f>SUMIFS(INDEX(Техника!$F$1:$ABM$500,F$2,0),Техника!$F$4:$ABM$4,"Часы",INDEX(Техника!$G$1:$ABN$500,F$2,0),$A$277,INDEX(Техника!$H$1:$ABO$500,F$2,0),"Л")</f>
        <v>0</v>
      </c>
      <c r="G281" s="50">
        <f>SUMIFS(INDEX(Техника!$F$1:$ABM$500,G$2,0),Техника!$F$4:$ABM$4,"Часы",INDEX(Техника!$G$1:$ABN$500,G$2,0),$A$277,INDEX(Техника!$H$1:$ABO$500,G$2,0),"Л")</f>
        <v>0</v>
      </c>
      <c r="H281" s="50">
        <f>SUMIFS(INDEX(Техника!$F$1:$ABM$500,H$2,0),Техника!$F$4:$ABM$4,"Часы",INDEX(Техника!$G$1:$ABN$500,H$2,0),$A$277,INDEX(Техника!$H$1:$ABO$500,H$2,0),"Л")</f>
        <v>0</v>
      </c>
      <c r="I281" s="50">
        <f>SUMIFS(INDEX(Техника!$F$1:$ABM$500,I$2,0),Техника!$F$4:$ABM$4,"Часы",INDEX(Техника!$G$1:$ABN$500,I$2,0),$A$277,INDEX(Техника!$H$1:$ABO$500,I$2,0),"Л")</f>
        <v>0</v>
      </c>
      <c r="J281" s="50">
        <f>SUMIFS(INDEX(Техника!$F$1:$ABM$500,J$2,0),Техника!$F$4:$ABM$4,"Часы",INDEX(Техника!$G$1:$ABN$500,J$2,0),$A$277,INDEX(Техника!$H$1:$ABO$500,J$2,0),"Л")</f>
        <v>0</v>
      </c>
      <c r="K281" s="50">
        <f>SUMIFS(INDEX(Техника!$F$1:$ABM$500,K$2,0),Техника!$F$4:$ABM$4,"Часы",INDEX(Техника!$G$1:$ABN$500,K$2,0),$A$277,INDEX(Техника!$H$1:$ABO$500,K$2,0),"Л")</f>
        <v>0</v>
      </c>
      <c r="L281" s="50">
        <f>SUMIFS(INDEX(Техника!$F$1:$ABM$500,L$2,0),Техника!$F$4:$ABM$4,"Часы",INDEX(Техника!$G$1:$ABN$500,L$2,0),$A$277,INDEX(Техника!$H$1:$ABO$500,L$2,0),"Л")</f>
        <v>0</v>
      </c>
      <c r="M281" s="50">
        <f>SUMIFS(INDEX(Техника!$F$1:$ABM$500,M$2,0),Техника!$F$4:$ABM$4,"Часы",INDEX(Техника!$G$1:$ABN$500,M$2,0),$A$277,INDEX(Техника!$H$1:$ABO$500,M$2,0),"Л")</f>
        <v>0</v>
      </c>
      <c r="N281" s="50">
        <f>SUMIFS(INDEX(Техника!$F$1:$ABM$500,N$2,0),Техника!$F$4:$ABM$4,"Часы",INDEX(Техника!$G$1:$ABN$500,N$2,0),$A$277,INDEX(Техника!$H$1:$ABO$500,N$2,0),"Л")</f>
        <v>0</v>
      </c>
      <c r="O281" s="50">
        <f>SUMIFS(INDEX(Техника!$F$1:$ABM$500,O$2,0),Техника!$F$4:$ABM$4,"Часы",INDEX(Техника!$G$1:$ABN$500,O$2,0),$A$277,INDEX(Техника!$H$1:$ABO$500,O$2,0),"Л")</f>
        <v>0</v>
      </c>
      <c r="P281" s="50">
        <f>SUMIFS(INDEX(Техника!$F$1:$ABM$500,P$2,0),Техника!$F$4:$ABM$4,"Часы",INDEX(Техника!$G$1:$ABN$500,P$2,0),$A$277,INDEX(Техника!$H$1:$ABO$500,P$2,0),"Л")</f>
        <v>0</v>
      </c>
      <c r="Q281" s="50">
        <f>SUMIFS(INDEX(Техника!$F$1:$ABM$500,Q$2,0),Техника!$F$4:$ABM$4,"Часы",INDEX(Техника!$G$1:$ABN$500,Q$2,0),$A$277,INDEX(Техника!$H$1:$ABO$500,Q$2,0),"Л")</f>
        <v>0</v>
      </c>
      <c r="R281" s="50">
        <f>SUMIFS(INDEX(Техника!$F$1:$ABM$500,R$2,0),Техника!$F$4:$ABM$4,"Часы",INDEX(Техника!$G$1:$ABN$500,R$2,0),$A$277,INDEX(Техника!$H$1:$ABO$500,R$2,0),"Л")</f>
        <v>0</v>
      </c>
      <c r="S281" s="50">
        <f>SUMIFS(INDEX(Техника!$F$1:$ABM$500,S$2,0),Техника!$F$4:$ABM$4,"Часы",INDEX(Техника!$G$1:$ABN$500,S$2,0),$A$277,INDEX(Техника!$H$1:$ABO$500,S$2,0),"Л")</f>
        <v>0</v>
      </c>
      <c r="T281" s="50">
        <f>SUMIFS(INDEX(Техника!$F$1:$ABM$500,T$2,0),Техника!$F$4:$ABM$4,"Часы",INDEX(Техника!$G$1:$ABN$500,T$2,0),$A$277,INDEX(Техника!$H$1:$ABO$500,T$2,0),"Л")</f>
        <v>0</v>
      </c>
      <c r="U281" s="50">
        <f>SUMIFS(INDEX(Техника!$F$1:$ABM$500,U$2,0),Техника!$F$4:$ABM$4,"Часы",INDEX(Техника!$G$1:$ABN$500,U$2,0),$A$277,INDEX(Техника!$H$1:$ABO$500,U$2,0),"Л")</f>
        <v>0</v>
      </c>
      <c r="V281" s="50">
        <f>SUMIFS(INDEX(Техника!$F$1:$ABM$500,V$2,0),Техника!$F$4:$ABM$4,"Часы",INDEX(Техника!$G$1:$ABN$500,V$2,0),$A$277,INDEX(Техника!$H$1:$ABO$500,V$2,0),"Л")</f>
        <v>0</v>
      </c>
      <c r="W281" s="50">
        <f>SUMIFS(INDEX(Техника!$F$1:$ABM$500,W$2,0),Техника!$F$4:$ABM$4,"Часы",INDEX(Техника!$G$1:$ABN$500,W$2,0),$A$277,INDEX(Техника!$H$1:$ABO$500,W$2,0),"Л")</f>
        <v>0</v>
      </c>
      <c r="X281" s="50">
        <f>SUMIFS(INDEX(Техника!$F$1:$ABM$500,X$2,0),Техника!$F$4:$ABM$4,"Часы",INDEX(Техника!$G$1:$ABN$500,X$2,0),$A$277,INDEX(Техника!$H$1:$ABO$500,X$2,0),"Л")</f>
        <v>0</v>
      </c>
      <c r="Y281" s="50">
        <f>SUMIFS(INDEX(Техника!$F$1:$ABM$500,Y$2,0),Техника!$F$4:$ABM$4,"Часы",INDEX(Техника!$G$1:$ABN$500,Y$2,0),$A$277,INDEX(Техника!$H$1:$ABO$500,Y$2,0),"Л")</f>
        <v>0</v>
      </c>
      <c r="Z281" s="50">
        <f>SUMIFS(INDEX(Техника!$F$1:$ABM$500,Z$2,0),Техника!$F$4:$ABM$4,"Часы",INDEX(Техника!$G$1:$ABN$500,Z$2,0),$A$277,INDEX(Техника!$H$1:$ABO$500,Z$2,0),"Л")</f>
        <v>0</v>
      </c>
      <c r="AA281" s="50">
        <f>SUMIFS(INDEX(Техника!$F$1:$ABM$500,AA$2,0),Техника!$F$4:$ABM$4,"Часы",INDEX(Техника!$G$1:$ABN$500,AA$2,0),$A$277,INDEX(Техника!$H$1:$ABO$500,AA$2,0),"Л")</f>
        <v>0</v>
      </c>
      <c r="AB281" s="50">
        <f>SUMIFS(INDEX(Техника!$F$1:$ABM$500,AB$2,0),Техника!$F$4:$ABM$4,"Часы",INDEX(Техника!$G$1:$ABN$500,AB$2,0),$A$277,INDEX(Техника!$H$1:$ABO$500,AB$2,0),"Л")</f>
        <v>0</v>
      </c>
    </row>
    <row r="282" spans="1:28" hidden="1" outlineLevel="1" x14ac:dyDescent="0.3">
      <c r="A282" s="33" t="s">
        <v>245</v>
      </c>
      <c r="B282" s="34" t="s">
        <v>279</v>
      </c>
      <c r="C282" s="50">
        <f>SUMIFS(INDEX(Техника!$F$1:$ABM$500,C$2,0),Техника!$F$4:$ABM$4,"Часы",INDEX(Техника!$G$1:$ABN$500,C$2,0),$A$277,INDEX(Техника!$H$1:$ABO$500,C$2,0),"З")</f>
        <v>0</v>
      </c>
      <c r="D282" s="50">
        <f>SUMIFS(INDEX(Техника!$F$1:$ABM$500,D$2,0),Техника!$F$4:$ABM$4,"Часы",INDEX(Техника!$G$1:$ABN$500,D$2,0),$A$277,INDEX(Техника!$H$1:$ABO$500,D$2,0),"З")</f>
        <v>0</v>
      </c>
      <c r="E282" s="50">
        <f>SUMIFS(INDEX(Техника!$F$1:$ABM$500,E$2,0),Техника!$F$4:$ABM$4,"Часы",INDEX(Техника!$G$1:$ABN$500,E$2,0),$A$277,INDEX(Техника!$H$1:$ABO$500,E$2,0),"З")</f>
        <v>0</v>
      </c>
      <c r="F282" s="50">
        <f>SUMIFS(INDEX(Техника!$F$1:$ABM$500,F$2,0),Техника!$F$4:$ABM$4,"Часы",INDEX(Техника!$G$1:$ABN$500,F$2,0),$A$277,INDEX(Техника!$H$1:$ABO$500,F$2,0),"З")</f>
        <v>0</v>
      </c>
      <c r="G282" s="50">
        <f>SUMIFS(INDEX(Техника!$F$1:$ABM$500,G$2,0),Техника!$F$4:$ABM$4,"Часы",INDEX(Техника!$G$1:$ABN$500,G$2,0),$A$277,INDEX(Техника!$H$1:$ABO$500,G$2,0),"З")</f>
        <v>0</v>
      </c>
      <c r="H282" s="50">
        <f>SUMIFS(INDEX(Техника!$F$1:$ABM$500,H$2,0),Техника!$F$4:$ABM$4,"Часы",INDEX(Техника!$G$1:$ABN$500,H$2,0),$A$277,INDEX(Техника!$H$1:$ABO$500,H$2,0),"З")</f>
        <v>0</v>
      </c>
      <c r="I282" s="50">
        <f>SUMIFS(INDEX(Техника!$F$1:$ABM$500,I$2,0),Техника!$F$4:$ABM$4,"Часы",INDEX(Техника!$G$1:$ABN$500,I$2,0),$A$277,INDEX(Техника!$H$1:$ABO$500,I$2,0),"З")</f>
        <v>0</v>
      </c>
      <c r="J282" s="50">
        <f>SUMIFS(INDEX(Техника!$F$1:$ABM$500,J$2,0),Техника!$F$4:$ABM$4,"Часы",INDEX(Техника!$G$1:$ABN$500,J$2,0),$A$277,INDEX(Техника!$H$1:$ABO$500,J$2,0),"З")</f>
        <v>0</v>
      </c>
      <c r="K282" s="50">
        <f>SUMIFS(INDEX(Техника!$F$1:$ABM$500,K$2,0),Техника!$F$4:$ABM$4,"Часы",INDEX(Техника!$G$1:$ABN$500,K$2,0),$A$277,INDEX(Техника!$H$1:$ABO$500,K$2,0),"З")</f>
        <v>0</v>
      </c>
      <c r="L282" s="50">
        <f>SUMIFS(INDEX(Техника!$F$1:$ABM$500,L$2,0),Техника!$F$4:$ABM$4,"Часы",INDEX(Техника!$G$1:$ABN$500,L$2,0),$A$277,INDEX(Техника!$H$1:$ABO$500,L$2,0),"З")</f>
        <v>0</v>
      </c>
      <c r="M282" s="50">
        <f>SUMIFS(INDEX(Техника!$F$1:$ABM$500,M$2,0),Техника!$F$4:$ABM$4,"Часы",INDEX(Техника!$G$1:$ABN$500,M$2,0),$A$277,INDEX(Техника!$H$1:$ABO$500,M$2,0),"З")</f>
        <v>0</v>
      </c>
      <c r="N282" s="50">
        <f>SUMIFS(INDEX(Техника!$F$1:$ABM$500,N$2,0),Техника!$F$4:$ABM$4,"Часы",INDEX(Техника!$G$1:$ABN$500,N$2,0),$A$277,INDEX(Техника!$H$1:$ABO$500,N$2,0),"З")</f>
        <v>0</v>
      </c>
      <c r="O282" s="50">
        <f>SUMIFS(INDEX(Техника!$F$1:$ABM$500,O$2,0),Техника!$F$4:$ABM$4,"Часы",INDEX(Техника!$G$1:$ABN$500,O$2,0),$A$277,INDEX(Техника!$H$1:$ABO$500,O$2,0),"З")</f>
        <v>0</v>
      </c>
      <c r="P282" s="50">
        <f>SUMIFS(INDEX(Техника!$F$1:$ABM$500,P$2,0),Техника!$F$4:$ABM$4,"Часы",INDEX(Техника!$G$1:$ABN$500,P$2,0),$A$277,INDEX(Техника!$H$1:$ABO$500,P$2,0),"З")</f>
        <v>0</v>
      </c>
      <c r="Q282" s="50">
        <f>SUMIFS(INDEX(Техника!$F$1:$ABM$500,Q$2,0),Техника!$F$4:$ABM$4,"Часы",INDEX(Техника!$G$1:$ABN$500,Q$2,0),$A$277,INDEX(Техника!$H$1:$ABO$500,Q$2,0),"З")</f>
        <v>0</v>
      </c>
      <c r="R282" s="50">
        <f>SUMIFS(INDEX(Техника!$F$1:$ABM$500,R$2,0),Техника!$F$4:$ABM$4,"Часы",INDEX(Техника!$G$1:$ABN$500,R$2,0),$A$277,INDEX(Техника!$H$1:$ABO$500,R$2,0),"З")</f>
        <v>0</v>
      </c>
      <c r="S282" s="50">
        <f>SUMIFS(INDEX(Техника!$F$1:$ABM$500,S$2,0),Техника!$F$4:$ABM$4,"Часы",INDEX(Техника!$G$1:$ABN$500,S$2,0),$A$277,INDEX(Техника!$H$1:$ABO$500,S$2,0),"З")</f>
        <v>0</v>
      </c>
      <c r="T282" s="50">
        <f>SUMIFS(INDEX(Техника!$F$1:$ABM$500,T$2,0),Техника!$F$4:$ABM$4,"Часы",INDEX(Техника!$G$1:$ABN$500,T$2,0),$A$277,INDEX(Техника!$H$1:$ABO$500,T$2,0),"З")</f>
        <v>0</v>
      </c>
      <c r="U282" s="50">
        <f>SUMIFS(INDEX(Техника!$F$1:$ABM$500,U$2,0),Техника!$F$4:$ABM$4,"Часы",INDEX(Техника!$G$1:$ABN$500,U$2,0),$A$277,INDEX(Техника!$H$1:$ABO$500,U$2,0),"З")</f>
        <v>0</v>
      </c>
      <c r="V282" s="50">
        <f>SUMIFS(INDEX(Техника!$F$1:$ABM$500,V$2,0),Техника!$F$4:$ABM$4,"Часы",INDEX(Техника!$G$1:$ABN$500,V$2,0),$A$277,INDEX(Техника!$H$1:$ABO$500,V$2,0),"З")</f>
        <v>0</v>
      </c>
      <c r="W282" s="50">
        <f>SUMIFS(INDEX(Техника!$F$1:$ABM$500,W$2,0),Техника!$F$4:$ABM$4,"Часы",INDEX(Техника!$G$1:$ABN$500,W$2,0),$A$277,INDEX(Техника!$H$1:$ABO$500,W$2,0),"З")</f>
        <v>0</v>
      </c>
      <c r="X282" s="50">
        <f>SUMIFS(INDEX(Техника!$F$1:$ABM$500,X$2,0),Техника!$F$4:$ABM$4,"Часы",INDEX(Техника!$G$1:$ABN$500,X$2,0),$A$277,INDEX(Техника!$H$1:$ABO$500,X$2,0),"З")</f>
        <v>0</v>
      </c>
      <c r="Y282" s="50">
        <f>SUMIFS(INDEX(Техника!$F$1:$ABM$500,Y$2,0),Техника!$F$4:$ABM$4,"Часы",INDEX(Техника!$G$1:$ABN$500,Y$2,0),$A$277,INDEX(Техника!$H$1:$ABO$500,Y$2,0),"З")</f>
        <v>0</v>
      </c>
      <c r="Z282" s="50">
        <f>SUMIFS(INDEX(Техника!$F$1:$ABM$500,Z$2,0),Техника!$F$4:$ABM$4,"Часы",INDEX(Техника!$G$1:$ABN$500,Z$2,0),$A$277,INDEX(Техника!$H$1:$ABO$500,Z$2,0),"З")</f>
        <v>0</v>
      </c>
      <c r="AA282" s="50">
        <f>SUMIFS(INDEX(Техника!$F$1:$ABM$500,AA$2,0),Техника!$F$4:$ABM$4,"Часы",INDEX(Техника!$G$1:$ABN$500,AA$2,0),$A$277,INDEX(Техника!$H$1:$ABO$500,AA$2,0),"З")</f>
        <v>0</v>
      </c>
      <c r="AB282" s="50">
        <f>SUMIFS(INDEX(Техника!$F$1:$ABM$500,AB$2,0),Техника!$F$4:$ABM$4,"Часы",INDEX(Техника!$G$1:$ABN$500,AB$2,0),$A$277,INDEX(Техника!$H$1:$ABO$500,AB$2,0),"З")</f>
        <v>0</v>
      </c>
    </row>
    <row r="283" spans="1:28" ht="7.95" customHeight="1" x14ac:dyDescent="0.3">
      <c r="A283" s="38"/>
      <c r="B283" s="39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</row>
    <row r="284" spans="1:28" ht="25.05" customHeight="1" collapsed="1" x14ac:dyDescent="0.3">
      <c r="A284" s="32">
        <v>41</v>
      </c>
      <c r="B284" s="32" t="s">
        <v>42</v>
      </c>
      <c r="C284" s="49">
        <f>SUM(C285:C289)</f>
        <v>0</v>
      </c>
      <c r="D284" s="49">
        <f>SUM(D285:D289)</f>
        <v>0</v>
      </c>
      <c r="E284" s="49">
        <f>SUM(E285:E289)</f>
        <v>0</v>
      </c>
      <c r="F284" s="49">
        <f>SUM(F285:F289)</f>
        <v>0</v>
      </c>
      <c r="G284" s="49">
        <f>SUM(G285:G289)</f>
        <v>0</v>
      </c>
      <c r="H284" s="49">
        <f>SUM(H285:H289)</f>
        <v>0</v>
      </c>
      <c r="I284" s="49">
        <f>SUM(I285:I289)</f>
        <v>0</v>
      </c>
      <c r="J284" s="49">
        <f>SUM(J285:J289)</f>
        <v>0</v>
      </c>
      <c r="K284" s="49">
        <f>SUM(K285:K289)</f>
        <v>0</v>
      </c>
      <c r="L284" s="49">
        <f>SUM(L285:L289)</f>
        <v>0</v>
      </c>
      <c r="M284" s="49">
        <f>SUM(M285:M289)</f>
        <v>0</v>
      </c>
      <c r="N284" s="49">
        <f>SUM(N285:N289)</f>
        <v>0</v>
      </c>
      <c r="O284" s="49">
        <f>SUM(O285:O289)</f>
        <v>0</v>
      </c>
      <c r="P284" s="49">
        <f>SUM(P285:P289)</f>
        <v>0</v>
      </c>
      <c r="Q284" s="49">
        <f>SUM(Q285:Q289)</f>
        <v>0</v>
      </c>
      <c r="R284" s="49">
        <f>SUM(R285:R289)</f>
        <v>0</v>
      </c>
      <c r="S284" s="49">
        <f>SUM(S285:S289)</f>
        <v>0</v>
      </c>
      <c r="T284" s="49">
        <f>SUM(T285:T289)</f>
        <v>0</v>
      </c>
      <c r="U284" s="49">
        <f>SUM(U285:U289)</f>
        <v>0</v>
      </c>
      <c r="V284" s="49">
        <f>SUM(V285:V289)</f>
        <v>0</v>
      </c>
      <c r="W284" s="49">
        <f>SUM(W285:W289)</f>
        <v>0</v>
      </c>
      <c r="X284" s="49">
        <f>SUM(X285:X289)</f>
        <v>0</v>
      </c>
      <c r="Y284" s="49">
        <f>SUM(Y285:Y289)</f>
        <v>0</v>
      </c>
      <c r="Z284" s="49">
        <f>SUM(Z285:Z289)</f>
        <v>0</v>
      </c>
      <c r="AA284" s="49">
        <f>SUM(AA285:AA289)</f>
        <v>0</v>
      </c>
      <c r="AB284" s="49">
        <f>SUM(AB285:AB289)</f>
        <v>0</v>
      </c>
    </row>
    <row r="285" spans="1:28" hidden="1" outlineLevel="1" x14ac:dyDescent="0.3">
      <c r="A285" s="33" t="s">
        <v>246</v>
      </c>
      <c r="B285" s="34" t="s">
        <v>274</v>
      </c>
      <c r="C285" s="50">
        <f>SUMIFS(INDEX(Техника!$F$1:$ABM$500,C$2,0),Техника!$F$4:$ABM$4,"Часы",INDEX(Техника!$G$1:$ABN$500,C$2,0),$A$284,INDEX(Техника!$H$1:$ABO$500,C$2,0),"М")</f>
        <v>0</v>
      </c>
      <c r="D285" s="50">
        <f>SUMIFS(INDEX(Техника!$F$1:$ABM$500,D$2,0),Техника!$F$4:$ABM$4,"Часы",INDEX(Техника!$G$1:$ABN$500,D$2,0),$A$284,INDEX(Техника!$H$1:$ABO$500,D$2,0),"М")</f>
        <v>0</v>
      </c>
      <c r="E285" s="50">
        <f>SUMIFS(INDEX(Техника!$F$1:$ABM$500,E$2,0),Техника!$F$4:$ABM$4,"Часы",INDEX(Техника!$G$1:$ABN$500,E$2,0),$A$284,INDEX(Техника!$H$1:$ABO$500,E$2,0),"М")</f>
        <v>0</v>
      </c>
      <c r="F285" s="50">
        <f>SUMIFS(INDEX(Техника!$F$1:$ABM$500,F$2,0),Техника!$F$4:$ABM$4,"Часы",INDEX(Техника!$G$1:$ABN$500,F$2,0),$A$284,INDEX(Техника!$H$1:$ABO$500,F$2,0),"М")</f>
        <v>0</v>
      </c>
      <c r="G285" s="50">
        <f>SUMIFS(INDEX(Техника!$F$1:$ABM$500,G$2,0),Техника!$F$4:$ABM$4,"Часы",INDEX(Техника!$G$1:$ABN$500,G$2,0),$A$284,INDEX(Техника!$H$1:$ABO$500,G$2,0),"М")</f>
        <v>0</v>
      </c>
      <c r="H285" s="50">
        <f>SUMIFS(INDEX(Техника!$F$1:$ABM$500,H$2,0),Техника!$F$4:$ABM$4,"Часы",INDEX(Техника!$G$1:$ABN$500,H$2,0),$A$284,INDEX(Техника!$H$1:$ABO$500,H$2,0),"М")</f>
        <v>0</v>
      </c>
      <c r="I285" s="50">
        <f>SUMIFS(INDEX(Техника!$F$1:$ABM$500,I$2,0),Техника!$F$4:$ABM$4,"Часы",INDEX(Техника!$G$1:$ABN$500,I$2,0),$A$284,INDEX(Техника!$H$1:$ABO$500,I$2,0),"М")</f>
        <v>0</v>
      </c>
      <c r="J285" s="50">
        <f>SUMIFS(INDEX(Техника!$F$1:$ABM$500,J$2,0),Техника!$F$4:$ABM$4,"Часы",INDEX(Техника!$G$1:$ABN$500,J$2,0),$A$284,INDEX(Техника!$H$1:$ABO$500,J$2,0),"М")</f>
        <v>0</v>
      </c>
      <c r="K285" s="50">
        <f>SUMIFS(INDEX(Техника!$F$1:$ABM$500,K$2,0),Техника!$F$4:$ABM$4,"Часы",INDEX(Техника!$G$1:$ABN$500,K$2,0),$A$284,INDEX(Техника!$H$1:$ABO$500,K$2,0),"М")</f>
        <v>0</v>
      </c>
      <c r="L285" s="50">
        <f>SUMIFS(INDEX(Техника!$F$1:$ABM$500,L$2,0),Техника!$F$4:$ABM$4,"Часы",INDEX(Техника!$G$1:$ABN$500,L$2,0),$A$284,INDEX(Техника!$H$1:$ABO$500,L$2,0),"М")</f>
        <v>0</v>
      </c>
      <c r="M285" s="50">
        <f>SUMIFS(INDEX(Техника!$F$1:$ABM$500,M$2,0),Техника!$F$4:$ABM$4,"Часы",INDEX(Техника!$G$1:$ABN$500,M$2,0),$A$284,INDEX(Техника!$H$1:$ABO$500,M$2,0),"М")</f>
        <v>0</v>
      </c>
      <c r="N285" s="50">
        <f>SUMIFS(INDEX(Техника!$F$1:$ABM$500,N$2,0),Техника!$F$4:$ABM$4,"Часы",INDEX(Техника!$G$1:$ABN$500,N$2,0),$A$284,INDEX(Техника!$H$1:$ABO$500,N$2,0),"М")</f>
        <v>0</v>
      </c>
      <c r="O285" s="50">
        <f>SUMIFS(INDEX(Техника!$F$1:$ABM$500,O$2,0),Техника!$F$4:$ABM$4,"Часы",INDEX(Техника!$G$1:$ABN$500,O$2,0),$A$284,INDEX(Техника!$H$1:$ABO$500,O$2,0),"М")</f>
        <v>0</v>
      </c>
      <c r="P285" s="50">
        <f>SUMIFS(INDEX(Техника!$F$1:$ABM$500,P$2,0),Техника!$F$4:$ABM$4,"Часы",INDEX(Техника!$G$1:$ABN$500,P$2,0),$A$284,INDEX(Техника!$H$1:$ABO$500,P$2,0),"М")</f>
        <v>0</v>
      </c>
      <c r="Q285" s="50">
        <f>SUMIFS(INDEX(Техника!$F$1:$ABM$500,Q$2,0),Техника!$F$4:$ABM$4,"Часы",INDEX(Техника!$G$1:$ABN$500,Q$2,0),$A$284,INDEX(Техника!$H$1:$ABO$500,Q$2,0),"М")</f>
        <v>0</v>
      </c>
      <c r="R285" s="50">
        <f>SUMIFS(INDEX(Техника!$F$1:$ABM$500,R$2,0),Техника!$F$4:$ABM$4,"Часы",INDEX(Техника!$G$1:$ABN$500,R$2,0),$A$284,INDEX(Техника!$H$1:$ABO$500,R$2,0),"М")</f>
        <v>0</v>
      </c>
      <c r="S285" s="50">
        <f>SUMIFS(INDEX(Техника!$F$1:$ABM$500,S$2,0),Техника!$F$4:$ABM$4,"Часы",INDEX(Техника!$G$1:$ABN$500,S$2,0),$A$284,INDEX(Техника!$H$1:$ABO$500,S$2,0),"М")</f>
        <v>0</v>
      </c>
      <c r="T285" s="50">
        <f>SUMIFS(INDEX(Техника!$F$1:$ABM$500,T$2,0),Техника!$F$4:$ABM$4,"Часы",INDEX(Техника!$G$1:$ABN$500,T$2,0),$A$284,INDEX(Техника!$H$1:$ABO$500,T$2,0),"М")</f>
        <v>0</v>
      </c>
      <c r="U285" s="50">
        <f>SUMIFS(INDEX(Техника!$F$1:$ABM$500,U$2,0),Техника!$F$4:$ABM$4,"Часы",INDEX(Техника!$G$1:$ABN$500,U$2,0),$A$284,INDEX(Техника!$H$1:$ABO$500,U$2,0),"М")</f>
        <v>0</v>
      </c>
      <c r="V285" s="50">
        <f>SUMIFS(INDEX(Техника!$F$1:$ABM$500,V$2,0),Техника!$F$4:$ABM$4,"Часы",INDEX(Техника!$G$1:$ABN$500,V$2,0),$A$284,INDEX(Техника!$H$1:$ABO$500,V$2,0),"М")</f>
        <v>0</v>
      </c>
      <c r="W285" s="50">
        <f>SUMIFS(INDEX(Техника!$F$1:$ABM$500,W$2,0),Техника!$F$4:$ABM$4,"Часы",INDEX(Техника!$G$1:$ABN$500,W$2,0),$A$284,INDEX(Техника!$H$1:$ABO$500,W$2,0),"М")</f>
        <v>0</v>
      </c>
      <c r="X285" s="50">
        <f>SUMIFS(INDEX(Техника!$F$1:$ABM$500,X$2,0),Техника!$F$4:$ABM$4,"Часы",INDEX(Техника!$G$1:$ABN$500,X$2,0),$A$284,INDEX(Техника!$H$1:$ABO$500,X$2,0),"М")</f>
        <v>0</v>
      </c>
      <c r="Y285" s="50">
        <f>SUMIFS(INDEX(Техника!$F$1:$ABM$500,Y$2,0),Техника!$F$4:$ABM$4,"Часы",INDEX(Техника!$G$1:$ABN$500,Y$2,0),$A$284,INDEX(Техника!$H$1:$ABO$500,Y$2,0),"М")</f>
        <v>0</v>
      </c>
      <c r="Z285" s="50">
        <f>SUMIFS(INDEX(Техника!$F$1:$ABM$500,Z$2,0),Техника!$F$4:$ABM$4,"Часы",INDEX(Техника!$G$1:$ABN$500,Z$2,0),$A$284,INDEX(Техника!$H$1:$ABO$500,Z$2,0),"М")</f>
        <v>0</v>
      </c>
      <c r="AA285" s="50">
        <f>SUMIFS(INDEX(Техника!$F$1:$ABM$500,AA$2,0),Техника!$F$4:$ABM$4,"Часы",INDEX(Техника!$G$1:$ABN$500,AA$2,0),$A$284,INDEX(Техника!$H$1:$ABO$500,AA$2,0),"М")</f>
        <v>0</v>
      </c>
      <c r="AB285" s="50">
        <f>SUMIFS(INDEX(Техника!$F$1:$ABM$500,AB$2,0),Техника!$F$4:$ABM$4,"Часы",INDEX(Техника!$G$1:$ABN$500,AB$2,0),$A$284,INDEX(Техника!$H$1:$ABO$500,AB$2,0),"М")</f>
        <v>0</v>
      </c>
    </row>
    <row r="286" spans="1:28" hidden="1" outlineLevel="1" x14ac:dyDescent="0.3">
      <c r="A286" s="33" t="s">
        <v>244</v>
      </c>
      <c r="B286" s="34" t="s">
        <v>275</v>
      </c>
      <c r="C286" s="50">
        <f>SUMIFS(INDEX(Техника!$F$1:$ABM$500,C$2,0),Техника!$F$4:$ABM$4,"Часы",INDEX(Техника!$G$1:$ABN$500,C$2,0),$A$284,INDEX(Техника!$H$1:$ABO$500,C$2,0),"Д")</f>
        <v>0</v>
      </c>
      <c r="D286" s="50">
        <f>SUMIFS(INDEX(Техника!$F$1:$ABM$500,D$2,0),Техника!$F$4:$ABM$4,"Часы",INDEX(Техника!$G$1:$ABN$500,D$2,0),$A$284,INDEX(Техника!$H$1:$ABO$500,D$2,0),"Д")</f>
        <v>0</v>
      </c>
      <c r="E286" s="50">
        <f>SUMIFS(INDEX(Техника!$F$1:$ABM$500,E$2,0),Техника!$F$4:$ABM$4,"Часы",INDEX(Техника!$G$1:$ABN$500,E$2,0),$A$284,INDEX(Техника!$H$1:$ABO$500,E$2,0),"Д")</f>
        <v>0</v>
      </c>
      <c r="F286" s="50">
        <f>SUMIFS(INDEX(Техника!$F$1:$ABM$500,F$2,0),Техника!$F$4:$ABM$4,"Часы",INDEX(Техника!$G$1:$ABN$500,F$2,0),$A$284,INDEX(Техника!$H$1:$ABO$500,F$2,0),"Д")</f>
        <v>0</v>
      </c>
      <c r="G286" s="50">
        <f>SUMIFS(INDEX(Техника!$F$1:$ABM$500,G$2,0),Техника!$F$4:$ABM$4,"Часы",INDEX(Техника!$G$1:$ABN$500,G$2,0),$A$284,INDEX(Техника!$H$1:$ABO$500,G$2,0),"Д")</f>
        <v>0</v>
      </c>
      <c r="H286" s="50">
        <f>SUMIFS(INDEX(Техника!$F$1:$ABM$500,H$2,0),Техника!$F$4:$ABM$4,"Часы",INDEX(Техника!$G$1:$ABN$500,H$2,0),$A$284,INDEX(Техника!$H$1:$ABO$500,H$2,0),"Д")</f>
        <v>0</v>
      </c>
      <c r="I286" s="50">
        <f>SUMIFS(INDEX(Техника!$F$1:$ABM$500,I$2,0),Техника!$F$4:$ABM$4,"Часы",INDEX(Техника!$G$1:$ABN$500,I$2,0),$A$284,INDEX(Техника!$H$1:$ABO$500,I$2,0),"Д")</f>
        <v>0</v>
      </c>
      <c r="J286" s="50">
        <f>SUMIFS(INDEX(Техника!$F$1:$ABM$500,J$2,0),Техника!$F$4:$ABM$4,"Часы",INDEX(Техника!$G$1:$ABN$500,J$2,0),$A$284,INDEX(Техника!$H$1:$ABO$500,J$2,0),"Д")</f>
        <v>0</v>
      </c>
      <c r="K286" s="50">
        <f>SUMIFS(INDEX(Техника!$F$1:$ABM$500,K$2,0),Техника!$F$4:$ABM$4,"Часы",INDEX(Техника!$G$1:$ABN$500,K$2,0),$A$284,INDEX(Техника!$H$1:$ABO$500,K$2,0),"Д")</f>
        <v>0</v>
      </c>
      <c r="L286" s="50">
        <f>SUMIFS(INDEX(Техника!$F$1:$ABM$500,L$2,0),Техника!$F$4:$ABM$4,"Часы",INDEX(Техника!$G$1:$ABN$500,L$2,0),$A$284,INDEX(Техника!$H$1:$ABO$500,L$2,0),"Д")</f>
        <v>0</v>
      </c>
      <c r="M286" s="50">
        <f>SUMIFS(INDEX(Техника!$F$1:$ABM$500,M$2,0),Техника!$F$4:$ABM$4,"Часы",INDEX(Техника!$G$1:$ABN$500,M$2,0),$A$284,INDEX(Техника!$H$1:$ABO$500,M$2,0),"Д")</f>
        <v>0</v>
      </c>
      <c r="N286" s="50">
        <f>SUMIFS(INDEX(Техника!$F$1:$ABM$500,N$2,0),Техника!$F$4:$ABM$4,"Часы",INDEX(Техника!$G$1:$ABN$500,N$2,0),$A$284,INDEX(Техника!$H$1:$ABO$500,N$2,0),"Д")</f>
        <v>0</v>
      </c>
      <c r="O286" s="50">
        <f>SUMIFS(INDEX(Техника!$F$1:$ABM$500,O$2,0),Техника!$F$4:$ABM$4,"Часы",INDEX(Техника!$G$1:$ABN$500,O$2,0),$A$284,INDEX(Техника!$H$1:$ABO$500,O$2,0),"Д")</f>
        <v>0</v>
      </c>
      <c r="P286" s="50">
        <f>SUMIFS(INDEX(Техника!$F$1:$ABM$500,P$2,0),Техника!$F$4:$ABM$4,"Часы",INDEX(Техника!$G$1:$ABN$500,P$2,0),$A$284,INDEX(Техника!$H$1:$ABO$500,P$2,0),"Д")</f>
        <v>0</v>
      </c>
      <c r="Q286" s="50">
        <f>SUMIFS(INDEX(Техника!$F$1:$ABM$500,Q$2,0),Техника!$F$4:$ABM$4,"Часы",INDEX(Техника!$G$1:$ABN$500,Q$2,0),$A$284,INDEX(Техника!$H$1:$ABO$500,Q$2,0),"Д")</f>
        <v>0</v>
      </c>
      <c r="R286" s="50">
        <f>SUMIFS(INDEX(Техника!$F$1:$ABM$500,R$2,0),Техника!$F$4:$ABM$4,"Часы",INDEX(Техника!$G$1:$ABN$500,R$2,0),$A$284,INDEX(Техника!$H$1:$ABO$500,R$2,0),"Д")</f>
        <v>0</v>
      </c>
      <c r="S286" s="50">
        <f>SUMIFS(INDEX(Техника!$F$1:$ABM$500,S$2,0),Техника!$F$4:$ABM$4,"Часы",INDEX(Техника!$G$1:$ABN$500,S$2,0),$A$284,INDEX(Техника!$H$1:$ABO$500,S$2,0),"Д")</f>
        <v>0</v>
      </c>
      <c r="T286" s="50">
        <f>SUMIFS(INDEX(Техника!$F$1:$ABM$500,T$2,0),Техника!$F$4:$ABM$4,"Часы",INDEX(Техника!$G$1:$ABN$500,T$2,0),$A$284,INDEX(Техника!$H$1:$ABO$500,T$2,0),"Д")</f>
        <v>0</v>
      </c>
      <c r="U286" s="50">
        <f>SUMIFS(INDEX(Техника!$F$1:$ABM$500,U$2,0),Техника!$F$4:$ABM$4,"Часы",INDEX(Техника!$G$1:$ABN$500,U$2,0),$A$284,INDEX(Техника!$H$1:$ABO$500,U$2,0),"Д")</f>
        <v>0</v>
      </c>
      <c r="V286" s="50">
        <f>SUMIFS(INDEX(Техника!$F$1:$ABM$500,V$2,0),Техника!$F$4:$ABM$4,"Часы",INDEX(Техника!$G$1:$ABN$500,V$2,0),$A$284,INDEX(Техника!$H$1:$ABO$500,V$2,0),"Д")</f>
        <v>0</v>
      </c>
      <c r="W286" s="50">
        <f>SUMIFS(INDEX(Техника!$F$1:$ABM$500,W$2,0),Техника!$F$4:$ABM$4,"Часы",INDEX(Техника!$G$1:$ABN$500,W$2,0),$A$284,INDEX(Техника!$H$1:$ABO$500,W$2,0),"Д")</f>
        <v>0</v>
      </c>
      <c r="X286" s="50">
        <f>SUMIFS(INDEX(Техника!$F$1:$ABM$500,X$2,0),Техника!$F$4:$ABM$4,"Часы",INDEX(Техника!$G$1:$ABN$500,X$2,0),$A$284,INDEX(Техника!$H$1:$ABO$500,X$2,0),"Д")</f>
        <v>0</v>
      </c>
      <c r="Y286" s="50">
        <f>SUMIFS(INDEX(Техника!$F$1:$ABM$500,Y$2,0),Техника!$F$4:$ABM$4,"Часы",INDEX(Техника!$G$1:$ABN$500,Y$2,0),$A$284,INDEX(Техника!$H$1:$ABO$500,Y$2,0),"Д")</f>
        <v>0</v>
      </c>
      <c r="Z286" s="50">
        <f>SUMIFS(INDEX(Техника!$F$1:$ABM$500,Z$2,0),Техника!$F$4:$ABM$4,"Часы",INDEX(Техника!$G$1:$ABN$500,Z$2,0),$A$284,INDEX(Техника!$H$1:$ABO$500,Z$2,0),"Д")</f>
        <v>0</v>
      </c>
      <c r="AA286" s="50">
        <f>SUMIFS(INDEX(Техника!$F$1:$ABM$500,AA$2,0),Техника!$F$4:$ABM$4,"Часы",INDEX(Техника!$G$1:$ABN$500,AA$2,0),$A$284,INDEX(Техника!$H$1:$ABO$500,AA$2,0),"Д")</f>
        <v>0</v>
      </c>
      <c r="AB286" s="50">
        <f>SUMIFS(INDEX(Техника!$F$1:$ABM$500,AB$2,0),Техника!$F$4:$ABM$4,"Часы",INDEX(Техника!$G$1:$ABN$500,AB$2,0),$A$284,INDEX(Техника!$H$1:$ABO$500,AB$2,0),"Д")</f>
        <v>0</v>
      </c>
    </row>
    <row r="287" spans="1:28" hidden="1" outlineLevel="1" x14ac:dyDescent="0.3">
      <c r="A287" s="33" t="s">
        <v>276</v>
      </c>
      <c r="B287" s="34" t="s">
        <v>277</v>
      </c>
      <c r="C287" s="50">
        <f>SUMIFS(INDEX(Техника!$F$1:$ABM$500,C$2,0),Техника!$F$4:$ABM$4,"Часы",INDEX(Техника!$G$1:$ABN$500,C$2,0),$A$284,INDEX(Техника!$H$1:$ABO$500,C$2,0),"П")</f>
        <v>0</v>
      </c>
      <c r="D287" s="50">
        <f>SUMIFS(INDEX(Техника!$F$1:$ABM$500,D$2,0),Техника!$F$4:$ABM$4,"Часы",INDEX(Техника!$G$1:$ABN$500,D$2,0),$A$284,INDEX(Техника!$H$1:$ABO$500,D$2,0),"П")</f>
        <v>0</v>
      </c>
      <c r="E287" s="50">
        <f>SUMIFS(INDEX(Техника!$F$1:$ABM$500,E$2,0),Техника!$F$4:$ABM$4,"Часы",INDEX(Техника!$G$1:$ABN$500,E$2,0),$A$284,INDEX(Техника!$H$1:$ABO$500,E$2,0),"П")</f>
        <v>0</v>
      </c>
      <c r="F287" s="50">
        <f>SUMIFS(INDEX(Техника!$F$1:$ABM$500,F$2,0),Техника!$F$4:$ABM$4,"Часы",INDEX(Техника!$G$1:$ABN$500,F$2,0),$A$284,INDEX(Техника!$H$1:$ABO$500,F$2,0),"П")</f>
        <v>0</v>
      </c>
      <c r="G287" s="50">
        <f>SUMIFS(INDEX(Техника!$F$1:$ABM$500,G$2,0),Техника!$F$4:$ABM$4,"Часы",INDEX(Техника!$G$1:$ABN$500,G$2,0),$A$284,INDEX(Техника!$H$1:$ABO$500,G$2,0),"П")</f>
        <v>0</v>
      </c>
      <c r="H287" s="50">
        <f>SUMIFS(INDEX(Техника!$F$1:$ABM$500,H$2,0),Техника!$F$4:$ABM$4,"Часы",INDEX(Техника!$G$1:$ABN$500,H$2,0),$A$284,INDEX(Техника!$H$1:$ABO$500,H$2,0),"П")</f>
        <v>0</v>
      </c>
      <c r="I287" s="50">
        <f>SUMIFS(INDEX(Техника!$F$1:$ABM$500,I$2,0),Техника!$F$4:$ABM$4,"Часы",INDEX(Техника!$G$1:$ABN$500,I$2,0),$A$284,INDEX(Техника!$H$1:$ABO$500,I$2,0),"П")</f>
        <v>0</v>
      </c>
      <c r="J287" s="50">
        <f>SUMIFS(INDEX(Техника!$F$1:$ABM$500,J$2,0),Техника!$F$4:$ABM$4,"Часы",INDEX(Техника!$G$1:$ABN$500,J$2,0),$A$284,INDEX(Техника!$H$1:$ABO$500,J$2,0),"П")</f>
        <v>0</v>
      </c>
      <c r="K287" s="50">
        <f>SUMIFS(INDEX(Техника!$F$1:$ABM$500,K$2,0),Техника!$F$4:$ABM$4,"Часы",INDEX(Техника!$G$1:$ABN$500,K$2,0),$A$284,INDEX(Техника!$H$1:$ABO$500,K$2,0),"П")</f>
        <v>0</v>
      </c>
      <c r="L287" s="50">
        <f>SUMIFS(INDEX(Техника!$F$1:$ABM$500,L$2,0),Техника!$F$4:$ABM$4,"Часы",INDEX(Техника!$G$1:$ABN$500,L$2,0),$A$284,INDEX(Техника!$H$1:$ABO$500,L$2,0),"П")</f>
        <v>0</v>
      </c>
      <c r="M287" s="50">
        <f>SUMIFS(INDEX(Техника!$F$1:$ABM$500,M$2,0),Техника!$F$4:$ABM$4,"Часы",INDEX(Техника!$G$1:$ABN$500,M$2,0),$A$284,INDEX(Техника!$H$1:$ABO$500,M$2,0),"П")</f>
        <v>0</v>
      </c>
      <c r="N287" s="50">
        <f>SUMIFS(INDEX(Техника!$F$1:$ABM$500,N$2,0),Техника!$F$4:$ABM$4,"Часы",INDEX(Техника!$G$1:$ABN$500,N$2,0),$A$284,INDEX(Техника!$H$1:$ABO$500,N$2,0),"П")</f>
        <v>0</v>
      </c>
      <c r="O287" s="50">
        <f>SUMIFS(INDEX(Техника!$F$1:$ABM$500,O$2,0),Техника!$F$4:$ABM$4,"Часы",INDEX(Техника!$G$1:$ABN$500,O$2,0),$A$284,INDEX(Техника!$H$1:$ABO$500,O$2,0),"П")</f>
        <v>0</v>
      </c>
      <c r="P287" s="50">
        <f>SUMIFS(INDEX(Техника!$F$1:$ABM$500,P$2,0),Техника!$F$4:$ABM$4,"Часы",INDEX(Техника!$G$1:$ABN$500,P$2,0),$A$284,INDEX(Техника!$H$1:$ABO$500,P$2,0),"П")</f>
        <v>0</v>
      </c>
      <c r="Q287" s="50">
        <f>SUMIFS(INDEX(Техника!$F$1:$ABM$500,Q$2,0),Техника!$F$4:$ABM$4,"Часы",INDEX(Техника!$G$1:$ABN$500,Q$2,0),$A$284,INDEX(Техника!$H$1:$ABO$500,Q$2,0),"П")</f>
        <v>0</v>
      </c>
      <c r="R287" s="50">
        <f>SUMIFS(INDEX(Техника!$F$1:$ABM$500,R$2,0),Техника!$F$4:$ABM$4,"Часы",INDEX(Техника!$G$1:$ABN$500,R$2,0),$A$284,INDEX(Техника!$H$1:$ABO$500,R$2,0),"П")</f>
        <v>0</v>
      </c>
      <c r="S287" s="50">
        <f>SUMIFS(INDEX(Техника!$F$1:$ABM$500,S$2,0),Техника!$F$4:$ABM$4,"Часы",INDEX(Техника!$G$1:$ABN$500,S$2,0),$A$284,INDEX(Техника!$H$1:$ABO$500,S$2,0),"П")</f>
        <v>0</v>
      </c>
      <c r="T287" s="50">
        <f>SUMIFS(INDEX(Техника!$F$1:$ABM$500,T$2,0),Техника!$F$4:$ABM$4,"Часы",INDEX(Техника!$G$1:$ABN$500,T$2,0),$A$284,INDEX(Техника!$H$1:$ABO$500,T$2,0),"П")</f>
        <v>0</v>
      </c>
      <c r="U287" s="50">
        <f>SUMIFS(INDEX(Техника!$F$1:$ABM$500,U$2,0),Техника!$F$4:$ABM$4,"Часы",INDEX(Техника!$G$1:$ABN$500,U$2,0),$A$284,INDEX(Техника!$H$1:$ABO$500,U$2,0),"П")</f>
        <v>0</v>
      </c>
      <c r="V287" s="50">
        <f>SUMIFS(INDEX(Техника!$F$1:$ABM$500,V$2,0),Техника!$F$4:$ABM$4,"Часы",INDEX(Техника!$G$1:$ABN$500,V$2,0),$A$284,INDEX(Техника!$H$1:$ABO$500,V$2,0),"П")</f>
        <v>0</v>
      </c>
      <c r="W287" s="50">
        <f>SUMIFS(INDEX(Техника!$F$1:$ABM$500,W$2,0),Техника!$F$4:$ABM$4,"Часы",INDEX(Техника!$G$1:$ABN$500,W$2,0),$A$284,INDEX(Техника!$H$1:$ABO$500,W$2,0),"П")</f>
        <v>0</v>
      </c>
      <c r="X287" s="50">
        <f>SUMIFS(INDEX(Техника!$F$1:$ABM$500,X$2,0),Техника!$F$4:$ABM$4,"Часы",INDEX(Техника!$G$1:$ABN$500,X$2,0),$A$284,INDEX(Техника!$H$1:$ABO$500,X$2,0),"П")</f>
        <v>0</v>
      </c>
      <c r="Y287" s="50">
        <f>SUMIFS(INDEX(Техника!$F$1:$ABM$500,Y$2,0),Техника!$F$4:$ABM$4,"Часы",INDEX(Техника!$G$1:$ABN$500,Y$2,0),$A$284,INDEX(Техника!$H$1:$ABO$500,Y$2,0),"П")</f>
        <v>0</v>
      </c>
      <c r="Z287" s="50">
        <f>SUMIFS(INDEX(Техника!$F$1:$ABM$500,Z$2,0),Техника!$F$4:$ABM$4,"Часы",INDEX(Техника!$G$1:$ABN$500,Z$2,0),$A$284,INDEX(Техника!$H$1:$ABO$500,Z$2,0),"П")</f>
        <v>0</v>
      </c>
      <c r="AA287" s="50">
        <f>SUMIFS(INDEX(Техника!$F$1:$ABM$500,AA$2,0),Техника!$F$4:$ABM$4,"Часы",INDEX(Техника!$G$1:$ABN$500,AA$2,0),$A$284,INDEX(Техника!$H$1:$ABO$500,AA$2,0),"П")</f>
        <v>0</v>
      </c>
      <c r="AB287" s="50">
        <f>SUMIFS(INDEX(Техника!$F$1:$ABM$500,AB$2,0),Техника!$F$4:$ABM$4,"Часы",INDEX(Техника!$G$1:$ABN$500,AB$2,0),$A$284,INDEX(Техника!$H$1:$ABO$500,AB$2,0),"П")</f>
        <v>0</v>
      </c>
    </row>
    <row r="288" spans="1:28" hidden="1" outlineLevel="1" x14ac:dyDescent="0.3">
      <c r="A288" s="33" t="s">
        <v>243</v>
      </c>
      <c r="B288" s="34" t="s">
        <v>278</v>
      </c>
      <c r="C288" s="50">
        <f>SUMIFS(INDEX(Техника!$F$1:$ABM$500,C$2,0),Техника!$F$4:$ABM$4,"Часы",INDEX(Техника!$G$1:$ABN$500,C$2,0),$A$284,INDEX(Техника!$H$1:$ABO$500,C$2,0),"Л")</f>
        <v>0</v>
      </c>
      <c r="D288" s="50">
        <f>SUMIFS(INDEX(Техника!$F$1:$ABM$500,D$2,0),Техника!$F$4:$ABM$4,"Часы",INDEX(Техника!$G$1:$ABN$500,D$2,0),$A$284,INDEX(Техника!$H$1:$ABO$500,D$2,0),"Л")</f>
        <v>0</v>
      </c>
      <c r="E288" s="50">
        <f>SUMIFS(INDEX(Техника!$F$1:$ABM$500,E$2,0),Техника!$F$4:$ABM$4,"Часы",INDEX(Техника!$G$1:$ABN$500,E$2,0),$A$284,INDEX(Техника!$H$1:$ABO$500,E$2,0),"Л")</f>
        <v>0</v>
      </c>
      <c r="F288" s="50">
        <f>SUMIFS(INDEX(Техника!$F$1:$ABM$500,F$2,0),Техника!$F$4:$ABM$4,"Часы",INDEX(Техника!$G$1:$ABN$500,F$2,0),$A$284,INDEX(Техника!$H$1:$ABO$500,F$2,0),"Л")</f>
        <v>0</v>
      </c>
      <c r="G288" s="50">
        <f>SUMIFS(INDEX(Техника!$F$1:$ABM$500,G$2,0),Техника!$F$4:$ABM$4,"Часы",INDEX(Техника!$G$1:$ABN$500,G$2,0),$A$284,INDEX(Техника!$H$1:$ABO$500,G$2,0),"Л")</f>
        <v>0</v>
      </c>
      <c r="H288" s="50">
        <f>SUMIFS(INDEX(Техника!$F$1:$ABM$500,H$2,0),Техника!$F$4:$ABM$4,"Часы",INDEX(Техника!$G$1:$ABN$500,H$2,0),$A$284,INDEX(Техника!$H$1:$ABO$500,H$2,0),"Л")</f>
        <v>0</v>
      </c>
      <c r="I288" s="50">
        <f>SUMIFS(INDEX(Техника!$F$1:$ABM$500,I$2,0),Техника!$F$4:$ABM$4,"Часы",INDEX(Техника!$G$1:$ABN$500,I$2,0),$A$284,INDEX(Техника!$H$1:$ABO$500,I$2,0),"Л")</f>
        <v>0</v>
      </c>
      <c r="J288" s="50">
        <f>SUMIFS(INDEX(Техника!$F$1:$ABM$500,J$2,0),Техника!$F$4:$ABM$4,"Часы",INDEX(Техника!$G$1:$ABN$500,J$2,0),$A$284,INDEX(Техника!$H$1:$ABO$500,J$2,0),"Л")</f>
        <v>0</v>
      </c>
      <c r="K288" s="50">
        <f>SUMIFS(INDEX(Техника!$F$1:$ABM$500,K$2,0),Техника!$F$4:$ABM$4,"Часы",INDEX(Техника!$G$1:$ABN$500,K$2,0),$A$284,INDEX(Техника!$H$1:$ABO$500,K$2,0),"Л")</f>
        <v>0</v>
      </c>
      <c r="L288" s="50">
        <f>SUMIFS(INDEX(Техника!$F$1:$ABM$500,L$2,0),Техника!$F$4:$ABM$4,"Часы",INDEX(Техника!$G$1:$ABN$500,L$2,0),$A$284,INDEX(Техника!$H$1:$ABO$500,L$2,0),"Л")</f>
        <v>0</v>
      </c>
      <c r="M288" s="50">
        <f>SUMIFS(INDEX(Техника!$F$1:$ABM$500,M$2,0),Техника!$F$4:$ABM$4,"Часы",INDEX(Техника!$G$1:$ABN$500,M$2,0),$A$284,INDEX(Техника!$H$1:$ABO$500,M$2,0),"Л")</f>
        <v>0</v>
      </c>
      <c r="N288" s="50">
        <f>SUMIFS(INDEX(Техника!$F$1:$ABM$500,N$2,0),Техника!$F$4:$ABM$4,"Часы",INDEX(Техника!$G$1:$ABN$500,N$2,0),$A$284,INDEX(Техника!$H$1:$ABO$500,N$2,0),"Л")</f>
        <v>0</v>
      </c>
      <c r="O288" s="50">
        <f>SUMIFS(INDEX(Техника!$F$1:$ABM$500,O$2,0),Техника!$F$4:$ABM$4,"Часы",INDEX(Техника!$G$1:$ABN$500,O$2,0),$A$284,INDEX(Техника!$H$1:$ABO$500,O$2,0),"Л")</f>
        <v>0</v>
      </c>
      <c r="P288" s="50">
        <f>SUMIFS(INDEX(Техника!$F$1:$ABM$500,P$2,0),Техника!$F$4:$ABM$4,"Часы",INDEX(Техника!$G$1:$ABN$500,P$2,0),$A$284,INDEX(Техника!$H$1:$ABO$500,P$2,0),"Л")</f>
        <v>0</v>
      </c>
      <c r="Q288" s="50">
        <f>SUMIFS(INDEX(Техника!$F$1:$ABM$500,Q$2,0),Техника!$F$4:$ABM$4,"Часы",INDEX(Техника!$G$1:$ABN$500,Q$2,0),$A$284,INDEX(Техника!$H$1:$ABO$500,Q$2,0),"Л")</f>
        <v>0</v>
      </c>
      <c r="R288" s="50">
        <f>SUMIFS(INDEX(Техника!$F$1:$ABM$500,R$2,0),Техника!$F$4:$ABM$4,"Часы",INDEX(Техника!$G$1:$ABN$500,R$2,0),$A$284,INDEX(Техника!$H$1:$ABO$500,R$2,0),"Л")</f>
        <v>0</v>
      </c>
      <c r="S288" s="50">
        <f>SUMIFS(INDEX(Техника!$F$1:$ABM$500,S$2,0),Техника!$F$4:$ABM$4,"Часы",INDEX(Техника!$G$1:$ABN$500,S$2,0),$A$284,INDEX(Техника!$H$1:$ABO$500,S$2,0),"Л")</f>
        <v>0</v>
      </c>
      <c r="T288" s="50">
        <f>SUMIFS(INDEX(Техника!$F$1:$ABM$500,T$2,0),Техника!$F$4:$ABM$4,"Часы",INDEX(Техника!$G$1:$ABN$500,T$2,0),$A$284,INDEX(Техника!$H$1:$ABO$500,T$2,0),"Л")</f>
        <v>0</v>
      </c>
      <c r="U288" s="50">
        <f>SUMIFS(INDEX(Техника!$F$1:$ABM$500,U$2,0),Техника!$F$4:$ABM$4,"Часы",INDEX(Техника!$G$1:$ABN$500,U$2,0),$A$284,INDEX(Техника!$H$1:$ABO$500,U$2,0),"Л")</f>
        <v>0</v>
      </c>
      <c r="V288" s="50">
        <f>SUMIFS(INDEX(Техника!$F$1:$ABM$500,V$2,0),Техника!$F$4:$ABM$4,"Часы",INDEX(Техника!$G$1:$ABN$500,V$2,0),$A$284,INDEX(Техника!$H$1:$ABO$500,V$2,0),"Л")</f>
        <v>0</v>
      </c>
      <c r="W288" s="50">
        <f>SUMIFS(INDEX(Техника!$F$1:$ABM$500,W$2,0),Техника!$F$4:$ABM$4,"Часы",INDEX(Техника!$G$1:$ABN$500,W$2,0),$A$284,INDEX(Техника!$H$1:$ABO$500,W$2,0),"Л")</f>
        <v>0</v>
      </c>
      <c r="X288" s="50">
        <f>SUMIFS(INDEX(Техника!$F$1:$ABM$500,X$2,0),Техника!$F$4:$ABM$4,"Часы",INDEX(Техника!$G$1:$ABN$500,X$2,0),$A$284,INDEX(Техника!$H$1:$ABO$500,X$2,0),"Л")</f>
        <v>0</v>
      </c>
      <c r="Y288" s="50">
        <f>SUMIFS(INDEX(Техника!$F$1:$ABM$500,Y$2,0),Техника!$F$4:$ABM$4,"Часы",INDEX(Техника!$G$1:$ABN$500,Y$2,0),$A$284,INDEX(Техника!$H$1:$ABO$500,Y$2,0),"Л")</f>
        <v>0</v>
      </c>
      <c r="Z288" s="50">
        <f>SUMIFS(INDEX(Техника!$F$1:$ABM$500,Z$2,0),Техника!$F$4:$ABM$4,"Часы",INDEX(Техника!$G$1:$ABN$500,Z$2,0),$A$284,INDEX(Техника!$H$1:$ABO$500,Z$2,0),"Л")</f>
        <v>0</v>
      </c>
      <c r="AA288" s="50">
        <f>SUMIFS(INDEX(Техника!$F$1:$ABM$500,AA$2,0),Техника!$F$4:$ABM$4,"Часы",INDEX(Техника!$G$1:$ABN$500,AA$2,0),$A$284,INDEX(Техника!$H$1:$ABO$500,AA$2,0),"Л")</f>
        <v>0</v>
      </c>
      <c r="AB288" s="50">
        <f>SUMIFS(INDEX(Техника!$F$1:$ABM$500,AB$2,0),Техника!$F$4:$ABM$4,"Часы",INDEX(Техника!$G$1:$ABN$500,AB$2,0),$A$284,INDEX(Техника!$H$1:$ABO$500,AB$2,0),"Л")</f>
        <v>0</v>
      </c>
    </row>
    <row r="289" spans="1:28" hidden="1" outlineLevel="1" x14ac:dyDescent="0.3">
      <c r="A289" s="33" t="s">
        <v>245</v>
      </c>
      <c r="B289" s="34" t="s">
        <v>279</v>
      </c>
      <c r="C289" s="50">
        <f>SUMIFS(INDEX(Техника!$F$1:$ABM$500,C$2,0),Техника!$F$4:$ABM$4,"Часы",INDEX(Техника!$G$1:$ABN$500,C$2,0),$A$284,INDEX(Техника!$H$1:$ABO$500,C$2,0),"З")</f>
        <v>0</v>
      </c>
      <c r="D289" s="50">
        <f>SUMIFS(INDEX(Техника!$F$1:$ABM$500,D$2,0),Техника!$F$4:$ABM$4,"Часы",INDEX(Техника!$G$1:$ABN$500,D$2,0),$A$284,INDEX(Техника!$H$1:$ABO$500,D$2,0),"З")</f>
        <v>0</v>
      </c>
      <c r="E289" s="50">
        <f>SUMIFS(INDEX(Техника!$F$1:$ABM$500,E$2,0),Техника!$F$4:$ABM$4,"Часы",INDEX(Техника!$G$1:$ABN$500,E$2,0),$A$284,INDEX(Техника!$H$1:$ABO$500,E$2,0),"З")</f>
        <v>0</v>
      </c>
      <c r="F289" s="50">
        <f>SUMIFS(INDEX(Техника!$F$1:$ABM$500,F$2,0),Техника!$F$4:$ABM$4,"Часы",INDEX(Техника!$G$1:$ABN$500,F$2,0),$A$284,INDEX(Техника!$H$1:$ABO$500,F$2,0),"З")</f>
        <v>0</v>
      </c>
      <c r="G289" s="50">
        <f>SUMIFS(INDEX(Техника!$F$1:$ABM$500,G$2,0),Техника!$F$4:$ABM$4,"Часы",INDEX(Техника!$G$1:$ABN$500,G$2,0),$A$284,INDEX(Техника!$H$1:$ABO$500,G$2,0),"З")</f>
        <v>0</v>
      </c>
      <c r="H289" s="50">
        <f>SUMIFS(INDEX(Техника!$F$1:$ABM$500,H$2,0),Техника!$F$4:$ABM$4,"Часы",INDEX(Техника!$G$1:$ABN$500,H$2,0),$A$284,INDEX(Техника!$H$1:$ABO$500,H$2,0),"З")</f>
        <v>0</v>
      </c>
      <c r="I289" s="50">
        <f>SUMIFS(INDEX(Техника!$F$1:$ABM$500,I$2,0),Техника!$F$4:$ABM$4,"Часы",INDEX(Техника!$G$1:$ABN$500,I$2,0),$A$284,INDEX(Техника!$H$1:$ABO$500,I$2,0),"З")</f>
        <v>0</v>
      </c>
      <c r="J289" s="50">
        <f>SUMIFS(INDEX(Техника!$F$1:$ABM$500,J$2,0),Техника!$F$4:$ABM$4,"Часы",INDEX(Техника!$G$1:$ABN$500,J$2,0),$A$284,INDEX(Техника!$H$1:$ABO$500,J$2,0),"З")</f>
        <v>0</v>
      </c>
      <c r="K289" s="50">
        <f>SUMIFS(INDEX(Техника!$F$1:$ABM$500,K$2,0),Техника!$F$4:$ABM$4,"Часы",INDEX(Техника!$G$1:$ABN$500,K$2,0),$A$284,INDEX(Техника!$H$1:$ABO$500,K$2,0),"З")</f>
        <v>0</v>
      </c>
      <c r="L289" s="50">
        <f>SUMIFS(INDEX(Техника!$F$1:$ABM$500,L$2,0),Техника!$F$4:$ABM$4,"Часы",INDEX(Техника!$G$1:$ABN$500,L$2,0),$A$284,INDEX(Техника!$H$1:$ABO$500,L$2,0),"З")</f>
        <v>0</v>
      </c>
      <c r="M289" s="50">
        <f>SUMIFS(INDEX(Техника!$F$1:$ABM$500,M$2,0),Техника!$F$4:$ABM$4,"Часы",INDEX(Техника!$G$1:$ABN$500,M$2,0),$A$284,INDEX(Техника!$H$1:$ABO$500,M$2,0),"З")</f>
        <v>0</v>
      </c>
      <c r="N289" s="50">
        <f>SUMIFS(INDEX(Техника!$F$1:$ABM$500,N$2,0),Техника!$F$4:$ABM$4,"Часы",INDEX(Техника!$G$1:$ABN$500,N$2,0),$A$284,INDEX(Техника!$H$1:$ABO$500,N$2,0),"З")</f>
        <v>0</v>
      </c>
      <c r="O289" s="50">
        <f>SUMIFS(INDEX(Техника!$F$1:$ABM$500,O$2,0),Техника!$F$4:$ABM$4,"Часы",INDEX(Техника!$G$1:$ABN$500,O$2,0),$A$284,INDEX(Техника!$H$1:$ABO$500,O$2,0),"З")</f>
        <v>0</v>
      </c>
      <c r="P289" s="50">
        <f>SUMIFS(INDEX(Техника!$F$1:$ABM$500,P$2,0),Техника!$F$4:$ABM$4,"Часы",INDEX(Техника!$G$1:$ABN$500,P$2,0),$A$284,INDEX(Техника!$H$1:$ABO$500,P$2,0),"З")</f>
        <v>0</v>
      </c>
      <c r="Q289" s="50">
        <f>SUMIFS(INDEX(Техника!$F$1:$ABM$500,Q$2,0),Техника!$F$4:$ABM$4,"Часы",INDEX(Техника!$G$1:$ABN$500,Q$2,0),$A$284,INDEX(Техника!$H$1:$ABO$500,Q$2,0),"З")</f>
        <v>0</v>
      </c>
      <c r="R289" s="50">
        <f>SUMIFS(INDEX(Техника!$F$1:$ABM$500,R$2,0),Техника!$F$4:$ABM$4,"Часы",INDEX(Техника!$G$1:$ABN$500,R$2,0),$A$284,INDEX(Техника!$H$1:$ABO$500,R$2,0),"З")</f>
        <v>0</v>
      </c>
      <c r="S289" s="50">
        <f>SUMIFS(INDEX(Техника!$F$1:$ABM$500,S$2,0),Техника!$F$4:$ABM$4,"Часы",INDEX(Техника!$G$1:$ABN$500,S$2,0),$A$284,INDEX(Техника!$H$1:$ABO$500,S$2,0),"З")</f>
        <v>0</v>
      </c>
      <c r="T289" s="50">
        <f>SUMIFS(INDEX(Техника!$F$1:$ABM$500,T$2,0),Техника!$F$4:$ABM$4,"Часы",INDEX(Техника!$G$1:$ABN$500,T$2,0),$A$284,INDEX(Техника!$H$1:$ABO$500,T$2,0),"З")</f>
        <v>0</v>
      </c>
      <c r="U289" s="50">
        <f>SUMIFS(INDEX(Техника!$F$1:$ABM$500,U$2,0),Техника!$F$4:$ABM$4,"Часы",INDEX(Техника!$G$1:$ABN$500,U$2,0),$A$284,INDEX(Техника!$H$1:$ABO$500,U$2,0),"З")</f>
        <v>0</v>
      </c>
      <c r="V289" s="50">
        <f>SUMIFS(INDEX(Техника!$F$1:$ABM$500,V$2,0),Техника!$F$4:$ABM$4,"Часы",INDEX(Техника!$G$1:$ABN$500,V$2,0),$A$284,INDEX(Техника!$H$1:$ABO$500,V$2,0),"З")</f>
        <v>0</v>
      </c>
      <c r="W289" s="50">
        <f>SUMIFS(INDEX(Техника!$F$1:$ABM$500,W$2,0),Техника!$F$4:$ABM$4,"Часы",INDEX(Техника!$G$1:$ABN$500,W$2,0),$A$284,INDEX(Техника!$H$1:$ABO$500,W$2,0),"З")</f>
        <v>0</v>
      </c>
      <c r="X289" s="50">
        <f>SUMIFS(INDEX(Техника!$F$1:$ABM$500,X$2,0),Техника!$F$4:$ABM$4,"Часы",INDEX(Техника!$G$1:$ABN$500,X$2,0),$A$284,INDEX(Техника!$H$1:$ABO$500,X$2,0),"З")</f>
        <v>0</v>
      </c>
      <c r="Y289" s="50">
        <f>SUMIFS(INDEX(Техника!$F$1:$ABM$500,Y$2,0),Техника!$F$4:$ABM$4,"Часы",INDEX(Техника!$G$1:$ABN$500,Y$2,0),$A$284,INDEX(Техника!$H$1:$ABO$500,Y$2,0),"З")</f>
        <v>0</v>
      </c>
      <c r="Z289" s="50">
        <f>SUMIFS(INDEX(Техника!$F$1:$ABM$500,Z$2,0),Техника!$F$4:$ABM$4,"Часы",INDEX(Техника!$G$1:$ABN$500,Z$2,0),$A$284,INDEX(Техника!$H$1:$ABO$500,Z$2,0),"З")</f>
        <v>0</v>
      </c>
      <c r="AA289" s="50">
        <f>SUMIFS(INDEX(Техника!$F$1:$ABM$500,AA$2,0),Техника!$F$4:$ABM$4,"Часы",INDEX(Техника!$G$1:$ABN$500,AA$2,0),$A$284,INDEX(Техника!$H$1:$ABO$500,AA$2,0),"З")</f>
        <v>0</v>
      </c>
      <c r="AB289" s="50">
        <f>SUMIFS(INDEX(Техника!$F$1:$ABM$500,AB$2,0),Техника!$F$4:$ABM$4,"Часы",INDEX(Техника!$G$1:$ABN$500,AB$2,0),$A$284,INDEX(Техника!$H$1:$ABO$500,AB$2,0),"З")</f>
        <v>0</v>
      </c>
    </row>
    <row r="290" spans="1:28" ht="7.95" customHeight="1" x14ac:dyDescent="0.3">
      <c r="A290" s="38"/>
      <c r="B290" s="39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</row>
    <row r="291" spans="1:28" ht="25.05" customHeight="1" collapsed="1" x14ac:dyDescent="0.3">
      <c r="A291" s="32">
        <v>42</v>
      </c>
      <c r="B291" s="32" t="s">
        <v>43</v>
      </c>
      <c r="C291" s="49">
        <f>SUM(C292:C296)</f>
        <v>136</v>
      </c>
      <c r="D291" s="49">
        <f>SUM(D292:D296)</f>
        <v>112</v>
      </c>
      <c r="E291" s="49">
        <f>SUM(E292:E296)</f>
        <v>0</v>
      </c>
      <c r="F291" s="49">
        <f>SUM(F292:F296)</f>
        <v>0</v>
      </c>
      <c r="G291" s="49">
        <f>SUM(G292:G296)</f>
        <v>0</v>
      </c>
      <c r="H291" s="49">
        <f>SUM(H292:H296)</f>
        <v>0</v>
      </c>
      <c r="I291" s="49">
        <f>SUM(I292:I296)</f>
        <v>0</v>
      </c>
      <c r="J291" s="49">
        <f>SUM(J292:J296)</f>
        <v>0</v>
      </c>
      <c r="K291" s="49">
        <f>SUM(K292:K296)</f>
        <v>0</v>
      </c>
      <c r="L291" s="49">
        <f>SUM(L292:L296)</f>
        <v>0</v>
      </c>
      <c r="M291" s="49">
        <f>SUM(M292:M296)</f>
        <v>0</v>
      </c>
      <c r="N291" s="49">
        <f>SUM(N292:N296)</f>
        <v>168</v>
      </c>
      <c r="O291" s="49">
        <f>SUM(O292:O296)</f>
        <v>0</v>
      </c>
      <c r="P291" s="49">
        <f>SUM(P292:P296)</f>
        <v>0</v>
      </c>
      <c r="Q291" s="49">
        <f>SUM(Q292:Q296)</f>
        <v>0</v>
      </c>
      <c r="R291" s="49">
        <f>SUM(R292:R296)</f>
        <v>0</v>
      </c>
      <c r="S291" s="49">
        <f>SUM(S292:S296)</f>
        <v>0</v>
      </c>
      <c r="T291" s="49">
        <f>SUM(T292:T296)</f>
        <v>8</v>
      </c>
      <c r="U291" s="49">
        <f>SUM(U292:U296)</f>
        <v>216</v>
      </c>
      <c r="V291" s="49">
        <f>SUM(V292:V296)</f>
        <v>0</v>
      </c>
      <c r="W291" s="49">
        <f>SUM(W292:W296)</f>
        <v>0</v>
      </c>
      <c r="X291" s="49">
        <f>SUM(X292:X296)</f>
        <v>0</v>
      </c>
      <c r="Y291" s="49">
        <f>SUM(Y292:Y296)</f>
        <v>0</v>
      </c>
      <c r="Z291" s="49">
        <f>SUM(Z292:Z296)</f>
        <v>0</v>
      </c>
      <c r="AA291" s="49">
        <f>SUM(AA292:AA296)</f>
        <v>0</v>
      </c>
      <c r="AB291" s="49">
        <f>SUM(AB292:AB296)</f>
        <v>0</v>
      </c>
    </row>
    <row r="292" spans="1:28" hidden="1" outlineLevel="1" x14ac:dyDescent="0.3">
      <c r="A292" s="33" t="s">
        <v>246</v>
      </c>
      <c r="B292" s="34" t="s">
        <v>274</v>
      </c>
      <c r="C292" s="50">
        <f>SUMIFS(INDEX(Техника!$F$1:$ABM$500,C$2,0),Техника!$F$4:$ABM$4,"Часы",INDEX(Техника!$G$1:$ABN$500,C$2,0),$A$291,INDEX(Техника!$H$1:$ABO$500,C$2,0),"М")</f>
        <v>136</v>
      </c>
      <c r="D292" s="50">
        <f>SUMIFS(INDEX(Техника!$F$1:$ABM$500,D$2,0),Техника!$F$4:$ABM$4,"Часы",INDEX(Техника!$G$1:$ABN$500,D$2,0),$A$291,INDEX(Техника!$H$1:$ABO$500,D$2,0),"М")</f>
        <v>96</v>
      </c>
      <c r="E292" s="50">
        <f>SUMIFS(INDEX(Техника!$F$1:$ABM$500,E$2,0),Техника!$F$4:$ABM$4,"Часы",INDEX(Техника!$G$1:$ABN$500,E$2,0),$A$291,INDEX(Техника!$H$1:$ABO$500,E$2,0),"М")</f>
        <v>0</v>
      </c>
      <c r="F292" s="50">
        <f>SUMIFS(INDEX(Техника!$F$1:$ABM$500,F$2,0),Техника!$F$4:$ABM$4,"Часы",INDEX(Техника!$G$1:$ABN$500,F$2,0),$A$291,INDEX(Техника!$H$1:$ABO$500,F$2,0),"М")</f>
        <v>0</v>
      </c>
      <c r="G292" s="50">
        <f>SUMIFS(INDEX(Техника!$F$1:$ABM$500,G$2,0),Техника!$F$4:$ABM$4,"Часы",INDEX(Техника!$G$1:$ABN$500,G$2,0),$A$291,INDEX(Техника!$H$1:$ABO$500,G$2,0),"М")</f>
        <v>0</v>
      </c>
      <c r="H292" s="50">
        <f>SUMIFS(INDEX(Техника!$F$1:$ABM$500,H$2,0),Техника!$F$4:$ABM$4,"Часы",INDEX(Техника!$G$1:$ABN$500,H$2,0),$A$291,INDEX(Техника!$H$1:$ABO$500,H$2,0),"М")</f>
        <v>0</v>
      </c>
      <c r="I292" s="50">
        <f>SUMIFS(INDEX(Техника!$F$1:$ABM$500,I$2,0),Техника!$F$4:$ABM$4,"Часы",INDEX(Техника!$G$1:$ABN$500,I$2,0),$A$291,INDEX(Техника!$H$1:$ABO$500,I$2,0),"М")</f>
        <v>0</v>
      </c>
      <c r="J292" s="50">
        <f>SUMIFS(INDEX(Техника!$F$1:$ABM$500,J$2,0),Техника!$F$4:$ABM$4,"Часы",INDEX(Техника!$G$1:$ABN$500,J$2,0),$A$291,INDEX(Техника!$H$1:$ABO$500,J$2,0),"М")</f>
        <v>0</v>
      </c>
      <c r="K292" s="50">
        <f>SUMIFS(INDEX(Техника!$F$1:$ABM$500,K$2,0),Техника!$F$4:$ABM$4,"Часы",INDEX(Техника!$G$1:$ABN$500,K$2,0),$A$291,INDEX(Техника!$H$1:$ABO$500,K$2,0),"М")</f>
        <v>0</v>
      </c>
      <c r="L292" s="50">
        <f>SUMIFS(INDEX(Техника!$F$1:$ABM$500,L$2,0),Техника!$F$4:$ABM$4,"Часы",INDEX(Техника!$G$1:$ABN$500,L$2,0),$A$291,INDEX(Техника!$H$1:$ABO$500,L$2,0),"М")</f>
        <v>0</v>
      </c>
      <c r="M292" s="50">
        <f>SUMIFS(INDEX(Техника!$F$1:$ABM$500,M$2,0),Техника!$F$4:$ABM$4,"Часы",INDEX(Техника!$G$1:$ABN$500,M$2,0),$A$291,INDEX(Техника!$H$1:$ABO$500,M$2,0),"М")</f>
        <v>0</v>
      </c>
      <c r="N292" s="50">
        <f>SUMIFS(INDEX(Техника!$F$1:$ABM$500,N$2,0),Техника!$F$4:$ABM$4,"Часы",INDEX(Техника!$G$1:$ABN$500,N$2,0),$A$291,INDEX(Техника!$H$1:$ABO$500,N$2,0),"М")</f>
        <v>168</v>
      </c>
      <c r="O292" s="50">
        <f>SUMIFS(INDEX(Техника!$F$1:$ABM$500,O$2,0),Техника!$F$4:$ABM$4,"Часы",INDEX(Техника!$G$1:$ABN$500,O$2,0),$A$291,INDEX(Техника!$H$1:$ABO$500,O$2,0),"М")</f>
        <v>0</v>
      </c>
      <c r="P292" s="50">
        <f>SUMIFS(INDEX(Техника!$F$1:$ABM$500,P$2,0),Техника!$F$4:$ABM$4,"Часы",INDEX(Техника!$G$1:$ABN$500,P$2,0),$A$291,INDEX(Техника!$H$1:$ABO$500,P$2,0),"М")</f>
        <v>0</v>
      </c>
      <c r="Q292" s="50">
        <f>SUMIFS(INDEX(Техника!$F$1:$ABM$500,Q$2,0),Техника!$F$4:$ABM$4,"Часы",INDEX(Техника!$G$1:$ABN$500,Q$2,0),$A$291,INDEX(Техника!$H$1:$ABO$500,Q$2,0),"М")</f>
        <v>0</v>
      </c>
      <c r="R292" s="50">
        <f>SUMIFS(INDEX(Техника!$F$1:$ABM$500,R$2,0),Техника!$F$4:$ABM$4,"Часы",INDEX(Техника!$G$1:$ABN$500,R$2,0),$A$291,INDEX(Техника!$H$1:$ABO$500,R$2,0),"М")</f>
        <v>0</v>
      </c>
      <c r="S292" s="50">
        <f>SUMIFS(INDEX(Техника!$F$1:$ABM$500,S$2,0),Техника!$F$4:$ABM$4,"Часы",INDEX(Техника!$G$1:$ABN$500,S$2,0),$A$291,INDEX(Техника!$H$1:$ABO$500,S$2,0),"М")</f>
        <v>0</v>
      </c>
      <c r="T292" s="50">
        <f>SUMIFS(INDEX(Техника!$F$1:$ABM$500,T$2,0),Техника!$F$4:$ABM$4,"Часы",INDEX(Техника!$G$1:$ABN$500,T$2,0),$A$291,INDEX(Техника!$H$1:$ABO$500,T$2,0),"М")</f>
        <v>8</v>
      </c>
      <c r="U292" s="50">
        <f>SUMIFS(INDEX(Техника!$F$1:$ABM$500,U$2,0),Техника!$F$4:$ABM$4,"Часы",INDEX(Техника!$G$1:$ABN$500,U$2,0),$A$291,INDEX(Техника!$H$1:$ABO$500,U$2,0),"М")</f>
        <v>200</v>
      </c>
      <c r="V292" s="50">
        <f>SUMIFS(INDEX(Техника!$F$1:$ABM$500,V$2,0),Техника!$F$4:$ABM$4,"Часы",INDEX(Техника!$G$1:$ABN$500,V$2,0),$A$291,INDEX(Техника!$H$1:$ABO$500,V$2,0),"М")</f>
        <v>0</v>
      </c>
      <c r="W292" s="50">
        <f>SUMIFS(INDEX(Техника!$F$1:$ABM$500,W$2,0),Техника!$F$4:$ABM$4,"Часы",INDEX(Техника!$G$1:$ABN$500,W$2,0),$A$291,INDEX(Техника!$H$1:$ABO$500,W$2,0),"М")</f>
        <v>0</v>
      </c>
      <c r="X292" s="50">
        <f>SUMIFS(INDEX(Техника!$F$1:$ABM$500,X$2,0),Техника!$F$4:$ABM$4,"Часы",INDEX(Техника!$G$1:$ABN$500,X$2,0),$A$291,INDEX(Техника!$H$1:$ABO$500,X$2,0),"М")</f>
        <v>0</v>
      </c>
      <c r="Y292" s="50">
        <f>SUMIFS(INDEX(Техника!$F$1:$ABM$500,Y$2,0),Техника!$F$4:$ABM$4,"Часы",INDEX(Техника!$G$1:$ABN$500,Y$2,0),$A$291,INDEX(Техника!$H$1:$ABO$500,Y$2,0),"М")</f>
        <v>0</v>
      </c>
      <c r="Z292" s="50">
        <f>SUMIFS(INDEX(Техника!$F$1:$ABM$500,Z$2,0),Техника!$F$4:$ABM$4,"Часы",INDEX(Техника!$G$1:$ABN$500,Z$2,0),$A$291,INDEX(Техника!$H$1:$ABO$500,Z$2,0),"М")</f>
        <v>0</v>
      </c>
      <c r="AA292" s="50">
        <f>SUMIFS(INDEX(Техника!$F$1:$ABM$500,AA$2,0),Техника!$F$4:$ABM$4,"Часы",INDEX(Техника!$G$1:$ABN$500,AA$2,0),$A$291,INDEX(Техника!$H$1:$ABO$500,AA$2,0),"М")</f>
        <v>0</v>
      </c>
      <c r="AB292" s="50">
        <f>SUMIFS(INDEX(Техника!$F$1:$ABM$500,AB$2,0),Техника!$F$4:$ABM$4,"Часы",INDEX(Техника!$G$1:$ABN$500,AB$2,0),$A$291,INDEX(Техника!$H$1:$ABO$500,AB$2,0),"М")</f>
        <v>0</v>
      </c>
    </row>
    <row r="293" spans="1:28" hidden="1" outlineLevel="1" x14ac:dyDescent="0.3">
      <c r="A293" s="33" t="s">
        <v>244</v>
      </c>
      <c r="B293" s="34" t="s">
        <v>275</v>
      </c>
      <c r="C293" s="50">
        <f>SUMIFS(INDEX(Техника!$F$1:$ABM$500,C$2,0),Техника!$F$4:$ABM$4,"Часы",INDEX(Техника!$G$1:$ABN$500,C$2,0),$A$291,INDEX(Техника!$H$1:$ABO$500,C$2,0),"Д")</f>
        <v>0</v>
      </c>
      <c r="D293" s="50">
        <f>SUMIFS(INDEX(Техника!$F$1:$ABM$500,D$2,0),Техника!$F$4:$ABM$4,"Часы",INDEX(Техника!$G$1:$ABN$500,D$2,0),$A$291,INDEX(Техника!$H$1:$ABO$500,D$2,0),"Д")</f>
        <v>16</v>
      </c>
      <c r="E293" s="50">
        <f>SUMIFS(INDEX(Техника!$F$1:$ABM$500,E$2,0),Техника!$F$4:$ABM$4,"Часы",INDEX(Техника!$G$1:$ABN$500,E$2,0),$A$291,INDEX(Техника!$H$1:$ABO$500,E$2,0),"Д")</f>
        <v>0</v>
      </c>
      <c r="F293" s="50">
        <f>SUMIFS(INDEX(Техника!$F$1:$ABM$500,F$2,0),Техника!$F$4:$ABM$4,"Часы",INDEX(Техника!$G$1:$ABN$500,F$2,0),$A$291,INDEX(Техника!$H$1:$ABO$500,F$2,0),"Д")</f>
        <v>0</v>
      </c>
      <c r="G293" s="50">
        <f>SUMIFS(INDEX(Техника!$F$1:$ABM$500,G$2,0),Техника!$F$4:$ABM$4,"Часы",INDEX(Техника!$G$1:$ABN$500,G$2,0),$A$291,INDEX(Техника!$H$1:$ABO$500,G$2,0),"Д")</f>
        <v>0</v>
      </c>
      <c r="H293" s="50">
        <f>SUMIFS(INDEX(Техника!$F$1:$ABM$500,H$2,0),Техника!$F$4:$ABM$4,"Часы",INDEX(Техника!$G$1:$ABN$500,H$2,0),$A$291,INDEX(Техника!$H$1:$ABO$500,H$2,0),"Д")</f>
        <v>0</v>
      </c>
      <c r="I293" s="50">
        <f>SUMIFS(INDEX(Техника!$F$1:$ABM$500,I$2,0),Техника!$F$4:$ABM$4,"Часы",INDEX(Техника!$G$1:$ABN$500,I$2,0),$A$291,INDEX(Техника!$H$1:$ABO$500,I$2,0),"Д")</f>
        <v>0</v>
      </c>
      <c r="J293" s="50">
        <f>SUMIFS(INDEX(Техника!$F$1:$ABM$500,J$2,0),Техника!$F$4:$ABM$4,"Часы",INDEX(Техника!$G$1:$ABN$500,J$2,0),$A$291,INDEX(Техника!$H$1:$ABO$500,J$2,0),"Д")</f>
        <v>0</v>
      </c>
      <c r="K293" s="50">
        <f>SUMIFS(INDEX(Техника!$F$1:$ABM$500,K$2,0),Техника!$F$4:$ABM$4,"Часы",INDEX(Техника!$G$1:$ABN$500,K$2,0),$A$291,INDEX(Техника!$H$1:$ABO$500,K$2,0),"Д")</f>
        <v>0</v>
      </c>
      <c r="L293" s="50">
        <f>SUMIFS(INDEX(Техника!$F$1:$ABM$500,L$2,0),Техника!$F$4:$ABM$4,"Часы",INDEX(Техника!$G$1:$ABN$500,L$2,0),$A$291,INDEX(Техника!$H$1:$ABO$500,L$2,0),"Д")</f>
        <v>0</v>
      </c>
      <c r="M293" s="50">
        <f>SUMIFS(INDEX(Техника!$F$1:$ABM$500,M$2,0),Техника!$F$4:$ABM$4,"Часы",INDEX(Техника!$G$1:$ABN$500,M$2,0),$A$291,INDEX(Техника!$H$1:$ABO$500,M$2,0),"Д")</f>
        <v>0</v>
      </c>
      <c r="N293" s="50">
        <f>SUMIFS(INDEX(Техника!$F$1:$ABM$500,N$2,0),Техника!$F$4:$ABM$4,"Часы",INDEX(Техника!$G$1:$ABN$500,N$2,0),$A$291,INDEX(Техника!$H$1:$ABO$500,N$2,0),"Д")</f>
        <v>0</v>
      </c>
      <c r="O293" s="50">
        <f>SUMIFS(INDEX(Техника!$F$1:$ABM$500,O$2,0),Техника!$F$4:$ABM$4,"Часы",INDEX(Техника!$G$1:$ABN$500,O$2,0),$A$291,INDEX(Техника!$H$1:$ABO$500,O$2,0),"Д")</f>
        <v>0</v>
      </c>
      <c r="P293" s="50">
        <f>SUMIFS(INDEX(Техника!$F$1:$ABM$500,P$2,0),Техника!$F$4:$ABM$4,"Часы",INDEX(Техника!$G$1:$ABN$500,P$2,0),$A$291,INDEX(Техника!$H$1:$ABO$500,P$2,0),"Д")</f>
        <v>0</v>
      </c>
      <c r="Q293" s="50">
        <f>SUMIFS(INDEX(Техника!$F$1:$ABM$500,Q$2,0),Техника!$F$4:$ABM$4,"Часы",INDEX(Техника!$G$1:$ABN$500,Q$2,0),$A$291,INDEX(Техника!$H$1:$ABO$500,Q$2,0),"Д")</f>
        <v>0</v>
      </c>
      <c r="R293" s="50">
        <f>SUMIFS(INDEX(Техника!$F$1:$ABM$500,R$2,0),Техника!$F$4:$ABM$4,"Часы",INDEX(Техника!$G$1:$ABN$500,R$2,0),$A$291,INDEX(Техника!$H$1:$ABO$500,R$2,0),"Д")</f>
        <v>0</v>
      </c>
      <c r="S293" s="50">
        <f>SUMIFS(INDEX(Техника!$F$1:$ABM$500,S$2,0),Техника!$F$4:$ABM$4,"Часы",INDEX(Техника!$G$1:$ABN$500,S$2,0),$A$291,INDEX(Техника!$H$1:$ABO$500,S$2,0),"Д")</f>
        <v>0</v>
      </c>
      <c r="T293" s="50">
        <f>SUMIFS(INDEX(Техника!$F$1:$ABM$500,T$2,0),Техника!$F$4:$ABM$4,"Часы",INDEX(Техника!$G$1:$ABN$500,T$2,0),$A$291,INDEX(Техника!$H$1:$ABO$500,T$2,0),"Д")</f>
        <v>0</v>
      </c>
      <c r="U293" s="50">
        <f>SUMIFS(INDEX(Техника!$F$1:$ABM$500,U$2,0),Техника!$F$4:$ABM$4,"Часы",INDEX(Техника!$G$1:$ABN$500,U$2,0),$A$291,INDEX(Техника!$H$1:$ABO$500,U$2,0),"Д")</f>
        <v>16</v>
      </c>
      <c r="V293" s="50">
        <f>SUMIFS(INDEX(Техника!$F$1:$ABM$500,V$2,0),Техника!$F$4:$ABM$4,"Часы",INDEX(Техника!$G$1:$ABN$500,V$2,0),$A$291,INDEX(Техника!$H$1:$ABO$500,V$2,0),"Д")</f>
        <v>0</v>
      </c>
      <c r="W293" s="50">
        <f>SUMIFS(INDEX(Техника!$F$1:$ABM$500,W$2,0),Техника!$F$4:$ABM$4,"Часы",INDEX(Техника!$G$1:$ABN$500,W$2,0),$A$291,INDEX(Техника!$H$1:$ABO$500,W$2,0),"Д")</f>
        <v>0</v>
      </c>
      <c r="X293" s="50">
        <f>SUMIFS(INDEX(Техника!$F$1:$ABM$500,X$2,0),Техника!$F$4:$ABM$4,"Часы",INDEX(Техника!$G$1:$ABN$500,X$2,0),$A$291,INDEX(Техника!$H$1:$ABO$500,X$2,0),"Д")</f>
        <v>0</v>
      </c>
      <c r="Y293" s="50">
        <f>SUMIFS(INDEX(Техника!$F$1:$ABM$500,Y$2,0),Техника!$F$4:$ABM$4,"Часы",INDEX(Техника!$G$1:$ABN$500,Y$2,0),$A$291,INDEX(Техника!$H$1:$ABO$500,Y$2,0),"Д")</f>
        <v>0</v>
      </c>
      <c r="Z293" s="50">
        <f>SUMIFS(INDEX(Техника!$F$1:$ABM$500,Z$2,0),Техника!$F$4:$ABM$4,"Часы",INDEX(Техника!$G$1:$ABN$500,Z$2,0),$A$291,INDEX(Техника!$H$1:$ABO$500,Z$2,0),"Д")</f>
        <v>0</v>
      </c>
      <c r="AA293" s="50">
        <f>SUMIFS(INDEX(Техника!$F$1:$ABM$500,AA$2,0),Техника!$F$4:$ABM$4,"Часы",INDEX(Техника!$G$1:$ABN$500,AA$2,0),$A$291,INDEX(Техника!$H$1:$ABO$500,AA$2,0),"Д")</f>
        <v>0</v>
      </c>
      <c r="AB293" s="50">
        <f>SUMIFS(INDEX(Техника!$F$1:$ABM$500,AB$2,0),Техника!$F$4:$ABM$4,"Часы",INDEX(Техника!$G$1:$ABN$500,AB$2,0),$A$291,INDEX(Техника!$H$1:$ABO$500,AB$2,0),"Д")</f>
        <v>0</v>
      </c>
    </row>
    <row r="294" spans="1:28" hidden="1" outlineLevel="1" x14ac:dyDescent="0.3">
      <c r="A294" s="33" t="s">
        <v>276</v>
      </c>
      <c r="B294" s="34" t="s">
        <v>277</v>
      </c>
      <c r="C294" s="50">
        <f>SUMIFS(INDEX(Техника!$F$1:$ABM$500,C$2,0),Техника!$F$4:$ABM$4,"Часы",INDEX(Техника!$G$1:$ABN$500,C$2,0),$A$291,INDEX(Техника!$H$1:$ABO$500,C$2,0),"П")</f>
        <v>0</v>
      </c>
      <c r="D294" s="50">
        <f>SUMIFS(INDEX(Техника!$F$1:$ABM$500,D$2,0),Техника!$F$4:$ABM$4,"Часы",INDEX(Техника!$G$1:$ABN$500,D$2,0),$A$291,INDEX(Техника!$H$1:$ABO$500,D$2,0),"П")</f>
        <v>0</v>
      </c>
      <c r="E294" s="50">
        <f>SUMIFS(INDEX(Техника!$F$1:$ABM$500,E$2,0),Техника!$F$4:$ABM$4,"Часы",INDEX(Техника!$G$1:$ABN$500,E$2,0),$A$291,INDEX(Техника!$H$1:$ABO$500,E$2,0),"П")</f>
        <v>0</v>
      </c>
      <c r="F294" s="50">
        <f>SUMIFS(INDEX(Техника!$F$1:$ABM$500,F$2,0),Техника!$F$4:$ABM$4,"Часы",INDEX(Техника!$G$1:$ABN$500,F$2,0),$A$291,INDEX(Техника!$H$1:$ABO$500,F$2,0),"П")</f>
        <v>0</v>
      </c>
      <c r="G294" s="50">
        <f>SUMIFS(INDEX(Техника!$F$1:$ABM$500,G$2,0),Техника!$F$4:$ABM$4,"Часы",INDEX(Техника!$G$1:$ABN$500,G$2,0),$A$291,INDEX(Техника!$H$1:$ABO$500,G$2,0),"П")</f>
        <v>0</v>
      </c>
      <c r="H294" s="50">
        <f>SUMIFS(INDEX(Техника!$F$1:$ABM$500,H$2,0),Техника!$F$4:$ABM$4,"Часы",INDEX(Техника!$G$1:$ABN$500,H$2,0),$A$291,INDEX(Техника!$H$1:$ABO$500,H$2,0),"П")</f>
        <v>0</v>
      </c>
      <c r="I294" s="50">
        <f>SUMIFS(INDEX(Техника!$F$1:$ABM$500,I$2,0),Техника!$F$4:$ABM$4,"Часы",INDEX(Техника!$G$1:$ABN$500,I$2,0),$A$291,INDEX(Техника!$H$1:$ABO$500,I$2,0),"П")</f>
        <v>0</v>
      </c>
      <c r="J294" s="50">
        <f>SUMIFS(INDEX(Техника!$F$1:$ABM$500,J$2,0),Техника!$F$4:$ABM$4,"Часы",INDEX(Техника!$G$1:$ABN$500,J$2,0),$A$291,INDEX(Техника!$H$1:$ABO$500,J$2,0),"П")</f>
        <v>0</v>
      </c>
      <c r="K294" s="50">
        <f>SUMIFS(INDEX(Техника!$F$1:$ABM$500,K$2,0),Техника!$F$4:$ABM$4,"Часы",INDEX(Техника!$G$1:$ABN$500,K$2,0),$A$291,INDEX(Техника!$H$1:$ABO$500,K$2,0),"П")</f>
        <v>0</v>
      </c>
      <c r="L294" s="50">
        <f>SUMIFS(INDEX(Техника!$F$1:$ABM$500,L$2,0),Техника!$F$4:$ABM$4,"Часы",INDEX(Техника!$G$1:$ABN$500,L$2,0),$A$291,INDEX(Техника!$H$1:$ABO$500,L$2,0),"П")</f>
        <v>0</v>
      </c>
      <c r="M294" s="50">
        <f>SUMIFS(INDEX(Техника!$F$1:$ABM$500,M$2,0),Техника!$F$4:$ABM$4,"Часы",INDEX(Техника!$G$1:$ABN$500,M$2,0),$A$291,INDEX(Техника!$H$1:$ABO$500,M$2,0),"П")</f>
        <v>0</v>
      </c>
      <c r="N294" s="50">
        <f>SUMIFS(INDEX(Техника!$F$1:$ABM$500,N$2,0),Техника!$F$4:$ABM$4,"Часы",INDEX(Техника!$G$1:$ABN$500,N$2,0),$A$291,INDEX(Техника!$H$1:$ABO$500,N$2,0),"П")</f>
        <v>0</v>
      </c>
      <c r="O294" s="50">
        <f>SUMIFS(INDEX(Техника!$F$1:$ABM$500,O$2,0),Техника!$F$4:$ABM$4,"Часы",INDEX(Техника!$G$1:$ABN$500,O$2,0),$A$291,INDEX(Техника!$H$1:$ABO$500,O$2,0),"П")</f>
        <v>0</v>
      </c>
      <c r="P294" s="50">
        <f>SUMIFS(INDEX(Техника!$F$1:$ABM$500,P$2,0),Техника!$F$4:$ABM$4,"Часы",INDEX(Техника!$G$1:$ABN$500,P$2,0),$A$291,INDEX(Техника!$H$1:$ABO$500,P$2,0),"П")</f>
        <v>0</v>
      </c>
      <c r="Q294" s="50">
        <f>SUMIFS(INDEX(Техника!$F$1:$ABM$500,Q$2,0),Техника!$F$4:$ABM$4,"Часы",INDEX(Техника!$G$1:$ABN$500,Q$2,0),$A$291,INDEX(Техника!$H$1:$ABO$500,Q$2,0),"П")</f>
        <v>0</v>
      </c>
      <c r="R294" s="50">
        <f>SUMIFS(INDEX(Техника!$F$1:$ABM$500,R$2,0),Техника!$F$4:$ABM$4,"Часы",INDEX(Техника!$G$1:$ABN$500,R$2,0),$A$291,INDEX(Техника!$H$1:$ABO$500,R$2,0),"П")</f>
        <v>0</v>
      </c>
      <c r="S294" s="50">
        <f>SUMIFS(INDEX(Техника!$F$1:$ABM$500,S$2,0),Техника!$F$4:$ABM$4,"Часы",INDEX(Техника!$G$1:$ABN$500,S$2,0),$A$291,INDEX(Техника!$H$1:$ABO$500,S$2,0),"П")</f>
        <v>0</v>
      </c>
      <c r="T294" s="50">
        <f>SUMIFS(INDEX(Техника!$F$1:$ABM$500,T$2,0),Техника!$F$4:$ABM$4,"Часы",INDEX(Техника!$G$1:$ABN$500,T$2,0),$A$291,INDEX(Техника!$H$1:$ABO$500,T$2,0),"П")</f>
        <v>0</v>
      </c>
      <c r="U294" s="50">
        <f>SUMIFS(INDEX(Техника!$F$1:$ABM$500,U$2,0),Техника!$F$4:$ABM$4,"Часы",INDEX(Техника!$G$1:$ABN$500,U$2,0),$A$291,INDEX(Техника!$H$1:$ABO$500,U$2,0),"П")</f>
        <v>0</v>
      </c>
      <c r="V294" s="50">
        <f>SUMIFS(INDEX(Техника!$F$1:$ABM$500,V$2,0),Техника!$F$4:$ABM$4,"Часы",INDEX(Техника!$G$1:$ABN$500,V$2,0),$A$291,INDEX(Техника!$H$1:$ABO$500,V$2,0),"П")</f>
        <v>0</v>
      </c>
      <c r="W294" s="50">
        <f>SUMIFS(INDEX(Техника!$F$1:$ABM$500,W$2,0),Техника!$F$4:$ABM$4,"Часы",INDEX(Техника!$G$1:$ABN$500,W$2,0),$A$291,INDEX(Техника!$H$1:$ABO$500,W$2,0),"П")</f>
        <v>0</v>
      </c>
      <c r="X294" s="50">
        <f>SUMIFS(INDEX(Техника!$F$1:$ABM$500,X$2,0),Техника!$F$4:$ABM$4,"Часы",INDEX(Техника!$G$1:$ABN$500,X$2,0),$A$291,INDEX(Техника!$H$1:$ABO$500,X$2,0),"П")</f>
        <v>0</v>
      </c>
      <c r="Y294" s="50">
        <f>SUMIFS(INDEX(Техника!$F$1:$ABM$500,Y$2,0),Техника!$F$4:$ABM$4,"Часы",INDEX(Техника!$G$1:$ABN$500,Y$2,0),$A$291,INDEX(Техника!$H$1:$ABO$500,Y$2,0),"П")</f>
        <v>0</v>
      </c>
      <c r="Z294" s="50">
        <f>SUMIFS(INDEX(Техника!$F$1:$ABM$500,Z$2,0),Техника!$F$4:$ABM$4,"Часы",INDEX(Техника!$G$1:$ABN$500,Z$2,0),$A$291,INDEX(Техника!$H$1:$ABO$500,Z$2,0),"П")</f>
        <v>0</v>
      </c>
      <c r="AA294" s="50">
        <f>SUMIFS(INDEX(Техника!$F$1:$ABM$500,AA$2,0),Техника!$F$4:$ABM$4,"Часы",INDEX(Техника!$G$1:$ABN$500,AA$2,0),$A$291,INDEX(Техника!$H$1:$ABO$500,AA$2,0),"П")</f>
        <v>0</v>
      </c>
      <c r="AB294" s="50">
        <f>SUMIFS(INDEX(Техника!$F$1:$ABM$500,AB$2,0),Техника!$F$4:$ABM$4,"Часы",INDEX(Техника!$G$1:$ABN$500,AB$2,0),$A$291,INDEX(Техника!$H$1:$ABO$500,AB$2,0),"П")</f>
        <v>0</v>
      </c>
    </row>
    <row r="295" spans="1:28" hidden="1" outlineLevel="1" x14ac:dyDescent="0.3">
      <c r="A295" s="33" t="s">
        <v>243</v>
      </c>
      <c r="B295" s="34" t="s">
        <v>278</v>
      </c>
      <c r="C295" s="50">
        <f>SUMIFS(INDEX(Техника!$F$1:$ABM$500,C$2,0),Техника!$F$4:$ABM$4,"Часы",INDEX(Техника!$G$1:$ABN$500,C$2,0),$A$291,INDEX(Техника!$H$1:$ABO$500,C$2,0),"Л")</f>
        <v>0</v>
      </c>
      <c r="D295" s="50">
        <f>SUMIFS(INDEX(Техника!$F$1:$ABM$500,D$2,0),Техника!$F$4:$ABM$4,"Часы",INDEX(Техника!$G$1:$ABN$500,D$2,0),$A$291,INDEX(Техника!$H$1:$ABO$500,D$2,0),"Л")</f>
        <v>0</v>
      </c>
      <c r="E295" s="50">
        <f>SUMIFS(INDEX(Техника!$F$1:$ABM$500,E$2,0),Техника!$F$4:$ABM$4,"Часы",INDEX(Техника!$G$1:$ABN$500,E$2,0),$A$291,INDEX(Техника!$H$1:$ABO$500,E$2,0),"Л")</f>
        <v>0</v>
      </c>
      <c r="F295" s="50">
        <f>SUMIFS(INDEX(Техника!$F$1:$ABM$500,F$2,0),Техника!$F$4:$ABM$4,"Часы",INDEX(Техника!$G$1:$ABN$500,F$2,0),$A$291,INDEX(Техника!$H$1:$ABO$500,F$2,0),"Л")</f>
        <v>0</v>
      </c>
      <c r="G295" s="50">
        <f>SUMIFS(INDEX(Техника!$F$1:$ABM$500,G$2,0),Техника!$F$4:$ABM$4,"Часы",INDEX(Техника!$G$1:$ABN$500,G$2,0),$A$291,INDEX(Техника!$H$1:$ABO$500,G$2,0),"Л")</f>
        <v>0</v>
      </c>
      <c r="H295" s="50">
        <f>SUMIFS(INDEX(Техника!$F$1:$ABM$500,H$2,0),Техника!$F$4:$ABM$4,"Часы",INDEX(Техника!$G$1:$ABN$500,H$2,0),$A$291,INDEX(Техника!$H$1:$ABO$500,H$2,0),"Л")</f>
        <v>0</v>
      </c>
      <c r="I295" s="50">
        <f>SUMIFS(INDEX(Техника!$F$1:$ABM$500,I$2,0),Техника!$F$4:$ABM$4,"Часы",INDEX(Техника!$G$1:$ABN$500,I$2,0),$A$291,INDEX(Техника!$H$1:$ABO$500,I$2,0),"Л")</f>
        <v>0</v>
      </c>
      <c r="J295" s="50">
        <f>SUMIFS(INDEX(Техника!$F$1:$ABM$500,J$2,0),Техника!$F$4:$ABM$4,"Часы",INDEX(Техника!$G$1:$ABN$500,J$2,0),$A$291,INDEX(Техника!$H$1:$ABO$500,J$2,0),"Л")</f>
        <v>0</v>
      </c>
      <c r="K295" s="50">
        <f>SUMIFS(INDEX(Техника!$F$1:$ABM$500,K$2,0),Техника!$F$4:$ABM$4,"Часы",INDEX(Техника!$G$1:$ABN$500,K$2,0),$A$291,INDEX(Техника!$H$1:$ABO$500,K$2,0),"Л")</f>
        <v>0</v>
      </c>
      <c r="L295" s="50">
        <f>SUMIFS(INDEX(Техника!$F$1:$ABM$500,L$2,0),Техника!$F$4:$ABM$4,"Часы",INDEX(Техника!$G$1:$ABN$500,L$2,0),$A$291,INDEX(Техника!$H$1:$ABO$500,L$2,0),"Л")</f>
        <v>0</v>
      </c>
      <c r="M295" s="50">
        <f>SUMIFS(INDEX(Техника!$F$1:$ABM$500,M$2,0),Техника!$F$4:$ABM$4,"Часы",INDEX(Техника!$G$1:$ABN$500,M$2,0),$A$291,INDEX(Техника!$H$1:$ABO$500,M$2,0),"Л")</f>
        <v>0</v>
      </c>
      <c r="N295" s="50">
        <f>SUMIFS(INDEX(Техника!$F$1:$ABM$500,N$2,0),Техника!$F$4:$ABM$4,"Часы",INDEX(Техника!$G$1:$ABN$500,N$2,0),$A$291,INDEX(Техника!$H$1:$ABO$500,N$2,0),"Л")</f>
        <v>0</v>
      </c>
      <c r="O295" s="50">
        <f>SUMIFS(INDEX(Техника!$F$1:$ABM$500,O$2,0),Техника!$F$4:$ABM$4,"Часы",INDEX(Техника!$G$1:$ABN$500,O$2,0),$A$291,INDEX(Техника!$H$1:$ABO$500,O$2,0),"Л")</f>
        <v>0</v>
      </c>
      <c r="P295" s="50">
        <f>SUMIFS(INDEX(Техника!$F$1:$ABM$500,P$2,0),Техника!$F$4:$ABM$4,"Часы",INDEX(Техника!$G$1:$ABN$500,P$2,0),$A$291,INDEX(Техника!$H$1:$ABO$500,P$2,0),"Л")</f>
        <v>0</v>
      </c>
      <c r="Q295" s="50">
        <f>SUMIFS(INDEX(Техника!$F$1:$ABM$500,Q$2,0),Техника!$F$4:$ABM$4,"Часы",INDEX(Техника!$G$1:$ABN$500,Q$2,0),$A$291,INDEX(Техника!$H$1:$ABO$500,Q$2,0),"Л")</f>
        <v>0</v>
      </c>
      <c r="R295" s="50">
        <f>SUMIFS(INDEX(Техника!$F$1:$ABM$500,R$2,0),Техника!$F$4:$ABM$4,"Часы",INDEX(Техника!$G$1:$ABN$500,R$2,0),$A$291,INDEX(Техника!$H$1:$ABO$500,R$2,0),"Л")</f>
        <v>0</v>
      </c>
      <c r="S295" s="50">
        <f>SUMIFS(INDEX(Техника!$F$1:$ABM$500,S$2,0),Техника!$F$4:$ABM$4,"Часы",INDEX(Техника!$G$1:$ABN$500,S$2,0),$A$291,INDEX(Техника!$H$1:$ABO$500,S$2,0),"Л")</f>
        <v>0</v>
      </c>
      <c r="T295" s="50">
        <f>SUMIFS(INDEX(Техника!$F$1:$ABM$500,T$2,0),Техника!$F$4:$ABM$4,"Часы",INDEX(Техника!$G$1:$ABN$500,T$2,0),$A$291,INDEX(Техника!$H$1:$ABO$500,T$2,0),"Л")</f>
        <v>0</v>
      </c>
      <c r="U295" s="50">
        <f>SUMIFS(INDEX(Техника!$F$1:$ABM$500,U$2,0),Техника!$F$4:$ABM$4,"Часы",INDEX(Техника!$G$1:$ABN$500,U$2,0),$A$291,INDEX(Техника!$H$1:$ABO$500,U$2,0),"Л")</f>
        <v>0</v>
      </c>
      <c r="V295" s="50">
        <f>SUMIFS(INDEX(Техника!$F$1:$ABM$500,V$2,0),Техника!$F$4:$ABM$4,"Часы",INDEX(Техника!$G$1:$ABN$500,V$2,0),$A$291,INDEX(Техника!$H$1:$ABO$500,V$2,0),"Л")</f>
        <v>0</v>
      </c>
      <c r="W295" s="50">
        <f>SUMIFS(INDEX(Техника!$F$1:$ABM$500,W$2,0),Техника!$F$4:$ABM$4,"Часы",INDEX(Техника!$G$1:$ABN$500,W$2,0),$A$291,INDEX(Техника!$H$1:$ABO$500,W$2,0),"Л")</f>
        <v>0</v>
      </c>
      <c r="X295" s="50">
        <f>SUMIFS(INDEX(Техника!$F$1:$ABM$500,X$2,0),Техника!$F$4:$ABM$4,"Часы",INDEX(Техника!$G$1:$ABN$500,X$2,0),$A$291,INDEX(Техника!$H$1:$ABO$500,X$2,0),"Л")</f>
        <v>0</v>
      </c>
      <c r="Y295" s="50">
        <f>SUMIFS(INDEX(Техника!$F$1:$ABM$500,Y$2,0),Техника!$F$4:$ABM$4,"Часы",INDEX(Техника!$G$1:$ABN$500,Y$2,0),$A$291,INDEX(Техника!$H$1:$ABO$500,Y$2,0),"Л")</f>
        <v>0</v>
      </c>
      <c r="Z295" s="50">
        <f>SUMIFS(INDEX(Техника!$F$1:$ABM$500,Z$2,0),Техника!$F$4:$ABM$4,"Часы",INDEX(Техника!$G$1:$ABN$500,Z$2,0),$A$291,INDEX(Техника!$H$1:$ABO$500,Z$2,0),"Л")</f>
        <v>0</v>
      </c>
      <c r="AA295" s="50">
        <f>SUMIFS(INDEX(Техника!$F$1:$ABM$500,AA$2,0),Техника!$F$4:$ABM$4,"Часы",INDEX(Техника!$G$1:$ABN$500,AA$2,0),$A$291,INDEX(Техника!$H$1:$ABO$500,AA$2,0),"Л")</f>
        <v>0</v>
      </c>
      <c r="AB295" s="50">
        <f>SUMIFS(INDEX(Техника!$F$1:$ABM$500,AB$2,0),Техника!$F$4:$ABM$4,"Часы",INDEX(Техника!$G$1:$ABN$500,AB$2,0),$A$291,INDEX(Техника!$H$1:$ABO$500,AB$2,0),"Л")</f>
        <v>0</v>
      </c>
    </row>
    <row r="296" spans="1:28" hidden="1" outlineLevel="1" x14ac:dyDescent="0.3">
      <c r="A296" s="33" t="s">
        <v>245</v>
      </c>
      <c r="B296" s="34" t="s">
        <v>279</v>
      </c>
      <c r="C296" s="50">
        <f>SUMIFS(INDEX(Техника!$F$1:$ABM$500,C$2,0),Техника!$F$4:$ABM$4,"Часы",INDEX(Техника!$G$1:$ABN$500,C$2,0),$A$291,INDEX(Техника!$H$1:$ABO$500,C$2,0),"З")</f>
        <v>0</v>
      </c>
      <c r="D296" s="50">
        <f>SUMIFS(INDEX(Техника!$F$1:$ABM$500,D$2,0),Техника!$F$4:$ABM$4,"Часы",INDEX(Техника!$G$1:$ABN$500,D$2,0),$A$291,INDEX(Техника!$H$1:$ABO$500,D$2,0),"З")</f>
        <v>0</v>
      </c>
      <c r="E296" s="50">
        <f>SUMIFS(INDEX(Техника!$F$1:$ABM$500,E$2,0),Техника!$F$4:$ABM$4,"Часы",INDEX(Техника!$G$1:$ABN$500,E$2,0),$A$291,INDEX(Техника!$H$1:$ABO$500,E$2,0),"З")</f>
        <v>0</v>
      </c>
      <c r="F296" s="50">
        <f>SUMIFS(INDEX(Техника!$F$1:$ABM$500,F$2,0),Техника!$F$4:$ABM$4,"Часы",INDEX(Техника!$G$1:$ABN$500,F$2,0),$A$291,INDEX(Техника!$H$1:$ABO$500,F$2,0),"З")</f>
        <v>0</v>
      </c>
      <c r="G296" s="50">
        <f>SUMIFS(INDEX(Техника!$F$1:$ABM$500,G$2,0),Техника!$F$4:$ABM$4,"Часы",INDEX(Техника!$G$1:$ABN$500,G$2,0),$A$291,INDEX(Техника!$H$1:$ABO$500,G$2,0),"З")</f>
        <v>0</v>
      </c>
      <c r="H296" s="50">
        <f>SUMIFS(INDEX(Техника!$F$1:$ABM$500,H$2,0),Техника!$F$4:$ABM$4,"Часы",INDEX(Техника!$G$1:$ABN$500,H$2,0),$A$291,INDEX(Техника!$H$1:$ABO$500,H$2,0),"З")</f>
        <v>0</v>
      </c>
      <c r="I296" s="50">
        <f>SUMIFS(INDEX(Техника!$F$1:$ABM$500,I$2,0),Техника!$F$4:$ABM$4,"Часы",INDEX(Техника!$G$1:$ABN$500,I$2,0),$A$291,INDEX(Техника!$H$1:$ABO$500,I$2,0),"З")</f>
        <v>0</v>
      </c>
      <c r="J296" s="50">
        <f>SUMIFS(INDEX(Техника!$F$1:$ABM$500,J$2,0),Техника!$F$4:$ABM$4,"Часы",INDEX(Техника!$G$1:$ABN$500,J$2,0),$A$291,INDEX(Техника!$H$1:$ABO$500,J$2,0),"З")</f>
        <v>0</v>
      </c>
      <c r="K296" s="50">
        <f>SUMIFS(INDEX(Техника!$F$1:$ABM$500,K$2,0),Техника!$F$4:$ABM$4,"Часы",INDEX(Техника!$G$1:$ABN$500,K$2,0),$A$291,INDEX(Техника!$H$1:$ABO$500,K$2,0),"З")</f>
        <v>0</v>
      </c>
      <c r="L296" s="50">
        <f>SUMIFS(INDEX(Техника!$F$1:$ABM$500,L$2,0),Техника!$F$4:$ABM$4,"Часы",INDEX(Техника!$G$1:$ABN$500,L$2,0),$A$291,INDEX(Техника!$H$1:$ABO$500,L$2,0),"З")</f>
        <v>0</v>
      </c>
      <c r="M296" s="50">
        <f>SUMIFS(INDEX(Техника!$F$1:$ABM$500,M$2,0),Техника!$F$4:$ABM$4,"Часы",INDEX(Техника!$G$1:$ABN$500,M$2,0),$A$291,INDEX(Техника!$H$1:$ABO$500,M$2,0),"З")</f>
        <v>0</v>
      </c>
      <c r="N296" s="50">
        <f>SUMIFS(INDEX(Техника!$F$1:$ABM$500,N$2,0),Техника!$F$4:$ABM$4,"Часы",INDEX(Техника!$G$1:$ABN$500,N$2,0),$A$291,INDEX(Техника!$H$1:$ABO$500,N$2,0),"З")</f>
        <v>0</v>
      </c>
      <c r="O296" s="50">
        <f>SUMIFS(INDEX(Техника!$F$1:$ABM$500,O$2,0),Техника!$F$4:$ABM$4,"Часы",INDEX(Техника!$G$1:$ABN$500,O$2,0),$A$291,INDEX(Техника!$H$1:$ABO$500,O$2,0),"З")</f>
        <v>0</v>
      </c>
      <c r="P296" s="50">
        <f>SUMIFS(INDEX(Техника!$F$1:$ABM$500,P$2,0),Техника!$F$4:$ABM$4,"Часы",INDEX(Техника!$G$1:$ABN$500,P$2,0),$A$291,INDEX(Техника!$H$1:$ABO$500,P$2,0),"З")</f>
        <v>0</v>
      </c>
      <c r="Q296" s="50">
        <f>SUMIFS(INDEX(Техника!$F$1:$ABM$500,Q$2,0),Техника!$F$4:$ABM$4,"Часы",INDEX(Техника!$G$1:$ABN$500,Q$2,0),$A$291,INDEX(Техника!$H$1:$ABO$500,Q$2,0),"З")</f>
        <v>0</v>
      </c>
      <c r="R296" s="50">
        <f>SUMIFS(INDEX(Техника!$F$1:$ABM$500,R$2,0),Техника!$F$4:$ABM$4,"Часы",INDEX(Техника!$G$1:$ABN$500,R$2,0),$A$291,INDEX(Техника!$H$1:$ABO$500,R$2,0),"З")</f>
        <v>0</v>
      </c>
      <c r="S296" s="50">
        <f>SUMIFS(INDEX(Техника!$F$1:$ABM$500,S$2,0),Техника!$F$4:$ABM$4,"Часы",INDEX(Техника!$G$1:$ABN$500,S$2,0),$A$291,INDEX(Техника!$H$1:$ABO$500,S$2,0),"З")</f>
        <v>0</v>
      </c>
      <c r="T296" s="50">
        <f>SUMIFS(INDEX(Техника!$F$1:$ABM$500,T$2,0),Техника!$F$4:$ABM$4,"Часы",INDEX(Техника!$G$1:$ABN$500,T$2,0),$A$291,INDEX(Техника!$H$1:$ABO$500,T$2,0),"З")</f>
        <v>0</v>
      </c>
      <c r="U296" s="50">
        <f>SUMIFS(INDEX(Техника!$F$1:$ABM$500,U$2,0),Техника!$F$4:$ABM$4,"Часы",INDEX(Техника!$G$1:$ABN$500,U$2,0),$A$291,INDEX(Техника!$H$1:$ABO$500,U$2,0),"З")</f>
        <v>0</v>
      </c>
      <c r="V296" s="50">
        <f>SUMIFS(INDEX(Техника!$F$1:$ABM$500,V$2,0),Техника!$F$4:$ABM$4,"Часы",INDEX(Техника!$G$1:$ABN$500,V$2,0),$A$291,INDEX(Техника!$H$1:$ABO$500,V$2,0),"З")</f>
        <v>0</v>
      </c>
      <c r="W296" s="50">
        <f>SUMIFS(INDEX(Техника!$F$1:$ABM$500,W$2,0),Техника!$F$4:$ABM$4,"Часы",INDEX(Техника!$G$1:$ABN$500,W$2,0),$A$291,INDEX(Техника!$H$1:$ABO$500,W$2,0),"З")</f>
        <v>0</v>
      </c>
      <c r="X296" s="50">
        <f>SUMIFS(INDEX(Техника!$F$1:$ABM$500,X$2,0),Техника!$F$4:$ABM$4,"Часы",INDEX(Техника!$G$1:$ABN$500,X$2,0),$A$291,INDEX(Техника!$H$1:$ABO$500,X$2,0),"З")</f>
        <v>0</v>
      </c>
      <c r="Y296" s="50">
        <f>SUMIFS(INDEX(Техника!$F$1:$ABM$500,Y$2,0),Техника!$F$4:$ABM$4,"Часы",INDEX(Техника!$G$1:$ABN$500,Y$2,0),$A$291,INDEX(Техника!$H$1:$ABO$500,Y$2,0),"З")</f>
        <v>0</v>
      </c>
      <c r="Z296" s="50">
        <f>SUMIFS(INDEX(Техника!$F$1:$ABM$500,Z$2,0),Техника!$F$4:$ABM$4,"Часы",INDEX(Техника!$G$1:$ABN$500,Z$2,0),$A$291,INDEX(Техника!$H$1:$ABO$500,Z$2,0),"З")</f>
        <v>0</v>
      </c>
      <c r="AA296" s="50">
        <f>SUMIFS(INDEX(Техника!$F$1:$ABM$500,AA$2,0),Техника!$F$4:$ABM$4,"Часы",INDEX(Техника!$G$1:$ABN$500,AA$2,0),$A$291,INDEX(Техника!$H$1:$ABO$500,AA$2,0),"З")</f>
        <v>0</v>
      </c>
      <c r="AB296" s="50">
        <f>SUMIFS(INDEX(Техника!$F$1:$ABM$500,AB$2,0),Техника!$F$4:$ABM$4,"Часы",INDEX(Техника!$G$1:$ABN$500,AB$2,0),$A$291,INDEX(Техника!$H$1:$ABO$500,AB$2,0),"З")</f>
        <v>0</v>
      </c>
    </row>
    <row r="297" spans="1:28" ht="7.95" customHeight="1" x14ac:dyDescent="0.3">
      <c r="A297" s="38"/>
      <c r="B297" s="39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</row>
    <row r="298" spans="1:28" ht="25.05" customHeight="1" collapsed="1" x14ac:dyDescent="0.3">
      <c r="A298" s="32">
        <v>43</v>
      </c>
      <c r="B298" s="32" t="s">
        <v>44</v>
      </c>
      <c r="C298" s="49">
        <f>SUM(C299:C303)</f>
        <v>0</v>
      </c>
      <c r="D298" s="49">
        <f>SUM(D299:D303)</f>
        <v>0</v>
      </c>
      <c r="E298" s="49">
        <f>SUM(E299:E303)</f>
        <v>0</v>
      </c>
      <c r="F298" s="49">
        <f>SUM(F299:F303)</f>
        <v>0</v>
      </c>
      <c r="G298" s="49">
        <f>SUM(G299:G303)</f>
        <v>0</v>
      </c>
      <c r="H298" s="49">
        <f>SUM(H299:H303)</f>
        <v>0</v>
      </c>
      <c r="I298" s="49">
        <f>SUM(I299:I303)</f>
        <v>0</v>
      </c>
      <c r="J298" s="49">
        <f>SUM(J299:J303)</f>
        <v>0</v>
      </c>
      <c r="K298" s="49">
        <f>SUM(K299:K303)</f>
        <v>0</v>
      </c>
      <c r="L298" s="49">
        <f>SUM(L299:L303)</f>
        <v>0</v>
      </c>
      <c r="M298" s="49">
        <f>SUM(M299:M303)</f>
        <v>0</v>
      </c>
      <c r="N298" s="49">
        <f>SUM(N299:N303)</f>
        <v>0</v>
      </c>
      <c r="O298" s="49">
        <f>SUM(O299:O303)</f>
        <v>0</v>
      </c>
      <c r="P298" s="49">
        <f>SUM(P299:P303)</f>
        <v>0</v>
      </c>
      <c r="Q298" s="49">
        <f>SUM(Q299:Q303)</f>
        <v>0</v>
      </c>
      <c r="R298" s="49">
        <f>SUM(R299:R303)</f>
        <v>0</v>
      </c>
      <c r="S298" s="49">
        <f>SUM(S299:S303)</f>
        <v>0</v>
      </c>
      <c r="T298" s="49">
        <f>SUM(T299:T303)</f>
        <v>0</v>
      </c>
      <c r="U298" s="49">
        <f>SUM(U299:U303)</f>
        <v>0</v>
      </c>
      <c r="V298" s="49">
        <f>SUM(V299:V303)</f>
        <v>0</v>
      </c>
      <c r="W298" s="49">
        <f>SUM(W299:W303)</f>
        <v>0</v>
      </c>
      <c r="X298" s="49">
        <f>SUM(X299:X303)</f>
        <v>0</v>
      </c>
      <c r="Y298" s="49">
        <f>SUM(Y299:Y303)</f>
        <v>0</v>
      </c>
      <c r="Z298" s="49">
        <f>SUM(Z299:Z303)</f>
        <v>0</v>
      </c>
      <c r="AA298" s="49">
        <f>SUM(AA299:AA303)</f>
        <v>0</v>
      </c>
      <c r="AB298" s="49">
        <f>SUM(AB299:AB303)</f>
        <v>0</v>
      </c>
    </row>
    <row r="299" spans="1:28" hidden="1" outlineLevel="1" x14ac:dyDescent="0.3">
      <c r="A299" s="33" t="s">
        <v>246</v>
      </c>
      <c r="B299" s="34" t="s">
        <v>274</v>
      </c>
      <c r="C299" s="50">
        <f>SUMIFS(INDEX(Техника!$F$1:$ABM$500,C$2,0),Техника!$F$4:$ABM$4,"Часы",INDEX(Техника!$G$1:$ABN$500,C$2,0),$A$298,INDEX(Техника!$H$1:$ABO$500,C$2,0),"М")</f>
        <v>0</v>
      </c>
      <c r="D299" s="50">
        <f>SUMIFS(INDEX(Техника!$F$1:$ABM$500,D$2,0),Техника!$F$4:$ABM$4,"Часы",INDEX(Техника!$G$1:$ABN$500,D$2,0),$A$298,INDEX(Техника!$H$1:$ABO$500,D$2,0),"М")</f>
        <v>0</v>
      </c>
      <c r="E299" s="50">
        <f>SUMIFS(INDEX(Техника!$F$1:$ABM$500,E$2,0),Техника!$F$4:$ABM$4,"Часы",INDEX(Техника!$G$1:$ABN$500,E$2,0),$A$298,INDEX(Техника!$H$1:$ABO$500,E$2,0),"М")</f>
        <v>0</v>
      </c>
      <c r="F299" s="50">
        <f>SUMIFS(INDEX(Техника!$F$1:$ABM$500,F$2,0),Техника!$F$4:$ABM$4,"Часы",INDEX(Техника!$G$1:$ABN$500,F$2,0),$A$298,INDEX(Техника!$H$1:$ABO$500,F$2,0),"М")</f>
        <v>0</v>
      </c>
      <c r="G299" s="50">
        <f>SUMIFS(INDEX(Техника!$F$1:$ABM$500,G$2,0),Техника!$F$4:$ABM$4,"Часы",INDEX(Техника!$G$1:$ABN$500,G$2,0),$A$298,INDEX(Техника!$H$1:$ABO$500,G$2,0),"М")</f>
        <v>0</v>
      </c>
      <c r="H299" s="50">
        <f>SUMIFS(INDEX(Техника!$F$1:$ABM$500,H$2,0),Техника!$F$4:$ABM$4,"Часы",INDEX(Техника!$G$1:$ABN$500,H$2,0),$A$298,INDEX(Техника!$H$1:$ABO$500,H$2,0),"М")</f>
        <v>0</v>
      </c>
      <c r="I299" s="50">
        <f>SUMIFS(INDEX(Техника!$F$1:$ABM$500,I$2,0),Техника!$F$4:$ABM$4,"Часы",INDEX(Техника!$G$1:$ABN$500,I$2,0),$A$298,INDEX(Техника!$H$1:$ABO$500,I$2,0),"М")</f>
        <v>0</v>
      </c>
      <c r="J299" s="50">
        <f>SUMIFS(INDEX(Техника!$F$1:$ABM$500,J$2,0),Техника!$F$4:$ABM$4,"Часы",INDEX(Техника!$G$1:$ABN$500,J$2,0),$A$298,INDEX(Техника!$H$1:$ABO$500,J$2,0),"М")</f>
        <v>0</v>
      </c>
      <c r="K299" s="50">
        <f>SUMIFS(INDEX(Техника!$F$1:$ABM$500,K$2,0),Техника!$F$4:$ABM$4,"Часы",INDEX(Техника!$G$1:$ABN$500,K$2,0),$A$298,INDEX(Техника!$H$1:$ABO$500,K$2,0),"М")</f>
        <v>0</v>
      </c>
      <c r="L299" s="50">
        <f>SUMIFS(INDEX(Техника!$F$1:$ABM$500,L$2,0),Техника!$F$4:$ABM$4,"Часы",INDEX(Техника!$G$1:$ABN$500,L$2,0),$A$298,INDEX(Техника!$H$1:$ABO$500,L$2,0),"М")</f>
        <v>0</v>
      </c>
      <c r="M299" s="50">
        <f>SUMIFS(INDEX(Техника!$F$1:$ABM$500,M$2,0),Техника!$F$4:$ABM$4,"Часы",INDEX(Техника!$G$1:$ABN$500,M$2,0),$A$298,INDEX(Техника!$H$1:$ABO$500,M$2,0),"М")</f>
        <v>0</v>
      </c>
      <c r="N299" s="50">
        <f>SUMIFS(INDEX(Техника!$F$1:$ABM$500,N$2,0),Техника!$F$4:$ABM$4,"Часы",INDEX(Техника!$G$1:$ABN$500,N$2,0),$A$298,INDEX(Техника!$H$1:$ABO$500,N$2,0),"М")</f>
        <v>0</v>
      </c>
      <c r="O299" s="50">
        <f>SUMIFS(INDEX(Техника!$F$1:$ABM$500,O$2,0),Техника!$F$4:$ABM$4,"Часы",INDEX(Техника!$G$1:$ABN$500,O$2,0),$A$298,INDEX(Техника!$H$1:$ABO$500,O$2,0),"М")</f>
        <v>0</v>
      </c>
      <c r="P299" s="50">
        <f>SUMIFS(INDEX(Техника!$F$1:$ABM$500,P$2,0),Техника!$F$4:$ABM$4,"Часы",INDEX(Техника!$G$1:$ABN$500,P$2,0),$A$298,INDEX(Техника!$H$1:$ABO$500,P$2,0),"М")</f>
        <v>0</v>
      </c>
      <c r="Q299" s="50">
        <f>SUMIFS(INDEX(Техника!$F$1:$ABM$500,Q$2,0),Техника!$F$4:$ABM$4,"Часы",INDEX(Техника!$G$1:$ABN$500,Q$2,0),$A$298,INDEX(Техника!$H$1:$ABO$500,Q$2,0),"М")</f>
        <v>0</v>
      </c>
      <c r="R299" s="50">
        <f>SUMIFS(INDEX(Техника!$F$1:$ABM$500,R$2,0),Техника!$F$4:$ABM$4,"Часы",INDEX(Техника!$G$1:$ABN$500,R$2,0),$A$298,INDEX(Техника!$H$1:$ABO$500,R$2,0),"М")</f>
        <v>0</v>
      </c>
      <c r="S299" s="50">
        <f>SUMIFS(INDEX(Техника!$F$1:$ABM$500,S$2,0),Техника!$F$4:$ABM$4,"Часы",INDEX(Техника!$G$1:$ABN$500,S$2,0),$A$298,INDEX(Техника!$H$1:$ABO$500,S$2,0),"М")</f>
        <v>0</v>
      </c>
      <c r="T299" s="50">
        <f>SUMIFS(INDEX(Техника!$F$1:$ABM$500,T$2,0),Техника!$F$4:$ABM$4,"Часы",INDEX(Техника!$G$1:$ABN$500,T$2,0),$A$298,INDEX(Техника!$H$1:$ABO$500,T$2,0),"М")</f>
        <v>0</v>
      </c>
      <c r="U299" s="50">
        <f>SUMIFS(INDEX(Техника!$F$1:$ABM$500,U$2,0),Техника!$F$4:$ABM$4,"Часы",INDEX(Техника!$G$1:$ABN$500,U$2,0),$A$298,INDEX(Техника!$H$1:$ABO$500,U$2,0),"М")</f>
        <v>0</v>
      </c>
      <c r="V299" s="50">
        <f>SUMIFS(INDEX(Техника!$F$1:$ABM$500,V$2,0),Техника!$F$4:$ABM$4,"Часы",INDEX(Техника!$G$1:$ABN$500,V$2,0),$A$298,INDEX(Техника!$H$1:$ABO$500,V$2,0),"М")</f>
        <v>0</v>
      </c>
      <c r="W299" s="50">
        <f>SUMIFS(INDEX(Техника!$F$1:$ABM$500,W$2,0),Техника!$F$4:$ABM$4,"Часы",INDEX(Техника!$G$1:$ABN$500,W$2,0),$A$298,INDEX(Техника!$H$1:$ABO$500,W$2,0),"М")</f>
        <v>0</v>
      </c>
      <c r="X299" s="50">
        <f>SUMIFS(INDEX(Техника!$F$1:$ABM$500,X$2,0),Техника!$F$4:$ABM$4,"Часы",INDEX(Техника!$G$1:$ABN$500,X$2,0),$A$298,INDEX(Техника!$H$1:$ABO$500,X$2,0),"М")</f>
        <v>0</v>
      </c>
      <c r="Y299" s="50">
        <f>SUMIFS(INDEX(Техника!$F$1:$ABM$500,Y$2,0),Техника!$F$4:$ABM$4,"Часы",INDEX(Техника!$G$1:$ABN$500,Y$2,0),$A$298,INDEX(Техника!$H$1:$ABO$500,Y$2,0),"М")</f>
        <v>0</v>
      </c>
      <c r="Z299" s="50">
        <f>SUMIFS(INDEX(Техника!$F$1:$ABM$500,Z$2,0),Техника!$F$4:$ABM$4,"Часы",INDEX(Техника!$G$1:$ABN$500,Z$2,0),$A$298,INDEX(Техника!$H$1:$ABO$500,Z$2,0),"М")</f>
        <v>0</v>
      </c>
      <c r="AA299" s="50">
        <f>SUMIFS(INDEX(Техника!$F$1:$ABM$500,AA$2,0),Техника!$F$4:$ABM$4,"Часы",INDEX(Техника!$G$1:$ABN$500,AA$2,0),$A$298,INDEX(Техника!$H$1:$ABO$500,AA$2,0),"М")</f>
        <v>0</v>
      </c>
      <c r="AB299" s="50">
        <f>SUMIFS(INDEX(Техника!$F$1:$ABM$500,AB$2,0),Техника!$F$4:$ABM$4,"Часы",INDEX(Техника!$G$1:$ABN$500,AB$2,0),$A$298,INDEX(Техника!$H$1:$ABO$500,AB$2,0),"М")</f>
        <v>0</v>
      </c>
    </row>
    <row r="300" spans="1:28" hidden="1" outlineLevel="1" x14ac:dyDescent="0.3">
      <c r="A300" s="33" t="s">
        <v>244</v>
      </c>
      <c r="B300" s="34" t="s">
        <v>275</v>
      </c>
      <c r="C300" s="50">
        <f>SUMIFS(INDEX(Техника!$F$1:$ABM$500,C$2,0),Техника!$F$4:$ABM$4,"Часы",INDEX(Техника!$G$1:$ABN$500,C$2,0),$A$298,INDEX(Техника!$H$1:$ABO$500,C$2,0),"Д")</f>
        <v>0</v>
      </c>
      <c r="D300" s="50">
        <f>SUMIFS(INDEX(Техника!$F$1:$ABM$500,D$2,0),Техника!$F$4:$ABM$4,"Часы",INDEX(Техника!$G$1:$ABN$500,D$2,0),$A$298,INDEX(Техника!$H$1:$ABO$500,D$2,0),"Д")</f>
        <v>0</v>
      </c>
      <c r="E300" s="50">
        <f>SUMIFS(INDEX(Техника!$F$1:$ABM$500,E$2,0),Техника!$F$4:$ABM$4,"Часы",INDEX(Техника!$G$1:$ABN$500,E$2,0),$A$298,INDEX(Техника!$H$1:$ABO$500,E$2,0),"Д")</f>
        <v>0</v>
      </c>
      <c r="F300" s="50">
        <f>SUMIFS(INDEX(Техника!$F$1:$ABM$500,F$2,0),Техника!$F$4:$ABM$4,"Часы",INDEX(Техника!$G$1:$ABN$500,F$2,0),$A$298,INDEX(Техника!$H$1:$ABO$500,F$2,0),"Д")</f>
        <v>0</v>
      </c>
      <c r="G300" s="50">
        <f>SUMIFS(INDEX(Техника!$F$1:$ABM$500,G$2,0),Техника!$F$4:$ABM$4,"Часы",INDEX(Техника!$G$1:$ABN$500,G$2,0),$A$298,INDEX(Техника!$H$1:$ABO$500,G$2,0),"Д")</f>
        <v>0</v>
      </c>
      <c r="H300" s="50">
        <f>SUMIFS(INDEX(Техника!$F$1:$ABM$500,H$2,0),Техника!$F$4:$ABM$4,"Часы",INDEX(Техника!$G$1:$ABN$500,H$2,0),$A$298,INDEX(Техника!$H$1:$ABO$500,H$2,0),"Д")</f>
        <v>0</v>
      </c>
      <c r="I300" s="50">
        <f>SUMIFS(INDEX(Техника!$F$1:$ABM$500,I$2,0),Техника!$F$4:$ABM$4,"Часы",INDEX(Техника!$G$1:$ABN$500,I$2,0),$A$298,INDEX(Техника!$H$1:$ABO$500,I$2,0),"Д")</f>
        <v>0</v>
      </c>
      <c r="J300" s="50">
        <f>SUMIFS(INDEX(Техника!$F$1:$ABM$500,J$2,0),Техника!$F$4:$ABM$4,"Часы",INDEX(Техника!$G$1:$ABN$500,J$2,0),$A$298,INDEX(Техника!$H$1:$ABO$500,J$2,0),"Д")</f>
        <v>0</v>
      </c>
      <c r="K300" s="50">
        <f>SUMIFS(INDEX(Техника!$F$1:$ABM$500,K$2,0),Техника!$F$4:$ABM$4,"Часы",INDEX(Техника!$G$1:$ABN$500,K$2,0),$A$298,INDEX(Техника!$H$1:$ABO$500,K$2,0),"Д")</f>
        <v>0</v>
      </c>
      <c r="L300" s="50">
        <f>SUMIFS(INDEX(Техника!$F$1:$ABM$500,L$2,0),Техника!$F$4:$ABM$4,"Часы",INDEX(Техника!$G$1:$ABN$500,L$2,0),$A$298,INDEX(Техника!$H$1:$ABO$500,L$2,0),"Д")</f>
        <v>0</v>
      </c>
      <c r="M300" s="50">
        <f>SUMIFS(INDEX(Техника!$F$1:$ABM$500,M$2,0),Техника!$F$4:$ABM$4,"Часы",INDEX(Техника!$G$1:$ABN$500,M$2,0),$A$298,INDEX(Техника!$H$1:$ABO$500,M$2,0),"Д")</f>
        <v>0</v>
      </c>
      <c r="N300" s="50">
        <f>SUMIFS(INDEX(Техника!$F$1:$ABM$500,N$2,0),Техника!$F$4:$ABM$4,"Часы",INDEX(Техника!$G$1:$ABN$500,N$2,0),$A$298,INDEX(Техника!$H$1:$ABO$500,N$2,0),"Д")</f>
        <v>0</v>
      </c>
      <c r="O300" s="50">
        <f>SUMIFS(INDEX(Техника!$F$1:$ABM$500,O$2,0),Техника!$F$4:$ABM$4,"Часы",INDEX(Техника!$G$1:$ABN$500,O$2,0),$A$298,INDEX(Техника!$H$1:$ABO$500,O$2,0),"Д")</f>
        <v>0</v>
      </c>
      <c r="P300" s="50">
        <f>SUMIFS(INDEX(Техника!$F$1:$ABM$500,P$2,0),Техника!$F$4:$ABM$4,"Часы",INDEX(Техника!$G$1:$ABN$500,P$2,0),$A$298,INDEX(Техника!$H$1:$ABO$500,P$2,0),"Д")</f>
        <v>0</v>
      </c>
      <c r="Q300" s="50">
        <f>SUMIFS(INDEX(Техника!$F$1:$ABM$500,Q$2,0),Техника!$F$4:$ABM$4,"Часы",INDEX(Техника!$G$1:$ABN$500,Q$2,0),$A$298,INDEX(Техника!$H$1:$ABO$500,Q$2,0),"Д")</f>
        <v>0</v>
      </c>
      <c r="R300" s="50">
        <f>SUMIFS(INDEX(Техника!$F$1:$ABM$500,R$2,0),Техника!$F$4:$ABM$4,"Часы",INDEX(Техника!$G$1:$ABN$500,R$2,0),$A$298,INDEX(Техника!$H$1:$ABO$500,R$2,0),"Д")</f>
        <v>0</v>
      </c>
      <c r="S300" s="50">
        <f>SUMIFS(INDEX(Техника!$F$1:$ABM$500,S$2,0),Техника!$F$4:$ABM$4,"Часы",INDEX(Техника!$G$1:$ABN$500,S$2,0),$A$298,INDEX(Техника!$H$1:$ABO$500,S$2,0),"Д")</f>
        <v>0</v>
      </c>
      <c r="T300" s="50">
        <f>SUMIFS(INDEX(Техника!$F$1:$ABM$500,T$2,0),Техника!$F$4:$ABM$4,"Часы",INDEX(Техника!$G$1:$ABN$500,T$2,0),$A$298,INDEX(Техника!$H$1:$ABO$500,T$2,0),"Д")</f>
        <v>0</v>
      </c>
      <c r="U300" s="50">
        <f>SUMIFS(INDEX(Техника!$F$1:$ABM$500,U$2,0),Техника!$F$4:$ABM$4,"Часы",INDEX(Техника!$G$1:$ABN$500,U$2,0),$A$298,INDEX(Техника!$H$1:$ABO$500,U$2,0),"Д")</f>
        <v>0</v>
      </c>
      <c r="V300" s="50">
        <f>SUMIFS(INDEX(Техника!$F$1:$ABM$500,V$2,0),Техника!$F$4:$ABM$4,"Часы",INDEX(Техника!$G$1:$ABN$500,V$2,0),$A$298,INDEX(Техника!$H$1:$ABO$500,V$2,0),"Д")</f>
        <v>0</v>
      </c>
      <c r="W300" s="50">
        <f>SUMIFS(INDEX(Техника!$F$1:$ABM$500,W$2,0),Техника!$F$4:$ABM$4,"Часы",INDEX(Техника!$G$1:$ABN$500,W$2,0),$A$298,INDEX(Техника!$H$1:$ABO$500,W$2,0),"Д")</f>
        <v>0</v>
      </c>
      <c r="X300" s="50">
        <f>SUMIFS(INDEX(Техника!$F$1:$ABM$500,X$2,0),Техника!$F$4:$ABM$4,"Часы",INDEX(Техника!$G$1:$ABN$500,X$2,0),$A$298,INDEX(Техника!$H$1:$ABO$500,X$2,0),"Д")</f>
        <v>0</v>
      </c>
      <c r="Y300" s="50">
        <f>SUMIFS(INDEX(Техника!$F$1:$ABM$500,Y$2,0),Техника!$F$4:$ABM$4,"Часы",INDEX(Техника!$G$1:$ABN$500,Y$2,0),$A$298,INDEX(Техника!$H$1:$ABO$500,Y$2,0),"Д")</f>
        <v>0</v>
      </c>
      <c r="Z300" s="50">
        <f>SUMIFS(INDEX(Техника!$F$1:$ABM$500,Z$2,0),Техника!$F$4:$ABM$4,"Часы",INDEX(Техника!$G$1:$ABN$500,Z$2,0),$A$298,INDEX(Техника!$H$1:$ABO$500,Z$2,0),"Д")</f>
        <v>0</v>
      </c>
      <c r="AA300" s="50">
        <f>SUMIFS(INDEX(Техника!$F$1:$ABM$500,AA$2,0),Техника!$F$4:$ABM$4,"Часы",INDEX(Техника!$G$1:$ABN$500,AA$2,0),$A$298,INDEX(Техника!$H$1:$ABO$500,AA$2,0),"Д")</f>
        <v>0</v>
      </c>
      <c r="AB300" s="50">
        <f>SUMIFS(INDEX(Техника!$F$1:$ABM$500,AB$2,0),Техника!$F$4:$ABM$4,"Часы",INDEX(Техника!$G$1:$ABN$500,AB$2,0),$A$298,INDEX(Техника!$H$1:$ABO$500,AB$2,0),"Д")</f>
        <v>0</v>
      </c>
    </row>
    <row r="301" spans="1:28" hidden="1" outlineLevel="1" x14ac:dyDescent="0.3">
      <c r="A301" s="33" t="s">
        <v>276</v>
      </c>
      <c r="B301" s="34" t="s">
        <v>277</v>
      </c>
      <c r="C301" s="50">
        <f>SUMIFS(INDEX(Техника!$F$1:$ABM$500,C$2,0),Техника!$F$4:$ABM$4,"Часы",INDEX(Техника!$G$1:$ABN$500,C$2,0),$A$298,INDEX(Техника!$H$1:$ABO$500,C$2,0),"П")</f>
        <v>0</v>
      </c>
      <c r="D301" s="50">
        <f>SUMIFS(INDEX(Техника!$F$1:$ABM$500,D$2,0),Техника!$F$4:$ABM$4,"Часы",INDEX(Техника!$G$1:$ABN$500,D$2,0),$A$298,INDEX(Техника!$H$1:$ABO$500,D$2,0),"П")</f>
        <v>0</v>
      </c>
      <c r="E301" s="50">
        <f>SUMIFS(INDEX(Техника!$F$1:$ABM$500,E$2,0),Техника!$F$4:$ABM$4,"Часы",INDEX(Техника!$G$1:$ABN$500,E$2,0),$A$298,INDEX(Техника!$H$1:$ABO$500,E$2,0),"П")</f>
        <v>0</v>
      </c>
      <c r="F301" s="50">
        <f>SUMIFS(INDEX(Техника!$F$1:$ABM$500,F$2,0),Техника!$F$4:$ABM$4,"Часы",INDEX(Техника!$G$1:$ABN$500,F$2,0),$A$298,INDEX(Техника!$H$1:$ABO$500,F$2,0),"П")</f>
        <v>0</v>
      </c>
      <c r="G301" s="50">
        <f>SUMIFS(INDEX(Техника!$F$1:$ABM$500,G$2,0),Техника!$F$4:$ABM$4,"Часы",INDEX(Техника!$G$1:$ABN$500,G$2,0),$A$298,INDEX(Техника!$H$1:$ABO$500,G$2,0),"П")</f>
        <v>0</v>
      </c>
      <c r="H301" s="50">
        <f>SUMIFS(INDEX(Техника!$F$1:$ABM$500,H$2,0),Техника!$F$4:$ABM$4,"Часы",INDEX(Техника!$G$1:$ABN$500,H$2,0),$A$298,INDEX(Техника!$H$1:$ABO$500,H$2,0),"П")</f>
        <v>0</v>
      </c>
      <c r="I301" s="50">
        <f>SUMIFS(INDEX(Техника!$F$1:$ABM$500,I$2,0),Техника!$F$4:$ABM$4,"Часы",INDEX(Техника!$G$1:$ABN$500,I$2,0),$A$298,INDEX(Техника!$H$1:$ABO$500,I$2,0),"П")</f>
        <v>0</v>
      </c>
      <c r="J301" s="50">
        <f>SUMIFS(INDEX(Техника!$F$1:$ABM$500,J$2,0),Техника!$F$4:$ABM$4,"Часы",INDEX(Техника!$G$1:$ABN$500,J$2,0),$A$298,INDEX(Техника!$H$1:$ABO$500,J$2,0),"П")</f>
        <v>0</v>
      </c>
      <c r="K301" s="50">
        <f>SUMIFS(INDEX(Техника!$F$1:$ABM$500,K$2,0),Техника!$F$4:$ABM$4,"Часы",INDEX(Техника!$G$1:$ABN$500,K$2,0),$A$298,INDEX(Техника!$H$1:$ABO$500,K$2,0),"П")</f>
        <v>0</v>
      </c>
      <c r="L301" s="50">
        <f>SUMIFS(INDEX(Техника!$F$1:$ABM$500,L$2,0),Техника!$F$4:$ABM$4,"Часы",INDEX(Техника!$G$1:$ABN$500,L$2,0),$A$298,INDEX(Техника!$H$1:$ABO$500,L$2,0),"П")</f>
        <v>0</v>
      </c>
      <c r="M301" s="50">
        <f>SUMIFS(INDEX(Техника!$F$1:$ABM$500,M$2,0),Техника!$F$4:$ABM$4,"Часы",INDEX(Техника!$G$1:$ABN$500,M$2,0),$A$298,INDEX(Техника!$H$1:$ABO$500,M$2,0),"П")</f>
        <v>0</v>
      </c>
      <c r="N301" s="50">
        <f>SUMIFS(INDEX(Техника!$F$1:$ABM$500,N$2,0),Техника!$F$4:$ABM$4,"Часы",INDEX(Техника!$G$1:$ABN$500,N$2,0),$A$298,INDEX(Техника!$H$1:$ABO$500,N$2,0),"П")</f>
        <v>0</v>
      </c>
      <c r="O301" s="50">
        <f>SUMIFS(INDEX(Техника!$F$1:$ABM$500,O$2,0),Техника!$F$4:$ABM$4,"Часы",INDEX(Техника!$G$1:$ABN$500,O$2,0),$A$298,INDEX(Техника!$H$1:$ABO$500,O$2,0),"П")</f>
        <v>0</v>
      </c>
      <c r="P301" s="50">
        <f>SUMIFS(INDEX(Техника!$F$1:$ABM$500,P$2,0),Техника!$F$4:$ABM$4,"Часы",INDEX(Техника!$G$1:$ABN$500,P$2,0),$A$298,INDEX(Техника!$H$1:$ABO$500,P$2,0),"П")</f>
        <v>0</v>
      </c>
      <c r="Q301" s="50">
        <f>SUMIFS(INDEX(Техника!$F$1:$ABM$500,Q$2,0),Техника!$F$4:$ABM$4,"Часы",INDEX(Техника!$G$1:$ABN$500,Q$2,0),$A$298,INDEX(Техника!$H$1:$ABO$500,Q$2,0),"П")</f>
        <v>0</v>
      </c>
      <c r="R301" s="50">
        <f>SUMIFS(INDEX(Техника!$F$1:$ABM$500,R$2,0),Техника!$F$4:$ABM$4,"Часы",INDEX(Техника!$G$1:$ABN$500,R$2,0),$A$298,INDEX(Техника!$H$1:$ABO$500,R$2,0),"П")</f>
        <v>0</v>
      </c>
      <c r="S301" s="50">
        <f>SUMIFS(INDEX(Техника!$F$1:$ABM$500,S$2,0),Техника!$F$4:$ABM$4,"Часы",INDEX(Техника!$G$1:$ABN$500,S$2,0),$A$298,INDEX(Техника!$H$1:$ABO$500,S$2,0),"П")</f>
        <v>0</v>
      </c>
      <c r="T301" s="50">
        <f>SUMIFS(INDEX(Техника!$F$1:$ABM$500,T$2,0),Техника!$F$4:$ABM$4,"Часы",INDEX(Техника!$G$1:$ABN$500,T$2,0),$A$298,INDEX(Техника!$H$1:$ABO$500,T$2,0),"П")</f>
        <v>0</v>
      </c>
      <c r="U301" s="50">
        <f>SUMIFS(INDEX(Техника!$F$1:$ABM$500,U$2,0),Техника!$F$4:$ABM$4,"Часы",INDEX(Техника!$G$1:$ABN$500,U$2,0),$A$298,INDEX(Техника!$H$1:$ABO$500,U$2,0),"П")</f>
        <v>0</v>
      </c>
      <c r="V301" s="50">
        <f>SUMIFS(INDEX(Техника!$F$1:$ABM$500,V$2,0),Техника!$F$4:$ABM$4,"Часы",INDEX(Техника!$G$1:$ABN$500,V$2,0),$A$298,INDEX(Техника!$H$1:$ABO$500,V$2,0),"П")</f>
        <v>0</v>
      </c>
      <c r="W301" s="50">
        <f>SUMIFS(INDEX(Техника!$F$1:$ABM$500,W$2,0),Техника!$F$4:$ABM$4,"Часы",INDEX(Техника!$G$1:$ABN$500,W$2,0),$A$298,INDEX(Техника!$H$1:$ABO$500,W$2,0),"П")</f>
        <v>0</v>
      </c>
      <c r="X301" s="50">
        <f>SUMIFS(INDEX(Техника!$F$1:$ABM$500,X$2,0),Техника!$F$4:$ABM$4,"Часы",INDEX(Техника!$G$1:$ABN$500,X$2,0),$A$298,INDEX(Техника!$H$1:$ABO$500,X$2,0),"П")</f>
        <v>0</v>
      </c>
      <c r="Y301" s="50">
        <f>SUMIFS(INDEX(Техника!$F$1:$ABM$500,Y$2,0),Техника!$F$4:$ABM$4,"Часы",INDEX(Техника!$G$1:$ABN$500,Y$2,0),$A$298,INDEX(Техника!$H$1:$ABO$500,Y$2,0),"П")</f>
        <v>0</v>
      </c>
      <c r="Z301" s="50">
        <f>SUMIFS(INDEX(Техника!$F$1:$ABM$500,Z$2,0),Техника!$F$4:$ABM$4,"Часы",INDEX(Техника!$G$1:$ABN$500,Z$2,0),$A$298,INDEX(Техника!$H$1:$ABO$500,Z$2,0),"П")</f>
        <v>0</v>
      </c>
      <c r="AA301" s="50">
        <f>SUMIFS(INDEX(Техника!$F$1:$ABM$500,AA$2,0),Техника!$F$4:$ABM$4,"Часы",INDEX(Техника!$G$1:$ABN$500,AA$2,0),$A$298,INDEX(Техника!$H$1:$ABO$500,AA$2,0),"П")</f>
        <v>0</v>
      </c>
      <c r="AB301" s="50">
        <f>SUMIFS(INDEX(Техника!$F$1:$ABM$500,AB$2,0),Техника!$F$4:$ABM$4,"Часы",INDEX(Техника!$G$1:$ABN$500,AB$2,0),$A$298,INDEX(Техника!$H$1:$ABO$500,AB$2,0),"П")</f>
        <v>0</v>
      </c>
    </row>
    <row r="302" spans="1:28" hidden="1" outlineLevel="1" x14ac:dyDescent="0.3">
      <c r="A302" s="33" t="s">
        <v>243</v>
      </c>
      <c r="B302" s="34" t="s">
        <v>278</v>
      </c>
      <c r="C302" s="50">
        <f>SUMIFS(INDEX(Техника!$F$1:$ABM$500,C$2,0),Техника!$F$4:$ABM$4,"Часы",INDEX(Техника!$G$1:$ABN$500,C$2,0),$A$298,INDEX(Техника!$H$1:$ABO$500,C$2,0),"Л")</f>
        <v>0</v>
      </c>
      <c r="D302" s="50">
        <f>SUMIFS(INDEX(Техника!$F$1:$ABM$500,D$2,0),Техника!$F$4:$ABM$4,"Часы",INDEX(Техника!$G$1:$ABN$500,D$2,0),$A$298,INDEX(Техника!$H$1:$ABO$500,D$2,0),"Л")</f>
        <v>0</v>
      </c>
      <c r="E302" s="50">
        <f>SUMIFS(INDEX(Техника!$F$1:$ABM$500,E$2,0),Техника!$F$4:$ABM$4,"Часы",INDEX(Техника!$G$1:$ABN$500,E$2,0),$A$298,INDEX(Техника!$H$1:$ABO$500,E$2,0),"Л")</f>
        <v>0</v>
      </c>
      <c r="F302" s="50">
        <f>SUMIFS(INDEX(Техника!$F$1:$ABM$500,F$2,0),Техника!$F$4:$ABM$4,"Часы",INDEX(Техника!$G$1:$ABN$500,F$2,0),$A$298,INDEX(Техника!$H$1:$ABO$500,F$2,0),"Л")</f>
        <v>0</v>
      </c>
      <c r="G302" s="50">
        <f>SUMIFS(INDEX(Техника!$F$1:$ABM$500,G$2,0),Техника!$F$4:$ABM$4,"Часы",INDEX(Техника!$G$1:$ABN$500,G$2,0),$A$298,INDEX(Техника!$H$1:$ABO$500,G$2,0),"Л")</f>
        <v>0</v>
      </c>
      <c r="H302" s="50">
        <f>SUMIFS(INDEX(Техника!$F$1:$ABM$500,H$2,0),Техника!$F$4:$ABM$4,"Часы",INDEX(Техника!$G$1:$ABN$500,H$2,0),$A$298,INDEX(Техника!$H$1:$ABO$500,H$2,0),"Л")</f>
        <v>0</v>
      </c>
      <c r="I302" s="50">
        <f>SUMIFS(INDEX(Техника!$F$1:$ABM$500,I$2,0),Техника!$F$4:$ABM$4,"Часы",INDEX(Техника!$G$1:$ABN$500,I$2,0),$A$298,INDEX(Техника!$H$1:$ABO$500,I$2,0),"Л")</f>
        <v>0</v>
      </c>
      <c r="J302" s="50">
        <f>SUMIFS(INDEX(Техника!$F$1:$ABM$500,J$2,0),Техника!$F$4:$ABM$4,"Часы",INDEX(Техника!$G$1:$ABN$500,J$2,0),$A$298,INDEX(Техника!$H$1:$ABO$500,J$2,0),"Л")</f>
        <v>0</v>
      </c>
      <c r="K302" s="50">
        <f>SUMIFS(INDEX(Техника!$F$1:$ABM$500,K$2,0),Техника!$F$4:$ABM$4,"Часы",INDEX(Техника!$G$1:$ABN$500,K$2,0),$A$298,INDEX(Техника!$H$1:$ABO$500,K$2,0),"Л")</f>
        <v>0</v>
      </c>
      <c r="L302" s="50">
        <f>SUMIFS(INDEX(Техника!$F$1:$ABM$500,L$2,0),Техника!$F$4:$ABM$4,"Часы",INDEX(Техника!$G$1:$ABN$500,L$2,0),$A$298,INDEX(Техника!$H$1:$ABO$500,L$2,0),"Л")</f>
        <v>0</v>
      </c>
      <c r="M302" s="50">
        <f>SUMIFS(INDEX(Техника!$F$1:$ABM$500,M$2,0),Техника!$F$4:$ABM$4,"Часы",INDEX(Техника!$G$1:$ABN$500,M$2,0),$A$298,INDEX(Техника!$H$1:$ABO$500,M$2,0),"Л")</f>
        <v>0</v>
      </c>
      <c r="N302" s="50">
        <f>SUMIFS(INDEX(Техника!$F$1:$ABM$500,N$2,0),Техника!$F$4:$ABM$4,"Часы",INDEX(Техника!$G$1:$ABN$500,N$2,0),$A$298,INDEX(Техника!$H$1:$ABO$500,N$2,0),"Л")</f>
        <v>0</v>
      </c>
      <c r="O302" s="50">
        <f>SUMIFS(INDEX(Техника!$F$1:$ABM$500,O$2,0),Техника!$F$4:$ABM$4,"Часы",INDEX(Техника!$G$1:$ABN$500,O$2,0),$A$298,INDEX(Техника!$H$1:$ABO$500,O$2,0),"Л")</f>
        <v>0</v>
      </c>
      <c r="P302" s="50">
        <f>SUMIFS(INDEX(Техника!$F$1:$ABM$500,P$2,0),Техника!$F$4:$ABM$4,"Часы",INDEX(Техника!$G$1:$ABN$500,P$2,0),$A$298,INDEX(Техника!$H$1:$ABO$500,P$2,0),"Л")</f>
        <v>0</v>
      </c>
      <c r="Q302" s="50">
        <f>SUMIFS(INDEX(Техника!$F$1:$ABM$500,Q$2,0),Техника!$F$4:$ABM$4,"Часы",INDEX(Техника!$G$1:$ABN$500,Q$2,0),$A$298,INDEX(Техника!$H$1:$ABO$500,Q$2,0),"Л")</f>
        <v>0</v>
      </c>
      <c r="R302" s="50">
        <f>SUMIFS(INDEX(Техника!$F$1:$ABM$500,R$2,0),Техника!$F$4:$ABM$4,"Часы",INDEX(Техника!$G$1:$ABN$500,R$2,0),$A$298,INDEX(Техника!$H$1:$ABO$500,R$2,0),"Л")</f>
        <v>0</v>
      </c>
      <c r="S302" s="50">
        <f>SUMIFS(INDEX(Техника!$F$1:$ABM$500,S$2,0),Техника!$F$4:$ABM$4,"Часы",INDEX(Техника!$G$1:$ABN$500,S$2,0),$A$298,INDEX(Техника!$H$1:$ABO$500,S$2,0),"Л")</f>
        <v>0</v>
      </c>
      <c r="T302" s="50">
        <f>SUMIFS(INDEX(Техника!$F$1:$ABM$500,T$2,0),Техника!$F$4:$ABM$4,"Часы",INDEX(Техника!$G$1:$ABN$500,T$2,0),$A$298,INDEX(Техника!$H$1:$ABO$500,T$2,0),"Л")</f>
        <v>0</v>
      </c>
      <c r="U302" s="50">
        <f>SUMIFS(INDEX(Техника!$F$1:$ABM$500,U$2,0),Техника!$F$4:$ABM$4,"Часы",INDEX(Техника!$G$1:$ABN$500,U$2,0),$A$298,INDEX(Техника!$H$1:$ABO$500,U$2,0),"Л")</f>
        <v>0</v>
      </c>
      <c r="V302" s="50">
        <f>SUMIFS(INDEX(Техника!$F$1:$ABM$500,V$2,0),Техника!$F$4:$ABM$4,"Часы",INDEX(Техника!$G$1:$ABN$500,V$2,0),$A$298,INDEX(Техника!$H$1:$ABO$500,V$2,0),"Л")</f>
        <v>0</v>
      </c>
      <c r="W302" s="50">
        <f>SUMIFS(INDEX(Техника!$F$1:$ABM$500,W$2,0),Техника!$F$4:$ABM$4,"Часы",INDEX(Техника!$G$1:$ABN$500,W$2,0),$A$298,INDEX(Техника!$H$1:$ABO$500,W$2,0),"Л")</f>
        <v>0</v>
      </c>
      <c r="X302" s="50">
        <f>SUMIFS(INDEX(Техника!$F$1:$ABM$500,X$2,0),Техника!$F$4:$ABM$4,"Часы",INDEX(Техника!$G$1:$ABN$500,X$2,0),$A$298,INDEX(Техника!$H$1:$ABO$500,X$2,0),"Л")</f>
        <v>0</v>
      </c>
      <c r="Y302" s="50">
        <f>SUMIFS(INDEX(Техника!$F$1:$ABM$500,Y$2,0),Техника!$F$4:$ABM$4,"Часы",INDEX(Техника!$G$1:$ABN$500,Y$2,0),$A$298,INDEX(Техника!$H$1:$ABO$500,Y$2,0),"Л")</f>
        <v>0</v>
      </c>
      <c r="Z302" s="50">
        <f>SUMIFS(INDEX(Техника!$F$1:$ABM$500,Z$2,0),Техника!$F$4:$ABM$4,"Часы",INDEX(Техника!$G$1:$ABN$500,Z$2,0),$A$298,INDEX(Техника!$H$1:$ABO$500,Z$2,0),"Л")</f>
        <v>0</v>
      </c>
      <c r="AA302" s="50">
        <f>SUMIFS(INDEX(Техника!$F$1:$ABM$500,AA$2,0),Техника!$F$4:$ABM$4,"Часы",INDEX(Техника!$G$1:$ABN$500,AA$2,0),$A$298,INDEX(Техника!$H$1:$ABO$500,AA$2,0),"Л")</f>
        <v>0</v>
      </c>
      <c r="AB302" s="50">
        <f>SUMIFS(INDEX(Техника!$F$1:$ABM$500,AB$2,0),Техника!$F$4:$ABM$4,"Часы",INDEX(Техника!$G$1:$ABN$500,AB$2,0),$A$298,INDEX(Техника!$H$1:$ABO$500,AB$2,0),"Л")</f>
        <v>0</v>
      </c>
    </row>
    <row r="303" spans="1:28" hidden="1" outlineLevel="1" x14ac:dyDescent="0.3">
      <c r="A303" s="33" t="s">
        <v>245</v>
      </c>
      <c r="B303" s="34" t="s">
        <v>279</v>
      </c>
      <c r="C303" s="50">
        <f>SUMIFS(INDEX(Техника!$F$1:$ABM$500,C$2,0),Техника!$F$4:$ABM$4,"Часы",INDEX(Техника!$G$1:$ABN$500,C$2,0),$A$298,INDEX(Техника!$H$1:$ABO$500,C$2,0),"З")</f>
        <v>0</v>
      </c>
      <c r="D303" s="50">
        <f>SUMIFS(INDEX(Техника!$F$1:$ABM$500,D$2,0),Техника!$F$4:$ABM$4,"Часы",INDEX(Техника!$G$1:$ABN$500,D$2,0),$A$298,INDEX(Техника!$H$1:$ABO$500,D$2,0),"З")</f>
        <v>0</v>
      </c>
      <c r="E303" s="50">
        <f>SUMIFS(INDEX(Техника!$F$1:$ABM$500,E$2,0),Техника!$F$4:$ABM$4,"Часы",INDEX(Техника!$G$1:$ABN$500,E$2,0),$A$298,INDEX(Техника!$H$1:$ABO$500,E$2,0),"З")</f>
        <v>0</v>
      </c>
      <c r="F303" s="50">
        <f>SUMIFS(INDEX(Техника!$F$1:$ABM$500,F$2,0),Техника!$F$4:$ABM$4,"Часы",INDEX(Техника!$G$1:$ABN$500,F$2,0),$A$298,INDEX(Техника!$H$1:$ABO$500,F$2,0),"З")</f>
        <v>0</v>
      </c>
      <c r="G303" s="50">
        <f>SUMIFS(INDEX(Техника!$F$1:$ABM$500,G$2,0),Техника!$F$4:$ABM$4,"Часы",INDEX(Техника!$G$1:$ABN$500,G$2,0),$A$298,INDEX(Техника!$H$1:$ABO$500,G$2,0),"З")</f>
        <v>0</v>
      </c>
      <c r="H303" s="50">
        <f>SUMIFS(INDEX(Техника!$F$1:$ABM$500,H$2,0),Техника!$F$4:$ABM$4,"Часы",INDEX(Техника!$G$1:$ABN$500,H$2,0),$A$298,INDEX(Техника!$H$1:$ABO$500,H$2,0),"З")</f>
        <v>0</v>
      </c>
      <c r="I303" s="50">
        <f>SUMIFS(INDEX(Техника!$F$1:$ABM$500,I$2,0),Техника!$F$4:$ABM$4,"Часы",INDEX(Техника!$G$1:$ABN$500,I$2,0),$A$298,INDEX(Техника!$H$1:$ABO$500,I$2,0),"З")</f>
        <v>0</v>
      </c>
      <c r="J303" s="50">
        <f>SUMIFS(INDEX(Техника!$F$1:$ABM$500,J$2,0),Техника!$F$4:$ABM$4,"Часы",INDEX(Техника!$G$1:$ABN$500,J$2,0),$A$298,INDEX(Техника!$H$1:$ABO$500,J$2,0),"З")</f>
        <v>0</v>
      </c>
      <c r="K303" s="50">
        <f>SUMIFS(INDEX(Техника!$F$1:$ABM$500,K$2,0),Техника!$F$4:$ABM$4,"Часы",INDEX(Техника!$G$1:$ABN$500,K$2,0),$A$298,INDEX(Техника!$H$1:$ABO$500,K$2,0),"З")</f>
        <v>0</v>
      </c>
      <c r="L303" s="50">
        <f>SUMIFS(INDEX(Техника!$F$1:$ABM$500,L$2,0),Техника!$F$4:$ABM$4,"Часы",INDEX(Техника!$G$1:$ABN$500,L$2,0),$A$298,INDEX(Техника!$H$1:$ABO$500,L$2,0),"З")</f>
        <v>0</v>
      </c>
      <c r="M303" s="50">
        <f>SUMIFS(INDEX(Техника!$F$1:$ABM$500,M$2,0),Техника!$F$4:$ABM$4,"Часы",INDEX(Техника!$G$1:$ABN$500,M$2,0),$A$298,INDEX(Техника!$H$1:$ABO$500,M$2,0),"З")</f>
        <v>0</v>
      </c>
      <c r="N303" s="50">
        <f>SUMIFS(INDEX(Техника!$F$1:$ABM$500,N$2,0),Техника!$F$4:$ABM$4,"Часы",INDEX(Техника!$G$1:$ABN$500,N$2,0),$A$298,INDEX(Техника!$H$1:$ABO$500,N$2,0),"З")</f>
        <v>0</v>
      </c>
      <c r="O303" s="50">
        <f>SUMIFS(INDEX(Техника!$F$1:$ABM$500,O$2,0),Техника!$F$4:$ABM$4,"Часы",INDEX(Техника!$G$1:$ABN$500,O$2,0),$A$298,INDEX(Техника!$H$1:$ABO$500,O$2,0),"З")</f>
        <v>0</v>
      </c>
      <c r="P303" s="50">
        <f>SUMIFS(INDEX(Техника!$F$1:$ABM$500,P$2,0),Техника!$F$4:$ABM$4,"Часы",INDEX(Техника!$G$1:$ABN$500,P$2,0),$A$298,INDEX(Техника!$H$1:$ABO$500,P$2,0),"З")</f>
        <v>0</v>
      </c>
      <c r="Q303" s="50">
        <f>SUMIFS(INDEX(Техника!$F$1:$ABM$500,Q$2,0),Техника!$F$4:$ABM$4,"Часы",INDEX(Техника!$G$1:$ABN$500,Q$2,0),$A$298,INDEX(Техника!$H$1:$ABO$500,Q$2,0),"З")</f>
        <v>0</v>
      </c>
      <c r="R303" s="50">
        <f>SUMIFS(INDEX(Техника!$F$1:$ABM$500,R$2,0),Техника!$F$4:$ABM$4,"Часы",INDEX(Техника!$G$1:$ABN$500,R$2,0),$A$298,INDEX(Техника!$H$1:$ABO$500,R$2,0),"З")</f>
        <v>0</v>
      </c>
      <c r="S303" s="50">
        <f>SUMIFS(INDEX(Техника!$F$1:$ABM$500,S$2,0),Техника!$F$4:$ABM$4,"Часы",INDEX(Техника!$G$1:$ABN$500,S$2,0),$A$298,INDEX(Техника!$H$1:$ABO$500,S$2,0),"З")</f>
        <v>0</v>
      </c>
      <c r="T303" s="50">
        <f>SUMIFS(INDEX(Техника!$F$1:$ABM$500,T$2,0),Техника!$F$4:$ABM$4,"Часы",INDEX(Техника!$G$1:$ABN$500,T$2,0),$A$298,INDEX(Техника!$H$1:$ABO$500,T$2,0),"З")</f>
        <v>0</v>
      </c>
      <c r="U303" s="50">
        <f>SUMIFS(INDEX(Техника!$F$1:$ABM$500,U$2,0),Техника!$F$4:$ABM$4,"Часы",INDEX(Техника!$G$1:$ABN$500,U$2,0),$A$298,INDEX(Техника!$H$1:$ABO$500,U$2,0),"З")</f>
        <v>0</v>
      </c>
      <c r="V303" s="50">
        <f>SUMIFS(INDEX(Техника!$F$1:$ABM$500,V$2,0),Техника!$F$4:$ABM$4,"Часы",INDEX(Техника!$G$1:$ABN$500,V$2,0),$A$298,INDEX(Техника!$H$1:$ABO$500,V$2,0),"З")</f>
        <v>0</v>
      </c>
      <c r="W303" s="50">
        <f>SUMIFS(INDEX(Техника!$F$1:$ABM$500,W$2,0),Техника!$F$4:$ABM$4,"Часы",INDEX(Техника!$G$1:$ABN$500,W$2,0),$A$298,INDEX(Техника!$H$1:$ABO$500,W$2,0),"З")</f>
        <v>0</v>
      </c>
      <c r="X303" s="50">
        <f>SUMIFS(INDEX(Техника!$F$1:$ABM$500,X$2,0),Техника!$F$4:$ABM$4,"Часы",INDEX(Техника!$G$1:$ABN$500,X$2,0),$A$298,INDEX(Техника!$H$1:$ABO$500,X$2,0),"З")</f>
        <v>0</v>
      </c>
      <c r="Y303" s="50">
        <f>SUMIFS(INDEX(Техника!$F$1:$ABM$500,Y$2,0),Техника!$F$4:$ABM$4,"Часы",INDEX(Техника!$G$1:$ABN$500,Y$2,0),$A$298,INDEX(Техника!$H$1:$ABO$500,Y$2,0),"З")</f>
        <v>0</v>
      </c>
      <c r="Z303" s="50">
        <f>SUMIFS(INDEX(Техника!$F$1:$ABM$500,Z$2,0),Техника!$F$4:$ABM$4,"Часы",INDEX(Техника!$G$1:$ABN$500,Z$2,0),$A$298,INDEX(Техника!$H$1:$ABO$500,Z$2,0),"З")</f>
        <v>0</v>
      </c>
      <c r="AA303" s="50">
        <f>SUMIFS(INDEX(Техника!$F$1:$ABM$500,AA$2,0),Техника!$F$4:$ABM$4,"Часы",INDEX(Техника!$G$1:$ABN$500,AA$2,0),$A$298,INDEX(Техника!$H$1:$ABO$500,AA$2,0),"З")</f>
        <v>0</v>
      </c>
      <c r="AB303" s="50">
        <f>SUMIFS(INDEX(Техника!$F$1:$ABM$500,AB$2,0),Техника!$F$4:$ABM$4,"Часы",INDEX(Техника!$G$1:$ABN$500,AB$2,0),$A$298,INDEX(Техника!$H$1:$ABO$500,AB$2,0),"З")</f>
        <v>0</v>
      </c>
    </row>
    <row r="304" spans="1:28" ht="7.95" customHeight="1" x14ac:dyDescent="0.3">
      <c r="A304" s="38"/>
      <c r="B304" s="39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</row>
    <row r="305" spans="1:28" ht="25.05" customHeight="1" collapsed="1" x14ac:dyDescent="0.3">
      <c r="A305" s="32">
        <v>44</v>
      </c>
      <c r="B305" s="32" t="s">
        <v>45</v>
      </c>
      <c r="C305" s="49">
        <f>SUM(C306:C310)</f>
        <v>0</v>
      </c>
      <c r="D305" s="49">
        <f>SUM(D306:D310)</f>
        <v>0</v>
      </c>
      <c r="E305" s="49">
        <f>SUM(E306:E310)</f>
        <v>0</v>
      </c>
      <c r="F305" s="49">
        <f>SUM(F306:F310)</f>
        <v>0</v>
      </c>
      <c r="G305" s="49">
        <f>SUM(G306:G310)</f>
        <v>0</v>
      </c>
      <c r="H305" s="49">
        <f>SUM(H306:H310)</f>
        <v>0</v>
      </c>
      <c r="I305" s="49">
        <f>SUM(I306:I310)</f>
        <v>0</v>
      </c>
      <c r="J305" s="49">
        <f>SUM(J306:J310)</f>
        <v>0</v>
      </c>
      <c r="K305" s="49">
        <f>SUM(K306:K310)</f>
        <v>0</v>
      </c>
      <c r="L305" s="49">
        <f>SUM(L306:L310)</f>
        <v>0</v>
      </c>
      <c r="M305" s="49">
        <f>SUM(M306:M310)</f>
        <v>0</v>
      </c>
      <c r="N305" s="49">
        <f>SUM(N306:N310)</f>
        <v>0</v>
      </c>
      <c r="O305" s="49">
        <f>SUM(O306:O310)</f>
        <v>0</v>
      </c>
      <c r="P305" s="49">
        <f>SUM(P306:P310)</f>
        <v>0</v>
      </c>
      <c r="Q305" s="49">
        <f>SUM(Q306:Q310)</f>
        <v>0</v>
      </c>
      <c r="R305" s="49">
        <f>SUM(R306:R310)</f>
        <v>0</v>
      </c>
      <c r="S305" s="49">
        <f>SUM(S306:S310)</f>
        <v>0</v>
      </c>
      <c r="T305" s="49">
        <f>SUM(T306:T310)</f>
        <v>0</v>
      </c>
      <c r="U305" s="49">
        <f>SUM(U306:U310)</f>
        <v>0</v>
      </c>
      <c r="V305" s="49">
        <f>SUM(V306:V310)</f>
        <v>0</v>
      </c>
      <c r="W305" s="49">
        <f>SUM(W306:W310)</f>
        <v>0</v>
      </c>
      <c r="X305" s="49">
        <f>SUM(X306:X310)</f>
        <v>0</v>
      </c>
      <c r="Y305" s="49">
        <f>SUM(Y306:Y310)</f>
        <v>0</v>
      </c>
      <c r="Z305" s="49">
        <f>SUM(Z306:Z310)</f>
        <v>0</v>
      </c>
      <c r="AA305" s="49">
        <f>SUM(AA306:AA310)</f>
        <v>0</v>
      </c>
      <c r="AB305" s="49">
        <f>SUM(AB306:AB310)</f>
        <v>0</v>
      </c>
    </row>
    <row r="306" spans="1:28" hidden="1" outlineLevel="1" x14ac:dyDescent="0.3">
      <c r="A306" s="33" t="s">
        <v>246</v>
      </c>
      <c r="B306" s="34" t="s">
        <v>274</v>
      </c>
      <c r="C306" s="50">
        <f>SUMIFS(INDEX(Техника!$F$1:$ABM$500,C$2,0),Техника!$F$4:$ABM$4,"Часы",INDEX(Техника!$G$1:$ABN$500,C$2,0),$A$305,INDEX(Техника!$H$1:$ABO$500,C$2,0),"М")</f>
        <v>0</v>
      </c>
      <c r="D306" s="50">
        <f>SUMIFS(INDEX(Техника!$F$1:$ABM$500,D$2,0),Техника!$F$4:$ABM$4,"Часы",INDEX(Техника!$G$1:$ABN$500,D$2,0),$A$305,INDEX(Техника!$H$1:$ABO$500,D$2,0),"М")</f>
        <v>0</v>
      </c>
      <c r="E306" s="50">
        <f>SUMIFS(INDEX(Техника!$F$1:$ABM$500,E$2,0),Техника!$F$4:$ABM$4,"Часы",INDEX(Техника!$G$1:$ABN$500,E$2,0),$A$305,INDEX(Техника!$H$1:$ABO$500,E$2,0),"М")</f>
        <v>0</v>
      </c>
      <c r="F306" s="50">
        <f>SUMIFS(INDEX(Техника!$F$1:$ABM$500,F$2,0),Техника!$F$4:$ABM$4,"Часы",INDEX(Техника!$G$1:$ABN$500,F$2,0),$A$305,INDEX(Техника!$H$1:$ABO$500,F$2,0),"М")</f>
        <v>0</v>
      </c>
      <c r="G306" s="50">
        <f>SUMIFS(INDEX(Техника!$F$1:$ABM$500,G$2,0),Техника!$F$4:$ABM$4,"Часы",INDEX(Техника!$G$1:$ABN$500,G$2,0),$A$305,INDEX(Техника!$H$1:$ABO$500,G$2,0),"М")</f>
        <v>0</v>
      </c>
      <c r="H306" s="50">
        <f>SUMIFS(INDEX(Техника!$F$1:$ABM$500,H$2,0),Техника!$F$4:$ABM$4,"Часы",INDEX(Техника!$G$1:$ABN$500,H$2,0),$A$305,INDEX(Техника!$H$1:$ABO$500,H$2,0),"М")</f>
        <v>0</v>
      </c>
      <c r="I306" s="50">
        <f>SUMIFS(INDEX(Техника!$F$1:$ABM$500,I$2,0),Техника!$F$4:$ABM$4,"Часы",INDEX(Техника!$G$1:$ABN$500,I$2,0),$A$305,INDEX(Техника!$H$1:$ABO$500,I$2,0),"М")</f>
        <v>0</v>
      </c>
      <c r="J306" s="50">
        <f>SUMIFS(INDEX(Техника!$F$1:$ABM$500,J$2,0),Техника!$F$4:$ABM$4,"Часы",INDEX(Техника!$G$1:$ABN$500,J$2,0),$A$305,INDEX(Техника!$H$1:$ABO$500,J$2,0),"М")</f>
        <v>0</v>
      </c>
      <c r="K306" s="50">
        <f>SUMIFS(INDEX(Техника!$F$1:$ABM$500,K$2,0),Техника!$F$4:$ABM$4,"Часы",INDEX(Техника!$G$1:$ABN$500,K$2,0),$A$305,INDEX(Техника!$H$1:$ABO$500,K$2,0),"М")</f>
        <v>0</v>
      </c>
      <c r="L306" s="50">
        <f>SUMIFS(INDEX(Техника!$F$1:$ABM$500,L$2,0),Техника!$F$4:$ABM$4,"Часы",INDEX(Техника!$G$1:$ABN$500,L$2,0),$A$305,INDEX(Техника!$H$1:$ABO$500,L$2,0),"М")</f>
        <v>0</v>
      </c>
      <c r="M306" s="50">
        <f>SUMIFS(INDEX(Техника!$F$1:$ABM$500,M$2,0),Техника!$F$4:$ABM$4,"Часы",INDEX(Техника!$G$1:$ABN$500,M$2,0),$A$305,INDEX(Техника!$H$1:$ABO$500,M$2,0),"М")</f>
        <v>0</v>
      </c>
      <c r="N306" s="50">
        <f>SUMIFS(INDEX(Техника!$F$1:$ABM$500,N$2,0),Техника!$F$4:$ABM$4,"Часы",INDEX(Техника!$G$1:$ABN$500,N$2,0),$A$305,INDEX(Техника!$H$1:$ABO$500,N$2,0),"М")</f>
        <v>0</v>
      </c>
      <c r="O306" s="50">
        <f>SUMIFS(INDEX(Техника!$F$1:$ABM$500,O$2,0),Техника!$F$4:$ABM$4,"Часы",INDEX(Техника!$G$1:$ABN$500,O$2,0),$A$305,INDEX(Техника!$H$1:$ABO$500,O$2,0),"М")</f>
        <v>0</v>
      </c>
      <c r="P306" s="50">
        <f>SUMIFS(INDEX(Техника!$F$1:$ABM$500,P$2,0),Техника!$F$4:$ABM$4,"Часы",INDEX(Техника!$G$1:$ABN$500,P$2,0),$A$305,INDEX(Техника!$H$1:$ABO$500,P$2,0),"М")</f>
        <v>0</v>
      </c>
      <c r="Q306" s="50">
        <f>SUMIFS(INDEX(Техника!$F$1:$ABM$500,Q$2,0),Техника!$F$4:$ABM$4,"Часы",INDEX(Техника!$G$1:$ABN$500,Q$2,0),$A$305,INDEX(Техника!$H$1:$ABO$500,Q$2,0),"М")</f>
        <v>0</v>
      </c>
      <c r="R306" s="50">
        <f>SUMIFS(INDEX(Техника!$F$1:$ABM$500,R$2,0),Техника!$F$4:$ABM$4,"Часы",INDEX(Техника!$G$1:$ABN$500,R$2,0),$A$305,INDEX(Техника!$H$1:$ABO$500,R$2,0),"М")</f>
        <v>0</v>
      </c>
      <c r="S306" s="50">
        <f>SUMIFS(INDEX(Техника!$F$1:$ABM$500,S$2,0),Техника!$F$4:$ABM$4,"Часы",INDEX(Техника!$G$1:$ABN$500,S$2,0),$A$305,INDEX(Техника!$H$1:$ABO$500,S$2,0),"М")</f>
        <v>0</v>
      </c>
      <c r="T306" s="50">
        <f>SUMIFS(INDEX(Техника!$F$1:$ABM$500,T$2,0),Техника!$F$4:$ABM$4,"Часы",INDEX(Техника!$G$1:$ABN$500,T$2,0),$A$305,INDEX(Техника!$H$1:$ABO$500,T$2,0),"М")</f>
        <v>0</v>
      </c>
      <c r="U306" s="50">
        <f>SUMIFS(INDEX(Техника!$F$1:$ABM$500,U$2,0),Техника!$F$4:$ABM$4,"Часы",INDEX(Техника!$G$1:$ABN$500,U$2,0),$A$305,INDEX(Техника!$H$1:$ABO$500,U$2,0),"М")</f>
        <v>0</v>
      </c>
      <c r="V306" s="50">
        <f>SUMIFS(INDEX(Техника!$F$1:$ABM$500,V$2,0),Техника!$F$4:$ABM$4,"Часы",INDEX(Техника!$G$1:$ABN$500,V$2,0),$A$305,INDEX(Техника!$H$1:$ABO$500,V$2,0),"М")</f>
        <v>0</v>
      </c>
      <c r="W306" s="50">
        <f>SUMIFS(INDEX(Техника!$F$1:$ABM$500,W$2,0),Техника!$F$4:$ABM$4,"Часы",INDEX(Техника!$G$1:$ABN$500,W$2,0),$A$305,INDEX(Техника!$H$1:$ABO$500,W$2,0),"М")</f>
        <v>0</v>
      </c>
      <c r="X306" s="50">
        <f>SUMIFS(INDEX(Техника!$F$1:$ABM$500,X$2,0),Техника!$F$4:$ABM$4,"Часы",INDEX(Техника!$G$1:$ABN$500,X$2,0),$A$305,INDEX(Техника!$H$1:$ABO$500,X$2,0),"М")</f>
        <v>0</v>
      </c>
      <c r="Y306" s="50">
        <f>SUMIFS(INDEX(Техника!$F$1:$ABM$500,Y$2,0),Техника!$F$4:$ABM$4,"Часы",INDEX(Техника!$G$1:$ABN$500,Y$2,0),$A$305,INDEX(Техника!$H$1:$ABO$500,Y$2,0),"М")</f>
        <v>0</v>
      </c>
      <c r="Z306" s="50">
        <f>SUMIFS(INDEX(Техника!$F$1:$ABM$500,Z$2,0),Техника!$F$4:$ABM$4,"Часы",INDEX(Техника!$G$1:$ABN$500,Z$2,0),$A$305,INDEX(Техника!$H$1:$ABO$500,Z$2,0),"М")</f>
        <v>0</v>
      </c>
      <c r="AA306" s="50">
        <f>SUMIFS(INDEX(Техника!$F$1:$ABM$500,AA$2,0),Техника!$F$4:$ABM$4,"Часы",INDEX(Техника!$G$1:$ABN$500,AA$2,0),$A$305,INDEX(Техника!$H$1:$ABO$500,AA$2,0),"М")</f>
        <v>0</v>
      </c>
      <c r="AB306" s="50">
        <f>SUMIFS(INDEX(Техника!$F$1:$ABM$500,AB$2,0),Техника!$F$4:$ABM$4,"Часы",INDEX(Техника!$G$1:$ABN$500,AB$2,0),$A$305,INDEX(Техника!$H$1:$ABO$500,AB$2,0),"М")</f>
        <v>0</v>
      </c>
    </row>
    <row r="307" spans="1:28" hidden="1" outlineLevel="1" x14ac:dyDescent="0.3">
      <c r="A307" s="33" t="s">
        <v>244</v>
      </c>
      <c r="B307" s="34" t="s">
        <v>275</v>
      </c>
      <c r="C307" s="50">
        <f>SUMIFS(INDEX(Техника!$F$1:$ABM$500,C$2,0),Техника!$F$4:$ABM$4,"Часы",INDEX(Техника!$G$1:$ABN$500,C$2,0),$A$305,INDEX(Техника!$H$1:$ABO$500,C$2,0),"Д")</f>
        <v>0</v>
      </c>
      <c r="D307" s="50">
        <f>SUMIFS(INDEX(Техника!$F$1:$ABM$500,D$2,0),Техника!$F$4:$ABM$4,"Часы",INDEX(Техника!$G$1:$ABN$500,D$2,0),$A$305,INDEX(Техника!$H$1:$ABO$500,D$2,0),"Д")</f>
        <v>0</v>
      </c>
      <c r="E307" s="50">
        <f>SUMIFS(INDEX(Техника!$F$1:$ABM$500,E$2,0),Техника!$F$4:$ABM$4,"Часы",INDEX(Техника!$G$1:$ABN$500,E$2,0),$A$305,INDEX(Техника!$H$1:$ABO$500,E$2,0),"Д")</f>
        <v>0</v>
      </c>
      <c r="F307" s="50">
        <f>SUMIFS(INDEX(Техника!$F$1:$ABM$500,F$2,0),Техника!$F$4:$ABM$4,"Часы",INDEX(Техника!$G$1:$ABN$500,F$2,0),$A$305,INDEX(Техника!$H$1:$ABO$500,F$2,0),"Д")</f>
        <v>0</v>
      </c>
      <c r="G307" s="50">
        <f>SUMIFS(INDEX(Техника!$F$1:$ABM$500,G$2,0),Техника!$F$4:$ABM$4,"Часы",INDEX(Техника!$G$1:$ABN$500,G$2,0),$A$305,INDEX(Техника!$H$1:$ABO$500,G$2,0),"Д")</f>
        <v>0</v>
      </c>
      <c r="H307" s="50">
        <f>SUMIFS(INDEX(Техника!$F$1:$ABM$500,H$2,0),Техника!$F$4:$ABM$4,"Часы",INDEX(Техника!$G$1:$ABN$500,H$2,0),$A$305,INDEX(Техника!$H$1:$ABO$500,H$2,0),"Д")</f>
        <v>0</v>
      </c>
      <c r="I307" s="50">
        <f>SUMIFS(INDEX(Техника!$F$1:$ABM$500,I$2,0),Техника!$F$4:$ABM$4,"Часы",INDEX(Техника!$G$1:$ABN$500,I$2,0),$A$305,INDEX(Техника!$H$1:$ABO$500,I$2,0),"Д")</f>
        <v>0</v>
      </c>
      <c r="J307" s="50">
        <f>SUMIFS(INDEX(Техника!$F$1:$ABM$500,J$2,0),Техника!$F$4:$ABM$4,"Часы",INDEX(Техника!$G$1:$ABN$500,J$2,0),$A$305,INDEX(Техника!$H$1:$ABO$500,J$2,0),"Д")</f>
        <v>0</v>
      </c>
      <c r="K307" s="50">
        <f>SUMIFS(INDEX(Техника!$F$1:$ABM$500,K$2,0),Техника!$F$4:$ABM$4,"Часы",INDEX(Техника!$G$1:$ABN$500,K$2,0),$A$305,INDEX(Техника!$H$1:$ABO$500,K$2,0),"Д")</f>
        <v>0</v>
      </c>
      <c r="L307" s="50">
        <f>SUMIFS(INDEX(Техника!$F$1:$ABM$500,L$2,0),Техника!$F$4:$ABM$4,"Часы",INDEX(Техника!$G$1:$ABN$500,L$2,0),$A$305,INDEX(Техника!$H$1:$ABO$500,L$2,0),"Д")</f>
        <v>0</v>
      </c>
      <c r="M307" s="50">
        <f>SUMIFS(INDEX(Техника!$F$1:$ABM$500,M$2,0),Техника!$F$4:$ABM$4,"Часы",INDEX(Техника!$G$1:$ABN$500,M$2,0),$A$305,INDEX(Техника!$H$1:$ABO$500,M$2,0),"Д")</f>
        <v>0</v>
      </c>
      <c r="N307" s="50">
        <f>SUMIFS(INDEX(Техника!$F$1:$ABM$500,N$2,0),Техника!$F$4:$ABM$4,"Часы",INDEX(Техника!$G$1:$ABN$500,N$2,0),$A$305,INDEX(Техника!$H$1:$ABO$500,N$2,0),"Д")</f>
        <v>0</v>
      </c>
      <c r="O307" s="50">
        <f>SUMIFS(INDEX(Техника!$F$1:$ABM$500,O$2,0),Техника!$F$4:$ABM$4,"Часы",INDEX(Техника!$G$1:$ABN$500,O$2,0),$A$305,INDEX(Техника!$H$1:$ABO$500,O$2,0),"Д")</f>
        <v>0</v>
      </c>
      <c r="P307" s="50">
        <f>SUMIFS(INDEX(Техника!$F$1:$ABM$500,P$2,0),Техника!$F$4:$ABM$4,"Часы",INDEX(Техника!$G$1:$ABN$500,P$2,0),$A$305,INDEX(Техника!$H$1:$ABO$500,P$2,0),"Д")</f>
        <v>0</v>
      </c>
      <c r="Q307" s="50">
        <f>SUMIFS(INDEX(Техника!$F$1:$ABM$500,Q$2,0),Техника!$F$4:$ABM$4,"Часы",INDEX(Техника!$G$1:$ABN$500,Q$2,0),$A$305,INDEX(Техника!$H$1:$ABO$500,Q$2,0),"Д")</f>
        <v>0</v>
      </c>
      <c r="R307" s="50">
        <f>SUMIFS(INDEX(Техника!$F$1:$ABM$500,R$2,0),Техника!$F$4:$ABM$4,"Часы",INDEX(Техника!$G$1:$ABN$500,R$2,0),$A$305,INDEX(Техника!$H$1:$ABO$500,R$2,0),"Д")</f>
        <v>0</v>
      </c>
      <c r="S307" s="50">
        <f>SUMIFS(INDEX(Техника!$F$1:$ABM$500,S$2,0),Техника!$F$4:$ABM$4,"Часы",INDEX(Техника!$G$1:$ABN$500,S$2,0),$A$305,INDEX(Техника!$H$1:$ABO$500,S$2,0),"Д")</f>
        <v>0</v>
      </c>
      <c r="T307" s="50">
        <f>SUMIFS(INDEX(Техника!$F$1:$ABM$500,T$2,0),Техника!$F$4:$ABM$4,"Часы",INDEX(Техника!$G$1:$ABN$500,T$2,0),$A$305,INDEX(Техника!$H$1:$ABO$500,T$2,0),"Д")</f>
        <v>0</v>
      </c>
      <c r="U307" s="50">
        <f>SUMIFS(INDEX(Техника!$F$1:$ABM$500,U$2,0),Техника!$F$4:$ABM$4,"Часы",INDEX(Техника!$G$1:$ABN$500,U$2,0),$A$305,INDEX(Техника!$H$1:$ABO$500,U$2,0),"Д")</f>
        <v>0</v>
      </c>
      <c r="V307" s="50">
        <f>SUMIFS(INDEX(Техника!$F$1:$ABM$500,V$2,0),Техника!$F$4:$ABM$4,"Часы",INDEX(Техника!$G$1:$ABN$500,V$2,0),$A$305,INDEX(Техника!$H$1:$ABO$500,V$2,0),"Д")</f>
        <v>0</v>
      </c>
      <c r="W307" s="50">
        <f>SUMIFS(INDEX(Техника!$F$1:$ABM$500,W$2,0),Техника!$F$4:$ABM$4,"Часы",INDEX(Техника!$G$1:$ABN$500,W$2,0),$A$305,INDEX(Техника!$H$1:$ABO$500,W$2,0),"Д")</f>
        <v>0</v>
      </c>
      <c r="X307" s="50">
        <f>SUMIFS(INDEX(Техника!$F$1:$ABM$500,X$2,0),Техника!$F$4:$ABM$4,"Часы",INDEX(Техника!$G$1:$ABN$500,X$2,0),$A$305,INDEX(Техника!$H$1:$ABO$500,X$2,0),"Д")</f>
        <v>0</v>
      </c>
      <c r="Y307" s="50">
        <f>SUMIFS(INDEX(Техника!$F$1:$ABM$500,Y$2,0),Техника!$F$4:$ABM$4,"Часы",INDEX(Техника!$G$1:$ABN$500,Y$2,0),$A$305,INDEX(Техника!$H$1:$ABO$500,Y$2,0),"Д")</f>
        <v>0</v>
      </c>
      <c r="Z307" s="50">
        <f>SUMIFS(INDEX(Техника!$F$1:$ABM$500,Z$2,0),Техника!$F$4:$ABM$4,"Часы",INDEX(Техника!$G$1:$ABN$500,Z$2,0),$A$305,INDEX(Техника!$H$1:$ABO$500,Z$2,0),"Д")</f>
        <v>0</v>
      </c>
      <c r="AA307" s="50">
        <f>SUMIFS(INDEX(Техника!$F$1:$ABM$500,AA$2,0),Техника!$F$4:$ABM$4,"Часы",INDEX(Техника!$G$1:$ABN$500,AA$2,0),$A$305,INDEX(Техника!$H$1:$ABO$500,AA$2,0),"Д")</f>
        <v>0</v>
      </c>
      <c r="AB307" s="50">
        <f>SUMIFS(INDEX(Техника!$F$1:$ABM$500,AB$2,0),Техника!$F$4:$ABM$4,"Часы",INDEX(Техника!$G$1:$ABN$500,AB$2,0),$A$305,INDEX(Техника!$H$1:$ABO$500,AB$2,0),"Д")</f>
        <v>0</v>
      </c>
    </row>
    <row r="308" spans="1:28" hidden="1" outlineLevel="1" x14ac:dyDescent="0.3">
      <c r="A308" s="33" t="s">
        <v>276</v>
      </c>
      <c r="B308" s="34" t="s">
        <v>277</v>
      </c>
      <c r="C308" s="50">
        <f>SUMIFS(INDEX(Техника!$F$1:$ABM$500,C$2,0),Техника!$F$4:$ABM$4,"Часы",INDEX(Техника!$G$1:$ABN$500,C$2,0),$A$305,INDEX(Техника!$H$1:$ABO$500,C$2,0),"П")</f>
        <v>0</v>
      </c>
      <c r="D308" s="50">
        <f>SUMIFS(INDEX(Техника!$F$1:$ABM$500,D$2,0),Техника!$F$4:$ABM$4,"Часы",INDEX(Техника!$G$1:$ABN$500,D$2,0),$A$305,INDEX(Техника!$H$1:$ABO$500,D$2,0),"П")</f>
        <v>0</v>
      </c>
      <c r="E308" s="50">
        <f>SUMIFS(INDEX(Техника!$F$1:$ABM$500,E$2,0),Техника!$F$4:$ABM$4,"Часы",INDEX(Техника!$G$1:$ABN$500,E$2,0),$A$305,INDEX(Техника!$H$1:$ABO$500,E$2,0),"П")</f>
        <v>0</v>
      </c>
      <c r="F308" s="50">
        <f>SUMIFS(INDEX(Техника!$F$1:$ABM$500,F$2,0),Техника!$F$4:$ABM$4,"Часы",INDEX(Техника!$G$1:$ABN$500,F$2,0),$A$305,INDEX(Техника!$H$1:$ABO$500,F$2,0),"П")</f>
        <v>0</v>
      </c>
      <c r="G308" s="50">
        <f>SUMIFS(INDEX(Техника!$F$1:$ABM$500,G$2,0),Техника!$F$4:$ABM$4,"Часы",INDEX(Техника!$G$1:$ABN$500,G$2,0),$A$305,INDEX(Техника!$H$1:$ABO$500,G$2,0),"П")</f>
        <v>0</v>
      </c>
      <c r="H308" s="50">
        <f>SUMIFS(INDEX(Техника!$F$1:$ABM$500,H$2,0),Техника!$F$4:$ABM$4,"Часы",INDEX(Техника!$G$1:$ABN$500,H$2,0),$A$305,INDEX(Техника!$H$1:$ABO$500,H$2,0),"П")</f>
        <v>0</v>
      </c>
      <c r="I308" s="50">
        <f>SUMIFS(INDEX(Техника!$F$1:$ABM$500,I$2,0),Техника!$F$4:$ABM$4,"Часы",INDEX(Техника!$G$1:$ABN$500,I$2,0),$A$305,INDEX(Техника!$H$1:$ABO$500,I$2,0),"П")</f>
        <v>0</v>
      </c>
      <c r="J308" s="50">
        <f>SUMIFS(INDEX(Техника!$F$1:$ABM$500,J$2,0),Техника!$F$4:$ABM$4,"Часы",INDEX(Техника!$G$1:$ABN$500,J$2,0),$A$305,INDEX(Техника!$H$1:$ABO$500,J$2,0),"П")</f>
        <v>0</v>
      </c>
      <c r="K308" s="50">
        <f>SUMIFS(INDEX(Техника!$F$1:$ABM$500,K$2,0),Техника!$F$4:$ABM$4,"Часы",INDEX(Техника!$G$1:$ABN$500,K$2,0),$A$305,INDEX(Техника!$H$1:$ABO$500,K$2,0),"П")</f>
        <v>0</v>
      </c>
      <c r="L308" s="50">
        <f>SUMIFS(INDEX(Техника!$F$1:$ABM$500,L$2,0),Техника!$F$4:$ABM$4,"Часы",INDEX(Техника!$G$1:$ABN$500,L$2,0),$A$305,INDEX(Техника!$H$1:$ABO$500,L$2,0),"П")</f>
        <v>0</v>
      </c>
      <c r="M308" s="50">
        <f>SUMIFS(INDEX(Техника!$F$1:$ABM$500,M$2,0),Техника!$F$4:$ABM$4,"Часы",INDEX(Техника!$G$1:$ABN$500,M$2,0),$A$305,INDEX(Техника!$H$1:$ABO$500,M$2,0),"П")</f>
        <v>0</v>
      </c>
      <c r="N308" s="50">
        <f>SUMIFS(INDEX(Техника!$F$1:$ABM$500,N$2,0),Техника!$F$4:$ABM$4,"Часы",INDEX(Техника!$G$1:$ABN$500,N$2,0),$A$305,INDEX(Техника!$H$1:$ABO$500,N$2,0),"П")</f>
        <v>0</v>
      </c>
      <c r="O308" s="50">
        <f>SUMIFS(INDEX(Техника!$F$1:$ABM$500,O$2,0),Техника!$F$4:$ABM$4,"Часы",INDEX(Техника!$G$1:$ABN$500,O$2,0),$A$305,INDEX(Техника!$H$1:$ABO$500,O$2,0),"П")</f>
        <v>0</v>
      </c>
      <c r="P308" s="50">
        <f>SUMIFS(INDEX(Техника!$F$1:$ABM$500,P$2,0),Техника!$F$4:$ABM$4,"Часы",INDEX(Техника!$G$1:$ABN$500,P$2,0),$A$305,INDEX(Техника!$H$1:$ABO$500,P$2,0),"П")</f>
        <v>0</v>
      </c>
      <c r="Q308" s="50">
        <f>SUMIFS(INDEX(Техника!$F$1:$ABM$500,Q$2,0),Техника!$F$4:$ABM$4,"Часы",INDEX(Техника!$G$1:$ABN$500,Q$2,0),$A$305,INDEX(Техника!$H$1:$ABO$500,Q$2,0),"П")</f>
        <v>0</v>
      </c>
      <c r="R308" s="50">
        <f>SUMIFS(INDEX(Техника!$F$1:$ABM$500,R$2,0),Техника!$F$4:$ABM$4,"Часы",INDEX(Техника!$G$1:$ABN$500,R$2,0),$A$305,INDEX(Техника!$H$1:$ABO$500,R$2,0),"П")</f>
        <v>0</v>
      </c>
      <c r="S308" s="50">
        <f>SUMIFS(INDEX(Техника!$F$1:$ABM$500,S$2,0),Техника!$F$4:$ABM$4,"Часы",INDEX(Техника!$G$1:$ABN$500,S$2,0),$A$305,INDEX(Техника!$H$1:$ABO$500,S$2,0),"П")</f>
        <v>0</v>
      </c>
      <c r="T308" s="50">
        <f>SUMIFS(INDEX(Техника!$F$1:$ABM$500,T$2,0),Техника!$F$4:$ABM$4,"Часы",INDEX(Техника!$G$1:$ABN$500,T$2,0),$A$305,INDEX(Техника!$H$1:$ABO$500,T$2,0),"П")</f>
        <v>0</v>
      </c>
      <c r="U308" s="50">
        <f>SUMIFS(INDEX(Техника!$F$1:$ABM$500,U$2,0),Техника!$F$4:$ABM$4,"Часы",INDEX(Техника!$G$1:$ABN$500,U$2,0),$A$305,INDEX(Техника!$H$1:$ABO$500,U$2,0),"П")</f>
        <v>0</v>
      </c>
      <c r="V308" s="50">
        <f>SUMIFS(INDEX(Техника!$F$1:$ABM$500,V$2,0),Техника!$F$4:$ABM$4,"Часы",INDEX(Техника!$G$1:$ABN$500,V$2,0),$A$305,INDEX(Техника!$H$1:$ABO$500,V$2,0),"П")</f>
        <v>0</v>
      </c>
      <c r="W308" s="50">
        <f>SUMIFS(INDEX(Техника!$F$1:$ABM$500,W$2,0),Техника!$F$4:$ABM$4,"Часы",INDEX(Техника!$G$1:$ABN$500,W$2,0),$A$305,INDEX(Техника!$H$1:$ABO$500,W$2,0),"П")</f>
        <v>0</v>
      </c>
      <c r="X308" s="50">
        <f>SUMIFS(INDEX(Техника!$F$1:$ABM$500,X$2,0),Техника!$F$4:$ABM$4,"Часы",INDEX(Техника!$G$1:$ABN$500,X$2,0),$A$305,INDEX(Техника!$H$1:$ABO$500,X$2,0),"П")</f>
        <v>0</v>
      </c>
      <c r="Y308" s="50">
        <f>SUMIFS(INDEX(Техника!$F$1:$ABM$500,Y$2,0),Техника!$F$4:$ABM$4,"Часы",INDEX(Техника!$G$1:$ABN$500,Y$2,0),$A$305,INDEX(Техника!$H$1:$ABO$500,Y$2,0),"П")</f>
        <v>0</v>
      </c>
      <c r="Z308" s="50">
        <f>SUMIFS(INDEX(Техника!$F$1:$ABM$500,Z$2,0),Техника!$F$4:$ABM$4,"Часы",INDEX(Техника!$G$1:$ABN$500,Z$2,0),$A$305,INDEX(Техника!$H$1:$ABO$500,Z$2,0),"П")</f>
        <v>0</v>
      </c>
      <c r="AA308" s="50">
        <f>SUMIFS(INDEX(Техника!$F$1:$ABM$500,AA$2,0),Техника!$F$4:$ABM$4,"Часы",INDEX(Техника!$G$1:$ABN$500,AA$2,0),$A$305,INDEX(Техника!$H$1:$ABO$500,AA$2,0),"П")</f>
        <v>0</v>
      </c>
      <c r="AB308" s="50">
        <f>SUMIFS(INDEX(Техника!$F$1:$ABM$500,AB$2,0),Техника!$F$4:$ABM$4,"Часы",INDEX(Техника!$G$1:$ABN$500,AB$2,0),$A$305,INDEX(Техника!$H$1:$ABO$500,AB$2,0),"П")</f>
        <v>0</v>
      </c>
    </row>
    <row r="309" spans="1:28" hidden="1" outlineLevel="1" x14ac:dyDescent="0.3">
      <c r="A309" s="33" t="s">
        <v>243</v>
      </c>
      <c r="B309" s="34" t="s">
        <v>278</v>
      </c>
      <c r="C309" s="50">
        <f>SUMIFS(INDEX(Техника!$F$1:$ABM$500,C$2,0),Техника!$F$4:$ABM$4,"Часы",INDEX(Техника!$G$1:$ABN$500,C$2,0),$A$305,INDEX(Техника!$H$1:$ABO$500,C$2,0),"Л")</f>
        <v>0</v>
      </c>
      <c r="D309" s="50">
        <f>SUMIFS(INDEX(Техника!$F$1:$ABM$500,D$2,0),Техника!$F$4:$ABM$4,"Часы",INDEX(Техника!$G$1:$ABN$500,D$2,0),$A$305,INDEX(Техника!$H$1:$ABO$500,D$2,0),"Л")</f>
        <v>0</v>
      </c>
      <c r="E309" s="50">
        <f>SUMIFS(INDEX(Техника!$F$1:$ABM$500,E$2,0),Техника!$F$4:$ABM$4,"Часы",INDEX(Техника!$G$1:$ABN$500,E$2,0),$A$305,INDEX(Техника!$H$1:$ABO$500,E$2,0),"Л")</f>
        <v>0</v>
      </c>
      <c r="F309" s="50">
        <f>SUMIFS(INDEX(Техника!$F$1:$ABM$500,F$2,0),Техника!$F$4:$ABM$4,"Часы",INDEX(Техника!$G$1:$ABN$500,F$2,0),$A$305,INDEX(Техника!$H$1:$ABO$500,F$2,0),"Л")</f>
        <v>0</v>
      </c>
      <c r="G309" s="50">
        <f>SUMIFS(INDEX(Техника!$F$1:$ABM$500,G$2,0),Техника!$F$4:$ABM$4,"Часы",INDEX(Техника!$G$1:$ABN$500,G$2,0),$A$305,INDEX(Техника!$H$1:$ABO$500,G$2,0),"Л")</f>
        <v>0</v>
      </c>
      <c r="H309" s="50">
        <f>SUMIFS(INDEX(Техника!$F$1:$ABM$500,H$2,0),Техника!$F$4:$ABM$4,"Часы",INDEX(Техника!$G$1:$ABN$500,H$2,0),$A$305,INDEX(Техника!$H$1:$ABO$500,H$2,0),"Л")</f>
        <v>0</v>
      </c>
      <c r="I309" s="50">
        <f>SUMIFS(INDEX(Техника!$F$1:$ABM$500,I$2,0),Техника!$F$4:$ABM$4,"Часы",INDEX(Техника!$G$1:$ABN$500,I$2,0),$A$305,INDEX(Техника!$H$1:$ABO$500,I$2,0),"Л")</f>
        <v>0</v>
      </c>
      <c r="J309" s="50">
        <f>SUMIFS(INDEX(Техника!$F$1:$ABM$500,J$2,0),Техника!$F$4:$ABM$4,"Часы",INDEX(Техника!$G$1:$ABN$500,J$2,0),$A$305,INDEX(Техника!$H$1:$ABO$500,J$2,0),"Л")</f>
        <v>0</v>
      </c>
      <c r="K309" s="50">
        <f>SUMIFS(INDEX(Техника!$F$1:$ABM$500,K$2,0),Техника!$F$4:$ABM$4,"Часы",INDEX(Техника!$G$1:$ABN$500,K$2,0),$A$305,INDEX(Техника!$H$1:$ABO$500,K$2,0),"Л")</f>
        <v>0</v>
      </c>
      <c r="L309" s="50">
        <f>SUMIFS(INDEX(Техника!$F$1:$ABM$500,L$2,0),Техника!$F$4:$ABM$4,"Часы",INDEX(Техника!$G$1:$ABN$500,L$2,0),$A$305,INDEX(Техника!$H$1:$ABO$500,L$2,0),"Л")</f>
        <v>0</v>
      </c>
      <c r="M309" s="50">
        <f>SUMIFS(INDEX(Техника!$F$1:$ABM$500,M$2,0),Техника!$F$4:$ABM$4,"Часы",INDEX(Техника!$G$1:$ABN$500,M$2,0),$A$305,INDEX(Техника!$H$1:$ABO$500,M$2,0),"Л")</f>
        <v>0</v>
      </c>
      <c r="N309" s="50">
        <f>SUMIFS(INDEX(Техника!$F$1:$ABM$500,N$2,0),Техника!$F$4:$ABM$4,"Часы",INDEX(Техника!$G$1:$ABN$500,N$2,0),$A$305,INDEX(Техника!$H$1:$ABO$500,N$2,0),"Л")</f>
        <v>0</v>
      </c>
      <c r="O309" s="50">
        <f>SUMIFS(INDEX(Техника!$F$1:$ABM$500,O$2,0),Техника!$F$4:$ABM$4,"Часы",INDEX(Техника!$G$1:$ABN$500,O$2,0),$A$305,INDEX(Техника!$H$1:$ABO$500,O$2,0),"Л")</f>
        <v>0</v>
      </c>
      <c r="P309" s="50">
        <f>SUMIFS(INDEX(Техника!$F$1:$ABM$500,P$2,0),Техника!$F$4:$ABM$4,"Часы",INDEX(Техника!$G$1:$ABN$500,P$2,0),$A$305,INDEX(Техника!$H$1:$ABO$500,P$2,0),"Л")</f>
        <v>0</v>
      </c>
      <c r="Q309" s="50">
        <f>SUMIFS(INDEX(Техника!$F$1:$ABM$500,Q$2,0),Техника!$F$4:$ABM$4,"Часы",INDEX(Техника!$G$1:$ABN$500,Q$2,0),$A$305,INDEX(Техника!$H$1:$ABO$500,Q$2,0),"Л")</f>
        <v>0</v>
      </c>
      <c r="R309" s="50">
        <f>SUMIFS(INDEX(Техника!$F$1:$ABM$500,R$2,0),Техника!$F$4:$ABM$4,"Часы",INDEX(Техника!$G$1:$ABN$500,R$2,0),$A$305,INDEX(Техника!$H$1:$ABO$500,R$2,0),"Л")</f>
        <v>0</v>
      </c>
      <c r="S309" s="50">
        <f>SUMIFS(INDEX(Техника!$F$1:$ABM$500,S$2,0),Техника!$F$4:$ABM$4,"Часы",INDEX(Техника!$G$1:$ABN$500,S$2,0),$A$305,INDEX(Техника!$H$1:$ABO$500,S$2,0),"Л")</f>
        <v>0</v>
      </c>
      <c r="T309" s="50">
        <f>SUMIFS(INDEX(Техника!$F$1:$ABM$500,T$2,0),Техника!$F$4:$ABM$4,"Часы",INDEX(Техника!$G$1:$ABN$500,T$2,0),$A$305,INDEX(Техника!$H$1:$ABO$500,T$2,0),"Л")</f>
        <v>0</v>
      </c>
      <c r="U309" s="50">
        <f>SUMIFS(INDEX(Техника!$F$1:$ABM$500,U$2,0),Техника!$F$4:$ABM$4,"Часы",INDEX(Техника!$G$1:$ABN$500,U$2,0),$A$305,INDEX(Техника!$H$1:$ABO$500,U$2,0),"Л")</f>
        <v>0</v>
      </c>
      <c r="V309" s="50">
        <f>SUMIFS(INDEX(Техника!$F$1:$ABM$500,V$2,0),Техника!$F$4:$ABM$4,"Часы",INDEX(Техника!$G$1:$ABN$500,V$2,0),$A$305,INDEX(Техника!$H$1:$ABO$500,V$2,0),"Л")</f>
        <v>0</v>
      </c>
      <c r="W309" s="50">
        <f>SUMIFS(INDEX(Техника!$F$1:$ABM$500,W$2,0),Техника!$F$4:$ABM$4,"Часы",INDEX(Техника!$G$1:$ABN$500,W$2,0),$A$305,INDEX(Техника!$H$1:$ABO$500,W$2,0),"Л")</f>
        <v>0</v>
      </c>
      <c r="X309" s="50">
        <f>SUMIFS(INDEX(Техника!$F$1:$ABM$500,X$2,0),Техника!$F$4:$ABM$4,"Часы",INDEX(Техника!$G$1:$ABN$500,X$2,0),$A$305,INDEX(Техника!$H$1:$ABO$500,X$2,0),"Л")</f>
        <v>0</v>
      </c>
      <c r="Y309" s="50">
        <f>SUMIFS(INDEX(Техника!$F$1:$ABM$500,Y$2,0),Техника!$F$4:$ABM$4,"Часы",INDEX(Техника!$G$1:$ABN$500,Y$2,0),$A$305,INDEX(Техника!$H$1:$ABO$500,Y$2,0),"Л")</f>
        <v>0</v>
      </c>
      <c r="Z309" s="50">
        <f>SUMIFS(INDEX(Техника!$F$1:$ABM$500,Z$2,0),Техника!$F$4:$ABM$4,"Часы",INDEX(Техника!$G$1:$ABN$500,Z$2,0),$A$305,INDEX(Техника!$H$1:$ABO$500,Z$2,0),"Л")</f>
        <v>0</v>
      </c>
      <c r="AA309" s="50">
        <f>SUMIFS(INDEX(Техника!$F$1:$ABM$500,AA$2,0),Техника!$F$4:$ABM$4,"Часы",INDEX(Техника!$G$1:$ABN$500,AA$2,0),$A$305,INDEX(Техника!$H$1:$ABO$500,AA$2,0),"Л")</f>
        <v>0</v>
      </c>
      <c r="AB309" s="50">
        <f>SUMIFS(INDEX(Техника!$F$1:$ABM$500,AB$2,0),Техника!$F$4:$ABM$4,"Часы",INDEX(Техника!$G$1:$ABN$500,AB$2,0),$A$305,INDEX(Техника!$H$1:$ABO$500,AB$2,0),"Л")</f>
        <v>0</v>
      </c>
    </row>
    <row r="310" spans="1:28" hidden="1" outlineLevel="1" x14ac:dyDescent="0.3">
      <c r="A310" s="33" t="s">
        <v>245</v>
      </c>
      <c r="B310" s="34" t="s">
        <v>279</v>
      </c>
      <c r="C310" s="50">
        <f>SUMIFS(INDEX(Техника!$F$1:$ABM$500,C$2,0),Техника!$F$4:$ABM$4,"Часы",INDEX(Техника!$G$1:$ABN$500,C$2,0),$A$305,INDEX(Техника!$H$1:$ABO$500,C$2,0),"З")</f>
        <v>0</v>
      </c>
      <c r="D310" s="50">
        <f>SUMIFS(INDEX(Техника!$F$1:$ABM$500,D$2,0),Техника!$F$4:$ABM$4,"Часы",INDEX(Техника!$G$1:$ABN$500,D$2,0),$A$305,INDEX(Техника!$H$1:$ABO$500,D$2,0),"З")</f>
        <v>0</v>
      </c>
      <c r="E310" s="50">
        <f>SUMIFS(INDEX(Техника!$F$1:$ABM$500,E$2,0),Техника!$F$4:$ABM$4,"Часы",INDEX(Техника!$G$1:$ABN$500,E$2,0),$A$305,INDEX(Техника!$H$1:$ABO$500,E$2,0),"З")</f>
        <v>0</v>
      </c>
      <c r="F310" s="50">
        <f>SUMIFS(INDEX(Техника!$F$1:$ABM$500,F$2,0),Техника!$F$4:$ABM$4,"Часы",INDEX(Техника!$G$1:$ABN$500,F$2,0),$A$305,INDEX(Техника!$H$1:$ABO$500,F$2,0),"З")</f>
        <v>0</v>
      </c>
      <c r="G310" s="50">
        <f>SUMIFS(INDEX(Техника!$F$1:$ABM$500,G$2,0),Техника!$F$4:$ABM$4,"Часы",INDEX(Техника!$G$1:$ABN$500,G$2,0),$A$305,INDEX(Техника!$H$1:$ABO$500,G$2,0),"З")</f>
        <v>0</v>
      </c>
      <c r="H310" s="50">
        <f>SUMIFS(INDEX(Техника!$F$1:$ABM$500,H$2,0),Техника!$F$4:$ABM$4,"Часы",INDEX(Техника!$G$1:$ABN$500,H$2,0),$A$305,INDEX(Техника!$H$1:$ABO$500,H$2,0),"З")</f>
        <v>0</v>
      </c>
      <c r="I310" s="50">
        <f>SUMIFS(INDEX(Техника!$F$1:$ABM$500,I$2,0),Техника!$F$4:$ABM$4,"Часы",INDEX(Техника!$G$1:$ABN$500,I$2,0),$A$305,INDEX(Техника!$H$1:$ABO$500,I$2,0),"З")</f>
        <v>0</v>
      </c>
      <c r="J310" s="50">
        <f>SUMIFS(INDEX(Техника!$F$1:$ABM$500,J$2,0),Техника!$F$4:$ABM$4,"Часы",INDEX(Техника!$G$1:$ABN$500,J$2,0),$A$305,INDEX(Техника!$H$1:$ABO$500,J$2,0),"З")</f>
        <v>0</v>
      </c>
      <c r="K310" s="50">
        <f>SUMIFS(INDEX(Техника!$F$1:$ABM$500,K$2,0),Техника!$F$4:$ABM$4,"Часы",INDEX(Техника!$G$1:$ABN$500,K$2,0),$A$305,INDEX(Техника!$H$1:$ABO$500,K$2,0),"З")</f>
        <v>0</v>
      </c>
      <c r="L310" s="50">
        <f>SUMIFS(INDEX(Техника!$F$1:$ABM$500,L$2,0),Техника!$F$4:$ABM$4,"Часы",INDEX(Техника!$G$1:$ABN$500,L$2,0),$A$305,INDEX(Техника!$H$1:$ABO$500,L$2,0),"З")</f>
        <v>0</v>
      </c>
      <c r="M310" s="50">
        <f>SUMIFS(INDEX(Техника!$F$1:$ABM$500,M$2,0),Техника!$F$4:$ABM$4,"Часы",INDEX(Техника!$G$1:$ABN$500,M$2,0),$A$305,INDEX(Техника!$H$1:$ABO$500,M$2,0),"З")</f>
        <v>0</v>
      </c>
      <c r="N310" s="50">
        <f>SUMIFS(INDEX(Техника!$F$1:$ABM$500,N$2,0),Техника!$F$4:$ABM$4,"Часы",INDEX(Техника!$G$1:$ABN$500,N$2,0),$A$305,INDEX(Техника!$H$1:$ABO$500,N$2,0),"З")</f>
        <v>0</v>
      </c>
      <c r="O310" s="50">
        <f>SUMIFS(INDEX(Техника!$F$1:$ABM$500,O$2,0),Техника!$F$4:$ABM$4,"Часы",INDEX(Техника!$G$1:$ABN$500,O$2,0),$A$305,INDEX(Техника!$H$1:$ABO$500,O$2,0),"З")</f>
        <v>0</v>
      </c>
      <c r="P310" s="50">
        <f>SUMIFS(INDEX(Техника!$F$1:$ABM$500,P$2,0),Техника!$F$4:$ABM$4,"Часы",INDEX(Техника!$G$1:$ABN$500,P$2,0),$A$305,INDEX(Техника!$H$1:$ABO$500,P$2,0),"З")</f>
        <v>0</v>
      </c>
      <c r="Q310" s="50">
        <f>SUMIFS(INDEX(Техника!$F$1:$ABM$500,Q$2,0),Техника!$F$4:$ABM$4,"Часы",INDEX(Техника!$G$1:$ABN$500,Q$2,0),$A$305,INDEX(Техника!$H$1:$ABO$500,Q$2,0),"З")</f>
        <v>0</v>
      </c>
      <c r="R310" s="50">
        <f>SUMIFS(INDEX(Техника!$F$1:$ABM$500,R$2,0),Техника!$F$4:$ABM$4,"Часы",INDEX(Техника!$G$1:$ABN$500,R$2,0),$A$305,INDEX(Техника!$H$1:$ABO$500,R$2,0),"З")</f>
        <v>0</v>
      </c>
      <c r="S310" s="50">
        <f>SUMIFS(INDEX(Техника!$F$1:$ABM$500,S$2,0),Техника!$F$4:$ABM$4,"Часы",INDEX(Техника!$G$1:$ABN$500,S$2,0),$A$305,INDEX(Техника!$H$1:$ABO$500,S$2,0),"З")</f>
        <v>0</v>
      </c>
      <c r="T310" s="50">
        <f>SUMIFS(INDEX(Техника!$F$1:$ABM$500,T$2,0),Техника!$F$4:$ABM$4,"Часы",INDEX(Техника!$G$1:$ABN$500,T$2,0),$A$305,INDEX(Техника!$H$1:$ABO$500,T$2,0),"З")</f>
        <v>0</v>
      </c>
      <c r="U310" s="50">
        <f>SUMIFS(INDEX(Техника!$F$1:$ABM$500,U$2,0),Техника!$F$4:$ABM$4,"Часы",INDEX(Техника!$G$1:$ABN$500,U$2,0),$A$305,INDEX(Техника!$H$1:$ABO$500,U$2,0),"З")</f>
        <v>0</v>
      </c>
      <c r="V310" s="50">
        <f>SUMIFS(INDEX(Техника!$F$1:$ABM$500,V$2,0),Техника!$F$4:$ABM$4,"Часы",INDEX(Техника!$G$1:$ABN$500,V$2,0),$A$305,INDEX(Техника!$H$1:$ABO$500,V$2,0),"З")</f>
        <v>0</v>
      </c>
      <c r="W310" s="50">
        <f>SUMIFS(INDEX(Техника!$F$1:$ABM$500,W$2,0),Техника!$F$4:$ABM$4,"Часы",INDEX(Техника!$G$1:$ABN$500,W$2,0),$A$305,INDEX(Техника!$H$1:$ABO$500,W$2,0),"З")</f>
        <v>0</v>
      </c>
      <c r="X310" s="50">
        <f>SUMIFS(INDEX(Техника!$F$1:$ABM$500,X$2,0),Техника!$F$4:$ABM$4,"Часы",INDEX(Техника!$G$1:$ABN$500,X$2,0),$A$305,INDEX(Техника!$H$1:$ABO$500,X$2,0),"З")</f>
        <v>0</v>
      </c>
      <c r="Y310" s="50">
        <f>SUMIFS(INDEX(Техника!$F$1:$ABM$500,Y$2,0),Техника!$F$4:$ABM$4,"Часы",INDEX(Техника!$G$1:$ABN$500,Y$2,0),$A$305,INDEX(Техника!$H$1:$ABO$500,Y$2,0),"З")</f>
        <v>0</v>
      </c>
      <c r="Z310" s="50">
        <f>SUMIFS(INDEX(Техника!$F$1:$ABM$500,Z$2,0),Техника!$F$4:$ABM$4,"Часы",INDEX(Техника!$G$1:$ABN$500,Z$2,0),$A$305,INDEX(Техника!$H$1:$ABO$500,Z$2,0),"З")</f>
        <v>0</v>
      </c>
      <c r="AA310" s="50">
        <f>SUMIFS(INDEX(Техника!$F$1:$ABM$500,AA$2,0),Техника!$F$4:$ABM$4,"Часы",INDEX(Техника!$G$1:$ABN$500,AA$2,0),$A$305,INDEX(Техника!$H$1:$ABO$500,AA$2,0),"З")</f>
        <v>0</v>
      </c>
      <c r="AB310" s="50">
        <f>SUMIFS(INDEX(Техника!$F$1:$ABM$500,AB$2,0),Техника!$F$4:$ABM$4,"Часы",INDEX(Техника!$G$1:$ABN$500,AB$2,0),$A$305,INDEX(Техника!$H$1:$ABO$500,AB$2,0),"З")</f>
        <v>0</v>
      </c>
    </row>
    <row r="311" spans="1:28" ht="7.95" customHeight="1" x14ac:dyDescent="0.3">
      <c r="A311" s="38"/>
      <c r="B311" s="39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</row>
    <row r="312" spans="1:28" ht="25.05" customHeight="1" collapsed="1" x14ac:dyDescent="0.3">
      <c r="A312" s="32">
        <v>45</v>
      </c>
      <c r="B312" s="32" t="s">
        <v>46</v>
      </c>
      <c r="C312" s="49">
        <f>SUM(C313:C317)</f>
        <v>64</v>
      </c>
      <c r="D312" s="49">
        <f>SUM(D313:D317)</f>
        <v>48</v>
      </c>
      <c r="E312" s="49">
        <f>SUM(E313:E317)</f>
        <v>0</v>
      </c>
      <c r="F312" s="49">
        <f>SUM(F313:F317)</f>
        <v>0</v>
      </c>
      <c r="G312" s="49">
        <f>SUM(G313:G317)</f>
        <v>0</v>
      </c>
      <c r="H312" s="49">
        <f>SUM(H313:H317)</f>
        <v>0</v>
      </c>
      <c r="I312" s="49">
        <f>SUM(I313:I317)</f>
        <v>0</v>
      </c>
      <c r="J312" s="49">
        <f>SUM(J313:J317)</f>
        <v>0</v>
      </c>
      <c r="K312" s="49">
        <f>SUM(K313:K317)</f>
        <v>0</v>
      </c>
      <c r="L312" s="49">
        <f>SUM(L313:L317)</f>
        <v>0</v>
      </c>
      <c r="M312" s="49">
        <f>SUM(M313:M317)</f>
        <v>0</v>
      </c>
      <c r="N312" s="49">
        <f>SUM(N313:N317)</f>
        <v>80</v>
      </c>
      <c r="O312" s="49">
        <f>SUM(O313:O317)</f>
        <v>0</v>
      </c>
      <c r="P312" s="49">
        <f>SUM(P313:P317)</f>
        <v>0</v>
      </c>
      <c r="Q312" s="49">
        <f>SUM(Q313:Q317)</f>
        <v>24</v>
      </c>
      <c r="R312" s="49">
        <f>SUM(R313:R317)</f>
        <v>0</v>
      </c>
      <c r="S312" s="49">
        <f>SUM(S313:S317)</f>
        <v>8</v>
      </c>
      <c r="T312" s="49">
        <f>SUM(T313:T317)</f>
        <v>32</v>
      </c>
      <c r="U312" s="49">
        <f>SUM(U313:U317)</f>
        <v>48</v>
      </c>
      <c r="V312" s="49">
        <f>SUM(V313:V317)</f>
        <v>0</v>
      </c>
      <c r="W312" s="49">
        <f>SUM(W313:W317)</f>
        <v>0</v>
      </c>
      <c r="X312" s="49">
        <f>SUM(X313:X317)</f>
        <v>0</v>
      </c>
      <c r="Y312" s="49">
        <f>SUM(Y313:Y317)</f>
        <v>0</v>
      </c>
      <c r="Z312" s="49">
        <f>SUM(Z313:Z317)</f>
        <v>0</v>
      </c>
      <c r="AA312" s="49">
        <f>SUM(AA313:AA317)</f>
        <v>0</v>
      </c>
      <c r="AB312" s="49">
        <f>SUM(AB313:AB317)</f>
        <v>0</v>
      </c>
    </row>
    <row r="313" spans="1:28" hidden="1" outlineLevel="1" x14ac:dyDescent="0.3">
      <c r="A313" s="33" t="s">
        <v>246</v>
      </c>
      <c r="B313" s="34" t="s">
        <v>274</v>
      </c>
      <c r="C313" s="50">
        <f>SUMIFS(INDEX(Техника!$F$1:$ABM$500,C$2,0),Техника!$F$4:$ABM$4,"Часы",INDEX(Техника!$G$1:$ABN$500,C$2,0),$A$312,INDEX(Техника!$H$1:$ABO$500,C$2,0),"М")</f>
        <v>48</v>
      </c>
      <c r="D313" s="50">
        <f>SUMIFS(INDEX(Техника!$F$1:$ABM$500,D$2,0),Техника!$F$4:$ABM$4,"Часы",INDEX(Техника!$G$1:$ABN$500,D$2,0),$A$312,INDEX(Техника!$H$1:$ABO$500,D$2,0),"М")</f>
        <v>32</v>
      </c>
      <c r="E313" s="50">
        <f>SUMIFS(INDEX(Техника!$F$1:$ABM$500,E$2,0),Техника!$F$4:$ABM$4,"Часы",INDEX(Техника!$G$1:$ABN$500,E$2,0),$A$312,INDEX(Техника!$H$1:$ABO$500,E$2,0),"М")</f>
        <v>0</v>
      </c>
      <c r="F313" s="50">
        <f>SUMIFS(INDEX(Техника!$F$1:$ABM$500,F$2,0),Техника!$F$4:$ABM$4,"Часы",INDEX(Техника!$G$1:$ABN$500,F$2,0),$A$312,INDEX(Техника!$H$1:$ABO$500,F$2,0),"М")</f>
        <v>0</v>
      </c>
      <c r="G313" s="50">
        <f>SUMIFS(INDEX(Техника!$F$1:$ABM$500,G$2,0),Техника!$F$4:$ABM$4,"Часы",INDEX(Техника!$G$1:$ABN$500,G$2,0),$A$312,INDEX(Техника!$H$1:$ABO$500,G$2,0),"М")</f>
        <v>0</v>
      </c>
      <c r="H313" s="50">
        <f>SUMIFS(INDEX(Техника!$F$1:$ABM$500,H$2,0),Техника!$F$4:$ABM$4,"Часы",INDEX(Техника!$G$1:$ABN$500,H$2,0),$A$312,INDEX(Техника!$H$1:$ABO$500,H$2,0),"М")</f>
        <v>0</v>
      </c>
      <c r="I313" s="50">
        <f>SUMIFS(INDEX(Техника!$F$1:$ABM$500,I$2,0),Техника!$F$4:$ABM$4,"Часы",INDEX(Техника!$G$1:$ABN$500,I$2,0),$A$312,INDEX(Техника!$H$1:$ABO$500,I$2,0),"М")</f>
        <v>0</v>
      </c>
      <c r="J313" s="50">
        <f>SUMIFS(INDEX(Техника!$F$1:$ABM$500,J$2,0),Техника!$F$4:$ABM$4,"Часы",INDEX(Техника!$G$1:$ABN$500,J$2,0),$A$312,INDEX(Техника!$H$1:$ABO$500,J$2,0),"М")</f>
        <v>0</v>
      </c>
      <c r="K313" s="50">
        <f>SUMIFS(INDEX(Техника!$F$1:$ABM$500,K$2,0),Техника!$F$4:$ABM$4,"Часы",INDEX(Техника!$G$1:$ABN$500,K$2,0),$A$312,INDEX(Техника!$H$1:$ABO$500,K$2,0),"М")</f>
        <v>0</v>
      </c>
      <c r="L313" s="50">
        <f>SUMIFS(INDEX(Техника!$F$1:$ABM$500,L$2,0),Техника!$F$4:$ABM$4,"Часы",INDEX(Техника!$G$1:$ABN$500,L$2,0),$A$312,INDEX(Техника!$H$1:$ABO$500,L$2,0),"М")</f>
        <v>0</v>
      </c>
      <c r="M313" s="50">
        <f>SUMIFS(INDEX(Техника!$F$1:$ABM$500,M$2,0),Техника!$F$4:$ABM$4,"Часы",INDEX(Техника!$G$1:$ABN$500,M$2,0),$A$312,INDEX(Техника!$H$1:$ABO$500,M$2,0),"М")</f>
        <v>0</v>
      </c>
      <c r="N313" s="50">
        <f>SUMIFS(INDEX(Техника!$F$1:$ABM$500,N$2,0),Техника!$F$4:$ABM$4,"Часы",INDEX(Техника!$G$1:$ABN$500,N$2,0),$A$312,INDEX(Техника!$H$1:$ABO$500,N$2,0),"М")</f>
        <v>48</v>
      </c>
      <c r="O313" s="50">
        <f>SUMIFS(INDEX(Техника!$F$1:$ABM$500,O$2,0),Техника!$F$4:$ABM$4,"Часы",INDEX(Техника!$G$1:$ABN$500,O$2,0),$A$312,INDEX(Техника!$H$1:$ABO$500,O$2,0),"М")</f>
        <v>0</v>
      </c>
      <c r="P313" s="50">
        <f>SUMIFS(INDEX(Техника!$F$1:$ABM$500,P$2,0),Техника!$F$4:$ABM$4,"Часы",INDEX(Техника!$G$1:$ABN$500,P$2,0),$A$312,INDEX(Техника!$H$1:$ABO$500,P$2,0),"М")</f>
        <v>0</v>
      </c>
      <c r="Q313" s="50">
        <f>SUMIFS(INDEX(Техника!$F$1:$ABM$500,Q$2,0),Техника!$F$4:$ABM$4,"Часы",INDEX(Техника!$G$1:$ABN$500,Q$2,0),$A$312,INDEX(Техника!$H$1:$ABO$500,Q$2,0),"М")</f>
        <v>24</v>
      </c>
      <c r="R313" s="50">
        <f>SUMIFS(INDEX(Техника!$F$1:$ABM$500,R$2,0),Техника!$F$4:$ABM$4,"Часы",INDEX(Техника!$G$1:$ABN$500,R$2,0),$A$312,INDEX(Техника!$H$1:$ABO$500,R$2,0),"М")</f>
        <v>0</v>
      </c>
      <c r="S313" s="50">
        <f>SUMIFS(INDEX(Техника!$F$1:$ABM$500,S$2,0),Техника!$F$4:$ABM$4,"Часы",INDEX(Техника!$G$1:$ABN$500,S$2,0),$A$312,INDEX(Техника!$H$1:$ABO$500,S$2,0),"М")</f>
        <v>0</v>
      </c>
      <c r="T313" s="50">
        <f>SUMIFS(INDEX(Техника!$F$1:$ABM$500,T$2,0),Техника!$F$4:$ABM$4,"Часы",INDEX(Техника!$G$1:$ABN$500,T$2,0),$A$312,INDEX(Техника!$H$1:$ABO$500,T$2,0),"М")</f>
        <v>32</v>
      </c>
      <c r="U313" s="50">
        <f>SUMIFS(INDEX(Техника!$F$1:$ABM$500,U$2,0),Техника!$F$4:$ABM$4,"Часы",INDEX(Техника!$G$1:$ABN$500,U$2,0),$A$312,INDEX(Техника!$H$1:$ABO$500,U$2,0),"М")</f>
        <v>48</v>
      </c>
      <c r="V313" s="50">
        <f>SUMIFS(INDEX(Техника!$F$1:$ABM$500,V$2,0),Техника!$F$4:$ABM$4,"Часы",INDEX(Техника!$G$1:$ABN$500,V$2,0),$A$312,INDEX(Техника!$H$1:$ABO$500,V$2,0),"М")</f>
        <v>0</v>
      </c>
      <c r="W313" s="50">
        <f>SUMIFS(INDEX(Техника!$F$1:$ABM$500,W$2,0),Техника!$F$4:$ABM$4,"Часы",INDEX(Техника!$G$1:$ABN$500,W$2,0),$A$312,INDEX(Техника!$H$1:$ABO$500,W$2,0),"М")</f>
        <v>0</v>
      </c>
      <c r="X313" s="50">
        <f>SUMIFS(INDEX(Техника!$F$1:$ABM$500,X$2,0),Техника!$F$4:$ABM$4,"Часы",INDEX(Техника!$G$1:$ABN$500,X$2,0),$A$312,INDEX(Техника!$H$1:$ABO$500,X$2,0),"М")</f>
        <v>0</v>
      </c>
      <c r="Y313" s="50">
        <f>SUMIFS(INDEX(Техника!$F$1:$ABM$500,Y$2,0),Техника!$F$4:$ABM$4,"Часы",INDEX(Техника!$G$1:$ABN$500,Y$2,0),$A$312,INDEX(Техника!$H$1:$ABO$500,Y$2,0),"М")</f>
        <v>0</v>
      </c>
      <c r="Z313" s="50">
        <f>SUMIFS(INDEX(Техника!$F$1:$ABM$500,Z$2,0),Техника!$F$4:$ABM$4,"Часы",INDEX(Техника!$G$1:$ABN$500,Z$2,0),$A$312,INDEX(Техника!$H$1:$ABO$500,Z$2,0),"М")</f>
        <v>0</v>
      </c>
      <c r="AA313" s="50">
        <f>SUMIFS(INDEX(Техника!$F$1:$ABM$500,AA$2,0),Техника!$F$4:$ABM$4,"Часы",INDEX(Техника!$G$1:$ABN$500,AA$2,0),$A$312,INDEX(Техника!$H$1:$ABO$500,AA$2,0),"М")</f>
        <v>0</v>
      </c>
      <c r="AB313" s="50">
        <f>SUMIFS(INDEX(Техника!$F$1:$ABM$500,AB$2,0),Техника!$F$4:$ABM$4,"Часы",INDEX(Техника!$G$1:$ABN$500,AB$2,0),$A$312,INDEX(Техника!$H$1:$ABO$500,AB$2,0),"М")</f>
        <v>0</v>
      </c>
    </row>
    <row r="314" spans="1:28" hidden="1" outlineLevel="1" x14ac:dyDescent="0.3">
      <c r="A314" s="33" t="s">
        <v>244</v>
      </c>
      <c r="B314" s="34" t="s">
        <v>275</v>
      </c>
      <c r="C314" s="50">
        <f>SUMIFS(INDEX(Техника!$F$1:$ABM$500,C$2,0),Техника!$F$4:$ABM$4,"Часы",INDEX(Техника!$G$1:$ABN$500,C$2,0),$A$312,INDEX(Техника!$H$1:$ABO$500,C$2,0),"Д")</f>
        <v>16</v>
      </c>
      <c r="D314" s="50">
        <f>SUMIFS(INDEX(Техника!$F$1:$ABM$500,D$2,0),Техника!$F$4:$ABM$4,"Часы",INDEX(Техника!$G$1:$ABN$500,D$2,0),$A$312,INDEX(Техника!$H$1:$ABO$500,D$2,0),"Д")</f>
        <v>16</v>
      </c>
      <c r="E314" s="50">
        <f>SUMIFS(INDEX(Техника!$F$1:$ABM$500,E$2,0),Техника!$F$4:$ABM$4,"Часы",INDEX(Техника!$G$1:$ABN$500,E$2,0),$A$312,INDEX(Техника!$H$1:$ABO$500,E$2,0),"Д")</f>
        <v>0</v>
      </c>
      <c r="F314" s="50">
        <f>SUMIFS(INDEX(Техника!$F$1:$ABM$500,F$2,0),Техника!$F$4:$ABM$4,"Часы",INDEX(Техника!$G$1:$ABN$500,F$2,0),$A$312,INDEX(Техника!$H$1:$ABO$500,F$2,0),"Д")</f>
        <v>0</v>
      </c>
      <c r="G314" s="50">
        <f>SUMIFS(INDEX(Техника!$F$1:$ABM$500,G$2,0),Техника!$F$4:$ABM$4,"Часы",INDEX(Техника!$G$1:$ABN$500,G$2,0),$A$312,INDEX(Техника!$H$1:$ABO$500,G$2,0),"Д")</f>
        <v>0</v>
      </c>
      <c r="H314" s="50">
        <f>SUMIFS(INDEX(Техника!$F$1:$ABM$500,H$2,0),Техника!$F$4:$ABM$4,"Часы",INDEX(Техника!$G$1:$ABN$500,H$2,0),$A$312,INDEX(Техника!$H$1:$ABO$500,H$2,0),"Д")</f>
        <v>0</v>
      </c>
      <c r="I314" s="50">
        <f>SUMIFS(INDEX(Техника!$F$1:$ABM$500,I$2,0),Техника!$F$4:$ABM$4,"Часы",INDEX(Техника!$G$1:$ABN$500,I$2,0),$A$312,INDEX(Техника!$H$1:$ABO$500,I$2,0),"Д")</f>
        <v>0</v>
      </c>
      <c r="J314" s="50">
        <f>SUMIFS(INDEX(Техника!$F$1:$ABM$500,J$2,0),Техника!$F$4:$ABM$4,"Часы",INDEX(Техника!$G$1:$ABN$500,J$2,0),$A$312,INDEX(Техника!$H$1:$ABO$500,J$2,0),"Д")</f>
        <v>0</v>
      </c>
      <c r="K314" s="50">
        <f>SUMIFS(INDEX(Техника!$F$1:$ABM$500,K$2,0),Техника!$F$4:$ABM$4,"Часы",INDEX(Техника!$G$1:$ABN$500,K$2,0),$A$312,INDEX(Техника!$H$1:$ABO$500,K$2,0),"Д")</f>
        <v>0</v>
      </c>
      <c r="L314" s="50">
        <f>SUMIFS(INDEX(Техника!$F$1:$ABM$500,L$2,0),Техника!$F$4:$ABM$4,"Часы",INDEX(Техника!$G$1:$ABN$500,L$2,0),$A$312,INDEX(Техника!$H$1:$ABO$500,L$2,0),"Д")</f>
        <v>0</v>
      </c>
      <c r="M314" s="50">
        <f>SUMIFS(INDEX(Техника!$F$1:$ABM$500,M$2,0),Техника!$F$4:$ABM$4,"Часы",INDEX(Техника!$G$1:$ABN$500,M$2,0),$A$312,INDEX(Техника!$H$1:$ABO$500,M$2,0),"Д")</f>
        <v>0</v>
      </c>
      <c r="N314" s="50">
        <f>SUMIFS(INDEX(Техника!$F$1:$ABM$500,N$2,0),Техника!$F$4:$ABM$4,"Часы",INDEX(Техника!$G$1:$ABN$500,N$2,0),$A$312,INDEX(Техника!$H$1:$ABO$500,N$2,0),"Д")</f>
        <v>32</v>
      </c>
      <c r="O314" s="50">
        <f>SUMIFS(INDEX(Техника!$F$1:$ABM$500,O$2,0),Техника!$F$4:$ABM$4,"Часы",INDEX(Техника!$G$1:$ABN$500,O$2,0),$A$312,INDEX(Техника!$H$1:$ABO$500,O$2,0),"Д")</f>
        <v>0</v>
      </c>
      <c r="P314" s="50">
        <f>SUMIFS(INDEX(Техника!$F$1:$ABM$500,P$2,0),Техника!$F$4:$ABM$4,"Часы",INDEX(Техника!$G$1:$ABN$500,P$2,0),$A$312,INDEX(Техника!$H$1:$ABO$500,P$2,0),"Д")</f>
        <v>0</v>
      </c>
      <c r="Q314" s="50">
        <f>SUMIFS(INDEX(Техника!$F$1:$ABM$500,Q$2,0),Техника!$F$4:$ABM$4,"Часы",INDEX(Техника!$G$1:$ABN$500,Q$2,0),$A$312,INDEX(Техника!$H$1:$ABO$500,Q$2,0),"Д")</f>
        <v>0</v>
      </c>
      <c r="R314" s="50">
        <f>SUMIFS(INDEX(Техника!$F$1:$ABM$500,R$2,0),Техника!$F$4:$ABM$4,"Часы",INDEX(Техника!$G$1:$ABN$500,R$2,0),$A$312,INDEX(Техника!$H$1:$ABO$500,R$2,0),"Д")</f>
        <v>0</v>
      </c>
      <c r="S314" s="50">
        <f>SUMIFS(INDEX(Техника!$F$1:$ABM$500,S$2,0),Техника!$F$4:$ABM$4,"Часы",INDEX(Техника!$G$1:$ABN$500,S$2,0),$A$312,INDEX(Техника!$H$1:$ABO$500,S$2,0),"Д")</f>
        <v>0</v>
      </c>
      <c r="T314" s="50">
        <f>SUMIFS(INDEX(Техника!$F$1:$ABM$500,T$2,0),Техника!$F$4:$ABM$4,"Часы",INDEX(Техника!$G$1:$ABN$500,T$2,0),$A$312,INDEX(Техника!$H$1:$ABO$500,T$2,0),"Д")</f>
        <v>0</v>
      </c>
      <c r="U314" s="50">
        <f>SUMIFS(INDEX(Техника!$F$1:$ABM$500,U$2,0),Техника!$F$4:$ABM$4,"Часы",INDEX(Техника!$G$1:$ABN$500,U$2,0),$A$312,INDEX(Техника!$H$1:$ABO$500,U$2,0),"Д")</f>
        <v>0</v>
      </c>
      <c r="V314" s="50">
        <f>SUMIFS(INDEX(Техника!$F$1:$ABM$500,V$2,0),Техника!$F$4:$ABM$4,"Часы",INDEX(Техника!$G$1:$ABN$500,V$2,0),$A$312,INDEX(Техника!$H$1:$ABO$500,V$2,0),"Д")</f>
        <v>0</v>
      </c>
      <c r="W314" s="50">
        <f>SUMIFS(INDEX(Техника!$F$1:$ABM$500,W$2,0),Техника!$F$4:$ABM$4,"Часы",INDEX(Техника!$G$1:$ABN$500,W$2,0),$A$312,INDEX(Техника!$H$1:$ABO$500,W$2,0),"Д")</f>
        <v>0</v>
      </c>
      <c r="X314" s="50">
        <f>SUMIFS(INDEX(Техника!$F$1:$ABM$500,X$2,0),Техника!$F$4:$ABM$4,"Часы",INDEX(Техника!$G$1:$ABN$500,X$2,0),$A$312,INDEX(Техника!$H$1:$ABO$500,X$2,0),"Д")</f>
        <v>0</v>
      </c>
      <c r="Y314" s="50">
        <f>SUMIFS(INDEX(Техника!$F$1:$ABM$500,Y$2,0),Техника!$F$4:$ABM$4,"Часы",INDEX(Техника!$G$1:$ABN$500,Y$2,0),$A$312,INDEX(Техника!$H$1:$ABO$500,Y$2,0),"Д")</f>
        <v>0</v>
      </c>
      <c r="Z314" s="50">
        <f>SUMIFS(INDEX(Техника!$F$1:$ABM$500,Z$2,0),Техника!$F$4:$ABM$4,"Часы",INDEX(Техника!$G$1:$ABN$500,Z$2,0),$A$312,INDEX(Техника!$H$1:$ABO$500,Z$2,0),"Д")</f>
        <v>0</v>
      </c>
      <c r="AA314" s="50">
        <f>SUMIFS(INDEX(Техника!$F$1:$ABM$500,AA$2,0),Техника!$F$4:$ABM$4,"Часы",INDEX(Техника!$G$1:$ABN$500,AA$2,0),$A$312,INDEX(Техника!$H$1:$ABO$500,AA$2,0),"Д")</f>
        <v>0</v>
      </c>
      <c r="AB314" s="50">
        <f>SUMIFS(INDEX(Техника!$F$1:$ABM$500,AB$2,0),Техника!$F$4:$ABM$4,"Часы",INDEX(Техника!$G$1:$ABN$500,AB$2,0),$A$312,INDEX(Техника!$H$1:$ABO$500,AB$2,0),"Д")</f>
        <v>0</v>
      </c>
    </row>
    <row r="315" spans="1:28" hidden="1" outlineLevel="1" x14ac:dyDescent="0.3">
      <c r="A315" s="33" t="s">
        <v>276</v>
      </c>
      <c r="B315" s="34" t="s">
        <v>277</v>
      </c>
      <c r="C315" s="50">
        <f>SUMIFS(INDEX(Техника!$F$1:$ABM$500,C$2,0),Техника!$F$4:$ABM$4,"Часы",INDEX(Техника!$G$1:$ABN$500,C$2,0),$A$312,INDEX(Техника!$H$1:$ABO$500,C$2,0),"П")</f>
        <v>0</v>
      </c>
      <c r="D315" s="50">
        <f>SUMIFS(INDEX(Техника!$F$1:$ABM$500,D$2,0),Техника!$F$4:$ABM$4,"Часы",INDEX(Техника!$G$1:$ABN$500,D$2,0),$A$312,INDEX(Техника!$H$1:$ABO$500,D$2,0),"П")</f>
        <v>0</v>
      </c>
      <c r="E315" s="50">
        <f>SUMIFS(INDEX(Техника!$F$1:$ABM$500,E$2,0),Техника!$F$4:$ABM$4,"Часы",INDEX(Техника!$G$1:$ABN$500,E$2,0),$A$312,INDEX(Техника!$H$1:$ABO$500,E$2,0),"П")</f>
        <v>0</v>
      </c>
      <c r="F315" s="50">
        <f>SUMIFS(INDEX(Техника!$F$1:$ABM$500,F$2,0),Техника!$F$4:$ABM$4,"Часы",INDEX(Техника!$G$1:$ABN$500,F$2,0),$A$312,INDEX(Техника!$H$1:$ABO$500,F$2,0),"П")</f>
        <v>0</v>
      </c>
      <c r="G315" s="50">
        <f>SUMIFS(INDEX(Техника!$F$1:$ABM$500,G$2,0),Техника!$F$4:$ABM$4,"Часы",INDEX(Техника!$G$1:$ABN$500,G$2,0),$A$312,INDEX(Техника!$H$1:$ABO$500,G$2,0),"П")</f>
        <v>0</v>
      </c>
      <c r="H315" s="50">
        <f>SUMIFS(INDEX(Техника!$F$1:$ABM$500,H$2,0),Техника!$F$4:$ABM$4,"Часы",INDEX(Техника!$G$1:$ABN$500,H$2,0),$A$312,INDEX(Техника!$H$1:$ABO$500,H$2,0),"П")</f>
        <v>0</v>
      </c>
      <c r="I315" s="50">
        <f>SUMIFS(INDEX(Техника!$F$1:$ABM$500,I$2,0),Техника!$F$4:$ABM$4,"Часы",INDEX(Техника!$G$1:$ABN$500,I$2,0),$A$312,INDEX(Техника!$H$1:$ABO$500,I$2,0),"П")</f>
        <v>0</v>
      </c>
      <c r="J315" s="50">
        <f>SUMIFS(INDEX(Техника!$F$1:$ABM$500,J$2,0),Техника!$F$4:$ABM$4,"Часы",INDEX(Техника!$G$1:$ABN$500,J$2,0),$A$312,INDEX(Техника!$H$1:$ABO$500,J$2,0),"П")</f>
        <v>0</v>
      </c>
      <c r="K315" s="50">
        <f>SUMIFS(INDEX(Техника!$F$1:$ABM$500,K$2,0),Техника!$F$4:$ABM$4,"Часы",INDEX(Техника!$G$1:$ABN$500,K$2,0),$A$312,INDEX(Техника!$H$1:$ABO$500,K$2,0),"П")</f>
        <v>0</v>
      </c>
      <c r="L315" s="50">
        <f>SUMIFS(INDEX(Техника!$F$1:$ABM$500,L$2,0),Техника!$F$4:$ABM$4,"Часы",INDEX(Техника!$G$1:$ABN$500,L$2,0),$A$312,INDEX(Техника!$H$1:$ABO$500,L$2,0),"П")</f>
        <v>0</v>
      </c>
      <c r="M315" s="50">
        <f>SUMIFS(INDEX(Техника!$F$1:$ABM$500,M$2,0),Техника!$F$4:$ABM$4,"Часы",INDEX(Техника!$G$1:$ABN$500,M$2,0),$A$312,INDEX(Техника!$H$1:$ABO$500,M$2,0),"П")</f>
        <v>0</v>
      </c>
      <c r="N315" s="50">
        <f>SUMIFS(INDEX(Техника!$F$1:$ABM$500,N$2,0),Техника!$F$4:$ABM$4,"Часы",INDEX(Техника!$G$1:$ABN$500,N$2,0),$A$312,INDEX(Техника!$H$1:$ABO$500,N$2,0),"П")</f>
        <v>0</v>
      </c>
      <c r="O315" s="50">
        <f>SUMIFS(INDEX(Техника!$F$1:$ABM$500,O$2,0),Техника!$F$4:$ABM$4,"Часы",INDEX(Техника!$G$1:$ABN$500,O$2,0),$A$312,INDEX(Техника!$H$1:$ABO$500,O$2,0),"П")</f>
        <v>0</v>
      </c>
      <c r="P315" s="50">
        <f>SUMIFS(INDEX(Техника!$F$1:$ABM$500,P$2,0),Техника!$F$4:$ABM$4,"Часы",INDEX(Техника!$G$1:$ABN$500,P$2,0),$A$312,INDEX(Техника!$H$1:$ABO$500,P$2,0),"П")</f>
        <v>0</v>
      </c>
      <c r="Q315" s="50">
        <f>SUMIFS(INDEX(Техника!$F$1:$ABM$500,Q$2,0),Техника!$F$4:$ABM$4,"Часы",INDEX(Техника!$G$1:$ABN$500,Q$2,0),$A$312,INDEX(Техника!$H$1:$ABO$500,Q$2,0),"П")</f>
        <v>0</v>
      </c>
      <c r="R315" s="50">
        <f>SUMIFS(INDEX(Техника!$F$1:$ABM$500,R$2,0),Техника!$F$4:$ABM$4,"Часы",INDEX(Техника!$G$1:$ABN$500,R$2,0),$A$312,INDEX(Техника!$H$1:$ABO$500,R$2,0),"П")</f>
        <v>0</v>
      </c>
      <c r="S315" s="50">
        <f>SUMIFS(INDEX(Техника!$F$1:$ABM$500,S$2,0),Техника!$F$4:$ABM$4,"Часы",INDEX(Техника!$G$1:$ABN$500,S$2,0),$A$312,INDEX(Техника!$H$1:$ABO$500,S$2,0),"П")</f>
        <v>8</v>
      </c>
      <c r="T315" s="50">
        <f>SUMIFS(INDEX(Техника!$F$1:$ABM$500,T$2,0),Техника!$F$4:$ABM$4,"Часы",INDEX(Техника!$G$1:$ABN$500,T$2,0),$A$312,INDEX(Техника!$H$1:$ABO$500,T$2,0),"П")</f>
        <v>0</v>
      </c>
      <c r="U315" s="50">
        <f>SUMIFS(INDEX(Техника!$F$1:$ABM$500,U$2,0),Техника!$F$4:$ABM$4,"Часы",INDEX(Техника!$G$1:$ABN$500,U$2,0),$A$312,INDEX(Техника!$H$1:$ABO$500,U$2,0),"П")</f>
        <v>0</v>
      </c>
      <c r="V315" s="50">
        <f>SUMIFS(INDEX(Техника!$F$1:$ABM$500,V$2,0),Техника!$F$4:$ABM$4,"Часы",INDEX(Техника!$G$1:$ABN$500,V$2,0),$A$312,INDEX(Техника!$H$1:$ABO$500,V$2,0),"П")</f>
        <v>0</v>
      </c>
      <c r="W315" s="50">
        <f>SUMIFS(INDEX(Техника!$F$1:$ABM$500,W$2,0),Техника!$F$4:$ABM$4,"Часы",INDEX(Техника!$G$1:$ABN$500,W$2,0),$A$312,INDEX(Техника!$H$1:$ABO$500,W$2,0),"П")</f>
        <v>0</v>
      </c>
      <c r="X315" s="50">
        <f>SUMIFS(INDEX(Техника!$F$1:$ABM$500,X$2,0),Техника!$F$4:$ABM$4,"Часы",INDEX(Техника!$G$1:$ABN$500,X$2,0),$A$312,INDEX(Техника!$H$1:$ABO$500,X$2,0),"П")</f>
        <v>0</v>
      </c>
      <c r="Y315" s="50">
        <f>SUMIFS(INDEX(Техника!$F$1:$ABM$500,Y$2,0),Техника!$F$4:$ABM$4,"Часы",INDEX(Техника!$G$1:$ABN$500,Y$2,0),$A$312,INDEX(Техника!$H$1:$ABO$500,Y$2,0),"П")</f>
        <v>0</v>
      </c>
      <c r="Z315" s="50">
        <f>SUMIFS(INDEX(Техника!$F$1:$ABM$500,Z$2,0),Техника!$F$4:$ABM$4,"Часы",INDEX(Техника!$G$1:$ABN$500,Z$2,0),$A$312,INDEX(Техника!$H$1:$ABO$500,Z$2,0),"П")</f>
        <v>0</v>
      </c>
      <c r="AA315" s="50">
        <f>SUMIFS(INDEX(Техника!$F$1:$ABM$500,AA$2,0),Техника!$F$4:$ABM$4,"Часы",INDEX(Техника!$G$1:$ABN$500,AA$2,0),$A$312,INDEX(Техника!$H$1:$ABO$500,AA$2,0),"П")</f>
        <v>0</v>
      </c>
      <c r="AB315" s="50">
        <f>SUMIFS(INDEX(Техника!$F$1:$ABM$500,AB$2,0),Техника!$F$4:$ABM$4,"Часы",INDEX(Техника!$G$1:$ABN$500,AB$2,0),$A$312,INDEX(Техника!$H$1:$ABO$500,AB$2,0),"П")</f>
        <v>0</v>
      </c>
    </row>
    <row r="316" spans="1:28" hidden="1" outlineLevel="1" x14ac:dyDescent="0.3">
      <c r="A316" s="33" t="s">
        <v>243</v>
      </c>
      <c r="B316" s="34" t="s">
        <v>278</v>
      </c>
      <c r="C316" s="50">
        <f>SUMIFS(INDEX(Техника!$F$1:$ABM$500,C$2,0),Техника!$F$4:$ABM$4,"Часы",INDEX(Техника!$G$1:$ABN$500,C$2,0),$A$312,INDEX(Техника!$H$1:$ABO$500,C$2,0),"Л")</f>
        <v>0</v>
      </c>
      <c r="D316" s="50">
        <f>SUMIFS(INDEX(Техника!$F$1:$ABM$500,D$2,0),Техника!$F$4:$ABM$4,"Часы",INDEX(Техника!$G$1:$ABN$500,D$2,0),$A$312,INDEX(Техника!$H$1:$ABO$500,D$2,0),"Л")</f>
        <v>0</v>
      </c>
      <c r="E316" s="50">
        <f>SUMIFS(INDEX(Техника!$F$1:$ABM$500,E$2,0),Техника!$F$4:$ABM$4,"Часы",INDEX(Техника!$G$1:$ABN$500,E$2,0),$A$312,INDEX(Техника!$H$1:$ABO$500,E$2,0),"Л")</f>
        <v>0</v>
      </c>
      <c r="F316" s="50">
        <f>SUMIFS(INDEX(Техника!$F$1:$ABM$500,F$2,0),Техника!$F$4:$ABM$4,"Часы",INDEX(Техника!$G$1:$ABN$500,F$2,0),$A$312,INDEX(Техника!$H$1:$ABO$500,F$2,0),"Л")</f>
        <v>0</v>
      </c>
      <c r="G316" s="50">
        <f>SUMIFS(INDEX(Техника!$F$1:$ABM$500,G$2,0),Техника!$F$4:$ABM$4,"Часы",INDEX(Техника!$G$1:$ABN$500,G$2,0),$A$312,INDEX(Техника!$H$1:$ABO$500,G$2,0),"Л")</f>
        <v>0</v>
      </c>
      <c r="H316" s="50">
        <f>SUMIFS(INDEX(Техника!$F$1:$ABM$500,H$2,0),Техника!$F$4:$ABM$4,"Часы",INDEX(Техника!$G$1:$ABN$500,H$2,0),$A$312,INDEX(Техника!$H$1:$ABO$500,H$2,0),"Л")</f>
        <v>0</v>
      </c>
      <c r="I316" s="50">
        <f>SUMIFS(INDEX(Техника!$F$1:$ABM$500,I$2,0),Техника!$F$4:$ABM$4,"Часы",INDEX(Техника!$G$1:$ABN$500,I$2,0),$A$312,INDEX(Техника!$H$1:$ABO$500,I$2,0),"Л")</f>
        <v>0</v>
      </c>
      <c r="J316" s="50">
        <f>SUMIFS(INDEX(Техника!$F$1:$ABM$500,J$2,0),Техника!$F$4:$ABM$4,"Часы",INDEX(Техника!$G$1:$ABN$500,J$2,0),$A$312,INDEX(Техника!$H$1:$ABO$500,J$2,0),"Л")</f>
        <v>0</v>
      </c>
      <c r="K316" s="50">
        <f>SUMIFS(INDEX(Техника!$F$1:$ABM$500,K$2,0),Техника!$F$4:$ABM$4,"Часы",INDEX(Техника!$G$1:$ABN$500,K$2,0),$A$312,INDEX(Техника!$H$1:$ABO$500,K$2,0),"Л")</f>
        <v>0</v>
      </c>
      <c r="L316" s="50">
        <f>SUMIFS(INDEX(Техника!$F$1:$ABM$500,L$2,0),Техника!$F$4:$ABM$4,"Часы",INDEX(Техника!$G$1:$ABN$500,L$2,0),$A$312,INDEX(Техника!$H$1:$ABO$500,L$2,0),"Л")</f>
        <v>0</v>
      </c>
      <c r="M316" s="50">
        <f>SUMIFS(INDEX(Техника!$F$1:$ABM$500,M$2,0),Техника!$F$4:$ABM$4,"Часы",INDEX(Техника!$G$1:$ABN$500,M$2,0),$A$312,INDEX(Техника!$H$1:$ABO$500,M$2,0),"Л")</f>
        <v>0</v>
      </c>
      <c r="N316" s="50">
        <f>SUMIFS(INDEX(Техника!$F$1:$ABM$500,N$2,0),Техника!$F$4:$ABM$4,"Часы",INDEX(Техника!$G$1:$ABN$500,N$2,0),$A$312,INDEX(Техника!$H$1:$ABO$500,N$2,0),"Л")</f>
        <v>0</v>
      </c>
      <c r="O316" s="50">
        <f>SUMIFS(INDEX(Техника!$F$1:$ABM$500,O$2,0),Техника!$F$4:$ABM$4,"Часы",INDEX(Техника!$G$1:$ABN$500,O$2,0),$A$312,INDEX(Техника!$H$1:$ABO$500,O$2,0),"Л")</f>
        <v>0</v>
      </c>
      <c r="P316" s="50">
        <f>SUMIFS(INDEX(Техника!$F$1:$ABM$500,P$2,0),Техника!$F$4:$ABM$4,"Часы",INDEX(Техника!$G$1:$ABN$500,P$2,0),$A$312,INDEX(Техника!$H$1:$ABO$500,P$2,0),"Л")</f>
        <v>0</v>
      </c>
      <c r="Q316" s="50">
        <f>SUMIFS(INDEX(Техника!$F$1:$ABM$500,Q$2,0),Техника!$F$4:$ABM$4,"Часы",INDEX(Техника!$G$1:$ABN$500,Q$2,0),$A$312,INDEX(Техника!$H$1:$ABO$500,Q$2,0),"Л")</f>
        <v>0</v>
      </c>
      <c r="R316" s="50">
        <f>SUMIFS(INDEX(Техника!$F$1:$ABM$500,R$2,0),Техника!$F$4:$ABM$4,"Часы",INDEX(Техника!$G$1:$ABN$500,R$2,0),$A$312,INDEX(Техника!$H$1:$ABO$500,R$2,0),"Л")</f>
        <v>0</v>
      </c>
      <c r="S316" s="50">
        <f>SUMIFS(INDEX(Техника!$F$1:$ABM$500,S$2,0),Техника!$F$4:$ABM$4,"Часы",INDEX(Техника!$G$1:$ABN$500,S$2,0),$A$312,INDEX(Техника!$H$1:$ABO$500,S$2,0),"Л")</f>
        <v>0</v>
      </c>
      <c r="T316" s="50">
        <f>SUMIFS(INDEX(Техника!$F$1:$ABM$500,T$2,0),Техника!$F$4:$ABM$4,"Часы",INDEX(Техника!$G$1:$ABN$500,T$2,0),$A$312,INDEX(Техника!$H$1:$ABO$500,T$2,0),"Л")</f>
        <v>0</v>
      </c>
      <c r="U316" s="50">
        <f>SUMIFS(INDEX(Техника!$F$1:$ABM$500,U$2,0),Техника!$F$4:$ABM$4,"Часы",INDEX(Техника!$G$1:$ABN$500,U$2,0),$A$312,INDEX(Техника!$H$1:$ABO$500,U$2,0),"Л")</f>
        <v>0</v>
      </c>
      <c r="V316" s="50">
        <f>SUMIFS(INDEX(Техника!$F$1:$ABM$500,V$2,0),Техника!$F$4:$ABM$4,"Часы",INDEX(Техника!$G$1:$ABN$500,V$2,0),$A$312,INDEX(Техника!$H$1:$ABO$500,V$2,0),"Л")</f>
        <v>0</v>
      </c>
      <c r="W316" s="50">
        <f>SUMIFS(INDEX(Техника!$F$1:$ABM$500,W$2,0),Техника!$F$4:$ABM$4,"Часы",INDEX(Техника!$G$1:$ABN$500,W$2,0),$A$312,INDEX(Техника!$H$1:$ABO$500,W$2,0),"Л")</f>
        <v>0</v>
      </c>
      <c r="X316" s="50">
        <f>SUMIFS(INDEX(Техника!$F$1:$ABM$500,X$2,0),Техника!$F$4:$ABM$4,"Часы",INDEX(Техника!$G$1:$ABN$500,X$2,0),$A$312,INDEX(Техника!$H$1:$ABO$500,X$2,0),"Л")</f>
        <v>0</v>
      </c>
      <c r="Y316" s="50">
        <f>SUMIFS(INDEX(Техника!$F$1:$ABM$500,Y$2,0),Техника!$F$4:$ABM$4,"Часы",INDEX(Техника!$G$1:$ABN$500,Y$2,0),$A$312,INDEX(Техника!$H$1:$ABO$500,Y$2,0),"Л")</f>
        <v>0</v>
      </c>
      <c r="Z316" s="50">
        <f>SUMIFS(INDEX(Техника!$F$1:$ABM$500,Z$2,0),Техника!$F$4:$ABM$4,"Часы",INDEX(Техника!$G$1:$ABN$500,Z$2,0),$A$312,INDEX(Техника!$H$1:$ABO$500,Z$2,0),"Л")</f>
        <v>0</v>
      </c>
      <c r="AA316" s="50">
        <f>SUMIFS(INDEX(Техника!$F$1:$ABM$500,AA$2,0),Техника!$F$4:$ABM$4,"Часы",INDEX(Техника!$G$1:$ABN$500,AA$2,0),$A$312,INDEX(Техника!$H$1:$ABO$500,AA$2,0),"Л")</f>
        <v>0</v>
      </c>
      <c r="AB316" s="50">
        <f>SUMIFS(INDEX(Техника!$F$1:$ABM$500,AB$2,0),Техника!$F$4:$ABM$4,"Часы",INDEX(Техника!$G$1:$ABN$500,AB$2,0),$A$312,INDEX(Техника!$H$1:$ABO$500,AB$2,0),"Л")</f>
        <v>0</v>
      </c>
    </row>
    <row r="317" spans="1:28" hidden="1" outlineLevel="1" x14ac:dyDescent="0.3">
      <c r="A317" s="33" t="s">
        <v>245</v>
      </c>
      <c r="B317" s="34" t="s">
        <v>279</v>
      </c>
      <c r="C317" s="50">
        <f>SUMIFS(INDEX(Техника!$F$1:$ABM$500,C$2,0),Техника!$F$4:$ABM$4,"Часы",INDEX(Техника!$G$1:$ABN$500,C$2,0),$A$312,INDEX(Техника!$H$1:$ABO$500,C$2,0),"З")</f>
        <v>0</v>
      </c>
      <c r="D317" s="50">
        <f>SUMIFS(INDEX(Техника!$F$1:$ABM$500,D$2,0),Техника!$F$4:$ABM$4,"Часы",INDEX(Техника!$G$1:$ABN$500,D$2,0),$A$312,INDEX(Техника!$H$1:$ABO$500,D$2,0),"З")</f>
        <v>0</v>
      </c>
      <c r="E317" s="50">
        <f>SUMIFS(INDEX(Техника!$F$1:$ABM$500,E$2,0),Техника!$F$4:$ABM$4,"Часы",INDEX(Техника!$G$1:$ABN$500,E$2,0),$A$312,INDEX(Техника!$H$1:$ABO$500,E$2,0),"З")</f>
        <v>0</v>
      </c>
      <c r="F317" s="50">
        <f>SUMIFS(INDEX(Техника!$F$1:$ABM$500,F$2,0),Техника!$F$4:$ABM$4,"Часы",INDEX(Техника!$G$1:$ABN$500,F$2,0),$A$312,INDEX(Техника!$H$1:$ABO$500,F$2,0),"З")</f>
        <v>0</v>
      </c>
      <c r="G317" s="50">
        <f>SUMIFS(INDEX(Техника!$F$1:$ABM$500,G$2,0),Техника!$F$4:$ABM$4,"Часы",INDEX(Техника!$G$1:$ABN$500,G$2,0),$A$312,INDEX(Техника!$H$1:$ABO$500,G$2,0),"З")</f>
        <v>0</v>
      </c>
      <c r="H317" s="50">
        <f>SUMIFS(INDEX(Техника!$F$1:$ABM$500,H$2,0),Техника!$F$4:$ABM$4,"Часы",INDEX(Техника!$G$1:$ABN$500,H$2,0),$A$312,INDEX(Техника!$H$1:$ABO$500,H$2,0),"З")</f>
        <v>0</v>
      </c>
      <c r="I317" s="50">
        <f>SUMIFS(INDEX(Техника!$F$1:$ABM$500,I$2,0),Техника!$F$4:$ABM$4,"Часы",INDEX(Техника!$G$1:$ABN$500,I$2,0),$A$312,INDEX(Техника!$H$1:$ABO$500,I$2,0),"З")</f>
        <v>0</v>
      </c>
      <c r="J317" s="50">
        <f>SUMIFS(INDEX(Техника!$F$1:$ABM$500,J$2,0),Техника!$F$4:$ABM$4,"Часы",INDEX(Техника!$G$1:$ABN$500,J$2,0),$A$312,INDEX(Техника!$H$1:$ABO$500,J$2,0),"З")</f>
        <v>0</v>
      </c>
      <c r="K317" s="50">
        <f>SUMIFS(INDEX(Техника!$F$1:$ABM$500,K$2,0),Техника!$F$4:$ABM$4,"Часы",INDEX(Техника!$G$1:$ABN$500,K$2,0),$A$312,INDEX(Техника!$H$1:$ABO$500,K$2,0),"З")</f>
        <v>0</v>
      </c>
      <c r="L317" s="50">
        <f>SUMIFS(INDEX(Техника!$F$1:$ABM$500,L$2,0),Техника!$F$4:$ABM$4,"Часы",INDEX(Техника!$G$1:$ABN$500,L$2,0),$A$312,INDEX(Техника!$H$1:$ABO$500,L$2,0),"З")</f>
        <v>0</v>
      </c>
      <c r="M317" s="50">
        <f>SUMIFS(INDEX(Техника!$F$1:$ABM$500,M$2,0),Техника!$F$4:$ABM$4,"Часы",INDEX(Техника!$G$1:$ABN$500,M$2,0),$A$312,INDEX(Техника!$H$1:$ABO$500,M$2,0),"З")</f>
        <v>0</v>
      </c>
      <c r="N317" s="50">
        <f>SUMIFS(INDEX(Техника!$F$1:$ABM$500,N$2,0),Техника!$F$4:$ABM$4,"Часы",INDEX(Техника!$G$1:$ABN$500,N$2,0),$A$312,INDEX(Техника!$H$1:$ABO$500,N$2,0),"З")</f>
        <v>0</v>
      </c>
      <c r="O317" s="50">
        <f>SUMIFS(INDEX(Техника!$F$1:$ABM$500,O$2,0),Техника!$F$4:$ABM$4,"Часы",INDEX(Техника!$G$1:$ABN$500,O$2,0),$A$312,INDEX(Техника!$H$1:$ABO$500,O$2,0),"З")</f>
        <v>0</v>
      </c>
      <c r="P317" s="50">
        <f>SUMIFS(INDEX(Техника!$F$1:$ABM$500,P$2,0),Техника!$F$4:$ABM$4,"Часы",INDEX(Техника!$G$1:$ABN$500,P$2,0),$A$312,INDEX(Техника!$H$1:$ABO$500,P$2,0),"З")</f>
        <v>0</v>
      </c>
      <c r="Q317" s="50">
        <f>SUMIFS(INDEX(Техника!$F$1:$ABM$500,Q$2,0),Техника!$F$4:$ABM$4,"Часы",INDEX(Техника!$G$1:$ABN$500,Q$2,0),$A$312,INDEX(Техника!$H$1:$ABO$500,Q$2,0),"З")</f>
        <v>0</v>
      </c>
      <c r="R317" s="50">
        <f>SUMIFS(INDEX(Техника!$F$1:$ABM$500,R$2,0),Техника!$F$4:$ABM$4,"Часы",INDEX(Техника!$G$1:$ABN$500,R$2,0),$A$312,INDEX(Техника!$H$1:$ABO$500,R$2,0),"З")</f>
        <v>0</v>
      </c>
      <c r="S317" s="50">
        <f>SUMIFS(INDEX(Техника!$F$1:$ABM$500,S$2,0),Техника!$F$4:$ABM$4,"Часы",INDEX(Техника!$G$1:$ABN$500,S$2,0),$A$312,INDEX(Техника!$H$1:$ABO$500,S$2,0),"З")</f>
        <v>0</v>
      </c>
      <c r="T317" s="50">
        <f>SUMIFS(INDEX(Техника!$F$1:$ABM$500,T$2,0),Техника!$F$4:$ABM$4,"Часы",INDEX(Техника!$G$1:$ABN$500,T$2,0),$A$312,INDEX(Техника!$H$1:$ABO$500,T$2,0),"З")</f>
        <v>0</v>
      </c>
      <c r="U317" s="50">
        <f>SUMIFS(INDEX(Техника!$F$1:$ABM$500,U$2,0),Техника!$F$4:$ABM$4,"Часы",INDEX(Техника!$G$1:$ABN$500,U$2,0),$A$312,INDEX(Техника!$H$1:$ABO$500,U$2,0),"З")</f>
        <v>0</v>
      </c>
      <c r="V317" s="50">
        <f>SUMIFS(INDEX(Техника!$F$1:$ABM$500,V$2,0),Техника!$F$4:$ABM$4,"Часы",INDEX(Техника!$G$1:$ABN$500,V$2,0),$A$312,INDEX(Техника!$H$1:$ABO$500,V$2,0),"З")</f>
        <v>0</v>
      </c>
      <c r="W317" s="50">
        <f>SUMIFS(INDEX(Техника!$F$1:$ABM$500,W$2,0),Техника!$F$4:$ABM$4,"Часы",INDEX(Техника!$G$1:$ABN$500,W$2,0),$A$312,INDEX(Техника!$H$1:$ABO$500,W$2,0),"З")</f>
        <v>0</v>
      </c>
      <c r="X317" s="50">
        <f>SUMIFS(INDEX(Техника!$F$1:$ABM$500,X$2,0),Техника!$F$4:$ABM$4,"Часы",INDEX(Техника!$G$1:$ABN$500,X$2,0),$A$312,INDEX(Техника!$H$1:$ABO$500,X$2,0),"З")</f>
        <v>0</v>
      </c>
      <c r="Y317" s="50">
        <f>SUMIFS(INDEX(Техника!$F$1:$ABM$500,Y$2,0),Техника!$F$4:$ABM$4,"Часы",INDEX(Техника!$G$1:$ABN$500,Y$2,0),$A$312,INDEX(Техника!$H$1:$ABO$500,Y$2,0),"З")</f>
        <v>0</v>
      </c>
      <c r="Z317" s="50">
        <f>SUMIFS(INDEX(Техника!$F$1:$ABM$500,Z$2,0),Техника!$F$4:$ABM$4,"Часы",INDEX(Техника!$G$1:$ABN$500,Z$2,0),$A$312,INDEX(Техника!$H$1:$ABO$500,Z$2,0),"З")</f>
        <v>0</v>
      </c>
      <c r="AA317" s="50">
        <f>SUMIFS(INDEX(Техника!$F$1:$ABM$500,AA$2,0),Техника!$F$4:$ABM$4,"Часы",INDEX(Техника!$G$1:$ABN$500,AA$2,0),$A$312,INDEX(Техника!$H$1:$ABO$500,AA$2,0),"З")</f>
        <v>0</v>
      </c>
      <c r="AB317" s="50">
        <f>SUMIFS(INDEX(Техника!$F$1:$ABM$500,AB$2,0),Техника!$F$4:$ABM$4,"Часы",INDEX(Техника!$G$1:$ABN$500,AB$2,0),$A$312,INDEX(Техника!$H$1:$ABO$500,AB$2,0),"З")</f>
        <v>0</v>
      </c>
    </row>
    <row r="318" spans="1:28" ht="7.95" customHeight="1" x14ac:dyDescent="0.3">
      <c r="A318" s="38"/>
      <c r="B318" s="39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</row>
    <row r="319" spans="1:28" ht="25.05" customHeight="1" collapsed="1" x14ac:dyDescent="0.3">
      <c r="A319" s="32">
        <v>46</v>
      </c>
      <c r="B319" s="32" t="s">
        <v>47</v>
      </c>
      <c r="C319" s="49">
        <f>SUM(C320:C324)</f>
        <v>0</v>
      </c>
      <c r="D319" s="49">
        <f>SUM(D320:D324)</f>
        <v>0</v>
      </c>
      <c r="E319" s="49">
        <f>SUM(E320:E324)</f>
        <v>0</v>
      </c>
      <c r="F319" s="49">
        <f>SUM(F320:F324)</f>
        <v>0</v>
      </c>
      <c r="G319" s="49">
        <f>SUM(G320:G324)</f>
        <v>0</v>
      </c>
      <c r="H319" s="49">
        <f>SUM(H320:H324)</f>
        <v>0</v>
      </c>
      <c r="I319" s="49">
        <f>SUM(I320:I324)</f>
        <v>0</v>
      </c>
      <c r="J319" s="49">
        <f>SUM(J320:J324)</f>
        <v>0</v>
      </c>
      <c r="K319" s="49">
        <f>SUM(K320:K324)</f>
        <v>0</v>
      </c>
      <c r="L319" s="49">
        <f>SUM(L320:L324)</f>
        <v>0</v>
      </c>
      <c r="M319" s="49">
        <f>SUM(M320:M324)</f>
        <v>0</v>
      </c>
      <c r="N319" s="49">
        <f>SUM(N320:N324)</f>
        <v>0</v>
      </c>
      <c r="O319" s="49">
        <f>SUM(O320:O324)</f>
        <v>0</v>
      </c>
      <c r="P319" s="49">
        <f>SUM(P320:P324)</f>
        <v>0</v>
      </c>
      <c r="Q319" s="49">
        <f>SUM(Q320:Q324)</f>
        <v>0</v>
      </c>
      <c r="R319" s="49">
        <f>SUM(R320:R324)</f>
        <v>0</v>
      </c>
      <c r="S319" s="49">
        <f>SUM(S320:S324)</f>
        <v>0</v>
      </c>
      <c r="T319" s="49">
        <f>SUM(T320:T324)</f>
        <v>0</v>
      </c>
      <c r="U319" s="49">
        <f>SUM(U320:U324)</f>
        <v>0</v>
      </c>
      <c r="V319" s="49">
        <f>SUM(V320:V324)</f>
        <v>0</v>
      </c>
      <c r="W319" s="49">
        <f>SUM(W320:W324)</f>
        <v>0</v>
      </c>
      <c r="X319" s="49">
        <f>SUM(X320:X324)</f>
        <v>0</v>
      </c>
      <c r="Y319" s="49">
        <f>SUM(Y320:Y324)</f>
        <v>0</v>
      </c>
      <c r="Z319" s="49">
        <f>SUM(Z320:Z324)</f>
        <v>0</v>
      </c>
      <c r="AA319" s="49">
        <f>SUM(AA320:AA324)</f>
        <v>0</v>
      </c>
      <c r="AB319" s="49">
        <f>SUM(AB320:AB324)</f>
        <v>0</v>
      </c>
    </row>
    <row r="320" spans="1:28" hidden="1" outlineLevel="1" x14ac:dyDescent="0.3">
      <c r="A320" s="33" t="s">
        <v>246</v>
      </c>
      <c r="B320" s="34" t="s">
        <v>274</v>
      </c>
      <c r="C320" s="50">
        <f>SUMIFS(INDEX(Техника!$F$1:$ABM$500,C$2,0),Техника!$F$4:$ABM$4,"Часы",INDEX(Техника!$G$1:$ABN$500,C$2,0),$A$319,INDEX(Техника!$H$1:$ABO$500,C$2,0),"М")</f>
        <v>0</v>
      </c>
      <c r="D320" s="50">
        <f>SUMIFS(INDEX(Техника!$F$1:$ABM$500,D$2,0),Техника!$F$4:$ABM$4,"Часы",INDEX(Техника!$G$1:$ABN$500,D$2,0),$A$319,INDEX(Техника!$H$1:$ABO$500,D$2,0),"М")</f>
        <v>0</v>
      </c>
      <c r="E320" s="50">
        <f>SUMIFS(INDEX(Техника!$F$1:$ABM$500,E$2,0),Техника!$F$4:$ABM$4,"Часы",INDEX(Техника!$G$1:$ABN$500,E$2,0),$A$319,INDEX(Техника!$H$1:$ABO$500,E$2,0),"М")</f>
        <v>0</v>
      </c>
      <c r="F320" s="50">
        <f>SUMIFS(INDEX(Техника!$F$1:$ABM$500,F$2,0),Техника!$F$4:$ABM$4,"Часы",INDEX(Техника!$G$1:$ABN$500,F$2,0),$A$319,INDEX(Техника!$H$1:$ABO$500,F$2,0),"М")</f>
        <v>0</v>
      </c>
      <c r="G320" s="50">
        <f>SUMIFS(INDEX(Техника!$F$1:$ABM$500,G$2,0),Техника!$F$4:$ABM$4,"Часы",INDEX(Техника!$G$1:$ABN$500,G$2,0),$A$319,INDEX(Техника!$H$1:$ABO$500,G$2,0),"М")</f>
        <v>0</v>
      </c>
      <c r="H320" s="50">
        <f>SUMIFS(INDEX(Техника!$F$1:$ABM$500,H$2,0),Техника!$F$4:$ABM$4,"Часы",INDEX(Техника!$G$1:$ABN$500,H$2,0),$A$319,INDEX(Техника!$H$1:$ABO$500,H$2,0),"М")</f>
        <v>0</v>
      </c>
      <c r="I320" s="50">
        <f>SUMIFS(INDEX(Техника!$F$1:$ABM$500,I$2,0),Техника!$F$4:$ABM$4,"Часы",INDEX(Техника!$G$1:$ABN$500,I$2,0),$A$319,INDEX(Техника!$H$1:$ABO$500,I$2,0),"М")</f>
        <v>0</v>
      </c>
      <c r="J320" s="50">
        <f>SUMIFS(INDEX(Техника!$F$1:$ABM$500,J$2,0),Техника!$F$4:$ABM$4,"Часы",INDEX(Техника!$G$1:$ABN$500,J$2,0),$A$319,INDEX(Техника!$H$1:$ABO$500,J$2,0),"М")</f>
        <v>0</v>
      </c>
      <c r="K320" s="50">
        <f>SUMIFS(INDEX(Техника!$F$1:$ABM$500,K$2,0),Техника!$F$4:$ABM$4,"Часы",INDEX(Техника!$G$1:$ABN$500,K$2,0),$A$319,INDEX(Техника!$H$1:$ABO$500,K$2,0),"М")</f>
        <v>0</v>
      </c>
      <c r="L320" s="50">
        <f>SUMIFS(INDEX(Техника!$F$1:$ABM$500,L$2,0),Техника!$F$4:$ABM$4,"Часы",INDEX(Техника!$G$1:$ABN$500,L$2,0),$A$319,INDEX(Техника!$H$1:$ABO$500,L$2,0),"М")</f>
        <v>0</v>
      </c>
      <c r="M320" s="50">
        <f>SUMIFS(INDEX(Техника!$F$1:$ABM$500,M$2,0),Техника!$F$4:$ABM$4,"Часы",INDEX(Техника!$G$1:$ABN$500,M$2,0),$A$319,INDEX(Техника!$H$1:$ABO$500,M$2,0),"М")</f>
        <v>0</v>
      </c>
      <c r="N320" s="50">
        <f>SUMIFS(INDEX(Техника!$F$1:$ABM$500,N$2,0),Техника!$F$4:$ABM$4,"Часы",INDEX(Техника!$G$1:$ABN$500,N$2,0),$A$319,INDEX(Техника!$H$1:$ABO$500,N$2,0),"М")</f>
        <v>0</v>
      </c>
      <c r="O320" s="50">
        <f>SUMIFS(INDEX(Техника!$F$1:$ABM$500,O$2,0),Техника!$F$4:$ABM$4,"Часы",INDEX(Техника!$G$1:$ABN$500,O$2,0),$A$319,INDEX(Техника!$H$1:$ABO$500,O$2,0),"М")</f>
        <v>0</v>
      </c>
      <c r="P320" s="50">
        <f>SUMIFS(INDEX(Техника!$F$1:$ABM$500,P$2,0),Техника!$F$4:$ABM$4,"Часы",INDEX(Техника!$G$1:$ABN$500,P$2,0),$A$319,INDEX(Техника!$H$1:$ABO$500,P$2,0),"М")</f>
        <v>0</v>
      </c>
      <c r="Q320" s="50">
        <f>SUMIFS(INDEX(Техника!$F$1:$ABM$500,Q$2,0),Техника!$F$4:$ABM$4,"Часы",INDEX(Техника!$G$1:$ABN$500,Q$2,0),$A$319,INDEX(Техника!$H$1:$ABO$500,Q$2,0),"М")</f>
        <v>0</v>
      </c>
      <c r="R320" s="50">
        <f>SUMIFS(INDEX(Техника!$F$1:$ABM$500,R$2,0),Техника!$F$4:$ABM$4,"Часы",INDEX(Техника!$G$1:$ABN$500,R$2,0),$A$319,INDEX(Техника!$H$1:$ABO$500,R$2,0),"М")</f>
        <v>0</v>
      </c>
      <c r="S320" s="50">
        <f>SUMIFS(INDEX(Техника!$F$1:$ABM$500,S$2,0),Техника!$F$4:$ABM$4,"Часы",INDEX(Техника!$G$1:$ABN$500,S$2,0),$A$319,INDEX(Техника!$H$1:$ABO$500,S$2,0),"М")</f>
        <v>0</v>
      </c>
      <c r="T320" s="50">
        <f>SUMIFS(INDEX(Техника!$F$1:$ABM$500,T$2,0),Техника!$F$4:$ABM$4,"Часы",INDEX(Техника!$G$1:$ABN$500,T$2,0),$A$319,INDEX(Техника!$H$1:$ABO$500,T$2,0),"М")</f>
        <v>0</v>
      </c>
      <c r="U320" s="50">
        <f>SUMIFS(INDEX(Техника!$F$1:$ABM$500,U$2,0),Техника!$F$4:$ABM$4,"Часы",INDEX(Техника!$G$1:$ABN$500,U$2,0),$A$319,INDEX(Техника!$H$1:$ABO$500,U$2,0),"М")</f>
        <v>0</v>
      </c>
      <c r="V320" s="50">
        <f>SUMIFS(INDEX(Техника!$F$1:$ABM$500,V$2,0),Техника!$F$4:$ABM$4,"Часы",INDEX(Техника!$G$1:$ABN$500,V$2,0),$A$319,INDEX(Техника!$H$1:$ABO$500,V$2,0),"М")</f>
        <v>0</v>
      </c>
      <c r="W320" s="50">
        <f>SUMIFS(INDEX(Техника!$F$1:$ABM$500,W$2,0),Техника!$F$4:$ABM$4,"Часы",INDEX(Техника!$G$1:$ABN$500,W$2,0),$A$319,INDEX(Техника!$H$1:$ABO$500,W$2,0),"М")</f>
        <v>0</v>
      </c>
      <c r="X320" s="50">
        <f>SUMIFS(INDEX(Техника!$F$1:$ABM$500,X$2,0),Техника!$F$4:$ABM$4,"Часы",INDEX(Техника!$G$1:$ABN$500,X$2,0),$A$319,INDEX(Техника!$H$1:$ABO$500,X$2,0),"М")</f>
        <v>0</v>
      </c>
      <c r="Y320" s="50">
        <f>SUMIFS(INDEX(Техника!$F$1:$ABM$500,Y$2,0),Техника!$F$4:$ABM$4,"Часы",INDEX(Техника!$G$1:$ABN$500,Y$2,0),$A$319,INDEX(Техника!$H$1:$ABO$500,Y$2,0),"М")</f>
        <v>0</v>
      </c>
      <c r="Z320" s="50">
        <f>SUMIFS(INDEX(Техника!$F$1:$ABM$500,Z$2,0),Техника!$F$4:$ABM$4,"Часы",INDEX(Техника!$G$1:$ABN$500,Z$2,0),$A$319,INDEX(Техника!$H$1:$ABO$500,Z$2,0),"М")</f>
        <v>0</v>
      </c>
      <c r="AA320" s="50">
        <f>SUMIFS(INDEX(Техника!$F$1:$ABM$500,AA$2,0),Техника!$F$4:$ABM$4,"Часы",INDEX(Техника!$G$1:$ABN$500,AA$2,0),$A$319,INDEX(Техника!$H$1:$ABO$500,AA$2,0),"М")</f>
        <v>0</v>
      </c>
      <c r="AB320" s="50">
        <f>SUMIFS(INDEX(Техника!$F$1:$ABM$500,AB$2,0),Техника!$F$4:$ABM$4,"Часы",INDEX(Техника!$G$1:$ABN$500,AB$2,0),$A$319,INDEX(Техника!$H$1:$ABO$500,AB$2,0),"М")</f>
        <v>0</v>
      </c>
    </row>
    <row r="321" spans="1:28" hidden="1" outlineLevel="1" x14ac:dyDescent="0.3">
      <c r="A321" s="33" t="s">
        <v>244</v>
      </c>
      <c r="B321" s="34" t="s">
        <v>275</v>
      </c>
      <c r="C321" s="50">
        <f>SUMIFS(INDEX(Техника!$F$1:$ABM$500,C$2,0),Техника!$F$4:$ABM$4,"Часы",INDEX(Техника!$G$1:$ABN$500,C$2,0),$A$319,INDEX(Техника!$H$1:$ABO$500,C$2,0),"Д")</f>
        <v>0</v>
      </c>
      <c r="D321" s="50">
        <f>SUMIFS(INDEX(Техника!$F$1:$ABM$500,D$2,0),Техника!$F$4:$ABM$4,"Часы",INDEX(Техника!$G$1:$ABN$500,D$2,0),$A$319,INDEX(Техника!$H$1:$ABO$500,D$2,0),"Д")</f>
        <v>0</v>
      </c>
      <c r="E321" s="50">
        <f>SUMIFS(INDEX(Техника!$F$1:$ABM$500,E$2,0),Техника!$F$4:$ABM$4,"Часы",INDEX(Техника!$G$1:$ABN$500,E$2,0),$A$319,INDEX(Техника!$H$1:$ABO$500,E$2,0),"Д")</f>
        <v>0</v>
      </c>
      <c r="F321" s="50">
        <f>SUMIFS(INDEX(Техника!$F$1:$ABM$500,F$2,0),Техника!$F$4:$ABM$4,"Часы",INDEX(Техника!$G$1:$ABN$500,F$2,0),$A$319,INDEX(Техника!$H$1:$ABO$500,F$2,0),"Д")</f>
        <v>0</v>
      </c>
      <c r="G321" s="50">
        <f>SUMIFS(INDEX(Техника!$F$1:$ABM$500,G$2,0),Техника!$F$4:$ABM$4,"Часы",INDEX(Техника!$G$1:$ABN$500,G$2,0),$A$319,INDEX(Техника!$H$1:$ABO$500,G$2,0),"Д")</f>
        <v>0</v>
      </c>
      <c r="H321" s="50">
        <f>SUMIFS(INDEX(Техника!$F$1:$ABM$500,H$2,0),Техника!$F$4:$ABM$4,"Часы",INDEX(Техника!$G$1:$ABN$500,H$2,0),$A$319,INDEX(Техника!$H$1:$ABO$500,H$2,0),"Д")</f>
        <v>0</v>
      </c>
      <c r="I321" s="50">
        <f>SUMIFS(INDEX(Техника!$F$1:$ABM$500,I$2,0),Техника!$F$4:$ABM$4,"Часы",INDEX(Техника!$G$1:$ABN$500,I$2,0),$A$319,INDEX(Техника!$H$1:$ABO$500,I$2,0),"Д")</f>
        <v>0</v>
      </c>
      <c r="J321" s="50">
        <f>SUMIFS(INDEX(Техника!$F$1:$ABM$500,J$2,0),Техника!$F$4:$ABM$4,"Часы",INDEX(Техника!$G$1:$ABN$500,J$2,0),$A$319,INDEX(Техника!$H$1:$ABO$500,J$2,0),"Д")</f>
        <v>0</v>
      </c>
      <c r="K321" s="50">
        <f>SUMIFS(INDEX(Техника!$F$1:$ABM$500,K$2,0),Техника!$F$4:$ABM$4,"Часы",INDEX(Техника!$G$1:$ABN$500,K$2,0),$A$319,INDEX(Техника!$H$1:$ABO$500,K$2,0),"Д")</f>
        <v>0</v>
      </c>
      <c r="L321" s="50">
        <f>SUMIFS(INDEX(Техника!$F$1:$ABM$500,L$2,0),Техника!$F$4:$ABM$4,"Часы",INDEX(Техника!$G$1:$ABN$500,L$2,0),$A$319,INDEX(Техника!$H$1:$ABO$500,L$2,0),"Д")</f>
        <v>0</v>
      </c>
      <c r="M321" s="50">
        <f>SUMIFS(INDEX(Техника!$F$1:$ABM$500,M$2,0),Техника!$F$4:$ABM$4,"Часы",INDEX(Техника!$G$1:$ABN$500,M$2,0),$A$319,INDEX(Техника!$H$1:$ABO$500,M$2,0),"Д")</f>
        <v>0</v>
      </c>
      <c r="N321" s="50">
        <f>SUMIFS(INDEX(Техника!$F$1:$ABM$500,N$2,0),Техника!$F$4:$ABM$4,"Часы",INDEX(Техника!$G$1:$ABN$500,N$2,0),$A$319,INDEX(Техника!$H$1:$ABO$500,N$2,0),"Д")</f>
        <v>0</v>
      </c>
      <c r="O321" s="50">
        <f>SUMIFS(INDEX(Техника!$F$1:$ABM$500,O$2,0),Техника!$F$4:$ABM$4,"Часы",INDEX(Техника!$G$1:$ABN$500,O$2,0),$A$319,INDEX(Техника!$H$1:$ABO$500,O$2,0),"Д")</f>
        <v>0</v>
      </c>
      <c r="P321" s="50">
        <f>SUMIFS(INDEX(Техника!$F$1:$ABM$500,P$2,0),Техника!$F$4:$ABM$4,"Часы",INDEX(Техника!$G$1:$ABN$500,P$2,0),$A$319,INDEX(Техника!$H$1:$ABO$500,P$2,0),"Д")</f>
        <v>0</v>
      </c>
      <c r="Q321" s="50">
        <f>SUMIFS(INDEX(Техника!$F$1:$ABM$500,Q$2,0),Техника!$F$4:$ABM$4,"Часы",INDEX(Техника!$G$1:$ABN$500,Q$2,0),$A$319,INDEX(Техника!$H$1:$ABO$500,Q$2,0),"Д")</f>
        <v>0</v>
      </c>
      <c r="R321" s="50">
        <f>SUMIFS(INDEX(Техника!$F$1:$ABM$500,R$2,0),Техника!$F$4:$ABM$4,"Часы",INDEX(Техника!$G$1:$ABN$500,R$2,0),$A$319,INDEX(Техника!$H$1:$ABO$500,R$2,0),"Д")</f>
        <v>0</v>
      </c>
      <c r="S321" s="50">
        <f>SUMIFS(INDEX(Техника!$F$1:$ABM$500,S$2,0),Техника!$F$4:$ABM$4,"Часы",INDEX(Техника!$G$1:$ABN$500,S$2,0),$A$319,INDEX(Техника!$H$1:$ABO$500,S$2,0),"Д")</f>
        <v>0</v>
      </c>
      <c r="T321" s="50">
        <f>SUMIFS(INDEX(Техника!$F$1:$ABM$500,T$2,0),Техника!$F$4:$ABM$4,"Часы",INDEX(Техника!$G$1:$ABN$500,T$2,0),$A$319,INDEX(Техника!$H$1:$ABO$500,T$2,0),"Д")</f>
        <v>0</v>
      </c>
      <c r="U321" s="50">
        <f>SUMIFS(INDEX(Техника!$F$1:$ABM$500,U$2,0),Техника!$F$4:$ABM$4,"Часы",INDEX(Техника!$G$1:$ABN$500,U$2,0),$A$319,INDEX(Техника!$H$1:$ABO$500,U$2,0),"Д")</f>
        <v>0</v>
      </c>
      <c r="V321" s="50">
        <f>SUMIFS(INDEX(Техника!$F$1:$ABM$500,V$2,0),Техника!$F$4:$ABM$4,"Часы",INDEX(Техника!$G$1:$ABN$500,V$2,0),$A$319,INDEX(Техника!$H$1:$ABO$500,V$2,0),"Д")</f>
        <v>0</v>
      </c>
      <c r="W321" s="50">
        <f>SUMIFS(INDEX(Техника!$F$1:$ABM$500,W$2,0),Техника!$F$4:$ABM$4,"Часы",INDEX(Техника!$G$1:$ABN$500,W$2,0),$A$319,INDEX(Техника!$H$1:$ABO$500,W$2,0),"Д")</f>
        <v>0</v>
      </c>
      <c r="X321" s="50">
        <f>SUMIFS(INDEX(Техника!$F$1:$ABM$500,X$2,0),Техника!$F$4:$ABM$4,"Часы",INDEX(Техника!$G$1:$ABN$500,X$2,0),$A$319,INDEX(Техника!$H$1:$ABO$500,X$2,0),"Д")</f>
        <v>0</v>
      </c>
      <c r="Y321" s="50">
        <f>SUMIFS(INDEX(Техника!$F$1:$ABM$500,Y$2,0),Техника!$F$4:$ABM$4,"Часы",INDEX(Техника!$G$1:$ABN$500,Y$2,0),$A$319,INDEX(Техника!$H$1:$ABO$500,Y$2,0),"Д")</f>
        <v>0</v>
      </c>
      <c r="Z321" s="50">
        <f>SUMIFS(INDEX(Техника!$F$1:$ABM$500,Z$2,0),Техника!$F$4:$ABM$4,"Часы",INDEX(Техника!$G$1:$ABN$500,Z$2,0),$A$319,INDEX(Техника!$H$1:$ABO$500,Z$2,0),"Д")</f>
        <v>0</v>
      </c>
      <c r="AA321" s="50">
        <f>SUMIFS(INDEX(Техника!$F$1:$ABM$500,AA$2,0),Техника!$F$4:$ABM$4,"Часы",INDEX(Техника!$G$1:$ABN$500,AA$2,0),$A$319,INDEX(Техника!$H$1:$ABO$500,AA$2,0),"Д")</f>
        <v>0</v>
      </c>
      <c r="AB321" s="50">
        <f>SUMIFS(INDEX(Техника!$F$1:$ABM$500,AB$2,0),Техника!$F$4:$ABM$4,"Часы",INDEX(Техника!$G$1:$ABN$500,AB$2,0),$A$319,INDEX(Техника!$H$1:$ABO$500,AB$2,0),"Д")</f>
        <v>0</v>
      </c>
    </row>
    <row r="322" spans="1:28" hidden="1" outlineLevel="1" x14ac:dyDescent="0.3">
      <c r="A322" s="33" t="s">
        <v>276</v>
      </c>
      <c r="B322" s="34" t="s">
        <v>277</v>
      </c>
      <c r="C322" s="50">
        <f>SUMIFS(INDEX(Техника!$F$1:$ABM$500,C$2,0),Техника!$F$4:$ABM$4,"Часы",INDEX(Техника!$G$1:$ABN$500,C$2,0),$A$319,INDEX(Техника!$H$1:$ABO$500,C$2,0),"П")</f>
        <v>0</v>
      </c>
      <c r="D322" s="50">
        <f>SUMIFS(INDEX(Техника!$F$1:$ABM$500,D$2,0),Техника!$F$4:$ABM$4,"Часы",INDEX(Техника!$G$1:$ABN$500,D$2,0),$A$319,INDEX(Техника!$H$1:$ABO$500,D$2,0),"П")</f>
        <v>0</v>
      </c>
      <c r="E322" s="50">
        <f>SUMIFS(INDEX(Техника!$F$1:$ABM$500,E$2,0),Техника!$F$4:$ABM$4,"Часы",INDEX(Техника!$G$1:$ABN$500,E$2,0),$A$319,INDEX(Техника!$H$1:$ABO$500,E$2,0),"П")</f>
        <v>0</v>
      </c>
      <c r="F322" s="50">
        <f>SUMIFS(INDEX(Техника!$F$1:$ABM$500,F$2,0),Техника!$F$4:$ABM$4,"Часы",INDEX(Техника!$G$1:$ABN$500,F$2,0),$A$319,INDEX(Техника!$H$1:$ABO$500,F$2,0),"П")</f>
        <v>0</v>
      </c>
      <c r="G322" s="50">
        <f>SUMIFS(INDEX(Техника!$F$1:$ABM$500,G$2,0),Техника!$F$4:$ABM$4,"Часы",INDEX(Техника!$G$1:$ABN$500,G$2,0),$A$319,INDEX(Техника!$H$1:$ABO$500,G$2,0),"П")</f>
        <v>0</v>
      </c>
      <c r="H322" s="50">
        <f>SUMIFS(INDEX(Техника!$F$1:$ABM$500,H$2,0),Техника!$F$4:$ABM$4,"Часы",INDEX(Техника!$G$1:$ABN$500,H$2,0),$A$319,INDEX(Техника!$H$1:$ABO$500,H$2,0),"П")</f>
        <v>0</v>
      </c>
      <c r="I322" s="50">
        <f>SUMIFS(INDEX(Техника!$F$1:$ABM$500,I$2,0),Техника!$F$4:$ABM$4,"Часы",INDEX(Техника!$G$1:$ABN$500,I$2,0),$A$319,INDEX(Техника!$H$1:$ABO$500,I$2,0),"П")</f>
        <v>0</v>
      </c>
      <c r="J322" s="50">
        <f>SUMIFS(INDEX(Техника!$F$1:$ABM$500,J$2,0),Техника!$F$4:$ABM$4,"Часы",INDEX(Техника!$G$1:$ABN$500,J$2,0),$A$319,INDEX(Техника!$H$1:$ABO$500,J$2,0),"П")</f>
        <v>0</v>
      </c>
      <c r="K322" s="50">
        <f>SUMIFS(INDEX(Техника!$F$1:$ABM$500,K$2,0),Техника!$F$4:$ABM$4,"Часы",INDEX(Техника!$G$1:$ABN$500,K$2,0),$A$319,INDEX(Техника!$H$1:$ABO$500,K$2,0),"П")</f>
        <v>0</v>
      </c>
      <c r="L322" s="50">
        <f>SUMIFS(INDEX(Техника!$F$1:$ABM$500,L$2,0),Техника!$F$4:$ABM$4,"Часы",INDEX(Техника!$G$1:$ABN$500,L$2,0),$A$319,INDEX(Техника!$H$1:$ABO$500,L$2,0),"П")</f>
        <v>0</v>
      </c>
      <c r="M322" s="50">
        <f>SUMIFS(INDEX(Техника!$F$1:$ABM$500,M$2,0),Техника!$F$4:$ABM$4,"Часы",INDEX(Техника!$G$1:$ABN$500,M$2,0),$A$319,INDEX(Техника!$H$1:$ABO$500,M$2,0),"П")</f>
        <v>0</v>
      </c>
      <c r="N322" s="50">
        <f>SUMIFS(INDEX(Техника!$F$1:$ABM$500,N$2,0),Техника!$F$4:$ABM$4,"Часы",INDEX(Техника!$G$1:$ABN$500,N$2,0),$A$319,INDEX(Техника!$H$1:$ABO$500,N$2,0),"П")</f>
        <v>0</v>
      </c>
      <c r="O322" s="50">
        <f>SUMIFS(INDEX(Техника!$F$1:$ABM$500,O$2,0),Техника!$F$4:$ABM$4,"Часы",INDEX(Техника!$G$1:$ABN$500,O$2,0),$A$319,INDEX(Техника!$H$1:$ABO$500,O$2,0),"П")</f>
        <v>0</v>
      </c>
      <c r="P322" s="50">
        <f>SUMIFS(INDEX(Техника!$F$1:$ABM$500,P$2,0),Техника!$F$4:$ABM$4,"Часы",INDEX(Техника!$G$1:$ABN$500,P$2,0),$A$319,INDEX(Техника!$H$1:$ABO$500,P$2,0),"П")</f>
        <v>0</v>
      </c>
      <c r="Q322" s="50">
        <f>SUMIFS(INDEX(Техника!$F$1:$ABM$500,Q$2,0),Техника!$F$4:$ABM$4,"Часы",INDEX(Техника!$G$1:$ABN$500,Q$2,0),$A$319,INDEX(Техника!$H$1:$ABO$500,Q$2,0),"П")</f>
        <v>0</v>
      </c>
      <c r="R322" s="50">
        <f>SUMIFS(INDEX(Техника!$F$1:$ABM$500,R$2,0),Техника!$F$4:$ABM$4,"Часы",INDEX(Техника!$G$1:$ABN$500,R$2,0),$A$319,INDEX(Техника!$H$1:$ABO$500,R$2,0),"П")</f>
        <v>0</v>
      </c>
      <c r="S322" s="50">
        <f>SUMIFS(INDEX(Техника!$F$1:$ABM$500,S$2,0),Техника!$F$4:$ABM$4,"Часы",INDEX(Техника!$G$1:$ABN$500,S$2,0),$A$319,INDEX(Техника!$H$1:$ABO$500,S$2,0),"П")</f>
        <v>0</v>
      </c>
      <c r="T322" s="50">
        <f>SUMIFS(INDEX(Техника!$F$1:$ABM$500,T$2,0),Техника!$F$4:$ABM$4,"Часы",INDEX(Техника!$G$1:$ABN$500,T$2,0),$A$319,INDEX(Техника!$H$1:$ABO$500,T$2,0),"П")</f>
        <v>0</v>
      </c>
      <c r="U322" s="50">
        <f>SUMIFS(INDEX(Техника!$F$1:$ABM$500,U$2,0),Техника!$F$4:$ABM$4,"Часы",INDEX(Техника!$G$1:$ABN$500,U$2,0),$A$319,INDEX(Техника!$H$1:$ABO$500,U$2,0),"П")</f>
        <v>0</v>
      </c>
      <c r="V322" s="50">
        <f>SUMIFS(INDEX(Техника!$F$1:$ABM$500,V$2,0),Техника!$F$4:$ABM$4,"Часы",INDEX(Техника!$G$1:$ABN$500,V$2,0),$A$319,INDEX(Техника!$H$1:$ABO$500,V$2,0),"П")</f>
        <v>0</v>
      </c>
      <c r="W322" s="50">
        <f>SUMIFS(INDEX(Техника!$F$1:$ABM$500,W$2,0),Техника!$F$4:$ABM$4,"Часы",INDEX(Техника!$G$1:$ABN$500,W$2,0),$A$319,INDEX(Техника!$H$1:$ABO$500,W$2,0),"П")</f>
        <v>0</v>
      </c>
      <c r="X322" s="50">
        <f>SUMIFS(INDEX(Техника!$F$1:$ABM$500,X$2,0),Техника!$F$4:$ABM$4,"Часы",INDEX(Техника!$G$1:$ABN$500,X$2,0),$A$319,INDEX(Техника!$H$1:$ABO$500,X$2,0),"П")</f>
        <v>0</v>
      </c>
      <c r="Y322" s="50">
        <f>SUMIFS(INDEX(Техника!$F$1:$ABM$500,Y$2,0),Техника!$F$4:$ABM$4,"Часы",INDEX(Техника!$G$1:$ABN$500,Y$2,0),$A$319,INDEX(Техника!$H$1:$ABO$500,Y$2,0),"П")</f>
        <v>0</v>
      </c>
      <c r="Z322" s="50">
        <f>SUMIFS(INDEX(Техника!$F$1:$ABM$500,Z$2,0),Техника!$F$4:$ABM$4,"Часы",INDEX(Техника!$G$1:$ABN$500,Z$2,0),$A$319,INDEX(Техника!$H$1:$ABO$500,Z$2,0),"П")</f>
        <v>0</v>
      </c>
      <c r="AA322" s="50">
        <f>SUMIFS(INDEX(Техника!$F$1:$ABM$500,AA$2,0),Техника!$F$4:$ABM$4,"Часы",INDEX(Техника!$G$1:$ABN$500,AA$2,0),$A$319,INDEX(Техника!$H$1:$ABO$500,AA$2,0),"П")</f>
        <v>0</v>
      </c>
      <c r="AB322" s="50">
        <f>SUMIFS(INDEX(Техника!$F$1:$ABM$500,AB$2,0),Техника!$F$4:$ABM$4,"Часы",INDEX(Техника!$G$1:$ABN$500,AB$2,0),$A$319,INDEX(Техника!$H$1:$ABO$500,AB$2,0),"П")</f>
        <v>0</v>
      </c>
    </row>
    <row r="323" spans="1:28" hidden="1" outlineLevel="1" x14ac:dyDescent="0.3">
      <c r="A323" s="33" t="s">
        <v>243</v>
      </c>
      <c r="B323" s="34" t="s">
        <v>278</v>
      </c>
      <c r="C323" s="50">
        <f>SUMIFS(INDEX(Техника!$F$1:$ABM$500,C$2,0),Техника!$F$4:$ABM$4,"Часы",INDEX(Техника!$G$1:$ABN$500,C$2,0),$A$319,INDEX(Техника!$H$1:$ABO$500,C$2,0),"Л")</f>
        <v>0</v>
      </c>
      <c r="D323" s="50">
        <f>SUMIFS(INDEX(Техника!$F$1:$ABM$500,D$2,0),Техника!$F$4:$ABM$4,"Часы",INDEX(Техника!$G$1:$ABN$500,D$2,0),$A$319,INDEX(Техника!$H$1:$ABO$500,D$2,0),"Л")</f>
        <v>0</v>
      </c>
      <c r="E323" s="50">
        <f>SUMIFS(INDEX(Техника!$F$1:$ABM$500,E$2,0),Техника!$F$4:$ABM$4,"Часы",INDEX(Техника!$G$1:$ABN$500,E$2,0),$A$319,INDEX(Техника!$H$1:$ABO$500,E$2,0),"Л")</f>
        <v>0</v>
      </c>
      <c r="F323" s="50">
        <f>SUMIFS(INDEX(Техника!$F$1:$ABM$500,F$2,0),Техника!$F$4:$ABM$4,"Часы",INDEX(Техника!$G$1:$ABN$500,F$2,0),$A$319,INDEX(Техника!$H$1:$ABO$500,F$2,0),"Л")</f>
        <v>0</v>
      </c>
      <c r="G323" s="50">
        <f>SUMIFS(INDEX(Техника!$F$1:$ABM$500,G$2,0),Техника!$F$4:$ABM$4,"Часы",INDEX(Техника!$G$1:$ABN$500,G$2,0),$A$319,INDEX(Техника!$H$1:$ABO$500,G$2,0),"Л")</f>
        <v>0</v>
      </c>
      <c r="H323" s="50">
        <f>SUMIFS(INDEX(Техника!$F$1:$ABM$500,H$2,0),Техника!$F$4:$ABM$4,"Часы",INDEX(Техника!$G$1:$ABN$500,H$2,0),$A$319,INDEX(Техника!$H$1:$ABO$500,H$2,0),"Л")</f>
        <v>0</v>
      </c>
      <c r="I323" s="50">
        <f>SUMIFS(INDEX(Техника!$F$1:$ABM$500,I$2,0),Техника!$F$4:$ABM$4,"Часы",INDEX(Техника!$G$1:$ABN$500,I$2,0),$A$319,INDEX(Техника!$H$1:$ABO$500,I$2,0),"Л")</f>
        <v>0</v>
      </c>
      <c r="J323" s="50">
        <f>SUMIFS(INDEX(Техника!$F$1:$ABM$500,J$2,0),Техника!$F$4:$ABM$4,"Часы",INDEX(Техника!$G$1:$ABN$500,J$2,0),$A$319,INDEX(Техника!$H$1:$ABO$500,J$2,0),"Л")</f>
        <v>0</v>
      </c>
      <c r="K323" s="50">
        <f>SUMIFS(INDEX(Техника!$F$1:$ABM$500,K$2,0),Техника!$F$4:$ABM$4,"Часы",INDEX(Техника!$G$1:$ABN$500,K$2,0),$A$319,INDEX(Техника!$H$1:$ABO$500,K$2,0),"Л")</f>
        <v>0</v>
      </c>
      <c r="L323" s="50">
        <f>SUMIFS(INDEX(Техника!$F$1:$ABM$500,L$2,0),Техника!$F$4:$ABM$4,"Часы",INDEX(Техника!$G$1:$ABN$500,L$2,0),$A$319,INDEX(Техника!$H$1:$ABO$500,L$2,0),"Л")</f>
        <v>0</v>
      </c>
      <c r="M323" s="50">
        <f>SUMIFS(INDEX(Техника!$F$1:$ABM$500,M$2,0),Техника!$F$4:$ABM$4,"Часы",INDEX(Техника!$G$1:$ABN$500,M$2,0),$A$319,INDEX(Техника!$H$1:$ABO$500,M$2,0),"Л")</f>
        <v>0</v>
      </c>
      <c r="N323" s="50">
        <f>SUMIFS(INDEX(Техника!$F$1:$ABM$500,N$2,0),Техника!$F$4:$ABM$4,"Часы",INDEX(Техника!$G$1:$ABN$500,N$2,0),$A$319,INDEX(Техника!$H$1:$ABO$500,N$2,0),"Л")</f>
        <v>0</v>
      </c>
      <c r="O323" s="50">
        <f>SUMIFS(INDEX(Техника!$F$1:$ABM$500,O$2,0),Техника!$F$4:$ABM$4,"Часы",INDEX(Техника!$G$1:$ABN$500,O$2,0),$A$319,INDEX(Техника!$H$1:$ABO$500,O$2,0),"Л")</f>
        <v>0</v>
      </c>
      <c r="P323" s="50">
        <f>SUMIFS(INDEX(Техника!$F$1:$ABM$500,P$2,0),Техника!$F$4:$ABM$4,"Часы",INDEX(Техника!$G$1:$ABN$500,P$2,0),$A$319,INDEX(Техника!$H$1:$ABO$500,P$2,0),"Л")</f>
        <v>0</v>
      </c>
      <c r="Q323" s="50">
        <f>SUMIFS(INDEX(Техника!$F$1:$ABM$500,Q$2,0),Техника!$F$4:$ABM$4,"Часы",INDEX(Техника!$G$1:$ABN$500,Q$2,0),$A$319,INDEX(Техника!$H$1:$ABO$500,Q$2,0),"Л")</f>
        <v>0</v>
      </c>
      <c r="R323" s="50">
        <f>SUMIFS(INDEX(Техника!$F$1:$ABM$500,R$2,0),Техника!$F$4:$ABM$4,"Часы",INDEX(Техника!$G$1:$ABN$500,R$2,0),$A$319,INDEX(Техника!$H$1:$ABO$500,R$2,0),"Л")</f>
        <v>0</v>
      </c>
      <c r="S323" s="50">
        <f>SUMIFS(INDEX(Техника!$F$1:$ABM$500,S$2,0),Техника!$F$4:$ABM$4,"Часы",INDEX(Техника!$G$1:$ABN$500,S$2,0),$A$319,INDEX(Техника!$H$1:$ABO$500,S$2,0),"Л")</f>
        <v>0</v>
      </c>
      <c r="T323" s="50">
        <f>SUMIFS(INDEX(Техника!$F$1:$ABM$500,T$2,0),Техника!$F$4:$ABM$4,"Часы",INDEX(Техника!$G$1:$ABN$500,T$2,0),$A$319,INDEX(Техника!$H$1:$ABO$500,T$2,0),"Л")</f>
        <v>0</v>
      </c>
      <c r="U323" s="50">
        <f>SUMIFS(INDEX(Техника!$F$1:$ABM$500,U$2,0),Техника!$F$4:$ABM$4,"Часы",INDEX(Техника!$G$1:$ABN$500,U$2,0),$A$319,INDEX(Техника!$H$1:$ABO$500,U$2,0),"Л")</f>
        <v>0</v>
      </c>
      <c r="V323" s="50">
        <f>SUMIFS(INDEX(Техника!$F$1:$ABM$500,V$2,0),Техника!$F$4:$ABM$4,"Часы",INDEX(Техника!$G$1:$ABN$500,V$2,0),$A$319,INDEX(Техника!$H$1:$ABO$500,V$2,0),"Л")</f>
        <v>0</v>
      </c>
      <c r="W323" s="50">
        <f>SUMIFS(INDEX(Техника!$F$1:$ABM$500,W$2,0),Техника!$F$4:$ABM$4,"Часы",INDEX(Техника!$G$1:$ABN$500,W$2,0),$A$319,INDEX(Техника!$H$1:$ABO$500,W$2,0),"Л")</f>
        <v>0</v>
      </c>
      <c r="X323" s="50">
        <f>SUMIFS(INDEX(Техника!$F$1:$ABM$500,X$2,0),Техника!$F$4:$ABM$4,"Часы",INDEX(Техника!$G$1:$ABN$500,X$2,0),$A$319,INDEX(Техника!$H$1:$ABO$500,X$2,0),"Л")</f>
        <v>0</v>
      </c>
      <c r="Y323" s="50">
        <f>SUMIFS(INDEX(Техника!$F$1:$ABM$500,Y$2,0),Техника!$F$4:$ABM$4,"Часы",INDEX(Техника!$G$1:$ABN$500,Y$2,0),$A$319,INDEX(Техника!$H$1:$ABO$500,Y$2,0),"Л")</f>
        <v>0</v>
      </c>
      <c r="Z323" s="50">
        <f>SUMIFS(INDEX(Техника!$F$1:$ABM$500,Z$2,0),Техника!$F$4:$ABM$4,"Часы",INDEX(Техника!$G$1:$ABN$500,Z$2,0),$A$319,INDEX(Техника!$H$1:$ABO$500,Z$2,0),"Л")</f>
        <v>0</v>
      </c>
      <c r="AA323" s="50">
        <f>SUMIFS(INDEX(Техника!$F$1:$ABM$500,AA$2,0),Техника!$F$4:$ABM$4,"Часы",INDEX(Техника!$G$1:$ABN$500,AA$2,0),$A$319,INDEX(Техника!$H$1:$ABO$500,AA$2,0),"Л")</f>
        <v>0</v>
      </c>
      <c r="AB323" s="50">
        <f>SUMIFS(INDEX(Техника!$F$1:$ABM$500,AB$2,0),Техника!$F$4:$ABM$4,"Часы",INDEX(Техника!$G$1:$ABN$500,AB$2,0),$A$319,INDEX(Техника!$H$1:$ABO$500,AB$2,0),"Л")</f>
        <v>0</v>
      </c>
    </row>
    <row r="324" spans="1:28" hidden="1" outlineLevel="1" x14ac:dyDescent="0.3">
      <c r="A324" s="33" t="s">
        <v>245</v>
      </c>
      <c r="B324" s="34" t="s">
        <v>279</v>
      </c>
      <c r="C324" s="50">
        <f>SUMIFS(INDEX(Техника!$F$1:$ABM$500,C$2,0),Техника!$F$4:$ABM$4,"Часы",INDEX(Техника!$G$1:$ABN$500,C$2,0),$A$319,INDEX(Техника!$H$1:$ABO$500,C$2,0),"З")</f>
        <v>0</v>
      </c>
      <c r="D324" s="50">
        <f>SUMIFS(INDEX(Техника!$F$1:$ABM$500,D$2,0),Техника!$F$4:$ABM$4,"Часы",INDEX(Техника!$G$1:$ABN$500,D$2,0),$A$319,INDEX(Техника!$H$1:$ABO$500,D$2,0),"З")</f>
        <v>0</v>
      </c>
      <c r="E324" s="50">
        <f>SUMIFS(INDEX(Техника!$F$1:$ABM$500,E$2,0),Техника!$F$4:$ABM$4,"Часы",INDEX(Техника!$G$1:$ABN$500,E$2,0),$A$319,INDEX(Техника!$H$1:$ABO$500,E$2,0),"З")</f>
        <v>0</v>
      </c>
      <c r="F324" s="50">
        <f>SUMIFS(INDEX(Техника!$F$1:$ABM$500,F$2,0),Техника!$F$4:$ABM$4,"Часы",INDEX(Техника!$G$1:$ABN$500,F$2,0),$A$319,INDEX(Техника!$H$1:$ABO$500,F$2,0),"З")</f>
        <v>0</v>
      </c>
      <c r="G324" s="50">
        <f>SUMIFS(INDEX(Техника!$F$1:$ABM$500,G$2,0),Техника!$F$4:$ABM$4,"Часы",INDEX(Техника!$G$1:$ABN$500,G$2,0),$A$319,INDEX(Техника!$H$1:$ABO$500,G$2,0),"З")</f>
        <v>0</v>
      </c>
      <c r="H324" s="50">
        <f>SUMIFS(INDEX(Техника!$F$1:$ABM$500,H$2,0),Техника!$F$4:$ABM$4,"Часы",INDEX(Техника!$G$1:$ABN$500,H$2,0),$A$319,INDEX(Техника!$H$1:$ABO$500,H$2,0),"З")</f>
        <v>0</v>
      </c>
      <c r="I324" s="50">
        <f>SUMIFS(INDEX(Техника!$F$1:$ABM$500,I$2,0),Техника!$F$4:$ABM$4,"Часы",INDEX(Техника!$G$1:$ABN$500,I$2,0),$A$319,INDEX(Техника!$H$1:$ABO$500,I$2,0),"З")</f>
        <v>0</v>
      </c>
      <c r="J324" s="50">
        <f>SUMIFS(INDEX(Техника!$F$1:$ABM$500,J$2,0),Техника!$F$4:$ABM$4,"Часы",INDEX(Техника!$G$1:$ABN$500,J$2,0),$A$319,INDEX(Техника!$H$1:$ABO$500,J$2,0),"З")</f>
        <v>0</v>
      </c>
      <c r="K324" s="50">
        <f>SUMIFS(INDEX(Техника!$F$1:$ABM$500,K$2,0),Техника!$F$4:$ABM$4,"Часы",INDEX(Техника!$G$1:$ABN$500,K$2,0),$A$319,INDEX(Техника!$H$1:$ABO$500,K$2,0),"З")</f>
        <v>0</v>
      </c>
      <c r="L324" s="50">
        <f>SUMIFS(INDEX(Техника!$F$1:$ABM$500,L$2,0),Техника!$F$4:$ABM$4,"Часы",INDEX(Техника!$G$1:$ABN$500,L$2,0),$A$319,INDEX(Техника!$H$1:$ABO$500,L$2,0),"З")</f>
        <v>0</v>
      </c>
      <c r="M324" s="50">
        <f>SUMIFS(INDEX(Техника!$F$1:$ABM$500,M$2,0),Техника!$F$4:$ABM$4,"Часы",INDEX(Техника!$G$1:$ABN$500,M$2,0),$A$319,INDEX(Техника!$H$1:$ABO$500,M$2,0),"З")</f>
        <v>0</v>
      </c>
      <c r="N324" s="50">
        <f>SUMIFS(INDEX(Техника!$F$1:$ABM$500,N$2,0),Техника!$F$4:$ABM$4,"Часы",INDEX(Техника!$G$1:$ABN$500,N$2,0),$A$319,INDEX(Техника!$H$1:$ABO$500,N$2,0),"З")</f>
        <v>0</v>
      </c>
      <c r="O324" s="50">
        <f>SUMIFS(INDEX(Техника!$F$1:$ABM$500,O$2,0),Техника!$F$4:$ABM$4,"Часы",INDEX(Техника!$G$1:$ABN$500,O$2,0),$A$319,INDEX(Техника!$H$1:$ABO$500,O$2,0),"З")</f>
        <v>0</v>
      </c>
      <c r="P324" s="50">
        <f>SUMIFS(INDEX(Техника!$F$1:$ABM$500,P$2,0),Техника!$F$4:$ABM$4,"Часы",INDEX(Техника!$G$1:$ABN$500,P$2,0),$A$319,INDEX(Техника!$H$1:$ABO$500,P$2,0),"З")</f>
        <v>0</v>
      </c>
      <c r="Q324" s="50">
        <f>SUMIFS(INDEX(Техника!$F$1:$ABM$500,Q$2,0),Техника!$F$4:$ABM$4,"Часы",INDEX(Техника!$G$1:$ABN$500,Q$2,0),$A$319,INDEX(Техника!$H$1:$ABO$500,Q$2,0),"З")</f>
        <v>0</v>
      </c>
      <c r="R324" s="50">
        <f>SUMIFS(INDEX(Техника!$F$1:$ABM$500,R$2,0),Техника!$F$4:$ABM$4,"Часы",INDEX(Техника!$G$1:$ABN$500,R$2,0),$A$319,INDEX(Техника!$H$1:$ABO$500,R$2,0),"З")</f>
        <v>0</v>
      </c>
      <c r="S324" s="50">
        <f>SUMIFS(INDEX(Техника!$F$1:$ABM$500,S$2,0),Техника!$F$4:$ABM$4,"Часы",INDEX(Техника!$G$1:$ABN$500,S$2,0),$A$319,INDEX(Техника!$H$1:$ABO$500,S$2,0),"З")</f>
        <v>0</v>
      </c>
      <c r="T324" s="50">
        <f>SUMIFS(INDEX(Техника!$F$1:$ABM$500,T$2,0),Техника!$F$4:$ABM$4,"Часы",INDEX(Техника!$G$1:$ABN$500,T$2,0),$A$319,INDEX(Техника!$H$1:$ABO$500,T$2,0),"З")</f>
        <v>0</v>
      </c>
      <c r="U324" s="50">
        <f>SUMIFS(INDEX(Техника!$F$1:$ABM$500,U$2,0),Техника!$F$4:$ABM$4,"Часы",INDEX(Техника!$G$1:$ABN$500,U$2,0),$A$319,INDEX(Техника!$H$1:$ABO$500,U$2,0),"З")</f>
        <v>0</v>
      </c>
      <c r="V324" s="50">
        <f>SUMIFS(INDEX(Техника!$F$1:$ABM$500,V$2,0),Техника!$F$4:$ABM$4,"Часы",INDEX(Техника!$G$1:$ABN$500,V$2,0),$A$319,INDEX(Техника!$H$1:$ABO$500,V$2,0),"З")</f>
        <v>0</v>
      </c>
      <c r="W324" s="50">
        <f>SUMIFS(INDEX(Техника!$F$1:$ABM$500,W$2,0),Техника!$F$4:$ABM$4,"Часы",INDEX(Техника!$G$1:$ABN$500,W$2,0),$A$319,INDEX(Техника!$H$1:$ABO$500,W$2,0),"З")</f>
        <v>0</v>
      </c>
      <c r="X324" s="50">
        <f>SUMIFS(INDEX(Техника!$F$1:$ABM$500,X$2,0),Техника!$F$4:$ABM$4,"Часы",INDEX(Техника!$G$1:$ABN$500,X$2,0),$A$319,INDEX(Техника!$H$1:$ABO$500,X$2,0),"З")</f>
        <v>0</v>
      </c>
      <c r="Y324" s="50">
        <f>SUMIFS(INDEX(Техника!$F$1:$ABM$500,Y$2,0),Техника!$F$4:$ABM$4,"Часы",INDEX(Техника!$G$1:$ABN$500,Y$2,0),$A$319,INDEX(Техника!$H$1:$ABO$500,Y$2,0),"З")</f>
        <v>0</v>
      </c>
      <c r="Z324" s="50">
        <f>SUMIFS(INDEX(Техника!$F$1:$ABM$500,Z$2,0),Техника!$F$4:$ABM$4,"Часы",INDEX(Техника!$G$1:$ABN$500,Z$2,0),$A$319,INDEX(Техника!$H$1:$ABO$500,Z$2,0),"З")</f>
        <v>0</v>
      </c>
      <c r="AA324" s="50">
        <f>SUMIFS(INDEX(Техника!$F$1:$ABM$500,AA$2,0),Техника!$F$4:$ABM$4,"Часы",INDEX(Техника!$G$1:$ABN$500,AA$2,0),$A$319,INDEX(Техника!$H$1:$ABO$500,AA$2,0),"З")</f>
        <v>0</v>
      </c>
      <c r="AB324" s="50">
        <f>SUMIFS(INDEX(Техника!$F$1:$ABM$500,AB$2,0),Техника!$F$4:$ABM$4,"Часы",INDEX(Техника!$G$1:$ABN$500,AB$2,0),$A$319,INDEX(Техника!$H$1:$ABO$500,AB$2,0),"З")</f>
        <v>0</v>
      </c>
    </row>
    <row r="325" spans="1:28" ht="7.95" customHeight="1" x14ac:dyDescent="0.3">
      <c r="A325" s="38"/>
      <c r="B325" s="39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</row>
    <row r="326" spans="1:28" ht="25.05" customHeight="1" collapsed="1" x14ac:dyDescent="0.3">
      <c r="A326" s="32">
        <v>47</v>
      </c>
      <c r="B326" s="32" t="s">
        <v>48</v>
      </c>
      <c r="C326" s="49">
        <f>SUM(C327:C331)</f>
        <v>0</v>
      </c>
      <c r="D326" s="49">
        <f>SUM(D327:D331)</f>
        <v>0</v>
      </c>
      <c r="E326" s="49">
        <f>SUM(E327:E331)</f>
        <v>0</v>
      </c>
      <c r="F326" s="49">
        <f>SUM(F327:F331)</f>
        <v>0</v>
      </c>
      <c r="G326" s="49">
        <f>SUM(G327:G331)</f>
        <v>0</v>
      </c>
      <c r="H326" s="49">
        <f>SUM(H327:H331)</f>
        <v>0</v>
      </c>
      <c r="I326" s="49">
        <f>SUM(I327:I331)</f>
        <v>0</v>
      </c>
      <c r="J326" s="49">
        <f>SUM(J327:J331)</f>
        <v>0</v>
      </c>
      <c r="K326" s="49">
        <f>SUM(K327:K331)</f>
        <v>0</v>
      </c>
      <c r="L326" s="49">
        <f>SUM(L327:L331)</f>
        <v>0</v>
      </c>
      <c r="M326" s="49">
        <f>SUM(M327:M331)</f>
        <v>0</v>
      </c>
      <c r="N326" s="49">
        <f>SUM(N327:N331)</f>
        <v>0</v>
      </c>
      <c r="O326" s="49">
        <f>SUM(O327:O331)</f>
        <v>0</v>
      </c>
      <c r="P326" s="49">
        <f>SUM(P327:P331)</f>
        <v>0</v>
      </c>
      <c r="Q326" s="49">
        <f>SUM(Q327:Q331)</f>
        <v>0</v>
      </c>
      <c r="R326" s="49">
        <f>SUM(R327:R331)</f>
        <v>0</v>
      </c>
      <c r="S326" s="49">
        <f>SUM(S327:S331)</f>
        <v>0</v>
      </c>
      <c r="T326" s="49">
        <f>SUM(T327:T331)</f>
        <v>0</v>
      </c>
      <c r="U326" s="49">
        <f>SUM(U327:U331)</f>
        <v>0</v>
      </c>
      <c r="V326" s="49">
        <f>SUM(V327:V331)</f>
        <v>0</v>
      </c>
      <c r="W326" s="49">
        <f>SUM(W327:W331)</f>
        <v>0</v>
      </c>
      <c r="X326" s="49">
        <f>SUM(X327:X331)</f>
        <v>0</v>
      </c>
      <c r="Y326" s="49">
        <f>SUM(Y327:Y331)</f>
        <v>0</v>
      </c>
      <c r="Z326" s="49">
        <f>SUM(Z327:Z331)</f>
        <v>0</v>
      </c>
      <c r="AA326" s="49">
        <f>SUM(AA327:AA331)</f>
        <v>0</v>
      </c>
      <c r="AB326" s="49">
        <f>SUM(AB327:AB331)</f>
        <v>0</v>
      </c>
    </row>
    <row r="327" spans="1:28" hidden="1" outlineLevel="1" x14ac:dyDescent="0.3">
      <c r="A327" s="33" t="s">
        <v>246</v>
      </c>
      <c r="B327" s="34" t="s">
        <v>274</v>
      </c>
      <c r="C327" s="50">
        <f>SUMIFS(INDEX(Техника!$F$1:$ABM$500,C$2,0),Техника!$F$4:$ABM$4,"Часы",INDEX(Техника!$G$1:$ABN$500,C$2,0),$A$326,INDEX(Техника!$H$1:$ABO$500,C$2,0),"М")</f>
        <v>0</v>
      </c>
      <c r="D327" s="50">
        <f>SUMIFS(INDEX(Техника!$F$1:$ABM$500,D$2,0),Техника!$F$4:$ABM$4,"Часы",INDEX(Техника!$G$1:$ABN$500,D$2,0),$A$326,INDEX(Техника!$H$1:$ABO$500,D$2,0),"М")</f>
        <v>0</v>
      </c>
      <c r="E327" s="50">
        <f>SUMIFS(INDEX(Техника!$F$1:$ABM$500,E$2,0),Техника!$F$4:$ABM$4,"Часы",INDEX(Техника!$G$1:$ABN$500,E$2,0),$A$326,INDEX(Техника!$H$1:$ABO$500,E$2,0),"М")</f>
        <v>0</v>
      </c>
      <c r="F327" s="50">
        <f>SUMIFS(INDEX(Техника!$F$1:$ABM$500,F$2,0),Техника!$F$4:$ABM$4,"Часы",INDEX(Техника!$G$1:$ABN$500,F$2,0),$A$326,INDEX(Техника!$H$1:$ABO$500,F$2,0),"М")</f>
        <v>0</v>
      </c>
      <c r="G327" s="50">
        <f>SUMIFS(INDEX(Техника!$F$1:$ABM$500,G$2,0),Техника!$F$4:$ABM$4,"Часы",INDEX(Техника!$G$1:$ABN$500,G$2,0),$A$326,INDEX(Техника!$H$1:$ABO$500,G$2,0),"М")</f>
        <v>0</v>
      </c>
      <c r="H327" s="50">
        <f>SUMIFS(INDEX(Техника!$F$1:$ABM$500,H$2,0),Техника!$F$4:$ABM$4,"Часы",INDEX(Техника!$G$1:$ABN$500,H$2,0),$A$326,INDEX(Техника!$H$1:$ABO$500,H$2,0),"М")</f>
        <v>0</v>
      </c>
      <c r="I327" s="50">
        <f>SUMIFS(INDEX(Техника!$F$1:$ABM$500,I$2,0),Техника!$F$4:$ABM$4,"Часы",INDEX(Техника!$G$1:$ABN$500,I$2,0),$A$326,INDEX(Техника!$H$1:$ABO$500,I$2,0),"М")</f>
        <v>0</v>
      </c>
      <c r="J327" s="50">
        <f>SUMIFS(INDEX(Техника!$F$1:$ABM$500,J$2,0),Техника!$F$4:$ABM$4,"Часы",INDEX(Техника!$G$1:$ABN$500,J$2,0),$A$326,INDEX(Техника!$H$1:$ABO$500,J$2,0),"М")</f>
        <v>0</v>
      </c>
      <c r="K327" s="50">
        <f>SUMIFS(INDEX(Техника!$F$1:$ABM$500,K$2,0),Техника!$F$4:$ABM$4,"Часы",INDEX(Техника!$G$1:$ABN$500,K$2,0),$A$326,INDEX(Техника!$H$1:$ABO$500,K$2,0),"М")</f>
        <v>0</v>
      </c>
      <c r="L327" s="50">
        <f>SUMIFS(INDEX(Техника!$F$1:$ABM$500,L$2,0),Техника!$F$4:$ABM$4,"Часы",INDEX(Техника!$G$1:$ABN$500,L$2,0),$A$326,INDEX(Техника!$H$1:$ABO$500,L$2,0),"М")</f>
        <v>0</v>
      </c>
      <c r="M327" s="50">
        <f>SUMIFS(INDEX(Техника!$F$1:$ABM$500,M$2,0),Техника!$F$4:$ABM$4,"Часы",INDEX(Техника!$G$1:$ABN$500,M$2,0),$A$326,INDEX(Техника!$H$1:$ABO$500,M$2,0),"М")</f>
        <v>0</v>
      </c>
      <c r="N327" s="50">
        <f>SUMIFS(INDEX(Техника!$F$1:$ABM$500,N$2,0),Техника!$F$4:$ABM$4,"Часы",INDEX(Техника!$G$1:$ABN$500,N$2,0),$A$326,INDEX(Техника!$H$1:$ABO$500,N$2,0),"М")</f>
        <v>0</v>
      </c>
      <c r="O327" s="50">
        <f>SUMIFS(INDEX(Техника!$F$1:$ABM$500,O$2,0),Техника!$F$4:$ABM$4,"Часы",INDEX(Техника!$G$1:$ABN$500,O$2,0),$A$326,INDEX(Техника!$H$1:$ABO$500,O$2,0),"М")</f>
        <v>0</v>
      </c>
      <c r="P327" s="50">
        <f>SUMIFS(INDEX(Техника!$F$1:$ABM$500,P$2,0),Техника!$F$4:$ABM$4,"Часы",INDEX(Техника!$G$1:$ABN$500,P$2,0),$A$326,INDEX(Техника!$H$1:$ABO$500,P$2,0),"М")</f>
        <v>0</v>
      </c>
      <c r="Q327" s="50">
        <f>SUMIFS(INDEX(Техника!$F$1:$ABM$500,Q$2,0),Техника!$F$4:$ABM$4,"Часы",INDEX(Техника!$G$1:$ABN$500,Q$2,0),$A$326,INDEX(Техника!$H$1:$ABO$500,Q$2,0),"М")</f>
        <v>0</v>
      </c>
      <c r="R327" s="50">
        <f>SUMIFS(INDEX(Техника!$F$1:$ABM$500,R$2,0),Техника!$F$4:$ABM$4,"Часы",INDEX(Техника!$G$1:$ABN$500,R$2,0),$A$326,INDEX(Техника!$H$1:$ABO$500,R$2,0),"М")</f>
        <v>0</v>
      </c>
      <c r="S327" s="50">
        <f>SUMIFS(INDEX(Техника!$F$1:$ABM$500,S$2,0),Техника!$F$4:$ABM$4,"Часы",INDEX(Техника!$G$1:$ABN$500,S$2,0),$A$326,INDEX(Техника!$H$1:$ABO$500,S$2,0),"М")</f>
        <v>0</v>
      </c>
      <c r="T327" s="50">
        <f>SUMIFS(INDEX(Техника!$F$1:$ABM$500,T$2,0),Техника!$F$4:$ABM$4,"Часы",INDEX(Техника!$G$1:$ABN$500,T$2,0),$A$326,INDEX(Техника!$H$1:$ABO$500,T$2,0),"М")</f>
        <v>0</v>
      </c>
      <c r="U327" s="50">
        <f>SUMIFS(INDEX(Техника!$F$1:$ABM$500,U$2,0),Техника!$F$4:$ABM$4,"Часы",INDEX(Техника!$G$1:$ABN$500,U$2,0),$A$326,INDEX(Техника!$H$1:$ABO$500,U$2,0),"М")</f>
        <v>0</v>
      </c>
      <c r="V327" s="50">
        <f>SUMIFS(INDEX(Техника!$F$1:$ABM$500,V$2,0),Техника!$F$4:$ABM$4,"Часы",INDEX(Техника!$G$1:$ABN$500,V$2,0),$A$326,INDEX(Техника!$H$1:$ABO$500,V$2,0),"М")</f>
        <v>0</v>
      </c>
      <c r="W327" s="50">
        <f>SUMIFS(INDEX(Техника!$F$1:$ABM$500,W$2,0),Техника!$F$4:$ABM$4,"Часы",INDEX(Техника!$G$1:$ABN$500,W$2,0),$A$326,INDEX(Техника!$H$1:$ABO$500,W$2,0),"М")</f>
        <v>0</v>
      </c>
      <c r="X327" s="50">
        <f>SUMIFS(INDEX(Техника!$F$1:$ABM$500,X$2,0),Техника!$F$4:$ABM$4,"Часы",INDEX(Техника!$G$1:$ABN$500,X$2,0),$A$326,INDEX(Техника!$H$1:$ABO$500,X$2,0),"М")</f>
        <v>0</v>
      </c>
      <c r="Y327" s="50">
        <f>SUMIFS(INDEX(Техника!$F$1:$ABM$500,Y$2,0),Техника!$F$4:$ABM$4,"Часы",INDEX(Техника!$G$1:$ABN$500,Y$2,0),$A$326,INDEX(Техника!$H$1:$ABO$500,Y$2,0),"М")</f>
        <v>0</v>
      </c>
      <c r="Z327" s="50">
        <f>SUMIFS(INDEX(Техника!$F$1:$ABM$500,Z$2,0),Техника!$F$4:$ABM$4,"Часы",INDEX(Техника!$G$1:$ABN$500,Z$2,0),$A$326,INDEX(Техника!$H$1:$ABO$500,Z$2,0),"М")</f>
        <v>0</v>
      </c>
      <c r="AA327" s="50">
        <f>SUMIFS(INDEX(Техника!$F$1:$ABM$500,AA$2,0),Техника!$F$4:$ABM$4,"Часы",INDEX(Техника!$G$1:$ABN$500,AA$2,0),$A$326,INDEX(Техника!$H$1:$ABO$500,AA$2,0),"М")</f>
        <v>0</v>
      </c>
      <c r="AB327" s="50">
        <f>SUMIFS(INDEX(Техника!$F$1:$ABM$500,AB$2,0),Техника!$F$4:$ABM$4,"Часы",INDEX(Техника!$G$1:$ABN$500,AB$2,0),$A$326,INDEX(Техника!$H$1:$ABO$500,AB$2,0),"М")</f>
        <v>0</v>
      </c>
    </row>
    <row r="328" spans="1:28" hidden="1" outlineLevel="1" x14ac:dyDescent="0.3">
      <c r="A328" s="33" t="s">
        <v>244</v>
      </c>
      <c r="B328" s="34" t="s">
        <v>275</v>
      </c>
      <c r="C328" s="50">
        <f>SUMIFS(INDEX(Техника!$F$1:$ABM$500,C$2,0),Техника!$F$4:$ABM$4,"Часы",INDEX(Техника!$G$1:$ABN$500,C$2,0),$A$326,INDEX(Техника!$H$1:$ABO$500,C$2,0),"Д")</f>
        <v>0</v>
      </c>
      <c r="D328" s="50">
        <f>SUMIFS(INDEX(Техника!$F$1:$ABM$500,D$2,0),Техника!$F$4:$ABM$4,"Часы",INDEX(Техника!$G$1:$ABN$500,D$2,0),$A$326,INDEX(Техника!$H$1:$ABO$500,D$2,0),"Д")</f>
        <v>0</v>
      </c>
      <c r="E328" s="50">
        <f>SUMIFS(INDEX(Техника!$F$1:$ABM$500,E$2,0),Техника!$F$4:$ABM$4,"Часы",INDEX(Техника!$G$1:$ABN$500,E$2,0),$A$326,INDEX(Техника!$H$1:$ABO$500,E$2,0),"Д")</f>
        <v>0</v>
      </c>
      <c r="F328" s="50">
        <f>SUMIFS(INDEX(Техника!$F$1:$ABM$500,F$2,0),Техника!$F$4:$ABM$4,"Часы",INDEX(Техника!$G$1:$ABN$500,F$2,0),$A$326,INDEX(Техника!$H$1:$ABO$500,F$2,0),"Д")</f>
        <v>0</v>
      </c>
      <c r="G328" s="50">
        <f>SUMIFS(INDEX(Техника!$F$1:$ABM$500,G$2,0),Техника!$F$4:$ABM$4,"Часы",INDEX(Техника!$G$1:$ABN$500,G$2,0),$A$326,INDEX(Техника!$H$1:$ABO$500,G$2,0),"Д")</f>
        <v>0</v>
      </c>
      <c r="H328" s="50">
        <f>SUMIFS(INDEX(Техника!$F$1:$ABM$500,H$2,0),Техника!$F$4:$ABM$4,"Часы",INDEX(Техника!$G$1:$ABN$500,H$2,0),$A$326,INDEX(Техника!$H$1:$ABO$500,H$2,0),"Д")</f>
        <v>0</v>
      </c>
      <c r="I328" s="50">
        <f>SUMIFS(INDEX(Техника!$F$1:$ABM$500,I$2,0),Техника!$F$4:$ABM$4,"Часы",INDEX(Техника!$G$1:$ABN$500,I$2,0),$A$326,INDEX(Техника!$H$1:$ABO$500,I$2,0),"Д")</f>
        <v>0</v>
      </c>
      <c r="J328" s="50">
        <f>SUMIFS(INDEX(Техника!$F$1:$ABM$500,J$2,0),Техника!$F$4:$ABM$4,"Часы",INDEX(Техника!$G$1:$ABN$500,J$2,0),$A$326,INDEX(Техника!$H$1:$ABO$500,J$2,0),"Д")</f>
        <v>0</v>
      </c>
      <c r="K328" s="50">
        <f>SUMIFS(INDEX(Техника!$F$1:$ABM$500,K$2,0),Техника!$F$4:$ABM$4,"Часы",INDEX(Техника!$G$1:$ABN$500,K$2,0),$A$326,INDEX(Техника!$H$1:$ABO$500,K$2,0),"Д")</f>
        <v>0</v>
      </c>
      <c r="L328" s="50">
        <f>SUMIFS(INDEX(Техника!$F$1:$ABM$500,L$2,0),Техника!$F$4:$ABM$4,"Часы",INDEX(Техника!$G$1:$ABN$500,L$2,0),$A$326,INDEX(Техника!$H$1:$ABO$500,L$2,0),"Д")</f>
        <v>0</v>
      </c>
      <c r="M328" s="50">
        <f>SUMIFS(INDEX(Техника!$F$1:$ABM$500,M$2,0),Техника!$F$4:$ABM$4,"Часы",INDEX(Техника!$G$1:$ABN$500,M$2,0),$A$326,INDEX(Техника!$H$1:$ABO$500,M$2,0),"Д")</f>
        <v>0</v>
      </c>
      <c r="N328" s="50">
        <f>SUMIFS(INDEX(Техника!$F$1:$ABM$500,N$2,0),Техника!$F$4:$ABM$4,"Часы",INDEX(Техника!$G$1:$ABN$500,N$2,0),$A$326,INDEX(Техника!$H$1:$ABO$500,N$2,0),"Д")</f>
        <v>0</v>
      </c>
      <c r="O328" s="50">
        <f>SUMIFS(INDEX(Техника!$F$1:$ABM$500,O$2,0),Техника!$F$4:$ABM$4,"Часы",INDEX(Техника!$G$1:$ABN$500,O$2,0),$A$326,INDEX(Техника!$H$1:$ABO$500,O$2,0),"Д")</f>
        <v>0</v>
      </c>
      <c r="P328" s="50">
        <f>SUMIFS(INDEX(Техника!$F$1:$ABM$500,P$2,0),Техника!$F$4:$ABM$4,"Часы",INDEX(Техника!$G$1:$ABN$500,P$2,0),$A$326,INDEX(Техника!$H$1:$ABO$500,P$2,0),"Д")</f>
        <v>0</v>
      </c>
      <c r="Q328" s="50">
        <f>SUMIFS(INDEX(Техника!$F$1:$ABM$500,Q$2,0),Техника!$F$4:$ABM$4,"Часы",INDEX(Техника!$G$1:$ABN$500,Q$2,0),$A$326,INDEX(Техника!$H$1:$ABO$500,Q$2,0),"Д")</f>
        <v>0</v>
      </c>
      <c r="R328" s="50">
        <f>SUMIFS(INDEX(Техника!$F$1:$ABM$500,R$2,0),Техника!$F$4:$ABM$4,"Часы",INDEX(Техника!$G$1:$ABN$500,R$2,0),$A$326,INDEX(Техника!$H$1:$ABO$500,R$2,0),"Д")</f>
        <v>0</v>
      </c>
      <c r="S328" s="50">
        <f>SUMIFS(INDEX(Техника!$F$1:$ABM$500,S$2,0),Техника!$F$4:$ABM$4,"Часы",INDEX(Техника!$G$1:$ABN$500,S$2,0),$A$326,INDEX(Техника!$H$1:$ABO$500,S$2,0),"Д")</f>
        <v>0</v>
      </c>
      <c r="T328" s="50">
        <f>SUMIFS(INDEX(Техника!$F$1:$ABM$500,T$2,0),Техника!$F$4:$ABM$4,"Часы",INDEX(Техника!$G$1:$ABN$500,T$2,0),$A$326,INDEX(Техника!$H$1:$ABO$500,T$2,0),"Д")</f>
        <v>0</v>
      </c>
      <c r="U328" s="50">
        <f>SUMIFS(INDEX(Техника!$F$1:$ABM$500,U$2,0),Техника!$F$4:$ABM$4,"Часы",INDEX(Техника!$G$1:$ABN$500,U$2,0),$A$326,INDEX(Техника!$H$1:$ABO$500,U$2,0),"Д")</f>
        <v>0</v>
      </c>
      <c r="V328" s="50">
        <f>SUMIFS(INDEX(Техника!$F$1:$ABM$500,V$2,0),Техника!$F$4:$ABM$4,"Часы",INDEX(Техника!$G$1:$ABN$500,V$2,0),$A$326,INDEX(Техника!$H$1:$ABO$500,V$2,0),"Д")</f>
        <v>0</v>
      </c>
      <c r="W328" s="50">
        <f>SUMIFS(INDEX(Техника!$F$1:$ABM$500,W$2,0),Техника!$F$4:$ABM$4,"Часы",INDEX(Техника!$G$1:$ABN$500,W$2,0),$A$326,INDEX(Техника!$H$1:$ABO$500,W$2,0),"Д")</f>
        <v>0</v>
      </c>
      <c r="X328" s="50">
        <f>SUMIFS(INDEX(Техника!$F$1:$ABM$500,X$2,0),Техника!$F$4:$ABM$4,"Часы",INDEX(Техника!$G$1:$ABN$500,X$2,0),$A$326,INDEX(Техника!$H$1:$ABO$500,X$2,0),"Д")</f>
        <v>0</v>
      </c>
      <c r="Y328" s="50">
        <f>SUMIFS(INDEX(Техника!$F$1:$ABM$500,Y$2,0),Техника!$F$4:$ABM$4,"Часы",INDEX(Техника!$G$1:$ABN$500,Y$2,0),$A$326,INDEX(Техника!$H$1:$ABO$500,Y$2,0),"Д")</f>
        <v>0</v>
      </c>
      <c r="Z328" s="50">
        <f>SUMIFS(INDEX(Техника!$F$1:$ABM$500,Z$2,0),Техника!$F$4:$ABM$4,"Часы",INDEX(Техника!$G$1:$ABN$500,Z$2,0),$A$326,INDEX(Техника!$H$1:$ABO$500,Z$2,0),"Д")</f>
        <v>0</v>
      </c>
      <c r="AA328" s="50">
        <f>SUMIFS(INDEX(Техника!$F$1:$ABM$500,AA$2,0),Техника!$F$4:$ABM$4,"Часы",INDEX(Техника!$G$1:$ABN$500,AA$2,0),$A$326,INDEX(Техника!$H$1:$ABO$500,AA$2,0),"Д")</f>
        <v>0</v>
      </c>
      <c r="AB328" s="50">
        <f>SUMIFS(INDEX(Техника!$F$1:$ABM$500,AB$2,0),Техника!$F$4:$ABM$4,"Часы",INDEX(Техника!$G$1:$ABN$500,AB$2,0),$A$326,INDEX(Техника!$H$1:$ABO$500,AB$2,0),"Д")</f>
        <v>0</v>
      </c>
    </row>
    <row r="329" spans="1:28" hidden="1" outlineLevel="1" x14ac:dyDescent="0.3">
      <c r="A329" s="33" t="s">
        <v>276</v>
      </c>
      <c r="B329" s="34" t="s">
        <v>277</v>
      </c>
      <c r="C329" s="50">
        <f>SUMIFS(INDEX(Техника!$F$1:$ABM$500,C$2,0),Техника!$F$4:$ABM$4,"Часы",INDEX(Техника!$G$1:$ABN$500,C$2,0),$A$326,INDEX(Техника!$H$1:$ABO$500,C$2,0),"П")</f>
        <v>0</v>
      </c>
      <c r="D329" s="50">
        <f>SUMIFS(INDEX(Техника!$F$1:$ABM$500,D$2,0),Техника!$F$4:$ABM$4,"Часы",INDEX(Техника!$G$1:$ABN$500,D$2,0),$A$326,INDEX(Техника!$H$1:$ABO$500,D$2,0),"П")</f>
        <v>0</v>
      </c>
      <c r="E329" s="50">
        <f>SUMIFS(INDEX(Техника!$F$1:$ABM$500,E$2,0),Техника!$F$4:$ABM$4,"Часы",INDEX(Техника!$G$1:$ABN$500,E$2,0),$A$326,INDEX(Техника!$H$1:$ABO$500,E$2,0),"П")</f>
        <v>0</v>
      </c>
      <c r="F329" s="50">
        <f>SUMIFS(INDEX(Техника!$F$1:$ABM$500,F$2,0),Техника!$F$4:$ABM$4,"Часы",INDEX(Техника!$G$1:$ABN$500,F$2,0),$A$326,INDEX(Техника!$H$1:$ABO$500,F$2,0),"П")</f>
        <v>0</v>
      </c>
      <c r="G329" s="50">
        <f>SUMIFS(INDEX(Техника!$F$1:$ABM$500,G$2,0),Техника!$F$4:$ABM$4,"Часы",INDEX(Техника!$G$1:$ABN$500,G$2,0),$A$326,INDEX(Техника!$H$1:$ABO$500,G$2,0),"П")</f>
        <v>0</v>
      </c>
      <c r="H329" s="50">
        <f>SUMIFS(INDEX(Техника!$F$1:$ABM$500,H$2,0),Техника!$F$4:$ABM$4,"Часы",INDEX(Техника!$G$1:$ABN$500,H$2,0),$A$326,INDEX(Техника!$H$1:$ABO$500,H$2,0),"П")</f>
        <v>0</v>
      </c>
      <c r="I329" s="50">
        <f>SUMIFS(INDEX(Техника!$F$1:$ABM$500,I$2,0),Техника!$F$4:$ABM$4,"Часы",INDEX(Техника!$G$1:$ABN$500,I$2,0),$A$326,INDEX(Техника!$H$1:$ABO$500,I$2,0),"П")</f>
        <v>0</v>
      </c>
      <c r="J329" s="50">
        <f>SUMIFS(INDEX(Техника!$F$1:$ABM$500,J$2,0),Техника!$F$4:$ABM$4,"Часы",INDEX(Техника!$G$1:$ABN$500,J$2,0),$A$326,INDEX(Техника!$H$1:$ABO$500,J$2,0),"П")</f>
        <v>0</v>
      </c>
      <c r="K329" s="50">
        <f>SUMIFS(INDEX(Техника!$F$1:$ABM$500,K$2,0),Техника!$F$4:$ABM$4,"Часы",INDEX(Техника!$G$1:$ABN$500,K$2,0),$A$326,INDEX(Техника!$H$1:$ABO$500,K$2,0),"П")</f>
        <v>0</v>
      </c>
      <c r="L329" s="50">
        <f>SUMIFS(INDEX(Техника!$F$1:$ABM$500,L$2,0),Техника!$F$4:$ABM$4,"Часы",INDEX(Техника!$G$1:$ABN$500,L$2,0),$A$326,INDEX(Техника!$H$1:$ABO$500,L$2,0),"П")</f>
        <v>0</v>
      </c>
      <c r="M329" s="50">
        <f>SUMIFS(INDEX(Техника!$F$1:$ABM$500,M$2,0),Техника!$F$4:$ABM$4,"Часы",INDEX(Техника!$G$1:$ABN$500,M$2,0),$A$326,INDEX(Техника!$H$1:$ABO$500,M$2,0),"П")</f>
        <v>0</v>
      </c>
      <c r="N329" s="50">
        <f>SUMIFS(INDEX(Техника!$F$1:$ABM$500,N$2,0),Техника!$F$4:$ABM$4,"Часы",INDEX(Техника!$G$1:$ABN$500,N$2,0),$A$326,INDEX(Техника!$H$1:$ABO$500,N$2,0),"П")</f>
        <v>0</v>
      </c>
      <c r="O329" s="50">
        <f>SUMIFS(INDEX(Техника!$F$1:$ABM$500,O$2,0),Техника!$F$4:$ABM$4,"Часы",INDEX(Техника!$G$1:$ABN$500,O$2,0),$A$326,INDEX(Техника!$H$1:$ABO$500,O$2,0),"П")</f>
        <v>0</v>
      </c>
      <c r="P329" s="50">
        <f>SUMIFS(INDEX(Техника!$F$1:$ABM$500,P$2,0),Техника!$F$4:$ABM$4,"Часы",INDEX(Техника!$G$1:$ABN$500,P$2,0),$A$326,INDEX(Техника!$H$1:$ABO$500,P$2,0),"П")</f>
        <v>0</v>
      </c>
      <c r="Q329" s="50">
        <f>SUMIFS(INDEX(Техника!$F$1:$ABM$500,Q$2,0),Техника!$F$4:$ABM$4,"Часы",INDEX(Техника!$G$1:$ABN$500,Q$2,0),$A$326,INDEX(Техника!$H$1:$ABO$500,Q$2,0),"П")</f>
        <v>0</v>
      </c>
      <c r="R329" s="50">
        <f>SUMIFS(INDEX(Техника!$F$1:$ABM$500,R$2,0),Техника!$F$4:$ABM$4,"Часы",INDEX(Техника!$G$1:$ABN$500,R$2,0),$A$326,INDEX(Техника!$H$1:$ABO$500,R$2,0),"П")</f>
        <v>0</v>
      </c>
      <c r="S329" s="50">
        <f>SUMIFS(INDEX(Техника!$F$1:$ABM$500,S$2,0),Техника!$F$4:$ABM$4,"Часы",INDEX(Техника!$G$1:$ABN$500,S$2,0),$A$326,INDEX(Техника!$H$1:$ABO$500,S$2,0),"П")</f>
        <v>0</v>
      </c>
      <c r="T329" s="50">
        <f>SUMIFS(INDEX(Техника!$F$1:$ABM$500,T$2,0),Техника!$F$4:$ABM$4,"Часы",INDEX(Техника!$G$1:$ABN$500,T$2,0),$A$326,INDEX(Техника!$H$1:$ABO$500,T$2,0),"П")</f>
        <v>0</v>
      </c>
      <c r="U329" s="50">
        <f>SUMIFS(INDEX(Техника!$F$1:$ABM$500,U$2,0),Техника!$F$4:$ABM$4,"Часы",INDEX(Техника!$G$1:$ABN$500,U$2,0),$A$326,INDEX(Техника!$H$1:$ABO$500,U$2,0),"П")</f>
        <v>0</v>
      </c>
      <c r="V329" s="50">
        <f>SUMIFS(INDEX(Техника!$F$1:$ABM$500,V$2,0),Техника!$F$4:$ABM$4,"Часы",INDEX(Техника!$G$1:$ABN$500,V$2,0),$A$326,INDEX(Техника!$H$1:$ABO$500,V$2,0),"П")</f>
        <v>0</v>
      </c>
      <c r="W329" s="50">
        <f>SUMIFS(INDEX(Техника!$F$1:$ABM$500,W$2,0),Техника!$F$4:$ABM$4,"Часы",INDEX(Техника!$G$1:$ABN$500,W$2,0),$A$326,INDEX(Техника!$H$1:$ABO$500,W$2,0),"П")</f>
        <v>0</v>
      </c>
      <c r="X329" s="50">
        <f>SUMIFS(INDEX(Техника!$F$1:$ABM$500,X$2,0),Техника!$F$4:$ABM$4,"Часы",INDEX(Техника!$G$1:$ABN$500,X$2,0),$A$326,INDEX(Техника!$H$1:$ABO$500,X$2,0),"П")</f>
        <v>0</v>
      </c>
      <c r="Y329" s="50">
        <f>SUMIFS(INDEX(Техника!$F$1:$ABM$500,Y$2,0),Техника!$F$4:$ABM$4,"Часы",INDEX(Техника!$G$1:$ABN$500,Y$2,0),$A$326,INDEX(Техника!$H$1:$ABO$500,Y$2,0),"П")</f>
        <v>0</v>
      </c>
      <c r="Z329" s="50">
        <f>SUMIFS(INDEX(Техника!$F$1:$ABM$500,Z$2,0),Техника!$F$4:$ABM$4,"Часы",INDEX(Техника!$G$1:$ABN$500,Z$2,0),$A$326,INDEX(Техника!$H$1:$ABO$500,Z$2,0),"П")</f>
        <v>0</v>
      </c>
      <c r="AA329" s="50">
        <f>SUMIFS(INDEX(Техника!$F$1:$ABM$500,AA$2,0),Техника!$F$4:$ABM$4,"Часы",INDEX(Техника!$G$1:$ABN$500,AA$2,0),$A$326,INDEX(Техника!$H$1:$ABO$500,AA$2,0),"П")</f>
        <v>0</v>
      </c>
      <c r="AB329" s="50">
        <f>SUMIFS(INDEX(Техника!$F$1:$ABM$500,AB$2,0),Техника!$F$4:$ABM$4,"Часы",INDEX(Техника!$G$1:$ABN$500,AB$2,0),$A$326,INDEX(Техника!$H$1:$ABO$500,AB$2,0),"П")</f>
        <v>0</v>
      </c>
    </row>
    <row r="330" spans="1:28" hidden="1" outlineLevel="1" x14ac:dyDescent="0.3">
      <c r="A330" s="33" t="s">
        <v>243</v>
      </c>
      <c r="B330" s="34" t="s">
        <v>278</v>
      </c>
      <c r="C330" s="50">
        <f>SUMIFS(INDEX(Техника!$F$1:$ABM$500,C$2,0),Техника!$F$4:$ABM$4,"Часы",INDEX(Техника!$G$1:$ABN$500,C$2,0),$A$326,INDEX(Техника!$H$1:$ABO$500,C$2,0),"Л")</f>
        <v>0</v>
      </c>
      <c r="D330" s="50">
        <f>SUMIFS(INDEX(Техника!$F$1:$ABM$500,D$2,0),Техника!$F$4:$ABM$4,"Часы",INDEX(Техника!$G$1:$ABN$500,D$2,0),$A$326,INDEX(Техника!$H$1:$ABO$500,D$2,0),"Л")</f>
        <v>0</v>
      </c>
      <c r="E330" s="50">
        <f>SUMIFS(INDEX(Техника!$F$1:$ABM$500,E$2,0),Техника!$F$4:$ABM$4,"Часы",INDEX(Техника!$G$1:$ABN$500,E$2,0),$A$326,INDEX(Техника!$H$1:$ABO$500,E$2,0),"Л")</f>
        <v>0</v>
      </c>
      <c r="F330" s="50">
        <f>SUMIFS(INDEX(Техника!$F$1:$ABM$500,F$2,0),Техника!$F$4:$ABM$4,"Часы",INDEX(Техника!$G$1:$ABN$500,F$2,0),$A$326,INDEX(Техника!$H$1:$ABO$500,F$2,0),"Л")</f>
        <v>0</v>
      </c>
      <c r="G330" s="50">
        <f>SUMIFS(INDEX(Техника!$F$1:$ABM$500,G$2,0),Техника!$F$4:$ABM$4,"Часы",INDEX(Техника!$G$1:$ABN$500,G$2,0),$A$326,INDEX(Техника!$H$1:$ABO$500,G$2,0),"Л")</f>
        <v>0</v>
      </c>
      <c r="H330" s="50">
        <f>SUMIFS(INDEX(Техника!$F$1:$ABM$500,H$2,0),Техника!$F$4:$ABM$4,"Часы",INDEX(Техника!$G$1:$ABN$500,H$2,0),$A$326,INDEX(Техника!$H$1:$ABO$500,H$2,0),"Л")</f>
        <v>0</v>
      </c>
      <c r="I330" s="50">
        <f>SUMIFS(INDEX(Техника!$F$1:$ABM$500,I$2,0),Техника!$F$4:$ABM$4,"Часы",INDEX(Техника!$G$1:$ABN$500,I$2,0),$A$326,INDEX(Техника!$H$1:$ABO$500,I$2,0),"Л")</f>
        <v>0</v>
      </c>
      <c r="J330" s="50">
        <f>SUMIFS(INDEX(Техника!$F$1:$ABM$500,J$2,0),Техника!$F$4:$ABM$4,"Часы",INDEX(Техника!$G$1:$ABN$500,J$2,0),$A$326,INDEX(Техника!$H$1:$ABO$500,J$2,0),"Л")</f>
        <v>0</v>
      </c>
      <c r="K330" s="50">
        <f>SUMIFS(INDEX(Техника!$F$1:$ABM$500,K$2,0),Техника!$F$4:$ABM$4,"Часы",INDEX(Техника!$G$1:$ABN$500,K$2,0),$A$326,INDEX(Техника!$H$1:$ABO$500,K$2,0),"Л")</f>
        <v>0</v>
      </c>
      <c r="L330" s="50">
        <f>SUMIFS(INDEX(Техника!$F$1:$ABM$500,L$2,0),Техника!$F$4:$ABM$4,"Часы",INDEX(Техника!$G$1:$ABN$500,L$2,0),$A$326,INDEX(Техника!$H$1:$ABO$500,L$2,0),"Л")</f>
        <v>0</v>
      </c>
      <c r="M330" s="50">
        <f>SUMIFS(INDEX(Техника!$F$1:$ABM$500,M$2,0),Техника!$F$4:$ABM$4,"Часы",INDEX(Техника!$G$1:$ABN$500,M$2,0),$A$326,INDEX(Техника!$H$1:$ABO$500,M$2,0),"Л")</f>
        <v>0</v>
      </c>
      <c r="N330" s="50">
        <f>SUMIFS(INDEX(Техника!$F$1:$ABM$500,N$2,0),Техника!$F$4:$ABM$4,"Часы",INDEX(Техника!$G$1:$ABN$500,N$2,0),$A$326,INDEX(Техника!$H$1:$ABO$500,N$2,0),"Л")</f>
        <v>0</v>
      </c>
      <c r="O330" s="50">
        <f>SUMIFS(INDEX(Техника!$F$1:$ABM$500,O$2,0),Техника!$F$4:$ABM$4,"Часы",INDEX(Техника!$G$1:$ABN$500,O$2,0),$A$326,INDEX(Техника!$H$1:$ABO$500,O$2,0),"Л")</f>
        <v>0</v>
      </c>
      <c r="P330" s="50">
        <f>SUMIFS(INDEX(Техника!$F$1:$ABM$500,P$2,0),Техника!$F$4:$ABM$4,"Часы",INDEX(Техника!$G$1:$ABN$500,P$2,0),$A$326,INDEX(Техника!$H$1:$ABO$500,P$2,0),"Л")</f>
        <v>0</v>
      </c>
      <c r="Q330" s="50">
        <f>SUMIFS(INDEX(Техника!$F$1:$ABM$500,Q$2,0),Техника!$F$4:$ABM$4,"Часы",INDEX(Техника!$G$1:$ABN$500,Q$2,0),$A$326,INDEX(Техника!$H$1:$ABO$500,Q$2,0),"Л")</f>
        <v>0</v>
      </c>
      <c r="R330" s="50">
        <f>SUMIFS(INDEX(Техника!$F$1:$ABM$500,R$2,0),Техника!$F$4:$ABM$4,"Часы",INDEX(Техника!$G$1:$ABN$500,R$2,0),$A$326,INDEX(Техника!$H$1:$ABO$500,R$2,0),"Л")</f>
        <v>0</v>
      </c>
      <c r="S330" s="50">
        <f>SUMIFS(INDEX(Техника!$F$1:$ABM$500,S$2,0),Техника!$F$4:$ABM$4,"Часы",INDEX(Техника!$G$1:$ABN$500,S$2,0),$A$326,INDEX(Техника!$H$1:$ABO$500,S$2,0),"Л")</f>
        <v>0</v>
      </c>
      <c r="T330" s="50">
        <f>SUMIFS(INDEX(Техника!$F$1:$ABM$500,T$2,0),Техника!$F$4:$ABM$4,"Часы",INDEX(Техника!$G$1:$ABN$500,T$2,0),$A$326,INDEX(Техника!$H$1:$ABO$500,T$2,0),"Л")</f>
        <v>0</v>
      </c>
      <c r="U330" s="50">
        <f>SUMIFS(INDEX(Техника!$F$1:$ABM$500,U$2,0),Техника!$F$4:$ABM$4,"Часы",INDEX(Техника!$G$1:$ABN$500,U$2,0),$A$326,INDEX(Техника!$H$1:$ABO$500,U$2,0),"Л")</f>
        <v>0</v>
      </c>
      <c r="V330" s="50">
        <f>SUMIFS(INDEX(Техника!$F$1:$ABM$500,V$2,0),Техника!$F$4:$ABM$4,"Часы",INDEX(Техника!$G$1:$ABN$500,V$2,0),$A$326,INDEX(Техника!$H$1:$ABO$500,V$2,0),"Л")</f>
        <v>0</v>
      </c>
      <c r="W330" s="50">
        <f>SUMIFS(INDEX(Техника!$F$1:$ABM$500,W$2,0),Техника!$F$4:$ABM$4,"Часы",INDEX(Техника!$G$1:$ABN$500,W$2,0),$A$326,INDEX(Техника!$H$1:$ABO$500,W$2,0),"Л")</f>
        <v>0</v>
      </c>
      <c r="X330" s="50">
        <f>SUMIFS(INDEX(Техника!$F$1:$ABM$500,X$2,0),Техника!$F$4:$ABM$4,"Часы",INDEX(Техника!$G$1:$ABN$500,X$2,0),$A$326,INDEX(Техника!$H$1:$ABO$500,X$2,0),"Л")</f>
        <v>0</v>
      </c>
      <c r="Y330" s="50">
        <f>SUMIFS(INDEX(Техника!$F$1:$ABM$500,Y$2,0),Техника!$F$4:$ABM$4,"Часы",INDEX(Техника!$G$1:$ABN$500,Y$2,0),$A$326,INDEX(Техника!$H$1:$ABO$500,Y$2,0),"Л")</f>
        <v>0</v>
      </c>
      <c r="Z330" s="50">
        <f>SUMIFS(INDEX(Техника!$F$1:$ABM$500,Z$2,0),Техника!$F$4:$ABM$4,"Часы",INDEX(Техника!$G$1:$ABN$500,Z$2,0),$A$326,INDEX(Техника!$H$1:$ABO$500,Z$2,0),"Л")</f>
        <v>0</v>
      </c>
      <c r="AA330" s="50">
        <f>SUMIFS(INDEX(Техника!$F$1:$ABM$500,AA$2,0),Техника!$F$4:$ABM$4,"Часы",INDEX(Техника!$G$1:$ABN$500,AA$2,0),$A$326,INDEX(Техника!$H$1:$ABO$500,AA$2,0),"Л")</f>
        <v>0</v>
      </c>
      <c r="AB330" s="50">
        <f>SUMIFS(INDEX(Техника!$F$1:$ABM$500,AB$2,0),Техника!$F$4:$ABM$4,"Часы",INDEX(Техника!$G$1:$ABN$500,AB$2,0),$A$326,INDEX(Техника!$H$1:$ABO$500,AB$2,0),"Л")</f>
        <v>0</v>
      </c>
    </row>
    <row r="331" spans="1:28" hidden="1" outlineLevel="1" x14ac:dyDescent="0.3">
      <c r="A331" s="33" t="s">
        <v>245</v>
      </c>
      <c r="B331" s="34" t="s">
        <v>279</v>
      </c>
      <c r="C331" s="50">
        <f>SUMIFS(INDEX(Техника!$F$1:$ABM$500,C$2,0),Техника!$F$4:$ABM$4,"Часы",INDEX(Техника!$G$1:$ABN$500,C$2,0),$A$326,INDEX(Техника!$H$1:$ABO$500,C$2,0),"З")</f>
        <v>0</v>
      </c>
      <c r="D331" s="50">
        <f>SUMIFS(INDEX(Техника!$F$1:$ABM$500,D$2,0),Техника!$F$4:$ABM$4,"Часы",INDEX(Техника!$G$1:$ABN$500,D$2,0),$A$326,INDEX(Техника!$H$1:$ABO$500,D$2,0),"З")</f>
        <v>0</v>
      </c>
      <c r="E331" s="50">
        <f>SUMIFS(INDEX(Техника!$F$1:$ABM$500,E$2,0),Техника!$F$4:$ABM$4,"Часы",INDEX(Техника!$G$1:$ABN$500,E$2,0),$A$326,INDEX(Техника!$H$1:$ABO$500,E$2,0),"З")</f>
        <v>0</v>
      </c>
      <c r="F331" s="50">
        <f>SUMIFS(INDEX(Техника!$F$1:$ABM$500,F$2,0),Техника!$F$4:$ABM$4,"Часы",INDEX(Техника!$G$1:$ABN$500,F$2,0),$A$326,INDEX(Техника!$H$1:$ABO$500,F$2,0),"З")</f>
        <v>0</v>
      </c>
      <c r="G331" s="50">
        <f>SUMIFS(INDEX(Техника!$F$1:$ABM$500,G$2,0),Техника!$F$4:$ABM$4,"Часы",INDEX(Техника!$G$1:$ABN$500,G$2,0),$A$326,INDEX(Техника!$H$1:$ABO$500,G$2,0),"З")</f>
        <v>0</v>
      </c>
      <c r="H331" s="50">
        <f>SUMIFS(INDEX(Техника!$F$1:$ABM$500,H$2,0),Техника!$F$4:$ABM$4,"Часы",INDEX(Техника!$G$1:$ABN$500,H$2,0),$A$326,INDEX(Техника!$H$1:$ABO$500,H$2,0),"З")</f>
        <v>0</v>
      </c>
      <c r="I331" s="50">
        <f>SUMIFS(INDEX(Техника!$F$1:$ABM$500,I$2,0),Техника!$F$4:$ABM$4,"Часы",INDEX(Техника!$G$1:$ABN$500,I$2,0),$A$326,INDEX(Техника!$H$1:$ABO$500,I$2,0),"З")</f>
        <v>0</v>
      </c>
      <c r="J331" s="50">
        <f>SUMIFS(INDEX(Техника!$F$1:$ABM$500,J$2,0),Техника!$F$4:$ABM$4,"Часы",INDEX(Техника!$G$1:$ABN$500,J$2,0),$A$326,INDEX(Техника!$H$1:$ABO$500,J$2,0),"З")</f>
        <v>0</v>
      </c>
      <c r="K331" s="50">
        <f>SUMIFS(INDEX(Техника!$F$1:$ABM$500,K$2,0),Техника!$F$4:$ABM$4,"Часы",INDEX(Техника!$G$1:$ABN$500,K$2,0),$A$326,INDEX(Техника!$H$1:$ABO$500,K$2,0),"З")</f>
        <v>0</v>
      </c>
      <c r="L331" s="50">
        <f>SUMIFS(INDEX(Техника!$F$1:$ABM$500,L$2,0),Техника!$F$4:$ABM$4,"Часы",INDEX(Техника!$G$1:$ABN$500,L$2,0),$A$326,INDEX(Техника!$H$1:$ABO$500,L$2,0),"З")</f>
        <v>0</v>
      </c>
      <c r="M331" s="50">
        <f>SUMIFS(INDEX(Техника!$F$1:$ABM$500,M$2,0),Техника!$F$4:$ABM$4,"Часы",INDEX(Техника!$G$1:$ABN$500,M$2,0),$A$326,INDEX(Техника!$H$1:$ABO$500,M$2,0),"З")</f>
        <v>0</v>
      </c>
      <c r="N331" s="50">
        <f>SUMIFS(INDEX(Техника!$F$1:$ABM$500,N$2,0),Техника!$F$4:$ABM$4,"Часы",INDEX(Техника!$G$1:$ABN$500,N$2,0),$A$326,INDEX(Техника!$H$1:$ABO$500,N$2,0),"З")</f>
        <v>0</v>
      </c>
      <c r="O331" s="50">
        <f>SUMIFS(INDEX(Техника!$F$1:$ABM$500,O$2,0),Техника!$F$4:$ABM$4,"Часы",INDEX(Техника!$G$1:$ABN$500,O$2,0),$A$326,INDEX(Техника!$H$1:$ABO$500,O$2,0),"З")</f>
        <v>0</v>
      </c>
      <c r="P331" s="50">
        <f>SUMIFS(INDEX(Техника!$F$1:$ABM$500,P$2,0),Техника!$F$4:$ABM$4,"Часы",INDEX(Техника!$G$1:$ABN$500,P$2,0),$A$326,INDEX(Техника!$H$1:$ABO$500,P$2,0),"З")</f>
        <v>0</v>
      </c>
      <c r="Q331" s="50">
        <f>SUMIFS(INDEX(Техника!$F$1:$ABM$500,Q$2,0),Техника!$F$4:$ABM$4,"Часы",INDEX(Техника!$G$1:$ABN$500,Q$2,0),$A$326,INDEX(Техника!$H$1:$ABO$500,Q$2,0),"З")</f>
        <v>0</v>
      </c>
      <c r="R331" s="50">
        <f>SUMIFS(INDEX(Техника!$F$1:$ABM$500,R$2,0),Техника!$F$4:$ABM$4,"Часы",INDEX(Техника!$G$1:$ABN$500,R$2,0),$A$326,INDEX(Техника!$H$1:$ABO$500,R$2,0),"З")</f>
        <v>0</v>
      </c>
      <c r="S331" s="50">
        <f>SUMIFS(INDEX(Техника!$F$1:$ABM$500,S$2,0),Техника!$F$4:$ABM$4,"Часы",INDEX(Техника!$G$1:$ABN$500,S$2,0),$A$326,INDEX(Техника!$H$1:$ABO$500,S$2,0),"З")</f>
        <v>0</v>
      </c>
      <c r="T331" s="50">
        <f>SUMIFS(INDEX(Техника!$F$1:$ABM$500,T$2,0),Техника!$F$4:$ABM$4,"Часы",INDEX(Техника!$G$1:$ABN$500,T$2,0),$A$326,INDEX(Техника!$H$1:$ABO$500,T$2,0),"З")</f>
        <v>0</v>
      </c>
      <c r="U331" s="50">
        <f>SUMIFS(INDEX(Техника!$F$1:$ABM$500,U$2,0),Техника!$F$4:$ABM$4,"Часы",INDEX(Техника!$G$1:$ABN$500,U$2,0),$A$326,INDEX(Техника!$H$1:$ABO$500,U$2,0),"З")</f>
        <v>0</v>
      </c>
      <c r="V331" s="50">
        <f>SUMIFS(INDEX(Техника!$F$1:$ABM$500,V$2,0),Техника!$F$4:$ABM$4,"Часы",INDEX(Техника!$G$1:$ABN$500,V$2,0),$A$326,INDEX(Техника!$H$1:$ABO$500,V$2,0),"З")</f>
        <v>0</v>
      </c>
      <c r="W331" s="50">
        <f>SUMIFS(INDEX(Техника!$F$1:$ABM$500,W$2,0),Техника!$F$4:$ABM$4,"Часы",INDEX(Техника!$G$1:$ABN$500,W$2,0),$A$326,INDEX(Техника!$H$1:$ABO$500,W$2,0),"З")</f>
        <v>0</v>
      </c>
      <c r="X331" s="50">
        <f>SUMIFS(INDEX(Техника!$F$1:$ABM$500,X$2,0),Техника!$F$4:$ABM$4,"Часы",INDEX(Техника!$G$1:$ABN$500,X$2,0),$A$326,INDEX(Техника!$H$1:$ABO$500,X$2,0),"З")</f>
        <v>0</v>
      </c>
      <c r="Y331" s="50">
        <f>SUMIFS(INDEX(Техника!$F$1:$ABM$500,Y$2,0),Техника!$F$4:$ABM$4,"Часы",INDEX(Техника!$G$1:$ABN$500,Y$2,0),$A$326,INDEX(Техника!$H$1:$ABO$500,Y$2,0),"З")</f>
        <v>0</v>
      </c>
      <c r="Z331" s="50">
        <f>SUMIFS(INDEX(Техника!$F$1:$ABM$500,Z$2,0),Техника!$F$4:$ABM$4,"Часы",INDEX(Техника!$G$1:$ABN$500,Z$2,0),$A$326,INDEX(Техника!$H$1:$ABO$500,Z$2,0),"З")</f>
        <v>0</v>
      </c>
      <c r="AA331" s="50">
        <f>SUMIFS(INDEX(Техника!$F$1:$ABM$500,AA$2,0),Техника!$F$4:$ABM$4,"Часы",INDEX(Техника!$G$1:$ABN$500,AA$2,0),$A$326,INDEX(Техника!$H$1:$ABO$500,AA$2,0),"З")</f>
        <v>0</v>
      </c>
      <c r="AB331" s="50">
        <f>SUMIFS(INDEX(Техника!$F$1:$ABM$500,AB$2,0),Техника!$F$4:$ABM$4,"Часы",INDEX(Техника!$G$1:$ABN$500,AB$2,0),$A$326,INDEX(Техника!$H$1:$ABO$500,AB$2,0),"З")</f>
        <v>0</v>
      </c>
    </row>
    <row r="332" spans="1:28" ht="7.95" customHeight="1" x14ac:dyDescent="0.3">
      <c r="A332" s="38"/>
      <c r="B332" s="39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</row>
    <row r="333" spans="1:28" ht="25.05" customHeight="1" collapsed="1" x14ac:dyDescent="0.3">
      <c r="A333" s="32">
        <v>48</v>
      </c>
      <c r="B333" s="32" t="s">
        <v>49</v>
      </c>
      <c r="C333" s="49">
        <f>SUM(C334:C338)</f>
        <v>0</v>
      </c>
      <c r="D333" s="49">
        <f>SUM(D334:D338)</f>
        <v>0</v>
      </c>
      <c r="E333" s="49">
        <f>SUM(E334:E338)</f>
        <v>0</v>
      </c>
      <c r="F333" s="49">
        <f>SUM(F334:F338)</f>
        <v>0</v>
      </c>
      <c r="G333" s="49">
        <f>SUM(G334:G338)</f>
        <v>0</v>
      </c>
      <c r="H333" s="49">
        <f>SUM(H334:H338)</f>
        <v>0</v>
      </c>
      <c r="I333" s="49">
        <f>SUM(I334:I338)</f>
        <v>0</v>
      </c>
      <c r="J333" s="49">
        <f>SUM(J334:J338)</f>
        <v>0</v>
      </c>
      <c r="K333" s="49">
        <f>SUM(K334:K338)</f>
        <v>0</v>
      </c>
      <c r="L333" s="49">
        <f>SUM(L334:L338)</f>
        <v>0</v>
      </c>
      <c r="M333" s="49">
        <f>SUM(M334:M338)</f>
        <v>0</v>
      </c>
      <c r="N333" s="49">
        <f>SUM(N334:N338)</f>
        <v>0</v>
      </c>
      <c r="O333" s="49">
        <f>SUM(O334:O338)</f>
        <v>0</v>
      </c>
      <c r="P333" s="49">
        <f>SUM(P334:P338)</f>
        <v>0</v>
      </c>
      <c r="Q333" s="49">
        <f>SUM(Q334:Q338)</f>
        <v>0</v>
      </c>
      <c r="R333" s="49">
        <f>SUM(R334:R338)</f>
        <v>0</v>
      </c>
      <c r="S333" s="49">
        <f>SUM(S334:S338)</f>
        <v>0</v>
      </c>
      <c r="T333" s="49">
        <f>SUM(T334:T338)</f>
        <v>0</v>
      </c>
      <c r="U333" s="49">
        <f>SUM(U334:U338)</f>
        <v>0</v>
      </c>
      <c r="V333" s="49">
        <f>SUM(V334:V338)</f>
        <v>0</v>
      </c>
      <c r="W333" s="49">
        <f>SUM(W334:W338)</f>
        <v>0</v>
      </c>
      <c r="X333" s="49">
        <f>SUM(X334:X338)</f>
        <v>0</v>
      </c>
      <c r="Y333" s="49">
        <f>SUM(Y334:Y338)</f>
        <v>0</v>
      </c>
      <c r="Z333" s="49">
        <f>SUM(Z334:Z338)</f>
        <v>0</v>
      </c>
      <c r="AA333" s="49">
        <f>SUM(AA334:AA338)</f>
        <v>0</v>
      </c>
      <c r="AB333" s="49">
        <f>SUM(AB334:AB338)</f>
        <v>0</v>
      </c>
    </row>
    <row r="334" spans="1:28" hidden="1" outlineLevel="1" x14ac:dyDescent="0.3">
      <c r="A334" s="33" t="s">
        <v>246</v>
      </c>
      <c r="B334" s="34" t="s">
        <v>274</v>
      </c>
      <c r="C334" s="50">
        <f>SUMIFS(INDEX(Техника!$F$1:$ABM$500,C$2,0),Техника!$F$4:$ABM$4,"Часы",INDEX(Техника!$G$1:$ABN$500,C$2,0),$A$333,INDEX(Техника!$H$1:$ABO$500,C$2,0),"М")</f>
        <v>0</v>
      </c>
      <c r="D334" s="50">
        <f>SUMIFS(INDEX(Техника!$F$1:$ABM$500,D$2,0),Техника!$F$4:$ABM$4,"Часы",INDEX(Техника!$G$1:$ABN$500,D$2,0),$A$333,INDEX(Техника!$H$1:$ABO$500,D$2,0),"М")</f>
        <v>0</v>
      </c>
      <c r="E334" s="50">
        <f>SUMIFS(INDEX(Техника!$F$1:$ABM$500,E$2,0),Техника!$F$4:$ABM$4,"Часы",INDEX(Техника!$G$1:$ABN$500,E$2,0),$A$333,INDEX(Техника!$H$1:$ABO$500,E$2,0),"М")</f>
        <v>0</v>
      </c>
      <c r="F334" s="50">
        <f>SUMIFS(INDEX(Техника!$F$1:$ABM$500,F$2,0),Техника!$F$4:$ABM$4,"Часы",INDEX(Техника!$G$1:$ABN$500,F$2,0),$A$333,INDEX(Техника!$H$1:$ABO$500,F$2,0),"М")</f>
        <v>0</v>
      </c>
      <c r="G334" s="50">
        <f>SUMIFS(INDEX(Техника!$F$1:$ABM$500,G$2,0),Техника!$F$4:$ABM$4,"Часы",INDEX(Техника!$G$1:$ABN$500,G$2,0),$A$333,INDEX(Техника!$H$1:$ABO$500,G$2,0),"М")</f>
        <v>0</v>
      </c>
      <c r="H334" s="50">
        <f>SUMIFS(INDEX(Техника!$F$1:$ABM$500,H$2,0),Техника!$F$4:$ABM$4,"Часы",INDEX(Техника!$G$1:$ABN$500,H$2,0),$A$333,INDEX(Техника!$H$1:$ABO$500,H$2,0),"М")</f>
        <v>0</v>
      </c>
      <c r="I334" s="50">
        <f>SUMIFS(INDEX(Техника!$F$1:$ABM$500,I$2,0),Техника!$F$4:$ABM$4,"Часы",INDEX(Техника!$G$1:$ABN$500,I$2,0),$A$333,INDEX(Техника!$H$1:$ABO$500,I$2,0),"М")</f>
        <v>0</v>
      </c>
      <c r="J334" s="50">
        <f>SUMIFS(INDEX(Техника!$F$1:$ABM$500,J$2,0),Техника!$F$4:$ABM$4,"Часы",INDEX(Техника!$G$1:$ABN$500,J$2,0),$A$333,INDEX(Техника!$H$1:$ABO$500,J$2,0),"М")</f>
        <v>0</v>
      </c>
      <c r="K334" s="50">
        <f>SUMIFS(INDEX(Техника!$F$1:$ABM$500,K$2,0),Техника!$F$4:$ABM$4,"Часы",INDEX(Техника!$G$1:$ABN$500,K$2,0),$A$333,INDEX(Техника!$H$1:$ABO$500,K$2,0),"М")</f>
        <v>0</v>
      </c>
      <c r="L334" s="50">
        <f>SUMIFS(INDEX(Техника!$F$1:$ABM$500,L$2,0),Техника!$F$4:$ABM$4,"Часы",INDEX(Техника!$G$1:$ABN$500,L$2,0),$A$333,INDEX(Техника!$H$1:$ABO$500,L$2,0),"М")</f>
        <v>0</v>
      </c>
      <c r="M334" s="50">
        <f>SUMIFS(INDEX(Техника!$F$1:$ABM$500,M$2,0),Техника!$F$4:$ABM$4,"Часы",INDEX(Техника!$G$1:$ABN$500,M$2,0),$A$333,INDEX(Техника!$H$1:$ABO$500,M$2,0),"М")</f>
        <v>0</v>
      </c>
      <c r="N334" s="50">
        <f>SUMIFS(INDEX(Техника!$F$1:$ABM$500,N$2,0),Техника!$F$4:$ABM$4,"Часы",INDEX(Техника!$G$1:$ABN$500,N$2,0),$A$333,INDEX(Техника!$H$1:$ABO$500,N$2,0),"М")</f>
        <v>0</v>
      </c>
      <c r="O334" s="50">
        <f>SUMIFS(INDEX(Техника!$F$1:$ABM$500,O$2,0),Техника!$F$4:$ABM$4,"Часы",INDEX(Техника!$G$1:$ABN$500,O$2,0),$A$333,INDEX(Техника!$H$1:$ABO$500,O$2,0),"М")</f>
        <v>0</v>
      </c>
      <c r="P334" s="50">
        <f>SUMIFS(INDEX(Техника!$F$1:$ABM$500,P$2,0),Техника!$F$4:$ABM$4,"Часы",INDEX(Техника!$G$1:$ABN$500,P$2,0),$A$333,INDEX(Техника!$H$1:$ABO$500,P$2,0),"М")</f>
        <v>0</v>
      </c>
      <c r="Q334" s="50">
        <f>SUMIFS(INDEX(Техника!$F$1:$ABM$500,Q$2,0),Техника!$F$4:$ABM$4,"Часы",INDEX(Техника!$G$1:$ABN$500,Q$2,0),$A$333,INDEX(Техника!$H$1:$ABO$500,Q$2,0),"М")</f>
        <v>0</v>
      </c>
      <c r="R334" s="50">
        <f>SUMIFS(INDEX(Техника!$F$1:$ABM$500,R$2,0),Техника!$F$4:$ABM$4,"Часы",INDEX(Техника!$G$1:$ABN$500,R$2,0),$A$333,INDEX(Техника!$H$1:$ABO$500,R$2,0),"М")</f>
        <v>0</v>
      </c>
      <c r="S334" s="50">
        <f>SUMIFS(INDEX(Техника!$F$1:$ABM$500,S$2,0),Техника!$F$4:$ABM$4,"Часы",INDEX(Техника!$G$1:$ABN$500,S$2,0),$A$333,INDEX(Техника!$H$1:$ABO$500,S$2,0),"М")</f>
        <v>0</v>
      </c>
      <c r="T334" s="50">
        <f>SUMIFS(INDEX(Техника!$F$1:$ABM$500,T$2,0),Техника!$F$4:$ABM$4,"Часы",INDEX(Техника!$G$1:$ABN$500,T$2,0),$A$333,INDEX(Техника!$H$1:$ABO$500,T$2,0),"М")</f>
        <v>0</v>
      </c>
      <c r="U334" s="50">
        <f>SUMIFS(INDEX(Техника!$F$1:$ABM$500,U$2,0),Техника!$F$4:$ABM$4,"Часы",INDEX(Техника!$G$1:$ABN$500,U$2,0),$A$333,INDEX(Техника!$H$1:$ABO$500,U$2,0),"М")</f>
        <v>0</v>
      </c>
      <c r="V334" s="50">
        <f>SUMIFS(INDEX(Техника!$F$1:$ABM$500,V$2,0),Техника!$F$4:$ABM$4,"Часы",INDEX(Техника!$G$1:$ABN$500,V$2,0),$A$333,INDEX(Техника!$H$1:$ABO$500,V$2,0),"М")</f>
        <v>0</v>
      </c>
      <c r="W334" s="50">
        <f>SUMIFS(INDEX(Техника!$F$1:$ABM$500,W$2,0),Техника!$F$4:$ABM$4,"Часы",INDEX(Техника!$G$1:$ABN$500,W$2,0),$A$333,INDEX(Техника!$H$1:$ABO$500,W$2,0),"М")</f>
        <v>0</v>
      </c>
      <c r="X334" s="50">
        <f>SUMIFS(INDEX(Техника!$F$1:$ABM$500,X$2,0),Техника!$F$4:$ABM$4,"Часы",INDEX(Техника!$G$1:$ABN$500,X$2,0),$A$333,INDEX(Техника!$H$1:$ABO$500,X$2,0),"М")</f>
        <v>0</v>
      </c>
      <c r="Y334" s="50">
        <f>SUMIFS(INDEX(Техника!$F$1:$ABM$500,Y$2,0),Техника!$F$4:$ABM$4,"Часы",INDEX(Техника!$G$1:$ABN$500,Y$2,0),$A$333,INDEX(Техника!$H$1:$ABO$500,Y$2,0),"М")</f>
        <v>0</v>
      </c>
      <c r="Z334" s="50">
        <f>SUMIFS(INDEX(Техника!$F$1:$ABM$500,Z$2,0),Техника!$F$4:$ABM$4,"Часы",INDEX(Техника!$G$1:$ABN$500,Z$2,0),$A$333,INDEX(Техника!$H$1:$ABO$500,Z$2,0),"М")</f>
        <v>0</v>
      </c>
      <c r="AA334" s="50">
        <f>SUMIFS(INDEX(Техника!$F$1:$ABM$500,AA$2,0),Техника!$F$4:$ABM$4,"Часы",INDEX(Техника!$G$1:$ABN$500,AA$2,0),$A$333,INDEX(Техника!$H$1:$ABO$500,AA$2,0),"М")</f>
        <v>0</v>
      </c>
      <c r="AB334" s="50">
        <f>SUMIFS(INDEX(Техника!$F$1:$ABM$500,AB$2,0),Техника!$F$4:$ABM$4,"Часы",INDEX(Техника!$G$1:$ABN$500,AB$2,0),$A$333,INDEX(Техника!$H$1:$ABO$500,AB$2,0),"М")</f>
        <v>0</v>
      </c>
    </row>
    <row r="335" spans="1:28" hidden="1" outlineLevel="1" x14ac:dyDescent="0.3">
      <c r="A335" s="33" t="s">
        <v>244</v>
      </c>
      <c r="B335" s="34" t="s">
        <v>275</v>
      </c>
      <c r="C335" s="50">
        <f>SUMIFS(INDEX(Техника!$F$1:$ABM$500,C$2,0),Техника!$F$4:$ABM$4,"Часы",INDEX(Техника!$G$1:$ABN$500,C$2,0),$A$333,INDEX(Техника!$H$1:$ABO$500,C$2,0),"Д")</f>
        <v>0</v>
      </c>
      <c r="D335" s="50">
        <f>SUMIFS(INDEX(Техника!$F$1:$ABM$500,D$2,0),Техника!$F$4:$ABM$4,"Часы",INDEX(Техника!$G$1:$ABN$500,D$2,0),$A$333,INDEX(Техника!$H$1:$ABO$500,D$2,0),"Д")</f>
        <v>0</v>
      </c>
      <c r="E335" s="50">
        <f>SUMIFS(INDEX(Техника!$F$1:$ABM$500,E$2,0),Техника!$F$4:$ABM$4,"Часы",INDEX(Техника!$G$1:$ABN$500,E$2,0),$A$333,INDEX(Техника!$H$1:$ABO$500,E$2,0),"Д")</f>
        <v>0</v>
      </c>
      <c r="F335" s="50">
        <f>SUMIFS(INDEX(Техника!$F$1:$ABM$500,F$2,0),Техника!$F$4:$ABM$4,"Часы",INDEX(Техника!$G$1:$ABN$500,F$2,0),$A$333,INDEX(Техника!$H$1:$ABO$500,F$2,0),"Д")</f>
        <v>0</v>
      </c>
      <c r="G335" s="50">
        <f>SUMIFS(INDEX(Техника!$F$1:$ABM$500,G$2,0),Техника!$F$4:$ABM$4,"Часы",INDEX(Техника!$G$1:$ABN$500,G$2,0),$A$333,INDEX(Техника!$H$1:$ABO$500,G$2,0),"Д")</f>
        <v>0</v>
      </c>
      <c r="H335" s="50">
        <f>SUMIFS(INDEX(Техника!$F$1:$ABM$500,H$2,0),Техника!$F$4:$ABM$4,"Часы",INDEX(Техника!$G$1:$ABN$500,H$2,0),$A$333,INDEX(Техника!$H$1:$ABO$500,H$2,0),"Д")</f>
        <v>0</v>
      </c>
      <c r="I335" s="50">
        <f>SUMIFS(INDEX(Техника!$F$1:$ABM$500,I$2,0),Техника!$F$4:$ABM$4,"Часы",INDEX(Техника!$G$1:$ABN$500,I$2,0),$A$333,INDEX(Техника!$H$1:$ABO$500,I$2,0),"Д")</f>
        <v>0</v>
      </c>
      <c r="J335" s="50">
        <f>SUMIFS(INDEX(Техника!$F$1:$ABM$500,J$2,0),Техника!$F$4:$ABM$4,"Часы",INDEX(Техника!$G$1:$ABN$500,J$2,0),$A$333,INDEX(Техника!$H$1:$ABO$500,J$2,0),"Д")</f>
        <v>0</v>
      </c>
      <c r="K335" s="50">
        <f>SUMIFS(INDEX(Техника!$F$1:$ABM$500,K$2,0),Техника!$F$4:$ABM$4,"Часы",INDEX(Техника!$G$1:$ABN$500,K$2,0),$A$333,INDEX(Техника!$H$1:$ABO$500,K$2,0),"Д")</f>
        <v>0</v>
      </c>
      <c r="L335" s="50">
        <f>SUMIFS(INDEX(Техника!$F$1:$ABM$500,L$2,0),Техника!$F$4:$ABM$4,"Часы",INDEX(Техника!$G$1:$ABN$500,L$2,0),$A$333,INDEX(Техника!$H$1:$ABO$500,L$2,0),"Д")</f>
        <v>0</v>
      </c>
      <c r="M335" s="50">
        <f>SUMIFS(INDEX(Техника!$F$1:$ABM$500,M$2,0),Техника!$F$4:$ABM$4,"Часы",INDEX(Техника!$G$1:$ABN$500,M$2,0),$A$333,INDEX(Техника!$H$1:$ABO$500,M$2,0),"Д")</f>
        <v>0</v>
      </c>
      <c r="N335" s="50">
        <f>SUMIFS(INDEX(Техника!$F$1:$ABM$500,N$2,0),Техника!$F$4:$ABM$4,"Часы",INDEX(Техника!$G$1:$ABN$500,N$2,0),$A$333,INDEX(Техника!$H$1:$ABO$500,N$2,0),"Д")</f>
        <v>0</v>
      </c>
      <c r="O335" s="50">
        <f>SUMIFS(INDEX(Техника!$F$1:$ABM$500,O$2,0),Техника!$F$4:$ABM$4,"Часы",INDEX(Техника!$G$1:$ABN$500,O$2,0),$A$333,INDEX(Техника!$H$1:$ABO$500,O$2,0),"Д")</f>
        <v>0</v>
      </c>
      <c r="P335" s="50">
        <f>SUMIFS(INDEX(Техника!$F$1:$ABM$500,P$2,0),Техника!$F$4:$ABM$4,"Часы",INDEX(Техника!$G$1:$ABN$500,P$2,0),$A$333,INDEX(Техника!$H$1:$ABO$500,P$2,0),"Д")</f>
        <v>0</v>
      </c>
      <c r="Q335" s="50">
        <f>SUMIFS(INDEX(Техника!$F$1:$ABM$500,Q$2,0),Техника!$F$4:$ABM$4,"Часы",INDEX(Техника!$G$1:$ABN$500,Q$2,0),$A$333,INDEX(Техника!$H$1:$ABO$500,Q$2,0),"Д")</f>
        <v>0</v>
      </c>
      <c r="R335" s="50">
        <f>SUMIFS(INDEX(Техника!$F$1:$ABM$500,R$2,0),Техника!$F$4:$ABM$4,"Часы",INDEX(Техника!$G$1:$ABN$500,R$2,0),$A$333,INDEX(Техника!$H$1:$ABO$500,R$2,0),"Д")</f>
        <v>0</v>
      </c>
      <c r="S335" s="50">
        <f>SUMIFS(INDEX(Техника!$F$1:$ABM$500,S$2,0),Техника!$F$4:$ABM$4,"Часы",INDEX(Техника!$G$1:$ABN$500,S$2,0),$A$333,INDEX(Техника!$H$1:$ABO$500,S$2,0),"Д")</f>
        <v>0</v>
      </c>
      <c r="T335" s="50">
        <f>SUMIFS(INDEX(Техника!$F$1:$ABM$500,T$2,0),Техника!$F$4:$ABM$4,"Часы",INDEX(Техника!$G$1:$ABN$500,T$2,0),$A$333,INDEX(Техника!$H$1:$ABO$500,T$2,0),"Д")</f>
        <v>0</v>
      </c>
      <c r="U335" s="50">
        <f>SUMIFS(INDEX(Техника!$F$1:$ABM$500,U$2,0),Техника!$F$4:$ABM$4,"Часы",INDEX(Техника!$G$1:$ABN$500,U$2,0),$A$333,INDEX(Техника!$H$1:$ABO$500,U$2,0),"Д")</f>
        <v>0</v>
      </c>
      <c r="V335" s="50">
        <f>SUMIFS(INDEX(Техника!$F$1:$ABM$500,V$2,0),Техника!$F$4:$ABM$4,"Часы",INDEX(Техника!$G$1:$ABN$500,V$2,0),$A$333,INDEX(Техника!$H$1:$ABO$500,V$2,0),"Д")</f>
        <v>0</v>
      </c>
      <c r="W335" s="50">
        <f>SUMIFS(INDEX(Техника!$F$1:$ABM$500,W$2,0),Техника!$F$4:$ABM$4,"Часы",INDEX(Техника!$G$1:$ABN$500,W$2,0),$A$333,INDEX(Техника!$H$1:$ABO$500,W$2,0),"Д")</f>
        <v>0</v>
      </c>
      <c r="X335" s="50">
        <f>SUMIFS(INDEX(Техника!$F$1:$ABM$500,X$2,0),Техника!$F$4:$ABM$4,"Часы",INDEX(Техника!$G$1:$ABN$500,X$2,0),$A$333,INDEX(Техника!$H$1:$ABO$500,X$2,0),"Д")</f>
        <v>0</v>
      </c>
      <c r="Y335" s="50">
        <f>SUMIFS(INDEX(Техника!$F$1:$ABM$500,Y$2,0),Техника!$F$4:$ABM$4,"Часы",INDEX(Техника!$G$1:$ABN$500,Y$2,0),$A$333,INDEX(Техника!$H$1:$ABO$500,Y$2,0),"Д")</f>
        <v>0</v>
      </c>
      <c r="Z335" s="50">
        <f>SUMIFS(INDEX(Техника!$F$1:$ABM$500,Z$2,0),Техника!$F$4:$ABM$4,"Часы",INDEX(Техника!$G$1:$ABN$500,Z$2,0),$A$333,INDEX(Техника!$H$1:$ABO$500,Z$2,0),"Д")</f>
        <v>0</v>
      </c>
      <c r="AA335" s="50">
        <f>SUMIFS(INDEX(Техника!$F$1:$ABM$500,AA$2,0),Техника!$F$4:$ABM$4,"Часы",INDEX(Техника!$G$1:$ABN$500,AA$2,0),$A$333,INDEX(Техника!$H$1:$ABO$500,AA$2,0),"Д")</f>
        <v>0</v>
      </c>
      <c r="AB335" s="50">
        <f>SUMIFS(INDEX(Техника!$F$1:$ABM$500,AB$2,0),Техника!$F$4:$ABM$4,"Часы",INDEX(Техника!$G$1:$ABN$500,AB$2,0),$A$333,INDEX(Техника!$H$1:$ABO$500,AB$2,0),"Д")</f>
        <v>0</v>
      </c>
    </row>
    <row r="336" spans="1:28" hidden="1" outlineLevel="1" x14ac:dyDescent="0.3">
      <c r="A336" s="33" t="s">
        <v>276</v>
      </c>
      <c r="B336" s="34" t="s">
        <v>277</v>
      </c>
      <c r="C336" s="50">
        <f>SUMIFS(INDEX(Техника!$F$1:$ABM$500,C$2,0),Техника!$F$4:$ABM$4,"Часы",INDEX(Техника!$G$1:$ABN$500,C$2,0),$A$333,INDEX(Техника!$H$1:$ABO$500,C$2,0),"П")</f>
        <v>0</v>
      </c>
      <c r="D336" s="50">
        <f>SUMIFS(INDEX(Техника!$F$1:$ABM$500,D$2,0),Техника!$F$4:$ABM$4,"Часы",INDEX(Техника!$G$1:$ABN$500,D$2,0),$A$333,INDEX(Техника!$H$1:$ABO$500,D$2,0),"П")</f>
        <v>0</v>
      </c>
      <c r="E336" s="50">
        <f>SUMIFS(INDEX(Техника!$F$1:$ABM$500,E$2,0),Техника!$F$4:$ABM$4,"Часы",INDEX(Техника!$G$1:$ABN$500,E$2,0),$A$333,INDEX(Техника!$H$1:$ABO$500,E$2,0),"П")</f>
        <v>0</v>
      </c>
      <c r="F336" s="50">
        <f>SUMIFS(INDEX(Техника!$F$1:$ABM$500,F$2,0),Техника!$F$4:$ABM$4,"Часы",INDEX(Техника!$G$1:$ABN$500,F$2,0),$A$333,INDEX(Техника!$H$1:$ABO$500,F$2,0),"П")</f>
        <v>0</v>
      </c>
      <c r="G336" s="50">
        <f>SUMIFS(INDEX(Техника!$F$1:$ABM$500,G$2,0),Техника!$F$4:$ABM$4,"Часы",INDEX(Техника!$G$1:$ABN$500,G$2,0),$A$333,INDEX(Техника!$H$1:$ABO$500,G$2,0),"П")</f>
        <v>0</v>
      </c>
      <c r="H336" s="50">
        <f>SUMIFS(INDEX(Техника!$F$1:$ABM$500,H$2,0),Техника!$F$4:$ABM$4,"Часы",INDEX(Техника!$G$1:$ABN$500,H$2,0),$A$333,INDEX(Техника!$H$1:$ABO$500,H$2,0),"П")</f>
        <v>0</v>
      </c>
      <c r="I336" s="50">
        <f>SUMIFS(INDEX(Техника!$F$1:$ABM$500,I$2,0),Техника!$F$4:$ABM$4,"Часы",INDEX(Техника!$G$1:$ABN$500,I$2,0),$A$333,INDEX(Техника!$H$1:$ABO$500,I$2,0),"П")</f>
        <v>0</v>
      </c>
      <c r="J336" s="50">
        <f>SUMIFS(INDEX(Техника!$F$1:$ABM$500,J$2,0),Техника!$F$4:$ABM$4,"Часы",INDEX(Техника!$G$1:$ABN$500,J$2,0),$A$333,INDEX(Техника!$H$1:$ABO$500,J$2,0),"П")</f>
        <v>0</v>
      </c>
      <c r="K336" s="50">
        <f>SUMIFS(INDEX(Техника!$F$1:$ABM$500,K$2,0),Техника!$F$4:$ABM$4,"Часы",INDEX(Техника!$G$1:$ABN$500,K$2,0),$A$333,INDEX(Техника!$H$1:$ABO$500,K$2,0),"П")</f>
        <v>0</v>
      </c>
      <c r="L336" s="50">
        <f>SUMIFS(INDEX(Техника!$F$1:$ABM$500,L$2,0),Техника!$F$4:$ABM$4,"Часы",INDEX(Техника!$G$1:$ABN$500,L$2,0),$A$333,INDEX(Техника!$H$1:$ABO$500,L$2,0),"П")</f>
        <v>0</v>
      </c>
      <c r="M336" s="50">
        <f>SUMIFS(INDEX(Техника!$F$1:$ABM$500,M$2,0),Техника!$F$4:$ABM$4,"Часы",INDEX(Техника!$G$1:$ABN$500,M$2,0),$A$333,INDEX(Техника!$H$1:$ABO$500,M$2,0),"П")</f>
        <v>0</v>
      </c>
      <c r="N336" s="50">
        <f>SUMIFS(INDEX(Техника!$F$1:$ABM$500,N$2,0),Техника!$F$4:$ABM$4,"Часы",INDEX(Техника!$G$1:$ABN$500,N$2,0),$A$333,INDEX(Техника!$H$1:$ABO$500,N$2,0),"П")</f>
        <v>0</v>
      </c>
      <c r="O336" s="50">
        <f>SUMIFS(INDEX(Техника!$F$1:$ABM$500,O$2,0),Техника!$F$4:$ABM$4,"Часы",INDEX(Техника!$G$1:$ABN$500,O$2,0),$A$333,INDEX(Техника!$H$1:$ABO$500,O$2,0),"П")</f>
        <v>0</v>
      </c>
      <c r="P336" s="50">
        <f>SUMIFS(INDEX(Техника!$F$1:$ABM$500,P$2,0),Техника!$F$4:$ABM$4,"Часы",INDEX(Техника!$G$1:$ABN$500,P$2,0),$A$333,INDEX(Техника!$H$1:$ABO$500,P$2,0),"П")</f>
        <v>0</v>
      </c>
      <c r="Q336" s="50">
        <f>SUMIFS(INDEX(Техника!$F$1:$ABM$500,Q$2,0),Техника!$F$4:$ABM$4,"Часы",INDEX(Техника!$G$1:$ABN$500,Q$2,0),$A$333,INDEX(Техника!$H$1:$ABO$500,Q$2,0),"П")</f>
        <v>0</v>
      </c>
      <c r="R336" s="50">
        <f>SUMIFS(INDEX(Техника!$F$1:$ABM$500,R$2,0),Техника!$F$4:$ABM$4,"Часы",INDEX(Техника!$G$1:$ABN$500,R$2,0),$A$333,INDEX(Техника!$H$1:$ABO$500,R$2,0),"П")</f>
        <v>0</v>
      </c>
      <c r="S336" s="50">
        <f>SUMIFS(INDEX(Техника!$F$1:$ABM$500,S$2,0),Техника!$F$4:$ABM$4,"Часы",INDEX(Техника!$G$1:$ABN$500,S$2,0),$A$333,INDEX(Техника!$H$1:$ABO$500,S$2,0),"П")</f>
        <v>0</v>
      </c>
      <c r="T336" s="50">
        <f>SUMIFS(INDEX(Техника!$F$1:$ABM$500,T$2,0),Техника!$F$4:$ABM$4,"Часы",INDEX(Техника!$G$1:$ABN$500,T$2,0),$A$333,INDEX(Техника!$H$1:$ABO$500,T$2,0),"П")</f>
        <v>0</v>
      </c>
      <c r="U336" s="50">
        <f>SUMIFS(INDEX(Техника!$F$1:$ABM$500,U$2,0),Техника!$F$4:$ABM$4,"Часы",INDEX(Техника!$G$1:$ABN$500,U$2,0),$A$333,INDEX(Техника!$H$1:$ABO$500,U$2,0),"П")</f>
        <v>0</v>
      </c>
      <c r="V336" s="50">
        <f>SUMIFS(INDEX(Техника!$F$1:$ABM$500,V$2,0),Техника!$F$4:$ABM$4,"Часы",INDEX(Техника!$G$1:$ABN$500,V$2,0),$A$333,INDEX(Техника!$H$1:$ABO$500,V$2,0),"П")</f>
        <v>0</v>
      </c>
      <c r="W336" s="50">
        <f>SUMIFS(INDEX(Техника!$F$1:$ABM$500,W$2,0),Техника!$F$4:$ABM$4,"Часы",INDEX(Техника!$G$1:$ABN$500,W$2,0),$A$333,INDEX(Техника!$H$1:$ABO$500,W$2,0),"П")</f>
        <v>0</v>
      </c>
      <c r="X336" s="50">
        <f>SUMIFS(INDEX(Техника!$F$1:$ABM$500,X$2,0),Техника!$F$4:$ABM$4,"Часы",INDEX(Техника!$G$1:$ABN$500,X$2,0),$A$333,INDEX(Техника!$H$1:$ABO$500,X$2,0),"П")</f>
        <v>0</v>
      </c>
      <c r="Y336" s="50">
        <f>SUMIFS(INDEX(Техника!$F$1:$ABM$500,Y$2,0),Техника!$F$4:$ABM$4,"Часы",INDEX(Техника!$G$1:$ABN$500,Y$2,0),$A$333,INDEX(Техника!$H$1:$ABO$500,Y$2,0),"П")</f>
        <v>0</v>
      </c>
      <c r="Z336" s="50">
        <f>SUMIFS(INDEX(Техника!$F$1:$ABM$500,Z$2,0),Техника!$F$4:$ABM$4,"Часы",INDEX(Техника!$G$1:$ABN$500,Z$2,0),$A$333,INDEX(Техника!$H$1:$ABO$500,Z$2,0),"П")</f>
        <v>0</v>
      </c>
      <c r="AA336" s="50">
        <f>SUMIFS(INDEX(Техника!$F$1:$ABM$500,AA$2,0),Техника!$F$4:$ABM$4,"Часы",INDEX(Техника!$G$1:$ABN$500,AA$2,0),$A$333,INDEX(Техника!$H$1:$ABO$500,AA$2,0),"П")</f>
        <v>0</v>
      </c>
      <c r="AB336" s="50">
        <f>SUMIFS(INDEX(Техника!$F$1:$ABM$500,AB$2,0),Техника!$F$4:$ABM$4,"Часы",INDEX(Техника!$G$1:$ABN$500,AB$2,0),$A$333,INDEX(Техника!$H$1:$ABO$500,AB$2,0),"П")</f>
        <v>0</v>
      </c>
    </row>
    <row r="337" spans="1:28" hidden="1" outlineLevel="1" x14ac:dyDescent="0.3">
      <c r="A337" s="33" t="s">
        <v>243</v>
      </c>
      <c r="B337" s="34" t="s">
        <v>278</v>
      </c>
      <c r="C337" s="50">
        <f>SUMIFS(INDEX(Техника!$F$1:$ABM$500,C$2,0),Техника!$F$4:$ABM$4,"Часы",INDEX(Техника!$G$1:$ABN$500,C$2,0),$A$333,INDEX(Техника!$H$1:$ABO$500,C$2,0),"Л")</f>
        <v>0</v>
      </c>
      <c r="D337" s="50">
        <f>SUMIFS(INDEX(Техника!$F$1:$ABM$500,D$2,0),Техника!$F$4:$ABM$4,"Часы",INDEX(Техника!$G$1:$ABN$500,D$2,0),$A$333,INDEX(Техника!$H$1:$ABO$500,D$2,0),"Л")</f>
        <v>0</v>
      </c>
      <c r="E337" s="50">
        <f>SUMIFS(INDEX(Техника!$F$1:$ABM$500,E$2,0),Техника!$F$4:$ABM$4,"Часы",INDEX(Техника!$G$1:$ABN$500,E$2,0),$A$333,INDEX(Техника!$H$1:$ABO$500,E$2,0),"Л")</f>
        <v>0</v>
      </c>
      <c r="F337" s="50">
        <f>SUMIFS(INDEX(Техника!$F$1:$ABM$500,F$2,0),Техника!$F$4:$ABM$4,"Часы",INDEX(Техника!$G$1:$ABN$500,F$2,0),$A$333,INDEX(Техника!$H$1:$ABO$500,F$2,0),"Л")</f>
        <v>0</v>
      </c>
      <c r="G337" s="50">
        <f>SUMIFS(INDEX(Техника!$F$1:$ABM$500,G$2,0),Техника!$F$4:$ABM$4,"Часы",INDEX(Техника!$G$1:$ABN$500,G$2,0),$A$333,INDEX(Техника!$H$1:$ABO$500,G$2,0),"Л")</f>
        <v>0</v>
      </c>
      <c r="H337" s="50">
        <f>SUMIFS(INDEX(Техника!$F$1:$ABM$500,H$2,0),Техника!$F$4:$ABM$4,"Часы",INDEX(Техника!$G$1:$ABN$500,H$2,0),$A$333,INDEX(Техника!$H$1:$ABO$500,H$2,0),"Л")</f>
        <v>0</v>
      </c>
      <c r="I337" s="50">
        <f>SUMIFS(INDEX(Техника!$F$1:$ABM$500,I$2,0),Техника!$F$4:$ABM$4,"Часы",INDEX(Техника!$G$1:$ABN$500,I$2,0),$A$333,INDEX(Техника!$H$1:$ABO$500,I$2,0),"Л")</f>
        <v>0</v>
      </c>
      <c r="J337" s="50">
        <f>SUMIFS(INDEX(Техника!$F$1:$ABM$500,J$2,0),Техника!$F$4:$ABM$4,"Часы",INDEX(Техника!$G$1:$ABN$500,J$2,0),$A$333,INDEX(Техника!$H$1:$ABO$500,J$2,0),"Л")</f>
        <v>0</v>
      </c>
      <c r="K337" s="50">
        <f>SUMIFS(INDEX(Техника!$F$1:$ABM$500,K$2,0),Техника!$F$4:$ABM$4,"Часы",INDEX(Техника!$G$1:$ABN$500,K$2,0),$A$333,INDEX(Техника!$H$1:$ABO$500,K$2,0),"Л")</f>
        <v>0</v>
      </c>
      <c r="L337" s="50">
        <f>SUMIFS(INDEX(Техника!$F$1:$ABM$500,L$2,0),Техника!$F$4:$ABM$4,"Часы",INDEX(Техника!$G$1:$ABN$500,L$2,0),$A$333,INDEX(Техника!$H$1:$ABO$500,L$2,0),"Л")</f>
        <v>0</v>
      </c>
      <c r="M337" s="50">
        <f>SUMIFS(INDEX(Техника!$F$1:$ABM$500,M$2,0),Техника!$F$4:$ABM$4,"Часы",INDEX(Техника!$G$1:$ABN$500,M$2,0),$A$333,INDEX(Техника!$H$1:$ABO$500,M$2,0),"Л")</f>
        <v>0</v>
      </c>
      <c r="N337" s="50">
        <f>SUMIFS(INDEX(Техника!$F$1:$ABM$500,N$2,0),Техника!$F$4:$ABM$4,"Часы",INDEX(Техника!$G$1:$ABN$500,N$2,0),$A$333,INDEX(Техника!$H$1:$ABO$500,N$2,0),"Л")</f>
        <v>0</v>
      </c>
      <c r="O337" s="50">
        <f>SUMIFS(INDEX(Техника!$F$1:$ABM$500,O$2,0),Техника!$F$4:$ABM$4,"Часы",INDEX(Техника!$G$1:$ABN$500,O$2,0),$A$333,INDEX(Техника!$H$1:$ABO$500,O$2,0),"Л")</f>
        <v>0</v>
      </c>
      <c r="P337" s="50">
        <f>SUMIFS(INDEX(Техника!$F$1:$ABM$500,P$2,0),Техника!$F$4:$ABM$4,"Часы",INDEX(Техника!$G$1:$ABN$500,P$2,0),$A$333,INDEX(Техника!$H$1:$ABO$500,P$2,0),"Л")</f>
        <v>0</v>
      </c>
      <c r="Q337" s="50">
        <f>SUMIFS(INDEX(Техника!$F$1:$ABM$500,Q$2,0),Техника!$F$4:$ABM$4,"Часы",INDEX(Техника!$G$1:$ABN$500,Q$2,0),$A$333,INDEX(Техника!$H$1:$ABO$500,Q$2,0),"Л")</f>
        <v>0</v>
      </c>
      <c r="R337" s="50">
        <f>SUMIFS(INDEX(Техника!$F$1:$ABM$500,R$2,0),Техника!$F$4:$ABM$4,"Часы",INDEX(Техника!$G$1:$ABN$500,R$2,0),$A$333,INDEX(Техника!$H$1:$ABO$500,R$2,0),"Л")</f>
        <v>0</v>
      </c>
      <c r="S337" s="50">
        <f>SUMIFS(INDEX(Техника!$F$1:$ABM$500,S$2,0),Техника!$F$4:$ABM$4,"Часы",INDEX(Техника!$G$1:$ABN$500,S$2,0),$A$333,INDEX(Техника!$H$1:$ABO$500,S$2,0),"Л")</f>
        <v>0</v>
      </c>
      <c r="T337" s="50">
        <f>SUMIFS(INDEX(Техника!$F$1:$ABM$500,T$2,0),Техника!$F$4:$ABM$4,"Часы",INDEX(Техника!$G$1:$ABN$500,T$2,0),$A$333,INDEX(Техника!$H$1:$ABO$500,T$2,0),"Л")</f>
        <v>0</v>
      </c>
      <c r="U337" s="50">
        <f>SUMIFS(INDEX(Техника!$F$1:$ABM$500,U$2,0),Техника!$F$4:$ABM$4,"Часы",INDEX(Техника!$G$1:$ABN$500,U$2,0),$A$333,INDEX(Техника!$H$1:$ABO$500,U$2,0),"Л")</f>
        <v>0</v>
      </c>
      <c r="V337" s="50">
        <f>SUMIFS(INDEX(Техника!$F$1:$ABM$500,V$2,0),Техника!$F$4:$ABM$4,"Часы",INDEX(Техника!$G$1:$ABN$500,V$2,0),$A$333,INDEX(Техника!$H$1:$ABO$500,V$2,0),"Л")</f>
        <v>0</v>
      </c>
      <c r="W337" s="50">
        <f>SUMIFS(INDEX(Техника!$F$1:$ABM$500,W$2,0),Техника!$F$4:$ABM$4,"Часы",INDEX(Техника!$G$1:$ABN$500,W$2,0),$A$333,INDEX(Техника!$H$1:$ABO$500,W$2,0),"Л")</f>
        <v>0</v>
      </c>
      <c r="X337" s="50">
        <f>SUMIFS(INDEX(Техника!$F$1:$ABM$500,X$2,0),Техника!$F$4:$ABM$4,"Часы",INDEX(Техника!$G$1:$ABN$500,X$2,0),$A$333,INDEX(Техника!$H$1:$ABO$500,X$2,0),"Л")</f>
        <v>0</v>
      </c>
      <c r="Y337" s="50">
        <f>SUMIFS(INDEX(Техника!$F$1:$ABM$500,Y$2,0),Техника!$F$4:$ABM$4,"Часы",INDEX(Техника!$G$1:$ABN$500,Y$2,0),$A$333,INDEX(Техника!$H$1:$ABO$500,Y$2,0),"Л")</f>
        <v>0</v>
      </c>
      <c r="Z337" s="50">
        <f>SUMIFS(INDEX(Техника!$F$1:$ABM$500,Z$2,0),Техника!$F$4:$ABM$4,"Часы",INDEX(Техника!$G$1:$ABN$500,Z$2,0),$A$333,INDEX(Техника!$H$1:$ABO$500,Z$2,0),"Л")</f>
        <v>0</v>
      </c>
      <c r="AA337" s="50">
        <f>SUMIFS(INDEX(Техника!$F$1:$ABM$500,AA$2,0),Техника!$F$4:$ABM$4,"Часы",INDEX(Техника!$G$1:$ABN$500,AA$2,0),$A$333,INDEX(Техника!$H$1:$ABO$500,AA$2,0),"Л")</f>
        <v>0</v>
      </c>
      <c r="AB337" s="50">
        <f>SUMIFS(INDEX(Техника!$F$1:$ABM$500,AB$2,0),Техника!$F$4:$ABM$4,"Часы",INDEX(Техника!$G$1:$ABN$500,AB$2,0),$A$333,INDEX(Техника!$H$1:$ABO$500,AB$2,0),"Л")</f>
        <v>0</v>
      </c>
    </row>
    <row r="338" spans="1:28" hidden="1" outlineLevel="1" x14ac:dyDescent="0.3">
      <c r="A338" s="33" t="s">
        <v>245</v>
      </c>
      <c r="B338" s="34" t="s">
        <v>279</v>
      </c>
      <c r="C338" s="50">
        <f>SUMIFS(INDEX(Техника!$F$1:$ABM$500,C$2,0),Техника!$F$4:$ABM$4,"Часы",INDEX(Техника!$G$1:$ABN$500,C$2,0),$A$333,INDEX(Техника!$H$1:$ABO$500,C$2,0),"З")</f>
        <v>0</v>
      </c>
      <c r="D338" s="50">
        <f>SUMIFS(INDEX(Техника!$F$1:$ABM$500,D$2,0),Техника!$F$4:$ABM$4,"Часы",INDEX(Техника!$G$1:$ABN$500,D$2,0),$A$333,INDEX(Техника!$H$1:$ABO$500,D$2,0),"З")</f>
        <v>0</v>
      </c>
      <c r="E338" s="50">
        <f>SUMIFS(INDEX(Техника!$F$1:$ABM$500,E$2,0),Техника!$F$4:$ABM$4,"Часы",INDEX(Техника!$G$1:$ABN$500,E$2,0),$A$333,INDEX(Техника!$H$1:$ABO$500,E$2,0),"З")</f>
        <v>0</v>
      </c>
      <c r="F338" s="50">
        <f>SUMIFS(INDEX(Техника!$F$1:$ABM$500,F$2,0),Техника!$F$4:$ABM$4,"Часы",INDEX(Техника!$G$1:$ABN$500,F$2,0),$A$333,INDEX(Техника!$H$1:$ABO$500,F$2,0),"З")</f>
        <v>0</v>
      </c>
      <c r="G338" s="50">
        <f>SUMIFS(INDEX(Техника!$F$1:$ABM$500,G$2,0),Техника!$F$4:$ABM$4,"Часы",INDEX(Техника!$G$1:$ABN$500,G$2,0),$A$333,INDEX(Техника!$H$1:$ABO$500,G$2,0),"З")</f>
        <v>0</v>
      </c>
      <c r="H338" s="50">
        <f>SUMIFS(INDEX(Техника!$F$1:$ABM$500,H$2,0),Техника!$F$4:$ABM$4,"Часы",INDEX(Техника!$G$1:$ABN$500,H$2,0),$A$333,INDEX(Техника!$H$1:$ABO$500,H$2,0),"З")</f>
        <v>0</v>
      </c>
      <c r="I338" s="50">
        <f>SUMIFS(INDEX(Техника!$F$1:$ABM$500,I$2,0),Техника!$F$4:$ABM$4,"Часы",INDEX(Техника!$G$1:$ABN$500,I$2,0),$A$333,INDEX(Техника!$H$1:$ABO$500,I$2,0),"З")</f>
        <v>0</v>
      </c>
      <c r="J338" s="50">
        <f>SUMIFS(INDEX(Техника!$F$1:$ABM$500,J$2,0),Техника!$F$4:$ABM$4,"Часы",INDEX(Техника!$G$1:$ABN$500,J$2,0),$A$333,INDEX(Техника!$H$1:$ABO$500,J$2,0),"З")</f>
        <v>0</v>
      </c>
      <c r="K338" s="50">
        <f>SUMIFS(INDEX(Техника!$F$1:$ABM$500,K$2,0),Техника!$F$4:$ABM$4,"Часы",INDEX(Техника!$G$1:$ABN$500,K$2,0),$A$333,INDEX(Техника!$H$1:$ABO$500,K$2,0),"З")</f>
        <v>0</v>
      </c>
      <c r="L338" s="50">
        <f>SUMIFS(INDEX(Техника!$F$1:$ABM$500,L$2,0),Техника!$F$4:$ABM$4,"Часы",INDEX(Техника!$G$1:$ABN$500,L$2,0),$A$333,INDEX(Техника!$H$1:$ABO$500,L$2,0),"З")</f>
        <v>0</v>
      </c>
      <c r="M338" s="50">
        <f>SUMIFS(INDEX(Техника!$F$1:$ABM$500,M$2,0),Техника!$F$4:$ABM$4,"Часы",INDEX(Техника!$G$1:$ABN$500,M$2,0),$A$333,INDEX(Техника!$H$1:$ABO$500,M$2,0),"З")</f>
        <v>0</v>
      </c>
      <c r="N338" s="50">
        <f>SUMIFS(INDEX(Техника!$F$1:$ABM$500,N$2,0),Техника!$F$4:$ABM$4,"Часы",INDEX(Техника!$G$1:$ABN$500,N$2,0),$A$333,INDEX(Техника!$H$1:$ABO$500,N$2,0),"З")</f>
        <v>0</v>
      </c>
      <c r="O338" s="50">
        <f>SUMIFS(INDEX(Техника!$F$1:$ABM$500,O$2,0),Техника!$F$4:$ABM$4,"Часы",INDEX(Техника!$G$1:$ABN$500,O$2,0),$A$333,INDEX(Техника!$H$1:$ABO$500,O$2,0),"З")</f>
        <v>0</v>
      </c>
      <c r="P338" s="50">
        <f>SUMIFS(INDEX(Техника!$F$1:$ABM$500,P$2,0),Техника!$F$4:$ABM$4,"Часы",INDEX(Техника!$G$1:$ABN$500,P$2,0),$A$333,INDEX(Техника!$H$1:$ABO$500,P$2,0),"З")</f>
        <v>0</v>
      </c>
      <c r="Q338" s="50">
        <f>SUMIFS(INDEX(Техника!$F$1:$ABM$500,Q$2,0),Техника!$F$4:$ABM$4,"Часы",INDEX(Техника!$G$1:$ABN$500,Q$2,0),$A$333,INDEX(Техника!$H$1:$ABO$500,Q$2,0),"З")</f>
        <v>0</v>
      </c>
      <c r="R338" s="50">
        <f>SUMIFS(INDEX(Техника!$F$1:$ABM$500,R$2,0),Техника!$F$4:$ABM$4,"Часы",INDEX(Техника!$G$1:$ABN$500,R$2,0),$A$333,INDEX(Техника!$H$1:$ABO$500,R$2,0),"З")</f>
        <v>0</v>
      </c>
      <c r="S338" s="50">
        <f>SUMIFS(INDEX(Техника!$F$1:$ABM$500,S$2,0),Техника!$F$4:$ABM$4,"Часы",INDEX(Техника!$G$1:$ABN$500,S$2,0),$A$333,INDEX(Техника!$H$1:$ABO$500,S$2,0),"З")</f>
        <v>0</v>
      </c>
      <c r="T338" s="50">
        <f>SUMIFS(INDEX(Техника!$F$1:$ABM$500,T$2,0),Техника!$F$4:$ABM$4,"Часы",INDEX(Техника!$G$1:$ABN$500,T$2,0),$A$333,INDEX(Техника!$H$1:$ABO$500,T$2,0),"З")</f>
        <v>0</v>
      </c>
      <c r="U338" s="50">
        <f>SUMIFS(INDEX(Техника!$F$1:$ABM$500,U$2,0),Техника!$F$4:$ABM$4,"Часы",INDEX(Техника!$G$1:$ABN$500,U$2,0),$A$333,INDEX(Техника!$H$1:$ABO$500,U$2,0),"З")</f>
        <v>0</v>
      </c>
      <c r="V338" s="50">
        <f>SUMIFS(INDEX(Техника!$F$1:$ABM$500,V$2,0),Техника!$F$4:$ABM$4,"Часы",INDEX(Техника!$G$1:$ABN$500,V$2,0),$A$333,INDEX(Техника!$H$1:$ABO$500,V$2,0),"З")</f>
        <v>0</v>
      </c>
      <c r="W338" s="50">
        <f>SUMIFS(INDEX(Техника!$F$1:$ABM$500,W$2,0),Техника!$F$4:$ABM$4,"Часы",INDEX(Техника!$G$1:$ABN$500,W$2,0),$A$333,INDEX(Техника!$H$1:$ABO$500,W$2,0),"З")</f>
        <v>0</v>
      </c>
      <c r="X338" s="50">
        <f>SUMIFS(INDEX(Техника!$F$1:$ABM$500,X$2,0),Техника!$F$4:$ABM$4,"Часы",INDEX(Техника!$G$1:$ABN$500,X$2,0),$A$333,INDEX(Техника!$H$1:$ABO$500,X$2,0),"З")</f>
        <v>0</v>
      </c>
      <c r="Y338" s="50">
        <f>SUMIFS(INDEX(Техника!$F$1:$ABM$500,Y$2,0),Техника!$F$4:$ABM$4,"Часы",INDEX(Техника!$G$1:$ABN$500,Y$2,0),$A$333,INDEX(Техника!$H$1:$ABO$500,Y$2,0),"З")</f>
        <v>0</v>
      </c>
      <c r="Z338" s="50">
        <f>SUMIFS(INDEX(Техника!$F$1:$ABM$500,Z$2,0),Техника!$F$4:$ABM$4,"Часы",INDEX(Техника!$G$1:$ABN$500,Z$2,0),$A$333,INDEX(Техника!$H$1:$ABO$500,Z$2,0),"З")</f>
        <v>0</v>
      </c>
      <c r="AA338" s="50">
        <f>SUMIFS(INDEX(Техника!$F$1:$ABM$500,AA$2,0),Техника!$F$4:$ABM$4,"Часы",INDEX(Техника!$G$1:$ABN$500,AA$2,0),$A$333,INDEX(Техника!$H$1:$ABO$500,AA$2,0),"З")</f>
        <v>0</v>
      </c>
      <c r="AB338" s="50">
        <f>SUMIFS(INDEX(Техника!$F$1:$ABM$500,AB$2,0),Техника!$F$4:$ABM$4,"Часы",INDEX(Техника!$G$1:$ABN$500,AB$2,0),$A$333,INDEX(Техника!$H$1:$ABO$500,AB$2,0),"З")</f>
        <v>0</v>
      </c>
    </row>
    <row r="339" spans="1:28" ht="7.95" customHeight="1" x14ac:dyDescent="0.3">
      <c r="A339" s="38"/>
      <c r="B339" s="39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</row>
    <row r="340" spans="1:28" ht="25.05" customHeight="1" collapsed="1" x14ac:dyDescent="0.3">
      <c r="A340" s="32">
        <v>49</v>
      </c>
      <c r="B340" s="32" t="s">
        <v>50</v>
      </c>
      <c r="C340" s="49">
        <f>SUM(C341:C345)</f>
        <v>0</v>
      </c>
      <c r="D340" s="49">
        <f>SUM(D341:D345)</f>
        <v>0</v>
      </c>
      <c r="E340" s="49">
        <f>SUM(E341:E345)</f>
        <v>0</v>
      </c>
      <c r="F340" s="49">
        <f>SUM(F341:F345)</f>
        <v>0</v>
      </c>
      <c r="G340" s="49">
        <f>SUM(G341:G345)</f>
        <v>0</v>
      </c>
      <c r="H340" s="49">
        <f>SUM(H341:H345)</f>
        <v>0</v>
      </c>
      <c r="I340" s="49">
        <f>SUM(I341:I345)</f>
        <v>0</v>
      </c>
      <c r="J340" s="49">
        <f>SUM(J341:J345)</f>
        <v>0</v>
      </c>
      <c r="K340" s="49">
        <f>SUM(K341:K345)</f>
        <v>0</v>
      </c>
      <c r="L340" s="49">
        <f>SUM(L341:L345)</f>
        <v>0</v>
      </c>
      <c r="M340" s="49">
        <f>SUM(M341:M345)</f>
        <v>0</v>
      </c>
      <c r="N340" s="49">
        <f>SUM(N341:N345)</f>
        <v>0</v>
      </c>
      <c r="O340" s="49">
        <f>SUM(O341:O345)</f>
        <v>0</v>
      </c>
      <c r="P340" s="49">
        <f>SUM(P341:P345)</f>
        <v>0</v>
      </c>
      <c r="Q340" s="49">
        <f>SUM(Q341:Q345)</f>
        <v>0</v>
      </c>
      <c r="R340" s="49">
        <f>SUM(R341:R345)</f>
        <v>0</v>
      </c>
      <c r="S340" s="49">
        <f>SUM(S341:S345)</f>
        <v>0</v>
      </c>
      <c r="T340" s="49">
        <f>SUM(T341:T345)</f>
        <v>0</v>
      </c>
      <c r="U340" s="49">
        <f>SUM(U341:U345)</f>
        <v>0</v>
      </c>
      <c r="V340" s="49">
        <f>SUM(V341:V345)</f>
        <v>0</v>
      </c>
      <c r="W340" s="49">
        <f>SUM(W341:W345)</f>
        <v>0</v>
      </c>
      <c r="X340" s="49">
        <f>SUM(X341:X345)</f>
        <v>0</v>
      </c>
      <c r="Y340" s="49">
        <f>SUM(Y341:Y345)</f>
        <v>0</v>
      </c>
      <c r="Z340" s="49">
        <f>SUM(Z341:Z345)</f>
        <v>0</v>
      </c>
      <c r="AA340" s="49">
        <f>SUM(AA341:AA345)</f>
        <v>0</v>
      </c>
      <c r="AB340" s="49">
        <f>SUM(AB341:AB345)</f>
        <v>0</v>
      </c>
    </row>
    <row r="341" spans="1:28" hidden="1" outlineLevel="1" x14ac:dyDescent="0.3">
      <c r="A341" s="33" t="s">
        <v>246</v>
      </c>
      <c r="B341" s="34" t="s">
        <v>274</v>
      </c>
      <c r="C341" s="50">
        <f>SUMIFS(INDEX(Техника!$F$1:$ABM$500,C$2,0),Техника!$F$4:$ABM$4,"Часы",INDEX(Техника!$G$1:$ABN$500,C$2,0),$A$340,INDEX(Техника!$H$1:$ABO$500,C$2,0),"М")</f>
        <v>0</v>
      </c>
      <c r="D341" s="50">
        <f>SUMIFS(INDEX(Техника!$F$1:$ABM$500,D$2,0),Техника!$F$4:$ABM$4,"Часы",INDEX(Техника!$G$1:$ABN$500,D$2,0),$A$340,INDEX(Техника!$H$1:$ABO$500,D$2,0),"М")</f>
        <v>0</v>
      </c>
      <c r="E341" s="50">
        <f>SUMIFS(INDEX(Техника!$F$1:$ABM$500,E$2,0),Техника!$F$4:$ABM$4,"Часы",INDEX(Техника!$G$1:$ABN$500,E$2,0),$A$340,INDEX(Техника!$H$1:$ABO$500,E$2,0),"М")</f>
        <v>0</v>
      </c>
      <c r="F341" s="50">
        <f>SUMIFS(INDEX(Техника!$F$1:$ABM$500,F$2,0),Техника!$F$4:$ABM$4,"Часы",INDEX(Техника!$G$1:$ABN$500,F$2,0),$A$340,INDEX(Техника!$H$1:$ABO$500,F$2,0),"М")</f>
        <v>0</v>
      </c>
      <c r="G341" s="50">
        <f>SUMIFS(INDEX(Техника!$F$1:$ABM$500,G$2,0),Техника!$F$4:$ABM$4,"Часы",INDEX(Техника!$G$1:$ABN$500,G$2,0),$A$340,INDEX(Техника!$H$1:$ABO$500,G$2,0),"М")</f>
        <v>0</v>
      </c>
      <c r="H341" s="50">
        <f>SUMIFS(INDEX(Техника!$F$1:$ABM$500,H$2,0),Техника!$F$4:$ABM$4,"Часы",INDEX(Техника!$G$1:$ABN$500,H$2,0),$A$340,INDEX(Техника!$H$1:$ABO$500,H$2,0),"М")</f>
        <v>0</v>
      </c>
      <c r="I341" s="50">
        <f>SUMIFS(INDEX(Техника!$F$1:$ABM$500,I$2,0),Техника!$F$4:$ABM$4,"Часы",INDEX(Техника!$G$1:$ABN$500,I$2,0),$A$340,INDEX(Техника!$H$1:$ABO$500,I$2,0),"М")</f>
        <v>0</v>
      </c>
      <c r="J341" s="50">
        <f>SUMIFS(INDEX(Техника!$F$1:$ABM$500,J$2,0),Техника!$F$4:$ABM$4,"Часы",INDEX(Техника!$G$1:$ABN$500,J$2,0),$A$340,INDEX(Техника!$H$1:$ABO$500,J$2,0),"М")</f>
        <v>0</v>
      </c>
      <c r="K341" s="50">
        <f>SUMIFS(INDEX(Техника!$F$1:$ABM$500,K$2,0),Техника!$F$4:$ABM$4,"Часы",INDEX(Техника!$G$1:$ABN$500,K$2,0),$A$340,INDEX(Техника!$H$1:$ABO$500,K$2,0),"М")</f>
        <v>0</v>
      </c>
      <c r="L341" s="50">
        <f>SUMIFS(INDEX(Техника!$F$1:$ABM$500,L$2,0),Техника!$F$4:$ABM$4,"Часы",INDEX(Техника!$G$1:$ABN$500,L$2,0),$A$340,INDEX(Техника!$H$1:$ABO$500,L$2,0),"М")</f>
        <v>0</v>
      </c>
      <c r="M341" s="50">
        <f>SUMIFS(INDEX(Техника!$F$1:$ABM$500,M$2,0),Техника!$F$4:$ABM$4,"Часы",INDEX(Техника!$G$1:$ABN$500,M$2,0),$A$340,INDEX(Техника!$H$1:$ABO$500,M$2,0),"М")</f>
        <v>0</v>
      </c>
      <c r="N341" s="50">
        <f>SUMIFS(INDEX(Техника!$F$1:$ABM$500,N$2,0),Техника!$F$4:$ABM$4,"Часы",INDEX(Техника!$G$1:$ABN$500,N$2,0),$A$340,INDEX(Техника!$H$1:$ABO$500,N$2,0),"М")</f>
        <v>0</v>
      </c>
      <c r="O341" s="50">
        <f>SUMIFS(INDEX(Техника!$F$1:$ABM$500,O$2,0),Техника!$F$4:$ABM$4,"Часы",INDEX(Техника!$G$1:$ABN$500,O$2,0),$A$340,INDEX(Техника!$H$1:$ABO$500,O$2,0),"М")</f>
        <v>0</v>
      </c>
      <c r="P341" s="50">
        <f>SUMIFS(INDEX(Техника!$F$1:$ABM$500,P$2,0),Техника!$F$4:$ABM$4,"Часы",INDEX(Техника!$G$1:$ABN$500,P$2,0),$A$340,INDEX(Техника!$H$1:$ABO$500,P$2,0),"М")</f>
        <v>0</v>
      </c>
      <c r="Q341" s="50">
        <f>SUMIFS(INDEX(Техника!$F$1:$ABM$500,Q$2,0),Техника!$F$4:$ABM$4,"Часы",INDEX(Техника!$G$1:$ABN$500,Q$2,0),$A$340,INDEX(Техника!$H$1:$ABO$500,Q$2,0),"М")</f>
        <v>0</v>
      </c>
      <c r="R341" s="50">
        <f>SUMIFS(INDEX(Техника!$F$1:$ABM$500,R$2,0),Техника!$F$4:$ABM$4,"Часы",INDEX(Техника!$G$1:$ABN$500,R$2,0),$A$340,INDEX(Техника!$H$1:$ABO$500,R$2,0),"М")</f>
        <v>0</v>
      </c>
      <c r="S341" s="50">
        <f>SUMIFS(INDEX(Техника!$F$1:$ABM$500,S$2,0),Техника!$F$4:$ABM$4,"Часы",INDEX(Техника!$G$1:$ABN$500,S$2,0),$A$340,INDEX(Техника!$H$1:$ABO$500,S$2,0),"М")</f>
        <v>0</v>
      </c>
      <c r="T341" s="50">
        <f>SUMIFS(INDEX(Техника!$F$1:$ABM$500,T$2,0),Техника!$F$4:$ABM$4,"Часы",INDEX(Техника!$G$1:$ABN$500,T$2,0),$A$340,INDEX(Техника!$H$1:$ABO$500,T$2,0),"М")</f>
        <v>0</v>
      </c>
      <c r="U341" s="50">
        <f>SUMIFS(INDEX(Техника!$F$1:$ABM$500,U$2,0),Техника!$F$4:$ABM$4,"Часы",INDEX(Техника!$G$1:$ABN$500,U$2,0),$A$340,INDEX(Техника!$H$1:$ABO$500,U$2,0),"М")</f>
        <v>0</v>
      </c>
      <c r="V341" s="50">
        <f>SUMIFS(INDEX(Техника!$F$1:$ABM$500,V$2,0),Техника!$F$4:$ABM$4,"Часы",INDEX(Техника!$G$1:$ABN$500,V$2,0),$A$340,INDEX(Техника!$H$1:$ABO$500,V$2,0),"М")</f>
        <v>0</v>
      </c>
      <c r="W341" s="50">
        <f>SUMIFS(INDEX(Техника!$F$1:$ABM$500,W$2,0),Техника!$F$4:$ABM$4,"Часы",INDEX(Техника!$G$1:$ABN$500,W$2,0),$A$340,INDEX(Техника!$H$1:$ABO$500,W$2,0),"М")</f>
        <v>0</v>
      </c>
      <c r="X341" s="50">
        <f>SUMIFS(INDEX(Техника!$F$1:$ABM$500,X$2,0),Техника!$F$4:$ABM$4,"Часы",INDEX(Техника!$G$1:$ABN$500,X$2,0),$A$340,INDEX(Техника!$H$1:$ABO$500,X$2,0),"М")</f>
        <v>0</v>
      </c>
      <c r="Y341" s="50">
        <f>SUMIFS(INDEX(Техника!$F$1:$ABM$500,Y$2,0),Техника!$F$4:$ABM$4,"Часы",INDEX(Техника!$G$1:$ABN$500,Y$2,0),$A$340,INDEX(Техника!$H$1:$ABO$500,Y$2,0),"М")</f>
        <v>0</v>
      </c>
      <c r="Z341" s="50">
        <f>SUMIFS(INDEX(Техника!$F$1:$ABM$500,Z$2,0),Техника!$F$4:$ABM$4,"Часы",INDEX(Техника!$G$1:$ABN$500,Z$2,0),$A$340,INDEX(Техника!$H$1:$ABO$500,Z$2,0),"М")</f>
        <v>0</v>
      </c>
      <c r="AA341" s="50">
        <f>SUMIFS(INDEX(Техника!$F$1:$ABM$500,AA$2,0),Техника!$F$4:$ABM$4,"Часы",INDEX(Техника!$G$1:$ABN$500,AA$2,0),$A$340,INDEX(Техника!$H$1:$ABO$500,AA$2,0),"М")</f>
        <v>0</v>
      </c>
      <c r="AB341" s="50">
        <f>SUMIFS(INDEX(Техника!$F$1:$ABM$500,AB$2,0),Техника!$F$4:$ABM$4,"Часы",INDEX(Техника!$G$1:$ABN$500,AB$2,0),$A$340,INDEX(Техника!$H$1:$ABO$500,AB$2,0),"М")</f>
        <v>0</v>
      </c>
    </row>
    <row r="342" spans="1:28" hidden="1" outlineLevel="1" x14ac:dyDescent="0.3">
      <c r="A342" s="33" t="s">
        <v>244</v>
      </c>
      <c r="B342" s="34" t="s">
        <v>275</v>
      </c>
      <c r="C342" s="50">
        <f>SUMIFS(INDEX(Техника!$F$1:$ABM$500,C$2,0),Техника!$F$4:$ABM$4,"Часы",INDEX(Техника!$G$1:$ABN$500,C$2,0),$A$340,INDEX(Техника!$H$1:$ABO$500,C$2,0),"Д")</f>
        <v>0</v>
      </c>
      <c r="D342" s="50">
        <f>SUMIFS(INDEX(Техника!$F$1:$ABM$500,D$2,0),Техника!$F$4:$ABM$4,"Часы",INDEX(Техника!$G$1:$ABN$500,D$2,0),$A$340,INDEX(Техника!$H$1:$ABO$500,D$2,0),"Д")</f>
        <v>0</v>
      </c>
      <c r="E342" s="50">
        <f>SUMIFS(INDEX(Техника!$F$1:$ABM$500,E$2,0),Техника!$F$4:$ABM$4,"Часы",INDEX(Техника!$G$1:$ABN$500,E$2,0),$A$340,INDEX(Техника!$H$1:$ABO$500,E$2,0),"Д")</f>
        <v>0</v>
      </c>
      <c r="F342" s="50">
        <f>SUMIFS(INDEX(Техника!$F$1:$ABM$500,F$2,0),Техника!$F$4:$ABM$4,"Часы",INDEX(Техника!$G$1:$ABN$500,F$2,0),$A$340,INDEX(Техника!$H$1:$ABO$500,F$2,0),"Д")</f>
        <v>0</v>
      </c>
      <c r="G342" s="50">
        <f>SUMIFS(INDEX(Техника!$F$1:$ABM$500,G$2,0),Техника!$F$4:$ABM$4,"Часы",INDEX(Техника!$G$1:$ABN$500,G$2,0),$A$340,INDEX(Техника!$H$1:$ABO$500,G$2,0),"Д")</f>
        <v>0</v>
      </c>
      <c r="H342" s="50">
        <f>SUMIFS(INDEX(Техника!$F$1:$ABM$500,H$2,0),Техника!$F$4:$ABM$4,"Часы",INDEX(Техника!$G$1:$ABN$500,H$2,0),$A$340,INDEX(Техника!$H$1:$ABO$500,H$2,0),"Д")</f>
        <v>0</v>
      </c>
      <c r="I342" s="50">
        <f>SUMIFS(INDEX(Техника!$F$1:$ABM$500,I$2,0),Техника!$F$4:$ABM$4,"Часы",INDEX(Техника!$G$1:$ABN$500,I$2,0),$A$340,INDEX(Техника!$H$1:$ABO$500,I$2,0),"Д")</f>
        <v>0</v>
      </c>
      <c r="J342" s="50">
        <f>SUMIFS(INDEX(Техника!$F$1:$ABM$500,J$2,0),Техника!$F$4:$ABM$4,"Часы",INDEX(Техника!$G$1:$ABN$500,J$2,0),$A$340,INDEX(Техника!$H$1:$ABO$500,J$2,0),"Д")</f>
        <v>0</v>
      </c>
      <c r="K342" s="50">
        <f>SUMIFS(INDEX(Техника!$F$1:$ABM$500,K$2,0),Техника!$F$4:$ABM$4,"Часы",INDEX(Техника!$G$1:$ABN$500,K$2,0),$A$340,INDEX(Техника!$H$1:$ABO$500,K$2,0),"Д")</f>
        <v>0</v>
      </c>
      <c r="L342" s="50">
        <f>SUMIFS(INDEX(Техника!$F$1:$ABM$500,L$2,0),Техника!$F$4:$ABM$4,"Часы",INDEX(Техника!$G$1:$ABN$500,L$2,0),$A$340,INDEX(Техника!$H$1:$ABO$500,L$2,0),"Д")</f>
        <v>0</v>
      </c>
      <c r="M342" s="50">
        <f>SUMIFS(INDEX(Техника!$F$1:$ABM$500,M$2,0),Техника!$F$4:$ABM$4,"Часы",INDEX(Техника!$G$1:$ABN$500,M$2,0),$A$340,INDEX(Техника!$H$1:$ABO$500,M$2,0),"Д")</f>
        <v>0</v>
      </c>
      <c r="N342" s="50">
        <f>SUMIFS(INDEX(Техника!$F$1:$ABM$500,N$2,0),Техника!$F$4:$ABM$4,"Часы",INDEX(Техника!$G$1:$ABN$500,N$2,0),$A$340,INDEX(Техника!$H$1:$ABO$500,N$2,0),"Д")</f>
        <v>0</v>
      </c>
      <c r="O342" s="50">
        <f>SUMIFS(INDEX(Техника!$F$1:$ABM$500,O$2,0),Техника!$F$4:$ABM$4,"Часы",INDEX(Техника!$G$1:$ABN$500,O$2,0),$A$340,INDEX(Техника!$H$1:$ABO$500,O$2,0),"Д")</f>
        <v>0</v>
      </c>
      <c r="P342" s="50">
        <f>SUMIFS(INDEX(Техника!$F$1:$ABM$500,P$2,0),Техника!$F$4:$ABM$4,"Часы",INDEX(Техника!$G$1:$ABN$500,P$2,0),$A$340,INDEX(Техника!$H$1:$ABO$500,P$2,0),"Д")</f>
        <v>0</v>
      </c>
      <c r="Q342" s="50">
        <f>SUMIFS(INDEX(Техника!$F$1:$ABM$500,Q$2,0),Техника!$F$4:$ABM$4,"Часы",INDEX(Техника!$G$1:$ABN$500,Q$2,0),$A$340,INDEX(Техника!$H$1:$ABO$500,Q$2,0),"Д")</f>
        <v>0</v>
      </c>
      <c r="R342" s="50">
        <f>SUMIFS(INDEX(Техника!$F$1:$ABM$500,R$2,0),Техника!$F$4:$ABM$4,"Часы",INDEX(Техника!$G$1:$ABN$500,R$2,0),$A$340,INDEX(Техника!$H$1:$ABO$500,R$2,0),"Д")</f>
        <v>0</v>
      </c>
      <c r="S342" s="50">
        <f>SUMIFS(INDEX(Техника!$F$1:$ABM$500,S$2,0),Техника!$F$4:$ABM$4,"Часы",INDEX(Техника!$G$1:$ABN$500,S$2,0),$A$340,INDEX(Техника!$H$1:$ABO$500,S$2,0),"Д")</f>
        <v>0</v>
      </c>
      <c r="T342" s="50">
        <f>SUMIFS(INDEX(Техника!$F$1:$ABM$500,T$2,0),Техника!$F$4:$ABM$4,"Часы",INDEX(Техника!$G$1:$ABN$500,T$2,0),$A$340,INDEX(Техника!$H$1:$ABO$500,T$2,0),"Д")</f>
        <v>0</v>
      </c>
      <c r="U342" s="50">
        <f>SUMIFS(INDEX(Техника!$F$1:$ABM$500,U$2,0),Техника!$F$4:$ABM$4,"Часы",INDEX(Техника!$G$1:$ABN$500,U$2,0),$A$340,INDEX(Техника!$H$1:$ABO$500,U$2,0),"Д")</f>
        <v>0</v>
      </c>
      <c r="V342" s="50">
        <f>SUMIFS(INDEX(Техника!$F$1:$ABM$500,V$2,0),Техника!$F$4:$ABM$4,"Часы",INDEX(Техника!$G$1:$ABN$500,V$2,0),$A$340,INDEX(Техника!$H$1:$ABO$500,V$2,0),"Д")</f>
        <v>0</v>
      </c>
      <c r="W342" s="50">
        <f>SUMIFS(INDEX(Техника!$F$1:$ABM$500,W$2,0),Техника!$F$4:$ABM$4,"Часы",INDEX(Техника!$G$1:$ABN$500,W$2,0),$A$340,INDEX(Техника!$H$1:$ABO$500,W$2,0),"Д")</f>
        <v>0</v>
      </c>
      <c r="X342" s="50">
        <f>SUMIFS(INDEX(Техника!$F$1:$ABM$500,X$2,0),Техника!$F$4:$ABM$4,"Часы",INDEX(Техника!$G$1:$ABN$500,X$2,0),$A$340,INDEX(Техника!$H$1:$ABO$500,X$2,0),"Д")</f>
        <v>0</v>
      </c>
      <c r="Y342" s="50">
        <f>SUMIFS(INDEX(Техника!$F$1:$ABM$500,Y$2,0),Техника!$F$4:$ABM$4,"Часы",INDEX(Техника!$G$1:$ABN$500,Y$2,0),$A$340,INDEX(Техника!$H$1:$ABO$500,Y$2,0),"Д")</f>
        <v>0</v>
      </c>
      <c r="Z342" s="50">
        <f>SUMIFS(INDEX(Техника!$F$1:$ABM$500,Z$2,0),Техника!$F$4:$ABM$4,"Часы",INDEX(Техника!$G$1:$ABN$500,Z$2,0),$A$340,INDEX(Техника!$H$1:$ABO$500,Z$2,0),"Д")</f>
        <v>0</v>
      </c>
      <c r="AA342" s="50">
        <f>SUMIFS(INDEX(Техника!$F$1:$ABM$500,AA$2,0),Техника!$F$4:$ABM$4,"Часы",INDEX(Техника!$G$1:$ABN$500,AA$2,0),$A$340,INDEX(Техника!$H$1:$ABO$500,AA$2,0),"Д")</f>
        <v>0</v>
      </c>
      <c r="AB342" s="50">
        <f>SUMIFS(INDEX(Техника!$F$1:$ABM$500,AB$2,0),Техника!$F$4:$ABM$4,"Часы",INDEX(Техника!$G$1:$ABN$500,AB$2,0),$A$340,INDEX(Техника!$H$1:$ABO$500,AB$2,0),"Д")</f>
        <v>0</v>
      </c>
    </row>
    <row r="343" spans="1:28" hidden="1" outlineLevel="1" x14ac:dyDescent="0.3">
      <c r="A343" s="33" t="s">
        <v>276</v>
      </c>
      <c r="B343" s="34" t="s">
        <v>277</v>
      </c>
      <c r="C343" s="50">
        <f>SUMIFS(INDEX(Техника!$F$1:$ABM$500,C$2,0),Техника!$F$4:$ABM$4,"Часы",INDEX(Техника!$G$1:$ABN$500,C$2,0),$A$340,INDEX(Техника!$H$1:$ABO$500,C$2,0),"П")</f>
        <v>0</v>
      </c>
      <c r="D343" s="50">
        <f>SUMIFS(INDEX(Техника!$F$1:$ABM$500,D$2,0),Техника!$F$4:$ABM$4,"Часы",INDEX(Техника!$G$1:$ABN$500,D$2,0),$A$340,INDEX(Техника!$H$1:$ABO$500,D$2,0),"П")</f>
        <v>0</v>
      </c>
      <c r="E343" s="50">
        <f>SUMIFS(INDEX(Техника!$F$1:$ABM$500,E$2,0),Техника!$F$4:$ABM$4,"Часы",INDEX(Техника!$G$1:$ABN$500,E$2,0),$A$340,INDEX(Техника!$H$1:$ABO$500,E$2,0),"П")</f>
        <v>0</v>
      </c>
      <c r="F343" s="50">
        <f>SUMIFS(INDEX(Техника!$F$1:$ABM$500,F$2,0),Техника!$F$4:$ABM$4,"Часы",INDEX(Техника!$G$1:$ABN$500,F$2,0),$A$340,INDEX(Техника!$H$1:$ABO$500,F$2,0),"П")</f>
        <v>0</v>
      </c>
      <c r="G343" s="50">
        <f>SUMIFS(INDEX(Техника!$F$1:$ABM$500,G$2,0),Техника!$F$4:$ABM$4,"Часы",INDEX(Техника!$G$1:$ABN$500,G$2,0),$A$340,INDEX(Техника!$H$1:$ABO$500,G$2,0),"П")</f>
        <v>0</v>
      </c>
      <c r="H343" s="50">
        <f>SUMIFS(INDEX(Техника!$F$1:$ABM$500,H$2,0),Техника!$F$4:$ABM$4,"Часы",INDEX(Техника!$G$1:$ABN$500,H$2,0),$A$340,INDEX(Техника!$H$1:$ABO$500,H$2,0),"П")</f>
        <v>0</v>
      </c>
      <c r="I343" s="50">
        <f>SUMIFS(INDEX(Техника!$F$1:$ABM$500,I$2,0),Техника!$F$4:$ABM$4,"Часы",INDEX(Техника!$G$1:$ABN$500,I$2,0),$A$340,INDEX(Техника!$H$1:$ABO$500,I$2,0),"П")</f>
        <v>0</v>
      </c>
      <c r="J343" s="50">
        <f>SUMIFS(INDEX(Техника!$F$1:$ABM$500,J$2,0),Техника!$F$4:$ABM$4,"Часы",INDEX(Техника!$G$1:$ABN$500,J$2,0),$A$340,INDEX(Техника!$H$1:$ABO$500,J$2,0),"П")</f>
        <v>0</v>
      </c>
      <c r="K343" s="50">
        <f>SUMIFS(INDEX(Техника!$F$1:$ABM$500,K$2,0),Техника!$F$4:$ABM$4,"Часы",INDEX(Техника!$G$1:$ABN$500,K$2,0),$A$340,INDEX(Техника!$H$1:$ABO$500,K$2,0),"П")</f>
        <v>0</v>
      </c>
      <c r="L343" s="50">
        <f>SUMIFS(INDEX(Техника!$F$1:$ABM$500,L$2,0),Техника!$F$4:$ABM$4,"Часы",INDEX(Техника!$G$1:$ABN$500,L$2,0),$A$340,INDEX(Техника!$H$1:$ABO$500,L$2,0),"П")</f>
        <v>0</v>
      </c>
      <c r="M343" s="50">
        <f>SUMIFS(INDEX(Техника!$F$1:$ABM$500,M$2,0),Техника!$F$4:$ABM$4,"Часы",INDEX(Техника!$G$1:$ABN$500,M$2,0),$A$340,INDEX(Техника!$H$1:$ABO$500,M$2,0),"П")</f>
        <v>0</v>
      </c>
      <c r="N343" s="50">
        <f>SUMIFS(INDEX(Техника!$F$1:$ABM$500,N$2,0),Техника!$F$4:$ABM$4,"Часы",INDEX(Техника!$G$1:$ABN$500,N$2,0),$A$340,INDEX(Техника!$H$1:$ABO$500,N$2,0),"П")</f>
        <v>0</v>
      </c>
      <c r="O343" s="50">
        <f>SUMIFS(INDEX(Техника!$F$1:$ABM$500,O$2,0),Техника!$F$4:$ABM$4,"Часы",INDEX(Техника!$G$1:$ABN$500,O$2,0),$A$340,INDEX(Техника!$H$1:$ABO$500,O$2,0),"П")</f>
        <v>0</v>
      </c>
      <c r="P343" s="50">
        <f>SUMIFS(INDEX(Техника!$F$1:$ABM$500,P$2,0),Техника!$F$4:$ABM$4,"Часы",INDEX(Техника!$G$1:$ABN$500,P$2,0),$A$340,INDEX(Техника!$H$1:$ABO$500,P$2,0),"П")</f>
        <v>0</v>
      </c>
      <c r="Q343" s="50">
        <f>SUMIFS(INDEX(Техника!$F$1:$ABM$500,Q$2,0),Техника!$F$4:$ABM$4,"Часы",INDEX(Техника!$G$1:$ABN$500,Q$2,0),$A$340,INDEX(Техника!$H$1:$ABO$500,Q$2,0),"П")</f>
        <v>0</v>
      </c>
      <c r="R343" s="50">
        <f>SUMIFS(INDEX(Техника!$F$1:$ABM$500,R$2,0),Техника!$F$4:$ABM$4,"Часы",INDEX(Техника!$G$1:$ABN$500,R$2,0),$A$340,INDEX(Техника!$H$1:$ABO$500,R$2,0),"П")</f>
        <v>0</v>
      </c>
      <c r="S343" s="50">
        <f>SUMIFS(INDEX(Техника!$F$1:$ABM$500,S$2,0),Техника!$F$4:$ABM$4,"Часы",INDEX(Техника!$G$1:$ABN$500,S$2,0),$A$340,INDEX(Техника!$H$1:$ABO$500,S$2,0),"П")</f>
        <v>0</v>
      </c>
      <c r="T343" s="50">
        <f>SUMIFS(INDEX(Техника!$F$1:$ABM$500,T$2,0),Техника!$F$4:$ABM$4,"Часы",INDEX(Техника!$G$1:$ABN$500,T$2,0),$A$340,INDEX(Техника!$H$1:$ABO$500,T$2,0),"П")</f>
        <v>0</v>
      </c>
      <c r="U343" s="50">
        <f>SUMIFS(INDEX(Техника!$F$1:$ABM$500,U$2,0),Техника!$F$4:$ABM$4,"Часы",INDEX(Техника!$G$1:$ABN$500,U$2,0),$A$340,INDEX(Техника!$H$1:$ABO$500,U$2,0),"П")</f>
        <v>0</v>
      </c>
      <c r="V343" s="50">
        <f>SUMIFS(INDEX(Техника!$F$1:$ABM$500,V$2,0),Техника!$F$4:$ABM$4,"Часы",INDEX(Техника!$G$1:$ABN$500,V$2,0),$A$340,INDEX(Техника!$H$1:$ABO$500,V$2,0),"П")</f>
        <v>0</v>
      </c>
      <c r="W343" s="50">
        <f>SUMIFS(INDEX(Техника!$F$1:$ABM$500,W$2,0),Техника!$F$4:$ABM$4,"Часы",INDEX(Техника!$G$1:$ABN$500,W$2,0),$A$340,INDEX(Техника!$H$1:$ABO$500,W$2,0),"П")</f>
        <v>0</v>
      </c>
      <c r="X343" s="50">
        <f>SUMIFS(INDEX(Техника!$F$1:$ABM$500,X$2,0),Техника!$F$4:$ABM$4,"Часы",INDEX(Техника!$G$1:$ABN$500,X$2,0),$A$340,INDEX(Техника!$H$1:$ABO$500,X$2,0),"П")</f>
        <v>0</v>
      </c>
      <c r="Y343" s="50">
        <f>SUMIFS(INDEX(Техника!$F$1:$ABM$500,Y$2,0),Техника!$F$4:$ABM$4,"Часы",INDEX(Техника!$G$1:$ABN$500,Y$2,0),$A$340,INDEX(Техника!$H$1:$ABO$500,Y$2,0),"П")</f>
        <v>0</v>
      </c>
      <c r="Z343" s="50">
        <f>SUMIFS(INDEX(Техника!$F$1:$ABM$500,Z$2,0),Техника!$F$4:$ABM$4,"Часы",INDEX(Техника!$G$1:$ABN$500,Z$2,0),$A$340,INDEX(Техника!$H$1:$ABO$500,Z$2,0),"П")</f>
        <v>0</v>
      </c>
      <c r="AA343" s="50">
        <f>SUMIFS(INDEX(Техника!$F$1:$ABM$500,AA$2,0),Техника!$F$4:$ABM$4,"Часы",INDEX(Техника!$G$1:$ABN$500,AA$2,0),$A$340,INDEX(Техника!$H$1:$ABO$500,AA$2,0),"П")</f>
        <v>0</v>
      </c>
      <c r="AB343" s="50">
        <f>SUMIFS(INDEX(Техника!$F$1:$ABM$500,AB$2,0),Техника!$F$4:$ABM$4,"Часы",INDEX(Техника!$G$1:$ABN$500,AB$2,0),$A$340,INDEX(Техника!$H$1:$ABO$500,AB$2,0),"П")</f>
        <v>0</v>
      </c>
    </row>
    <row r="344" spans="1:28" hidden="1" outlineLevel="1" x14ac:dyDescent="0.3">
      <c r="A344" s="33" t="s">
        <v>243</v>
      </c>
      <c r="B344" s="34" t="s">
        <v>278</v>
      </c>
      <c r="C344" s="50">
        <f>SUMIFS(INDEX(Техника!$F$1:$ABM$500,C$2,0),Техника!$F$4:$ABM$4,"Часы",INDEX(Техника!$G$1:$ABN$500,C$2,0),$A$340,INDEX(Техника!$H$1:$ABO$500,C$2,0),"Л")</f>
        <v>0</v>
      </c>
      <c r="D344" s="50">
        <f>SUMIFS(INDEX(Техника!$F$1:$ABM$500,D$2,0),Техника!$F$4:$ABM$4,"Часы",INDEX(Техника!$G$1:$ABN$500,D$2,0),$A$340,INDEX(Техника!$H$1:$ABO$500,D$2,0),"Л")</f>
        <v>0</v>
      </c>
      <c r="E344" s="50">
        <f>SUMIFS(INDEX(Техника!$F$1:$ABM$500,E$2,0),Техника!$F$4:$ABM$4,"Часы",INDEX(Техника!$G$1:$ABN$500,E$2,0),$A$340,INDEX(Техника!$H$1:$ABO$500,E$2,0),"Л")</f>
        <v>0</v>
      </c>
      <c r="F344" s="50">
        <f>SUMIFS(INDEX(Техника!$F$1:$ABM$500,F$2,0),Техника!$F$4:$ABM$4,"Часы",INDEX(Техника!$G$1:$ABN$500,F$2,0),$A$340,INDEX(Техника!$H$1:$ABO$500,F$2,0),"Л")</f>
        <v>0</v>
      </c>
      <c r="G344" s="50">
        <f>SUMIFS(INDEX(Техника!$F$1:$ABM$500,G$2,0),Техника!$F$4:$ABM$4,"Часы",INDEX(Техника!$G$1:$ABN$500,G$2,0),$A$340,INDEX(Техника!$H$1:$ABO$500,G$2,0),"Л")</f>
        <v>0</v>
      </c>
      <c r="H344" s="50">
        <f>SUMIFS(INDEX(Техника!$F$1:$ABM$500,H$2,0),Техника!$F$4:$ABM$4,"Часы",INDEX(Техника!$G$1:$ABN$500,H$2,0),$A$340,INDEX(Техника!$H$1:$ABO$500,H$2,0),"Л")</f>
        <v>0</v>
      </c>
      <c r="I344" s="50">
        <f>SUMIFS(INDEX(Техника!$F$1:$ABM$500,I$2,0),Техника!$F$4:$ABM$4,"Часы",INDEX(Техника!$G$1:$ABN$500,I$2,0),$A$340,INDEX(Техника!$H$1:$ABO$500,I$2,0),"Л")</f>
        <v>0</v>
      </c>
      <c r="J344" s="50">
        <f>SUMIFS(INDEX(Техника!$F$1:$ABM$500,J$2,0),Техника!$F$4:$ABM$4,"Часы",INDEX(Техника!$G$1:$ABN$500,J$2,0),$A$340,INDEX(Техника!$H$1:$ABO$500,J$2,0),"Л")</f>
        <v>0</v>
      </c>
      <c r="K344" s="50">
        <f>SUMIFS(INDEX(Техника!$F$1:$ABM$500,K$2,0),Техника!$F$4:$ABM$4,"Часы",INDEX(Техника!$G$1:$ABN$500,K$2,0),$A$340,INDEX(Техника!$H$1:$ABO$500,K$2,0),"Л")</f>
        <v>0</v>
      </c>
      <c r="L344" s="50">
        <f>SUMIFS(INDEX(Техника!$F$1:$ABM$500,L$2,0),Техника!$F$4:$ABM$4,"Часы",INDEX(Техника!$G$1:$ABN$500,L$2,0),$A$340,INDEX(Техника!$H$1:$ABO$500,L$2,0),"Л")</f>
        <v>0</v>
      </c>
      <c r="M344" s="50">
        <f>SUMIFS(INDEX(Техника!$F$1:$ABM$500,M$2,0),Техника!$F$4:$ABM$4,"Часы",INDEX(Техника!$G$1:$ABN$500,M$2,0),$A$340,INDEX(Техника!$H$1:$ABO$500,M$2,0),"Л")</f>
        <v>0</v>
      </c>
      <c r="N344" s="50">
        <f>SUMIFS(INDEX(Техника!$F$1:$ABM$500,N$2,0),Техника!$F$4:$ABM$4,"Часы",INDEX(Техника!$G$1:$ABN$500,N$2,0),$A$340,INDEX(Техника!$H$1:$ABO$500,N$2,0),"Л")</f>
        <v>0</v>
      </c>
      <c r="O344" s="50">
        <f>SUMIFS(INDEX(Техника!$F$1:$ABM$500,O$2,0),Техника!$F$4:$ABM$4,"Часы",INDEX(Техника!$G$1:$ABN$500,O$2,0),$A$340,INDEX(Техника!$H$1:$ABO$500,O$2,0),"Л")</f>
        <v>0</v>
      </c>
      <c r="P344" s="50">
        <f>SUMIFS(INDEX(Техника!$F$1:$ABM$500,P$2,0),Техника!$F$4:$ABM$4,"Часы",INDEX(Техника!$G$1:$ABN$500,P$2,0),$A$340,INDEX(Техника!$H$1:$ABO$500,P$2,0),"Л")</f>
        <v>0</v>
      </c>
      <c r="Q344" s="50">
        <f>SUMIFS(INDEX(Техника!$F$1:$ABM$500,Q$2,0),Техника!$F$4:$ABM$4,"Часы",INDEX(Техника!$G$1:$ABN$500,Q$2,0),$A$340,INDEX(Техника!$H$1:$ABO$500,Q$2,0),"Л")</f>
        <v>0</v>
      </c>
      <c r="R344" s="50">
        <f>SUMIFS(INDEX(Техника!$F$1:$ABM$500,R$2,0),Техника!$F$4:$ABM$4,"Часы",INDEX(Техника!$G$1:$ABN$500,R$2,0),$A$340,INDEX(Техника!$H$1:$ABO$500,R$2,0),"Л")</f>
        <v>0</v>
      </c>
      <c r="S344" s="50">
        <f>SUMIFS(INDEX(Техника!$F$1:$ABM$500,S$2,0),Техника!$F$4:$ABM$4,"Часы",INDEX(Техника!$G$1:$ABN$500,S$2,0),$A$340,INDEX(Техника!$H$1:$ABO$500,S$2,0),"Л")</f>
        <v>0</v>
      </c>
      <c r="T344" s="50">
        <f>SUMIFS(INDEX(Техника!$F$1:$ABM$500,T$2,0),Техника!$F$4:$ABM$4,"Часы",INDEX(Техника!$G$1:$ABN$500,T$2,0),$A$340,INDEX(Техника!$H$1:$ABO$500,T$2,0),"Л")</f>
        <v>0</v>
      </c>
      <c r="U344" s="50">
        <f>SUMIFS(INDEX(Техника!$F$1:$ABM$500,U$2,0),Техника!$F$4:$ABM$4,"Часы",INDEX(Техника!$G$1:$ABN$500,U$2,0),$A$340,INDEX(Техника!$H$1:$ABO$500,U$2,0),"Л")</f>
        <v>0</v>
      </c>
      <c r="V344" s="50">
        <f>SUMIFS(INDEX(Техника!$F$1:$ABM$500,V$2,0),Техника!$F$4:$ABM$4,"Часы",INDEX(Техника!$G$1:$ABN$500,V$2,0),$A$340,INDEX(Техника!$H$1:$ABO$500,V$2,0),"Л")</f>
        <v>0</v>
      </c>
      <c r="W344" s="50">
        <f>SUMIFS(INDEX(Техника!$F$1:$ABM$500,W$2,0),Техника!$F$4:$ABM$4,"Часы",INDEX(Техника!$G$1:$ABN$500,W$2,0),$A$340,INDEX(Техника!$H$1:$ABO$500,W$2,0),"Л")</f>
        <v>0</v>
      </c>
      <c r="X344" s="50">
        <f>SUMIFS(INDEX(Техника!$F$1:$ABM$500,X$2,0),Техника!$F$4:$ABM$4,"Часы",INDEX(Техника!$G$1:$ABN$500,X$2,0),$A$340,INDEX(Техника!$H$1:$ABO$500,X$2,0),"Л")</f>
        <v>0</v>
      </c>
      <c r="Y344" s="50">
        <f>SUMIFS(INDEX(Техника!$F$1:$ABM$500,Y$2,0),Техника!$F$4:$ABM$4,"Часы",INDEX(Техника!$G$1:$ABN$500,Y$2,0),$A$340,INDEX(Техника!$H$1:$ABO$500,Y$2,0),"Л")</f>
        <v>0</v>
      </c>
      <c r="Z344" s="50">
        <f>SUMIFS(INDEX(Техника!$F$1:$ABM$500,Z$2,0),Техника!$F$4:$ABM$4,"Часы",INDEX(Техника!$G$1:$ABN$500,Z$2,0),$A$340,INDEX(Техника!$H$1:$ABO$500,Z$2,0),"Л")</f>
        <v>0</v>
      </c>
      <c r="AA344" s="50">
        <f>SUMIFS(INDEX(Техника!$F$1:$ABM$500,AA$2,0),Техника!$F$4:$ABM$4,"Часы",INDEX(Техника!$G$1:$ABN$500,AA$2,0),$A$340,INDEX(Техника!$H$1:$ABO$500,AA$2,0),"Л")</f>
        <v>0</v>
      </c>
      <c r="AB344" s="50">
        <f>SUMIFS(INDEX(Техника!$F$1:$ABM$500,AB$2,0),Техника!$F$4:$ABM$4,"Часы",INDEX(Техника!$G$1:$ABN$500,AB$2,0),$A$340,INDEX(Техника!$H$1:$ABO$500,AB$2,0),"Л")</f>
        <v>0</v>
      </c>
    </row>
    <row r="345" spans="1:28" hidden="1" outlineLevel="1" x14ac:dyDescent="0.3">
      <c r="A345" s="33" t="s">
        <v>245</v>
      </c>
      <c r="B345" s="34" t="s">
        <v>279</v>
      </c>
      <c r="C345" s="50">
        <f>SUMIFS(INDEX(Техника!$F$1:$ABM$500,C$2,0),Техника!$F$4:$ABM$4,"Часы",INDEX(Техника!$G$1:$ABN$500,C$2,0),$A$340,INDEX(Техника!$H$1:$ABO$500,C$2,0),"З")</f>
        <v>0</v>
      </c>
      <c r="D345" s="50">
        <f>SUMIFS(INDEX(Техника!$F$1:$ABM$500,D$2,0),Техника!$F$4:$ABM$4,"Часы",INDEX(Техника!$G$1:$ABN$500,D$2,0),$A$340,INDEX(Техника!$H$1:$ABO$500,D$2,0),"З")</f>
        <v>0</v>
      </c>
      <c r="E345" s="50">
        <f>SUMIFS(INDEX(Техника!$F$1:$ABM$500,E$2,0),Техника!$F$4:$ABM$4,"Часы",INDEX(Техника!$G$1:$ABN$500,E$2,0),$A$340,INDEX(Техника!$H$1:$ABO$500,E$2,0),"З")</f>
        <v>0</v>
      </c>
      <c r="F345" s="50">
        <f>SUMIFS(INDEX(Техника!$F$1:$ABM$500,F$2,0),Техника!$F$4:$ABM$4,"Часы",INDEX(Техника!$G$1:$ABN$500,F$2,0),$A$340,INDEX(Техника!$H$1:$ABO$500,F$2,0),"З")</f>
        <v>0</v>
      </c>
      <c r="G345" s="50">
        <f>SUMIFS(INDEX(Техника!$F$1:$ABM$500,G$2,0),Техника!$F$4:$ABM$4,"Часы",INDEX(Техника!$G$1:$ABN$500,G$2,0),$A$340,INDEX(Техника!$H$1:$ABO$500,G$2,0),"З")</f>
        <v>0</v>
      </c>
      <c r="H345" s="50">
        <f>SUMIFS(INDEX(Техника!$F$1:$ABM$500,H$2,0),Техника!$F$4:$ABM$4,"Часы",INDEX(Техника!$G$1:$ABN$500,H$2,0),$A$340,INDEX(Техника!$H$1:$ABO$500,H$2,0),"З")</f>
        <v>0</v>
      </c>
      <c r="I345" s="50">
        <f>SUMIFS(INDEX(Техника!$F$1:$ABM$500,I$2,0),Техника!$F$4:$ABM$4,"Часы",INDEX(Техника!$G$1:$ABN$500,I$2,0),$A$340,INDEX(Техника!$H$1:$ABO$500,I$2,0),"З")</f>
        <v>0</v>
      </c>
      <c r="J345" s="50">
        <f>SUMIFS(INDEX(Техника!$F$1:$ABM$500,J$2,0),Техника!$F$4:$ABM$4,"Часы",INDEX(Техника!$G$1:$ABN$500,J$2,0),$A$340,INDEX(Техника!$H$1:$ABO$500,J$2,0),"З")</f>
        <v>0</v>
      </c>
      <c r="K345" s="50">
        <f>SUMIFS(INDEX(Техника!$F$1:$ABM$500,K$2,0),Техника!$F$4:$ABM$4,"Часы",INDEX(Техника!$G$1:$ABN$500,K$2,0),$A$340,INDEX(Техника!$H$1:$ABO$500,K$2,0),"З")</f>
        <v>0</v>
      </c>
      <c r="L345" s="50">
        <f>SUMIFS(INDEX(Техника!$F$1:$ABM$500,L$2,0),Техника!$F$4:$ABM$4,"Часы",INDEX(Техника!$G$1:$ABN$500,L$2,0),$A$340,INDEX(Техника!$H$1:$ABO$500,L$2,0),"З")</f>
        <v>0</v>
      </c>
      <c r="M345" s="50">
        <f>SUMIFS(INDEX(Техника!$F$1:$ABM$500,M$2,0),Техника!$F$4:$ABM$4,"Часы",INDEX(Техника!$G$1:$ABN$500,M$2,0),$A$340,INDEX(Техника!$H$1:$ABO$500,M$2,0),"З")</f>
        <v>0</v>
      </c>
      <c r="N345" s="50">
        <f>SUMIFS(INDEX(Техника!$F$1:$ABM$500,N$2,0),Техника!$F$4:$ABM$4,"Часы",INDEX(Техника!$G$1:$ABN$500,N$2,0),$A$340,INDEX(Техника!$H$1:$ABO$500,N$2,0),"З")</f>
        <v>0</v>
      </c>
      <c r="O345" s="50">
        <f>SUMIFS(INDEX(Техника!$F$1:$ABM$500,O$2,0),Техника!$F$4:$ABM$4,"Часы",INDEX(Техника!$G$1:$ABN$500,O$2,0),$A$340,INDEX(Техника!$H$1:$ABO$500,O$2,0),"З")</f>
        <v>0</v>
      </c>
      <c r="P345" s="50">
        <f>SUMIFS(INDEX(Техника!$F$1:$ABM$500,P$2,0),Техника!$F$4:$ABM$4,"Часы",INDEX(Техника!$G$1:$ABN$500,P$2,0),$A$340,INDEX(Техника!$H$1:$ABO$500,P$2,0),"З")</f>
        <v>0</v>
      </c>
      <c r="Q345" s="50">
        <f>SUMIFS(INDEX(Техника!$F$1:$ABM$500,Q$2,0),Техника!$F$4:$ABM$4,"Часы",INDEX(Техника!$G$1:$ABN$500,Q$2,0),$A$340,INDEX(Техника!$H$1:$ABO$500,Q$2,0),"З")</f>
        <v>0</v>
      </c>
      <c r="R345" s="50">
        <f>SUMIFS(INDEX(Техника!$F$1:$ABM$500,R$2,0),Техника!$F$4:$ABM$4,"Часы",INDEX(Техника!$G$1:$ABN$500,R$2,0),$A$340,INDEX(Техника!$H$1:$ABO$500,R$2,0),"З")</f>
        <v>0</v>
      </c>
      <c r="S345" s="50">
        <f>SUMIFS(INDEX(Техника!$F$1:$ABM$500,S$2,0),Техника!$F$4:$ABM$4,"Часы",INDEX(Техника!$G$1:$ABN$500,S$2,0),$A$340,INDEX(Техника!$H$1:$ABO$500,S$2,0),"З")</f>
        <v>0</v>
      </c>
      <c r="T345" s="50">
        <f>SUMIFS(INDEX(Техника!$F$1:$ABM$500,T$2,0),Техника!$F$4:$ABM$4,"Часы",INDEX(Техника!$G$1:$ABN$500,T$2,0),$A$340,INDEX(Техника!$H$1:$ABO$500,T$2,0),"З")</f>
        <v>0</v>
      </c>
      <c r="U345" s="50">
        <f>SUMIFS(INDEX(Техника!$F$1:$ABM$500,U$2,0),Техника!$F$4:$ABM$4,"Часы",INDEX(Техника!$G$1:$ABN$500,U$2,0),$A$340,INDEX(Техника!$H$1:$ABO$500,U$2,0),"З")</f>
        <v>0</v>
      </c>
      <c r="V345" s="50">
        <f>SUMIFS(INDEX(Техника!$F$1:$ABM$500,V$2,0),Техника!$F$4:$ABM$4,"Часы",INDEX(Техника!$G$1:$ABN$500,V$2,0),$A$340,INDEX(Техника!$H$1:$ABO$500,V$2,0),"З")</f>
        <v>0</v>
      </c>
      <c r="W345" s="50">
        <f>SUMIFS(INDEX(Техника!$F$1:$ABM$500,W$2,0),Техника!$F$4:$ABM$4,"Часы",INDEX(Техника!$G$1:$ABN$500,W$2,0),$A$340,INDEX(Техника!$H$1:$ABO$500,W$2,0),"З")</f>
        <v>0</v>
      </c>
      <c r="X345" s="50">
        <f>SUMIFS(INDEX(Техника!$F$1:$ABM$500,X$2,0),Техника!$F$4:$ABM$4,"Часы",INDEX(Техника!$G$1:$ABN$500,X$2,0),$A$340,INDEX(Техника!$H$1:$ABO$500,X$2,0),"З")</f>
        <v>0</v>
      </c>
      <c r="Y345" s="50">
        <f>SUMIFS(INDEX(Техника!$F$1:$ABM$500,Y$2,0),Техника!$F$4:$ABM$4,"Часы",INDEX(Техника!$G$1:$ABN$500,Y$2,0),$A$340,INDEX(Техника!$H$1:$ABO$500,Y$2,0),"З")</f>
        <v>0</v>
      </c>
      <c r="Z345" s="50">
        <f>SUMIFS(INDEX(Техника!$F$1:$ABM$500,Z$2,0),Техника!$F$4:$ABM$4,"Часы",INDEX(Техника!$G$1:$ABN$500,Z$2,0),$A$340,INDEX(Техника!$H$1:$ABO$500,Z$2,0),"З")</f>
        <v>0</v>
      </c>
      <c r="AA345" s="50">
        <f>SUMIFS(INDEX(Техника!$F$1:$ABM$500,AA$2,0),Техника!$F$4:$ABM$4,"Часы",INDEX(Техника!$G$1:$ABN$500,AA$2,0),$A$340,INDEX(Техника!$H$1:$ABO$500,AA$2,0),"З")</f>
        <v>0</v>
      </c>
      <c r="AB345" s="50">
        <f>SUMIFS(INDEX(Техника!$F$1:$ABM$500,AB$2,0),Техника!$F$4:$ABM$4,"Часы",INDEX(Техника!$G$1:$ABN$500,AB$2,0),$A$340,INDEX(Техника!$H$1:$ABO$500,AB$2,0),"З")</f>
        <v>0</v>
      </c>
    </row>
    <row r="346" spans="1:28" ht="7.95" customHeight="1" x14ac:dyDescent="0.3">
      <c r="A346" s="38"/>
      <c r="B346" s="39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</row>
    <row r="347" spans="1:28" ht="25.05" customHeight="1" collapsed="1" x14ac:dyDescent="0.3">
      <c r="A347" s="32">
        <v>50</v>
      </c>
      <c r="B347" s="32" t="s">
        <v>51</v>
      </c>
      <c r="C347" s="49">
        <f>SUM(C348:C352)</f>
        <v>0</v>
      </c>
      <c r="D347" s="49">
        <f>SUM(D348:D352)</f>
        <v>0</v>
      </c>
      <c r="E347" s="49">
        <f>SUM(E348:E352)</f>
        <v>0</v>
      </c>
      <c r="F347" s="49">
        <f>SUM(F348:F352)</f>
        <v>0</v>
      </c>
      <c r="G347" s="49">
        <f>SUM(G348:G352)</f>
        <v>0</v>
      </c>
      <c r="H347" s="49">
        <f>SUM(H348:H352)</f>
        <v>0</v>
      </c>
      <c r="I347" s="49">
        <f>SUM(I348:I352)</f>
        <v>0</v>
      </c>
      <c r="J347" s="49">
        <f>SUM(J348:J352)</f>
        <v>0</v>
      </c>
      <c r="K347" s="49">
        <f>SUM(K348:K352)</f>
        <v>0</v>
      </c>
      <c r="L347" s="49">
        <f>SUM(L348:L352)</f>
        <v>0</v>
      </c>
      <c r="M347" s="49">
        <f>SUM(M348:M352)</f>
        <v>0</v>
      </c>
      <c r="N347" s="49">
        <f>SUM(N348:N352)</f>
        <v>0</v>
      </c>
      <c r="O347" s="49">
        <f>SUM(O348:O352)</f>
        <v>0</v>
      </c>
      <c r="P347" s="49">
        <f>SUM(P348:P352)</f>
        <v>0</v>
      </c>
      <c r="Q347" s="49">
        <f>SUM(Q348:Q352)</f>
        <v>0</v>
      </c>
      <c r="R347" s="49">
        <f>SUM(R348:R352)</f>
        <v>0</v>
      </c>
      <c r="S347" s="49">
        <f>SUM(S348:S352)</f>
        <v>0</v>
      </c>
      <c r="T347" s="49">
        <f>SUM(T348:T352)</f>
        <v>0</v>
      </c>
      <c r="U347" s="49">
        <f>SUM(U348:U352)</f>
        <v>0</v>
      </c>
      <c r="V347" s="49">
        <f>SUM(V348:V352)</f>
        <v>0</v>
      </c>
      <c r="W347" s="49">
        <f>SUM(W348:W352)</f>
        <v>0</v>
      </c>
      <c r="X347" s="49">
        <f>SUM(X348:X352)</f>
        <v>0</v>
      </c>
      <c r="Y347" s="49">
        <f>SUM(Y348:Y352)</f>
        <v>0</v>
      </c>
      <c r="Z347" s="49">
        <f>SUM(Z348:Z352)</f>
        <v>0</v>
      </c>
      <c r="AA347" s="49">
        <f>SUM(AA348:AA352)</f>
        <v>0</v>
      </c>
      <c r="AB347" s="49">
        <f>SUM(AB348:AB352)</f>
        <v>0</v>
      </c>
    </row>
    <row r="348" spans="1:28" hidden="1" outlineLevel="1" x14ac:dyDescent="0.3">
      <c r="A348" s="33" t="s">
        <v>246</v>
      </c>
      <c r="B348" s="34" t="s">
        <v>274</v>
      </c>
      <c r="C348" s="50">
        <f>SUMIFS(INDEX(Техника!$F$1:$ABM$500,C$2,0),Техника!$F$4:$ABM$4,"Часы",INDEX(Техника!$G$1:$ABN$500,C$2,0),$A$347,INDEX(Техника!$H$1:$ABO$500,C$2,0),"М")</f>
        <v>0</v>
      </c>
      <c r="D348" s="50">
        <f>SUMIFS(INDEX(Техника!$F$1:$ABM$500,D$2,0),Техника!$F$4:$ABM$4,"Часы",INDEX(Техника!$G$1:$ABN$500,D$2,0),$A$347,INDEX(Техника!$H$1:$ABO$500,D$2,0),"М")</f>
        <v>0</v>
      </c>
      <c r="E348" s="50">
        <f>SUMIFS(INDEX(Техника!$F$1:$ABM$500,E$2,0),Техника!$F$4:$ABM$4,"Часы",INDEX(Техника!$G$1:$ABN$500,E$2,0),$A$347,INDEX(Техника!$H$1:$ABO$500,E$2,0),"М")</f>
        <v>0</v>
      </c>
      <c r="F348" s="50">
        <f>SUMIFS(INDEX(Техника!$F$1:$ABM$500,F$2,0),Техника!$F$4:$ABM$4,"Часы",INDEX(Техника!$G$1:$ABN$500,F$2,0),$A$347,INDEX(Техника!$H$1:$ABO$500,F$2,0),"М")</f>
        <v>0</v>
      </c>
      <c r="G348" s="50">
        <f>SUMIFS(INDEX(Техника!$F$1:$ABM$500,G$2,0),Техника!$F$4:$ABM$4,"Часы",INDEX(Техника!$G$1:$ABN$500,G$2,0),$A$347,INDEX(Техника!$H$1:$ABO$500,G$2,0),"М")</f>
        <v>0</v>
      </c>
      <c r="H348" s="50">
        <f>SUMIFS(INDEX(Техника!$F$1:$ABM$500,H$2,0),Техника!$F$4:$ABM$4,"Часы",INDEX(Техника!$G$1:$ABN$500,H$2,0),$A$347,INDEX(Техника!$H$1:$ABO$500,H$2,0),"М")</f>
        <v>0</v>
      </c>
      <c r="I348" s="50">
        <f>SUMIFS(INDEX(Техника!$F$1:$ABM$500,I$2,0),Техника!$F$4:$ABM$4,"Часы",INDEX(Техника!$G$1:$ABN$500,I$2,0),$A$347,INDEX(Техника!$H$1:$ABO$500,I$2,0),"М")</f>
        <v>0</v>
      </c>
      <c r="J348" s="50">
        <f>SUMIFS(INDEX(Техника!$F$1:$ABM$500,J$2,0),Техника!$F$4:$ABM$4,"Часы",INDEX(Техника!$G$1:$ABN$500,J$2,0),$A$347,INDEX(Техника!$H$1:$ABO$500,J$2,0),"М")</f>
        <v>0</v>
      </c>
      <c r="K348" s="50">
        <f>SUMIFS(INDEX(Техника!$F$1:$ABM$500,K$2,0),Техника!$F$4:$ABM$4,"Часы",INDEX(Техника!$G$1:$ABN$500,K$2,0),$A$347,INDEX(Техника!$H$1:$ABO$500,K$2,0),"М")</f>
        <v>0</v>
      </c>
      <c r="L348" s="50">
        <f>SUMIFS(INDEX(Техника!$F$1:$ABM$500,L$2,0),Техника!$F$4:$ABM$4,"Часы",INDEX(Техника!$G$1:$ABN$500,L$2,0),$A$347,INDEX(Техника!$H$1:$ABO$500,L$2,0),"М")</f>
        <v>0</v>
      </c>
      <c r="M348" s="50">
        <f>SUMIFS(INDEX(Техника!$F$1:$ABM$500,M$2,0),Техника!$F$4:$ABM$4,"Часы",INDEX(Техника!$G$1:$ABN$500,M$2,0),$A$347,INDEX(Техника!$H$1:$ABO$500,M$2,0),"М")</f>
        <v>0</v>
      </c>
      <c r="N348" s="50">
        <f>SUMIFS(INDEX(Техника!$F$1:$ABM$500,N$2,0),Техника!$F$4:$ABM$4,"Часы",INDEX(Техника!$G$1:$ABN$500,N$2,0),$A$347,INDEX(Техника!$H$1:$ABO$500,N$2,0),"М")</f>
        <v>0</v>
      </c>
      <c r="O348" s="50">
        <f>SUMIFS(INDEX(Техника!$F$1:$ABM$500,O$2,0),Техника!$F$4:$ABM$4,"Часы",INDEX(Техника!$G$1:$ABN$500,O$2,0),$A$347,INDEX(Техника!$H$1:$ABO$500,O$2,0),"М")</f>
        <v>0</v>
      </c>
      <c r="P348" s="50">
        <f>SUMIFS(INDEX(Техника!$F$1:$ABM$500,P$2,0),Техника!$F$4:$ABM$4,"Часы",INDEX(Техника!$G$1:$ABN$500,P$2,0),$A$347,INDEX(Техника!$H$1:$ABO$500,P$2,0),"М")</f>
        <v>0</v>
      </c>
      <c r="Q348" s="50">
        <f>SUMIFS(INDEX(Техника!$F$1:$ABM$500,Q$2,0),Техника!$F$4:$ABM$4,"Часы",INDEX(Техника!$G$1:$ABN$500,Q$2,0),$A$347,INDEX(Техника!$H$1:$ABO$500,Q$2,0),"М")</f>
        <v>0</v>
      </c>
      <c r="R348" s="50">
        <f>SUMIFS(INDEX(Техника!$F$1:$ABM$500,R$2,0),Техника!$F$4:$ABM$4,"Часы",INDEX(Техника!$G$1:$ABN$500,R$2,0),$A$347,INDEX(Техника!$H$1:$ABO$500,R$2,0),"М")</f>
        <v>0</v>
      </c>
      <c r="S348" s="50">
        <f>SUMIFS(INDEX(Техника!$F$1:$ABM$500,S$2,0),Техника!$F$4:$ABM$4,"Часы",INDEX(Техника!$G$1:$ABN$500,S$2,0),$A$347,INDEX(Техника!$H$1:$ABO$500,S$2,0),"М")</f>
        <v>0</v>
      </c>
      <c r="T348" s="50">
        <f>SUMIFS(INDEX(Техника!$F$1:$ABM$500,T$2,0),Техника!$F$4:$ABM$4,"Часы",INDEX(Техника!$G$1:$ABN$500,T$2,0),$A$347,INDEX(Техника!$H$1:$ABO$500,T$2,0),"М")</f>
        <v>0</v>
      </c>
      <c r="U348" s="50">
        <f>SUMIFS(INDEX(Техника!$F$1:$ABM$500,U$2,0),Техника!$F$4:$ABM$4,"Часы",INDEX(Техника!$G$1:$ABN$500,U$2,0),$A$347,INDEX(Техника!$H$1:$ABO$500,U$2,0),"М")</f>
        <v>0</v>
      </c>
      <c r="V348" s="50">
        <f>SUMIFS(INDEX(Техника!$F$1:$ABM$500,V$2,0),Техника!$F$4:$ABM$4,"Часы",INDEX(Техника!$G$1:$ABN$500,V$2,0),$A$347,INDEX(Техника!$H$1:$ABO$500,V$2,0),"М")</f>
        <v>0</v>
      </c>
      <c r="W348" s="50">
        <f>SUMIFS(INDEX(Техника!$F$1:$ABM$500,W$2,0),Техника!$F$4:$ABM$4,"Часы",INDEX(Техника!$G$1:$ABN$500,W$2,0),$A$347,INDEX(Техника!$H$1:$ABO$500,W$2,0),"М")</f>
        <v>0</v>
      </c>
      <c r="X348" s="50">
        <f>SUMIFS(INDEX(Техника!$F$1:$ABM$500,X$2,0),Техника!$F$4:$ABM$4,"Часы",INDEX(Техника!$G$1:$ABN$500,X$2,0),$A$347,INDEX(Техника!$H$1:$ABO$500,X$2,0),"М")</f>
        <v>0</v>
      </c>
      <c r="Y348" s="50">
        <f>SUMIFS(INDEX(Техника!$F$1:$ABM$500,Y$2,0),Техника!$F$4:$ABM$4,"Часы",INDEX(Техника!$G$1:$ABN$500,Y$2,0),$A$347,INDEX(Техника!$H$1:$ABO$500,Y$2,0),"М")</f>
        <v>0</v>
      </c>
      <c r="Z348" s="50">
        <f>SUMIFS(INDEX(Техника!$F$1:$ABM$500,Z$2,0),Техника!$F$4:$ABM$4,"Часы",INDEX(Техника!$G$1:$ABN$500,Z$2,0),$A$347,INDEX(Техника!$H$1:$ABO$500,Z$2,0),"М")</f>
        <v>0</v>
      </c>
      <c r="AA348" s="50">
        <f>SUMIFS(INDEX(Техника!$F$1:$ABM$500,AA$2,0),Техника!$F$4:$ABM$4,"Часы",INDEX(Техника!$G$1:$ABN$500,AA$2,0),$A$347,INDEX(Техника!$H$1:$ABO$500,AA$2,0),"М")</f>
        <v>0</v>
      </c>
      <c r="AB348" s="50">
        <f>SUMIFS(INDEX(Техника!$F$1:$ABM$500,AB$2,0),Техника!$F$4:$ABM$4,"Часы",INDEX(Техника!$G$1:$ABN$500,AB$2,0),$A$347,INDEX(Техника!$H$1:$ABO$500,AB$2,0),"М")</f>
        <v>0</v>
      </c>
    </row>
    <row r="349" spans="1:28" hidden="1" outlineLevel="1" x14ac:dyDescent="0.3">
      <c r="A349" s="33" t="s">
        <v>244</v>
      </c>
      <c r="B349" s="34" t="s">
        <v>275</v>
      </c>
      <c r="C349" s="50">
        <f>SUMIFS(INDEX(Техника!$F$1:$ABM$500,C$2,0),Техника!$F$4:$ABM$4,"Часы",INDEX(Техника!$G$1:$ABN$500,C$2,0),$A$347,INDEX(Техника!$H$1:$ABO$500,C$2,0),"Д")</f>
        <v>0</v>
      </c>
      <c r="D349" s="50">
        <f>SUMIFS(INDEX(Техника!$F$1:$ABM$500,D$2,0),Техника!$F$4:$ABM$4,"Часы",INDEX(Техника!$G$1:$ABN$500,D$2,0),$A$347,INDEX(Техника!$H$1:$ABO$500,D$2,0),"Д")</f>
        <v>0</v>
      </c>
      <c r="E349" s="50">
        <f>SUMIFS(INDEX(Техника!$F$1:$ABM$500,E$2,0),Техника!$F$4:$ABM$4,"Часы",INDEX(Техника!$G$1:$ABN$500,E$2,0),$A$347,INDEX(Техника!$H$1:$ABO$500,E$2,0),"Д")</f>
        <v>0</v>
      </c>
      <c r="F349" s="50">
        <f>SUMIFS(INDEX(Техника!$F$1:$ABM$500,F$2,0),Техника!$F$4:$ABM$4,"Часы",INDEX(Техника!$G$1:$ABN$500,F$2,0),$A$347,INDEX(Техника!$H$1:$ABO$500,F$2,0),"Д")</f>
        <v>0</v>
      </c>
      <c r="G349" s="50">
        <f>SUMIFS(INDEX(Техника!$F$1:$ABM$500,G$2,0),Техника!$F$4:$ABM$4,"Часы",INDEX(Техника!$G$1:$ABN$500,G$2,0),$A$347,INDEX(Техника!$H$1:$ABO$500,G$2,0),"Д")</f>
        <v>0</v>
      </c>
      <c r="H349" s="50">
        <f>SUMIFS(INDEX(Техника!$F$1:$ABM$500,H$2,0),Техника!$F$4:$ABM$4,"Часы",INDEX(Техника!$G$1:$ABN$500,H$2,0),$A$347,INDEX(Техника!$H$1:$ABO$500,H$2,0),"Д")</f>
        <v>0</v>
      </c>
      <c r="I349" s="50">
        <f>SUMIFS(INDEX(Техника!$F$1:$ABM$500,I$2,0),Техника!$F$4:$ABM$4,"Часы",INDEX(Техника!$G$1:$ABN$500,I$2,0),$A$347,INDEX(Техника!$H$1:$ABO$500,I$2,0),"Д")</f>
        <v>0</v>
      </c>
      <c r="J349" s="50">
        <f>SUMIFS(INDEX(Техника!$F$1:$ABM$500,J$2,0),Техника!$F$4:$ABM$4,"Часы",INDEX(Техника!$G$1:$ABN$500,J$2,0),$A$347,INDEX(Техника!$H$1:$ABO$500,J$2,0),"Д")</f>
        <v>0</v>
      </c>
      <c r="K349" s="50">
        <f>SUMIFS(INDEX(Техника!$F$1:$ABM$500,K$2,0),Техника!$F$4:$ABM$4,"Часы",INDEX(Техника!$G$1:$ABN$500,K$2,0),$A$347,INDEX(Техника!$H$1:$ABO$500,K$2,0),"Д")</f>
        <v>0</v>
      </c>
      <c r="L349" s="50">
        <f>SUMIFS(INDEX(Техника!$F$1:$ABM$500,L$2,0),Техника!$F$4:$ABM$4,"Часы",INDEX(Техника!$G$1:$ABN$500,L$2,0),$A$347,INDEX(Техника!$H$1:$ABO$500,L$2,0),"Д")</f>
        <v>0</v>
      </c>
      <c r="M349" s="50">
        <f>SUMIFS(INDEX(Техника!$F$1:$ABM$500,M$2,0),Техника!$F$4:$ABM$4,"Часы",INDEX(Техника!$G$1:$ABN$500,M$2,0),$A$347,INDEX(Техника!$H$1:$ABO$500,M$2,0),"Д")</f>
        <v>0</v>
      </c>
      <c r="N349" s="50">
        <f>SUMIFS(INDEX(Техника!$F$1:$ABM$500,N$2,0),Техника!$F$4:$ABM$4,"Часы",INDEX(Техника!$G$1:$ABN$500,N$2,0),$A$347,INDEX(Техника!$H$1:$ABO$500,N$2,0),"Д")</f>
        <v>0</v>
      </c>
      <c r="O349" s="50">
        <f>SUMIFS(INDEX(Техника!$F$1:$ABM$500,O$2,0),Техника!$F$4:$ABM$4,"Часы",INDEX(Техника!$G$1:$ABN$500,O$2,0),$A$347,INDEX(Техника!$H$1:$ABO$500,O$2,0),"Д")</f>
        <v>0</v>
      </c>
      <c r="P349" s="50">
        <f>SUMIFS(INDEX(Техника!$F$1:$ABM$500,P$2,0),Техника!$F$4:$ABM$4,"Часы",INDEX(Техника!$G$1:$ABN$500,P$2,0),$A$347,INDEX(Техника!$H$1:$ABO$500,P$2,0),"Д")</f>
        <v>0</v>
      </c>
      <c r="Q349" s="50">
        <f>SUMIFS(INDEX(Техника!$F$1:$ABM$500,Q$2,0),Техника!$F$4:$ABM$4,"Часы",INDEX(Техника!$G$1:$ABN$500,Q$2,0),$A$347,INDEX(Техника!$H$1:$ABO$500,Q$2,0),"Д")</f>
        <v>0</v>
      </c>
      <c r="R349" s="50">
        <f>SUMIFS(INDEX(Техника!$F$1:$ABM$500,R$2,0),Техника!$F$4:$ABM$4,"Часы",INDEX(Техника!$G$1:$ABN$500,R$2,0),$A$347,INDEX(Техника!$H$1:$ABO$500,R$2,0),"Д")</f>
        <v>0</v>
      </c>
      <c r="S349" s="50">
        <f>SUMIFS(INDEX(Техника!$F$1:$ABM$500,S$2,0),Техника!$F$4:$ABM$4,"Часы",INDEX(Техника!$G$1:$ABN$500,S$2,0),$A$347,INDEX(Техника!$H$1:$ABO$500,S$2,0),"Д")</f>
        <v>0</v>
      </c>
      <c r="T349" s="50">
        <f>SUMIFS(INDEX(Техника!$F$1:$ABM$500,T$2,0),Техника!$F$4:$ABM$4,"Часы",INDEX(Техника!$G$1:$ABN$500,T$2,0),$A$347,INDEX(Техника!$H$1:$ABO$500,T$2,0),"Д")</f>
        <v>0</v>
      </c>
      <c r="U349" s="50">
        <f>SUMIFS(INDEX(Техника!$F$1:$ABM$500,U$2,0),Техника!$F$4:$ABM$4,"Часы",INDEX(Техника!$G$1:$ABN$500,U$2,0),$A$347,INDEX(Техника!$H$1:$ABO$500,U$2,0),"Д")</f>
        <v>0</v>
      </c>
      <c r="V349" s="50">
        <f>SUMIFS(INDEX(Техника!$F$1:$ABM$500,V$2,0),Техника!$F$4:$ABM$4,"Часы",INDEX(Техника!$G$1:$ABN$500,V$2,0),$A$347,INDEX(Техника!$H$1:$ABO$500,V$2,0),"Д")</f>
        <v>0</v>
      </c>
      <c r="W349" s="50">
        <f>SUMIFS(INDEX(Техника!$F$1:$ABM$500,W$2,0),Техника!$F$4:$ABM$4,"Часы",INDEX(Техника!$G$1:$ABN$500,W$2,0),$A$347,INDEX(Техника!$H$1:$ABO$500,W$2,0),"Д")</f>
        <v>0</v>
      </c>
      <c r="X349" s="50">
        <f>SUMIFS(INDEX(Техника!$F$1:$ABM$500,X$2,0),Техника!$F$4:$ABM$4,"Часы",INDEX(Техника!$G$1:$ABN$500,X$2,0),$A$347,INDEX(Техника!$H$1:$ABO$500,X$2,0),"Д")</f>
        <v>0</v>
      </c>
      <c r="Y349" s="50">
        <f>SUMIFS(INDEX(Техника!$F$1:$ABM$500,Y$2,0),Техника!$F$4:$ABM$4,"Часы",INDEX(Техника!$G$1:$ABN$500,Y$2,0),$A$347,INDEX(Техника!$H$1:$ABO$500,Y$2,0),"Д")</f>
        <v>0</v>
      </c>
      <c r="Z349" s="50">
        <f>SUMIFS(INDEX(Техника!$F$1:$ABM$500,Z$2,0),Техника!$F$4:$ABM$4,"Часы",INDEX(Техника!$G$1:$ABN$500,Z$2,0),$A$347,INDEX(Техника!$H$1:$ABO$500,Z$2,0),"Д")</f>
        <v>0</v>
      </c>
      <c r="AA349" s="50">
        <f>SUMIFS(INDEX(Техника!$F$1:$ABM$500,AA$2,0),Техника!$F$4:$ABM$4,"Часы",INDEX(Техника!$G$1:$ABN$500,AA$2,0),$A$347,INDEX(Техника!$H$1:$ABO$500,AA$2,0),"Д")</f>
        <v>0</v>
      </c>
      <c r="AB349" s="50">
        <f>SUMIFS(INDEX(Техника!$F$1:$ABM$500,AB$2,0),Техника!$F$4:$ABM$4,"Часы",INDEX(Техника!$G$1:$ABN$500,AB$2,0),$A$347,INDEX(Техника!$H$1:$ABO$500,AB$2,0),"Д")</f>
        <v>0</v>
      </c>
    </row>
    <row r="350" spans="1:28" hidden="1" outlineLevel="1" x14ac:dyDescent="0.3">
      <c r="A350" s="33" t="s">
        <v>276</v>
      </c>
      <c r="B350" s="34" t="s">
        <v>277</v>
      </c>
      <c r="C350" s="50">
        <f>SUMIFS(INDEX(Техника!$F$1:$ABM$500,C$2,0),Техника!$F$4:$ABM$4,"Часы",INDEX(Техника!$G$1:$ABN$500,C$2,0),$A$347,INDEX(Техника!$H$1:$ABO$500,C$2,0),"П")</f>
        <v>0</v>
      </c>
      <c r="D350" s="50">
        <f>SUMIFS(INDEX(Техника!$F$1:$ABM$500,D$2,0),Техника!$F$4:$ABM$4,"Часы",INDEX(Техника!$G$1:$ABN$500,D$2,0),$A$347,INDEX(Техника!$H$1:$ABO$500,D$2,0),"П")</f>
        <v>0</v>
      </c>
      <c r="E350" s="50">
        <f>SUMIFS(INDEX(Техника!$F$1:$ABM$500,E$2,0),Техника!$F$4:$ABM$4,"Часы",INDEX(Техника!$G$1:$ABN$500,E$2,0),$A$347,INDEX(Техника!$H$1:$ABO$500,E$2,0),"П")</f>
        <v>0</v>
      </c>
      <c r="F350" s="50">
        <f>SUMIFS(INDEX(Техника!$F$1:$ABM$500,F$2,0),Техника!$F$4:$ABM$4,"Часы",INDEX(Техника!$G$1:$ABN$500,F$2,0),$A$347,INDEX(Техника!$H$1:$ABO$500,F$2,0),"П")</f>
        <v>0</v>
      </c>
      <c r="G350" s="50">
        <f>SUMIFS(INDEX(Техника!$F$1:$ABM$500,G$2,0),Техника!$F$4:$ABM$4,"Часы",INDEX(Техника!$G$1:$ABN$500,G$2,0),$A$347,INDEX(Техника!$H$1:$ABO$500,G$2,0),"П")</f>
        <v>0</v>
      </c>
      <c r="H350" s="50">
        <f>SUMIFS(INDEX(Техника!$F$1:$ABM$500,H$2,0),Техника!$F$4:$ABM$4,"Часы",INDEX(Техника!$G$1:$ABN$500,H$2,0),$A$347,INDEX(Техника!$H$1:$ABO$500,H$2,0),"П")</f>
        <v>0</v>
      </c>
      <c r="I350" s="50">
        <f>SUMIFS(INDEX(Техника!$F$1:$ABM$500,I$2,0),Техника!$F$4:$ABM$4,"Часы",INDEX(Техника!$G$1:$ABN$500,I$2,0),$A$347,INDEX(Техника!$H$1:$ABO$500,I$2,0),"П")</f>
        <v>0</v>
      </c>
      <c r="J350" s="50">
        <f>SUMIFS(INDEX(Техника!$F$1:$ABM$500,J$2,0),Техника!$F$4:$ABM$4,"Часы",INDEX(Техника!$G$1:$ABN$500,J$2,0),$A$347,INDEX(Техника!$H$1:$ABO$500,J$2,0),"П")</f>
        <v>0</v>
      </c>
      <c r="K350" s="50">
        <f>SUMIFS(INDEX(Техника!$F$1:$ABM$500,K$2,0),Техника!$F$4:$ABM$4,"Часы",INDEX(Техника!$G$1:$ABN$500,K$2,0),$A$347,INDEX(Техника!$H$1:$ABO$500,K$2,0),"П")</f>
        <v>0</v>
      </c>
      <c r="L350" s="50">
        <f>SUMIFS(INDEX(Техника!$F$1:$ABM$500,L$2,0),Техника!$F$4:$ABM$4,"Часы",INDEX(Техника!$G$1:$ABN$500,L$2,0),$A$347,INDEX(Техника!$H$1:$ABO$500,L$2,0),"П")</f>
        <v>0</v>
      </c>
      <c r="M350" s="50">
        <f>SUMIFS(INDEX(Техника!$F$1:$ABM$500,M$2,0),Техника!$F$4:$ABM$4,"Часы",INDEX(Техника!$G$1:$ABN$500,M$2,0),$A$347,INDEX(Техника!$H$1:$ABO$500,M$2,0),"П")</f>
        <v>0</v>
      </c>
      <c r="N350" s="50">
        <f>SUMIFS(INDEX(Техника!$F$1:$ABM$500,N$2,0),Техника!$F$4:$ABM$4,"Часы",INDEX(Техника!$G$1:$ABN$500,N$2,0),$A$347,INDEX(Техника!$H$1:$ABO$500,N$2,0),"П")</f>
        <v>0</v>
      </c>
      <c r="O350" s="50">
        <f>SUMIFS(INDEX(Техника!$F$1:$ABM$500,O$2,0),Техника!$F$4:$ABM$4,"Часы",INDEX(Техника!$G$1:$ABN$500,O$2,0),$A$347,INDEX(Техника!$H$1:$ABO$500,O$2,0),"П")</f>
        <v>0</v>
      </c>
      <c r="P350" s="50">
        <f>SUMIFS(INDEX(Техника!$F$1:$ABM$500,P$2,0),Техника!$F$4:$ABM$4,"Часы",INDEX(Техника!$G$1:$ABN$500,P$2,0),$A$347,INDEX(Техника!$H$1:$ABO$500,P$2,0),"П")</f>
        <v>0</v>
      </c>
      <c r="Q350" s="50">
        <f>SUMIFS(INDEX(Техника!$F$1:$ABM$500,Q$2,0),Техника!$F$4:$ABM$4,"Часы",INDEX(Техника!$G$1:$ABN$500,Q$2,0),$A$347,INDEX(Техника!$H$1:$ABO$500,Q$2,0),"П")</f>
        <v>0</v>
      </c>
      <c r="R350" s="50">
        <f>SUMIFS(INDEX(Техника!$F$1:$ABM$500,R$2,0),Техника!$F$4:$ABM$4,"Часы",INDEX(Техника!$G$1:$ABN$500,R$2,0),$A$347,INDEX(Техника!$H$1:$ABO$500,R$2,0),"П")</f>
        <v>0</v>
      </c>
      <c r="S350" s="50">
        <f>SUMIFS(INDEX(Техника!$F$1:$ABM$500,S$2,0),Техника!$F$4:$ABM$4,"Часы",INDEX(Техника!$G$1:$ABN$500,S$2,0),$A$347,INDEX(Техника!$H$1:$ABO$500,S$2,0),"П")</f>
        <v>0</v>
      </c>
      <c r="T350" s="50">
        <f>SUMIFS(INDEX(Техника!$F$1:$ABM$500,T$2,0),Техника!$F$4:$ABM$4,"Часы",INDEX(Техника!$G$1:$ABN$500,T$2,0),$A$347,INDEX(Техника!$H$1:$ABO$500,T$2,0),"П")</f>
        <v>0</v>
      </c>
      <c r="U350" s="50">
        <f>SUMIFS(INDEX(Техника!$F$1:$ABM$500,U$2,0),Техника!$F$4:$ABM$4,"Часы",INDEX(Техника!$G$1:$ABN$500,U$2,0),$A$347,INDEX(Техника!$H$1:$ABO$500,U$2,0),"П")</f>
        <v>0</v>
      </c>
      <c r="V350" s="50">
        <f>SUMIFS(INDEX(Техника!$F$1:$ABM$500,V$2,0),Техника!$F$4:$ABM$4,"Часы",INDEX(Техника!$G$1:$ABN$500,V$2,0),$A$347,INDEX(Техника!$H$1:$ABO$500,V$2,0),"П")</f>
        <v>0</v>
      </c>
      <c r="W350" s="50">
        <f>SUMIFS(INDEX(Техника!$F$1:$ABM$500,W$2,0),Техника!$F$4:$ABM$4,"Часы",INDEX(Техника!$G$1:$ABN$500,W$2,0),$A$347,INDEX(Техника!$H$1:$ABO$500,W$2,0),"П")</f>
        <v>0</v>
      </c>
      <c r="X350" s="50">
        <f>SUMIFS(INDEX(Техника!$F$1:$ABM$500,X$2,0),Техника!$F$4:$ABM$4,"Часы",INDEX(Техника!$G$1:$ABN$500,X$2,0),$A$347,INDEX(Техника!$H$1:$ABO$500,X$2,0),"П")</f>
        <v>0</v>
      </c>
      <c r="Y350" s="50">
        <f>SUMIFS(INDEX(Техника!$F$1:$ABM$500,Y$2,0),Техника!$F$4:$ABM$4,"Часы",INDEX(Техника!$G$1:$ABN$500,Y$2,0),$A$347,INDEX(Техника!$H$1:$ABO$500,Y$2,0),"П")</f>
        <v>0</v>
      </c>
      <c r="Z350" s="50">
        <f>SUMIFS(INDEX(Техника!$F$1:$ABM$500,Z$2,0),Техника!$F$4:$ABM$4,"Часы",INDEX(Техника!$G$1:$ABN$500,Z$2,0),$A$347,INDEX(Техника!$H$1:$ABO$500,Z$2,0),"П")</f>
        <v>0</v>
      </c>
      <c r="AA350" s="50">
        <f>SUMIFS(INDEX(Техника!$F$1:$ABM$500,AA$2,0),Техника!$F$4:$ABM$4,"Часы",INDEX(Техника!$G$1:$ABN$500,AA$2,0),$A$347,INDEX(Техника!$H$1:$ABO$500,AA$2,0),"П")</f>
        <v>0</v>
      </c>
      <c r="AB350" s="50">
        <f>SUMIFS(INDEX(Техника!$F$1:$ABM$500,AB$2,0),Техника!$F$4:$ABM$4,"Часы",INDEX(Техника!$G$1:$ABN$500,AB$2,0),$A$347,INDEX(Техника!$H$1:$ABO$500,AB$2,0),"П")</f>
        <v>0</v>
      </c>
    </row>
    <row r="351" spans="1:28" hidden="1" outlineLevel="1" x14ac:dyDescent="0.3">
      <c r="A351" s="33" t="s">
        <v>243</v>
      </c>
      <c r="B351" s="34" t="s">
        <v>278</v>
      </c>
      <c r="C351" s="50">
        <f>SUMIFS(INDEX(Техника!$F$1:$ABM$500,C$2,0),Техника!$F$4:$ABM$4,"Часы",INDEX(Техника!$G$1:$ABN$500,C$2,0),$A$347,INDEX(Техника!$H$1:$ABO$500,C$2,0),"Л")</f>
        <v>0</v>
      </c>
      <c r="D351" s="50">
        <f>SUMIFS(INDEX(Техника!$F$1:$ABM$500,D$2,0),Техника!$F$4:$ABM$4,"Часы",INDEX(Техника!$G$1:$ABN$500,D$2,0),$A$347,INDEX(Техника!$H$1:$ABO$500,D$2,0),"Л")</f>
        <v>0</v>
      </c>
      <c r="E351" s="50">
        <f>SUMIFS(INDEX(Техника!$F$1:$ABM$500,E$2,0),Техника!$F$4:$ABM$4,"Часы",INDEX(Техника!$G$1:$ABN$500,E$2,0),$A$347,INDEX(Техника!$H$1:$ABO$500,E$2,0),"Л")</f>
        <v>0</v>
      </c>
      <c r="F351" s="50">
        <f>SUMIFS(INDEX(Техника!$F$1:$ABM$500,F$2,0),Техника!$F$4:$ABM$4,"Часы",INDEX(Техника!$G$1:$ABN$500,F$2,0),$A$347,INDEX(Техника!$H$1:$ABO$500,F$2,0),"Л")</f>
        <v>0</v>
      </c>
      <c r="G351" s="50">
        <f>SUMIFS(INDEX(Техника!$F$1:$ABM$500,G$2,0),Техника!$F$4:$ABM$4,"Часы",INDEX(Техника!$G$1:$ABN$500,G$2,0),$A$347,INDEX(Техника!$H$1:$ABO$500,G$2,0),"Л")</f>
        <v>0</v>
      </c>
      <c r="H351" s="50">
        <f>SUMIFS(INDEX(Техника!$F$1:$ABM$500,H$2,0),Техника!$F$4:$ABM$4,"Часы",INDEX(Техника!$G$1:$ABN$500,H$2,0),$A$347,INDEX(Техника!$H$1:$ABO$500,H$2,0),"Л")</f>
        <v>0</v>
      </c>
      <c r="I351" s="50">
        <f>SUMIFS(INDEX(Техника!$F$1:$ABM$500,I$2,0),Техника!$F$4:$ABM$4,"Часы",INDEX(Техника!$G$1:$ABN$500,I$2,0),$A$347,INDEX(Техника!$H$1:$ABO$500,I$2,0),"Л")</f>
        <v>0</v>
      </c>
      <c r="J351" s="50">
        <f>SUMIFS(INDEX(Техника!$F$1:$ABM$500,J$2,0),Техника!$F$4:$ABM$4,"Часы",INDEX(Техника!$G$1:$ABN$500,J$2,0),$A$347,INDEX(Техника!$H$1:$ABO$500,J$2,0),"Л")</f>
        <v>0</v>
      </c>
      <c r="K351" s="50">
        <f>SUMIFS(INDEX(Техника!$F$1:$ABM$500,K$2,0),Техника!$F$4:$ABM$4,"Часы",INDEX(Техника!$G$1:$ABN$500,K$2,0),$A$347,INDEX(Техника!$H$1:$ABO$500,K$2,0),"Л")</f>
        <v>0</v>
      </c>
      <c r="L351" s="50">
        <f>SUMIFS(INDEX(Техника!$F$1:$ABM$500,L$2,0),Техника!$F$4:$ABM$4,"Часы",INDEX(Техника!$G$1:$ABN$500,L$2,0),$A$347,INDEX(Техника!$H$1:$ABO$500,L$2,0),"Л")</f>
        <v>0</v>
      </c>
      <c r="M351" s="50">
        <f>SUMIFS(INDEX(Техника!$F$1:$ABM$500,M$2,0),Техника!$F$4:$ABM$4,"Часы",INDEX(Техника!$G$1:$ABN$500,M$2,0),$A$347,INDEX(Техника!$H$1:$ABO$500,M$2,0),"Л")</f>
        <v>0</v>
      </c>
      <c r="N351" s="50">
        <f>SUMIFS(INDEX(Техника!$F$1:$ABM$500,N$2,0),Техника!$F$4:$ABM$4,"Часы",INDEX(Техника!$G$1:$ABN$500,N$2,0),$A$347,INDEX(Техника!$H$1:$ABO$500,N$2,0),"Л")</f>
        <v>0</v>
      </c>
      <c r="O351" s="50">
        <f>SUMIFS(INDEX(Техника!$F$1:$ABM$500,O$2,0),Техника!$F$4:$ABM$4,"Часы",INDEX(Техника!$G$1:$ABN$500,O$2,0),$A$347,INDEX(Техника!$H$1:$ABO$500,O$2,0),"Л")</f>
        <v>0</v>
      </c>
      <c r="P351" s="50">
        <f>SUMIFS(INDEX(Техника!$F$1:$ABM$500,P$2,0),Техника!$F$4:$ABM$4,"Часы",INDEX(Техника!$G$1:$ABN$500,P$2,0),$A$347,INDEX(Техника!$H$1:$ABO$500,P$2,0),"Л")</f>
        <v>0</v>
      </c>
      <c r="Q351" s="50">
        <f>SUMIFS(INDEX(Техника!$F$1:$ABM$500,Q$2,0),Техника!$F$4:$ABM$4,"Часы",INDEX(Техника!$G$1:$ABN$500,Q$2,0),$A$347,INDEX(Техника!$H$1:$ABO$500,Q$2,0),"Л")</f>
        <v>0</v>
      </c>
      <c r="R351" s="50">
        <f>SUMIFS(INDEX(Техника!$F$1:$ABM$500,R$2,0),Техника!$F$4:$ABM$4,"Часы",INDEX(Техника!$G$1:$ABN$500,R$2,0),$A$347,INDEX(Техника!$H$1:$ABO$500,R$2,0),"Л")</f>
        <v>0</v>
      </c>
      <c r="S351" s="50">
        <f>SUMIFS(INDEX(Техника!$F$1:$ABM$500,S$2,0),Техника!$F$4:$ABM$4,"Часы",INDEX(Техника!$G$1:$ABN$500,S$2,0),$A$347,INDEX(Техника!$H$1:$ABO$500,S$2,0),"Л")</f>
        <v>0</v>
      </c>
      <c r="T351" s="50">
        <f>SUMIFS(INDEX(Техника!$F$1:$ABM$500,T$2,0),Техника!$F$4:$ABM$4,"Часы",INDEX(Техника!$G$1:$ABN$500,T$2,0),$A$347,INDEX(Техника!$H$1:$ABO$500,T$2,0),"Л")</f>
        <v>0</v>
      </c>
      <c r="U351" s="50">
        <f>SUMIFS(INDEX(Техника!$F$1:$ABM$500,U$2,0),Техника!$F$4:$ABM$4,"Часы",INDEX(Техника!$G$1:$ABN$500,U$2,0),$A$347,INDEX(Техника!$H$1:$ABO$500,U$2,0),"Л")</f>
        <v>0</v>
      </c>
      <c r="V351" s="50">
        <f>SUMIFS(INDEX(Техника!$F$1:$ABM$500,V$2,0),Техника!$F$4:$ABM$4,"Часы",INDEX(Техника!$G$1:$ABN$500,V$2,0),$A$347,INDEX(Техника!$H$1:$ABO$500,V$2,0),"Л")</f>
        <v>0</v>
      </c>
      <c r="W351" s="50">
        <f>SUMIFS(INDEX(Техника!$F$1:$ABM$500,W$2,0),Техника!$F$4:$ABM$4,"Часы",INDEX(Техника!$G$1:$ABN$500,W$2,0),$A$347,INDEX(Техника!$H$1:$ABO$500,W$2,0),"Л")</f>
        <v>0</v>
      </c>
      <c r="X351" s="50">
        <f>SUMIFS(INDEX(Техника!$F$1:$ABM$500,X$2,0),Техника!$F$4:$ABM$4,"Часы",INDEX(Техника!$G$1:$ABN$500,X$2,0),$A$347,INDEX(Техника!$H$1:$ABO$500,X$2,0),"Л")</f>
        <v>0</v>
      </c>
      <c r="Y351" s="50">
        <f>SUMIFS(INDEX(Техника!$F$1:$ABM$500,Y$2,0),Техника!$F$4:$ABM$4,"Часы",INDEX(Техника!$G$1:$ABN$500,Y$2,0),$A$347,INDEX(Техника!$H$1:$ABO$500,Y$2,0),"Л")</f>
        <v>0</v>
      </c>
      <c r="Z351" s="50">
        <f>SUMIFS(INDEX(Техника!$F$1:$ABM$500,Z$2,0),Техника!$F$4:$ABM$4,"Часы",INDEX(Техника!$G$1:$ABN$500,Z$2,0),$A$347,INDEX(Техника!$H$1:$ABO$500,Z$2,0),"Л")</f>
        <v>0</v>
      </c>
      <c r="AA351" s="50">
        <f>SUMIFS(INDEX(Техника!$F$1:$ABM$500,AA$2,0),Техника!$F$4:$ABM$4,"Часы",INDEX(Техника!$G$1:$ABN$500,AA$2,0),$A$347,INDEX(Техника!$H$1:$ABO$500,AA$2,0),"Л")</f>
        <v>0</v>
      </c>
      <c r="AB351" s="50">
        <f>SUMIFS(INDEX(Техника!$F$1:$ABM$500,AB$2,0),Техника!$F$4:$ABM$4,"Часы",INDEX(Техника!$G$1:$ABN$500,AB$2,0),$A$347,INDEX(Техника!$H$1:$ABO$500,AB$2,0),"Л")</f>
        <v>0</v>
      </c>
    </row>
    <row r="352" spans="1:28" hidden="1" outlineLevel="1" x14ac:dyDescent="0.3">
      <c r="A352" s="33" t="s">
        <v>245</v>
      </c>
      <c r="B352" s="34" t="s">
        <v>279</v>
      </c>
      <c r="C352" s="50">
        <f>SUMIFS(INDEX(Техника!$F$1:$ABM$500,C$2,0),Техника!$F$4:$ABM$4,"Часы",INDEX(Техника!$G$1:$ABN$500,C$2,0),$A$347,INDEX(Техника!$H$1:$ABO$500,C$2,0),"З")</f>
        <v>0</v>
      </c>
      <c r="D352" s="50">
        <f>SUMIFS(INDEX(Техника!$F$1:$ABM$500,D$2,0),Техника!$F$4:$ABM$4,"Часы",INDEX(Техника!$G$1:$ABN$500,D$2,0),$A$347,INDEX(Техника!$H$1:$ABO$500,D$2,0),"З")</f>
        <v>0</v>
      </c>
      <c r="E352" s="50">
        <f>SUMIFS(INDEX(Техника!$F$1:$ABM$500,E$2,0),Техника!$F$4:$ABM$4,"Часы",INDEX(Техника!$G$1:$ABN$500,E$2,0),$A$347,INDEX(Техника!$H$1:$ABO$500,E$2,0),"З")</f>
        <v>0</v>
      </c>
      <c r="F352" s="50">
        <f>SUMIFS(INDEX(Техника!$F$1:$ABM$500,F$2,0),Техника!$F$4:$ABM$4,"Часы",INDEX(Техника!$G$1:$ABN$500,F$2,0),$A$347,INDEX(Техника!$H$1:$ABO$500,F$2,0),"З")</f>
        <v>0</v>
      </c>
      <c r="G352" s="50">
        <f>SUMIFS(INDEX(Техника!$F$1:$ABM$500,G$2,0),Техника!$F$4:$ABM$4,"Часы",INDEX(Техника!$G$1:$ABN$500,G$2,0),$A$347,INDEX(Техника!$H$1:$ABO$500,G$2,0),"З")</f>
        <v>0</v>
      </c>
      <c r="H352" s="50">
        <f>SUMIFS(INDEX(Техника!$F$1:$ABM$500,H$2,0),Техника!$F$4:$ABM$4,"Часы",INDEX(Техника!$G$1:$ABN$500,H$2,0),$A$347,INDEX(Техника!$H$1:$ABO$500,H$2,0),"З")</f>
        <v>0</v>
      </c>
      <c r="I352" s="50">
        <f>SUMIFS(INDEX(Техника!$F$1:$ABM$500,I$2,0),Техника!$F$4:$ABM$4,"Часы",INDEX(Техника!$G$1:$ABN$500,I$2,0),$A$347,INDEX(Техника!$H$1:$ABO$500,I$2,0),"З")</f>
        <v>0</v>
      </c>
      <c r="J352" s="50">
        <f>SUMIFS(INDEX(Техника!$F$1:$ABM$500,J$2,0),Техника!$F$4:$ABM$4,"Часы",INDEX(Техника!$G$1:$ABN$500,J$2,0),$A$347,INDEX(Техника!$H$1:$ABO$500,J$2,0),"З")</f>
        <v>0</v>
      </c>
      <c r="K352" s="50">
        <f>SUMIFS(INDEX(Техника!$F$1:$ABM$500,K$2,0),Техника!$F$4:$ABM$4,"Часы",INDEX(Техника!$G$1:$ABN$500,K$2,0),$A$347,INDEX(Техника!$H$1:$ABO$500,K$2,0),"З")</f>
        <v>0</v>
      </c>
      <c r="L352" s="50">
        <f>SUMIFS(INDEX(Техника!$F$1:$ABM$500,L$2,0),Техника!$F$4:$ABM$4,"Часы",INDEX(Техника!$G$1:$ABN$500,L$2,0),$A$347,INDEX(Техника!$H$1:$ABO$500,L$2,0),"З")</f>
        <v>0</v>
      </c>
      <c r="M352" s="50">
        <f>SUMIFS(INDEX(Техника!$F$1:$ABM$500,M$2,0),Техника!$F$4:$ABM$4,"Часы",INDEX(Техника!$G$1:$ABN$500,M$2,0),$A$347,INDEX(Техника!$H$1:$ABO$500,M$2,0),"З")</f>
        <v>0</v>
      </c>
      <c r="N352" s="50">
        <f>SUMIFS(INDEX(Техника!$F$1:$ABM$500,N$2,0),Техника!$F$4:$ABM$4,"Часы",INDEX(Техника!$G$1:$ABN$500,N$2,0),$A$347,INDEX(Техника!$H$1:$ABO$500,N$2,0),"З")</f>
        <v>0</v>
      </c>
      <c r="O352" s="50">
        <f>SUMIFS(INDEX(Техника!$F$1:$ABM$500,O$2,0),Техника!$F$4:$ABM$4,"Часы",INDEX(Техника!$G$1:$ABN$500,O$2,0),$A$347,INDEX(Техника!$H$1:$ABO$500,O$2,0),"З")</f>
        <v>0</v>
      </c>
      <c r="P352" s="50">
        <f>SUMIFS(INDEX(Техника!$F$1:$ABM$500,P$2,0),Техника!$F$4:$ABM$4,"Часы",INDEX(Техника!$G$1:$ABN$500,P$2,0),$A$347,INDEX(Техника!$H$1:$ABO$500,P$2,0),"З")</f>
        <v>0</v>
      </c>
      <c r="Q352" s="50">
        <f>SUMIFS(INDEX(Техника!$F$1:$ABM$500,Q$2,0),Техника!$F$4:$ABM$4,"Часы",INDEX(Техника!$G$1:$ABN$500,Q$2,0),$A$347,INDEX(Техника!$H$1:$ABO$500,Q$2,0),"З")</f>
        <v>0</v>
      </c>
      <c r="R352" s="50">
        <f>SUMIFS(INDEX(Техника!$F$1:$ABM$500,R$2,0),Техника!$F$4:$ABM$4,"Часы",INDEX(Техника!$G$1:$ABN$500,R$2,0),$A$347,INDEX(Техника!$H$1:$ABO$500,R$2,0),"З")</f>
        <v>0</v>
      </c>
      <c r="S352" s="50">
        <f>SUMIFS(INDEX(Техника!$F$1:$ABM$500,S$2,0),Техника!$F$4:$ABM$4,"Часы",INDEX(Техника!$G$1:$ABN$500,S$2,0),$A$347,INDEX(Техника!$H$1:$ABO$500,S$2,0),"З")</f>
        <v>0</v>
      </c>
      <c r="T352" s="50">
        <f>SUMIFS(INDEX(Техника!$F$1:$ABM$500,T$2,0),Техника!$F$4:$ABM$4,"Часы",INDEX(Техника!$G$1:$ABN$500,T$2,0),$A$347,INDEX(Техника!$H$1:$ABO$500,T$2,0),"З")</f>
        <v>0</v>
      </c>
      <c r="U352" s="50">
        <f>SUMIFS(INDEX(Техника!$F$1:$ABM$500,U$2,0),Техника!$F$4:$ABM$4,"Часы",INDEX(Техника!$G$1:$ABN$500,U$2,0),$A$347,INDEX(Техника!$H$1:$ABO$500,U$2,0),"З")</f>
        <v>0</v>
      </c>
      <c r="V352" s="50">
        <f>SUMIFS(INDEX(Техника!$F$1:$ABM$500,V$2,0),Техника!$F$4:$ABM$4,"Часы",INDEX(Техника!$G$1:$ABN$500,V$2,0),$A$347,INDEX(Техника!$H$1:$ABO$500,V$2,0),"З")</f>
        <v>0</v>
      </c>
      <c r="W352" s="50">
        <f>SUMIFS(INDEX(Техника!$F$1:$ABM$500,W$2,0),Техника!$F$4:$ABM$4,"Часы",INDEX(Техника!$G$1:$ABN$500,W$2,0),$A$347,INDEX(Техника!$H$1:$ABO$500,W$2,0),"З")</f>
        <v>0</v>
      </c>
      <c r="X352" s="50">
        <f>SUMIFS(INDEX(Техника!$F$1:$ABM$500,X$2,0),Техника!$F$4:$ABM$4,"Часы",INDEX(Техника!$G$1:$ABN$500,X$2,0),$A$347,INDEX(Техника!$H$1:$ABO$500,X$2,0),"З")</f>
        <v>0</v>
      </c>
      <c r="Y352" s="50">
        <f>SUMIFS(INDEX(Техника!$F$1:$ABM$500,Y$2,0),Техника!$F$4:$ABM$4,"Часы",INDEX(Техника!$G$1:$ABN$500,Y$2,0),$A$347,INDEX(Техника!$H$1:$ABO$500,Y$2,0),"З")</f>
        <v>0</v>
      </c>
      <c r="Z352" s="50">
        <f>SUMIFS(INDEX(Техника!$F$1:$ABM$500,Z$2,0),Техника!$F$4:$ABM$4,"Часы",INDEX(Техника!$G$1:$ABN$500,Z$2,0),$A$347,INDEX(Техника!$H$1:$ABO$500,Z$2,0),"З")</f>
        <v>0</v>
      </c>
      <c r="AA352" s="50">
        <f>SUMIFS(INDEX(Техника!$F$1:$ABM$500,AA$2,0),Техника!$F$4:$ABM$4,"Часы",INDEX(Техника!$G$1:$ABN$500,AA$2,0),$A$347,INDEX(Техника!$H$1:$ABO$500,AA$2,0),"З")</f>
        <v>0</v>
      </c>
      <c r="AB352" s="50">
        <f>SUMIFS(INDEX(Техника!$F$1:$ABM$500,AB$2,0),Техника!$F$4:$ABM$4,"Часы",INDEX(Техника!$G$1:$ABN$500,AB$2,0),$A$347,INDEX(Техника!$H$1:$ABO$500,AB$2,0),"З")</f>
        <v>0</v>
      </c>
    </row>
    <row r="353" spans="1:28" ht="7.95" customHeight="1" x14ac:dyDescent="0.3">
      <c r="A353" s="38"/>
      <c r="B353" s="39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</row>
    <row r="354" spans="1:28" ht="25.05" customHeight="1" collapsed="1" x14ac:dyDescent="0.3">
      <c r="A354" s="32">
        <v>51</v>
      </c>
      <c r="B354" s="32" t="s">
        <v>52</v>
      </c>
      <c r="C354" s="49">
        <f>SUM(C355:C359)</f>
        <v>0</v>
      </c>
      <c r="D354" s="49">
        <f>SUM(D355:D359)</f>
        <v>0</v>
      </c>
      <c r="E354" s="49">
        <f>SUM(E355:E359)</f>
        <v>0</v>
      </c>
      <c r="F354" s="49">
        <f>SUM(F355:F359)</f>
        <v>0</v>
      </c>
      <c r="G354" s="49">
        <f>SUM(G355:G359)</f>
        <v>0</v>
      </c>
      <c r="H354" s="49">
        <f>SUM(H355:H359)</f>
        <v>0</v>
      </c>
      <c r="I354" s="49">
        <f>SUM(I355:I359)</f>
        <v>0</v>
      </c>
      <c r="J354" s="49">
        <f>SUM(J355:J359)</f>
        <v>0</v>
      </c>
      <c r="K354" s="49">
        <f>SUM(K355:K359)</f>
        <v>0</v>
      </c>
      <c r="L354" s="49">
        <f>SUM(L355:L359)</f>
        <v>0</v>
      </c>
      <c r="M354" s="49">
        <f>SUM(M355:M359)</f>
        <v>0</v>
      </c>
      <c r="N354" s="49">
        <f>SUM(N355:N359)</f>
        <v>0</v>
      </c>
      <c r="O354" s="49">
        <f>SUM(O355:O359)</f>
        <v>0</v>
      </c>
      <c r="P354" s="49">
        <f>SUM(P355:P359)</f>
        <v>0</v>
      </c>
      <c r="Q354" s="49">
        <f>SUM(Q355:Q359)</f>
        <v>0</v>
      </c>
      <c r="R354" s="49">
        <f>SUM(R355:R359)</f>
        <v>0</v>
      </c>
      <c r="S354" s="49">
        <f>SUM(S355:S359)</f>
        <v>0</v>
      </c>
      <c r="T354" s="49">
        <f>SUM(T355:T359)</f>
        <v>0</v>
      </c>
      <c r="U354" s="49">
        <f>SUM(U355:U359)</f>
        <v>0</v>
      </c>
      <c r="V354" s="49">
        <f>SUM(V355:V359)</f>
        <v>0</v>
      </c>
      <c r="W354" s="49">
        <f>SUM(W355:W359)</f>
        <v>0</v>
      </c>
      <c r="X354" s="49">
        <f>SUM(X355:X359)</f>
        <v>0</v>
      </c>
      <c r="Y354" s="49">
        <f>SUM(Y355:Y359)</f>
        <v>0</v>
      </c>
      <c r="Z354" s="49">
        <f>SUM(Z355:Z359)</f>
        <v>0</v>
      </c>
      <c r="AA354" s="49">
        <f>SUM(AA355:AA359)</f>
        <v>0</v>
      </c>
      <c r="AB354" s="49">
        <f>SUM(AB355:AB359)</f>
        <v>0</v>
      </c>
    </row>
    <row r="355" spans="1:28" hidden="1" outlineLevel="1" x14ac:dyDescent="0.3">
      <c r="A355" s="33" t="s">
        <v>246</v>
      </c>
      <c r="B355" s="34" t="s">
        <v>274</v>
      </c>
      <c r="C355" s="50">
        <f>SUMIFS(INDEX(Техника!$F$1:$ABM$500,C$2,0),Техника!$F$4:$ABM$4,"Часы",INDEX(Техника!$G$1:$ABN$500,C$2,0),$A$354,INDEX(Техника!$H$1:$ABO$500,C$2,0),"М")</f>
        <v>0</v>
      </c>
      <c r="D355" s="50">
        <f>SUMIFS(INDEX(Техника!$F$1:$ABM$500,D$2,0),Техника!$F$4:$ABM$4,"Часы",INDEX(Техника!$G$1:$ABN$500,D$2,0),$A$354,INDEX(Техника!$H$1:$ABO$500,D$2,0),"М")</f>
        <v>0</v>
      </c>
      <c r="E355" s="50">
        <f>SUMIFS(INDEX(Техника!$F$1:$ABM$500,E$2,0),Техника!$F$4:$ABM$4,"Часы",INDEX(Техника!$G$1:$ABN$500,E$2,0),$A$354,INDEX(Техника!$H$1:$ABO$500,E$2,0),"М")</f>
        <v>0</v>
      </c>
      <c r="F355" s="50">
        <f>SUMIFS(INDEX(Техника!$F$1:$ABM$500,F$2,0),Техника!$F$4:$ABM$4,"Часы",INDEX(Техника!$G$1:$ABN$500,F$2,0),$A$354,INDEX(Техника!$H$1:$ABO$500,F$2,0),"М")</f>
        <v>0</v>
      </c>
      <c r="G355" s="50">
        <f>SUMIFS(INDEX(Техника!$F$1:$ABM$500,G$2,0),Техника!$F$4:$ABM$4,"Часы",INDEX(Техника!$G$1:$ABN$500,G$2,0),$A$354,INDEX(Техника!$H$1:$ABO$500,G$2,0),"М")</f>
        <v>0</v>
      </c>
      <c r="H355" s="50">
        <f>SUMIFS(INDEX(Техника!$F$1:$ABM$500,H$2,0),Техника!$F$4:$ABM$4,"Часы",INDEX(Техника!$G$1:$ABN$500,H$2,0),$A$354,INDEX(Техника!$H$1:$ABO$500,H$2,0),"М")</f>
        <v>0</v>
      </c>
      <c r="I355" s="50">
        <f>SUMIFS(INDEX(Техника!$F$1:$ABM$500,I$2,0),Техника!$F$4:$ABM$4,"Часы",INDEX(Техника!$G$1:$ABN$500,I$2,0),$A$354,INDEX(Техника!$H$1:$ABO$500,I$2,0),"М")</f>
        <v>0</v>
      </c>
      <c r="J355" s="50">
        <f>SUMIFS(INDEX(Техника!$F$1:$ABM$500,J$2,0),Техника!$F$4:$ABM$4,"Часы",INDEX(Техника!$G$1:$ABN$500,J$2,0),$A$354,INDEX(Техника!$H$1:$ABO$500,J$2,0),"М")</f>
        <v>0</v>
      </c>
      <c r="K355" s="50">
        <f>SUMIFS(INDEX(Техника!$F$1:$ABM$500,K$2,0),Техника!$F$4:$ABM$4,"Часы",INDEX(Техника!$G$1:$ABN$500,K$2,0),$A$354,INDEX(Техника!$H$1:$ABO$500,K$2,0),"М")</f>
        <v>0</v>
      </c>
      <c r="L355" s="50">
        <f>SUMIFS(INDEX(Техника!$F$1:$ABM$500,L$2,0),Техника!$F$4:$ABM$4,"Часы",INDEX(Техника!$G$1:$ABN$500,L$2,0),$A$354,INDEX(Техника!$H$1:$ABO$500,L$2,0),"М")</f>
        <v>0</v>
      </c>
      <c r="M355" s="50">
        <f>SUMIFS(INDEX(Техника!$F$1:$ABM$500,M$2,0),Техника!$F$4:$ABM$4,"Часы",INDEX(Техника!$G$1:$ABN$500,M$2,0),$A$354,INDEX(Техника!$H$1:$ABO$500,M$2,0),"М")</f>
        <v>0</v>
      </c>
      <c r="N355" s="50">
        <f>SUMIFS(INDEX(Техника!$F$1:$ABM$500,N$2,0),Техника!$F$4:$ABM$4,"Часы",INDEX(Техника!$G$1:$ABN$500,N$2,0),$A$354,INDEX(Техника!$H$1:$ABO$500,N$2,0),"М")</f>
        <v>0</v>
      </c>
      <c r="O355" s="50">
        <f>SUMIFS(INDEX(Техника!$F$1:$ABM$500,O$2,0),Техника!$F$4:$ABM$4,"Часы",INDEX(Техника!$G$1:$ABN$500,O$2,0),$A$354,INDEX(Техника!$H$1:$ABO$500,O$2,0),"М")</f>
        <v>0</v>
      </c>
      <c r="P355" s="50">
        <f>SUMIFS(INDEX(Техника!$F$1:$ABM$500,P$2,0),Техника!$F$4:$ABM$4,"Часы",INDEX(Техника!$G$1:$ABN$500,P$2,0),$A$354,INDEX(Техника!$H$1:$ABO$500,P$2,0),"М")</f>
        <v>0</v>
      </c>
      <c r="Q355" s="50">
        <f>SUMIFS(INDEX(Техника!$F$1:$ABM$500,Q$2,0),Техника!$F$4:$ABM$4,"Часы",INDEX(Техника!$G$1:$ABN$500,Q$2,0),$A$354,INDEX(Техника!$H$1:$ABO$500,Q$2,0),"М")</f>
        <v>0</v>
      </c>
      <c r="R355" s="50">
        <f>SUMIFS(INDEX(Техника!$F$1:$ABM$500,R$2,0),Техника!$F$4:$ABM$4,"Часы",INDEX(Техника!$G$1:$ABN$500,R$2,0),$A$354,INDEX(Техника!$H$1:$ABO$500,R$2,0),"М")</f>
        <v>0</v>
      </c>
      <c r="S355" s="50">
        <f>SUMIFS(INDEX(Техника!$F$1:$ABM$500,S$2,0),Техника!$F$4:$ABM$4,"Часы",INDEX(Техника!$G$1:$ABN$500,S$2,0),$A$354,INDEX(Техника!$H$1:$ABO$500,S$2,0),"М")</f>
        <v>0</v>
      </c>
      <c r="T355" s="50">
        <f>SUMIFS(INDEX(Техника!$F$1:$ABM$500,T$2,0),Техника!$F$4:$ABM$4,"Часы",INDEX(Техника!$G$1:$ABN$500,T$2,0),$A$354,INDEX(Техника!$H$1:$ABO$500,T$2,0),"М")</f>
        <v>0</v>
      </c>
      <c r="U355" s="50">
        <f>SUMIFS(INDEX(Техника!$F$1:$ABM$500,U$2,0),Техника!$F$4:$ABM$4,"Часы",INDEX(Техника!$G$1:$ABN$500,U$2,0),$A$354,INDEX(Техника!$H$1:$ABO$500,U$2,0),"М")</f>
        <v>0</v>
      </c>
      <c r="V355" s="50">
        <f>SUMIFS(INDEX(Техника!$F$1:$ABM$500,V$2,0),Техника!$F$4:$ABM$4,"Часы",INDEX(Техника!$G$1:$ABN$500,V$2,0),$A$354,INDEX(Техника!$H$1:$ABO$500,V$2,0),"М")</f>
        <v>0</v>
      </c>
      <c r="W355" s="50">
        <f>SUMIFS(INDEX(Техника!$F$1:$ABM$500,W$2,0),Техника!$F$4:$ABM$4,"Часы",INDEX(Техника!$G$1:$ABN$500,W$2,0),$A$354,INDEX(Техника!$H$1:$ABO$500,W$2,0),"М")</f>
        <v>0</v>
      </c>
      <c r="X355" s="50">
        <f>SUMIFS(INDEX(Техника!$F$1:$ABM$500,X$2,0),Техника!$F$4:$ABM$4,"Часы",INDEX(Техника!$G$1:$ABN$500,X$2,0),$A$354,INDEX(Техника!$H$1:$ABO$500,X$2,0),"М")</f>
        <v>0</v>
      </c>
      <c r="Y355" s="50">
        <f>SUMIFS(INDEX(Техника!$F$1:$ABM$500,Y$2,0),Техника!$F$4:$ABM$4,"Часы",INDEX(Техника!$G$1:$ABN$500,Y$2,0),$A$354,INDEX(Техника!$H$1:$ABO$500,Y$2,0),"М")</f>
        <v>0</v>
      </c>
      <c r="Z355" s="50">
        <f>SUMIFS(INDEX(Техника!$F$1:$ABM$500,Z$2,0),Техника!$F$4:$ABM$4,"Часы",INDEX(Техника!$G$1:$ABN$500,Z$2,0),$A$354,INDEX(Техника!$H$1:$ABO$500,Z$2,0),"М")</f>
        <v>0</v>
      </c>
      <c r="AA355" s="50">
        <f>SUMIFS(INDEX(Техника!$F$1:$ABM$500,AA$2,0),Техника!$F$4:$ABM$4,"Часы",INDEX(Техника!$G$1:$ABN$500,AA$2,0),$A$354,INDEX(Техника!$H$1:$ABO$500,AA$2,0),"М")</f>
        <v>0</v>
      </c>
      <c r="AB355" s="50">
        <f>SUMIFS(INDEX(Техника!$F$1:$ABM$500,AB$2,0),Техника!$F$4:$ABM$4,"Часы",INDEX(Техника!$G$1:$ABN$500,AB$2,0),$A$354,INDEX(Техника!$H$1:$ABO$500,AB$2,0),"М")</f>
        <v>0</v>
      </c>
    </row>
    <row r="356" spans="1:28" hidden="1" outlineLevel="1" x14ac:dyDescent="0.3">
      <c r="A356" s="33" t="s">
        <v>244</v>
      </c>
      <c r="B356" s="34" t="s">
        <v>275</v>
      </c>
      <c r="C356" s="50">
        <f>SUMIFS(INDEX(Техника!$F$1:$ABM$500,C$2,0),Техника!$F$4:$ABM$4,"Часы",INDEX(Техника!$G$1:$ABN$500,C$2,0),$A$354,INDEX(Техника!$H$1:$ABO$500,C$2,0),"Д")</f>
        <v>0</v>
      </c>
      <c r="D356" s="50">
        <f>SUMIFS(INDEX(Техника!$F$1:$ABM$500,D$2,0),Техника!$F$4:$ABM$4,"Часы",INDEX(Техника!$G$1:$ABN$500,D$2,0),$A$354,INDEX(Техника!$H$1:$ABO$500,D$2,0),"Д")</f>
        <v>0</v>
      </c>
      <c r="E356" s="50">
        <f>SUMIFS(INDEX(Техника!$F$1:$ABM$500,E$2,0),Техника!$F$4:$ABM$4,"Часы",INDEX(Техника!$G$1:$ABN$500,E$2,0),$A$354,INDEX(Техника!$H$1:$ABO$500,E$2,0),"Д")</f>
        <v>0</v>
      </c>
      <c r="F356" s="50">
        <f>SUMIFS(INDEX(Техника!$F$1:$ABM$500,F$2,0),Техника!$F$4:$ABM$4,"Часы",INDEX(Техника!$G$1:$ABN$500,F$2,0),$A$354,INDEX(Техника!$H$1:$ABO$500,F$2,0),"Д")</f>
        <v>0</v>
      </c>
      <c r="G356" s="50">
        <f>SUMIFS(INDEX(Техника!$F$1:$ABM$500,G$2,0),Техника!$F$4:$ABM$4,"Часы",INDEX(Техника!$G$1:$ABN$500,G$2,0),$A$354,INDEX(Техника!$H$1:$ABO$500,G$2,0),"Д")</f>
        <v>0</v>
      </c>
      <c r="H356" s="50">
        <f>SUMIFS(INDEX(Техника!$F$1:$ABM$500,H$2,0),Техника!$F$4:$ABM$4,"Часы",INDEX(Техника!$G$1:$ABN$500,H$2,0),$A$354,INDEX(Техника!$H$1:$ABO$500,H$2,0),"Д")</f>
        <v>0</v>
      </c>
      <c r="I356" s="50">
        <f>SUMIFS(INDEX(Техника!$F$1:$ABM$500,I$2,0),Техника!$F$4:$ABM$4,"Часы",INDEX(Техника!$G$1:$ABN$500,I$2,0),$A$354,INDEX(Техника!$H$1:$ABO$500,I$2,0),"Д")</f>
        <v>0</v>
      </c>
      <c r="J356" s="50">
        <f>SUMIFS(INDEX(Техника!$F$1:$ABM$500,J$2,0),Техника!$F$4:$ABM$4,"Часы",INDEX(Техника!$G$1:$ABN$500,J$2,0),$A$354,INDEX(Техника!$H$1:$ABO$500,J$2,0),"Д")</f>
        <v>0</v>
      </c>
      <c r="K356" s="50">
        <f>SUMIFS(INDEX(Техника!$F$1:$ABM$500,K$2,0),Техника!$F$4:$ABM$4,"Часы",INDEX(Техника!$G$1:$ABN$500,K$2,0),$A$354,INDEX(Техника!$H$1:$ABO$500,K$2,0),"Д")</f>
        <v>0</v>
      </c>
      <c r="L356" s="50">
        <f>SUMIFS(INDEX(Техника!$F$1:$ABM$500,L$2,0),Техника!$F$4:$ABM$4,"Часы",INDEX(Техника!$G$1:$ABN$500,L$2,0),$A$354,INDEX(Техника!$H$1:$ABO$500,L$2,0),"Д")</f>
        <v>0</v>
      </c>
      <c r="M356" s="50">
        <f>SUMIFS(INDEX(Техника!$F$1:$ABM$500,M$2,0),Техника!$F$4:$ABM$4,"Часы",INDEX(Техника!$G$1:$ABN$500,M$2,0),$A$354,INDEX(Техника!$H$1:$ABO$500,M$2,0),"Д")</f>
        <v>0</v>
      </c>
      <c r="N356" s="50">
        <f>SUMIFS(INDEX(Техника!$F$1:$ABM$500,N$2,0),Техника!$F$4:$ABM$4,"Часы",INDEX(Техника!$G$1:$ABN$500,N$2,0),$A$354,INDEX(Техника!$H$1:$ABO$500,N$2,0),"Д")</f>
        <v>0</v>
      </c>
      <c r="O356" s="50">
        <f>SUMIFS(INDEX(Техника!$F$1:$ABM$500,O$2,0),Техника!$F$4:$ABM$4,"Часы",INDEX(Техника!$G$1:$ABN$500,O$2,0),$A$354,INDEX(Техника!$H$1:$ABO$500,O$2,0),"Д")</f>
        <v>0</v>
      </c>
      <c r="P356" s="50">
        <f>SUMIFS(INDEX(Техника!$F$1:$ABM$500,P$2,0),Техника!$F$4:$ABM$4,"Часы",INDEX(Техника!$G$1:$ABN$500,P$2,0),$A$354,INDEX(Техника!$H$1:$ABO$500,P$2,0),"Д")</f>
        <v>0</v>
      </c>
      <c r="Q356" s="50">
        <f>SUMIFS(INDEX(Техника!$F$1:$ABM$500,Q$2,0),Техника!$F$4:$ABM$4,"Часы",INDEX(Техника!$G$1:$ABN$500,Q$2,0),$A$354,INDEX(Техника!$H$1:$ABO$500,Q$2,0),"Д")</f>
        <v>0</v>
      </c>
      <c r="R356" s="50">
        <f>SUMIFS(INDEX(Техника!$F$1:$ABM$500,R$2,0),Техника!$F$4:$ABM$4,"Часы",INDEX(Техника!$G$1:$ABN$500,R$2,0),$A$354,INDEX(Техника!$H$1:$ABO$500,R$2,0),"Д")</f>
        <v>0</v>
      </c>
      <c r="S356" s="50">
        <f>SUMIFS(INDEX(Техника!$F$1:$ABM$500,S$2,0),Техника!$F$4:$ABM$4,"Часы",INDEX(Техника!$G$1:$ABN$500,S$2,0),$A$354,INDEX(Техника!$H$1:$ABO$500,S$2,0),"Д")</f>
        <v>0</v>
      </c>
      <c r="T356" s="50">
        <f>SUMIFS(INDEX(Техника!$F$1:$ABM$500,T$2,0),Техника!$F$4:$ABM$4,"Часы",INDEX(Техника!$G$1:$ABN$500,T$2,0),$A$354,INDEX(Техника!$H$1:$ABO$500,T$2,0),"Д")</f>
        <v>0</v>
      </c>
      <c r="U356" s="50">
        <f>SUMIFS(INDEX(Техника!$F$1:$ABM$500,U$2,0),Техника!$F$4:$ABM$4,"Часы",INDEX(Техника!$G$1:$ABN$500,U$2,0),$A$354,INDEX(Техника!$H$1:$ABO$500,U$2,0),"Д")</f>
        <v>0</v>
      </c>
      <c r="V356" s="50">
        <f>SUMIFS(INDEX(Техника!$F$1:$ABM$500,V$2,0),Техника!$F$4:$ABM$4,"Часы",INDEX(Техника!$G$1:$ABN$500,V$2,0),$A$354,INDEX(Техника!$H$1:$ABO$500,V$2,0),"Д")</f>
        <v>0</v>
      </c>
      <c r="W356" s="50">
        <f>SUMIFS(INDEX(Техника!$F$1:$ABM$500,W$2,0),Техника!$F$4:$ABM$4,"Часы",INDEX(Техника!$G$1:$ABN$500,W$2,0),$A$354,INDEX(Техника!$H$1:$ABO$500,W$2,0),"Д")</f>
        <v>0</v>
      </c>
      <c r="X356" s="50">
        <f>SUMIFS(INDEX(Техника!$F$1:$ABM$500,X$2,0),Техника!$F$4:$ABM$4,"Часы",INDEX(Техника!$G$1:$ABN$500,X$2,0),$A$354,INDEX(Техника!$H$1:$ABO$500,X$2,0),"Д")</f>
        <v>0</v>
      </c>
      <c r="Y356" s="50">
        <f>SUMIFS(INDEX(Техника!$F$1:$ABM$500,Y$2,0),Техника!$F$4:$ABM$4,"Часы",INDEX(Техника!$G$1:$ABN$500,Y$2,0),$A$354,INDEX(Техника!$H$1:$ABO$500,Y$2,0),"Д")</f>
        <v>0</v>
      </c>
      <c r="Z356" s="50">
        <f>SUMIFS(INDEX(Техника!$F$1:$ABM$500,Z$2,0),Техника!$F$4:$ABM$4,"Часы",INDEX(Техника!$G$1:$ABN$500,Z$2,0),$A$354,INDEX(Техника!$H$1:$ABO$500,Z$2,0),"Д")</f>
        <v>0</v>
      </c>
      <c r="AA356" s="50">
        <f>SUMIFS(INDEX(Техника!$F$1:$ABM$500,AA$2,0),Техника!$F$4:$ABM$4,"Часы",INDEX(Техника!$G$1:$ABN$500,AA$2,0),$A$354,INDEX(Техника!$H$1:$ABO$500,AA$2,0),"Д")</f>
        <v>0</v>
      </c>
      <c r="AB356" s="50">
        <f>SUMIFS(INDEX(Техника!$F$1:$ABM$500,AB$2,0),Техника!$F$4:$ABM$4,"Часы",INDEX(Техника!$G$1:$ABN$500,AB$2,0),$A$354,INDEX(Техника!$H$1:$ABO$500,AB$2,0),"Д")</f>
        <v>0</v>
      </c>
    </row>
    <row r="357" spans="1:28" hidden="1" outlineLevel="1" x14ac:dyDescent="0.3">
      <c r="A357" s="33" t="s">
        <v>276</v>
      </c>
      <c r="B357" s="34" t="s">
        <v>277</v>
      </c>
      <c r="C357" s="50">
        <f>SUMIFS(INDEX(Техника!$F$1:$ABM$500,C$2,0),Техника!$F$4:$ABM$4,"Часы",INDEX(Техника!$G$1:$ABN$500,C$2,0),$A$354,INDEX(Техника!$H$1:$ABO$500,C$2,0),"П")</f>
        <v>0</v>
      </c>
      <c r="D357" s="50">
        <f>SUMIFS(INDEX(Техника!$F$1:$ABM$500,D$2,0),Техника!$F$4:$ABM$4,"Часы",INDEX(Техника!$G$1:$ABN$500,D$2,0),$A$354,INDEX(Техника!$H$1:$ABO$500,D$2,0),"П")</f>
        <v>0</v>
      </c>
      <c r="E357" s="50">
        <f>SUMIFS(INDEX(Техника!$F$1:$ABM$500,E$2,0),Техника!$F$4:$ABM$4,"Часы",INDEX(Техника!$G$1:$ABN$500,E$2,0),$A$354,INDEX(Техника!$H$1:$ABO$500,E$2,0),"П")</f>
        <v>0</v>
      </c>
      <c r="F357" s="50">
        <f>SUMIFS(INDEX(Техника!$F$1:$ABM$500,F$2,0),Техника!$F$4:$ABM$4,"Часы",INDEX(Техника!$G$1:$ABN$500,F$2,0),$A$354,INDEX(Техника!$H$1:$ABO$500,F$2,0),"П")</f>
        <v>0</v>
      </c>
      <c r="G357" s="50">
        <f>SUMIFS(INDEX(Техника!$F$1:$ABM$500,G$2,0),Техника!$F$4:$ABM$4,"Часы",INDEX(Техника!$G$1:$ABN$500,G$2,0),$A$354,INDEX(Техника!$H$1:$ABO$500,G$2,0),"П")</f>
        <v>0</v>
      </c>
      <c r="H357" s="50">
        <f>SUMIFS(INDEX(Техника!$F$1:$ABM$500,H$2,0),Техника!$F$4:$ABM$4,"Часы",INDEX(Техника!$G$1:$ABN$500,H$2,0),$A$354,INDEX(Техника!$H$1:$ABO$500,H$2,0),"П")</f>
        <v>0</v>
      </c>
      <c r="I357" s="50">
        <f>SUMIFS(INDEX(Техника!$F$1:$ABM$500,I$2,0),Техника!$F$4:$ABM$4,"Часы",INDEX(Техника!$G$1:$ABN$500,I$2,0),$A$354,INDEX(Техника!$H$1:$ABO$500,I$2,0),"П")</f>
        <v>0</v>
      </c>
      <c r="J357" s="50">
        <f>SUMIFS(INDEX(Техника!$F$1:$ABM$500,J$2,0),Техника!$F$4:$ABM$4,"Часы",INDEX(Техника!$G$1:$ABN$500,J$2,0),$A$354,INDEX(Техника!$H$1:$ABO$500,J$2,0),"П")</f>
        <v>0</v>
      </c>
      <c r="K357" s="50">
        <f>SUMIFS(INDEX(Техника!$F$1:$ABM$500,K$2,0),Техника!$F$4:$ABM$4,"Часы",INDEX(Техника!$G$1:$ABN$500,K$2,0),$A$354,INDEX(Техника!$H$1:$ABO$500,K$2,0),"П")</f>
        <v>0</v>
      </c>
      <c r="L357" s="50">
        <f>SUMIFS(INDEX(Техника!$F$1:$ABM$500,L$2,0),Техника!$F$4:$ABM$4,"Часы",INDEX(Техника!$G$1:$ABN$500,L$2,0),$A$354,INDEX(Техника!$H$1:$ABO$500,L$2,0),"П")</f>
        <v>0</v>
      </c>
      <c r="M357" s="50">
        <f>SUMIFS(INDEX(Техника!$F$1:$ABM$500,M$2,0),Техника!$F$4:$ABM$4,"Часы",INDEX(Техника!$G$1:$ABN$500,M$2,0),$A$354,INDEX(Техника!$H$1:$ABO$500,M$2,0),"П")</f>
        <v>0</v>
      </c>
      <c r="N357" s="50">
        <f>SUMIFS(INDEX(Техника!$F$1:$ABM$500,N$2,0),Техника!$F$4:$ABM$4,"Часы",INDEX(Техника!$G$1:$ABN$500,N$2,0),$A$354,INDEX(Техника!$H$1:$ABO$500,N$2,0),"П")</f>
        <v>0</v>
      </c>
      <c r="O357" s="50">
        <f>SUMIFS(INDEX(Техника!$F$1:$ABM$500,O$2,0),Техника!$F$4:$ABM$4,"Часы",INDEX(Техника!$G$1:$ABN$500,O$2,0),$A$354,INDEX(Техника!$H$1:$ABO$500,O$2,0),"П")</f>
        <v>0</v>
      </c>
      <c r="P357" s="50">
        <f>SUMIFS(INDEX(Техника!$F$1:$ABM$500,P$2,0),Техника!$F$4:$ABM$4,"Часы",INDEX(Техника!$G$1:$ABN$500,P$2,0),$A$354,INDEX(Техника!$H$1:$ABO$500,P$2,0),"П")</f>
        <v>0</v>
      </c>
      <c r="Q357" s="50">
        <f>SUMIFS(INDEX(Техника!$F$1:$ABM$500,Q$2,0),Техника!$F$4:$ABM$4,"Часы",INDEX(Техника!$G$1:$ABN$500,Q$2,0),$A$354,INDEX(Техника!$H$1:$ABO$500,Q$2,0),"П")</f>
        <v>0</v>
      </c>
      <c r="R357" s="50">
        <f>SUMIFS(INDEX(Техника!$F$1:$ABM$500,R$2,0),Техника!$F$4:$ABM$4,"Часы",INDEX(Техника!$G$1:$ABN$500,R$2,0),$A$354,INDEX(Техника!$H$1:$ABO$500,R$2,0),"П")</f>
        <v>0</v>
      </c>
      <c r="S357" s="50">
        <f>SUMIFS(INDEX(Техника!$F$1:$ABM$500,S$2,0),Техника!$F$4:$ABM$4,"Часы",INDEX(Техника!$G$1:$ABN$500,S$2,0),$A$354,INDEX(Техника!$H$1:$ABO$500,S$2,0),"П")</f>
        <v>0</v>
      </c>
      <c r="T357" s="50">
        <f>SUMIFS(INDEX(Техника!$F$1:$ABM$500,T$2,0),Техника!$F$4:$ABM$4,"Часы",INDEX(Техника!$G$1:$ABN$500,T$2,0),$A$354,INDEX(Техника!$H$1:$ABO$500,T$2,0),"П")</f>
        <v>0</v>
      </c>
      <c r="U357" s="50">
        <f>SUMIFS(INDEX(Техника!$F$1:$ABM$500,U$2,0),Техника!$F$4:$ABM$4,"Часы",INDEX(Техника!$G$1:$ABN$500,U$2,0),$A$354,INDEX(Техника!$H$1:$ABO$500,U$2,0),"П")</f>
        <v>0</v>
      </c>
      <c r="V357" s="50">
        <f>SUMIFS(INDEX(Техника!$F$1:$ABM$500,V$2,0),Техника!$F$4:$ABM$4,"Часы",INDEX(Техника!$G$1:$ABN$500,V$2,0),$A$354,INDEX(Техника!$H$1:$ABO$500,V$2,0),"П")</f>
        <v>0</v>
      </c>
      <c r="W357" s="50">
        <f>SUMIFS(INDEX(Техника!$F$1:$ABM$500,W$2,0),Техника!$F$4:$ABM$4,"Часы",INDEX(Техника!$G$1:$ABN$500,W$2,0),$A$354,INDEX(Техника!$H$1:$ABO$500,W$2,0),"П")</f>
        <v>0</v>
      </c>
      <c r="X357" s="50">
        <f>SUMIFS(INDEX(Техника!$F$1:$ABM$500,X$2,0),Техника!$F$4:$ABM$4,"Часы",INDEX(Техника!$G$1:$ABN$500,X$2,0),$A$354,INDEX(Техника!$H$1:$ABO$500,X$2,0),"П")</f>
        <v>0</v>
      </c>
      <c r="Y357" s="50">
        <f>SUMIFS(INDEX(Техника!$F$1:$ABM$500,Y$2,0),Техника!$F$4:$ABM$4,"Часы",INDEX(Техника!$G$1:$ABN$500,Y$2,0),$A$354,INDEX(Техника!$H$1:$ABO$500,Y$2,0),"П")</f>
        <v>0</v>
      </c>
      <c r="Z357" s="50">
        <f>SUMIFS(INDEX(Техника!$F$1:$ABM$500,Z$2,0),Техника!$F$4:$ABM$4,"Часы",INDEX(Техника!$G$1:$ABN$500,Z$2,0),$A$354,INDEX(Техника!$H$1:$ABO$500,Z$2,0),"П")</f>
        <v>0</v>
      </c>
      <c r="AA357" s="50">
        <f>SUMIFS(INDEX(Техника!$F$1:$ABM$500,AA$2,0),Техника!$F$4:$ABM$4,"Часы",INDEX(Техника!$G$1:$ABN$500,AA$2,0),$A$354,INDEX(Техника!$H$1:$ABO$500,AA$2,0),"П")</f>
        <v>0</v>
      </c>
      <c r="AB357" s="50">
        <f>SUMIFS(INDEX(Техника!$F$1:$ABM$500,AB$2,0),Техника!$F$4:$ABM$4,"Часы",INDEX(Техника!$G$1:$ABN$500,AB$2,0),$A$354,INDEX(Техника!$H$1:$ABO$500,AB$2,0),"П")</f>
        <v>0</v>
      </c>
    </row>
    <row r="358" spans="1:28" hidden="1" outlineLevel="1" x14ac:dyDescent="0.3">
      <c r="A358" s="33" t="s">
        <v>243</v>
      </c>
      <c r="B358" s="34" t="s">
        <v>278</v>
      </c>
      <c r="C358" s="50">
        <f>SUMIFS(INDEX(Техника!$F$1:$ABM$500,C$2,0),Техника!$F$4:$ABM$4,"Часы",INDEX(Техника!$G$1:$ABN$500,C$2,0),$A$354,INDEX(Техника!$H$1:$ABO$500,C$2,0),"Л")</f>
        <v>0</v>
      </c>
      <c r="D358" s="50">
        <f>SUMIFS(INDEX(Техника!$F$1:$ABM$500,D$2,0),Техника!$F$4:$ABM$4,"Часы",INDEX(Техника!$G$1:$ABN$500,D$2,0),$A$354,INDEX(Техника!$H$1:$ABO$500,D$2,0),"Л")</f>
        <v>0</v>
      </c>
      <c r="E358" s="50">
        <f>SUMIFS(INDEX(Техника!$F$1:$ABM$500,E$2,0),Техника!$F$4:$ABM$4,"Часы",INDEX(Техника!$G$1:$ABN$500,E$2,0),$A$354,INDEX(Техника!$H$1:$ABO$500,E$2,0),"Л")</f>
        <v>0</v>
      </c>
      <c r="F358" s="50">
        <f>SUMIFS(INDEX(Техника!$F$1:$ABM$500,F$2,0),Техника!$F$4:$ABM$4,"Часы",INDEX(Техника!$G$1:$ABN$500,F$2,0),$A$354,INDEX(Техника!$H$1:$ABO$500,F$2,0),"Л")</f>
        <v>0</v>
      </c>
      <c r="G358" s="50">
        <f>SUMIFS(INDEX(Техника!$F$1:$ABM$500,G$2,0),Техника!$F$4:$ABM$4,"Часы",INDEX(Техника!$G$1:$ABN$500,G$2,0),$A$354,INDEX(Техника!$H$1:$ABO$500,G$2,0),"Л")</f>
        <v>0</v>
      </c>
      <c r="H358" s="50">
        <f>SUMIFS(INDEX(Техника!$F$1:$ABM$500,H$2,0),Техника!$F$4:$ABM$4,"Часы",INDEX(Техника!$G$1:$ABN$500,H$2,0),$A$354,INDEX(Техника!$H$1:$ABO$500,H$2,0),"Л")</f>
        <v>0</v>
      </c>
      <c r="I358" s="50">
        <f>SUMIFS(INDEX(Техника!$F$1:$ABM$500,I$2,0),Техника!$F$4:$ABM$4,"Часы",INDEX(Техника!$G$1:$ABN$500,I$2,0),$A$354,INDEX(Техника!$H$1:$ABO$500,I$2,0),"Л")</f>
        <v>0</v>
      </c>
      <c r="J358" s="50">
        <f>SUMIFS(INDEX(Техника!$F$1:$ABM$500,J$2,0),Техника!$F$4:$ABM$4,"Часы",INDEX(Техника!$G$1:$ABN$500,J$2,0),$A$354,INDEX(Техника!$H$1:$ABO$500,J$2,0),"Л")</f>
        <v>0</v>
      </c>
      <c r="K358" s="50">
        <f>SUMIFS(INDEX(Техника!$F$1:$ABM$500,K$2,0),Техника!$F$4:$ABM$4,"Часы",INDEX(Техника!$G$1:$ABN$500,K$2,0),$A$354,INDEX(Техника!$H$1:$ABO$500,K$2,0),"Л")</f>
        <v>0</v>
      </c>
      <c r="L358" s="50">
        <f>SUMIFS(INDEX(Техника!$F$1:$ABM$500,L$2,0),Техника!$F$4:$ABM$4,"Часы",INDEX(Техника!$G$1:$ABN$500,L$2,0),$A$354,INDEX(Техника!$H$1:$ABO$500,L$2,0),"Л")</f>
        <v>0</v>
      </c>
      <c r="M358" s="50">
        <f>SUMIFS(INDEX(Техника!$F$1:$ABM$500,M$2,0),Техника!$F$4:$ABM$4,"Часы",INDEX(Техника!$G$1:$ABN$500,M$2,0),$A$354,INDEX(Техника!$H$1:$ABO$500,M$2,0),"Л")</f>
        <v>0</v>
      </c>
      <c r="N358" s="50">
        <f>SUMIFS(INDEX(Техника!$F$1:$ABM$500,N$2,0),Техника!$F$4:$ABM$4,"Часы",INDEX(Техника!$G$1:$ABN$500,N$2,0),$A$354,INDEX(Техника!$H$1:$ABO$500,N$2,0),"Л")</f>
        <v>0</v>
      </c>
      <c r="O358" s="50">
        <f>SUMIFS(INDEX(Техника!$F$1:$ABM$500,O$2,0),Техника!$F$4:$ABM$4,"Часы",INDEX(Техника!$G$1:$ABN$500,O$2,0),$A$354,INDEX(Техника!$H$1:$ABO$500,O$2,0),"Л")</f>
        <v>0</v>
      </c>
      <c r="P358" s="50">
        <f>SUMIFS(INDEX(Техника!$F$1:$ABM$500,P$2,0),Техника!$F$4:$ABM$4,"Часы",INDEX(Техника!$G$1:$ABN$500,P$2,0),$A$354,INDEX(Техника!$H$1:$ABO$500,P$2,0),"Л")</f>
        <v>0</v>
      </c>
      <c r="Q358" s="50">
        <f>SUMIFS(INDEX(Техника!$F$1:$ABM$500,Q$2,0),Техника!$F$4:$ABM$4,"Часы",INDEX(Техника!$G$1:$ABN$500,Q$2,0),$A$354,INDEX(Техника!$H$1:$ABO$500,Q$2,0),"Л")</f>
        <v>0</v>
      </c>
      <c r="R358" s="50">
        <f>SUMIFS(INDEX(Техника!$F$1:$ABM$500,R$2,0),Техника!$F$4:$ABM$4,"Часы",INDEX(Техника!$G$1:$ABN$500,R$2,0),$A$354,INDEX(Техника!$H$1:$ABO$500,R$2,0),"Л")</f>
        <v>0</v>
      </c>
      <c r="S358" s="50">
        <f>SUMIFS(INDEX(Техника!$F$1:$ABM$500,S$2,0),Техника!$F$4:$ABM$4,"Часы",INDEX(Техника!$G$1:$ABN$500,S$2,0),$A$354,INDEX(Техника!$H$1:$ABO$500,S$2,0),"Л")</f>
        <v>0</v>
      </c>
      <c r="T358" s="50">
        <f>SUMIFS(INDEX(Техника!$F$1:$ABM$500,T$2,0),Техника!$F$4:$ABM$4,"Часы",INDEX(Техника!$G$1:$ABN$500,T$2,0),$A$354,INDEX(Техника!$H$1:$ABO$500,T$2,0),"Л")</f>
        <v>0</v>
      </c>
      <c r="U358" s="50">
        <f>SUMIFS(INDEX(Техника!$F$1:$ABM$500,U$2,0),Техника!$F$4:$ABM$4,"Часы",INDEX(Техника!$G$1:$ABN$500,U$2,0),$A$354,INDEX(Техника!$H$1:$ABO$500,U$2,0),"Л")</f>
        <v>0</v>
      </c>
      <c r="V358" s="50">
        <f>SUMIFS(INDEX(Техника!$F$1:$ABM$500,V$2,0),Техника!$F$4:$ABM$4,"Часы",INDEX(Техника!$G$1:$ABN$500,V$2,0),$A$354,INDEX(Техника!$H$1:$ABO$500,V$2,0),"Л")</f>
        <v>0</v>
      </c>
      <c r="W358" s="50">
        <f>SUMIFS(INDEX(Техника!$F$1:$ABM$500,W$2,0),Техника!$F$4:$ABM$4,"Часы",INDEX(Техника!$G$1:$ABN$500,W$2,0),$A$354,INDEX(Техника!$H$1:$ABO$500,W$2,0),"Л")</f>
        <v>0</v>
      </c>
      <c r="X358" s="50">
        <f>SUMIFS(INDEX(Техника!$F$1:$ABM$500,X$2,0),Техника!$F$4:$ABM$4,"Часы",INDEX(Техника!$G$1:$ABN$500,X$2,0),$A$354,INDEX(Техника!$H$1:$ABO$500,X$2,0),"Л")</f>
        <v>0</v>
      </c>
      <c r="Y358" s="50">
        <f>SUMIFS(INDEX(Техника!$F$1:$ABM$500,Y$2,0),Техника!$F$4:$ABM$4,"Часы",INDEX(Техника!$G$1:$ABN$500,Y$2,0),$A$354,INDEX(Техника!$H$1:$ABO$500,Y$2,0),"Л")</f>
        <v>0</v>
      </c>
      <c r="Z358" s="50">
        <f>SUMIFS(INDEX(Техника!$F$1:$ABM$500,Z$2,0),Техника!$F$4:$ABM$4,"Часы",INDEX(Техника!$G$1:$ABN$500,Z$2,0),$A$354,INDEX(Техника!$H$1:$ABO$500,Z$2,0),"Л")</f>
        <v>0</v>
      </c>
      <c r="AA358" s="50">
        <f>SUMIFS(INDEX(Техника!$F$1:$ABM$500,AA$2,0),Техника!$F$4:$ABM$4,"Часы",INDEX(Техника!$G$1:$ABN$500,AA$2,0),$A$354,INDEX(Техника!$H$1:$ABO$500,AA$2,0),"Л")</f>
        <v>0</v>
      </c>
      <c r="AB358" s="50">
        <f>SUMIFS(INDEX(Техника!$F$1:$ABM$500,AB$2,0),Техника!$F$4:$ABM$4,"Часы",INDEX(Техника!$G$1:$ABN$500,AB$2,0),$A$354,INDEX(Техника!$H$1:$ABO$500,AB$2,0),"Л")</f>
        <v>0</v>
      </c>
    </row>
    <row r="359" spans="1:28" hidden="1" outlineLevel="1" x14ac:dyDescent="0.3">
      <c r="A359" s="33" t="s">
        <v>245</v>
      </c>
      <c r="B359" s="34" t="s">
        <v>279</v>
      </c>
      <c r="C359" s="50">
        <f>SUMIFS(INDEX(Техника!$F$1:$ABM$500,C$2,0),Техника!$F$4:$ABM$4,"Часы",INDEX(Техника!$G$1:$ABN$500,C$2,0),$A$354,INDEX(Техника!$H$1:$ABO$500,C$2,0),"З")</f>
        <v>0</v>
      </c>
      <c r="D359" s="50">
        <f>SUMIFS(INDEX(Техника!$F$1:$ABM$500,D$2,0),Техника!$F$4:$ABM$4,"Часы",INDEX(Техника!$G$1:$ABN$500,D$2,0),$A$354,INDEX(Техника!$H$1:$ABO$500,D$2,0),"З")</f>
        <v>0</v>
      </c>
      <c r="E359" s="50">
        <f>SUMIFS(INDEX(Техника!$F$1:$ABM$500,E$2,0),Техника!$F$4:$ABM$4,"Часы",INDEX(Техника!$G$1:$ABN$500,E$2,0),$A$354,INDEX(Техника!$H$1:$ABO$500,E$2,0),"З")</f>
        <v>0</v>
      </c>
      <c r="F359" s="50">
        <f>SUMIFS(INDEX(Техника!$F$1:$ABM$500,F$2,0),Техника!$F$4:$ABM$4,"Часы",INDEX(Техника!$G$1:$ABN$500,F$2,0),$A$354,INDEX(Техника!$H$1:$ABO$500,F$2,0),"З")</f>
        <v>0</v>
      </c>
      <c r="G359" s="50">
        <f>SUMIFS(INDEX(Техника!$F$1:$ABM$500,G$2,0),Техника!$F$4:$ABM$4,"Часы",INDEX(Техника!$G$1:$ABN$500,G$2,0),$A$354,INDEX(Техника!$H$1:$ABO$500,G$2,0),"З")</f>
        <v>0</v>
      </c>
      <c r="H359" s="50">
        <f>SUMIFS(INDEX(Техника!$F$1:$ABM$500,H$2,0),Техника!$F$4:$ABM$4,"Часы",INDEX(Техника!$G$1:$ABN$500,H$2,0),$A$354,INDEX(Техника!$H$1:$ABO$500,H$2,0),"З")</f>
        <v>0</v>
      </c>
      <c r="I359" s="50">
        <f>SUMIFS(INDEX(Техника!$F$1:$ABM$500,I$2,0),Техника!$F$4:$ABM$4,"Часы",INDEX(Техника!$G$1:$ABN$500,I$2,0),$A$354,INDEX(Техника!$H$1:$ABO$500,I$2,0),"З")</f>
        <v>0</v>
      </c>
      <c r="J359" s="50">
        <f>SUMIFS(INDEX(Техника!$F$1:$ABM$500,J$2,0),Техника!$F$4:$ABM$4,"Часы",INDEX(Техника!$G$1:$ABN$500,J$2,0),$A$354,INDEX(Техника!$H$1:$ABO$500,J$2,0),"З")</f>
        <v>0</v>
      </c>
      <c r="K359" s="50">
        <f>SUMIFS(INDEX(Техника!$F$1:$ABM$500,K$2,0),Техника!$F$4:$ABM$4,"Часы",INDEX(Техника!$G$1:$ABN$500,K$2,0),$A$354,INDEX(Техника!$H$1:$ABO$500,K$2,0),"З")</f>
        <v>0</v>
      </c>
      <c r="L359" s="50">
        <f>SUMIFS(INDEX(Техника!$F$1:$ABM$500,L$2,0),Техника!$F$4:$ABM$4,"Часы",INDEX(Техника!$G$1:$ABN$500,L$2,0),$A$354,INDEX(Техника!$H$1:$ABO$500,L$2,0),"З")</f>
        <v>0</v>
      </c>
      <c r="M359" s="50">
        <f>SUMIFS(INDEX(Техника!$F$1:$ABM$500,M$2,0),Техника!$F$4:$ABM$4,"Часы",INDEX(Техника!$G$1:$ABN$500,M$2,0),$A$354,INDEX(Техника!$H$1:$ABO$500,M$2,0),"З")</f>
        <v>0</v>
      </c>
      <c r="N359" s="50">
        <f>SUMIFS(INDEX(Техника!$F$1:$ABM$500,N$2,0),Техника!$F$4:$ABM$4,"Часы",INDEX(Техника!$G$1:$ABN$500,N$2,0),$A$354,INDEX(Техника!$H$1:$ABO$500,N$2,0),"З")</f>
        <v>0</v>
      </c>
      <c r="O359" s="50">
        <f>SUMIFS(INDEX(Техника!$F$1:$ABM$500,O$2,0),Техника!$F$4:$ABM$4,"Часы",INDEX(Техника!$G$1:$ABN$500,O$2,0),$A$354,INDEX(Техника!$H$1:$ABO$500,O$2,0),"З")</f>
        <v>0</v>
      </c>
      <c r="P359" s="50">
        <f>SUMIFS(INDEX(Техника!$F$1:$ABM$500,P$2,0),Техника!$F$4:$ABM$4,"Часы",INDEX(Техника!$G$1:$ABN$500,P$2,0),$A$354,INDEX(Техника!$H$1:$ABO$500,P$2,0),"З")</f>
        <v>0</v>
      </c>
      <c r="Q359" s="50">
        <f>SUMIFS(INDEX(Техника!$F$1:$ABM$500,Q$2,0),Техника!$F$4:$ABM$4,"Часы",INDEX(Техника!$G$1:$ABN$500,Q$2,0),$A$354,INDEX(Техника!$H$1:$ABO$500,Q$2,0),"З")</f>
        <v>0</v>
      </c>
      <c r="R359" s="50">
        <f>SUMIFS(INDEX(Техника!$F$1:$ABM$500,R$2,0),Техника!$F$4:$ABM$4,"Часы",INDEX(Техника!$G$1:$ABN$500,R$2,0),$A$354,INDEX(Техника!$H$1:$ABO$500,R$2,0),"З")</f>
        <v>0</v>
      </c>
      <c r="S359" s="50">
        <f>SUMIFS(INDEX(Техника!$F$1:$ABM$500,S$2,0),Техника!$F$4:$ABM$4,"Часы",INDEX(Техника!$G$1:$ABN$500,S$2,0),$A$354,INDEX(Техника!$H$1:$ABO$500,S$2,0),"З")</f>
        <v>0</v>
      </c>
      <c r="T359" s="50">
        <f>SUMIFS(INDEX(Техника!$F$1:$ABM$500,T$2,0),Техника!$F$4:$ABM$4,"Часы",INDEX(Техника!$G$1:$ABN$500,T$2,0),$A$354,INDEX(Техника!$H$1:$ABO$500,T$2,0),"З")</f>
        <v>0</v>
      </c>
      <c r="U359" s="50">
        <f>SUMIFS(INDEX(Техника!$F$1:$ABM$500,U$2,0),Техника!$F$4:$ABM$4,"Часы",INDEX(Техника!$G$1:$ABN$500,U$2,0),$A$354,INDEX(Техника!$H$1:$ABO$500,U$2,0),"З")</f>
        <v>0</v>
      </c>
      <c r="V359" s="50">
        <f>SUMIFS(INDEX(Техника!$F$1:$ABM$500,V$2,0),Техника!$F$4:$ABM$4,"Часы",INDEX(Техника!$G$1:$ABN$500,V$2,0),$A$354,INDEX(Техника!$H$1:$ABO$500,V$2,0),"З")</f>
        <v>0</v>
      </c>
      <c r="W359" s="50">
        <f>SUMIFS(INDEX(Техника!$F$1:$ABM$500,W$2,0),Техника!$F$4:$ABM$4,"Часы",INDEX(Техника!$G$1:$ABN$500,W$2,0),$A$354,INDEX(Техника!$H$1:$ABO$500,W$2,0),"З")</f>
        <v>0</v>
      </c>
      <c r="X359" s="50">
        <f>SUMIFS(INDEX(Техника!$F$1:$ABM$500,X$2,0),Техника!$F$4:$ABM$4,"Часы",INDEX(Техника!$G$1:$ABN$500,X$2,0),$A$354,INDEX(Техника!$H$1:$ABO$500,X$2,0),"З")</f>
        <v>0</v>
      </c>
      <c r="Y359" s="50">
        <f>SUMIFS(INDEX(Техника!$F$1:$ABM$500,Y$2,0),Техника!$F$4:$ABM$4,"Часы",INDEX(Техника!$G$1:$ABN$500,Y$2,0),$A$354,INDEX(Техника!$H$1:$ABO$500,Y$2,0),"З")</f>
        <v>0</v>
      </c>
      <c r="Z359" s="50">
        <f>SUMIFS(INDEX(Техника!$F$1:$ABM$500,Z$2,0),Техника!$F$4:$ABM$4,"Часы",INDEX(Техника!$G$1:$ABN$500,Z$2,0),$A$354,INDEX(Техника!$H$1:$ABO$500,Z$2,0),"З")</f>
        <v>0</v>
      </c>
      <c r="AA359" s="50">
        <f>SUMIFS(INDEX(Техника!$F$1:$ABM$500,AA$2,0),Техника!$F$4:$ABM$4,"Часы",INDEX(Техника!$G$1:$ABN$500,AA$2,0),$A$354,INDEX(Техника!$H$1:$ABO$500,AA$2,0),"З")</f>
        <v>0</v>
      </c>
      <c r="AB359" s="50">
        <f>SUMIFS(INDEX(Техника!$F$1:$ABM$500,AB$2,0),Техника!$F$4:$ABM$4,"Часы",INDEX(Техника!$G$1:$ABN$500,AB$2,0),$A$354,INDEX(Техника!$H$1:$ABO$500,AB$2,0),"З")</f>
        <v>0</v>
      </c>
    </row>
    <row r="360" spans="1:28" ht="7.95" customHeight="1" x14ac:dyDescent="0.3">
      <c r="A360" s="38"/>
      <c r="B360" s="39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</row>
    <row r="361" spans="1:28" ht="25.05" customHeight="1" collapsed="1" x14ac:dyDescent="0.3">
      <c r="A361" s="32">
        <v>52</v>
      </c>
      <c r="B361" s="32" t="s">
        <v>53</v>
      </c>
      <c r="C361" s="49">
        <f>SUM(C362:C366)</f>
        <v>0</v>
      </c>
      <c r="D361" s="49">
        <f>SUM(D362:D366)</f>
        <v>0</v>
      </c>
      <c r="E361" s="49">
        <f>SUM(E362:E366)</f>
        <v>0</v>
      </c>
      <c r="F361" s="49">
        <f>SUM(F362:F366)</f>
        <v>0</v>
      </c>
      <c r="G361" s="49">
        <f>SUM(G362:G366)</f>
        <v>0</v>
      </c>
      <c r="H361" s="49">
        <f>SUM(H362:H366)</f>
        <v>0</v>
      </c>
      <c r="I361" s="49">
        <f>SUM(I362:I366)</f>
        <v>0</v>
      </c>
      <c r="J361" s="49">
        <f>SUM(J362:J366)</f>
        <v>0</v>
      </c>
      <c r="K361" s="49">
        <f>SUM(K362:K366)</f>
        <v>0</v>
      </c>
      <c r="L361" s="49">
        <f>SUM(L362:L366)</f>
        <v>0</v>
      </c>
      <c r="M361" s="49">
        <f>SUM(M362:M366)</f>
        <v>0</v>
      </c>
      <c r="N361" s="49">
        <f>SUM(N362:N366)</f>
        <v>0</v>
      </c>
      <c r="O361" s="49">
        <f>SUM(O362:O366)</f>
        <v>0</v>
      </c>
      <c r="P361" s="49">
        <f>SUM(P362:P366)</f>
        <v>0</v>
      </c>
      <c r="Q361" s="49">
        <f>SUM(Q362:Q366)</f>
        <v>0</v>
      </c>
      <c r="R361" s="49">
        <f>SUM(R362:R366)</f>
        <v>0</v>
      </c>
      <c r="S361" s="49">
        <f>SUM(S362:S366)</f>
        <v>0</v>
      </c>
      <c r="T361" s="49">
        <f>SUM(T362:T366)</f>
        <v>0</v>
      </c>
      <c r="U361" s="49">
        <f>SUM(U362:U366)</f>
        <v>0</v>
      </c>
      <c r="V361" s="49">
        <f>SUM(V362:V366)</f>
        <v>0</v>
      </c>
      <c r="W361" s="49">
        <f>SUM(W362:W366)</f>
        <v>0</v>
      </c>
      <c r="X361" s="49">
        <f>SUM(X362:X366)</f>
        <v>0</v>
      </c>
      <c r="Y361" s="49">
        <f>SUM(Y362:Y366)</f>
        <v>0</v>
      </c>
      <c r="Z361" s="49">
        <f>SUM(Z362:Z366)</f>
        <v>0</v>
      </c>
      <c r="AA361" s="49">
        <f>SUM(AA362:AA366)</f>
        <v>0</v>
      </c>
      <c r="AB361" s="49">
        <f>SUM(AB362:AB366)</f>
        <v>0</v>
      </c>
    </row>
    <row r="362" spans="1:28" hidden="1" outlineLevel="1" x14ac:dyDescent="0.3">
      <c r="A362" s="33" t="s">
        <v>246</v>
      </c>
      <c r="B362" s="34" t="s">
        <v>274</v>
      </c>
      <c r="C362" s="50">
        <f>SUMIFS(INDEX(Техника!$F$1:$ABM$500,C$2,0),Техника!$F$4:$ABM$4,"Часы",INDEX(Техника!$G$1:$ABN$500,C$2,0),$A$361,INDEX(Техника!$H$1:$ABO$500,C$2,0),"М")</f>
        <v>0</v>
      </c>
      <c r="D362" s="50">
        <f>SUMIFS(INDEX(Техника!$F$1:$ABM$500,D$2,0),Техника!$F$4:$ABM$4,"Часы",INDEX(Техника!$G$1:$ABN$500,D$2,0),$A$361,INDEX(Техника!$H$1:$ABO$500,D$2,0),"М")</f>
        <v>0</v>
      </c>
      <c r="E362" s="50">
        <f>SUMIFS(INDEX(Техника!$F$1:$ABM$500,E$2,0),Техника!$F$4:$ABM$4,"Часы",INDEX(Техника!$G$1:$ABN$500,E$2,0),$A$361,INDEX(Техника!$H$1:$ABO$500,E$2,0),"М")</f>
        <v>0</v>
      </c>
      <c r="F362" s="50">
        <f>SUMIFS(INDEX(Техника!$F$1:$ABM$500,F$2,0),Техника!$F$4:$ABM$4,"Часы",INDEX(Техника!$G$1:$ABN$500,F$2,0),$A$361,INDEX(Техника!$H$1:$ABO$500,F$2,0),"М")</f>
        <v>0</v>
      </c>
      <c r="G362" s="50">
        <f>SUMIFS(INDEX(Техника!$F$1:$ABM$500,G$2,0),Техника!$F$4:$ABM$4,"Часы",INDEX(Техника!$G$1:$ABN$500,G$2,0),$A$361,INDEX(Техника!$H$1:$ABO$500,G$2,0),"М")</f>
        <v>0</v>
      </c>
      <c r="H362" s="50">
        <f>SUMIFS(INDEX(Техника!$F$1:$ABM$500,H$2,0),Техника!$F$4:$ABM$4,"Часы",INDEX(Техника!$G$1:$ABN$500,H$2,0),$A$361,INDEX(Техника!$H$1:$ABO$500,H$2,0),"М")</f>
        <v>0</v>
      </c>
      <c r="I362" s="50">
        <f>SUMIFS(INDEX(Техника!$F$1:$ABM$500,I$2,0),Техника!$F$4:$ABM$4,"Часы",INDEX(Техника!$G$1:$ABN$500,I$2,0),$A$361,INDEX(Техника!$H$1:$ABO$500,I$2,0),"М")</f>
        <v>0</v>
      </c>
      <c r="J362" s="50">
        <f>SUMIFS(INDEX(Техника!$F$1:$ABM$500,J$2,0),Техника!$F$4:$ABM$4,"Часы",INDEX(Техника!$G$1:$ABN$500,J$2,0),$A$361,INDEX(Техника!$H$1:$ABO$500,J$2,0),"М")</f>
        <v>0</v>
      </c>
      <c r="K362" s="50">
        <f>SUMIFS(INDEX(Техника!$F$1:$ABM$500,K$2,0),Техника!$F$4:$ABM$4,"Часы",INDEX(Техника!$G$1:$ABN$500,K$2,0),$A$361,INDEX(Техника!$H$1:$ABO$500,K$2,0),"М")</f>
        <v>0</v>
      </c>
      <c r="L362" s="50">
        <f>SUMIFS(INDEX(Техника!$F$1:$ABM$500,L$2,0),Техника!$F$4:$ABM$4,"Часы",INDEX(Техника!$G$1:$ABN$500,L$2,0),$A$361,INDEX(Техника!$H$1:$ABO$500,L$2,0),"М")</f>
        <v>0</v>
      </c>
      <c r="M362" s="50">
        <f>SUMIFS(INDEX(Техника!$F$1:$ABM$500,M$2,0),Техника!$F$4:$ABM$4,"Часы",INDEX(Техника!$G$1:$ABN$500,M$2,0),$A$361,INDEX(Техника!$H$1:$ABO$500,M$2,0),"М")</f>
        <v>0</v>
      </c>
      <c r="N362" s="50">
        <f>SUMIFS(INDEX(Техника!$F$1:$ABM$500,N$2,0),Техника!$F$4:$ABM$4,"Часы",INDEX(Техника!$G$1:$ABN$500,N$2,0),$A$361,INDEX(Техника!$H$1:$ABO$500,N$2,0),"М")</f>
        <v>0</v>
      </c>
      <c r="O362" s="50">
        <f>SUMIFS(INDEX(Техника!$F$1:$ABM$500,O$2,0),Техника!$F$4:$ABM$4,"Часы",INDEX(Техника!$G$1:$ABN$500,O$2,0),$A$361,INDEX(Техника!$H$1:$ABO$500,O$2,0),"М")</f>
        <v>0</v>
      </c>
      <c r="P362" s="50">
        <f>SUMIFS(INDEX(Техника!$F$1:$ABM$500,P$2,0),Техника!$F$4:$ABM$4,"Часы",INDEX(Техника!$G$1:$ABN$500,P$2,0),$A$361,INDEX(Техника!$H$1:$ABO$500,P$2,0),"М")</f>
        <v>0</v>
      </c>
      <c r="Q362" s="50">
        <f>SUMIFS(INDEX(Техника!$F$1:$ABM$500,Q$2,0),Техника!$F$4:$ABM$4,"Часы",INDEX(Техника!$G$1:$ABN$500,Q$2,0),$A$361,INDEX(Техника!$H$1:$ABO$500,Q$2,0),"М")</f>
        <v>0</v>
      </c>
      <c r="R362" s="50">
        <f>SUMIFS(INDEX(Техника!$F$1:$ABM$500,R$2,0),Техника!$F$4:$ABM$4,"Часы",INDEX(Техника!$G$1:$ABN$500,R$2,0),$A$361,INDEX(Техника!$H$1:$ABO$500,R$2,0),"М")</f>
        <v>0</v>
      </c>
      <c r="S362" s="50">
        <f>SUMIFS(INDEX(Техника!$F$1:$ABM$500,S$2,0),Техника!$F$4:$ABM$4,"Часы",INDEX(Техника!$G$1:$ABN$500,S$2,0),$A$361,INDEX(Техника!$H$1:$ABO$500,S$2,0),"М")</f>
        <v>0</v>
      </c>
      <c r="T362" s="50">
        <f>SUMIFS(INDEX(Техника!$F$1:$ABM$500,T$2,0),Техника!$F$4:$ABM$4,"Часы",INDEX(Техника!$G$1:$ABN$500,T$2,0),$A$361,INDEX(Техника!$H$1:$ABO$500,T$2,0),"М")</f>
        <v>0</v>
      </c>
      <c r="U362" s="50">
        <f>SUMIFS(INDEX(Техника!$F$1:$ABM$500,U$2,0),Техника!$F$4:$ABM$4,"Часы",INDEX(Техника!$G$1:$ABN$500,U$2,0),$A$361,INDEX(Техника!$H$1:$ABO$500,U$2,0),"М")</f>
        <v>0</v>
      </c>
      <c r="V362" s="50">
        <f>SUMIFS(INDEX(Техника!$F$1:$ABM$500,V$2,0),Техника!$F$4:$ABM$4,"Часы",INDEX(Техника!$G$1:$ABN$500,V$2,0),$A$361,INDEX(Техника!$H$1:$ABO$500,V$2,0),"М")</f>
        <v>0</v>
      </c>
      <c r="W362" s="50">
        <f>SUMIFS(INDEX(Техника!$F$1:$ABM$500,W$2,0),Техника!$F$4:$ABM$4,"Часы",INDEX(Техника!$G$1:$ABN$500,W$2,0),$A$361,INDEX(Техника!$H$1:$ABO$500,W$2,0),"М")</f>
        <v>0</v>
      </c>
      <c r="X362" s="50">
        <f>SUMIFS(INDEX(Техника!$F$1:$ABM$500,X$2,0),Техника!$F$4:$ABM$4,"Часы",INDEX(Техника!$G$1:$ABN$500,X$2,0),$A$361,INDEX(Техника!$H$1:$ABO$500,X$2,0),"М")</f>
        <v>0</v>
      </c>
      <c r="Y362" s="50">
        <f>SUMIFS(INDEX(Техника!$F$1:$ABM$500,Y$2,0),Техника!$F$4:$ABM$4,"Часы",INDEX(Техника!$G$1:$ABN$500,Y$2,0),$A$361,INDEX(Техника!$H$1:$ABO$500,Y$2,0),"М")</f>
        <v>0</v>
      </c>
      <c r="Z362" s="50">
        <f>SUMIFS(INDEX(Техника!$F$1:$ABM$500,Z$2,0),Техника!$F$4:$ABM$4,"Часы",INDEX(Техника!$G$1:$ABN$500,Z$2,0),$A$361,INDEX(Техника!$H$1:$ABO$500,Z$2,0),"М")</f>
        <v>0</v>
      </c>
      <c r="AA362" s="50">
        <f>SUMIFS(INDEX(Техника!$F$1:$ABM$500,AA$2,0),Техника!$F$4:$ABM$4,"Часы",INDEX(Техника!$G$1:$ABN$500,AA$2,0),$A$361,INDEX(Техника!$H$1:$ABO$500,AA$2,0),"М")</f>
        <v>0</v>
      </c>
      <c r="AB362" s="50">
        <f>SUMIFS(INDEX(Техника!$F$1:$ABM$500,AB$2,0),Техника!$F$4:$ABM$4,"Часы",INDEX(Техника!$G$1:$ABN$500,AB$2,0),$A$361,INDEX(Техника!$H$1:$ABO$500,AB$2,0),"М")</f>
        <v>0</v>
      </c>
    </row>
    <row r="363" spans="1:28" hidden="1" outlineLevel="1" x14ac:dyDescent="0.3">
      <c r="A363" s="33" t="s">
        <v>244</v>
      </c>
      <c r="B363" s="34" t="s">
        <v>275</v>
      </c>
      <c r="C363" s="50">
        <f>SUMIFS(INDEX(Техника!$F$1:$ABM$500,C$2,0),Техника!$F$4:$ABM$4,"Часы",INDEX(Техника!$G$1:$ABN$500,C$2,0),$A$361,INDEX(Техника!$H$1:$ABO$500,C$2,0),"Д")</f>
        <v>0</v>
      </c>
      <c r="D363" s="50">
        <f>SUMIFS(INDEX(Техника!$F$1:$ABM$500,D$2,0),Техника!$F$4:$ABM$4,"Часы",INDEX(Техника!$G$1:$ABN$500,D$2,0),$A$361,INDEX(Техника!$H$1:$ABO$500,D$2,0),"Д")</f>
        <v>0</v>
      </c>
      <c r="E363" s="50">
        <f>SUMIFS(INDEX(Техника!$F$1:$ABM$500,E$2,0),Техника!$F$4:$ABM$4,"Часы",INDEX(Техника!$G$1:$ABN$500,E$2,0),$A$361,INDEX(Техника!$H$1:$ABO$500,E$2,0),"Д")</f>
        <v>0</v>
      </c>
      <c r="F363" s="50">
        <f>SUMIFS(INDEX(Техника!$F$1:$ABM$500,F$2,0),Техника!$F$4:$ABM$4,"Часы",INDEX(Техника!$G$1:$ABN$500,F$2,0),$A$361,INDEX(Техника!$H$1:$ABO$500,F$2,0),"Д")</f>
        <v>0</v>
      </c>
      <c r="G363" s="50">
        <f>SUMIFS(INDEX(Техника!$F$1:$ABM$500,G$2,0),Техника!$F$4:$ABM$4,"Часы",INDEX(Техника!$G$1:$ABN$500,G$2,0),$A$361,INDEX(Техника!$H$1:$ABO$500,G$2,0),"Д")</f>
        <v>0</v>
      </c>
      <c r="H363" s="50">
        <f>SUMIFS(INDEX(Техника!$F$1:$ABM$500,H$2,0),Техника!$F$4:$ABM$4,"Часы",INDEX(Техника!$G$1:$ABN$500,H$2,0),$A$361,INDEX(Техника!$H$1:$ABO$500,H$2,0),"Д")</f>
        <v>0</v>
      </c>
      <c r="I363" s="50">
        <f>SUMIFS(INDEX(Техника!$F$1:$ABM$500,I$2,0),Техника!$F$4:$ABM$4,"Часы",INDEX(Техника!$G$1:$ABN$500,I$2,0),$A$361,INDEX(Техника!$H$1:$ABO$500,I$2,0),"Д")</f>
        <v>0</v>
      </c>
      <c r="J363" s="50">
        <f>SUMIFS(INDEX(Техника!$F$1:$ABM$500,J$2,0),Техника!$F$4:$ABM$4,"Часы",INDEX(Техника!$G$1:$ABN$500,J$2,0),$A$361,INDEX(Техника!$H$1:$ABO$500,J$2,0),"Д")</f>
        <v>0</v>
      </c>
      <c r="K363" s="50">
        <f>SUMIFS(INDEX(Техника!$F$1:$ABM$500,K$2,0),Техника!$F$4:$ABM$4,"Часы",INDEX(Техника!$G$1:$ABN$500,K$2,0),$A$361,INDEX(Техника!$H$1:$ABO$500,K$2,0),"Д")</f>
        <v>0</v>
      </c>
      <c r="L363" s="50">
        <f>SUMIFS(INDEX(Техника!$F$1:$ABM$500,L$2,0),Техника!$F$4:$ABM$4,"Часы",INDEX(Техника!$G$1:$ABN$500,L$2,0),$A$361,INDEX(Техника!$H$1:$ABO$500,L$2,0),"Д")</f>
        <v>0</v>
      </c>
      <c r="M363" s="50">
        <f>SUMIFS(INDEX(Техника!$F$1:$ABM$500,M$2,0),Техника!$F$4:$ABM$4,"Часы",INDEX(Техника!$G$1:$ABN$500,M$2,0),$A$361,INDEX(Техника!$H$1:$ABO$500,M$2,0),"Д")</f>
        <v>0</v>
      </c>
      <c r="N363" s="50">
        <f>SUMIFS(INDEX(Техника!$F$1:$ABM$500,N$2,0),Техника!$F$4:$ABM$4,"Часы",INDEX(Техника!$G$1:$ABN$500,N$2,0),$A$361,INDEX(Техника!$H$1:$ABO$500,N$2,0),"Д")</f>
        <v>0</v>
      </c>
      <c r="O363" s="50">
        <f>SUMIFS(INDEX(Техника!$F$1:$ABM$500,O$2,0),Техника!$F$4:$ABM$4,"Часы",INDEX(Техника!$G$1:$ABN$500,O$2,0),$A$361,INDEX(Техника!$H$1:$ABO$500,O$2,0),"Д")</f>
        <v>0</v>
      </c>
      <c r="P363" s="50">
        <f>SUMIFS(INDEX(Техника!$F$1:$ABM$500,P$2,0),Техника!$F$4:$ABM$4,"Часы",INDEX(Техника!$G$1:$ABN$500,P$2,0),$A$361,INDEX(Техника!$H$1:$ABO$500,P$2,0),"Д")</f>
        <v>0</v>
      </c>
      <c r="Q363" s="50">
        <f>SUMIFS(INDEX(Техника!$F$1:$ABM$500,Q$2,0),Техника!$F$4:$ABM$4,"Часы",INDEX(Техника!$G$1:$ABN$500,Q$2,0),$A$361,INDEX(Техника!$H$1:$ABO$500,Q$2,0),"Д")</f>
        <v>0</v>
      </c>
      <c r="R363" s="50">
        <f>SUMIFS(INDEX(Техника!$F$1:$ABM$500,R$2,0),Техника!$F$4:$ABM$4,"Часы",INDEX(Техника!$G$1:$ABN$500,R$2,0),$A$361,INDEX(Техника!$H$1:$ABO$500,R$2,0),"Д")</f>
        <v>0</v>
      </c>
      <c r="S363" s="50">
        <f>SUMIFS(INDEX(Техника!$F$1:$ABM$500,S$2,0),Техника!$F$4:$ABM$4,"Часы",INDEX(Техника!$G$1:$ABN$500,S$2,0),$A$361,INDEX(Техника!$H$1:$ABO$500,S$2,0),"Д")</f>
        <v>0</v>
      </c>
      <c r="T363" s="50">
        <f>SUMIFS(INDEX(Техника!$F$1:$ABM$500,T$2,0),Техника!$F$4:$ABM$4,"Часы",INDEX(Техника!$G$1:$ABN$500,T$2,0),$A$361,INDEX(Техника!$H$1:$ABO$500,T$2,0),"Д")</f>
        <v>0</v>
      </c>
      <c r="U363" s="50">
        <f>SUMIFS(INDEX(Техника!$F$1:$ABM$500,U$2,0),Техника!$F$4:$ABM$4,"Часы",INDEX(Техника!$G$1:$ABN$500,U$2,0),$A$361,INDEX(Техника!$H$1:$ABO$500,U$2,0),"Д")</f>
        <v>0</v>
      </c>
      <c r="V363" s="50">
        <f>SUMIFS(INDEX(Техника!$F$1:$ABM$500,V$2,0),Техника!$F$4:$ABM$4,"Часы",INDEX(Техника!$G$1:$ABN$500,V$2,0),$A$361,INDEX(Техника!$H$1:$ABO$500,V$2,0),"Д")</f>
        <v>0</v>
      </c>
      <c r="W363" s="50">
        <f>SUMIFS(INDEX(Техника!$F$1:$ABM$500,W$2,0),Техника!$F$4:$ABM$4,"Часы",INDEX(Техника!$G$1:$ABN$500,W$2,0),$A$361,INDEX(Техника!$H$1:$ABO$500,W$2,0),"Д")</f>
        <v>0</v>
      </c>
      <c r="X363" s="50">
        <f>SUMIFS(INDEX(Техника!$F$1:$ABM$500,X$2,0),Техника!$F$4:$ABM$4,"Часы",INDEX(Техника!$G$1:$ABN$500,X$2,0),$A$361,INDEX(Техника!$H$1:$ABO$500,X$2,0),"Д")</f>
        <v>0</v>
      </c>
      <c r="Y363" s="50">
        <f>SUMIFS(INDEX(Техника!$F$1:$ABM$500,Y$2,0),Техника!$F$4:$ABM$4,"Часы",INDEX(Техника!$G$1:$ABN$500,Y$2,0),$A$361,INDEX(Техника!$H$1:$ABO$500,Y$2,0),"Д")</f>
        <v>0</v>
      </c>
      <c r="Z363" s="50">
        <f>SUMIFS(INDEX(Техника!$F$1:$ABM$500,Z$2,0),Техника!$F$4:$ABM$4,"Часы",INDEX(Техника!$G$1:$ABN$500,Z$2,0),$A$361,INDEX(Техника!$H$1:$ABO$500,Z$2,0),"Д")</f>
        <v>0</v>
      </c>
      <c r="AA363" s="50">
        <f>SUMIFS(INDEX(Техника!$F$1:$ABM$500,AA$2,0),Техника!$F$4:$ABM$4,"Часы",INDEX(Техника!$G$1:$ABN$500,AA$2,0),$A$361,INDEX(Техника!$H$1:$ABO$500,AA$2,0),"Д")</f>
        <v>0</v>
      </c>
      <c r="AB363" s="50">
        <f>SUMIFS(INDEX(Техника!$F$1:$ABM$500,AB$2,0),Техника!$F$4:$ABM$4,"Часы",INDEX(Техника!$G$1:$ABN$500,AB$2,0),$A$361,INDEX(Техника!$H$1:$ABO$500,AB$2,0),"Д")</f>
        <v>0</v>
      </c>
    </row>
    <row r="364" spans="1:28" hidden="1" outlineLevel="1" x14ac:dyDescent="0.3">
      <c r="A364" s="33" t="s">
        <v>276</v>
      </c>
      <c r="B364" s="34" t="s">
        <v>277</v>
      </c>
      <c r="C364" s="50">
        <f>SUMIFS(INDEX(Техника!$F$1:$ABM$500,C$2,0),Техника!$F$4:$ABM$4,"Часы",INDEX(Техника!$G$1:$ABN$500,C$2,0),$A$361,INDEX(Техника!$H$1:$ABO$500,C$2,0),"П")</f>
        <v>0</v>
      </c>
      <c r="D364" s="50">
        <f>SUMIFS(INDEX(Техника!$F$1:$ABM$500,D$2,0),Техника!$F$4:$ABM$4,"Часы",INDEX(Техника!$G$1:$ABN$500,D$2,0),$A$361,INDEX(Техника!$H$1:$ABO$500,D$2,0),"П")</f>
        <v>0</v>
      </c>
      <c r="E364" s="50">
        <f>SUMIFS(INDEX(Техника!$F$1:$ABM$500,E$2,0),Техника!$F$4:$ABM$4,"Часы",INDEX(Техника!$G$1:$ABN$500,E$2,0),$A$361,INDEX(Техника!$H$1:$ABO$500,E$2,0),"П")</f>
        <v>0</v>
      </c>
      <c r="F364" s="50">
        <f>SUMIFS(INDEX(Техника!$F$1:$ABM$500,F$2,0),Техника!$F$4:$ABM$4,"Часы",INDEX(Техника!$G$1:$ABN$500,F$2,0),$A$361,INDEX(Техника!$H$1:$ABO$500,F$2,0),"П")</f>
        <v>0</v>
      </c>
      <c r="G364" s="50">
        <f>SUMIFS(INDEX(Техника!$F$1:$ABM$500,G$2,0),Техника!$F$4:$ABM$4,"Часы",INDEX(Техника!$G$1:$ABN$500,G$2,0),$A$361,INDEX(Техника!$H$1:$ABO$500,G$2,0),"П")</f>
        <v>0</v>
      </c>
      <c r="H364" s="50">
        <f>SUMIFS(INDEX(Техника!$F$1:$ABM$500,H$2,0),Техника!$F$4:$ABM$4,"Часы",INDEX(Техника!$G$1:$ABN$500,H$2,0),$A$361,INDEX(Техника!$H$1:$ABO$500,H$2,0),"П")</f>
        <v>0</v>
      </c>
      <c r="I364" s="50">
        <f>SUMIFS(INDEX(Техника!$F$1:$ABM$500,I$2,0),Техника!$F$4:$ABM$4,"Часы",INDEX(Техника!$G$1:$ABN$500,I$2,0),$A$361,INDEX(Техника!$H$1:$ABO$500,I$2,0),"П")</f>
        <v>0</v>
      </c>
      <c r="J364" s="50">
        <f>SUMIFS(INDEX(Техника!$F$1:$ABM$500,J$2,0),Техника!$F$4:$ABM$4,"Часы",INDEX(Техника!$G$1:$ABN$500,J$2,0),$A$361,INDEX(Техника!$H$1:$ABO$500,J$2,0),"П")</f>
        <v>0</v>
      </c>
      <c r="K364" s="50">
        <f>SUMIFS(INDEX(Техника!$F$1:$ABM$500,K$2,0),Техника!$F$4:$ABM$4,"Часы",INDEX(Техника!$G$1:$ABN$500,K$2,0),$A$361,INDEX(Техника!$H$1:$ABO$500,K$2,0),"П")</f>
        <v>0</v>
      </c>
      <c r="L364" s="50">
        <f>SUMIFS(INDEX(Техника!$F$1:$ABM$500,L$2,0),Техника!$F$4:$ABM$4,"Часы",INDEX(Техника!$G$1:$ABN$500,L$2,0),$A$361,INDEX(Техника!$H$1:$ABO$500,L$2,0),"П")</f>
        <v>0</v>
      </c>
      <c r="M364" s="50">
        <f>SUMIFS(INDEX(Техника!$F$1:$ABM$500,M$2,0),Техника!$F$4:$ABM$4,"Часы",INDEX(Техника!$G$1:$ABN$500,M$2,0),$A$361,INDEX(Техника!$H$1:$ABO$500,M$2,0),"П")</f>
        <v>0</v>
      </c>
      <c r="N364" s="50">
        <f>SUMIFS(INDEX(Техника!$F$1:$ABM$500,N$2,0),Техника!$F$4:$ABM$4,"Часы",INDEX(Техника!$G$1:$ABN$500,N$2,0),$A$361,INDEX(Техника!$H$1:$ABO$500,N$2,0),"П")</f>
        <v>0</v>
      </c>
      <c r="O364" s="50">
        <f>SUMIFS(INDEX(Техника!$F$1:$ABM$500,O$2,0),Техника!$F$4:$ABM$4,"Часы",INDEX(Техника!$G$1:$ABN$500,O$2,0),$A$361,INDEX(Техника!$H$1:$ABO$500,O$2,0),"П")</f>
        <v>0</v>
      </c>
      <c r="P364" s="50">
        <f>SUMIFS(INDEX(Техника!$F$1:$ABM$500,P$2,0),Техника!$F$4:$ABM$4,"Часы",INDEX(Техника!$G$1:$ABN$500,P$2,0),$A$361,INDEX(Техника!$H$1:$ABO$500,P$2,0),"П")</f>
        <v>0</v>
      </c>
      <c r="Q364" s="50">
        <f>SUMIFS(INDEX(Техника!$F$1:$ABM$500,Q$2,0),Техника!$F$4:$ABM$4,"Часы",INDEX(Техника!$G$1:$ABN$500,Q$2,0),$A$361,INDEX(Техника!$H$1:$ABO$500,Q$2,0),"П")</f>
        <v>0</v>
      </c>
      <c r="R364" s="50">
        <f>SUMIFS(INDEX(Техника!$F$1:$ABM$500,R$2,0),Техника!$F$4:$ABM$4,"Часы",INDEX(Техника!$G$1:$ABN$500,R$2,0),$A$361,INDEX(Техника!$H$1:$ABO$500,R$2,0),"П")</f>
        <v>0</v>
      </c>
      <c r="S364" s="50">
        <f>SUMIFS(INDEX(Техника!$F$1:$ABM$500,S$2,0),Техника!$F$4:$ABM$4,"Часы",INDEX(Техника!$G$1:$ABN$500,S$2,0),$A$361,INDEX(Техника!$H$1:$ABO$500,S$2,0),"П")</f>
        <v>0</v>
      </c>
      <c r="T364" s="50">
        <f>SUMIFS(INDEX(Техника!$F$1:$ABM$500,T$2,0),Техника!$F$4:$ABM$4,"Часы",INDEX(Техника!$G$1:$ABN$500,T$2,0),$A$361,INDEX(Техника!$H$1:$ABO$500,T$2,0),"П")</f>
        <v>0</v>
      </c>
      <c r="U364" s="50">
        <f>SUMIFS(INDEX(Техника!$F$1:$ABM$500,U$2,0),Техника!$F$4:$ABM$4,"Часы",INDEX(Техника!$G$1:$ABN$500,U$2,0),$A$361,INDEX(Техника!$H$1:$ABO$500,U$2,0),"П")</f>
        <v>0</v>
      </c>
      <c r="V364" s="50">
        <f>SUMIFS(INDEX(Техника!$F$1:$ABM$500,V$2,0),Техника!$F$4:$ABM$4,"Часы",INDEX(Техника!$G$1:$ABN$500,V$2,0),$A$361,INDEX(Техника!$H$1:$ABO$500,V$2,0),"П")</f>
        <v>0</v>
      </c>
      <c r="W364" s="50">
        <f>SUMIFS(INDEX(Техника!$F$1:$ABM$500,W$2,0),Техника!$F$4:$ABM$4,"Часы",INDEX(Техника!$G$1:$ABN$500,W$2,0),$A$361,INDEX(Техника!$H$1:$ABO$500,W$2,0),"П")</f>
        <v>0</v>
      </c>
      <c r="X364" s="50">
        <f>SUMIFS(INDEX(Техника!$F$1:$ABM$500,X$2,0),Техника!$F$4:$ABM$4,"Часы",INDEX(Техника!$G$1:$ABN$500,X$2,0),$A$361,INDEX(Техника!$H$1:$ABO$500,X$2,0),"П")</f>
        <v>0</v>
      </c>
      <c r="Y364" s="50">
        <f>SUMIFS(INDEX(Техника!$F$1:$ABM$500,Y$2,0),Техника!$F$4:$ABM$4,"Часы",INDEX(Техника!$G$1:$ABN$500,Y$2,0),$A$361,INDEX(Техника!$H$1:$ABO$500,Y$2,0),"П")</f>
        <v>0</v>
      </c>
      <c r="Z364" s="50">
        <f>SUMIFS(INDEX(Техника!$F$1:$ABM$500,Z$2,0),Техника!$F$4:$ABM$4,"Часы",INDEX(Техника!$G$1:$ABN$500,Z$2,0),$A$361,INDEX(Техника!$H$1:$ABO$500,Z$2,0),"П")</f>
        <v>0</v>
      </c>
      <c r="AA364" s="50">
        <f>SUMIFS(INDEX(Техника!$F$1:$ABM$500,AA$2,0),Техника!$F$4:$ABM$4,"Часы",INDEX(Техника!$G$1:$ABN$500,AA$2,0),$A$361,INDEX(Техника!$H$1:$ABO$500,AA$2,0),"П")</f>
        <v>0</v>
      </c>
      <c r="AB364" s="50">
        <f>SUMIFS(INDEX(Техника!$F$1:$ABM$500,AB$2,0),Техника!$F$4:$ABM$4,"Часы",INDEX(Техника!$G$1:$ABN$500,AB$2,0),$A$361,INDEX(Техника!$H$1:$ABO$500,AB$2,0),"П")</f>
        <v>0</v>
      </c>
    </row>
    <row r="365" spans="1:28" hidden="1" outlineLevel="1" x14ac:dyDescent="0.3">
      <c r="A365" s="33" t="s">
        <v>243</v>
      </c>
      <c r="B365" s="34" t="s">
        <v>278</v>
      </c>
      <c r="C365" s="50">
        <f>SUMIFS(INDEX(Техника!$F$1:$ABM$500,C$2,0),Техника!$F$4:$ABM$4,"Часы",INDEX(Техника!$G$1:$ABN$500,C$2,0),$A$361,INDEX(Техника!$H$1:$ABO$500,C$2,0),"Л")</f>
        <v>0</v>
      </c>
      <c r="D365" s="50">
        <f>SUMIFS(INDEX(Техника!$F$1:$ABM$500,D$2,0),Техника!$F$4:$ABM$4,"Часы",INDEX(Техника!$G$1:$ABN$500,D$2,0),$A$361,INDEX(Техника!$H$1:$ABO$500,D$2,0),"Л")</f>
        <v>0</v>
      </c>
      <c r="E365" s="50">
        <f>SUMIFS(INDEX(Техника!$F$1:$ABM$500,E$2,0),Техника!$F$4:$ABM$4,"Часы",INDEX(Техника!$G$1:$ABN$500,E$2,0),$A$361,INDEX(Техника!$H$1:$ABO$500,E$2,0),"Л")</f>
        <v>0</v>
      </c>
      <c r="F365" s="50">
        <f>SUMIFS(INDEX(Техника!$F$1:$ABM$500,F$2,0),Техника!$F$4:$ABM$4,"Часы",INDEX(Техника!$G$1:$ABN$500,F$2,0),$A$361,INDEX(Техника!$H$1:$ABO$500,F$2,0),"Л")</f>
        <v>0</v>
      </c>
      <c r="G365" s="50">
        <f>SUMIFS(INDEX(Техника!$F$1:$ABM$500,G$2,0),Техника!$F$4:$ABM$4,"Часы",INDEX(Техника!$G$1:$ABN$500,G$2,0),$A$361,INDEX(Техника!$H$1:$ABO$500,G$2,0),"Л")</f>
        <v>0</v>
      </c>
      <c r="H365" s="50">
        <f>SUMIFS(INDEX(Техника!$F$1:$ABM$500,H$2,0),Техника!$F$4:$ABM$4,"Часы",INDEX(Техника!$G$1:$ABN$500,H$2,0),$A$361,INDEX(Техника!$H$1:$ABO$500,H$2,0),"Л")</f>
        <v>0</v>
      </c>
      <c r="I365" s="50">
        <f>SUMIFS(INDEX(Техника!$F$1:$ABM$500,I$2,0),Техника!$F$4:$ABM$4,"Часы",INDEX(Техника!$G$1:$ABN$500,I$2,0),$A$361,INDEX(Техника!$H$1:$ABO$500,I$2,0),"Л")</f>
        <v>0</v>
      </c>
      <c r="J365" s="50">
        <f>SUMIFS(INDEX(Техника!$F$1:$ABM$500,J$2,0),Техника!$F$4:$ABM$4,"Часы",INDEX(Техника!$G$1:$ABN$500,J$2,0),$A$361,INDEX(Техника!$H$1:$ABO$500,J$2,0),"Л")</f>
        <v>0</v>
      </c>
      <c r="K365" s="50">
        <f>SUMIFS(INDEX(Техника!$F$1:$ABM$500,K$2,0),Техника!$F$4:$ABM$4,"Часы",INDEX(Техника!$G$1:$ABN$500,K$2,0),$A$361,INDEX(Техника!$H$1:$ABO$500,K$2,0),"Л")</f>
        <v>0</v>
      </c>
      <c r="L365" s="50">
        <f>SUMIFS(INDEX(Техника!$F$1:$ABM$500,L$2,0),Техника!$F$4:$ABM$4,"Часы",INDEX(Техника!$G$1:$ABN$500,L$2,0),$A$361,INDEX(Техника!$H$1:$ABO$500,L$2,0),"Л")</f>
        <v>0</v>
      </c>
      <c r="M365" s="50">
        <f>SUMIFS(INDEX(Техника!$F$1:$ABM$500,M$2,0),Техника!$F$4:$ABM$4,"Часы",INDEX(Техника!$G$1:$ABN$500,M$2,0),$A$361,INDEX(Техника!$H$1:$ABO$500,M$2,0),"Л")</f>
        <v>0</v>
      </c>
      <c r="N365" s="50">
        <f>SUMIFS(INDEX(Техника!$F$1:$ABM$500,N$2,0),Техника!$F$4:$ABM$4,"Часы",INDEX(Техника!$G$1:$ABN$500,N$2,0),$A$361,INDEX(Техника!$H$1:$ABO$500,N$2,0),"Л")</f>
        <v>0</v>
      </c>
      <c r="O365" s="50">
        <f>SUMIFS(INDEX(Техника!$F$1:$ABM$500,O$2,0),Техника!$F$4:$ABM$4,"Часы",INDEX(Техника!$G$1:$ABN$500,O$2,0),$A$361,INDEX(Техника!$H$1:$ABO$500,O$2,0),"Л")</f>
        <v>0</v>
      </c>
      <c r="P365" s="50">
        <f>SUMIFS(INDEX(Техника!$F$1:$ABM$500,P$2,0),Техника!$F$4:$ABM$4,"Часы",INDEX(Техника!$G$1:$ABN$500,P$2,0),$A$361,INDEX(Техника!$H$1:$ABO$500,P$2,0),"Л")</f>
        <v>0</v>
      </c>
      <c r="Q365" s="50">
        <f>SUMIFS(INDEX(Техника!$F$1:$ABM$500,Q$2,0),Техника!$F$4:$ABM$4,"Часы",INDEX(Техника!$G$1:$ABN$500,Q$2,0),$A$361,INDEX(Техника!$H$1:$ABO$500,Q$2,0),"Л")</f>
        <v>0</v>
      </c>
      <c r="R365" s="50">
        <f>SUMIFS(INDEX(Техника!$F$1:$ABM$500,R$2,0),Техника!$F$4:$ABM$4,"Часы",INDEX(Техника!$G$1:$ABN$500,R$2,0),$A$361,INDEX(Техника!$H$1:$ABO$500,R$2,0),"Л")</f>
        <v>0</v>
      </c>
      <c r="S365" s="50">
        <f>SUMIFS(INDEX(Техника!$F$1:$ABM$500,S$2,0),Техника!$F$4:$ABM$4,"Часы",INDEX(Техника!$G$1:$ABN$500,S$2,0),$A$361,INDEX(Техника!$H$1:$ABO$500,S$2,0),"Л")</f>
        <v>0</v>
      </c>
      <c r="T365" s="50">
        <f>SUMIFS(INDEX(Техника!$F$1:$ABM$500,T$2,0),Техника!$F$4:$ABM$4,"Часы",INDEX(Техника!$G$1:$ABN$500,T$2,0),$A$361,INDEX(Техника!$H$1:$ABO$500,T$2,0),"Л")</f>
        <v>0</v>
      </c>
      <c r="U365" s="50">
        <f>SUMIFS(INDEX(Техника!$F$1:$ABM$500,U$2,0),Техника!$F$4:$ABM$4,"Часы",INDEX(Техника!$G$1:$ABN$500,U$2,0),$A$361,INDEX(Техника!$H$1:$ABO$500,U$2,0),"Л")</f>
        <v>0</v>
      </c>
      <c r="V365" s="50">
        <f>SUMIFS(INDEX(Техника!$F$1:$ABM$500,V$2,0),Техника!$F$4:$ABM$4,"Часы",INDEX(Техника!$G$1:$ABN$500,V$2,0),$A$361,INDEX(Техника!$H$1:$ABO$500,V$2,0),"Л")</f>
        <v>0</v>
      </c>
      <c r="W365" s="50">
        <f>SUMIFS(INDEX(Техника!$F$1:$ABM$500,W$2,0),Техника!$F$4:$ABM$4,"Часы",INDEX(Техника!$G$1:$ABN$500,W$2,0),$A$361,INDEX(Техника!$H$1:$ABO$500,W$2,0),"Л")</f>
        <v>0</v>
      </c>
      <c r="X365" s="50">
        <f>SUMIFS(INDEX(Техника!$F$1:$ABM$500,X$2,0),Техника!$F$4:$ABM$4,"Часы",INDEX(Техника!$G$1:$ABN$500,X$2,0),$A$361,INDEX(Техника!$H$1:$ABO$500,X$2,0),"Л")</f>
        <v>0</v>
      </c>
      <c r="Y365" s="50">
        <f>SUMIFS(INDEX(Техника!$F$1:$ABM$500,Y$2,0),Техника!$F$4:$ABM$4,"Часы",INDEX(Техника!$G$1:$ABN$500,Y$2,0),$A$361,INDEX(Техника!$H$1:$ABO$500,Y$2,0),"Л")</f>
        <v>0</v>
      </c>
      <c r="Z365" s="50">
        <f>SUMIFS(INDEX(Техника!$F$1:$ABM$500,Z$2,0),Техника!$F$4:$ABM$4,"Часы",INDEX(Техника!$G$1:$ABN$500,Z$2,0),$A$361,INDEX(Техника!$H$1:$ABO$500,Z$2,0),"Л")</f>
        <v>0</v>
      </c>
      <c r="AA365" s="50">
        <f>SUMIFS(INDEX(Техника!$F$1:$ABM$500,AA$2,0),Техника!$F$4:$ABM$4,"Часы",INDEX(Техника!$G$1:$ABN$500,AA$2,0),$A$361,INDEX(Техника!$H$1:$ABO$500,AA$2,0),"Л")</f>
        <v>0</v>
      </c>
      <c r="AB365" s="50">
        <f>SUMIFS(INDEX(Техника!$F$1:$ABM$500,AB$2,0),Техника!$F$4:$ABM$4,"Часы",INDEX(Техника!$G$1:$ABN$500,AB$2,0),$A$361,INDEX(Техника!$H$1:$ABO$500,AB$2,0),"Л")</f>
        <v>0</v>
      </c>
    </row>
    <row r="366" spans="1:28" hidden="1" outlineLevel="1" x14ac:dyDescent="0.3">
      <c r="A366" s="33" t="s">
        <v>245</v>
      </c>
      <c r="B366" s="34" t="s">
        <v>279</v>
      </c>
      <c r="C366" s="50">
        <f>SUMIFS(INDEX(Техника!$F$1:$ABM$500,C$2,0),Техника!$F$4:$ABM$4,"Часы",INDEX(Техника!$G$1:$ABN$500,C$2,0),$A$361,INDEX(Техника!$H$1:$ABO$500,C$2,0),"З")</f>
        <v>0</v>
      </c>
      <c r="D366" s="50">
        <f>SUMIFS(INDEX(Техника!$F$1:$ABM$500,D$2,0),Техника!$F$4:$ABM$4,"Часы",INDEX(Техника!$G$1:$ABN$500,D$2,0),$A$361,INDEX(Техника!$H$1:$ABO$500,D$2,0),"З")</f>
        <v>0</v>
      </c>
      <c r="E366" s="50">
        <f>SUMIFS(INDEX(Техника!$F$1:$ABM$500,E$2,0),Техника!$F$4:$ABM$4,"Часы",INDEX(Техника!$G$1:$ABN$500,E$2,0),$A$361,INDEX(Техника!$H$1:$ABO$500,E$2,0),"З")</f>
        <v>0</v>
      </c>
      <c r="F366" s="50">
        <f>SUMIFS(INDEX(Техника!$F$1:$ABM$500,F$2,0),Техника!$F$4:$ABM$4,"Часы",INDEX(Техника!$G$1:$ABN$500,F$2,0),$A$361,INDEX(Техника!$H$1:$ABO$500,F$2,0),"З")</f>
        <v>0</v>
      </c>
      <c r="G366" s="50">
        <f>SUMIFS(INDEX(Техника!$F$1:$ABM$500,G$2,0),Техника!$F$4:$ABM$4,"Часы",INDEX(Техника!$G$1:$ABN$500,G$2,0),$A$361,INDEX(Техника!$H$1:$ABO$500,G$2,0),"З")</f>
        <v>0</v>
      </c>
      <c r="H366" s="50">
        <f>SUMIFS(INDEX(Техника!$F$1:$ABM$500,H$2,0),Техника!$F$4:$ABM$4,"Часы",INDEX(Техника!$G$1:$ABN$500,H$2,0),$A$361,INDEX(Техника!$H$1:$ABO$500,H$2,0),"З")</f>
        <v>0</v>
      </c>
      <c r="I366" s="50">
        <f>SUMIFS(INDEX(Техника!$F$1:$ABM$500,I$2,0),Техника!$F$4:$ABM$4,"Часы",INDEX(Техника!$G$1:$ABN$500,I$2,0),$A$361,INDEX(Техника!$H$1:$ABO$500,I$2,0),"З")</f>
        <v>0</v>
      </c>
      <c r="J366" s="50">
        <f>SUMIFS(INDEX(Техника!$F$1:$ABM$500,J$2,0),Техника!$F$4:$ABM$4,"Часы",INDEX(Техника!$G$1:$ABN$500,J$2,0),$A$361,INDEX(Техника!$H$1:$ABO$500,J$2,0),"З")</f>
        <v>0</v>
      </c>
      <c r="K366" s="50">
        <f>SUMIFS(INDEX(Техника!$F$1:$ABM$500,K$2,0),Техника!$F$4:$ABM$4,"Часы",INDEX(Техника!$G$1:$ABN$500,K$2,0),$A$361,INDEX(Техника!$H$1:$ABO$500,K$2,0),"З")</f>
        <v>0</v>
      </c>
      <c r="L366" s="50">
        <f>SUMIFS(INDEX(Техника!$F$1:$ABM$500,L$2,0),Техника!$F$4:$ABM$4,"Часы",INDEX(Техника!$G$1:$ABN$500,L$2,0),$A$361,INDEX(Техника!$H$1:$ABO$500,L$2,0),"З")</f>
        <v>0</v>
      </c>
      <c r="M366" s="50">
        <f>SUMIFS(INDEX(Техника!$F$1:$ABM$500,M$2,0),Техника!$F$4:$ABM$4,"Часы",INDEX(Техника!$G$1:$ABN$500,M$2,0),$A$361,INDEX(Техника!$H$1:$ABO$500,M$2,0),"З")</f>
        <v>0</v>
      </c>
      <c r="N366" s="50">
        <f>SUMIFS(INDEX(Техника!$F$1:$ABM$500,N$2,0),Техника!$F$4:$ABM$4,"Часы",INDEX(Техника!$G$1:$ABN$500,N$2,0),$A$361,INDEX(Техника!$H$1:$ABO$500,N$2,0),"З")</f>
        <v>0</v>
      </c>
      <c r="O366" s="50">
        <f>SUMIFS(INDEX(Техника!$F$1:$ABM$500,O$2,0),Техника!$F$4:$ABM$4,"Часы",INDEX(Техника!$G$1:$ABN$500,O$2,0),$A$361,INDEX(Техника!$H$1:$ABO$500,O$2,0),"З")</f>
        <v>0</v>
      </c>
      <c r="P366" s="50">
        <f>SUMIFS(INDEX(Техника!$F$1:$ABM$500,P$2,0),Техника!$F$4:$ABM$4,"Часы",INDEX(Техника!$G$1:$ABN$500,P$2,0),$A$361,INDEX(Техника!$H$1:$ABO$500,P$2,0),"З")</f>
        <v>0</v>
      </c>
      <c r="Q366" s="50">
        <f>SUMIFS(INDEX(Техника!$F$1:$ABM$500,Q$2,0),Техника!$F$4:$ABM$4,"Часы",INDEX(Техника!$G$1:$ABN$500,Q$2,0),$A$361,INDEX(Техника!$H$1:$ABO$500,Q$2,0),"З")</f>
        <v>0</v>
      </c>
      <c r="R366" s="50">
        <f>SUMIFS(INDEX(Техника!$F$1:$ABM$500,R$2,0),Техника!$F$4:$ABM$4,"Часы",INDEX(Техника!$G$1:$ABN$500,R$2,0),$A$361,INDEX(Техника!$H$1:$ABO$500,R$2,0),"З")</f>
        <v>0</v>
      </c>
      <c r="S366" s="50">
        <f>SUMIFS(INDEX(Техника!$F$1:$ABM$500,S$2,0),Техника!$F$4:$ABM$4,"Часы",INDEX(Техника!$G$1:$ABN$500,S$2,0),$A$361,INDEX(Техника!$H$1:$ABO$500,S$2,0),"З")</f>
        <v>0</v>
      </c>
      <c r="T366" s="50">
        <f>SUMIFS(INDEX(Техника!$F$1:$ABM$500,T$2,0),Техника!$F$4:$ABM$4,"Часы",INDEX(Техника!$G$1:$ABN$500,T$2,0),$A$361,INDEX(Техника!$H$1:$ABO$500,T$2,0),"З")</f>
        <v>0</v>
      </c>
      <c r="U366" s="50">
        <f>SUMIFS(INDEX(Техника!$F$1:$ABM$500,U$2,0),Техника!$F$4:$ABM$4,"Часы",INDEX(Техника!$G$1:$ABN$500,U$2,0),$A$361,INDEX(Техника!$H$1:$ABO$500,U$2,0),"З")</f>
        <v>0</v>
      </c>
      <c r="V366" s="50">
        <f>SUMIFS(INDEX(Техника!$F$1:$ABM$500,V$2,0),Техника!$F$4:$ABM$4,"Часы",INDEX(Техника!$G$1:$ABN$500,V$2,0),$A$361,INDEX(Техника!$H$1:$ABO$500,V$2,0),"З")</f>
        <v>0</v>
      </c>
      <c r="W366" s="50">
        <f>SUMIFS(INDEX(Техника!$F$1:$ABM$500,W$2,0),Техника!$F$4:$ABM$4,"Часы",INDEX(Техника!$G$1:$ABN$500,W$2,0),$A$361,INDEX(Техника!$H$1:$ABO$500,W$2,0),"З")</f>
        <v>0</v>
      </c>
      <c r="X366" s="50">
        <f>SUMIFS(INDEX(Техника!$F$1:$ABM$500,X$2,0),Техника!$F$4:$ABM$4,"Часы",INDEX(Техника!$G$1:$ABN$500,X$2,0),$A$361,INDEX(Техника!$H$1:$ABO$500,X$2,0),"З")</f>
        <v>0</v>
      </c>
      <c r="Y366" s="50">
        <f>SUMIFS(INDEX(Техника!$F$1:$ABM$500,Y$2,0),Техника!$F$4:$ABM$4,"Часы",INDEX(Техника!$G$1:$ABN$500,Y$2,0),$A$361,INDEX(Техника!$H$1:$ABO$500,Y$2,0),"З")</f>
        <v>0</v>
      </c>
      <c r="Z366" s="50">
        <f>SUMIFS(INDEX(Техника!$F$1:$ABM$500,Z$2,0),Техника!$F$4:$ABM$4,"Часы",INDEX(Техника!$G$1:$ABN$500,Z$2,0),$A$361,INDEX(Техника!$H$1:$ABO$500,Z$2,0),"З")</f>
        <v>0</v>
      </c>
      <c r="AA366" s="50">
        <f>SUMIFS(INDEX(Техника!$F$1:$ABM$500,AA$2,0),Техника!$F$4:$ABM$4,"Часы",INDEX(Техника!$G$1:$ABN$500,AA$2,0),$A$361,INDEX(Техника!$H$1:$ABO$500,AA$2,0),"З")</f>
        <v>0</v>
      </c>
      <c r="AB366" s="50">
        <f>SUMIFS(INDEX(Техника!$F$1:$ABM$500,AB$2,0),Техника!$F$4:$ABM$4,"Часы",INDEX(Техника!$G$1:$ABN$500,AB$2,0),$A$361,INDEX(Техника!$H$1:$ABO$500,AB$2,0),"З")</f>
        <v>0</v>
      </c>
    </row>
    <row r="367" spans="1:28" ht="7.95" customHeight="1" x14ac:dyDescent="0.3">
      <c r="A367" s="38"/>
      <c r="B367" s="39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</row>
    <row r="368" spans="1:28" ht="25.05" customHeight="1" collapsed="1" x14ac:dyDescent="0.3">
      <c r="A368" s="32">
        <v>53</v>
      </c>
      <c r="B368" s="32" t="s">
        <v>54</v>
      </c>
      <c r="C368" s="49">
        <f>SUM(C369:C373)</f>
        <v>0</v>
      </c>
      <c r="D368" s="49">
        <f>SUM(D369:D373)</f>
        <v>0</v>
      </c>
      <c r="E368" s="49">
        <f>SUM(E369:E373)</f>
        <v>0</v>
      </c>
      <c r="F368" s="49">
        <f>SUM(F369:F373)</f>
        <v>0</v>
      </c>
      <c r="G368" s="49">
        <f>SUM(G369:G373)</f>
        <v>0</v>
      </c>
      <c r="H368" s="49">
        <f>SUM(H369:H373)</f>
        <v>0</v>
      </c>
      <c r="I368" s="49">
        <f>SUM(I369:I373)</f>
        <v>0</v>
      </c>
      <c r="J368" s="49">
        <f>SUM(J369:J373)</f>
        <v>0</v>
      </c>
      <c r="K368" s="49">
        <f>SUM(K369:K373)</f>
        <v>0</v>
      </c>
      <c r="L368" s="49">
        <f>SUM(L369:L373)</f>
        <v>0</v>
      </c>
      <c r="M368" s="49">
        <f>SUM(M369:M373)</f>
        <v>0</v>
      </c>
      <c r="N368" s="49">
        <f>SUM(N369:N373)</f>
        <v>0</v>
      </c>
      <c r="O368" s="49">
        <f>SUM(O369:O373)</f>
        <v>0</v>
      </c>
      <c r="P368" s="49">
        <f>SUM(P369:P373)</f>
        <v>0</v>
      </c>
      <c r="Q368" s="49">
        <f>SUM(Q369:Q373)</f>
        <v>0</v>
      </c>
      <c r="R368" s="49">
        <f>SUM(R369:R373)</f>
        <v>0</v>
      </c>
      <c r="S368" s="49">
        <f>SUM(S369:S373)</f>
        <v>0</v>
      </c>
      <c r="T368" s="49">
        <f>SUM(T369:T373)</f>
        <v>0</v>
      </c>
      <c r="U368" s="49">
        <f>SUM(U369:U373)</f>
        <v>0</v>
      </c>
      <c r="V368" s="49">
        <f>SUM(V369:V373)</f>
        <v>0</v>
      </c>
      <c r="W368" s="49">
        <f>SUM(W369:W373)</f>
        <v>0</v>
      </c>
      <c r="X368" s="49">
        <f>SUM(X369:X373)</f>
        <v>0</v>
      </c>
      <c r="Y368" s="49">
        <f>SUM(Y369:Y373)</f>
        <v>0</v>
      </c>
      <c r="Z368" s="49">
        <f>SUM(Z369:Z373)</f>
        <v>0</v>
      </c>
      <c r="AA368" s="49">
        <f>SUM(AA369:AA373)</f>
        <v>0</v>
      </c>
      <c r="AB368" s="49">
        <f>SUM(AB369:AB373)</f>
        <v>0</v>
      </c>
    </row>
    <row r="369" spans="1:28" hidden="1" outlineLevel="1" x14ac:dyDescent="0.3">
      <c r="A369" s="33" t="s">
        <v>246</v>
      </c>
      <c r="B369" s="34" t="s">
        <v>274</v>
      </c>
      <c r="C369" s="50">
        <f>SUMIFS(INDEX(Техника!$F$1:$ABM$500,C$2,0),Техника!$F$4:$ABM$4,"Часы",INDEX(Техника!$G$1:$ABN$500,C$2,0),$A$368,INDEX(Техника!$H$1:$ABO$500,C$2,0),"М")</f>
        <v>0</v>
      </c>
      <c r="D369" s="50">
        <f>SUMIFS(INDEX(Техника!$F$1:$ABM$500,D$2,0),Техника!$F$4:$ABM$4,"Часы",INDEX(Техника!$G$1:$ABN$500,D$2,0),$A$368,INDEX(Техника!$H$1:$ABO$500,D$2,0),"М")</f>
        <v>0</v>
      </c>
      <c r="E369" s="50">
        <f>SUMIFS(INDEX(Техника!$F$1:$ABM$500,E$2,0),Техника!$F$4:$ABM$4,"Часы",INDEX(Техника!$G$1:$ABN$500,E$2,0),$A$368,INDEX(Техника!$H$1:$ABO$500,E$2,0),"М")</f>
        <v>0</v>
      </c>
      <c r="F369" s="50">
        <f>SUMIFS(INDEX(Техника!$F$1:$ABM$500,F$2,0),Техника!$F$4:$ABM$4,"Часы",INDEX(Техника!$G$1:$ABN$500,F$2,0),$A$368,INDEX(Техника!$H$1:$ABO$500,F$2,0),"М")</f>
        <v>0</v>
      </c>
      <c r="G369" s="50">
        <f>SUMIFS(INDEX(Техника!$F$1:$ABM$500,G$2,0),Техника!$F$4:$ABM$4,"Часы",INDEX(Техника!$G$1:$ABN$500,G$2,0),$A$368,INDEX(Техника!$H$1:$ABO$500,G$2,0),"М")</f>
        <v>0</v>
      </c>
      <c r="H369" s="50">
        <f>SUMIFS(INDEX(Техника!$F$1:$ABM$500,H$2,0),Техника!$F$4:$ABM$4,"Часы",INDEX(Техника!$G$1:$ABN$500,H$2,0),$A$368,INDEX(Техника!$H$1:$ABO$500,H$2,0),"М")</f>
        <v>0</v>
      </c>
      <c r="I369" s="50">
        <f>SUMIFS(INDEX(Техника!$F$1:$ABM$500,I$2,0),Техника!$F$4:$ABM$4,"Часы",INDEX(Техника!$G$1:$ABN$500,I$2,0),$A$368,INDEX(Техника!$H$1:$ABO$500,I$2,0),"М")</f>
        <v>0</v>
      </c>
      <c r="J369" s="50">
        <f>SUMIFS(INDEX(Техника!$F$1:$ABM$500,J$2,0),Техника!$F$4:$ABM$4,"Часы",INDEX(Техника!$G$1:$ABN$500,J$2,0),$A$368,INDEX(Техника!$H$1:$ABO$500,J$2,0),"М")</f>
        <v>0</v>
      </c>
      <c r="K369" s="50">
        <f>SUMIFS(INDEX(Техника!$F$1:$ABM$500,K$2,0),Техника!$F$4:$ABM$4,"Часы",INDEX(Техника!$G$1:$ABN$500,K$2,0),$A$368,INDEX(Техника!$H$1:$ABO$500,K$2,0),"М")</f>
        <v>0</v>
      </c>
      <c r="L369" s="50">
        <f>SUMIFS(INDEX(Техника!$F$1:$ABM$500,L$2,0),Техника!$F$4:$ABM$4,"Часы",INDEX(Техника!$G$1:$ABN$500,L$2,0),$A$368,INDEX(Техника!$H$1:$ABO$500,L$2,0),"М")</f>
        <v>0</v>
      </c>
      <c r="M369" s="50">
        <f>SUMIFS(INDEX(Техника!$F$1:$ABM$500,M$2,0),Техника!$F$4:$ABM$4,"Часы",INDEX(Техника!$G$1:$ABN$500,M$2,0),$A$368,INDEX(Техника!$H$1:$ABO$500,M$2,0),"М")</f>
        <v>0</v>
      </c>
      <c r="N369" s="50">
        <f>SUMIFS(INDEX(Техника!$F$1:$ABM$500,N$2,0),Техника!$F$4:$ABM$4,"Часы",INDEX(Техника!$G$1:$ABN$500,N$2,0),$A$368,INDEX(Техника!$H$1:$ABO$500,N$2,0),"М")</f>
        <v>0</v>
      </c>
      <c r="O369" s="50">
        <f>SUMIFS(INDEX(Техника!$F$1:$ABM$500,O$2,0),Техника!$F$4:$ABM$4,"Часы",INDEX(Техника!$G$1:$ABN$500,O$2,0),$A$368,INDEX(Техника!$H$1:$ABO$500,O$2,0),"М")</f>
        <v>0</v>
      </c>
      <c r="P369" s="50">
        <f>SUMIFS(INDEX(Техника!$F$1:$ABM$500,P$2,0),Техника!$F$4:$ABM$4,"Часы",INDEX(Техника!$G$1:$ABN$500,P$2,0),$A$368,INDEX(Техника!$H$1:$ABO$500,P$2,0),"М")</f>
        <v>0</v>
      </c>
      <c r="Q369" s="50">
        <f>SUMIFS(INDEX(Техника!$F$1:$ABM$500,Q$2,0),Техника!$F$4:$ABM$4,"Часы",INDEX(Техника!$G$1:$ABN$500,Q$2,0),$A$368,INDEX(Техника!$H$1:$ABO$500,Q$2,0),"М")</f>
        <v>0</v>
      </c>
      <c r="R369" s="50">
        <f>SUMIFS(INDEX(Техника!$F$1:$ABM$500,R$2,0),Техника!$F$4:$ABM$4,"Часы",INDEX(Техника!$G$1:$ABN$500,R$2,0),$A$368,INDEX(Техника!$H$1:$ABO$500,R$2,0),"М")</f>
        <v>0</v>
      </c>
      <c r="S369" s="50">
        <f>SUMIFS(INDEX(Техника!$F$1:$ABM$500,S$2,0),Техника!$F$4:$ABM$4,"Часы",INDEX(Техника!$G$1:$ABN$500,S$2,0),$A$368,INDEX(Техника!$H$1:$ABO$500,S$2,0),"М")</f>
        <v>0</v>
      </c>
      <c r="T369" s="50">
        <f>SUMIFS(INDEX(Техника!$F$1:$ABM$500,T$2,0),Техника!$F$4:$ABM$4,"Часы",INDEX(Техника!$G$1:$ABN$500,T$2,0),$A$368,INDEX(Техника!$H$1:$ABO$500,T$2,0),"М")</f>
        <v>0</v>
      </c>
      <c r="U369" s="50">
        <f>SUMIFS(INDEX(Техника!$F$1:$ABM$500,U$2,0),Техника!$F$4:$ABM$4,"Часы",INDEX(Техника!$G$1:$ABN$500,U$2,0),$A$368,INDEX(Техника!$H$1:$ABO$500,U$2,0),"М")</f>
        <v>0</v>
      </c>
      <c r="V369" s="50">
        <f>SUMIFS(INDEX(Техника!$F$1:$ABM$500,V$2,0),Техника!$F$4:$ABM$4,"Часы",INDEX(Техника!$G$1:$ABN$500,V$2,0),$A$368,INDEX(Техника!$H$1:$ABO$500,V$2,0),"М")</f>
        <v>0</v>
      </c>
      <c r="W369" s="50">
        <f>SUMIFS(INDEX(Техника!$F$1:$ABM$500,W$2,0),Техника!$F$4:$ABM$4,"Часы",INDEX(Техника!$G$1:$ABN$500,W$2,0),$A$368,INDEX(Техника!$H$1:$ABO$500,W$2,0),"М")</f>
        <v>0</v>
      </c>
      <c r="X369" s="50">
        <f>SUMIFS(INDEX(Техника!$F$1:$ABM$500,X$2,0),Техника!$F$4:$ABM$4,"Часы",INDEX(Техника!$G$1:$ABN$500,X$2,0),$A$368,INDEX(Техника!$H$1:$ABO$500,X$2,0),"М")</f>
        <v>0</v>
      </c>
      <c r="Y369" s="50">
        <f>SUMIFS(INDEX(Техника!$F$1:$ABM$500,Y$2,0),Техника!$F$4:$ABM$4,"Часы",INDEX(Техника!$G$1:$ABN$500,Y$2,0),$A$368,INDEX(Техника!$H$1:$ABO$500,Y$2,0),"М")</f>
        <v>0</v>
      </c>
      <c r="Z369" s="50">
        <f>SUMIFS(INDEX(Техника!$F$1:$ABM$500,Z$2,0),Техника!$F$4:$ABM$4,"Часы",INDEX(Техника!$G$1:$ABN$500,Z$2,0),$A$368,INDEX(Техника!$H$1:$ABO$500,Z$2,0),"М")</f>
        <v>0</v>
      </c>
      <c r="AA369" s="50">
        <f>SUMIFS(INDEX(Техника!$F$1:$ABM$500,AA$2,0),Техника!$F$4:$ABM$4,"Часы",INDEX(Техника!$G$1:$ABN$500,AA$2,0),$A$368,INDEX(Техника!$H$1:$ABO$500,AA$2,0),"М")</f>
        <v>0</v>
      </c>
      <c r="AB369" s="50">
        <f>SUMIFS(INDEX(Техника!$F$1:$ABM$500,AB$2,0),Техника!$F$4:$ABM$4,"Часы",INDEX(Техника!$G$1:$ABN$500,AB$2,0),$A$368,INDEX(Техника!$H$1:$ABO$500,AB$2,0),"М")</f>
        <v>0</v>
      </c>
    </row>
    <row r="370" spans="1:28" hidden="1" outlineLevel="1" x14ac:dyDescent="0.3">
      <c r="A370" s="33" t="s">
        <v>244</v>
      </c>
      <c r="B370" s="34" t="s">
        <v>275</v>
      </c>
      <c r="C370" s="50">
        <f>SUMIFS(INDEX(Техника!$F$1:$ABM$500,C$2,0),Техника!$F$4:$ABM$4,"Часы",INDEX(Техника!$G$1:$ABN$500,C$2,0),$A$368,INDEX(Техника!$H$1:$ABO$500,C$2,0),"Д")</f>
        <v>0</v>
      </c>
      <c r="D370" s="50">
        <f>SUMIFS(INDEX(Техника!$F$1:$ABM$500,D$2,0),Техника!$F$4:$ABM$4,"Часы",INDEX(Техника!$G$1:$ABN$500,D$2,0),$A$368,INDEX(Техника!$H$1:$ABO$500,D$2,0),"Д")</f>
        <v>0</v>
      </c>
      <c r="E370" s="50">
        <f>SUMIFS(INDEX(Техника!$F$1:$ABM$500,E$2,0),Техника!$F$4:$ABM$4,"Часы",INDEX(Техника!$G$1:$ABN$500,E$2,0),$A$368,INDEX(Техника!$H$1:$ABO$500,E$2,0),"Д")</f>
        <v>0</v>
      </c>
      <c r="F370" s="50">
        <f>SUMIFS(INDEX(Техника!$F$1:$ABM$500,F$2,0),Техника!$F$4:$ABM$4,"Часы",INDEX(Техника!$G$1:$ABN$500,F$2,0),$A$368,INDEX(Техника!$H$1:$ABO$500,F$2,0),"Д")</f>
        <v>0</v>
      </c>
      <c r="G370" s="50">
        <f>SUMIFS(INDEX(Техника!$F$1:$ABM$500,G$2,0),Техника!$F$4:$ABM$4,"Часы",INDEX(Техника!$G$1:$ABN$500,G$2,0),$A$368,INDEX(Техника!$H$1:$ABO$500,G$2,0),"Д")</f>
        <v>0</v>
      </c>
      <c r="H370" s="50">
        <f>SUMIFS(INDEX(Техника!$F$1:$ABM$500,H$2,0),Техника!$F$4:$ABM$4,"Часы",INDEX(Техника!$G$1:$ABN$500,H$2,0),$A$368,INDEX(Техника!$H$1:$ABO$500,H$2,0),"Д")</f>
        <v>0</v>
      </c>
      <c r="I370" s="50">
        <f>SUMIFS(INDEX(Техника!$F$1:$ABM$500,I$2,0),Техника!$F$4:$ABM$4,"Часы",INDEX(Техника!$G$1:$ABN$500,I$2,0),$A$368,INDEX(Техника!$H$1:$ABO$500,I$2,0),"Д")</f>
        <v>0</v>
      </c>
      <c r="J370" s="50">
        <f>SUMIFS(INDEX(Техника!$F$1:$ABM$500,J$2,0),Техника!$F$4:$ABM$4,"Часы",INDEX(Техника!$G$1:$ABN$500,J$2,0),$A$368,INDEX(Техника!$H$1:$ABO$500,J$2,0),"Д")</f>
        <v>0</v>
      </c>
      <c r="K370" s="50">
        <f>SUMIFS(INDEX(Техника!$F$1:$ABM$500,K$2,0),Техника!$F$4:$ABM$4,"Часы",INDEX(Техника!$G$1:$ABN$500,K$2,0),$A$368,INDEX(Техника!$H$1:$ABO$500,K$2,0),"Д")</f>
        <v>0</v>
      </c>
      <c r="L370" s="50">
        <f>SUMIFS(INDEX(Техника!$F$1:$ABM$500,L$2,0),Техника!$F$4:$ABM$4,"Часы",INDEX(Техника!$G$1:$ABN$500,L$2,0),$A$368,INDEX(Техника!$H$1:$ABO$500,L$2,0),"Д")</f>
        <v>0</v>
      </c>
      <c r="M370" s="50">
        <f>SUMIFS(INDEX(Техника!$F$1:$ABM$500,M$2,0),Техника!$F$4:$ABM$4,"Часы",INDEX(Техника!$G$1:$ABN$500,M$2,0),$A$368,INDEX(Техника!$H$1:$ABO$500,M$2,0),"Д")</f>
        <v>0</v>
      </c>
      <c r="N370" s="50">
        <f>SUMIFS(INDEX(Техника!$F$1:$ABM$500,N$2,0),Техника!$F$4:$ABM$4,"Часы",INDEX(Техника!$G$1:$ABN$500,N$2,0),$A$368,INDEX(Техника!$H$1:$ABO$500,N$2,0),"Д")</f>
        <v>0</v>
      </c>
      <c r="O370" s="50">
        <f>SUMIFS(INDEX(Техника!$F$1:$ABM$500,O$2,0),Техника!$F$4:$ABM$4,"Часы",INDEX(Техника!$G$1:$ABN$500,O$2,0),$A$368,INDEX(Техника!$H$1:$ABO$500,O$2,0),"Д")</f>
        <v>0</v>
      </c>
      <c r="P370" s="50">
        <f>SUMIFS(INDEX(Техника!$F$1:$ABM$500,P$2,0),Техника!$F$4:$ABM$4,"Часы",INDEX(Техника!$G$1:$ABN$500,P$2,0),$A$368,INDEX(Техника!$H$1:$ABO$500,P$2,0),"Д")</f>
        <v>0</v>
      </c>
      <c r="Q370" s="50">
        <f>SUMIFS(INDEX(Техника!$F$1:$ABM$500,Q$2,0),Техника!$F$4:$ABM$4,"Часы",INDEX(Техника!$G$1:$ABN$500,Q$2,0),$A$368,INDEX(Техника!$H$1:$ABO$500,Q$2,0),"Д")</f>
        <v>0</v>
      </c>
      <c r="R370" s="50">
        <f>SUMIFS(INDEX(Техника!$F$1:$ABM$500,R$2,0),Техника!$F$4:$ABM$4,"Часы",INDEX(Техника!$G$1:$ABN$500,R$2,0),$A$368,INDEX(Техника!$H$1:$ABO$500,R$2,0),"Д")</f>
        <v>0</v>
      </c>
      <c r="S370" s="50">
        <f>SUMIFS(INDEX(Техника!$F$1:$ABM$500,S$2,0),Техника!$F$4:$ABM$4,"Часы",INDEX(Техника!$G$1:$ABN$500,S$2,0),$A$368,INDEX(Техника!$H$1:$ABO$500,S$2,0),"Д")</f>
        <v>0</v>
      </c>
      <c r="T370" s="50">
        <f>SUMIFS(INDEX(Техника!$F$1:$ABM$500,T$2,0),Техника!$F$4:$ABM$4,"Часы",INDEX(Техника!$G$1:$ABN$500,T$2,0),$A$368,INDEX(Техника!$H$1:$ABO$500,T$2,0),"Д")</f>
        <v>0</v>
      </c>
      <c r="U370" s="50">
        <f>SUMIFS(INDEX(Техника!$F$1:$ABM$500,U$2,0),Техника!$F$4:$ABM$4,"Часы",INDEX(Техника!$G$1:$ABN$500,U$2,0),$A$368,INDEX(Техника!$H$1:$ABO$500,U$2,0),"Д")</f>
        <v>0</v>
      </c>
      <c r="V370" s="50">
        <f>SUMIFS(INDEX(Техника!$F$1:$ABM$500,V$2,0),Техника!$F$4:$ABM$4,"Часы",INDEX(Техника!$G$1:$ABN$500,V$2,0),$A$368,INDEX(Техника!$H$1:$ABO$500,V$2,0),"Д")</f>
        <v>0</v>
      </c>
      <c r="W370" s="50">
        <f>SUMIFS(INDEX(Техника!$F$1:$ABM$500,W$2,0),Техника!$F$4:$ABM$4,"Часы",INDEX(Техника!$G$1:$ABN$500,W$2,0),$A$368,INDEX(Техника!$H$1:$ABO$500,W$2,0),"Д")</f>
        <v>0</v>
      </c>
      <c r="X370" s="50">
        <f>SUMIFS(INDEX(Техника!$F$1:$ABM$500,X$2,0),Техника!$F$4:$ABM$4,"Часы",INDEX(Техника!$G$1:$ABN$500,X$2,0),$A$368,INDEX(Техника!$H$1:$ABO$500,X$2,0),"Д")</f>
        <v>0</v>
      </c>
      <c r="Y370" s="50">
        <f>SUMIFS(INDEX(Техника!$F$1:$ABM$500,Y$2,0),Техника!$F$4:$ABM$4,"Часы",INDEX(Техника!$G$1:$ABN$500,Y$2,0),$A$368,INDEX(Техника!$H$1:$ABO$500,Y$2,0),"Д")</f>
        <v>0</v>
      </c>
      <c r="Z370" s="50">
        <f>SUMIFS(INDEX(Техника!$F$1:$ABM$500,Z$2,0),Техника!$F$4:$ABM$4,"Часы",INDEX(Техника!$G$1:$ABN$500,Z$2,0),$A$368,INDEX(Техника!$H$1:$ABO$500,Z$2,0),"Д")</f>
        <v>0</v>
      </c>
      <c r="AA370" s="50">
        <f>SUMIFS(INDEX(Техника!$F$1:$ABM$500,AA$2,0),Техника!$F$4:$ABM$4,"Часы",INDEX(Техника!$G$1:$ABN$500,AA$2,0),$A$368,INDEX(Техника!$H$1:$ABO$500,AA$2,0),"Д")</f>
        <v>0</v>
      </c>
      <c r="AB370" s="50">
        <f>SUMIFS(INDEX(Техника!$F$1:$ABM$500,AB$2,0),Техника!$F$4:$ABM$4,"Часы",INDEX(Техника!$G$1:$ABN$500,AB$2,0),$A$368,INDEX(Техника!$H$1:$ABO$500,AB$2,0),"Д")</f>
        <v>0</v>
      </c>
    </row>
    <row r="371" spans="1:28" hidden="1" outlineLevel="1" x14ac:dyDescent="0.3">
      <c r="A371" s="33" t="s">
        <v>276</v>
      </c>
      <c r="B371" s="34" t="s">
        <v>277</v>
      </c>
      <c r="C371" s="50">
        <f>SUMIFS(INDEX(Техника!$F$1:$ABM$500,C$2,0),Техника!$F$4:$ABM$4,"Часы",INDEX(Техника!$G$1:$ABN$500,C$2,0),$A$368,INDEX(Техника!$H$1:$ABO$500,C$2,0),"П")</f>
        <v>0</v>
      </c>
      <c r="D371" s="50">
        <f>SUMIFS(INDEX(Техника!$F$1:$ABM$500,D$2,0),Техника!$F$4:$ABM$4,"Часы",INDEX(Техника!$G$1:$ABN$500,D$2,0),$A$368,INDEX(Техника!$H$1:$ABO$500,D$2,0),"П")</f>
        <v>0</v>
      </c>
      <c r="E371" s="50">
        <f>SUMIFS(INDEX(Техника!$F$1:$ABM$500,E$2,0),Техника!$F$4:$ABM$4,"Часы",INDEX(Техника!$G$1:$ABN$500,E$2,0),$A$368,INDEX(Техника!$H$1:$ABO$500,E$2,0),"П")</f>
        <v>0</v>
      </c>
      <c r="F371" s="50">
        <f>SUMIFS(INDEX(Техника!$F$1:$ABM$500,F$2,0),Техника!$F$4:$ABM$4,"Часы",INDEX(Техника!$G$1:$ABN$500,F$2,0),$A$368,INDEX(Техника!$H$1:$ABO$500,F$2,0),"П")</f>
        <v>0</v>
      </c>
      <c r="G371" s="50">
        <f>SUMIFS(INDEX(Техника!$F$1:$ABM$500,G$2,0),Техника!$F$4:$ABM$4,"Часы",INDEX(Техника!$G$1:$ABN$500,G$2,0),$A$368,INDEX(Техника!$H$1:$ABO$500,G$2,0),"П")</f>
        <v>0</v>
      </c>
      <c r="H371" s="50">
        <f>SUMIFS(INDEX(Техника!$F$1:$ABM$500,H$2,0),Техника!$F$4:$ABM$4,"Часы",INDEX(Техника!$G$1:$ABN$500,H$2,0),$A$368,INDEX(Техника!$H$1:$ABO$500,H$2,0),"П")</f>
        <v>0</v>
      </c>
      <c r="I371" s="50">
        <f>SUMIFS(INDEX(Техника!$F$1:$ABM$500,I$2,0),Техника!$F$4:$ABM$4,"Часы",INDEX(Техника!$G$1:$ABN$500,I$2,0),$A$368,INDEX(Техника!$H$1:$ABO$500,I$2,0),"П")</f>
        <v>0</v>
      </c>
      <c r="J371" s="50">
        <f>SUMIFS(INDEX(Техника!$F$1:$ABM$500,J$2,0),Техника!$F$4:$ABM$4,"Часы",INDEX(Техника!$G$1:$ABN$500,J$2,0),$A$368,INDEX(Техника!$H$1:$ABO$500,J$2,0),"П")</f>
        <v>0</v>
      </c>
      <c r="K371" s="50">
        <f>SUMIFS(INDEX(Техника!$F$1:$ABM$500,K$2,0),Техника!$F$4:$ABM$4,"Часы",INDEX(Техника!$G$1:$ABN$500,K$2,0),$A$368,INDEX(Техника!$H$1:$ABO$500,K$2,0),"П")</f>
        <v>0</v>
      </c>
      <c r="L371" s="50">
        <f>SUMIFS(INDEX(Техника!$F$1:$ABM$500,L$2,0),Техника!$F$4:$ABM$4,"Часы",INDEX(Техника!$G$1:$ABN$500,L$2,0),$A$368,INDEX(Техника!$H$1:$ABO$500,L$2,0),"П")</f>
        <v>0</v>
      </c>
      <c r="M371" s="50">
        <f>SUMIFS(INDEX(Техника!$F$1:$ABM$500,M$2,0),Техника!$F$4:$ABM$4,"Часы",INDEX(Техника!$G$1:$ABN$500,M$2,0),$A$368,INDEX(Техника!$H$1:$ABO$500,M$2,0),"П")</f>
        <v>0</v>
      </c>
      <c r="N371" s="50">
        <f>SUMIFS(INDEX(Техника!$F$1:$ABM$500,N$2,0),Техника!$F$4:$ABM$4,"Часы",INDEX(Техника!$G$1:$ABN$500,N$2,0),$A$368,INDEX(Техника!$H$1:$ABO$500,N$2,0),"П")</f>
        <v>0</v>
      </c>
      <c r="O371" s="50">
        <f>SUMIFS(INDEX(Техника!$F$1:$ABM$500,O$2,0),Техника!$F$4:$ABM$4,"Часы",INDEX(Техника!$G$1:$ABN$500,O$2,0),$A$368,INDEX(Техника!$H$1:$ABO$500,O$2,0),"П")</f>
        <v>0</v>
      </c>
      <c r="P371" s="50">
        <f>SUMIFS(INDEX(Техника!$F$1:$ABM$500,P$2,0),Техника!$F$4:$ABM$4,"Часы",INDEX(Техника!$G$1:$ABN$500,P$2,0),$A$368,INDEX(Техника!$H$1:$ABO$500,P$2,0),"П")</f>
        <v>0</v>
      </c>
      <c r="Q371" s="50">
        <f>SUMIFS(INDEX(Техника!$F$1:$ABM$500,Q$2,0),Техника!$F$4:$ABM$4,"Часы",INDEX(Техника!$G$1:$ABN$500,Q$2,0),$A$368,INDEX(Техника!$H$1:$ABO$500,Q$2,0),"П")</f>
        <v>0</v>
      </c>
      <c r="R371" s="50">
        <f>SUMIFS(INDEX(Техника!$F$1:$ABM$500,R$2,0),Техника!$F$4:$ABM$4,"Часы",INDEX(Техника!$G$1:$ABN$500,R$2,0),$A$368,INDEX(Техника!$H$1:$ABO$500,R$2,0),"П")</f>
        <v>0</v>
      </c>
      <c r="S371" s="50">
        <f>SUMIFS(INDEX(Техника!$F$1:$ABM$500,S$2,0),Техника!$F$4:$ABM$4,"Часы",INDEX(Техника!$G$1:$ABN$500,S$2,0),$A$368,INDEX(Техника!$H$1:$ABO$500,S$2,0),"П")</f>
        <v>0</v>
      </c>
      <c r="T371" s="50">
        <f>SUMIFS(INDEX(Техника!$F$1:$ABM$500,T$2,0),Техника!$F$4:$ABM$4,"Часы",INDEX(Техника!$G$1:$ABN$500,T$2,0),$A$368,INDEX(Техника!$H$1:$ABO$500,T$2,0),"П")</f>
        <v>0</v>
      </c>
      <c r="U371" s="50">
        <f>SUMIFS(INDEX(Техника!$F$1:$ABM$500,U$2,0),Техника!$F$4:$ABM$4,"Часы",INDEX(Техника!$G$1:$ABN$500,U$2,0),$A$368,INDEX(Техника!$H$1:$ABO$500,U$2,0),"П")</f>
        <v>0</v>
      </c>
      <c r="V371" s="50">
        <f>SUMIFS(INDEX(Техника!$F$1:$ABM$500,V$2,0),Техника!$F$4:$ABM$4,"Часы",INDEX(Техника!$G$1:$ABN$500,V$2,0),$A$368,INDEX(Техника!$H$1:$ABO$500,V$2,0),"П")</f>
        <v>0</v>
      </c>
      <c r="W371" s="50">
        <f>SUMIFS(INDEX(Техника!$F$1:$ABM$500,W$2,0),Техника!$F$4:$ABM$4,"Часы",INDEX(Техника!$G$1:$ABN$500,W$2,0),$A$368,INDEX(Техника!$H$1:$ABO$500,W$2,0),"П")</f>
        <v>0</v>
      </c>
      <c r="X371" s="50">
        <f>SUMIFS(INDEX(Техника!$F$1:$ABM$500,X$2,0),Техника!$F$4:$ABM$4,"Часы",INDEX(Техника!$G$1:$ABN$500,X$2,0),$A$368,INDEX(Техника!$H$1:$ABO$500,X$2,0),"П")</f>
        <v>0</v>
      </c>
      <c r="Y371" s="50">
        <f>SUMIFS(INDEX(Техника!$F$1:$ABM$500,Y$2,0),Техника!$F$4:$ABM$4,"Часы",INDEX(Техника!$G$1:$ABN$500,Y$2,0),$A$368,INDEX(Техника!$H$1:$ABO$500,Y$2,0),"П")</f>
        <v>0</v>
      </c>
      <c r="Z371" s="50">
        <f>SUMIFS(INDEX(Техника!$F$1:$ABM$500,Z$2,0),Техника!$F$4:$ABM$4,"Часы",INDEX(Техника!$G$1:$ABN$500,Z$2,0),$A$368,INDEX(Техника!$H$1:$ABO$500,Z$2,0),"П")</f>
        <v>0</v>
      </c>
      <c r="AA371" s="50">
        <f>SUMIFS(INDEX(Техника!$F$1:$ABM$500,AA$2,0),Техника!$F$4:$ABM$4,"Часы",INDEX(Техника!$G$1:$ABN$500,AA$2,0),$A$368,INDEX(Техника!$H$1:$ABO$500,AA$2,0),"П")</f>
        <v>0</v>
      </c>
      <c r="AB371" s="50">
        <f>SUMIFS(INDEX(Техника!$F$1:$ABM$500,AB$2,0),Техника!$F$4:$ABM$4,"Часы",INDEX(Техника!$G$1:$ABN$500,AB$2,0),$A$368,INDEX(Техника!$H$1:$ABO$500,AB$2,0),"П")</f>
        <v>0</v>
      </c>
    </row>
    <row r="372" spans="1:28" hidden="1" outlineLevel="1" x14ac:dyDescent="0.3">
      <c r="A372" s="33" t="s">
        <v>243</v>
      </c>
      <c r="B372" s="34" t="s">
        <v>278</v>
      </c>
      <c r="C372" s="50">
        <f>SUMIFS(INDEX(Техника!$F$1:$ABM$500,C$2,0),Техника!$F$4:$ABM$4,"Часы",INDEX(Техника!$G$1:$ABN$500,C$2,0),$A$368,INDEX(Техника!$H$1:$ABO$500,C$2,0),"Л")</f>
        <v>0</v>
      </c>
      <c r="D372" s="50">
        <f>SUMIFS(INDEX(Техника!$F$1:$ABM$500,D$2,0),Техника!$F$4:$ABM$4,"Часы",INDEX(Техника!$G$1:$ABN$500,D$2,0),$A$368,INDEX(Техника!$H$1:$ABO$500,D$2,0),"Л")</f>
        <v>0</v>
      </c>
      <c r="E372" s="50">
        <f>SUMIFS(INDEX(Техника!$F$1:$ABM$500,E$2,0),Техника!$F$4:$ABM$4,"Часы",INDEX(Техника!$G$1:$ABN$500,E$2,0),$A$368,INDEX(Техника!$H$1:$ABO$500,E$2,0),"Л")</f>
        <v>0</v>
      </c>
      <c r="F372" s="50">
        <f>SUMIFS(INDEX(Техника!$F$1:$ABM$500,F$2,0),Техника!$F$4:$ABM$4,"Часы",INDEX(Техника!$G$1:$ABN$500,F$2,0),$A$368,INDEX(Техника!$H$1:$ABO$500,F$2,0),"Л")</f>
        <v>0</v>
      </c>
      <c r="G372" s="50">
        <f>SUMIFS(INDEX(Техника!$F$1:$ABM$500,G$2,0),Техника!$F$4:$ABM$4,"Часы",INDEX(Техника!$G$1:$ABN$500,G$2,0),$A$368,INDEX(Техника!$H$1:$ABO$500,G$2,0),"Л")</f>
        <v>0</v>
      </c>
      <c r="H372" s="50">
        <f>SUMIFS(INDEX(Техника!$F$1:$ABM$500,H$2,0),Техника!$F$4:$ABM$4,"Часы",INDEX(Техника!$G$1:$ABN$500,H$2,0),$A$368,INDEX(Техника!$H$1:$ABO$500,H$2,0),"Л")</f>
        <v>0</v>
      </c>
      <c r="I372" s="50">
        <f>SUMIFS(INDEX(Техника!$F$1:$ABM$500,I$2,0),Техника!$F$4:$ABM$4,"Часы",INDEX(Техника!$G$1:$ABN$500,I$2,0),$A$368,INDEX(Техника!$H$1:$ABO$500,I$2,0),"Л")</f>
        <v>0</v>
      </c>
      <c r="J372" s="50">
        <f>SUMIFS(INDEX(Техника!$F$1:$ABM$500,J$2,0),Техника!$F$4:$ABM$4,"Часы",INDEX(Техника!$G$1:$ABN$500,J$2,0),$A$368,INDEX(Техника!$H$1:$ABO$500,J$2,0),"Л")</f>
        <v>0</v>
      </c>
      <c r="K372" s="50">
        <f>SUMIFS(INDEX(Техника!$F$1:$ABM$500,K$2,0),Техника!$F$4:$ABM$4,"Часы",INDEX(Техника!$G$1:$ABN$500,K$2,0),$A$368,INDEX(Техника!$H$1:$ABO$500,K$2,0),"Л")</f>
        <v>0</v>
      </c>
      <c r="L372" s="50">
        <f>SUMIFS(INDEX(Техника!$F$1:$ABM$500,L$2,0),Техника!$F$4:$ABM$4,"Часы",INDEX(Техника!$G$1:$ABN$500,L$2,0),$A$368,INDEX(Техника!$H$1:$ABO$500,L$2,0),"Л")</f>
        <v>0</v>
      </c>
      <c r="M372" s="50">
        <f>SUMIFS(INDEX(Техника!$F$1:$ABM$500,M$2,0),Техника!$F$4:$ABM$4,"Часы",INDEX(Техника!$G$1:$ABN$500,M$2,0),$A$368,INDEX(Техника!$H$1:$ABO$500,M$2,0),"Л")</f>
        <v>0</v>
      </c>
      <c r="N372" s="50">
        <f>SUMIFS(INDEX(Техника!$F$1:$ABM$500,N$2,0),Техника!$F$4:$ABM$4,"Часы",INDEX(Техника!$G$1:$ABN$500,N$2,0),$A$368,INDEX(Техника!$H$1:$ABO$500,N$2,0),"Л")</f>
        <v>0</v>
      </c>
      <c r="O372" s="50">
        <f>SUMIFS(INDEX(Техника!$F$1:$ABM$500,O$2,0),Техника!$F$4:$ABM$4,"Часы",INDEX(Техника!$G$1:$ABN$500,O$2,0),$A$368,INDEX(Техника!$H$1:$ABO$500,O$2,0),"Л")</f>
        <v>0</v>
      </c>
      <c r="P372" s="50">
        <f>SUMIFS(INDEX(Техника!$F$1:$ABM$500,P$2,0),Техника!$F$4:$ABM$4,"Часы",INDEX(Техника!$G$1:$ABN$500,P$2,0),$A$368,INDEX(Техника!$H$1:$ABO$500,P$2,0),"Л")</f>
        <v>0</v>
      </c>
      <c r="Q372" s="50">
        <f>SUMIFS(INDEX(Техника!$F$1:$ABM$500,Q$2,0),Техника!$F$4:$ABM$4,"Часы",INDEX(Техника!$G$1:$ABN$500,Q$2,0),$A$368,INDEX(Техника!$H$1:$ABO$500,Q$2,0),"Л")</f>
        <v>0</v>
      </c>
      <c r="R372" s="50">
        <f>SUMIFS(INDEX(Техника!$F$1:$ABM$500,R$2,0),Техника!$F$4:$ABM$4,"Часы",INDEX(Техника!$G$1:$ABN$500,R$2,0),$A$368,INDEX(Техника!$H$1:$ABO$500,R$2,0),"Л")</f>
        <v>0</v>
      </c>
      <c r="S372" s="50">
        <f>SUMIFS(INDEX(Техника!$F$1:$ABM$500,S$2,0),Техника!$F$4:$ABM$4,"Часы",INDEX(Техника!$G$1:$ABN$500,S$2,0),$A$368,INDEX(Техника!$H$1:$ABO$500,S$2,0),"Л")</f>
        <v>0</v>
      </c>
      <c r="T372" s="50">
        <f>SUMIFS(INDEX(Техника!$F$1:$ABM$500,T$2,0),Техника!$F$4:$ABM$4,"Часы",INDEX(Техника!$G$1:$ABN$500,T$2,0),$A$368,INDEX(Техника!$H$1:$ABO$500,T$2,0),"Л")</f>
        <v>0</v>
      </c>
      <c r="U372" s="50">
        <f>SUMIFS(INDEX(Техника!$F$1:$ABM$500,U$2,0),Техника!$F$4:$ABM$4,"Часы",INDEX(Техника!$G$1:$ABN$500,U$2,0),$A$368,INDEX(Техника!$H$1:$ABO$500,U$2,0),"Л")</f>
        <v>0</v>
      </c>
      <c r="V372" s="50">
        <f>SUMIFS(INDEX(Техника!$F$1:$ABM$500,V$2,0),Техника!$F$4:$ABM$4,"Часы",INDEX(Техника!$G$1:$ABN$500,V$2,0),$A$368,INDEX(Техника!$H$1:$ABO$500,V$2,0),"Л")</f>
        <v>0</v>
      </c>
      <c r="W372" s="50">
        <f>SUMIFS(INDEX(Техника!$F$1:$ABM$500,W$2,0),Техника!$F$4:$ABM$4,"Часы",INDEX(Техника!$G$1:$ABN$500,W$2,0),$A$368,INDEX(Техника!$H$1:$ABO$500,W$2,0),"Л")</f>
        <v>0</v>
      </c>
      <c r="X372" s="50">
        <f>SUMIFS(INDEX(Техника!$F$1:$ABM$500,X$2,0),Техника!$F$4:$ABM$4,"Часы",INDEX(Техника!$G$1:$ABN$500,X$2,0),$A$368,INDEX(Техника!$H$1:$ABO$500,X$2,0),"Л")</f>
        <v>0</v>
      </c>
      <c r="Y372" s="50">
        <f>SUMIFS(INDEX(Техника!$F$1:$ABM$500,Y$2,0),Техника!$F$4:$ABM$4,"Часы",INDEX(Техника!$G$1:$ABN$500,Y$2,0),$A$368,INDEX(Техника!$H$1:$ABO$500,Y$2,0),"Л")</f>
        <v>0</v>
      </c>
      <c r="Z372" s="50">
        <f>SUMIFS(INDEX(Техника!$F$1:$ABM$500,Z$2,0),Техника!$F$4:$ABM$4,"Часы",INDEX(Техника!$G$1:$ABN$500,Z$2,0),$A$368,INDEX(Техника!$H$1:$ABO$500,Z$2,0),"Л")</f>
        <v>0</v>
      </c>
      <c r="AA372" s="50">
        <f>SUMIFS(INDEX(Техника!$F$1:$ABM$500,AA$2,0),Техника!$F$4:$ABM$4,"Часы",INDEX(Техника!$G$1:$ABN$500,AA$2,0),$A$368,INDEX(Техника!$H$1:$ABO$500,AA$2,0),"Л")</f>
        <v>0</v>
      </c>
      <c r="AB372" s="50">
        <f>SUMIFS(INDEX(Техника!$F$1:$ABM$500,AB$2,0),Техника!$F$4:$ABM$4,"Часы",INDEX(Техника!$G$1:$ABN$500,AB$2,0),$A$368,INDEX(Техника!$H$1:$ABO$500,AB$2,0),"Л")</f>
        <v>0</v>
      </c>
    </row>
    <row r="373" spans="1:28" hidden="1" outlineLevel="1" x14ac:dyDescent="0.3">
      <c r="A373" s="33" t="s">
        <v>245</v>
      </c>
      <c r="B373" s="34" t="s">
        <v>279</v>
      </c>
      <c r="C373" s="50">
        <f>SUMIFS(INDEX(Техника!$F$1:$ABM$500,C$2,0),Техника!$F$4:$ABM$4,"Часы",INDEX(Техника!$G$1:$ABN$500,C$2,0),$A$368,INDEX(Техника!$H$1:$ABO$500,C$2,0),"З")</f>
        <v>0</v>
      </c>
      <c r="D373" s="50">
        <f>SUMIFS(INDEX(Техника!$F$1:$ABM$500,D$2,0),Техника!$F$4:$ABM$4,"Часы",INDEX(Техника!$G$1:$ABN$500,D$2,0),$A$368,INDEX(Техника!$H$1:$ABO$500,D$2,0),"З")</f>
        <v>0</v>
      </c>
      <c r="E373" s="50">
        <f>SUMIFS(INDEX(Техника!$F$1:$ABM$500,E$2,0),Техника!$F$4:$ABM$4,"Часы",INDEX(Техника!$G$1:$ABN$500,E$2,0),$A$368,INDEX(Техника!$H$1:$ABO$500,E$2,0),"З")</f>
        <v>0</v>
      </c>
      <c r="F373" s="50">
        <f>SUMIFS(INDEX(Техника!$F$1:$ABM$500,F$2,0),Техника!$F$4:$ABM$4,"Часы",INDEX(Техника!$G$1:$ABN$500,F$2,0),$A$368,INDEX(Техника!$H$1:$ABO$500,F$2,0),"З")</f>
        <v>0</v>
      </c>
      <c r="G373" s="50">
        <f>SUMIFS(INDEX(Техника!$F$1:$ABM$500,G$2,0),Техника!$F$4:$ABM$4,"Часы",INDEX(Техника!$G$1:$ABN$500,G$2,0),$A$368,INDEX(Техника!$H$1:$ABO$500,G$2,0),"З")</f>
        <v>0</v>
      </c>
      <c r="H373" s="50">
        <f>SUMIFS(INDEX(Техника!$F$1:$ABM$500,H$2,0),Техника!$F$4:$ABM$4,"Часы",INDEX(Техника!$G$1:$ABN$500,H$2,0),$A$368,INDEX(Техника!$H$1:$ABO$500,H$2,0),"З")</f>
        <v>0</v>
      </c>
      <c r="I373" s="50">
        <f>SUMIFS(INDEX(Техника!$F$1:$ABM$500,I$2,0),Техника!$F$4:$ABM$4,"Часы",INDEX(Техника!$G$1:$ABN$500,I$2,0),$A$368,INDEX(Техника!$H$1:$ABO$500,I$2,0),"З")</f>
        <v>0</v>
      </c>
      <c r="J373" s="50">
        <f>SUMIFS(INDEX(Техника!$F$1:$ABM$500,J$2,0),Техника!$F$4:$ABM$4,"Часы",INDEX(Техника!$G$1:$ABN$500,J$2,0),$A$368,INDEX(Техника!$H$1:$ABO$500,J$2,0),"З")</f>
        <v>0</v>
      </c>
      <c r="K373" s="50">
        <f>SUMIFS(INDEX(Техника!$F$1:$ABM$500,K$2,0),Техника!$F$4:$ABM$4,"Часы",INDEX(Техника!$G$1:$ABN$500,K$2,0),$A$368,INDEX(Техника!$H$1:$ABO$500,K$2,0),"З")</f>
        <v>0</v>
      </c>
      <c r="L373" s="50">
        <f>SUMIFS(INDEX(Техника!$F$1:$ABM$500,L$2,0),Техника!$F$4:$ABM$4,"Часы",INDEX(Техника!$G$1:$ABN$500,L$2,0),$A$368,INDEX(Техника!$H$1:$ABO$500,L$2,0),"З")</f>
        <v>0</v>
      </c>
      <c r="M373" s="50">
        <f>SUMIFS(INDEX(Техника!$F$1:$ABM$500,M$2,0),Техника!$F$4:$ABM$4,"Часы",INDEX(Техника!$G$1:$ABN$500,M$2,0),$A$368,INDEX(Техника!$H$1:$ABO$500,M$2,0),"З")</f>
        <v>0</v>
      </c>
      <c r="N373" s="50">
        <f>SUMIFS(INDEX(Техника!$F$1:$ABM$500,N$2,0),Техника!$F$4:$ABM$4,"Часы",INDEX(Техника!$G$1:$ABN$500,N$2,0),$A$368,INDEX(Техника!$H$1:$ABO$500,N$2,0),"З")</f>
        <v>0</v>
      </c>
      <c r="O373" s="50">
        <f>SUMIFS(INDEX(Техника!$F$1:$ABM$500,O$2,0),Техника!$F$4:$ABM$4,"Часы",INDEX(Техника!$G$1:$ABN$500,O$2,0),$A$368,INDEX(Техника!$H$1:$ABO$500,O$2,0),"З")</f>
        <v>0</v>
      </c>
      <c r="P373" s="50">
        <f>SUMIFS(INDEX(Техника!$F$1:$ABM$500,P$2,0),Техника!$F$4:$ABM$4,"Часы",INDEX(Техника!$G$1:$ABN$500,P$2,0),$A$368,INDEX(Техника!$H$1:$ABO$500,P$2,0),"З")</f>
        <v>0</v>
      </c>
      <c r="Q373" s="50">
        <f>SUMIFS(INDEX(Техника!$F$1:$ABM$500,Q$2,0),Техника!$F$4:$ABM$4,"Часы",INDEX(Техника!$G$1:$ABN$500,Q$2,0),$A$368,INDEX(Техника!$H$1:$ABO$500,Q$2,0),"З")</f>
        <v>0</v>
      </c>
      <c r="R373" s="50">
        <f>SUMIFS(INDEX(Техника!$F$1:$ABM$500,R$2,0),Техника!$F$4:$ABM$4,"Часы",INDEX(Техника!$G$1:$ABN$500,R$2,0),$A$368,INDEX(Техника!$H$1:$ABO$500,R$2,0),"З")</f>
        <v>0</v>
      </c>
      <c r="S373" s="50">
        <f>SUMIFS(INDEX(Техника!$F$1:$ABM$500,S$2,0),Техника!$F$4:$ABM$4,"Часы",INDEX(Техника!$G$1:$ABN$500,S$2,0),$A$368,INDEX(Техника!$H$1:$ABO$500,S$2,0),"З")</f>
        <v>0</v>
      </c>
      <c r="T373" s="50">
        <f>SUMIFS(INDEX(Техника!$F$1:$ABM$500,T$2,0),Техника!$F$4:$ABM$4,"Часы",INDEX(Техника!$G$1:$ABN$500,T$2,0),$A$368,INDEX(Техника!$H$1:$ABO$500,T$2,0),"З")</f>
        <v>0</v>
      </c>
      <c r="U373" s="50">
        <f>SUMIFS(INDEX(Техника!$F$1:$ABM$500,U$2,0),Техника!$F$4:$ABM$4,"Часы",INDEX(Техника!$G$1:$ABN$500,U$2,0),$A$368,INDEX(Техника!$H$1:$ABO$500,U$2,0),"З")</f>
        <v>0</v>
      </c>
      <c r="V373" s="50">
        <f>SUMIFS(INDEX(Техника!$F$1:$ABM$500,V$2,0),Техника!$F$4:$ABM$4,"Часы",INDEX(Техника!$G$1:$ABN$500,V$2,0),$A$368,INDEX(Техника!$H$1:$ABO$500,V$2,0),"З")</f>
        <v>0</v>
      </c>
      <c r="W373" s="50">
        <f>SUMIFS(INDEX(Техника!$F$1:$ABM$500,W$2,0),Техника!$F$4:$ABM$4,"Часы",INDEX(Техника!$G$1:$ABN$500,W$2,0),$A$368,INDEX(Техника!$H$1:$ABO$500,W$2,0),"З")</f>
        <v>0</v>
      </c>
      <c r="X373" s="50">
        <f>SUMIFS(INDEX(Техника!$F$1:$ABM$500,X$2,0),Техника!$F$4:$ABM$4,"Часы",INDEX(Техника!$G$1:$ABN$500,X$2,0),$A$368,INDEX(Техника!$H$1:$ABO$500,X$2,0),"З")</f>
        <v>0</v>
      </c>
      <c r="Y373" s="50">
        <f>SUMIFS(INDEX(Техника!$F$1:$ABM$500,Y$2,0),Техника!$F$4:$ABM$4,"Часы",INDEX(Техника!$G$1:$ABN$500,Y$2,0),$A$368,INDEX(Техника!$H$1:$ABO$500,Y$2,0),"З")</f>
        <v>0</v>
      </c>
      <c r="Z373" s="50">
        <f>SUMIFS(INDEX(Техника!$F$1:$ABM$500,Z$2,0),Техника!$F$4:$ABM$4,"Часы",INDEX(Техника!$G$1:$ABN$500,Z$2,0),$A$368,INDEX(Техника!$H$1:$ABO$500,Z$2,0),"З")</f>
        <v>0</v>
      </c>
      <c r="AA373" s="50">
        <f>SUMIFS(INDEX(Техника!$F$1:$ABM$500,AA$2,0),Техника!$F$4:$ABM$4,"Часы",INDEX(Техника!$G$1:$ABN$500,AA$2,0),$A$368,INDEX(Техника!$H$1:$ABO$500,AA$2,0),"З")</f>
        <v>0</v>
      </c>
      <c r="AB373" s="50">
        <f>SUMIFS(INDEX(Техника!$F$1:$ABM$500,AB$2,0),Техника!$F$4:$ABM$4,"Часы",INDEX(Техника!$G$1:$ABN$500,AB$2,0),$A$368,INDEX(Техника!$H$1:$ABO$500,AB$2,0),"З")</f>
        <v>0</v>
      </c>
    </row>
    <row r="374" spans="1:28" ht="7.95" customHeight="1" x14ac:dyDescent="0.3">
      <c r="A374" s="38"/>
      <c r="B374" s="39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</row>
    <row r="375" spans="1:28" ht="25.05" customHeight="1" collapsed="1" x14ac:dyDescent="0.3">
      <c r="A375" s="32">
        <v>54</v>
      </c>
      <c r="B375" s="32" t="s">
        <v>55</v>
      </c>
      <c r="C375" s="49">
        <f>SUM(C376:C380)</f>
        <v>0</v>
      </c>
      <c r="D375" s="49">
        <f>SUM(D376:D380)</f>
        <v>0</v>
      </c>
      <c r="E375" s="49">
        <f>SUM(E376:E380)</f>
        <v>0</v>
      </c>
      <c r="F375" s="49">
        <f>SUM(F376:F380)</f>
        <v>0</v>
      </c>
      <c r="G375" s="49">
        <f>SUM(G376:G380)</f>
        <v>0</v>
      </c>
      <c r="H375" s="49">
        <f>SUM(H376:H380)</f>
        <v>0</v>
      </c>
      <c r="I375" s="49">
        <f>SUM(I376:I380)</f>
        <v>0</v>
      </c>
      <c r="J375" s="49">
        <f>SUM(J376:J380)</f>
        <v>0</v>
      </c>
      <c r="K375" s="49">
        <f>SUM(K376:K380)</f>
        <v>0</v>
      </c>
      <c r="L375" s="49">
        <f>SUM(L376:L380)</f>
        <v>0</v>
      </c>
      <c r="M375" s="49">
        <f>SUM(M376:M380)</f>
        <v>0</v>
      </c>
      <c r="N375" s="49">
        <f>SUM(N376:N380)</f>
        <v>0</v>
      </c>
      <c r="O375" s="49">
        <f>SUM(O376:O380)</f>
        <v>0</v>
      </c>
      <c r="P375" s="49">
        <f>SUM(P376:P380)</f>
        <v>0</v>
      </c>
      <c r="Q375" s="49">
        <f>SUM(Q376:Q380)</f>
        <v>0</v>
      </c>
      <c r="R375" s="49">
        <f>SUM(R376:R380)</f>
        <v>0</v>
      </c>
      <c r="S375" s="49">
        <f>SUM(S376:S380)</f>
        <v>0</v>
      </c>
      <c r="T375" s="49">
        <f>SUM(T376:T380)</f>
        <v>0</v>
      </c>
      <c r="U375" s="49">
        <f>SUM(U376:U380)</f>
        <v>0</v>
      </c>
      <c r="V375" s="49">
        <f>SUM(V376:V380)</f>
        <v>0</v>
      </c>
      <c r="W375" s="49">
        <f>SUM(W376:W380)</f>
        <v>0</v>
      </c>
      <c r="X375" s="49">
        <f>SUM(X376:X380)</f>
        <v>0</v>
      </c>
      <c r="Y375" s="49">
        <f>SUM(Y376:Y380)</f>
        <v>0</v>
      </c>
      <c r="Z375" s="49">
        <f>SUM(Z376:Z380)</f>
        <v>0</v>
      </c>
      <c r="AA375" s="49">
        <f>SUM(AA376:AA380)</f>
        <v>0</v>
      </c>
      <c r="AB375" s="49">
        <f>SUM(AB376:AB380)</f>
        <v>0</v>
      </c>
    </row>
    <row r="376" spans="1:28" hidden="1" outlineLevel="1" x14ac:dyDescent="0.3">
      <c r="A376" s="33" t="s">
        <v>246</v>
      </c>
      <c r="B376" s="34" t="s">
        <v>274</v>
      </c>
      <c r="C376" s="50">
        <f>SUMIFS(INDEX(Техника!$F$1:$ABM$500,C$2,0),Техника!$F$4:$ABM$4,"Часы",INDEX(Техника!$G$1:$ABN$500,C$2,0),$A$375,INDEX(Техника!$H$1:$ABO$500,C$2,0),"М")</f>
        <v>0</v>
      </c>
      <c r="D376" s="50">
        <f>SUMIFS(INDEX(Техника!$F$1:$ABM$500,D$2,0),Техника!$F$4:$ABM$4,"Часы",INDEX(Техника!$G$1:$ABN$500,D$2,0),$A$375,INDEX(Техника!$H$1:$ABO$500,D$2,0),"М")</f>
        <v>0</v>
      </c>
      <c r="E376" s="50">
        <f>SUMIFS(INDEX(Техника!$F$1:$ABM$500,E$2,0),Техника!$F$4:$ABM$4,"Часы",INDEX(Техника!$G$1:$ABN$500,E$2,0),$A$375,INDEX(Техника!$H$1:$ABO$500,E$2,0),"М")</f>
        <v>0</v>
      </c>
      <c r="F376" s="50">
        <f>SUMIFS(INDEX(Техника!$F$1:$ABM$500,F$2,0),Техника!$F$4:$ABM$4,"Часы",INDEX(Техника!$G$1:$ABN$500,F$2,0),$A$375,INDEX(Техника!$H$1:$ABO$500,F$2,0),"М")</f>
        <v>0</v>
      </c>
      <c r="G376" s="50">
        <f>SUMIFS(INDEX(Техника!$F$1:$ABM$500,G$2,0),Техника!$F$4:$ABM$4,"Часы",INDEX(Техника!$G$1:$ABN$500,G$2,0),$A$375,INDEX(Техника!$H$1:$ABO$500,G$2,0),"М")</f>
        <v>0</v>
      </c>
      <c r="H376" s="50">
        <f>SUMIFS(INDEX(Техника!$F$1:$ABM$500,H$2,0),Техника!$F$4:$ABM$4,"Часы",INDEX(Техника!$G$1:$ABN$500,H$2,0),$A$375,INDEX(Техника!$H$1:$ABO$500,H$2,0),"М")</f>
        <v>0</v>
      </c>
      <c r="I376" s="50">
        <f>SUMIFS(INDEX(Техника!$F$1:$ABM$500,I$2,0),Техника!$F$4:$ABM$4,"Часы",INDEX(Техника!$G$1:$ABN$500,I$2,0),$A$375,INDEX(Техника!$H$1:$ABO$500,I$2,0),"М")</f>
        <v>0</v>
      </c>
      <c r="J376" s="50">
        <f>SUMIFS(INDEX(Техника!$F$1:$ABM$500,J$2,0),Техника!$F$4:$ABM$4,"Часы",INDEX(Техника!$G$1:$ABN$500,J$2,0),$A$375,INDEX(Техника!$H$1:$ABO$500,J$2,0),"М")</f>
        <v>0</v>
      </c>
      <c r="K376" s="50">
        <f>SUMIFS(INDEX(Техника!$F$1:$ABM$500,K$2,0),Техника!$F$4:$ABM$4,"Часы",INDEX(Техника!$G$1:$ABN$500,K$2,0),$A$375,INDEX(Техника!$H$1:$ABO$500,K$2,0),"М")</f>
        <v>0</v>
      </c>
      <c r="L376" s="50">
        <f>SUMIFS(INDEX(Техника!$F$1:$ABM$500,L$2,0),Техника!$F$4:$ABM$4,"Часы",INDEX(Техника!$G$1:$ABN$500,L$2,0),$A$375,INDEX(Техника!$H$1:$ABO$500,L$2,0),"М")</f>
        <v>0</v>
      </c>
      <c r="M376" s="50">
        <f>SUMIFS(INDEX(Техника!$F$1:$ABM$500,M$2,0),Техника!$F$4:$ABM$4,"Часы",INDEX(Техника!$G$1:$ABN$500,M$2,0),$A$375,INDEX(Техника!$H$1:$ABO$500,M$2,0),"М")</f>
        <v>0</v>
      </c>
      <c r="N376" s="50">
        <f>SUMIFS(INDEX(Техника!$F$1:$ABM$500,N$2,0),Техника!$F$4:$ABM$4,"Часы",INDEX(Техника!$G$1:$ABN$500,N$2,0),$A$375,INDEX(Техника!$H$1:$ABO$500,N$2,0),"М")</f>
        <v>0</v>
      </c>
      <c r="O376" s="50">
        <f>SUMIFS(INDEX(Техника!$F$1:$ABM$500,O$2,0),Техника!$F$4:$ABM$4,"Часы",INDEX(Техника!$G$1:$ABN$500,O$2,0),$A$375,INDEX(Техника!$H$1:$ABO$500,O$2,0),"М")</f>
        <v>0</v>
      </c>
      <c r="P376" s="50">
        <f>SUMIFS(INDEX(Техника!$F$1:$ABM$500,P$2,0),Техника!$F$4:$ABM$4,"Часы",INDEX(Техника!$G$1:$ABN$500,P$2,0),$A$375,INDEX(Техника!$H$1:$ABO$500,P$2,0),"М")</f>
        <v>0</v>
      </c>
      <c r="Q376" s="50">
        <f>SUMIFS(INDEX(Техника!$F$1:$ABM$500,Q$2,0),Техника!$F$4:$ABM$4,"Часы",INDEX(Техника!$G$1:$ABN$500,Q$2,0),$A$375,INDEX(Техника!$H$1:$ABO$500,Q$2,0),"М")</f>
        <v>0</v>
      </c>
      <c r="R376" s="50">
        <f>SUMIFS(INDEX(Техника!$F$1:$ABM$500,R$2,0),Техника!$F$4:$ABM$4,"Часы",INDEX(Техника!$G$1:$ABN$500,R$2,0),$A$375,INDEX(Техника!$H$1:$ABO$500,R$2,0),"М")</f>
        <v>0</v>
      </c>
      <c r="S376" s="50">
        <f>SUMIFS(INDEX(Техника!$F$1:$ABM$500,S$2,0),Техника!$F$4:$ABM$4,"Часы",INDEX(Техника!$G$1:$ABN$500,S$2,0),$A$375,INDEX(Техника!$H$1:$ABO$500,S$2,0),"М")</f>
        <v>0</v>
      </c>
      <c r="T376" s="50">
        <f>SUMIFS(INDEX(Техника!$F$1:$ABM$500,T$2,0),Техника!$F$4:$ABM$4,"Часы",INDEX(Техника!$G$1:$ABN$500,T$2,0),$A$375,INDEX(Техника!$H$1:$ABO$500,T$2,0),"М")</f>
        <v>0</v>
      </c>
      <c r="U376" s="50">
        <f>SUMIFS(INDEX(Техника!$F$1:$ABM$500,U$2,0),Техника!$F$4:$ABM$4,"Часы",INDEX(Техника!$G$1:$ABN$500,U$2,0),$A$375,INDEX(Техника!$H$1:$ABO$500,U$2,0),"М")</f>
        <v>0</v>
      </c>
      <c r="V376" s="50">
        <f>SUMIFS(INDEX(Техника!$F$1:$ABM$500,V$2,0),Техника!$F$4:$ABM$4,"Часы",INDEX(Техника!$G$1:$ABN$500,V$2,0),$A$375,INDEX(Техника!$H$1:$ABO$500,V$2,0),"М")</f>
        <v>0</v>
      </c>
      <c r="W376" s="50">
        <f>SUMIFS(INDEX(Техника!$F$1:$ABM$500,W$2,0),Техника!$F$4:$ABM$4,"Часы",INDEX(Техника!$G$1:$ABN$500,W$2,0),$A$375,INDEX(Техника!$H$1:$ABO$500,W$2,0),"М")</f>
        <v>0</v>
      </c>
      <c r="X376" s="50">
        <f>SUMIFS(INDEX(Техника!$F$1:$ABM$500,X$2,0),Техника!$F$4:$ABM$4,"Часы",INDEX(Техника!$G$1:$ABN$500,X$2,0),$A$375,INDEX(Техника!$H$1:$ABO$500,X$2,0),"М")</f>
        <v>0</v>
      </c>
      <c r="Y376" s="50">
        <f>SUMIFS(INDEX(Техника!$F$1:$ABM$500,Y$2,0),Техника!$F$4:$ABM$4,"Часы",INDEX(Техника!$G$1:$ABN$500,Y$2,0),$A$375,INDEX(Техника!$H$1:$ABO$500,Y$2,0),"М")</f>
        <v>0</v>
      </c>
      <c r="Z376" s="50">
        <f>SUMIFS(INDEX(Техника!$F$1:$ABM$500,Z$2,0),Техника!$F$4:$ABM$4,"Часы",INDEX(Техника!$G$1:$ABN$500,Z$2,0),$A$375,INDEX(Техника!$H$1:$ABO$500,Z$2,0),"М")</f>
        <v>0</v>
      </c>
      <c r="AA376" s="50">
        <f>SUMIFS(INDEX(Техника!$F$1:$ABM$500,AA$2,0),Техника!$F$4:$ABM$4,"Часы",INDEX(Техника!$G$1:$ABN$500,AA$2,0),$A$375,INDEX(Техника!$H$1:$ABO$500,AA$2,0),"М")</f>
        <v>0</v>
      </c>
      <c r="AB376" s="50">
        <f>SUMIFS(INDEX(Техника!$F$1:$ABM$500,AB$2,0),Техника!$F$4:$ABM$4,"Часы",INDEX(Техника!$G$1:$ABN$500,AB$2,0),$A$375,INDEX(Техника!$H$1:$ABO$500,AB$2,0),"М")</f>
        <v>0</v>
      </c>
    </row>
    <row r="377" spans="1:28" hidden="1" outlineLevel="1" x14ac:dyDescent="0.3">
      <c r="A377" s="33" t="s">
        <v>244</v>
      </c>
      <c r="B377" s="34" t="s">
        <v>275</v>
      </c>
      <c r="C377" s="50">
        <f>SUMIFS(INDEX(Техника!$F$1:$ABM$500,C$2,0),Техника!$F$4:$ABM$4,"Часы",INDEX(Техника!$G$1:$ABN$500,C$2,0),$A$375,INDEX(Техника!$H$1:$ABO$500,C$2,0),"Д")</f>
        <v>0</v>
      </c>
      <c r="D377" s="50">
        <f>SUMIFS(INDEX(Техника!$F$1:$ABM$500,D$2,0),Техника!$F$4:$ABM$4,"Часы",INDEX(Техника!$G$1:$ABN$500,D$2,0),$A$375,INDEX(Техника!$H$1:$ABO$500,D$2,0),"Д")</f>
        <v>0</v>
      </c>
      <c r="E377" s="50">
        <f>SUMIFS(INDEX(Техника!$F$1:$ABM$500,E$2,0),Техника!$F$4:$ABM$4,"Часы",INDEX(Техника!$G$1:$ABN$500,E$2,0),$A$375,INDEX(Техника!$H$1:$ABO$500,E$2,0),"Д")</f>
        <v>0</v>
      </c>
      <c r="F377" s="50">
        <f>SUMIFS(INDEX(Техника!$F$1:$ABM$500,F$2,0),Техника!$F$4:$ABM$4,"Часы",INDEX(Техника!$G$1:$ABN$500,F$2,0),$A$375,INDEX(Техника!$H$1:$ABO$500,F$2,0),"Д")</f>
        <v>0</v>
      </c>
      <c r="G377" s="50">
        <f>SUMIFS(INDEX(Техника!$F$1:$ABM$500,G$2,0),Техника!$F$4:$ABM$4,"Часы",INDEX(Техника!$G$1:$ABN$500,G$2,0),$A$375,INDEX(Техника!$H$1:$ABO$500,G$2,0),"Д")</f>
        <v>0</v>
      </c>
      <c r="H377" s="50">
        <f>SUMIFS(INDEX(Техника!$F$1:$ABM$500,H$2,0),Техника!$F$4:$ABM$4,"Часы",INDEX(Техника!$G$1:$ABN$500,H$2,0),$A$375,INDEX(Техника!$H$1:$ABO$500,H$2,0),"Д")</f>
        <v>0</v>
      </c>
      <c r="I377" s="50">
        <f>SUMIFS(INDEX(Техника!$F$1:$ABM$500,I$2,0),Техника!$F$4:$ABM$4,"Часы",INDEX(Техника!$G$1:$ABN$500,I$2,0),$A$375,INDEX(Техника!$H$1:$ABO$500,I$2,0),"Д")</f>
        <v>0</v>
      </c>
      <c r="J377" s="50">
        <f>SUMIFS(INDEX(Техника!$F$1:$ABM$500,J$2,0),Техника!$F$4:$ABM$4,"Часы",INDEX(Техника!$G$1:$ABN$500,J$2,0),$A$375,INDEX(Техника!$H$1:$ABO$500,J$2,0),"Д")</f>
        <v>0</v>
      </c>
      <c r="K377" s="50">
        <f>SUMIFS(INDEX(Техника!$F$1:$ABM$500,K$2,0),Техника!$F$4:$ABM$4,"Часы",INDEX(Техника!$G$1:$ABN$500,K$2,0),$A$375,INDEX(Техника!$H$1:$ABO$500,K$2,0),"Д")</f>
        <v>0</v>
      </c>
      <c r="L377" s="50">
        <f>SUMIFS(INDEX(Техника!$F$1:$ABM$500,L$2,0),Техника!$F$4:$ABM$4,"Часы",INDEX(Техника!$G$1:$ABN$500,L$2,0),$A$375,INDEX(Техника!$H$1:$ABO$500,L$2,0),"Д")</f>
        <v>0</v>
      </c>
      <c r="M377" s="50">
        <f>SUMIFS(INDEX(Техника!$F$1:$ABM$500,M$2,0),Техника!$F$4:$ABM$4,"Часы",INDEX(Техника!$G$1:$ABN$500,M$2,0),$A$375,INDEX(Техника!$H$1:$ABO$500,M$2,0),"Д")</f>
        <v>0</v>
      </c>
      <c r="N377" s="50">
        <f>SUMIFS(INDEX(Техника!$F$1:$ABM$500,N$2,0),Техника!$F$4:$ABM$4,"Часы",INDEX(Техника!$G$1:$ABN$500,N$2,0),$A$375,INDEX(Техника!$H$1:$ABO$500,N$2,0),"Д")</f>
        <v>0</v>
      </c>
      <c r="O377" s="50">
        <f>SUMIFS(INDEX(Техника!$F$1:$ABM$500,O$2,0),Техника!$F$4:$ABM$4,"Часы",INDEX(Техника!$G$1:$ABN$500,O$2,0),$A$375,INDEX(Техника!$H$1:$ABO$500,O$2,0),"Д")</f>
        <v>0</v>
      </c>
      <c r="P377" s="50">
        <f>SUMIFS(INDEX(Техника!$F$1:$ABM$500,P$2,0),Техника!$F$4:$ABM$4,"Часы",INDEX(Техника!$G$1:$ABN$500,P$2,0),$A$375,INDEX(Техника!$H$1:$ABO$500,P$2,0),"Д")</f>
        <v>0</v>
      </c>
      <c r="Q377" s="50">
        <f>SUMIFS(INDEX(Техника!$F$1:$ABM$500,Q$2,0),Техника!$F$4:$ABM$4,"Часы",INDEX(Техника!$G$1:$ABN$500,Q$2,0),$A$375,INDEX(Техника!$H$1:$ABO$500,Q$2,0),"Д")</f>
        <v>0</v>
      </c>
      <c r="R377" s="50">
        <f>SUMIFS(INDEX(Техника!$F$1:$ABM$500,R$2,0),Техника!$F$4:$ABM$4,"Часы",INDEX(Техника!$G$1:$ABN$500,R$2,0),$A$375,INDEX(Техника!$H$1:$ABO$500,R$2,0),"Д")</f>
        <v>0</v>
      </c>
      <c r="S377" s="50">
        <f>SUMIFS(INDEX(Техника!$F$1:$ABM$500,S$2,0),Техника!$F$4:$ABM$4,"Часы",INDEX(Техника!$G$1:$ABN$500,S$2,0),$A$375,INDEX(Техника!$H$1:$ABO$500,S$2,0),"Д")</f>
        <v>0</v>
      </c>
      <c r="T377" s="50">
        <f>SUMIFS(INDEX(Техника!$F$1:$ABM$500,T$2,0),Техника!$F$4:$ABM$4,"Часы",INDEX(Техника!$G$1:$ABN$500,T$2,0),$A$375,INDEX(Техника!$H$1:$ABO$500,T$2,0),"Д")</f>
        <v>0</v>
      </c>
      <c r="U377" s="50">
        <f>SUMIFS(INDEX(Техника!$F$1:$ABM$500,U$2,0),Техника!$F$4:$ABM$4,"Часы",INDEX(Техника!$G$1:$ABN$500,U$2,0),$A$375,INDEX(Техника!$H$1:$ABO$500,U$2,0),"Д")</f>
        <v>0</v>
      </c>
      <c r="V377" s="50">
        <f>SUMIFS(INDEX(Техника!$F$1:$ABM$500,V$2,0),Техника!$F$4:$ABM$4,"Часы",INDEX(Техника!$G$1:$ABN$500,V$2,0),$A$375,INDEX(Техника!$H$1:$ABO$500,V$2,0),"Д")</f>
        <v>0</v>
      </c>
      <c r="W377" s="50">
        <f>SUMIFS(INDEX(Техника!$F$1:$ABM$500,W$2,0),Техника!$F$4:$ABM$4,"Часы",INDEX(Техника!$G$1:$ABN$500,W$2,0),$A$375,INDEX(Техника!$H$1:$ABO$500,W$2,0),"Д")</f>
        <v>0</v>
      </c>
      <c r="X377" s="50">
        <f>SUMIFS(INDEX(Техника!$F$1:$ABM$500,X$2,0),Техника!$F$4:$ABM$4,"Часы",INDEX(Техника!$G$1:$ABN$500,X$2,0),$A$375,INDEX(Техника!$H$1:$ABO$500,X$2,0),"Д")</f>
        <v>0</v>
      </c>
      <c r="Y377" s="50">
        <f>SUMIFS(INDEX(Техника!$F$1:$ABM$500,Y$2,0),Техника!$F$4:$ABM$4,"Часы",INDEX(Техника!$G$1:$ABN$500,Y$2,0),$A$375,INDEX(Техника!$H$1:$ABO$500,Y$2,0),"Д")</f>
        <v>0</v>
      </c>
      <c r="Z377" s="50">
        <f>SUMIFS(INDEX(Техника!$F$1:$ABM$500,Z$2,0),Техника!$F$4:$ABM$4,"Часы",INDEX(Техника!$G$1:$ABN$500,Z$2,0),$A$375,INDEX(Техника!$H$1:$ABO$500,Z$2,0),"Д")</f>
        <v>0</v>
      </c>
      <c r="AA377" s="50">
        <f>SUMIFS(INDEX(Техника!$F$1:$ABM$500,AA$2,0),Техника!$F$4:$ABM$4,"Часы",INDEX(Техника!$G$1:$ABN$500,AA$2,0),$A$375,INDEX(Техника!$H$1:$ABO$500,AA$2,0),"Д")</f>
        <v>0</v>
      </c>
      <c r="AB377" s="50">
        <f>SUMIFS(INDEX(Техника!$F$1:$ABM$500,AB$2,0),Техника!$F$4:$ABM$4,"Часы",INDEX(Техника!$G$1:$ABN$500,AB$2,0),$A$375,INDEX(Техника!$H$1:$ABO$500,AB$2,0),"Д")</f>
        <v>0</v>
      </c>
    </row>
    <row r="378" spans="1:28" hidden="1" outlineLevel="1" x14ac:dyDescent="0.3">
      <c r="A378" s="33" t="s">
        <v>276</v>
      </c>
      <c r="B378" s="34" t="s">
        <v>277</v>
      </c>
      <c r="C378" s="50">
        <f>SUMIFS(INDEX(Техника!$F$1:$ABM$500,C$2,0),Техника!$F$4:$ABM$4,"Часы",INDEX(Техника!$G$1:$ABN$500,C$2,0),$A$375,INDEX(Техника!$H$1:$ABO$500,C$2,0),"П")</f>
        <v>0</v>
      </c>
      <c r="D378" s="50">
        <f>SUMIFS(INDEX(Техника!$F$1:$ABM$500,D$2,0),Техника!$F$4:$ABM$4,"Часы",INDEX(Техника!$G$1:$ABN$500,D$2,0),$A$375,INDEX(Техника!$H$1:$ABO$500,D$2,0),"П")</f>
        <v>0</v>
      </c>
      <c r="E378" s="50">
        <f>SUMIFS(INDEX(Техника!$F$1:$ABM$500,E$2,0),Техника!$F$4:$ABM$4,"Часы",INDEX(Техника!$G$1:$ABN$500,E$2,0),$A$375,INDEX(Техника!$H$1:$ABO$500,E$2,0),"П")</f>
        <v>0</v>
      </c>
      <c r="F378" s="50">
        <f>SUMIFS(INDEX(Техника!$F$1:$ABM$500,F$2,0),Техника!$F$4:$ABM$4,"Часы",INDEX(Техника!$G$1:$ABN$500,F$2,0),$A$375,INDEX(Техника!$H$1:$ABO$500,F$2,0),"П")</f>
        <v>0</v>
      </c>
      <c r="G378" s="50">
        <f>SUMIFS(INDEX(Техника!$F$1:$ABM$500,G$2,0),Техника!$F$4:$ABM$4,"Часы",INDEX(Техника!$G$1:$ABN$500,G$2,0),$A$375,INDEX(Техника!$H$1:$ABO$500,G$2,0),"П")</f>
        <v>0</v>
      </c>
      <c r="H378" s="50">
        <f>SUMIFS(INDEX(Техника!$F$1:$ABM$500,H$2,0),Техника!$F$4:$ABM$4,"Часы",INDEX(Техника!$G$1:$ABN$500,H$2,0),$A$375,INDEX(Техника!$H$1:$ABO$500,H$2,0),"П")</f>
        <v>0</v>
      </c>
      <c r="I378" s="50">
        <f>SUMIFS(INDEX(Техника!$F$1:$ABM$500,I$2,0),Техника!$F$4:$ABM$4,"Часы",INDEX(Техника!$G$1:$ABN$500,I$2,0),$A$375,INDEX(Техника!$H$1:$ABO$500,I$2,0),"П")</f>
        <v>0</v>
      </c>
      <c r="J378" s="50">
        <f>SUMIFS(INDEX(Техника!$F$1:$ABM$500,J$2,0),Техника!$F$4:$ABM$4,"Часы",INDEX(Техника!$G$1:$ABN$500,J$2,0),$A$375,INDEX(Техника!$H$1:$ABO$500,J$2,0),"П")</f>
        <v>0</v>
      </c>
      <c r="K378" s="50">
        <f>SUMIFS(INDEX(Техника!$F$1:$ABM$500,K$2,0),Техника!$F$4:$ABM$4,"Часы",INDEX(Техника!$G$1:$ABN$500,K$2,0),$A$375,INDEX(Техника!$H$1:$ABO$500,K$2,0),"П")</f>
        <v>0</v>
      </c>
      <c r="L378" s="50">
        <f>SUMIFS(INDEX(Техника!$F$1:$ABM$500,L$2,0),Техника!$F$4:$ABM$4,"Часы",INDEX(Техника!$G$1:$ABN$500,L$2,0),$A$375,INDEX(Техника!$H$1:$ABO$500,L$2,0),"П")</f>
        <v>0</v>
      </c>
      <c r="M378" s="50">
        <f>SUMIFS(INDEX(Техника!$F$1:$ABM$500,M$2,0),Техника!$F$4:$ABM$4,"Часы",INDEX(Техника!$G$1:$ABN$500,M$2,0),$A$375,INDEX(Техника!$H$1:$ABO$500,M$2,0),"П")</f>
        <v>0</v>
      </c>
      <c r="N378" s="50">
        <f>SUMIFS(INDEX(Техника!$F$1:$ABM$500,N$2,0),Техника!$F$4:$ABM$4,"Часы",INDEX(Техника!$G$1:$ABN$500,N$2,0),$A$375,INDEX(Техника!$H$1:$ABO$500,N$2,0),"П")</f>
        <v>0</v>
      </c>
      <c r="O378" s="50">
        <f>SUMIFS(INDEX(Техника!$F$1:$ABM$500,O$2,0),Техника!$F$4:$ABM$4,"Часы",INDEX(Техника!$G$1:$ABN$500,O$2,0),$A$375,INDEX(Техника!$H$1:$ABO$500,O$2,0),"П")</f>
        <v>0</v>
      </c>
      <c r="P378" s="50">
        <f>SUMIFS(INDEX(Техника!$F$1:$ABM$500,P$2,0),Техника!$F$4:$ABM$4,"Часы",INDEX(Техника!$G$1:$ABN$500,P$2,0),$A$375,INDEX(Техника!$H$1:$ABO$500,P$2,0),"П")</f>
        <v>0</v>
      </c>
      <c r="Q378" s="50">
        <f>SUMIFS(INDEX(Техника!$F$1:$ABM$500,Q$2,0),Техника!$F$4:$ABM$4,"Часы",INDEX(Техника!$G$1:$ABN$500,Q$2,0),$A$375,INDEX(Техника!$H$1:$ABO$500,Q$2,0),"П")</f>
        <v>0</v>
      </c>
      <c r="R378" s="50">
        <f>SUMIFS(INDEX(Техника!$F$1:$ABM$500,R$2,0),Техника!$F$4:$ABM$4,"Часы",INDEX(Техника!$G$1:$ABN$500,R$2,0),$A$375,INDEX(Техника!$H$1:$ABO$500,R$2,0),"П")</f>
        <v>0</v>
      </c>
      <c r="S378" s="50">
        <f>SUMIFS(INDEX(Техника!$F$1:$ABM$500,S$2,0),Техника!$F$4:$ABM$4,"Часы",INDEX(Техника!$G$1:$ABN$500,S$2,0),$A$375,INDEX(Техника!$H$1:$ABO$500,S$2,0),"П")</f>
        <v>0</v>
      </c>
      <c r="T378" s="50">
        <f>SUMIFS(INDEX(Техника!$F$1:$ABM$500,T$2,0),Техника!$F$4:$ABM$4,"Часы",INDEX(Техника!$G$1:$ABN$500,T$2,0),$A$375,INDEX(Техника!$H$1:$ABO$500,T$2,0),"П")</f>
        <v>0</v>
      </c>
      <c r="U378" s="50">
        <f>SUMIFS(INDEX(Техника!$F$1:$ABM$500,U$2,0),Техника!$F$4:$ABM$4,"Часы",INDEX(Техника!$G$1:$ABN$500,U$2,0),$A$375,INDEX(Техника!$H$1:$ABO$500,U$2,0),"П")</f>
        <v>0</v>
      </c>
      <c r="V378" s="50">
        <f>SUMIFS(INDEX(Техника!$F$1:$ABM$500,V$2,0),Техника!$F$4:$ABM$4,"Часы",INDEX(Техника!$G$1:$ABN$500,V$2,0),$A$375,INDEX(Техника!$H$1:$ABO$500,V$2,0),"П")</f>
        <v>0</v>
      </c>
      <c r="W378" s="50">
        <f>SUMIFS(INDEX(Техника!$F$1:$ABM$500,W$2,0),Техника!$F$4:$ABM$4,"Часы",INDEX(Техника!$G$1:$ABN$500,W$2,0),$A$375,INDEX(Техника!$H$1:$ABO$500,W$2,0),"П")</f>
        <v>0</v>
      </c>
      <c r="X378" s="50">
        <f>SUMIFS(INDEX(Техника!$F$1:$ABM$500,X$2,0),Техника!$F$4:$ABM$4,"Часы",INDEX(Техника!$G$1:$ABN$500,X$2,0),$A$375,INDEX(Техника!$H$1:$ABO$500,X$2,0),"П")</f>
        <v>0</v>
      </c>
      <c r="Y378" s="50">
        <f>SUMIFS(INDEX(Техника!$F$1:$ABM$500,Y$2,0),Техника!$F$4:$ABM$4,"Часы",INDEX(Техника!$G$1:$ABN$500,Y$2,0),$A$375,INDEX(Техника!$H$1:$ABO$500,Y$2,0),"П")</f>
        <v>0</v>
      </c>
      <c r="Z378" s="50">
        <f>SUMIFS(INDEX(Техника!$F$1:$ABM$500,Z$2,0),Техника!$F$4:$ABM$4,"Часы",INDEX(Техника!$G$1:$ABN$500,Z$2,0),$A$375,INDEX(Техника!$H$1:$ABO$500,Z$2,0),"П")</f>
        <v>0</v>
      </c>
      <c r="AA378" s="50">
        <f>SUMIFS(INDEX(Техника!$F$1:$ABM$500,AA$2,0),Техника!$F$4:$ABM$4,"Часы",INDEX(Техника!$G$1:$ABN$500,AA$2,0),$A$375,INDEX(Техника!$H$1:$ABO$500,AA$2,0),"П")</f>
        <v>0</v>
      </c>
      <c r="AB378" s="50">
        <f>SUMIFS(INDEX(Техника!$F$1:$ABM$500,AB$2,0),Техника!$F$4:$ABM$4,"Часы",INDEX(Техника!$G$1:$ABN$500,AB$2,0),$A$375,INDEX(Техника!$H$1:$ABO$500,AB$2,0),"П")</f>
        <v>0</v>
      </c>
    </row>
    <row r="379" spans="1:28" hidden="1" outlineLevel="1" x14ac:dyDescent="0.3">
      <c r="A379" s="33" t="s">
        <v>243</v>
      </c>
      <c r="B379" s="34" t="s">
        <v>278</v>
      </c>
      <c r="C379" s="50">
        <f>SUMIFS(INDEX(Техника!$F$1:$ABM$500,C$2,0),Техника!$F$4:$ABM$4,"Часы",INDEX(Техника!$G$1:$ABN$500,C$2,0),$A$375,INDEX(Техника!$H$1:$ABO$500,C$2,0),"Л")</f>
        <v>0</v>
      </c>
      <c r="D379" s="50">
        <f>SUMIFS(INDEX(Техника!$F$1:$ABM$500,D$2,0),Техника!$F$4:$ABM$4,"Часы",INDEX(Техника!$G$1:$ABN$500,D$2,0),$A$375,INDEX(Техника!$H$1:$ABO$500,D$2,0),"Л")</f>
        <v>0</v>
      </c>
      <c r="E379" s="50">
        <f>SUMIFS(INDEX(Техника!$F$1:$ABM$500,E$2,0),Техника!$F$4:$ABM$4,"Часы",INDEX(Техника!$G$1:$ABN$500,E$2,0),$A$375,INDEX(Техника!$H$1:$ABO$500,E$2,0),"Л")</f>
        <v>0</v>
      </c>
      <c r="F379" s="50">
        <f>SUMIFS(INDEX(Техника!$F$1:$ABM$500,F$2,0),Техника!$F$4:$ABM$4,"Часы",INDEX(Техника!$G$1:$ABN$500,F$2,0),$A$375,INDEX(Техника!$H$1:$ABO$500,F$2,0),"Л")</f>
        <v>0</v>
      </c>
      <c r="G379" s="50">
        <f>SUMIFS(INDEX(Техника!$F$1:$ABM$500,G$2,0),Техника!$F$4:$ABM$4,"Часы",INDEX(Техника!$G$1:$ABN$500,G$2,0),$A$375,INDEX(Техника!$H$1:$ABO$500,G$2,0),"Л")</f>
        <v>0</v>
      </c>
      <c r="H379" s="50">
        <f>SUMIFS(INDEX(Техника!$F$1:$ABM$500,H$2,0),Техника!$F$4:$ABM$4,"Часы",INDEX(Техника!$G$1:$ABN$500,H$2,0),$A$375,INDEX(Техника!$H$1:$ABO$500,H$2,0),"Л")</f>
        <v>0</v>
      </c>
      <c r="I379" s="50">
        <f>SUMIFS(INDEX(Техника!$F$1:$ABM$500,I$2,0),Техника!$F$4:$ABM$4,"Часы",INDEX(Техника!$G$1:$ABN$500,I$2,0),$A$375,INDEX(Техника!$H$1:$ABO$500,I$2,0),"Л")</f>
        <v>0</v>
      </c>
      <c r="J379" s="50">
        <f>SUMIFS(INDEX(Техника!$F$1:$ABM$500,J$2,0),Техника!$F$4:$ABM$4,"Часы",INDEX(Техника!$G$1:$ABN$500,J$2,0),$A$375,INDEX(Техника!$H$1:$ABO$500,J$2,0),"Л")</f>
        <v>0</v>
      </c>
      <c r="K379" s="50">
        <f>SUMIFS(INDEX(Техника!$F$1:$ABM$500,K$2,0),Техника!$F$4:$ABM$4,"Часы",INDEX(Техника!$G$1:$ABN$500,K$2,0),$A$375,INDEX(Техника!$H$1:$ABO$500,K$2,0),"Л")</f>
        <v>0</v>
      </c>
      <c r="L379" s="50">
        <f>SUMIFS(INDEX(Техника!$F$1:$ABM$500,L$2,0),Техника!$F$4:$ABM$4,"Часы",INDEX(Техника!$G$1:$ABN$500,L$2,0),$A$375,INDEX(Техника!$H$1:$ABO$500,L$2,0),"Л")</f>
        <v>0</v>
      </c>
      <c r="M379" s="50">
        <f>SUMIFS(INDEX(Техника!$F$1:$ABM$500,M$2,0),Техника!$F$4:$ABM$4,"Часы",INDEX(Техника!$G$1:$ABN$500,M$2,0),$A$375,INDEX(Техника!$H$1:$ABO$500,M$2,0),"Л")</f>
        <v>0</v>
      </c>
      <c r="N379" s="50">
        <f>SUMIFS(INDEX(Техника!$F$1:$ABM$500,N$2,0),Техника!$F$4:$ABM$4,"Часы",INDEX(Техника!$G$1:$ABN$500,N$2,0),$A$375,INDEX(Техника!$H$1:$ABO$500,N$2,0),"Л")</f>
        <v>0</v>
      </c>
      <c r="O379" s="50">
        <f>SUMIFS(INDEX(Техника!$F$1:$ABM$500,O$2,0),Техника!$F$4:$ABM$4,"Часы",INDEX(Техника!$G$1:$ABN$500,O$2,0),$A$375,INDEX(Техника!$H$1:$ABO$500,O$2,0),"Л")</f>
        <v>0</v>
      </c>
      <c r="P379" s="50">
        <f>SUMIFS(INDEX(Техника!$F$1:$ABM$500,P$2,0),Техника!$F$4:$ABM$4,"Часы",INDEX(Техника!$G$1:$ABN$500,P$2,0),$A$375,INDEX(Техника!$H$1:$ABO$500,P$2,0),"Л")</f>
        <v>0</v>
      </c>
      <c r="Q379" s="50">
        <f>SUMIFS(INDEX(Техника!$F$1:$ABM$500,Q$2,0),Техника!$F$4:$ABM$4,"Часы",INDEX(Техника!$G$1:$ABN$500,Q$2,0),$A$375,INDEX(Техника!$H$1:$ABO$500,Q$2,0),"Л")</f>
        <v>0</v>
      </c>
      <c r="R379" s="50">
        <f>SUMIFS(INDEX(Техника!$F$1:$ABM$500,R$2,0),Техника!$F$4:$ABM$4,"Часы",INDEX(Техника!$G$1:$ABN$500,R$2,0),$A$375,INDEX(Техника!$H$1:$ABO$500,R$2,0),"Л")</f>
        <v>0</v>
      </c>
      <c r="S379" s="50">
        <f>SUMIFS(INDEX(Техника!$F$1:$ABM$500,S$2,0),Техника!$F$4:$ABM$4,"Часы",INDEX(Техника!$G$1:$ABN$500,S$2,0),$A$375,INDEX(Техника!$H$1:$ABO$500,S$2,0),"Л")</f>
        <v>0</v>
      </c>
      <c r="T379" s="50">
        <f>SUMIFS(INDEX(Техника!$F$1:$ABM$500,T$2,0),Техника!$F$4:$ABM$4,"Часы",INDEX(Техника!$G$1:$ABN$500,T$2,0),$A$375,INDEX(Техника!$H$1:$ABO$500,T$2,0),"Л")</f>
        <v>0</v>
      </c>
      <c r="U379" s="50">
        <f>SUMIFS(INDEX(Техника!$F$1:$ABM$500,U$2,0),Техника!$F$4:$ABM$4,"Часы",INDEX(Техника!$G$1:$ABN$500,U$2,0),$A$375,INDEX(Техника!$H$1:$ABO$500,U$2,0),"Л")</f>
        <v>0</v>
      </c>
      <c r="V379" s="50">
        <f>SUMIFS(INDEX(Техника!$F$1:$ABM$500,V$2,0),Техника!$F$4:$ABM$4,"Часы",INDEX(Техника!$G$1:$ABN$500,V$2,0),$A$375,INDEX(Техника!$H$1:$ABO$500,V$2,0),"Л")</f>
        <v>0</v>
      </c>
      <c r="W379" s="50">
        <f>SUMIFS(INDEX(Техника!$F$1:$ABM$500,W$2,0),Техника!$F$4:$ABM$4,"Часы",INDEX(Техника!$G$1:$ABN$500,W$2,0),$A$375,INDEX(Техника!$H$1:$ABO$500,W$2,0),"Л")</f>
        <v>0</v>
      </c>
      <c r="X379" s="50">
        <f>SUMIFS(INDEX(Техника!$F$1:$ABM$500,X$2,0),Техника!$F$4:$ABM$4,"Часы",INDEX(Техника!$G$1:$ABN$500,X$2,0),$A$375,INDEX(Техника!$H$1:$ABO$500,X$2,0),"Л")</f>
        <v>0</v>
      </c>
      <c r="Y379" s="50">
        <f>SUMIFS(INDEX(Техника!$F$1:$ABM$500,Y$2,0),Техника!$F$4:$ABM$4,"Часы",INDEX(Техника!$G$1:$ABN$500,Y$2,0),$A$375,INDEX(Техника!$H$1:$ABO$500,Y$2,0),"Л")</f>
        <v>0</v>
      </c>
      <c r="Z379" s="50">
        <f>SUMIFS(INDEX(Техника!$F$1:$ABM$500,Z$2,0),Техника!$F$4:$ABM$4,"Часы",INDEX(Техника!$G$1:$ABN$500,Z$2,0),$A$375,INDEX(Техника!$H$1:$ABO$500,Z$2,0),"Л")</f>
        <v>0</v>
      </c>
      <c r="AA379" s="50">
        <f>SUMIFS(INDEX(Техника!$F$1:$ABM$500,AA$2,0),Техника!$F$4:$ABM$4,"Часы",INDEX(Техника!$G$1:$ABN$500,AA$2,0),$A$375,INDEX(Техника!$H$1:$ABO$500,AA$2,0),"Л")</f>
        <v>0</v>
      </c>
      <c r="AB379" s="50">
        <f>SUMIFS(INDEX(Техника!$F$1:$ABM$500,AB$2,0),Техника!$F$4:$ABM$4,"Часы",INDEX(Техника!$G$1:$ABN$500,AB$2,0),$A$375,INDEX(Техника!$H$1:$ABO$500,AB$2,0),"Л")</f>
        <v>0</v>
      </c>
    </row>
    <row r="380" spans="1:28" hidden="1" outlineLevel="1" x14ac:dyDescent="0.3">
      <c r="A380" s="33" t="s">
        <v>245</v>
      </c>
      <c r="B380" s="34" t="s">
        <v>279</v>
      </c>
      <c r="C380" s="50">
        <f>SUMIFS(INDEX(Техника!$F$1:$ABM$500,C$2,0),Техника!$F$4:$ABM$4,"Часы",INDEX(Техника!$G$1:$ABN$500,C$2,0),$A$375,INDEX(Техника!$H$1:$ABO$500,C$2,0),"З")</f>
        <v>0</v>
      </c>
      <c r="D380" s="50">
        <f>SUMIFS(INDEX(Техника!$F$1:$ABM$500,D$2,0),Техника!$F$4:$ABM$4,"Часы",INDEX(Техника!$G$1:$ABN$500,D$2,0),$A$375,INDEX(Техника!$H$1:$ABO$500,D$2,0),"З")</f>
        <v>0</v>
      </c>
      <c r="E380" s="50">
        <f>SUMIFS(INDEX(Техника!$F$1:$ABM$500,E$2,0),Техника!$F$4:$ABM$4,"Часы",INDEX(Техника!$G$1:$ABN$500,E$2,0),$A$375,INDEX(Техника!$H$1:$ABO$500,E$2,0),"З")</f>
        <v>0</v>
      </c>
      <c r="F380" s="50">
        <f>SUMIFS(INDEX(Техника!$F$1:$ABM$500,F$2,0),Техника!$F$4:$ABM$4,"Часы",INDEX(Техника!$G$1:$ABN$500,F$2,0),$A$375,INDEX(Техника!$H$1:$ABO$500,F$2,0),"З")</f>
        <v>0</v>
      </c>
      <c r="G380" s="50">
        <f>SUMIFS(INDEX(Техника!$F$1:$ABM$500,G$2,0),Техника!$F$4:$ABM$4,"Часы",INDEX(Техника!$G$1:$ABN$500,G$2,0),$A$375,INDEX(Техника!$H$1:$ABO$500,G$2,0),"З")</f>
        <v>0</v>
      </c>
      <c r="H380" s="50">
        <f>SUMIFS(INDEX(Техника!$F$1:$ABM$500,H$2,0),Техника!$F$4:$ABM$4,"Часы",INDEX(Техника!$G$1:$ABN$500,H$2,0),$A$375,INDEX(Техника!$H$1:$ABO$500,H$2,0),"З")</f>
        <v>0</v>
      </c>
      <c r="I380" s="50">
        <f>SUMIFS(INDEX(Техника!$F$1:$ABM$500,I$2,0),Техника!$F$4:$ABM$4,"Часы",INDEX(Техника!$G$1:$ABN$500,I$2,0),$A$375,INDEX(Техника!$H$1:$ABO$500,I$2,0),"З")</f>
        <v>0</v>
      </c>
      <c r="J380" s="50">
        <f>SUMIFS(INDEX(Техника!$F$1:$ABM$500,J$2,0),Техника!$F$4:$ABM$4,"Часы",INDEX(Техника!$G$1:$ABN$500,J$2,0),$A$375,INDEX(Техника!$H$1:$ABO$500,J$2,0),"З")</f>
        <v>0</v>
      </c>
      <c r="K380" s="50">
        <f>SUMIFS(INDEX(Техника!$F$1:$ABM$500,K$2,0),Техника!$F$4:$ABM$4,"Часы",INDEX(Техника!$G$1:$ABN$500,K$2,0),$A$375,INDEX(Техника!$H$1:$ABO$500,K$2,0),"З")</f>
        <v>0</v>
      </c>
      <c r="L380" s="50">
        <f>SUMIFS(INDEX(Техника!$F$1:$ABM$500,L$2,0),Техника!$F$4:$ABM$4,"Часы",INDEX(Техника!$G$1:$ABN$500,L$2,0),$A$375,INDEX(Техника!$H$1:$ABO$500,L$2,0),"З")</f>
        <v>0</v>
      </c>
      <c r="M380" s="50">
        <f>SUMIFS(INDEX(Техника!$F$1:$ABM$500,M$2,0),Техника!$F$4:$ABM$4,"Часы",INDEX(Техника!$G$1:$ABN$500,M$2,0),$A$375,INDEX(Техника!$H$1:$ABO$500,M$2,0),"З")</f>
        <v>0</v>
      </c>
      <c r="N380" s="50">
        <f>SUMIFS(INDEX(Техника!$F$1:$ABM$500,N$2,0),Техника!$F$4:$ABM$4,"Часы",INDEX(Техника!$G$1:$ABN$500,N$2,0),$A$375,INDEX(Техника!$H$1:$ABO$500,N$2,0),"З")</f>
        <v>0</v>
      </c>
      <c r="O380" s="50">
        <f>SUMIFS(INDEX(Техника!$F$1:$ABM$500,O$2,0),Техника!$F$4:$ABM$4,"Часы",INDEX(Техника!$G$1:$ABN$500,O$2,0),$A$375,INDEX(Техника!$H$1:$ABO$500,O$2,0),"З")</f>
        <v>0</v>
      </c>
      <c r="P380" s="50">
        <f>SUMIFS(INDEX(Техника!$F$1:$ABM$500,P$2,0),Техника!$F$4:$ABM$4,"Часы",INDEX(Техника!$G$1:$ABN$500,P$2,0),$A$375,INDEX(Техника!$H$1:$ABO$500,P$2,0),"З")</f>
        <v>0</v>
      </c>
      <c r="Q380" s="50">
        <f>SUMIFS(INDEX(Техника!$F$1:$ABM$500,Q$2,0),Техника!$F$4:$ABM$4,"Часы",INDEX(Техника!$G$1:$ABN$500,Q$2,0),$A$375,INDEX(Техника!$H$1:$ABO$500,Q$2,0),"З")</f>
        <v>0</v>
      </c>
      <c r="R380" s="50">
        <f>SUMIFS(INDEX(Техника!$F$1:$ABM$500,R$2,0),Техника!$F$4:$ABM$4,"Часы",INDEX(Техника!$G$1:$ABN$500,R$2,0),$A$375,INDEX(Техника!$H$1:$ABO$500,R$2,0),"З")</f>
        <v>0</v>
      </c>
      <c r="S380" s="50">
        <f>SUMIFS(INDEX(Техника!$F$1:$ABM$500,S$2,0),Техника!$F$4:$ABM$4,"Часы",INDEX(Техника!$G$1:$ABN$500,S$2,0),$A$375,INDEX(Техника!$H$1:$ABO$500,S$2,0),"З")</f>
        <v>0</v>
      </c>
      <c r="T380" s="50">
        <f>SUMIFS(INDEX(Техника!$F$1:$ABM$500,T$2,0),Техника!$F$4:$ABM$4,"Часы",INDEX(Техника!$G$1:$ABN$500,T$2,0),$A$375,INDEX(Техника!$H$1:$ABO$500,T$2,0),"З")</f>
        <v>0</v>
      </c>
      <c r="U380" s="50">
        <f>SUMIFS(INDEX(Техника!$F$1:$ABM$500,U$2,0),Техника!$F$4:$ABM$4,"Часы",INDEX(Техника!$G$1:$ABN$500,U$2,0),$A$375,INDEX(Техника!$H$1:$ABO$500,U$2,0),"З")</f>
        <v>0</v>
      </c>
      <c r="V380" s="50">
        <f>SUMIFS(INDEX(Техника!$F$1:$ABM$500,V$2,0),Техника!$F$4:$ABM$4,"Часы",INDEX(Техника!$G$1:$ABN$500,V$2,0),$A$375,INDEX(Техника!$H$1:$ABO$500,V$2,0),"З")</f>
        <v>0</v>
      </c>
      <c r="W380" s="50">
        <f>SUMIFS(INDEX(Техника!$F$1:$ABM$500,W$2,0),Техника!$F$4:$ABM$4,"Часы",INDEX(Техника!$G$1:$ABN$500,W$2,0),$A$375,INDEX(Техника!$H$1:$ABO$500,W$2,0),"З")</f>
        <v>0</v>
      </c>
      <c r="X380" s="50">
        <f>SUMIFS(INDEX(Техника!$F$1:$ABM$500,X$2,0),Техника!$F$4:$ABM$4,"Часы",INDEX(Техника!$G$1:$ABN$500,X$2,0),$A$375,INDEX(Техника!$H$1:$ABO$500,X$2,0),"З")</f>
        <v>0</v>
      </c>
      <c r="Y380" s="50">
        <f>SUMIFS(INDEX(Техника!$F$1:$ABM$500,Y$2,0),Техника!$F$4:$ABM$4,"Часы",INDEX(Техника!$G$1:$ABN$500,Y$2,0),$A$375,INDEX(Техника!$H$1:$ABO$500,Y$2,0),"З")</f>
        <v>0</v>
      </c>
      <c r="Z380" s="50">
        <f>SUMIFS(INDEX(Техника!$F$1:$ABM$500,Z$2,0),Техника!$F$4:$ABM$4,"Часы",INDEX(Техника!$G$1:$ABN$500,Z$2,0),$A$375,INDEX(Техника!$H$1:$ABO$500,Z$2,0),"З")</f>
        <v>0</v>
      </c>
      <c r="AA380" s="50">
        <f>SUMIFS(INDEX(Техника!$F$1:$ABM$500,AA$2,0),Техника!$F$4:$ABM$4,"Часы",INDEX(Техника!$G$1:$ABN$500,AA$2,0),$A$375,INDEX(Техника!$H$1:$ABO$500,AA$2,0),"З")</f>
        <v>0</v>
      </c>
      <c r="AB380" s="50">
        <f>SUMIFS(INDEX(Техника!$F$1:$ABM$500,AB$2,0),Техника!$F$4:$ABM$4,"Часы",INDEX(Техника!$G$1:$ABN$500,AB$2,0),$A$375,INDEX(Техника!$H$1:$ABO$500,AB$2,0),"З")</f>
        <v>0</v>
      </c>
    </row>
    <row r="381" spans="1:28" ht="7.95" customHeight="1" x14ac:dyDescent="0.3">
      <c r="A381" s="38"/>
      <c r="B381" s="39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</row>
    <row r="382" spans="1:28" ht="25.05" customHeight="1" collapsed="1" x14ac:dyDescent="0.3">
      <c r="A382" s="32">
        <v>55</v>
      </c>
      <c r="B382" s="32" t="s">
        <v>56</v>
      </c>
      <c r="C382" s="49">
        <f>SUM(C383:C387)</f>
        <v>0</v>
      </c>
      <c r="D382" s="49">
        <f>SUM(D383:D387)</f>
        <v>0</v>
      </c>
      <c r="E382" s="49">
        <f>SUM(E383:E387)</f>
        <v>0</v>
      </c>
      <c r="F382" s="49">
        <f>SUM(F383:F387)</f>
        <v>0</v>
      </c>
      <c r="G382" s="49">
        <f>SUM(G383:G387)</f>
        <v>0</v>
      </c>
      <c r="H382" s="49">
        <f>SUM(H383:H387)</f>
        <v>0</v>
      </c>
      <c r="I382" s="49">
        <f>SUM(I383:I387)</f>
        <v>0</v>
      </c>
      <c r="J382" s="49">
        <f>SUM(J383:J387)</f>
        <v>0</v>
      </c>
      <c r="K382" s="49">
        <f>SUM(K383:K387)</f>
        <v>0</v>
      </c>
      <c r="L382" s="49">
        <f>SUM(L383:L387)</f>
        <v>0</v>
      </c>
      <c r="M382" s="49">
        <f>SUM(M383:M387)</f>
        <v>0</v>
      </c>
      <c r="N382" s="49">
        <f>SUM(N383:N387)</f>
        <v>0</v>
      </c>
      <c r="O382" s="49">
        <f>SUM(O383:O387)</f>
        <v>0</v>
      </c>
      <c r="P382" s="49">
        <f>SUM(P383:P387)</f>
        <v>0</v>
      </c>
      <c r="Q382" s="49">
        <f>SUM(Q383:Q387)</f>
        <v>0</v>
      </c>
      <c r="R382" s="49">
        <f>SUM(R383:R387)</f>
        <v>0</v>
      </c>
      <c r="S382" s="49">
        <f>SUM(S383:S387)</f>
        <v>0</v>
      </c>
      <c r="T382" s="49">
        <f>SUM(T383:T387)</f>
        <v>0</v>
      </c>
      <c r="U382" s="49">
        <f>SUM(U383:U387)</f>
        <v>0</v>
      </c>
      <c r="V382" s="49">
        <f>SUM(V383:V387)</f>
        <v>0</v>
      </c>
      <c r="W382" s="49">
        <f>SUM(W383:W387)</f>
        <v>0</v>
      </c>
      <c r="X382" s="49">
        <f>SUM(X383:X387)</f>
        <v>0</v>
      </c>
      <c r="Y382" s="49">
        <f>SUM(Y383:Y387)</f>
        <v>0</v>
      </c>
      <c r="Z382" s="49">
        <f>SUM(Z383:Z387)</f>
        <v>0</v>
      </c>
      <c r="AA382" s="49">
        <f>SUM(AA383:AA387)</f>
        <v>0</v>
      </c>
      <c r="AB382" s="49">
        <f>SUM(AB383:AB387)</f>
        <v>0</v>
      </c>
    </row>
    <row r="383" spans="1:28" hidden="1" outlineLevel="1" x14ac:dyDescent="0.3">
      <c r="A383" s="33" t="s">
        <v>246</v>
      </c>
      <c r="B383" s="34" t="s">
        <v>274</v>
      </c>
      <c r="C383" s="50">
        <f>SUMIFS(INDEX(Техника!$F$1:$ABM$500,C$2,0),Техника!$F$4:$ABM$4,"Часы",INDEX(Техника!$G$1:$ABN$500,C$2,0),$A$382,INDEX(Техника!$H$1:$ABO$500,C$2,0),"М")</f>
        <v>0</v>
      </c>
      <c r="D383" s="50">
        <f>SUMIFS(INDEX(Техника!$F$1:$ABM$500,D$2,0),Техника!$F$4:$ABM$4,"Часы",INDEX(Техника!$G$1:$ABN$500,D$2,0),$A$382,INDEX(Техника!$H$1:$ABO$500,D$2,0),"М")</f>
        <v>0</v>
      </c>
      <c r="E383" s="50">
        <f>SUMIFS(INDEX(Техника!$F$1:$ABM$500,E$2,0),Техника!$F$4:$ABM$4,"Часы",INDEX(Техника!$G$1:$ABN$500,E$2,0),$A$382,INDEX(Техника!$H$1:$ABO$500,E$2,0),"М")</f>
        <v>0</v>
      </c>
      <c r="F383" s="50">
        <f>SUMIFS(INDEX(Техника!$F$1:$ABM$500,F$2,0),Техника!$F$4:$ABM$4,"Часы",INDEX(Техника!$G$1:$ABN$500,F$2,0),$A$382,INDEX(Техника!$H$1:$ABO$500,F$2,0),"М")</f>
        <v>0</v>
      </c>
      <c r="G383" s="50">
        <f>SUMIFS(INDEX(Техника!$F$1:$ABM$500,G$2,0),Техника!$F$4:$ABM$4,"Часы",INDEX(Техника!$G$1:$ABN$500,G$2,0),$A$382,INDEX(Техника!$H$1:$ABO$500,G$2,0),"М")</f>
        <v>0</v>
      </c>
      <c r="H383" s="50">
        <f>SUMIFS(INDEX(Техника!$F$1:$ABM$500,H$2,0),Техника!$F$4:$ABM$4,"Часы",INDEX(Техника!$G$1:$ABN$500,H$2,0),$A$382,INDEX(Техника!$H$1:$ABO$500,H$2,0),"М")</f>
        <v>0</v>
      </c>
      <c r="I383" s="50">
        <f>SUMIFS(INDEX(Техника!$F$1:$ABM$500,I$2,0),Техника!$F$4:$ABM$4,"Часы",INDEX(Техника!$G$1:$ABN$500,I$2,0),$A$382,INDEX(Техника!$H$1:$ABO$500,I$2,0),"М")</f>
        <v>0</v>
      </c>
      <c r="J383" s="50">
        <f>SUMIFS(INDEX(Техника!$F$1:$ABM$500,J$2,0),Техника!$F$4:$ABM$4,"Часы",INDEX(Техника!$G$1:$ABN$500,J$2,0),$A$382,INDEX(Техника!$H$1:$ABO$500,J$2,0),"М")</f>
        <v>0</v>
      </c>
      <c r="K383" s="50">
        <f>SUMIFS(INDEX(Техника!$F$1:$ABM$500,K$2,0),Техника!$F$4:$ABM$4,"Часы",INDEX(Техника!$G$1:$ABN$500,K$2,0),$A$382,INDEX(Техника!$H$1:$ABO$500,K$2,0),"М")</f>
        <v>0</v>
      </c>
      <c r="L383" s="50">
        <f>SUMIFS(INDEX(Техника!$F$1:$ABM$500,L$2,0),Техника!$F$4:$ABM$4,"Часы",INDEX(Техника!$G$1:$ABN$500,L$2,0),$A$382,INDEX(Техника!$H$1:$ABO$500,L$2,0),"М")</f>
        <v>0</v>
      </c>
      <c r="M383" s="50">
        <f>SUMIFS(INDEX(Техника!$F$1:$ABM$500,M$2,0),Техника!$F$4:$ABM$4,"Часы",INDEX(Техника!$G$1:$ABN$500,M$2,0),$A$382,INDEX(Техника!$H$1:$ABO$500,M$2,0),"М")</f>
        <v>0</v>
      </c>
      <c r="N383" s="50">
        <f>SUMIFS(INDEX(Техника!$F$1:$ABM$500,N$2,0),Техника!$F$4:$ABM$4,"Часы",INDEX(Техника!$G$1:$ABN$500,N$2,0),$A$382,INDEX(Техника!$H$1:$ABO$500,N$2,0),"М")</f>
        <v>0</v>
      </c>
      <c r="O383" s="50">
        <f>SUMIFS(INDEX(Техника!$F$1:$ABM$500,O$2,0),Техника!$F$4:$ABM$4,"Часы",INDEX(Техника!$G$1:$ABN$500,O$2,0),$A$382,INDEX(Техника!$H$1:$ABO$500,O$2,0),"М")</f>
        <v>0</v>
      </c>
      <c r="P383" s="50">
        <f>SUMIFS(INDEX(Техника!$F$1:$ABM$500,P$2,0),Техника!$F$4:$ABM$4,"Часы",INDEX(Техника!$G$1:$ABN$500,P$2,0),$A$382,INDEX(Техника!$H$1:$ABO$500,P$2,0),"М")</f>
        <v>0</v>
      </c>
      <c r="Q383" s="50">
        <f>SUMIFS(INDEX(Техника!$F$1:$ABM$500,Q$2,0),Техника!$F$4:$ABM$4,"Часы",INDEX(Техника!$G$1:$ABN$500,Q$2,0),$A$382,INDEX(Техника!$H$1:$ABO$500,Q$2,0),"М")</f>
        <v>0</v>
      </c>
      <c r="R383" s="50">
        <f>SUMIFS(INDEX(Техника!$F$1:$ABM$500,R$2,0),Техника!$F$4:$ABM$4,"Часы",INDEX(Техника!$G$1:$ABN$500,R$2,0),$A$382,INDEX(Техника!$H$1:$ABO$500,R$2,0),"М")</f>
        <v>0</v>
      </c>
      <c r="S383" s="50">
        <f>SUMIFS(INDEX(Техника!$F$1:$ABM$500,S$2,0),Техника!$F$4:$ABM$4,"Часы",INDEX(Техника!$G$1:$ABN$500,S$2,0),$A$382,INDEX(Техника!$H$1:$ABO$500,S$2,0),"М")</f>
        <v>0</v>
      </c>
      <c r="T383" s="50">
        <f>SUMIFS(INDEX(Техника!$F$1:$ABM$500,T$2,0),Техника!$F$4:$ABM$4,"Часы",INDEX(Техника!$G$1:$ABN$500,T$2,0),$A$382,INDEX(Техника!$H$1:$ABO$500,T$2,0),"М")</f>
        <v>0</v>
      </c>
      <c r="U383" s="50">
        <f>SUMIFS(INDEX(Техника!$F$1:$ABM$500,U$2,0),Техника!$F$4:$ABM$4,"Часы",INDEX(Техника!$G$1:$ABN$500,U$2,0),$A$382,INDEX(Техника!$H$1:$ABO$500,U$2,0),"М")</f>
        <v>0</v>
      </c>
      <c r="V383" s="50">
        <f>SUMIFS(INDEX(Техника!$F$1:$ABM$500,V$2,0),Техника!$F$4:$ABM$4,"Часы",INDEX(Техника!$G$1:$ABN$500,V$2,0),$A$382,INDEX(Техника!$H$1:$ABO$500,V$2,0),"М")</f>
        <v>0</v>
      </c>
      <c r="W383" s="50">
        <f>SUMIFS(INDEX(Техника!$F$1:$ABM$500,W$2,0),Техника!$F$4:$ABM$4,"Часы",INDEX(Техника!$G$1:$ABN$500,W$2,0),$A$382,INDEX(Техника!$H$1:$ABO$500,W$2,0),"М")</f>
        <v>0</v>
      </c>
      <c r="X383" s="50">
        <f>SUMIFS(INDEX(Техника!$F$1:$ABM$500,X$2,0),Техника!$F$4:$ABM$4,"Часы",INDEX(Техника!$G$1:$ABN$500,X$2,0),$A$382,INDEX(Техника!$H$1:$ABO$500,X$2,0),"М")</f>
        <v>0</v>
      </c>
      <c r="Y383" s="50">
        <f>SUMIFS(INDEX(Техника!$F$1:$ABM$500,Y$2,0),Техника!$F$4:$ABM$4,"Часы",INDEX(Техника!$G$1:$ABN$500,Y$2,0),$A$382,INDEX(Техника!$H$1:$ABO$500,Y$2,0),"М")</f>
        <v>0</v>
      </c>
      <c r="Z383" s="50">
        <f>SUMIFS(INDEX(Техника!$F$1:$ABM$500,Z$2,0),Техника!$F$4:$ABM$4,"Часы",INDEX(Техника!$G$1:$ABN$500,Z$2,0),$A$382,INDEX(Техника!$H$1:$ABO$500,Z$2,0),"М")</f>
        <v>0</v>
      </c>
      <c r="AA383" s="50">
        <f>SUMIFS(INDEX(Техника!$F$1:$ABM$500,AA$2,0),Техника!$F$4:$ABM$4,"Часы",INDEX(Техника!$G$1:$ABN$500,AA$2,0),$A$382,INDEX(Техника!$H$1:$ABO$500,AA$2,0),"М")</f>
        <v>0</v>
      </c>
      <c r="AB383" s="50">
        <f>SUMIFS(INDEX(Техника!$F$1:$ABM$500,AB$2,0),Техника!$F$4:$ABM$4,"Часы",INDEX(Техника!$G$1:$ABN$500,AB$2,0),$A$382,INDEX(Техника!$H$1:$ABO$500,AB$2,0),"М")</f>
        <v>0</v>
      </c>
    </row>
    <row r="384" spans="1:28" hidden="1" outlineLevel="1" x14ac:dyDescent="0.3">
      <c r="A384" s="33" t="s">
        <v>244</v>
      </c>
      <c r="B384" s="34" t="s">
        <v>275</v>
      </c>
      <c r="C384" s="50">
        <f>SUMIFS(INDEX(Техника!$F$1:$ABM$500,C$2,0),Техника!$F$4:$ABM$4,"Часы",INDEX(Техника!$G$1:$ABN$500,C$2,0),$A$382,INDEX(Техника!$H$1:$ABO$500,C$2,0),"Д")</f>
        <v>0</v>
      </c>
      <c r="D384" s="50">
        <f>SUMIFS(INDEX(Техника!$F$1:$ABM$500,D$2,0),Техника!$F$4:$ABM$4,"Часы",INDEX(Техника!$G$1:$ABN$500,D$2,0),$A$382,INDEX(Техника!$H$1:$ABO$500,D$2,0),"Д")</f>
        <v>0</v>
      </c>
      <c r="E384" s="50">
        <f>SUMIFS(INDEX(Техника!$F$1:$ABM$500,E$2,0),Техника!$F$4:$ABM$4,"Часы",INDEX(Техника!$G$1:$ABN$500,E$2,0),$A$382,INDEX(Техника!$H$1:$ABO$500,E$2,0),"Д")</f>
        <v>0</v>
      </c>
      <c r="F384" s="50">
        <f>SUMIFS(INDEX(Техника!$F$1:$ABM$500,F$2,0),Техника!$F$4:$ABM$4,"Часы",INDEX(Техника!$G$1:$ABN$500,F$2,0),$A$382,INDEX(Техника!$H$1:$ABO$500,F$2,0),"Д")</f>
        <v>0</v>
      </c>
      <c r="G384" s="50">
        <f>SUMIFS(INDEX(Техника!$F$1:$ABM$500,G$2,0),Техника!$F$4:$ABM$4,"Часы",INDEX(Техника!$G$1:$ABN$500,G$2,0),$A$382,INDEX(Техника!$H$1:$ABO$500,G$2,0),"Д")</f>
        <v>0</v>
      </c>
      <c r="H384" s="50">
        <f>SUMIFS(INDEX(Техника!$F$1:$ABM$500,H$2,0),Техника!$F$4:$ABM$4,"Часы",INDEX(Техника!$G$1:$ABN$500,H$2,0),$A$382,INDEX(Техника!$H$1:$ABO$500,H$2,0),"Д")</f>
        <v>0</v>
      </c>
      <c r="I384" s="50">
        <f>SUMIFS(INDEX(Техника!$F$1:$ABM$500,I$2,0),Техника!$F$4:$ABM$4,"Часы",INDEX(Техника!$G$1:$ABN$500,I$2,0),$A$382,INDEX(Техника!$H$1:$ABO$500,I$2,0),"Д")</f>
        <v>0</v>
      </c>
      <c r="J384" s="50">
        <f>SUMIFS(INDEX(Техника!$F$1:$ABM$500,J$2,0),Техника!$F$4:$ABM$4,"Часы",INDEX(Техника!$G$1:$ABN$500,J$2,0),$A$382,INDEX(Техника!$H$1:$ABO$500,J$2,0),"Д")</f>
        <v>0</v>
      </c>
      <c r="K384" s="50">
        <f>SUMIFS(INDEX(Техника!$F$1:$ABM$500,K$2,0),Техника!$F$4:$ABM$4,"Часы",INDEX(Техника!$G$1:$ABN$500,K$2,0),$A$382,INDEX(Техника!$H$1:$ABO$500,K$2,0),"Д")</f>
        <v>0</v>
      </c>
      <c r="L384" s="50">
        <f>SUMIFS(INDEX(Техника!$F$1:$ABM$500,L$2,0),Техника!$F$4:$ABM$4,"Часы",INDEX(Техника!$G$1:$ABN$500,L$2,0),$A$382,INDEX(Техника!$H$1:$ABO$500,L$2,0),"Д")</f>
        <v>0</v>
      </c>
      <c r="M384" s="50">
        <f>SUMIFS(INDEX(Техника!$F$1:$ABM$500,M$2,0),Техника!$F$4:$ABM$4,"Часы",INDEX(Техника!$G$1:$ABN$500,M$2,0),$A$382,INDEX(Техника!$H$1:$ABO$500,M$2,0),"Д")</f>
        <v>0</v>
      </c>
      <c r="N384" s="50">
        <f>SUMIFS(INDEX(Техника!$F$1:$ABM$500,N$2,0),Техника!$F$4:$ABM$4,"Часы",INDEX(Техника!$G$1:$ABN$500,N$2,0),$A$382,INDEX(Техника!$H$1:$ABO$500,N$2,0),"Д")</f>
        <v>0</v>
      </c>
      <c r="O384" s="50">
        <f>SUMIFS(INDEX(Техника!$F$1:$ABM$500,O$2,0),Техника!$F$4:$ABM$4,"Часы",INDEX(Техника!$G$1:$ABN$500,O$2,0),$A$382,INDEX(Техника!$H$1:$ABO$500,O$2,0),"Д")</f>
        <v>0</v>
      </c>
      <c r="P384" s="50">
        <f>SUMIFS(INDEX(Техника!$F$1:$ABM$500,P$2,0),Техника!$F$4:$ABM$4,"Часы",INDEX(Техника!$G$1:$ABN$500,P$2,0),$A$382,INDEX(Техника!$H$1:$ABO$500,P$2,0),"Д")</f>
        <v>0</v>
      </c>
      <c r="Q384" s="50">
        <f>SUMIFS(INDEX(Техника!$F$1:$ABM$500,Q$2,0),Техника!$F$4:$ABM$4,"Часы",INDEX(Техника!$G$1:$ABN$500,Q$2,0),$A$382,INDEX(Техника!$H$1:$ABO$500,Q$2,0),"Д")</f>
        <v>0</v>
      </c>
      <c r="R384" s="50">
        <f>SUMIFS(INDEX(Техника!$F$1:$ABM$500,R$2,0),Техника!$F$4:$ABM$4,"Часы",INDEX(Техника!$G$1:$ABN$500,R$2,0),$A$382,INDEX(Техника!$H$1:$ABO$500,R$2,0),"Д")</f>
        <v>0</v>
      </c>
      <c r="S384" s="50">
        <f>SUMIFS(INDEX(Техника!$F$1:$ABM$500,S$2,0),Техника!$F$4:$ABM$4,"Часы",INDEX(Техника!$G$1:$ABN$500,S$2,0),$A$382,INDEX(Техника!$H$1:$ABO$500,S$2,0),"Д")</f>
        <v>0</v>
      </c>
      <c r="T384" s="50">
        <f>SUMIFS(INDEX(Техника!$F$1:$ABM$500,T$2,0),Техника!$F$4:$ABM$4,"Часы",INDEX(Техника!$G$1:$ABN$500,T$2,0),$A$382,INDEX(Техника!$H$1:$ABO$500,T$2,0),"Д")</f>
        <v>0</v>
      </c>
      <c r="U384" s="50">
        <f>SUMIFS(INDEX(Техника!$F$1:$ABM$500,U$2,0),Техника!$F$4:$ABM$4,"Часы",INDEX(Техника!$G$1:$ABN$500,U$2,0),$A$382,INDEX(Техника!$H$1:$ABO$500,U$2,0),"Д")</f>
        <v>0</v>
      </c>
      <c r="V384" s="50">
        <f>SUMIFS(INDEX(Техника!$F$1:$ABM$500,V$2,0),Техника!$F$4:$ABM$4,"Часы",INDEX(Техника!$G$1:$ABN$500,V$2,0),$A$382,INDEX(Техника!$H$1:$ABO$500,V$2,0),"Д")</f>
        <v>0</v>
      </c>
      <c r="W384" s="50">
        <f>SUMIFS(INDEX(Техника!$F$1:$ABM$500,W$2,0),Техника!$F$4:$ABM$4,"Часы",INDEX(Техника!$G$1:$ABN$500,W$2,0),$A$382,INDEX(Техника!$H$1:$ABO$500,W$2,0),"Д")</f>
        <v>0</v>
      </c>
      <c r="X384" s="50">
        <f>SUMIFS(INDEX(Техника!$F$1:$ABM$500,X$2,0),Техника!$F$4:$ABM$4,"Часы",INDEX(Техника!$G$1:$ABN$500,X$2,0),$A$382,INDEX(Техника!$H$1:$ABO$500,X$2,0),"Д")</f>
        <v>0</v>
      </c>
      <c r="Y384" s="50">
        <f>SUMIFS(INDEX(Техника!$F$1:$ABM$500,Y$2,0),Техника!$F$4:$ABM$4,"Часы",INDEX(Техника!$G$1:$ABN$500,Y$2,0),$A$382,INDEX(Техника!$H$1:$ABO$500,Y$2,0),"Д")</f>
        <v>0</v>
      </c>
      <c r="Z384" s="50">
        <f>SUMIFS(INDEX(Техника!$F$1:$ABM$500,Z$2,0),Техника!$F$4:$ABM$4,"Часы",INDEX(Техника!$G$1:$ABN$500,Z$2,0),$A$382,INDEX(Техника!$H$1:$ABO$500,Z$2,0),"Д")</f>
        <v>0</v>
      </c>
      <c r="AA384" s="50">
        <f>SUMIFS(INDEX(Техника!$F$1:$ABM$500,AA$2,0),Техника!$F$4:$ABM$4,"Часы",INDEX(Техника!$G$1:$ABN$500,AA$2,0),$A$382,INDEX(Техника!$H$1:$ABO$500,AA$2,0),"Д")</f>
        <v>0</v>
      </c>
      <c r="AB384" s="50">
        <f>SUMIFS(INDEX(Техника!$F$1:$ABM$500,AB$2,0),Техника!$F$4:$ABM$4,"Часы",INDEX(Техника!$G$1:$ABN$500,AB$2,0),$A$382,INDEX(Техника!$H$1:$ABO$500,AB$2,0),"Д")</f>
        <v>0</v>
      </c>
    </row>
    <row r="385" spans="1:28" hidden="1" outlineLevel="1" x14ac:dyDescent="0.3">
      <c r="A385" s="33" t="s">
        <v>276</v>
      </c>
      <c r="B385" s="34" t="s">
        <v>277</v>
      </c>
      <c r="C385" s="50">
        <f>SUMIFS(INDEX(Техника!$F$1:$ABM$500,C$2,0),Техника!$F$4:$ABM$4,"Часы",INDEX(Техника!$G$1:$ABN$500,C$2,0),$A$382,INDEX(Техника!$H$1:$ABO$500,C$2,0),"П")</f>
        <v>0</v>
      </c>
      <c r="D385" s="50">
        <f>SUMIFS(INDEX(Техника!$F$1:$ABM$500,D$2,0),Техника!$F$4:$ABM$4,"Часы",INDEX(Техника!$G$1:$ABN$500,D$2,0),$A$382,INDEX(Техника!$H$1:$ABO$500,D$2,0),"П")</f>
        <v>0</v>
      </c>
      <c r="E385" s="50">
        <f>SUMIFS(INDEX(Техника!$F$1:$ABM$500,E$2,0),Техника!$F$4:$ABM$4,"Часы",INDEX(Техника!$G$1:$ABN$500,E$2,0),$A$382,INDEX(Техника!$H$1:$ABO$500,E$2,0),"П")</f>
        <v>0</v>
      </c>
      <c r="F385" s="50">
        <f>SUMIFS(INDEX(Техника!$F$1:$ABM$500,F$2,0),Техника!$F$4:$ABM$4,"Часы",INDEX(Техника!$G$1:$ABN$500,F$2,0),$A$382,INDEX(Техника!$H$1:$ABO$500,F$2,0),"П")</f>
        <v>0</v>
      </c>
      <c r="G385" s="50">
        <f>SUMIFS(INDEX(Техника!$F$1:$ABM$500,G$2,0),Техника!$F$4:$ABM$4,"Часы",INDEX(Техника!$G$1:$ABN$500,G$2,0),$A$382,INDEX(Техника!$H$1:$ABO$500,G$2,0),"П")</f>
        <v>0</v>
      </c>
      <c r="H385" s="50">
        <f>SUMIFS(INDEX(Техника!$F$1:$ABM$500,H$2,0),Техника!$F$4:$ABM$4,"Часы",INDEX(Техника!$G$1:$ABN$500,H$2,0),$A$382,INDEX(Техника!$H$1:$ABO$500,H$2,0),"П")</f>
        <v>0</v>
      </c>
      <c r="I385" s="50">
        <f>SUMIFS(INDEX(Техника!$F$1:$ABM$500,I$2,0),Техника!$F$4:$ABM$4,"Часы",INDEX(Техника!$G$1:$ABN$500,I$2,0),$A$382,INDEX(Техника!$H$1:$ABO$500,I$2,0),"П")</f>
        <v>0</v>
      </c>
      <c r="J385" s="50">
        <f>SUMIFS(INDEX(Техника!$F$1:$ABM$500,J$2,0),Техника!$F$4:$ABM$4,"Часы",INDEX(Техника!$G$1:$ABN$500,J$2,0),$A$382,INDEX(Техника!$H$1:$ABO$500,J$2,0),"П")</f>
        <v>0</v>
      </c>
      <c r="K385" s="50">
        <f>SUMIFS(INDEX(Техника!$F$1:$ABM$500,K$2,0),Техника!$F$4:$ABM$4,"Часы",INDEX(Техника!$G$1:$ABN$500,K$2,0),$A$382,INDEX(Техника!$H$1:$ABO$500,K$2,0),"П")</f>
        <v>0</v>
      </c>
      <c r="L385" s="50">
        <f>SUMIFS(INDEX(Техника!$F$1:$ABM$500,L$2,0),Техника!$F$4:$ABM$4,"Часы",INDEX(Техника!$G$1:$ABN$500,L$2,0),$A$382,INDEX(Техника!$H$1:$ABO$500,L$2,0),"П")</f>
        <v>0</v>
      </c>
      <c r="M385" s="50">
        <f>SUMIFS(INDEX(Техника!$F$1:$ABM$500,M$2,0),Техника!$F$4:$ABM$4,"Часы",INDEX(Техника!$G$1:$ABN$500,M$2,0),$A$382,INDEX(Техника!$H$1:$ABO$500,M$2,0),"П")</f>
        <v>0</v>
      </c>
      <c r="N385" s="50">
        <f>SUMIFS(INDEX(Техника!$F$1:$ABM$500,N$2,0),Техника!$F$4:$ABM$4,"Часы",INDEX(Техника!$G$1:$ABN$500,N$2,0),$A$382,INDEX(Техника!$H$1:$ABO$500,N$2,0),"П")</f>
        <v>0</v>
      </c>
      <c r="O385" s="50">
        <f>SUMIFS(INDEX(Техника!$F$1:$ABM$500,O$2,0),Техника!$F$4:$ABM$4,"Часы",INDEX(Техника!$G$1:$ABN$500,O$2,0),$A$382,INDEX(Техника!$H$1:$ABO$500,O$2,0),"П")</f>
        <v>0</v>
      </c>
      <c r="P385" s="50">
        <f>SUMIFS(INDEX(Техника!$F$1:$ABM$500,P$2,0),Техника!$F$4:$ABM$4,"Часы",INDEX(Техника!$G$1:$ABN$500,P$2,0),$A$382,INDEX(Техника!$H$1:$ABO$500,P$2,0),"П")</f>
        <v>0</v>
      </c>
      <c r="Q385" s="50">
        <f>SUMIFS(INDEX(Техника!$F$1:$ABM$500,Q$2,0),Техника!$F$4:$ABM$4,"Часы",INDEX(Техника!$G$1:$ABN$500,Q$2,0),$A$382,INDEX(Техника!$H$1:$ABO$500,Q$2,0),"П")</f>
        <v>0</v>
      </c>
      <c r="R385" s="50">
        <f>SUMIFS(INDEX(Техника!$F$1:$ABM$500,R$2,0),Техника!$F$4:$ABM$4,"Часы",INDEX(Техника!$G$1:$ABN$500,R$2,0),$A$382,INDEX(Техника!$H$1:$ABO$500,R$2,0),"П")</f>
        <v>0</v>
      </c>
      <c r="S385" s="50">
        <f>SUMIFS(INDEX(Техника!$F$1:$ABM$500,S$2,0),Техника!$F$4:$ABM$4,"Часы",INDEX(Техника!$G$1:$ABN$500,S$2,0),$A$382,INDEX(Техника!$H$1:$ABO$500,S$2,0),"П")</f>
        <v>0</v>
      </c>
      <c r="T385" s="50">
        <f>SUMIFS(INDEX(Техника!$F$1:$ABM$500,T$2,0),Техника!$F$4:$ABM$4,"Часы",INDEX(Техника!$G$1:$ABN$500,T$2,0),$A$382,INDEX(Техника!$H$1:$ABO$500,T$2,0),"П")</f>
        <v>0</v>
      </c>
      <c r="U385" s="50">
        <f>SUMIFS(INDEX(Техника!$F$1:$ABM$500,U$2,0),Техника!$F$4:$ABM$4,"Часы",INDEX(Техника!$G$1:$ABN$500,U$2,0),$A$382,INDEX(Техника!$H$1:$ABO$500,U$2,0),"П")</f>
        <v>0</v>
      </c>
      <c r="V385" s="50">
        <f>SUMIFS(INDEX(Техника!$F$1:$ABM$500,V$2,0),Техника!$F$4:$ABM$4,"Часы",INDEX(Техника!$G$1:$ABN$500,V$2,0),$A$382,INDEX(Техника!$H$1:$ABO$500,V$2,0),"П")</f>
        <v>0</v>
      </c>
      <c r="W385" s="50">
        <f>SUMIFS(INDEX(Техника!$F$1:$ABM$500,W$2,0),Техника!$F$4:$ABM$4,"Часы",INDEX(Техника!$G$1:$ABN$500,W$2,0),$A$382,INDEX(Техника!$H$1:$ABO$500,W$2,0),"П")</f>
        <v>0</v>
      </c>
      <c r="X385" s="50">
        <f>SUMIFS(INDEX(Техника!$F$1:$ABM$500,X$2,0),Техника!$F$4:$ABM$4,"Часы",INDEX(Техника!$G$1:$ABN$500,X$2,0),$A$382,INDEX(Техника!$H$1:$ABO$500,X$2,0),"П")</f>
        <v>0</v>
      </c>
      <c r="Y385" s="50">
        <f>SUMIFS(INDEX(Техника!$F$1:$ABM$500,Y$2,0),Техника!$F$4:$ABM$4,"Часы",INDEX(Техника!$G$1:$ABN$500,Y$2,0),$A$382,INDEX(Техника!$H$1:$ABO$500,Y$2,0),"П")</f>
        <v>0</v>
      </c>
      <c r="Z385" s="50">
        <f>SUMIFS(INDEX(Техника!$F$1:$ABM$500,Z$2,0),Техника!$F$4:$ABM$4,"Часы",INDEX(Техника!$G$1:$ABN$500,Z$2,0),$A$382,INDEX(Техника!$H$1:$ABO$500,Z$2,0),"П")</f>
        <v>0</v>
      </c>
      <c r="AA385" s="50">
        <f>SUMIFS(INDEX(Техника!$F$1:$ABM$500,AA$2,0),Техника!$F$4:$ABM$4,"Часы",INDEX(Техника!$G$1:$ABN$500,AA$2,0),$A$382,INDEX(Техника!$H$1:$ABO$500,AA$2,0),"П")</f>
        <v>0</v>
      </c>
      <c r="AB385" s="50">
        <f>SUMIFS(INDEX(Техника!$F$1:$ABM$500,AB$2,0),Техника!$F$4:$ABM$4,"Часы",INDEX(Техника!$G$1:$ABN$500,AB$2,0),$A$382,INDEX(Техника!$H$1:$ABO$500,AB$2,0),"П")</f>
        <v>0</v>
      </c>
    </row>
    <row r="386" spans="1:28" hidden="1" outlineLevel="1" x14ac:dyDescent="0.3">
      <c r="A386" s="33" t="s">
        <v>243</v>
      </c>
      <c r="B386" s="34" t="s">
        <v>278</v>
      </c>
      <c r="C386" s="50">
        <f>SUMIFS(INDEX(Техника!$F$1:$ABM$500,C$2,0),Техника!$F$4:$ABM$4,"Часы",INDEX(Техника!$G$1:$ABN$500,C$2,0),$A$382,INDEX(Техника!$H$1:$ABO$500,C$2,0),"Л")</f>
        <v>0</v>
      </c>
      <c r="D386" s="50">
        <f>SUMIFS(INDEX(Техника!$F$1:$ABM$500,D$2,0),Техника!$F$4:$ABM$4,"Часы",INDEX(Техника!$G$1:$ABN$500,D$2,0),$A$382,INDEX(Техника!$H$1:$ABO$500,D$2,0),"Л")</f>
        <v>0</v>
      </c>
      <c r="E386" s="50">
        <f>SUMIFS(INDEX(Техника!$F$1:$ABM$500,E$2,0),Техника!$F$4:$ABM$4,"Часы",INDEX(Техника!$G$1:$ABN$500,E$2,0),$A$382,INDEX(Техника!$H$1:$ABO$500,E$2,0),"Л")</f>
        <v>0</v>
      </c>
      <c r="F386" s="50">
        <f>SUMIFS(INDEX(Техника!$F$1:$ABM$500,F$2,0),Техника!$F$4:$ABM$4,"Часы",INDEX(Техника!$G$1:$ABN$500,F$2,0),$A$382,INDEX(Техника!$H$1:$ABO$500,F$2,0),"Л")</f>
        <v>0</v>
      </c>
      <c r="G386" s="50">
        <f>SUMIFS(INDEX(Техника!$F$1:$ABM$500,G$2,0),Техника!$F$4:$ABM$4,"Часы",INDEX(Техника!$G$1:$ABN$500,G$2,0),$A$382,INDEX(Техника!$H$1:$ABO$500,G$2,0),"Л")</f>
        <v>0</v>
      </c>
      <c r="H386" s="50">
        <f>SUMIFS(INDEX(Техника!$F$1:$ABM$500,H$2,0),Техника!$F$4:$ABM$4,"Часы",INDEX(Техника!$G$1:$ABN$500,H$2,0),$A$382,INDEX(Техника!$H$1:$ABO$500,H$2,0),"Л")</f>
        <v>0</v>
      </c>
      <c r="I386" s="50">
        <f>SUMIFS(INDEX(Техника!$F$1:$ABM$500,I$2,0),Техника!$F$4:$ABM$4,"Часы",INDEX(Техника!$G$1:$ABN$500,I$2,0),$A$382,INDEX(Техника!$H$1:$ABO$500,I$2,0),"Л")</f>
        <v>0</v>
      </c>
      <c r="J386" s="50">
        <f>SUMIFS(INDEX(Техника!$F$1:$ABM$500,J$2,0),Техника!$F$4:$ABM$4,"Часы",INDEX(Техника!$G$1:$ABN$500,J$2,0),$A$382,INDEX(Техника!$H$1:$ABO$500,J$2,0),"Л")</f>
        <v>0</v>
      </c>
      <c r="K386" s="50">
        <f>SUMIFS(INDEX(Техника!$F$1:$ABM$500,K$2,0),Техника!$F$4:$ABM$4,"Часы",INDEX(Техника!$G$1:$ABN$500,K$2,0),$A$382,INDEX(Техника!$H$1:$ABO$500,K$2,0),"Л")</f>
        <v>0</v>
      </c>
      <c r="L386" s="50">
        <f>SUMIFS(INDEX(Техника!$F$1:$ABM$500,L$2,0),Техника!$F$4:$ABM$4,"Часы",INDEX(Техника!$G$1:$ABN$500,L$2,0),$A$382,INDEX(Техника!$H$1:$ABO$500,L$2,0),"Л")</f>
        <v>0</v>
      </c>
      <c r="M386" s="50">
        <f>SUMIFS(INDEX(Техника!$F$1:$ABM$500,M$2,0),Техника!$F$4:$ABM$4,"Часы",INDEX(Техника!$G$1:$ABN$500,M$2,0),$A$382,INDEX(Техника!$H$1:$ABO$500,M$2,0),"Л")</f>
        <v>0</v>
      </c>
      <c r="N386" s="50">
        <f>SUMIFS(INDEX(Техника!$F$1:$ABM$500,N$2,0),Техника!$F$4:$ABM$4,"Часы",INDEX(Техника!$G$1:$ABN$500,N$2,0),$A$382,INDEX(Техника!$H$1:$ABO$500,N$2,0),"Л")</f>
        <v>0</v>
      </c>
      <c r="O386" s="50">
        <f>SUMIFS(INDEX(Техника!$F$1:$ABM$500,O$2,0),Техника!$F$4:$ABM$4,"Часы",INDEX(Техника!$G$1:$ABN$500,O$2,0),$A$382,INDEX(Техника!$H$1:$ABO$500,O$2,0),"Л")</f>
        <v>0</v>
      </c>
      <c r="P386" s="50">
        <f>SUMIFS(INDEX(Техника!$F$1:$ABM$500,P$2,0),Техника!$F$4:$ABM$4,"Часы",INDEX(Техника!$G$1:$ABN$500,P$2,0),$A$382,INDEX(Техника!$H$1:$ABO$500,P$2,0),"Л")</f>
        <v>0</v>
      </c>
      <c r="Q386" s="50">
        <f>SUMIFS(INDEX(Техника!$F$1:$ABM$500,Q$2,0),Техника!$F$4:$ABM$4,"Часы",INDEX(Техника!$G$1:$ABN$500,Q$2,0),$A$382,INDEX(Техника!$H$1:$ABO$500,Q$2,0),"Л")</f>
        <v>0</v>
      </c>
      <c r="R386" s="50">
        <f>SUMIFS(INDEX(Техника!$F$1:$ABM$500,R$2,0),Техника!$F$4:$ABM$4,"Часы",INDEX(Техника!$G$1:$ABN$500,R$2,0),$A$382,INDEX(Техника!$H$1:$ABO$500,R$2,0),"Л")</f>
        <v>0</v>
      </c>
      <c r="S386" s="50">
        <f>SUMIFS(INDEX(Техника!$F$1:$ABM$500,S$2,0),Техника!$F$4:$ABM$4,"Часы",INDEX(Техника!$G$1:$ABN$500,S$2,0),$A$382,INDEX(Техника!$H$1:$ABO$500,S$2,0),"Л")</f>
        <v>0</v>
      </c>
      <c r="T386" s="50">
        <f>SUMIFS(INDEX(Техника!$F$1:$ABM$500,T$2,0),Техника!$F$4:$ABM$4,"Часы",INDEX(Техника!$G$1:$ABN$500,T$2,0),$A$382,INDEX(Техника!$H$1:$ABO$500,T$2,0),"Л")</f>
        <v>0</v>
      </c>
      <c r="U386" s="50">
        <f>SUMIFS(INDEX(Техника!$F$1:$ABM$500,U$2,0),Техника!$F$4:$ABM$4,"Часы",INDEX(Техника!$G$1:$ABN$500,U$2,0),$A$382,INDEX(Техника!$H$1:$ABO$500,U$2,0),"Л")</f>
        <v>0</v>
      </c>
      <c r="V386" s="50">
        <f>SUMIFS(INDEX(Техника!$F$1:$ABM$500,V$2,0),Техника!$F$4:$ABM$4,"Часы",INDEX(Техника!$G$1:$ABN$500,V$2,0),$A$382,INDEX(Техника!$H$1:$ABO$500,V$2,0),"Л")</f>
        <v>0</v>
      </c>
      <c r="W386" s="50">
        <f>SUMIFS(INDEX(Техника!$F$1:$ABM$500,W$2,0),Техника!$F$4:$ABM$4,"Часы",INDEX(Техника!$G$1:$ABN$500,W$2,0),$A$382,INDEX(Техника!$H$1:$ABO$500,W$2,0),"Л")</f>
        <v>0</v>
      </c>
      <c r="X386" s="50">
        <f>SUMIFS(INDEX(Техника!$F$1:$ABM$500,X$2,0),Техника!$F$4:$ABM$4,"Часы",INDEX(Техника!$G$1:$ABN$500,X$2,0),$A$382,INDEX(Техника!$H$1:$ABO$500,X$2,0),"Л")</f>
        <v>0</v>
      </c>
      <c r="Y386" s="50">
        <f>SUMIFS(INDEX(Техника!$F$1:$ABM$500,Y$2,0),Техника!$F$4:$ABM$4,"Часы",INDEX(Техника!$G$1:$ABN$500,Y$2,0),$A$382,INDEX(Техника!$H$1:$ABO$500,Y$2,0),"Л")</f>
        <v>0</v>
      </c>
      <c r="Z386" s="50">
        <f>SUMIFS(INDEX(Техника!$F$1:$ABM$500,Z$2,0),Техника!$F$4:$ABM$4,"Часы",INDEX(Техника!$G$1:$ABN$500,Z$2,0),$A$382,INDEX(Техника!$H$1:$ABO$500,Z$2,0),"Л")</f>
        <v>0</v>
      </c>
      <c r="AA386" s="50">
        <f>SUMIFS(INDEX(Техника!$F$1:$ABM$500,AA$2,0),Техника!$F$4:$ABM$4,"Часы",INDEX(Техника!$G$1:$ABN$500,AA$2,0),$A$382,INDEX(Техника!$H$1:$ABO$500,AA$2,0),"Л")</f>
        <v>0</v>
      </c>
      <c r="AB386" s="50">
        <f>SUMIFS(INDEX(Техника!$F$1:$ABM$500,AB$2,0),Техника!$F$4:$ABM$4,"Часы",INDEX(Техника!$G$1:$ABN$500,AB$2,0),$A$382,INDEX(Техника!$H$1:$ABO$500,AB$2,0),"Л")</f>
        <v>0</v>
      </c>
    </row>
    <row r="387" spans="1:28" hidden="1" outlineLevel="1" x14ac:dyDescent="0.3">
      <c r="A387" s="33" t="s">
        <v>245</v>
      </c>
      <c r="B387" s="34" t="s">
        <v>279</v>
      </c>
      <c r="C387" s="50">
        <f>SUMIFS(INDEX(Техника!$F$1:$ABM$500,C$2,0),Техника!$F$4:$ABM$4,"Часы",INDEX(Техника!$G$1:$ABN$500,C$2,0),$A$382,INDEX(Техника!$H$1:$ABO$500,C$2,0),"З")</f>
        <v>0</v>
      </c>
      <c r="D387" s="50">
        <f>SUMIFS(INDEX(Техника!$F$1:$ABM$500,D$2,0),Техника!$F$4:$ABM$4,"Часы",INDEX(Техника!$G$1:$ABN$500,D$2,0),$A$382,INDEX(Техника!$H$1:$ABO$500,D$2,0),"З")</f>
        <v>0</v>
      </c>
      <c r="E387" s="50">
        <f>SUMIFS(INDEX(Техника!$F$1:$ABM$500,E$2,0),Техника!$F$4:$ABM$4,"Часы",INDEX(Техника!$G$1:$ABN$500,E$2,0),$A$382,INDEX(Техника!$H$1:$ABO$500,E$2,0),"З")</f>
        <v>0</v>
      </c>
      <c r="F387" s="50">
        <f>SUMIFS(INDEX(Техника!$F$1:$ABM$500,F$2,0),Техника!$F$4:$ABM$4,"Часы",INDEX(Техника!$G$1:$ABN$500,F$2,0),$A$382,INDEX(Техника!$H$1:$ABO$500,F$2,0),"З")</f>
        <v>0</v>
      </c>
      <c r="G387" s="50">
        <f>SUMIFS(INDEX(Техника!$F$1:$ABM$500,G$2,0),Техника!$F$4:$ABM$4,"Часы",INDEX(Техника!$G$1:$ABN$500,G$2,0),$A$382,INDEX(Техника!$H$1:$ABO$500,G$2,0),"З")</f>
        <v>0</v>
      </c>
      <c r="H387" s="50">
        <f>SUMIFS(INDEX(Техника!$F$1:$ABM$500,H$2,0),Техника!$F$4:$ABM$4,"Часы",INDEX(Техника!$G$1:$ABN$500,H$2,0),$A$382,INDEX(Техника!$H$1:$ABO$500,H$2,0),"З")</f>
        <v>0</v>
      </c>
      <c r="I387" s="50">
        <f>SUMIFS(INDEX(Техника!$F$1:$ABM$500,I$2,0),Техника!$F$4:$ABM$4,"Часы",INDEX(Техника!$G$1:$ABN$500,I$2,0),$A$382,INDEX(Техника!$H$1:$ABO$500,I$2,0),"З")</f>
        <v>0</v>
      </c>
      <c r="J387" s="50">
        <f>SUMIFS(INDEX(Техника!$F$1:$ABM$500,J$2,0),Техника!$F$4:$ABM$4,"Часы",INDEX(Техника!$G$1:$ABN$500,J$2,0),$A$382,INDEX(Техника!$H$1:$ABO$500,J$2,0),"З")</f>
        <v>0</v>
      </c>
      <c r="K387" s="50">
        <f>SUMIFS(INDEX(Техника!$F$1:$ABM$500,K$2,0),Техника!$F$4:$ABM$4,"Часы",INDEX(Техника!$G$1:$ABN$500,K$2,0),$A$382,INDEX(Техника!$H$1:$ABO$500,K$2,0),"З")</f>
        <v>0</v>
      </c>
      <c r="L387" s="50">
        <f>SUMIFS(INDEX(Техника!$F$1:$ABM$500,L$2,0),Техника!$F$4:$ABM$4,"Часы",INDEX(Техника!$G$1:$ABN$500,L$2,0),$A$382,INDEX(Техника!$H$1:$ABO$500,L$2,0),"З")</f>
        <v>0</v>
      </c>
      <c r="M387" s="50">
        <f>SUMIFS(INDEX(Техника!$F$1:$ABM$500,M$2,0),Техника!$F$4:$ABM$4,"Часы",INDEX(Техника!$G$1:$ABN$500,M$2,0),$A$382,INDEX(Техника!$H$1:$ABO$500,M$2,0),"З")</f>
        <v>0</v>
      </c>
      <c r="N387" s="50">
        <f>SUMIFS(INDEX(Техника!$F$1:$ABM$500,N$2,0),Техника!$F$4:$ABM$4,"Часы",INDEX(Техника!$G$1:$ABN$500,N$2,0),$A$382,INDEX(Техника!$H$1:$ABO$500,N$2,0),"З")</f>
        <v>0</v>
      </c>
      <c r="O387" s="50">
        <f>SUMIFS(INDEX(Техника!$F$1:$ABM$500,O$2,0),Техника!$F$4:$ABM$4,"Часы",INDEX(Техника!$G$1:$ABN$500,O$2,0),$A$382,INDEX(Техника!$H$1:$ABO$500,O$2,0),"З")</f>
        <v>0</v>
      </c>
      <c r="P387" s="50">
        <f>SUMIFS(INDEX(Техника!$F$1:$ABM$500,P$2,0),Техника!$F$4:$ABM$4,"Часы",INDEX(Техника!$G$1:$ABN$500,P$2,0),$A$382,INDEX(Техника!$H$1:$ABO$500,P$2,0),"З")</f>
        <v>0</v>
      </c>
      <c r="Q387" s="50">
        <f>SUMIFS(INDEX(Техника!$F$1:$ABM$500,Q$2,0),Техника!$F$4:$ABM$4,"Часы",INDEX(Техника!$G$1:$ABN$500,Q$2,0),$A$382,INDEX(Техника!$H$1:$ABO$500,Q$2,0),"З")</f>
        <v>0</v>
      </c>
      <c r="R387" s="50">
        <f>SUMIFS(INDEX(Техника!$F$1:$ABM$500,R$2,0),Техника!$F$4:$ABM$4,"Часы",INDEX(Техника!$G$1:$ABN$500,R$2,0),$A$382,INDEX(Техника!$H$1:$ABO$500,R$2,0),"З")</f>
        <v>0</v>
      </c>
      <c r="S387" s="50">
        <f>SUMIFS(INDEX(Техника!$F$1:$ABM$500,S$2,0),Техника!$F$4:$ABM$4,"Часы",INDEX(Техника!$G$1:$ABN$500,S$2,0),$A$382,INDEX(Техника!$H$1:$ABO$500,S$2,0),"З")</f>
        <v>0</v>
      </c>
      <c r="T387" s="50">
        <f>SUMIFS(INDEX(Техника!$F$1:$ABM$500,T$2,0),Техника!$F$4:$ABM$4,"Часы",INDEX(Техника!$G$1:$ABN$500,T$2,0),$A$382,INDEX(Техника!$H$1:$ABO$500,T$2,0),"З")</f>
        <v>0</v>
      </c>
      <c r="U387" s="50">
        <f>SUMIFS(INDEX(Техника!$F$1:$ABM$500,U$2,0),Техника!$F$4:$ABM$4,"Часы",INDEX(Техника!$G$1:$ABN$500,U$2,0),$A$382,INDEX(Техника!$H$1:$ABO$500,U$2,0),"З")</f>
        <v>0</v>
      </c>
      <c r="V387" s="50">
        <f>SUMIFS(INDEX(Техника!$F$1:$ABM$500,V$2,0),Техника!$F$4:$ABM$4,"Часы",INDEX(Техника!$G$1:$ABN$500,V$2,0),$A$382,INDEX(Техника!$H$1:$ABO$500,V$2,0),"З")</f>
        <v>0</v>
      </c>
      <c r="W387" s="50">
        <f>SUMIFS(INDEX(Техника!$F$1:$ABM$500,W$2,0),Техника!$F$4:$ABM$4,"Часы",INDEX(Техника!$G$1:$ABN$500,W$2,0),$A$382,INDEX(Техника!$H$1:$ABO$500,W$2,0),"З")</f>
        <v>0</v>
      </c>
      <c r="X387" s="50">
        <f>SUMIFS(INDEX(Техника!$F$1:$ABM$500,X$2,0),Техника!$F$4:$ABM$4,"Часы",INDEX(Техника!$G$1:$ABN$500,X$2,0),$A$382,INDEX(Техника!$H$1:$ABO$500,X$2,0),"З")</f>
        <v>0</v>
      </c>
      <c r="Y387" s="50">
        <f>SUMIFS(INDEX(Техника!$F$1:$ABM$500,Y$2,0),Техника!$F$4:$ABM$4,"Часы",INDEX(Техника!$G$1:$ABN$500,Y$2,0),$A$382,INDEX(Техника!$H$1:$ABO$500,Y$2,0),"З")</f>
        <v>0</v>
      </c>
      <c r="Z387" s="50">
        <f>SUMIFS(INDEX(Техника!$F$1:$ABM$500,Z$2,0),Техника!$F$4:$ABM$4,"Часы",INDEX(Техника!$G$1:$ABN$500,Z$2,0),$A$382,INDEX(Техника!$H$1:$ABO$500,Z$2,0),"З")</f>
        <v>0</v>
      </c>
      <c r="AA387" s="50">
        <f>SUMIFS(INDEX(Техника!$F$1:$ABM$500,AA$2,0),Техника!$F$4:$ABM$4,"Часы",INDEX(Техника!$G$1:$ABN$500,AA$2,0),$A$382,INDEX(Техника!$H$1:$ABO$500,AA$2,0),"З")</f>
        <v>0</v>
      </c>
      <c r="AB387" s="50">
        <f>SUMIFS(INDEX(Техника!$F$1:$ABM$500,AB$2,0),Техника!$F$4:$ABM$4,"Часы",INDEX(Техника!$G$1:$ABN$500,AB$2,0),$A$382,INDEX(Техника!$H$1:$ABO$500,AB$2,0),"З")</f>
        <v>0</v>
      </c>
    </row>
    <row r="388" spans="1:28" ht="7.95" customHeight="1" x14ac:dyDescent="0.3">
      <c r="A388" s="38"/>
      <c r="B388" s="39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</row>
    <row r="389" spans="1:28" ht="25.05" customHeight="1" collapsed="1" x14ac:dyDescent="0.3">
      <c r="A389" s="32">
        <v>56</v>
      </c>
      <c r="B389" s="32" t="s">
        <v>57</v>
      </c>
      <c r="C389" s="49">
        <f>SUM(C390:C394)</f>
        <v>0</v>
      </c>
      <c r="D389" s="49">
        <f>SUM(D390:D394)</f>
        <v>0</v>
      </c>
      <c r="E389" s="49">
        <f>SUM(E390:E394)</f>
        <v>0</v>
      </c>
      <c r="F389" s="49">
        <f>SUM(F390:F394)</f>
        <v>0</v>
      </c>
      <c r="G389" s="49">
        <f>SUM(G390:G394)</f>
        <v>0</v>
      </c>
      <c r="H389" s="49">
        <f>SUM(H390:H394)</f>
        <v>0</v>
      </c>
      <c r="I389" s="49">
        <f>SUM(I390:I394)</f>
        <v>0</v>
      </c>
      <c r="J389" s="49">
        <f>SUM(J390:J394)</f>
        <v>0</v>
      </c>
      <c r="K389" s="49">
        <f>SUM(K390:K394)</f>
        <v>0</v>
      </c>
      <c r="L389" s="49">
        <f>SUM(L390:L394)</f>
        <v>0</v>
      </c>
      <c r="M389" s="49">
        <f>SUM(M390:M394)</f>
        <v>0</v>
      </c>
      <c r="N389" s="49">
        <f>SUM(N390:N394)</f>
        <v>0</v>
      </c>
      <c r="O389" s="49">
        <f>SUM(O390:O394)</f>
        <v>0</v>
      </c>
      <c r="P389" s="49">
        <f>SUM(P390:P394)</f>
        <v>0</v>
      </c>
      <c r="Q389" s="49">
        <f>SUM(Q390:Q394)</f>
        <v>0</v>
      </c>
      <c r="R389" s="49">
        <f>SUM(R390:R394)</f>
        <v>0</v>
      </c>
      <c r="S389" s="49">
        <f>SUM(S390:S394)</f>
        <v>0</v>
      </c>
      <c r="T389" s="49">
        <f>SUM(T390:T394)</f>
        <v>0</v>
      </c>
      <c r="U389" s="49">
        <f>SUM(U390:U394)</f>
        <v>0</v>
      </c>
      <c r="V389" s="49">
        <f>SUM(V390:V394)</f>
        <v>0</v>
      </c>
      <c r="W389" s="49">
        <f>SUM(W390:W394)</f>
        <v>0</v>
      </c>
      <c r="X389" s="49">
        <f>SUM(X390:X394)</f>
        <v>0</v>
      </c>
      <c r="Y389" s="49">
        <f>SUM(Y390:Y394)</f>
        <v>0</v>
      </c>
      <c r="Z389" s="49">
        <f>SUM(Z390:Z394)</f>
        <v>0</v>
      </c>
      <c r="AA389" s="49">
        <f>SUM(AA390:AA394)</f>
        <v>0</v>
      </c>
      <c r="AB389" s="49">
        <f>SUM(AB390:AB394)</f>
        <v>0</v>
      </c>
    </row>
    <row r="390" spans="1:28" hidden="1" outlineLevel="1" x14ac:dyDescent="0.3">
      <c r="A390" s="33" t="s">
        <v>246</v>
      </c>
      <c r="B390" s="34" t="s">
        <v>274</v>
      </c>
      <c r="C390" s="50">
        <f>SUMIFS(INDEX(Техника!$F$1:$ABM$500,C$2,0),Техника!$F$4:$ABM$4,"Часы",INDEX(Техника!$G$1:$ABN$500,C$2,0),$A$389,INDEX(Техника!$H$1:$ABO$500,C$2,0),"М")</f>
        <v>0</v>
      </c>
      <c r="D390" s="50">
        <f>SUMIFS(INDEX(Техника!$F$1:$ABM$500,D$2,0),Техника!$F$4:$ABM$4,"Часы",INDEX(Техника!$G$1:$ABN$500,D$2,0),$A$389,INDEX(Техника!$H$1:$ABO$500,D$2,0),"М")</f>
        <v>0</v>
      </c>
      <c r="E390" s="50">
        <f>SUMIFS(INDEX(Техника!$F$1:$ABM$500,E$2,0),Техника!$F$4:$ABM$4,"Часы",INDEX(Техника!$G$1:$ABN$500,E$2,0),$A$389,INDEX(Техника!$H$1:$ABO$500,E$2,0),"М")</f>
        <v>0</v>
      </c>
      <c r="F390" s="50">
        <f>SUMIFS(INDEX(Техника!$F$1:$ABM$500,F$2,0),Техника!$F$4:$ABM$4,"Часы",INDEX(Техника!$G$1:$ABN$500,F$2,0),$A$389,INDEX(Техника!$H$1:$ABO$500,F$2,0),"М")</f>
        <v>0</v>
      </c>
      <c r="G390" s="50">
        <f>SUMIFS(INDEX(Техника!$F$1:$ABM$500,G$2,0),Техника!$F$4:$ABM$4,"Часы",INDEX(Техника!$G$1:$ABN$500,G$2,0),$A$389,INDEX(Техника!$H$1:$ABO$500,G$2,0),"М")</f>
        <v>0</v>
      </c>
      <c r="H390" s="50">
        <f>SUMIFS(INDEX(Техника!$F$1:$ABM$500,H$2,0),Техника!$F$4:$ABM$4,"Часы",INDEX(Техника!$G$1:$ABN$500,H$2,0),$A$389,INDEX(Техника!$H$1:$ABO$500,H$2,0),"М")</f>
        <v>0</v>
      </c>
      <c r="I390" s="50">
        <f>SUMIFS(INDEX(Техника!$F$1:$ABM$500,I$2,0),Техника!$F$4:$ABM$4,"Часы",INDEX(Техника!$G$1:$ABN$500,I$2,0),$A$389,INDEX(Техника!$H$1:$ABO$500,I$2,0),"М")</f>
        <v>0</v>
      </c>
      <c r="J390" s="50">
        <f>SUMIFS(INDEX(Техника!$F$1:$ABM$500,J$2,0),Техника!$F$4:$ABM$4,"Часы",INDEX(Техника!$G$1:$ABN$500,J$2,0),$A$389,INDEX(Техника!$H$1:$ABO$500,J$2,0),"М")</f>
        <v>0</v>
      </c>
      <c r="K390" s="50">
        <f>SUMIFS(INDEX(Техника!$F$1:$ABM$500,K$2,0),Техника!$F$4:$ABM$4,"Часы",INDEX(Техника!$G$1:$ABN$500,K$2,0),$A$389,INDEX(Техника!$H$1:$ABO$500,K$2,0),"М")</f>
        <v>0</v>
      </c>
      <c r="L390" s="50">
        <f>SUMIFS(INDEX(Техника!$F$1:$ABM$500,L$2,0),Техника!$F$4:$ABM$4,"Часы",INDEX(Техника!$G$1:$ABN$500,L$2,0),$A$389,INDEX(Техника!$H$1:$ABO$500,L$2,0),"М")</f>
        <v>0</v>
      </c>
      <c r="M390" s="50">
        <f>SUMIFS(INDEX(Техника!$F$1:$ABM$500,M$2,0),Техника!$F$4:$ABM$4,"Часы",INDEX(Техника!$G$1:$ABN$500,M$2,0),$A$389,INDEX(Техника!$H$1:$ABO$500,M$2,0),"М")</f>
        <v>0</v>
      </c>
      <c r="N390" s="50">
        <f>SUMIFS(INDEX(Техника!$F$1:$ABM$500,N$2,0),Техника!$F$4:$ABM$4,"Часы",INDEX(Техника!$G$1:$ABN$500,N$2,0),$A$389,INDEX(Техника!$H$1:$ABO$500,N$2,0),"М")</f>
        <v>0</v>
      </c>
      <c r="O390" s="50">
        <f>SUMIFS(INDEX(Техника!$F$1:$ABM$500,O$2,0),Техника!$F$4:$ABM$4,"Часы",INDEX(Техника!$G$1:$ABN$500,O$2,0),$A$389,INDEX(Техника!$H$1:$ABO$500,O$2,0),"М")</f>
        <v>0</v>
      </c>
      <c r="P390" s="50">
        <f>SUMIFS(INDEX(Техника!$F$1:$ABM$500,P$2,0),Техника!$F$4:$ABM$4,"Часы",INDEX(Техника!$G$1:$ABN$500,P$2,0),$A$389,INDEX(Техника!$H$1:$ABO$500,P$2,0),"М")</f>
        <v>0</v>
      </c>
      <c r="Q390" s="50">
        <f>SUMIFS(INDEX(Техника!$F$1:$ABM$500,Q$2,0),Техника!$F$4:$ABM$4,"Часы",INDEX(Техника!$G$1:$ABN$500,Q$2,0),$A$389,INDEX(Техника!$H$1:$ABO$500,Q$2,0),"М")</f>
        <v>0</v>
      </c>
      <c r="R390" s="50">
        <f>SUMIFS(INDEX(Техника!$F$1:$ABM$500,R$2,0),Техника!$F$4:$ABM$4,"Часы",INDEX(Техника!$G$1:$ABN$500,R$2,0),$A$389,INDEX(Техника!$H$1:$ABO$500,R$2,0),"М")</f>
        <v>0</v>
      </c>
      <c r="S390" s="50">
        <f>SUMIFS(INDEX(Техника!$F$1:$ABM$500,S$2,0),Техника!$F$4:$ABM$4,"Часы",INDEX(Техника!$G$1:$ABN$500,S$2,0),$A$389,INDEX(Техника!$H$1:$ABO$500,S$2,0),"М")</f>
        <v>0</v>
      </c>
      <c r="T390" s="50">
        <f>SUMIFS(INDEX(Техника!$F$1:$ABM$500,T$2,0),Техника!$F$4:$ABM$4,"Часы",INDEX(Техника!$G$1:$ABN$500,T$2,0),$A$389,INDEX(Техника!$H$1:$ABO$500,T$2,0),"М")</f>
        <v>0</v>
      </c>
      <c r="U390" s="50">
        <f>SUMIFS(INDEX(Техника!$F$1:$ABM$500,U$2,0),Техника!$F$4:$ABM$4,"Часы",INDEX(Техника!$G$1:$ABN$500,U$2,0),$A$389,INDEX(Техника!$H$1:$ABO$500,U$2,0),"М")</f>
        <v>0</v>
      </c>
      <c r="V390" s="50">
        <f>SUMIFS(INDEX(Техника!$F$1:$ABM$500,V$2,0),Техника!$F$4:$ABM$4,"Часы",INDEX(Техника!$G$1:$ABN$500,V$2,0),$A$389,INDEX(Техника!$H$1:$ABO$500,V$2,0),"М")</f>
        <v>0</v>
      </c>
      <c r="W390" s="50">
        <f>SUMIFS(INDEX(Техника!$F$1:$ABM$500,W$2,0),Техника!$F$4:$ABM$4,"Часы",INDEX(Техника!$G$1:$ABN$500,W$2,0),$A$389,INDEX(Техника!$H$1:$ABO$500,W$2,0),"М")</f>
        <v>0</v>
      </c>
      <c r="X390" s="50">
        <f>SUMIFS(INDEX(Техника!$F$1:$ABM$500,X$2,0),Техника!$F$4:$ABM$4,"Часы",INDEX(Техника!$G$1:$ABN$500,X$2,0),$A$389,INDEX(Техника!$H$1:$ABO$500,X$2,0),"М")</f>
        <v>0</v>
      </c>
      <c r="Y390" s="50">
        <f>SUMIFS(INDEX(Техника!$F$1:$ABM$500,Y$2,0),Техника!$F$4:$ABM$4,"Часы",INDEX(Техника!$G$1:$ABN$500,Y$2,0),$A$389,INDEX(Техника!$H$1:$ABO$500,Y$2,0),"М")</f>
        <v>0</v>
      </c>
      <c r="Z390" s="50">
        <f>SUMIFS(INDEX(Техника!$F$1:$ABM$500,Z$2,0),Техника!$F$4:$ABM$4,"Часы",INDEX(Техника!$G$1:$ABN$500,Z$2,0),$A$389,INDEX(Техника!$H$1:$ABO$500,Z$2,0),"М")</f>
        <v>0</v>
      </c>
      <c r="AA390" s="50">
        <f>SUMIFS(INDEX(Техника!$F$1:$ABM$500,AA$2,0),Техника!$F$4:$ABM$4,"Часы",INDEX(Техника!$G$1:$ABN$500,AA$2,0),$A$389,INDEX(Техника!$H$1:$ABO$500,AA$2,0),"М")</f>
        <v>0</v>
      </c>
      <c r="AB390" s="50">
        <f>SUMIFS(INDEX(Техника!$F$1:$ABM$500,AB$2,0),Техника!$F$4:$ABM$4,"Часы",INDEX(Техника!$G$1:$ABN$500,AB$2,0),$A$389,INDEX(Техника!$H$1:$ABO$500,AB$2,0),"М")</f>
        <v>0</v>
      </c>
    </row>
    <row r="391" spans="1:28" hidden="1" outlineLevel="1" x14ac:dyDescent="0.3">
      <c r="A391" s="33" t="s">
        <v>244</v>
      </c>
      <c r="B391" s="34" t="s">
        <v>275</v>
      </c>
      <c r="C391" s="50">
        <f>SUMIFS(INDEX(Техника!$F$1:$ABM$500,C$2,0),Техника!$F$4:$ABM$4,"Часы",INDEX(Техника!$G$1:$ABN$500,C$2,0),$A$389,INDEX(Техника!$H$1:$ABO$500,C$2,0),"Д")</f>
        <v>0</v>
      </c>
      <c r="D391" s="50">
        <f>SUMIFS(INDEX(Техника!$F$1:$ABM$500,D$2,0),Техника!$F$4:$ABM$4,"Часы",INDEX(Техника!$G$1:$ABN$500,D$2,0),$A$389,INDEX(Техника!$H$1:$ABO$500,D$2,0),"Д")</f>
        <v>0</v>
      </c>
      <c r="E391" s="50">
        <f>SUMIFS(INDEX(Техника!$F$1:$ABM$500,E$2,0),Техника!$F$4:$ABM$4,"Часы",INDEX(Техника!$G$1:$ABN$500,E$2,0),$A$389,INDEX(Техника!$H$1:$ABO$500,E$2,0),"Д")</f>
        <v>0</v>
      </c>
      <c r="F391" s="50">
        <f>SUMIFS(INDEX(Техника!$F$1:$ABM$500,F$2,0),Техника!$F$4:$ABM$4,"Часы",INDEX(Техника!$G$1:$ABN$500,F$2,0),$A$389,INDEX(Техника!$H$1:$ABO$500,F$2,0),"Д")</f>
        <v>0</v>
      </c>
      <c r="G391" s="50">
        <f>SUMIFS(INDEX(Техника!$F$1:$ABM$500,G$2,0),Техника!$F$4:$ABM$4,"Часы",INDEX(Техника!$G$1:$ABN$500,G$2,0),$A$389,INDEX(Техника!$H$1:$ABO$500,G$2,0),"Д")</f>
        <v>0</v>
      </c>
      <c r="H391" s="50">
        <f>SUMIFS(INDEX(Техника!$F$1:$ABM$500,H$2,0),Техника!$F$4:$ABM$4,"Часы",INDEX(Техника!$G$1:$ABN$500,H$2,0),$A$389,INDEX(Техника!$H$1:$ABO$500,H$2,0),"Д")</f>
        <v>0</v>
      </c>
      <c r="I391" s="50">
        <f>SUMIFS(INDEX(Техника!$F$1:$ABM$500,I$2,0),Техника!$F$4:$ABM$4,"Часы",INDEX(Техника!$G$1:$ABN$500,I$2,0),$A$389,INDEX(Техника!$H$1:$ABO$500,I$2,0),"Д")</f>
        <v>0</v>
      </c>
      <c r="J391" s="50">
        <f>SUMIFS(INDEX(Техника!$F$1:$ABM$500,J$2,0),Техника!$F$4:$ABM$4,"Часы",INDEX(Техника!$G$1:$ABN$500,J$2,0),$A$389,INDEX(Техника!$H$1:$ABO$500,J$2,0),"Д")</f>
        <v>0</v>
      </c>
      <c r="K391" s="50">
        <f>SUMIFS(INDEX(Техника!$F$1:$ABM$500,K$2,0),Техника!$F$4:$ABM$4,"Часы",INDEX(Техника!$G$1:$ABN$500,K$2,0),$A$389,INDEX(Техника!$H$1:$ABO$500,K$2,0),"Д")</f>
        <v>0</v>
      </c>
      <c r="L391" s="50">
        <f>SUMIFS(INDEX(Техника!$F$1:$ABM$500,L$2,0),Техника!$F$4:$ABM$4,"Часы",INDEX(Техника!$G$1:$ABN$500,L$2,0),$A$389,INDEX(Техника!$H$1:$ABO$500,L$2,0),"Д")</f>
        <v>0</v>
      </c>
      <c r="M391" s="50">
        <f>SUMIFS(INDEX(Техника!$F$1:$ABM$500,M$2,0),Техника!$F$4:$ABM$4,"Часы",INDEX(Техника!$G$1:$ABN$500,M$2,0),$A$389,INDEX(Техника!$H$1:$ABO$500,M$2,0),"Д")</f>
        <v>0</v>
      </c>
      <c r="N391" s="50">
        <f>SUMIFS(INDEX(Техника!$F$1:$ABM$500,N$2,0),Техника!$F$4:$ABM$4,"Часы",INDEX(Техника!$G$1:$ABN$500,N$2,0),$A$389,INDEX(Техника!$H$1:$ABO$500,N$2,0),"Д")</f>
        <v>0</v>
      </c>
      <c r="O391" s="50">
        <f>SUMIFS(INDEX(Техника!$F$1:$ABM$500,O$2,0),Техника!$F$4:$ABM$4,"Часы",INDEX(Техника!$G$1:$ABN$500,O$2,0),$A$389,INDEX(Техника!$H$1:$ABO$500,O$2,0),"Д")</f>
        <v>0</v>
      </c>
      <c r="P391" s="50">
        <f>SUMIFS(INDEX(Техника!$F$1:$ABM$500,P$2,0),Техника!$F$4:$ABM$4,"Часы",INDEX(Техника!$G$1:$ABN$500,P$2,0),$A$389,INDEX(Техника!$H$1:$ABO$500,P$2,0),"Д")</f>
        <v>0</v>
      </c>
      <c r="Q391" s="50">
        <f>SUMIFS(INDEX(Техника!$F$1:$ABM$500,Q$2,0),Техника!$F$4:$ABM$4,"Часы",INDEX(Техника!$G$1:$ABN$500,Q$2,0),$A$389,INDEX(Техника!$H$1:$ABO$500,Q$2,0),"Д")</f>
        <v>0</v>
      </c>
      <c r="R391" s="50">
        <f>SUMIFS(INDEX(Техника!$F$1:$ABM$500,R$2,0),Техника!$F$4:$ABM$4,"Часы",INDEX(Техника!$G$1:$ABN$500,R$2,0),$A$389,INDEX(Техника!$H$1:$ABO$500,R$2,0),"Д")</f>
        <v>0</v>
      </c>
      <c r="S391" s="50">
        <f>SUMIFS(INDEX(Техника!$F$1:$ABM$500,S$2,0),Техника!$F$4:$ABM$4,"Часы",INDEX(Техника!$G$1:$ABN$500,S$2,0),$A$389,INDEX(Техника!$H$1:$ABO$500,S$2,0),"Д")</f>
        <v>0</v>
      </c>
      <c r="T391" s="50">
        <f>SUMIFS(INDEX(Техника!$F$1:$ABM$500,T$2,0),Техника!$F$4:$ABM$4,"Часы",INDEX(Техника!$G$1:$ABN$500,T$2,0),$A$389,INDEX(Техника!$H$1:$ABO$500,T$2,0),"Д")</f>
        <v>0</v>
      </c>
      <c r="U391" s="50">
        <f>SUMIFS(INDEX(Техника!$F$1:$ABM$500,U$2,0),Техника!$F$4:$ABM$4,"Часы",INDEX(Техника!$G$1:$ABN$500,U$2,0),$A$389,INDEX(Техника!$H$1:$ABO$500,U$2,0),"Д")</f>
        <v>0</v>
      </c>
      <c r="V391" s="50">
        <f>SUMIFS(INDEX(Техника!$F$1:$ABM$500,V$2,0),Техника!$F$4:$ABM$4,"Часы",INDEX(Техника!$G$1:$ABN$500,V$2,0),$A$389,INDEX(Техника!$H$1:$ABO$500,V$2,0),"Д")</f>
        <v>0</v>
      </c>
      <c r="W391" s="50">
        <f>SUMIFS(INDEX(Техника!$F$1:$ABM$500,W$2,0),Техника!$F$4:$ABM$4,"Часы",INDEX(Техника!$G$1:$ABN$500,W$2,0),$A$389,INDEX(Техника!$H$1:$ABO$500,W$2,0),"Д")</f>
        <v>0</v>
      </c>
      <c r="X391" s="50">
        <f>SUMIFS(INDEX(Техника!$F$1:$ABM$500,X$2,0),Техника!$F$4:$ABM$4,"Часы",INDEX(Техника!$G$1:$ABN$500,X$2,0),$A$389,INDEX(Техника!$H$1:$ABO$500,X$2,0),"Д")</f>
        <v>0</v>
      </c>
      <c r="Y391" s="50">
        <f>SUMIFS(INDEX(Техника!$F$1:$ABM$500,Y$2,0),Техника!$F$4:$ABM$4,"Часы",INDEX(Техника!$G$1:$ABN$500,Y$2,0),$A$389,INDEX(Техника!$H$1:$ABO$500,Y$2,0),"Д")</f>
        <v>0</v>
      </c>
      <c r="Z391" s="50">
        <f>SUMIFS(INDEX(Техника!$F$1:$ABM$500,Z$2,0),Техника!$F$4:$ABM$4,"Часы",INDEX(Техника!$G$1:$ABN$500,Z$2,0),$A$389,INDEX(Техника!$H$1:$ABO$500,Z$2,0),"Д")</f>
        <v>0</v>
      </c>
      <c r="AA391" s="50">
        <f>SUMIFS(INDEX(Техника!$F$1:$ABM$500,AA$2,0),Техника!$F$4:$ABM$4,"Часы",INDEX(Техника!$G$1:$ABN$500,AA$2,0),$A$389,INDEX(Техника!$H$1:$ABO$500,AA$2,0),"Д")</f>
        <v>0</v>
      </c>
      <c r="AB391" s="50">
        <f>SUMIFS(INDEX(Техника!$F$1:$ABM$500,AB$2,0),Техника!$F$4:$ABM$4,"Часы",INDEX(Техника!$G$1:$ABN$500,AB$2,0),$A$389,INDEX(Техника!$H$1:$ABO$500,AB$2,0),"Д")</f>
        <v>0</v>
      </c>
    </row>
    <row r="392" spans="1:28" hidden="1" outlineLevel="1" x14ac:dyDescent="0.3">
      <c r="A392" s="33" t="s">
        <v>276</v>
      </c>
      <c r="B392" s="34" t="s">
        <v>277</v>
      </c>
      <c r="C392" s="50">
        <f>SUMIFS(INDEX(Техника!$F$1:$ABM$500,C$2,0),Техника!$F$4:$ABM$4,"Часы",INDEX(Техника!$G$1:$ABN$500,C$2,0),$A$389,INDEX(Техника!$H$1:$ABO$500,C$2,0),"П")</f>
        <v>0</v>
      </c>
      <c r="D392" s="50">
        <f>SUMIFS(INDEX(Техника!$F$1:$ABM$500,D$2,0),Техника!$F$4:$ABM$4,"Часы",INDEX(Техника!$G$1:$ABN$500,D$2,0),$A$389,INDEX(Техника!$H$1:$ABO$500,D$2,0),"П")</f>
        <v>0</v>
      </c>
      <c r="E392" s="50">
        <f>SUMIFS(INDEX(Техника!$F$1:$ABM$500,E$2,0),Техника!$F$4:$ABM$4,"Часы",INDEX(Техника!$G$1:$ABN$500,E$2,0),$A$389,INDEX(Техника!$H$1:$ABO$500,E$2,0),"П")</f>
        <v>0</v>
      </c>
      <c r="F392" s="50">
        <f>SUMIFS(INDEX(Техника!$F$1:$ABM$500,F$2,0),Техника!$F$4:$ABM$4,"Часы",INDEX(Техника!$G$1:$ABN$500,F$2,0),$A$389,INDEX(Техника!$H$1:$ABO$500,F$2,0),"П")</f>
        <v>0</v>
      </c>
      <c r="G392" s="50">
        <f>SUMIFS(INDEX(Техника!$F$1:$ABM$500,G$2,0),Техника!$F$4:$ABM$4,"Часы",INDEX(Техника!$G$1:$ABN$500,G$2,0),$A$389,INDEX(Техника!$H$1:$ABO$500,G$2,0),"П")</f>
        <v>0</v>
      </c>
      <c r="H392" s="50">
        <f>SUMIFS(INDEX(Техника!$F$1:$ABM$500,H$2,0),Техника!$F$4:$ABM$4,"Часы",INDEX(Техника!$G$1:$ABN$500,H$2,0),$A$389,INDEX(Техника!$H$1:$ABO$500,H$2,0),"П")</f>
        <v>0</v>
      </c>
      <c r="I392" s="50">
        <f>SUMIFS(INDEX(Техника!$F$1:$ABM$500,I$2,0),Техника!$F$4:$ABM$4,"Часы",INDEX(Техника!$G$1:$ABN$500,I$2,0),$A$389,INDEX(Техника!$H$1:$ABO$500,I$2,0),"П")</f>
        <v>0</v>
      </c>
      <c r="J392" s="50">
        <f>SUMIFS(INDEX(Техника!$F$1:$ABM$500,J$2,0),Техника!$F$4:$ABM$4,"Часы",INDEX(Техника!$G$1:$ABN$500,J$2,0),$A$389,INDEX(Техника!$H$1:$ABO$500,J$2,0),"П")</f>
        <v>0</v>
      </c>
      <c r="K392" s="50">
        <f>SUMIFS(INDEX(Техника!$F$1:$ABM$500,K$2,0),Техника!$F$4:$ABM$4,"Часы",INDEX(Техника!$G$1:$ABN$500,K$2,0),$A$389,INDEX(Техника!$H$1:$ABO$500,K$2,0),"П")</f>
        <v>0</v>
      </c>
      <c r="L392" s="50">
        <f>SUMIFS(INDEX(Техника!$F$1:$ABM$500,L$2,0),Техника!$F$4:$ABM$4,"Часы",INDEX(Техника!$G$1:$ABN$500,L$2,0),$A$389,INDEX(Техника!$H$1:$ABO$500,L$2,0),"П")</f>
        <v>0</v>
      </c>
      <c r="M392" s="50">
        <f>SUMIFS(INDEX(Техника!$F$1:$ABM$500,M$2,0),Техника!$F$4:$ABM$4,"Часы",INDEX(Техника!$G$1:$ABN$500,M$2,0),$A$389,INDEX(Техника!$H$1:$ABO$500,M$2,0),"П")</f>
        <v>0</v>
      </c>
      <c r="N392" s="50">
        <f>SUMIFS(INDEX(Техника!$F$1:$ABM$500,N$2,0),Техника!$F$4:$ABM$4,"Часы",INDEX(Техника!$G$1:$ABN$500,N$2,0),$A$389,INDEX(Техника!$H$1:$ABO$500,N$2,0),"П")</f>
        <v>0</v>
      </c>
      <c r="O392" s="50">
        <f>SUMIFS(INDEX(Техника!$F$1:$ABM$500,O$2,0),Техника!$F$4:$ABM$4,"Часы",INDEX(Техника!$G$1:$ABN$500,O$2,0),$A$389,INDEX(Техника!$H$1:$ABO$500,O$2,0),"П")</f>
        <v>0</v>
      </c>
      <c r="P392" s="50">
        <f>SUMIFS(INDEX(Техника!$F$1:$ABM$500,P$2,0),Техника!$F$4:$ABM$4,"Часы",INDEX(Техника!$G$1:$ABN$500,P$2,0),$A$389,INDEX(Техника!$H$1:$ABO$500,P$2,0),"П")</f>
        <v>0</v>
      </c>
      <c r="Q392" s="50">
        <f>SUMIFS(INDEX(Техника!$F$1:$ABM$500,Q$2,0),Техника!$F$4:$ABM$4,"Часы",INDEX(Техника!$G$1:$ABN$500,Q$2,0),$A$389,INDEX(Техника!$H$1:$ABO$500,Q$2,0),"П")</f>
        <v>0</v>
      </c>
      <c r="R392" s="50">
        <f>SUMIFS(INDEX(Техника!$F$1:$ABM$500,R$2,0),Техника!$F$4:$ABM$4,"Часы",INDEX(Техника!$G$1:$ABN$500,R$2,0),$A$389,INDEX(Техника!$H$1:$ABO$500,R$2,0),"П")</f>
        <v>0</v>
      </c>
      <c r="S392" s="50">
        <f>SUMIFS(INDEX(Техника!$F$1:$ABM$500,S$2,0),Техника!$F$4:$ABM$4,"Часы",INDEX(Техника!$G$1:$ABN$500,S$2,0),$A$389,INDEX(Техника!$H$1:$ABO$500,S$2,0),"П")</f>
        <v>0</v>
      </c>
      <c r="T392" s="50">
        <f>SUMIFS(INDEX(Техника!$F$1:$ABM$500,T$2,0),Техника!$F$4:$ABM$4,"Часы",INDEX(Техника!$G$1:$ABN$500,T$2,0),$A$389,INDEX(Техника!$H$1:$ABO$500,T$2,0),"П")</f>
        <v>0</v>
      </c>
      <c r="U392" s="50">
        <f>SUMIFS(INDEX(Техника!$F$1:$ABM$500,U$2,0),Техника!$F$4:$ABM$4,"Часы",INDEX(Техника!$G$1:$ABN$500,U$2,0),$A$389,INDEX(Техника!$H$1:$ABO$500,U$2,0),"П")</f>
        <v>0</v>
      </c>
      <c r="V392" s="50">
        <f>SUMIFS(INDEX(Техника!$F$1:$ABM$500,V$2,0),Техника!$F$4:$ABM$4,"Часы",INDEX(Техника!$G$1:$ABN$500,V$2,0),$A$389,INDEX(Техника!$H$1:$ABO$500,V$2,0),"П")</f>
        <v>0</v>
      </c>
      <c r="W392" s="50">
        <f>SUMIFS(INDEX(Техника!$F$1:$ABM$500,W$2,0),Техника!$F$4:$ABM$4,"Часы",INDEX(Техника!$G$1:$ABN$500,W$2,0),$A$389,INDEX(Техника!$H$1:$ABO$500,W$2,0),"П")</f>
        <v>0</v>
      </c>
      <c r="X392" s="50">
        <f>SUMIFS(INDEX(Техника!$F$1:$ABM$500,X$2,0),Техника!$F$4:$ABM$4,"Часы",INDEX(Техника!$G$1:$ABN$500,X$2,0),$A$389,INDEX(Техника!$H$1:$ABO$500,X$2,0),"П")</f>
        <v>0</v>
      </c>
      <c r="Y392" s="50">
        <f>SUMIFS(INDEX(Техника!$F$1:$ABM$500,Y$2,0),Техника!$F$4:$ABM$4,"Часы",INDEX(Техника!$G$1:$ABN$500,Y$2,0),$A$389,INDEX(Техника!$H$1:$ABO$500,Y$2,0),"П")</f>
        <v>0</v>
      </c>
      <c r="Z392" s="50">
        <f>SUMIFS(INDEX(Техника!$F$1:$ABM$500,Z$2,0),Техника!$F$4:$ABM$4,"Часы",INDEX(Техника!$G$1:$ABN$500,Z$2,0),$A$389,INDEX(Техника!$H$1:$ABO$500,Z$2,0),"П")</f>
        <v>0</v>
      </c>
      <c r="AA392" s="50">
        <f>SUMIFS(INDEX(Техника!$F$1:$ABM$500,AA$2,0),Техника!$F$4:$ABM$4,"Часы",INDEX(Техника!$G$1:$ABN$500,AA$2,0),$A$389,INDEX(Техника!$H$1:$ABO$500,AA$2,0),"П")</f>
        <v>0</v>
      </c>
      <c r="AB392" s="50">
        <f>SUMIFS(INDEX(Техника!$F$1:$ABM$500,AB$2,0),Техника!$F$4:$ABM$4,"Часы",INDEX(Техника!$G$1:$ABN$500,AB$2,0),$A$389,INDEX(Техника!$H$1:$ABO$500,AB$2,0),"П")</f>
        <v>0</v>
      </c>
    </row>
    <row r="393" spans="1:28" hidden="1" outlineLevel="1" x14ac:dyDescent="0.3">
      <c r="A393" s="33" t="s">
        <v>243</v>
      </c>
      <c r="B393" s="34" t="s">
        <v>278</v>
      </c>
      <c r="C393" s="50">
        <f>SUMIFS(INDEX(Техника!$F$1:$ABM$500,C$2,0),Техника!$F$4:$ABM$4,"Часы",INDEX(Техника!$G$1:$ABN$500,C$2,0),$A$389,INDEX(Техника!$H$1:$ABO$500,C$2,0),"Л")</f>
        <v>0</v>
      </c>
      <c r="D393" s="50">
        <f>SUMIFS(INDEX(Техника!$F$1:$ABM$500,D$2,0),Техника!$F$4:$ABM$4,"Часы",INDEX(Техника!$G$1:$ABN$500,D$2,0),$A$389,INDEX(Техника!$H$1:$ABO$500,D$2,0),"Л")</f>
        <v>0</v>
      </c>
      <c r="E393" s="50">
        <f>SUMIFS(INDEX(Техника!$F$1:$ABM$500,E$2,0),Техника!$F$4:$ABM$4,"Часы",INDEX(Техника!$G$1:$ABN$500,E$2,0),$A$389,INDEX(Техника!$H$1:$ABO$500,E$2,0),"Л")</f>
        <v>0</v>
      </c>
      <c r="F393" s="50">
        <f>SUMIFS(INDEX(Техника!$F$1:$ABM$500,F$2,0),Техника!$F$4:$ABM$4,"Часы",INDEX(Техника!$G$1:$ABN$500,F$2,0),$A$389,INDEX(Техника!$H$1:$ABO$500,F$2,0),"Л")</f>
        <v>0</v>
      </c>
      <c r="G393" s="50">
        <f>SUMIFS(INDEX(Техника!$F$1:$ABM$500,G$2,0),Техника!$F$4:$ABM$4,"Часы",INDEX(Техника!$G$1:$ABN$500,G$2,0),$A$389,INDEX(Техника!$H$1:$ABO$500,G$2,0),"Л")</f>
        <v>0</v>
      </c>
      <c r="H393" s="50">
        <f>SUMIFS(INDEX(Техника!$F$1:$ABM$500,H$2,0),Техника!$F$4:$ABM$4,"Часы",INDEX(Техника!$G$1:$ABN$500,H$2,0),$A$389,INDEX(Техника!$H$1:$ABO$500,H$2,0),"Л")</f>
        <v>0</v>
      </c>
      <c r="I393" s="50">
        <f>SUMIFS(INDEX(Техника!$F$1:$ABM$500,I$2,0),Техника!$F$4:$ABM$4,"Часы",INDEX(Техника!$G$1:$ABN$500,I$2,0),$A$389,INDEX(Техника!$H$1:$ABO$500,I$2,0),"Л")</f>
        <v>0</v>
      </c>
      <c r="J393" s="50">
        <f>SUMIFS(INDEX(Техника!$F$1:$ABM$500,J$2,0),Техника!$F$4:$ABM$4,"Часы",INDEX(Техника!$G$1:$ABN$500,J$2,0),$A$389,INDEX(Техника!$H$1:$ABO$500,J$2,0),"Л")</f>
        <v>0</v>
      </c>
      <c r="K393" s="50">
        <f>SUMIFS(INDEX(Техника!$F$1:$ABM$500,K$2,0),Техника!$F$4:$ABM$4,"Часы",INDEX(Техника!$G$1:$ABN$500,K$2,0),$A$389,INDEX(Техника!$H$1:$ABO$500,K$2,0),"Л")</f>
        <v>0</v>
      </c>
      <c r="L393" s="50">
        <f>SUMIFS(INDEX(Техника!$F$1:$ABM$500,L$2,0),Техника!$F$4:$ABM$4,"Часы",INDEX(Техника!$G$1:$ABN$500,L$2,0),$A$389,INDEX(Техника!$H$1:$ABO$500,L$2,0),"Л")</f>
        <v>0</v>
      </c>
      <c r="M393" s="50">
        <f>SUMIFS(INDEX(Техника!$F$1:$ABM$500,M$2,0),Техника!$F$4:$ABM$4,"Часы",INDEX(Техника!$G$1:$ABN$500,M$2,0),$A$389,INDEX(Техника!$H$1:$ABO$500,M$2,0),"Л")</f>
        <v>0</v>
      </c>
      <c r="N393" s="50">
        <f>SUMIFS(INDEX(Техника!$F$1:$ABM$500,N$2,0),Техника!$F$4:$ABM$4,"Часы",INDEX(Техника!$G$1:$ABN$500,N$2,0),$A$389,INDEX(Техника!$H$1:$ABO$500,N$2,0),"Л")</f>
        <v>0</v>
      </c>
      <c r="O393" s="50">
        <f>SUMIFS(INDEX(Техника!$F$1:$ABM$500,O$2,0),Техника!$F$4:$ABM$4,"Часы",INDEX(Техника!$G$1:$ABN$500,O$2,0),$A$389,INDEX(Техника!$H$1:$ABO$500,O$2,0),"Л")</f>
        <v>0</v>
      </c>
      <c r="P393" s="50">
        <f>SUMIFS(INDEX(Техника!$F$1:$ABM$500,P$2,0),Техника!$F$4:$ABM$4,"Часы",INDEX(Техника!$G$1:$ABN$500,P$2,0),$A$389,INDEX(Техника!$H$1:$ABO$500,P$2,0),"Л")</f>
        <v>0</v>
      </c>
      <c r="Q393" s="50">
        <f>SUMIFS(INDEX(Техника!$F$1:$ABM$500,Q$2,0),Техника!$F$4:$ABM$4,"Часы",INDEX(Техника!$G$1:$ABN$500,Q$2,0),$A$389,INDEX(Техника!$H$1:$ABO$500,Q$2,0),"Л")</f>
        <v>0</v>
      </c>
      <c r="R393" s="50">
        <f>SUMIFS(INDEX(Техника!$F$1:$ABM$500,R$2,0),Техника!$F$4:$ABM$4,"Часы",INDEX(Техника!$G$1:$ABN$500,R$2,0),$A$389,INDEX(Техника!$H$1:$ABO$500,R$2,0),"Л")</f>
        <v>0</v>
      </c>
      <c r="S393" s="50">
        <f>SUMIFS(INDEX(Техника!$F$1:$ABM$500,S$2,0),Техника!$F$4:$ABM$4,"Часы",INDEX(Техника!$G$1:$ABN$500,S$2,0),$A$389,INDEX(Техника!$H$1:$ABO$500,S$2,0),"Л")</f>
        <v>0</v>
      </c>
      <c r="T393" s="50">
        <f>SUMIFS(INDEX(Техника!$F$1:$ABM$500,T$2,0),Техника!$F$4:$ABM$4,"Часы",INDEX(Техника!$G$1:$ABN$500,T$2,0),$A$389,INDEX(Техника!$H$1:$ABO$500,T$2,0),"Л")</f>
        <v>0</v>
      </c>
      <c r="U393" s="50">
        <f>SUMIFS(INDEX(Техника!$F$1:$ABM$500,U$2,0),Техника!$F$4:$ABM$4,"Часы",INDEX(Техника!$G$1:$ABN$500,U$2,0),$A$389,INDEX(Техника!$H$1:$ABO$500,U$2,0),"Л")</f>
        <v>0</v>
      </c>
      <c r="V393" s="50">
        <f>SUMIFS(INDEX(Техника!$F$1:$ABM$500,V$2,0),Техника!$F$4:$ABM$4,"Часы",INDEX(Техника!$G$1:$ABN$500,V$2,0),$A$389,INDEX(Техника!$H$1:$ABO$500,V$2,0),"Л")</f>
        <v>0</v>
      </c>
      <c r="W393" s="50">
        <f>SUMIFS(INDEX(Техника!$F$1:$ABM$500,W$2,0),Техника!$F$4:$ABM$4,"Часы",INDEX(Техника!$G$1:$ABN$500,W$2,0),$A$389,INDEX(Техника!$H$1:$ABO$500,W$2,0),"Л")</f>
        <v>0</v>
      </c>
      <c r="X393" s="50">
        <f>SUMIFS(INDEX(Техника!$F$1:$ABM$500,X$2,0),Техника!$F$4:$ABM$4,"Часы",INDEX(Техника!$G$1:$ABN$500,X$2,0),$A$389,INDEX(Техника!$H$1:$ABO$500,X$2,0),"Л")</f>
        <v>0</v>
      </c>
      <c r="Y393" s="50">
        <f>SUMIFS(INDEX(Техника!$F$1:$ABM$500,Y$2,0),Техника!$F$4:$ABM$4,"Часы",INDEX(Техника!$G$1:$ABN$500,Y$2,0),$A$389,INDEX(Техника!$H$1:$ABO$500,Y$2,0),"Л")</f>
        <v>0</v>
      </c>
      <c r="Z393" s="50">
        <f>SUMIFS(INDEX(Техника!$F$1:$ABM$500,Z$2,0),Техника!$F$4:$ABM$4,"Часы",INDEX(Техника!$G$1:$ABN$500,Z$2,0),$A$389,INDEX(Техника!$H$1:$ABO$500,Z$2,0),"Л")</f>
        <v>0</v>
      </c>
      <c r="AA393" s="50">
        <f>SUMIFS(INDEX(Техника!$F$1:$ABM$500,AA$2,0),Техника!$F$4:$ABM$4,"Часы",INDEX(Техника!$G$1:$ABN$500,AA$2,0),$A$389,INDEX(Техника!$H$1:$ABO$500,AA$2,0),"Л")</f>
        <v>0</v>
      </c>
      <c r="AB393" s="50">
        <f>SUMIFS(INDEX(Техника!$F$1:$ABM$500,AB$2,0),Техника!$F$4:$ABM$4,"Часы",INDEX(Техника!$G$1:$ABN$500,AB$2,0),$A$389,INDEX(Техника!$H$1:$ABO$500,AB$2,0),"Л")</f>
        <v>0</v>
      </c>
    </row>
    <row r="394" spans="1:28" hidden="1" outlineLevel="1" x14ac:dyDescent="0.3">
      <c r="A394" s="33" t="s">
        <v>245</v>
      </c>
      <c r="B394" s="34" t="s">
        <v>279</v>
      </c>
      <c r="C394" s="50">
        <f>SUMIFS(INDEX(Техника!$F$1:$ABM$500,C$2,0),Техника!$F$4:$ABM$4,"Часы",INDEX(Техника!$G$1:$ABN$500,C$2,0),$A$389,INDEX(Техника!$H$1:$ABO$500,C$2,0),"З")</f>
        <v>0</v>
      </c>
      <c r="D394" s="50">
        <f>SUMIFS(INDEX(Техника!$F$1:$ABM$500,D$2,0),Техника!$F$4:$ABM$4,"Часы",INDEX(Техника!$G$1:$ABN$500,D$2,0),$A$389,INDEX(Техника!$H$1:$ABO$500,D$2,0),"З")</f>
        <v>0</v>
      </c>
      <c r="E394" s="50">
        <f>SUMIFS(INDEX(Техника!$F$1:$ABM$500,E$2,0),Техника!$F$4:$ABM$4,"Часы",INDEX(Техника!$G$1:$ABN$500,E$2,0),$A$389,INDEX(Техника!$H$1:$ABO$500,E$2,0),"З")</f>
        <v>0</v>
      </c>
      <c r="F394" s="50">
        <f>SUMIFS(INDEX(Техника!$F$1:$ABM$500,F$2,0),Техника!$F$4:$ABM$4,"Часы",INDEX(Техника!$G$1:$ABN$500,F$2,0),$A$389,INDEX(Техника!$H$1:$ABO$500,F$2,0),"З")</f>
        <v>0</v>
      </c>
      <c r="G394" s="50">
        <f>SUMIFS(INDEX(Техника!$F$1:$ABM$500,G$2,0),Техника!$F$4:$ABM$4,"Часы",INDEX(Техника!$G$1:$ABN$500,G$2,0),$A$389,INDEX(Техника!$H$1:$ABO$500,G$2,0),"З")</f>
        <v>0</v>
      </c>
      <c r="H394" s="50">
        <f>SUMIFS(INDEX(Техника!$F$1:$ABM$500,H$2,0),Техника!$F$4:$ABM$4,"Часы",INDEX(Техника!$G$1:$ABN$500,H$2,0),$A$389,INDEX(Техника!$H$1:$ABO$500,H$2,0),"З")</f>
        <v>0</v>
      </c>
      <c r="I394" s="50">
        <f>SUMIFS(INDEX(Техника!$F$1:$ABM$500,I$2,0),Техника!$F$4:$ABM$4,"Часы",INDEX(Техника!$G$1:$ABN$500,I$2,0),$A$389,INDEX(Техника!$H$1:$ABO$500,I$2,0),"З")</f>
        <v>0</v>
      </c>
      <c r="J394" s="50">
        <f>SUMIFS(INDEX(Техника!$F$1:$ABM$500,J$2,0),Техника!$F$4:$ABM$4,"Часы",INDEX(Техника!$G$1:$ABN$500,J$2,0),$A$389,INDEX(Техника!$H$1:$ABO$500,J$2,0),"З")</f>
        <v>0</v>
      </c>
      <c r="K394" s="50">
        <f>SUMIFS(INDEX(Техника!$F$1:$ABM$500,K$2,0),Техника!$F$4:$ABM$4,"Часы",INDEX(Техника!$G$1:$ABN$500,K$2,0),$A$389,INDEX(Техника!$H$1:$ABO$500,K$2,0),"З")</f>
        <v>0</v>
      </c>
      <c r="L394" s="50">
        <f>SUMIFS(INDEX(Техника!$F$1:$ABM$500,L$2,0),Техника!$F$4:$ABM$4,"Часы",INDEX(Техника!$G$1:$ABN$500,L$2,0),$A$389,INDEX(Техника!$H$1:$ABO$500,L$2,0),"З")</f>
        <v>0</v>
      </c>
      <c r="M394" s="50">
        <f>SUMIFS(INDEX(Техника!$F$1:$ABM$500,M$2,0),Техника!$F$4:$ABM$4,"Часы",INDEX(Техника!$G$1:$ABN$500,M$2,0),$A$389,INDEX(Техника!$H$1:$ABO$500,M$2,0),"З")</f>
        <v>0</v>
      </c>
      <c r="N394" s="50">
        <f>SUMIFS(INDEX(Техника!$F$1:$ABM$500,N$2,0),Техника!$F$4:$ABM$4,"Часы",INDEX(Техника!$G$1:$ABN$500,N$2,0),$A$389,INDEX(Техника!$H$1:$ABO$500,N$2,0),"З")</f>
        <v>0</v>
      </c>
      <c r="O394" s="50">
        <f>SUMIFS(INDEX(Техника!$F$1:$ABM$500,O$2,0),Техника!$F$4:$ABM$4,"Часы",INDEX(Техника!$G$1:$ABN$500,O$2,0),$A$389,INDEX(Техника!$H$1:$ABO$500,O$2,0),"З")</f>
        <v>0</v>
      </c>
      <c r="P394" s="50">
        <f>SUMIFS(INDEX(Техника!$F$1:$ABM$500,P$2,0),Техника!$F$4:$ABM$4,"Часы",INDEX(Техника!$G$1:$ABN$500,P$2,0),$A$389,INDEX(Техника!$H$1:$ABO$500,P$2,0),"З")</f>
        <v>0</v>
      </c>
      <c r="Q394" s="50">
        <f>SUMIFS(INDEX(Техника!$F$1:$ABM$500,Q$2,0),Техника!$F$4:$ABM$4,"Часы",INDEX(Техника!$G$1:$ABN$500,Q$2,0),$A$389,INDEX(Техника!$H$1:$ABO$500,Q$2,0),"З")</f>
        <v>0</v>
      </c>
      <c r="R394" s="50">
        <f>SUMIFS(INDEX(Техника!$F$1:$ABM$500,R$2,0),Техника!$F$4:$ABM$4,"Часы",INDEX(Техника!$G$1:$ABN$500,R$2,0),$A$389,INDEX(Техника!$H$1:$ABO$500,R$2,0),"З")</f>
        <v>0</v>
      </c>
      <c r="S394" s="50">
        <f>SUMIFS(INDEX(Техника!$F$1:$ABM$500,S$2,0),Техника!$F$4:$ABM$4,"Часы",INDEX(Техника!$G$1:$ABN$500,S$2,0),$A$389,INDEX(Техника!$H$1:$ABO$500,S$2,0),"З")</f>
        <v>0</v>
      </c>
      <c r="T394" s="50">
        <f>SUMIFS(INDEX(Техника!$F$1:$ABM$500,T$2,0),Техника!$F$4:$ABM$4,"Часы",INDEX(Техника!$G$1:$ABN$500,T$2,0),$A$389,INDEX(Техника!$H$1:$ABO$500,T$2,0),"З")</f>
        <v>0</v>
      </c>
      <c r="U394" s="50">
        <f>SUMIFS(INDEX(Техника!$F$1:$ABM$500,U$2,0),Техника!$F$4:$ABM$4,"Часы",INDEX(Техника!$G$1:$ABN$500,U$2,0),$A$389,INDEX(Техника!$H$1:$ABO$500,U$2,0),"З")</f>
        <v>0</v>
      </c>
      <c r="V394" s="50">
        <f>SUMIFS(INDEX(Техника!$F$1:$ABM$500,V$2,0),Техника!$F$4:$ABM$4,"Часы",INDEX(Техника!$G$1:$ABN$500,V$2,0),$A$389,INDEX(Техника!$H$1:$ABO$500,V$2,0),"З")</f>
        <v>0</v>
      </c>
      <c r="W394" s="50">
        <f>SUMIFS(INDEX(Техника!$F$1:$ABM$500,W$2,0),Техника!$F$4:$ABM$4,"Часы",INDEX(Техника!$G$1:$ABN$500,W$2,0),$A$389,INDEX(Техника!$H$1:$ABO$500,W$2,0),"З")</f>
        <v>0</v>
      </c>
      <c r="X394" s="50">
        <f>SUMIFS(INDEX(Техника!$F$1:$ABM$500,X$2,0),Техника!$F$4:$ABM$4,"Часы",INDEX(Техника!$G$1:$ABN$500,X$2,0),$A$389,INDEX(Техника!$H$1:$ABO$500,X$2,0),"З")</f>
        <v>0</v>
      </c>
      <c r="Y394" s="50">
        <f>SUMIFS(INDEX(Техника!$F$1:$ABM$500,Y$2,0),Техника!$F$4:$ABM$4,"Часы",INDEX(Техника!$G$1:$ABN$500,Y$2,0),$A$389,INDEX(Техника!$H$1:$ABO$500,Y$2,0),"З")</f>
        <v>0</v>
      </c>
      <c r="Z394" s="50">
        <f>SUMIFS(INDEX(Техника!$F$1:$ABM$500,Z$2,0),Техника!$F$4:$ABM$4,"Часы",INDEX(Техника!$G$1:$ABN$500,Z$2,0),$A$389,INDEX(Техника!$H$1:$ABO$500,Z$2,0),"З")</f>
        <v>0</v>
      </c>
      <c r="AA394" s="50">
        <f>SUMIFS(INDEX(Техника!$F$1:$ABM$500,AA$2,0),Техника!$F$4:$ABM$4,"Часы",INDEX(Техника!$G$1:$ABN$500,AA$2,0),$A$389,INDEX(Техника!$H$1:$ABO$500,AA$2,0),"З")</f>
        <v>0</v>
      </c>
      <c r="AB394" s="50">
        <f>SUMIFS(INDEX(Техника!$F$1:$ABM$500,AB$2,0),Техника!$F$4:$ABM$4,"Часы",INDEX(Техника!$G$1:$ABN$500,AB$2,0),$A$389,INDEX(Техника!$H$1:$ABO$500,AB$2,0),"З")</f>
        <v>0</v>
      </c>
    </row>
    <row r="395" spans="1:28" ht="7.95" customHeight="1" x14ac:dyDescent="0.3">
      <c r="A395" s="38"/>
      <c r="B395" s="39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</row>
    <row r="396" spans="1:28" ht="25.05" customHeight="1" collapsed="1" x14ac:dyDescent="0.3">
      <c r="A396" s="32">
        <v>57</v>
      </c>
      <c r="B396" s="32" t="s">
        <v>58</v>
      </c>
      <c r="C396" s="49">
        <f>SUM(C397:C401)</f>
        <v>0</v>
      </c>
      <c r="D396" s="49">
        <f>SUM(D397:D401)</f>
        <v>0</v>
      </c>
      <c r="E396" s="49">
        <f>SUM(E397:E401)</f>
        <v>0</v>
      </c>
      <c r="F396" s="49">
        <f>SUM(F397:F401)</f>
        <v>0</v>
      </c>
      <c r="G396" s="49">
        <f>SUM(G397:G401)</f>
        <v>0</v>
      </c>
      <c r="H396" s="49">
        <f>SUM(H397:H401)</f>
        <v>0</v>
      </c>
      <c r="I396" s="49">
        <f>SUM(I397:I401)</f>
        <v>0</v>
      </c>
      <c r="J396" s="49">
        <f>SUM(J397:J401)</f>
        <v>0</v>
      </c>
      <c r="K396" s="49">
        <f>SUM(K397:K401)</f>
        <v>0</v>
      </c>
      <c r="L396" s="49">
        <f>SUM(L397:L401)</f>
        <v>0</v>
      </c>
      <c r="M396" s="49">
        <f>SUM(M397:M401)</f>
        <v>0</v>
      </c>
      <c r="N396" s="49">
        <f>SUM(N397:N401)</f>
        <v>0</v>
      </c>
      <c r="O396" s="49">
        <f>SUM(O397:O401)</f>
        <v>0</v>
      </c>
      <c r="P396" s="49">
        <f>SUM(P397:P401)</f>
        <v>0</v>
      </c>
      <c r="Q396" s="49">
        <f>SUM(Q397:Q401)</f>
        <v>0</v>
      </c>
      <c r="R396" s="49">
        <f>SUM(R397:R401)</f>
        <v>0</v>
      </c>
      <c r="S396" s="49">
        <f>SUM(S397:S401)</f>
        <v>0</v>
      </c>
      <c r="T396" s="49">
        <f>SUM(T397:T401)</f>
        <v>0</v>
      </c>
      <c r="U396" s="49">
        <f>SUM(U397:U401)</f>
        <v>0</v>
      </c>
      <c r="V396" s="49">
        <f>SUM(V397:V401)</f>
        <v>0</v>
      </c>
      <c r="W396" s="49">
        <f>SUM(W397:W401)</f>
        <v>0</v>
      </c>
      <c r="X396" s="49">
        <f>SUM(X397:X401)</f>
        <v>0</v>
      </c>
      <c r="Y396" s="49">
        <f>SUM(Y397:Y401)</f>
        <v>0</v>
      </c>
      <c r="Z396" s="49">
        <f>SUM(Z397:Z401)</f>
        <v>0</v>
      </c>
      <c r="AA396" s="49">
        <f>SUM(AA397:AA401)</f>
        <v>0</v>
      </c>
      <c r="AB396" s="49">
        <f>SUM(AB397:AB401)</f>
        <v>0</v>
      </c>
    </row>
    <row r="397" spans="1:28" hidden="1" outlineLevel="1" x14ac:dyDescent="0.3">
      <c r="A397" s="33" t="s">
        <v>246</v>
      </c>
      <c r="B397" s="34" t="s">
        <v>274</v>
      </c>
      <c r="C397" s="50">
        <f>SUMIFS(INDEX(Техника!$F$1:$ABM$500,C$2,0),Техника!$F$4:$ABM$4,"Часы",INDEX(Техника!$G$1:$ABN$500,C$2,0),$A$396,INDEX(Техника!$H$1:$ABO$500,C$2,0),"М")</f>
        <v>0</v>
      </c>
      <c r="D397" s="50">
        <f>SUMIFS(INDEX(Техника!$F$1:$ABM$500,D$2,0),Техника!$F$4:$ABM$4,"Часы",INDEX(Техника!$G$1:$ABN$500,D$2,0),$A$396,INDEX(Техника!$H$1:$ABO$500,D$2,0),"М")</f>
        <v>0</v>
      </c>
      <c r="E397" s="50">
        <f>SUMIFS(INDEX(Техника!$F$1:$ABM$500,E$2,0),Техника!$F$4:$ABM$4,"Часы",INDEX(Техника!$G$1:$ABN$500,E$2,0),$A$396,INDEX(Техника!$H$1:$ABO$500,E$2,0),"М")</f>
        <v>0</v>
      </c>
      <c r="F397" s="50">
        <f>SUMIFS(INDEX(Техника!$F$1:$ABM$500,F$2,0),Техника!$F$4:$ABM$4,"Часы",INDEX(Техника!$G$1:$ABN$500,F$2,0),$A$396,INDEX(Техника!$H$1:$ABO$500,F$2,0),"М")</f>
        <v>0</v>
      </c>
      <c r="G397" s="50">
        <f>SUMIFS(INDEX(Техника!$F$1:$ABM$500,G$2,0),Техника!$F$4:$ABM$4,"Часы",INDEX(Техника!$G$1:$ABN$500,G$2,0),$A$396,INDEX(Техника!$H$1:$ABO$500,G$2,0),"М")</f>
        <v>0</v>
      </c>
      <c r="H397" s="50">
        <f>SUMIFS(INDEX(Техника!$F$1:$ABM$500,H$2,0),Техника!$F$4:$ABM$4,"Часы",INDEX(Техника!$G$1:$ABN$500,H$2,0),$A$396,INDEX(Техника!$H$1:$ABO$500,H$2,0),"М")</f>
        <v>0</v>
      </c>
      <c r="I397" s="50">
        <f>SUMIFS(INDEX(Техника!$F$1:$ABM$500,I$2,0),Техника!$F$4:$ABM$4,"Часы",INDEX(Техника!$G$1:$ABN$500,I$2,0),$A$396,INDEX(Техника!$H$1:$ABO$500,I$2,0),"М")</f>
        <v>0</v>
      </c>
      <c r="J397" s="50">
        <f>SUMIFS(INDEX(Техника!$F$1:$ABM$500,J$2,0),Техника!$F$4:$ABM$4,"Часы",INDEX(Техника!$G$1:$ABN$500,J$2,0),$A$396,INDEX(Техника!$H$1:$ABO$500,J$2,0),"М")</f>
        <v>0</v>
      </c>
      <c r="K397" s="50">
        <f>SUMIFS(INDEX(Техника!$F$1:$ABM$500,K$2,0),Техника!$F$4:$ABM$4,"Часы",INDEX(Техника!$G$1:$ABN$500,K$2,0),$A$396,INDEX(Техника!$H$1:$ABO$500,K$2,0),"М")</f>
        <v>0</v>
      </c>
      <c r="L397" s="50">
        <f>SUMIFS(INDEX(Техника!$F$1:$ABM$500,L$2,0),Техника!$F$4:$ABM$4,"Часы",INDEX(Техника!$G$1:$ABN$500,L$2,0),$A$396,INDEX(Техника!$H$1:$ABO$500,L$2,0),"М")</f>
        <v>0</v>
      </c>
      <c r="M397" s="50">
        <f>SUMIFS(INDEX(Техника!$F$1:$ABM$500,M$2,0),Техника!$F$4:$ABM$4,"Часы",INDEX(Техника!$G$1:$ABN$500,M$2,0),$A$396,INDEX(Техника!$H$1:$ABO$500,M$2,0),"М")</f>
        <v>0</v>
      </c>
      <c r="N397" s="50">
        <f>SUMIFS(INDEX(Техника!$F$1:$ABM$500,N$2,0),Техника!$F$4:$ABM$4,"Часы",INDEX(Техника!$G$1:$ABN$500,N$2,0),$A$396,INDEX(Техника!$H$1:$ABO$500,N$2,0),"М")</f>
        <v>0</v>
      </c>
      <c r="O397" s="50">
        <f>SUMIFS(INDEX(Техника!$F$1:$ABM$500,O$2,0),Техника!$F$4:$ABM$4,"Часы",INDEX(Техника!$G$1:$ABN$500,O$2,0),$A$396,INDEX(Техника!$H$1:$ABO$500,O$2,0),"М")</f>
        <v>0</v>
      </c>
      <c r="P397" s="50">
        <f>SUMIFS(INDEX(Техника!$F$1:$ABM$500,P$2,0),Техника!$F$4:$ABM$4,"Часы",INDEX(Техника!$G$1:$ABN$500,P$2,0),$A$396,INDEX(Техника!$H$1:$ABO$500,P$2,0),"М")</f>
        <v>0</v>
      </c>
      <c r="Q397" s="50">
        <f>SUMIFS(INDEX(Техника!$F$1:$ABM$500,Q$2,0),Техника!$F$4:$ABM$4,"Часы",INDEX(Техника!$G$1:$ABN$500,Q$2,0),$A$396,INDEX(Техника!$H$1:$ABO$500,Q$2,0),"М")</f>
        <v>0</v>
      </c>
      <c r="R397" s="50">
        <f>SUMIFS(INDEX(Техника!$F$1:$ABM$500,R$2,0),Техника!$F$4:$ABM$4,"Часы",INDEX(Техника!$G$1:$ABN$500,R$2,0),$A$396,INDEX(Техника!$H$1:$ABO$500,R$2,0),"М")</f>
        <v>0</v>
      </c>
      <c r="S397" s="50">
        <f>SUMIFS(INDEX(Техника!$F$1:$ABM$500,S$2,0),Техника!$F$4:$ABM$4,"Часы",INDEX(Техника!$G$1:$ABN$500,S$2,0),$A$396,INDEX(Техника!$H$1:$ABO$500,S$2,0),"М")</f>
        <v>0</v>
      </c>
      <c r="T397" s="50">
        <f>SUMIFS(INDEX(Техника!$F$1:$ABM$500,T$2,0),Техника!$F$4:$ABM$4,"Часы",INDEX(Техника!$G$1:$ABN$500,T$2,0),$A$396,INDEX(Техника!$H$1:$ABO$500,T$2,0),"М")</f>
        <v>0</v>
      </c>
      <c r="U397" s="50">
        <f>SUMIFS(INDEX(Техника!$F$1:$ABM$500,U$2,0),Техника!$F$4:$ABM$4,"Часы",INDEX(Техника!$G$1:$ABN$500,U$2,0),$A$396,INDEX(Техника!$H$1:$ABO$500,U$2,0),"М")</f>
        <v>0</v>
      </c>
      <c r="V397" s="50">
        <f>SUMIFS(INDEX(Техника!$F$1:$ABM$500,V$2,0),Техника!$F$4:$ABM$4,"Часы",INDEX(Техника!$G$1:$ABN$500,V$2,0),$A$396,INDEX(Техника!$H$1:$ABO$500,V$2,0),"М")</f>
        <v>0</v>
      </c>
      <c r="W397" s="50">
        <f>SUMIFS(INDEX(Техника!$F$1:$ABM$500,W$2,0),Техника!$F$4:$ABM$4,"Часы",INDEX(Техника!$G$1:$ABN$500,W$2,0),$A$396,INDEX(Техника!$H$1:$ABO$500,W$2,0),"М")</f>
        <v>0</v>
      </c>
      <c r="X397" s="50">
        <f>SUMIFS(INDEX(Техника!$F$1:$ABM$500,X$2,0),Техника!$F$4:$ABM$4,"Часы",INDEX(Техника!$G$1:$ABN$500,X$2,0),$A$396,INDEX(Техника!$H$1:$ABO$500,X$2,0),"М")</f>
        <v>0</v>
      </c>
      <c r="Y397" s="50">
        <f>SUMIFS(INDEX(Техника!$F$1:$ABM$500,Y$2,0),Техника!$F$4:$ABM$4,"Часы",INDEX(Техника!$G$1:$ABN$500,Y$2,0),$A$396,INDEX(Техника!$H$1:$ABO$500,Y$2,0),"М")</f>
        <v>0</v>
      </c>
      <c r="Z397" s="50">
        <f>SUMIFS(INDEX(Техника!$F$1:$ABM$500,Z$2,0),Техника!$F$4:$ABM$4,"Часы",INDEX(Техника!$G$1:$ABN$500,Z$2,0),$A$396,INDEX(Техника!$H$1:$ABO$500,Z$2,0),"М")</f>
        <v>0</v>
      </c>
      <c r="AA397" s="50">
        <f>SUMIFS(INDEX(Техника!$F$1:$ABM$500,AA$2,0),Техника!$F$4:$ABM$4,"Часы",INDEX(Техника!$G$1:$ABN$500,AA$2,0),$A$396,INDEX(Техника!$H$1:$ABO$500,AA$2,0),"М")</f>
        <v>0</v>
      </c>
      <c r="AB397" s="50">
        <f>SUMIFS(INDEX(Техника!$F$1:$ABM$500,AB$2,0),Техника!$F$4:$ABM$4,"Часы",INDEX(Техника!$G$1:$ABN$500,AB$2,0),$A$396,INDEX(Техника!$H$1:$ABO$500,AB$2,0),"М")</f>
        <v>0</v>
      </c>
    </row>
    <row r="398" spans="1:28" hidden="1" outlineLevel="1" x14ac:dyDescent="0.3">
      <c r="A398" s="33" t="s">
        <v>244</v>
      </c>
      <c r="B398" s="34" t="s">
        <v>275</v>
      </c>
      <c r="C398" s="50">
        <f>SUMIFS(INDEX(Техника!$F$1:$ABM$500,C$2,0),Техника!$F$4:$ABM$4,"Часы",INDEX(Техника!$G$1:$ABN$500,C$2,0),$A$396,INDEX(Техника!$H$1:$ABO$500,C$2,0),"Д")</f>
        <v>0</v>
      </c>
      <c r="D398" s="50">
        <f>SUMIFS(INDEX(Техника!$F$1:$ABM$500,D$2,0),Техника!$F$4:$ABM$4,"Часы",INDEX(Техника!$G$1:$ABN$500,D$2,0),$A$396,INDEX(Техника!$H$1:$ABO$500,D$2,0),"Д")</f>
        <v>0</v>
      </c>
      <c r="E398" s="50">
        <f>SUMIFS(INDEX(Техника!$F$1:$ABM$500,E$2,0),Техника!$F$4:$ABM$4,"Часы",INDEX(Техника!$G$1:$ABN$500,E$2,0),$A$396,INDEX(Техника!$H$1:$ABO$500,E$2,0),"Д")</f>
        <v>0</v>
      </c>
      <c r="F398" s="50">
        <f>SUMIFS(INDEX(Техника!$F$1:$ABM$500,F$2,0),Техника!$F$4:$ABM$4,"Часы",INDEX(Техника!$G$1:$ABN$500,F$2,0),$A$396,INDEX(Техника!$H$1:$ABO$500,F$2,0),"Д")</f>
        <v>0</v>
      </c>
      <c r="G398" s="50">
        <f>SUMIFS(INDEX(Техника!$F$1:$ABM$500,G$2,0),Техника!$F$4:$ABM$4,"Часы",INDEX(Техника!$G$1:$ABN$500,G$2,0),$A$396,INDEX(Техника!$H$1:$ABO$500,G$2,0),"Д")</f>
        <v>0</v>
      </c>
      <c r="H398" s="50">
        <f>SUMIFS(INDEX(Техника!$F$1:$ABM$500,H$2,0),Техника!$F$4:$ABM$4,"Часы",INDEX(Техника!$G$1:$ABN$500,H$2,0),$A$396,INDEX(Техника!$H$1:$ABO$500,H$2,0),"Д")</f>
        <v>0</v>
      </c>
      <c r="I398" s="50">
        <f>SUMIFS(INDEX(Техника!$F$1:$ABM$500,I$2,0),Техника!$F$4:$ABM$4,"Часы",INDEX(Техника!$G$1:$ABN$500,I$2,0),$A$396,INDEX(Техника!$H$1:$ABO$500,I$2,0),"Д")</f>
        <v>0</v>
      </c>
      <c r="J398" s="50">
        <f>SUMIFS(INDEX(Техника!$F$1:$ABM$500,J$2,0),Техника!$F$4:$ABM$4,"Часы",INDEX(Техника!$G$1:$ABN$500,J$2,0),$A$396,INDEX(Техника!$H$1:$ABO$500,J$2,0),"Д")</f>
        <v>0</v>
      </c>
      <c r="K398" s="50">
        <f>SUMIFS(INDEX(Техника!$F$1:$ABM$500,K$2,0),Техника!$F$4:$ABM$4,"Часы",INDEX(Техника!$G$1:$ABN$500,K$2,0),$A$396,INDEX(Техника!$H$1:$ABO$500,K$2,0),"Д")</f>
        <v>0</v>
      </c>
      <c r="L398" s="50">
        <f>SUMIFS(INDEX(Техника!$F$1:$ABM$500,L$2,0),Техника!$F$4:$ABM$4,"Часы",INDEX(Техника!$G$1:$ABN$500,L$2,0),$A$396,INDEX(Техника!$H$1:$ABO$500,L$2,0),"Д")</f>
        <v>0</v>
      </c>
      <c r="M398" s="50">
        <f>SUMIFS(INDEX(Техника!$F$1:$ABM$500,M$2,0),Техника!$F$4:$ABM$4,"Часы",INDEX(Техника!$G$1:$ABN$500,M$2,0),$A$396,INDEX(Техника!$H$1:$ABO$500,M$2,0),"Д")</f>
        <v>0</v>
      </c>
      <c r="N398" s="50">
        <f>SUMIFS(INDEX(Техника!$F$1:$ABM$500,N$2,0),Техника!$F$4:$ABM$4,"Часы",INDEX(Техника!$G$1:$ABN$500,N$2,0),$A$396,INDEX(Техника!$H$1:$ABO$500,N$2,0),"Д")</f>
        <v>0</v>
      </c>
      <c r="O398" s="50">
        <f>SUMIFS(INDEX(Техника!$F$1:$ABM$500,O$2,0),Техника!$F$4:$ABM$4,"Часы",INDEX(Техника!$G$1:$ABN$500,O$2,0),$A$396,INDEX(Техника!$H$1:$ABO$500,O$2,0),"Д")</f>
        <v>0</v>
      </c>
      <c r="P398" s="50">
        <f>SUMIFS(INDEX(Техника!$F$1:$ABM$500,P$2,0),Техника!$F$4:$ABM$4,"Часы",INDEX(Техника!$G$1:$ABN$500,P$2,0),$A$396,INDEX(Техника!$H$1:$ABO$500,P$2,0),"Д")</f>
        <v>0</v>
      </c>
      <c r="Q398" s="50">
        <f>SUMIFS(INDEX(Техника!$F$1:$ABM$500,Q$2,0),Техника!$F$4:$ABM$4,"Часы",INDEX(Техника!$G$1:$ABN$500,Q$2,0),$A$396,INDEX(Техника!$H$1:$ABO$500,Q$2,0),"Д")</f>
        <v>0</v>
      </c>
      <c r="R398" s="50">
        <f>SUMIFS(INDEX(Техника!$F$1:$ABM$500,R$2,0),Техника!$F$4:$ABM$4,"Часы",INDEX(Техника!$G$1:$ABN$500,R$2,0),$A$396,INDEX(Техника!$H$1:$ABO$500,R$2,0),"Д")</f>
        <v>0</v>
      </c>
      <c r="S398" s="50">
        <f>SUMIFS(INDEX(Техника!$F$1:$ABM$500,S$2,0),Техника!$F$4:$ABM$4,"Часы",INDEX(Техника!$G$1:$ABN$500,S$2,0),$A$396,INDEX(Техника!$H$1:$ABO$500,S$2,0),"Д")</f>
        <v>0</v>
      </c>
      <c r="T398" s="50">
        <f>SUMIFS(INDEX(Техника!$F$1:$ABM$500,T$2,0),Техника!$F$4:$ABM$4,"Часы",INDEX(Техника!$G$1:$ABN$500,T$2,0),$A$396,INDEX(Техника!$H$1:$ABO$500,T$2,0),"Д")</f>
        <v>0</v>
      </c>
      <c r="U398" s="50">
        <f>SUMIFS(INDEX(Техника!$F$1:$ABM$500,U$2,0),Техника!$F$4:$ABM$4,"Часы",INDEX(Техника!$G$1:$ABN$500,U$2,0),$A$396,INDEX(Техника!$H$1:$ABO$500,U$2,0),"Д")</f>
        <v>0</v>
      </c>
      <c r="V398" s="50">
        <f>SUMIFS(INDEX(Техника!$F$1:$ABM$500,V$2,0),Техника!$F$4:$ABM$4,"Часы",INDEX(Техника!$G$1:$ABN$500,V$2,0),$A$396,INDEX(Техника!$H$1:$ABO$500,V$2,0),"Д")</f>
        <v>0</v>
      </c>
      <c r="W398" s="50">
        <f>SUMIFS(INDEX(Техника!$F$1:$ABM$500,W$2,0),Техника!$F$4:$ABM$4,"Часы",INDEX(Техника!$G$1:$ABN$500,W$2,0),$A$396,INDEX(Техника!$H$1:$ABO$500,W$2,0),"Д")</f>
        <v>0</v>
      </c>
      <c r="X398" s="50">
        <f>SUMIFS(INDEX(Техника!$F$1:$ABM$500,X$2,0),Техника!$F$4:$ABM$4,"Часы",INDEX(Техника!$G$1:$ABN$500,X$2,0),$A$396,INDEX(Техника!$H$1:$ABO$500,X$2,0),"Д")</f>
        <v>0</v>
      </c>
      <c r="Y398" s="50">
        <f>SUMIFS(INDEX(Техника!$F$1:$ABM$500,Y$2,0),Техника!$F$4:$ABM$4,"Часы",INDEX(Техника!$G$1:$ABN$500,Y$2,0),$A$396,INDEX(Техника!$H$1:$ABO$500,Y$2,0),"Д")</f>
        <v>0</v>
      </c>
      <c r="Z398" s="50">
        <f>SUMIFS(INDEX(Техника!$F$1:$ABM$500,Z$2,0),Техника!$F$4:$ABM$4,"Часы",INDEX(Техника!$G$1:$ABN$500,Z$2,0),$A$396,INDEX(Техника!$H$1:$ABO$500,Z$2,0),"Д")</f>
        <v>0</v>
      </c>
      <c r="AA398" s="50">
        <f>SUMIFS(INDEX(Техника!$F$1:$ABM$500,AA$2,0),Техника!$F$4:$ABM$4,"Часы",INDEX(Техника!$G$1:$ABN$500,AA$2,0),$A$396,INDEX(Техника!$H$1:$ABO$500,AA$2,0),"Д")</f>
        <v>0</v>
      </c>
      <c r="AB398" s="50">
        <f>SUMIFS(INDEX(Техника!$F$1:$ABM$500,AB$2,0),Техника!$F$4:$ABM$4,"Часы",INDEX(Техника!$G$1:$ABN$500,AB$2,0),$A$396,INDEX(Техника!$H$1:$ABO$500,AB$2,0),"Д")</f>
        <v>0</v>
      </c>
    </row>
    <row r="399" spans="1:28" hidden="1" outlineLevel="1" x14ac:dyDescent="0.3">
      <c r="A399" s="33" t="s">
        <v>276</v>
      </c>
      <c r="B399" s="34" t="s">
        <v>277</v>
      </c>
      <c r="C399" s="50">
        <f>SUMIFS(INDEX(Техника!$F$1:$ABM$500,C$2,0),Техника!$F$4:$ABM$4,"Часы",INDEX(Техника!$G$1:$ABN$500,C$2,0),$A$396,INDEX(Техника!$H$1:$ABO$500,C$2,0),"П")</f>
        <v>0</v>
      </c>
      <c r="D399" s="50">
        <f>SUMIFS(INDEX(Техника!$F$1:$ABM$500,D$2,0),Техника!$F$4:$ABM$4,"Часы",INDEX(Техника!$G$1:$ABN$500,D$2,0),$A$396,INDEX(Техника!$H$1:$ABO$500,D$2,0),"П")</f>
        <v>0</v>
      </c>
      <c r="E399" s="50">
        <f>SUMIFS(INDEX(Техника!$F$1:$ABM$500,E$2,0),Техника!$F$4:$ABM$4,"Часы",INDEX(Техника!$G$1:$ABN$500,E$2,0),$A$396,INDEX(Техника!$H$1:$ABO$500,E$2,0),"П")</f>
        <v>0</v>
      </c>
      <c r="F399" s="50">
        <f>SUMIFS(INDEX(Техника!$F$1:$ABM$500,F$2,0),Техника!$F$4:$ABM$4,"Часы",INDEX(Техника!$G$1:$ABN$500,F$2,0),$A$396,INDEX(Техника!$H$1:$ABO$500,F$2,0),"П")</f>
        <v>0</v>
      </c>
      <c r="G399" s="50">
        <f>SUMIFS(INDEX(Техника!$F$1:$ABM$500,G$2,0),Техника!$F$4:$ABM$4,"Часы",INDEX(Техника!$G$1:$ABN$500,G$2,0),$A$396,INDEX(Техника!$H$1:$ABO$500,G$2,0),"П")</f>
        <v>0</v>
      </c>
      <c r="H399" s="50">
        <f>SUMIFS(INDEX(Техника!$F$1:$ABM$500,H$2,0),Техника!$F$4:$ABM$4,"Часы",INDEX(Техника!$G$1:$ABN$500,H$2,0),$A$396,INDEX(Техника!$H$1:$ABO$500,H$2,0),"П")</f>
        <v>0</v>
      </c>
      <c r="I399" s="50">
        <f>SUMIFS(INDEX(Техника!$F$1:$ABM$500,I$2,0),Техника!$F$4:$ABM$4,"Часы",INDEX(Техника!$G$1:$ABN$500,I$2,0),$A$396,INDEX(Техника!$H$1:$ABO$500,I$2,0),"П")</f>
        <v>0</v>
      </c>
      <c r="J399" s="50">
        <f>SUMIFS(INDEX(Техника!$F$1:$ABM$500,J$2,0),Техника!$F$4:$ABM$4,"Часы",INDEX(Техника!$G$1:$ABN$500,J$2,0),$A$396,INDEX(Техника!$H$1:$ABO$500,J$2,0),"П")</f>
        <v>0</v>
      </c>
      <c r="K399" s="50">
        <f>SUMIFS(INDEX(Техника!$F$1:$ABM$500,K$2,0),Техника!$F$4:$ABM$4,"Часы",INDEX(Техника!$G$1:$ABN$500,K$2,0),$A$396,INDEX(Техника!$H$1:$ABO$500,K$2,0),"П")</f>
        <v>0</v>
      </c>
      <c r="L399" s="50">
        <f>SUMIFS(INDEX(Техника!$F$1:$ABM$500,L$2,0),Техника!$F$4:$ABM$4,"Часы",INDEX(Техника!$G$1:$ABN$500,L$2,0),$A$396,INDEX(Техника!$H$1:$ABO$500,L$2,0),"П")</f>
        <v>0</v>
      </c>
      <c r="M399" s="50">
        <f>SUMIFS(INDEX(Техника!$F$1:$ABM$500,M$2,0),Техника!$F$4:$ABM$4,"Часы",INDEX(Техника!$G$1:$ABN$500,M$2,0),$A$396,INDEX(Техника!$H$1:$ABO$500,M$2,0),"П")</f>
        <v>0</v>
      </c>
      <c r="N399" s="50">
        <f>SUMIFS(INDEX(Техника!$F$1:$ABM$500,N$2,0),Техника!$F$4:$ABM$4,"Часы",INDEX(Техника!$G$1:$ABN$500,N$2,0),$A$396,INDEX(Техника!$H$1:$ABO$500,N$2,0),"П")</f>
        <v>0</v>
      </c>
      <c r="O399" s="50">
        <f>SUMIFS(INDEX(Техника!$F$1:$ABM$500,O$2,0),Техника!$F$4:$ABM$4,"Часы",INDEX(Техника!$G$1:$ABN$500,O$2,0),$A$396,INDEX(Техника!$H$1:$ABO$500,O$2,0),"П")</f>
        <v>0</v>
      </c>
      <c r="P399" s="50">
        <f>SUMIFS(INDEX(Техника!$F$1:$ABM$500,P$2,0),Техника!$F$4:$ABM$4,"Часы",INDEX(Техника!$G$1:$ABN$500,P$2,0),$A$396,INDEX(Техника!$H$1:$ABO$500,P$2,0),"П")</f>
        <v>0</v>
      </c>
      <c r="Q399" s="50">
        <f>SUMIFS(INDEX(Техника!$F$1:$ABM$500,Q$2,0),Техника!$F$4:$ABM$4,"Часы",INDEX(Техника!$G$1:$ABN$500,Q$2,0),$A$396,INDEX(Техника!$H$1:$ABO$500,Q$2,0),"П")</f>
        <v>0</v>
      </c>
      <c r="R399" s="50">
        <f>SUMIFS(INDEX(Техника!$F$1:$ABM$500,R$2,0),Техника!$F$4:$ABM$4,"Часы",INDEX(Техника!$G$1:$ABN$500,R$2,0),$A$396,INDEX(Техника!$H$1:$ABO$500,R$2,0),"П")</f>
        <v>0</v>
      </c>
      <c r="S399" s="50">
        <f>SUMIFS(INDEX(Техника!$F$1:$ABM$500,S$2,0),Техника!$F$4:$ABM$4,"Часы",INDEX(Техника!$G$1:$ABN$500,S$2,0),$A$396,INDEX(Техника!$H$1:$ABO$500,S$2,0),"П")</f>
        <v>0</v>
      </c>
      <c r="T399" s="50">
        <f>SUMIFS(INDEX(Техника!$F$1:$ABM$500,T$2,0),Техника!$F$4:$ABM$4,"Часы",INDEX(Техника!$G$1:$ABN$500,T$2,0),$A$396,INDEX(Техника!$H$1:$ABO$500,T$2,0),"П")</f>
        <v>0</v>
      </c>
      <c r="U399" s="50">
        <f>SUMIFS(INDEX(Техника!$F$1:$ABM$500,U$2,0),Техника!$F$4:$ABM$4,"Часы",INDEX(Техника!$G$1:$ABN$500,U$2,0),$A$396,INDEX(Техника!$H$1:$ABO$500,U$2,0),"П")</f>
        <v>0</v>
      </c>
      <c r="V399" s="50">
        <f>SUMIFS(INDEX(Техника!$F$1:$ABM$500,V$2,0),Техника!$F$4:$ABM$4,"Часы",INDEX(Техника!$G$1:$ABN$500,V$2,0),$A$396,INDEX(Техника!$H$1:$ABO$500,V$2,0),"П")</f>
        <v>0</v>
      </c>
      <c r="W399" s="50">
        <f>SUMIFS(INDEX(Техника!$F$1:$ABM$500,W$2,0),Техника!$F$4:$ABM$4,"Часы",INDEX(Техника!$G$1:$ABN$500,W$2,0),$A$396,INDEX(Техника!$H$1:$ABO$500,W$2,0),"П")</f>
        <v>0</v>
      </c>
      <c r="X399" s="50">
        <f>SUMIFS(INDEX(Техника!$F$1:$ABM$500,X$2,0),Техника!$F$4:$ABM$4,"Часы",INDEX(Техника!$G$1:$ABN$500,X$2,0),$A$396,INDEX(Техника!$H$1:$ABO$500,X$2,0),"П")</f>
        <v>0</v>
      </c>
      <c r="Y399" s="50">
        <f>SUMIFS(INDEX(Техника!$F$1:$ABM$500,Y$2,0),Техника!$F$4:$ABM$4,"Часы",INDEX(Техника!$G$1:$ABN$500,Y$2,0),$A$396,INDEX(Техника!$H$1:$ABO$500,Y$2,0),"П")</f>
        <v>0</v>
      </c>
      <c r="Z399" s="50">
        <f>SUMIFS(INDEX(Техника!$F$1:$ABM$500,Z$2,0),Техника!$F$4:$ABM$4,"Часы",INDEX(Техника!$G$1:$ABN$500,Z$2,0),$A$396,INDEX(Техника!$H$1:$ABO$500,Z$2,0),"П")</f>
        <v>0</v>
      </c>
      <c r="AA399" s="50">
        <f>SUMIFS(INDEX(Техника!$F$1:$ABM$500,AA$2,0),Техника!$F$4:$ABM$4,"Часы",INDEX(Техника!$G$1:$ABN$500,AA$2,0),$A$396,INDEX(Техника!$H$1:$ABO$500,AA$2,0),"П")</f>
        <v>0</v>
      </c>
      <c r="AB399" s="50">
        <f>SUMIFS(INDEX(Техника!$F$1:$ABM$500,AB$2,0),Техника!$F$4:$ABM$4,"Часы",INDEX(Техника!$G$1:$ABN$500,AB$2,0),$A$396,INDEX(Техника!$H$1:$ABO$500,AB$2,0),"П")</f>
        <v>0</v>
      </c>
    </row>
    <row r="400" spans="1:28" hidden="1" outlineLevel="1" x14ac:dyDescent="0.3">
      <c r="A400" s="33" t="s">
        <v>243</v>
      </c>
      <c r="B400" s="34" t="s">
        <v>278</v>
      </c>
      <c r="C400" s="50">
        <f>SUMIFS(INDEX(Техника!$F$1:$ABM$500,C$2,0),Техника!$F$4:$ABM$4,"Часы",INDEX(Техника!$G$1:$ABN$500,C$2,0),$A$396,INDEX(Техника!$H$1:$ABO$500,C$2,0),"Л")</f>
        <v>0</v>
      </c>
      <c r="D400" s="50">
        <f>SUMIFS(INDEX(Техника!$F$1:$ABM$500,D$2,0),Техника!$F$4:$ABM$4,"Часы",INDEX(Техника!$G$1:$ABN$500,D$2,0),$A$396,INDEX(Техника!$H$1:$ABO$500,D$2,0),"Л")</f>
        <v>0</v>
      </c>
      <c r="E400" s="50">
        <f>SUMIFS(INDEX(Техника!$F$1:$ABM$500,E$2,0),Техника!$F$4:$ABM$4,"Часы",INDEX(Техника!$G$1:$ABN$500,E$2,0),$A$396,INDEX(Техника!$H$1:$ABO$500,E$2,0),"Л")</f>
        <v>0</v>
      </c>
      <c r="F400" s="50">
        <f>SUMIFS(INDEX(Техника!$F$1:$ABM$500,F$2,0),Техника!$F$4:$ABM$4,"Часы",INDEX(Техника!$G$1:$ABN$500,F$2,0),$A$396,INDEX(Техника!$H$1:$ABO$500,F$2,0),"Л")</f>
        <v>0</v>
      </c>
      <c r="G400" s="50">
        <f>SUMIFS(INDEX(Техника!$F$1:$ABM$500,G$2,0),Техника!$F$4:$ABM$4,"Часы",INDEX(Техника!$G$1:$ABN$500,G$2,0),$A$396,INDEX(Техника!$H$1:$ABO$500,G$2,0),"Л")</f>
        <v>0</v>
      </c>
      <c r="H400" s="50">
        <f>SUMIFS(INDEX(Техника!$F$1:$ABM$500,H$2,0),Техника!$F$4:$ABM$4,"Часы",INDEX(Техника!$G$1:$ABN$500,H$2,0),$A$396,INDEX(Техника!$H$1:$ABO$500,H$2,0),"Л")</f>
        <v>0</v>
      </c>
      <c r="I400" s="50">
        <f>SUMIFS(INDEX(Техника!$F$1:$ABM$500,I$2,0),Техника!$F$4:$ABM$4,"Часы",INDEX(Техника!$G$1:$ABN$500,I$2,0),$A$396,INDEX(Техника!$H$1:$ABO$500,I$2,0),"Л")</f>
        <v>0</v>
      </c>
      <c r="J400" s="50">
        <f>SUMIFS(INDEX(Техника!$F$1:$ABM$500,J$2,0),Техника!$F$4:$ABM$4,"Часы",INDEX(Техника!$G$1:$ABN$500,J$2,0),$A$396,INDEX(Техника!$H$1:$ABO$500,J$2,0),"Л")</f>
        <v>0</v>
      </c>
      <c r="K400" s="50">
        <f>SUMIFS(INDEX(Техника!$F$1:$ABM$500,K$2,0),Техника!$F$4:$ABM$4,"Часы",INDEX(Техника!$G$1:$ABN$500,K$2,0),$A$396,INDEX(Техника!$H$1:$ABO$500,K$2,0),"Л")</f>
        <v>0</v>
      </c>
      <c r="L400" s="50">
        <f>SUMIFS(INDEX(Техника!$F$1:$ABM$500,L$2,0),Техника!$F$4:$ABM$4,"Часы",INDEX(Техника!$G$1:$ABN$500,L$2,0),$A$396,INDEX(Техника!$H$1:$ABO$500,L$2,0),"Л")</f>
        <v>0</v>
      </c>
      <c r="M400" s="50">
        <f>SUMIFS(INDEX(Техника!$F$1:$ABM$500,M$2,0),Техника!$F$4:$ABM$4,"Часы",INDEX(Техника!$G$1:$ABN$500,M$2,0),$A$396,INDEX(Техника!$H$1:$ABO$500,M$2,0),"Л")</f>
        <v>0</v>
      </c>
      <c r="N400" s="50">
        <f>SUMIFS(INDEX(Техника!$F$1:$ABM$500,N$2,0),Техника!$F$4:$ABM$4,"Часы",INDEX(Техника!$G$1:$ABN$500,N$2,0),$A$396,INDEX(Техника!$H$1:$ABO$500,N$2,0),"Л")</f>
        <v>0</v>
      </c>
      <c r="O400" s="50">
        <f>SUMIFS(INDEX(Техника!$F$1:$ABM$500,O$2,0),Техника!$F$4:$ABM$4,"Часы",INDEX(Техника!$G$1:$ABN$500,O$2,0),$A$396,INDEX(Техника!$H$1:$ABO$500,O$2,0),"Л")</f>
        <v>0</v>
      </c>
      <c r="P400" s="50">
        <f>SUMIFS(INDEX(Техника!$F$1:$ABM$500,P$2,0),Техника!$F$4:$ABM$4,"Часы",INDEX(Техника!$G$1:$ABN$500,P$2,0),$A$396,INDEX(Техника!$H$1:$ABO$500,P$2,0),"Л")</f>
        <v>0</v>
      </c>
      <c r="Q400" s="50">
        <f>SUMIFS(INDEX(Техника!$F$1:$ABM$500,Q$2,0),Техника!$F$4:$ABM$4,"Часы",INDEX(Техника!$G$1:$ABN$500,Q$2,0),$A$396,INDEX(Техника!$H$1:$ABO$500,Q$2,0),"Л")</f>
        <v>0</v>
      </c>
      <c r="R400" s="50">
        <f>SUMIFS(INDEX(Техника!$F$1:$ABM$500,R$2,0),Техника!$F$4:$ABM$4,"Часы",INDEX(Техника!$G$1:$ABN$500,R$2,0),$A$396,INDEX(Техника!$H$1:$ABO$500,R$2,0),"Л")</f>
        <v>0</v>
      </c>
      <c r="S400" s="50">
        <f>SUMIFS(INDEX(Техника!$F$1:$ABM$500,S$2,0),Техника!$F$4:$ABM$4,"Часы",INDEX(Техника!$G$1:$ABN$500,S$2,0),$A$396,INDEX(Техника!$H$1:$ABO$500,S$2,0),"Л")</f>
        <v>0</v>
      </c>
      <c r="T400" s="50">
        <f>SUMIFS(INDEX(Техника!$F$1:$ABM$500,T$2,0),Техника!$F$4:$ABM$4,"Часы",INDEX(Техника!$G$1:$ABN$500,T$2,0),$A$396,INDEX(Техника!$H$1:$ABO$500,T$2,0),"Л")</f>
        <v>0</v>
      </c>
      <c r="U400" s="50">
        <f>SUMIFS(INDEX(Техника!$F$1:$ABM$500,U$2,0),Техника!$F$4:$ABM$4,"Часы",INDEX(Техника!$G$1:$ABN$500,U$2,0),$A$396,INDEX(Техника!$H$1:$ABO$500,U$2,0),"Л")</f>
        <v>0</v>
      </c>
      <c r="V400" s="50">
        <f>SUMIFS(INDEX(Техника!$F$1:$ABM$500,V$2,0),Техника!$F$4:$ABM$4,"Часы",INDEX(Техника!$G$1:$ABN$500,V$2,0),$A$396,INDEX(Техника!$H$1:$ABO$500,V$2,0),"Л")</f>
        <v>0</v>
      </c>
      <c r="W400" s="50">
        <f>SUMIFS(INDEX(Техника!$F$1:$ABM$500,W$2,0),Техника!$F$4:$ABM$4,"Часы",INDEX(Техника!$G$1:$ABN$500,W$2,0),$A$396,INDEX(Техника!$H$1:$ABO$500,W$2,0),"Л")</f>
        <v>0</v>
      </c>
      <c r="X400" s="50">
        <f>SUMIFS(INDEX(Техника!$F$1:$ABM$500,X$2,0),Техника!$F$4:$ABM$4,"Часы",INDEX(Техника!$G$1:$ABN$500,X$2,0),$A$396,INDEX(Техника!$H$1:$ABO$500,X$2,0),"Л")</f>
        <v>0</v>
      </c>
      <c r="Y400" s="50">
        <f>SUMIFS(INDEX(Техника!$F$1:$ABM$500,Y$2,0),Техника!$F$4:$ABM$4,"Часы",INDEX(Техника!$G$1:$ABN$500,Y$2,0),$A$396,INDEX(Техника!$H$1:$ABO$500,Y$2,0),"Л")</f>
        <v>0</v>
      </c>
      <c r="Z400" s="50">
        <f>SUMIFS(INDEX(Техника!$F$1:$ABM$500,Z$2,0),Техника!$F$4:$ABM$4,"Часы",INDEX(Техника!$G$1:$ABN$500,Z$2,0),$A$396,INDEX(Техника!$H$1:$ABO$500,Z$2,0),"Л")</f>
        <v>0</v>
      </c>
      <c r="AA400" s="50">
        <f>SUMIFS(INDEX(Техника!$F$1:$ABM$500,AA$2,0),Техника!$F$4:$ABM$4,"Часы",INDEX(Техника!$G$1:$ABN$500,AA$2,0),$A$396,INDEX(Техника!$H$1:$ABO$500,AA$2,0),"Л")</f>
        <v>0</v>
      </c>
      <c r="AB400" s="50">
        <f>SUMIFS(INDEX(Техника!$F$1:$ABM$500,AB$2,0),Техника!$F$4:$ABM$4,"Часы",INDEX(Техника!$G$1:$ABN$500,AB$2,0),$A$396,INDEX(Техника!$H$1:$ABO$500,AB$2,0),"Л")</f>
        <v>0</v>
      </c>
    </row>
    <row r="401" spans="1:28" hidden="1" outlineLevel="1" x14ac:dyDescent="0.3">
      <c r="A401" s="33" t="s">
        <v>245</v>
      </c>
      <c r="B401" s="34" t="s">
        <v>279</v>
      </c>
      <c r="C401" s="50">
        <f>SUMIFS(INDEX(Техника!$F$1:$ABM$500,C$2,0),Техника!$F$4:$ABM$4,"Часы",INDEX(Техника!$G$1:$ABN$500,C$2,0),$A$396,INDEX(Техника!$H$1:$ABO$500,C$2,0),"З")</f>
        <v>0</v>
      </c>
      <c r="D401" s="50">
        <f>SUMIFS(INDEX(Техника!$F$1:$ABM$500,D$2,0),Техника!$F$4:$ABM$4,"Часы",INDEX(Техника!$G$1:$ABN$500,D$2,0),$A$396,INDEX(Техника!$H$1:$ABO$500,D$2,0),"З")</f>
        <v>0</v>
      </c>
      <c r="E401" s="50">
        <f>SUMIFS(INDEX(Техника!$F$1:$ABM$500,E$2,0),Техника!$F$4:$ABM$4,"Часы",INDEX(Техника!$G$1:$ABN$500,E$2,0),$A$396,INDEX(Техника!$H$1:$ABO$500,E$2,0),"З")</f>
        <v>0</v>
      </c>
      <c r="F401" s="50">
        <f>SUMIFS(INDEX(Техника!$F$1:$ABM$500,F$2,0),Техника!$F$4:$ABM$4,"Часы",INDEX(Техника!$G$1:$ABN$500,F$2,0),$A$396,INDEX(Техника!$H$1:$ABO$500,F$2,0),"З")</f>
        <v>0</v>
      </c>
      <c r="G401" s="50">
        <f>SUMIFS(INDEX(Техника!$F$1:$ABM$500,G$2,0),Техника!$F$4:$ABM$4,"Часы",INDEX(Техника!$G$1:$ABN$500,G$2,0),$A$396,INDEX(Техника!$H$1:$ABO$500,G$2,0),"З")</f>
        <v>0</v>
      </c>
      <c r="H401" s="50">
        <f>SUMIFS(INDEX(Техника!$F$1:$ABM$500,H$2,0),Техника!$F$4:$ABM$4,"Часы",INDEX(Техника!$G$1:$ABN$500,H$2,0),$A$396,INDEX(Техника!$H$1:$ABO$500,H$2,0),"З")</f>
        <v>0</v>
      </c>
      <c r="I401" s="50">
        <f>SUMIFS(INDEX(Техника!$F$1:$ABM$500,I$2,0),Техника!$F$4:$ABM$4,"Часы",INDEX(Техника!$G$1:$ABN$500,I$2,0),$A$396,INDEX(Техника!$H$1:$ABO$500,I$2,0),"З")</f>
        <v>0</v>
      </c>
      <c r="J401" s="50">
        <f>SUMIFS(INDEX(Техника!$F$1:$ABM$500,J$2,0),Техника!$F$4:$ABM$4,"Часы",INDEX(Техника!$G$1:$ABN$500,J$2,0),$A$396,INDEX(Техника!$H$1:$ABO$500,J$2,0),"З")</f>
        <v>0</v>
      </c>
      <c r="K401" s="50">
        <f>SUMIFS(INDEX(Техника!$F$1:$ABM$500,K$2,0),Техника!$F$4:$ABM$4,"Часы",INDEX(Техника!$G$1:$ABN$500,K$2,0),$A$396,INDEX(Техника!$H$1:$ABO$500,K$2,0),"З")</f>
        <v>0</v>
      </c>
      <c r="L401" s="50">
        <f>SUMIFS(INDEX(Техника!$F$1:$ABM$500,L$2,0),Техника!$F$4:$ABM$4,"Часы",INDEX(Техника!$G$1:$ABN$500,L$2,0),$A$396,INDEX(Техника!$H$1:$ABO$500,L$2,0),"З")</f>
        <v>0</v>
      </c>
      <c r="M401" s="50">
        <f>SUMIFS(INDEX(Техника!$F$1:$ABM$500,M$2,0),Техника!$F$4:$ABM$4,"Часы",INDEX(Техника!$G$1:$ABN$500,M$2,0),$A$396,INDEX(Техника!$H$1:$ABO$500,M$2,0),"З")</f>
        <v>0</v>
      </c>
      <c r="N401" s="50">
        <f>SUMIFS(INDEX(Техника!$F$1:$ABM$500,N$2,0),Техника!$F$4:$ABM$4,"Часы",INDEX(Техника!$G$1:$ABN$500,N$2,0),$A$396,INDEX(Техника!$H$1:$ABO$500,N$2,0),"З")</f>
        <v>0</v>
      </c>
      <c r="O401" s="50">
        <f>SUMIFS(INDEX(Техника!$F$1:$ABM$500,O$2,0),Техника!$F$4:$ABM$4,"Часы",INDEX(Техника!$G$1:$ABN$500,O$2,0),$A$396,INDEX(Техника!$H$1:$ABO$500,O$2,0),"З")</f>
        <v>0</v>
      </c>
      <c r="P401" s="50">
        <f>SUMIFS(INDEX(Техника!$F$1:$ABM$500,P$2,0),Техника!$F$4:$ABM$4,"Часы",INDEX(Техника!$G$1:$ABN$500,P$2,0),$A$396,INDEX(Техника!$H$1:$ABO$500,P$2,0),"З")</f>
        <v>0</v>
      </c>
      <c r="Q401" s="50">
        <f>SUMIFS(INDEX(Техника!$F$1:$ABM$500,Q$2,0),Техника!$F$4:$ABM$4,"Часы",INDEX(Техника!$G$1:$ABN$500,Q$2,0),$A$396,INDEX(Техника!$H$1:$ABO$500,Q$2,0),"З")</f>
        <v>0</v>
      </c>
      <c r="R401" s="50">
        <f>SUMIFS(INDEX(Техника!$F$1:$ABM$500,R$2,0),Техника!$F$4:$ABM$4,"Часы",INDEX(Техника!$G$1:$ABN$500,R$2,0),$A$396,INDEX(Техника!$H$1:$ABO$500,R$2,0),"З")</f>
        <v>0</v>
      </c>
      <c r="S401" s="50">
        <f>SUMIFS(INDEX(Техника!$F$1:$ABM$500,S$2,0),Техника!$F$4:$ABM$4,"Часы",INDEX(Техника!$G$1:$ABN$500,S$2,0),$A$396,INDEX(Техника!$H$1:$ABO$500,S$2,0),"З")</f>
        <v>0</v>
      </c>
      <c r="T401" s="50">
        <f>SUMIFS(INDEX(Техника!$F$1:$ABM$500,T$2,0),Техника!$F$4:$ABM$4,"Часы",INDEX(Техника!$G$1:$ABN$500,T$2,0),$A$396,INDEX(Техника!$H$1:$ABO$500,T$2,0),"З")</f>
        <v>0</v>
      </c>
      <c r="U401" s="50">
        <f>SUMIFS(INDEX(Техника!$F$1:$ABM$500,U$2,0),Техника!$F$4:$ABM$4,"Часы",INDEX(Техника!$G$1:$ABN$500,U$2,0),$A$396,INDEX(Техника!$H$1:$ABO$500,U$2,0),"З")</f>
        <v>0</v>
      </c>
      <c r="V401" s="50">
        <f>SUMIFS(INDEX(Техника!$F$1:$ABM$500,V$2,0),Техника!$F$4:$ABM$4,"Часы",INDEX(Техника!$G$1:$ABN$500,V$2,0),$A$396,INDEX(Техника!$H$1:$ABO$500,V$2,0),"З")</f>
        <v>0</v>
      </c>
      <c r="W401" s="50">
        <f>SUMIFS(INDEX(Техника!$F$1:$ABM$500,W$2,0),Техника!$F$4:$ABM$4,"Часы",INDEX(Техника!$G$1:$ABN$500,W$2,0),$A$396,INDEX(Техника!$H$1:$ABO$500,W$2,0),"З")</f>
        <v>0</v>
      </c>
      <c r="X401" s="50">
        <f>SUMIFS(INDEX(Техника!$F$1:$ABM$500,X$2,0),Техника!$F$4:$ABM$4,"Часы",INDEX(Техника!$G$1:$ABN$500,X$2,0),$A$396,INDEX(Техника!$H$1:$ABO$500,X$2,0),"З")</f>
        <v>0</v>
      </c>
      <c r="Y401" s="50">
        <f>SUMIFS(INDEX(Техника!$F$1:$ABM$500,Y$2,0),Техника!$F$4:$ABM$4,"Часы",INDEX(Техника!$G$1:$ABN$500,Y$2,0),$A$396,INDEX(Техника!$H$1:$ABO$500,Y$2,0),"З")</f>
        <v>0</v>
      </c>
      <c r="Z401" s="50">
        <f>SUMIFS(INDEX(Техника!$F$1:$ABM$500,Z$2,0),Техника!$F$4:$ABM$4,"Часы",INDEX(Техника!$G$1:$ABN$500,Z$2,0),$A$396,INDEX(Техника!$H$1:$ABO$500,Z$2,0),"З")</f>
        <v>0</v>
      </c>
      <c r="AA401" s="50">
        <f>SUMIFS(INDEX(Техника!$F$1:$ABM$500,AA$2,0),Техника!$F$4:$ABM$4,"Часы",INDEX(Техника!$G$1:$ABN$500,AA$2,0),$A$396,INDEX(Техника!$H$1:$ABO$500,AA$2,0),"З")</f>
        <v>0</v>
      </c>
      <c r="AB401" s="50">
        <f>SUMIFS(INDEX(Техника!$F$1:$ABM$500,AB$2,0),Техника!$F$4:$ABM$4,"Часы",INDEX(Техника!$G$1:$ABN$500,AB$2,0),$A$396,INDEX(Техника!$H$1:$ABO$500,AB$2,0),"З")</f>
        <v>0</v>
      </c>
    </row>
    <row r="402" spans="1:28" ht="7.95" customHeight="1" x14ac:dyDescent="0.3">
      <c r="A402" s="38"/>
      <c r="B402" s="39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</row>
    <row r="403" spans="1:28" ht="25.05" customHeight="1" collapsed="1" x14ac:dyDescent="0.3">
      <c r="A403" s="32">
        <v>58</v>
      </c>
      <c r="B403" s="32" t="s">
        <v>59</v>
      </c>
      <c r="C403" s="49">
        <f>SUM(C404:C408)</f>
        <v>0</v>
      </c>
      <c r="D403" s="49">
        <f>SUM(D404:D408)</f>
        <v>0</v>
      </c>
      <c r="E403" s="49">
        <f>SUM(E404:E408)</f>
        <v>0</v>
      </c>
      <c r="F403" s="49">
        <f>SUM(F404:F408)</f>
        <v>0</v>
      </c>
      <c r="G403" s="49">
        <f>SUM(G404:G408)</f>
        <v>0</v>
      </c>
      <c r="H403" s="49">
        <f>SUM(H404:H408)</f>
        <v>0</v>
      </c>
      <c r="I403" s="49">
        <f>SUM(I404:I408)</f>
        <v>0</v>
      </c>
      <c r="J403" s="49">
        <f>SUM(J404:J408)</f>
        <v>0</v>
      </c>
      <c r="K403" s="49">
        <f>SUM(K404:K408)</f>
        <v>0</v>
      </c>
      <c r="L403" s="49">
        <f>SUM(L404:L408)</f>
        <v>0</v>
      </c>
      <c r="M403" s="49">
        <f>SUM(M404:M408)</f>
        <v>0</v>
      </c>
      <c r="N403" s="49">
        <f>SUM(N404:N408)</f>
        <v>0</v>
      </c>
      <c r="O403" s="49">
        <f>SUM(O404:O408)</f>
        <v>0</v>
      </c>
      <c r="P403" s="49">
        <f>SUM(P404:P408)</f>
        <v>0</v>
      </c>
      <c r="Q403" s="49">
        <f>SUM(Q404:Q408)</f>
        <v>0</v>
      </c>
      <c r="R403" s="49">
        <f>SUM(R404:R408)</f>
        <v>0</v>
      </c>
      <c r="S403" s="49">
        <f>SUM(S404:S408)</f>
        <v>0</v>
      </c>
      <c r="T403" s="49">
        <f>SUM(T404:T408)</f>
        <v>0</v>
      </c>
      <c r="U403" s="49">
        <f>SUM(U404:U408)</f>
        <v>0</v>
      </c>
      <c r="V403" s="49">
        <f>SUM(V404:V408)</f>
        <v>0</v>
      </c>
      <c r="W403" s="49">
        <f>SUM(W404:W408)</f>
        <v>0</v>
      </c>
      <c r="X403" s="49">
        <f>SUM(X404:X408)</f>
        <v>0</v>
      </c>
      <c r="Y403" s="49">
        <f>SUM(Y404:Y408)</f>
        <v>0</v>
      </c>
      <c r="Z403" s="49">
        <f>SUM(Z404:Z408)</f>
        <v>0</v>
      </c>
      <c r="AA403" s="49">
        <f>SUM(AA404:AA408)</f>
        <v>0</v>
      </c>
      <c r="AB403" s="49">
        <f>SUM(AB404:AB408)</f>
        <v>0</v>
      </c>
    </row>
    <row r="404" spans="1:28" hidden="1" outlineLevel="1" x14ac:dyDescent="0.3">
      <c r="A404" s="33" t="s">
        <v>246</v>
      </c>
      <c r="B404" s="34" t="s">
        <v>274</v>
      </c>
      <c r="C404" s="50">
        <f>SUMIFS(INDEX(Техника!$F$1:$ABM$500,C$2,0),Техника!$F$4:$ABM$4,"Часы",INDEX(Техника!$G$1:$ABN$500,C$2,0),$A$403,INDEX(Техника!$H$1:$ABO$500,C$2,0),"М")</f>
        <v>0</v>
      </c>
      <c r="D404" s="50">
        <f>SUMIFS(INDEX(Техника!$F$1:$ABM$500,D$2,0),Техника!$F$4:$ABM$4,"Часы",INDEX(Техника!$G$1:$ABN$500,D$2,0),$A$403,INDEX(Техника!$H$1:$ABO$500,D$2,0),"М")</f>
        <v>0</v>
      </c>
      <c r="E404" s="50">
        <f>SUMIFS(INDEX(Техника!$F$1:$ABM$500,E$2,0),Техника!$F$4:$ABM$4,"Часы",INDEX(Техника!$G$1:$ABN$500,E$2,0),$A$403,INDEX(Техника!$H$1:$ABO$500,E$2,0),"М")</f>
        <v>0</v>
      </c>
      <c r="F404" s="50">
        <f>SUMIFS(INDEX(Техника!$F$1:$ABM$500,F$2,0),Техника!$F$4:$ABM$4,"Часы",INDEX(Техника!$G$1:$ABN$500,F$2,0),$A$403,INDEX(Техника!$H$1:$ABO$500,F$2,0),"М")</f>
        <v>0</v>
      </c>
      <c r="G404" s="50">
        <f>SUMIFS(INDEX(Техника!$F$1:$ABM$500,G$2,0),Техника!$F$4:$ABM$4,"Часы",INDEX(Техника!$G$1:$ABN$500,G$2,0),$A$403,INDEX(Техника!$H$1:$ABO$500,G$2,0),"М")</f>
        <v>0</v>
      </c>
      <c r="H404" s="50">
        <f>SUMIFS(INDEX(Техника!$F$1:$ABM$500,H$2,0),Техника!$F$4:$ABM$4,"Часы",INDEX(Техника!$G$1:$ABN$500,H$2,0),$A$403,INDEX(Техника!$H$1:$ABO$500,H$2,0),"М")</f>
        <v>0</v>
      </c>
      <c r="I404" s="50">
        <f>SUMIFS(INDEX(Техника!$F$1:$ABM$500,I$2,0),Техника!$F$4:$ABM$4,"Часы",INDEX(Техника!$G$1:$ABN$500,I$2,0),$A$403,INDEX(Техника!$H$1:$ABO$500,I$2,0),"М")</f>
        <v>0</v>
      </c>
      <c r="J404" s="50">
        <f>SUMIFS(INDEX(Техника!$F$1:$ABM$500,J$2,0),Техника!$F$4:$ABM$4,"Часы",INDEX(Техника!$G$1:$ABN$500,J$2,0),$A$403,INDEX(Техника!$H$1:$ABO$500,J$2,0),"М")</f>
        <v>0</v>
      </c>
      <c r="K404" s="50">
        <f>SUMIFS(INDEX(Техника!$F$1:$ABM$500,K$2,0),Техника!$F$4:$ABM$4,"Часы",INDEX(Техника!$G$1:$ABN$500,K$2,0),$A$403,INDEX(Техника!$H$1:$ABO$500,K$2,0),"М")</f>
        <v>0</v>
      </c>
      <c r="L404" s="50">
        <f>SUMIFS(INDEX(Техника!$F$1:$ABM$500,L$2,0),Техника!$F$4:$ABM$4,"Часы",INDEX(Техника!$G$1:$ABN$500,L$2,0),$A$403,INDEX(Техника!$H$1:$ABO$500,L$2,0),"М")</f>
        <v>0</v>
      </c>
      <c r="M404" s="50">
        <f>SUMIFS(INDEX(Техника!$F$1:$ABM$500,M$2,0),Техника!$F$4:$ABM$4,"Часы",INDEX(Техника!$G$1:$ABN$500,M$2,0),$A$403,INDEX(Техника!$H$1:$ABO$500,M$2,0),"М")</f>
        <v>0</v>
      </c>
      <c r="N404" s="50">
        <f>SUMIFS(INDEX(Техника!$F$1:$ABM$500,N$2,0),Техника!$F$4:$ABM$4,"Часы",INDEX(Техника!$G$1:$ABN$500,N$2,0),$A$403,INDEX(Техника!$H$1:$ABO$500,N$2,0),"М")</f>
        <v>0</v>
      </c>
      <c r="O404" s="50">
        <f>SUMIFS(INDEX(Техника!$F$1:$ABM$500,O$2,0),Техника!$F$4:$ABM$4,"Часы",INDEX(Техника!$G$1:$ABN$500,O$2,0),$A$403,INDEX(Техника!$H$1:$ABO$500,O$2,0),"М")</f>
        <v>0</v>
      </c>
      <c r="P404" s="50">
        <f>SUMIFS(INDEX(Техника!$F$1:$ABM$500,P$2,0),Техника!$F$4:$ABM$4,"Часы",INDEX(Техника!$G$1:$ABN$500,P$2,0),$A$403,INDEX(Техника!$H$1:$ABO$500,P$2,0),"М")</f>
        <v>0</v>
      </c>
      <c r="Q404" s="50">
        <f>SUMIFS(INDEX(Техника!$F$1:$ABM$500,Q$2,0),Техника!$F$4:$ABM$4,"Часы",INDEX(Техника!$G$1:$ABN$500,Q$2,0),$A$403,INDEX(Техника!$H$1:$ABO$500,Q$2,0),"М")</f>
        <v>0</v>
      </c>
      <c r="R404" s="50">
        <f>SUMIFS(INDEX(Техника!$F$1:$ABM$500,R$2,0),Техника!$F$4:$ABM$4,"Часы",INDEX(Техника!$G$1:$ABN$500,R$2,0),$A$403,INDEX(Техника!$H$1:$ABO$500,R$2,0),"М")</f>
        <v>0</v>
      </c>
      <c r="S404" s="50">
        <f>SUMIFS(INDEX(Техника!$F$1:$ABM$500,S$2,0),Техника!$F$4:$ABM$4,"Часы",INDEX(Техника!$G$1:$ABN$500,S$2,0),$A$403,INDEX(Техника!$H$1:$ABO$500,S$2,0),"М")</f>
        <v>0</v>
      </c>
      <c r="T404" s="50">
        <f>SUMIFS(INDEX(Техника!$F$1:$ABM$500,T$2,0),Техника!$F$4:$ABM$4,"Часы",INDEX(Техника!$G$1:$ABN$500,T$2,0),$A$403,INDEX(Техника!$H$1:$ABO$500,T$2,0),"М")</f>
        <v>0</v>
      </c>
      <c r="U404" s="50">
        <f>SUMIFS(INDEX(Техника!$F$1:$ABM$500,U$2,0),Техника!$F$4:$ABM$4,"Часы",INDEX(Техника!$G$1:$ABN$500,U$2,0),$A$403,INDEX(Техника!$H$1:$ABO$500,U$2,0),"М")</f>
        <v>0</v>
      </c>
      <c r="V404" s="50">
        <f>SUMIFS(INDEX(Техника!$F$1:$ABM$500,V$2,0),Техника!$F$4:$ABM$4,"Часы",INDEX(Техника!$G$1:$ABN$500,V$2,0),$A$403,INDEX(Техника!$H$1:$ABO$500,V$2,0),"М")</f>
        <v>0</v>
      </c>
      <c r="W404" s="50">
        <f>SUMIFS(INDEX(Техника!$F$1:$ABM$500,W$2,0),Техника!$F$4:$ABM$4,"Часы",INDEX(Техника!$G$1:$ABN$500,W$2,0),$A$403,INDEX(Техника!$H$1:$ABO$500,W$2,0),"М")</f>
        <v>0</v>
      </c>
      <c r="X404" s="50">
        <f>SUMIFS(INDEX(Техника!$F$1:$ABM$500,X$2,0),Техника!$F$4:$ABM$4,"Часы",INDEX(Техника!$G$1:$ABN$500,X$2,0),$A$403,INDEX(Техника!$H$1:$ABO$500,X$2,0),"М")</f>
        <v>0</v>
      </c>
      <c r="Y404" s="50">
        <f>SUMIFS(INDEX(Техника!$F$1:$ABM$500,Y$2,0),Техника!$F$4:$ABM$4,"Часы",INDEX(Техника!$G$1:$ABN$500,Y$2,0),$A$403,INDEX(Техника!$H$1:$ABO$500,Y$2,0),"М")</f>
        <v>0</v>
      </c>
      <c r="Z404" s="50">
        <f>SUMIFS(INDEX(Техника!$F$1:$ABM$500,Z$2,0),Техника!$F$4:$ABM$4,"Часы",INDEX(Техника!$G$1:$ABN$500,Z$2,0),$A$403,INDEX(Техника!$H$1:$ABO$500,Z$2,0),"М")</f>
        <v>0</v>
      </c>
      <c r="AA404" s="50">
        <f>SUMIFS(INDEX(Техника!$F$1:$ABM$500,AA$2,0),Техника!$F$4:$ABM$4,"Часы",INDEX(Техника!$G$1:$ABN$500,AA$2,0),$A$403,INDEX(Техника!$H$1:$ABO$500,AA$2,0),"М")</f>
        <v>0</v>
      </c>
      <c r="AB404" s="50">
        <f>SUMIFS(INDEX(Техника!$F$1:$ABM$500,AB$2,0),Техника!$F$4:$ABM$4,"Часы",INDEX(Техника!$G$1:$ABN$500,AB$2,0),$A$403,INDEX(Техника!$H$1:$ABO$500,AB$2,0),"М")</f>
        <v>0</v>
      </c>
    </row>
    <row r="405" spans="1:28" hidden="1" outlineLevel="1" x14ac:dyDescent="0.3">
      <c r="A405" s="33" t="s">
        <v>244</v>
      </c>
      <c r="B405" s="34" t="s">
        <v>275</v>
      </c>
      <c r="C405" s="50">
        <f>SUMIFS(INDEX(Техника!$F$1:$ABM$500,C$2,0),Техника!$F$4:$ABM$4,"Часы",INDEX(Техника!$G$1:$ABN$500,C$2,0),$A$403,INDEX(Техника!$H$1:$ABO$500,C$2,0),"Д")</f>
        <v>0</v>
      </c>
      <c r="D405" s="50">
        <f>SUMIFS(INDEX(Техника!$F$1:$ABM$500,D$2,0),Техника!$F$4:$ABM$4,"Часы",INDEX(Техника!$G$1:$ABN$500,D$2,0),$A$403,INDEX(Техника!$H$1:$ABO$500,D$2,0),"Д")</f>
        <v>0</v>
      </c>
      <c r="E405" s="50">
        <f>SUMIFS(INDEX(Техника!$F$1:$ABM$500,E$2,0),Техника!$F$4:$ABM$4,"Часы",INDEX(Техника!$G$1:$ABN$500,E$2,0),$A$403,INDEX(Техника!$H$1:$ABO$500,E$2,0),"Д")</f>
        <v>0</v>
      </c>
      <c r="F405" s="50">
        <f>SUMIFS(INDEX(Техника!$F$1:$ABM$500,F$2,0),Техника!$F$4:$ABM$4,"Часы",INDEX(Техника!$G$1:$ABN$500,F$2,0),$A$403,INDEX(Техника!$H$1:$ABO$500,F$2,0),"Д")</f>
        <v>0</v>
      </c>
      <c r="G405" s="50">
        <f>SUMIFS(INDEX(Техника!$F$1:$ABM$500,G$2,0),Техника!$F$4:$ABM$4,"Часы",INDEX(Техника!$G$1:$ABN$500,G$2,0),$A$403,INDEX(Техника!$H$1:$ABO$500,G$2,0),"Д")</f>
        <v>0</v>
      </c>
      <c r="H405" s="50">
        <f>SUMIFS(INDEX(Техника!$F$1:$ABM$500,H$2,0),Техника!$F$4:$ABM$4,"Часы",INDEX(Техника!$G$1:$ABN$500,H$2,0),$A$403,INDEX(Техника!$H$1:$ABO$500,H$2,0),"Д")</f>
        <v>0</v>
      </c>
      <c r="I405" s="50">
        <f>SUMIFS(INDEX(Техника!$F$1:$ABM$500,I$2,0),Техника!$F$4:$ABM$4,"Часы",INDEX(Техника!$G$1:$ABN$500,I$2,0),$A$403,INDEX(Техника!$H$1:$ABO$500,I$2,0),"Д")</f>
        <v>0</v>
      </c>
      <c r="J405" s="50">
        <f>SUMIFS(INDEX(Техника!$F$1:$ABM$500,J$2,0),Техника!$F$4:$ABM$4,"Часы",INDEX(Техника!$G$1:$ABN$500,J$2,0),$A$403,INDEX(Техника!$H$1:$ABO$500,J$2,0),"Д")</f>
        <v>0</v>
      </c>
      <c r="K405" s="50">
        <f>SUMIFS(INDEX(Техника!$F$1:$ABM$500,K$2,0),Техника!$F$4:$ABM$4,"Часы",INDEX(Техника!$G$1:$ABN$500,K$2,0),$A$403,INDEX(Техника!$H$1:$ABO$500,K$2,0),"Д")</f>
        <v>0</v>
      </c>
      <c r="L405" s="50">
        <f>SUMIFS(INDEX(Техника!$F$1:$ABM$500,L$2,0),Техника!$F$4:$ABM$4,"Часы",INDEX(Техника!$G$1:$ABN$500,L$2,0),$A$403,INDEX(Техника!$H$1:$ABO$500,L$2,0),"Д")</f>
        <v>0</v>
      </c>
      <c r="M405" s="50">
        <f>SUMIFS(INDEX(Техника!$F$1:$ABM$500,M$2,0),Техника!$F$4:$ABM$4,"Часы",INDEX(Техника!$G$1:$ABN$500,M$2,0),$A$403,INDEX(Техника!$H$1:$ABO$500,M$2,0),"Д")</f>
        <v>0</v>
      </c>
      <c r="N405" s="50">
        <f>SUMIFS(INDEX(Техника!$F$1:$ABM$500,N$2,0),Техника!$F$4:$ABM$4,"Часы",INDEX(Техника!$G$1:$ABN$500,N$2,0),$A$403,INDEX(Техника!$H$1:$ABO$500,N$2,0),"Д")</f>
        <v>0</v>
      </c>
      <c r="O405" s="50">
        <f>SUMIFS(INDEX(Техника!$F$1:$ABM$500,O$2,0),Техника!$F$4:$ABM$4,"Часы",INDEX(Техника!$G$1:$ABN$500,O$2,0),$A$403,INDEX(Техника!$H$1:$ABO$500,O$2,0),"Д")</f>
        <v>0</v>
      </c>
      <c r="P405" s="50">
        <f>SUMIFS(INDEX(Техника!$F$1:$ABM$500,P$2,0),Техника!$F$4:$ABM$4,"Часы",INDEX(Техника!$G$1:$ABN$500,P$2,0),$A$403,INDEX(Техника!$H$1:$ABO$500,P$2,0),"Д")</f>
        <v>0</v>
      </c>
      <c r="Q405" s="50">
        <f>SUMIFS(INDEX(Техника!$F$1:$ABM$500,Q$2,0),Техника!$F$4:$ABM$4,"Часы",INDEX(Техника!$G$1:$ABN$500,Q$2,0),$A$403,INDEX(Техника!$H$1:$ABO$500,Q$2,0),"Д")</f>
        <v>0</v>
      </c>
      <c r="R405" s="50">
        <f>SUMIFS(INDEX(Техника!$F$1:$ABM$500,R$2,0),Техника!$F$4:$ABM$4,"Часы",INDEX(Техника!$G$1:$ABN$500,R$2,0),$A$403,INDEX(Техника!$H$1:$ABO$500,R$2,0),"Д")</f>
        <v>0</v>
      </c>
      <c r="S405" s="50">
        <f>SUMIFS(INDEX(Техника!$F$1:$ABM$500,S$2,0),Техника!$F$4:$ABM$4,"Часы",INDEX(Техника!$G$1:$ABN$500,S$2,0),$A$403,INDEX(Техника!$H$1:$ABO$500,S$2,0),"Д")</f>
        <v>0</v>
      </c>
      <c r="T405" s="50">
        <f>SUMIFS(INDEX(Техника!$F$1:$ABM$500,T$2,0),Техника!$F$4:$ABM$4,"Часы",INDEX(Техника!$G$1:$ABN$500,T$2,0),$A$403,INDEX(Техника!$H$1:$ABO$500,T$2,0),"Д")</f>
        <v>0</v>
      </c>
      <c r="U405" s="50">
        <f>SUMIFS(INDEX(Техника!$F$1:$ABM$500,U$2,0),Техника!$F$4:$ABM$4,"Часы",INDEX(Техника!$G$1:$ABN$500,U$2,0),$A$403,INDEX(Техника!$H$1:$ABO$500,U$2,0),"Д")</f>
        <v>0</v>
      </c>
      <c r="V405" s="50">
        <f>SUMIFS(INDEX(Техника!$F$1:$ABM$500,V$2,0),Техника!$F$4:$ABM$4,"Часы",INDEX(Техника!$G$1:$ABN$500,V$2,0),$A$403,INDEX(Техника!$H$1:$ABO$500,V$2,0),"Д")</f>
        <v>0</v>
      </c>
      <c r="W405" s="50">
        <f>SUMIFS(INDEX(Техника!$F$1:$ABM$500,W$2,0),Техника!$F$4:$ABM$4,"Часы",INDEX(Техника!$G$1:$ABN$500,W$2,0),$A$403,INDEX(Техника!$H$1:$ABO$500,W$2,0),"Д")</f>
        <v>0</v>
      </c>
      <c r="X405" s="50">
        <f>SUMIFS(INDEX(Техника!$F$1:$ABM$500,X$2,0),Техника!$F$4:$ABM$4,"Часы",INDEX(Техника!$G$1:$ABN$500,X$2,0),$A$403,INDEX(Техника!$H$1:$ABO$500,X$2,0),"Д")</f>
        <v>0</v>
      </c>
      <c r="Y405" s="50">
        <f>SUMIFS(INDEX(Техника!$F$1:$ABM$500,Y$2,0),Техника!$F$4:$ABM$4,"Часы",INDEX(Техника!$G$1:$ABN$500,Y$2,0),$A$403,INDEX(Техника!$H$1:$ABO$500,Y$2,0),"Д")</f>
        <v>0</v>
      </c>
      <c r="Z405" s="50">
        <f>SUMIFS(INDEX(Техника!$F$1:$ABM$500,Z$2,0),Техника!$F$4:$ABM$4,"Часы",INDEX(Техника!$G$1:$ABN$500,Z$2,0),$A$403,INDEX(Техника!$H$1:$ABO$500,Z$2,0),"Д")</f>
        <v>0</v>
      </c>
      <c r="AA405" s="50">
        <f>SUMIFS(INDEX(Техника!$F$1:$ABM$500,AA$2,0),Техника!$F$4:$ABM$4,"Часы",INDEX(Техника!$G$1:$ABN$500,AA$2,0),$A$403,INDEX(Техника!$H$1:$ABO$500,AA$2,0),"Д")</f>
        <v>0</v>
      </c>
      <c r="AB405" s="50">
        <f>SUMIFS(INDEX(Техника!$F$1:$ABM$500,AB$2,0),Техника!$F$4:$ABM$4,"Часы",INDEX(Техника!$G$1:$ABN$500,AB$2,0),$A$403,INDEX(Техника!$H$1:$ABO$500,AB$2,0),"Д")</f>
        <v>0</v>
      </c>
    </row>
    <row r="406" spans="1:28" hidden="1" outlineLevel="1" x14ac:dyDescent="0.3">
      <c r="A406" s="33" t="s">
        <v>276</v>
      </c>
      <c r="B406" s="34" t="s">
        <v>277</v>
      </c>
      <c r="C406" s="50">
        <f>SUMIFS(INDEX(Техника!$F$1:$ABM$500,C$2,0),Техника!$F$4:$ABM$4,"Часы",INDEX(Техника!$G$1:$ABN$500,C$2,0),$A$403,INDEX(Техника!$H$1:$ABO$500,C$2,0),"П")</f>
        <v>0</v>
      </c>
      <c r="D406" s="50">
        <f>SUMIFS(INDEX(Техника!$F$1:$ABM$500,D$2,0),Техника!$F$4:$ABM$4,"Часы",INDEX(Техника!$G$1:$ABN$500,D$2,0),$A$403,INDEX(Техника!$H$1:$ABO$500,D$2,0),"П")</f>
        <v>0</v>
      </c>
      <c r="E406" s="50">
        <f>SUMIFS(INDEX(Техника!$F$1:$ABM$500,E$2,0),Техника!$F$4:$ABM$4,"Часы",INDEX(Техника!$G$1:$ABN$500,E$2,0),$A$403,INDEX(Техника!$H$1:$ABO$500,E$2,0),"П")</f>
        <v>0</v>
      </c>
      <c r="F406" s="50">
        <f>SUMIFS(INDEX(Техника!$F$1:$ABM$500,F$2,0),Техника!$F$4:$ABM$4,"Часы",INDEX(Техника!$G$1:$ABN$500,F$2,0),$A$403,INDEX(Техника!$H$1:$ABO$500,F$2,0),"П")</f>
        <v>0</v>
      </c>
      <c r="G406" s="50">
        <f>SUMIFS(INDEX(Техника!$F$1:$ABM$500,G$2,0),Техника!$F$4:$ABM$4,"Часы",INDEX(Техника!$G$1:$ABN$500,G$2,0),$A$403,INDEX(Техника!$H$1:$ABO$500,G$2,0),"П")</f>
        <v>0</v>
      </c>
      <c r="H406" s="50">
        <f>SUMIFS(INDEX(Техника!$F$1:$ABM$500,H$2,0),Техника!$F$4:$ABM$4,"Часы",INDEX(Техника!$G$1:$ABN$500,H$2,0),$A$403,INDEX(Техника!$H$1:$ABO$500,H$2,0),"П")</f>
        <v>0</v>
      </c>
      <c r="I406" s="50">
        <f>SUMIFS(INDEX(Техника!$F$1:$ABM$500,I$2,0),Техника!$F$4:$ABM$4,"Часы",INDEX(Техника!$G$1:$ABN$500,I$2,0),$A$403,INDEX(Техника!$H$1:$ABO$500,I$2,0),"П")</f>
        <v>0</v>
      </c>
      <c r="J406" s="50">
        <f>SUMIFS(INDEX(Техника!$F$1:$ABM$500,J$2,0),Техника!$F$4:$ABM$4,"Часы",INDEX(Техника!$G$1:$ABN$500,J$2,0),$A$403,INDEX(Техника!$H$1:$ABO$500,J$2,0),"П")</f>
        <v>0</v>
      </c>
      <c r="K406" s="50">
        <f>SUMIFS(INDEX(Техника!$F$1:$ABM$500,K$2,0),Техника!$F$4:$ABM$4,"Часы",INDEX(Техника!$G$1:$ABN$500,K$2,0),$A$403,INDEX(Техника!$H$1:$ABO$500,K$2,0),"П")</f>
        <v>0</v>
      </c>
      <c r="L406" s="50">
        <f>SUMIFS(INDEX(Техника!$F$1:$ABM$500,L$2,0),Техника!$F$4:$ABM$4,"Часы",INDEX(Техника!$G$1:$ABN$500,L$2,0),$A$403,INDEX(Техника!$H$1:$ABO$500,L$2,0),"П")</f>
        <v>0</v>
      </c>
      <c r="M406" s="50">
        <f>SUMIFS(INDEX(Техника!$F$1:$ABM$500,M$2,0),Техника!$F$4:$ABM$4,"Часы",INDEX(Техника!$G$1:$ABN$500,M$2,0),$A$403,INDEX(Техника!$H$1:$ABO$500,M$2,0),"П")</f>
        <v>0</v>
      </c>
      <c r="N406" s="50">
        <f>SUMIFS(INDEX(Техника!$F$1:$ABM$500,N$2,0),Техника!$F$4:$ABM$4,"Часы",INDEX(Техника!$G$1:$ABN$500,N$2,0),$A$403,INDEX(Техника!$H$1:$ABO$500,N$2,0),"П")</f>
        <v>0</v>
      </c>
      <c r="O406" s="50">
        <f>SUMIFS(INDEX(Техника!$F$1:$ABM$500,O$2,0),Техника!$F$4:$ABM$4,"Часы",INDEX(Техника!$G$1:$ABN$500,O$2,0),$A$403,INDEX(Техника!$H$1:$ABO$500,O$2,0),"П")</f>
        <v>0</v>
      </c>
      <c r="P406" s="50">
        <f>SUMIFS(INDEX(Техника!$F$1:$ABM$500,P$2,0),Техника!$F$4:$ABM$4,"Часы",INDEX(Техника!$G$1:$ABN$500,P$2,0),$A$403,INDEX(Техника!$H$1:$ABO$500,P$2,0),"П")</f>
        <v>0</v>
      </c>
      <c r="Q406" s="50">
        <f>SUMIFS(INDEX(Техника!$F$1:$ABM$500,Q$2,0),Техника!$F$4:$ABM$4,"Часы",INDEX(Техника!$G$1:$ABN$500,Q$2,0),$A$403,INDEX(Техника!$H$1:$ABO$500,Q$2,0),"П")</f>
        <v>0</v>
      </c>
      <c r="R406" s="50">
        <f>SUMIFS(INDEX(Техника!$F$1:$ABM$500,R$2,0),Техника!$F$4:$ABM$4,"Часы",INDEX(Техника!$G$1:$ABN$500,R$2,0),$A$403,INDEX(Техника!$H$1:$ABO$500,R$2,0),"П")</f>
        <v>0</v>
      </c>
      <c r="S406" s="50">
        <f>SUMIFS(INDEX(Техника!$F$1:$ABM$500,S$2,0),Техника!$F$4:$ABM$4,"Часы",INDEX(Техника!$G$1:$ABN$500,S$2,0),$A$403,INDEX(Техника!$H$1:$ABO$500,S$2,0),"П")</f>
        <v>0</v>
      </c>
      <c r="T406" s="50">
        <f>SUMIFS(INDEX(Техника!$F$1:$ABM$500,T$2,0),Техника!$F$4:$ABM$4,"Часы",INDEX(Техника!$G$1:$ABN$500,T$2,0),$A$403,INDEX(Техника!$H$1:$ABO$500,T$2,0),"П")</f>
        <v>0</v>
      </c>
      <c r="U406" s="50">
        <f>SUMIFS(INDEX(Техника!$F$1:$ABM$500,U$2,0),Техника!$F$4:$ABM$4,"Часы",INDEX(Техника!$G$1:$ABN$500,U$2,0),$A$403,INDEX(Техника!$H$1:$ABO$500,U$2,0),"П")</f>
        <v>0</v>
      </c>
      <c r="V406" s="50">
        <f>SUMIFS(INDEX(Техника!$F$1:$ABM$500,V$2,0),Техника!$F$4:$ABM$4,"Часы",INDEX(Техника!$G$1:$ABN$500,V$2,0),$A$403,INDEX(Техника!$H$1:$ABO$500,V$2,0),"П")</f>
        <v>0</v>
      </c>
      <c r="W406" s="50">
        <f>SUMIFS(INDEX(Техника!$F$1:$ABM$500,W$2,0),Техника!$F$4:$ABM$4,"Часы",INDEX(Техника!$G$1:$ABN$500,W$2,0),$A$403,INDEX(Техника!$H$1:$ABO$500,W$2,0),"П")</f>
        <v>0</v>
      </c>
      <c r="X406" s="50">
        <f>SUMIFS(INDEX(Техника!$F$1:$ABM$500,X$2,0),Техника!$F$4:$ABM$4,"Часы",INDEX(Техника!$G$1:$ABN$500,X$2,0),$A$403,INDEX(Техника!$H$1:$ABO$500,X$2,0),"П")</f>
        <v>0</v>
      </c>
      <c r="Y406" s="50">
        <f>SUMIFS(INDEX(Техника!$F$1:$ABM$500,Y$2,0),Техника!$F$4:$ABM$4,"Часы",INDEX(Техника!$G$1:$ABN$500,Y$2,0),$A$403,INDEX(Техника!$H$1:$ABO$500,Y$2,0),"П")</f>
        <v>0</v>
      </c>
      <c r="Z406" s="50">
        <f>SUMIFS(INDEX(Техника!$F$1:$ABM$500,Z$2,0),Техника!$F$4:$ABM$4,"Часы",INDEX(Техника!$G$1:$ABN$500,Z$2,0),$A$403,INDEX(Техника!$H$1:$ABO$500,Z$2,0),"П")</f>
        <v>0</v>
      </c>
      <c r="AA406" s="50">
        <f>SUMIFS(INDEX(Техника!$F$1:$ABM$500,AA$2,0),Техника!$F$4:$ABM$4,"Часы",INDEX(Техника!$G$1:$ABN$500,AA$2,0),$A$403,INDEX(Техника!$H$1:$ABO$500,AA$2,0),"П")</f>
        <v>0</v>
      </c>
      <c r="AB406" s="50">
        <f>SUMIFS(INDEX(Техника!$F$1:$ABM$500,AB$2,0),Техника!$F$4:$ABM$4,"Часы",INDEX(Техника!$G$1:$ABN$500,AB$2,0),$A$403,INDEX(Техника!$H$1:$ABO$500,AB$2,0),"П")</f>
        <v>0</v>
      </c>
    </row>
    <row r="407" spans="1:28" hidden="1" outlineLevel="1" x14ac:dyDescent="0.3">
      <c r="A407" s="33" t="s">
        <v>243</v>
      </c>
      <c r="B407" s="34" t="s">
        <v>278</v>
      </c>
      <c r="C407" s="50">
        <f>SUMIFS(INDEX(Техника!$F$1:$ABM$500,C$2,0),Техника!$F$4:$ABM$4,"Часы",INDEX(Техника!$G$1:$ABN$500,C$2,0),$A$403,INDEX(Техника!$H$1:$ABO$500,C$2,0),"Л")</f>
        <v>0</v>
      </c>
      <c r="D407" s="50">
        <f>SUMIFS(INDEX(Техника!$F$1:$ABM$500,D$2,0),Техника!$F$4:$ABM$4,"Часы",INDEX(Техника!$G$1:$ABN$500,D$2,0),$A$403,INDEX(Техника!$H$1:$ABO$500,D$2,0),"Л")</f>
        <v>0</v>
      </c>
      <c r="E407" s="50">
        <f>SUMIFS(INDEX(Техника!$F$1:$ABM$500,E$2,0),Техника!$F$4:$ABM$4,"Часы",INDEX(Техника!$G$1:$ABN$500,E$2,0),$A$403,INDEX(Техника!$H$1:$ABO$500,E$2,0),"Л")</f>
        <v>0</v>
      </c>
      <c r="F407" s="50">
        <f>SUMIFS(INDEX(Техника!$F$1:$ABM$500,F$2,0),Техника!$F$4:$ABM$4,"Часы",INDEX(Техника!$G$1:$ABN$500,F$2,0),$A$403,INDEX(Техника!$H$1:$ABO$500,F$2,0),"Л")</f>
        <v>0</v>
      </c>
      <c r="G407" s="50">
        <f>SUMIFS(INDEX(Техника!$F$1:$ABM$500,G$2,0),Техника!$F$4:$ABM$4,"Часы",INDEX(Техника!$G$1:$ABN$500,G$2,0),$A$403,INDEX(Техника!$H$1:$ABO$500,G$2,0),"Л")</f>
        <v>0</v>
      </c>
      <c r="H407" s="50">
        <f>SUMIFS(INDEX(Техника!$F$1:$ABM$500,H$2,0),Техника!$F$4:$ABM$4,"Часы",INDEX(Техника!$G$1:$ABN$500,H$2,0),$A$403,INDEX(Техника!$H$1:$ABO$500,H$2,0),"Л")</f>
        <v>0</v>
      </c>
      <c r="I407" s="50">
        <f>SUMIFS(INDEX(Техника!$F$1:$ABM$500,I$2,0),Техника!$F$4:$ABM$4,"Часы",INDEX(Техника!$G$1:$ABN$500,I$2,0),$A$403,INDEX(Техника!$H$1:$ABO$500,I$2,0),"Л")</f>
        <v>0</v>
      </c>
      <c r="J407" s="50">
        <f>SUMIFS(INDEX(Техника!$F$1:$ABM$500,J$2,0),Техника!$F$4:$ABM$4,"Часы",INDEX(Техника!$G$1:$ABN$500,J$2,0),$A$403,INDEX(Техника!$H$1:$ABO$500,J$2,0),"Л")</f>
        <v>0</v>
      </c>
      <c r="K407" s="50">
        <f>SUMIFS(INDEX(Техника!$F$1:$ABM$500,K$2,0),Техника!$F$4:$ABM$4,"Часы",INDEX(Техника!$G$1:$ABN$500,K$2,0),$A$403,INDEX(Техника!$H$1:$ABO$500,K$2,0),"Л")</f>
        <v>0</v>
      </c>
      <c r="L407" s="50">
        <f>SUMIFS(INDEX(Техника!$F$1:$ABM$500,L$2,0),Техника!$F$4:$ABM$4,"Часы",INDEX(Техника!$G$1:$ABN$500,L$2,0),$A$403,INDEX(Техника!$H$1:$ABO$500,L$2,0),"Л")</f>
        <v>0</v>
      </c>
      <c r="M407" s="50">
        <f>SUMIFS(INDEX(Техника!$F$1:$ABM$500,M$2,0),Техника!$F$4:$ABM$4,"Часы",INDEX(Техника!$G$1:$ABN$500,M$2,0),$A$403,INDEX(Техника!$H$1:$ABO$500,M$2,0),"Л")</f>
        <v>0</v>
      </c>
      <c r="N407" s="50">
        <f>SUMIFS(INDEX(Техника!$F$1:$ABM$500,N$2,0),Техника!$F$4:$ABM$4,"Часы",INDEX(Техника!$G$1:$ABN$500,N$2,0),$A$403,INDEX(Техника!$H$1:$ABO$500,N$2,0),"Л")</f>
        <v>0</v>
      </c>
      <c r="O407" s="50">
        <f>SUMIFS(INDEX(Техника!$F$1:$ABM$500,O$2,0),Техника!$F$4:$ABM$4,"Часы",INDEX(Техника!$G$1:$ABN$500,O$2,0),$A$403,INDEX(Техника!$H$1:$ABO$500,O$2,0),"Л")</f>
        <v>0</v>
      </c>
      <c r="P407" s="50">
        <f>SUMIFS(INDEX(Техника!$F$1:$ABM$500,P$2,0),Техника!$F$4:$ABM$4,"Часы",INDEX(Техника!$G$1:$ABN$500,P$2,0),$A$403,INDEX(Техника!$H$1:$ABO$500,P$2,0),"Л")</f>
        <v>0</v>
      </c>
      <c r="Q407" s="50">
        <f>SUMIFS(INDEX(Техника!$F$1:$ABM$500,Q$2,0),Техника!$F$4:$ABM$4,"Часы",INDEX(Техника!$G$1:$ABN$500,Q$2,0),$A$403,INDEX(Техника!$H$1:$ABO$500,Q$2,0),"Л")</f>
        <v>0</v>
      </c>
      <c r="R407" s="50">
        <f>SUMIFS(INDEX(Техника!$F$1:$ABM$500,R$2,0),Техника!$F$4:$ABM$4,"Часы",INDEX(Техника!$G$1:$ABN$500,R$2,0),$A$403,INDEX(Техника!$H$1:$ABO$500,R$2,0),"Л")</f>
        <v>0</v>
      </c>
      <c r="S407" s="50">
        <f>SUMIFS(INDEX(Техника!$F$1:$ABM$500,S$2,0),Техника!$F$4:$ABM$4,"Часы",INDEX(Техника!$G$1:$ABN$500,S$2,0),$A$403,INDEX(Техника!$H$1:$ABO$500,S$2,0),"Л")</f>
        <v>0</v>
      </c>
      <c r="T407" s="50">
        <f>SUMIFS(INDEX(Техника!$F$1:$ABM$500,T$2,0),Техника!$F$4:$ABM$4,"Часы",INDEX(Техника!$G$1:$ABN$500,T$2,0),$A$403,INDEX(Техника!$H$1:$ABO$500,T$2,0),"Л")</f>
        <v>0</v>
      </c>
      <c r="U407" s="50">
        <f>SUMIFS(INDEX(Техника!$F$1:$ABM$500,U$2,0),Техника!$F$4:$ABM$4,"Часы",INDEX(Техника!$G$1:$ABN$500,U$2,0),$A$403,INDEX(Техника!$H$1:$ABO$500,U$2,0),"Л")</f>
        <v>0</v>
      </c>
      <c r="V407" s="50">
        <f>SUMIFS(INDEX(Техника!$F$1:$ABM$500,V$2,0),Техника!$F$4:$ABM$4,"Часы",INDEX(Техника!$G$1:$ABN$500,V$2,0),$A$403,INDEX(Техника!$H$1:$ABO$500,V$2,0),"Л")</f>
        <v>0</v>
      </c>
      <c r="W407" s="50">
        <f>SUMIFS(INDEX(Техника!$F$1:$ABM$500,W$2,0),Техника!$F$4:$ABM$4,"Часы",INDEX(Техника!$G$1:$ABN$500,W$2,0),$A$403,INDEX(Техника!$H$1:$ABO$500,W$2,0),"Л")</f>
        <v>0</v>
      </c>
      <c r="X407" s="50">
        <f>SUMIFS(INDEX(Техника!$F$1:$ABM$500,X$2,0),Техника!$F$4:$ABM$4,"Часы",INDEX(Техника!$G$1:$ABN$500,X$2,0),$A$403,INDEX(Техника!$H$1:$ABO$500,X$2,0),"Л")</f>
        <v>0</v>
      </c>
      <c r="Y407" s="50">
        <f>SUMIFS(INDEX(Техника!$F$1:$ABM$500,Y$2,0),Техника!$F$4:$ABM$4,"Часы",INDEX(Техника!$G$1:$ABN$500,Y$2,0),$A$403,INDEX(Техника!$H$1:$ABO$500,Y$2,0),"Л")</f>
        <v>0</v>
      </c>
      <c r="Z407" s="50">
        <f>SUMIFS(INDEX(Техника!$F$1:$ABM$500,Z$2,0),Техника!$F$4:$ABM$4,"Часы",INDEX(Техника!$G$1:$ABN$500,Z$2,0),$A$403,INDEX(Техника!$H$1:$ABO$500,Z$2,0),"Л")</f>
        <v>0</v>
      </c>
      <c r="AA407" s="50">
        <f>SUMIFS(INDEX(Техника!$F$1:$ABM$500,AA$2,0),Техника!$F$4:$ABM$4,"Часы",INDEX(Техника!$G$1:$ABN$500,AA$2,0),$A$403,INDEX(Техника!$H$1:$ABO$500,AA$2,0),"Л")</f>
        <v>0</v>
      </c>
      <c r="AB407" s="50">
        <f>SUMIFS(INDEX(Техника!$F$1:$ABM$500,AB$2,0),Техника!$F$4:$ABM$4,"Часы",INDEX(Техника!$G$1:$ABN$500,AB$2,0),$A$403,INDEX(Техника!$H$1:$ABO$500,AB$2,0),"Л")</f>
        <v>0</v>
      </c>
    </row>
    <row r="408" spans="1:28" hidden="1" outlineLevel="1" x14ac:dyDescent="0.3">
      <c r="A408" s="33" t="s">
        <v>245</v>
      </c>
      <c r="B408" s="34" t="s">
        <v>279</v>
      </c>
      <c r="C408" s="50">
        <f>SUMIFS(INDEX(Техника!$F$1:$ABM$500,C$2,0),Техника!$F$4:$ABM$4,"Часы",INDEX(Техника!$G$1:$ABN$500,C$2,0),$A$403,INDEX(Техника!$H$1:$ABO$500,C$2,0),"З")</f>
        <v>0</v>
      </c>
      <c r="D408" s="50">
        <f>SUMIFS(INDEX(Техника!$F$1:$ABM$500,D$2,0),Техника!$F$4:$ABM$4,"Часы",INDEX(Техника!$G$1:$ABN$500,D$2,0),$A$403,INDEX(Техника!$H$1:$ABO$500,D$2,0),"З")</f>
        <v>0</v>
      </c>
      <c r="E408" s="50">
        <f>SUMIFS(INDEX(Техника!$F$1:$ABM$500,E$2,0),Техника!$F$4:$ABM$4,"Часы",INDEX(Техника!$G$1:$ABN$500,E$2,0),$A$403,INDEX(Техника!$H$1:$ABO$500,E$2,0),"З")</f>
        <v>0</v>
      </c>
      <c r="F408" s="50">
        <f>SUMIFS(INDEX(Техника!$F$1:$ABM$500,F$2,0),Техника!$F$4:$ABM$4,"Часы",INDEX(Техника!$G$1:$ABN$500,F$2,0),$A$403,INDEX(Техника!$H$1:$ABO$500,F$2,0),"З")</f>
        <v>0</v>
      </c>
      <c r="G408" s="50">
        <f>SUMIFS(INDEX(Техника!$F$1:$ABM$500,G$2,0),Техника!$F$4:$ABM$4,"Часы",INDEX(Техника!$G$1:$ABN$500,G$2,0),$A$403,INDEX(Техника!$H$1:$ABO$500,G$2,0),"З")</f>
        <v>0</v>
      </c>
      <c r="H408" s="50">
        <f>SUMIFS(INDEX(Техника!$F$1:$ABM$500,H$2,0),Техника!$F$4:$ABM$4,"Часы",INDEX(Техника!$G$1:$ABN$500,H$2,0),$A$403,INDEX(Техника!$H$1:$ABO$500,H$2,0),"З")</f>
        <v>0</v>
      </c>
      <c r="I408" s="50">
        <f>SUMIFS(INDEX(Техника!$F$1:$ABM$500,I$2,0),Техника!$F$4:$ABM$4,"Часы",INDEX(Техника!$G$1:$ABN$500,I$2,0),$A$403,INDEX(Техника!$H$1:$ABO$500,I$2,0),"З")</f>
        <v>0</v>
      </c>
      <c r="J408" s="50">
        <f>SUMIFS(INDEX(Техника!$F$1:$ABM$500,J$2,0),Техника!$F$4:$ABM$4,"Часы",INDEX(Техника!$G$1:$ABN$500,J$2,0),$A$403,INDEX(Техника!$H$1:$ABO$500,J$2,0),"З")</f>
        <v>0</v>
      </c>
      <c r="K408" s="50">
        <f>SUMIFS(INDEX(Техника!$F$1:$ABM$500,K$2,0),Техника!$F$4:$ABM$4,"Часы",INDEX(Техника!$G$1:$ABN$500,K$2,0),$A$403,INDEX(Техника!$H$1:$ABO$500,K$2,0),"З")</f>
        <v>0</v>
      </c>
      <c r="L408" s="50">
        <f>SUMIFS(INDEX(Техника!$F$1:$ABM$500,L$2,0),Техника!$F$4:$ABM$4,"Часы",INDEX(Техника!$G$1:$ABN$500,L$2,0),$A$403,INDEX(Техника!$H$1:$ABO$500,L$2,0),"З")</f>
        <v>0</v>
      </c>
      <c r="M408" s="50">
        <f>SUMIFS(INDEX(Техника!$F$1:$ABM$500,M$2,0),Техника!$F$4:$ABM$4,"Часы",INDEX(Техника!$G$1:$ABN$500,M$2,0),$A$403,INDEX(Техника!$H$1:$ABO$500,M$2,0),"З")</f>
        <v>0</v>
      </c>
      <c r="N408" s="50">
        <f>SUMIFS(INDEX(Техника!$F$1:$ABM$500,N$2,0),Техника!$F$4:$ABM$4,"Часы",INDEX(Техника!$G$1:$ABN$500,N$2,0),$A$403,INDEX(Техника!$H$1:$ABO$500,N$2,0),"З")</f>
        <v>0</v>
      </c>
      <c r="O408" s="50">
        <f>SUMIFS(INDEX(Техника!$F$1:$ABM$500,O$2,0),Техника!$F$4:$ABM$4,"Часы",INDEX(Техника!$G$1:$ABN$500,O$2,0),$A$403,INDEX(Техника!$H$1:$ABO$500,O$2,0),"З")</f>
        <v>0</v>
      </c>
      <c r="P408" s="50">
        <f>SUMIFS(INDEX(Техника!$F$1:$ABM$500,P$2,0),Техника!$F$4:$ABM$4,"Часы",INDEX(Техника!$G$1:$ABN$500,P$2,0),$A$403,INDEX(Техника!$H$1:$ABO$500,P$2,0),"З")</f>
        <v>0</v>
      </c>
      <c r="Q408" s="50">
        <f>SUMIFS(INDEX(Техника!$F$1:$ABM$500,Q$2,0),Техника!$F$4:$ABM$4,"Часы",INDEX(Техника!$G$1:$ABN$500,Q$2,0),$A$403,INDEX(Техника!$H$1:$ABO$500,Q$2,0),"З")</f>
        <v>0</v>
      </c>
      <c r="R408" s="50">
        <f>SUMIFS(INDEX(Техника!$F$1:$ABM$500,R$2,0),Техника!$F$4:$ABM$4,"Часы",INDEX(Техника!$G$1:$ABN$500,R$2,0),$A$403,INDEX(Техника!$H$1:$ABO$500,R$2,0),"З")</f>
        <v>0</v>
      </c>
      <c r="S408" s="50">
        <f>SUMIFS(INDEX(Техника!$F$1:$ABM$500,S$2,0),Техника!$F$4:$ABM$4,"Часы",INDEX(Техника!$G$1:$ABN$500,S$2,0),$A$403,INDEX(Техника!$H$1:$ABO$500,S$2,0),"З")</f>
        <v>0</v>
      </c>
      <c r="T408" s="50">
        <f>SUMIFS(INDEX(Техника!$F$1:$ABM$500,T$2,0),Техника!$F$4:$ABM$4,"Часы",INDEX(Техника!$G$1:$ABN$500,T$2,0),$A$403,INDEX(Техника!$H$1:$ABO$500,T$2,0),"З")</f>
        <v>0</v>
      </c>
      <c r="U408" s="50">
        <f>SUMIFS(INDEX(Техника!$F$1:$ABM$500,U$2,0),Техника!$F$4:$ABM$4,"Часы",INDEX(Техника!$G$1:$ABN$500,U$2,0),$A$403,INDEX(Техника!$H$1:$ABO$500,U$2,0),"З")</f>
        <v>0</v>
      </c>
      <c r="V408" s="50">
        <f>SUMIFS(INDEX(Техника!$F$1:$ABM$500,V$2,0),Техника!$F$4:$ABM$4,"Часы",INDEX(Техника!$G$1:$ABN$500,V$2,0),$A$403,INDEX(Техника!$H$1:$ABO$500,V$2,0),"З")</f>
        <v>0</v>
      </c>
      <c r="W408" s="50">
        <f>SUMIFS(INDEX(Техника!$F$1:$ABM$500,W$2,0),Техника!$F$4:$ABM$4,"Часы",INDEX(Техника!$G$1:$ABN$500,W$2,0),$A$403,INDEX(Техника!$H$1:$ABO$500,W$2,0),"З")</f>
        <v>0</v>
      </c>
      <c r="X408" s="50">
        <f>SUMIFS(INDEX(Техника!$F$1:$ABM$500,X$2,0),Техника!$F$4:$ABM$4,"Часы",INDEX(Техника!$G$1:$ABN$500,X$2,0),$A$403,INDEX(Техника!$H$1:$ABO$500,X$2,0),"З")</f>
        <v>0</v>
      </c>
      <c r="Y408" s="50">
        <f>SUMIFS(INDEX(Техника!$F$1:$ABM$500,Y$2,0),Техника!$F$4:$ABM$4,"Часы",INDEX(Техника!$G$1:$ABN$500,Y$2,0),$A$403,INDEX(Техника!$H$1:$ABO$500,Y$2,0),"З")</f>
        <v>0</v>
      </c>
      <c r="Z408" s="50">
        <f>SUMIFS(INDEX(Техника!$F$1:$ABM$500,Z$2,0),Техника!$F$4:$ABM$4,"Часы",INDEX(Техника!$G$1:$ABN$500,Z$2,0),$A$403,INDEX(Техника!$H$1:$ABO$500,Z$2,0),"З")</f>
        <v>0</v>
      </c>
      <c r="AA408" s="50">
        <f>SUMIFS(INDEX(Техника!$F$1:$ABM$500,AA$2,0),Техника!$F$4:$ABM$4,"Часы",INDEX(Техника!$G$1:$ABN$500,AA$2,0),$A$403,INDEX(Техника!$H$1:$ABO$500,AA$2,0),"З")</f>
        <v>0</v>
      </c>
      <c r="AB408" s="50">
        <f>SUMIFS(INDEX(Техника!$F$1:$ABM$500,AB$2,0),Техника!$F$4:$ABM$4,"Часы",INDEX(Техника!$G$1:$ABN$500,AB$2,0),$A$403,INDEX(Техника!$H$1:$ABO$500,AB$2,0),"З")</f>
        <v>0</v>
      </c>
    </row>
    <row r="409" spans="1:28" ht="7.95" customHeight="1" x14ac:dyDescent="0.3">
      <c r="A409" s="38"/>
      <c r="B409" s="39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</row>
    <row r="410" spans="1:28" ht="25.05" customHeight="1" collapsed="1" x14ac:dyDescent="0.3">
      <c r="A410" s="32">
        <v>59</v>
      </c>
      <c r="B410" s="32" t="s">
        <v>60</v>
      </c>
      <c r="C410" s="49">
        <f>SUM(C411:C415)</f>
        <v>0</v>
      </c>
      <c r="D410" s="49">
        <f>SUM(D411:D415)</f>
        <v>0</v>
      </c>
      <c r="E410" s="49">
        <f>SUM(E411:E415)</f>
        <v>0</v>
      </c>
      <c r="F410" s="49">
        <f>SUM(F411:F415)</f>
        <v>0</v>
      </c>
      <c r="G410" s="49">
        <f>SUM(G411:G415)</f>
        <v>0</v>
      </c>
      <c r="H410" s="49">
        <f>SUM(H411:H415)</f>
        <v>0</v>
      </c>
      <c r="I410" s="49">
        <f>SUM(I411:I415)</f>
        <v>0</v>
      </c>
      <c r="J410" s="49">
        <f>SUM(J411:J415)</f>
        <v>0</v>
      </c>
      <c r="K410" s="49">
        <f>SUM(K411:K415)</f>
        <v>0</v>
      </c>
      <c r="L410" s="49">
        <f>SUM(L411:L415)</f>
        <v>0</v>
      </c>
      <c r="M410" s="49">
        <f>SUM(M411:M415)</f>
        <v>0</v>
      </c>
      <c r="N410" s="49">
        <f>SUM(N411:N415)</f>
        <v>0</v>
      </c>
      <c r="O410" s="49">
        <f>SUM(O411:O415)</f>
        <v>0</v>
      </c>
      <c r="P410" s="49">
        <f>SUM(P411:P415)</f>
        <v>0</v>
      </c>
      <c r="Q410" s="49">
        <f>SUM(Q411:Q415)</f>
        <v>0</v>
      </c>
      <c r="R410" s="49">
        <f>SUM(R411:R415)</f>
        <v>0</v>
      </c>
      <c r="S410" s="49">
        <f>SUM(S411:S415)</f>
        <v>0</v>
      </c>
      <c r="T410" s="49">
        <f>SUM(T411:T415)</f>
        <v>0</v>
      </c>
      <c r="U410" s="49">
        <f>SUM(U411:U415)</f>
        <v>0</v>
      </c>
      <c r="V410" s="49">
        <f>SUM(V411:V415)</f>
        <v>0</v>
      </c>
      <c r="W410" s="49">
        <f>SUM(W411:W415)</f>
        <v>0</v>
      </c>
      <c r="X410" s="49">
        <f>SUM(X411:X415)</f>
        <v>0</v>
      </c>
      <c r="Y410" s="49">
        <f>SUM(Y411:Y415)</f>
        <v>0</v>
      </c>
      <c r="Z410" s="49">
        <f>SUM(Z411:Z415)</f>
        <v>0</v>
      </c>
      <c r="AA410" s="49">
        <f>SUM(AA411:AA415)</f>
        <v>0</v>
      </c>
      <c r="AB410" s="49">
        <f>SUM(AB411:AB415)</f>
        <v>0</v>
      </c>
    </row>
    <row r="411" spans="1:28" hidden="1" outlineLevel="1" x14ac:dyDescent="0.3">
      <c r="A411" s="33" t="s">
        <v>246</v>
      </c>
      <c r="B411" s="34" t="s">
        <v>274</v>
      </c>
      <c r="C411" s="50">
        <f>SUMIFS(INDEX(Техника!$F$1:$ABM$500,C$2,0),Техника!$F$4:$ABM$4,"Часы",INDEX(Техника!$G$1:$ABN$500,C$2,0),$A$410,INDEX(Техника!$H$1:$ABO$500,C$2,0),"М")</f>
        <v>0</v>
      </c>
      <c r="D411" s="50">
        <f>SUMIFS(INDEX(Техника!$F$1:$ABM$500,D$2,0),Техника!$F$4:$ABM$4,"Часы",INDEX(Техника!$G$1:$ABN$500,D$2,0),$A$410,INDEX(Техника!$H$1:$ABO$500,D$2,0),"М")</f>
        <v>0</v>
      </c>
      <c r="E411" s="50">
        <f>SUMIFS(INDEX(Техника!$F$1:$ABM$500,E$2,0),Техника!$F$4:$ABM$4,"Часы",INDEX(Техника!$G$1:$ABN$500,E$2,0),$A$410,INDEX(Техника!$H$1:$ABO$500,E$2,0),"М")</f>
        <v>0</v>
      </c>
      <c r="F411" s="50">
        <f>SUMIFS(INDEX(Техника!$F$1:$ABM$500,F$2,0),Техника!$F$4:$ABM$4,"Часы",INDEX(Техника!$G$1:$ABN$500,F$2,0),$A$410,INDEX(Техника!$H$1:$ABO$500,F$2,0),"М")</f>
        <v>0</v>
      </c>
      <c r="G411" s="50">
        <f>SUMIFS(INDEX(Техника!$F$1:$ABM$500,G$2,0),Техника!$F$4:$ABM$4,"Часы",INDEX(Техника!$G$1:$ABN$500,G$2,0),$A$410,INDEX(Техника!$H$1:$ABO$500,G$2,0),"М")</f>
        <v>0</v>
      </c>
      <c r="H411" s="50">
        <f>SUMIFS(INDEX(Техника!$F$1:$ABM$500,H$2,0),Техника!$F$4:$ABM$4,"Часы",INDEX(Техника!$G$1:$ABN$500,H$2,0),$A$410,INDEX(Техника!$H$1:$ABO$500,H$2,0),"М")</f>
        <v>0</v>
      </c>
      <c r="I411" s="50">
        <f>SUMIFS(INDEX(Техника!$F$1:$ABM$500,I$2,0),Техника!$F$4:$ABM$4,"Часы",INDEX(Техника!$G$1:$ABN$500,I$2,0),$A$410,INDEX(Техника!$H$1:$ABO$500,I$2,0),"М")</f>
        <v>0</v>
      </c>
      <c r="J411" s="50">
        <f>SUMIFS(INDEX(Техника!$F$1:$ABM$500,J$2,0),Техника!$F$4:$ABM$4,"Часы",INDEX(Техника!$G$1:$ABN$500,J$2,0),$A$410,INDEX(Техника!$H$1:$ABO$500,J$2,0),"М")</f>
        <v>0</v>
      </c>
      <c r="K411" s="50">
        <f>SUMIFS(INDEX(Техника!$F$1:$ABM$500,K$2,0),Техника!$F$4:$ABM$4,"Часы",INDEX(Техника!$G$1:$ABN$500,K$2,0),$A$410,INDEX(Техника!$H$1:$ABO$500,K$2,0),"М")</f>
        <v>0</v>
      </c>
      <c r="L411" s="50">
        <f>SUMIFS(INDEX(Техника!$F$1:$ABM$500,L$2,0),Техника!$F$4:$ABM$4,"Часы",INDEX(Техника!$G$1:$ABN$500,L$2,0),$A$410,INDEX(Техника!$H$1:$ABO$500,L$2,0),"М")</f>
        <v>0</v>
      </c>
      <c r="M411" s="50">
        <f>SUMIFS(INDEX(Техника!$F$1:$ABM$500,M$2,0),Техника!$F$4:$ABM$4,"Часы",INDEX(Техника!$G$1:$ABN$500,M$2,0),$A$410,INDEX(Техника!$H$1:$ABO$500,M$2,0),"М")</f>
        <v>0</v>
      </c>
      <c r="N411" s="50">
        <f>SUMIFS(INDEX(Техника!$F$1:$ABM$500,N$2,0),Техника!$F$4:$ABM$4,"Часы",INDEX(Техника!$G$1:$ABN$500,N$2,0),$A$410,INDEX(Техника!$H$1:$ABO$500,N$2,0),"М")</f>
        <v>0</v>
      </c>
      <c r="O411" s="50">
        <f>SUMIFS(INDEX(Техника!$F$1:$ABM$500,O$2,0),Техника!$F$4:$ABM$4,"Часы",INDEX(Техника!$G$1:$ABN$500,O$2,0),$A$410,INDEX(Техника!$H$1:$ABO$500,O$2,0),"М")</f>
        <v>0</v>
      </c>
      <c r="P411" s="50">
        <f>SUMIFS(INDEX(Техника!$F$1:$ABM$500,P$2,0),Техника!$F$4:$ABM$4,"Часы",INDEX(Техника!$G$1:$ABN$500,P$2,0),$A$410,INDEX(Техника!$H$1:$ABO$500,P$2,0),"М")</f>
        <v>0</v>
      </c>
      <c r="Q411" s="50">
        <f>SUMIFS(INDEX(Техника!$F$1:$ABM$500,Q$2,0),Техника!$F$4:$ABM$4,"Часы",INDEX(Техника!$G$1:$ABN$500,Q$2,0),$A$410,INDEX(Техника!$H$1:$ABO$500,Q$2,0),"М")</f>
        <v>0</v>
      </c>
      <c r="R411" s="50">
        <f>SUMIFS(INDEX(Техника!$F$1:$ABM$500,R$2,0),Техника!$F$4:$ABM$4,"Часы",INDEX(Техника!$G$1:$ABN$500,R$2,0),$A$410,INDEX(Техника!$H$1:$ABO$500,R$2,0),"М")</f>
        <v>0</v>
      </c>
      <c r="S411" s="50">
        <f>SUMIFS(INDEX(Техника!$F$1:$ABM$500,S$2,0),Техника!$F$4:$ABM$4,"Часы",INDEX(Техника!$G$1:$ABN$500,S$2,0),$A$410,INDEX(Техника!$H$1:$ABO$500,S$2,0),"М")</f>
        <v>0</v>
      </c>
      <c r="T411" s="50">
        <f>SUMIFS(INDEX(Техника!$F$1:$ABM$500,T$2,0),Техника!$F$4:$ABM$4,"Часы",INDEX(Техника!$G$1:$ABN$500,T$2,0),$A$410,INDEX(Техника!$H$1:$ABO$500,T$2,0),"М")</f>
        <v>0</v>
      </c>
      <c r="U411" s="50">
        <f>SUMIFS(INDEX(Техника!$F$1:$ABM$500,U$2,0),Техника!$F$4:$ABM$4,"Часы",INDEX(Техника!$G$1:$ABN$500,U$2,0),$A$410,INDEX(Техника!$H$1:$ABO$500,U$2,0),"М")</f>
        <v>0</v>
      </c>
      <c r="V411" s="50">
        <f>SUMIFS(INDEX(Техника!$F$1:$ABM$500,V$2,0),Техника!$F$4:$ABM$4,"Часы",INDEX(Техника!$G$1:$ABN$500,V$2,0),$A$410,INDEX(Техника!$H$1:$ABO$500,V$2,0),"М")</f>
        <v>0</v>
      </c>
      <c r="W411" s="50">
        <f>SUMIFS(INDEX(Техника!$F$1:$ABM$500,W$2,0),Техника!$F$4:$ABM$4,"Часы",INDEX(Техника!$G$1:$ABN$500,W$2,0),$A$410,INDEX(Техника!$H$1:$ABO$500,W$2,0),"М")</f>
        <v>0</v>
      </c>
      <c r="X411" s="50">
        <f>SUMIFS(INDEX(Техника!$F$1:$ABM$500,X$2,0),Техника!$F$4:$ABM$4,"Часы",INDEX(Техника!$G$1:$ABN$500,X$2,0),$A$410,INDEX(Техника!$H$1:$ABO$500,X$2,0),"М")</f>
        <v>0</v>
      </c>
      <c r="Y411" s="50">
        <f>SUMIFS(INDEX(Техника!$F$1:$ABM$500,Y$2,0),Техника!$F$4:$ABM$4,"Часы",INDEX(Техника!$G$1:$ABN$500,Y$2,0),$A$410,INDEX(Техника!$H$1:$ABO$500,Y$2,0),"М")</f>
        <v>0</v>
      </c>
      <c r="Z411" s="50">
        <f>SUMIFS(INDEX(Техника!$F$1:$ABM$500,Z$2,0),Техника!$F$4:$ABM$4,"Часы",INDEX(Техника!$G$1:$ABN$500,Z$2,0),$A$410,INDEX(Техника!$H$1:$ABO$500,Z$2,0),"М")</f>
        <v>0</v>
      </c>
      <c r="AA411" s="50">
        <f>SUMIFS(INDEX(Техника!$F$1:$ABM$500,AA$2,0),Техника!$F$4:$ABM$4,"Часы",INDEX(Техника!$G$1:$ABN$500,AA$2,0),$A$410,INDEX(Техника!$H$1:$ABO$500,AA$2,0),"М")</f>
        <v>0</v>
      </c>
      <c r="AB411" s="50">
        <f>SUMIFS(INDEX(Техника!$F$1:$ABM$500,AB$2,0),Техника!$F$4:$ABM$4,"Часы",INDEX(Техника!$G$1:$ABN$500,AB$2,0),$A$410,INDEX(Техника!$H$1:$ABO$500,AB$2,0),"М")</f>
        <v>0</v>
      </c>
    </row>
    <row r="412" spans="1:28" hidden="1" outlineLevel="1" x14ac:dyDescent="0.3">
      <c r="A412" s="33" t="s">
        <v>244</v>
      </c>
      <c r="B412" s="34" t="s">
        <v>275</v>
      </c>
      <c r="C412" s="50">
        <f>SUMIFS(INDEX(Техника!$F$1:$ABM$500,C$2,0),Техника!$F$4:$ABM$4,"Часы",INDEX(Техника!$G$1:$ABN$500,C$2,0),$A$410,INDEX(Техника!$H$1:$ABO$500,C$2,0),"Д")</f>
        <v>0</v>
      </c>
      <c r="D412" s="50">
        <f>SUMIFS(INDEX(Техника!$F$1:$ABM$500,D$2,0),Техника!$F$4:$ABM$4,"Часы",INDEX(Техника!$G$1:$ABN$500,D$2,0),$A$410,INDEX(Техника!$H$1:$ABO$500,D$2,0),"Д")</f>
        <v>0</v>
      </c>
      <c r="E412" s="50">
        <f>SUMIFS(INDEX(Техника!$F$1:$ABM$500,E$2,0),Техника!$F$4:$ABM$4,"Часы",INDEX(Техника!$G$1:$ABN$500,E$2,0),$A$410,INDEX(Техника!$H$1:$ABO$500,E$2,0),"Д")</f>
        <v>0</v>
      </c>
      <c r="F412" s="50">
        <f>SUMIFS(INDEX(Техника!$F$1:$ABM$500,F$2,0),Техника!$F$4:$ABM$4,"Часы",INDEX(Техника!$G$1:$ABN$500,F$2,0),$A$410,INDEX(Техника!$H$1:$ABO$500,F$2,0),"Д")</f>
        <v>0</v>
      </c>
      <c r="G412" s="50">
        <f>SUMIFS(INDEX(Техника!$F$1:$ABM$500,G$2,0),Техника!$F$4:$ABM$4,"Часы",INDEX(Техника!$G$1:$ABN$500,G$2,0),$A$410,INDEX(Техника!$H$1:$ABO$500,G$2,0),"Д")</f>
        <v>0</v>
      </c>
      <c r="H412" s="50">
        <f>SUMIFS(INDEX(Техника!$F$1:$ABM$500,H$2,0),Техника!$F$4:$ABM$4,"Часы",INDEX(Техника!$G$1:$ABN$500,H$2,0),$A$410,INDEX(Техника!$H$1:$ABO$500,H$2,0),"Д")</f>
        <v>0</v>
      </c>
      <c r="I412" s="50">
        <f>SUMIFS(INDEX(Техника!$F$1:$ABM$500,I$2,0),Техника!$F$4:$ABM$4,"Часы",INDEX(Техника!$G$1:$ABN$500,I$2,0),$A$410,INDEX(Техника!$H$1:$ABO$500,I$2,0),"Д")</f>
        <v>0</v>
      </c>
      <c r="J412" s="50">
        <f>SUMIFS(INDEX(Техника!$F$1:$ABM$500,J$2,0),Техника!$F$4:$ABM$4,"Часы",INDEX(Техника!$G$1:$ABN$500,J$2,0),$A$410,INDEX(Техника!$H$1:$ABO$500,J$2,0),"Д")</f>
        <v>0</v>
      </c>
      <c r="K412" s="50">
        <f>SUMIFS(INDEX(Техника!$F$1:$ABM$500,K$2,0),Техника!$F$4:$ABM$4,"Часы",INDEX(Техника!$G$1:$ABN$500,K$2,0),$A$410,INDEX(Техника!$H$1:$ABO$500,K$2,0),"Д")</f>
        <v>0</v>
      </c>
      <c r="L412" s="50">
        <f>SUMIFS(INDEX(Техника!$F$1:$ABM$500,L$2,0),Техника!$F$4:$ABM$4,"Часы",INDEX(Техника!$G$1:$ABN$500,L$2,0),$A$410,INDEX(Техника!$H$1:$ABO$500,L$2,0),"Д")</f>
        <v>0</v>
      </c>
      <c r="M412" s="50">
        <f>SUMIFS(INDEX(Техника!$F$1:$ABM$500,M$2,0),Техника!$F$4:$ABM$4,"Часы",INDEX(Техника!$G$1:$ABN$500,M$2,0),$A$410,INDEX(Техника!$H$1:$ABO$500,M$2,0),"Д")</f>
        <v>0</v>
      </c>
      <c r="N412" s="50">
        <f>SUMIFS(INDEX(Техника!$F$1:$ABM$500,N$2,0),Техника!$F$4:$ABM$4,"Часы",INDEX(Техника!$G$1:$ABN$500,N$2,0),$A$410,INDEX(Техника!$H$1:$ABO$500,N$2,0),"Д")</f>
        <v>0</v>
      </c>
      <c r="O412" s="50">
        <f>SUMIFS(INDEX(Техника!$F$1:$ABM$500,O$2,0),Техника!$F$4:$ABM$4,"Часы",INDEX(Техника!$G$1:$ABN$500,O$2,0),$A$410,INDEX(Техника!$H$1:$ABO$500,O$2,0),"Д")</f>
        <v>0</v>
      </c>
      <c r="P412" s="50">
        <f>SUMIFS(INDEX(Техника!$F$1:$ABM$500,P$2,0),Техника!$F$4:$ABM$4,"Часы",INDEX(Техника!$G$1:$ABN$500,P$2,0),$A$410,INDEX(Техника!$H$1:$ABO$500,P$2,0),"Д")</f>
        <v>0</v>
      </c>
      <c r="Q412" s="50">
        <f>SUMIFS(INDEX(Техника!$F$1:$ABM$500,Q$2,0),Техника!$F$4:$ABM$4,"Часы",INDEX(Техника!$G$1:$ABN$500,Q$2,0),$A$410,INDEX(Техника!$H$1:$ABO$500,Q$2,0),"Д")</f>
        <v>0</v>
      </c>
      <c r="R412" s="50">
        <f>SUMIFS(INDEX(Техника!$F$1:$ABM$500,R$2,0),Техника!$F$4:$ABM$4,"Часы",INDEX(Техника!$G$1:$ABN$500,R$2,0),$A$410,INDEX(Техника!$H$1:$ABO$500,R$2,0),"Д")</f>
        <v>0</v>
      </c>
      <c r="S412" s="50">
        <f>SUMIFS(INDEX(Техника!$F$1:$ABM$500,S$2,0),Техника!$F$4:$ABM$4,"Часы",INDEX(Техника!$G$1:$ABN$500,S$2,0),$A$410,INDEX(Техника!$H$1:$ABO$500,S$2,0),"Д")</f>
        <v>0</v>
      </c>
      <c r="T412" s="50">
        <f>SUMIFS(INDEX(Техника!$F$1:$ABM$500,T$2,0),Техника!$F$4:$ABM$4,"Часы",INDEX(Техника!$G$1:$ABN$500,T$2,0),$A$410,INDEX(Техника!$H$1:$ABO$500,T$2,0),"Д")</f>
        <v>0</v>
      </c>
      <c r="U412" s="50">
        <f>SUMIFS(INDEX(Техника!$F$1:$ABM$500,U$2,0),Техника!$F$4:$ABM$4,"Часы",INDEX(Техника!$G$1:$ABN$500,U$2,0),$A$410,INDEX(Техника!$H$1:$ABO$500,U$2,0),"Д")</f>
        <v>0</v>
      </c>
      <c r="V412" s="50">
        <f>SUMIFS(INDEX(Техника!$F$1:$ABM$500,V$2,0),Техника!$F$4:$ABM$4,"Часы",INDEX(Техника!$G$1:$ABN$500,V$2,0),$A$410,INDEX(Техника!$H$1:$ABO$500,V$2,0),"Д")</f>
        <v>0</v>
      </c>
      <c r="W412" s="50">
        <f>SUMIFS(INDEX(Техника!$F$1:$ABM$500,W$2,0),Техника!$F$4:$ABM$4,"Часы",INDEX(Техника!$G$1:$ABN$500,W$2,0),$A$410,INDEX(Техника!$H$1:$ABO$500,W$2,0),"Д")</f>
        <v>0</v>
      </c>
      <c r="X412" s="50">
        <f>SUMIFS(INDEX(Техника!$F$1:$ABM$500,X$2,0),Техника!$F$4:$ABM$4,"Часы",INDEX(Техника!$G$1:$ABN$500,X$2,0),$A$410,INDEX(Техника!$H$1:$ABO$500,X$2,0),"Д")</f>
        <v>0</v>
      </c>
      <c r="Y412" s="50">
        <f>SUMIFS(INDEX(Техника!$F$1:$ABM$500,Y$2,0),Техника!$F$4:$ABM$4,"Часы",INDEX(Техника!$G$1:$ABN$500,Y$2,0),$A$410,INDEX(Техника!$H$1:$ABO$500,Y$2,0),"Д")</f>
        <v>0</v>
      </c>
      <c r="Z412" s="50">
        <f>SUMIFS(INDEX(Техника!$F$1:$ABM$500,Z$2,0),Техника!$F$4:$ABM$4,"Часы",INDEX(Техника!$G$1:$ABN$500,Z$2,0),$A$410,INDEX(Техника!$H$1:$ABO$500,Z$2,0),"Д")</f>
        <v>0</v>
      </c>
      <c r="AA412" s="50">
        <f>SUMIFS(INDEX(Техника!$F$1:$ABM$500,AA$2,0),Техника!$F$4:$ABM$4,"Часы",INDEX(Техника!$G$1:$ABN$500,AA$2,0),$A$410,INDEX(Техника!$H$1:$ABO$500,AA$2,0),"Д")</f>
        <v>0</v>
      </c>
      <c r="AB412" s="50">
        <f>SUMIFS(INDEX(Техника!$F$1:$ABM$500,AB$2,0),Техника!$F$4:$ABM$4,"Часы",INDEX(Техника!$G$1:$ABN$500,AB$2,0),$A$410,INDEX(Техника!$H$1:$ABO$500,AB$2,0),"Д")</f>
        <v>0</v>
      </c>
    </row>
    <row r="413" spans="1:28" hidden="1" outlineLevel="1" x14ac:dyDescent="0.3">
      <c r="A413" s="33" t="s">
        <v>276</v>
      </c>
      <c r="B413" s="34" t="s">
        <v>277</v>
      </c>
      <c r="C413" s="50">
        <f>SUMIFS(INDEX(Техника!$F$1:$ABM$500,C$2,0),Техника!$F$4:$ABM$4,"Часы",INDEX(Техника!$G$1:$ABN$500,C$2,0),$A$410,INDEX(Техника!$H$1:$ABO$500,C$2,0),"П")</f>
        <v>0</v>
      </c>
      <c r="D413" s="50">
        <f>SUMIFS(INDEX(Техника!$F$1:$ABM$500,D$2,0),Техника!$F$4:$ABM$4,"Часы",INDEX(Техника!$G$1:$ABN$500,D$2,0),$A$410,INDEX(Техника!$H$1:$ABO$500,D$2,0),"П")</f>
        <v>0</v>
      </c>
      <c r="E413" s="50">
        <f>SUMIFS(INDEX(Техника!$F$1:$ABM$500,E$2,0),Техника!$F$4:$ABM$4,"Часы",INDEX(Техника!$G$1:$ABN$500,E$2,0),$A$410,INDEX(Техника!$H$1:$ABO$500,E$2,0),"П")</f>
        <v>0</v>
      </c>
      <c r="F413" s="50">
        <f>SUMIFS(INDEX(Техника!$F$1:$ABM$500,F$2,0),Техника!$F$4:$ABM$4,"Часы",INDEX(Техника!$G$1:$ABN$500,F$2,0),$A$410,INDEX(Техника!$H$1:$ABO$500,F$2,0),"П")</f>
        <v>0</v>
      </c>
      <c r="G413" s="50">
        <f>SUMIFS(INDEX(Техника!$F$1:$ABM$500,G$2,0),Техника!$F$4:$ABM$4,"Часы",INDEX(Техника!$G$1:$ABN$500,G$2,0),$A$410,INDEX(Техника!$H$1:$ABO$500,G$2,0),"П")</f>
        <v>0</v>
      </c>
      <c r="H413" s="50">
        <f>SUMIFS(INDEX(Техника!$F$1:$ABM$500,H$2,0),Техника!$F$4:$ABM$4,"Часы",INDEX(Техника!$G$1:$ABN$500,H$2,0),$A$410,INDEX(Техника!$H$1:$ABO$500,H$2,0),"П")</f>
        <v>0</v>
      </c>
      <c r="I413" s="50">
        <f>SUMIFS(INDEX(Техника!$F$1:$ABM$500,I$2,0),Техника!$F$4:$ABM$4,"Часы",INDEX(Техника!$G$1:$ABN$500,I$2,0),$A$410,INDEX(Техника!$H$1:$ABO$500,I$2,0),"П")</f>
        <v>0</v>
      </c>
      <c r="J413" s="50">
        <f>SUMIFS(INDEX(Техника!$F$1:$ABM$500,J$2,0),Техника!$F$4:$ABM$4,"Часы",INDEX(Техника!$G$1:$ABN$500,J$2,0),$A$410,INDEX(Техника!$H$1:$ABO$500,J$2,0),"П")</f>
        <v>0</v>
      </c>
      <c r="K413" s="50">
        <f>SUMIFS(INDEX(Техника!$F$1:$ABM$500,K$2,0),Техника!$F$4:$ABM$4,"Часы",INDEX(Техника!$G$1:$ABN$500,K$2,0),$A$410,INDEX(Техника!$H$1:$ABO$500,K$2,0),"П")</f>
        <v>0</v>
      </c>
      <c r="L413" s="50">
        <f>SUMIFS(INDEX(Техника!$F$1:$ABM$500,L$2,0),Техника!$F$4:$ABM$4,"Часы",INDEX(Техника!$G$1:$ABN$500,L$2,0),$A$410,INDEX(Техника!$H$1:$ABO$500,L$2,0),"П")</f>
        <v>0</v>
      </c>
      <c r="M413" s="50">
        <f>SUMIFS(INDEX(Техника!$F$1:$ABM$500,M$2,0),Техника!$F$4:$ABM$4,"Часы",INDEX(Техника!$G$1:$ABN$500,M$2,0),$A$410,INDEX(Техника!$H$1:$ABO$500,M$2,0),"П")</f>
        <v>0</v>
      </c>
      <c r="N413" s="50">
        <f>SUMIFS(INDEX(Техника!$F$1:$ABM$500,N$2,0),Техника!$F$4:$ABM$4,"Часы",INDEX(Техника!$G$1:$ABN$500,N$2,0),$A$410,INDEX(Техника!$H$1:$ABO$500,N$2,0),"П")</f>
        <v>0</v>
      </c>
      <c r="O413" s="50">
        <f>SUMIFS(INDEX(Техника!$F$1:$ABM$500,O$2,0),Техника!$F$4:$ABM$4,"Часы",INDEX(Техника!$G$1:$ABN$500,O$2,0),$A$410,INDEX(Техника!$H$1:$ABO$500,O$2,0),"П")</f>
        <v>0</v>
      </c>
      <c r="P413" s="50">
        <f>SUMIFS(INDEX(Техника!$F$1:$ABM$500,P$2,0),Техника!$F$4:$ABM$4,"Часы",INDEX(Техника!$G$1:$ABN$500,P$2,0),$A$410,INDEX(Техника!$H$1:$ABO$500,P$2,0),"П")</f>
        <v>0</v>
      </c>
      <c r="Q413" s="50">
        <f>SUMIFS(INDEX(Техника!$F$1:$ABM$500,Q$2,0),Техника!$F$4:$ABM$4,"Часы",INDEX(Техника!$G$1:$ABN$500,Q$2,0),$A$410,INDEX(Техника!$H$1:$ABO$500,Q$2,0),"П")</f>
        <v>0</v>
      </c>
      <c r="R413" s="50">
        <f>SUMIFS(INDEX(Техника!$F$1:$ABM$500,R$2,0),Техника!$F$4:$ABM$4,"Часы",INDEX(Техника!$G$1:$ABN$500,R$2,0),$A$410,INDEX(Техника!$H$1:$ABO$500,R$2,0),"П")</f>
        <v>0</v>
      </c>
      <c r="S413" s="50">
        <f>SUMIFS(INDEX(Техника!$F$1:$ABM$500,S$2,0),Техника!$F$4:$ABM$4,"Часы",INDEX(Техника!$G$1:$ABN$500,S$2,0),$A$410,INDEX(Техника!$H$1:$ABO$500,S$2,0),"П")</f>
        <v>0</v>
      </c>
      <c r="T413" s="50">
        <f>SUMIFS(INDEX(Техника!$F$1:$ABM$500,T$2,0),Техника!$F$4:$ABM$4,"Часы",INDEX(Техника!$G$1:$ABN$500,T$2,0),$A$410,INDEX(Техника!$H$1:$ABO$500,T$2,0),"П")</f>
        <v>0</v>
      </c>
      <c r="U413" s="50">
        <f>SUMIFS(INDEX(Техника!$F$1:$ABM$500,U$2,0),Техника!$F$4:$ABM$4,"Часы",INDEX(Техника!$G$1:$ABN$500,U$2,0),$A$410,INDEX(Техника!$H$1:$ABO$500,U$2,0),"П")</f>
        <v>0</v>
      </c>
      <c r="V413" s="50">
        <f>SUMIFS(INDEX(Техника!$F$1:$ABM$500,V$2,0),Техника!$F$4:$ABM$4,"Часы",INDEX(Техника!$G$1:$ABN$500,V$2,0),$A$410,INDEX(Техника!$H$1:$ABO$500,V$2,0),"П")</f>
        <v>0</v>
      </c>
      <c r="W413" s="50">
        <f>SUMIFS(INDEX(Техника!$F$1:$ABM$500,W$2,0),Техника!$F$4:$ABM$4,"Часы",INDEX(Техника!$G$1:$ABN$500,W$2,0),$A$410,INDEX(Техника!$H$1:$ABO$500,W$2,0),"П")</f>
        <v>0</v>
      </c>
      <c r="X413" s="50">
        <f>SUMIFS(INDEX(Техника!$F$1:$ABM$500,X$2,0),Техника!$F$4:$ABM$4,"Часы",INDEX(Техника!$G$1:$ABN$500,X$2,0),$A$410,INDEX(Техника!$H$1:$ABO$500,X$2,0),"П")</f>
        <v>0</v>
      </c>
      <c r="Y413" s="50">
        <f>SUMIFS(INDEX(Техника!$F$1:$ABM$500,Y$2,0),Техника!$F$4:$ABM$4,"Часы",INDEX(Техника!$G$1:$ABN$500,Y$2,0),$A$410,INDEX(Техника!$H$1:$ABO$500,Y$2,0),"П")</f>
        <v>0</v>
      </c>
      <c r="Z413" s="50">
        <f>SUMIFS(INDEX(Техника!$F$1:$ABM$500,Z$2,0),Техника!$F$4:$ABM$4,"Часы",INDEX(Техника!$G$1:$ABN$500,Z$2,0),$A$410,INDEX(Техника!$H$1:$ABO$500,Z$2,0),"П")</f>
        <v>0</v>
      </c>
      <c r="AA413" s="50">
        <f>SUMIFS(INDEX(Техника!$F$1:$ABM$500,AA$2,0),Техника!$F$4:$ABM$4,"Часы",INDEX(Техника!$G$1:$ABN$500,AA$2,0),$A$410,INDEX(Техника!$H$1:$ABO$500,AA$2,0),"П")</f>
        <v>0</v>
      </c>
      <c r="AB413" s="50">
        <f>SUMIFS(INDEX(Техника!$F$1:$ABM$500,AB$2,0),Техника!$F$4:$ABM$4,"Часы",INDEX(Техника!$G$1:$ABN$500,AB$2,0),$A$410,INDEX(Техника!$H$1:$ABO$500,AB$2,0),"П")</f>
        <v>0</v>
      </c>
    </row>
    <row r="414" spans="1:28" hidden="1" outlineLevel="1" x14ac:dyDescent="0.3">
      <c r="A414" s="33" t="s">
        <v>243</v>
      </c>
      <c r="B414" s="34" t="s">
        <v>278</v>
      </c>
      <c r="C414" s="50">
        <f>SUMIFS(INDEX(Техника!$F$1:$ABM$500,C$2,0),Техника!$F$4:$ABM$4,"Часы",INDEX(Техника!$G$1:$ABN$500,C$2,0),$A$410,INDEX(Техника!$H$1:$ABO$500,C$2,0),"Л")</f>
        <v>0</v>
      </c>
      <c r="D414" s="50">
        <f>SUMIFS(INDEX(Техника!$F$1:$ABM$500,D$2,0),Техника!$F$4:$ABM$4,"Часы",INDEX(Техника!$G$1:$ABN$500,D$2,0),$A$410,INDEX(Техника!$H$1:$ABO$500,D$2,0),"Л")</f>
        <v>0</v>
      </c>
      <c r="E414" s="50">
        <f>SUMIFS(INDEX(Техника!$F$1:$ABM$500,E$2,0),Техника!$F$4:$ABM$4,"Часы",INDEX(Техника!$G$1:$ABN$500,E$2,0),$A$410,INDEX(Техника!$H$1:$ABO$500,E$2,0),"Л")</f>
        <v>0</v>
      </c>
      <c r="F414" s="50">
        <f>SUMIFS(INDEX(Техника!$F$1:$ABM$500,F$2,0),Техника!$F$4:$ABM$4,"Часы",INDEX(Техника!$G$1:$ABN$500,F$2,0),$A$410,INDEX(Техника!$H$1:$ABO$500,F$2,0),"Л")</f>
        <v>0</v>
      </c>
      <c r="G414" s="50">
        <f>SUMIFS(INDEX(Техника!$F$1:$ABM$500,G$2,0),Техника!$F$4:$ABM$4,"Часы",INDEX(Техника!$G$1:$ABN$500,G$2,0),$A$410,INDEX(Техника!$H$1:$ABO$500,G$2,0),"Л")</f>
        <v>0</v>
      </c>
      <c r="H414" s="50">
        <f>SUMIFS(INDEX(Техника!$F$1:$ABM$500,H$2,0),Техника!$F$4:$ABM$4,"Часы",INDEX(Техника!$G$1:$ABN$500,H$2,0),$A$410,INDEX(Техника!$H$1:$ABO$500,H$2,0),"Л")</f>
        <v>0</v>
      </c>
      <c r="I414" s="50">
        <f>SUMIFS(INDEX(Техника!$F$1:$ABM$500,I$2,0),Техника!$F$4:$ABM$4,"Часы",INDEX(Техника!$G$1:$ABN$500,I$2,0),$A$410,INDEX(Техника!$H$1:$ABO$500,I$2,0),"Л")</f>
        <v>0</v>
      </c>
      <c r="J414" s="50">
        <f>SUMIFS(INDEX(Техника!$F$1:$ABM$500,J$2,0),Техника!$F$4:$ABM$4,"Часы",INDEX(Техника!$G$1:$ABN$500,J$2,0),$A$410,INDEX(Техника!$H$1:$ABO$500,J$2,0),"Л")</f>
        <v>0</v>
      </c>
      <c r="K414" s="50">
        <f>SUMIFS(INDEX(Техника!$F$1:$ABM$500,K$2,0),Техника!$F$4:$ABM$4,"Часы",INDEX(Техника!$G$1:$ABN$500,K$2,0),$A$410,INDEX(Техника!$H$1:$ABO$500,K$2,0),"Л")</f>
        <v>0</v>
      </c>
      <c r="L414" s="50">
        <f>SUMIFS(INDEX(Техника!$F$1:$ABM$500,L$2,0),Техника!$F$4:$ABM$4,"Часы",INDEX(Техника!$G$1:$ABN$500,L$2,0),$A$410,INDEX(Техника!$H$1:$ABO$500,L$2,0),"Л")</f>
        <v>0</v>
      </c>
      <c r="M414" s="50">
        <f>SUMIFS(INDEX(Техника!$F$1:$ABM$500,M$2,0),Техника!$F$4:$ABM$4,"Часы",INDEX(Техника!$G$1:$ABN$500,M$2,0),$A$410,INDEX(Техника!$H$1:$ABO$500,M$2,0),"Л")</f>
        <v>0</v>
      </c>
      <c r="N414" s="50">
        <f>SUMIFS(INDEX(Техника!$F$1:$ABM$500,N$2,0),Техника!$F$4:$ABM$4,"Часы",INDEX(Техника!$G$1:$ABN$500,N$2,0),$A$410,INDEX(Техника!$H$1:$ABO$500,N$2,0),"Л")</f>
        <v>0</v>
      </c>
      <c r="O414" s="50">
        <f>SUMIFS(INDEX(Техника!$F$1:$ABM$500,O$2,0),Техника!$F$4:$ABM$4,"Часы",INDEX(Техника!$G$1:$ABN$500,O$2,0),$A$410,INDEX(Техника!$H$1:$ABO$500,O$2,0),"Л")</f>
        <v>0</v>
      </c>
      <c r="P414" s="50">
        <f>SUMIFS(INDEX(Техника!$F$1:$ABM$500,P$2,0),Техника!$F$4:$ABM$4,"Часы",INDEX(Техника!$G$1:$ABN$500,P$2,0),$A$410,INDEX(Техника!$H$1:$ABO$500,P$2,0),"Л")</f>
        <v>0</v>
      </c>
      <c r="Q414" s="50">
        <f>SUMIFS(INDEX(Техника!$F$1:$ABM$500,Q$2,0),Техника!$F$4:$ABM$4,"Часы",INDEX(Техника!$G$1:$ABN$500,Q$2,0),$A$410,INDEX(Техника!$H$1:$ABO$500,Q$2,0),"Л")</f>
        <v>0</v>
      </c>
      <c r="R414" s="50">
        <f>SUMIFS(INDEX(Техника!$F$1:$ABM$500,R$2,0),Техника!$F$4:$ABM$4,"Часы",INDEX(Техника!$G$1:$ABN$500,R$2,0),$A$410,INDEX(Техника!$H$1:$ABO$500,R$2,0),"Л")</f>
        <v>0</v>
      </c>
      <c r="S414" s="50">
        <f>SUMIFS(INDEX(Техника!$F$1:$ABM$500,S$2,0),Техника!$F$4:$ABM$4,"Часы",INDEX(Техника!$G$1:$ABN$500,S$2,0),$A$410,INDEX(Техника!$H$1:$ABO$500,S$2,0),"Л")</f>
        <v>0</v>
      </c>
      <c r="T414" s="50">
        <f>SUMIFS(INDEX(Техника!$F$1:$ABM$500,T$2,0),Техника!$F$4:$ABM$4,"Часы",INDEX(Техника!$G$1:$ABN$500,T$2,0),$A$410,INDEX(Техника!$H$1:$ABO$500,T$2,0),"Л")</f>
        <v>0</v>
      </c>
      <c r="U414" s="50">
        <f>SUMIFS(INDEX(Техника!$F$1:$ABM$500,U$2,0),Техника!$F$4:$ABM$4,"Часы",INDEX(Техника!$G$1:$ABN$500,U$2,0),$A$410,INDEX(Техника!$H$1:$ABO$500,U$2,0),"Л")</f>
        <v>0</v>
      </c>
      <c r="V414" s="50">
        <f>SUMIFS(INDEX(Техника!$F$1:$ABM$500,V$2,0),Техника!$F$4:$ABM$4,"Часы",INDEX(Техника!$G$1:$ABN$500,V$2,0),$A$410,INDEX(Техника!$H$1:$ABO$500,V$2,0),"Л")</f>
        <v>0</v>
      </c>
      <c r="W414" s="50">
        <f>SUMIFS(INDEX(Техника!$F$1:$ABM$500,W$2,0),Техника!$F$4:$ABM$4,"Часы",INDEX(Техника!$G$1:$ABN$500,W$2,0),$A$410,INDEX(Техника!$H$1:$ABO$500,W$2,0),"Л")</f>
        <v>0</v>
      </c>
      <c r="X414" s="50">
        <f>SUMIFS(INDEX(Техника!$F$1:$ABM$500,X$2,0),Техника!$F$4:$ABM$4,"Часы",INDEX(Техника!$G$1:$ABN$500,X$2,0),$A$410,INDEX(Техника!$H$1:$ABO$500,X$2,0),"Л")</f>
        <v>0</v>
      </c>
      <c r="Y414" s="50">
        <f>SUMIFS(INDEX(Техника!$F$1:$ABM$500,Y$2,0),Техника!$F$4:$ABM$4,"Часы",INDEX(Техника!$G$1:$ABN$500,Y$2,0),$A$410,INDEX(Техника!$H$1:$ABO$500,Y$2,0),"Л")</f>
        <v>0</v>
      </c>
      <c r="Z414" s="50">
        <f>SUMIFS(INDEX(Техника!$F$1:$ABM$500,Z$2,0),Техника!$F$4:$ABM$4,"Часы",INDEX(Техника!$G$1:$ABN$500,Z$2,0),$A$410,INDEX(Техника!$H$1:$ABO$500,Z$2,0),"Л")</f>
        <v>0</v>
      </c>
      <c r="AA414" s="50">
        <f>SUMIFS(INDEX(Техника!$F$1:$ABM$500,AA$2,0),Техника!$F$4:$ABM$4,"Часы",INDEX(Техника!$G$1:$ABN$500,AA$2,0),$A$410,INDEX(Техника!$H$1:$ABO$500,AA$2,0),"Л")</f>
        <v>0</v>
      </c>
      <c r="AB414" s="50">
        <f>SUMIFS(INDEX(Техника!$F$1:$ABM$500,AB$2,0),Техника!$F$4:$ABM$4,"Часы",INDEX(Техника!$G$1:$ABN$500,AB$2,0),$A$410,INDEX(Техника!$H$1:$ABO$500,AB$2,0),"Л")</f>
        <v>0</v>
      </c>
    </row>
    <row r="415" spans="1:28" hidden="1" outlineLevel="1" x14ac:dyDescent="0.3">
      <c r="A415" s="33" t="s">
        <v>245</v>
      </c>
      <c r="B415" s="34" t="s">
        <v>279</v>
      </c>
      <c r="C415" s="50">
        <f>SUMIFS(INDEX(Техника!$F$1:$ABM$500,C$2,0),Техника!$F$4:$ABM$4,"Часы",INDEX(Техника!$G$1:$ABN$500,C$2,0),$A$410,INDEX(Техника!$H$1:$ABO$500,C$2,0),"З")</f>
        <v>0</v>
      </c>
      <c r="D415" s="50">
        <f>SUMIFS(INDEX(Техника!$F$1:$ABM$500,D$2,0),Техника!$F$4:$ABM$4,"Часы",INDEX(Техника!$G$1:$ABN$500,D$2,0),$A$410,INDEX(Техника!$H$1:$ABO$500,D$2,0),"З")</f>
        <v>0</v>
      </c>
      <c r="E415" s="50">
        <f>SUMIFS(INDEX(Техника!$F$1:$ABM$500,E$2,0),Техника!$F$4:$ABM$4,"Часы",INDEX(Техника!$G$1:$ABN$500,E$2,0),$A$410,INDEX(Техника!$H$1:$ABO$500,E$2,0),"З")</f>
        <v>0</v>
      </c>
      <c r="F415" s="50">
        <f>SUMIFS(INDEX(Техника!$F$1:$ABM$500,F$2,0),Техника!$F$4:$ABM$4,"Часы",INDEX(Техника!$G$1:$ABN$500,F$2,0),$A$410,INDEX(Техника!$H$1:$ABO$500,F$2,0),"З")</f>
        <v>0</v>
      </c>
      <c r="G415" s="50">
        <f>SUMIFS(INDEX(Техника!$F$1:$ABM$500,G$2,0),Техника!$F$4:$ABM$4,"Часы",INDEX(Техника!$G$1:$ABN$500,G$2,0),$A$410,INDEX(Техника!$H$1:$ABO$500,G$2,0),"З")</f>
        <v>0</v>
      </c>
      <c r="H415" s="50">
        <f>SUMIFS(INDEX(Техника!$F$1:$ABM$500,H$2,0),Техника!$F$4:$ABM$4,"Часы",INDEX(Техника!$G$1:$ABN$500,H$2,0),$A$410,INDEX(Техника!$H$1:$ABO$500,H$2,0),"З")</f>
        <v>0</v>
      </c>
      <c r="I415" s="50">
        <f>SUMIFS(INDEX(Техника!$F$1:$ABM$500,I$2,0),Техника!$F$4:$ABM$4,"Часы",INDEX(Техника!$G$1:$ABN$500,I$2,0),$A$410,INDEX(Техника!$H$1:$ABO$500,I$2,0),"З")</f>
        <v>0</v>
      </c>
      <c r="J415" s="50">
        <f>SUMIFS(INDEX(Техника!$F$1:$ABM$500,J$2,0),Техника!$F$4:$ABM$4,"Часы",INDEX(Техника!$G$1:$ABN$500,J$2,0),$A$410,INDEX(Техника!$H$1:$ABO$500,J$2,0),"З")</f>
        <v>0</v>
      </c>
      <c r="K415" s="50">
        <f>SUMIFS(INDEX(Техника!$F$1:$ABM$500,K$2,0),Техника!$F$4:$ABM$4,"Часы",INDEX(Техника!$G$1:$ABN$500,K$2,0),$A$410,INDEX(Техника!$H$1:$ABO$500,K$2,0),"З")</f>
        <v>0</v>
      </c>
      <c r="L415" s="50">
        <f>SUMIFS(INDEX(Техника!$F$1:$ABM$500,L$2,0),Техника!$F$4:$ABM$4,"Часы",INDEX(Техника!$G$1:$ABN$500,L$2,0),$A$410,INDEX(Техника!$H$1:$ABO$500,L$2,0),"З")</f>
        <v>0</v>
      </c>
      <c r="M415" s="50">
        <f>SUMIFS(INDEX(Техника!$F$1:$ABM$500,M$2,0),Техника!$F$4:$ABM$4,"Часы",INDEX(Техника!$G$1:$ABN$500,M$2,0),$A$410,INDEX(Техника!$H$1:$ABO$500,M$2,0),"З")</f>
        <v>0</v>
      </c>
      <c r="N415" s="50">
        <f>SUMIFS(INDEX(Техника!$F$1:$ABM$500,N$2,0),Техника!$F$4:$ABM$4,"Часы",INDEX(Техника!$G$1:$ABN$500,N$2,0),$A$410,INDEX(Техника!$H$1:$ABO$500,N$2,0),"З")</f>
        <v>0</v>
      </c>
      <c r="O415" s="50">
        <f>SUMIFS(INDEX(Техника!$F$1:$ABM$500,O$2,0),Техника!$F$4:$ABM$4,"Часы",INDEX(Техника!$G$1:$ABN$500,O$2,0),$A$410,INDEX(Техника!$H$1:$ABO$500,O$2,0),"З")</f>
        <v>0</v>
      </c>
      <c r="P415" s="50">
        <f>SUMIFS(INDEX(Техника!$F$1:$ABM$500,P$2,0),Техника!$F$4:$ABM$4,"Часы",INDEX(Техника!$G$1:$ABN$500,P$2,0),$A$410,INDEX(Техника!$H$1:$ABO$500,P$2,0),"З")</f>
        <v>0</v>
      </c>
      <c r="Q415" s="50">
        <f>SUMIFS(INDEX(Техника!$F$1:$ABM$500,Q$2,0),Техника!$F$4:$ABM$4,"Часы",INDEX(Техника!$G$1:$ABN$500,Q$2,0),$A$410,INDEX(Техника!$H$1:$ABO$500,Q$2,0),"З")</f>
        <v>0</v>
      </c>
      <c r="R415" s="50">
        <f>SUMIFS(INDEX(Техника!$F$1:$ABM$500,R$2,0),Техника!$F$4:$ABM$4,"Часы",INDEX(Техника!$G$1:$ABN$500,R$2,0),$A$410,INDEX(Техника!$H$1:$ABO$500,R$2,0),"З")</f>
        <v>0</v>
      </c>
      <c r="S415" s="50">
        <f>SUMIFS(INDEX(Техника!$F$1:$ABM$500,S$2,0),Техника!$F$4:$ABM$4,"Часы",INDEX(Техника!$G$1:$ABN$500,S$2,0),$A$410,INDEX(Техника!$H$1:$ABO$500,S$2,0),"З")</f>
        <v>0</v>
      </c>
      <c r="T415" s="50">
        <f>SUMIFS(INDEX(Техника!$F$1:$ABM$500,T$2,0),Техника!$F$4:$ABM$4,"Часы",INDEX(Техника!$G$1:$ABN$500,T$2,0),$A$410,INDEX(Техника!$H$1:$ABO$500,T$2,0),"З")</f>
        <v>0</v>
      </c>
      <c r="U415" s="50">
        <f>SUMIFS(INDEX(Техника!$F$1:$ABM$500,U$2,0),Техника!$F$4:$ABM$4,"Часы",INDEX(Техника!$G$1:$ABN$500,U$2,0),$A$410,INDEX(Техника!$H$1:$ABO$500,U$2,0),"З")</f>
        <v>0</v>
      </c>
      <c r="V415" s="50">
        <f>SUMIFS(INDEX(Техника!$F$1:$ABM$500,V$2,0),Техника!$F$4:$ABM$4,"Часы",INDEX(Техника!$G$1:$ABN$500,V$2,0),$A$410,INDEX(Техника!$H$1:$ABO$500,V$2,0),"З")</f>
        <v>0</v>
      </c>
      <c r="W415" s="50">
        <f>SUMIFS(INDEX(Техника!$F$1:$ABM$500,W$2,0),Техника!$F$4:$ABM$4,"Часы",INDEX(Техника!$G$1:$ABN$500,W$2,0),$A$410,INDEX(Техника!$H$1:$ABO$500,W$2,0),"З")</f>
        <v>0</v>
      </c>
      <c r="X415" s="50">
        <f>SUMIFS(INDEX(Техника!$F$1:$ABM$500,X$2,0),Техника!$F$4:$ABM$4,"Часы",INDEX(Техника!$G$1:$ABN$500,X$2,0),$A$410,INDEX(Техника!$H$1:$ABO$500,X$2,0),"З")</f>
        <v>0</v>
      </c>
      <c r="Y415" s="50">
        <f>SUMIFS(INDEX(Техника!$F$1:$ABM$500,Y$2,0),Техника!$F$4:$ABM$4,"Часы",INDEX(Техника!$G$1:$ABN$500,Y$2,0),$A$410,INDEX(Техника!$H$1:$ABO$500,Y$2,0),"З")</f>
        <v>0</v>
      </c>
      <c r="Z415" s="50">
        <f>SUMIFS(INDEX(Техника!$F$1:$ABM$500,Z$2,0),Техника!$F$4:$ABM$4,"Часы",INDEX(Техника!$G$1:$ABN$500,Z$2,0),$A$410,INDEX(Техника!$H$1:$ABO$500,Z$2,0),"З")</f>
        <v>0</v>
      </c>
      <c r="AA415" s="50">
        <f>SUMIFS(INDEX(Техника!$F$1:$ABM$500,AA$2,0),Техника!$F$4:$ABM$4,"Часы",INDEX(Техника!$G$1:$ABN$500,AA$2,0),$A$410,INDEX(Техника!$H$1:$ABO$500,AA$2,0),"З")</f>
        <v>0</v>
      </c>
      <c r="AB415" s="50">
        <f>SUMIFS(INDEX(Техника!$F$1:$ABM$500,AB$2,0),Техника!$F$4:$ABM$4,"Часы",INDEX(Техника!$G$1:$ABN$500,AB$2,0),$A$410,INDEX(Техника!$H$1:$ABO$500,AB$2,0),"З")</f>
        <v>0</v>
      </c>
    </row>
    <row r="416" spans="1:28" ht="7.95" customHeight="1" x14ac:dyDescent="0.3">
      <c r="A416" s="38"/>
      <c r="B416" s="39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</row>
    <row r="417" spans="1:28" ht="25.05" customHeight="1" collapsed="1" x14ac:dyDescent="0.3">
      <c r="A417" s="32">
        <v>60</v>
      </c>
      <c r="B417" s="32" t="s">
        <v>61</v>
      </c>
      <c r="C417" s="49">
        <f>SUM(C418:C422)</f>
        <v>0</v>
      </c>
      <c r="D417" s="49">
        <f>SUM(D418:D422)</f>
        <v>0</v>
      </c>
      <c r="E417" s="49">
        <f>SUM(E418:E422)</f>
        <v>0</v>
      </c>
      <c r="F417" s="49">
        <f>SUM(F418:F422)</f>
        <v>0</v>
      </c>
      <c r="G417" s="49">
        <f>SUM(G418:G422)</f>
        <v>0</v>
      </c>
      <c r="H417" s="49">
        <f>SUM(H418:H422)</f>
        <v>0</v>
      </c>
      <c r="I417" s="49">
        <f>SUM(I418:I422)</f>
        <v>0</v>
      </c>
      <c r="J417" s="49">
        <f>SUM(J418:J422)</f>
        <v>0</v>
      </c>
      <c r="K417" s="49">
        <f>SUM(K418:K422)</f>
        <v>0</v>
      </c>
      <c r="L417" s="49">
        <f>SUM(L418:L422)</f>
        <v>0</v>
      </c>
      <c r="M417" s="49">
        <f>SUM(M418:M422)</f>
        <v>0</v>
      </c>
      <c r="N417" s="49">
        <f>SUM(N418:N422)</f>
        <v>0</v>
      </c>
      <c r="O417" s="49">
        <f>SUM(O418:O422)</f>
        <v>0</v>
      </c>
      <c r="P417" s="49">
        <f>SUM(P418:P422)</f>
        <v>0</v>
      </c>
      <c r="Q417" s="49">
        <f>SUM(Q418:Q422)</f>
        <v>0</v>
      </c>
      <c r="R417" s="49">
        <f>SUM(R418:R422)</f>
        <v>0</v>
      </c>
      <c r="S417" s="49">
        <f>SUM(S418:S422)</f>
        <v>0</v>
      </c>
      <c r="T417" s="49">
        <f>SUM(T418:T422)</f>
        <v>0</v>
      </c>
      <c r="U417" s="49">
        <f>SUM(U418:U422)</f>
        <v>0</v>
      </c>
      <c r="V417" s="49">
        <f>SUM(V418:V422)</f>
        <v>0</v>
      </c>
      <c r="W417" s="49">
        <f>SUM(W418:W422)</f>
        <v>0</v>
      </c>
      <c r="X417" s="49">
        <f>SUM(X418:X422)</f>
        <v>0</v>
      </c>
      <c r="Y417" s="49">
        <f>SUM(Y418:Y422)</f>
        <v>0</v>
      </c>
      <c r="Z417" s="49">
        <f>SUM(Z418:Z422)</f>
        <v>0</v>
      </c>
      <c r="AA417" s="49">
        <f>SUM(AA418:AA422)</f>
        <v>0</v>
      </c>
      <c r="AB417" s="49">
        <f>SUM(AB418:AB422)</f>
        <v>0</v>
      </c>
    </row>
    <row r="418" spans="1:28" hidden="1" outlineLevel="1" x14ac:dyDescent="0.3">
      <c r="A418" s="33" t="s">
        <v>246</v>
      </c>
      <c r="B418" s="34" t="s">
        <v>274</v>
      </c>
      <c r="C418" s="50">
        <f>SUMIFS(INDEX(Техника!$F$1:$ABM$500,C$2,0),Техника!$F$4:$ABM$4,"Часы",INDEX(Техника!$G$1:$ABN$500,C$2,0),$A$417,INDEX(Техника!$H$1:$ABO$500,C$2,0),"М")</f>
        <v>0</v>
      </c>
      <c r="D418" s="50">
        <f>SUMIFS(INDEX(Техника!$F$1:$ABM$500,D$2,0),Техника!$F$4:$ABM$4,"Часы",INDEX(Техника!$G$1:$ABN$500,D$2,0),$A$417,INDEX(Техника!$H$1:$ABO$500,D$2,0),"М")</f>
        <v>0</v>
      </c>
      <c r="E418" s="50">
        <f>SUMIFS(INDEX(Техника!$F$1:$ABM$500,E$2,0),Техника!$F$4:$ABM$4,"Часы",INDEX(Техника!$G$1:$ABN$500,E$2,0),$A$417,INDEX(Техника!$H$1:$ABO$500,E$2,0),"М")</f>
        <v>0</v>
      </c>
      <c r="F418" s="50">
        <f>SUMIFS(INDEX(Техника!$F$1:$ABM$500,F$2,0),Техника!$F$4:$ABM$4,"Часы",INDEX(Техника!$G$1:$ABN$500,F$2,0),$A$417,INDEX(Техника!$H$1:$ABO$500,F$2,0),"М")</f>
        <v>0</v>
      </c>
      <c r="G418" s="50">
        <f>SUMIFS(INDEX(Техника!$F$1:$ABM$500,G$2,0),Техника!$F$4:$ABM$4,"Часы",INDEX(Техника!$G$1:$ABN$500,G$2,0),$A$417,INDEX(Техника!$H$1:$ABO$500,G$2,0),"М")</f>
        <v>0</v>
      </c>
      <c r="H418" s="50">
        <f>SUMIFS(INDEX(Техника!$F$1:$ABM$500,H$2,0),Техника!$F$4:$ABM$4,"Часы",INDEX(Техника!$G$1:$ABN$500,H$2,0),$A$417,INDEX(Техника!$H$1:$ABO$500,H$2,0),"М")</f>
        <v>0</v>
      </c>
      <c r="I418" s="50">
        <f>SUMIFS(INDEX(Техника!$F$1:$ABM$500,I$2,0),Техника!$F$4:$ABM$4,"Часы",INDEX(Техника!$G$1:$ABN$500,I$2,0),$A$417,INDEX(Техника!$H$1:$ABO$500,I$2,0),"М")</f>
        <v>0</v>
      </c>
      <c r="J418" s="50">
        <f>SUMIFS(INDEX(Техника!$F$1:$ABM$500,J$2,0),Техника!$F$4:$ABM$4,"Часы",INDEX(Техника!$G$1:$ABN$500,J$2,0),$A$417,INDEX(Техника!$H$1:$ABO$500,J$2,0),"М")</f>
        <v>0</v>
      </c>
      <c r="K418" s="50">
        <f>SUMIFS(INDEX(Техника!$F$1:$ABM$500,K$2,0),Техника!$F$4:$ABM$4,"Часы",INDEX(Техника!$G$1:$ABN$500,K$2,0),$A$417,INDEX(Техника!$H$1:$ABO$500,K$2,0),"М")</f>
        <v>0</v>
      </c>
      <c r="L418" s="50">
        <f>SUMIFS(INDEX(Техника!$F$1:$ABM$500,L$2,0),Техника!$F$4:$ABM$4,"Часы",INDEX(Техника!$G$1:$ABN$500,L$2,0),$A$417,INDEX(Техника!$H$1:$ABO$500,L$2,0),"М")</f>
        <v>0</v>
      </c>
      <c r="M418" s="50">
        <f>SUMIFS(INDEX(Техника!$F$1:$ABM$500,M$2,0),Техника!$F$4:$ABM$4,"Часы",INDEX(Техника!$G$1:$ABN$500,M$2,0),$A$417,INDEX(Техника!$H$1:$ABO$500,M$2,0),"М")</f>
        <v>0</v>
      </c>
      <c r="N418" s="50">
        <f>SUMIFS(INDEX(Техника!$F$1:$ABM$500,N$2,0),Техника!$F$4:$ABM$4,"Часы",INDEX(Техника!$G$1:$ABN$500,N$2,0),$A$417,INDEX(Техника!$H$1:$ABO$500,N$2,0),"М")</f>
        <v>0</v>
      </c>
      <c r="O418" s="50">
        <f>SUMIFS(INDEX(Техника!$F$1:$ABM$500,O$2,0),Техника!$F$4:$ABM$4,"Часы",INDEX(Техника!$G$1:$ABN$500,O$2,0),$A$417,INDEX(Техника!$H$1:$ABO$500,O$2,0),"М")</f>
        <v>0</v>
      </c>
      <c r="P418" s="50">
        <f>SUMIFS(INDEX(Техника!$F$1:$ABM$500,P$2,0),Техника!$F$4:$ABM$4,"Часы",INDEX(Техника!$G$1:$ABN$500,P$2,0),$A$417,INDEX(Техника!$H$1:$ABO$500,P$2,0),"М")</f>
        <v>0</v>
      </c>
      <c r="Q418" s="50">
        <f>SUMIFS(INDEX(Техника!$F$1:$ABM$500,Q$2,0),Техника!$F$4:$ABM$4,"Часы",INDEX(Техника!$G$1:$ABN$500,Q$2,0),$A$417,INDEX(Техника!$H$1:$ABO$500,Q$2,0),"М")</f>
        <v>0</v>
      </c>
      <c r="R418" s="50">
        <f>SUMIFS(INDEX(Техника!$F$1:$ABM$500,R$2,0),Техника!$F$4:$ABM$4,"Часы",INDEX(Техника!$G$1:$ABN$500,R$2,0),$A$417,INDEX(Техника!$H$1:$ABO$500,R$2,0),"М")</f>
        <v>0</v>
      </c>
      <c r="S418" s="50">
        <f>SUMIFS(INDEX(Техника!$F$1:$ABM$500,S$2,0),Техника!$F$4:$ABM$4,"Часы",INDEX(Техника!$G$1:$ABN$500,S$2,0),$A$417,INDEX(Техника!$H$1:$ABO$500,S$2,0),"М")</f>
        <v>0</v>
      </c>
      <c r="T418" s="50">
        <f>SUMIFS(INDEX(Техника!$F$1:$ABM$500,T$2,0),Техника!$F$4:$ABM$4,"Часы",INDEX(Техника!$G$1:$ABN$500,T$2,0),$A$417,INDEX(Техника!$H$1:$ABO$500,T$2,0),"М")</f>
        <v>0</v>
      </c>
      <c r="U418" s="50">
        <f>SUMIFS(INDEX(Техника!$F$1:$ABM$500,U$2,0),Техника!$F$4:$ABM$4,"Часы",INDEX(Техника!$G$1:$ABN$500,U$2,0),$A$417,INDEX(Техника!$H$1:$ABO$500,U$2,0),"М")</f>
        <v>0</v>
      </c>
      <c r="V418" s="50">
        <f>SUMIFS(INDEX(Техника!$F$1:$ABM$500,V$2,0),Техника!$F$4:$ABM$4,"Часы",INDEX(Техника!$G$1:$ABN$500,V$2,0),$A$417,INDEX(Техника!$H$1:$ABO$500,V$2,0),"М")</f>
        <v>0</v>
      </c>
      <c r="W418" s="50">
        <f>SUMIFS(INDEX(Техника!$F$1:$ABM$500,W$2,0),Техника!$F$4:$ABM$4,"Часы",INDEX(Техника!$G$1:$ABN$500,W$2,0),$A$417,INDEX(Техника!$H$1:$ABO$500,W$2,0),"М")</f>
        <v>0</v>
      </c>
      <c r="X418" s="50">
        <f>SUMIFS(INDEX(Техника!$F$1:$ABM$500,X$2,0),Техника!$F$4:$ABM$4,"Часы",INDEX(Техника!$G$1:$ABN$500,X$2,0),$A$417,INDEX(Техника!$H$1:$ABO$500,X$2,0),"М")</f>
        <v>0</v>
      </c>
      <c r="Y418" s="50">
        <f>SUMIFS(INDEX(Техника!$F$1:$ABM$500,Y$2,0),Техника!$F$4:$ABM$4,"Часы",INDEX(Техника!$G$1:$ABN$500,Y$2,0),$A$417,INDEX(Техника!$H$1:$ABO$500,Y$2,0),"М")</f>
        <v>0</v>
      </c>
      <c r="Z418" s="50">
        <f>SUMIFS(INDEX(Техника!$F$1:$ABM$500,Z$2,0),Техника!$F$4:$ABM$4,"Часы",INDEX(Техника!$G$1:$ABN$500,Z$2,0),$A$417,INDEX(Техника!$H$1:$ABO$500,Z$2,0),"М")</f>
        <v>0</v>
      </c>
      <c r="AA418" s="50">
        <f>SUMIFS(INDEX(Техника!$F$1:$ABM$500,AA$2,0),Техника!$F$4:$ABM$4,"Часы",INDEX(Техника!$G$1:$ABN$500,AA$2,0),$A$417,INDEX(Техника!$H$1:$ABO$500,AA$2,0),"М")</f>
        <v>0</v>
      </c>
      <c r="AB418" s="50">
        <f>SUMIFS(INDEX(Техника!$F$1:$ABM$500,AB$2,0),Техника!$F$4:$ABM$4,"Часы",INDEX(Техника!$G$1:$ABN$500,AB$2,0),$A$417,INDEX(Техника!$H$1:$ABO$500,AB$2,0),"М")</f>
        <v>0</v>
      </c>
    </row>
    <row r="419" spans="1:28" hidden="1" outlineLevel="1" x14ac:dyDescent="0.3">
      <c r="A419" s="33" t="s">
        <v>244</v>
      </c>
      <c r="B419" s="34" t="s">
        <v>275</v>
      </c>
      <c r="C419" s="50">
        <f>SUMIFS(INDEX(Техника!$F$1:$ABM$500,C$2,0),Техника!$F$4:$ABM$4,"Часы",INDEX(Техника!$G$1:$ABN$500,C$2,0),$A$417,INDEX(Техника!$H$1:$ABO$500,C$2,0),"Д")</f>
        <v>0</v>
      </c>
      <c r="D419" s="50">
        <f>SUMIFS(INDEX(Техника!$F$1:$ABM$500,D$2,0),Техника!$F$4:$ABM$4,"Часы",INDEX(Техника!$G$1:$ABN$500,D$2,0),$A$417,INDEX(Техника!$H$1:$ABO$500,D$2,0),"Д")</f>
        <v>0</v>
      </c>
      <c r="E419" s="50">
        <f>SUMIFS(INDEX(Техника!$F$1:$ABM$500,E$2,0),Техника!$F$4:$ABM$4,"Часы",INDEX(Техника!$G$1:$ABN$500,E$2,0),$A$417,INDEX(Техника!$H$1:$ABO$500,E$2,0),"Д")</f>
        <v>0</v>
      </c>
      <c r="F419" s="50">
        <f>SUMIFS(INDEX(Техника!$F$1:$ABM$500,F$2,0),Техника!$F$4:$ABM$4,"Часы",INDEX(Техника!$G$1:$ABN$500,F$2,0),$A$417,INDEX(Техника!$H$1:$ABO$500,F$2,0),"Д")</f>
        <v>0</v>
      </c>
      <c r="G419" s="50">
        <f>SUMIFS(INDEX(Техника!$F$1:$ABM$500,G$2,0),Техника!$F$4:$ABM$4,"Часы",INDEX(Техника!$G$1:$ABN$500,G$2,0),$A$417,INDEX(Техника!$H$1:$ABO$500,G$2,0),"Д")</f>
        <v>0</v>
      </c>
      <c r="H419" s="50">
        <f>SUMIFS(INDEX(Техника!$F$1:$ABM$500,H$2,0),Техника!$F$4:$ABM$4,"Часы",INDEX(Техника!$G$1:$ABN$500,H$2,0),$A$417,INDEX(Техника!$H$1:$ABO$500,H$2,0),"Д")</f>
        <v>0</v>
      </c>
      <c r="I419" s="50">
        <f>SUMIFS(INDEX(Техника!$F$1:$ABM$500,I$2,0),Техника!$F$4:$ABM$4,"Часы",INDEX(Техника!$G$1:$ABN$500,I$2,0),$A$417,INDEX(Техника!$H$1:$ABO$500,I$2,0),"Д")</f>
        <v>0</v>
      </c>
      <c r="J419" s="50">
        <f>SUMIFS(INDEX(Техника!$F$1:$ABM$500,J$2,0),Техника!$F$4:$ABM$4,"Часы",INDEX(Техника!$G$1:$ABN$500,J$2,0),$A$417,INDEX(Техника!$H$1:$ABO$500,J$2,0),"Д")</f>
        <v>0</v>
      </c>
      <c r="K419" s="50">
        <f>SUMIFS(INDEX(Техника!$F$1:$ABM$500,K$2,0),Техника!$F$4:$ABM$4,"Часы",INDEX(Техника!$G$1:$ABN$500,K$2,0),$A$417,INDEX(Техника!$H$1:$ABO$500,K$2,0),"Д")</f>
        <v>0</v>
      </c>
      <c r="L419" s="50">
        <f>SUMIFS(INDEX(Техника!$F$1:$ABM$500,L$2,0),Техника!$F$4:$ABM$4,"Часы",INDEX(Техника!$G$1:$ABN$500,L$2,0),$A$417,INDEX(Техника!$H$1:$ABO$500,L$2,0),"Д")</f>
        <v>0</v>
      </c>
      <c r="M419" s="50">
        <f>SUMIFS(INDEX(Техника!$F$1:$ABM$500,M$2,0),Техника!$F$4:$ABM$4,"Часы",INDEX(Техника!$G$1:$ABN$500,M$2,0),$A$417,INDEX(Техника!$H$1:$ABO$500,M$2,0),"Д")</f>
        <v>0</v>
      </c>
      <c r="N419" s="50">
        <f>SUMIFS(INDEX(Техника!$F$1:$ABM$500,N$2,0),Техника!$F$4:$ABM$4,"Часы",INDEX(Техника!$G$1:$ABN$500,N$2,0),$A$417,INDEX(Техника!$H$1:$ABO$500,N$2,0),"Д")</f>
        <v>0</v>
      </c>
      <c r="O419" s="50">
        <f>SUMIFS(INDEX(Техника!$F$1:$ABM$500,O$2,0),Техника!$F$4:$ABM$4,"Часы",INDEX(Техника!$G$1:$ABN$500,O$2,0),$A$417,INDEX(Техника!$H$1:$ABO$500,O$2,0),"Д")</f>
        <v>0</v>
      </c>
      <c r="P419" s="50">
        <f>SUMIFS(INDEX(Техника!$F$1:$ABM$500,P$2,0),Техника!$F$4:$ABM$4,"Часы",INDEX(Техника!$G$1:$ABN$500,P$2,0),$A$417,INDEX(Техника!$H$1:$ABO$500,P$2,0),"Д")</f>
        <v>0</v>
      </c>
      <c r="Q419" s="50">
        <f>SUMIFS(INDEX(Техника!$F$1:$ABM$500,Q$2,0),Техника!$F$4:$ABM$4,"Часы",INDEX(Техника!$G$1:$ABN$500,Q$2,0),$A$417,INDEX(Техника!$H$1:$ABO$500,Q$2,0),"Д")</f>
        <v>0</v>
      </c>
      <c r="R419" s="50">
        <f>SUMIFS(INDEX(Техника!$F$1:$ABM$500,R$2,0),Техника!$F$4:$ABM$4,"Часы",INDEX(Техника!$G$1:$ABN$500,R$2,0),$A$417,INDEX(Техника!$H$1:$ABO$500,R$2,0),"Д")</f>
        <v>0</v>
      </c>
      <c r="S419" s="50">
        <f>SUMIFS(INDEX(Техника!$F$1:$ABM$500,S$2,0),Техника!$F$4:$ABM$4,"Часы",INDEX(Техника!$G$1:$ABN$500,S$2,0),$A$417,INDEX(Техника!$H$1:$ABO$500,S$2,0),"Д")</f>
        <v>0</v>
      </c>
      <c r="T419" s="50">
        <f>SUMIFS(INDEX(Техника!$F$1:$ABM$500,T$2,0),Техника!$F$4:$ABM$4,"Часы",INDEX(Техника!$G$1:$ABN$500,T$2,0),$A$417,INDEX(Техника!$H$1:$ABO$500,T$2,0),"Д")</f>
        <v>0</v>
      </c>
      <c r="U419" s="50">
        <f>SUMIFS(INDEX(Техника!$F$1:$ABM$500,U$2,0),Техника!$F$4:$ABM$4,"Часы",INDEX(Техника!$G$1:$ABN$500,U$2,0),$A$417,INDEX(Техника!$H$1:$ABO$500,U$2,0),"Д")</f>
        <v>0</v>
      </c>
      <c r="V419" s="50">
        <f>SUMIFS(INDEX(Техника!$F$1:$ABM$500,V$2,0),Техника!$F$4:$ABM$4,"Часы",INDEX(Техника!$G$1:$ABN$500,V$2,0),$A$417,INDEX(Техника!$H$1:$ABO$500,V$2,0),"Д")</f>
        <v>0</v>
      </c>
      <c r="W419" s="50">
        <f>SUMIFS(INDEX(Техника!$F$1:$ABM$500,W$2,0),Техника!$F$4:$ABM$4,"Часы",INDEX(Техника!$G$1:$ABN$500,W$2,0),$A$417,INDEX(Техника!$H$1:$ABO$500,W$2,0),"Д")</f>
        <v>0</v>
      </c>
      <c r="X419" s="50">
        <f>SUMIFS(INDEX(Техника!$F$1:$ABM$500,X$2,0),Техника!$F$4:$ABM$4,"Часы",INDEX(Техника!$G$1:$ABN$500,X$2,0),$A$417,INDEX(Техника!$H$1:$ABO$500,X$2,0),"Д")</f>
        <v>0</v>
      </c>
      <c r="Y419" s="50">
        <f>SUMIFS(INDEX(Техника!$F$1:$ABM$500,Y$2,0),Техника!$F$4:$ABM$4,"Часы",INDEX(Техника!$G$1:$ABN$500,Y$2,0),$A$417,INDEX(Техника!$H$1:$ABO$500,Y$2,0),"Д")</f>
        <v>0</v>
      </c>
      <c r="Z419" s="50">
        <f>SUMIFS(INDEX(Техника!$F$1:$ABM$500,Z$2,0),Техника!$F$4:$ABM$4,"Часы",INDEX(Техника!$G$1:$ABN$500,Z$2,0),$A$417,INDEX(Техника!$H$1:$ABO$500,Z$2,0),"Д")</f>
        <v>0</v>
      </c>
      <c r="AA419" s="50">
        <f>SUMIFS(INDEX(Техника!$F$1:$ABM$500,AA$2,0),Техника!$F$4:$ABM$4,"Часы",INDEX(Техника!$G$1:$ABN$500,AA$2,0),$A$417,INDEX(Техника!$H$1:$ABO$500,AA$2,0),"Д")</f>
        <v>0</v>
      </c>
      <c r="AB419" s="50">
        <f>SUMIFS(INDEX(Техника!$F$1:$ABM$500,AB$2,0),Техника!$F$4:$ABM$4,"Часы",INDEX(Техника!$G$1:$ABN$500,AB$2,0),$A$417,INDEX(Техника!$H$1:$ABO$500,AB$2,0),"Д")</f>
        <v>0</v>
      </c>
    </row>
    <row r="420" spans="1:28" hidden="1" outlineLevel="1" x14ac:dyDescent="0.3">
      <c r="A420" s="33" t="s">
        <v>276</v>
      </c>
      <c r="B420" s="34" t="s">
        <v>277</v>
      </c>
      <c r="C420" s="50">
        <f>SUMIFS(INDEX(Техника!$F$1:$ABM$500,C$2,0),Техника!$F$4:$ABM$4,"Часы",INDEX(Техника!$G$1:$ABN$500,C$2,0),$A$417,INDEX(Техника!$H$1:$ABO$500,C$2,0),"П")</f>
        <v>0</v>
      </c>
      <c r="D420" s="50">
        <f>SUMIFS(INDEX(Техника!$F$1:$ABM$500,D$2,0),Техника!$F$4:$ABM$4,"Часы",INDEX(Техника!$G$1:$ABN$500,D$2,0),$A$417,INDEX(Техника!$H$1:$ABO$500,D$2,0),"П")</f>
        <v>0</v>
      </c>
      <c r="E420" s="50">
        <f>SUMIFS(INDEX(Техника!$F$1:$ABM$500,E$2,0),Техника!$F$4:$ABM$4,"Часы",INDEX(Техника!$G$1:$ABN$500,E$2,0),$A$417,INDEX(Техника!$H$1:$ABO$500,E$2,0),"П")</f>
        <v>0</v>
      </c>
      <c r="F420" s="50">
        <f>SUMIFS(INDEX(Техника!$F$1:$ABM$500,F$2,0),Техника!$F$4:$ABM$4,"Часы",INDEX(Техника!$G$1:$ABN$500,F$2,0),$A$417,INDEX(Техника!$H$1:$ABO$500,F$2,0),"П")</f>
        <v>0</v>
      </c>
      <c r="G420" s="50">
        <f>SUMIFS(INDEX(Техника!$F$1:$ABM$500,G$2,0),Техника!$F$4:$ABM$4,"Часы",INDEX(Техника!$G$1:$ABN$500,G$2,0),$A$417,INDEX(Техника!$H$1:$ABO$500,G$2,0),"П")</f>
        <v>0</v>
      </c>
      <c r="H420" s="50">
        <f>SUMIFS(INDEX(Техника!$F$1:$ABM$500,H$2,0),Техника!$F$4:$ABM$4,"Часы",INDEX(Техника!$G$1:$ABN$500,H$2,0),$A$417,INDEX(Техника!$H$1:$ABO$500,H$2,0),"П")</f>
        <v>0</v>
      </c>
      <c r="I420" s="50">
        <f>SUMIFS(INDEX(Техника!$F$1:$ABM$500,I$2,0),Техника!$F$4:$ABM$4,"Часы",INDEX(Техника!$G$1:$ABN$500,I$2,0),$A$417,INDEX(Техника!$H$1:$ABO$500,I$2,0),"П")</f>
        <v>0</v>
      </c>
      <c r="J420" s="50">
        <f>SUMIFS(INDEX(Техника!$F$1:$ABM$500,J$2,0),Техника!$F$4:$ABM$4,"Часы",INDEX(Техника!$G$1:$ABN$500,J$2,0),$A$417,INDEX(Техника!$H$1:$ABO$500,J$2,0),"П")</f>
        <v>0</v>
      </c>
      <c r="K420" s="50">
        <f>SUMIFS(INDEX(Техника!$F$1:$ABM$500,K$2,0),Техника!$F$4:$ABM$4,"Часы",INDEX(Техника!$G$1:$ABN$500,K$2,0),$A$417,INDEX(Техника!$H$1:$ABO$500,K$2,0),"П")</f>
        <v>0</v>
      </c>
      <c r="L420" s="50">
        <f>SUMIFS(INDEX(Техника!$F$1:$ABM$500,L$2,0),Техника!$F$4:$ABM$4,"Часы",INDEX(Техника!$G$1:$ABN$500,L$2,0),$A$417,INDEX(Техника!$H$1:$ABO$500,L$2,0),"П")</f>
        <v>0</v>
      </c>
      <c r="M420" s="50">
        <f>SUMIFS(INDEX(Техника!$F$1:$ABM$500,M$2,0),Техника!$F$4:$ABM$4,"Часы",INDEX(Техника!$G$1:$ABN$500,M$2,0),$A$417,INDEX(Техника!$H$1:$ABO$500,M$2,0),"П")</f>
        <v>0</v>
      </c>
      <c r="N420" s="50">
        <f>SUMIFS(INDEX(Техника!$F$1:$ABM$500,N$2,0),Техника!$F$4:$ABM$4,"Часы",INDEX(Техника!$G$1:$ABN$500,N$2,0),$A$417,INDEX(Техника!$H$1:$ABO$500,N$2,0),"П")</f>
        <v>0</v>
      </c>
      <c r="O420" s="50">
        <f>SUMIFS(INDEX(Техника!$F$1:$ABM$500,O$2,0),Техника!$F$4:$ABM$4,"Часы",INDEX(Техника!$G$1:$ABN$500,O$2,0),$A$417,INDEX(Техника!$H$1:$ABO$500,O$2,0),"П")</f>
        <v>0</v>
      </c>
      <c r="P420" s="50">
        <f>SUMIFS(INDEX(Техника!$F$1:$ABM$500,P$2,0),Техника!$F$4:$ABM$4,"Часы",INDEX(Техника!$G$1:$ABN$500,P$2,0),$A$417,INDEX(Техника!$H$1:$ABO$500,P$2,0),"П")</f>
        <v>0</v>
      </c>
      <c r="Q420" s="50">
        <f>SUMIFS(INDEX(Техника!$F$1:$ABM$500,Q$2,0),Техника!$F$4:$ABM$4,"Часы",INDEX(Техника!$G$1:$ABN$500,Q$2,0),$A$417,INDEX(Техника!$H$1:$ABO$500,Q$2,0),"П")</f>
        <v>0</v>
      </c>
      <c r="R420" s="50">
        <f>SUMIFS(INDEX(Техника!$F$1:$ABM$500,R$2,0),Техника!$F$4:$ABM$4,"Часы",INDEX(Техника!$G$1:$ABN$500,R$2,0),$A$417,INDEX(Техника!$H$1:$ABO$500,R$2,0),"П")</f>
        <v>0</v>
      </c>
      <c r="S420" s="50">
        <f>SUMIFS(INDEX(Техника!$F$1:$ABM$500,S$2,0),Техника!$F$4:$ABM$4,"Часы",INDEX(Техника!$G$1:$ABN$500,S$2,0),$A$417,INDEX(Техника!$H$1:$ABO$500,S$2,0),"П")</f>
        <v>0</v>
      </c>
      <c r="T420" s="50">
        <f>SUMIFS(INDEX(Техника!$F$1:$ABM$500,T$2,0),Техника!$F$4:$ABM$4,"Часы",INDEX(Техника!$G$1:$ABN$500,T$2,0),$A$417,INDEX(Техника!$H$1:$ABO$500,T$2,0),"П")</f>
        <v>0</v>
      </c>
      <c r="U420" s="50">
        <f>SUMIFS(INDEX(Техника!$F$1:$ABM$500,U$2,0),Техника!$F$4:$ABM$4,"Часы",INDEX(Техника!$G$1:$ABN$500,U$2,0),$A$417,INDEX(Техника!$H$1:$ABO$500,U$2,0),"П")</f>
        <v>0</v>
      </c>
      <c r="V420" s="50">
        <f>SUMIFS(INDEX(Техника!$F$1:$ABM$500,V$2,0),Техника!$F$4:$ABM$4,"Часы",INDEX(Техника!$G$1:$ABN$500,V$2,0),$A$417,INDEX(Техника!$H$1:$ABO$500,V$2,0),"П")</f>
        <v>0</v>
      </c>
      <c r="W420" s="50">
        <f>SUMIFS(INDEX(Техника!$F$1:$ABM$500,W$2,0),Техника!$F$4:$ABM$4,"Часы",INDEX(Техника!$G$1:$ABN$500,W$2,0),$A$417,INDEX(Техника!$H$1:$ABO$500,W$2,0),"П")</f>
        <v>0</v>
      </c>
      <c r="X420" s="50">
        <f>SUMIFS(INDEX(Техника!$F$1:$ABM$500,X$2,0),Техника!$F$4:$ABM$4,"Часы",INDEX(Техника!$G$1:$ABN$500,X$2,0),$A$417,INDEX(Техника!$H$1:$ABO$500,X$2,0),"П")</f>
        <v>0</v>
      </c>
      <c r="Y420" s="50">
        <f>SUMIFS(INDEX(Техника!$F$1:$ABM$500,Y$2,0),Техника!$F$4:$ABM$4,"Часы",INDEX(Техника!$G$1:$ABN$500,Y$2,0),$A$417,INDEX(Техника!$H$1:$ABO$500,Y$2,0),"П")</f>
        <v>0</v>
      </c>
      <c r="Z420" s="50">
        <f>SUMIFS(INDEX(Техника!$F$1:$ABM$500,Z$2,0),Техника!$F$4:$ABM$4,"Часы",INDEX(Техника!$G$1:$ABN$500,Z$2,0),$A$417,INDEX(Техника!$H$1:$ABO$500,Z$2,0),"П")</f>
        <v>0</v>
      </c>
      <c r="AA420" s="50">
        <f>SUMIFS(INDEX(Техника!$F$1:$ABM$500,AA$2,0),Техника!$F$4:$ABM$4,"Часы",INDEX(Техника!$G$1:$ABN$500,AA$2,0),$A$417,INDEX(Техника!$H$1:$ABO$500,AA$2,0),"П")</f>
        <v>0</v>
      </c>
      <c r="AB420" s="50">
        <f>SUMIFS(INDEX(Техника!$F$1:$ABM$500,AB$2,0),Техника!$F$4:$ABM$4,"Часы",INDEX(Техника!$G$1:$ABN$500,AB$2,0),$A$417,INDEX(Техника!$H$1:$ABO$500,AB$2,0),"П")</f>
        <v>0</v>
      </c>
    </row>
    <row r="421" spans="1:28" hidden="1" outlineLevel="1" x14ac:dyDescent="0.3">
      <c r="A421" s="33" t="s">
        <v>243</v>
      </c>
      <c r="B421" s="34" t="s">
        <v>278</v>
      </c>
      <c r="C421" s="50">
        <f>SUMIFS(INDEX(Техника!$F$1:$ABM$500,C$2,0),Техника!$F$4:$ABM$4,"Часы",INDEX(Техника!$G$1:$ABN$500,C$2,0),$A$417,INDEX(Техника!$H$1:$ABO$500,C$2,0),"Л")</f>
        <v>0</v>
      </c>
      <c r="D421" s="50">
        <f>SUMIFS(INDEX(Техника!$F$1:$ABM$500,D$2,0),Техника!$F$4:$ABM$4,"Часы",INDEX(Техника!$G$1:$ABN$500,D$2,0),$A$417,INDEX(Техника!$H$1:$ABO$500,D$2,0),"Л")</f>
        <v>0</v>
      </c>
      <c r="E421" s="50">
        <f>SUMIFS(INDEX(Техника!$F$1:$ABM$500,E$2,0),Техника!$F$4:$ABM$4,"Часы",INDEX(Техника!$G$1:$ABN$500,E$2,0),$A$417,INDEX(Техника!$H$1:$ABO$500,E$2,0),"Л")</f>
        <v>0</v>
      </c>
      <c r="F421" s="50">
        <f>SUMIFS(INDEX(Техника!$F$1:$ABM$500,F$2,0),Техника!$F$4:$ABM$4,"Часы",INDEX(Техника!$G$1:$ABN$500,F$2,0),$A$417,INDEX(Техника!$H$1:$ABO$500,F$2,0),"Л")</f>
        <v>0</v>
      </c>
      <c r="G421" s="50">
        <f>SUMIFS(INDEX(Техника!$F$1:$ABM$500,G$2,0),Техника!$F$4:$ABM$4,"Часы",INDEX(Техника!$G$1:$ABN$500,G$2,0),$A$417,INDEX(Техника!$H$1:$ABO$500,G$2,0),"Л")</f>
        <v>0</v>
      </c>
      <c r="H421" s="50">
        <f>SUMIFS(INDEX(Техника!$F$1:$ABM$500,H$2,0),Техника!$F$4:$ABM$4,"Часы",INDEX(Техника!$G$1:$ABN$500,H$2,0),$A$417,INDEX(Техника!$H$1:$ABO$500,H$2,0),"Л")</f>
        <v>0</v>
      </c>
      <c r="I421" s="50">
        <f>SUMIFS(INDEX(Техника!$F$1:$ABM$500,I$2,0),Техника!$F$4:$ABM$4,"Часы",INDEX(Техника!$G$1:$ABN$500,I$2,0),$A$417,INDEX(Техника!$H$1:$ABO$500,I$2,0),"Л")</f>
        <v>0</v>
      </c>
      <c r="J421" s="50">
        <f>SUMIFS(INDEX(Техника!$F$1:$ABM$500,J$2,0),Техника!$F$4:$ABM$4,"Часы",INDEX(Техника!$G$1:$ABN$500,J$2,0),$A$417,INDEX(Техника!$H$1:$ABO$500,J$2,0),"Л")</f>
        <v>0</v>
      </c>
      <c r="K421" s="50">
        <f>SUMIFS(INDEX(Техника!$F$1:$ABM$500,K$2,0),Техника!$F$4:$ABM$4,"Часы",INDEX(Техника!$G$1:$ABN$500,K$2,0),$A$417,INDEX(Техника!$H$1:$ABO$500,K$2,0),"Л")</f>
        <v>0</v>
      </c>
      <c r="L421" s="50">
        <f>SUMIFS(INDEX(Техника!$F$1:$ABM$500,L$2,0),Техника!$F$4:$ABM$4,"Часы",INDEX(Техника!$G$1:$ABN$500,L$2,0),$A$417,INDEX(Техника!$H$1:$ABO$500,L$2,0),"Л")</f>
        <v>0</v>
      </c>
      <c r="M421" s="50">
        <f>SUMIFS(INDEX(Техника!$F$1:$ABM$500,M$2,0),Техника!$F$4:$ABM$4,"Часы",INDEX(Техника!$G$1:$ABN$500,M$2,0),$A$417,INDEX(Техника!$H$1:$ABO$500,M$2,0),"Л")</f>
        <v>0</v>
      </c>
      <c r="N421" s="50">
        <f>SUMIFS(INDEX(Техника!$F$1:$ABM$500,N$2,0),Техника!$F$4:$ABM$4,"Часы",INDEX(Техника!$G$1:$ABN$500,N$2,0),$A$417,INDEX(Техника!$H$1:$ABO$500,N$2,0),"Л")</f>
        <v>0</v>
      </c>
      <c r="O421" s="50">
        <f>SUMIFS(INDEX(Техника!$F$1:$ABM$500,O$2,0),Техника!$F$4:$ABM$4,"Часы",INDEX(Техника!$G$1:$ABN$500,O$2,0),$A$417,INDEX(Техника!$H$1:$ABO$500,O$2,0),"Л")</f>
        <v>0</v>
      </c>
      <c r="P421" s="50">
        <f>SUMIFS(INDEX(Техника!$F$1:$ABM$500,P$2,0),Техника!$F$4:$ABM$4,"Часы",INDEX(Техника!$G$1:$ABN$500,P$2,0),$A$417,INDEX(Техника!$H$1:$ABO$500,P$2,0),"Л")</f>
        <v>0</v>
      </c>
      <c r="Q421" s="50">
        <f>SUMIFS(INDEX(Техника!$F$1:$ABM$500,Q$2,0),Техника!$F$4:$ABM$4,"Часы",INDEX(Техника!$G$1:$ABN$500,Q$2,0),$A$417,INDEX(Техника!$H$1:$ABO$500,Q$2,0),"Л")</f>
        <v>0</v>
      </c>
      <c r="R421" s="50">
        <f>SUMIFS(INDEX(Техника!$F$1:$ABM$500,R$2,0),Техника!$F$4:$ABM$4,"Часы",INDEX(Техника!$G$1:$ABN$500,R$2,0),$A$417,INDEX(Техника!$H$1:$ABO$500,R$2,0),"Л")</f>
        <v>0</v>
      </c>
      <c r="S421" s="50">
        <f>SUMIFS(INDEX(Техника!$F$1:$ABM$500,S$2,0),Техника!$F$4:$ABM$4,"Часы",INDEX(Техника!$G$1:$ABN$500,S$2,0),$A$417,INDEX(Техника!$H$1:$ABO$500,S$2,0),"Л")</f>
        <v>0</v>
      </c>
      <c r="T421" s="50">
        <f>SUMIFS(INDEX(Техника!$F$1:$ABM$500,T$2,0),Техника!$F$4:$ABM$4,"Часы",INDEX(Техника!$G$1:$ABN$500,T$2,0),$A$417,INDEX(Техника!$H$1:$ABO$500,T$2,0),"Л")</f>
        <v>0</v>
      </c>
      <c r="U421" s="50">
        <f>SUMIFS(INDEX(Техника!$F$1:$ABM$500,U$2,0),Техника!$F$4:$ABM$4,"Часы",INDEX(Техника!$G$1:$ABN$500,U$2,0),$A$417,INDEX(Техника!$H$1:$ABO$500,U$2,0),"Л")</f>
        <v>0</v>
      </c>
      <c r="V421" s="50">
        <f>SUMIFS(INDEX(Техника!$F$1:$ABM$500,V$2,0),Техника!$F$4:$ABM$4,"Часы",INDEX(Техника!$G$1:$ABN$500,V$2,0),$A$417,INDEX(Техника!$H$1:$ABO$500,V$2,0),"Л")</f>
        <v>0</v>
      </c>
      <c r="W421" s="50">
        <f>SUMIFS(INDEX(Техника!$F$1:$ABM$500,W$2,0),Техника!$F$4:$ABM$4,"Часы",INDEX(Техника!$G$1:$ABN$500,W$2,0),$A$417,INDEX(Техника!$H$1:$ABO$500,W$2,0),"Л")</f>
        <v>0</v>
      </c>
      <c r="X421" s="50">
        <f>SUMIFS(INDEX(Техника!$F$1:$ABM$500,X$2,0),Техника!$F$4:$ABM$4,"Часы",INDEX(Техника!$G$1:$ABN$500,X$2,0),$A$417,INDEX(Техника!$H$1:$ABO$500,X$2,0),"Л")</f>
        <v>0</v>
      </c>
      <c r="Y421" s="50">
        <f>SUMIFS(INDEX(Техника!$F$1:$ABM$500,Y$2,0),Техника!$F$4:$ABM$4,"Часы",INDEX(Техника!$G$1:$ABN$500,Y$2,0),$A$417,INDEX(Техника!$H$1:$ABO$500,Y$2,0),"Л")</f>
        <v>0</v>
      </c>
      <c r="Z421" s="50">
        <f>SUMIFS(INDEX(Техника!$F$1:$ABM$500,Z$2,0),Техника!$F$4:$ABM$4,"Часы",INDEX(Техника!$G$1:$ABN$500,Z$2,0),$A$417,INDEX(Техника!$H$1:$ABO$500,Z$2,0),"Л")</f>
        <v>0</v>
      </c>
      <c r="AA421" s="50">
        <f>SUMIFS(INDEX(Техника!$F$1:$ABM$500,AA$2,0),Техника!$F$4:$ABM$4,"Часы",INDEX(Техника!$G$1:$ABN$500,AA$2,0),$A$417,INDEX(Техника!$H$1:$ABO$500,AA$2,0),"Л")</f>
        <v>0</v>
      </c>
      <c r="AB421" s="50">
        <f>SUMIFS(INDEX(Техника!$F$1:$ABM$500,AB$2,0),Техника!$F$4:$ABM$4,"Часы",INDEX(Техника!$G$1:$ABN$500,AB$2,0),$A$417,INDEX(Техника!$H$1:$ABO$500,AB$2,0),"Л")</f>
        <v>0</v>
      </c>
    </row>
    <row r="422" spans="1:28" hidden="1" outlineLevel="1" x14ac:dyDescent="0.3">
      <c r="A422" s="33" t="s">
        <v>245</v>
      </c>
      <c r="B422" s="34" t="s">
        <v>279</v>
      </c>
      <c r="C422" s="50">
        <f>SUMIFS(INDEX(Техника!$F$1:$ABM$500,C$2,0),Техника!$F$4:$ABM$4,"Часы",INDEX(Техника!$G$1:$ABN$500,C$2,0),$A$417,INDEX(Техника!$H$1:$ABO$500,C$2,0),"З")</f>
        <v>0</v>
      </c>
      <c r="D422" s="50">
        <f>SUMIFS(INDEX(Техника!$F$1:$ABM$500,D$2,0),Техника!$F$4:$ABM$4,"Часы",INDEX(Техника!$G$1:$ABN$500,D$2,0),$A$417,INDEX(Техника!$H$1:$ABO$500,D$2,0),"З")</f>
        <v>0</v>
      </c>
      <c r="E422" s="50">
        <f>SUMIFS(INDEX(Техника!$F$1:$ABM$500,E$2,0),Техника!$F$4:$ABM$4,"Часы",INDEX(Техника!$G$1:$ABN$500,E$2,0),$A$417,INDEX(Техника!$H$1:$ABO$500,E$2,0),"З")</f>
        <v>0</v>
      </c>
      <c r="F422" s="50">
        <f>SUMIFS(INDEX(Техника!$F$1:$ABM$500,F$2,0),Техника!$F$4:$ABM$4,"Часы",INDEX(Техника!$G$1:$ABN$500,F$2,0),$A$417,INDEX(Техника!$H$1:$ABO$500,F$2,0),"З")</f>
        <v>0</v>
      </c>
      <c r="G422" s="50">
        <f>SUMIFS(INDEX(Техника!$F$1:$ABM$500,G$2,0),Техника!$F$4:$ABM$4,"Часы",INDEX(Техника!$G$1:$ABN$500,G$2,0),$A$417,INDEX(Техника!$H$1:$ABO$500,G$2,0),"З")</f>
        <v>0</v>
      </c>
      <c r="H422" s="50">
        <f>SUMIFS(INDEX(Техника!$F$1:$ABM$500,H$2,0),Техника!$F$4:$ABM$4,"Часы",INDEX(Техника!$G$1:$ABN$500,H$2,0),$A$417,INDEX(Техника!$H$1:$ABO$500,H$2,0),"З")</f>
        <v>0</v>
      </c>
      <c r="I422" s="50">
        <f>SUMIFS(INDEX(Техника!$F$1:$ABM$500,I$2,0),Техника!$F$4:$ABM$4,"Часы",INDEX(Техника!$G$1:$ABN$500,I$2,0),$A$417,INDEX(Техника!$H$1:$ABO$500,I$2,0),"З")</f>
        <v>0</v>
      </c>
      <c r="J422" s="50">
        <f>SUMIFS(INDEX(Техника!$F$1:$ABM$500,J$2,0),Техника!$F$4:$ABM$4,"Часы",INDEX(Техника!$G$1:$ABN$500,J$2,0),$A$417,INDEX(Техника!$H$1:$ABO$500,J$2,0),"З")</f>
        <v>0</v>
      </c>
      <c r="K422" s="50">
        <f>SUMIFS(INDEX(Техника!$F$1:$ABM$500,K$2,0),Техника!$F$4:$ABM$4,"Часы",INDEX(Техника!$G$1:$ABN$500,K$2,0),$A$417,INDEX(Техника!$H$1:$ABO$500,K$2,0),"З")</f>
        <v>0</v>
      </c>
      <c r="L422" s="50">
        <f>SUMIFS(INDEX(Техника!$F$1:$ABM$500,L$2,0),Техника!$F$4:$ABM$4,"Часы",INDEX(Техника!$G$1:$ABN$500,L$2,0),$A$417,INDEX(Техника!$H$1:$ABO$500,L$2,0),"З")</f>
        <v>0</v>
      </c>
      <c r="M422" s="50">
        <f>SUMIFS(INDEX(Техника!$F$1:$ABM$500,M$2,0),Техника!$F$4:$ABM$4,"Часы",INDEX(Техника!$G$1:$ABN$500,M$2,0),$A$417,INDEX(Техника!$H$1:$ABO$500,M$2,0),"З")</f>
        <v>0</v>
      </c>
      <c r="N422" s="50">
        <f>SUMIFS(INDEX(Техника!$F$1:$ABM$500,N$2,0),Техника!$F$4:$ABM$4,"Часы",INDEX(Техника!$G$1:$ABN$500,N$2,0),$A$417,INDEX(Техника!$H$1:$ABO$500,N$2,0),"З")</f>
        <v>0</v>
      </c>
      <c r="O422" s="50">
        <f>SUMIFS(INDEX(Техника!$F$1:$ABM$500,O$2,0),Техника!$F$4:$ABM$4,"Часы",INDEX(Техника!$G$1:$ABN$500,O$2,0),$A$417,INDEX(Техника!$H$1:$ABO$500,O$2,0),"З")</f>
        <v>0</v>
      </c>
      <c r="P422" s="50">
        <f>SUMIFS(INDEX(Техника!$F$1:$ABM$500,P$2,0),Техника!$F$4:$ABM$4,"Часы",INDEX(Техника!$G$1:$ABN$500,P$2,0),$A$417,INDEX(Техника!$H$1:$ABO$500,P$2,0),"З")</f>
        <v>0</v>
      </c>
      <c r="Q422" s="50">
        <f>SUMIFS(INDEX(Техника!$F$1:$ABM$500,Q$2,0),Техника!$F$4:$ABM$4,"Часы",INDEX(Техника!$G$1:$ABN$500,Q$2,0),$A$417,INDEX(Техника!$H$1:$ABO$500,Q$2,0),"З")</f>
        <v>0</v>
      </c>
      <c r="R422" s="50">
        <f>SUMIFS(INDEX(Техника!$F$1:$ABM$500,R$2,0),Техника!$F$4:$ABM$4,"Часы",INDEX(Техника!$G$1:$ABN$500,R$2,0),$A$417,INDEX(Техника!$H$1:$ABO$500,R$2,0),"З")</f>
        <v>0</v>
      </c>
      <c r="S422" s="50">
        <f>SUMIFS(INDEX(Техника!$F$1:$ABM$500,S$2,0),Техника!$F$4:$ABM$4,"Часы",INDEX(Техника!$G$1:$ABN$500,S$2,0),$A$417,INDEX(Техника!$H$1:$ABO$500,S$2,0),"З")</f>
        <v>0</v>
      </c>
      <c r="T422" s="50">
        <f>SUMIFS(INDEX(Техника!$F$1:$ABM$500,T$2,0),Техника!$F$4:$ABM$4,"Часы",INDEX(Техника!$G$1:$ABN$500,T$2,0),$A$417,INDEX(Техника!$H$1:$ABO$500,T$2,0),"З")</f>
        <v>0</v>
      </c>
      <c r="U422" s="50">
        <f>SUMIFS(INDEX(Техника!$F$1:$ABM$500,U$2,0),Техника!$F$4:$ABM$4,"Часы",INDEX(Техника!$G$1:$ABN$500,U$2,0),$A$417,INDEX(Техника!$H$1:$ABO$500,U$2,0),"З")</f>
        <v>0</v>
      </c>
      <c r="V422" s="50">
        <f>SUMIFS(INDEX(Техника!$F$1:$ABM$500,V$2,0),Техника!$F$4:$ABM$4,"Часы",INDEX(Техника!$G$1:$ABN$500,V$2,0),$A$417,INDEX(Техника!$H$1:$ABO$500,V$2,0),"З")</f>
        <v>0</v>
      </c>
      <c r="W422" s="50">
        <f>SUMIFS(INDEX(Техника!$F$1:$ABM$500,W$2,0),Техника!$F$4:$ABM$4,"Часы",INDEX(Техника!$G$1:$ABN$500,W$2,0),$A$417,INDEX(Техника!$H$1:$ABO$500,W$2,0),"З")</f>
        <v>0</v>
      </c>
      <c r="X422" s="50">
        <f>SUMIFS(INDEX(Техника!$F$1:$ABM$500,X$2,0),Техника!$F$4:$ABM$4,"Часы",INDEX(Техника!$G$1:$ABN$500,X$2,0),$A$417,INDEX(Техника!$H$1:$ABO$500,X$2,0),"З")</f>
        <v>0</v>
      </c>
      <c r="Y422" s="50">
        <f>SUMIFS(INDEX(Техника!$F$1:$ABM$500,Y$2,0),Техника!$F$4:$ABM$4,"Часы",INDEX(Техника!$G$1:$ABN$500,Y$2,0),$A$417,INDEX(Техника!$H$1:$ABO$500,Y$2,0),"З")</f>
        <v>0</v>
      </c>
      <c r="Z422" s="50">
        <f>SUMIFS(INDEX(Техника!$F$1:$ABM$500,Z$2,0),Техника!$F$4:$ABM$4,"Часы",INDEX(Техника!$G$1:$ABN$500,Z$2,0),$A$417,INDEX(Техника!$H$1:$ABO$500,Z$2,0),"З")</f>
        <v>0</v>
      </c>
      <c r="AA422" s="50">
        <f>SUMIFS(INDEX(Техника!$F$1:$ABM$500,AA$2,0),Техника!$F$4:$ABM$4,"Часы",INDEX(Техника!$G$1:$ABN$500,AA$2,0),$A$417,INDEX(Техника!$H$1:$ABO$500,AA$2,0),"З")</f>
        <v>0</v>
      </c>
      <c r="AB422" s="50">
        <f>SUMIFS(INDEX(Техника!$F$1:$ABM$500,AB$2,0),Техника!$F$4:$ABM$4,"Часы",INDEX(Техника!$G$1:$ABN$500,AB$2,0),$A$417,INDEX(Техника!$H$1:$ABO$500,AB$2,0),"З")</f>
        <v>0</v>
      </c>
    </row>
    <row r="423" spans="1:28" ht="7.95" customHeight="1" x14ac:dyDescent="0.3">
      <c r="A423" s="38"/>
      <c r="B423" s="39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</row>
    <row r="424" spans="1:28" ht="25.05" customHeight="1" collapsed="1" x14ac:dyDescent="0.3">
      <c r="A424" s="32">
        <v>61</v>
      </c>
      <c r="B424" s="32" t="s">
        <v>62</v>
      </c>
      <c r="C424" s="49">
        <f>SUM(C425:C429)</f>
        <v>0</v>
      </c>
      <c r="D424" s="49">
        <f>SUM(D425:D429)</f>
        <v>0</v>
      </c>
      <c r="E424" s="49">
        <f>SUM(E425:E429)</f>
        <v>0</v>
      </c>
      <c r="F424" s="49">
        <f>SUM(F425:F429)</f>
        <v>0</v>
      </c>
      <c r="G424" s="49">
        <f>SUM(G425:G429)</f>
        <v>0</v>
      </c>
      <c r="H424" s="49">
        <f>SUM(H425:H429)</f>
        <v>0</v>
      </c>
      <c r="I424" s="49">
        <f>SUM(I425:I429)</f>
        <v>0</v>
      </c>
      <c r="J424" s="49">
        <f>SUM(J425:J429)</f>
        <v>0</v>
      </c>
      <c r="K424" s="49">
        <f>SUM(K425:K429)</f>
        <v>0</v>
      </c>
      <c r="L424" s="49">
        <f>SUM(L425:L429)</f>
        <v>0</v>
      </c>
      <c r="M424" s="49">
        <f>SUM(M425:M429)</f>
        <v>0</v>
      </c>
      <c r="N424" s="49">
        <f>SUM(N425:N429)</f>
        <v>0</v>
      </c>
      <c r="O424" s="49">
        <f>SUM(O425:O429)</f>
        <v>0</v>
      </c>
      <c r="P424" s="49">
        <f>SUM(P425:P429)</f>
        <v>0</v>
      </c>
      <c r="Q424" s="49">
        <f>SUM(Q425:Q429)</f>
        <v>0</v>
      </c>
      <c r="R424" s="49">
        <f>SUM(R425:R429)</f>
        <v>0</v>
      </c>
      <c r="S424" s="49">
        <f>SUM(S425:S429)</f>
        <v>0</v>
      </c>
      <c r="T424" s="49">
        <f>SUM(T425:T429)</f>
        <v>0</v>
      </c>
      <c r="U424" s="49">
        <f>SUM(U425:U429)</f>
        <v>0</v>
      </c>
      <c r="V424" s="49">
        <f>SUM(V425:V429)</f>
        <v>0</v>
      </c>
      <c r="W424" s="49">
        <f>SUM(W425:W429)</f>
        <v>0</v>
      </c>
      <c r="X424" s="49">
        <f>SUM(X425:X429)</f>
        <v>0</v>
      </c>
      <c r="Y424" s="49">
        <f>SUM(Y425:Y429)</f>
        <v>0</v>
      </c>
      <c r="Z424" s="49">
        <f>SUM(Z425:Z429)</f>
        <v>0</v>
      </c>
      <c r="AA424" s="49">
        <f>SUM(AA425:AA429)</f>
        <v>0</v>
      </c>
      <c r="AB424" s="49">
        <f>SUM(AB425:AB429)</f>
        <v>0</v>
      </c>
    </row>
    <row r="425" spans="1:28" hidden="1" outlineLevel="1" x14ac:dyDescent="0.3">
      <c r="A425" s="33" t="s">
        <v>246</v>
      </c>
      <c r="B425" s="34" t="s">
        <v>274</v>
      </c>
      <c r="C425" s="50">
        <f>SUMIFS(INDEX(Техника!$F$1:$ABM$500,C$2,0),Техника!$F$4:$ABM$4,"Часы",INDEX(Техника!$G$1:$ABN$500,C$2,0),$A$424,INDEX(Техника!$H$1:$ABO$500,C$2,0),"М")</f>
        <v>0</v>
      </c>
      <c r="D425" s="50">
        <f>SUMIFS(INDEX(Техника!$F$1:$ABM$500,D$2,0),Техника!$F$4:$ABM$4,"Часы",INDEX(Техника!$G$1:$ABN$500,D$2,0),$A$424,INDEX(Техника!$H$1:$ABO$500,D$2,0),"М")</f>
        <v>0</v>
      </c>
      <c r="E425" s="50">
        <f>SUMIFS(INDEX(Техника!$F$1:$ABM$500,E$2,0),Техника!$F$4:$ABM$4,"Часы",INDEX(Техника!$G$1:$ABN$500,E$2,0),$A$424,INDEX(Техника!$H$1:$ABO$500,E$2,0),"М")</f>
        <v>0</v>
      </c>
      <c r="F425" s="50">
        <f>SUMIFS(INDEX(Техника!$F$1:$ABM$500,F$2,0),Техника!$F$4:$ABM$4,"Часы",INDEX(Техника!$G$1:$ABN$500,F$2,0),$A$424,INDEX(Техника!$H$1:$ABO$500,F$2,0),"М")</f>
        <v>0</v>
      </c>
      <c r="G425" s="50">
        <f>SUMIFS(INDEX(Техника!$F$1:$ABM$500,G$2,0),Техника!$F$4:$ABM$4,"Часы",INDEX(Техника!$G$1:$ABN$500,G$2,0),$A$424,INDEX(Техника!$H$1:$ABO$500,G$2,0),"М")</f>
        <v>0</v>
      </c>
      <c r="H425" s="50">
        <f>SUMIFS(INDEX(Техника!$F$1:$ABM$500,H$2,0),Техника!$F$4:$ABM$4,"Часы",INDEX(Техника!$G$1:$ABN$500,H$2,0),$A$424,INDEX(Техника!$H$1:$ABO$500,H$2,0),"М")</f>
        <v>0</v>
      </c>
      <c r="I425" s="50">
        <f>SUMIFS(INDEX(Техника!$F$1:$ABM$500,I$2,0),Техника!$F$4:$ABM$4,"Часы",INDEX(Техника!$G$1:$ABN$500,I$2,0),$A$424,INDEX(Техника!$H$1:$ABO$500,I$2,0),"М")</f>
        <v>0</v>
      </c>
      <c r="J425" s="50">
        <f>SUMIFS(INDEX(Техника!$F$1:$ABM$500,J$2,0),Техника!$F$4:$ABM$4,"Часы",INDEX(Техника!$G$1:$ABN$500,J$2,0),$A$424,INDEX(Техника!$H$1:$ABO$500,J$2,0),"М")</f>
        <v>0</v>
      </c>
      <c r="K425" s="50">
        <f>SUMIFS(INDEX(Техника!$F$1:$ABM$500,K$2,0),Техника!$F$4:$ABM$4,"Часы",INDEX(Техника!$G$1:$ABN$500,K$2,0),$A$424,INDEX(Техника!$H$1:$ABO$500,K$2,0),"М")</f>
        <v>0</v>
      </c>
      <c r="L425" s="50">
        <f>SUMIFS(INDEX(Техника!$F$1:$ABM$500,L$2,0),Техника!$F$4:$ABM$4,"Часы",INDEX(Техника!$G$1:$ABN$500,L$2,0),$A$424,INDEX(Техника!$H$1:$ABO$500,L$2,0),"М")</f>
        <v>0</v>
      </c>
      <c r="M425" s="50">
        <f>SUMIFS(INDEX(Техника!$F$1:$ABM$500,M$2,0),Техника!$F$4:$ABM$4,"Часы",INDEX(Техника!$G$1:$ABN$500,M$2,0),$A$424,INDEX(Техника!$H$1:$ABO$500,M$2,0),"М")</f>
        <v>0</v>
      </c>
      <c r="N425" s="50">
        <f>SUMIFS(INDEX(Техника!$F$1:$ABM$500,N$2,0),Техника!$F$4:$ABM$4,"Часы",INDEX(Техника!$G$1:$ABN$500,N$2,0),$A$424,INDEX(Техника!$H$1:$ABO$500,N$2,0),"М")</f>
        <v>0</v>
      </c>
      <c r="O425" s="50">
        <f>SUMIFS(INDEX(Техника!$F$1:$ABM$500,O$2,0),Техника!$F$4:$ABM$4,"Часы",INDEX(Техника!$G$1:$ABN$500,O$2,0),$A$424,INDEX(Техника!$H$1:$ABO$500,O$2,0),"М")</f>
        <v>0</v>
      </c>
      <c r="P425" s="50">
        <f>SUMIFS(INDEX(Техника!$F$1:$ABM$500,P$2,0),Техника!$F$4:$ABM$4,"Часы",INDEX(Техника!$G$1:$ABN$500,P$2,0),$A$424,INDEX(Техника!$H$1:$ABO$500,P$2,0),"М")</f>
        <v>0</v>
      </c>
      <c r="Q425" s="50">
        <f>SUMIFS(INDEX(Техника!$F$1:$ABM$500,Q$2,0),Техника!$F$4:$ABM$4,"Часы",INDEX(Техника!$G$1:$ABN$500,Q$2,0),$A$424,INDEX(Техника!$H$1:$ABO$500,Q$2,0),"М")</f>
        <v>0</v>
      </c>
      <c r="R425" s="50">
        <f>SUMIFS(INDEX(Техника!$F$1:$ABM$500,R$2,0),Техника!$F$4:$ABM$4,"Часы",INDEX(Техника!$G$1:$ABN$500,R$2,0),$A$424,INDEX(Техника!$H$1:$ABO$500,R$2,0),"М")</f>
        <v>0</v>
      </c>
      <c r="S425" s="50">
        <f>SUMIFS(INDEX(Техника!$F$1:$ABM$500,S$2,0),Техника!$F$4:$ABM$4,"Часы",INDEX(Техника!$G$1:$ABN$500,S$2,0),$A$424,INDEX(Техника!$H$1:$ABO$500,S$2,0),"М")</f>
        <v>0</v>
      </c>
      <c r="T425" s="50">
        <f>SUMIFS(INDEX(Техника!$F$1:$ABM$500,T$2,0),Техника!$F$4:$ABM$4,"Часы",INDEX(Техника!$G$1:$ABN$500,T$2,0),$A$424,INDEX(Техника!$H$1:$ABO$500,T$2,0),"М")</f>
        <v>0</v>
      </c>
      <c r="U425" s="50">
        <f>SUMIFS(INDEX(Техника!$F$1:$ABM$500,U$2,0),Техника!$F$4:$ABM$4,"Часы",INDEX(Техника!$G$1:$ABN$500,U$2,0),$A$424,INDEX(Техника!$H$1:$ABO$500,U$2,0),"М")</f>
        <v>0</v>
      </c>
      <c r="V425" s="50">
        <f>SUMIFS(INDEX(Техника!$F$1:$ABM$500,V$2,0),Техника!$F$4:$ABM$4,"Часы",INDEX(Техника!$G$1:$ABN$500,V$2,0),$A$424,INDEX(Техника!$H$1:$ABO$500,V$2,0),"М")</f>
        <v>0</v>
      </c>
      <c r="W425" s="50">
        <f>SUMIFS(INDEX(Техника!$F$1:$ABM$500,W$2,0),Техника!$F$4:$ABM$4,"Часы",INDEX(Техника!$G$1:$ABN$500,W$2,0),$A$424,INDEX(Техника!$H$1:$ABO$500,W$2,0),"М")</f>
        <v>0</v>
      </c>
      <c r="X425" s="50">
        <f>SUMIFS(INDEX(Техника!$F$1:$ABM$500,X$2,0),Техника!$F$4:$ABM$4,"Часы",INDEX(Техника!$G$1:$ABN$500,X$2,0),$A$424,INDEX(Техника!$H$1:$ABO$500,X$2,0),"М")</f>
        <v>0</v>
      </c>
      <c r="Y425" s="50">
        <f>SUMIFS(INDEX(Техника!$F$1:$ABM$500,Y$2,0),Техника!$F$4:$ABM$4,"Часы",INDEX(Техника!$G$1:$ABN$500,Y$2,0),$A$424,INDEX(Техника!$H$1:$ABO$500,Y$2,0),"М")</f>
        <v>0</v>
      </c>
      <c r="Z425" s="50">
        <f>SUMIFS(INDEX(Техника!$F$1:$ABM$500,Z$2,0),Техника!$F$4:$ABM$4,"Часы",INDEX(Техника!$G$1:$ABN$500,Z$2,0),$A$424,INDEX(Техника!$H$1:$ABO$500,Z$2,0),"М")</f>
        <v>0</v>
      </c>
      <c r="AA425" s="50">
        <f>SUMIFS(INDEX(Техника!$F$1:$ABM$500,AA$2,0),Техника!$F$4:$ABM$4,"Часы",INDEX(Техника!$G$1:$ABN$500,AA$2,0),$A$424,INDEX(Техника!$H$1:$ABO$500,AA$2,0),"М")</f>
        <v>0</v>
      </c>
      <c r="AB425" s="50">
        <f>SUMIFS(INDEX(Техника!$F$1:$ABM$500,AB$2,0),Техника!$F$4:$ABM$4,"Часы",INDEX(Техника!$G$1:$ABN$500,AB$2,0),$A$424,INDEX(Техника!$H$1:$ABO$500,AB$2,0),"М")</f>
        <v>0</v>
      </c>
    </row>
    <row r="426" spans="1:28" hidden="1" outlineLevel="1" x14ac:dyDescent="0.3">
      <c r="A426" s="33" t="s">
        <v>244</v>
      </c>
      <c r="B426" s="34" t="s">
        <v>275</v>
      </c>
      <c r="C426" s="50">
        <f>SUMIFS(INDEX(Техника!$F$1:$ABM$500,C$2,0),Техника!$F$4:$ABM$4,"Часы",INDEX(Техника!$G$1:$ABN$500,C$2,0),$A$424,INDEX(Техника!$H$1:$ABO$500,C$2,0),"Д")</f>
        <v>0</v>
      </c>
      <c r="D426" s="50">
        <f>SUMIFS(INDEX(Техника!$F$1:$ABM$500,D$2,0),Техника!$F$4:$ABM$4,"Часы",INDEX(Техника!$G$1:$ABN$500,D$2,0),$A$424,INDEX(Техника!$H$1:$ABO$500,D$2,0),"Д")</f>
        <v>0</v>
      </c>
      <c r="E426" s="50">
        <f>SUMIFS(INDEX(Техника!$F$1:$ABM$500,E$2,0),Техника!$F$4:$ABM$4,"Часы",INDEX(Техника!$G$1:$ABN$500,E$2,0),$A$424,INDEX(Техника!$H$1:$ABO$500,E$2,0),"Д")</f>
        <v>0</v>
      </c>
      <c r="F426" s="50">
        <f>SUMIFS(INDEX(Техника!$F$1:$ABM$500,F$2,0),Техника!$F$4:$ABM$4,"Часы",INDEX(Техника!$G$1:$ABN$500,F$2,0),$A$424,INDEX(Техника!$H$1:$ABO$500,F$2,0),"Д")</f>
        <v>0</v>
      </c>
      <c r="G426" s="50">
        <f>SUMIFS(INDEX(Техника!$F$1:$ABM$500,G$2,0),Техника!$F$4:$ABM$4,"Часы",INDEX(Техника!$G$1:$ABN$500,G$2,0),$A$424,INDEX(Техника!$H$1:$ABO$500,G$2,0),"Д")</f>
        <v>0</v>
      </c>
      <c r="H426" s="50">
        <f>SUMIFS(INDEX(Техника!$F$1:$ABM$500,H$2,0),Техника!$F$4:$ABM$4,"Часы",INDEX(Техника!$G$1:$ABN$500,H$2,0),$A$424,INDEX(Техника!$H$1:$ABO$500,H$2,0),"Д")</f>
        <v>0</v>
      </c>
      <c r="I426" s="50">
        <f>SUMIFS(INDEX(Техника!$F$1:$ABM$500,I$2,0),Техника!$F$4:$ABM$4,"Часы",INDEX(Техника!$G$1:$ABN$500,I$2,0),$A$424,INDEX(Техника!$H$1:$ABO$500,I$2,0),"Д")</f>
        <v>0</v>
      </c>
      <c r="J426" s="50">
        <f>SUMIFS(INDEX(Техника!$F$1:$ABM$500,J$2,0),Техника!$F$4:$ABM$4,"Часы",INDEX(Техника!$G$1:$ABN$500,J$2,0),$A$424,INDEX(Техника!$H$1:$ABO$500,J$2,0),"Д")</f>
        <v>0</v>
      </c>
      <c r="K426" s="50">
        <f>SUMIFS(INDEX(Техника!$F$1:$ABM$500,K$2,0),Техника!$F$4:$ABM$4,"Часы",INDEX(Техника!$G$1:$ABN$500,K$2,0),$A$424,INDEX(Техника!$H$1:$ABO$500,K$2,0),"Д")</f>
        <v>0</v>
      </c>
      <c r="L426" s="50">
        <f>SUMIFS(INDEX(Техника!$F$1:$ABM$500,L$2,0),Техника!$F$4:$ABM$4,"Часы",INDEX(Техника!$G$1:$ABN$500,L$2,0),$A$424,INDEX(Техника!$H$1:$ABO$500,L$2,0),"Д")</f>
        <v>0</v>
      </c>
      <c r="M426" s="50">
        <f>SUMIFS(INDEX(Техника!$F$1:$ABM$500,M$2,0),Техника!$F$4:$ABM$4,"Часы",INDEX(Техника!$G$1:$ABN$500,M$2,0),$A$424,INDEX(Техника!$H$1:$ABO$500,M$2,0),"Д")</f>
        <v>0</v>
      </c>
      <c r="N426" s="50">
        <f>SUMIFS(INDEX(Техника!$F$1:$ABM$500,N$2,0),Техника!$F$4:$ABM$4,"Часы",INDEX(Техника!$G$1:$ABN$500,N$2,0),$A$424,INDEX(Техника!$H$1:$ABO$500,N$2,0),"Д")</f>
        <v>0</v>
      </c>
      <c r="O426" s="50">
        <f>SUMIFS(INDEX(Техника!$F$1:$ABM$500,O$2,0),Техника!$F$4:$ABM$4,"Часы",INDEX(Техника!$G$1:$ABN$500,O$2,0),$A$424,INDEX(Техника!$H$1:$ABO$500,O$2,0),"Д")</f>
        <v>0</v>
      </c>
      <c r="P426" s="50">
        <f>SUMIFS(INDEX(Техника!$F$1:$ABM$500,P$2,0),Техника!$F$4:$ABM$4,"Часы",INDEX(Техника!$G$1:$ABN$500,P$2,0),$A$424,INDEX(Техника!$H$1:$ABO$500,P$2,0),"Д")</f>
        <v>0</v>
      </c>
      <c r="Q426" s="50">
        <f>SUMIFS(INDEX(Техника!$F$1:$ABM$500,Q$2,0),Техника!$F$4:$ABM$4,"Часы",INDEX(Техника!$G$1:$ABN$500,Q$2,0),$A$424,INDEX(Техника!$H$1:$ABO$500,Q$2,0),"Д")</f>
        <v>0</v>
      </c>
      <c r="R426" s="50">
        <f>SUMIFS(INDEX(Техника!$F$1:$ABM$500,R$2,0),Техника!$F$4:$ABM$4,"Часы",INDEX(Техника!$G$1:$ABN$500,R$2,0),$A$424,INDEX(Техника!$H$1:$ABO$500,R$2,0),"Д")</f>
        <v>0</v>
      </c>
      <c r="S426" s="50">
        <f>SUMIFS(INDEX(Техника!$F$1:$ABM$500,S$2,0),Техника!$F$4:$ABM$4,"Часы",INDEX(Техника!$G$1:$ABN$500,S$2,0),$A$424,INDEX(Техника!$H$1:$ABO$500,S$2,0),"Д")</f>
        <v>0</v>
      </c>
      <c r="T426" s="50">
        <f>SUMIFS(INDEX(Техника!$F$1:$ABM$500,T$2,0),Техника!$F$4:$ABM$4,"Часы",INDEX(Техника!$G$1:$ABN$500,T$2,0),$A$424,INDEX(Техника!$H$1:$ABO$500,T$2,0),"Д")</f>
        <v>0</v>
      </c>
      <c r="U426" s="50">
        <f>SUMIFS(INDEX(Техника!$F$1:$ABM$500,U$2,0),Техника!$F$4:$ABM$4,"Часы",INDEX(Техника!$G$1:$ABN$500,U$2,0),$A$424,INDEX(Техника!$H$1:$ABO$500,U$2,0),"Д")</f>
        <v>0</v>
      </c>
      <c r="V426" s="50">
        <f>SUMIFS(INDEX(Техника!$F$1:$ABM$500,V$2,0),Техника!$F$4:$ABM$4,"Часы",INDEX(Техника!$G$1:$ABN$500,V$2,0),$A$424,INDEX(Техника!$H$1:$ABO$500,V$2,0),"Д")</f>
        <v>0</v>
      </c>
      <c r="W426" s="50">
        <f>SUMIFS(INDEX(Техника!$F$1:$ABM$500,W$2,0),Техника!$F$4:$ABM$4,"Часы",INDEX(Техника!$G$1:$ABN$500,W$2,0),$A$424,INDEX(Техника!$H$1:$ABO$500,W$2,0),"Д")</f>
        <v>0</v>
      </c>
      <c r="X426" s="50">
        <f>SUMIFS(INDEX(Техника!$F$1:$ABM$500,X$2,0),Техника!$F$4:$ABM$4,"Часы",INDEX(Техника!$G$1:$ABN$500,X$2,0),$A$424,INDEX(Техника!$H$1:$ABO$500,X$2,0),"Д")</f>
        <v>0</v>
      </c>
      <c r="Y426" s="50">
        <f>SUMIFS(INDEX(Техника!$F$1:$ABM$500,Y$2,0),Техника!$F$4:$ABM$4,"Часы",INDEX(Техника!$G$1:$ABN$500,Y$2,0),$A$424,INDEX(Техника!$H$1:$ABO$500,Y$2,0),"Д")</f>
        <v>0</v>
      </c>
      <c r="Z426" s="50">
        <f>SUMIFS(INDEX(Техника!$F$1:$ABM$500,Z$2,0),Техника!$F$4:$ABM$4,"Часы",INDEX(Техника!$G$1:$ABN$500,Z$2,0),$A$424,INDEX(Техника!$H$1:$ABO$500,Z$2,0),"Д")</f>
        <v>0</v>
      </c>
      <c r="AA426" s="50">
        <f>SUMIFS(INDEX(Техника!$F$1:$ABM$500,AA$2,0),Техника!$F$4:$ABM$4,"Часы",INDEX(Техника!$G$1:$ABN$500,AA$2,0),$A$424,INDEX(Техника!$H$1:$ABO$500,AA$2,0),"Д")</f>
        <v>0</v>
      </c>
      <c r="AB426" s="50">
        <f>SUMIFS(INDEX(Техника!$F$1:$ABM$500,AB$2,0),Техника!$F$4:$ABM$4,"Часы",INDEX(Техника!$G$1:$ABN$500,AB$2,0),$A$424,INDEX(Техника!$H$1:$ABO$500,AB$2,0),"Д")</f>
        <v>0</v>
      </c>
    </row>
    <row r="427" spans="1:28" hidden="1" outlineLevel="1" x14ac:dyDescent="0.3">
      <c r="A427" s="33" t="s">
        <v>276</v>
      </c>
      <c r="B427" s="34" t="s">
        <v>277</v>
      </c>
      <c r="C427" s="50">
        <f>SUMIFS(INDEX(Техника!$F$1:$ABM$500,C$2,0),Техника!$F$4:$ABM$4,"Часы",INDEX(Техника!$G$1:$ABN$500,C$2,0),$A$424,INDEX(Техника!$H$1:$ABO$500,C$2,0),"П")</f>
        <v>0</v>
      </c>
      <c r="D427" s="50">
        <f>SUMIFS(INDEX(Техника!$F$1:$ABM$500,D$2,0),Техника!$F$4:$ABM$4,"Часы",INDEX(Техника!$G$1:$ABN$500,D$2,0),$A$424,INDEX(Техника!$H$1:$ABO$500,D$2,0),"П")</f>
        <v>0</v>
      </c>
      <c r="E427" s="50">
        <f>SUMIFS(INDEX(Техника!$F$1:$ABM$500,E$2,0),Техника!$F$4:$ABM$4,"Часы",INDEX(Техника!$G$1:$ABN$500,E$2,0),$A$424,INDEX(Техника!$H$1:$ABO$500,E$2,0),"П")</f>
        <v>0</v>
      </c>
      <c r="F427" s="50">
        <f>SUMIFS(INDEX(Техника!$F$1:$ABM$500,F$2,0),Техника!$F$4:$ABM$4,"Часы",INDEX(Техника!$G$1:$ABN$500,F$2,0),$A$424,INDEX(Техника!$H$1:$ABO$500,F$2,0),"П")</f>
        <v>0</v>
      </c>
      <c r="G427" s="50">
        <f>SUMIFS(INDEX(Техника!$F$1:$ABM$500,G$2,0),Техника!$F$4:$ABM$4,"Часы",INDEX(Техника!$G$1:$ABN$500,G$2,0),$A$424,INDEX(Техника!$H$1:$ABO$500,G$2,0),"П")</f>
        <v>0</v>
      </c>
      <c r="H427" s="50">
        <f>SUMIFS(INDEX(Техника!$F$1:$ABM$500,H$2,0),Техника!$F$4:$ABM$4,"Часы",INDEX(Техника!$G$1:$ABN$500,H$2,0),$A$424,INDEX(Техника!$H$1:$ABO$500,H$2,0),"П")</f>
        <v>0</v>
      </c>
      <c r="I427" s="50">
        <f>SUMIFS(INDEX(Техника!$F$1:$ABM$500,I$2,0),Техника!$F$4:$ABM$4,"Часы",INDEX(Техника!$G$1:$ABN$500,I$2,0),$A$424,INDEX(Техника!$H$1:$ABO$500,I$2,0),"П")</f>
        <v>0</v>
      </c>
      <c r="J427" s="50">
        <f>SUMIFS(INDEX(Техника!$F$1:$ABM$500,J$2,0),Техника!$F$4:$ABM$4,"Часы",INDEX(Техника!$G$1:$ABN$500,J$2,0),$A$424,INDEX(Техника!$H$1:$ABO$500,J$2,0),"П")</f>
        <v>0</v>
      </c>
      <c r="K427" s="50">
        <f>SUMIFS(INDEX(Техника!$F$1:$ABM$500,K$2,0),Техника!$F$4:$ABM$4,"Часы",INDEX(Техника!$G$1:$ABN$500,K$2,0),$A$424,INDEX(Техника!$H$1:$ABO$500,K$2,0),"П")</f>
        <v>0</v>
      </c>
      <c r="L427" s="50">
        <f>SUMIFS(INDEX(Техника!$F$1:$ABM$500,L$2,0),Техника!$F$4:$ABM$4,"Часы",INDEX(Техника!$G$1:$ABN$500,L$2,0),$A$424,INDEX(Техника!$H$1:$ABO$500,L$2,0),"П")</f>
        <v>0</v>
      </c>
      <c r="M427" s="50">
        <f>SUMIFS(INDEX(Техника!$F$1:$ABM$500,M$2,0),Техника!$F$4:$ABM$4,"Часы",INDEX(Техника!$G$1:$ABN$500,M$2,0),$A$424,INDEX(Техника!$H$1:$ABO$500,M$2,0),"П")</f>
        <v>0</v>
      </c>
      <c r="N427" s="50">
        <f>SUMIFS(INDEX(Техника!$F$1:$ABM$500,N$2,0),Техника!$F$4:$ABM$4,"Часы",INDEX(Техника!$G$1:$ABN$500,N$2,0),$A$424,INDEX(Техника!$H$1:$ABO$500,N$2,0),"П")</f>
        <v>0</v>
      </c>
      <c r="O427" s="50">
        <f>SUMIFS(INDEX(Техника!$F$1:$ABM$500,O$2,0),Техника!$F$4:$ABM$4,"Часы",INDEX(Техника!$G$1:$ABN$500,O$2,0),$A$424,INDEX(Техника!$H$1:$ABO$500,O$2,0),"П")</f>
        <v>0</v>
      </c>
      <c r="P427" s="50">
        <f>SUMIFS(INDEX(Техника!$F$1:$ABM$500,P$2,0),Техника!$F$4:$ABM$4,"Часы",INDEX(Техника!$G$1:$ABN$500,P$2,0),$A$424,INDEX(Техника!$H$1:$ABO$500,P$2,0),"П")</f>
        <v>0</v>
      </c>
      <c r="Q427" s="50">
        <f>SUMIFS(INDEX(Техника!$F$1:$ABM$500,Q$2,0),Техника!$F$4:$ABM$4,"Часы",INDEX(Техника!$G$1:$ABN$500,Q$2,0),$A$424,INDEX(Техника!$H$1:$ABO$500,Q$2,0),"П")</f>
        <v>0</v>
      </c>
      <c r="R427" s="50">
        <f>SUMIFS(INDEX(Техника!$F$1:$ABM$500,R$2,0),Техника!$F$4:$ABM$4,"Часы",INDEX(Техника!$G$1:$ABN$500,R$2,0),$A$424,INDEX(Техника!$H$1:$ABO$500,R$2,0),"П")</f>
        <v>0</v>
      </c>
      <c r="S427" s="50">
        <f>SUMIFS(INDEX(Техника!$F$1:$ABM$500,S$2,0),Техника!$F$4:$ABM$4,"Часы",INDEX(Техника!$G$1:$ABN$500,S$2,0),$A$424,INDEX(Техника!$H$1:$ABO$500,S$2,0),"П")</f>
        <v>0</v>
      </c>
      <c r="T427" s="50">
        <f>SUMIFS(INDEX(Техника!$F$1:$ABM$500,T$2,0),Техника!$F$4:$ABM$4,"Часы",INDEX(Техника!$G$1:$ABN$500,T$2,0),$A$424,INDEX(Техника!$H$1:$ABO$500,T$2,0),"П")</f>
        <v>0</v>
      </c>
      <c r="U427" s="50">
        <f>SUMIFS(INDEX(Техника!$F$1:$ABM$500,U$2,0),Техника!$F$4:$ABM$4,"Часы",INDEX(Техника!$G$1:$ABN$500,U$2,0),$A$424,INDEX(Техника!$H$1:$ABO$500,U$2,0),"П")</f>
        <v>0</v>
      </c>
      <c r="V427" s="50">
        <f>SUMIFS(INDEX(Техника!$F$1:$ABM$500,V$2,0),Техника!$F$4:$ABM$4,"Часы",INDEX(Техника!$G$1:$ABN$500,V$2,0),$A$424,INDEX(Техника!$H$1:$ABO$500,V$2,0),"П")</f>
        <v>0</v>
      </c>
      <c r="W427" s="50">
        <f>SUMIFS(INDEX(Техника!$F$1:$ABM$500,W$2,0),Техника!$F$4:$ABM$4,"Часы",INDEX(Техника!$G$1:$ABN$500,W$2,0),$A$424,INDEX(Техника!$H$1:$ABO$500,W$2,0),"П")</f>
        <v>0</v>
      </c>
      <c r="X427" s="50">
        <f>SUMIFS(INDEX(Техника!$F$1:$ABM$500,X$2,0),Техника!$F$4:$ABM$4,"Часы",INDEX(Техника!$G$1:$ABN$500,X$2,0),$A$424,INDEX(Техника!$H$1:$ABO$500,X$2,0),"П")</f>
        <v>0</v>
      </c>
      <c r="Y427" s="50">
        <f>SUMIFS(INDEX(Техника!$F$1:$ABM$500,Y$2,0),Техника!$F$4:$ABM$4,"Часы",INDEX(Техника!$G$1:$ABN$500,Y$2,0),$A$424,INDEX(Техника!$H$1:$ABO$500,Y$2,0),"П")</f>
        <v>0</v>
      </c>
      <c r="Z427" s="50">
        <f>SUMIFS(INDEX(Техника!$F$1:$ABM$500,Z$2,0),Техника!$F$4:$ABM$4,"Часы",INDEX(Техника!$G$1:$ABN$500,Z$2,0),$A$424,INDEX(Техника!$H$1:$ABO$500,Z$2,0),"П")</f>
        <v>0</v>
      </c>
      <c r="AA427" s="50">
        <f>SUMIFS(INDEX(Техника!$F$1:$ABM$500,AA$2,0),Техника!$F$4:$ABM$4,"Часы",INDEX(Техника!$G$1:$ABN$500,AA$2,0),$A$424,INDEX(Техника!$H$1:$ABO$500,AA$2,0),"П")</f>
        <v>0</v>
      </c>
      <c r="AB427" s="50">
        <f>SUMIFS(INDEX(Техника!$F$1:$ABM$500,AB$2,0),Техника!$F$4:$ABM$4,"Часы",INDEX(Техника!$G$1:$ABN$500,AB$2,0),$A$424,INDEX(Техника!$H$1:$ABO$500,AB$2,0),"П")</f>
        <v>0</v>
      </c>
    </row>
    <row r="428" spans="1:28" hidden="1" outlineLevel="1" x14ac:dyDescent="0.3">
      <c r="A428" s="33" t="s">
        <v>243</v>
      </c>
      <c r="B428" s="34" t="s">
        <v>278</v>
      </c>
      <c r="C428" s="50">
        <f>SUMIFS(INDEX(Техника!$F$1:$ABM$500,C$2,0),Техника!$F$4:$ABM$4,"Часы",INDEX(Техника!$G$1:$ABN$500,C$2,0),$A$424,INDEX(Техника!$H$1:$ABO$500,C$2,0),"Л")</f>
        <v>0</v>
      </c>
      <c r="D428" s="50">
        <f>SUMIFS(INDEX(Техника!$F$1:$ABM$500,D$2,0),Техника!$F$4:$ABM$4,"Часы",INDEX(Техника!$G$1:$ABN$500,D$2,0),$A$424,INDEX(Техника!$H$1:$ABO$500,D$2,0),"Л")</f>
        <v>0</v>
      </c>
      <c r="E428" s="50">
        <f>SUMIFS(INDEX(Техника!$F$1:$ABM$500,E$2,0),Техника!$F$4:$ABM$4,"Часы",INDEX(Техника!$G$1:$ABN$500,E$2,0),$A$424,INDEX(Техника!$H$1:$ABO$500,E$2,0),"Л")</f>
        <v>0</v>
      </c>
      <c r="F428" s="50">
        <f>SUMIFS(INDEX(Техника!$F$1:$ABM$500,F$2,0),Техника!$F$4:$ABM$4,"Часы",INDEX(Техника!$G$1:$ABN$500,F$2,0),$A$424,INDEX(Техника!$H$1:$ABO$500,F$2,0),"Л")</f>
        <v>0</v>
      </c>
      <c r="G428" s="50">
        <f>SUMIFS(INDEX(Техника!$F$1:$ABM$500,G$2,0),Техника!$F$4:$ABM$4,"Часы",INDEX(Техника!$G$1:$ABN$500,G$2,0),$A$424,INDEX(Техника!$H$1:$ABO$500,G$2,0),"Л")</f>
        <v>0</v>
      </c>
      <c r="H428" s="50">
        <f>SUMIFS(INDEX(Техника!$F$1:$ABM$500,H$2,0),Техника!$F$4:$ABM$4,"Часы",INDEX(Техника!$G$1:$ABN$500,H$2,0),$A$424,INDEX(Техника!$H$1:$ABO$500,H$2,0),"Л")</f>
        <v>0</v>
      </c>
      <c r="I428" s="50">
        <f>SUMIFS(INDEX(Техника!$F$1:$ABM$500,I$2,0),Техника!$F$4:$ABM$4,"Часы",INDEX(Техника!$G$1:$ABN$500,I$2,0),$A$424,INDEX(Техника!$H$1:$ABO$500,I$2,0),"Л")</f>
        <v>0</v>
      </c>
      <c r="J428" s="50">
        <f>SUMIFS(INDEX(Техника!$F$1:$ABM$500,J$2,0),Техника!$F$4:$ABM$4,"Часы",INDEX(Техника!$G$1:$ABN$500,J$2,0),$A$424,INDEX(Техника!$H$1:$ABO$500,J$2,0),"Л")</f>
        <v>0</v>
      </c>
      <c r="K428" s="50">
        <f>SUMIFS(INDEX(Техника!$F$1:$ABM$500,K$2,0),Техника!$F$4:$ABM$4,"Часы",INDEX(Техника!$G$1:$ABN$500,K$2,0),$A$424,INDEX(Техника!$H$1:$ABO$500,K$2,0),"Л")</f>
        <v>0</v>
      </c>
      <c r="L428" s="50">
        <f>SUMIFS(INDEX(Техника!$F$1:$ABM$500,L$2,0),Техника!$F$4:$ABM$4,"Часы",INDEX(Техника!$G$1:$ABN$500,L$2,0),$A$424,INDEX(Техника!$H$1:$ABO$500,L$2,0),"Л")</f>
        <v>0</v>
      </c>
      <c r="M428" s="50">
        <f>SUMIFS(INDEX(Техника!$F$1:$ABM$500,M$2,0),Техника!$F$4:$ABM$4,"Часы",INDEX(Техника!$G$1:$ABN$500,M$2,0),$A$424,INDEX(Техника!$H$1:$ABO$500,M$2,0),"Л")</f>
        <v>0</v>
      </c>
      <c r="N428" s="50">
        <f>SUMIFS(INDEX(Техника!$F$1:$ABM$500,N$2,0),Техника!$F$4:$ABM$4,"Часы",INDEX(Техника!$G$1:$ABN$500,N$2,0),$A$424,INDEX(Техника!$H$1:$ABO$500,N$2,0),"Л")</f>
        <v>0</v>
      </c>
      <c r="O428" s="50">
        <f>SUMIFS(INDEX(Техника!$F$1:$ABM$500,O$2,0),Техника!$F$4:$ABM$4,"Часы",INDEX(Техника!$G$1:$ABN$500,O$2,0),$A$424,INDEX(Техника!$H$1:$ABO$500,O$2,0),"Л")</f>
        <v>0</v>
      </c>
      <c r="P428" s="50">
        <f>SUMIFS(INDEX(Техника!$F$1:$ABM$500,P$2,0),Техника!$F$4:$ABM$4,"Часы",INDEX(Техника!$G$1:$ABN$500,P$2,0),$A$424,INDEX(Техника!$H$1:$ABO$500,P$2,0),"Л")</f>
        <v>0</v>
      </c>
      <c r="Q428" s="50">
        <f>SUMIFS(INDEX(Техника!$F$1:$ABM$500,Q$2,0),Техника!$F$4:$ABM$4,"Часы",INDEX(Техника!$G$1:$ABN$500,Q$2,0),$A$424,INDEX(Техника!$H$1:$ABO$500,Q$2,0),"Л")</f>
        <v>0</v>
      </c>
      <c r="R428" s="50">
        <f>SUMIFS(INDEX(Техника!$F$1:$ABM$500,R$2,0),Техника!$F$4:$ABM$4,"Часы",INDEX(Техника!$G$1:$ABN$500,R$2,0),$A$424,INDEX(Техника!$H$1:$ABO$500,R$2,0),"Л")</f>
        <v>0</v>
      </c>
      <c r="S428" s="50">
        <f>SUMIFS(INDEX(Техника!$F$1:$ABM$500,S$2,0),Техника!$F$4:$ABM$4,"Часы",INDEX(Техника!$G$1:$ABN$500,S$2,0),$A$424,INDEX(Техника!$H$1:$ABO$500,S$2,0),"Л")</f>
        <v>0</v>
      </c>
      <c r="T428" s="50">
        <f>SUMIFS(INDEX(Техника!$F$1:$ABM$500,T$2,0),Техника!$F$4:$ABM$4,"Часы",INDEX(Техника!$G$1:$ABN$500,T$2,0),$A$424,INDEX(Техника!$H$1:$ABO$500,T$2,0),"Л")</f>
        <v>0</v>
      </c>
      <c r="U428" s="50">
        <f>SUMIFS(INDEX(Техника!$F$1:$ABM$500,U$2,0),Техника!$F$4:$ABM$4,"Часы",INDEX(Техника!$G$1:$ABN$500,U$2,0),$A$424,INDEX(Техника!$H$1:$ABO$500,U$2,0),"Л")</f>
        <v>0</v>
      </c>
      <c r="V428" s="50">
        <f>SUMIFS(INDEX(Техника!$F$1:$ABM$500,V$2,0),Техника!$F$4:$ABM$4,"Часы",INDEX(Техника!$G$1:$ABN$500,V$2,0),$A$424,INDEX(Техника!$H$1:$ABO$500,V$2,0),"Л")</f>
        <v>0</v>
      </c>
      <c r="W428" s="50">
        <f>SUMIFS(INDEX(Техника!$F$1:$ABM$500,W$2,0),Техника!$F$4:$ABM$4,"Часы",INDEX(Техника!$G$1:$ABN$500,W$2,0),$A$424,INDEX(Техника!$H$1:$ABO$500,W$2,0),"Л")</f>
        <v>0</v>
      </c>
      <c r="X428" s="50">
        <f>SUMIFS(INDEX(Техника!$F$1:$ABM$500,X$2,0),Техника!$F$4:$ABM$4,"Часы",INDEX(Техника!$G$1:$ABN$500,X$2,0),$A$424,INDEX(Техника!$H$1:$ABO$500,X$2,0),"Л")</f>
        <v>0</v>
      </c>
      <c r="Y428" s="50">
        <f>SUMIFS(INDEX(Техника!$F$1:$ABM$500,Y$2,0),Техника!$F$4:$ABM$4,"Часы",INDEX(Техника!$G$1:$ABN$500,Y$2,0),$A$424,INDEX(Техника!$H$1:$ABO$500,Y$2,0),"Л")</f>
        <v>0</v>
      </c>
      <c r="Z428" s="50">
        <f>SUMIFS(INDEX(Техника!$F$1:$ABM$500,Z$2,0),Техника!$F$4:$ABM$4,"Часы",INDEX(Техника!$G$1:$ABN$500,Z$2,0),$A$424,INDEX(Техника!$H$1:$ABO$500,Z$2,0),"Л")</f>
        <v>0</v>
      </c>
      <c r="AA428" s="50">
        <f>SUMIFS(INDEX(Техника!$F$1:$ABM$500,AA$2,0),Техника!$F$4:$ABM$4,"Часы",INDEX(Техника!$G$1:$ABN$500,AA$2,0),$A$424,INDEX(Техника!$H$1:$ABO$500,AA$2,0),"Л")</f>
        <v>0</v>
      </c>
      <c r="AB428" s="50">
        <f>SUMIFS(INDEX(Техника!$F$1:$ABM$500,AB$2,0),Техника!$F$4:$ABM$4,"Часы",INDEX(Техника!$G$1:$ABN$500,AB$2,0),$A$424,INDEX(Техника!$H$1:$ABO$500,AB$2,0),"Л")</f>
        <v>0</v>
      </c>
    </row>
    <row r="429" spans="1:28" hidden="1" outlineLevel="1" x14ac:dyDescent="0.3">
      <c r="A429" s="33" t="s">
        <v>245</v>
      </c>
      <c r="B429" s="34" t="s">
        <v>279</v>
      </c>
      <c r="C429" s="50">
        <f>SUMIFS(INDEX(Техника!$F$1:$ABM$500,C$2,0),Техника!$F$4:$ABM$4,"Часы",INDEX(Техника!$G$1:$ABN$500,C$2,0),$A$424,INDEX(Техника!$H$1:$ABO$500,C$2,0),"З")</f>
        <v>0</v>
      </c>
      <c r="D429" s="50">
        <f>SUMIFS(INDEX(Техника!$F$1:$ABM$500,D$2,0),Техника!$F$4:$ABM$4,"Часы",INDEX(Техника!$G$1:$ABN$500,D$2,0),$A$424,INDEX(Техника!$H$1:$ABO$500,D$2,0),"З")</f>
        <v>0</v>
      </c>
      <c r="E429" s="50">
        <f>SUMIFS(INDEX(Техника!$F$1:$ABM$500,E$2,0),Техника!$F$4:$ABM$4,"Часы",INDEX(Техника!$G$1:$ABN$500,E$2,0),$A$424,INDEX(Техника!$H$1:$ABO$500,E$2,0),"З")</f>
        <v>0</v>
      </c>
      <c r="F429" s="50">
        <f>SUMIFS(INDEX(Техника!$F$1:$ABM$500,F$2,0),Техника!$F$4:$ABM$4,"Часы",INDEX(Техника!$G$1:$ABN$500,F$2,0),$A$424,INDEX(Техника!$H$1:$ABO$500,F$2,0),"З")</f>
        <v>0</v>
      </c>
      <c r="G429" s="50">
        <f>SUMIFS(INDEX(Техника!$F$1:$ABM$500,G$2,0),Техника!$F$4:$ABM$4,"Часы",INDEX(Техника!$G$1:$ABN$500,G$2,0),$A$424,INDEX(Техника!$H$1:$ABO$500,G$2,0),"З")</f>
        <v>0</v>
      </c>
      <c r="H429" s="50">
        <f>SUMIFS(INDEX(Техника!$F$1:$ABM$500,H$2,0),Техника!$F$4:$ABM$4,"Часы",INDEX(Техника!$G$1:$ABN$500,H$2,0),$A$424,INDEX(Техника!$H$1:$ABO$500,H$2,0),"З")</f>
        <v>0</v>
      </c>
      <c r="I429" s="50">
        <f>SUMIFS(INDEX(Техника!$F$1:$ABM$500,I$2,0),Техника!$F$4:$ABM$4,"Часы",INDEX(Техника!$G$1:$ABN$500,I$2,0),$A$424,INDEX(Техника!$H$1:$ABO$500,I$2,0),"З")</f>
        <v>0</v>
      </c>
      <c r="J429" s="50">
        <f>SUMIFS(INDEX(Техника!$F$1:$ABM$500,J$2,0),Техника!$F$4:$ABM$4,"Часы",INDEX(Техника!$G$1:$ABN$500,J$2,0),$A$424,INDEX(Техника!$H$1:$ABO$500,J$2,0),"З")</f>
        <v>0</v>
      </c>
      <c r="K429" s="50">
        <f>SUMIFS(INDEX(Техника!$F$1:$ABM$500,K$2,0),Техника!$F$4:$ABM$4,"Часы",INDEX(Техника!$G$1:$ABN$500,K$2,0),$A$424,INDEX(Техника!$H$1:$ABO$500,K$2,0),"З")</f>
        <v>0</v>
      </c>
      <c r="L429" s="50">
        <f>SUMIFS(INDEX(Техника!$F$1:$ABM$500,L$2,0),Техника!$F$4:$ABM$4,"Часы",INDEX(Техника!$G$1:$ABN$500,L$2,0),$A$424,INDEX(Техника!$H$1:$ABO$500,L$2,0),"З")</f>
        <v>0</v>
      </c>
      <c r="M429" s="50">
        <f>SUMIFS(INDEX(Техника!$F$1:$ABM$500,M$2,0),Техника!$F$4:$ABM$4,"Часы",INDEX(Техника!$G$1:$ABN$500,M$2,0),$A$424,INDEX(Техника!$H$1:$ABO$500,M$2,0),"З")</f>
        <v>0</v>
      </c>
      <c r="N429" s="50">
        <f>SUMIFS(INDEX(Техника!$F$1:$ABM$500,N$2,0),Техника!$F$4:$ABM$4,"Часы",INDEX(Техника!$G$1:$ABN$500,N$2,0),$A$424,INDEX(Техника!$H$1:$ABO$500,N$2,0),"З")</f>
        <v>0</v>
      </c>
      <c r="O429" s="50">
        <f>SUMIFS(INDEX(Техника!$F$1:$ABM$500,O$2,0),Техника!$F$4:$ABM$4,"Часы",INDEX(Техника!$G$1:$ABN$500,O$2,0),$A$424,INDEX(Техника!$H$1:$ABO$500,O$2,0),"З")</f>
        <v>0</v>
      </c>
      <c r="P429" s="50">
        <f>SUMIFS(INDEX(Техника!$F$1:$ABM$500,P$2,0),Техника!$F$4:$ABM$4,"Часы",INDEX(Техника!$G$1:$ABN$500,P$2,0),$A$424,INDEX(Техника!$H$1:$ABO$500,P$2,0),"З")</f>
        <v>0</v>
      </c>
      <c r="Q429" s="50">
        <f>SUMIFS(INDEX(Техника!$F$1:$ABM$500,Q$2,0),Техника!$F$4:$ABM$4,"Часы",INDEX(Техника!$G$1:$ABN$500,Q$2,0),$A$424,INDEX(Техника!$H$1:$ABO$500,Q$2,0),"З")</f>
        <v>0</v>
      </c>
      <c r="R429" s="50">
        <f>SUMIFS(INDEX(Техника!$F$1:$ABM$500,R$2,0),Техника!$F$4:$ABM$4,"Часы",INDEX(Техника!$G$1:$ABN$500,R$2,0),$A$424,INDEX(Техника!$H$1:$ABO$500,R$2,0),"З")</f>
        <v>0</v>
      </c>
      <c r="S429" s="50">
        <f>SUMIFS(INDEX(Техника!$F$1:$ABM$500,S$2,0),Техника!$F$4:$ABM$4,"Часы",INDEX(Техника!$G$1:$ABN$500,S$2,0),$A$424,INDEX(Техника!$H$1:$ABO$500,S$2,0),"З")</f>
        <v>0</v>
      </c>
      <c r="T429" s="50">
        <f>SUMIFS(INDEX(Техника!$F$1:$ABM$500,T$2,0),Техника!$F$4:$ABM$4,"Часы",INDEX(Техника!$G$1:$ABN$500,T$2,0),$A$424,INDEX(Техника!$H$1:$ABO$500,T$2,0),"З")</f>
        <v>0</v>
      </c>
      <c r="U429" s="50">
        <f>SUMIFS(INDEX(Техника!$F$1:$ABM$500,U$2,0),Техника!$F$4:$ABM$4,"Часы",INDEX(Техника!$G$1:$ABN$500,U$2,0),$A$424,INDEX(Техника!$H$1:$ABO$500,U$2,0),"З")</f>
        <v>0</v>
      </c>
      <c r="V429" s="50">
        <f>SUMIFS(INDEX(Техника!$F$1:$ABM$500,V$2,0),Техника!$F$4:$ABM$4,"Часы",INDEX(Техника!$G$1:$ABN$500,V$2,0),$A$424,INDEX(Техника!$H$1:$ABO$500,V$2,0),"З")</f>
        <v>0</v>
      </c>
      <c r="W429" s="50">
        <f>SUMIFS(INDEX(Техника!$F$1:$ABM$500,W$2,0),Техника!$F$4:$ABM$4,"Часы",INDEX(Техника!$G$1:$ABN$500,W$2,0),$A$424,INDEX(Техника!$H$1:$ABO$500,W$2,0),"З")</f>
        <v>0</v>
      </c>
      <c r="X429" s="50">
        <f>SUMIFS(INDEX(Техника!$F$1:$ABM$500,X$2,0),Техника!$F$4:$ABM$4,"Часы",INDEX(Техника!$G$1:$ABN$500,X$2,0),$A$424,INDEX(Техника!$H$1:$ABO$500,X$2,0),"З")</f>
        <v>0</v>
      </c>
      <c r="Y429" s="50">
        <f>SUMIFS(INDEX(Техника!$F$1:$ABM$500,Y$2,0),Техника!$F$4:$ABM$4,"Часы",INDEX(Техника!$G$1:$ABN$500,Y$2,0),$A$424,INDEX(Техника!$H$1:$ABO$500,Y$2,0),"З")</f>
        <v>0</v>
      </c>
      <c r="Z429" s="50">
        <f>SUMIFS(INDEX(Техника!$F$1:$ABM$500,Z$2,0),Техника!$F$4:$ABM$4,"Часы",INDEX(Техника!$G$1:$ABN$500,Z$2,0),$A$424,INDEX(Техника!$H$1:$ABO$500,Z$2,0),"З")</f>
        <v>0</v>
      </c>
      <c r="AA429" s="50">
        <f>SUMIFS(INDEX(Техника!$F$1:$ABM$500,AA$2,0),Техника!$F$4:$ABM$4,"Часы",INDEX(Техника!$G$1:$ABN$500,AA$2,0),$A$424,INDEX(Техника!$H$1:$ABO$500,AA$2,0),"З")</f>
        <v>0</v>
      </c>
      <c r="AB429" s="50">
        <f>SUMIFS(INDEX(Техника!$F$1:$ABM$500,AB$2,0),Техника!$F$4:$ABM$4,"Часы",INDEX(Техника!$G$1:$ABN$500,AB$2,0),$A$424,INDEX(Техника!$H$1:$ABO$500,AB$2,0),"З")</f>
        <v>0</v>
      </c>
    </row>
    <row r="430" spans="1:28" ht="7.95" customHeight="1" x14ac:dyDescent="0.3">
      <c r="A430" s="38"/>
      <c r="B430" s="39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</row>
    <row r="431" spans="1:28" ht="25.05" customHeight="1" collapsed="1" x14ac:dyDescent="0.3">
      <c r="A431" s="32">
        <v>62</v>
      </c>
      <c r="B431" s="32" t="s">
        <v>63</v>
      </c>
      <c r="C431" s="49">
        <f>SUM(C432:C436)</f>
        <v>0</v>
      </c>
      <c r="D431" s="49">
        <f>SUM(D432:D436)</f>
        <v>0</v>
      </c>
      <c r="E431" s="49">
        <f>SUM(E432:E436)</f>
        <v>0</v>
      </c>
      <c r="F431" s="49">
        <f>SUM(F432:F436)</f>
        <v>0</v>
      </c>
      <c r="G431" s="49">
        <f>SUM(G432:G436)</f>
        <v>0</v>
      </c>
      <c r="H431" s="49">
        <f>SUM(H432:H436)</f>
        <v>0</v>
      </c>
      <c r="I431" s="49">
        <f>SUM(I432:I436)</f>
        <v>0</v>
      </c>
      <c r="J431" s="49">
        <f>SUM(J432:J436)</f>
        <v>0</v>
      </c>
      <c r="K431" s="49">
        <f>SUM(K432:K436)</f>
        <v>0</v>
      </c>
      <c r="L431" s="49">
        <f>SUM(L432:L436)</f>
        <v>0</v>
      </c>
      <c r="M431" s="49">
        <f>SUM(M432:M436)</f>
        <v>0</v>
      </c>
      <c r="N431" s="49">
        <f>SUM(N432:N436)</f>
        <v>0</v>
      </c>
      <c r="O431" s="49">
        <f>SUM(O432:O436)</f>
        <v>0</v>
      </c>
      <c r="P431" s="49">
        <f>SUM(P432:P436)</f>
        <v>0</v>
      </c>
      <c r="Q431" s="49">
        <f>SUM(Q432:Q436)</f>
        <v>0</v>
      </c>
      <c r="R431" s="49">
        <f>SUM(R432:R436)</f>
        <v>0</v>
      </c>
      <c r="S431" s="49">
        <f>SUM(S432:S436)</f>
        <v>0</v>
      </c>
      <c r="T431" s="49">
        <f>SUM(T432:T436)</f>
        <v>0</v>
      </c>
      <c r="U431" s="49">
        <f>SUM(U432:U436)</f>
        <v>0</v>
      </c>
      <c r="V431" s="49">
        <f>SUM(V432:V436)</f>
        <v>0</v>
      </c>
      <c r="W431" s="49">
        <f>SUM(W432:W436)</f>
        <v>0</v>
      </c>
      <c r="X431" s="49">
        <f>SUM(X432:X436)</f>
        <v>0</v>
      </c>
      <c r="Y431" s="49">
        <f>SUM(Y432:Y436)</f>
        <v>0</v>
      </c>
      <c r="Z431" s="49">
        <f>SUM(Z432:Z436)</f>
        <v>0</v>
      </c>
      <c r="AA431" s="49">
        <f>SUM(AA432:AA436)</f>
        <v>0</v>
      </c>
      <c r="AB431" s="49">
        <f>SUM(AB432:AB436)</f>
        <v>0</v>
      </c>
    </row>
    <row r="432" spans="1:28" hidden="1" outlineLevel="1" x14ac:dyDescent="0.3">
      <c r="A432" s="33" t="s">
        <v>246</v>
      </c>
      <c r="B432" s="34" t="s">
        <v>274</v>
      </c>
      <c r="C432" s="50">
        <f>SUMIFS(INDEX(Техника!$F$1:$ABM$500,C$2,0),Техника!$F$4:$ABM$4,"Часы",INDEX(Техника!$G$1:$ABN$500,C$2,0),$A$431,INDEX(Техника!$H$1:$ABO$500,C$2,0),"М")</f>
        <v>0</v>
      </c>
      <c r="D432" s="50">
        <f>SUMIFS(INDEX(Техника!$F$1:$ABM$500,D$2,0),Техника!$F$4:$ABM$4,"Часы",INDEX(Техника!$G$1:$ABN$500,D$2,0),$A$431,INDEX(Техника!$H$1:$ABO$500,D$2,0),"М")</f>
        <v>0</v>
      </c>
      <c r="E432" s="50">
        <f>SUMIFS(INDEX(Техника!$F$1:$ABM$500,E$2,0),Техника!$F$4:$ABM$4,"Часы",INDEX(Техника!$G$1:$ABN$500,E$2,0),$A$431,INDEX(Техника!$H$1:$ABO$500,E$2,0),"М")</f>
        <v>0</v>
      </c>
      <c r="F432" s="50">
        <f>SUMIFS(INDEX(Техника!$F$1:$ABM$500,F$2,0),Техника!$F$4:$ABM$4,"Часы",INDEX(Техника!$G$1:$ABN$500,F$2,0),$A$431,INDEX(Техника!$H$1:$ABO$500,F$2,0),"М")</f>
        <v>0</v>
      </c>
      <c r="G432" s="50">
        <f>SUMIFS(INDEX(Техника!$F$1:$ABM$500,G$2,0),Техника!$F$4:$ABM$4,"Часы",INDEX(Техника!$G$1:$ABN$500,G$2,0),$A$431,INDEX(Техника!$H$1:$ABO$500,G$2,0),"М")</f>
        <v>0</v>
      </c>
      <c r="H432" s="50">
        <f>SUMIFS(INDEX(Техника!$F$1:$ABM$500,H$2,0),Техника!$F$4:$ABM$4,"Часы",INDEX(Техника!$G$1:$ABN$500,H$2,0),$A$431,INDEX(Техника!$H$1:$ABO$500,H$2,0),"М")</f>
        <v>0</v>
      </c>
      <c r="I432" s="50">
        <f>SUMIFS(INDEX(Техника!$F$1:$ABM$500,I$2,0),Техника!$F$4:$ABM$4,"Часы",INDEX(Техника!$G$1:$ABN$500,I$2,0),$A$431,INDEX(Техника!$H$1:$ABO$500,I$2,0),"М")</f>
        <v>0</v>
      </c>
      <c r="J432" s="50">
        <f>SUMIFS(INDEX(Техника!$F$1:$ABM$500,J$2,0),Техника!$F$4:$ABM$4,"Часы",INDEX(Техника!$G$1:$ABN$500,J$2,0),$A$431,INDEX(Техника!$H$1:$ABO$500,J$2,0),"М")</f>
        <v>0</v>
      </c>
      <c r="K432" s="50">
        <f>SUMIFS(INDEX(Техника!$F$1:$ABM$500,K$2,0),Техника!$F$4:$ABM$4,"Часы",INDEX(Техника!$G$1:$ABN$500,K$2,0),$A$431,INDEX(Техника!$H$1:$ABO$500,K$2,0),"М")</f>
        <v>0</v>
      </c>
      <c r="L432" s="50">
        <f>SUMIFS(INDEX(Техника!$F$1:$ABM$500,L$2,0),Техника!$F$4:$ABM$4,"Часы",INDEX(Техника!$G$1:$ABN$500,L$2,0),$A$431,INDEX(Техника!$H$1:$ABO$500,L$2,0),"М")</f>
        <v>0</v>
      </c>
      <c r="M432" s="50">
        <f>SUMIFS(INDEX(Техника!$F$1:$ABM$500,M$2,0),Техника!$F$4:$ABM$4,"Часы",INDEX(Техника!$G$1:$ABN$500,M$2,0),$A$431,INDEX(Техника!$H$1:$ABO$500,M$2,0),"М")</f>
        <v>0</v>
      </c>
      <c r="N432" s="50">
        <f>SUMIFS(INDEX(Техника!$F$1:$ABM$500,N$2,0),Техника!$F$4:$ABM$4,"Часы",INDEX(Техника!$G$1:$ABN$500,N$2,0),$A$431,INDEX(Техника!$H$1:$ABO$500,N$2,0),"М")</f>
        <v>0</v>
      </c>
      <c r="O432" s="50">
        <f>SUMIFS(INDEX(Техника!$F$1:$ABM$500,O$2,0),Техника!$F$4:$ABM$4,"Часы",INDEX(Техника!$G$1:$ABN$500,O$2,0),$A$431,INDEX(Техника!$H$1:$ABO$500,O$2,0),"М")</f>
        <v>0</v>
      </c>
      <c r="P432" s="50">
        <f>SUMIFS(INDEX(Техника!$F$1:$ABM$500,P$2,0),Техника!$F$4:$ABM$4,"Часы",INDEX(Техника!$G$1:$ABN$500,P$2,0),$A$431,INDEX(Техника!$H$1:$ABO$500,P$2,0),"М")</f>
        <v>0</v>
      </c>
      <c r="Q432" s="50">
        <f>SUMIFS(INDEX(Техника!$F$1:$ABM$500,Q$2,0),Техника!$F$4:$ABM$4,"Часы",INDEX(Техника!$G$1:$ABN$500,Q$2,0),$A$431,INDEX(Техника!$H$1:$ABO$500,Q$2,0),"М")</f>
        <v>0</v>
      </c>
      <c r="R432" s="50">
        <f>SUMIFS(INDEX(Техника!$F$1:$ABM$500,R$2,0),Техника!$F$4:$ABM$4,"Часы",INDEX(Техника!$G$1:$ABN$500,R$2,0),$A$431,INDEX(Техника!$H$1:$ABO$500,R$2,0),"М")</f>
        <v>0</v>
      </c>
      <c r="S432" s="50">
        <f>SUMIFS(INDEX(Техника!$F$1:$ABM$500,S$2,0),Техника!$F$4:$ABM$4,"Часы",INDEX(Техника!$G$1:$ABN$500,S$2,0),$A$431,INDEX(Техника!$H$1:$ABO$500,S$2,0),"М")</f>
        <v>0</v>
      </c>
      <c r="T432" s="50">
        <f>SUMIFS(INDEX(Техника!$F$1:$ABM$500,T$2,0),Техника!$F$4:$ABM$4,"Часы",INDEX(Техника!$G$1:$ABN$500,T$2,0),$A$431,INDEX(Техника!$H$1:$ABO$500,T$2,0),"М")</f>
        <v>0</v>
      </c>
      <c r="U432" s="50">
        <f>SUMIFS(INDEX(Техника!$F$1:$ABM$500,U$2,0),Техника!$F$4:$ABM$4,"Часы",INDEX(Техника!$G$1:$ABN$500,U$2,0),$A$431,INDEX(Техника!$H$1:$ABO$500,U$2,0),"М")</f>
        <v>0</v>
      </c>
      <c r="V432" s="50">
        <f>SUMIFS(INDEX(Техника!$F$1:$ABM$500,V$2,0),Техника!$F$4:$ABM$4,"Часы",INDEX(Техника!$G$1:$ABN$500,V$2,0),$A$431,INDEX(Техника!$H$1:$ABO$500,V$2,0),"М")</f>
        <v>0</v>
      </c>
      <c r="W432" s="50">
        <f>SUMIFS(INDEX(Техника!$F$1:$ABM$500,W$2,0),Техника!$F$4:$ABM$4,"Часы",INDEX(Техника!$G$1:$ABN$500,W$2,0),$A$431,INDEX(Техника!$H$1:$ABO$500,W$2,0),"М")</f>
        <v>0</v>
      </c>
      <c r="X432" s="50">
        <f>SUMIFS(INDEX(Техника!$F$1:$ABM$500,X$2,0),Техника!$F$4:$ABM$4,"Часы",INDEX(Техника!$G$1:$ABN$500,X$2,0),$A$431,INDEX(Техника!$H$1:$ABO$500,X$2,0),"М")</f>
        <v>0</v>
      </c>
      <c r="Y432" s="50">
        <f>SUMIFS(INDEX(Техника!$F$1:$ABM$500,Y$2,0),Техника!$F$4:$ABM$4,"Часы",INDEX(Техника!$G$1:$ABN$500,Y$2,0),$A$431,INDEX(Техника!$H$1:$ABO$500,Y$2,0),"М")</f>
        <v>0</v>
      </c>
      <c r="Z432" s="50">
        <f>SUMIFS(INDEX(Техника!$F$1:$ABM$500,Z$2,0),Техника!$F$4:$ABM$4,"Часы",INDEX(Техника!$G$1:$ABN$500,Z$2,0),$A$431,INDEX(Техника!$H$1:$ABO$500,Z$2,0),"М")</f>
        <v>0</v>
      </c>
      <c r="AA432" s="50">
        <f>SUMIFS(INDEX(Техника!$F$1:$ABM$500,AA$2,0),Техника!$F$4:$ABM$4,"Часы",INDEX(Техника!$G$1:$ABN$500,AA$2,0),$A$431,INDEX(Техника!$H$1:$ABO$500,AA$2,0),"М")</f>
        <v>0</v>
      </c>
      <c r="AB432" s="50">
        <f>SUMIFS(INDEX(Техника!$F$1:$ABM$500,AB$2,0),Техника!$F$4:$ABM$4,"Часы",INDEX(Техника!$G$1:$ABN$500,AB$2,0),$A$431,INDEX(Техника!$H$1:$ABO$500,AB$2,0),"М")</f>
        <v>0</v>
      </c>
    </row>
    <row r="433" spans="1:28" hidden="1" outlineLevel="1" x14ac:dyDescent="0.3">
      <c r="A433" s="33" t="s">
        <v>244</v>
      </c>
      <c r="B433" s="34" t="s">
        <v>275</v>
      </c>
      <c r="C433" s="50">
        <f>SUMIFS(INDEX(Техника!$F$1:$ABM$500,C$2,0),Техника!$F$4:$ABM$4,"Часы",INDEX(Техника!$G$1:$ABN$500,C$2,0),$A$431,INDEX(Техника!$H$1:$ABO$500,C$2,0),"Д")</f>
        <v>0</v>
      </c>
      <c r="D433" s="50">
        <f>SUMIFS(INDEX(Техника!$F$1:$ABM$500,D$2,0),Техника!$F$4:$ABM$4,"Часы",INDEX(Техника!$G$1:$ABN$500,D$2,0),$A$431,INDEX(Техника!$H$1:$ABO$500,D$2,0),"Д")</f>
        <v>0</v>
      </c>
      <c r="E433" s="50">
        <f>SUMIFS(INDEX(Техника!$F$1:$ABM$500,E$2,0),Техника!$F$4:$ABM$4,"Часы",INDEX(Техника!$G$1:$ABN$500,E$2,0),$A$431,INDEX(Техника!$H$1:$ABO$500,E$2,0),"Д")</f>
        <v>0</v>
      </c>
      <c r="F433" s="50">
        <f>SUMIFS(INDEX(Техника!$F$1:$ABM$500,F$2,0),Техника!$F$4:$ABM$4,"Часы",INDEX(Техника!$G$1:$ABN$500,F$2,0),$A$431,INDEX(Техника!$H$1:$ABO$500,F$2,0),"Д")</f>
        <v>0</v>
      </c>
      <c r="G433" s="50">
        <f>SUMIFS(INDEX(Техника!$F$1:$ABM$500,G$2,0),Техника!$F$4:$ABM$4,"Часы",INDEX(Техника!$G$1:$ABN$500,G$2,0),$A$431,INDEX(Техника!$H$1:$ABO$500,G$2,0),"Д")</f>
        <v>0</v>
      </c>
      <c r="H433" s="50">
        <f>SUMIFS(INDEX(Техника!$F$1:$ABM$500,H$2,0),Техника!$F$4:$ABM$4,"Часы",INDEX(Техника!$G$1:$ABN$500,H$2,0),$A$431,INDEX(Техника!$H$1:$ABO$500,H$2,0),"Д")</f>
        <v>0</v>
      </c>
      <c r="I433" s="50">
        <f>SUMIFS(INDEX(Техника!$F$1:$ABM$500,I$2,0),Техника!$F$4:$ABM$4,"Часы",INDEX(Техника!$G$1:$ABN$500,I$2,0),$A$431,INDEX(Техника!$H$1:$ABO$500,I$2,0),"Д")</f>
        <v>0</v>
      </c>
      <c r="J433" s="50">
        <f>SUMIFS(INDEX(Техника!$F$1:$ABM$500,J$2,0),Техника!$F$4:$ABM$4,"Часы",INDEX(Техника!$G$1:$ABN$500,J$2,0),$A$431,INDEX(Техника!$H$1:$ABO$500,J$2,0),"Д")</f>
        <v>0</v>
      </c>
      <c r="K433" s="50">
        <f>SUMIFS(INDEX(Техника!$F$1:$ABM$500,K$2,0),Техника!$F$4:$ABM$4,"Часы",INDEX(Техника!$G$1:$ABN$500,K$2,0),$A$431,INDEX(Техника!$H$1:$ABO$500,K$2,0),"Д")</f>
        <v>0</v>
      </c>
      <c r="L433" s="50">
        <f>SUMIFS(INDEX(Техника!$F$1:$ABM$500,L$2,0),Техника!$F$4:$ABM$4,"Часы",INDEX(Техника!$G$1:$ABN$500,L$2,0),$A$431,INDEX(Техника!$H$1:$ABO$500,L$2,0),"Д")</f>
        <v>0</v>
      </c>
      <c r="M433" s="50">
        <f>SUMIFS(INDEX(Техника!$F$1:$ABM$500,M$2,0),Техника!$F$4:$ABM$4,"Часы",INDEX(Техника!$G$1:$ABN$500,M$2,0),$A$431,INDEX(Техника!$H$1:$ABO$500,M$2,0),"Д")</f>
        <v>0</v>
      </c>
      <c r="N433" s="50">
        <f>SUMIFS(INDEX(Техника!$F$1:$ABM$500,N$2,0),Техника!$F$4:$ABM$4,"Часы",INDEX(Техника!$G$1:$ABN$500,N$2,0),$A$431,INDEX(Техника!$H$1:$ABO$500,N$2,0),"Д")</f>
        <v>0</v>
      </c>
      <c r="O433" s="50">
        <f>SUMIFS(INDEX(Техника!$F$1:$ABM$500,O$2,0),Техника!$F$4:$ABM$4,"Часы",INDEX(Техника!$G$1:$ABN$500,O$2,0),$A$431,INDEX(Техника!$H$1:$ABO$500,O$2,0),"Д")</f>
        <v>0</v>
      </c>
      <c r="P433" s="50">
        <f>SUMIFS(INDEX(Техника!$F$1:$ABM$500,P$2,0),Техника!$F$4:$ABM$4,"Часы",INDEX(Техника!$G$1:$ABN$500,P$2,0),$A$431,INDEX(Техника!$H$1:$ABO$500,P$2,0),"Д")</f>
        <v>0</v>
      </c>
      <c r="Q433" s="50">
        <f>SUMIFS(INDEX(Техника!$F$1:$ABM$500,Q$2,0),Техника!$F$4:$ABM$4,"Часы",INDEX(Техника!$G$1:$ABN$500,Q$2,0),$A$431,INDEX(Техника!$H$1:$ABO$500,Q$2,0),"Д")</f>
        <v>0</v>
      </c>
      <c r="R433" s="50">
        <f>SUMIFS(INDEX(Техника!$F$1:$ABM$500,R$2,0),Техника!$F$4:$ABM$4,"Часы",INDEX(Техника!$G$1:$ABN$500,R$2,0),$A$431,INDEX(Техника!$H$1:$ABO$500,R$2,0),"Д")</f>
        <v>0</v>
      </c>
      <c r="S433" s="50">
        <f>SUMIFS(INDEX(Техника!$F$1:$ABM$500,S$2,0),Техника!$F$4:$ABM$4,"Часы",INDEX(Техника!$G$1:$ABN$500,S$2,0),$A$431,INDEX(Техника!$H$1:$ABO$500,S$2,0),"Д")</f>
        <v>0</v>
      </c>
      <c r="T433" s="50">
        <f>SUMIFS(INDEX(Техника!$F$1:$ABM$500,T$2,0),Техника!$F$4:$ABM$4,"Часы",INDEX(Техника!$G$1:$ABN$500,T$2,0),$A$431,INDEX(Техника!$H$1:$ABO$500,T$2,0),"Д")</f>
        <v>0</v>
      </c>
      <c r="U433" s="50">
        <f>SUMIFS(INDEX(Техника!$F$1:$ABM$500,U$2,0),Техника!$F$4:$ABM$4,"Часы",INDEX(Техника!$G$1:$ABN$500,U$2,0),$A$431,INDEX(Техника!$H$1:$ABO$500,U$2,0),"Д")</f>
        <v>0</v>
      </c>
      <c r="V433" s="50">
        <f>SUMIFS(INDEX(Техника!$F$1:$ABM$500,V$2,0),Техника!$F$4:$ABM$4,"Часы",INDEX(Техника!$G$1:$ABN$500,V$2,0),$A$431,INDEX(Техника!$H$1:$ABO$500,V$2,0),"Д")</f>
        <v>0</v>
      </c>
      <c r="W433" s="50">
        <f>SUMIFS(INDEX(Техника!$F$1:$ABM$500,W$2,0),Техника!$F$4:$ABM$4,"Часы",INDEX(Техника!$G$1:$ABN$500,W$2,0),$A$431,INDEX(Техника!$H$1:$ABO$500,W$2,0),"Д")</f>
        <v>0</v>
      </c>
      <c r="X433" s="50">
        <f>SUMIFS(INDEX(Техника!$F$1:$ABM$500,X$2,0),Техника!$F$4:$ABM$4,"Часы",INDEX(Техника!$G$1:$ABN$500,X$2,0),$A$431,INDEX(Техника!$H$1:$ABO$500,X$2,0),"Д")</f>
        <v>0</v>
      </c>
      <c r="Y433" s="50">
        <f>SUMIFS(INDEX(Техника!$F$1:$ABM$500,Y$2,0),Техника!$F$4:$ABM$4,"Часы",INDEX(Техника!$G$1:$ABN$500,Y$2,0),$A$431,INDEX(Техника!$H$1:$ABO$500,Y$2,0),"Д")</f>
        <v>0</v>
      </c>
      <c r="Z433" s="50">
        <f>SUMIFS(INDEX(Техника!$F$1:$ABM$500,Z$2,0),Техника!$F$4:$ABM$4,"Часы",INDEX(Техника!$G$1:$ABN$500,Z$2,0),$A$431,INDEX(Техника!$H$1:$ABO$500,Z$2,0),"Д")</f>
        <v>0</v>
      </c>
      <c r="AA433" s="50">
        <f>SUMIFS(INDEX(Техника!$F$1:$ABM$500,AA$2,0),Техника!$F$4:$ABM$4,"Часы",INDEX(Техника!$G$1:$ABN$500,AA$2,0),$A$431,INDEX(Техника!$H$1:$ABO$500,AA$2,0),"Д")</f>
        <v>0</v>
      </c>
      <c r="AB433" s="50">
        <f>SUMIFS(INDEX(Техника!$F$1:$ABM$500,AB$2,0),Техника!$F$4:$ABM$4,"Часы",INDEX(Техника!$G$1:$ABN$500,AB$2,0),$A$431,INDEX(Техника!$H$1:$ABO$500,AB$2,0),"Д")</f>
        <v>0</v>
      </c>
    </row>
    <row r="434" spans="1:28" hidden="1" outlineLevel="1" x14ac:dyDescent="0.3">
      <c r="A434" s="33" t="s">
        <v>276</v>
      </c>
      <c r="B434" s="34" t="s">
        <v>277</v>
      </c>
      <c r="C434" s="50">
        <f>SUMIFS(INDEX(Техника!$F$1:$ABM$500,C$2,0),Техника!$F$4:$ABM$4,"Часы",INDEX(Техника!$G$1:$ABN$500,C$2,0),$A$431,INDEX(Техника!$H$1:$ABO$500,C$2,0),"П")</f>
        <v>0</v>
      </c>
      <c r="D434" s="50">
        <f>SUMIFS(INDEX(Техника!$F$1:$ABM$500,D$2,0),Техника!$F$4:$ABM$4,"Часы",INDEX(Техника!$G$1:$ABN$500,D$2,0),$A$431,INDEX(Техника!$H$1:$ABO$500,D$2,0),"П")</f>
        <v>0</v>
      </c>
      <c r="E434" s="50">
        <f>SUMIFS(INDEX(Техника!$F$1:$ABM$500,E$2,0),Техника!$F$4:$ABM$4,"Часы",INDEX(Техника!$G$1:$ABN$500,E$2,0),$A$431,INDEX(Техника!$H$1:$ABO$500,E$2,0),"П")</f>
        <v>0</v>
      </c>
      <c r="F434" s="50">
        <f>SUMIFS(INDEX(Техника!$F$1:$ABM$500,F$2,0),Техника!$F$4:$ABM$4,"Часы",INDEX(Техника!$G$1:$ABN$500,F$2,0),$A$431,INDEX(Техника!$H$1:$ABO$500,F$2,0),"П")</f>
        <v>0</v>
      </c>
      <c r="G434" s="50">
        <f>SUMIFS(INDEX(Техника!$F$1:$ABM$500,G$2,0),Техника!$F$4:$ABM$4,"Часы",INDEX(Техника!$G$1:$ABN$500,G$2,0),$A$431,INDEX(Техника!$H$1:$ABO$500,G$2,0),"П")</f>
        <v>0</v>
      </c>
      <c r="H434" s="50">
        <f>SUMIFS(INDEX(Техника!$F$1:$ABM$500,H$2,0),Техника!$F$4:$ABM$4,"Часы",INDEX(Техника!$G$1:$ABN$500,H$2,0),$A$431,INDEX(Техника!$H$1:$ABO$500,H$2,0),"П")</f>
        <v>0</v>
      </c>
      <c r="I434" s="50">
        <f>SUMIFS(INDEX(Техника!$F$1:$ABM$500,I$2,0),Техника!$F$4:$ABM$4,"Часы",INDEX(Техника!$G$1:$ABN$500,I$2,0),$A$431,INDEX(Техника!$H$1:$ABO$500,I$2,0),"П")</f>
        <v>0</v>
      </c>
      <c r="J434" s="50">
        <f>SUMIFS(INDEX(Техника!$F$1:$ABM$500,J$2,0),Техника!$F$4:$ABM$4,"Часы",INDEX(Техника!$G$1:$ABN$500,J$2,0),$A$431,INDEX(Техника!$H$1:$ABO$500,J$2,0),"П")</f>
        <v>0</v>
      </c>
      <c r="K434" s="50">
        <f>SUMIFS(INDEX(Техника!$F$1:$ABM$500,K$2,0),Техника!$F$4:$ABM$4,"Часы",INDEX(Техника!$G$1:$ABN$500,K$2,0),$A$431,INDEX(Техника!$H$1:$ABO$500,K$2,0),"П")</f>
        <v>0</v>
      </c>
      <c r="L434" s="50">
        <f>SUMIFS(INDEX(Техника!$F$1:$ABM$500,L$2,0),Техника!$F$4:$ABM$4,"Часы",INDEX(Техника!$G$1:$ABN$500,L$2,0),$A$431,INDEX(Техника!$H$1:$ABO$500,L$2,0),"П")</f>
        <v>0</v>
      </c>
      <c r="M434" s="50">
        <f>SUMIFS(INDEX(Техника!$F$1:$ABM$500,M$2,0),Техника!$F$4:$ABM$4,"Часы",INDEX(Техника!$G$1:$ABN$500,M$2,0),$A$431,INDEX(Техника!$H$1:$ABO$500,M$2,0),"П")</f>
        <v>0</v>
      </c>
      <c r="N434" s="50">
        <f>SUMIFS(INDEX(Техника!$F$1:$ABM$500,N$2,0),Техника!$F$4:$ABM$4,"Часы",INDEX(Техника!$G$1:$ABN$500,N$2,0),$A$431,INDEX(Техника!$H$1:$ABO$500,N$2,0),"П")</f>
        <v>0</v>
      </c>
      <c r="O434" s="50">
        <f>SUMIFS(INDEX(Техника!$F$1:$ABM$500,O$2,0),Техника!$F$4:$ABM$4,"Часы",INDEX(Техника!$G$1:$ABN$500,O$2,0),$A$431,INDEX(Техника!$H$1:$ABO$500,O$2,0),"П")</f>
        <v>0</v>
      </c>
      <c r="P434" s="50">
        <f>SUMIFS(INDEX(Техника!$F$1:$ABM$500,P$2,0),Техника!$F$4:$ABM$4,"Часы",INDEX(Техника!$G$1:$ABN$500,P$2,0),$A$431,INDEX(Техника!$H$1:$ABO$500,P$2,0),"П")</f>
        <v>0</v>
      </c>
      <c r="Q434" s="50">
        <f>SUMIFS(INDEX(Техника!$F$1:$ABM$500,Q$2,0),Техника!$F$4:$ABM$4,"Часы",INDEX(Техника!$G$1:$ABN$500,Q$2,0),$A$431,INDEX(Техника!$H$1:$ABO$500,Q$2,0),"П")</f>
        <v>0</v>
      </c>
      <c r="R434" s="50">
        <f>SUMIFS(INDEX(Техника!$F$1:$ABM$500,R$2,0),Техника!$F$4:$ABM$4,"Часы",INDEX(Техника!$G$1:$ABN$500,R$2,0),$A$431,INDEX(Техника!$H$1:$ABO$500,R$2,0),"П")</f>
        <v>0</v>
      </c>
      <c r="S434" s="50">
        <f>SUMIFS(INDEX(Техника!$F$1:$ABM$500,S$2,0),Техника!$F$4:$ABM$4,"Часы",INDEX(Техника!$G$1:$ABN$500,S$2,0),$A$431,INDEX(Техника!$H$1:$ABO$500,S$2,0),"П")</f>
        <v>0</v>
      </c>
      <c r="T434" s="50">
        <f>SUMIFS(INDEX(Техника!$F$1:$ABM$500,T$2,0),Техника!$F$4:$ABM$4,"Часы",INDEX(Техника!$G$1:$ABN$500,T$2,0),$A$431,INDEX(Техника!$H$1:$ABO$500,T$2,0),"П")</f>
        <v>0</v>
      </c>
      <c r="U434" s="50">
        <f>SUMIFS(INDEX(Техника!$F$1:$ABM$500,U$2,0),Техника!$F$4:$ABM$4,"Часы",INDEX(Техника!$G$1:$ABN$500,U$2,0),$A$431,INDEX(Техника!$H$1:$ABO$500,U$2,0),"П")</f>
        <v>0</v>
      </c>
      <c r="V434" s="50">
        <f>SUMIFS(INDEX(Техника!$F$1:$ABM$500,V$2,0),Техника!$F$4:$ABM$4,"Часы",INDEX(Техника!$G$1:$ABN$500,V$2,0),$A$431,INDEX(Техника!$H$1:$ABO$500,V$2,0),"П")</f>
        <v>0</v>
      </c>
      <c r="W434" s="50">
        <f>SUMIFS(INDEX(Техника!$F$1:$ABM$500,W$2,0),Техника!$F$4:$ABM$4,"Часы",INDEX(Техника!$G$1:$ABN$500,W$2,0),$A$431,INDEX(Техника!$H$1:$ABO$500,W$2,0),"П")</f>
        <v>0</v>
      </c>
      <c r="X434" s="50">
        <f>SUMIFS(INDEX(Техника!$F$1:$ABM$500,X$2,0),Техника!$F$4:$ABM$4,"Часы",INDEX(Техника!$G$1:$ABN$500,X$2,0),$A$431,INDEX(Техника!$H$1:$ABO$500,X$2,0),"П")</f>
        <v>0</v>
      </c>
      <c r="Y434" s="50">
        <f>SUMIFS(INDEX(Техника!$F$1:$ABM$500,Y$2,0),Техника!$F$4:$ABM$4,"Часы",INDEX(Техника!$G$1:$ABN$500,Y$2,0),$A$431,INDEX(Техника!$H$1:$ABO$500,Y$2,0),"П")</f>
        <v>0</v>
      </c>
      <c r="Z434" s="50">
        <f>SUMIFS(INDEX(Техника!$F$1:$ABM$500,Z$2,0),Техника!$F$4:$ABM$4,"Часы",INDEX(Техника!$G$1:$ABN$500,Z$2,0),$A$431,INDEX(Техника!$H$1:$ABO$500,Z$2,0),"П")</f>
        <v>0</v>
      </c>
      <c r="AA434" s="50">
        <f>SUMIFS(INDEX(Техника!$F$1:$ABM$500,AA$2,0),Техника!$F$4:$ABM$4,"Часы",INDEX(Техника!$G$1:$ABN$500,AA$2,0),$A$431,INDEX(Техника!$H$1:$ABO$500,AA$2,0),"П")</f>
        <v>0</v>
      </c>
      <c r="AB434" s="50">
        <f>SUMIFS(INDEX(Техника!$F$1:$ABM$500,AB$2,0),Техника!$F$4:$ABM$4,"Часы",INDEX(Техника!$G$1:$ABN$500,AB$2,0),$A$431,INDEX(Техника!$H$1:$ABO$500,AB$2,0),"П")</f>
        <v>0</v>
      </c>
    </row>
    <row r="435" spans="1:28" hidden="1" outlineLevel="1" x14ac:dyDescent="0.3">
      <c r="A435" s="33" t="s">
        <v>243</v>
      </c>
      <c r="B435" s="34" t="s">
        <v>278</v>
      </c>
      <c r="C435" s="50">
        <f>SUMIFS(INDEX(Техника!$F$1:$ABM$500,C$2,0),Техника!$F$4:$ABM$4,"Часы",INDEX(Техника!$G$1:$ABN$500,C$2,0),$A$431,INDEX(Техника!$H$1:$ABO$500,C$2,0),"Л")</f>
        <v>0</v>
      </c>
      <c r="D435" s="50">
        <f>SUMIFS(INDEX(Техника!$F$1:$ABM$500,D$2,0),Техника!$F$4:$ABM$4,"Часы",INDEX(Техника!$G$1:$ABN$500,D$2,0),$A$431,INDEX(Техника!$H$1:$ABO$500,D$2,0),"Л")</f>
        <v>0</v>
      </c>
      <c r="E435" s="50">
        <f>SUMIFS(INDEX(Техника!$F$1:$ABM$500,E$2,0),Техника!$F$4:$ABM$4,"Часы",INDEX(Техника!$G$1:$ABN$500,E$2,0),$A$431,INDEX(Техника!$H$1:$ABO$500,E$2,0),"Л")</f>
        <v>0</v>
      </c>
      <c r="F435" s="50">
        <f>SUMIFS(INDEX(Техника!$F$1:$ABM$500,F$2,0),Техника!$F$4:$ABM$4,"Часы",INDEX(Техника!$G$1:$ABN$500,F$2,0),$A$431,INDEX(Техника!$H$1:$ABO$500,F$2,0),"Л")</f>
        <v>0</v>
      </c>
      <c r="G435" s="50">
        <f>SUMIFS(INDEX(Техника!$F$1:$ABM$500,G$2,0),Техника!$F$4:$ABM$4,"Часы",INDEX(Техника!$G$1:$ABN$500,G$2,0),$A$431,INDEX(Техника!$H$1:$ABO$500,G$2,0),"Л")</f>
        <v>0</v>
      </c>
      <c r="H435" s="50">
        <f>SUMIFS(INDEX(Техника!$F$1:$ABM$500,H$2,0),Техника!$F$4:$ABM$4,"Часы",INDEX(Техника!$G$1:$ABN$500,H$2,0),$A$431,INDEX(Техника!$H$1:$ABO$500,H$2,0),"Л")</f>
        <v>0</v>
      </c>
      <c r="I435" s="50">
        <f>SUMIFS(INDEX(Техника!$F$1:$ABM$500,I$2,0),Техника!$F$4:$ABM$4,"Часы",INDEX(Техника!$G$1:$ABN$500,I$2,0),$A$431,INDEX(Техника!$H$1:$ABO$500,I$2,0),"Л")</f>
        <v>0</v>
      </c>
      <c r="J435" s="50">
        <f>SUMIFS(INDEX(Техника!$F$1:$ABM$500,J$2,0),Техника!$F$4:$ABM$4,"Часы",INDEX(Техника!$G$1:$ABN$500,J$2,0),$A$431,INDEX(Техника!$H$1:$ABO$500,J$2,0),"Л")</f>
        <v>0</v>
      </c>
      <c r="K435" s="50">
        <f>SUMIFS(INDEX(Техника!$F$1:$ABM$500,K$2,0),Техника!$F$4:$ABM$4,"Часы",INDEX(Техника!$G$1:$ABN$500,K$2,0),$A$431,INDEX(Техника!$H$1:$ABO$500,K$2,0),"Л")</f>
        <v>0</v>
      </c>
      <c r="L435" s="50">
        <f>SUMIFS(INDEX(Техника!$F$1:$ABM$500,L$2,0),Техника!$F$4:$ABM$4,"Часы",INDEX(Техника!$G$1:$ABN$500,L$2,0),$A$431,INDEX(Техника!$H$1:$ABO$500,L$2,0),"Л")</f>
        <v>0</v>
      </c>
      <c r="M435" s="50">
        <f>SUMIFS(INDEX(Техника!$F$1:$ABM$500,M$2,0),Техника!$F$4:$ABM$4,"Часы",INDEX(Техника!$G$1:$ABN$500,M$2,0),$A$431,INDEX(Техника!$H$1:$ABO$500,M$2,0),"Л")</f>
        <v>0</v>
      </c>
      <c r="N435" s="50">
        <f>SUMIFS(INDEX(Техника!$F$1:$ABM$500,N$2,0),Техника!$F$4:$ABM$4,"Часы",INDEX(Техника!$G$1:$ABN$500,N$2,0),$A$431,INDEX(Техника!$H$1:$ABO$500,N$2,0),"Л")</f>
        <v>0</v>
      </c>
      <c r="O435" s="50">
        <f>SUMIFS(INDEX(Техника!$F$1:$ABM$500,O$2,0),Техника!$F$4:$ABM$4,"Часы",INDEX(Техника!$G$1:$ABN$500,O$2,0),$A$431,INDEX(Техника!$H$1:$ABO$500,O$2,0),"Л")</f>
        <v>0</v>
      </c>
      <c r="P435" s="50">
        <f>SUMIFS(INDEX(Техника!$F$1:$ABM$500,P$2,0),Техника!$F$4:$ABM$4,"Часы",INDEX(Техника!$G$1:$ABN$500,P$2,0),$A$431,INDEX(Техника!$H$1:$ABO$500,P$2,0),"Л")</f>
        <v>0</v>
      </c>
      <c r="Q435" s="50">
        <f>SUMIFS(INDEX(Техника!$F$1:$ABM$500,Q$2,0),Техника!$F$4:$ABM$4,"Часы",INDEX(Техника!$G$1:$ABN$500,Q$2,0),$A$431,INDEX(Техника!$H$1:$ABO$500,Q$2,0),"Л")</f>
        <v>0</v>
      </c>
      <c r="R435" s="50">
        <f>SUMIFS(INDEX(Техника!$F$1:$ABM$500,R$2,0),Техника!$F$4:$ABM$4,"Часы",INDEX(Техника!$G$1:$ABN$500,R$2,0),$A$431,INDEX(Техника!$H$1:$ABO$500,R$2,0),"Л")</f>
        <v>0</v>
      </c>
      <c r="S435" s="50">
        <f>SUMIFS(INDEX(Техника!$F$1:$ABM$500,S$2,0),Техника!$F$4:$ABM$4,"Часы",INDEX(Техника!$G$1:$ABN$500,S$2,0),$A$431,INDEX(Техника!$H$1:$ABO$500,S$2,0),"Л")</f>
        <v>0</v>
      </c>
      <c r="T435" s="50">
        <f>SUMIFS(INDEX(Техника!$F$1:$ABM$500,T$2,0),Техника!$F$4:$ABM$4,"Часы",INDEX(Техника!$G$1:$ABN$500,T$2,0),$A$431,INDEX(Техника!$H$1:$ABO$500,T$2,0),"Л")</f>
        <v>0</v>
      </c>
      <c r="U435" s="50">
        <f>SUMIFS(INDEX(Техника!$F$1:$ABM$500,U$2,0),Техника!$F$4:$ABM$4,"Часы",INDEX(Техника!$G$1:$ABN$500,U$2,0),$A$431,INDEX(Техника!$H$1:$ABO$500,U$2,0),"Л")</f>
        <v>0</v>
      </c>
      <c r="V435" s="50">
        <f>SUMIFS(INDEX(Техника!$F$1:$ABM$500,V$2,0),Техника!$F$4:$ABM$4,"Часы",INDEX(Техника!$G$1:$ABN$500,V$2,0),$A$431,INDEX(Техника!$H$1:$ABO$500,V$2,0),"Л")</f>
        <v>0</v>
      </c>
      <c r="W435" s="50">
        <f>SUMIFS(INDEX(Техника!$F$1:$ABM$500,W$2,0),Техника!$F$4:$ABM$4,"Часы",INDEX(Техника!$G$1:$ABN$500,W$2,0),$A$431,INDEX(Техника!$H$1:$ABO$500,W$2,0),"Л")</f>
        <v>0</v>
      </c>
      <c r="X435" s="50">
        <f>SUMIFS(INDEX(Техника!$F$1:$ABM$500,X$2,0),Техника!$F$4:$ABM$4,"Часы",INDEX(Техника!$G$1:$ABN$500,X$2,0),$A$431,INDEX(Техника!$H$1:$ABO$500,X$2,0),"Л")</f>
        <v>0</v>
      </c>
      <c r="Y435" s="50">
        <f>SUMIFS(INDEX(Техника!$F$1:$ABM$500,Y$2,0),Техника!$F$4:$ABM$4,"Часы",INDEX(Техника!$G$1:$ABN$500,Y$2,0),$A$431,INDEX(Техника!$H$1:$ABO$500,Y$2,0),"Л")</f>
        <v>0</v>
      </c>
      <c r="Z435" s="50">
        <f>SUMIFS(INDEX(Техника!$F$1:$ABM$500,Z$2,0),Техника!$F$4:$ABM$4,"Часы",INDEX(Техника!$G$1:$ABN$500,Z$2,0),$A$431,INDEX(Техника!$H$1:$ABO$500,Z$2,0),"Л")</f>
        <v>0</v>
      </c>
      <c r="AA435" s="50">
        <f>SUMIFS(INDEX(Техника!$F$1:$ABM$500,AA$2,0),Техника!$F$4:$ABM$4,"Часы",INDEX(Техника!$G$1:$ABN$500,AA$2,0),$A$431,INDEX(Техника!$H$1:$ABO$500,AA$2,0),"Л")</f>
        <v>0</v>
      </c>
      <c r="AB435" s="50">
        <f>SUMIFS(INDEX(Техника!$F$1:$ABM$500,AB$2,0),Техника!$F$4:$ABM$4,"Часы",INDEX(Техника!$G$1:$ABN$500,AB$2,0),$A$431,INDEX(Техника!$H$1:$ABO$500,AB$2,0),"Л")</f>
        <v>0</v>
      </c>
    </row>
    <row r="436" spans="1:28" hidden="1" outlineLevel="1" x14ac:dyDescent="0.3">
      <c r="A436" s="33" t="s">
        <v>245</v>
      </c>
      <c r="B436" s="34" t="s">
        <v>279</v>
      </c>
      <c r="C436" s="50">
        <f>SUMIFS(INDEX(Техника!$F$1:$ABM$500,C$2,0),Техника!$F$4:$ABM$4,"Часы",INDEX(Техника!$G$1:$ABN$500,C$2,0),$A$431,INDEX(Техника!$H$1:$ABO$500,C$2,0),"З")</f>
        <v>0</v>
      </c>
      <c r="D436" s="50">
        <f>SUMIFS(INDEX(Техника!$F$1:$ABM$500,D$2,0),Техника!$F$4:$ABM$4,"Часы",INDEX(Техника!$G$1:$ABN$500,D$2,0),$A$431,INDEX(Техника!$H$1:$ABO$500,D$2,0),"З")</f>
        <v>0</v>
      </c>
      <c r="E436" s="50">
        <f>SUMIFS(INDEX(Техника!$F$1:$ABM$500,E$2,0),Техника!$F$4:$ABM$4,"Часы",INDEX(Техника!$G$1:$ABN$500,E$2,0),$A$431,INDEX(Техника!$H$1:$ABO$500,E$2,0),"З")</f>
        <v>0</v>
      </c>
      <c r="F436" s="50">
        <f>SUMIFS(INDEX(Техника!$F$1:$ABM$500,F$2,0),Техника!$F$4:$ABM$4,"Часы",INDEX(Техника!$G$1:$ABN$500,F$2,0),$A$431,INDEX(Техника!$H$1:$ABO$500,F$2,0),"З")</f>
        <v>0</v>
      </c>
      <c r="G436" s="50">
        <f>SUMIFS(INDEX(Техника!$F$1:$ABM$500,G$2,0),Техника!$F$4:$ABM$4,"Часы",INDEX(Техника!$G$1:$ABN$500,G$2,0),$A$431,INDEX(Техника!$H$1:$ABO$500,G$2,0),"З")</f>
        <v>0</v>
      </c>
      <c r="H436" s="50">
        <f>SUMIFS(INDEX(Техника!$F$1:$ABM$500,H$2,0),Техника!$F$4:$ABM$4,"Часы",INDEX(Техника!$G$1:$ABN$500,H$2,0),$A$431,INDEX(Техника!$H$1:$ABO$500,H$2,0),"З")</f>
        <v>0</v>
      </c>
      <c r="I436" s="50">
        <f>SUMIFS(INDEX(Техника!$F$1:$ABM$500,I$2,0),Техника!$F$4:$ABM$4,"Часы",INDEX(Техника!$G$1:$ABN$500,I$2,0),$A$431,INDEX(Техника!$H$1:$ABO$500,I$2,0),"З")</f>
        <v>0</v>
      </c>
      <c r="J436" s="50">
        <f>SUMIFS(INDEX(Техника!$F$1:$ABM$500,J$2,0),Техника!$F$4:$ABM$4,"Часы",INDEX(Техника!$G$1:$ABN$500,J$2,0),$A$431,INDEX(Техника!$H$1:$ABO$500,J$2,0),"З")</f>
        <v>0</v>
      </c>
      <c r="K436" s="50">
        <f>SUMIFS(INDEX(Техника!$F$1:$ABM$500,K$2,0),Техника!$F$4:$ABM$4,"Часы",INDEX(Техника!$G$1:$ABN$500,K$2,0),$A$431,INDEX(Техника!$H$1:$ABO$500,K$2,0),"З")</f>
        <v>0</v>
      </c>
      <c r="L436" s="50">
        <f>SUMIFS(INDEX(Техника!$F$1:$ABM$500,L$2,0),Техника!$F$4:$ABM$4,"Часы",INDEX(Техника!$G$1:$ABN$500,L$2,0),$A$431,INDEX(Техника!$H$1:$ABO$500,L$2,0),"З")</f>
        <v>0</v>
      </c>
      <c r="M436" s="50">
        <f>SUMIFS(INDEX(Техника!$F$1:$ABM$500,M$2,0),Техника!$F$4:$ABM$4,"Часы",INDEX(Техника!$G$1:$ABN$500,M$2,0),$A$431,INDEX(Техника!$H$1:$ABO$500,M$2,0),"З")</f>
        <v>0</v>
      </c>
      <c r="N436" s="50">
        <f>SUMIFS(INDEX(Техника!$F$1:$ABM$500,N$2,0),Техника!$F$4:$ABM$4,"Часы",INDEX(Техника!$G$1:$ABN$500,N$2,0),$A$431,INDEX(Техника!$H$1:$ABO$500,N$2,0),"З")</f>
        <v>0</v>
      </c>
      <c r="O436" s="50">
        <f>SUMIFS(INDEX(Техника!$F$1:$ABM$500,O$2,0),Техника!$F$4:$ABM$4,"Часы",INDEX(Техника!$G$1:$ABN$500,O$2,0),$A$431,INDEX(Техника!$H$1:$ABO$500,O$2,0),"З")</f>
        <v>0</v>
      </c>
      <c r="P436" s="50">
        <f>SUMIFS(INDEX(Техника!$F$1:$ABM$500,P$2,0),Техника!$F$4:$ABM$4,"Часы",INDEX(Техника!$G$1:$ABN$500,P$2,0),$A$431,INDEX(Техника!$H$1:$ABO$500,P$2,0),"З")</f>
        <v>0</v>
      </c>
      <c r="Q436" s="50">
        <f>SUMIFS(INDEX(Техника!$F$1:$ABM$500,Q$2,0),Техника!$F$4:$ABM$4,"Часы",INDEX(Техника!$G$1:$ABN$500,Q$2,0),$A$431,INDEX(Техника!$H$1:$ABO$500,Q$2,0),"З")</f>
        <v>0</v>
      </c>
      <c r="R436" s="50">
        <f>SUMIFS(INDEX(Техника!$F$1:$ABM$500,R$2,0),Техника!$F$4:$ABM$4,"Часы",INDEX(Техника!$G$1:$ABN$500,R$2,0),$A$431,INDEX(Техника!$H$1:$ABO$500,R$2,0),"З")</f>
        <v>0</v>
      </c>
      <c r="S436" s="50">
        <f>SUMIFS(INDEX(Техника!$F$1:$ABM$500,S$2,0),Техника!$F$4:$ABM$4,"Часы",INDEX(Техника!$G$1:$ABN$500,S$2,0),$A$431,INDEX(Техника!$H$1:$ABO$500,S$2,0),"З")</f>
        <v>0</v>
      </c>
      <c r="T436" s="50">
        <f>SUMIFS(INDEX(Техника!$F$1:$ABM$500,T$2,0),Техника!$F$4:$ABM$4,"Часы",INDEX(Техника!$G$1:$ABN$500,T$2,0),$A$431,INDEX(Техника!$H$1:$ABO$500,T$2,0),"З")</f>
        <v>0</v>
      </c>
      <c r="U436" s="50">
        <f>SUMIFS(INDEX(Техника!$F$1:$ABM$500,U$2,0),Техника!$F$4:$ABM$4,"Часы",INDEX(Техника!$G$1:$ABN$500,U$2,0),$A$431,INDEX(Техника!$H$1:$ABO$500,U$2,0),"З")</f>
        <v>0</v>
      </c>
      <c r="V436" s="50">
        <f>SUMIFS(INDEX(Техника!$F$1:$ABM$500,V$2,0),Техника!$F$4:$ABM$4,"Часы",INDEX(Техника!$G$1:$ABN$500,V$2,0),$A$431,INDEX(Техника!$H$1:$ABO$500,V$2,0),"З")</f>
        <v>0</v>
      </c>
      <c r="W436" s="50">
        <f>SUMIFS(INDEX(Техника!$F$1:$ABM$500,W$2,0),Техника!$F$4:$ABM$4,"Часы",INDEX(Техника!$G$1:$ABN$500,W$2,0),$A$431,INDEX(Техника!$H$1:$ABO$500,W$2,0),"З")</f>
        <v>0</v>
      </c>
      <c r="X436" s="50">
        <f>SUMIFS(INDEX(Техника!$F$1:$ABM$500,X$2,0),Техника!$F$4:$ABM$4,"Часы",INDEX(Техника!$G$1:$ABN$500,X$2,0),$A$431,INDEX(Техника!$H$1:$ABO$500,X$2,0),"З")</f>
        <v>0</v>
      </c>
      <c r="Y436" s="50">
        <f>SUMIFS(INDEX(Техника!$F$1:$ABM$500,Y$2,0),Техника!$F$4:$ABM$4,"Часы",INDEX(Техника!$G$1:$ABN$500,Y$2,0),$A$431,INDEX(Техника!$H$1:$ABO$500,Y$2,0),"З")</f>
        <v>0</v>
      </c>
      <c r="Z436" s="50">
        <f>SUMIFS(INDEX(Техника!$F$1:$ABM$500,Z$2,0),Техника!$F$4:$ABM$4,"Часы",INDEX(Техника!$G$1:$ABN$500,Z$2,0),$A$431,INDEX(Техника!$H$1:$ABO$500,Z$2,0),"З")</f>
        <v>0</v>
      </c>
      <c r="AA436" s="50">
        <f>SUMIFS(INDEX(Техника!$F$1:$ABM$500,AA$2,0),Техника!$F$4:$ABM$4,"Часы",INDEX(Техника!$G$1:$ABN$500,AA$2,0),$A$431,INDEX(Техника!$H$1:$ABO$500,AA$2,0),"З")</f>
        <v>0</v>
      </c>
      <c r="AB436" s="50">
        <f>SUMIFS(INDEX(Техника!$F$1:$ABM$500,AB$2,0),Техника!$F$4:$ABM$4,"Часы",INDEX(Техника!$G$1:$ABN$500,AB$2,0),$A$431,INDEX(Техника!$H$1:$ABO$500,AB$2,0),"З")</f>
        <v>0</v>
      </c>
    </row>
    <row r="437" spans="1:28" ht="7.95" customHeight="1" x14ac:dyDescent="0.3">
      <c r="A437" s="38"/>
      <c r="B437" s="39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</row>
    <row r="438" spans="1:28" ht="25.05" customHeight="1" collapsed="1" x14ac:dyDescent="0.3">
      <c r="A438" s="32">
        <v>63</v>
      </c>
      <c r="B438" s="32" t="s">
        <v>64</v>
      </c>
      <c r="C438" s="49">
        <f>SUM(C439:C443)</f>
        <v>0</v>
      </c>
      <c r="D438" s="49">
        <f>SUM(D439:D443)</f>
        <v>0</v>
      </c>
      <c r="E438" s="49">
        <f>SUM(E439:E443)</f>
        <v>0</v>
      </c>
      <c r="F438" s="49">
        <f>SUM(F439:F443)</f>
        <v>0</v>
      </c>
      <c r="G438" s="49">
        <f>SUM(G439:G443)</f>
        <v>0</v>
      </c>
      <c r="H438" s="49">
        <f>SUM(H439:H443)</f>
        <v>0</v>
      </c>
      <c r="I438" s="49">
        <f>SUM(I439:I443)</f>
        <v>0</v>
      </c>
      <c r="J438" s="49">
        <f>SUM(J439:J443)</f>
        <v>0</v>
      </c>
      <c r="K438" s="49">
        <f>SUM(K439:K443)</f>
        <v>0</v>
      </c>
      <c r="L438" s="49">
        <f>SUM(L439:L443)</f>
        <v>0</v>
      </c>
      <c r="M438" s="49">
        <f>SUM(M439:M443)</f>
        <v>0</v>
      </c>
      <c r="N438" s="49">
        <f>SUM(N439:N443)</f>
        <v>0</v>
      </c>
      <c r="O438" s="49">
        <f>SUM(O439:O443)</f>
        <v>0</v>
      </c>
      <c r="P438" s="49">
        <f>SUM(P439:P443)</f>
        <v>0</v>
      </c>
      <c r="Q438" s="49">
        <f>SUM(Q439:Q443)</f>
        <v>0</v>
      </c>
      <c r="R438" s="49">
        <f>SUM(R439:R443)</f>
        <v>0</v>
      </c>
      <c r="S438" s="49">
        <f>SUM(S439:S443)</f>
        <v>0</v>
      </c>
      <c r="T438" s="49">
        <f>SUM(T439:T443)</f>
        <v>0</v>
      </c>
      <c r="U438" s="49">
        <f>SUM(U439:U443)</f>
        <v>0</v>
      </c>
      <c r="V438" s="49">
        <f>SUM(V439:V443)</f>
        <v>0</v>
      </c>
      <c r="W438" s="49">
        <f>SUM(W439:W443)</f>
        <v>0</v>
      </c>
      <c r="X438" s="49">
        <f>SUM(X439:X443)</f>
        <v>0</v>
      </c>
      <c r="Y438" s="49">
        <f>SUM(Y439:Y443)</f>
        <v>0</v>
      </c>
      <c r="Z438" s="49">
        <f>SUM(Z439:Z443)</f>
        <v>0</v>
      </c>
      <c r="AA438" s="49">
        <f>SUM(AA439:AA443)</f>
        <v>0</v>
      </c>
      <c r="AB438" s="49">
        <f>SUM(AB439:AB443)</f>
        <v>0</v>
      </c>
    </row>
    <row r="439" spans="1:28" hidden="1" outlineLevel="1" x14ac:dyDescent="0.3">
      <c r="A439" s="33" t="s">
        <v>246</v>
      </c>
      <c r="B439" s="34" t="s">
        <v>274</v>
      </c>
      <c r="C439" s="50">
        <f>SUMIFS(INDEX(Техника!$F$1:$ABM$500,C$2,0),Техника!$F$4:$ABM$4,"Часы",INDEX(Техника!$G$1:$ABN$500,C$2,0),$A$438,INDEX(Техника!$H$1:$ABO$500,C$2,0),"М")</f>
        <v>0</v>
      </c>
      <c r="D439" s="50">
        <f>SUMIFS(INDEX(Техника!$F$1:$ABM$500,D$2,0),Техника!$F$4:$ABM$4,"Часы",INDEX(Техника!$G$1:$ABN$500,D$2,0),$A$438,INDEX(Техника!$H$1:$ABO$500,D$2,0),"М")</f>
        <v>0</v>
      </c>
      <c r="E439" s="50">
        <f>SUMIFS(INDEX(Техника!$F$1:$ABM$500,E$2,0),Техника!$F$4:$ABM$4,"Часы",INDEX(Техника!$G$1:$ABN$500,E$2,0),$A$438,INDEX(Техника!$H$1:$ABO$500,E$2,0),"М")</f>
        <v>0</v>
      </c>
      <c r="F439" s="50">
        <f>SUMIFS(INDEX(Техника!$F$1:$ABM$500,F$2,0),Техника!$F$4:$ABM$4,"Часы",INDEX(Техника!$G$1:$ABN$500,F$2,0),$A$438,INDEX(Техника!$H$1:$ABO$500,F$2,0),"М")</f>
        <v>0</v>
      </c>
      <c r="G439" s="50">
        <f>SUMIFS(INDEX(Техника!$F$1:$ABM$500,G$2,0),Техника!$F$4:$ABM$4,"Часы",INDEX(Техника!$G$1:$ABN$500,G$2,0),$A$438,INDEX(Техника!$H$1:$ABO$500,G$2,0),"М")</f>
        <v>0</v>
      </c>
      <c r="H439" s="50">
        <f>SUMIFS(INDEX(Техника!$F$1:$ABM$500,H$2,0),Техника!$F$4:$ABM$4,"Часы",INDEX(Техника!$G$1:$ABN$500,H$2,0),$A$438,INDEX(Техника!$H$1:$ABO$500,H$2,0),"М")</f>
        <v>0</v>
      </c>
      <c r="I439" s="50">
        <f>SUMIFS(INDEX(Техника!$F$1:$ABM$500,I$2,0),Техника!$F$4:$ABM$4,"Часы",INDEX(Техника!$G$1:$ABN$500,I$2,0),$A$438,INDEX(Техника!$H$1:$ABO$500,I$2,0),"М")</f>
        <v>0</v>
      </c>
      <c r="J439" s="50">
        <f>SUMIFS(INDEX(Техника!$F$1:$ABM$500,J$2,0),Техника!$F$4:$ABM$4,"Часы",INDEX(Техника!$G$1:$ABN$500,J$2,0),$A$438,INDEX(Техника!$H$1:$ABO$500,J$2,0),"М")</f>
        <v>0</v>
      </c>
      <c r="K439" s="50">
        <f>SUMIFS(INDEX(Техника!$F$1:$ABM$500,K$2,0),Техника!$F$4:$ABM$4,"Часы",INDEX(Техника!$G$1:$ABN$500,K$2,0),$A$438,INDEX(Техника!$H$1:$ABO$500,K$2,0),"М")</f>
        <v>0</v>
      </c>
      <c r="L439" s="50">
        <f>SUMIFS(INDEX(Техника!$F$1:$ABM$500,L$2,0),Техника!$F$4:$ABM$4,"Часы",INDEX(Техника!$G$1:$ABN$500,L$2,0),$A$438,INDEX(Техника!$H$1:$ABO$500,L$2,0),"М")</f>
        <v>0</v>
      </c>
      <c r="M439" s="50">
        <f>SUMIFS(INDEX(Техника!$F$1:$ABM$500,M$2,0),Техника!$F$4:$ABM$4,"Часы",INDEX(Техника!$G$1:$ABN$500,M$2,0),$A$438,INDEX(Техника!$H$1:$ABO$500,M$2,0),"М")</f>
        <v>0</v>
      </c>
      <c r="N439" s="50">
        <f>SUMIFS(INDEX(Техника!$F$1:$ABM$500,N$2,0),Техника!$F$4:$ABM$4,"Часы",INDEX(Техника!$G$1:$ABN$500,N$2,0),$A$438,INDEX(Техника!$H$1:$ABO$500,N$2,0),"М")</f>
        <v>0</v>
      </c>
      <c r="O439" s="50">
        <f>SUMIFS(INDEX(Техника!$F$1:$ABM$500,O$2,0),Техника!$F$4:$ABM$4,"Часы",INDEX(Техника!$G$1:$ABN$500,O$2,0),$A$438,INDEX(Техника!$H$1:$ABO$500,O$2,0),"М")</f>
        <v>0</v>
      </c>
      <c r="P439" s="50">
        <f>SUMIFS(INDEX(Техника!$F$1:$ABM$500,P$2,0),Техника!$F$4:$ABM$4,"Часы",INDEX(Техника!$G$1:$ABN$500,P$2,0),$A$438,INDEX(Техника!$H$1:$ABO$500,P$2,0),"М")</f>
        <v>0</v>
      </c>
      <c r="Q439" s="50">
        <f>SUMIFS(INDEX(Техника!$F$1:$ABM$500,Q$2,0),Техника!$F$4:$ABM$4,"Часы",INDEX(Техника!$G$1:$ABN$500,Q$2,0),$A$438,INDEX(Техника!$H$1:$ABO$500,Q$2,0),"М")</f>
        <v>0</v>
      </c>
      <c r="R439" s="50">
        <f>SUMIFS(INDEX(Техника!$F$1:$ABM$500,R$2,0),Техника!$F$4:$ABM$4,"Часы",INDEX(Техника!$G$1:$ABN$500,R$2,0),$A$438,INDEX(Техника!$H$1:$ABO$500,R$2,0),"М")</f>
        <v>0</v>
      </c>
      <c r="S439" s="50">
        <f>SUMIFS(INDEX(Техника!$F$1:$ABM$500,S$2,0),Техника!$F$4:$ABM$4,"Часы",INDEX(Техника!$G$1:$ABN$500,S$2,0),$A$438,INDEX(Техника!$H$1:$ABO$500,S$2,0),"М")</f>
        <v>0</v>
      </c>
      <c r="T439" s="50">
        <f>SUMIFS(INDEX(Техника!$F$1:$ABM$500,T$2,0),Техника!$F$4:$ABM$4,"Часы",INDEX(Техника!$G$1:$ABN$500,T$2,0),$A$438,INDEX(Техника!$H$1:$ABO$500,T$2,0),"М")</f>
        <v>0</v>
      </c>
      <c r="U439" s="50">
        <f>SUMIFS(INDEX(Техника!$F$1:$ABM$500,U$2,0),Техника!$F$4:$ABM$4,"Часы",INDEX(Техника!$G$1:$ABN$500,U$2,0),$A$438,INDEX(Техника!$H$1:$ABO$500,U$2,0),"М")</f>
        <v>0</v>
      </c>
      <c r="V439" s="50">
        <f>SUMIFS(INDEX(Техника!$F$1:$ABM$500,V$2,0),Техника!$F$4:$ABM$4,"Часы",INDEX(Техника!$G$1:$ABN$500,V$2,0),$A$438,INDEX(Техника!$H$1:$ABO$500,V$2,0),"М")</f>
        <v>0</v>
      </c>
      <c r="W439" s="50">
        <f>SUMIFS(INDEX(Техника!$F$1:$ABM$500,W$2,0),Техника!$F$4:$ABM$4,"Часы",INDEX(Техника!$G$1:$ABN$500,W$2,0),$A$438,INDEX(Техника!$H$1:$ABO$500,W$2,0),"М")</f>
        <v>0</v>
      </c>
      <c r="X439" s="50">
        <f>SUMIFS(INDEX(Техника!$F$1:$ABM$500,X$2,0),Техника!$F$4:$ABM$4,"Часы",INDEX(Техника!$G$1:$ABN$500,X$2,0),$A$438,INDEX(Техника!$H$1:$ABO$500,X$2,0),"М")</f>
        <v>0</v>
      </c>
      <c r="Y439" s="50">
        <f>SUMIFS(INDEX(Техника!$F$1:$ABM$500,Y$2,0),Техника!$F$4:$ABM$4,"Часы",INDEX(Техника!$G$1:$ABN$500,Y$2,0),$A$438,INDEX(Техника!$H$1:$ABO$500,Y$2,0),"М")</f>
        <v>0</v>
      </c>
      <c r="Z439" s="50">
        <f>SUMIFS(INDEX(Техника!$F$1:$ABM$500,Z$2,0),Техника!$F$4:$ABM$4,"Часы",INDEX(Техника!$G$1:$ABN$500,Z$2,0),$A$438,INDEX(Техника!$H$1:$ABO$500,Z$2,0),"М")</f>
        <v>0</v>
      </c>
      <c r="AA439" s="50">
        <f>SUMIFS(INDEX(Техника!$F$1:$ABM$500,AA$2,0),Техника!$F$4:$ABM$4,"Часы",INDEX(Техника!$G$1:$ABN$500,AA$2,0),$A$438,INDEX(Техника!$H$1:$ABO$500,AA$2,0),"М")</f>
        <v>0</v>
      </c>
      <c r="AB439" s="50">
        <f>SUMIFS(INDEX(Техника!$F$1:$ABM$500,AB$2,0),Техника!$F$4:$ABM$4,"Часы",INDEX(Техника!$G$1:$ABN$500,AB$2,0),$A$438,INDEX(Техника!$H$1:$ABO$500,AB$2,0),"М")</f>
        <v>0</v>
      </c>
    </row>
    <row r="440" spans="1:28" hidden="1" outlineLevel="1" x14ac:dyDescent="0.3">
      <c r="A440" s="33" t="s">
        <v>244</v>
      </c>
      <c r="B440" s="34" t="s">
        <v>275</v>
      </c>
      <c r="C440" s="50">
        <f>SUMIFS(INDEX(Техника!$F$1:$ABM$500,C$2,0),Техника!$F$4:$ABM$4,"Часы",INDEX(Техника!$G$1:$ABN$500,C$2,0),$A$438,INDEX(Техника!$H$1:$ABO$500,C$2,0),"Д")</f>
        <v>0</v>
      </c>
      <c r="D440" s="50">
        <f>SUMIFS(INDEX(Техника!$F$1:$ABM$500,D$2,0),Техника!$F$4:$ABM$4,"Часы",INDEX(Техника!$G$1:$ABN$500,D$2,0),$A$438,INDEX(Техника!$H$1:$ABO$500,D$2,0),"Д")</f>
        <v>0</v>
      </c>
      <c r="E440" s="50">
        <f>SUMIFS(INDEX(Техника!$F$1:$ABM$500,E$2,0),Техника!$F$4:$ABM$4,"Часы",INDEX(Техника!$G$1:$ABN$500,E$2,0),$A$438,INDEX(Техника!$H$1:$ABO$500,E$2,0),"Д")</f>
        <v>0</v>
      </c>
      <c r="F440" s="50">
        <f>SUMIFS(INDEX(Техника!$F$1:$ABM$500,F$2,0),Техника!$F$4:$ABM$4,"Часы",INDEX(Техника!$G$1:$ABN$500,F$2,0),$A$438,INDEX(Техника!$H$1:$ABO$500,F$2,0),"Д")</f>
        <v>0</v>
      </c>
      <c r="G440" s="50">
        <f>SUMIFS(INDEX(Техника!$F$1:$ABM$500,G$2,0),Техника!$F$4:$ABM$4,"Часы",INDEX(Техника!$G$1:$ABN$500,G$2,0),$A$438,INDEX(Техника!$H$1:$ABO$500,G$2,0),"Д")</f>
        <v>0</v>
      </c>
      <c r="H440" s="50">
        <f>SUMIFS(INDEX(Техника!$F$1:$ABM$500,H$2,0),Техника!$F$4:$ABM$4,"Часы",INDEX(Техника!$G$1:$ABN$500,H$2,0),$A$438,INDEX(Техника!$H$1:$ABO$500,H$2,0),"Д")</f>
        <v>0</v>
      </c>
      <c r="I440" s="50">
        <f>SUMIFS(INDEX(Техника!$F$1:$ABM$500,I$2,0),Техника!$F$4:$ABM$4,"Часы",INDEX(Техника!$G$1:$ABN$500,I$2,0),$A$438,INDEX(Техника!$H$1:$ABO$500,I$2,0),"Д")</f>
        <v>0</v>
      </c>
      <c r="J440" s="50">
        <f>SUMIFS(INDEX(Техника!$F$1:$ABM$500,J$2,0),Техника!$F$4:$ABM$4,"Часы",INDEX(Техника!$G$1:$ABN$500,J$2,0),$A$438,INDEX(Техника!$H$1:$ABO$500,J$2,0),"Д")</f>
        <v>0</v>
      </c>
      <c r="K440" s="50">
        <f>SUMIFS(INDEX(Техника!$F$1:$ABM$500,K$2,0),Техника!$F$4:$ABM$4,"Часы",INDEX(Техника!$G$1:$ABN$500,K$2,0),$A$438,INDEX(Техника!$H$1:$ABO$500,K$2,0),"Д")</f>
        <v>0</v>
      </c>
      <c r="L440" s="50">
        <f>SUMIFS(INDEX(Техника!$F$1:$ABM$500,L$2,0),Техника!$F$4:$ABM$4,"Часы",INDEX(Техника!$G$1:$ABN$500,L$2,0),$A$438,INDEX(Техника!$H$1:$ABO$500,L$2,0),"Д")</f>
        <v>0</v>
      </c>
      <c r="M440" s="50">
        <f>SUMIFS(INDEX(Техника!$F$1:$ABM$500,M$2,0),Техника!$F$4:$ABM$4,"Часы",INDEX(Техника!$G$1:$ABN$500,M$2,0),$A$438,INDEX(Техника!$H$1:$ABO$500,M$2,0),"Д")</f>
        <v>0</v>
      </c>
      <c r="N440" s="50">
        <f>SUMIFS(INDEX(Техника!$F$1:$ABM$500,N$2,0),Техника!$F$4:$ABM$4,"Часы",INDEX(Техника!$G$1:$ABN$500,N$2,0),$A$438,INDEX(Техника!$H$1:$ABO$500,N$2,0),"Д")</f>
        <v>0</v>
      </c>
      <c r="O440" s="50">
        <f>SUMIFS(INDEX(Техника!$F$1:$ABM$500,O$2,0),Техника!$F$4:$ABM$4,"Часы",INDEX(Техника!$G$1:$ABN$500,O$2,0),$A$438,INDEX(Техника!$H$1:$ABO$500,O$2,0),"Д")</f>
        <v>0</v>
      </c>
      <c r="P440" s="50">
        <f>SUMIFS(INDEX(Техника!$F$1:$ABM$500,P$2,0),Техника!$F$4:$ABM$4,"Часы",INDEX(Техника!$G$1:$ABN$500,P$2,0),$A$438,INDEX(Техника!$H$1:$ABO$500,P$2,0),"Д")</f>
        <v>0</v>
      </c>
      <c r="Q440" s="50">
        <f>SUMIFS(INDEX(Техника!$F$1:$ABM$500,Q$2,0),Техника!$F$4:$ABM$4,"Часы",INDEX(Техника!$G$1:$ABN$500,Q$2,0),$A$438,INDEX(Техника!$H$1:$ABO$500,Q$2,0),"Д")</f>
        <v>0</v>
      </c>
      <c r="R440" s="50">
        <f>SUMIFS(INDEX(Техника!$F$1:$ABM$500,R$2,0),Техника!$F$4:$ABM$4,"Часы",INDEX(Техника!$G$1:$ABN$500,R$2,0),$A$438,INDEX(Техника!$H$1:$ABO$500,R$2,0),"Д")</f>
        <v>0</v>
      </c>
      <c r="S440" s="50">
        <f>SUMIFS(INDEX(Техника!$F$1:$ABM$500,S$2,0),Техника!$F$4:$ABM$4,"Часы",INDEX(Техника!$G$1:$ABN$500,S$2,0),$A$438,INDEX(Техника!$H$1:$ABO$500,S$2,0),"Д")</f>
        <v>0</v>
      </c>
      <c r="T440" s="50">
        <f>SUMIFS(INDEX(Техника!$F$1:$ABM$500,T$2,0),Техника!$F$4:$ABM$4,"Часы",INDEX(Техника!$G$1:$ABN$500,T$2,0),$A$438,INDEX(Техника!$H$1:$ABO$500,T$2,0),"Д")</f>
        <v>0</v>
      </c>
      <c r="U440" s="50">
        <f>SUMIFS(INDEX(Техника!$F$1:$ABM$500,U$2,0),Техника!$F$4:$ABM$4,"Часы",INDEX(Техника!$G$1:$ABN$500,U$2,0),$A$438,INDEX(Техника!$H$1:$ABO$500,U$2,0),"Д")</f>
        <v>0</v>
      </c>
      <c r="V440" s="50">
        <f>SUMIFS(INDEX(Техника!$F$1:$ABM$500,V$2,0),Техника!$F$4:$ABM$4,"Часы",INDEX(Техника!$G$1:$ABN$500,V$2,0),$A$438,INDEX(Техника!$H$1:$ABO$500,V$2,0),"Д")</f>
        <v>0</v>
      </c>
      <c r="W440" s="50">
        <f>SUMIFS(INDEX(Техника!$F$1:$ABM$500,W$2,0),Техника!$F$4:$ABM$4,"Часы",INDEX(Техника!$G$1:$ABN$500,W$2,0),$A$438,INDEX(Техника!$H$1:$ABO$500,W$2,0),"Д")</f>
        <v>0</v>
      </c>
      <c r="X440" s="50">
        <f>SUMIFS(INDEX(Техника!$F$1:$ABM$500,X$2,0),Техника!$F$4:$ABM$4,"Часы",INDEX(Техника!$G$1:$ABN$500,X$2,0),$A$438,INDEX(Техника!$H$1:$ABO$500,X$2,0),"Д")</f>
        <v>0</v>
      </c>
      <c r="Y440" s="50">
        <f>SUMIFS(INDEX(Техника!$F$1:$ABM$500,Y$2,0),Техника!$F$4:$ABM$4,"Часы",INDEX(Техника!$G$1:$ABN$500,Y$2,0),$A$438,INDEX(Техника!$H$1:$ABO$500,Y$2,0),"Д")</f>
        <v>0</v>
      </c>
      <c r="Z440" s="50">
        <f>SUMIFS(INDEX(Техника!$F$1:$ABM$500,Z$2,0),Техника!$F$4:$ABM$4,"Часы",INDEX(Техника!$G$1:$ABN$500,Z$2,0),$A$438,INDEX(Техника!$H$1:$ABO$500,Z$2,0),"Д")</f>
        <v>0</v>
      </c>
      <c r="AA440" s="50">
        <f>SUMIFS(INDEX(Техника!$F$1:$ABM$500,AA$2,0),Техника!$F$4:$ABM$4,"Часы",INDEX(Техника!$G$1:$ABN$500,AA$2,0),$A$438,INDEX(Техника!$H$1:$ABO$500,AA$2,0),"Д")</f>
        <v>0</v>
      </c>
      <c r="AB440" s="50">
        <f>SUMIFS(INDEX(Техника!$F$1:$ABM$500,AB$2,0),Техника!$F$4:$ABM$4,"Часы",INDEX(Техника!$G$1:$ABN$500,AB$2,0),$A$438,INDEX(Техника!$H$1:$ABO$500,AB$2,0),"Д")</f>
        <v>0</v>
      </c>
    </row>
    <row r="441" spans="1:28" hidden="1" outlineLevel="1" x14ac:dyDescent="0.3">
      <c r="A441" s="33" t="s">
        <v>276</v>
      </c>
      <c r="B441" s="34" t="s">
        <v>277</v>
      </c>
      <c r="C441" s="50">
        <f>SUMIFS(INDEX(Техника!$F$1:$ABM$500,C$2,0),Техника!$F$4:$ABM$4,"Часы",INDEX(Техника!$G$1:$ABN$500,C$2,0),$A$438,INDEX(Техника!$H$1:$ABO$500,C$2,0),"П")</f>
        <v>0</v>
      </c>
      <c r="D441" s="50">
        <f>SUMIFS(INDEX(Техника!$F$1:$ABM$500,D$2,0),Техника!$F$4:$ABM$4,"Часы",INDEX(Техника!$G$1:$ABN$500,D$2,0),$A$438,INDEX(Техника!$H$1:$ABO$500,D$2,0),"П")</f>
        <v>0</v>
      </c>
      <c r="E441" s="50">
        <f>SUMIFS(INDEX(Техника!$F$1:$ABM$500,E$2,0),Техника!$F$4:$ABM$4,"Часы",INDEX(Техника!$G$1:$ABN$500,E$2,0),$A$438,INDEX(Техника!$H$1:$ABO$500,E$2,0),"П")</f>
        <v>0</v>
      </c>
      <c r="F441" s="50">
        <f>SUMIFS(INDEX(Техника!$F$1:$ABM$500,F$2,0),Техника!$F$4:$ABM$4,"Часы",INDEX(Техника!$G$1:$ABN$500,F$2,0),$A$438,INDEX(Техника!$H$1:$ABO$500,F$2,0),"П")</f>
        <v>0</v>
      </c>
      <c r="G441" s="50">
        <f>SUMIFS(INDEX(Техника!$F$1:$ABM$500,G$2,0),Техника!$F$4:$ABM$4,"Часы",INDEX(Техника!$G$1:$ABN$500,G$2,0),$A$438,INDEX(Техника!$H$1:$ABO$500,G$2,0),"П")</f>
        <v>0</v>
      </c>
      <c r="H441" s="50">
        <f>SUMIFS(INDEX(Техника!$F$1:$ABM$500,H$2,0),Техника!$F$4:$ABM$4,"Часы",INDEX(Техника!$G$1:$ABN$500,H$2,0),$A$438,INDEX(Техника!$H$1:$ABO$500,H$2,0),"П")</f>
        <v>0</v>
      </c>
      <c r="I441" s="50">
        <f>SUMIFS(INDEX(Техника!$F$1:$ABM$500,I$2,0),Техника!$F$4:$ABM$4,"Часы",INDEX(Техника!$G$1:$ABN$500,I$2,0),$A$438,INDEX(Техника!$H$1:$ABO$500,I$2,0),"П")</f>
        <v>0</v>
      </c>
      <c r="J441" s="50">
        <f>SUMIFS(INDEX(Техника!$F$1:$ABM$500,J$2,0),Техника!$F$4:$ABM$4,"Часы",INDEX(Техника!$G$1:$ABN$500,J$2,0),$A$438,INDEX(Техника!$H$1:$ABO$500,J$2,0),"П")</f>
        <v>0</v>
      </c>
      <c r="K441" s="50">
        <f>SUMIFS(INDEX(Техника!$F$1:$ABM$500,K$2,0),Техника!$F$4:$ABM$4,"Часы",INDEX(Техника!$G$1:$ABN$500,K$2,0),$A$438,INDEX(Техника!$H$1:$ABO$500,K$2,0),"П")</f>
        <v>0</v>
      </c>
      <c r="L441" s="50">
        <f>SUMIFS(INDEX(Техника!$F$1:$ABM$500,L$2,0),Техника!$F$4:$ABM$4,"Часы",INDEX(Техника!$G$1:$ABN$500,L$2,0),$A$438,INDEX(Техника!$H$1:$ABO$500,L$2,0),"П")</f>
        <v>0</v>
      </c>
      <c r="M441" s="50">
        <f>SUMIFS(INDEX(Техника!$F$1:$ABM$500,M$2,0),Техника!$F$4:$ABM$4,"Часы",INDEX(Техника!$G$1:$ABN$500,M$2,0),$A$438,INDEX(Техника!$H$1:$ABO$500,M$2,0),"П")</f>
        <v>0</v>
      </c>
      <c r="N441" s="50">
        <f>SUMIFS(INDEX(Техника!$F$1:$ABM$500,N$2,0),Техника!$F$4:$ABM$4,"Часы",INDEX(Техника!$G$1:$ABN$500,N$2,0),$A$438,INDEX(Техника!$H$1:$ABO$500,N$2,0),"П")</f>
        <v>0</v>
      </c>
      <c r="O441" s="50">
        <f>SUMIFS(INDEX(Техника!$F$1:$ABM$500,O$2,0),Техника!$F$4:$ABM$4,"Часы",INDEX(Техника!$G$1:$ABN$500,O$2,0),$A$438,INDEX(Техника!$H$1:$ABO$500,O$2,0),"П")</f>
        <v>0</v>
      </c>
      <c r="P441" s="50">
        <f>SUMIFS(INDEX(Техника!$F$1:$ABM$500,P$2,0),Техника!$F$4:$ABM$4,"Часы",INDEX(Техника!$G$1:$ABN$500,P$2,0),$A$438,INDEX(Техника!$H$1:$ABO$500,P$2,0),"П")</f>
        <v>0</v>
      </c>
      <c r="Q441" s="50">
        <f>SUMIFS(INDEX(Техника!$F$1:$ABM$500,Q$2,0),Техника!$F$4:$ABM$4,"Часы",INDEX(Техника!$G$1:$ABN$500,Q$2,0),$A$438,INDEX(Техника!$H$1:$ABO$500,Q$2,0),"П")</f>
        <v>0</v>
      </c>
      <c r="R441" s="50">
        <f>SUMIFS(INDEX(Техника!$F$1:$ABM$500,R$2,0),Техника!$F$4:$ABM$4,"Часы",INDEX(Техника!$G$1:$ABN$500,R$2,0),$A$438,INDEX(Техника!$H$1:$ABO$500,R$2,0),"П")</f>
        <v>0</v>
      </c>
      <c r="S441" s="50">
        <f>SUMIFS(INDEX(Техника!$F$1:$ABM$500,S$2,0),Техника!$F$4:$ABM$4,"Часы",INDEX(Техника!$G$1:$ABN$500,S$2,0),$A$438,INDEX(Техника!$H$1:$ABO$500,S$2,0),"П")</f>
        <v>0</v>
      </c>
      <c r="T441" s="50">
        <f>SUMIFS(INDEX(Техника!$F$1:$ABM$500,T$2,0),Техника!$F$4:$ABM$4,"Часы",INDEX(Техника!$G$1:$ABN$500,T$2,0),$A$438,INDEX(Техника!$H$1:$ABO$500,T$2,0),"П")</f>
        <v>0</v>
      </c>
      <c r="U441" s="50">
        <f>SUMIFS(INDEX(Техника!$F$1:$ABM$500,U$2,0),Техника!$F$4:$ABM$4,"Часы",INDEX(Техника!$G$1:$ABN$500,U$2,0),$A$438,INDEX(Техника!$H$1:$ABO$500,U$2,0),"П")</f>
        <v>0</v>
      </c>
      <c r="V441" s="50">
        <f>SUMIFS(INDEX(Техника!$F$1:$ABM$500,V$2,0),Техника!$F$4:$ABM$4,"Часы",INDEX(Техника!$G$1:$ABN$500,V$2,0),$A$438,INDEX(Техника!$H$1:$ABO$500,V$2,0),"П")</f>
        <v>0</v>
      </c>
      <c r="W441" s="50">
        <f>SUMIFS(INDEX(Техника!$F$1:$ABM$500,W$2,0),Техника!$F$4:$ABM$4,"Часы",INDEX(Техника!$G$1:$ABN$500,W$2,0),$A$438,INDEX(Техника!$H$1:$ABO$500,W$2,0),"П")</f>
        <v>0</v>
      </c>
      <c r="X441" s="50">
        <f>SUMIFS(INDEX(Техника!$F$1:$ABM$500,X$2,0),Техника!$F$4:$ABM$4,"Часы",INDEX(Техника!$G$1:$ABN$500,X$2,0),$A$438,INDEX(Техника!$H$1:$ABO$500,X$2,0),"П")</f>
        <v>0</v>
      </c>
      <c r="Y441" s="50">
        <f>SUMIFS(INDEX(Техника!$F$1:$ABM$500,Y$2,0),Техника!$F$4:$ABM$4,"Часы",INDEX(Техника!$G$1:$ABN$500,Y$2,0),$A$438,INDEX(Техника!$H$1:$ABO$500,Y$2,0),"П")</f>
        <v>0</v>
      </c>
      <c r="Z441" s="50">
        <f>SUMIFS(INDEX(Техника!$F$1:$ABM$500,Z$2,0),Техника!$F$4:$ABM$4,"Часы",INDEX(Техника!$G$1:$ABN$500,Z$2,0),$A$438,INDEX(Техника!$H$1:$ABO$500,Z$2,0),"П")</f>
        <v>0</v>
      </c>
      <c r="AA441" s="50">
        <f>SUMIFS(INDEX(Техника!$F$1:$ABM$500,AA$2,0),Техника!$F$4:$ABM$4,"Часы",INDEX(Техника!$G$1:$ABN$500,AA$2,0),$A$438,INDEX(Техника!$H$1:$ABO$500,AA$2,0),"П")</f>
        <v>0</v>
      </c>
      <c r="AB441" s="50">
        <f>SUMIFS(INDEX(Техника!$F$1:$ABM$500,AB$2,0),Техника!$F$4:$ABM$4,"Часы",INDEX(Техника!$G$1:$ABN$500,AB$2,0),$A$438,INDEX(Техника!$H$1:$ABO$500,AB$2,0),"П")</f>
        <v>0</v>
      </c>
    </row>
    <row r="442" spans="1:28" hidden="1" outlineLevel="1" x14ac:dyDescent="0.3">
      <c r="A442" s="33" t="s">
        <v>243</v>
      </c>
      <c r="B442" s="34" t="s">
        <v>278</v>
      </c>
      <c r="C442" s="50">
        <f>SUMIFS(INDEX(Техника!$F$1:$ABM$500,C$2,0),Техника!$F$4:$ABM$4,"Часы",INDEX(Техника!$G$1:$ABN$500,C$2,0),$A$438,INDEX(Техника!$H$1:$ABO$500,C$2,0),"Л")</f>
        <v>0</v>
      </c>
      <c r="D442" s="50">
        <f>SUMIFS(INDEX(Техника!$F$1:$ABM$500,D$2,0),Техника!$F$4:$ABM$4,"Часы",INDEX(Техника!$G$1:$ABN$500,D$2,0),$A$438,INDEX(Техника!$H$1:$ABO$500,D$2,0),"Л")</f>
        <v>0</v>
      </c>
      <c r="E442" s="50">
        <f>SUMIFS(INDEX(Техника!$F$1:$ABM$500,E$2,0),Техника!$F$4:$ABM$4,"Часы",INDEX(Техника!$G$1:$ABN$500,E$2,0),$A$438,INDEX(Техника!$H$1:$ABO$500,E$2,0),"Л")</f>
        <v>0</v>
      </c>
      <c r="F442" s="50">
        <f>SUMIFS(INDEX(Техника!$F$1:$ABM$500,F$2,0),Техника!$F$4:$ABM$4,"Часы",INDEX(Техника!$G$1:$ABN$500,F$2,0),$A$438,INDEX(Техника!$H$1:$ABO$500,F$2,0),"Л")</f>
        <v>0</v>
      </c>
      <c r="G442" s="50">
        <f>SUMIFS(INDEX(Техника!$F$1:$ABM$500,G$2,0),Техника!$F$4:$ABM$4,"Часы",INDEX(Техника!$G$1:$ABN$500,G$2,0),$A$438,INDEX(Техника!$H$1:$ABO$500,G$2,0),"Л")</f>
        <v>0</v>
      </c>
      <c r="H442" s="50">
        <f>SUMIFS(INDEX(Техника!$F$1:$ABM$500,H$2,0),Техника!$F$4:$ABM$4,"Часы",INDEX(Техника!$G$1:$ABN$500,H$2,0),$A$438,INDEX(Техника!$H$1:$ABO$500,H$2,0),"Л")</f>
        <v>0</v>
      </c>
      <c r="I442" s="50">
        <f>SUMIFS(INDEX(Техника!$F$1:$ABM$500,I$2,0),Техника!$F$4:$ABM$4,"Часы",INDEX(Техника!$G$1:$ABN$500,I$2,0),$A$438,INDEX(Техника!$H$1:$ABO$500,I$2,0),"Л")</f>
        <v>0</v>
      </c>
      <c r="J442" s="50">
        <f>SUMIFS(INDEX(Техника!$F$1:$ABM$500,J$2,0),Техника!$F$4:$ABM$4,"Часы",INDEX(Техника!$G$1:$ABN$500,J$2,0),$A$438,INDEX(Техника!$H$1:$ABO$500,J$2,0),"Л")</f>
        <v>0</v>
      </c>
      <c r="K442" s="50">
        <f>SUMIFS(INDEX(Техника!$F$1:$ABM$500,K$2,0),Техника!$F$4:$ABM$4,"Часы",INDEX(Техника!$G$1:$ABN$500,K$2,0),$A$438,INDEX(Техника!$H$1:$ABO$500,K$2,0),"Л")</f>
        <v>0</v>
      </c>
      <c r="L442" s="50">
        <f>SUMIFS(INDEX(Техника!$F$1:$ABM$500,L$2,0),Техника!$F$4:$ABM$4,"Часы",INDEX(Техника!$G$1:$ABN$500,L$2,0),$A$438,INDEX(Техника!$H$1:$ABO$500,L$2,0),"Л")</f>
        <v>0</v>
      </c>
      <c r="M442" s="50">
        <f>SUMIFS(INDEX(Техника!$F$1:$ABM$500,M$2,0),Техника!$F$4:$ABM$4,"Часы",INDEX(Техника!$G$1:$ABN$500,M$2,0),$A$438,INDEX(Техника!$H$1:$ABO$500,M$2,0),"Л")</f>
        <v>0</v>
      </c>
      <c r="N442" s="50">
        <f>SUMIFS(INDEX(Техника!$F$1:$ABM$500,N$2,0),Техника!$F$4:$ABM$4,"Часы",INDEX(Техника!$G$1:$ABN$500,N$2,0),$A$438,INDEX(Техника!$H$1:$ABO$500,N$2,0),"Л")</f>
        <v>0</v>
      </c>
      <c r="O442" s="50">
        <f>SUMIFS(INDEX(Техника!$F$1:$ABM$500,O$2,0),Техника!$F$4:$ABM$4,"Часы",INDEX(Техника!$G$1:$ABN$500,O$2,0),$A$438,INDEX(Техника!$H$1:$ABO$500,O$2,0),"Л")</f>
        <v>0</v>
      </c>
      <c r="P442" s="50">
        <f>SUMIFS(INDEX(Техника!$F$1:$ABM$500,P$2,0),Техника!$F$4:$ABM$4,"Часы",INDEX(Техника!$G$1:$ABN$500,P$2,0),$A$438,INDEX(Техника!$H$1:$ABO$500,P$2,0),"Л")</f>
        <v>0</v>
      </c>
      <c r="Q442" s="50">
        <f>SUMIFS(INDEX(Техника!$F$1:$ABM$500,Q$2,0),Техника!$F$4:$ABM$4,"Часы",INDEX(Техника!$G$1:$ABN$500,Q$2,0),$A$438,INDEX(Техника!$H$1:$ABO$500,Q$2,0),"Л")</f>
        <v>0</v>
      </c>
      <c r="R442" s="50">
        <f>SUMIFS(INDEX(Техника!$F$1:$ABM$500,R$2,0),Техника!$F$4:$ABM$4,"Часы",INDEX(Техника!$G$1:$ABN$500,R$2,0),$A$438,INDEX(Техника!$H$1:$ABO$500,R$2,0),"Л")</f>
        <v>0</v>
      </c>
      <c r="S442" s="50">
        <f>SUMIFS(INDEX(Техника!$F$1:$ABM$500,S$2,0),Техника!$F$4:$ABM$4,"Часы",INDEX(Техника!$G$1:$ABN$500,S$2,0),$A$438,INDEX(Техника!$H$1:$ABO$500,S$2,0),"Л")</f>
        <v>0</v>
      </c>
      <c r="T442" s="50">
        <f>SUMIFS(INDEX(Техника!$F$1:$ABM$500,T$2,0),Техника!$F$4:$ABM$4,"Часы",INDEX(Техника!$G$1:$ABN$500,T$2,0),$A$438,INDEX(Техника!$H$1:$ABO$500,T$2,0),"Л")</f>
        <v>0</v>
      </c>
      <c r="U442" s="50">
        <f>SUMIFS(INDEX(Техника!$F$1:$ABM$500,U$2,0),Техника!$F$4:$ABM$4,"Часы",INDEX(Техника!$G$1:$ABN$500,U$2,0),$A$438,INDEX(Техника!$H$1:$ABO$500,U$2,0),"Л")</f>
        <v>0</v>
      </c>
      <c r="V442" s="50">
        <f>SUMIFS(INDEX(Техника!$F$1:$ABM$500,V$2,0),Техника!$F$4:$ABM$4,"Часы",INDEX(Техника!$G$1:$ABN$500,V$2,0),$A$438,INDEX(Техника!$H$1:$ABO$500,V$2,0),"Л")</f>
        <v>0</v>
      </c>
      <c r="W442" s="50">
        <f>SUMIFS(INDEX(Техника!$F$1:$ABM$500,W$2,0),Техника!$F$4:$ABM$4,"Часы",INDEX(Техника!$G$1:$ABN$500,W$2,0),$A$438,INDEX(Техника!$H$1:$ABO$500,W$2,0),"Л")</f>
        <v>0</v>
      </c>
      <c r="X442" s="50">
        <f>SUMIFS(INDEX(Техника!$F$1:$ABM$500,X$2,0),Техника!$F$4:$ABM$4,"Часы",INDEX(Техника!$G$1:$ABN$500,X$2,0),$A$438,INDEX(Техника!$H$1:$ABO$500,X$2,0),"Л")</f>
        <v>0</v>
      </c>
      <c r="Y442" s="50">
        <f>SUMIFS(INDEX(Техника!$F$1:$ABM$500,Y$2,0),Техника!$F$4:$ABM$4,"Часы",INDEX(Техника!$G$1:$ABN$500,Y$2,0),$A$438,INDEX(Техника!$H$1:$ABO$500,Y$2,0),"Л")</f>
        <v>0</v>
      </c>
      <c r="Z442" s="50">
        <f>SUMIFS(INDEX(Техника!$F$1:$ABM$500,Z$2,0),Техника!$F$4:$ABM$4,"Часы",INDEX(Техника!$G$1:$ABN$500,Z$2,0),$A$438,INDEX(Техника!$H$1:$ABO$500,Z$2,0),"Л")</f>
        <v>0</v>
      </c>
      <c r="AA442" s="50">
        <f>SUMIFS(INDEX(Техника!$F$1:$ABM$500,AA$2,0),Техника!$F$4:$ABM$4,"Часы",INDEX(Техника!$G$1:$ABN$500,AA$2,0),$A$438,INDEX(Техника!$H$1:$ABO$500,AA$2,0),"Л")</f>
        <v>0</v>
      </c>
      <c r="AB442" s="50">
        <f>SUMIFS(INDEX(Техника!$F$1:$ABM$500,AB$2,0),Техника!$F$4:$ABM$4,"Часы",INDEX(Техника!$G$1:$ABN$500,AB$2,0),$A$438,INDEX(Техника!$H$1:$ABO$500,AB$2,0),"Л")</f>
        <v>0</v>
      </c>
    </row>
    <row r="443" spans="1:28" hidden="1" outlineLevel="1" x14ac:dyDescent="0.3">
      <c r="A443" s="33" t="s">
        <v>245</v>
      </c>
      <c r="B443" s="34" t="s">
        <v>279</v>
      </c>
      <c r="C443" s="50">
        <f>SUMIFS(INDEX(Техника!$F$1:$ABM$500,C$2,0),Техника!$F$4:$ABM$4,"Часы",INDEX(Техника!$G$1:$ABN$500,C$2,0),$A$438,INDEX(Техника!$H$1:$ABO$500,C$2,0),"З")</f>
        <v>0</v>
      </c>
      <c r="D443" s="50">
        <f>SUMIFS(INDEX(Техника!$F$1:$ABM$500,D$2,0),Техника!$F$4:$ABM$4,"Часы",INDEX(Техника!$G$1:$ABN$500,D$2,0),$A$438,INDEX(Техника!$H$1:$ABO$500,D$2,0),"З")</f>
        <v>0</v>
      </c>
      <c r="E443" s="50">
        <f>SUMIFS(INDEX(Техника!$F$1:$ABM$500,E$2,0),Техника!$F$4:$ABM$4,"Часы",INDEX(Техника!$G$1:$ABN$500,E$2,0),$A$438,INDEX(Техника!$H$1:$ABO$500,E$2,0),"З")</f>
        <v>0</v>
      </c>
      <c r="F443" s="50">
        <f>SUMIFS(INDEX(Техника!$F$1:$ABM$500,F$2,0),Техника!$F$4:$ABM$4,"Часы",INDEX(Техника!$G$1:$ABN$500,F$2,0),$A$438,INDEX(Техника!$H$1:$ABO$500,F$2,0),"З")</f>
        <v>0</v>
      </c>
      <c r="G443" s="50">
        <f>SUMIFS(INDEX(Техника!$F$1:$ABM$500,G$2,0),Техника!$F$4:$ABM$4,"Часы",INDEX(Техника!$G$1:$ABN$500,G$2,0),$A$438,INDEX(Техника!$H$1:$ABO$500,G$2,0),"З")</f>
        <v>0</v>
      </c>
      <c r="H443" s="50">
        <f>SUMIFS(INDEX(Техника!$F$1:$ABM$500,H$2,0),Техника!$F$4:$ABM$4,"Часы",INDEX(Техника!$G$1:$ABN$500,H$2,0),$A$438,INDEX(Техника!$H$1:$ABO$500,H$2,0),"З")</f>
        <v>0</v>
      </c>
      <c r="I443" s="50">
        <f>SUMIFS(INDEX(Техника!$F$1:$ABM$500,I$2,0),Техника!$F$4:$ABM$4,"Часы",INDEX(Техника!$G$1:$ABN$500,I$2,0),$A$438,INDEX(Техника!$H$1:$ABO$500,I$2,0),"З")</f>
        <v>0</v>
      </c>
      <c r="J443" s="50">
        <f>SUMIFS(INDEX(Техника!$F$1:$ABM$500,J$2,0),Техника!$F$4:$ABM$4,"Часы",INDEX(Техника!$G$1:$ABN$500,J$2,0),$A$438,INDEX(Техника!$H$1:$ABO$500,J$2,0),"З")</f>
        <v>0</v>
      </c>
      <c r="K443" s="50">
        <f>SUMIFS(INDEX(Техника!$F$1:$ABM$500,K$2,0),Техника!$F$4:$ABM$4,"Часы",INDEX(Техника!$G$1:$ABN$500,K$2,0),$A$438,INDEX(Техника!$H$1:$ABO$500,K$2,0),"З")</f>
        <v>0</v>
      </c>
      <c r="L443" s="50">
        <f>SUMIFS(INDEX(Техника!$F$1:$ABM$500,L$2,0),Техника!$F$4:$ABM$4,"Часы",INDEX(Техника!$G$1:$ABN$500,L$2,0),$A$438,INDEX(Техника!$H$1:$ABO$500,L$2,0),"З")</f>
        <v>0</v>
      </c>
      <c r="M443" s="50">
        <f>SUMIFS(INDEX(Техника!$F$1:$ABM$500,M$2,0),Техника!$F$4:$ABM$4,"Часы",INDEX(Техника!$G$1:$ABN$500,M$2,0),$A$438,INDEX(Техника!$H$1:$ABO$500,M$2,0),"З")</f>
        <v>0</v>
      </c>
      <c r="N443" s="50">
        <f>SUMIFS(INDEX(Техника!$F$1:$ABM$500,N$2,0),Техника!$F$4:$ABM$4,"Часы",INDEX(Техника!$G$1:$ABN$500,N$2,0),$A$438,INDEX(Техника!$H$1:$ABO$500,N$2,0),"З")</f>
        <v>0</v>
      </c>
      <c r="O443" s="50">
        <f>SUMIFS(INDEX(Техника!$F$1:$ABM$500,O$2,0),Техника!$F$4:$ABM$4,"Часы",INDEX(Техника!$G$1:$ABN$500,O$2,0),$A$438,INDEX(Техника!$H$1:$ABO$500,O$2,0),"З")</f>
        <v>0</v>
      </c>
      <c r="P443" s="50">
        <f>SUMIFS(INDEX(Техника!$F$1:$ABM$500,P$2,0),Техника!$F$4:$ABM$4,"Часы",INDEX(Техника!$G$1:$ABN$500,P$2,0),$A$438,INDEX(Техника!$H$1:$ABO$500,P$2,0),"З")</f>
        <v>0</v>
      </c>
      <c r="Q443" s="50">
        <f>SUMIFS(INDEX(Техника!$F$1:$ABM$500,Q$2,0),Техника!$F$4:$ABM$4,"Часы",INDEX(Техника!$G$1:$ABN$500,Q$2,0),$A$438,INDEX(Техника!$H$1:$ABO$500,Q$2,0),"З")</f>
        <v>0</v>
      </c>
      <c r="R443" s="50">
        <f>SUMIFS(INDEX(Техника!$F$1:$ABM$500,R$2,0),Техника!$F$4:$ABM$4,"Часы",INDEX(Техника!$G$1:$ABN$500,R$2,0),$A$438,INDEX(Техника!$H$1:$ABO$500,R$2,0),"З")</f>
        <v>0</v>
      </c>
      <c r="S443" s="50">
        <f>SUMIFS(INDEX(Техника!$F$1:$ABM$500,S$2,0),Техника!$F$4:$ABM$4,"Часы",INDEX(Техника!$G$1:$ABN$500,S$2,0),$A$438,INDEX(Техника!$H$1:$ABO$500,S$2,0),"З")</f>
        <v>0</v>
      </c>
      <c r="T443" s="50">
        <f>SUMIFS(INDEX(Техника!$F$1:$ABM$500,T$2,0),Техника!$F$4:$ABM$4,"Часы",INDEX(Техника!$G$1:$ABN$500,T$2,0),$A$438,INDEX(Техника!$H$1:$ABO$500,T$2,0),"З")</f>
        <v>0</v>
      </c>
      <c r="U443" s="50">
        <f>SUMIFS(INDEX(Техника!$F$1:$ABM$500,U$2,0),Техника!$F$4:$ABM$4,"Часы",INDEX(Техника!$G$1:$ABN$500,U$2,0),$A$438,INDEX(Техника!$H$1:$ABO$500,U$2,0),"З")</f>
        <v>0</v>
      </c>
      <c r="V443" s="50">
        <f>SUMIFS(INDEX(Техника!$F$1:$ABM$500,V$2,0),Техника!$F$4:$ABM$4,"Часы",INDEX(Техника!$G$1:$ABN$500,V$2,0),$A$438,INDEX(Техника!$H$1:$ABO$500,V$2,0),"З")</f>
        <v>0</v>
      </c>
      <c r="W443" s="50">
        <f>SUMIFS(INDEX(Техника!$F$1:$ABM$500,W$2,0),Техника!$F$4:$ABM$4,"Часы",INDEX(Техника!$G$1:$ABN$500,W$2,0),$A$438,INDEX(Техника!$H$1:$ABO$500,W$2,0),"З")</f>
        <v>0</v>
      </c>
      <c r="X443" s="50">
        <f>SUMIFS(INDEX(Техника!$F$1:$ABM$500,X$2,0),Техника!$F$4:$ABM$4,"Часы",INDEX(Техника!$G$1:$ABN$500,X$2,0),$A$438,INDEX(Техника!$H$1:$ABO$500,X$2,0),"З")</f>
        <v>0</v>
      </c>
      <c r="Y443" s="50">
        <f>SUMIFS(INDEX(Техника!$F$1:$ABM$500,Y$2,0),Техника!$F$4:$ABM$4,"Часы",INDEX(Техника!$G$1:$ABN$500,Y$2,0),$A$438,INDEX(Техника!$H$1:$ABO$500,Y$2,0),"З")</f>
        <v>0</v>
      </c>
      <c r="Z443" s="50">
        <f>SUMIFS(INDEX(Техника!$F$1:$ABM$500,Z$2,0),Техника!$F$4:$ABM$4,"Часы",INDEX(Техника!$G$1:$ABN$500,Z$2,0),$A$438,INDEX(Техника!$H$1:$ABO$500,Z$2,0),"З")</f>
        <v>0</v>
      </c>
      <c r="AA443" s="50">
        <f>SUMIFS(INDEX(Техника!$F$1:$ABM$500,AA$2,0),Техника!$F$4:$ABM$4,"Часы",INDEX(Техника!$G$1:$ABN$500,AA$2,0),$A$438,INDEX(Техника!$H$1:$ABO$500,AA$2,0),"З")</f>
        <v>0</v>
      </c>
      <c r="AB443" s="50">
        <f>SUMIFS(INDEX(Техника!$F$1:$ABM$500,AB$2,0),Техника!$F$4:$ABM$4,"Часы",INDEX(Техника!$G$1:$ABN$500,AB$2,0),$A$438,INDEX(Техника!$H$1:$ABO$500,AB$2,0),"З")</f>
        <v>0</v>
      </c>
    </row>
    <row r="444" spans="1:28" ht="7.95" customHeight="1" x14ac:dyDescent="0.3">
      <c r="A444" s="38"/>
      <c r="B444" s="39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</row>
    <row r="445" spans="1:28" ht="25.05" customHeight="1" collapsed="1" x14ac:dyDescent="0.3">
      <c r="A445" s="32">
        <v>64</v>
      </c>
      <c r="B445" s="32" t="s">
        <v>65</v>
      </c>
      <c r="C445" s="49">
        <f>SUM(C446:C450)</f>
        <v>0</v>
      </c>
      <c r="D445" s="49">
        <f>SUM(D446:D450)</f>
        <v>0</v>
      </c>
      <c r="E445" s="49">
        <f>SUM(E446:E450)</f>
        <v>0</v>
      </c>
      <c r="F445" s="49">
        <f>SUM(F446:F450)</f>
        <v>0</v>
      </c>
      <c r="G445" s="49">
        <f>SUM(G446:G450)</f>
        <v>0</v>
      </c>
      <c r="H445" s="49">
        <f>SUM(H446:H450)</f>
        <v>0</v>
      </c>
      <c r="I445" s="49">
        <f>SUM(I446:I450)</f>
        <v>0</v>
      </c>
      <c r="J445" s="49">
        <f>SUM(J446:J450)</f>
        <v>0</v>
      </c>
      <c r="K445" s="49">
        <f>SUM(K446:K450)</f>
        <v>0</v>
      </c>
      <c r="L445" s="49">
        <f>SUM(L446:L450)</f>
        <v>0</v>
      </c>
      <c r="M445" s="49">
        <f>SUM(M446:M450)</f>
        <v>0</v>
      </c>
      <c r="N445" s="49">
        <f>SUM(N446:N450)</f>
        <v>0</v>
      </c>
      <c r="O445" s="49">
        <f>SUM(O446:O450)</f>
        <v>0</v>
      </c>
      <c r="P445" s="49">
        <f>SUM(P446:P450)</f>
        <v>0</v>
      </c>
      <c r="Q445" s="49">
        <f>SUM(Q446:Q450)</f>
        <v>0</v>
      </c>
      <c r="R445" s="49">
        <f>SUM(R446:R450)</f>
        <v>0</v>
      </c>
      <c r="S445" s="49">
        <f>SUM(S446:S450)</f>
        <v>0</v>
      </c>
      <c r="T445" s="49">
        <f>SUM(T446:T450)</f>
        <v>0</v>
      </c>
      <c r="U445" s="49">
        <f>SUM(U446:U450)</f>
        <v>0</v>
      </c>
      <c r="V445" s="49">
        <f>SUM(V446:V450)</f>
        <v>0</v>
      </c>
      <c r="W445" s="49">
        <f>SUM(W446:W450)</f>
        <v>0</v>
      </c>
      <c r="X445" s="49">
        <f>SUM(X446:X450)</f>
        <v>0</v>
      </c>
      <c r="Y445" s="49">
        <f>SUM(Y446:Y450)</f>
        <v>0</v>
      </c>
      <c r="Z445" s="49">
        <f>SUM(Z446:Z450)</f>
        <v>0</v>
      </c>
      <c r="AA445" s="49">
        <f>SUM(AA446:AA450)</f>
        <v>0</v>
      </c>
      <c r="AB445" s="49">
        <f>SUM(AB446:AB450)</f>
        <v>0</v>
      </c>
    </row>
    <row r="446" spans="1:28" hidden="1" outlineLevel="1" x14ac:dyDescent="0.3">
      <c r="A446" s="33" t="s">
        <v>246</v>
      </c>
      <c r="B446" s="34" t="s">
        <v>274</v>
      </c>
      <c r="C446" s="50">
        <f>SUMIFS(INDEX(Техника!$F$1:$ABM$500,C$2,0),Техника!$F$4:$ABM$4,"Часы",INDEX(Техника!$G$1:$ABN$500,C$2,0),$A$445,INDEX(Техника!$H$1:$ABO$500,C$2,0),"М")</f>
        <v>0</v>
      </c>
      <c r="D446" s="50">
        <f>SUMIFS(INDEX(Техника!$F$1:$ABM$500,D$2,0),Техника!$F$4:$ABM$4,"Часы",INDEX(Техника!$G$1:$ABN$500,D$2,0),$A$445,INDEX(Техника!$H$1:$ABO$500,D$2,0),"М")</f>
        <v>0</v>
      </c>
      <c r="E446" s="50">
        <f>SUMIFS(INDEX(Техника!$F$1:$ABM$500,E$2,0),Техника!$F$4:$ABM$4,"Часы",INDEX(Техника!$G$1:$ABN$500,E$2,0),$A$445,INDEX(Техника!$H$1:$ABO$500,E$2,0),"М")</f>
        <v>0</v>
      </c>
      <c r="F446" s="50">
        <f>SUMIFS(INDEX(Техника!$F$1:$ABM$500,F$2,0),Техника!$F$4:$ABM$4,"Часы",INDEX(Техника!$G$1:$ABN$500,F$2,0),$A$445,INDEX(Техника!$H$1:$ABO$500,F$2,0),"М")</f>
        <v>0</v>
      </c>
      <c r="G446" s="50">
        <f>SUMIFS(INDEX(Техника!$F$1:$ABM$500,G$2,0),Техника!$F$4:$ABM$4,"Часы",INDEX(Техника!$G$1:$ABN$500,G$2,0),$A$445,INDEX(Техника!$H$1:$ABO$500,G$2,0),"М")</f>
        <v>0</v>
      </c>
      <c r="H446" s="50">
        <f>SUMIFS(INDEX(Техника!$F$1:$ABM$500,H$2,0),Техника!$F$4:$ABM$4,"Часы",INDEX(Техника!$G$1:$ABN$500,H$2,0),$A$445,INDEX(Техника!$H$1:$ABO$500,H$2,0),"М")</f>
        <v>0</v>
      </c>
      <c r="I446" s="50">
        <f>SUMIFS(INDEX(Техника!$F$1:$ABM$500,I$2,0),Техника!$F$4:$ABM$4,"Часы",INDEX(Техника!$G$1:$ABN$500,I$2,0),$A$445,INDEX(Техника!$H$1:$ABO$500,I$2,0),"М")</f>
        <v>0</v>
      </c>
      <c r="J446" s="50">
        <f>SUMIFS(INDEX(Техника!$F$1:$ABM$500,J$2,0),Техника!$F$4:$ABM$4,"Часы",INDEX(Техника!$G$1:$ABN$500,J$2,0),$A$445,INDEX(Техника!$H$1:$ABO$500,J$2,0),"М")</f>
        <v>0</v>
      </c>
      <c r="K446" s="50">
        <f>SUMIFS(INDEX(Техника!$F$1:$ABM$500,K$2,0),Техника!$F$4:$ABM$4,"Часы",INDEX(Техника!$G$1:$ABN$500,K$2,0),$A$445,INDEX(Техника!$H$1:$ABO$500,K$2,0),"М")</f>
        <v>0</v>
      </c>
      <c r="L446" s="50">
        <f>SUMIFS(INDEX(Техника!$F$1:$ABM$500,L$2,0),Техника!$F$4:$ABM$4,"Часы",INDEX(Техника!$G$1:$ABN$500,L$2,0),$A$445,INDEX(Техника!$H$1:$ABO$500,L$2,0),"М")</f>
        <v>0</v>
      </c>
      <c r="M446" s="50">
        <f>SUMIFS(INDEX(Техника!$F$1:$ABM$500,M$2,0),Техника!$F$4:$ABM$4,"Часы",INDEX(Техника!$G$1:$ABN$500,M$2,0),$A$445,INDEX(Техника!$H$1:$ABO$500,M$2,0),"М")</f>
        <v>0</v>
      </c>
      <c r="N446" s="50">
        <f>SUMIFS(INDEX(Техника!$F$1:$ABM$500,N$2,0),Техника!$F$4:$ABM$4,"Часы",INDEX(Техника!$G$1:$ABN$500,N$2,0),$A$445,INDEX(Техника!$H$1:$ABO$500,N$2,0),"М")</f>
        <v>0</v>
      </c>
      <c r="O446" s="50">
        <f>SUMIFS(INDEX(Техника!$F$1:$ABM$500,O$2,0),Техника!$F$4:$ABM$4,"Часы",INDEX(Техника!$G$1:$ABN$500,O$2,0),$A$445,INDEX(Техника!$H$1:$ABO$500,O$2,0),"М")</f>
        <v>0</v>
      </c>
      <c r="P446" s="50">
        <f>SUMIFS(INDEX(Техника!$F$1:$ABM$500,P$2,0),Техника!$F$4:$ABM$4,"Часы",INDEX(Техника!$G$1:$ABN$500,P$2,0),$A$445,INDEX(Техника!$H$1:$ABO$500,P$2,0),"М")</f>
        <v>0</v>
      </c>
      <c r="Q446" s="50">
        <f>SUMIFS(INDEX(Техника!$F$1:$ABM$500,Q$2,0),Техника!$F$4:$ABM$4,"Часы",INDEX(Техника!$G$1:$ABN$500,Q$2,0),$A$445,INDEX(Техника!$H$1:$ABO$500,Q$2,0),"М")</f>
        <v>0</v>
      </c>
      <c r="R446" s="50">
        <f>SUMIFS(INDEX(Техника!$F$1:$ABM$500,R$2,0),Техника!$F$4:$ABM$4,"Часы",INDEX(Техника!$G$1:$ABN$500,R$2,0),$A$445,INDEX(Техника!$H$1:$ABO$500,R$2,0),"М")</f>
        <v>0</v>
      </c>
      <c r="S446" s="50">
        <f>SUMIFS(INDEX(Техника!$F$1:$ABM$500,S$2,0),Техника!$F$4:$ABM$4,"Часы",INDEX(Техника!$G$1:$ABN$500,S$2,0),$A$445,INDEX(Техника!$H$1:$ABO$500,S$2,0),"М")</f>
        <v>0</v>
      </c>
      <c r="T446" s="50">
        <f>SUMIFS(INDEX(Техника!$F$1:$ABM$500,T$2,0),Техника!$F$4:$ABM$4,"Часы",INDEX(Техника!$G$1:$ABN$500,T$2,0),$A$445,INDEX(Техника!$H$1:$ABO$500,T$2,0),"М")</f>
        <v>0</v>
      </c>
      <c r="U446" s="50">
        <f>SUMIFS(INDEX(Техника!$F$1:$ABM$500,U$2,0),Техника!$F$4:$ABM$4,"Часы",INDEX(Техника!$G$1:$ABN$500,U$2,0),$A$445,INDEX(Техника!$H$1:$ABO$500,U$2,0),"М")</f>
        <v>0</v>
      </c>
      <c r="V446" s="50">
        <f>SUMIFS(INDEX(Техника!$F$1:$ABM$500,V$2,0),Техника!$F$4:$ABM$4,"Часы",INDEX(Техника!$G$1:$ABN$500,V$2,0),$A$445,INDEX(Техника!$H$1:$ABO$500,V$2,0),"М")</f>
        <v>0</v>
      </c>
      <c r="W446" s="50">
        <f>SUMIFS(INDEX(Техника!$F$1:$ABM$500,W$2,0),Техника!$F$4:$ABM$4,"Часы",INDEX(Техника!$G$1:$ABN$500,W$2,0),$A$445,INDEX(Техника!$H$1:$ABO$500,W$2,0),"М")</f>
        <v>0</v>
      </c>
      <c r="X446" s="50">
        <f>SUMIFS(INDEX(Техника!$F$1:$ABM$500,X$2,0),Техника!$F$4:$ABM$4,"Часы",INDEX(Техника!$G$1:$ABN$500,X$2,0),$A$445,INDEX(Техника!$H$1:$ABO$500,X$2,0),"М")</f>
        <v>0</v>
      </c>
      <c r="Y446" s="50">
        <f>SUMIFS(INDEX(Техника!$F$1:$ABM$500,Y$2,0),Техника!$F$4:$ABM$4,"Часы",INDEX(Техника!$G$1:$ABN$500,Y$2,0),$A$445,INDEX(Техника!$H$1:$ABO$500,Y$2,0),"М")</f>
        <v>0</v>
      </c>
      <c r="Z446" s="50">
        <f>SUMIFS(INDEX(Техника!$F$1:$ABM$500,Z$2,0),Техника!$F$4:$ABM$4,"Часы",INDEX(Техника!$G$1:$ABN$500,Z$2,0),$A$445,INDEX(Техника!$H$1:$ABO$500,Z$2,0),"М")</f>
        <v>0</v>
      </c>
      <c r="AA446" s="50">
        <f>SUMIFS(INDEX(Техника!$F$1:$ABM$500,AA$2,0),Техника!$F$4:$ABM$4,"Часы",INDEX(Техника!$G$1:$ABN$500,AA$2,0),$A$445,INDEX(Техника!$H$1:$ABO$500,AA$2,0),"М")</f>
        <v>0</v>
      </c>
      <c r="AB446" s="50">
        <f>SUMIFS(INDEX(Техника!$F$1:$ABM$500,AB$2,0),Техника!$F$4:$ABM$4,"Часы",INDEX(Техника!$G$1:$ABN$500,AB$2,0),$A$445,INDEX(Техника!$H$1:$ABO$500,AB$2,0),"М")</f>
        <v>0</v>
      </c>
    </row>
    <row r="447" spans="1:28" hidden="1" outlineLevel="1" x14ac:dyDescent="0.3">
      <c r="A447" s="33" t="s">
        <v>244</v>
      </c>
      <c r="B447" s="34" t="s">
        <v>275</v>
      </c>
      <c r="C447" s="50">
        <f>SUMIFS(INDEX(Техника!$F$1:$ABM$500,C$2,0),Техника!$F$4:$ABM$4,"Часы",INDEX(Техника!$G$1:$ABN$500,C$2,0),$A$445,INDEX(Техника!$H$1:$ABO$500,C$2,0),"Д")</f>
        <v>0</v>
      </c>
      <c r="D447" s="50">
        <f>SUMIFS(INDEX(Техника!$F$1:$ABM$500,D$2,0),Техника!$F$4:$ABM$4,"Часы",INDEX(Техника!$G$1:$ABN$500,D$2,0),$A$445,INDEX(Техника!$H$1:$ABO$500,D$2,0),"Д")</f>
        <v>0</v>
      </c>
      <c r="E447" s="50">
        <f>SUMIFS(INDEX(Техника!$F$1:$ABM$500,E$2,0),Техника!$F$4:$ABM$4,"Часы",INDEX(Техника!$G$1:$ABN$500,E$2,0),$A$445,INDEX(Техника!$H$1:$ABO$500,E$2,0),"Д")</f>
        <v>0</v>
      </c>
      <c r="F447" s="50">
        <f>SUMIFS(INDEX(Техника!$F$1:$ABM$500,F$2,0),Техника!$F$4:$ABM$4,"Часы",INDEX(Техника!$G$1:$ABN$500,F$2,0),$A$445,INDEX(Техника!$H$1:$ABO$500,F$2,0),"Д")</f>
        <v>0</v>
      </c>
      <c r="G447" s="50">
        <f>SUMIFS(INDEX(Техника!$F$1:$ABM$500,G$2,0),Техника!$F$4:$ABM$4,"Часы",INDEX(Техника!$G$1:$ABN$500,G$2,0),$A$445,INDEX(Техника!$H$1:$ABO$500,G$2,0),"Д")</f>
        <v>0</v>
      </c>
      <c r="H447" s="50">
        <f>SUMIFS(INDEX(Техника!$F$1:$ABM$500,H$2,0),Техника!$F$4:$ABM$4,"Часы",INDEX(Техника!$G$1:$ABN$500,H$2,0),$A$445,INDEX(Техника!$H$1:$ABO$500,H$2,0),"Д")</f>
        <v>0</v>
      </c>
      <c r="I447" s="50">
        <f>SUMIFS(INDEX(Техника!$F$1:$ABM$500,I$2,0),Техника!$F$4:$ABM$4,"Часы",INDEX(Техника!$G$1:$ABN$500,I$2,0),$A$445,INDEX(Техника!$H$1:$ABO$500,I$2,0),"Д")</f>
        <v>0</v>
      </c>
      <c r="J447" s="50">
        <f>SUMIFS(INDEX(Техника!$F$1:$ABM$500,J$2,0),Техника!$F$4:$ABM$4,"Часы",INDEX(Техника!$G$1:$ABN$500,J$2,0),$A$445,INDEX(Техника!$H$1:$ABO$500,J$2,0),"Д")</f>
        <v>0</v>
      </c>
      <c r="K447" s="50">
        <f>SUMIFS(INDEX(Техника!$F$1:$ABM$500,K$2,0),Техника!$F$4:$ABM$4,"Часы",INDEX(Техника!$G$1:$ABN$500,K$2,0),$A$445,INDEX(Техника!$H$1:$ABO$500,K$2,0),"Д")</f>
        <v>0</v>
      </c>
      <c r="L447" s="50">
        <f>SUMIFS(INDEX(Техника!$F$1:$ABM$500,L$2,0),Техника!$F$4:$ABM$4,"Часы",INDEX(Техника!$G$1:$ABN$500,L$2,0),$A$445,INDEX(Техника!$H$1:$ABO$500,L$2,0),"Д")</f>
        <v>0</v>
      </c>
      <c r="M447" s="50">
        <f>SUMIFS(INDEX(Техника!$F$1:$ABM$500,M$2,0),Техника!$F$4:$ABM$4,"Часы",INDEX(Техника!$G$1:$ABN$500,M$2,0),$A$445,INDEX(Техника!$H$1:$ABO$500,M$2,0),"Д")</f>
        <v>0</v>
      </c>
      <c r="N447" s="50">
        <f>SUMIFS(INDEX(Техника!$F$1:$ABM$500,N$2,0),Техника!$F$4:$ABM$4,"Часы",INDEX(Техника!$G$1:$ABN$500,N$2,0),$A$445,INDEX(Техника!$H$1:$ABO$500,N$2,0),"Д")</f>
        <v>0</v>
      </c>
      <c r="O447" s="50">
        <f>SUMIFS(INDEX(Техника!$F$1:$ABM$500,O$2,0),Техника!$F$4:$ABM$4,"Часы",INDEX(Техника!$G$1:$ABN$500,O$2,0),$A$445,INDEX(Техника!$H$1:$ABO$500,O$2,0),"Д")</f>
        <v>0</v>
      </c>
      <c r="P447" s="50">
        <f>SUMIFS(INDEX(Техника!$F$1:$ABM$500,P$2,0),Техника!$F$4:$ABM$4,"Часы",INDEX(Техника!$G$1:$ABN$500,P$2,0),$A$445,INDEX(Техника!$H$1:$ABO$500,P$2,0),"Д")</f>
        <v>0</v>
      </c>
      <c r="Q447" s="50">
        <f>SUMIFS(INDEX(Техника!$F$1:$ABM$500,Q$2,0),Техника!$F$4:$ABM$4,"Часы",INDEX(Техника!$G$1:$ABN$500,Q$2,0),$A$445,INDEX(Техника!$H$1:$ABO$500,Q$2,0),"Д")</f>
        <v>0</v>
      </c>
      <c r="R447" s="50">
        <f>SUMIFS(INDEX(Техника!$F$1:$ABM$500,R$2,0),Техника!$F$4:$ABM$4,"Часы",INDEX(Техника!$G$1:$ABN$500,R$2,0),$A$445,INDEX(Техника!$H$1:$ABO$500,R$2,0),"Д")</f>
        <v>0</v>
      </c>
      <c r="S447" s="50">
        <f>SUMIFS(INDEX(Техника!$F$1:$ABM$500,S$2,0),Техника!$F$4:$ABM$4,"Часы",INDEX(Техника!$G$1:$ABN$500,S$2,0),$A$445,INDEX(Техника!$H$1:$ABO$500,S$2,0),"Д")</f>
        <v>0</v>
      </c>
      <c r="T447" s="50">
        <f>SUMIFS(INDEX(Техника!$F$1:$ABM$500,T$2,0),Техника!$F$4:$ABM$4,"Часы",INDEX(Техника!$G$1:$ABN$500,T$2,0),$A$445,INDEX(Техника!$H$1:$ABO$500,T$2,0),"Д")</f>
        <v>0</v>
      </c>
      <c r="U447" s="50">
        <f>SUMIFS(INDEX(Техника!$F$1:$ABM$500,U$2,0),Техника!$F$4:$ABM$4,"Часы",INDEX(Техника!$G$1:$ABN$500,U$2,0),$A$445,INDEX(Техника!$H$1:$ABO$500,U$2,0),"Д")</f>
        <v>0</v>
      </c>
      <c r="V447" s="50">
        <f>SUMIFS(INDEX(Техника!$F$1:$ABM$500,V$2,0),Техника!$F$4:$ABM$4,"Часы",INDEX(Техника!$G$1:$ABN$500,V$2,0),$A$445,INDEX(Техника!$H$1:$ABO$500,V$2,0),"Д")</f>
        <v>0</v>
      </c>
      <c r="W447" s="50">
        <f>SUMIFS(INDEX(Техника!$F$1:$ABM$500,W$2,0),Техника!$F$4:$ABM$4,"Часы",INDEX(Техника!$G$1:$ABN$500,W$2,0),$A$445,INDEX(Техника!$H$1:$ABO$500,W$2,0),"Д")</f>
        <v>0</v>
      </c>
      <c r="X447" s="50">
        <f>SUMIFS(INDEX(Техника!$F$1:$ABM$500,X$2,0),Техника!$F$4:$ABM$4,"Часы",INDEX(Техника!$G$1:$ABN$500,X$2,0),$A$445,INDEX(Техника!$H$1:$ABO$500,X$2,0),"Д")</f>
        <v>0</v>
      </c>
      <c r="Y447" s="50">
        <f>SUMIFS(INDEX(Техника!$F$1:$ABM$500,Y$2,0),Техника!$F$4:$ABM$4,"Часы",INDEX(Техника!$G$1:$ABN$500,Y$2,0),$A$445,INDEX(Техника!$H$1:$ABO$500,Y$2,0),"Д")</f>
        <v>0</v>
      </c>
      <c r="Z447" s="50">
        <f>SUMIFS(INDEX(Техника!$F$1:$ABM$500,Z$2,0),Техника!$F$4:$ABM$4,"Часы",INDEX(Техника!$G$1:$ABN$500,Z$2,0),$A$445,INDEX(Техника!$H$1:$ABO$500,Z$2,0),"Д")</f>
        <v>0</v>
      </c>
      <c r="AA447" s="50">
        <f>SUMIFS(INDEX(Техника!$F$1:$ABM$500,AA$2,0),Техника!$F$4:$ABM$4,"Часы",INDEX(Техника!$G$1:$ABN$500,AA$2,0),$A$445,INDEX(Техника!$H$1:$ABO$500,AA$2,0),"Д")</f>
        <v>0</v>
      </c>
      <c r="AB447" s="50">
        <f>SUMIFS(INDEX(Техника!$F$1:$ABM$500,AB$2,0),Техника!$F$4:$ABM$4,"Часы",INDEX(Техника!$G$1:$ABN$500,AB$2,0),$A$445,INDEX(Техника!$H$1:$ABO$500,AB$2,0),"Д")</f>
        <v>0</v>
      </c>
    </row>
    <row r="448" spans="1:28" hidden="1" outlineLevel="1" x14ac:dyDescent="0.3">
      <c r="A448" s="33" t="s">
        <v>276</v>
      </c>
      <c r="B448" s="34" t="s">
        <v>277</v>
      </c>
      <c r="C448" s="50">
        <f>SUMIFS(INDEX(Техника!$F$1:$ABM$500,C$2,0),Техника!$F$4:$ABM$4,"Часы",INDEX(Техника!$G$1:$ABN$500,C$2,0),$A$445,INDEX(Техника!$H$1:$ABO$500,C$2,0),"П")</f>
        <v>0</v>
      </c>
      <c r="D448" s="50">
        <f>SUMIFS(INDEX(Техника!$F$1:$ABM$500,D$2,0),Техника!$F$4:$ABM$4,"Часы",INDEX(Техника!$G$1:$ABN$500,D$2,0),$A$445,INDEX(Техника!$H$1:$ABO$500,D$2,0),"П")</f>
        <v>0</v>
      </c>
      <c r="E448" s="50">
        <f>SUMIFS(INDEX(Техника!$F$1:$ABM$500,E$2,0),Техника!$F$4:$ABM$4,"Часы",INDEX(Техника!$G$1:$ABN$500,E$2,0),$A$445,INDEX(Техника!$H$1:$ABO$500,E$2,0),"П")</f>
        <v>0</v>
      </c>
      <c r="F448" s="50">
        <f>SUMIFS(INDEX(Техника!$F$1:$ABM$500,F$2,0),Техника!$F$4:$ABM$4,"Часы",INDEX(Техника!$G$1:$ABN$500,F$2,0),$A$445,INDEX(Техника!$H$1:$ABO$500,F$2,0),"П")</f>
        <v>0</v>
      </c>
      <c r="G448" s="50">
        <f>SUMIFS(INDEX(Техника!$F$1:$ABM$500,G$2,0),Техника!$F$4:$ABM$4,"Часы",INDEX(Техника!$G$1:$ABN$500,G$2,0),$A$445,INDEX(Техника!$H$1:$ABO$500,G$2,0),"П")</f>
        <v>0</v>
      </c>
      <c r="H448" s="50">
        <f>SUMIFS(INDEX(Техника!$F$1:$ABM$500,H$2,0),Техника!$F$4:$ABM$4,"Часы",INDEX(Техника!$G$1:$ABN$500,H$2,0),$A$445,INDEX(Техника!$H$1:$ABO$500,H$2,0),"П")</f>
        <v>0</v>
      </c>
      <c r="I448" s="50">
        <f>SUMIFS(INDEX(Техника!$F$1:$ABM$500,I$2,0),Техника!$F$4:$ABM$4,"Часы",INDEX(Техника!$G$1:$ABN$500,I$2,0),$A$445,INDEX(Техника!$H$1:$ABO$500,I$2,0),"П")</f>
        <v>0</v>
      </c>
      <c r="J448" s="50">
        <f>SUMIFS(INDEX(Техника!$F$1:$ABM$500,J$2,0),Техника!$F$4:$ABM$4,"Часы",INDEX(Техника!$G$1:$ABN$500,J$2,0),$A$445,INDEX(Техника!$H$1:$ABO$500,J$2,0),"П")</f>
        <v>0</v>
      </c>
      <c r="K448" s="50">
        <f>SUMIFS(INDEX(Техника!$F$1:$ABM$500,K$2,0),Техника!$F$4:$ABM$4,"Часы",INDEX(Техника!$G$1:$ABN$500,K$2,0),$A$445,INDEX(Техника!$H$1:$ABO$500,K$2,0),"П")</f>
        <v>0</v>
      </c>
      <c r="L448" s="50">
        <f>SUMIFS(INDEX(Техника!$F$1:$ABM$500,L$2,0),Техника!$F$4:$ABM$4,"Часы",INDEX(Техника!$G$1:$ABN$500,L$2,0),$A$445,INDEX(Техника!$H$1:$ABO$500,L$2,0),"П")</f>
        <v>0</v>
      </c>
      <c r="M448" s="50">
        <f>SUMIFS(INDEX(Техника!$F$1:$ABM$500,M$2,0),Техника!$F$4:$ABM$4,"Часы",INDEX(Техника!$G$1:$ABN$500,M$2,0),$A$445,INDEX(Техника!$H$1:$ABO$500,M$2,0),"П")</f>
        <v>0</v>
      </c>
      <c r="N448" s="50">
        <f>SUMIFS(INDEX(Техника!$F$1:$ABM$500,N$2,0),Техника!$F$4:$ABM$4,"Часы",INDEX(Техника!$G$1:$ABN$500,N$2,0),$A$445,INDEX(Техника!$H$1:$ABO$500,N$2,0),"П")</f>
        <v>0</v>
      </c>
      <c r="O448" s="50">
        <f>SUMIFS(INDEX(Техника!$F$1:$ABM$500,O$2,0),Техника!$F$4:$ABM$4,"Часы",INDEX(Техника!$G$1:$ABN$500,O$2,0),$A$445,INDEX(Техника!$H$1:$ABO$500,O$2,0),"П")</f>
        <v>0</v>
      </c>
      <c r="P448" s="50">
        <f>SUMIFS(INDEX(Техника!$F$1:$ABM$500,P$2,0),Техника!$F$4:$ABM$4,"Часы",INDEX(Техника!$G$1:$ABN$500,P$2,0),$A$445,INDEX(Техника!$H$1:$ABO$500,P$2,0),"П")</f>
        <v>0</v>
      </c>
      <c r="Q448" s="50">
        <f>SUMIFS(INDEX(Техника!$F$1:$ABM$500,Q$2,0),Техника!$F$4:$ABM$4,"Часы",INDEX(Техника!$G$1:$ABN$500,Q$2,0),$A$445,INDEX(Техника!$H$1:$ABO$500,Q$2,0),"П")</f>
        <v>0</v>
      </c>
      <c r="R448" s="50">
        <f>SUMIFS(INDEX(Техника!$F$1:$ABM$500,R$2,0),Техника!$F$4:$ABM$4,"Часы",INDEX(Техника!$G$1:$ABN$500,R$2,0),$A$445,INDEX(Техника!$H$1:$ABO$500,R$2,0),"П")</f>
        <v>0</v>
      </c>
      <c r="S448" s="50">
        <f>SUMIFS(INDEX(Техника!$F$1:$ABM$500,S$2,0),Техника!$F$4:$ABM$4,"Часы",INDEX(Техника!$G$1:$ABN$500,S$2,0),$A$445,INDEX(Техника!$H$1:$ABO$500,S$2,0),"П")</f>
        <v>0</v>
      </c>
      <c r="T448" s="50">
        <f>SUMIFS(INDEX(Техника!$F$1:$ABM$500,T$2,0),Техника!$F$4:$ABM$4,"Часы",INDEX(Техника!$G$1:$ABN$500,T$2,0),$A$445,INDEX(Техника!$H$1:$ABO$500,T$2,0),"П")</f>
        <v>0</v>
      </c>
      <c r="U448" s="50">
        <f>SUMIFS(INDEX(Техника!$F$1:$ABM$500,U$2,0),Техника!$F$4:$ABM$4,"Часы",INDEX(Техника!$G$1:$ABN$500,U$2,0),$A$445,INDEX(Техника!$H$1:$ABO$500,U$2,0),"П")</f>
        <v>0</v>
      </c>
      <c r="V448" s="50">
        <f>SUMIFS(INDEX(Техника!$F$1:$ABM$500,V$2,0),Техника!$F$4:$ABM$4,"Часы",INDEX(Техника!$G$1:$ABN$500,V$2,0),$A$445,INDEX(Техника!$H$1:$ABO$500,V$2,0),"П")</f>
        <v>0</v>
      </c>
      <c r="W448" s="50">
        <f>SUMIFS(INDEX(Техника!$F$1:$ABM$500,W$2,0),Техника!$F$4:$ABM$4,"Часы",INDEX(Техника!$G$1:$ABN$500,W$2,0),$A$445,INDEX(Техника!$H$1:$ABO$500,W$2,0),"П")</f>
        <v>0</v>
      </c>
      <c r="X448" s="50">
        <f>SUMIFS(INDEX(Техника!$F$1:$ABM$500,X$2,0),Техника!$F$4:$ABM$4,"Часы",INDEX(Техника!$G$1:$ABN$500,X$2,0),$A$445,INDEX(Техника!$H$1:$ABO$500,X$2,0),"П")</f>
        <v>0</v>
      </c>
      <c r="Y448" s="50">
        <f>SUMIFS(INDEX(Техника!$F$1:$ABM$500,Y$2,0),Техника!$F$4:$ABM$4,"Часы",INDEX(Техника!$G$1:$ABN$500,Y$2,0),$A$445,INDEX(Техника!$H$1:$ABO$500,Y$2,0),"П")</f>
        <v>0</v>
      </c>
      <c r="Z448" s="50">
        <f>SUMIFS(INDEX(Техника!$F$1:$ABM$500,Z$2,0),Техника!$F$4:$ABM$4,"Часы",INDEX(Техника!$G$1:$ABN$500,Z$2,0),$A$445,INDEX(Техника!$H$1:$ABO$500,Z$2,0),"П")</f>
        <v>0</v>
      </c>
      <c r="AA448" s="50">
        <f>SUMIFS(INDEX(Техника!$F$1:$ABM$500,AA$2,0),Техника!$F$4:$ABM$4,"Часы",INDEX(Техника!$G$1:$ABN$500,AA$2,0),$A$445,INDEX(Техника!$H$1:$ABO$500,AA$2,0),"П")</f>
        <v>0</v>
      </c>
      <c r="AB448" s="50">
        <f>SUMIFS(INDEX(Техника!$F$1:$ABM$500,AB$2,0),Техника!$F$4:$ABM$4,"Часы",INDEX(Техника!$G$1:$ABN$500,AB$2,0),$A$445,INDEX(Техника!$H$1:$ABO$500,AB$2,0),"П")</f>
        <v>0</v>
      </c>
    </row>
    <row r="449" spans="1:28" hidden="1" outlineLevel="1" x14ac:dyDescent="0.3">
      <c r="A449" s="33" t="s">
        <v>243</v>
      </c>
      <c r="B449" s="34" t="s">
        <v>278</v>
      </c>
      <c r="C449" s="50">
        <f>SUMIFS(INDEX(Техника!$F$1:$ABM$500,C$2,0),Техника!$F$4:$ABM$4,"Часы",INDEX(Техника!$G$1:$ABN$500,C$2,0),$A$445,INDEX(Техника!$H$1:$ABO$500,C$2,0),"Л")</f>
        <v>0</v>
      </c>
      <c r="D449" s="50">
        <f>SUMIFS(INDEX(Техника!$F$1:$ABM$500,D$2,0),Техника!$F$4:$ABM$4,"Часы",INDEX(Техника!$G$1:$ABN$500,D$2,0),$A$445,INDEX(Техника!$H$1:$ABO$500,D$2,0),"Л")</f>
        <v>0</v>
      </c>
      <c r="E449" s="50">
        <f>SUMIFS(INDEX(Техника!$F$1:$ABM$500,E$2,0),Техника!$F$4:$ABM$4,"Часы",INDEX(Техника!$G$1:$ABN$500,E$2,0),$A$445,INDEX(Техника!$H$1:$ABO$500,E$2,0),"Л")</f>
        <v>0</v>
      </c>
      <c r="F449" s="50">
        <f>SUMIFS(INDEX(Техника!$F$1:$ABM$500,F$2,0),Техника!$F$4:$ABM$4,"Часы",INDEX(Техника!$G$1:$ABN$500,F$2,0),$A$445,INDEX(Техника!$H$1:$ABO$500,F$2,0),"Л")</f>
        <v>0</v>
      </c>
      <c r="G449" s="50">
        <f>SUMIFS(INDEX(Техника!$F$1:$ABM$500,G$2,0),Техника!$F$4:$ABM$4,"Часы",INDEX(Техника!$G$1:$ABN$500,G$2,0),$A$445,INDEX(Техника!$H$1:$ABO$500,G$2,0),"Л")</f>
        <v>0</v>
      </c>
      <c r="H449" s="50">
        <f>SUMIFS(INDEX(Техника!$F$1:$ABM$500,H$2,0),Техника!$F$4:$ABM$4,"Часы",INDEX(Техника!$G$1:$ABN$500,H$2,0),$A$445,INDEX(Техника!$H$1:$ABO$500,H$2,0),"Л")</f>
        <v>0</v>
      </c>
      <c r="I449" s="50">
        <f>SUMIFS(INDEX(Техника!$F$1:$ABM$500,I$2,0),Техника!$F$4:$ABM$4,"Часы",INDEX(Техника!$G$1:$ABN$500,I$2,0),$A$445,INDEX(Техника!$H$1:$ABO$500,I$2,0),"Л")</f>
        <v>0</v>
      </c>
      <c r="J449" s="50">
        <f>SUMIFS(INDEX(Техника!$F$1:$ABM$500,J$2,0),Техника!$F$4:$ABM$4,"Часы",INDEX(Техника!$G$1:$ABN$500,J$2,0),$A$445,INDEX(Техника!$H$1:$ABO$500,J$2,0),"Л")</f>
        <v>0</v>
      </c>
      <c r="K449" s="50">
        <f>SUMIFS(INDEX(Техника!$F$1:$ABM$500,K$2,0),Техника!$F$4:$ABM$4,"Часы",INDEX(Техника!$G$1:$ABN$500,K$2,0),$A$445,INDEX(Техника!$H$1:$ABO$500,K$2,0),"Л")</f>
        <v>0</v>
      </c>
      <c r="L449" s="50">
        <f>SUMIFS(INDEX(Техника!$F$1:$ABM$500,L$2,0),Техника!$F$4:$ABM$4,"Часы",INDEX(Техника!$G$1:$ABN$500,L$2,0),$A$445,INDEX(Техника!$H$1:$ABO$500,L$2,0),"Л")</f>
        <v>0</v>
      </c>
      <c r="M449" s="50">
        <f>SUMIFS(INDEX(Техника!$F$1:$ABM$500,M$2,0),Техника!$F$4:$ABM$4,"Часы",INDEX(Техника!$G$1:$ABN$500,M$2,0),$A$445,INDEX(Техника!$H$1:$ABO$500,M$2,0),"Л")</f>
        <v>0</v>
      </c>
      <c r="N449" s="50">
        <f>SUMIFS(INDEX(Техника!$F$1:$ABM$500,N$2,0),Техника!$F$4:$ABM$4,"Часы",INDEX(Техника!$G$1:$ABN$500,N$2,0),$A$445,INDEX(Техника!$H$1:$ABO$500,N$2,0),"Л")</f>
        <v>0</v>
      </c>
      <c r="O449" s="50">
        <f>SUMIFS(INDEX(Техника!$F$1:$ABM$500,O$2,0),Техника!$F$4:$ABM$4,"Часы",INDEX(Техника!$G$1:$ABN$500,O$2,0),$A$445,INDEX(Техника!$H$1:$ABO$500,O$2,0),"Л")</f>
        <v>0</v>
      </c>
      <c r="P449" s="50">
        <f>SUMIFS(INDEX(Техника!$F$1:$ABM$500,P$2,0),Техника!$F$4:$ABM$4,"Часы",INDEX(Техника!$G$1:$ABN$500,P$2,0),$A$445,INDEX(Техника!$H$1:$ABO$500,P$2,0),"Л")</f>
        <v>0</v>
      </c>
      <c r="Q449" s="50">
        <f>SUMIFS(INDEX(Техника!$F$1:$ABM$500,Q$2,0),Техника!$F$4:$ABM$4,"Часы",INDEX(Техника!$G$1:$ABN$500,Q$2,0),$A$445,INDEX(Техника!$H$1:$ABO$500,Q$2,0),"Л")</f>
        <v>0</v>
      </c>
      <c r="R449" s="50">
        <f>SUMIFS(INDEX(Техника!$F$1:$ABM$500,R$2,0),Техника!$F$4:$ABM$4,"Часы",INDEX(Техника!$G$1:$ABN$500,R$2,0),$A$445,INDEX(Техника!$H$1:$ABO$500,R$2,0),"Л")</f>
        <v>0</v>
      </c>
      <c r="S449" s="50">
        <f>SUMIFS(INDEX(Техника!$F$1:$ABM$500,S$2,0),Техника!$F$4:$ABM$4,"Часы",INDEX(Техника!$G$1:$ABN$500,S$2,0),$A$445,INDEX(Техника!$H$1:$ABO$500,S$2,0),"Л")</f>
        <v>0</v>
      </c>
      <c r="T449" s="50">
        <f>SUMIFS(INDEX(Техника!$F$1:$ABM$500,T$2,0),Техника!$F$4:$ABM$4,"Часы",INDEX(Техника!$G$1:$ABN$500,T$2,0),$A$445,INDEX(Техника!$H$1:$ABO$500,T$2,0),"Л")</f>
        <v>0</v>
      </c>
      <c r="U449" s="50">
        <f>SUMIFS(INDEX(Техника!$F$1:$ABM$500,U$2,0),Техника!$F$4:$ABM$4,"Часы",INDEX(Техника!$G$1:$ABN$500,U$2,0),$A$445,INDEX(Техника!$H$1:$ABO$500,U$2,0),"Л")</f>
        <v>0</v>
      </c>
      <c r="V449" s="50">
        <f>SUMIFS(INDEX(Техника!$F$1:$ABM$500,V$2,0),Техника!$F$4:$ABM$4,"Часы",INDEX(Техника!$G$1:$ABN$500,V$2,0),$A$445,INDEX(Техника!$H$1:$ABO$500,V$2,0),"Л")</f>
        <v>0</v>
      </c>
      <c r="W449" s="50">
        <f>SUMIFS(INDEX(Техника!$F$1:$ABM$500,W$2,0),Техника!$F$4:$ABM$4,"Часы",INDEX(Техника!$G$1:$ABN$500,W$2,0),$A$445,INDEX(Техника!$H$1:$ABO$500,W$2,0),"Л")</f>
        <v>0</v>
      </c>
      <c r="X449" s="50">
        <f>SUMIFS(INDEX(Техника!$F$1:$ABM$500,X$2,0),Техника!$F$4:$ABM$4,"Часы",INDEX(Техника!$G$1:$ABN$500,X$2,0),$A$445,INDEX(Техника!$H$1:$ABO$500,X$2,0),"Л")</f>
        <v>0</v>
      </c>
      <c r="Y449" s="50">
        <f>SUMIFS(INDEX(Техника!$F$1:$ABM$500,Y$2,0),Техника!$F$4:$ABM$4,"Часы",INDEX(Техника!$G$1:$ABN$500,Y$2,0),$A$445,INDEX(Техника!$H$1:$ABO$500,Y$2,0),"Л")</f>
        <v>0</v>
      </c>
      <c r="Z449" s="50">
        <f>SUMIFS(INDEX(Техника!$F$1:$ABM$500,Z$2,0),Техника!$F$4:$ABM$4,"Часы",INDEX(Техника!$G$1:$ABN$500,Z$2,0),$A$445,INDEX(Техника!$H$1:$ABO$500,Z$2,0),"Л")</f>
        <v>0</v>
      </c>
      <c r="AA449" s="50">
        <f>SUMIFS(INDEX(Техника!$F$1:$ABM$500,AA$2,0),Техника!$F$4:$ABM$4,"Часы",INDEX(Техника!$G$1:$ABN$500,AA$2,0),$A$445,INDEX(Техника!$H$1:$ABO$500,AA$2,0),"Л")</f>
        <v>0</v>
      </c>
      <c r="AB449" s="50">
        <f>SUMIFS(INDEX(Техника!$F$1:$ABM$500,AB$2,0),Техника!$F$4:$ABM$4,"Часы",INDEX(Техника!$G$1:$ABN$500,AB$2,0),$A$445,INDEX(Техника!$H$1:$ABO$500,AB$2,0),"Л")</f>
        <v>0</v>
      </c>
    </row>
    <row r="450" spans="1:28" hidden="1" outlineLevel="1" x14ac:dyDescent="0.3">
      <c r="A450" s="33" t="s">
        <v>245</v>
      </c>
      <c r="B450" s="34" t="s">
        <v>279</v>
      </c>
      <c r="C450" s="50">
        <f>SUMIFS(INDEX(Техника!$F$1:$ABM$500,C$2,0),Техника!$F$4:$ABM$4,"Часы",INDEX(Техника!$G$1:$ABN$500,C$2,0),$A$445,INDEX(Техника!$H$1:$ABO$500,C$2,0),"З")</f>
        <v>0</v>
      </c>
      <c r="D450" s="50">
        <f>SUMIFS(INDEX(Техника!$F$1:$ABM$500,D$2,0),Техника!$F$4:$ABM$4,"Часы",INDEX(Техника!$G$1:$ABN$500,D$2,0),$A$445,INDEX(Техника!$H$1:$ABO$500,D$2,0),"З")</f>
        <v>0</v>
      </c>
      <c r="E450" s="50">
        <f>SUMIFS(INDEX(Техника!$F$1:$ABM$500,E$2,0),Техника!$F$4:$ABM$4,"Часы",INDEX(Техника!$G$1:$ABN$500,E$2,0),$A$445,INDEX(Техника!$H$1:$ABO$500,E$2,0),"З")</f>
        <v>0</v>
      </c>
      <c r="F450" s="50">
        <f>SUMIFS(INDEX(Техника!$F$1:$ABM$500,F$2,0),Техника!$F$4:$ABM$4,"Часы",INDEX(Техника!$G$1:$ABN$500,F$2,0),$A$445,INDEX(Техника!$H$1:$ABO$500,F$2,0),"З")</f>
        <v>0</v>
      </c>
      <c r="G450" s="50">
        <f>SUMIFS(INDEX(Техника!$F$1:$ABM$500,G$2,0),Техника!$F$4:$ABM$4,"Часы",INDEX(Техника!$G$1:$ABN$500,G$2,0),$A$445,INDEX(Техника!$H$1:$ABO$500,G$2,0),"З")</f>
        <v>0</v>
      </c>
      <c r="H450" s="50">
        <f>SUMIFS(INDEX(Техника!$F$1:$ABM$500,H$2,0),Техника!$F$4:$ABM$4,"Часы",INDEX(Техника!$G$1:$ABN$500,H$2,0),$A$445,INDEX(Техника!$H$1:$ABO$500,H$2,0),"З")</f>
        <v>0</v>
      </c>
      <c r="I450" s="50">
        <f>SUMIFS(INDEX(Техника!$F$1:$ABM$500,I$2,0),Техника!$F$4:$ABM$4,"Часы",INDEX(Техника!$G$1:$ABN$500,I$2,0),$A$445,INDEX(Техника!$H$1:$ABO$500,I$2,0),"З")</f>
        <v>0</v>
      </c>
      <c r="J450" s="50">
        <f>SUMIFS(INDEX(Техника!$F$1:$ABM$500,J$2,0),Техника!$F$4:$ABM$4,"Часы",INDEX(Техника!$G$1:$ABN$500,J$2,0),$A$445,INDEX(Техника!$H$1:$ABO$500,J$2,0),"З")</f>
        <v>0</v>
      </c>
      <c r="K450" s="50">
        <f>SUMIFS(INDEX(Техника!$F$1:$ABM$500,K$2,0),Техника!$F$4:$ABM$4,"Часы",INDEX(Техника!$G$1:$ABN$500,K$2,0),$A$445,INDEX(Техника!$H$1:$ABO$500,K$2,0),"З")</f>
        <v>0</v>
      </c>
      <c r="L450" s="50">
        <f>SUMIFS(INDEX(Техника!$F$1:$ABM$500,L$2,0),Техника!$F$4:$ABM$4,"Часы",INDEX(Техника!$G$1:$ABN$500,L$2,0),$A$445,INDEX(Техника!$H$1:$ABO$500,L$2,0),"З")</f>
        <v>0</v>
      </c>
      <c r="M450" s="50">
        <f>SUMIFS(INDEX(Техника!$F$1:$ABM$500,M$2,0),Техника!$F$4:$ABM$4,"Часы",INDEX(Техника!$G$1:$ABN$500,M$2,0),$A$445,INDEX(Техника!$H$1:$ABO$500,M$2,0),"З")</f>
        <v>0</v>
      </c>
      <c r="N450" s="50">
        <f>SUMIFS(INDEX(Техника!$F$1:$ABM$500,N$2,0),Техника!$F$4:$ABM$4,"Часы",INDEX(Техника!$G$1:$ABN$500,N$2,0),$A$445,INDEX(Техника!$H$1:$ABO$500,N$2,0),"З")</f>
        <v>0</v>
      </c>
      <c r="O450" s="50">
        <f>SUMIFS(INDEX(Техника!$F$1:$ABM$500,O$2,0),Техника!$F$4:$ABM$4,"Часы",INDEX(Техника!$G$1:$ABN$500,O$2,0),$A$445,INDEX(Техника!$H$1:$ABO$500,O$2,0),"З")</f>
        <v>0</v>
      </c>
      <c r="P450" s="50">
        <f>SUMIFS(INDEX(Техника!$F$1:$ABM$500,P$2,0),Техника!$F$4:$ABM$4,"Часы",INDEX(Техника!$G$1:$ABN$500,P$2,0),$A$445,INDEX(Техника!$H$1:$ABO$500,P$2,0),"З")</f>
        <v>0</v>
      </c>
      <c r="Q450" s="50">
        <f>SUMIFS(INDEX(Техника!$F$1:$ABM$500,Q$2,0),Техника!$F$4:$ABM$4,"Часы",INDEX(Техника!$G$1:$ABN$500,Q$2,0),$A$445,INDEX(Техника!$H$1:$ABO$500,Q$2,0),"З")</f>
        <v>0</v>
      </c>
      <c r="R450" s="50">
        <f>SUMIFS(INDEX(Техника!$F$1:$ABM$500,R$2,0),Техника!$F$4:$ABM$4,"Часы",INDEX(Техника!$G$1:$ABN$500,R$2,0),$A$445,INDEX(Техника!$H$1:$ABO$500,R$2,0),"З")</f>
        <v>0</v>
      </c>
      <c r="S450" s="50">
        <f>SUMIFS(INDEX(Техника!$F$1:$ABM$500,S$2,0),Техника!$F$4:$ABM$4,"Часы",INDEX(Техника!$G$1:$ABN$500,S$2,0),$A$445,INDEX(Техника!$H$1:$ABO$500,S$2,0),"З")</f>
        <v>0</v>
      </c>
      <c r="T450" s="50">
        <f>SUMIFS(INDEX(Техника!$F$1:$ABM$500,T$2,0),Техника!$F$4:$ABM$4,"Часы",INDEX(Техника!$G$1:$ABN$500,T$2,0),$A$445,INDEX(Техника!$H$1:$ABO$500,T$2,0),"З")</f>
        <v>0</v>
      </c>
      <c r="U450" s="50">
        <f>SUMIFS(INDEX(Техника!$F$1:$ABM$500,U$2,0),Техника!$F$4:$ABM$4,"Часы",INDEX(Техника!$G$1:$ABN$500,U$2,0),$A$445,INDEX(Техника!$H$1:$ABO$500,U$2,0),"З")</f>
        <v>0</v>
      </c>
      <c r="V450" s="50">
        <f>SUMIFS(INDEX(Техника!$F$1:$ABM$500,V$2,0),Техника!$F$4:$ABM$4,"Часы",INDEX(Техника!$G$1:$ABN$500,V$2,0),$A$445,INDEX(Техника!$H$1:$ABO$500,V$2,0),"З")</f>
        <v>0</v>
      </c>
      <c r="W450" s="50">
        <f>SUMIFS(INDEX(Техника!$F$1:$ABM$500,W$2,0),Техника!$F$4:$ABM$4,"Часы",INDEX(Техника!$G$1:$ABN$500,W$2,0),$A$445,INDEX(Техника!$H$1:$ABO$500,W$2,0),"З")</f>
        <v>0</v>
      </c>
      <c r="X450" s="50">
        <f>SUMIFS(INDEX(Техника!$F$1:$ABM$500,X$2,0),Техника!$F$4:$ABM$4,"Часы",INDEX(Техника!$G$1:$ABN$500,X$2,0),$A$445,INDEX(Техника!$H$1:$ABO$500,X$2,0),"З")</f>
        <v>0</v>
      </c>
      <c r="Y450" s="50">
        <f>SUMIFS(INDEX(Техника!$F$1:$ABM$500,Y$2,0),Техника!$F$4:$ABM$4,"Часы",INDEX(Техника!$G$1:$ABN$500,Y$2,0),$A$445,INDEX(Техника!$H$1:$ABO$500,Y$2,0),"З")</f>
        <v>0</v>
      </c>
      <c r="Z450" s="50">
        <f>SUMIFS(INDEX(Техника!$F$1:$ABM$500,Z$2,0),Техника!$F$4:$ABM$4,"Часы",INDEX(Техника!$G$1:$ABN$500,Z$2,0),$A$445,INDEX(Техника!$H$1:$ABO$500,Z$2,0),"З")</f>
        <v>0</v>
      </c>
      <c r="AA450" s="50">
        <f>SUMIFS(INDEX(Техника!$F$1:$ABM$500,AA$2,0),Техника!$F$4:$ABM$4,"Часы",INDEX(Техника!$G$1:$ABN$500,AA$2,0),$A$445,INDEX(Техника!$H$1:$ABO$500,AA$2,0),"З")</f>
        <v>0</v>
      </c>
      <c r="AB450" s="50">
        <f>SUMIFS(INDEX(Техника!$F$1:$ABM$500,AB$2,0),Техника!$F$4:$ABM$4,"Часы",INDEX(Техника!$G$1:$ABN$500,AB$2,0),$A$445,INDEX(Техника!$H$1:$ABO$500,AB$2,0),"З")</f>
        <v>0</v>
      </c>
    </row>
    <row r="451" spans="1:28" ht="7.95" customHeight="1" x14ac:dyDescent="0.3">
      <c r="A451" s="38"/>
      <c r="B451" s="39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</row>
    <row r="452" spans="1:28" ht="25.05" customHeight="1" collapsed="1" x14ac:dyDescent="0.3">
      <c r="A452" s="32">
        <v>65</v>
      </c>
      <c r="B452" s="32" t="s">
        <v>66</v>
      </c>
      <c r="C452" s="49">
        <f>SUM(C453:C457)</f>
        <v>0</v>
      </c>
      <c r="D452" s="49">
        <f>SUM(D453:D457)</f>
        <v>0</v>
      </c>
      <c r="E452" s="49">
        <f>SUM(E453:E457)</f>
        <v>0</v>
      </c>
      <c r="F452" s="49">
        <f>SUM(F453:F457)</f>
        <v>0</v>
      </c>
      <c r="G452" s="49">
        <f>SUM(G453:G457)</f>
        <v>0</v>
      </c>
      <c r="H452" s="49">
        <f>SUM(H453:H457)</f>
        <v>0</v>
      </c>
      <c r="I452" s="49">
        <f>SUM(I453:I457)</f>
        <v>0</v>
      </c>
      <c r="J452" s="49">
        <f>SUM(J453:J457)</f>
        <v>0</v>
      </c>
      <c r="K452" s="49">
        <f>SUM(K453:K457)</f>
        <v>0</v>
      </c>
      <c r="L452" s="49">
        <f>SUM(L453:L457)</f>
        <v>0</v>
      </c>
      <c r="M452" s="49">
        <f>SUM(M453:M457)</f>
        <v>0</v>
      </c>
      <c r="N452" s="49">
        <f>SUM(N453:N457)</f>
        <v>0</v>
      </c>
      <c r="O452" s="49">
        <f>SUM(O453:O457)</f>
        <v>0</v>
      </c>
      <c r="P452" s="49">
        <f>SUM(P453:P457)</f>
        <v>0</v>
      </c>
      <c r="Q452" s="49">
        <f>SUM(Q453:Q457)</f>
        <v>0</v>
      </c>
      <c r="R452" s="49">
        <f>SUM(R453:R457)</f>
        <v>0</v>
      </c>
      <c r="S452" s="49">
        <f>SUM(S453:S457)</f>
        <v>0</v>
      </c>
      <c r="T452" s="49">
        <f>SUM(T453:T457)</f>
        <v>0</v>
      </c>
      <c r="U452" s="49">
        <f>SUM(U453:U457)</f>
        <v>0</v>
      </c>
      <c r="V452" s="49">
        <f>SUM(V453:V457)</f>
        <v>0</v>
      </c>
      <c r="W452" s="49">
        <f>SUM(W453:W457)</f>
        <v>0</v>
      </c>
      <c r="X452" s="49">
        <f>SUM(X453:X457)</f>
        <v>0</v>
      </c>
      <c r="Y452" s="49">
        <f>SUM(Y453:Y457)</f>
        <v>0</v>
      </c>
      <c r="Z452" s="49">
        <f>SUM(Z453:Z457)</f>
        <v>0</v>
      </c>
      <c r="AA452" s="49">
        <f>SUM(AA453:AA457)</f>
        <v>0</v>
      </c>
      <c r="AB452" s="49">
        <f>SUM(AB453:AB457)</f>
        <v>0</v>
      </c>
    </row>
    <row r="453" spans="1:28" hidden="1" outlineLevel="1" x14ac:dyDescent="0.3">
      <c r="A453" s="33" t="s">
        <v>246</v>
      </c>
      <c r="B453" s="34" t="s">
        <v>274</v>
      </c>
      <c r="C453" s="50">
        <f>SUMIFS(INDEX(Техника!$F$1:$ABM$500,C$2,0),Техника!$F$4:$ABM$4,"Часы",INDEX(Техника!$G$1:$ABN$500,C$2,0),$A$452,INDEX(Техника!$H$1:$ABO$500,C$2,0),"М")</f>
        <v>0</v>
      </c>
      <c r="D453" s="50">
        <f>SUMIFS(INDEX(Техника!$F$1:$ABM$500,D$2,0),Техника!$F$4:$ABM$4,"Часы",INDEX(Техника!$G$1:$ABN$500,D$2,0),$A$452,INDEX(Техника!$H$1:$ABO$500,D$2,0),"М")</f>
        <v>0</v>
      </c>
      <c r="E453" s="50">
        <f>SUMIFS(INDEX(Техника!$F$1:$ABM$500,E$2,0),Техника!$F$4:$ABM$4,"Часы",INDEX(Техника!$G$1:$ABN$500,E$2,0),$A$452,INDEX(Техника!$H$1:$ABO$500,E$2,0),"М")</f>
        <v>0</v>
      </c>
      <c r="F453" s="50">
        <f>SUMIFS(INDEX(Техника!$F$1:$ABM$500,F$2,0),Техника!$F$4:$ABM$4,"Часы",INDEX(Техника!$G$1:$ABN$500,F$2,0),$A$452,INDEX(Техника!$H$1:$ABO$500,F$2,0),"М")</f>
        <v>0</v>
      </c>
      <c r="G453" s="50">
        <f>SUMIFS(INDEX(Техника!$F$1:$ABM$500,G$2,0),Техника!$F$4:$ABM$4,"Часы",INDEX(Техника!$G$1:$ABN$500,G$2,0),$A$452,INDEX(Техника!$H$1:$ABO$500,G$2,0),"М")</f>
        <v>0</v>
      </c>
      <c r="H453" s="50">
        <f>SUMIFS(INDEX(Техника!$F$1:$ABM$500,H$2,0),Техника!$F$4:$ABM$4,"Часы",INDEX(Техника!$G$1:$ABN$500,H$2,0),$A$452,INDEX(Техника!$H$1:$ABO$500,H$2,0),"М")</f>
        <v>0</v>
      </c>
      <c r="I453" s="50">
        <f>SUMIFS(INDEX(Техника!$F$1:$ABM$500,I$2,0),Техника!$F$4:$ABM$4,"Часы",INDEX(Техника!$G$1:$ABN$500,I$2,0),$A$452,INDEX(Техника!$H$1:$ABO$500,I$2,0),"М")</f>
        <v>0</v>
      </c>
      <c r="J453" s="50">
        <f>SUMIFS(INDEX(Техника!$F$1:$ABM$500,J$2,0),Техника!$F$4:$ABM$4,"Часы",INDEX(Техника!$G$1:$ABN$500,J$2,0),$A$452,INDEX(Техника!$H$1:$ABO$500,J$2,0),"М")</f>
        <v>0</v>
      </c>
      <c r="K453" s="50">
        <f>SUMIFS(INDEX(Техника!$F$1:$ABM$500,K$2,0),Техника!$F$4:$ABM$4,"Часы",INDEX(Техника!$G$1:$ABN$500,K$2,0),$A$452,INDEX(Техника!$H$1:$ABO$500,K$2,0),"М")</f>
        <v>0</v>
      </c>
      <c r="L453" s="50">
        <f>SUMIFS(INDEX(Техника!$F$1:$ABM$500,L$2,0),Техника!$F$4:$ABM$4,"Часы",INDEX(Техника!$G$1:$ABN$500,L$2,0),$A$452,INDEX(Техника!$H$1:$ABO$500,L$2,0),"М")</f>
        <v>0</v>
      </c>
      <c r="M453" s="50">
        <f>SUMIFS(INDEX(Техника!$F$1:$ABM$500,M$2,0),Техника!$F$4:$ABM$4,"Часы",INDEX(Техника!$G$1:$ABN$500,M$2,0),$A$452,INDEX(Техника!$H$1:$ABO$500,M$2,0),"М")</f>
        <v>0</v>
      </c>
      <c r="N453" s="50">
        <f>SUMIFS(INDEX(Техника!$F$1:$ABM$500,N$2,0),Техника!$F$4:$ABM$4,"Часы",INDEX(Техника!$G$1:$ABN$500,N$2,0),$A$452,INDEX(Техника!$H$1:$ABO$500,N$2,0),"М")</f>
        <v>0</v>
      </c>
      <c r="O453" s="50">
        <f>SUMIFS(INDEX(Техника!$F$1:$ABM$500,O$2,0),Техника!$F$4:$ABM$4,"Часы",INDEX(Техника!$G$1:$ABN$500,O$2,0),$A$452,INDEX(Техника!$H$1:$ABO$500,O$2,0),"М")</f>
        <v>0</v>
      </c>
      <c r="P453" s="50">
        <f>SUMIFS(INDEX(Техника!$F$1:$ABM$500,P$2,0),Техника!$F$4:$ABM$4,"Часы",INDEX(Техника!$G$1:$ABN$500,P$2,0),$A$452,INDEX(Техника!$H$1:$ABO$500,P$2,0),"М")</f>
        <v>0</v>
      </c>
      <c r="Q453" s="50">
        <f>SUMIFS(INDEX(Техника!$F$1:$ABM$500,Q$2,0),Техника!$F$4:$ABM$4,"Часы",INDEX(Техника!$G$1:$ABN$500,Q$2,0),$A$452,INDEX(Техника!$H$1:$ABO$500,Q$2,0),"М")</f>
        <v>0</v>
      </c>
      <c r="R453" s="50">
        <f>SUMIFS(INDEX(Техника!$F$1:$ABM$500,R$2,0),Техника!$F$4:$ABM$4,"Часы",INDEX(Техника!$G$1:$ABN$500,R$2,0),$A$452,INDEX(Техника!$H$1:$ABO$500,R$2,0),"М")</f>
        <v>0</v>
      </c>
      <c r="S453" s="50">
        <f>SUMIFS(INDEX(Техника!$F$1:$ABM$500,S$2,0),Техника!$F$4:$ABM$4,"Часы",INDEX(Техника!$G$1:$ABN$500,S$2,0),$A$452,INDEX(Техника!$H$1:$ABO$500,S$2,0),"М")</f>
        <v>0</v>
      </c>
      <c r="T453" s="50">
        <f>SUMIFS(INDEX(Техника!$F$1:$ABM$500,T$2,0),Техника!$F$4:$ABM$4,"Часы",INDEX(Техника!$G$1:$ABN$500,T$2,0),$A$452,INDEX(Техника!$H$1:$ABO$500,T$2,0),"М")</f>
        <v>0</v>
      </c>
      <c r="U453" s="50">
        <f>SUMIFS(INDEX(Техника!$F$1:$ABM$500,U$2,0),Техника!$F$4:$ABM$4,"Часы",INDEX(Техника!$G$1:$ABN$500,U$2,0),$A$452,INDEX(Техника!$H$1:$ABO$500,U$2,0),"М")</f>
        <v>0</v>
      </c>
      <c r="V453" s="50">
        <f>SUMIFS(INDEX(Техника!$F$1:$ABM$500,V$2,0),Техника!$F$4:$ABM$4,"Часы",INDEX(Техника!$G$1:$ABN$500,V$2,0),$A$452,INDEX(Техника!$H$1:$ABO$500,V$2,0),"М")</f>
        <v>0</v>
      </c>
      <c r="W453" s="50">
        <f>SUMIFS(INDEX(Техника!$F$1:$ABM$500,W$2,0),Техника!$F$4:$ABM$4,"Часы",INDEX(Техника!$G$1:$ABN$500,W$2,0),$A$452,INDEX(Техника!$H$1:$ABO$500,W$2,0),"М")</f>
        <v>0</v>
      </c>
      <c r="X453" s="50">
        <f>SUMIFS(INDEX(Техника!$F$1:$ABM$500,X$2,0),Техника!$F$4:$ABM$4,"Часы",INDEX(Техника!$G$1:$ABN$500,X$2,0),$A$452,INDEX(Техника!$H$1:$ABO$500,X$2,0),"М")</f>
        <v>0</v>
      </c>
      <c r="Y453" s="50">
        <f>SUMIFS(INDEX(Техника!$F$1:$ABM$500,Y$2,0),Техника!$F$4:$ABM$4,"Часы",INDEX(Техника!$G$1:$ABN$500,Y$2,0),$A$452,INDEX(Техника!$H$1:$ABO$500,Y$2,0),"М")</f>
        <v>0</v>
      </c>
      <c r="Z453" s="50">
        <f>SUMIFS(INDEX(Техника!$F$1:$ABM$500,Z$2,0),Техника!$F$4:$ABM$4,"Часы",INDEX(Техника!$G$1:$ABN$500,Z$2,0),$A$452,INDEX(Техника!$H$1:$ABO$500,Z$2,0),"М")</f>
        <v>0</v>
      </c>
      <c r="AA453" s="50">
        <f>SUMIFS(INDEX(Техника!$F$1:$ABM$500,AA$2,0),Техника!$F$4:$ABM$4,"Часы",INDEX(Техника!$G$1:$ABN$500,AA$2,0),$A$452,INDEX(Техника!$H$1:$ABO$500,AA$2,0),"М")</f>
        <v>0</v>
      </c>
      <c r="AB453" s="50">
        <f>SUMIFS(INDEX(Техника!$F$1:$ABM$500,AB$2,0),Техника!$F$4:$ABM$4,"Часы",INDEX(Техника!$G$1:$ABN$500,AB$2,0),$A$452,INDEX(Техника!$H$1:$ABO$500,AB$2,0),"М")</f>
        <v>0</v>
      </c>
    </row>
    <row r="454" spans="1:28" hidden="1" outlineLevel="1" x14ac:dyDescent="0.3">
      <c r="A454" s="33" t="s">
        <v>244</v>
      </c>
      <c r="B454" s="34" t="s">
        <v>275</v>
      </c>
      <c r="C454" s="50">
        <f>SUMIFS(INDEX(Техника!$F$1:$ABM$500,C$2,0),Техника!$F$4:$ABM$4,"Часы",INDEX(Техника!$G$1:$ABN$500,C$2,0),$A$452,INDEX(Техника!$H$1:$ABO$500,C$2,0),"Д")</f>
        <v>0</v>
      </c>
      <c r="D454" s="50">
        <f>SUMIFS(INDEX(Техника!$F$1:$ABM$500,D$2,0),Техника!$F$4:$ABM$4,"Часы",INDEX(Техника!$G$1:$ABN$500,D$2,0),$A$452,INDEX(Техника!$H$1:$ABO$500,D$2,0),"Д")</f>
        <v>0</v>
      </c>
      <c r="E454" s="50">
        <f>SUMIFS(INDEX(Техника!$F$1:$ABM$500,E$2,0),Техника!$F$4:$ABM$4,"Часы",INDEX(Техника!$G$1:$ABN$500,E$2,0),$A$452,INDEX(Техника!$H$1:$ABO$500,E$2,0),"Д")</f>
        <v>0</v>
      </c>
      <c r="F454" s="50">
        <f>SUMIFS(INDEX(Техника!$F$1:$ABM$500,F$2,0),Техника!$F$4:$ABM$4,"Часы",INDEX(Техника!$G$1:$ABN$500,F$2,0),$A$452,INDEX(Техника!$H$1:$ABO$500,F$2,0),"Д")</f>
        <v>0</v>
      </c>
      <c r="G454" s="50">
        <f>SUMIFS(INDEX(Техника!$F$1:$ABM$500,G$2,0),Техника!$F$4:$ABM$4,"Часы",INDEX(Техника!$G$1:$ABN$500,G$2,0),$A$452,INDEX(Техника!$H$1:$ABO$500,G$2,0),"Д")</f>
        <v>0</v>
      </c>
      <c r="H454" s="50">
        <f>SUMIFS(INDEX(Техника!$F$1:$ABM$500,H$2,0),Техника!$F$4:$ABM$4,"Часы",INDEX(Техника!$G$1:$ABN$500,H$2,0),$A$452,INDEX(Техника!$H$1:$ABO$500,H$2,0),"Д")</f>
        <v>0</v>
      </c>
      <c r="I454" s="50">
        <f>SUMIFS(INDEX(Техника!$F$1:$ABM$500,I$2,0),Техника!$F$4:$ABM$4,"Часы",INDEX(Техника!$G$1:$ABN$500,I$2,0),$A$452,INDEX(Техника!$H$1:$ABO$500,I$2,0),"Д")</f>
        <v>0</v>
      </c>
      <c r="J454" s="50">
        <f>SUMIFS(INDEX(Техника!$F$1:$ABM$500,J$2,0),Техника!$F$4:$ABM$4,"Часы",INDEX(Техника!$G$1:$ABN$500,J$2,0),$A$452,INDEX(Техника!$H$1:$ABO$500,J$2,0),"Д")</f>
        <v>0</v>
      </c>
      <c r="K454" s="50">
        <f>SUMIFS(INDEX(Техника!$F$1:$ABM$500,K$2,0),Техника!$F$4:$ABM$4,"Часы",INDEX(Техника!$G$1:$ABN$500,K$2,0),$A$452,INDEX(Техника!$H$1:$ABO$500,K$2,0),"Д")</f>
        <v>0</v>
      </c>
      <c r="L454" s="50">
        <f>SUMIFS(INDEX(Техника!$F$1:$ABM$500,L$2,0),Техника!$F$4:$ABM$4,"Часы",INDEX(Техника!$G$1:$ABN$500,L$2,0),$A$452,INDEX(Техника!$H$1:$ABO$500,L$2,0),"Д")</f>
        <v>0</v>
      </c>
      <c r="M454" s="50">
        <f>SUMIFS(INDEX(Техника!$F$1:$ABM$500,M$2,0),Техника!$F$4:$ABM$4,"Часы",INDEX(Техника!$G$1:$ABN$500,M$2,0),$A$452,INDEX(Техника!$H$1:$ABO$500,M$2,0),"Д")</f>
        <v>0</v>
      </c>
      <c r="N454" s="50">
        <f>SUMIFS(INDEX(Техника!$F$1:$ABM$500,N$2,0),Техника!$F$4:$ABM$4,"Часы",INDEX(Техника!$G$1:$ABN$500,N$2,0),$A$452,INDEX(Техника!$H$1:$ABO$500,N$2,0),"Д")</f>
        <v>0</v>
      </c>
      <c r="O454" s="50">
        <f>SUMIFS(INDEX(Техника!$F$1:$ABM$500,O$2,0),Техника!$F$4:$ABM$4,"Часы",INDEX(Техника!$G$1:$ABN$500,O$2,0),$A$452,INDEX(Техника!$H$1:$ABO$500,O$2,0),"Д")</f>
        <v>0</v>
      </c>
      <c r="P454" s="50">
        <f>SUMIFS(INDEX(Техника!$F$1:$ABM$500,P$2,0),Техника!$F$4:$ABM$4,"Часы",INDEX(Техника!$G$1:$ABN$500,P$2,0),$A$452,INDEX(Техника!$H$1:$ABO$500,P$2,0),"Д")</f>
        <v>0</v>
      </c>
      <c r="Q454" s="50">
        <f>SUMIFS(INDEX(Техника!$F$1:$ABM$500,Q$2,0),Техника!$F$4:$ABM$4,"Часы",INDEX(Техника!$G$1:$ABN$500,Q$2,0),$A$452,INDEX(Техника!$H$1:$ABO$500,Q$2,0),"Д")</f>
        <v>0</v>
      </c>
      <c r="R454" s="50">
        <f>SUMIFS(INDEX(Техника!$F$1:$ABM$500,R$2,0),Техника!$F$4:$ABM$4,"Часы",INDEX(Техника!$G$1:$ABN$500,R$2,0),$A$452,INDEX(Техника!$H$1:$ABO$500,R$2,0),"Д")</f>
        <v>0</v>
      </c>
      <c r="S454" s="50">
        <f>SUMIFS(INDEX(Техника!$F$1:$ABM$500,S$2,0),Техника!$F$4:$ABM$4,"Часы",INDEX(Техника!$G$1:$ABN$500,S$2,0),$A$452,INDEX(Техника!$H$1:$ABO$500,S$2,0),"Д")</f>
        <v>0</v>
      </c>
      <c r="T454" s="50">
        <f>SUMIFS(INDEX(Техника!$F$1:$ABM$500,T$2,0),Техника!$F$4:$ABM$4,"Часы",INDEX(Техника!$G$1:$ABN$500,T$2,0),$A$452,INDEX(Техника!$H$1:$ABO$500,T$2,0),"Д")</f>
        <v>0</v>
      </c>
      <c r="U454" s="50">
        <f>SUMIFS(INDEX(Техника!$F$1:$ABM$500,U$2,0),Техника!$F$4:$ABM$4,"Часы",INDEX(Техника!$G$1:$ABN$500,U$2,0),$A$452,INDEX(Техника!$H$1:$ABO$500,U$2,0),"Д")</f>
        <v>0</v>
      </c>
      <c r="V454" s="50">
        <f>SUMIFS(INDEX(Техника!$F$1:$ABM$500,V$2,0),Техника!$F$4:$ABM$4,"Часы",INDEX(Техника!$G$1:$ABN$500,V$2,0),$A$452,INDEX(Техника!$H$1:$ABO$500,V$2,0),"Д")</f>
        <v>0</v>
      </c>
      <c r="W454" s="50">
        <f>SUMIFS(INDEX(Техника!$F$1:$ABM$500,W$2,0),Техника!$F$4:$ABM$4,"Часы",INDEX(Техника!$G$1:$ABN$500,W$2,0),$A$452,INDEX(Техника!$H$1:$ABO$500,W$2,0),"Д")</f>
        <v>0</v>
      </c>
      <c r="X454" s="50">
        <f>SUMIFS(INDEX(Техника!$F$1:$ABM$500,X$2,0),Техника!$F$4:$ABM$4,"Часы",INDEX(Техника!$G$1:$ABN$500,X$2,0),$A$452,INDEX(Техника!$H$1:$ABO$500,X$2,0),"Д")</f>
        <v>0</v>
      </c>
      <c r="Y454" s="50">
        <f>SUMIFS(INDEX(Техника!$F$1:$ABM$500,Y$2,0),Техника!$F$4:$ABM$4,"Часы",INDEX(Техника!$G$1:$ABN$500,Y$2,0),$A$452,INDEX(Техника!$H$1:$ABO$500,Y$2,0),"Д")</f>
        <v>0</v>
      </c>
      <c r="Z454" s="50">
        <f>SUMIFS(INDEX(Техника!$F$1:$ABM$500,Z$2,0),Техника!$F$4:$ABM$4,"Часы",INDEX(Техника!$G$1:$ABN$500,Z$2,0),$A$452,INDEX(Техника!$H$1:$ABO$500,Z$2,0),"Д")</f>
        <v>0</v>
      </c>
      <c r="AA454" s="50">
        <f>SUMIFS(INDEX(Техника!$F$1:$ABM$500,AA$2,0),Техника!$F$4:$ABM$4,"Часы",INDEX(Техника!$G$1:$ABN$500,AA$2,0),$A$452,INDEX(Техника!$H$1:$ABO$500,AA$2,0),"Д")</f>
        <v>0</v>
      </c>
      <c r="AB454" s="50">
        <f>SUMIFS(INDEX(Техника!$F$1:$ABM$500,AB$2,0),Техника!$F$4:$ABM$4,"Часы",INDEX(Техника!$G$1:$ABN$500,AB$2,0),$A$452,INDEX(Техника!$H$1:$ABO$500,AB$2,0),"Д")</f>
        <v>0</v>
      </c>
    </row>
    <row r="455" spans="1:28" hidden="1" outlineLevel="1" x14ac:dyDescent="0.3">
      <c r="A455" s="33" t="s">
        <v>276</v>
      </c>
      <c r="B455" s="34" t="s">
        <v>277</v>
      </c>
      <c r="C455" s="50">
        <f>SUMIFS(INDEX(Техника!$F$1:$ABM$500,C$2,0),Техника!$F$4:$ABM$4,"Часы",INDEX(Техника!$G$1:$ABN$500,C$2,0),$A$452,INDEX(Техника!$H$1:$ABO$500,C$2,0),"П")</f>
        <v>0</v>
      </c>
      <c r="D455" s="50">
        <f>SUMIFS(INDEX(Техника!$F$1:$ABM$500,D$2,0),Техника!$F$4:$ABM$4,"Часы",INDEX(Техника!$G$1:$ABN$500,D$2,0),$A$452,INDEX(Техника!$H$1:$ABO$500,D$2,0),"П")</f>
        <v>0</v>
      </c>
      <c r="E455" s="50">
        <f>SUMIFS(INDEX(Техника!$F$1:$ABM$500,E$2,0),Техника!$F$4:$ABM$4,"Часы",INDEX(Техника!$G$1:$ABN$500,E$2,0),$A$452,INDEX(Техника!$H$1:$ABO$500,E$2,0),"П")</f>
        <v>0</v>
      </c>
      <c r="F455" s="50">
        <f>SUMIFS(INDEX(Техника!$F$1:$ABM$500,F$2,0),Техника!$F$4:$ABM$4,"Часы",INDEX(Техника!$G$1:$ABN$500,F$2,0),$A$452,INDEX(Техника!$H$1:$ABO$500,F$2,0),"П")</f>
        <v>0</v>
      </c>
      <c r="G455" s="50">
        <f>SUMIFS(INDEX(Техника!$F$1:$ABM$500,G$2,0),Техника!$F$4:$ABM$4,"Часы",INDEX(Техника!$G$1:$ABN$500,G$2,0),$A$452,INDEX(Техника!$H$1:$ABO$500,G$2,0),"П")</f>
        <v>0</v>
      </c>
      <c r="H455" s="50">
        <f>SUMIFS(INDEX(Техника!$F$1:$ABM$500,H$2,0),Техника!$F$4:$ABM$4,"Часы",INDEX(Техника!$G$1:$ABN$500,H$2,0),$A$452,INDEX(Техника!$H$1:$ABO$500,H$2,0),"П")</f>
        <v>0</v>
      </c>
      <c r="I455" s="50">
        <f>SUMIFS(INDEX(Техника!$F$1:$ABM$500,I$2,0),Техника!$F$4:$ABM$4,"Часы",INDEX(Техника!$G$1:$ABN$500,I$2,0),$A$452,INDEX(Техника!$H$1:$ABO$500,I$2,0),"П")</f>
        <v>0</v>
      </c>
      <c r="J455" s="50">
        <f>SUMIFS(INDEX(Техника!$F$1:$ABM$500,J$2,0),Техника!$F$4:$ABM$4,"Часы",INDEX(Техника!$G$1:$ABN$500,J$2,0),$A$452,INDEX(Техника!$H$1:$ABO$500,J$2,0),"П")</f>
        <v>0</v>
      </c>
      <c r="K455" s="50">
        <f>SUMIFS(INDEX(Техника!$F$1:$ABM$500,K$2,0),Техника!$F$4:$ABM$4,"Часы",INDEX(Техника!$G$1:$ABN$500,K$2,0),$A$452,INDEX(Техника!$H$1:$ABO$500,K$2,0),"П")</f>
        <v>0</v>
      </c>
      <c r="L455" s="50">
        <f>SUMIFS(INDEX(Техника!$F$1:$ABM$500,L$2,0),Техника!$F$4:$ABM$4,"Часы",INDEX(Техника!$G$1:$ABN$500,L$2,0),$A$452,INDEX(Техника!$H$1:$ABO$500,L$2,0),"П")</f>
        <v>0</v>
      </c>
      <c r="M455" s="50">
        <f>SUMIFS(INDEX(Техника!$F$1:$ABM$500,M$2,0),Техника!$F$4:$ABM$4,"Часы",INDEX(Техника!$G$1:$ABN$500,M$2,0),$A$452,INDEX(Техника!$H$1:$ABO$500,M$2,0),"П")</f>
        <v>0</v>
      </c>
      <c r="N455" s="50">
        <f>SUMIFS(INDEX(Техника!$F$1:$ABM$500,N$2,0),Техника!$F$4:$ABM$4,"Часы",INDEX(Техника!$G$1:$ABN$500,N$2,0),$A$452,INDEX(Техника!$H$1:$ABO$500,N$2,0),"П")</f>
        <v>0</v>
      </c>
      <c r="O455" s="50">
        <f>SUMIFS(INDEX(Техника!$F$1:$ABM$500,O$2,0),Техника!$F$4:$ABM$4,"Часы",INDEX(Техника!$G$1:$ABN$500,O$2,0),$A$452,INDEX(Техника!$H$1:$ABO$500,O$2,0),"П")</f>
        <v>0</v>
      </c>
      <c r="P455" s="50">
        <f>SUMIFS(INDEX(Техника!$F$1:$ABM$500,P$2,0),Техника!$F$4:$ABM$4,"Часы",INDEX(Техника!$G$1:$ABN$500,P$2,0),$A$452,INDEX(Техника!$H$1:$ABO$500,P$2,0),"П")</f>
        <v>0</v>
      </c>
      <c r="Q455" s="50">
        <f>SUMIFS(INDEX(Техника!$F$1:$ABM$500,Q$2,0),Техника!$F$4:$ABM$4,"Часы",INDEX(Техника!$G$1:$ABN$500,Q$2,0),$A$452,INDEX(Техника!$H$1:$ABO$500,Q$2,0),"П")</f>
        <v>0</v>
      </c>
      <c r="R455" s="50">
        <f>SUMIFS(INDEX(Техника!$F$1:$ABM$500,R$2,0),Техника!$F$4:$ABM$4,"Часы",INDEX(Техника!$G$1:$ABN$500,R$2,0),$A$452,INDEX(Техника!$H$1:$ABO$500,R$2,0),"П")</f>
        <v>0</v>
      </c>
      <c r="S455" s="50">
        <f>SUMIFS(INDEX(Техника!$F$1:$ABM$500,S$2,0),Техника!$F$4:$ABM$4,"Часы",INDEX(Техника!$G$1:$ABN$500,S$2,0),$A$452,INDEX(Техника!$H$1:$ABO$500,S$2,0),"П")</f>
        <v>0</v>
      </c>
      <c r="T455" s="50">
        <f>SUMIFS(INDEX(Техника!$F$1:$ABM$500,T$2,0),Техника!$F$4:$ABM$4,"Часы",INDEX(Техника!$G$1:$ABN$500,T$2,0),$A$452,INDEX(Техника!$H$1:$ABO$500,T$2,0),"П")</f>
        <v>0</v>
      </c>
      <c r="U455" s="50">
        <f>SUMIFS(INDEX(Техника!$F$1:$ABM$500,U$2,0),Техника!$F$4:$ABM$4,"Часы",INDEX(Техника!$G$1:$ABN$500,U$2,0),$A$452,INDEX(Техника!$H$1:$ABO$500,U$2,0),"П")</f>
        <v>0</v>
      </c>
      <c r="V455" s="50">
        <f>SUMIFS(INDEX(Техника!$F$1:$ABM$500,V$2,0),Техника!$F$4:$ABM$4,"Часы",INDEX(Техника!$G$1:$ABN$500,V$2,0),$A$452,INDEX(Техника!$H$1:$ABO$500,V$2,0),"П")</f>
        <v>0</v>
      </c>
      <c r="W455" s="50">
        <f>SUMIFS(INDEX(Техника!$F$1:$ABM$500,W$2,0),Техника!$F$4:$ABM$4,"Часы",INDEX(Техника!$G$1:$ABN$500,W$2,0),$A$452,INDEX(Техника!$H$1:$ABO$500,W$2,0),"П")</f>
        <v>0</v>
      </c>
      <c r="X455" s="50">
        <f>SUMIFS(INDEX(Техника!$F$1:$ABM$500,X$2,0),Техника!$F$4:$ABM$4,"Часы",INDEX(Техника!$G$1:$ABN$500,X$2,0),$A$452,INDEX(Техника!$H$1:$ABO$500,X$2,0),"П")</f>
        <v>0</v>
      </c>
      <c r="Y455" s="50">
        <f>SUMIFS(INDEX(Техника!$F$1:$ABM$500,Y$2,0),Техника!$F$4:$ABM$4,"Часы",INDEX(Техника!$G$1:$ABN$500,Y$2,0),$A$452,INDEX(Техника!$H$1:$ABO$500,Y$2,0),"П")</f>
        <v>0</v>
      </c>
      <c r="Z455" s="50">
        <f>SUMIFS(INDEX(Техника!$F$1:$ABM$500,Z$2,0),Техника!$F$4:$ABM$4,"Часы",INDEX(Техника!$G$1:$ABN$500,Z$2,0),$A$452,INDEX(Техника!$H$1:$ABO$500,Z$2,0),"П")</f>
        <v>0</v>
      </c>
      <c r="AA455" s="50">
        <f>SUMIFS(INDEX(Техника!$F$1:$ABM$500,AA$2,0),Техника!$F$4:$ABM$4,"Часы",INDEX(Техника!$G$1:$ABN$500,AA$2,0),$A$452,INDEX(Техника!$H$1:$ABO$500,AA$2,0),"П")</f>
        <v>0</v>
      </c>
      <c r="AB455" s="50">
        <f>SUMIFS(INDEX(Техника!$F$1:$ABM$500,AB$2,0),Техника!$F$4:$ABM$4,"Часы",INDEX(Техника!$G$1:$ABN$500,AB$2,0),$A$452,INDEX(Техника!$H$1:$ABO$500,AB$2,0),"П")</f>
        <v>0</v>
      </c>
    </row>
    <row r="456" spans="1:28" hidden="1" outlineLevel="1" x14ac:dyDescent="0.3">
      <c r="A456" s="33" t="s">
        <v>243</v>
      </c>
      <c r="B456" s="34" t="s">
        <v>278</v>
      </c>
      <c r="C456" s="50">
        <f>SUMIFS(INDEX(Техника!$F$1:$ABM$500,C$2,0),Техника!$F$4:$ABM$4,"Часы",INDEX(Техника!$G$1:$ABN$500,C$2,0),$A$452,INDEX(Техника!$H$1:$ABO$500,C$2,0),"Л")</f>
        <v>0</v>
      </c>
      <c r="D456" s="50">
        <f>SUMIFS(INDEX(Техника!$F$1:$ABM$500,D$2,0),Техника!$F$4:$ABM$4,"Часы",INDEX(Техника!$G$1:$ABN$500,D$2,0),$A$452,INDEX(Техника!$H$1:$ABO$500,D$2,0),"Л")</f>
        <v>0</v>
      </c>
      <c r="E456" s="50">
        <f>SUMIFS(INDEX(Техника!$F$1:$ABM$500,E$2,0),Техника!$F$4:$ABM$4,"Часы",INDEX(Техника!$G$1:$ABN$500,E$2,0),$A$452,INDEX(Техника!$H$1:$ABO$500,E$2,0),"Л")</f>
        <v>0</v>
      </c>
      <c r="F456" s="50">
        <f>SUMIFS(INDEX(Техника!$F$1:$ABM$500,F$2,0),Техника!$F$4:$ABM$4,"Часы",INDEX(Техника!$G$1:$ABN$500,F$2,0),$A$452,INDEX(Техника!$H$1:$ABO$500,F$2,0),"Л")</f>
        <v>0</v>
      </c>
      <c r="G456" s="50">
        <f>SUMIFS(INDEX(Техника!$F$1:$ABM$500,G$2,0),Техника!$F$4:$ABM$4,"Часы",INDEX(Техника!$G$1:$ABN$500,G$2,0),$A$452,INDEX(Техника!$H$1:$ABO$500,G$2,0),"Л")</f>
        <v>0</v>
      </c>
      <c r="H456" s="50">
        <f>SUMIFS(INDEX(Техника!$F$1:$ABM$500,H$2,0),Техника!$F$4:$ABM$4,"Часы",INDEX(Техника!$G$1:$ABN$500,H$2,0),$A$452,INDEX(Техника!$H$1:$ABO$500,H$2,0),"Л")</f>
        <v>0</v>
      </c>
      <c r="I456" s="50">
        <f>SUMIFS(INDEX(Техника!$F$1:$ABM$500,I$2,0),Техника!$F$4:$ABM$4,"Часы",INDEX(Техника!$G$1:$ABN$500,I$2,0),$A$452,INDEX(Техника!$H$1:$ABO$500,I$2,0),"Л")</f>
        <v>0</v>
      </c>
      <c r="J456" s="50">
        <f>SUMIFS(INDEX(Техника!$F$1:$ABM$500,J$2,0),Техника!$F$4:$ABM$4,"Часы",INDEX(Техника!$G$1:$ABN$500,J$2,0),$A$452,INDEX(Техника!$H$1:$ABO$500,J$2,0),"Л")</f>
        <v>0</v>
      </c>
      <c r="K456" s="50">
        <f>SUMIFS(INDEX(Техника!$F$1:$ABM$500,K$2,0),Техника!$F$4:$ABM$4,"Часы",INDEX(Техника!$G$1:$ABN$500,K$2,0),$A$452,INDEX(Техника!$H$1:$ABO$500,K$2,0),"Л")</f>
        <v>0</v>
      </c>
      <c r="L456" s="50">
        <f>SUMIFS(INDEX(Техника!$F$1:$ABM$500,L$2,0),Техника!$F$4:$ABM$4,"Часы",INDEX(Техника!$G$1:$ABN$500,L$2,0),$A$452,INDEX(Техника!$H$1:$ABO$500,L$2,0),"Л")</f>
        <v>0</v>
      </c>
      <c r="M456" s="50">
        <f>SUMIFS(INDEX(Техника!$F$1:$ABM$500,M$2,0),Техника!$F$4:$ABM$4,"Часы",INDEX(Техника!$G$1:$ABN$500,M$2,0),$A$452,INDEX(Техника!$H$1:$ABO$500,M$2,0),"Л")</f>
        <v>0</v>
      </c>
      <c r="N456" s="50">
        <f>SUMIFS(INDEX(Техника!$F$1:$ABM$500,N$2,0),Техника!$F$4:$ABM$4,"Часы",INDEX(Техника!$G$1:$ABN$500,N$2,0),$A$452,INDEX(Техника!$H$1:$ABO$500,N$2,0),"Л")</f>
        <v>0</v>
      </c>
      <c r="O456" s="50">
        <f>SUMIFS(INDEX(Техника!$F$1:$ABM$500,O$2,0),Техника!$F$4:$ABM$4,"Часы",INDEX(Техника!$G$1:$ABN$500,O$2,0),$A$452,INDEX(Техника!$H$1:$ABO$500,O$2,0),"Л")</f>
        <v>0</v>
      </c>
      <c r="P456" s="50">
        <f>SUMIFS(INDEX(Техника!$F$1:$ABM$500,P$2,0),Техника!$F$4:$ABM$4,"Часы",INDEX(Техника!$G$1:$ABN$500,P$2,0),$A$452,INDEX(Техника!$H$1:$ABO$500,P$2,0),"Л")</f>
        <v>0</v>
      </c>
      <c r="Q456" s="50">
        <f>SUMIFS(INDEX(Техника!$F$1:$ABM$500,Q$2,0),Техника!$F$4:$ABM$4,"Часы",INDEX(Техника!$G$1:$ABN$500,Q$2,0),$A$452,INDEX(Техника!$H$1:$ABO$500,Q$2,0),"Л")</f>
        <v>0</v>
      </c>
      <c r="R456" s="50">
        <f>SUMIFS(INDEX(Техника!$F$1:$ABM$500,R$2,0),Техника!$F$4:$ABM$4,"Часы",INDEX(Техника!$G$1:$ABN$500,R$2,0),$A$452,INDEX(Техника!$H$1:$ABO$500,R$2,0),"Л")</f>
        <v>0</v>
      </c>
      <c r="S456" s="50">
        <f>SUMIFS(INDEX(Техника!$F$1:$ABM$500,S$2,0),Техника!$F$4:$ABM$4,"Часы",INDEX(Техника!$G$1:$ABN$500,S$2,0),$A$452,INDEX(Техника!$H$1:$ABO$500,S$2,0),"Л")</f>
        <v>0</v>
      </c>
      <c r="T456" s="50">
        <f>SUMIFS(INDEX(Техника!$F$1:$ABM$500,T$2,0),Техника!$F$4:$ABM$4,"Часы",INDEX(Техника!$G$1:$ABN$500,T$2,0),$A$452,INDEX(Техника!$H$1:$ABO$500,T$2,0),"Л")</f>
        <v>0</v>
      </c>
      <c r="U456" s="50">
        <f>SUMIFS(INDEX(Техника!$F$1:$ABM$500,U$2,0),Техника!$F$4:$ABM$4,"Часы",INDEX(Техника!$G$1:$ABN$500,U$2,0),$A$452,INDEX(Техника!$H$1:$ABO$500,U$2,0),"Л")</f>
        <v>0</v>
      </c>
      <c r="V456" s="50">
        <f>SUMIFS(INDEX(Техника!$F$1:$ABM$500,V$2,0),Техника!$F$4:$ABM$4,"Часы",INDEX(Техника!$G$1:$ABN$500,V$2,0),$A$452,INDEX(Техника!$H$1:$ABO$500,V$2,0),"Л")</f>
        <v>0</v>
      </c>
      <c r="W456" s="50">
        <f>SUMIFS(INDEX(Техника!$F$1:$ABM$500,W$2,0),Техника!$F$4:$ABM$4,"Часы",INDEX(Техника!$G$1:$ABN$500,W$2,0),$A$452,INDEX(Техника!$H$1:$ABO$500,W$2,0),"Л")</f>
        <v>0</v>
      </c>
      <c r="X456" s="50">
        <f>SUMIFS(INDEX(Техника!$F$1:$ABM$500,X$2,0),Техника!$F$4:$ABM$4,"Часы",INDEX(Техника!$G$1:$ABN$500,X$2,0),$A$452,INDEX(Техника!$H$1:$ABO$500,X$2,0),"Л")</f>
        <v>0</v>
      </c>
      <c r="Y456" s="50">
        <f>SUMIFS(INDEX(Техника!$F$1:$ABM$500,Y$2,0),Техника!$F$4:$ABM$4,"Часы",INDEX(Техника!$G$1:$ABN$500,Y$2,0),$A$452,INDEX(Техника!$H$1:$ABO$500,Y$2,0),"Л")</f>
        <v>0</v>
      </c>
      <c r="Z456" s="50">
        <f>SUMIFS(INDEX(Техника!$F$1:$ABM$500,Z$2,0),Техника!$F$4:$ABM$4,"Часы",INDEX(Техника!$G$1:$ABN$500,Z$2,0),$A$452,INDEX(Техника!$H$1:$ABO$500,Z$2,0),"Л")</f>
        <v>0</v>
      </c>
      <c r="AA456" s="50">
        <f>SUMIFS(INDEX(Техника!$F$1:$ABM$500,AA$2,0),Техника!$F$4:$ABM$4,"Часы",INDEX(Техника!$G$1:$ABN$500,AA$2,0),$A$452,INDEX(Техника!$H$1:$ABO$500,AA$2,0),"Л")</f>
        <v>0</v>
      </c>
      <c r="AB456" s="50">
        <f>SUMIFS(INDEX(Техника!$F$1:$ABM$500,AB$2,0),Техника!$F$4:$ABM$4,"Часы",INDEX(Техника!$G$1:$ABN$500,AB$2,0),$A$452,INDEX(Техника!$H$1:$ABO$500,AB$2,0),"Л")</f>
        <v>0</v>
      </c>
    </row>
    <row r="457" spans="1:28" hidden="1" outlineLevel="1" x14ac:dyDescent="0.3">
      <c r="A457" s="33" t="s">
        <v>245</v>
      </c>
      <c r="B457" s="34" t="s">
        <v>279</v>
      </c>
      <c r="C457" s="50">
        <f>SUMIFS(INDEX(Техника!$F$1:$ABM$500,C$2,0),Техника!$F$4:$ABM$4,"Часы",INDEX(Техника!$G$1:$ABN$500,C$2,0),$A$452,INDEX(Техника!$H$1:$ABO$500,C$2,0),"З")</f>
        <v>0</v>
      </c>
      <c r="D457" s="50">
        <f>SUMIFS(INDEX(Техника!$F$1:$ABM$500,D$2,0),Техника!$F$4:$ABM$4,"Часы",INDEX(Техника!$G$1:$ABN$500,D$2,0),$A$452,INDEX(Техника!$H$1:$ABO$500,D$2,0),"З")</f>
        <v>0</v>
      </c>
      <c r="E457" s="50">
        <f>SUMIFS(INDEX(Техника!$F$1:$ABM$500,E$2,0),Техника!$F$4:$ABM$4,"Часы",INDEX(Техника!$G$1:$ABN$500,E$2,0),$A$452,INDEX(Техника!$H$1:$ABO$500,E$2,0),"З")</f>
        <v>0</v>
      </c>
      <c r="F457" s="50">
        <f>SUMIFS(INDEX(Техника!$F$1:$ABM$500,F$2,0),Техника!$F$4:$ABM$4,"Часы",INDEX(Техника!$G$1:$ABN$500,F$2,0),$A$452,INDEX(Техника!$H$1:$ABO$500,F$2,0),"З")</f>
        <v>0</v>
      </c>
      <c r="G457" s="50">
        <f>SUMIFS(INDEX(Техника!$F$1:$ABM$500,G$2,0),Техника!$F$4:$ABM$4,"Часы",INDEX(Техника!$G$1:$ABN$500,G$2,0),$A$452,INDEX(Техника!$H$1:$ABO$500,G$2,0),"З")</f>
        <v>0</v>
      </c>
      <c r="H457" s="50">
        <f>SUMIFS(INDEX(Техника!$F$1:$ABM$500,H$2,0),Техника!$F$4:$ABM$4,"Часы",INDEX(Техника!$G$1:$ABN$500,H$2,0),$A$452,INDEX(Техника!$H$1:$ABO$500,H$2,0),"З")</f>
        <v>0</v>
      </c>
      <c r="I457" s="50">
        <f>SUMIFS(INDEX(Техника!$F$1:$ABM$500,I$2,0),Техника!$F$4:$ABM$4,"Часы",INDEX(Техника!$G$1:$ABN$500,I$2,0),$A$452,INDEX(Техника!$H$1:$ABO$500,I$2,0),"З")</f>
        <v>0</v>
      </c>
      <c r="J457" s="50">
        <f>SUMIFS(INDEX(Техника!$F$1:$ABM$500,J$2,0),Техника!$F$4:$ABM$4,"Часы",INDEX(Техника!$G$1:$ABN$500,J$2,0),$A$452,INDEX(Техника!$H$1:$ABO$500,J$2,0),"З")</f>
        <v>0</v>
      </c>
      <c r="K457" s="50">
        <f>SUMIFS(INDEX(Техника!$F$1:$ABM$500,K$2,0),Техника!$F$4:$ABM$4,"Часы",INDEX(Техника!$G$1:$ABN$500,K$2,0),$A$452,INDEX(Техника!$H$1:$ABO$500,K$2,0),"З")</f>
        <v>0</v>
      </c>
      <c r="L457" s="50">
        <f>SUMIFS(INDEX(Техника!$F$1:$ABM$500,L$2,0),Техника!$F$4:$ABM$4,"Часы",INDEX(Техника!$G$1:$ABN$500,L$2,0),$A$452,INDEX(Техника!$H$1:$ABO$500,L$2,0),"З")</f>
        <v>0</v>
      </c>
      <c r="M457" s="50">
        <f>SUMIFS(INDEX(Техника!$F$1:$ABM$500,M$2,0),Техника!$F$4:$ABM$4,"Часы",INDEX(Техника!$G$1:$ABN$500,M$2,0),$A$452,INDEX(Техника!$H$1:$ABO$500,M$2,0),"З")</f>
        <v>0</v>
      </c>
      <c r="N457" s="50">
        <f>SUMIFS(INDEX(Техника!$F$1:$ABM$500,N$2,0),Техника!$F$4:$ABM$4,"Часы",INDEX(Техника!$G$1:$ABN$500,N$2,0),$A$452,INDEX(Техника!$H$1:$ABO$500,N$2,0),"З")</f>
        <v>0</v>
      </c>
      <c r="O457" s="50">
        <f>SUMIFS(INDEX(Техника!$F$1:$ABM$500,O$2,0),Техника!$F$4:$ABM$4,"Часы",INDEX(Техника!$G$1:$ABN$500,O$2,0),$A$452,INDEX(Техника!$H$1:$ABO$500,O$2,0),"З")</f>
        <v>0</v>
      </c>
      <c r="P457" s="50">
        <f>SUMIFS(INDEX(Техника!$F$1:$ABM$500,P$2,0),Техника!$F$4:$ABM$4,"Часы",INDEX(Техника!$G$1:$ABN$500,P$2,0),$A$452,INDEX(Техника!$H$1:$ABO$500,P$2,0),"З")</f>
        <v>0</v>
      </c>
      <c r="Q457" s="50">
        <f>SUMIFS(INDEX(Техника!$F$1:$ABM$500,Q$2,0),Техника!$F$4:$ABM$4,"Часы",INDEX(Техника!$G$1:$ABN$500,Q$2,0),$A$452,INDEX(Техника!$H$1:$ABO$500,Q$2,0),"З")</f>
        <v>0</v>
      </c>
      <c r="R457" s="50">
        <f>SUMIFS(INDEX(Техника!$F$1:$ABM$500,R$2,0),Техника!$F$4:$ABM$4,"Часы",INDEX(Техника!$G$1:$ABN$500,R$2,0),$A$452,INDEX(Техника!$H$1:$ABO$500,R$2,0),"З")</f>
        <v>0</v>
      </c>
      <c r="S457" s="50">
        <f>SUMIFS(INDEX(Техника!$F$1:$ABM$500,S$2,0),Техника!$F$4:$ABM$4,"Часы",INDEX(Техника!$G$1:$ABN$500,S$2,0),$A$452,INDEX(Техника!$H$1:$ABO$500,S$2,0),"З")</f>
        <v>0</v>
      </c>
      <c r="T457" s="50">
        <f>SUMIFS(INDEX(Техника!$F$1:$ABM$500,T$2,0),Техника!$F$4:$ABM$4,"Часы",INDEX(Техника!$G$1:$ABN$500,T$2,0),$A$452,INDEX(Техника!$H$1:$ABO$500,T$2,0),"З")</f>
        <v>0</v>
      </c>
      <c r="U457" s="50">
        <f>SUMIFS(INDEX(Техника!$F$1:$ABM$500,U$2,0),Техника!$F$4:$ABM$4,"Часы",INDEX(Техника!$G$1:$ABN$500,U$2,0),$A$452,INDEX(Техника!$H$1:$ABO$500,U$2,0),"З")</f>
        <v>0</v>
      </c>
      <c r="V457" s="50">
        <f>SUMIFS(INDEX(Техника!$F$1:$ABM$500,V$2,0),Техника!$F$4:$ABM$4,"Часы",INDEX(Техника!$G$1:$ABN$500,V$2,0),$A$452,INDEX(Техника!$H$1:$ABO$500,V$2,0),"З")</f>
        <v>0</v>
      </c>
      <c r="W457" s="50">
        <f>SUMIFS(INDEX(Техника!$F$1:$ABM$500,W$2,0),Техника!$F$4:$ABM$4,"Часы",INDEX(Техника!$G$1:$ABN$500,W$2,0),$A$452,INDEX(Техника!$H$1:$ABO$500,W$2,0),"З")</f>
        <v>0</v>
      </c>
      <c r="X457" s="50">
        <f>SUMIFS(INDEX(Техника!$F$1:$ABM$500,X$2,0),Техника!$F$4:$ABM$4,"Часы",INDEX(Техника!$G$1:$ABN$500,X$2,0),$A$452,INDEX(Техника!$H$1:$ABO$500,X$2,0),"З")</f>
        <v>0</v>
      </c>
      <c r="Y457" s="50">
        <f>SUMIFS(INDEX(Техника!$F$1:$ABM$500,Y$2,0),Техника!$F$4:$ABM$4,"Часы",INDEX(Техника!$G$1:$ABN$500,Y$2,0),$A$452,INDEX(Техника!$H$1:$ABO$500,Y$2,0),"З")</f>
        <v>0</v>
      </c>
      <c r="Z457" s="50">
        <f>SUMIFS(INDEX(Техника!$F$1:$ABM$500,Z$2,0),Техника!$F$4:$ABM$4,"Часы",INDEX(Техника!$G$1:$ABN$500,Z$2,0),$A$452,INDEX(Техника!$H$1:$ABO$500,Z$2,0),"З")</f>
        <v>0</v>
      </c>
      <c r="AA457" s="50">
        <f>SUMIFS(INDEX(Техника!$F$1:$ABM$500,AA$2,0),Техника!$F$4:$ABM$4,"Часы",INDEX(Техника!$G$1:$ABN$500,AA$2,0),$A$452,INDEX(Техника!$H$1:$ABO$500,AA$2,0),"З")</f>
        <v>0</v>
      </c>
      <c r="AB457" s="50">
        <f>SUMIFS(INDEX(Техника!$F$1:$ABM$500,AB$2,0),Техника!$F$4:$ABM$4,"Часы",INDEX(Техника!$G$1:$ABN$500,AB$2,0),$A$452,INDEX(Техника!$H$1:$ABO$500,AB$2,0),"З")</f>
        <v>0</v>
      </c>
    </row>
    <row r="458" spans="1:28" ht="7.95" customHeight="1" x14ac:dyDescent="0.3">
      <c r="A458" s="38"/>
      <c r="B458" s="39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</row>
    <row r="459" spans="1:28" ht="25.05" customHeight="1" collapsed="1" x14ac:dyDescent="0.3">
      <c r="A459" s="32">
        <v>66</v>
      </c>
      <c r="B459" s="32" t="s">
        <v>67</v>
      </c>
      <c r="C459" s="49">
        <f>SUM(C460:C464)</f>
        <v>0</v>
      </c>
      <c r="D459" s="49">
        <f>SUM(D460:D464)</f>
        <v>0</v>
      </c>
      <c r="E459" s="49">
        <f>SUM(E460:E464)</f>
        <v>0</v>
      </c>
      <c r="F459" s="49">
        <f>SUM(F460:F464)</f>
        <v>0</v>
      </c>
      <c r="G459" s="49">
        <f>SUM(G460:G464)</f>
        <v>0</v>
      </c>
      <c r="H459" s="49">
        <f>SUM(H460:H464)</f>
        <v>0</v>
      </c>
      <c r="I459" s="49">
        <f>SUM(I460:I464)</f>
        <v>0</v>
      </c>
      <c r="J459" s="49">
        <f>SUM(J460:J464)</f>
        <v>0</v>
      </c>
      <c r="K459" s="49">
        <f>SUM(K460:K464)</f>
        <v>0</v>
      </c>
      <c r="L459" s="49">
        <f>SUM(L460:L464)</f>
        <v>0</v>
      </c>
      <c r="M459" s="49">
        <f>SUM(M460:M464)</f>
        <v>0</v>
      </c>
      <c r="N459" s="49">
        <f>SUM(N460:N464)</f>
        <v>0</v>
      </c>
      <c r="O459" s="49">
        <f>SUM(O460:O464)</f>
        <v>0</v>
      </c>
      <c r="P459" s="49">
        <f>SUM(P460:P464)</f>
        <v>0</v>
      </c>
      <c r="Q459" s="49">
        <f>SUM(Q460:Q464)</f>
        <v>0</v>
      </c>
      <c r="R459" s="49">
        <f>SUM(R460:R464)</f>
        <v>0</v>
      </c>
      <c r="S459" s="49">
        <f>SUM(S460:S464)</f>
        <v>0</v>
      </c>
      <c r="T459" s="49">
        <f>SUM(T460:T464)</f>
        <v>0</v>
      </c>
      <c r="U459" s="49">
        <f>SUM(U460:U464)</f>
        <v>0</v>
      </c>
      <c r="V459" s="49">
        <f>SUM(V460:V464)</f>
        <v>0</v>
      </c>
      <c r="W459" s="49">
        <f>SUM(W460:W464)</f>
        <v>0</v>
      </c>
      <c r="X459" s="49">
        <f>SUM(X460:X464)</f>
        <v>0</v>
      </c>
      <c r="Y459" s="49">
        <f>SUM(Y460:Y464)</f>
        <v>0</v>
      </c>
      <c r="Z459" s="49">
        <f>SUM(Z460:Z464)</f>
        <v>0</v>
      </c>
      <c r="AA459" s="49">
        <f>SUM(AA460:AA464)</f>
        <v>0</v>
      </c>
      <c r="AB459" s="49">
        <f>SUM(AB460:AB464)</f>
        <v>0</v>
      </c>
    </row>
    <row r="460" spans="1:28" hidden="1" outlineLevel="1" x14ac:dyDescent="0.3">
      <c r="A460" s="33" t="s">
        <v>246</v>
      </c>
      <c r="B460" s="34" t="s">
        <v>274</v>
      </c>
      <c r="C460" s="50">
        <f>SUMIFS(INDEX(Техника!$F$1:$ABM$500,C$2,0),Техника!$F$4:$ABM$4,"Часы",INDEX(Техника!$G$1:$ABN$500,C$2,0),$A$459,INDEX(Техника!$H$1:$ABO$500,C$2,0),"М")</f>
        <v>0</v>
      </c>
      <c r="D460" s="50">
        <f>SUMIFS(INDEX(Техника!$F$1:$ABM$500,D$2,0),Техника!$F$4:$ABM$4,"Часы",INDEX(Техника!$G$1:$ABN$500,D$2,0),$A$459,INDEX(Техника!$H$1:$ABO$500,D$2,0),"М")</f>
        <v>0</v>
      </c>
      <c r="E460" s="50">
        <f>SUMIFS(INDEX(Техника!$F$1:$ABM$500,E$2,0),Техника!$F$4:$ABM$4,"Часы",INDEX(Техника!$G$1:$ABN$500,E$2,0),$A$459,INDEX(Техника!$H$1:$ABO$500,E$2,0),"М")</f>
        <v>0</v>
      </c>
      <c r="F460" s="50">
        <f>SUMIFS(INDEX(Техника!$F$1:$ABM$500,F$2,0),Техника!$F$4:$ABM$4,"Часы",INDEX(Техника!$G$1:$ABN$500,F$2,0),$A$459,INDEX(Техника!$H$1:$ABO$500,F$2,0),"М")</f>
        <v>0</v>
      </c>
      <c r="G460" s="50">
        <f>SUMIFS(INDEX(Техника!$F$1:$ABM$500,G$2,0),Техника!$F$4:$ABM$4,"Часы",INDEX(Техника!$G$1:$ABN$500,G$2,0),$A$459,INDEX(Техника!$H$1:$ABO$500,G$2,0),"М")</f>
        <v>0</v>
      </c>
      <c r="H460" s="50">
        <f>SUMIFS(INDEX(Техника!$F$1:$ABM$500,H$2,0),Техника!$F$4:$ABM$4,"Часы",INDEX(Техника!$G$1:$ABN$500,H$2,0),$A$459,INDEX(Техника!$H$1:$ABO$500,H$2,0),"М")</f>
        <v>0</v>
      </c>
      <c r="I460" s="50">
        <f>SUMIFS(INDEX(Техника!$F$1:$ABM$500,I$2,0),Техника!$F$4:$ABM$4,"Часы",INDEX(Техника!$G$1:$ABN$500,I$2,0),$A$459,INDEX(Техника!$H$1:$ABO$500,I$2,0),"М")</f>
        <v>0</v>
      </c>
      <c r="J460" s="50">
        <f>SUMIFS(INDEX(Техника!$F$1:$ABM$500,J$2,0),Техника!$F$4:$ABM$4,"Часы",INDEX(Техника!$G$1:$ABN$500,J$2,0),$A$459,INDEX(Техника!$H$1:$ABO$500,J$2,0),"М")</f>
        <v>0</v>
      </c>
      <c r="K460" s="50">
        <f>SUMIFS(INDEX(Техника!$F$1:$ABM$500,K$2,0),Техника!$F$4:$ABM$4,"Часы",INDEX(Техника!$G$1:$ABN$500,K$2,0),$A$459,INDEX(Техника!$H$1:$ABO$500,K$2,0),"М")</f>
        <v>0</v>
      </c>
      <c r="L460" s="50">
        <f>SUMIFS(INDEX(Техника!$F$1:$ABM$500,L$2,0),Техника!$F$4:$ABM$4,"Часы",INDEX(Техника!$G$1:$ABN$500,L$2,0),$A$459,INDEX(Техника!$H$1:$ABO$500,L$2,0),"М")</f>
        <v>0</v>
      </c>
      <c r="M460" s="50">
        <f>SUMIFS(INDEX(Техника!$F$1:$ABM$500,M$2,0),Техника!$F$4:$ABM$4,"Часы",INDEX(Техника!$G$1:$ABN$500,M$2,0),$A$459,INDEX(Техника!$H$1:$ABO$500,M$2,0),"М")</f>
        <v>0</v>
      </c>
      <c r="N460" s="50">
        <f>SUMIFS(INDEX(Техника!$F$1:$ABM$500,N$2,0),Техника!$F$4:$ABM$4,"Часы",INDEX(Техника!$G$1:$ABN$500,N$2,0),$A$459,INDEX(Техника!$H$1:$ABO$500,N$2,0),"М")</f>
        <v>0</v>
      </c>
      <c r="O460" s="50">
        <f>SUMIFS(INDEX(Техника!$F$1:$ABM$500,O$2,0),Техника!$F$4:$ABM$4,"Часы",INDEX(Техника!$G$1:$ABN$500,O$2,0),$A$459,INDEX(Техника!$H$1:$ABO$500,O$2,0),"М")</f>
        <v>0</v>
      </c>
      <c r="P460" s="50">
        <f>SUMIFS(INDEX(Техника!$F$1:$ABM$500,P$2,0),Техника!$F$4:$ABM$4,"Часы",INDEX(Техника!$G$1:$ABN$500,P$2,0),$A$459,INDEX(Техника!$H$1:$ABO$500,P$2,0),"М")</f>
        <v>0</v>
      </c>
      <c r="Q460" s="50">
        <f>SUMIFS(INDEX(Техника!$F$1:$ABM$500,Q$2,0),Техника!$F$4:$ABM$4,"Часы",INDEX(Техника!$G$1:$ABN$500,Q$2,0),$A$459,INDEX(Техника!$H$1:$ABO$500,Q$2,0),"М")</f>
        <v>0</v>
      </c>
      <c r="R460" s="50">
        <f>SUMIFS(INDEX(Техника!$F$1:$ABM$500,R$2,0),Техника!$F$4:$ABM$4,"Часы",INDEX(Техника!$G$1:$ABN$500,R$2,0),$A$459,INDEX(Техника!$H$1:$ABO$500,R$2,0),"М")</f>
        <v>0</v>
      </c>
      <c r="S460" s="50">
        <f>SUMIFS(INDEX(Техника!$F$1:$ABM$500,S$2,0),Техника!$F$4:$ABM$4,"Часы",INDEX(Техника!$G$1:$ABN$500,S$2,0),$A$459,INDEX(Техника!$H$1:$ABO$500,S$2,0),"М")</f>
        <v>0</v>
      </c>
      <c r="T460" s="50">
        <f>SUMIFS(INDEX(Техника!$F$1:$ABM$500,T$2,0),Техника!$F$4:$ABM$4,"Часы",INDEX(Техника!$G$1:$ABN$500,T$2,0),$A$459,INDEX(Техника!$H$1:$ABO$500,T$2,0),"М")</f>
        <v>0</v>
      </c>
      <c r="U460" s="50">
        <f>SUMIFS(INDEX(Техника!$F$1:$ABM$500,U$2,0),Техника!$F$4:$ABM$4,"Часы",INDEX(Техника!$G$1:$ABN$500,U$2,0),$A$459,INDEX(Техника!$H$1:$ABO$500,U$2,0),"М")</f>
        <v>0</v>
      </c>
      <c r="V460" s="50">
        <f>SUMIFS(INDEX(Техника!$F$1:$ABM$500,V$2,0),Техника!$F$4:$ABM$4,"Часы",INDEX(Техника!$G$1:$ABN$500,V$2,0),$A$459,INDEX(Техника!$H$1:$ABO$500,V$2,0),"М")</f>
        <v>0</v>
      </c>
      <c r="W460" s="50">
        <f>SUMIFS(INDEX(Техника!$F$1:$ABM$500,W$2,0),Техника!$F$4:$ABM$4,"Часы",INDEX(Техника!$G$1:$ABN$500,W$2,0),$A$459,INDEX(Техника!$H$1:$ABO$500,W$2,0),"М")</f>
        <v>0</v>
      </c>
      <c r="X460" s="50">
        <f>SUMIFS(INDEX(Техника!$F$1:$ABM$500,X$2,0),Техника!$F$4:$ABM$4,"Часы",INDEX(Техника!$G$1:$ABN$500,X$2,0),$A$459,INDEX(Техника!$H$1:$ABO$500,X$2,0),"М")</f>
        <v>0</v>
      </c>
      <c r="Y460" s="50">
        <f>SUMIFS(INDEX(Техника!$F$1:$ABM$500,Y$2,0),Техника!$F$4:$ABM$4,"Часы",INDEX(Техника!$G$1:$ABN$500,Y$2,0),$A$459,INDEX(Техника!$H$1:$ABO$500,Y$2,0),"М")</f>
        <v>0</v>
      </c>
      <c r="Z460" s="50">
        <f>SUMIFS(INDEX(Техника!$F$1:$ABM$500,Z$2,0),Техника!$F$4:$ABM$4,"Часы",INDEX(Техника!$G$1:$ABN$500,Z$2,0),$A$459,INDEX(Техника!$H$1:$ABO$500,Z$2,0),"М")</f>
        <v>0</v>
      </c>
      <c r="AA460" s="50">
        <f>SUMIFS(INDEX(Техника!$F$1:$ABM$500,AA$2,0),Техника!$F$4:$ABM$4,"Часы",INDEX(Техника!$G$1:$ABN$500,AA$2,0),$A$459,INDEX(Техника!$H$1:$ABO$500,AA$2,0),"М")</f>
        <v>0</v>
      </c>
      <c r="AB460" s="50">
        <f>SUMIFS(INDEX(Техника!$F$1:$ABM$500,AB$2,0),Техника!$F$4:$ABM$4,"Часы",INDEX(Техника!$G$1:$ABN$500,AB$2,0),$A$459,INDEX(Техника!$H$1:$ABO$500,AB$2,0),"М")</f>
        <v>0</v>
      </c>
    </row>
    <row r="461" spans="1:28" hidden="1" outlineLevel="1" x14ac:dyDescent="0.3">
      <c r="A461" s="33" t="s">
        <v>244</v>
      </c>
      <c r="B461" s="34" t="s">
        <v>275</v>
      </c>
      <c r="C461" s="50">
        <f>SUMIFS(INDEX(Техника!$F$1:$ABM$500,C$2,0),Техника!$F$4:$ABM$4,"Часы",INDEX(Техника!$G$1:$ABN$500,C$2,0),$A$459,INDEX(Техника!$H$1:$ABO$500,C$2,0),"Д")</f>
        <v>0</v>
      </c>
      <c r="D461" s="50">
        <f>SUMIFS(INDEX(Техника!$F$1:$ABM$500,D$2,0),Техника!$F$4:$ABM$4,"Часы",INDEX(Техника!$G$1:$ABN$500,D$2,0),$A$459,INDEX(Техника!$H$1:$ABO$500,D$2,0),"Д")</f>
        <v>0</v>
      </c>
      <c r="E461" s="50">
        <f>SUMIFS(INDEX(Техника!$F$1:$ABM$500,E$2,0),Техника!$F$4:$ABM$4,"Часы",INDEX(Техника!$G$1:$ABN$500,E$2,0),$A$459,INDEX(Техника!$H$1:$ABO$500,E$2,0),"Д")</f>
        <v>0</v>
      </c>
      <c r="F461" s="50">
        <f>SUMIFS(INDEX(Техника!$F$1:$ABM$500,F$2,0),Техника!$F$4:$ABM$4,"Часы",INDEX(Техника!$G$1:$ABN$500,F$2,0),$A$459,INDEX(Техника!$H$1:$ABO$500,F$2,0),"Д")</f>
        <v>0</v>
      </c>
      <c r="G461" s="50">
        <f>SUMIFS(INDEX(Техника!$F$1:$ABM$500,G$2,0),Техника!$F$4:$ABM$4,"Часы",INDEX(Техника!$G$1:$ABN$500,G$2,0),$A$459,INDEX(Техника!$H$1:$ABO$500,G$2,0),"Д")</f>
        <v>0</v>
      </c>
      <c r="H461" s="50">
        <f>SUMIFS(INDEX(Техника!$F$1:$ABM$500,H$2,0),Техника!$F$4:$ABM$4,"Часы",INDEX(Техника!$G$1:$ABN$500,H$2,0),$A$459,INDEX(Техника!$H$1:$ABO$500,H$2,0),"Д")</f>
        <v>0</v>
      </c>
      <c r="I461" s="50">
        <f>SUMIFS(INDEX(Техника!$F$1:$ABM$500,I$2,0),Техника!$F$4:$ABM$4,"Часы",INDEX(Техника!$G$1:$ABN$500,I$2,0),$A$459,INDEX(Техника!$H$1:$ABO$500,I$2,0),"Д")</f>
        <v>0</v>
      </c>
      <c r="J461" s="50">
        <f>SUMIFS(INDEX(Техника!$F$1:$ABM$500,J$2,0),Техника!$F$4:$ABM$4,"Часы",INDEX(Техника!$G$1:$ABN$500,J$2,0),$A$459,INDEX(Техника!$H$1:$ABO$500,J$2,0),"Д")</f>
        <v>0</v>
      </c>
      <c r="K461" s="50">
        <f>SUMIFS(INDEX(Техника!$F$1:$ABM$500,K$2,0),Техника!$F$4:$ABM$4,"Часы",INDEX(Техника!$G$1:$ABN$500,K$2,0),$A$459,INDEX(Техника!$H$1:$ABO$500,K$2,0),"Д")</f>
        <v>0</v>
      </c>
      <c r="L461" s="50">
        <f>SUMIFS(INDEX(Техника!$F$1:$ABM$500,L$2,0),Техника!$F$4:$ABM$4,"Часы",INDEX(Техника!$G$1:$ABN$500,L$2,0),$A$459,INDEX(Техника!$H$1:$ABO$500,L$2,0),"Д")</f>
        <v>0</v>
      </c>
      <c r="M461" s="50">
        <f>SUMIFS(INDEX(Техника!$F$1:$ABM$500,M$2,0),Техника!$F$4:$ABM$4,"Часы",INDEX(Техника!$G$1:$ABN$500,M$2,0),$A$459,INDEX(Техника!$H$1:$ABO$500,M$2,0),"Д")</f>
        <v>0</v>
      </c>
      <c r="N461" s="50">
        <f>SUMIFS(INDEX(Техника!$F$1:$ABM$500,N$2,0),Техника!$F$4:$ABM$4,"Часы",INDEX(Техника!$G$1:$ABN$500,N$2,0),$A$459,INDEX(Техника!$H$1:$ABO$500,N$2,0),"Д")</f>
        <v>0</v>
      </c>
      <c r="O461" s="50">
        <f>SUMIFS(INDEX(Техника!$F$1:$ABM$500,O$2,0),Техника!$F$4:$ABM$4,"Часы",INDEX(Техника!$G$1:$ABN$500,O$2,0),$A$459,INDEX(Техника!$H$1:$ABO$500,O$2,0),"Д")</f>
        <v>0</v>
      </c>
      <c r="P461" s="50">
        <f>SUMIFS(INDEX(Техника!$F$1:$ABM$500,P$2,0),Техника!$F$4:$ABM$4,"Часы",INDEX(Техника!$G$1:$ABN$500,P$2,0),$A$459,INDEX(Техника!$H$1:$ABO$500,P$2,0),"Д")</f>
        <v>0</v>
      </c>
      <c r="Q461" s="50">
        <f>SUMIFS(INDEX(Техника!$F$1:$ABM$500,Q$2,0),Техника!$F$4:$ABM$4,"Часы",INDEX(Техника!$G$1:$ABN$500,Q$2,0),$A$459,INDEX(Техника!$H$1:$ABO$500,Q$2,0),"Д")</f>
        <v>0</v>
      </c>
      <c r="R461" s="50">
        <f>SUMIFS(INDEX(Техника!$F$1:$ABM$500,R$2,0),Техника!$F$4:$ABM$4,"Часы",INDEX(Техника!$G$1:$ABN$500,R$2,0),$A$459,INDEX(Техника!$H$1:$ABO$500,R$2,0),"Д")</f>
        <v>0</v>
      </c>
      <c r="S461" s="50">
        <f>SUMIFS(INDEX(Техника!$F$1:$ABM$500,S$2,0),Техника!$F$4:$ABM$4,"Часы",INDEX(Техника!$G$1:$ABN$500,S$2,0),$A$459,INDEX(Техника!$H$1:$ABO$500,S$2,0),"Д")</f>
        <v>0</v>
      </c>
      <c r="T461" s="50">
        <f>SUMIFS(INDEX(Техника!$F$1:$ABM$500,T$2,0),Техника!$F$4:$ABM$4,"Часы",INDEX(Техника!$G$1:$ABN$500,T$2,0),$A$459,INDEX(Техника!$H$1:$ABO$500,T$2,0),"Д")</f>
        <v>0</v>
      </c>
      <c r="U461" s="50">
        <f>SUMIFS(INDEX(Техника!$F$1:$ABM$500,U$2,0),Техника!$F$4:$ABM$4,"Часы",INDEX(Техника!$G$1:$ABN$500,U$2,0),$A$459,INDEX(Техника!$H$1:$ABO$500,U$2,0),"Д")</f>
        <v>0</v>
      </c>
      <c r="V461" s="50">
        <f>SUMIFS(INDEX(Техника!$F$1:$ABM$500,V$2,0),Техника!$F$4:$ABM$4,"Часы",INDEX(Техника!$G$1:$ABN$500,V$2,0),$A$459,INDEX(Техника!$H$1:$ABO$500,V$2,0),"Д")</f>
        <v>0</v>
      </c>
      <c r="W461" s="50">
        <f>SUMIFS(INDEX(Техника!$F$1:$ABM$500,W$2,0),Техника!$F$4:$ABM$4,"Часы",INDEX(Техника!$G$1:$ABN$500,W$2,0),$A$459,INDEX(Техника!$H$1:$ABO$500,W$2,0),"Д")</f>
        <v>0</v>
      </c>
      <c r="X461" s="50">
        <f>SUMIFS(INDEX(Техника!$F$1:$ABM$500,X$2,0),Техника!$F$4:$ABM$4,"Часы",INDEX(Техника!$G$1:$ABN$500,X$2,0),$A$459,INDEX(Техника!$H$1:$ABO$500,X$2,0),"Д")</f>
        <v>0</v>
      </c>
      <c r="Y461" s="50">
        <f>SUMIFS(INDEX(Техника!$F$1:$ABM$500,Y$2,0),Техника!$F$4:$ABM$4,"Часы",INDEX(Техника!$G$1:$ABN$500,Y$2,0),$A$459,INDEX(Техника!$H$1:$ABO$500,Y$2,0),"Д")</f>
        <v>0</v>
      </c>
      <c r="Z461" s="50">
        <f>SUMIFS(INDEX(Техника!$F$1:$ABM$500,Z$2,0),Техника!$F$4:$ABM$4,"Часы",INDEX(Техника!$G$1:$ABN$500,Z$2,0),$A$459,INDEX(Техника!$H$1:$ABO$500,Z$2,0),"Д")</f>
        <v>0</v>
      </c>
      <c r="AA461" s="50">
        <f>SUMIFS(INDEX(Техника!$F$1:$ABM$500,AA$2,0),Техника!$F$4:$ABM$4,"Часы",INDEX(Техника!$G$1:$ABN$500,AA$2,0),$A$459,INDEX(Техника!$H$1:$ABO$500,AA$2,0),"Д")</f>
        <v>0</v>
      </c>
      <c r="AB461" s="50">
        <f>SUMIFS(INDEX(Техника!$F$1:$ABM$500,AB$2,0),Техника!$F$4:$ABM$4,"Часы",INDEX(Техника!$G$1:$ABN$500,AB$2,0),$A$459,INDEX(Техника!$H$1:$ABO$500,AB$2,0),"Д")</f>
        <v>0</v>
      </c>
    </row>
    <row r="462" spans="1:28" hidden="1" outlineLevel="1" x14ac:dyDescent="0.3">
      <c r="A462" s="33" t="s">
        <v>276</v>
      </c>
      <c r="B462" s="34" t="s">
        <v>277</v>
      </c>
      <c r="C462" s="50">
        <f>SUMIFS(INDEX(Техника!$F$1:$ABM$500,C$2,0),Техника!$F$4:$ABM$4,"Часы",INDEX(Техника!$G$1:$ABN$500,C$2,0),$A$459,INDEX(Техника!$H$1:$ABO$500,C$2,0),"П")</f>
        <v>0</v>
      </c>
      <c r="D462" s="50">
        <f>SUMIFS(INDEX(Техника!$F$1:$ABM$500,D$2,0),Техника!$F$4:$ABM$4,"Часы",INDEX(Техника!$G$1:$ABN$500,D$2,0),$A$459,INDEX(Техника!$H$1:$ABO$500,D$2,0),"П")</f>
        <v>0</v>
      </c>
      <c r="E462" s="50">
        <f>SUMIFS(INDEX(Техника!$F$1:$ABM$500,E$2,0),Техника!$F$4:$ABM$4,"Часы",INDEX(Техника!$G$1:$ABN$500,E$2,0),$A$459,INDEX(Техника!$H$1:$ABO$500,E$2,0),"П")</f>
        <v>0</v>
      </c>
      <c r="F462" s="50">
        <f>SUMIFS(INDEX(Техника!$F$1:$ABM$500,F$2,0),Техника!$F$4:$ABM$4,"Часы",INDEX(Техника!$G$1:$ABN$500,F$2,0),$A$459,INDEX(Техника!$H$1:$ABO$500,F$2,0),"П")</f>
        <v>0</v>
      </c>
      <c r="G462" s="50">
        <f>SUMIFS(INDEX(Техника!$F$1:$ABM$500,G$2,0),Техника!$F$4:$ABM$4,"Часы",INDEX(Техника!$G$1:$ABN$500,G$2,0),$A$459,INDEX(Техника!$H$1:$ABO$500,G$2,0),"П")</f>
        <v>0</v>
      </c>
      <c r="H462" s="50">
        <f>SUMIFS(INDEX(Техника!$F$1:$ABM$500,H$2,0),Техника!$F$4:$ABM$4,"Часы",INDEX(Техника!$G$1:$ABN$500,H$2,0),$A$459,INDEX(Техника!$H$1:$ABO$500,H$2,0),"П")</f>
        <v>0</v>
      </c>
      <c r="I462" s="50">
        <f>SUMIFS(INDEX(Техника!$F$1:$ABM$500,I$2,0),Техника!$F$4:$ABM$4,"Часы",INDEX(Техника!$G$1:$ABN$500,I$2,0),$A$459,INDEX(Техника!$H$1:$ABO$500,I$2,0),"П")</f>
        <v>0</v>
      </c>
      <c r="J462" s="50">
        <f>SUMIFS(INDEX(Техника!$F$1:$ABM$500,J$2,0),Техника!$F$4:$ABM$4,"Часы",INDEX(Техника!$G$1:$ABN$500,J$2,0),$A$459,INDEX(Техника!$H$1:$ABO$500,J$2,0),"П")</f>
        <v>0</v>
      </c>
      <c r="K462" s="50">
        <f>SUMIFS(INDEX(Техника!$F$1:$ABM$500,K$2,0),Техника!$F$4:$ABM$4,"Часы",INDEX(Техника!$G$1:$ABN$500,K$2,0),$A$459,INDEX(Техника!$H$1:$ABO$500,K$2,0),"П")</f>
        <v>0</v>
      </c>
      <c r="L462" s="50">
        <f>SUMIFS(INDEX(Техника!$F$1:$ABM$500,L$2,0),Техника!$F$4:$ABM$4,"Часы",INDEX(Техника!$G$1:$ABN$500,L$2,0),$A$459,INDEX(Техника!$H$1:$ABO$500,L$2,0),"П")</f>
        <v>0</v>
      </c>
      <c r="M462" s="50">
        <f>SUMIFS(INDEX(Техника!$F$1:$ABM$500,M$2,0),Техника!$F$4:$ABM$4,"Часы",INDEX(Техника!$G$1:$ABN$500,M$2,0),$A$459,INDEX(Техника!$H$1:$ABO$500,M$2,0),"П")</f>
        <v>0</v>
      </c>
      <c r="N462" s="50">
        <f>SUMIFS(INDEX(Техника!$F$1:$ABM$500,N$2,0),Техника!$F$4:$ABM$4,"Часы",INDEX(Техника!$G$1:$ABN$500,N$2,0),$A$459,INDEX(Техника!$H$1:$ABO$500,N$2,0),"П")</f>
        <v>0</v>
      </c>
      <c r="O462" s="50">
        <f>SUMIFS(INDEX(Техника!$F$1:$ABM$500,O$2,0),Техника!$F$4:$ABM$4,"Часы",INDEX(Техника!$G$1:$ABN$500,O$2,0),$A$459,INDEX(Техника!$H$1:$ABO$500,O$2,0),"П")</f>
        <v>0</v>
      </c>
      <c r="P462" s="50">
        <f>SUMIFS(INDEX(Техника!$F$1:$ABM$500,P$2,0),Техника!$F$4:$ABM$4,"Часы",INDEX(Техника!$G$1:$ABN$500,P$2,0),$A$459,INDEX(Техника!$H$1:$ABO$500,P$2,0),"П")</f>
        <v>0</v>
      </c>
      <c r="Q462" s="50">
        <f>SUMIFS(INDEX(Техника!$F$1:$ABM$500,Q$2,0),Техника!$F$4:$ABM$4,"Часы",INDEX(Техника!$G$1:$ABN$500,Q$2,0),$A$459,INDEX(Техника!$H$1:$ABO$500,Q$2,0),"П")</f>
        <v>0</v>
      </c>
      <c r="R462" s="50">
        <f>SUMIFS(INDEX(Техника!$F$1:$ABM$500,R$2,0),Техника!$F$4:$ABM$4,"Часы",INDEX(Техника!$G$1:$ABN$500,R$2,0),$A$459,INDEX(Техника!$H$1:$ABO$500,R$2,0),"П")</f>
        <v>0</v>
      </c>
      <c r="S462" s="50">
        <f>SUMIFS(INDEX(Техника!$F$1:$ABM$500,S$2,0),Техника!$F$4:$ABM$4,"Часы",INDEX(Техника!$G$1:$ABN$500,S$2,0),$A$459,INDEX(Техника!$H$1:$ABO$500,S$2,0),"П")</f>
        <v>0</v>
      </c>
      <c r="T462" s="50">
        <f>SUMIFS(INDEX(Техника!$F$1:$ABM$500,T$2,0),Техника!$F$4:$ABM$4,"Часы",INDEX(Техника!$G$1:$ABN$500,T$2,0),$A$459,INDEX(Техника!$H$1:$ABO$500,T$2,0),"П")</f>
        <v>0</v>
      </c>
      <c r="U462" s="50">
        <f>SUMIFS(INDEX(Техника!$F$1:$ABM$500,U$2,0),Техника!$F$4:$ABM$4,"Часы",INDEX(Техника!$G$1:$ABN$500,U$2,0),$A$459,INDEX(Техника!$H$1:$ABO$500,U$2,0),"П")</f>
        <v>0</v>
      </c>
      <c r="V462" s="50">
        <f>SUMIFS(INDEX(Техника!$F$1:$ABM$500,V$2,0),Техника!$F$4:$ABM$4,"Часы",INDEX(Техника!$G$1:$ABN$500,V$2,0),$A$459,INDEX(Техника!$H$1:$ABO$500,V$2,0),"П")</f>
        <v>0</v>
      </c>
      <c r="W462" s="50">
        <f>SUMIFS(INDEX(Техника!$F$1:$ABM$500,W$2,0),Техника!$F$4:$ABM$4,"Часы",INDEX(Техника!$G$1:$ABN$500,W$2,0),$A$459,INDEX(Техника!$H$1:$ABO$500,W$2,0),"П")</f>
        <v>0</v>
      </c>
      <c r="X462" s="50">
        <f>SUMIFS(INDEX(Техника!$F$1:$ABM$500,X$2,0),Техника!$F$4:$ABM$4,"Часы",INDEX(Техника!$G$1:$ABN$500,X$2,0),$A$459,INDEX(Техника!$H$1:$ABO$500,X$2,0),"П")</f>
        <v>0</v>
      </c>
      <c r="Y462" s="50">
        <f>SUMIFS(INDEX(Техника!$F$1:$ABM$500,Y$2,0),Техника!$F$4:$ABM$4,"Часы",INDEX(Техника!$G$1:$ABN$500,Y$2,0),$A$459,INDEX(Техника!$H$1:$ABO$500,Y$2,0),"П")</f>
        <v>0</v>
      </c>
      <c r="Z462" s="50">
        <f>SUMIFS(INDEX(Техника!$F$1:$ABM$500,Z$2,0),Техника!$F$4:$ABM$4,"Часы",INDEX(Техника!$G$1:$ABN$500,Z$2,0),$A$459,INDEX(Техника!$H$1:$ABO$500,Z$2,0),"П")</f>
        <v>0</v>
      </c>
      <c r="AA462" s="50">
        <f>SUMIFS(INDEX(Техника!$F$1:$ABM$500,AA$2,0),Техника!$F$4:$ABM$4,"Часы",INDEX(Техника!$G$1:$ABN$500,AA$2,0),$A$459,INDEX(Техника!$H$1:$ABO$500,AA$2,0),"П")</f>
        <v>0</v>
      </c>
      <c r="AB462" s="50">
        <f>SUMIFS(INDEX(Техника!$F$1:$ABM$500,AB$2,0),Техника!$F$4:$ABM$4,"Часы",INDEX(Техника!$G$1:$ABN$500,AB$2,0),$A$459,INDEX(Техника!$H$1:$ABO$500,AB$2,0),"П")</f>
        <v>0</v>
      </c>
    </row>
    <row r="463" spans="1:28" hidden="1" outlineLevel="1" x14ac:dyDescent="0.3">
      <c r="A463" s="33" t="s">
        <v>243</v>
      </c>
      <c r="B463" s="34" t="s">
        <v>278</v>
      </c>
      <c r="C463" s="50">
        <f>SUMIFS(INDEX(Техника!$F$1:$ABM$500,C$2,0),Техника!$F$4:$ABM$4,"Часы",INDEX(Техника!$G$1:$ABN$500,C$2,0),$A$459,INDEX(Техника!$H$1:$ABO$500,C$2,0),"Л")</f>
        <v>0</v>
      </c>
      <c r="D463" s="50">
        <f>SUMIFS(INDEX(Техника!$F$1:$ABM$500,D$2,0),Техника!$F$4:$ABM$4,"Часы",INDEX(Техника!$G$1:$ABN$500,D$2,0),$A$459,INDEX(Техника!$H$1:$ABO$500,D$2,0),"Л")</f>
        <v>0</v>
      </c>
      <c r="E463" s="50">
        <f>SUMIFS(INDEX(Техника!$F$1:$ABM$500,E$2,0),Техника!$F$4:$ABM$4,"Часы",INDEX(Техника!$G$1:$ABN$500,E$2,0),$A$459,INDEX(Техника!$H$1:$ABO$500,E$2,0),"Л")</f>
        <v>0</v>
      </c>
      <c r="F463" s="50">
        <f>SUMIFS(INDEX(Техника!$F$1:$ABM$500,F$2,0),Техника!$F$4:$ABM$4,"Часы",INDEX(Техника!$G$1:$ABN$500,F$2,0),$A$459,INDEX(Техника!$H$1:$ABO$500,F$2,0),"Л")</f>
        <v>0</v>
      </c>
      <c r="G463" s="50">
        <f>SUMIFS(INDEX(Техника!$F$1:$ABM$500,G$2,0),Техника!$F$4:$ABM$4,"Часы",INDEX(Техника!$G$1:$ABN$500,G$2,0),$A$459,INDEX(Техника!$H$1:$ABO$500,G$2,0),"Л")</f>
        <v>0</v>
      </c>
      <c r="H463" s="50">
        <f>SUMIFS(INDEX(Техника!$F$1:$ABM$500,H$2,0),Техника!$F$4:$ABM$4,"Часы",INDEX(Техника!$G$1:$ABN$500,H$2,0),$A$459,INDEX(Техника!$H$1:$ABO$500,H$2,0),"Л")</f>
        <v>0</v>
      </c>
      <c r="I463" s="50">
        <f>SUMIFS(INDEX(Техника!$F$1:$ABM$500,I$2,0),Техника!$F$4:$ABM$4,"Часы",INDEX(Техника!$G$1:$ABN$500,I$2,0),$A$459,INDEX(Техника!$H$1:$ABO$500,I$2,0),"Л")</f>
        <v>0</v>
      </c>
      <c r="J463" s="50">
        <f>SUMIFS(INDEX(Техника!$F$1:$ABM$500,J$2,0),Техника!$F$4:$ABM$4,"Часы",INDEX(Техника!$G$1:$ABN$500,J$2,0),$A$459,INDEX(Техника!$H$1:$ABO$500,J$2,0),"Л")</f>
        <v>0</v>
      </c>
      <c r="K463" s="50">
        <f>SUMIFS(INDEX(Техника!$F$1:$ABM$500,K$2,0),Техника!$F$4:$ABM$4,"Часы",INDEX(Техника!$G$1:$ABN$500,K$2,0),$A$459,INDEX(Техника!$H$1:$ABO$500,K$2,0),"Л")</f>
        <v>0</v>
      </c>
      <c r="L463" s="50">
        <f>SUMIFS(INDEX(Техника!$F$1:$ABM$500,L$2,0),Техника!$F$4:$ABM$4,"Часы",INDEX(Техника!$G$1:$ABN$500,L$2,0),$A$459,INDEX(Техника!$H$1:$ABO$500,L$2,0),"Л")</f>
        <v>0</v>
      </c>
      <c r="M463" s="50">
        <f>SUMIFS(INDEX(Техника!$F$1:$ABM$500,M$2,0),Техника!$F$4:$ABM$4,"Часы",INDEX(Техника!$G$1:$ABN$500,M$2,0),$A$459,INDEX(Техника!$H$1:$ABO$500,M$2,0),"Л")</f>
        <v>0</v>
      </c>
      <c r="N463" s="50">
        <f>SUMIFS(INDEX(Техника!$F$1:$ABM$500,N$2,0),Техника!$F$4:$ABM$4,"Часы",INDEX(Техника!$G$1:$ABN$500,N$2,0),$A$459,INDEX(Техника!$H$1:$ABO$500,N$2,0),"Л")</f>
        <v>0</v>
      </c>
      <c r="O463" s="50">
        <f>SUMIFS(INDEX(Техника!$F$1:$ABM$500,O$2,0),Техника!$F$4:$ABM$4,"Часы",INDEX(Техника!$G$1:$ABN$500,O$2,0),$A$459,INDEX(Техника!$H$1:$ABO$500,O$2,0),"Л")</f>
        <v>0</v>
      </c>
      <c r="P463" s="50">
        <f>SUMIFS(INDEX(Техника!$F$1:$ABM$500,P$2,0),Техника!$F$4:$ABM$4,"Часы",INDEX(Техника!$G$1:$ABN$500,P$2,0),$A$459,INDEX(Техника!$H$1:$ABO$500,P$2,0),"Л")</f>
        <v>0</v>
      </c>
      <c r="Q463" s="50">
        <f>SUMIFS(INDEX(Техника!$F$1:$ABM$500,Q$2,0),Техника!$F$4:$ABM$4,"Часы",INDEX(Техника!$G$1:$ABN$500,Q$2,0),$A$459,INDEX(Техника!$H$1:$ABO$500,Q$2,0),"Л")</f>
        <v>0</v>
      </c>
      <c r="R463" s="50">
        <f>SUMIFS(INDEX(Техника!$F$1:$ABM$500,R$2,0),Техника!$F$4:$ABM$4,"Часы",INDEX(Техника!$G$1:$ABN$500,R$2,0),$A$459,INDEX(Техника!$H$1:$ABO$500,R$2,0),"Л")</f>
        <v>0</v>
      </c>
      <c r="S463" s="50">
        <f>SUMIFS(INDEX(Техника!$F$1:$ABM$500,S$2,0),Техника!$F$4:$ABM$4,"Часы",INDEX(Техника!$G$1:$ABN$500,S$2,0),$A$459,INDEX(Техника!$H$1:$ABO$500,S$2,0),"Л")</f>
        <v>0</v>
      </c>
      <c r="T463" s="50">
        <f>SUMIFS(INDEX(Техника!$F$1:$ABM$500,T$2,0),Техника!$F$4:$ABM$4,"Часы",INDEX(Техника!$G$1:$ABN$500,T$2,0),$A$459,INDEX(Техника!$H$1:$ABO$500,T$2,0),"Л")</f>
        <v>0</v>
      </c>
      <c r="U463" s="50">
        <f>SUMIFS(INDEX(Техника!$F$1:$ABM$500,U$2,0),Техника!$F$4:$ABM$4,"Часы",INDEX(Техника!$G$1:$ABN$500,U$2,0),$A$459,INDEX(Техника!$H$1:$ABO$500,U$2,0),"Л")</f>
        <v>0</v>
      </c>
      <c r="V463" s="50">
        <f>SUMIFS(INDEX(Техника!$F$1:$ABM$500,V$2,0),Техника!$F$4:$ABM$4,"Часы",INDEX(Техника!$G$1:$ABN$500,V$2,0),$A$459,INDEX(Техника!$H$1:$ABO$500,V$2,0),"Л")</f>
        <v>0</v>
      </c>
      <c r="W463" s="50">
        <f>SUMIFS(INDEX(Техника!$F$1:$ABM$500,W$2,0),Техника!$F$4:$ABM$4,"Часы",INDEX(Техника!$G$1:$ABN$500,W$2,0),$A$459,INDEX(Техника!$H$1:$ABO$500,W$2,0),"Л")</f>
        <v>0</v>
      </c>
      <c r="X463" s="50">
        <f>SUMIFS(INDEX(Техника!$F$1:$ABM$500,X$2,0),Техника!$F$4:$ABM$4,"Часы",INDEX(Техника!$G$1:$ABN$500,X$2,0),$A$459,INDEX(Техника!$H$1:$ABO$500,X$2,0),"Л")</f>
        <v>0</v>
      </c>
      <c r="Y463" s="50">
        <f>SUMIFS(INDEX(Техника!$F$1:$ABM$500,Y$2,0),Техника!$F$4:$ABM$4,"Часы",INDEX(Техника!$G$1:$ABN$500,Y$2,0),$A$459,INDEX(Техника!$H$1:$ABO$500,Y$2,0),"Л")</f>
        <v>0</v>
      </c>
      <c r="Z463" s="50">
        <f>SUMIFS(INDEX(Техника!$F$1:$ABM$500,Z$2,0),Техника!$F$4:$ABM$4,"Часы",INDEX(Техника!$G$1:$ABN$500,Z$2,0),$A$459,INDEX(Техника!$H$1:$ABO$500,Z$2,0),"Л")</f>
        <v>0</v>
      </c>
      <c r="AA463" s="50">
        <f>SUMIFS(INDEX(Техника!$F$1:$ABM$500,AA$2,0),Техника!$F$4:$ABM$4,"Часы",INDEX(Техника!$G$1:$ABN$500,AA$2,0),$A$459,INDEX(Техника!$H$1:$ABO$500,AA$2,0),"Л")</f>
        <v>0</v>
      </c>
      <c r="AB463" s="50">
        <f>SUMIFS(INDEX(Техника!$F$1:$ABM$500,AB$2,0),Техника!$F$4:$ABM$4,"Часы",INDEX(Техника!$G$1:$ABN$500,AB$2,0),$A$459,INDEX(Техника!$H$1:$ABO$500,AB$2,0),"Л")</f>
        <v>0</v>
      </c>
    </row>
    <row r="464" spans="1:28" hidden="1" outlineLevel="1" x14ac:dyDescent="0.3">
      <c r="A464" s="33" t="s">
        <v>245</v>
      </c>
      <c r="B464" s="34" t="s">
        <v>279</v>
      </c>
      <c r="C464" s="50">
        <f>SUMIFS(INDEX(Техника!$F$1:$ABM$500,C$2,0),Техника!$F$4:$ABM$4,"Часы",INDEX(Техника!$G$1:$ABN$500,C$2,0),$A$459,INDEX(Техника!$H$1:$ABO$500,C$2,0),"З")</f>
        <v>0</v>
      </c>
      <c r="D464" s="50">
        <f>SUMIFS(INDEX(Техника!$F$1:$ABM$500,D$2,0),Техника!$F$4:$ABM$4,"Часы",INDEX(Техника!$G$1:$ABN$500,D$2,0),$A$459,INDEX(Техника!$H$1:$ABO$500,D$2,0),"З")</f>
        <v>0</v>
      </c>
      <c r="E464" s="50">
        <f>SUMIFS(INDEX(Техника!$F$1:$ABM$500,E$2,0),Техника!$F$4:$ABM$4,"Часы",INDEX(Техника!$G$1:$ABN$500,E$2,0),$A$459,INDEX(Техника!$H$1:$ABO$500,E$2,0),"З")</f>
        <v>0</v>
      </c>
      <c r="F464" s="50">
        <f>SUMIFS(INDEX(Техника!$F$1:$ABM$500,F$2,0),Техника!$F$4:$ABM$4,"Часы",INDEX(Техника!$G$1:$ABN$500,F$2,0),$A$459,INDEX(Техника!$H$1:$ABO$500,F$2,0),"З")</f>
        <v>0</v>
      </c>
      <c r="G464" s="50">
        <f>SUMIFS(INDEX(Техника!$F$1:$ABM$500,G$2,0),Техника!$F$4:$ABM$4,"Часы",INDEX(Техника!$G$1:$ABN$500,G$2,0),$A$459,INDEX(Техника!$H$1:$ABO$500,G$2,0),"З")</f>
        <v>0</v>
      </c>
      <c r="H464" s="50">
        <f>SUMIFS(INDEX(Техника!$F$1:$ABM$500,H$2,0),Техника!$F$4:$ABM$4,"Часы",INDEX(Техника!$G$1:$ABN$500,H$2,0),$A$459,INDEX(Техника!$H$1:$ABO$500,H$2,0),"З")</f>
        <v>0</v>
      </c>
      <c r="I464" s="50">
        <f>SUMIFS(INDEX(Техника!$F$1:$ABM$500,I$2,0),Техника!$F$4:$ABM$4,"Часы",INDEX(Техника!$G$1:$ABN$500,I$2,0),$A$459,INDEX(Техника!$H$1:$ABO$500,I$2,0),"З")</f>
        <v>0</v>
      </c>
      <c r="J464" s="50">
        <f>SUMIFS(INDEX(Техника!$F$1:$ABM$500,J$2,0),Техника!$F$4:$ABM$4,"Часы",INDEX(Техника!$G$1:$ABN$500,J$2,0),$A$459,INDEX(Техника!$H$1:$ABO$500,J$2,0),"З")</f>
        <v>0</v>
      </c>
      <c r="K464" s="50">
        <f>SUMIFS(INDEX(Техника!$F$1:$ABM$500,K$2,0),Техника!$F$4:$ABM$4,"Часы",INDEX(Техника!$G$1:$ABN$500,K$2,0),$A$459,INDEX(Техника!$H$1:$ABO$500,K$2,0),"З")</f>
        <v>0</v>
      </c>
      <c r="L464" s="50">
        <f>SUMIFS(INDEX(Техника!$F$1:$ABM$500,L$2,0),Техника!$F$4:$ABM$4,"Часы",INDEX(Техника!$G$1:$ABN$500,L$2,0),$A$459,INDEX(Техника!$H$1:$ABO$500,L$2,0),"З")</f>
        <v>0</v>
      </c>
      <c r="M464" s="50">
        <f>SUMIFS(INDEX(Техника!$F$1:$ABM$500,M$2,0),Техника!$F$4:$ABM$4,"Часы",INDEX(Техника!$G$1:$ABN$500,M$2,0),$A$459,INDEX(Техника!$H$1:$ABO$500,M$2,0),"З")</f>
        <v>0</v>
      </c>
      <c r="N464" s="50">
        <f>SUMIFS(INDEX(Техника!$F$1:$ABM$500,N$2,0),Техника!$F$4:$ABM$4,"Часы",INDEX(Техника!$G$1:$ABN$500,N$2,0),$A$459,INDEX(Техника!$H$1:$ABO$500,N$2,0),"З")</f>
        <v>0</v>
      </c>
      <c r="O464" s="50">
        <f>SUMIFS(INDEX(Техника!$F$1:$ABM$500,O$2,0),Техника!$F$4:$ABM$4,"Часы",INDEX(Техника!$G$1:$ABN$500,O$2,0),$A$459,INDEX(Техника!$H$1:$ABO$500,O$2,0),"З")</f>
        <v>0</v>
      </c>
      <c r="P464" s="50">
        <f>SUMIFS(INDEX(Техника!$F$1:$ABM$500,P$2,0),Техника!$F$4:$ABM$4,"Часы",INDEX(Техника!$G$1:$ABN$500,P$2,0),$A$459,INDEX(Техника!$H$1:$ABO$500,P$2,0),"З")</f>
        <v>0</v>
      </c>
      <c r="Q464" s="50">
        <f>SUMIFS(INDEX(Техника!$F$1:$ABM$500,Q$2,0),Техника!$F$4:$ABM$4,"Часы",INDEX(Техника!$G$1:$ABN$500,Q$2,0),$A$459,INDEX(Техника!$H$1:$ABO$500,Q$2,0),"З")</f>
        <v>0</v>
      </c>
      <c r="R464" s="50">
        <f>SUMIFS(INDEX(Техника!$F$1:$ABM$500,R$2,0),Техника!$F$4:$ABM$4,"Часы",INDEX(Техника!$G$1:$ABN$500,R$2,0),$A$459,INDEX(Техника!$H$1:$ABO$500,R$2,0),"З")</f>
        <v>0</v>
      </c>
      <c r="S464" s="50">
        <f>SUMIFS(INDEX(Техника!$F$1:$ABM$500,S$2,0),Техника!$F$4:$ABM$4,"Часы",INDEX(Техника!$G$1:$ABN$500,S$2,0),$A$459,INDEX(Техника!$H$1:$ABO$500,S$2,0),"З")</f>
        <v>0</v>
      </c>
      <c r="T464" s="50">
        <f>SUMIFS(INDEX(Техника!$F$1:$ABM$500,T$2,0),Техника!$F$4:$ABM$4,"Часы",INDEX(Техника!$G$1:$ABN$500,T$2,0),$A$459,INDEX(Техника!$H$1:$ABO$500,T$2,0),"З")</f>
        <v>0</v>
      </c>
      <c r="U464" s="50">
        <f>SUMIFS(INDEX(Техника!$F$1:$ABM$500,U$2,0),Техника!$F$4:$ABM$4,"Часы",INDEX(Техника!$G$1:$ABN$500,U$2,0),$A$459,INDEX(Техника!$H$1:$ABO$500,U$2,0),"З")</f>
        <v>0</v>
      </c>
      <c r="V464" s="50">
        <f>SUMIFS(INDEX(Техника!$F$1:$ABM$500,V$2,0),Техника!$F$4:$ABM$4,"Часы",INDEX(Техника!$G$1:$ABN$500,V$2,0),$A$459,INDEX(Техника!$H$1:$ABO$500,V$2,0),"З")</f>
        <v>0</v>
      </c>
      <c r="W464" s="50">
        <f>SUMIFS(INDEX(Техника!$F$1:$ABM$500,W$2,0),Техника!$F$4:$ABM$4,"Часы",INDEX(Техника!$G$1:$ABN$500,W$2,0),$A$459,INDEX(Техника!$H$1:$ABO$500,W$2,0),"З")</f>
        <v>0</v>
      </c>
      <c r="X464" s="50">
        <f>SUMIFS(INDEX(Техника!$F$1:$ABM$500,X$2,0),Техника!$F$4:$ABM$4,"Часы",INDEX(Техника!$G$1:$ABN$500,X$2,0),$A$459,INDEX(Техника!$H$1:$ABO$500,X$2,0),"З")</f>
        <v>0</v>
      </c>
      <c r="Y464" s="50">
        <f>SUMIFS(INDEX(Техника!$F$1:$ABM$500,Y$2,0),Техника!$F$4:$ABM$4,"Часы",INDEX(Техника!$G$1:$ABN$500,Y$2,0),$A$459,INDEX(Техника!$H$1:$ABO$500,Y$2,0),"З")</f>
        <v>0</v>
      </c>
      <c r="Z464" s="50">
        <f>SUMIFS(INDEX(Техника!$F$1:$ABM$500,Z$2,0),Техника!$F$4:$ABM$4,"Часы",INDEX(Техника!$G$1:$ABN$500,Z$2,0),$A$459,INDEX(Техника!$H$1:$ABO$500,Z$2,0),"З")</f>
        <v>0</v>
      </c>
      <c r="AA464" s="50">
        <f>SUMIFS(INDEX(Техника!$F$1:$ABM$500,AA$2,0),Техника!$F$4:$ABM$4,"Часы",INDEX(Техника!$G$1:$ABN$500,AA$2,0),$A$459,INDEX(Техника!$H$1:$ABO$500,AA$2,0),"З")</f>
        <v>0</v>
      </c>
      <c r="AB464" s="50">
        <f>SUMIFS(INDEX(Техника!$F$1:$ABM$500,AB$2,0),Техника!$F$4:$ABM$4,"Часы",INDEX(Техника!$G$1:$ABN$500,AB$2,0),$A$459,INDEX(Техника!$H$1:$ABO$500,AB$2,0),"З")</f>
        <v>0</v>
      </c>
    </row>
    <row r="465" spans="1:28" ht="7.95" customHeight="1" x14ac:dyDescent="0.3">
      <c r="A465" s="38"/>
      <c r="B465" s="39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</row>
    <row r="466" spans="1:28" ht="25.05" customHeight="1" collapsed="1" x14ac:dyDescent="0.3">
      <c r="A466" s="32">
        <v>67</v>
      </c>
      <c r="B466" s="32" t="s">
        <v>68</v>
      </c>
      <c r="C466" s="49">
        <f>SUM(C467:C471)</f>
        <v>0</v>
      </c>
      <c r="D466" s="49">
        <f>SUM(D467:D471)</f>
        <v>0</v>
      </c>
      <c r="E466" s="49">
        <f>SUM(E467:E471)</f>
        <v>0</v>
      </c>
      <c r="F466" s="49">
        <f>SUM(F467:F471)</f>
        <v>0</v>
      </c>
      <c r="G466" s="49">
        <f>SUM(G467:G471)</f>
        <v>0</v>
      </c>
      <c r="H466" s="49">
        <f>SUM(H467:H471)</f>
        <v>0</v>
      </c>
      <c r="I466" s="49">
        <f>SUM(I467:I471)</f>
        <v>0</v>
      </c>
      <c r="J466" s="49">
        <f>SUM(J467:J471)</f>
        <v>0</v>
      </c>
      <c r="K466" s="49">
        <f>SUM(K467:K471)</f>
        <v>0</v>
      </c>
      <c r="L466" s="49">
        <f>SUM(L467:L471)</f>
        <v>0</v>
      </c>
      <c r="M466" s="49">
        <f>SUM(M467:M471)</f>
        <v>0</v>
      </c>
      <c r="N466" s="49">
        <f>SUM(N467:N471)</f>
        <v>0</v>
      </c>
      <c r="O466" s="49">
        <f>SUM(O467:O471)</f>
        <v>0</v>
      </c>
      <c r="P466" s="49">
        <f>SUM(P467:P471)</f>
        <v>0</v>
      </c>
      <c r="Q466" s="49">
        <f>SUM(Q467:Q471)</f>
        <v>0</v>
      </c>
      <c r="R466" s="49">
        <f>SUM(R467:R471)</f>
        <v>0</v>
      </c>
      <c r="S466" s="49">
        <f>SUM(S467:S471)</f>
        <v>0</v>
      </c>
      <c r="T466" s="49">
        <f>SUM(T467:T471)</f>
        <v>0</v>
      </c>
      <c r="U466" s="49">
        <f>SUM(U467:U471)</f>
        <v>0</v>
      </c>
      <c r="V466" s="49">
        <f>SUM(V467:V471)</f>
        <v>0</v>
      </c>
      <c r="W466" s="49">
        <f>SUM(W467:W471)</f>
        <v>0</v>
      </c>
      <c r="X466" s="49">
        <f>SUM(X467:X471)</f>
        <v>0</v>
      </c>
      <c r="Y466" s="49">
        <f>SUM(Y467:Y471)</f>
        <v>0</v>
      </c>
      <c r="Z466" s="49">
        <f>SUM(Z467:Z471)</f>
        <v>0</v>
      </c>
      <c r="AA466" s="49">
        <f>SUM(AA467:AA471)</f>
        <v>0</v>
      </c>
      <c r="AB466" s="49">
        <f>SUM(AB467:AB471)</f>
        <v>0</v>
      </c>
    </row>
    <row r="467" spans="1:28" hidden="1" outlineLevel="1" x14ac:dyDescent="0.3">
      <c r="A467" s="33" t="s">
        <v>246</v>
      </c>
      <c r="B467" s="34" t="s">
        <v>274</v>
      </c>
      <c r="C467" s="50">
        <f>SUMIFS(INDEX(Техника!$F$1:$ABM$500,C$2,0),Техника!$F$4:$ABM$4,"Часы",INDEX(Техника!$G$1:$ABN$500,C$2,0),$A$466,INDEX(Техника!$H$1:$ABO$500,C$2,0),"М")</f>
        <v>0</v>
      </c>
      <c r="D467" s="50">
        <f>SUMIFS(INDEX(Техника!$F$1:$ABM$500,D$2,0),Техника!$F$4:$ABM$4,"Часы",INDEX(Техника!$G$1:$ABN$500,D$2,0),$A$466,INDEX(Техника!$H$1:$ABO$500,D$2,0),"М")</f>
        <v>0</v>
      </c>
      <c r="E467" s="50">
        <f>SUMIFS(INDEX(Техника!$F$1:$ABM$500,E$2,0),Техника!$F$4:$ABM$4,"Часы",INDEX(Техника!$G$1:$ABN$500,E$2,0),$A$466,INDEX(Техника!$H$1:$ABO$500,E$2,0),"М")</f>
        <v>0</v>
      </c>
      <c r="F467" s="50">
        <f>SUMIFS(INDEX(Техника!$F$1:$ABM$500,F$2,0),Техника!$F$4:$ABM$4,"Часы",INDEX(Техника!$G$1:$ABN$500,F$2,0),$A$466,INDEX(Техника!$H$1:$ABO$500,F$2,0),"М")</f>
        <v>0</v>
      </c>
      <c r="G467" s="50">
        <f>SUMIFS(INDEX(Техника!$F$1:$ABM$500,G$2,0),Техника!$F$4:$ABM$4,"Часы",INDEX(Техника!$G$1:$ABN$500,G$2,0),$A$466,INDEX(Техника!$H$1:$ABO$500,G$2,0),"М")</f>
        <v>0</v>
      </c>
      <c r="H467" s="50">
        <f>SUMIFS(INDEX(Техника!$F$1:$ABM$500,H$2,0),Техника!$F$4:$ABM$4,"Часы",INDEX(Техника!$G$1:$ABN$500,H$2,0),$A$466,INDEX(Техника!$H$1:$ABO$500,H$2,0),"М")</f>
        <v>0</v>
      </c>
      <c r="I467" s="50">
        <f>SUMIFS(INDEX(Техника!$F$1:$ABM$500,I$2,0),Техника!$F$4:$ABM$4,"Часы",INDEX(Техника!$G$1:$ABN$500,I$2,0),$A$466,INDEX(Техника!$H$1:$ABO$500,I$2,0),"М")</f>
        <v>0</v>
      </c>
      <c r="J467" s="50">
        <f>SUMIFS(INDEX(Техника!$F$1:$ABM$500,J$2,0),Техника!$F$4:$ABM$4,"Часы",INDEX(Техника!$G$1:$ABN$500,J$2,0),$A$466,INDEX(Техника!$H$1:$ABO$500,J$2,0),"М")</f>
        <v>0</v>
      </c>
      <c r="K467" s="50">
        <f>SUMIFS(INDEX(Техника!$F$1:$ABM$500,K$2,0),Техника!$F$4:$ABM$4,"Часы",INDEX(Техника!$G$1:$ABN$500,K$2,0),$A$466,INDEX(Техника!$H$1:$ABO$500,K$2,0),"М")</f>
        <v>0</v>
      </c>
      <c r="L467" s="50">
        <f>SUMIFS(INDEX(Техника!$F$1:$ABM$500,L$2,0),Техника!$F$4:$ABM$4,"Часы",INDEX(Техника!$G$1:$ABN$500,L$2,0),$A$466,INDEX(Техника!$H$1:$ABO$500,L$2,0),"М")</f>
        <v>0</v>
      </c>
      <c r="M467" s="50">
        <f>SUMIFS(INDEX(Техника!$F$1:$ABM$500,M$2,0),Техника!$F$4:$ABM$4,"Часы",INDEX(Техника!$G$1:$ABN$500,M$2,0),$A$466,INDEX(Техника!$H$1:$ABO$500,M$2,0),"М")</f>
        <v>0</v>
      </c>
      <c r="N467" s="50">
        <f>SUMIFS(INDEX(Техника!$F$1:$ABM$500,N$2,0),Техника!$F$4:$ABM$4,"Часы",INDEX(Техника!$G$1:$ABN$500,N$2,0),$A$466,INDEX(Техника!$H$1:$ABO$500,N$2,0),"М")</f>
        <v>0</v>
      </c>
      <c r="O467" s="50">
        <f>SUMIFS(INDEX(Техника!$F$1:$ABM$500,O$2,0),Техника!$F$4:$ABM$4,"Часы",INDEX(Техника!$G$1:$ABN$500,O$2,0),$A$466,INDEX(Техника!$H$1:$ABO$500,O$2,0),"М")</f>
        <v>0</v>
      </c>
      <c r="P467" s="50">
        <f>SUMIFS(INDEX(Техника!$F$1:$ABM$500,P$2,0),Техника!$F$4:$ABM$4,"Часы",INDEX(Техника!$G$1:$ABN$500,P$2,0),$A$466,INDEX(Техника!$H$1:$ABO$500,P$2,0),"М")</f>
        <v>0</v>
      </c>
      <c r="Q467" s="50">
        <f>SUMIFS(INDEX(Техника!$F$1:$ABM$500,Q$2,0),Техника!$F$4:$ABM$4,"Часы",INDEX(Техника!$G$1:$ABN$500,Q$2,0),$A$466,INDEX(Техника!$H$1:$ABO$500,Q$2,0),"М")</f>
        <v>0</v>
      </c>
      <c r="R467" s="50">
        <f>SUMIFS(INDEX(Техника!$F$1:$ABM$500,R$2,0),Техника!$F$4:$ABM$4,"Часы",INDEX(Техника!$G$1:$ABN$500,R$2,0),$A$466,INDEX(Техника!$H$1:$ABO$500,R$2,0),"М")</f>
        <v>0</v>
      </c>
      <c r="S467" s="50">
        <f>SUMIFS(INDEX(Техника!$F$1:$ABM$500,S$2,0),Техника!$F$4:$ABM$4,"Часы",INDEX(Техника!$G$1:$ABN$500,S$2,0),$A$466,INDEX(Техника!$H$1:$ABO$500,S$2,0),"М")</f>
        <v>0</v>
      </c>
      <c r="T467" s="50">
        <f>SUMIFS(INDEX(Техника!$F$1:$ABM$500,T$2,0),Техника!$F$4:$ABM$4,"Часы",INDEX(Техника!$G$1:$ABN$500,T$2,0),$A$466,INDEX(Техника!$H$1:$ABO$500,T$2,0),"М")</f>
        <v>0</v>
      </c>
      <c r="U467" s="50">
        <f>SUMIFS(INDEX(Техника!$F$1:$ABM$500,U$2,0),Техника!$F$4:$ABM$4,"Часы",INDEX(Техника!$G$1:$ABN$500,U$2,0),$A$466,INDEX(Техника!$H$1:$ABO$500,U$2,0),"М")</f>
        <v>0</v>
      </c>
      <c r="V467" s="50">
        <f>SUMIFS(INDEX(Техника!$F$1:$ABM$500,V$2,0),Техника!$F$4:$ABM$4,"Часы",INDEX(Техника!$G$1:$ABN$500,V$2,0),$A$466,INDEX(Техника!$H$1:$ABO$500,V$2,0),"М")</f>
        <v>0</v>
      </c>
      <c r="W467" s="50">
        <f>SUMIFS(INDEX(Техника!$F$1:$ABM$500,W$2,0),Техника!$F$4:$ABM$4,"Часы",INDEX(Техника!$G$1:$ABN$500,W$2,0),$A$466,INDEX(Техника!$H$1:$ABO$500,W$2,0),"М")</f>
        <v>0</v>
      </c>
      <c r="X467" s="50">
        <f>SUMIFS(INDEX(Техника!$F$1:$ABM$500,X$2,0),Техника!$F$4:$ABM$4,"Часы",INDEX(Техника!$G$1:$ABN$500,X$2,0),$A$466,INDEX(Техника!$H$1:$ABO$500,X$2,0),"М")</f>
        <v>0</v>
      </c>
      <c r="Y467" s="50">
        <f>SUMIFS(INDEX(Техника!$F$1:$ABM$500,Y$2,0),Техника!$F$4:$ABM$4,"Часы",INDEX(Техника!$G$1:$ABN$500,Y$2,0),$A$466,INDEX(Техника!$H$1:$ABO$500,Y$2,0),"М")</f>
        <v>0</v>
      </c>
      <c r="Z467" s="50">
        <f>SUMIFS(INDEX(Техника!$F$1:$ABM$500,Z$2,0),Техника!$F$4:$ABM$4,"Часы",INDEX(Техника!$G$1:$ABN$500,Z$2,0),$A$466,INDEX(Техника!$H$1:$ABO$500,Z$2,0),"М")</f>
        <v>0</v>
      </c>
      <c r="AA467" s="50">
        <f>SUMIFS(INDEX(Техника!$F$1:$ABM$500,AA$2,0),Техника!$F$4:$ABM$4,"Часы",INDEX(Техника!$G$1:$ABN$500,AA$2,0),$A$466,INDEX(Техника!$H$1:$ABO$500,AA$2,0),"М")</f>
        <v>0</v>
      </c>
      <c r="AB467" s="50">
        <f>SUMIFS(INDEX(Техника!$F$1:$ABM$500,AB$2,0),Техника!$F$4:$ABM$4,"Часы",INDEX(Техника!$G$1:$ABN$500,AB$2,0),$A$466,INDEX(Техника!$H$1:$ABO$500,AB$2,0),"М")</f>
        <v>0</v>
      </c>
    </row>
    <row r="468" spans="1:28" hidden="1" outlineLevel="1" x14ac:dyDescent="0.3">
      <c r="A468" s="33" t="s">
        <v>244</v>
      </c>
      <c r="B468" s="34" t="s">
        <v>275</v>
      </c>
      <c r="C468" s="50">
        <f>SUMIFS(INDEX(Техника!$F$1:$ABM$500,C$2,0),Техника!$F$4:$ABM$4,"Часы",INDEX(Техника!$G$1:$ABN$500,C$2,0),$A$466,INDEX(Техника!$H$1:$ABO$500,C$2,0),"Д")</f>
        <v>0</v>
      </c>
      <c r="D468" s="50">
        <f>SUMIFS(INDEX(Техника!$F$1:$ABM$500,D$2,0),Техника!$F$4:$ABM$4,"Часы",INDEX(Техника!$G$1:$ABN$500,D$2,0),$A$466,INDEX(Техника!$H$1:$ABO$500,D$2,0),"Д")</f>
        <v>0</v>
      </c>
      <c r="E468" s="50">
        <f>SUMIFS(INDEX(Техника!$F$1:$ABM$500,E$2,0),Техника!$F$4:$ABM$4,"Часы",INDEX(Техника!$G$1:$ABN$500,E$2,0),$A$466,INDEX(Техника!$H$1:$ABO$500,E$2,0),"Д")</f>
        <v>0</v>
      </c>
      <c r="F468" s="50">
        <f>SUMIFS(INDEX(Техника!$F$1:$ABM$500,F$2,0),Техника!$F$4:$ABM$4,"Часы",INDEX(Техника!$G$1:$ABN$500,F$2,0),$A$466,INDEX(Техника!$H$1:$ABO$500,F$2,0),"Д")</f>
        <v>0</v>
      </c>
      <c r="G468" s="50">
        <f>SUMIFS(INDEX(Техника!$F$1:$ABM$500,G$2,0),Техника!$F$4:$ABM$4,"Часы",INDEX(Техника!$G$1:$ABN$500,G$2,0),$A$466,INDEX(Техника!$H$1:$ABO$500,G$2,0),"Д")</f>
        <v>0</v>
      </c>
      <c r="H468" s="50">
        <f>SUMIFS(INDEX(Техника!$F$1:$ABM$500,H$2,0),Техника!$F$4:$ABM$4,"Часы",INDEX(Техника!$G$1:$ABN$500,H$2,0),$A$466,INDEX(Техника!$H$1:$ABO$500,H$2,0),"Д")</f>
        <v>0</v>
      </c>
      <c r="I468" s="50">
        <f>SUMIFS(INDEX(Техника!$F$1:$ABM$500,I$2,0),Техника!$F$4:$ABM$4,"Часы",INDEX(Техника!$G$1:$ABN$500,I$2,0),$A$466,INDEX(Техника!$H$1:$ABO$500,I$2,0),"Д")</f>
        <v>0</v>
      </c>
      <c r="J468" s="50">
        <f>SUMIFS(INDEX(Техника!$F$1:$ABM$500,J$2,0),Техника!$F$4:$ABM$4,"Часы",INDEX(Техника!$G$1:$ABN$500,J$2,0),$A$466,INDEX(Техника!$H$1:$ABO$500,J$2,0),"Д")</f>
        <v>0</v>
      </c>
      <c r="K468" s="50">
        <f>SUMIFS(INDEX(Техника!$F$1:$ABM$500,K$2,0),Техника!$F$4:$ABM$4,"Часы",INDEX(Техника!$G$1:$ABN$500,K$2,0),$A$466,INDEX(Техника!$H$1:$ABO$500,K$2,0),"Д")</f>
        <v>0</v>
      </c>
      <c r="L468" s="50">
        <f>SUMIFS(INDEX(Техника!$F$1:$ABM$500,L$2,0),Техника!$F$4:$ABM$4,"Часы",INDEX(Техника!$G$1:$ABN$500,L$2,0),$A$466,INDEX(Техника!$H$1:$ABO$500,L$2,0),"Д")</f>
        <v>0</v>
      </c>
      <c r="M468" s="50">
        <f>SUMIFS(INDEX(Техника!$F$1:$ABM$500,M$2,0),Техника!$F$4:$ABM$4,"Часы",INDEX(Техника!$G$1:$ABN$500,M$2,0),$A$466,INDEX(Техника!$H$1:$ABO$500,M$2,0),"Д")</f>
        <v>0</v>
      </c>
      <c r="N468" s="50">
        <f>SUMIFS(INDEX(Техника!$F$1:$ABM$500,N$2,0),Техника!$F$4:$ABM$4,"Часы",INDEX(Техника!$G$1:$ABN$500,N$2,0),$A$466,INDEX(Техника!$H$1:$ABO$500,N$2,0),"Д")</f>
        <v>0</v>
      </c>
      <c r="O468" s="50">
        <f>SUMIFS(INDEX(Техника!$F$1:$ABM$500,O$2,0),Техника!$F$4:$ABM$4,"Часы",INDEX(Техника!$G$1:$ABN$500,O$2,0),$A$466,INDEX(Техника!$H$1:$ABO$500,O$2,0),"Д")</f>
        <v>0</v>
      </c>
      <c r="P468" s="50">
        <f>SUMIFS(INDEX(Техника!$F$1:$ABM$500,P$2,0),Техника!$F$4:$ABM$4,"Часы",INDEX(Техника!$G$1:$ABN$500,P$2,0),$A$466,INDEX(Техника!$H$1:$ABO$500,P$2,0),"Д")</f>
        <v>0</v>
      </c>
      <c r="Q468" s="50">
        <f>SUMIFS(INDEX(Техника!$F$1:$ABM$500,Q$2,0),Техника!$F$4:$ABM$4,"Часы",INDEX(Техника!$G$1:$ABN$500,Q$2,0),$A$466,INDEX(Техника!$H$1:$ABO$500,Q$2,0),"Д")</f>
        <v>0</v>
      </c>
      <c r="R468" s="50">
        <f>SUMIFS(INDEX(Техника!$F$1:$ABM$500,R$2,0),Техника!$F$4:$ABM$4,"Часы",INDEX(Техника!$G$1:$ABN$500,R$2,0),$A$466,INDEX(Техника!$H$1:$ABO$500,R$2,0),"Д")</f>
        <v>0</v>
      </c>
      <c r="S468" s="50">
        <f>SUMIFS(INDEX(Техника!$F$1:$ABM$500,S$2,0),Техника!$F$4:$ABM$4,"Часы",INDEX(Техника!$G$1:$ABN$500,S$2,0),$A$466,INDEX(Техника!$H$1:$ABO$500,S$2,0),"Д")</f>
        <v>0</v>
      </c>
      <c r="T468" s="50">
        <f>SUMIFS(INDEX(Техника!$F$1:$ABM$500,T$2,0),Техника!$F$4:$ABM$4,"Часы",INDEX(Техника!$G$1:$ABN$500,T$2,0),$A$466,INDEX(Техника!$H$1:$ABO$500,T$2,0),"Д")</f>
        <v>0</v>
      </c>
      <c r="U468" s="50">
        <f>SUMIFS(INDEX(Техника!$F$1:$ABM$500,U$2,0),Техника!$F$4:$ABM$4,"Часы",INDEX(Техника!$G$1:$ABN$500,U$2,0),$A$466,INDEX(Техника!$H$1:$ABO$500,U$2,0),"Д")</f>
        <v>0</v>
      </c>
      <c r="V468" s="50">
        <f>SUMIFS(INDEX(Техника!$F$1:$ABM$500,V$2,0),Техника!$F$4:$ABM$4,"Часы",INDEX(Техника!$G$1:$ABN$500,V$2,0),$A$466,INDEX(Техника!$H$1:$ABO$500,V$2,0),"Д")</f>
        <v>0</v>
      </c>
      <c r="W468" s="50">
        <f>SUMIFS(INDEX(Техника!$F$1:$ABM$500,W$2,0),Техника!$F$4:$ABM$4,"Часы",INDEX(Техника!$G$1:$ABN$500,W$2,0),$A$466,INDEX(Техника!$H$1:$ABO$500,W$2,0),"Д")</f>
        <v>0</v>
      </c>
      <c r="X468" s="50">
        <f>SUMIFS(INDEX(Техника!$F$1:$ABM$500,X$2,0),Техника!$F$4:$ABM$4,"Часы",INDEX(Техника!$G$1:$ABN$500,X$2,0),$A$466,INDEX(Техника!$H$1:$ABO$500,X$2,0),"Д")</f>
        <v>0</v>
      </c>
      <c r="Y468" s="50">
        <f>SUMIFS(INDEX(Техника!$F$1:$ABM$500,Y$2,0),Техника!$F$4:$ABM$4,"Часы",INDEX(Техника!$G$1:$ABN$500,Y$2,0),$A$466,INDEX(Техника!$H$1:$ABO$500,Y$2,0),"Д")</f>
        <v>0</v>
      </c>
      <c r="Z468" s="50">
        <f>SUMIFS(INDEX(Техника!$F$1:$ABM$500,Z$2,0),Техника!$F$4:$ABM$4,"Часы",INDEX(Техника!$G$1:$ABN$500,Z$2,0),$A$466,INDEX(Техника!$H$1:$ABO$500,Z$2,0),"Д")</f>
        <v>0</v>
      </c>
      <c r="AA468" s="50">
        <f>SUMIFS(INDEX(Техника!$F$1:$ABM$500,AA$2,0),Техника!$F$4:$ABM$4,"Часы",INDEX(Техника!$G$1:$ABN$500,AA$2,0),$A$466,INDEX(Техника!$H$1:$ABO$500,AA$2,0),"Д")</f>
        <v>0</v>
      </c>
      <c r="AB468" s="50">
        <f>SUMIFS(INDEX(Техника!$F$1:$ABM$500,AB$2,0),Техника!$F$4:$ABM$4,"Часы",INDEX(Техника!$G$1:$ABN$500,AB$2,0),$A$466,INDEX(Техника!$H$1:$ABO$500,AB$2,0),"Д")</f>
        <v>0</v>
      </c>
    </row>
    <row r="469" spans="1:28" hidden="1" outlineLevel="1" x14ac:dyDescent="0.3">
      <c r="A469" s="33" t="s">
        <v>276</v>
      </c>
      <c r="B469" s="34" t="s">
        <v>277</v>
      </c>
      <c r="C469" s="50">
        <f>SUMIFS(INDEX(Техника!$F$1:$ABM$500,C$2,0),Техника!$F$4:$ABM$4,"Часы",INDEX(Техника!$G$1:$ABN$500,C$2,0),$A$466,INDEX(Техника!$H$1:$ABO$500,C$2,0),"П")</f>
        <v>0</v>
      </c>
      <c r="D469" s="50">
        <f>SUMIFS(INDEX(Техника!$F$1:$ABM$500,D$2,0),Техника!$F$4:$ABM$4,"Часы",INDEX(Техника!$G$1:$ABN$500,D$2,0),$A$466,INDEX(Техника!$H$1:$ABO$500,D$2,0),"П")</f>
        <v>0</v>
      </c>
      <c r="E469" s="50">
        <f>SUMIFS(INDEX(Техника!$F$1:$ABM$500,E$2,0),Техника!$F$4:$ABM$4,"Часы",INDEX(Техника!$G$1:$ABN$500,E$2,0),$A$466,INDEX(Техника!$H$1:$ABO$500,E$2,0),"П")</f>
        <v>0</v>
      </c>
      <c r="F469" s="50">
        <f>SUMIFS(INDEX(Техника!$F$1:$ABM$500,F$2,0),Техника!$F$4:$ABM$4,"Часы",INDEX(Техника!$G$1:$ABN$500,F$2,0),$A$466,INDEX(Техника!$H$1:$ABO$500,F$2,0),"П")</f>
        <v>0</v>
      </c>
      <c r="G469" s="50">
        <f>SUMIFS(INDEX(Техника!$F$1:$ABM$500,G$2,0),Техника!$F$4:$ABM$4,"Часы",INDEX(Техника!$G$1:$ABN$500,G$2,0),$A$466,INDEX(Техника!$H$1:$ABO$500,G$2,0),"П")</f>
        <v>0</v>
      </c>
      <c r="H469" s="50">
        <f>SUMIFS(INDEX(Техника!$F$1:$ABM$500,H$2,0),Техника!$F$4:$ABM$4,"Часы",INDEX(Техника!$G$1:$ABN$500,H$2,0),$A$466,INDEX(Техника!$H$1:$ABO$500,H$2,0),"П")</f>
        <v>0</v>
      </c>
      <c r="I469" s="50">
        <f>SUMIFS(INDEX(Техника!$F$1:$ABM$500,I$2,0),Техника!$F$4:$ABM$4,"Часы",INDEX(Техника!$G$1:$ABN$500,I$2,0),$A$466,INDEX(Техника!$H$1:$ABO$500,I$2,0),"П")</f>
        <v>0</v>
      </c>
      <c r="J469" s="50">
        <f>SUMIFS(INDEX(Техника!$F$1:$ABM$500,J$2,0),Техника!$F$4:$ABM$4,"Часы",INDEX(Техника!$G$1:$ABN$500,J$2,0),$A$466,INDEX(Техника!$H$1:$ABO$500,J$2,0),"П")</f>
        <v>0</v>
      </c>
      <c r="K469" s="50">
        <f>SUMIFS(INDEX(Техника!$F$1:$ABM$500,K$2,0),Техника!$F$4:$ABM$4,"Часы",INDEX(Техника!$G$1:$ABN$500,K$2,0),$A$466,INDEX(Техника!$H$1:$ABO$500,K$2,0),"П")</f>
        <v>0</v>
      </c>
      <c r="L469" s="50">
        <f>SUMIFS(INDEX(Техника!$F$1:$ABM$500,L$2,0),Техника!$F$4:$ABM$4,"Часы",INDEX(Техника!$G$1:$ABN$500,L$2,0),$A$466,INDEX(Техника!$H$1:$ABO$500,L$2,0),"П")</f>
        <v>0</v>
      </c>
      <c r="M469" s="50">
        <f>SUMIFS(INDEX(Техника!$F$1:$ABM$500,M$2,0),Техника!$F$4:$ABM$4,"Часы",INDEX(Техника!$G$1:$ABN$500,M$2,0),$A$466,INDEX(Техника!$H$1:$ABO$500,M$2,0),"П")</f>
        <v>0</v>
      </c>
      <c r="N469" s="50">
        <f>SUMIFS(INDEX(Техника!$F$1:$ABM$500,N$2,0),Техника!$F$4:$ABM$4,"Часы",INDEX(Техника!$G$1:$ABN$500,N$2,0),$A$466,INDEX(Техника!$H$1:$ABO$500,N$2,0),"П")</f>
        <v>0</v>
      </c>
      <c r="O469" s="50">
        <f>SUMIFS(INDEX(Техника!$F$1:$ABM$500,O$2,0),Техника!$F$4:$ABM$4,"Часы",INDEX(Техника!$G$1:$ABN$500,O$2,0),$A$466,INDEX(Техника!$H$1:$ABO$500,O$2,0),"П")</f>
        <v>0</v>
      </c>
      <c r="P469" s="50">
        <f>SUMIFS(INDEX(Техника!$F$1:$ABM$500,P$2,0),Техника!$F$4:$ABM$4,"Часы",INDEX(Техника!$G$1:$ABN$500,P$2,0),$A$466,INDEX(Техника!$H$1:$ABO$500,P$2,0),"П")</f>
        <v>0</v>
      </c>
      <c r="Q469" s="50">
        <f>SUMIFS(INDEX(Техника!$F$1:$ABM$500,Q$2,0),Техника!$F$4:$ABM$4,"Часы",INDEX(Техника!$G$1:$ABN$500,Q$2,0),$A$466,INDEX(Техника!$H$1:$ABO$500,Q$2,0),"П")</f>
        <v>0</v>
      </c>
      <c r="R469" s="50">
        <f>SUMIFS(INDEX(Техника!$F$1:$ABM$500,R$2,0),Техника!$F$4:$ABM$4,"Часы",INDEX(Техника!$G$1:$ABN$500,R$2,0),$A$466,INDEX(Техника!$H$1:$ABO$500,R$2,0),"П")</f>
        <v>0</v>
      </c>
      <c r="S469" s="50">
        <f>SUMIFS(INDEX(Техника!$F$1:$ABM$500,S$2,0),Техника!$F$4:$ABM$4,"Часы",INDEX(Техника!$G$1:$ABN$500,S$2,0),$A$466,INDEX(Техника!$H$1:$ABO$500,S$2,0),"П")</f>
        <v>0</v>
      </c>
      <c r="T469" s="50">
        <f>SUMIFS(INDEX(Техника!$F$1:$ABM$500,T$2,0),Техника!$F$4:$ABM$4,"Часы",INDEX(Техника!$G$1:$ABN$500,T$2,0),$A$466,INDEX(Техника!$H$1:$ABO$500,T$2,0),"П")</f>
        <v>0</v>
      </c>
      <c r="U469" s="50">
        <f>SUMIFS(INDEX(Техника!$F$1:$ABM$500,U$2,0),Техника!$F$4:$ABM$4,"Часы",INDEX(Техника!$G$1:$ABN$500,U$2,0),$A$466,INDEX(Техника!$H$1:$ABO$500,U$2,0),"П")</f>
        <v>0</v>
      </c>
      <c r="V469" s="50">
        <f>SUMIFS(INDEX(Техника!$F$1:$ABM$500,V$2,0),Техника!$F$4:$ABM$4,"Часы",INDEX(Техника!$G$1:$ABN$500,V$2,0),$A$466,INDEX(Техника!$H$1:$ABO$500,V$2,0),"П")</f>
        <v>0</v>
      </c>
      <c r="W469" s="50">
        <f>SUMIFS(INDEX(Техника!$F$1:$ABM$500,W$2,0),Техника!$F$4:$ABM$4,"Часы",INDEX(Техника!$G$1:$ABN$500,W$2,0),$A$466,INDEX(Техника!$H$1:$ABO$500,W$2,0),"П")</f>
        <v>0</v>
      </c>
      <c r="X469" s="50">
        <f>SUMIFS(INDEX(Техника!$F$1:$ABM$500,X$2,0),Техника!$F$4:$ABM$4,"Часы",INDEX(Техника!$G$1:$ABN$500,X$2,0),$A$466,INDEX(Техника!$H$1:$ABO$500,X$2,0),"П")</f>
        <v>0</v>
      </c>
      <c r="Y469" s="50">
        <f>SUMIFS(INDEX(Техника!$F$1:$ABM$500,Y$2,0),Техника!$F$4:$ABM$4,"Часы",INDEX(Техника!$G$1:$ABN$500,Y$2,0),$A$466,INDEX(Техника!$H$1:$ABO$500,Y$2,0),"П")</f>
        <v>0</v>
      </c>
      <c r="Z469" s="50">
        <f>SUMIFS(INDEX(Техника!$F$1:$ABM$500,Z$2,0),Техника!$F$4:$ABM$4,"Часы",INDEX(Техника!$G$1:$ABN$500,Z$2,0),$A$466,INDEX(Техника!$H$1:$ABO$500,Z$2,0),"П")</f>
        <v>0</v>
      </c>
      <c r="AA469" s="50">
        <f>SUMIFS(INDEX(Техника!$F$1:$ABM$500,AA$2,0),Техника!$F$4:$ABM$4,"Часы",INDEX(Техника!$G$1:$ABN$500,AA$2,0),$A$466,INDEX(Техника!$H$1:$ABO$500,AA$2,0),"П")</f>
        <v>0</v>
      </c>
      <c r="AB469" s="50">
        <f>SUMIFS(INDEX(Техника!$F$1:$ABM$500,AB$2,0),Техника!$F$4:$ABM$4,"Часы",INDEX(Техника!$G$1:$ABN$500,AB$2,0),$A$466,INDEX(Техника!$H$1:$ABO$500,AB$2,0),"П")</f>
        <v>0</v>
      </c>
    </row>
    <row r="470" spans="1:28" hidden="1" outlineLevel="1" x14ac:dyDescent="0.3">
      <c r="A470" s="33" t="s">
        <v>243</v>
      </c>
      <c r="B470" s="34" t="s">
        <v>278</v>
      </c>
      <c r="C470" s="50">
        <f>SUMIFS(INDEX(Техника!$F$1:$ABM$500,C$2,0),Техника!$F$4:$ABM$4,"Часы",INDEX(Техника!$G$1:$ABN$500,C$2,0),$A$466,INDEX(Техника!$H$1:$ABO$500,C$2,0),"Л")</f>
        <v>0</v>
      </c>
      <c r="D470" s="50">
        <f>SUMIFS(INDEX(Техника!$F$1:$ABM$500,D$2,0),Техника!$F$4:$ABM$4,"Часы",INDEX(Техника!$G$1:$ABN$500,D$2,0),$A$466,INDEX(Техника!$H$1:$ABO$500,D$2,0),"Л")</f>
        <v>0</v>
      </c>
      <c r="E470" s="50">
        <f>SUMIFS(INDEX(Техника!$F$1:$ABM$500,E$2,0),Техника!$F$4:$ABM$4,"Часы",INDEX(Техника!$G$1:$ABN$500,E$2,0),$A$466,INDEX(Техника!$H$1:$ABO$500,E$2,0),"Л")</f>
        <v>0</v>
      </c>
      <c r="F470" s="50">
        <f>SUMIFS(INDEX(Техника!$F$1:$ABM$500,F$2,0),Техника!$F$4:$ABM$4,"Часы",INDEX(Техника!$G$1:$ABN$500,F$2,0),$A$466,INDEX(Техника!$H$1:$ABO$500,F$2,0),"Л")</f>
        <v>0</v>
      </c>
      <c r="G470" s="50">
        <f>SUMIFS(INDEX(Техника!$F$1:$ABM$500,G$2,0),Техника!$F$4:$ABM$4,"Часы",INDEX(Техника!$G$1:$ABN$500,G$2,0),$A$466,INDEX(Техника!$H$1:$ABO$500,G$2,0),"Л")</f>
        <v>0</v>
      </c>
      <c r="H470" s="50">
        <f>SUMIFS(INDEX(Техника!$F$1:$ABM$500,H$2,0),Техника!$F$4:$ABM$4,"Часы",INDEX(Техника!$G$1:$ABN$500,H$2,0),$A$466,INDEX(Техника!$H$1:$ABO$500,H$2,0),"Л")</f>
        <v>0</v>
      </c>
      <c r="I470" s="50">
        <f>SUMIFS(INDEX(Техника!$F$1:$ABM$500,I$2,0),Техника!$F$4:$ABM$4,"Часы",INDEX(Техника!$G$1:$ABN$500,I$2,0),$A$466,INDEX(Техника!$H$1:$ABO$500,I$2,0),"Л")</f>
        <v>0</v>
      </c>
      <c r="J470" s="50">
        <f>SUMIFS(INDEX(Техника!$F$1:$ABM$500,J$2,0),Техника!$F$4:$ABM$4,"Часы",INDEX(Техника!$G$1:$ABN$500,J$2,0),$A$466,INDEX(Техника!$H$1:$ABO$500,J$2,0),"Л")</f>
        <v>0</v>
      </c>
      <c r="K470" s="50">
        <f>SUMIFS(INDEX(Техника!$F$1:$ABM$500,K$2,0),Техника!$F$4:$ABM$4,"Часы",INDEX(Техника!$G$1:$ABN$500,K$2,0),$A$466,INDEX(Техника!$H$1:$ABO$500,K$2,0),"Л")</f>
        <v>0</v>
      </c>
      <c r="L470" s="50">
        <f>SUMIFS(INDEX(Техника!$F$1:$ABM$500,L$2,0),Техника!$F$4:$ABM$4,"Часы",INDEX(Техника!$G$1:$ABN$500,L$2,0),$A$466,INDEX(Техника!$H$1:$ABO$500,L$2,0),"Л")</f>
        <v>0</v>
      </c>
      <c r="M470" s="50">
        <f>SUMIFS(INDEX(Техника!$F$1:$ABM$500,M$2,0),Техника!$F$4:$ABM$4,"Часы",INDEX(Техника!$G$1:$ABN$500,M$2,0),$A$466,INDEX(Техника!$H$1:$ABO$500,M$2,0),"Л")</f>
        <v>0</v>
      </c>
      <c r="N470" s="50">
        <f>SUMIFS(INDEX(Техника!$F$1:$ABM$500,N$2,0),Техника!$F$4:$ABM$4,"Часы",INDEX(Техника!$G$1:$ABN$500,N$2,0),$A$466,INDEX(Техника!$H$1:$ABO$500,N$2,0),"Л")</f>
        <v>0</v>
      </c>
      <c r="O470" s="50">
        <f>SUMIFS(INDEX(Техника!$F$1:$ABM$500,O$2,0),Техника!$F$4:$ABM$4,"Часы",INDEX(Техника!$G$1:$ABN$500,O$2,0),$A$466,INDEX(Техника!$H$1:$ABO$500,O$2,0),"Л")</f>
        <v>0</v>
      </c>
      <c r="P470" s="50">
        <f>SUMIFS(INDEX(Техника!$F$1:$ABM$500,P$2,0),Техника!$F$4:$ABM$4,"Часы",INDEX(Техника!$G$1:$ABN$500,P$2,0),$A$466,INDEX(Техника!$H$1:$ABO$500,P$2,0),"Л")</f>
        <v>0</v>
      </c>
      <c r="Q470" s="50">
        <f>SUMIFS(INDEX(Техника!$F$1:$ABM$500,Q$2,0),Техника!$F$4:$ABM$4,"Часы",INDEX(Техника!$G$1:$ABN$500,Q$2,0),$A$466,INDEX(Техника!$H$1:$ABO$500,Q$2,0),"Л")</f>
        <v>0</v>
      </c>
      <c r="R470" s="50">
        <f>SUMIFS(INDEX(Техника!$F$1:$ABM$500,R$2,0),Техника!$F$4:$ABM$4,"Часы",INDEX(Техника!$G$1:$ABN$500,R$2,0),$A$466,INDEX(Техника!$H$1:$ABO$500,R$2,0),"Л")</f>
        <v>0</v>
      </c>
      <c r="S470" s="50">
        <f>SUMIFS(INDEX(Техника!$F$1:$ABM$500,S$2,0),Техника!$F$4:$ABM$4,"Часы",INDEX(Техника!$G$1:$ABN$500,S$2,0),$A$466,INDEX(Техника!$H$1:$ABO$500,S$2,0),"Л")</f>
        <v>0</v>
      </c>
      <c r="T470" s="50">
        <f>SUMIFS(INDEX(Техника!$F$1:$ABM$500,T$2,0),Техника!$F$4:$ABM$4,"Часы",INDEX(Техника!$G$1:$ABN$500,T$2,0),$A$466,INDEX(Техника!$H$1:$ABO$500,T$2,0),"Л")</f>
        <v>0</v>
      </c>
      <c r="U470" s="50">
        <f>SUMIFS(INDEX(Техника!$F$1:$ABM$500,U$2,0),Техника!$F$4:$ABM$4,"Часы",INDEX(Техника!$G$1:$ABN$500,U$2,0),$A$466,INDEX(Техника!$H$1:$ABO$500,U$2,0),"Л")</f>
        <v>0</v>
      </c>
      <c r="V470" s="50">
        <f>SUMIFS(INDEX(Техника!$F$1:$ABM$500,V$2,0),Техника!$F$4:$ABM$4,"Часы",INDEX(Техника!$G$1:$ABN$500,V$2,0),$A$466,INDEX(Техника!$H$1:$ABO$500,V$2,0),"Л")</f>
        <v>0</v>
      </c>
      <c r="W470" s="50">
        <f>SUMIFS(INDEX(Техника!$F$1:$ABM$500,W$2,0),Техника!$F$4:$ABM$4,"Часы",INDEX(Техника!$G$1:$ABN$500,W$2,0),$A$466,INDEX(Техника!$H$1:$ABO$500,W$2,0),"Л")</f>
        <v>0</v>
      </c>
      <c r="X470" s="50">
        <f>SUMIFS(INDEX(Техника!$F$1:$ABM$500,X$2,0),Техника!$F$4:$ABM$4,"Часы",INDEX(Техника!$G$1:$ABN$500,X$2,0),$A$466,INDEX(Техника!$H$1:$ABO$500,X$2,0),"Л")</f>
        <v>0</v>
      </c>
      <c r="Y470" s="50">
        <f>SUMIFS(INDEX(Техника!$F$1:$ABM$500,Y$2,0),Техника!$F$4:$ABM$4,"Часы",INDEX(Техника!$G$1:$ABN$500,Y$2,0),$A$466,INDEX(Техника!$H$1:$ABO$500,Y$2,0),"Л")</f>
        <v>0</v>
      </c>
      <c r="Z470" s="50">
        <f>SUMIFS(INDEX(Техника!$F$1:$ABM$500,Z$2,0),Техника!$F$4:$ABM$4,"Часы",INDEX(Техника!$G$1:$ABN$500,Z$2,0),$A$466,INDEX(Техника!$H$1:$ABO$500,Z$2,0),"Л")</f>
        <v>0</v>
      </c>
      <c r="AA470" s="50">
        <f>SUMIFS(INDEX(Техника!$F$1:$ABM$500,AA$2,0),Техника!$F$4:$ABM$4,"Часы",INDEX(Техника!$G$1:$ABN$500,AA$2,0),$A$466,INDEX(Техника!$H$1:$ABO$500,AA$2,0),"Л")</f>
        <v>0</v>
      </c>
      <c r="AB470" s="50">
        <f>SUMIFS(INDEX(Техника!$F$1:$ABM$500,AB$2,0),Техника!$F$4:$ABM$4,"Часы",INDEX(Техника!$G$1:$ABN$500,AB$2,0),$A$466,INDEX(Техника!$H$1:$ABO$500,AB$2,0),"Л")</f>
        <v>0</v>
      </c>
    </row>
    <row r="471" spans="1:28" hidden="1" outlineLevel="1" x14ac:dyDescent="0.3">
      <c r="A471" s="33" t="s">
        <v>245</v>
      </c>
      <c r="B471" s="34" t="s">
        <v>279</v>
      </c>
      <c r="C471" s="50">
        <f>SUMIFS(INDEX(Техника!$F$1:$ABM$500,C$2,0),Техника!$F$4:$ABM$4,"Часы",INDEX(Техника!$G$1:$ABN$500,C$2,0),$A$466,INDEX(Техника!$H$1:$ABO$500,C$2,0),"З")</f>
        <v>0</v>
      </c>
      <c r="D471" s="50">
        <f>SUMIFS(INDEX(Техника!$F$1:$ABM$500,D$2,0),Техника!$F$4:$ABM$4,"Часы",INDEX(Техника!$G$1:$ABN$500,D$2,0),$A$466,INDEX(Техника!$H$1:$ABO$500,D$2,0),"З")</f>
        <v>0</v>
      </c>
      <c r="E471" s="50">
        <f>SUMIFS(INDEX(Техника!$F$1:$ABM$500,E$2,0),Техника!$F$4:$ABM$4,"Часы",INDEX(Техника!$G$1:$ABN$500,E$2,0),$A$466,INDEX(Техника!$H$1:$ABO$500,E$2,0),"З")</f>
        <v>0</v>
      </c>
      <c r="F471" s="50">
        <f>SUMIFS(INDEX(Техника!$F$1:$ABM$500,F$2,0),Техника!$F$4:$ABM$4,"Часы",INDEX(Техника!$G$1:$ABN$500,F$2,0),$A$466,INDEX(Техника!$H$1:$ABO$500,F$2,0),"З")</f>
        <v>0</v>
      </c>
      <c r="G471" s="50">
        <f>SUMIFS(INDEX(Техника!$F$1:$ABM$500,G$2,0),Техника!$F$4:$ABM$4,"Часы",INDEX(Техника!$G$1:$ABN$500,G$2,0),$A$466,INDEX(Техника!$H$1:$ABO$500,G$2,0),"З")</f>
        <v>0</v>
      </c>
      <c r="H471" s="50">
        <f>SUMIFS(INDEX(Техника!$F$1:$ABM$500,H$2,0),Техника!$F$4:$ABM$4,"Часы",INDEX(Техника!$G$1:$ABN$500,H$2,0),$A$466,INDEX(Техника!$H$1:$ABO$500,H$2,0),"З")</f>
        <v>0</v>
      </c>
      <c r="I471" s="50">
        <f>SUMIFS(INDEX(Техника!$F$1:$ABM$500,I$2,0),Техника!$F$4:$ABM$4,"Часы",INDEX(Техника!$G$1:$ABN$500,I$2,0),$A$466,INDEX(Техника!$H$1:$ABO$500,I$2,0),"З")</f>
        <v>0</v>
      </c>
      <c r="J471" s="50">
        <f>SUMIFS(INDEX(Техника!$F$1:$ABM$500,J$2,0),Техника!$F$4:$ABM$4,"Часы",INDEX(Техника!$G$1:$ABN$500,J$2,0),$A$466,INDEX(Техника!$H$1:$ABO$500,J$2,0),"З")</f>
        <v>0</v>
      </c>
      <c r="K471" s="50">
        <f>SUMIFS(INDEX(Техника!$F$1:$ABM$500,K$2,0),Техника!$F$4:$ABM$4,"Часы",INDEX(Техника!$G$1:$ABN$500,K$2,0),$A$466,INDEX(Техника!$H$1:$ABO$500,K$2,0),"З")</f>
        <v>0</v>
      </c>
      <c r="L471" s="50">
        <f>SUMIFS(INDEX(Техника!$F$1:$ABM$500,L$2,0),Техника!$F$4:$ABM$4,"Часы",INDEX(Техника!$G$1:$ABN$500,L$2,0),$A$466,INDEX(Техника!$H$1:$ABO$500,L$2,0),"З")</f>
        <v>0</v>
      </c>
      <c r="M471" s="50">
        <f>SUMIFS(INDEX(Техника!$F$1:$ABM$500,M$2,0),Техника!$F$4:$ABM$4,"Часы",INDEX(Техника!$G$1:$ABN$500,M$2,0),$A$466,INDEX(Техника!$H$1:$ABO$500,M$2,0),"З")</f>
        <v>0</v>
      </c>
      <c r="N471" s="50">
        <f>SUMIFS(INDEX(Техника!$F$1:$ABM$500,N$2,0),Техника!$F$4:$ABM$4,"Часы",INDEX(Техника!$G$1:$ABN$500,N$2,0),$A$466,INDEX(Техника!$H$1:$ABO$500,N$2,0),"З")</f>
        <v>0</v>
      </c>
      <c r="O471" s="50">
        <f>SUMIFS(INDEX(Техника!$F$1:$ABM$500,O$2,0),Техника!$F$4:$ABM$4,"Часы",INDEX(Техника!$G$1:$ABN$500,O$2,0),$A$466,INDEX(Техника!$H$1:$ABO$500,O$2,0),"З")</f>
        <v>0</v>
      </c>
      <c r="P471" s="50">
        <f>SUMIFS(INDEX(Техника!$F$1:$ABM$500,P$2,0),Техника!$F$4:$ABM$4,"Часы",INDEX(Техника!$G$1:$ABN$500,P$2,0),$A$466,INDEX(Техника!$H$1:$ABO$500,P$2,0),"З")</f>
        <v>0</v>
      </c>
      <c r="Q471" s="50">
        <f>SUMIFS(INDEX(Техника!$F$1:$ABM$500,Q$2,0),Техника!$F$4:$ABM$4,"Часы",INDEX(Техника!$G$1:$ABN$500,Q$2,0),$A$466,INDEX(Техника!$H$1:$ABO$500,Q$2,0),"З")</f>
        <v>0</v>
      </c>
      <c r="R471" s="50">
        <f>SUMIFS(INDEX(Техника!$F$1:$ABM$500,R$2,0),Техника!$F$4:$ABM$4,"Часы",INDEX(Техника!$G$1:$ABN$500,R$2,0),$A$466,INDEX(Техника!$H$1:$ABO$500,R$2,0),"З")</f>
        <v>0</v>
      </c>
      <c r="S471" s="50">
        <f>SUMIFS(INDEX(Техника!$F$1:$ABM$500,S$2,0),Техника!$F$4:$ABM$4,"Часы",INDEX(Техника!$G$1:$ABN$500,S$2,0),$A$466,INDEX(Техника!$H$1:$ABO$500,S$2,0),"З")</f>
        <v>0</v>
      </c>
      <c r="T471" s="50">
        <f>SUMIFS(INDEX(Техника!$F$1:$ABM$500,T$2,0),Техника!$F$4:$ABM$4,"Часы",INDEX(Техника!$G$1:$ABN$500,T$2,0),$A$466,INDEX(Техника!$H$1:$ABO$500,T$2,0),"З")</f>
        <v>0</v>
      </c>
      <c r="U471" s="50">
        <f>SUMIFS(INDEX(Техника!$F$1:$ABM$500,U$2,0),Техника!$F$4:$ABM$4,"Часы",INDEX(Техника!$G$1:$ABN$500,U$2,0),$A$466,INDEX(Техника!$H$1:$ABO$500,U$2,0),"З")</f>
        <v>0</v>
      </c>
      <c r="V471" s="50">
        <f>SUMIFS(INDEX(Техника!$F$1:$ABM$500,V$2,0),Техника!$F$4:$ABM$4,"Часы",INDEX(Техника!$G$1:$ABN$500,V$2,0),$A$466,INDEX(Техника!$H$1:$ABO$500,V$2,0),"З")</f>
        <v>0</v>
      </c>
      <c r="W471" s="50">
        <f>SUMIFS(INDEX(Техника!$F$1:$ABM$500,W$2,0),Техника!$F$4:$ABM$4,"Часы",INDEX(Техника!$G$1:$ABN$500,W$2,0),$A$466,INDEX(Техника!$H$1:$ABO$500,W$2,0),"З")</f>
        <v>0</v>
      </c>
      <c r="X471" s="50">
        <f>SUMIFS(INDEX(Техника!$F$1:$ABM$500,X$2,0),Техника!$F$4:$ABM$4,"Часы",INDEX(Техника!$G$1:$ABN$500,X$2,0),$A$466,INDEX(Техника!$H$1:$ABO$500,X$2,0),"З")</f>
        <v>0</v>
      </c>
      <c r="Y471" s="50">
        <f>SUMIFS(INDEX(Техника!$F$1:$ABM$500,Y$2,0),Техника!$F$4:$ABM$4,"Часы",INDEX(Техника!$G$1:$ABN$500,Y$2,0),$A$466,INDEX(Техника!$H$1:$ABO$500,Y$2,0),"З")</f>
        <v>0</v>
      </c>
      <c r="Z471" s="50">
        <f>SUMIFS(INDEX(Техника!$F$1:$ABM$500,Z$2,0),Техника!$F$4:$ABM$4,"Часы",INDEX(Техника!$G$1:$ABN$500,Z$2,0),$A$466,INDEX(Техника!$H$1:$ABO$500,Z$2,0),"З")</f>
        <v>0</v>
      </c>
      <c r="AA471" s="50">
        <f>SUMIFS(INDEX(Техника!$F$1:$ABM$500,AA$2,0),Техника!$F$4:$ABM$4,"Часы",INDEX(Техника!$G$1:$ABN$500,AA$2,0),$A$466,INDEX(Техника!$H$1:$ABO$500,AA$2,0),"З")</f>
        <v>0</v>
      </c>
      <c r="AB471" s="50">
        <f>SUMIFS(INDEX(Техника!$F$1:$ABM$500,AB$2,0),Техника!$F$4:$ABM$4,"Часы",INDEX(Техника!$G$1:$ABN$500,AB$2,0),$A$466,INDEX(Техника!$H$1:$ABO$500,AB$2,0),"З")</f>
        <v>0</v>
      </c>
    </row>
    <row r="472" spans="1:28" ht="7.95" customHeight="1" x14ac:dyDescent="0.3">
      <c r="A472" s="38"/>
      <c r="B472" s="39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</row>
    <row r="473" spans="1:28" ht="25.05" customHeight="1" collapsed="1" x14ac:dyDescent="0.3">
      <c r="A473" s="32">
        <v>68</v>
      </c>
      <c r="B473" s="32" t="s">
        <v>69</v>
      </c>
      <c r="C473" s="49">
        <f>SUM(C474:C478)</f>
        <v>0</v>
      </c>
      <c r="D473" s="49">
        <f>SUM(D474:D478)</f>
        <v>0</v>
      </c>
      <c r="E473" s="49">
        <f>SUM(E474:E478)</f>
        <v>0</v>
      </c>
      <c r="F473" s="49">
        <f>SUM(F474:F478)</f>
        <v>0</v>
      </c>
      <c r="G473" s="49">
        <f>SUM(G474:G478)</f>
        <v>0</v>
      </c>
      <c r="H473" s="49">
        <f>SUM(H474:H478)</f>
        <v>0</v>
      </c>
      <c r="I473" s="49">
        <f>SUM(I474:I478)</f>
        <v>0</v>
      </c>
      <c r="J473" s="49">
        <f>SUM(J474:J478)</f>
        <v>0</v>
      </c>
      <c r="K473" s="49">
        <f>SUM(K474:K478)</f>
        <v>0</v>
      </c>
      <c r="L473" s="49">
        <f>SUM(L474:L478)</f>
        <v>0</v>
      </c>
      <c r="M473" s="49">
        <f>SUM(M474:M478)</f>
        <v>0</v>
      </c>
      <c r="N473" s="49">
        <f>SUM(N474:N478)</f>
        <v>0</v>
      </c>
      <c r="O473" s="49">
        <f>SUM(O474:O478)</f>
        <v>0</v>
      </c>
      <c r="P473" s="49">
        <f>SUM(P474:P478)</f>
        <v>0</v>
      </c>
      <c r="Q473" s="49">
        <f>SUM(Q474:Q478)</f>
        <v>0</v>
      </c>
      <c r="R473" s="49">
        <f>SUM(R474:R478)</f>
        <v>0</v>
      </c>
      <c r="S473" s="49">
        <f>SUM(S474:S478)</f>
        <v>0</v>
      </c>
      <c r="T473" s="49">
        <f>SUM(T474:T478)</f>
        <v>0</v>
      </c>
      <c r="U473" s="49">
        <f>SUM(U474:U478)</f>
        <v>0</v>
      </c>
      <c r="V473" s="49">
        <f>SUM(V474:V478)</f>
        <v>0</v>
      </c>
      <c r="W473" s="49">
        <f>SUM(W474:W478)</f>
        <v>0</v>
      </c>
      <c r="X473" s="49">
        <f>SUM(X474:X478)</f>
        <v>0</v>
      </c>
      <c r="Y473" s="49">
        <f>SUM(Y474:Y478)</f>
        <v>0</v>
      </c>
      <c r="Z473" s="49">
        <f>SUM(Z474:Z478)</f>
        <v>0</v>
      </c>
      <c r="AA473" s="49">
        <f>SUM(AA474:AA478)</f>
        <v>0</v>
      </c>
      <c r="AB473" s="49">
        <f>SUM(AB474:AB478)</f>
        <v>0</v>
      </c>
    </row>
    <row r="474" spans="1:28" hidden="1" outlineLevel="1" x14ac:dyDescent="0.3">
      <c r="A474" s="33" t="s">
        <v>246</v>
      </c>
      <c r="B474" s="34" t="s">
        <v>274</v>
      </c>
      <c r="C474" s="50">
        <f>SUMIFS(INDEX(Техника!$F$1:$ABM$500,C$2,0),Техника!$F$4:$ABM$4,"Часы",INDEX(Техника!$G$1:$ABN$500,C$2,0),$A$473,INDEX(Техника!$H$1:$ABO$500,C$2,0),"М")</f>
        <v>0</v>
      </c>
      <c r="D474" s="50">
        <f>SUMIFS(INDEX(Техника!$F$1:$ABM$500,D$2,0),Техника!$F$4:$ABM$4,"Часы",INDEX(Техника!$G$1:$ABN$500,D$2,0),$A$473,INDEX(Техника!$H$1:$ABO$500,D$2,0),"М")</f>
        <v>0</v>
      </c>
      <c r="E474" s="50">
        <f>SUMIFS(INDEX(Техника!$F$1:$ABM$500,E$2,0),Техника!$F$4:$ABM$4,"Часы",INDEX(Техника!$G$1:$ABN$500,E$2,0),$A$473,INDEX(Техника!$H$1:$ABO$500,E$2,0),"М")</f>
        <v>0</v>
      </c>
      <c r="F474" s="50">
        <f>SUMIFS(INDEX(Техника!$F$1:$ABM$500,F$2,0),Техника!$F$4:$ABM$4,"Часы",INDEX(Техника!$G$1:$ABN$500,F$2,0),$A$473,INDEX(Техника!$H$1:$ABO$500,F$2,0),"М")</f>
        <v>0</v>
      </c>
      <c r="G474" s="50">
        <f>SUMIFS(INDEX(Техника!$F$1:$ABM$500,G$2,0),Техника!$F$4:$ABM$4,"Часы",INDEX(Техника!$G$1:$ABN$500,G$2,0),$A$473,INDEX(Техника!$H$1:$ABO$500,G$2,0),"М")</f>
        <v>0</v>
      </c>
      <c r="H474" s="50">
        <f>SUMIFS(INDEX(Техника!$F$1:$ABM$500,H$2,0),Техника!$F$4:$ABM$4,"Часы",INDEX(Техника!$G$1:$ABN$500,H$2,0),$A$473,INDEX(Техника!$H$1:$ABO$500,H$2,0),"М")</f>
        <v>0</v>
      </c>
      <c r="I474" s="50">
        <f>SUMIFS(INDEX(Техника!$F$1:$ABM$500,I$2,0),Техника!$F$4:$ABM$4,"Часы",INDEX(Техника!$G$1:$ABN$500,I$2,0),$A$473,INDEX(Техника!$H$1:$ABO$500,I$2,0),"М")</f>
        <v>0</v>
      </c>
      <c r="J474" s="50">
        <f>SUMIFS(INDEX(Техника!$F$1:$ABM$500,J$2,0),Техника!$F$4:$ABM$4,"Часы",INDEX(Техника!$G$1:$ABN$500,J$2,0),$A$473,INDEX(Техника!$H$1:$ABO$500,J$2,0),"М")</f>
        <v>0</v>
      </c>
      <c r="K474" s="50">
        <f>SUMIFS(INDEX(Техника!$F$1:$ABM$500,K$2,0),Техника!$F$4:$ABM$4,"Часы",INDEX(Техника!$G$1:$ABN$500,K$2,0),$A$473,INDEX(Техника!$H$1:$ABO$500,K$2,0),"М")</f>
        <v>0</v>
      </c>
      <c r="L474" s="50">
        <f>SUMIFS(INDEX(Техника!$F$1:$ABM$500,L$2,0),Техника!$F$4:$ABM$4,"Часы",INDEX(Техника!$G$1:$ABN$500,L$2,0),$A$473,INDEX(Техника!$H$1:$ABO$500,L$2,0),"М")</f>
        <v>0</v>
      </c>
      <c r="M474" s="50">
        <f>SUMIFS(INDEX(Техника!$F$1:$ABM$500,M$2,0),Техника!$F$4:$ABM$4,"Часы",INDEX(Техника!$G$1:$ABN$500,M$2,0),$A$473,INDEX(Техника!$H$1:$ABO$500,M$2,0),"М")</f>
        <v>0</v>
      </c>
      <c r="N474" s="50">
        <f>SUMIFS(INDEX(Техника!$F$1:$ABM$500,N$2,0),Техника!$F$4:$ABM$4,"Часы",INDEX(Техника!$G$1:$ABN$500,N$2,0),$A$473,INDEX(Техника!$H$1:$ABO$500,N$2,0),"М")</f>
        <v>0</v>
      </c>
      <c r="O474" s="50">
        <f>SUMIFS(INDEX(Техника!$F$1:$ABM$500,O$2,0),Техника!$F$4:$ABM$4,"Часы",INDEX(Техника!$G$1:$ABN$500,O$2,0),$A$473,INDEX(Техника!$H$1:$ABO$500,O$2,0),"М")</f>
        <v>0</v>
      </c>
      <c r="P474" s="50">
        <f>SUMIFS(INDEX(Техника!$F$1:$ABM$500,P$2,0),Техника!$F$4:$ABM$4,"Часы",INDEX(Техника!$G$1:$ABN$500,P$2,0),$A$473,INDEX(Техника!$H$1:$ABO$500,P$2,0),"М")</f>
        <v>0</v>
      </c>
      <c r="Q474" s="50">
        <f>SUMIFS(INDEX(Техника!$F$1:$ABM$500,Q$2,0),Техника!$F$4:$ABM$4,"Часы",INDEX(Техника!$G$1:$ABN$500,Q$2,0),$A$473,INDEX(Техника!$H$1:$ABO$500,Q$2,0),"М")</f>
        <v>0</v>
      </c>
      <c r="R474" s="50">
        <f>SUMIFS(INDEX(Техника!$F$1:$ABM$500,R$2,0),Техника!$F$4:$ABM$4,"Часы",INDEX(Техника!$G$1:$ABN$500,R$2,0),$A$473,INDEX(Техника!$H$1:$ABO$500,R$2,0),"М")</f>
        <v>0</v>
      </c>
      <c r="S474" s="50">
        <f>SUMIFS(INDEX(Техника!$F$1:$ABM$500,S$2,0),Техника!$F$4:$ABM$4,"Часы",INDEX(Техника!$G$1:$ABN$500,S$2,0),$A$473,INDEX(Техника!$H$1:$ABO$500,S$2,0),"М")</f>
        <v>0</v>
      </c>
      <c r="T474" s="50">
        <f>SUMIFS(INDEX(Техника!$F$1:$ABM$500,T$2,0),Техника!$F$4:$ABM$4,"Часы",INDEX(Техника!$G$1:$ABN$500,T$2,0),$A$473,INDEX(Техника!$H$1:$ABO$500,T$2,0),"М")</f>
        <v>0</v>
      </c>
      <c r="U474" s="50">
        <f>SUMIFS(INDEX(Техника!$F$1:$ABM$500,U$2,0),Техника!$F$4:$ABM$4,"Часы",INDEX(Техника!$G$1:$ABN$500,U$2,0),$A$473,INDEX(Техника!$H$1:$ABO$500,U$2,0),"М")</f>
        <v>0</v>
      </c>
      <c r="V474" s="50">
        <f>SUMIFS(INDEX(Техника!$F$1:$ABM$500,V$2,0),Техника!$F$4:$ABM$4,"Часы",INDEX(Техника!$G$1:$ABN$500,V$2,0),$A$473,INDEX(Техника!$H$1:$ABO$500,V$2,0),"М")</f>
        <v>0</v>
      </c>
      <c r="W474" s="50">
        <f>SUMIFS(INDEX(Техника!$F$1:$ABM$500,W$2,0),Техника!$F$4:$ABM$4,"Часы",INDEX(Техника!$G$1:$ABN$500,W$2,0),$A$473,INDEX(Техника!$H$1:$ABO$500,W$2,0),"М")</f>
        <v>0</v>
      </c>
      <c r="X474" s="50">
        <f>SUMIFS(INDEX(Техника!$F$1:$ABM$500,X$2,0),Техника!$F$4:$ABM$4,"Часы",INDEX(Техника!$G$1:$ABN$500,X$2,0),$A$473,INDEX(Техника!$H$1:$ABO$500,X$2,0),"М")</f>
        <v>0</v>
      </c>
      <c r="Y474" s="50">
        <f>SUMIFS(INDEX(Техника!$F$1:$ABM$500,Y$2,0),Техника!$F$4:$ABM$4,"Часы",INDEX(Техника!$G$1:$ABN$500,Y$2,0),$A$473,INDEX(Техника!$H$1:$ABO$500,Y$2,0),"М")</f>
        <v>0</v>
      </c>
      <c r="Z474" s="50">
        <f>SUMIFS(INDEX(Техника!$F$1:$ABM$500,Z$2,0),Техника!$F$4:$ABM$4,"Часы",INDEX(Техника!$G$1:$ABN$500,Z$2,0),$A$473,INDEX(Техника!$H$1:$ABO$500,Z$2,0),"М")</f>
        <v>0</v>
      </c>
      <c r="AA474" s="50">
        <f>SUMIFS(INDEX(Техника!$F$1:$ABM$500,AA$2,0),Техника!$F$4:$ABM$4,"Часы",INDEX(Техника!$G$1:$ABN$500,AA$2,0),$A$473,INDEX(Техника!$H$1:$ABO$500,AA$2,0),"М")</f>
        <v>0</v>
      </c>
      <c r="AB474" s="50">
        <f>SUMIFS(INDEX(Техника!$F$1:$ABM$500,AB$2,0),Техника!$F$4:$ABM$4,"Часы",INDEX(Техника!$G$1:$ABN$500,AB$2,0),$A$473,INDEX(Техника!$H$1:$ABO$500,AB$2,0),"М")</f>
        <v>0</v>
      </c>
    </row>
    <row r="475" spans="1:28" hidden="1" outlineLevel="1" x14ac:dyDescent="0.3">
      <c r="A475" s="33" t="s">
        <v>244</v>
      </c>
      <c r="B475" s="34" t="s">
        <v>275</v>
      </c>
      <c r="C475" s="50">
        <f>SUMIFS(INDEX(Техника!$F$1:$ABM$500,C$2,0),Техника!$F$4:$ABM$4,"Часы",INDEX(Техника!$G$1:$ABN$500,C$2,0),$A$473,INDEX(Техника!$H$1:$ABO$500,C$2,0),"Д")</f>
        <v>0</v>
      </c>
      <c r="D475" s="50">
        <f>SUMIFS(INDEX(Техника!$F$1:$ABM$500,D$2,0),Техника!$F$4:$ABM$4,"Часы",INDEX(Техника!$G$1:$ABN$500,D$2,0),$A$473,INDEX(Техника!$H$1:$ABO$500,D$2,0),"Д")</f>
        <v>0</v>
      </c>
      <c r="E475" s="50">
        <f>SUMIFS(INDEX(Техника!$F$1:$ABM$500,E$2,0),Техника!$F$4:$ABM$4,"Часы",INDEX(Техника!$G$1:$ABN$500,E$2,0),$A$473,INDEX(Техника!$H$1:$ABO$500,E$2,0),"Д")</f>
        <v>0</v>
      </c>
      <c r="F475" s="50">
        <f>SUMIFS(INDEX(Техника!$F$1:$ABM$500,F$2,0),Техника!$F$4:$ABM$4,"Часы",INDEX(Техника!$G$1:$ABN$500,F$2,0),$A$473,INDEX(Техника!$H$1:$ABO$500,F$2,0),"Д")</f>
        <v>0</v>
      </c>
      <c r="G475" s="50">
        <f>SUMIFS(INDEX(Техника!$F$1:$ABM$500,G$2,0),Техника!$F$4:$ABM$4,"Часы",INDEX(Техника!$G$1:$ABN$500,G$2,0),$A$473,INDEX(Техника!$H$1:$ABO$500,G$2,0),"Д")</f>
        <v>0</v>
      </c>
      <c r="H475" s="50">
        <f>SUMIFS(INDEX(Техника!$F$1:$ABM$500,H$2,0),Техника!$F$4:$ABM$4,"Часы",INDEX(Техника!$G$1:$ABN$500,H$2,0),$A$473,INDEX(Техника!$H$1:$ABO$500,H$2,0),"Д")</f>
        <v>0</v>
      </c>
      <c r="I475" s="50">
        <f>SUMIFS(INDEX(Техника!$F$1:$ABM$500,I$2,0),Техника!$F$4:$ABM$4,"Часы",INDEX(Техника!$G$1:$ABN$500,I$2,0),$A$473,INDEX(Техника!$H$1:$ABO$500,I$2,0),"Д")</f>
        <v>0</v>
      </c>
      <c r="J475" s="50">
        <f>SUMIFS(INDEX(Техника!$F$1:$ABM$500,J$2,0),Техника!$F$4:$ABM$4,"Часы",INDEX(Техника!$G$1:$ABN$500,J$2,0),$A$473,INDEX(Техника!$H$1:$ABO$500,J$2,0),"Д")</f>
        <v>0</v>
      </c>
      <c r="K475" s="50">
        <f>SUMIFS(INDEX(Техника!$F$1:$ABM$500,K$2,0),Техника!$F$4:$ABM$4,"Часы",INDEX(Техника!$G$1:$ABN$500,K$2,0),$A$473,INDEX(Техника!$H$1:$ABO$500,K$2,0),"Д")</f>
        <v>0</v>
      </c>
      <c r="L475" s="50">
        <f>SUMIFS(INDEX(Техника!$F$1:$ABM$500,L$2,0),Техника!$F$4:$ABM$4,"Часы",INDEX(Техника!$G$1:$ABN$500,L$2,0),$A$473,INDEX(Техника!$H$1:$ABO$500,L$2,0),"Д")</f>
        <v>0</v>
      </c>
      <c r="M475" s="50">
        <f>SUMIFS(INDEX(Техника!$F$1:$ABM$500,M$2,0),Техника!$F$4:$ABM$4,"Часы",INDEX(Техника!$G$1:$ABN$500,M$2,0),$A$473,INDEX(Техника!$H$1:$ABO$500,M$2,0),"Д")</f>
        <v>0</v>
      </c>
      <c r="N475" s="50">
        <f>SUMIFS(INDEX(Техника!$F$1:$ABM$500,N$2,0),Техника!$F$4:$ABM$4,"Часы",INDEX(Техника!$G$1:$ABN$500,N$2,0),$A$473,INDEX(Техника!$H$1:$ABO$500,N$2,0),"Д")</f>
        <v>0</v>
      </c>
      <c r="O475" s="50">
        <f>SUMIFS(INDEX(Техника!$F$1:$ABM$500,O$2,0),Техника!$F$4:$ABM$4,"Часы",INDEX(Техника!$G$1:$ABN$500,O$2,0),$A$473,INDEX(Техника!$H$1:$ABO$500,O$2,0),"Д")</f>
        <v>0</v>
      </c>
      <c r="P475" s="50">
        <f>SUMIFS(INDEX(Техника!$F$1:$ABM$500,P$2,0),Техника!$F$4:$ABM$4,"Часы",INDEX(Техника!$G$1:$ABN$500,P$2,0),$A$473,INDEX(Техника!$H$1:$ABO$500,P$2,0),"Д")</f>
        <v>0</v>
      </c>
      <c r="Q475" s="50">
        <f>SUMIFS(INDEX(Техника!$F$1:$ABM$500,Q$2,0),Техника!$F$4:$ABM$4,"Часы",INDEX(Техника!$G$1:$ABN$500,Q$2,0),$A$473,INDEX(Техника!$H$1:$ABO$500,Q$2,0),"Д")</f>
        <v>0</v>
      </c>
      <c r="R475" s="50">
        <f>SUMIFS(INDEX(Техника!$F$1:$ABM$500,R$2,0),Техника!$F$4:$ABM$4,"Часы",INDEX(Техника!$G$1:$ABN$500,R$2,0),$A$473,INDEX(Техника!$H$1:$ABO$500,R$2,0),"Д")</f>
        <v>0</v>
      </c>
      <c r="S475" s="50">
        <f>SUMIFS(INDEX(Техника!$F$1:$ABM$500,S$2,0),Техника!$F$4:$ABM$4,"Часы",INDEX(Техника!$G$1:$ABN$500,S$2,0),$A$473,INDEX(Техника!$H$1:$ABO$500,S$2,0),"Д")</f>
        <v>0</v>
      </c>
      <c r="T475" s="50">
        <f>SUMIFS(INDEX(Техника!$F$1:$ABM$500,T$2,0),Техника!$F$4:$ABM$4,"Часы",INDEX(Техника!$G$1:$ABN$500,T$2,0),$A$473,INDEX(Техника!$H$1:$ABO$500,T$2,0),"Д")</f>
        <v>0</v>
      </c>
      <c r="U475" s="50">
        <f>SUMIFS(INDEX(Техника!$F$1:$ABM$500,U$2,0),Техника!$F$4:$ABM$4,"Часы",INDEX(Техника!$G$1:$ABN$500,U$2,0),$A$473,INDEX(Техника!$H$1:$ABO$500,U$2,0),"Д")</f>
        <v>0</v>
      </c>
      <c r="V475" s="50">
        <f>SUMIFS(INDEX(Техника!$F$1:$ABM$500,V$2,0),Техника!$F$4:$ABM$4,"Часы",INDEX(Техника!$G$1:$ABN$500,V$2,0),$A$473,INDEX(Техника!$H$1:$ABO$500,V$2,0),"Д")</f>
        <v>0</v>
      </c>
      <c r="W475" s="50">
        <f>SUMIFS(INDEX(Техника!$F$1:$ABM$500,W$2,0),Техника!$F$4:$ABM$4,"Часы",INDEX(Техника!$G$1:$ABN$500,W$2,0),$A$473,INDEX(Техника!$H$1:$ABO$500,W$2,0),"Д")</f>
        <v>0</v>
      </c>
      <c r="X475" s="50">
        <f>SUMIFS(INDEX(Техника!$F$1:$ABM$500,X$2,0),Техника!$F$4:$ABM$4,"Часы",INDEX(Техника!$G$1:$ABN$500,X$2,0),$A$473,INDEX(Техника!$H$1:$ABO$500,X$2,0),"Д")</f>
        <v>0</v>
      </c>
      <c r="Y475" s="50">
        <f>SUMIFS(INDEX(Техника!$F$1:$ABM$500,Y$2,0),Техника!$F$4:$ABM$4,"Часы",INDEX(Техника!$G$1:$ABN$500,Y$2,0),$A$473,INDEX(Техника!$H$1:$ABO$500,Y$2,0),"Д")</f>
        <v>0</v>
      </c>
      <c r="Z475" s="50">
        <f>SUMIFS(INDEX(Техника!$F$1:$ABM$500,Z$2,0),Техника!$F$4:$ABM$4,"Часы",INDEX(Техника!$G$1:$ABN$500,Z$2,0),$A$473,INDEX(Техника!$H$1:$ABO$500,Z$2,0),"Д")</f>
        <v>0</v>
      </c>
      <c r="AA475" s="50">
        <f>SUMIFS(INDEX(Техника!$F$1:$ABM$500,AA$2,0),Техника!$F$4:$ABM$4,"Часы",INDEX(Техника!$G$1:$ABN$500,AA$2,0),$A$473,INDEX(Техника!$H$1:$ABO$500,AA$2,0),"Д")</f>
        <v>0</v>
      </c>
      <c r="AB475" s="50">
        <f>SUMIFS(INDEX(Техника!$F$1:$ABM$500,AB$2,0),Техника!$F$4:$ABM$4,"Часы",INDEX(Техника!$G$1:$ABN$500,AB$2,0),$A$473,INDEX(Техника!$H$1:$ABO$500,AB$2,0),"Д")</f>
        <v>0</v>
      </c>
    </row>
    <row r="476" spans="1:28" hidden="1" outlineLevel="1" x14ac:dyDescent="0.3">
      <c r="A476" s="33" t="s">
        <v>276</v>
      </c>
      <c r="B476" s="34" t="s">
        <v>277</v>
      </c>
      <c r="C476" s="50">
        <f>SUMIFS(INDEX(Техника!$F$1:$ABM$500,C$2,0),Техника!$F$4:$ABM$4,"Часы",INDEX(Техника!$G$1:$ABN$500,C$2,0),$A$473,INDEX(Техника!$H$1:$ABO$500,C$2,0),"П")</f>
        <v>0</v>
      </c>
      <c r="D476" s="50">
        <f>SUMIFS(INDEX(Техника!$F$1:$ABM$500,D$2,0),Техника!$F$4:$ABM$4,"Часы",INDEX(Техника!$G$1:$ABN$500,D$2,0),$A$473,INDEX(Техника!$H$1:$ABO$500,D$2,0),"П")</f>
        <v>0</v>
      </c>
      <c r="E476" s="50">
        <f>SUMIFS(INDEX(Техника!$F$1:$ABM$500,E$2,0),Техника!$F$4:$ABM$4,"Часы",INDEX(Техника!$G$1:$ABN$500,E$2,0),$A$473,INDEX(Техника!$H$1:$ABO$500,E$2,0),"П")</f>
        <v>0</v>
      </c>
      <c r="F476" s="50">
        <f>SUMIFS(INDEX(Техника!$F$1:$ABM$500,F$2,0),Техника!$F$4:$ABM$4,"Часы",INDEX(Техника!$G$1:$ABN$500,F$2,0),$A$473,INDEX(Техника!$H$1:$ABO$500,F$2,0),"П")</f>
        <v>0</v>
      </c>
      <c r="G476" s="50">
        <f>SUMIFS(INDEX(Техника!$F$1:$ABM$500,G$2,0),Техника!$F$4:$ABM$4,"Часы",INDEX(Техника!$G$1:$ABN$500,G$2,0),$A$473,INDEX(Техника!$H$1:$ABO$500,G$2,0),"П")</f>
        <v>0</v>
      </c>
      <c r="H476" s="50">
        <f>SUMIFS(INDEX(Техника!$F$1:$ABM$500,H$2,0),Техника!$F$4:$ABM$4,"Часы",INDEX(Техника!$G$1:$ABN$500,H$2,0),$A$473,INDEX(Техника!$H$1:$ABO$500,H$2,0),"П")</f>
        <v>0</v>
      </c>
      <c r="I476" s="50">
        <f>SUMIFS(INDEX(Техника!$F$1:$ABM$500,I$2,0),Техника!$F$4:$ABM$4,"Часы",INDEX(Техника!$G$1:$ABN$500,I$2,0),$A$473,INDEX(Техника!$H$1:$ABO$500,I$2,0),"П")</f>
        <v>0</v>
      </c>
      <c r="J476" s="50">
        <f>SUMIFS(INDEX(Техника!$F$1:$ABM$500,J$2,0),Техника!$F$4:$ABM$4,"Часы",INDEX(Техника!$G$1:$ABN$500,J$2,0),$A$473,INDEX(Техника!$H$1:$ABO$500,J$2,0),"П")</f>
        <v>0</v>
      </c>
      <c r="K476" s="50">
        <f>SUMIFS(INDEX(Техника!$F$1:$ABM$500,K$2,0),Техника!$F$4:$ABM$4,"Часы",INDEX(Техника!$G$1:$ABN$500,K$2,0),$A$473,INDEX(Техника!$H$1:$ABO$500,K$2,0),"П")</f>
        <v>0</v>
      </c>
      <c r="L476" s="50">
        <f>SUMIFS(INDEX(Техника!$F$1:$ABM$500,L$2,0),Техника!$F$4:$ABM$4,"Часы",INDEX(Техника!$G$1:$ABN$500,L$2,0),$A$473,INDEX(Техника!$H$1:$ABO$500,L$2,0),"П")</f>
        <v>0</v>
      </c>
      <c r="M476" s="50">
        <f>SUMIFS(INDEX(Техника!$F$1:$ABM$500,M$2,0),Техника!$F$4:$ABM$4,"Часы",INDEX(Техника!$G$1:$ABN$500,M$2,0),$A$473,INDEX(Техника!$H$1:$ABO$500,M$2,0),"П")</f>
        <v>0</v>
      </c>
      <c r="N476" s="50">
        <f>SUMIFS(INDEX(Техника!$F$1:$ABM$500,N$2,0),Техника!$F$4:$ABM$4,"Часы",INDEX(Техника!$G$1:$ABN$500,N$2,0),$A$473,INDEX(Техника!$H$1:$ABO$500,N$2,0),"П")</f>
        <v>0</v>
      </c>
      <c r="O476" s="50">
        <f>SUMIFS(INDEX(Техника!$F$1:$ABM$500,O$2,0),Техника!$F$4:$ABM$4,"Часы",INDEX(Техника!$G$1:$ABN$500,O$2,0),$A$473,INDEX(Техника!$H$1:$ABO$500,O$2,0),"П")</f>
        <v>0</v>
      </c>
      <c r="P476" s="50">
        <f>SUMIFS(INDEX(Техника!$F$1:$ABM$500,P$2,0),Техника!$F$4:$ABM$4,"Часы",INDEX(Техника!$G$1:$ABN$500,P$2,0),$A$473,INDEX(Техника!$H$1:$ABO$500,P$2,0),"П")</f>
        <v>0</v>
      </c>
      <c r="Q476" s="50">
        <f>SUMIFS(INDEX(Техника!$F$1:$ABM$500,Q$2,0),Техника!$F$4:$ABM$4,"Часы",INDEX(Техника!$G$1:$ABN$500,Q$2,0),$A$473,INDEX(Техника!$H$1:$ABO$500,Q$2,0),"П")</f>
        <v>0</v>
      </c>
      <c r="R476" s="50">
        <f>SUMIFS(INDEX(Техника!$F$1:$ABM$500,R$2,0),Техника!$F$4:$ABM$4,"Часы",INDEX(Техника!$G$1:$ABN$500,R$2,0),$A$473,INDEX(Техника!$H$1:$ABO$500,R$2,0),"П")</f>
        <v>0</v>
      </c>
      <c r="S476" s="50">
        <f>SUMIFS(INDEX(Техника!$F$1:$ABM$500,S$2,0),Техника!$F$4:$ABM$4,"Часы",INDEX(Техника!$G$1:$ABN$500,S$2,0),$A$473,INDEX(Техника!$H$1:$ABO$500,S$2,0),"П")</f>
        <v>0</v>
      </c>
      <c r="T476" s="50">
        <f>SUMIFS(INDEX(Техника!$F$1:$ABM$500,T$2,0),Техника!$F$4:$ABM$4,"Часы",INDEX(Техника!$G$1:$ABN$500,T$2,0),$A$473,INDEX(Техника!$H$1:$ABO$500,T$2,0),"П")</f>
        <v>0</v>
      </c>
      <c r="U476" s="50">
        <f>SUMIFS(INDEX(Техника!$F$1:$ABM$500,U$2,0),Техника!$F$4:$ABM$4,"Часы",INDEX(Техника!$G$1:$ABN$500,U$2,0),$A$473,INDEX(Техника!$H$1:$ABO$500,U$2,0),"П")</f>
        <v>0</v>
      </c>
      <c r="V476" s="50">
        <f>SUMIFS(INDEX(Техника!$F$1:$ABM$500,V$2,0),Техника!$F$4:$ABM$4,"Часы",INDEX(Техника!$G$1:$ABN$500,V$2,0),$A$473,INDEX(Техника!$H$1:$ABO$500,V$2,0),"П")</f>
        <v>0</v>
      </c>
      <c r="W476" s="50">
        <f>SUMIFS(INDEX(Техника!$F$1:$ABM$500,W$2,0),Техника!$F$4:$ABM$4,"Часы",INDEX(Техника!$G$1:$ABN$500,W$2,0),$A$473,INDEX(Техника!$H$1:$ABO$500,W$2,0),"П")</f>
        <v>0</v>
      </c>
      <c r="X476" s="50">
        <f>SUMIFS(INDEX(Техника!$F$1:$ABM$500,X$2,0),Техника!$F$4:$ABM$4,"Часы",INDEX(Техника!$G$1:$ABN$500,X$2,0),$A$473,INDEX(Техника!$H$1:$ABO$500,X$2,0),"П")</f>
        <v>0</v>
      </c>
      <c r="Y476" s="50">
        <f>SUMIFS(INDEX(Техника!$F$1:$ABM$500,Y$2,0),Техника!$F$4:$ABM$4,"Часы",INDEX(Техника!$G$1:$ABN$500,Y$2,0),$A$473,INDEX(Техника!$H$1:$ABO$500,Y$2,0),"П")</f>
        <v>0</v>
      </c>
      <c r="Z476" s="50">
        <f>SUMIFS(INDEX(Техника!$F$1:$ABM$500,Z$2,0),Техника!$F$4:$ABM$4,"Часы",INDEX(Техника!$G$1:$ABN$500,Z$2,0),$A$473,INDEX(Техника!$H$1:$ABO$500,Z$2,0),"П")</f>
        <v>0</v>
      </c>
      <c r="AA476" s="50">
        <f>SUMIFS(INDEX(Техника!$F$1:$ABM$500,AA$2,0),Техника!$F$4:$ABM$4,"Часы",INDEX(Техника!$G$1:$ABN$500,AA$2,0),$A$473,INDEX(Техника!$H$1:$ABO$500,AA$2,0),"П")</f>
        <v>0</v>
      </c>
      <c r="AB476" s="50">
        <f>SUMIFS(INDEX(Техника!$F$1:$ABM$500,AB$2,0),Техника!$F$4:$ABM$4,"Часы",INDEX(Техника!$G$1:$ABN$500,AB$2,0),$A$473,INDEX(Техника!$H$1:$ABO$500,AB$2,0),"П")</f>
        <v>0</v>
      </c>
    </row>
    <row r="477" spans="1:28" hidden="1" outlineLevel="1" x14ac:dyDescent="0.3">
      <c r="A477" s="33" t="s">
        <v>243</v>
      </c>
      <c r="B477" s="34" t="s">
        <v>278</v>
      </c>
      <c r="C477" s="50">
        <f>SUMIFS(INDEX(Техника!$F$1:$ABM$500,C$2,0),Техника!$F$4:$ABM$4,"Часы",INDEX(Техника!$G$1:$ABN$500,C$2,0),$A$473,INDEX(Техника!$H$1:$ABO$500,C$2,0),"Л")</f>
        <v>0</v>
      </c>
      <c r="D477" s="50">
        <f>SUMIFS(INDEX(Техника!$F$1:$ABM$500,D$2,0),Техника!$F$4:$ABM$4,"Часы",INDEX(Техника!$G$1:$ABN$500,D$2,0),$A$473,INDEX(Техника!$H$1:$ABO$500,D$2,0),"Л")</f>
        <v>0</v>
      </c>
      <c r="E477" s="50">
        <f>SUMIFS(INDEX(Техника!$F$1:$ABM$500,E$2,0),Техника!$F$4:$ABM$4,"Часы",INDEX(Техника!$G$1:$ABN$500,E$2,0),$A$473,INDEX(Техника!$H$1:$ABO$500,E$2,0),"Л")</f>
        <v>0</v>
      </c>
      <c r="F477" s="50">
        <f>SUMIFS(INDEX(Техника!$F$1:$ABM$500,F$2,0),Техника!$F$4:$ABM$4,"Часы",INDEX(Техника!$G$1:$ABN$500,F$2,0),$A$473,INDEX(Техника!$H$1:$ABO$500,F$2,0),"Л")</f>
        <v>0</v>
      </c>
      <c r="G477" s="50">
        <f>SUMIFS(INDEX(Техника!$F$1:$ABM$500,G$2,0),Техника!$F$4:$ABM$4,"Часы",INDEX(Техника!$G$1:$ABN$500,G$2,0),$A$473,INDEX(Техника!$H$1:$ABO$500,G$2,0),"Л")</f>
        <v>0</v>
      </c>
      <c r="H477" s="50">
        <f>SUMIFS(INDEX(Техника!$F$1:$ABM$500,H$2,0),Техника!$F$4:$ABM$4,"Часы",INDEX(Техника!$G$1:$ABN$500,H$2,0),$A$473,INDEX(Техника!$H$1:$ABO$500,H$2,0),"Л")</f>
        <v>0</v>
      </c>
      <c r="I477" s="50">
        <f>SUMIFS(INDEX(Техника!$F$1:$ABM$500,I$2,0),Техника!$F$4:$ABM$4,"Часы",INDEX(Техника!$G$1:$ABN$500,I$2,0),$A$473,INDEX(Техника!$H$1:$ABO$500,I$2,0),"Л")</f>
        <v>0</v>
      </c>
      <c r="J477" s="50">
        <f>SUMIFS(INDEX(Техника!$F$1:$ABM$500,J$2,0),Техника!$F$4:$ABM$4,"Часы",INDEX(Техника!$G$1:$ABN$500,J$2,0),$A$473,INDEX(Техника!$H$1:$ABO$500,J$2,0),"Л")</f>
        <v>0</v>
      </c>
      <c r="K477" s="50">
        <f>SUMIFS(INDEX(Техника!$F$1:$ABM$500,K$2,0),Техника!$F$4:$ABM$4,"Часы",INDEX(Техника!$G$1:$ABN$500,K$2,0),$A$473,INDEX(Техника!$H$1:$ABO$500,K$2,0),"Л")</f>
        <v>0</v>
      </c>
      <c r="L477" s="50">
        <f>SUMIFS(INDEX(Техника!$F$1:$ABM$500,L$2,0),Техника!$F$4:$ABM$4,"Часы",INDEX(Техника!$G$1:$ABN$500,L$2,0),$A$473,INDEX(Техника!$H$1:$ABO$500,L$2,0),"Л")</f>
        <v>0</v>
      </c>
      <c r="M477" s="50">
        <f>SUMIFS(INDEX(Техника!$F$1:$ABM$500,M$2,0),Техника!$F$4:$ABM$4,"Часы",INDEX(Техника!$G$1:$ABN$500,M$2,0),$A$473,INDEX(Техника!$H$1:$ABO$500,M$2,0),"Л")</f>
        <v>0</v>
      </c>
      <c r="N477" s="50">
        <f>SUMIFS(INDEX(Техника!$F$1:$ABM$500,N$2,0),Техника!$F$4:$ABM$4,"Часы",INDEX(Техника!$G$1:$ABN$500,N$2,0),$A$473,INDEX(Техника!$H$1:$ABO$500,N$2,0),"Л")</f>
        <v>0</v>
      </c>
      <c r="O477" s="50">
        <f>SUMIFS(INDEX(Техника!$F$1:$ABM$500,O$2,0),Техника!$F$4:$ABM$4,"Часы",INDEX(Техника!$G$1:$ABN$500,O$2,0),$A$473,INDEX(Техника!$H$1:$ABO$500,O$2,0),"Л")</f>
        <v>0</v>
      </c>
      <c r="P477" s="50">
        <f>SUMIFS(INDEX(Техника!$F$1:$ABM$500,P$2,0),Техника!$F$4:$ABM$4,"Часы",INDEX(Техника!$G$1:$ABN$500,P$2,0),$A$473,INDEX(Техника!$H$1:$ABO$500,P$2,0),"Л")</f>
        <v>0</v>
      </c>
      <c r="Q477" s="50">
        <f>SUMIFS(INDEX(Техника!$F$1:$ABM$500,Q$2,0),Техника!$F$4:$ABM$4,"Часы",INDEX(Техника!$G$1:$ABN$500,Q$2,0),$A$473,INDEX(Техника!$H$1:$ABO$500,Q$2,0),"Л")</f>
        <v>0</v>
      </c>
      <c r="R477" s="50">
        <f>SUMIFS(INDEX(Техника!$F$1:$ABM$500,R$2,0),Техника!$F$4:$ABM$4,"Часы",INDEX(Техника!$G$1:$ABN$500,R$2,0),$A$473,INDEX(Техника!$H$1:$ABO$500,R$2,0),"Л")</f>
        <v>0</v>
      </c>
      <c r="S477" s="50">
        <f>SUMIFS(INDEX(Техника!$F$1:$ABM$500,S$2,0),Техника!$F$4:$ABM$4,"Часы",INDEX(Техника!$G$1:$ABN$500,S$2,0),$A$473,INDEX(Техника!$H$1:$ABO$500,S$2,0),"Л")</f>
        <v>0</v>
      </c>
      <c r="T477" s="50">
        <f>SUMIFS(INDEX(Техника!$F$1:$ABM$500,T$2,0),Техника!$F$4:$ABM$4,"Часы",INDEX(Техника!$G$1:$ABN$500,T$2,0),$A$473,INDEX(Техника!$H$1:$ABO$500,T$2,0),"Л")</f>
        <v>0</v>
      </c>
      <c r="U477" s="50">
        <f>SUMIFS(INDEX(Техника!$F$1:$ABM$500,U$2,0),Техника!$F$4:$ABM$4,"Часы",INDEX(Техника!$G$1:$ABN$500,U$2,0),$A$473,INDEX(Техника!$H$1:$ABO$500,U$2,0),"Л")</f>
        <v>0</v>
      </c>
      <c r="V477" s="50">
        <f>SUMIFS(INDEX(Техника!$F$1:$ABM$500,V$2,0),Техника!$F$4:$ABM$4,"Часы",INDEX(Техника!$G$1:$ABN$500,V$2,0),$A$473,INDEX(Техника!$H$1:$ABO$500,V$2,0),"Л")</f>
        <v>0</v>
      </c>
      <c r="W477" s="50">
        <f>SUMIFS(INDEX(Техника!$F$1:$ABM$500,W$2,0),Техника!$F$4:$ABM$4,"Часы",INDEX(Техника!$G$1:$ABN$500,W$2,0),$A$473,INDEX(Техника!$H$1:$ABO$500,W$2,0),"Л")</f>
        <v>0</v>
      </c>
      <c r="X477" s="50">
        <f>SUMIFS(INDEX(Техника!$F$1:$ABM$500,X$2,0),Техника!$F$4:$ABM$4,"Часы",INDEX(Техника!$G$1:$ABN$500,X$2,0),$A$473,INDEX(Техника!$H$1:$ABO$500,X$2,0),"Л")</f>
        <v>0</v>
      </c>
      <c r="Y477" s="50">
        <f>SUMIFS(INDEX(Техника!$F$1:$ABM$500,Y$2,0),Техника!$F$4:$ABM$4,"Часы",INDEX(Техника!$G$1:$ABN$500,Y$2,0),$A$473,INDEX(Техника!$H$1:$ABO$500,Y$2,0),"Л")</f>
        <v>0</v>
      </c>
      <c r="Z477" s="50">
        <f>SUMIFS(INDEX(Техника!$F$1:$ABM$500,Z$2,0),Техника!$F$4:$ABM$4,"Часы",INDEX(Техника!$G$1:$ABN$500,Z$2,0),$A$473,INDEX(Техника!$H$1:$ABO$500,Z$2,0),"Л")</f>
        <v>0</v>
      </c>
      <c r="AA477" s="50">
        <f>SUMIFS(INDEX(Техника!$F$1:$ABM$500,AA$2,0),Техника!$F$4:$ABM$4,"Часы",INDEX(Техника!$G$1:$ABN$500,AA$2,0),$A$473,INDEX(Техника!$H$1:$ABO$500,AA$2,0),"Л")</f>
        <v>0</v>
      </c>
      <c r="AB477" s="50">
        <f>SUMIFS(INDEX(Техника!$F$1:$ABM$500,AB$2,0),Техника!$F$4:$ABM$4,"Часы",INDEX(Техника!$G$1:$ABN$500,AB$2,0),$A$473,INDEX(Техника!$H$1:$ABO$500,AB$2,0),"Л")</f>
        <v>0</v>
      </c>
    </row>
    <row r="478" spans="1:28" hidden="1" outlineLevel="1" x14ac:dyDescent="0.3">
      <c r="A478" s="33" t="s">
        <v>245</v>
      </c>
      <c r="B478" s="34" t="s">
        <v>279</v>
      </c>
      <c r="C478" s="50">
        <f>SUMIFS(INDEX(Техника!$F$1:$ABM$500,C$2,0),Техника!$F$4:$ABM$4,"Часы",INDEX(Техника!$G$1:$ABN$500,C$2,0),$A$473,INDEX(Техника!$H$1:$ABO$500,C$2,0),"З")</f>
        <v>0</v>
      </c>
      <c r="D478" s="50">
        <f>SUMIFS(INDEX(Техника!$F$1:$ABM$500,D$2,0),Техника!$F$4:$ABM$4,"Часы",INDEX(Техника!$G$1:$ABN$500,D$2,0),$A$473,INDEX(Техника!$H$1:$ABO$500,D$2,0),"З")</f>
        <v>0</v>
      </c>
      <c r="E478" s="50">
        <f>SUMIFS(INDEX(Техника!$F$1:$ABM$500,E$2,0),Техника!$F$4:$ABM$4,"Часы",INDEX(Техника!$G$1:$ABN$500,E$2,0),$A$473,INDEX(Техника!$H$1:$ABO$500,E$2,0),"З")</f>
        <v>0</v>
      </c>
      <c r="F478" s="50">
        <f>SUMIFS(INDEX(Техника!$F$1:$ABM$500,F$2,0),Техника!$F$4:$ABM$4,"Часы",INDEX(Техника!$G$1:$ABN$500,F$2,0),$A$473,INDEX(Техника!$H$1:$ABO$500,F$2,0),"З")</f>
        <v>0</v>
      </c>
      <c r="G478" s="50">
        <f>SUMIFS(INDEX(Техника!$F$1:$ABM$500,G$2,0),Техника!$F$4:$ABM$4,"Часы",INDEX(Техника!$G$1:$ABN$500,G$2,0),$A$473,INDEX(Техника!$H$1:$ABO$500,G$2,0),"З")</f>
        <v>0</v>
      </c>
      <c r="H478" s="50">
        <f>SUMIFS(INDEX(Техника!$F$1:$ABM$500,H$2,0),Техника!$F$4:$ABM$4,"Часы",INDEX(Техника!$G$1:$ABN$500,H$2,0),$A$473,INDEX(Техника!$H$1:$ABO$500,H$2,0),"З")</f>
        <v>0</v>
      </c>
      <c r="I478" s="50">
        <f>SUMIFS(INDEX(Техника!$F$1:$ABM$500,I$2,0),Техника!$F$4:$ABM$4,"Часы",INDEX(Техника!$G$1:$ABN$500,I$2,0),$A$473,INDEX(Техника!$H$1:$ABO$500,I$2,0),"З")</f>
        <v>0</v>
      </c>
      <c r="J478" s="50">
        <f>SUMIFS(INDEX(Техника!$F$1:$ABM$500,J$2,0),Техника!$F$4:$ABM$4,"Часы",INDEX(Техника!$G$1:$ABN$500,J$2,0),$A$473,INDEX(Техника!$H$1:$ABO$500,J$2,0),"З")</f>
        <v>0</v>
      </c>
      <c r="K478" s="50">
        <f>SUMIFS(INDEX(Техника!$F$1:$ABM$500,K$2,0),Техника!$F$4:$ABM$4,"Часы",INDEX(Техника!$G$1:$ABN$500,K$2,0),$A$473,INDEX(Техника!$H$1:$ABO$500,K$2,0),"З")</f>
        <v>0</v>
      </c>
      <c r="L478" s="50">
        <f>SUMIFS(INDEX(Техника!$F$1:$ABM$500,L$2,0),Техника!$F$4:$ABM$4,"Часы",INDEX(Техника!$G$1:$ABN$500,L$2,0),$A$473,INDEX(Техника!$H$1:$ABO$500,L$2,0),"З")</f>
        <v>0</v>
      </c>
      <c r="M478" s="50">
        <f>SUMIFS(INDEX(Техника!$F$1:$ABM$500,M$2,0),Техника!$F$4:$ABM$4,"Часы",INDEX(Техника!$G$1:$ABN$500,M$2,0),$A$473,INDEX(Техника!$H$1:$ABO$500,M$2,0),"З")</f>
        <v>0</v>
      </c>
      <c r="N478" s="50">
        <f>SUMIFS(INDEX(Техника!$F$1:$ABM$500,N$2,0),Техника!$F$4:$ABM$4,"Часы",INDEX(Техника!$G$1:$ABN$500,N$2,0),$A$473,INDEX(Техника!$H$1:$ABO$500,N$2,0),"З")</f>
        <v>0</v>
      </c>
      <c r="O478" s="50">
        <f>SUMIFS(INDEX(Техника!$F$1:$ABM$500,O$2,0),Техника!$F$4:$ABM$4,"Часы",INDEX(Техника!$G$1:$ABN$500,O$2,0),$A$473,INDEX(Техника!$H$1:$ABO$500,O$2,0),"З")</f>
        <v>0</v>
      </c>
      <c r="P478" s="50">
        <f>SUMIFS(INDEX(Техника!$F$1:$ABM$500,P$2,0),Техника!$F$4:$ABM$4,"Часы",INDEX(Техника!$G$1:$ABN$500,P$2,0),$A$473,INDEX(Техника!$H$1:$ABO$500,P$2,0),"З")</f>
        <v>0</v>
      </c>
      <c r="Q478" s="50">
        <f>SUMIFS(INDEX(Техника!$F$1:$ABM$500,Q$2,0),Техника!$F$4:$ABM$4,"Часы",INDEX(Техника!$G$1:$ABN$500,Q$2,0),$A$473,INDEX(Техника!$H$1:$ABO$500,Q$2,0),"З")</f>
        <v>0</v>
      </c>
      <c r="R478" s="50">
        <f>SUMIFS(INDEX(Техника!$F$1:$ABM$500,R$2,0),Техника!$F$4:$ABM$4,"Часы",INDEX(Техника!$G$1:$ABN$500,R$2,0),$A$473,INDEX(Техника!$H$1:$ABO$500,R$2,0),"З")</f>
        <v>0</v>
      </c>
      <c r="S478" s="50">
        <f>SUMIFS(INDEX(Техника!$F$1:$ABM$500,S$2,0),Техника!$F$4:$ABM$4,"Часы",INDEX(Техника!$G$1:$ABN$500,S$2,0),$A$473,INDEX(Техника!$H$1:$ABO$500,S$2,0),"З")</f>
        <v>0</v>
      </c>
      <c r="T478" s="50">
        <f>SUMIFS(INDEX(Техника!$F$1:$ABM$500,T$2,0),Техника!$F$4:$ABM$4,"Часы",INDEX(Техника!$G$1:$ABN$500,T$2,0),$A$473,INDEX(Техника!$H$1:$ABO$500,T$2,0),"З")</f>
        <v>0</v>
      </c>
      <c r="U478" s="50">
        <f>SUMIFS(INDEX(Техника!$F$1:$ABM$500,U$2,0),Техника!$F$4:$ABM$4,"Часы",INDEX(Техника!$G$1:$ABN$500,U$2,0),$A$473,INDEX(Техника!$H$1:$ABO$500,U$2,0),"З")</f>
        <v>0</v>
      </c>
      <c r="V478" s="50">
        <f>SUMIFS(INDEX(Техника!$F$1:$ABM$500,V$2,0),Техника!$F$4:$ABM$4,"Часы",INDEX(Техника!$G$1:$ABN$500,V$2,0),$A$473,INDEX(Техника!$H$1:$ABO$500,V$2,0),"З")</f>
        <v>0</v>
      </c>
      <c r="W478" s="50">
        <f>SUMIFS(INDEX(Техника!$F$1:$ABM$500,W$2,0),Техника!$F$4:$ABM$4,"Часы",INDEX(Техника!$G$1:$ABN$500,W$2,0),$A$473,INDEX(Техника!$H$1:$ABO$500,W$2,0),"З")</f>
        <v>0</v>
      </c>
      <c r="X478" s="50">
        <f>SUMIFS(INDEX(Техника!$F$1:$ABM$500,X$2,0),Техника!$F$4:$ABM$4,"Часы",INDEX(Техника!$G$1:$ABN$500,X$2,0),$A$473,INDEX(Техника!$H$1:$ABO$500,X$2,0),"З")</f>
        <v>0</v>
      </c>
      <c r="Y478" s="50">
        <f>SUMIFS(INDEX(Техника!$F$1:$ABM$500,Y$2,0),Техника!$F$4:$ABM$4,"Часы",INDEX(Техника!$G$1:$ABN$500,Y$2,0),$A$473,INDEX(Техника!$H$1:$ABO$500,Y$2,0),"З")</f>
        <v>0</v>
      </c>
      <c r="Z478" s="50">
        <f>SUMIFS(INDEX(Техника!$F$1:$ABM$500,Z$2,0),Техника!$F$4:$ABM$4,"Часы",INDEX(Техника!$G$1:$ABN$500,Z$2,0),$A$473,INDEX(Техника!$H$1:$ABO$500,Z$2,0),"З")</f>
        <v>0</v>
      </c>
      <c r="AA478" s="50">
        <f>SUMIFS(INDEX(Техника!$F$1:$ABM$500,AA$2,0),Техника!$F$4:$ABM$4,"Часы",INDEX(Техника!$G$1:$ABN$500,AA$2,0),$A$473,INDEX(Техника!$H$1:$ABO$500,AA$2,0),"З")</f>
        <v>0</v>
      </c>
      <c r="AB478" s="50">
        <f>SUMIFS(INDEX(Техника!$F$1:$ABM$500,AB$2,0),Техника!$F$4:$ABM$4,"Часы",INDEX(Техника!$G$1:$ABN$500,AB$2,0),$A$473,INDEX(Техника!$H$1:$ABO$500,AB$2,0),"З")</f>
        <v>0</v>
      </c>
    </row>
    <row r="479" spans="1:28" ht="7.95" customHeight="1" x14ac:dyDescent="0.3">
      <c r="A479" s="38"/>
      <c r="B479" s="39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</row>
    <row r="480" spans="1:28" ht="25.05" customHeight="1" collapsed="1" x14ac:dyDescent="0.3">
      <c r="A480" s="32">
        <v>69</v>
      </c>
      <c r="B480" s="32" t="s">
        <v>70</v>
      </c>
      <c r="C480" s="49">
        <f>SUM(C481:C485)</f>
        <v>0</v>
      </c>
      <c r="D480" s="49">
        <f>SUM(D481:D485)</f>
        <v>0</v>
      </c>
      <c r="E480" s="49">
        <f>SUM(E481:E485)</f>
        <v>0</v>
      </c>
      <c r="F480" s="49">
        <f>SUM(F481:F485)</f>
        <v>0</v>
      </c>
      <c r="G480" s="49">
        <f>SUM(G481:G485)</f>
        <v>0</v>
      </c>
      <c r="H480" s="49">
        <f>SUM(H481:H485)</f>
        <v>0</v>
      </c>
      <c r="I480" s="49">
        <f>SUM(I481:I485)</f>
        <v>0</v>
      </c>
      <c r="J480" s="49">
        <f>SUM(J481:J485)</f>
        <v>0</v>
      </c>
      <c r="K480" s="49">
        <f>SUM(K481:K485)</f>
        <v>0</v>
      </c>
      <c r="L480" s="49">
        <f>SUM(L481:L485)</f>
        <v>0</v>
      </c>
      <c r="M480" s="49">
        <f>SUM(M481:M485)</f>
        <v>0</v>
      </c>
      <c r="N480" s="49">
        <f>SUM(N481:N485)</f>
        <v>0</v>
      </c>
      <c r="O480" s="49">
        <f>SUM(O481:O485)</f>
        <v>0</v>
      </c>
      <c r="P480" s="49">
        <f>SUM(P481:P485)</f>
        <v>0</v>
      </c>
      <c r="Q480" s="49">
        <f>SUM(Q481:Q485)</f>
        <v>0</v>
      </c>
      <c r="R480" s="49">
        <f>SUM(R481:R485)</f>
        <v>0</v>
      </c>
      <c r="S480" s="49">
        <f>SUM(S481:S485)</f>
        <v>0</v>
      </c>
      <c r="T480" s="49">
        <f>SUM(T481:T485)</f>
        <v>0</v>
      </c>
      <c r="U480" s="49">
        <f>SUM(U481:U485)</f>
        <v>0</v>
      </c>
      <c r="V480" s="49">
        <f>SUM(V481:V485)</f>
        <v>0</v>
      </c>
      <c r="W480" s="49">
        <f>SUM(W481:W485)</f>
        <v>0</v>
      </c>
      <c r="X480" s="49">
        <f>SUM(X481:X485)</f>
        <v>0</v>
      </c>
      <c r="Y480" s="49">
        <f>SUM(Y481:Y485)</f>
        <v>0</v>
      </c>
      <c r="Z480" s="49">
        <f>SUM(Z481:Z485)</f>
        <v>0</v>
      </c>
      <c r="AA480" s="49">
        <f>SUM(AA481:AA485)</f>
        <v>0</v>
      </c>
      <c r="AB480" s="49">
        <f>SUM(AB481:AB485)</f>
        <v>0</v>
      </c>
    </row>
    <row r="481" spans="1:28" hidden="1" outlineLevel="1" x14ac:dyDescent="0.3">
      <c r="A481" s="33" t="s">
        <v>246</v>
      </c>
      <c r="B481" s="34" t="s">
        <v>274</v>
      </c>
      <c r="C481" s="50">
        <f>SUMIFS(INDEX(Техника!$F$1:$ABM$500,C$2,0),Техника!$F$4:$ABM$4,"Часы",INDEX(Техника!$G$1:$ABN$500,C$2,0),$A$480,INDEX(Техника!$H$1:$ABO$500,C$2,0),"М")</f>
        <v>0</v>
      </c>
      <c r="D481" s="50">
        <f>SUMIFS(INDEX(Техника!$F$1:$ABM$500,D$2,0),Техника!$F$4:$ABM$4,"Часы",INDEX(Техника!$G$1:$ABN$500,D$2,0),$A$480,INDEX(Техника!$H$1:$ABO$500,D$2,0),"М")</f>
        <v>0</v>
      </c>
      <c r="E481" s="50">
        <f>SUMIFS(INDEX(Техника!$F$1:$ABM$500,E$2,0),Техника!$F$4:$ABM$4,"Часы",INDEX(Техника!$G$1:$ABN$500,E$2,0),$A$480,INDEX(Техника!$H$1:$ABO$500,E$2,0),"М")</f>
        <v>0</v>
      </c>
      <c r="F481" s="50">
        <f>SUMIFS(INDEX(Техника!$F$1:$ABM$500,F$2,0),Техника!$F$4:$ABM$4,"Часы",INDEX(Техника!$G$1:$ABN$500,F$2,0),$A$480,INDEX(Техника!$H$1:$ABO$500,F$2,0),"М")</f>
        <v>0</v>
      </c>
      <c r="G481" s="50">
        <f>SUMIFS(INDEX(Техника!$F$1:$ABM$500,G$2,0),Техника!$F$4:$ABM$4,"Часы",INDEX(Техника!$G$1:$ABN$500,G$2,0),$A$480,INDEX(Техника!$H$1:$ABO$500,G$2,0),"М")</f>
        <v>0</v>
      </c>
      <c r="H481" s="50">
        <f>SUMIFS(INDEX(Техника!$F$1:$ABM$500,H$2,0),Техника!$F$4:$ABM$4,"Часы",INDEX(Техника!$G$1:$ABN$500,H$2,0),$A$480,INDEX(Техника!$H$1:$ABO$500,H$2,0),"М")</f>
        <v>0</v>
      </c>
      <c r="I481" s="50">
        <f>SUMIFS(INDEX(Техника!$F$1:$ABM$500,I$2,0),Техника!$F$4:$ABM$4,"Часы",INDEX(Техника!$G$1:$ABN$500,I$2,0),$A$480,INDEX(Техника!$H$1:$ABO$500,I$2,0),"М")</f>
        <v>0</v>
      </c>
      <c r="J481" s="50">
        <f>SUMIFS(INDEX(Техника!$F$1:$ABM$500,J$2,0),Техника!$F$4:$ABM$4,"Часы",INDEX(Техника!$G$1:$ABN$500,J$2,0),$A$480,INDEX(Техника!$H$1:$ABO$500,J$2,0),"М")</f>
        <v>0</v>
      </c>
      <c r="K481" s="50">
        <f>SUMIFS(INDEX(Техника!$F$1:$ABM$500,K$2,0),Техника!$F$4:$ABM$4,"Часы",INDEX(Техника!$G$1:$ABN$500,K$2,0),$A$480,INDEX(Техника!$H$1:$ABO$500,K$2,0),"М")</f>
        <v>0</v>
      </c>
      <c r="L481" s="50">
        <f>SUMIFS(INDEX(Техника!$F$1:$ABM$500,L$2,0),Техника!$F$4:$ABM$4,"Часы",INDEX(Техника!$G$1:$ABN$500,L$2,0),$A$480,INDEX(Техника!$H$1:$ABO$500,L$2,0),"М")</f>
        <v>0</v>
      </c>
      <c r="M481" s="50">
        <f>SUMIFS(INDEX(Техника!$F$1:$ABM$500,M$2,0),Техника!$F$4:$ABM$4,"Часы",INDEX(Техника!$G$1:$ABN$500,M$2,0),$A$480,INDEX(Техника!$H$1:$ABO$500,M$2,0),"М")</f>
        <v>0</v>
      </c>
      <c r="N481" s="50">
        <f>SUMIFS(INDEX(Техника!$F$1:$ABM$500,N$2,0),Техника!$F$4:$ABM$4,"Часы",INDEX(Техника!$G$1:$ABN$500,N$2,0),$A$480,INDEX(Техника!$H$1:$ABO$500,N$2,0),"М")</f>
        <v>0</v>
      </c>
      <c r="O481" s="50">
        <f>SUMIFS(INDEX(Техника!$F$1:$ABM$500,O$2,0),Техника!$F$4:$ABM$4,"Часы",INDEX(Техника!$G$1:$ABN$500,O$2,0),$A$480,INDEX(Техника!$H$1:$ABO$500,O$2,0),"М")</f>
        <v>0</v>
      </c>
      <c r="P481" s="50">
        <f>SUMIFS(INDEX(Техника!$F$1:$ABM$500,P$2,0),Техника!$F$4:$ABM$4,"Часы",INDEX(Техника!$G$1:$ABN$500,P$2,0),$A$480,INDEX(Техника!$H$1:$ABO$500,P$2,0),"М")</f>
        <v>0</v>
      </c>
      <c r="Q481" s="50">
        <f>SUMIFS(INDEX(Техника!$F$1:$ABM$500,Q$2,0),Техника!$F$4:$ABM$4,"Часы",INDEX(Техника!$G$1:$ABN$500,Q$2,0),$A$480,INDEX(Техника!$H$1:$ABO$500,Q$2,0),"М")</f>
        <v>0</v>
      </c>
      <c r="R481" s="50">
        <f>SUMIFS(INDEX(Техника!$F$1:$ABM$500,R$2,0),Техника!$F$4:$ABM$4,"Часы",INDEX(Техника!$G$1:$ABN$500,R$2,0),$A$480,INDEX(Техника!$H$1:$ABO$500,R$2,0),"М")</f>
        <v>0</v>
      </c>
      <c r="S481" s="50">
        <f>SUMIFS(INDEX(Техника!$F$1:$ABM$500,S$2,0),Техника!$F$4:$ABM$4,"Часы",INDEX(Техника!$G$1:$ABN$500,S$2,0),$A$480,INDEX(Техника!$H$1:$ABO$500,S$2,0),"М")</f>
        <v>0</v>
      </c>
      <c r="T481" s="50">
        <f>SUMIFS(INDEX(Техника!$F$1:$ABM$500,T$2,0),Техника!$F$4:$ABM$4,"Часы",INDEX(Техника!$G$1:$ABN$500,T$2,0),$A$480,INDEX(Техника!$H$1:$ABO$500,T$2,0),"М")</f>
        <v>0</v>
      </c>
      <c r="U481" s="50">
        <f>SUMIFS(INDEX(Техника!$F$1:$ABM$500,U$2,0),Техника!$F$4:$ABM$4,"Часы",INDEX(Техника!$G$1:$ABN$500,U$2,0),$A$480,INDEX(Техника!$H$1:$ABO$500,U$2,0),"М")</f>
        <v>0</v>
      </c>
      <c r="V481" s="50">
        <f>SUMIFS(INDEX(Техника!$F$1:$ABM$500,V$2,0),Техника!$F$4:$ABM$4,"Часы",INDEX(Техника!$G$1:$ABN$500,V$2,0),$A$480,INDEX(Техника!$H$1:$ABO$500,V$2,0),"М")</f>
        <v>0</v>
      </c>
      <c r="W481" s="50">
        <f>SUMIFS(INDEX(Техника!$F$1:$ABM$500,W$2,0),Техника!$F$4:$ABM$4,"Часы",INDEX(Техника!$G$1:$ABN$500,W$2,0),$A$480,INDEX(Техника!$H$1:$ABO$500,W$2,0),"М")</f>
        <v>0</v>
      </c>
      <c r="X481" s="50">
        <f>SUMIFS(INDEX(Техника!$F$1:$ABM$500,X$2,0),Техника!$F$4:$ABM$4,"Часы",INDEX(Техника!$G$1:$ABN$500,X$2,0),$A$480,INDEX(Техника!$H$1:$ABO$500,X$2,0),"М")</f>
        <v>0</v>
      </c>
      <c r="Y481" s="50">
        <f>SUMIFS(INDEX(Техника!$F$1:$ABM$500,Y$2,0),Техника!$F$4:$ABM$4,"Часы",INDEX(Техника!$G$1:$ABN$500,Y$2,0),$A$480,INDEX(Техника!$H$1:$ABO$500,Y$2,0),"М")</f>
        <v>0</v>
      </c>
      <c r="Z481" s="50">
        <f>SUMIFS(INDEX(Техника!$F$1:$ABM$500,Z$2,0),Техника!$F$4:$ABM$4,"Часы",INDEX(Техника!$G$1:$ABN$500,Z$2,0),$A$480,INDEX(Техника!$H$1:$ABO$500,Z$2,0),"М")</f>
        <v>0</v>
      </c>
      <c r="AA481" s="50">
        <f>SUMIFS(INDEX(Техника!$F$1:$ABM$500,AA$2,0),Техника!$F$4:$ABM$4,"Часы",INDEX(Техника!$G$1:$ABN$500,AA$2,0),$A$480,INDEX(Техника!$H$1:$ABO$500,AA$2,0),"М")</f>
        <v>0</v>
      </c>
      <c r="AB481" s="50">
        <f>SUMIFS(INDEX(Техника!$F$1:$ABM$500,AB$2,0),Техника!$F$4:$ABM$4,"Часы",INDEX(Техника!$G$1:$ABN$500,AB$2,0),$A$480,INDEX(Техника!$H$1:$ABO$500,AB$2,0),"М")</f>
        <v>0</v>
      </c>
    </row>
    <row r="482" spans="1:28" hidden="1" outlineLevel="1" x14ac:dyDescent="0.3">
      <c r="A482" s="33" t="s">
        <v>244</v>
      </c>
      <c r="B482" s="34" t="s">
        <v>275</v>
      </c>
      <c r="C482" s="50">
        <f>SUMIFS(INDEX(Техника!$F$1:$ABM$500,C$2,0),Техника!$F$4:$ABM$4,"Часы",INDEX(Техника!$G$1:$ABN$500,C$2,0),$A$480,INDEX(Техника!$H$1:$ABO$500,C$2,0),"Д")</f>
        <v>0</v>
      </c>
      <c r="D482" s="50">
        <f>SUMIFS(INDEX(Техника!$F$1:$ABM$500,D$2,0),Техника!$F$4:$ABM$4,"Часы",INDEX(Техника!$G$1:$ABN$500,D$2,0),$A$480,INDEX(Техника!$H$1:$ABO$500,D$2,0),"Д")</f>
        <v>0</v>
      </c>
      <c r="E482" s="50">
        <f>SUMIFS(INDEX(Техника!$F$1:$ABM$500,E$2,0),Техника!$F$4:$ABM$4,"Часы",INDEX(Техника!$G$1:$ABN$500,E$2,0),$A$480,INDEX(Техника!$H$1:$ABO$500,E$2,0),"Д")</f>
        <v>0</v>
      </c>
      <c r="F482" s="50">
        <f>SUMIFS(INDEX(Техника!$F$1:$ABM$500,F$2,0),Техника!$F$4:$ABM$4,"Часы",INDEX(Техника!$G$1:$ABN$500,F$2,0),$A$480,INDEX(Техника!$H$1:$ABO$500,F$2,0),"Д")</f>
        <v>0</v>
      </c>
      <c r="G482" s="50">
        <f>SUMIFS(INDEX(Техника!$F$1:$ABM$500,G$2,0),Техника!$F$4:$ABM$4,"Часы",INDEX(Техника!$G$1:$ABN$500,G$2,0),$A$480,INDEX(Техника!$H$1:$ABO$500,G$2,0),"Д")</f>
        <v>0</v>
      </c>
      <c r="H482" s="50">
        <f>SUMIFS(INDEX(Техника!$F$1:$ABM$500,H$2,0),Техника!$F$4:$ABM$4,"Часы",INDEX(Техника!$G$1:$ABN$500,H$2,0),$A$480,INDEX(Техника!$H$1:$ABO$500,H$2,0),"Д")</f>
        <v>0</v>
      </c>
      <c r="I482" s="50">
        <f>SUMIFS(INDEX(Техника!$F$1:$ABM$500,I$2,0),Техника!$F$4:$ABM$4,"Часы",INDEX(Техника!$G$1:$ABN$500,I$2,0),$A$480,INDEX(Техника!$H$1:$ABO$500,I$2,0),"Д")</f>
        <v>0</v>
      </c>
      <c r="J482" s="50">
        <f>SUMIFS(INDEX(Техника!$F$1:$ABM$500,J$2,0),Техника!$F$4:$ABM$4,"Часы",INDEX(Техника!$G$1:$ABN$500,J$2,0),$A$480,INDEX(Техника!$H$1:$ABO$500,J$2,0),"Д")</f>
        <v>0</v>
      </c>
      <c r="K482" s="50">
        <f>SUMIFS(INDEX(Техника!$F$1:$ABM$500,K$2,0),Техника!$F$4:$ABM$4,"Часы",INDEX(Техника!$G$1:$ABN$500,K$2,0),$A$480,INDEX(Техника!$H$1:$ABO$500,K$2,0),"Д")</f>
        <v>0</v>
      </c>
      <c r="L482" s="50">
        <f>SUMIFS(INDEX(Техника!$F$1:$ABM$500,L$2,0),Техника!$F$4:$ABM$4,"Часы",INDEX(Техника!$G$1:$ABN$500,L$2,0),$A$480,INDEX(Техника!$H$1:$ABO$500,L$2,0),"Д")</f>
        <v>0</v>
      </c>
      <c r="M482" s="50">
        <f>SUMIFS(INDEX(Техника!$F$1:$ABM$500,M$2,0),Техника!$F$4:$ABM$4,"Часы",INDEX(Техника!$G$1:$ABN$500,M$2,0),$A$480,INDEX(Техника!$H$1:$ABO$500,M$2,0),"Д")</f>
        <v>0</v>
      </c>
      <c r="N482" s="50">
        <f>SUMIFS(INDEX(Техника!$F$1:$ABM$500,N$2,0),Техника!$F$4:$ABM$4,"Часы",INDEX(Техника!$G$1:$ABN$500,N$2,0),$A$480,INDEX(Техника!$H$1:$ABO$500,N$2,0),"Д")</f>
        <v>0</v>
      </c>
      <c r="O482" s="50">
        <f>SUMIFS(INDEX(Техника!$F$1:$ABM$500,O$2,0),Техника!$F$4:$ABM$4,"Часы",INDEX(Техника!$G$1:$ABN$500,O$2,0),$A$480,INDEX(Техника!$H$1:$ABO$500,O$2,0),"Д")</f>
        <v>0</v>
      </c>
      <c r="P482" s="50">
        <f>SUMIFS(INDEX(Техника!$F$1:$ABM$500,P$2,0),Техника!$F$4:$ABM$4,"Часы",INDEX(Техника!$G$1:$ABN$500,P$2,0),$A$480,INDEX(Техника!$H$1:$ABO$500,P$2,0),"Д")</f>
        <v>0</v>
      </c>
      <c r="Q482" s="50">
        <f>SUMIFS(INDEX(Техника!$F$1:$ABM$500,Q$2,0),Техника!$F$4:$ABM$4,"Часы",INDEX(Техника!$G$1:$ABN$500,Q$2,0),$A$480,INDEX(Техника!$H$1:$ABO$500,Q$2,0),"Д")</f>
        <v>0</v>
      </c>
      <c r="R482" s="50">
        <f>SUMIFS(INDEX(Техника!$F$1:$ABM$500,R$2,0),Техника!$F$4:$ABM$4,"Часы",INDEX(Техника!$G$1:$ABN$500,R$2,0),$A$480,INDEX(Техника!$H$1:$ABO$500,R$2,0),"Д")</f>
        <v>0</v>
      </c>
      <c r="S482" s="50">
        <f>SUMIFS(INDEX(Техника!$F$1:$ABM$500,S$2,0),Техника!$F$4:$ABM$4,"Часы",INDEX(Техника!$G$1:$ABN$500,S$2,0),$A$480,INDEX(Техника!$H$1:$ABO$500,S$2,0),"Д")</f>
        <v>0</v>
      </c>
      <c r="T482" s="50">
        <f>SUMIFS(INDEX(Техника!$F$1:$ABM$500,T$2,0),Техника!$F$4:$ABM$4,"Часы",INDEX(Техника!$G$1:$ABN$500,T$2,0),$A$480,INDEX(Техника!$H$1:$ABO$500,T$2,0),"Д")</f>
        <v>0</v>
      </c>
      <c r="U482" s="50">
        <f>SUMIFS(INDEX(Техника!$F$1:$ABM$500,U$2,0),Техника!$F$4:$ABM$4,"Часы",INDEX(Техника!$G$1:$ABN$500,U$2,0),$A$480,INDEX(Техника!$H$1:$ABO$500,U$2,0),"Д")</f>
        <v>0</v>
      </c>
      <c r="V482" s="50">
        <f>SUMIFS(INDEX(Техника!$F$1:$ABM$500,V$2,0),Техника!$F$4:$ABM$4,"Часы",INDEX(Техника!$G$1:$ABN$500,V$2,0),$A$480,INDEX(Техника!$H$1:$ABO$500,V$2,0),"Д")</f>
        <v>0</v>
      </c>
      <c r="W482" s="50">
        <f>SUMIFS(INDEX(Техника!$F$1:$ABM$500,W$2,0),Техника!$F$4:$ABM$4,"Часы",INDEX(Техника!$G$1:$ABN$500,W$2,0),$A$480,INDEX(Техника!$H$1:$ABO$500,W$2,0),"Д")</f>
        <v>0</v>
      </c>
      <c r="X482" s="50">
        <f>SUMIFS(INDEX(Техника!$F$1:$ABM$500,X$2,0),Техника!$F$4:$ABM$4,"Часы",INDEX(Техника!$G$1:$ABN$500,X$2,0),$A$480,INDEX(Техника!$H$1:$ABO$500,X$2,0),"Д")</f>
        <v>0</v>
      </c>
      <c r="Y482" s="50">
        <f>SUMIFS(INDEX(Техника!$F$1:$ABM$500,Y$2,0),Техника!$F$4:$ABM$4,"Часы",INDEX(Техника!$G$1:$ABN$500,Y$2,0),$A$480,INDEX(Техника!$H$1:$ABO$500,Y$2,0),"Д")</f>
        <v>0</v>
      </c>
      <c r="Z482" s="50">
        <f>SUMIFS(INDEX(Техника!$F$1:$ABM$500,Z$2,0),Техника!$F$4:$ABM$4,"Часы",INDEX(Техника!$G$1:$ABN$500,Z$2,0),$A$480,INDEX(Техника!$H$1:$ABO$500,Z$2,0),"Д")</f>
        <v>0</v>
      </c>
      <c r="AA482" s="50">
        <f>SUMIFS(INDEX(Техника!$F$1:$ABM$500,AA$2,0),Техника!$F$4:$ABM$4,"Часы",INDEX(Техника!$G$1:$ABN$500,AA$2,0),$A$480,INDEX(Техника!$H$1:$ABO$500,AA$2,0),"Д")</f>
        <v>0</v>
      </c>
      <c r="AB482" s="50">
        <f>SUMIFS(INDEX(Техника!$F$1:$ABM$500,AB$2,0),Техника!$F$4:$ABM$4,"Часы",INDEX(Техника!$G$1:$ABN$500,AB$2,0),$A$480,INDEX(Техника!$H$1:$ABO$500,AB$2,0),"Д")</f>
        <v>0</v>
      </c>
    </row>
    <row r="483" spans="1:28" hidden="1" outlineLevel="1" x14ac:dyDescent="0.3">
      <c r="A483" s="33" t="s">
        <v>276</v>
      </c>
      <c r="B483" s="34" t="s">
        <v>277</v>
      </c>
      <c r="C483" s="50">
        <f>SUMIFS(INDEX(Техника!$F$1:$ABM$500,C$2,0),Техника!$F$4:$ABM$4,"Часы",INDEX(Техника!$G$1:$ABN$500,C$2,0),$A$480,INDEX(Техника!$H$1:$ABO$500,C$2,0),"П")</f>
        <v>0</v>
      </c>
      <c r="D483" s="50">
        <f>SUMIFS(INDEX(Техника!$F$1:$ABM$500,D$2,0),Техника!$F$4:$ABM$4,"Часы",INDEX(Техника!$G$1:$ABN$500,D$2,0),$A$480,INDEX(Техника!$H$1:$ABO$500,D$2,0),"П")</f>
        <v>0</v>
      </c>
      <c r="E483" s="50">
        <f>SUMIFS(INDEX(Техника!$F$1:$ABM$500,E$2,0),Техника!$F$4:$ABM$4,"Часы",INDEX(Техника!$G$1:$ABN$500,E$2,0),$A$480,INDEX(Техника!$H$1:$ABO$500,E$2,0),"П")</f>
        <v>0</v>
      </c>
      <c r="F483" s="50">
        <f>SUMIFS(INDEX(Техника!$F$1:$ABM$500,F$2,0),Техника!$F$4:$ABM$4,"Часы",INDEX(Техника!$G$1:$ABN$500,F$2,0),$A$480,INDEX(Техника!$H$1:$ABO$500,F$2,0),"П")</f>
        <v>0</v>
      </c>
      <c r="G483" s="50">
        <f>SUMIFS(INDEX(Техника!$F$1:$ABM$500,G$2,0),Техника!$F$4:$ABM$4,"Часы",INDEX(Техника!$G$1:$ABN$500,G$2,0),$A$480,INDEX(Техника!$H$1:$ABO$500,G$2,0),"П")</f>
        <v>0</v>
      </c>
      <c r="H483" s="50">
        <f>SUMIFS(INDEX(Техника!$F$1:$ABM$500,H$2,0),Техника!$F$4:$ABM$4,"Часы",INDEX(Техника!$G$1:$ABN$500,H$2,0),$A$480,INDEX(Техника!$H$1:$ABO$500,H$2,0),"П")</f>
        <v>0</v>
      </c>
      <c r="I483" s="50">
        <f>SUMIFS(INDEX(Техника!$F$1:$ABM$500,I$2,0),Техника!$F$4:$ABM$4,"Часы",INDEX(Техника!$G$1:$ABN$500,I$2,0),$A$480,INDEX(Техника!$H$1:$ABO$500,I$2,0),"П")</f>
        <v>0</v>
      </c>
      <c r="J483" s="50">
        <f>SUMIFS(INDEX(Техника!$F$1:$ABM$500,J$2,0),Техника!$F$4:$ABM$4,"Часы",INDEX(Техника!$G$1:$ABN$500,J$2,0),$A$480,INDEX(Техника!$H$1:$ABO$500,J$2,0),"П")</f>
        <v>0</v>
      </c>
      <c r="K483" s="50">
        <f>SUMIFS(INDEX(Техника!$F$1:$ABM$500,K$2,0),Техника!$F$4:$ABM$4,"Часы",INDEX(Техника!$G$1:$ABN$500,K$2,0),$A$480,INDEX(Техника!$H$1:$ABO$500,K$2,0),"П")</f>
        <v>0</v>
      </c>
      <c r="L483" s="50">
        <f>SUMIFS(INDEX(Техника!$F$1:$ABM$500,L$2,0),Техника!$F$4:$ABM$4,"Часы",INDEX(Техника!$G$1:$ABN$500,L$2,0),$A$480,INDEX(Техника!$H$1:$ABO$500,L$2,0),"П")</f>
        <v>0</v>
      </c>
      <c r="M483" s="50">
        <f>SUMIFS(INDEX(Техника!$F$1:$ABM$500,M$2,0),Техника!$F$4:$ABM$4,"Часы",INDEX(Техника!$G$1:$ABN$500,M$2,0),$A$480,INDEX(Техника!$H$1:$ABO$500,M$2,0),"П")</f>
        <v>0</v>
      </c>
      <c r="N483" s="50">
        <f>SUMIFS(INDEX(Техника!$F$1:$ABM$500,N$2,0),Техника!$F$4:$ABM$4,"Часы",INDEX(Техника!$G$1:$ABN$500,N$2,0),$A$480,INDEX(Техника!$H$1:$ABO$500,N$2,0),"П")</f>
        <v>0</v>
      </c>
      <c r="O483" s="50">
        <f>SUMIFS(INDEX(Техника!$F$1:$ABM$500,O$2,0),Техника!$F$4:$ABM$4,"Часы",INDEX(Техника!$G$1:$ABN$500,O$2,0),$A$480,INDEX(Техника!$H$1:$ABO$500,O$2,0),"П")</f>
        <v>0</v>
      </c>
      <c r="P483" s="50">
        <f>SUMIFS(INDEX(Техника!$F$1:$ABM$500,P$2,0),Техника!$F$4:$ABM$4,"Часы",INDEX(Техника!$G$1:$ABN$500,P$2,0),$A$480,INDEX(Техника!$H$1:$ABO$500,P$2,0),"П")</f>
        <v>0</v>
      </c>
      <c r="Q483" s="50">
        <f>SUMIFS(INDEX(Техника!$F$1:$ABM$500,Q$2,0),Техника!$F$4:$ABM$4,"Часы",INDEX(Техника!$G$1:$ABN$500,Q$2,0),$A$480,INDEX(Техника!$H$1:$ABO$500,Q$2,0),"П")</f>
        <v>0</v>
      </c>
      <c r="R483" s="50">
        <f>SUMIFS(INDEX(Техника!$F$1:$ABM$500,R$2,0),Техника!$F$4:$ABM$4,"Часы",INDEX(Техника!$G$1:$ABN$500,R$2,0),$A$480,INDEX(Техника!$H$1:$ABO$500,R$2,0),"П")</f>
        <v>0</v>
      </c>
      <c r="S483" s="50">
        <f>SUMIFS(INDEX(Техника!$F$1:$ABM$500,S$2,0),Техника!$F$4:$ABM$4,"Часы",INDEX(Техника!$G$1:$ABN$500,S$2,0),$A$480,INDEX(Техника!$H$1:$ABO$500,S$2,0),"П")</f>
        <v>0</v>
      </c>
      <c r="T483" s="50">
        <f>SUMIFS(INDEX(Техника!$F$1:$ABM$500,T$2,0),Техника!$F$4:$ABM$4,"Часы",INDEX(Техника!$G$1:$ABN$500,T$2,0),$A$480,INDEX(Техника!$H$1:$ABO$500,T$2,0),"П")</f>
        <v>0</v>
      </c>
      <c r="U483" s="50">
        <f>SUMIFS(INDEX(Техника!$F$1:$ABM$500,U$2,0),Техника!$F$4:$ABM$4,"Часы",INDEX(Техника!$G$1:$ABN$500,U$2,0),$A$480,INDEX(Техника!$H$1:$ABO$500,U$2,0),"П")</f>
        <v>0</v>
      </c>
      <c r="V483" s="50">
        <f>SUMIFS(INDEX(Техника!$F$1:$ABM$500,V$2,0),Техника!$F$4:$ABM$4,"Часы",INDEX(Техника!$G$1:$ABN$500,V$2,0),$A$480,INDEX(Техника!$H$1:$ABO$500,V$2,0),"П")</f>
        <v>0</v>
      </c>
      <c r="W483" s="50">
        <f>SUMIFS(INDEX(Техника!$F$1:$ABM$500,W$2,0),Техника!$F$4:$ABM$4,"Часы",INDEX(Техника!$G$1:$ABN$500,W$2,0),$A$480,INDEX(Техника!$H$1:$ABO$500,W$2,0),"П")</f>
        <v>0</v>
      </c>
      <c r="X483" s="50">
        <f>SUMIFS(INDEX(Техника!$F$1:$ABM$500,X$2,0),Техника!$F$4:$ABM$4,"Часы",INDEX(Техника!$G$1:$ABN$500,X$2,0),$A$480,INDEX(Техника!$H$1:$ABO$500,X$2,0),"П")</f>
        <v>0</v>
      </c>
      <c r="Y483" s="50">
        <f>SUMIFS(INDEX(Техника!$F$1:$ABM$500,Y$2,0),Техника!$F$4:$ABM$4,"Часы",INDEX(Техника!$G$1:$ABN$500,Y$2,0),$A$480,INDEX(Техника!$H$1:$ABO$500,Y$2,0),"П")</f>
        <v>0</v>
      </c>
      <c r="Z483" s="50">
        <f>SUMIFS(INDEX(Техника!$F$1:$ABM$500,Z$2,0),Техника!$F$4:$ABM$4,"Часы",INDEX(Техника!$G$1:$ABN$500,Z$2,0),$A$480,INDEX(Техника!$H$1:$ABO$500,Z$2,0),"П")</f>
        <v>0</v>
      </c>
      <c r="AA483" s="50">
        <f>SUMIFS(INDEX(Техника!$F$1:$ABM$500,AA$2,0),Техника!$F$4:$ABM$4,"Часы",INDEX(Техника!$G$1:$ABN$500,AA$2,0),$A$480,INDEX(Техника!$H$1:$ABO$500,AA$2,0),"П")</f>
        <v>0</v>
      </c>
      <c r="AB483" s="50">
        <f>SUMIFS(INDEX(Техника!$F$1:$ABM$500,AB$2,0),Техника!$F$4:$ABM$4,"Часы",INDEX(Техника!$G$1:$ABN$500,AB$2,0),$A$480,INDEX(Техника!$H$1:$ABO$500,AB$2,0),"П")</f>
        <v>0</v>
      </c>
    </row>
    <row r="484" spans="1:28" hidden="1" outlineLevel="1" x14ac:dyDescent="0.3">
      <c r="A484" s="33" t="s">
        <v>243</v>
      </c>
      <c r="B484" s="34" t="s">
        <v>278</v>
      </c>
      <c r="C484" s="50">
        <f>SUMIFS(INDEX(Техника!$F$1:$ABM$500,C$2,0),Техника!$F$4:$ABM$4,"Часы",INDEX(Техника!$G$1:$ABN$500,C$2,0),$A$480,INDEX(Техника!$H$1:$ABO$500,C$2,0),"Л")</f>
        <v>0</v>
      </c>
      <c r="D484" s="50">
        <f>SUMIFS(INDEX(Техника!$F$1:$ABM$500,D$2,0),Техника!$F$4:$ABM$4,"Часы",INDEX(Техника!$G$1:$ABN$500,D$2,0),$A$480,INDEX(Техника!$H$1:$ABO$500,D$2,0),"Л")</f>
        <v>0</v>
      </c>
      <c r="E484" s="50">
        <f>SUMIFS(INDEX(Техника!$F$1:$ABM$500,E$2,0),Техника!$F$4:$ABM$4,"Часы",INDEX(Техника!$G$1:$ABN$500,E$2,0),$A$480,INDEX(Техника!$H$1:$ABO$500,E$2,0),"Л")</f>
        <v>0</v>
      </c>
      <c r="F484" s="50">
        <f>SUMIFS(INDEX(Техника!$F$1:$ABM$500,F$2,0),Техника!$F$4:$ABM$4,"Часы",INDEX(Техника!$G$1:$ABN$500,F$2,0),$A$480,INDEX(Техника!$H$1:$ABO$500,F$2,0),"Л")</f>
        <v>0</v>
      </c>
      <c r="G484" s="50">
        <f>SUMIFS(INDEX(Техника!$F$1:$ABM$500,G$2,0),Техника!$F$4:$ABM$4,"Часы",INDEX(Техника!$G$1:$ABN$500,G$2,0),$A$480,INDEX(Техника!$H$1:$ABO$500,G$2,0),"Л")</f>
        <v>0</v>
      </c>
      <c r="H484" s="50">
        <f>SUMIFS(INDEX(Техника!$F$1:$ABM$500,H$2,0),Техника!$F$4:$ABM$4,"Часы",INDEX(Техника!$G$1:$ABN$500,H$2,0),$A$480,INDEX(Техника!$H$1:$ABO$500,H$2,0),"Л")</f>
        <v>0</v>
      </c>
      <c r="I484" s="50">
        <f>SUMIFS(INDEX(Техника!$F$1:$ABM$500,I$2,0),Техника!$F$4:$ABM$4,"Часы",INDEX(Техника!$G$1:$ABN$500,I$2,0),$A$480,INDEX(Техника!$H$1:$ABO$500,I$2,0),"Л")</f>
        <v>0</v>
      </c>
      <c r="J484" s="50">
        <f>SUMIFS(INDEX(Техника!$F$1:$ABM$500,J$2,0),Техника!$F$4:$ABM$4,"Часы",INDEX(Техника!$G$1:$ABN$500,J$2,0),$A$480,INDEX(Техника!$H$1:$ABO$500,J$2,0),"Л")</f>
        <v>0</v>
      </c>
      <c r="K484" s="50">
        <f>SUMIFS(INDEX(Техника!$F$1:$ABM$500,K$2,0),Техника!$F$4:$ABM$4,"Часы",INDEX(Техника!$G$1:$ABN$500,K$2,0),$A$480,INDEX(Техника!$H$1:$ABO$500,K$2,0),"Л")</f>
        <v>0</v>
      </c>
      <c r="L484" s="50">
        <f>SUMIFS(INDEX(Техника!$F$1:$ABM$500,L$2,0),Техника!$F$4:$ABM$4,"Часы",INDEX(Техника!$G$1:$ABN$500,L$2,0),$A$480,INDEX(Техника!$H$1:$ABO$500,L$2,0),"Л")</f>
        <v>0</v>
      </c>
      <c r="M484" s="50">
        <f>SUMIFS(INDEX(Техника!$F$1:$ABM$500,M$2,0),Техника!$F$4:$ABM$4,"Часы",INDEX(Техника!$G$1:$ABN$500,M$2,0),$A$480,INDEX(Техника!$H$1:$ABO$500,M$2,0),"Л")</f>
        <v>0</v>
      </c>
      <c r="N484" s="50">
        <f>SUMIFS(INDEX(Техника!$F$1:$ABM$500,N$2,0),Техника!$F$4:$ABM$4,"Часы",INDEX(Техника!$G$1:$ABN$500,N$2,0),$A$480,INDEX(Техника!$H$1:$ABO$500,N$2,0),"Л")</f>
        <v>0</v>
      </c>
      <c r="O484" s="50">
        <f>SUMIFS(INDEX(Техника!$F$1:$ABM$500,O$2,0),Техника!$F$4:$ABM$4,"Часы",INDEX(Техника!$G$1:$ABN$500,O$2,0),$A$480,INDEX(Техника!$H$1:$ABO$500,O$2,0),"Л")</f>
        <v>0</v>
      </c>
      <c r="P484" s="50">
        <f>SUMIFS(INDEX(Техника!$F$1:$ABM$500,P$2,0),Техника!$F$4:$ABM$4,"Часы",INDEX(Техника!$G$1:$ABN$500,P$2,0),$A$480,INDEX(Техника!$H$1:$ABO$500,P$2,0),"Л")</f>
        <v>0</v>
      </c>
      <c r="Q484" s="50">
        <f>SUMIFS(INDEX(Техника!$F$1:$ABM$500,Q$2,0),Техника!$F$4:$ABM$4,"Часы",INDEX(Техника!$G$1:$ABN$500,Q$2,0),$A$480,INDEX(Техника!$H$1:$ABO$500,Q$2,0),"Л")</f>
        <v>0</v>
      </c>
      <c r="R484" s="50">
        <f>SUMIFS(INDEX(Техника!$F$1:$ABM$500,R$2,0),Техника!$F$4:$ABM$4,"Часы",INDEX(Техника!$G$1:$ABN$500,R$2,0),$A$480,INDEX(Техника!$H$1:$ABO$500,R$2,0),"Л")</f>
        <v>0</v>
      </c>
      <c r="S484" s="50">
        <f>SUMIFS(INDEX(Техника!$F$1:$ABM$500,S$2,0),Техника!$F$4:$ABM$4,"Часы",INDEX(Техника!$G$1:$ABN$500,S$2,0),$A$480,INDEX(Техника!$H$1:$ABO$500,S$2,0),"Л")</f>
        <v>0</v>
      </c>
      <c r="T484" s="50">
        <f>SUMIFS(INDEX(Техника!$F$1:$ABM$500,T$2,0),Техника!$F$4:$ABM$4,"Часы",INDEX(Техника!$G$1:$ABN$500,T$2,0),$A$480,INDEX(Техника!$H$1:$ABO$500,T$2,0),"Л")</f>
        <v>0</v>
      </c>
      <c r="U484" s="50">
        <f>SUMIFS(INDEX(Техника!$F$1:$ABM$500,U$2,0),Техника!$F$4:$ABM$4,"Часы",INDEX(Техника!$G$1:$ABN$500,U$2,0),$A$480,INDEX(Техника!$H$1:$ABO$500,U$2,0),"Л")</f>
        <v>0</v>
      </c>
      <c r="V484" s="50">
        <f>SUMIFS(INDEX(Техника!$F$1:$ABM$500,V$2,0),Техника!$F$4:$ABM$4,"Часы",INDEX(Техника!$G$1:$ABN$500,V$2,0),$A$480,INDEX(Техника!$H$1:$ABO$500,V$2,0),"Л")</f>
        <v>0</v>
      </c>
      <c r="W484" s="50">
        <f>SUMIFS(INDEX(Техника!$F$1:$ABM$500,W$2,0),Техника!$F$4:$ABM$4,"Часы",INDEX(Техника!$G$1:$ABN$500,W$2,0),$A$480,INDEX(Техника!$H$1:$ABO$500,W$2,0),"Л")</f>
        <v>0</v>
      </c>
      <c r="X484" s="50">
        <f>SUMIFS(INDEX(Техника!$F$1:$ABM$500,X$2,0),Техника!$F$4:$ABM$4,"Часы",INDEX(Техника!$G$1:$ABN$500,X$2,0),$A$480,INDEX(Техника!$H$1:$ABO$500,X$2,0),"Л")</f>
        <v>0</v>
      </c>
      <c r="Y484" s="50">
        <f>SUMIFS(INDEX(Техника!$F$1:$ABM$500,Y$2,0),Техника!$F$4:$ABM$4,"Часы",INDEX(Техника!$G$1:$ABN$500,Y$2,0),$A$480,INDEX(Техника!$H$1:$ABO$500,Y$2,0),"Л")</f>
        <v>0</v>
      </c>
      <c r="Z484" s="50">
        <f>SUMIFS(INDEX(Техника!$F$1:$ABM$500,Z$2,0),Техника!$F$4:$ABM$4,"Часы",INDEX(Техника!$G$1:$ABN$500,Z$2,0),$A$480,INDEX(Техника!$H$1:$ABO$500,Z$2,0),"Л")</f>
        <v>0</v>
      </c>
      <c r="AA484" s="50">
        <f>SUMIFS(INDEX(Техника!$F$1:$ABM$500,AA$2,0),Техника!$F$4:$ABM$4,"Часы",INDEX(Техника!$G$1:$ABN$500,AA$2,0),$A$480,INDEX(Техника!$H$1:$ABO$500,AA$2,0),"Л")</f>
        <v>0</v>
      </c>
      <c r="AB484" s="50">
        <f>SUMIFS(INDEX(Техника!$F$1:$ABM$500,AB$2,0),Техника!$F$4:$ABM$4,"Часы",INDEX(Техника!$G$1:$ABN$500,AB$2,0),$A$480,INDEX(Техника!$H$1:$ABO$500,AB$2,0),"Л")</f>
        <v>0</v>
      </c>
    </row>
    <row r="485" spans="1:28" hidden="1" outlineLevel="1" x14ac:dyDescent="0.3">
      <c r="A485" s="33" t="s">
        <v>245</v>
      </c>
      <c r="B485" s="34" t="s">
        <v>279</v>
      </c>
      <c r="C485" s="50">
        <f>SUMIFS(INDEX(Техника!$F$1:$ABM$500,C$2,0),Техника!$F$4:$ABM$4,"Часы",INDEX(Техника!$G$1:$ABN$500,C$2,0),$A$480,INDEX(Техника!$H$1:$ABO$500,C$2,0),"З")</f>
        <v>0</v>
      </c>
      <c r="D485" s="50">
        <f>SUMIFS(INDEX(Техника!$F$1:$ABM$500,D$2,0),Техника!$F$4:$ABM$4,"Часы",INDEX(Техника!$G$1:$ABN$500,D$2,0),$A$480,INDEX(Техника!$H$1:$ABO$500,D$2,0),"З")</f>
        <v>0</v>
      </c>
      <c r="E485" s="50">
        <f>SUMIFS(INDEX(Техника!$F$1:$ABM$500,E$2,0),Техника!$F$4:$ABM$4,"Часы",INDEX(Техника!$G$1:$ABN$500,E$2,0),$A$480,INDEX(Техника!$H$1:$ABO$500,E$2,0),"З")</f>
        <v>0</v>
      </c>
      <c r="F485" s="50">
        <f>SUMIFS(INDEX(Техника!$F$1:$ABM$500,F$2,0),Техника!$F$4:$ABM$4,"Часы",INDEX(Техника!$G$1:$ABN$500,F$2,0),$A$480,INDEX(Техника!$H$1:$ABO$500,F$2,0),"З")</f>
        <v>0</v>
      </c>
      <c r="G485" s="50">
        <f>SUMIFS(INDEX(Техника!$F$1:$ABM$500,G$2,0),Техника!$F$4:$ABM$4,"Часы",INDEX(Техника!$G$1:$ABN$500,G$2,0),$A$480,INDEX(Техника!$H$1:$ABO$500,G$2,0),"З")</f>
        <v>0</v>
      </c>
      <c r="H485" s="50">
        <f>SUMIFS(INDEX(Техника!$F$1:$ABM$500,H$2,0),Техника!$F$4:$ABM$4,"Часы",INDEX(Техника!$G$1:$ABN$500,H$2,0),$A$480,INDEX(Техника!$H$1:$ABO$500,H$2,0),"З")</f>
        <v>0</v>
      </c>
      <c r="I485" s="50">
        <f>SUMIFS(INDEX(Техника!$F$1:$ABM$500,I$2,0),Техника!$F$4:$ABM$4,"Часы",INDEX(Техника!$G$1:$ABN$500,I$2,0),$A$480,INDEX(Техника!$H$1:$ABO$500,I$2,0),"З")</f>
        <v>0</v>
      </c>
      <c r="J485" s="50">
        <f>SUMIFS(INDEX(Техника!$F$1:$ABM$500,J$2,0),Техника!$F$4:$ABM$4,"Часы",INDEX(Техника!$G$1:$ABN$500,J$2,0),$A$480,INDEX(Техника!$H$1:$ABO$500,J$2,0),"З")</f>
        <v>0</v>
      </c>
      <c r="K485" s="50">
        <f>SUMIFS(INDEX(Техника!$F$1:$ABM$500,K$2,0),Техника!$F$4:$ABM$4,"Часы",INDEX(Техника!$G$1:$ABN$500,K$2,0),$A$480,INDEX(Техника!$H$1:$ABO$500,K$2,0),"З")</f>
        <v>0</v>
      </c>
      <c r="L485" s="50">
        <f>SUMIFS(INDEX(Техника!$F$1:$ABM$500,L$2,0),Техника!$F$4:$ABM$4,"Часы",INDEX(Техника!$G$1:$ABN$500,L$2,0),$A$480,INDEX(Техника!$H$1:$ABO$500,L$2,0),"З")</f>
        <v>0</v>
      </c>
      <c r="M485" s="50">
        <f>SUMIFS(INDEX(Техника!$F$1:$ABM$500,M$2,0),Техника!$F$4:$ABM$4,"Часы",INDEX(Техника!$G$1:$ABN$500,M$2,0),$A$480,INDEX(Техника!$H$1:$ABO$500,M$2,0),"З")</f>
        <v>0</v>
      </c>
      <c r="N485" s="50">
        <f>SUMIFS(INDEX(Техника!$F$1:$ABM$500,N$2,0),Техника!$F$4:$ABM$4,"Часы",INDEX(Техника!$G$1:$ABN$500,N$2,0),$A$480,INDEX(Техника!$H$1:$ABO$500,N$2,0),"З")</f>
        <v>0</v>
      </c>
      <c r="O485" s="50">
        <f>SUMIFS(INDEX(Техника!$F$1:$ABM$500,O$2,0),Техника!$F$4:$ABM$4,"Часы",INDEX(Техника!$G$1:$ABN$500,O$2,0),$A$480,INDEX(Техника!$H$1:$ABO$500,O$2,0),"З")</f>
        <v>0</v>
      </c>
      <c r="P485" s="50">
        <f>SUMIFS(INDEX(Техника!$F$1:$ABM$500,P$2,0),Техника!$F$4:$ABM$4,"Часы",INDEX(Техника!$G$1:$ABN$500,P$2,0),$A$480,INDEX(Техника!$H$1:$ABO$500,P$2,0),"З")</f>
        <v>0</v>
      </c>
      <c r="Q485" s="50">
        <f>SUMIFS(INDEX(Техника!$F$1:$ABM$500,Q$2,0),Техника!$F$4:$ABM$4,"Часы",INDEX(Техника!$G$1:$ABN$500,Q$2,0),$A$480,INDEX(Техника!$H$1:$ABO$500,Q$2,0),"З")</f>
        <v>0</v>
      </c>
      <c r="R485" s="50">
        <f>SUMIFS(INDEX(Техника!$F$1:$ABM$500,R$2,0),Техника!$F$4:$ABM$4,"Часы",INDEX(Техника!$G$1:$ABN$500,R$2,0),$A$480,INDEX(Техника!$H$1:$ABO$500,R$2,0),"З")</f>
        <v>0</v>
      </c>
      <c r="S485" s="50">
        <f>SUMIFS(INDEX(Техника!$F$1:$ABM$500,S$2,0),Техника!$F$4:$ABM$4,"Часы",INDEX(Техника!$G$1:$ABN$500,S$2,0),$A$480,INDEX(Техника!$H$1:$ABO$500,S$2,0),"З")</f>
        <v>0</v>
      </c>
      <c r="T485" s="50">
        <f>SUMIFS(INDEX(Техника!$F$1:$ABM$500,T$2,0),Техника!$F$4:$ABM$4,"Часы",INDEX(Техника!$G$1:$ABN$500,T$2,0),$A$480,INDEX(Техника!$H$1:$ABO$500,T$2,0),"З")</f>
        <v>0</v>
      </c>
      <c r="U485" s="50">
        <f>SUMIFS(INDEX(Техника!$F$1:$ABM$500,U$2,0),Техника!$F$4:$ABM$4,"Часы",INDEX(Техника!$G$1:$ABN$500,U$2,0),$A$480,INDEX(Техника!$H$1:$ABO$500,U$2,0),"З")</f>
        <v>0</v>
      </c>
      <c r="V485" s="50">
        <f>SUMIFS(INDEX(Техника!$F$1:$ABM$500,V$2,0),Техника!$F$4:$ABM$4,"Часы",INDEX(Техника!$G$1:$ABN$500,V$2,0),$A$480,INDEX(Техника!$H$1:$ABO$500,V$2,0),"З")</f>
        <v>0</v>
      </c>
      <c r="W485" s="50">
        <f>SUMIFS(INDEX(Техника!$F$1:$ABM$500,W$2,0),Техника!$F$4:$ABM$4,"Часы",INDEX(Техника!$G$1:$ABN$500,W$2,0),$A$480,INDEX(Техника!$H$1:$ABO$500,W$2,0),"З")</f>
        <v>0</v>
      </c>
      <c r="X485" s="50">
        <f>SUMIFS(INDEX(Техника!$F$1:$ABM$500,X$2,0),Техника!$F$4:$ABM$4,"Часы",INDEX(Техника!$G$1:$ABN$500,X$2,0),$A$480,INDEX(Техника!$H$1:$ABO$500,X$2,0),"З")</f>
        <v>0</v>
      </c>
      <c r="Y485" s="50">
        <f>SUMIFS(INDEX(Техника!$F$1:$ABM$500,Y$2,0),Техника!$F$4:$ABM$4,"Часы",INDEX(Техника!$G$1:$ABN$500,Y$2,0),$A$480,INDEX(Техника!$H$1:$ABO$500,Y$2,0),"З")</f>
        <v>0</v>
      </c>
      <c r="Z485" s="50">
        <f>SUMIFS(INDEX(Техника!$F$1:$ABM$500,Z$2,0),Техника!$F$4:$ABM$4,"Часы",INDEX(Техника!$G$1:$ABN$500,Z$2,0),$A$480,INDEX(Техника!$H$1:$ABO$500,Z$2,0),"З")</f>
        <v>0</v>
      </c>
      <c r="AA485" s="50">
        <f>SUMIFS(INDEX(Техника!$F$1:$ABM$500,AA$2,0),Техника!$F$4:$ABM$4,"Часы",INDEX(Техника!$G$1:$ABN$500,AA$2,0),$A$480,INDEX(Техника!$H$1:$ABO$500,AA$2,0),"З")</f>
        <v>0</v>
      </c>
      <c r="AB485" s="50">
        <f>SUMIFS(INDEX(Техника!$F$1:$ABM$500,AB$2,0),Техника!$F$4:$ABM$4,"Часы",INDEX(Техника!$G$1:$ABN$500,AB$2,0),$A$480,INDEX(Техника!$H$1:$ABO$500,AB$2,0),"З")</f>
        <v>0</v>
      </c>
    </row>
    <row r="486" spans="1:28" ht="7.95" customHeight="1" x14ac:dyDescent="0.3">
      <c r="A486" s="38"/>
      <c r="B486" s="39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</row>
    <row r="487" spans="1:28" ht="25.05" customHeight="1" collapsed="1" x14ac:dyDescent="0.3">
      <c r="A487" s="32">
        <v>70</v>
      </c>
      <c r="B487" s="32" t="s">
        <v>71</v>
      </c>
      <c r="C487" s="49">
        <f>SUM(C488:C492)</f>
        <v>0</v>
      </c>
      <c r="D487" s="49">
        <f>SUM(D488:D492)</f>
        <v>0</v>
      </c>
      <c r="E487" s="49">
        <f>SUM(E488:E492)</f>
        <v>0</v>
      </c>
      <c r="F487" s="49">
        <f>SUM(F488:F492)</f>
        <v>0</v>
      </c>
      <c r="G487" s="49">
        <f>SUM(G488:G492)</f>
        <v>0</v>
      </c>
      <c r="H487" s="49">
        <f>SUM(H488:H492)</f>
        <v>0</v>
      </c>
      <c r="I487" s="49">
        <f>SUM(I488:I492)</f>
        <v>0</v>
      </c>
      <c r="J487" s="49">
        <f>SUM(J488:J492)</f>
        <v>0</v>
      </c>
      <c r="K487" s="49">
        <f>SUM(K488:K492)</f>
        <v>0</v>
      </c>
      <c r="L487" s="49">
        <f>SUM(L488:L492)</f>
        <v>0</v>
      </c>
      <c r="M487" s="49">
        <f>SUM(M488:M492)</f>
        <v>0</v>
      </c>
      <c r="N487" s="49">
        <f>SUM(N488:N492)</f>
        <v>0</v>
      </c>
      <c r="O487" s="49">
        <f>SUM(O488:O492)</f>
        <v>0</v>
      </c>
      <c r="P487" s="49">
        <f>SUM(P488:P492)</f>
        <v>0</v>
      </c>
      <c r="Q487" s="49">
        <f>SUM(Q488:Q492)</f>
        <v>0</v>
      </c>
      <c r="R487" s="49">
        <f>SUM(R488:R492)</f>
        <v>0</v>
      </c>
      <c r="S487" s="49">
        <f>SUM(S488:S492)</f>
        <v>0</v>
      </c>
      <c r="T487" s="49">
        <f>SUM(T488:T492)</f>
        <v>0</v>
      </c>
      <c r="U487" s="49">
        <f>SUM(U488:U492)</f>
        <v>0</v>
      </c>
      <c r="V487" s="49">
        <f>SUM(V488:V492)</f>
        <v>0</v>
      </c>
      <c r="W487" s="49">
        <f>SUM(W488:W492)</f>
        <v>0</v>
      </c>
      <c r="X487" s="49">
        <f>SUM(X488:X492)</f>
        <v>0</v>
      </c>
      <c r="Y487" s="49">
        <f>SUM(Y488:Y492)</f>
        <v>0</v>
      </c>
      <c r="Z487" s="49">
        <f>SUM(Z488:Z492)</f>
        <v>0</v>
      </c>
      <c r="AA487" s="49">
        <f>SUM(AA488:AA492)</f>
        <v>0</v>
      </c>
      <c r="AB487" s="49">
        <f>SUM(AB488:AB492)</f>
        <v>0</v>
      </c>
    </row>
    <row r="488" spans="1:28" hidden="1" outlineLevel="1" x14ac:dyDescent="0.3">
      <c r="A488" s="33" t="s">
        <v>246</v>
      </c>
      <c r="B488" s="34" t="s">
        <v>274</v>
      </c>
      <c r="C488" s="50">
        <f>SUMIFS(INDEX(Техника!$F$1:$ABM$500,C$2,0),Техника!$F$4:$ABM$4,"Часы",INDEX(Техника!$G$1:$ABN$500,C$2,0),$A$487,INDEX(Техника!$H$1:$ABO$500,C$2,0),"М")</f>
        <v>0</v>
      </c>
      <c r="D488" s="50">
        <f>SUMIFS(INDEX(Техника!$F$1:$ABM$500,D$2,0),Техника!$F$4:$ABM$4,"Часы",INDEX(Техника!$G$1:$ABN$500,D$2,0),$A$487,INDEX(Техника!$H$1:$ABO$500,D$2,0),"М")</f>
        <v>0</v>
      </c>
      <c r="E488" s="50">
        <f>SUMIFS(INDEX(Техника!$F$1:$ABM$500,E$2,0),Техника!$F$4:$ABM$4,"Часы",INDEX(Техника!$G$1:$ABN$500,E$2,0),$A$487,INDEX(Техника!$H$1:$ABO$500,E$2,0),"М")</f>
        <v>0</v>
      </c>
      <c r="F488" s="50">
        <f>SUMIFS(INDEX(Техника!$F$1:$ABM$500,F$2,0),Техника!$F$4:$ABM$4,"Часы",INDEX(Техника!$G$1:$ABN$500,F$2,0),$A$487,INDEX(Техника!$H$1:$ABO$500,F$2,0),"М")</f>
        <v>0</v>
      </c>
      <c r="G488" s="50">
        <f>SUMIFS(INDEX(Техника!$F$1:$ABM$500,G$2,0),Техника!$F$4:$ABM$4,"Часы",INDEX(Техника!$G$1:$ABN$500,G$2,0),$A$487,INDEX(Техника!$H$1:$ABO$500,G$2,0),"М")</f>
        <v>0</v>
      </c>
      <c r="H488" s="50">
        <f>SUMIFS(INDEX(Техника!$F$1:$ABM$500,H$2,0),Техника!$F$4:$ABM$4,"Часы",INDEX(Техника!$G$1:$ABN$500,H$2,0),$A$487,INDEX(Техника!$H$1:$ABO$500,H$2,0),"М")</f>
        <v>0</v>
      </c>
      <c r="I488" s="50">
        <f>SUMIFS(INDEX(Техника!$F$1:$ABM$500,I$2,0),Техника!$F$4:$ABM$4,"Часы",INDEX(Техника!$G$1:$ABN$500,I$2,0),$A$487,INDEX(Техника!$H$1:$ABO$500,I$2,0),"М")</f>
        <v>0</v>
      </c>
      <c r="J488" s="50">
        <f>SUMIFS(INDEX(Техника!$F$1:$ABM$500,J$2,0),Техника!$F$4:$ABM$4,"Часы",INDEX(Техника!$G$1:$ABN$500,J$2,0),$A$487,INDEX(Техника!$H$1:$ABO$500,J$2,0),"М")</f>
        <v>0</v>
      </c>
      <c r="K488" s="50">
        <f>SUMIFS(INDEX(Техника!$F$1:$ABM$500,K$2,0),Техника!$F$4:$ABM$4,"Часы",INDEX(Техника!$G$1:$ABN$500,K$2,0),$A$487,INDEX(Техника!$H$1:$ABO$500,K$2,0),"М")</f>
        <v>0</v>
      </c>
      <c r="L488" s="50">
        <f>SUMIFS(INDEX(Техника!$F$1:$ABM$500,L$2,0),Техника!$F$4:$ABM$4,"Часы",INDEX(Техника!$G$1:$ABN$500,L$2,0),$A$487,INDEX(Техника!$H$1:$ABO$500,L$2,0),"М")</f>
        <v>0</v>
      </c>
      <c r="M488" s="50">
        <f>SUMIFS(INDEX(Техника!$F$1:$ABM$500,M$2,0),Техника!$F$4:$ABM$4,"Часы",INDEX(Техника!$G$1:$ABN$500,M$2,0),$A$487,INDEX(Техника!$H$1:$ABO$500,M$2,0),"М")</f>
        <v>0</v>
      </c>
      <c r="N488" s="50">
        <f>SUMIFS(INDEX(Техника!$F$1:$ABM$500,N$2,0),Техника!$F$4:$ABM$4,"Часы",INDEX(Техника!$G$1:$ABN$500,N$2,0),$A$487,INDEX(Техника!$H$1:$ABO$500,N$2,0),"М")</f>
        <v>0</v>
      </c>
      <c r="O488" s="50">
        <f>SUMIFS(INDEX(Техника!$F$1:$ABM$500,O$2,0),Техника!$F$4:$ABM$4,"Часы",INDEX(Техника!$G$1:$ABN$500,O$2,0),$A$487,INDEX(Техника!$H$1:$ABO$500,O$2,0),"М")</f>
        <v>0</v>
      </c>
      <c r="P488" s="50">
        <f>SUMIFS(INDEX(Техника!$F$1:$ABM$500,P$2,0),Техника!$F$4:$ABM$4,"Часы",INDEX(Техника!$G$1:$ABN$500,P$2,0),$A$487,INDEX(Техника!$H$1:$ABO$500,P$2,0),"М")</f>
        <v>0</v>
      </c>
      <c r="Q488" s="50">
        <f>SUMIFS(INDEX(Техника!$F$1:$ABM$500,Q$2,0),Техника!$F$4:$ABM$4,"Часы",INDEX(Техника!$G$1:$ABN$500,Q$2,0),$A$487,INDEX(Техника!$H$1:$ABO$500,Q$2,0),"М")</f>
        <v>0</v>
      </c>
      <c r="R488" s="50">
        <f>SUMIFS(INDEX(Техника!$F$1:$ABM$500,R$2,0),Техника!$F$4:$ABM$4,"Часы",INDEX(Техника!$G$1:$ABN$500,R$2,0),$A$487,INDEX(Техника!$H$1:$ABO$500,R$2,0),"М")</f>
        <v>0</v>
      </c>
      <c r="S488" s="50">
        <f>SUMIFS(INDEX(Техника!$F$1:$ABM$500,S$2,0),Техника!$F$4:$ABM$4,"Часы",INDEX(Техника!$G$1:$ABN$500,S$2,0),$A$487,INDEX(Техника!$H$1:$ABO$500,S$2,0),"М")</f>
        <v>0</v>
      </c>
      <c r="T488" s="50">
        <f>SUMIFS(INDEX(Техника!$F$1:$ABM$500,T$2,0),Техника!$F$4:$ABM$4,"Часы",INDEX(Техника!$G$1:$ABN$500,T$2,0),$A$487,INDEX(Техника!$H$1:$ABO$500,T$2,0),"М")</f>
        <v>0</v>
      </c>
      <c r="U488" s="50">
        <f>SUMIFS(INDEX(Техника!$F$1:$ABM$500,U$2,0),Техника!$F$4:$ABM$4,"Часы",INDEX(Техника!$G$1:$ABN$500,U$2,0),$A$487,INDEX(Техника!$H$1:$ABO$500,U$2,0),"М")</f>
        <v>0</v>
      </c>
      <c r="V488" s="50">
        <f>SUMIFS(INDEX(Техника!$F$1:$ABM$500,V$2,0),Техника!$F$4:$ABM$4,"Часы",INDEX(Техника!$G$1:$ABN$500,V$2,0),$A$487,INDEX(Техника!$H$1:$ABO$500,V$2,0),"М")</f>
        <v>0</v>
      </c>
      <c r="W488" s="50">
        <f>SUMIFS(INDEX(Техника!$F$1:$ABM$500,W$2,0),Техника!$F$4:$ABM$4,"Часы",INDEX(Техника!$G$1:$ABN$500,W$2,0),$A$487,INDEX(Техника!$H$1:$ABO$500,W$2,0),"М")</f>
        <v>0</v>
      </c>
      <c r="X488" s="50">
        <f>SUMIFS(INDEX(Техника!$F$1:$ABM$500,X$2,0),Техника!$F$4:$ABM$4,"Часы",INDEX(Техника!$G$1:$ABN$500,X$2,0),$A$487,INDEX(Техника!$H$1:$ABO$500,X$2,0),"М")</f>
        <v>0</v>
      </c>
      <c r="Y488" s="50">
        <f>SUMIFS(INDEX(Техника!$F$1:$ABM$500,Y$2,0),Техника!$F$4:$ABM$4,"Часы",INDEX(Техника!$G$1:$ABN$500,Y$2,0),$A$487,INDEX(Техника!$H$1:$ABO$500,Y$2,0),"М")</f>
        <v>0</v>
      </c>
      <c r="Z488" s="50">
        <f>SUMIFS(INDEX(Техника!$F$1:$ABM$500,Z$2,0),Техника!$F$4:$ABM$4,"Часы",INDEX(Техника!$G$1:$ABN$500,Z$2,0),$A$487,INDEX(Техника!$H$1:$ABO$500,Z$2,0),"М")</f>
        <v>0</v>
      </c>
      <c r="AA488" s="50">
        <f>SUMIFS(INDEX(Техника!$F$1:$ABM$500,AA$2,0),Техника!$F$4:$ABM$4,"Часы",INDEX(Техника!$G$1:$ABN$500,AA$2,0),$A$487,INDEX(Техника!$H$1:$ABO$500,AA$2,0),"М")</f>
        <v>0</v>
      </c>
      <c r="AB488" s="50">
        <f>SUMIFS(INDEX(Техника!$F$1:$ABM$500,AB$2,0),Техника!$F$4:$ABM$4,"Часы",INDEX(Техника!$G$1:$ABN$500,AB$2,0),$A$487,INDEX(Техника!$H$1:$ABO$500,AB$2,0),"М")</f>
        <v>0</v>
      </c>
    </row>
    <row r="489" spans="1:28" hidden="1" outlineLevel="1" x14ac:dyDescent="0.3">
      <c r="A489" s="33" t="s">
        <v>244</v>
      </c>
      <c r="B489" s="34" t="s">
        <v>275</v>
      </c>
      <c r="C489" s="50">
        <f>SUMIFS(INDEX(Техника!$F$1:$ABM$500,C$2,0),Техника!$F$4:$ABM$4,"Часы",INDEX(Техника!$G$1:$ABN$500,C$2,0),$A$487,INDEX(Техника!$H$1:$ABO$500,C$2,0),"Д")</f>
        <v>0</v>
      </c>
      <c r="D489" s="50">
        <f>SUMIFS(INDEX(Техника!$F$1:$ABM$500,D$2,0),Техника!$F$4:$ABM$4,"Часы",INDEX(Техника!$G$1:$ABN$500,D$2,0),$A$487,INDEX(Техника!$H$1:$ABO$500,D$2,0),"Д")</f>
        <v>0</v>
      </c>
      <c r="E489" s="50">
        <f>SUMIFS(INDEX(Техника!$F$1:$ABM$500,E$2,0),Техника!$F$4:$ABM$4,"Часы",INDEX(Техника!$G$1:$ABN$500,E$2,0),$A$487,INDEX(Техника!$H$1:$ABO$500,E$2,0),"Д")</f>
        <v>0</v>
      </c>
      <c r="F489" s="50">
        <f>SUMIFS(INDEX(Техника!$F$1:$ABM$500,F$2,0),Техника!$F$4:$ABM$4,"Часы",INDEX(Техника!$G$1:$ABN$500,F$2,0),$A$487,INDEX(Техника!$H$1:$ABO$500,F$2,0),"Д")</f>
        <v>0</v>
      </c>
      <c r="G489" s="50">
        <f>SUMIFS(INDEX(Техника!$F$1:$ABM$500,G$2,0),Техника!$F$4:$ABM$4,"Часы",INDEX(Техника!$G$1:$ABN$500,G$2,0),$A$487,INDEX(Техника!$H$1:$ABO$500,G$2,0),"Д")</f>
        <v>0</v>
      </c>
      <c r="H489" s="50">
        <f>SUMIFS(INDEX(Техника!$F$1:$ABM$500,H$2,0),Техника!$F$4:$ABM$4,"Часы",INDEX(Техника!$G$1:$ABN$500,H$2,0),$A$487,INDEX(Техника!$H$1:$ABO$500,H$2,0),"Д")</f>
        <v>0</v>
      </c>
      <c r="I489" s="50">
        <f>SUMIFS(INDEX(Техника!$F$1:$ABM$500,I$2,0),Техника!$F$4:$ABM$4,"Часы",INDEX(Техника!$G$1:$ABN$500,I$2,0),$A$487,INDEX(Техника!$H$1:$ABO$500,I$2,0),"Д")</f>
        <v>0</v>
      </c>
      <c r="J489" s="50">
        <f>SUMIFS(INDEX(Техника!$F$1:$ABM$500,J$2,0),Техника!$F$4:$ABM$4,"Часы",INDEX(Техника!$G$1:$ABN$500,J$2,0),$A$487,INDEX(Техника!$H$1:$ABO$500,J$2,0),"Д")</f>
        <v>0</v>
      </c>
      <c r="K489" s="50">
        <f>SUMIFS(INDEX(Техника!$F$1:$ABM$500,K$2,0),Техника!$F$4:$ABM$4,"Часы",INDEX(Техника!$G$1:$ABN$500,K$2,0),$A$487,INDEX(Техника!$H$1:$ABO$500,K$2,0),"Д")</f>
        <v>0</v>
      </c>
      <c r="L489" s="50">
        <f>SUMIFS(INDEX(Техника!$F$1:$ABM$500,L$2,0),Техника!$F$4:$ABM$4,"Часы",INDEX(Техника!$G$1:$ABN$500,L$2,0),$A$487,INDEX(Техника!$H$1:$ABO$500,L$2,0),"Д")</f>
        <v>0</v>
      </c>
      <c r="M489" s="50">
        <f>SUMIFS(INDEX(Техника!$F$1:$ABM$500,M$2,0),Техника!$F$4:$ABM$4,"Часы",INDEX(Техника!$G$1:$ABN$500,M$2,0),$A$487,INDEX(Техника!$H$1:$ABO$500,M$2,0),"Д")</f>
        <v>0</v>
      </c>
      <c r="N489" s="50">
        <f>SUMIFS(INDEX(Техника!$F$1:$ABM$500,N$2,0),Техника!$F$4:$ABM$4,"Часы",INDEX(Техника!$G$1:$ABN$500,N$2,0),$A$487,INDEX(Техника!$H$1:$ABO$500,N$2,0),"Д")</f>
        <v>0</v>
      </c>
      <c r="O489" s="50">
        <f>SUMIFS(INDEX(Техника!$F$1:$ABM$500,O$2,0),Техника!$F$4:$ABM$4,"Часы",INDEX(Техника!$G$1:$ABN$500,O$2,0),$A$487,INDEX(Техника!$H$1:$ABO$500,O$2,0),"Д")</f>
        <v>0</v>
      </c>
      <c r="P489" s="50">
        <f>SUMIFS(INDEX(Техника!$F$1:$ABM$500,P$2,0),Техника!$F$4:$ABM$4,"Часы",INDEX(Техника!$G$1:$ABN$500,P$2,0),$A$487,INDEX(Техника!$H$1:$ABO$500,P$2,0),"Д")</f>
        <v>0</v>
      </c>
      <c r="Q489" s="50">
        <f>SUMIFS(INDEX(Техника!$F$1:$ABM$500,Q$2,0),Техника!$F$4:$ABM$4,"Часы",INDEX(Техника!$G$1:$ABN$500,Q$2,0),$A$487,INDEX(Техника!$H$1:$ABO$500,Q$2,0),"Д")</f>
        <v>0</v>
      </c>
      <c r="R489" s="50">
        <f>SUMIFS(INDEX(Техника!$F$1:$ABM$500,R$2,0),Техника!$F$4:$ABM$4,"Часы",INDEX(Техника!$G$1:$ABN$500,R$2,0),$A$487,INDEX(Техника!$H$1:$ABO$500,R$2,0),"Д")</f>
        <v>0</v>
      </c>
      <c r="S489" s="50">
        <f>SUMIFS(INDEX(Техника!$F$1:$ABM$500,S$2,0),Техника!$F$4:$ABM$4,"Часы",INDEX(Техника!$G$1:$ABN$500,S$2,0),$A$487,INDEX(Техника!$H$1:$ABO$500,S$2,0),"Д")</f>
        <v>0</v>
      </c>
      <c r="T489" s="50">
        <f>SUMIFS(INDEX(Техника!$F$1:$ABM$500,T$2,0),Техника!$F$4:$ABM$4,"Часы",INDEX(Техника!$G$1:$ABN$500,T$2,0),$A$487,INDEX(Техника!$H$1:$ABO$500,T$2,0),"Д")</f>
        <v>0</v>
      </c>
      <c r="U489" s="50">
        <f>SUMIFS(INDEX(Техника!$F$1:$ABM$500,U$2,0),Техника!$F$4:$ABM$4,"Часы",INDEX(Техника!$G$1:$ABN$500,U$2,0),$A$487,INDEX(Техника!$H$1:$ABO$500,U$2,0),"Д")</f>
        <v>0</v>
      </c>
      <c r="V489" s="50">
        <f>SUMIFS(INDEX(Техника!$F$1:$ABM$500,V$2,0),Техника!$F$4:$ABM$4,"Часы",INDEX(Техника!$G$1:$ABN$500,V$2,0),$A$487,INDEX(Техника!$H$1:$ABO$500,V$2,0),"Д")</f>
        <v>0</v>
      </c>
      <c r="W489" s="50">
        <f>SUMIFS(INDEX(Техника!$F$1:$ABM$500,W$2,0),Техника!$F$4:$ABM$4,"Часы",INDEX(Техника!$G$1:$ABN$500,W$2,0),$A$487,INDEX(Техника!$H$1:$ABO$500,W$2,0),"Д")</f>
        <v>0</v>
      </c>
      <c r="X489" s="50">
        <f>SUMIFS(INDEX(Техника!$F$1:$ABM$500,X$2,0),Техника!$F$4:$ABM$4,"Часы",INDEX(Техника!$G$1:$ABN$500,X$2,0),$A$487,INDEX(Техника!$H$1:$ABO$500,X$2,0),"Д")</f>
        <v>0</v>
      </c>
      <c r="Y489" s="50">
        <f>SUMIFS(INDEX(Техника!$F$1:$ABM$500,Y$2,0),Техника!$F$4:$ABM$4,"Часы",INDEX(Техника!$G$1:$ABN$500,Y$2,0),$A$487,INDEX(Техника!$H$1:$ABO$500,Y$2,0),"Д")</f>
        <v>0</v>
      </c>
      <c r="Z489" s="50">
        <f>SUMIFS(INDEX(Техника!$F$1:$ABM$500,Z$2,0),Техника!$F$4:$ABM$4,"Часы",INDEX(Техника!$G$1:$ABN$500,Z$2,0),$A$487,INDEX(Техника!$H$1:$ABO$500,Z$2,0),"Д")</f>
        <v>0</v>
      </c>
      <c r="AA489" s="50">
        <f>SUMIFS(INDEX(Техника!$F$1:$ABM$500,AA$2,0),Техника!$F$4:$ABM$4,"Часы",INDEX(Техника!$G$1:$ABN$500,AA$2,0),$A$487,INDEX(Техника!$H$1:$ABO$500,AA$2,0),"Д")</f>
        <v>0</v>
      </c>
      <c r="AB489" s="50">
        <f>SUMIFS(INDEX(Техника!$F$1:$ABM$500,AB$2,0),Техника!$F$4:$ABM$4,"Часы",INDEX(Техника!$G$1:$ABN$500,AB$2,0),$A$487,INDEX(Техника!$H$1:$ABO$500,AB$2,0),"Д")</f>
        <v>0</v>
      </c>
    </row>
    <row r="490" spans="1:28" hidden="1" outlineLevel="1" x14ac:dyDescent="0.3">
      <c r="A490" s="33" t="s">
        <v>276</v>
      </c>
      <c r="B490" s="34" t="s">
        <v>277</v>
      </c>
      <c r="C490" s="50">
        <f>SUMIFS(INDEX(Техника!$F$1:$ABM$500,C$2,0),Техника!$F$4:$ABM$4,"Часы",INDEX(Техника!$G$1:$ABN$500,C$2,0),$A$487,INDEX(Техника!$H$1:$ABO$500,C$2,0),"П")</f>
        <v>0</v>
      </c>
      <c r="D490" s="50">
        <f>SUMIFS(INDEX(Техника!$F$1:$ABM$500,D$2,0),Техника!$F$4:$ABM$4,"Часы",INDEX(Техника!$G$1:$ABN$500,D$2,0),$A$487,INDEX(Техника!$H$1:$ABO$500,D$2,0),"П")</f>
        <v>0</v>
      </c>
      <c r="E490" s="50">
        <f>SUMIFS(INDEX(Техника!$F$1:$ABM$500,E$2,0),Техника!$F$4:$ABM$4,"Часы",INDEX(Техника!$G$1:$ABN$500,E$2,0),$A$487,INDEX(Техника!$H$1:$ABO$500,E$2,0),"П")</f>
        <v>0</v>
      </c>
      <c r="F490" s="50">
        <f>SUMIFS(INDEX(Техника!$F$1:$ABM$500,F$2,0),Техника!$F$4:$ABM$4,"Часы",INDEX(Техника!$G$1:$ABN$500,F$2,0),$A$487,INDEX(Техника!$H$1:$ABO$500,F$2,0),"П")</f>
        <v>0</v>
      </c>
      <c r="G490" s="50">
        <f>SUMIFS(INDEX(Техника!$F$1:$ABM$500,G$2,0),Техника!$F$4:$ABM$4,"Часы",INDEX(Техника!$G$1:$ABN$500,G$2,0),$A$487,INDEX(Техника!$H$1:$ABO$500,G$2,0),"П")</f>
        <v>0</v>
      </c>
      <c r="H490" s="50">
        <f>SUMIFS(INDEX(Техника!$F$1:$ABM$500,H$2,0),Техника!$F$4:$ABM$4,"Часы",INDEX(Техника!$G$1:$ABN$500,H$2,0),$A$487,INDEX(Техника!$H$1:$ABO$500,H$2,0),"П")</f>
        <v>0</v>
      </c>
      <c r="I490" s="50">
        <f>SUMIFS(INDEX(Техника!$F$1:$ABM$500,I$2,0),Техника!$F$4:$ABM$4,"Часы",INDEX(Техника!$G$1:$ABN$500,I$2,0),$A$487,INDEX(Техника!$H$1:$ABO$500,I$2,0),"П")</f>
        <v>0</v>
      </c>
      <c r="J490" s="50">
        <f>SUMIFS(INDEX(Техника!$F$1:$ABM$500,J$2,0),Техника!$F$4:$ABM$4,"Часы",INDEX(Техника!$G$1:$ABN$500,J$2,0),$A$487,INDEX(Техника!$H$1:$ABO$500,J$2,0),"П")</f>
        <v>0</v>
      </c>
      <c r="K490" s="50">
        <f>SUMIFS(INDEX(Техника!$F$1:$ABM$500,K$2,0),Техника!$F$4:$ABM$4,"Часы",INDEX(Техника!$G$1:$ABN$500,K$2,0),$A$487,INDEX(Техника!$H$1:$ABO$500,K$2,0),"П")</f>
        <v>0</v>
      </c>
      <c r="L490" s="50">
        <f>SUMIFS(INDEX(Техника!$F$1:$ABM$500,L$2,0),Техника!$F$4:$ABM$4,"Часы",INDEX(Техника!$G$1:$ABN$500,L$2,0),$A$487,INDEX(Техника!$H$1:$ABO$500,L$2,0),"П")</f>
        <v>0</v>
      </c>
      <c r="M490" s="50">
        <f>SUMIFS(INDEX(Техника!$F$1:$ABM$500,M$2,0),Техника!$F$4:$ABM$4,"Часы",INDEX(Техника!$G$1:$ABN$500,M$2,0),$A$487,INDEX(Техника!$H$1:$ABO$500,M$2,0),"П")</f>
        <v>0</v>
      </c>
      <c r="N490" s="50">
        <f>SUMIFS(INDEX(Техника!$F$1:$ABM$500,N$2,0),Техника!$F$4:$ABM$4,"Часы",INDEX(Техника!$G$1:$ABN$500,N$2,0),$A$487,INDEX(Техника!$H$1:$ABO$500,N$2,0),"П")</f>
        <v>0</v>
      </c>
      <c r="O490" s="50">
        <f>SUMIFS(INDEX(Техника!$F$1:$ABM$500,O$2,0),Техника!$F$4:$ABM$4,"Часы",INDEX(Техника!$G$1:$ABN$500,O$2,0),$A$487,INDEX(Техника!$H$1:$ABO$500,O$2,0),"П")</f>
        <v>0</v>
      </c>
      <c r="P490" s="50">
        <f>SUMIFS(INDEX(Техника!$F$1:$ABM$500,P$2,0),Техника!$F$4:$ABM$4,"Часы",INDEX(Техника!$G$1:$ABN$500,P$2,0),$A$487,INDEX(Техника!$H$1:$ABO$500,P$2,0),"П")</f>
        <v>0</v>
      </c>
      <c r="Q490" s="50">
        <f>SUMIFS(INDEX(Техника!$F$1:$ABM$500,Q$2,0),Техника!$F$4:$ABM$4,"Часы",INDEX(Техника!$G$1:$ABN$500,Q$2,0),$A$487,INDEX(Техника!$H$1:$ABO$500,Q$2,0),"П")</f>
        <v>0</v>
      </c>
      <c r="R490" s="50">
        <f>SUMIFS(INDEX(Техника!$F$1:$ABM$500,R$2,0),Техника!$F$4:$ABM$4,"Часы",INDEX(Техника!$G$1:$ABN$500,R$2,0),$A$487,INDEX(Техника!$H$1:$ABO$500,R$2,0),"П")</f>
        <v>0</v>
      </c>
      <c r="S490" s="50">
        <f>SUMIFS(INDEX(Техника!$F$1:$ABM$500,S$2,0),Техника!$F$4:$ABM$4,"Часы",INDEX(Техника!$G$1:$ABN$500,S$2,0),$A$487,INDEX(Техника!$H$1:$ABO$500,S$2,0),"П")</f>
        <v>0</v>
      </c>
      <c r="T490" s="50">
        <f>SUMIFS(INDEX(Техника!$F$1:$ABM$500,T$2,0),Техника!$F$4:$ABM$4,"Часы",INDEX(Техника!$G$1:$ABN$500,T$2,0),$A$487,INDEX(Техника!$H$1:$ABO$500,T$2,0),"П")</f>
        <v>0</v>
      </c>
      <c r="U490" s="50">
        <f>SUMIFS(INDEX(Техника!$F$1:$ABM$500,U$2,0),Техника!$F$4:$ABM$4,"Часы",INDEX(Техника!$G$1:$ABN$500,U$2,0),$A$487,INDEX(Техника!$H$1:$ABO$500,U$2,0),"П")</f>
        <v>0</v>
      </c>
      <c r="V490" s="50">
        <f>SUMIFS(INDEX(Техника!$F$1:$ABM$500,V$2,0),Техника!$F$4:$ABM$4,"Часы",INDEX(Техника!$G$1:$ABN$500,V$2,0),$A$487,INDEX(Техника!$H$1:$ABO$500,V$2,0),"П")</f>
        <v>0</v>
      </c>
      <c r="W490" s="50">
        <f>SUMIFS(INDEX(Техника!$F$1:$ABM$500,W$2,0),Техника!$F$4:$ABM$4,"Часы",INDEX(Техника!$G$1:$ABN$500,W$2,0),$A$487,INDEX(Техника!$H$1:$ABO$500,W$2,0),"П")</f>
        <v>0</v>
      </c>
      <c r="X490" s="50">
        <f>SUMIFS(INDEX(Техника!$F$1:$ABM$500,X$2,0),Техника!$F$4:$ABM$4,"Часы",INDEX(Техника!$G$1:$ABN$500,X$2,0),$A$487,INDEX(Техника!$H$1:$ABO$500,X$2,0),"П")</f>
        <v>0</v>
      </c>
      <c r="Y490" s="50">
        <f>SUMIFS(INDEX(Техника!$F$1:$ABM$500,Y$2,0),Техника!$F$4:$ABM$4,"Часы",INDEX(Техника!$G$1:$ABN$500,Y$2,0),$A$487,INDEX(Техника!$H$1:$ABO$500,Y$2,0),"П")</f>
        <v>0</v>
      </c>
      <c r="Z490" s="50">
        <f>SUMIFS(INDEX(Техника!$F$1:$ABM$500,Z$2,0),Техника!$F$4:$ABM$4,"Часы",INDEX(Техника!$G$1:$ABN$500,Z$2,0),$A$487,INDEX(Техника!$H$1:$ABO$500,Z$2,0),"П")</f>
        <v>0</v>
      </c>
      <c r="AA490" s="50">
        <f>SUMIFS(INDEX(Техника!$F$1:$ABM$500,AA$2,0),Техника!$F$4:$ABM$4,"Часы",INDEX(Техника!$G$1:$ABN$500,AA$2,0),$A$487,INDEX(Техника!$H$1:$ABO$500,AA$2,0),"П")</f>
        <v>0</v>
      </c>
      <c r="AB490" s="50">
        <f>SUMIFS(INDEX(Техника!$F$1:$ABM$500,AB$2,0),Техника!$F$4:$ABM$4,"Часы",INDEX(Техника!$G$1:$ABN$500,AB$2,0),$A$487,INDEX(Техника!$H$1:$ABO$500,AB$2,0),"П")</f>
        <v>0</v>
      </c>
    </row>
    <row r="491" spans="1:28" hidden="1" outlineLevel="1" x14ac:dyDescent="0.3">
      <c r="A491" s="33" t="s">
        <v>243</v>
      </c>
      <c r="B491" s="34" t="s">
        <v>278</v>
      </c>
      <c r="C491" s="50">
        <f>SUMIFS(INDEX(Техника!$F$1:$ABM$500,C$2,0),Техника!$F$4:$ABM$4,"Часы",INDEX(Техника!$G$1:$ABN$500,C$2,0),$A$487,INDEX(Техника!$H$1:$ABO$500,C$2,0),"Л")</f>
        <v>0</v>
      </c>
      <c r="D491" s="50">
        <f>SUMIFS(INDEX(Техника!$F$1:$ABM$500,D$2,0),Техника!$F$4:$ABM$4,"Часы",INDEX(Техника!$G$1:$ABN$500,D$2,0),$A$487,INDEX(Техника!$H$1:$ABO$500,D$2,0),"Л")</f>
        <v>0</v>
      </c>
      <c r="E491" s="50">
        <f>SUMIFS(INDEX(Техника!$F$1:$ABM$500,E$2,0),Техника!$F$4:$ABM$4,"Часы",INDEX(Техника!$G$1:$ABN$500,E$2,0),$A$487,INDEX(Техника!$H$1:$ABO$500,E$2,0),"Л")</f>
        <v>0</v>
      </c>
      <c r="F491" s="50">
        <f>SUMIFS(INDEX(Техника!$F$1:$ABM$500,F$2,0),Техника!$F$4:$ABM$4,"Часы",INDEX(Техника!$G$1:$ABN$500,F$2,0),$A$487,INDEX(Техника!$H$1:$ABO$500,F$2,0),"Л")</f>
        <v>0</v>
      </c>
      <c r="G491" s="50">
        <f>SUMIFS(INDEX(Техника!$F$1:$ABM$500,G$2,0),Техника!$F$4:$ABM$4,"Часы",INDEX(Техника!$G$1:$ABN$500,G$2,0),$A$487,INDEX(Техника!$H$1:$ABO$500,G$2,0),"Л")</f>
        <v>0</v>
      </c>
      <c r="H491" s="50">
        <f>SUMIFS(INDEX(Техника!$F$1:$ABM$500,H$2,0),Техника!$F$4:$ABM$4,"Часы",INDEX(Техника!$G$1:$ABN$500,H$2,0),$A$487,INDEX(Техника!$H$1:$ABO$500,H$2,0),"Л")</f>
        <v>0</v>
      </c>
      <c r="I491" s="50">
        <f>SUMIFS(INDEX(Техника!$F$1:$ABM$500,I$2,0),Техника!$F$4:$ABM$4,"Часы",INDEX(Техника!$G$1:$ABN$500,I$2,0),$A$487,INDEX(Техника!$H$1:$ABO$500,I$2,0),"Л")</f>
        <v>0</v>
      </c>
      <c r="J491" s="50">
        <f>SUMIFS(INDEX(Техника!$F$1:$ABM$500,J$2,0),Техника!$F$4:$ABM$4,"Часы",INDEX(Техника!$G$1:$ABN$500,J$2,0),$A$487,INDEX(Техника!$H$1:$ABO$500,J$2,0),"Л")</f>
        <v>0</v>
      </c>
      <c r="K491" s="50">
        <f>SUMIFS(INDEX(Техника!$F$1:$ABM$500,K$2,0),Техника!$F$4:$ABM$4,"Часы",INDEX(Техника!$G$1:$ABN$500,K$2,0),$A$487,INDEX(Техника!$H$1:$ABO$500,K$2,0),"Л")</f>
        <v>0</v>
      </c>
      <c r="L491" s="50">
        <f>SUMIFS(INDEX(Техника!$F$1:$ABM$500,L$2,0),Техника!$F$4:$ABM$4,"Часы",INDEX(Техника!$G$1:$ABN$500,L$2,0),$A$487,INDEX(Техника!$H$1:$ABO$500,L$2,0),"Л")</f>
        <v>0</v>
      </c>
      <c r="M491" s="50">
        <f>SUMIFS(INDEX(Техника!$F$1:$ABM$500,M$2,0),Техника!$F$4:$ABM$4,"Часы",INDEX(Техника!$G$1:$ABN$500,M$2,0),$A$487,INDEX(Техника!$H$1:$ABO$500,M$2,0),"Л")</f>
        <v>0</v>
      </c>
      <c r="N491" s="50">
        <f>SUMIFS(INDEX(Техника!$F$1:$ABM$500,N$2,0),Техника!$F$4:$ABM$4,"Часы",INDEX(Техника!$G$1:$ABN$500,N$2,0),$A$487,INDEX(Техника!$H$1:$ABO$500,N$2,0),"Л")</f>
        <v>0</v>
      </c>
      <c r="O491" s="50">
        <f>SUMIFS(INDEX(Техника!$F$1:$ABM$500,O$2,0),Техника!$F$4:$ABM$4,"Часы",INDEX(Техника!$G$1:$ABN$500,O$2,0),$A$487,INDEX(Техника!$H$1:$ABO$500,O$2,0),"Л")</f>
        <v>0</v>
      </c>
      <c r="P491" s="50">
        <f>SUMIFS(INDEX(Техника!$F$1:$ABM$500,P$2,0),Техника!$F$4:$ABM$4,"Часы",INDEX(Техника!$G$1:$ABN$500,P$2,0),$A$487,INDEX(Техника!$H$1:$ABO$500,P$2,0),"Л")</f>
        <v>0</v>
      </c>
      <c r="Q491" s="50">
        <f>SUMIFS(INDEX(Техника!$F$1:$ABM$500,Q$2,0),Техника!$F$4:$ABM$4,"Часы",INDEX(Техника!$G$1:$ABN$500,Q$2,0),$A$487,INDEX(Техника!$H$1:$ABO$500,Q$2,0),"Л")</f>
        <v>0</v>
      </c>
      <c r="R491" s="50">
        <f>SUMIFS(INDEX(Техника!$F$1:$ABM$500,R$2,0),Техника!$F$4:$ABM$4,"Часы",INDEX(Техника!$G$1:$ABN$500,R$2,0),$A$487,INDEX(Техника!$H$1:$ABO$500,R$2,0),"Л")</f>
        <v>0</v>
      </c>
      <c r="S491" s="50">
        <f>SUMIFS(INDEX(Техника!$F$1:$ABM$500,S$2,0),Техника!$F$4:$ABM$4,"Часы",INDEX(Техника!$G$1:$ABN$500,S$2,0),$A$487,INDEX(Техника!$H$1:$ABO$500,S$2,0),"Л")</f>
        <v>0</v>
      </c>
      <c r="T491" s="50">
        <f>SUMIFS(INDEX(Техника!$F$1:$ABM$500,T$2,0),Техника!$F$4:$ABM$4,"Часы",INDEX(Техника!$G$1:$ABN$500,T$2,0),$A$487,INDEX(Техника!$H$1:$ABO$500,T$2,0),"Л")</f>
        <v>0</v>
      </c>
      <c r="U491" s="50">
        <f>SUMIFS(INDEX(Техника!$F$1:$ABM$500,U$2,0),Техника!$F$4:$ABM$4,"Часы",INDEX(Техника!$G$1:$ABN$500,U$2,0),$A$487,INDEX(Техника!$H$1:$ABO$500,U$2,0),"Л")</f>
        <v>0</v>
      </c>
      <c r="V491" s="50">
        <f>SUMIFS(INDEX(Техника!$F$1:$ABM$500,V$2,0),Техника!$F$4:$ABM$4,"Часы",INDEX(Техника!$G$1:$ABN$500,V$2,0),$A$487,INDEX(Техника!$H$1:$ABO$500,V$2,0),"Л")</f>
        <v>0</v>
      </c>
      <c r="W491" s="50">
        <f>SUMIFS(INDEX(Техника!$F$1:$ABM$500,W$2,0),Техника!$F$4:$ABM$4,"Часы",INDEX(Техника!$G$1:$ABN$500,W$2,0),$A$487,INDEX(Техника!$H$1:$ABO$500,W$2,0),"Л")</f>
        <v>0</v>
      </c>
      <c r="X491" s="50">
        <f>SUMIFS(INDEX(Техника!$F$1:$ABM$500,X$2,0),Техника!$F$4:$ABM$4,"Часы",INDEX(Техника!$G$1:$ABN$500,X$2,0),$A$487,INDEX(Техника!$H$1:$ABO$500,X$2,0),"Л")</f>
        <v>0</v>
      </c>
      <c r="Y491" s="50">
        <f>SUMIFS(INDEX(Техника!$F$1:$ABM$500,Y$2,0),Техника!$F$4:$ABM$4,"Часы",INDEX(Техника!$G$1:$ABN$500,Y$2,0),$A$487,INDEX(Техника!$H$1:$ABO$500,Y$2,0),"Л")</f>
        <v>0</v>
      </c>
      <c r="Z491" s="50">
        <f>SUMIFS(INDEX(Техника!$F$1:$ABM$500,Z$2,0),Техника!$F$4:$ABM$4,"Часы",INDEX(Техника!$G$1:$ABN$500,Z$2,0),$A$487,INDEX(Техника!$H$1:$ABO$500,Z$2,0),"Л")</f>
        <v>0</v>
      </c>
      <c r="AA491" s="50">
        <f>SUMIFS(INDEX(Техника!$F$1:$ABM$500,AA$2,0),Техника!$F$4:$ABM$4,"Часы",INDEX(Техника!$G$1:$ABN$500,AA$2,0),$A$487,INDEX(Техника!$H$1:$ABO$500,AA$2,0),"Л")</f>
        <v>0</v>
      </c>
      <c r="AB491" s="50">
        <f>SUMIFS(INDEX(Техника!$F$1:$ABM$500,AB$2,0),Техника!$F$4:$ABM$4,"Часы",INDEX(Техника!$G$1:$ABN$500,AB$2,0),$A$487,INDEX(Техника!$H$1:$ABO$500,AB$2,0),"Л")</f>
        <v>0</v>
      </c>
    </row>
    <row r="492" spans="1:28" hidden="1" outlineLevel="1" x14ac:dyDescent="0.3">
      <c r="A492" s="33" t="s">
        <v>245</v>
      </c>
      <c r="B492" s="34" t="s">
        <v>279</v>
      </c>
      <c r="C492" s="50">
        <f>SUMIFS(INDEX(Техника!$F$1:$ABM$500,C$2,0),Техника!$F$4:$ABM$4,"Часы",INDEX(Техника!$G$1:$ABN$500,C$2,0),$A$487,INDEX(Техника!$H$1:$ABO$500,C$2,0),"З")</f>
        <v>0</v>
      </c>
      <c r="D492" s="50">
        <f>SUMIFS(INDEX(Техника!$F$1:$ABM$500,D$2,0),Техника!$F$4:$ABM$4,"Часы",INDEX(Техника!$G$1:$ABN$500,D$2,0),$A$487,INDEX(Техника!$H$1:$ABO$500,D$2,0),"З")</f>
        <v>0</v>
      </c>
      <c r="E492" s="50">
        <f>SUMIFS(INDEX(Техника!$F$1:$ABM$500,E$2,0),Техника!$F$4:$ABM$4,"Часы",INDEX(Техника!$G$1:$ABN$500,E$2,0),$A$487,INDEX(Техника!$H$1:$ABO$500,E$2,0),"З")</f>
        <v>0</v>
      </c>
      <c r="F492" s="50">
        <f>SUMIFS(INDEX(Техника!$F$1:$ABM$500,F$2,0),Техника!$F$4:$ABM$4,"Часы",INDEX(Техника!$G$1:$ABN$500,F$2,0),$A$487,INDEX(Техника!$H$1:$ABO$500,F$2,0),"З")</f>
        <v>0</v>
      </c>
      <c r="G492" s="50">
        <f>SUMIFS(INDEX(Техника!$F$1:$ABM$500,G$2,0),Техника!$F$4:$ABM$4,"Часы",INDEX(Техника!$G$1:$ABN$500,G$2,0),$A$487,INDEX(Техника!$H$1:$ABO$500,G$2,0),"З")</f>
        <v>0</v>
      </c>
      <c r="H492" s="50">
        <f>SUMIFS(INDEX(Техника!$F$1:$ABM$500,H$2,0),Техника!$F$4:$ABM$4,"Часы",INDEX(Техника!$G$1:$ABN$500,H$2,0),$A$487,INDEX(Техника!$H$1:$ABO$500,H$2,0),"З")</f>
        <v>0</v>
      </c>
      <c r="I492" s="50">
        <f>SUMIFS(INDEX(Техника!$F$1:$ABM$500,I$2,0),Техника!$F$4:$ABM$4,"Часы",INDEX(Техника!$G$1:$ABN$500,I$2,0),$A$487,INDEX(Техника!$H$1:$ABO$500,I$2,0),"З")</f>
        <v>0</v>
      </c>
      <c r="J492" s="50">
        <f>SUMIFS(INDEX(Техника!$F$1:$ABM$500,J$2,0),Техника!$F$4:$ABM$4,"Часы",INDEX(Техника!$G$1:$ABN$500,J$2,0),$A$487,INDEX(Техника!$H$1:$ABO$500,J$2,0),"З")</f>
        <v>0</v>
      </c>
      <c r="K492" s="50">
        <f>SUMIFS(INDEX(Техника!$F$1:$ABM$500,K$2,0),Техника!$F$4:$ABM$4,"Часы",INDEX(Техника!$G$1:$ABN$500,K$2,0),$A$487,INDEX(Техника!$H$1:$ABO$500,K$2,0),"З")</f>
        <v>0</v>
      </c>
      <c r="L492" s="50">
        <f>SUMIFS(INDEX(Техника!$F$1:$ABM$500,L$2,0),Техника!$F$4:$ABM$4,"Часы",INDEX(Техника!$G$1:$ABN$500,L$2,0),$A$487,INDEX(Техника!$H$1:$ABO$500,L$2,0),"З")</f>
        <v>0</v>
      </c>
      <c r="M492" s="50">
        <f>SUMIFS(INDEX(Техника!$F$1:$ABM$500,M$2,0),Техника!$F$4:$ABM$4,"Часы",INDEX(Техника!$G$1:$ABN$500,M$2,0),$A$487,INDEX(Техника!$H$1:$ABO$500,M$2,0),"З")</f>
        <v>0</v>
      </c>
      <c r="N492" s="50">
        <f>SUMIFS(INDEX(Техника!$F$1:$ABM$500,N$2,0),Техника!$F$4:$ABM$4,"Часы",INDEX(Техника!$G$1:$ABN$500,N$2,0),$A$487,INDEX(Техника!$H$1:$ABO$500,N$2,0),"З")</f>
        <v>0</v>
      </c>
      <c r="O492" s="50">
        <f>SUMIFS(INDEX(Техника!$F$1:$ABM$500,O$2,0),Техника!$F$4:$ABM$4,"Часы",INDEX(Техника!$G$1:$ABN$500,O$2,0),$A$487,INDEX(Техника!$H$1:$ABO$500,O$2,0),"З")</f>
        <v>0</v>
      </c>
      <c r="P492" s="50">
        <f>SUMIFS(INDEX(Техника!$F$1:$ABM$500,P$2,0),Техника!$F$4:$ABM$4,"Часы",INDEX(Техника!$G$1:$ABN$500,P$2,0),$A$487,INDEX(Техника!$H$1:$ABO$500,P$2,0),"З")</f>
        <v>0</v>
      </c>
      <c r="Q492" s="50">
        <f>SUMIFS(INDEX(Техника!$F$1:$ABM$500,Q$2,0),Техника!$F$4:$ABM$4,"Часы",INDEX(Техника!$G$1:$ABN$500,Q$2,0),$A$487,INDEX(Техника!$H$1:$ABO$500,Q$2,0),"З")</f>
        <v>0</v>
      </c>
      <c r="R492" s="50">
        <f>SUMIFS(INDEX(Техника!$F$1:$ABM$500,R$2,0),Техника!$F$4:$ABM$4,"Часы",INDEX(Техника!$G$1:$ABN$500,R$2,0),$A$487,INDEX(Техника!$H$1:$ABO$500,R$2,0),"З")</f>
        <v>0</v>
      </c>
      <c r="S492" s="50">
        <f>SUMIFS(INDEX(Техника!$F$1:$ABM$500,S$2,0),Техника!$F$4:$ABM$4,"Часы",INDEX(Техника!$G$1:$ABN$500,S$2,0),$A$487,INDEX(Техника!$H$1:$ABO$500,S$2,0),"З")</f>
        <v>0</v>
      </c>
      <c r="T492" s="50">
        <f>SUMIFS(INDEX(Техника!$F$1:$ABM$500,T$2,0),Техника!$F$4:$ABM$4,"Часы",INDEX(Техника!$G$1:$ABN$500,T$2,0),$A$487,INDEX(Техника!$H$1:$ABO$500,T$2,0),"З")</f>
        <v>0</v>
      </c>
      <c r="U492" s="50">
        <f>SUMIFS(INDEX(Техника!$F$1:$ABM$500,U$2,0),Техника!$F$4:$ABM$4,"Часы",INDEX(Техника!$G$1:$ABN$500,U$2,0),$A$487,INDEX(Техника!$H$1:$ABO$500,U$2,0),"З")</f>
        <v>0</v>
      </c>
      <c r="V492" s="50">
        <f>SUMIFS(INDEX(Техника!$F$1:$ABM$500,V$2,0),Техника!$F$4:$ABM$4,"Часы",INDEX(Техника!$G$1:$ABN$500,V$2,0),$A$487,INDEX(Техника!$H$1:$ABO$500,V$2,0),"З")</f>
        <v>0</v>
      </c>
      <c r="W492" s="50">
        <f>SUMIFS(INDEX(Техника!$F$1:$ABM$500,W$2,0),Техника!$F$4:$ABM$4,"Часы",INDEX(Техника!$G$1:$ABN$500,W$2,0),$A$487,INDEX(Техника!$H$1:$ABO$500,W$2,0),"З")</f>
        <v>0</v>
      </c>
      <c r="X492" s="50">
        <f>SUMIFS(INDEX(Техника!$F$1:$ABM$500,X$2,0),Техника!$F$4:$ABM$4,"Часы",INDEX(Техника!$G$1:$ABN$500,X$2,0),$A$487,INDEX(Техника!$H$1:$ABO$500,X$2,0),"З")</f>
        <v>0</v>
      </c>
      <c r="Y492" s="50">
        <f>SUMIFS(INDEX(Техника!$F$1:$ABM$500,Y$2,0),Техника!$F$4:$ABM$4,"Часы",INDEX(Техника!$G$1:$ABN$500,Y$2,0),$A$487,INDEX(Техника!$H$1:$ABO$500,Y$2,0),"З")</f>
        <v>0</v>
      </c>
      <c r="Z492" s="50">
        <f>SUMIFS(INDEX(Техника!$F$1:$ABM$500,Z$2,0),Техника!$F$4:$ABM$4,"Часы",INDEX(Техника!$G$1:$ABN$500,Z$2,0),$A$487,INDEX(Техника!$H$1:$ABO$500,Z$2,0),"З")</f>
        <v>0</v>
      </c>
      <c r="AA492" s="50">
        <f>SUMIFS(INDEX(Техника!$F$1:$ABM$500,AA$2,0),Техника!$F$4:$ABM$4,"Часы",INDEX(Техника!$G$1:$ABN$500,AA$2,0),$A$487,INDEX(Техника!$H$1:$ABO$500,AA$2,0),"З")</f>
        <v>0</v>
      </c>
      <c r="AB492" s="50">
        <f>SUMIFS(INDEX(Техника!$F$1:$ABM$500,AB$2,0),Техника!$F$4:$ABM$4,"Часы",INDEX(Техника!$G$1:$ABN$500,AB$2,0),$A$487,INDEX(Техника!$H$1:$ABO$500,AB$2,0),"З")</f>
        <v>0</v>
      </c>
    </row>
    <row r="493" spans="1:28" ht="7.95" customHeight="1" x14ac:dyDescent="0.3">
      <c r="A493" s="38"/>
      <c r="B493" s="39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</row>
    <row r="494" spans="1:28" ht="25.05" customHeight="1" collapsed="1" x14ac:dyDescent="0.3">
      <c r="A494" s="32">
        <v>71</v>
      </c>
      <c r="B494" s="32" t="s">
        <v>72</v>
      </c>
      <c r="C494" s="49">
        <f>SUM(C495:C499)</f>
        <v>0</v>
      </c>
      <c r="D494" s="49">
        <f>SUM(D495:D499)</f>
        <v>0</v>
      </c>
      <c r="E494" s="49">
        <f>SUM(E495:E499)</f>
        <v>0</v>
      </c>
      <c r="F494" s="49">
        <f>SUM(F495:F499)</f>
        <v>0</v>
      </c>
      <c r="G494" s="49">
        <f>SUM(G495:G499)</f>
        <v>0</v>
      </c>
      <c r="H494" s="49">
        <f>SUM(H495:H499)</f>
        <v>0</v>
      </c>
      <c r="I494" s="49">
        <f>SUM(I495:I499)</f>
        <v>0</v>
      </c>
      <c r="J494" s="49">
        <f>SUM(J495:J499)</f>
        <v>0</v>
      </c>
      <c r="K494" s="49">
        <f>SUM(K495:K499)</f>
        <v>0</v>
      </c>
      <c r="L494" s="49">
        <f>SUM(L495:L499)</f>
        <v>0</v>
      </c>
      <c r="M494" s="49">
        <f>SUM(M495:M499)</f>
        <v>0</v>
      </c>
      <c r="N494" s="49">
        <f>SUM(N495:N499)</f>
        <v>0</v>
      </c>
      <c r="O494" s="49">
        <f>SUM(O495:O499)</f>
        <v>0</v>
      </c>
      <c r="P494" s="49">
        <f>SUM(P495:P499)</f>
        <v>0</v>
      </c>
      <c r="Q494" s="49">
        <f>SUM(Q495:Q499)</f>
        <v>0</v>
      </c>
      <c r="R494" s="49">
        <f>SUM(R495:R499)</f>
        <v>0</v>
      </c>
      <c r="S494" s="49">
        <f>SUM(S495:S499)</f>
        <v>0</v>
      </c>
      <c r="T494" s="49">
        <f>SUM(T495:T499)</f>
        <v>0</v>
      </c>
      <c r="U494" s="49">
        <f>SUM(U495:U499)</f>
        <v>0</v>
      </c>
      <c r="V494" s="49">
        <f>SUM(V495:V499)</f>
        <v>0</v>
      </c>
      <c r="W494" s="49">
        <f>SUM(W495:W499)</f>
        <v>0</v>
      </c>
      <c r="X494" s="49">
        <f>SUM(X495:X499)</f>
        <v>0</v>
      </c>
      <c r="Y494" s="49">
        <f>SUM(Y495:Y499)</f>
        <v>0</v>
      </c>
      <c r="Z494" s="49">
        <f>SUM(Z495:Z499)</f>
        <v>0</v>
      </c>
      <c r="AA494" s="49">
        <f>SUM(AA495:AA499)</f>
        <v>0</v>
      </c>
      <c r="AB494" s="49">
        <f>SUM(AB495:AB499)</f>
        <v>0</v>
      </c>
    </row>
    <row r="495" spans="1:28" hidden="1" outlineLevel="1" x14ac:dyDescent="0.3">
      <c r="A495" s="33" t="s">
        <v>246</v>
      </c>
      <c r="B495" s="34" t="s">
        <v>274</v>
      </c>
      <c r="C495" s="50">
        <f>SUMIFS(INDEX(Техника!$F$1:$ABM$500,C$2,0),Техника!$F$4:$ABM$4,"Часы",INDEX(Техника!$G$1:$ABN$500,C$2,0),$A$494,INDEX(Техника!$H$1:$ABO$500,C$2,0),"М")</f>
        <v>0</v>
      </c>
      <c r="D495" s="50">
        <f>SUMIFS(INDEX(Техника!$F$1:$ABM$500,D$2,0),Техника!$F$4:$ABM$4,"Часы",INDEX(Техника!$G$1:$ABN$500,D$2,0),$A$494,INDEX(Техника!$H$1:$ABO$500,D$2,0),"М")</f>
        <v>0</v>
      </c>
      <c r="E495" s="50">
        <f>SUMIFS(INDEX(Техника!$F$1:$ABM$500,E$2,0),Техника!$F$4:$ABM$4,"Часы",INDEX(Техника!$G$1:$ABN$500,E$2,0),$A$494,INDEX(Техника!$H$1:$ABO$500,E$2,0),"М")</f>
        <v>0</v>
      </c>
      <c r="F495" s="50">
        <f>SUMIFS(INDEX(Техника!$F$1:$ABM$500,F$2,0),Техника!$F$4:$ABM$4,"Часы",INDEX(Техника!$G$1:$ABN$500,F$2,0),$A$494,INDEX(Техника!$H$1:$ABO$500,F$2,0),"М")</f>
        <v>0</v>
      </c>
      <c r="G495" s="50">
        <f>SUMIFS(INDEX(Техника!$F$1:$ABM$500,G$2,0),Техника!$F$4:$ABM$4,"Часы",INDEX(Техника!$G$1:$ABN$500,G$2,0),$A$494,INDEX(Техника!$H$1:$ABO$500,G$2,0),"М")</f>
        <v>0</v>
      </c>
      <c r="H495" s="50">
        <f>SUMIFS(INDEX(Техника!$F$1:$ABM$500,H$2,0),Техника!$F$4:$ABM$4,"Часы",INDEX(Техника!$G$1:$ABN$500,H$2,0),$A$494,INDEX(Техника!$H$1:$ABO$500,H$2,0),"М")</f>
        <v>0</v>
      </c>
      <c r="I495" s="50">
        <f>SUMIFS(INDEX(Техника!$F$1:$ABM$500,I$2,0),Техника!$F$4:$ABM$4,"Часы",INDEX(Техника!$G$1:$ABN$500,I$2,0),$A$494,INDEX(Техника!$H$1:$ABO$500,I$2,0),"М")</f>
        <v>0</v>
      </c>
      <c r="J495" s="50">
        <f>SUMIFS(INDEX(Техника!$F$1:$ABM$500,J$2,0),Техника!$F$4:$ABM$4,"Часы",INDEX(Техника!$G$1:$ABN$500,J$2,0),$A$494,INDEX(Техника!$H$1:$ABO$500,J$2,0),"М")</f>
        <v>0</v>
      </c>
      <c r="K495" s="50">
        <f>SUMIFS(INDEX(Техника!$F$1:$ABM$500,K$2,0),Техника!$F$4:$ABM$4,"Часы",INDEX(Техника!$G$1:$ABN$500,K$2,0),$A$494,INDEX(Техника!$H$1:$ABO$500,K$2,0),"М")</f>
        <v>0</v>
      </c>
      <c r="L495" s="50">
        <f>SUMIFS(INDEX(Техника!$F$1:$ABM$500,L$2,0),Техника!$F$4:$ABM$4,"Часы",INDEX(Техника!$G$1:$ABN$500,L$2,0),$A$494,INDEX(Техника!$H$1:$ABO$500,L$2,0),"М")</f>
        <v>0</v>
      </c>
      <c r="M495" s="50">
        <f>SUMIFS(INDEX(Техника!$F$1:$ABM$500,M$2,0),Техника!$F$4:$ABM$4,"Часы",INDEX(Техника!$G$1:$ABN$500,M$2,0),$A$494,INDEX(Техника!$H$1:$ABO$500,M$2,0),"М")</f>
        <v>0</v>
      </c>
      <c r="N495" s="50">
        <f>SUMIFS(INDEX(Техника!$F$1:$ABM$500,N$2,0),Техника!$F$4:$ABM$4,"Часы",INDEX(Техника!$G$1:$ABN$500,N$2,0),$A$494,INDEX(Техника!$H$1:$ABO$500,N$2,0),"М")</f>
        <v>0</v>
      </c>
      <c r="O495" s="50">
        <f>SUMIFS(INDEX(Техника!$F$1:$ABM$500,O$2,0),Техника!$F$4:$ABM$4,"Часы",INDEX(Техника!$G$1:$ABN$500,O$2,0),$A$494,INDEX(Техника!$H$1:$ABO$500,O$2,0),"М")</f>
        <v>0</v>
      </c>
      <c r="P495" s="50">
        <f>SUMIFS(INDEX(Техника!$F$1:$ABM$500,P$2,0),Техника!$F$4:$ABM$4,"Часы",INDEX(Техника!$G$1:$ABN$500,P$2,0),$A$494,INDEX(Техника!$H$1:$ABO$500,P$2,0),"М")</f>
        <v>0</v>
      </c>
      <c r="Q495" s="50">
        <f>SUMIFS(INDEX(Техника!$F$1:$ABM$500,Q$2,0),Техника!$F$4:$ABM$4,"Часы",INDEX(Техника!$G$1:$ABN$500,Q$2,0),$A$494,INDEX(Техника!$H$1:$ABO$500,Q$2,0),"М")</f>
        <v>0</v>
      </c>
      <c r="R495" s="50">
        <f>SUMIFS(INDEX(Техника!$F$1:$ABM$500,R$2,0),Техника!$F$4:$ABM$4,"Часы",INDEX(Техника!$G$1:$ABN$500,R$2,0),$A$494,INDEX(Техника!$H$1:$ABO$500,R$2,0),"М")</f>
        <v>0</v>
      </c>
      <c r="S495" s="50">
        <f>SUMIFS(INDEX(Техника!$F$1:$ABM$500,S$2,0),Техника!$F$4:$ABM$4,"Часы",INDEX(Техника!$G$1:$ABN$500,S$2,0),$A$494,INDEX(Техника!$H$1:$ABO$500,S$2,0),"М")</f>
        <v>0</v>
      </c>
      <c r="T495" s="50">
        <f>SUMIFS(INDEX(Техника!$F$1:$ABM$500,T$2,0),Техника!$F$4:$ABM$4,"Часы",INDEX(Техника!$G$1:$ABN$500,T$2,0),$A$494,INDEX(Техника!$H$1:$ABO$500,T$2,0),"М")</f>
        <v>0</v>
      </c>
      <c r="U495" s="50">
        <f>SUMIFS(INDEX(Техника!$F$1:$ABM$500,U$2,0),Техника!$F$4:$ABM$4,"Часы",INDEX(Техника!$G$1:$ABN$500,U$2,0),$A$494,INDEX(Техника!$H$1:$ABO$500,U$2,0),"М")</f>
        <v>0</v>
      </c>
      <c r="V495" s="50">
        <f>SUMIFS(INDEX(Техника!$F$1:$ABM$500,V$2,0),Техника!$F$4:$ABM$4,"Часы",INDEX(Техника!$G$1:$ABN$500,V$2,0),$A$494,INDEX(Техника!$H$1:$ABO$500,V$2,0),"М")</f>
        <v>0</v>
      </c>
      <c r="W495" s="50">
        <f>SUMIFS(INDEX(Техника!$F$1:$ABM$500,W$2,0),Техника!$F$4:$ABM$4,"Часы",INDEX(Техника!$G$1:$ABN$500,W$2,0),$A$494,INDEX(Техника!$H$1:$ABO$500,W$2,0),"М")</f>
        <v>0</v>
      </c>
      <c r="X495" s="50">
        <f>SUMIFS(INDEX(Техника!$F$1:$ABM$500,X$2,0),Техника!$F$4:$ABM$4,"Часы",INDEX(Техника!$G$1:$ABN$500,X$2,0),$A$494,INDEX(Техника!$H$1:$ABO$500,X$2,0),"М")</f>
        <v>0</v>
      </c>
      <c r="Y495" s="50">
        <f>SUMIFS(INDEX(Техника!$F$1:$ABM$500,Y$2,0),Техника!$F$4:$ABM$4,"Часы",INDEX(Техника!$G$1:$ABN$500,Y$2,0),$A$494,INDEX(Техника!$H$1:$ABO$500,Y$2,0),"М")</f>
        <v>0</v>
      </c>
      <c r="Z495" s="50">
        <f>SUMIFS(INDEX(Техника!$F$1:$ABM$500,Z$2,0),Техника!$F$4:$ABM$4,"Часы",INDEX(Техника!$G$1:$ABN$500,Z$2,0),$A$494,INDEX(Техника!$H$1:$ABO$500,Z$2,0),"М")</f>
        <v>0</v>
      </c>
      <c r="AA495" s="50">
        <f>SUMIFS(INDEX(Техника!$F$1:$ABM$500,AA$2,0),Техника!$F$4:$ABM$4,"Часы",INDEX(Техника!$G$1:$ABN$500,AA$2,0),$A$494,INDEX(Техника!$H$1:$ABO$500,AA$2,0),"М")</f>
        <v>0</v>
      </c>
      <c r="AB495" s="50">
        <f>SUMIFS(INDEX(Техника!$F$1:$ABM$500,AB$2,0),Техника!$F$4:$ABM$4,"Часы",INDEX(Техника!$G$1:$ABN$500,AB$2,0),$A$494,INDEX(Техника!$H$1:$ABO$500,AB$2,0),"М")</f>
        <v>0</v>
      </c>
    </row>
    <row r="496" spans="1:28" hidden="1" outlineLevel="1" x14ac:dyDescent="0.3">
      <c r="A496" s="33" t="s">
        <v>244</v>
      </c>
      <c r="B496" s="34" t="s">
        <v>275</v>
      </c>
      <c r="C496" s="50">
        <f>SUMIFS(INDEX(Техника!$F$1:$ABM$500,C$2,0),Техника!$F$4:$ABM$4,"Часы",INDEX(Техника!$G$1:$ABN$500,C$2,0),$A$494,INDEX(Техника!$H$1:$ABO$500,C$2,0),"Д")</f>
        <v>0</v>
      </c>
      <c r="D496" s="50">
        <f>SUMIFS(INDEX(Техника!$F$1:$ABM$500,D$2,0),Техника!$F$4:$ABM$4,"Часы",INDEX(Техника!$G$1:$ABN$500,D$2,0),$A$494,INDEX(Техника!$H$1:$ABO$500,D$2,0),"Д")</f>
        <v>0</v>
      </c>
      <c r="E496" s="50">
        <f>SUMIFS(INDEX(Техника!$F$1:$ABM$500,E$2,0),Техника!$F$4:$ABM$4,"Часы",INDEX(Техника!$G$1:$ABN$500,E$2,0),$A$494,INDEX(Техника!$H$1:$ABO$500,E$2,0),"Д")</f>
        <v>0</v>
      </c>
      <c r="F496" s="50">
        <f>SUMIFS(INDEX(Техника!$F$1:$ABM$500,F$2,0),Техника!$F$4:$ABM$4,"Часы",INDEX(Техника!$G$1:$ABN$500,F$2,0),$A$494,INDEX(Техника!$H$1:$ABO$500,F$2,0),"Д")</f>
        <v>0</v>
      </c>
      <c r="G496" s="50">
        <f>SUMIFS(INDEX(Техника!$F$1:$ABM$500,G$2,0),Техника!$F$4:$ABM$4,"Часы",INDEX(Техника!$G$1:$ABN$500,G$2,0),$A$494,INDEX(Техника!$H$1:$ABO$500,G$2,0),"Д")</f>
        <v>0</v>
      </c>
      <c r="H496" s="50">
        <f>SUMIFS(INDEX(Техника!$F$1:$ABM$500,H$2,0),Техника!$F$4:$ABM$4,"Часы",INDEX(Техника!$G$1:$ABN$500,H$2,0),$A$494,INDEX(Техника!$H$1:$ABO$500,H$2,0),"Д")</f>
        <v>0</v>
      </c>
      <c r="I496" s="50">
        <f>SUMIFS(INDEX(Техника!$F$1:$ABM$500,I$2,0),Техника!$F$4:$ABM$4,"Часы",INDEX(Техника!$G$1:$ABN$500,I$2,0),$A$494,INDEX(Техника!$H$1:$ABO$500,I$2,0),"Д")</f>
        <v>0</v>
      </c>
      <c r="J496" s="50">
        <f>SUMIFS(INDEX(Техника!$F$1:$ABM$500,J$2,0),Техника!$F$4:$ABM$4,"Часы",INDEX(Техника!$G$1:$ABN$500,J$2,0),$A$494,INDEX(Техника!$H$1:$ABO$500,J$2,0),"Д")</f>
        <v>0</v>
      </c>
      <c r="K496" s="50">
        <f>SUMIFS(INDEX(Техника!$F$1:$ABM$500,K$2,0),Техника!$F$4:$ABM$4,"Часы",INDEX(Техника!$G$1:$ABN$500,K$2,0),$A$494,INDEX(Техника!$H$1:$ABO$500,K$2,0),"Д")</f>
        <v>0</v>
      </c>
      <c r="L496" s="50">
        <f>SUMIFS(INDEX(Техника!$F$1:$ABM$500,L$2,0),Техника!$F$4:$ABM$4,"Часы",INDEX(Техника!$G$1:$ABN$500,L$2,0),$A$494,INDEX(Техника!$H$1:$ABO$500,L$2,0),"Д")</f>
        <v>0</v>
      </c>
      <c r="M496" s="50">
        <f>SUMIFS(INDEX(Техника!$F$1:$ABM$500,M$2,0),Техника!$F$4:$ABM$4,"Часы",INDEX(Техника!$G$1:$ABN$500,M$2,0),$A$494,INDEX(Техника!$H$1:$ABO$500,M$2,0),"Д")</f>
        <v>0</v>
      </c>
      <c r="N496" s="50">
        <f>SUMIFS(INDEX(Техника!$F$1:$ABM$500,N$2,0),Техника!$F$4:$ABM$4,"Часы",INDEX(Техника!$G$1:$ABN$500,N$2,0),$A$494,INDEX(Техника!$H$1:$ABO$500,N$2,0),"Д")</f>
        <v>0</v>
      </c>
      <c r="O496" s="50">
        <f>SUMIFS(INDEX(Техника!$F$1:$ABM$500,O$2,0),Техника!$F$4:$ABM$4,"Часы",INDEX(Техника!$G$1:$ABN$500,O$2,0),$A$494,INDEX(Техника!$H$1:$ABO$500,O$2,0),"Д")</f>
        <v>0</v>
      </c>
      <c r="P496" s="50">
        <f>SUMIFS(INDEX(Техника!$F$1:$ABM$500,P$2,0),Техника!$F$4:$ABM$4,"Часы",INDEX(Техника!$G$1:$ABN$500,P$2,0),$A$494,INDEX(Техника!$H$1:$ABO$500,P$2,0),"Д")</f>
        <v>0</v>
      </c>
      <c r="Q496" s="50">
        <f>SUMIFS(INDEX(Техника!$F$1:$ABM$500,Q$2,0),Техника!$F$4:$ABM$4,"Часы",INDEX(Техника!$G$1:$ABN$500,Q$2,0),$A$494,INDEX(Техника!$H$1:$ABO$500,Q$2,0),"Д")</f>
        <v>0</v>
      </c>
      <c r="R496" s="50">
        <f>SUMIFS(INDEX(Техника!$F$1:$ABM$500,R$2,0),Техника!$F$4:$ABM$4,"Часы",INDEX(Техника!$G$1:$ABN$500,R$2,0),$A$494,INDEX(Техника!$H$1:$ABO$500,R$2,0),"Д")</f>
        <v>0</v>
      </c>
      <c r="S496" s="50">
        <f>SUMIFS(INDEX(Техника!$F$1:$ABM$500,S$2,0),Техника!$F$4:$ABM$4,"Часы",INDEX(Техника!$G$1:$ABN$500,S$2,0),$A$494,INDEX(Техника!$H$1:$ABO$500,S$2,0),"Д")</f>
        <v>0</v>
      </c>
      <c r="T496" s="50">
        <f>SUMIFS(INDEX(Техника!$F$1:$ABM$500,T$2,0),Техника!$F$4:$ABM$4,"Часы",INDEX(Техника!$G$1:$ABN$500,T$2,0),$A$494,INDEX(Техника!$H$1:$ABO$500,T$2,0),"Д")</f>
        <v>0</v>
      </c>
      <c r="U496" s="50">
        <f>SUMIFS(INDEX(Техника!$F$1:$ABM$500,U$2,0),Техника!$F$4:$ABM$4,"Часы",INDEX(Техника!$G$1:$ABN$500,U$2,0),$A$494,INDEX(Техника!$H$1:$ABO$500,U$2,0),"Д")</f>
        <v>0</v>
      </c>
      <c r="V496" s="50">
        <f>SUMIFS(INDEX(Техника!$F$1:$ABM$500,V$2,0),Техника!$F$4:$ABM$4,"Часы",INDEX(Техника!$G$1:$ABN$500,V$2,0),$A$494,INDEX(Техника!$H$1:$ABO$500,V$2,0),"Д")</f>
        <v>0</v>
      </c>
      <c r="W496" s="50">
        <f>SUMIFS(INDEX(Техника!$F$1:$ABM$500,W$2,0),Техника!$F$4:$ABM$4,"Часы",INDEX(Техника!$G$1:$ABN$500,W$2,0),$A$494,INDEX(Техника!$H$1:$ABO$500,W$2,0),"Д")</f>
        <v>0</v>
      </c>
      <c r="X496" s="50">
        <f>SUMIFS(INDEX(Техника!$F$1:$ABM$500,X$2,0),Техника!$F$4:$ABM$4,"Часы",INDEX(Техника!$G$1:$ABN$500,X$2,0),$A$494,INDEX(Техника!$H$1:$ABO$500,X$2,0),"Д")</f>
        <v>0</v>
      </c>
      <c r="Y496" s="50">
        <f>SUMIFS(INDEX(Техника!$F$1:$ABM$500,Y$2,0),Техника!$F$4:$ABM$4,"Часы",INDEX(Техника!$G$1:$ABN$500,Y$2,0),$A$494,INDEX(Техника!$H$1:$ABO$500,Y$2,0),"Д")</f>
        <v>0</v>
      </c>
      <c r="Z496" s="50">
        <f>SUMIFS(INDEX(Техника!$F$1:$ABM$500,Z$2,0),Техника!$F$4:$ABM$4,"Часы",INDEX(Техника!$G$1:$ABN$500,Z$2,0),$A$494,INDEX(Техника!$H$1:$ABO$500,Z$2,0),"Д")</f>
        <v>0</v>
      </c>
      <c r="AA496" s="50">
        <f>SUMIFS(INDEX(Техника!$F$1:$ABM$500,AA$2,0),Техника!$F$4:$ABM$4,"Часы",INDEX(Техника!$G$1:$ABN$500,AA$2,0),$A$494,INDEX(Техника!$H$1:$ABO$500,AA$2,0),"Д")</f>
        <v>0</v>
      </c>
      <c r="AB496" s="50">
        <f>SUMIFS(INDEX(Техника!$F$1:$ABM$500,AB$2,0),Техника!$F$4:$ABM$4,"Часы",INDEX(Техника!$G$1:$ABN$500,AB$2,0),$A$494,INDEX(Техника!$H$1:$ABO$500,AB$2,0),"Д")</f>
        <v>0</v>
      </c>
    </row>
    <row r="497" spans="1:28" hidden="1" outlineLevel="1" x14ac:dyDescent="0.3">
      <c r="A497" s="33" t="s">
        <v>276</v>
      </c>
      <c r="B497" s="34" t="s">
        <v>277</v>
      </c>
      <c r="C497" s="50">
        <f>SUMIFS(INDEX(Техника!$F$1:$ABM$500,C$2,0),Техника!$F$4:$ABM$4,"Часы",INDEX(Техника!$G$1:$ABN$500,C$2,0),$A$494,INDEX(Техника!$H$1:$ABO$500,C$2,0),"П")</f>
        <v>0</v>
      </c>
      <c r="D497" s="50">
        <f>SUMIFS(INDEX(Техника!$F$1:$ABM$500,D$2,0),Техника!$F$4:$ABM$4,"Часы",INDEX(Техника!$G$1:$ABN$500,D$2,0),$A$494,INDEX(Техника!$H$1:$ABO$500,D$2,0),"П")</f>
        <v>0</v>
      </c>
      <c r="E497" s="50">
        <f>SUMIFS(INDEX(Техника!$F$1:$ABM$500,E$2,0),Техника!$F$4:$ABM$4,"Часы",INDEX(Техника!$G$1:$ABN$500,E$2,0),$A$494,INDEX(Техника!$H$1:$ABO$500,E$2,0),"П")</f>
        <v>0</v>
      </c>
      <c r="F497" s="50">
        <f>SUMIFS(INDEX(Техника!$F$1:$ABM$500,F$2,0),Техника!$F$4:$ABM$4,"Часы",INDEX(Техника!$G$1:$ABN$500,F$2,0),$A$494,INDEX(Техника!$H$1:$ABO$500,F$2,0),"П")</f>
        <v>0</v>
      </c>
      <c r="G497" s="50">
        <f>SUMIFS(INDEX(Техника!$F$1:$ABM$500,G$2,0),Техника!$F$4:$ABM$4,"Часы",INDEX(Техника!$G$1:$ABN$500,G$2,0),$A$494,INDEX(Техника!$H$1:$ABO$500,G$2,0),"П")</f>
        <v>0</v>
      </c>
      <c r="H497" s="50">
        <f>SUMIFS(INDEX(Техника!$F$1:$ABM$500,H$2,0),Техника!$F$4:$ABM$4,"Часы",INDEX(Техника!$G$1:$ABN$500,H$2,0),$A$494,INDEX(Техника!$H$1:$ABO$500,H$2,0),"П")</f>
        <v>0</v>
      </c>
      <c r="I497" s="50">
        <f>SUMIFS(INDEX(Техника!$F$1:$ABM$500,I$2,0),Техника!$F$4:$ABM$4,"Часы",INDEX(Техника!$G$1:$ABN$500,I$2,0),$A$494,INDEX(Техника!$H$1:$ABO$500,I$2,0),"П")</f>
        <v>0</v>
      </c>
      <c r="J497" s="50">
        <f>SUMIFS(INDEX(Техника!$F$1:$ABM$500,J$2,0),Техника!$F$4:$ABM$4,"Часы",INDEX(Техника!$G$1:$ABN$500,J$2,0),$A$494,INDEX(Техника!$H$1:$ABO$500,J$2,0),"П")</f>
        <v>0</v>
      </c>
      <c r="K497" s="50">
        <f>SUMIFS(INDEX(Техника!$F$1:$ABM$500,K$2,0),Техника!$F$4:$ABM$4,"Часы",INDEX(Техника!$G$1:$ABN$500,K$2,0),$A$494,INDEX(Техника!$H$1:$ABO$500,K$2,0),"П")</f>
        <v>0</v>
      </c>
      <c r="L497" s="50">
        <f>SUMIFS(INDEX(Техника!$F$1:$ABM$500,L$2,0),Техника!$F$4:$ABM$4,"Часы",INDEX(Техника!$G$1:$ABN$500,L$2,0),$A$494,INDEX(Техника!$H$1:$ABO$500,L$2,0),"П")</f>
        <v>0</v>
      </c>
      <c r="M497" s="50">
        <f>SUMIFS(INDEX(Техника!$F$1:$ABM$500,M$2,0),Техника!$F$4:$ABM$4,"Часы",INDEX(Техника!$G$1:$ABN$500,M$2,0),$A$494,INDEX(Техника!$H$1:$ABO$500,M$2,0),"П")</f>
        <v>0</v>
      </c>
      <c r="N497" s="50">
        <f>SUMIFS(INDEX(Техника!$F$1:$ABM$500,N$2,0),Техника!$F$4:$ABM$4,"Часы",INDEX(Техника!$G$1:$ABN$500,N$2,0),$A$494,INDEX(Техника!$H$1:$ABO$500,N$2,0),"П")</f>
        <v>0</v>
      </c>
      <c r="O497" s="50">
        <f>SUMIFS(INDEX(Техника!$F$1:$ABM$500,O$2,0),Техника!$F$4:$ABM$4,"Часы",INDEX(Техника!$G$1:$ABN$500,O$2,0),$A$494,INDEX(Техника!$H$1:$ABO$500,O$2,0),"П")</f>
        <v>0</v>
      </c>
      <c r="P497" s="50">
        <f>SUMIFS(INDEX(Техника!$F$1:$ABM$500,P$2,0),Техника!$F$4:$ABM$4,"Часы",INDEX(Техника!$G$1:$ABN$500,P$2,0),$A$494,INDEX(Техника!$H$1:$ABO$500,P$2,0),"П")</f>
        <v>0</v>
      </c>
      <c r="Q497" s="50">
        <f>SUMIFS(INDEX(Техника!$F$1:$ABM$500,Q$2,0),Техника!$F$4:$ABM$4,"Часы",INDEX(Техника!$G$1:$ABN$500,Q$2,0),$A$494,INDEX(Техника!$H$1:$ABO$500,Q$2,0),"П")</f>
        <v>0</v>
      </c>
      <c r="R497" s="50">
        <f>SUMIFS(INDEX(Техника!$F$1:$ABM$500,R$2,0),Техника!$F$4:$ABM$4,"Часы",INDEX(Техника!$G$1:$ABN$500,R$2,0),$A$494,INDEX(Техника!$H$1:$ABO$500,R$2,0),"П")</f>
        <v>0</v>
      </c>
      <c r="S497" s="50">
        <f>SUMIFS(INDEX(Техника!$F$1:$ABM$500,S$2,0),Техника!$F$4:$ABM$4,"Часы",INDEX(Техника!$G$1:$ABN$500,S$2,0),$A$494,INDEX(Техника!$H$1:$ABO$500,S$2,0),"П")</f>
        <v>0</v>
      </c>
      <c r="T497" s="50">
        <f>SUMIFS(INDEX(Техника!$F$1:$ABM$500,T$2,0),Техника!$F$4:$ABM$4,"Часы",INDEX(Техника!$G$1:$ABN$500,T$2,0),$A$494,INDEX(Техника!$H$1:$ABO$500,T$2,0),"П")</f>
        <v>0</v>
      </c>
      <c r="U497" s="50">
        <f>SUMIFS(INDEX(Техника!$F$1:$ABM$500,U$2,0),Техника!$F$4:$ABM$4,"Часы",INDEX(Техника!$G$1:$ABN$500,U$2,0),$A$494,INDEX(Техника!$H$1:$ABO$500,U$2,0),"П")</f>
        <v>0</v>
      </c>
      <c r="V497" s="50">
        <f>SUMIFS(INDEX(Техника!$F$1:$ABM$500,V$2,0),Техника!$F$4:$ABM$4,"Часы",INDEX(Техника!$G$1:$ABN$500,V$2,0),$A$494,INDEX(Техника!$H$1:$ABO$500,V$2,0),"П")</f>
        <v>0</v>
      </c>
      <c r="W497" s="50">
        <f>SUMIFS(INDEX(Техника!$F$1:$ABM$500,W$2,0),Техника!$F$4:$ABM$4,"Часы",INDEX(Техника!$G$1:$ABN$500,W$2,0),$A$494,INDEX(Техника!$H$1:$ABO$500,W$2,0),"П")</f>
        <v>0</v>
      </c>
      <c r="X497" s="50">
        <f>SUMIFS(INDEX(Техника!$F$1:$ABM$500,X$2,0),Техника!$F$4:$ABM$4,"Часы",INDEX(Техника!$G$1:$ABN$500,X$2,0),$A$494,INDEX(Техника!$H$1:$ABO$500,X$2,0),"П")</f>
        <v>0</v>
      </c>
      <c r="Y497" s="50">
        <f>SUMIFS(INDEX(Техника!$F$1:$ABM$500,Y$2,0),Техника!$F$4:$ABM$4,"Часы",INDEX(Техника!$G$1:$ABN$500,Y$2,0),$A$494,INDEX(Техника!$H$1:$ABO$500,Y$2,0),"П")</f>
        <v>0</v>
      </c>
      <c r="Z497" s="50">
        <f>SUMIFS(INDEX(Техника!$F$1:$ABM$500,Z$2,0),Техника!$F$4:$ABM$4,"Часы",INDEX(Техника!$G$1:$ABN$500,Z$2,0),$A$494,INDEX(Техника!$H$1:$ABO$500,Z$2,0),"П")</f>
        <v>0</v>
      </c>
      <c r="AA497" s="50">
        <f>SUMIFS(INDEX(Техника!$F$1:$ABM$500,AA$2,0),Техника!$F$4:$ABM$4,"Часы",INDEX(Техника!$G$1:$ABN$500,AA$2,0),$A$494,INDEX(Техника!$H$1:$ABO$500,AA$2,0),"П")</f>
        <v>0</v>
      </c>
      <c r="AB497" s="50">
        <f>SUMIFS(INDEX(Техника!$F$1:$ABM$500,AB$2,0),Техника!$F$4:$ABM$4,"Часы",INDEX(Техника!$G$1:$ABN$500,AB$2,0),$A$494,INDEX(Техника!$H$1:$ABO$500,AB$2,0),"П")</f>
        <v>0</v>
      </c>
    </row>
    <row r="498" spans="1:28" hidden="1" outlineLevel="1" x14ac:dyDescent="0.3">
      <c r="A498" s="33" t="s">
        <v>243</v>
      </c>
      <c r="B498" s="34" t="s">
        <v>278</v>
      </c>
      <c r="C498" s="50">
        <f>SUMIFS(INDEX(Техника!$F$1:$ABM$500,C$2,0),Техника!$F$4:$ABM$4,"Часы",INDEX(Техника!$G$1:$ABN$500,C$2,0),$A$494,INDEX(Техника!$H$1:$ABO$500,C$2,0),"Л")</f>
        <v>0</v>
      </c>
      <c r="D498" s="50">
        <f>SUMIFS(INDEX(Техника!$F$1:$ABM$500,D$2,0),Техника!$F$4:$ABM$4,"Часы",INDEX(Техника!$G$1:$ABN$500,D$2,0),$A$494,INDEX(Техника!$H$1:$ABO$500,D$2,0),"Л")</f>
        <v>0</v>
      </c>
      <c r="E498" s="50">
        <f>SUMIFS(INDEX(Техника!$F$1:$ABM$500,E$2,0),Техника!$F$4:$ABM$4,"Часы",INDEX(Техника!$G$1:$ABN$500,E$2,0),$A$494,INDEX(Техника!$H$1:$ABO$500,E$2,0),"Л")</f>
        <v>0</v>
      </c>
      <c r="F498" s="50">
        <f>SUMIFS(INDEX(Техника!$F$1:$ABM$500,F$2,0),Техника!$F$4:$ABM$4,"Часы",INDEX(Техника!$G$1:$ABN$500,F$2,0),$A$494,INDEX(Техника!$H$1:$ABO$500,F$2,0),"Л")</f>
        <v>0</v>
      </c>
      <c r="G498" s="50">
        <f>SUMIFS(INDEX(Техника!$F$1:$ABM$500,G$2,0),Техника!$F$4:$ABM$4,"Часы",INDEX(Техника!$G$1:$ABN$500,G$2,0),$A$494,INDEX(Техника!$H$1:$ABO$500,G$2,0),"Л")</f>
        <v>0</v>
      </c>
      <c r="H498" s="50">
        <f>SUMIFS(INDEX(Техника!$F$1:$ABM$500,H$2,0),Техника!$F$4:$ABM$4,"Часы",INDEX(Техника!$G$1:$ABN$500,H$2,0),$A$494,INDEX(Техника!$H$1:$ABO$500,H$2,0),"Л")</f>
        <v>0</v>
      </c>
      <c r="I498" s="50">
        <f>SUMIFS(INDEX(Техника!$F$1:$ABM$500,I$2,0),Техника!$F$4:$ABM$4,"Часы",INDEX(Техника!$G$1:$ABN$500,I$2,0),$A$494,INDEX(Техника!$H$1:$ABO$500,I$2,0),"Л")</f>
        <v>0</v>
      </c>
      <c r="J498" s="50">
        <f>SUMIFS(INDEX(Техника!$F$1:$ABM$500,J$2,0),Техника!$F$4:$ABM$4,"Часы",INDEX(Техника!$G$1:$ABN$500,J$2,0),$A$494,INDEX(Техника!$H$1:$ABO$500,J$2,0),"Л")</f>
        <v>0</v>
      </c>
      <c r="K498" s="50">
        <f>SUMIFS(INDEX(Техника!$F$1:$ABM$500,K$2,0),Техника!$F$4:$ABM$4,"Часы",INDEX(Техника!$G$1:$ABN$500,K$2,0),$A$494,INDEX(Техника!$H$1:$ABO$500,K$2,0),"Л")</f>
        <v>0</v>
      </c>
      <c r="L498" s="50">
        <f>SUMIFS(INDEX(Техника!$F$1:$ABM$500,L$2,0),Техника!$F$4:$ABM$4,"Часы",INDEX(Техника!$G$1:$ABN$500,L$2,0),$A$494,INDEX(Техника!$H$1:$ABO$500,L$2,0),"Л")</f>
        <v>0</v>
      </c>
      <c r="M498" s="50">
        <f>SUMIFS(INDEX(Техника!$F$1:$ABM$500,M$2,0),Техника!$F$4:$ABM$4,"Часы",INDEX(Техника!$G$1:$ABN$500,M$2,0),$A$494,INDEX(Техника!$H$1:$ABO$500,M$2,0),"Л")</f>
        <v>0</v>
      </c>
      <c r="N498" s="50">
        <f>SUMIFS(INDEX(Техника!$F$1:$ABM$500,N$2,0),Техника!$F$4:$ABM$4,"Часы",INDEX(Техника!$G$1:$ABN$500,N$2,0),$A$494,INDEX(Техника!$H$1:$ABO$500,N$2,0),"Л")</f>
        <v>0</v>
      </c>
      <c r="O498" s="50">
        <f>SUMIFS(INDEX(Техника!$F$1:$ABM$500,O$2,0),Техника!$F$4:$ABM$4,"Часы",INDEX(Техника!$G$1:$ABN$500,O$2,0),$A$494,INDEX(Техника!$H$1:$ABO$500,O$2,0),"Л")</f>
        <v>0</v>
      </c>
      <c r="P498" s="50">
        <f>SUMIFS(INDEX(Техника!$F$1:$ABM$500,P$2,0),Техника!$F$4:$ABM$4,"Часы",INDEX(Техника!$G$1:$ABN$500,P$2,0),$A$494,INDEX(Техника!$H$1:$ABO$500,P$2,0),"Л")</f>
        <v>0</v>
      </c>
      <c r="Q498" s="50">
        <f>SUMIFS(INDEX(Техника!$F$1:$ABM$500,Q$2,0),Техника!$F$4:$ABM$4,"Часы",INDEX(Техника!$G$1:$ABN$500,Q$2,0),$A$494,INDEX(Техника!$H$1:$ABO$500,Q$2,0),"Л")</f>
        <v>0</v>
      </c>
      <c r="R498" s="50">
        <f>SUMIFS(INDEX(Техника!$F$1:$ABM$500,R$2,0),Техника!$F$4:$ABM$4,"Часы",INDEX(Техника!$G$1:$ABN$500,R$2,0),$A$494,INDEX(Техника!$H$1:$ABO$500,R$2,0),"Л")</f>
        <v>0</v>
      </c>
      <c r="S498" s="50">
        <f>SUMIFS(INDEX(Техника!$F$1:$ABM$500,S$2,0),Техника!$F$4:$ABM$4,"Часы",INDEX(Техника!$G$1:$ABN$500,S$2,0),$A$494,INDEX(Техника!$H$1:$ABO$500,S$2,0),"Л")</f>
        <v>0</v>
      </c>
      <c r="T498" s="50">
        <f>SUMIFS(INDEX(Техника!$F$1:$ABM$500,T$2,0),Техника!$F$4:$ABM$4,"Часы",INDEX(Техника!$G$1:$ABN$500,T$2,0),$A$494,INDEX(Техника!$H$1:$ABO$500,T$2,0),"Л")</f>
        <v>0</v>
      </c>
      <c r="U498" s="50">
        <f>SUMIFS(INDEX(Техника!$F$1:$ABM$500,U$2,0),Техника!$F$4:$ABM$4,"Часы",INDEX(Техника!$G$1:$ABN$500,U$2,0),$A$494,INDEX(Техника!$H$1:$ABO$500,U$2,0),"Л")</f>
        <v>0</v>
      </c>
      <c r="V498" s="50">
        <f>SUMIFS(INDEX(Техника!$F$1:$ABM$500,V$2,0),Техника!$F$4:$ABM$4,"Часы",INDEX(Техника!$G$1:$ABN$500,V$2,0),$A$494,INDEX(Техника!$H$1:$ABO$500,V$2,0),"Л")</f>
        <v>0</v>
      </c>
      <c r="W498" s="50">
        <f>SUMIFS(INDEX(Техника!$F$1:$ABM$500,W$2,0),Техника!$F$4:$ABM$4,"Часы",INDEX(Техника!$G$1:$ABN$500,W$2,0),$A$494,INDEX(Техника!$H$1:$ABO$500,W$2,0),"Л")</f>
        <v>0</v>
      </c>
      <c r="X498" s="50">
        <f>SUMIFS(INDEX(Техника!$F$1:$ABM$500,X$2,0),Техника!$F$4:$ABM$4,"Часы",INDEX(Техника!$G$1:$ABN$500,X$2,0),$A$494,INDEX(Техника!$H$1:$ABO$500,X$2,0),"Л")</f>
        <v>0</v>
      </c>
      <c r="Y498" s="50">
        <f>SUMIFS(INDEX(Техника!$F$1:$ABM$500,Y$2,0),Техника!$F$4:$ABM$4,"Часы",INDEX(Техника!$G$1:$ABN$500,Y$2,0),$A$494,INDEX(Техника!$H$1:$ABO$500,Y$2,0),"Л")</f>
        <v>0</v>
      </c>
      <c r="Z498" s="50">
        <f>SUMIFS(INDEX(Техника!$F$1:$ABM$500,Z$2,0),Техника!$F$4:$ABM$4,"Часы",INDEX(Техника!$G$1:$ABN$500,Z$2,0),$A$494,INDEX(Техника!$H$1:$ABO$500,Z$2,0),"Л")</f>
        <v>0</v>
      </c>
      <c r="AA498" s="50">
        <f>SUMIFS(INDEX(Техника!$F$1:$ABM$500,AA$2,0),Техника!$F$4:$ABM$4,"Часы",INDEX(Техника!$G$1:$ABN$500,AA$2,0),$A$494,INDEX(Техника!$H$1:$ABO$500,AA$2,0),"Л")</f>
        <v>0</v>
      </c>
      <c r="AB498" s="50">
        <f>SUMIFS(INDEX(Техника!$F$1:$ABM$500,AB$2,0),Техника!$F$4:$ABM$4,"Часы",INDEX(Техника!$G$1:$ABN$500,AB$2,0),$A$494,INDEX(Техника!$H$1:$ABO$500,AB$2,0),"Л")</f>
        <v>0</v>
      </c>
    </row>
    <row r="499" spans="1:28" hidden="1" outlineLevel="1" x14ac:dyDescent="0.3">
      <c r="A499" s="33" t="s">
        <v>245</v>
      </c>
      <c r="B499" s="34" t="s">
        <v>279</v>
      </c>
      <c r="C499" s="50">
        <f>SUMIFS(INDEX(Техника!$F$1:$ABM$500,C$2,0),Техника!$F$4:$ABM$4,"Часы",INDEX(Техника!$G$1:$ABN$500,C$2,0),$A$494,INDEX(Техника!$H$1:$ABO$500,C$2,0),"З")</f>
        <v>0</v>
      </c>
      <c r="D499" s="50">
        <f>SUMIFS(INDEX(Техника!$F$1:$ABM$500,D$2,0),Техника!$F$4:$ABM$4,"Часы",INDEX(Техника!$G$1:$ABN$500,D$2,0),$A$494,INDEX(Техника!$H$1:$ABO$500,D$2,0),"З")</f>
        <v>0</v>
      </c>
      <c r="E499" s="50">
        <f>SUMIFS(INDEX(Техника!$F$1:$ABM$500,E$2,0),Техника!$F$4:$ABM$4,"Часы",INDEX(Техника!$G$1:$ABN$500,E$2,0),$A$494,INDEX(Техника!$H$1:$ABO$500,E$2,0),"З")</f>
        <v>0</v>
      </c>
      <c r="F499" s="50">
        <f>SUMIFS(INDEX(Техника!$F$1:$ABM$500,F$2,0),Техника!$F$4:$ABM$4,"Часы",INDEX(Техника!$G$1:$ABN$500,F$2,0),$A$494,INDEX(Техника!$H$1:$ABO$500,F$2,0),"З")</f>
        <v>0</v>
      </c>
      <c r="G499" s="50">
        <f>SUMIFS(INDEX(Техника!$F$1:$ABM$500,G$2,0),Техника!$F$4:$ABM$4,"Часы",INDEX(Техника!$G$1:$ABN$500,G$2,0),$A$494,INDEX(Техника!$H$1:$ABO$500,G$2,0),"З")</f>
        <v>0</v>
      </c>
      <c r="H499" s="50">
        <f>SUMIFS(INDEX(Техника!$F$1:$ABM$500,H$2,0),Техника!$F$4:$ABM$4,"Часы",INDEX(Техника!$G$1:$ABN$500,H$2,0),$A$494,INDEX(Техника!$H$1:$ABO$500,H$2,0),"З")</f>
        <v>0</v>
      </c>
      <c r="I499" s="50">
        <f>SUMIFS(INDEX(Техника!$F$1:$ABM$500,I$2,0),Техника!$F$4:$ABM$4,"Часы",INDEX(Техника!$G$1:$ABN$500,I$2,0),$A$494,INDEX(Техника!$H$1:$ABO$500,I$2,0),"З")</f>
        <v>0</v>
      </c>
      <c r="J499" s="50">
        <f>SUMIFS(INDEX(Техника!$F$1:$ABM$500,J$2,0),Техника!$F$4:$ABM$4,"Часы",INDEX(Техника!$G$1:$ABN$500,J$2,0),$A$494,INDEX(Техника!$H$1:$ABO$500,J$2,0),"З")</f>
        <v>0</v>
      </c>
      <c r="K499" s="50">
        <f>SUMIFS(INDEX(Техника!$F$1:$ABM$500,K$2,0),Техника!$F$4:$ABM$4,"Часы",INDEX(Техника!$G$1:$ABN$500,K$2,0),$A$494,INDEX(Техника!$H$1:$ABO$500,K$2,0),"З")</f>
        <v>0</v>
      </c>
      <c r="L499" s="50">
        <f>SUMIFS(INDEX(Техника!$F$1:$ABM$500,L$2,0),Техника!$F$4:$ABM$4,"Часы",INDEX(Техника!$G$1:$ABN$500,L$2,0),$A$494,INDEX(Техника!$H$1:$ABO$500,L$2,0),"З")</f>
        <v>0</v>
      </c>
      <c r="M499" s="50">
        <f>SUMIFS(INDEX(Техника!$F$1:$ABM$500,M$2,0),Техника!$F$4:$ABM$4,"Часы",INDEX(Техника!$G$1:$ABN$500,M$2,0),$A$494,INDEX(Техника!$H$1:$ABO$500,M$2,0),"З")</f>
        <v>0</v>
      </c>
      <c r="N499" s="50">
        <f>SUMIFS(INDEX(Техника!$F$1:$ABM$500,N$2,0),Техника!$F$4:$ABM$4,"Часы",INDEX(Техника!$G$1:$ABN$500,N$2,0),$A$494,INDEX(Техника!$H$1:$ABO$500,N$2,0),"З")</f>
        <v>0</v>
      </c>
      <c r="O499" s="50">
        <f>SUMIFS(INDEX(Техника!$F$1:$ABM$500,O$2,0),Техника!$F$4:$ABM$4,"Часы",INDEX(Техника!$G$1:$ABN$500,O$2,0),$A$494,INDEX(Техника!$H$1:$ABO$500,O$2,0),"З")</f>
        <v>0</v>
      </c>
      <c r="P499" s="50">
        <f>SUMIFS(INDEX(Техника!$F$1:$ABM$500,P$2,0),Техника!$F$4:$ABM$4,"Часы",INDEX(Техника!$G$1:$ABN$500,P$2,0),$A$494,INDEX(Техника!$H$1:$ABO$500,P$2,0),"З")</f>
        <v>0</v>
      </c>
      <c r="Q499" s="50">
        <f>SUMIFS(INDEX(Техника!$F$1:$ABM$500,Q$2,0),Техника!$F$4:$ABM$4,"Часы",INDEX(Техника!$G$1:$ABN$500,Q$2,0),$A$494,INDEX(Техника!$H$1:$ABO$500,Q$2,0),"З")</f>
        <v>0</v>
      </c>
      <c r="R499" s="50">
        <f>SUMIFS(INDEX(Техника!$F$1:$ABM$500,R$2,0),Техника!$F$4:$ABM$4,"Часы",INDEX(Техника!$G$1:$ABN$500,R$2,0),$A$494,INDEX(Техника!$H$1:$ABO$500,R$2,0),"З")</f>
        <v>0</v>
      </c>
      <c r="S499" s="50">
        <f>SUMIFS(INDEX(Техника!$F$1:$ABM$500,S$2,0),Техника!$F$4:$ABM$4,"Часы",INDEX(Техника!$G$1:$ABN$500,S$2,0),$A$494,INDEX(Техника!$H$1:$ABO$500,S$2,0),"З")</f>
        <v>0</v>
      </c>
      <c r="T499" s="50">
        <f>SUMIFS(INDEX(Техника!$F$1:$ABM$500,T$2,0),Техника!$F$4:$ABM$4,"Часы",INDEX(Техника!$G$1:$ABN$500,T$2,0),$A$494,INDEX(Техника!$H$1:$ABO$500,T$2,0),"З")</f>
        <v>0</v>
      </c>
      <c r="U499" s="50">
        <f>SUMIFS(INDEX(Техника!$F$1:$ABM$500,U$2,0),Техника!$F$4:$ABM$4,"Часы",INDEX(Техника!$G$1:$ABN$500,U$2,0),$A$494,INDEX(Техника!$H$1:$ABO$500,U$2,0),"З")</f>
        <v>0</v>
      </c>
      <c r="V499" s="50">
        <f>SUMIFS(INDEX(Техника!$F$1:$ABM$500,V$2,0),Техника!$F$4:$ABM$4,"Часы",INDEX(Техника!$G$1:$ABN$500,V$2,0),$A$494,INDEX(Техника!$H$1:$ABO$500,V$2,0),"З")</f>
        <v>0</v>
      </c>
      <c r="W499" s="50">
        <f>SUMIFS(INDEX(Техника!$F$1:$ABM$500,W$2,0),Техника!$F$4:$ABM$4,"Часы",INDEX(Техника!$G$1:$ABN$500,W$2,0),$A$494,INDEX(Техника!$H$1:$ABO$500,W$2,0),"З")</f>
        <v>0</v>
      </c>
      <c r="X499" s="50">
        <f>SUMIFS(INDEX(Техника!$F$1:$ABM$500,X$2,0),Техника!$F$4:$ABM$4,"Часы",INDEX(Техника!$G$1:$ABN$500,X$2,0),$A$494,INDEX(Техника!$H$1:$ABO$500,X$2,0),"З")</f>
        <v>0</v>
      </c>
      <c r="Y499" s="50">
        <f>SUMIFS(INDEX(Техника!$F$1:$ABM$500,Y$2,0),Техника!$F$4:$ABM$4,"Часы",INDEX(Техника!$G$1:$ABN$500,Y$2,0),$A$494,INDEX(Техника!$H$1:$ABO$500,Y$2,0),"З")</f>
        <v>0</v>
      </c>
      <c r="Z499" s="50">
        <f>SUMIFS(INDEX(Техника!$F$1:$ABM$500,Z$2,0),Техника!$F$4:$ABM$4,"Часы",INDEX(Техника!$G$1:$ABN$500,Z$2,0),$A$494,INDEX(Техника!$H$1:$ABO$500,Z$2,0),"З")</f>
        <v>0</v>
      </c>
      <c r="AA499" s="50">
        <f>SUMIFS(INDEX(Техника!$F$1:$ABM$500,AA$2,0),Техника!$F$4:$ABM$4,"Часы",INDEX(Техника!$G$1:$ABN$500,AA$2,0),$A$494,INDEX(Техника!$H$1:$ABO$500,AA$2,0),"З")</f>
        <v>0</v>
      </c>
      <c r="AB499" s="50">
        <f>SUMIFS(INDEX(Техника!$F$1:$ABM$500,AB$2,0),Техника!$F$4:$ABM$4,"Часы",INDEX(Техника!$G$1:$ABN$500,AB$2,0),$A$494,INDEX(Техника!$H$1:$ABO$500,AB$2,0),"З")</f>
        <v>0</v>
      </c>
    </row>
    <row r="500" spans="1:28" ht="7.95" customHeight="1" x14ac:dyDescent="0.3">
      <c r="A500" s="38"/>
      <c r="B500" s="39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</row>
    <row r="501" spans="1:28" ht="25.05" customHeight="1" collapsed="1" x14ac:dyDescent="0.3">
      <c r="A501" s="32">
        <v>72</v>
      </c>
      <c r="B501" s="32" t="s">
        <v>73</v>
      </c>
      <c r="C501" s="49">
        <f>SUM(C502:C506)</f>
        <v>0</v>
      </c>
      <c r="D501" s="49">
        <f>SUM(D502:D506)</f>
        <v>0</v>
      </c>
      <c r="E501" s="49">
        <f>SUM(E502:E506)</f>
        <v>0</v>
      </c>
      <c r="F501" s="49">
        <f>SUM(F502:F506)</f>
        <v>0</v>
      </c>
      <c r="G501" s="49">
        <f>SUM(G502:G506)</f>
        <v>0</v>
      </c>
      <c r="H501" s="49">
        <f>SUM(H502:H506)</f>
        <v>0</v>
      </c>
      <c r="I501" s="49">
        <f>SUM(I502:I506)</f>
        <v>0</v>
      </c>
      <c r="J501" s="49">
        <f>SUM(J502:J506)</f>
        <v>0</v>
      </c>
      <c r="K501" s="49">
        <f>SUM(K502:K506)</f>
        <v>0</v>
      </c>
      <c r="L501" s="49">
        <f>SUM(L502:L506)</f>
        <v>0</v>
      </c>
      <c r="M501" s="49">
        <f>SUM(M502:M506)</f>
        <v>0</v>
      </c>
      <c r="N501" s="49">
        <f>SUM(N502:N506)</f>
        <v>0</v>
      </c>
      <c r="O501" s="49">
        <f>SUM(O502:O506)</f>
        <v>0</v>
      </c>
      <c r="P501" s="49">
        <f>SUM(P502:P506)</f>
        <v>0</v>
      </c>
      <c r="Q501" s="49">
        <f>SUM(Q502:Q506)</f>
        <v>0</v>
      </c>
      <c r="R501" s="49">
        <f>SUM(R502:R506)</f>
        <v>0</v>
      </c>
      <c r="S501" s="49">
        <f>SUM(S502:S506)</f>
        <v>0</v>
      </c>
      <c r="T501" s="49">
        <f>SUM(T502:T506)</f>
        <v>0</v>
      </c>
      <c r="U501" s="49">
        <f>SUM(U502:U506)</f>
        <v>0</v>
      </c>
      <c r="V501" s="49">
        <f>SUM(V502:V506)</f>
        <v>0</v>
      </c>
      <c r="W501" s="49">
        <f>SUM(W502:W506)</f>
        <v>0</v>
      </c>
      <c r="X501" s="49">
        <f>SUM(X502:X506)</f>
        <v>0</v>
      </c>
      <c r="Y501" s="49">
        <f>SUM(Y502:Y506)</f>
        <v>0</v>
      </c>
      <c r="Z501" s="49">
        <f>SUM(Z502:Z506)</f>
        <v>0</v>
      </c>
      <c r="AA501" s="49">
        <f>SUM(AA502:AA506)</f>
        <v>0</v>
      </c>
      <c r="AB501" s="49">
        <f>SUM(AB502:AB506)</f>
        <v>0</v>
      </c>
    </row>
    <row r="502" spans="1:28" hidden="1" outlineLevel="1" x14ac:dyDescent="0.3">
      <c r="A502" s="33" t="s">
        <v>246</v>
      </c>
      <c r="B502" s="34" t="s">
        <v>274</v>
      </c>
      <c r="C502" s="50">
        <f>SUMIFS(INDEX(Техника!$F$1:$ABM$500,C$2,0),Техника!$F$4:$ABM$4,"Часы",INDEX(Техника!$G$1:$ABN$500,C$2,0),$A$501,INDEX(Техника!$H$1:$ABO$500,C$2,0),"М")</f>
        <v>0</v>
      </c>
      <c r="D502" s="50">
        <f>SUMIFS(INDEX(Техника!$F$1:$ABM$500,D$2,0),Техника!$F$4:$ABM$4,"Часы",INDEX(Техника!$G$1:$ABN$500,D$2,0),$A$501,INDEX(Техника!$H$1:$ABO$500,D$2,0),"М")</f>
        <v>0</v>
      </c>
      <c r="E502" s="50">
        <f>SUMIFS(INDEX(Техника!$F$1:$ABM$500,E$2,0),Техника!$F$4:$ABM$4,"Часы",INDEX(Техника!$G$1:$ABN$500,E$2,0),$A$501,INDEX(Техника!$H$1:$ABO$500,E$2,0),"М")</f>
        <v>0</v>
      </c>
      <c r="F502" s="50">
        <f>SUMIFS(INDEX(Техника!$F$1:$ABM$500,F$2,0),Техника!$F$4:$ABM$4,"Часы",INDEX(Техника!$G$1:$ABN$500,F$2,0),$A$501,INDEX(Техника!$H$1:$ABO$500,F$2,0),"М")</f>
        <v>0</v>
      </c>
      <c r="G502" s="50">
        <f>SUMIFS(INDEX(Техника!$F$1:$ABM$500,G$2,0),Техника!$F$4:$ABM$4,"Часы",INDEX(Техника!$G$1:$ABN$500,G$2,0),$A$501,INDEX(Техника!$H$1:$ABO$500,G$2,0),"М")</f>
        <v>0</v>
      </c>
      <c r="H502" s="50">
        <f>SUMIFS(INDEX(Техника!$F$1:$ABM$500,H$2,0),Техника!$F$4:$ABM$4,"Часы",INDEX(Техника!$G$1:$ABN$500,H$2,0),$A$501,INDEX(Техника!$H$1:$ABO$500,H$2,0),"М")</f>
        <v>0</v>
      </c>
      <c r="I502" s="50">
        <f>SUMIFS(INDEX(Техника!$F$1:$ABM$500,I$2,0),Техника!$F$4:$ABM$4,"Часы",INDEX(Техника!$G$1:$ABN$500,I$2,0),$A$501,INDEX(Техника!$H$1:$ABO$500,I$2,0),"М")</f>
        <v>0</v>
      </c>
      <c r="J502" s="50">
        <f>SUMIFS(INDEX(Техника!$F$1:$ABM$500,J$2,0),Техника!$F$4:$ABM$4,"Часы",INDEX(Техника!$G$1:$ABN$500,J$2,0),$A$501,INDEX(Техника!$H$1:$ABO$500,J$2,0),"М")</f>
        <v>0</v>
      </c>
      <c r="K502" s="50">
        <f>SUMIFS(INDEX(Техника!$F$1:$ABM$500,K$2,0),Техника!$F$4:$ABM$4,"Часы",INDEX(Техника!$G$1:$ABN$500,K$2,0),$A$501,INDEX(Техника!$H$1:$ABO$500,K$2,0),"М")</f>
        <v>0</v>
      </c>
      <c r="L502" s="50">
        <f>SUMIFS(INDEX(Техника!$F$1:$ABM$500,L$2,0),Техника!$F$4:$ABM$4,"Часы",INDEX(Техника!$G$1:$ABN$500,L$2,0),$A$501,INDEX(Техника!$H$1:$ABO$500,L$2,0),"М")</f>
        <v>0</v>
      </c>
      <c r="M502" s="50">
        <f>SUMIFS(INDEX(Техника!$F$1:$ABM$500,M$2,0),Техника!$F$4:$ABM$4,"Часы",INDEX(Техника!$G$1:$ABN$500,M$2,0),$A$501,INDEX(Техника!$H$1:$ABO$500,M$2,0),"М")</f>
        <v>0</v>
      </c>
      <c r="N502" s="50">
        <f>SUMIFS(INDEX(Техника!$F$1:$ABM$500,N$2,0),Техника!$F$4:$ABM$4,"Часы",INDEX(Техника!$G$1:$ABN$500,N$2,0),$A$501,INDEX(Техника!$H$1:$ABO$500,N$2,0),"М")</f>
        <v>0</v>
      </c>
      <c r="O502" s="50">
        <f>SUMIFS(INDEX(Техника!$F$1:$ABM$500,O$2,0),Техника!$F$4:$ABM$4,"Часы",INDEX(Техника!$G$1:$ABN$500,O$2,0),$A$501,INDEX(Техника!$H$1:$ABO$500,O$2,0),"М")</f>
        <v>0</v>
      </c>
      <c r="P502" s="50">
        <f>SUMIFS(INDEX(Техника!$F$1:$ABM$500,P$2,0),Техника!$F$4:$ABM$4,"Часы",INDEX(Техника!$G$1:$ABN$500,P$2,0),$A$501,INDEX(Техника!$H$1:$ABO$500,P$2,0),"М")</f>
        <v>0</v>
      </c>
      <c r="Q502" s="50">
        <f>SUMIFS(INDEX(Техника!$F$1:$ABM$500,Q$2,0),Техника!$F$4:$ABM$4,"Часы",INDEX(Техника!$G$1:$ABN$500,Q$2,0),$A$501,INDEX(Техника!$H$1:$ABO$500,Q$2,0),"М")</f>
        <v>0</v>
      </c>
      <c r="R502" s="50">
        <f>SUMIFS(INDEX(Техника!$F$1:$ABM$500,R$2,0),Техника!$F$4:$ABM$4,"Часы",INDEX(Техника!$G$1:$ABN$500,R$2,0),$A$501,INDEX(Техника!$H$1:$ABO$500,R$2,0),"М")</f>
        <v>0</v>
      </c>
      <c r="S502" s="50">
        <f>SUMIFS(INDEX(Техника!$F$1:$ABM$500,S$2,0),Техника!$F$4:$ABM$4,"Часы",INDEX(Техника!$G$1:$ABN$500,S$2,0),$A$501,INDEX(Техника!$H$1:$ABO$500,S$2,0),"М")</f>
        <v>0</v>
      </c>
      <c r="T502" s="50">
        <f>SUMIFS(INDEX(Техника!$F$1:$ABM$500,T$2,0),Техника!$F$4:$ABM$4,"Часы",INDEX(Техника!$G$1:$ABN$500,T$2,0),$A$501,INDEX(Техника!$H$1:$ABO$500,T$2,0),"М")</f>
        <v>0</v>
      </c>
      <c r="U502" s="50">
        <f>SUMIFS(INDEX(Техника!$F$1:$ABM$500,U$2,0),Техника!$F$4:$ABM$4,"Часы",INDEX(Техника!$G$1:$ABN$500,U$2,0),$A$501,INDEX(Техника!$H$1:$ABO$500,U$2,0),"М")</f>
        <v>0</v>
      </c>
      <c r="V502" s="50">
        <f>SUMIFS(INDEX(Техника!$F$1:$ABM$500,V$2,0),Техника!$F$4:$ABM$4,"Часы",INDEX(Техника!$G$1:$ABN$500,V$2,0),$A$501,INDEX(Техника!$H$1:$ABO$500,V$2,0),"М")</f>
        <v>0</v>
      </c>
      <c r="W502" s="50">
        <f>SUMIFS(INDEX(Техника!$F$1:$ABM$500,W$2,0),Техника!$F$4:$ABM$4,"Часы",INDEX(Техника!$G$1:$ABN$500,W$2,0),$A$501,INDEX(Техника!$H$1:$ABO$500,W$2,0),"М")</f>
        <v>0</v>
      </c>
      <c r="X502" s="50">
        <f>SUMIFS(INDEX(Техника!$F$1:$ABM$500,X$2,0),Техника!$F$4:$ABM$4,"Часы",INDEX(Техника!$G$1:$ABN$500,X$2,0),$A$501,INDEX(Техника!$H$1:$ABO$500,X$2,0),"М")</f>
        <v>0</v>
      </c>
      <c r="Y502" s="50">
        <f>SUMIFS(INDEX(Техника!$F$1:$ABM$500,Y$2,0),Техника!$F$4:$ABM$4,"Часы",INDEX(Техника!$G$1:$ABN$500,Y$2,0),$A$501,INDEX(Техника!$H$1:$ABO$500,Y$2,0),"М")</f>
        <v>0</v>
      </c>
      <c r="Z502" s="50">
        <f>SUMIFS(INDEX(Техника!$F$1:$ABM$500,Z$2,0),Техника!$F$4:$ABM$4,"Часы",INDEX(Техника!$G$1:$ABN$500,Z$2,0),$A$501,INDEX(Техника!$H$1:$ABO$500,Z$2,0),"М")</f>
        <v>0</v>
      </c>
      <c r="AA502" s="50">
        <f>SUMIFS(INDEX(Техника!$F$1:$ABM$500,AA$2,0),Техника!$F$4:$ABM$4,"Часы",INDEX(Техника!$G$1:$ABN$500,AA$2,0),$A$501,INDEX(Техника!$H$1:$ABO$500,AA$2,0),"М")</f>
        <v>0</v>
      </c>
      <c r="AB502" s="50">
        <f>SUMIFS(INDEX(Техника!$F$1:$ABM$500,AB$2,0),Техника!$F$4:$ABM$4,"Часы",INDEX(Техника!$G$1:$ABN$500,AB$2,0),$A$501,INDEX(Техника!$H$1:$ABO$500,AB$2,0),"М")</f>
        <v>0</v>
      </c>
    </row>
    <row r="503" spans="1:28" hidden="1" outlineLevel="1" x14ac:dyDescent="0.3">
      <c r="A503" s="33" t="s">
        <v>244</v>
      </c>
      <c r="B503" s="34" t="s">
        <v>275</v>
      </c>
      <c r="C503" s="50">
        <f>SUMIFS(INDEX(Техника!$F$1:$ABM$500,C$2,0),Техника!$F$4:$ABM$4,"Часы",INDEX(Техника!$G$1:$ABN$500,C$2,0),$A$501,INDEX(Техника!$H$1:$ABO$500,C$2,0),"Д")</f>
        <v>0</v>
      </c>
      <c r="D503" s="50">
        <f>SUMIFS(INDEX(Техника!$F$1:$ABM$500,D$2,0),Техника!$F$4:$ABM$4,"Часы",INDEX(Техника!$G$1:$ABN$500,D$2,0),$A$501,INDEX(Техника!$H$1:$ABO$500,D$2,0),"Д")</f>
        <v>0</v>
      </c>
      <c r="E503" s="50">
        <f>SUMIFS(INDEX(Техника!$F$1:$ABM$500,E$2,0),Техника!$F$4:$ABM$4,"Часы",INDEX(Техника!$G$1:$ABN$500,E$2,0),$A$501,INDEX(Техника!$H$1:$ABO$500,E$2,0),"Д")</f>
        <v>0</v>
      </c>
      <c r="F503" s="50">
        <f>SUMIFS(INDEX(Техника!$F$1:$ABM$500,F$2,0),Техника!$F$4:$ABM$4,"Часы",INDEX(Техника!$G$1:$ABN$500,F$2,0),$A$501,INDEX(Техника!$H$1:$ABO$500,F$2,0),"Д")</f>
        <v>0</v>
      </c>
      <c r="G503" s="50">
        <f>SUMIFS(INDEX(Техника!$F$1:$ABM$500,G$2,0),Техника!$F$4:$ABM$4,"Часы",INDEX(Техника!$G$1:$ABN$500,G$2,0),$A$501,INDEX(Техника!$H$1:$ABO$500,G$2,0),"Д")</f>
        <v>0</v>
      </c>
      <c r="H503" s="50">
        <f>SUMIFS(INDEX(Техника!$F$1:$ABM$500,H$2,0),Техника!$F$4:$ABM$4,"Часы",INDEX(Техника!$G$1:$ABN$500,H$2,0),$A$501,INDEX(Техника!$H$1:$ABO$500,H$2,0),"Д")</f>
        <v>0</v>
      </c>
      <c r="I503" s="50">
        <f>SUMIFS(INDEX(Техника!$F$1:$ABM$500,I$2,0),Техника!$F$4:$ABM$4,"Часы",INDEX(Техника!$G$1:$ABN$500,I$2,0),$A$501,INDEX(Техника!$H$1:$ABO$500,I$2,0),"Д")</f>
        <v>0</v>
      </c>
      <c r="J503" s="50">
        <f>SUMIFS(INDEX(Техника!$F$1:$ABM$500,J$2,0),Техника!$F$4:$ABM$4,"Часы",INDEX(Техника!$G$1:$ABN$500,J$2,0),$A$501,INDEX(Техника!$H$1:$ABO$500,J$2,0),"Д")</f>
        <v>0</v>
      </c>
      <c r="K503" s="50">
        <f>SUMIFS(INDEX(Техника!$F$1:$ABM$500,K$2,0),Техника!$F$4:$ABM$4,"Часы",INDEX(Техника!$G$1:$ABN$500,K$2,0),$A$501,INDEX(Техника!$H$1:$ABO$500,K$2,0),"Д")</f>
        <v>0</v>
      </c>
      <c r="L503" s="50">
        <f>SUMIFS(INDEX(Техника!$F$1:$ABM$500,L$2,0),Техника!$F$4:$ABM$4,"Часы",INDEX(Техника!$G$1:$ABN$500,L$2,0),$A$501,INDEX(Техника!$H$1:$ABO$500,L$2,0),"Д")</f>
        <v>0</v>
      </c>
      <c r="M503" s="50">
        <f>SUMIFS(INDEX(Техника!$F$1:$ABM$500,M$2,0),Техника!$F$4:$ABM$4,"Часы",INDEX(Техника!$G$1:$ABN$500,M$2,0),$A$501,INDEX(Техника!$H$1:$ABO$500,M$2,0),"Д")</f>
        <v>0</v>
      </c>
      <c r="N503" s="50">
        <f>SUMIFS(INDEX(Техника!$F$1:$ABM$500,N$2,0),Техника!$F$4:$ABM$4,"Часы",INDEX(Техника!$G$1:$ABN$500,N$2,0),$A$501,INDEX(Техника!$H$1:$ABO$500,N$2,0),"Д")</f>
        <v>0</v>
      </c>
      <c r="O503" s="50">
        <f>SUMIFS(INDEX(Техника!$F$1:$ABM$500,O$2,0),Техника!$F$4:$ABM$4,"Часы",INDEX(Техника!$G$1:$ABN$500,O$2,0),$A$501,INDEX(Техника!$H$1:$ABO$500,O$2,0),"Д")</f>
        <v>0</v>
      </c>
      <c r="P503" s="50">
        <f>SUMIFS(INDEX(Техника!$F$1:$ABM$500,P$2,0),Техника!$F$4:$ABM$4,"Часы",INDEX(Техника!$G$1:$ABN$500,P$2,0),$A$501,INDEX(Техника!$H$1:$ABO$500,P$2,0),"Д")</f>
        <v>0</v>
      </c>
      <c r="Q503" s="50">
        <f>SUMIFS(INDEX(Техника!$F$1:$ABM$500,Q$2,0),Техника!$F$4:$ABM$4,"Часы",INDEX(Техника!$G$1:$ABN$500,Q$2,0),$A$501,INDEX(Техника!$H$1:$ABO$500,Q$2,0),"Д")</f>
        <v>0</v>
      </c>
      <c r="R503" s="50">
        <f>SUMIFS(INDEX(Техника!$F$1:$ABM$500,R$2,0),Техника!$F$4:$ABM$4,"Часы",INDEX(Техника!$G$1:$ABN$500,R$2,0),$A$501,INDEX(Техника!$H$1:$ABO$500,R$2,0),"Д")</f>
        <v>0</v>
      </c>
      <c r="S503" s="50">
        <f>SUMIFS(INDEX(Техника!$F$1:$ABM$500,S$2,0),Техника!$F$4:$ABM$4,"Часы",INDEX(Техника!$G$1:$ABN$500,S$2,0),$A$501,INDEX(Техника!$H$1:$ABO$500,S$2,0),"Д")</f>
        <v>0</v>
      </c>
      <c r="T503" s="50">
        <f>SUMIFS(INDEX(Техника!$F$1:$ABM$500,T$2,0),Техника!$F$4:$ABM$4,"Часы",INDEX(Техника!$G$1:$ABN$500,T$2,0),$A$501,INDEX(Техника!$H$1:$ABO$500,T$2,0),"Д")</f>
        <v>0</v>
      </c>
      <c r="U503" s="50">
        <f>SUMIFS(INDEX(Техника!$F$1:$ABM$500,U$2,0),Техника!$F$4:$ABM$4,"Часы",INDEX(Техника!$G$1:$ABN$500,U$2,0),$A$501,INDEX(Техника!$H$1:$ABO$500,U$2,0),"Д")</f>
        <v>0</v>
      </c>
      <c r="V503" s="50">
        <f>SUMIFS(INDEX(Техника!$F$1:$ABM$500,V$2,0),Техника!$F$4:$ABM$4,"Часы",INDEX(Техника!$G$1:$ABN$500,V$2,0),$A$501,INDEX(Техника!$H$1:$ABO$500,V$2,0),"Д")</f>
        <v>0</v>
      </c>
      <c r="W503" s="50">
        <f>SUMIFS(INDEX(Техника!$F$1:$ABM$500,W$2,0),Техника!$F$4:$ABM$4,"Часы",INDEX(Техника!$G$1:$ABN$500,W$2,0),$A$501,INDEX(Техника!$H$1:$ABO$500,W$2,0),"Д")</f>
        <v>0</v>
      </c>
      <c r="X503" s="50">
        <f>SUMIFS(INDEX(Техника!$F$1:$ABM$500,X$2,0),Техника!$F$4:$ABM$4,"Часы",INDEX(Техника!$G$1:$ABN$500,X$2,0),$A$501,INDEX(Техника!$H$1:$ABO$500,X$2,0),"Д")</f>
        <v>0</v>
      </c>
      <c r="Y503" s="50">
        <f>SUMIFS(INDEX(Техника!$F$1:$ABM$500,Y$2,0),Техника!$F$4:$ABM$4,"Часы",INDEX(Техника!$G$1:$ABN$500,Y$2,0),$A$501,INDEX(Техника!$H$1:$ABO$500,Y$2,0),"Д")</f>
        <v>0</v>
      </c>
      <c r="Z503" s="50">
        <f>SUMIFS(INDEX(Техника!$F$1:$ABM$500,Z$2,0),Техника!$F$4:$ABM$4,"Часы",INDEX(Техника!$G$1:$ABN$500,Z$2,0),$A$501,INDEX(Техника!$H$1:$ABO$500,Z$2,0),"Д")</f>
        <v>0</v>
      </c>
      <c r="AA503" s="50">
        <f>SUMIFS(INDEX(Техника!$F$1:$ABM$500,AA$2,0),Техника!$F$4:$ABM$4,"Часы",INDEX(Техника!$G$1:$ABN$500,AA$2,0),$A$501,INDEX(Техника!$H$1:$ABO$500,AA$2,0),"Д")</f>
        <v>0</v>
      </c>
      <c r="AB503" s="50">
        <f>SUMIFS(INDEX(Техника!$F$1:$ABM$500,AB$2,0),Техника!$F$4:$ABM$4,"Часы",INDEX(Техника!$G$1:$ABN$500,AB$2,0),$A$501,INDEX(Техника!$H$1:$ABO$500,AB$2,0),"Д")</f>
        <v>0</v>
      </c>
    </row>
    <row r="504" spans="1:28" hidden="1" outlineLevel="1" x14ac:dyDescent="0.3">
      <c r="A504" s="33" t="s">
        <v>276</v>
      </c>
      <c r="B504" s="34" t="s">
        <v>277</v>
      </c>
      <c r="C504" s="50">
        <f>SUMIFS(INDEX(Техника!$F$1:$ABM$500,C$2,0),Техника!$F$4:$ABM$4,"Часы",INDEX(Техника!$G$1:$ABN$500,C$2,0),$A$501,INDEX(Техника!$H$1:$ABO$500,C$2,0),"П")</f>
        <v>0</v>
      </c>
      <c r="D504" s="50">
        <f>SUMIFS(INDEX(Техника!$F$1:$ABM$500,D$2,0),Техника!$F$4:$ABM$4,"Часы",INDEX(Техника!$G$1:$ABN$500,D$2,0),$A$501,INDEX(Техника!$H$1:$ABO$500,D$2,0),"П")</f>
        <v>0</v>
      </c>
      <c r="E504" s="50">
        <f>SUMIFS(INDEX(Техника!$F$1:$ABM$500,E$2,0),Техника!$F$4:$ABM$4,"Часы",INDEX(Техника!$G$1:$ABN$500,E$2,0),$A$501,INDEX(Техника!$H$1:$ABO$500,E$2,0),"П")</f>
        <v>0</v>
      </c>
      <c r="F504" s="50">
        <f>SUMIFS(INDEX(Техника!$F$1:$ABM$500,F$2,0),Техника!$F$4:$ABM$4,"Часы",INDEX(Техника!$G$1:$ABN$500,F$2,0),$A$501,INDEX(Техника!$H$1:$ABO$500,F$2,0),"П")</f>
        <v>0</v>
      </c>
      <c r="G504" s="50">
        <f>SUMIFS(INDEX(Техника!$F$1:$ABM$500,G$2,0),Техника!$F$4:$ABM$4,"Часы",INDEX(Техника!$G$1:$ABN$500,G$2,0),$A$501,INDEX(Техника!$H$1:$ABO$500,G$2,0),"П")</f>
        <v>0</v>
      </c>
      <c r="H504" s="50">
        <f>SUMIFS(INDEX(Техника!$F$1:$ABM$500,H$2,0),Техника!$F$4:$ABM$4,"Часы",INDEX(Техника!$G$1:$ABN$500,H$2,0),$A$501,INDEX(Техника!$H$1:$ABO$500,H$2,0),"П")</f>
        <v>0</v>
      </c>
      <c r="I504" s="50">
        <f>SUMIFS(INDEX(Техника!$F$1:$ABM$500,I$2,0),Техника!$F$4:$ABM$4,"Часы",INDEX(Техника!$G$1:$ABN$500,I$2,0),$A$501,INDEX(Техника!$H$1:$ABO$500,I$2,0),"П")</f>
        <v>0</v>
      </c>
      <c r="J504" s="50">
        <f>SUMIFS(INDEX(Техника!$F$1:$ABM$500,J$2,0),Техника!$F$4:$ABM$4,"Часы",INDEX(Техника!$G$1:$ABN$500,J$2,0),$A$501,INDEX(Техника!$H$1:$ABO$500,J$2,0),"П")</f>
        <v>0</v>
      </c>
      <c r="K504" s="50">
        <f>SUMIFS(INDEX(Техника!$F$1:$ABM$500,K$2,0),Техника!$F$4:$ABM$4,"Часы",INDEX(Техника!$G$1:$ABN$500,K$2,0),$A$501,INDEX(Техника!$H$1:$ABO$500,K$2,0),"П")</f>
        <v>0</v>
      </c>
      <c r="L504" s="50">
        <f>SUMIFS(INDEX(Техника!$F$1:$ABM$500,L$2,0),Техника!$F$4:$ABM$4,"Часы",INDEX(Техника!$G$1:$ABN$500,L$2,0),$A$501,INDEX(Техника!$H$1:$ABO$500,L$2,0),"П")</f>
        <v>0</v>
      </c>
      <c r="M504" s="50">
        <f>SUMIFS(INDEX(Техника!$F$1:$ABM$500,M$2,0),Техника!$F$4:$ABM$4,"Часы",INDEX(Техника!$G$1:$ABN$500,M$2,0),$A$501,INDEX(Техника!$H$1:$ABO$500,M$2,0),"П")</f>
        <v>0</v>
      </c>
      <c r="N504" s="50">
        <f>SUMIFS(INDEX(Техника!$F$1:$ABM$500,N$2,0),Техника!$F$4:$ABM$4,"Часы",INDEX(Техника!$G$1:$ABN$500,N$2,0),$A$501,INDEX(Техника!$H$1:$ABO$500,N$2,0),"П")</f>
        <v>0</v>
      </c>
      <c r="O504" s="50">
        <f>SUMIFS(INDEX(Техника!$F$1:$ABM$500,O$2,0),Техника!$F$4:$ABM$4,"Часы",INDEX(Техника!$G$1:$ABN$500,O$2,0),$A$501,INDEX(Техника!$H$1:$ABO$500,O$2,0),"П")</f>
        <v>0</v>
      </c>
      <c r="P504" s="50">
        <f>SUMIFS(INDEX(Техника!$F$1:$ABM$500,P$2,0),Техника!$F$4:$ABM$4,"Часы",INDEX(Техника!$G$1:$ABN$500,P$2,0),$A$501,INDEX(Техника!$H$1:$ABO$500,P$2,0),"П")</f>
        <v>0</v>
      </c>
      <c r="Q504" s="50">
        <f>SUMIFS(INDEX(Техника!$F$1:$ABM$500,Q$2,0),Техника!$F$4:$ABM$4,"Часы",INDEX(Техника!$G$1:$ABN$500,Q$2,0),$A$501,INDEX(Техника!$H$1:$ABO$500,Q$2,0),"П")</f>
        <v>0</v>
      </c>
      <c r="R504" s="50">
        <f>SUMIFS(INDEX(Техника!$F$1:$ABM$500,R$2,0),Техника!$F$4:$ABM$4,"Часы",INDEX(Техника!$G$1:$ABN$500,R$2,0),$A$501,INDEX(Техника!$H$1:$ABO$500,R$2,0),"П")</f>
        <v>0</v>
      </c>
      <c r="S504" s="50">
        <f>SUMIFS(INDEX(Техника!$F$1:$ABM$500,S$2,0),Техника!$F$4:$ABM$4,"Часы",INDEX(Техника!$G$1:$ABN$500,S$2,0),$A$501,INDEX(Техника!$H$1:$ABO$500,S$2,0),"П")</f>
        <v>0</v>
      </c>
      <c r="T504" s="50">
        <f>SUMIFS(INDEX(Техника!$F$1:$ABM$500,T$2,0),Техника!$F$4:$ABM$4,"Часы",INDEX(Техника!$G$1:$ABN$500,T$2,0),$A$501,INDEX(Техника!$H$1:$ABO$500,T$2,0),"П")</f>
        <v>0</v>
      </c>
      <c r="U504" s="50">
        <f>SUMIFS(INDEX(Техника!$F$1:$ABM$500,U$2,0),Техника!$F$4:$ABM$4,"Часы",INDEX(Техника!$G$1:$ABN$500,U$2,0),$A$501,INDEX(Техника!$H$1:$ABO$500,U$2,0),"П")</f>
        <v>0</v>
      </c>
      <c r="V504" s="50">
        <f>SUMIFS(INDEX(Техника!$F$1:$ABM$500,V$2,0),Техника!$F$4:$ABM$4,"Часы",INDEX(Техника!$G$1:$ABN$500,V$2,0),$A$501,INDEX(Техника!$H$1:$ABO$500,V$2,0),"П")</f>
        <v>0</v>
      </c>
      <c r="W504" s="50">
        <f>SUMIFS(INDEX(Техника!$F$1:$ABM$500,W$2,0),Техника!$F$4:$ABM$4,"Часы",INDEX(Техника!$G$1:$ABN$500,W$2,0),$A$501,INDEX(Техника!$H$1:$ABO$500,W$2,0),"П")</f>
        <v>0</v>
      </c>
      <c r="X504" s="50">
        <f>SUMIFS(INDEX(Техника!$F$1:$ABM$500,X$2,0),Техника!$F$4:$ABM$4,"Часы",INDEX(Техника!$G$1:$ABN$500,X$2,0),$A$501,INDEX(Техника!$H$1:$ABO$500,X$2,0),"П")</f>
        <v>0</v>
      </c>
      <c r="Y504" s="50">
        <f>SUMIFS(INDEX(Техника!$F$1:$ABM$500,Y$2,0),Техника!$F$4:$ABM$4,"Часы",INDEX(Техника!$G$1:$ABN$500,Y$2,0),$A$501,INDEX(Техника!$H$1:$ABO$500,Y$2,0),"П")</f>
        <v>0</v>
      </c>
      <c r="Z504" s="50">
        <f>SUMIFS(INDEX(Техника!$F$1:$ABM$500,Z$2,0),Техника!$F$4:$ABM$4,"Часы",INDEX(Техника!$G$1:$ABN$500,Z$2,0),$A$501,INDEX(Техника!$H$1:$ABO$500,Z$2,0),"П")</f>
        <v>0</v>
      </c>
      <c r="AA504" s="50">
        <f>SUMIFS(INDEX(Техника!$F$1:$ABM$500,AA$2,0),Техника!$F$4:$ABM$4,"Часы",INDEX(Техника!$G$1:$ABN$500,AA$2,0),$A$501,INDEX(Техника!$H$1:$ABO$500,AA$2,0),"П")</f>
        <v>0</v>
      </c>
      <c r="AB504" s="50">
        <f>SUMIFS(INDEX(Техника!$F$1:$ABM$500,AB$2,0),Техника!$F$4:$ABM$4,"Часы",INDEX(Техника!$G$1:$ABN$500,AB$2,0),$A$501,INDEX(Техника!$H$1:$ABO$500,AB$2,0),"П")</f>
        <v>0</v>
      </c>
    </row>
    <row r="505" spans="1:28" hidden="1" outlineLevel="1" x14ac:dyDescent="0.3">
      <c r="A505" s="33" t="s">
        <v>243</v>
      </c>
      <c r="B505" s="34" t="s">
        <v>278</v>
      </c>
      <c r="C505" s="50">
        <f>SUMIFS(INDEX(Техника!$F$1:$ABM$500,C$2,0),Техника!$F$4:$ABM$4,"Часы",INDEX(Техника!$G$1:$ABN$500,C$2,0),$A$501,INDEX(Техника!$H$1:$ABO$500,C$2,0),"Л")</f>
        <v>0</v>
      </c>
      <c r="D505" s="50">
        <f>SUMIFS(INDEX(Техника!$F$1:$ABM$500,D$2,0),Техника!$F$4:$ABM$4,"Часы",INDEX(Техника!$G$1:$ABN$500,D$2,0),$A$501,INDEX(Техника!$H$1:$ABO$500,D$2,0),"Л")</f>
        <v>0</v>
      </c>
      <c r="E505" s="50">
        <f>SUMIFS(INDEX(Техника!$F$1:$ABM$500,E$2,0),Техника!$F$4:$ABM$4,"Часы",INDEX(Техника!$G$1:$ABN$500,E$2,0),$A$501,INDEX(Техника!$H$1:$ABO$500,E$2,0),"Л")</f>
        <v>0</v>
      </c>
      <c r="F505" s="50">
        <f>SUMIFS(INDEX(Техника!$F$1:$ABM$500,F$2,0),Техника!$F$4:$ABM$4,"Часы",INDEX(Техника!$G$1:$ABN$500,F$2,0),$A$501,INDEX(Техника!$H$1:$ABO$500,F$2,0),"Л")</f>
        <v>0</v>
      </c>
      <c r="G505" s="50">
        <f>SUMIFS(INDEX(Техника!$F$1:$ABM$500,G$2,0),Техника!$F$4:$ABM$4,"Часы",INDEX(Техника!$G$1:$ABN$500,G$2,0),$A$501,INDEX(Техника!$H$1:$ABO$500,G$2,0),"Л")</f>
        <v>0</v>
      </c>
      <c r="H505" s="50">
        <f>SUMIFS(INDEX(Техника!$F$1:$ABM$500,H$2,0),Техника!$F$4:$ABM$4,"Часы",INDEX(Техника!$G$1:$ABN$500,H$2,0),$A$501,INDEX(Техника!$H$1:$ABO$500,H$2,0),"Л")</f>
        <v>0</v>
      </c>
      <c r="I505" s="50">
        <f>SUMIFS(INDEX(Техника!$F$1:$ABM$500,I$2,0),Техника!$F$4:$ABM$4,"Часы",INDEX(Техника!$G$1:$ABN$500,I$2,0),$A$501,INDEX(Техника!$H$1:$ABO$500,I$2,0),"Л")</f>
        <v>0</v>
      </c>
      <c r="J505" s="50">
        <f>SUMIFS(INDEX(Техника!$F$1:$ABM$500,J$2,0),Техника!$F$4:$ABM$4,"Часы",INDEX(Техника!$G$1:$ABN$500,J$2,0),$A$501,INDEX(Техника!$H$1:$ABO$500,J$2,0),"Л")</f>
        <v>0</v>
      </c>
      <c r="K505" s="50">
        <f>SUMIFS(INDEX(Техника!$F$1:$ABM$500,K$2,0),Техника!$F$4:$ABM$4,"Часы",INDEX(Техника!$G$1:$ABN$500,K$2,0),$A$501,INDEX(Техника!$H$1:$ABO$500,K$2,0),"Л")</f>
        <v>0</v>
      </c>
      <c r="L505" s="50">
        <f>SUMIFS(INDEX(Техника!$F$1:$ABM$500,L$2,0),Техника!$F$4:$ABM$4,"Часы",INDEX(Техника!$G$1:$ABN$500,L$2,0),$A$501,INDEX(Техника!$H$1:$ABO$500,L$2,0),"Л")</f>
        <v>0</v>
      </c>
      <c r="M505" s="50">
        <f>SUMIFS(INDEX(Техника!$F$1:$ABM$500,M$2,0),Техника!$F$4:$ABM$4,"Часы",INDEX(Техника!$G$1:$ABN$500,M$2,0),$A$501,INDEX(Техника!$H$1:$ABO$500,M$2,0),"Л")</f>
        <v>0</v>
      </c>
      <c r="N505" s="50">
        <f>SUMIFS(INDEX(Техника!$F$1:$ABM$500,N$2,0),Техника!$F$4:$ABM$4,"Часы",INDEX(Техника!$G$1:$ABN$500,N$2,0),$A$501,INDEX(Техника!$H$1:$ABO$500,N$2,0),"Л")</f>
        <v>0</v>
      </c>
      <c r="O505" s="50">
        <f>SUMIFS(INDEX(Техника!$F$1:$ABM$500,O$2,0),Техника!$F$4:$ABM$4,"Часы",INDEX(Техника!$G$1:$ABN$500,O$2,0),$A$501,INDEX(Техника!$H$1:$ABO$500,O$2,0),"Л")</f>
        <v>0</v>
      </c>
      <c r="P505" s="50">
        <f>SUMIFS(INDEX(Техника!$F$1:$ABM$500,P$2,0),Техника!$F$4:$ABM$4,"Часы",INDEX(Техника!$G$1:$ABN$500,P$2,0),$A$501,INDEX(Техника!$H$1:$ABO$500,P$2,0),"Л")</f>
        <v>0</v>
      </c>
      <c r="Q505" s="50">
        <f>SUMIFS(INDEX(Техника!$F$1:$ABM$500,Q$2,0),Техника!$F$4:$ABM$4,"Часы",INDEX(Техника!$G$1:$ABN$500,Q$2,0),$A$501,INDEX(Техника!$H$1:$ABO$500,Q$2,0),"Л")</f>
        <v>0</v>
      </c>
      <c r="R505" s="50">
        <f>SUMIFS(INDEX(Техника!$F$1:$ABM$500,R$2,0),Техника!$F$4:$ABM$4,"Часы",INDEX(Техника!$G$1:$ABN$500,R$2,0),$A$501,INDEX(Техника!$H$1:$ABO$500,R$2,0),"Л")</f>
        <v>0</v>
      </c>
      <c r="S505" s="50">
        <f>SUMIFS(INDEX(Техника!$F$1:$ABM$500,S$2,0),Техника!$F$4:$ABM$4,"Часы",INDEX(Техника!$G$1:$ABN$500,S$2,0),$A$501,INDEX(Техника!$H$1:$ABO$500,S$2,0),"Л")</f>
        <v>0</v>
      </c>
      <c r="T505" s="50">
        <f>SUMIFS(INDEX(Техника!$F$1:$ABM$500,T$2,0),Техника!$F$4:$ABM$4,"Часы",INDEX(Техника!$G$1:$ABN$500,T$2,0),$A$501,INDEX(Техника!$H$1:$ABO$500,T$2,0),"Л")</f>
        <v>0</v>
      </c>
      <c r="U505" s="50">
        <f>SUMIFS(INDEX(Техника!$F$1:$ABM$500,U$2,0),Техника!$F$4:$ABM$4,"Часы",INDEX(Техника!$G$1:$ABN$500,U$2,0),$A$501,INDEX(Техника!$H$1:$ABO$500,U$2,0),"Л")</f>
        <v>0</v>
      </c>
      <c r="V505" s="50">
        <f>SUMIFS(INDEX(Техника!$F$1:$ABM$500,V$2,0),Техника!$F$4:$ABM$4,"Часы",INDEX(Техника!$G$1:$ABN$500,V$2,0),$A$501,INDEX(Техника!$H$1:$ABO$500,V$2,0),"Л")</f>
        <v>0</v>
      </c>
      <c r="W505" s="50">
        <f>SUMIFS(INDEX(Техника!$F$1:$ABM$500,W$2,0),Техника!$F$4:$ABM$4,"Часы",INDEX(Техника!$G$1:$ABN$500,W$2,0),$A$501,INDEX(Техника!$H$1:$ABO$500,W$2,0),"Л")</f>
        <v>0</v>
      </c>
      <c r="X505" s="50">
        <f>SUMIFS(INDEX(Техника!$F$1:$ABM$500,X$2,0),Техника!$F$4:$ABM$4,"Часы",INDEX(Техника!$G$1:$ABN$500,X$2,0),$A$501,INDEX(Техника!$H$1:$ABO$500,X$2,0),"Л")</f>
        <v>0</v>
      </c>
      <c r="Y505" s="50">
        <f>SUMIFS(INDEX(Техника!$F$1:$ABM$500,Y$2,0),Техника!$F$4:$ABM$4,"Часы",INDEX(Техника!$G$1:$ABN$500,Y$2,0),$A$501,INDEX(Техника!$H$1:$ABO$500,Y$2,0),"Л")</f>
        <v>0</v>
      </c>
      <c r="Z505" s="50">
        <f>SUMIFS(INDEX(Техника!$F$1:$ABM$500,Z$2,0),Техника!$F$4:$ABM$4,"Часы",INDEX(Техника!$G$1:$ABN$500,Z$2,0),$A$501,INDEX(Техника!$H$1:$ABO$500,Z$2,0),"Л")</f>
        <v>0</v>
      </c>
      <c r="AA505" s="50">
        <f>SUMIFS(INDEX(Техника!$F$1:$ABM$500,AA$2,0),Техника!$F$4:$ABM$4,"Часы",INDEX(Техника!$G$1:$ABN$500,AA$2,0),$A$501,INDEX(Техника!$H$1:$ABO$500,AA$2,0),"Л")</f>
        <v>0</v>
      </c>
      <c r="AB505" s="50">
        <f>SUMIFS(INDEX(Техника!$F$1:$ABM$500,AB$2,0),Техника!$F$4:$ABM$4,"Часы",INDEX(Техника!$G$1:$ABN$500,AB$2,0),$A$501,INDEX(Техника!$H$1:$ABO$500,AB$2,0),"Л")</f>
        <v>0</v>
      </c>
    </row>
    <row r="506" spans="1:28" hidden="1" outlineLevel="1" x14ac:dyDescent="0.3">
      <c r="A506" s="33" t="s">
        <v>245</v>
      </c>
      <c r="B506" s="34" t="s">
        <v>279</v>
      </c>
      <c r="C506" s="50">
        <f>SUMIFS(INDEX(Техника!$F$1:$ABM$500,C$2,0),Техника!$F$4:$ABM$4,"Часы",INDEX(Техника!$G$1:$ABN$500,C$2,0),$A$501,INDEX(Техника!$H$1:$ABO$500,C$2,0),"З")</f>
        <v>0</v>
      </c>
      <c r="D506" s="50">
        <f>SUMIFS(INDEX(Техника!$F$1:$ABM$500,D$2,0),Техника!$F$4:$ABM$4,"Часы",INDEX(Техника!$G$1:$ABN$500,D$2,0),$A$501,INDEX(Техника!$H$1:$ABO$500,D$2,0),"З")</f>
        <v>0</v>
      </c>
      <c r="E506" s="50">
        <f>SUMIFS(INDEX(Техника!$F$1:$ABM$500,E$2,0),Техника!$F$4:$ABM$4,"Часы",INDEX(Техника!$G$1:$ABN$500,E$2,0),$A$501,INDEX(Техника!$H$1:$ABO$500,E$2,0),"З")</f>
        <v>0</v>
      </c>
      <c r="F506" s="50">
        <f>SUMIFS(INDEX(Техника!$F$1:$ABM$500,F$2,0),Техника!$F$4:$ABM$4,"Часы",INDEX(Техника!$G$1:$ABN$500,F$2,0),$A$501,INDEX(Техника!$H$1:$ABO$500,F$2,0),"З")</f>
        <v>0</v>
      </c>
      <c r="G506" s="50">
        <f>SUMIFS(INDEX(Техника!$F$1:$ABM$500,G$2,0),Техника!$F$4:$ABM$4,"Часы",INDEX(Техника!$G$1:$ABN$500,G$2,0),$A$501,INDEX(Техника!$H$1:$ABO$500,G$2,0),"З")</f>
        <v>0</v>
      </c>
      <c r="H506" s="50">
        <f>SUMIFS(INDEX(Техника!$F$1:$ABM$500,H$2,0),Техника!$F$4:$ABM$4,"Часы",INDEX(Техника!$G$1:$ABN$500,H$2,0),$A$501,INDEX(Техника!$H$1:$ABO$500,H$2,0),"З")</f>
        <v>0</v>
      </c>
      <c r="I506" s="50">
        <f>SUMIFS(INDEX(Техника!$F$1:$ABM$500,I$2,0),Техника!$F$4:$ABM$4,"Часы",INDEX(Техника!$G$1:$ABN$500,I$2,0),$A$501,INDEX(Техника!$H$1:$ABO$500,I$2,0),"З")</f>
        <v>0</v>
      </c>
      <c r="J506" s="50">
        <f>SUMIFS(INDEX(Техника!$F$1:$ABM$500,J$2,0),Техника!$F$4:$ABM$4,"Часы",INDEX(Техника!$G$1:$ABN$500,J$2,0),$A$501,INDEX(Техника!$H$1:$ABO$500,J$2,0),"З")</f>
        <v>0</v>
      </c>
      <c r="K506" s="50">
        <f>SUMIFS(INDEX(Техника!$F$1:$ABM$500,K$2,0),Техника!$F$4:$ABM$4,"Часы",INDEX(Техника!$G$1:$ABN$500,K$2,0),$A$501,INDEX(Техника!$H$1:$ABO$500,K$2,0),"З")</f>
        <v>0</v>
      </c>
      <c r="L506" s="50">
        <f>SUMIFS(INDEX(Техника!$F$1:$ABM$500,L$2,0),Техника!$F$4:$ABM$4,"Часы",INDEX(Техника!$G$1:$ABN$500,L$2,0),$A$501,INDEX(Техника!$H$1:$ABO$500,L$2,0),"З")</f>
        <v>0</v>
      </c>
      <c r="M506" s="50">
        <f>SUMIFS(INDEX(Техника!$F$1:$ABM$500,M$2,0),Техника!$F$4:$ABM$4,"Часы",INDEX(Техника!$G$1:$ABN$500,M$2,0),$A$501,INDEX(Техника!$H$1:$ABO$500,M$2,0),"З")</f>
        <v>0</v>
      </c>
      <c r="N506" s="50">
        <f>SUMIFS(INDEX(Техника!$F$1:$ABM$500,N$2,0),Техника!$F$4:$ABM$4,"Часы",INDEX(Техника!$G$1:$ABN$500,N$2,0),$A$501,INDEX(Техника!$H$1:$ABO$500,N$2,0),"З")</f>
        <v>0</v>
      </c>
      <c r="O506" s="50">
        <f>SUMIFS(INDEX(Техника!$F$1:$ABM$500,O$2,0),Техника!$F$4:$ABM$4,"Часы",INDEX(Техника!$G$1:$ABN$500,O$2,0),$A$501,INDEX(Техника!$H$1:$ABO$500,O$2,0),"З")</f>
        <v>0</v>
      </c>
      <c r="P506" s="50">
        <f>SUMIFS(INDEX(Техника!$F$1:$ABM$500,P$2,0),Техника!$F$4:$ABM$4,"Часы",INDEX(Техника!$G$1:$ABN$500,P$2,0),$A$501,INDEX(Техника!$H$1:$ABO$500,P$2,0),"З")</f>
        <v>0</v>
      </c>
      <c r="Q506" s="50">
        <f>SUMIFS(INDEX(Техника!$F$1:$ABM$500,Q$2,0),Техника!$F$4:$ABM$4,"Часы",INDEX(Техника!$G$1:$ABN$500,Q$2,0),$A$501,INDEX(Техника!$H$1:$ABO$500,Q$2,0),"З")</f>
        <v>0</v>
      </c>
      <c r="R506" s="50">
        <f>SUMIFS(INDEX(Техника!$F$1:$ABM$500,R$2,0),Техника!$F$4:$ABM$4,"Часы",INDEX(Техника!$G$1:$ABN$500,R$2,0),$A$501,INDEX(Техника!$H$1:$ABO$500,R$2,0),"З")</f>
        <v>0</v>
      </c>
      <c r="S506" s="50">
        <f>SUMIFS(INDEX(Техника!$F$1:$ABM$500,S$2,0),Техника!$F$4:$ABM$4,"Часы",INDEX(Техника!$G$1:$ABN$500,S$2,0),$A$501,INDEX(Техника!$H$1:$ABO$500,S$2,0),"З")</f>
        <v>0</v>
      </c>
      <c r="T506" s="50">
        <f>SUMIFS(INDEX(Техника!$F$1:$ABM$500,T$2,0),Техника!$F$4:$ABM$4,"Часы",INDEX(Техника!$G$1:$ABN$500,T$2,0),$A$501,INDEX(Техника!$H$1:$ABO$500,T$2,0),"З")</f>
        <v>0</v>
      </c>
      <c r="U506" s="50">
        <f>SUMIFS(INDEX(Техника!$F$1:$ABM$500,U$2,0),Техника!$F$4:$ABM$4,"Часы",INDEX(Техника!$G$1:$ABN$500,U$2,0),$A$501,INDEX(Техника!$H$1:$ABO$500,U$2,0),"З")</f>
        <v>0</v>
      </c>
      <c r="V506" s="50">
        <f>SUMIFS(INDEX(Техника!$F$1:$ABM$500,V$2,0),Техника!$F$4:$ABM$4,"Часы",INDEX(Техника!$G$1:$ABN$500,V$2,0),$A$501,INDEX(Техника!$H$1:$ABO$500,V$2,0),"З")</f>
        <v>0</v>
      </c>
      <c r="W506" s="50">
        <f>SUMIFS(INDEX(Техника!$F$1:$ABM$500,W$2,0),Техника!$F$4:$ABM$4,"Часы",INDEX(Техника!$G$1:$ABN$500,W$2,0),$A$501,INDEX(Техника!$H$1:$ABO$500,W$2,0),"З")</f>
        <v>0</v>
      </c>
      <c r="X506" s="50">
        <f>SUMIFS(INDEX(Техника!$F$1:$ABM$500,X$2,0),Техника!$F$4:$ABM$4,"Часы",INDEX(Техника!$G$1:$ABN$500,X$2,0),$A$501,INDEX(Техника!$H$1:$ABO$500,X$2,0),"З")</f>
        <v>0</v>
      </c>
      <c r="Y506" s="50">
        <f>SUMIFS(INDEX(Техника!$F$1:$ABM$500,Y$2,0),Техника!$F$4:$ABM$4,"Часы",INDEX(Техника!$G$1:$ABN$500,Y$2,0),$A$501,INDEX(Техника!$H$1:$ABO$500,Y$2,0),"З")</f>
        <v>0</v>
      </c>
      <c r="Z506" s="50">
        <f>SUMIFS(INDEX(Техника!$F$1:$ABM$500,Z$2,0),Техника!$F$4:$ABM$4,"Часы",INDEX(Техника!$G$1:$ABN$500,Z$2,0),$A$501,INDEX(Техника!$H$1:$ABO$500,Z$2,0),"З")</f>
        <v>0</v>
      </c>
      <c r="AA506" s="50">
        <f>SUMIFS(INDEX(Техника!$F$1:$ABM$500,AA$2,0),Техника!$F$4:$ABM$4,"Часы",INDEX(Техника!$G$1:$ABN$500,AA$2,0),$A$501,INDEX(Техника!$H$1:$ABO$500,AA$2,0),"З")</f>
        <v>0</v>
      </c>
      <c r="AB506" s="50">
        <f>SUMIFS(INDEX(Техника!$F$1:$ABM$500,AB$2,0),Техника!$F$4:$ABM$4,"Часы",INDEX(Техника!$G$1:$ABN$500,AB$2,0),$A$501,INDEX(Техника!$H$1:$ABO$500,AB$2,0),"З")</f>
        <v>0</v>
      </c>
    </row>
    <row r="507" spans="1:28" ht="7.95" customHeight="1" x14ac:dyDescent="0.3">
      <c r="A507" s="38"/>
      <c r="B507" s="39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</row>
    <row r="508" spans="1:28" ht="25.05" customHeight="1" collapsed="1" x14ac:dyDescent="0.3">
      <c r="A508" s="32">
        <v>73</v>
      </c>
      <c r="B508" s="32" t="s">
        <v>74</v>
      </c>
      <c r="C508" s="49">
        <f>SUM(C509:C513)</f>
        <v>0</v>
      </c>
      <c r="D508" s="49">
        <f>SUM(D509:D513)</f>
        <v>0</v>
      </c>
      <c r="E508" s="49">
        <f>SUM(E509:E513)</f>
        <v>0</v>
      </c>
      <c r="F508" s="49">
        <f>SUM(F509:F513)</f>
        <v>0</v>
      </c>
      <c r="G508" s="49">
        <f>SUM(G509:G513)</f>
        <v>0</v>
      </c>
      <c r="H508" s="49">
        <f>SUM(H509:H513)</f>
        <v>0</v>
      </c>
      <c r="I508" s="49">
        <f>SUM(I509:I513)</f>
        <v>0</v>
      </c>
      <c r="J508" s="49">
        <f>SUM(J509:J513)</f>
        <v>0</v>
      </c>
      <c r="K508" s="49">
        <f>SUM(K509:K513)</f>
        <v>0</v>
      </c>
      <c r="L508" s="49">
        <f>SUM(L509:L513)</f>
        <v>0</v>
      </c>
      <c r="M508" s="49">
        <f>SUM(M509:M513)</f>
        <v>0</v>
      </c>
      <c r="N508" s="49">
        <f>SUM(N509:N513)</f>
        <v>0</v>
      </c>
      <c r="O508" s="49">
        <f>SUM(O509:O513)</f>
        <v>0</v>
      </c>
      <c r="P508" s="49">
        <f>SUM(P509:P513)</f>
        <v>0</v>
      </c>
      <c r="Q508" s="49">
        <f>SUM(Q509:Q513)</f>
        <v>0</v>
      </c>
      <c r="R508" s="49">
        <f>SUM(R509:R513)</f>
        <v>0</v>
      </c>
      <c r="S508" s="49">
        <f>SUM(S509:S513)</f>
        <v>0</v>
      </c>
      <c r="T508" s="49">
        <f>SUM(T509:T513)</f>
        <v>0</v>
      </c>
      <c r="U508" s="49">
        <f>SUM(U509:U513)</f>
        <v>0</v>
      </c>
      <c r="V508" s="49">
        <f>SUM(V509:V513)</f>
        <v>0</v>
      </c>
      <c r="W508" s="49">
        <f>SUM(W509:W513)</f>
        <v>0</v>
      </c>
      <c r="X508" s="49">
        <f>SUM(X509:X513)</f>
        <v>0</v>
      </c>
      <c r="Y508" s="49">
        <f>SUM(Y509:Y513)</f>
        <v>0</v>
      </c>
      <c r="Z508" s="49">
        <f>SUM(Z509:Z513)</f>
        <v>0</v>
      </c>
      <c r="AA508" s="49">
        <f>SUM(AA509:AA513)</f>
        <v>0</v>
      </c>
      <c r="AB508" s="49">
        <f>SUM(AB509:AB513)</f>
        <v>0</v>
      </c>
    </row>
    <row r="509" spans="1:28" hidden="1" outlineLevel="1" x14ac:dyDescent="0.3">
      <c r="A509" s="33" t="s">
        <v>246</v>
      </c>
      <c r="B509" s="34" t="s">
        <v>274</v>
      </c>
      <c r="C509" s="50">
        <f>SUMIFS(INDEX(Техника!$F$1:$ABM$500,C$2,0),Техника!$F$4:$ABM$4,"Часы",INDEX(Техника!$G$1:$ABN$500,C$2,0),$A$508,INDEX(Техника!$H$1:$ABO$500,C$2,0),"М")</f>
        <v>0</v>
      </c>
      <c r="D509" s="50">
        <f>SUMIFS(INDEX(Техника!$F$1:$ABM$500,D$2,0),Техника!$F$4:$ABM$4,"Часы",INDEX(Техника!$G$1:$ABN$500,D$2,0),$A$508,INDEX(Техника!$H$1:$ABO$500,D$2,0),"М")</f>
        <v>0</v>
      </c>
      <c r="E509" s="50">
        <f>SUMIFS(INDEX(Техника!$F$1:$ABM$500,E$2,0),Техника!$F$4:$ABM$4,"Часы",INDEX(Техника!$G$1:$ABN$500,E$2,0),$A$508,INDEX(Техника!$H$1:$ABO$500,E$2,0),"М")</f>
        <v>0</v>
      </c>
      <c r="F509" s="50">
        <f>SUMIFS(INDEX(Техника!$F$1:$ABM$500,F$2,0),Техника!$F$4:$ABM$4,"Часы",INDEX(Техника!$G$1:$ABN$500,F$2,0),$A$508,INDEX(Техника!$H$1:$ABO$500,F$2,0),"М")</f>
        <v>0</v>
      </c>
      <c r="G509" s="50">
        <f>SUMIFS(INDEX(Техника!$F$1:$ABM$500,G$2,0),Техника!$F$4:$ABM$4,"Часы",INDEX(Техника!$G$1:$ABN$500,G$2,0),$A$508,INDEX(Техника!$H$1:$ABO$500,G$2,0),"М")</f>
        <v>0</v>
      </c>
      <c r="H509" s="50">
        <f>SUMIFS(INDEX(Техника!$F$1:$ABM$500,H$2,0),Техника!$F$4:$ABM$4,"Часы",INDEX(Техника!$G$1:$ABN$500,H$2,0),$A$508,INDEX(Техника!$H$1:$ABO$500,H$2,0),"М")</f>
        <v>0</v>
      </c>
      <c r="I509" s="50">
        <f>SUMIFS(INDEX(Техника!$F$1:$ABM$500,I$2,0),Техника!$F$4:$ABM$4,"Часы",INDEX(Техника!$G$1:$ABN$500,I$2,0),$A$508,INDEX(Техника!$H$1:$ABO$500,I$2,0),"М")</f>
        <v>0</v>
      </c>
      <c r="J509" s="50">
        <f>SUMIFS(INDEX(Техника!$F$1:$ABM$500,J$2,0),Техника!$F$4:$ABM$4,"Часы",INDEX(Техника!$G$1:$ABN$500,J$2,0),$A$508,INDEX(Техника!$H$1:$ABO$500,J$2,0),"М")</f>
        <v>0</v>
      </c>
      <c r="K509" s="50">
        <f>SUMIFS(INDEX(Техника!$F$1:$ABM$500,K$2,0),Техника!$F$4:$ABM$4,"Часы",INDEX(Техника!$G$1:$ABN$500,K$2,0),$A$508,INDEX(Техника!$H$1:$ABO$500,K$2,0),"М")</f>
        <v>0</v>
      </c>
      <c r="L509" s="50">
        <f>SUMIFS(INDEX(Техника!$F$1:$ABM$500,L$2,0),Техника!$F$4:$ABM$4,"Часы",INDEX(Техника!$G$1:$ABN$500,L$2,0),$A$508,INDEX(Техника!$H$1:$ABO$500,L$2,0),"М")</f>
        <v>0</v>
      </c>
      <c r="M509" s="50">
        <f>SUMIFS(INDEX(Техника!$F$1:$ABM$500,M$2,0),Техника!$F$4:$ABM$4,"Часы",INDEX(Техника!$G$1:$ABN$500,M$2,0),$A$508,INDEX(Техника!$H$1:$ABO$500,M$2,0),"М")</f>
        <v>0</v>
      </c>
      <c r="N509" s="50">
        <f>SUMIFS(INDEX(Техника!$F$1:$ABM$500,N$2,0),Техника!$F$4:$ABM$4,"Часы",INDEX(Техника!$G$1:$ABN$500,N$2,0),$A$508,INDEX(Техника!$H$1:$ABO$500,N$2,0),"М")</f>
        <v>0</v>
      </c>
      <c r="O509" s="50">
        <f>SUMIFS(INDEX(Техника!$F$1:$ABM$500,O$2,0),Техника!$F$4:$ABM$4,"Часы",INDEX(Техника!$G$1:$ABN$500,O$2,0),$A$508,INDEX(Техника!$H$1:$ABO$500,O$2,0),"М")</f>
        <v>0</v>
      </c>
      <c r="P509" s="50">
        <f>SUMIFS(INDEX(Техника!$F$1:$ABM$500,P$2,0),Техника!$F$4:$ABM$4,"Часы",INDEX(Техника!$G$1:$ABN$500,P$2,0),$A$508,INDEX(Техника!$H$1:$ABO$500,P$2,0),"М")</f>
        <v>0</v>
      </c>
      <c r="Q509" s="50">
        <f>SUMIFS(INDEX(Техника!$F$1:$ABM$500,Q$2,0),Техника!$F$4:$ABM$4,"Часы",INDEX(Техника!$G$1:$ABN$500,Q$2,0),$A$508,INDEX(Техника!$H$1:$ABO$500,Q$2,0),"М")</f>
        <v>0</v>
      </c>
      <c r="R509" s="50">
        <f>SUMIFS(INDEX(Техника!$F$1:$ABM$500,R$2,0),Техника!$F$4:$ABM$4,"Часы",INDEX(Техника!$G$1:$ABN$500,R$2,0),$A$508,INDEX(Техника!$H$1:$ABO$500,R$2,0),"М")</f>
        <v>0</v>
      </c>
      <c r="S509" s="50">
        <f>SUMIFS(INDEX(Техника!$F$1:$ABM$500,S$2,0),Техника!$F$4:$ABM$4,"Часы",INDEX(Техника!$G$1:$ABN$500,S$2,0),$A$508,INDEX(Техника!$H$1:$ABO$500,S$2,0),"М")</f>
        <v>0</v>
      </c>
      <c r="T509" s="50">
        <f>SUMIFS(INDEX(Техника!$F$1:$ABM$500,T$2,0),Техника!$F$4:$ABM$4,"Часы",INDEX(Техника!$G$1:$ABN$500,T$2,0),$A$508,INDEX(Техника!$H$1:$ABO$500,T$2,0),"М")</f>
        <v>0</v>
      </c>
      <c r="U509" s="50">
        <f>SUMIFS(INDEX(Техника!$F$1:$ABM$500,U$2,0),Техника!$F$4:$ABM$4,"Часы",INDEX(Техника!$G$1:$ABN$500,U$2,0),$A$508,INDEX(Техника!$H$1:$ABO$500,U$2,0),"М")</f>
        <v>0</v>
      </c>
      <c r="V509" s="50">
        <f>SUMIFS(INDEX(Техника!$F$1:$ABM$500,V$2,0),Техника!$F$4:$ABM$4,"Часы",INDEX(Техника!$G$1:$ABN$500,V$2,0),$A$508,INDEX(Техника!$H$1:$ABO$500,V$2,0),"М")</f>
        <v>0</v>
      </c>
      <c r="W509" s="50">
        <f>SUMIFS(INDEX(Техника!$F$1:$ABM$500,W$2,0),Техника!$F$4:$ABM$4,"Часы",INDEX(Техника!$G$1:$ABN$500,W$2,0),$A$508,INDEX(Техника!$H$1:$ABO$500,W$2,0),"М")</f>
        <v>0</v>
      </c>
      <c r="X509" s="50">
        <f>SUMIFS(INDEX(Техника!$F$1:$ABM$500,X$2,0),Техника!$F$4:$ABM$4,"Часы",INDEX(Техника!$G$1:$ABN$500,X$2,0),$A$508,INDEX(Техника!$H$1:$ABO$500,X$2,0),"М")</f>
        <v>0</v>
      </c>
      <c r="Y509" s="50">
        <f>SUMIFS(INDEX(Техника!$F$1:$ABM$500,Y$2,0),Техника!$F$4:$ABM$4,"Часы",INDEX(Техника!$G$1:$ABN$500,Y$2,0),$A$508,INDEX(Техника!$H$1:$ABO$500,Y$2,0),"М")</f>
        <v>0</v>
      </c>
      <c r="Z509" s="50">
        <f>SUMIFS(INDEX(Техника!$F$1:$ABM$500,Z$2,0),Техника!$F$4:$ABM$4,"Часы",INDEX(Техника!$G$1:$ABN$500,Z$2,0),$A$508,INDEX(Техника!$H$1:$ABO$500,Z$2,0),"М")</f>
        <v>0</v>
      </c>
      <c r="AA509" s="50">
        <f>SUMIFS(INDEX(Техника!$F$1:$ABM$500,AA$2,0),Техника!$F$4:$ABM$4,"Часы",INDEX(Техника!$G$1:$ABN$500,AA$2,0),$A$508,INDEX(Техника!$H$1:$ABO$500,AA$2,0),"М")</f>
        <v>0</v>
      </c>
      <c r="AB509" s="50">
        <f>SUMIFS(INDEX(Техника!$F$1:$ABM$500,AB$2,0),Техника!$F$4:$ABM$4,"Часы",INDEX(Техника!$G$1:$ABN$500,AB$2,0),$A$508,INDEX(Техника!$H$1:$ABO$500,AB$2,0),"М")</f>
        <v>0</v>
      </c>
    </row>
    <row r="510" spans="1:28" hidden="1" outlineLevel="1" x14ac:dyDescent="0.3">
      <c r="A510" s="33" t="s">
        <v>244</v>
      </c>
      <c r="B510" s="34" t="s">
        <v>275</v>
      </c>
      <c r="C510" s="50">
        <f>SUMIFS(INDEX(Техника!$F$1:$ABM$500,C$2,0),Техника!$F$4:$ABM$4,"Часы",INDEX(Техника!$G$1:$ABN$500,C$2,0),$A$508,INDEX(Техника!$H$1:$ABO$500,C$2,0),"Д")</f>
        <v>0</v>
      </c>
      <c r="D510" s="50">
        <f>SUMIFS(INDEX(Техника!$F$1:$ABM$500,D$2,0),Техника!$F$4:$ABM$4,"Часы",INDEX(Техника!$G$1:$ABN$500,D$2,0),$A$508,INDEX(Техника!$H$1:$ABO$500,D$2,0),"Д")</f>
        <v>0</v>
      </c>
      <c r="E510" s="50">
        <f>SUMIFS(INDEX(Техника!$F$1:$ABM$500,E$2,0),Техника!$F$4:$ABM$4,"Часы",INDEX(Техника!$G$1:$ABN$500,E$2,0),$A$508,INDEX(Техника!$H$1:$ABO$500,E$2,0),"Д")</f>
        <v>0</v>
      </c>
      <c r="F510" s="50">
        <f>SUMIFS(INDEX(Техника!$F$1:$ABM$500,F$2,0),Техника!$F$4:$ABM$4,"Часы",INDEX(Техника!$G$1:$ABN$500,F$2,0),$A$508,INDEX(Техника!$H$1:$ABO$500,F$2,0),"Д")</f>
        <v>0</v>
      </c>
      <c r="G510" s="50">
        <f>SUMIFS(INDEX(Техника!$F$1:$ABM$500,G$2,0),Техника!$F$4:$ABM$4,"Часы",INDEX(Техника!$G$1:$ABN$500,G$2,0),$A$508,INDEX(Техника!$H$1:$ABO$500,G$2,0),"Д")</f>
        <v>0</v>
      </c>
      <c r="H510" s="50">
        <f>SUMIFS(INDEX(Техника!$F$1:$ABM$500,H$2,0),Техника!$F$4:$ABM$4,"Часы",INDEX(Техника!$G$1:$ABN$500,H$2,0),$A$508,INDEX(Техника!$H$1:$ABO$500,H$2,0),"Д")</f>
        <v>0</v>
      </c>
      <c r="I510" s="50">
        <f>SUMIFS(INDEX(Техника!$F$1:$ABM$500,I$2,0),Техника!$F$4:$ABM$4,"Часы",INDEX(Техника!$G$1:$ABN$500,I$2,0),$A$508,INDEX(Техника!$H$1:$ABO$500,I$2,0),"Д")</f>
        <v>0</v>
      </c>
      <c r="J510" s="50">
        <f>SUMIFS(INDEX(Техника!$F$1:$ABM$500,J$2,0),Техника!$F$4:$ABM$4,"Часы",INDEX(Техника!$G$1:$ABN$500,J$2,0),$A$508,INDEX(Техника!$H$1:$ABO$500,J$2,0),"Д")</f>
        <v>0</v>
      </c>
      <c r="K510" s="50">
        <f>SUMIFS(INDEX(Техника!$F$1:$ABM$500,K$2,0),Техника!$F$4:$ABM$4,"Часы",INDEX(Техника!$G$1:$ABN$500,K$2,0),$A$508,INDEX(Техника!$H$1:$ABO$500,K$2,0),"Д")</f>
        <v>0</v>
      </c>
      <c r="L510" s="50">
        <f>SUMIFS(INDEX(Техника!$F$1:$ABM$500,L$2,0),Техника!$F$4:$ABM$4,"Часы",INDEX(Техника!$G$1:$ABN$500,L$2,0),$A$508,INDEX(Техника!$H$1:$ABO$500,L$2,0),"Д")</f>
        <v>0</v>
      </c>
      <c r="M510" s="50">
        <f>SUMIFS(INDEX(Техника!$F$1:$ABM$500,M$2,0),Техника!$F$4:$ABM$4,"Часы",INDEX(Техника!$G$1:$ABN$500,M$2,0),$A$508,INDEX(Техника!$H$1:$ABO$500,M$2,0),"Д")</f>
        <v>0</v>
      </c>
      <c r="N510" s="50">
        <f>SUMIFS(INDEX(Техника!$F$1:$ABM$500,N$2,0),Техника!$F$4:$ABM$4,"Часы",INDEX(Техника!$G$1:$ABN$500,N$2,0),$A$508,INDEX(Техника!$H$1:$ABO$500,N$2,0),"Д")</f>
        <v>0</v>
      </c>
      <c r="O510" s="50">
        <f>SUMIFS(INDEX(Техника!$F$1:$ABM$500,O$2,0),Техника!$F$4:$ABM$4,"Часы",INDEX(Техника!$G$1:$ABN$500,O$2,0),$A$508,INDEX(Техника!$H$1:$ABO$500,O$2,0),"Д")</f>
        <v>0</v>
      </c>
      <c r="P510" s="50">
        <f>SUMIFS(INDEX(Техника!$F$1:$ABM$500,P$2,0),Техника!$F$4:$ABM$4,"Часы",INDEX(Техника!$G$1:$ABN$500,P$2,0),$A$508,INDEX(Техника!$H$1:$ABO$500,P$2,0),"Д")</f>
        <v>0</v>
      </c>
      <c r="Q510" s="50">
        <f>SUMIFS(INDEX(Техника!$F$1:$ABM$500,Q$2,0),Техника!$F$4:$ABM$4,"Часы",INDEX(Техника!$G$1:$ABN$500,Q$2,0),$A$508,INDEX(Техника!$H$1:$ABO$500,Q$2,0),"Д")</f>
        <v>0</v>
      </c>
      <c r="R510" s="50">
        <f>SUMIFS(INDEX(Техника!$F$1:$ABM$500,R$2,0),Техника!$F$4:$ABM$4,"Часы",INDEX(Техника!$G$1:$ABN$500,R$2,0),$A$508,INDEX(Техника!$H$1:$ABO$500,R$2,0),"Д")</f>
        <v>0</v>
      </c>
      <c r="S510" s="50">
        <f>SUMIFS(INDEX(Техника!$F$1:$ABM$500,S$2,0),Техника!$F$4:$ABM$4,"Часы",INDEX(Техника!$G$1:$ABN$500,S$2,0),$A$508,INDEX(Техника!$H$1:$ABO$500,S$2,0),"Д")</f>
        <v>0</v>
      </c>
      <c r="T510" s="50">
        <f>SUMIFS(INDEX(Техника!$F$1:$ABM$500,T$2,0),Техника!$F$4:$ABM$4,"Часы",INDEX(Техника!$G$1:$ABN$500,T$2,0),$A$508,INDEX(Техника!$H$1:$ABO$500,T$2,0),"Д")</f>
        <v>0</v>
      </c>
      <c r="U510" s="50">
        <f>SUMIFS(INDEX(Техника!$F$1:$ABM$500,U$2,0),Техника!$F$4:$ABM$4,"Часы",INDEX(Техника!$G$1:$ABN$500,U$2,0),$A$508,INDEX(Техника!$H$1:$ABO$500,U$2,0),"Д")</f>
        <v>0</v>
      </c>
      <c r="V510" s="50">
        <f>SUMIFS(INDEX(Техника!$F$1:$ABM$500,V$2,0),Техника!$F$4:$ABM$4,"Часы",INDEX(Техника!$G$1:$ABN$500,V$2,0),$A$508,INDEX(Техника!$H$1:$ABO$500,V$2,0),"Д")</f>
        <v>0</v>
      </c>
      <c r="W510" s="50">
        <f>SUMIFS(INDEX(Техника!$F$1:$ABM$500,W$2,0),Техника!$F$4:$ABM$4,"Часы",INDEX(Техника!$G$1:$ABN$500,W$2,0),$A$508,INDEX(Техника!$H$1:$ABO$500,W$2,0),"Д")</f>
        <v>0</v>
      </c>
      <c r="X510" s="50">
        <f>SUMIFS(INDEX(Техника!$F$1:$ABM$500,X$2,0),Техника!$F$4:$ABM$4,"Часы",INDEX(Техника!$G$1:$ABN$500,X$2,0),$A$508,INDEX(Техника!$H$1:$ABO$500,X$2,0),"Д")</f>
        <v>0</v>
      </c>
      <c r="Y510" s="50">
        <f>SUMIFS(INDEX(Техника!$F$1:$ABM$500,Y$2,0),Техника!$F$4:$ABM$4,"Часы",INDEX(Техника!$G$1:$ABN$500,Y$2,0),$A$508,INDEX(Техника!$H$1:$ABO$500,Y$2,0),"Д")</f>
        <v>0</v>
      </c>
      <c r="Z510" s="50">
        <f>SUMIFS(INDEX(Техника!$F$1:$ABM$500,Z$2,0),Техника!$F$4:$ABM$4,"Часы",INDEX(Техника!$G$1:$ABN$500,Z$2,0),$A$508,INDEX(Техника!$H$1:$ABO$500,Z$2,0),"Д")</f>
        <v>0</v>
      </c>
      <c r="AA510" s="50">
        <f>SUMIFS(INDEX(Техника!$F$1:$ABM$500,AA$2,0),Техника!$F$4:$ABM$4,"Часы",INDEX(Техника!$G$1:$ABN$500,AA$2,0),$A$508,INDEX(Техника!$H$1:$ABO$500,AA$2,0),"Д")</f>
        <v>0</v>
      </c>
      <c r="AB510" s="50">
        <f>SUMIFS(INDEX(Техника!$F$1:$ABM$500,AB$2,0),Техника!$F$4:$ABM$4,"Часы",INDEX(Техника!$G$1:$ABN$500,AB$2,0),$A$508,INDEX(Техника!$H$1:$ABO$500,AB$2,0),"Д")</f>
        <v>0</v>
      </c>
    </row>
    <row r="511" spans="1:28" hidden="1" outlineLevel="1" x14ac:dyDescent="0.3">
      <c r="A511" s="33" t="s">
        <v>276</v>
      </c>
      <c r="B511" s="34" t="s">
        <v>277</v>
      </c>
      <c r="C511" s="50">
        <f>SUMIFS(INDEX(Техника!$F$1:$ABM$500,C$2,0),Техника!$F$4:$ABM$4,"Часы",INDEX(Техника!$G$1:$ABN$500,C$2,0),$A$508,INDEX(Техника!$H$1:$ABO$500,C$2,0),"П")</f>
        <v>0</v>
      </c>
      <c r="D511" s="50">
        <f>SUMIFS(INDEX(Техника!$F$1:$ABM$500,D$2,0),Техника!$F$4:$ABM$4,"Часы",INDEX(Техника!$G$1:$ABN$500,D$2,0),$A$508,INDEX(Техника!$H$1:$ABO$500,D$2,0),"П")</f>
        <v>0</v>
      </c>
      <c r="E511" s="50">
        <f>SUMIFS(INDEX(Техника!$F$1:$ABM$500,E$2,0),Техника!$F$4:$ABM$4,"Часы",INDEX(Техника!$G$1:$ABN$500,E$2,0),$A$508,INDEX(Техника!$H$1:$ABO$500,E$2,0),"П")</f>
        <v>0</v>
      </c>
      <c r="F511" s="50">
        <f>SUMIFS(INDEX(Техника!$F$1:$ABM$500,F$2,0),Техника!$F$4:$ABM$4,"Часы",INDEX(Техника!$G$1:$ABN$500,F$2,0),$A$508,INDEX(Техника!$H$1:$ABO$500,F$2,0),"П")</f>
        <v>0</v>
      </c>
      <c r="G511" s="50">
        <f>SUMIFS(INDEX(Техника!$F$1:$ABM$500,G$2,0),Техника!$F$4:$ABM$4,"Часы",INDEX(Техника!$G$1:$ABN$500,G$2,0),$A$508,INDEX(Техника!$H$1:$ABO$500,G$2,0),"П")</f>
        <v>0</v>
      </c>
      <c r="H511" s="50">
        <f>SUMIFS(INDEX(Техника!$F$1:$ABM$500,H$2,0),Техника!$F$4:$ABM$4,"Часы",INDEX(Техника!$G$1:$ABN$500,H$2,0),$A$508,INDEX(Техника!$H$1:$ABO$500,H$2,0),"П")</f>
        <v>0</v>
      </c>
      <c r="I511" s="50">
        <f>SUMIFS(INDEX(Техника!$F$1:$ABM$500,I$2,0),Техника!$F$4:$ABM$4,"Часы",INDEX(Техника!$G$1:$ABN$500,I$2,0),$A$508,INDEX(Техника!$H$1:$ABO$500,I$2,0),"П")</f>
        <v>0</v>
      </c>
      <c r="J511" s="50">
        <f>SUMIFS(INDEX(Техника!$F$1:$ABM$500,J$2,0),Техника!$F$4:$ABM$4,"Часы",INDEX(Техника!$G$1:$ABN$500,J$2,0),$A$508,INDEX(Техника!$H$1:$ABO$500,J$2,0),"П")</f>
        <v>0</v>
      </c>
      <c r="K511" s="50">
        <f>SUMIFS(INDEX(Техника!$F$1:$ABM$500,K$2,0),Техника!$F$4:$ABM$4,"Часы",INDEX(Техника!$G$1:$ABN$500,K$2,0),$A$508,INDEX(Техника!$H$1:$ABO$500,K$2,0),"П")</f>
        <v>0</v>
      </c>
      <c r="L511" s="50">
        <f>SUMIFS(INDEX(Техника!$F$1:$ABM$500,L$2,0),Техника!$F$4:$ABM$4,"Часы",INDEX(Техника!$G$1:$ABN$500,L$2,0),$A$508,INDEX(Техника!$H$1:$ABO$500,L$2,0),"П")</f>
        <v>0</v>
      </c>
      <c r="M511" s="50">
        <f>SUMIFS(INDEX(Техника!$F$1:$ABM$500,M$2,0),Техника!$F$4:$ABM$4,"Часы",INDEX(Техника!$G$1:$ABN$500,M$2,0),$A$508,INDEX(Техника!$H$1:$ABO$500,M$2,0),"П")</f>
        <v>0</v>
      </c>
      <c r="N511" s="50">
        <f>SUMIFS(INDEX(Техника!$F$1:$ABM$500,N$2,0),Техника!$F$4:$ABM$4,"Часы",INDEX(Техника!$G$1:$ABN$500,N$2,0),$A$508,INDEX(Техника!$H$1:$ABO$500,N$2,0),"П")</f>
        <v>0</v>
      </c>
      <c r="O511" s="50">
        <f>SUMIFS(INDEX(Техника!$F$1:$ABM$500,O$2,0),Техника!$F$4:$ABM$4,"Часы",INDEX(Техника!$G$1:$ABN$500,O$2,0),$A$508,INDEX(Техника!$H$1:$ABO$500,O$2,0),"П")</f>
        <v>0</v>
      </c>
      <c r="P511" s="50">
        <f>SUMIFS(INDEX(Техника!$F$1:$ABM$500,P$2,0),Техника!$F$4:$ABM$4,"Часы",INDEX(Техника!$G$1:$ABN$500,P$2,0),$A$508,INDEX(Техника!$H$1:$ABO$500,P$2,0),"П")</f>
        <v>0</v>
      </c>
      <c r="Q511" s="50">
        <f>SUMIFS(INDEX(Техника!$F$1:$ABM$500,Q$2,0),Техника!$F$4:$ABM$4,"Часы",INDEX(Техника!$G$1:$ABN$500,Q$2,0),$A$508,INDEX(Техника!$H$1:$ABO$500,Q$2,0),"П")</f>
        <v>0</v>
      </c>
      <c r="R511" s="50">
        <f>SUMIFS(INDEX(Техника!$F$1:$ABM$500,R$2,0),Техника!$F$4:$ABM$4,"Часы",INDEX(Техника!$G$1:$ABN$500,R$2,0),$A$508,INDEX(Техника!$H$1:$ABO$500,R$2,0),"П")</f>
        <v>0</v>
      </c>
      <c r="S511" s="50">
        <f>SUMIFS(INDEX(Техника!$F$1:$ABM$500,S$2,0),Техника!$F$4:$ABM$4,"Часы",INDEX(Техника!$G$1:$ABN$500,S$2,0),$A$508,INDEX(Техника!$H$1:$ABO$500,S$2,0),"П")</f>
        <v>0</v>
      </c>
      <c r="T511" s="50">
        <f>SUMIFS(INDEX(Техника!$F$1:$ABM$500,T$2,0),Техника!$F$4:$ABM$4,"Часы",INDEX(Техника!$G$1:$ABN$500,T$2,0),$A$508,INDEX(Техника!$H$1:$ABO$500,T$2,0),"П")</f>
        <v>0</v>
      </c>
      <c r="U511" s="50">
        <f>SUMIFS(INDEX(Техника!$F$1:$ABM$500,U$2,0),Техника!$F$4:$ABM$4,"Часы",INDEX(Техника!$G$1:$ABN$500,U$2,0),$A$508,INDEX(Техника!$H$1:$ABO$500,U$2,0),"П")</f>
        <v>0</v>
      </c>
      <c r="V511" s="50">
        <f>SUMIFS(INDEX(Техника!$F$1:$ABM$500,V$2,0),Техника!$F$4:$ABM$4,"Часы",INDEX(Техника!$G$1:$ABN$500,V$2,0),$A$508,INDEX(Техника!$H$1:$ABO$500,V$2,0),"П")</f>
        <v>0</v>
      </c>
      <c r="W511" s="50">
        <f>SUMIFS(INDEX(Техника!$F$1:$ABM$500,W$2,0),Техника!$F$4:$ABM$4,"Часы",INDEX(Техника!$G$1:$ABN$500,W$2,0),$A$508,INDEX(Техника!$H$1:$ABO$500,W$2,0),"П")</f>
        <v>0</v>
      </c>
      <c r="X511" s="50">
        <f>SUMIFS(INDEX(Техника!$F$1:$ABM$500,X$2,0),Техника!$F$4:$ABM$4,"Часы",INDEX(Техника!$G$1:$ABN$500,X$2,0),$A$508,INDEX(Техника!$H$1:$ABO$500,X$2,0),"П")</f>
        <v>0</v>
      </c>
      <c r="Y511" s="50">
        <f>SUMIFS(INDEX(Техника!$F$1:$ABM$500,Y$2,0),Техника!$F$4:$ABM$4,"Часы",INDEX(Техника!$G$1:$ABN$500,Y$2,0),$A$508,INDEX(Техника!$H$1:$ABO$500,Y$2,0),"П")</f>
        <v>0</v>
      </c>
      <c r="Z511" s="50">
        <f>SUMIFS(INDEX(Техника!$F$1:$ABM$500,Z$2,0),Техника!$F$4:$ABM$4,"Часы",INDEX(Техника!$G$1:$ABN$500,Z$2,0),$A$508,INDEX(Техника!$H$1:$ABO$500,Z$2,0),"П")</f>
        <v>0</v>
      </c>
      <c r="AA511" s="50">
        <f>SUMIFS(INDEX(Техника!$F$1:$ABM$500,AA$2,0),Техника!$F$4:$ABM$4,"Часы",INDEX(Техника!$G$1:$ABN$500,AA$2,0),$A$508,INDEX(Техника!$H$1:$ABO$500,AA$2,0),"П")</f>
        <v>0</v>
      </c>
      <c r="AB511" s="50">
        <f>SUMIFS(INDEX(Техника!$F$1:$ABM$500,AB$2,0),Техника!$F$4:$ABM$4,"Часы",INDEX(Техника!$G$1:$ABN$500,AB$2,0),$A$508,INDEX(Техника!$H$1:$ABO$500,AB$2,0),"П")</f>
        <v>0</v>
      </c>
    </row>
    <row r="512" spans="1:28" hidden="1" outlineLevel="1" x14ac:dyDescent="0.3">
      <c r="A512" s="33" t="s">
        <v>243</v>
      </c>
      <c r="B512" s="34" t="s">
        <v>278</v>
      </c>
      <c r="C512" s="50">
        <f>SUMIFS(INDEX(Техника!$F$1:$ABM$500,C$2,0),Техника!$F$4:$ABM$4,"Часы",INDEX(Техника!$G$1:$ABN$500,C$2,0),$A$508,INDEX(Техника!$H$1:$ABO$500,C$2,0),"Л")</f>
        <v>0</v>
      </c>
      <c r="D512" s="50">
        <f>SUMIFS(INDEX(Техника!$F$1:$ABM$500,D$2,0),Техника!$F$4:$ABM$4,"Часы",INDEX(Техника!$G$1:$ABN$500,D$2,0),$A$508,INDEX(Техника!$H$1:$ABO$500,D$2,0),"Л")</f>
        <v>0</v>
      </c>
      <c r="E512" s="50">
        <f>SUMIFS(INDEX(Техника!$F$1:$ABM$500,E$2,0),Техника!$F$4:$ABM$4,"Часы",INDEX(Техника!$G$1:$ABN$500,E$2,0),$A$508,INDEX(Техника!$H$1:$ABO$500,E$2,0),"Л")</f>
        <v>0</v>
      </c>
      <c r="F512" s="50">
        <f>SUMIFS(INDEX(Техника!$F$1:$ABM$500,F$2,0),Техника!$F$4:$ABM$4,"Часы",INDEX(Техника!$G$1:$ABN$500,F$2,0),$A$508,INDEX(Техника!$H$1:$ABO$500,F$2,0),"Л")</f>
        <v>0</v>
      </c>
      <c r="G512" s="50">
        <f>SUMIFS(INDEX(Техника!$F$1:$ABM$500,G$2,0),Техника!$F$4:$ABM$4,"Часы",INDEX(Техника!$G$1:$ABN$500,G$2,0),$A$508,INDEX(Техника!$H$1:$ABO$500,G$2,0),"Л")</f>
        <v>0</v>
      </c>
      <c r="H512" s="50">
        <f>SUMIFS(INDEX(Техника!$F$1:$ABM$500,H$2,0),Техника!$F$4:$ABM$4,"Часы",INDEX(Техника!$G$1:$ABN$500,H$2,0),$A$508,INDEX(Техника!$H$1:$ABO$500,H$2,0),"Л")</f>
        <v>0</v>
      </c>
      <c r="I512" s="50">
        <f>SUMIFS(INDEX(Техника!$F$1:$ABM$500,I$2,0),Техника!$F$4:$ABM$4,"Часы",INDEX(Техника!$G$1:$ABN$500,I$2,0),$A$508,INDEX(Техника!$H$1:$ABO$500,I$2,0),"Л")</f>
        <v>0</v>
      </c>
      <c r="J512" s="50">
        <f>SUMIFS(INDEX(Техника!$F$1:$ABM$500,J$2,0),Техника!$F$4:$ABM$4,"Часы",INDEX(Техника!$G$1:$ABN$500,J$2,0),$A$508,INDEX(Техника!$H$1:$ABO$500,J$2,0),"Л")</f>
        <v>0</v>
      </c>
      <c r="K512" s="50">
        <f>SUMIFS(INDEX(Техника!$F$1:$ABM$500,K$2,0),Техника!$F$4:$ABM$4,"Часы",INDEX(Техника!$G$1:$ABN$500,K$2,0),$A$508,INDEX(Техника!$H$1:$ABO$500,K$2,0),"Л")</f>
        <v>0</v>
      </c>
      <c r="L512" s="50">
        <f>SUMIFS(INDEX(Техника!$F$1:$ABM$500,L$2,0),Техника!$F$4:$ABM$4,"Часы",INDEX(Техника!$G$1:$ABN$500,L$2,0),$A$508,INDEX(Техника!$H$1:$ABO$500,L$2,0),"Л")</f>
        <v>0</v>
      </c>
      <c r="M512" s="50">
        <f>SUMIFS(INDEX(Техника!$F$1:$ABM$500,M$2,0),Техника!$F$4:$ABM$4,"Часы",INDEX(Техника!$G$1:$ABN$500,M$2,0),$A$508,INDEX(Техника!$H$1:$ABO$500,M$2,0),"Л")</f>
        <v>0</v>
      </c>
      <c r="N512" s="50">
        <f>SUMIFS(INDEX(Техника!$F$1:$ABM$500,N$2,0),Техника!$F$4:$ABM$4,"Часы",INDEX(Техника!$G$1:$ABN$500,N$2,0),$A$508,INDEX(Техника!$H$1:$ABO$500,N$2,0),"Л")</f>
        <v>0</v>
      </c>
      <c r="O512" s="50">
        <f>SUMIFS(INDEX(Техника!$F$1:$ABM$500,O$2,0),Техника!$F$4:$ABM$4,"Часы",INDEX(Техника!$G$1:$ABN$500,O$2,0),$A$508,INDEX(Техника!$H$1:$ABO$500,O$2,0),"Л")</f>
        <v>0</v>
      </c>
      <c r="P512" s="50">
        <f>SUMIFS(INDEX(Техника!$F$1:$ABM$500,P$2,0),Техника!$F$4:$ABM$4,"Часы",INDEX(Техника!$G$1:$ABN$500,P$2,0),$A$508,INDEX(Техника!$H$1:$ABO$500,P$2,0),"Л")</f>
        <v>0</v>
      </c>
      <c r="Q512" s="50">
        <f>SUMIFS(INDEX(Техника!$F$1:$ABM$500,Q$2,0),Техника!$F$4:$ABM$4,"Часы",INDEX(Техника!$G$1:$ABN$500,Q$2,0),$A$508,INDEX(Техника!$H$1:$ABO$500,Q$2,0),"Л")</f>
        <v>0</v>
      </c>
      <c r="R512" s="50">
        <f>SUMIFS(INDEX(Техника!$F$1:$ABM$500,R$2,0),Техника!$F$4:$ABM$4,"Часы",INDEX(Техника!$G$1:$ABN$500,R$2,0),$A$508,INDEX(Техника!$H$1:$ABO$500,R$2,0),"Л")</f>
        <v>0</v>
      </c>
      <c r="S512" s="50">
        <f>SUMIFS(INDEX(Техника!$F$1:$ABM$500,S$2,0),Техника!$F$4:$ABM$4,"Часы",INDEX(Техника!$G$1:$ABN$500,S$2,0),$A$508,INDEX(Техника!$H$1:$ABO$500,S$2,0),"Л")</f>
        <v>0</v>
      </c>
      <c r="T512" s="50">
        <f>SUMIFS(INDEX(Техника!$F$1:$ABM$500,T$2,0),Техника!$F$4:$ABM$4,"Часы",INDEX(Техника!$G$1:$ABN$500,T$2,0),$A$508,INDEX(Техника!$H$1:$ABO$500,T$2,0),"Л")</f>
        <v>0</v>
      </c>
      <c r="U512" s="50">
        <f>SUMIFS(INDEX(Техника!$F$1:$ABM$500,U$2,0),Техника!$F$4:$ABM$4,"Часы",INDEX(Техника!$G$1:$ABN$500,U$2,0),$A$508,INDEX(Техника!$H$1:$ABO$500,U$2,0),"Л")</f>
        <v>0</v>
      </c>
      <c r="V512" s="50">
        <f>SUMIFS(INDEX(Техника!$F$1:$ABM$500,V$2,0),Техника!$F$4:$ABM$4,"Часы",INDEX(Техника!$G$1:$ABN$500,V$2,0),$A$508,INDEX(Техника!$H$1:$ABO$500,V$2,0),"Л")</f>
        <v>0</v>
      </c>
      <c r="W512" s="50">
        <f>SUMIFS(INDEX(Техника!$F$1:$ABM$500,W$2,0),Техника!$F$4:$ABM$4,"Часы",INDEX(Техника!$G$1:$ABN$500,W$2,0),$A$508,INDEX(Техника!$H$1:$ABO$500,W$2,0),"Л")</f>
        <v>0</v>
      </c>
      <c r="X512" s="50">
        <f>SUMIFS(INDEX(Техника!$F$1:$ABM$500,X$2,0),Техника!$F$4:$ABM$4,"Часы",INDEX(Техника!$G$1:$ABN$500,X$2,0),$A$508,INDEX(Техника!$H$1:$ABO$500,X$2,0),"Л")</f>
        <v>0</v>
      </c>
      <c r="Y512" s="50">
        <f>SUMIFS(INDEX(Техника!$F$1:$ABM$500,Y$2,0),Техника!$F$4:$ABM$4,"Часы",INDEX(Техника!$G$1:$ABN$500,Y$2,0),$A$508,INDEX(Техника!$H$1:$ABO$500,Y$2,0),"Л")</f>
        <v>0</v>
      </c>
      <c r="Z512" s="50">
        <f>SUMIFS(INDEX(Техника!$F$1:$ABM$500,Z$2,0),Техника!$F$4:$ABM$4,"Часы",INDEX(Техника!$G$1:$ABN$500,Z$2,0),$A$508,INDEX(Техника!$H$1:$ABO$500,Z$2,0),"Л")</f>
        <v>0</v>
      </c>
      <c r="AA512" s="50">
        <f>SUMIFS(INDEX(Техника!$F$1:$ABM$500,AA$2,0),Техника!$F$4:$ABM$4,"Часы",INDEX(Техника!$G$1:$ABN$500,AA$2,0),$A$508,INDEX(Техника!$H$1:$ABO$500,AA$2,0),"Л")</f>
        <v>0</v>
      </c>
      <c r="AB512" s="50">
        <f>SUMIFS(INDEX(Техника!$F$1:$ABM$500,AB$2,0),Техника!$F$4:$ABM$4,"Часы",INDEX(Техника!$G$1:$ABN$500,AB$2,0),$A$508,INDEX(Техника!$H$1:$ABO$500,AB$2,0),"Л")</f>
        <v>0</v>
      </c>
    </row>
    <row r="513" spans="1:28" hidden="1" outlineLevel="1" x14ac:dyDescent="0.3">
      <c r="A513" s="33" t="s">
        <v>245</v>
      </c>
      <c r="B513" s="34" t="s">
        <v>279</v>
      </c>
      <c r="C513" s="50">
        <f>SUMIFS(INDEX(Техника!$F$1:$ABM$500,C$2,0),Техника!$F$4:$ABM$4,"Часы",INDEX(Техника!$G$1:$ABN$500,C$2,0),$A$508,INDEX(Техника!$H$1:$ABO$500,C$2,0),"З")</f>
        <v>0</v>
      </c>
      <c r="D513" s="50">
        <f>SUMIFS(INDEX(Техника!$F$1:$ABM$500,D$2,0),Техника!$F$4:$ABM$4,"Часы",INDEX(Техника!$G$1:$ABN$500,D$2,0),$A$508,INDEX(Техника!$H$1:$ABO$500,D$2,0),"З")</f>
        <v>0</v>
      </c>
      <c r="E513" s="50">
        <f>SUMIFS(INDEX(Техника!$F$1:$ABM$500,E$2,0),Техника!$F$4:$ABM$4,"Часы",INDEX(Техника!$G$1:$ABN$500,E$2,0),$A$508,INDEX(Техника!$H$1:$ABO$500,E$2,0),"З")</f>
        <v>0</v>
      </c>
      <c r="F513" s="50">
        <f>SUMIFS(INDEX(Техника!$F$1:$ABM$500,F$2,0),Техника!$F$4:$ABM$4,"Часы",INDEX(Техника!$G$1:$ABN$500,F$2,0),$A$508,INDEX(Техника!$H$1:$ABO$500,F$2,0),"З")</f>
        <v>0</v>
      </c>
      <c r="G513" s="50">
        <f>SUMIFS(INDEX(Техника!$F$1:$ABM$500,G$2,0),Техника!$F$4:$ABM$4,"Часы",INDEX(Техника!$G$1:$ABN$500,G$2,0),$A$508,INDEX(Техника!$H$1:$ABO$500,G$2,0),"З")</f>
        <v>0</v>
      </c>
      <c r="H513" s="50">
        <f>SUMIFS(INDEX(Техника!$F$1:$ABM$500,H$2,0),Техника!$F$4:$ABM$4,"Часы",INDEX(Техника!$G$1:$ABN$500,H$2,0),$A$508,INDEX(Техника!$H$1:$ABO$500,H$2,0),"З")</f>
        <v>0</v>
      </c>
      <c r="I513" s="50">
        <f>SUMIFS(INDEX(Техника!$F$1:$ABM$500,I$2,0),Техника!$F$4:$ABM$4,"Часы",INDEX(Техника!$G$1:$ABN$500,I$2,0),$A$508,INDEX(Техника!$H$1:$ABO$500,I$2,0),"З")</f>
        <v>0</v>
      </c>
      <c r="J513" s="50">
        <f>SUMIFS(INDEX(Техника!$F$1:$ABM$500,J$2,0),Техника!$F$4:$ABM$4,"Часы",INDEX(Техника!$G$1:$ABN$500,J$2,0),$A$508,INDEX(Техника!$H$1:$ABO$500,J$2,0),"З")</f>
        <v>0</v>
      </c>
      <c r="K513" s="50">
        <f>SUMIFS(INDEX(Техника!$F$1:$ABM$500,K$2,0),Техника!$F$4:$ABM$4,"Часы",INDEX(Техника!$G$1:$ABN$500,K$2,0),$A$508,INDEX(Техника!$H$1:$ABO$500,K$2,0),"З")</f>
        <v>0</v>
      </c>
      <c r="L513" s="50">
        <f>SUMIFS(INDEX(Техника!$F$1:$ABM$500,L$2,0),Техника!$F$4:$ABM$4,"Часы",INDEX(Техника!$G$1:$ABN$500,L$2,0),$A$508,INDEX(Техника!$H$1:$ABO$500,L$2,0),"З")</f>
        <v>0</v>
      </c>
      <c r="M513" s="50">
        <f>SUMIFS(INDEX(Техника!$F$1:$ABM$500,M$2,0),Техника!$F$4:$ABM$4,"Часы",INDEX(Техника!$G$1:$ABN$500,M$2,0),$A$508,INDEX(Техника!$H$1:$ABO$500,M$2,0),"З")</f>
        <v>0</v>
      </c>
      <c r="N513" s="50">
        <f>SUMIFS(INDEX(Техника!$F$1:$ABM$500,N$2,0),Техника!$F$4:$ABM$4,"Часы",INDEX(Техника!$G$1:$ABN$500,N$2,0),$A$508,INDEX(Техника!$H$1:$ABO$500,N$2,0),"З")</f>
        <v>0</v>
      </c>
      <c r="O513" s="50">
        <f>SUMIFS(INDEX(Техника!$F$1:$ABM$500,O$2,0),Техника!$F$4:$ABM$4,"Часы",INDEX(Техника!$G$1:$ABN$500,O$2,0),$A$508,INDEX(Техника!$H$1:$ABO$500,O$2,0),"З")</f>
        <v>0</v>
      </c>
      <c r="P513" s="50">
        <f>SUMIFS(INDEX(Техника!$F$1:$ABM$500,P$2,0),Техника!$F$4:$ABM$4,"Часы",INDEX(Техника!$G$1:$ABN$500,P$2,0),$A$508,INDEX(Техника!$H$1:$ABO$500,P$2,0),"З")</f>
        <v>0</v>
      </c>
      <c r="Q513" s="50">
        <f>SUMIFS(INDEX(Техника!$F$1:$ABM$500,Q$2,0),Техника!$F$4:$ABM$4,"Часы",INDEX(Техника!$G$1:$ABN$500,Q$2,0),$A$508,INDEX(Техника!$H$1:$ABO$500,Q$2,0),"З")</f>
        <v>0</v>
      </c>
      <c r="R513" s="50">
        <f>SUMIFS(INDEX(Техника!$F$1:$ABM$500,R$2,0),Техника!$F$4:$ABM$4,"Часы",INDEX(Техника!$G$1:$ABN$500,R$2,0),$A$508,INDEX(Техника!$H$1:$ABO$500,R$2,0),"З")</f>
        <v>0</v>
      </c>
      <c r="S513" s="50">
        <f>SUMIFS(INDEX(Техника!$F$1:$ABM$500,S$2,0),Техника!$F$4:$ABM$4,"Часы",INDEX(Техника!$G$1:$ABN$500,S$2,0),$A$508,INDEX(Техника!$H$1:$ABO$500,S$2,0),"З")</f>
        <v>0</v>
      </c>
      <c r="T513" s="50">
        <f>SUMIFS(INDEX(Техника!$F$1:$ABM$500,T$2,0),Техника!$F$4:$ABM$4,"Часы",INDEX(Техника!$G$1:$ABN$500,T$2,0),$A$508,INDEX(Техника!$H$1:$ABO$500,T$2,0),"З")</f>
        <v>0</v>
      </c>
      <c r="U513" s="50">
        <f>SUMIFS(INDEX(Техника!$F$1:$ABM$500,U$2,0),Техника!$F$4:$ABM$4,"Часы",INDEX(Техника!$G$1:$ABN$500,U$2,0),$A$508,INDEX(Техника!$H$1:$ABO$500,U$2,0),"З")</f>
        <v>0</v>
      </c>
      <c r="V513" s="50">
        <f>SUMIFS(INDEX(Техника!$F$1:$ABM$500,V$2,0),Техника!$F$4:$ABM$4,"Часы",INDEX(Техника!$G$1:$ABN$500,V$2,0),$A$508,INDEX(Техника!$H$1:$ABO$500,V$2,0),"З")</f>
        <v>0</v>
      </c>
      <c r="W513" s="50">
        <f>SUMIFS(INDEX(Техника!$F$1:$ABM$500,W$2,0),Техника!$F$4:$ABM$4,"Часы",INDEX(Техника!$G$1:$ABN$500,W$2,0),$A$508,INDEX(Техника!$H$1:$ABO$500,W$2,0),"З")</f>
        <v>0</v>
      </c>
      <c r="X513" s="50">
        <f>SUMIFS(INDEX(Техника!$F$1:$ABM$500,X$2,0),Техника!$F$4:$ABM$4,"Часы",INDEX(Техника!$G$1:$ABN$500,X$2,0),$A$508,INDEX(Техника!$H$1:$ABO$500,X$2,0),"З")</f>
        <v>0</v>
      </c>
      <c r="Y513" s="50">
        <f>SUMIFS(INDEX(Техника!$F$1:$ABM$500,Y$2,0),Техника!$F$4:$ABM$4,"Часы",INDEX(Техника!$G$1:$ABN$500,Y$2,0),$A$508,INDEX(Техника!$H$1:$ABO$500,Y$2,0),"З")</f>
        <v>0</v>
      </c>
      <c r="Z513" s="50">
        <f>SUMIFS(INDEX(Техника!$F$1:$ABM$500,Z$2,0),Техника!$F$4:$ABM$4,"Часы",INDEX(Техника!$G$1:$ABN$500,Z$2,0),$A$508,INDEX(Техника!$H$1:$ABO$500,Z$2,0),"З")</f>
        <v>0</v>
      </c>
      <c r="AA513" s="50">
        <f>SUMIFS(INDEX(Техника!$F$1:$ABM$500,AA$2,0),Техника!$F$4:$ABM$4,"Часы",INDEX(Техника!$G$1:$ABN$500,AA$2,0),$A$508,INDEX(Техника!$H$1:$ABO$500,AA$2,0),"З")</f>
        <v>0</v>
      </c>
      <c r="AB513" s="50">
        <f>SUMIFS(INDEX(Техника!$F$1:$ABM$500,AB$2,0),Техника!$F$4:$ABM$4,"Часы",INDEX(Техника!$G$1:$ABN$500,AB$2,0),$A$508,INDEX(Техника!$H$1:$ABO$500,AB$2,0),"З")</f>
        <v>0</v>
      </c>
    </row>
    <row r="514" spans="1:28" ht="7.95" customHeight="1" x14ac:dyDescent="0.3">
      <c r="A514" s="38"/>
      <c r="B514" s="39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</row>
    <row r="515" spans="1:28" ht="25.05" customHeight="1" collapsed="1" x14ac:dyDescent="0.3">
      <c r="A515" s="32">
        <v>74</v>
      </c>
      <c r="B515" s="32" t="s">
        <v>75</v>
      </c>
      <c r="C515" s="49">
        <f>SUM(C516:C520)</f>
        <v>0</v>
      </c>
      <c r="D515" s="49">
        <f>SUM(D516:D520)</f>
        <v>0</v>
      </c>
      <c r="E515" s="49">
        <f>SUM(E516:E520)</f>
        <v>0</v>
      </c>
      <c r="F515" s="49">
        <f>SUM(F516:F520)</f>
        <v>0</v>
      </c>
      <c r="G515" s="49">
        <f>SUM(G516:G520)</f>
        <v>0</v>
      </c>
      <c r="H515" s="49">
        <f>SUM(H516:H520)</f>
        <v>0</v>
      </c>
      <c r="I515" s="49">
        <f>SUM(I516:I520)</f>
        <v>0</v>
      </c>
      <c r="J515" s="49">
        <f>SUM(J516:J520)</f>
        <v>0</v>
      </c>
      <c r="K515" s="49">
        <f>SUM(K516:K520)</f>
        <v>0</v>
      </c>
      <c r="L515" s="49">
        <f>SUM(L516:L520)</f>
        <v>0</v>
      </c>
      <c r="M515" s="49">
        <f>SUM(M516:M520)</f>
        <v>0</v>
      </c>
      <c r="N515" s="49">
        <f>SUM(N516:N520)</f>
        <v>0</v>
      </c>
      <c r="O515" s="49">
        <f>SUM(O516:O520)</f>
        <v>0</v>
      </c>
      <c r="P515" s="49">
        <f>SUM(P516:P520)</f>
        <v>0</v>
      </c>
      <c r="Q515" s="49">
        <f>SUM(Q516:Q520)</f>
        <v>0</v>
      </c>
      <c r="R515" s="49">
        <f>SUM(R516:R520)</f>
        <v>0</v>
      </c>
      <c r="S515" s="49">
        <f>SUM(S516:S520)</f>
        <v>0</v>
      </c>
      <c r="T515" s="49">
        <f>SUM(T516:T520)</f>
        <v>0</v>
      </c>
      <c r="U515" s="49">
        <f>SUM(U516:U520)</f>
        <v>0</v>
      </c>
      <c r="V515" s="49">
        <f>SUM(V516:V520)</f>
        <v>0</v>
      </c>
      <c r="W515" s="49">
        <f>SUM(W516:W520)</f>
        <v>0</v>
      </c>
      <c r="X515" s="49">
        <f>SUM(X516:X520)</f>
        <v>0</v>
      </c>
      <c r="Y515" s="49">
        <f>SUM(Y516:Y520)</f>
        <v>0</v>
      </c>
      <c r="Z515" s="49">
        <f>SUM(Z516:Z520)</f>
        <v>0</v>
      </c>
      <c r="AA515" s="49">
        <f>SUM(AA516:AA520)</f>
        <v>0</v>
      </c>
      <c r="AB515" s="49">
        <f>SUM(AB516:AB520)</f>
        <v>0</v>
      </c>
    </row>
    <row r="516" spans="1:28" hidden="1" outlineLevel="1" x14ac:dyDescent="0.3">
      <c r="A516" s="33" t="s">
        <v>246</v>
      </c>
      <c r="B516" s="34" t="s">
        <v>274</v>
      </c>
      <c r="C516" s="50">
        <f>SUMIFS(INDEX(Техника!$F$1:$ABM$500,C$2,0),Техника!$F$4:$ABM$4,"Часы",INDEX(Техника!$G$1:$ABN$500,C$2,0),$A$515,INDEX(Техника!$H$1:$ABO$500,C$2,0),"М")</f>
        <v>0</v>
      </c>
      <c r="D516" s="50">
        <f>SUMIFS(INDEX(Техника!$F$1:$ABM$500,D$2,0),Техника!$F$4:$ABM$4,"Часы",INDEX(Техника!$G$1:$ABN$500,D$2,0),$A$515,INDEX(Техника!$H$1:$ABO$500,D$2,0),"М")</f>
        <v>0</v>
      </c>
      <c r="E516" s="50">
        <f>SUMIFS(INDEX(Техника!$F$1:$ABM$500,E$2,0),Техника!$F$4:$ABM$4,"Часы",INDEX(Техника!$G$1:$ABN$500,E$2,0),$A$515,INDEX(Техника!$H$1:$ABO$500,E$2,0),"М")</f>
        <v>0</v>
      </c>
      <c r="F516" s="50">
        <f>SUMIFS(INDEX(Техника!$F$1:$ABM$500,F$2,0),Техника!$F$4:$ABM$4,"Часы",INDEX(Техника!$G$1:$ABN$500,F$2,0),$A$515,INDEX(Техника!$H$1:$ABO$500,F$2,0),"М")</f>
        <v>0</v>
      </c>
      <c r="G516" s="50">
        <f>SUMIFS(INDEX(Техника!$F$1:$ABM$500,G$2,0),Техника!$F$4:$ABM$4,"Часы",INDEX(Техника!$G$1:$ABN$500,G$2,0),$A$515,INDEX(Техника!$H$1:$ABO$500,G$2,0),"М")</f>
        <v>0</v>
      </c>
      <c r="H516" s="50">
        <f>SUMIFS(INDEX(Техника!$F$1:$ABM$500,H$2,0),Техника!$F$4:$ABM$4,"Часы",INDEX(Техника!$G$1:$ABN$500,H$2,0),$A$515,INDEX(Техника!$H$1:$ABO$500,H$2,0),"М")</f>
        <v>0</v>
      </c>
      <c r="I516" s="50">
        <f>SUMIFS(INDEX(Техника!$F$1:$ABM$500,I$2,0),Техника!$F$4:$ABM$4,"Часы",INDEX(Техника!$G$1:$ABN$500,I$2,0),$A$515,INDEX(Техника!$H$1:$ABO$500,I$2,0),"М")</f>
        <v>0</v>
      </c>
      <c r="J516" s="50">
        <f>SUMIFS(INDEX(Техника!$F$1:$ABM$500,J$2,0),Техника!$F$4:$ABM$4,"Часы",INDEX(Техника!$G$1:$ABN$500,J$2,0),$A$515,INDEX(Техника!$H$1:$ABO$500,J$2,0),"М")</f>
        <v>0</v>
      </c>
      <c r="K516" s="50">
        <f>SUMIFS(INDEX(Техника!$F$1:$ABM$500,K$2,0),Техника!$F$4:$ABM$4,"Часы",INDEX(Техника!$G$1:$ABN$500,K$2,0),$A$515,INDEX(Техника!$H$1:$ABO$500,K$2,0),"М")</f>
        <v>0</v>
      </c>
      <c r="L516" s="50">
        <f>SUMIFS(INDEX(Техника!$F$1:$ABM$500,L$2,0),Техника!$F$4:$ABM$4,"Часы",INDEX(Техника!$G$1:$ABN$500,L$2,0),$A$515,INDEX(Техника!$H$1:$ABO$500,L$2,0),"М")</f>
        <v>0</v>
      </c>
      <c r="M516" s="50">
        <f>SUMIFS(INDEX(Техника!$F$1:$ABM$500,M$2,0),Техника!$F$4:$ABM$4,"Часы",INDEX(Техника!$G$1:$ABN$500,M$2,0),$A$515,INDEX(Техника!$H$1:$ABO$500,M$2,0),"М")</f>
        <v>0</v>
      </c>
      <c r="N516" s="50">
        <f>SUMIFS(INDEX(Техника!$F$1:$ABM$500,N$2,0),Техника!$F$4:$ABM$4,"Часы",INDEX(Техника!$G$1:$ABN$500,N$2,0),$A$515,INDEX(Техника!$H$1:$ABO$500,N$2,0),"М")</f>
        <v>0</v>
      </c>
      <c r="O516" s="50">
        <f>SUMIFS(INDEX(Техника!$F$1:$ABM$500,O$2,0),Техника!$F$4:$ABM$4,"Часы",INDEX(Техника!$G$1:$ABN$500,O$2,0),$A$515,INDEX(Техника!$H$1:$ABO$500,O$2,0),"М")</f>
        <v>0</v>
      </c>
      <c r="P516" s="50">
        <f>SUMIFS(INDEX(Техника!$F$1:$ABM$500,P$2,0),Техника!$F$4:$ABM$4,"Часы",INDEX(Техника!$G$1:$ABN$500,P$2,0),$A$515,INDEX(Техника!$H$1:$ABO$500,P$2,0),"М")</f>
        <v>0</v>
      </c>
      <c r="Q516" s="50">
        <f>SUMIFS(INDEX(Техника!$F$1:$ABM$500,Q$2,0),Техника!$F$4:$ABM$4,"Часы",INDEX(Техника!$G$1:$ABN$500,Q$2,0),$A$515,INDEX(Техника!$H$1:$ABO$500,Q$2,0),"М")</f>
        <v>0</v>
      </c>
      <c r="R516" s="50">
        <f>SUMIFS(INDEX(Техника!$F$1:$ABM$500,R$2,0),Техника!$F$4:$ABM$4,"Часы",INDEX(Техника!$G$1:$ABN$500,R$2,0),$A$515,INDEX(Техника!$H$1:$ABO$500,R$2,0),"М")</f>
        <v>0</v>
      </c>
      <c r="S516" s="50">
        <f>SUMIFS(INDEX(Техника!$F$1:$ABM$500,S$2,0),Техника!$F$4:$ABM$4,"Часы",INDEX(Техника!$G$1:$ABN$500,S$2,0),$A$515,INDEX(Техника!$H$1:$ABO$500,S$2,0),"М")</f>
        <v>0</v>
      </c>
      <c r="T516" s="50">
        <f>SUMIFS(INDEX(Техника!$F$1:$ABM$500,T$2,0),Техника!$F$4:$ABM$4,"Часы",INDEX(Техника!$G$1:$ABN$500,T$2,0),$A$515,INDEX(Техника!$H$1:$ABO$500,T$2,0),"М")</f>
        <v>0</v>
      </c>
      <c r="U516" s="50">
        <f>SUMIFS(INDEX(Техника!$F$1:$ABM$500,U$2,0),Техника!$F$4:$ABM$4,"Часы",INDEX(Техника!$G$1:$ABN$500,U$2,0),$A$515,INDEX(Техника!$H$1:$ABO$500,U$2,0),"М")</f>
        <v>0</v>
      </c>
      <c r="V516" s="50">
        <f>SUMIFS(INDEX(Техника!$F$1:$ABM$500,V$2,0),Техника!$F$4:$ABM$4,"Часы",INDEX(Техника!$G$1:$ABN$500,V$2,0),$A$515,INDEX(Техника!$H$1:$ABO$500,V$2,0),"М")</f>
        <v>0</v>
      </c>
      <c r="W516" s="50">
        <f>SUMIFS(INDEX(Техника!$F$1:$ABM$500,W$2,0),Техника!$F$4:$ABM$4,"Часы",INDEX(Техника!$G$1:$ABN$500,W$2,0),$A$515,INDEX(Техника!$H$1:$ABO$500,W$2,0),"М")</f>
        <v>0</v>
      </c>
      <c r="X516" s="50">
        <f>SUMIFS(INDEX(Техника!$F$1:$ABM$500,X$2,0),Техника!$F$4:$ABM$4,"Часы",INDEX(Техника!$G$1:$ABN$500,X$2,0),$A$515,INDEX(Техника!$H$1:$ABO$500,X$2,0),"М")</f>
        <v>0</v>
      </c>
      <c r="Y516" s="50">
        <f>SUMIFS(INDEX(Техника!$F$1:$ABM$500,Y$2,0),Техника!$F$4:$ABM$4,"Часы",INDEX(Техника!$G$1:$ABN$500,Y$2,0),$A$515,INDEX(Техника!$H$1:$ABO$500,Y$2,0),"М")</f>
        <v>0</v>
      </c>
      <c r="Z516" s="50">
        <f>SUMIFS(INDEX(Техника!$F$1:$ABM$500,Z$2,0),Техника!$F$4:$ABM$4,"Часы",INDEX(Техника!$G$1:$ABN$500,Z$2,0),$A$515,INDEX(Техника!$H$1:$ABO$500,Z$2,0),"М")</f>
        <v>0</v>
      </c>
      <c r="AA516" s="50">
        <f>SUMIFS(INDEX(Техника!$F$1:$ABM$500,AA$2,0),Техника!$F$4:$ABM$4,"Часы",INDEX(Техника!$G$1:$ABN$500,AA$2,0),$A$515,INDEX(Техника!$H$1:$ABO$500,AA$2,0),"М")</f>
        <v>0</v>
      </c>
      <c r="AB516" s="50">
        <f>SUMIFS(INDEX(Техника!$F$1:$ABM$500,AB$2,0),Техника!$F$4:$ABM$4,"Часы",INDEX(Техника!$G$1:$ABN$500,AB$2,0),$A$515,INDEX(Техника!$H$1:$ABO$500,AB$2,0),"М")</f>
        <v>0</v>
      </c>
    </row>
    <row r="517" spans="1:28" hidden="1" outlineLevel="1" x14ac:dyDescent="0.3">
      <c r="A517" s="33" t="s">
        <v>244</v>
      </c>
      <c r="B517" s="34" t="s">
        <v>275</v>
      </c>
      <c r="C517" s="50">
        <f>SUMIFS(INDEX(Техника!$F$1:$ABM$500,C$2,0),Техника!$F$4:$ABM$4,"Часы",INDEX(Техника!$G$1:$ABN$500,C$2,0),$A$515,INDEX(Техника!$H$1:$ABO$500,C$2,0),"Д")</f>
        <v>0</v>
      </c>
      <c r="D517" s="50">
        <f>SUMIFS(INDEX(Техника!$F$1:$ABM$500,D$2,0),Техника!$F$4:$ABM$4,"Часы",INDEX(Техника!$G$1:$ABN$500,D$2,0),$A$515,INDEX(Техника!$H$1:$ABO$500,D$2,0),"Д")</f>
        <v>0</v>
      </c>
      <c r="E517" s="50">
        <f>SUMIFS(INDEX(Техника!$F$1:$ABM$500,E$2,0),Техника!$F$4:$ABM$4,"Часы",INDEX(Техника!$G$1:$ABN$500,E$2,0),$A$515,INDEX(Техника!$H$1:$ABO$500,E$2,0),"Д")</f>
        <v>0</v>
      </c>
      <c r="F517" s="50">
        <f>SUMIFS(INDEX(Техника!$F$1:$ABM$500,F$2,0),Техника!$F$4:$ABM$4,"Часы",INDEX(Техника!$G$1:$ABN$500,F$2,0),$A$515,INDEX(Техника!$H$1:$ABO$500,F$2,0),"Д")</f>
        <v>0</v>
      </c>
      <c r="G517" s="50">
        <f>SUMIFS(INDEX(Техника!$F$1:$ABM$500,G$2,0),Техника!$F$4:$ABM$4,"Часы",INDEX(Техника!$G$1:$ABN$500,G$2,0),$A$515,INDEX(Техника!$H$1:$ABO$500,G$2,0),"Д")</f>
        <v>0</v>
      </c>
      <c r="H517" s="50">
        <f>SUMIFS(INDEX(Техника!$F$1:$ABM$500,H$2,0),Техника!$F$4:$ABM$4,"Часы",INDEX(Техника!$G$1:$ABN$500,H$2,0),$A$515,INDEX(Техника!$H$1:$ABO$500,H$2,0),"Д")</f>
        <v>0</v>
      </c>
      <c r="I517" s="50">
        <f>SUMIFS(INDEX(Техника!$F$1:$ABM$500,I$2,0),Техника!$F$4:$ABM$4,"Часы",INDEX(Техника!$G$1:$ABN$500,I$2,0),$A$515,INDEX(Техника!$H$1:$ABO$500,I$2,0),"Д")</f>
        <v>0</v>
      </c>
      <c r="J517" s="50">
        <f>SUMIFS(INDEX(Техника!$F$1:$ABM$500,J$2,0),Техника!$F$4:$ABM$4,"Часы",INDEX(Техника!$G$1:$ABN$500,J$2,0),$A$515,INDEX(Техника!$H$1:$ABO$500,J$2,0),"Д")</f>
        <v>0</v>
      </c>
      <c r="K517" s="50">
        <f>SUMIFS(INDEX(Техника!$F$1:$ABM$500,K$2,0),Техника!$F$4:$ABM$4,"Часы",INDEX(Техника!$G$1:$ABN$500,K$2,0),$A$515,INDEX(Техника!$H$1:$ABO$500,K$2,0),"Д")</f>
        <v>0</v>
      </c>
      <c r="L517" s="50">
        <f>SUMIFS(INDEX(Техника!$F$1:$ABM$500,L$2,0),Техника!$F$4:$ABM$4,"Часы",INDEX(Техника!$G$1:$ABN$500,L$2,0),$A$515,INDEX(Техника!$H$1:$ABO$500,L$2,0),"Д")</f>
        <v>0</v>
      </c>
      <c r="M517" s="50">
        <f>SUMIFS(INDEX(Техника!$F$1:$ABM$500,M$2,0),Техника!$F$4:$ABM$4,"Часы",INDEX(Техника!$G$1:$ABN$500,M$2,0),$A$515,INDEX(Техника!$H$1:$ABO$500,M$2,0),"Д")</f>
        <v>0</v>
      </c>
      <c r="N517" s="50">
        <f>SUMIFS(INDEX(Техника!$F$1:$ABM$500,N$2,0),Техника!$F$4:$ABM$4,"Часы",INDEX(Техника!$G$1:$ABN$500,N$2,0),$A$515,INDEX(Техника!$H$1:$ABO$500,N$2,0),"Д")</f>
        <v>0</v>
      </c>
      <c r="O517" s="50">
        <f>SUMIFS(INDEX(Техника!$F$1:$ABM$500,O$2,0),Техника!$F$4:$ABM$4,"Часы",INDEX(Техника!$G$1:$ABN$500,O$2,0),$A$515,INDEX(Техника!$H$1:$ABO$500,O$2,0),"Д")</f>
        <v>0</v>
      </c>
      <c r="P517" s="50">
        <f>SUMIFS(INDEX(Техника!$F$1:$ABM$500,P$2,0),Техника!$F$4:$ABM$4,"Часы",INDEX(Техника!$G$1:$ABN$500,P$2,0),$A$515,INDEX(Техника!$H$1:$ABO$500,P$2,0),"Д")</f>
        <v>0</v>
      </c>
      <c r="Q517" s="50">
        <f>SUMIFS(INDEX(Техника!$F$1:$ABM$500,Q$2,0),Техника!$F$4:$ABM$4,"Часы",INDEX(Техника!$G$1:$ABN$500,Q$2,0),$A$515,INDEX(Техника!$H$1:$ABO$500,Q$2,0),"Д")</f>
        <v>0</v>
      </c>
      <c r="R517" s="50">
        <f>SUMIFS(INDEX(Техника!$F$1:$ABM$500,R$2,0),Техника!$F$4:$ABM$4,"Часы",INDEX(Техника!$G$1:$ABN$500,R$2,0),$A$515,INDEX(Техника!$H$1:$ABO$500,R$2,0),"Д")</f>
        <v>0</v>
      </c>
      <c r="S517" s="50">
        <f>SUMIFS(INDEX(Техника!$F$1:$ABM$500,S$2,0),Техника!$F$4:$ABM$4,"Часы",INDEX(Техника!$G$1:$ABN$500,S$2,0),$A$515,INDEX(Техника!$H$1:$ABO$500,S$2,0),"Д")</f>
        <v>0</v>
      </c>
      <c r="T517" s="50">
        <f>SUMIFS(INDEX(Техника!$F$1:$ABM$500,T$2,0),Техника!$F$4:$ABM$4,"Часы",INDEX(Техника!$G$1:$ABN$500,T$2,0),$A$515,INDEX(Техника!$H$1:$ABO$500,T$2,0),"Д")</f>
        <v>0</v>
      </c>
      <c r="U517" s="50">
        <f>SUMIFS(INDEX(Техника!$F$1:$ABM$500,U$2,0),Техника!$F$4:$ABM$4,"Часы",INDEX(Техника!$G$1:$ABN$500,U$2,0),$A$515,INDEX(Техника!$H$1:$ABO$500,U$2,0),"Д")</f>
        <v>0</v>
      </c>
      <c r="V517" s="50">
        <f>SUMIFS(INDEX(Техника!$F$1:$ABM$500,V$2,0),Техника!$F$4:$ABM$4,"Часы",INDEX(Техника!$G$1:$ABN$500,V$2,0),$A$515,INDEX(Техника!$H$1:$ABO$500,V$2,0),"Д")</f>
        <v>0</v>
      </c>
      <c r="W517" s="50">
        <f>SUMIFS(INDEX(Техника!$F$1:$ABM$500,W$2,0),Техника!$F$4:$ABM$4,"Часы",INDEX(Техника!$G$1:$ABN$500,W$2,0),$A$515,INDEX(Техника!$H$1:$ABO$500,W$2,0),"Д")</f>
        <v>0</v>
      </c>
      <c r="X517" s="50">
        <f>SUMIFS(INDEX(Техника!$F$1:$ABM$500,X$2,0),Техника!$F$4:$ABM$4,"Часы",INDEX(Техника!$G$1:$ABN$500,X$2,0),$A$515,INDEX(Техника!$H$1:$ABO$500,X$2,0),"Д")</f>
        <v>0</v>
      </c>
      <c r="Y517" s="50">
        <f>SUMIFS(INDEX(Техника!$F$1:$ABM$500,Y$2,0),Техника!$F$4:$ABM$4,"Часы",INDEX(Техника!$G$1:$ABN$500,Y$2,0),$A$515,INDEX(Техника!$H$1:$ABO$500,Y$2,0),"Д")</f>
        <v>0</v>
      </c>
      <c r="Z517" s="50">
        <f>SUMIFS(INDEX(Техника!$F$1:$ABM$500,Z$2,0),Техника!$F$4:$ABM$4,"Часы",INDEX(Техника!$G$1:$ABN$500,Z$2,0),$A$515,INDEX(Техника!$H$1:$ABO$500,Z$2,0),"Д")</f>
        <v>0</v>
      </c>
      <c r="AA517" s="50">
        <f>SUMIFS(INDEX(Техника!$F$1:$ABM$500,AA$2,0),Техника!$F$4:$ABM$4,"Часы",INDEX(Техника!$G$1:$ABN$500,AA$2,0),$A$515,INDEX(Техника!$H$1:$ABO$500,AA$2,0),"Д")</f>
        <v>0</v>
      </c>
      <c r="AB517" s="50">
        <f>SUMIFS(INDEX(Техника!$F$1:$ABM$500,AB$2,0),Техника!$F$4:$ABM$4,"Часы",INDEX(Техника!$G$1:$ABN$500,AB$2,0),$A$515,INDEX(Техника!$H$1:$ABO$500,AB$2,0),"Д")</f>
        <v>0</v>
      </c>
    </row>
    <row r="518" spans="1:28" hidden="1" outlineLevel="1" x14ac:dyDescent="0.3">
      <c r="A518" s="33" t="s">
        <v>276</v>
      </c>
      <c r="B518" s="34" t="s">
        <v>277</v>
      </c>
      <c r="C518" s="50">
        <f>SUMIFS(INDEX(Техника!$F$1:$ABM$500,C$2,0),Техника!$F$4:$ABM$4,"Часы",INDEX(Техника!$G$1:$ABN$500,C$2,0),$A$515,INDEX(Техника!$H$1:$ABO$500,C$2,0),"П")</f>
        <v>0</v>
      </c>
      <c r="D518" s="50">
        <f>SUMIFS(INDEX(Техника!$F$1:$ABM$500,D$2,0),Техника!$F$4:$ABM$4,"Часы",INDEX(Техника!$G$1:$ABN$500,D$2,0),$A$515,INDEX(Техника!$H$1:$ABO$500,D$2,0),"П")</f>
        <v>0</v>
      </c>
      <c r="E518" s="50">
        <f>SUMIFS(INDEX(Техника!$F$1:$ABM$500,E$2,0),Техника!$F$4:$ABM$4,"Часы",INDEX(Техника!$G$1:$ABN$500,E$2,0),$A$515,INDEX(Техника!$H$1:$ABO$500,E$2,0),"П")</f>
        <v>0</v>
      </c>
      <c r="F518" s="50">
        <f>SUMIFS(INDEX(Техника!$F$1:$ABM$500,F$2,0),Техника!$F$4:$ABM$4,"Часы",INDEX(Техника!$G$1:$ABN$500,F$2,0),$A$515,INDEX(Техника!$H$1:$ABO$500,F$2,0),"П")</f>
        <v>0</v>
      </c>
      <c r="G518" s="50">
        <f>SUMIFS(INDEX(Техника!$F$1:$ABM$500,G$2,0),Техника!$F$4:$ABM$4,"Часы",INDEX(Техника!$G$1:$ABN$500,G$2,0),$A$515,INDEX(Техника!$H$1:$ABO$500,G$2,0),"П")</f>
        <v>0</v>
      </c>
      <c r="H518" s="50">
        <f>SUMIFS(INDEX(Техника!$F$1:$ABM$500,H$2,0),Техника!$F$4:$ABM$4,"Часы",INDEX(Техника!$G$1:$ABN$500,H$2,0),$A$515,INDEX(Техника!$H$1:$ABO$500,H$2,0),"П")</f>
        <v>0</v>
      </c>
      <c r="I518" s="50">
        <f>SUMIFS(INDEX(Техника!$F$1:$ABM$500,I$2,0),Техника!$F$4:$ABM$4,"Часы",INDEX(Техника!$G$1:$ABN$500,I$2,0),$A$515,INDEX(Техника!$H$1:$ABO$500,I$2,0),"П")</f>
        <v>0</v>
      </c>
      <c r="J518" s="50">
        <f>SUMIFS(INDEX(Техника!$F$1:$ABM$500,J$2,0),Техника!$F$4:$ABM$4,"Часы",INDEX(Техника!$G$1:$ABN$500,J$2,0),$A$515,INDEX(Техника!$H$1:$ABO$500,J$2,0),"П")</f>
        <v>0</v>
      </c>
      <c r="K518" s="50">
        <f>SUMIFS(INDEX(Техника!$F$1:$ABM$500,K$2,0),Техника!$F$4:$ABM$4,"Часы",INDEX(Техника!$G$1:$ABN$500,K$2,0),$A$515,INDEX(Техника!$H$1:$ABO$500,K$2,0),"П")</f>
        <v>0</v>
      </c>
      <c r="L518" s="50">
        <f>SUMIFS(INDEX(Техника!$F$1:$ABM$500,L$2,0),Техника!$F$4:$ABM$4,"Часы",INDEX(Техника!$G$1:$ABN$500,L$2,0),$A$515,INDEX(Техника!$H$1:$ABO$500,L$2,0),"П")</f>
        <v>0</v>
      </c>
      <c r="M518" s="50">
        <f>SUMIFS(INDEX(Техника!$F$1:$ABM$500,M$2,0),Техника!$F$4:$ABM$4,"Часы",INDEX(Техника!$G$1:$ABN$500,M$2,0),$A$515,INDEX(Техника!$H$1:$ABO$500,M$2,0),"П")</f>
        <v>0</v>
      </c>
      <c r="N518" s="50">
        <f>SUMIFS(INDEX(Техника!$F$1:$ABM$500,N$2,0),Техника!$F$4:$ABM$4,"Часы",INDEX(Техника!$G$1:$ABN$500,N$2,0),$A$515,INDEX(Техника!$H$1:$ABO$500,N$2,0),"П")</f>
        <v>0</v>
      </c>
      <c r="O518" s="50">
        <f>SUMIFS(INDEX(Техника!$F$1:$ABM$500,O$2,0),Техника!$F$4:$ABM$4,"Часы",INDEX(Техника!$G$1:$ABN$500,O$2,0),$A$515,INDEX(Техника!$H$1:$ABO$500,O$2,0),"П")</f>
        <v>0</v>
      </c>
      <c r="P518" s="50">
        <f>SUMIFS(INDEX(Техника!$F$1:$ABM$500,P$2,0),Техника!$F$4:$ABM$4,"Часы",INDEX(Техника!$G$1:$ABN$500,P$2,0),$A$515,INDEX(Техника!$H$1:$ABO$500,P$2,0),"П")</f>
        <v>0</v>
      </c>
      <c r="Q518" s="50">
        <f>SUMIFS(INDEX(Техника!$F$1:$ABM$500,Q$2,0),Техника!$F$4:$ABM$4,"Часы",INDEX(Техника!$G$1:$ABN$500,Q$2,0),$A$515,INDEX(Техника!$H$1:$ABO$500,Q$2,0),"П")</f>
        <v>0</v>
      </c>
      <c r="R518" s="50">
        <f>SUMIFS(INDEX(Техника!$F$1:$ABM$500,R$2,0),Техника!$F$4:$ABM$4,"Часы",INDEX(Техника!$G$1:$ABN$500,R$2,0),$A$515,INDEX(Техника!$H$1:$ABO$500,R$2,0),"П")</f>
        <v>0</v>
      </c>
      <c r="S518" s="50">
        <f>SUMIFS(INDEX(Техника!$F$1:$ABM$500,S$2,0),Техника!$F$4:$ABM$4,"Часы",INDEX(Техника!$G$1:$ABN$500,S$2,0),$A$515,INDEX(Техника!$H$1:$ABO$500,S$2,0),"П")</f>
        <v>0</v>
      </c>
      <c r="T518" s="50">
        <f>SUMIFS(INDEX(Техника!$F$1:$ABM$500,T$2,0),Техника!$F$4:$ABM$4,"Часы",INDEX(Техника!$G$1:$ABN$500,T$2,0),$A$515,INDEX(Техника!$H$1:$ABO$500,T$2,0),"П")</f>
        <v>0</v>
      </c>
      <c r="U518" s="50">
        <f>SUMIFS(INDEX(Техника!$F$1:$ABM$500,U$2,0),Техника!$F$4:$ABM$4,"Часы",INDEX(Техника!$G$1:$ABN$500,U$2,0),$A$515,INDEX(Техника!$H$1:$ABO$500,U$2,0),"П")</f>
        <v>0</v>
      </c>
      <c r="V518" s="50">
        <f>SUMIFS(INDEX(Техника!$F$1:$ABM$500,V$2,0),Техника!$F$4:$ABM$4,"Часы",INDEX(Техника!$G$1:$ABN$500,V$2,0),$A$515,INDEX(Техника!$H$1:$ABO$500,V$2,0),"П")</f>
        <v>0</v>
      </c>
      <c r="W518" s="50">
        <f>SUMIFS(INDEX(Техника!$F$1:$ABM$500,W$2,0),Техника!$F$4:$ABM$4,"Часы",INDEX(Техника!$G$1:$ABN$500,W$2,0),$A$515,INDEX(Техника!$H$1:$ABO$500,W$2,0),"П")</f>
        <v>0</v>
      </c>
      <c r="X518" s="50">
        <f>SUMIFS(INDEX(Техника!$F$1:$ABM$500,X$2,0),Техника!$F$4:$ABM$4,"Часы",INDEX(Техника!$G$1:$ABN$500,X$2,0),$A$515,INDEX(Техника!$H$1:$ABO$500,X$2,0),"П")</f>
        <v>0</v>
      </c>
      <c r="Y518" s="50">
        <f>SUMIFS(INDEX(Техника!$F$1:$ABM$500,Y$2,0),Техника!$F$4:$ABM$4,"Часы",INDEX(Техника!$G$1:$ABN$500,Y$2,0),$A$515,INDEX(Техника!$H$1:$ABO$500,Y$2,0),"П")</f>
        <v>0</v>
      </c>
      <c r="Z518" s="50">
        <f>SUMIFS(INDEX(Техника!$F$1:$ABM$500,Z$2,0),Техника!$F$4:$ABM$4,"Часы",INDEX(Техника!$G$1:$ABN$500,Z$2,0),$A$515,INDEX(Техника!$H$1:$ABO$500,Z$2,0),"П")</f>
        <v>0</v>
      </c>
      <c r="AA518" s="50">
        <f>SUMIFS(INDEX(Техника!$F$1:$ABM$500,AA$2,0),Техника!$F$4:$ABM$4,"Часы",INDEX(Техника!$G$1:$ABN$500,AA$2,0),$A$515,INDEX(Техника!$H$1:$ABO$500,AA$2,0),"П")</f>
        <v>0</v>
      </c>
      <c r="AB518" s="50">
        <f>SUMIFS(INDEX(Техника!$F$1:$ABM$500,AB$2,0),Техника!$F$4:$ABM$4,"Часы",INDEX(Техника!$G$1:$ABN$500,AB$2,0),$A$515,INDEX(Техника!$H$1:$ABO$500,AB$2,0),"П")</f>
        <v>0</v>
      </c>
    </row>
    <row r="519" spans="1:28" hidden="1" outlineLevel="1" x14ac:dyDescent="0.3">
      <c r="A519" s="33" t="s">
        <v>243</v>
      </c>
      <c r="B519" s="34" t="s">
        <v>278</v>
      </c>
      <c r="C519" s="50">
        <f>SUMIFS(INDEX(Техника!$F$1:$ABM$500,C$2,0),Техника!$F$4:$ABM$4,"Часы",INDEX(Техника!$G$1:$ABN$500,C$2,0),$A$515,INDEX(Техника!$H$1:$ABO$500,C$2,0),"Л")</f>
        <v>0</v>
      </c>
      <c r="D519" s="50">
        <f>SUMIFS(INDEX(Техника!$F$1:$ABM$500,D$2,0),Техника!$F$4:$ABM$4,"Часы",INDEX(Техника!$G$1:$ABN$500,D$2,0),$A$515,INDEX(Техника!$H$1:$ABO$500,D$2,0),"Л")</f>
        <v>0</v>
      </c>
      <c r="E519" s="50">
        <f>SUMIFS(INDEX(Техника!$F$1:$ABM$500,E$2,0),Техника!$F$4:$ABM$4,"Часы",INDEX(Техника!$G$1:$ABN$500,E$2,0),$A$515,INDEX(Техника!$H$1:$ABO$500,E$2,0),"Л")</f>
        <v>0</v>
      </c>
      <c r="F519" s="50">
        <f>SUMIFS(INDEX(Техника!$F$1:$ABM$500,F$2,0),Техника!$F$4:$ABM$4,"Часы",INDEX(Техника!$G$1:$ABN$500,F$2,0),$A$515,INDEX(Техника!$H$1:$ABO$500,F$2,0),"Л")</f>
        <v>0</v>
      </c>
      <c r="G519" s="50">
        <f>SUMIFS(INDEX(Техника!$F$1:$ABM$500,G$2,0),Техника!$F$4:$ABM$4,"Часы",INDEX(Техника!$G$1:$ABN$500,G$2,0),$A$515,INDEX(Техника!$H$1:$ABO$500,G$2,0),"Л")</f>
        <v>0</v>
      </c>
      <c r="H519" s="50">
        <f>SUMIFS(INDEX(Техника!$F$1:$ABM$500,H$2,0),Техника!$F$4:$ABM$4,"Часы",INDEX(Техника!$G$1:$ABN$500,H$2,0),$A$515,INDEX(Техника!$H$1:$ABO$500,H$2,0),"Л")</f>
        <v>0</v>
      </c>
      <c r="I519" s="50">
        <f>SUMIFS(INDEX(Техника!$F$1:$ABM$500,I$2,0),Техника!$F$4:$ABM$4,"Часы",INDEX(Техника!$G$1:$ABN$500,I$2,0),$A$515,INDEX(Техника!$H$1:$ABO$500,I$2,0),"Л")</f>
        <v>0</v>
      </c>
      <c r="J519" s="50">
        <f>SUMIFS(INDEX(Техника!$F$1:$ABM$500,J$2,0),Техника!$F$4:$ABM$4,"Часы",INDEX(Техника!$G$1:$ABN$500,J$2,0),$A$515,INDEX(Техника!$H$1:$ABO$500,J$2,0),"Л")</f>
        <v>0</v>
      </c>
      <c r="K519" s="50">
        <f>SUMIFS(INDEX(Техника!$F$1:$ABM$500,K$2,0),Техника!$F$4:$ABM$4,"Часы",INDEX(Техника!$G$1:$ABN$500,K$2,0),$A$515,INDEX(Техника!$H$1:$ABO$500,K$2,0),"Л")</f>
        <v>0</v>
      </c>
      <c r="L519" s="50">
        <f>SUMIFS(INDEX(Техника!$F$1:$ABM$500,L$2,0),Техника!$F$4:$ABM$4,"Часы",INDEX(Техника!$G$1:$ABN$500,L$2,0),$A$515,INDEX(Техника!$H$1:$ABO$500,L$2,0),"Л")</f>
        <v>0</v>
      </c>
      <c r="M519" s="50">
        <f>SUMIFS(INDEX(Техника!$F$1:$ABM$500,M$2,0),Техника!$F$4:$ABM$4,"Часы",INDEX(Техника!$G$1:$ABN$500,M$2,0),$A$515,INDEX(Техника!$H$1:$ABO$500,M$2,0),"Л")</f>
        <v>0</v>
      </c>
      <c r="N519" s="50">
        <f>SUMIFS(INDEX(Техника!$F$1:$ABM$500,N$2,0),Техника!$F$4:$ABM$4,"Часы",INDEX(Техника!$G$1:$ABN$500,N$2,0),$A$515,INDEX(Техника!$H$1:$ABO$500,N$2,0),"Л")</f>
        <v>0</v>
      </c>
      <c r="O519" s="50">
        <f>SUMIFS(INDEX(Техника!$F$1:$ABM$500,O$2,0),Техника!$F$4:$ABM$4,"Часы",INDEX(Техника!$G$1:$ABN$500,O$2,0),$A$515,INDEX(Техника!$H$1:$ABO$500,O$2,0),"Л")</f>
        <v>0</v>
      </c>
      <c r="P519" s="50">
        <f>SUMIFS(INDEX(Техника!$F$1:$ABM$500,P$2,0),Техника!$F$4:$ABM$4,"Часы",INDEX(Техника!$G$1:$ABN$500,P$2,0),$A$515,INDEX(Техника!$H$1:$ABO$500,P$2,0),"Л")</f>
        <v>0</v>
      </c>
      <c r="Q519" s="50">
        <f>SUMIFS(INDEX(Техника!$F$1:$ABM$500,Q$2,0),Техника!$F$4:$ABM$4,"Часы",INDEX(Техника!$G$1:$ABN$500,Q$2,0),$A$515,INDEX(Техника!$H$1:$ABO$500,Q$2,0),"Л")</f>
        <v>0</v>
      </c>
      <c r="R519" s="50">
        <f>SUMIFS(INDEX(Техника!$F$1:$ABM$500,R$2,0),Техника!$F$4:$ABM$4,"Часы",INDEX(Техника!$G$1:$ABN$500,R$2,0),$A$515,INDEX(Техника!$H$1:$ABO$500,R$2,0),"Л")</f>
        <v>0</v>
      </c>
      <c r="S519" s="50">
        <f>SUMIFS(INDEX(Техника!$F$1:$ABM$500,S$2,0),Техника!$F$4:$ABM$4,"Часы",INDEX(Техника!$G$1:$ABN$500,S$2,0),$A$515,INDEX(Техника!$H$1:$ABO$500,S$2,0),"Л")</f>
        <v>0</v>
      </c>
      <c r="T519" s="50">
        <f>SUMIFS(INDEX(Техника!$F$1:$ABM$500,T$2,0),Техника!$F$4:$ABM$4,"Часы",INDEX(Техника!$G$1:$ABN$500,T$2,0),$A$515,INDEX(Техника!$H$1:$ABO$500,T$2,0),"Л")</f>
        <v>0</v>
      </c>
      <c r="U519" s="50">
        <f>SUMIFS(INDEX(Техника!$F$1:$ABM$500,U$2,0),Техника!$F$4:$ABM$4,"Часы",INDEX(Техника!$G$1:$ABN$500,U$2,0),$A$515,INDEX(Техника!$H$1:$ABO$500,U$2,0),"Л")</f>
        <v>0</v>
      </c>
      <c r="V519" s="50">
        <f>SUMIFS(INDEX(Техника!$F$1:$ABM$500,V$2,0),Техника!$F$4:$ABM$4,"Часы",INDEX(Техника!$G$1:$ABN$500,V$2,0),$A$515,INDEX(Техника!$H$1:$ABO$500,V$2,0),"Л")</f>
        <v>0</v>
      </c>
      <c r="W519" s="50">
        <f>SUMIFS(INDEX(Техника!$F$1:$ABM$500,W$2,0),Техника!$F$4:$ABM$4,"Часы",INDEX(Техника!$G$1:$ABN$500,W$2,0),$A$515,INDEX(Техника!$H$1:$ABO$500,W$2,0),"Л")</f>
        <v>0</v>
      </c>
      <c r="X519" s="50">
        <f>SUMIFS(INDEX(Техника!$F$1:$ABM$500,X$2,0),Техника!$F$4:$ABM$4,"Часы",INDEX(Техника!$G$1:$ABN$500,X$2,0),$A$515,INDEX(Техника!$H$1:$ABO$500,X$2,0),"Л")</f>
        <v>0</v>
      </c>
      <c r="Y519" s="50">
        <f>SUMIFS(INDEX(Техника!$F$1:$ABM$500,Y$2,0),Техника!$F$4:$ABM$4,"Часы",INDEX(Техника!$G$1:$ABN$500,Y$2,0),$A$515,INDEX(Техника!$H$1:$ABO$500,Y$2,0),"Л")</f>
        <v>0</v>
      </c>
      <c r="Z519" s="50">
        <f>SUMIFS(INDEX(Техника!$F$1:$ABM$500,Z$2,0),Техника!$F$4:$ABM$4,"Часы",INDEX(Техника!$G$1:$ABN$500,Z$2,0),$A$515,INDEX(Техника!$H$1:$ABO$500,Z$2,0),"Л")</f>
        <v>0</v>
      </c>
      <c r="AA519" s="50">
        <f>SUMIFS(INDEX(Техника!$F$1:$ABM$500,AA$2,0),Техника!$F$4:$ABM$4,"Часы",INDEX(Техника!$G$1:$ABN$500,AA$2,0),$A$515,INDEX(Техника!$H$1:$ABO$500,AA$2,0),"Л")</f>
        <v>0</v>
      </c>
      <c r="AB519" s="50">
        <f>SUMIFS(INDEX(Техника!$F$1:$ABM$500,AB$2,0),Техника!$F$4:$ABM$4,"Часы",INDEX(Техника!$G$1:$ABN$500,AB$2,0),$A$515,INDEX(Техника!$H$1:$ABO$500,AB$2,0),"Л")</f>
        <v>0</v>
      </c>
    </row>
    <row r="520" spans="1:28" hidden="1" outlineLevel="1" x14ac:dyDescent="0.3">
      <c r="A520" s="33" t="s">
        <v>245</v>
      </c>
      <c r="B520" s="34" t="s">
        <v>279</v>
      </c>
      <c r="C520" s="50">
        <f>SUMIFS(INDEX(Техника!$F$1:$ABM$500,C$2,0),Техника!$F$4:$ABM$4,"Часы",INDEX(Техника!$G$1:$ABN$500,C$2,0),$A$515,INDEX(Техника!$H$1:$ABO$500,C$2,0),"З")</f>
        <v>0</v>
      </c>
      <c r="D520" s="50">
        <f>SUMIFS(INDEX(Техника!$F$1:$ABM$500,D$2,0),Техника!$F$4:$ABM$4,"Часы",INDEX(Техника!$G$1:$ABN$500,D$2,0),$A$515,INDEX(Техника!$H$1:$ABO$500,D$2,0),"З")</f>
        <v>0</v>
      </c>
      <c r="E520" s="50">
        <f>SUMIFS(INDEX(Техника!$F$1:$ABM$500,E$2,0),Техника!$F$4:$ABM$4,"Часы",INDEX(Техника!$G$1:$ABN$500,E$2,0),$A$515,INDEX(Техника!$H$1:$ABO$500,E$2,0),"З")</f>
        <v>0</v>
      </c>
      <c r="F520" s="50">
        <f>SUMIFS(INDEX(Техника!$F$1:$ABM$500,F$2,0),Техника!$F$4:$ABM$4,"Часы",INDEX(Техника!$G$1:$ABN$500,F$2,0),$A$515,INDEX(Техника!$H$1:$ABO$500,F$2,0),"З")</f>
        <v>0</v>
      </c>
      <c r="G520" s="50">
        <f>SUMIFS(INDEX(Техника!$F$1:$ABM$500,G$2,0),Техника!$F$4:$ABM$4,"Часы",INDEX(Техника!$G$1:$ABN$500,G$2,0),$A$515,INDEX(Техника!$H$1:$ABO$500,G$2,0),"З")</f>
        <v>0</v>
      </c>
      <c r="H520" s="50">
        <f>SUMIFS(INDEX(Техника!$F$1:$ABM$500,H$2,0),Техника!$F$4:$ABM$4,"Часы",INDEX(Техника!$G$1:$ABN$500,H$2,0),$A$515,INDEX(Техника!$H$1:$ABO$500,H$2,0),"З")</f>
        <v>0</v>
      </c>
      <c r="I520" s="50">
        <f>SUMIFS(INDEX(Техника!$F$1:$ABM$500,I$2,0),Техника!$F$4:$ABM$4,"Часы",INDEX(Техника!$G$1:$ABN$500,I$2,0),$A$515,INDEX(Техника!$H$1:$ABO$500,I$2,0),"З")</f>
        <v>0</v>
      </c>
      <c r="J520" s="50">
        <f>SUMIFS(INDEX(Техника!$F$1:$ABM$500,J$2,0),Техника!$F$4:$ABM$4,"Часы",INDEX(Техника!$G$1:$ABN$500,J$2,0),$A$515,INDEX(Техника!$H$1:$ABO$500,J$2,0),"З")</f>
        <v>0</v>
      </c>
      <c r="K520" s="50">
        <f>SUMIFS(INDEX(Техника!$F$1:$ABM$500,K$2,0),Техника!$F$4:$ABM$4,"Часы",INDEX(Техника!$G$1:$ABN$500,K$2,0),$A$515,INDEX(Техника!$H$1:$ABO$500,K$2,0),"З")</f>
        <v>0</v>
      </c>
      <c r="L520" s="50">
        <f>SUMIFS(INDEX(Техника!$F$1:$ABM$500,L$2,0),Техника!$F$4:$ABM$4,"Часы",INDEX(Техника!$G$1:$ABN$500,L$2,0),$A$515,INDEX(Техника!$H$1:$ABO$500,L$2,0),"З")</f>
        <v>0</v>
      </c>
      <c r="M520" s="50">
        <f>SUMIFS(INDEX(Техника!$F$1:$ABM$500,M$2,0),Техника!$F$4:$ABM$4,"Часы",INDEX(Техника!$G$1:$ABN$500,M$2,0),$A$515,INDEX(Техника!$H$1:$ABO$500,M$2,0),"З")</f>
        <v>0</v>
      </c>
      <c r="N520" s="50">
        <f>SUMIFS(INDEX(Техника!$F$1:$ABM$500,N$2,0),Техника!$F$4:$ABM$4,"Часы",INDEX(Техника!$G$1:$ABN$500,N$2,0),$A$515,INDEX(Техника!$H$1:$ABO$500,N$2,0),"З")</f>
        <v>0</v>
      </c>
      <c r="O520" s="50">
        <f>SUMIFS(INDEX(Техника!$F$1:$ABM$500,O$2,0),Техника!$F$4:$ABM$4,"Часы",INDEX(Техника!$G$1:$ABN$500,O$2,0),$A$515,INDEX(Техника!$H$1:$ABO$500,O$2,0),"З")</f>
        <v>0</v>
      </c>
      <c r="P520" s="50">
        <f>SUMIFS(INDEX(Техника!$F$1:$ABM$500,P$2,0),Техника!$F$4:$ABM$4,"Часы",INDEX(Техника!$G$1:$ABN$500,P$2,0),$A$515,INDEX(Техника!$H$1:$ABO$500,P$2,0),"З")</f>
        <v>0</v>
      </c>
      <c r="Q520" s="50">
        <f>SUMIFS(INDEX(Техника!$F$1:$ABM$500,Q$2,0),Техника!$F$4:$ABM$4,"Часы",INDEX(Техника!$G$1:$ABN$500,Q$2,0),$A$515,INDEX(Техника!$H$1:$ABO$500,Q$2,0),"З")</f>
        <v>0</v>
      </c>
      <c r="R520" s="50">
        <f>SUMIFS(INDEX(Техника!$F$1:$ABM$500,R$2,0),Техника!$F$4:$ABM$4,"Часы",INDEX(Техника!$G$1:$ABN$500,R$2,0),$A$515,INDEX(Техника!$H$1:$ABO$500,R$2,0),"З")</f>
        <v>0</v>
      </c>
      <c r="S520" s="50">
        <f>SUMIFS(INDEX(Техника!$F$1:$ABM$500,S$2,0),Техника!$F$4:$ABM$4,"Часы",INDEX(Техника!$G$1:$ABN$500,S$2,0),$A$515,INDEX(Техника!$H$1:$ABO$500,S$2,0),"З")</f>
        <v>0</v>
      </c>
      <c r="T520" s="50">
        <f>SUMIFS(INDEX(Техника!$F$1:$ABM$500,T$2,0),Техника!$F$4:$ABM$4,"Часы",INDEX(Техника!$G$1:$ABN$500,T$2,0),$A$515,INDEX(Техника!$H$1:$ABO$500,T$2,0),"З")</f>
        <v>0</v>
      </c>
      <c r="U520" s="50">
        <f>SUMIFS(INDEX(Техника!$F$1:$ABM$500,U$2,0),Техника!$F$4:$ABM$4,"Часы",INDEX(Техника!$G$1:$ABN$500,U$2,0),$A$515,INDEX(Техника!$H$1:$ABO$500,U$2,0),"З")</f>
        <v>0</v>
      </c>
      <c r="V520" s="50">
        <f>SUMIFS(INDEX(Техника!$F$1:$ABM$500,V$2,0),Техника!$F$4:$ABM$4,"Часы",INDEX(Техника!$G$1:$ABN$500,V$2,0),$A$515,INDEX(Техника!$H$1:$ABO$500,V$2,0),"З")</f>
        <v>0</v>
      </c>
      <c r="W520" s="50">
        <f>SUMIFS(INDEX(Техника!$F$1:$ABM$500,W$2,0),Техника!$F$4:$ABM$4,"Часы",INDEX(Техника!$G$1:$ABN$500,W$2,0),$A$515,INDEX(Техника!$H$1:$ABO$500,W$2,0),"З")</f>
        <v>0</v>
      </c>
      <c r="X520" s="50">
        <f>SUMIFS(INDEX(Техника!$F$1:$ABM$500,X$2,0),Техника!$F$4:$ABM$4,"Часы",INDEX(Техника!$G$1:$ABN$500,X$2,0),$A$515,INDEX(Техника!$H$1:$ABO$500,X$2,0),"З")</f>
        <v>0</v>
      </c>
      <c r="Y520" s="50">
        <f>SUMIFS(INDEX(Техника!$F$1:$ABM$500,Y$2,0),Техника!$F$4:$ABM$4,"Часы",INDEX(Техника!$G$1:$ABN$500,Y$2,0),$A$515,INDEX(Техника!$H$1:$ABO$500,Y$2,0),"З")</f>
        <v>0</v>
      </c>
      <c r="Z520" s="50">
        <f>SUMIFS(INDEX(Техника!$F$1:$ABM$500,Z$2,0),Техника!$F$4:$ABM$4,"Часы",INDEX(Техника!$G$1:$ABN$500,Z$2,0),$A$515,INDEX(Техника!$H$1:$ABO$500,Z$2,0),"З")</f>
        <v>0</v>
      </c>
      <c r="AA520" s="50">
        <f>SUMIFS(INDEX(Техника!$F$1:$ABM$500,AA$2,0),Техника!$F$4:$ABM$4,"Часы",INDEX(Техника!$G$1:$ABN$500,AA$2,0),$A$515,INDEX(Техника!$H$1:$ABO$500,AA$2,0),"З")</f>
        <v>0</v>
      </c>
      <c r="AB520" s="50">
        <f>SUMIFS(INDEX(Техника!$F$1:$ABM$500,AB$2,0),Техника!$F$4:$ABM$4,"Часы",INDEX(Техника!$G$1:$ABN$500,AB$2,0),$A$515,INDEX(Техника!$H$1:$ABO$500,AB$2,0),"З")</f>
        <v>0</v>
      </c>
    </row>
    <row r="521" spans="1:28" ht="7.95" customHeight="1" x14ac:dyDescent="0.3">
      <c r="A521" s="38"/>
      <c r="B521" s="39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</row>
    <row r="522" spans="1:28" ht="25.05" customHeight="1" collapsed="1" x14ac:dyDescent="0.3">
      <c r="A522" s="32">
        <v>75</v>
      </c>
      <c r="B522" s="32" t="s">
        <v>76</v>
      </c>
      <c r="C522" s="49">
        <f>SUM(C523:C527)</f>
        <v>0</v>
      </c>
      <c r="D522" s="49">
        <f>SUM(D523:D527)</f>
        <v>0</v>
      </c>
      <c r="E522" s="49">
        <f>SUM(E523:E527)</f>
        <v>0</v>
      </c>
      <c r="F522" s="49">
        <f>SUM(F523:F527)</f>
        <v>0</v>
      </c>
      <c r="G522" s="49">
        <f>SUM(G523:G527)</f>
        <v>0</v>
      </c>
      <c r="H522" s="49">
        <f>SUM(H523:H527)</f>
        <v>0</v>
      </c>
      <c r="I522" s="49">
        <f>SUM(I523:I527)</f>
        <v>0</v>
      </c>
      <c r="J522" s="49">
        <f>SUM(J523:J527)</f>
        <v>0</v>
      </c>
      <c r="K522" s="49">
        <f>SUM(K523:K527)</f>
        <v>0</v>
      </c>
      <c r="L522" s="49">
        <f>SUM(L523:L527)</f>
        <v>0</v>
      </c>
      <c r="M522" s="49">
        <f>SUM(M523:M527)</f>
        <v>0</v>
      </c>
      <c r="N522" s="49">
        <f>SUM(N523:N527)</f>
        <v>0</v>
      </c>
      <c r="O522" s="49">
        <f>SUM(O523:O527)</f>
        <v>0</v>
      </c>
      <c r="P522" s="49">
        <f>SUM(P523:P527)</f>
        <v>0</v>
      </c>
      <c r="Q522" s="49">
        <f>SUM(Q523:Q527)</f>
        <v>0</v>
      </c>
      <c r="R522" s="49">
        <f>SUM(R523:R527)</f>
        <v>0</v>
      </c>
      <c r="S522" s="49">
        <f>SUM(S523:S527)</f>
        <v>0</v>
      </c>
      <c r="T522" s="49">
        <f>SUM(T523:T527)</f>
        <v>0</v>
      </c>
      <c r="U522" s="49">
        <f>SUM(U523:U527)</f>
        <v>0</v>
      </c>
      <c r="V522" s="49">
        <f>SUM(V523:V527)</f>
        <v>0</v>
      </c>
      <c r="W522" s="49">
        <f>SUM(W523:W527)</f>
        <v>0</v>
      </c>
      <c r="X522" s="49">
        <f>SUM(X523:X527)</f>
        <v>0</v>
      </c>
      <c r="Y522" s="49">
        <f>SUM(Y523:Y527)</f>
        <v>0</v>
      </c>
      <c r="Z522" s="49">
        <f>SUM(Z523:Z527)</f>
        <v>0</v>
      </c>
      <c r="AA522" s="49">
        <f>SUM(AA523:AA527)</f>
        <v>0</v>
      </c>
      <c r="AB522" s="49">
        <f>SUM(AB523:AB527)</f>
        <v>0</v>
      </c>
    </row>
    <row r="523" spans="1:28" hidden="1" outlineLevel="1" x14ac:dyDescent="0.3">
      <c r="A523" s="33" t="s">
        <v>246</v>
      </c>
      <c r="B523" s="34" t="s">
        <v>274</v>
      </c>
      <c r="C523" s="50">
        <f>SUMIFS(INDEX(Техника!$F$1:$ABM$500,C$2,0),Техника!$F$4:$ABM$4,"Часы",INDEX(Техника!$G$1:$ABN$500,C$2,0),$A$522,INDEX(Техника!$H$1:$ABO$500,C$2,0),"М")</f>
        <v>0</v>
      </c>
      <c r="D523" s="50">
        <f>SUMIFS(INDEX(Техника!$F$1:$ABM$500,D$2,0),Техника!$F$4:$ABM$4,"Часы",INDEX(Техника!$G$1:$ABN$500,D$2,0),$A$522,INDEX(Техника!$H$1:$ABO$500,D$2,0),"М")</f>
        <v>0</v>
      </c>
      <c r="E523" s="50">
        <f>SUMIFS(INDEX(Техника!$F$1:$ABM$500,E$2,0),Техника!$F$4:$ABM$4,"Часы",INDEX(Техника!$G$1:$ABN$500,E$2,0),$A$522,INDEX(Техника!$H$1:$ABO$500,E$2,0),"М")</f>
        <v>0</v>
      </c>
      <c r="F523" s="50">
        <f>SUMIFS(INDEX(Техника!$F$1:$ABM$500,F$2,0),Техника!$F$4:$ABM$4,"Часы",INDEX(Техника!$G$1:$ABN$500,F$2,0),$A$522,INDEX(Техника!$H$1:$ABO$500,F$2,0),"М")</f>
        <v>0</v>
      </c>
      <c r="G523" s="50">
        <f>SUMIFS(INDEX(Техника!$F$1:$ABM$500,G$2,0),Техника!$F$4:$ABM$4,"Часы",INDEX(Техника!$G$1:$ABN$500,G$2,0),$A$522,INDEX(Техника!$H$1:$ABO$500,G$2,0),"М")</f>
        <v>0</v>
      </c>
      <c r="H523" s="50">
        <f>SUMIFS(INDEX(Техника!$F$1:$ABM$500,H$2,0),Техника!$F$4:$ABM$4,"Часы",INDEX(Техника!$G$1:$ABN$500,H$2,0),$A$522,INDEX(Техника!$H$1:$ABO$500,H$2,0),"М")</f>
        <v>0</v>
      </c>
      <c r="I523" s="50">
        <f>SUMIFS(INDEX(Техника!$F$1:$ABM$500,I$2,0),Техника!$F$4:$ABM$4,"Часы",INDEX(Техника!$G$1:$ABN$500,I$2,0),$A$522,INDEX(Техника!$H$1:$ABO$500,I$2,0),"М")</f>
        <v>0</v>
      </c>
      <c r="J523" s="50">
        <f>SUMIFS(INDEX(Техника!$F$1:$ABM$500,J$2,0),Техника!$F$4:$ABM$4,"Часы",INDEX(Техника!$G$1:$ABN$500,J$2,0),$A$522,INDEX(Техника!$H$1:$ABO$500,J$2,0),"М")</f>
        <v>0</v>
      </c>
      <c r="K523" s="50">
        <f>SUMIFS(INDEX(Техника!$F$1:$ABM$500,K$2,0),Техника!$F$4:$ABM$4,"Часы",INDEX(Техника!$G$1:$ABN$500,K$2,0),$A$522,INDEX(Техника!$H$1:$ABO$500,K$2,0),"М")</f>
        <v>0</v>
      </c>
      <c r="L523" s="50">
        <f>SUMIFS(INDEX(Техника!$F$1:$ABM$500,L$2,0),Техника!$F$4:$ABM$4,"Часы",INDEX(Техника!$G$1:$ABN$500,L$2,0),$A$522,INDEX(Техника!$H$1:$ABO$500,L$2,0),"М")</f>
        <v>0</v>
      </c>
      <c r="M523" s="50">
        <f>SUMIFS(INDEX(Техника!$F$1:$ABM$500,M$2,0),Техника!$F$4:$ABM$4,"Часы",INDEX(Техника!$G$1:$ABN$500,M$2,0),$A$522,INDEX(Техника!$H$1:$ABO$500,M$2,0),"М")</f>
        <v>0</v>
      </c>
      <c r="N523" s="50">
        <f>SUMIFS(INDEX(Техника!$F$1:$ABM$500,N$2,0),Техника!$F$4:$ABM$4,"Часы",INDEX(Техника!$G$1:$ABN$500,N$2,0),$A$522,INDEX(Техника!$H$1:$ABO$500,N$2,0),"М")</f>
        <v>0</v>
      </c>
      <c r="O523" s="50">
        <f>SUMIFS(INDEX(Техника!$F$1:$ABM$500,O$2,0),Техника!$F$4:$ABM$4,"Часы",INDEX(Техника!$G$1:$ABN$500,O$2,0),$A$522,INDEX(Техника!$H$1:$ABO$500,O$2,0),"М")</f>
        <v>0</v>
      </c>
      <c r="P523" s="50">
        <f>SUMIFS(INDEX(Техника!$F$1:$ABM$500,P$2,0),Техника!$F$4:$ABM$4,"Часы",INDEX(Техника!$G$1:$ABN$500,P$2,0),$A$522,INDEX(Техника!$H$1:$ABO$500,P$2,0),"М")</f>
        <v>0</v>
      </c>
      <c r="Q523" s="50">
        <f>SUMIFS(INDEX(Техника!$F$1:$ABM$500,Q$2,0),Техника!$F$4:$ABM$4,"Часы",INDEX(Техника!$G$1:$ABN$500,Q$2,0),$A$522,INDEX(Техника!$H$1:$ABO$500,Q$2,0),"М")</f>
        <v>0</v>
      </c>
      <c r="R523" s="50">
        <f>SUMIFS(INDEX(Техника!$F$1:$ABM$500,R$2,0),Техника!$F$4:$ABM$4,"Часы",INDEX(Техника!$G$1:$ABN$500,R$2,0),$A$522,INDEX(Техника!$H$1:$ABO$500,R$2,0),"М")</f>
        <v>0</v>
      </c>
      <c r="S523" s="50">
        <f>SUMIFS(INDEX(Техника!$F$1:$ABM$500,S$2,0),Техника!$F$4:$ABM$4,"Часы",INDEX(Техника!$G$1:$ABN$500,S$2,0),$A$522,INDEX(Техника!$H$1:$ABO$500,S$2,0),"М")</f>
        <v>0</v>
      </c>
      <c r="T523" s="50">
        <f>SUMIFS(INDEX(Техника!$F$1:$ABM$500,T$2,0),Техника!$F$4:$ABM$4,"Часы",INDEX(Техника!$G$1:$ABN$500,T$2,0),$A$522,INDEX(Техника!$H$1:$ABO$500,T$2,0),"М")</f>
        <v>0</v>
      </c>
      <c r="U523" s="50">
        <f>SUMIFS(INDEX(Техника!$F$1:$ABM$500,U$2,0),Техника!$F$4:$ABM$4,"Часы",INDEX(Техника!$G$1:$ABN$500,U$2,0),$A$522,INDEX(Техника!$H$1:$ABO$500,U$2,0),"М")</f>
        <v>0</v>
      </c>
      <c r="V523" s="50">
        <f>SUMIFS(INDEX(Техника!$F$1:$ABM$500,V$2,0),Техника!$F$4:$ABM$4,"Часы",INDEX(Техника!$G$1:$ABN$500,V$2,0),$A$522,INDEX(Техника!$H$1:$ABO$500,V$2,0),"М")</f>
        <v>0</v>
      </c>
      <c r="W523" s="50">
        <f>SUMIFS(INDEX(Техника!$F$1:$ABM$500,W$2,0),Техника!$F$4:$ABM$4,"Часы",INDEX(Техника!$G$1:$ABN$500,W$2,0),$A$522,INDEX(Техника!$H$1:$ABO$500,W$2,0),"М")</f>
        <v>0</v>
      </c>
      <c r="X523" s="50">
        <f>SUMIFS(INDEX(Техника!$F$1:$ABM$500,X$2,0),Техника!$F$4:$ABM$4,"Часы",INDEX(Техника!$G$1:$ABN$500,X$2,0),$A$522,INDEX(Техника!$H$1:$ABO$500,X$2,0),"М")</f>
        <v>0</v>
      </c>
      <c r="Y523" s="50">
        <f>SUMIFS(INDEX(Техника!$F$1:$ABM$500,Y$2,0),Техника!$F$4:$ABM$4,"Часы",INDEX(Техника!$G$1:$ABN$500,Y$2,0),$A$522,INDEX(Техника!$H$1:$ABO$500,Y$2,0),"М")</f>
        <v>0</v>
      </c>
      <c r="Z523" s="50">
        <f>SUMIFS(INDEX(Техника!$F$1:$ABM$500,Z$2,0),Техника!$F$4:$ABM$4,"Часы",INDEX(Техника!$G$1:$ABN$500,Z$2,0),$A$522,INDEX(Техника!$H$1:$ABO$500,Z$2,0),"М")</f>
        <v>0</v>
      </c>
      <c r="AA523" s="50">
        <f>SUMIFS(INDEX(Техника!$F$1:$ABM$500,AA$2,0),Техника!$F$4:$ABM$4,"Часы",INDEX(Техника!$G$1:$ABN$500,AA$2,0),$A$522,INDEX(Техника!$H$1:$ABO$500,AA$2,0),"М")</f>
        <v>0</v>
      </c>
      <c r="AB523" s="50">
        <f>SUMIFS(INDEX(Техника!$F$1:$ABM$500,AB$2,0),Техника!$F$4:$ABM$4,"Часы",INDEX(Техника!$G$1:$ABN$500,AB$2,0),$A$522,INDEX(Техника!$H$1:$ABO$500,AB$2,0),"М")</f>
        <v>0</v>
      </c>
    </row>
    <row r="524" spans="1:28" hidden="1" outlineLevel="1" x14ac:dyDescent="0.3">
      <c r="A524" s="33" t="s">
        <v>244</v>
      </c>
      <c r="B524" s="34" t="s">
        <v>275</v>
      </c>
      <c r="C524" s="50">
        <f>SUMIFS(INDEX(Техника!$F$1:$ABM$500,C$2,0),Техника!$F$4:$ABM$4,"Часы",INDEX(Техника!$G$1:$ABN$500,C$2,0),$A$522,INDEX(Техника!$H$1:$ABO$500,C$2,0),"Д")</f>
        <v>0</v>
      </c>
      <c r="D524" s="50">
        <f>SUMIFS(INDEX(Техника!$F$1:$ABM$500,D$2,0),Техника!$F$4:$ABM$4,"Часы",INDEX(Техника!$G$1:$ABN$500,D$2,0),$A$522,INDEX(Техника!$H$1:$ABO$500,D$2,0),"Д")</f>
        <v>0</v>
      </c>
      <c r="E524" s="50">
        <f>SUMIFS(INDEX(Техника!$F$1:$ABM$500,E$2,0),Техника!$F$4:$ABM$4,"Часы",INDEX(Техника!$G$1:$ABN$500,E$2,0),$A$522,INDEX(Техника!$H$1:$ABO$500,E$2,0),"Д")</f>
        <v>0</v>
      </c>
      <c r="F524" s="50">
        <f>SUMIFS(INDEX(Техника!$F$1:$ABM$500,F$2,0),Техника!$F$4:$ABM$4,"Часы",INDEX(Техника!$G$1:$ABN$500,F$2,0),$A$522,INDEX(Техника!$H$1:$ABO$500,F$2,0),"Д")</f>
        <v>0</v>
      </c>
      <c r="G524" s="50">
        <f>SUMIFS(INDEX(Техника!$F$1:$ABM$500,G$2,0),Техника!$F$4:$ABM$4,"Часы",INDEX(Техника!$G$1:$ABN$500,G$2,0),$A$522,INDEX(Техника!$H$1:$ABO$500,G$2,0),"Д")</f>
        <v>0</v>
      </c>
      <c r="H524" s="50">
        <f>SUMIFS(INDEX(Техника!$F$1:$ABM$500,H$2,0),Техника!$F$4:$ABM$4,"Часы",INDEX(Техника!$G$1:$ABN$500,H$2,0),$A$522,INDEX(Техника!$H$1:$ABO$500,H$2,0),"Д")</f>
        <v>0</v>
      </c>
      <c r="I524" s="50">
        <f>SUMIFS(INDEX(Техника!$F$1:$ABM$500,I$2,0),Техника!$F$4:$ABM$4,"Часы",INDEX(Техника!$G$1:$ABN$500,I$2,0),$A$522,INDEX(Техника!$H$1:$ABO$500,I$2,0),"Д")</f>
        <v>0</v>
      </c>
      <c r="J524" s="50">
        <f>SUMIFS(INDEX(Техника!$F$1:$ABM$500,J$2,0),Техника!$F$4:$ABM$4,"Часы",INDEX(Техника!$G$1:$ABN$500,J$2,0),$A$522,INDEX(Техника!$H$1:$ABO$500,J$2,0),"Д")</f>
        <v>0</v>
      </c>
      <c r="K524" s="50">
        <f>SUMIFS(INDEX(Техника!$F$1:$ABM$500,K$2,0),Техника!$F$4:$ABM$4,"Часы",INDEX(Техника!$G$1:$ABN$500,K$2,0),$A$522,INDEX(Техника!$H$1:$ABO$500,K$2,0),"Д")</f>
        <v>0</v>
      </c>
      <c r="L524" s="50">
        <f>SUMIFS(INDEX(Техника!$F$1:$ABM$500,L$2,0),Техника!$F$4:$ABM$4,"Часы",INDEX(Техника!$G$1:$ABN$500,L$2,0),$A$522,INDEX(Техника!$H$1:$ABO$500,L$2,0),"Д")</f>
        <v>0</v>
      </c>
      <c r="M524" s="50">
        <f>SUMIFS(INDEX(Техника!$F$1:$ABM$500,M$2,0),Техника!$F$4:$ABM$4,"Часы",INDEX(Техника!$G$1:$ABN$500,M$2,0),$A$522,INDEX(Техника!$H$1:$ABO$500,M$2,0),"Д")</f>
        <v>0</v>
      </c>
      <c r="N524" s="50">
        <f>SUMIFS(INDEX(Техника!$F$1:$ABM$500,N$2,0),Техника!$F$4:$ABM$4,"Часы",INDEX(Техника!$G$1:$ABN$500,N$2,0),$A$522,INDEX(Техника!$H$1:$ABO$500,N$2,0),"Д")</f>
        <v>0</v>
      </c>
      <c r="O524" s="50">
        <f>SUMIFS(INDEX(Техника!$F$1:$ABM$500,O$2,0),Техника!$F$4:$ABM$4,"Часы",INDEX(Техника!$G$1:$ABN$500,O$2,0),$A$522,INDEX(Техника!$H$1:$ABO$500,O$2,0),"Д")</f>
        <v>0</v>
      </c>
      <c r="P524" s="50">
        <f>SUMIFS(INDEX(Техника!$F$1:$ABM$500,P$2,0),Техника!$F$4:$ABM$4,"Часы",INDEX(Техника!$G$1:$ABN$500,P$2,0),$A$522,INDEX(Техника!$H$1:$ABO$500,P$2,0),"Д")</f>
        <v>0</v>
      </c>
      <c r="Q524" s="50">
        <f>SUMIFS(INDEX(Техника!$F$1:$ABM$500,Q$2,0),Техника!$F$4:$ABM$4,"Часы",INDEX(Техника!$G$1:$ABN$500,Q$2,0),$A$522,INDEX(Техника!$H$1:$ABO$500,Q$2,0),"Д")</f>
        <v>0</v>
      </c>
      <c r="R524" s="50">
        <f>SUMIFS(INDEX(Техника!$F$1:$ABM$500,R$2,0),Техника!$F$4:$ABM$4,"Часы",INDEX(Техника!$G$1:$ABN$500,R$2,0),$A$522,INDEX(Техника!$H$1:$ABO$500,R$2,0),"Д")</f>
        <v>0</v>
      </c>
      <c r="S524" s="50">
        <f>SUMIFS(INDEX(Техника!$F$1:$ABM$500,S$2,0),Техника!$F$4:$ABM$4,"Часы",INDEX(Техника!$G$1:$ABN$500,S$2,0),$A$522,INDEX(Техника!$H$1:$ABO$500,S$2,0),"Д")</f>
        <v>0</v>
      </c>
      <c r="T524" s="50">
        <f>SUMIFS(INDEX(Техника!$F$1:$ABM$500,T$2,0),Техника!$F$4:$ABM$4,"Часы",INDEX(Техника!$G$1:$ABN$500,T$2,0),$A$522,INDEX(Техника!$H$1:$ABO$500,T$2,0),"Д")</f>
        <v>0</v>
      </c>
      <c r="U524" s="50">
        <f>SUMIFS(INDEX(Техника!$F$1:$ABM$500,U$2,0),Техника!$F$4:$ABM$4,"Часы",INDEX(Техника!$G$1:$ABN$500,U$2,0),$A$522,INDEX(Техника!$H$1:$ABO$500,U$2,0),"Д")</f>
        <v>0</v>
      </c>
      <c r="V524" s="50">
        <f>SUMIFS(INDEX(Техника!$F$1:$ABM$500,V$2,0),Техника!$F$4:$ABM$4,"Часы",INDEX(Техника!$G$1:$ABN$500,V$2,0),$A$522,INDEX(Техника!$H$1:$ABO$500,V$2,0),"Д")</f>
        <v>0</v>
      </c>
      <c r="W524" s="50">
        <f>SUMIFS(INDEX(Техника!$F$1:$ABM$500,W$2,0),Техника!$F$4:$ABM$4,"Часы",INDEX(Техника!$G$1:$ABN$500,W$2,0),$A$522,INDEX(Техника!$H$1:$ABO$500,W$2,0),"Д")</f>
        <v>0</v>
      </c>
      <c r="X524" s="50">
        <f>SUMIFS(INDEX(Техника!$F$1:$ABM$500,X$2,0),Техника!$F$4:$ABM$4,"Часы",INDEX(Техника!$G$1:$ABN$500,X$2,0),$A$522,INDEX(Техника!$H$1:$ABO$500,X$2,0),"Д")</f>
        <v>0</v>
      </c>
      <c r="Y524" s="50">
        <f>SUMIFS(INDEX(Техника!$F$1:$ABM$500,Y$2,0),Техника!$F$4:$ABM$4,"Часы",INDEX(Техника!$G$1:$ABN$500,Y$2,0),$A$522,INDEX(Техника!$H$1:$ABO$500,Y$2,0),"Д")</f>
        <v>0</v>
      </c>
      <c r="Z524" s="50">
        <f>SUMIFS(INDEX(Техника!$F$1:$ABM$500,Z$2,0),Техника!$F$4:$ABM$4,"Часы",INDEX(Техника!$G$1:$ABN$500,Z$2,0),$A$522,INDEX(Техника!$H$1:$ABO$500,Z$2,0),"Д")</f>
        <v>0</v>
      </c>
      <c r="AA524" s="50">
        <f>SUMIFS(INDEX(Техника!$F$1:$ABM$500,AA$2,0),Техника!$F$4:$ABM$4,"Часы",INDEX(Техника!$G$1:$ABN$500,AA$2,0),$A$522,INDEX(Техника!$H$1:$ABO$500,AA$2,0),"Д")</f>
        <v>0</v>
      </c>
      <c r="AB524" s="50">
        <f>SUMIFS(INDEX(Техника!$F$1:$ABM$500,AB$2,0),Техника!$F$4:$ABM$4,"Часы",INDEX(Техника!$G$1:$ABN$500,AB$2,0),$A$522,INDEX(Техника!$H$1:$ABO$500,AB$2,0),"Д")</f>
        <v>0</v>
      </c>
    </row>
    <row r="525" spans="1:28" hidden="1" outlineLevel="1" x14ac:dyDescent="0.3">
      <c r="A525" s="33" t="s">
        <v>276</v>
      </c>
      <c r="B525" s="34" t="s">
        <v>277</v>
      </c>
      <c r="C525" s="50">
        <f>SUMIFS(INDEX(Техника!$F$1:$ABM$500,C$2,0),Техника!$F$4:$ABM$4,"Часы",INDEX(Техника!$G$1:$ABN$500,C$2,0),$A$522,INDEX(Техника!$H$1:$ABO$500,C$2,0),"П")</f>
        <v>0</v>
      </c>
      <c r="D525" s="50">
        <f>SUMIFS(INDEX(Техника!$F$1:$ABM$500,D$2,0),Техника!$F$4:$ABM$4,"Часы",INDEX(Техника!$G$1:$ABN$500,D$2,0),$A$522,INDEX(Техника!$H$1:$ABO$500,D$2,0),"П")</f>
        <v>0</v>
      </c>
      <c r="E525" s="50">
        <f>SUMIFS(INDEX(Техника!$F$1:$ABM$500,E$2,0),Техника!$F$4:$ABM$4,"Часы",INDEX(Техника!$G$1:$ABN$500,E$2,0),$A$522,INDEX(Техника!$H$1:$ABO$500,E$2,0),"П")</f>
        <v>0</v>
      </c>
      <c r="F525" s="50">
        <f>SUMIFS(INDEX(Техника!$F$1:$ABM$500,F$2,0),Техника!$F$4:$ABM$4,"Часы",INDEX(Техника!$G$1:$ABN$500,F$2,0),$A$522,INDEX(Техника!$H$1:$ABO$500,F$2,0),"П")</f>
        <v>0</v>
      </c>
      <c r="G525" s="50">
        <f>SUMIFS(INDEX(Техника!$F$1:$ABM$500,G$2,0),Техника!$F$4:$ABM$4,"Часы",INDEX(Техника!$G$1:$ABN$500,G$2,0),$A$522,INDEX(Техника!$H$1:$ABO$500,G$2,0),"П")</f>
        <v>0</v>
      </c>
      <c r="H525" s="50">
        <f>SUMIFS(INDEX(Техника!$F$1:$ABM$500,H$2,0),Техника!$F$4:$ABM$4,"Часы",INDEX(Техника!$G$1:$ABN$500,H$2,0),$A$522,INDEX(Техника!$H$1:$ABO$500,H$2,0),"П")</f>
        <v>0</v>
      </c>
      <c r="I525" s="50">
        <f>SUMIFS(INDEX(Техника!$F$1:$ABM$500,I$2,0),Техника!$F$4:$ABM$4,"Часы",INDEX(Техника!$G$1:$ABN$500,I$2,0),$A$522,INDEX(Техника!$H$1:$ABO$500,I$2,0),"П")</f>
        <v>0</v>
      </c>
      <c r="J525" s="50">
        <f>SUMIFS(INDEX(Техника!$F$1:$ABM$500,J$2,0),Техника!$F$4:$ABM$4,"Часы",INDEX(Техника!$G$1:$ABN$500,J$2,0),$A$522,INDEX(Техника!$H$1:$ABO$500,J$2,0),"П")</f>
        <v>0</v>
      </c>
      <c r="K525" s="50">
        <f>SUMIFS(INDEX(Техника!$F$1:$ABM$500,K$2,0),Техника!$F$4:$ABM$4,"Часы",INDEX(Техника!$G$1:$ABN$500,K$2,0),$A$522,INDEX(Техника!$H$1:$ABO$500,K$2,0),"П")</f>
        <v>0</v>
      </c>
      <c r="L525" s="50">
        <f>SUMIFS(INDEX(Техника!$F$1:$ABM$500,L$2,0),Техника!$F$4:$ABM$4,"Часы",INDEX(Техника!$G$1:$ABN$500,L$2,0),$A$522,INDEX(Техника!$H$1:$ABO$500,L$2,0),"П")</f>
        <v>0</v>
      </c>
      <c r="M525" s="50">
        <f>SUMIFS(INDEX(Техника!$F$1:$ABM$500,M$2,0),Техника!$F$4:$ABM$4,"Часы",INDEX(Техника!$G$1:$ABN$500,M$2,0),$A$522,INDEX(Техника!$H$1:$ABO$500,M$2,0),"П")</f>
        <v>0</v>
      </c>
      <c r="N525" s="50">
        <f>SUMIFS(INDEX(Техника!$F$1:$ABM$500,N$2,0),Техника!$F$4:$ABM$4,"Часы",INDEX(Техника!$G$1:$ABN$500,N$2,0),$A$522,INDEX(Техника!$H$1:$ABO$500,N$2,0),"П")</f>
        <v>0</v>
      </c>
      <c r="O525" s="50">
        <f>SUMIFS(INDEX(Техника!$F$1:$ABM$500,O$2,0),Техника!$F$4:$ABM$4,"Часы",INDEX(Техника!$G$1:$ABN$500,O$2,0),$A$522,INDEX(Техника!$H$1:$ABO$500,O$2,0),"П")</f>
        <v>0</v>
      </c>
      <c r="P525" s="50">
        <f>SUMIFS(INDEX(Техника!$F$1:$ABM$500,P$2,0),Техника!$F$4:$ABM$4,"Часы",INDEX(Техника!$G$1:$ABN$500,P$2,0),$A$522,INDEX(Техника!$H$1:$ABO$500,P$2,0),"П")</f>
        <v>0</v>
      </c>
      <c r="Q525" s="50">
        <f>SUMIFS(INDEX(Техника!$F$1:$ABM$500,Q$2,0),Техника!$F$4:$ABM$4,"Часы",INDEX(Техника!$G$1:$ABN$500,Q$2,0),$A$522,INDEX(Техника!$H$1:$ABO$500,Q$2,0),"П")</f>
        <v>0</v>
      </c>
      <c r="R525" s="50">
        <f>SUMIFS(INDEX(Техника!$F$1:$ABM$500,R$2,0),Техника!$F$4:$ABM$4,"Часы",INDEX(Техника!$G$1:$ABN$500,R$2,0),$A$522,INDEX(Техника!$H$1:$ABO$500,R$2,0),"П")</f>
        <v>0</v>
      </c>
      <c r="S525" s="50">
        <f>SUMIFS(INDEX(Техника!$F$1:$ABM$500,S$2,0),Техника!$F$4:$ABM$4,"Часы",INDEX(Техника!$G$1:$ABN$500,S$2,0),$A$522,INDEX(Техника!$H$1:$ABO$500,S$2,0),"П")</f>
        <v>0</v>
      </c>
      <c r="T525" s="50">
        <f>SUMIFS(INDEX(Техника!$F$1:$ABM$500,T$2,0),Техника!$F$4:$ABM$4,"Часы",INDEX(Техника!$G$1:$ABN$500,T$2,0),$A$522,INDEX(Техника!$H$1:$ABO$500,T$2,0),"П")</f>
        <v>0</v>
      </c>
      <c r="U525" s="50">
        <f>SUMIFS(INDEX(Техника!$F$1:$ABM$500,U$2,0),Техника!$F$4:$ABM$4,"Часы",INDEX(Техника!$G$1:$ABN$500,U$2,0),$A$522,INDEX(Техника!$H$1:$ABO$500,U$2,0),"П")</f>
        <v>0</v>
      </c>
      <c r="V525" s="50">
        <f>SUMIFS(INDEX(Техника!$F$1:$ABM$500,V$2,0),Техника!$F$4:$ABM$4,"Часы",INDEX(Техника!$G$1:$ABN$500,V$2,0),$A$522,INDEX(Техника!$H$1:$ABO$500,V$2,0),"П")</f>
        <v>0</v>
      </c>
      <c r="W525" s="50">
        <f>SUMIFS(INDEX(Техника!$F$1:$ABM$500,W$2,0),Техника!$F$4:$ABM$4,"Часы",INDEX(Техника!$G$1:$ABN$500,W$2,0),$A$522,INDEX(Техника!$H$1:$ABO$500,W$2,0),"П")</f>
        <v>0</v>
      </c>
      <c r="X525" s="50">
        <f>SUMIFS(INDEX(Техника!$F$1:$ABM$500,X$2,0),Техника!$F$4:$ABM$4,"Часы",INDEX(Техника!$G$1:$ABN$500,X$2,0),$A$522,INDEX(Техника!$H$1:$ABO$500,X$2,0),"П")</f>
        <v>0</v>
      </c>
      <c r="Y525" s="50">
        <f>SUMIFS(INDEX(Техника!$F$1:$ABM$500,Y$2,0),Техника!$F$4:$ABM$4,"Часы",INDEX(Техника!$G$1:$ABN$500,Y$2,0),$A$522,INDEX(Техника!$H$1:$ABO$500,Y$2,0),"П")</f>
        <v>0</v>
      </c>
      <c r="Z525" s="50">
        <f>SUMIFS(INDEX(Техника!$F$1:$ABM$500,Z$2,0),Техника!$F$4:$ABM$4,"Часы",INDEX(Техника!$G$1:$ABN$500,Z$2,0),$A$522,INDEX(Техника!$H$1:$ABO$500,Z$2,0),"П")</f>
        <v>0</v>
      </c>
      <c r="AA525" s="50">
        <f>SUMIFS(INDEX(Техника!$F$1:$ABM$500,AA$2,0),Техника!$F$4:$ABM$4,"Часы",INDEX(Техника!$G$1:$ABN$500,AA$2,0),$A$522,INDEX(Техника!$H$1:$ABO$500,AA$2,0),"П")</f>
        <v>0</v>
      </c>
      <c r="AB525" s="50">
        <f>SUMIFS(INDEX(Техника!$F$1:$ABM$500,AB$2,0),Техника!$F$4:$ABM$4,"Часы",INDEX(Техника!$G$1:$ABN$500,AB$2,0),$A$522,INDEX(Техника!$H$1:$ABO$500,AB$2,0),"П")</f>
        <v>0</v>
      </c>
    </row>
    <row r="526" spans="1:28" hidden="1" outlineLevel="1" x14ac:dyDescent="0.3">
      <c r="A526" s="33" t="s">
        <v>243</v>
      </c>
      <c r="B526" s="34" t="s">
        <v>278</v>
      </c>
      <c r="C526" s="50">
        <f>SUMIFS(INDEX(Техника!$F$1:$ABM$500,C$2,0),Техника!$F$4:$ABM$4,"Часы",INDEX(Техника!$G$1:$ABN$500,C$2,0),$A$522,INDEX(Техника!$H$1:$ABO$500,C$2,0),"Л")</f>
        <v>0</v>
      </c>
      <c r="D526" s="50">
        <f>SUMIFS(INDEX(Техника!$F$1:$ABM$500,D$2,0),Техника!$F$4:$ABM$4,"Часы",INDEX(Техника!$G$1:$ABN$500,D$2,0),$A$522,INDEX(Техника!$H$1:$ABO$500,D$2,0),"Л")</f>
        <v>0</v>
      </c>
      <c r="E526" s="50">
        <f>SUMIFS(INDEX(Техника!$F$1:$ABM$500,E$2,0),Техника!$F$4:$ABM$4,"Часы",INDEX(Техника!$G$1:$ABN$500,E$2,0),$A$522,INDEX(Техника!$H$1:$ABO$500,E$2,0),"Л")</f>
        <v>0</v>
      </c>
      <c r="F526" s="50">
        <f>SUMIFS(INDEX(Техника!$F$1:$ABM$500,F$2,0),Техника!$F$4:$ABM$4,"Часы",INDEX(Техника!$G$1:$ABN$500,F$2,0),$A$522,INDEX(Техника!$H$1:$ABO$500,F$2,0),"Л")</f>
        <v>0</v>
      </c>
      <c r="G526" s="50">
        <f>SUMIFS(INDEX(Техника!$F$1:$ABM$500,G$2,0),Техника!$F$4:$ABM$4,"Часы",INDEX(Техника!$G$1:$ABN$500,G$2,0),$A$522,INDEX(Техника!$H$1:$ABO$500,G$2,0),"Л")</f>
        <v>0</v>
      </c>
      <c r="H526" s="50">
        <f>SUMIFS(INDEX(Техника!$F$1:$ABM$500,H$2,0),Техника!$F$4:$ABM$4,"Часы",INDEX(Техника!$G$1:$ABN$500,H$2,0),$A$522,INDEX(Техника!$H$1:$ABO$500,H$2,0),"Л")</f>
        <v>0</v>
      </c>
      <c r="I526" s="50">
        <f>SUMIFS(INDEX(Техника!$F$1:$ABM$500,I$2,0),Техника!$F$4:$ABM$4,"Часы",INDEX(Техника!$G$1:$ABN$500,I$2,0),$A$522,INDEX(Техника!$H$1:$ABO$500,I$2,0),"Л")</f>
        <v>0</v>
      </c>
      <c r="J526" s="50">
        <f>SUMIFS(INDEX(Техника!$F$1:$ABM$500,J$2,0),Техника!$F$4:$ABM$4,"Часы",INDEX(Техника!$G$1:$ABN$500,J$2,0),$A$522,INDEX(Техника!$H$1:$ABO$500,J$2,0),"Л")</f>
        <v>0</v>
      </c>
      <c r="K526" s="50">
        <f>SUMIFS(INDEX(Техника!$F$1:$ABM$500,K$2,0),Техника!$F$4:$ABM$4,"Часы",INDEX(Техника!$G$1:$ABN$500,K$2,0),$A$522,INDEX(Техника!$H$1:$ABO$500,K$2,0),"Л")</f>
        <v>0</v>
      </c>
      <c r="L526" s="50">
        <f>SUMIFS(INDEX(Техника!$F$1:$ABM$500,L$2,0),Техника!$F$4:$ABM$4,"Часы",INDEX(Техника!$G$1:$ABN$500,L$2,0),$A$522,INDEX(Техника!$H$1:$ABO$500,L$2,0),"Л")</f>
        <v>0</v>
      </c>
      <c r="M526" s="50">
        <f>SUMIFS(INDEX(Техника!$F$1:$ABM$500,M$2,0),Техника!$F$4:$ABM$4,"Часы",INDEX(Техника!$G$1:$ABN$500,M$2,0),$A$522,INDEX(Техника!$H$1:$ABO$500,M$2,0),"Л")</f>
        <v>0</v>
      </c>
      <c r="N526" s="50">
        <f>SUMIFS(INDEX(Техника!$F$1:$ABM$500,N$2,0),Техника!$F$4:$ABM$4,"Часы",INDEX(Техника!$G$1:$ABN$500,N$2,0),$A$522,INDEX(Техника!$H$1:$ABO$500,N$2,0),"Л")</f>
        <v>0</v>
      </c>
      <c r="O526" s="50">
        <f>SUMIFS(INDEX(Техника!$F$1:$ABM$500,O$2,0),Техника!$F$4:$ABM$4,"Часы",INDEX(Техника!$G$1:$ABN$500,O$2,0),$A$522,INDEX(Техника!$H$1:$ABO$500,O$2,0),"Л")</f>
        <v>0</v>
      </c>
      <c r="P526" s="50">
        <f>SUMIFS(INDEX(Техника!$F$1:$ABM$500,P$2,0),Техника!$F$4:$ABM$4,"Часы",INDEX(Техника!$G$1:$ABN$500,P$2,0),$A$522,INDEX(Техника!$H$1:$ABO$500,P$2,0),"Л")</f>
        <v>0</v>
      </c>
      <c r="Q526" s="50">
        <f>SUMIFS(INDEX(Техника!$F$1:$ABM$500,Q$2,0),Техника!$F$4:$ABM$4,"Часы",INDEX(Техника!$G$1:$ABN$500,Q$2,0),$A$522,INDEX(Техника!$H$1:$ABO$500,Q$2,0),"Л")</f>
        <v>0</v>
      </c>
      <c r="R526" s="50">
        <f>SUMIFS(INDEX(Техника!$F$1:$ABM$500,R$2,0),Техника!$F$4:$ABM$4,"Часы",INDEX(Техника!$G$1:$ABN$500,R$2,0),$A$522,INDEX(Техника!$H$1:$ABO$500,R$2,0),"Л")</f>
        <v>0</v>
      </c>
      <c r="S526" s="50">
        <f>SUMIFS(INDEX(Техника!$F$1:$ABM$500,S$2,0),Техника!$F$4:$ABM$4,"Часы",INDEX(Техника!$G$1:$ABN$500,S$2,0),$A$522,INDEX(Техника!$H$1:$ABO$500,S$2,0),"Л")</f>
        <v>0</v>
      </c>
      <c r="T526" s="50">
        <f>SUMIFS(INDEX(Техника!$F$1:$ABM$500,T$2,0),Техника!$F$4:$ABM$4,"Часы",INDEX(Техника!$G$1:$ABN$500,T$2,0),$A$522,INDEX(Техника!$H$1:$ABO$500,T$2,0),"Л")</f>
        <v>0</v>
      </c>
      <c r="U526" s="50">
        <f>SUMIFS(INDEX(Техника!$F$1:$ABM$500,U$2,0),Техника!$F$4:$ABM$4,"Часы",INDEX(Техника!$G$1:$ABN$500,U$2,0),$A$522,INDEX(Техника!$H$1:$ABO$500,U$2,0),"Л")</f>
        <v>0</v>
      </c>
      <c r="V526" s="50">
        <f>SUMIFS(INDEX(Техника!$F$1:$ABM$500,V$2,0),Техника!$F$4:$ABM$4,"Часы",INDEX(Техника!$G$1:$ABN$500,V$2,0),$A$522,INDEX(Техника!$H$1:$ABO$500,V$2,0),"Л")</f>
        <v>0</v>
      </c>
      <c r="W526" s="50">
        <f>SUMIFS(INDEX(Техника!$F$1:$ABM$500,W$2,0),Техника!$F$4:$ABM$4,"Часы",INDEX(Техника!$G$1:$ABN$500,W$2,0),$A$522,INDEX(Техника!$H$1:$ABO$500,W$2,0),"Л")</f>
        <v>0</v>
      </c>
      <c r="X526" s="50">
        <f>SUMIFS(INDEX(Техника!$F$1:$ABM$500,X$2,0),Техника!$F$4:$ABM$4,"Часы",INDEX(Техника!$G$1:$ABN$500,X$2,0),$A$522,INDEX(Техника!$H$1:$ABO$500,X$2,0),"Л")</f>
        <v>0</v>
      </c>
      <c r="Y526" s="50">
        <f>SUMIFS(INDEX(Техника!$F$1:$ABM$500,Y$2,0),Техника!$F$4:$ABM$4,"Часы",INDEX(Техника!$G$1:$ABN$500,Y$2,0),$A$522,INDEX(Техника!$H$1:$ABO$500,Y$2,0),"Л")</f>
        <v>0</v>
      </c>
      <c r="Z526" s="50">
        <f>SUMIFS(INDEX(Техника!$F$1:$ABM$500,Z$2,0),Техника!$F$4:$ABM$4,"Часы",INDEX(Техника!$G$1:$ABN$500,Z$2,0),$A$522,INDEX(Техника!$H$1:$ABO$500,Z$2,0),"Л")</f>
        <v>0</v>
      </c>
      <c r="AA526" s="50">
        <f>SUMIFS(INDEX(Техника!$F$1:$ABM$500,AA$2,0),Техника!$F$4:$ABM$4,"Часы",INDEX(Техника!$G$1:$ABN$500,AA$2,0),$A$522,INDEX(Техника!$H$1:$ABO$500,AA$2,0),"Л")</f>
        <v>0</v>
      </c>
      <c r="AB526" s="50">
        <f>SUMIFS(INDEX(Техника!$F$1:$ABM$500,AB$2,0),Техника!$F$4:$ABM$4,"Часы",INDEX(Техника!$G$1:$ABN$500,AB$2,0),$A$522,INDEX(Техника!$H$1:$ABO$500,AB$2,0),"Л")</f>
        <v>0</v>
      </c>
    </row>
    <row r="527" spans="1:28" hidden="1" outlineLevel="1" x14ac:dyDescent="0.3">
      <c r="A527" s="33" t="s">
        <v>245</v>
      </c>
      <c r="B527" s="34" t="s">
        <v>279</v>
      </c>
      <c r="C527" s="50">
        <f>SUMIFS(INDEX(Техника!$F$1:$ABM$500,C$2,0),Техника!$F$4:$ABM$4,"Часы",INDEX(Техника!$G$1:$ABN$500,C$2,0),$A$522,INDEX(Техника!$H$1:$ABO$500,C$2,0),"З")</f>
        <v>0</v>
      </c>
      <c r="D527" s="50">
        <f>SUMIFS(INDEX(Техника!$F$1:$ABM$500,D$2,0),Техника!$F$4:$ABM$4,"Часы",INDEX(Техника!$G$1:$ABN$500,D$2,0),$A$522,INDEX(Техника!$H$1:$ABO$500,D$2,0),"З")</f>
        <v>0</v>
      </c>
      <c r="E527" s="50">
        <f>SUMIFS(INDEX(Техника!$F$1:$ABM$500,E$2,0),Техника!$F$4:$ABM$4,"Часы",INDEX(Техника!$G$1:$ABN$500,E$2,0),$A$522,INDEX(Техника!$H$1:$ABO$500,E$2,0),"З")</f>
        <v>0</v>
      </c>
      <c r="F527" s="50">
        <f>SUMIFS(INDEX(Техника!$F$1:$ABM$500,F$2,0),Техника!$F$4:$ABM$4,"Часы",INDEX(Техника!$G$1:$ABN$500,F$2,0),$A$522,INDEX(Техника!$H$1:$ABO$500,F$2,0),"З")</f>
        <v>0</v>
      </c>
      <c r="G527" s="50">
        <f>SUMIFS(INDEX(Техника!$F$1:$ABM$500,G$2,0),Техника!$F$4:$ABM$4,"Часы",INDEX(Техника!$G$1:$ABN$500,G$2,0),$A$522,INDEX(Техника!$H$1:$ABO$500,G$2,0),"З")</f>
        <v>0</v>
      </c>
      <c r="H527" s="50">
        <f>SUMIFS(INDEX(Техника!$F$1:$ABM$500,H$2,0),Техника!$F$4:$ABM$4,"Часы",INDEX(Техника!$G$1:$ABN$500,H$2,0),$A$522,INDEX(Техника!$H$1:$ABO$500,H$2,0),"З")</f>
        <v>0</v>
      </c>
      <c r="I527" s="50">
        <f>SUMIFS(INDEX(Техника!$F$1:$ABM$500,I$2,0),Техника!$F$4:$ABM$4,"Часы",INDEX(Техника!$G$1:$ABN$500,I$2,0),$A$522,INDEX(Техника!$H$1:$ABO$500,I$2,0),"З")</f>
        <v>0</v>
      </c>
      <c r="J527" s="50">
        <f>SUMIFS(INDEX(Техника!$F$1:$ABM$500,J$2,0),Техника!$F$4:$ABM$4,"Часы",INDEX(Техника!$G$1:$ABN$500,J$2,0),$A$522,INDEX(Техника!$H$1:$ABO$500,J$2,0),"З")</f>
        <v>0</v>
      </c>
      <c r="K527" s="50">
        <f>SUMIFS(INDEX(Техника!$F$1:$ABM$500,K$2,0),Техника!$F$4:$ABM$4,"Часы",INDEX(Техника!$G$1:$ABN$500,K$2,0),$A$522,INDEX(Техника!$H$1:$ABO$500,K$2,0),"З")</f>
        <v>0</v>
      </c>
      <c r="L527" s="50">
        <f>SUMIFS(INDEX(Техника!$F$1:$ABM$500,L$2,0),Техника!$F$4:$ABM$4,"Часы",INDEX(Техника!$G$1:$ABN$500,L$2,0),$A$522,INDEX(Техника!$H$1:$ABO$500,L$2,0),"З")</f>
        <v>0</v>
      </c>
      <c r="M527" s="50">
        <f>SUMIFS(INDEX(Техника!$F$1:$ABM$500,M$2,0),Техника!$F$4:$ABM$4,"Часы",INDEX(Техника!$G$1:$ABN$500,M$2,0),$A$522,INDEX(Техника!$H$1:$ABO$500,M$2,0),"З")</f>
        <v>0</v>
      </c>
      <c r="N527" s="50">
        <f>SUMIFS(INDEX(Техника!$F$1:$ABM$500,N$2,0),Техника!$F$4:$ABM$4,"Часы",INDEX(Техника!$G$1:$ABN$500,N$2,0),$A$522,INDEX(Техника!$H$1:$ABO$500,N$2,0),"З")</f>
        <v>0</v>
      </c>
      <c r="O527" s="50">
        <f>SUMIFS(INDEX(Техника!$F$1:$ABM$500,O$2,0),Техника!$F$4:$ABM$4,"Часы",INDEX(Техника!$G$1:$ABN$500,O$2,0),$A$522,INDEX(Техника!$H$1:$ABO$500,O$2,0),"З")</f>
        <v>0</v>
      </c>
      <c r="P527" s="50">
        <f>SUMIFS(INDEX(Техника!$F$1:$ABM$500,P$2,0),Техника!$F$4:$ABM$4,"Часы",INDEX(Техника!$G$1:$ABN$500,P$2,0),$A$522,INDEX(Техника!$H$1:$ABO$500,P$2,0),"З")</f>
        <v>0</v>
      </c>
      <c r="Q527" s="50">
        <f>SUMIFS(INDEX(Техника!$F$1:$ABM$500,Q$2,0),Техника!$F$4:$ABM$4,"Часы",INDEX(Техника!$G$1:$ABN$500,Q$2,0),$A$522,INDEX(Техника!$H$1:$ABO$500,Q$2,0),"З")</f>
        <v>0</v>
      </c>
      <c r="R527" s="50">
        <f>SUMIFS(INDEX(Техника!$F$1:$ABM$500,R$2,0),Техника!$F$4:$ABM$4,"Часы",INDEX(Техника!$G$1:$ABN$500,R$2,0),$A$522,INDEX(Техника!$H$1:$ABO$500,R$2,0),"З")</f>
        <v>0</v>
      </c>
      <c r="S527" s="50">
        <f>SUMIFS(INDEX(Техника!$F$1:$ABM$500,S$2,0),Техника!$F$4:$ABM$4,"Часы",INDEX(Техника!$G$1:$ABN$500,S$2,0),$A$522,INDEX(Техника!$H$1:$ABO$500,S$2,0),"З")</f>
        <v>0</v>
      </c>
      <c r="T527" s="50">
        <f>SUMIFS(INDEX(Техника!$F$1:$ABM$500,T$2,0),Техника!$F$4:$ABM$4,"Часы",INDEX(Техника!$G$1:$ABN$500,T$2,0),$A$522,INDEX(Техника!$H$1:$ABO$500,T$2,0),"З")</f>
        <v>0</v>
      </c>
      <c r="U527" s="50">
        <f>SUMIFS(INDEX(Техника!$F$1:$ABM$500,U$2,0),Техника!$F$4:$ABM$4,"Часы",INDEX(Техника!$G$1:$ABN$500,U$2,0),$A$522,INDEX(Техника!$H$1:$ABO$500,U$2,0),"З")</f>
        <v>0</v>
      </c>
      <c r="V527" s="50">
        <f>SUMIFS(INDEX(Техника!$F$1:$ABM$500,V$2,0),Техника!$F$4:$ABM$4,"Часы",INDEX(Техника!$G$1:$ABN$500,V$2,0),$A$522,INDEX(Техника!$H$1:$ABO$500,V$2,0),"З")</f>
        <v>0</v>
      </c>
      <c r="W527" s="50">
        <f>SUMIFS(INDEX(Техника!$F$1:$ABM$500,W$2,0),Техника!$F$4:$ABM$4,"Часы",INDEX(Техника!$G$1:$ABN$500,W$2,0),$A$522,INDEX(Техника!$H$1:$ABO$500,W$2,0),"З")</f>
        <v>0</v>
      </c>
      <c r="X527" s="50">
        <f>SUMIFS(INDEX(Техника!$F$1:$ABM$500,X$2,0),Техника!$F$4:$ABM$4,"Часы",INDEX(Техника!$G$1:$ABN$500,X$2,0),$A$522,INDEX(Техника!$H$1:$ABO$500,X$2,0),"З")</f>
        <v>0</v>
      </c>
      <c r="Y527" s="50">
        <f>SUMIFS(INDEX(Техника!$F$1:$ABM$500,Y$2,0),Техника!$F$4:$ABM$4,"Часы",INDEX(Техника!$G$1:$ABN$500,Y$2,0),$A$522,INDEX(Техника!$H$1:$ABO$500,Y$2,0),"З")</f>
        <v>0</v>
      </c>
      <c r="Z527" s="50">
        <f>SUMIFS(INDEX(Техника!$F$1:$ABM$500,Z$2,0),Техника!$F$4:$ABM$4,"Часы",INDEX(Техника!$G$1:$ABN$500,Z$2,0),$A$522,INDEX(Техника!$H$1:$ABO$500,Z$2,0),"З")</f>
        <v>0</v>
      </c>
      <c r="AA527" s="50">
        <f>SUMIFS(INDEX(Техника!$F$1:$ABM$500,AA$2,0),Техника!$F$4:$ABM$4,"Часы",INDEX(Техника!$G$1:$ABN$500,AA$2,0),$A$522,INDEX(Техника!$H$1:$ABO$500,AA$2,0),"З")</f>
        <v>0</v>
      </c>
      <c r="AB527" s="50">
        <f>SUMIFS(INDEX(Техника!$F$1:$ABM$500,AB$2,0),Техника!$F$4:$ABM$4,"Часы",INDEX(Техника!$G$1:$ABN$500,AB$2,0),$A$522,INDEX(Техника!$H$1:$ABO$500,AB$2,0),"З")</f>
        <v>0</v>
      </c>
    </row>
    <row r="528" spans="1:28" ht="7.95" customHeight="1" x14ac:dyDescent="0.3">
      <c r="A528" s="38"/>
      <c r="B528" s="39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</row>
    <row r="529" spans="1:28" ht="25.05" customHeight="1" collapsed="1" x14ac:dyDescent="0.3">
      <c r="A529" s="32">
        <v>76</v>
      </c>
      <c r="B529" s="32" t="s">
        <v>77</v>
      </c>
      <c r="C529" s="49">
        <f>SUM(C530:C534)</f>
        <v>0</v>
      </c>
      <c r="D529" s="49">
        <f>SUM(D530:D534)</f>
        <v>0</v>
      </c>
      <c r="E529" s="49">
        <f>SUM(E530:E534)</f>
        <v>0</v>
      </c>
      <c r="F529" s="49">
        <f>SUM(F530:F534)</f>
        <v>0</v>
      </c>
      <c r="G529" s="49">
        <f>SUM(G530:G534)</f>
        <v>0</v>
      </c>
      <c r="H529" s="49">
        <f>SUM(H530:H534)</f>
        <v>0</v>
      </c>
      <c r="I529" s="49">
        <f>SUM(I530:I534)</f>
        <v>0</v>
      </c>
      <c r="J529" s="49">
        <f>SUM(J530:J534)</f>
        <v>0</v>
      </c>
      <c r="K529" s="49">
        <f>SUM(K530:K534)</f>
        <v>0</v>
      </c>
      <c r="L529" s="49">
        <f>SUM(L530:L534)</f>
        <v>0</v>
      </c>
      <c r="M529" s="49">
        <f>SUM(M530:M534)</f>
        <v>0</v>
      </c>
      <c r="N529" s="49">
        <f>SUM(N530:N534)</f>
        <v>0</v>
      </c>
      <c r="O529" s="49">
        <f>SUM(O530:O534)</f>
        <v>0</v>
      </c>
      <c r="P529" s="49">
        <f>SUM(P530:P534)</f>
        <v>0</v>
      </c>
      <c r="Q529" s="49">
        <f>SUM(Q530:Q534)</f>
        <v>0</v>
      </c>
      <c r="R529" s="49">
        <f>SUM(R530:R534)</f>
        <v>0</v>
      </c>
      <c r="S529" s="49">
        <f>SUM(S530:S534)</f>
        <v>0</v>
      </c>
      <c r="T529" s="49">
        <f>SUM(T530:T534)</f>
        <v>0</v>
      </c>
      <c r="U529" s="49">
        <f>SUM(U530:U534)</f>
        <v>0</v>
      </c>
      <c r="V529" s="49">
        <f>SUM(V530:V534)</f>
        <v>0</v>
      </c>
      <c r="W529" s="49">
        <f>SUM(W530:W534)</f>
        <v>0</v>
      </c>
      <c r="X529" s="49">
        <f>SUM(X530:X534)</f>
        <v>0</v>
      </c>
      <c r="Y529" s="49">
        <f>SUM(Y530:Y534)</f>
        <v>0</v>
      </c>
      <c r="Z529" s="49">
        <f>SUM(Z530:Z534)</f>
        <v>0</v>
      </c>
      <c r="AA529" s="49">
        <f>SUM(AA530:AA534)</f>
        <v>0</v>
      </c>
      <c r="AB529" s="49">
        <f>SUM(AB530:AB534)</f>
        <v>0</v>
      </c>
    </row>
    <row r="530" spans="1:28" hidden="1" outlineLevel="1" x14ac:dyDescent="0.3">
      <c r="A530" s="33" t="s">
        <v>246</v>
      </c>
      <c r="B530" s="34" t="s">
        <v>274</v>
      </c>
      <c r="C530" s="50">
        <f>SUMIFS(INDEX(Техника!$F$1:$ABM$500,C$2,0),Техника!$F$4:$ABM$4,"Часы",INDEX(Техника!$G$1:$ABN$500,C$2,0),$A$529,INDEX(Техника!$H$1:$ABO$500,C$2,0),"М")</f>
        <v>0</v>
      </c>
      <c r="D530" s="50">
        <f>SUMIFS(INDEX(Техника!$F$1:$ABM$500,D$2,0),Техника!$F$4:$ABM$4,"Часы",INDEX(Техника!$G$1:$ABN$500,D$2,0),$A$529,INDEX(Техника!$H$1:$ABO$500,D$2,0),"М")</f>
        <v>0</v>
      </c>
      <c r="E530" s="50">
        <f>SUMIFS(INDEX(Техника!$F$1:$ABM$500,E$2,0),Техника!$F$4:$ABM$4,"Часы",INDEX(Техника!$G$1:$ABN$500,E$2,0),$A$529,INDEX(Техника!$H$1:$ABO$500,E$2,0),"М")</f>
        <v>0</v>
      </c>
      <c r="F530" s="50">
        <f>SUMIFS(INDEX(Техника!$F$1:$ABM$500,F$2,0),Техника!$F$4:$ABM$4,"Часы",INDEX(Техника!$G$1:$ABN$500,F$2,0),$A$529,INDEX(Техника!$H$1:$ABO$500,F$2,0),"М")</f>
        <v>0</v>
      </c>
      <c r="G530" s="50">
        <f>SUMIFS(INDEX(Техника!$F$1:$ABM$500,G$2,0),Техника!$F$4:$ABM$4,"Часы",INDEX(Техника!$G$1:$ABN$500,G$2,0),$A$529,INDEX(Техника!$H$1:$ABO$500,G$2,0),"М")</f>
        <v>0</v>
      </c>
      <c r="H530" s="50">
        <f>SUMIFS(INDEX(Техника!$F$1:$ABM$500,H$2,0),Техника!$F$4:$ABM$4,"Часы",INDEX(Техника!$G$1:$ABN$500,H$2,0),$A$529,INDEX(Техника!$H$1:$ABO$500,H$2,0),"М")</f>
        <v>0</v>
      </c>
      <c r="I530" s="50">
        <f>SUMIFS(INDEX(Техника!$F$1:$ABM$500,I$2,0),Техника!$F$4:$ABM$4,"Часы",INDEX(Техника!$G$1:$ABN$500,I$2,0),$A$529,INDEX(Техника!$H$1:$ABO$500,I$2,0),"М")</f>
        <v>0</v>
      </c>
      <c r="J530" s="50">
        <f>SUMIFS(INDEX(Техника!$F$1:$ABM$500,J$2,0),Техника!$F$4:$ABM$4,"Часы",INDEX(Техника!$G$1:$ABN$500,J$2,0),$A$529,INDEX(Техника!$H$1:$ABO$500,J$2,0),"М")</f>
        <v>0</v>
      </c>
      <c r="K530" s="50">
        <f>SUMIFS(INDEX(Техника!$F$1:$ABM$500,K$2,0),Техника!$F$4:$ABM$4,"Часы",INDEX(Техника!$G$1:$ABN$500,K$2,0),$A$529,INDEX(Техника!$H$1:$ABO$500,K$2,0),"М")</f>
        <v>0</v>
      </c>
      <c r="L530" s="50">
        <f>SUMIFS(INDEX(Техника!$F$1:$ABM$500,L$2,0),Техника!$F$4:$ABM$4,"Часы",INDEX(Техника!$G$1:$ABN$500,L$2,0),$A$529,INDEX(Техника!$H$1:$ABO$500,L$2,0),"М")</f>
        <v>0</v>
      </c>
      <c r="M530" s="50">
        <f>SUMIFS(INDEX(Техника!$F$1:$ABM$500,M$2,0),Техника!$F$4:$ABM$4,"Часы",INDEX(Техника!$G$1:$ABN$500,M$2,0),$A$529,INDEX(Техника!$H$1:$ABO$500,M$2,0),"М")</f>
        <v>0</v>
      </c>
      <c r="N530" s="50">
        <f>SUMIFS(INDEX(Техника!$F$1:$ABM$500,N$2,0),Техника!$F$4:$ABM$4,"Часы",INDEX(Техника!$G$1:$ABN$500,N$2,0),$A$529,INDEX(Техника!$H$1:$ABO$500,N$2,0),"М")</f>
        <v>0</v>
      </c>
      <c r="O530" s="50">
        <f>SUMIFS(INDEX(Техника!$F$1:$ABM$500,O$2,0),Техника!$F$4:$ABM$4,"Часы",INDEX(Техника!$G$1:$ABN$500,O$2,0),$A$529,INDEX(Техника!$H$1:$ABO$500,O$2,0),"М")</f>
        <v>0</v>
      </c>
      <c r="P530" s="50">
        <f>SUMIFS(INDEX(Техника!$F$1:$ABM$500,P$2,0),Техника!$F$4:$ABM$4,"Часы",INDEX(Техника!$G$1:$ABN$500,P$2,0),$A$529,INDEX(Техника!$H$1:$ABO$500,P$2,0),"М")</f>
        <v>0</v>
      </c>
      <c r="Q530" s="50">
        <f>SUMIFS(INDEX(Техника!$F$1:$ABM$500,Q$2,0),Техника!$F$4:$ABM$4,"Часы",INDEX(Техника!$G$1:$ABN$500,Q$2,0),$A$529,INDEX(Техника!$H$1:$ABO$500,Q$2,0),"М")</f>
        <v>0</v>
      </c>
      <c r="R530" s="50">
        <f>SUMIFS(INDEX(Техника!$F$1:$ABM$500,R$2,0),Техника!$F$4:$ABM$4,"Часы",INDEX(Техника!$G$1:$ABN$500,R$2,0),$A$529,INDEX(Техника!$H$1:$ABO$500,R$2,0),"М")</f>
        <v>0</v>
      </c>
      <c r="S530" s="50">
        <f>SUMIFS(INDEX(Техника!$F$1:$ABM$500,S$2,0),Техника!$F$4:$ABM$4,"Часы",INDEX(Техника!$G$1:$ABN$500,S$2,0),$A$529,INDEX(Техника!$H$1:$ABO$500,S$2,0),"М")</f>
        <v>0</v>
      </c>
      <c r="T530" s="50">
        <f>SUMIFS(INDEX(Техника!$F$1:$ABM$500,T$2,0),Техника!$F$4:$ABM$4,"Часы",INDEX(Техника!$G$1:$ABN$500,T$2,0),$A$529,INDEX(Техника!$H$1:$ABO$500,T$2,0),"М")</f>
        <v>0</v>
      </c>
      <c r="U530" s="50">
        <f>SUMIFS(INDEX(Техника!$F$1:$ABM$500,U$2,0),Техника!$F$4:$ABM$4,"Часы",INDEX(Техника!$G$1:$ABN$500,U$2,0),$A$529,INDEX(Техника!$H$1:$ABO$500,U$2,0),"М")</f>
        <v>0</v>
      </c>
      <c r="V530" s="50">
        <f>SUMIFS(INDEX(Техника!$F$1:$ABM$500,V$2,0),Техника!$F$4:$ABM$4,"Часы",INDEX(Техника!$G$1:$ABN$500,V$2,0),$A$529,INDEX(Техника!$H$1:$ABO$500,V$2,0),"М")</f>
        <v>0</v>
      </c>
      <c r="W530" s="50">
        <f>SUMIFS(INDEX(Техника!$F$1:$ABM$500,W$2,0),Техника!$F$4:$ABM$4,"Часы",INDEX(Техника!$G$1:$ABN$500,W$2,0),$A$529,INDEX(Техника!$H$1:$ABO$500,W$2,0),"М")</f>
        <v>0</v>
      </c>
      <c r="X530" s="50">
        <f>SUMIFS(INDEX(Техника!$F$1:$ABM$500,X$2,0),Техника!$F$4:$ABM$4,"Часы",INDEX(Техника!$G$1:$ABN$500,X$2,0),$A$529,INDEX(Техника!$H$1:$ABO$500,X$2,0),"М")</f>
        <v>0</v>
      </c>
      <c r="Y530" s="50">
        <f>SUMIFS(INDEX(Техника!$F$1:$ABM$500,Y$2,0),Техника!$F$4:$ABM$4,"Часы",INDEX(Техника!$G$1:$ABN$500,Y$2,0),$A$529,INDEX(Техника!$H$1:$ABO$500,Y$2,0),"М")</f>
        <v>0</v>
      </c>
      <c r="Z530" s="50">
        <f>SUMIFS(INDEX(Техника!$F$1:$ABM$500,Z$2,0),Техника!$F$4:$ABM$4,"Часы",INDEX(Техника!$G$1:$ABN$500,Z$2,0),$A$529,INDEX(Техника!$H$1:$ABO$500,Z$2,0),"М")</f>
        <v>0</v>
      </c>
      <c r="AA530" s="50">
        <f>SUMIFS(INDEX(Техника!$F$1:$ABM$500,AA$2,0),Техника!$F$4:$ABM$4,"Часы",INDEX(Техника!$G$1:$ABN$500,AA$2,0),$A$529,INDEX(Техника!$H$1:$ABO$500,AA$2,0),"М")</f>
        <v>0</v>
      </c>
      <c r="AB530" s="50">
        <f>SUMIFS(INDEX(Техника!$F$1:$ABM$500,AB$2,0),Техника!$F$4:$ABM$4,"Часы",INDEX(Техника!$G$1:$ABN$500,AB$2,0),$A$529,INDEX(Техника!$H$1:$ABO$500,AB$2,0),"М")</f>
        <v>0</v>
      </c>
    </row>
    <row r="531" spans="1:28" hidden="1" outlineLevel="1" x14ac:dyDescent="0.3">
      <c r="A531" s="33" t="s">
        <v>244</v>
      </c>
      <c r="B531" s="34" t="s">
        <v>275</v>
      </c>
      <c r="C531" s="50">
        <f>SUMIFS(INDEX(Техника!$F$1:$ABM$500,C$2,0),Техника!$F$4:$ABM$4,"Часы",INDEX(Техника!$G$1:$ABN$500,C$2,0),$A$529,INDEX(Техника!$H$1:$ABO$500,C$2,0),"Д")</f>
        <v>0</v>
      </c>
      <c r="D531" s="50">
        <f>SUMIFS(INDEX(Техника!$F$1:$ABM$500,D$2,0),Техника!$F$4:$ABM$4,"Часы",INDEX(Техника!$G$1:$ABN$500,D$2,0),$A$529,INDEX(Техника!$H$1:$ABO$500,D$2,0),"Д")</f>
        <v>0</v>
      </c>
      <c r="E531" s="50">
        <f>SUMIFS(INDEX(Техника!$F$1:$ABM$500,E$2,0),Техника!$F$4:$ABM$4,"Часы",INDEX(Техника!$G$1:$ABN$500,E$2,0),$A$529,INDEX(Техника!$H$1:$ABO$500,E$2,0),"Д")</f>
        <v>0</v>
      </c>
      <c r="F531" s="50">
        <f>SUMIFS(INDEX(Техника!$F$1:$ABM$500,F$2,0),Техника!$F$4:$ABM$4,"Часы",INDEX(Техника!$G$1:$ABN$500,F$2,0),$A$529,INDEX(Техника!$H$1:$ABO$500,F$2,0),"Д")</f>
        <v>0</v>
      </c>
      <c r="G531" s="50">
        <f>SUMIFS(INDEX(Техника!$F$1:$ABM$500,G$2,0),Техника!$F$4:$ABM$4,"Часы",INDEX(Техника!$G$1:$ABN$500,G$2,0),$A$529,INDEX(Техника!$H$1:$ABO$500,G$2,0),"Д")</f>
        <v>0</v>
      </c>
      <c r="H531" s="50">
        <f>SUMIFS(INDEX(Техника!$F$1:$ABM$500,H$2,0),Техника!$F$4:$ABM$4,"Часы",INDEX(Техника!$G$1:$ABN$500,H$2,0),$A$529,INDEX(Техника!$H$1:$ABO$500,H$2,0),"Д")</f>
        <v>0</v>
      </c>
      <c r="I531" s="50">
        <f>SUMIFS(INDEX(Техника!$F$1:$ABM$500,I$2,0),Техника!$F$4:$ABM$4,"Часы",INDEX(Техника!$G$1:$ABN$500,I$2,0),$A$529,INDEX(Техника!$H$1:$ABO$500,I$2,0),"Д")</f>
        <v>0</v>
      </c>
      <c r="J531" s="50">
        <f>SUMIFS(INDEX(Техника!$F$1:$ABM$500,J$2,0),Техника!$F$4:$ABM$4,"Часы",INDEX(Техника!$G$1:$ABN$500,J$2,0),$A$529,INDEX(Техника!$H$1:$ABO$500,J$2,0),"Д")</f>
        <v>0</v>
      </c>
      <c r="K531" s="50">
        <f>SUMIFS(INDEX(Техника!$F$1:$ABM$500,K$2,0),Техника!$F$4:$ABM$4,"Часы",INDEX(Техника!$G$1:$ABN$500,K$2,0),$A$529,INDEX(Техника!$H$1:$ABO$500,K$2,0),"Д")</f>
        <v>0</v>
      </c>
      <c r="L531" s="50">
        <f>SUMIFS(INDEX(Техника!$F$1:$ABM$500,L$2,0),Техника!$F$4:$ABM$4,"Часы",INDEX(Техника!$G$1:$ABN$500,L$2,0),$A$529,INDEX(Техника!$H$1:$ABO$500,L$2,0),"Д")</f>
        <v>0</v>
      </c>
      <c r="M531" s="50">
        <f>SUMIFS(INDEX(Техника!$F$1:$ABM$500,M$2,0),Техника!$F$4:$ABM$4,"Часы",INDEX(Техника!$G$1:$ABN$500,M$2,0),$A$529,INDEX(Техника!$H$1:$ABO$500,M$2,0),"Д")</f>
        <v>0</v>
      </c>
      <c r="N531" s="50">
        <f>SUMIFS(INDEX(Техника!$F$1:$ABM$500,N$2,0),Техника!$F$4:$ABM$4,"Часы",INDEX(Техника!$G$1:$ABN$500,N$2,0),$A$529,INDEX(Техника!$H$1:$ABO$500,N$2,0),"Д")</f>
        <v>0</v>
      </c>
      <c r="O531" s="50">
        <f>SUMIFS(INDEX(Техника!$F$1:$ABM$500,O$2,0),Техника!$F$4:$ABM$4,"Часы",INDEX(Техника!$G$1:$ABN$500,O$2,0),$A$529,INDEX(Техника!$H$1:$ABO$500,O$2,0),"Д")</f>
        <v>0</v>
      </c>
      <c r="P531" s="50">
        <f>SUMIFS(INDEX(Техника!$F$1:$ABM$500,P$2,0),Техника!$F$4:$ABM$4,"Часы",INDEX(Техника!$G$1:$ABN$500,P$2,0),$A$529,INDEX(Техника!$H$1:$ABO$500,P$2,0),"Д")</f>
        <v>0</v>
      </c>
      <c r="Q531" s="50">
        <f>SUMIFS(INDEX(Техника!$F$1:$ABM$500,Q$2,0),Техника!$F$4:$ABM$4,"Часы",INDEX(Техника!$G$1:$ABN$500,Q$2,0),$A$529,INDEX(Техника!$H$1:$ABO$500,Q$2,0),"Д")</f>
        <v>0</v>
      </c>
      <c r="R531" s="50">
        <f>SUMIFS(INDEX(Техника!$F$1:$ABM$500,R$2,0),Техника!$F$4:$ABM$4,"Часы",INDEX(Техника!$G$1:$ABN$500,R$2,0),$A$529,INDEX(Техника!$H$1:$ABO$500,R$2,0),"Д")</f>
        <v>0</v>
      </c>
      <c r="S531" s="50">
        <f>SUMIFS(INDEX(Техника!$F$1:$ABM$500,S$2,0),Техника!$F$4:$ABM$4,"Часы",INDEX(Техника!$G$1:$ABN$500,S$2,0),$A$529,INDEX(Техника!$H$1:$ABO$500,S$2,0),"Д")</f>
        <v>0</v>
      </c>
      <c r="T531" s="50">
        <f>SUMIFS(INDEX(Техника!$F$1:$ABM$500,T$2,0),Техника!$F$4:$ABM$4,"Часы",INDEX(Техника!$G$1:$ABN$500,T$2,0),$A$529,INDEX(Техника!$H$1:$ABO$500,T$2,0),"Д")</f>
        <v>0</v>
      </c>
      <c r="U531" s="50">
        <f>SUMIFS(INDEX(Техника!$F$1:$ABM$500,U$2,0),Техника!$F$4:$ABM$4,"Часы",INDEX(Техника!$G$1:$ABN$500,U$2,0),$A$529,INDEX(Техника!$H$1:$ABO$500,U$2,0),"Д")</f>
        <v>0</v>
      </c>
      <c r="V531" s="50">
        <f>SUMIFS(INDEX(Техника!$F$1:$ABM$500,V$2,0),Техника!$F$4:$ABM$4,"Часы",INDEX(Техника!$G$1:$ABN$500,V$2,0),$A$529,INDEX(Техника!$H$1:$ABO$500,V$2,0),"Д")</f>
        <v>0</v>
      </c>
      <c r="W531" s="50">
        <f>SUMIFS(INDEX(Техника!$F$1:$ABM$500,W$2,0),Техника!$F$4:$ABM$4,"Часы",INDEX(Техника!$G$1:$ABN$500,W$2,0),$A$529,INDEX(Техника!$H$1:$ABO$500,W$2,0),"Д")</f>
        <v>0</v>
      </c>
      <c r="X531" s="50">
        <f>SUMIFS(INDEX(Техника!$F$1:$ABM$500,X$2,0),Техника!$F$4:$ABM$4,"Часы",INDEX(Техника!$G$1:$ABN$500,X$2,0),$A$529,INDEX(Техника!$H$1:$ABO$500,X$2,0),"Д")</f>
        <v>0</v>
      </c>
      <c r="Y531" s="50">
        <f>SUMIFS(INDEX(Техника!$F$1:$ABM$500,Y$2,0),Техника!$F$4:$ABM$4,"Часы",INDEX(Техника!$G$1:$ABN$500,Y$2,0),$A$529,INDEX(Техника!$H$1:$ABO$500,Y$2,0),"Д")</f>
        <v>0</v>
      </c>
      <c r="Z531" s="50">
        <f>SUMIFS(INDEX(Техника!$F$1:$ABM$500,Z$2,0),Техника!$F$4:$ABM$4,"Часы",INDEX(Техника!$G$1:$ABN$500,Z$2,0),$A$529,INDEX(Техника!$H$1:$ABO$500,Z$2,0),"Д")</f>
        <v>0</v>
      </c>
      <c r="AA531" s="50">
        <f>SUMIFS(INDEX(Техника!$F$1:$ABM$500,AA$2,0),Техника!$F$4:$ABM$4,"Часы",INDEX(Техника!$G$1:$ABN$500,AA$2,0),$A$529,INDEX(Техника!$H$1:$ABO$500,AA$2,0),"Д")</f>
        <v>0</v>
      </c>
      <c r="AB531" s="50">
        <f>SUMIFS(INDEX(Техника!$F$1:$ABM$500,AB$2,0),Техника!$F$4:$ABM$4,"Часы",INDEX(Техника!$G$1:$ABN$500,AB$2,0),$A$529,INDEX(Техника!$H$1:$ABO$500,AB$2,0),"Д")</f>
        <v>0</v>
      </c>
    </row>
    <row r="532" spans="1:28" hidden="1" outlineLevel="1" x14ac:dyDescent="0.3">
      <c r="A532" s="33" t="s">
        <v>276</v>
      </c>
      <c r="B532" s="34" t="s">
        <v>277</v>
      </c>
      <c r="C532" s="50">
        <f>SUMIFS(INDEX(Техника!$F$1:$ABM$500,C$2,0),Техника!$F$4:$ABM$4,"Часы",INDEX(Техника!$G$1:$ABN$500,C$2,0),$A$529,INDEX(Техника!$H$1:$ABO$500,C$2,0),"П")</f>
        <v>0</v>
      </c>
      <c r="D532" s="50">
        <f>SUMIFS(INDEX(Техника!$F$1:$ABM$500,D$2,0),Техника!$F$4:$ABM$4,"Часы",INDEX(Техника!$G$1:$ABN$500,D$2,0),$A$529,INDEX(Техника!$H$1:$ABO$500,D$2,0),"П")</f>
        <v>0</v>
      </c>
      <c r="E532" s="50">
        <f>SUMIFS(INDEX(Техника!$F$1:$ABM$500,E$2,0),Техника!$F$4:$ABM$4,"Часы",INDEX(Техника!$G$1:$ABN$500,E$2,0),$A$529,INDEX(Техника!$H$1:$ABO$500,E$2,0),"П")</f>
        <v>0</v>
      </c>
      <c r="F532" s="50">
        <f>SUMIFS(INDEX(Техника!$F$1:$ABM$500,F$2,0),Техника!$F$4:$ABM$4,"Часы",INDEX(Техника!$G$1:$ABN$500,F$2,0),$A$529,INDEX(Техника!$H$1:$ABO$500,F$2,0),"П")</f>
        <v>0</v>
      </c>
      <c r="G532" s="50">
        <f>SUMIFS(INDEX(Техника!$F$1:$ABM$500,G$2,0),Техника!$F$4:$ABM$4,"Часы",INDEX(Техника!$G$1:$ABN$500,G$2,0),$A$529,INDEX(Техника!$H$1:$ABO$500,G$2,0),"П")</f>
        <v>0</v>
      </c>
      <c r="H532" s="50">
        <f>SUMIFS(INDEX(Техника!$F$1:$ABM$500,H$2,0),Техника!$F$4:$ABM$4,"Часы",INDEX(Техника!$G$1:$ABN$500,H$2,0),$A$529,INDEX(Техника!$H$1:$ABO$500,H$2,0),"П")</f>
        <v>0</v>
      </c>
      <c r="I532" s="50">
        <f>SUMIFS(INDEX(Техника!$F$1:$ABM$500,I$2,0),Техника!$F$4:$ABM$4,"Часы",INDEX(Техника!$G$1:$ABN$500,I$2,0),$A$529,INDEX(Техника!$H$1:$ABO$500,I$2,0),"П")</f>
        <v>0</v>
      </c>
      <c r="J532" s="50">
        <f>SUMIFS(INDEX(Техника!$F$1:$ABM$500,J$2,0),Техника!$F$4:$ABM$4,"Часы",INDEX(Техника!$G$1:$ABN$500,J$2,0),$A$529,INDEX(Техника!$H$1:$ABO$500,J$2,0),"П")</f>
        <v>0</v>
      </c>
      <c r="K532" s="50">
        <f>SUMIFS(INDEX(Техника!$F$1:$ABM$500,K$2,0),Техника!$F$4:$ABM$4,"Часы",INDEX(Техника!$G$1:$ABN$500,K$2,0),$A$529,INDEX(Техника!$H$1:$ABO$500,K$2,0),"П")</f>
        <v>0</v>
      </c>
      <c r="L532" s="50">
        <f>SUMIFS(INDEX(Техника!$F$1:$ABM$500,L$2,0),Техника!$F$4:$ABM$4,"Часы",INDEX(Техника!$G$1:$ABN$500,L$2,0),$A$529,INDEX(Техника!$H$1:$ABO$500,L$2,0),"П")</f>
        <v>0</v>
      </c>
      <c r="M532" s="50">
        <f>SUMIFS(INDEX(Техника!$F$1:$ABM$500,M$2,0),Техника!$F$4:$ABM$4,"Часы",INDEX(Техника!$G$1:$ABN$500,M$2,0),$A$529,INDEX(Техника!$H$1:$ABO$500,M$2,0),"П")</f>
        <v>0</v>
      </c>
      <c r="N532" s="50">
        <f>SUMIFS(INDEX(Техника!$F$1:$ABM$500,N$2,0),Техника!$F$4:$ABM$4,"Часы",INDEX(Техника!$G$1:$ABN$500,N$2,0),$A$529,INDEX(Техника!$H$1:$ABO$500,N$2,0),"П")</f>
        <v>0</v>
      </c>
      <c r="O532" s="50">
        <f>SUMIFS(INDEX(Техника!$F$1:$ABM$500,O$2,0),Техника!$F$4:$ABM$4,"Часы",INDEX(Техника!$G$1:$ABN$500,O$2,0),$A$529,INDEX(Техника!$H$1:$ABO$500,O$2,0),"П")</f>
        <v>0</v>
      </c>
      <c r="P532" s="50">
        <f>SUMIFS(INDEX(Техника!$F$1:$ABM$500,P$2,0),Техника!$F$4:$ABM$4,"Часы",INDEX(Техника!$G$1:$ABN$500,P$2,0),$A$529,INDEX(Техника!$H$1:$ABO$500,P$2,0),"П")</f>
        <v>0</v>
      </c>
      <c r="Q532" s="50">
        <f>SUMIFS(INDEX(Техника!$F$1:$ABM$500,Q$2,0),Техника!$F$4:$ABM$4,"Часы",INDEX(Техника!$G$1:$ABN$500,Q$2,0),$A$529,INDEX(Техника!$H$1:$ABO$500,Q$2,0),"П")</f>
        <v>0</v>
      </c>
      <c r="R532" s="50">
        <f>SUMIFS(INDEX(Техника!$F$1:$ABM$500,R$2,0),Техника!$F$4:$ABM$4,"Часы",INDEX(Техника!$G$1:$ABN$500,R$2,0),$A$529,INDEX(Техника!$H$1:$ABO$500,R$2,0),"П")</f>
        <v>0</v>
      </c>
      <c r="S532" s="50">
        <f>SUMIFS(INDEX(Техника!$F$1:$ABM$500,S$2,0),Техника!$F$4:$ABM$4,"Часы",INDEX(Техника!$G$1:$ABN$500,S$2,0),$A$529,INDEX(Техника!$H$1:$ABO$500,S$2,0),"П")</f>
        <v>0</v>
      </c>
      <c r="T532" s="50">
        <f>SUMIFS(INDEX(Техника!$F$1:$ABM$500,T$2,0),Техника!$F$4:$ABM$4,"Часы",INDEX(Техника!$G$1:$ABN$500,T$2,0),$A$529,INDEX(Техника!$H$1:$ABO$500,T$2,0),"П")</f>
        <v>0</v>
      </c>
      <c r="U532" s="50">
        <f>SUMIFS(INDEX(Техника!$F$1:$ABM$500,U$2,0),Техника!$F$4:$ABM$4,"Часы",INDEX(Техника!$G$1:$ABN$500,U$2,0),$A$529,INDEX(Техника!$H$1:$ABO$500,U$2,0),"П")</f>
        <v>0</v>
      </c>
      <c r="V532" s="50">
        <f>SUMIFS(INDEX(Техника!$F$1:$ABM$500,V$2,0),Техника!$F$4:$ABM$4,"Часы",INDEX(Техника!$G$1:$ABN$500,V$2,0),$A$529,INDEX(Техника!$H$1:$ABO$500,V$2,0),"П")</f>
        <v>0</v>
      </c>
      <c r="W532" s="50">
        <f>SUMIFS(INDEX(Техника!$F$1:$ABM$500,W$2,0),Техника!$F$4:$ABM$4,"Часы",INDEX(Техника!$G$1:$ABN$500,W$2,0),$A$529,INDEX(Техника!$H$1:$ABO$500,W$2,0),"П")</f>
        <v>0</v>
      </c>
      <c r="X532" s="50">
        <f>SUMIFS(INDEX(Техника!$F$1:$ABM$500,X$2,0),Техника!$F$4:$ABM$4,"Часы",INDEX(Техника!$G$1:$ABN$500,X$2,0),$A$529,INDEX(Техника!$H$1:$ABO$500,X$2,0),"П")</f>
        <v>0</v>
      </c>
      <c r="Y532" s="50">
        <f>SUMIFS(INDEX(Техника!$F$1:$ABM$500,Y$2,0),Техника!$F$4:$ABM$4,"Часы",INDEX(Техника!$G$1:$ABN$500,Y$2,0),$A$529,INDEX(Техника!$H$1:$ABO$500,Y$2,0),"П")</f>
        <v>0</v>
      </c>
      <c r="Z532" s="50">
        <f>SUMIFS(INDEX(Техника!$F$1:$ABM$500,Z$2,0),Техника!$F$4:$ABM$4,"Часы",INDEX(Техника!$G$1:$ABN$500,Z$2,0),$A$529,INDEX(Техника!$H$1:$ABO$500,Z$2,0),"П")</f>
        <v>0</v>
      </c>
      <c r="AA532" s="50">
        <f>SUMIFS(INDEX(Техника!$F$1:$ABM$500,AA$2,0),Техника!$F$4:$ABM$4,"Часы",INDEX(Техника!$G$1:$ABN$500,AA$2,0),$A$529,INDEX(Техника!$H$1:$ABO$500,AA$2,0),"П")</f>
        <v>0</v>
      </c>
      <c r="AB532" s="50">
        <f>SUMIFS(INDEX(Техника!$F$1:$ABM$500,AB$2,0),Техника!$F$4:$ABM$4,"Часы",INDEX(Техника!$G$1:$ABN$500,AB$2,0),$A$529,INDEX(Техника!$H$1:$ABO$500,AB$2,0),"П")</f>
        <v>0</v>
      </c>
    </row>
    <row r="533" spans="1:28" hidden="1" outlineLevel="1" x14ac:dyDescent="0.3">
      <c r="A533" s="33" t="s">
        <v>243</v>
      </c>
      <c r="B533" s="34" t="s">
        <v>278</v>
      </c>
      <c r="C533" s="50">
        <f>SUMIFS(INDEX(Техника!$F$1:$ABM$500,C$2,0),Техника!$F$4:$ABM$4,"Часы",INDEX(Техника!$G$1:$ABN$500,C$2,0),$A$529,INDEX(Техника!$H$1:$ABO$500,C$2,0),"Л")</f>
        <v>0</v>
      </c>
      <c r="D533" s="50">
        <f>SUMIFS(INDEX(Техника!$F$1:$ABM$500,D$2,0),Техника!$F$4:$ABM$4,"Часы",INDEX(Техника!$G$1:$ABN$500,D$2,0),$A$529,INDEX(Техника!$H$1:$ABO$500,D$2,0),"Л")</f>
        <v>0</v>
      </c>
      <c r="E533" s="50">
        <f>SUMIFS(INDEX(Техника!$F$1:$ABM$500,E$2,0),Техника!$F$4:$ABM$4,"Часы",INDEX(Техника!$G$1:$ABN$500,E$2,0),$A$529,INDEX(Техника!$H$1:$ABO$500,E$2,0),"Л")</f>
        <v>0</v>
      </c>
      <c r="F533" s="50">
        <f>SUMIFS(INDEX(Техника!$F$1:$ABM$500,F$2,0),Техника!$F$4:$ABM$4,"Часы",INDEX(Техника!$G$1:$ABN$500,F$2,0),$A$529,INDEX(Техника!$H$1:$ABO$500,F$2,0),"Л")</f>
        <v>0</v>
      </c>
      <c r="G533" s="50">
        <f>SUMIFS(INDEX(Техника!$F$1:$ABM$500,G$2,0),Техника!$F$4:$ABM$4,"Часы",INDEX(Техника!$G$1:$ABN$500,G$2,0),$A$529,INDEX(Техника!$H$1:$ABO$500,G$2,0),"Л")</f>
        <v>0</v>
      </c>
      <c r="H533" s="50">
        <f>SUMIFS(INDEX(Техника!$F$1:$ABM$500,H$2,0),Техника!$F$4:$ABM$4,"Часы",INDEX(Техника!$G$1:$ABN$500,H$2,0),$A$529,INDEX(Техника!$H$1:$ABO$500,H$2,0),"Л")</f>
        <v>0</v>
      </c>
      <c r="I533" s="50">
        <f>SUMIFS(INDEX(Техника!$F$1:$ABM$500,I$2,0),Техника!$F$4:$ABM$4,"Часы",INDEX(Техника!$G$1:$ABN$500,I$2,0),$A$529,INDEX(Техника!$H$1:$ABO$500,I$2,0),"Л")</f>
        <v>0</v>
      </c>
      <c r="J533" s="50">
        <f>SUMIFS(INDEX(Техника!$F$1:$ABM$500,J$2,0),Техника!$F$4:$ABM$4,"Часы",INDEX(Техника!$G$1:$ABN$500,J$2,0),$A$529,INDEX(Техника!$H$1:$ABO$500,J$2,0),"Л")</f>
        <v>0</v>
      </c>
      <c r="K533" s="50">
        <f>SUMIFS(INDEX(Техника!$F$1:$ABM$500,K$2,0),Техника!$F$4:$ABM$4,"Часы",INDEX(Техника!$G$1:$ABN$500,K$2,0),$A$529,INDEX(Техника!$H$1:$ABO$500,K$2,0),"Л")</f>
        <v>0</v>
      </c>
      <c r="L533" s="50">
        <f>SUMIFS(INDEX(Техника!$F$1:$ABM$500,L$2,0),Техника!$F$4:$ABM$4,"Часы",INDEX(Техника!$G$1:$ABN$500,L$2,0),$A$529,INDEX(Техника!$H$1:$ABO$500,L$2,0),"Л")</f>
        <v>0</v>
      </c>
      <c r="M533" s="50">
        <f>SUMIFS(INDEX(Техника!$F$1:$ABM$500,M$2,0),Техника!$F$4:$ABM$4,"Часы",INDEX(Техника!$G$1:$ABN$500,M$2,0),$A$529,INDEX(Техника!$H$1:$ABO$500,M$2,0),"Л")</f>
        <v>0</v>
      </c>
      <c r="N533" s="50">
        <f>SUMIFS(INDEX(Техника!$F$1:$ABM$500,N$2,0),Техника!$F$4:$ABM$4,"Часы",INDEX(Техника!$G$1:$ABN$500,N$2,0),$A$529,INDEX(Техника!$H$1:$ABO$500,N$2,0),"Л")</f>
        <v>0</v>
      </c>
      <c r="O533" s="50">
        <f>SUMIFS(INDEX(Техника!$F$1:$ABM$500,O$2,0),Техника!$F$4:$ABM$4,"Часы",INDEX(Техника!$G$1:$ABN$500,O$2,0),$A$529,INDEX(Техника!$H$1:$ABO$500,O$2,0),"Л")</f>
        <v>0</v>
      </c>
      <c r="P533" s="50">
        <f>SUMIFS(INDEX(Техника!$F$1:$ABM$500,P$2,0),Техника!$F$4:$ABM$4,"Часы",INDEX(Техника!$G$1:$ABN$500,P$2,0),$A$529,INDEX(Техника!$H$1:$ABO$500,P$2,0),"Л")</f>
        <v>0</v>
      </c>
      <c r="Q533" s="50">
        <f>SUMIFS(INDEX(Техника!$F$1:$ABM$500,Q$2,0),Техника!$F$4:$ABM$4,"Часы",INDEX(Техника!$G$1:$ABN$500,Q$2,0),$A$529,INDEX(Техника!$H$1:$ABO$500,Q$2,0),"Л")</f>
        <v>0</v>
      </c>
      <c r="R533" s="50">
        <f>SUMIFS(INDEX(Техника!$F$1:$ABM$500,R$2,0),Техника!$F$4:$ABM$4,"Часы",INDEX(Техника!$G$1:$ABN$500,R$2,0),$A$529,INDEX(Техника!$H$1:$ABO$500,R$2,0),"Л")</f>
        <v>0</v>
      </c>
      <c r="S533" s="50">
        <f>SUMIFS(INDEX(Техника!$F$1:$ABM$500,S$2,0),Техника!$F$4:$ABM$4,"Часы",INDEX(Техника!$G$1:$ABN$500,S$2,0),$A$529,INDEX(Техника!$H$1:$ABO$500,S$2,0),"Л")</f>
        <v>0</v>
      </c>
      <c r="T533" s="50">
        <f>SUMIFS(INDEX(Техника!$F$1:$ABM$500,T$2,0),Техника!$F$4:$ABM$4,"Часы",INDEX(Техника!$G$1:$ABN$500,T$2,0),$A$529,INDEX(Техника!$H$1:$ABO$500,T$2,0),"Л")</f>
        <v>0</v>
      </c>
      <c r="U533" s="50">
        <f>SUMIFS(INDEX(Техника!$F$1:$ABM$500,U$2,0),Техника!$F$4:$ABM$4,"Часы",INDEX(Техника!$G$1:$ABN$500,U$2,0),$A$529,INDEX(Техника!$H$1:$ABO$500,U$2,0),"Л")</f>
        <v>0</v>
      </c>
      <c r="V533" s="50">
        <f>SUMIFS(INDEX(Техника!$F$1:$ABM$500,V$2,0),Техника!$F$4:$ABM$4,"Часы",INDEX(Техника!$G$1:$ABN$500,V$2,0),$A$529,INDEX(Техника!$H$1:$ABO$500,V$2,0),"Л")</f>
        <v>0</v>
      </c>
      <c r="W533" s="50">
        <f>SUMIFS(INDEX(Техника!$F$1:$ABM$500,W$2,0),Техника!$F$4:$ABM$4,"Часы",INDEX(Техника!$G$1:$ABN$500,W$2,0),$A$529,INDEX(Техника!$H$1:$ABO$500,W$2,0),"Л")</f>
        <v>0</v>
      </c>
      <c r="X533" s="50">
        <f>SUMIFS(INDEX(Техника!$F$1:$ABM$500,X$2,0),Техника!$F$4:$ABM$4,"Часы",INDEX(Техника!$G$1:$ABN$500,X$2,0),$A$529,INDEX(Техника!$H$1:$ABO$500,X$2,0),"Л")</f>
        <v>0</v>
      </c>
      <c r="Y533" s="50">
        <f>SUMIFS(INDEX(Техника!$F$1:$ABM$500,Y$2,0),Техника!$F$4:$ABM$4,"Часы",INDEX(Техника!$G$1:$ABN$500,Y$2,0),$A$529,INDEX(Техника!$H$1:$ABO$500,Y$2,0),"Л")</f>
        <v>0</v>
      </c>
      <c r="Z533" s="50">
        <f>SUMIFS(INDEX(Техника!$F$1:$ABM$500,Z$2,0),Техника!$F$4:$ABM$4,"Часы",INDEX(Техника!$G$1:$ABN$500,Z$2,0),$A$529,INDEX(Техника!$H$1:$ABO$500,Z$2,0),"Л")</f>
        <v>0</v>
      </c>
      <c r="AA533" s="50">
        <f>SUMIFS(INDEX(Техника!$F$1:$ABM$500,AA$2,0),Техника!$F$4:$ABM$4,"Часы",INDEX(Техника!$G$1:$ABN$500,AA$2,0),$A$529,INDEX(Техника!$H$1:$ABO$500,AA$2,0),"Л")</f>
        <v>0</v>
      </c>
      <c r="AB533" s="50">
        <f>SUMIFS(INDEX(Техника!$F$1:$ABM$500,AB$2,0),Техника!$F$4:$ABM$4,"Часы",INDEX(Техника!$G$1:$ABN$500,AB$2,0),$A$529,INDEX(Техника!$H$1:$ABO$500,AB$2,0),"Л")</f>
        <v>0</v>
      </c>
    </row>
    <row r="534" spans="1:28" hidden="1" outlineLevel="1" x14ac:dyDescent="0.3">
      <c r="A534" s="33" t="s">
        <v>245</v>
      </c>
      <c r="B534" s="34" t="s">
        <v>279</v>
      </c>
      <c r="C534" s="50">
        <f>SUMIFS(INDEX(Техника!$F$1:$ABM$500,C$2,0),Техника!$F$4:$ABM$4,"Часы",INDEX(Техника!$G$1:$ABN$500,C$2,0),$A$529,INDEX(Техника!$H$1:$ABO$500,C$2,0),"З")</f>
        <v>0</v>
      </c>
      <c r="D534" s="50">
        <f>SUMIFS(INDEX(Техника!$F$1:$ABM$500,D$2,0),Техника!$F$4:$ABM$4,"Часы",INDEX(Техника!$G$1:$ABN$500,D$2,0),$A$529,INDEX(Техника!$H$1:$ABO$500,D$2,0),"З")</f>
        <v>0</v>
      </c>
      <c r="E534" s="50">
        <f>SUMIFS(INDEX(Техника!$F$1:$ABM$500,E$2,0),Техника!$F$4:$ABM$4,"Часы",INDEX(Техника!$G$1:$ABN$500,E$2,0),$A$529,INDEX(Техника!$H$1:$ABO$500,E$2,0),"З")</f>
        <v>0</v>
      </c>
      <c r="F534" s="50">
        <f>SUMIFS(INDEX(Техника!$F$1:$ABM$500,F$2,0),Техника!$F$4:$ABM$4,"Часы",INDEX(Техника!$G$1:$ABN$500,F$2,0),$A$529,INDEX(Техника!$H$1:$ABO$500,F$2,0),"З")</f>
        <v>0</v>
      </c>
      <c r="G534" s="50">
        <f>SUMIFS(INDEX(Техника!$F$1:$ABM$500,G$2,0),Техника!$F$4:$ABM$4,"Часы",INDEX(Техника!$G$1:$ABN$500,G$2,0),$A$529,INDEX(Техника!$H$1:$ABO$500,G$2,0),"З")</f>
        <v>0</v>
      </c>
      <c r="H534" s="50">
        <f>SUMIFS(INDEX(Техника!$F$1:$ABM$500,H$2,0),Техника!$F$4:$ABM$4,"Часы",INDEX(Техника!$G$1:$ABN$500,H$2,0),$A$529,INDEX(Техника!$H$1:$ABO$500,H$2,0),"З")</f>
        <v>0</v>
      </c>
      <c r="I534" s="50">
        <f>SUMIFS(INDEX(Техника!$F$1:$ABM$500,I$2,0),Техника!$F$4:$ABM$4,"Часы",INDEX(Техника!$G$1:$ABN$500,I$2,0),$A$529,INDEX(Техника!$H$1:$ABO$500,I$2,0),"З")</f>
        <v>0</v>
      </c>
      <c r="J534" s="50">
        <f>SUMIFS(INDEX(Техника!$F$1:$ABM$500,J$2,0),Техника!$F$4:$ABM$4,"Часы",INDEX(Техника!$G$1:$ABN$500,J$2,0),$A$529,INDEX(Техника!$H$1:$ABO$500,J$2,0),"З")</f>
        <v>0</v>
      </c>
      <c r="K534" s="50">
        <f>SUMIFS(INDEX(Техника!$F$1:$ABM$500,K$2,0),Техника!$F$4:$ABM$4,"Часы",INDEX(Техника!$G$1:$ABN$500,K$2,0),$A$529,INDEX(Техника!$H$1:$ABO$500,K$2,0),"З")</f>
        <v>0</v>
      </c>
      <c r="L534" s="50">
        <f>SUMIFS(INDEX(Техника!$F$1:$ABM$500,L$2,0),Техника!$F$4:$ABM$4,"Часы",INDEX(Техника!$G$1:$ABN$500,L$2,0),$A$529,INDEX(Техника!$H$1:$ABO$500,L$2,0),"З")</f>
        <v>0</v>
      </c>
      <c r="M534" s="50">
        <f>SUMIFS(INDEX(Техника!$F$1:$ABM$500,M$2,0),Техника!$F$4:$ABM$4,"Часы",INDEX(Техника!$G$1:$ABN$500,M$2,0),$A$529,INDEX(Техника!$H$1:$ABO$500,M$2,0),"З")</f>
        <v>0</v>
      </c>
      <c r="N534" s="50">
        <f>SUMIFS(INDEX(Техника!$F$1:$ABM$500,N$2,0),Техника!$F$4:$ABM$4,"Часы",INDEX(Техника!$G$1:$ABN$500,N$2,0),$A$529,INDEX(Техника!$H$1:$ABO$500,N$2,0),"З")</f>
        <v>0</v>
      </c>
      <c r="O534" s="50">
        <f>SUMIFS(INDEX(Техника!$F$1:$ABM$500,O$2,0),Техника!$F$4:$ABM$4,"Часы",INDEX(Техника!$G$1:$ABN$500,O$2,0),$A$529,INDEX(Техника!$H$1:$ABO$500,O$2,0),"З")</f>
        <v>0</v>
      </c>
      <c r="P534" s="50">
        <f>SUMIFS(INDEX(Техника!$F$1:$ABM$500,P$2,0),Техника!$F$4:$ABM$4,"Часы",INDEX(Техника!$G$1:$ABN$500,P$2,0),$A$529,INDEX(Техника!$H$1:$ABO$500,P$2,0),"З")</f>
        <v>0</v>
      </c>
      <c r="Q534" s="50">
        <f>SUMIFS(INDEX(Техника!$F$1:$ABM$500,Q$2,0),Техника!$F$4:$ABM$4,"Часы",INDEX(Техника!$G$1:$ABN$500,Q$2,0),$A$529,INDEX(Техника!$H$1:$ABO$500,Q$2,0),"З")</f>
        <v>0</v>
      </c>
      <c r="R534" s="50">
        <f>SUMIFS(INDEX(Техника!$F$1:$ABM$500,R$2,0),Техника!$F$4:$ABM$4,"Часы",INDEX(Техника!$G$1:$ABN$500,R$2,0),$A$529,INDEX(Техника!$H$1:$ABO$500,R$2,0),"З")</f>
        <v>0</v>
      </c>
      <c r="S534" s="50">
        <f>SUMIFS(INDEX(Техника!$F$1:$ABM$500,S$2,0),Техника!$F$4:$ABM$4,"Часы",INDEX(Техника!$G$1:$ABN$500,S$2,0),$A$529,INDEX(Техника!$H$1:$ABO$500,S$2,0),"З")</f>
        <v>0</v>
      </c>
      <c r="T534" s="50">
        <f>SUMIFS(INDEX(Техника!$F$1:$ABM$500,T$2,0),Техника!$F$4:$ABM$4,"Часы",INDEX(Техника!$G$1:$ABN$500,T$2,0),$A$529,INDEX(Техника!$H$1:$ABO$500,T$2,0),"З")</f>
        <v>0</v>
      </c>
      <c r="U534" s="50">
        <f>SUMIFS(INDEX(Техника!$F$1:$ABM$500,U$2,0),Техника!$F$4:$ABM$4,"Часы",INDEX(Техника!$G$1:$ABN$500,U$2,0),$A$529,INDEX(Техника!$H$1:$ABO$500,U$2,0),"З")</f>
        <v>0</v>
      </c>
      <c r="V534" s="50">
        <f>SUMIFS(INDEX(Техника!$F$1:$ABM$500,V$2,0),Техника!$F$4:$ABM$4,"Часы",INDEX(Техника!$G$1:$ABN$500,V$2,0),$A$529,INDEX(Техника!$H$1:$ABO$500,V$2,0),"З")</f>
        <v>0</v>
      </c>
      <c r="W534" s="50">
        <f>SUMIFS(INDEX(Техника!$F$1:$ABM$500,W$2,0),Техника!$F$4:$ABM$4,"Часы",INDEX(Техника!$G$1:$ABN$500,W$2,0),$A$529,INDEX(Техника!$H$1:$ABO$500,W$2,0),"З")</f>
        <v>0</v>
      </c>
      <c r="X534" s="50">
        <f>SUMIFS(INDEX(Техника!$F$1:$ABM$500,X$2,0),Техника!$F$4:$ABM$4,"Часы",INDEX(Техника!$G$1:$ABN$500,X$2,0),$A$529,INDEX(Техника!$H$1:$ABO$500,X$2,0),"З")</f>
        <v>0</v>
      </c>
      <c r="Y534" s="50">
        <f>SUMIFS(INDEX(Техника!$F$1:$ABM$500,Y$2,0),Техника!$F$4:$ABM$4,"Часы",INDEX(Техника!$G$1:$ABN$500,Y$2,0),$A$529,INDEX(Техника!$H$1:$ABO$500,Y$2,0),"З")</f>
        <v>0</v>
      </c>
      <c r="Z534" s="50">
        <f>SUMIFS(INDEX(Техника!$F$1:$ABM$500,Z$2,0),Техника!$F$4:$ABM$4,"Часы",INDEX(Техника!$G$1:$ABN$500,Z$2,0),$A$529,INDEX(Техника!$H$1:$ABO$500,Z$2,0),"З")</f>
        <v>0</v>
      </c>
      <c r="AA534" s="50">
        <f>SUMIFS(INDEX(Техника!$F$1:$ABM$500,AA$2,0),Техника!$F$4:$ABM$4,"Часы",INDEX(Техника!$G$1:$ABN$500,AA$2,0),$A$529,INDEX(Техника!$H$1:$ABO$500,AA$2,0),"З")</f>
        <v>0</v>
      </c>
      <c r="AB534" s="50">
        <f>SUMIFS(INDEX(Техника!$F$1:$ABM$500,AB$2,0),Техника!$F$4:$ABM$4,"Часы",INDEX(Техника!$G$1:$ABN$500,AB$2,0),$A$529,INDEX(Техника!$H$1:$ABO$500,AB$2,0),"З")</f>
        <v>0</v>
      </c>
    </row>
    <row r="535" spans="1:28" ht="7.95" customHeight="1" x14ac:dyDescent="0.3">
      <c r="A535" s="38"/>
      <c r="B535" s="39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</row>
    <row r="536" spans="1:28" ht="25.05" customHeight="1" collapsed="1" x14ac:dyDescent="0.3">
      <c r="A536" s="32">
        <v>77</v>
      </c>
      <c r="B536" s="32" t="s">
        <v>78</v>
      </c>
      <c r="C536" s="49">
        <f>SUM(C537:C541)</f>
        <v>0</v>
      </c>
      <c r="D536" s="49">
        <f>SUM(D537:D541)</f>
        <v>0</v>
      </c>
      <c r="E536" s="49">
        <f>SUM(E537:E541)</f>
        <v>0</v>
      </c>
      <c r="F536" s="49">
        <f>SUM(F537:F541)</f>
        <v>0</v>
      </c>
      <c r="G536" s="49">
        <f>SUM(G537:G541)</f>
        <v>0</v>
      </c>
      <c r="H536" s="49">
        <f>SUM(H537:H541)</f>
        <v>0</v>
      </c>
      <c r="I536" s="49">
        <f>SUM(I537:I541)</f>
        <v>0</v>
      </c>
      <c r="J536" s="49">
        <f>SUM(J537:J541)</f>
        <v>0</v>
      </c>
      <c r="K536" s="49">
        <f>SUM(K537:K541)</f>
        <v>0</v>
      </c>
      <c r="L536" s="49">
        <f>SUM(L537:L541)</f>
        <v>0</v>
      </c>
      <c r="M536" s="49">
        <f>SUM(M537:M541)</f>
        <v>0</v>
      </c>
      <c r="N536" s="49">
        <f>SUM(N537:N541)</f>
        <v>0</v>
      </c>
      <c r="O536" s="49">
        <f>SUM(O537:O541)</f>
        <v>0</v>
      </c>
      <c r="P536" s="49">
        <f>SUM(P537:P541)</f>
        <v>0</v>
      </c>
      <c r="Q536" s="49">
        <f>SUM(Q537:Q541)</f>
        <v>0</v>
      </c>
      <c r="R536" s="49">
        <f>SUM(R537:R541)</f>
        <v>0</v>
      </c>
      <c r="S536" s="49">
        <f>SUM(S537:S541)</f>
        <v>0</v>
      </c>
      <c r="T536" s="49">
        <f>SUM(T537:T541)</f>
        <v>0</v>
      </c>
      <c r="U536" s="49">
        <f>SUM(U537:U541)</f>
        <v>0</v>
      </c>
      <c r="V536" s="49">
        <f>SUM(V537:V541)</f>
        <v>0</v>
      </c>
      <c r="W536" s="49">
        <f>SUM(W537:W541)</f>
        <v>0</v>
      </c>
      <c r="X536" s="49">
        <f>SUM(X537:X541)</f>
        <v>0</v>
      </c>
      <c r="Y536" s="49">
        <f>SUM(Y537:Y541)</f>
        <v>0</v>
      </c>
      <c r="Z536" s="49">
        <f>SUM(Z537:Z541)</f>
        <v>0</v>
      </c>
      <c r="AA536" s="49">
        <f>SUM(AA537:AA541)</f>
        <v>0</v>
      </c>
      <c r="AB536" s="49">
        <f>SUM(AB537:AB541)</f>
        <v>0</v>
      </c>
    </row>
    <row r="537" spans="1:28" hidden="1" outlineLevel="1" x14ac:dyDescent="0.3">
      <c r="A537" s="33" t="s">
        <v>246</v>
      </c>
      <c r="B537" s="34" t="s">
        <v>274</v>
      </c>
      <c r="C537" s="50">
        <f>SUMIFS(INDEX(Техника!$F$1:$ABM$500,C$2,0),Техника!$F$4:$ABM$4,"Часы",INDEX(Техника!$G$1:$ABN$500,C$2,0),$A$536,INDEX(Техника!$H$1:$ABO$500,C$2,0),"М")</f>
        <v>0</v>
      </c>
      <c r="D537" s="50">
        <f>SUMIFS(INDEX(Техника!$F$1:$ABM$500,D$2,0),Техника!$F$4:$ABM$4,"Часы",INDEX(Техника!$G$1:$ABN$500,D$2,0),$A$536,INDEX(Техника!$H$1:$ABO$500,D$2,0),"М")</f>
        <v>0</v>
      </c>
      <c r="E537" s="50">
        <f>SUMIFS(INDEX(Техника!$F$1:$ABM$500,E$2,0),Техника!$F$4:$ABM$4,"Часы",INDEX(Техника!$G$1:$ABN$500,E$2,0),$A$536,INDEX(Техника!$H$1:$ABO$500,E$2,0),"М")</f>
        <v>0</v>
      </c>
      <c r="F537" s="50">
        <f>SUMIFS(INDEX(Техника!$F$1:$ABM$500,F$2,0),Техника!$F$4:$ABM$4,"Часы",INDEX(Техника!$G$1:$ABN$500,F$2,0),$A$536,INDEX(Техника!$H$1:$ABO$500,F$2,0),"М")</f>
        <v>0</v>
      </c>
      <c r="G537" s="50">
        <f>SUMIFS(INDEX(Техника!$F$1:$ABM$500,G$2,0),Техника!$F$4:$ABM$4,"Часы",INDEX(Техника!$G$1:$ABN$500,G$2,0),$A$536,INDEX(Техника!$H$1:$ABO$500,G$2,0),"М")</f>
        <v>0</v>
      </c>
      <c r="H537" s="50">
        <f>SUMIFS(INDEX(Техника!$F$1:$ABM$500,H$2,0),Техника!$F$4:$ABM$4,"Часы",INDEX(Техника!$G$1:$ABN$500,H$2,0),$A$536,INDEX(Техника!$H$1:$ABO$500,H$2,0),"М")</f>
        <v>0</v>
      </c>
      <c r="I537" s="50">
        <f>SUMIFS(INDEX(Техника!$F$1:$ABM$500,I$2,0),Техника!$F$4:$ABM$4,"Часы",INDEX(Техника!$G$1:$ABN$500,I$2,0),$A$536,INDEX(Техника!$H$1:$ABO$500,I$2,0),"М")</f>
        <v>0</v>
      </c>
      <c r="J537" s="50">
        <f>SUMIFS(INDEX(Техника!$F$1:$ABM$500,J$2,0),Техника!$F$4:$ABM$4,"Часы",INDEX(Техника!$G$1:$ABN$500,J$2,0),$A$536,INDEX(Техника!$H$1:$ABO$500,J$2,0),"М")</f>
        <v>0</v>
      </c>
      <c r="K537" s="50">
        <f>SUMIFS(INDEX(Техника!$F$1:$ABM$500,K$2,0),Техника!$F$4:$ABM$4,"Часы",INDEX(Техника!$G$1:$ABN$500,K$2,0),$A$536,INDEX(Техника!$H$1:$ABO$500,K$2,0),"М")</f>
        <v>0</v>
      </c>
      <c r="L537" s="50">
        <f>SUMIFS(INDEX(Техника!$F$1:$ABM$500,L$2,0),Техника!$F$4:$ABM$4,"Часы",INDEX(Техника!$G$1:$ABN$500,L$2,0),$A$536,INDEX(Техника!$H$1:$ABO$500,L$2,0),"М")</f>
        <v>0</v>
      </c>
      <c r="M537" s="50">
        <f>SUMIFS(INDEX(Техника!$F$1:$ABM$500,M$2,0),Техника!$F$4:$ABM$4,"Часы",INDEX(Техника!$G$1:$ABN$500,M$2,0),$A$536,INDEX(Техника!$H$1:$ABO$500,M$2,0),"М")</f>
        <v>0</v>
      </c>
      <c r="N537" s="50">
        <f>SUMIFS(INDEX(Техника!$F$1:$ABM$500,N$2,0),Техника!$F$4:$ABM$4,"Часы",INDEX(Техника!$G$1:$ABN$500,N$2,0),$A$536,INDEX(Техника!$H$1:$ABO$500,N$2,0),"М")</f>
        <v>0</v>
      </c>
      <c r="O537" s="50">
        <f>SUMIFS(INDEX(Техника!$F$1:$ABM$500,O$2,0),Техника!$F$4:$ABM$4,"Часы",INDEX(Техника!$G$1:$ABN$500,O$2,0),$A$536,INDEX(Техника!$H$1:$ABO$500,O$2,0),"М")</f>
        <v>0</v>
      </c>
      <c r="P537" s="50">
        <f>SUMIFS(INDEX(Техника!$F$1:$ABM$500,P$2,0),Техника!$F$4:$ABM$4,"Часы",INDEX(Техника!$G$1:$ABN$500,P$2,0),$A$536,INDEX(Техника!$H$1:$ABO$500,P$2,0),"М")</f>
        <v>0</v>
      </c>
      <c r="Q537" s="50">
        <f>SUMIFS(INDEX(Техника!$F$1:$ABM$500,Q$2,0),Техника!$F$4:$ABM$4,"Часы",INDEX(Техника!$G$1:$ABN$500,Q$2,0),$A$536,INDEX(Техника!$H$1:$ABO$500,Q$2,0),"М")</f>
        <v>0</v>
      </c>
      <c r="R537" s="50">
        <f>SUMIFS(INDEX(Техника!$F$1:$ABM$500,R$2,0),Техника!$F$4:$ABM$4,"Часы",INDEX(Техника!$G$1:$ABN$500,R$2,0),$A$536,INDEX(Техника!$H$1:$ABO$500,R$2,0),"М")</f>
        <v>0</v>
      </c>
      <c r="S537" s="50">
        <f>SUMIFS(INDEX(Техника!$F$1:$ABM$500,S$2,0),Техника!$F$4:$ABM$4,"Часы",INDEX(Техника!$G$1:$ABN$500,S$2,0),$A$536,INDEX(Техника!$H$1:$ABO$500,S$2,0),"М")</f>
        <v>0</v>
      </c>
      <c r="T537" s="50">
        <f>SUMIFS(INDEX(Техника!$F$1:$ABM$500,T$2,0),Техника!$F$4:$ABM$4,"Часы",INDEX(Техника!$G$1:$ABN$500,T$2,0),$A$536,INDEX(Техника!$H$1:$ABO$500,T$2,0),"М")</f>
        <v>0</v>
      </c>
      <c r="U537" s="50">
        <f>SUMIFS(INDEX(Техника!$F$1:$ABM$500,U$2,0),Техника!$F$4:$ABM$4,"Часы",INDEX(Техника!$G$1:$ABN$500,U$2,0),$A$536,INDEX(Техника!$H$1:$ABO$500,U$2,0),"М")</f>
        <v>0</v>
      </c>
      <c r="V537" s="50">
        <f>SUMIFS(INDEX(Техника!$F$1:$ABM$500,V$2,0),Техника!$F$4:$ABM$4,"Часы",INDEX(Техника!$G$1:$ABN$500,V$2,0),$A$536,INDEX(Техника!$H$1:$ABO$500,V$2,0),"М")</f>
        <v>0</v>
      </c>
      <c r="W537" s="50">
        <f>SUMIFS(INDEX(Техника!$F$1:$ABM$500,W$2,0),Техника!$F$4:$ABM$4,"Часы",INDEX(Техника!$G$1:$ABN$500,W$2,0),$A$536,INDEX(Техника!$H$1:$ABO$500,W$2,0),"М")</f>
        <v>0</v>
      </c>
      <c r="X537" s="50">
        <f>SUMIFS(INDEX(Техника!$F$1:$ABM$500,X$2,0),Техника!$F$4:$ABM$4,"Часы",INDEX(Техника!$G$1:$ABN$500,X$2,0),$A$536,INDEX(Техника!$H$1:$ABO$500,X$2,0),"М")</f>
        <v>0</v>
      </c>
      <c r="Y537" s="50">
        <f>SUMIFS(INDEX(Техника!$F$1:$ABM$500,Y$2,0),Техника!$F$4:$ABM$4,"Часы",INDEX(Техника!$G$1:$ABN$500,Y$2,0),$A$536,INDEX(Техника!$H$1:$ABO$500,Y$2,0),"М")</f>
        <v>0</v>
      </c>
      <c r="Z537" s="50">
        <f>SUMIFS(INDEX(Техника!$F$1:$ABM$500,Z$2,0),Техника!$F$4:$ABM$4,"Часы",INDEX(Техника!$G$1:$ABN$500,Z$2,0),$A$536,INDEX(Техника!$H$1:$ABO$500,Z$2,0),"М")</f>
        <v>0</v>
      </c>
      <c r="AA537" s="50">
        <f>SUMIFS(INDEX(Техника!$F$1:$ABM$500,AA$2,0),Техника!$F$4:$ABM$4,"Часы",INDEX(Техника!$G$1:$ABN$500,AA$2,0),$A$536,INDEX(Техника!$H$1:$ABO$500,AA$2,0),"М")</f>
        <v>0</v>
      </c>
      <c r="AB537" s="50">
        <f>SUMIFS(INDEX(Техника!$F$1:$ABM$500,AB$2,0),Техника!$F$4:$ABM$4,"Часы",INDEX(Техника!$G$1:$ABN$500,AB$2,0),$A$536,INDEX(Техника!$H$1:$ABO$500,AB$2,0),"М")</f>
        <v>0</v>
      </c>
    </row>
    <row r="538" spans="1:28" hidden="1" outlineLevel="1" x14ac:dyDescent="0.3">
      <c r="A538" s="33" t="s">
        <v>244</v>
      </c>
      <c r="B538" s="34" t="s">
        <v>275</v>
      </c>
      <c r="C538" s="50">
        <f>SUMIFS(INDEX(Техника!$F$1:$ABM$500,C$2,0),Техника!$F$4:$ABM$4,"Часы",INDEX(Техника!$G$1:$ABN$500,C$2,0),$A$536,INDEX(Техника!$H$1:$ABO$500,C$2,0),"Д")</f>
        <v>0</v>
      </c>
      <c r="D538" s="50">
        <f>SUMIFS(INDEX(Техника!$F$1:$ABM$500,D$2,0),Техника!$F$4:$ABM$4,"Часы",INDEX(Техника!$G$1:$ABN$500,D$2,0),$A$536,INDEX(Техника!$H$1:$ABO$500,D$2,0),"Д")</f>
        <v>0</v>
      </c>
      <c r="E538" s="50">
        <f>SUMIFS(INDEX(Техника!$F$1:$ABM$500,E$2,0),Техника!$F$4:$ABM$4,"Часы",INDEX(Техника!$G$1:$ABN$500,E$2,0),$A$536,INDEX(Техника!$H$1:$ABO$500,E$2,0),"Д")</f>
        <v>0</v>
      </c>
      <c r="F538" s="50">
        <f>SUMIFS(INDEX(Техника!$F$1:$ABM$500,F$2,0),Техника!$F$4:$ABM$4,"Часы",INDEX(Техника!$G$1:$ABN$500,F$2,0),$A$536,INDEX(Техника!$H$1:$ABO$500,F$2,0),"Д")</f>
        <v>0</v>
      </c>
      <c r="G538" s="50">
        <f>SUMIFS(INDEX(Техника!$F$1:$ABM$500,G$2,0),Техника!$F$4:$ABM$4,"Часы",INDEX(Техника!$G$1:$ABN$500,G$2,0),$A$536,INDEX(Техника!$H$1:$ABO$500,G$2,0),"Д")</f>
        <v>0</v>
      </c>
      <c r="H538" s="50">
        <f>SUMIFS(INDEX(Техника!$F$1:$ABM$500,H$2,0),Техника!$F$4:$ABM$4,"Часы",INDEX(Техника!$G$1:$ABN$500,H$2,0),$A$536,INDEX(Техника!$H$1:$ABO$500,H$2,0),"Д")</f>
        <v>0</v>
      </c>
      <c r="I538" s="50">
        <f>SUMIFS(INDEX(Техника!$F$1:$ABM$500,I$2,0),Техника!$F$4:$ABM$4,"Часы",INDEX(Техника!$G$1:$ABN$500,I$2,0),$A$536,INDEX(Техника!$H$1:$ABO$500,I$2,0),"Д")</f>
        <v>0</v>
      </c>
      <c r="J538" s="50">
        <f>SUMIFS(INDEX(Техника!$F$1:$ABM$500,J$2,0),Техника!$F$4:$ABM$4,"Часы",INDEX(Техника!$G$1:$ABN$500,J$2,0),$A$536,INDEX(Техника!$H$1:$ABO$500,J$2,0),"Д")</f>
        <v>0</v>
      </c>
      <c r="K538" s="50">
        <f>SUMIFS(INDEX(Техника!$F$1:$ABM$500,K$2,0),Техника!$F$4:$ABM$4,"Часы",INDEX(Техника!$G$1:$ABN$500,K$2,0),$A$536,INDEX(Техника!$H$1:$ABO$500,K$2,0),"Д")</f>
        <v>0</v>
      </c>
      <c r="L538" s="50">
        <f>SUMIFS(INDEX(Техника!$F$1:$ABM$500,L$2,0),Техника!$F$4:$ABM$4,"Часы",INDEX(Техника!$G$1:$ABN$500,L$2,0),$A$536,INDEX(Техника!$H$1:$ABO$500,L$2,0),"Д")</f>
        <v>0</v>
      </c>
      <c r="M538" s="50">
        <f>SUMIFS(INDEX(Техника!$F$1:$ABM$500,M$2,0),Техника!$F$4:$ABM$4,"Часы",INDEX(Техника!$G$1:$ABN$500,M$2,0),$A$536,INDEX(Техника!$H$1:$ABO$500,M$2,0),"Д")</f>
        <v>0</v>
      </c>
      <c r="N538" s="50">
        <f>SUMIFS(INDEX(Техника!$F$1:$ABM$500,N$2,0),Техника!$F$4:$ABM$4,"Часы",INDEX(Техника!$G$1:$ABN$500,N$2,0),$A$536,INDEX(Техника!$H$1:$ABO$500,N$2,0),"Д")</f>
        <v>0</v>
      </c>
      <c r="O538" s="50">
        <f>SUMIFS(INDEX(Техника!$F$1:$ABM$500,O$2,0),Техника!$F$4:$ABM$4,"Часы",INDEX(Техника!$G$1:$ABN$500,O$2,0),$A$536,INDEX(Техника!$H$1:$ABO$500,O$2,0),"Д")</f>
        <v>0</v>
      </c>
      <c r="P538" s="50">
        <f>SUMIFS(INDEX(Техника!$F$1:$ABM$500,P$2,0),Техника!$F$4:$ABM$4,"Часы",INDEX(Техника!$G$1:$ABN$500,P$2,0),$A$536,INDEX(Техника!$H$1:$ABO$500,P$2,0),"Д")</f>
        <v>0</v>
      </c>
      <c r="Q538" s="50">
        <f>SUMIFS(INDEX(Техника!$F$1:$ABM$500,Q$2,0),Техника!$F$4:$ABM$4,"Часы",INDEX(Техника!$G$1:$ABN$500,Q$2,0),$A$536,INDEX(Техника!$H$1:$ABO$500,Q$2,0),"Д")</f>
        <v>0</v>
      </c>
      <c r="R538" s="50">
        <f>SUMIFS(INDEX(Техника!$F$1:$ABM$500,R$2,0),Техника!$F$4:$ABM$4,"Часы",INDEX(Техника!$G$1:$ABN$500,R$2,0),$A$536,INDEX(Техника!$H$1:$ABO$500,R$2,0),"Д")</f>
        <v>0</v>
      </c>
      <c r="S538" s="50">
        <f>SUMIFS(INDEX(Техника!$F$1:$ABM$500,S$2,0),Техника!$F$4:$ABM$4,"Часы",INDEX(Техника!$G$1:$ABN$500,S$2,0),$A$536,INDEX(Техника!$H$1:$ABO$500,S$2,0),"Д")</f>
        <v>0</v>
      </c>
      <c r="T538" s="50">
        <f>SUMIFS(INDEX(Техника!$F$1:$ABM$500,T$2,0),Техника!$F$4:$ABM$4,"Часы",INDEX(Техника!$G$1:$ABN$500,T$2,0),$A$536,INDEX(Техника!$H$1:$ABO$500,T$2,0),"Д")</f>
        <v>0</v>
      </c>
      <c r="U538" s="50">
        <f>SUMIFS(INDEX(Техника!$F$1:$ABM$500,U$2,0),Техника!$F$4:$ABM$4,"Часы",INDEX(Техника!$G$1:$ABN$500,U$2,0),$A$536,INDEX(Техника!$H$1:$ABO$500,U$2,0),"Д")</f>
        <v>0</v>
      </c>
      <c r="V538" s="50">
        <f>SUMIFS(INDEX(Техника!$F$1:$ABM$500,V$2,0),Техника!$F$4:$ABM$4,"Часы",INDEX(Техника!$G$1:$ABN$500,V$2,0),$A$536,INDEX(Техника!$H$1:$ABO$500,V$2,0),"Д")</f>
        <v>0</v>
      </c>
      <c r="W538" s="50">
        <f>SUMIFS(INDEX(Техника!$F$1:$ABM$500,W$2,0),Техника!$F$4:$ABM$4,"Часы",INDEX(Техника!$G$1:$ABN$500,W$2,0),$A$536,INDEX(Техника!$H$1:$ABO$500,W$2,0),"Д")</f>
        <v>0</v>
      </c>
      <c r="X538" s="50">
        <f>SUMIFS(INDEX(Техника!$F$1:$ABM$500,X$2,0),Техника!$F$4:$ABM$4,"Часы",INDEX(Техника!$G$1:$ABN$500,X$2,0),$A$536,INDEX(Техника!$H$1:$ABO$500,X$2,0),"Д")</f>
        <v>0</v>
      </c>
      <c r="Y538" s="50">
        <f>SUMIFS(INDEX(Техника!$F$1:$ABM$500,Y$2,0),Техника!$F$4:$ABM$4,"Часы",INDEX(Техника!$G$1:$ABN$500,Y$2,0),$A$536,INDEX(Техника!$H$1:$ABO$500,Y$2,0),"Д")</f>
        <v>0</v>
      </c>
      <c r="Z538" s="50">
        <f>SUMIFS(INDEX(Техника!$F$1:$ABM$500,Z$2,0),Техника!$F$4:$ABM$4,"Часы",INDEX(Техника!$G$1:$ABN$500,Z$2,0),$A$536,INDEX(Техника!$H$1:$ABO$500,Z$2,0),"Д")</f>
        <v>0</v>
      </c>
      <c r="AA538" s="50">
        <f>SUMIFS(INDEX(Техника!$F$1:$ABM$500,AA$2,0),Техника!$F$4:$ABM$4,"Часы",INDEX(Техника!$G$1:$ABN$500,AA$2,0),$A$536,INDEX(Техника!$H$1:$ABO$500,AA$2,0),"Д")</f>
        <v>0</v>
      </c>
      <c r="AB538" s="50">
        <f>SUMIFS(INDEX(Техника!$F$1:$ABM$500,AB$2,0),Техника!$F$4:$ABM$4,"Часы",INDEX(Техника!$G$1:$ABN$500,AB$2,0),$A$536,INDEX(Техника!$H$1:$ABO$500,AB$2,0),"Д")</f>
        <v>0</v>
      </c>
    </row>
    <row r="539" spans="1:28" hidden="1" outlineLevel="1" x14ac:dyDescent="0.3">
      <c r="A539" s="33" t="s">
        <v>276</v>
      </c>
      <c r="B539" s="34" t="s">
        <v>277</v>
      </c>
      <c r="C539" s="50">
        <f>SUMIFS(INDEX(Техника!$F$1:$ABM$500,C$2,0),Техника!$F$4:$ABM$4,"Часы",INDEX(Техника!$G$1:$ABN$500,C$2,0),$A$536,INDEX(Техника!$H$1:$ABO$500,C$2,0),"П")</f>
        <v>0</v>
      </c>
      <c r="D539" s="50">
        <f>SUMIFS(INDEX(Техника!$F$1:$ABM$500,D$2,0),Техника!$F$4:$ABM$4,"Часы",INDEX(Техника!$G$1:$ABN$500,D$2,0),$A$536,INDEX(Техника!$H$1:$ABO$500,D$2,0),"П")</f>
        <v>0</v>
      </c>
      <c r="E539" s="50">
        <f>SUMIFS(INDEX(Техника!$F$1:$ABM$500,E$2,0),Техника!$F$4:$ABM$4,"Часы",INDEX(Техника!$G$1:$ABN$500,E$2,0),$A$536,INDEX(Техника!$H$1:$ABO$500,E$2,0),"П")</f>
        <v>0</v>
      </c>
      <c r="F539" s="50">
        <f>SUMIFS(INDEX(Техника!$F$1:$ABM$500,F$2,0),Техника!$F$4:$ABM$4,"Часы",INDEX(Техника!$G$1:$ABN$500,F$2,0),$A$536,INDEX(Техника!$H$1:$ABO$500,F$2,0),"П")</f>
        <v>0</v>
      </c>
      <c r="G539" s="50">
        <f>SUMIFS(INDEX(Техника!$F$1:$ABM$500,G$2,0),Техника!$F$4:$ABM$4,"Часы",INDEX(Техника!$G$1:$ABN$500,G$2,0),$A$536,INDEX(Техника!$H$1:$ABO$500,G$2,0),"П")</f>
        <v>0</v>
      </c>
      <c r="H539" s="50">
        <f>SUMIFS(INDEX(Техника!$F$1:$ABM$500,H$2,0),Техника!$F$4:$ABM$4,"Часы",INDEX(Техника!$G$1:$ABN$500,H$2,0),$A$536,INDEX(Техника!$H$1:$ABO$500,H$2,0),"П")</f>
        <v>0</v>
      </c>
      <c r="I539" s="50">
        <f>SUMIFS(INDEX(Техника!$F$1:$ABM$500,I$2,0),Техника!$F$4:$ABM$4,"Часы",INDEX(Техника!$G$1:$ABN$500,I$2,0),$A$536,INDEX(Техника!$H$1:$ABO$500,I$2,0),"П")</f>
        <v>0</v>
      </c>
      <c r="J539" s="50">
        <f>SUMIFS(INDEX(Техника!$F$1:$ABM$500,J$2,0),Техника!$F$4:$ABM$4,"Часы",INDEX(Техника!$G$1:$ABN$500,J$2,0),$A$536,INDEX(Техника!$H$1:$ABO$500,J$2,0),"П")</f>
        <v>0</v>
      </c>
      <c r="K539" s="50">
        <f>SUMIFS(INDEX(Техника!$F$1:$ABM$500,K$2,0),Техника!$F$4:$ABM$4,"Часы",INDEX(Техника!$G$1:$ABN$500,K$2,0),$A$536,INDEX(Техника!$H$1:$ABO$500,K$2,0),"П")</f>
        <v>0</v>
      </c>
      <c r="L539" s="50">
        <f>SUMIFS(INDEX(Техника!$F$1:$ABM$500,L$2,0),Техника!$F$4:$ABM$4,"Часы",INDEX(Техника!$G$1:$ABN$500,L$2,0),$A$536,INDEX(Техника!$H$1:$ABO$500,L$2,0),"П")</f>
        <v>0</v>
      </c>
      <c r="M539" s="50">
        <f>SUMIFS(INDEX(Техника!$F$1:$ABM$500,M$2,0),Техника!$F$4:$ABM$4,"Часы",INDEX(Техника!$G$1:$ABN$500,M$2,0),$A$536,INDEX(Техника!$H$1:$ABO$500,M$2,0),"П")</f>
        <v>0</v>
      </c>
      <c r="N539" s="50">
        <f>SUMIFS(INDEX(Техника!$F$1:$ABM$500,N$2,0),Техника!$F$4:$ABM$4,"Часы",INDEX(Техника!$G$1:$ABN$500,N$2,0),$A$536,INDEX(Техника!$H$1:$ABO$500,N$2,0),"П")</f>
        <v>0</v>
      </c>
      <c r="O539" s="50">
        <f>SUMIFS(INDEX(Техника!$F$1:$ABM$500,O$2,0),Техника!$F$4:$ABM$4,"Часы",INDEX(Техника!$G$1:$ABN$500,O$2,0),$A$536,INDEX(Техника!$H$1:$ABO$500,O$2,0),"П")</f>
        <v>0</v>
      </c>
      <c r="P539" s="50">
        <f>SUMIFS(INDEX(Техника!$F$1:$ABM$500,P$2,0),Техника!$F$4:$ABM$4,"Часы",INDEX(Техника!$G$1:$ABN$500,P$2,0),$A$536,INDEX(Техника!$H$1:$ABO$500,P$2,0),"П")</f>
        <v>0</v>
      </c>
      <c r="Q539" s="50">
        <f>SUMIFS(INDEX(Техника!$F$1:$ABM$500,Q$2,0),Техника!$F$4:$ABM$4,"Часы",INDEX(Техника!$G$1:$ABN$500,Q$2,0),$A$536,INDEX(Техника!$H$1:$ABO$500,Q$2,0),"П")</f>
        <v>0</v>
      </c>
      <c r="R539" s="50">
        <f>SUMIFS(INDEX(Техника!$F$1:$ABM$500,R$2,0),Техника!$F$4:$ABM$4,"Часы",INDEX(Техника!$G$1:$ABN$500,R$2,0),$A$536,INDEX(Техника!$H$1:$ABO$500,R$2,0),"П")</f>
        <v>0</v>
      </c>
      <c r="S539" s="50">
        <f>SUMIFS(INDEX(Техника!$F$1:$ABM$500,S$2,0),Техника!$F$4:$ABM$4,"Часы",INDEX(Техника!$G$1:$ABN$500,S$2,0),$A$536,INDEX(Техника!$H$1:$ABO$500,S$2,0),"П")</f>
        <v>0</v>
      </c>
      <c r="T539" s="50">
        <f>SUMIFS(INDEX(Техника!$F$1:$ABM$500,T$2,0),Техника!$F$4:$ABM$4,"Часы",INDEX(Техника!$G$1:$ABN$500,T$2,0),$A$536,INDEX(Техника!$H$1:$ABO$500,T$2,0),"П")</f>
        <v>0</v>
      </c>
      <c r="U539" s="50">
        <f>SUMIFS(INDEX(Техника!$F$1:$ABM$500,U$2,0),Техника!$F$4:$ABM$4,"Часы",INDEX(Техника!$G$1:$ABN$500,U$2,0),$A$536,INDEX(Техника!$H$1:$ABO$500,U$2,0),"П")</f>
        <v>0</v>
      </c>
      <c r="V539" s="50">
        <f>SUMIFS(INDEX(Техника!$F$1:$ABM$500,V$2,0),Техника!$F$4:$ABM$4,"Часы",INDEX(Техника!$G$1:$ABN$500,V$2,0),$A$536,INDEX(Техника!$H$1:$ABO$500,V$2,0),"П")</f>
        <v>0</v>
      </c>
      <c r="W539" s="50">
        <f>SUMIFS(INDEX(Техника!$F$1:$ABM$500,W$2,0),Техника!$F$4:$ABM$4,"Часы",INDEX(Техника!$G$1:$ABN$500,W$2,0),$A$536,INDEX(Техника!$H$1:$ABO$500,W$2,0),"П")</f>
        <v>0</v>
      </c>
      <c r="X539" s="50">
        <f>SUMIFS(INDEX(Техника!$F$1:$ABM$500,X$2,0),Техника!$F$4:$ABM$4,"Часы",INDEX(Техника!$G$1:$ABN$500,X$2,0),$A$536,INDEX(Техника!$H$1:$ABO$500,X$2,0),"П")</f>
        <v>0</v>
      </c>
      <c r="Y539" s="50">
        <f>SUMIFS(INDEX(Техника!$F$1:$ABM$500,Y$2,0),Техника!$F$4:$ABM$4,"Часы",INDEX(Техника!$G$1:$ABN$500,Y$2,0),$A$536,INDEX(Техника!$H$1:$ABO$500,Y$2,0),"П")</f>
        <v>0</v>
      </c>
      <c r="Z539" s="50">
        <f>SUMIFS(INDEX(Техника!$F$1:$ABM$500,Z$2,0),Техника!$F$4:$ABM$4,"Часы",INDEX(Техника!$G$1:$ABN$500,Z$2,0),$A$536,INDEX(Техника!$H$1:$ABO$500,Z$2,0),"П")</f>
        <v>0</v>
      </c>
      <c r="AA539" s="50">
        <f>SUMIFS(INDEX(Техника!$F$1:$ABM$500,AA$2,0),Техника!$F$4:$ABM$4,"Часы",INDEX(Техника!$G$1:$ABN$500,AA$2,0),$A$536,INDEX(Техника!$H$1:$ABO$500,AA$2,0),"П")</f>
        <v>0</v>
      </c>
      <c r="AB539" s="50">
        <f>SUMIFS(INDEX(Техника!$F$1:$ABM$500,AB$2,0),Техника!$F$4:$ABM$4,"Часы",INDEX(Техника!$G$1:$ABN$500,AB$2,0),$A$536,INDEX(Техника!$H$1:$ABO$500,AB$2,0),"П")</f>
        <v>0</v>
      </c>
    </row>
    <row r="540" spans="1:28" hidden="1" outlineLevel="1" x14ac:dyDescent="0.3">
      <c r="A540" s="33" t="s">
        <v>243</v>
      </c>
      <c r="B540" s="34" t="s">
        <v>278</v>
      </c>
      <c r="C540" s="50">
        <f>SUMIFS(INDEX(Техника!$F$1:$ABM$500,C$2,0),Техника!$F$4:$ABM$4,"Часы",INDEX(Техника!$G$1:$ABN$500,C$2,0),$A$536,INDEX(Техника!$H$1:$ABO$500,C$2,0),"Л")</f>
        <v>0</v>
      </c>
      <c r="D540" s="50">
        <f>SUMIFS(INDEX(Техника!$F$1:$ABM$500,D$2,0),Техника!$F$4:$ABM$4,"Часы",INDEX(Техника!$G$1:$ABN$500,D$2,0),$A$536,INDEX(Техника!$H$1:$ABO$500,D$2,0),"Л")</f>
        <v>0</v>
      </c>
      <c r="E540" s="50">
        <f>SUMIFS(INDEX(Техника!$F$1:$ABM$500,E$2,0),Техника!$F$4:$ABM$4,"Часы",INDEX(Техника!$G$1:$ABN$500,E$2,0),$A$536,INDEX(Техника!$H$1:$ABO$500,E$2,0),"Л")</f>
        <v>0</v>
      </c>
      <c r="F540" s="50">
        <f>SUMIFS(INDEX(Техника!$F$1:$ABM$500,F$2,0),Техника!$F$4:$ABM$4,"Часы",INDEX(Техника!$G$1:$ABN$500,F$2,0),$A$536,INDEX(Техника!$H$1:$ABO$500,F$2,0),"Л")</f>
        <v>0</v>
      </c>
      <c r="G540" s="50">
        <f>SUMIFS(INDEX(Техника!$F$1:$ABM$500,G$2,0),Техника!$F$4:$ABM$4,"Часы",INDEX(Техника!$G$1:$ABN$500,G$2,0),$A$536,INDEX(Техника!$H$1:$ABO$500,G$2,0),"Л")</f>
        <v>0</v>
      </c>
      <c r="H540" s="50">
        <f>SUMIFS(INDEX(Техника!$F$1:$ABM$500,H$2,0),Техника!$F$4:$ABM$4,"Часы",INDEX(Техника!$G$1:$ABN$500,H$2,0),$A$536,INDEX(Техника!$H$1:$ABO$500,H$2,0),"Л")</f>
        <v>0</v>
      </c>
      <c r="I540" s="50">
        <f>SUMIFS(INDEX(Техника!$F$1:$ABM$500,I$2,0),Техника!$F$4:$ABM$4,"Часы",INDEX(Техника!$G$1:$ABN$500,I$2,0),$A$536,INDEX(Техника!$H$1:$ABO$500,I$2,0),"Л")</f>
        <v>0</v>
      </c>
      <c r="J540" s="50">
        <f>SUMIFS(INDEX(Техника!$F$1:$ABM$500,J$2,0),Техника!$F$4:$ABM$4,"Часы",INDEX(Техника!$G$1:$ABN$500,J$2,0),$A$536,INDEX(Техника!$H$1:$ABO$500,J$2,0),"Л")</f>
        <v>0</v>
      </c>
      <c r="K540" s="50">
        <f>SUMIFS(INDEX(Техника!$F$1:$ABM$500,K$2,0),Техника!$F$4:$ABM$4,"Часы",INDEX(Техника!$G$1:$ABN$500,K$2,0),$A$536,INDEX(Техника!$H$1:$ABO$500,K$2,0),"Л")</f>
        <v>0</v>
      </c>
      <c r="L540" s="50">
        <f>SUMIFS(INDEX(Техника!$F$1:$ABM$500,L$2,0),Техника!$F$4:$ABM$4,"Часы",INDEX(Техника!$G$1:$ABN$500,L$2,0),$A$536,INDEX(Техника!$H$1:$ABO$500,L$2,0),"Л")</f>
        <v>0</v>
      </c>
      <c r="M540" s="50">
        <f>SUMIFS(INDEX(Техника!$F$1:$ABM$500,M$2,0),Техника!$F$4:$ABM$4,"Часы",INDEX(Техника!$G$1:$ABN$500,M$2,0),$A$536,INDEX(Техника!$H$1:$ABO$500,M$2,0),"Л")</f>
        <v>0</v>
      </c>
      <c r="N540" s="50">
        <f>SUMIFS(INDEX(Техника!$F$1:$ABM$500,N$2,0),Техника!$F$4:$ABM$4,"Часы",INDEX(Техника!$G$1:$ABN$500,N$2,0),$A$536,INDEX(Техника!$H$1:$ABO$500,N$2,0),"Л")</f>
        <v>0</v>
      </c>
      <c r="O540" s="50">
        <f>SUMIFS(INDEX(Техника!$F$1:$ABM$500,O$2,0),Техника!$F$4:$ABM$4,"Часы",INDEX(Техника!$G$1:$ABN$500,O$2,0),$A$536,INDEX(Техника!$H$1:$ABO$500,O$2,0),"Л")</f>
        <v>0</v>
      </c>
      <c r="P540" s="50">
        <f>SUMIFS(INDEX(Техника!$F$1:$ABM$500,P$2,0),Техника!$F$4:$ABM$4,"Часы",INDEX(Техника!$G$1:$ABN$500,P$2,0),$A$536,INDEX(Техника!$H$1:$ABO$500,P$2,0),"Л")</f>
        <v>0</v>
      </c>
      <c r="Q540" s="50">
        <f>SUMIFS(INDEX(Техника!$F$1:$ABM$500,Q$2,0),Техника!$F$4:$ABM$4,"Часы",INDEX(Техника!$G$1:$ABN$500,Q$2,0),$A$536,INDEX(Техника!$H$1:$ABO$500,Q$2,0),"Л")</f>
        <v>0</v>
      </c>
      <c r="R540" s="50">
        <f>SUMIFS(INDEX(Техника!$F$1:$ABM$500,R$2,0),Техника!$F$4:$ABM$4,"Часы",INDEX(Техника!$G$1:$ABN$500,R$2,0),$A$536,INDEX(Техника!$H$1:$ABO$500,R$2,0),"Л")</f>
        <v>0</v>
      </c>
      <c r="S540" s="50">
        <f>SUMIFS(INDEX(Техника!$F$1:$ABM$500,S$2,0),Техника!$F$4:$ABM$4,"Часы",INDEX(Техника!$G$1:$ABN$500,S$2,0),$A$536,INDEX(Техника!$H$1:$ABO$500,S$2,0),"Л")</f>
        <v>0</v>
      </c>
      <c r="T540" s="50">
        <f>SUMIFS(INDEX(Техника!$F$1:$ABM$500,T$2,0),Техника!$F$4:$ABM$4,"Часы",INDEX(Техника!$G$1:$ABN$500,T$2,0),$A$536,INDEX(Техника!$H$1:$ABO$500,T$2,0),"Л")</f>
        <v>0</v>
      </c>
      <c r="U540" s="50">
        <f>SUMIFS(INDEX(Техника!$F$1:$ABM$500,U$2,0),Техника!$F$4:$ABM$4,"Часы",INDEX(Техника!$G$1:$ABN$500,U$2,0),$A$536,INDEX(Техника!$H$1:$ABO$500,U$2,0),"Л")</f>
        <v>0</v>
      </c>
      <c r="V540" s="50">
        <f>SUMIFS(INDEX(Техника!$F$1:$ABM$500,V$2,0),Техника!$F$4:$ABM$4,"Часы",INDEX(Техника!$G$1:$ABN$500,V$2,0),$A$536,INDEX(Техника!$H$1:$ABO$500,V$2,0),"Л")</f>
        <v>0</v>
      </c>
      <c r="W540" s="50">
        <f>SUMIFS(INDEX(Техника!$F$1:$ABM$500,W$2,0),Техника!$F$4:$ABM$4,"Часы",INDEX(Техника!$G$1:$ABN$500,W$2,0),$A$536,INDEX(Техника!$H$1:$ABO$500,W$2,0),"Л")</f>
        <v>0</v>
      </c>
      <c r="X540" s="50">
        <f>SUMIFS(INDEX(Техника!$F$1:$ABM$500,X$2,0),Техника!$F$4:$ABM$4,"Часы",INDEX(Техника!$G$1:$ABN$500,X$2,0),$A$536,INDEX(Техника!$H$1:$ABO$500,X$2,0),"Л")</f>
        <v>0</v>
      </c>
      <c r="Y540" s="50">
        <f>SUMIFS(INDEX(Техника!$F$1:$ABM$500,Y$2,0),Техника!$F$4:$ABM$4,"Часы",INDEX(Техника!$G$1:$ABN$500,Y$2,0),$A$536,INDEX(Техника!$H$1:$ABO$500,Y$2,0),"Л")</f>
        <v>0</v>
      </c>
      <c r="Z540" s="50">
        <f>SUMIFS(INDEX(Техника!$F$1:$ABM$500,Z$2,0),Техника!$F$4:$ABM$4,"Часы",INDEX(Техника!$G$1:$ABN$500,Z$2,0),$A$536,INDEX(Техника!$H$1:$ABO$500,Z$2,0),"Л")</f>
        <v>0</v>
      </c>
      <c r="AA540" s="50">
        <f>SUMIFS(INDEX(Техника!$F$1:$ABM$500,AA$2,0),Техника!$F$4:$ABM$4,"Часы",INDEX(Техника!$G$1:$ABN$500,AA$2,0),$A$536,INDEX(Техника!$H$1:$ABO$500,AA$2,0),"Л")</f>
        <v>0</v>
      </c>
      <c r="AB540" s="50">
        <f>SUMIFS(INDEX(Техника!$F$1:$ABM$500,AB$2,0),Техника!$F$4:$ABM$4,"Часы",INDEX(Техника!$G$1:$ABN$500,AB$2,0),$A$536,INDEX(Техника!$H$1:$ABO$500,AB$2,0),"Л")</f>
        <v>0</v>
      </c>
    </row>
    <row r="541" spans="1:28" hidden="1" outlineLevel="1" x14ac:dyDescent="0.3">
      <c r="A541" s="33" t="s">
        <v>245</v>
      </c>
      <c r="B541" s="34" t="s">
        <v>279</v>
      </c>
      <c r="C541" s="50">
        <f>SUMIFS(INDEX(Техника!$F$1:$ABM$500,C$2,0),Техника!$F$4:$ABM$4,"Часы",INDEX(Техника!$G$1:$ABN$500,C$2,0),$A$536,INDEX(Техника!$H$1:$ABO$500,C$2,0),"З")</f>
        <v>0</v>
      </c>
      <c r="D541" s="50">
        <f>SUMIFS(INDEX(Техника!$F$1:$ABM$500,D$2,0),Техника!$F$4:$ABM$4,"Часы",INDEX(Техника!$G$1:$ABN$500,D$2,0),$A$536,INDEX(Техника!$H$1:$ABO$500,D$2,0),"З")</f>
        <v>0</v>
      </c>
      <c r="E541" s="50">
        <f>SUMIFS(INDEX(Техника!$F$1:$ABM$500,E$2,0),Техника!$F$4:$ABM$4,"Часы",INDEX(Техника!$G$1:$ABN$500,E$2,0),$A$536,INDEX(Техника!$H$1:$ABO$500,E$2,0),"З")</f>
        <v>0</v>
      </c>
      <c r="F541" s="50">
        <f>SUMIFS(INDEX(Техника!$F$1:$ABM$500,F$2,0),Техника!$F$4:$ABM$4,"Часы",INDEX(Техника!$G$1:$ABN$500,F$2,0),$A$536,INDEX(Техника!$H$1:$ABO$500,F$2,0),"З")</f>
        <v>0</v>
      </c>
      <c r="G541" s="50">
        <f>SUMIFS(INDEX(Техника!$F$1:$ABM$500,G$2,0),Техника!$F$4:$ABM$4,"Часы",INDEX(Техника!$G$1:$ABN$500,G$2,0),$A$536,INDEX(Техника!$H$1:$ABO$500,G$2,0),"З")</f>
        <v>0</v>
      </c>
      <c r="H541" s="50">
        <f>SUMIFS(INDEX(Техника!$F$1:$ABM$500,H$2,0),Техника!$F$4:$ABM$4,"Часы",INDEX(Техника!$G$1:$ABN$500,H$2,0),$A$536,INDEX(Техника!$H$1:$ABO$500,H$2,0),"З")</f>
        <v>0</v>
      </c>
      <c r="I541" s="50">
        <f>SUMIFS(INDEX(Техника!$F$1:$ABM$500,I$2,0),Техника!$F$4:$ABM$4,"Часы",INDEX(Техника!$G$1:$ABN$500,I$2,0),$A$536,INDEX(Техника!$H$1:$ABO$500,I$2,0),"З")</f>
        <v>0</v>
      </c>
      <c r="J541" s="50">
        <f>SUMIFS(INDEX(Техника!$F$1:$ABM$500,J$2,0),Техника!$F$4:$ABM$4,"Часы",INDEX(Техника!$G$1:$ABN$500,J$2,0),$A$536,INDEX(Техника!$H$1:$ABO$500,J$2,0),"З")</f>
        <v>0</v>
      </c>
      <c r="K541" s="50">
        <f>SUMIFS(INDEX(Техника!$F$1:$ABM$500,K$2,0),Техника!$F$4:$ABM$4,"Часы",INDEX(Техника!$G$1:$ABN$500,K$2,0),$A$536,INDEX(Техника!$H$1:$ABO$500,K$2,0),"З")</f>
        <v>0</v>
      </c>
      <c r="L541" s="50">
        <f>SUMIFS(INDEX(Техника!$F$1:$ABM$500,L$2,0),Техника!$F$4:$ABM$4,"Часы",INDEX(Техника!$G$1:$ABN$500,L$2,0),$A$536,INDEX(Техника!$H$1:$ABO$500,L$2,0),"З")</f>
        <v>0</v>
      </c>
      <c r="M541" s="50">
        <f>SUMIFS(INDEX(Техника!$F$1:$ABM$500,M$2,0),Техника!$F$4:$ABM$4,"Часы",INDEX(Техника!$G$1:$ABN$500,M$2,0),$A$536,INDEX(Техника!$H$1:$ABO$500,M$2,0),"З")</f>
        <v>0</v>
      </c>
      <c r="N541" s="50">
        <f>SUMIFS(INDEX(Техника!$F$1:$ABM$500,N$2,0),Техника!$F$4:$ABM$4,"Часы",INDEX(Техника!$G$1:$ABN$500,N$2,0),$A$536,INDEX(Техника!$H$1:$ABO$500,N$2,0),"З")</f>
        <v>0</v>
      </c>
      <c r="O541" s="50">
        <f>SUMIFS(INDEX(Техника!$F$1:$ABM$500,O$2,0),Техника!$F$4:$ABM$4,"Часы",INDEX(Техника!$G$1:$ABN$500,O$2,0),$A$536,INDEX(Техника!$H$1:$ABO$500,O$2,0),"З")</f>
        <v>0</v>
      </c>
      <c r="P541" s="50">
        <f>SUMIFS(INDEX(Техника!$F$1:$ABM$500,P$2,0),Техника!$F$4:$ABM$4,"Часы",INDEX(Техника!$G$1:$ABN$500,P$2,0),$A$536,INDEX(Техника!$H$1:$ABO$500,P$2,0),"З")</f>
        <v>0</v>
      </c>
      <c r="Q541" s="50">
        <f>SUMIFS(INDEX(Техника!$F$1:$ABM$500,Q$2,0),Техника!$F$4:$ABM$4,"Часы",INDEX(Техника!$G$1:$ABN$500,Q$2,0),$A$536,INDEX(Техника!$H$1:$ABO$500,Q$2,0),"З")</f>
        <v>0</v>
      </c>
      <c r="R541" s="50">
        <f>SUMIFS(INDEX(Техника!$F$1:$ABM$500,R$2,0),Техника!$F$4:$ABM$4,"Часы",INDEX(Техника!$G$1:$ABN$500,R$2,0),$A$536,INDEX(Техника!$H$1:$ABO$500,R$2,0),"З")</f>
        <v>0</v>
      </c>
      <c r="S541" s="50">
        <f>SUMIFS(INDEX(Техника!$F$1:$ABM$500,S$2,0),Техника!$F$4:$ABM$4,"Часы",INDEX(Техника!$G$1:$ABN$500,S$2,0),$A$536,INDEX(Техника!$H$1:$ABO$500,S$2,0),"З")</f>
        <v>0</v>
      </c>
      <c r="T541" s="50">
        <f>SUMIFS(INDEX(Техника!$F$1:$ABM$500,T$2,0),Техника!$F$4:$ABM$4,"Часы",INDEX(Техника!$G$1:$ABN$500,T$2,0),$A$536,INDEX(Техника!$H$1:$ABO$500,T$2,0),"З")</f>
        <v>0</v>
      </c>
      <c r="U541" s="50">
        <f>SUMIFS(INDEX(Техника!$F$1:$ABM$500,U$2,0),Техника!$F$4:$ABM$4,"Часы",INDEX(Техника!$G$1:$ABN$500,U$2,0),$A$536,INDEX(Техника!$H$1:$ABO$500,U$2,0),"З")</f>
        <v>0</v>
      </c>
      <c r="V541" s="50">
        <f>SUMIFS(INDEX(Техника!$F$1:$ABM$500,V$2,0),Техника!$F$4:$ABM$4,"Часы",INDEX(Техника!$G$1:$ABN$500,V$2,0),$A$536,INDEX(Техника!$H$1:$ABO$500,V$2,0),"З")</f>
        <v>0</v>
      </c>
      <c r="W541" s="50">
        <f>SUMIFS(INDEX(Техника!$F$1:$ABM$500,W$2,0),Техника!$F$4:$ABM$4,"Часы",INDEX(Техника!$G$1:$ABN$500,W$2,0),$A$536,INDEX(Техника!$H$1:$ABO$500,W$2,0),"З")</f>
        <v>0</v>
      </c>
      <c r="X541" s="50">
        <f>SUMIFS(INDEX(Техника!$F$1:$ABM$500,X$2,0),Техника!$F$4:$ABM$4,"Часы",INDEX(Техника!$G$1:$ABN$500,X$2,0),$A$536,INDEX(Техника!$H$1:$ABO$500,X$2,0),"З")</f>
        <v>0</v>
      </c>
      <c r="Y541" s="50">
        <f>SUMIFS(INDEX(Техника!$F$1:$ABM$500,Y$2,0),Техника!$F$4:$ABM$4,"Часы",INDEX(Техника!$G$1:$ABN$500,Y$2,0),$A$536,INDEX(Техника!$H$1:$ABO$500,Y$2,0),"З")</f>
        <v>0</v>
      </c>
      <c r="Z541" s="50">
        <f>SUMIFS(INDEX(Техника!$F$1:$ABM$500,Z$2,0),Техника!$F$4:$ABM$4,"Часы",INDEX(Техника!$G$1:$ABN$500,Z$2,0),$A$536,INDEX(Техника!$H$1:$ABO$500,Z$2,0),"З")</f>
        <v>0</v>
      </c>
      <c r="AA541" s="50">
        <f>SUMIFS(INDEX(Техника!$F$1:$ABM$500,AA$2,0),Техника!$F$4:$ABM$4,"Часы",INDEX(Техника!$G$1:$ABN$500,AA$2,0),$A$536,INDEX(Техника!$H$1:$ABO$500,AA$2,0),"З")</f>
        <v>0</v>
      </c>
      <c r="AB541" s="50">
        <f>SUMIFS(INDEX(Техника!$F$1:$ABM$500,AB$2,0),Техника!$F$4:$ABM$4,"Часы",INDEX(Техника!$G$1:$ABN$500,AB$2,0),$A$536,INDEX(Техника!$H$1:$ABO$500,AB$2,0),"З")</f>
        <v>0</v>
      </c>
    </row>
    <row r="542" spans="1:28" ht="7.95" customHeight="1" x14ac:dyDescent="0.3">
      <c r="A542" s="38"/>
      <c r="B542" s="39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</row>
    <row r="543" spans="1:28" ht="25.05" customHeight="1" collapsed="1" x14ac:dyDescent="0.3">
      <c r="A543" s="32">
        <v>78</v>
      </c>
      <c r="B543" s="32" t="s">
        <v>79</v>
      </c>
      <c r="C543" s="49">
        <f>SUM(C544:C548)</f>
        <v>0</v>
      </c>
      <c r="D543" s="49">
        <f>SUM(D544:D548)</f>
        <v>0</v>
      </c>
      <c r="E543" s="49">
        <f>SUM(E544:E548)</f>
        <v>0</v>
      </c>
      <c r="F543" s="49">
        <f>SUM(F544:F548)</f>
        <v>0</v>
      </c>
      <c r="G543" s="49">
        <f>SUM(G544:G548)</f>
        <v>0</v>
      </c>
      <c r="H543" s="49">
        <f>SUM(H544:H548)</f>
        <v>0</v>
      </c>
      <c r="I543" s="49">
        <f>SUM(I544:I548)</f>
        <v>0</v>
      </c>
      <c r="J543" s="49">
        <f>SUM(J544:J548)</f>
        <v>0</v>
      </c>
      <c r="K543" s="49">
        <f>SUM(K544:K548)</f>
        <v>0</v>
      </c>
      <c r="L543" s="49">
        <f>SUM(L544:L548)</f>
        <v>0</v>
      </c>
      <c r="M543" s="49">
        <f>SUM(M544:M548)</f>
        <v>0</v>
      </c>
      <c r="N543" s="49">
        <f>SUM(N544:N548)</f>
        <v>0</v>
      </c>
      <c r="O543" s="49">
        <f>SUM(O544:O548)</f>
        <v>0</v>
      </c>
      <c r="P543" s="49">
        <f>SUM(P544:P548)</f>
        <v>0</v>
      </c>
      <c r="Q543" s="49">
        <f>SUM(Q544:Q548)</f>
        <v>0</v>
      </c>
      <c r="R543" s="49">
        <f>SUM(R544:R548)</f>
        <v>0</v>
      </c>
      <c r="S543" s="49">
        <f>SUM(S544:S548)</f>
        <v>0</v>
      </c>
      <c r="T543" s="49">
        <f>SUM(T544:T548)</f>
        <v>0</v>
      </c>
      <c r="U543" s="49">
        <f>SUM(U544:U548)</f>
        <v>0</v>
      </c>
      <c r="V543" s="49">
        <f>SUM(V544:V548)</f>
        <v>0</v>
      </c>
      <c r="W543" s="49">
        <f>SUM(W544:W548)</f>
        <v>0</v>
      </c>
      <c r="X543" s="49">
        <f>SUM(X544:X548)</f>
        <v>0</v>
      </c>
      <c r="Y543" s="49">
        <f>SUM(Y544:Y548)</f>
        <v>0</v>
      </c>
      <c r="Z543" s="49">
        <f>SUM(Z544:Z548)</f>
        <v>0</v>
      </c>
      <c r="AA543" s="49">
        <f>SUM(AA544:AA548)</f>
        <v>0</v>
      </c>
      <c r="AB543" s="49">
        <f>SUM(AB544:AB548)</f>
        <v>0</v>
      </c>
    </row>
    <row r="544" spans="1:28" hidden="1" outlineLevel="1" x14ac:dyDescent="0.3">
      <c r="A544" s="33" t="s">
        <v>246</v>
      </c>
      <c r="B544" s="34" t="s">
        <v>274</v>
      </c>
      <c r="C544" s="50">
        <f>SUMIFS(INDEX(Техника!$F$1:$ABM$500,C$2,0),Техника!$F$4:$ABM$4,"Часы",INDEX(Техника!$G$1:$ABN$500,C$2,0),$A$543,INDEX(Техника!$H$1:$ABO$500,C$2,0),"М")</f>
        <v>0</v>
      </c>
      <c r="D544" s="50">
        <f>SUMIFS(INDEX(Техника!$F$1:$ABM$500,D$2,0),Техника!$F$4:$ABM$4,"Часы",INDEX(Техника!$G$1:$ABN$500,D$2,0),$A$543,INDEX(Техника!$H$1:$ABO$500,D$2,0),"М")</f>
        <v>0</v>
      </c>
      <c r="E544" s="50">
        <f>SUMIFS(INDEX(Техника!$F$1:$ABM$500,E$2,0),Техника!$F$4:$ABM$4,"Часы",INDEX(Техника!$G$1:$ABN$500,E$2,0),$A$543,INDEX(Техника!$H$1:$ABO$500,E$2,0),"М")</f>
        <v>0</v>
      </c>
      <c r="F544" s="50">
        <f>SUMIFS(INDEX(Техника!$F$1:$ABM$500,F$2,0),Техника!$F$4:$ABM$4,"Часы",INDEX(Техника!$G$1:$ABN$500,F$2,0),$A$543,INDEX(Техника!$H$1:$ABO$500,F$2,0),"М")</f>
        <v>0</v>
      </c>
      <c r="G544" s="50">
        <f>SUMIFS(INDEX(Техника!$F$1:$ABM$500,G$2,0),Техника!$F$4:$ABM$4,"Часы",INDEX(Техника!$G$1:$ABN$500,G$2,0),$A$543,INDEX(Техника!$H$1:$ABO$500,G$2,0),"М")</f>
        <v>0</v>
      </c>
      <c r="H544" s="50">
        <f>SUMIFS(INDEX(Техника!$F$1:$ABM$500,H$2,0),Техника!$F$4:$ABM$4,"Часы",INDEX(Техника!$G$1:$ABN$500,H$2,0),$A$543,INDEX(Техника!$H$1:$ABO$500,H$2,0),"М")</f>
        <v>0</v>
      </c>
      <c r="I544" s="50">
        <f>SUMIFS(INDEX(Техника!$F$1:$ABM$500,I$2,0),Техника!$F$4:$ABM$4,"Часы",INDEX(Техника!$G$1:$ABN$500,I$2,0),$A$543,INDEX(Техника!$H$1:$ABO$500,I$2,0),"М")</f>
        <v>0</v>
      </c>
      <c r="J544" s="50">
        <f>SUMIFS(INDEX(Техника!$F$1:$ABM$500,J$2,0),Техника!$F$4:$ABM$4,"Часы",INDEX(Техника!$G$1:$ABN$500,J$2,0),$A$543,INDEX(Техника!$H$1:$ABO$500,J$2,0),"М")</f>
        <v>0</v>
      </c>
      <c r="K544" s="50">
        <f>SUMIFS(INDEX(Техника!$F$1:$ABM$500,K$2,0),Техника!$F$4:$ABM$4,"Часы",INDEX(Техника!$G$1:$ABN$500,K$2,0),$A$543,INDEX(Техника!$H$1:$ABO$500,K$2,0),"М")</f>
        <v>0</v>
      </c>
      <c r="L544" s="50">
        <f>SUMIFS(INDEX(Техника!$F$1:$ABM$500,L$2,0),Техника!$F$4:$ABM$4,"Часы",INDEX(Техника!$G$1:$ABN$500,L$2,0),$A$543,INDEX(Техника!$H$1:$ABO$500,L$2,0),"М")</f>
        <v>0</v>
      </c>
      <c r="M544" s="50">
        <f>SUMIFS(INDEX(Техника!$F$1:$ABM$500,M$2,0),Техника!$F$4:$ABM$4,"Часы",INDEX(Техника!$G$1:$ABN$500,M$2,0),$A$543,INDEX(Техника!$H$1:$ABO$500,M$2,0),"М")</f>
        <v>0</v>
      </c>
      <c r="N544" s="50">
        <f>SUMIFS(INDEX(Техника!$F$1:$ABM$500,N$2,0),Техника!$F$4:$ABM$4,"Часы",INDEX(Техника!$G$1:$ABN$500,N$2,0),$A$543,INDEX(Техника!$H$1:$ABO$500,N$2,0),"М")</f>
        <v>0</v>
      </c>
      <c r="O544" s="50">
        <f>SUMIFS(INDEX(Техника!$F$1:$ABM$500,O$2,0),Техника!$F$4:$ABM$4,"Часы",INDEX(Техника!$G$1:$ABN$500,O$2,0),$A$543,INDEX(Техника!$H$1:$ABO$500,O$2,0),"М")</f>
        <v>0</v>
      </c>
      <c r="P544" s="50">
        <f>SUMIFS(INDEX(Техника!$F$1:$ABM$500,P$2,0),Техника!$F$4:$ABM$4,"Часы",INDEX(Техника!$G$1:$ABN$500,P$2,0),$A$543,INDEX(Техника!$H$1:$ABO$500,P$2,0),"М")</f>
        <v>0</v>
      </c>
      <c r="Q544" s="50">
        <f>SUMIFS(INDEX(Техника!$F$1:$ABM$500,Q$2,0),Техника!$F$4:$ABM$4,"Часы",INDEX(Техника!$G$1:$ABN$500,Q$2,0),$A$543,INDEX(Техника!$H$1:$ABO$500,Q$2,0),"М")</f>
        <v>0</v>
      </c>
      <c r="R544" s="50">
        <f>SUMIFS(INDEX(Техника!$F$1:$ABM$500,R$2,0),Техника!$F$4:$ABM$4,"Часы",INDEX(Техника!$G$1:$ABN$500,R$2,0),$A$543,INDEX(Техника!$H$1:$ABO$500,R$2,0),"М")</f>
        <v>0</v>
      </c>
      <c r="S544" s="50">
        <f>SUMIFS(INDEX(Техника!$F$1:$ABM$500,S$2,0),Техника!$F$4:$ABM$4,"Часы",INDEX(Техника!$G$1:$ABN$500,S$2,0),$A$543,INDEX(Техника!$H$1:$ABO$500,S$2,0),"М")</f>
        <v>0</v>
      </c>
      <c r="T544" s="50">
        <f>SUMIFS(INDEX(Техника!$F$1:$ABM$500,T$2,0),Техника!$F$4:$ABM$4,"Часы",INDEX(Техника!$G$1:$ABN$500,T$2,0),$A$543,INDEX(Техника!$H$1:$ABO$500,T$2,0),"М")</f>
        <v>0</v>
      </c>
      <c r="U544" s="50">
        <f>SUMIFS(INDEX(Техника!$F$1:$ABM$500,U$2,0),Техника!$F$4:$ABM$4,"Часы",INDEX(Техника!$G$1:$ABN$500,U$2,0),$A$543,INDEX(Техника!$H$1:$ABO$500,U$2,0),"М")</f>
        <v>0</v>
      </c>
      <c r="V544" s="50">
        <f>SUMIFS(INDEX(Техника!$F$1:$ABM$500,V$2,0),Техника!$F$4:$ABM$4,"Часы",INDEX(Техника!$G$1:$ABN$500,V$2,0),$A$543,INDEX(Техника!$H$1:$ABO$500,V$2,0),"М")</f>
        <v>0</v>
      </c>
      <c r="W544" s="50">
        <f>SUMIFS(INDEX(Техника!$F$1:$ABM$500,W$2,0),Техника!$F$4:$ABM$4,"Часы",INDEX(Техника!$G$1:$ABN$500,W$2,0),$A$543,INDEX(Техника!$H$1:$ABO$500,W$2,0),"М")</f>
        <v>0</v>
      </c>
      <c r="X544" s="50">
        <f>SUMIFS(INDEX(Техника!$F$1:$ABM$500,X$2,0),Техника!$F$4:$ABM$4,"Часы",INDEX(Техника!$G$1:$ABN$500,X$2,0),$A$543,INDEX(Техника!$H$1:$ABO$500,X$2,0),"М")</f>
        <v>0</v>
      </c>
      <c r="Y544" s="50">
        <f>SUMIFS(INDEX(Техника!$F$1:$ABM$500,Y$2,0),Техника!$F$4:$ABM$4,"Часы",INDEX(Техника!$G$1:$ABN$500,Y$2,0),$A$543,INDEX(Техника!$H$1:$ABO$500,Y$2,0),"М")</f>
        <v>0</v>
      </c>
      <c r="Z544" s="50">
        <f>SUMIFS(INDEX(Техника!$F$1:$ABM$500,Z$2,0),Техника!$F$4:$ABM$4,"Часы",INDEX(Техника!$G$1:$ABN$500,Z$2,0),$A$543,INDEX(Техника!$H$1:$ABO$500,Z$2,0),"М")</f>
        <v>0</v>
      </c>
      <c r="AA544" s="50">
        <f>SUMIFS(INDEX(Техника!$F$1:$ABM$500,AA$2,0),Техника!$F$4:$ABM$4,"Часы",INDEX(Техника!$G$1:$ABN$500,AA$2,0),$A$543,INDEX(Техника!$H$1:$ABO$500,AA$2,0),"М")</f>
        <v>0</v>
      </c>
      <c r="AB544" s="50">
        <f>SUMIFS(INDEX(Техника!$F$1:$ABM$500,AB$2,0),Техника!$F$4:$ABM$4,"Часы",INDEX(Техника!$G$1:$ABN$500,AB$2,0),$A$543,INDEX(Техника!$H$1:$ABO$500,AB$2,0),"М")</f>
        <v>0</v>
      </c>
    </row>
    <row r="545" spans="1:28" hidden="1" outlineLevel="1" x14ac:dyDescent="0.3">
      <c r="A545" s="33" t="s">
        <v>244</v>
      </c>
      <c r="B545" s="34" t="s">
        <v>275</v>
      </c>
      <c r="C545" s="50">
        <f>SUMIFS(INDEX(Техника!$F$1:$ABM$500,C$2,0),Техника!$F$4:$ABM$4,"Часы",INDEX(Техника!$G$1:$ABN$500,C$2,0),$A$543,INDEX(Техника!$H$1:$ABO$500,C$2,0),"Д")</f>
        <v>0</v>
      </c>
      <c r="D545" s="50">
        <f>SUMIFS(INDEX(Техника!$F$1:$ABM$500,D$2,0),Техника!$F$4:$ABM$4,"Часы",INDEX(Техника!$G$1:$ABN$500,D$2,0),$A$543,INDEX(Техника!$H$1:$ABO$500,D$2,0),"Д")</f>
        <v>0</v>
      </c>
      <c r="E545" s="50">
        <f>SUMIFS(INDEX(Техника!$F$1:$ABM$500,E$2,0),Техника!$F$4:$ABM$4,"Часы",INDEX(Техника!$G$1:$ABN$500,E$2,0),$A$543,INDEX(Техника!$H$1:$ABO$500,E$2,0),"Д")</f>
        <v>0</v>
      </c>
      <c r="F545" s="50">
        <f>SUMIFS(INDEX(Техника!$F$1:$ABM$500,F$2,0),Техника!$F$4:$ABM$4,"Часы",INDEX(Техника!$G$1:$ABN$500,F$2,0),$A$543,INDEX(Техника!$H$1:$ABO$500,F$2,0),"Д")</f>
        <v>0</v>
      </c>
      <c r="G545" s="50">
        <f>SUMIFS(INDEX(Техника!$F$1:$ABM$500,G$2,0),Техника!$F$4:$ABM$4,"Часы",INDEX(Техника!$G$1:$ABN$500,G$2,0),$A$543,INDEX(Техника!$H$1:$ABO$500,G$2,0),"Д")</f>
        <v>0</v>
      </c>
      <c r="H545" s="50">
        <f>SUMIFS(INDEX(Техника!$F$1:$ABM$500,H$2,0),Техника!$F$4:$ABM$4,"Часы",INDEX(Техника!$G$1:$ABN$500,H$2,0),$A$543,INDEX(Техника!$H$1:$ABO$500,H$2,0),"Д")</f>
        <v>0</v>
      </c>
      <c r="I545" s="50">
        <f>SUMIFS(INDEX(Техника!$F$1:$ABM$500,I$2,0),Техника!$F$4:$ABM$4,"Часы",INDEX(Техника!$G$1:$ABN$500,I$2,0),$A$543,INDEX(Техника!$H$1:$ABO$500,I$2,0),"Д")</f>
        <v>0</v>
      </c>
      <c r="J545" s="50">
        <f>SUMIFS(INDEX(Техника!$F$1:$ABM$500,J$2,0),Техника!$F$4:$ABM$4,"Часы",INDEX(Техника!$G$1:$ABN$500,J$2,0),$A$543,INDEX(Техника!$H$1:$ABO$500,J$2,0),"Д")</f>
        <v>0</v>
      </c>
      <c r="K545" s="50">
        <f>SUMIFS(INDEX(Техника!$F$1:$ABM$500,K$2,0),Техника!$F$4:$ABM$4,"Часы",INDEX(Техника!$G$1:$ABN$500,K$2,0),$A$543,INDEX(Техника!$H$1:$ABO$500,K$2,0),"Д")</f>
        <v>0</v>
      </c>
      <c r="L545" s="50">
        <f>SUMIFS(INDEX(Техника!$F$1:$ABM$500,L$2,0),Техника!$F$4:$ABM$4,"Часы",INDEX(Техника!$G$1:$ABN$500,L$2,0),$A$543,INDEX(Техника!$H$1:$ABO$500,L$2,0),"Д")</f>
        <v>0</v>
      </c>
      <c r="M545" s="50">
        <f>SUMIFS(INDEX(Техника!$F$1:$ABM$500,M$2,0),Техника!$F$4:$ABM$4,"Часы",INDEX(Техника!$G$1:$ABN$500,M$2,0),$A$543,INDEX(Техника!$H$1:$ABO$500,M$2,0),"Д")</f>
        <v>0</v>
      </c>
      <c r="N545" s="50">
        <f>SUMIFS(INDEX(Техника!$F$1:$ABM$500,N$2,0),Техника!$F$4:$ABM$4,"Часы",INDEX(Техника!$G$1:$ABN$500,N$2,0),$A$543,INDEX(Техника!$H$1:$ABO$500,N$2,0),"Д")</f>
        <v>0</v>
      </c>
      <c r="O545" s="50">
        <f>SUMIFS(INDEX(Техника!$F$1:$ABM$500,O$2,0),Техника!$F$4:$ABM$4,"Часы",INDEX(Техника!$G$1:$ABN$500,O$2,0),$A$543,INDEX(Техника!$H$1:$ABO$500,O$2,0),"Д")</f>
        <v>0</v>
      </c>
      <c r="P545" s="50">
        <f>SUMIFS(INDEX(Техника!$F$1:$ABM$500,P$2,0),Техника!$F$4:$ABM$4,"Часы",INDEX(Техника!$G$1:$ABN$500,P$2,0),$A$543,INDEX(Техника!$H$1:$ABO$500,P$2,0),"Д")</f>
        <v>0</v>
      </c>
      <c r="Q545" s="50">
        <f>SUMIFS(INDEX(Техника!$F$1:$ABM$500,Q$2,0),Техника!$F$4:$ABM$4,"Часы",INDEX(Техника!$G$1:$ABN$500,Q$2,0),$A$543,INDEX(Техника!$H$1:$ABO$500,Q$2,0),"Д")</f>
        <v>0</v>
      </c>
      <c r="R545" s="50">
        <f>SUMIFS(INDEX(Техника!$F$1:$ABM$500,R$2,0),Техника!$F$4:$ABM$4,"Часы",INDEX(Техника!$G$1:$ABN$500,R$2,0),$A$543,INDEX(Техника!$H$1:$ABO$500,R$2,0),"Д")</f>
        <v>0</v>
      </c>
      <c r="S545" s="50">
        <f>SUMIFS(INDEX(Техника!$F$1:$ABM$500,S$2,0),Техника!$F$4:$ABM$4,"Часы",INDEX(Техника!$G$1:$ABN$500,S$2,0),$A$543,INDEX(Техника!$H$1:$ABO$500,S$2,0),"Д")</f>
        <v>0</v>
      </c>
      <c r="T545" s="50">
        <f>SUMIFS(INDEX(Техника!$F$1:$ABM$500,T$2,0),Техника!$F$4:$ABM$4,"Часы",INDEX(Техника!$G$1:$ABN$500,T$2,0),$A$543,INDEX(Техника!$H$1:$ABO$500,T$2,0),"Д")</f>
        <v>0</v>
      </c>
      <c r="U545" s="50">
        <f>SUMIFS(INDEX(Техника!$F$1:$ABM$500,U$2,0),Техника!$F$4:$ABM$4,"Часы",INDEX(Техника!$G$1:$ABN$500,U$2,0),$A$543,INDEX(Техника!$H$1:$ABO$500,U$2,0),"Д")</f>
        <v>0</v>
      </c>
      <c r="V545" s="50">
        <f>SUMIFS(INDEX(Техника!$F$1:$ABM$500,V$2,0),Техника!$F$4:$ABM$4,"Часы",INDEX(Техника!$G$1:$ABN$500,V$2,0),$A$543,INDEX(Техника!$H$1:$ABO$500,V$2,0),"Д")</f>
        <v>0</v>
      </c>
      <c r="W545" s="50">
        <f>SUMIFS(INDEX(Техника!$F$1:$ABM$500,W$2,0),Техника!$F$4:$ABM$4,"Часы",INDEX(Техника!$G$1:$ABN$500,W$2,0),$A$543,INDEX(Техника!$H$1:$ABO$500,W$2,0),"Д")</f>
        <v>0</v>
      </c>
      <c r="X545" s="50">
        <f>SUMIFS(INDEX(Техника!$F$1:$ABM$500,X$2,0),Техника!$F$4:$ABM$4,"Часы",INDEX(Техника!$G$1:$ABN$500,X$2,0),$A$543,INDEX(Техника!$H$1:$ABO$500,X$2,0),"Д")</f>
        <v>0</v>
      </c>
      <c r="Y545" s="50">
        <f>SUMIFS(INDEX(Техника!$F$1:$ABM$500,Y$2,0),Техника!$F$4:$ABM$4,"Часы",INDEX(Техника!$G$1:$ABN$500,Y$2,0),$A$543,INDEX(Техника!$H$1:$ABO$500,Y$2,0),"Д")</f>
        <v>0</v>
      </c>
      <c r="Z545" s="50">
        <f>SUMIFS(INDEX(Техника!$F$1:$ABM$500,Z$2,0),Техника!$F$4:$ABM$4,"Часы",INDEX(Техника!$G$1:$ABN$500,Z$2,0),$A$543,INDEX(Техника!$H$1:$ABO$500,Z$2,0),"Д")</f>
        <v>0</v>
      </c>
      <c r="AA545" s="50">
        <f>SUMIFS(INDEX(Техника!$F$1:$ABM$500,AA$2,0),Техника!$F$4:$ABM$4,"Часы",INDEX(Техника!$G$1:$ABN$500,AA$2,0),$A$543,INDEX(Техника!$H$1:$ABO$500,AA$2,0),"Д")</f>
        <v>0</v>
      </c>
      <c r="AB545" s="50">
        <f>SUMIFS(INDEX(Техника!$F$1:$ABM$500,AB$2,0),Техника!$F$4:$ABM$4,"Часы",INDEX(Техника!$G$1:$ABN$500,AB$2,0),$A$543,INDEX(Техника!$H$1:$ABO$500,AB$2,0),"Д")</f>
        <v>0</v>
      </c>
    </row>
    <row r="546" spans="1:28" hidden="1" outlineLevel="1" x14ac:dyDescent="0.3">
      <c r="A546" s="33" t="s">
        <v>276</v>
      </c>
      <c r="B546" s="34" t="s">
        <v>277</v>
      </c>
      <c r="C546" s="50">
        <f>SUMIFS(INDEX(Техника!$F$1:$ABM$500,C$2,0),Техника!$F$4:$ABM$4,"Часы",INDEX(Техника!$G$1:$ABN$500,C$2,0),$A$543,INDEX(Техника!$H$1:$ABO$500,C$2,0),"П")</f>
        <v>0</v>
      </c>
      <c r="D546" s="50">
        <f>SUMIFS(INDEX(Техника!$F$1:$ABM$500,D$2,0),Техника!$F$4:$ABM$4,"Часы",INDEX(Техника!$G$1:$ABN$500,D$2,0),$A$543,INDEX(Техника!$H$1:$ABO$500,D$2,0),"П")</f>
        <v>0</v>
      </c>
      <c r="E546" s="50">
        <f>SUMIFS(INDEX(Техника!$F$1:$ABM$500,E$2,0),Техника!$F$4:$ABM$4,"Часы",INDEX(Техника!$G$1:$ABN$500,E$2,0),$A$543,INDEX(Техника!$H$1:$ABO$500,E$2,0),"П")</f>
        <v>0</v>
      </c>
      <c r="F546" s="50">
        <f>SUMIFS(INDEX(Техника!$F$1:$ABM$500,F$2,0),Техника!$F$4:$ABM$4,"Часы",INDEX(Техника!$G$1:$ABN$500,F$2,0),$A$543,INDEX(Техника!$H$1:$ABO$500,F$2,0),"П")</f>
        <v>0</v>
      </c>
      <c r="G546" s="50">
        <f>SUMIFS(INDEX(Техника!$F$1:$ABM$500,G$2,0),Техника!$F$4:$ABM$4,"Часы",INDEX(Техника!$G$1:$ABN$500,G$2,0),$A$543,INDEX(Техника!$H$1:$ABO$500,G$2,0),"П")</f>
        <v>0</v>
      </c>
      <c r="H546" s="50">
        <f>SUMIFS(INDEX(Техника!$F$1:$ABM$500,H$2,0),Техника!$F$4:$ABM$4,"Часы",INDEX(Техника!$G$1:$ABN$500,H$2,0),$A$543,INDEX(Техника!$H$1:$ABO$500,H$2,0),"П")</f>
        <v>0</v>
      </c>
      <c r="I546" s="50">
        <f>SUMIFS(INDEX(Техника!$F$1:$ABM$500,I$2,0),Техника!$F$4:$ABM$4,"Часы",INDEX(Техника!$G$1:$ABN$500,I$2,0),$A$543,INDEX(Техника!$H$1:$ABO$500,I$2,0),"П")</f>
        <v>0</v>
      </c>
      <c r="J546" s="50">
        <f>SUMIFS(INDEX(Техника!$F$1:$ABM$500,J$2,0),Техника!$F$4:$ABM$4,"Часы",INDEX(Техника!$G$1:$ABN$500,J$2,0),$A$543,INDEX(Техника!$H$1:$ABO$500,J$2,0),"П")</f>
        <v>0</v>
      </c>
      <c r="K546" s="50">
        <f>SUMIFS(INDEX(Техника!$F$1:$ABM$500,K$2,0),Техника!$F$4:$ABM$4,"Часы",INDEX(Техника!$G$1:$ABN$500,K$2,0),$A$543,INDEX(Техника!$H$1:$ABO$500,K$2,0),"П")</f>
        <v>0</v>
      </c>
      <c r="L546" s="50">
        <f>SUMIFS(INDEX(Техника!$F$1:$ABM$500,L$2,0),Техника!$F$4:$ABM$4,"Часы",INDEX(Техника!$G$1:$ABN$500,L$2,0),$A$543,INDEX(Техника!$H$1:$ABO$500,L$2,0),"П")</f>
        <v>0</v>
      </c>
      <c r="M546" s="50">
        <f>SUMIFS(INDEX(Техника!$F$1:$ABM$500,M$2,0),Техника!$F$4:$ABM$4,"Часы",INDEX(Техника!$G$1:$ABN$500,M$2,0),$A$543,INDEX(Техника!$H$1:$ABO$500,M$2,0),"П")</f>
        <v>0</v>
      </c>
      <c r="N546" s="50">
        <f>SUMIFS(INDEX(Техника!$F$1:$ABM$500,N$2,0),Техника!$F$4:$ABM$4,"Часы",INDEX(Техника!$G$1:$ABN$500,N$2,0),$A$543,INDEX(Техника!$H$1:$ABO$500,N$2,0),"П")</f>
        <v>0</v>
      </c>
      <c r="O546" s="50">
        <f>SUMIFS(INDEX(Техника!$F$1:$ABM$500,O$2,0),Техника!$F$4:$ABM$4,"Часы",INDEX(Техника!$G$1:$ABN$500,O$2,0),$A$543,INDEX(Техника!$H$1:$ABO$500,O$2,0),"П")</f>
        <v>0</v>
      </c>
      <c r="P546" s="50">
        <f>SUMIFS(INDEX(Техника!$F$1:$ABM$500,P$2,0),Техника!$F$4:$ABM$4,"Часы",INDEX(Техника!$G$1:$ABN$500,P$2,0),$A$543,INDEX(Техника!$H$1:$ABO$500,P$2,0),"П")</f>
        <v>0</v>
      </c>
      <c r="Q546" s="50">
        <f>SUMIFS(INDEX(Техника!$F$1:$ABM$500,Q$2,0),Техника!$F$4:$ABM$4,"Часы",INDEX(Техника!$G$1:$ABN$500,Q$2,0),$A$543,INDEX(Техника!$H$1:$ABO$500,Q$2,0),"П")</f>
        <v>0</v>
      </c>
      <c r="R546" s="50">
        <f>SUMIFS(INDEX(Техника!$F$1:$ABM$500,R$2,0),Техника!$F$4:$ABM$4,"Часы",INDEX(Техника!$G$1:$ABN$500,R$2,0),$A$543,INDEX(Техника!$H$1:$ABO$500,R$2,0),"П")</f>
        <v>0</v>
      </c>
      <c r="S546" s="50">
        <f>SUMIFS(INDEX(Техника!$F$1:$ABM$500,S$2,0),Техника!$F$4:$ABM$4,"Часы",INDEX(Техника!$G$1:$ABN$500,S$2,0),$A$543,INDEX(Техника!$H$1:$ABO$500,S$2,0),"П")</f>
        <v>0</v>
      </c>
      <c r="T546" s="50">
        <f>SUMIFS(INDEX(Техника!$F$1:$ABM$500,T$2,0),Техника!$F$4:$ABM$4,"Часы",INDEX(Техника!$G$1:$ABN$500,T$2,0),$A$543,INDEX(Техника!$H$1:$ABO$500,T$2,0),"П")</f>
        <v>0</v>
      </c>
      <c r="U546" s="50">
        <f>SUMIFS(INDEX(Техника!$F$1:$ABM$500,U$2,0),Техника!$F$4:$ABM$4,"Часы",INDEX(Техника!$G$1:$ABN$500,U$2,0),$A$543,INDEX(Техника!$H$1:$ABO$500,U$2,0),"П")</f>
        <v>0</v>
      </c>
      <c r="V546" s="50">
        <f>SUMIFS(INDEX(Техника!$F$1:$ABM$500,V$2,0),Техника!$F$4:$ABM$4,"Часы",INDEX(Техника!$G$1:$ABN$500,V$2,0),$A$543,INDEX(Техника!$H$1:$ABO$500,V$2,0),"П")</f>
        <v>0</v>
      </c>
      <c r="W546" s="50">
        <f>SUMIFS(INDEX(Техника!$F$1:$ABM$500,W$2,0),Техника!$F$4:$ABM$4,"Часы",INDEX(Техника!$G$1:$ABN$500,W$2,0),$A$543,INDEX(Техника!$H$1:$ABO$500,W$2,0),"П")</f>
        <v>0</v>
      </c>
      <c r="X546" s="50">
        <f>SUMIFS(INDEX(Техника!$F$1:$ABM$500,X$2,0),Техника!$F$4:$ABM$4,"Часы",INDEX(Техника!$G$1:$ABN$500,X$2,0),$A$543,INDEX(Техника!$H$1:$ABO$500,X$2,0),"П")</f>
        <v>0</v>
      </c>
      <c r="Y546" s="50">
        <f>SUMIFS(INDEX(Техника!$F$1:$ABM$500,Y$2,0),Техника!$F$4:$ABM$4,"Часы",INDEX(Техника!$G$1:$ABN$500,Y$2,0),$A$543,INDEX(Техника!$H$1:$ABO$500,Y$2,0),"П")</f>
        <v>0</v>
      </c>
      <c r="Z546" s="50">
        <f>SUMIFS(INDEX(Техника!$F$1:$ABM$500,Z$2,0),Техника!$F$4:$ABM$4,"Часы",INDEX(Техника!$G$1:$ABN$500,Z$2,0),$A$543,INDEX(Техника!$H$1:$ABO$500,Z$2,0),"П")</f>
        <v>0</v>
      </c>
      <c r="AA546" s="50">
        <f>SUMIFS(INDEX(Техника!$F$1:$ABM$500,AA$2,0),Техника!$F$4:$ABM$4,"Часы",INDEX(Техника!$G$1:$ABN$500,AA$2,0),$A$543,INDEX(Техника!$H$1:$ABO$500,AA$2,0),"П")</f>
        <v>0</v>
      </c>
      <c r="AB546" s="50">
        <f>SUMIFS(INDEX(Техника!$F$1:$ABM$500,AB$2,0),Техника!$F$4:$ABM$4,"Часы",INDEX(Техника!$G$1:$ABN$500,AB$2,0),$A$543,INDEX(Техника!$H$1:$ABO$500,AB$2,0),"П")</f>
        <v>0</v>
      </c>
    </row>
    <row r="547" spans="1:28" hidden="1" outlineLevel="1" x14ac:dyDescent="0.3">
      <c r="A547" s="33" t="s">
        <v>243</v>
      </c>
      <c r="B547" s="34" t="s">
        <v>278</v>
      </c>
      <c r="C547" s="50">
        <f>SUMIFS(INDEX(Техника!$F$1:$ABM$500,C$2,0),Техника!$F$4:$ABM$4,"Часы",INDEX(Техника!$G$1:$ABN$500,C$2,0),$A$543,INDEX(Техника!$H$1:$ABO$500,C$2,0),"Л")</f>
        <v>0</v>
      </c>
      <c r="D547" s="50">
        <f>SUMIFS(INDEX(Техника!$F$1:$ABM$500,D$2,0),Техника!$F$4:$ABM$4,"Часы",INDEX(Техника!$G$1:$ABN$500,D$2,0),$A$543,INDEX(Техника!$H$1:$ABO$500,D$2,0),"Л")</f>
        <v>0</v>
      </c>
      <c r="E547" s="50">
        <f>SUMIFS(INDEX(Техника!$F$1:$ABM$500,E$2,0),Техника!$F$4:$ABM$4,"Часы",INDEX(Техника!$G$1:$ABN$500,E$2,0),$A$543,INDEX(Техника!$H$1:$ABO$500,E$2,0),"Л")</f>
        <v>0</v>
      </c>
      <c r="F547" s="50">
        <f>SUMIFS(INDEX(Техника!$F$1:$ABM$500,F$2,0),Техника!$F$4:$ABM$4,"Часы",INDEX(Техника!$G$1:$ABN$500,F$2,0),$A$543,INDEX(Техника!$H$1:$ABO$500,F$2,0),"Л")</f>
        <v>0</v>
      </c>
      <c r="G547" s="50">
        <f>SUMIFS(INDEX(Техника!$F$1:$ABM$500,G$2,0),Техника!$F$4:$ABM$4,"Часы",INDEX(Техника!$G$1:$ABN$500,G$2,0),$A$543,INDEX(Техника!$H$1:$ABO$500,G$2,0),"Л")</f>
        <v>0</v>
      </c>
      <c r="H547" s="50">
        <f>SUMIFS(INDEX(Техника!$F$1:$ABM$500,H$2,0),Техника!$F$4:$ABM$4,"Часы",INDEX(Техника!$G$1:$ABN$500,H$2,0),$A$543,INDEX(Техника!$H$1:$ABO$500,H$2,0),"Л")</f>
        <v>0</v>
      </c>
      <c r="I547" s="50">
        <f>SUMIFS(INDEX(Техника!$F$1:$ABM$500,I$2,0),Техника!$F$4:$ABM$4,"Часы",INDEX(Техника!$G$1:$ABN$500,I$2,0),$A$543,INDEX(Техника!$H$1:$ABO$500,I$2,0),"Л")</f>
        <v>0</v>
      </c>
      <c r="J547" s="50">
        <f>SUMIFS(INDEX(Техника!$F$1:$ABM$500,J$2,0),Техника!$F$4:$ABM$4,"Часы",INDEX(Техника!$G$1:$ABN$500,J$2,0),$A$543,INDEX(Техника!$H$1:$ABO$500,J$2,0),"Л")</f>
        <v>0</v>
      </c>
      <c r="K547" s="50">
        <f>SUMIFS(INDEX(Техника!$F$1:$ABM$500,K$2,0),Техника!$F$4:$ABM$4,"Часы",INDEX(Техника!$G$1:$ABN$500,K$2,0),$A$543,INDEX(Техника!$H$1:$ABO$500,K$2,0),"Л")</f>
        <v>0</v>
      </c>
      <c r="L547" s="50">
        <f>SUMIFS(INDEX(Техника!$F$1:$ABM$500,L$2,0),Техника!$F$4:$ABM$4,"Часы",INDEX(Техника!$G$1:$ABN$500,L$2,0),$A$543,INDEX(Техника!$H$1:$ABO$500,L$2,0),"Л")</f>
        <v>0</v>
      </c>
      <c r="M547" s="50">
        <f>SUMIFS(INDEX(Техника!$F$1:$ABM$500,M$2,0),Техника!$F$4:$ABM$4,"Часы",INDEX(Техника!$G$1:$ABN$500,M$2,0),$A$543,INDEX(Техника!$H$1:$ABO$500,M$2,0),"Л")</f>
        <v>0</v>
      </c>
      <c r="N547" s="50">
        <f>SUMIFS(INDEX(Техника!$F$1:$ABM$500,N$2,0),Техника!$F$4:$ABM$4,"Часы",INDEX(Техника!$G$1:$ABN$500,N$2,0),$A$543,INDEX(Техника!$H$1:$ABO$500,N$2,0),"Л")</f>
        <v>0</v>
      </c>
      <c r="O547" s="50">
        <f>SUMIFS(INDEX(Техника!$F$1:$ABM$500,O$2,0),Техника!$F$4:$ABM$4,"Часы",INDEX(Техника!$G$1:$ABN$500,O$2,0),$A$543,INDEX(Техника!$H$1:$ABO$500,O$2,0),"Л")</f>
        <v>0</v>
      </c>
      <c r="P547" s="50">
        <f>SUMIFS(INDEX(Техника!$F$1:$ABM$500,P$2,0),Техника!$F$4:$ABM$4,"Часы",INDEX(Техника!$G$1:$ABN$500,P$2,0),$A$543,INDEX(Техника!$H$1:$ABO$500,P$2,0),"Л")</f>
        <v>0</v>
      </c>
      <c r="Q547" s="50">
        <f>SUMIFS(INDEX(Техника!$F$1:$ABM$500,Q$2,0),Техника!$F$4:$ABM$4,"Часы",INDEX(Техника!$G$1:$ABN$500,Q$2,0),$A$543,INDEX(Техника!$H$1:$ABO$500,Q$2,0),"Л")</f>
        <v>0</v>
      </c>
      <c r="R547" s="50">
        <f>SUMIFS(INDEX(Техника!$F$1:$ABM$500,R$2,0),Техника!$F$4:$ABM$4,"Часы",INDEX(Техника!$G$1:$ABN$500,R$2,0),$A$543,INDEX(Техника!$H$1:$ABO$500,R$2,0),"Л")</f>
        <v>0</v>
      </c>
      <c r="S547" s="50">
        <f>SUMIFS(INDEX(Техника!$F$1:$ABM$500,S$2,0),Техника!$F$4:$ABM$4,"Часы",INDEX(Техника!$G$1:$ABN$500,S$2,0),$A$543,INDEX(Техника!$H$1:$ABO$500,S$2,0),"Л")</f>
        <v>0</v>
      </c>
      <c r="T547" s="50">
        <f>SUMIFS(INDEX(Техника!$F$1:$ABM$500,T$2,0),Техника!$F$4:$ABM$4,"Часы",INDEX(Техника!$G$1:$ABN$500,T$2,0),$A$543,INDEX(Техника!$H$1:$ABO$500,T$2,0),"Л")</f>
        <v>0</v>
      </c>
      <c r="U547" s="50">
        <f>SUMIFS(INDEX(Техника!$F$1:$ABM$500,U$2,0),Техника!$F$4:$ABM$4,"Часы",INDEX(Техника!$G$1:$ABN$500,U$2,0),$A$543,INDEX(Техника!$H$1:$ABO$500,U$2,0),"Л")</f>
        <v>0</v>
      </c>
      <c r="V547" s="50">
        <f>SUMIFS(INDEX(Техника!$F$1:$ABM$500,V$2,0),Техника!$F$4:$ABM$4,"Часы",INDEX(Техника!$G$1:$ABN$500,V$2,0),$A$543,INDEX(Техника!$H$1:$ABO$500,V$2,0),"Л")</f>
        <v>0</v>
      </c>
      <c r="W547" s="50">
        <f>SUMIFS(INDEX(Техника!$F$1:$ABM$500,W$2,0),Техника!$F$4:$ABM$4,"Часы",INDEX(Техника!$G$1:$ABN$500,W$2,0),$A$543,INDEX(Техника!$H$1:$ABO$500,W$2,0),"Л")</f>
        <v>0</v>
      </c>
      <c r="X547" s="50">
        <f>SUMIFS(INDEX(Техника!$F$1:$ABM$500,X$2,0),Техника!$F$4:$ABM$4,"Часы",INDEX(Техника!$G$1:$ABN$500,X$2,0),$A$543,INDEX(Техника!$H$1:$ABO$500,X$2,0),"Л")</f>
        <v>0</v>
      </c>
      <c r="Y547" s="50">
        <f>SUMIFS(INDEX(Техника!$F$1:$ABM$500,Y$2,0),Техника!$F$4:$ABM$4,"Часы",INDEX(Техника!$G$1:$ABN$500,Y$2,0),$A$543,INDEX(Техника!$H$1:$ABO$500,Y$2,0),"Л")</f>
        <v>0</v>
      </c>
      <c r="Z547" s="50">
        <f>SUMIFS(INDEX(Техника!$F$1:$ABM$500,Z$2,0),Техника!$F$4:$ABM$4,"Часы",INDEX(Техника!$G$1:$ABN$500,Z$2,0),$A$543,INDEX(Техника!$H$1:$ABO$500,Z$2,0),"Л")</f>
        <v>0</v>
      </c>
      <c r="AA547" s="50">
        <f>SUMIFS(INDEX(Техника!$F$1:$ABM$500,AA$2,0),Техника!$F$4:$ABM$4,"Часы",INDEX(Техника!$G$1:$ABN$500,AA$2,0),$A$543,INDEX(Техника!$H$1:$ABO$500,AA$2,0),"Л")</f>
        <v>0</v>
      </c>
      <c r="AB547" s="50">
        <f>SUMIFS(INDEX(Техника!$F$1:$ABM$500,AB$2,0),Техника!$F$4:$ABM$4,"Часы",INDEX(Техника!$G$1:$ABN$500,AB$2,0),$A$543,INDEX(Техника!$H$1:$ABO$500,AB$2,0),"Л")</f>
        <v>0</v>
      </c>
    </row>
    <row r="548" spans="1:28" hidden="1" outlineLevel="1" x14ac:dyDescent="0.3">
      <c r="A548" s="33" t="s">
        <v>245</v>
      </c>
      <c r="B548" s="34" t="s">
        <v>279</v>
      </c>
      <c r="C548" s="50">
        <f>SUMIFS(INDEX(Техника!$F$1:$ABM$500,C$2,0),Техника!$F$4:$ABM$4,"Часы",INDEX(Техника!$G$1:$ABN$500,C$2,0),$A$543,INDEX(Техника!$H$1:$ABO$500,C$2,0),"З")</f>
        <v>0</v>
      </c>
      <c r="D548" s="50">
        <f>SUMIFS(INDEX(Техника!$F$1:$ABM$500,D$2,0),Техника!$F$4:$ABM$4,"Часы",INDEX(Техника!$G$1:$ABN$500,D$2,0),$A$543,INDEX(Техника!$H$1:$ABO$500,D$2,0),"З")</f>
        <v>0</v>
      </c>
      <c r="E548" s="50">
        <f>SUMIFS(INDEX(Техника!$F$1:$ABM$500,E$2,0),Техника!$F$4:$ABM$4,"Часы",INDEX(Техника!$G$1:$ABN$500,E$2,0),$A$543,INDEX(Техника!$H$1:$ABO$500,E$2,0),"З")</f>
        <v>0</v>
      </c>
      <c r="F548" s="50">
        <f>SUMIFS(INDEX(Техника!$F$1:$ABM$500,F$2,0),Техника!$F$4:$ABM$4,"Часы",INDEX(Техника!$G$1:$ABN$500,F$2,0),$A$543,INDEX(Техника!$H$1:$ABO$500,F$2,0),"З")</f>
        <v>0</v>
      </c>
      <c r="G548" s="50">
        <f>SUMIFS(INDEX(Техника!$F$1:$ABM$500,G$2,0),Техника!$F$4:$ABM$4,"Часы",INDEX(Техника!$G$1:$ABN$500,G$2,0),$A$543,INDEX(Техника!$H$1:$ABO$500,G$2,0),"З")</f>
        <v>0</v>
      </c>
      <c r="H548" s="50">
        <f>SUMIFS(INDEX(Техника!$F$1:$ABM$500,H$2,0),Техника!$F$4:$ABM$4,"Часы",INDEX(Техника!$G$1:$ABN$500,H$2,0),$A$543,INDEX(Техника!$H$1:$ABO$500,H$2,0),"З")</f>
        <v>0</v>
      </c>
      <c r="I548" s="50">
        <f>SUMIFS(INDEX(Техника!$F$1:$ABM$500,I$2,0),Техника!$F$4:$ABM$4,"Часы",INDEX(Техника!$G$1:$ABN$500,I$2,0),$A$543,INDEX(Техника!$H$1:$ABO$500,I$2,0),"З")</f>
        <v>0</v>
      </c>
      <c r="J548" s="50">
        <f>SUMIFS(INDEX(Техника!$F$1:$ABM$500,J$2,0),Техника!$F$4:$ABM$4,"Часы",INDEX(Техника!$G$1:$ABN$500,J$2,0),$A$543,INDEX(Техника!$H$1:$ABO$500,J$2,0),"З")</f>
        <v>0</v>
      </c>
      <c r="K548" s="50">
        <f>SUMIFS(INDEX(Техника!$F$1:$ABM$500,K$2,0),Техника!$F$4:$ABM$4,"Часы",INDEX(Техника!$G$1:$ABN$500,K$2,0),$A$543,INDEX(Техника!$H$1:$ABO$500,K$2,0),"З")</f>
        <v>0</v>
      </c>
      <c r="L548" s="50">
        <f>SUMIFS(INDEX(Техника!$F$1:$ABM$500,L$2,0),Техника!$F$4:$ABM$4,"Часы",INDEX(Техника!$G$1:$ABN$500,L$2,0),$A$543,INDEX(Техника!$H$1:$ABO$500,L$2,0),"З")</f>
        <v>0</v>
      </c>
      <c r="M548" s="50">
        <f>SUMIFS(INDEX(Техника!$F$1:$ABM$500,M$2,0),Техника!$F$4:$ABM$4,"Часы",INDEX(Техника!$G$1:$ABN$500,M$2,0),$A$543,INDEX(Техника!$H$1:$ABO$500,M$2,0),"З")</f>
        <v>0</v>
      </c>
      <c r="N548" s="50">
        <f>SUMIFS(INDEX(Техника!$F$1:$ABM$500,N$2,0),Техника!$F$4:$ABM$4,"Часы",INDEX(Техника!$G$1:$ABN$500,N$2,0),$A$543,INDEX(Техника!$H$1:$ABO$500,N$2,0),"З")</f>
        <v>0</v>
      </c>
      <c r="O548" s="50">
        <f>SUMIFS(INDEX(Техника!$F$1:$ABM$500,O$2,0),Техника!$F$4:$ABM$4,"Часы",INDEX(Техника!$G$1:$ABN$500,O$2,0),$A$543,INDEX(Техника!$H$1:$ABO$500,O$2,0),"З")</f>
        <v>0</v>
      </c>
      <c r="P548" s="50">
        <f>SUMIFS(INDEX(Техника!$F$1:$ABM$500,P$2,0),Техника!$F$4:$ABM$4,"Часы",INDEX(Техника!$G$1:$ABN$500,P$2,0),$A$543,INDEX(Техника!$H$1:$ABO$500,P$2,0),"З")</f>
        <v>0</v>
      </c>
      <c r="Q548" s="50">
        <f>SUMIFS(INDEX(Техника!$F$1:$ABM$500,Q$2,0),Техника!$F$4:$ABM$4,"Часы",INDEX(Техника!$G$1:$ABN$500,Q$2,0),$A$543,INDEX(Техника!$H$1:$ABO$500,Q$2,0),"З")</f>
        <v>0</v>
      </c>
      <c r="R548" s="50">
        <f>SUMIFS(INDEX(Техника!$F$1:$ABM$500,R$2,0),Техника!$F$4:$ABM$4,"Часы",INDEX(Техника!$G$1:$ABN$500,R$2,0),$A$543,INDEX(Техника!$H$1:$ABO$500,R$2,0),"З")</f>
        <v>0</v>
      </c>
      <c r="S548" s="50">
        <f>SUMIFS(INDEX(Техника!$F$1:$ABM$500,S$2,0),Техника!$F$4:$ABM$4,"Часы",INDEX(Техника!$G$1:$ABN$500,S$2,0),$A$543,INDEX(Техника!$H$1:$ABO$500,S$2,0),"З")</f>
        <v>0</v>
      </c>
      <c r="T548" s="50">
        <f>SUMIFS(INDEX(Техника!$F$1:$ABM$500,T$2,0),Техника!$F$4:$ABM$4,"Часы",INDEX(Техника!$G$1:$ABN$500,T$2,0),$A$543,INDEX(Техника!$H$1:$ABO$500,T$2,0),"З")</f>
        <v>0</v>
      </c>
      <c r="U548" s="50">
        <f>SUMIFS(INDEX(Техника!$F$1:$ABM$500,U$2,0),Техника!$F$4:$ABM$4,"Часы",INDEX(Техника!$G$1:$ABN$500,U$2,0),$A$543,INDEX(Техника!$H$1:$ABO$500,U$2,0),"З")</f>
        <v>0</v>
      </c>
      <c r="V548" s="50">
        <f>SUMIFS(INDEX(Техника!$F$1:$ABM$500,V$2,0),Техника!$F$4:$ABM$4,"Часы",INDEX(Техника!$G$1:$ABN$500,V$2,0),$A$543,INDEX(Техника!$H$1:$ABO$500,V$2,0),"З")</f>
        <v>0</v>
      </c>
      <c r="W548" s="50">
        <f>SUMIFS(INDEX(Техника!$F$1:$ABM$500,W$2,0),Техника!$F$4:$ABM$4,"Часы",INDEX(Техника!$G$1:$ABN$500,W$2,0),$A$543,INDEX(Техника!$H$1:$ABO$500,W$2,0),"З")</f>
        <v>0</v>
      </c>
      <c r="X548" s="50">
        <f>SUMIFS(INDEX(Техника!$F$1:$ABM$500,X$2,0),Техника!$F$4:$ABM$4,"Часы",INDEX(Техника!$G$1:$ABN$500,X$2,0),$A$543,INDEX(Техника!$H$1:$ABO$500,X$2,0),"З")</f>
        <v>0</v>
      </c>
      <c r="Y548" s="50">
        <f>SUMIFS(INDEX(Техника!$F$1:$ABM$500,Y$2,0),Техника!$F$4:$ABM$4,"Часы",INDEX(Техника!$G$1:$ABN$500,Y$2,0),$A$543,INDEX(Техника!$H$1:$ABO$500,Y$2,0),"З")</f>
        <v>0</v>
      </c>
      <c r="Z548" s="50">
        <f>SUMIFS(INDEX(Техника!$F$1:$ABM$500,Z$2,0),Техника!$F$4:$ABM$4,"Часы",INDEX(Техника!$G$1:$ABN$500,Z$2,0),$A$543,INDEX(Техника!$H$1:$ABO$500,Z$2,0),"З")</f>
        <v>0</v>
      </c>
      <c r="AA548" s="50">
        <f>SUMIFS(INDEX(Техника!$F$1:$ABM$500,AA$2,0),Техника!$F$4:$ABM$4,"Часы",INDEX(Техника!$G$1:$ABN$500,AA$2,0),$A$543,INDEX(Техника!$H$1:$ABO$500,AA$2,0),"З")</f>
        <v>0</v>
      </c>
      <c r="AB548" s="50">
        <f>SUMIFS(INDEX(Техника!$F$1:$ABM$500,AB$2,0),Техника!$F$4:$ABM$4,"Часы",INDEX(Техника!$G$1:$ABN$500,AB$2,0),$A$543,INDEX(Техника!$H$1:$ABO$500,AB$2,0),"З")</f>
        <v>0</v>
      </c>
    </row>
    <row r="549" spans="1:28" ht="7.95" customHeight="1" x14ac:dyDescent="0.3">
      <c r="A549" s="38"/>
      <c r="B549" s="39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</row>
    <row r="550" spans="1:28" ht="25.05" customHeight="1" collapsed="1" x14ac:dyDescent="0.3">
      <c r="A550" s="32">
        <v>79</v>
      </c>
      <c r="B550" s="32" t="s">
        <v>80</v>
      </c>
      <c r="C550" s="49">
        <f>SUM(C551:C555)</f>
        <v>0</v>
      </c>
      <c r="D550" s="49">
        <f>SUM(D551:D555)</f>
        <v>0</v>
      </c>
      <c r="E550" s="49">
        <f>SUM(E551:E555)</f>
        <v>0</v>
      </c>
      <c r="F550" s="49">
        <f>SUM(F551:F555)</f>
        <v>0</v>
      </c>
      <c r="G550" s="49">
        <f>SUM(G551:G555)</f>
        <v>0</v>
      </c>
      <c r="H550" s="49">
        <f>SUM(H551:H555)</f>
        <v>0</v>
      </c>
      <c r="I550" s="49">
        <f>SUM(I551:I555)</f>
        <v>0</v>
      </c>
      <c r="J550" s="49">
        <f>SUM(J551:J555)</f>
        <v>0</v>
      </c>
      <c r="K550" s="49">
        <f>SUM(K551:K555)</f>
        <v>0</v>
      </c>
      <c r="L550" s="49">
        <f>SUM(L551:L555)</f>
        <v>0</v>
      </c>
      <c r="M550" s="49">
        <f>SUM(M551:M555)</f>
        <v>0</v>
      </c>
      <c r="N550" s="49">
        <f>SUM(N551:N555)</f>
        <v>0</v>
      </c>
      <c r="O550" s="49">
        <f>SUM(O551:O555)</f>
        <v>0</v>
      </c>
      <c r="P550" s="49">
        <f>SUM(P551:P555)</f>
        <v>0</v>
      </c>
      <c r="Q550" s="49">
        <f>SUM(Q551:Q555)</f>
        <v>0</v>
      </c>
      <c r="R550" s="49">
        <f>SUM(R551:R555)</f>
        <v>0</v>
      </c>
      <c r="S550" s="49">
        <f>SUM(S551:S555)</f>
        <v>0</v>
      </c>
      <c r="T550" s="49">
        <f>SUM(T551:T555)</f>
        <v>0</v>
      </c>
      <c r="U550" s="49">
        <f>SUM(U551:U555)</f>
        <v>0</v>
      </c>
      <c r="V550" s="49">
        <f>SUM(V551:V555)</f>
        <v>0</v>
      </c>
      <c r="W550" s="49">
        <f>SUM(W551:W555)</f>
        <v>0</v>
      </c>
      <c r="X550" s="49">
        <f>SUM(X551:X555)</f>
        <v>0</v>
      </c>
      <c r="Y550" s="49">
        <f>SUM(Y551:Y555)</f>
        <v>0</v>
      </c>
      <c r="Z550" s="49">
        <f>SUM(Z551:Z555)</f>
        <v>0</v>
      </c>
      <c r="AA550" s="49">
        <f>SUM(AA551:AA555)</f>
        <v>0</v>
      </c>
      <c r="AB550" s="49">
        <f>SUM(AB551:AB555)</f>
        <v>0</v>
      </c>
    </row>
    <row r="551" spans="1:28" hidden="1" outlineLevel="1" x14ac:dyDescent="0.3">
      <c r="A551" s="33" t="s">
        <v>246</v>
      </c>
      <c r="B551" s="34" t="s">
        <v>274</v>
      </c>
      <c r="C551" s="50">
        <f>SUMIFS(INDEX(Техника!$F$1:$ABM$500,C$2,0),Техника!$F$4:$ABM$4,"Часы",INDEX(Техника!$G$1:$ABN$500,C$2,0),$A$550,INDEX(Техника!$H$1:$ABO$500,C$2,0),"М")</f>
        <v>0</v>
      </c>
      <c r="D551" s="50">
        <f>SUMIFS(INDEX(Техника!$F$1:$ABM$500,D$2,0),Техника!$F$4:$ABM$4,"Часы",INDEX(Техника!$G$1:$ABN$500,D$2,0),$A$550,INDEX(Техника!$H$1:$ABO$500,D$2,0),"М")</f>
        <v>0</v>
      </c>
      <c r="E551" s="50">
        <f>SUMIFS(INDEX(Техника!$F$1:$ABM$500,E$2,0),Техника!$F$4:$ABM$4,"Часы",INDEX(Техника!$G$1:$ABN$500,E$2,0),$A$550,INDEX(Техника!$H$1:$ABO$500,E$2,0),"М")</f>
        <v>0</v>
      </c>
      <c r="F551" s="50">
        <f>SUMIFS(INDEX(Техника!$F$1:$ABM$500,F$2,0),Техника!$F$4:$ABM$4,"Часы",INDEX(Техника!$G$1:$ABN$500,F$2,0),$A$550,INDEX(Техника!$H$1:$ABO$500,F$2,0),"М")</f>
        <v>0</v>
      </c>
      <c r="G551" s="50">
        <f>SUMIFS(INDEX(Техника!$F$1:$ABM$500,G$2,0),Техника!$F$4:$ABM$4,"Часы",INDEX(Техника!$G$1:$ABN$500,G$2,0),$A$550,INDEX(Техника!$H$1:$ABO$500,G$2,0),"М")</f>
        <v>0</v>
      </c>
      <c r="H551" s="50">
        <f>SUMIFS(INDEX(Техника!$F$1:$ABM$500,H$2,0),Техника!$F$4:$ABM$4,"Часы",INDEX(Техника!$G$1:$ABN$500,H$2,0),$A$550,INDEX(Техника!$H$1:$ABO$500,H$2,0),"М")</f>
        <v>0</v>
      </c>
      <c r="I551" s="50">
        <f>SUMIFS(INDEX(Техника!$F$1:$ABM$500,I$2,0),Техника!$F$4:$ABM$4,"Часы",INDEX(Техника!$G$1:$ABN$500,I$2,0),$A$550,INDEX(Техника!$H$1:$ABO$500,I$2,0),"М")</f>
        <v>0</v>
      </c>
      <c r="J551" s="50">
        <f>SUMIFS(INDEX(Техника!$F$1:$ABM$500,J$2,0),Техника!$F$4:$ABM$4,"Часы",INDEX(Техника!$G$1:$ABN$500,J$2,0),$A$550,INDEX(Техника!$H$1:$ABO$500,J$2,0),"М")</f>
        <v>0</v>
      </c>
      <c r="K551" s="50">
        <f>SUMIFS(INDEX(Техника!$F$1:$ABM$500,K$2,0),Техника!$F$4:$ABM$4,"Часы",INDEX(Техника!$G$1:$ABN$500,K$2,0),$A$550,INDEX(Техника!$H$1:$ABO$500,K$2,0),"М")</f>
        <v>0</v>
      </c>
      <c r="L551" s="50">
        <f>SUMIFS(INDEX(Техника!$F$1:$ABM$500,L$2,0),Техника!$F$4:$ABM$4,"Часы",INDEX(Техника!$G$1:$ABN$500,L$2,0),$A$550,INDEX(Техника!$H$1:$ABO$500,L$2,0),"М")</f>
        <v>0</v>
      </c>
      <c r="M551" s="50">
        <f>SUMIFS(INDEX(Техника!$F$1:$ABM$500,M$2,0),Техника!$F$4:$ABM$4,"Часы",INDEX(Техника!$G$1:$ABN$500,M$2,0),$A$550,INDEX(Техника!$H$1:$ABO$500,M$2,0),"М")</f>
        <v>0</v>
      </c>
      <c r="N551" s="50">
        <f>SUMIFS(INDEX(Техника!$F$1:$ABM$500,N$2,0),Техника!$F$4:$ABM$4,"Часы",INDEX(Техника!$G$1:$ABN$500,N$2,0),$A$550,INDEX(Техника!$H$1:$ABO$500,N$2,0),"М")</f>
        <v>0</v>
      </c>
      <c r="O551" s="50">
        <f>SUMIFS(INDEX(Техника!$F$1:$ABM$500,O$2,0),Техника!$F$4:$ABM$4,"Часы",INDEX(Техника!$G$1:$ABN$500,O$2,0),$A$550,INDEX(Техника!$H$1:$ABO$500,O$2,0),"М")</f>
        <v>0</v>
      </c>
      <c r="P551" s="50">
        <f>SUMIFS(INDEX(Техника!$F$1:$ABM$500,P$2,0),Техника!$F$4:$ABM$4,"Часы",INDEX(Техника!$G$1:$ABN$500,P$2,0),$A$550,INDEX(Техника!$H$1:$ABO$500,P$2,0),"М")</f>
        <v>0</v>
      </c>
      <c r="Q551" s="50">
        <f>SUMIFS(INDEX(Техника!$F$1:$ABM$500,Q$2,0),Техника!$F$4:$ABM$4,"Часы",INDEX(Техника!$G$1:$ABN$500,Q$2,0),$A$550,INDEX(Техника!$H$1:$ABO$500,Q$2,0),"М")</f>
        <v>0</v>
      </c>
      <c r="R551" s="50">
        <f>SUMIFS(INDEX(Техника!$F$1:$ABM$500,R$2,0),Техника!$F$4:$ABM$4,"Часы",INDEX(Техника!$G$1:$ABN$500,R$2,0),$A$550,INDEX(Техника!$H$1:$ABO$500,R$2,0),"М")</f>
        <v>0</v>
      </c>
      <c r="S551" s="50">
        <f>SUMIFS(INDEX(Техника!$F$1:$ABM$500,S$2,0),Техника!$F$4:$ABM$4,"Часы",INDEX(Техника!$G$1:$ABN$500,S$2,0),$A$550,INDEX(Техника!$H$1:$ABO$500,S$2,0),"М")</f>
        <v>0</v>
      </c>
      <c r="T551" s="50">
        <f>SUMIFS(INDEX(Техника!$F$1:$ABM$500,T$2,0),Техника!$F$4:$ABM$4,"Часы",INDEX(Техника!$G$1:$ABN$500,T$2,0),$A$550,INDEX(Техника!$H$1:$ABO$500,T$2,0),"М")</f>
        <v>0</v>
      </c>
      <c r="U551" s="50">
        <f>SUMIFS(INDEX(Техника!$F$1:$ABM$500,U$2,0),Техника!$F$4:$ABM$4,"Часы",INDEX(Техника!$G$1:$ABN$500,U$2,0),$A$550,INDEX(Техника!$H$1:$ABO$500,U$2,0),"М")</f>
        <v>0</v>
      </c>
      <c r="V551" s="50">
        <f>SUMIFS(INDEX(Техника!$F$1:$ABM$500,V$2,0),Техника!$F$4:$ABM$4,"Часы",INDEX(Техника!$G$1:$ABN$500,V$2,0),$A$550,INDEX(Техника!$H$1:$ABO$500,V$2,0),"М")</f>
        <v>0</v>
      </c>
      <c r="W551" s="50">
        <f>SUMIFS(INDEX(Техника!$F$1:$ABM$500,W$2,0),Техника!$F$4:$ABM$4,"Часы",INDEX(Техника!$G$1:$ABN$500,W$2,0),$A$550,INDEX(Техника!$H$1:$ABO$500,W$2,0),"М")</f>
        <v>0</v>
      </c>
      <c r="X551" s="50">
        <f>SUMIFS(INDEX(Техника!$F$1:$ABM$500,X$2,0),Техника!$F$4:$ABM$4,"Часы",INDEX(Техника!$G$1:$ABN$500,X$2,0),$A$550,INDEX(Техника!$H$1:$ABO$500,X$2,0),"М")</f>
        <v>0</v>
      </c>
      <c r="Y551" s="50">
        <f>SUMIFS(INDEX(Техника!$F$1:$ABM$500,Y$2,0),Техника!$F$4:$ABM$4,"Часы",INDEX(Техника!$G$1:$ABN$500,Y$2,0),$A$550,INDEX(Техника!$H$1:$ABO$500,Y$2,0),"М")</f>
        <v>0</v>
      </c>
      <c r="Z551" s="50">
        <f>SUMIFS(INDEX(Техника!$F$1:$ABM$500,Z$2,0),Техника!$F$4:$ABM$4,"Часы",INDEX(Техника!$G$1:$ABN$500,Z$2,0),$A$550,INDEX(Техника!$H$1:$ABO$500,Z$2,0),"М")</f>
        <v>0</v>
      </c>
      <c r="AA551" s="50">
        <f>SUMIFS(INDEX(Техника!$F$1:$ABM$500,AA$2,0),Техника!$F$4:$ABM$4,"Часы",INDEX(Техника!$G$1:$ABN$500,AA$2,0),$A$550,INDEX(Техника!$H$1:$ABO$500,AA$2,0),"М")</f>
        <v>0</v>
      </c>
      <c r="AB551" s="50">
        <f>SUMIFS(INDEX(Техника!$F$1:$ABM$500,AB$2,0),Техника!$F$4:$ABM$4,"Часы",INDEX(Техника!$G$1:$ABN$500,AB$2,0),$A$550,INDEX(Техника!$H$1:$ABO$500,AB$2,0),"М")</f>
        <v>0</v>
      </c>
    </row>
    <row r="552" spans="1:28" hidden="1" outlineLevel="1" x14ac:dyDescent="0.3">
      <c r="A552" s="33" t="s">
        <v>244</v>
      </c>
      <c r="B552" s="34" t="s">
        <v>275</v>
      </c>
      <c r="C552" s="50">
        <f>SUMIFS(INDEX(Техника!$F$1:$ABM$500,C$2,0),Техника!$F$4:$ABM$4,"Часы",INDEX(Техника!$G$1:$ABN$500,C$2,0),$A$550,INDEX(Техника!$H$1:$ABO$500,C$2,0),"Д")</f>
        <v>0</v>
      </c>
      <c r="D552" s="50">
        <f>SUMIFS(INDEX(Техника!$F$1:$ABM$500,D$2,0),Техника!$F$4:$ABM$4,"Часы",INDEX(Техника!$G$1:$ABN$500,D$2,0),$A$550,INDEX(Техника!$H$1:$ABO$500,D$2,0),"Д")</f>
        <v>0</v>
      </c>
      <c r="E552" s="50">
        <f>SUMIFS(INDEX(Техника!$F$1:$ABM$500,E$2,0),Техника!$F$4:$ABM$4,"Часы",INDEX(Техника!$G$1:$ABN$500,E$2,0),$A$550,INDEX(Техника!$H$1:$ABO$500,E$2,0),"Д")</f>
        <v>0</v>
      </c>
      <c r="F552" s="50">
        <f>SUMIFS(INDEX(Техника!$F$1:$ABM$500,F$2,0),Техника!$F$4:$ABM$4,"Часы",INDEX(Техника!$G$1:$ABN$500,F$2,0),$A$550,INDEX(Техника!$H$1:$ABO$500,F$2,0),"Д")</f>
        <v>0</v>
      </c>
      <c r="G552" s="50">
        <f>SUMIFS(INDEX(Техника!$F$1:$ABM$500,G$2,0),Техника!$F$4:$ABM$4,"Часы",INDEX(Техника!$G$1:$ABN$500,G$2,0),$A$550,INDEX(Техника!$H$1:$ABO$500,G$2,0),"Д")</f>
        <v>0</v>
      </c>
      <c r="H552" s="50">
        <f>SUMIFS(INDEX(Техника!$F$1:$ABM$500,H$2,0),Техника!$F$4:$ABM$4,"Часы",INDEX(Техника!$G$1:$ABN$500,H$2,0),$A$550,INDEX(Техника!$H$1:$ABO$500,H$2,0),"Д")</f>
        <v>0</v>
      </c>
      <c r="I552" s="50">
        <f>SUMIFS(INDEX(Техника!$F$1:$ABM$500,I$2,0),Техника!$F$4:$ABM$4,"Часы",INDEX(Техника!$G$1:$ABN$500,I$2,0),$A$550,INDEX(Техника!$H$1:$ABO$500,I$2,0),"Д")</f>
        <v>0</v>
      </c>
      <c r="J552" s="50">
        <f>SUMIFS(INDEX(Техника!$F$1:$ABM$500,J$2,0),Техника!$F$4:$ABM$4,"Часы",INDEX(Техника!$G$1:$ABN$500,J$2,0),$A$550,INDEX(Техника!$H$1:$ABO$500,J$2,0),"Д")</f>
        <v>0</v>
      </c>
      <c r="K552" s="50">
        <f>SUMIFS(INDEX(Техника!$F$1:$ABM$500,K$2,0),Техника!$F$4:$ABM$4,"Часы",INDEX(Техника!$G$1:$ABN$500,K$2,0),$A$550,INDEX(Техника!$H$1:$ABO$500,K$2,0),"Д")</f>
        <v>0</v>
      </c>
      <c r="L552" s="50">
        <f>SUMIFS(INDEX(Техника!$F$1:$ABM$500,L$2,0),Техника!$F$4:$ABM$4,"Часы",INDEX(Техника!$G$1:$ABN$500,L$2,0),$A$550,INDEX(Техника!$H$1:$ABO$500,L$2,0),"Д")</f>
        <v>0</v>
      </c>
      <c r="M552" s="50">
        <f>SUMIFS(INDEX(Техника!$F$1:$ABM$500,M$2,0),Техника!$F$4:$ABM$4,"Часы",INDEX(Техника!$G$1:$ABN$500,M$2,0),$A$550,INDEX(Техника!$H$1:$ABO$500,M$2,0),"Д")</f>
        <v>0</v>
      </c>
      <c r="N552" s="50">
        <f>SUMIFS(INDEX(Техника!$F$1:$ABM$500,N$2,0),Техника!$F$4:$ABM$4,"Часы",INDEX(Техника!$G$1:$ABN$500,N$2,0),$A$550,INDEX(Техника!$H$1:$ABO$500,N$2,0),"Д")</f>
        <v>0</v>
      </c>
      <c r="O552" s="50">
        <f>SUMIFS(INDEX(Техника!$F$1:$ABM$500,O$2,0),Техника!$F$4:$ABM$4,"Часы",INDEX(Техника!$G$1:$ABN$500,O$2,0),$A$550,INDEX(Техника!$H$1:$ABO$500,O$2,0),"Д")</f>
        <v>0</v>
      </c>
      <c r="P552" s="50">
        <f>SUMIFS(INDEX(Техника!$F$1:$ABM$500,P$2,0),Техника!$F$4:$ABM$4,"Часы",INDEX(Техника!$G$1:$ABN$500,P$2,0),$A$550,INDEX(Техника!$H$1:$ABO$500,P$2,0),"Д")</f>
        <v>0</v>
      </c>
      <c r="Q552" s="50">
        <f>SUMIFS(INDEX(Техника!$F$1:$ABM$500,Q$2,0),Техника!$F$4:$ABM$4,"Часы",INDEX(Техника!$G$1:$ABN$500,Q$2,0),$A$550,INDEX(Техника!$H$1:$ABO$500,Q$2,0),"Д")</f>
        <v>0</v>
      </c>
      <c r="R552" s="50">
        <f>SUMIFS(INDEX(Техника!$F$1:$ABM$500,R$2,0),Техника!$F$4:$ABM$4,"Часы",INDEX(Техника!$G$1:$ABN$500,R$2,0),$A$550,INDEX(Техника!$H$1:$ABO$500,R$2,0),"Д")</f>
        <v>0</v>
      </c>
      <c r="S552" s="50">
        <f>SUMIFS(INDEX(Техника!$F$1:$ABM$500,S$2,0),Техника!$F$4:$ABM$4,"Часы",INDEX(Техника!$G$1:$ABN$500,S$2,0),$A$550,INDEX(Техника!$H$1:$ABO$500,S$2,0),"Д")</f>
        <v>0</v>
      </c>
      <c r="T552" s="50">
        <f>SUMIFS(INDEX(Техника!$F$1:$ABM$500,T$2,0),Техника!$F$4:$ABM$4,"Часы",INDEX(Техника!$G$1:$ABN$500,T$2,0),$A$550,INDEX(Техника!$H$1:$ABO$500,T$2,0),"Д")</f>
        <v>0</v>
      </c>
      <c r="U552" s="50">
        <f>SUMIFS(INDEX(Техника!$F$1:$ABM$500,U$2,0),Техника!$F$4:$ABM$4,"Часы",INDEX(Техника!$G$1:$ABN$500,U$2,0),$A$550,INDEX(Техника!$H$1:$ABO$500,U$2,0),"Д")</f>
        <v>0</v>
      </c>
      <c r="V552" s="50">
        <f>SUMIFS(INDEX(Техника!$F$1:$ABM$500,V$2,0),Техника!$F$4:$ABM$4,"Часы",INDEX(Техника!$G$1:$ABN$500,V$2,0),$A$550,INDEX(Техника!$H$1:$ABO$500,V$2,0),"Д")</f>
        <v>0</v>
      </c>
      <c r="W552" s="50">
        <f>SUMIFS(INDEX(Техника!$F$1:$ABM$500,W$2,0),Техника!$F$4:$ABM$4,"Часы",INDEX(Техника!$G$1:$ABN$500,W$2,0),$A$550,INDEX(Техника!$H$1:$ABO$500,W$2,0),"Д")</f>
        <v>0</v>
      </c>
      <c r="X552" s="50">
        <f>SUMIFS(INDEX(Техника!$F$1:$ABM$500,X$2,0),Техника!$F$4:$ABM$4,"Часы",INDEX(Техника!$G$1:$ABN$500,X$2,0),$A$550,INDEX(Техника!$H$1:$ABO$500,X$2,0),"Д")</f>
        <v>0</v>
      </c>
      <c r="Y552" s="50">
        <f>SUMIFS(INDEX(Техника!$F$1:$ABM$500,Y$2,0),Техника!$F$4:$ABM$4,"Часы",INDEX(Техника!$G$1:$ABN$500,Y$2,0),$A$550,INDEX(Техника!$H$1:$ABO$500,Y$2,0),"Д")</f>
        <v>0</v>
      </c>
      <c r="Z552" s="50">
        <f>SUMIFS(INDEX(Техника!$F$1:$ABM$500,Z$2,0),Техника!$F$4:$ABM$4,"Часы",INDEX(Техника!$G$1:$ABN$500,Z$2,0),$A$550,INDEX(Техника!$H$1:$ABO$500,Z$2,0),"Д")</f>
        <v>0</v>
      </c>
      <c r="AA552" s="50">
        <f>SUMIFS(INDEX(Техника!$F$1:$ABM$500,AA$2,0),Техника!$F$4:$ABM$4,"Часы",INDEX(Техника!$G$1:$ABN$500,AA$2,0),$A$550,INDEX(Техника!$H$1:$ABO$500,AA$2,0),"Д")</f>
        <v>0</v>
      </c>
      <c r="AB552" s="50">
        <f>SUMIFS(INDEX(Техника!$F$1:$ABM$500,AB$2,0),Техника!$F$4:$ABM$4,"Часы",INDEX(Техника!$G$1:$ABN$500,AB$2,0),$A$550,INDEX(Техника!$H$1:$ABO$500,AB$2,0),"Д")</f>
        <v>0</v>
      </c>
    </row>
    <row r="553" spans="1:28" hidden="1" outlineLevel="1" x14ac:dyDescent="0.3">
      <c r="A553" s="33" t="s">
        <v>276</v>
      </c>
      <c r="B553" s="34" t="s">
        <v>277</v>
      </c>
      <c r="C553" s="50">
        <f>SUMIFS(INDEX(Техника!$F$1:$ABM$500,C$2,0),Техника!$F$4:$ABM$4,"Часы",INDEX(Техника!$G$1:$ABN$500,C$2,0),$A$550,INDEX(Техника!$H$1:$ABO$500,C$2,0),"П")</f>
        <v>0</v>
      </c>
      <c r="D553" s="50">
        <f>SUMIFS(INDEX(Техника!$F$1:$ABM$500,D$2,0),Техника!$F$4:$ABM$4,"Часы",INDEX(Техника!$G$1:$ABN$500,D$2,0),$A$550,INDEX(Техника!$H$1:$ABO$500,D$2,0),"П")</f>
        <v>0</v>
      </c>
      <c r="E553" s="50">
        <f>SUMIFS(INDEX(Техника!$F$1:$ABM$500,E$2,0),Техника!$F$4:$ABM$4,"Часы",INDEX(Техника!$G$1:$ABN$500,E$2,0),$A$550,INDEX(Техника!$H$1:$ABO$500,E$2,0),"П")</f>
        <v>0</v>
      </c>
      <c r="F553" s="50">
        <f>SUMIFS(INDEX(Техника!$F$1:$ABM$500,F$2,0),Техника!$F$4:$ABM$4,"Часы",INDEX(Техника!$G$1:$ABN$500,F$2,0),$A$550,INDEX(Техника!$H$1:$ABO$500,F$2,0),"П")</f>
        <v>0</v>
      </c>
      <c r="G553" s="50">
        <f>SUMIFS(INDEX(Техника!$F$1:$ABM$500,G$2,0),Техника!$F$4:$ABM$4,"Часы",INDEX(Техника!$G$1:$ABN$500,G$2,0),$A$550,INDEX(Техника!$H$1:$ABO$500,G$2,0),"П")</f>
        <v>0</v>
      </c>
      <c r="H553" s="50">
        <f>SUMIFS(INDEX(Техника!$F$1:$ABM$500,H$2,0),Техника!$F$4:$ABM$4,"Часы",INDEX(Техника!$G$1:$ABN$500,H$2,0),$A$550,INDEX(Техника!$H$1:$ABO$500,H$2,0),"П")</f>
        <v>0</v>
      </c>
      <c r="I553" s="50">
        <f>SUMIFS(INDEX(Техника!$F$1:$ABM$500,I$2,0),Техника!$F$4:$ABM$4,"Часы",INDEX(Техника!$G$1:$ABN$500,I$2,0),$A$550,INDEX(Техника!$H$1:$ABO$500,I$2,0),"П")</f>
        <v>0</v>
      </c>
      <c r="J553" s="50">
        <f>SUMIFS(INDEX(Техника!$F$1:$ABM$500,J$2,0),Техника!$F$4:$ABM$4,"Часы",INDEX(Техника!$G$1:$ABN$500,J$2,0),$A$550,INDEX(Техника!$H$1:$ABO$500,J$2,0),"П")</f>
        <v>0</v>
      </c>
      <c r="K553" s="50">
        <f>SUMIFS(INDEX(Техника!$F$1:$ABM$500,K$2,0),Техника!$F$4:$ABM$4,"Часы",INDEX(Техника!$G$1:$ABN$500,K$2,0),$A$550,INDEX(Техника!$H$1:$ABO$500,K$2,0),"П")</f>
        <v>0</v>
      </c>
      <c r="L553" s="50">
        <f>SUMIFS(INDEX(Техника!$F$1:$ABM$500,L$2,0),Техника!$F$4:$ABM$4,"Часы",INDEX(Техника!$G$1:$ABN$500,L$2,0),$A$550,INDEX(Техника!$H$1:$ABO$500,L$2,0),"П")</f>
        <v>0</v>
      </c>
      <c r="M553" s="50">
        <f>SUMIFS(INDEX(Техника!$F$1:$ABM$500,M$2,0),Техника!$F$4:$ABM$4,"Часы",INDEX(Техника!$G$1:$ABN$500,M$2,0),$A$550,INDEX(Техника!$H$1:$ABO$500,M$2,0),"П")</f>
        <v>0</v>
      </c>
      <c r="N553" s="50">
        <f>SUMIFS(INDEX(Техника!$F$1:$ABM$500,N$2,0),Техника!$F$4:$ABM$4,"Часы",INDEX(Техника!$G$1:$ABN$500,N$2,0),$A$550,INDEX(Техника!$H$1:$ABO$500,N$2,0),"П")</f>
        <v>0</v>
      </c>
      <c r="O553" s="50">
        <f>SUMIFS(INDEX(Техника!$F$1:$ABM$500,O$2,0),Техника!$F$4:$ABM$4,"Часы",INDEX(Техника!$G$1:$ABN$500,O$2,0),$A$550,INDEX(Техника!$H$1:$ABO$500,O$2,0),"П")</f>
        <v>0</v>
      </c>
      <c r="P553" s="50">
        <f>SUMIFS(INDEX(Техника!$F$1:$ABM$500,P$2,0),Техника!$F$4:$ABM$4,"Часы",INDEX(Техника!$G$1:$ABN$500,P$2,0),$A$550,INDEX(Техника!$H$1:$ABO$500,P$2,0),"П")</f>
        <v>0</v>
      </c>
      <c r="Q553" s="50">
        <f>SUMIFS(INDEX(Техника!$F$1:$ABM$500,Q$2,0),Техника!$F$4:$ABM$4,"Часы",INDEX(Техника!$G$1:$ABN$500,Q$2,0),$A$550,INDEX(Техника!$H$1:$ABO$500,Q$2,0),"П")</f>
        <v>0</v>
      </c>
      <c r="R553" s="50">
        <f>SUMIFS(INDEX(Техника!$F$1:$ABM$500,R$2,0),Техника!$F$4:$ABM$4,"Часы",INDEX(Техника!$G$1:$ABN$500,R$2,0),$A$550,INDEX(Техника!$H$1:$ABO$500,R$2,0),"П")</f>
        <v>0</v>
      </c>
      <c r="S553" s="50">
        <f>SUMIFS(INDEX(Техника!$F$1:$ABM$500,S$2,0),Техника!$F$4:$ABM$4,"Часы",INDEX(Техника!$G$1:$ABN$500,S$2,0),$A$550,INDEX(Техника!$H$1:$ABO$500,S$2,0),"П")</f>
        <v>0</v>
      </c>
      <c r="T553" s="50">
        <f>SUMIFS(INDEX(Техника!$F$1:$ABM$500,T$2,0),Техника!$F$4:$ABM$4,"Часы",INDEX(Техника!$G$1:$ABN$500,T$2,0),$A$550,INDEX(Техника!$H$1:$ABO$500,T$2,0),"П")</f>
        <v>0</v>
      </c>
      <c r="U553" s="50">
        <f>SUMIFS(INDEX(Техника!$F$1:$ABM$500,U$2,0),Техника!$F$4:$ABM$4,"Часы",INDEX(Техника!$G$1:$ABN$500,U$2,0),$A$550,INDEX(Техника!$H$1:$ABO$500,U$2,0),"П")</f>
        <v>0</v>
      </c>
      <c r="V553" s="50">
        <f>SUMIFS(INDEX(Техника!$F$1:$ABM$500,V$2,0),Техника!$F$4:$ABM$4,"Часы",INDEX(Техника!$G$1:$ABN$500,V$2,0),$A$550,INDEX(Техника!$H$1:$ABO$500,V$2,0),"П")</f>
        <v>0</v>
      </c>
      <c r="W553" s="50">
        <f>SUMIFS(INDEX(Техника!$F$1:$ABM$500,W$2,0),Техника!$F$4:$ABM$4,"Часы",INDEX(Техника!$G$1:$ABN$500,W$2,0),$A$550,INDEX(Техника!$H$1:$ABO$500,W$2,0),"П")</f>
        <v>0</v>
      </c>
      <c r="X553" s="50">
        <f>SUMIFS(INDEX(Техника!$F$1:$ABM$500,X$2,0),Техника!$F$4:$ABM$4,"Часы",INDEX(Техника!$G$1:$ABN$500,X$2,0),$A$550,INDEX(Техника!$H$1:$ABO$500,X$2,0),"П")</f>
        <v>0</v>
      </c>
      <c r="Y553" s="50">
        <f>SUMIFS(INDEX(Техника!$F$1:$ABM$500,Y$2,0),Техника!$F$4:$ABM$4,"Часы",INDEX(Техника!$G$1:$ABN$500,Y$2,0),$A$550,INDEX(Техника!$H$1:$ABO$500,Y$2,0),"П")</f>
        <v>0</v>
      </c>
      <c r="Z553" s="50">
        <f>SUMIFS(INDEX(Техника!$F$1:$ABM$500,Z$2,0),Техника!$F$4:$ABM$4,"Часы",INDEX(Техника!$G$1:$ABN$500,Z$2,0),$A$550,INDEX(Техника!$H$1:$ABO$500,Z$2,0),"П")</f>
        <v>0</v>
      </c>
      <c r="AA553" s="50">
        <f>SUMIFS(INDEX(Техника!$F$1:$ABM$500,AA$2,0),Техника!$F$4:$ABM$4,"Часы",INDEX(Техника!$G$1:$ABN$500,AA$2,0),$A$550,INDEX(Техника!$H$1:$ABO$500,AA$2,0),"П")</f>
        <v>0</v>
      </c>
      <c r="AB553" s="50">
        <f>SUMIFS(INDEX(Техника!$F$1:$ABM$500,AB$2,0),Техника!$F$4:$ABM$4,"Часы",INDEX(Техника!$G$1:$ABN$500,AB$2,0),$A$550,INDEX(Техника!$H$1:$ABO$500,AB$2,0),"П")</f>
        <v>0</v>
      </c>
    </row>
    <row r="554" spans="1:28" hidden="1" outlineLevel="1" x14ac:dyDescent="0.3">
      <c r="A554" s="33" t="s">
        <v>243</v>
      </c>
      <c r="B554" s="34" t="s">
        <v>278</v>
      </c>
      <c r="C554" s="50">
        <f>SUMIFS(INDEX(Техника!$F$1:$ABM$500,C$2,0),Техника!$F$4:$ABM$4,"Часы",INDEX(Техника!$G$1:$ABN$500,C$2,0),$A$550,INDEX(Техника!$H$1:$ABO$500,C$2,0),"Л")</f>
        <v>0</v>
      </c>
      <c r="D554" s="50">
        <f>SUMIFS(INDEX(Техника!$F$1:$ABM$500,D$2,0),Техника!$F$4:$ABM$4,"Часы",INDEX(Техника!$G$1:$ABN$500,D$2,0),$A$550,INDEX(Техника!$H$1:$ABO$500,D$2,0),"Л")</f>
        <v>0</v>
      </c>
      <c r="E554" s="50">
        <f>SUMIFS(INDEX(Техника!$F$1:$ABM$500,E$2,0),Техника!$F$4:$ABM$4,"Часы",INDEX(Техника!$G$1:$ABN$500,E$2,0),$A$550,INDEX(Техника!$H$1:$ABO$500,E$2,0),"Л")</f>
        <v>0</v>
      </c>
      <c r="F554" s="50">
        <f>SUMIFS(INDEX(Техника!$F$1:$ABM$500,F$2,0),Техника!$F$4:$ABM$4,"Часы",INDEX(Техника!$G$1:$ABN$500,F$2,0),$A$550,INDEX(Техника!$H$1:$ABO$500,F$2,0),"Л")</f>
        <v>0</v>
      </c>
      <c r="G554" s="50">
        <f>SUMIFS(INDEX(Техника!$F$1:$ABM$500,G$2,0),Техника!$F$4:$ABM$4,"Часы",INDEX(Техника!$G$1:$ABN$500,G$2,0),$A$550,INDEX(Техника!$H$1:$ABO$500,G$2,0),"Л")</f>
        <v>0</v>
      </c>
      <c r="H554" s="50">
        <f>SUMIFS(INDEX(Техника!$F$1:$ABM$500,H$2,0),Техника!$F$4:$ABM$4,"Часы",INDEX(Техника!$G$1:$ABN$500,H$2,0),$A$550,INDEX(Техника!$H$1:$ABO$500,H$2,0),"Л")</f>
        <v>0</v>
      </c>
      <c r="I554" s="50">
        <f>SUMIFS(INDEX(Техника!$F$1:$ABM$500,I$2,0),Техника!$F$4:$ABM$4,"Часы",INDEX(Техника!$G$1:$ABN$500,I$2,0),$A$550,INDEX(Техника!$H$1:$ABO$500,I$2,0),"Л")</f>
        <v>0</v>
      </c>
      <c r="J554" s="50">
        <f>SUMIFS(INDEX(Техника!$F$1:$ABM$500,J$2,0),Техника!$F$4:$ABM$4,"Часы",INDEX(Техника!$G$1:$ABN$500,J$2,0),$A$550,INDEX(Техника!$H$1:$ABO$500,J$2,0),"Л")</f>
        <v>0</v>
      </c>
      <c r="K554" s="50">
        <f>SUMIFS(INDEX(Техника!$F$1:$ABM$500,K$2,0),Техника!$F$4:$ABM$4,"Часы",INDEX(Техника!$G$1:$ABN$500,K$2,0),$A$550,INDEX(Техника!$H$1:$ABO$500,K$2,0),"Л")</f>
        <v>0</v>
      </c>
      <c r="L554" s="50">
        <f>SUMIFS(INDEX(Техника!$F$1:$ABM$500,L$2,0),Техника!$F$4:$ABM$4,"Часы",INDEX(Техника!$G$1:$ABN$500,L$2,0),$A$550,INDEX(Техника!$H$1:$ABO$500,L$2,0),"Л")</f>
        <v>0</v>
      </c>
      <c r="M554" s="50">
        <f>SUMIFS(INDEX(Техника!$F$1:$ABM$500,M$2,0),Техника!$F$4:$ABM$4,"Часы",INDEX(Техника!$G$1:$ABN$500,M$2,0),$A$550,INDEX(Техника!$H$1:$ABO$500,M$2,0),"Л")</f>
        <v>0</v>
      </c>
      <c r="N554" s="50">
        <f>SUMIFS(INDEX(Техника!$F$1:$ABM$500,N$2,0),Техника!$F$4:$ABM$4,"Часы",INDEX(Техника!$G$1:$ABN$500,N$2,0),$A$550,INDEX(Техника!$H$1:$ABO$500,N$2,0),"Л")</f>
        <v>0</v>
      </c>
      <c r="O554" s="50">
        <f>SUMIFS(INDEX(Техника!$F$1:$ABM$500,O$2,0),Техника!$F$4:$ABM$4,"Часы",INDEX(Техника!$G$1:$ABN$500,O$2,0),$A$550,INDEX(Техника!$H$1:$ABO$500,O$2,0),"Л")</f>
        <v>0</v>
      </c>
      <c r="P554" s="50">
        <f>SUMIFS(INDEX(Техника!$F$1:$ABM$500,P$2,0),Техника!$F$4:$ABM$4,"Часы",INDEX(Техника!$G$1:$ABN$500,P$2,0),$A$550,INDEX(Техника!$H$1:$ABO$500,P$2,0),"Л")</f>
        <v>0</v>
      </c>
      <c r="Q554" s="50">
        <f>SUMIFS(INDEX(Техника!$F$1:$ABM$500,Q$2,0),Техника!$F$4:$ABM$4,"Часы",INDEX(Техника!$G$1:$ABN$500,Q$2,0),$A$550,INDEX(Техника!$H$1:$ABO$500,Q$2,0),"Л")</f>
        <v>0</v>
      </c>
      <c r="R554" s="50">
        <f>SUMIFS(INDEX(Техника!$F$1:$ABM$500,R$2,0),Техника!$F$4:$ABM$4,"Часы",INDEX(Техника!$G$1:$ABN$500,R$2,0),$A$550,INDEX(Техника!$H$1:$ABO$500,R$2,0),"Л")</f>
        <v>0</v>
      </c>
      <c r="S554" s="50">
        <f>SUMIFS(INDEX(Техника!$F$1:$ABM$500,S$2,0),Техника!$F$4:$ABM$4,"Часы",INDEX(Техника!$G$1:$ABN$500,S$2,0),$A$550,INDEX(Техника!$H$1:$ABO$500,S$2,0),"Л")</f>
        <v>0</v>
      </c>
      <c r="T554" s="50">
        <f>SUMIFS(INDEX(Техника!$F$1:$ABM$500,T$2,0),Техника!$F$4:$ABM$4,"Часы",INDEX(Техника!$G$1:$ABN$500,T$2,0),$A$550,INDEX(Техника!$H$1:$ABO$500,T$2,0),"Л")</f>
        <v>0</v>
      </c>
      <c r="U554" s="50">
        <f>SUMIFS(INDEX(Техника!$F$1:$ABM$500,U$2,0),Техника!$F$4:$ABM$4,"Часы",INDEX(Техника!$G$1:$ABN$500,U$2,0),$A$550,INDEX(Техника!$H$1:$ABO$500,U$2,0),"Л")</f>
        <v>0</v>
      </c>
      <c r="V554" s="50">
        <f>SUMIFS(INDEX(Техника!$F$1:$ABM$500,V$2,0),Техника!$F$4:$ABM$4,"Часы",INDEX(Техника!$G$1:$ABN$500,V$2,0),$A$550,INDEX(Техника!$H$1:$ABO$500,V$2,0),"Л")</f>
        <v>0</v>
      </c>
      <c r="W554" s="50">
        <f>SUMIFS(INDEX(Техника!$F$1:$ABM$500,W$2,0),Техника!$F$4:$ABM$4,"Часы",INDEX(Техника!$G$1:$ABN$500,W$2,0),$A$550,INDEX(Техника!$H$1:$ABO$500,W$2,0),"Л")</f>
        <v>0</v>
      </c>
      <c r="X554" s="50">
        <f>SUMIFS(INDEX(Техника!$F$1:$ABM$500,X$2,0),Техника!$F$4:$ABM$4,"Часы",INDEX(Техника!$G$1:$ABN$500,X$2,0),$A$550,INDEX(Техника!$H$1:$ABO$500,X$2,0),"Л")</f>
        <v>0</v>
      </c>
      <c r="Y554" s="50">
        <f>SUMIFS(INDEX(Техника!$F$1:$ABM$500,Y$2,0),Техника!$F$4:$ABM$4,"Часы",INDEX(Техника!$G$1:$ABN$500,Y$2,0),$A$550,INDEX(Техника!$H$1:$ABO$500,Y$2,0),"Л")</f>
        <v>0</v>
      </c>
      <c r="Z554" s="50">
        <f>SUMIFS(INDEX(Техника!$F$1:$ABM$500,Z$2,0),Техника!$F$4:$ABM$4,"Часы",INDEX(Техника!$G$1:$ABN$500,Z$2,0),$A$550,INDEX(Техника!$H$1:$ABO$500,Z$2,0),"Л")</f>
        <v>0</v>
      </c>
      <c r="AA554" s="50">
        <f>SUMIFS(INDEX(Техника!$F$1:$ABM$500,AA$2,0),Техника!$F$4:$ABM$4,"Часы",INDEX(Техника!$G$1:$ABN$500,AA$2,0),$A$550,INDEX(Техника!$H$1:$ABO$500,AA$2,0),"Л")</f>
        <v>0</v>
      </c>
      <c r="AB554" s="50">
        <f>SUMIFS(INDEX(Техника!$F$1:$ABM$500,AB$2,0),Техника!$F$4:$ABM$4,"Часы",INDEX(Техника!$G$1:$ABN$500,AB$2,0),$A$550,INDEX(Техника!$H$1:$ABO$500,AB$2,0),"Л")</f>
        <v>0</v>
      </c>
    </row>
    <row r="555" spans="1:28" hidden="1" outlineLevel="1" x14ac:dyDescent="0.3">
      <c r="A555" s="33" t="s">
        <v>245</v>
      </c>
      <c r="B555" s="34" t="s">
        <v>279</v>
      </c>
      <c r="C555" s="50">
        <f>SUMIFS(INDEX(Техника!$F$1:$ABM$500,C$2,0),Техника!$F$4:$ABM$4,"Часы",INDEX(Техника!$G$1:$ABN$500,C$2,0),$A$550,INDEX(Техника!$H$1:$ABO$500,C$2,0),"З")</f>
        <v>0</v>
      </c>
      <c r="D555" s="50">
        <f>SUMIFS(INDEX(Техника!$F$1:$ABM$500,D$2,0),Техника!$F$4:$ABM$4,"Часы",INDEX(Техника!$G$1:$ABN$500,D$2,0),$A$550,INDEX(Техника!$H$1:$ABO$500,D$2,0),"З")</f>
        <v>0</v>
      </c>
      <c r="E555" s="50">
        <f>SUMIFS(INDEX(Техника!$F$1:$ABM$500,E$2,0),Техника!$F$4:$ABM$4,"Часы",INDEX(Техника!$G$1:$ABN$500,E$2,0),$A$550,INDEX(Техника!$H$1:$ABO$500,E$2,0),"З")</f>
        <v>0</v>
      </c>
      <c r="F555" s="50">
        <f>SUMIFS(INDEX(Техника!$F$1:$ABM$500,F$2,0),Техника!$F$4:$ABM$4,"Часы",INDEX(Техника!$G$1:$ABN$500,F$2,0),$A$550,INDEX(Техника!$H$1:$ABO$500,F$2,0),"З")</f>
        <v>0</v>
      </c>
      <c r="G555" s="50">
        <f>SUMIFS(INDEX(Техника!$F$1:$ABM$500,G$2,0),Техника!$F$4:$ABM$4,"Часы",INDEX(Техника!$G$1:$ABN$500,G$2,0),$A$550,INDEX(Техника!$H$1:$ABO$500,G$2,0),"З")</f>
        <v>0</v>
      </c>
      <c r="H555" s="50">
        <f>SUMIFS(INDEX(Техника!$F$1:$ABM$500,H$2,0),Техника!$F$4:$ABM$4,"Часы",INDEX(Техника!$G$1:$ABN$500,H$2,0),$A$550,INDEX(Техника!$H$1:$ABO$500,H$2,0),"З")</f>
        <v>0</v>
      </c>
      <c r="I555" s="50">
        <f>SUMIFS(INDEX(Техника!$F$1:$ABM$500,I$2,0),Техника!$F$4:$ABM$4,"Часы",INDEX(Техника!$G$1:$ABN$500,I$2,0),$A$550,INDEX(Техника!$H$1:$ABO$500,I$2,0),"З")</f>
        <v>0</v>
      </c>
      <c r="J555" s="50">
        <f>SUMIFS(INDEX(Техника!$F$1:$ABM$500,J$2,0),Техника!$F$4:$ABM$4,"Часы",INDEX(Техника!$G$1:$ABN$500,J$2,0),$A$550,INDEX(Техника!$H$1:$ABO$500,J$2,0),"З")</f>
        <v>0</v>
      </c>
      <c r="K555" s="50">
        <f>SUMIFS(INDEX(Техника!$F$1:$ABM$500,K$2,0),Техника!$F$4:$ABM$4,"Часы",INDEX(Техника!$G$1:$ABN$500,K$2,0),$A$550,INDEX(Техника!$H$1:$ABO$500,K$2,0),"З")</f>
        <v>0</v>
      </c>
      <c r="L555" s="50">
        <f>SUMIFS(INDEX(Техника!$F$1:$ABM$500,L$2,0),Техника!$F$4:$ABM$4,"Часы",INDEX(Техника!$G$1:$ABN$500,L$2,0),$A$550,INDEX(Техника!$H$1:$ABO$500,L$2,0),"З")</f>
        <v>0</v>
      </c>
      <c r="M555" s="50">
        <f>SUMIFS(INDEX(Техника!$F$1:$ABM$500,M$2,0),Техника!$F$4:$ABM$4,"Часы",INDEX(Техника!$G$1:$ABN$500,M$2,0),$A$550,INDEX(Техника!$H$1:$ABO$500,M$2,0),"З")</f>
        <v>0</v>
      </c>
      <c r="N555" s="50">
        <f>SUMIFS(INDEX(Техника!$F$1:$ABM$500,N$2,0),Техника!$F$4:$ABM$4,"Часы",INDEX(Техника!$G$1:$ABN$500,N$2,0),$A$550,INDEX(Техника!$H$1:$ABO$500,N$2,0),"З")</f>
        <v>0</v>
      </c>
      <c r="O555" s="50">
        <f>SUMIFS(INDEX(Техника!$F$1:$ABM$500,O$2,0),Техника!$F$4:$ABM$4,"Часы",INDEX(Техника!$G$1:$ABN$500,O$2,0),$A$550,INDEX(Техника!$H$1:$ABO$500,O$2,0),"З")</f>
        <v>0</v>
      </c>
      <c r="P555" s="50">
        <f>SUMIFS(INDEX(Техника!$F$1:$ABM$500,P$2,0),Техника!$F$4:$ABM$4,"Часы",INDEX(Техника!$G$1:$ABN$500,P$2,0),$A$550,INDEX(Техника!$H$1:$ABO$500,P$2,0),"З")</f>
        <v>0</v>
      </c>
      <c r="Q555" s="50">
        <f>SUMIFS(INDEX(Техника!$F$1:$ABM$500,Q$2,0),Техника!$F$4:$ABM$4,"Часы",INDEX(Техника!$G$1:$ABN$500,Q$2,0),$A$550,INDEX(Техника!$H$1:$ABO$500,Q$2,0),"З")</f>
        <v>0</v>
      </c>
      <c r="R555" s="50">
        <f>SUMIFS(INDEX(Техника!$F$1:$ABM$500,R$2,0),Техника!$F$4:$ABM$4,"Часы",INDEX(Техника!$G$1:$ABN$500,R$2,0),$A$550,INDEX(Техника!$H$1:$ABO$500,R$2,0),"З")</f>
        <v>0</v>
      </c>
      <c r="S555" s="50">
        <f>SUMIFS(INDEX(Техника!$F$1:$ABM$500,S$2,0),Техника!$F$4:$ABM$4,"Часы",INDEX(Техника!$G$1:$ABN$500,S$2,0),$A$550,INDEX(Техника!$H$1:$ABO$500,S$2,0),"З")</f>
        <v>0</v>
      </c>
      <c r="T555" s="50">
        <f>SUMIFS(INDEX(Техника!$F$1:$ABM$500,T$2,0),Техника!$F$4:$ABM$4,"Часы",INDEX(Техника!$G$1:$ABN$500,T$2,0),$A$550,INDEX(Техника!$H$1:$ABO$500,T$2,0),"З")</f>
        <v>0</v>
      </c>
      <c r="U555" s="50">
        <f>SUMIFS(INDEX(Техника!$F$1:$ABM$500,U$2,0),Техника!$F$4:$ABM$4,"Часы",INDEX(Техника!$G$1:$ABN$500,U$2,0),$A$550,INDEX(Техника!$H$1:$ABO$500,U$2,0),"З")</f>
        <v>0</v>
      </c>
      <c r="V555" s="50">
        <f>SUMIFS(INDEX(Техника!$F$1:$ABM$500,V$2,0),Техника!$F$4:$ABM$4,"Часы",INDEX(Техника!$G$1:$ABN$500,V$2,0),$A$550,INDEX(Техника!$H$1:$ABO$500,V$2,0),"З")</f>
        <v>0</v>
      </c>
      <c r="W555" s="50">
        <f>SUMIFS(INDEX(Техника!$F$1:$ABM$500,W$2,0),Техника!$F$4:$ABM$4,"Часы",INDEX(Техника!$G$1:$ABN$500,W$2,0),$A$550,INDEX(Техника!$H$1:$ABO$500,W$2,0),"З")</f>
        <v>0</v>
      </c>
      <c r="X555" s="50">
        <f>SUMIFS(INDEX(Техника!$F$1:$ABM$500,X$2,0),Техника!$F$4:$ABM$4,"Часы",INDEX(Техника!$G$1:$ABN$500,X$2,0),$A$550,INDEX(Техника!$H$1:$ABO$500,X$2,0),"З")</f>
        <v>0</v>
      </c>
      <c r="Y555" s="50">
        <f>SUMIFS(INDEX(Техника!$F$1:$ABM$500,Y$2,0),Техника!$F$4:$ABM$4,"Часы",INDEX(Техника!$G$1:$ABN$500,Y$2,0),$A$550,INDEX(Техника!$H$1:$ABO$500,Y$2,0),"З")</f>
        <v>0</v>
      </c>
      <c r="Z555" s="50">
        <f>SUMIFS(INDEX(Техника!$F$1:$ABM$500,Z$2,0),Техника!$F$4:$ABM$4,"Часы",INDEX(Техника!$G$1:$ABN$500,Z$2,0),$A$550,INDEX(Техника!$H$1:$ABO$500,Z$2,0),"З")</f>
        <v>0</v>
      </c>
      <c r="AA555" s="50">
        <f>SUMIFS(INDEX(Техника!$F$1:$ABM$500,AA$2,0),Техника!$F$4:$ABM$4,"Часы",INDEX(Техника!$G$1:$ABN$500,AA$2,0),$A$550,INDEX(Техника!$H$1:$ABO$500,AA$2,0),"З")</f>
        <v>0</v>
      </c>
      <c r="AB555" s="50">
        <f>SUMIFS(INDEX(Техника!$F$1:$ABM$500,AB$2,0),Техника!$F$4:$ABM$4,"Часы",INDEX(Техника!$G$1:$ABN$500,AB$2,0),$A$550,INDEX(Техника!$H$1:$ABO$500,AB$2,0),"З")</f>
        <v>0</v>
      </c>
    </row>
    <row r="556" spans="1:28" ht="7.95" customHeight="1" x14ac:dyDescent="0.3">
      <c r="A556" s="38"/>
      <c r="B556" s="39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</row>
    <row r="557" spans="1:28" ht="25.05" customHeight="1" collapsed="1" x14ac:dyDescent="0.3">
      <c r="A557" s="32">
        <v>80</v>
      </c>
      <c r="B557" s="32" t="s">
        <v>81</v>
      </c>
      <c r="C557" s="49">
        <f>SUM(C558:C562)</f>
        <v>0</v>
      </c>
      <c r="D557" s="49">
        <f>SUM(D558:D562)</f>
        <v>0</v>
      </c>
      <c r="E557" s="49">
        <f>SUM(E558:E562)</f>
        <v>0</v>
      </c>
      <c r="F557" s="49">
        <f>SUM(F558:F562)</f>
        <v>0</v>
      </c>
      <c r="G557" s="49">
        <f>SUM(G558:G562)</f>
        <v>0</v>
      </c>
      <c r="H557" s="49">
        <f>SUM(H558:H562)</f>
        <v>0</v>
      </c>
      <c r="I557" s="49">
        <f>SUM(I558:I562)</f>
        <v>0</v>
      </c>
      <c r="J557" s="49">
        <f>SUM(J558:J562)</f>
        <v>0</v>
      </c>
      <c r="K557" s="49">
        <f>SUM(K558:K562)</f>
        <v>0</v>
      </c>
      <c r="L557" s="49">
        <f>SUM(L558:L562)</f>
        <v>0</v>
      </c>
      <c r="M557" s="49">
        <f>SUM(M558:M562)</f>
        <v>0</v>
      </c>
      <c r="N557" s="49">
        <f>SUM(N558:N562)</f>
        <v>0</v>
      </c>
      <c r="O557" s="49">
        <f>SUM(O558:O562)</f>
        <v>0</v>
      </c>
      <c r="P557" s="49">
        <f>SUM(P558:P562)</f>
        <v>0</v>
      </c>
      <c r="Q557" s="49">
        <f>SUM(Q558:Q562)</f>
        <v>8</v>
      </c>
      <c r="R557" s="49">
        <f>SUM(R558:R562)</f>
        <v>0</v>
      </c>
      <c r="S557" s="49">
        <f>SUM(S558:S562)</f>
        <v>0</v>
      </c>
      <c r="T557" s="49">
        <f>SUM(T558:T562)</f>
        <v>0</v>
      </c>
      <c r="U557" s="49">
        <f>SUM(U558:U562)</f>
        <v>8</v>
      </c>
      <c r="V557" s="49">
        <f>SUM(V558:V562)</f>
        <v>0</v>
      </c>
      <c r="W557" s="49">
        <f>SUM(W558:W562)</f>
        <v>0</v>
      </c>
      <c r="X557" s="49">
        <f>SUM(X558:X562)</f>
        <v>0</v>
      </c>
      <c r="Y557" s="49">
        <f>SUM(Y558:Y562)</f>
        <v>0</v>
      </c>
      <c r="Z557" s="49">
        <f>SUM(Z558:Z562)</f>
        <v>0</v>
      </c>
      <c r="AA557" s="49">
        <f>SUM(AA558:AA562)</f>
        <v>0</v>
      </c>
      <c r="AB557" s="49">
        <f>SUM(AB558:AB562)</f>
        <v>0</v>
      </c>
    </row>
    <row r="558" spans="1:28" hidden="1" outlineLevel="1" x14ac:dyDescent="0.3">
      <c r="A558" s="33" t="s">
        <v>246</v>
      </c>
      <c r="B558" s="34" t="s">
        <v>274</v>
      </c>
      <c r="C558" s="50">
        <f>SUMIFS(INDEX(Техника!$F$1:$ABM$500,C$2,0),Техника!$F$4:$ABM$4,"Часы",INDEX(Техника!$G$1:$ABN$500,C$2,0),$A$557,INDEX(Техника!$H$1:$ABO$500,C$2,0),"М")</f>
        <v>0</v>
      </c>
      <c r="D558" s="50">
        <f>SUMIFS(INDEX(Техника!$F$1:$ABM$500,D$2,0),Техника!$F$4:$ABM$4,"Часы",INDEX(Техника!$G$1:$ABN$500,D$2,0),$A$557,INDEX(Техника!$H$1:$ABO$500,D$2,0),"М")</f>
        <v>0</v>
      </c>
      <c r="E558" s="50">
        <f>SUMIFS(INDEX(Техника!$F$1:$ABM$500,E$2,0),Техника!$F$4:$ABM$4,"Часы",INDEX(Техника!$G$1:$ABN$500,E$2,0),$A$557,INDEX(Техника!$H$1:$ABO$500,E$2,0),"М")</f>
        <v>0</v>
      </c>
      <c r="F558" s="50">
        <f>SUMIFS(INDEX(Техника!$F$1:$ABM$500,F$2,0),Техника!$F$4:$ABM$4,"Часы",INDEX(Техника!$G$1:$ABN$500,F$2,0),$A$557,INDEX(Техника!$H$1:$ABO$500,F$2,0),"М")</f>
        <v>0</v>
      </c>
      <c r="G558" s="50">
        <f>SUMIFS(INDEX(Техника!$F$1:$ABM$500,G$2,0),Техника!$F$4:$ABM$4,"Часы",INDEX(Техника!$G$1:$ABN$500,G$2,0),$A$557,INDEX(Техника!$H$1:$ABO$500,G$2,0),"М")</f>
        <v>0</v>
      </c>
      <c r="H558" s="50">
        <f>SUMIFS(INDEX(Техника!$F$1:$ABM$500,H$2,0),Техника!$F$4:$ABM$4,"Часы",INDEX(Техника!$G$1:$ABN$500,H$2,0),$A$557,INDEX(Техника!$H$1:$ABO$500,H$2,0),"М")</f>
        <v>0</v>
      </c>
      <c r="I558" s="50">
        <f>SUMIFS(INDEX(Техника!$F$1:$ABM$500,I$2,0),Техника!$F$4:$ABM$4,"Часы",INDEX(Техника!$G$1:$ABN$500,I$2,0),$A$557,INDEX(Техника!$H$1:$ABO$500,I$2,0),"М")</f>
        <v>0</v>
      </c>
      <c r="J558" s="50">
        <f>SUMIFS(INDEX(Техника!$F$1:$ABM$500,J$2,0),Техника!$F$4:$ABM$4,"Часы",INDEX(Техника!$G$1:$ABN$500,J$2,0),$A$557,INDEX(Техника!$H$1:$ABO$500,J$2,0),"М")</f>
        <v>0</v>
      </c>
      <c r="K558" s="50">
        <f>SUMIFS(INDEX(Техника!$F$1:$ABM$500,K$2,0),Техника!$F$4:$ABM$4,"Часы",INDEX(Техника!$G$1:$ABN$500,K$2,0),$A$557,INDEX(Техника!$H$1:$ABO$500,K$2,0),"М")</f>
        <v>0</v>
      </c>
      <c r="L558" s="50">
        <f>SUMIFS(INDEX(Техника!$F$1:$ABM$500,L$2,0),Техника!$F$4:$ABM$4,"Часы",INDEX(Техника!$G$1:$ABN$500,L$2,0),$A$557,INDEX(Техника!$H$1:$ABO$500,L$2,0),"М")</f>
        <v>0</v>
      </c>
      <c r="M558" s="50">
        <f>SUMIFS(INDEX(Техника!$F$1:$ABM$500,M$2,0),Техника!$F$4:$ABM$4,"Часы",INDEX(Техника!$G$1:$ABN$500,M$2,0),$A$557,INDEX(Техника!$H$1:$ABO$500,M$2,0),"М")</f>
        <v>0</v>
      </c>
      <c r="N558" s="50">
        <f>SUMIFS(INDEX(Техника!$F$1:$ABM$500,N$2,0),Техника!$F$4:$ABM$4,"Часы",INDEX(Техника!$G$1:$ABN$500,N$2,0),$A$557,INDEX(Техника!$H$1:$ABO$500,N$2,0),"М")</f>
        <v>0</v>
      </c>
      <c r="O558" s="50">
        <f>SUMIFS(INDEX(Техника!$F$1:$ABM$500,O$2,0),Техника!$F$4:$ABM$4,"Часы",INDEX(Техника!$G$1:$ABN$500,O$2,0),$A$557,INDEX(Техника!$H$1:$ABO$500,O$2,0),"М")</f>
        <v>0</v>
      </c>
      <c r="P558" s="50">
        <f>SUMIFS(INDEX(Техника!$F$1:$ABM$500,P$2,0),Техника!$F$4:$ABM$4,"Часы",INDEX(Техника!$G$1:$ABN$500,P$2,0),$A$557,INDEX(Техника!$H$1:$ABO$500,P$2,0),"М")</f>
        <v>0</v>
      </c>
      <c r="Q558" s="50">
        <f>SUMIFS(INDEX(Техника!$F$1:$ABM$500,Q$2,0),Техника!$F$4:$ABM$4,"Часы",INDEX(Техника!$G$1:$ABN$500,Q$2,0),$A$557,INDEX(Техника!$H$1:$ABO$500,Q$2,0),"М")</f>
        <v>0</v>
      </c>
      <c r="R558" s="50">
        <f>SUMIFS(INDEX(Техника!$F$1:$ABM$500,R$2,0),Техника!$F$4:$ABM$4,"Часы",INDEX(Техника!$G$1:$ABN$500,R$2,0),$A$557,INDEX(Техника!$H$1:$ABO$500,R$2,0),"М")</f>
        <v>0</v>
      </c>
      <c r="S558" s="50">
        <f>SUMIFS(INDEX(Техника!$F$1:$ABM$500,S$2,0),Техника!$F$4:$ABM$4,"Часы",INDEX(Техника!$G$1:$ABN$500,S$2,0),$A$557,INDEX(Техника!$H$1:$ABO$500,S$2,0),"М")</f>
        <v>0</v>
      </c>
      <c r="T558" s="50">
        <f>SUMIFS(INDEX(Техника!$F$1:$ABM$500,T$2,0),Техника!$F$4:$ABM$4,"Часы",INDEX(Техника!$G$1:$ABN$500,T$2,0),$A$557,INDEX(Техника!$H$1:$ABO$500,T$2,0),"М")</f>
        <v>0</v>
      </c>
      <c r="U558" s="50">
        <f>SUMIFS(INDEX(Техника!$F$1:$ABM$500,U$2,0),Техника!$F$4:$ABM$4,"Часы",INDEX(Техника!$G$1:$ABN$500,U$2,0),$A$557,INDEX(Техника!$H$1:$ABO$500,U$2,0),"М")</f>
        <v>0</v>
      </c>
      <c r="V558" s="50">
        <f>SUMIFS(INDEX(Техника!$F$1:$ABM$500,V$2,0),Техника!$F$4:$ABM$4,"Часы",INDEX(Техника!$G$1:$ABN$500,V$2,0),$A$557,INDEX(Техника!$H$1:$ABO$500,V$2,0),"М")</f>
        <v>0</v>
      </c>
      <c r="W558" s="50">
        <f>SUMIFS(INDEX(Техника!$F$1:$ABM$500,W$2,0),Техника!$F$4:$ABM$4,"Часы",INDEX(Техника!$G$1:$ABN$500,W$2,0),$A$557,INDEX(Техника!$H$1:$ABO$500,W$2,0),"М")</f>
        <v>0</v>
      </c>
      <c r="X558" s="50">
        <f>SUMIFS(INDEX(Техника!$F$1:$ABM$500,X$2,0),Техника!$F$4:$ABM$4,"Часы",INDEX(Техника!$G$1:$ABN$500,X$2,0),$A$557,INDEX(Техника!$H$1:$ABO$500,X$2,0),"М")</f>
        <v>0</v>
      </c>
      <c r="Y558" s="50">
        <f>SUMIFS(INDEX(Техника!$F$1:$ABM$500,Y$2,0),Техника!$F$4:$ABM$4,"Часы",INDEX(Техника!$G$1:$ABN$500,Y$2,0),$A$557,INDEX(Техника!$H$1:$ABO$500,Y$2,0),"М")</f>
        <v>0</v>
      </c>
      <c r="Z558" s="50">
        <f>SUMIFS(INDEX(Техника!$F$1:$ABM$500,Z$2,0),Техника!$F$4:$ABM$4,"Часы",INDEX(Техника!$G$1:$ABN$500,Z$2,0),$A$557,INDEX(Техника!$H$1:$ABO$500,Z$2,0),"М")</f>
        <v>0</v>
      </c>
      <c r="AA558" s="50">
        <f>SUMIFS(INDEX(Техника!$F$1:$ABM$500,AA$2,0),Техника!$F$4:$ABM$4,"Часы",INDEX(Техника!$G$1:$ABN$500,AA$2,0),$A$557,INDEX(Техника!$H$1:$ABO$500,AA$2,0),"М")</f>
        <v>0</v>
      </c>
      <c r="AB558" s="50">
        <f>SUMIFS(INDEX(Техника!$F$1:$ABM$500,AB$2,0),Техника!$F$4:$ABM$4,"Часы",INDEX(Техника!$G$1:$ABN$500,AB$2,0),$A$557,INDEX(Техника!$H$1:$ABO$500,AB$2,0),"М")</f>
        <v>0</v>
      </c>
    </row>
    <row r="559" spans="1:28" hidden="1" outlineLevel="1" x14ac:dyDescent="0.3">
      <c r="A559" s="33" t="s">
        <v>244</v>
      </c>
      <c r="B559" s="34" t="s">
        <v>275</v>
      </c>
      <c r="C559" s="50">
        <f>SUMIFS(INDEX(Техника!$F$1:$ABM$500,C$2,0),Техника!$F$4:$ABM$4,"Часы",INDEX(Техника!$G$1:$ABN$500,C$2,0),$A$557,INDEX(Техника!$H$1:$ABO$500,C$2,0),"Д")</f>
        <v>0</v>
      </c>
      <c r="D559" s="50">
        <f>SUMIFS(INDEX(Техника!$F$1:$ABM$500,D$2,0),Техника!$F$4:$ABM$4,"Часы",INDEX(Техника!$G$1:$ABN$500,D$2,0),$A$557,INDEX(Техника!$H$1:$ABO$500,D$2,0),"Д")</f>
        <v>0</v>
      </c>
      <c r="E559" s="50">
        <f>SUMIFS(INDEX(Техника!$F$1:$ABM$500,E$2,0),Техника!$F$4:$ABM$4,"Часы",INDEX(Техника!$G$1:$ABN$500,E$2,0),$A$557,INDEX(Техника!$H$1:$ABO$500,E$2,0),"Д")</f>
        <v>0</v>
      </c>
      <c r="F559" s="50">
        <f>SUMIFS(INDEX(Техника!$F$1:$ABM$500,F$2,0),Техника!$F$4:$ABM$4,"Часы",INDEX(Техника!$G$1:$ABN$500,F$2,0),$A$557,INDEX(Техника!$H$1:$ABO$500,F$2,0),"Д")</f>
        <v>0</v>
      </c>
      <c r="G559" s="50">
        <f>SUMIFS(INDEX(Техника!$F$1:$ABM$500,G$2,0),Техника!$F$4:$ABM$4,"Часы",INDEX(Техника!$G$1:$ABN$500,G$2,0),$A$557,INDEX(Техника!$H$1:$ABO$500,G$2,0),"Д")</f>
        <v>0</v>
      </c>
      <c r="H559" s="50">
        <f>SUMIFS(INDEX(Техника!$F$1:$ABM$500,H$2,0),Техника!$F$4:$ABM$4,"Часы",INDEX(Техника!$G$1:$ABN$500,H$2,0),$A$557,INDEX(Техника!$H$1:$ABO$500,H$2,0),"Д")</f>
        <v>0</v>
      </c>
      <c r="I559" s="50">
        <f>SUMIFS(INDEX(Техника!$F$1:$ABM$500,I$2,0),Техника!$F$4:$ABM$4,"Часы",INDEX(Техника!$G$1:$ABN$500,I$2,0),$A$557,INDEX(Техника!$H$1:$ABO$500,I$2,0),"Д")</f>
        <v>0</v>
      </c>
      <c r="J559" s="50">
        <f>SUMIFS(INDEX(Техника!$F$1:$ABM$500,J$2,0),Техника!$F$4:$ABM$4,"Часы",INDEX(Техника!$G$1:$ABN$500,J$2,0),$A$557,INDEX(Техника!$H$1:$ABO$500,J$2,0),"Д")</f>
        <v>0</v>
      </c>
      <c r="K559" s="50">
        <f>SUMIFS(INDEX(Техника!$F$1:$ABM$500,K$2,0),Техника!$F$4:$ABM$4,"Часы",INDEX(Техника!$G$1:$ABN$500,K$2,0),$A$557,INDEX(Техника!$H$1:$ABO$500,K$2,0),"Д")</f>
        <v>0</v>
      </c>
      <c r="L559" s="50">
        <f>SUMIFS(INDEX(Техника!$F$1:$ABM$500,L$2,0),Техника!$F$4:$ABM$4,"Часы",INDEX(Техника!$G$1:$ABN$500,L$2,0),$A$557,INDEX(Техника!$H$1:$ABO$500,L$2,0),"Д")</f>
        <v>0</v>
      </c>
      <c r="M559" s="50">
        <f>SUMIFS(INDEX(Техника!$F$1:$ABM$500,M$2,0),Техника!$F$4:$ABM$4,"Часы",INDEX(Техника!$G$1:$ABN$500,M$2,0),$A$557,INDEX(Техника!$H$1:$ABO$500,M$2,0),"Д")</f>
        <v>0</v>
      </c>
      <c r="N559" s="50">
        <f>SUMIFS(INDEX(Техника!$F$1:$ABM$500,N$2,0),Техника!$F$4:$ABM$4,"Часы",INDEX(Техника!$G$1:$ABN$500,N$2,0),$A$557,INDEX(Техника!$H$1:$ABO$500,N$2,0),"Д")</f>
        <v>0</v>
      </c>
      <c r="O559" s="50">
        <f>SUMIFS(INDEX(Техника!$F$1:$ABM$500,O$2,0),Техника!$F$4:$ABM$4,"Часы",INDEX(Техника!$G$1:$ABN$500,O$2,0),$A$557,INDEX(Техника!$H$1:$ABO$500,O$2,0),"Д")</f>
        <v>0</v>
      </c>
      <c r="P559" s="50">
        <f>SUMIFS(INDEX(Техника!$F$1:$ABM$500,P$2,0),Техника!$F$4:$ABM$4,"Часы",INDEX(Техника!$G$1:$ABN$500,P$2,0),$A$557,INDEX(Техника!$H$1:$ABO$500,P$2,0),"Д")</f>
        <v>0</v>
      </c>
      <c r="Q559" s="50">
        <f>SUMIFS(INDEX(Техника!$F$1:$ABM$500,Q$2,0),Техника!$F$4:$ABM$4,"Часы",INDEX(Техника!$G$1:$ABN$500,Q$2,0),$A$557,INDEX(Техника!$H$1:$ABO$500,Q$2,0),"Д")</f>
        <v>0</v>
      </c>
      <c r="R559" s="50">
        <f>SUMIFS(INDEX(Техника!$F$1:$ABM$500,R$2,0),Техника!$F$4:$ABM$4,"Часы",INDEX(Техника!$G$1:$ABN$500,R$2,0),$A$557,INDEX(Техника!$H$1:$ABO$500,R$2,0),"Д")</f>
        <v>0</v>
      </c>
      <c r="S559" s="50">
        <f>SUMIFS(INDEX(Техника!$F$1:$ABM$500,S$2,0),Техника!$F$4:$ABM$4,"Часы",INDEX(Техника!$G$1:$ABN$500,S$2,0),$A$557,INDEX(Техника!$H$1:$ABO$500,S$2,0),"Д")</f>
        <v>0</v>
      </c>
      <c r="T559" s="50">
        <f>SUMIFS(INDEX(Техника!$F$1:$ABM$500,T$2,0),Техника!$F$4:$ABM$4,"Часы",INDEX(Техника!$G$1:$ABN$500,T$2,0),$A$557,INDEX(Техника!$H$1:$ABO$500,T$2,0),"Д")</f>
        <v>0</v>
      </c>
      <c r="U559" s="50">
        <f>SUMIFS(INDEX(Техника!$F$1:$ABM$500,U$2,0),Техника!$F$4:$ABM$4,"Часы",INDEX(Техника!$G$1:$ABN$500,U$2,0),$A$557,INDEX(Техника!$H$1:$ABO$500,U$2,0),"Д")</f>
        <v>8</v>
      </c>
      <c r="V559" s="50">
        <f>SUMIFS(INDEX(Техника!$F$1:$ABM$500,V$2,0),Техника!$F$4:$ABM$4,"Часы",INDEX(Техника!$G$1:$ABN$500,V$2,0),$A$557,INDEX(Техника!$H$1:$ABO$500,V$2,0),"Д")</f>
        <v>0</v>
      </c>
      <c r="W559" s="50">
        <f>SUMIFS(INDEX(Техника!$F$1:$ABM$500,W$2,0),Техника!$F$4:$ABM$4,"Часы",INDEX(Техника!$G$1:$ABN$500,W$2,0),$A$557,INDEX(Техника!$H$1:$ABO$500,W$2,0),"Д")</f>
        <v>0</v>
      </c>
      <c r="X559" s="50">
        <f>SUMIFS(INDEX(Техника!$F$1:$ABM$500,X$2,0),Техника!$F$4:$ABM$4,"Часы",INDEX(Техника!$G$1:$ABN$500,X$2,0),$A$557,INDEX(Техника!$H$1:$ABO$500,X$2,0),"Д")</f>
        <v>0</v>
      </c>
      <c r="Y559" s="50">
        <f>SUMIFS(INDEX(Техника!$F$1:$ABM$500,Y$2,0),Техника!$F$4:$ABM$4,"Часы",INDEX(Техника!$G$1:$ABN$500,Y$2,0),$A$557,INDEX(Техника!$H$1:$ABO$500,Y$2,0),"Д")</f>
        <v>0</v>
      </c>
      <c r="Z559" s="50">
        <f>SUMIFS(INDEX(Техника!$F$1:$ABM$500,Z$2,0),Техника!$F$4:$ABM$4,"Часы",INDEX(Техника!$G$1:$ABN$500,Z$2,0),$A$557,INDEX(Техника!$H$1:$ABO$500,Z$2,0),"Д")</f>
        <v>0</v>
      </c>
      <c r="AA559" s="50">
        <f>SUMIFS(INDEX(Техника!$F$1:$ABM$500,AA$2,0),Техника!$F$4:$ABM$4,"Часы",INDEX(Техника!$G$1:$ABN$500,AA$2,0),$A$557,INDEX(Техника!$H$1:$ABO$500,AA$2,0),"Д")</f>
        <v>0</v>
      </c>
      <c r="AB559" s="50">
        <f>SUMIFS(INDEX(Техника!$F$1:$ABM$500,AB$2,0),Техника!$F$4:$ABM$4,"Часы",INDEX(Техника!$G$1:$ABN$500,AB$2,0),$A$557,INDEX(Техника!$H$1:$ABO$500,AB$2,0),"Д")</f>
        <v>0</v>
      </c>
    </row>
    <row r="560" spans="1:28" hidden="1" outlineLevel="1" x14ac:dyDescent="0.3">
      <c r="A560" s="33" t="s">
        <v>276</v>
      </c>
      <c r="B560" s="34" t="s">
        <v>277</v>
      </c>
      <c r="C560" s="50">
        <f>SUMIFS(INDEX(Техника!$F$1:$ABM$500,C$2,0),Техника!$F$4:$ABM$4,"Часы",INDEX(Техника!$G$1:$ABN$500,C$2,0),$A$557,INDEX(Техника!$H$1:$ABO$500,C$2,0),"П")</f>
        <v>0</v>
      </c>
      <c r="D560" s="50">
        <f>SUMIFS(INDEX(Техника!$F$1:$ABM$500,D$2,0),Техника!$F$4:$ABM$4,"Часы",INDEX(Техника!$G$1:$ABN$500,D$2,0),$A$557,INDEX(Техника!$H$1:$ABO$500,D$2,0),"П")</f>
        <v>0</v>
      </c>
      <c r="E560" s="50">
        <f>SUMIFS(INDEX(Техника!$F$1:$ABM$500,E$2,0),Техника!$F$4:$ABM$4,"Часы",INDEX(Техника!$G$1:$ABN$500,E$2,0),$A$557,INDEX(Техника!$H$1:$ABO$500,E$2,0),"П")</f>
        <v>0</v>
      </c>
      <c r="F560" s="50">
        <f>SUMIFS(INDEX(Техника!$F$1:$ABM$500,F$2,0),Техника!$F$4:$ABM$4,"Часы",INDEX(Техника!$G$1:$ABN$500,F$2,0),$A$557,INDEX(Техника!$H$1:$ABO$500,F$2,0),"П")</f>
        <v>0</v>
      </c>
      <c r="G560" s="50">
        <f>SUMIFS(INDEX(Техника!$F$1:$ABM$500,G$2,0),Техника!$F$4:$ABM$4,"Часы",INDEX(Техника!$G$1:$ABN$500,G$2,0),$A$557,INDEX(Техника!$H$1:$ABO$500,G$2,0),"П")</f>
        <v>0</v>
      </c>
      <c r="H560" s="50">
        <f>SUMIFS(INDEX(Техника!$F$1:$ABM$500,H$2,0),Техника!$F$4:$ABM$4,"Часы",INDEX(Техника!$G$1:$ABN$500,H$2,0),$A$557,INDEX(Техника!$H$1:$ABO$500,H$2,0),"П")</f>
        <v>0</v>
      </c>
      <c r="I560" s="50">
        <f>SUMIFS(INDEX(Техника!$F$1:$ABM$500,I$2,0),Техника!$F$4:$ABM$4,"Часы",INDEX(Техника!$G$1:$ABN$500,I$2,0),$A$557,INDEX(Техника!$H$1:$ABO$500,I$2,0),"П")</f>
        <v>0</v>
      </c>
      <c r="J560" s="50">
        <f>SUMIFS(INDEX(Техника!$F$1:$ABM$500,J$2,0),Техника!$F$4:$ABM$4,"Часы",INDEX(Техника!$G$1:$ABN$500,J$2,0),$A$557,INDEX(Техника!$H$1:$ABO$500,J$2,0),"П")</f>
        <v>0</v>
      </c>
      <c r="K560" s="50">
        <f>SUMIFS(INDEX(Техника!$F$1:$ABM$500,K$2,0),Техника!$F$4:$ABM$4,"Часы",INDEX(Техника!$G$1:$ABN$500,K$2,0),$A$557,INDEX(Техника!$H$1:$ABO$500,K$2,0),"П")</f>
        <v>0</v>
      </c>
      <c r="L560" s="50">
        <f>SUMIFS(INDEX(Техника!$F$1:$ABM$500,L$2,0),Техника!$F$4:$ABM$4,"Часы",INDEX(Техника!$G$1:$ABN$500,L$2,0),$A$557,INDEX(Техника!$H$1:$ABO$500,L$2,0),"П")</f>
        <v>0</v>
      </c>
      <c r="M560" s="50">
        <f>SUMIFS(INDEX(Техника!$F$1:$ABM$500,M$2,0),Техника!$F$4:$ABM$4,"Часы",INDEX(Техника!$G$1:$ABN$500,M$2,0),$A$557,INDEX(Техника!$H$1:$ABO$500,M$2,0),"П")</f>
        <v>0</v>
      </c>
      <c r="N560" s="50">
        <f>SUMIFS(INDEX(Техника!$F$1:$ABM$500,N$2,0),Техника!$F$4:$ABM$4,"Часы",INDEX(Техника!$G$1:$ABN$500,N$2,0),$A$557,INDEX(Техника!$H$1:$ABO$500,N$2,0),"П")</f>
        <v>0</v>
      </c>
      <c r="O560" s="50">
        <f>SUMIFS(INDEX(Техника!$F$1:$ABM$500,O$2,0),Техника!$F$4:$ABM$4,"Часы",INDEX(Техника!$G$1:$ABN$500,O$2,0),$A$557,INDEX(Техника!$H$1:$ABO$500,O$2,0),"П")</f>
        <v>0</v>
      </c>
      <c r="P560" s="50">
        <f>SUMIFS(INDEX(Техника!$F$1:$ABM$500,P$2,0),Техника!$F$4:$ABM$4,"Часы",INDEX(Техника!$G$1:$ABN$500,P$2,0),$A$557,INDEX(Техника!$H$1:$ABO$500,P$2,0),"П")</f>
        <v>0</v>
      </c>
      <c r="Q560" s="50">
        <f>SUMIFS(INDEX(Техника!$F$1:$ABM$500,Q$2,0),Техника!$F$4:$ABM$4,"Часы",INDEX(Техника!$G$1:$ABN$500,Q$2,0),$A$557,INDEX(Техника!$H$1:$ABO$500,Q$2,0),"П")</f>
        <v>8</v>
      </c>
      <c r="R560" s="50">
        <f>SUMIFS(INDEX(Техника!$F$1:$ABM$500,R$2,0),Техника!$F$4:$ABM$4,"Часы",INDEX(Техника!$G$1:$ABN$500,R$2,0),$A$557,INDEX(Техника!$H$1:$ABO$500,R$2,0),"П")</f>
        <v>0</v>
      </c>
      <c r="S560" s="50">
        <f>SUMIFS(INDEX(Техника!$F$1:$ABM$500,S$2,0),Техника!$F$4:$ABM$4,"Часы",INDEX(Техника!$G$1:$ABN$500,S$2,0),$A$557,INDEX(Техника!$H$1:$ABO$500,S$2,0),"П")</f>
        <v>0</v>
      </c>
      <c r="T560" s="50">
        <f>SUMIFS(INDEX(Техника!$F$1:$ABM$500,T$2,0),Техника!$F$4:$ABM$4,"Часы",INDEX(Техника!$G$1:$ABN$500,T$2,0),$A$557,INDEX(Техника!$H$1:$ABO$500,T$2,0),"П")</f>
        <v>0</v>
      </c>
      <c r="U560" s="50">
        <f>SUMIFS(INDEX(Техника!$F$1:$ABM$500,U$2,0),Техника!$F$4:$ABM$4,"Часы",INDEX(Техника!$G$1:$ABN$500,U$2,0),$A$557,INDEX(Техника!$H$1:$ABO$500,U$2,0),"П")</f>
        <v>0</v>
      </c>
      <c r="V560" s="50">
        <f>SUMIFS(INDEX(Техника!$F$1:$ABM$500,V$2,0),Техника!$F$4:$ABM$4,"Часы",INDEX(Техника!$G$1:$ABN$500,V$2,0),$A$557,INDEX(Техника!$H$1:$ABO$500,V$2,0),"П")</f>
        <v>0</v>
      </c>
      <c r="W560" s="50">
        <f>SUMIFS(INDEX(Техника!$F$1:$ABM$500,W$2,0),Техника!$F$4:$ABM$4,"Часы",INDEX(Техника!$G$1:$ABN$500,W$2,0),$A$557,INDEX(Техника!$H$1:$ABO$500,W$2,0),"П")</f>
        <v>0</v>
      </c>
      <c r="X560" s="50">
        <f>SUMIFS(INDEX(Техника!$F$1:$ABM$500,X$2,0),Техника!$F$4:$ABM$4,"Часы",INDEX(Техника!$G$1:$ABN$500,X$2,0),$A$557,INDEX(Техника!$H$1:$ABO$500,X$2,0),"П")</f>
        <v>0</v>
      </c>
      <c r="Y560" s="50">
        <f>SUMIFS(INDEX(Техника!$F$1:$ABM$500,Y$2,0),Техника!$F$4:$ABM$4,"Часы",INDEX(Техника!$G$1:$ABN$500,Y$2,0),$A$557,INDEX(Техника!$H$1:$ABO$500,Y$2,0),"П")</f>
        <v>0</v>
      </c>
      <c r="Z560" s="50">
        <f>SUMIFS(INDEX(Техника!$F$1:$ABM$500,Z$2,0),Техника!$F$4:$ABM$4,"Часы",INDEX(Техника!$G$1:$ABN$500,Z$2,0),$A$557,INDEX(Техника!$H$1:$ABO$500,Z$2,0),"П")</f>
        <v>0</v>
      </c>
      <c r="AA560" s="50">
        <f>SUMIFS(INDEX(Техника!$F$1:$ABM$500,AA$2,0),Техника!$F$4:$ABM$4,"Часы",INDEX(Техника!$G$1:$ABN$500,AA$2,0),$A$557,INDEX(Техника!$H$1:$ABO$500,AA$2,0),"П")</f>
        <v>0</v>
      </c>
      <c r="AB560" s="50">
        <f>SUMIFS(INDEX(Техника!$F$1:$ABM$500,AB$2,0),Техника!$F$4:$ABM$4,"Часы",INDEX(Техника!$G$1:$ABN$500,AB$2,0),$A$557,INDEX(Техника!$H$1:$ABO$500,AB$2,0),"П")</f>
        <v>0</v>
      </c>
    </row>
    <row r="561" spans="1:28" hidden="1" outlineLevel="1" x14ac:dyDescent="0.3">
      <c r="A561" s="33" t="s">
        <v>243</v>
      </c>
      <c r="B561" s="34" t="s">
        <v>278</v>
      </c>
      <c r="C561" s="50">
        <f>SUMIFS(INDEX(Техника!$F$1:$ABM$500,C$2,0),Техника!$F$4:$ABM$4,"Часы",INDEX(Техника!$G$1:$ABN$500,C$2,0),$A$557,INDEX(Техника!$H$1:$ABO$500,C$2,0),"Л")</f>
        <v>0</v>
      </c>
      <c r="D561" s="50">
        <f>SUMIFS(INDEX(Техника!$F$1:$ABM$500,D$2,0),Техника!$F$4:$ABM$4,"Часы",INDEX(Техника!$G$1:$ABN$500,D$2,0),$A$557,INDEX(Техника!$H$1:$ABO$500,D$2,0),"Л")</f>
        <v>0</v>
      </c>
      <c r="E561" s="50">
        <f>SUMIFS(INDEX(Техника!$F$1:$ABM$500,E$2,0),Техника!$F$4:$ABM$4,"Часы",INDEX(Техника!$G$1:$ABN$500,E$2,0),$A$557,INDEX(Техника!$H$1:$ABO$500,E$2,0),"Л")</f>
        <v>0</v>
      </c>
      <c r="F561" s="50">
        <f>SUMIFS(INDEX(Техника!$F$1:$ABM$500,F$2,0),Техника!$F$4:$ABM$4,"Часы",INDEX(Техника!$G$1:$ABN$500,F$2,0),$A$557,INDEX(Техника!$H$1:$ABO$500,F$2,0),"Л")</f>
        <v>0</v>
      </c>
      <c r="G561" s="50">
        <f>SUMIFS(INDEX(Техника!$F$1:$ABM$500,G$2,0),Техника!$F$4:$ABM$4,"Часы",INDEX(Техника!$G$1:$ABN$500,G$2,0),$A$557,INDEX(Техника!$H$1:$ABO$500,G$2,0),"Л")</f>
        <v>0</v>
      </c>
      <c r="H561" s="50">
        <f>SUMIFS(INDEX(Техника!$F$1:$ABM$500,H$2,0),Техника!$F$4:$ABM$4,"Часы",INDEX(Техника!$G$1:$ABN$500,H$2,0),$A$557,INDEX(Техника!$H$1:$ABO$500,H$2,0),"Л")</f>
        <v>0</v>
      </c>
      <c r="I561" s="50">
        <f>SUMIFS(INDEX(Техника!$F$1:$ABM$500,I$2,0),Техника!$F$4:$ABM$4,"Часы",INDEX(Техника!$G$1:$ABN$500,I$2,0),$A$557,INDEX(Техника!$H$1:$ABO$500,I$2,0),"Л")</f>
        <v>0</v>
      </c>
      <c r="J561" s="50">
        <f>SUMIFS(INDEX(Техника!$F$1:$ABM$500,J$2,0),Техника!$F$4:$ABM$4,"Часы",INDEX(Техника!$G$1:$ABN$500,J$2,0),$A$557,INDEX(Техника!$H$1:$ABO$500,J$2,0),"Л")</f>
        <v>0</v>
      </c>
      <c r="K561" s="50">
        <f>SUMIFS(INDEX(Техника!$F$1:$ABM$500,K$2,0),Техника!$F$4:$ABM$4,"Часы",INDEX(Техника!$G$1:$ABN$500,K$2,0),$A$557,INDEX(Техника!$H$1:$ABO$500,K$2,0),"Л")</f>
        <v>0</v>
      </c>
      <c r="L561" s="50">
        <f>SUMIFS(INDEX(Техника!$F$1:$ABM$500,L$2,0),Техника!$F$4:$ABM$4,"Часы",INDEX(Техника!$G$1:$ABN$500,L$2,0),$A$557,INDEX(Техника!$H$1:$ABO$500,L$2,0),"Л")</f>
        <v>0</v>
      </c>
      <c r="M561" s="50">
        <f>SUMIFS(INDEX(Техника!$F$1:$ABM$500,M$2,0),Техника!$F$4:$ABM$4,"Часы",INDEX(Техника!$G$1:$ABN$500,M$2,0),$A$557,INDEX(Техника!$H$1:$ABO$500,M$2,0),"Л")</f>
        <v>0</v>
      </c>
      <c r="N561" s="50">
        <f>SUMIFS(INDEX(Техника!$F$1:$ABM$500,N$2,0),Техника!$F$4:$ABM$4,"Часы",INDEX(Техника!$G$1:$ABN$500,N$2,0),$A$557,INDEX(Техника!$H$1:$ABO$500,N$2,0),"Л")</f>
        <v>0</v>
      </c>
      <c r="O561" s="50">
        <f>SUMIFS(INDEX(Техника!$F$1:$ABM$500,O$2,0),Техника!$F$4:$ABM$4,"Часы",INDEX(Техника!$G$1:$ABN$500,O$2,0),$A$557,INDEX(Техника!$H$1:$ABO$500,O$2,0),"Л")</f>
        <v>0</v>
      </c>
      <c r="P561" s="50">
        <f>SUMIFS(INDEX(Техника!$F$1:$ABM$500,P$2,0),Техника!$F$4:$ABM$4,"Часы",INDEX(Техника!$G$1:$ABN$500,P$2,0),$A$557,INDEX(Техника!$H$1:$ABO$500,P$2,0),"Л")</f>
        <v>0</v>
      </c>
      <c r="Q561" s="50">
        <f>SUMIFS(INDEX(Техника!$F$1:$ABM$500,Q$2,0),Техника!$F$4:$ABM$4,"Часы",INDEX(Техника!$G$1:$ABN$500,Q$2,0),$A$557,INDEX(Техника!$H$1:$ABO$500,Q$2,0),"Л")</f>
        <v>0</v>
      </c>
      <c r="R561" s="50">
        <f>SUMIFS(INDEX(Техника!$F$1:$ABM$500,R$2,0),Техника!$F$4:$ABM$4,"Часы",INDEX(Техника!$G$1:$ABN$500,R$2,0),$A$557,INDEX(Техника!$H$1:$ABO$500,R$2,0),"Л")</f>
        <v>0</v>
      </c>
      <c r="S561" s="50">
        <f>SUMIFS(INDEX(Техника!$F$1:$ABM$500,S$2,0),Техника!$F$4:$ABM$4,"Часы",INDEX(Техника!$G$1:$ABN$500,S$2,0),$A$557,INDEX(Техника!$H$1:$ABO$500,S$2,0),"Л")</f>
        <v>0</v>
      </c>
      <c r="T561" s="50">
        <f>SUMIFS(INDEX(Техника!$F$1:$ABM$500,T$2,0),Техника!$F$4:$ABM$4,"Часы",INDEX(Техника!$G$1:$ABN$500,T$2,0),$A$557,INDEX(Техника!$H$1:$ABO$500,T$2,0),"Л")</f>
        <v>0</v>
      </c>
      <c r="U561" s="50">
        <f>SUMIFS(INDEX(Техника!$F$1:$ABM$500,U$2,0),Техника!$F$4:$ABM$4,"Часы",INDEX(Техника!$G$1:$ABN$500,U$2,0),$A$557,INDEX(Техника!$H$1:$ABO$500,U$2,0),"Л")</f>
        <v>0</v>
      </c>
      <c r="V561" s="50">
        <f>SUMIFS(INDEX(Техника!$F$1:$ABM$500,V$2,0),Техника!$F$4:$ABM$4,"Часы",INDEX(Техника!$G$1:$ABN$500,V$2,0),$A$557,INDEX(Техника!$H$1:$ABO$500,V$2,0),"Л")</f>
        <v>0</v>
      </c>
      <c r="W561" s="50">
        <f>SUMIFS(INDEX(Техника!$F$1:$ABM$500,W$2,0),Техника!$F$4:$ABM$4,"Часы",INDEX(Техника!$G$1:$ABN$500,W$2,0),$A$557,INDEX(Техника!$H$1:$ABO$500,W$2,0),"Л")</f>
        <v>0</v>
      </c>
      <c r="X561" s="50">
        <f>SUMIFS(INDEX(Техника!$F$1:$ABM$500,X$2,0),Техника!$F$4:$ABM$4,"Часы",INDEX(Техника!$G$1:$ABN$500,X$2,0),$A$557,INDEX(Техника!$H$1:$ABO$500,X$2,0),"Л")</f>
        <v>0</v>
      </c>
      <c r="Y561" s="50">
        <f>SUMIFS(INDEX(Техника!$F$1:$ABM$500,Y$2,0),Техника!$F$4:$ABM$4,"Часы",INDEX(Техника!$G$1:$ABN$500,Y$2,0),$A$557,INDEX(Техника!$H$1:$ABO$500,Y$2,0),"Л")</f>
        <v>0</v>
      </c>
      <c r="Z561" s="50">
        <f>SUMIFS(INDEX(Техника!$F$1:$ABM$500,Z$2,0),Техника!$F$4:$ABM$4,"Часы",INDEX(Техника!$G$1:$ABN$500,Z$2,0),$A$557,INDEX(Техника!$H$1:$ABO$500,Z$2,0),"Л")</f>
        <v>0</v>
      </c>
      <c r="AA561" s="50">
        <f>SUMIFS(INDEX(Техника!$F$1:$ABM$500,AA$2,0),Техника!$F$4:$ABM$4,"Часы",INDEX(Техника!$G$1:$ABN$500,AA$2,0),$A$557,INDEX(Техника!$H$1:$ABO$500,AA$2,0),"Л")</f>
        <v>0</v>
      </c>
      <c r="AB561" s="50">
        <f>SUMIFS(INDEX(Техника!$F$1:$ABM$500,AB$2,0),Техника!$F$4:$ABM$4,"Часы",INDEX(Техника!$G$1:$ABN$500,AB$2,0),$A$557,INDEX(Техника!$H$1:$ABO$500,AB$2,0),"Л")</f>
        <v>0</v>
      </c>
    </row>
    <row r="562" spans="1:28" hidden="1" outlineLevel="1" x14ac:dyDescent="0.3">
      <c r="A562" s="33" t="s">
        <v>245</v>
      </c>
      <c r="B562" s="34" t="s">
        <v>279</v>
      </c>
      <c r="C562" s="50">
        <f>SUMIFS(INDEX(Техника!$F$1:$ABM$500,C$2,0),Техника!$F$4:$ABM$4,"Часы",INDEX(Техника!$G$1:$ABN$500,C$2,0),$A$557,INDEX(Техника!$H$1:$ABO$500,C$2,0),"З")</f>
        <v>0</v>
      </c>
      <c r="D562" s="50">
        <f>SUMIFS(INDEX(Техника!$F$1:$ABM$500,D$2,0),Техника!$F$4:$ABM$4,"Часы",INDEX(Техника!$G$1:$ABN$500,D$2,0),$A$557,INDEX(Техника!$H$1:$ABO$500,D$2,0),"З")</f>
        <v>0</v>
      </c>
      <c r="E562" s="50">
        <f>SUMIFS(INDEX(Техника!$F$1:$ABM$500,E$2,0),Техника!$F$4:$ABM$4,"Часы",INDEX(Техника!$G$1:$ABN$500,E$2,0),$A$557,INDEX(Техника!$H$1:$ABO$500,E$2,0),"З")</f>
        <v>0</v>
      </c>
      <c r="F562" s="50">
        <f>SUMIFS(INDEX(Техника!$F$1:$ABM$500,F$2,0),Техника!$F$4:$ABM$4,"Часы",INDEX(Техника!$G$1:$ABN$500,F$2,0),$A$557,INDEX(Техника!$H$1:$ABO$500,F$2,0),"З")</f>
        <v>0</v>
      </c>
      <c r="G562" s="50">
        <f>SUMIFS(INDEX(Техника!$F$1:$ABM$500,G$2,0),Техника!$F$4:$ABM$4,"Часы",INDEX(Техника!$G$1:$ABN$500,G$2,0),$A$557,INDEX(Техника!$H$1:$ABO$500,G$2,0),"З")</f>
        <v>0</v>
      </c>
      <c r="H562" s="50">
        <f>SUMIFS(INDEX(Техника!$F$1:$ABM$500,H$2,0),Техника!$F$4:$ABM$4,"Часы",INDEX(Техника!$G$1:$ABN$500,H$2,0),$A$557,INDEX(Техника!$H$1:$ABO$500,H$2,0),"З")</f>
        <v>0</v>
      </c>
      <c r="I562" s="50">
        <f>SUMIFS(INDEX(Техника!$F$1:$ABM$500,I$2,0),Техника!$F$4:$ABM$4,"Часы",INDEX(Техника!$G$1:$ABN$500,I$2,0),$A$557,INDEX(Техника!$H$1:$ABO$500,I$2,0),"З")</f>
        <v>0</v>
      </c>
      <c r="J562" s="50">
        <f>SUMIFS(INDEX(Техника!$F$1:$ABM$500,J$2,0),Техника!$F$4:$ABM$4,"Часы",INDEX(Техника!$G$1:$ABN$500,J$2,0),$A$557,INDEX(Техника!$H$1:$ABO$500,J$2,0),"З")</f>
        <v>0</v>
      </c>
      <c r="K562" s="50">
        <f>SUMIFS(INDEX(Техника!$F$1:$ABM$500,K$2,0),Техника!$F$4:$ABM$4,"Часы",INDEX(Техника!$G$1:$ABN$500,K$2,0),$A$557,INDEX(Техника!$H$1:$ABO$500,K$2,0),"З")</f>
        <v>0</v>
      </c>
      <c r="L562" s="50">
        <f>SUMIFS(INDEX(Техника!$F$1:$ABM$500,L$2,0),Техника!$F$4:$ABM$4,"Часы",INDEX(Техника!$G$1:$ABN$500,L$2,0),$A$557,INDEX(Техника!$H$1:$ABO$500,L$2,0),"З")</f>
        <v>0</v>
      </c>
      <c r="M562" s="50">
        <f>SUMIFS(INDEX(Техника!$F$1:$ABM$500,M$2,0),Техника!$F$4:$ABM$4,"Часы",INDEX(Техника!$G$1:$ABN$500,M$2,0),$A$557,INDEX(Техника!$H$1:$ABO$500,M$2,0),"З")</f>
        <v>0</v>
      </c>
      <c r="N562" s="50">
        <f>SUMIFS(INDEX(Техника!$F$1:$ABM$500,N$2,0),Техника!$F$4:$ABM$4,"Часы",INDEX(Техника!$G$1:$ABN$500,N$2,0),$A$557,INDEX(Техника!$H$1:$ABO$500,N$2,0),"З")</f>
        <v>0</v>
      </c>
      <c r="O562" s="50">
        <f>SUMIFS(INDEX(Техника!$F$1:$ABM$500,O$2,0),Техника!$F$4:$ABM$4,"Часы",INDEX(Техника!$G$1:$ABN$500,O$2,0),$A$557,INDEX(Техника!$H$1:$ABO$500,O$2,0),"З")</f>
        <v>0</v>
      </c>
      <c r="P562" s="50">
        <f>SUMIFS(INDEX(Техника!$F$1:$ABM$500,P$2,0),Техника!$F$4:$ABM$4,"Часы",INDEX(Техника!$G$1:$ABN$500,P$2,0),$A$557,INDEX(Техника!$H$1:$ABO$500,P$2,0),"З")</f>
        <v>0</v>
      </c>
      <c r="Q562" s="50">
        <f>SUMIFS(INDEX(Техника!$F$1:$ABM$500,Q$2,0),Техника!$F$4:$ABM$4,"Часы",INDEX(Техника!$G$1:$ABN$500,Q$2,0),$A$557,INDEX(Техника!$H$1:$ABO$500,Q$2,0),"З")</f>
        <v>0</v>
      </c>
      <c r="R562" s="50">
        <f>SUMIFS(INDEX(Техника!$F$1:$ABM$500,R$2,0),Техника!$F$4:$ABM$4,"Часы",INDEX(Техника!$G$1:$ABN$500,R$2,0),$A$557,INDEX(Техника!$H$1:$ABO$500,R$2,0),"З")</f>
        <v>0</v>
      </c>
      <c r="S562" s="50">
        <f>SUMIFS(INDEX(Техника!$F$1:$ABM$500,S$2,0),Техника!$F$4:$ABM$4,"Часы",INDEX(Техника!$G$1:$ABN$500,S$2,0),$A$557,INDEX(Техника!$H$1:$ABO$500,S$2,0),"З")</f>
        <v>0</v>
      </c>
      <c r="T562" s="50">
        <f>SUMIFS(INDEX(Техника!$F$1:$ABM$500,T$2,0),Техника!$F$4:$ABM$4,"Часы",INDEX(Техника!$G$1:$ABN$500,T$2,0),$A$557,INDEX(Техника!$H$1:$ABO$500,T$2,0),"З")</f>
        <v>0</v>
      </c>
      <c r="U562" s="50">
        <f>SUMIFS(INDEX(Техника!$F$1:$ABM$500,U$2,0),Техника!$F$4:$ABM$4,"Часы",INDEX(Техника!$G$1:$ABN$500,U$2,0),$A$557,INDEX(Техника!$H$1:$ABO$500,U$2,0),"З")</f>
        <v>0</v>
      </c>
      <c r="V562" s="50">
        <f>SUMIFS(INDEX(Техника!$F$1:$ABM$500,V$2,0),Техника!$F$4:$ABM$4,"Часы",INDEX(Техника!$G$1:$ABN$500,V$2,0),$A$557,INDEX(Техника!$H$1:$ABO$500,V$2,0),"З")</f>
        <v>0</v>
      </c>
      <c r="W562" s="50">
        <f>SUMIFS(INDEX(Техника!$F$1:$ABM$500,W$2,0),Техника!$F$4:$ABM$4,"Часы",INDEX(Техника!$G$1:$ABN$500,W$2,0),$A$557,INDEX(Техника!$H$1:$ABO$500,W$2,0),"З")</f>
        <v>0</v>
      </c>
      <c r="X562" s="50">
        <f>SUMIFS(INDEX(Техника!$F$1:$ABM$500,X$2,0),Техника!$F$4:$ABM$4,"Часы",INDEX(Техника!$G$1:$ABN$500,X$2,0),$A$557,INDEX(Техника!$H$1:$ABO$500,X$2,0),"З")</f>
        <v>0</v>
      </c>
      <c r="Y562" s="50">
        <f>SUMIFS(INDEX(Техника!$F$1:$ABM$500,Y$2,0),Техника!$F$4:$ABM$4,"Часы",INDEX(Техника!$G$1:$ABN$500,Y$2,0),$A$557,INDEX(Техника!$H$1:$ABO$500,Y$2,0),"З")</f>
        <v>0</v>
      </c>
      <c r="Z562" s="50">
        <f>SUMIFS(INDEX(Техника!$F$1:$ABM$500,Z$2,0),Техника!$F$4:$ABM$4,"Часы",INDEX(Техника!$G$1:$ABN$500,Z$2,0),$A$557,INDEX(Техника!$H$1:$ABO$500,Z$2,0),"З")</f>
        <v>0</v>
      </c>
      <c r="AA562" s="50">
        <f>SUMIFS(INDEX(Техника!$F$1:$ABM$500,AA$2,0),Техника!$F$4:$ABM$4,"Часы",INDEX(Техника!$G$1:$ABN$500,AA$2,0),$A$557,INDEX(Техника!$H$1:$ABO$500,AA$2,0),"З")</f>
        <v>0</v>
      </c>
      <c r="AB562" s="50">
        <f>SUMIFS(INDEX(Техника!$F$1:$ABM$500,AB$2,0),Техника!$F$4:$ABM$4,"Часы",INDEX(Техника!$G$1:$ABN$500,AB$2,0),$A$557,INDEX(Техника!$H$1:$ABO$500,AB$2,0),"З")</f>
        <v>0</v>
      </c>
    </row>
    <row r="563" spans="1:28" ht="7.95" customHeight="1" x14ac:dyDescent="0.3">
      <c r="A563" s="38"/>
      <c r="B563" s="39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</row>
    <row r="564" spans="1:28" ht="25.05" customHeight="1" collapsed="1" x14ac:dyDescent="0.3">
      <c r="A564" s="32">
        <v>81</v>
      </c>
      <c r="B564" s="32" t="s">
        <v>82</v>
      </c>
      <c r="C564" s="49">
        <f>SUM(C565:C569)</f>
        <v>0</v>
      </c>
      <c r="D564" s="49">
        <f>SUM(D565:D569)</f>
        <v>0</v>
      </c>
      <c r="E564" s="49">
        <f>SUM(E565:E569)</f>
        <v>0</v>
      </c>
      <c r="F564" s="49">
        <f>SUM(F565:F569)</f>
        <v>0</v>
      </c>
      <c r="G564" s="49">
        <f>SUM(G565:G569)</f>
        <v>0</v>
      </c>
      <c r="H564" s="49">
        <f>SUM(H565:H569)</f>
        <v>0</v>
      </c>
      <c r="I564" s="49">
        <f>SUM(I565:I569)</f>
        <v>0</v>
      </c>
      <c r="J564" s="49">
        <f>SUM(J565:J569)</f>
        <v>0</v>
      </c>
      <c r="K564" s="49">
        <f>SUM(K565:K569)</f>
        <v>0</v>
      </c>
      <c r="L564" s="49">
        <f>SUM(L565:L569)</f>
        <v>0</v>
      </c>
      <c r="M564" s="49">
        <f>SUM(M565:M569)</f>
        <v>0</v>
      </c>
      <c r="N564" s="49">
        <f>SUM(N565:N569)</f>
        <v>0</v>
      </c>
      <c r="O564" s="49">
        <f>SUM(O565:O569)</f>
        <v>0</v>
      </c>
      <c r="P564" s="49">
        <f>SUM(P565:P569)</f>
        <v>0</v>
      </c>
      <c r="Q564" s="49">
        <f>SUM(Q565:Q569)</f>
        <v>0</v>
      </c>
      <c r="R564" s="49">
        <f>SUM(R565:R569)</f>
        <v>0</v>
      </c>
      <c r="S564" s="49">
        <f>SUM(S565:S569)</f>
        <v>0</v>
      </c>
      <c r="T564" s="49">
        <f>SUM(T565:T569)</f>
        <v>0</v>
      </c>
      <c r="U564" s="49">
        <f>SUM(U565:U569)</f>
        <v>0</v>
      </c>
      <c r="V564" s="49">
        <f>SUM(V565:V569)</f>
        <v>0</v>
      </c>
      <c r="W564" s="49">
        <f>SUM(W565:W569)</f>
        <v>0</v>
      </c>
      <c r="X564" s="49">
        <f>SUM(X565:X569)</f>
        <v>0</v>
      </c>
      <c r="Y564" s="49">
        <f>SUM(Y565:Y569)</f>
        <v>0</v>
      </c>
      <c r="Z564" s="49">
        <f>SUM(Z565:Z569)</f>
        <v>0</v>
      </c>
      <c r="AA564" s="49">
        <f>SUM(AA565:AA569)</f>
        <v>0</v>
      </c>
      <c r="AB564" s="49">
        <f>SUM(AB565:AB569)</f>
        <v>0</v>
      </c>
    </row>
    <row r="565" spans="1:28" hidden="1" outlineLevel="1" x14ac:dyDescent="0.3">
      <c r="A565" s="33" t="s">
        <v>246</v>
      </c>
      <c r="B565" s="34" t="s">
        <v>274</v>
      </c>
      <c r="C565" s="50">
        <f>SUMIFS(INDEX(Техника!$F$1:$ABM$500,C$2,0),Техника!$F$4:$ABM$4,"Часы",INDEX(Техника!$G$1:$ABN$500,C$2,0),$A$564,INDEX(Техника!$H$1:$ABO$500,C$2,0),"М")</f>
        <v>0</v>
      </c>
      <c r="D565" s="50">
        <f>SUMIFS(INDEX(Техника!$F$1:$ABM$500,D$2,0),Техника!$F$4:$ABM$4,"Часы",INDEX(Техника!$G$1:$ABN$500,D$2,0),$A$564,INDEX(Техника!$H$1:$ABO$500,D$2,0),"М")</f>
        <v>0</v>
      </c>
      <c r="E565" s="50">
        <f>SUMIFS(INDEX(Техника!$F$1:$ABM$500,E$2,0),Техника!$F$4:$ABM$4,"Часы",INDEX(Техника!$G$1:$ABN$500,E$2,0),$A$564,INDEX(Техника!$H$1:$ABO$500,E$2,0),"М")</f>
        <v>0</v>
      </c>
      <c r="F565" s="50">
        <f>SUMIFS(INDEX(Техника!$F$1:$ABM$500,F$2,0),Техника!$F$4:$ABM$4,"Часы",INDEX(Техника!$G$1:$ABN$500,F$2,0),$A$564,INDEX(Техника!$H$1:$ABO$500,F$2,0),"М")</f>
        <v>0</v>
      </c>
      <c r="G565" s="50">
        <f>SUMIFS(INDEX(Техника!$F$1:$ABM$500,G$2,0),Техника!$F$4:$ABM$4,"Часы",INDEX(Техника!$G$1:$ABN$500,G$2,0),$A$564,INDEX(Техника!$H$1:$ABO$500,G$2,0),"М")</f>
        <v>0</v>
      </c>
      <c r="H565" s="50">
        <f>SUMIFS(INDEX(Техника!$F$1:$ABM$500,H$2,0),Техника!$F$4:$ABM$4,"Часы",INDEX(Техника!$G$1:$ABN$500,H$2,0),$A$564,INDEX(Техника!$H$1:$ABO$500,H$2,0),"М")</f>
        <v>0</v>
      </c>
      <c r="I565" s="50">
        <f>SUMIFS(INDEX(Техника!$F$1:$ABM$500,I$2,0),Техника!$F$4:$ABM$4,"Часы",INDEX(Техника!$G$1:$ABN$500,I$2,0),$A$564,INDEX(Техника!$H$1:$ABO$500,I$2,0),"М")</f>
        <v>0</v>
      </c>
      <c r="J565" s="50">
        <f>SUMIFS(INDEX(Техника!$F$1:$ABM$500,J$2,0),Техника!$F$4:$ABM$4,"Часы",INDEX(Техника!$G$1:$ABN$500,J$2,0),$A$564,INDEX(Техника!$H$1:$ABO$500,J$2,0),"М")</f>
        <v>0</v>
      </c>
      <c r="K565" s="50">
        <f>SUMIFS(INDEX(Техника!$F$1:$ABM$500,K$2,0),Техника!$F$4:$ABM$4,"Часы",INDEX(Техника!$G$1:$ABN$500,K$2,0),$A$564,INDEX(Техника!$H$1:$ABO$500,K$2,0),"М")</f>
        <v>0</v>
      </c>
      <c r="L565" s="50">
        <f>SUMIFS(INDEX(Техника!$F$1:$ABM$500,L$2,0),Техника!$F$4:$ABM$4,"Часы",INDEX(Техника!$G$1:$ABN$500,L$2,0),$A$564,INDEX(Техника!$H$1:$ABO$500,L$2,0),"М")</f>
        <v>0</v>
      </c>
      <c r="M565" s="50">
        <f>SUMIFS(INDEX(Техника!$F$1:$ABM$500,M$2,0),Техника!$F$4:$ABM$4,"Часы",INDEX(Техника!$G$1:$ABN$500,M$2,0),$A$564,INDEX(Техника!$H$1:$ABO$500,M$2,0),"М")</f>
        <v>0</v>
      </c>
      <c r="N565" s="50">
        <f>SUMIFS(INDEX(Техника!$F$1:$ABM$500,N$2,0),Техника!$F$4:$ABM$4,"Часы",INDEX(Техника!$G$1:$ABN$500,N$2,0),$A$564,INDEX(Техника!$H$1:$ABO$500,N$2,0),"М")</f>
        <v>0</v>
      </c>
      <c r="O565" s="50">
        <f>SUMIFS(INDEX(Техника!$F$1:$ABM$500,O$2,0),Техника!$F$4:$ABM$4,"Часы",INDEX(Техника!$G$1:$ABN$500,O$2,0),$A$564,INDEX(Техника!$H$1:$ABO$500,O$2,0),"М")</f>
        <v>0</v>
      </c>
      <c r="P565" s="50">
        <f>SUMIFS(INDEX(Техника!$F$1:$ABM$500,P$2,0),Техника!$F$4:$ABM$4,"Часы",INDEX(Техника!$G$1:$ABN$500,P$2,0),$A$564,INDEX(Техника!$H$1:$ABO$500,P$2,0),"М")</f>
        <v>0</v>
      </c>
      <c r="Q565" s="50">
        <f>SUMIFS(INDEX(Техника!$F$1:$ABM$500,Q$2,0),Техника!$F$4:$ABM$4,"Часы",INDEX(Техника!$G$1:$ABN$500,Q$2,0),$A$564,INDEX(Техника!$H$1:$ABO$500,Q$2,0),"М")</f>
        <v>0</v>
      </c>
      <c r="R565" s="50">
        <f>SUMIFS(INDEX(Техника!$F$1:$ABM$500,R$2,0),Техника!$F$4:$ABM$4,"Часы",INDEX(Техника!$G$1:$ABN$500,R$2,0),$A$564,INDEX(Техника!$H$1:$ABO$500,R$2,0),"М")</f>
        <v>0</v>
      </c>
      <c r="S565" s="50">
        <f>SUMIFS(INDEX(Техника!$F$1:$ABM$500,S$2,0),Техника!$F$4:$ABM$4,"Часы",INDEX(Техника!$G$1:$ABN$500,S$2,0),$A$564,INDEX(Техника!$H$1:$ABO$500,S$2,0),"М")</f>
        <v>0</v>
      </c>
      <c r="T565" s="50">
        <f>SUMIFS(INDEX(Техника!$F$1:$ABM$500,T$2,0),Техника!$F$4:$ABM$4,"Часы",INDEX(Техника!$G$1:$ABN$500,T$2,0),$A$564,INDEX(Техника!$H$1:$ABO$500,T$2,0),"М")</f>
        <v>0</v>
      </c>
      <c r="U565" s="50">
        <f>SUMIFS(INDEX(Техника!$F$1:$ABM$500,U$2,0),Техника!$F$4:$ABM$4,"Часы",INDEX(Техника!$G$1:$ABN$500,U$2,0),$A$564,INDEX(Техника!$H$1:$ABO$500,U$2,0),"М")</f>
        <v>0</v>
      </c>
      <c r="V565" s="50">
        <f>SUMIFS(INDEX(Техника!$F$1:$ABM$500,V$2,0),Техника!$F$4:$ABM$4,"Часы",INDEX(Техника!$G$1:$ABN$500,V$2,0),$A$564,INDEX(Техника!$H$1:$ABO$500,V$2,0),"М")</f>
        <v>0</v>
      </c>
      <c r="W565" s="50">
        <f>SUMIFS(INDEX(Техника!$F$1:$ABM$500,W$2,0),Техника!$F$4:$ABM$4,"Часы",INDEX(Техника!$G$1:$ABN$500,W$2,0),$A$564,INDEX(Техника!$H$1:$ABO$500,W$2,0),"М")</f>
        <v>0</v>
      </c>
      <c r="X565" s="50">
        <f>SUMIFS(INDEX(Техника!$F$1:$ABM$500,X$2,0),Техника!$F$4:$ABM$4,"Часы",INDEX(Техника!$G$1:$ABN$500,X$2,0),$A$564,INDEX(Техника!$H$1:$ABO$500,X$2,0),"М")</f>
        <v>0</v>
      </c>
      <c r="Y565" s="50">
        <f>SUMIFS(INDEX(Техника!$F$1:$ABM$500,Y$2,0),Техника!$F$4:$ABM$4,"Часы",INDEX(Техника!$G$1:$ABN$500,Y$2,0),$A$564,INDEX(Техника!$H$1:$ABO$500,Y$2,0),"М")</f>
        <v>0</v>
      </c>
      <c r="Z565" s="50">
        <f>SUMIFS(INDEX(Техника!$F$1:$ABM$500,Z$2,0),Техника!$F$4:$ABM$4,"Часы",INDEX(Техника!$G$1:$ABN$500,Z$2,0),$A$564,INDEX(Техника!$H$1:$ABO$500,Z$2,0),"М")</f>
        <v>0</v>
      </c>
      <c r="AA565" s="50">
        <f>SUMIFS(INDEX(Техника!$F$1:$ABM$500,AA$2,0),Техника!$F$4:$ABM$4,"Часы",INDEX(Техника!$G$1:$ABN$500,AA$2,0),$A$564,INDEX(Техника!$H$1:$ABO$500,AA$2,0),"М")</f>
        <v>0</v>
      </c>
      <c r="AB565" s="50">
        <f>SUMIFS(INDEX(Техника!$F$1:$ABM$500,AB$2,0),Техника!$F$4:$ABM$4,"Часы",INDEX(Техника!$G$1:$ABN$500,AB$2,0),$A$564,INDEX(Техника!$H$1:$ABO$500,AB$2,0),"М")</f>
        <v>0</v>
      </c>
    </row>
    <row r="566" spans="1:28" hidden="1" outlineLevel="1" x14ac:dyDescent="0.3">
      <c r="A566" s="33" t="s">
        <v>244</v>
      </c>
      <c r="B566" s="34" t="s">
        <v>275</v>
      </c>
      <c r="C566" s="50">
        <f>SUMIFS(INDEX(Техника!$F$1:$ABM$500,C$2,0),Техника!$F$4:$ABM$4,"Часы",INDEX(Техника!$G$1:$ABN$500,C$2,0),$A$564,INDEX(Техника!$H$1:$ABO$500,C$2,0),"Д")</f>
        <v>0</v>
      </c>
      <c r="D566" s="50">
        <f>SUMIFS(INDEX(Техника!$F$1:$ABM$500,D$2,0),Техника!$F$4:$ABM$4,"Часы",INDEX(Техника!$G$1:$ABN$500,D$2,0),$A$564,INDEX(Техника!$H$1:$ABO$500,D$2,0),"Д")</f>
        <v>0</v>
      </c>
      <c r="E566" s="50">
        <f>SUMIFS(INDEX(Техника!$F$1:$ABM$500,E$2,0),Техника!$F$4:$ABM$4,"Часы",INDEX(Техника!$G$1:$ABN$500,E$2,0),$A$564,INDEX(Техника!$H$1:$ABO$500,E$2,0),"Д")</f>
        <v>0</v>
      </c>
      <c r="F566" s="50">
        <f>SUMIFS(INDEX(Техника!$F$1:$ABM$500,F$2,0),Техника!$F$4:$ABM$4,"Часы",INDEX(Техника!$G$1:$ABN$500,F$2,0),$A$564,INDEX(Техника!$H$1:$ABO$500,F$2,0),"Д")</f>
        <v>0</v>
      </c>
      <c r="G566" s="50">
        <f>SUMIFS(INDEX(Техника!$F$1:$ABM$500,G$2,0),Техника!$F$4:$ABM$4,"Часы",INDEX(Техника!$G$1:$ABN$500,G$2,0),$A$564,INDEX(Техника!$H$1:$ABO$500,G$2,0),"Д")</f>
        <v>0</v>
      </c>
      <c r="H566" s="50">
        <f>SUMIFS(INDEX(Техника!$F$1:$ABM$500,H$2,0),Техника!$F$4:$ABM$4,"Часы",INDEX(Техника!$G$1:$ABN$500,H$2,0),$A$564,INDEX(Техника!$H$1:$ABO$500,H$2,0),"Д")</f>
        <v>0</v>
      </c>
      <c r="I566" s="50">
        <f>SUMIFS(INDEX(Техника!$F$1:$ABM$500,I$2,0),Техника!$F$4:$ABM$4,"Часы",INDEX(Техника!$G$1:$ABN$500,I$2,0),$A$564,INDEX(Техника!$H$1:$ABO$500,I$2,0),"Д")</f>
        <v>0</v>
      </c>
      <c r="J566" s="50">
        <f>SUMIFS(INDEX(Техника!$F$1:$ABM$500,J$2,0),Техника!$F$4:$ABM$4,"Часы",INDEX(Техника!$G$1:$ABN$500,J$2,0),$A$564,INDEX(Техника!$H$1:$ABO$500,J$2,0),"Д")</f>
        <v>0</v>
      </c>
      <c r="K566" s="50">
        <f>SUMIFS(INDEX(Техника!$F$1:$ABM$500,K$2,0),Техника!$F$4:$ABM$4,"Часы",INDEX(Техника!$G$1:$ABN$500,K$2,0),$A$564,INDEX(Техника!$H$1:$ABO$500,K$2,0),"Д")</f>
        <v>0</v>
      </c>
      <c r="L566" s="50">
        <f>SUMIFS(INDEX(Техника!$F$1:$ABM$500,L$2,0),Техника!$F$4:$ABM$4,"Часы",INDEX(Техника!$G$1:$ABN$500,L$2,0),$A$564,INDEX(Техника!$H$1:$ABO$500,L$2,0),"Д")</f>
        <v>0</v>
      </c>
      <c r="M566" s="50">
        <f>SUMIFS(INDEX(Техника!$F$1:$ABM$500,M$2,0),Техника!$F$4:$ABM$4,"Часы",INDEX(Техника!$G$1:$ABN$500,M$2,0),$A$564,INDEX(Техника!$H$1:$ABO$500,M$2,0),"Д")</f>
        <v>0</v>
      </c>
      <c r="N566" s="50">
        <f>SUMIFS(INDEX(Техника!$F$1:$ABM$500,N$2,0),Техника!$F$4:$ABM$4,"Часы",INDEX(Техника!$G$1:$ABN$500,N$2,0),$A$564,INDEX(Техника!$H$1:$ABO$500,N$2,0),"Д")</f>
        <v>0</v>
      </c>
      <c r="O566" s="50">
        <f>SUMIFS(INDEX(Техника!$F$1:$ABM$500,O$2,0),Техника!$F$4:$ABM$4,"Часы",INDEX(Техника!$G$1:$ABN$500,O$2,0),$A$564,INDEX(Техника!$H$1:$ABO$500,O$2,0),"Д")</f>
        <v>0</v>
      </c>
      <c r="P566" s="50">
        <f>SUMIFS(INDEX(Техника!$F$1:$ABM$500,P$2,0),Техника!$F$4:$ABM$4,"Часы",INDEX(Техника!$G$1:$ABN$500,P$2,0),$A$564,INDEX(Техника!$H$1:$ABO$500,P$2,0),"Д")</f>
        <v>0</v>
      </c>
      <c r="Q566" s="50">
        <f>SUMIFS(INDEX(Техника!$F$1:$ABM$500,Q$2,0),Техника!$F$4:$ABM$4,"Часы",INDEX(Техника!$G$1:$ABN$500,Q$2,0),$A$564,INDEX(Техника!$H$1:$ABO$500,Q$2,0),"Д")</f>
        <v>0</v>
      </c>
      <c r="R566" s="50">
        <f>SUMIFS(INDEX(Техника!$F$1:$ABM$500,R$2,0),Техника!$F$4:$ABM$4,"Часы",INDEX(Техника!$G$1:$ABN$500,R$2,0),$A$564,INDEX(Техника!$H$1:$ABO$500,R$2,0),"Д")</f>
        <v>0</v>
      </c>
      <c r="S566" s="50">
        <f>SUMIFS(INDEX(Техника!$F$1:$ABM$500,S$2,0),Техника!$F$4:$ABM$4,"Часы",INDEX(Техника!$G$1:$ABN$500,S$2,0),$A$564,INDEX(Техника!$H$1:$ABO$500,S$2,0),"Д")</f>
        <v>0</v>
      </c>
      <c r="T566" s="50">
        <f>SUMIFS(INDEX(Техника!$F$1:$ABM$500,T$2,0),Техника!$F$4:$ABM$4,"Часы",INDEX(Техника!$G$1:$ABN$500,T$2,0),$A$564,INDEX(Техника!$H$1:$ABO$500,T$2,0),"Д")</f>
        <v>0</v>
      </c>
      <c r="U566" s="50">
        <f>SUMIFS(INDEX(Техника!$F$1:$ABM$500,U$2,0),Техника!$F$4:$ABM$4,"Часы",INDEX(Техника!$G$1:$ABN$500,U$2,0),$A$564,INDEX(Техника!$H$1:$ABO$500,U$2,0),"Д")</f>
        <v>0</v>
      </c>
      <c r="V566" s="50">
        <f>SUMIFS(INDEX(Техника!$F$1:$ABM$500,V$2,0),Техника!$F$4:$ABM$4,"Часы",INDEX(Техника!$G$1:$ABN$500,V$2,0),$A$564,INDEX(Техника!$H$1:$ABO$500,V$2,0),"Д")</f>
        <v>0</v>
      </c>
      <c r="W566" s="50">
        <f>SUMIFS(INDEX(Техника!$F$1:$ABM$500,W$2,0),Техника!$F$4:$ABM$4,"Часы",INDEX(Техника!$G$1:$ABN$500,W$2,0),$A$564,INDEX(Техника!$H$1:$ABO$500,W$2,0),"Д")</f>
        <v>0</v>
      </c>
      <c r="X566" s="50">
        <f>SUMIFS(INDEX(Техника!$F$1:$ABM$500,X$2,0),Техника!$F$4:$ABM$4,"Часы",INDEX(Техника!$G$1:$ABN$500,X$2,0),$A$564,INDEX(Техника!$H$1:$ABO$500,X$2,0),"Д")</f>
        <v>0</v>
      </c>
      <c r="Y566" s="50">
        <f>SUMIFS(INDEX(Техника!$F$1:$ABM$500,Y$2,0),Техника!$F$4:$ABM$4,"Часы",INDEX(Техника!$G$1:$ABN$500,Y$2,0),$A$564,INDEX(Техника!$H$1:$ABO$500,Y$2,0),"Д")</f>
        <v>0</v>
      </c>
      <c r="Z566" s="50">
        <f>SUMIFS(INDEX(Техника!$F$1:$ABM$500,Z$2,0),Техника!$F$4:$ABM$4,"Часы",INDEX(Техника!$G$1:$ABN$500,Z$2,0),$A$564,INDEX(Техника!$H$1:$ABO$500,Z$2,0),"Д")</f>
        <v>0</v>
      </c>
      <c r="AA566" s="50">
        <f>SUMIFS(INDEX(Техника!$F$1:$ABM$500,AA$2,0),Техника!$F$4:$ABM$4,"Часы",INDEX(Техника!$G$1:$ABN$500,AA$2,0),$A$564,INDEX(Техника!$H$1:$ABO$500,AA$2,0),"Д")</f>
        <v>0</v>
      </c>
      <c r="AB566" s="50">
        <f>SUMIFS(INDEX(Техника!$F$1:$ABM$500,AB$2,0),Техника!$F$4:$ABM$4,"Часы",INDEX(Техника!$G$1:$ABN$500,AB$2,0),$A$564,INDEX(Техника!$H$1:$ABO$500,AB$2,0),"Д")</f>
        <v>0</v>
      </c>
    </row>
    <row r="567" spans="1:28" hidden="1" outlineLevel="1" x14ac:dyDescent="0.3">
      <c r="A567" s="33" t="s">
        <v>276</v>
      </c>
      <c r="B567" s="34" t="s">
        <v>277</v>
      </c>
      <c r="C567" s="50">
        <f>SUMIFS(INDEX(Техника!$F$1:$ABM$500,C$2,0),Техника!$F$4:$ABM$4,"Часы",INDEX(Техника!$G$1:$ABN$500,C$2,0),$A$564,INDEX(Техника!$H$1:$ABO$500,C$2,0),"П")</f>
        <v>0</v>
      </c>
      <c r="D567" s="50">
        <f>SUMIFS(INDEX(Техника!$F$1:$ABM$500,D$2,0),Техника!$F$4:$ABM$4,"Часы",INDEX(Техника!$G$1:$ABN$500,D$2,0),$A$564,INDEX(Техника!$H$1:$ABO$500,D$2,0),"П")</f>
        <v>0</v>
      </c>
      <c r="E567" s="50">
        <f>SUMIFS(INDEX(Техника!$F$1:$ABM$500,E$2,0),Техника!$F$4:$ABM$4,"Часы",INDEX(Техника!$G$1:$ABN$500,E$2,0),$A$564,INDEX(Техника!$H$1:$ABO$500,E$2,0),"П")</f>
        <v>0</v>
      </c>
      <c r="F567" s="50">
        <f>SUMIFS(INDEX(Техника!$F$1:$ABM$500,F$2,0),Техника!$F$4:$ABM$4,"Часы",INDEX(Техника!$G$1:$ABN$500,F$2,0),$A$564,INDEX(Техника!$H$1:$ABO$500,F$2,0),"П")</f>
        <v>0</v>
      </c>
      <c r="G567" s="50">
        <f>SUMIFS(INDEX(Техника!$F$1:$ABM$500,G$2,0),Техника!$F$4:$ABM$4,"Часы",INDEX(Техника!$G$1:$ABN$500,G$2,0),$A$564,INDEX(Техника!$H$1:$ABO$500,G$2,0),"П")</f>
        <v>0</v>
      </c>
      <c r="H567" s="50">
        <f>SUMIFS(INDEX(Техника!$F$1:$ABM$500,H$2,0),Техника!$F$4:$ABM$4,"Часы",INDEX(Техника!$G$1:$ABN$500,H$2,0),$A$564,INDEX(Техника!$H$1:$ABO$500,H$2,0),"П")</f>
        <v>0</v>
      </c>
      <c r="I567" s="50">
        <f>SUMIFS(INDEX(Техника!$F$1:$ABM$500,I$2,0),Техника!$F$4:$ABM$4,"Часы",INDEX(Техника!$G$1:$ABN$500,I$2,0),$A$564,INDEX(Техника!$H$1:$ABO$500,I$2,0),"П")</f>
        <v>0</v>
      </c>
      <c r="J567" s="50">
        <f>SUMIFS(INDEX(Техника!$F$1:$ABM$500,J$2,0),Техника!$F$4:$ABM$4,"Часы",INDEX(Техника!$G$1:$ABN$500,J$2,0),$A$564,INDEX(Техника!$H$1:$ABO$500,J$2,0),"П")</f>
        <v>0</v>
      </c>
      <c r="K567" s="50">
        <f>SUMIFS(INDEX(Техника!$F$1:$ABM$500,K$2,0),Техника!$F$4:$ABM$4,"Часы",INDEX(Техника!$G$1:$ABN$500,K$2,0),$A$564,INDEX(Техника!$H$1:$ABO$500,K$2,0),"П")</f>
        <v>0</v>
      </c>
      <c r="L567" s="50">
        <f>SUMIFS(INDEX(Техника!$F$1:$ABM$500,L$2,0),Техника!$F$4:$ABM$4,"Часы",INDEX(Техника!$G$1:$ABN$500,L$2,0),$A$564,INDEX(Техника!$H$1:$ABO$500,L$2,0),"П")</f>
        <v>0</v>
      </c>
      <c r="M567" s="50">
        <f>SUMIFS(INDEX(Техника!$F$1:$ABM$500,M$2,0),Техника!$F$4:$ABM$4,"Часы",INDEX(Техника!$G$1:$ABN$500,M$2,0),$A$564,INDEX(Техника!$H$1:$ABO$500,M$2,0),"П")</f>
        <v>0</v>
      </c>
      <c r="N567" s="50">
        <f>SUMIFS(INDEX(Техника!$F$1:$ABM$500,N$2,0),Техника!$F$4:$ABM$4,"Часы",INDEX(Техника!$G$1:$ABN$500,N$2,0),$A$564,INDEX(Техника!$H$1:$ABO$500,N$2,0),"П")</f>
        <v>0</v>
      </c>
      <c r="O567" s="50">
        <f>SUMIFS(INDEX(Техника!$F$1:$ABM$500,O$2,0),Техника!$F$4:$ABM$4,"Часы",INDEX(Техника!$G$1:$ABN$500,O$2,0),$A$564,INDEX(Техника!$H$1:$ABO$500,O$2,0),"П")</f>
        <v>0</v>
      </c>
      <c r="P567" s="50">
        <f>SUMIFS(INDEX(Техника!$F$1:$ABM$500,P$2,0),Техника!$F$4:$ABM$4,"Часы",INDEX(Техника!$G$1:$ABN$500,P$2,0),$A$564,INDEX(Техника!$H$1:$ABO$500,P$2,0),"П")</f>
        <v>0</v>
      </c>
      <c r="Q567" s="50">
        <f>SUMIFS(INDEX(Техника!$F$1:$ABM$500,Q$2,0),Техника!$F$4:$ABM$4,"Часы",INDEX(Техника!$G$1:$ABN$500,Q$2,0),$A$564,INDEX(Техника!$H$1:$ABO$500,Q$2,0),"П")</f>
        <v>0</v>
      </c>
      <c r="R567" s="50">
        <f>SUMIFS(INDEX(Техника!$F$1:$ABM$500,R$2,0),Техника!$F$4:$ABM$4,"Часы",INDEX(Техника!$G$1:$ABN$500,R$2,0),$A$564,INDEX(Техника!$H$1:$ABO$500,R$2,0),"П")</f>
        <v>0</v>
      </c>
      <c r="S567" s="50">
        <f>SUMIFS(INDEX(Техника!$F$1:$ABM$500,S$2,0),Техника!$F$4:$ABM$4,"Часы",INDEX(Техника!$G$1:$ABN$500,S$2,0),$A$564,INDEX(Техника!$H$1:$ABO$500,S$2,0),"П")</f>
        <v>0</v>
      </c>
      <c r="T567" s="50">
        <f>SUMIFS(INDEX(Техника!$F$1:$ABM$500,T$2,0),Техника!$F$4:$ABM$4,"Часы",INDEX(Техника!$G$1:$ABN$500,T$2,0),$A$564,INDEX(Техника!$H$1:$ABO$500,T$2,0),"П")</f>
        <v>0</v>
      </c>
      <c r="U567" s="50">
        <f>SUMIFS(INDEX(Техника!$F$1:$ABM$500,U$2,0),Техника!$F$4:$ABM$4,"Часы",INDEX(Техника!$G$1:$ABN$500,U$2,0),$A$564,INDEX(Техника!$H$1:$ABO$500,U$2,0),"П")</f>
        <v>0</v>
      </c>
      <c r="V567" s="50">
        <f>SUMIFS(INDEX(Техника!$F$1:$ABM$500,V$2,0),Техника!$F$4:$ABM$4,"Часы",INDEX(Техника!$G$1:$ABN$500,V$2,0),$A$564,INDEX(Техника!$H$1:$ABO$500,V$2,0),"П")</f>
        <v>0</v>
      </c>
      <c r="W567" s="50">
        <f>SUMIFS(INDEX(Техника!$F$1:$ABM$500,W$2,0),Техника!$F$4:$ABM$4,"Часы",INDEX(Техника!$G$1:$ABN$500,W$2,0),$A$564,INDEX(Техника!$H$1:$ABO$500,W$2,0),"П")</f>
        <v>0</v>
      </c>
      <c r="X567" s="50">
        <f>SUMIFS(INDEX(Техника!$F$1:$ABM$500,X$2,0),Техника!$F$4:$ABM$4,"Часы",INDEX(Техника!$G$1:$ABN$500,X$2,0),$A$564,INDEX(Техника!$H$1:$ABO$500,X$2,0),"П")</f>
        <v>0</v>
      </c>
      <c r="Y567" s="50">
        <f>SUMIFS(INDEX(Техника!$F$1:$ABM$500,Y$2,0),Техника!$F$4:$ABM$4,"Часы",INDEX(Техника!$G$1:$ABN$500,Y$2,0),$A$564,INDEX(Техника!$H$1:$ABO$500,Y$2,0),"П")</f>
        <v>0</v>
      </c>
      <c r="Z567" s="50">
        <f>SUMIFS(INDEX(Техника!$F$1:$ABM$500,Z$2,0),Техника!$F$4:$ABM$4,"Часы",INDEX(Техника!$G$1:$ABN$500,Z$2,0),$A$564,INDEX(Техника!$H$1:$ABO$500,Z$2,0),"П")</f>
        <v>0</v>
      </c>
      <c r="AA567" s="50">
        <f>SUMIFS(INDEX(Техника!$F$1:$ABM$500,AA$2,0),Техника!$F$4:$ABM$4,"Часы",INDEX(Техника!$G$1:$ABN$500,AA$2,0),$A$564,INDEX(Техника!$H$1:$ABO$500,AA$2,0),"П")</f>
        <v>0</v>
      </c>
      <c r="AB567" s="50">
        <f>SUMIFS(INDEX(Техника!$F$1:$ABM$500,AB$2,0),Техника!$F$4:$ABM$4,"Часы",INDEX(Техника!$G$1:$ABN$500,AB$2,0),$A$564,INDEX(Техника!$H$1:$ABO$500,AB$2,0),"П")</f>
        <v>0</v>
      </c>
    </row>
    <row r="568" spans="1:28" hidden="1" outlineLevel="1" x14ac:dyDescent="0.3">
      <c r="A568" s="33" t="s">
        <v>243</v>
      </c>
      <c r="B568" s="34" t="s">
        <v>278</v>
      </c>
      <c r="C568" s="50">
        <f>SUMIFS(INDEX(Техника!$F$1:$ABM$500,C$2,0),Техника!$F$4:$ABM$4,"Часы",INDEX(Техника!$G$1:$ABN$500,C$2,0),$A$564,INDEX(Техника!$H$1:$ABO$500,C$2,0),"Л")</f>
        <v>0</v>
      </c>
      <c r="D568" s="50">
        <f>SUMIFS(INDEX(Техника!$F$1:$ABM$500,D$2,0),Техника!$F$4:$ABM$4,"Часы",INDEX(Техника!$G$1:$ABN$500,D$2,0),$A$564,INDEX(Техника!$H$1:$ABO$500,D$2,0),"Л")</f>
        <v>0</v>
      </c>
      <c r="E568" s="50">
        <f>SUMIFS(INDEX(Техника!$F$1:$ABM$500,E$2,0),Техника!$F$4:$ABM$4,"Часы",INDEX(Техника!$G$1:$ABN$500,E$2,0),$A$564,INDEX(Техника!$H$1:$ABO$500,E$2,0),"Л")</f>
        <v>0</v>
      </c>
      <c r="F568" s="50">
        <f>SUMIFS(INDEX(Техника!$F$1:$ABM$500,F$2,0),Техника!$F$4:$ABM$4,"Часы",INDEX(Техника!$G$1:$ABN$500,F$2,0),$A$564,INDEX(Техника!$H$1:$ABO$500,F$2,0),"Л")</f>
        <v>0</v>
      </c>
      <c r="G568" s="50">
        <f>SUMIFS(INDEX(Техника!$F$1:$ABM$500,G$2,0),Техника!$F$4:$ABM$4,"Часы",INDEX(Техника!$G$1:$ABN$500,G$2,0),$A$564,INDEX(Техника!$H$1:$ABO$500,G$2,0),"Л")</f>
        <v>0</v>
      </c>
      <c r="H568" s="50">
        <f>SUMIFS(INDEX(Техника!$F$1:$ABM$500,H$2,0),Техника!$F$4:$ABM$4,"Часы",INDEX(Техника!$G$1:$ABN$500,H$2,0),$A$564,INDEX(Техника!$H$1:$ABO$500,H$2,0),"Л")</f>
        <v>0</v>
      </c>
      <c r="I568" s="50">
        <f>SUMIFS(INDEX(Техника!$F$1:$ABM$500,I$2,0),Техника!$F$4:$ABM$4,"Часы",INDEX(Техника!$G$1:$ABN$500,I$2,0),$A$564,INDEX(Техника!$H$1:$ABO$500,I$2,0),"Л")</f>
        <v>0</v>
      </c>
      <c r="J568" s="50">
        <f>SUMIFS(INDEX(Техника!$F$1:$ABM$500,J$2,0),Техника!$F$4:$ABM$4,"Часы",INDEX(Техника!$G$1:$ABN$500,J$2,0),$A$564,INDEX(Техника!$H$1:$ABO$500,J$2,0),"Л")</f>
        <v>0</v>
      </c>
      <c r="K568" s="50">
        <f>SUMIFS(INDEX(Техника!$F$1:$ABM$500,K$2,0),Техника!$F$4:$ABM$4,"Часы",INDEX(Техника!$G$1:$ABN$500,K$2,0),$A$564,INDEX(Техника!$H$1:$ABO$500,K$2,0),"Л")</f>
        <v>0</v>
      </c>
      <c r="L568" s="50">
        <f>SUMIFS(INDEX(Техника!$F$1:$ABM$500,L$2,0),Техника!$F$4:$ABM$4,"Часы",INDEX(Техника!$G$1:$ABN$500,L$2,0),$A$564,INDEX(Техника!$H$1:$ABO$500,L$2,0),"Л")</f>
        <v>0</v>
      </c>
      <c r="M568" s="50">
        <f>SUMIFS(INDEX(Техника!$F$1:$ABM$500,M$2,0),Техника!$F$4:$ABM$4,"Часы",INDEX(Техника!$G$1:$ABN$500,M$2,0),$A$564,INDEX(Техника!$H$1:$ABO$500,M$2,0),"Л")</f>
        <v>0</v>
      </c>
      <c r="N568" s="50">
        <f>SUMIFS(INDEX(Техника!$F$1:$ABM$500,N$2,0),Техника!$F$4:$ABM$4,"Часы",INDEX(Техника!$G$1:$ABN$500,N$2,0),$A$564,INDEX(Техника!$H$1:$ABO$500,N$2,0),"Л")</f>
        <v>0</v>
      </c>
      <c r="O568" s="50">
        <f>SUMIFS(INDEX(Техника!$F$1:$ABM$500,O$2,0),Техника!$F$4:$ABM$4,"Часы",INDEX(Техника!$G$1:$ABN$500,O$2,0),$A$564,INDEX(Техника!$H$1:$ABO$500,O$2,0),"Л")</f>
        <v>0</v>
      </c>
      <c r="P568" s="50">
        <f>SUMIFS(INDEX(Техника!$F$1:$ABM$500,P$2,0),Техника!$F$4:$ABM$4,"Часы",INDEX(Техника!$G$1:$ABN$500,P$2,0),$A$564,INDEX(Техника!$H$1:$ABO$500,P$2,0),"Л")</f>
        <v>0</v>
      </c>
      <c r="Q568" s="50">
        <f>SUMIFS(INDEX(Техника!$F$1:$ABM$500,Q$2,0),Техника!$F$4:$ABM$4,"Часы",INDEX(Техника!$G$1:$ABN$500,Q$2,0),$A$564,INDEX(Техника!$H$1:$ABO$500,Q$2,0),"Л")</f>
        <v>0</v>
      </c>
      <c r="R568" s="50">
        <f>SUMIFS(INDEX(Техника!$F$1:$ABM$500,R$2,0),Техника!$F$4:$ABM$4,"Часы",INDEX(Техника!$G$1:$ABN$500,R$2,0),$A$564,INDEX(Техника!$H$1:$ABO$500,R$2,0),"Л")</f>
        <v>0</v>
      </c>
      <c r="S568" s="50">
        <f>SUMIFS(INDEX(Техника!$F$1:$ABM$500,S$2,0),Техника!$F$4:$ABM$4,"Часы",INDEX(Техника!$G$1:$ABN$500,S$2,0),$A$564,INDEX(Техника!$H$1:$ABO$500,S$2,0),"Л")</f>
        <v>0</v>
      </c>
      <c r="T568" s="50">
        <f>SUMIFS(INDEX(Техника!$F$1:$ABM$500,T$2,0),Техника!$F$4:$ABM$4,"Часы",INDEX(Техника!$G$1:$ABN$500,T$2,0),$A$564,INDEX(Техника!$H$1:$ABO$500,T$2,0),"Л")</f>
        <v>0</v>
      </c>
      <c r="U568" s="50">
        <f>SUMIFS(INDEX(Техника!$F$1:$ABM$500,U$2,0),Техника!$F$4:$ABM$4,"Часы",INDEX(Техника!$G$1:$ABN$500,U$2,0),$A$564,INDEX(Техника!$H$1:$ABO$500,U$2,0),"Л")</f>
        <v>0</v>
      </c>
      <c r="V568" s="50">
        <f>SUMIFS(INDEX(Техника!$F$1:$ABM$500,V$2,0),Техника!$F$4:$ABM$4,"Часы",INDEX(Техника!$G$1:$ABN$500,V$2,0),$A$564,INDEX(Техника!$H$1:$ABO$500,V$2,0),"Л")</f>
        <v>0</v>
      </c>
      <c r="W568" s="50">
        <f>SUMIFS(INDEX(Техника!$F$1:$ABM$500,W$2,0),Техника!$F$4:$ABM$4,"Часы",INDEX(Техника!$G$1:$ABN$500,W$2,0),$A$564,INDEX(Техника!$H$1:$ABO$500,W$2,0),"Л")</f>
        <v>0</v>
      </c>
      <c r="X568" s="50">
        <f>SUMIFS(INDEX(Техника!$F$1:$ABM$500,X$2,0),Техника!$F$4:$ABM$4,"Часы",INDEX(Техника!$G$1:$ABN$500,X$2,0),$A$564,INDEX(Техника!$H$1:$ABO$500,X$2,0),"Л")</f>
        <v>0</v>
      </c>
      <c r="Y568" s="50">
        <f>SUMIFS(INDEX(Техника!$F$1:$ABM$500,Y$2,0),Техника!$F$4:$ABM$4,"Часы",INDEX(Техника!$G$1:$ABN$500,Y$2,0),$A$564,INDEX(Техника!$H$1:$ABO$500,Y$2,0),"Л")</f>
        <v>0</v>
      </c>
      <c r="Z568" s="50">
        <f>SUMIFS(INDEX(Техника!$F$1:$ABM$500,Z$2,0),Техника!$F$4:$ABM$4,"Часы",INDEX(Техника!$G$1:$ABN$500,Z$2,0),$A$564,INDEX(Техника!$H$1:$ABO$500,Z$2,0),"Л")</f>
        <v>0</v>
      </c>
      <c r="AA568" s="50">
        <f>SUMIFS(INDEX(Техника!$F$1:$ABM$500,AA$2,0),Техника!$F$4:$ABM$4,"Часы",INDEX(Техника!$G$1:$ABN$500,AA$2,0),$A$564,INDEX(Техника!$H$1:$ABO$500,AA$2,0),"Л")</f>
        <v>0</v>
      </c>
      <c r="AB568" s="50">
        <f>SUMIFS(INDEX(Техника!$F$1:$ABM$500,AB$2,0),Техника!$F$4:$ABM$4,"Часы",INDEX(Техника!$G$1:$ABN$500,AB$2,0),$A$564,INDEX(Техника!$H$1:$ABO$500,AB$2,0),"Л")</f>
        <v>0</v>
      </c>
    </row>
    <row r="569" spans="1:28" hidden="1" outlineLevel="1" x14ac:dyDescent="0.3">
      <c r="A569" s="33" t="s">
        <v>245</v>
      </c>
      <c r="B569" s="34" t="s">
        <v>279</v>
      </c>
      <c r="C569" s="50">
        <f>SUMIFS(INDEX(Техника!$F$1:$ABM$500,C$2,0),Техника!$F$4:$ABM$4,"Часы",INDEX(Техника!$G$1:$ABN$500,C$2,0),$A$564,INDEX(Техника!$H$1:$ABO$500,C$2,0),"З")</f>
        <v>0</v>
      </c>
      <c r="D569" s="50">
        <f>SUMIFS(INDEX(Техника!$F$1:$ABM$500,D$2,0),Техника!$F$4:$ABM$4,"Часы",INDEX(Техника!$G$1:$ABN$500,D$2,0),$A$564,INDEX(Техника!$H$1:$ABO$500,D$2,0),"З")</f>
        <v>0</v>
      </c>
      <c r="E569" s="50">
        <f>SUMIFS(INDEX(Техника!$F$1:$ABM$500,E$2,0),Техника!$F$4:$ABM$4,"Часы",INDEX(Техника!$G$1:$ABN$500,E$2,0),$A$564,INDEX(Техника!$H$1:$ABO$500,E$2,0),"З")</f>
        <v>0</v>
      </c>
      <c r="F569" s="50">
        <f>SUMIFS(INDEX(Техника!$F$1:$ABM$500,F$2,0),Техника!$F$4:$ABM$4,"Часы",INDEX(Техника!$G$1:$ABN$500,F$2,0),$A$564,INDEX(Техника!$H$1:$ABO$500,F$2,0),"З")</f>
        <v>0</v>
      </c>
      <c r="G569" s="50">
        <f>SUMIFS(INDEX(Техника!$F$1:$ABM$500,G$2,0),Техника!$F$4:$ABM$4,"Часы",INDEX(Техника!$G$1:$ABN$500,G$2,0),$A$564,INDEX(Техника!$H$1:$ABO$500,G$2,0),"З")</f>
        <v>0</v>
      </c>
      <c r="H569" s="50">
        <f>SUMIFS(INDEX(Техника!$F$1:$ABM$500,H$2,0),Техника!$F$4:$ABM$4,"Часы",INDEX(Техника!$G$1:$ABN$500,H$2,0),$A$564,INDEX(Техника!$H$1:$ABO$500,H$2,0),"З")</f>
        <v>0</v>
      </c>
      <c r="I569" s="50">
        <f>SUMIFS(INDEX(Техника!$F$1:$ABM$500,I$2,0),Техника!$F$4:$ABM$4,"Часы",INDEX(Техника!$G$1:$ABN$500,I$2,0),$A$564,INDEX(Техника!$H$1:$ABO$500,I$2,0),"З")</f>
        <v>0</v>
      </c>
      <c r="J569" s="50">
        <f>SUMIFS(INDEX(Техника!$F$1:$ABM$500,J$2,0),Техника!$F$4:$ABM$4,"Часы",INDEX(Техника!$G$1:$ABN$500,J$2,0),$A$564,INDEX(Техника!$H$1:$ABO$500,J$2,0),"З")</f>
        <v>0</v>
      </c>
      <c r="K569" s="50">
        <f>SUMIFS(INDEX(Техника!$F$1:$ABM$500,K$2,0),Техника!$F$4:$ABM$4,"Часы",INDEX(Техника!$G$1:$ABN$500,K$2,0),$A$564,INDEX(Техника!$H$1:$ABO$500,K$2,0),"З")</f>
        <v>0</v>
      </c>
      <c r="L569" s="50">
        <f>SUMIFS(INDEX(Техника!$F$1:$ABM$500,L$2,0),Техника!$F$4:$ABM$4,"Часы",INDEX(Техника!$G$1:$ABN$500,L$2,0),$A$564,INDEX(Техника!$H$1:$ABO$500,L$2,0),"З")</f>
        <v>0</v>
      </c>
      <c r="M569" s="50">
        <f>SUMIFS(INDEX(Техника!$F$1:$ABM$500,M$2,0),Техника!$F$4:$ABM$4,"Часы",INDEX(Техника!$G$1:$ABN$500,M$2,0),$A$564,INDEX(Техника!$H$1:$ABO$500,M$2,0),"З")</f>
        <v>0</v>
      </c>
      <c r="N569" s="50">
        <f>SUMIFS(INDEX(Техника!$F$1:$ABM$500,N$2,0),Техника!$F$4:$ABM$4,"Часы",INDEX(Техника!$G$1:$ABN$500,N$2,0),$A$564,INDEX(Техника!$H$1:$ABO$500,N$2,0),"З")</f>
        <v>0</v>
      </c>
      <c r="O569" s="50">
        <f>SUMIFS(INDEX(Техника!$F$1:$ABM$500,O$2,0),Техника!$F$4:$ABM$4,"Часы",INDEX(Техника!$G$1:$ABN$500,O$2,0),$A$564,INDEX(Техника!$H$1:$ABO$500,O$2,0),"З")</f>
        <v>0</v>
      </c>
      <c r="P569" s="50">
        <f>SUMIFS(INDEX(Техника!$F$1:$ABM$500,P$2,0),Техника!$F$4:$ABM$4,"Часы",INDEX(Техника!$G$1:$ABN$500,P$2,0),$A$564,INDEX(Техника!$H$1:$ABO$500,P$2,0),"З")</f>
        <v>0</v>
      </c>
      <c r="Q569" s="50">
        <f>SUMIFS(INDEX(Техника!$F$1:$ABM$500,Q$2,0),Техника!$F$4:$ABM$4,"Часы",INDEX(Техника!$G$1:$ABN$500,Q$2,0),$A$564,INDEX(Техника!$H$1:$ABO$500,Q$2,0),"З")</f>
        <v>0</v>
      </c>
      <c r="R569" s="50">
        <f>SUMIFS(INDEX(Техника!$F$1:$ABM$500,R$2,0),Техника!$F$4:$ABM$4,"Часы",INDEX(Техника!$G$1:$ABN$500,R$2,0),$A$564,INDEX(Техника!$H$1:$ABO$500,R$2,0),"З")</f>
        <v>0</v>
      </c>
      <c r="S569" s="50">
        <f>SUMIFS(INDEX(Техника!$F$1:$ABM$500,S$2,0),Техника!$F$4:$ABM$4,"Часы",INDEX(Техника!$G$1:$ABN$500,S$2,0),$A$564,INDEX(Техника!$H$1:$ABO$500,S$2,0),"З")</f>
        <v>0</v>
      </c>
      <c r="T569" s="50">
        <f>SUMIFS(INDEX(Техника!$F$1:$ABM$500,T$2,0),Техника!$F$4:$ABM$4,"Часы",INDEX(Техника!$G$1:$ABN$500,T$2,0),$A$564,INDEX(Техника!$H$1:$ABO$500,T$2,0),"З")</f>
        <v>0</v>
      </c>
      <c r="U569" s="50">
        <f>SUMIFS(INDEX(Техника!$F$1:$ABM$500,U$2,0),Техника!$F$4:$ABM$4,"Часы",INDEX(Техника!$G$1:$ABN$500,U$2,0),$A$564,INDEX(Техника!$H$1:$ABO$500,U$2,0),"З")</f>
        <v>0</v>
      </c>
      <c r="V569" s="50">
        <f>SUMIFS(INDEX(Техника!$F$1:$ABM$500,V$2,0),Техника!$F$4:$ABM$4,"Часы",INDEX(Техника!$G$1:$ABN$500,V$2,0),$A$564,INDEX(Техника!$H$1:$ABO$500,V$2,0),"З")</f>
        <v>0</v>
      </c>
      <c r="W569" s="50">
        <f>SUMIFS(INDEX(Техника!$F$1:$ABM$500,W$2,0),Техника!$F$4:$ABM$4,"Часы",INDEX(Техника!$G$1:$ABN$500,W$2,0),$A$564,INDEX(Техника!$H$1:$ABO$500,W$2,0),"З")</f>
        <v>0</v>
      </c>
      <c r="X569" s="50">
        <f>SUMIFS(INDEX(Техника!$F$1:$ABM$500,X$2,0),Техника!$F$4:$ABM$4,"Часы",INDEX(Техника!$G$1:$ABN$500,X$2,0),$A$564,INDEX(Техника!$H$1:$ABO$500,X$2,0),"З")</f>
        <v>0</v>
      </c>
      <c r="Y569" s="50">
        <f>SUMIFS(INDEX(Техника!$F$1:$ABM$500,Y$2,0),Техника!$F$4:$ABM$4,"Часы",INDEX(Техника!$G$1:$ABN$500,Y$2,0),$A$564,INDEX(Техника!$H$1:$ABO$500,Y$2,0),"З")</f>
        <v>0</v>
      </c>
      <c r="Z569" s="50">
        <f>SUMIFS(INDEX(Техника!$F$1:$ABM$500,Z$2,0),Техника!$F$4:$ABM$4,"Часы",INDEX(Техника!$G$1:$ABN$500,Z$2,0),$A$564,INDEX(Техника!$H$1:$ABO$500,Z$2,0),"З")</f>
        <v>0</v>
      </c>
      <c r="AA569" s="50">
        <f>SUMIFS(INDEX(Техника!$F$1:$ABM$500,AA$2,0),Техника!$F$4:$ABM$4,"Часы",INDEX(Техника!$G$1:$ABN$500,AA$2,0),$A$564,INDEX(Техника!$H$1:$ABO$500,AA$2,0),"З")</f>
        <v>0</v>
      </c>
      <c r="AB569" s="50">
        <f>SUMIFS(INDEX(Техника!$F$1:$ABM$500,AB$2,0),Техника!$F$4:$ABM$4,"Часы",INDEX(Техника!$G$1:$ABN$500,AB$2,0),$A$564,INDEX(Техника!$H$1:$ABO$500,AB$2,0),"З")</f>
        <v>0</v>
      </c>
    </row>
    <row r="570" spans="1:28" ht="7.95" customHeight="1" x14ac:dyDescent="0.3">
      <c r="A570" s="38"/>
      <c r="B570" s="39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</row>
    <row r="571" spans="1:28" ht="25.05" customHeight="1" collapsed="1" x14ac:dyDescent="0.3">
      <c r="A571" s="32">
        <v>82</v>
      </c>
      <c r="B571" s="32" t="s">
        <v>83</v>
      </c>
      <c r="C571" s="49">
        <f>SUM(C572:C576)</f>
        <v>0</v>
      </c>
      <c r="D571" s="49">
        <f>SUM(D572:D576)</f>
        <v>0</v>
      </c>
      <c r="E571" s="49">
        <f>SUM(E572:E576)</f>
        <v>0</v>
      </c>
      <c r="F571" s="49">
        <f>SUM(F572:F576)</f>
        <v>0</v>
      </c>
      <c r="G571" s="49">
        <f>SUM(G572:G576)</f>
        <v>0</v>
      </c>
      <c r="H571" s="49">
        <f>SUM(H572:H576)</f>
        <v>0</v>
      </c>
      <c r="I571" s="49">
        <f>SUM(I572:I576)</f>
        <v>0</v>
      </c>
      <c r="J571" s="49">
        <f>SUM(J572:J576)</f>
        <v>0</v>
      </c>
      <c r="K571" s="49">
        <f>SUM(K572:K576)</f>
        <v>0</v>
      </c>
      <c r="L571" s="49">
        <f>SUM(L572:L576)</f>
        <v>0</v>
      </c>
      <c r="M571" s="49">
        <f>SUM(M572:M576)</f>
        <v>0</v>
      </c>
      <c r="N571" s="49">
        <f>SUM(N572:N576)</f>
        <v>0</v>
      </c>
      <c r="O571" s="49">
        <f>SUM(O572:O576)</f>
        <v>0</v>
      </c>
      <c r="P571" s="49">
        <f>SUM(P572:P576)</f>
        <v>0</v>
      </c>
      <c r="Q571" s="49">
        <f>SUM(Q572:Q576)</f>
        <v>0</v>
      </c>
      <c r="R571" s="49">
        <f>SUM(R572:R576)</f>
        <v>0</v>
      </c>
      <c r="S571" s="49">
        <f>SUM(S572:S576)</f>
        <v>0</v>
      </c>
      <c r="T571" s="49">
        <f>SUM(T572:T576)</f>
        <v>0</v>
      </c>
      <c r="U571" s="49">
        <f>SUM(U572:U576)</f>
        <v>0</v>
      </c>
      <c r="V571" s="49">
        <f>SUM(V572:V576)</f>
        <v>0</v>
      </c>
      <c r="W571" s="49">
        <f>SUM(W572:W576)</f>
        <v>0</v>
      </c>
      <c r="X571" s="49">
        <f>SUM(X572:X576)</f>
        <v>0</v>
      </c>
      <c r="Y571" s="49">
        <f>SUM(Y572:Y576)</f>
        <v>0</v>
      </c>
      <c r="Z571" s="49">
        <f>SUM(Z572:Z576)</f>
        <v>0</v>
      </c>
      <c r="AA571" s="49">
        <f>SUM(AA572:AA576)</f>
        <v>0</v>
      </c>
      <c r="AB571" s="49">
        <f>SUM(AB572:AB576)</f>
        <v>0</v>
      </c>
    </row>
    <row r="572" spans="1:28" hidden="1" outlineLevel="1" x14ac:dyDescent="0.3">
      <c r="A572" s="33" t="s">
        <v>246</v>
      </c>
      <c r="B572" s="34" t="s">
        <v>274</v>
      </c>
      <c r="C572" s="50">
        <f>SUMIFS(INDEX(Техника!$F$1:$ABM$500,C$2,0),Техника!$F$4:$ABM$4,"Часы",INDEX(Техника!$G$1:$ABN$500,C$2,0),$A$571,INDEX(Техника!$H$1:$ABO$500,C$2,0),"М")</f>
        <v>0</v>
      </c>
      <c r="D572" s="50">
        <f>SUMIFS(INDEX(Техника!$F$1:$ABM$500,D$2,0),Техника!$F$4:$ABM$4,"Часы",INDEX(Техника!$G$1:$ABN$500,D$2,0),$A$571,INDEX(Техника!$H$1:$ABO$500,D$2,0),"М")</f>
        <v>0</v>
      </c>
      <c r="E572" s="50">
        <f>SUMIFS(INDEX(Техника!$F$1:$ABM$500,E$2,0),Техника!$F$4:$ABM$4,"Часы",INDEX(Техника!$G$1:$ABN$500,E$2,0),$A$571,INDEX(Техника!$H$1:$ABO$500,E$2,0),"М")</f>
        <v>0</v>
      </c>
      <c r="F572" s="50">
        <f>SUMIFS(INDEX(Техника!$F$1:$ABM$500,F$2,0),Техника!$F$4:$ABM$4,"Часы",INDEX(Техника!$G$1:$ABN$500,F$2,0),$A$571,INDEX(Техника!$H$1:$ABO$500,F$2,0),"М")</f>
        <v>0</v>
      </c>
      <c r="G572" s="50">
        <f>SUMIFS(INDEX(Техника!$F$1:$ABM$500,G$2,0),Техника!$F$4:$ABM$4,"Часы",INDEX(Техника!$G$1:$ABN$500,G$2,0),$A$571,INDEX(Техника!$H$1:$ABO$500,G$2,0),"М")</f>
        <v>0</v>
      </c>
      <c r="H572" s="50">
        <f>SUMIFS(INDEX(Техника!$F$1:$ABM$500,H$2,0),Техника!$F$4:$ABM$4,"Часы",INDEX(Техника!$G$1:$ABN$500,H$2,0),$A$571,INDEX(Техника!$H$1:$ABO$500,H$2,0),"М")</f>
        <v>0</v>
      </c>
      <c r="I572" s="50">
        <f>SUMIFS(INDEX(Техника!$F$1:$ABM$500,I$2,0),Техника!$F$4:$ABM$4,"Часы",INDEX(Техника!$G$1:$ABN$500,I$2,0),$A$571,INDEX(Техника!$H$1:$ABO$500,I$2,0),"М")</f>
        <v>0</v>
      </c>
      <c r="J572" s="50">
        <f>SUMIFS(INDEX(Техника!$F$1:$ABM$500,J$2,0),Техника!$F$4:$ABM$4,"Часы",INDEX(Техника!$G$1:$ABN$500,J$2,0),$A$571,INDEX(Техника!$H$1:$ABO$500,J$2,0),"М")</f>
        <v>0</v>
      </c>
      <c r="K572" s="50">
        <f>SUMIFS(INDEX(Техника!$F$1:$ABM$500,K$2,0),Техника!$F$4:$ABM$4,"Часы",INDEX(Техника!$G$1:$ABN$500,K$2,0),$A$571,INDEX(Техника!$H$1:$ABO$500,K$2,0),"М")</f>
        <v>0</v>
      </c>
      <c r="L572" s="50">
        <f>SUMIFS(INDEX(Техника!$F$1:$ABM$500,L$2,0),Техника!$F$4:$ABM$4,"Часы",INDEX(Техника!$G$1:$ABN$500,L$2,0),$A$571,INDEX(Техника!$H$1:$ABO$500,L$2,0),"М")</f>
        <v>0</v>
      </c>
      <c r="M572" s="50">
        <f>SUMIFS(INDEX(Техника!$F$1:$ABM$500,M$2,0),Техника!$F$4:$ABM$4,"Часы",INDEX(Техника!$G$1:$ABN$500,M$2,0),$A$571,INDEX(Техника!$H$1:$ABO$500,M$2,0),"М")</f>
        <v>0</v>
      </c>
      <c r="N572" s="50">
        <f>SUMIFS(INDEX(Техника!$F$1:$ABM$500,N$2,0),Техника!$F$4:$ABM$4,"Часы",INDEX(Техника!$G$1:$ABN$500,N$2,0),$A$571,INDEX(Техника!$H$1:$ABO$500,N$2,0),"М")</f>
        <v>0</v>
      </c>
      <c r="O572" s="50">
        <f>SUMIFS(INDEX(Техника!$F$1:$ABM$500,O$2,0),Техника!$F$4:$ABM$4,"Часы",INDEX(Техника!$G$1:$ABN$500,O$2,0),$A$571,INDEX(Техника!$H$1:$ABO$500,O$2,0),"М")</f>
        <v>0</v>
      </c>
      <c r="P572" s="50">
        <f>SUMIFS(INDEX(Техника!$F$1:$ABM$500,P$2,0),Техника!$F$4:$ABM$4,"Часы",INDEX(Техника!$G$1:$ABN$500,P$2,0),$A$571,INDEX(Техника!$H$1:$ABO$500,P$2,0),"М")</f>
        <v>0</v>
      </c>
      <c r="Q572" s="50">
        <f>SUMIFS(INDEX(Техника!$F$1:$ABM$500,Q$2,0),Техника!$F$4:$ABM$4,"Часы",INDEX(Техника!$G$1:$ABN$500,Q$2,0),$A$571,INDEX(Техника!$H$1:$ABO$500,Q$2,0),"М")</f>
        <v>0</v>
      </c>
      <c r="R572" s="50">
        <f>SUMIFS(INDEX(Техника!$F$1:$ABM$500,R$2,0),Техника!$F$4:$ABM$4,"Часы",INDEX(Техника!$G$1:$ABN$500,R$2,0),$A$571,INDEX(Техника!$H$1:$ABO$500,R$2,0),"М")</f>
        <v>0</v>
      </c>
      <c r="S572" s="50">
        <f>SUMIFS(INDEX(Техника!$F$1:$ABM$500,S$2,0),Техника!$F$4:$ABM$4,"Часы",INDEX(Техника!$G$1:$ABN$500,S$2,0),$A$571,INDEX(Техника!$H$1:$ABO$500,S$2,0),"М")</f>
        <v>0</v>
      </c>
      <c r="T572" s="50">
        <f>SUMIFS(INDEX(Техника!$F$1:$ABM$500,T$2,0),Техника!$F$4:$ABM$4,"Часы",INDEX(Техника!$G$1:$ABN$500,T$2,0),$A$571,INDEX(Техника!$H$1:$ABO$500,T$2,0),"М")</f>
        <v>0</v>
      </c>
      <c r="U572" s="50">
        <f>SUMIFS(INDEX(Техника!$F$1:$ABM$500,U$2,0),Техника!$F$4:$ABM$4,"Часы",INDEX(Техника!$G$1:$ABN$500,U$2,0),$A$571,INDEX(Техника!$H$1:$ABO$500,U$2,0),"М")</f>
        <v>0</v>
      </c>
      <c r="V572" s="50">
        <f>SUMIFS(INDEX(Техника!$F$1:$ABM$500,V$2,0),Техника!$F$4:$ABM$4,"Часы",INDEX(Техника!$G$1:$ABN$500,V$2,0),$A$571,INDEX(Техника!$H$1:$ABO$500,V$2,0),"М")</f>
        <v>0</v>
      </c>
      <c r="W572" s="50">
        <f>SUMIFS(INDEX(Техника!$F$1:$ABM$500,W$2,0),Техника!$F$4:$ABM$4,"Часы",INDEX(Техника!$G$1:$ABN$500,W$2,0),$A$571,INDEX(Техника!$H$1:$ABO$500,W$2,0),"М")</f>
        <v>0</v>
      </c>
      <c r="X572" s="50">
        <f>SUMIFS(INDEX(Техника!$F$1:$ABM$500,X$2,0),Техника!$F$4:$ABM$4,"Часы",INDEX(Техника!$G$1:$ABN$500,X$2,0),$A$571,INDEX(Техника!$H$1:$ABO$500,X$2,0),"М")</f>
        <v>0</v>
      </c>
      <c r="Y572" s="50">
        <f>SUMIFS(INDEX(Техника!$F$1:$ABM$500,Y$2,0),Техника!$F$4:$ABM$4,"Часы",INDEX(Техника!$G$1:$ABN$500,Y$2,0),$A$571,INDEX(Техника!$H$1:$ABO$500,Y$2,0),"М")</f>
        <v>0</v>
      </c>
      <c r="Z572" s="50">
        <f>SUMIFS(INDEX(Техника!$F$1:$ABM$500,Z$2,0),Техника!$F$4:$ABM$4,"Часы",INDEX(Техника!$G$1:$ABN$500,Z$2,0),$A$571,INDEX(Техника!$H$1:$ABO$500,Z$2,0),"М")</f>
        <v>0</v>
      </c>
      <c r="AA572" s="50">
        <f>SUMIFS(INDEX(Техника!$F$1:$ABM$500,AA$2,0),Техника!$F$4:$ABM$4,"Часы",INDEX(Техника!$G$1:$ABN$500,AA$2,0),$A$571,INDEX(Техника!$H$1:$ABO$500,AA$2,0),"М")</f>
        <v>0</v>
      </c>
      <c r="AB572" s="50">
        <f>SUMIFS(INDEX(Техника!$F$1:$ABM$500,AB$2,0),Техника!$F$4:$ABM$4,"Часы",INDEX(Техника!$G$1:$ABN$500,AB$2,0),$A$571,INDEX(Техника!$H$1:$ABO$500,AB$2,0),"М")</f>
        <v>0</v>
      </c>
    </row>
    <row r="573" spans="1:28" hidden="1" outlineLevel="1" x14ac:dyDescent="0.3">
      <c r="A573" s="33" t="s">
        <v>244</v>
      </c>
      <c r="B573" s="34" t="s">
        <v>275</v>
      </c>
      <c r="C573" s="50">
        <f>SUMIFS(INDEX(Техника!$F$1:$ABM$500,C$2,0),Техника!$F$4:$ABM$4,"Часы",INDEX(Техника!$G$1:$ABN$500,C$2,0),$A$571,INDEX(Техника!$H$1:$ABO$500,C$2,0),"Д")</f>
        <v>0</v>
      </c>
      <c r="D573" s="50">
        <f>SUMIFS(INDEX(Техника!$F$1:$ABM$500,D$2,0),Техника!$F$4:$ABM$4,"Часы",INDEX(Техника!$G$1:$ABN$500,D$2,0),$A$571,INDEX(Техника!$H$1:$ABO$500,D$2,0),"Д")</f>
        <v>0</v>
      </c>
      <c r="E573" s="50">
        <f>SUMIFS(INDEX(Техника!$F$1:$ABM$500,E$2,0),Техника!$F$4:$ABM$4,"Часы",INDEX(Техника!$G$1:$ABN$500,E$2,0),$A$571,INDEX(Техника!$H$1:$ABO$500,E$2,0),"Д")</f>
        <v>0</v>
      </c>
      <c r="F573" s="50">
        <f>SUMIFS(INDEX(Техника!$F$1:$ABM$500,F$2,0),Техника!$F$4:$ABM$4,"Часы",INDEX(Техника!$G$1:$ABN$500,F$2,0),$A$571,INDEX(Техника!$H$1:$ABO$500,F$2,0),"Д")</f>
        <v>0</v>
      </c>
      <c r="G573" s="50">
        <f>SUMIFS(INDEX(Техника!$F$1:$ABM$500,G$2,0),Техника!$F$4:$ABM$4,"Часы",INDEX(Техника!$G$1:$ABN$500,G$2,0),$A$571,INDEX(Техника!$H$1:$ABO$500,G$2,0),"Д")</f>
        <v>0</v>
      </c>
      <c r="H573" s="50">
        <f>SUMIFS(INDEX(Техника!$F$1:$ABM$500,H$2,0),Техника!$F$4:$ABM$4,"Часы",INDEX(Техника!$G$1:$ABN$500,H$2,0),$A$571,INDEX(Техника!$H$1:$ABO$500,H$2,0),"Д")</f>
        <v>0</v>
      </c>
      <c r="I573" s="50">
        <f>SUMIFS(INDEX(Техника!$F$1:$ABM$500,I$2,0),Техника!$F$4:$ABM$4,"Часы",INDEX(Техника!$G$1:$ABN$500,I$2,0),$A$571,INDEX(Техника!$H$1:$ABO$500,I$2,0),"Д")</f>
        <v>0</v>
      </c>
      <c r="J573" s="50">
        <f>SUMIFS(INDEX(Техника!$F$1:$ABM$500,J$2,0),Техника!$F$4:$ABM$4,"Часы",INDEX(Техника!$G$1:$ABN$500,J$2,0),$A$571,INDEX(Техника!$H$1:$ABO$500,J$2,0),"Д")</f>
        <v>0</v>
      </c>
      <c r="K573" s="50">
        <f>SUMIFS(INDEX(Техника!$F$1:$ABM$500,K$2,0),Техника!$F$4:$ABM$4,"Часы",INDEX(Техника!$G$1:$ABN$500,K$2,0),$A$571,INDEX(Техника!$H$1:$ABO$500,K$2,0),"Д")</f>
        <v>0</v>
      </c>
      <c r="L573" s="50">
        <f>SUMIFS(INDEX(Техника!$F$1:$ABM$500,L$2,0),Техника!$F$4:$ABM$4,"Часы",INDEX(Техника!$G$1:$ABN$500,L$2,0),$A$571,INDEX(Техника!$H$1:$ABO$500,L$2,0),"Д")</f>
        <v>0</v>
      </c>
      <c r="M573" s="50">
        <f>SUMIFS(INDEX(Техника!$F$1:$ABM$500,M$2,0),Техника!$F$4:$ABM$4,"Часы",INDEX(Техника!$G$1:$ABN$500,M$2,0),$A$571,INDEX(Техника!$H$1:$ABO$500,M$2,0),"Д")</f>
        <v>0</v>
      </c>
      <c r="N573" s="50">
        <f>SUMIFS(INDEX(Техника!$F$1:$ABM$500,N$2,0),Техника!$F$4:$ABM$4,"Часы",INDEX(Техника!$G$1:$ABN$500,N$2,0),$A$571,INDEX(Техника!$H$1:$ABO$500,N$2,0),"Д")</f>
        <v>0</v>
      </c>
      <c r="O573" s="50">
        <f>SUMIFS(INDEX(Техника!$F$1:$ABM$500,O$2,0),Техника!$F$4:$ABM$4,"Часы",INDEX(Техника!$G$1:$ABN$500,O$2,0),$A$571,INDEX(Техника!$H$1:$ABO$500,O$2,0),"Д")</f>
        <v>0</v>
      </c>
      <c r="P573" s="50">
        <f>SUMIFS(INDEX(Техника!$F$1:$ABM$500,P$2,0),Техника!$F$4:$ABM$4,"Часы",INDEX(Техника!$G$1:$ABN$500,P$2,0),$A$571,INDEX(Техника!$H$1:$ABO$500,P$2,0),"Д")</f>
        <v>0</v>
      </c>
      <c r="Q573" s="50">
        <f>SUMIFS(INDEX(Техника!$F$1:$ABM$500,Q$2,0),Техника!$F$4:$ABM$4,"Часы",INDEX(Техника!$G$1:$ABN$500,Q$2,0),$A$571,INDEX(Техника!$H$1:$ABO$500,Q$2,0),"Д")</f>
        <v>0</v>
      </c>
      <c r="R573" s="50">
        <f>SUMIFS(INDEX(Техника!$F$1:$ABM$500,R$2,0),Техника!$F$4:$ABM$4,"Часы",INDEX(Техника!$G$1:$ABN$500,R$2,0),$A$571,INDEX(Техника!$H$1:$ABO$500,R$2,0),"Д")</f>
        <v>0</v>
      </c>
      <c r="S573" s="50">
        <f>SUMIFS(INDEX(Техника!$F$1:$ABM$500,S$2,0),Техника!$F$4:$ABM$4,"Часы",INDEX(Техника!$G$1:$ABN$500,S$2,0),$A$571,INDEX(Техника!$H$1:$ABO$500,S$2,0),"Д")</f>
        <v>0</v>
      </c>
      <c r="T573" s="50">
        <f>SUMIFS(INDEX(Техника!$F$1:$ABM$500,T$2,0),Техника!$F$4:$ABM$4,"Часы",INDEX(Техника!$G$1:$ABN$500,T$2,0),$A$571,INDEX(Техника!$H$1:$ABO$500,T$2,0),"Д")</f>
        <v>0</v>
      </c>
      <c r="U573" s="50">
        <f>SUMIFS(INDEX(Техника!$F$1:$ABM$500,U$2,0),Техника!$F$4:$ABM$4,"Часы",INDEX(Техника!$G$1:$ABN$500,U$2,0),$A$571,INDEX(Техника!$H$1:$ABO$500,U$2,0),"Д")</f>
        <v>0</v>
      </c>
      <c r="V573" s="50">
        <f>SUMIFS(INDEX(Техника!$F$1:$ABM$500,V$2,0),Техника!$F$4:$ABM$4,"Часы",INDEX(Техника!$G$1:$ABN$500,V$2,0),$A$571,INDEX(Техника!$H$1:$ABO$500,V$2,0),"Д")</f>
        <v>0</v>
      </c>
      <c r="W573" s="50">
        <f>SUMIFS(INDEX(Техника!$F$1:$ABM$500,W$2,0),Техника!$F$4:$ABM$4,"Часы",INDEX(Техника!$G$1:$ABN$500,W$2,0),$A$571,INDEX(Техника!$H$1:$ABO$500,W$2,0),"Д")</f>
        <v>0</v>
      </c>
      <c r="X573" s="50">
        <f>SUMIFS(INDEX(Техника!$F$1:$ABM$500,X$2,0),Техника!$F$4:$ABM$4,"Часы",INDEX(Техника!$G$1:$ABN$500,X$2,0),$A$571,INDEX(Техника!$H$1:$ABO$500,X$2,0),"Д")</f>
        <v>0</v>
      </c>
      <c r="Y573" s="50">
        <f>SUMIFS(INDEX(Техника!$F$1:$ABM$500,Y$2,0),Техника!$F$4:$ABM$4,"Часы",INDEX(Техника!$G$1:$ABN$500,Y$2,0),$A$571,INDEX(Техника!$H$1:$ABO$500,Y$2,0),"Д")</f>
        <v>0</v>
      </c>
      <c r="Z573" s="50">
        <f>SUMIFS(INDEX(Техника!$F$1:$ABM$500,Z$2,0),Техника!$F$4:$ABM$4,"Часы",INDEX(Техника!$G$1:$ABN$500,Z$2,0),$A$571,INDEX(Техника!$H$1:$ABO$500,Z$2,0),"Д")</f>
        <v>0</v>
      </c>
      <c r="AA573" s="50">
        <f>SUMIFS(INDEX(Техника!$F$1:$ABM$500,AA$2,0),Техника!$F$4:$ABM$4,"Часы",INDEX(Техника!$G$1:$ABN$500,AA$2,0),$A$571,INDEX(Техника!$H$1:$ABO$500,AA$2,0),"Д")</f>
        <v>0</v>
      </c>
      <c r="AB573" s="50">
        <f>SUMIFS(INDEX(Техника!$F$1:$ABM$500,AB$2,0),Техника!$F$4:$ABM$4,"Часы",INDEX(Техника!$G$1:$ABN$500,AB$2,0),$A$571,INDEX(Техника!$H$1:$ABO$500,AB$2,0),"Д")</f>
        <v>0</v>
      </c>
    </row>
    <row r="574" spans="1:28" hidden="1" outlineLevel="1" x14ac:dyDescent="0.3">
      <c r="A574" s="33" t="s">
        <v>276</v>
      </c>
      <c r="B574" s="34" t="s">
        <v>277</v>
      </c>
      <c r="C574" s="50">
        <f>SUMIFS(INDEX(Техника!$F$1:$ABM$500,C$2,0),Техника!$F$4:$ABM$4,"Часы",INDEX(Техника!$G$1:$ABN$500,C$2,0),$A$571,INDEX(Техника!$H$1:$ABO$500,C$2,0),"П")</f>
        <v>0</v>
      </c>
      <c r="D574" s="50">
        <f>SUMIFS(INDEX(Техника!$F$1:$ABM$500,D$2,0),Техника!$F$4:$ABM$4,"Часы",INDEX(Техника!$G$1:$ABN$500,D$2,0),$A$571,INDEX(Техника!$H$1:$ABO$500,D$2,0),"П")</f>
        <v>0</v>
      </c>
      <c r="E574" s="50">
        <f>SUMIFS(INDEX(Техника!$F$1:$ABM$500,E$2,0),Техника!$F$4:$ABM$4,"Часы",INDEX(Техника!$G$1:$ABN$500,E$2,0),$A$571,INDEX(Техника!$H$1:$ABO$500,E$2,0),"П")</f>
        <v>0</v>
      </c>
      <c r="F574" s="50">
        <f>SUMIFS(INDEX(Техника!$F$1:$ABM$500,F$2,0),Техника!$F$4:$ABM$4,"Часы",INDEX(Техника!$G$1:$ABN$500,F$2,0),$A$571,INDEX(Техника!$H$1:$ABO$500,F$2,0),"П")</f>
        <v>0</v>
      </c>
      <c r="G574" s="50">
        <f>SUMIFS(INDEX(Техника!$F$1:$ABM$500,G$2,0),Техника!$F$4:$ABM$4,"Часы",INDEX(Техника!$G$1:$ABN$500,G$2,0),$A$571,INDEX(Техника!$H$1:$ABO$500,G$2,0),"П")</f>
        <v>0</v>
      </c>
      <c r="H574" s="50">
        <f>SUMIFS(INDEX(Техника!$F$1:$ABM$500,H$2,0),Техника!$F$4:$ABM$4,"Часы",INDEX(Техника!$G$1:$ABN$500,H$2,0),$A$571,INDEX(Техника!$H$1:$ABO$500,H$2,0),"П")</f>
        <v>0</v>
      </c>
      <c r="I574" s="50">
        <f>SUMIFS(INDEX(Техника!$F$1:$ABM$500,I$2,0),Техника!$F$4:$ABM$4,"Часы",INDEX(Техника!$G$1:$ABN$500,I$2,0),$A$571,INDEX(Техника!$H$1:$ABO$500,I$2,0),"П")</f>
        <v>0</v>
      </c>
      <c r="J574" s="50">
        <f>SUMIFS(INDEX(Техника!$F$1:$ABM$500,J$2,0),Техника!$F$4:$ABM$4,"Часы",INDEX(Техника!$G$1:$ABN$500,J$2,0),$A$571,INDEX(Техника!$H$1:$ABO$500,J$2,0),"П")</f>
        <v>0</v>
      </c>
      <c r="K574" s="50">
        <f>SUMIFS(INDEX(Техника!$F$1:$ABM$500,K$2,0),Техника!$F$4:$ABM$4,"Часы",INDEX(Техника!$G$1:$ABN$500,K$2,0),$A$571,INDEX(Техника!$H$1:$ABO$500,K$2,0),"П")</f>
        <v>0</v>
      </c>
      <c r="L574" s="50">
        <f>SUMIFS(INDEX(Техника!$F$1:$ABM$500,L$2,0),Техника!$F$4:$ABM$4,"Часы",INDEX(Техника!$G$1:$ABN$500,L$2,0),$A$571,INDEX(Техника!$H$1:$ABO$500,L$2,0),"П")</f>
        <v>0</v>
      </c>
      <c r="M574" s="50">
        <f>SUMIFS(INDEX(Техника!$F$1:$ABM$500,M$2,0),Техника!$F$4:$ABM$4,"Часы",INDEX(Техника!$G$1:$ABN$500,M$2,0),$A$571,INDEX(Техника!$H$1:$ABO$500,M$2,0),"П")</f>
        <v>0</v>
      </c>
      <c r="N574" s="50">
        <f>SUMIFS(INDEX(Техника!$F$1:$ABM$500,N$2,0),Техника!$F$4:$ABM$4,"Часы",INDEX(Техника!$G$1:$ABN$500,N$2,0),$A$571,INDEX(Техника!$H$1:$ABO$500,N$2,0),"П")</f>
        <v>0</v>
      </c>
      <c r="O574" s="50">
        <f>SUMIFS(INDEX(Техника!$F$1:$ABM$500,O$2,0),Техника!$F$4:$ABM$4,"Часы",INDEX(Техника!$G$1:$ABN$500,O$2,0),$A$571,INDEX(Техника!$H$1:$ABO$500,O$2,0),"П")</f>
        <v>0</v>
      </c>
      <c r="P574" s="50">
        <f>SUMIFS(INDEX(Техника!$F$1:$ABM$500,P$2,0),Техника!$F$4:$ABM$4,"Часы",INDEX(Техника!$G$1:$ABN$500,P$2,0),$A$571,INDEX(Техника!$H$1:$ABO$500,P$2,0),"П")</f>
        <v>0</v>
      </c>
      <c r="Q574" s="50">
        <f>SUMIFS(INDEX(Техника!$F$1:$ABM$500,Q$2,0),Техника!$F$4:$ABM$4,"Часы",INDEX(Техника!$G$1:$ABN$500,Q$2,0),$A$571,INDEX(Техника!$H$1:$ABO$500,Q$2,0),"П")</f>
        <v>0</v>
      </c>
      <c r="R574" s="50">
        <f>SUMIFS(INDEX(Техника!$F$1:$ABM$500,R$2,0),Техника!$F$4:$ABM$4,"Часы",INDEX(Техника!$G$1:$ABN$500,R$2,0),$A$571,INDEX(Техника!$H$1:$ABO$500,R$2,0),"П")</f>
        <v>0</v>
      </c>
      <c r="S574" s="50">
        <f>SUMIFS(INDEX(Техника!$F$1:$ABM$500,S$2,0),Техника!$F$4:$ABM$4,"Часы",INDEX(Техника!$G$1:$ABN$500,S$2,0),$A$571,INDEX(Техника!$H$1:$ABO$500,S$2,0),"П")</f>
        <v>0</v>
      </c>
      <c r="T574" s="50">
        <f>SUMIFS(INDEX(Техника!$F$1:$ABM$500,T$2,0),Техника!$F$4:$ABM$4,"Часы",INDEX(Техника!$G$1:$ABN$500,T$2,0),$A$571,INDEX(Техника!$H$1:$ABO$500,T$2,0),"П")</f>
        <v>0</v>
      </c>
      <c r="U574" s="50">
        <f>SUMIFS(INDEX(Техника!$F$1:$ABM$500,U$2,0),Техника!$F$4:$ABM$4,"Часы",INDEX(Техника!$G$1:$ABN$500,U$2,0),$A$571,INDEX(Техника!$H$1:$ABO$500,U$2,0),"П")</f>
        <v>0</v>
      </c>
      <c r="V574" s="50">
        <f>SUMIFS(INDEX(Техника!$F$1:$ABM$500,V$2,0),Техника!$F$4:$ABM$4,"Часы",INDEX(Техника!$G$1:$ABN$500,V$2,0),$A$571,INDEX(Техника!$H$1:$ABO$500,V$2,0),"П")</f>
        <v>0</v>
      </c>
      <c r="W574" s="50">
        <f>SUMIFS(INDEX(Техника!$F$1:$ABM$500,W$2,0),Техника!$F$4:$ABM$4,"Часы",INDEX(Техника!$G$1:$ABN$500,W$2,0),$A$571,INDEX(Техника!$H$1:$ABO$500,W$2,0),"П")</f>
        <v>0</v>
      </c>
      <c r="X574" s="50">
        <f>SUMIFS(INDEX(Техника!$F$1:$ABM$500,X$2,0),Техника!$F$4:$ABM$4,"Часы",INDEX(Техника!$G$1:$ABN$500,X$2,0),$A$571,INDEX(Техника!$H$1:$ABO$500,X$2,0),"П")</f>
        <v>0</v>
      </c>
      <c r="Y574" s="50">
        <f>SUMIFS(INDEX(Техника!$F$1:$ABM$500,Y$2,0),Техника!$F$4:$ABM$4,"Часы",INDEX(Техника!$G$1:$ABN$500,Y$2,0),$A$571,INDEX(Техника!$H$1:$ABO$500,Y$2,0),"П")</f>
        <v>0</v>
      </c>
      <c r="Z574" s="50">
        <f>SUMIFS(INDEX(Техника!$F$1:$ABM$500,Z$2,0),Техника!$F$4:$ABM$4,"Часы",INDEX(Техника!$G$1:$ABN$500,Z$2,0),$A$571,INDEX(Техника!$H$1:$ABO$500,Z$2,0),"П")</f>
        <v>0</v>
      </c>
      <c r="AA574" s="50">
        <f>SUMIFS(INDEX(Техника!$F$1:$ABM$500,AA$2,0),Техника!$F$4:$ABM$4,"Часы",INDEX(Техника!$G$1:$ABN$500,AA$2,0),$A$571,INDEX(Техника!$H$1:$ABO$500,AA$2,0),"П")</f>
        <v>0</v>
      </c>
      <c r="AB574" s="50">
        <f>SUMIFS(INDEX(Техника!$F$1:$ABM$500,AB$2,0),Техника!$F$4:$ABM$4,"Часы",INDEX(Техника!$G$1:$ABN$500,AB$2,0),$A$571,INDEX(Техника!$H$1:$ABO$500,AB$2,0),"П")</f>
        <v>0</v>
      </c>
    </row>
    <row r="575" spans="1:28" hidden="1" outlineLevel="1" x14ac:dyDescent="0.3">
      <c r="A575" s="33" t="s">
        <v>243</v>
      </c>
      <c r="B575" s="34" t="s">
        <v>278</v>
      </c>
      <c r="C575" s="50">
        <f>SUMIFS(INDEX(Техника!$F$1:$ABM$500,C$2,0),Техника!$F$4:$ABM$4,"Часы",INDEX(Техника!$G$1:$ABN$500,C$2,0),$A$571,INDEX(Техника!$H$1:$ABO$500,C$2,0),"Л")</f>
        <v>0</v>
      </c>
      <c r="D575" s="50">
        <f>SUMIFS(INDEX(Техника!$F$1:$ABM$500,D$2,0),Техника!$F$4:$ABM$4,"Часы",INDEX(Техника!$G$1:$ABN$500,D$2,0),$A$571,INDEX(Техника!$H$1:$ABO$500,D$2,0),"Л")</f>
        <v>0</v>
      </c>
      <c r="E575" s="50">
        <f>SUMIFS(INDEX(Техника!$F$1:$ABM$500,E$2,0),Техника!$F$4:$ABM$4,"Часы",INDEX(Техника!$G$1:$ABN$500,E$2,0),$A$571,INDEX(Техника!$H$1:$ABO$500,E$2,0),"Л")</f>
        <v>0</v>
      </c>
      <c r="F575" s="50">
        <f>SUMIFS(INDEX(Техника!$F$1:$ABM$500,F$2,0),Техника!$F$4:$ABM$4,"Часы",INDEX(Техника!$G$1:$ABN$500,F$2,0),$A$571,INDEX(Техника!$H$1:$ABO$500,F$2,0),"Л")</f>
        <v>0</v>
      </c>
      <c r="G575" s="50">
        <f>SUMIFS(INDEX(Техника!$F$1:$ABM$500,G$2,0),Техника!$F$4:$ABM$4,"Часы",INDEX(Техника!$G$1:$ABN$500,G$2,0),$A$571,INDEX(Техника!$H$1:$ABO$500,G$2,0),"Л")</f>
        <v>0</v>
      </c>
      <c r="H575" s="50">
        <f>SUMIFS(INDEX(Техника!$F$1:$ABM$500,H$2,0),Техника!$F$4:$ABM$4,"Часы",INDEX(Техника!$G$1:$ABN$500,H$2,0),$A$571,INDEX(Техника!$H$1:$ABO$500,H$2,0),"Л")</f>
        <v>0</v>
      </c>
      <c r="I575" s="50">
        <f>SUMIFS(INDEX(Техника!$F$1:$ABM$500,I$2,0),Техника!$F$4:$ABM$4,"Часы",INDEX(Техника!$G$1:$ABN$500,I$2,0),$A$571,INDEX(Техника!$H$1:$ABO$500,I$2,0),"Л")</f>
        <v>0</v>
      </c>
      <c r="J575" s="50">
        <f>SUMIFS(INDEX(Техника!$F$1:$ABM$500,J$2,0),Техника!$F$4:$ABM$4,"Часы",INDEX(Техника!$G$1:$ABN$500,J$2,0),$A$571,INDEX(Техника!$H$1:$ABO$500,J$2,0),"Л")</f>
        <v>0</v>
      </c>
      <c r="K575" s="50">
        <f>SUMIFS(INDEX(Техника!$F$1:$ABM$500,K$2,0),Техника!$F$4:$ABM$4,"Часы",INDEX(Техника!$G$1:$ABN$500,K$2,0),$A$571,INDEX(Техника!$H$1:$ABO$500,K$2,0),"Л")</f>
        <v>0</v>
      </c>
      <c r="L575" s="50">
        <f>SUMIFS(INDEX(Техника!$F$1:$ABM$500,L$2,0),Техника!$F$4:$ABM$4,"Часы",INDEX(Техника!$G$1:$ABN$500,L$2,0),$A$571,INDEX(Техника!$H$1:$ABO$500,L$2,0),"Л")</f>
        <v>0</v>
      </c>
      <c r="M575" s="50">
        <f>SUMIFS(INDEX(Техника!$F$1:$ABM$500,M$2,0),Техника!$F$4:$ABM$4,"Часы",INDEX(Техника!$G$1:$ABN$500,M$2,0),$A$571,INDEX(Техника!$H$1:$ABO$500,M$2,0),"Л")</f>
        <v>0</v>
      </c>
      <c r="N575" s="50">
        <f>SUMIFS(INDEX(Техника!$F$1:$ABM$500,N$2,0),Техника!$F$4:$ABM$4,"Часы",INDEX(Техника!$G$1:$ABN$500,N$2,0),$A$571,INDEX(Техника!$H$1:$ABO$500,N$2,0),"Л")</f>
        <v>0</v>
      </c>
      <c r="O575" s="50">
        <f>SUMIFS(INDEX(Техника!$F$1:$ABM$500,O$2,0),Техника!$F$4:$ABM$4,"Часы",INDEX(Техника!$G$1:$ABN$500,O$2,0),$A$571,INDEX(Техника!$H$1:$ABO$500,O$2,0),"Л")</f>
        <v>0</v>
      </c>
      <c r="P575" s="50">
        <f>SUMIFS(INDEX(Техника!$F$1:$ABM$500,P$2,0),Техника!$F$4:$ABM$4,"Часы",INDEX(Техника!$G$1:$ABN$500,P$2,0),$A$571,INDEX(Техника!$H$1:$ABO$500,P$2,0),"Л")</f>
        <v>0</v>
      </c>
      <c r="Q575" s="50">
        <f>SUMIFS(INDEX(Техника!$F$1:$ABM$500,Q$2,0),Техника!$F$4:$ABM$4,"Часы",INDEX(Техника!$G$1:$ABN$500,Q$2,0),$A$571,INDEX(Техника!$H$1:$ABO$500,Q$2,0),"Л")</f>
        <v>0</v>
      </c>
      <c r="R575" s="50">
        <f>SUMIFS(INDEX(Техника!$F$1:$ABM$500,R$2,0),Техника!$F$4:$ABM$4,"Часы",INDEX(Техника!$G$1:$ABN$500,R$2,0),$A$571,INDEX(Техника!$H$1:$ABO$500,R$2,0),"Л")</f>
        <v>0</v>
      </c>
      <c r="S575" s="50">
        <f>SUMIFS(INDEX(Техника!$F$1:$ABM$500,S$2,0),Техника!$F$4:$ABM$4,"Часы",INDEX(Техника!$G$1:$ABN$500,S$2,0),$A$571,INDEX(Техника!$H$1:$ABO$500,S$2,0),"Л")</f>
        <v>0</v>
      </c>
      <c r="T575" s="50">
        <f>SUMIFS(INDEX(Техника!$F$1:$ABM$500,T$2,0),Техника!$F$4:$ABM$4,"Часы",INDEX(Техника!$G$1:$ABN$500,T$2,0),$A$571,INDEX(Техника!$H$1:$ABO$500,T$2,0),"Л")</f>
        <v>0</v>
      </c>
      <c r="U575" s="50">
        <f>SUMIFS(INDEX(Техника!$F$1:$ABM$500,U$2,0),Техника!$F$4:$ABM$4,"Часы",INDEX(Техника!$G$1:$ABN$500,U$2,0),$A$571,INDEX(Техника!$H$1:$ABO$500,U$2,0),"Л")</f>
        <v>0</v>
      </c>
      <c r="V575" s="50">
        <f>SUMIFS(INDEX(Техника!$F$1:$ABM$500,V$2,0),Техника!$F$4:$ABM$4,"Часы",INDEX(Техника!$G$1:$ABN$500,V$2,0),$A$571,INDEX(Техника!$H$1:$ABO$500,V$2,0),"Л")</f>
        <v>0</v>
      </c>
      <c r="W575" s="50">
        <f>SUMIFS(INDEX(Техника!$F$1:$ABM$500,W$2,0),Техника!$F$4:$ABM$4,"Часы",INDEX(Техника!$G$1:$ABN$500,W$2,0),$A$571,INDEX(Техника!$H$1:$ABO$500,W$2,0),"Л")</f>
        <v>0</v>
      </c>
      <c r="X575" s="50">
        <f>SUMIFS(INDEX(Техника!$F$1:$ABM$500,X$2,0),Техника!$F$4:$ABM$4,"Часы",INDEX(Техника!$G$1:$ABN$500,X$2,0),$A$571,INDEX(Техника!$H$1:$ABO$500,X$2,0),"Л")</f>
        <v>0</v>
      </c>
      <c r="Y575" s="50">
        <f>SUMIFS(INDEX(Техника!$F$1:$ABM$500,Y$2,0),Техника!$F$4:$ABM$4,"Часы",INDEX(Техника!$G$1:$ABN$500,Y$2,0),$A$571,INDEX(Техника!$H$1:$ABO$500,Y$2,0),"Л")</f>
        <v>0</v>
      </c>
      <c r="Z575" s="50">
        <f>SUMIFS(INDEX(Техника!$F$1:$ABM$500,Z$2,0),Техника!$F$4:$ABM$4,"Часы",INDEX(Техника!$G$1:$ABN$500,Z$2,0),$A$571,INDEX(Техника!$H$1:$ABO$500,Z$2,0),"Л")</f>
        <v>0</v>
      </c>
      <c r="AA575" s="50">
        <f>SUMIFS(INDEX(Техника!$F$1:$ABM$500,AA$2,0),Техника!$F$4:$ABM$4,"Часы",INDEX(Техника!$G$1:$ABN$500,AA$2,0),$A$571,INDEX(Техника!$H$1:$ABO$500,AA$2,0),"Л")</f>
        <v>0</v>
      </c>
      <c r="AB575" s="50">
        <f>SUMIFS(INDEX(Техника!$F$1:$ABM$500,AB$2,0),Техника!$F$4:$ABM$4,"Часы",INDEX(Техника!$G$1:$ABN$500,AB$2,0),$A$571,INDEX(Техника!$H$1:$ABO$500,AB$2,0),"Л")</f>
        <v>0</v>
      </c>
    </row>
    <row r="576" spans="1:28" hidden="1" outlineLevel="1" x14ac:dyDescent="0.3">
      <c r="A576" s="33" t="s">
        <v>245</v>
      </c>
      <c r="B576" s="34" t="s">
        <v>279</v>
      </c>
      <c r="C576" s="50">
        <f>SUMIFS(INDEX(Техника!$F$1:$ABM$500,C$2,0),Техника!$F$4:$ABM$4,"Часы",INDEX(Техника!$G$1:$ABN$500,C$2,0),$A$571,INDEX(Техника!$H$1:$ABO$500,C$2,0),"З")</f>
        <v>0</v>
      </c>
      <c r="D576" s="50">
        <f>SUMIFS(INDEX(Техника!$F$1:$ABM$500,D$2,0),Техника!$F$4:$ABM$4,"Часы",INDEX(Техника!$G$1:$ABN$500,D$2,0),$A$571,INDEX(Техника!$H$1:$ABO$500,D$2,0),"З")</f>
        <v>0</v>
      </c>
      <c r="E576" s="50">
        <f>SUMIFS(INDEX(Техника!$F$1:$ABM$500,E$2,0),Техника!$F$4:$ABM$4,"Часы",INDEX(Техника!$G$1:$ABN$500,E$2,0),$A$571,INDEX(Техника!$H$1:$ABO$500,E$2,0),"З")</f>
        <v>0</v>
      </c>
      <c r="F576" s="50">
        <f>SUMIFS(INDEX(Техника!$F$1:$ABM$500,F$2,0),Техника!$F$4:$ABM$4,"Часы",INDEX(Техника!$G$1:$ABN$500,F$2,0),$A$571,INDEX(Техника!$H$1:$ABO$500,F$2,0),"З")</f>
        <v>0</v>
      </c>
      <c r="G576" s="50">
        <f>SUMIFS(INDEX(Техника!$F$1:$ABM$500,G$2,0),Техника!$F$4:$ABM$4,"Часы",INDEX(Техника!$G$1:$ABN$500,G$2,0),$A$571,INDEX(Техника!$H$1:$ABO$500,G$2,0),"З")</f>
        <v>0</v>
      </c>
      <c r="H576" s="50">
        <f>SUMIFS(INDEX(Техника!$F$1:$ABM$500,H$2,0),Техника!$F$4:$ABM$4,"Часы",INDEX(Техника!$G$1:$ABN$500,H$2,0),$A$571,INDEX(Техника!$H$1:$ABO$500,H$2,0),"З")</f>
        <v>0</v>
      </c>
      <c r="I576" s="50">
        <f>SUMIFS(INDEX(Техника!$F$1:$ABM$500,I$2,0),Техника!$F$4:$ABM$4,"Часы",INDEX(Техника!$G$1:$ABN$500,I$2,0),$A$571,INDEX(Техника!$H$1:$ABO$500,I$2,0),"З")</f>
        <v>0</v>
      </c>
      <c r="J576" s="50">
        <f>SUMIFS(INDEX(Техника!$F$1:$ABM$500,J$2,0),Техника!$F$4:$ABM$4,"Часы",INDEX(Техника!$G$1:$ABN$500,J$2,0),$A$571,INDEX(Техника!$H$1:$ABO$500,J$2,0),"З")</f>
        <v>0</v>
      </c>
      <c r="K576" s="50">
        <f>SUMIFS(INDEX(Техника!$F$1:$ABM$500,K$2,0),Техника!$F$4:$ABM$4,"Часы",INDEX(Техника!$G$1:$ABN$500,K$2,0),$A$571,INDEX(Техника!$H$1:$ABO$500,K$2,0),"З")</f>
        <v>0</v>
      </c>
      <c r="L576" s="50">
        <f>SUMIFS(INDEX(Техника!$F$1:$ABM$500,L$2,0),Техника!$F$4:$ABM$4,"Часы",INDEX(Техника!$G$1:$ABN$500,L$2,0),$A$571,INDEX(Техника!$H$1:$ABO$500,L$2,0),"З")</f>
        <v>0</v>
      </c>
      <c r="M576" s="50">
        <f>SUMIFS(INDEX(Техника!$F$1:$ABM$500,M$2,0),Техника!$F$4:$ABM$4,"Часы",INDEX(Техника!$G$1:$ABN$500,M$2,0),$A$571,INDEX(Техника!$H$1:$ABO$500,M$2,0),"З")</f>
        <v>0</v>
      </c>
      <c r="N576" s="50">
        <f>SUMIFS(INDEX(Техника!$F$1:$ABM$500,N$2,0),Техника!$F$4:$ABM$4,"Часы",INDEX(Техника!$G$1:$ABN$500,N$2,0),$A$571,INDEX(Техника!$H$1:$ABO$500,N$2,0),"З")</f>
        <v>0</v>
      </c>
      <c r="O576" s="50">
        <f>SUMIFS(INDEX(Техника!$F$1:$ABM$500,O$2,0),Техника!$F$4:$ABM$4,"Часы",INDEX(Техника!$G$1:$ABN$500,O$2,0),$A$571,INDEX(Техника!$H$1:$ABO$500,O$2,0),"З")</f>
        <v>0</v>
      </c>
      <c r="P576" s="50">
        <f>SUMIFS(INDEX(Техника!$F$1:$ABM$500,P$2,0),Техника!$F$4:$ABM$4,"Часы",INDEX(Техника!$G$1:$ABN$500,P$2,0),$A$571,INDEX(Техника!$H$1:$ABO$500,P$2,0),"З")</f>
        <v>0</v>
      </c>
      <c r="Q576" s="50">
        <f>SUMIFS(INDEX(Техника!$F$1:$ABM$500,Q$2,0),Техника!$F$4:$ABM$4,"Часы",INDEX(Техника!$G$1:$ABN$500,Q$2,0),$A$571,INDEX(Техника!$H$1:$ABO$500,Q$2,0),"З")</f>
        <v>0</v>
      </c>
      <c r="R576" s="50">
        <f>SUMIFS(INDEX(Техника!$F$1:$ABM$500,R$2,0),Техника!$F$4:$ABM$4,"Часы",INDEX(Техника!$G$1:$ABN$500,R$2,0),$A$571,INDEX(Техника!$H$1:$ABO$500,R$2,0),"З")</f>
        <v>0</v>
      </c>
      <c r="S576" s="50">
        <f>SUMIFS(INDEX(Техника!$F$1:$ABM$500,S$2,0),Техника!$F$4:$ABM$4,"Часы",INDEX(Техника!$G$1:$ABN$500,S$2,0),$A$571,INDEX(Техника!$H$1:$ABO$500,S$2,0),"З")</f>
        <v>0</v>
      </c>
      <c r="T576" s="50">
        <f>SUMIFS(INDEX(Техника!$F$1:$ABM$500,T$2,0),Техника!$F$4:$ABM$4,"Часы",INDEX(Техника!$G$1:$ABN$500,T$2,0),$A$571,INDEX(Техника!$H$1:$ABO$500,T$2,0),"З")</f>
        <v>0</v>
      </c>
      <c r="U576" s="50">
        <f>SUMIFS(INDEX(Техника!$F$1:$ABM$500,U$2,0),Техника!$F$4:$ABM$4,"Часы",INDEX(Техника!$G$1:$ABN$500,U$2,0),$A$571,INDEX(Техника!$H$1:$ABO$500,U$2,0),"З")</f>
        <v>0</v>
      </c>
      <c r="V576" s="50">
        <f>SUMIFS(INDEX(Техника!$F$1:$ABM$500,V$2,0),Техника!$F$4:$ABM$4,"Часы",INDEX(Техника!$G$1:$ABN$500,V$2,0),$A$571,INDEX(Техника!$H$1:$ABO$500,V$2,0),"З")</f>
        <v>0</v>
      </c>
      <c r="W576" s="50">
        <f>SUMIFS(INDEX(Техника!$F$1:$ABM$500,W$2,0),Техника!$F$4:$ABM$4,"Часы",INDEX(Техника!$G$1:$ABN$500,W$2,0),$A$571,INDEX(Техника!$H$1:$ABO$500,W$2,0),"З")</f>
        <v>0</v>
      </c>
      <c r="X576" s="50">
        <f>SUMIFS(INDEX(Техника!$F$1:$ABM$500,X$2,0),Техника!$F$4:$ABM$4,"Часы",INDEX(Техника!$G$1:$ABN$500,X$2,0),$A$571,INDEX(Техника!$H$1:$ABO$500,X$2,0),"З")</f>
        <v>0</v>
      </c>
      <c r="Y576" s="50">
        <f>SUMIFS(INDEX(Техника!$F$1:$ABM$500,Y$2,0),Техника!$F$4:$ABM$4,"Часы",INDEX(Техника!$G$1:$ABN$500,Y$2,0),$A$571,INDEX(Техника!$H$1:$ABO$500,Y$2,0),"З")</f>
        <v>0</v>
      </c>
      <c r="Z576" s="50">
        <f>SUMIFS(INDEX(Техника!$F$1:$ABM$500,Z$2,0),Техника!$F$4:$ABM$4,"Часы",INDEX(Техника!$G$1:$ABN$500,Z$2,0),$A$571,INDEX(Техника!$H$1:$ABO$500,Z$2,0),"З")</f>
        <v>0</v>
      </c>
      <c r="AA576" s="50">
        <f>SUMIFS(INDEX(Техника!$F$1:$ABM$500,AA$2,0),Техника!$F$4:$ABM$4,"Часы",INDEX(Техника!$G$1:$ABN$500,AA$2,0),$A$571,INDEX(Техника!$H$1:$ABO$500,AA$2,0),"З")</f>
        <v>0</v>
      </c>
      <c r="AB576" s="50">
        <f>SUMIFS(INDEX(Техника!$F$1:$ABM$500,AB$2,0),Техника!$F$4:$ABM$4,"Часы",INDEX(Техника!$G$1:$ABN$500,AB$2,0),$A$571,INDEX(Техника!$H$1:$ABO$500,AB$2,0),"З")</f>
        <v>0</v>
      </c>
    </row>
    <row r="577" spans="1:28" ht="7.95" customHeight="1" x14ac:dyDescent="0.3">
      <c r="A577" s="38"/>
      <c r="B577" s="39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</row>
    <row r="578" spans="1:28" ht="25.05" customHeight="1" collapsed="1" x14ac:dyDescent="0.3">
      <c r="A578" s="32">
        <v>83</v>
      </c>
      <c r="B578" s="32" t="s">
        <v>84</v>
      </c>
      <c r="C578" s="49">
        <f>SUM(C579:C583)</f>
        <v>0</v>
      </c>
      <c r="D578" s="49">
        <f>SUM(D579:D583)</f>
        <v>0</v>
      </c>
      <c r="E578" s="49">
        <f>SUM(E579:E583)</f>
        <v>0</v>
      </c>
      <c r="F578" s="49">
        <f>SUM(F579:F583)</f>
        <v>0</v>
      </c>
      <c r="G578" s="49">
        <f>SUM(G579:G583)</f>
        <v>0</v>
      </c>
      <c r="H578" s="49">
        <f>SUM(H579:H583)</f>
        <v>0</v>
      </c>
      <c r="I578" s="49">
        <f>SUM(I579:I583)</f>
        <v>0</v>
      </c>
      <c r="J578" s="49">
        <f>SUM(J579:J583)</f>
        <v>0</v>
      </c>
      <c r="K578" s="49">
        <f>SUM(K579:K583)</f>
        <v>0</v>
      </c>
      <c r="L578" s="49">
        <f>SUM(L579:L583)</f>
        <v>0</v>
      </c>
      <c r="M578" s="49">
        <f>SUM(M579:M583)</f>
        <v>0</v>
      </c>
      <c r="N578" s="49">
        <f>SUM(N579:N583)</f>
        <v>0</v>
      </c>
      <c r="O578" s="49">
        <f>SUM(O579:O583)</f>
        <v>0</v>
      </c>
      <c r="P578" s="49">
        <f>SUM(P579:P583)</f>
        <v>0</v>
      </c>
      <c r="Q578" s="49">
        <f>SUM(Q579:Q583)</f>
        <v>0</v>
      </c>
      <c r="R578" s="49">
        <f>SUM(R579:R583)</f>
        <v>0</v>
      </c>
      <c r="S578" s="49">
        <f>SUM(S579:S583)</f>
        <v>0</v>
      </c>
      <c r="T578" s="49">
        <f>SUM(T579:T583)</f>
        <v>0</v>
      </c>
      <c r="U578" s="49">
        <f>SUM(U579:U583)</f>
        <v>0</v>
      </c>
      <c r="V578" s="49">
        <f>SUM(V579:V583)</f>
        <v>0</v>
      </c>
      <c r="W578" s="49">
        <f>SUM(W579:W583)</f>
        <v>0</v>
      </c>
      <c r="X578" s="49">
        <f>SUM(X579:X583)</f>
        <v>0</v>
      </c>
      <c r="Y578" s="49">
        <f>SUM(Y579:Y583)</f>
        <v>0</v>
      </c>
      <c r="Z578" s="49">
        <f>SUM(Z579:Z583)</f>
        <v>0</v>
      </c>
      <c r="AA578" s="49">
        <f>SUM(AA579:AA583)</f>
        <v>0</v>
      </c>
      <c r="AB578" s="49">
        <f>SUM(AB579:AB583)</f>
        <v>0</v>
      </c>
    </row>
    <row r="579" spans="1:28" hidden="1" outlineLevel="1" x14ac:dyDescent="0.3">
      <c r="A579" s="33" t="s">
        <v>246</v>
      </c>
      <c r="B579" s="34" t="s">
        <v>274</v>
      </c>
      <c r="C579" s="50">
        <f>SUMIFS(INDEX(Техника!$F$1:$ABM$500,C$2,0),Техника!$F$4:$ABM$4,"Часы",INDEX(Техника!$G$1:$ABN$500,C$2,0),$A$578,INDEX(Техника!$H$1:$ABO$500,C$2,0),"М")</f>
        <v>0</v>
      </c>
      <c r="D579" s="50">
        <f>SUMIFS(INDEX(Техника!$F$1:$ABM$500,D$2,0),Техника!$F$4:$ABM$4,"Часы",INDEX(Техника!$G$1:$ABN$500,D$2,0),$A$578,INDEX(Техника!$H$1:$ABO$500,D$2,0),"М")</f>
        <v>0</v>
      </c>
      <c r="E579" s="50">
        <f>SUMIFS(INDEX(Техника!$F$1:$ABM$500,E$2,0),Техника!$F$4:$ABM$4,"Часы",INDEX(Техника!$G$1:$ABN$500,E$2,0),$A$578,INDEX(Техника!$H$1:$ABO$500,E$2,0),"М")</f>
        <v>0</v>
      </c>
      <c r="F579" s="50">
        <f>SUMIFS(INDEX(Техника!$F$1:$ABM$500,F$2,0),Техника!$F$4:$ABM$4,"Часы",INDEX(Техника!$G$1:$ABN$500,F$2,0),$A$578,INDEX(Техника!$H$1:$ABO$500,F$2,0),"М")</f>
        <v>0</v>
      </c>
      <c r="G579" s="50">
        <f>SUMIFS(INDEX(Техника!$F$1:$ABM$500,G$2,0),Техника!$F$4:$ABM$4,"Часы",INDEX(Техника!$G$1:$ABN$500,G$2,0),$A$578,INDEX(Техника!$H$1:$ABO$500,G$2,0),"М")</f>
        <v>0</v>
      </c>
      <c r="H579" s="50">
        <f>SUMIFS(INDEX(Техника!$F$1:$ABM$500,H$2,0),Техника!$F$4:$ABM$4,"Часы",INDEX(Техника!$G$1:$ABN$500,H$2,0),$A$578,INDEX(Техника!$H$1:$ABO$500,H$2,0),"М")</f>
        <v>0</v>
      </c>
      <c r="I579" s="50">
        <f>SUMIFS(INDEX(Техника!$F$1:$ABM$500,I$2,0),Техника!$F$4:$ABM$4,"Часы",INDEX(Техника!$G$1:$ABN$500,I$2,0),$A$578,INDEX(Техника!$H$1:$ABO$500,I$2,0),"М")</f>
        <v>0</v>
      </c>
      <c r="J579" s="50">
        <f>SUMIFS(INDEX(Техника!$F$1:$ABM$500,J$2,0),Техника!$F$4:$ABM$4,"Часы",INDEX(Техника!$G$1:$ABN$500,J$2,0),$A$578,INDEX(Техника!$H$1:$ABO$500,J$2,0),"М")</f>
        <v>0</v>
      </c>
      <c r="K579" s="50">
        <f>SUMIFS(INDEX(Техника!$F$1:$ABM$500,K$2,0),Техника!$F$4:$ABM$4,"Часы",INDEX(Техника!$G$1:$ABN$500,K$2,0),$A$578,INDEX(Техника!$H$1:$ABO$500,K$2,0),"М")</f>
        <v>0</v>
      </c>
      <c r="L579" s="50">
        <f>SUMIFS(INDEX(Техника!$F$1:$ABM$500,L$2,0),Техника!$F$4:$ABM$4,"Часы",INDEX(Техника!$G$1:$ABN$500,L$2,0),$A$578,INDEX(Техника!$H$1:$ABO$500,L$2,0),"М")</f>
        <v>0</v>
      </c>
      <c r="M579" s="50">
        <f>SUMIFS(INDEX(Техника!$F$1:$ABM$500,M$2,0),Техника!$F$4:$ABM$4,"Часы",INDEX(Техника!$G$1:$ABN$500,M$2,0),$A$578,INDEX(Техника!$H$1:$ABO$500,M$2,0),"М")</f>
        <v>0</v>
      </c>
      <c r="N579" s="50">
        <f>SUMIFS(INDEX(Техника!$F$1:$ABM$500,N$2,0),Техника!$F$4:$ABM$4,"Часы",INDEX(Техника!$G$1:$ABN$500,N$2,0),$A$578,INDEX(Техника!$H$1:$ABO$500,N$2,0),"М")</f>
        <v>0</v>
      </c>
      <c r="O579" s="50">
        <f>SUMIFS(INDEX(Техника!$F$1:$ABM$500,O$2,0),Техника!$F$4:$ABM$4,"Часы",INDEX(Техника!$G$1:$ABN$500,O$2,0),$A$578,INDEX(Техника!$H$1:$ABO$500,O$2,0),"М")</f>
        <v>0</v>
      </c>
      <c r="P579" s="50">
        <f>SUMIFS(INDEX(Техника!$F$1:$ABM$500,P$2,0),Техника!$F$4:$ABM$4,"Часы",INDEX(Техника!$G$1:$ABN$500,P$2,0),$A$578,INDEX(Техника!$H$1:$ABO$500,P$2,0),"М")</f>
        <v>0</v>
      </c>
      <c r="Q579" s="50">
        <f>SUMIFS(INDEX(Техника!$F$1:$ABM$500,Q$2,0),Техника!$F$4:$ABM$4,"Часы",INDEX(Техника!$G$1:$ABN$500,Q$2,0),$A$578,INDEX(Техника!$H$1:$ABO$500,Q$2,0),"М")</f>
        <v>0</v>
      </c>
      <c r="R579" s="50">
        <f>SUMIFS(INDEX(Техника!$F$1:$ABM$500,R$2,0),Техника!$F$4:$ABM$4,"Часы",INDEX(Техника!$G$1:$ABN$500,R$2,0),$A$578,INDEX(Техника!$H$1:$ABO$500,R$2,0),"М")</f>
        <v>0</v>
      </c>
      <c r="S579" s="50">
        <f>SUMIFS(INDEX(Техника!$F$1:$ABM$500,S$2,0),Техника!$F$4:$ABM$4,"Часы",INDEX(Техника!$G$1:$ABN$500,S$2,0),$A$578,INDEX(Техника!$H$1:$ABO$500,S$2,0),"М")</f>
        <v>0</v>
      </c>
      <c r="T579" s="50">
        <f>SUMIFS(INDEX(Техника!$F$1:$ABM$500,T$2,0),Техника!$F$4:$ABM$4,"Часы",INDEX(Техника!$G$1:$ABN$500,T$2,0),$A$578,INDEX(Техника!$H$1:$ABO$500,T$2,0),"М")</f>
        <v>0</v>
      </c>
      <c r="U579" s="50">
        <f>SUMIFS(INDEX(Техника!$F$1:$ABM$500,U$2,0),Техника!$F$4:$ABM$4,"Часы",INDEX(Техника!$G$1:$ABN$500,U$2,0),$A$578,INDEX(Техника!$H$1:$ABO$500,U$2,0),"М")</f>
        <v>0</v>
      </c>
      <c r="V579" s="50">
        <f>SUMIFS(INDEX(Техника!$F$1:$ABM$500,V$2,0),Техника!$F$4:$ABM$4,"Часы",INDEX(Техника!$G$1:$ABN$500,V$2,0),$A$578,INDEX(Техника!$H$1:$ABO$500,V$2,0),"М")</f>
        <v>0</v>
      </c>
      <c r="W579" s="50">
        <f>SUMIFS(INDEX(Техника!$F$1:$ABM$500,W$2,0),Техника!$F$4:$ABM$4,"Часы",INDEX(Техника!$G$1:$ABN$500,W$2,0),$A$578,INDEX(Техника!$H$1:$ABO$500,W$2,0),"М")</f>
        <v>0</v>
      </c>
      <c r="X579" s="50">
        <f>SUMIFS(INDEX(Техника!$F$1:$ABM$500,X$2,0),Техника!$F$4:$ABM$4,"Часы",INDEX(Техника!$G$1:$ABN$500,X$2,0),$A$578,INDEX(Техника!$H$1:$ABO$500,X$2,0),"М")</f>
        <v>0</v>
      </c>
      <c r="Y579" s="50">
        <f>SUMIFS(INDEX(Техника!$F$1:$ABM$500,Y$2,0),Техника!$F$4:$ABM$4,"Часы",INDEX(Техника!$G$1:$ABN$500,Y$2,0),$A$578,INDEX(Техника!$H$1:$ABO$500,Y$2,0),"М")</f>
        <v>0</v>
      </c>
      <c r="Z579" s="50">
        <f>SUMIFS(INDEX(Техника!$F$1:$ABM$500,Z$2,0),Техника!$F$4:$ABM$4,"Часы",INDEX(Техника!$G$1:$ABN$500,Z$2,0),$A$578,INDEX(Техника!$H$1:$ABO$500,Z$2,0),"М")</f>
        <v>0</v>
      </c>
      <c r="AA579" s="50">
        <f>SUMIFS(INDEX(Техника!$F$1:$ABM$500,AA$2,0),Техника!$F$4:$ABM$4,"Часы",INDEX(Техника!$G$1:$ABN$500,AA$2,0),$A$578,INDEX(Техника!$H$1:$ABO$500,AA$2,0),"М")</f>
        <v>0</v>
      </c>
      <c r="AB579" s="50">
        <f>SUMIFS(INDEX(Техника!$F$1:$ABM$500,AB$2,0),Техника!$F$4:$ABM$4,"Часы",INDEX(Техника!$G$1:$ABN$500,AB$2,0),$A$578,INDEX(Техника!$H$1:$ABO$500,AB$2,0),"М")</f>
        <v>0</v>
      </c>
    </row>
    <row r="580" spans="1:28" hidden="1" outlineLevel="1" x14ac:dyDescent="0.3">
      <c r="A580" s="33" t="s">
        <v>244</v>
      </c>
      <c r="B580" s="34" t="s">
        <v>275</v>
      </c>
      <c r="C580" s="50">
        <f>SUMIFS(INDEX(Техника!$F$1:$ABM$500,C$2,0),Техника!$F$4:$ABM$4,"Часы",INDEX(Техника!$G$1:$ABN$500,C$2,0),$A$578,INDEX(Техника!$H$1:$ABO$500,C$2,0),"Д")</f>
        <v>0</v>
      </c>
      <c r="D580" s="50">
        <f>SUMIFS(INDEX(Техника!$F$1:$ABM$500,D$2,0),Техника!$F$4:$ABM$4,"Часы",INDEX(Техника!$G$1:$ABN$500,D$2,0),$A$578,INDEX(Техника!$H$1:$ABO$500,D$2,0),"Д")</f>
        <v>0</v>
      </c>
      <c r="E580" s="50">
        <f>SUMIFS(INDEX(Техника!$F$1:$ABM$500,E$2,0),Техника!$F$4:$ABM$4,"Часы",INDEX(Техника!$G$1:$ABN$500,E$2,0),$A$578,INDEX(Техника!$H$1:$ABO$500,E$2,0),"Д")</f>
        <v>0</v>
      </c>
      <c r="F580" s="50">
        <f>SUMIFS(INDEX(Техника!$F$1:$ABM$500,F$2,0),Техника!$F$4:$ABM$4,"Часы",INDEX(Техника!$G$1:$ABN$500,F$2,0),$A$578,INDEX(Техника!$H$1:$ABO$500,F$2,0),"Д")</f>
        <v>0</v>
      </c>
      <c r="G580" s="50">
        <f>SUMIFS(INDEX(Техника!$F$1:$ABM$500,G$2,0),Техника!$F$4:$ABM$4,"Часы",INDEX(Техника!$G$1:$ABN$500,G$2,0),$A$578,INDEX(Техника!$H$1:$ABO$500,G$2,0),"Д")</f>
        <v>0</v>
      </c>
      <c r="H580" s="50">
        <f>SUMIFS(INDEX(Техника!$F$1:$ABM$500,H$2,0),Техника!$F$4:$ABM$4,"Часы",INDEX(Техника!$G$1:$ABN$500,H$2,0),$A$578,INDEX(Техника!$H$1:$ABO$500,H$2,0),"Д")</f>
        <v>0</v>
      </c>
      <c r="I580" s="50">
        <f>SUMIFS(INDEX(Техника!$F$1:$ABM$500,I$2,0),Техника!$F$4:$ABM$4,"Часы",INDEX(Техника!$G$1:$ABN$500,I$2,0),$A$578,INDEX(Техника!$H$1:$ABO$500,I$2,0),"Д")</f>
        <v>0</v>
      </c>
      <c r="J580" s="50">
        <f>SUMIFS(INDEX(Техника!$F$1:$ABM$500,J$2,0),Техника!$F$4:$ABM$4,"Часы",INDEX(Техника!$G$1:$ABN$500,J$2,0),$A$578,INDEX(Техника!$H$1:$ABO$500,J$2,0),"Д")</f>
        <v>0</v>
      </c>
      <c r="K580" s="50">
        <f>SUMIFS(INDEX(Техника!$F$1:$ABM$500,K$2,0),Техника!$F$4:$ABM$4,"Часы",INDEX(Техника!$G$1:$ABN$500,K$2,0),$A$578,INDEX(Техника!$H$1:$ABO$500,K$2,0),"Д")</f>
        <v>0</v>
      </c>
      <c r="L580" s="50">
        <f>SUMIFS(INDEX(Техника!$F$1:$ABM$500,L$2,0),Техника!$F$4:$ABM$4,"Часы",INDEX(Техника!$G$1:$ABN$500,L$2,0),$A$578,INDEX(Техника!$H$1:$ABO$500,L$2,0),"Д")</f>
        <v>0</v>
      </c>
      <c r="M580" s="50">
        <f>SUMIFS(INDEX(Техника!$F$1:$ABM$500,M$2,0),Техника!$F$4:$ABM$4,"Часы",INDEX(Техника!$G$1:$ABN$500,M$2,0),$A$578,INDEX(Техника!$H$1:$ABO$500,M$2,0),"Д")</f>
        <v>0</v>
      </c>
      <c r="N580" s="50">
        <f>SUMIFS(INDEX(Техника!$F$1:$ABM$500,N$2,0),Техника!$F$4:$ABM$4,"Часы",INDEX(Техника!$G$1:$ABN$500,N$2,0),$A$578,INDEX(Техника!$H$1:$ABO$500,N$2,0),"Д")</f>
        <v>0</v>
      </c>
      <c r="O580" s="50">
        <f>SUMIFS(INDEX(Техника!$F$1:$ABM$500,O$2,0),Техника!$F$4:$ABM$4,"Часы",INDEX(Техника!$G$1:$ABN$500,O$2,0),$A$578,INDEX(Техника!$H$1:$ABO$500,O$2,0),"Д")</f>
        <v>0</v>
      </c>
      <c r="P580" s="50">
        <f>SUMIFS(INDEX(Техника!$F$1:$ABM$500,P$2,0),Техника!$F$4:$ABM$4,"Часы",INDEX(Техника!$G$1:$ABN$500,P$2,0),$A$578,INDEX(Техника!$H$1:$ABO$500,P$2,0),"Д")</f>
        <v>0</v>
      </c>
      <c r="Q580" s="50">
        <f>SUMIFS(INDEX(Техника!$F$1:$ABM$500,Q$2,0),Техника!$F$4:$ABM$4,"Часы",INDEX(Техника!$G$1:$ABN$500,Q$2,0),$A$578,INDEX(Техника!$H$1:$ABO$500,Q$2,0),"Д")</f>
        <v>0</v>
      </c>
      <c r="R580" s="50">
        <f>SUMIFS(INDEX(Техника!$F$1:$ABM$500,R$2,0),Техника!$F$4:$ABM$4,"Часы",INDEX(Техника!$G$1:$ABN$500,R$2,0),$A$578,INDEX(Техника!$H$1:$ABO$500,R$2,0),"Д")</f>
        <v>0</v>
      </c>
      <c r="S580" s="50">
        <f>SUMIFS(INDEX(Техника!$F$1:$ABM$500,S$2,0),Техника!$F$4:$ABM$4,"Часы",INDEX(Техника!$G$1:$ABN$500,S$2,0),$A$578,INDEX(Техника!$H$1:$ABO$500,S$2,0),"Д")</f>
        <v>0</v>
      </c>
      <c r="T580" s="50">
        <f>SUMIFS(INDEX(Техника!$F$1:$ABM$500,T$2,0),Техника!$F$4:$ABM$4,"Часы",INDEX(Техника!$G$1:$ABN$500,T$2,0),$A$578,INDEX(Техника!$H$1:$ABO$500,T$2,0),"Д")</f>
        <v>0</v>
      </c>
      <c r="U580" s="50">
        <f>SUMIFS(INDEX(Техника!$F$1:$ABM$500,U$2,0),Техника!$F$4:$ABM$4,"Часы",INDEX(Техника!$G$1:$ABN$500,U$2,0),$A$578,INDEX(Техника!$H$1:$ABO$500,U$2,0),"Д")</f>
        <v>0</v>
      </c>
      <c r="V580" s="50">
        <f>SUMIFS(INDEX(Техника!$F$1:$ABM$500,V$2,0),Техника!$F$4:$ABM$4,"Часы",INDEX(Техника!$G$1:$ABN$500,V$2,0),$A$578,INDEX(Техника!$H$1:$ABO$500,V$2,0),"Д")</f>
        <v>0</v>
      </c>
      <c r="W580" s="50">
        <f>SUMIFS(INDEX(Техника!$F$1:$ABM$500,W$2,0),Техника!$F$4:$ABM$4,"Часы",INDEX(Техника!$G$1:$ABN$500,W$2,0),$A$578,INDEX(Техника!$H$1:$ABO$500,W$2,0),"Д")</f>
        <v>0</v>
      </c>
      <c r="X580" s="50">
        <f>SUMIFS(INDEX(Техника!$F$1:$ABM$500,X$2,0),Техника!$F$4:$ABM$4,"Часы",INDEX(Техника!$G$1:$ABN$500,X$2,0),$A$578,INDEX(Техника!$H$1:$ABO$500,X$2,0),"Д")</f>
        <v>0</v>
      </c>
      <c r="Y580" s="50">
        <f>SUMIFS(INDEX(Техника!$F$1:$ABM$500,Y$2,0),Техника!$F$4:$ABM$4,"Часы",INDEX(Техника!$G$1:$ABN$500,Y$2,0),$A$578,INDEX(Техника!$H$1:$ABO$500,Y$2,0),"Д")</f>
        <v>0</v>
      </c>
      <c r="Z580" s="50">
        <f>SUMIFS(INDEX(Техника!$F$1:$ABM$500,Z$2,0),Техника!$F$4:$ABM$4,"Часы",INDEX(Техника!$G$1:$ABN$500,Z$2,0),$A$578,INDEX(Техника!$H$1:$ABO$500,Z$2,0),"Д")</f>
        <v>0</v>
      </c>
      <c r="AA580" s="50">
        <f>SUMIFS(INDEX(Техника!$F$1:$ABM$500,AA$2,0),Техника!$F$4:$ABM$4,"Часы",INDEX(Техника!$G$1:$ABN$500,AA$2,0),$A$578,INDEX(Техника!$H$1:$ABO$500,AA$2,0),"Д")</f>
        <v>0</v>
      </c>
      <c r="AB580" s="50">
        <f>SUMIFS(INDEX(Техника!$F$1:$ABM$500,AB$2,0),Техника!$F$4:$ABM$4,"Часы",INDEX(Техника!$G$1:$ABN$500,AB$2,0),$A$578,INDEX(Техника!$H$1:$ABO$500,AB$2,0),"Д")</f>
        <v>0</v>
      </c>
    </row>
    <row r="581" spans="1:28" hidden="1" outlineLevel="1" x14ac:dyDescent="0.3">
      <c r="A581" s="33" t="s">
        <v>276</v>
      </c>
      <c r="B581" s="34" t="s">
        <v>277</v>
      </c>
      <c r="C581" s="50">
        <f>SUMIFS(INDEX(Техника!$F$1:$ABM$500,C$2,0),Техника!$F$4:$ABM$4,"Часы",INDEX(Техника!$G$1:$ABN$500,C$2,0),$A$578,INDEX(Техника!$H$1:$ABO$500,C$2,0),"П")</f>
        <v>0</v>
      </c>
      <c r="D581" s="50">
        <f>SUMIFS(INDEX(Техника!$F$1:$ABM$500,D$2,0),Техника!$F$4:$ABM$4,"Часы",INDEX(Техника!$G$1:$ABN$500,D$2,0),$A$578,INDEX(Техника!$H$1:$ABO$500,D$2,0),"П")</f>
        <v>0</v>
      </c>
      <c r="E581" s="50">
        <f>SUMIFS(INDEX(Техника!$F$1:$ABM$500,E$2,0),Техника!$F$4:$ABM$4,"Часы",INDEX(Техника!$G$1:$ABN$500,E$2,0),$A$578,INDEX(Техника!$H$1:$ABO$500,E$2,0),"П")</f>
        <v>0</v>
      </c>
      <c r="F581" s="50">
        <f>SUMIFS(INDEX(Техника!$F$1:$ABM$500,F$2,0),Техника!$F$4:$ABM$4,"Часы",INDEX(Техника!$G$1:$ABN$500,F$2,0),$A$578,INDEX(Техника!$H$1:$ABO$500,F$2,0),"П")</f>
        <v>0</v>
      </c>
      <c r="G581" s="50">
        <f>SUMIFS(INDEX(Техника!$F$1:$ABM$500,G$2,0),Техника!$F$4:$ABM$4,"Часы",INDEX(Техника!$G$1:$ABN$500,G$2,0),$A$578,INDEX(Техника!$H$1:$ABO$500,G$2,0),"П")</f>
        <v>0</v>
      </c>
      <c r="H581" s="50">
        <f>SUMIFS(INDEX(Техника!$F$1:$ABM$500,H$2,0),Техника!$F$4:$ABM$4,"Часы",INDEX(Техника!$G$1:$ABN$500,H$2,0),$A$578,INDEX(Техника!$H$1:$ABO$500,H$2,0),"П")</f>
        <v>0</v>
      </c>
      <c r="I581" s="50">
        <f>SUMIFS(INDEX(Техника!$F$1:$ABM$500,I$2,0),Техника!$F$4:$ABM$4,"Часы",INDEX(Техника!$G$1:$ABN$500,I$2,0),$A$578,INDEX(Техника!$H$1:$ABO$500,I$2,0),"П")</f>
        <v>0</v>
      </c>
      <c r="J581" s="50">
        <f>SUMIFS(INDEX(Техника!$F$1:$ABM$500,J$2,0),Техника!$F$4:$ABM$4,"Часы",INDEX(Техника!$G$1:$ABN$500,J$2,0),$A$578,INDEX(Техника!$H$1:$ABO$500,J$2,0),"П")</f>
        <v>0</v>
      </c>
      <c r="K581" s="50">
        <f>SUMIFS(INDEX(Техника!$F$1:$ABM$500,K$2,0),Техника!$F$4:$ABM$4,"Часы",INDEX(Техника!$G$1:$ABN$500,K$2,0),$A$578,INDEX(Техника!$H$1:$ABO$500,K$2,0),"П")</f>
        <v>0</v>
      </c>
      <c r="L581" s="50">
        <f>SUMIFS(INDEX(Техника!$F$1:$ABM$500,L$2,0),Техника!$F$4:$ABM$4,"Часы",INDEX(Техника!$G$1:$ABN$500,L$2,0),$A$578,INDEX(Техника!$H$1:$ABO$500,L$2,0),"П")</f>
        <v>0</v>
      </c>
      <c r="M581" s="50">
        <f>SUMIFS(INDEX(Техника!$F$1:$ABM$500,M$2,0),Техника!$F$4:$ABM$4,"Часы",INDEX(Техника!$G$1:$ABN$500,M$2,0),$A$578,INDEX(Техника!$H$1:$ABO$500,M$2,0),"П")</f>
        <v>0</v>
      </c>
      <c r="N581" s="50">
        <f>SUMIFS(INDEX(Техника!$F$1:$ABM$500,N$2,0),Техника!$F$4:$ABM$4,"Часы",INDEX(Техника!$G$1:$ABN$500,N$2,0),$A$578,INDEX(Техника!$H$1:$ABO$500,N$2,0),"П")</f>
        <v>0</v>
      </c>
      <c r="O581" s="50">
        <f>SUMIFS(INDEX(Техника!$F$1:$ABM$500,O$2,0),Техника!$F$4:$ABM$4,"Часы",INDEX(Техника!$G$1:$ABN$500,O$2,0),$A$578,INDEX(Техника!$H$1:$ABO$500,O$2,0),"П")</f>
        <v>0</v>
      </c>
      <c r="P581" s="50">
        <f>SUMIFS(INDEX(Техника!$F$1:$ABM$500,P$2,0),Техника!$F$4:$ABM$4,"Часы",INDEX(Техника!$G$1:$ABN$500,P$2,0),$A$578,INDEX(Техника!$H$1:$ABO$500,P$2,0),"П")</f>
        <v>0</v>
      </c>
      <c r="Q581" s="50">
        <f>SUMIFS(INDEX(Техника!$F$1:$ABM$500,Q$2,0),Техника!$F$4:$ABM$4,"Часы",INDEX(Техника!$G$1:$ABN$500,Q$2,0),$A$578,INDEX(Техника!$H$1:$ABO$500,Q$2,0),"П")</f>
        <v>0</v>
      </c>
      <c r="R581" s="50">
        <f>SUMIFS(INDEX(Техника!$F$1:$ABM$500,R$2,0),Техника!$F$4:$ABM$4,"Часы",INDEX(Техника!$G$1:$ABN$500,R$2,0),$A$578,INDEX(Техника!$H$1:$ABO$500,R$2,0),"П")</f>
        <v>0</v>
      </c>
      <c r="S581" s="50">
        <f>SUMIFS(INDEX(Техника!$F$1:$ABM$500,S$2,0),Техника!$F$4:$ABM$4,"Часы",INDEX(Техника!$G$1:$ABN$500,S$2,0),$A$578,INDEX(Техника!$H$1:$ABO$500,S$2,0),"П")</f>
        <v>0</v>
      </c>
      <c r="T581" s="50">
        <f>SUMIFS(INDEX(Техника!$F$1:$ABM$500,T$2,0),Техника!$F$4:$ABM$4,"Часы",INDEX(Техника!$G$1:$ABN$500,T$2,0),$A$578,INDEX(Техника!$H$1:$ABO$500,T$2,0),"П")</f>
        <v>0</v>
      </c>
      <c r="U581" s="50">
        <f>SUMIFS(INDEX(Техника!$F$1:$ABM$500,U$2,0),Техника!$F$4:$ABM$4,"Часы",INDEX(Техника!$G$1:$ABN$500,U$2,0),$A$578,INDEX(Техника!$H$1:$ABO$500,U$2,0),"П")</f>
        <v>0</v>
      </c>
      <c r="V581" s="50">
        <f>SUMIFS(INDEX(Техника!$F$1:$ABM$500,V$2,0),Техника!$F$4:$ABM$4,"Часы",INDEX(Техника!$G$1:$ABN$500,V$2,0),$A$578,INDEX(Техника!$H$1:$ABO$500,V$2,0),"П")</f>
        <v>0</v>
      </c>
      <c r="W581" s="50">
        <f>SUMIFS(INDEX(Техника!$F$1:$ABM$500,W$2,0),Техника!$F$4:$ABM$4,"Часы",INDEX(Техника!$G$1:$ABN$500,W$2,0),$A$578,INDEX(Техника!$H$1:$ABO$500,W$2,0),"П")</f>
        <v>0</v>
      </c>
      <c r="X581" s="50">
        <f>SUMIFS(INDEX(Техника!$F$1:$ABM$500,X$2,0),Техника!$F$4:$ABM$4,"Часы",INDEX(Техника!$G$1:$ABN$500,X$2,0),$A$578,INDEX(Техника!$H$1:$ABO$500,X$2,0),"П")</f>
        <v>0</v>
      </c>
      <c r="Y581" s="50">
        <f>SUMIFS(INDEX(Техника!$F$1:$ABM$500,Y$2,0),Техника!$F$4:$ABM$4,"Часы",INDEX(Техника!$G$1:$ABN$500,Y$2,0),$A$578,INDEX(Техника!$H$1:$ABO$500,Y$2,0),"П")</f>
        <v>0</v>
      </c>
      <c r="Z581" s="50">
        <f>SUMIFS(INDEX(Техника!$F$1:$ABM$500,Z$2,0),Техника!$F$4:$ABM$4,"Часы",INDEX(Техника!$G$1:$ABN$500,Z$2,0),$A$578,INDEX(Техника!$H$1:$ABO$500,Z$2,0),"П")</f>
        <v>0</v>
      </c>
      <c r="AA581" s="50">
        <f>SUMIFS(INDEX(Техника!$F$1:$ABM$500,AA$2,0),Техника!$F$4:$ABM$4,"Часы",INDEX(Техника!$G$1:$ABN$500,AA$2,0),$A$578,INDEX(Техника!$H$1:$ABO$500,AA$2,0),"П")</f>
        <v>0</v>
      </c>
      <c r="AB581" s="50">
        <f>SUMIFS(INDEX(Техника!$F$1:$ABM$500,AB$2,0),Техника!$F$4:$ABM$4,"Часы",INDEX(Техника!$G$1:$ABN$500,AB$2,0),$A$578,INDEX(Техника!$H$1:$ABO$500,AB$2,0),"П")</f>
        <v>0</v>
      </c>
    </row>
    <row r="582" spans="1:28" hidden="1" outlineLevel="1" x14ac:dyDescent="0.3">
      <c r="A582" s="33" t="s">
        <v>243</v>
      </c>
      <c r="B582" s="34" t="s">
        <v>278</v>
      </c>
      <c r="C582" s="50">
        <f>SUMIFS(INDEX(Техника!$F$1:$ABM$500,C$2,0),Техника!$F$4:$ABM$4,"Часы",INDEX(Техника!$G$1:$ABN$500,C$2,0),$A$578,INDEX(Техника!$H$1:$ABO$500,C$2,0),"Л")</f>
        <v>0</v>
      </c>
      <c r="D582" s="50">
        <f>SUMIFS(INDEX(Техника!$F$1:$ABM$500,D$2,0),Техника!$F$4:$ABM$4,"Часы",INDEX(Техника!$G$1:$ABN$500,D$2,0),$A$578,INDEX(Техника!$H$1:$ABO$500,D$2,0),"Л")</f>
        <v>0</v>
      </c>
      <c r="E582" s="50">
        <f>SUMIFS(INDEX(Техника!$F$1:$ABM$500,E$2,0),Техника!$F$4:$ABM$4,"Часы",INDEX(Техника!$G$1:$ABN$500,E$2,0),$A$578,INDEX(Техника!$H$1:$ABO$500,E$2,0),"Л")</f>
        <v>0</v>
      </c>
      <c r="F582" s="50">
        <f>SUMIFS(INDEX(Техника!$F$1:$ABM$500,F$2,0),Техника!$F$4:$ABM$4,"Часы",INDEX(Техника!$G$1:$ABN$500,F$2,0),$A$578,INDEX(Техника!$H$1:$ABO$500,F$2,0),"Л")</f>
        <v>0</v>
      </c>
      <c r="G582" s="50">
        <f>SUMIFS(INDEX(Техника!$F$1:$ABM$500,G$2,0),Техника!$F$4:$ABM$4,"Часы",INDEX(Техника!$G$1:$ABN$500,G$2,0),$A$578,INDEX(Техника!$H$1:$ABO$500,G$2,0),"Л")</f>
        <v>0</v>
      </c>
      <c r="H582" s="50">
        <f>SUMIFS(INDEX(Техника!$F$1:$ABM$500,H$2,0),Техника!$F$4:$ABM$4,"Часы",INDEX(Техника!$G$1:$ABN$500,H$2,0),$A$578,INDEX(Техника!$H$1:$ABO$500,H$2,0),"Л")</f>
        <v>0</v>
      </c>
      <c r="I582" s="50">
        <f>SUMIFS(INDEX(Техника!$F$1:$ABM$500,I$2,0),Техника!$F$4:$ABM$4,"Часы",INDEX(Техника!$G$1:$ABN$500,I$2,0),$A$578,INDEX(Техника!$H$1:$ABO$500,I$2,0),"Л")</f>
        <v>0</v>
      </c>
      <c r="J582" s="50">
        <f>SUMIFS(INDEX(Техника!$F$1:$ABM$500,J$2,0),Техника!$F$4:$ABM$4,"Часы",INDEX(Техника!$G$1:$ABN$500,J$2,0),$A$578,INDEX(Техника!$H$1:$ABO$500,J$2,0),"Л")</f>
        <v>0</v>
      </c>
      <c r="K582" s="50">
        <f>SUMIFS(INDEX(Техника!$F$1:$ABM$500,K$2,0),Техника!$F$4:$ABM$4,"Часы",INDEX(Техника!$G$1:$ABN$500,K$2,0),$A$578,INDEX(Техника!$H$1:$ABO$500,K$2,0),"Л")</f>
        <v>0</v>
      </c>
      <c r="L582" s="50">
        <f>SUMIFS(INDEX(Техника!$F$1:$ABM$500,L$2,0),Техника!$F$4:$ABM$4,"Часы",INDEX(Техника!$G$1:$ABN$500,L$2,0),$A$578,INDEX(Техника!$H$1:$ABO$500,L$2,0),"Л")</f>
        <v>0</v>
      </c>
      <c r="M582" s="50">
        <f>SUMIFS(INDEX(Техника!$F$1:$ABM$500,M$2,0),Техника!$F$4:$ABM$4,"Часы",INDEX(Техника!$G$1:$ABN$500,M$2,0),$A$578,INDEX(Техника!$H$1:$ABO$500,M$2,0),"Л")</f>
        <v>0</v>
      </c>
      <c r="N582" s="50">
        <f>SUMIFS(INDEX(Техника!$F$1:$ABM$500,N$2,0),Техника!$F$4:$ABM$4,"Часы",INDEX(Техника!$G$1:$ABN$500,N$2,0),$A$578,INDEX(Техника!$H$1:$ABO$500,N$2,0),"Л")</f>
        <v>0</v>
      </c>
      <c r="O582" s="50">
        <f>SUMIFS(INDEX(Техника!$F$1:$ABM$500,O$2,0),Техника!$F$4:$ABM$4,"Часы",INDEX(Техника!$G$1:$ABN$500,O$2,0),$A$578,INDEX(Техника!$H$1:$ABO$500,O$2,0),"Л")</f>
        <v>0</v>
      </c>
      <c r="P582" s="50">
        <f>SUMIFS(INDEX(Техника!$F$1:$ABM$500,P$2,0),Техника!$F$4:$ABM$4,"Часы",INDEX(Техника!$G$1:$ABN$500,P$2,0),$A$578,INDEX(Техника!$H$1:$ABO$500,P$2,0),"Л")</f>
        <v>0</v>
      </c>
      <c r="Q582" s="50">
        <f>SUMIFS(INDEX(Техника!$F$1:$ABM$500,Q$2,0),Техника!$F$4:$ABM$4,"Часы",INDEX(Техника!$G$1:$ABN$500,Q$2,0),$A$578,INDEX(Техника!$H$1:$ABO$500,Q$2,0),"Л")</f>
        <v>0</v>
      </c>
      <c r="R582" s="50">
        <f>SUMIFS(INDEX(Техника!$F$1:$ABM$500,R$2,0),Техника!$F$4:$ABM$4,"Часы",INDEX(Техника!$G$1:$ABN$500,R$2,0),$A$578,INDEX(Техника!$H$1:$ABO$500,R$2,0),"Л")</f>
        <v>0</v>
      </c>
      <c r="S582" s="50">
        <f>SUMIFS(INDEX(Техника!$F$1:$ABM$500,S$2,0),Техника!$F$4:$ABM$4,"Часы",INDEX(Техника!$G$1:$ABN$500,S$2,0),$A$578,INDEX(Техника!$H$1:$ABO$500,S$2,0),"Л")</f>
        <v>0</v>
      </c>
      <c r="T582" s="50">
        <f>SUMIFS(INDEX(Техника!$F$1:$ABM$500,T$2,0),Техника!$F$4:$ABM$4,"Часы",INDEX(Техника!$G$1:$ABN$500,T$2,0),$A$578,INDEX(Техника!$H$1:$ABO$500,T$2,0),"Л")</f>
        <v>0</v>
      </c>
      <c r="U582" s="50">
        <f>SUMIFS(INDEX(Техника!$F$1:$ABM$500,U$2,0),Техника!$F$4:$ABM$4,"Часы",INDEX(Техника!$G$1:$ABN$500,U$2,0),$A$578,INDEX(Техника!$H$1:$ABO$500,U$2,0),"Л")</f>
        <v>0</v>
      </c>
      <c r="V582" s="50">
        <f>SUMIFS(INDEX(Техника!$F$1:$ABM$500,V$2,0),Техника!$F$4:$ABM$4,"Часы",INDEX(Техника!$G$1:$ABN$500,V$2,0),$A$578,INDEX(Техника!$H$1:$ABO$500,V$2,0),"Л")</f>
        <v>0</v>
      </c>
      <c r="W582" s="50">
        <f>SUMIFS(INDEX(Техника!$F$1:$ABM$500,W$2,0),Техника!$F$4:$ABM$4,"Часы",INDEX(Техника!$G$1:$ABN$500,W$2,0),$A$578,INDEX(Техника!$H$1:$ABO$500,W$2,0),"Л")</f>
        <v>0</v>
      </c>
      <c r="X582" s="50">
        <f>SUMIFS(INDEX(Техника!$F$1:$ABM$500,X$2,0),Техника!$F$4:$ABM$4,"Часы",INDEX(Техника!$G$1:$ABN$500,X$2,0),$A$578,INDEX(Техника!$H$1:$ABO$500,X$2,0),"Л")</f>
        <v>0</v>
      </c>
      <c r="Y582" s="50">
        <f>SUMIFS(INDEX(Техника!$F$1:$ABM$500,Y$2,0),Техника!$F$4:$ABM$4,"Часы",INDEX(Техника!$G$1:$ABN$500,Y$2,0),$A$578,INDEX(Техника!$H$1:$ABO$500,Y$2,0),"Л")</f>
        <v>0</v>
      </c>
      <c r="Z582" s="50">
        <f>SUMIFS(INDEX(Техника!$F$1:$ABM$500,Z$2,0),Техника!$F$4:$ABM$4,"Часы",INDEX(Техника!$G$1:$ABN$500,Z$2,0),$A$578,INDEX(Техника!$H$1:$ABO$500,Z$2,0),"Л")</f>
        <v>0</v>
      </c>
      <c r="AA582" s="50">
        <f>SUMIFS(INDEX(Техника!$F$1:$ABM$500,AA$2,0),Техника!$F$4:$ABM$4,"Часы",INDEX(Техника!$G$1:$ABN$500,AA$2,0),$A$578,INDEX(Техника!$H$1:$ABO$500,AA$2,0),"Л")</f>
        <v>0</v>
      </c>
      <c r="AB582" s="50">
        <f>SUMIFS(INDEX(Техника!$F$1:$ABM$500,AB$2,0),Техника!$F$4:$ABM$4,"Часы",INDEX(Техника!$G$1:$ABN$500,AB$2,0),$A$578,INDEX(Техника!$H$1:$ABO$500,AB$2,0),"Л")</f>
        <v>0</v>
      </c>
    </row>
    <row r="583" spans="1:28" hidden="1" outlineLevel="1" x14ac:dyDescent="0.3">
      <c r="A583" s="33" t="s">
        <v>245</v>
      </c>
      <c r="B583" s="34" t="s">
        <v>279</v>
      </c>
      <c r="C583" s="50">
        <f>SUMIFS(INDEX(Техника!$F$1:$ABM$500,C$2,0),Техника!$F$4:$ABM$4,"Часы",INDEX(Техника!$G$1:$ABN$500,C$2,0),$A$578,INDEX(Техника!$H$1:$ABO$500,C$2,0),"З")</f>
        <v>0</v>
      </c>
      <c r="D583" s="50">
        <f>SUMIFS(INDEX(Техника!$F$1:$ABM$500,D$2,0),Техника!$F$4:$ABM$4,"Часы",INDEX(Техника!$G$1:$ABN$500,D$2,0),$A$578,INDEX(Техника!$H$1:$ABO$500,D$2,0),"З")</f>
        <v>0</v>
      </c>
      <c r="E583" s="50">
        <f>SUMIFS(INDEX(Техника!$F$1:$ABM$500,E$2,0),Техника!$F$4:$ABM$4,"Часы",INDEX(Техника!$G$1:$ABN$500,E$2,0),$A$578,INDEX(Техника!$H$1:$ABO$500,E$2,0),"З")</f>
        <v>0</v>
      </c>
      <c r="F583" s="50">
        <f>SUMIFS(INDEX(Техника!$F$1:$ABM$500,F$2,0),Техника!$F$4:$ABM$4,"Часы",INDEX(Техника!$G$1:$ABN$500,F$2,0),$A$578,INDEX(Техника!$H$1:$ABO$500,F$2,0),"З")</f>
        <v>0</v>
      </c>
      <c r="G583" s="50">
        <f>SUMIFS(INDEX(Техника!$F$1:$ABM$500,G$2,0),Техника!$F$4:$ABM$4,"Часы",INDEX(Техника!$G$1:$ABN$500,G$2,0),$A$578,INDEX(Техника!$H$1:$ABO$500,G$2,0),"З")</f>
        <v>0</v>
      </c>
      <c r="H583" s="50">
        <f>SUMIFS(INDEX(Техника!$F$1:$ABM$500,H$2,0),Техника!$F$4:$ABM$4,"Часы",INDEX(Техника!$G$1:$ABN$500,H$2,0),$A$578,INDEX(Техника!$H$1:$ABO$500,H$2,0),"З")</f>
        <v>0</v>
      </c>
      <c r="I583" s="50">
        <f>SUMIFS(INDEX(Техника!$F$1:$ABM$500,I$2,0),Техника!$F$4:$ABM$4,"Часы",INDEX(Техника!$G$1:$ABN$500,I$2,0),$A$578,INDEX(Техника!$H$1:$ABO$500,I$2,0),"З")</f>
        <v>0</v>
      </c>
      <c r="J583" s="50">
        <f>SUMIFS(INDEX(Техника!$F$1:$ABM$500,J$2,0),Техника!$F$4:$ABM$4,"Часы",INDEX(Техника!$G$1:$ABN$500,J$2,0),$A$578,INDEX(Техника!$H$1:$ABO$500,J$2,0),"З")</f>
        <v>0</v>
      </c>
      <c r="K583" s="50">
        <f>SUMIFS(INDEX(Техника!$F$1:$ABM$500,K$2,0),Техника!$F$4:$ABM$4,"Часы",INDEX(Техника!$G$1:$ABN$500,K$2,0),$A$578,INDEX(Техника!$H$1:$ABO$500,K$2,0),"З")</f>
        <v>0</v>
      </c>
      <c r="L583" s="50">
        <f>SUMIFS(INDEX(Техника!$F$1:$ABM$500,L$2,0),Техника!$F$4:$ABM$4,"Часы",INDEX(Техника!$G$1:$ABN$500,L$2,0),$A$578,INDEX(Техника!$H$1:$ABO$500,L$2,0),"З")</f>
        <v>0</v>
      </c>
      <c r="M583" s="50">
        <f>SUMIFS(INDEX(Техника!$F$1:$ABM$500,M$2,0),Техника!$F$4:$ABM$4,"Часы",INDEX(Техника!$G$1:$ABN$500,M$2,0),$A$578,INDEX(Техника!$H$1:$ABO$500,M$2,0),"З")</f>
        <v>0</v>
      </c>
      <c r="N583" s="50">
        <f>SUMIFS(INDEX(Техника!$F$1:$ABM$500,N$2,0),Техника!$F$4:$ABM$4,"Часы",INDEX(Техника!$G$1:$ABN$500,N$2,0),$A$578,INDEX(Техника!$H$1:$ABO$500,N$2,0),"З")</f>
        <v>0</v>
      </c>
      <c r="O583" s="50">
        <f>SUMIFS(INDEX(Техника!$F$1:$ABM$500,O$2,0),Техника!$F$4:$ABM$4,"Часы",INDEX(Техника!$G$1:$ABN$500,O$2,0),$A$578,INDEX(Техника!$H$1:$ABO$500,O$2,0),"З")</f>
        <v>0</v>
      </c>
      <c r="P583" s="50">
        <f>SUMIFS(INDEX(Техника!$F$1:$ABM$500,P$2,0),Техника!$F$4:$ABM$4,"Часы",INDEX(Техника!$G$1:$ABN$500,P$2,0),$A$578,INDEX(Техника!$H$1:$ABO$500,P$2,0),"З")</f>
        <v>0</v>
      </c>
      <c r="Q583" s="50">
        <f>SUMIFS(INDEX(Техника!$F$1:$ABM$500,Q$2,0),Техника!$F$4:$ABM$4,"Часы",INDEX(Техника!$G$1:$ABN$500,Q$2,0),$A$578,INDEX(Техника!$H$1:$ABO$500,Q$2,0),"З")</f>
        <v>0</v>
      </c>
      <c r="R583" s="50">
        <f>SUMIFS(INDEX(Техника!$F$1:$ABM$500,R$2,0),Техника!$F$4:$ABM$4,"Часы",INDEX(Техника!$G$1:$ABN$500,R$2,0),$A$578,INDEX(Техника!$H$1:$ABO$500,R$2,0),"З")</f>
        <v>0</v>
      </c>
      <c r="S583" s="50">
        <f>SUMIFS(INDEX(Техника!$F$1:$ABM$500,S$2,0),Техника!$F$4:$ABM$4,"Часы",INDEX(Техника!$G$1:$ABN$500,S$2,0),$A$578,INDEX(Техника!$H$1:$ABO$500,S$2,0),"З")</f>
        <v>0</v>
      </c>
      <c r="T583" s="50">
        <f>SUMIFS(INDEX(Техника!$F$1:$ABM$500,T$2,0),Техника!$F$4:$ABM$4,"Часы",INDEX(Техника!$G$1:$ABN$500,T$2,0),$A$578,INDEX(Техника!$H$1:$ABO$500,T$2,0),"З")</f>
        <v>0</v>
      </c>
      <c r="U583" s="50">
        <f>SUMIFS(INDEX(Техника!$F$1:$ABM$500,U$2,0),Техника!$F$4:$ABM$4,"Часы",INDEX(Техника!$G$1:$ABN$500,U$2,0),$A$578,INDEX(Техника!$H$1:$ABO$500,U$2,0),"З")</f>
        <v>0</v>
      </c>
      <c r="V583" s="50">
        <f>SUMIFS(INDEX(Техника!$F$1:$ABM$500,V$2,0),Техника!$F$4:$ABM$4,"Часы",INDEX(Техника!$G$1:$ABN$500,V$2,0),$A$578,INDEX(Техника!$H$1:$ABO$500,V$2,0),"З")</f>
        <v>0</v>
      </c>
      <c r="W583" s="50">
        <f>SUMIFS(INDEX(Техника!$F$1:$ABM$500,W$2,0),Техника!$F$4:$ABM$4,"Часы",INDEX(Техника!$G$1:$ABN$500,W$2,0),$A$578,INDEX(Техника!$H$1:$ABO$500,W$2,0),"З")</f>
        <v>0</v>
      </c>
      <c r="X583" s="50">
        <f>SUMIFS(INDEX(Техника!$F$1:$ABM$500,X$2,0),Техника!$F$4:$ABM$4,"Часы",INDEX(Техника!$G$1:$ABN$500,X$2,0),$A$578,INDEX(Техника!$H$1:$ABO$500,X$2,0),"З")</f>
        <v>0</v>
      </c>
      <c r="Y583" s="50">
        <f>SUMIFS(INDEX(Техника!$F$1:$ABM$500,Y$2,0),Техника!$F$4:$ABM$4,"Часы",INDEX(Техника!$G$1:$ABN$500,Y$2,0),$A$578,INDEX(Техника!$H$1:$ABO$500,Y$2,0),"З")</f>
        <v>0</v>
      </c>
      <c r="Z583" s="50">
        <f>SUMIFS(INDEX(Техника!$F$1:$ABM$500,Z$2,0),Техника!$F$4:$ABM$4,"Часы",INDEX(Техника!$G$1:$ABN$500,Z$2,0),$A$578,INDEX(Техника!$H$1:$ABO$500,Z$2,0),"З")</f>
        <v>0</v>
      </c>
      <c r="AA583" s="50">
        <f>SUMIFS(INDEX(Техника!$F$1:$ABM$500,AA$2,0),Техника!$F$4:$ABM$4,"Часы",INDEX(Техника!$G$1:$ABN$500,AA$2,0),$A$578,INDEX(Техника!$H$1:$ABO$500,AA$2,0),"З")</f>
        <v>0</v>
      </c>
      <c r="AB583" s="50">
        <f>SUMIFS(INDEX(Техника!$F$1:$ABM$500,AB$2,0),Техника!$F$4:$ABM$4,"Часы",INDEX(Техника!$G$1:$ABN$500,AB$2,0),$A$578,INDEX(Техника!$H$1:$ABO$500,AB$2,0),"З")</f>
        <v>0</v>
      </c>
    </row>
    <row r="584" spans="1:28" ht="7.95" customHeight="1" x14ac:dyDescent="0.3">
      <c r="A584" s="38"/>
      <c r="B584" s="39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</row>
    <row r="585" spans="1:28" ht="25.05" customHeight="1" collapsed="1" x14ac:dyDescent="0.3">
      <c r="A585" s="32">
        <v>84</v>
      </c>
      <c r="B585" s="32" t="s">
        <v>85</v>
      </c>
      <c r="C585" s="49">
        <f>SUM(C586:C590)</f>
        <v>0</v>
      </c>
      <c r="D585" s="49">
        <f>SUM(D586:D590)</f>
        <v>0</v>
      </c>
      <c r="E585" s="49">
        <f>SUM(E586:E590)</f>
        <v>0</v>
      </c>
      <c r="F585" s="49">
        <f>SUM(F586:F590)</f>
        <v>0</v>
      </c>
      <c r="G585" s="49">
        <f>SUM(G586:G590)</f>
        <v>0</v>
      </c>
      <c r="H585" s="49">
        <f>SUM(H586:H590)</f>
        <v>0</v>
      </c>
      <c r="I585" s="49">
        <f>SUM(I586:I590)</f>
        <v>0</v>
      </c>
      <c r="J585" s="49">
        <f>SUM(J586:J590)</f>
        <v>0</v>
      </c>
      <c r="K585" s="49">
        <f>SUM(K586:K590)</f>
        <v>0</v>
      </c>
      <c r="L585" s="49">
        <f>SUM(L586:L590)</f>
        <v>0</v>
      </c>
      <c r="M585" s="49">
        <f>SUM(M586:M590)</f>
        <v>0</v>
      </c>
      <c r="N585" s="49">
        <f>SUM(N586:N590)</f>
        <v>0</v>
      </c>
      <c r="O585" s="49">
        <f>SUM(O586:O590)</f>
        <v>0</v>
      </c>
      <c r="P585" s="49">
        <f>SUM(P586:P590)</f>
        <v>0</v>
      </c>
      <c r="Q585" s="49">
        <f>SUM(Q586:Q590)</f>
        <v>0</v>
      </c>
      <c r="R585" s="49">
        <f>SUM(R586:R590)</f>
        <v>0</v>
      </c>
      <c r="S585" s="49">
        <f>SUM(S586:S590)</f>
        <v>0</v>
      </c>
      <c r="T585" s="49">
        <f>SUM(T586:T590)</f>
        <v>0</v>
      </c>
      <c r="U585" s="49">
        <f>SUM(U586:U590)</f>
        <v>0</v>
      </c>
      <c r="V585" s="49">
        <f>SUM(V586:V590)</f>
        <v>0</v>
      </c>
      <c r="W585" s="49">
        <f>SUM(W586:W590)</f>
        <v>0</v>
      </c>
      <c r="X585" s="49">
        <f>SUM(X586:X590)</f>
        <v>0</v>
      </c>
      <c r="Y585" s="49">
        <f>SUM(Y586:Y590)</f>
        <v>0</v>
      </c>
      <c r="Z585" s="49">
        <f>SUM(Z586:Z590)</f>
        <v>0</v>
      </c>
      <c r="AA585" s="49">
        <f>SUM(AA586:AA590)</f>
        <v>0</v>
      </c>
      <c r="AB585" s="49">
        <f>SUM(AB586:AB590)</f>
        <v>0</v>
      </c>
    </row>
    <row r="586" spans="1:28" hidden="1" outlineLevel="1" x14ac:dyDescent="0.3">
      <c r="A586" s="33" t="s">
        <v>246</v>
      </c>
      <c r="B586" s="34" t="s">
        <v>274</v>
      </c>
      <c r="C586" s="50">
        <f>SUMIFS(INDEX(Техника!$F$1:$ABM$500,C$2,0),Техника!$F$4:$ABM$4,"Часы",INDEX(Техника!$G$1:$ABN$500,C$2,0),$A$585,INDEX(Техника!$H$1:$ABO$500,C$2,0),"М")</f>
        <v>0</v>
      </c>
      <c r="D586" s="50">
        <f>SUMIFS(INDEX(Техника!$F$1:$ABM$500,D$2,0),Техника!$F$4:$ABM$4,"Часы",INDEX(Техника!$G$1:$ABN$500,D$2,0),$A$585,INDEX(Техника!$H$1:$ABO$500,D$2,0),"М")</f>
        <v>0</v>
      </c>
      <c r="E586" s="50">
        <f>SUMIFS(INDEX(Техника!$F$1:$ABM$500,E$2,0),Техника!$F$4:$ABM$4,"Часы",INDEX(Техника!$G$1:$ABN$500,E$2,0),$A$585,INDEX(Техника!$H$1:$ABO$500,E$2,0),"М")</f>
        <v>0</v>
      </c>
      <c r="F586" s="50">
        <f>SUMIFS(INDEX(Техника!$F$1:$ABM$500,F$2,0),Техника!$F$4:$ABM$4,"Часы",INDEX(Техника!$G$1:$ABN$500,F$2,0),$A$585,INDEX(Техника!$H$1:$ABO$500,F$2,0),"М")</f>
        <v>0</v>
      </c>
      <c r="G586" s="50">
        <f>SUMIFS(INDEX(Техника!$F$1:$ABM$500,G$2,0),Техника!$F$4:$ABM$4,"Часы",INDEX(Техника!$G$1:$ABN$500,G$2,0),$A$585,INDEX(Техника!$H$1:$ABO$500,G$2,0),"М")</f>
        <v>0</v>
      </c>
      <c r="H586" s="50">
        <f>SUMIFS(INDEX(Техника!$F$1:$ABM$500,H$2,0),Техника!$F$4:$ABM$4,"Часы",INDEX(Техника!$G$1:$ABN$500,H$2,0),$A$585,INDEX(Техника!$H$1:$ABO$500,H$2,0),"М")</f>
        <v>0</v>
      </c>
      <c r="I586" s="50">
        <f>SUMIFS(INDEX(Техника!$F$1:$ABM$500,I$2,0),Техника!$F$4:$ABM$4,"Часы",INDEX(Техника!$G$1:$ABN$500,I$2,0),$A$585,INDEX(Техника!$H$1:$ABO$500,I$2,0),"М")</f>
        <v>0</v>
      </c>
      <c r="J586" s="50">
        <f>SUMIFS(INDEX(Техника!$F$1:$ABM$500,J$2,0),Техника!$F$4:$ABM$4,"Часы",INDEX(Техника!$G$1:$ABN$500,J$2,0),$A$585,INDEX(Техника!$H$1:$ABO$500,J$2,0),"М")</f>
        <v>0</v>
      </c>
      <c r="K586" s="50">
        <f>SUMIFS(INDEX(Техника!$F$1:$ABM$500,K$2,0),Техника!$F$4:$ABM$4,"Часы",INDEX(Техника!$G$1:$ABN$500,K$2,0),$A$585,INDEX(Техника!$H$1:$ABO$500,K$2,0),"М")</f>
        <v>0</v>
      </c>
      <c r="L586" s="50">
        <f>SUMIFS(INDEX(Техника!$F$1:$ABM$500,L$2,0),Техника!$F$4:$ABM$4,"Часы",INDEX(Техника!$G$1:$ABN$500,L$2,0),$A$585,INDEX(Техника!$H$1:$ABO$500,L$2,0),"М")</f>
        <v>0</v>
      </c>
      <c r="M586" s="50">
        <f>SUMIFS(INDEX(Техника!$F$1:$ABM$500,M$2,0),Техника!$F$4:$ABM$4,"Часы",INDEX(Техника!$G$1:$ABN$500,M$2,0),$A$585,INDEX(Техника!$H$1:$ABO$500,M$2,0),"М")</f>
        <v>0</v>
      </c>
      <c r="N586" s="50">
        <f>SUMIFS(INDEX(Техника!$F$1:$ABM$500,N$2,0),Техника!$F$4:$ABM$4,"Часы",INDEX(Техника!$G$1:$ABN$500,N$2,0),$A$585,INDEX(Техника!$H$1:$ABO$500,N$2,0),"М")</f>
        <v>0</v>
      </c>
      <c r="O586" s="50">
        <f>SUMIFS(INDEX(Техника!$F$1:$ABM$500,O$2,0),Техника!$F$4:$ABM$4,"Часы",INDEX(Техника!$G$1:$ABN$500,O$2,0),$A$585,INDEX(Техника!$H$1:$ABO$500,O$2,0),"М")</f>
        <v>0</v>
      </c>
      <c r="P586" s="50">
        <f>SUMIFS(INDEX(Техника!$F$1:$ABM$500,P$2,0),Техника!$F$4:$ABM$4,"Часы",INDEX(Техника!$G$1:$ABN$500,P$2,0),$A$585,INDEX(Техника!$H$1:$ABO$500,P$2,0),"М")</f>
        <v>0</v>
      </c>
      <c r="Q586" s="50">
        <f>SUMIFS(INDEX(Техника!$F$1:$ABM$500,Q$2,0),Техника!$F$4:$ABM$4,"Часы",INDEX(Техника!$G$1:$ABN$500,Q$2,0),$A$585,INDEX(Техника!$H$1:$ABO$500,Q$2,0),"М")</f>
        <v>0</v>
      </c>
      <c r="R586" s="50">
        <f>SUMIFS(INDEX(Техника!$F$1:$ABM$500,R$2,0),Техника!$F$4:$ABM$4,"Часы",INDEX(Техника!$G$1:$ABN$500,R$2,0),$A$585,INDEX(Техника!$H$1:$ABO$500,R$2,0),"М")</f>
        <v>0</v>
      </c>
      <c r="S586" s="50">
        <f>SUMIFS(INDEX(Техника!$F$1:$ABM$500,S$2,0),Техника!$F$4:$ABM$4,"Часы",INDEX(Техника!$G$1:$ABN$500,S$2,0),$A$585,INDEX(Техника!$H$1:$ABO$500,S$2,0),"М")</f>
        <v>0</v>
      </c>
      <c r="T586" s="50">
        <f>SUMIFS(INDEX(Техника!$F$1:$ABM$500,T$2,0),Техника!$F$4:$ABM$4,"Часы",INDEX(Техника!$G$1:$ABN$500,T$2,0),$A$585,INDEX(Техника!$H$1:$ABO$500,T$2,0),"М")</f>
        <v>0</v>
      </c>
      <c r="U586" s="50">
        <f>SUMIFS(INDEX(Техника!$F$1:$ABM$500,U$2,0),Техника!$F$4:$ABM$4,"Часы",INDEX(Техника!$G$1:$ABN$500,U$2,0),$A$585,INDEX(Техника!$H$1:$ABO$500,U$2,0),"М")</f>
        <v>0</v>
      </c>
      <c r="V586" s="50">
        <f>SUMIFS(INDEX(Техника!$F$1:$ABM$500,V$2,0),Техника!$F$4:$ABM$4,"Часы",INDEX(Техника!$G$1:$ABN$500,V$2,0),$A$585,INDEX(Техника!$H$1:$ABO$500,V$2,0),"М")</f>
        <v>0</v>
      </c>
      <c r="W586" s="50">
        <f>SUMIFS(INDEX(Техника!$F$1:$ABM$500,W$2,0),Техника!$F$4:$ABM$4,"Часы",INDEX(Техника!$G$1:$ABN$500,W$2,0),$A$585,INDEX(Техника!$H$1:$ABO$500,W$2,0),"М")</f>
        <v>0</v>
      </c>
      <c r="X586" s="50">
        <f>SUMIFS(INDEX(Техника!$F$1:$ABM$500,X$2,0),Техника!$F$4:$ABM$4,"Часы",INDEX(Техника!$G$1:$ABN$500,X$2,0),$A$585,INDEX(Техника!$H$1:$ABO$500,X$2,0),"М")</f>
        <v>0</v>
      </c>
      <c r="Y586" s="50">
        <f>SUMIFS(INDEX(Техника!$F$1:$ABM$500,Y$2,0),Техника!$F$4:$ABM$4,"Часы",INDEX(Техника!$G$1:$ABN$500,Y$2,0),$A$585,INDEX(Техника!$H$1:$ABO$500,Y$2,0),"М")</f>
        <v>0</v>
      </c>
      <c r="Z586" s="50">
        <f>SUMIFS(INDEX(Техника!$F$1:$ABM$500,Z$2,0),Техника!$F$4:$ABM$4,"Часы",INDEX(Техника!$G$1:$ABN$500,Z$2,0),$A$585,INDEX(Техника!$H$1:$ABO$500,Z$2,0),"М")</f>
        <v>0</v>
      </c>
      <c r="AA586" s="50">
        <f>SUMIFS(INDEX(Техника!$F$1:$ABM$500,AA$2,0),Техника!$F$4:$ABM$4,"Часы",INDEX(Техника!$G$1:$ABN$500,AA$2,0),$A$585,INDEX(Техника!$H$1:$ABO$500,AA$2,0),"М")</f>
        <v>0</v>
      </c>
      <c r="AB586" s="50">
        <f>SUMIFS(INDEX(Техника!$F$1:$ABM$500,AB$2,0),Техника!$F$4:$ABM$4,"Часы",INDEX(Техника!$G$1:$ABN$500,AB$2,0),$A$585,INDEX(Техника!$H$1:$ABO$500,AB$2,0),"М")</f>
        <v>0</v>
      </c>
    </row>
    <row r="587" spans="1:28" hidden="1" outlineLevel="1" x14ac:dyDescent="0.3">
      <c r="A587" s="33" t="s">
        <v>244</v>
      </c>
      <c r="B587" s="34" t="s">
        <v>275</v>
      </c>
      <c r="C587" s="50">
        <f>SUMIFS(INDEX(Техника!$F$1:$ABM$500,C$2,0),Техника!$F$4:$ABM$4,"Часы",INDEX(Техника!$G$1:$ABN$500,C$2,0),$A$585,INDEX(Техника!$H$1:$ABO$500,C$2,0),"Д")</f>
        <v>0</v>
      </c>
      <c r="D587" s="50">
        <f>SUMIFS(INDEX(Техника!$F$1:$ABM$500,D$2,0),Техника!$F$4:$ABM$4,"Часы",INDEX(Техника!$G$1:$ABN$500,D$2,0),$A$585,INDEX(Техника!$H$1:$ABO$500,D$2,0),"Д")</f>
        <v>0</v>
      </c>
      <c r="E587" s="50">
        <f>SUMIFS(INDEX(Техника!$F$1:$ABM$500,E$2,0),Техника!$F$4:$ABM$4,"Часы",INDEX(Техника!$G$1:$ABN$500,E$2,0),$A$585,INDEX(Техника!$H$1:$ABO$500,E$2,0),"Д")</f>
        <v>0</v>
      </c>
      <c r="F587" s="50">
        <f>SUMIFS(INDEX(Техника!$F$1:$ABM$500,F$2,0),Техника!$F$4:$ABM$4,"Часы",INDEX(Техника!$G$1:$ABN$500,F$2,0),$A$585,INDEX(Техника!$H$1:$ABO$500,F$2,0),"Д")</f>
        <v>0</v>
      </c>
      <c r="G587" s="50">
        <f>SUMIFS(INDEX(Техника!$F$1:$ABM$500,G$2,0),Техника!$F$4:$ABM$4,"Часы",INDEX(Техника!$G$1:$ABN$500,G$2,0),$A$585,INDEX(Техника!$H$1:$ABO$500,G$2,0),"Д")</f>
        <v>0</v>
      </c>
      <c r="H587" s="50">
        <f>SUMIFS(INDEX(Техника!$F$1:$ABM$500,H$2,0),Техника!$F$4:$ABM$4,"Часы",INDEX(Техника!$G$1:$ABN$500,H$2,0),$A$585,INDEX(Техника!$H$1:$ABO$500,H$2,0),"Д")</f>
        <v>0</v>
      </c>
      <c r="I587" s="50">
        <f>SUMIFS(INDEX(Техника!$F$1:$ABM$500,I$2,0),Техника!$F$4:$ABM$4,"Часы",INDEX(Техника!$G$1:$ABN$500,I$2,0),$A$585,INDEX(Техника!$H$1:$ABO$500,I$2,0),"Д")</f>
        <v>0</v>
      </c>
      <c r="J587" s="50">
        <f>SUMIFS(INDEX(Техника!$F$1:$ABM$500,J$2,0),Техника!$F$4:$ABM$4,"Часы",INDEX(Техника!$G$1:$ABN$500,J$2,0),$A$585,INDEX(Техника!$H$1:$ABO$500,J$2,0),"Д")</f>
        <v>0</v>
      </c>
      <c r="K587" s="50">
        <f>SUMIFS(INDEX(Техника!$F$1:$ABM$500,K$2,0),Техника!$F$4:$ABM$4,"Часы",INDEX(Техника!$G$1:$ABN$500,K$2,0),$A$585,INDEX(Техника!$H$1:$ABO$500,K$2,0),"Д")</f>
        <v>0</v>
      </c>
      <c r="L587" s="50">
        <f>SUMIFS(INDEX(Техника!$F$1:$ABM$500,L$2,0),Техника!$F$4:$ABM$4,"Часы",INDEX(Техника!$G$1:$ABN$500,L$2,0),$A$585,INDEX(Техника!$H$1:$ABO$500,L$2,0),"Д")</f>
        <v>0</v>
      </c>
      <c r="M587" s="50">
        <f>SUMIFS(INDEX(Техника!$F$1:$ABM$500,M$2,0),Техника!$F$4:$ABM$4,"Часы",INDEX(Техника!$G$1:$ABN$500,M$2,0),$A$585,INDEX(Техника!$H$1:$ABO$500,M$2,0),"Д")</f>
        <v>0</v>
      </c>
      <c r="N587" s="50">
        <f>SUMIFS(INDEX(Техника!$F$1:$ABM$500,N$2,0),Техника!$F$4:$ABM$4,"Часы",INDEX(Техника!$G$1:$ABN$500,N$2,0),$A$585,INDEX(Техника!$H$1:$ABO$500,N$2,0),"Д")</f>
        <v>0</v>
      </c>
      <c r="O587" s="50">
        <f>SUMIFS(INDEX(Техника!$F$1:$ABM$500,O$2,0),Техника!$F$4:$ABM$4,"Часы",INDEX(Техника!$G$1:$ABN$500,O$2,0),$A$585,INDEX(Техника!$H$1:$ABO$500,O$2,0),"Д")</f>
        <v>0</v>
      </c>
      <c r="P587" s="50">
        <f>SUMIFS(INDEX(Техника!$F$1:$ABM$500,P$2,0),Техника!$F$4:$ABM$4,"Часы",INDEX(Техника!$G$1:$ABN$500,P$2,0),$A$585,INDEX(Техника!$H$1:$ABO$500,P$2,0),"Д")</f>
        <v>0</v>
      </c>
      <c r="Q587" s="50">
        <f>SUMIFS(INDEX(Техника!$F$1:$ABM$500,Q$2,0),Техника!$F$4:$ABM$4,"Часы",INDEX(Техника!$G$1:$ABN$500,Q$2,0),$A$585,INDEX(Техника!$H$1:$ABO$500,Q$2,0),"Д")</f>
        <v>0</v>
      </c>
      <c r="R587" s="50">
        <f>SUMIFS(INDEX(Техника!$F$1:$ABM$500,R$2,0),Техника!$F$4:$ABM$4,"Часы",INDEX(Техника!$G$1:$ABN$500,R$2,0),$A$585,INDEX(Техника!$H$1:$ABO$500,R$2,0),"Д")</f>
        <v>0</v>
      </c>
      <c r="S587" s="50">
        <f>SUMIFS(INDEX(Техника!$F$1:$ABM$500,S$2,0),Техника!$F$4:$ABM$4,"Часы",INDEX(Техника!$G$1:$ABN$500,S$2,0),$A$585,INDEX(Техника!$H$1:$ABO$500,S$2,0),"Д")</f>
        <v>0</v>
      </c>
      <c r="T587" s="50">
        <f>SUMIFS(INDEX(Техника!$F$1:$ABM$500,T$2,0),Техника!$F$4:$ABM$4,"Часы",INDEX(Техника!$G$1:$ABN$500,T$2,0),$A$585,INDEX(Техника!$H$1:$ABO$500,T$2,0),"Д")</f>
        <v>0</v>
      </c>
      <c r="U587" s="50">
        <f>SUMIFS(INDEX(Техника!$F$1:$ABM$500,U$2,0),Техника!$F$4:$ABM$4,"Часы",INDEX(Техника!$G$1:$ABN$500,U$2,0),$A$585,INDEX(Техника!$H$1:$ABO$500,U$2,0),"Д")</f>
        <v>0</v>
      </c>
      <c r="V587" s="50">
        <f>SUMIFS(INDEX(Техника!$F$1:$ABM$500,V$2,0),Техника!$F$4:$ABM$4,"Часы",INDEX(Техника!$G$1:$ABN$500,V$2,0),$A$585,INDEX(Техника!$H$1:$ABO$500,V$2,0),"Д")</f>
        <v>0</v>
      </c>
      <c r="W587" s="50">
        <f>SUMIFS(INDEX(Техника!$F$1:$ABM$500,W$2,0),Техника!$F$4:$ABM$4,"Часы",INDEX(Техника!$G$1:$ABN$500,W$2,0),$A$585,INDEX(Техника!$H$1:$ABO$500,W$2,0),"Д")</f>
        <v>0</v>
      </c>
      <c r="X587" s="50">
        <f>SUMIFS(INDEX(Техника!$F$1:$ABM$500,X$2,0),Техника!$F$4:$ABM$4,"Часы",INDEX(Техника!$G$1:$ABN$500,X$2,0),$A$585,INDEX(Техника!$H$1:$ABO$500,X$2,0),"Д")</f>
        <v>0</v>
      </c>
      <c r="Y587" s="50">
        <f>SUMIFS(INDEX(Техника!$F$1:$ABM$500,Y$2,0),Техника!$F$4:$ABM$4,"Часы",INDEX(Техника!$G$1:$ABN$500,Y$2,0),$A$585,INDEX(Техника!$H$1:$ABO$500,Y$2,0),"Д")</f>
        <v>0</v>
      </c>
      <c r="Z587" s="50">
        <f>SUMIFS(INDEX(Техника!$F$1:$ABM$500,Z$2,0),Техника!$F$4:$ABM$4,"Часы",INDEX(Техника!$G$1:$ABN$500,Z$2,0),$A$585,INDEX(Техника!$H$1:$ABO$500,Z$2,0),"Д")</f>
        <v>0</v>
      </c>
      <c r="AA587" s="50">
        <f>SUMIFS(INDEX(Техника!$F$1:$ABM$500,AA$2,0),Техника!$F$4:$ABM$4,"Часы",INDEX(Техника!$G$1:$ABN$500,AA$2,0),$A$585,INDEX(Техника!$H$1:$ABO$500,AA$2,0),"Д")</f>
        <v>0</v>
      </c>
      <c r="AB587" s="50">
        <f>SUMIFS(INDEX(Техника!$F$1:$ABM$500,AB$2,0),Техника!$F$4:$ABM$4,"Часы",INDEX(Техника!$G$1:$ABN$500,AB$2,0),$A$585,INDEX(Техника!$H$1:$ABO$500,AB$2,0),"Д")</f>
        <v>0</v>
      </c>
    </row>
    <row r="588" spans="1:28" hidden="1" outlineLevel="1" x14ac:dyDescent="0.3">
      <c r="A588" s="33" t="s">
        <v>276</v>
      </c>
      <c r="B588" s="34" t="s">
        <v>277</v>
      </c>
      <c r="C588" s="50">
        <f>SUMIFS(INDEX(Техника!$F$1:$ABM$500,C$2,0),Техника!$F$4:$ABM$4,"Часы",INDEX(Техника!$G$1:$ABN$500,C$2,0),$A$585,INDEX(Техника!$H$1:$ABO$500,C$2,0),"П")</f>
        <v>0</v>
      </c>
      <c r="D588" s="50">
        <f>SUMIFS(INDEX(Техника!$F$1:$ABM$500,D$2,0),Техника!$F$4:$ABM$4,"Часы",INDEX(Техника!$G$1:$ABN$500,D$2,0),$A$585,INDEX(Техника!$H$1:$ABO$500,D$2,0),"П")</f>
        <v>0</v>
      </c>
      <c r="E588" s="50">
        <f>SUMIFS(INDEX(Техника!$F$1:$ABM$500,E$2,0),Техника!$F$4:$ABM$4,"Часы",INDEX(Техника!$G$1:$ABN$500,E$2,0),$A$585,INDEX(Техника!$H$1:$ABO$500,E$2,0),"П")</f>
        <v>0</v>
      </c>
      <c r="F588" s="50">
        <f>SUMIFS(INDEX(Техника!$F$1:$ABM$500,F$2,0),Техника!$F$4:$ABM$4,"Часы",INDEX(Техника!$G$1:$ABN$500,F$2,0),$A$585,INDEX(Техника!$H$1:$ABO$500,F$2,0),"П")</f>
        <v>0</v>
      </c>
      <c r="G588" s="50">
        <f>SUMIFS(INDEX(Техника!$F$1:$ABM$500,G$2,0),Техника!$F$4:$ABM$4,"Часы",INDEX(Техника!$G$1:$ABN$500,G$2,0),$A$585,INDEX(Техника!$H$1:$ABO$500,G$2,0),"П")</f>
        <v>0</v>
      </c>
      <c r="H588" s="50">
        <f>SUMIFS(INDEX(Техника!$F$1:$ABM$500,H$2,0),Техника!$F$4:$ABM$4,"Часы",INDEX(Техника!$G$1:$ABN$500,H$2,0),$A$585,INDEX(Техника!$H$1:$ABO$500,H$2,0),"П")</f>
        <v>0</v>
      </c>
      <c r="I588" s="50">
        <f>SUMIFS(INDEX(Техника!$F$1:$ABM$500,I$2,0),Техника!$F$4:$ABM$4,"Часы",INDEX(Техника!$G$1:$ABN$500,I$2,0),$A$585,INDEX(Техника!$H$1:$ABO$500,I$2,0),"П")</f>
        <v>0</v>
      </c>
      <c r="J588" s="50">
        <f>SUMIFS(INDEX(Техника!$F$1:$ABM$500,J$2,0),Техника!$F$4:$ABM$4,"Часы",INDEX(Техника!$G$1:$ABN$500,J$2,0),$A$585,INDEX(Техника!$H$1:$ABO$500,J$2,0),"П")</f>
        <v>0</v>
      </c>
      <c r="K588" s="50">
        <f>SUMIFS(INDEX(Техника!$F$1:$ABM$500,K$2,0),Техника!$F$4:$ABM$4,"Часы",INDEX(Техника!$G$1:$ABN$500,K$2,0),$A$585,INDEX(Техника!$H$1:$ABO$500,K$2,0),"П")</f>
        <v>0</v>
      </c>
      <c r="L588" s="50">
        <f>SUMIFS(INDEX(Техника!$F$1:$ABM$500,L$2,0),Техника!$F$4:$ABM$4,"Часы",INDEX(Техника!$G$1:$ABN$500,L$2,0),$A$585,INDEX(Техника!$H$1:$ABO$500,L$2,0),"П")</f>
        <v>0</v>
      </c>
      <c r="M588" s="50">
        <f>SUMIFS(INDEX(Техника!$F$1:$ABM$500,M$2,0),Техника!$F$4:$ABM$4,"Часы",INDEX(Техника!$G$1:$ABN$500,M$2,0),$A$585,INDEX(Техника!$H$1:$ABO$500,M$2,0),"П")</f>
        <v>0</v>
      </c>
      <c r="N588" s="50">
        <f>SUMIFS(INDEX(Техника!$F$1:$ABM$500,N$2,0),Техника!$F$4:$ABM$4,"Часы",INDEX(Техника!$G$1:$ABN$500,N$2,0),$A$585,INDEX(Техника!$H$1:$ABO$500,N$2,0),"П")</f>
        <v>0</v>
      </c>
      <c r="O588" s="50">
        <f>SUMIFS(INDEX(Техника!$F$1:$ABM$500,O$2,0),Техника!$F$4:$ABM$4,"Часы",INDEX(Техника!$G$1:$ABN$500,O$2,0),$A$585,INDEX(Техника!$H$1:$ABO$500,O$2,0),"П")</f>
        <v>0</v>
      </c>
      <c r="P588" s="50">
        <f>SUMIFS(INDEX(Техника!$F$1:$ABM$500,P$2,0),Техника!$F$4:$ABM$4,"Часы",INDEX(Техника!$G$1:$ABN$500,P$2,0),$A$585,INDEX(Техника!$H$1:$ABO$500,P$2,0),"П")</f>
        <v>0</v>
      </c>
      <c r="Q588" s="50">
        <f>SUMIFS(INDEX(Техника!$F$1:$ABM$500,Q$2,0),Техника!$F$4:$ABM$4,"Часы",INDEX(Техника!$G$1:$ABN$500,Q$2,0),$A$585,INDEX(Техника!$H$1:$ABO$500,Q$2,0),"П")</f>
        <v>0</v>
      </c>
      <c r="R588" s="50">
        <f>SUMIFS(INDEX(Техника!$F$1:$ABM$500,R$2,0),Техника!$F$4:$ABM$4,"Часы",INDEX(Техника!$G$1:$ABN$500,R$2,0),$A$585,INDEX(Техника!$H$1:$ABO$500,R$2,0),"П")</f>
        <v>0</v>
      </c>
      <c r="S588" s="50">
        <f>SUMIFS(INDEX(Техника!$F$1:$ABM$500,S$2,0),Техника!$F$4:$ABM$4,"Часы",INDEX(Техника!$G$1:$ABN$500,S$2,0),$A$585,INDEX(Техника!$H$1:$ABO$500,S$2,0),"П")</f>
        <v>0</v>
      </c>
      <c r="T588" s="50">
        <f>SUMIFS(INDEX(Техника!$F$1:$ABM$500,T$2,0),Техника!$F$4:$ABM$4,"Часы",INDEX(Техника!$G$1:$ABN$500,T$2,0),$A$585,INDEX(Техника!$H$1:$ABO$500,T$2,0),"П")</f>
        <v>0</v>
      </c>
      <c r="U588" s="50">
        <f>SUMIFS(INDEX(Техника!$F$1:$ABM$500,U$2,0),Техника!$F$4:$ABM$4,"Часы",INDEX(Техника!$G$1:$ABN$500,U$2,0),$A$585,INDEX(Техника!$H$1:$ABO$500,U$2,0),"П")</f>
        <v>0</v>
      </c>
      <c r="V588" s="50">
        <f>SUMIFS(INDEX(Техника!$F$1:$ABM$500,V$2,0),Техника!$F$4:$ABM$4,"Часы",INDEX(Техника!$G$1:$ABN$500,V$2,0),$A$585,INDEX(Техника!$H$1:$ABO$500,V$2,0),"П")</f>
        <v>0</v>
      </c>
      <c r="W588" s="50">
        <f>SUMIFS(INDEX(Техника!$F$1:$ABM$500,W$2,0),Техника!$F$4:$ABM$4,"Часы",INDEX(Техника!$G$1:$ABN$500,W$2,0),$A$585,INDEX(Техника!$H$1:$ABO$500,W$2,0),"П")</f>
        <v>0</v>
      </c>
      <c r="X588" s="50">
        <f>SUMIFS(INDEX(Техника!$F$1:$ABM$500,X$2,0),Техника!$F$4:$ABM$4,"Часы",INDEX(Техника!$G$1:$ABN$500,X$2,0),$A$585,INDEX(Техника!$H$1:$ABO$500,X$2,0),"П")</f>
        <v>0</v>
      </c>
      <c r="Y588" s="50">
        <f>SUMIFS(INDEX(Техника!$F$1:$ABM$500,Y$2,0),Техника!$F$4:$ABM$4,"Часы",INDEX(Техника!$G$1:$ABN$500,Y$2,0),$A$585,INDEX(Техника!$H$1:$ABO$500,Y$2,0),"П")</f>
        <v>0</v>
      </c>
      <c r="Z588" s="50">
        <f>SUMIFS(INDEX(Техника!$F$1:$ABM$500,Z$2,0),Техника!$F$4:$ABM$4,"Часы",INDEX(Техника!$G$1:$ABN$500,Z$2,0),$A$585,INDEX(Техника!$H$1:$ABO$500,Z$2,0),"П")</f>
        <v>0</v>
      </c>
      <c r="AA588" s="50">
        <f>SUMIFS(INDEX(Техника!$F$1:$ABM$500,AA$2,0),Техника!$F$4:$ABM$4,"Часы",INDEX(Техника!$G$1:$ABN$500,AA$2,0),$A$585,INDEX(Техника!$H$1:$ABO$500,AA$2,0),"П")</f>
        <v>0</v>
      </c>
      <c r="AB588" s="50">
        <f>SUMIFS(INDEX(Техника!$F$1:$ABM$500,AB$2,0),Техника!$F$4:$ABM$4,"Часы",INDEX(Техника!$G$1:$ABN$500,AB$2,0),$A$585,INDEX(Техника!$H$1:$ABO$500,AB$2,0),"П")</f>
        <v>0</v>
      </c>
    </row>
    <row r="589" spans="1:28" hidden="1" outlineLevel="1" x14ac:dyDescent="0.3">
      <c r="A589" s="33" t="s">
        <v>243</v>
      </c>
      <c r="B589" s="34" t="s">
        <v>278</v>
      </c>
      <c r="C589" s="50">
        <f>SUMIFS(INDEX(Техника!$F$1:$ABM$500,C$2,0),Техника!$F$4:$ABM$4,"Часы",INDEX(Техника!$G$1:$ABN$500,C$2,0),$A$585,INDEX(Техника!$H$1:$ABO$500,C$2,0),"Л")</f>
        <v>0</v>
      </c>
      <c r="D589" s="50">
        <f>SUMIFS(INDEX(Техника!$F$1:$ABM$500,D$2,0),Техника!$F$4:$ABM$4,"Часы",INDEX(Техника!$G$1:$ABN$500,D$2,0),$A$585,INDEX(Техника!$H$1:$ABO$500,D$2,0),"Л")</f>
        <v>0</v>
      </c>
      <c r="E589" s="50">
        <f>SUMIFS(INDEX(Техника!$F$1:$ABM$500,E$2,0),Техника!$F$4:$ABM$4,"Часы",INDEX(Техника!$G$1:$ABN$500,E$2,0),$A$585,INDEX(Техника!$H$1:$ABO$500,E$2,0),"Л")</f>
        <v>0</v>
      </c>
      <c r="F589" s="50">
        <f>SUMIFS(INDEX(Техника!$F$1:$ABM$500,F$2,0),Техника!$F$4:$ABM$4,"Часы",INDEX(Техника!$G$1:$ABN$500,F$2,0),$A$585,INDEX(Техника!$H$1:$ABO$500,F$2,0),"Л")</f>
        <v>0</v>
      </c>
      <c r="G589" s="50">
        <f>SUMIFS(INDEX(Техника!$F$1:$ABM$500,G$2,0),Техника!$F$4:$ABM$4,"Часы",INDEX(Техника!$G$1:$ABN$500,G$2,0),$A$585,INDEX(Техника!$H$1:$ABO$500,G$2,0),"Л")</f>
        <v>0</v>
      </c>
      <c r="H589" s="50">
        <f>SUMIFS(INDEX(Техника!$F$1:$ABM$500,H$2,0),Техника!$F$4:$ABM$4,"Часы",INDEX(Техника!$G$1:$ABN$500,H$2,0),$A$585,INDEX(Техника!$H$1:$ABO$500,H$2,0),"Л")</f>
        <v>0</v>
      </c>
      <c r="I589" s="50">
        <f>SUMIFS(INDEX(Техника!$F$1:$ABM$500,I$2,0),Техника!$F$4:$ABM$4,"Часы",INDEX(Техника!$G$1:$ABN$500,I$2,0),$A$585,INDEX(Техника!$H$1:$ABO$500,I$2,0),"Л")</f>
        <v>0</v>
      </c>
      <c r="J589" s="50">
        <f>SUMIFS(INDEX(Техника!$F$1:$ABM$500,J$2,0),Техника!$F$4:$ABM$4,"Часы",INDEX(Техника!$G$1:$ABN$500,J$2,0),$A$585,INDEX(Техника!$H$1:$ABO$500,J$2,0),"Л")</f>
        <v>0</v>
      </c>
      <c r="K589" s="50">
        <f>SUMIFS(INDEX(Техника!$F$1:$ABM$500,K$2,0),Техника!$F$4:$ABM$4,"Часы",INDEX(Техника!$G$1:$ABN$500,K$2,0),$A$585,INDEX(Техника!$H$1:$ABO$500,K$2,0),"Л")</f>
        <v>0</v>
      </c>
      <c r="L589" s="50">
        <f>SUMIFS(INDEX(Техника!$F$1:$ABM$500,L$2,0),Техника!$F$4:$ABM$4,"Часы",INDEX(Техника!$G$1:$ABN$500,L$2,0),$A$585,INDEX(Техника!$H$1:$ABO$500,L$2,0),"Л")</f>
        <v>0</v>
      </c>
      <c r="M589" s="50">
        <f>SUMIFS(INDEX(Техника!$F$1:$ABM$500,M$2,0),Техника!$F$4:$ABM$4,"Часы",INDEX(Техника!$G$1:$ABN$500,M$2,0),$A$585,INDEX(Техника!$H$1:$ABO$500,M$2,0),"Л")</f>
        <v>0</v>
      </c>
      <c r="N589" s="50">
        <f>SUMIFS(INDEX(Техника!$F$1:$ABM$500,N$2,0),Техника!$F$4:$ABM$4,"Часы",INDEX(Техника!$G$1:$ABN$500,N$2,0),$A$585,INDEX(Техника!$H$1:$ABO$500,N$2,0),"Л")</f>
        <v>0</v>
      </c>
      <c r="O589" s="50">
        <f>SUMIFS(INDEX(Техника!$F$1:$ABM$500,O$2,0),Техника!$F$4:$ABM$4,"Часы",INDEX(Техника!$G$1:$ABN$500,O$2,0),$A$585,INDEX(Техника!$H$1:$ABO$500,O$2,0),"Л")</f>
        <v>0</v>
      </c>
      <c r="P589" s="50">
        <f>SUMIFS(INDEX(Техника!$F$1:$ABM$500,P$2,0),Техника!$F$4:$ABM$4,"Часы",INDEX(Техника!$G$1:$ABN$500,P$2,0),$A$585,INDEX(Техника!$H$1:$ABO$500,P$2,0),"Л")</f>
        <v>0</v>
      </c>
      <c r="Q589" s="50">
        <f>SUMIFS(INDEX(Техника!$F$1:$ABM$500,Q$2,0),Техника!$F$4:$ABM$4,"Часы",INDEX(Техника!$G$1:$ABN$500,Q$2,0),$A$585,INDEX(Техника!$H$1:$ABO$500,Q$2,0),"Л")</f>
        <v>0</v>
      </c>
      <c r="R589" s="50">
        <f>SUMIFS(INDEX(Техника!$F$1:$ABM$500,R$2,0),Техника!$F$4:$ABM$4,"Часы",INDEX(Техника!$G$1:$ABN$500,R$2,0),$A$585,INDEX(Техника!$H$1:$ABO$500,R$2,0),"Л")</f>
        <v>0</v>
      </c>
      <c r="S589" s="50">
        <f>SUMIFS(INDEX(Техника!$F$1:$ABM$500,S$2,0),Техника!$F$4:$ABM$4,"Часы",INDEX(Техника!$G$1:$ABN$500,S$2,0),$A$585,INDEX(Техника!$H$1:$ABO$500,S$2,0),"Л")</f>
        <v>0</v>
      </c>
      <c r="T589" s="50">
        <f>SUMIFS(INDEX(Техника!$F$1:$ABM$500,T$2,0),Техника!$F$4:$ABM$4,"Часы",INDEX(Техника!$G$1:$ABN$500,T$2,0),$A$585,INDEX(Техника!$H$1:$ABO$500,T$2,0),"Л")</f>
        <v>0</v>
      </c>
      <c r="U589" s="50">
        <f>SUMIFS(INDEX(Техника!$F$1:$ABM$500,U$2,0),Техника!$F$4:$ABM$4,"Часы",INDEX(Техника!$G$1:$ABN$500,U$2,0),$A$585,INDEX(Техника!$H$1:$ABO$500,U$2,0),"Л")</f>
        <v>0</v>
      </c>
      <c r="V589" s="50">
        <f>SUMIFS(INDEX(Техника!$F$1:$ABM$500,V$2,0),Техника!$F$4:$ABM$4,"Часы",INDEX(Техника!$G$1:$ABN$500,V$2,0),$A$585,INDEX(Техника!$H$1:$ABO$500,V$2,0),"Л")</f>
        <v>0</v>
      </c>
      <c r="W589" s="50">
        <f>SUMIFS(INDEX(Техника!$F$1:$ABM$500,W$2,0),Техника!$F$4:$ABM$4,"Часы",INDEX(Техника!$G$1:$ABN$500,W$2,0),$A$585,INDEX(Техника!$H$1:$ABO$500,W$2,0),"Л")</f>
        <v>0</v>
      </c>
      <c r="X589" s="50">
        <f>SUMIFS(INDEX(Техника!$F$1:$ABM$500,X$2,0),Техника!$F$4:$ABM$4,"Часы",INDEX(Техника!$G$1:$ABN$500,X$2,0),$A$585,INDEX(Техника!$H$1:$ABO$500,X$2,0),"Л")</f>
        <v>0</v>
      </c>
      <c r="Y589" s="50">
        <f>SUMIFS(INDEX(Техника!$F$1:$ABM$500,Y$2,0),Техника!$F$4:$ABM$4,"Часы",INDEX(Техника!$G$1:$ABN$500,Y$2,0),$A$585,INDEX(Техника!$H$1:$ABO$500,Y$2,0),"Л")</f>
        <v>0</v>
      </c>
      <c r="Z589" s="50">
        <f>SUMIFS(INDEX(Техника!$F$1:$ABM$500,Z$2,0),Техника!$F$4:$ABM$4,"Часы",INDEX(Техника!$G$1:$ABN$500,Z$2,0),$A$585,INDEX(Техника!$H$1:$ABO$500,Z$2,0),"Л")</f>
        <v>0</v>
      </c>
      <c r="AA589" s="50">
        <f>SUMIFS(INDEX(Техника!$F$1:$ABM$500,AA$2,0),Техника!$F$4:$ABM$4,"Часы",INDEX(Техника!$G$1:$ABN$500,AA$2,0),$A$585,INDEX(Техника!$H$1:$ABO$500,AA$2,0),"Л")</f>
        <v>0</v>
      </c>
      <c r="AB589" s="50">
        <f>SUMIFS(INDEX(Техника!$F$1:$ABM$500,AB$2,0),Техника!$F$4:$ABM$4,"Часы",INDEX(Техника!$G$1:$ABN$500,AB$2,0),$A$585,INDEX(Техника!$H$1:$ABO$500,AB$2,0),"Л")</f>
        <v>0</v>
      </c>
    </row>
    <row r="590" spans="1:28" hidden="1" outlineLevel="1" x14ac:dyDescent="0.3">
      <c r="A590" s="33" t="s">
        <v>245</v>
      </c>
      <c r="B590" s="34" t="s">
        <v>279</v>
      </c>
      <c r="C590" s="50">
        <f>SUMIFS(INDEX(Техника!$F$1:$ABM$500,C$2,0),Техника!$F$4:$ABM$4,"Часы",INDEX(Техника!$G$1:$ABN$500,C$2,0),$A$585,INDEX(Техника!$H$1:$ABO$500,C$2,0),"З")</f>
        <v>0</v>
      </c>
      <c r="D590" s="50">
        <f>SUMIFS(INDEX(Техника!$F$1:$ABM$500,D$2,0),Техника!$F$4:$ABM$4,"Часы",INDEX(Техника!$G$1:$ABN$500,D$2,0),$A$585,INDEX(Техника!$H$1:$ABO$500,D$2,0),"З")</f>
        <v>0</v>
      </c>
      <c r="E590" s="50">
        <f>SUMIFS(INDEX(Техника!$F$1:$ABM$500,E$2,0),Техника!$F$4:$ABM$4,"Часы",INDEX(Техника!$G$1:$ABN$500,E$2,0),$A$585,INDEX(Техника!$H$1:$ABO$500,E$2,0),"З")</f>
        <v>0</v>
      </c>
      <c r="F590" s="50">
        <f>SUMIFS(INDEX(Техника!$F$1:$ABM$500,F$2,0),Техника!$F$4:$ABM$4,"Часы",INDEX(Техника!$G$1:$ABN$500,F$2,0),$A$585,INDEX(Техника!$H$1:$ABO$500,F$2,0),"З")</f>
        <v>0</v>
      </c>
      <c r="G590" s="50">
        <f>SUMIFS(INDEX(Техника!$F$1:$ABM$500,G$2,0),Техника!$F$4:$ABM$4,"Часы",INDEX(Техника!$G$1:$ABN$500,G$2,0),$A$585,INDEX(Техника!$H$1:$ABO$500,G$2,0),"З")</f>
        <v>0</v>
      </c>
      <c r="H590" s="50">
        <f>SUMIFS(INDEX(Техника!$F$1:$ABM$500,H$2,0),Техника!$F$4:$ABM$4,"Часы",INDEX(Техника!$G$1:$ABN$500,H$2,0),$A$585,INDEX(Техника!$H$1:$ABO$500,H$2,0),"З")</f>
        <v>0</v>
      </c>
      <c r="I590" s="50">
        <f>SUMIFS(INDEX(Техника!$F$1:$ABM$500,I$2,0),Техника!$F$4:$ABM$4,"Часы",INDEX(Техника!$G$1:$ABN$500,I$2,0),$A$585,INDEX(Техника!$H$1:$ABO$500,I$2,0),"З")</f>
        <v>0</v>
      </c>
      <c r="J590" s="50">
        <f>SUMIFS(INDEX(Техника!$F$1:$ABM$500,J$2,0),Техника!$F$4:$ABM$4,"Часы",INDEX(Техника!$G$1:$ABN$500,J$2,0),$A$585,INDEX(Техника!$H$1:$ABO$500,J$2,0),"З")</f>
        <v>0</v>
      </c>
      <c r="K590" s="50">
        <f>SUMIFS(INDEX(Техника!$F$1:$ABM$500,K$2,0),Техника!$F$4:$ABM$4,"Часы",INDEX(Техника!$G$1:$ABN$500,K$2,0),$A$585,INDEX(Техника!$H$1:$ABO$500,K$2,0),"З")</f>
        <v>0</v>
      </c>
      <c r="L590" s="50">
        <f>SUMIFS(INDEX(Техника!$F$1:$ABM$500,L$2,0),Техника!$F$4:$ABM$4,"Часы",INDEX(Техника!$G$1:$ABN$500,L$2,0),$A$585,INDEX(Техника!$H$1:$ABO$500,L$2,0),"З")</f>
        <v>0</v>
      </c>
      <c r="M590" s="50">
        <f>SUMIFS(INDEX(Техника!$F$1:$ABM$500,M$2,0),Техника!$F$4:$ABM$4,"Часы",INDEX(Техника!$G$1:$ABN$500,M$2,0),$A$585,INDEX(Техника!$H$1:$ABO$500,M$2,0),"З")</f>
        <v>0</v>
      </c>
      <c r="N590" s="50">
        <f>SUMIFS(INDEX(Техника!$F$1:$ABM$500,N$2,0),Техника!$F$4:$ABM$4,"Часы",INDEX(Техника!$G$1:$ABN$500,N$2,0),$A$585,INDEX(Техника!$H$1:$ABO$500,N$2,0),"З")</f>
        <v>0</v>
      </c>
      <c r="O590" s="50">
        <f>SUMIFS(INDEX(Техника!$F$1:$ABM$500,O$2,0),Техника!$F$4:$ABM$4,"Часы",INDEX(Техника!$G$1:$ABN$500,O$2,0),$A$585,INDEX(Техника!$H$1:$ABO$500,O$2,0),"З")</f>
        <v>0</v>
      </c>
      <c r="P590" s="50">
        <f>SUMIFS(INDEX(Техника!$F$1:$ABM$500,P$2,0),Техника!$F$4:$ABM$4,"Часы",INDEX(Техника!$G$1:$ABN$500,P$2,0),$A$585,INDEX(Техника!$H$1:$ABO$500,P$2,0),"З")</f>
        <v>0</v>
      </c>
      <c r="Q590" s="50">
        <f>SUMIFS(INDEX(Техника!$F$1:$ABM$500,Q$2,0),Техника!$F$4:$ABM$4,"Часы",INDEX(Техника!$G$1:$ABN$500,Q$2,0),$A$585,INDEX(Техника!$H$1:$ABO$500,Q$2,0),"З")</f>
        <v>0</v>
      </c>
      <c r="R590" s="50">
        <f>SUMIFS(INDEX(Техника!$F$1:$ABM$500,R$2,0),Техника!$F$4:$ABM$4,"Часы",INDEX(Техника!$G$1:$ABN$500,R$2,0),$A$585,INDEX(Техника!$H$1:$ABO$500,R$2,0),"З")</f>
        <v>0</v>
      </c>
      <c r="S590" s="50">
        <f>SUMIFS(INDEX(Техника!$F$1:$ABM$500,S$2,0),Техника!$F$4:$ABM$4,"Часы",INDEX(Техника!$G$1:$ABN$500,S$2,0),$A$585,INDEX(Техника!$H$1:$ABO$500,S$2,0),"З")</f>
        <v>0</v>
      </c>
      <c r="T590" s="50">
        <f>SUMIFS(INDEX(Техника!$F$1:$ABM$500,T$2,0),Техника!$F$4:$ABM$4,"Часы",INDEX(Техника!$G$1:$ABN$500,T$2,0),$A$585,INDEX(Техника!$H$1:$ABO$500,T$2,0),"З")</f>
        <v>0</v>
      </c>
      <c r="U590" s="50">
        <f>SUMIFS(INDEX(Техника!$F$1:$ABM$500,U$2,0),Техника!$F$4:$ABM$4,"Часы",INDEX(Техника!$G$1:$ABN$500,U$2,0),$A$585,INDEX(Техника!$H$1:$ABO$500,U$2,0),"З")</f>
        <v>0</v>
      </c>
      <c r="V590" s="50">
        <f>SUMIFS(INDEX(Техника!$F$1:$ABM$500,V$2,0),Техника!$F$4:$ABM$4,"Часы",INDEX(Техника!$G$1:$ABN$500,V$2,0),$A$585,INDEX(Техника!$H$1:$ABO$500,V$2,0),"З")</f>
        <v>0</v>
      </c>
      <c r="W590" s="50">
        <f>SUMIFS(INDEX(Техника!$F$1:$ABM$500,W$2,0),Техника!$F$4:$ABM$4,"Часы",INDEX(Техника!$G$1:$ABN$500,W$2,0),$A$585,INDEX(Техника!$H$1:$ABO$500,W$2,0),"З")</f>
        <v>0</v>
      </c>
      <c r="X590" s="50">
        <f>SUMIFS(INDEX(Техника!$F$1:$ABM$500,X$2,0),Техника!$F$4:$ABM$4,"Часы",INDEX(Техника!$G$1:$ABN$500,X$2,0),$A$585,INDEX(Техника!$H$1:$ABO$500,X$2,0),"З")</f>
        <v>0</v>
      </c>
      <c r="Y590" s="50">
        <f>SUMIFS(INDEX(Техника!$F$1:$ABM$500,Y$2,0),Техника!$F$4:$ABM$4,"Часы",INDEX(Техника!$G$1:$ABN$500,Y$2,0),$A$585,INDEX(Техника!$H$1:$ABO$500,Y$2,0),"З")</f>
        <v>0</v>
      </c>
      <c r="Z590" s="50">
        <f>SUMIFS(INDEX(Техника!$F$1:$ABM$500,Z$2,0),Техника!$F$4:$ABM$4,"Часы",INDEX(Техника!$G$1:$ABN$500,Z$2,0),$A$585,INDEX(Техника!$H$1:$ABO$500,Z$2,0),"З")</f>
        <v>0</v>
      </c>
      <c r="AA590" s="50">
        <f>SUMIFS(INDEX(Техника!$F$1:$ABM$500,AA$2,0),Техника!$F$4:$ABM$4,"Часы",INDEX(Техника!$G$1:$ABN$500,AA$2,0),$A$585,INDEX(Техника!$H$1:$ABO$500,AA$2,0),"З")</f>
        <v>0</v>
      </c>
      <c r="AB590" s="50">
        <f>SUMIFS(INDEX(Техника!$F$1:$ABM$500,AB$2,0),Техника!$F$4:$ABM$4,"Часы",INDEX(Техника!$G$1:$ABN$500,AB$2,0),$A$585,INDEX(Техника!$H$1:$ABO$500,AB$2,0),"З")</f>
        <v>0</v>
      </c>
    </row>
    <row r="591" spans="1:28" ht="7.95" customHeight="1" x14ac:dyDescent="0.3">
      <c r="A591" s="38"/>
      <c r="B591" s="39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</row>
    <row r="592" spans="1:28" ht="25.05" customHeight="1" collapsed="1" x14ac:dyDescent="0.3">
      <c r="A592" s="32">
        <v>85</v>
      </c>
      <c r="B592" s="32" t="s">
        <v>86</v>
      </c>
      <c r="C592" s="49">
        <f>SUM(C593:C597)</f>
        <v>0</v>
      </c>
      <c r="D592" s="49">
        <f>SUM(D593:D597)</f>
        <v>0</v>
      </c>
      <c r="E592" s="49">
        <f>SUM(E593:E597)</f>
        <v>0</v>
      </c>
      <c r="F592" s="49">
        <f>SUM(F593:F597)</f>
        <v>0</v>
      </c>
      <c r="G592" s="49">
        <f>SUM(G593:G597)</f>
        <v>0</v>
      </c>
      <c r="H592" s="49">
        <f>SUM(H593:H597)</f>
        <v>0</v>
      </c>
      <c r="I592" s="49">
        <f>SUM(I593:I597)</f>
        <v>0</v>
      </c>
      <c r="J592" s="49">
        <f>SUM(J593:J597)</f>
        <v>0</v>
      </c>
      <c r="K592" s="49">
        <f>SUM(K593:K597)</f>
        <v>0</v>
      </c>
      <c r="L592" s="49">
        <f>SUM(L593:L597)</f>
        <v>0</v>
      </c>
      <c r="M592" s="49">
        <f>SUM(M593:M597)</f>
        <v>0</v>
      </c>
      <c r="N592" s="49">
        <f>SUM(N593:N597)</f>
        <v>0</v>
      </c>
      <c r="O592" s="49">
        <f>SUM(O593:O597)</f>
        <v>0</v>
      </c>
      <c r="P592" s="49">
        <f>SUM(P593:P597)</f>
        <v>0</v>
      </c>
      <c r="Q592" s="49">
        <f>SUM(Q593:Q597)</f>
        <v>0</v>
      </c>
      <c r="R592" s="49">
        <f>SUM(R593:R597)</f>
        <v>0</v>
      </c>
      <c r="S592" s="49">
        <f>SUM(S593:S597)</f>
        <v>0</v>
      </c>
      <c r="T592" s="49">
        <f>SUM(T593:T597)</f>
        <v>0</v>
      </c>
      <c r="U592" s="49">
        <f>SUM(U593:U597)</f>
        <v>0</v>
      </c>
      <c r="V592" s="49">
        <f>SUM(V593:V597)</f>
        <v>0</v>
      </c>
      <c r="W592" s="49">
        <f>SUM(W593:W597)</f>
        <v>0</v>
      </c>
      <c r="X592" s="49">
        <f>SUM(X593:X597)</f>
        <v>0</v>
      </c>
      <c r="Y592" s="49">
        <f>SUM(Y593:Y597)</f>
        <v>0</v>
      </c>
      <c r="Z592" s="49">
        <f>SUM(Z593:Z597)</f>
        <v>0</v>
      </c>
      <c r="AA592" s="49">
        <f>SUM(AA593:AA597)</f>
        <v>0</v>
      </c>
      <c r="AB592" s="49">
        <f>SUM(AB593:AB597)</f>
        <v>0</v>
      </c>
    </row>
    <row r="593" spans="1:28" hidden="1" outlineLevel="1" x14ac:dyDescent="0.3">
      <c r="A593" s="33" t="s">
        <v>246</v>
      </c>
      <c r="B593" s="34" t="s">
        <v>274</v>
      </c>
      <c r="C593" s="50">
        <f>SUMIFS(INDEX(Техника!$F$1:$ABM$500,C$2,0),Техника!$F$4:$ABM$4,"Часы",INDEX(Техника!$G$1:$ABN$500,C$2,0),$A$592,INDEX(Техника!$H$1:$ABO$500,C$2,0),"М")</f>
        <v>0</v>
      </c>
      <c r="D593" s="50">
        <f>SUMIFS(INDEX(Техника!$F$1:$ABM$500,D$2,0),Техника!$F$4:$ABM$4,"Часы",INDEX(Техника!$G$1:$ABN$500,D$2,0),$A$592,INDEX(Техника!$H$1:$ABO$500,D$2,0),"М")</f>
        <v>0</v>
      </c>
      <c r="E593" s="50">
        <f>SUMIFS(INDEX(Техника!$F$1:$ABM$500,E$2,0),Техника!$F$4:$ABM$4,"Часы",INDEX(Техника!$G$1:$ABN$500,E$2,0),$A$592,INDEX(Техника!$H$1:$ABO$500,E$2,0),"М")</f>
        <v>0</v>
      </c>
      <c r="F593" s="50">
        <f>SUMIFS(INDEX(Техника!$F$1:$ABM$500,F$2,0),Техника!$F$4:$ABM$4,"Часы",INDEX(Техника!$G$1:$ABN$500,F$2,0),$A$592,INDEX(Техника!$H$1:$ABO$500,F$2,0),"М")</f>
        <v>0</v>
      </c>
      <c r="G593" s="50">
        <f>SUMIFS(INDEX(Техника!$F$1:$ABM$500,G$2,0),Техника!$F$4:$ABM$4,"Часы",INDEX(Техника!$G$1:$ABN$500,G$2,0),$A$592,INDEX(Техника!$H$1:$ABO$500,G$2,0),"М")</f>
        <v>0</v>
      </c>
      <c r="H593" s="50">
        <f>SUMIFS(INDEX(Техника!$F$1:$ABM$500,H$2,0),Техника!$F$4:$ABM$4,"Часы",INDEX(Техника!$G$1:$ABN$500,H$2,0),$A$592,INDEX(Техника!$H$1:$ABO$500,H$2,0),"М")</f>
        <v>0</v>
      </c>
      <c r="I593" s="50">
        <f>SUMIFS(INDEX(Техника!$F$1:$ABM$500,I$2,0),Техника!$F$4:$ABM$4,"Часы",INDEX(Техника!$G$1:$ABN$500,I$2,0),$A$592,INDEX(Техника!$H$1:$ABO$500,I$2,0),"М")</f>
        <v>0</v>
      </c>
      <c r="J593" s="50">
        <f>SUMIFS(INDEX(Техника!$F$1:$ABM$500,J$2,0),Техника!$F$4:$ABM$4,"Часы",INDEX(Техника!$G$1:$ABN$500,J$2,0),$A$592,INDEX(Техника!$H$1:$ABO$500,J$2,0),"М")</f>
        <v>0</v>
      </c>
      <c r="K593" s="50">
        <f>SUMIFS(INDEX(Техника!$F$1:$ABM$500,K$2,0),Техника!$F$4:$ABM$4,"Часы",INDEX(Техника!$G$1:$ABN$500,K$2,0),$A$592,INDEX(Техника!$H$1:$ABO$500,K$2,0),"М")</f>
        <v>0</v>
      </c>
      <c r="L593" s="50">
        <f>SUMIFS(INDEX(Техника!$F$1:$ABM$500,L$2,0),Техника!$F$4:$ABM$4,"Часы",INDEX(Техника!$G$1:$ABN$500,L$2,0),$A$592,INDEX(Техника!$H$1:$ABO$500,L$2,0),"М")</f>
        <v>0</v>
      </c>
      <c r="M593" s="50">
        <f>SUMIFS(INDEX(Техника!$F$1:$ABM$500,M$2,0),Техника!$F$4:$ABM$4,"Часы",INDEX(Техника!$G$1:$ABN$500,M$2,0),$A$592,INDEX(Техника!$H$1:$ABO$500,M$2,0),"М")</f>
        <v>0</v>
      </c>
      <c r="N593" s="50">
        <f>SUMIFS(INDEX(Техника!$F$1:$ABM$500,N$2,0),Техника!$F$4:$ABM$4,"Часы",INDEX(Техника!$G$1:$ABN$500,N$2,0),$A$592,INDEX(Техника!$H$1:$ABO$500,N$2,0),"М")</f>
        <v>0</v>
      </c>
      <c r="O593" s="50">
        <f>SUMIFS(INDEX(Техника!$F$1:$ABM$500,O$2,0),Техника!$F$4:$ABM$4,"Часы",INDEX(Техника!$G$1:$ABN$500,O$2,0),$A$592,INDEX(Техника!$H$1:$ABO$500,O$2,0),"М")</f>
        <v>0</v>
      </c>
      <c r="P593" s="50">
        <f>SUMIFS(INDEX(Техника!$F$1:$ABM$500,P$2,0),Техника!$F$4:$ABM$4,"Часы",INDEX(Техника!$G$1:$ABN$500,P$2,0),$A$592,INDEX(Техника!$H$1:$ABO$500,P$2,0),"М")</f>
        <v>0</v>
      </c>
      <c r="Q593" s="50">
        <f>SUMIFS(INDEX(Техника!$F$1:$ABM$500,Q$2,0),Техника!$F$4:$ABM$4,"Часы",INDEX(Техника!$G$1:$ABN$500,Q$2,0),$A$592,INDEX(Техника!$H$1:$ABO$500,Q$2,0),"М")</f>
        <v>0</v>
      </c>
      <c r="R593" s="50">
        <f>SUMIFS(INDEX(Техника!$F$1:$ABM$500,R$2,0),Техника!$F$4:$ABM$4,"Часы",INDEX(Техника!$G$1:$ABN$500,R$2,0),$A$592,INDEX(Техника!$H$1:$ABO$500,R$2,0),"М")</f>
        <v>0</v>
      </c>
      <c r="S593" s="50">
        <f>SUMIFS(INDEX(Техника!$F$1:$ABM$500,S$2,0),Техника!$F$4:$ABM$4,"Часы",INDEX(Техника!$G$1:$ABN$500,S$2,0),$A$592,INDEX(Техника!$H$1:$ABO$500,S$2,0),"М")</f>
        <v>0</v>
      </c>
      <c r="T593" s="50">
        <f>SUMIFS(INDEX(Техника!$F$1:$ABM$500,T$2,0),Техника!$F$4:$ABM$4,"Часы",INDEX(Техника!$G$1:$ABN$500,T$2,0),$A$592,INDEX(Техника!$H$1:$ABO$500,T$2,0),"М")</f>
        <v>0</v>
      </c>
      <c r="U593" s="50">
        <f>SUMIFS(INDEX(Техника!$F$1:$ABM$500,U$2,0),Техника!$F$4:$ABM$4,"Часы",INDEX(Техника!$G$1:$ABN$500,U$2,0),$A$592,INDEX(Техника!$H$1:$ABO$500,U$2,0),"М")</f>
        <v>0</v>
      </c>
      <c r="V593" s="50">
        <f>SUMIFS(INDEX(Техника!$F$1:$ABM$500,V$2,0),Техника!$F$4:$ABM$4,"Часы",INDEX(Техника!$G$1:$ABN$500,V$2,0),$A$592,INDEX(Техника!$H$1:$ABO$500,V$2,0),"М")</f>
        <v>0</v>
      </c>
      <c r="W593" s="50">
        <f>SUMIFS(INDEX(Техника!$F$1:$ABM$500,W$2,0),Техника!$F$4:$ABM$4,"Часы",INDEX(Техника!$G$1:$ABN$500,W$2,0),$A$592,INDEX(Техника!$H$1:$ABO$500,W$2,0),"М")</f>
        <v>0</v>
      </c>
      <c r="X593" s="50">
        <f>SUMIFS(INDEX(Техника!$F$1:$ABM$500,X$2,0),Техника!$F$4:$ABM$4,"Часы",INDEX(Техника!$G$1:$ABN$500,X$2,0),$A$592,INDEX(Техника!$H$1:$ABO$500,X$2,0),"М")</f>
        <v>0</v>
      </c>
      <c r="Y593" s="50">
        <f>SUMIFS(INDEX(Техника!$F$1:$ABM$500,Y$2,0),Техника!$F$4:$ABM$4,"Часы",INDEX(Техника!$G$1:$ABN$500,Y$2,0),$A$592,INDEX(Техника!$H$1:$ABO$500,Y$2,0),"М")</f>
        <v>0</v>
      </c>
      <c r="Z593" s="50">
        <f>SUMIFS(INDEX(Техника!$F$1:$ABM$500,Z$2,0),Техника!$F$4:$ABM$4,"Часы",INDEX(Техника!$G$1:$ABN$500,Z$2,0),$A$592,INDEX(Техника!$H$1:$ABO$500,Z$2,0),"М")</f>
        <v>0</v>
      </c>
      <c r="AA593" s="50">
        <f>SUMIFS(INDEX(Техника!$F$1:$ABM$500,AA$2,0),Техника!$F$4:$ABM$4,"Часы",INDEX(Техника!$G$1:$ABN$500,AA$2,0),$A$592,INDEX(Техника!$H$1:$ABO$500,AA$2,0),"М")</f>
        <v>0</v>
      </c>
      <c r="AB593" s="50">
        <f>SUMIFS(INDEX(Техника!$F$1:$ABM$500,AB$2,0),Техника!$F$4:$ABM$4,"Часы",INDEX(Техника!$G$1:$ABN$500,AB$2,0),$A$592,INDEX(Техника!$H$1:$ABO$500,AB$2,0),"М")</f>
        <v>0</v>
      </c>
    </row>
    <row r="594" spans="1:28" hidden="1" outlineLevel="1" x14ac:dyDescent="0.3">
      <c r="A594" s="33" t="s">
        <v>244</v>
      </c>
      <c r="B594" s="34" t="s">
        <v>275</v>
      </c>
      <c r="C594" s="50">
        <f>SUMIFS(INDEX(Техника!$F$1:$ABM$500,C$2,0),Техника!$F$4:$ABM$4,"Часы",INDEX(Техника!$G$1:$ABN$500,C$2,0),$A$592,INDEX(Техника!$H$1:$ABO$500,C$2,0),"Д")</f>
        <v>0</v>
      </c>
      <c r="D594" s="50">
        <f>SUMIFS(INDEX(Техника!$F$1:$ABM$500,D$2,0),Техника!$F$4:$ABM$4,"Часы",INDEX(Техника!$G$1:$ABN$500,D$2,0),$A$592,INDEX(Техника!$H$1:$ABO$500,D$2,0),"Д")</f>
        <v>0</v>
      </c>
      <c r="E594" s="50">
        <f>SUMIFS(INDEX(Техника!$F$1:$ABM$500,E$2,0),Техника!$F$4:$ABM$4,"Часы",INDEX(Техника!$G$1:$ABN$500,E$2,0),$A$592,INDEX(Техника!$H$1:$ABO$500,E$2,0),"Д")</f>
        <v>0</v>
      </c>
      <c r="F594" s="50">
        <f>SUMIFS(INDEX(Техника!$F$1:$ABM$500,F$2,0),Техника!$F$4:$ABM$4,"Часы",INDEX(Техника!$G$1:$ABN$500,F$2,0),$A$592,INDEX(Техника!$H$1:$ABO$500,F$2,0),"Д")</f>
        <v>0</v>
      </c>
      <c r="G594" s="50">
        <f>SUMIFS(INDEX(Техника!$F$1:$ABM$500,G$2,0),Техника!$F$4:$ABM$4,"Часы",INDEX(Техника!$G$1:$ABN$500,G$2,0),$A$592,INDEX(Техника!$H$1:$ABO$500,G$2,0),"Д")</f>
        <v>0</v>
      </c>
      <c r="H594" s="50">
        <f>SUMIFS(INDEX(Техника!$F$1:$ABM$500,H$2,0),Техника!$F$4:$ABM$4,"Часы",INDEX(Техника!$G$1:$ABN$500,H$2,0),$A$592,INDEX(Техника!$H$1:$ABO$500,H$2,0),"Д")</f>
        <v>0</v>
      </c>
      <c r="I594" s="50">
        <f>SUMIFS(INDEX(Техника!$F$1:$ABM$500,I$2,0),Техника!$F$4:$ABM$4,"Часы",INDEX(Техника!$G$1:$ABN$500,I$2,0),$A$592,INDEX(Техника!$H$1:$ABO$500,I$2,0),"Д")</f>
        <v>0</v>
      </c>
      <c r="J594" s="50">
        <f>SUMIFS(INDEX(Техника!$F$1:$ABM$500,J$2,0),Техника!$F$4:$ABM$4,"Часы",INDEX(Техника!$G$1:$ABN$500,J$2,0),$A$592,INDEX(Техника!$H$1:$ABO$500,J$2,0),"Д")</f>
        <v>0</v>
      </c>
      <c r="K594" s="50">
        <f>SUMIFS(INDEX(Техника!$F$1:$ABM$500,K$2,0),Техника!$F$4:$ABM$4,"Часы",INDEX(Техника!$G$1:$ABN$500,K$2,0),$A$592,INDEX(Техника!$H$1:$ABO$500,K$2,0),"Д")</f>
        <v>0</v>
      </c>
      <c r="L594" s="50">
        <f>SUMIFS(INDEX(Техника!$F$1:$ABM$500,L$2,0),Техника!$F$4:$ABM$4,"Часы",INDEX(Техника!$G$1:$ABN$500,L$2,0),$A$592,INDEX(Техника!$H$1:$ABO$500,L$2,0),"Д")</f>
        <v>0</v>
      </c>
      <c r="M594" s="50">
        <f>SUMIFS(INDEX(Техника!$F$1:$ABM$500,M$2,0),Техника!$F$4:$ABM$4,"Часы",INDEX(Техника!$G$1:$ABN$500,M$2,0),$A$592,INDEX(Техника!$H$1:$ABO$500,M$2,0),"Д")</f>
        <v>0</v>
      </c>
      <c r="N594" s="50">
        <f>SUMIFS(INDEX(Техника!$F$1:$ABM$500,N$2,0),Техника!$F$4:$ABM$4,"Часы",INDEX(Техника!$G$1:$ABN$500,N$2,0),$A$592,INDEX(Техника!$H$1:$ABO$500,N$2,0),"Д")</f>
        <v>0</v>
      </c>
      <c r="O594" s="50">
        <f>SUMIFS(INDEX(Техника!$F$1:$ABM$500,O$2,0),Техника!$F$4:$ABM$4,"Часы",INDEX(Техника!$G$1:$ABN$500,O$2,0),$A$592,INDEX(Техника!$H$1:$ABO$500,O$2,0),"Д")</f>
        <v>0</v>
      </c>
      <c r="P594" s="50">
        <f>SUMIFS(INDEX(Техника!$F$1:$ABM$500,P$2,0),Техника!$F$4:$ABM$4,"Часы",INDEX(Техника!$G$1:$ABN$500,P$2,0),$A$592,INDEX(Техника!$H$1:$ABO$500,P$2,0),"Д")</f>
        <v>0</v>
      </c>
      <c r="Q594" s="50">
        <f>SUMIFS(INDEX(Техника!$F$1:$ABM$500,Q$2,0),Техника!$F$4:$ABM$4,"Часы",INDEX(Техника!$G$1:$ABN$500,Q$2,0),$A$592,INDEX(Техника!$H$1:$ABO$500,Q$2,0),"Д")</f>
        <v>0</v>
      </c>
      <c r="R594" s="50">
        <f>SUMIFS(INDEX(Техника!$F$1:$ABM$500,R$2,0),Техника!$F$4:$ABM$4,"Часы",INDEX(Техника!$G$1:$ABN$500,R$2,0),$A$592,INDEX(Техника!$H$1:$ABO$500,R$2,0),"Д")</f>
        <v>0</v>
      </c>
      <c r="S594" s="50">
        <f>SUMIFS(INDEX(Техника!$F$1:$ABM$500,S$2,0),Техника!$F$4:$ABM$4,"Часы",INDEX(Техника!$G$1:$ABN$500,S$2,0),$A$592,INDEX(Техника!$H$1:$ABO$500,S$2,0),"Д")</f>
        <v>0</v>
      </c>
      <c r="T594" s="50">
        <f>SUMIFS(INDEX(Техника!$F$1:$ABM$500,T$2,0),Техника!$F$4:$ABM$4,"Часы",INDEX(Техника!$G$1:$ABN$500,T$2,0),$A$592,INDEX(Техника!$H$1:$ABO$500,T$2,0),"Д")</f>
        <v>0</v>
      </c>
      <c r="U594" s="50">
        <f>SUMIFS(INDEX(Техника!$F$1:$ABM$500,U$2,0),Техника!$F$4:$ABM$4,"Часы",INDEX(Техника!$G$1:$ABN$500,U$2,0),$A$592,INDEX(Техника!$H$1:$ABO$500,U$2,0),"Д")</f>
        <v>0</v>
      </c>
      <c r="V594" s="50">
        <f>SUMIFS(INDEX(Техника!$F$1:$ABM$500,V$2,0),Техника!$F$4:$ABM$4,"Часы",INDEX(Техника!$G$1:$ABN$500,V$2,0),$A$592,INDEX(Техника!$H$1:$ABO$500,V$2,0),"Д")</f>
        <v>0</v>
      </c>
      <c r="W594" s="50">
        <f>SUMIFS(INDEX(Техника!$F$1:$ABM$500,W$2,0),Техника!$F$4:$ABM$4,"Часы",INDEX(Техника!$G$1:$ABN$500,W$2,0),$A$592,INDEX(Техника!$H$1:$ABO$500,W$2,0),"Д")</f>
        <v>0</v>
      </c>
      <c r="X594" s="50">
        <f>SUMIFS(INDEX(Техника!$F$1:$ABM$500,X$2,0),Техника!$F$4:$ABM$4,"Часы",INDEX(Техника!$G$1:$ABN$500,X$2,0),$A$592,INDEX(Техника!$H$1:$ABO$500,X$2,0),"Д")</f>
        <v>0</v>
      </c>
      <c r="Y594" s="50">
        <f>SUMIFS(INDEX(Техника!$F$1:$ABM$500,Y$2,0),Техника!$F$4:$ABM$4,"Часы",INDEX(Техника!$G$1:$ABN$500,Y$2,0),$A$592,INDEX(Техника!$H$1:$ABO$500,Y$2,0),"Д")</f>
        <v>0</v>
      </c>
      <c r="Z594" s="50">
        <f>SUMIFS(INDEX(Техника!$F$1:$ABM$500,Z$2,0),Техника!$F$4:$ABM$4,"Часы",INDEX(Техника!$G$1:$ABN$500,Z$2,0),$A$592,INDEX(Техника!$H$1:$ABO$500,Z$2,0),"Д")</f>
        <v>0</v>
      </c>
      <c r="AA594" s="50">
        <f>SUMIFS(INDEX(Техника!$F$1:$ABM$500,AA$2,0),Техника!$F$4:$ABM$4,"Часы",INDEX(Техника!$G$1:$ABN$500,AA$2,0),$A$592,INDEX(Техника!$H$1:$ABO$500,AA$2,0),"Д")</f>
        <v>0</v>
      </c>
      <c r="AB594" s="50">
        <f>SUMIFS(INDEX(Техника!$F$1:$ABM$500,AB$2,0),Техника!$F$4:$ABM$4,"Часы",INDEX(Техника!$G$1:$ABN$500,AB$2,0),$A$592,INDEX(Техника!$H$1:$ABO$500,AB$2,0),"Д")</f>
        <v>0</v>
      </c>
    </row>
    <row r="595" spans="1:28" hidden="1" outlineLevel="1" x14ac:dyDescent="0.3">
      <c r="A595" s="33" t="s">
        <v>276</v>
      </c>
      <c r="B595" s="34" t="s">
        <v>277</v>
      </c>
      <c r="C595" s="50">
        <f>SUMIFS(INDEX(Техника!$F$1:$ABM$500,C$2,0),Техника!$F$4:$ABM$4,"Часы",INDEX(Техника!$G$1:$ABN$500,C$2,0),$A$592,INDEX(Техника!$H$1:$ABO$500,C$2,0),"П")</f>
        <v>0</v>
      </c>
      <c r="D595" s="50">
        <f>SUMIFS(INDEX(Техника!$F$1:$ABM$500,D$2,0),Техника!$F$4:$ABM$4,"Часы",INDEX(Техника!$G$1:$ABN$500,D$2,0),$A$592,INDEX(Техника!$H$1:$ABO$500,D$2,0),"П")</f>
        <v>0</v>
      </c>
      <c r="E595" s="50">
        <f>SUMIFS(INDEX(Техника!$F$1:$ABM$500,E$2,0),Техника!$F$4:$ABM$4,"Часы",INDEX(Техника!$G$1:$ABN$500,E$2,0),$A$592,INDEX(Техника!$H$1:$ABO$500,E$2,0),"П")</f>
        <v>0</v>
      </c>
      <c r="F595" s="50">
        <f>SUMIFS(INDEX(Техника!$F$1:$ABM$500,F$2,0),Техника!$F$4:$ABM$4,"Часы",INDEX(Техника!$G$1:$ABN$500,F$2,0),$A$592,INDEX(Техника!$H$1:$ABO$500,F$2,0),"П")</f>
        <v>0</v>
      </c>
      <c r="G595" s="50">
        <f>SUMIFS(INDEX(Техника!$F$1:$ABM$500,G$2,0),Техника!$F$4:$ABM$4,"Часы",INDEX(Техника!$G$1:$ABN$500,G$2,0),$A$592,INDEX(Техника!$H$1:$ABO$500,G$2,0),"П")</f>
        <v>0</v>
      </c>
      <c r="H595" s="50">
        <f>SUMIFS(INDEX(Техника!$F$1:$ABM$500,H$2,0),Техника!$F$4:$ABM$4,"Часы",INDEX(Техника!$G$1:$ABN$500,H$2,0),$A$592,INDEX(Техника!$H$1:$ABO$500,H$2,0),"П")</f>
        <v>0</v>
      </c>
      <c r="I595" s="50">
        <f>SUMIFS(INDEX(Техника!$F$1:$ABM$500,I$2,0),Техника!$F$4:$ABM$4,"Часы",INDEX(Техника!$G$1:$ABN$500,I$2,0),$A$592,INDEX(Техника!$H$1:$ABO$500,I$2,0),"П")</f>
        <v>0</v>
      </c>
      <c r="J595" s="50">
        <f>SUMIFS(INDEX(Техника!$F$1:$ABM$500,J$2,0),Техника!$F$4:$ABM$4,"Часы",INDEX(Техника!$G$1:$ABN$500,J$2,0),$A$592,INDEX(Техника!$H$1:$ABO$500,J$2,0),"П")</f>
        <v>0</v>
      </c>
      <c r="K595" s="50">
        <f>SUMIFS(INDEX(Техника!$F$1:$ABM$500,K$2,0),Техника!$F$4:$ABM$4,"Часы",INDEX(Техника!$G$1:$ABN$500,K$2,0),$A$592,INDEX(Техника!$H$1:$ABO$500,K$2,0),"П")</f>
        <v>0</v>
      </c>
      <c r="L595" s="50">
        <f>SUMIFS(INDEX(Техника!$F$1:$ABM$500,L$2,0),Техника!$F$4:$ABM$4,"Часы",INDEX(Техника!$G$1:$ABN$500,L$2,0),$A$592,INDEX(Техника!$H$1:$ABO$500,L$2,0),"П")</f>
        <v>0</v>
      </c>
      <c r="M595" s="50">
        <f>SUMIFS(INDEX(Техника!$F$1:$ABM$500,M$2,0),Техника!$F$4:$ABM$4,"Часы",INDEX(Техника!$G$1:$ABN$500,M$2,0),$A$592,INDEX(Техника!$H$1:$ABO$500,M$2,0),"П")</f>
        <v>0</v>
      </c>
      <c r="N595" s="50">
        <f>SUMIFS(INDEX(Техника!$F$1:$ABM$500,N$2,0),Техника!$F$4:$ABM$4,"Часы",INDEX(Техника!$G$1:$ABN$500,N$2,0),$A$592,INDEX(Техника!$H$1:$ABO$500,N$2,0),"П")</f>
        <v>0</v>
      </c>
      <c r="O595" s="50">
        <f>SUMIFS(INDEX(Техника!$F$1:$ABM$500,O$2,0),Техника!$F$4:$ABM$4,"Часы",INDEX(Техника!$G$1:$ABN$500,O$2,0),$A$592,INDEX(Техника!$H$1:$ABO$500,O$2,0),"П")</f>
        <v>0</v>
      </c>
      <c r="P595" s="50">
        <f>SUMIFS(INDEX(Техника!$F$1:$ABM$500,P$2,0),Техника!$F$4:$ABM$4,"Часы",INDEX(Техника!$G$1:$ABN$500,P$2,0),$A$592,INDEX(Техника!$H$1:$ABO$500,P$2,0),"П")</f>
        <v>0</v>
      </c>
      <c r="Q595" s="50">
        <f>SUMIFS(INDEX(Техника!$F$1:$ABM$500,Q$2,0),Техника!$F$4:$ABM$4,"Часы",INDEX(Техника!$G$1:$ABN$500,Q$2,0),$A$592,INDEX(Техника!$H$1:$ABO$500,Q$2,0),"П")</f>
        <v>0</v>
      </c>
      <c r="R595" s="50">
        <f>SUMIFS(INDEX(Техника!$F$1:$ABM$500,R$2,0),Техника!$F$4:$ABM$4,"Часы",INDEX(Техника!$G$1:$ABN$500,R$2,0),$A$592,INDEX(Техника!$H$1:$ABO$500,R$2,0),"П")</f>
        <v>0</v>
      </c>
      <c r="S595" s="50">
        <f>SUMIFS(INDEX(Техника!$F$1:$ABM$500,S$2,0),Техника!$F$4:$ABM$4,"Часы",INDEX(Техника!$G$1:$ABN$500,S$2,0),$A$592,INDEX(Техника!$H$1:$ABO$500,S$2,0),"П")</f>
        <v>0</v>
      </c>
      <c r="T595" s="50">
        <f>SUMIFS(INDEX(Техника!$F$1:$ABM$500,T$2,0),Техника!$F$4:$ABM$4,"Часы",INDEX(Техника!$G$1:$ABN$500,T$2,0),$A$592,INDEX(Техника!$H$1:$ABO$500,T$2,0),"П")</f>
        <v>0</v>
      </c>
      <c r="U595" s="50">
        <f>SUMIFS(INDEX(Техника!$F$1:$ABM$500,U$2,0),Техника!$F$4:$ABM$4,"Часы",INDEX(Техника!$G$1:$ABN$500,U$2,0),$A$592,INDEX(Техника!$H$1:$ABO$500,U$2,0),"П")</f>
        <v>0</v>
      </c>
      <c r="V595" s="50">
        <f>SUMIFS(INDEX(Техника!$F$1:$ABM$500,V$2,0),Техника!$F$4:$ABM$4,"Часы",INDEX(Техника!$G$1:$ABN$500,V$2,0),$A$592,INDEX(Техника!$H$1:$ABO$500,V$2,0),"П")</f>
        <v>0</v>
      </c>
      <c r="W595" s="50">
        <f>SUMIFS(INDEX(Техника!$F$1:$ABM$500,W$2,0),Техника!$F$4:$ABM$4,"Часы",INDEX(Техника!$G$1:$ABN$500,W$2,0),$A$592,INDEX(Техника!$H$1:$ABO$500,W$2,0),"П")</f>
        <v>0</v>
      </c>
      <c r="X595" s="50">
        <f>SUMIFS(INDEX(Техника!$F$1:$ABM$500,X$2,0),Техника!$F$4:$ABM$4,"Часы",INDEX(Техника!$G$1:$ABN$500,X$2,0),$A$592,INDEX(Техника!$H$1:$ABO$500,X$2,0),"П")</f>
        <v>0</v>
      </c>
      <c r="Y595" s="50">
        <f>SUMIFS(INDEX(Техника!$F$1:$ABM$500,Y$2,0),Техника!$F$4:$ABM$4,"Часы",INDEX(Техника!$G$1:$ABN$500,Y$2,0),$A$592,INDEX(Техника!$H$1:$ABO$500,Y$2,0),"П")</f>
        <v>0</v>
      </c>
      <c r="Z595" s="50">
        <f>SUMIFS(INDEX(Техника!$F$1:$ABM$500,Z$2,0),Техника!$F$4:$ABM$4,"Часы",INDEX(Техника!$G$1:$ABN$500,Z$2,0),$A$592,INDEX(Техника!$H$1:$ABO$500,Z$2,0),"П")</f>
        <v>0</v>
      </c>
      <c r="AA595" s="50">
        <f>SUMIFS(INDEX(Техника!$F$1:$ABM$500,AA$2,0),Техника!$F$4:$ABM$4,"Часы",INDEX(Техника!$G$1:$ABN$500,AA$2,0),$A$592,INDEX(Техника!$H$1:$ABO$500,AA$2,0),"П")</f>
        <v>0</v>
      </c>
      <c r="AB595" s="50">
        <f>SUMIFS(INDEX(Техника!$F$1:$ABM$500,AB$2,0),Техника!$F$4:$ABM$4,"Часы",INDEX(Техника!$G$1:$ABN$500,AB$2,0),$A$592,INDEX(Техника!$H$1:$ABO$500,AB$2,0),"П")</f>
        <v>0</v>
      </c>
    </row>
    <row r="596" spans="1:28" hidden="1" outlineLevel="1" x14ac:dyDescent="0.3">
      <c r="A596" s="33" t="s">
        <v>243</v>
      </c>
      <c r="B596" s="34" t="s">
        <v>278</v>
      </c>
      <c r="C596" s="50">
        <f>SUMIFS(INDEX(Техника!$F$1:$ABM$500,C$2,0),Техника!$F$4:$ABM$4,"Часы",INDEX(Техника!$G$1:$ABN$500,C$2,0),$A$592,INDEX(Техника!$H$1:$ABO$500,C$2,0),"Л")</f>
        <v>0</v>
      </c>
      <c r="D596" s="50">
        <f>SUMIFS(INDEX(Техника!$F$1:$ABM$500,D$2,0),Техника!$F$4:$ABM$4,"Часы",INDEX(Техника!$G$1:$ABN$500,D$2,0),$A$592,INDEX(Техника!$H$1:$ABO$500,D$2,0),"Л")</f>
        <v>0</v>
      </c>
      <c r="E596" s="50">
        <f>SUMIFS(INDEX(Техника!$F$1:$ABM$500,E$2,0),Техника!$F$4:$ABM$4,"Часы",INDEX(Техника!$G$1:$ABN$500,E$2,0),$A$592,INDEX(Техника!$H$1:$ABO$500,E$2,0),"Л")</f>
        <v>0</v>
      </c>
      <c r="F596" s="50">
        <f>SUMIFS(INDEX(Техника!$F$1:$ABM$500,F$2,0),Техника!$F$4:$ABM$4,"Часы",INDEX(Техника!$G$1:$ABN$500,F$2,0),$A$592,INDEX(Техника!$H$1:$ABO$500,F$2,0),"Л")</f>
        <v>0</v>
      </c>
      <c r="G596" s="50">
        <f>SUMIFS(INDEX(Техника!$F$1:$ABM$500,G$2,0),Техника!$F$4:$ABM$4,"Часы",INDEX(Техника!$G$1:$ABN$500,G$2,0),$A$592,INDEX(Техника!$H$1:$ABO$500,G$2,0),"Л")</f>
        <v>0</v>
      </c>
      <c r="H596" s="50">
        <f>SUMIFS(INDEX(Техника!$F$1:$ABM$500,H$2,0),Техника!$F$4:$ABM$4,"Часы",INDEX(Техника!$G$1:$ABN$500,H$2,0),$A$592,INDEX(Техника!$H$1:$ABO$500,H$2,0),"Л")</f>
        <v>0</v>
      </c>
      <c r="I596" s="50">
        <f>SUMIFS(INDEX(Техника!$F$1:$ABM$500,I$2,0),Техника!$F$4:$ABM$4,"Часы",INDEX(Техника!$G$1:$ABN$500,I$2,0),$A$592,INDEX(Техника!$H$1:$ABO$500,I$2,0),"Л")</f>
        <v>0</v>
      </c>
      <c r="J596" s="50">
        <f>SUMIFS(INDEX(Техника!$F$1:$ABM$500,J$2,0),Техника!$F$4:$ABM$4,"Часы",INDEX(Техника!$G$1:$ABN$500,J$2,0),$A$592,INDEX(Техника!$H$1:$ABO$500,J$2,0),"Л")</f>
        <v>0</v>
      </c>
      <c r="K596" s="50">
        <f>SUMIFS(INDEX(Техника!$F$1:$ABM$500,K$2,0),Техника!$F$4:$ABM$4,"Часы",INDEX(Техника!$G$1:$ABN$500,K$2,0),$A$592,INDEX(Техника!$H$1:$ABO$500,K$2,0),"Л")</f>
        <v>0</v>
      </c>
      <c r="L596" s="50">
        <f>SUMIFS(INDEX(Техника!$F$1:$ABM$500,L$2,0),Техника!$F$4:$ABM$4,"Часы",INDEX(Техника!$G$1:$ABN$500,L$2,0),$A$592,INDEX(Техника!$H$1:$ABO$500,L$2,0),"Л")</f>
        <v>0</v>
      </c>
      <c r="M596" s="50">
        <f>SUMIFS(INDEX(Техника!$F$1:$ABM$500,M$2,0),Техника!$F$4:$ABM$4,"Часы",INDEX(Техника!$G$1:$ABN$500,M$2,0),$A$592,INDEX(Техника!$H$1:$ABO$500,M$2,0),"Л")</f>
        <v>0</v>
      </c>
      <c r="N596" s="50">
        <f>SUMIFS(INDEX(Техника!$F$1:$ABM$500,N$2,0),Техника!$F$4:$ABM$4,"Часы",INDEX(Техника!$G$1:$ABN$500,N$2,0),$A$592,INDEX(Техника!$H$1:$ABO$500,N$2,0),"Л")</f>
        <v>0</v>
      </c>
      <c r="O596" s="50">
        <f>SUMIFS(INDEX(Техника!$F$1:$ABM$500,O$2,0),Техника!$F$4:$ABM$4,"Часы",INDEX(Техника!$G$1:$ABN$500,O$2,0),$A$592,INDEX(Техника!$H$1:$ABO$500,O$2,0),"Л")</f>
        <v>0</v>
      </c>
      <c r="P596" s="50">
        <f>SUMIFS(INDEX(Техника!$F$1:$ABM$500,P$2,0),Техника!$F$4:$ABM$4,"Часы",INDEX(Техника!$G$1:$ABN$500,P$2,0),$A$592,INDEX(Техника!$H$1:$ABO$500,P$2,0),"Л")</f>
        <v>0</v>
      </c>
      <c r="Q596" s="50">
        <f>SUMIFS(INDEX(Техника!$F$1:$ABM$500,Q$2,0),Техника!$F$4:$ABM$4,"Часы",INDEX(Техника!$G$1:$ABN$500,Q$2,0),$A$592,INDEX(Техника!$H$1:$ABO$500,Q$2,0),"Л")</f>
        <v>0</v>
      </c>
      <c r="R596" s="50">
        <f>SUMIFS(INDEX(Техника!$F$1:$ABM$500,R$2,0),Техника!$F$4:$ABM$4,"Часы",INDEX(Техника!$G$1:$ABN$500,R$2,0),$A$592,INDEX(Техника!$H$1:$ABO$500,R$2,0),"Л")</f>
        <v>0</v>
      </c>
      <c r="S596" s="50">
        <f>SUMIFS(INDEX(Техника!$F$1:$ABM$500,S$2,0),Техника!$F$4:$ABM$4,"Часы",INDEX(Техника!$G$1:$ABN$500,S$2,0),$A$592,INDEX(Техника!$H$1:$ABO$500,S$2,0),"Л")</f>
        <v>0</v>
      </c>
      <c r="T596" s="50">
        <f>SUMIFS(INDEX(Техника!$F$1:$ABM$500,T$2,0),Техника!$F$4:$ABM$4,"Часы",INDEX(Техника!$G$1:$ABN$500,T$2,0),$A$592,INDEX(Техника!$H$1:$ABO$500,T$2,0),"Л")</f>
        <v>0</v>
      </c>
      <c r="U596" s="50">
        <f>SUMIFS(INDEX(Техника!$F$1:$ABM$500,U$2,0),Техника!$F$4:$ABM$4,"Часы",INDEX(Техника!$G$1:$ABN$500,U$2,0),$A$592,INDEX(Техника!$H$1:$ABO$500,U$2,0),"Л")</f>
        <v>0</v>
      </c>
      <c r="V596" s="50">
        <f>SUMIFS(INDEX(Техника!$F$1:$ABM$500,V$2,0),Техника!$F$4:$ABM$4,"Часы",INDEX(Техника!$G$1:$ABN$500,V$2,0),$A$592,INDEX(Техника!$H$1:$ABO$500,V$2,0),"Л")</f>
        <v>0</v>
      </c>
      <c r="W596" s="50">
        <f>SUMIFS(INDEX(Техника!$F$1:$ABM$500,W$2,0),Техника!$F$4:$ABM$4,"Часы",INDEX(Техника!$G$1:$ABN$500,W$2,0),$A$592,INDEX(Техника!$H$1:$ABO$500,W$2,0),"Л")</f>
        <v>0</v>
      </c>
      <c r="X596" s="50">
        <f>SUMIFS(INDEX(Техника!$F$1:$ABM$500,X$2,0),Техника!$F$4:$ABM$4,"Часы",INDEX(Техника!$G$1:$ABN$500,X$2,0),$A$592,INDEX(Техника!$H$1:$ABO$500,X$2,0),"Л")</f>
        <v>0</v>
      </c>
      <c r="Y596" s="50">
        <f>SUMIFS(INDEX(Техника!$F$1:$ABM$500,Y$2,0),Техника!$F$4:$ABM$4,"Часы",INDEX(Техника!$G$1:$ABN$500,Y$2,0),$A$592,INDEX(Техника!$H$1:$ABO$500,Y$2,0),"Л")</f>
        <v>0</v>
      </c>
      <c r="Z596" s="50">
        <f>SUMIFS(INDEX(Техника!$F$1:$ABM$500,Z$2,0),Техника!$F$4:$ABM$4,"Часы",INDEX(Техника!$G$1:$ABN$500,Z$2,0),$A$592,INDEX(Техника!$H$1:$ABO$500,Z$2,0),"Л")</f>
        <v>0</v>
      </c>
      <c r="AA596" s="50">
        <f>SUMIFS(INDEX(Техника!$F$1:$ABM$500,AA$2,0),Техника!$F$4:$ABM$4,"Часы",INDEX(Техника!$G$1:$ABN$500,AA$2,0),$A$592,INDEX(Техника!$H$1:$ABO$500,AA$2,0),"Л")</f>
        <v>0</v>
      </c>
      <c r="AB596" s="50">
        <f>SUMIFS(INDEX(Техника!$F$1:$ABM$500,AB$2,0),Техника!$F$4:$ABM$4,"Часы",INDEX(Техника!$G$1:$ABN$500,AB$2,0),$A$592,INDEX(Техника!$H$1:$ABO$500,AB$2,0),"Л")</f>
        <v>0</v>
      </c>
    </row>
    <row r="597" spans="1:28" hidden="1" outlineLevel="1" x14ac:dyDescent="0.3">
      <c r="A597" s="33" t="s">
        <v>245</v>
      </c>
      <c r="B597" s="34" t="s">
        <v>279</v>
      </c>
      <c r="C597" s="50">
        <f>SUMIFS(INDEX(Техника!$F$1:$ABM$500,C$2,0),Техника!$F$4:$ABM$4,"Часы",INDEX(Техника!$G$1:$ABN$500,C$2,0),$A$592,INDEX(Техника!$H$1:$ABO$500,C$2,0),"З")</f>
        <v>0</v>
      </c>
      <c r="D597" s="50">
        <f>SUMIFS(INDEX(Техника!$F$1:$ABM$500,D$2,0),Техника!$F$4:$ABM$4,"Часы",INDEX(Техника!$G$1:$ABN$500,D$2,0),$A$592,INDEX(Техника!$H$1:$ABO$500,D$2,0),"З")</f>
        <v>0</v>
      </c>
      <c r="E597" s="50">
        <f>SUMIFS(INDEX(Техника!$F$1:$ABM$500,E$2,0),Техника!$F$4:$ABM$4,"Часы",INDEX(Техника!$G$1:$ABN$500,E$2,0),$A$592,INDEX(Техника!$H$1:$ABO$500,E$2,0),"З")</f>
        <v>0</v>
      </c>
      <c r="F597" s="50">
        <f>SUMIFS(INDEX(Техника!$F$1:$ABM$500,F$2,0),Техника!$F$4:$ABM$4,"Часы",INDEX(Техника!$G$1:$ABN$500,F$2,0),$A$592,INDEX(Техника!$H$1:$ABO$500,F$2,0),"З")</f>
        <v>0</v>
      </c>
      <c r="G597" s="50">
        <f>SUMIFS(INDEX(Техника!$F$1:$ABM$500,G$2,0),Техника!$F$4:$ABM$4,"Часы",INDEX(Техника!$G$1:$ABN$500,G$2,0),$A$592,INDEX(Техника!$H$1:$ABO$500,G$2,0),"З")</f>
        <v>0</v>
      </c>
      <c r="H597" s="50">
        <f>SUMIFS(INDEX(Техника!$F$1:$ABM$500,H$2,0),Техника!$F$4:$ABM$4,"Часы",INDEX(Техника!$G$1:$ABN$500,H$2,0),$A$592,INDEX(Техника!$H$1:$ABO$500,H$2,0),"З")</f>
        <v>0</v>
      </c>
      <c r="I597" s="50">
        <f>SUMIFS(INDEX(Техника!$F$1:$ABM$500,I$2,0),Техника!$F$4:$ABM$4,"Часы",INDEX(Техника!$G$1:$ABN$500,I$2,0),$A$592,INDEX(Техника!$H$1:$ABO$500,I$2,0),"З")</f>
        <v>0</v>
      </c>
      <c r="J597" s="50">
        <f>SUMIFS(INDEX(Техника!$F$1:$ABM$500,J$2,0),Техника!$F$4:$ABM$4,"Часы",INDEX(Техника!$G$1:$ABN$500,J$2,0),$A$592,INDEX(Техника!$H$1:$ABO$500,J$2,0),"З")</f>
        <v>0</v>
      </c>
      <c r="K597" s="50">
        <f>SUMIFS(INDEX(Техника!$F$1:$ABM$500,K$2,0),Техника!$F$4:$ABM$4,"Часы",INDEX(Техника!$G$1:$ABN$500,K$2,0),$A$592,INDEX(Техника!$H$1:$ABO$500,K$2,0),"З")</f>
        <v>0</v>
      </c>
      <c r="L597" s="50">
        <f>SUMIFS(INDEX(Техника!$F$1:$ABM$500,L$2,0),Техника!$F$4:$ABM$4,"Часы",INDEX(Техника!$G$1:$ABN$500,L$2,0),$A$592,INDEX(Техника!$H$1:$ABO$500,L$2,0),"З")</f>
        <v>0</v>
      </c>
      <c r="M597" s="50">
        <f>SUMIFS(INDEX(Техника!$F$1:$ABM$500,M$2,0),Техника!$F$4:$ABM$4,"Часы",INDEX(Техника!$G$1:$ABN$500,M$2,0),$A$592,INDEX(Техника!$H$1:$ABO$500,M$2,0),"З")</f>
        <v>0</v>
      </c>
      <c r="N597" s="50">
        <f>SUMIFS(INDEX(Техника!$F$1:$ABM$500,N$2,0),Техника!$F$4:$ABM$4,"Часы",INDEX(Техника!$G$1:$ABN$500,N$2,0),$A$592,INDEX(Техника!$H$1:$ABO$500,N$2,0),"З")</f>
        <v>0</v>
      </c>
      <c r="O597" s="50">
        <f>SUMIFS(INDEX(Техника!$F$1:$ABM$500,O$2,0),Техника!$F$4:$ABM$4,"Часы",INDEX(Техника!$G$1:$ABN$500,O$2,0),$A$592,INDEX(Техника!$H$1:$ABO$500,O$2,0),"З")</f>
        <v>0</v>
      </c>
      <c r="P597" s="50">
        <f>SUMIFS(INDEX(Техника!$F$1:$ABM$500,P$2,0),Техника!$F$4:$ABM$4,"Часы",INDEX(Техника!$G$1:$ABN$500,P$2,0),$A$592,INDEX(Техника!$H$1:$ABO$500,P$2,0),"З")</f>
        <v>0</v>
      </c>
      <c r="Q597" s="50">
        <f>SUMIFS(INDEX(Техника!$F$1:$ABM$500,Q$2,0),Техника!$F$4:$ABM$4,"Часы",INDEX(Техника!$G$1:$ABN$500,Q$2,0),$A$592,INDEX(Техника!$H$1:$ABO$500,Q$2,0),"З")</f>
        <v>0</v>
      </c>
      <c r="R597" s="50">
        <f>SUMIFS(INDEX(Техника!$F$1:$ABM$500,R$2,0),Техника!$F$4:$ABM$4,"Часы",INDEX(Техника!$G$1:$ABN$500,R$2,0),$A$592,INDEX(Техника!$H$1:$ABO$500,R$2,0),"З")</f>
        <v>0</v>
      </c>
      <c r="S597" s="50">
        <f>SUMIFS(INDEX(Техника!$F$1:$ABM$500,S$2,0),Техника!$F$4:$ABM$4,"Часы",INDEX(Техника!$G$1:$ABN$500,S$2,0),$A$592,INDEX(Техника!$H$1:$ABO$500,S$2,0),"З")</f>
        <v>0</v>
      </c>
      <c r="T597" s="50">
        <f>SUMIFS(INDEX(Техника!$F$1:$ABM$500,T$2,0),Техника!$F$4:$ABM$4,"Часы",INDEX(Техника!$G$1:$ABN$500,T$2,0),$A$592,INDEX(Техника!$H$1:$ABO$500,T$2,0),"З")</f>
        <v>0</v>
      </c>
      <c r="U597" s="50">
        <f>SUMIFS(INDEX(Техника!$F$1:$ABM$500,U$2,0),Техника!$F$4:$ABM$4,"Часы",INDEX(Техника!$G$1:$ABN$500,U$2,0),$A$592,INDEX(Техника!$H$1:$ABO$500,U$2,0),"З")</f>
        <v>0</v>
      </c>
      <c r="V597" s="50">
        <f>SUMIFS(INDEX(Техника!$F$1:$ABM$500,V$2,0),Техника!$F$4:$ABM$4,"Часы",INDEX(Техника!$G$1:$ABN$500,V$2,0),$A$592,INDEX(Техника!$H$1:$ABO$500,V$2,0),"З")</f>
        <v>0</v>
      </c>
      <c r="W597" s="50">
        <f>SUMIFS(INDEX(Техника!$F$1:$ABM$500,W$2,0),Техника!$F$4:$ABM$4,"Часы",INDEX(Техника!$G$1:$ABN$500,W$2,0),$A$592,INDEX(Техника!$H$1:$ABO$500,W$2,0),"З")</f>
        <v>0</v>
      </c>
      <c r="X597" s="50">
        <f>SUMIFS(INDEX(Техника!$F$1:$ABM$500,X$2,0),Техника!$F$4:$ABM$4,"Часы",INDEX(Техника!$G$1:$ABN$500,X$2,0),$A$592,INDEX(Техника!$H$1:$ABO$500,X$2,0),"З")</f>
        <v>0</v>
      </c>
      <c r="Y597" s="50">
        <f>SUMIFS(INDEX(Техника!$F$1:$ABM$500,Y$2,0),Техника!$F$4:$ABM$4,"Часы",INDEX(Техника!$G$1:$ABN$500,Y$2,0),$A$592,INDEX(Техника!$H$1:$ABO$500,Y$2,0),"З")</f>
        <v>0</v>
      </c>
      <c r="Z597" s="50">
        <f>SUMIFS(INDEX(Техника!$F$1:$ABM$500,Z$2,0),Техника!$F$4:$ABM$4,"Часы",INDEX(Техника!$G$1:$ABN$500,Z$2,0),$A$592,INDEX(Техника!$H$1:$ABO$500,Z$2,0),"З")</f>
        <v>0</v>
      </c>
      <c r="AA597" s="50">
        <f>SUMIFS(INDEX(Техника!$F$1:$ABM$500,AA$2,0),Техника!$F$4:$ABM$4,"Часы",INDEX(Техника!$G$1:$ABN$500,AA$2,0),$A$592,INDEX(Техника!$H$1:$ABO$500,AA$2,0),"З")</f>
        <v>0</v>
      </c>
      <c r="AB597" s="50">
        <f>SUMIFS(INDEX(Техника!$F$1:$ABM$500,AB$2,0),Техника!$F$4:$ABM$4,"Часы",INDEX(Техника!$G$1:$ABN$500,AB$2,0),$A$592,INDEX(Техника!$H$1:$ABO$500,AB$2,0),"З")</f>
        <v>0</v>
      </c>
    </row>
    <row r="598" spans="1:28" ht="7.95" customHeight="1" x14ac:dyDescent="0.3">
      <c r="A598" s="38"/>
      <c r="B598" s="39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</row>
    <row r="599" spans="1:28" ht="25.05" customHeight="1" collapsed="1" x14ac:dyDescent="0.3">
      <c r="A599" s="32">
        <v>86</v>
      </c>
      <c r="B599" s="32" t="s">
        <v>87</v>
      </c>
      <c r="C599" s="49">
        <f>SUM(C600:C604)</f>
        <v>0</v>
      </c>
      <c r="D599" s="49">
        <f>SUM(D600:D604)</f>
        <v>0</v>
      </c>
      <c r="E599" s="49">
        <f>SUM(E600:E604)</f>
        <v>0</v>
      </c>
      <c r="F599" s="49">
        <f>SUM(F600:F604)</f>
        <v>0</v>
      </c>
      <c r="G599" s="49">
        <f>SUM(G600:G604)</f>
        <v>0</v>
      </c>
      <c r="H599" s="49">
        <f>SUM(H600:H604)</f>
        <v>0</v>
      </c>
      <c r="I599" s="49">
        <f>SUM(I600:I604)</f>
        <v>0</v>
      </c>
      <c r="J599" s="49">
        <f>SUM(J600:J604)</f>
        <v>0</v>
      </c>
      <c r="K599" s="49">
        <f>SUM(K600:K604)</f>
        <v>0</v>
      </c>
      <c r="L599" s="49">
        <f>SUM(L600:L604)</f>
        <v>0</v>
      </c>
      <c r="M599" s="49">
        <f>SUM(M600:M604)</f>
        <v>0</v>
      </c>
      <c r="N599" s="49">
        <f>SUM(N600:N604)</f>
        <v>0</v>
      </c>
      <c r="O599" s="49">
        <f>SUM(O600:O604)</f>
        <v>0</v>
      </c>
      <c r="P599" s="49">
        <f>SUM(P600:P604)</f>
        <v>0</v>
      </c>
      <c r="Q599" s="49">
        <f>SUM(Q600:Q604)</f>
        <v>0</v>
      </c>
      <c r="R599" s="49">
        <f>SUM(R600:R604)</f>
        <v>0</v>
      </c>
      <c r="S599" s="49">
        <f>SUM(S600:S604)</f>
        <v>0</v>
      </c>
      <c r="T599" s="49">
        <f>SUM(T600:T604)</f>
        <v>0</v>
      </c>
      <c r="U599" s="49">
        <f>SUM(U600:U604)</f>
        <v>0</v>
      </c>
      <c r="V599" s="49">
        <f>SUM(V600:V604)</f>
        <v>0</v>
      </c>
      <c r="W599" s="49">
        <f>SUM(W600:W604)</f>
        <v>0</v>
      </c>
      <c r="X599" s="49">
        <f>SUM(X600:X604)</f>
        <v>0</v>
      </c>
      <c r="Y599" s="49">
        <f>SUM(Y600:Y604)</f>
        <v>0</v>
      </c>
      <c r="Z599" s="49">
        <f>SUM(Z600:Z604)</f>
        <v>0</v>
      </c>
      <c r="AA599" s="49">
        <f>SUM(AA600:AA604)</f>
        <v>0</v>
      </c>
      <c r="AB599" s="49">
        <f>SUM(AB600:AB604)</f>
        <v>0</v>
      </c>
    </row>
    <row r="600" spans="1:28" hidden="1" outlineLevel="1" x14ac:dyDescent="0.3">
      <c r="A600" s="33" t="s">
        <v>246</v>
      </c>
      <c r="B600" s="34" t="s">
        <v>274</v>
      </c>
      <c r="C600" s="50">
        <f>SUMIFS(INDEX(Техника!$F$1:$ABM$500,C$2,0),Техника!$F$4:$ABM$4,"Часы",INDEX(Техника!$G$1:$ABN$500,C$2,0),$A$599,INDEX(Техника!$H$1:$ABO$500,C$2,0),"М")</f>
        <v>0</v>
      </c>
      <c r="D600" s="50">
        <f>SUMIFS(INDEX(Техника!$F$1:$ABM$500,D$2,0),Техника!$F$4:$ABM$4,"Часы",INDEX(Техника!$G$1:$ABN$500,D$2,0),$A$599,INDEX(Техника!$H$1:$ABO$500,D$2,0),"М")</f>
        <v>0</v>
      </c>
      <c r="E600" s="50">
        <f>SUMIFS(INDEX(Техника!$F$1:$ABM$500,E$2,0),Техника!$F$4:$ABM$4,"Часы",INDEX(Техника!$G$1:$ABN$500,E$2,0),$A$599,INDEX(Техника!$H$1:$ABO$500,E$2,0),"М")</f>
        <v>0</v>
      </c>
      <c r="F600" s="50">
        <f>SUMIFS(INDEX(Техника!$F$1:$ABM$500,F$2,0),Техника!$F$4:$ABM$4,"Часы",INDEX(Техника!$G$1:$ABN$500,F$2,0),$A$599,INDEX(Техника!$H$1:$ABO$500,F$2,0),"М")</f>
        <v>0</v>
      </c>
      <c r="G600" s="50">
        <f>SUMIFS(INDEX(Техника!$F$1:$ABM$500,G$2,0),Техника!$F$4:$ABM$4,"Часы",INDEX(Техника!$G$1:$ABN$500,G$2,0),$A$599,INDEX(Техника!$H$1:$ABO$500,G$2,0),"М")</f>
        <v>0</v>
      </c>
      <c r="H600" s="50">
        <f>SUMIFS(INDEX(Техника!$F$1:$ABM$500,H$2,0),Техника!$F$4:$ABM$4,"Часы",INDEX(Техника!$G$1:$ABN$500,H$2,0),$A$599,INDEX(Техника!$H$1:$ABO$500,H$2,0),"М")</f>
        <v>0</v>
      </c>
      <c r="I600" s="50">
        <f>SUMIFS(INDEX(Техника!$F$1:$ABM$500,I$2,0),Техника!$F$4:$ABM$4,"Часы",INDEX(Техника!$G$1:$ABN$500,I$2,0),$A$599,INDEX(Техника!$H$1:$ABO$500,I$2,0),"М")</f>
        <v>0</v>
      </c>
      <c r="J600" s="50">
        <f>SUMIFS(INDEX(Техника!$F$1:$ABM$500,J$2,0),Техника!$F$4:$ABM$4,"Часы",INDEX(Техника!$G$1:$ABN$500,J$2,0),$A$599,INDEX(Техника!$H$1:$ABO$500,J$2,0),"М")</f>
        <v>0</v>
      </c>
      <c r="K600" s="50">
        <f>SUMIFS(INDEX(Техника!$F$1:$ABM$500,K$2,0),Техника!$F$4:$ABM$4,"Часы",INDEX(Техника!$G$1:$ABN$500,K$2,0),$A$599,INDEX(Техника!$H$1:$ABO$500,K$2,0),"М")</f>
        <v>0</v>
      </c>
      <c r="L600" s="50">
        <f>SUMIFS(INDEX(Техника!$F$1:$ABM$500,L$2,0),Техника!$F$4:$ABM$4,"Часы",INDEX(Техника!$G$1:$ABN$500,L$2,0),$A$599,INDEX(Техника!$H$1:$ABO$500,L$2,0),"М")</f>
        <v>0</v>
      </c>
      <c r="M600" s="50">
        <f>SUMIFS(INDEX(Техника!$F$1:$ABM$500,M$2,0),Техника!$F$4:$ABM$4,"Часы",INDEX(Техника!$G$1:$ABN$500,M$2,0),$A$599,INDEX(Техника!$H$1:$ABO$500,M$2,0),"М")</f>
        <v>0</v>
      </c>
      <c r="N600" s="50">
        <f>SUMIFS(INDEX(Техника!$F$1:$ABM$500,N$2,0),Техника!$F$4:$ABM$4,"Часы",INDEX(Техника!$G$1:$ABN$500,N$2,0),$A$599,INDEX(Техника!$H$1:$ABO$500,N$2,0),"М")</f>
        <v>0</v>
      </c>
      <c r="O600" s="50">
        <f>SUMIFS(INDEX(Техника!$F$1:$ABM$500,O$2,0),Техника!$F$4:$ABM$4,"Часы",INDEX(Техника!$G$1:$ABN$500,O$2,0),$A$599,INDEX(Техника!$H$1:$ABO$500,O$2,0),"М")</f>
        <v>0</v>
      </c>
      <c r="P600" s="50">
        <f>SUMIFS(INDEX(Техника!$F$1:$ABM$500,P$2,0),Техника!$F$4:$ABM$4,"Часы",INDEX(Техника!$G$1:$ABN$500,P$2,0),$A$599,INDEX(Техника!$H$1:$ABO$500,P$2,0),"М")</f>
        <v>0</v>
      </c>
      <c r="Q600" s="50">
        <f>SUMIFS(INDEX(Техника!$F$1:$ABM$500,Q$2,0),Техника!$F$4:$ABM$4,"Часы",INDEX(Техника!$G$1:$ABN$500,Q$2,0),$A$599,INDEX(Техника!$H$1:$ABO$500,Q$2,0),"М")</f>
        <v>0</v>
      </c>
      <c r="R600" s="50">
        <f>SUMIFS(INDEX(Техника!$F$1:$ABM$500,R$2,0),Техника!$F$4:$ABM$4,"Часы",INDEX(Техника!$G$1:$ABN$500,R$2,0),$A$599,INDEX(Техника!$H$1:$ABO$500,R$2,0),"М")</f>
        <v>0</v>
      </c>
      <c r="S600" s="50">
        <f>SUMIFS(INDEX(Техника!$F$1:$ABM$500,S$2,0),Техника!$F$4:$ABM$4,"Часы",INDEX(Техника!$G$1:$ABN$500,S$2,0),$A$599,INDEX(Техника!$H$1:$ABO$500,S$2,0),"М")</f>
        <v>0</v>
      </c>
      <c r="T600" s="50">
        <f>SUMIFS(INDEX(Техника!$F$1:$ABM$500,T$2,0),Техника!$F$4:$ABM$4,"Часы",INDEX(Техника!$G$1:$ABN$500,T$2,0),$A$599,INDEX(Техника!$H$1:$ABO$500,T$2,0),"М")</f>
        <v>0</v>
      </c>
      <c r="U600" s="50">
        <f>SUMIFS(INDEX(Техника!$F$1:$ABM$500,U$2,0),Техника!$F$4:$ABM$4,"Часы",INDEX(Техника!$G$1:$ABN$500,U$2,0),$A$599,INDEX(Техника!$H$1:$ABO$500,U$2,0),"М")</f>
        <v>0</v>
      </c>
      <c r="V600" s="50">
        <f>SUMIFS(INDEX(Техника!$F$1:$ABM$500,V$2,0),Техника!$F$4:$ABM$4,"Часы",INDEX(Техника!$G$1:$ABN$500,V$2,0),$A$599,INDEX(Техника!$H$1:$ABO$500,V$2,0),"М")</f>
        <v>0</v>
      </c>
      <c r="W600" s="50">
        <f>SUMIFS(INDEX(Техника!$F$1:$ABM$500,W$2,0),Техника!$F$4:$ABM$4,"Часы",INDEX(Техника!$G$1:$ABN$500,W$2,0),$A$599,INDEX(Техника!$H$1:$ABO$500,W$2,0),"М")</f>
        <v>0</v>
      </c>
      <c r="X600" s="50">
        <f>SUMIFS(INDEX(Техника!$F$1:$ABM$500,X$2,0),Техника!$F$4:$ABM$4,"Часы",INDEX(Техника!$G$1:$ABN$500,X$2,0),$A$599,INDEX(Техника!$H$1:$ABO$500,X$2,0),"М")</f>
        <v>0</v>
      </c>
      <c r="Y600" s="50">
        <f>SUMIFS(INDEX(Техника!$F$1:$ABM$500,Y$2,0),Техника!$F$4:$ABM$4,"Часы",INDEX(Техника!$G$1:$ABN$500,Y$2,0),$A$599,INDEX(Техника!$H$1:$ABO$500,Y$2,0),"М")</f>
        <v>0</v>
      </c>
      <c r="Z600" s="50">
        <f>SUMIFS(INDEX(Техника!$F$1:$ABM$500,Z$2,0),Техника!$F$4:$ABM$4,"Часы",INDEX(Техника!$G$1:$ABN$500,Z$2,0),$A$599,INDEX(Техника!$H$1:$ABO$500,Z$2,0),"М")</f>
        <v>0</v>
      </c>
      <c r="AA600" s="50">
        <f>SUMIFS(INDEX(Техника!$F$1:$ABM$500,AA$2,0),Техника!$F$4:$ABM$4,"Часы",INDEX(Техника!$G$1:$ABN$500,AA$2,0),$A$599,INDEX(Техника!$H$1:$ABO$500,AA$2,0),"М")</f>
        <v>0</v>
      </c>
      <c r="AB600" s="50">
        <f>SUMIFS(INDEX(Техника!$F$1:$ABM$500,AB$2,0),Техника!$F$4:$ABM$4,"Часы",INDEX(Техника!$G$1:$ABN$500,AB$2,0),$A$599,INDEX(Техника!$H$1:$ABO$500,AB$2,0),"М")</f>
        <v>0</v>
      </c>
    </row>
    <row r="601" spans="1:28" hidden="1" outlineLevel="1" x14ac:dyDescent="0.3">
      <c r="A601" s="33" t="s">
        <v>244</v>
      </c>
      <c r="B601" s="34" t="s">
        <v>275</v>
      </c>
      <c r="C601" s="50">
        <f>SUMIFS(INDEX(Техника!$F$1:$ABM$500,C$2,0),Техника!$F$4:$ABM$4,"Часы",INDEX(Техника!$G$1:$ABN$500,C$2,0),$A$599,INDEX(Техника!$H$1:$ABO$500,C$2,0),"Д")</f>
        <v>0</v>
      </c>
      <c r="D601" s="50">
        <f>SUMIFS(INDEX(Техника!$F$1:$ABM$500,D$2,0),Техника!$F$4:$ABM$4,"Часы",INDEX(Техника!$G$1:$ABN$500,D$2,0),$A$599,INDEX(Техника!$H$1:$ABO$500,D$2,0),"Д")</f>
        <v>0</v>
      </c>
      <c r="E601" s="50">
        <f>SUMIFS(INDEX(Техника!$F$1:$ABM$500,E$2,0),Техника!$F$4:$ABM$4,"Часы",INDEX(Техника!$G$1:$ABN$500,E$2,0),$A$599,INDEX(Техника!$H$1:$ABO$500,E$2,0),"Д")</f>
        <v>0</v>
      </c>
      <c r="F601" s="50">
        <f>SUMIFS(INDEX(Техника!$F$1:$ABM$500,F$2,0),Техника!$F$4:$ABM$4,"Часы",INDEX(Техника!$G$1:$ABN$500,F$2,0),$A$599,INDEX(Техника!$H$1:$ABO$500,F$2,0),"Д")</f>
        <v>0</v>
      </c>
      <c r="G601" s="50">
        <f>SUMIFS(INDEX(Техника!$F$1:$ABM$500,G$2,0),Техника!$F$4:$ABM$4,"Часы",INDEX(Техника!$G$1:$ABN$500,G$2,0),$A$599,INDEX(Техника!$H$1:$ABO$500,G$2,0),"Д")</f>
        <v>0</v>
      </c>
      <c r="H601" s="50">
        <f>SUMIFS(INDEX(Техника!$F$1:$ABM$500,H$2,0),Техника!$F$4:$ABM$4,"Часы",INDEX(Техника!$G$1:$ABN$500,H$2,0),$A$599,INDEX(Техника!$H$1:$ABO$500,H$2,0),"Д")</f>
        <v>0</v>
      </c>
      <c r="I601" s="50">
        <f>SUMIFS(INDEX(Техника!$F$1:$ABM$500,I$2,0),Техника!$F$4:$ABM$4,"Часы",INDEX(Техника!$G$1:$ABN$500,I$2,0),$A$599,INDEX(Техника!$H$1:$ABO$500,I$2,0),"Д")</f>
        <v>0</v>
      </c>
      <c r="J601" s="50">
        <f>SUMIFS(INDEX(Техника!$F$1:$ABM$500,J$2,0),Техника!$F$4:$ABM$4,"Часы",INDEX(Техника!$G$1:$ABN$500,J$2,0),$A$599,INDEX(Техника!$H$1:$ABO$500,J$2,0),"Д")</f>
        <v>0</v>
      </c>
      <c r="K601" s="50">
        <f>SUMIFS(INDEX(Техника!$F$1:$ABM$500,K$2,0),Техника!$F$4:$ABM$4,"Часы",INDEX(Техника!$G$1:$ABN$500,K$2,0),$A$599,INDEX(Техника!$H$1:$ABO$500,K$2,0),"Д")</f>
        <v>0</v>
      </c>
      <c r="L601" s="50">
        <f>SUMIFS(INDEX(Техника!$F$1:$ABM$500,L$2,0),Техника!$F$4:$ABM$4,"Часы",INDEX(Техника!$G$1:$ABN$500,L$2,0),$A$599,INDEX(Техника!$H$1:$ABO$500,L$2,0),"Д")</f>
        <v>0</v>
      </c>
      <c r="M601" s="50">
        <f>SUMIFS(INDEX(Техника!$F$1:$ABM$500,M$2,0),Техника!$F$4:$ABM$4,"Часы",INDEX(Техника!$G$1:$ABN$500,M$2,0),$A$599,INDEX(Техника!$H$1:$ABO$500,M$2,0),"Д")</f>
        <v>0</v>
      </c>
      <c r="N601" s="50">
        <f>SUMIFS(INDEX(Техника!$F$1:$ABM$500,N$2,0),Техника!$F$4:$ABM$4,"Часы",INDEX(Техника!$G$1:$ABN$500,N$2,0),$A$599,INDEX(Техника!$H$1:$ABO$500,N$2,0),"Д")</f>
        <v>0</v>
      </c>
      <c r="O601" s="50">
        <f>SUMIFS(INDEX(Техника!$F$1:$ABM$500,O$2,0),Техника!$F$4:$ABM$4,"Часы",INDEX(Техника!$G$1:$ABN$500,O$2,0),$A$599,INDEX(Техника!$H$1:$ABO$500,O$2,0),"Д")</f>
        <v>0</v>
      </c>
      <c r="P601" s="50">
        <f>SUMIFS(INDEX(Техника!$F$1:$ABM$500,P$2,0),Техника!$F$4:$ABM$4,"Часы",INDEX(Техника!$G$1:$ABN$500,P$2,0),$A$599,INDEX(Техника!$H$1:$ABO$500,P$2,0),"Д")</f>
        <v>0</v>
      </c>
      <c r="Q601" s="50">
        <f>SUMIFS(INDEX(Техника!$F$1:$ABM$500,Q$2,0),Техника!$F$4:$ABM$4,"Часы",INDEX(Техника!$G$1:$ABN$500,Q$2,0),$A$599,INDEX(Техника!$H$1:$ABO$500,Q$2,0),"Д")</f>
        <v>0</v>
      </c>
      <c r="R601" s="50">
        <f>SUMIFS(INDEX(Техника!$F$1:$ABM$500,R$2,0),Техника!$F$4:$ABM$4,"Часы",INDEX(Техника!$G$1:$ABN$500,R$2,0),$A$599,INDEX(Техника!$H$1:$ABO$500,R$2,0),"Д")</f>
        <v>0</v>
      </c>
      <c r="S601" s="50">
        <f>SUMIFS(INDEX(Техника!$F$1:$ABM$500,S$2,0),Техника!$F$4:$ABM$4,"Часы",INDEX(Техника!$G$1:$ABN$500,S$2,0),$A$599,INDEX(Техника!$H$1:$ABO$500,S$2,0),"Д")</f>
        <v>0</v>
      </c>
      <c r="T601" s="50">
        <f>SUMIFS(INDEX(Техника!$F$1:$ABM$500,T$2,0),Техника!$F$4:$ABM$4,"Часы",INDEX(Техника!$G$1:$ABN$500,T$2,0),$A$599,INDEX(Техника!$H$1:$ABO$500,T$2,0),"Д")</f>
        <v>0</v>
      </c>
      <c r="U601" s="50">
        <f>SUMIFS(INDEX(Техника!$F$1:$ABM$500,U$2,0),Техника!$F$4:$ABM$4,"Часы",INDEX(Техника!$G$1:$ABN$500,U$2,0),$A$599,INDEX(Техника!$H$1:$ABO$500,U$2,0),"Д")</f>
        <v>0</v>
      </c>
      <c r="V601" s="50">
        <f>SUMIFS(INDEX(Техника!$F$1:$ABM$500,V$2,0),Техника!$F$4:$ABM$4,"Часы",INDEX(Техника!$G$1:$ABN$500,V$2,0),$A$599,INDEX(Техника!$H$1:$ABO$500,V$2,0),"Д")</f>
        <v>0</v>
      </c>
      <c r="W601" s="50">
        <f>SUMIFS(INDEX(Техника!$F$1:$ABM$500,W$2,0),Техника!$F$4:$ABM$4,"Часы",INDEX(Техника!$G$1:$ABN$500,W$2,0),$A$599,INDEX(Техника!$H$1:$ABO$500,W$2,0),"Д")</f>
        <v>0</v>
      </c>
      <c r="X601" s="50">
        <f>SUMIFS(INDEX(Техника!$F$1:$ABM$500,X$2,0),Техника!$F$4:$ABM$4,"Часы",INDEX(Техника!$G$1:$ABN$500,X$2,0),$A$599,INDEX(Техника!$H$1:$ABO$500,X$2,0),"Д")</f>
        <v>0</v>
      </c>
      <c r="Y601" s="50">
        <f>SUMIFS(INDEX(Техника!$F$1:$ABM$500,Y$2,0),Техника!$F$4:$ABM$4,"Часы",INDEX(Техника!$G$1:$ABN$500,Y$2,0),$A$599,INDEX(Техника!$H$1:$ABO$500,Y$2,0),"Д")</f>
        <v>0</v>
      </c>
      <c r="Z601" s="50">
        <f>SUMIFS(INDEX(Техника!$F$1:$ABM$500,Z$2,0),Техника!$F$4:$ABM$4,"Часы",INDEX(Техника!$G$1:$ABN$500,Z$2,0),$A$599,INDEX(Техника!$H$1:$ABO$500,Z$2,0),"Д")</f>
        <v>0</v>
      </c>
      <c r="AA601" s="50">
        <f>SUMIFS(INDEX(Техника!$F$1:$ABM$500,AA$2,0),Техника!$F$4:$ABM$4,"Часы",INDEX(Техника!$G$1:$ABN$500,AA$2,0),$A$599,INDEX(Техника!$H$1:$ABO$500,AA$2,0),"Д")</f>
        <v>0</v>
      </c>
      <c r="AB601" s="50">
        <f>SUMIFS(INDEX(Техника!$F$1:$ABM$500,AB$2,0),Техника!$F$4:$ABM$4,"Часы",INDEX(Техника!$G$1:$ABN$500,AB$2,0),$A$599,INDEX(Техника!$H$1:$ABO$500,AB$2,0),"Д")</f>
        <v>0</v>
      </c>
    </row>
    <row r="602" spans="1:28" hidden="1" outlineLevel="1" x14ac:dyDescent="0.3">
      <c r="A602" s="33" t="s">
        <v>276</v>
      </c>
      <c r="B602" s="34" t="s">
        <v>277</v>
      </c>
      <c r="C602" s="50">
        <f>SUMIFS(INDEX(Техника!$F$1:$ABM$500,C$2,0),Техника!$F$4:$ABM$4,"Часы",INDEX(Техника!$G$1:$ABN$500,C$2,0),$A$599,INDEX(Техника!$H$1:$ABO$500,C$2,0),"П")</f>
        <v>0</v>
      </c>
      <c r="D602" s="50">
        <f>SUMIFS(INDEX(Техника!$F$1:$ABM$500,D$2,0),Техника!$F$4:$ABM$4,"Часы",INDEX(Техника!$G$1:$ABN$500,D$2,0),$A$599,INDEX(Техника!$H$1:$ABO$500,D$2,0),"П")</f>
        <v>0</v>
      </c>
      <c r="E602" s="50">
        <f>SUMIFS(INDEX(Техника!$F$1:$ABM$500,E$2,0),Техника!$F$4:$ABM$4,"Часы",INDEX(Техника!$G$1:$ABN$500,E$2,0),$A$599,INDEX(Техника!$H$1:$ABO$500,E$2,0),"П")</f>
        <v>0</v>
      </c>
      <c r="F602" s="50">
        <f>SUMIFS(INDEX(Техника!$F$1:$ABM$500,F$2,0),Техника!$F$4:$ABM$4,"Часы",INDEX(Техника!$G$1:$ABN$500,F$2,0),$A$599,INDEX(Техника!$H$1:$ABO$500,F$2,0),"П")</f>
        <v>0</v>
      </c>
      <c r="G602" s="50">
        <f>SUMIFS(INDEX(Техника!$F$1:$ABM$500,G$2,0),Техника!$F$4:$ABM$4,"Часы",INDEX(Техника!$G$1:$ABN$500,G$2,0),$A$599,INDEX(Техника!$H$1:$ABO$500,G$2,0),"П")</f>
        <v>0</v>
      </c>
      <c r="H602" s="50">
        <f>SUMIFS(INDEX(Техника!$F$1:$ABM$500,H$2,0),Техника!$F$4:$ABM$4,"Часы",INDEX(Техника!$G$1:$ABN$500,H$2,0),$A$599,INDEX(Техника!$H$1:$ABO$500,H$2,0),"П")</f>
        <v>0</v>
      </c>
      <c r="I602" s="50">
        <f>SUMIFS(INDEX(Техника!$F$1:$ABM$500,I$2,0),Техника!$F$4:$ABM$4,"Часы",INDEX(Техника!$G$1:$ABN$500,I$2,0),$A$599,INDEX(Техника!$H$1:$ABO$500,I$2,0),"П")</f>
        <v>0</v>
      </c>
      <c r="J602" s="50">
        <f>SUMIFS(INDEX(Техника!$F$1:$ABM$500,J$2,0),Техника!$F$4:$ABM$4,"Часы",INDEX(Техника!$G$1:$ABN$500,J$2,0),$A$599,INDEX(Техника!$H$1:$ABO$500,J$2,0),"П")</f>
        <v>0</v>
      </c>
      <c r="K602" s="50">
        <f>SUMIFS(INDEX(Техника!$F$1:$ABM$500,K$2,0),Техника!$F$4:$ABM$4,"Часы",INDEX(Техника!$G$1:$ABN$500,K$2,0),$A$599,INDEX(Техника!$H$1:$ABO$500,K$2,0),"П")</f>
        <v>0</v>
      </c>
      <c r="L602" s="50">
        <f>SUMIFS(INDEX(Техника!$F$1:$ABM$500,L$2,0),Техника!$F$4:$ABM$4,"Часы",INDEX(Техника!$G$1:$ABN$500,L$2,0),$A$599,INDEX(Техника!$H$1:$ABO$500,L$2,0),"П")</f>
        <v>0</v>
      </c>
      <c r="M602" s="50">
        <f>SUMIFS(INDEX(Техника!$F$1:$ABM$500,M$2,0),Техника!$F$4:$ABM$4,"Часы",INDEX(Техника!$G$1:$ABN$500,M$2,0),$A$599,INDEX(Техника!$H$1:$ABO$500,M$2,0),"П")</f>
        <v>0</v>
      </c>
      <c r="N602" s="50">
        <f>SUMIFS(INDEX(Техника!$F$1:$ABM$500,N$2,0),Техника!$F$4:$ABM$4,"Часы",INDEX(Техника!$G$1:$ABN$500,N$2,0),$A$599,INDEX(Техника!$H$1:$ABO$500,N$2,0),"П")</f>
        <v>0</v>
      </c>
      <c r="O602" s="50">
        <f>SUMIFS(INDEX(Техника!$F$1:$ABM$500,O$2,0),Техника!$F$4:$ABM$4,"Часы",INDEX(Техника!$G$1:$ABN$500,O$2,0),$A$599,INDEX(Техника!$H$1:$ABO$500,O$2,0),"П")</f>
        <v>0</v>
      </c>
      <c r="P602" s="50">
        <f>SUMIFS(INDEX(Техника!$F$1:$ABM$500,P$2,0),Техника!$F$4:$ABM$4,"Часы",INDEX(Техника!$G$1:$ABN$500,P$2,0),$A$599,INDEX(Техника!$H$1:$ABO$500,P$2,0),"П")</f>
        <v>0</v>
      </c>
      <c r="Q602" s="50">
        <f>SUMIFS(INDEX(Техника!$F$1:$ABM$500,Q$2,0),Техника!$F$4:$ABM$4,"Часы",INDEX(Техника!$G$1:$ABN$500,Q$2,0),$A$599,INDEX(Техника!$H$1:$ABO$500,Q$2,0),"П")</f>
        <v>0</v>
      </c>
      <c r="R602" s="50">
        <f>SUMIFS(INDEX(Техника!$F$1:$ABM$500,R$2,0),Техника!$F$4:$ABM$4,"Часы",INDEX(Техника!$G$1:$ABN$500,R$2,0),$A$599,INDEX(Техника!$H$1:$ABO$500,R$2,0),"П")</f>
        <v>0</v>
      </c>
      <c r="S602" s="50">
        <f>SUMIFS(INDEX(Техника!$F$1:$ABM$500,S$2,0),Техника!$F$4:$ABM$4,"Часы",INDEX(Техника!$G$1:$ABN$500,S$2,0),$A$599,INDEX(Техника!$H$1:$ABO$500,S$2,0),"П")</f>
        <v>0</v>
      </c>
      <c r="T602" s="50">
        <f>SUMIFS(INDEX(Техника!$F$1:$ABM$500,T$2,0),Техника!$F$4:$ABM$4,"Часы",INDEX(Техника!$G$1:$ABN$500,T$2,0),$A$599,INDEX(Техника!$H$1:$ABO$500,T$2,0),"П")</f>
        <v>0</v>
      </c>
      <c r="U602" s="50">
        <f>SUMIFS(INDEX(Техника!$F$1:$ABM$500,U$2,0),Техника!$F$4:$ABM$4,"Часы",INDEX(Техника!$G$1:$ABN$500,U$2,0),$A$599,INDEX(Техника!$H$1:$ABO$500,U$2,0),"П")</f>
        <v>0</v>
      </c>
      <c r="V602" s="50">
        <f>SUMIFS(INDEX(Техника!$F$1:$ABM$500,V$2,0),Техника!$F$4:$ABM$4,"Часы",INDEX(Техника!$G$1:$ABN$500,V$2,0),$A$599,INDEX(Техника!$H$1:$ABO$500,V$2,0),"П")</f>
        <v>0</v>
      </c>
      <c r="W602" s="50">
        <f>SUMIFS(INDEX(Техника!$F$1:$ABM$500,W$2,0),Техника!$F$4:$ABM$4,"Часы",INDEX(Техника!$G$1:$ABN$500,W$2,0),$A$599,INDEX(Техника!$H$1:$ABO$500,W$2,0),"П")</f>
        <v>0</v>
      </c>
      <c r="X602" s="50">
        <f>SUMIFS(INDEX(Техника!$F$1:$ABM$500,X$2,0),Техника!$F$4:$ABM$4,"Часы",INDEX(Техника!$G$1:$ABN$500,X$2,0),$A$599,INDEX(Техника!$H$1:$ABO$500,X$2,0),"П")</f>
        <v>0</v>
      </c>
      <c r="Y602" s="50">
        <f>SUMIFS(INDEX(Техника!$F$1:$ABM$500,Y$2,0),Техника!$F$4:$ABM$4,"Часы",INDEX(Техника!$G$1:$ABN$500,Y$2,0),$A$599,INDEX(Техника!$H$1:$ABO$500,Y$2,0),"П")</f>
        <v>0</v>
      </c>
      <c r="Z602" s="50">
        <f>SUMIFS(INDEX(Техника!$F$1:$ABM$500,Z$2,0),Техника!$F$4:$ABM$4,"Часы",INDEX(Техника!$G$1:$ABN$500,Z$2,0),$A$599,INDEX(Техника!$H$1:$ABO$500,Z$2,0),"П")</f>
        <v>0</v>
      </c>
      <c r="AA602" s="50">
        <f>SUMIFS(INDEX(Техника!$F$1:$ABM$500,AA$2,0),Техника!$F$4:$ABM$4,"Часы",INDEX(Техника!$G$1:$ABN$500,AA$2,0),$A$599,INDEX(Техника!$H$1:$ABO$500,AA$2,0),"П")</f>
        <v>0</v>
      </c>
      <c r="AB602" s="50">
        <f>SUMIFS(INDEX(Техника!$F$1:$ABM$500,AB$2,0),Техника!$F$4:$ABM$4,"Часы",INDEX(Техника!$G$1:$ABN$500,AB$2,0),$A$599,INDEX(Техника!$H$1:$ABO$500,AB$2,0),"П")</f>
        <v>0</v>
      </c>
    </row>
    <row r="603" spans="1:28" hidden="1" outlineLevel="1" x14ac:dyDescent="0.3">
      <c r="A603" s="33" t="s">
        <v>243</v>
      </c>
      <c r="B603" s="34" t="s">
        <v>278</v>
      </c>
      <c r="C603" s="50">
        <f>SUMIFS(INDEX(Техника!$F$1:$ABM$500,C$2,0),Техника!$F$4:$ABM$4,"Часы",INDEX(Техника!$G$1:$ABN$500,C$2,0),$A$599,INDEX(Техника!$H$1:$ABO$500,C$2,0),"Л")</f>
        <v>0</v>
      </c>
      <c r="D603" s="50">
        <f>SUMIFS(INDEX(Техника!$F$1:$ABM$500,D$2,0),Техника!$F$4:$ABM$4,"Часы",INDEX(Техника!$G$1:$ABN$500,D$2,0),$A$599,INDEX(Техника!$H$1:$ABO$500,D$2,0),"Л")</f>
        <v>0</v>
      </c>
      <c r="E603" s="50">
        <f>SUMIFS(INDEX(Техника!$F$1:$ABM$500,E$2,0),Техника!$F$4:$ABM$4,"Часы",INDEX(Техника!$G$1:$ABN$500,E$2,0),$A$599,INDEX(Техника!$H$1:$ABO$500,E$2,0),"Л")</f>
        <v>0</v>
      </c>
      <c r="F603" s="50">
        <f>SUMIFS(INDEX(Техника!$F$1:$ABM$500,F$2,0),Техника!$F$4:$ABM$4,"Часы",INDEX(Техника!$G$1:$ABN$500,F$2,0),$A$599,INDEX(Техника!$H$1:$ABO$500,F$2,0),"Л")</f>
        <v>0</v>
      </c>
      <c r="G603" s="50">
        <f>SUMIFS(INDEX(Техника!$F$1:$ABM$500,G$2,0),Техника!$F$4:$ABM$4,"Часы",INDEX(Техника!$G$1:$ABN$500,G$2,0),$A$599,INDEX(Техника!$H$1:$ABO$500,G$2,0),"Л")</f>
        <v>0</v>
      </c>
      <c r="H603" s="50">
        <f>SUMIFS(INDEX(Техника!$F$1:$ABM$500,H$2,0),Техника!$F$4:$ABM$4,"Часы",INDEX(Техника!$G$1:$ABN$500,H$2,0),$A$599,INDEX(Техника!$H$1:$ABO$500,H$2,0),"Л")</f>
        <v>0</v>
      </c>
      <c r="I603" s="50">
        <f>SUMIFS(INDEX(Техника!$F$1:$ABM$500,I$2,0),Техника!$F$4:$ABM$4,"Часы",INDEX(Техника!$G$1:$ABN$500,I$2,0),$A$599,INDEX(Техника!$H$1:$ABO$500,I$2,0),"Л")</f>
        <v>0</v>
      </c>
      <c r="J603" s="50">
        <f>SUMIFS(INDEX(Техника!$F$1:$ABM$500,J$2,0),Техника!$F$4:$ABM$4,"Часы",INDEX(Техника!$G$1:$ABN$500,J$2,0),$A$599,INDEX(Техника!$H$1:$ABO$500,J$2,0),"Л")</f>
        <v>0</v>
      </c>
      <c r="K603" s="50">
        <f>SUMIFS(INDEX(Техника!$F$1:$ABM$500,K$2,0),Техника!$F$4:$ABM$4,"Часы",INDEX(Техника!$G$1:$ABN$500,K$2,0),$A$599,INDEX(Техника!$H$1:$ABO$500,K$2,0),"Л")</f>
        <v>0</v>
      </c>
      <c r="L603" s="50">
        <f>SUMIFS(INDEX(Техника!$F$1:$ABM$500,L$2,0),Техника!$F$4:$ABM$4,"Часы",INDEX(Техника!$G$1:$ABN$500,L$2,0),$A$599,INDEX(Техника!$H$1:$ABO$500,L$2,0),"Л")</f>
        <v>0</v>
      </c>
      <c r="M603" s="50">
        <f>SUMIFS(INDEX(Техника!$F$1:$ABM$500,M$2,0),Техника!$F$4:$ABM$4,"Часы",INDEX(Техника!$G$1:$ABN$500,M$2,0),$A$599,INDEX(Техника!$H$1:$ABO$500,M$2,0),"Л")</f>
        <v>0</v>
      </c>
      <c r="N603" s="50">
        <f>SUMIFS(INDEX(Техника!$F$1:$ABM$500,N$2,0),Техника!$F$4:$ABM$4,"Часы",INDEX(Техника!$G$1:$ABN$500,N$2,0),$A$599,INDEX(Техника!$H$1:$ABO$500,N$2,0),"Л")</f>
        <v>0</v>
      </c>
      <c r="O603" s="50">
        <f>SUMIFS(INDEX(Техника!$F$1:$ABM$500,O$2,0),Техника!$F$4:$ABM$4,"Часы",INDEX(Техника!$G$1:$ABN$500,O$2,0),$A$599,INDEX(Техника!$H$1:$ABO$500,O$2,0),"Л")</f>
        <v>0</v>
      </c>
      <c r="P603" s="50">
        <f>SUMIFS(INDEX(Техника!$F$1:$ABM$500,P$2,0),Техника!$F$4:$ABM$4,"Часы",INDEX(Техника!$G$1:$ABN$500,P$2,0),$A$599,INDEX(Техника!$H$1:$ABO$500,P$2,0),"Л")</f>
        <v>0</v>
      </c>
      <c r="Q603" s="50">
        <f>SUMIFS(INDEX(Техника!$F$1:$ABM$500,Q$2,0),Техника!$F$4:$ABM$4,"Часы",INDEX(Техника!$G$1:$ABN$500,Q$2,0),$A$599,INDEX(Техника!$H$1:$ABO$500,Q$2,0),"Л")</f>
        <v>0</v>
      </c>
      <c r="R603" s="50">
        <f>SUMIFS(INDEX(Техника!$F$1:$ABM$500,R$2,0),Техника!$F$4:$ABM$4,"Часы",INDEX(Техника!$G$1:$ABN$500,R$2,0),$A$599,INDEX(Техника!$H$1:$ABO$500,R$2,0),"Л")</f>
        <v>0</v>
      </c>
      <c r="S603" s="50">
        <f>SUMIFS(INDEX(Техника!$F$1:$ABM$500,S$2,0),Техника!$F$4:$ABM$4,"Часы",INDEX(Техника!$G$1:$ABN$500,S$2,0),$A$599,INDEX(Техника!$H$1:$ABO$500,S$2,0),"Л")</f>
        <v>0</v>
      </c>
      <c r="T603" s="50">
        <f>SUMIFS(INDEX(Техника!$F$1:$ABM$500,T$2,0),Техника!$F$4:$ABM$4,"Часы",INDEX(Техника!$G$1:$ABN$500,T$2,0),$A$599,INDEX(Техника!$H$1:$ABO$500,T$2,0),"Л")</f>
        <v>0</v>
      </c>
      <c r="U603" s="50">
        <f>SUMIFS(INDEX(Техника!$F$1:$ABM$500,U$2,0),Техника!$F$4:$ABM$4,"Часы",INDEX(Техника!$G$1:$ABN$500,U$2,0),$A$599,INDEX(Техника!$H$1:$ABO$500,U$2,0),"Л")</f>
        <v>0</v>
      </c>
      <c r="V603" s="50">
        <f>SUMIFS(INDEX(Техника!$F$1:$ABM$500,V$2,0),Техника!$F$4:$ABM$4,"Часы",INDEX(Техника!$G$1:$ABN$500,V$2,0),$A$599,INDEX(Техника!$H$1:$ABO$500,V$2,0),"Л")</f>
        <v>0</v>
      </c>
      <c r="W603" s="50">
        <f>SUMIFS(INDEX(Техника!$F$1:$ABM$500,W$2,0),Техника!$F$4:$ABM$4,"Часы",INDEX(Техника!$G$1:$ABN$500,W$2,0),$A$599,INDEX(Техника!$H$1:$ABO$500,W$2,0),"Л")</f>
        <v>0</v>
      </c>
      <c r="X603" s="50">
        <f>SUMIFS(INDEX(Техника!$F$1:$ABM$500,X$2,0),Техника!$F$4:$ABM$4,"Часы",INDEX(Техника!$G$1:$ABN$500,X$2,0),$A$599,INDEX(Техника!$H$1:$ABO$500,X$2,0),"Л")</f>
        <v>0</v>
      </c>
      <c r="Y603" s="50">
        <f>SUMIFS(INDEX(Техника!$F$1:$ABM$500,Y$2,0),Техника!$F$4:$ABM$4,"Часы",INDEX(Техника!$G$1:$ABN$500,Y$2,0),$A$599,INDEX(Техника!$H$1:$ABO$500,Y$2,0),"Л")</f>
        <v>0</v>
      </c>
      <c r="Z603" s="50">
        <f>SUMIFS(INDEX(Техника!$F$1:$ABM$500,Z$2,0),Техника!$F$4:$ABM$4,"Часы",INDEX(Техника!$G$1:$ABN$500,Z$2,0),$A$599,INDEX(Техника!$H$1:$ABO$500,Z$2,0),"Л")</f>
        <v>0</v>
      </c>
      <c r="AA603" s="50">
        <f>SUMIFS(INDEX(Техника!$F$1:$ABM$500,AA$2,0),Техника!$F$4:$ABM$4,"Часы",INDEX(Техника!$G$1:$ABN$500,AA$2,0),$A$599,INDEX(Техника!$H$1:$ABO$500,AA$2,0),"Л")</f>
        <v>0</v>
      </c>
      <c r="AB603" s="50">
        <f>SUMIFS(INDEX(Техника!$F$1:$ABM$500,AB$2,0),Техника!$F$4:$ABM$4,"Часы",INDEX(Техника!$G$1:$ABN$500,AB$2,0),$A$599,INDEX(Техника!$H$1:$ABO$500,AB$2,0),"Л")</f>
        <v>0</v>
      </c>
    </row>
    <row r="604" spans="1:28" hidden="1" outlineLevel="1" x14ac:dyDescent="0.3">
      <c r="A604" s="33" t="s">
        <v>245</v>
      </c>
      <c r="B604" s="34" t="s">
        <v>279</v>
      </c>
      <c r="C604" s="50">
        <f>SUMIFS(INDEX(Техника!$F$1:$ABM$500,C$2,0),Техника!$F$4:$ABM$4,"Часы",INDEX(Техника!$G$1:$ABN$500,C$2,0),$A$599,INDEX(Техника!$H$1:$ABO$500,C$2,0),"З")</f>
        <v>0</v>
      </c>
      <c r="D604" s="50">
        <f>SUMIFS(INDEX(Техника!$F$1:$ABM$500,D$2,0),Техника!$F$4:$ABM$4,"Часы",INDEX(Техника!$G$1:$ABN$500,D$2,0),$A$599,INDEX(Техника!$H$1:$ABO$500,D$2,0),"З")</f>
        <v>0</v>
      </c>
      <c r="E604" s="50">
        <f>SUMIFS(INDEX(Техника!$F$1:$ABM$500,E$2,0),Техника!$F$4:$ABM$4,"Часы",INDEX(Техника!$G$1:$ABN$500,E$2,0),$A$599,INDEX(Техника!$H$1:$ABO$500,E$2,0),"З")</f>
        <v>0</v>
      </c>
      <c r="F604" s="50">
        <f>SUMIFS(INDEX(Техника!$F$1:$ABM$500,F$2,0),Техника!$F$4:$ABM$4,"Часы",INDEX(Техника!$G$1:$ABN$500,F$2,0),$A$599,INDEX(Техника!$H$1:$ABO$500,F$2,0),"З")</f>
        <v>0</v>
      </c>
      <c r="G604" s="50">
        <f>SUMIFS(INDEX(Техника!$F$1:$ABM$500,G$2,0),Техника!$F$4:$ABM$4,"Часы",INDEX(Техника!$G$1:$ABN$500,G$2,0),$A$599,INDEX(Техника!$H$1:$ABO$500,G$2,0),"З")</f>
        <v>0</v>
      </c>
      <c r="H604" s="50">
        <f>SUMIFS(INDEX(Техника!$F$1:$ABM$500,H$2,0),Техника!$F$4:$ABM$4,"Часы",INDEX(Техника!$G$1:$ABN$500,H$2,0),$A$599,INDEX(Техника!$H$1:$ABO$500,H$2,0),"З")</f>
        <v>0</v>
      </c>
      <c r="I604" s="50">
        <f>SUMIFS(INDEX(Техника!$F$1:$ABM$500,I$2,0),Техника!$F$4:$ABM$4,"Часы",INDEX(Техника!$G$1:$ABN$500,I$2,0),$A$599,INDEX(Техника!$H$1:$ABO$500,I$2,0),"З")</f>
        <v>0</v>
      </c>
      <c r="J604" s="50">
        <f>SUMIFS(INDEX(Техника!$F$1:$ABM$500,J$2,0),Техника!$F$4:$ABM$4,"Часы",INDEX(Техника!$G$1:$ABN$500,J$2,0),$A$599,INDEX(Техника!$H$1:$ABO$500,J$2,0),"З")</f>
        <v>0</v>
      </c>
      <c r="K604" s="50">
        <f>SUMIFS(INDEX(Техника!$F$1:$ABM$500,K$2,0),Техника!$F$4:$ABM$4,"Часы",INDEX(Техника!$G$1:$ABN$500,K$2,0),$A$599,INDEX(Техника!$H$1:$ABO$500,K$2,0),"З")</f>
        <v>0</v>
      </c>
      <c r="L604" s="50">
        <f>SUMIFS(INDEX(Техника!$F$1:$ABM$500,L$2,0),Техника!$F$4:$ABM$4,"Часы",INDEX(Техника!$G$1:$ABN$500,L$2,0),$A$599,INDEX(Техника!$H$1:$ABO$500,L$2,0),"З")</f>
        <v>0</v>
      </c>
      <c r="M604" s="50">
        <f>SUMIFS(INDEX(Техника!$F$1:$ABM$500,M$2,0),Техника!$F$4:$ABM$4,"Часы",INDEX(Техника!$G$1:$ABN$500,M$2,0),$A$599,INDEX(Техника!$H$1:$ABO$500,M$2,0),"З")</f>
        <v>0</v>
      </c>
      <c r="N604" s="50">
        <f>SUMIFS(INDEX(Техника!$F$1:$ABM$500,N$2,0),Техника!$F$4:$ABM$4,"Часы",INDEX(Техника!$G$1:$ABN$500,N$2,0),$A$599,INDEX(Техника!$H$1:$ABO$500,N$2,0),"З")</f>
        <v>0</v>
      </c>
      <c r="O604" s="50">
        <f>SUMIFS(INDEX(Техника!$F$1:$ABM$500,O$2,0),Техника!$F$4:$ABM$4,"Часы",INDEX(Техника!$G$1:$ABN$500,O$2,0),$A$599,INDEX(Техника!$H$1:$ABO$500,O$2,0),"З")</f>
        <v>0</v>
      </c>
      <c r="P604" s="50">
        <f>SUMIFS(INDEX(Техника!$F$1:$ABM$500,P$2,0),Техника!$F$4:$ABM$4,"Часы",INDEX(Техника!$G$1:$ABN$500,P$2,0),$A$599,INDEX(Техника!$H$1:$ABO$500,P$2,0),"З")</f>
        <v>0</v>
      </c>
      <c r="Q604" s="50">
        <f>SUMIFS(INDEX(Техника!$F$1:$ABM$500,Q$2,0),Техника!$F$4:$ABM$4,"Часы",INDEX(Техника!$G$1:$ABN$500,Q$2,0),$A$599,INDEX(Техника!$H$1:$ABO$500,Q$2,0),"З")</f>
        <v>0</v>
      </c>
      <c r="R604" s="50">
        <f>SUMIFS(INDEX(Техника!$F$1:$ABM$500,R$2,0),Техника!$F$4:$ABM$4,"Часы",INDEX(Техника!$G$1:$ABN$500,R$2,0),$A$599,INDEX(Техника!$H$1:$ABO$500,R$2,0),"З")</f>
        <v>0</v>
      </c>
      <c r="S604" s="50">
        <f>SUMIFS(INDEX(Техника!$F$1:$ABM$500,S$2,0),Техника!$F$4:$ABM$4,"Часы",INDEX(Техника!$G$1:$ABN$500,S$2,0),$A$599,INDEX(Техника!$H$1:$ABO$500,S$2,0),"З")</f>
        <v>0</v>
      </c>
      <c r="T604" s="50">
        <f>SUMIFS(INDEX(Техника!$F$1:$ABM$500,T$2,0),Техника!$F$4:$ABM$4,"Часы",INDEX(Техника!$G$1:$ABN$500,T$2,0),$A$599,INDEX(Техника!$H$1:$ABO$500,T$2,0),"З")</f>
        <v>0</v>
      </c>
      <c r="U604" s="50">
        <f>SUMIFS(INDEX(Техника!$F$1:$ABM$500,U$2,0),Техника!$F$4:$ABM$4,"Часы",INDEX(Техника!$G$1:$ABN$500,U$2,0),$A$599,INDEX(Техника!$H$1:$ABO$500,U$2,0),"З")</f>
        <v>0</v>
      </c>
      <c r="V604" s="50">
        <f>SUMIFS(INDEX(Техника!$F$1:$ABM$500,V$2,0),Техника!$F$4:$ABM$4,"Часы",INDEX(Техника!$G$1:$ABN$500,V$2,0),$A$599,INDEX(Техника!$H$1:$ABO$500,V$2,0),"З")</f>
        <v>0</v>
      </c>
      <c r="W604" s="50">
        <f>SUMIFS(INDEX(Техника!$F$1:$ABM$500,W$2,0),Техника!$F$4:$ABM$4,"Часы",INDEX(Техника!$G$1:$ABN$500,W$2,0),$A$599,INDEX(Техника!$H$1:$ABO$500,W$2,0),"З")</f>
        <v>0</v>
      </c>
      <c r="X604" s="50">
        <f>SUMIFS(INDEX(Техника!$F$1:$ABM$500,X$2,0),Техника!$F$4:$ABM$4,"Часы",INDEX(Техника!$G$1:$ABN$500,X$2,0),$A$599,INDEX(Техника!$H$1:$ABO$500,X$2,0),"З")</f>
        <v>0</v>
      </c>
      <c r="Y604" s="50">
        <f>SUMIFS(INDEX(Техника!$F$1:$ABM$500,Y$2,0),Техника!$F$4:$ABM$4,"Часы",INDEX(Техника!$G$1:$ABN$500,Y$2,0),$A$599,INDEX(Техника!$H$1:$ABO$500,Y$2,0),"З")</f>
        <v>0</v>
      </c>
      <c r="Z604" s="50">
        <f>SUMIFS(INDEX(Техника!$F$1:$ABM$500,Z$2,0),Техника!$F$4:$ABM$4,"Часы",INDEX(Техника!$G$1:$ABN$500,Z$2,0),$A$599,INDEX(Техника!$H$1:$ABO$500,Z$2,0),"З")</f>
        <v>0</v>
      </c>
      <c r="AA604" s="50">
        <f>SUMIFS(INDEX(Техника!$F$1:$ABM$500,AA$2,0),Техника!$F$4:$ABM$4,"Часы",INDEX(Техника!$G$1:$ABN$500,AA$2,0),$A$599,INDEX(Техника!$H$1:$ABO$500,AA$2,0),"З")</f>
        <v>0</v>
      </c>
      <c r="AB604" s="50">
        <f>SUMIFS(INDEX(Техника!$F$1:$ABM$500,AB$2,0),Техника!$F$4:$ABM$4,"Часы",INDEX(Техника!$G$1:$ABN$500,AB$2,0),$A$599,INDEX(Техника!$H$1:$ABO$500,AB$2,0),"З")</f>
        <v>0</v>
      </c>
    </row>
    <row r="605" spans="1:28" ht="7.95" customHeight="1" x14ac:dyDescent="0.3">
      <c r="A605" s="38"/>
      <c r="B605" s="39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</row>
    <row r="606" spans="1:28" ht="25.05" customHeight="1" collapsed="1" x14ac:dyDescent="0.3">
      <c r="A606" s="32">
        <v>87</v>
      </c>
      <c r="B606" s="32" t="s">
        <v>88</v>
      </c>
      <c r="C606" s="49">
        <f>SUM(C607:C611)</f>
        <v>0</v>
      </c>
      <c r="D606" s="49">
        <f>SUM(D607:D611)</f>
        <v>0</v>
      </c>
      <c r="E606" s="49">
        <f>SUM(E607:E611)</f>
        <v>0</v>
      </c>
      <c r="F606" s="49">
        <f>SUM(F607:F611)</f>
        <v>0</v>
      </c>
      <c r="G606" s="49">
        <f>SUM(G607:G611)</f>
        <v>0</v>
      </c>
      <c r="H606" s="49">
        <f>SUM(H607:H611)</f>
        <v>0</v>
      </c>
      <c r="I606" s="49">
        <f>SUM(I607:I611)</f>
        <v>0</v>
      </c>
      <c r="J606" s="49">
        <f>SUM(J607:J611)</f>
        <v>0</v>
      </c>
      <c r="K606" s="49">
        <f>SUM(K607:K611)</f>
        <v>0</v>
      </c>
      <c r="L606" s="49">
        <f>SUM(L607:L611)</f>
        <v>0</v>
      </c>
      <c r="M606" s="49">
        <f>SUM(M607:M611)</f>
        <v>0</v>
      </c>
      <c r="N606" s="49">
        <f>SUM(N607:N611)</f>
        <v>0</v>
      </c>
      <c r="O606" s="49">
        <f>SUM(O607:O611)</f>
        <v>0</v>
      </c>
      <c r="P606" s="49">
        <f>SUM(P607:P611)</f>
        <v>0</v>
      </c>
      <c r="Q606" s="49">
        <f>SUM(Q607:Q611)</f>
        <v>0</v>
      </c>
      <c r="R606" s="49">
        <f>SUM(R607:R611)</f>
        <v>0</v>
      </c>
      <c r="S606" s="49">
        <f>SUM(S607:S611)</f>
        <v>0</v>
      </c>
      <c r="T606" s="49">
        <f>SUM(T607:T611)</f>
        <v>0</v>
      </c>
      <c r="U606" s="49">
        <f>SUM(U607:U611)</f>
        <v>0</v>
      </c>
      <c r="V606" s="49">
        <f>SUM(V607:V611)</f>
        <v>0</v>
      </c>
      <c r="W606" s="49">
        <f>SUM(W607:W611)</f>
        <v>0</v>
      </c>
      <c r="X606" s="49">
        <f>SUM(X607:X611)</f>
        <v>0</v>
      </c>
      <c r="Y606" s="49">
        <f>SUM(Y607:Y611)</f>
        <v>0</v>
      </c>
      <c r="Z606" s="49">
        <f>SUM(Z607:Z611)</f>
        <v>0</v>
      </c>
      <c r="AA606" s="49">
        <f>SUM(AA607:AA611)</f>
        <v>0</v>
      </c>
      <c r="AB606" s="49">
        <f>SUM(AB607:AB611)</f>
        <v>0</v>
      </c>
    </row>
    <row r="607" spans="1:28" hidden="1" outlineLevel="1" x14ac:dyDescent="0.3">
      <c r="A607" s="33" t="s">
        <v>246</v>
      </c>
      <c r="B607" s="34" t="s">
        <v>274</v>
      </c>
      <c r="C607" s="50">
        <f>SUMIFS(INDEX(Техника!$F$1:$ABM$500,C$2,0),Техника!$F$4:$ABM$4,"Часы",INDEX(Техника!$G$1:$ABN$500,C$2,0),$A$606,INDEX(Техника!$H$1:$ABO$500,C$2,0),"М")</f>
        <v>0</v>
      </c>
      <c r="D607" s="50">
        <f>SUMIFS(INDEX(Техника!$F$1:$ABM$500,D$2,0),Техника!$F$4:$ABM$4,"Часы",INDEX(Техника!$G$1:$ABN$500,D$2,0),$A$606,INDEX(Техника!$H$1:$ABO$500,D$2,0),"М")</f>
        <v>0</v>
      </c>
      <c r="E607" s="50">
        <f>SUMIFS(INDEX(Техника!$F$1:$ABM$500,E$2,0),Техника!$F$4:$ABM$4,"Часы",INDEX(Техника!$G$1:$ABN$500,E$2,0),$A$606,INDEX(Техника!$H$1:$ABO$500,E$2,0),"М")</f>
        <v>0</v>
      </c>
      <c r="F607" s="50">
        <f>SUMIFS(INDEX(Техника!$F$1:$ABM$500,F$2,0),Техника!$F$4:$ABM$4,"Часы",INDEX(Техника!$G$1:$ABN$500,F$2,0),$A$606,INDEX(Техника!$H$1:$ABO$500,F$2,0),"М")</f>
        <v>0</v>
      </c>
      <c r="G607" s="50">
        <f>SUMIFS(INDEX(Техника!$F$1:$ABM$500,G$2,0),Техника!$F$4:$ABM$4,"Часы",INDEX(Техника!$G$1:$ABN$500,G$2,0),$A$606,INDEX(Техника!$H$1:$ABO$500,G$2,0),"М")</f>
        <v>0</v>
      </c>
      <c r="H607" s="50">
        <f>SUMIFS(INDEX(Техника!$F$1:$ABM$500,H$2,0),Техника!$F$4:$ABM$4,"Часы",INDEX(Техника!$G$1:$ABN$500,H$2,0),$A$606,INDEX(Техника!$H$1:$ABO$500,H$2,0),"М")</f>
        <v>0</v>
      </c>
      <c r="I607" s="50">
        <f>SUMIFS(INDEX(Техника!$F$1:$ABM$500,I$2,0),Техника!$F$4:$ABM$4,"Часы",INDEX(Техника!$G$1:$ABN$500,I$2,0),$A$606,INDEX(Техника!$H$1:$ABO$500,I$2,0),"М")</f>
        <v>0</v>
      </c>
      <c r="J607" s="50">
        <f>SUMIFS(INDEX(Техника!$F$1:$ABM$500,J$2,0),Техника!$F$4:$ABM$4,"Часы",INDEX(Техника!$G$1:$ABN$500,J$2,0),$A$606,INDEX(Техника!$H$1:$ABO$500,J$2,0),"М")</f>
        <v>0</v>
      </c>
      <c r="K607" s="50">
        <f>SUMIFS(INDEX(Техника!$F$1:$ABM$500,K$2,0),Техника!$F$4:$ABM$4,"Часы",INDEX(Техника!$G$1:$ABN$500,K$2,0),$A$606,INDEX(Техника!$H$1:$ABO$500,K$2,0),"М")</f>
        <v>0</v>
      </c>
      <c r="L607" s="50">
        <f>SUMIFS(INDEX(Техника!$F$1:$ABM$500,L$2,0),Техника!$F$4:$ABM$4,"Часы",INDEX(Техника!$G$1:$ABN$500,L$2,0),$A$606,INDEX(Техника!$H$1:$ABO$500,L$2,0),"М")</f>
        <v>0</v>
      </c>
      <c r="M607" s="50">
        <f>SUMIFS(INDEX(Техника!$F$1:$ABM$500,M$2,0),Техника!$F$4:$ABM$4,"Часы",INDEX(Техника!$G$1:$ABN$500,M$2,0),$A$606,INDEX(Техника!$H$1:$ABO$500,M$2,0),"М")</f>
        <v>0</v>
      </c>
      <c r="N607" s="50">
        <f>SUMIFS(INDEX(Техника!$F$1:$ABM$500,N$2,0),Техника!$F$4:$ABM$4,"Часы",INDEX(Техника!$G$1:$ABN$500,N$2,0),$A$606,INDEX(Техника!$H$1:$ABO$500,N$2,0),"М")</f>
        <v>0</v>
      </c>
      <c r="O607" s="50">
        <f>SUMIFS(INDEX(Техника!$F$1:$ABM$500,O$2,0),Техника!$F$4:$ABM$4,"Часы",INDEX(Техника!$G$1:$ABN$500,O$2,0),$A$606,INDEX(Техника!$H$1:$ABO$500,O$2,0),"М")</f>
        <v>0</v>
      </c>
      <c r="P607" s="50">
        <f>SUMIFS(INDEX(Техника!$F$1:$ABM$500,P$2,0),Техника!$F$4:$ABM$4,"Часы",INDEX(Техника!$G$1:$ABN$500,P$2,0),$A$606,INDEX(Техника!$H$1:$ABO$500,P$2,0),"М")</f>
        <v>0</v>
      </c>
      <c r="Q607" s="50">
        <f>SUMIFS(INDEX(Техника!$F$1:$ABM$500,Q$2,0),Техника!$F$4:$ABM$4,"Часы",INDEX(Техника!$G$1:$ABN$500,Q$2,0),$A$606,INDEX(Техника!$H$1:$ABO$500,Q$2,0),"М")</f>
        <v>0</v>
      </c>
      <c r="R607" s="50">
        <f>SUMIFS(INDEX(Техника!$F$1:$ABM$500,R$2,0),Техника!$F$4:$ABM$4,"Часы",INDEX(Техника!$G$1:$ABN$500,R$2,0),$A$606,INDEX(Техника!$H$1:$ABO$500,R$2,0),"М")</f>
        <v>0</v>
      </c>
      <c r="S607" s="50">
        <f>SUMIFS(INDEX(Техника!$F$1:$ABM$500,S$2,0),Техника!$F$4:$ABM$4,"Часы",INDEX(Техника!$G$1:$ABN$500,S$2,0),$A$606,INDEX(Техника!$H$1:$ABO$500,S$2,0),"М")</f>
        <v>0</v>
      </c>
      <c r="T607" s="50">
        <f>SUMIFS(INDEX(Техника!$F$1:$ABM$500,T$2,0),Техника!$F$4:$ABM$4,"Часы",INDEX(Техника!$G$1:$ABN$500,T$2,0),$A$606,INDEX(Техника!$H$1:$ABO$500,T$2,0),"М")</f>
        <v>0</v>
      </c>
      <c r="U607" s="50">
        <f>SUMIFS(INDEX(Техника!$F$1:$ABM$500,U$2,0),Техника!$F$4:$ABM$4,"Часы",INDEX(Техника!$G$1:$ABN$500,U$2,0),$A$606,INDEX(Техника!$H$1:$ABO$500,U$2,0),"М")</f>
        <v>0</v>
      </c>
      <c r="V607" s="50">
        <f>SUMIFS(INDEX(Техника!$F$1:$ABM$500,V$2,0),Техника!$F$4:$ABM$4,"Часы",INDEX(Техника!$G$1:$ABN$500,V$2,0),$A$606,INDEX(Техника!$H$1:$ABO$500,V$2,0),"М")</f>
        <v>0</v>
      </c>
      <c r="W607" s="50">
        <f>SUMIFS(INDEX(Техника!$F$1:$ABM$500,W$2,0),Техника!$F$4:$ABM$4,"Часы",INDEX(Техника!$G$1:$ABN$500,W$2,0),$A$606,INDEX(Техника!$H$1:$ABO$500,W$2,0),"М")</f>
        <v>0</v>
      </c>
      <c r="X607" s="50">
        <f>SUMIFS(INDEX(Техника!$F$1:$ABM$500,X$2,0),Техника!$F$4:$ABM$4,"Часы",INDEX(Техника!$G$1:$ABN$500,X$2,0),$A$606,INDEX(Техника!$H$1:$ABO$500,X$2,0),"М")</f>
        <v>0</v>
      </c>
      <c r="Y607" s="50">
        <f>SUMIFS(INDEX(Техника!$F$1:$ABM$500,Y$2,0),Техника!$F$4:$ABM$4,"Часы",INDEX(Техника!$G$1:$ABN$500,Y$2,0),$A$606,INDEX(Техника!$H$1:$ABO$500,Y$2,0),"М")</f>
        <v>0</v>
      </c>
      <c r="Z607" s="50">
        <f>SUMIFS(INDEX(Техника!$F$1:$ABM$500,Z$2,0),Техника!$F$4:$ABM$4,"Часы",INDEX(Техника!$G$1:$ABN$500,Z$2,0),$A$606,INDEX(Техника!$H$1:$ABO$500,Z$2,0),"М")</f>
        <v>0</v>
      </c>
      <c r="AA607" s="50">
        <f>SUMIFS(INDEX(Техника!$F$1:$ABM$500,AA$2,0),Техника!$F$4:$ABM$4,"Часы",INDEX(Техника!$G$1:$ABN$500,AA$2,0),$A$606,INDEX(Техника!$H$1:$ABO$500,AA$2,0),"М")</f>
        <v>0</v>
      </c>
      <c r="AB607" s="50">
        <f>SUMIFS(INDEX(Техника!$F$1:$ABM$500,AB$2,0),Техника!$F$4:$ABM$4,"Часы",INDEX(Техника!$G$1:$ABN$500,AB$2,0),$A$606,INDEX(Техника!$H$1:$ABO$500,AB$2,0),"М")</f>
        <v>0</v>
      </c>
    </row>
    <row r="608" spans="1:28" hidden="1" outlineLevel="1" x14ac:dyDescent="0.3">
      <c r="A608" s="33" t="s">
        <v>244</v>
      </c>
      <c r="B608" s="34" t="s">
        <v>275</v>
      </c>
      <c r="C608" s="50">
        <f>SUMIFS(INDEX(Техника!$F$1:$ABM$500,C$2,0),Техника!$F$4:$ABM$4,"Часы",INDEX(Техника!$G$1:$ABN$500,C$2,0),$A$606,INDEX(Техника!$H$1:$ABO$500,C$2,0),"Д")</f>
        <v>0</v>
      </c>
      <c r="D608" s="50">
        <f>SUMIFS(INDEX(Техника!$F$1:$ABM$500,D$2,0),Техника!$F$4:$ABM$4,"Часы",INDEX(Техника!$G$1:$ABN$500,D$2,0),$A$606,INDEX(Техника!$H$1:$ABO$500,D$2,0),"Д")</f>
        <v>0</v>
      </c>
      <c r="E608" s="50">
        <f>SUMIFS(INDEX(Техника!$F$1:$ABM$500,E$2,0),Техника!$F$4:$ABM$4,"Часы",INDEX(Техника!$G$1:$ABN$500,E$2,0),$A$606,INDEX(Техника!$H$1:$ABO$500,E$2,0),"Д")</f>
        <v>0</v>
      </c>
      <c r="F608" s="50">
        <f>SUMIFS(INDEX(Техника!$F$1:$ABM$500,F$2,0),Техника!$F$4:$ABM$4,"Часы",INDEX(Техника!$G$1:$ABN$500,F$2,0),$A$606,INDEX(Техника!$H$1:$ABO$500,F$2,0),"Д")</f>
        <v>0</v>
      </c>
      <c r="G608" s="50">
        <f>SUMIFS(INDEX(Техника!$F$1:$ABM$500,G$2,0),Техника!$F$4:$ABM$4,"Часы",INDEX(Техника!$G$1:$ABN$500,G$2,0),$A$606,INDEX(Техника!$H$1:$ABO$500,G$2,0),"Д")</f>
        <v>0</v>
      </c>
      <c r="H608" s="50">
        <f>SUMIFS(INDEX(Техника!$F$1:$ABM$500,H$2,0),Техника!$F$4:$ABM$4,"Часы",INDEX(Техника!$G$1:$ABN$500,H$2,0),$A$606,INDEX(Техника!$H$1:$ABO$500,H$2,0),"Д")</f>
        <v>0</v>
      </c>
      <c r="I608" s="50">
        <f>SUMIFS(INDEX(Техника!$F$1:$ABM$500,I$2,0),Техника!$F$4:$ABM$4,"Часы",INDEX(Техника!$G$1:$ABN$500,I$2,0),$A$606,INDEX(Техника!$H$1:$ABO$500,I$2,0),"Д")</f>
        <v>0</v>
      </c>
      <c r="J608" s="50">
        <f>SUMIFS(INDEX(Техника!$F$1:$ABM$500,J$2,0),Техника!$F$4:$ABM$4,"Часы",INDEX(Техника!$G$1:$ABN$500,J$2,0),$A$606,INDEX(Техника!$H$1:$ABO$500,J$2,0),"Д")</f>
        <v>0</v>
      </c>
      <c r="K608" s="50">
        <f>SUMIFS(INDEX(Техника!$F$1:$ABM$500,K$2,0),Техника!$F$4:$ABM$4,"Часы",INDEX(Техника!$G$1:$ABN$500,K$2,0),$A$606,INDEX(Техника!$H$1:$ABO$500,K$2,0),"Д")</f>
        <v>0</v>
      </c>
      <c r="L608" s="50">
        <f>SUMIFS(INDEX(Техника!$F$1:$ABM$500,L$2,0),Техника!$F$4:$ABM$4,"Часы",INDEX(Техника!$G$1:$ABN$500,L$2,0),$A$606,INDEX(Техника!$H$1:$ABO$500,L$2,0),"Д")</f>
        <v>0</v>
      </c>
      <c r="M608" s="50">
        <f>SUMIFS(INDEX(Техника!$F$1:$ABM$500,M$2,0),Техника!$F$4:$ABM$4,"Часы",INDEX(Техника!$G$1:$ABN$500,M$2,0),$A$606,INDEX(Техника!$H$1:$ABO$500,M$2,0),"Д")</f>
        <v>0</v>
      </c>
      <c r="N608" s="50">
        <f>SUMIFS(INDEX(Техника!$F$1:$ABM$500,N$2,0),Техника!$F$4:$ABM$4,"Часы",INDEX(Техника!$G$1:$ABN$500,N$2,0),$A$606,INDEX(Техника!$H$1:$ABO$500,N$2,0),"Д")</f>
        <v>0</v>
      </c>
      <c r="O608" s="50">
        <f>SUMIFS(INDEX(Техника!$F$1:$ABM$500,O$2,0),Техника!$F$4:$ABM$4,"Часы",INDEX(Техника!$G$1:$ABN$500,O$2,0),$A$606,INDEX(Техника!$H$1:$ABO$500,O$2,0),"Д")</f>
        <v>0</v>
      </c>
      <c r="P608" s="50">
        <f>SUMIFS(INDEX(Техника!$F$1:$ABM$500,P$2,0),Техника!$F$4:$ABM$4,"Часы",INDEX(Техника!$G$1:$ABN$500,P$2,0),$A$606,INDEX(Техника!$H$1:$ABO$500,P$2,0),"Д")</f>
        <v>0</v>
      </c>
      <c r="Q608" s="50">
        <f>SUMIFS(INDEX(Техника!$F$1:$ABM$500,Q$2,0),Техника!$F$4:$ABM$4,"Часы",INDEX(Техника!$G$1:$ABN$500,Q$2,0),$A$606,INDEX(Техника!$H$1:$ABO$500,Q$2,0),"Д")</f>
        <v>0</v>
      </c>
      <c r="R608" s="50">
        <f>SUMIFS(INDEX(Техника!$F$1:$ABM$500,R$2,0),Техника!$F$4:$ABM$4,"Часы",INDEX(Техника!$G$1:$ABN$500,R$2,0),$A$606,INDEX(Техника!$H$1:$ABO$500,R$2,0),"Д")</f>
        <v>0</v>
      </c>
      <c r="S608" s="50">
        <f>SUMIFS(INDEX(Техника!$F$1:$ABM$500,S$2,0),Техника!$F$4:$ABM$4,"Часы",INDEX(Техника!$G$1:$ABN$500,S$2,0),$A$606,INDEX(Техника!$H$1:$ABO$500,S$2,0),"Д")</f>
        <v>0</v>
      </c>
      <c r="T608" s="50">
        <f>SUMIFS(INDEX(Техника!$F$1:$ABM$500,T$2,0),Техника!$F$4:$ABM$4,"Часы",INDEX(Техника!$G$1:$ABN$500,T$2,0),$A$606,INDEX(Техника!$H$1:$ABO$500,T$2,0),"Д")</f>
        <v>0</v>
      </c>
      <c r="U608" s="50">
        <f>SUMIFS(INDEX(Техника!$F$1:$ABM$500,U$2,0),Техника!$F$4:$ABM$4,"Часы",INDEX(Техника!$G$1:$ABN$500,U$2,0),$A$606,INDEX(Техника!$H$1:$ABO$500,U$2,0),"Д")</f>
        <v>0</v>
      </c>
      <c r="V608" s="50">
        <f>SUMIFS(INDEX(Техника!$F$1:$ABM$500,V$2,0),Техника!$F$4:$ABM$4,"Часы",INDEX(Техника!$G$1:$ABN$500,V$2,0),$A$606,INDEX(Техника!$H$1:$ABO$500,V$2,0),"Д")</f>
        <v>0</v>
      </c>
      <c r="W608" s="50">
        <f>SUMIFS(INDEX(Техника!$F$1:$ABM$500,W$2,0),Техника!$F$4:$ABM$4,"Часы",INDEX(Техника!$G$1:$ABN$500,W$2,0),$A$606,INDEX(Техника!$H$1:$ABO$500,W$2,0),"Д")</f>
        <v>0</v>
      </c>
      <c r="X608" s="50">
        <f>SUMIFS(INDEX(Техника!$F$1:$ABM$500,X$2,0),Техника!$F$4:$ABM$4,"Часы",INDEX(Техника!$G$1:$ABN$500,X$2,0),$A$606,INDEX(Техника!$H$1:$ABO$500,X$2,0),"Д")</f>
        <v>0</v>
      </c>
      <c r="Y608" s="50">
        <f>SUMIFS(INDEX(Техника!$F$1:$ABM$500,Y$2,0),Техника!$F$4:$ABM$4,"Часы",INDEX(Техника!$G$1:$ABN$500,Y$2,0),$A$606,INDEX(Техника!$H$1:$ABO$500,Y$2,0),"Д")</f>
        <v>0</v>
      </c>
      <c r="Z608" s="50">
        <f>SUMIFS(INDEX(Техника!$F$1:$ABM$500,Z$2,0),Техника!$F$4:$ABM$4,"Часы",INDEX(Техника!$G$1:$ABN$500,Z$2,0),$A$606,INDEX(Техника!$H$1:$ABO$500,Z$2,0),"Д")</f>
        <v>0</v>
      </c>
      <c r="AA608" s="50">
        <f>SUMIFS(INDEX(Техника!$F$1:$ABM$500,AA$2,0),Техника!$F$4:$ABM$4,"Часы",INDEX(Техника!$G$1:$ABN$500,AA$2,0),$A$606,INDEX(Техника!$H$1:$ABO$500,AA$2,0),"Д")</f>
        <v>0</v>
      </c>
      <c r="AB608" s="50">
        <f>SUMIFS(INDEX(Техника!$F$1:$ABM$500,AB$2,0),Техника!$F$4:$ABM$4,"Часы",INDEX(Техника!$G$1:$ABN$500,AB$2,0),$A$606,INDEX(Техника!$H$1:$ABO$500,AB$2,0),"Д")</f>
        <v>0</v>
      </c>
    </row>
    <row r="609" spans="1:28" hidden="1" outlineLevel="1" x14ac:dyDescent="0.3">
      <c r="A609" s="33" t="s">
        <v>276</v>
      </c>
      <c r="B609" s="34" t="s">
        <v>277</v>
      </c>
      <c r="C609" s="50">
        <f>SUMIFS(INDEX(Техника!$F$1:$ABM$500,C$2,0),Техника!$F$4:$ABM$4,"Часы",INDEX(Техника!$G$1:$ABN$500,C$2,0),$A$606,INDEX(Техника!$H$1:$ABO$500,C$2,0),"П")</f>
        <v>0</v>
      </c>
      <c r="D609" s="50">
        <f>SUMIFS(INDEX(Техника!$F$1:$ABM$500,D$2,0),Техника!$F$4:$ABM$4,"Часы",INDEX(Техника!$G$1:$ABN$500,D$2,0),$A$606,INDEX(Техника!$H$1:$ABO$500,D$2,0),"П")</f>
        <v>0</v>
      </c>
      <c r="E609" s="50">
        <f>SUMIFS(INDEX(Техника!$F$1:$ABM$500,E$2,0),Техника!$F$4:$ABM$4,"Часы",INDEX(Техника!$G$1:$ABN$500,E$2,0),$A$606,INDEX(Техника!$H$1:$ABO$500,E$2,0),"П")</f>
        <v>0</v>
      </c>
      <c r="F609" s="50">
        <f>SUMIFS(INDEX(Техника!$F$1:$ABM$500,F$2,0),Техника!$F$4:$ABM$4,"Часы",INDEX(Техника!$G$1:$ABN$500,F$2,0),$A$606,INDEX(Техника!$H$1:$ABO$500,F$2,0),"П")</f>
        <v>0</v>
      </c>
      <c r="G609" s="50">
        <f>SUMIFS(INDEX(Техника!$F$1:$ABM$500,G$2,0),Техника!$F$4:$ABM$4,"Часы",INDEX(Техника!$G$1:$ABN$500,G$2,0),$A$606,INDEX(Техника!$H$1:$ABO$500,G$2,0),"П")</f>
        <v>0</v>
      </c>
      <c r="H609" s="50">
        <f>SUMIFS(INDEX(Техника!$F$1:$ABM$500,H$2,0),Техника!$F$4:$ABM$4,"Часы",INDEX(Техника!$G$1:$ABN$500,H$2,0),$A$606,INDEX(Техника!$H$1:$ABO$500,H$2,0),"П")</f>
        <v>0</v>
      </c>
      <c r="I609" s="50">
        <f>SUMIFS(INDEX(Техника!$F$1:$ABM$500,I$2,0),Техника!$F$4:$ABM$4,"Часы",INDEX(Техника!$G$1:$ABN$500,I$2,0),$A$606,INDEX(Техника!$H$1:$ABO$500,I$2,0),"П")</f>
        <v>0</v>
      </c>
      <c r="J609" s="50">
        <f>SUMIFS(INDEX(Техника!$F$1:$ABM$500,J$2,0),Техника!$F$4:$ABM$4,"Часы",INDEX(Техника!$G$1:$ABN$500,J$2,0),$A$606,INDEX(Техника!$H$1:$ABO$500,J$2,0),"П")</f>
        <v>0</v>
      </c>
      <c r="K609" s="50">
        <f>SUMIFS(INDEX(Техника!$F$1:$ABM$500,K$2,0),Техника!$F$4:$ABM$4,"Часы",INDEX(Техника!$G$1:$ABN$500,K$2,0),$A$606,INDEX(Техника!$H$1:$ABO$500,K$2,0),"П")</f>
        <v>0</v>
      </c>
      <c r="L609" s="50">
        <f>SUMIFS(INDEX(Техника!$F$1:$ABM$500,L$2,0),Техника!$F$4:$ABM$4,"Часы",INDEX(Техника!$G$1:$ABN$500,L$2,0),$A$606,INDEX(Техника!$H$1:$ABO$500,L$2,0),"П")</f>
        <v>0</v>
      </c>
      <c r="M609" s="50">
        <f>SUMIFS(INDEX(Техника!$F$1:$ABM$500,M$2,0),Техника!$F$4:$ABM$4,"Часы",INDEX(Техника!$G$1:$ABN$500,M$2,0),$A$606,INDEX(Техника!$H$1:$ABO$500,M$2,0),"П")</f>
        <v>0</v>
      </c>
      <c r="N609" s="50">
        <f>SUMIFS(INDEX(Техника!$F$1:$ABM$500,N$2,0),Техника!$F$4:$ABM$4,"Часы",INDEX(Техника!$G$1:$ABN$500,N$2,0),$A$606,INDEX(Техника!$H$1:$ABO$500,N$2,0),"П")</f>
        <v>0</v>
      </c>
      <c r="O609" s="50">
        <f>SUMIFS(INDEX(Техника!$F$1:$ABM$500,O$2,0),Техника!$F$4:$ABM$4,"Часы",INDEX(Техника!$G$1:$ABN$500,O$2,0),$A$606,INDEX(Техника!$H$1:$ABO$500,O$2,0),"П")</f>
        <v>0</v>
      </c>
      <c r="P609" s="50">
        <f>SUMIFS(INDEX(Техника!$F$1:$ABM$500,P$2,0),Техника!$F$4:$ABM$4,"Часы",INDEX(Техника!$G$1:$ABN$500,P$2,0),$A$606,INDEX(Техника!$H$1:$ABO$500,P$2,0),"П")</f>
        <v>0</v>
      </c>
      <c r="Q609" s="50">
        <f>SUMIFS(INDEX(Техника!$F$1:$ABM$500,Q$2,0),Техника!$F$4:$ABM$4,"Часы",INDEX(Техника!$G$1:$ABN$500,Q$2,0),$A$606,INDEX(Техника!$H$1:$ABO$500,Q$2,0),"П")</f>
        <v>0</v>
      </c>
      <c r="R609" s="50">
        <f>SUMIFS(INDEX(Техника!$F$1:$ABM$500,R$2,0),Техника!$F$4:$ABM$4,"Часы",INDEX(Техника!$G$1:$ABN$500,R$2,0),$A$606,INDEX(Техника!$H$1:$ABO$500,R$2,0),"П")</f>
        <v>0</v>
      </c>
      <c r="S609" s="50">
        <f>SUMIFS(INDEX(Техника!$F$1:$ABM$500,S$2,0),Техника!$F$4:$ABM$4,"Часы",INDEX(Техника!$G$1:$ABN$500,S$2,0),$A$606,INDEX(Техника!$H$1:$ABO$500,S$2,0),"П")</f>
        <v>0</v>
      </c>
      <c r="T609" s="50">
        <f>SUMIFS(INDEX(Техника!$F$1:$ABM$500,T$2,0),Техника!$F$4:$ABM$4,"Часы",INDEX(Техника!$G$1:$ABN$500,T$2,0),$A$606,INDEX(Техника!$H$1:$ABO$500,T$2,0),"П")</f>
        <v>0</v>
      </c>
      <c r="U609" s="50">
        <f>SUMIFS(INDEX(Техника!$F$1:$ABM$500,U$2,0),Техника!$F$4:$ABM$4,"Часы",INDEX(Техника!$G$1:$ABN$500,U$2,0),$A$606,INDEX(Техника!$H$1:$ABO$500,U$2,0),"П")</f>
        <v>0</v>
      </c>
      <c r="V609" s="50">
        <f>SUMIFS(INDEX(Техника!$F$1:$ABM$500,V$2,0),Техника!$F$4:$ABM$4,"Часы",INDEX(Техника!$G$1:$ABN$500,V$2,0),$A$606,INDEX(Техника!$H$1:$ABO$500,V$2,0),"П")</f>
        <v>0</v>
      </c>
      <c r="W609" s="50">
        <f>SUMIFS(INDEX(Техника!$F$1:$ABM$500,W$2,0),Техника!$F$4:$ABM$4,"Часы",INDEX(Техника!$G$1:$ABN$500,W$2,0),$A$606,INDEX(Техника!$H$1:$ABO$500,W$2,0),"П")</f>
        <v>0</v>
      </c>
      <c r="X609" s="50">
        <f>SUMIFS(INDEX(Техника!$F$1:$ABM$500,X$2,0),Техника!$F$4:$ABM$4,"Часы",INDEX(Техника!$G$1:$ABN$500,X$2,0),$A$606,INDEX(Техника!$H$1:$ABO$500,X$2,0),"П")</f>
        <v>0</v>
      </c>
      <c r="Y609" s="50">
        <f>SUMIFS(INDEX(Техника!$F$1:$ABM$500,Y$2,0),Техника!$F$4:$ABM$4,"Часы",INDEX(Техника!$G$1:$ABN$500,Y$2,0),$A$606,INDEX(Техника!$H$1:$ABO$500,Y$2,0),"П")</f>
        <v>0</v>
      </c>
      <c r="Z609" s="50">
        <f>SUMIFS(INDEX(Техника!$F$1:$ABM$500,Z$2,0),Техника!$F$4:$ABM$4,"Часы",INDEX(Техника!$G$1:$ABN$500,Z$2,0),$A$606,INDEX(Техника!$H$1:$ABO$500,Z$2,0),"П")</f>
        <v>0</v>
      </c>
      <c r="AA609" s="50">
        <f>SUMIFS(INDEX(Техника!$F$1:$ABM$500,AA$2,0),Техника!$F$4:$ABM$4,"Часы",INDEX(Техника!$G$1:$ABN$500,AA$2,0),$A$606,INDEX(Техника!$H$1:$ABO$500,AA$2,0),"П")</f>
        <v>0</v>
      </c>
      <c r="AB609" s="50">
        <f>SUMIFS(INDEX(Техника!$F$1:$ABM$500,AB$2,0),Техника!$F$4:$ABM$4,"Часы",INDEX(Техника!$G$1:$ABN$500,AB$2,0),$A$606,INDEX(Техника!$H$1:$ABO$500,AB$2,0),"П")</f>
        <v>0</v>
      </c>
    </row>
    <row r="610" spans="1:28" hidden="1" outlineLevel="1" x14ac:dyDescent="0.3">
      <c r="A610" s="33" t="s">
        <v>243</v>
      </c>
      <c r="B610" s="34" t="s">
        <v>278</v>
      </c>
      <c r="C610" s="50">
        <f>SUMIFS(INDEX(Техника!$F$1:$ABM$500,C$2,0),Техника!$F$4:$ABM$4,"Часы",INDEX(Техника!$G$1:$ABN$500,C$2,0),$A$606,INDEX(Техника!$H$1:$ABO$500,C$2,0),"Л")</f>
        <v>0</v>
      </c>
      <c r="D610" s="50">
        <f>SUMIFS(INDEX(Техника!$F$1:$ABM$500,D$2,0),Техника!$F$4:$ABM$4,"Часы",INDEX(Техника!$G$1:$ABN$500,D$2,0),$A$606,INDEX(Техника!$H$1:$ABO$500,D$2,0),"Л")</f>
        <v>0</v>
      </c>
      <c r="E610" s="50">
        <f>SUMIFS(INDEX(Техника!$F$1:$ABM$500,E$2,0),Техника!$F$4:$ABM$4,"Часы",INDEX(Техника!$G$1:$ABN$500,E$2,0),$A$606,INDEX(Техника!$H$1:$ABO$500,E$2,0),"Л")</f>
        <v>0</v>
      </c>
      <c r="F610" s="50">
        <f>SUMIFS(INDEX(Техника!$F$1:$ABM$500,F$2,0),Техника!$F$4:$ABM$4,"Часы",INDEX(Техника!$G$1:$ABN$500,F$2,0),$A$606,INDEX(Техника!$H$1:$ABO$500,F$2,0),"Л")</f>
        <v>0</v>
      </c>
      <c r="G610" s="50">
        <f>SUMIFS(INDEX(Техника!$F$1:$ABM$500,G$2,0),Техника!$F$4:$ABM$4,"Часы",INDEX(Техника!$G$1:$ABN$500,G$2,0),$A$606,INDEX(Техника!$H$1:$ABO$500,G$2,0),"Л")</f>
        <v>0</v>
      </c>
      <c r="H610" s="50">
        <f>SUMIFS(INDEX(Техника!$F$1:$ABM$500,H$2,0),Техника!$F$4:$ABM$4,"Часы",INDEX(Техника!$G$1:$ABN$500,H$2,0),$A$606,INDEX(Техника!$H$1:$ABO$500,H$2,0),"Л")</f>
        <v>0</v>
      </c>
      <c r="I610" s="50">
        <f>SUMIFS(INDEX(Техника!$F$1:$ABM$500,I$2,0),Техника!$F$4:$ABM$4,"Часы",INDEX(Техника!$G$1:$ABN$500,I$2,0),$A$606,INDEX(Техника!$H$1:$ABO$500,I$2,0),"Л")</f>
        <v>0</v>
      </c>
      <c r="J610" s="50">
        <f>SUMIFS(INDEX(Техника!$F$1:$ABM$500,J$2,0),Техника!$F$4:$ABM$4,"Часы",INDEX(Техника!$G$1:$ABN$500,J$2,0),$A$606,INDEX(Техника!$H$1:$ABO$500,J$2,0),"Л")</f>
        <v>0</v>
      </c>
      <c r="K610" s="50">
        <f>SUMIFS(INDEX(Техника!$F$1:$ABM$500,K$2,0),Техника!$F$4:$ABM$4,"Часы",INDEX(Техника!$G$1:$ABN$500,K$2,0),$A$606,INDEX(Техника!$H$1:$ABO$500,K$2,0),"Л")</f>
        <v>0</v>
      </c>
      <c r="L610" s="50">
        <f>SUMIFS(INDEX(Техника!$F$1:$ABM$500,L$2,0),Техника!$F$4:$ABM$4,"Часы",INDEX(Техника!$G$1:$ABN$500,L$2,0),$A$606,INDEX(Техника!$H$1:$ABO$500,L$2,0),"Л")</f>
        <v>0</v>
      </c>
      <c r="M610" s="50">
        <f>SUMIFS(INDEX(Техника!$F$1:$ABM$500,M$2,0),Техника!$F$4:$ABM$4,"Часы",INDEX(Техника!$G$1:$ABN$500,M$2,0),$A$606,INDEX(Техника!$H$1:$ABO$500,M$2,0),"Л")</f>
        <v>0</v>
      </c>
      <c r="N610" s="50">
        <f>SUMIFS(INDEX(Техника!$F$1:$ABM$500,N$2,0),Техника!$F$4:$ABM$4,"Часы",INDEX(Техника!$G$1:$ABN$500,N$2,0),$A$606,INDEX(Техника!$H$1:$ABO$500,N$2,0),"Л")</f>
        <v>0</v>
      </c>
      <c r="O610" s="50">
        <f>SUMIFS(INDEX(Техника!$F$1:$ABM$500,O$2,0),Техника!$F$4:$ABM$4,"Часы",INDEX(Техника!$G$1:$ABN$500,O$2,0),$A$606,INDEX(Техника!$H$1:$ABO$500,O$2,0),"Л")</f>
        <v>0</v>
      </c>
      <c r="P610" s="50">
        <f>SUMIFS(INDEX(Техника!$F$1:$ABM$500,P$2,0),Техника!$F$4:$ABM$4,"Часы",INDEX(Техника!$G$1:$ABN$500,P$2,0),$A$606,INDEX(Техника!$H$1:$ABO$500,P$2,0),"Л")</f>
        <v>0</v>
      </c>
      <c r="Q610" s="50">
        <f>SUMIFS(INDEX(Техника!$F$1:$ABM$500,Q$2,0),Техника!$F$4:$ABM$4,"Часы",INDEX(Техника!$G$1:$ABN$500,Q$2,0),$A$606,INDEX(Техника!$H$1:$ABO$500,Q$2,0),"Л")</f>
        <v>0</v>
      </c>
      <c r="R610" s="50">
        <f>SUMIFS(INDEX(Техника!$F$1:$ABM$500,R$2,0),Техника!$F$4:$ABM$4,"Часы",INDEX(Техника!$G$1:$ABN$500,R$2,0),$A$606,INDEX(Техника!$H$1:$ABO$500,R$2,0),"Л")</f>
        <v>0</v>
      </c>
      <c r="S610" s="50">
        <f>SUMIFS(INDEX(Техника!$F$1:$ABM$500,S$2,0),Техника!$F$4:$ABM$4,"Часы",INDEX(Техника!$G$1:$ABN$500,S$2,0),$A$606,INDEX(Техника!$H$1:$ABO$500,S$2,0),"Л")</f>
        <v>0</v>
      </c>
      <c r="T610" s="50">
        <f>SUMIFS(INDEX(Техника!$F$1:$ABM$500,T$2,0),Техника!$F$4:$ABM$4,"Часы",INDEX(Техника!$G$1:$ABN$500,T$2,0),$A$606,INDEX(Техника!$H$1:$ABO$500,T$2,0),"Л")</f>
        <v>0</v>
      </c>
      <c r="U610" s="50">
        <f>SUMIFS(INDEX(Техника!$F$1:$ABM$500,U$2,0),Техника!$F$4:$ABM$4,"Часы",INDEX(Техника!$G$1:$ABN$500,U$2,0),$A$606,INDEX(Техника!$H$1:$ABO$500,U$2,0),"Л")</f>
        <v>0</v>
      </c>
      <c r="V610" s="50">
        <f>SUMIFS(INDEX(Техника!$F$1:$ABM$500,V$2,0),Техника!$F$4:$ABM$4,"Часы",INDEX(Техника!$G$1:$ABN$500,V$2,0),$A$606,INDEX(Техника!$H$1:$ABO$500,V$2,0),"Л")</f>
        <v>0</v>
      </c>
      <c r="W610" s="50">
        <f>SUMIFS(INDEX(Техника!$F$1:$ABM$500,W$2,0),Техника!$F$4:$ABM$4,"Часы",INDEX(Техника!$G$1:$ABN$500,W$2,0),$A$606,INDEX(Техника!$H$1:$ABO$500,W$2,0),"Л")</f>
        <v>0</v>
      </c>
      <c r="X610" s="50">
        <f>SUMIFS(INDEX(Техника!$F$1:$ABM$500,X$2,0),Техника!$F$4:$ABM$4,"Часы",INDEX(Техника!$G$1:$ABN$500,X$2,0),$A$606,INDEX(Техника!$H$1:$ABO$500,X$2,0),"Л")</f>
        <v>0</v>
      </c>
      <c r="Y610" s="50">
        <f>SUMIFS(INDEX(Техника!$F$1:$ABM$500,Y$2,0),Техника!$F$4:$ABM$4,"Часы",INDEX(Техника!$G$1:$ABN$500,Y$2,0),$A$606,INDEX(Техника!$H$1:$ABO$500,Y$2,0),"Л")</f>
        <v>0</v>
      </c>
      <c r="Z610" s="50">
        <f>SUMIFS(INDEX(Техника!$F$1:$ABM$500,Z$2,0),Техника!$F$4:$ABM$4,"Часы",INDEX(Техника!$G$1:$ABN$500,Z$2,0),$A$606,INDEX(Техника!$H$1:$ABO$500,Z$2,0),"Л")</f>
        <v>0</v>
      </c>
      <c r="AA610" s="50">
        <f>SUMIFS(INDEX(Техника!$F$1:$ABM$500,AA$2,0),Техника!$F$4:$ABM$4,"Часы",INDEX(Техника!$G$1:$ABN$500,AA$2,0),$A$606,INDEX(Техника!$H$1:$ABO$500,AA$2,0),"Л")</f>
        <v>0</v>
      </c>
      <c r="AB610" s="50">
        <f>SUMIFS(INDEX(Техника!$F$1:$ABM$500,AB$2,0),Техника!$F$4:$ABM$4,"Часы",INDEX(Техника!$G$1:$ABN$500,AB$2,0),$A$606,INDEX(Техника!$H$1:$ABO$500,AB$2,0),"Л")</f>
        <v>0</v>
      </c>
    </row>
    <row r="611" spans="1:28" hidden="1" outlineLevel="1" x14ac:dyDescent="0.3">
      <c r="A611" s="33" t="s">
        <v>245</v>
      </c>
      <c r="B611" s="34" t="s">
        <v>279</v>
      </c>
      <c r="C611" s="50">
        <f>SUMIFS(INDEX(Техника!$F$1:$ABM$500,C$2,0),Техника!$F$4:$ABM$4,"Часы",INDEX(Техника!$G$1:$ABN$500,C$2,0),$A$606,INDEX(Техника!$H$1:$ABO$500,C$2,0),"З")</f>
        <v>0</v>
      </c>
      <c r="D611" s="50">
        <f>SUMIFS(INDEX(Техника!$F$1:$ABM$500,D$2,0),Техника!$F$4:$ABM$4,"Часы",INDEX(Техника!$G$1:$ABN$500,D$2,0),$A$606,INDEX(Техника!$H$1:$ABO$500,D$2,0),"З")</f>
        <v>0</v>
      </c>
      <c r="E611" s="50">
        <f>SUMIFS(INDEX(Техника!$F$1:$ABM$500,E$2,0),Техника!$F$4:$ABM$4,"Часы",INDEX(Техника!$G$1:$ABN$500,E$2,0),$A$606,INDEX(Техника!$H$1:$ABO$500,E$2,0),"З")</f>
        <v>0</v>
      </c>
      <c r="F611" s="50">
        <f>SUMIFS(INDEX(Техника!$F$1:$ABM$500,F$2,0),Техника!$F$4:$ABM$4,"Часы",INDEX(Техника!$G$1:$ABN$500,F$2,0),$A$606,INDEX(Техника!$H$1:$ABO$500,F$2,0),"З")</f>
        <v>0</v>
      </c>
      <c r="G611" s="50">
        <f>SUMIFS(INDEX(Техника!$F$1:$ABM$500,G$2,0),Техника!$F$4:$ABM$4,"Часы",INDEX(Техника!$G$1:$ABN$500,G$2,0),$A$606,INDEX(Техника!$H$1:$ABO$500,G$2,0),"З")</f>
        <v>0</v>
      </c>
      <c r="H611" s="50">
        <f>SUMIFS(INDEX(Техника!$F$1:$ABM$500,H$2,0),Техника!$F$4:$ABM$4,"Часы",INDEX(Техника!$G$1:$ABN$500,H$2,0),$A$606,INDEX(Техника!$H$1:$ABO$500,H$2,0),"З")</f>
        <v>0</v>
      </c>
      <c r="I611" s="50">
        <f>SUMIFS(INDEX(Техника!$F$1:$ABM$500,I$2,0),Техника!$F$4:$ABM$4,"Часы",INDEX(Техника!$G$1:$ABN$500,I$2,0),$A$606,INDEX(Техника!$H$1:$ABO$500,I$2,0),"З")</f>
        <v>0</v>
      </c>
      <c r="J611" s="50">
        <f>SUMIFS(INDEX(Техника!$F$1:$ABM$500,J$2,0),Техника!$F$4:$ABM$4,"Часы",INDEX(Техника!$G$1:$ABN$500,J$2,0),$A$606,INDEX(Техника!$H$1:$ABO$500,J$2,0),"З")</f>
        <v>0</v>
      </c>
      <c r="K611" s="50">
        <f>SUMIFS(INDEX(Техника!$F$1:$ABM$500,K$2,0),Техника!$F$4:$ABM$4,"Часы",INDEX(Техника!$G$1:$ABN$500,K$2,0),$A$606,INDEX(Техника!$H$1:$ABO$500,K$2,0),"З")</f>
        <v>0</v>
      </c>
      <c r="L611" s="50">
        <f>SUMIFS(INDEX(Техника!$F$1:$ABM$500,L$2,0),Техника!$F$4:$ABM$4,"Часы",INDEX(Техника!$G$1:$ABN$500,L$2,0),$A$606,INDEX(Техника!$H$1:$ABO$500,L$2,0),"З")</f>
        <v>0</v>
      </c>
      <c r="M611" s="50">
        <f>SUMIFS(INDEX(Техника!$F$1:$ABM$500,M$2,0),Техника!$F$4:$ABM$4,"Часы",INDEX(Техника!$G$1:$ABN$500,M$2,0),$A$606,INDEX(Техника!$H$1:$ABO$500,M$2,0),"З")</f>
        <v>0</v>
      </c>
      <c r="N611" s="50">
        <f>SUMIFS(INDEX(Техника!$F$1:$ABM$500,N$2,0),Техника!$F$4:$ABM$4,"Часы",INDEX(Техника!$G$1:$ABN$500,N$2,0),$A$606,INDEX(Техника!$H$1:$ABO$500,N$2,0),"З")</f>
        <v>0</v>
      </c>
      <c r="O611" s="50">
        <f>SUMIFS(INDEX(Техника!$F$1:$ABM$500,O$2,0),Техника!$F$4:$ABM$4,"Часы",INDEX(Техника!$G$1:$ABN$500,O$2,0),$A$606,INDEX(Техника!$H$1:$ABO$500,O$2,0),"З")</f>
        <v>0</v>
      </c>
      <c r="P611" s="50">
        <f>SUMIFS(INDEX(Техника!$F$1:$ABM$500,P$2,0),Техника!$F$4:$ABM$4,"Часы",INDEX(Техника!$G$1:$ABN$500,P$2,0),$A$606,INDEX(Техника!$H$1:$ABO$500,P$2,0),"З")</f>
        <v>0</v>
      </c>
      <c r="Q611" s="50">
        <f>SUMIFS(INDEX(Техника!$F$1:$ABM$500,Q$2,0),Техника!$F$4:$ABM$4,"Часы",INDEX(Техника!$G$1:$ABN$500,Q$2,0),$A$606,INDEX(Техника!$H$1:$ABO$500,Q$2,0),"З")</f>
        <v>0</v>
      </c>
      <c r="R611" s="50">
        <f>SUMIFS(INDEX(Техника!$F$1:$ABM$500,R$2,0),Техника!$F$4:$ABM$4,"Часы",INDEX(Техника!$G$1:$ABN$500,R$2,0),$A$606,INDEX(Техника!$H$1:$ABO$500,R$2,0),"З")</f>
        <v>0</v>
      </c>
      <c r="S611" s="50">
        <f>SUMIFS(INDEX(Техника!$F$1:$ABM$500,S$2,0),Техника!$F$4:$ABM$4,"Часы",INDEX(Техника!$G$1:$ABN$500,S$2,0),$A$606,INDEX(Техника!$H$1:$ABO$500,S$2,0),"З")</f>
        <v>0</v>
      </c>
      <c r="T611" s="50">
        <f>SUMIFS(INDEX(Техника!$F$1:$ABM$500,T$2,0),Техника!$F$4:$ABM$4,"Часы",INDEX(Техника!$G$1:$ABN$500,T$2,0),$A$606,INDEX(Техника!$H$1:$ABO$500,T$2,0),"З")</f>
        <v>0</v>
      </c>
      <c r="U611" s="50">
        <f>SUMIFS(INDEX(Техника!$F$1:$ABM$500,U$2,0),Техника!$F$4:$ABM$4,"Часы",INDEX(Техника!$G$1:$ABN$500,U$2,0),$A$606,INDEX(Техника!$H$1:$ABO$500,U$2,0),"З")</f>
        <v>0</v>
      </c>
      <c r="V611" s="50">
        <f>SUMIFS(INDEX(Техника!$F$1:$ABM$500,V$2,0),Техника!$F$4:$ABM$4,"Часы",INDEX(Техника!$G$1:$ABN$500,V$2,0),$A$606,INDEX(Техника!$H$1:$ABO$500,V$2,0),"З")</f>
        <v>0</v>
      </c>
      <c r="W611" s="50">
        <f>SUMIFS(INDEX(Техника!$F$1:$ABM$500,W$2,0),Техника!$F$4:$ABM$4,"Часы",INDEX(Техника!$G$1:$ABN$500,W$2,0),$A$606,INDEX(Техника!$H$1:$ABO$500,W$2,0),"З")</f>
        <v>0</v>
      </c>
      <c r="X611" s="50">
        <f>SUMIFS(INDEX(Техника!$F$1:$ABM$500,X$2,0),Техника!$F$4:$ABM$4,"Часы",INDEX(Техника!$G$1:$ABN$500,X$2,0),$A$606,INDEX(Техника!$H$1:$ABO$500,X$2,0),"З")</f>
        <v>0</v>
      </c>
      <c r="Y611" s="50">
        <f>SUMIFS(INDEX(Техника!$F$1:$ABM$500,Y$2,0),Техника!$F$4:$ABM$4,"Часы",INDEX(Техника!$G$1:$ABN$500,Y$2,0),$A$606,INDEX(Техника!$H$1:$ABO$500,Y$2,0),"З")</f>
        <v>0</v>
      </c>
      <c r="Z611" s="50">
        <f>SUMIFS(INDEX(Техника!$F$1:$ABM$500,Z$2,0),Техника!$F$4:$ABM$4,"Часы",INDEX(Техника!$G$1:$ABN$500,Z$2,0),$A$606,INDEX(Техника!$H$1:$ABO$500,Z$2,0),"З")</f>
        <v>0</v>
      </c>
      <c r="AA611" s="50">
        <f>SUMIFS(INDEX(Техника!$F$1:$ABM$500,AA$2,0),Техника!$F$4:$ABM$4,"Часы",INDEX(Техника!$G$1:$ABN$500,AA$2,0),$A$606,INDEX(Техника!$H$1:$ABO$500,AA$2,0),"З")</f>
        <v>0</v>
      </c>
      <c r="AB611" s="50">
        <f>SUMIFS(INDEX(Техника!$F$1:$ABM$500,AB$2,0),Техника!$F$4:$ABM$4,"Часы",INDEX(Техника!$G$1:$ABN$500,AB$2,0),$A$606,INDEX(Техника!$H$1:$ABO$500,AB$2,0),"З")</f>
        <v>0</v>
      </c>
    </row>
    <row r="612" spans="1:28" ht="7.95" customHeight="1" x14ac:dyDescent="0.3">
      <c r="A612" s="38"/>
      <c r="B612" s="39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</row>
    <row r="613" spans="1:28" ht="25.05" customHeight="1" collapsed="1" x14ac:dyDescent="0.3">
      <c r="A613" s="32">
        <v>88</v>
      </c>
      <c r="B613" s="32" t="s">
        <v>89</v>
      </c>
      <c r="C613" s="49">
        <f>SUM(C614:C618)</f>
        <v>0</v>
      </c>
      <c r="D613" s="49">
        <f>SUM(D614:D618)</f>
        <v>0</v>
      </c>
      <c r="E613" s="49">
        <f>SUM(E614:E618)</f>
        <v>0</v>
      </c>
      <c r="F613" s="49">
        <f>SUM(F614:F618)</f>
        <v>0</v>
      </c>
      <c r="G613" s="49">
        <f>SUM(G614:G618)</f>
        <v>0</v>
      </c>
      <c r="H613" s="49">
        <f>SUM(H614:H618)</f>
        <v>0</v>
      </c>
      <c r="I613" s="49">
        <f>SUM(I614:I618)</f>
        <v>0</v>
      </c>
      <c r="J613" s="49">
        <f>SUM(J614:J618)</f>
        <v>0</v>
      </c>
      <c r="K613" s="49">
        <f>SUM(K614:K618)</f>
        <v>0</v>
      </c>
      <c r="L613" s="49">
        <f>SUM(L614:L618)</f>
        <v>0</v>
      </c>
      <c r="M613" s="49">
        <f>SUM(M614:M618)</f>
        <v>0</v>
      </c>
      <c r="N613" s="49">
        <f>SUM(N614:N618)</f>
        <v>0</v>
      </c>
      <c r="O613" s="49">
        <f>SUM(O614:O618)</f>
        <v>0</v>
      </c>
      <c r="P613" s="49">
        <f>SUM(P614:P618)</f>
        <v>0</v>
      </c>
      <c r="Q613" s="49">
        <f>SUM(Q614:Q618)</f>
        <v>0</v>
      </c>
      <c r="R613" s="49">
        <f>SUM(R614:R618)</f>
        <v>0</v>
      </c>
      <c r="S613" s="49">
        <f>SUM(S614:S618)</f>
        <v>0</v>
      </c>
      <c r="T613" s="49">
        <f>SUM(T614:T618)</f>
        <v>0</v>
      </c>
      <c r="U613" s="49">
        <f>SUM(U614:U618)</f>
        <v>0</v>
      </c>
      <c r="V613" s="49">
        <f>SUM(V614:V618)</f>
        <v>0</v>
      </c>
      <c r="W613" s="49">
        <f>SUM(W614:W618)</f>
        <v>0</v>
      </c>
      <c r="X613" s="49">
        <f>SUM(X614:X618)</f>
        <v>0</v>
      </c>
      <c r="Y613" s="49">
        <f>SUM(Y614:Y618)</f>
        <v>0</v>
      </c>
      <c r="Z613" s="49">
        <f>SUM(Z614:Z618)</f>
        <v>0</v>
      </c>
      <c r="AA613" s="49">
        <f>SUM(AA614:AA618)</f>
        <v>0</v>
      </c>
      <c r="AB613" s="49">
        <f>SUM(AB614:AB618)</f>
        <v>0</v>
      </c>
    </row>
    <row r="614" spans="1:28" hidden="1" outlineLevel="1" x14ac:dyDescent="0.3">
      <c r="A614" s="33" t="s">
        <v>246</v>
      </c>
      <c r="B614" s="34" t="s">
        <v>274</v>
      </c>
      <c r="C614" s="50">
        <f>SUMIFS(INDEX(Техника!$F$1:$ABM$500,C$2,0),Техника!$F$4:$ABM$4,"Часы",INDEX(Техника!$G$1:$ABN$500,C$2,0),$A$613,INDEX(Техника!$H$1:$ABO$500,C$2,0),"М")</f>
        <v>0</v>
      </c>
      <c r="D614" s="50">
        <f>SUMIFS(INDEX(Техника!$F$1:$ABM$500,D$2,0),Техника!$F$4:$ABM$4,"Часы",INDEX(Техника!$G$1:$ABN$500,D$2,0),$A$613,INDEX(Техника!$H$1:$ABO$500,D$2,0),"М")</f>
        <v>0</v>
      </c>
      <c r="E614" s="50">
        <f>SUMIFS(INDEX(Техника!$F$1:$ABM$500,E$2,0),Техника!$F$4:$ABM$4,"Часы",INDEX(Техника!$G$1:$ABN$500,E$2,0),$A$613,INDEX(Техника!$H$1:$ABO$500,E$2,0),"М")</f>
        <v>0</v>
      </c>
      <c r="F614" s="50">
        <f>SUMIFS(INDEX(Техника!$F$1:$ABM$500,F$2,0),Техника!$F$4:$ABM$4,"Часы",INDEX(Техника!$G$1:$ABN$500,F$2,0),$A$613,INDEX(Техника!$H$1:$ABO$500,F$2,0),"М")</f>
        <v>0</v>
      </c>
      <c r="G614" s="50">
        <f>SUMIFS(INDEX(Техника!$F$1:$ABM$500,G$2,0),Техника!$F$4:$ABM$4,"Часы",INDEX(Техника!$G$1:$ABN$500,G$2,0),$A$613,INDEX(Техника!$H$1:$ABO$500,G$2,0),"М")</f>
        <v>0</v>
      </c>
      <c r="H614" s="50">
        <f>SUMIFS(INDEX(Техника!$F$1:$ABM$500,H$2,0),Техника!$F$4:$ABM$4,"Часы",INDEX(Техника!$G$1:$ABN$500,H$2,0),$A$613,INDEX(Техника!$H$1:$ABO$500,H$2,0),"М")</f>
        <v>0</v>
      </c>
      <c r="I614" s="50">
        <f>SUMIFS(INDEX(Техника!$F$1:$ABM$500,I$2,0),Техника!$F$4:$ABM$4,"Часы",INDEX(Техника!$G$1:$ABN$500,I$2,0),$A$613,INDEX(Техника!$H$1:$ABO$500,I$2,0),"М")</f>
        <v>0</v>
      </c>
      <c r="J614" s="50">
        <f>SUMIFS(INDEX(Техника!$F$1:$ABM$500,J$2,0),Техника!$F$4:$ABM$4,"Часы",INDEX(Техника!$G$1:$ABN$500,J$2,0),$A$613,INDEX(Техника!$H$1:$ABO$500,J$2,0),"М")</f>
        <v>0</v>
      </c>
      <c r="K614" s="50">
        <f>SUMIFS(INDEX(Техника!$F$1:$ABM$500,K$2,0),Техника!$F$4:$ABM$4,"Часы",INDEX(Техника!$G$1:$ABN$500,K$2,0),$A$613,INDEX(Техника!$H$1:$ABO$500,K$2,0),"М")</f>
        <v>0</v>
      </c>
      <c r="L614" s="50">
        <f>SUMIFS(INDEX(Техника!$F$1:$ABM$500,L$2,0),Техника!$F$4:$ABM$4,"Часы",INDEX(Техника!$G$1:$ABN$500,L$2,0),$A$613,INDEX(Техника!$H$1:$ABO$500,L$2,0),"М")</f>
        <v>0</v>
      </c>
      <c r="M614" s="50">
        <f>SUMIFS(INDEX(Техника!$F$1:$ABM$500,M$2,0),Техника!$F$4:$ABM$4,"Часы",INDEX(Техника!$G$1:$ABN$500,M$2,0),$A$613,INDEX(Техника!$H$1:$ABO$500,M$2,0),"М")</f>
        <v>0</v>
      </c>
      <c r="N614" s="50">
        <f>SUMIFS(INDEX(Техника!$F$1:$ABM$500,N$2,0),Техника!$F$4:$ABM$4,"Часы",INDEX(Техника!$G$1:$ABN$500,N$2,0),$A$613,INDEX(Техника!$H$1:$ABO$500,N$2,0),"М")</f>
        <v>0</v>
      </c>
      <c r="O614" s="50">
        <f>SUMIFS(INDEX(Техника!$F$1:$ABM$500,O$2,0),Техника!$F$4:$ABM$4,"Часы",INDEX(Техника!$G$1:$ABN$500,O$2,0),$A$613,INDEX(Техника!$H$1:$ABO$500,O$2,0),"М")</f>
        <v>0</v>
      </c>
      <c r="P614" s="50">
        <f>SUMIFS(INDEX(Техника!$F$1:$ABM$500,P$2,0),Техника!$F$4:$ABM$4,"Часы",INDEX(Техника!$G$1:$ABN$500,P$2,0),$A$613,INDEX(Техника!$H$1:$ABO$500,P$2,0),"М")</f>
        <v>0</v>
      </c>
      <c r="Q614" s="50">
        <f>SUMIFS(INDEX(Техника!$F$1:$ABM$500,Q$2,0),Техника!$F$4:$ABM$4,"Часы",INDEX(Техника!$G$1:$ABN$500,Q$2,0),$A$613,INDEX(Техника!$H$1:$ABO$500,Q$2,0),"М")</f>
        <v>0</v>
      </c>
      <c r="R614" s="50">
        <f>SUMIFS(INDEX(Техника!$F$1:$ABM$500,R$2,0),Техника!$F$4:$ABM$4,"Часы",INDEX(Техника!$G$1:$ABN$500,R$2,0),$A$613,INDEX(Техника!$H$1:$ABO$500,R$2,0),"М")</f>
        <v>0</v>
      </c>
      <c r="S614" s="50">
        <f>SUMIFS(INDEX(Техника!$F$1:$ABM$500,S$2,0),Техника!$F$4:$ABM$4,"Часы",INDEX(Техника!$G$1:$ABN$500,S$2,0),$A$613,INDEX(Техника!$H$1:$ABO$500,S$2,0),"М")</f>
        <v>0</v>
      </c>
      <c r="T614" s="50">
        <f>SUMIFS(INDEX(Техника!$F$1:$ABM$500,T$2,0),Техника!$F$4:$ABM$4,"Часы",INDEX(Техника!$G$1:$ABN$500,T$2,0),$A$613,INDEX(Техника!$H$1:$ABO$500,T$2,0),"М")</f>
        <v>0</v>
      </c>
      <c r="U614" s="50">
        <f>SUMIFS(INDEX(Техника!$F$1:$ABM$500,U$2,0),Техника!$F$4:$ABM$4,"Часы",INDEX(Техника!$G$1:$ABN$500,U$2,0),$A$613,INDEX(Техника!$H$1:$ABO$500,U$2,0),"М")</f>
        <v>0</v>
      </c>
      <c r="V614" s="50">
        <f>SUMIFS(INDEX(Техника!$F$1:$ABM$500,V$2,0),Техника!$F$4:$ABM$4,"Часы",INDEX(Техника!$G$1:$ABN$500,V$2,0),$A$613,INDEX(Техника!$H$1:$ABO$500,V$2,0),"М")</f>
        <v>0</v>
      </c>
      <c r="W614" s="50">
        <f>SUMIFS(INDEX(Техника!$F$1:$ABM$500,W$2,0),Техника!$F$4:$ABM$4,"Часы",INDEX(Техника!$G$1:$ABN$500,W$2,0),$A$613,INDEX(Техника!$H$1:$ABO$500,W$2,0),"М")</f>
        <v>0</v>
      </c>
      <c r="X614" s="50">
        <f>SUMIFS(INDEX(Техника!$F$1:$ABM$500,X$2,0),Техника!$F$4:$ABM$4,"Часы",INDEX(Техника!$G$1:$ABN$500,X$2,0),$A$613,INDEX(Техника!$H$1:$ABO$500,X$2,0),"М")</f>
        <v>0</v>
      </c>
      <c r="Y614" s="50">
        <f>SUMIFS(INDEX(Техника!$F$1:$ABM$500,Y$2,0),Техника!$F$4:$ABM$4,"Часы",INDEX(Техника!$G$1:$ABN$500,Y$2,0),$A$613,INDEX(Техника!$H$1:$ABO$500,Y$2,0),"М")</f>
        <v>0</v>
      </c>
      <c r="Z614" s="50">
        <f>SUMIFS(INDEX(Техника!$F$1:$ABM$500,Z$2,0),Техника!$F$4:$ABM$4,"Часы",INDEX(Техника!$G$1:$ABN$500,Z$2,0),$A$613,INDEX(Техника!$H$1:$ABO$500,Z$2,0),"М")</f>
        <v>0</v>
      </c>
      <c r="AA614" s="50">
        <f>SUMIFS(INDEX(Техника!$F$1:$ABM$500,AA$2,0),Техника!$F$4:$ABM$4,"Часы",INDEX(Техника!$G$1:$ABN$500,AA$2,0),$A$613,INDEX(Техника!$H$1:$ABO$500,AA$2,0),"М")</f>
        <v>0</v>
      </c>
      <c r="AB614" s="50">
        <f>SUMIFS(INDEX(Техника!$F$1:$ABM$500,AB$2,0),Техника!$F$4:$ABM$4,"Часы",INDEX(Техника!$G$1:$ABN$500,AB$2,0),$A$613,INDEX(Техника!$H$1:$ABO$500,AB$2,0),"М")</f>
        <v>0</v>
      </c>
    </row>
    <row r="615" spans="1:28" hidden="1" outlineLevel="1" x14ac:dyDescent="0.3">
      <c r="A615" s="33" t="s">
        <v>244</v>
      </c>
      <c r="B615" s="34" t="s">
        <v>275</v>
      </c>
      <c r="C615" s="50">
        <f>SUMIFS(INDEX(Техника!$F$1:$ABM$500,C$2,0),Техника!$F$4:$ABM$4,"Часы",INDEX(Техника!$G$1:$ABN$500,C$2,0),$A$613,INDEX(Техника!$H$1:$ABO$500,C$2,0),"Д")</f>
        <v>0</v>
      </c>
      <c r="D615" s="50">
        <f>SUMIFS(INDEX(Техника!$F$1:$ABM$500,D$2,0),Техника!$F$4:$ABM$4,"Часы",INDEX(Техника!$G$1:$ABN$500,D$2,0),$A$613,INDEX(Техника!$H$1:$ABO$500,D$2,0),"Д")</f>
        <v>0</v>
      </c>
      <c r="E615" s="50">
        <f>SUMIFS(INDEX(Техника!$F$1:$ABM$500,E$2,0),Техника!$F$4:$ABM$4,"Часы",INDEX(Техника!$G$1:$ABN$500,E$2,0),$A$613,INDEX(Техника!$H$1:$ABO$500,E$2,0),"Д")</f>
        <v>0</v>
      </c>
      <c r="F615" s="50">
        <f>SUMIFS(INDEX(Техника!$F$1:$ABM$500,F$2,0),Техника!$F$4:$ABM$4,"Часы",INDEX(Техника!$G$1:$ABN$500,F$2,0),$A$613,INDEX(Техника!$H$1:$ABO$500,F$2,0),"Д")</f>
        <v>0</v>
      </c>
      <c r="G615" s="50">
        <f>SUMIFS(INDEX(Техника!$F$1:$ABM$500,G$2,0),Техника!$F$4:$ABM$4,"Часы",INDEX(Техника!$G$1:$ABN$500,G$2,0),$A$613,INDEX(Техника!$H$1:$ABO$500,G$2,0),"Д")</f>
        <v>0</v>
      </c>
      <c r="H615" s="50">
        <f>SUMIFS(INDEX(Техника!$F$1:$ABM$500,H$2,0),Техника!$F$4:$ABM$4,"Часы",INDEX(Техника!$G$1:$ABN$500,H$2,0),$A$613,INDEX(Техника!$H$1:$ABO$500,H$2,0),"Д")</f>
        <v>0</v>
      </c>
      <c r="I615" s="50">
        <f>SUMIFS(INDEX(Техника!$F$1:$ABM$500,I$2,0),Техника!$F$4:$ABM$4,"Часы",INDEX(Техника!$G$1:$ABN$500,I$2,0),$A$613,INDEX(Техника!$H$1:$ABO$500,I$2,0),"Д")</f>
        <v>0</v>
      </c>
      <c r="J615" s="50">
        <f>SUMIFS(INDEX(Техника!$F$1:$ABM$500,J$2,0),Техника!$F$4:$ABM$4,"Часы",INDEX(Техника!$G$1:$ABN$500,J$2,0),$A$613,INDEX(Техника!$H$1:$ABO$500,J$2,0),"Д")</f>
        <v>0</v>
      </c>
      <c r="K615" s="50">
        <f>SUMIFS(INDEX(Техника!$F$1:$ABM$500,K$2,0),Техника!$F$4:$ABM$4,"Часы",INDEX(Техника!$G$1:$ABN$500,K$2,0),$A$613,INDEX(Техника!$H$1:$ABO$500,K$2,0),"Д")</f>
        <v>0</v>
      </c>
      <c r="L615" s="50">
        <f>SUMIFS(INDEX(Техника!$F$1:$ABM$500,L$2,0),Техника!$F$4:$ABM$4,"Часы",INDEX(Техника!$G$1:$ABN$500,L$2,0),$A$613,INDEX(Техника!$H$1:$ABO$500,L$2,0),"Д")</f>
        <v>0</v>
      </c>
      <c r="M615" s="50">
        <f>SUMIFS(INDEX(Техника!$F$1:$ABM$500,M$2,0),Техника!$F$4:$ABM$4,"Часы",INDEX(Техника!$G$1:$ABN$500,M$2,0),$A$613,INDEX(Техника!$H$1:$ABO$500,M$2,0),"Д")</f>
        <v>0</v>
      </c>
      <c r="N615" s="50">
        <f>SUMIFS(INDEX(Техника!$F$1:$ABM$500,N$2,0),Техника!$F$4:$ABM$4,"Часы",INDEX(Техника!$G$1:$ABN$500,N$2,0),$A$613,INDEX(Техника!$H$1:$ABO$500,N$2,0),"Д")</f>
        <v>0</v>
      </c>
      <c r="O615" s="50">
        <f>SUMIFS(INDEX(Техника!$F$1:$ABM$500,O$2,0),Техника!$F$4:$ABM$4,"Часы",INDEX(Техника!$G$1:$ABN$500,O$2,0),$A$613,INDEX(Техника!$H$1:$ABO$500,O$2,0),"Д")</f>
        <v>0</v>
      </c>
      <c r="P615" s="50">
        <f>SUMIFS(INDEX(Техника!$F$1:$ABM$500,P$2,0),Техника!$F$4:$ABM$4,"Часы",INDEX(Техника!$G$1:$ABN$500,P$2,0),$A$613,INDEX(Техника!$H$1:$ABO$500,P$2,0),"Д")</f>
        <v>0</v>
      </c>
      <c r="Q615" s="50">
        <f>SUMIFS(INDEX(Техника!$F$1:$ABM$500,Q$2,0),Техника!$F$4:$ABM$4,"Часы",INDEX(Техника!$G$1:$ABN$500,Q$2,0),$A$613,INDEX(Техника!$H$1:$ABO$500,Q$2,0),"Д")</f>
        <v>0</v>
      </c>
      <c r="R615" s="50">
        <f>SUMIFS(INDEX(Техника!$F$1:$ABM$500,R$2,0),Техника!$F$4:$ABM$4,"Часы",INDEX(Техника!$G$1:$ABN$500,R$2,0),$A$613,INDEX(Техника!$H$1:$ABO$500,R$2,0),"Д")</f>
        <v>0</v>
      </c>
      <c r="S615" s="50">
        <f>SUMIFS(INDEX(Техника!$F$1:$ABM$500,S$2,0),Техника!$F$4:$ABM$4,"Часы",INDEX(Техника!$G$1:$ABN$500,S$2,0),$A$613,INDEX(Техника!$H$1:$ABO$500,S$2,0),"Д")</f>
        <v>0</v>
      </c>
      <c r="T615" s="50">
        <f>SUMIFS(INDEX(Техника!$F$1:$ABM$500,T$2,0),Техника!$F$4:$ABM$4,"Часы",INDEX(Техника!$G$1:$ABN$500,T$2,0),$A$613,INDEX(Техника!$H$1:$ABO$500,T$2,0),"Д")</f>
        <v>0</v>
      </c>
      <c r="U615" s="50">
        <f>SUMIFS(INDEX(Техника!$F$1:$ABM$500,U$2,0),Техника!$F$4:$ABM$4,"Часы",INDEX(Техника!$G$1:$ABN$500,U$2,0),$A$613,INDEX(Техника!$H$1:$ABO$500,U$2,0),"Д")</f>
        <v>0</v>
      </c>
      <c r="V615" s="50">
        <f>SUMIFS(INDEX(Техника!$F$1:$ABM$500,V$2,0),Техника!$F$4:$ABM$4,"Часы",INDEX(Техника!$G$1:$ABN$500,V$2,0),$A$613,INDEX(Техника!$H$1:$ABO$500,V$2,0),"Д")</f>
        <v>0</v>
      </c>
      <c r="W615" s="50">
        <f>SUMIFS(INDEX(Техника!$F$1:$ABM$500,W$2,0),Техника!$F$4:$ABM$4,"Часы",INDEX(Техника!$G$1:$ABN$500,W$2,0),$A$613,INDEX(Техника!$H$1:$ABO$500,W$2,0),"Д")</f>
        <v>0</v>
      </c>
      <c r="X615" s="50">
        <f>SUMIFS(INDEX(Техника!$F$1:$ABM$500,X$2,0),Техника!$F$4:$ABM$4,"Часы",INDEX(Техника!$G$1:$ABN$500,X$2,0),$A$613,INDEX(Техника!$H$1:$ABO$500,X$2,0),"Д")</f>
        <v>0</v>
      </c>
      <c r="Y615" s="50">
        <f>SUMIFS(INDEX(Техника!$F$1:$ABM$500,Y$2,0),Техника!$F$4:$ABM$4,"Часы",INDEX(Техника!$G$1:$ABN$500,Y$2,0),$A$613,INDEX(Техника!$H$1:$ABO$500,Y$2,0),"Д")</f>
        <v>0</v>
      </c>
      <c r="Z615" s="50">
        <f>SUMIFS(INDEX(Техника!$F$1:$ABM$500,Z$2,0),Техника!$F$4:$ABM$4,"Часы",INDEX(Техника!$G$1:$ABN$500,Z$2,0),$A$613,INDEX(Техника!$H$1:$ABO$500,Z$2,0),"Д")</f>
        <v>0</v>
      </c>
      <c r="AA615" s="50">
        <f>SUMIFS(INDEX(Техника!$F$1:$ABM$500,AA$2,0),Техника!$F$4:$ABM$4,"Часы",INDEX(Техника!$G$1:$ABN$500,AA$2,0),$A$613,INDEX(Техника!$H$1:$ABO$500,AA$2,0),"Д")</f>
        <v>0</v>
      </c>
      <c r="AB615" s="50">
        <f>SUMIFS(INDEX(Техника!$F$1:$ABM$500,AB$2,0),Техника!$F$4:$ABM$4,"Часы",INDEX(Техника!$G$1:$ABN$500,AB$2,0),$A$613,INDEX(Техника!$H$1:$ABO$500,AB$2,0),"Д")</f>
        <v>0</v>
      </c>
    </row>
    <row r="616" spans="1:28" hidden="1" outlineLevel="1" x14ac:dyDescent="0.3">
      <c r="A616" s="33" t="s">
        <v>276</v>
      </c>
      <c r="B616" s="34" t="s">
        <v>277</v>
      </c>
      <c r="C616" s="50">
        <f>SUMIFS(INDEX(Техника!$F$1:$ABM$500,C$2,0),Техника!$F$4:$ABM$4,"Часы",INDEX(Техника!$G$1:$ABN$500,C$2,0),$A$613,INDEX(Техника!$H$1:$ABO$500,C$2,0),"П")</f>
        <v>0</v>
      </c>
      <c r="D616" s="50">
        <f>SUMIFS(INDEX(Техника!$F$1:$ABM$500,D$2,0),Техника!$F$4:$ABM$4,"Часы",INDEX(Техника!$G$1:$ABN$500,D$2,0),$A$613,INDEX(Техника!$H$1:$ABO$500,D$2,0),"П")</f>
        <v>0</v>
      </c>
      <c r="E616" s="50">
        <f>SUMIFS(INDEX(Техника!$F$1:$ABM$500,E$2,0),Техника!$F$4:$ABM$4,"Часы",INDEX(Техника!$G$1:$ABN$500,E$2,0),$A$613,INDEX(Техника!$H$1:$ABO$500,E$2,0),"П")</f>
        <v>0</v>
      </c>
      <c r="F616" s="50">
        <f>SUMIFS(INDEX(Техника!$F$1:$ABM$500,F$2,0),Техника!$F$4:$ABM$4,"Часы",INDEX(Техника!$G$1:$ABN$500,F$2,0),$A$613,INDEX(Техника!$H$1:$ABO$500,F$2,0),"П")</f>
        <v>0</v>
      </c>
      <c r="G616" s="50">
        <f>SUMIFS(INDEX(Техника!$F$1:$ABM$500,G$2,0),Техника!$F$4:$ABM$4,"Часы",INDEX(Техника!$G$1:$ABN$500,G$2,0),$A$613,INDEX(Техника!$H$1:$ABO$500,G$2,0),"П")</f>
        <v>0</v>
      </c>
      <c r="H616" s="50">
        <f>SUMIFS(INDEX(Техника!$F$1:$ABM$500,H$2,0),Техника!$F$4:$ABM$4,"Часы",INDEX(Техника!$G$1:$ABN$500,H$2,0),$A$613,INDEX(Техника!$H$1:$ABO$500,H$2,0),"П")</f>
        <v>0</v>
      </c>
      <c r="I616" s="50">
        <f>SUMIFS(INDEX(Техника!$F$1:$ABM$500,I$2,0),Техника!$F$4:$ABM$4,"Часы",INDEX(Техника!$G$1:$ABN$500,I$2,0),$A$613,INDEX(Техника!$H$1:$ABO$500,I$2,0),"П")</f>
        <v>0</v>
      </c>
      <c r="J616" s="50">
        <f>SUMIFS(INDEX(Техника!$F$1:$ABM$500,J$2,0),Техника!$F$4:$ABM$4,"Часы",INDEX(Техника!$G$1:$ABN$500,J$2,0),$A$613,INDEX(Техника!$H$1:$ABO$500,J$2,0),"П")</f>
        <v>0</v>
      </c>
      <c r="K616" s="50">
        <f>SUMIFS(INDEX(Техника!$F$1:$ABM$500,K$2,0),Техника!$F$4:$ABM$4,"Часы",INDEX(Техника!$G$1:$ABN$500,K$2,0),$A$613,INDEX(Техника!$H$1:$ABO$500,K$2,0),"П")</f>
        <v>0</v>
      </c>
      <c r="L616" s="50">
        <f>SUMIFS(INDEX(Техника!$F$1:$ABM$500,L$2,0),Техника!$F$4:$ABM$4,"Часы",INDEX(Техника!$G$1:$ABN$500,L$2,0),$A$613,INDEX(Техника!$H$1:$ABO$500,L$2,0),"П")</f>
        <v>0</v>
      </c>
      <c r="M616" s="50">
        <f>SUMIFS(INDEX(Техника!$F$1:$ABM$500,M$2,0),Техника!$F$4:$ABM$4,"Часы",INDEX(Техника!$G$1:$ABN$500,M$2,0),$A$613,INDEX(Техника!$H$1:$ABO$500,M$2,0),"П")</f>
        <v>0</v>
      </c>
      <c r="N616" s="50">
        <f>SUMIFS(INDEX(Техника!$F$1:$ABM$500,N$2,0),Техника!$F$4:$ABM$4,"Часы",INDEX(Техника!$G$1:$ABN$500,N$2,0),$A$613,INDEX(Техника!$H$1:$ABO$500,N$2,0),"П")</f>
        <v>0</v>
      </c>
      <c r="O616" s="50">
        <f>SUMIFS(INDEX(Техника!$F$1:$ABM$500,O$2,0),Техника!$F$4:$ABM$4,"Часы",INDEX(Техника!$G$1:$ABN$500,O$2,0),$A$613,INDEX(Техника!$H$1:$ABO$500,O$2,0),"П")</f>
        <v>0</v>
      </c>
      <c r="P616" s="50">
        <f>SUMIFS(INDEX(Техника!$F$1:$ABM$500,P$2,0),Техника!$F$4:$ABM$4,"Часы",INDEX(Техника!$G$1:$ABN$500,P$2,0),$A$613,INDEX(Техника!$H$1:$ABO$500,P$2,0),"П")</f>
        <v>0</v>
      </c>
      <c r="Q616" s="50">
        <f>SUMIFS(INDEX(Техника!$F$1:$ABM$500,Q$2,0),Техника!$F$4:$ABM$4,"Часы",INDEX(Техника!$G$1:$ABN$500,Q$2,0),$A$613,INDEX(Техника!$H$1:$ABO$500,Q$2,0),"П")</f>
        <v>0</v>
      </c>
      <c r="R616" s="50">
        <f>SUMIFS(INDEX(Техника!$F$1:$ABM$500,R$2,0),Техника!$F$4:$ABM$4,"Часы",INDEX(Техника!$G$1:$ABN$500,R$2,0),$A$613,INDEX(Техника!$H$1:$ABO$500,R$2,0),"П")</f>
        <v>0</v>
      </c>
      <c r="S616" s="50">
        <f>SUMIFS(INDEX(Техника!$F$1:$ABM$500,S$2,0),Техника!$F$4:$ABM$4,"Часы",INDEX(Техника!$G$1:$ABN$500,S$2,0),$A$613,INDEX(Техника!$H$1:$ABO$500,S$2,0),"П")</f>
        <v>0</v>
      </c>
      <c r="T616" s="50">
        <f>SUMIFS(INDEX(Техника!$F$1:$ABM$500,T$2,0),Техника!$F$4:$ABM$4,"Часы",INDEX(Техника!$G$1:$ABN$500,T$2,0),$A$613,INDEX(Техника!$H$1:$ABO$500,T$2,0),"П")</f>
        <v>0</v>
      </c>
      <c r="U616" s="50">
        <f>SUMIFS(INDEX(Техника!$F$1:$ABM$500,U$2,0),Техника!$F$4:$ABM$4,"Часы",INDEX(Техника!$G$1:$ABN$500,U$2,0),$A$613,INDEX(Техника!$H$1:$ABO$500,U$2,0),"П")</f>
        <v>0</v>
      </c>
      <c r="V616" s="50">
        <f>SUMIFS(INDEX(Техника!$F$1:$ABM$500,V$2,0),Техника!$F$4:$ABM$4,"Часы",INDEX(Техника!$G$1:$ABN$500,V$2,0),$A$613,INDEX(Техника!$H$1:$ABO$500,V$2,0),"П")</f>
        <v>0</v>
      </c>
      <c r="W616" s="50">
        <f>SUMIFS(INDEX(Техника!$F$1:$ABM$500,W$2,0),Техника!$F$4:$ABM$4,"Часы",INDEX(Техника!$G$1:$ABN$500,W$2,0),$A$613,INDEX(Техника!$H$1:$ABO$500,W$2,0),"П")</f>
        <v>0</v>
      </c>
      <c r="X616" s="50">
        <f>SUMIFS(INDEX(Техника!$F$1:$ABM$500,X$2,0),Техника!$F$4:$ABM$4,"Часы",INDEX(Техника!$G$1:$ABN$500,X$2,0),$A$613,INDEX(Техника!$H$1:$ABO$500,X$2,0),"П")</f>
        <v>0</v>
      </c>
      <c r="Y616" s="50">
        <f>SUMIFS(INDEX(Техника!$F$1:$ABM$500,Y$2,0),Техника!$F$4:$ABM$4,"Часы",INDEX(Техника!$G$1:$ABN$500,Y$2,0),$A$613,INDEX(Техника!$H$1:$ABO$500,Y$2,0),"П")</f>
        <v>0</v>
      </c>
      <c r="Z616" s="50">
        <f>SUMIFS(INDEX(Техника!$F$1:$ABM$500,Z$2,0),Техника!$F$4:$ABM$4,"Часы",INDEX(Техника!$G$1:$ABN$500,Z$2,0),$A$613,INDEX(Техника!$H$1:$ABO$500,Z$2,0),"П")</f>
        <v>0</v>
      </c>
      <c r="AA616" s="50">
        <f>SUMIFS(INDEX(Техника!$F$1:$ABM$500,AA$2,0),Техника!$F$4:$ABM$4,"Часы",INDEX(Техника!$G$1:$ABN$500,AA$2,0),$A$613,INDEX(Техника!$H$1:$ABO$500,AA$2,0),"П")</f>
        <v>0</v>
      </c>
      <c r="AB616" s="50">
        <f>SUMIFS(INDEX(Техника!$F$1:$ABM$500,AB$2,0),Техника!$F$4:$ABM$4,"Часы",INDEX(Техника!$G$1:$ABN$500,AB$2,0),$A$613,INDEX(Техника!$H$1:$ABO$500,AB$2,0),"П")</f>
        <v>0</v>
      </c>
    </row>
    <row r="617" spans="1:28" hidden="1" outlineLevel="1" x14ac:dyDescent="0.3">
      <c r="A617" s="33" t="s">
        <v>243</v>
      </c>
      <c r="B617" s="34" t="s">
        <v>278</v>
      </c>
      <c r="C617" s="50">
        <f>SUMIFS(INDEX(Техника!$F$1:$ABM$500,C$2,0),Техника!$F$4:$ABM$4,"Часы",INDEX(Техника!$G$1:$ABN$500,C$2,0),$A$613,INDEX(Техника!$H$1:$ABO$500,C$2,0),"Л")</f>
        <v>0</v>
      </c>
      <c r="D617" s="50">
        <f>SUMIFS(INDEX(Техника!$F$1:$ABM$500,D$2,0),Техника!$F$4:$ABM$4,"Часы",INDEX(Техника!$G$1:$ABN$500,D$2,0),$A$613,INDEX(Техника!$H$1:$ABO$500,D$2,0),"Л")</f>
        <v>0</v>
      </c>
      <c r="E617" s="50">
        <f>SUMIFS(INDEX(Техника!$F$1:$ABM$500,E$2,0),Техника!$F$4:$ABM$4,"Часы",INDEX(Техника!$G$1:$ABN$500,E$2,0),$A$613,INDEX(Техника!$H$1:$ABO$500,E$2,0),"Л")</f>
        <v>0</v>
      </c>
      <c r="F617" s="50">
        <f>SUMIFS(INDEX(Техника!$F$1:$ABM$500,F$2,0),Техника!$F$4:$ABM$4,"Часы",INDEX(Техника!$G$1:$ABN$500,F$2,0),$A$613,INDEX(Техника!$H$1:$ABO$500,F$2,0),"Л")</f>
        <v>0</v>
      </c>
      <c r="G617" s="50">
        <f>SUMIFS(INDEX(Техника!$F$1:$ABM$500,G$2,0),Техника!$F$4:$ABM$4,"Часы",INDEX(Техника!$G$1:$ABN$500,G$2,0),$A$613,INDEX(Техника!$H$1:$ABO$500,G$2,0),"Л")</f>
        <v>0</v>
      </c>
      <c r="H617" s="50">
        <f>SUMIFS(INDEX(Техника!$F$1:$ABM$500,H$2,0),Техника!$F$4:$ABM$4,"Часы",INDEX(Техника!$G$1:$ABN$500,H$2,0),$A$613,INDEX(Техника!$H$1:$ABO$500,H$2,0),"Л")</f>
        <v>0</v>
      </c>
      <c r="I617" s="50">
        <f>SUMIFS(INDEX(Техника!$F$1:$ABM$500,I$2,0),Техника!$F$4:$ABM$4,"Часы",INDEX(Техника!$G$1:$ABN$500,I$2,0),$A$613,INDEX(Техника!$H$1:$ABO$500,I$2,0),"Л")</f>
        <v>0</v>
      </c>
      <c r="J617" s="50">
        <f>SUMIFS(INDEX(Техника!$F$1:$ABM$500,J$2,0),Техника!$F$4:$ABM$4,"Часы",INDEX(Техника!$G$1:$ABN$500,J$2,0),$A$613,INDEX(Техника!$H$1:$ABO$500,J$2,0),"Л")</f>
        <v>0</v>
      </c>
      <c r="K617" s="50">
        <f>SUMIFS(INDEX(Техника!$F$1:$ABM$500,K$2,0),Техника!$F$4:$ABM$4,"Часы",INDEX(Техника!$G$1:$ABN$500,K$2,0),$A$613,INDEX(Техника!$H$1:$ABO$500,K$2,0),"Л")</f>
        <v>0</v>
      </c>
      <c r="L617" s="50">
        <f>SUMIFS(INDEX(Техника!$F$1:$ABM$500,L$2,0),Техника!$F$4:$ABM$4,"Часы",INDEX(Техника!$G$1:$ABN$500,L$2,0),$A$613,INDEX(Техника!$H$1:$ABO$500,L$2,0),"Л")</f>
        <v>0</v>
      </c>
      <c r="M617" s="50">
        <f>SUMIFS(INDEX(Техника!$F$1:$ABM$500,M$2,0),Техника!$F$4:$ABM$4,"Часы",INDEX(Техника!$G$1:$ABN$500,M$2,0),$A$613,INDEX(Техника!$H$1:$ABO$500,M$2,0),"Л")</f>
        <v>0</v>
      </c>
      <c r="N617" s="50">
        <f>SUMIFS(INDEX(Техника!$F$1:$ABM$500,N$2,0),Техника!$F$4:$ABM$4,"Часы",INDEX(Техника!$G$1:$ABN$500,N$2,0),$A$613,INDEX(Техника!$H$1:$ABO$500,N$2,0),"Л")</f>
        <v>0</v>
      </c>
      <c r="O617" s="50">
        <f>SUMIFS(INDEX(Техника!$F$1:$ABM$500,O$2,0),Техника!$F$4:$ABM$4,"Часы",INDEX(Техника!$G$1:$ABN$500,O$2,0),$A$613,INDEX(Техника!$H$1:$ABO$500,O$2,0),"Л")</f>
        <v>0</v>
      </c>
      <c r="P617" s="50">
        <f>SUMIFS(INDEX(Техника!$F$1:$ABM$500,P$2,0),Техника!$F$4:$ABM$4,"Часы",INDEX(Техника!$G$1:$ABN$500,P$2,0),$A$613,INDEX(Техника!$H$1:$ABO$500,P$2,0),"Л")</f>
        <v>0</v>
      </c>
      <c r="Q617" s="50">
        <f>SUMIFS(INDEX(Техника!$F$1:$ABM$500,Q$2,0),Техника!$F$4:$ABM$4,"Часы",INDEX(Техника!$G$1:$ABN$500,Q$2,0),$A$613,INDEX(Техника!$H$1:$ABO$500,Q$2,0),"Л")</f>
        <v>0</v>
      </c>
      <c r="R617" s="50">
        <f>SUMIFS(INDEX(Техника!$F$1:$ABM$500,R$2,0),Техника!$F$4:$ABM$4,"Часы",INDEX(Техника!$G$1:$ABN$500,R$2,0),$A$613,INDEX(Техника!$H$1:$ABO$500,R$2,0),"Л")</f>
        <v>0</v>
      </c>
      <c r="S617" s="50">
        <f>SUMIFS(INDEX(Техника!$F$1:$ABM$500,S$2,0),Техника!$F$4:$ABM$4,"Часы",INDEX(Техника!$G$1:$ABN$500,S$2,0),$A$613,INDEX(Техника!$H$1:$ABO$500,S$2,0),"Л")</f>
        <v>0</v>
      </c>
      <c r="T617" s="50">
        <f>SUMIFS(INDEX(Техника!$F$1:$ABM$500,T$2,0),Техника!$F$4:$ABM$4,"Часы",INDEX(Техника!$G$1:$ABN$500,T$2,0),$A$613,INDEX(Техника!$H$1:$ABO$500,T$2,0),"Л")</f>
        <v>0</v>
      </c>
      <c r="U617" s="50">
        <f>SUMIFS(INDEX(Техника!$F$1:$ABM$500,U$2,0),Техника!$F$4:$ABM$4,"Часы",INDEX(Техника!$G$1:$ABN$500,U$2,0),$A$613,INDEX(Техника!$H$1:$ABO$500,U$2,0),"Л")</f>
        <v>0</v>
      </c>
      <c r="V617" s="50">
        <f>SUMIFS(INDEX(Техника!$F$1:$ABM$500,V$2,0),Техника!$F$4:$ABM$4,"Часы",INDEX(Техника!$G$1:$ABN$500,V$2,0),$A$613,INDEX(Техника!$H$1:$ABO$500,V$2,0),"Л")</f>
        <v>0</v>
      </c>
      <c r="W617" s="50">
        <f>SUMIFS(INDEX(Техника!$F$1:$ABM$500,W$2,0),Техника!$F$4:$ABM$4,"Часы",INDEX(Техника!$G$1:$ABN$500,W$2,0),$A$613,INDEX(Техника!$H$1:$ABO$500,W$2,0),"Л")</f>
        <v>0</v>
      </c>
      <c r="X617" s="50">
        <f>SUMIFS(INDEX(Техника!$F$1:$ABM$500,X$2,0),Техника!$F$4:$ABM$4,"Часы",INDEX(Техника!$G$1:$ABN$500,X$2,0),$A$613,INDEX(Техника!$H$1:$ABO$500,X$2,0),"Л")</f>
        <v>0</v>
      </c>
      <c r="Y617" s="50">
        <f>SUMIFS(INDEX(Техника!$F$1:$ABM$500,Y$2,0),Техника!$F$4:$ABM$4,"Часы",INDEX(Техника!$G$1:$ABN$500,Y$2,0),$A$613,INDEX(Техника!$H$1:$ABO$500,Y$2,0),"Л")</f>
        <v>0</v>
      </c>
      <c r="Z617" s="50">
        <f>SUMIFS(INDEX(Техника!$F$1:$ABM$500,Z$2,0),Техника!$F$4:$ABM$4,"Часы",INDEX(Техника!$G$1:$ABN$500,Z$2,0),$A$613,INDEX(Техника!$H$1:$ABO$500,Z$2,0),"Л")</f>
        <v>0</v>
      </c>
      <c r="AA617" s="50">
        <f>SUMIFS(INDEX(Техника!$F$1:$ABM$500,AA$2,0),Техника!$F$4:$ABM$4,"Часы",INDEX(Техника!$G$1:$ABN$500,AA$2,0),$A$613,INDEX(Техника!$H$1:$ABO$500,AA$2,0),"Л")</f>
        <v>0</v>
      </c>
      <c r="AB617" s="50">
        <f>SUMIFS(INDEX(Техника!$F$1:$ABM$500,AB$2,0),Техника!$F$4:$ABM$4,"Часы",INDEX(Техника!$G$1:$ABN$500,AB$2,0),$A$613,INDEX(Техника!$H$1:$ABO$500,AB$2,0),"Л")</f>
        <v>0</v>
      </c>
    </row>
    <row r="618" spans="1:28" hidden="1" outlineLevel="1" x14ac:dyDescent="0.3">
      <c r="A618" s="33" t="s">
        <v>245</v>
      </c>
      <c r="B618" s="34" t="s">
        <v>279</v>
      </c>
      <c r="C618" s="50">
        <f>SUMIFS(INDEX(Техника!$F$1:$ABM$500,C$2,0),Техника!$F$4:$ABM$4,"Часы",INDEX(Техника!$G$1:$ABN$500,C$2,0),$A$613,INDEX(Техника!$H$1:$ABO$500,C$2,0),"З")</f>
        <v>0</v>
      </c>
      <c r="D618" s="50">
        <f>SUMIFS(INDEX(Техника!$F$1:$ABM$500,D$2,0),Техника!$F$4:$ABM$4,"Часы",INDEX(Техника!$G$1:$ABN$500,D$2,0),$A$613,INDEX(Техника!$H$1:$ABO$500,D$2,0),"З")</f>
        <v>0</v>
      </c>
      <c r="E618" s="50">
        <f>SUMIFS(INDEX(Техника!$F$1:$ABM$500,E$2,0),Техника!$F$4:$ABM$4,"Часы",INDEX(Техника!$G$1:$ABN$500,E$2,0),$A$613,INDEX(Техника!$H$1:$ABO$500,E$2,0),"З")</f>
        <v>0</v>
      </c>
      <c r="F618" s="50">
        <f>SUMIFS(INDEX(Техника!$F$1:$ABM$500,F$2,0),Техника!$F$4:$ABM$4,"Часы",INDEX(Техника!$G$1:$ABN$500,F$2,0),$A$613,INDEX(Техника!$H$1:$ABO$500,F$2,0),"З")</f>
        <v>0</v>
      </c>
      <c r="G618" s="50">
        <f>SUMIFS(INDEX(Техника!$F$1:$ABM$500,G$2,0),Техника!$F$4:$ABM$4,"Часы",INDEX(Техника!$G$1:$ABN$500,G$2,0),$A$613,INDEX(Техника!$H$1:$ABO$500,G$2,0),"З")</f>
        <v>0</v>
      </c>
      <c r="H618" s="50">
        <f>SUMIFS(INDEX(Техника!$F$1:$ABM$500,H$2,0),Техника!$F$4:$ABM$4,"Часы",INDEX(Техника!$G$1:$ABN$500,H$2,0),$A$613,INDEX(Техника!$H$1:$ABO$500,H$2,0),"З")</f>
        <v>0</v>
      </c>
      <c r="I618" s="50">
        <f>SUMIFS(INDEX(Техника!$F$1:$ABM$500,I$2,0),Техника!$F$4:$ABM$4,"Часы",INDEX(Техника!$G$1:$ABN$500,I$2,0),$A$613,INDEX(Техника!$H$1:$ABO$500,I$2,0),"З")</f>
        <v>0</v>
      </c>
      <c r="J618" s="50">
        <f>SUMIFS(INDEX(Техника!$F$1:$ABM$500,J$2,0),Техника!$F$4:$ABM$4,"Часы",INDEX(Техника!$G$1:$ABN$500,J$2,0),$A$613,INDEX(Техника!$H$1:$ABO$500,J$2,0),"З")</f>
        <v>0</v>
      </c>
      <c r="K618" s="50">
        <f>SUMIFS(INDEX(Техника!$F$1:$ABM$500,K$2,0),Техника!$F$4:$ABM$4,"Часы",INDEX(Техника!$G$1:$ABN$500,K$2,0),$A$613,INDEX(Техника!$H$1:$ABO$500,K$2,0),"З")</f>
        <v>0</v>
      </c>
      <c r="L618" s="50">
        <f>SUMIFS(INDEX(Техника!$F$1:$ABM$500,L$2,0),Техника!$F$4:$ABM$4,"Часы",INDEX(Техника!$G$1:$ABN$500,L$2,0),$A$613,INDEX(Техника!$H$1:$ABO$500,L$2,0),"З")</f>
        <v>0</v>
      </c>
      <c r="M618" s="50">
        <f>SUMIFS(INDEX(Техника!$F$1:$ABM$500,M$2,0),Техника!$F$4:$ABM$4,"Часы",INDEX(Техника!$G$1:$ABN$500,M$2,0),$A$613,INDEX(Техника!$H$1:$ABO$500,M$2,0),"З")</f>
        <v>0</v>
      </c>
      <c r="N618" s="50">
        <f>SUMIFS(INDEX(Техника!$F$1:$ABM$500,N$2,0),Техника!$F$4:$ABM$4,"Часы",INDEX(Техника!$G$1:$ABN$500,N$2,0),$A$613,INDEX(Техника!$H$1:$ABO$500,N$2,0),"З")</f>
        <v>0</v>
      </c>
      <c r="O618" s="50">
        <f>SUMIFS(INDEX(Техника!$F$1:$ABM$500,O$2,0),Техника!$F$4:$ABM$4,"Часы",INDEX(Техника!$G$1:$ABN$500,O$2,0),$A$613,INDEX(Техника!$H$1:$ABO$500,O$2,0),"З")</f>
        <v>0</v>
      </c>
      <c r="P618" s="50">
        <f>SUMIFS(INDEX(Техника!$F$1:$ABM$500,P$2,0),Техника!$F$4:$ABM$4,"Часы",INDEX(Техника!$G$1:$ABN$500,P$2,0),$A$613,INDEX(Техника!$H$1:$ABO$500,P$2,0),"З")</f>
        <v>0</v>
      </c>
      <c r="Q618" s="50">
        <f>SUMIFS(INDEX(Техника!$F$1:$ABM$500,Q$2,0),Техника!$F$4:$ABM$4,"Часы",INDEX(Техника!$G$1:$ABN$500,Q$2,0),$A$613,INDEX(Техника!$H$1:$ABO$500,Q$2,0),"З")</f>
        <v>0</v>
      </c>
      <c r="R618" s="50">
        <f>SUMIFS(INDEX(Техника!$F$1:$ABM$500,R$2,0),Техника!$F$4:$ABM$4,"Часы",INDEX(Техника!$G$1:$ABN$500,R$2,0),$A$613,INDEX(Техника!$H$1:$ABO$500,R$2,0),"З")</f>
        <v>0</v>
      </c>
      <c r="S618" s="50">
        <f>SUMIFS(INDEX(Техника!$F$1:$ABM$500,S$2,0),Техника!$F$4:$ABM$4,"Часы",INDEX(Техника!$G$1:$ABN$500,S$2,0),$A$613,INDEX(Техника!$H$1:$ABO$500,S$2,0),"З")</f>
        <v>0</v>
      </c>
      <c r="T618" s="50">
        <f>SUMIFS(INDEX(Техника!$F$1:$ABM$500,T$2,0),Техника!$F$4:$ABM$4,"Часы",INDEX(Техника!$G$1:$ABN$500,T$2,0),$A$613,INDEX(Техника!$H$1:$ABO$500,T$2,0),"З")</f>
        <v>0</v>
      </c>
      <c r="U618" s="50">
        <f>SUMIFS(INDEX(Техника!$F$1:$ABM$500,U$2,0),Техника!$F$4:$ABM$4,"Часы",INDEX(Техника!$G$1:$ABN$500,U$2,0),$A$613,INDEX(Техника!$H$1:$ABO$500,U$2,0),"З")</f>
        <v>0</v>
      </c>
      <c r="V618" s="50">
        <f>SUMIFS(INDEX(Техника!$F$1:$ABM$500,V$2,0),Техника!$F$4:$ABM$4,"Часы",INDEX(Техника!$G$1:$ABN$500,V$2,0),$A$613,INDEX(Техника!$H$1:$ABO$500,V$2,0),"З")</f>
        <v>0</v>
      </c>
      <c r="W618" s="50">
        <f>SUMIFS(INDEX(Техника!$F$1:$ABM$500,W$2,0),Техника!$F$4:$ABM$4,"Часы",INDEX(Техника!$G$1:$ABN$500,W$2,0),$A$613,INDEX(Техника!$H$1:$ABO$500,W$2,0),"З")</f>
        <v>0</v>
      </c>
      <c r="X618" s="50">
        <f>SUMIFS(INDEX(Техника!$F$1:$ABM$500,X$2,0),Техника!$F$4:$ABM$4,"Часы",INDEX(Техника!$G$1:$ABN$500,X$2,0),$A$613,INDEX(Техника!$H$1:$ABO$500,X$2,0),"З")</f>
        <v>0</v>
      </c>
      <c r="Y618" s="50">
        <f>SUMIFS(INDEX(Техника!$F$1:$ABM$500,Y$2,0),Техника!$F$4:$ABM$4,"Часы",INDEX(Техника!$G$1:$ABN$500,Y$2,0),$A$613,INDEX(Техника!$H$1:$ABO$500,Y$2,0),"З")</f>
        <v>0</v>
      </c>
      <c r="Z618" s="50">
        <f>SUMIFS(INDEX(Техника!$F$1:$ABM$500,Z$2,0),Техника!$F$4:$ABM$4,"Часы",INDEX(Техника!$G$1:$ABN$500,Z$2,0),$A$613,INDEX(Техника!$H$1:$ABO$500,Z$2,0),"З")</f>
        <v>0</v>
      </c>
      <c r="AA618" s="50">
        <f>SUMIFS(INDEX(Техника!$F$1:$ABM$500,AA$2,0),Техника!$F$4:$ABM$4,"Часы",INDEX(Техника!$G$1:$ABN$500,AA$2,0),$A$613,INDEX(Техника!$H$1:$ABO$500,AA$2,0),"З")</f>
        <v>0</v>
      </c>
      <c r="AB618" s="50">
        <f>SUMIFS(INDEX(Техника!$F$1:$ABM$500,AB$2,0),Техника!$F$4:$ABM$4,"Часы",INDEX(Техника!$G$1:$ABN$500,AB$2,0),$A$613,INDEX(Техника!$H$1:$ABO$500,AB$2,0),"З")</f>
        <v>0</v>
      </c>
    </row>
    <row r="619" spans="1:28" ht="7.95" customHeight="1" x14ac:dyDescent="0.3">
      <c r="A619" s="38"/>
      <c r="B619" s="39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</row>
    <row r="620" spans="1:28" ht="25.05" customHeight="1" collapsed="1" x14ac:dyDescent="0.3">
      <c r="A620" s="32">
        <v>89</v>
      </c>
      <c r="B620" s="32" t="s">
        <v>90</v>
      </c>
      <c r="C620" s="49">
        <f>SUM(C621:C625)</f>
        <v>0</v>
      </c>
      <c r="D620" s="49">
        <f>SUM(D621:D625)</f>
        <v>0</v>
      </c>
      <c r="E620" s="49">
        <f>SUM(E621:E625)</f>
        <v>0</v>
      </c>
      <c r="F620" s="49">
        <f>SUM(F621:F625)</f>
        <v>0</v>
      </c>
      <c r="G620" s="49">
        <f>SUM(G621:G625)</f>
        <v>0</v>
      </c>
      <c r="H620" s="49">
        <f>SUM(H621:H625)</f>
        <v>0</v>
      </c>
      <c r="I620" s="49">
        <f>SUM(I621:I625)</f>
        <v>0</v>
      </c>
      <c r="J620" s="49">
        <f>SUM(J621:J625)</f>
        <v>0</v>
      </c>
      <c r="K620" s="49">
        <f>SUM(K621:K625)</f>
        <v>0</v>
      </c>
      <c r="L620" s="49">
        <f>SUM(L621:L625)</f>
        <v>0</v>
      </c>
      <c r="M620" s="49">
        <f>SUM(M621:M625)</f>
        <v>0</v>
      </c>
      <c r="N620" s="49">
        <f>SUM(N621:N625)</f>
        <v>0</v>
      </c>
      <c r="O620" s="49">
        <f>SUM(O621:O625)</f>
        <v>0</v>
      </c>
      <c r="P620" s="49">
        <f>SUM(P621:P625)</f>
        <v>0</v>
      </c>
      <c r="Q620" s="49">
        <f>SUM(Q621:Q625)</f>
        <v>0</v>
      </c>
      <c r="R620" s="49">
        <f>SUM(R621:R625)</f>
        <v>0</v>
      </c>
      <c r="S620" s="49">
        <f>SUM(S621:S625)</f>
        <v>0</v>
      </c>
      <c r="T620" s="49">
        <f>SUM(T621:T625)</f>
        <v>0</v>
      </c>
      <c r="U620" s="49">
        <f>SUM(U621:U625)</f>
        <v>0</v>
      </c>
      <c r="V620" s="49">
        <f>SUM(V621:V625)</f>
        <v>0</v>
      </c>
      <c r="W620" s="49">
        <f>SUM(W621:W625)</f>
        <v>0</v>
      </c>
      <c r="X620" s="49">
        <f>SUM(X621:X625)</f>
        <v>0</v>
      </c>
      <c r="Y620" s="49">
        <f>SUM(Y621:Y625)</f>
        <v>0</v>
      </c>
      <c r="Z620" s="49">
        <f>SUM(Z621:Z625)</f>
        <v>0</v>
      </c>
      <c r="AA620" s="49">
        <f>SUM(AA621:AA625)</f>
        <v>0</v>
      </c>
      <c r="AB620" s="49">
        <f>SUM(AB621:AB625)</f>
        <v>0</v>
      </c>
    </row>
    <row r="621" spans="1:28" hidden="1" outlineLevel="1" x14ac:dyDescent="0.3">
      <c r="A621" s="33" t="s">
        <v>246</v>
      </c>
      <c r="B621" s="34" t="s">
        <v>274</v>
      </c>
      <c r="C621" s="50">
        <f>SUMIFS(INDEX(Техника!$F$1:$ABM$500,C$2,0),Техника!$F$4:$ABM$4,"Часы",INDEX(Техника!$G$1:$ABN$500,C$2,0),$A$620,INDEX(Техника!$H$1:$ABO$500,C$2,0),"М")</f>
        <v>0</v>
      </c>
      <c r="D621" s="50">
        <f>SUMIFS(INDEX(Техника!$F$1:$ABM$500,D$2,0),Техника!$F$4:$ABM$4,"Часы",INDEX(Техника!$G$1:$ABN$500,D$2,0),$A$620,INDEX(Техника!$H$1:$ABO$500,D$2,0),"М")</f>
        <v>0</v>
      </c>
      <c r="E621" s="50">
        <f>SUMIFS(INDEX(Техника!$F$1:$ABM$500,E$2,0),Техника!$F$4:$ABM$4,"Часы",INDEX(Техника!$G$1:$ABN$500,E$2,0),$A$620,INDEX(Техника!$H$1:$ABO$500,E$2,0),"М")</f>
        <v>0</v>
      </c>
      <c r="F621" s="50">
        <f>SUMIFS(INDEX(Техника!$F$1:$ABM$500,F$2,0),Техника!$F$4:$ABM$4,"Часы",INDEX(Техника!$G$1:$ABN$500,F$2,0),$A$620,INDEX(Техника!$H$1:$ABO$500,F$2,0),"М")</f>
        <v>0</v>
      </c>
      <c r="G621" s="50">
        <f>SUMIFS(INDEX(Техника!$F$1:$ABM$500,G$2,0),Техника!$F$4:$ABM$4,"Часы",INDEX(Техника!$G$1:$ABN$500,G$2,0),$A$620,INDEX(Техника!$H$1:$ABO$500,G$2,0),"М")</f>
        <v>0</v>
      </c>
      <c r="H621" s="50">
        <f>SUMIFS(INDEX(Техника!$F$1:$ABM$500,H$2,0),Техника!$F$4:$ABM$4,"Часы",INDEX(Техника!$G$1:$ABN$500,H$2,0),$A$620,INDEX(Техника!$H$1:$ABO$500,H$2,0),"М")</f>
        <v>0</v>
      </c>
      <c r="I621" s="50">
        <f>SUMIFS(INDEX(Техника!$F$1:$ABM$500,I$2,0),Техника!$F$4:$ABM$4,"Часы",INDEX(Техника!$G$1:$ABN$500,I$2,0),$A$620,INDEX(Техника!$H$1:$ABO$500,I$2,0),"М")</f>
        <v>0</v>
      </c>
      <c r="J621" s="50">
        <f>SUMIFS(INDEX(Техника!$F$1:$ABM$500,J$2,0),Техника!$F$4:$ABM$4,"Часы",INDEX(Техника!$G$1:$ABN$500,J$2,0),$A$620,INDEX(Техника!$H$1:$ABO$500,J$2,0),"М")</f>
        <v>0</v>
      </c>
      <c r="K621" s="50">
        <f>SUMIFS(INDEX(Техника!$F$1:$ABM$500,K$2,0),Техника!$F$4:$ABM$4,"Часы",INDEX(Техника!$G$1:$ABN$500,K$2,0),$A$620,INDEX(Техника!$H$1:$ABO$500,K$2,0),"М")</f>
        <v>0</v>
      </c>
      <c r="L621" s="50">
        <f>SUMIFS(INDEX(Техника!$F$1:$ABM$500,L$2,0),Техника!$F$4:$ABM$4,"Часы",INDEX(Техника!$G$1:$ABN$500,L$2,0),$A$620,INDEX(Техника!$H$1:$ABO$500,L$2,0),"М")</f>
        <v>0</v>
      </c>
      <c r="M621" s="50">
        <f>SUMIFS(INDEX(Техника!$F$1:$ABM$500,M$2,0),Техника!$F$4:$ABM$4,"Часы",INDEX(Техника!$G$1:$ABN$500,M$2,0),$A$620,INDEX(Техника!$H$1:$ABO$500,M$2,0),"М")</f>
        <v>0</v>
      </c>
      <c r="N621" s="50">
        <f>SUMIFS(INDEX(Техника!$F$1:$ABM$500,N$2,0),Техника!$F$4:$ABM$4,"Часы",INDEX(Техника!$G$1:$ABN$500,N$2,0),$A$620,INDEX(Техника!$H$1:$ABO$500,N$2,0),"М")</f>
        <v>0</v>
      </c>
      <c r="O621" s="50">
        <f>SUMIFS(INDEX(Техника!$F$1:$ABM$500,O$2,0),Техника!$F$4:$ABM$4,"Часы",INDEX(Техника!$G$1:$ABN$500,O$2,0),$A$620,INDEX(Техника!$H$1:$ABO$500,O$2,0),"М")</f>
        <v>0</v>
      </c>
      <c r="P621" s="50">
        <f>SUMIFS(INDEX(Техника!$F$1:$ABM$500,P$2,0),Техника!$F$4:$ABM$4,"Часы",INDEX(Техника!$G$1:$ABN$500,P$2,0),$A$620,INDEX(Техника!$H$1:$ABO$500,P$2,0),"М")</f>
        <v>0</v>
      </c>
      <c r="Q621" s="50">
        <f>SUMIFS(INDEX(Техника!$F$1:$ABM$500,Q$2,0),Техника!$F$4:$ABM$4,"Часы",INDEX(Техника!$G$1:$ABN$500,Q$2,0),$A$620,INDEX(Техника!$H$1:$ABO$500,Q$2,0),"М")</f>
        <v>0</v>
      </c>
      <c r="R621" s="50">
        <f>SUMIFS(INDEX(Техника!$F$1:$ABM$500,R$2,0),Техника!$F$4:$ABM$4,"Часы",INDEX(Техника!$G$1:$ABN$500,R$2,0),$A$620,INDEX(Техника!$H$1:$ABO$500,R$2,0),"М")</f>
        <v>0</v>
      </c>
      <c r="S621" s="50">
        <f>SUMIFS(INDEX(Техника!$F$1:$ABM$500,S$2,0),Техника!$F$4:$ABM$4,"Часы",INDEX(Техника!$G$1:$ABN$500,S$2,0),$A$620,INDEX(Техника!$H$1:$ABO$500,S$2,0),"М")</f>
        <v>0</v>
      </c>
      <c r="T621" s="50">
        <f>SUMIFS(INDEX(Техника!$F$1:$ABM$500,T$2,0),Техника!$F$4:$ABM$4,"Часы",INDEX(Техника!$G$1:$ABN$500,T$2,0),$A$620,INDEX(Техника!$H$1:$ABO$500,T$2,0),"М")</f>
        <v>0</v>
      </c>
      <c r="U621" s="50">
        <f>SUMIFS(INDEX(Техника!$F$1:$ABM$500,U$2,0),Техника!$F$4:$ABM$4,"Часы",INDEX(Техника!$G$1:$ABN$500,U$2,0),$A$620,INDEX(Техника!$H$1:$ABO$500,U$2,0),"М")</f>
        <v>0</v>
      </c>
      <c r="V621" s="50">
        <f>SUMIFS(INDEX(Техника!$F$1:$ABM$500,V$2,0),Техника!$F$4:$ABM$4,"Часы",INDEX(Техника!$G$1:$ABN$500,V$2,0),$A$620,INDEX(Техника!$H$1:$ABO$500,V$2,0),"М")</f>
        <v>0</v>
      </c>
      <c r="W621" s="50">
        <f>SUMIFS(INDEX(Техника!$F$1:$ABM$500,W$2,0),Техника!$F$4:$ABM$4,"Часы",INDEX(Техника!$G$1:$ABN$500,W$2,0),$A$620,INDEX(Техника!$H$1:$ABO$500,W$2,0),"М")</f>
        <v>0</v>
      </c>
      <c r="X621" s="50">
        <f>SUMIFS(INDEX(Техника!$F$1:$ABM$500,X$2,0),Техника!$F$4:$ABM$4,"Часы",INDEX(Техника!$G$1:$ABN$500,X$2,0),$A$620,INDEX(Техника!$H$1:$ABO$500,X$2,0),"М")</f>
        <v>0</v>
      </c>
      <c r="Y621" s="50">
        <f>SUMIFS(INDEX(Техника!$F$1:$ABM$500,Y$2,0),Техника!$F$4:$ABM$4,"Часы",INDEX(Техника!$G$1:$ABN$500,Y$2,0),$A$620,INDEX(Техника!$H$1:$ABO$500,Y$2,0),"М")</f>
        <v>0</v>
      </c>
      <c r="Z621" s="50">
        <f>SUMIFS(INDEX(Техника!$F$1:$ABM$500,Z$2,0),Техника!$F$4:$ABM$4,"Часы",INDEX(Техника!$G$1:$ABN$500,Z$2,0),$A$620,INDEX(Техника!$H$1:$ABO$500,Z$2,0),"М")</f>
        <v>0</v>
      </c>
      <c r="AA621" s="50">
        <f>SUMIFS(INDEX(Техника!$F$1:$ABM$500,AA$2,0),Техника!$F$4:$ABM$4,"Часы",INDEX(Техника!$G$1:$ABN$500,AA$2,0),$A$620,INDEX(Техника!$H$1:$ABO$500,AA$2,0),"М")</f>
        <v>0</v>
      </c>
      <c r="AB621" s="50">
        <f>SUMIFS(INDEX(Техника!$F$1:$ABM$500,AB$2,0),Техника!$F$4:$ABM$4,"Часы",INDEX(Техника!$G$1:$ABN$500,AB$2,0),$A$620,INDEX(Техника!$H$1:$ABO$500,AB$2,0),"М")</f>
        <v>0</v>
      </c>
    </row>
    <row r="622" spans="1:28" hidden="1" outlineLevel="1" x14ac:dyDescent="0.3">
      <c r="A622" s="33" t="s">
        <v>244</v>
      </c>
      <c r="B622" s="34" t="s">
        <v>275</v>
      </c>
      <c r="C622" s="50">
        <f>SUMIFS(INDEX(Техника!$F$1:$ABM$500,C$2,0),Техника!$F$4:$ABM$4,"Часы",INDEX(Техника!$G$1:$ABN$500,C$2,0),$A$620,INDEX(Техника!$H$1:$ABO$500,C$2,0),"Д")</f>
        <v>0</v>
      </c>
      <c r="D622" s="50">
        <f>SUMIFS(INDEX(Техника!$F$1:$ABM$500,D$2,0),Техника!$F$4:$ABM$4,"Часы",INDEX(Техника!$G$1:$ABN$500,D$2,0),$A$620,INDEX(Техника!$H$1:$ABO$500,D$2,0),"Д")</f>
        <v>0</v>
      </c>
      <c r="E622" s="50">
        <f>SUMIFS(INDEX(Техника!$F$1:$ABM$500,E$2,0),Техника!$F$4:$ABM$4,"Часы",INDEX(Техника!$G$1:$ABN$500,E$2,0),$A$620,INDEX(Техника!$H$1:$ABO$500,E$2,0),"Д")</f>
        <v>0</v>
      </c>
      <c r="F622" s="50">
        <f>SUMIFS(INDEX(Техника!$F$1:$ABM$500,F$2,0),Техника!$F$4:$ABM$4,"Часы",INDEX(Техника!$G$1:$ABN$500,F$2,0),$A$620,INDEX(Техника!$H$1:$ABO$500,F$2,0),"Д")</f>
        <v>0</v>
      </c>
      <c r="G622" s="50">
        <f>SUMIFS(INDEX(Техника!$F$1:$ABM$500,G$2,0),Техника!$F$4:$ABM$4,"Часы",INDEX(Техника!$G$1:$ABN$500,G$2,0),$A$620,INDEX(Техника!$H$1:$ABO$500,G$2,0),"Д")</f>
        <v>0</v>
      </c>
      <c r="H622" s="50">
        <f>SUMIFS(INDEX(Техника!$F$1:$ABM$500,H$2,0),Техника!$F$4:$ABM$4,"Часы",INDEX(Техника!$G$1:$ABN$500,H$2,0),$A$620,INDEX(Техника!$H$1:$ABO$500,H$2,0),"Д")</f>
        <v>0</v>
      </c>
      <c r="I622" s="50">
        <f>SUMIFS(INDEX(Техника!$F$1:$ABM$500,I$2,0),Техника!$F$4:$ABM$4,"Часы",INDEX(Техника!$G$1:$ABN$500,I$2,0),$A$620,INDEX(Техника!$H$1:$ABO$500,I$2,0),"Д")</f>
        <v>0</v>
      </c>
      <c r="J622" s="50">
        <f>SUMIFS(INDEX(Техника!$F$1:$ABM$500,J$2,0),Техника!$F$4:$ABM$4,"Часы",INDEX(Техника!$G$1:$ABN$500,J$2,0),$A$620,INDEX(Техника!$H$1:$ABO$500,J$2,0),"Д")</f>
        <v>0</v>
      </c>
      <c r="K622" s="50">
        <f>SUMIFS(INDEX(Техника!$F$1:$ABM$500,K$2,0),Техника!$F$4:$ABM$4,"Часы",INDEX(Техника!$G$1:$ABN$500,K$2,0),$A$620,INDEX(Техника!$H$1:$ABO$500,K$2,0),"Д")</f>
        <v>0</v>
      </c>
      <c r="L622" s="50">
        <f>SUMIFS(INDEX(Техника!$F$1:$ABM$500,L$2,0),Техника!$F$4:$ABM$4,"Часы",INDEX(Техника!$G$1:$ABN$500,L$2,0),$A$620,INDEX(Техника!$H$1:$ABO$500,L$2,0),"Д")</f>
        <v>0</v>
      </c>
      <c r="M622" s="50">
        <f>SUMIFS(INDEX(Техника!$F$1:$ABM$500,M$2,0),Техника!$F$4:$ABM$4,"Часы",INDEX(Техника!$G$1:$ABN$500,M$2,0),$A$620,INDEX(Техника!$H$1:$ABO$500,M$2,0),"Д")</f>
        <v>0</v>
      </c>
      <c r="N622" s="50">
        <f>SUMIFS(INDEX(Техника!$F$1:$ABM$500,N$2,0),Техника!$F$4:$ABM$4,"Часы",INDEX(Техника!$G$1:$ABN$500,N$2,0),$A$620,INDEX(Техника!$H$1:$ABO$500,N$2,0),"Д")</f>
        <v>0</v>
      </c>
      <c r="O622" s="50">
        <f>SUMIFS(INDEX(Техника!$F$1:$ABM$500,O$2,0),Техника!$F$4:$ABM$4,"Часы",INDEX(Техника!$G$1:$ABN$500,O$2,0),$A$620,INDEX(Техника!$H$1:$ABO$500,O$2,0),"Д")</f>
        <v>0</v>
      </c>
      <c r="P622" s="50">
        <f>SUMIFS(INDEX(Техника!$F$1:$ABM$500,P$2,0),Техника!$F$4:$ABM$4,"Часы",INDEX(Техника!$G$1:$ABN$500,P$2,0),$A$620,INDEX(Техника!$H$1:$ABO$500,P$2,0),"Д")</f>
        <v>0</v>
      </c>
      <c r="Q622" s="50">
        <f>SUMIFS(INDEX(Техника!$F$1:$ABM$500,Q$2,0),Техника!$F$4:$ABM$4,"Часы",INDEX(Техника!$G$1:$ABN$500,Q$2,0),$A$620,INDEX(Техника!$H$1:$ABO$500,Q$2,0),"Д")</f>
        <v>0</v>
      </c>
      <c r="R622" s="50">
        <f>SUMIFS(INDEX(Техника!$F$1:$ABM$500,R$2,0),Техника!$F$4:$ABM$4,"Часы",INDEX(Техника!$G$1:$ABN$500,R$2,0),$A$620,INDEX(Техника!$H$1:$ABO$500,R$2,0),"Д")</f>
        <v>0</v>
      </c>
      <c r="S622" s="50">
        <f>SUMIFS(INDEX(Техника!$F$1:$ABM$500,S$2,0),Техника!$F$4:$ABM$4,"Часы",INDEX(Техника!$G$1:$ABN$500,S$2,0),$A$620,INDEX(Техника!$H$1:$ABO$500,S$2,0),"Д")</f>
        <v>0</v>
      </c>
      <c r="T622" s="50">
        <f>SUMIFS(INDEX(Техника!$F$1:$ABM$500,T$2,0),Техника!$F$4:$ABM$4,"Часы",INDEX(Техника!$G$1:$ABN$500,T$2,0),$A$620,INDEX(Техника!$H$1:$ABO$500,T$2,0),"Д")</f>
        <v>0</v>
      </c>
      <c r="U622" s="50">
        <f>SUMIFS(INDEX(Техника!$F$1:$ABM$500,U$2,0),Техника!$F$4:$ABM$4,"Часы",INDEX(Техника!$G$1:$ABN$500,U$2,0),$A$620,INDEX(Техника!$H$1:$ABO$500,U$2,0),"Д")</f>
        <v>0</v>
      </c>
      <c r="V622" s="50">
        <f>SUMIFS(INDEX(Техника!$F$1:$ABM$500,V$2,0),Техника!$F$4:$ABM$4,"Часы",INDEX(Техника!$G$1:$ABN$500,V$2,0),$A$620,INDEX(Техника!$H$1:$ABO$500,V$2,0),"Д")</f>
        <v>0</v>
      </c>
      <c r="W622" s="50">
        <f>SUMIFS(INDEX(Техника!$F$1:$ABM$500,W$2,0),Техника!$F$4:$ABM$4,"Часы",INDEX(Техника!$G$1:$ABN$500,W$2,0),$A$620,INDEX(Техника!$H$1:$ABO$500,W$2,0),"Д")</f>
        <v>0</v>
      </c>
      <c r="X622" s="50">
        <f>SUMIFS(INDEX(Техника!$F$1:$ABM$500,X$2,0),Техника!$F$4:$ABM$4,"Часы",INDEX(Техника!$G$1:$ABN$500,X$2,0),$A$620,INDEX(Техника!$H$1:$ABO$500,X$2,0),"Д")</f>
        <v>0</v>
      </c>
      <c r="Y622" s="50">
        <f>SUMIFS(INDEX(Техника!$F$1:$ABM$500,Y$2,0),Техника!$F$4:$ABM$4,"Часы",INDEX(Техника!$G$1:$ABN$500,Y$2,0),$A$620,INDEX(Техника!$H$1:$ABO$500,Y$2,0),"Д")</f>
        <v>0</v>
      </c>
      <c r="Z622" s="50">
        <f>SUMIFS(INDEX(Техника!$F$1:$ABM$500,Z$2,0),Техника!$F$4:$ABM$4,"Часы",INDEX(Техника!$G$1:$ABN$500,Z$2,0),$A$620,INDEX(Техника!$H$1:$ABO$500,Z$2,0),"Д")</f>
        <v>0</v>
      </c>
      <c r="AA622" s="50">
        <f>SUMIFS(INDEX(Техника!$F$1:$ABM$500,AA$2,0),Техника!$F$4:$ABM$4,"Часы",INDEX(Техника!$G$1:$ABN$500,AA$2,0),$A$620,INDEX(Техника!$H$1:$ABO$500,AA$2,0),"Д")</f>
        <v>0</v>
      </c>
      <c r="AB622" s="50">
        <f>SUMIFS(INDEX(Техника!$F$1:$ABM$500,AB$2,0),Техника!$F$4:$ABM$4,"Часы",INDEX(Техника!$G$1:$ABN$500,AB$2,0),$A$620,INDEX(Техника!$H$1:$ABO$500,AB$2,0),"Д")</f>
        <v>0</v>
      </c>
    </row>
    <row r="623" spans="1:28" hidden="1" outlineLevel="1" x14ac:dyDescent="0.3">
      <c r="A623" s="33" t="s">
        <v>276</v>
      </c>
      <c r="B623" s="34" t="s">
        <v>277</v>
      </c>
      <c r="C623" s="50">
        <f>SUMIFS(INDEX(Техника!$F$1:$ABM$500,C$2,0),Техника!$F$4:$ABM$4,"Часы",INDEX(Техника!$G$1:$ABN$500,C$2,0),$A$620,INDEX(Техника!$H$1:$ABO$500,C$2,0),"П")</f>
        <v>0</v>
      </c>
      <c r="D623" s="50">
        <f>SUMIFS(INDEX(Техника!$F$1:$ABM$500,D$2,0),Техника!$F$4:$ABM$4,"Часы",INDEX(Техника!$G$1:$ABN$500,D$2,0),$A$620,INDEX(Техника!$H$1:$ABO$500,D$2,0),"П")</f>
        <v>0</v>
      </c>
      <c r="E623" s="50">
        <f>SUMIFS(INDEX(Техника!$F$1:$ABM$500,E$2,0),Техника!$F$4:$ABM$4,"Часы",INDEX(Техника!$G$1:$ABN$500,E$2,0),$A$620,INDEX(Техника!$H$1:$ABO$500,E$2,0),"П")</f>
        <v>0</v>
      </c>
      <c r="F623" s="50">
        <f>SUMIFS(INDEX(Техника!$F$1:$ABM$500,F$2,0),Техника!$F$4:$ABM$4,"Часы",INDEX(Техника!$G$1:$ABN$500,F$2,0),$A$620,INDEX(Техника!$H$1:$ABO$500,F$2,0),"П")</f>
        <v>0</v>
      </c>
      <c r="G623" s="50">
        <f>SUMIFS(INDEX(Техника!$F$1:$ABM$500,G$2,0),Техника!$F$4:$ABM$4,"Часы",INDEX(Техника!$G$1:$ABN$500,G$2,0),$A$620,INDEX(Техника!$H$1:$ABO$500,G$2,0),"П")</f>
        <v>0</v>
      </c>
      <c r="H623" s="50">
        <f>SUMIFS(INDEX(Техника!$F$1:$ABM$500,H$2,0),Техника!$F$4:$ABM$4,"Часы",INDEX(Техника!$G$1:$ABN$500,H$2,0),$A$620,INDEX(Техника!$H$1:$ABO$500,H$2,0),"П")</f>
        <v>0</v>
      </c>
      <c r="I623" s="50">
        <f>SUMIFS(INDEX(Техника!$F$1:$ABM$500,I$2,0),Техника!$F$4:$ABM$4,"Часы",INDEX(Техника!$G$1:$ABN$500,I$2,0),$A$620,INDEX(Техника!$H$1:$ABO$500,I$2,0),"П")</f>
        <v>0</v>
      </c>
      <c r="J623" s="50">
        <f>SUMIFS(INDEX(Техника!$F$1:$ABM$500,J$2,0),Техника!$F$4:$ABM$4,"Часы",INDEX(Техника!$G$1:$ABN$500,J$2,0),$A$620,INDEX(Техника!$H$1:$ABO$500,J$2,0),"П")</f>
        <v>0</v>
      </c>
      <c r="K623" s="50">
        <f>SUMIFS(INDEX(Техника!$F$1:$ABM$500,K$2,0),Техника!$F$4:$ABM$4,"Часы",INDEX(Техника!$G$1:$ABN$500,K$2,0),$A$620,INDEX(Техника!$H$1:$ABO$500,K$2,0),"П")</f>
        <v>0</v>
      </c>
      <c r="L623" s="50">
        <f>SUMIFS(INDEX(Техника!$F$1:$ABM$500,L$2,0),Техника!$F$4:$ABM$4,"Часы",INDEX(Техника!$G$1:$ABN$500,L$2,0),$A$620,INDEX(Техника!$H$1:$ABO$500,L$2,0),"П")</f>
        <v>0</v>
      </c>
      <c r="M623" s="50">
        <f>SUMIFS(INDEX(Техника!$F$1:$ABM$500,M$2,0),Техника!$F$4:$ABM$4,"Часы",INDEX(Техника!$G$1:$ABN$500,M$2,0),$A$620,INDEX(Техника!$H$1:$ABO$500,M$2,0),"П")</f>
        <v>0</v>
      </c>
      <c r="N623" s="50">
        <f>SUMIFS(INDEX(Техника!$F$1:$ABM$500,N$2,0),Техника!$F$4:$ABM$4,"Часы",INDEX(Техника!$G$1:$ABN$500,N$2,0),$A$620,INDEX(Техника!$H$1:$ABO$500,N$2,0),"П")</f>
        <v>0</v>
      </c>
      <c r="O623" s="50">
        <f>SUMIFS(INDEX(Техника!$F$1:$ABM$500,O$2,0),Техника!$F$4:$ABM$4,"Часы",INDEX(Техника!$G$1:$ABN$500,O$2,0),$A$620,INDEX(Техника!$H$1:$ABO$500,O$2,0),"П")</f>
        <v>0</v>
      </c>
      <c r="P623" s="50">
        <f>SUMIFS(INDEX(Техника!$F$1:$ABM$500,P$2,0),Техника!$F$4:$ABM$4,"Часы",INDEX(Техника!$G$1:$ABN$500,P$2,0),$A$620,INDEX(Техника!$H$1:$ABO$500,P$2,0),"П")</f>
        <v>0</v>
      </c>
      <c r="Q623" s="50">
        <f>SUMIFS(INDEX(Техника!$F$1:$ABM$500,Q$2,0),Техника!$F$4:$ABM$4,"Часы",INDEX(Техника!$G$1:$ABN$500,Q$2,0),$A$620,INDEX(Техника!$H$1:$ABO$500,Q$2,0),"П")</f>
        <v>0</v>
      </c>
      <c r="R623" s="50">
        <f>SUMIFS(INDEX(Техника!$F$1:$ABM$500,R$2,0),Техника!$F$4:$ABM$4,"Часы",INDEX(Техника!$G$1:$ABN$500,R$2,0),$A$620,INDEX(Техника!$H$1:$ABO$500,R$2,0),"П")</f>
        <v>0</v>
      </c>
      <c r="S623" s="50">
        <f>SUMIFS(INDEX(Техника!$F$1:$ABM$500,S$2,0),Техника!$F$4:$ABM$4,"Часы",INDEX(Техника!$G$1:$ABN$500,S$2,0),$A$620,INDEX(Техника!$H$1:$ABO$500,S$2,0),"П")</f>
        <v>0</v>
      </c>
      <c r="T623" s="50">
        <f>SUMIFS(INDEX(Техника!$F$1:$ABM$500,T$2,0),Техника!$F$4:$ABM$4,"Часы",INDEX(Техника!$G$1:$ABN$500,T$2,0),$A$620,INDEX(Техника!$H$1:$ABO$500,T$2,0),"П")</f>
        <v>0</v>
      </c>
      <c r="U623" s="50">
        <f>SUMIFS(INDEX(Техника!$F$1:$ABM$500,U$2,0),Техника!$F$4:$ABM$4,"Часы",INDEX(Техника!$G$1:$ABN$500,U$2,0),$A$620,INDEX(Техника!$H$1:$ABO$500,U$2,0),"П")</f>
        <v>0</v>
      </c>
      <c r="V623" s="50">
        <f>SUMIFS(INDEX(Техника!$F$1:$ABM$500,V$2,0),Техника!$F$4:$ABM$4,"Часы",INDEX(Техника!$G$1:$ABN$500,V$2,0),$A$620,INDEX(Техника!$H$1:$ABO$500,V$2,0),"П")</f>
        <v>0</v>
      </c>
      <c r="W623" s="50">
        <f>SUMIFS(INDEX(Техника!$F$1:$ABM$500,W$2,0),Техника!$F$4:$ABM$4,"Часы",INDEX(Техника!$G$1:$ABN$500,W$2,0),$A$620,INDEX(Техника!$H$1:$ABO$500,W$2,0),"П")</f>
        <v>0</v>
      </c>
      <c r="X623" s="50">
        <f>SUMIFS(INDEX(Техника!$F$1:$ABM$500,X$2,0),Техника!$F$4:$ABM$4,"Часы",INDEX(Техника!$G$1:$ABN$500,X$2,0),$A$620,INDEX(Техника!$H$1:$ABO$500,X$2,0),"П")</f>
        <v>0</v>
      </c>
      <c r="Y623" s="50">
        <f>SUMIFS(INDEX(Техника!$F$1:$ABM$500,Y$2,0),Техника!$F$4:$ABM$4,"Часы",INDEX(Техника!$G$1:$ABN$500,Y$2,0),$A$620,INDEX(Техника!$H$1:$ABO$500,Y$2,0),"П")</f>
        <v>0</v>
      </c>
      <c r="Z623" s="50">
        <f>SUMIFS(INDEX(Техника!$F$1:$ABM$500,Z$2,0),Техника!$F$4:$ABM$4,"Часы",INDEX(Техника!$G$1:$ABN$500,Z$2,0),$A$620,INDEX(Техника!$H$1:$ABO$500,Z$2,0),"П")</f>
        <v>0</v>
      </c>
      <c r="AA623" s="50">
        <f>SUMIFS(INDEX(Техника!$F$1:$ABM$500,AA$2,0),Техника!$F$4:$ABM$4,"Часы",INDEX(Техника!$G$1:$ABN$500,AA$2,0),$A$620,INDEX(Техника!$H$1:$ABO$500,AA$2,0),"П")</f>
        <v>0</v>
      </c>
      <c r="AB623" s="50">
        <f>SUMIFS(INDEX(Техника!$F$1:$ABM$500,AB$2,0),Техника!$F$4:$ABM$4,"Часы",INDEX(Техника!$G$1:$ABN$500,AB$2,0),$A$620,INDEX(Техника!$H$1:$ABO$500,AB$2,0),"П")</f>
        <v>0</v>
      </c>
    </row>
    <row r="624" spans="1:28" hidden="1" outlineLevel="1" x14ac:dyDescent="0.3">
      <c r="A624" s="33" t="s">
        <v>243</v>
      </c>
      <c r="B624" s="34" t="s">
        <v>278</v>
      </c>
      <c r="C624" s="50">
        <f>SUMIFS(INDEX(Техника!$F$1:$ABM$500,C$2,0),Техника!$F$4:$ABM$4,"Часы",INDEX(Техника!$G$1:$ABN$500,C$2,0),$A$620,INDEX(Техника!$H$1:$ABO$500,C$2,0),"Л")</f>
        <v>0</v>
      </c>
      <c r="D624" s="50">
        <f>SUMIFS(INDEX(Техника!$F$1:$ABM$500,D$2,0),Техника!$F$4:$ABM$4,"Часы",INDEX(Техника!$G$1:$ABN$500,D$2,0),$A$620,INDEX(Техника!$H$1:$ABO$500,D$2,0),"Л")</f>
        <v>0</v>
      </c>
      <c r="E624" s="50">
        <f>SUMIFS(INDEX(Техника!$F$1:$ABM$500,E$2,0),Техника!$F$4:$ABM$4,"Часы",INDEX(Техника!$G$1:$ABN$500,E$2,0),$A$620,INDEX(Техника!$H$1:$ABO$500,E$2,0),"Л")</f>
        <v>0</v>
      </c>
      <c r="F624" s="50">
        <f>SUMIFS(INDEX(Техника!$F$1:$ABM$500,F$2,0),Техника!$F$4:$ABM$4,"Часы",INDEX(Техника!$G$1:$ABN$500,F$2,0),$A$620,INDEX(Техника!$H$1:$ABO$500,F$2,0),"Л")</f>
        <v>0</v>
      </c>
      <c r="G624" s="50">
        <f>SUMIFS(INDEX(Техника!$F$1:$ABM$500,G$2,0),Техника!$F$4:$ABM$4,"Часы",INDEX(Техника!$G$1:$ABN$500,G$2,0),$A$620,INDEX(Техника!$H$1:$ABO$500,G$2,0),"Л")</f>
        <v>0</v>
      </c>
      <c r="H624" s="50">
        <f>SUMIFS(INDEX(Техника!$F$1:$ABM$500,H$2,0),Техника!$F$4:$ABM$4,"Часы",INDEX(Техника!$G$1:$ABN$500,H$2,0),$A$620,INDEX(Техника!$H$1:$ABO$500,H$2,0),"Л")</f>
        <v>0</v>
      </c>
      <c r="I624" s="50">
        <f>SUMIFS(INDEX(Техника!$F$1:$ABM$500,I$2,0),Техника!$F$4:$ABM$4,"Часы",INDEX(Техника!$G$1:$ABN$500,I$2,0),$A$620,INDEX(Техника!$H$1:$ABO$500,I$2,0),"Л")</f>
        <v>0</v>
      </c>
      <c r="J624" s="50">
        <f>SUMIFS(INDEX(Техника!$F$1:$ABM$500,J$2,0),Техника!$F$4:$ABM$4,"Часы",INDEX(Техника!$G$1:$ABN$500,J$2,0),$A$620,INDEX(Техника!$H$1:$ABO$500,J$2,0),"Л")</f>
        <v>0</v>
      </c>
      <c r="K624" s="50">
        <f>SUMIFS(INDEX(Техника!$F$1:$ABM$500,K$2,0),Техника!$F$4:$ABM$4,"Часы",INDEX(Техника!$G$1:$ABN$500,K$2,0),$A$620,INDEX(Техника!$H$1:$ABO$500,K$2,0),"Л")</f>
        <v>0</v>
      </c>
      <c r="L624" s="50">
        <f>SUMIFS(INDEX(Техника!$F$1:$ABM$500,L$2,0),Техника!$F$4:$ABM$4,"Часы",INDEX(Техника!$G$1:$ABN$500,L$2,0),$A$620,INDEX(Техника!$H$1:$ABO$500,L$2,0),"Л")</f>
        <v>0</v>
      </c>
      <c r="M624" s="50">
        <f>SUMIFS(INDEX(Техника!$F$1:$ABM$500,M$2,0),Техника!$F$4:$ABM$4,"Часы",INDEX(Техника!$G$1:$ABN$500,M$2,0),$A$620,INDEX(Техника!$H$1:$ABO$500,M$2,0),"Л")</f>
        <v>0</v>
      </c>
      <c r="N624" s="50">
        <f>SUMIFS(INDEX(Техника!$F$1:$ABM$500,N$2,0),Техника!$F$4:$ABM$4,"Часы",INDEX(Техника!$G$1:$ABN$500,N$2,0),$A$620,INDEX(Техника!$H$1:$ABO$500,N$2,0),"Л")</f>
        <v>0</v>
      </c>
      <c r="O624" s="50">
        <f>SUMIFS(INDEX(Техника!$F$1:$ABM$500,O$2,0),Техника!$F$4:$ABM$4,"Часы",INDEX(Техника!$G$1:$ABN$500,O$2,0),$A$620,INDEX(Техника!$H$1:$ABO$500,O$2,0),"Л")</f>
        <v>0</v>
      </c>
      <c r="P624" s="50">
        <f>SUMIFS(INDEX(Техника!$F$1:$ABM$500,P$2,0),Техника!$F$4:$ABM$4,"Часы",INDEX(Техника!$G$1:$ABN$500,P$2,0),$A$620,INDEX(Техника!$H$1:$ABO$500,P$2,0),"Л")</f>
        <v>0</v>
      </c>
      <c r="Q624" s="50">
        <f>SUMIFS(INDEX(Техника!$F$1:$ABM$500,Q$2,0),Техника!$F$4:$ABM$4,"Часы",INDEX(Техника!$G$1:$ABN$500,Q$2,0),$A$620,INDEX(Техника!$H$1:$ABO$500,Q$2,0),"Л")</f>
        <v>0</v>
      </c>
      <c r="R624" s="50">
        <f>SUMIFS(INDEX(Техника!$F$1:$ABM$500,R$2,0),Техника!$F$4:$ABM$4,"Часы",INDEX(Техника!$G$1:$ABN$500,R$2,0),$A$620,INDEX(Техника!$H$1:$ABO$500,R$2,0),"Л")</f>
        <v>0</v>
      </c>
      <c r="S624" s="50">
        <f>SUMIFS(INDEX(Техника!$F$1:$ABM$500,S$2,0),Техника!$F$4:$ABM$4,"Часы",INDEX(Техника!$G$1:$ABN$500,S$2,0),$A$620,INDEX(Техника!$H$1:$ABO$500,S$2,0),"Л")</f>
        <v>0</v>
      </c>
      <c r="T624" s="50">
        <f>SUMIFS(INDEX(Техника!$F$1:$ABM$500,T$2,0),Техника!$F$4:$ABM$4,"Часы",INDEX(Техника!$G$1:$ABN$500,T$2,0),$A$620,INDEX(Техника!$H$1:$ABO$500,T$2,0),"Л")</f>
        <v>0</v>
      </c>
      <c r="U624" s="50">
        <f>SUMIFS(INDEX(Техника!$F$1:$ABM$500,U$2,0),Техника!$F$4:$ABM$4,"Часы",INDEX(Техника!$G$1:$ABN$500,U$2,0),$A$620,INDEX(Техника!$H$1:$ABO$500,U$2,0),"Л")</f>
        <v>0</v>
      </c>
      <c r="V624" s="50">
        <f>SUMIFS(INDEX(Техника!$F$1:$ABM$500,V$2,0),Техника!$F$4:$ABM$4,"Часы",INDEX(Техника!$G$1:$ABN$500,V$2,0),$A$620,INDEX(Техника!$H$1:$ABO$500,V$2,0),"Л")</f>
        <v>0</v>
      </c>
      <c r="W624" s="50">
        <f>SUMIFS(INDEX(Техника!$F$1:$ABM$500,W$2,0),Техника!$F$4:$ABM$4,"Часы",INDEX(Техника!$G$1:$ABN$500,W$2,0),$A$620,INDEX(Техника!$H$1:$ABO$500,W$2,0),"Л")</f>
        <v>0</v>
      </c>
      <c r="X624" s="50">
        <f>SUMIFS(INDEX(Техника!$F$1:$ABM$500,X$2,0),Техника!$F$4:$ABM$4,"Часы",INDEX(Техника!$G$1:$ABN$500,X$2,0),$A$620,INDEX(Техника!$H$1:$ABO$500,X$2,0),"Л")</f>
        <v>0</v>
      </c>
      <c r="Y624" s="50">
        <f>SUMIFS(INDEX(Техника!$F$1:$ABM$500,Y$2,0),Техника!$F$4:$ABM$4,"Часы",INDEX(Техника!$G$1:$ABN$500,Y$2,0),$A$620,INDEX(Техника!$H$1:$ABO$500,Y$2,0),"Л")</f>
        <v>0</v>
      </c>
      <c r="Z624" s="50">
        <f>SUMIFS(INDEX(Техника!$F$1:$ABM$500,Z$2,0),Техника!$F$4:$ABM$4,"Часы",INDEX(Техника!$G$1:$ABN$500,Z$2,0),$A$620,INDEX(Техника!$H$1:$ABO$500,Z$2,0),"Л")</f>
        <v>0</v>
      </c>
      <c r="AA624" s="50">
        <f>SUMIFS(INDEX(Техника!$F$1:$ABM$500,AA$2,0),Техника!$F$4:$ABM$4,"Часы",INDEX(Техника!$G$1:$ABN$500,AA$2,0),$A$620,INDEX(Техника!$H$1:$ABO$500,AA$2,0),"Л")</f>
        <v>0</v>
      </c>
      <c r="AB624" s="50">
        <f>SUMIFS(INDEX(Техника!$F$1:$ABM$500,AB$2,0),Техника!$F$4:$ABM$4,"Часы",INDEX(Техника!$G$1:$ABN$500,AB$2,0),$A$620,INDEX(Техника!$H$1:$ABO$500,AB$2,0),"Л")</f>
        <v>0</v>
      </c>
    </row>
    <row r="625" spans="1:28" hidden="1" outlineLevel="1" x14ac:dyDescent="0.3">
      <c r="A625" s="33" t="s">
        <v>245</v>
      </c>
      <c r="B625" s="34" t="s">
        <v>279</v>
      </c>
      <c r="C625" s="50">
        <f>SUMIFS(INDEX(Техника!$F$1:$ABM$500,C$2,0),Техника!$F$4:$ABM$4,"Часы",INDEX(Техника!$G$1:$ABN$500,C$2,0),$A$620,INDEX(Техника!$H$1:$ABO$500,C$2,0),"З")</f>
        <v>0</v>
      </c>
      <c r="D625" s="50">
        <f>SUMIFS(INDEX(Техника!$F$1:$ABM$500,D$2,0),Техника!$F$4:$ABM$4,"Часы",INDEX(Техника!$G$1:$ABN$500,D$2,0),$A$620,INDEX(Техника!$H$1:$ABO$500,D$2,0),"З")</f>
        <v>0</v>
      </c>
      <c r="E625" s="50">
        <f>SUMIFS(INDEX(Техника!$F$1:$ABM$500,E$2,0),Техника!$F$4:$ABM$4,"Часы",INDEX(Техника!$G$1:$ABN$500,E$2,0),$A$620,INDEX(Техника!$H$1:$ABO$500,E$2,0),"З")</f>
        <v>0</v>
      </c>
      <c r="F625" s="50">
        <f>SUMIFS(INDEX(Техника!$F$1:$ABM$500,F$2,0),Техника!$F$4:$ABM$4,"Часы",INDEX(Техника!$G$1:$ABN$500,F$2,0),$A$620,INDEX(Техника!$H$1:$ABO$500,F$2,0),"З")</f>
        <v>0</v>
      </c>
      <c r="G625" s="50">
        <f>SUMIFS(INDEX(Техника!$F$1:$ABM$500,G$2,0),Техника!$F$4:$ABM$4,"Часы",INDEX(Техника!$G$1:$ABN$500,G$2,0),$A$620,INDEX(Техника!$H$1:$ABO$500,G$2,0),"З")</f>
        <v>0</v>
      </c>
      <c r="H625" s="50">
        <f>SUMIFS(INDEX(Техника!$F$1:$ABM$500,H$2,0),Техника!$F$4:$ABM$4,"Часы",INDEX(Техника!$G$1:$ABN$500,H$2,0),$A$620,INDEX(Техника!$H$1:$ABO$500,H$2,0),"З")</f>
        <v>0</v>
      </c>
      <c r="I625" s="50">
        <f>SUMIFS(INDEX(Техника!$F$1:$ABM$500,I$2,0),Техника!$F$4:$ABM$4,"Часы",INDEX(Техника!$G$1:$ABN$500,I$2,0),$A$620,INDEX(Техника!$H$1:$ABO$500,I$2,0),"З")</f>
        <v>0</v>
      </c>
      <c r="J625" s="50">
        <f>SUMIFS(INDEX(Техника!$F$1:$ABM$500,J$2,0),Техника!$F$4:$ABM$4,"Часы",INDEX(Техника!$G$1:$ABN$500,J$2,0),$A$620,INDEX(Техника!$H$1:$ABO$500,J$2,0),"З")</f>
        <v>0</v>
      </c>
      <c r="K625" s="50">
        <f>SUMIFS(INDEX(Техника!$F$1:$ABM$500,K$2,0),Техника!$F$4:$ABM$4,"Часы",INDEX(Техника!$G$1:$ABN$500,K$2,0),$A$620,INDEX(Техника!$H$1:$ABO$500,K$2,0),"З")</f>
        <v>0</v>
      </c>
      <c r="L625" s="50">
        <f>SUMIFS(INDEX(Техника!$F$1:$ABM$500,L$2,0),Техника!$F$4:$ABM$4,"Часы",INDEX(Техника!$G$1:$ABN$500,L$2,0),$A$620,INDEX(Техника!$H$1:$ABO$500,L$2,0),"З")</f>
        <v>0</v>
      </c>
      <c r="M625" s="50">
        <f>SUMIFS(INDEX(Техника!$F$1:$ABM$500,M$2,0),Техника!$F$4:$ABM$4,"Часы",INDEX(Техника!$G$1:$ABN$500,M$2,0),$A$620,INDEX(Техника!$H$1:$ABO$500,M$2,0),"З")</f>
        <v>0</v>
      </c>
      <c r="N625" s="50">
        <f>SUMIFS(INDEX(Техника!$F$1:$ABM$500,N$2,0),Техника!$F$4:$ABM$4,"Часы",INDEX(Техника!$G$1:$ABN$500,N$2,0),$A$620,INDEX(Техника!$H$1:$ABO$500,N$2,0),"З")</f>
        <v>0</v>
      </c>
      <c r="O625" s="50">
        <f>SUMIFS(INDEX(Техника!$F$1:$ABM$500,O$2,0),Техника!$F$4:$ABM$4,"Часы",INDEX(Техника!$G$1:$ABN$500,O$2,0),$A$620,INDEX(Техника!$H$1:$ABO$500,O$2,0),"З")</f>
        <v>0</v>
      </c>
      <c r="P625" s="50">
        <f>SUMIFS(INDEX(Техника!$F$1:$ABM$500,P$2,0),Техника!$F$4:$ABM$4,"Часы",INDEX(Техника!$G$1:$ABN$500,P$2,0),$A$620,INDEX(Техника!$H$1:$ABO$500,P$2,0),"З")</f>
        <v>0</v>
      </c>
      <c r="Q625" s="50">
        <f>SUMIFS(INDEX(Техника!$F$1:$ABM$500,Q$2,0),Техника!$F$4:$ABM$4,"Часы",INDEX(Техника!$G$1:$ABN$500,Q$2,0),$A$620,INDEX(Техника!$H$1:$ABO$500,Q$2,0),"З")</f>
        <v>0</v>
      </c>
      <c r="R625" s="50">
        <f>SUMIFS(INDEX(Техника!$F$1:$ABM$500,R$2,0),Техника!$F$4:$ABM$4,"Часы",INDEX(Техника!$G$1:$ABN$500,R$2,0),$A$620,INDEX(Техника!$H$1:$ABO$500,R$2,0),"З")</f>
        <v>0</v>
      </c>
      <c r="S625" s="50">
        <f>SUMIFS(INDEX(Техника!$F$1:$ABM$500,S$2,0),Техника!$F$4:$ABM$4,"Часы",INDEX(Техника!$G$1:$ABN$500,S$2,0),$A$620,INDEX(Техника!$H$1:$ABO$500,S$2,0),"З")</f>
        <v>0</v>
      </c>
      <c r="T625" s="50">
        <f>SUMIFS(INDEX(Техника!$F$1:$ABM$500,T$2,0),Техника!$F$4:$ABM$4,"Часы",INDEX(Техника!$G$1:$ABN$500,T$2,0),$A$620,INDEX(Техника!$H$1:$ABO$500,T$2,0),"З")</f>
        <v>0</v>
      </c>
      <c r="U625" s="50">
        <f>SUMIFS(INDEX(Техника!$F$1:$ABM$500,U$2,0),Техника!$F$4:$ABM$4,"Часы",INDEX(Техника!$G$1:$ABN$500,U$2,0),$A$620,INDEX(Техника!$H$1:$ABO$500,U$2,0),"З")</f>
        <v>0</v>
      </c>
      <c r="V625" s="50">
        <f>SUMIFS(INDEX(Техника!$F$1:$ABM$500,V$2,0),Техника!$F$4:$ABM$4,"Часы",INDEX(Техника!$G$1:$ABN$500,V$2,0),$A$620,INDEX(Техника!$H$1:$ABO$500,V$2,0),"З")</f>
        <v>0</v>
      </c>
      <c r="W625" s="50">
        <f>SUMIFS(INDEX(Техника!$F$1:$ABM$500,W$2,0),Техника!$F$4:$ABM$4,"Часы",INDEX(Техника!$G$1:$ABN$500,W$2,0),$A$620,INDEX(Техника!$H$1:$ABO$500,W$2,0),"З")</f>
        <v>0</v>
      </c>
      <c r="X625" s="50">
        <f>SUMIFS(INDEX(Техника!$F$1:$ABM$500,X$2,0),Техника!$F$4:$ABM$4,"Часы",INDEX(Техника!$G$1:$ABN$500,X$2,0),$A$620,INDEX(Техника!$H$1:$ABO$500,X$2,0),"З")</f>
        <v>0</v>
      </c>
      <c r="Y625" s="50">
        <f>SUMIFS(INDEX(Техника!$F$1:$ABM$500,Y$2,0),Техника!$F$4:$ABM$4,"Часы",INDEX(Техника!$G$1:$ABN$500,Y$2,0),$A$620,INDEX(Техника!$H$1:$ABO$500,Y$2,0),"З")</f>
        <v>0</v>
      </c>
      <c r="Z625" s="50">
        <f>SUMIFS(INDEX(Техника!$F$1:$ABM$500,Z$2,0),Техника!$F$4:$ABM$4,"Часы",INDEX(Техника!$G$1:$ABN$500,Z$2,0),$A$620,INDEX(Техника!$H$1:$ABO$500,Z$2,0),"З")</f>
        <v>0</v>
      </c>
      <c r="AA625" s="50">
        <f>SUMIFS(INDEX(Техника!$F$1:$ABM$500,AA$2,0),Техника!$F$4:$ABM$4,"Часы",INDEX(Техника!$G$1:$ABN$500,AA$2,0),$A$620,INDEX(Техника!$H$1:$ABO$500,AA$2,0),"З")</f>
        <v>0</v>
      </c>
      <c r="AB625" s="50">
        <f>SUMIFS(INDEX(Техника!$F$1:$ABM$500,AB$2,0),Техника!$F$4:$ABM$4,"Часы",INDEX(Техника!$G$1:$ABN$500,AB$2,0),$A$620,INDEX(Техника!$H$1:$ABO$500,AB$2,0),"З")</f>
        <v>0</v>
      </c>
    </row>
    <row r="626" spans="1:28" ht="7.95" customHeight="1" x14ac:dyDescent="0.3">
      <c r="A626" s="38"/>
      <c r="B626" s="39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</row>
    <row r="627" spans="1:28" ht="25.05" customHeight="1" collapsed="1" x14ac:dyDescent="0.3">
      <c r="A627" s="32">
        <v>90</v>
      </c>
      <c r="B627" s="32" t="s">
        <v>91</v>
      </c>
      <c r="C627" s="49">
        <f>SUM(C628:C632)</f>
        <v>0</v>
      </c>
      <c r="D627" s="49">
        <f>SUM(D628:D632)</f>
        <v>0</v>
      </c>
      <c r="E627" s="49">
        <f>SUM(E628:E632)</f>
        <v>0</v>
      </c>
      <c r="F627" s="49">
        <f>SUM(F628:F632)</f>
        <v>0</v>
      </c>
      <c r="G627" s="49">
        <f>SUM(G628:G632)</f>
        <v>0</v>
      </c>
      <c r="H627" s="49">
        <f>SUM(H628:H632)</f>
        <v>0</v>
      </c>
      <c r="I627" s="49">
        <f>SUM(I628:I632)</f>
        <v>0</v>
      </c>
      <c r="J627" s="49">
        <f>SUM(J628:J632)</f>
        <v>0</v>
      </c>
      <c r="K627" s="49">
        <f>SUM(K628:K632)</f>
        <v>0</v>
      </c>
      <c r="L627" s="49">
        <f>SUM(L628:L632)</f>
        <v>0</v>
      </c>
      <c r="M627" s="49">
        <f>SUM(M628:M632)</f>
        <v>0</v>
      </c>
      <c r="N627" s="49">
        <f>SUM(N628:N632)</f>
        <v>0</v>
      </c>
      <c r="O627" s="49">
        <f>SUM(O628:O632)</f>
        <v>0</v>
      </c>
      <c r="P627" s="49">
        <f>SUM(P628:P632)</f>
        <v>0</v>
      </c>
      <c r="Q627" s="49">
        <f>SUM(Q628:Q632)</f>
        <v>0</v>
      </c>
      <c r="R627" s="49">
        <f>SUM(R628:R632)</f>
        <v>0</v>
      </c>
      <c r="S627" s="49">
        <f>SUM(S628:S632)</f>
        <v>0</v>
      </c>
      <c r="T627" s="49">
        <f>SUM(T628:T632)</f>
        <v>0</v>
      </c>
      <c r="U627" s="49">
        <f>SUM(U628:U632)</f>
        <v>0</v>
      </c>
      <c r="V627" s="49">
        <f>SUM(V628:V632)</f>
        <v>0</v>
      </c>
      <c r="W627" s="49">
        <f>SUM(W628:W632)</f>
        <v>0</v>
      </c>
      <c r="X627" s="49">
        <f>SUM(X628:X632)</f>
        <v>0</v>
      </c>
      <c r="Y627" s="49">
        <f>SUM(Y628:Y632)</f>
        <v>0</v>
      </c>
      <c r="Z627" s="49">
        <f>SUM(Z628:Z632)</f>
        <v>0</v>
      </c>
      <c r="AA627" s="49">
        <f>SUM(AA628:AA632)</f>
        <v>0</v>
      </c>
      <c r="AB627" s="49">
        <f>SUM(AB628:AB632)</f>
        <v>0</v>
      </c>
    </row>
    <row r="628" spans="1:28" hidden="1" outlineLevel="1" x14ac:dyDescent="0.3">
      <c r="A628" s="33" t="s">
        <v>246</v>
      </c>
      <c r="B628" s="34" t="s">
        <v>274</v>
      </c>
      <c r="C628" s="50">
        <f>SUMIFS(INDEX(Техника!$F$1:$ABM$500,C$2,0),Техника!$F$4:$ABM$4,"Часы",INDEX(Техника!$G$1:$ABN$500,C$2,0),$A$627,INDEX(Техника!$H$1:$ABO$500,C$2,0),"М")</f>
        <v>0</v>
      </c>
      <c r="D628" s="50">
        <f>SUMIFS(INDEX(Техника!$F$1:$ABM$500,D$2,0),Техника!$F$4:$ABM$4,"Часы",INDEX(Техника!$G$1:$ABN$500,D$2,0),$A$627,INDEX(Техника!$H$1:$ABO$500,D$2,0),"М")</f>
        <v>0</v>
      </c>
      <c r="E628" s="50">
        <f>SUMIFS(INDEX(Техника!$F$1:$ABM$500,E$2,0),Техника!$F$4:$ABM$4,"Часы",INDEX(Техника!$G$1:$ABN$500,E$2,0),$A$627,INDEX(Техника!$H$1:$ABO$500,E$2,0),"М")</f>
        <v>0</v>
      </c>
      <c r="F628" s="50">
        <f>SUMIFS(INDEX(Техника!$F$1:$ABM$500,F$2,0),Техника!$F$4:$ABM$4,"Часы",INDEX(Техника!$G$1:$ABN$500,F$2,0),$A$627,INDEX(Техника!$H$1:$ABO$500,F$2,0),"М")</f>
        <v>0</v>
      </c>
      <c r="G628" s="50">
        <f>SUMIFS(INDEX(Техника!$F$1:$ABM$500,G$2,0),Техника!$F$4:$ABM$4,"Часы",INDEX(Техника!$G$1:$ABN$500,G$2,0),$A$627,INDEX(Техника!$H$1:$ABO$500,G$2,0),"М")</f>
        <v>0</v>
      </c>
      <c r="H628" s="50">
        <f>SUMIFS(INDEX(Техника!$F$1:$ABM$500,H$2,0),Техника!$F$4:$ABM$4,"Часы",INDEX(Техника!$G$1:$ABN$500,H$2,0),$A$627,INDEX(Техника!$H$1:$ABO$500,H$2,0),"М")</f>
        <v>0</v>
      </c>
      <c r="I628" s="50">
        <f>SUMIFS(INDEX(Техника!$F$1:$ABM$500,I$2,0),Техника!$F$4:$ABM$4,"Часы",INDEX(Техника!$G$1:$ABN$500,I$2,0),$A$627,INDEX(Техника!$H$1:$ABO$500,I$2,0),"М")</f>
        <v>0</v>
      </c>
      <c r="J628" s="50">
        <f>SUMIFS(INDEX(Техника!$F$1:$ABM$500,J$2,0),Техника!$F$4:$ABM$4,"Часы",INDEX(Техника!$G$1:$ABN$500,J$2,0),$A$627,INDEX(Техника!$H$1:$ABO$500,J$2,0),"М")</f>
        <v>0</v>
      </c>
      <c r="K628" s="50">
        <f>SUMIFS(INDEX(Техника!$F$1:$ABM$500,K$2,0),Техника!$F$4:$ABM$4,"Часы",INDEX(Техника!$G$1:$ABN$500,K$2,0),$A$627,INDEX(Техника!$H$1:$ABO$500,K$2,0),"М")</f>
        <v>0</v>
      </c>
      <c r="L628" s="50">
        <f>SUMIFS(INDEX(Техника!$F$1:$ABM$500,L$2,0),Техника!$F$4:$ABM$4,"Часы",INDEX(Техника!$G$1:$ABN$500,L$2,0),$A$627,INDEX(Техника!$H$1:$ABO$500,L$2,0),"М")</f>
        <v>0</v>
      </c>
      <c r="M628" s="50">
        <f>SUMIFS(INDEX(Техника!$F$1:$ABM$500,M$2,0),Техника!$F$4:$ABM$4,"Часы",INDEX(Техника!$G$1:$ABN$500,M$2,0),$A$627,INDEX(Техника!$H$1:$ABO$500,M$2,0),"М")</f>
        <v>0</v>
      </c>
      <c r="N628" s="50">
        <f>SUMIFS(INDEX(Техника!$F$1:$ABM$500,N$2,0),Техника!$F$4:$ABM$4,"Часы",INDEX(Техника!$G$1:$ABN$500,N$2,0),$A$627,INDEX(Техника!$H$1:$ABO$500,N$2,0),"М")</f>
        <v>0</v>
      </c>
      <c r="O628" s="50">
        <f>SUMIFS(INDEX(Техника!$F$1:$ABM$500,O$2,0),Техника!$F$4:$ABM$4,"Часы",INDEX(Техника!$G$1:$ABN$500,O$2,0),$A$627,INDEX(Техника!$H$1:$ABO$500,O$2,0),"М")</f>
        <v>0</v>
      </c>
      <c r="P628" s="50">
        <f>SUMIFS(INDEX(Техника!$F$1:$ABM$500,P$2,0),Техника!$F$4:$ABM$4,"Часы",INDEX(Техника!$G$1:$ABN$500,P$2,0),$A$627,INDEX(Техника!$H$1:$ABO$500,P$2,0),"М")</f>
        <v>0</v>
      </c>
      <c r="Q628" s="50">
        <f>SUMIFS(INDEX(Техника!$F$1:$ABM$500,Q$2,0),Техника!$F$4:$ABM$4,"Часы",INDEX(Техника!$G$1:$ABN$500,Q$2,0),$A$627,INDEX(Техника!$H$1:$ABO$500,Q$2,0),"М")</f>
        <v>0</v>
      </c>
      <c r="R628" s="50">
        <f>SUMIFS(INDEX(Техника!$F$1:$ABM$500,R$2,0),Техника!$F$4:$ABM$4,"Часы",INDEX(Техника!$G$1:$ABN$500,R$2,0),$A$627,INDEX(Техника!$H$1:$ABO$500,R$2,0),"М")</f>
        <v>0</v>
      </c>
      <c r="S628" s="50">
        <f>SUMIFS(INDEX(Техника!$F$1:$ABM$500,S$2,0),Техника!$F$4:$ABM$4,"Часы",INDEX(Техника!$G$1:$ABN$500,S$2,0),$A$627,INDEX(Техника!$H$1:$ABO$500,S$2,0),"М")</f>
        <v>0</v>
      </c>
      <c r="T628" s="50">
        <f>SUMIFS(INDEX(Техника!$F$1:$ABM$500,T$2,0),Техника!$F$4:$ABM$4,"Часы",INDEX(Техника!$G$1:$ABN$500,T$2,0),$A$627,INDEX(Техника!$H$1:$ABO$500,T$2,0),"М")</f>
        <v>0</v>
      </c>
      <c r="U628" s="50">
        <f>SUMIFS(INDEX(Техника!$F$1:$ABM$500,U$2,0),Техника!$F$4:$ABM$4,"Часы",INDEX(Техника!$G$1:$ABN$500,U$2,0),$A$627,INDEX(Техника!$H$1:$ABO$500,U$2,0),"М")</f>
        <v>0</v>
      </c>
      <c r="V628" s="50">
        <f>SUMIFS(INDEX(Техника!$F$1:$ABM$500,V$2,0),Техника!$F$4:$ABM$4,"Часы",INDEX(Техника!$G$1:$ABN$500,V$2,0),$A$627,INDEX(Техника!$H$1:$ABO$500,V$2,0),"М")</f>
        <v>0</v>
      </c>
      <c r="W628" s="50">
        <f>SUMIFS(INDEX(Техника!$F$1:$ABM$500,W$2,0),Техника!$F$4:$ABM$4,"Часы",INDEX(Техника!$G$1:$ABN$500,W$2,0),$A$627,INDEX(Техника!$H$1:$ABO$500,W$2,0),"М")</f>
        <v>0</v>
      </c>
      <c r="X628" s="50">
        <f>SUMIFS(INDEX(Техника!$F$1:$ABM$500,X$2,0),Техника!$F$4:$ABM$4,"Часы",INDEX(Техника!$G$1:$ABN$500,X$2,0),$A$627,INDEX(Техника!$H$1:$ABO$500,X$2,0),"М")</f>
        <v>0</v>
      </c>
      <c r="Y628" s="50">
        <f>SUMIFS(INDEX(Техника!$F$1:$ABM$500,Y$2,0),Техника!$F$4:$ABM$4,"Часы",INDEX(Техника!$G$1:$ABN$500,Y$2,0),$A$627,INDEX(Техника!$H$1:$ABO$500,Y$2,0),"М")</f>
        <v>0</v>
      </c>
      <c r="Z628" s="50">
        <f>SUMIFS(INDEX(Техника!$F$1:$ABM$500,Z$2,0),Техника!$F$4:$ABM$4,"Часы",INDEX(Техника!$G$1:$ABN$500,Z$2,0),$A$627,INDEX(Техника!$H$1:$ABO$500,Z$2,0),"М")</f>
        <v>0</v>
      </c>
      <c r="AA628" s="50">
        <f>SUMIFS(INDEX(Техника!$F$1:$ABM$500,AA$2,0),Техника!$F$4:$ABM$4,"Часы",INDEX(Техника!$G$1:$ABN$500,AA$2,0),$A$627,INDEX(Техника!$H$1:$ABO$500,AA$2,0),"М")</f>
        <v>0</v>
      </c>
      <c r="AB628" s="50">
        <f>SUMIFS(INDEX(Техника!$F$1:$ABM$500,AB$2,0),Техника!$F$4:$ABM$4,"Часы",INDEX(Техника!$G$1:$ABN$500,AB$2,0),$A$627,INDEX(Техника!$H$1:$ABO$500,AB$2,0),"М")</f>
        <v>0</v>
      </c>
    </row>
    <row r="629" spans="1:28" hidden="1" outlineLevel="1" x14ac:dyDescent="0.3">
      <c r="A629" s="33" t="s">
        <v>244</v>
      </c>
      <c r="B629" s="34" t="s">
        <v>275</v>
      </c>
      <c r="C629" s="50">
        <f>SUMIFS(INDEX(Техника!$F$1:$ABM$500,C$2,0),Техника!$F$4:$ABM$4,"Часы",INDEX(Техника!$G$1:$ABN$500,C$2,0),$A$627,INDEX(Техника!$H$1:$ABO$500,C$2,0),"Д")</f>
        <v>0</v>
      </c>
      <c r="D629" s="50">
        <f>SUMIFS(INDEX(Техника!$F$1:$ABM$500,D$2,0),Техника!$F$4:$ABM$4,"Часы",INDEX(Техника!$G$1:$ABN$500,D$2,0),$A$627,INDEX(Техника!$H$1:$ABO$500,D$2,0),"Д")</f>
        <v>0</v>
      </c>
      <c r="E629" s="50">
        <f>SUMIFS(INDEX(Техника!$F$1:$ABM$500,E$2,0),Техника!$F$4:$ABM$4,"Часы",INDEX(Техника!$G$1:$ABN$500,E$2,0),$A$627,INDEX(Техника!$H$1:$ABO$500,E$2,0),"Д")</f>
        <v>0</v>
      </c>
      <c r="F629" s="50">
        <f>SUMIFS(INDEX(Техника!$F$1:$ABM$500,F$2,0),Техника!$F$4:$ABM$4,"Часы",INDEX(Техника!$G$1:$ABN$500,F$2,0),$A$627,INDEX(Техника!$H$1:$ABO$500,F$2,0),"Д")</f>
        <v>0</v>
      </c>
      <c r="G629" s="50">
        <f>SUMIFS(INDEX(Техника!$F$1:$ABM$500,G$2,0),Техника!$F$4:$ABM$4,"Часы",INDEX(Техника!$G$1:$ABN$500,G$2,0),$A$627,INDEX(Техника!$H$1:$ABO$500,G$2,0),"Д")</f>
        <v>0</v>
      </c>
      <c r="H629" s="50">
        <f>SUMIFS(INDEX(Техника!$F$1:$ABM$500,H$2,0),Техника!$F$4:$ABM$4,"Часы",INDEX(Техника!$G$1:$ABN$500,H$2,0),$A$627,INDEX(Техника!$H$1:$ABO$500,H$2,0),"Д")</f>
        <v>0</v>
      </c>
      <c r="I629" s="50">
        <f>SUMIFS(INDEX(Техника!$F$1:$ABM$500,I$2,0),Техника!$F$4:$ABM$4,"Часы",INDEX(Техника!$G$1:$ABN$500,I$2,0),$A$627,INDEX(Техника!$H$1:$ABO$500,I$2,0),"Д")</f>
        <v>0</v>
      </c>
      <c r="J629" s="50">
        <f>SUMIFS(INDEX(Техника!$F$1:$ABM$500,J$2,0),Техника!$F$4:$ABM$4,"Часы",INDEX(Техника!$G$1:$ABN$500,J$2,0),$A$627,INDEX(Техника!$H$1:$ABO$500,J$2,0),"Д")</f>
        <v>0</v>
      </c>
      <c r="K629" s="50">
        <f>SUMIFS(INDEX(Техника!$F$1:$ABM$500,K$2,0),Техника!$F$4:$ABM$4,"Часы",INDEX(Техника!$G$1:$ABN$500,K$2,0),$A$627,INDEX(Техника!$H$1:$ABO$500,K$2,0),"Д")</f>
        <v>0</v>
      </c>
      <c r="L629" s="50">
        <f>SUMIFS(INDEX(Техника!$F$1:$ABM$500,L$2,0),Техника!$F$4:$ABM$4,"Часы",INDEX(Техника!$G$1:$ABN$500,L$2,0),$A$627,INDEX(Техника!$H$1:$ABO$500,L$2,0),"Д")</f>
        <v>0</v>
      </c>
      <c r="M629" s="50">
        <f>SUMIFS(INDEX(Техника!$F$1:$ABM$500,M$2,0),Техника!$F$4:$ABM$4,"Часы",INDEX(Техника!$G$1:$ABN$500,M$2,0),$A$627,INDEX(Техника!$H$1:$ABO$500,M$2,0),"Д")</f>
        <v>0</v>
      </c>
      <c r="N629" s="50">
        <f>SUMIFS(INDEX(Техника!$F$1:$ABM$500,N$2,0),Техника!$F$4:$ABM$4,"Часы",INDEX(Техника!$G$1:$ABN$500,N$2,0),$A$627,INDEX(Техника!$H$1:$ABO$500,N$2,0),"Д")</f>
        <v>0</v>
      </c>
      <c r="O629" s="50">
        <f>SUMIFS(INDEX(Техника!$F$1:$ABM$500,O$2,0),Техника!$F$4:$ABM$4,"Часы",INDEX(Техника!$G$1:$ABN$500,O$2,0),$A$627,INDEX(Техника!$H$1:$ABO$500,O$2,0),"Д")</f>
        <v>0</v>
      </c>
      <c r="P629" s="50">
        <f>SUMIFS(INDEX(Техника!$F$1:$ABM$500,P$2,0),Техника!$F$4:$ABM$4,"Часы",INDEX(Техника!$G$1:$ABN$500,P$2,0),$A$627,INDEX(Техника!$H$1:$ABO$500,P$2,0),"Д")</f>
        <v>0</v>
      </c>
      <c r="Q629" s="50">
        <f>SUMIFS(INDEX(Техника!$F$1:$ABM$500,Q$2,0),Техника!$F$4:$ABM$4,"Часы",INDEX(Техника!$G$1:$ABN$500,Q$2,0),$A$627,INDEX(Техника!$H$1:$ABO$500,Q$2,0),"Д")</f>
        <v>0</v>
      </c>
      <c r="R629" s="50">
        <f>SUMIFS(INDEX(Техника!$F$1:$ABM$500,R$2,0),Техника!$F$4:$ABM$4,"Часы",INDEX(Техника!$G$1:$ABN$500,R$2,0),$A$627,INDEX(Техника!$H$1:$ABO$500,R$2,0),"Д")</f>
        <v>0</v>
      </c>
      <c r="S629" s="50">
        <f>SUMIFS(INDEX(Техника!$F$1:$ABM$500,S$2,0),Техника!$F$4:$ABM$4,"Часы",INDEX(Техника!$G$1:$ABN$500,S$2,0),$A$627,INDEX(Техника!$H$1:$ABO$500,S$2,0),"Д")</f>
        <v>0</v>
      </c>
      <c r="T629" s="50">
        <f>SUMIFS(INDEX(Техника!$F$1:$ABM$500,T$2,0),Техника!$F$4:$ABM$4,"Часы",INDEX(Техника!$G$1:$ABN$500,T$2,0),$A$627,INDEX(Техника!$H$1:$ABO$500,T$2,0),"Д")</f>
        <v>0</v>
      </c>
      <c r="U629" s="50">
        <f>SUMIFS(INDEX(Техника!$F$1:$ABM$500,U$2,0),Техника!$F$4:$ABM$4,"Часы",INDEX(Техника!$G$1:$ABN$500,U$2,0),$A$627,INDEX(Техника!$H$1:$ABO$500,U$2,0),"Д")</f>
        <v>0</v>
      </c>
      <c r="V629" s="50">
        <f>SUMIFS(INDEX(Техника!$F$1:$ABM$500,V$2,0),Техника!$F$4:$ABM$4,"Часы",INDEX(Техника!$G$1:$ABN$500,V$2,0),$A$627,INDEX(Техника!$H$1:$ABO$500,V$2,0),"Д")</f>
        <v>0</v>
      </c>
      <c r="W629" s="50">
        <f>SUMIFS(INDEX(Техника!$F$1:$ABM$500,W$2,0),Техника!$F$4:$ABM$4,"Часы",INDEX(Техника!$G$1:$ABN$500,W$2,0),$A$627,INDEX(Техника!$H$1:$ABO$500,W$2,0),"Д")</f>
        <v>0</v>
      </c>
      <c r="X629" s="50">
        <f>SUMIFS(INDEX(Техника!$F$1:$ABM$500,X$2,0),Техника!$F$4:$ABM$4,"Часы",INDEX(Техника!$G$1:$ABN$500,X$2,0),$A$627,INDEX(Техника!$H$1:$ABO$500,X$2,0),"Д")</f>
        <v>0</v>
      </c>
      <c r="Y629" s="50">
        <f>SUMIFS(INDEX(Техника!$F$1:$ABM$500,Y$2,0),Техника!$F$4:$ABM$4,"Часы",INDEX(Техника!$G$1:$ABN$500,Y$2,0),$A$627,INDEX(Техника!$H$1:$ABO$500,Y$2,0),"Д")</f>
        <v>0</v>
      </c>
      <c r="Z629" s="50">
        <f>SUMIFS(INDEX(Техника!$F$1:$ABM$500,Z$2,0),Техника!$F$4:$ABM$4,"Часы",INDEX(Техника!$G$1:$ABN$500,Z$2,0),$A$627,INDEX(Техника!$H$1:$ABO$500,Z$2,0),"Д")</f>
        <v>0</v>
      </c>
      <c r="AA629" s="50">
        <f>SUMIFS(INDEX(Техника!$F$1:$ABM$500,AA$2,0),Техника!$F$4:$ABM$4,"Часы",INDEX(Техника!$G$1:$ABN$500,AA$2,0),$A$627,INDEX(Техника!$H$1:$ABO$500,AA$2,0),"Д")</f>
        <v>0</v>
      </c>
      <c r="AB629" s="50">
        <f>SUMIFS(INDEX(Техника!$F$1:$ABM$500,AB$2,0),Техника!$F$4:$ABM$4,"Часы",INDEX(Техника!$G$1:$ABN$500,AB$2,0),$A$627,INDEX(Техника!$H$1:$ABO$500,AB$2,0),"Д")</f>
        <v>0</v>
      </c>
    </row>
    <row r="630" spans="1:28" hidden="1" outlineLevel="1" x14ac:dyDescent="0.3">
      <c r="A630" s="33" t="s">
        <v>276</v>
      </c>
      <c r="B630" s="34" t="s">
        <v>277</v>
      </c>
      <c r="C630" s="50">
        <f>SUMIFS(INDEX(Техника!$F$1:$ABM$500,C$2,0),Техника!$F$4:$ABM$4,"Часы",INDEX(Техника!$G$1:$ABN$500,C$2,0),$A$627,INDEX(Техника!$H$1:$ABO$500,C$2,0),"П")</f>
        <v>0</v>
      </c>
      <c r="D630" s="50">
        <f>SUMIFS(INDEX(Техника!$F$1:$ABM$500,D$2,0),Техника!$F$4:$ABM$4,"Часы",INDEX(Техника!$G$1:$ABN$500,D$2,0),$A$627,INDEX(Техника!$H$1:$ABO$500,D$2,0),"П")</f>
        <v>0</v>
      </c>
      <c r="E630" s="50">
        <f>SUMIFS(INDEX(Техника!$F$1:$ABM$500,E$2,0),Техника!$F$4:$ABM$4,"Часы",INDEX(Техника!$G$1:$ABN$500,E$2,0),$A$627,INDEX(Техника!$H$1:$ABO$500,E$2,0),"П")</f>
        <v>0</v>
      </c>
      <c r="F630" s="50">
        <f>SUMIFS(INDEX(Техника!$F$1:$ABM$500,F$2,0),Техника!$F$4:$ABM$4,"Часы",INDEX(Техника!$G$1:$ABN$500,F$2,0),$A$627,INDEX(Техника!$H$1:$ABO$500,F$2,0),"П")</f>
        <v>0</v>
      </c>
      <c r="G630" s="50">
        <f>SUMIFS(INDEX(Техника!$F$1:$ABM$500,G$2,0),Техника!$F$4:$ABM$4,"Часы",INDEX(Техника!$G$1:$ABN$500,G$2,0),$A$627,INDEX(Техника!$H$1:$ABO$500,G$2,0),"П")</f>
        <v>0</v>
      </c>
      <c r="H630" s="50">
        <f>SUMIFS(INDEX(Техника!$F$1:$ABM$500,H$2,0),Техника!$F$4:$ABM$4,"Часы",INDEX(Техника!$G$1:$ABN$500,H$2,0),$A$627,INDEX(Техника!$H$1:$ABO$500,H$2,0),"П")</f>
        <v>0</v>
      </c>
      <c r="I630" s="50">
        <f>SUMIFS(INDEX(Техника!$F$1:$ABM$500,I$2,0),Техника!$F$4:$ABM$4,"Часы",INDEX(Техника!$G$1:$ABN$500,I$2,0),$A$627,INDEX(Техника!$H$1:$ABO$500,I$2,0),"П")</f>
        <v>0</v>
      </c>
      <c r="J630" s="50">
        <f>SUMIFS(INDEX(Техника!$F$1:$ABM$500,J$2,0),Техника!$F$4:$ABM$4,"Часы",INDEX(Техника!$G$1:$ABN$500,J$2,0),$A$627,INDEX(Техника!$H$1:$ABO$500,J$2,0),"П")</f>
        <v>0</v>
      </c>
      <c r="K630" s="50">
        <f>SUMIFS(INDEX(Техника!$F$1:$ABM$500,K$2,0),Техника!$F$4:$ABM$4,"Часы",INDEX(Техника!$G$1:$ABN$500,K$2,0),$A$627,INDEX(Техника!$H$1:$ABO$500,K$2,0),"П")</f>
        <v>0</v>
      </c>
      <c r="L630" s="50">
        <f>SUMIFS(INDEX(Техника!$F$1:$ABM$500,L$2,0),Техника!$F$4:$ABM$4,"Часы",INDEX(Техника!$G$1:$ABN$500,L$2,0),$A$627,INDEX(Техника!$H$1:$ABO$500,L$2,0),"П")</f>
        <v>0</v>
      </c>
      <c r="M630" s="50">
        <f>SUMIFS(INDEX(Техника!$F$1:$ABM$500,M$2,0),Техника!$F$4:$ABM$4,"Часы",INDEX(Техника!$G$1:$ABN$500,M$2,0),$A$627,INDEX(Техника!$H$1:$ABO$500,M$2,0),"П")</f>
        <v>0</v>
      </c>
      <c r="N630" s="50">
        <f>SUMIFS(INDEX(Техника!$F$1:$ABM$500,N$2,0),Техника!$F$4:$ABM$4,"Часы",INDEX(Техника!$G$1:$ABN$500,N$2,0),$A$627,INDEX(Техника!$H$1:$ABO$500,N$2,0),"П")</f>
        <v>0</v>
      </c>
      <c r="O630" s="50">
        <f>SUMIFS(INDEX(Техника!$F$1:$ABM$500,O$2,0),Техника!$F$4:$ABM$4,"Часы",INDEX(Техника!$G$1:$ABN$500,O$2,0),$A$627,INDEX(Техника!$H$1:$ABO$500,O$2,0),"П")</f>
        <v>0</v>
      </c>
      <c r="P630" s="50">
        <f>SUMIFS(INDEX(Техника!$F$1:$ABM$500,P$2,0),Техника!$F$4:$ABM$4,"Часы",INDEX(Техника!$G$1:$ABN$500,P$2,0),$A$627,INDEX(Техника!$H$1:$ABO$500,P$2,0),"П")</f>
        <v>0</v>
      </c>
      <c r="Q630" s="50">
        <f>SUMIFS(INDEX(Техника!$F$1:$ABM$500,Q$2,0),Техника!$F$4:$ABM$4,"Часы",INDEX(Техника!$G$1:$ABN$500,Q$2,0),$A$627,INDEX(Техника!$H$1:$ABO$500,Q$2,0),"П")</f>
        <v>0</v>
      </c>
      <c r="R630" s="50">
        <f>SUMIFS(INDEX(Техника!$F$1:$ABM$500,R$2,0),Техника!$F$4:$ABM$4,"Часы",INDEX(Техника!$G$1:$ABN$500,R$2,0),$A$627,INDEX(Техника!$H$1:$ABO$500,R$2,0),"П")</f>
        <v>0</v>
      </c>
      <c r="S630" s="50">
        <f>SUMIFS(INDEX(Техника!$F$1:$ABM$500,S$2,0),Техника!$F$4:$ABM$4,"Часы",INDEX(Техника!$G$1:$ABN$500,S$2,0),$A$627,INDEX(Техника!$H$1:$ABO$500,S$2,0),"П")</f>
        <v>0</v>
      </c>
      <c r="T630" s="50">
        <f>SUMIFS(INDEX(Техника!$F$1:$ABM$500,T$2,0),Техника!$F$4:$ABM$4,"Часы",INDEX(Техника!$G$1:$ABN$500,T$2,0),$A$627,INDEX(Техника!$H$1:$ABO$500,T$2,0),"П")</f>
        <v>0</v>
      </c>
      <c r="U630" s="50">
        <f>SUMIFS(INDEX(Техника!$F$1:$ABM$500,U$2,0),Техника!$F$4:$ABM$4,"Часы",INDEX(Техника!$G$1:$ABN$500,U$2,0),$A$627,INDEX(Техника!$H$1:$ABO$500,U$2,0),"П")</f>
        <v>0</v>
      </c>
      <c r="V630" s="50">
        <f>SUMIFS(INDEX(Техника!$F$1:$ABM$500,V$2,0),Техника!$F$4:$ABM$4,"Часы",INDEX(Техника!$G$1:$ABN$500,V$2,0),$A$627,INDEX(Техника!$H$1:$ABO$500,V$2,0),"П")</f>
        <v>0</v>
      </c>
      <c r="W630" s="50">
        <f>SUMIFS(INDEX(Техника!$F$1:$ABM$500,W$2,0),Техника!$F$4:$ABM$4,"Часы",INDEX(Техника!$G$1:$ABN$500,W$2,0),$A$627,INDEX(Техника!$H$1:$ABO$500,W$2,0),"П")</f>
        <v>0</v>
      </c>
      <c r="X630" s="50">
        <f>SUMIFS(INDEX(Техника!$F$1:$ABM$500,X$2,0),Техника!$F$4:$ABM$4,"Часы",INDEX(Техника!$G$1:$ABN$500,X$2,0),$A$627,INDEX(Техника!$H$1:$ABO$500,X$2,0),"П")</f>
        <v>0</v>
      </c>
      <c r="Y630" s="50">
        <f>SUMIFS(INDEX(Техника!$F$1:$ABM$500,Y$2,0),Техника!$F$4:$ABM$4,"Часы",INDEX(Техника!$G$1:$ABN$500,Y$2,0),$A$627,INDEX(Техника!$H$1:$ABO$500,Y$2,0),"П")</f>
        <v>0</v>
      </c>
      <c r="Z630" s="50">
        <f>SUMIFS(INDEX(Техника!$F$1:$ABM$500,Z$2,0),Техника!$F$4:$ABM$4,"Часы",INDEX(Техника!$G$1:$ABN$500,Z$2,0),$A$627,INDEX(Техника!$H$1:$ABO$500,Z$2,0),"П")</f>
        <v>0</v>
      </c>
      <c r="AA630" s="50">
        <f>SUMIFS(INDEX(Техника!$F$1:$ABM$500,AA$2,0),Техника!$F$4:$ABM$4,"Часы",INDEX(Техника!$G$1:$ABN$500,AA$2,0),$A$627,INDEX(Техника!$H$1:$ABO$500,AA$2,0),"П")</f>
        <v>0</v>
      </c>
      <c r="AB630" s="50">
        <f>SUMIFS(INDEX(Техника!$F$1:$ABM$500,AB$2,0),Техника!$F$4:$ABM$4,"Часы",INDEX(Техника!$G$1:$ABN$500,AB$2,0),$A$627,INDEX(Техника!$H$1:$ABO$500,AB$2,0),"П")</f>
        <v>0</v>
      </c>
    </row>
    <row r="631" spans="1:28" hidden="1" outlineLevel="1" x14ac:dyDescent="0.3">
      <c r="A631" s="33" t="s">
        <v>243</v>
      </c>
      <c r="B631" s="34" t="s">
        <v>278</v>
      </c>
      <c r="C631" s="50">
        <f>SUMIFS(INDEX(Техника!$F$1:$ABM$500,C$2,0),Техника!$F$4:$ABM$4,"Часы",INDEX(Техника!$G$1:$ABN$500,C$2,0),$A$627,INDEX(Техника!$H$1:$ABO$500,C$2,0),"Л")</f>
        <v>0</v>
      </c>
      <c r="D631" s="50">
        <f>SUMIFS(INDEX(Техника!$F$1:$ABM$500,D$2,0),Техника!$F$4:$ABM$4,"Часы",INDEX(Техника!$G$1:$ABN$500,D$2,0),$A$627,INDEX(Техника!$H$1:$ABO$500,D$2,0),"Л")</f>
        <v>0</v>
      </c>
      <c r="E631" s="50">
        <f>SUMIFS(INDEX(Техника!$F$1:$ABM$500,E$2,0),Техника!$F$4:$ABM$4,"Часы",INDEX(Техника!$G$1:$ABN$500,E$2,0),$A$627,INDEX(Техника!$H$1:$ABO$500,E$2,0),"Л")</f>
        <v>0</v>
      </c>
      <c r="F631" s="50">
        <f>SUMIFS(INDEX(Техника!$F$1:$ABM$500,F$2,0),Техника!$F$4:$ABM$4,"Часы",INDEX(Техника!$G$1:$ABN$500,F$2,0),$A$627,INDEX(Техника!$H$1:$ABO$500,F$2,0),"Л")</f>
        <v>0</v>
      </c>
      <c r="G631" s="50">
        <f>SUMIFS(INDEX(Техника!$F$1:$ABM$500,G$2,0),Техника!$F$4:$ABM$4,"Часы",INDEX(Техника!$G$1:$ABN$500,G$2,0),$A$627,INDEX(Техника!$H$1:$ABO$500,G$2,0),"Л")</f>
        <v>0</v>
      </c>
      <c r="H631" s="50">
        <f>SUMIFS(INDEX(Техника!$F$1:$ABM$500,H$2,0),Техника!$F$4:$ABM$4,"Часы",INDEX(Техника!$G$1:$ABN$500,H$2,0),$A$627,INDEX(Техника!$H$1:$ABO$500,H$2,0),"Л")</f>
        <v>0</v>
      </c>
      <c r="I631" s="50">
        <f>SUMIFS(INDEX(Техника!$F$1:$ABM$500,I$2,0),Техника!$F$4:$ABM$4,"Часы",INDEX(Техника!$G$1:$ABN$500,I$2,0),$A$627,INDEX(Техника!$H$1:$ABO$500,I$2,0),"Л")</f>
        <v>0</v>
      </c>
      <c r="J631" s="50">
        <f>SUMIFS(INDEX(Техника!$F$1:$ABM$500,J$2,0),Техника!$F$4:$ABM$4,"Часы",INDEX(Техника!$G$1:$ABN$500,J$2,0),$A$627,INDEX(Техника!$H$1:$ABO$500,J$2,0),"Л")</f>
        <v>0</v>
      </c>
      <c r="K631" s="50">
        <f>SUMIFS(INDEX(Техника!$F$1:$ABM$500,K$2,0),Техника!$F$4:$ABM$4,"Часы",INDEX(Техника!$G$1:$ABN$500,K$2,0),$A$627,INDEX(Техника!$H$1:$ABO$500,K$2,0),"Л")</f>
        <v>0</v>
      </c>
      <c r="L631" s="50">
        <f>SUMIFS(INDEX(Техника!$F$1:$ABM$500,L$2,0),Техника!$F$4:$ABM$4,"Часы",INDEX(Техника!$G$1:$ABN$500,L$2,0),$A$627,INDEX(Техника!$H$1:$ABO$500,L$2,0),"Л")</f>
        <v>0</v>
      </c>
      <c r="M631" s="50">
        <f>SUMIFS(INDEX(Техника!$F$1:$ABM$500,M$2,0),Техника!$F$4:$ABM$4,"Часы",INDEX(Техника!$G$1:$ABN$500,M$2,0),$A$627,INDEX(Техника!$H$1:$ABO$500,M$2,0),"Л")</f>
        <v>0</v>
      </c>
      <c r="N631" s="50">
        <f>SUMIFS(INDEX(Техника!$F$1:$ABM$500,N$2,0),Техника!$F$4:$ABM$4,"Часы",INDEX(Техника!$G$1:$ABN$500,N$2,0),$A$627,INDEX(Техника!$H$1:$ABO$500,N$2,0),"Л")</f>
        <v>0</v>
      </c>
      <c r="O631" s="50">
        <f>SUMIFS(INDEX(Техника!$F$1:$ABM$500,O$2,0),Техника!$F$4:$ABM$4,"Часы",INDEX(Техника!$G$1:$ABN$500,O$2,0),$A$627,INDEX(Техника!$H$1:$ABO$500,O$2,0),"Л")</f>
        <v>0</v>
      </c>
      <c r="P631" s="50">
        <f>SUMIFS(INDEX(Техника!$F$1:$ABM$500,P$2,0),Техника!$F$4:$ABM$4,"Часы",INDEX(Техника!$G$1:$ABN$500,P$2,0),$A$627,INDEX(Техника!$H$1:$ABO$500,P$2,0),"Л")</f>
        <v>0</v>
      </c>
      <c r="Q631" s="50">
        <f>SUMIFS(INDEX(Техника!$F$1:$ABM$500,Q$2,0),Техника!$F$4:$ABM$4,"Часы",INDEX(Техника!$G$1:$ABN$500,Q$2,0),$A$627,INDEX(Техника!$H$1:$ABO$500,Q$2,0),"Л")</f>
        <v>0</v>
      </c>
      <c r="R631" s="50">
        <f>SUMIFS(INDEX(Техника!$F$1:$ABM$500,R$2,0),Техника!$F$4:$ABM$4,"Часы",INDEX(Техника!$G$1:$ABN$500,R$2,0),$A$627,INDEX(Техника!$H$1:$ABO$500,R$2,0),"Л")</f>
        <v>0</v>
      </c>
      <c r="S631" s="50">
        <f>SUMIFS(INDEX(Техника!$F$1:$ABM$500,S$2,0),Техника!$F$4:$ABM$4,"Часы",INDEX(Техника!$G$1:$ABN$500,S$2,0),$A$627,INDEX(Техника!$H$1:$ABO$500,S$2,0),"Л")</f>
        <v>0</v>
      </c>
      <c r="T631" s="50">
        <f>SUMIFS(INDEX(Техника!$F$1:$ABM$500,T$2,0),Техника!$F$4:$ABM$4,"Часы",INDEX(Техника!$G$1:$ABN$500,T$2,0),$A$627,INDEX(Техника!$H$1:$ABO$500,T$2,0),"Л")</f>
        <v>0</v>
      </c>
      <c r="U631" s="50">
        <f>SUMIFS(INDEX(Техника!$F$1:$ABM$500,U$2,0),Техника!$F$4:$ABM$4,"Часы",INDEX(Техника!$G$1:$ABN$500,U$2,0),$A$627,INDEX(Техника!$H$1:$ABO$500,U$2,0),"Л")</f>
        <v>0</v>
      </c>
      <c r="V631" s="50">
        <f>SUMIFS(INDEX(Техника!$F$1:$ABM$500,V$2,0),Техника!$F$4:$ABM$4,"Часы",INDEX(Техника!$G$1:$ABN$500,V$2,0),$A$627,INDEX(Техника!$H$1:$ABO$500,V$2,0),"Л")</f>
        <v>0</v>
      </c>
      <c r="W631" s="50">
        <f>SUMIFS(INDEX(Техника!$F$1:$ABM$500,W$2,0),Техника!$F$4:$ABM$4,"Часы",INDEX(Техника!$G$1:$ABN$500,W$2,0),$A$627,INDEX(Техника!$H$1:$ABO$500,W$2,0),"Л")</f>
        <v>0</v>
      </c>
      <c r="X631" s="50">
        <f>SUMIFS(INDEX(Техника!$F$1:$ABM$500,X$2,0),Техника!$F$4:$ABM$4,"Часы",INDEX(Техника!$G$1:$ABN$500,X$2,0),$A$627,INDEX(Техника!$H$1:$ABO$500,X$2,0),"Л")</f>
        <v>0</v>
      </c>
      <c r="Y631" s="50">
        <f>SUMIFS(INDEX(Техника!$F$1:$ABM$500,Y$2,0),Техника!$F$4:$ABM$4,"Часы",INDEX(Техника!$G$1:$ABN$500,Y$2,0),$A$627,INDEX(Техника!$H$1:$ABO$500,Y$2,0),"Л")</f>
        <v>0</v>
      </c>
      <c r="Z631" s="50">
        <f>SUMIFS(INDEX(Техника!$F$1:$ABM$500,Z$2,0),Техника!$F$4:$ABM$4,"Часы",INDEX(Техника!$G$1:$ABN$500,Z$2,0),$A$627,INDEX(Техника!$H$1:$ABO$500,Z$2,0),"Л")</f>
        <v>0</v>
      </c>
      <c r="AA631" s="50">
        <f>SUMIFS(INDEX(Техника!$F$1:$ABM$500,AA$2,0),Техника!$F$4:$ABM$4,"Часы",INDEX(Техника!$G$1:$ABN$500,AA$2,0),$A$627,INDEX(Техника!$H$1:$ABO$500,AA$2,0),"Л")</f>
        <v>0</v>
      </c>
      <c r="AB631" s="50">
        <f>SUMIFS(INDEX(Техника!$F$1:$ABM$500,AB$2,0),Техника!$F$4:$ABM$4,"Часы",INDEX(Техника!$G$1:$ABN$500,AB$2,0),$A$627,INDEX(Техника!$H$1:$ABO$500,AB$2,0),"Л")</f>
        <v>0</v>
      </c>
    </row>
    <row r="632" spans="1:28" hidden="1" outlineLevel="1" x14ac:dyDescent="0.3">
      <c r="A632" s="33" t="s">
        <v>245</v>
      </c>
      <c r="B632" s="34" t="s">
        <v>279</v>
      </c>
      <c r="C632" s="50">
        <f>SUMIFS(INDEX(Техника!$F$1:$ABM$500,C$2,0),Техника!$F$4:$ABM$4,"Часы",INDEX(Техника!$G$1:$ABN$500,C$2,0),$A$627,INDEX(Техника!$H$1:$ABO$500,C$2,0),"З")</f>
        <v>0</v>
      </c>
      <c r="D632" s="50">
        <f>SUMIFS(INDEX(Техника!$F$1:$ABM$500,D$2,0),Техника!$F$4:$ABM$4,"Часы",INDEX(Техника!$G$1:$ABN$500,D$2,0),$A$627,INDEX(Техника!$H$1:$ABO$500,D$2,0),"З")</f>
        <v>0</v>
      </c>
      <c r="E632" s="50">
        <f>SUMIFS(INDEX(Техника!$F$1:$ABM$500,E$2,0),Техника!$F$4:$ABM$4,"Часы",INDEX(Техника!$G$1:$ABN$500,E$2,0),$A$627,INDEX(Техника!$H$1:$ABO$500,E$2,0),"З")</f>
        <v>0</v>
      </c>
      <c r="F632" s="50">
        <f>SUMIFS(INDEX(Техника!$F$1:$ABM$500,F$2,0),Техника!$F$4:$ABM$4,"Часы",INDEX(Техника!$G$1:$ABN$500,F$2,0),$A$627,INDEX(Техника!$H$1:$ABO$500,F$2,0),"З")</f>
        <v>0</v>
      </c>
      <c r="G632" s="50">
        <f>SUMIFS(INDEX(Техника!$F$1:$ABM$500,G$2,0),Техника!$F$4:$ABM$4,"Часы",INDEX(Техника!$G$1:$ABN$500,G$2,0),$A$627,INDEX(Техника!$H$1:$ABO$500,G$2,0),"З")</f>
        <v>0</v>
      </c>
      <c r="H632" s="50">
        <f>SUMIFS(INDEX(Техника!$F$1:$ABM$500,H$2,0),Техника!$F$4:$ABM$4,"Часы",INDEX(Техника!$G$1:$ABN$500,H$2,0),$A$627,INDEX(Техника!$H$1:$ABO$500,H$2,0),"З")</f>
        <v>0</v>
      </c>
      <c r="I632" s="50">
        <f>SUMIFS(INDEX(Техника!$F$1:$ABM$500,I$2,0),Техника!$F$4:$ABM$4,"Часы",INDEX(Техника!$G$1:$ABN$500,I$2,0),$A$627,INDEX(Техника!$H$1:$ABO$500,I$2,0),"З")</f>
        <v>0</v>
      </c>
      <c r="J632" s="50">
        <f>SUMIFS(INDEX(Техника!$F$1:$ABM$500,J$2,0),Техника!$F$4:$ABM$4,"Часы",INDEX(Техника!$G$1:$ABN$500,J$2,0),$A$627,INDEX(Техника!$H$1:$ABO$500,J$2,0),"З")</f>
        <v>0</v>
      </c>
      <c r="K632" s="50">
        <f>SUMIFS(INDEX(Техника!$F$1:$ABM$500,K$2,0),Техника!$F$4:$ABM$4,"Часы",INDEX(Техника!$G$1:$ABN$500,K$2,0),$A$627,INDEX(Техника!$H$1:$ABO$500,K$2,0),"З")</f>
        <v>0</v>
      </c>
      <c r="L632" s="50">
        <f>SUMIFS(INDEX(Техника!$F$1:$ABM$500,L$2,0),Техника!$F$4:$ABM$4,"Часы",INDEX(Техника!$G$1:$ABN$500,L$2,0),$A$627,INDEX(Техника!$H$1:$ABO$500,L$2,0),"З")</f>
        <v>0</v>
      </c>
      <c r="M632" s="50">
        <f>SUMIFS(INDEX(Техника!$F$1:$ABM$500,M$2,0),Техника!$F$4:$ABM$4,"Часы",INDEX(Техника!$G$1:$ABN$500,M$2,0),$A$627,INDEX(Техника!$H$1:$ABO$500,M$2,0),"З")</f>
        <v>0</v>
      </c>
      <c r="N632" s="50">
        <f>SUMIFS(INDEX(Техника!$F$1:$ABM$500,N$2,0),Техника!$F$4:$ABM$4,"Часы",INDEX(Техника!$G$1:$ABN$500,N$2,0),$A$627,INDEX(Техника!$H$1:$ABO$500,N$2,0),"З")</f>
        <v>0</v>
      </c>
      <c r="O632" s="50">
        <f>SUMIFS(INDEX(Техника!$F$1:$ABM$500,O$2,0),Техника!$F$4:$ABM$4,"Часы",INDEX(Техника!$G$1:$ABN$500,O$2,0),$A$627,INDEX(Техника!$H$1:$ABO$500,O$2,0),"З")</f>
        <v>0</v>
      </c>
      <c r="P632" s="50">
        <f>SUMIFS(INDEX(Техника!$F$1:$ABM$500,P$2,0),Техника!$F$4:$ABM$4,"Часы",INDEX(Техника!$G$1:$ABN$500,P$2,0),$A$627,INDEX(Техника!$H$1:$ABO$500,P$2,0),"З")</f>
        <v>0</v>
      </c>
      <c r="Q632" s="50">
        <f>SUMIFS(INDEX(Техника!$F$1:$ABM$500,Q$2,0),Техника!$F$4:$ABM$4,"Часы",INDEX(Техника!$G$1:$ABN$500,Q$2,0),$A$627,INDEX(Техника!$H$1:$ABO$500,Q$2,0),"З")</f>
        <v>0</v>
      </c>
      <c r="R632" s="50">
        <f>SUMIFS(INDEX(Техника!$F$1:$ABM$500,R$2,0),Техника!$F$4:$ABM$4,"Часы",INDEX(Техника!$G$1:$ABN$500,R$2,0),$A$627,INDEX(Техника!$H$1:$ABO$500,R$2,0),"З")</f>
        <v>0</v>
      </c>
      <c r="S632" s="50">
        <f>SUMIFS(INDEX(Техника!$F$1:$ABM$500,S$2,0),Техника!$F$4:$ABM$4,"Часы",INDEX(Техника!$G$1:$ABN$500,S$2,0),$A$627,INDEX(Техника!$H$1:$ABO$500,S$2,0),"З")</f>
        <v>0</v>
      </c>
      <c r="T632" s="50">
        <f>SUMIFS(INDEX(Техника!$F$1:$ABM$500,T$2,0),Техника!$F$4:$ABM$4,"Часы",INDEX(Техника!$G$1:$ABN$500,T$2,0),$A$627,INDEX(Техника!$H$1:$ABO$500,T$2,0),"З")</f>
        <v>0</v>
      </c>
      <c r="U632" s="50">
        <f>SUMIFS(INDEX(Техника!$F$1:$ABM$500,U$2,0),Техника!$F$4:$ABM$4,"Часы",INDEX(Техника!$G$1:$ABN$500,U$2,0),$A$627,INDEX(Техника!$H$1:$ABO$500,U$2,0),"З")</f>
        <v>0</v>
      </c>
      <c r="V632" s="50">
        <f>SUMIFS(INDEX(Техника!$F$1:$ABM$500,V$2,0),Техника!$F$4:$ABM$4,"Часы",INDEX(Техника!$G$1:$ABN$500,V$2,0),$A$627,INDEX(Техника!$H$1:$ABO$500,V$2,0),"З")</f>
        <v>0</v>
      </c>
      <c r="W632" s="50">
        <f>SUMIFS(INDEX(Техника!$F$1:$ABM$500,W$2,0),Техника!$F$4:$ABM$4,"Часы",INDEX(Техника!$G$1:$ABN$500,W$2,0),$A$627,INDEX(Техника!$H$1:$ABO$500,W$2,0),"З")</f>
        <v>0</v>
      </c>
      <c r="X632" s="50">
        <f>SUMIFS(INDEX(Техника!$F$1:$ABM$500,X$2,0),Техника!$F$4:$ABM$4,"Часы",INDEX(Техника!$G$1:$ABN$500,X$2,0),$A$627,INDEX(Техника!$H$1:$ABO$500,X$2,0),"З")</f>
        <v>0</v>
      </c>
      <c r="Y632" s="50">
        <f>SUMIFS(INDEX(Техника!$F$1:$ABM$500,Y$2,0),Техника!$F$4:$ABM$4,"Часы",INDEX(Техника!$G$1:$ABN$500,Y$2,0),$A$627,INDEX(Техника!$H$1:$ABO$500,Y$2,0),"З")</f>
        <v>0</v>
      </c>
      <c r="Z632" s="50">
        <f>SUMIFS(INDEX(Техника!$F$1:$ABM$500,Z$2,0),Техника!$F$4:$ABM$4,"Часы",INDEX(Техника!$G$1:$ABN$500,Z$2,0),$A$627,INDEX(Техника!$H$1:$ABO$500,Z$2,0),"З")</f>
        <v>0</v>
      </c>
      <c r="AA632" s="50">
        <f>SUMIFS(INDEX(Техника!$F$1:$ABM$500,AA$2,0),Техника!$F$4:$ABM$4,"Часы",INDEX(Техника!$G$1:$ABN$500,AA$2,0),$A$627,INDEX(Техника!$H$1:$ABO$500,AA$2,0),"З")</f>
        <v>0</v>
      </c>
      <c r="AB632" s="50">
        <f>SUMIFS(INDEX(Техника!$F$1:$ABM$500,AB$2,0),Техника!$F$4:$ABM$4,"Часы",INDEX(Техника!$G$1:$ABN$500,AB$2,0),$A$627,INDEX(Техника!$H$1:$ABO$500,AB$2,0),"З")</f>
        <v>0</v>
      </c>
    </row>
    <row r="633" spans="1:28" ht="7.95" customHeight="1" x14ac:dyDescent="0.3">
      <c r="A633" s="38"/>
      <c r="B633" s="39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</row>
    <row r="634" spans="1:28" ht="25.05" customHeight="1" collapsed="1" x14ac:dyDescent="0.3">
      <c r="A634" s="32">
        <v>91</v>
      </c>
      <c r="B634" s="32" t="s">
        <v>92</v>
      </c>
      <c r="C634" s="49">
        <f>SUM(C635:C639)</f>
        <v>0</v>
      </c>
      <c r="D634" s="49">
        <f>SUM(D635:D639)</f>
        <v>0</v>
      </c>
      <c r="E634" s="49">
        <f>SUM(E635:E639)</f>
        <v>0</v>
      </c>
      <c r="F634" s="49">
        <f>SUM(F635:F639)</f>
        <v>0</v>
      </c>
      <c r="G634" s="49">
        <f>SUM(G635:G639)</f>
        <v>0</v>
      </c>
      <c r="H634" s="49">
        <f>SUM(H635:H639)</f>
        <v>0</v>
      </c>
      <c r="I634" s="49">
        <f>SUM(I635:I639)</f>
        <v>0</v>
      </c>
      <c r="J634" s="49">
        <f>SUM(J635:J639)</f>
        <v>0</v>
      </c>
      <c r="K634" s="49">
        <f>SUM(K635:K639)</f>
        <v>0</v>
      </c>
      <c r="L634" s="49">
        <f>SUM(L635:L639)</f>
        <v>0</v>
      </c>
      <c r="M634" s="49">
        <f>SUM(M635:M639)</f>
        <v>0</v>
      </c>
      <c r="N634" s="49">
        <f>SUM(N635:N639)</f>
        <v>0</v>
      </c>
      <c r="O634" s="49">
        <f>SUM(O635:O639)</f>
        <v>0</v>
      </c>
      <c r="P634" s="49">
        <f>SUM(P635:P639)</f>
        <v>0</v>
      </c>
      <c r="Q634" s="49">
        <f>SUM(Q635:Q639)</f>
        <v>0</v>
      </c>
      <c r="R634" s="49">
        <f>SUM(R635:R639)</f>
        <v>0</v>
      </c>
      <c r="S634" s="49">
        <f>SUM(S635:S639)</f>
        <v>0</v>
      </c>
      <c r="T634" s="49">
        <f>SUM(T635:T639)</f>
        <v>0</v>
      </c>
      <c r="U634" s="49">
        <f>SUM(U635:U639)</f>
        <v>0</v>
      </c>
      <c r="V634" s="49">
        <f>SUM(V635:V639)</f>
        <v>0</v>
      </c>
      <c r="W634" s="49">
        <f>SUM(W635:W639)</f>
        <v>0</v>
      </c>
      <c r="X634" s="49">
        <f>SUM(X635:X639)</f>
        <v>0</v>
      </c>
      <c r="Y634" s="49">
        <f>SUM(Y635:Y639)</f>
        <v>0</v>
      </c>
      <c r="Z634" s="49">
        <f>SUM(Z635:Z639)</f>
        <v>0</v>
      </c>
      <c r="AA634" s="49">
        <f>SUM(AA635:AA639)</f>
        <v>0</v>
      </c>
      <c r="AB634" s="49">
        <f>SUM(AB635:AB639)</f>
        <v>0</v>
      </c>
    </row>
    <row r="635" spans="1:28" hidden="1" outlineLevel="1" x14ac:dyDescent="0.3">
      <c r="A635" s="33" t="s">
        <v>246</v>
      </c>
      <c r="B635" s="34" t="s">
        <v>274</v>
      </c>
      <c r="C635" s="50">
        <f>SUMIFS(INDEX(Техника!$F$1:$ABM$500,C$2,0),Техника!$F$4:$ABM$4,"Часы",INDEX(Техника!$G$1:$ABN$500,C$2,0),$A$634,INDEX(Техника!$H$1:$ABO$500,C$2,0),"М")</f>
        <v>0</v>
      </c>
      <c r="D635" s="50">
        <f>SUMIFS(INDEX(Техника!$F$1:$ABM$500,D$2,0),Техника!$F$4:$ABM$4,"Часы",INDEX(Техника!$G$1:$ABN$500,D$2,0),$A$634,INDEX(Техника!$H$1:$ABO$500,D$2,0),"М")</f>
        <v>0</v>
      </c>
      <c r="E635" s="50">
        <f>SUMIFS(INDEX(Техника!$F$1:$ABM$500,E$2,0),Техника!$F$4:$ABM$4,"Часы",INDEX(Техника!$G$1:$ABN$500,E$2,0),$A$634,INDEX(Техника!$H$1:$ABO$500,E$2,0),"М")</f>
        <v>0</v>
      </c>
      <c r="F635" s="50">
        <f>SUMIFS(INDEX(Техника!$F$1:$ABM$500,F$2,0),Техника!$F$4:$ABM$4,"Часы",INDEX(Техника!$G$1:$ABN$500,F$2,0),$A$634,INDEX(Техника!$H$1:$ABO$500,F$2,0),"М")</f>
        <v>0</v>
      </c>
      <c r="G635" s="50">
        <f>SUMIFS(INDEX(Техника!$F$1:$ABM$500,G$2,0),Техника!$F$4:$ABM$4,"Часы",INDEX(Техника!$G$1:$ABN$500,G$2,0),$A$634,INDEX(Техника!$H$1:$ABO$500,G$2,0),"М")</f>
        <v>0</v>
      </c>
      <c r="H635" s="50">
        <f>SUMIFS(INDEX(Техника!$F$1:$ABM$500,H$2,0),Техника!$F$4:$ABM$4,"Часы",INDEX(Техника!$G$1:$ABN$500,H$2,0),$A$634,INDEX(Техника!$H$1:$ABO$500,H$2,0),"М")</f>
        <v>0</v>
      </c>
      <c r="I635" s="50">
        <f>SUMIFS(INDEX(Техника!$F$1:$ABM$500,I$2,0),Техника!$F$4:$ABM$4,"Часы",INDEX(Техника!$G$1:$ABN$500,I$2,0),$A$634,INDEX(Техника!$H$1:$ABO$500,I$2,0),"М")</f>
        <v>0</v>
      </c>
      <c r="J635" s="50">
        <f>SUMIFS(INDEX(Техника!$F$1:$ABM$500,J$2,0),Техника!$F$4:$ABM$4,"Часы",INDEX(Техника!$G$1:$ABN$500,J$2,0),$A$634,INDEX(Техника!$H$1:$ABO$500,J$2,0),"М")</f>
        <v>0</v>
      </c>
      <c r="K635" s="50">
        <f>SUMIFS(INDEX(Техника!$F$1:$ABM$500,K$2,0),Техника!$F$4:$ABM$4,"Часы",INDEX(Техника!$G$1:$ABN$500,K$2,0),$A$634,INDEX(Техника!$H$1:$ABO$500,K$2,0),"М")</f>
        <v>0</v>
      </c>
      <c r="L635" s="50">
        <f>SUMIFS(INDEX(Техника!$F$1:$ABM$500,L$2,0),Техника!$F$4:$ABM$4,"Часы",INDEX(Техника!$G$1:$ABN$500,L$2,0),$A$634,INDEX(Техника!$H$1:$ABO$500,L$2,0),"М")</f>
        <v>0</v>
      </c>
      <c r="M635" s="50">
        <f>SUMIFS(INDEX(Техника!$F$1:$ABM$500,M$2,0),Техника!$F$4:$ABM$4,"Часы",INDEX(Техника!$G$1:$ABN$500,M$2,0),$A$634,INDEX(Техника!$H$1:$ABO$500,M$2,0),"М")</f>
        <v>0</v>
      </c>
      <c r="N635" s="50">
        <f>SUMIFS(INDEX(Техника!$F$1:$ABM$500,N$2,0),Техника!$F$4:$ABM$4,"Часы",INDEX(Техника!$G$1:$ABN$500,N$2,0),$A$634,INDEX(Техника!$H$1:$ABO$500,N$2,0),"М")</f>
        <v>0</v>
      </c>
      <c r="O635" s="50">
        <f>SUMIFS(INDEX(Техника!$F$1:$ABM$500,O$2,0),Техника!$F$4:$ABM$4,"Часы",INDEX(Техника!$G$1:$ABN$500,O$2,0),$A$634,INDEX(Техника!$H$1:$ABO$500,O$2,0),"М")</f>
        <v>0</v>
      </c>
      <c r="P635" s="50">
        <f>SUMIFS(INDEX(Техника!$F$1:$ABM$500,P$2,0),Техника!$F$4:$ABM$4,"Часы",INDEX(Техника!$G$1:$ABN$500,P$2,0),$A$634,INDEX(Техника!$H$1:$ABO$500,P$2,0),"М")</f>
        <v>0</v>
      </c>
      <c r="Q635" s="50">
        <f>SUMIFS(INDEX(Техника!$F$1:$ABM$500,Q$2,0),Техника!$F$4:$ABM$4,"Часы",INDEX(Техника!$G$1:$ABN$500,Q$2,0),$A$634,INDEX(Техника!$H$1:$ABO$500,Q$2,0),"М")</f>
        <v>0</v>
      </c>
      <c r="R635" s="50">
        <f>SUMIFS(INDEX(Техника!$F$1:$ABM$500,R$2,0),Техника!$F$4:$ABM$4,"Часы",INDEX(Техника!$G$1:$ABN$500,R$2,0),$A$634,INDEX(Техника!$H$1:$ABO$500,R$2,0),"М")</f>
        <v>0</v>
      </c>
      <c r="S635" s="50">
        <f>SUMIFS(INDEX(Техника!$F$1:$ABM$500,S$2,0),Техника!$F$4:$ABM$4,"Часы",INDEX(Техника!$G$1:$ABN$500,S$2,0),$A$634,INDEX(Техника!$H$1:$ABO$500,S$2,0),"М")</f>
        <v>0</v>
      </c>
      <c r="T635" s="50">
        <f>SUMIFS(INDEX(Техника!$F$1:$ABM$500,T$2,0),Техника!$F$4:$ABM$4,"Часы",INDEX(Техника!$G$1:$ABN$500,T$2,0),$A$634,INDEX(Техника!$H$1:$ABO$500,T$2,0),"М")</f>
        <v>0</v>
      </c>
      <c r="U635" s="50">
        <f>SUMIFS(INDEX(Техника!$F$1:$ABM$500,U$2,0),Техника!$F$4:$ABM$4,"Часы",INDEX(Техника!$G$1:$ABN$500,U$2,0),$A$634,INDEX(Техника!$H$1:$ABO$500,U$2,0),"М")</f>
        <v>0</v>
      </c>
      <c r="V635" s="50">
        <f>SUMIFS(INDEX(Техника!$F$1:$ABM$500,V$2,0),Техника!$F$4:$ABM$4,"Часы",INDEX(Техника!$G$1:$ABN$500,V$2,0),$A$634,INDEX(Техника!$H$1:$ABO$500,V$2,0),"М")</f>
        <v>0</v>
      </c>
      <c r="W635" s="50">
        <f>SUMIFS(INDEX(Техника!$F$1:$ABM$500,W$2,0),Техника!$F$4:$ABM$4,"Часы",INDEX(Техника!$G$1:$ABN$500,W$2,0),$A$634,INDEX(Техника!$H$1:$ABO$500,W$2,0),"М")</f>
        <v>0</v>
      </c>
      <c r="X635" s="50">
        <f>SUMIFS(INDEX(Техника!$F$1:$ABM$500,X$2,0),Техника!$F$4:$ABM$4,"Часы",INDEX(Техника!$G$1:$ABN$500,X$2,0),$A$634,INDEX(Техника!$H$1:$ABO$500,X$2,0),"М")</f>
        <v>0</v>
      </c>
      <c r="Y635" s="50">
        <f>SUMIFS(INDEX(Техника!$F$1:$ABM$500,Y$2,0),Техника!$F$4:$ABM$4,"Часы",INDEX(Техника!$G$1:$ABN$500,Y$2,0),$A$634,INDEX(Техника!$H$1:$ABO$500,Y$2,0),"М")</f>
        <v>0</v>
      </c>
      <c r="Z635" s="50">
        <f>SUMIFS(INDEX(Техника!$F$1:$ABM$500,Z$2,0),Техника!$F$4:$ABM$4,"Часы",INDEX(Техника!$G$1:$ABN$500,Z$2,0),$A$634,INDEX(Техника!$H$1:$ABO$500,Z$2,0),"М")</f>
        <v>0</v>
      </c>
      <c r="AA635" s="50">
        <f>SUMIFS(INDEX(Техника!$F$1:$ABM$500,AA$2,0),Техника!$F$4:$ABM$4,"Часы",INDEX(Техника!$G$1:$ABN$500,AA$2,0),$A$634,INDEX(Техника!$H$1:$ABO$500,AA$2,0),"М")</f>
        <v>0</v>
      </c>
      <c r="AB635" s="50">
        <f>SUMIFS(INDEX(Техника!$F$1:$ABM$500,AB$2,0),Техника!$F$4:$ABM$4,"Часы",INDEX(Техника!$G$1:$ABN$500,AB$2,0),$A$634,INDEX(Техника!$H$1:$ABO$500,AB$2,0),"М")</f>
        <v>0</v>
      </c>
    </row>
    <row r="636" spans="1:28" hidden="1" outlineLevel="1" x14ac:dyDescent="0.3">
      <c r="A636" s="33" t="s">
        <v>244</v>
      </c>
      <c r="B636" s="34" t="s">
        <v>275</v>
      </c>
      <c r="C636" s="50">
        <f>SUMIFS(INDEX(Техника!$F$1:$ABM$500,C$2,0),Техника!$F$4:$ABM$4,"Часы",INDEX(Техника!$G$1:$ABN$500,C$2,0),$A$634,INDEX(Техника!$H$1:$ABO$500,C$2,0),"Д")</f>
        <v>0</v>
      </c>
      <c r="D636" s="50">
        <f>SUMIFS(INDEX(Техника!$F$1:$ABM$500,D$2,0),Техника!$F$4:$ABM$4,"Часы",INDEX(Техника!$G$1:$ABN$500,D$2,0),$A$634,INDEX(Техника!$H$1:$ABO$500,D$2,0),"Д")</f>
        <v>0</v>
      </c>
      <c r="E636" s="50">
        <f>SUMIFS(INDEX(Техника!$F$1:$ABM$500,E$2,0),Техника!$F$4:$ABM$4,"Часы",INDEX(Техника!$G$1:$ABN$500,E$2,0),$A$634,INDEX(Техника!$H$1:$ABO$500,E$2,0),"Д")</f>
        <v>0</v>
      </c>
      <c r="F636" s="50">
        <f>SUMIFS(INDEX(Техника!$F$1:$ABM$500,F$2,0),Техника!$F$4:$ABM$4,"Часы",INDEX(Техника!$G$1:$ABN$500,F$2,0),$A$634,INDEX(Техника!$H$1:$ABO$500,F$2,0),"Д")</f>
        <v>0</v>
      </c>
      <c r="G636" s="50">
        <f>SUMIFS(INDEX(Техника!$F$1:$ABM$500,G$2,0),Техника!$F$4:$ABM$4,"Часы",INDEX(Техника!$G$1:$ABN$500,G$2,0),$A$634,INDEX(Техника!$H$1:$ABO$500,G$2,0),"Д")</f>
        <v>0</v>
      </c>
      <c r="H636" s="50">
        <f>SUMIFS(INDEX(Техника!$F$1:$ABM$500,H$2,0),Техника!$F$4:$ABM$4,"Часы",INDEX(Техника!$G$1:$ABN$500,H$2,0),$A$634,INDEX(Техника!$H$1:$ABO$500,H$2,0),"Д")</f>
        <v>0</v>
      </c>
      <c r="I636" s="50">
        <f>SUMIFS(INDEX(Техника!$F$1:$ABM$500,I$2,0),Техника!$F$4:$ABM$4,"Часы",INDEX(Техника!$G$1:$ABN$500,I$2,0),$A$634,INDEX(Техника!$H$1:$ABO$500,I$2,0),"Д")</f>
        <v>0</v>
      </c>
      <c r="J636" s="50">
        <f>SUMIFS(INDEX(Техника!$F$1:$ABM$500,J$2,0),Техника!$F$4:$ABM$4,"Часы",INDEX(Техника!$G$1:$ABN$500,J$2,0),$A$634,INDEX(Техника!$H$1:$ABO$500,J$2,0),"Д")</f>
        <v>0</v>
      </c>
      <c r="K636" s="50">
        <f>SUMIFS(INDEX(Техника!$F$1:$ABM$500,K$2,0),Техника!$F$4:$ABM$4,"Часы",INDEX(Техника!$G$1:$ABN$500,K$2,0),$A$634,INDEX(Техника!$H$1:$ABO$500,K$2,0),"Д")</f>
        <v>0</v>
      </c>
      <c r="L636" s="50">
        <f>SUMIFS(INDEX(Техника!$F$1:$ABM$500,L$2,0),Техника!$F$4:$ABM$4,"Часы",INDEX(Техника!$G$1:$ABN$500,L$2,0),$A$634,INDEX(Техника!$H$1:$ABO$500,L$2,0),"Д")</f>
        <v>0</v>
      </c>
      <c r="M636" s="50">
        <f>SUMIFS(INDEX(Техника!$F$1:$ABM$500,M$2,0),Техника!$F$4:$ABM$4,"Часы",INDEX(Техника!$G$1:$ABN$500,M$2,0),$A$634,INDEX(Техника!$H$1:$ABO$500,M$2,0),"Д")</f>
        <v>0</v>
      </c>
      <c r="N636" s="50">
        <f>SUMIFS(INDEX(Техника!$F$1:$ABM$500,N$2,0),Техника!$F$4:$ABM$4,"Часы",INDEX(Техника!$G$1:$ABN$500,N$2,0),$A$634,INDEX(Техника!$H$1:$ABO$500,N$2,0),"Д")</f>
        <v>0</v>
      </c>
      <c r="O636" s="50">
        <f>SUMIFS(INDEX(Техника!$F$1:$ABM$500,O$2,0),Техника!$F$4:$ABM$4,"Часы",INDEX(Техника!$G$1:$ABN$500,O$2,0),$A$634,INDEX(Техника!$H$1:$ABO$500,O$2,0),"Д")</f>
        <v>0</v>
      </c>
      <c r="P636" s="50">
        <f>SUMIFS(INDEX(Техника!$F$1:$ABM$500,P$2,0),Техника!$F$4:$ABM$4,"Часы",INDEX(Техника!$G$1:$ABN$500,P$2,0),$A$634,INDEX(Техника!$H$1:$ABO$500,P$2,0),"Д")</f>
        <v>0</v>
      </c>
      <c r="Q636" s="50">
        <f>SUMIFS(INDEX(Техника!$F$1:$ABM$500,Q$2,0),Техника!$F$4:$ABM$4,"Часы",INDEX(Техника!$G$1:$ABN$500,Q$2,0),$A$634,INDEX(Техника!$H$1:$ABO$500,Q$2,0),"Д")</f>
        <v>0</v>
      </c>
      <c r="R636" s="50">
        <f>SUMIFS(INDEX(Техника!$F$1:$ABM$500,R$2,0),Техника!$F$4:$ABM$4,"Часы",INDEX(Техника!$G$1:$ABN$500,R$2,0),$A$634,INDEX(Техника!$H$1:$ABO$500,R$2,0),"Д")</f>
        <v>0</v>
      </c>
      <c r="S636" s="50">
        <f>SUMIFS(INDEX(Техника!$F$1:$ABM$500,S$2,0),Техника!$F$4:$ABM$4,"Часы",INDEX(Техника!$G$1:$ABN$500,S$2,0),$A$634,INDEX(Техника!$H$1:$ABO$500,S$2,0),"Д")</f>
        <v>0</v>
      </c>
      <c r="T636" s="50">
        <f>SUMIFS(INDEX(Техника!$F$1:$ABM$500,T$2,0),Техника!$F$4:$ABM$4,"Часы",INDEX(Техника!$G$1:$ABN$500,T$2,0),$A$634,INDEX(Техника!$H$1:$ABO$500,T$2,0),"Д")</f>
        <v>0</v>
      </c>
      <c r="U636" s="50">
        <f>SUMIFS(INDEX(Техника!$F$1:$ABM$500,U$2,0),Техника!$F$4:$ABM$4,"Часы",INDEX(Техника!$G$1:$ABN$500,U$2,0),$A$634,INDEX(Техника!$H$1:$ABO$500,U$2,0),"Д")</f>
        <v>0</v>
      </c>
      <c r="V636" s="50">
        <f>SUMIFS(INDEX(Техника!$F$1:$ABM$500,V$2,0),Техника!$F$4:$ABM$4,"Часы",INDEX(Техника!$G$1:$ABN$500,V$2,0),$A$634,INDEX(Техника!$H$1:$ABO$500,V$2,0),"Д")</f>
        <v>0</v>
      </c>
      <c r="W636" s="50">
        <f>SUMIFS(INDEX(Техника!$F$1:$ABM$500,W$2,0),Техника!$F$4:$ABM$4,"Часы",INDEX(Техника!$G$1:$ABN$500,W$2,0),$A$634,INDEX(Техника!$H$1:$ABO$500,W$2,0),"Д")</f>
        <v>0</v>
      </c>
      <c r="X636" s="50">
        <f>SUMIFS(INDEX(Техника!$F$1:$ABM$500,X$2,0),Техника!$F$4:$ABM$4,"Часы",INDEX(Техника!$G$1:$ABN$500,X$2,0),$A$634,INDEX(Техника!$H$1:$ABO$500,X$2,0),"Д")</f>
        <v>0</v>
      </c>
      <c r="Y636" s="50">
        <f>SUMIFS(INDEX(Техника!$F$1:$ABM$500,Y$2,0),Техника!$F$4:$ABM$4,"Часы",INDEX(Техника!$G$1:$ABN$500,Y$2,0),$A$634,INDEX(Техника!$H$1:$ABO$500,Y$2,0),"Д")</f>
        <v>0</v>
      </c>
      <c r="Z636" s="50">
        <f>SUMIFS(INDEX(Техника!$F$1:$ABM$500,Z$2,0),Техника!$F$4:$ABM$4,"Часы",INDEX(Техника!$G$1:$ABN$500,Z$2,0),$A$634,INDEX(Техника!$H$1:$ABO$500,Z$2,0),"Д")</f>
        <v>0</v>
      </c>
      <c r="AA636" s="50">
        <f>SUMIFS(INDEX(Техника!$F$1:$ABM$500,AA$2,0),Техника!$F$4:$ABM$4,"Часы",INDEX(Техника!$G$1:$ABN$500,AA$2,0),$A$634,INDEX(Техника!$H$1:$ABO$500,AA$2,0),"Д")</f>
        <v>0</v>
      </c>
      <c r="AB636" s="50">
        <f>SUMIFS(INDEX(Техника!$F$1:$ABM$500,AB$2,0),Техника!$F$4:$ABM$4,"Часы",INDEX(Техника!$G$1:$ABN$500,AB$2,0),$A$634,INDEX(Техника!$H$1:$ABO$500,AB$2,0),"Д")</f>
        <v>0</v>
      </c>
    </row>
    <row r="637" spans="1:28" hidden="1" outlineLevel="1" x14ac:dyDescent="0.3">
      <c r="A637" s="33" t="s">
        <v>276</v>
      </c>
      <c r="B637" s="34" t="s">
        <v>277</v>
      </c>
      <c r="C637" s="50">
        <f>SUMIFS(INDEX(Техника!$F$1:$ABM$500,C$2,0),Техника!$F$4:$ABM$4,"Часы",INDEX(Техника!$G$1:$ABN$500,C$2,0),$A$634,INDEX(Техника!$H$1:$ABO$500,C$2,0),"П")</f>
        <v>0</v>
      </c>
      <c r="D637" s="50">
        <f>SUMIFS(INDEX(Техника!$F$1:$ABM$500,D$2,0),Техника!$F$4:$ABM$4,"Часы",INDEX(Техника!$G$1:$ABN$500,D$2,0),$A$634,INDEX(Техника!$H$1:$ABO$500,D$2,0),"П")</f>
        <v>0</v>
      </c>
      <c r="E637" s="50">
        <f>SUMIFS(INDEX(Техника!$F$1:$ABM$500,E$2,0),Техника!$F$4:$ABM$4,"Часы",INDEX(Техника!$G$1:$ABN$500,E$2,0),$A$634,INDEX(Техника!$H$1:$ABO$500,E$2,0),"П")</f>
        <v>0</v>
      </c>
      <c r="F637" s="50">
        <f>SUMIFS(INDEX(Техника!$F$1:$ABM$500,F$2,0),Техника!$F$4:$ABM$4,"Часы",INDEX(Техника!$G$1:$ABN$500,F$2,0),$A$634,INDEX(Техника!$H$1:$ABO$500,F$2,0),"П")</f>
        <v>0</v>
      </c>
      <c r="G637" s="50">
        <f>SUMIFS(INDEX(Техника!$F$1:$ABM$500,G$2,0),Техника!$F$4:$ABM$4,"Часы",INDEX(Техника!$G$1:$ABN$500,G$2,0),$A$634,INDEX(Техника!$H$1:$ABO$500,G$2,0),"П")</f>
        <v>0</v>
      </c>
      <c r="H637" s="50">
        <f>SUMIFS(INDEX(Техника!$F$1:$ABM$500,H$2,0),Техника!$F$4:$ABM$4,"Часы",INDEX(Техника!$G$1:$ABN$500,H$2,0),$A$634,INDEX(Техника!$H$1:$ABO$500,H$2,0),"П")</f>
        <v>0</v>
      </c>
      <c r="I637" s="50">
        <f>SUMIFS(INDEX(Техника!$F$1:$ABM$500,I$2,0),Техника!$F$4:$ABM$4,"Часы",INDEX(Техника!$G$1:$ABN$500,I$2,0),$A$634,INDEX(Техника!$H$1:$ABO$500,I$2,0),"П")</f>
        <v>0</v>
      </c>
      <c r="J637" s="50">
        <f>SUMIFS(INDEX(Техника!$F$1:$ABM$500,J$2,0),Техника!$F$4:$ABM$4,"Часы",INDEX(Техника!$G$1:$ABN$500,J$2,0),$A$634,INDEX(Техника!$H$1:$ABO$500,J$2,0),"П")</f>
        <v>0</v>
      </c>
      <c r="K637" s="50">
        <f>SUMIFS(INDEX(Техника!$F$1:$ABM$500,K$2,0),Техника!$F$4:$ABM$4,"Часы",INDEX(Техника!$G$1:$ABN$500,K$2,0),$A$634,INDEX(Техника!$H$1:$ABO$500,K$2,0),"П")</f>
        <v>0</v>
      </c>
      <c r="L637" s="50">
        <f>SUMIFS(INDEX(Техника!$F$1:$ABM$500,L$2,0),Техника!$F$4:$ABM$4,"Часы",INDEX(Техника!$G$1:$ABN$500,L$2,0),$A$634,INDEX(Техника!$H$1:$ABO$500,L$2,0),"П")</f>
        <v>0</v>
      </c>
      <c r="M637" s="50">
        <f>SUMIFS(INDEX(Техника!$F$1:$ABM$500,M$2,0),Техника!$F$4:$ABM$4,"Часы",INDEX(Техника!$G$1:$ABN$500,M$2,0),$A$634,INDEX(Техника!$H$1:$ABO$500,M$2,0),"П")</f>
        <v>0</v>
      </c>
      <c r="N637" s="50">
        <f>SUMIFS(INDEX(Техника!$F$1:$ABM$500,N$2,0),Техника!$F$4:$ABM$4,"Часы",INDEX(Техника!$G$1:$ABN$500,N$2,0),$A$634,INDEX(Техника!$H$1:$ABO$500,N$2,0),"П")</f>
        <v>0</v>
      </c>
      <c r="O637" s="50">
        <f>SUMIFS(INDEX(Техника!$F$1:$ABM$500,O$2,0),Техника!$F$4:$ABM$4,"Часы",INDEX(Техника!$G$1:$ABN$500,O$2,0),$A$634,INDEX(Техника!$H$1:$ABO$500,O$2,0),"П")</f>
        <v>0</v>
      </c>
      <c r="P637" s="50">
        <f>SUMIFS(INDEX(Техника!$F$1:$ABM$500,P$2,0),Техника!$F$4:$ABM$4,"Часы",INDEX(Техника!$G$1:$ABN$500,P$2,0),$A$634,INDEX(Техника!$H$1:$ABO$500,P$2,0),"П")</f>
        <v>0</v>
      </c>
      <c r="Q637" s="50">
        <f>SUMIFS(INDEX(Техника!$F$1:$ABM$500,Q$2,0),Техника!$F$4:$ABM$4,"Часы",INDEX(Техника!$G$1:$ABN$500,Q$2,0),$A$634,INDEX(Техника!$H$1:$ABO$500,Q$2,0),"П")</f>
        <v>0</v>
      </c>
      <c r="R637" s="50">
        <f>SUMIFS(INDEX(Техника!$F$1:$ABM$500,R$2,0),Техника!$F$4:$ABM$4,"Часы",INDEX(Техника!$G$1:$ABN$500,R$2,0),$A$634,INDEX(Техника!$H$1:$ABO$500,R$2,0),"П")</f>
        <v>0</v>
      </c>
      <c r="S637" s="50">
        <f>SUMIFS(INDEX(Техника!$F$1:$ABM$500,S$2,0),Техника!$F$4:$ABM$4,"Часы",INDEX(Техника!$G$1:$ABN$500,S$2,0),$A$634,INDEX(Техника!$H$1:$ABO$500,S$2,0),"П")</f>
        <v>0</v>
      </c>
      <c r="T637" s="50">
        <f>SUMIFS(INDEX(Техника!$F$1:$ABM$500,T$2,0),Техника!$F$4:$ABM$4,"Часы",INDEX(Техника!$G$1:$ABN$500,T$2,0),$A$634,INDEX(Техника!$H$1:$ABO$500,T$2,0),"П")</f>
        <v>0</v>
      </c>
      <c r="U637" s="50">
        <f>SUMIFS(INDEX(Техника!$F$1:$ABM$500,U$2,0),Техника!$F$4:$ABM$4,"Часы",INDEX(Техника!$G$1:$ABN$500,U$2,0),$A$634,INDEX(Техника!$H$1:$ABO$500,U$2,0),"П")</f>
        <v>0</v>
      </c>
      <c r="V637" s="50">
        <f>SUMIFS(INDEX(Техника!$F$1:$ABM$500,V$2,0),Техника!$F$4:$ABM$4,"Часы",INDEX(Техника!$G$1:$ABN$500,V$2,0),$A$634,INDEX(Техника!$H$1:$ABO$500,V$2,0),"П")</f>
        <v>0</v>
      </c>
      <c r="W637" s="50">
        <f>SUMIFS(INDEX(Техника!$F$1:$ABM$500,W$2,0),Техника!$F$4:$ABM$4,"Часы",INDEX(Техника!$G$1:$ABN$500,W$2,0),$A$634,INDEX(Техника!$H$1:$ABO$500,W$2,0),"П")</f>
        <v>0</v>
      </c>
      <c r="X637" s="50">
        <f>SUMIFS(INDEX(Техника!$F$1:$ABM$500,X$2,0),Техника!$F$4:$ABM$4,"Часы",INDEX(Техника!$G$1:$ABN$500,X$2,0),$A$634,INDEX(Техника!$H$1:$ABO$500,X$2,0),"П")</f>
        <v>0</v>
      </c>
      <c r="Y637" s="50">
        <f>SUMIFS(INDEX(Техника!$F$1:$ABM$500,Y$2,0),Техника!$F$4:$ABM$4,"Часы",INDEX(Техника!$G$1:$ABN$500,Y$2,0),$A$634,INDEX(Техника!$H$1:$ABO$500,Y$2,0),"П")</f>
        <v>0</v>
      </c>
      <c r="Z637" s="50">
        <f>SUMIFS(INDEX(Техника!$F$1:$ABM$500,Z$2,0),Техника!$F$4:$ABM$4,"Часы",INDEX(Техника!$G$1:$ABN$500,Z$2,0),$A$634,INDEX(Техника!$H$1:$ABO$500,Z$2,0),"П")</f>
        <v>0</v>
      </c>
      <c r="AA637" s="50">
        <f>SUMIFS(INDEX(Техника!$F$1:$ABM$500,AA$2,0),Техника!$F$4:$ABM$4,"Часы",INDEX(Техника!$G$1:$ABN$500,AA$2,0),$A$634,INDEX(Техника!$H$1:$ABO$500,AA$2,0),"П")</f>
        <v>0</v>
      </c>
      <c r="AB637" s="50">
        <f>SUMIFS(INDEX(Техника!$F$1:$ABM$500,AB$2,0),Техника!$F$4:$ABM$4,"Часы",INDEX(Техника!$G$1:$ABN$500,AB$2,0),$A$634,INDEX(Техника!$H$1:$ABO$500,AB$2,0),"П")</f>
        <v>0</v>
      </c>
    </row>
    <row r="638" spans="1:28" hidden="1" outlineLevel="1" x14ac:dyDescent="0.3">
      <c r="A638" s="33" t="s">
        <v>243</v>
      </c>
      <c r="B638" s="34" t="s">
        <v>278</v>
      </c>
      <c r="C638" s="50">
        <f>SUMIFS(INDEX(Техника!$F$1:$ABM$500,C$2,0),Техника!$F$4:$ABM$4,"Часы",INDEX(Техника!$G$1:$ABN$500,C$2,0),$A$634,INDEX(Техника!$H$1:$ABO$500,C$2,0),"Л")</f>
        <v>0</v>
      </c>
      <c r="D638" s="50">
        <f>SUMIFS(INDEX(Техника!$F$1:$ABM$500,D$2,0),Техника!$F$4:$ABM$4,"Часы",INDEX(Техника!$G$1:$ABN$500,D$2,0),$A$634,INDEX(Техника!$H$1:$ABO$500,D$2,0),"Л")</f>
        <v>0</v>
      </c>
      <c r="E638" s="50">
        <f>SUMIFS(INDEX(Техника!$F$1:$ABM$500,E$2,0),Техника!$F$4:$ABM$4,"Часы",INDEX(Техника!$G$1:$ABN$500,E$2,0),$A$634,INDEX(Техника!$H$1:$ABO$500,E$2,0),"Л")</f>
        <v>0</v>
      </c>
      <c r="F638" s="50">
        <f>SUMIFS(INDEX(Техника!$F$1:$ABM$500,F$2,0),Техника!$F$4:$ABM$4,"Часы",INDEX(Техника!$G$1:$ABN$500,F$2,0),$A$634,INDEX(Техника!$H$1:$ABO$500,F$2,0),"Л")</f>
        <v>0</v>
      </c>
      <c r="G638" s="50">
        <f>SUMIFS(INDEX(Техника!$F$1:$ABM$500,G$2,0),Техника!$F$4:$ABM$4,"Часы",INDEX(Техника!$G$1:$ABN$500,G$2,0),$A$634,INDEX(Техника!$H$1:$ABO$500,G$2,0),"Л")</f>
        <v>0</v>
      </c>
      <c r="H638" s="50">
        <f>SUMIFS(INDEX(Техника!$F$1:$ABM$500,H$2,0),Техника!$F$4:$ABM$4,"Часы",INDEX(Техника!$G$1:$ABN$500,H$2,0),$A$634,INDEX(Техника!$H$1:$ABO$500,H$2,0),"Л")</f>
        <v>0</v>
      </c>
      <c r="I638" s="50">
        <f>SUMIFS(INDEX(Техника!$F$1:$ABM$500,I$2,0),Техника!$F$4:$ABM$4,"Часы",INDEX(Техника!$G$1:$ABN$500,I$2,0),$A$634,INDEX(Техника!$H$1:$ABO$500,I$2,0),"Л")</f>
        <v>0</v>
      </c>
      <c r="J638" s="50">
        <f>SUMIFS(INDEX(Техника!$F$1:$ABM$500,J$2,0),Техника!$F$4:$ABM$4,"Часы",INDEX(Техника!$G$1:$ABN$500,J$2,0),$A$634,INDEX(Техника!$H$1:$ABO$500,J$2,0),"Л")</f>
        <v>0</v>
      </c>
      <c r="K638" s="50">
        <f>SUMIFS(INDEX(Техника!$F$1:$ABM$500,K$2,0),Техника!$F$4:$ABM$4,"Часы",INDEX(Техника!$G$1:$ABN$500,K$2,0),$A$634,INDEX(Техника!$H$1:$ABO$500,K$2,0),"Л")</f>
        <v>0</v>
      </c>
      <c r="L638" s="50">
        <f>SUMIFS(INDEX(Техника!$F$1:$ABM$500,L$2,0),Техника!$F$4:$ABM$4,"Часы",INDEX(Техника!$G$1:$ABN$500,L$2,0),$A$634,INDEX(Техника!$H$1:$ABO$500,L$2,0),"Л")</f>
        <v>0</v>
      </c>
      <c r="M638" s="50">
        <f>SUMIFS(INDEX(Техника!$F$1:$ABM$500,M$2,0),Техника!$F$4:$ABM$4,"Часы",INDEX(Техника!$G$1:$ABN$500,M$2,0),$A$634,INDEX(Техника!$H$1:$ABO$500,M$2,0),"Л")</f>
        <v>0</v>
      </c>
      <c r="N638" s="50">
        <f>SUMIFS(INDEX(Техника!$F$1:$ABM$500,N$2,0),Техника!$F$4:$ABM$4,"Часы",INDEX(Техника!$G$1:$ABN$500,N$2,0),$A$634,INDEX(Техника!$H$1:$ABO$500,N$2,0),"Л")</f>
        <v>0</v>
      </c>
      <c r="O638" s="50">
        <f>SUMIFS(INDEX(Техника!$F$1:$ABM$500,O$2,0),Техника!$F$4:$ABM$4,"Часы",INDEX(Техника!$G$1:$ABN$500,O$2,0),$A$634,INDEX(Техника!$H$1:$ABO$500,O$2,0),"Л")</f>
        <v>0</v>
      </c>
      <c r="P638" s="50">
        <f>SUMIFS(INDEX(Техника!$F$1:$ABM$500,P$2,0),Техника!$F$4:$ABM$4,"Часы",INDEX(Техника!$G$1:$ABN$500,P$2,0),$A$634,INDEX(Техника!$H$1:$ABO$500,P$2,0),"Л")</f>
        <v>0</v>
      </c>
      <c r="Q638" s="50">
        <f>SUMIFS(INDEX(Техника!$F$1:$ABM$500,Q$2,0),Техника!$F$4:$ABM$4,"Часы",INDEX(Техника!$G$1:$ABN$500,Q$2,0),$A$634,INDEX(Техника!$H$1:$ABO$500,Q$2,0),"Л")</f>
        <v>0</v>
      </c>
      <c r="R638" s="50">
        <f>SUMIFS(INDEX(Техника!$F$1:$ABM$500,R$2,0),Техника!$F$4:$ABM$4,"Часы",INDEX(Техника!$G$1:$ABN$500,R$2,0),$A$634,INDEX(Техника!$H$1:$ABO$500,R$2,0),"Л")</f>
        <v>0</v>
      </c>
      <c r="S638" s="50">
        <f>SUMIFS(INDEX(Техника!$F$1:$ABM$500,S$2,0),Техника!$F$4:$ABM$4,"Часы",INDEX(Техника!$G$1:$ABN$500,S$2,0),$A$634,INDEX(Техника!$H$1:$ABO$500,S$2,0),"Л")</f>
        <v>0</v>
      </c>
      <c r="T638" s="50">
        <f>SUMIFS(INDEX(Техника!$F$1:$ABM$500,T$2,0),Техника!$F$4:$ABM$4,"Часы",INDEX(Техника!$G$1:$ABN$500,T$2,0),$A$634,INDEX(Техника!$H$1:$ABO$500,T$2,0),"Л")</f>
        <v>0</v>
      </c>
      <c r="U638" s="50">
        <f>SUMIFS(INDEX(Техника!$F$1:$ABM$500,U$2,0),Техника!$F$4:$ABM$4,"Часы",INDEX(Техника!$G$1:$ABN$500,U$2,0),$A$634,INDEX(Техника!$H$1:$ABO$500,U$2,0),"Л")</f>
        <v>0</v>
      </c>
      <c r="V638" s="50">
        <f>SUMIFS(INDEX(Техника!$F$1:$ABM$500,V$2,0),Техника!$F$4:$ABM$4,"Часы",INDEX(Техника!$G$1:$ABN$500,V$2,0),$A$634,INDEX(Техника!$H$1:$ABO$500,V$2,0),"Л")</f>
        <v>0</v>
      </c>
      <c r="W638" s="50">
        <f>SUMIFS(INDEX(Техника!$F$1:$ABM$500,W$2,0),Техника!$F$4:$ABM$4,"Часы",INDEX(Техника!$G$1:$ABN$500,W$2,0),$A$634,INDEX(Техника!$H$1:$ABO$500,W$2,0),"Л")</f>
        <v>0</v>
      </c>
      <c r="X638" s="50">
        <f>SUMIFS(INDEX(Техника!$F$1:$ABM$500,X$2,0),Техника!$F$4:$ABM$4,"Часы",INDEX(Техника!$G$1:$ABN$500,X$2,0),$A$634,INDEX(Техника!$H$1:$ABO$500,X$2,0),"Л")</f>
        <v>0</v>
      </c>
      <c r="Y638" s="50">
        <f>SUMIFS(INDEX(Техника!$F$1:$ABM$500,Y$2,0),Техника!$F$4:$ABM$4,"Часы",INDEX(Техника!$G$1:$ABN$500,Y$2,0),$A$634,INDEX(Техника!$H$1:$ABO$500,Y$2,0),"Л")</f>
        <v>0</v>
      </c>
      <c r="Z638" s="50">
        <f>SUMIFS(INDEX(Техника!$F$1:$ABM$500,Z$2,0),Техника!$F$4:$ABM$4,"Часы",INDEX(Техника!$G$1:$ABN$500,Z$2,0),$A$634,INDEX(Техника!$H$1:$ABO$500,Z$2,0),"Л")</f>
        <v>0</v>
      </c>
      <c r="AA638" s="50">
        <f>SUMIFS(INDEX(Техника!$F$1:$ABM$500,AA$2,0),Техника!$F$4:$ABM$4,"Часы",INDEX(Техника!$G$1:$ABN$500,AA$2,0),$A$634,INDEX(Техника!$H$1:$ABO$500,AA$2,0),"Л")</f>
        <v>0</v>
      </c>
      <c r="AB638" s="50">
        <f>SUMIFS(INDEX(Техника!$F$1:$ABM$500,AB$2,0),Техника!$F$4:$ABM$4,"Часы",INDEX(Техника!$G$1:$ABN$500,AB$2,0),$A$634,INDEX(Техника!$H$1:$ABO$500,AB$2,0),"Л")</f>
        <v>0</v>
      </c>
    </row>
    <row r="639" spans="1:28" hidden="1" outlineLevel="1" x14ac:dyDescent="0.3">
      <c r="A639" s="33" t="s">
        <v>245</v>
      </c>
      <c r="B639" s="34" t="s">
        <v>279</v>
      </c>
      <c r="C639" s="50">
        <f>SUMIFS(INDEX(Техника!$F$1:$ABM$500,C$2,0),Техника!$F$4:$ABM$4,"Часы",INDEX(Техника!$G$1:$ABN$500,C$2,0),$A$634,INDEX(Техника!$H$1:$ABO$500,C$2,0),"З")</f>
        <v>0</v>
      </c>
      <c r="D639" s="50">
        <f>SUMIFS(INDEX(Техника!$F$1:$ABM$500,D$2,0),Техника!$F$4:$ABM$4,"Часы",INDEX(Техника!$G$1:$ABN$500,D$2,0),$A$634,INDEX(Техника!$H$1:$ABO$500,D$2,0),"З")</f>
        <v>0</v>
      </c>
      <c r="E639" s="50">
        <f>SUMIFS(INDEX(Техника!$F$1:$ABM$500,E$2,0),Техника!$F$4:$ABM$4,"Часы",INDEX(Техника!$G$1:$ABN$500,E$2,0),$A$634,INDEX(Техника!$H$1:$ABO$500,E$2,0),"З")</f>
        <v>0</v>
      </c>
      <c r="F639" s="50">
        <f>SUMIFS(INDEX(Техника!$F$1:$ABM$500,F$2,0),Техника!$F$4:$ABM$4,"Часы",INDEX(Техника!$G$1:$ABN$500,F$2,0),$A$634,INDEX(Техника!$H$1:$ABO$500,F$2,0),"З")</f>
        <v>0</v>
      </c>
      <c r="G639" s="50">
        <f>SUMIFS(INDEX(Техника!$F$1:$ABM$500,G$2,0),Техника!$F$4:$ABM$4,"Часы",INDEX(Техника!$G$1:$ABN$500,G$2,0),$A$634,INDEX(Техника!$H$1:$ABO$500,G$2,0),"З")</f>
        <v>0</v>
      </c>
      <c r="H639" s="50">
        <f>SUMIFS(INDEX(Техника!$F$1:$ABM$500,H$2,0),Техника!$F$4:$ABM$4,"Часы",INDEX(Техника!$G$1:$ABN$500,H$2,0),$A$634,INDEX(Техника!$H$1:$ABO$500,H$2,0),"З")</f>
        <v>0</v>
      </c>
      <c r="I639" s="50">
        <f>SUMIFS(INDEX(Техника!$F$1:$ABM$500,I$2,0),Техника!$F$4:$ABM$4,"Часы",INDEX(Техника!$G$1:$ABN$500,I$2,0),$A$634,INDEX(Техника!$H$1:$ABO$500,I$2,0),"З")</f>
        <v>0</v>
      </c>
      <c r="J639" s="50">
        <f>SUMIFS(INDEX(Техника!$F$1:$ABM$500,J$2,0),Техника!$F$4:$ABM$4,"Часы",INDEX(Техника!$G$1:$ABN$500,J$2,0),$A$634,INDEX(Техника!$H$1:$ABO$500,J$2,0),"З")</f>
        <v>0</v>
      </c>
      <c r="K639" s="50">
        <f>SUMIFS(INDEX(Техника!$F$1:$ABM$500,K$2,0),Техника!$F$4:$ABM$4,"Часы",INDEX(Техника!$G$1:$ABN$500,K$2,0),$A$634,INDEX(Техника!$H$1:$ABO$500,K$2,0),"З")</f>
        <v>0</v>
      </c>
      <c r="L639" s="50">
        <f>SUMIFS(INDEX(Техника!$F$1:$ABM$500,L$2,0),Техника!$F$4:$ABM$4,"Часы",INDEX(Техника!$G$1:$ABN$500,L$2,0),$A$634,INDEX(Техника!$H$1:$ABO$500,L$2,0),"З")</f>
        <v>0</v>
      </c>
      <c r="M639" s="50">
        <f>SUMIFS(INDEX(Техника!$F$1:$ABM$500,M$2,0),Техника!$F$4:$ABM$4,"Часы",INDEX(Техника!$G$1:$ABN$500,M$2,0),$A$634,INDEX(Техника!$H$1:$ABO$500,M$2,0),"З")</f>
        <v>0</v>
      </c>
      <c r="N639" s="50">
        <f>SUMIFS(INDEX(Техника!$F$1:$ABM$500,N$2,0),Техника!$F$4:$ABM$4,"Часы",INDEX(Техника!$G$1:$ABN$500,N$2,0),$A$634,INDEX(Техника!$H$1:$ABO$500,N$2,0),"З")</f>
        <v>0</v>
      </c>
      <c r="O639" s="50">
        <f>SUMIFS(INDEX(Техника!$F$1:$ABM$500,O$2,0),Техника!$F$4:$ABM$4,"Часы",INDEX(Техника!$G$1:$ABN$500,O$2,0),$A$634,INDEX(Техника!$H$1:$ABO$500,O$2,0),"З")</f>
        <v>0</v>
      </c>
      <c r="P639" s="50">
        <f>SUMIFS(INDEX(Техника!$F$1:$ABM$500,P$2,0),Техника!$F$4:$ABM$4,"Часы",INDEX(Техника!$G$1:$ABN$500,P$2,0),$A$634,INDEX(Техника!$H$1:$ABO$500,P$2,0),"З")</f>
        <v>0</v>
      </c>
      <c r="Q639" s="50">
        <f>SUMIFS(INDEX(Техника!$F$1:$ABM$500,Q$2,0),Техника!$F$4:$ABM$4,"Часы",INDEX(Техника!$G$1:$ABN$500,Q$2,0),$A$634,INDEX(Техника!$H$1:$ABO$500,Q$2,0),"З")</f>
        <v>0</v>
      </c>
      <c r="R639" s="50">
        <f>SUMIFS(INDEX(Техника!$F$1:$ABM$500,R$2,0),Техника!$F$4:$ABM$4,"Часы",INDEX(Техника!$G$1:$ABN$500,R$2,0),$A$634,INDEX(Техника!$H$1:$ABO$500,R$2,0),"З")</f>
        <v>0</v>
      </c>
      <c r="S639" s="50">
        <f>SUMIFS(INDEX(Техника!$F$1:$ABM$500,S$2,0),Техника!$F$4:$ABM$4,"Часы",INDEX(Техника!$G$1:$ABN$500,S$2,0),$A$634,INDEX(Техника!$H$1:$ABO$500,S$2,0),"З")</f>
        <v>0</v>
      </c>
      <c r="T639" s="50">
        <f>SUMIFS(INDEX(Техника!$F$1:$ABM$500,T$2,0),Техника!$F$4:$ABM$4,"Часы",INDEX(Техника!$G$1:$ABN$500,T$2,0),$A$634,INDEX(Техника!$H$1:$ABO$500,T$2,0),"З")</f>
        <v>0</v>
      </c>
      <c r="U639" s="50">
        <f>SUMIFS(INDEX(Техника!$F$1:$ABM$500,U$2,0),Техника!$F$4:$ABM$4,"Часы",INDEX(Техника!$G$1:$ABN$500,U$2,0),$A$634,INDEX(Техника!$H$1:$ABO$500,U$2,0),"З")</f>
        <v>0</v>
      </c>
      <c r="V639" s="50">
        <f>SUMIFS(INDEX(Техника!$F$1:$ABM$500,V$2,0),Техника!$F$4:$ABM$4,"Часы",INDEX(Техника!$G$1:$ABN$500,V$2,0),$A$634,INDEX(Техника!$H$1:$ABO$500,V$2,0),"З")</f>
        <v>0</v>
      </c>
      <c r="W639" s="50">
        <f>SUMIFS(INDEX(Техника!$F$1:$ABM$500,W$2,0),Техника!$F$4:$ABM$4,"Часы",INDEX(Техника!$G$1:$ABN$500,W$2,0),$A$634,INDEX(Техника!$H$1:$ABO$500,W$2,0),"З")</f>
        <v>0</v>
      </c>
      <c r="X639" s="50">
        <f>SUMIFS(INDEX(Техника!$F$1:$ABM$500,X$2,0),Техника!$F$4:$ABM$4,"Часы",INDEX(Техника!$G$1:$ABN$500,X$2,0),$A$634,INDEX(Техника!$H$1:$ABO$500,X$2,0),"З")</f>
        <v>0</v>
      </c>
      <c r="Y639" s="50">
        <f>SUMIFS(INDEX(Техника!$F$1:$ABM$500,Y$2,0),Техника!$F$4:$ABM$4,"Часы",INDEX(Техника!$G$1:$ABN$500,Y$2,0),$A$634,INDEX(Техника!$H$1:$ABO$500,Y$2,0),"З")</f>
        <v>0</v>
      </c>
      <c r="Z639" s="50">
        <f>SUMIFS(INDEX(Техника!$F$1:$ABM$500,Z$2,0),Техника!$F$4:$ABM$4,"Часы",INDEX(Техника!$G$1:$ABN$500,Z$2,0),$A$634,INDEX(Техника!$H$1:$ABO$500,Z$2,0),"З")</f>
        <v>0</v>
      </c>
      <c r="AA639" s="50">
        <f>SUMIFS(INDEX(Техника!$F$1:$ABM$500,AA$2,0),Техника!$F$4:$ABM$4,"Часы",INDEX(Техника!$G$1:$ABN$500,AA$2,0),$A$634,INDEX(Техника!$H$1:$ABO$500,AA$2,0),"З")</f>
        <v>0</v>
      </c>
      <c r="AB639" s="50">
        <f>SUMIFS(INDEX(Техника!$F$1:$ABM$500,AB$2,0),Техника!$F$4:$ABM$4,"Часы",INDEX(Техника!$G$1:$ABN$500,AB$2,0),$A$634,INDEX(Техника!$H$1:$ABO$500,AB$2,0),"З")</f>
        <v>0</v>
      </c>
    </row>
    <row r="640" spans="1:28" ht="7.95" customHeight="1" x14ac:dyDescent="0.3">
      <c r="A640" s="38"/>
      <c r="B640" s="39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</row>
    <row r="641" spans="1:28" ht="25.05" customHeight="1" collapsed="1" x14ac:dyDescent="0.3">
      <c r="A641" s="32">
        <v>92</v>
      </c>
      <c r="B641" s="32" t="s">
        <v>93</v>
      </c>
      <c r="C641" s="49">
        <f>SUM(C642:C646)</f>
        <v>0</v>
      </c>
      <c r="D641" s="49">
        <f>SUM(D642:D646)</f>
        <v>0</v>
      </c>
      <c r="E641" s="49">
        <f>SUM(E642:E646)</f>
        <v>0</v>
      </c>
      <c r="F641" s="49">
        <f>SUM(F642:F646)</f>
        <v>0</v>
      </c>
      <c r="G641" s="49">
        <f>SUM(G642:G646)</f>
        <v>0</v>
      </c>
      <c r="H641" s="49">
        <f>SUM(H642:H646)</f>
        <v>0</v>
      </c>
      <c r="I641" s="49">
        <f>SUM(I642:I646)</f>
        <v>0</v>
      </c>
      <c r="J641" s="49">
        <f>SUM(J642:J646)</f>
        <v>0</v>
      </c>
      <c r="K641" s="49">
        <f>SUM(K642:K646)</f>
        <v>0</v>
      </c>
      <c r="L641" s="49">
        <f>SUM(L642:L646)</f>
        <v>0</v>
      </c>
      <c r="M641" s="49">
        <f>SUM(M642:M646)</f>
        <v>0</v>
      </c>
      <c r="N641" s="49">
        <f>SUM(N642:N646)</f>
        <v>0</v>
      </c>
      <c r="O641" s="49">
        <f>SUM(O642:O646)</f>
        <v>0</v>
      </c>
      <c r="P641" s="49">
        <f>SUM(P642:P646)</f>
        <v>0</v>
      </c>
      <c r="Q641" s="49">
        <f>SUM(Q642:Q646)</f>
        <v>0</v>
      </c>
      <c r="R641" s="49">
        <f>SUM(R642:R646)</f>
        <v>0</v>
      </c>
      <c r="S641" s="49">
        <f>SUM(S642:S646)</f>
        <v>0</v>
      </c>
      <c r="T641" s="49">
        <f>SUM(T642:T646)</f>
        <v>0</v>
      </c>
      <c r="U641" s="49">
        <f>SUM(U642:U646)</f>
        <v>0</v>
      </c>
      <c r="V641" s="49">
        <f>SUM(V642:V646)</f>
        <v>0</v>
      </c>
      <c r="W641" s="49">
        <f>SUM(W642:W646)</f>
        <v>0</v>
      </c>
      <c r="X641" s="49">
        <f>SUM(X642:X646)</f>
        <v>0</v>
      </c>
      <c r="Y641" s="49">
        <f>SUM(Y642:Y646)</f>
        <v>0</v>
      </c>
      <c r="Z641" s="49">
        <f>SUM(Z642:Z646)</f>
        <v>0</v>
      </c>
      <c r="AA641" s="49">
        <f>SUM(AA642:AA646)</f>
        <v>0</v>
      </c>
      <c r="AB641" s="49">
        <f>SUM(AB642:AB646)</f>
        <v>0</v>
      </c>
    </row>
    <row r="642" spans="1:28" hidden="1" outlineLevel="1" x14ac:dyDescent="0.3">
      <c r="A642" s="33" t="s">
        <v>246</v>
      </c>
      <c r="B642" s="34" t="s">
        <v>274</v>
      </c>
      <c r="C642" s="50">
        <f>SUMIFS(INDEX(Техника!$F$1:$ABM$500,C$2,0),Техника!$F$4:$ABM$4,"Часы",INDEX(Техника!$G$1:$ABN$500,C$2,0),$A$641,INDEX(Техника!$H$1:$ABO$500,C$2,0),"М")</f>
        <v>0</v>
      </c>
      <c r="D642" s="50">
        <f>SUMIFS(INDEX(Техника!$F$1:$ABM$500,D$2,0),Техника!$F$4:$ABM$4,"Часы",INDEX(Техника!$G$1:$ABN$500,D$2,0),$A$641,INDEX(Техника!$H$1:$ABO$500,D$2,0),"М")</f>
        <v>0</v>
      </c>
      <c r="E642" s="50">
        <f>SUMIFS(INDEX(Техника!$F$1:$ABM$500,E$2,0),Техника!$F$4:$ABM$4,"Часы",INDEX(Техника!$G$1:$ABN$500,E$2,0),$A$641,INDEX(Техника!$H$1:$ABO$500,E$2,0),"М")</f>
        <v>0</v>
      </c>
      <c r="F642" s="50">
        <f>SUMIFS(INDEX(Техника!$F$1:$ABM$500,F$2,0),Техника!$F$4:$ABM$4,"Часы",INDEX(Техника!$G$1:$ABN$500,F$2,0),$A$641,INDEX(Техника!$H$1:$ABO$500,F$2,0),"М")</f>
        <v>0</v>
      </c>
      <c r="G642" s="50">
        <f>SUMIFS(INDEX(Техника!$F$1:$ABM$500,G$2,0),Техника!$F$4:$ABM$4,"Часы",INDEX(Техника!$G$1:$ABN$500,G$2,0),$A$641,INDEX(Техника!$H$1:$ABO$500,G$2,0),"М")</f>
        <v>0</v>
      </c>
      <c r="H642" s="50">
        <f>SUMIFS(INDEX(Техника!$F$1:$ABM$500,H$2,0),Техника!$F$4:$ABM$4,"Часы",INDEX(Техника!$G$1:$ABN$500,H$2,0),$A$641,INDEX(Техника!$H$1:$ABO$500,H$2,0),"М")</f>
        <v>0</v>
      </c>
      <c r="I642" s="50">
        <f>SUMIFS(INDEX(Техника!$F$1:$ABM$500,I$2,0),Техника!$F$4:$ABM$4,"Часы",INDEX(Техника!$G$1:$ABN$500,I$2,0),$A$641,INDEX(Техника!$H$1:$ABO$500,I$2,0),"М")</f>
        <v>0</v>
      </c>
      <c r="J642" s="50">
        <f>SUMIFS(INDEX(Техника!$F$1:$ABM$500,J$2,0),Техника!$F$4:$ABM$4,"Часы",INDEX(Техника!$G$1:$ABN$500,J$2,0),$A$641,INDEX(Техника!$H$1:$ABO$500,J$2,0),"М")</f>
        <v>0</v>
      </c>
      <c r="K642" s="50">
        <f>SUMIFS(INDEX(Техника!$F$1:$ABM$500,K$2,0),Техника!$F$4:$ABM$4,"Часы",INDEX(Техника!$G$1:$ABN$500,K$2,0),$A$641,INDEX(Техника!$H$1:$ABO$500,K$2,0),"М")</f>
        <v>0</v>
      </c>
      <c r="L642" s="50">
        <f>SUMIFS(INDEX(Техника!$F$1:$ABM$500,L$2,0),Техника!$F$4:$ABM$4,"Часы",INDEX(Техника!$G$1:$ABN$500,L$2,0),$A$641,INDEX(Техника!$H$1:$ABO$500,L$2,0),"М")</f>
        <v>0</v>
      </c>
      <c r="M642" s="50">
        <f>SUMIFS(INDEX(Техника!$F$1:$ABM$500,M$2,0),Техника!$F$4:$ABM$4,"Часы",INDEX(Техника!$G$1:$ABN$500,M$2,0),$A$641,INDEX(Техника!$H$1:$ABO$500,M$2,0),"М")</f>
        <v>0</v>
      </c>
      <c r="N642" s="50">
        <f>SUMIFS(INDEX(Техника!$F$1:$ABM$500,N$2,0),Техника!$F$4:$ABM$4,"Часы",INDEX(Техника!$G$1:$ABN$500,N$2,0),$A$641,INDEX(Техника!$H$1:$ABO$500,N$2,0),"М")</f>
        <v>0</v>
      </c>
      <c r="O642" s="50">
        <f>SUMIFS(INDEX(Техника!$F$1:$ABM$500,O$2,0),Техника!$F$4:$ABM$4,"Часы",INDEX(Техника!$G$1:$ABN$500,O$2,0),$A$641,INDEX(Техника!$H$1:$ABO$500,O$2,0),"М")</f>
        <v>0</v>
      </c>
      <c r="P642" s="50">
        <f>SUMIFS(INDEX(Техника!$F$1:$ABM$500,P$2,0),Техника!$F$4:$ABM$4,"Часы",INDEX(Техника!$G$1:$ABN$500,P$2,0),$A$641,INDEX(Техника!$H$1:$ABO$500,P$2,0),"М")</f>
        <v>0</v>
      </c>
      <c r="Q642" s="50">
        <f>SUMIFS(INDEX(Техника!$F$1:$ABM$500,Q$2,0),Техника!$F$4:$ABM$4,"Часы",INDEX(Техника!$G$1:$ABN$500,Q$2,0),$A$641,INDEX(Техника!$H$1:$ABO$500,Q$2,0),"М")</f>
        <v>0</v>
      </c>
      <c r="R642" s="50">
        <f>SUMIFS(INDEX(Техника!$F$1:$ABM$500,R$2,0),Техника!$F$4:$ABM$4,"Часы",INDEX(Техника!$G$1:$ABN$500,R$2,0),$A$641,INDEX(Техника!$H$1:$ABO$500,R$2,0),"М")</f>
        <v>0</v>
      </c>
      <c r="S642" s="50">
        <f>SUMIFS(INDEX(Техника!$F$1:$ABM$500,S$2,0),Техника!$F$4:$ABM$4,"Часы",INDEX(Техника!$G$1:$ABN$500,S$2,0),$A$641,INDEX(Техника!$H$1:$ABO$500,S$2,0),"М")</f>
        <v>0</v>
      </c>
      <c r="T642" s="50">
        <f>SUMIFS(INDEX(Техника!$F$1:$ABM$500,T$2,0),Техника!$F$4:$ABM$4,"Часы",INDEX(Техника!$G$1:$ABN$500,T$2,0),$A$641,INDEX(Техника!$H$1:$ABO$500,T$2,0),"М")</f>
        <v>0</v>
      </c>
      <c r="U642" s="50">
        <f>SUMIFS(INDEX(Техника!$F$1:$ABM$500,U$2,0),Техника!$F$4:$ABM$4,"Часы",INDEX(Техника!$G$1:$ABN$500,U$2,0),$A$641,INDEX(Техника!$H$1:$ABO$500,U$2,0),"М")</f>
        <v>0</v>
      </c>
      <c r="V642" s="50">
        <f>SUMIFS(INDEX(Техника!$F$1:$ABM$500,V$2,0),Техника!$F$4:$ABM$4,"Часы",INDEX(Техника!$G$1:$ABN$500,V$2,0),$A$641,INDEX(Техника!$H$1:$ABO$500,V$2,0),"М")</f>
        <v>0</v>
      </c>
      <c r="W642" s="50">
        <f>SUMIFS(INDEX(Техника!$F$1:$ABM$500,W$2,0),Техника!$F$4:$ABM$4,"Часы",INDEX(Техника!$G$1:$ABN$500,W$2,0),$A$641,INDEX(Техника!$H$1:$ABO$500,W$2,0),"М")</f>
        <v>0</v>
      </c>
      <c r="X642" s="50">
        <f>SUMIFS(INDEX(Техника!$F$1:$ABM$500,X$2,0),Техника!$F$4:$ABM$4,"Часы",INDEX(Техника!$G$1:$ABN$500,X$2,0),$A$641,INDEX(Техника!$H$1:$ABO$500,X$2,0),"М")</f>
        <v>0</v>
      </c>
      <c r="Y642" s="50">
        <f>SUMIFS(INDEX(Техника!$F$1:$ABM$500,Y$2,0),Техника!$F$4:$ABM$4,"Часы",INDEX(Техника!$G$1:$ABN$500,Y$2,0),$A$641,INDEX(Техника!$H$1:$ABO$500,Y$2,0),"М")</f>
        <v>0</v>
      </c>
      <c r="Z642" s="50">
        <f>SUMIFS(INDEX(Техника!$F$1:$ABM$500,Z$2,0),Техника!$F$4:$ABM$4,"Часы",INDEX(Техника!$G$1:$ABN$500,Z$2,0),$A$641,INDEX(Техника!$H$1:$ABO$500,Z$2,0),"М")</f>
        <v>0</v>
      </c>
      <c r="AA642" s="50">
        <f>SUMIFS(INDEX(Техника!$F$1:$ABM$500,AA$2,0),Техника!$F$4:$ABM$4,"Часы",INDEX(Техника!$G$1:$ABN$500,AA$2,0),$A$641,INDEX(Техника!$H$1:$ABO$500,AA$2,0),"М")</f>
        <v>0</v>
      </c>
      <c r="AB642" s="50">
        <f>SUMIFS(INDEX(Техника!$F$1:$ABM$500,AB$2,0),Техника!$F$4:$ABM$4,"Часы",INDEX(Техника!$G$1:$ABN$500,AB$2,0),$A$641,INDEX(Техника!$H$1:$ABO$500,AB$2,0),"М")</f>
        <v>0</v>
      </c>
    </row>
    <row r="643" spans="1:28" hidden="1" outlineLevel="1" x14ac:dyDescent="0.3">
      <c r="A643" s="33" t="s">
        <v>244</v>
      </c>
      <c r="B643" s="34" t="s">
        <v>275</v>
      </c>
      <c r="C643" s="50">
        <f>SUMIFS(INDEX(Техника!$F$1:$ABM$500,C$2,0),Техника!$F$4:$ABM$4,"Часы",INDEX(Техника!$G$1:$ABN$500,C$2,0),$A$641,INDEX(Техника!$H$1:$ABO$500,C$2,0),"Д")</f>
        <v>0</v>
      </c>
      <c r="D643" s="50">
        <f>SUMIFS(INDEX(Техника!$F$1:$ABM$500,D$2,0),Техника!$F$4:$ABM$4,"Часы",INDEX(Техника!$G$1:$ABN$500,D$2,0),$A$641,INDEX(Техника!$H$1:$ABO$500,D$2,0),"Д")</f>
        <v>0</v>
      </c>
      <c r="E643" s="50">
        <f>SUMIFS(INDEX(Техника!$F$1:$ABM$500,E$2,0),Техника!$F$4:$ABM$4,"Часы",INDEX(Техника!$G$1:$ABN$500,E$2,0),$A$641,INDEX(Техника!$H$1:$ABO$500,E$2,0),"Д")</f>
        <v>0</v>
      </c>
      <c r="F643" s="50">
        <f>SUMIFS(INDEX(Техника!$F$1:$ABM$500,F$2,0),Техника!$F$4:$ABM$4,"Часы",INDEX(Техника!$G$1:$ABN$500,F$2,0),$A$641,INDEX(Техника!$H$1:$ABO$500,F$2,0),"Д")</f>
        <v>0</v>
      </c>
      <c r="G643" s="50">
        <f>SUMIFS(INDEX(Техника!$F$1:$ABM$500,G$2,0),Техника!$F$4:$ABM$4,"Часы",INDEX(Техника!$G$1:$ABN$500,G$2,0),$A$641,INDEX(Техника!$H$1:$ABO$500,G$2,0),"Д")</f>
        <v>0</v>
      </c>
      <c r="H643" s="50">
        <f>SUMIFS(INDEX(Техника!$F$1:$ABM$500,H$2,0),Техника!$F$4:$ABM$4,"Часы",INDEX(Техника!$G$1:$ABN$500,H$2,0),$A$641,INDEX(Техника!$H$1:$ABO$500,H$2,0),"Д")</f>
        <v>0</v>
      </c>
      <c r="I643" s="50">
        <f>SUMIFS(INDEX(Техника!$F$1:$ABM$500,I$2,0),Техника!$F$4:$ABM$4,"Часы",INDEX(Техника!$G$1:$ABN$500,I$2,0),$A$641,INDEX(Техника!$H$1:$ABO$500,I$2,0),"Д")</f>
        <v>0</v>
      </c>
      <c r="J643" s="50">
        <f>SUMIFS(INDEX(Техника!$F$1:$ABM$500,J$2,0),Техника!$F$4:$ABM$4,"Часы",INDEX(Техника!$G$1:$ABN$500,J$2,0),$A$641,INDEX(Техника!$H$1:$ABO$500,J$2,0),"Д")</f>
        <v>0</v>
      </c>
      <c r="K643" s="50">
        <f>SUMIFS(INDEX(Техника!$F$1:$ABM$500,K$2,0),Техника!$F$4:$ABM$4,"Часы",INDEX(Техника!$G$1:$ABN$500,K$2,0),$A$641,INDEX(Техника!$H$1:$ABO$500,K$2,0),"Д")</f>
        <v>0</v>
      </c>
      <c r="L643" s="50">
        <f>SUMIFS(INDEX(Техника!$F$1:$ABM$500,L$2,0),Техника!$F$4:$ABM$4,"Часы",INDEX(Техника!$G$1:$ABN$500,L$2,0),$A$641,INDEX(Техника!$H$1:$ABO$500,L$2,0),"Д")</f>
        <v>0</v>
      </c>
      <c r="M643" s="50">
        <f>SUMIFS(INDEX(Техника!$F$1:$ABM$500,M$2,0),Техника!$F$4:$ABM$4,"Часы",INDEX(Техника!$G$1:$ABN$500,M$2,0),$A$641,INDEX(Техника!$H$1:$ABO$500,M$2,0),"Д")</f>
        <v>0</v>
      </c>
      <c r="N643" s="50">
        <f>SUMIFS(INDEX(Техника!$F$1:$ABM$500,N$2,0),Техника!$F$4:$ABM$4,"Часы",INDEX(Техника!$G$1:$ABN$500,N$2,0),$A$641,INDEX(Техника!$H$1:$ABO$500,N$2,0),"Д")</f>
        <v>0</v>
      </c>
      <c r="O643" s="50">
        <f>SUMIFS(INDEX(Техника!$F$1:$ABM$500,O$2,0),Техника!$F$4:$ABM$4,"Часы",INDEX(Техника!$G$1:$ABN$500,O$2,0),$A$641,INDEX(Техника!$H$1:$ABO$500,O$2,0),"Д")</f>
        <v>0</v>
      </c>
      <c r="P643" s="50">
        <f>SUMIFS(INDEX(Техника!$F$1:$ABM$500,P$2,0),Техника!$F$4:$ABM$4,"Часы",INDEX(Техника!$G$1:$ABN$500,P$2,0),$A$641,INDEX(Техника!$H$1:$ABO$500,P$2,0),"Д")</f>
        <v>0</v>
      </c>
      <c r="Q643" s="50">
        <f>SUMIFS(INDEX(Техника!$F$1:$ABM$500,Q$2,0),Техника!$F$4:$ABM$4,"Часы",INDEX(Техника!$G$1:$ABN$500,Q$2,0),$A$641,INDEX(Техника!$H$1:$ABO$500,Q$2,0),"Д")</f>
        <v>0</v>
      </c>
      <c r="R643" s="50">
        <f>SUMIFS(INDEX(Техника!$F$1:$ABM$500,R$2,0),Техника!$F$4:$ABM$4,"Часы",INDEX(Техника!$G$1:$ABN$500,R$2,0),$A$641,INDEX(Техника!$H$1:$ABO$500,R$2,0),"Д")</f>
        <v>0</v>
      </c>
      <c r="S643" s="50">
        <f>SUMIFS(INDEX(Техника!$F$1:$ABM$500,S$2,0),Техника!$F$4:$ABM$4,"Часы",INDEX(Техника!$G$1:$ABN$500,S$2,0),$A$641,INDEX(Техника!$H$1:$ABO$500,S$2,0),"Д")</f>
        <v>0</v>
      </c>
      <c r="T643" s="50">
        <f>SUMIFS(INDEX(Техника!$F$1:$ABM$500,T$2,0),Техника!$F$4:$ABM$4,"Часы",INDEX(Техника!$G$1:$ABN$500,T$2,0),$A$641,INDEX(Техника!$H$1:$ABO$500,T$2,0),"Д")</f>
        <v>0</v>
      </c>
      <c r="U643" s="50">
        <f>SUMIFS(INDEX(Техника!$F$1:$ABM$500,U$2,0),Техника!$F$4:$ABM$4,"Часы",INDEX(Техника!$G$1:$ABN$500,U$2,0),$A$641,INDEX(Техника!$H$1:$ABO$500,U$2,0),"Д")</f>
        <v>0</v>
      </c>
      <c r="V643" s="50">
        <f>SUMIFS(INDEX(Техника!$F$1:$ABM$500,V$2,0),Техника!$F$4:$ABM$4,"Часы",INDEX(Техника!$G$1:$ABN$500,V$2,0),$A$641,INDEX(Техника!$H$1:$ABO$500,V$2,0),"Д")</f>
        <v>0</v>
      </c>
      <c r="W643" s="50">
        <f>SUMIFS(INDEX(Техника!$F$1:$ABM$500,W$2,0),Техника!$F$4:$ABM$4,"Часы",INDEX(Техника!$G$1:$ABN$500,W$2,0),$A$641,INDEX(Техника!$H$1:$ABO$500,W$2,0),"Д")</f>
        <v>0</v>
      </c>
      <c r="X643" s="50">
        <f>SUMIFS(INDEX(Техника!$F$1:$ABM$500,X$2,0),Техника!$F$4:$ABM$4,"Часы",INDEX(Техника!$G$1:$ABN$500,X$2,0),$A$641,INDEX(Техника!$H$1:$ABO$500,X$2,0),"Д")</f>
        <v>0</v>
      </c>
      <c r="Y643" s="50">
        <f>SUMIFS(INDEX(Техника!$F$1:$ABM$500,Y$2,0),Техника!$F$4:$ABM$4,"Часы",INDEX(Техника!$G$1:$ABN$500,Y$2,0),$A$641,INDEX(Техника!$H$1:$ABO$500,Y$2,0),"Д")</f>
        <v>0</v>
      </c>
      <c r="Z643" s="50">
        <f>SUMIFS(INDEX(Техника!$F$1:$ABM$500,Z$2,0),Техника!$F$4:$ABM$4,"Часы",INDEX(Техника!$G$1:$ABN$500,Z$2,0),$A$641,INDEX(Техника!$H$1:$ABO$500,Z$2,0),"Д")</f>
        <v>0</v>
      </c>
      <c r="AA643" s="50">
        <f>SUMIFS(INDEX(Техника!$F$1:$ABM$500,AA$2,0),Техника!$F$4:$ABM$4,"Часы",INDEX(Техника!$G$1:$ABN$500,AA$2,0),$A$641,INDEX(Техника!$H$1:$ABO$500,AA$2,0),"Д")</f>
        <v>0</v>
      </c>
      <c r="AB643" s="50">
        <f>SUMIFS(INDEX(Техника!$F$1:$ABM$500,AB$2,0),Техника!$F$4:$ABM$4,"Часы",INDEX(Техника!$G$1:$ABN$500,AB$2,0),$A$641,INDEX(Техника!$H$1:$ABO$500,AB$2,0),"Д")</f>
        <v>0</v>
      </c>
    </row>
    <row r="644" spans="1:28" hidden="1" outlineLevel="1" x14ac:dyDescent="0.3">
      <c r="A644" s="33" t="s">
        <v>276</v>
      </c>
      <c r="B644" s="34" t="s">
        <v>277</v>
      </c>
      <c r="C644" s="50">
        <f>SUMIFS(INDEX(Техника!$F$1:$ABM$500,C$2,0),Техника!$F$4:$ABM$4,"Часы",INDEX(Техника!$G$1:$ABN$500,C$2,0),$A$641,INDEX(Техника!$H$1:$ABO$500,C$2,0),"П")</f>
        <v>0</v>
      </c>
      <c r="D644" s="50">
        <f>SUMIFS(INDEX(Техника!$F$1:$ABM$500,D$2,0),Техника!$F$4:$ABM$4,"Часы",INDEX(Техника!$G$1:$ABN$500,D$2,0),$A$641,INDEX(Техника!$H$1:$ABO$500,D$2,0),"П")</f>
        <v>0</v>
      </c>
      <c r="E644" s="50">
        <f>SUMIFS(INDEX(Техника!$F$1:$ABM$500,E$2,0),Техника!$F$4:$ABM$4,"Часы",INDEX(Техника!$G$1:$ABN$500,E$2,0),$A$641,INDEX(Техника!$H$1:$ABO$500,E$2,0),"П")</f>
        <v>0</v>
      </c>
      <c r="F644" s="50">
        <f>SUMIFS(INDEX(Техника!$F$1:$ABM$500,F$2,0),Техника!$F$4:$ABM$4,"Часы",INDEX(Техника!$G$1:$ABN$500,F$2,0),$A$641,INDEX(Техника!$H$1:$ABO$500,F$2,0),"П")</f>
        <v>0</v>
      </c>
      <c r="G644" s="50">
        <f>SUMIFS(INDEX(Техника!$F$1:$ABM$500,G$2,0),Техника!$F$4:$ABM$4,"Часы",INDEX(Техника!$G$1:$ABN$500,G$2,0),$A$641,INDEX(Техника!$H$1:$ABO$500,G$2,0),"П")</f>
        <v>0</v>
      </c>
      <c r="H644" s="50">
        <f>SUMIFS(INDEX(Техника!$F$1:$ABM$500,H$2,0),Техника!$F$4:$ABM$4,"Часы",INDEX(Техника!$G$1:$ABN$500,H$2,0),$A$641,INDEX(Техника!$H$1:$ABO$500,H$2,0),"П")</f>
        <v>0</v>
      </c>
      <c r="I644" s="50">
        <f>SUMIFS(INDEX(Техника!$F$1:$ABM$500,I$2,0),Техника!$F$4:$ABM$4,"Часы",INDEX(Техника!$G$1:$ABN$500,I$2,0),$A$641,INDEX(Техника!$H$1:$ABO$500,I$2,0),"П")</f>
        <v>0</v>
      </c>
      <c r="J644" s="50">
        <f>SUMIFS(INDEX(Техника!$F$1:$ABM$500,J$2,0),Техника!$F$4:$ABM$4,"Часы",INDEX(Техника!$G$1:$ABN$500,J$2,0),$A$641,INDEX(Техника!$H$1:$ABO$500,J$2,0),"П")</f>
        <v>0</v>
      </c>
      <c r="K644" s="50">
        <f>SUMIFS(INDEX(Техника!$F$1:$ABM$500,K$2,0),Техника!$F$4:$ABM$4,"Часы",INDEX(Техника!$G$1:$ABN$500,K$2,0),$A$641,INDEX(Техника!$H$1:$ABO$500,K$2,0),"П")</f>
        <v>0</v>
      </c>
      <c r="L644" s="50">
        <f>SUMIFS(INDEX(Техника!$F$1:$ABM$500,L$2,0),Техника!$F$4:$ABM$4,"Часы",INDEX(Техника!$G$1:$ABN$500,L$2,0),$A$641,INDEX(Техника!$H$1:$ABO$500,L$2,0),"П")</f>
        <v>0</v>
      </c>
      <c r="M644" s="50">
        <f>SUMIFS(INDEX(Техника!$F$1:$ABM$500,M$2,0),Техника!$F$4:$ABM$4,"Часы",INDEX(Техника!$G$1:$ABN$500,M$2,0),$A$641,INDEX(Техника!$H$1:$ABO$500,M$2,0),"П")</f>
        <v>0</v>
      </c>
      <c r="N644" s="50">
        <f>SUMIFS(INDEX(Техника!$F$1:$ABM$500,N$2,0),Техника!$F$4:$ABM$4,"Часы",INDEX(Техника!$G$1:$ABN$500,N$2,0),$A$641,INDEX(Техника!$H$1:$ABO$500,N$2,0),"П")</f>
        <v>0</v>
      </c>
      <c r="O644" s="50">
        <f>SUMIFS(INDEX(Техника!$F$1:$ABM$500,O$2,0),Техника!$F$4:$ABM$4,"Часы",INDEX(Техника!$G$1:$ABN$500,O$2,0),$A$641,INDEX(Техника!$H$1:$ABO$500,O$2,0),"П")</f>
        <v>0</v>
      </c>
      <c r="P644" s="50">
        <f>SUMIFS(INDEX(Техника!$F$1:$ABM$500,P$2,0),Техника!$F$4:$ABM$4,"Часы",INDEX(Техника!$G$1:$ABN$500,P$2,0),$A$641,INDEX(Техника!$H$1:$ABO$500,P$2,0),"П")</f>
        <v>0</v>
      </c>
      <c r="Q644" s="50">
        <f>SUMIFS(INDEX(Техника!$F$1:$ABM$500,Q$2,0),Техника!$F$4:$ABM$4,"Часы",INDEX(Техника!$G$1:$ABN$500,Q$2,0),$A$641,INDEX(Техника!$H$1:$ABO$500,Q$2,0),"П")</f>
        <v>0</v>
      </c>
      <c r="R644" s="50">
        <f>SUMIFS(INDEX(Техника!$F$1:$ABM$500,R$2,0),Техника!$F$4:$ABM$4,"Часы",INDEX(Техника!$G$1:$ABN$500,R$2,0),$A$641,INDEX(Техника!$H$1:$ABO$500,R$2,0),"П")</f>
        <v>0</v>
      </c>
      <c r="S644" s="50">
        <f>SUMIFS(INDEX(Техника!$F$1:$ABM$500,S$2,0),Техника!$F$4:$ABM$4,"Часы",INDEX(Техника!$G$1:$ABN$500,S$2,0),$A$641,INDEX(Техника!$H$1:$ABO$500,S$2,0),"П")</f>
        <v>0</v>
      </c>
      <c r="T644" s="50">
        <f>SUMIFS(INDEX(Техника!$F$1:$ABM$500,T$2,0),Техника!$F$4:$ABM$4,"Часы",INDEX(Техника!$G$1:$ABN$500,T$2,0),$A$641,INDEX(Техника!$H$1:$ABO$500,T$2,0),"П")</f>
        <v>0</v>
      </c>
      <c r="U644" s="50">
        <f>SUMIFS(INDEX(Техника!$F$1:$ABM$500,U$2,0),Техника!$F$4:$ABM$4,"Часы",INDEX(Техника!$G$1:$ABN$500,U$2,0),$A$641,INDEX(Техника!$H$1:$ABO$500,U$2,0),"П")</f>
        <v>0</v>
      </c>
      <c r="V644" s="50">
        <f>SUMIFS(INDEX(Техника!$F$1:$ABM$500,V$2,0),Техника!$F$4:$ABM$4,"Часы",INDEX(Техника!$G$1:$ABN$500,V$2,0),$A$641,INDEX(Техника!$H$1:$ABO$500,V$2,0),"П")</f>
        <v>0</v>
      </c>
      <c r="W644" s="50">
        <f>SUMIFS(INDEX(Техника!$F$1:$ABM$500,W$2,0),Техника!$F$4:$ABM$4,"Часы",INDEX(Техника!$G$1:$ABN$500,W$2,0),$A$641,INDEX(Техника!$H$1:$ABO$500,W$2,0),"П")</f>
        <v>0</v>
      </c>
      <c r="X644" s="50">
        <f>SUMIFS(INDEX(Техника!$F$1:$ABM$500,X$2,0),Техника!$F$4:$ABM$4,"Часы",INDEX(Техника!$G$1:$ABN$500,X$2,0),$A$641,INDEX(Техника!$H$1:$ABO$500,X$2,0),"П")</f>
        <v>0</v>
      </c>
      <c r="Y644" s="50">
        <f>SUMIFS(INDEX(Техника!$F$1:$ABM$500,Y$2,0),Техника!$F$4:$ABM$4,"Часы",INDEX(Техника!$G$1:$ABN$500,Y$2,0),$A$641,INDEX(Техника!$H$1:$ABO$500,Y$2,0),"П")</f>
        <v>0</v>
      </c>
      <c r="Z644" s="50">
        <f>SUMIFS(INDEX(Техника!$F$1:$ABM$500,Z$2,0),Техника!$F$4:$ABM$4,"Часы",INDEX(Техника!$G$1:$ABN$500,Z$2,0),$A$641,INDEX(Техника!$H$1:$ABO$500,Z$2,0),"П")</f>
        <v>0</v>
      </c>
      <c r="AA644" s="50">
        <f>SUMIFS(INDEX(Техника!$F$1:$ABM$500,AA$2,0),Техника!$F$4:$ABM$4,"Часы",INDEX(Техника!$G$1:$ABN$500,AA$2,0),$A$641,INDEX(Техника!$H$1:$ABO$500,AA$2,0),"П")</f>
        <v>0</v>
      </c>
      <c r="AB644" s="50">
        <f>SUMIFS(INDEX(Техника!$F$1:$ABM$500,AB$2,0),Техника!$F$4:$ABM$4,"Часы",INDEX(Техника!$G$1:$ABN$500,AB$2,0),$A$641,INDEX(Техника!$H$1:$ABO$500,AB$2,0),"П")</f>
        <v>0</v>
      </c>
    </row>
    <row r="645" spans="1:28" hidden="1" outlineLevel="1" x14ac:dyDescent="0.3">
      <c r="A645" s="33" t="s">
        <v>243</v>
      </c>
      <c r="B645" s="34" t="s">
        <v>278</v>
      </c>
      <c r="C645" s="50">
        <f>SUMIFS(INDEX(Техника!$F$1:$ABM$500,C$2,0),Техника!$F$4:$ABM$4,"Часы",INDEX(Техника!$G$1:$ABN$500,C$2,0),$A$641,INDEX(Техника!$H$1:$ABO$500,C$2,0),"Л")</f>
        <v>0</v>
      </c>
      <c r="D645" s="50">
        <f>SUMIFS(INDEX(Техника!$F$1:$ABM$500,D$2,0),Техника!$F$4:$ABM$4,"Часы",INDEX(Техника!$G$1:$ABN$500,D$2,0),$A$641,INDEX(Техника!$H$1:$ABO$500,D$2,0),"Л")</f>
        <v>0</v>
      </c>
      <c r="E645" s="50">
        <f>SUMIFS(INDEX(Техника!$F$1:$ABM$500,E$2,0),Техника!$F$4:$ABM$4,"Часы",INDEX(Техника!$G$1:$ABN$500,E$2,0),$A$641,INDEX(Техника!$H$1:$ABO$500,E$2,0),"Л")</f>
        <v>0</v>
      </c>
      <c r="F645" s="50">
        <f>SUMIFS(INDEX(Техника!$F$1:$ABM$500,F$2,0),Техника!$F$4:$ABM$4,"Часы",INDEX(Техника!$G$1:$ABN$500,F$2,0),$A$641,INDEX(Техника!$H$1:$ABO$500,F$2,0),"Л")</f>
        <v>0</v>
      </c>
      <c r="G645" s="50">
        <f>SUMIFS(INDEX(Техника!$F$1:$ABM$500,G$2,0),Техника!$F$4:$ABM$4,"Часы",INDEX(Техника!$G$1:$ABN$500,G$2,0),$A$641,INDEX(Техника!$H$1:$ABO$500,G$2,0),"Л")</f>
        <v>0</v>
      </c>
      <c r="H645" s="50">
        <f>SUMIFS(INDEX(Техника!$F$1:$ABM$500,H$2,0),Техника!$F$4:$ABM$4,"Часы",INDEX(Техника!$G$1:$ABN$500,H$2,0),$A$641,INDEX(Техника!$H$1:$ABO$500,H$2,0),"Л")</f>
        <v>0</v>
      </c>
      <c r="I645" s="50">
        <f>SUMIFS(INDEX(Техника!$F$1:$ABM$500,I$2,0),Техника!$F$4:$ABM$4,"Часы",INDEX(Техника!$G$1:$ABN$500,I$2,0),$A$641,INDEX(Техника!$H$1:$ABO$500,I$2,0),"Л")</f>
        <v>0</v>
      </c>
      <c r="J645" s="50">
        <f>SUMIFS(INDEX(Техника!$F$1:$ABM$500,J$2,0),Техника!$F$4:$ABM$4,"Часы",INDEX(Техника!$G$1:$ABN$500,J$2,0),$A$641,INDEX(Техника!$H$1:$ABO$500,J$2,0),"Л")</f>
        <v>0</v>
      </c>
      <c r="K645" s="50">
        <f>SUMIFS(INDEX(Техника!$F$1:$ABM$500,K$2,0),Техника!$F$4:$ABM$4,"Часы",INDEX(Техника!$G$1:$ABN$500,K$2,0),$A$641,INDEX(Техника!$H$1:$ABO$500,K$2,0),"Л")</f>
        <v>0</v>
      </c>
      <c r="L645" s="50">
        <f>SUMIFS(INDEX(Техника!$F$1:$ABM$500,L$2,0),Техника!$F$4:$ABM$4,"Часы",INDEX(Техника!$G$1:$ABN$500,L$2,0),$A$641,INDEX(Техника!$H$1:$ABO$500,L$2,0),"Л")</f>
        <v>0</v>
      </c>
      <c r="M645" s="50">
        <f>SUMIFS(INDEX(Техника!$F$1:$ABM$500,M$2,0),Техника!$F$4:$ABM$4,"Часы",INDEX(Техника!$G$1:$ABN$500,M$2,0),$A$641,INDEX(Техника!$H$1:$ABO$500,M$2,0),"Л")</f>
        <v>0</v>
      </c>
      <c r="N645" s="50">
        <f>SUMIFS(INDEX(Техника!$F$1:$ABM$500,N$2,0),Техника!$F$4:$ABM$4,"Часы",INDEX(Техника!$G$1:$ABN$500,N$2,0),$A$641,INDEX(Техника!$H$1:$ABO$500,N$2,0),"Л")</f>
        <v>0</v>
      </c>
      <c r="O645" s="50">
        <f>SUMIFS(INDEX(Техника!$F$1:$ABM$500,O$2,0),Техника!$F$4:$ABM$4,"Часы",INDEX(Техника!$G$1:$ABN$500,O$2,0),$A$641,INDEX(Техника!$H$1:$ABO$500,O$2,0),"Л")</f>
        <v>0</v>
      </c>
      <c r="P645" s="50">
        <f>SUMIFS(INDEX(Техника!$F$1:$ABM$500,P$2,0),Техника!$F$4:$ABM$4,"Часы",INDEX(Техника!$G$1:$ABN$500,P$2,0),$A$641,INDEX(Техника!$H$1:$ABO$500,P$2,0),"Л")</f>
        <v>0</v>
      </c>
      <c r="Q645" s="50">
        <f>SUMIFS(INDEX(Техника!$F$1:$ABM$500,Q$2,0),Техника!$F$4:$ABM$4,"Часы",INDEX(Техника!$G$1:$ABN$500,Q$2,0),$A$641,INDEX(Техника!$H$1:$ABO$500,Q$2,0),"Л")</f>
        <v>0</v>
      </c>
      <c r="R645" s="50">
        <f>SUMIFS(INDEX(Техника!$F$1:$ABM$500,R$2,0),Техника!$F$4:$ABM$4,"Часы",INDEX(Техника!$G$1:$ABN$500,R$2,0),$A$641,INDEX(Техника!$H$1:$ABO$500,R$2,0),"Л")</f>
        <v>0</v>
      </c>
      <c r="S645" s="50">
        <f>SUMIFS(INDEX(Техника!$F$1:$ABM$500,S$2,0),Техника!$F$4:$ABM$4,"Часы",INDEX(Техника!$G$1:$ABN$500,S$2,0),$A$641,INDEX(Техника!$H$1:$ABO$500,S$2,0),"Л")</f>
        <v>0</v>
      </c>
      <c r="T645" s="50">
        <f>SUMIFS(INDEX(Техника!$F$1:$ABM$500,T$2,0),Техника!$F$4:$ABM$4,"Часы",INDEX(Техника!$G$1:$ABN$500,T$2,0),$A$641,INDEX(Техника!$H$1:$ABO$500,T$2,0),"Л")</f>
        <v>0</v>
      </c>
      <c r="U645" s="50">
        <f>SUMIFS(INDEX(Техника!$F$1:$ABM$500,U$2,0),Техника!$F$4:$ABM$4,"Часы",INDEX(Техника!$G$1:$ABN$500,U$2,0),$A$641,INDEX(Техника!$H$1:$ABO$500,U$2,0),"Л")</f>
        <v>0</v>
      </c>
      <c r="V645" s="50">
        <f>SUMIFS(INDEX(Техника!$F$1:$ABM$500,V$2,0),Техника!$F$4:$ABM$4,"Часы",INDEX(Техника!$G$1:$ABN$500,V$2,0),$A$641,INDEX(Техника!$H$1:$ABO$500,V$2,0),"Л")</f>
        <v>0</v>
      </c>
      <c r="W645" s="50">
        <f>SUMIFS(INDEX(Техника!$F$1:$ABM$500,W$2,0),Техника!$F$4:$ABM$4,"Часы",INDEX(Техника!$G$1:$ABN$500,W$2,0),$A$641,INDEX(Техника!$H$1:$ABO$500,W$2,0),"Л")</f>
        <v>0</v>
      </c>
      <c r="X645" s="50">
        <f>SUMIFS(INDEX(Техника!$F$1:$ABM$500,X$2,0),Техника!$F$4:$ABM$4,"Часы",INDEX(Техника!$G$1:$ABN$500,X$2,0),$A$641,INDEX(Техника!$H$1:$ABO$500,X$2,0),"Л")</f>
        <v>0</v>
      </c>
      <c r="Y645" s="50">
        <f>SUMIFS(INDEX(Техника!$F$1:$ABM$500,Y$2,0),Техника!$F$4:$ABM$4,"Часы",INDEX(Техника!$G$1:$ABN$500,Y$2,0),$A$641,INDEX(Техника!$H$1:$ABO$500,Y$2,0),"Л")</f>
        <v>0</v>
      </c>
      <c r="Z645" s="50">
        <f>SUMIFS(INDEX(Техника!$F$1:$ABM$500,Z$2,0),Техника!$F$4:$ABM$4,"Часы",INDEX(Техника!$G$1:$ABN$500,Z$2,0),$A$641,INDEX(Техника!$H$1:$ABO$500,Z$2,0),"Л")</f>
        <v>0</v>
      </c>
      <c r="AA645" s="50">
        <f>SUMIFS(INDEX(Техника!$F$1:$ABM$500,AA$2,0),Техника!$F$4:$ABM$4,"Часы",INDEX(Техника!$G$1:$ABN$500,AA$2,0),$A$641,INDEX(Техника!$H$1:$ABO$500,AA$2,0),"Л")</f>
        <v>0</v>
      </c>
      <c r="AB645" s="50">
        <f>SUMIFS(INDEX(Техника!$F$1:$ABM$500,AB$2,0),Техника!$F$4:$ABM$4,"Часы",INDEX(Техника!$G$1:$ABN$500,AB$2,0),$A$641,INDEX(Техника!$H$1:$ABO$500,AB$2,0),"Л")</f>
        <v>0</v>
      </c>
    </row>
    <row r="646" spans="1:28" hidden="1" outlineLevel="1" x14ac:dyDescent="0.3">
      <c r="A646" s="33" t="s">
        <v>245</v>
      </c>
      <c r="B646" s="34" t="s">
        <v>279</v>
      </c>
      <c r="C646" s="50">
        <f>SUMIFS(INDEX(Техника!$F$1:$ABM$500,C$2,0),Техника!$F$4:$ABM$4,"Часы",INDEX(Техника!$G$1:$ABN$500,C$2,0),$A$641,INDEX(Техника!$H$1:$ABO$500,C$2,0),"З")</f>
        <v>0</v>
      </c>
      <c r="D646" s="50">
        <f>SUMIFS(INDEX(Техника!$F$1:$ABM$500,D$2,0),Техника!$F$4:$ABM$4,"Часы",INDEX(Техника!$G$1:$ABN$500,D$2,0),$A$641,INDEX(Техника!$H$1:$ABO$500,D$2,0),"З")</f>
        <v>0</v>
      </c>
      <c r="E646" s="50">
        <f>SUMIFS(INDEX(Техника!$F$1:$ABM$500,E$2,0),Техника!$F$4:$ABM$4,"Часы",INDEX(Техника!$G$1:$ABN$500,E$2,0),$A$641,INDEX(Техника!$H$1:$ABO$500,E$2,0),"З")</f>
        <v>0</v>
      </c>
      <c r="F646" s="50">
        <f>SUMIFS(INDEX(Техника!$F$1:$ABM$500,F$2,0),Техника!$F$4:$ABM$4,"Часы",INDEX(Техника!$G$1:$ABN$500,F$2,0),$A$641,INDEX(Техника!$H$1:$ABO$500,F$2,0),"З")</f>
        <v>0</v>
      </c>
      <c r="G646" s="50">
        <f>SUMIFS(INDEX(Техника!$F$1:$ABM$500,G$2,0),Техника!$F$4:$ABM$4,"Часы",INDEX(Техника!$G$1:$ABN$500,G$2,0),$A$641,INDEX(Техника!$H$1:$ABO$500,G$2,0),"З")</f>
        <v>0</v>
      </c>
      <c r="H646" s="50">
        <f>SUMIFS(INDEX(Техника!$F$1:$ABM$500,H$2,0),Техника!$F$4:$ABM$4,"Часы",INDEX(Техника!$G$1:$ABN$500,H$2,0),$A$641,INDEX(Техника!$H$1:$ABO$500,H$2,0),"З")</f>
        <v>0</v>
      </c>
      <c r="I646" s="50">
        <f>SUMIFS(INDEX(Техника!$F$1:$ABM$500,I$2,0),Техника!$F$4:$ABM$4,"Часы",INDEX(Техника!$G$1:$ABN$500,I$2,0),$A$641,INDEX(Техника!$H$1:$ABO$500,I$2,0),"З")</f>
        <v>0</v>
      </c>
      <c r="J646" s="50">
        <f>SUMIFS(INDEX(Техника!$F$1:$ABM$500,J$2,0),Техника!$F$4:$ABM$4,"Часы",INDEX(Техника!$G$1:$ABN$500,J$2,0),$A$641,INDEX(Техника!$H$1:$ABO$500,J$2,0),"З")</f>
        <v>0</v>
      </c>
      <c r="K646" s="50">
        <f>SUMIFS(INDEX(Техника!$F$1:$ABM$500,K$2,0),Техника!$F$4:$ABM$4,"Часы",INDEX(Техника!$G$1:$ABN$500,K$2,0),$A$641,INDEX(Техника!$H$1:$ABO$500,K$2,0),"З")</f>
        <v>0</v>
      </c>
      <c r="L646" s="50">
        <f>SUMIFS(INDEX(Техника!$F$1:$ABM$500,L$2,0),Техника!$F$4:$ABM$4,"Часы",INDEX(Техника!$G$1:$ABN$500,L$2,0),$A$641,INDEX(Техника!$H$1:$ABO$500,L$2,0),"З")</f>
        <v>0</v>
      </c>
      <c r="M646" s="50">
        <f>SUMIFS(INDEX(Техника!$F$1:$ABM$500,M$2,0),Техника!$F$4:$ABM$4,"Часы",INDEX(Техника!$G$1:$ABN$500,M$2,0),$A$641,INDEX(Техника!$H$1:$ABO$500,M$2,0),"З")</f>
        <v>0</v>
      </c>
      <c r="N646" s="50">
        <f>SUMIFS(INDEX(Техника!$F$1:$ABM$500,N$2,0),Техника!$F$4:$ABM$4,"Часы",INDEX(Техника!$G$1:$ABN$500,N$2,0),$A$641,INDEX(Техника!$H$1:$ABO$500,N$2,0),"З")</f>
        <v>0</v>
      </c>
      <c r="O646" s="50">
        <f>SUMIFS(INDEX(Техника!$F$1:$ABM$500,O$2,0),Техника!$F$4:$ABM$4,"Часы",INDEX(Техника!$G$1:$ABN$500,O$2,0),$A$641,INDEX(Техника!$H$1:$ABO$500,O$2,0),"З")</f>
        <v>0</v>
      </c>
      <c r="P646" s="50">
        <f>SUMIFS(INDEX(Техника!$F$1:$ABM$500,P$2,0),Техника!$F$4:$ABM$4,"Часы",INDEX(Техника!$G$1:$ABN$500,P$2,0),$A$641,INDEX(Техника!$H$1:$ABO$500,P$2,0),"З")</f>
        <v>0</v>
      </c>
      <c r="Q646" s="50">
        <f>SUMIFS(INDEX(Техника!$F$1:$ABM$500,Q$2,0),Техника!$F$4:$ABM$4,"Часы",INDEX(Техника!$G$1:$ABN$500,Q$2,0),$A$641,INDEX(Техника!$H$1:$ABO$500,Q$2,0),"З")</f>
        <v>0</v>
      </c>
      <c r="R646" s="50">
        <f>SUMIFS(INDEX(Техника!$F$1:$ABM$500,R$2,0),Техника!$F$4:$ABM$4,"Часы",INDEX(Техника!$G$1:$ABN$500,R$2,0),$A$641,INDEX(Техника!$H$1:$ABO$500,R$2,0),"З")</f>
        <v>0</v>
      </c>
      <c r="S646" s="50">
        <f>SUMIFS(INDEX(Техника!$F$1:$ABM$500,S$2,0),Техника!$F$4:$ABM$4,"Часы",INDEX(Техника!$G$1:$ABN$500,S$2,0),$A$641,INDEX(Техника!$H$1:$ABO$500,S$2,0),"З")</f>
        <v>0</v>
      </c>
      <c r="T646" s="50">
        <f>SUMIFS(INDEX(Техника!$F$1:$ABM$500,T$2,0),Техника!$F$4:$ABM$4,"Часы",INDEX(Техника!$G$1:$ABN$500,T$2,0),$A$641,INDEX(Техника!$H$1:$ABO$500,T$2,0),"З")</f>
        <v>0</v>
      </c>
      <c r="U646" s="50">
        <f>SUMIFS(INDEX(Техника!$F$1:$ABM$500,U$2,0),Техника!$F$4:$ABM$4,"Часы",INDEX(Техника!$G$1:$ABN$500,U$2,0),$A$641,INDEX(Техника!$H$1:$ABO$500,U$2,0),"З")</f>
        <v>0</v>
      </c>
      <c r="V646" s="50">
        <f>SUMIFS(INDEX(Техника!$F$1:$ABM$500,V$2,0),Техника!$F$4:$ABM$4,"Часы",INDEX(Техника!$G$1:$ABN$500,V$2,0),$A$641,INDEX(Техника!$H$1:$ABO$500,V$2,0),"З")</f>
        <v>0</v>
      </c>
      <c r="W646" s="50">
        <f>SUMIFS(INDEX(Техника!$F$1:$ABM$500,W$2,0),Техника!$F$4:$ABM$4,"Часы",INDEX(Техника!$G$1:$ABN$500,W$2,0),$A$641,INDEX(Техника!$H$1:$ABO$500,W$2,0),"З")</f>
        <v>0</v>
      </c>
      <c r="X646" s="50">
        <f>SUMIFS(INDEX(Техника!$F$1:$ABM$500,X$2,0),Техника!$F$4:$ABM$4,"Часы",INDEX(Техника!$G$1:$ABN$500,X$2,0),$A$641,INDEX(Техника!$H$1:$ABO$500,X$2,0),"З")</f>
        <v>0</v>
      </c>
      <c r="Y646" s="50">
        <f>SUMIFS(INDEX(Техника!$F$1:$ABM$500,Y$2,0),Техника!$F$4:$ABM$4,"Часы",INDEX(Техника!$G$1:$ABN$500,Y$2,0),$A$641,INDEX(Техника!$H$1:$ABO$500,Y$2,0),"З")</f>
        <v>0</v>
      </c>
      <c r="Z646" s="50">
        <f>SUMIFS(INDEX(Техника!$F$1:$ABM$500,Z$2,0),Техника!$F$4:$ABM$4,"Часы",INDEX(Техника!$G$1:$ABN$500,Z$2,0),$A$641,INDEX(Техника!$H$1:$ABO$500,Z$2,0),"З")</f>
        <v>0</v>
      </c>
      <c r="AA646" s="50">
        <f>SUMIFS(INDEX(Техника!$F$1:$ABM$500,AA$2,0),Техника!$F$4:$ABM$4,"Часы",INDEX(Техника!$G$1:$ABN$500,AA$2,0),$A$641,INDEX(Техника!$H$1:$ABO$500,AA$2,0),"З")</f>
        <v>0</v>
      </c>
      <c r="AB646" s="50">
        <f>SUMIFS(INDEX(Техника!$F$1:$ABM$500,AB$2,0),Техника!$F$4:$ABM$4,"Часы",INDEX(Техника!$G$1:$ABN$500,AB$2,0),$A$641,INDEX(Техника!$H$1:$ABO$500,AB$2,0),"З")</f>
        <v>0</v>
      </c>
    </row>
    <row r="647" spans="1:28" ht="7.95" customHeight="1" x14ac:dyDescent="0.3">
      <c r="A647" s="38"/>
      <c r="B647" s="39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</row>
    <row r="648" spans="1:28" ht="25.05" customHeight="1" collapsed="1" x14ac:dyDescent="0.3">
      <c r="A648" s="32">
        <v>93</v>
      </c>
      <c r="B648" s="32" t="s">
        <v>94</v>
      </c>
      <c r="C648" s="49">
        <f>SUM(C649:C653)</f>
        <v>0</v>
      </c>
      <c r="D648" s="49">
        <f>SUM(D649:D653)</f>
        <v>0</v>
      </c>
      <c r="E648" s="49">
        <f>SUM(E649:E653)</f>
        <v>0</v>
      </c>
      <c r="F648" s="49">
        <f>SUM(F649:F653)</f>
        <v>0</v>
      </c>
      <c r="G648" s="49">
        <f>SUM(G649:G653)</f>
        <v>0</v>
      </c>
      <c r="H648" s="49">
        <f>SUM(H649:H653)</f>
        <v>0</v>
      </c>
      <c r="I648" s="49">
        <f>SUM(I649:I653)</f>
        <v>0</v>
      </c>
      <c r="J648" s="49">
        <f>SUM(J649:J653)</f>
        <v>0</v>
      </c>
      <c r="K648" s="49">
        <f>SUM(K649:K653)</f>
        <v>0</v>
      </c>
      <c r="L648" s="49">
        <f>SUM(L649:L653)</f>
        <v>0</v>
      </c>
      <c r="M648" s="49">
        <f>SUM(M649:M653)</f>
        <v>0</v>
      </c>
      <c r="N648" s="49">
        <f>SUM(N649:N653)</f>
        <v>0</v>
      </c>
      <c r="O648" s="49">
        <f>SUM(O649:O653)</f>
        <v>0</v>
      </c>
      <c r="P648" s="49">
        <f>SUM(P649:P653)</f>
        <v>0</v>
      </c>
      <c r="Q648" s="49">
        <f>SUM(Q649:Q653)</f>
        <v>0</v>
      </c>
      <c r="R648" s="49">
        <f>SUM(R649:R653)</f>
        <v>0</v>
      </c>
      <c r="S648" s="49">
        <f>SUM(S649:S653)</f>
        <v>0</v>
      </c>
      <c r="T648" s="49">
        <f>SUM(T649:T653)</f>
        <v>0</v>
      </c>
      <c r="U648" s="49">
        <f>SUM(U649:U653)</f>
        <v>0</v>
      </c>
      <c r="V648" s="49">
        <f>SUM(V649:V653)</f>
        <v>0</v>
      </c>
      <c r="W648" s="49">
        <f>SUM(W649:W653)</f>
        <v>0</v>
      </c>
      <c r="X648" s="49">
        <f>SUM(X649:X653)</f>
        <v>0</v>
      </c>
      <c r="Y648" s="49">
        <f>SUM(Y649:Y653)</f>
        <v>0</v>
      </c>
      <c r="Z648" s="49">
        <f>SUM(Z649:Z653)</f>
        <v>0</v>
      </c>
      <c r="AA648" s="49">
        <f>SUM(AA649:AA653)</f>
        <v>0</v>
      </c>
      <c r="AB648" s="49">
        <f>SUM(AB649:AB653)</f>
        <v>0</v>
      </c>
    </row>
    <row r="649" spans="1:28" hidden="1" outlineLevel="1" x14ac:dyDescent="0.3">
      <c r="A649" s="33" t="s">
        <v>246</v>
      </c>
      <c r="B649" s="34" t="s">
        <v>274</v>
      </c>
      <c r="C649" s="50">
        <f>SUMIFS(INDEX(Техника!$F$1:$ABM$500,C$2,0),Техника!$F$4:$ABM$4,"Часы",INDEX(Техника!$G$1:$ABN$500,C$2,0),$A$648,INDEX(Техника!$H$1:$ABO$500,C$2,0),"М")</f>
        <v>0</v>
      </c>
      <c r="D649" s="50">
        <f>SUMIFS(INDEX(Техника!$F$1:$ABM$500,D$2,0),Техника!$F$4:$ABM$4,"Часы",INDEX(Техника!$G$1:$ABN$500,D$2,0),$A$648,INDEX(Техника!$H$1:$ABO$500,D$2,0),"М")</f>
        <v>0</v>
      </c>
      <c r="E649" s="50">
        <f>SUMIFS(INDEX(Техника!$F$1:$ABM$500,E$2,0),Техника!$F$4:$ABM$4,"Часы",INDEX(Техника!$G$1:$ABN$500,E$2,0),$A$648,INDEX(Техника!$H$1:$ABO$500,E$2,0),"М")</f>
        <v>0</v>
      </c>
      <c r="F649" s="50">
        <f>SUMIFS(INDEX(Техника!$F$1:$ABM$500,F$2,0),Техника!$F$4:$ABM$4,"Часы",INDEX(Техника!$G$1:$ABN$500,F$2,0),$A$648,INDEX(Техника!$H$1:$ABO$500,F$2,0),"М")</f>
        <v>0</v>
      </c>
      <c r="G649" s="50">
        <f>SUMIFS(INDEX(Техника!$F$1:$ABM$500,G$2,0),Техника!$F$4:$ABM$4,"Часы",INDEX(Техника!$G$1:$ABN$500,G$2,0),$A$648,INDEX(Техника!$H$1:$ABO$500,G$2,0),"М")</f>
        <v>0</v>
      </c>
      <c r="H649" s="50">
        <f>SUMIFS(INDEX(Техника!$F$1:$ABM$500,H$2,0),Техника!$F$4:$ABM$4,"Часы",INDEX(Техника!$G$1:$ABN$500,H$2,0),$A$648,INDEX(Техника!$H$1:$ABO$500,H$2,0),"М")</f>
        <v>0</v>
      </c>
      <c r="I649" s="50">
        <f>SUMIFS(INDEX(Техника!$F$1:$ABM$500,I$2,0),Техника!$F$4:$ABM$4,"Часы",INDEX(Техника!$G$1:$ABN$500,I$2,0),$A$648,INDEX(Техника!$H$1:$ABO$500,I$2,0),"М")</f>
        <v>0</v>
      </c>
      <c r="J649" s="50">
        <f>SUMIFS(INDEX(Техника!$F$1:$ABM$500,J$2,0),Техника!$F$4:$ABM$4,"Часы",INDEX(Техника!$G$1:$ABN$500,J$2,0),$A$648,INDEX(Техника!$H$1:$ABO$500,J$2,0),"М")</f>
        <v>0</v>
      </c>
      <c r="K649" s="50">
        <f>SUMIFS(INDEX(Техника!$F$1:$ABM$500,K$2,0),Техника!$F$4:$ABM$4,"Часы",INDEX(Техника!$G$1:$ABN$500,K$2,0),$A$648,INDEX(Техника!$H$1:$ABO$500,K$2,0),"М")</f>
        <v>0</v>
      </c>
      <c r="L649" s="50">
        <f>SUMIFS(INDEX(Техника!$F$1:$ABM$500,L$2,0),Техника!$F$4:$ABM$4,"Часы",INDEX(Техника!$G$1:$ABN$500,L$2,0),$A$648,INDEX(Техника!$H$1:$ABO$500,L$2,0),"М")</f>
        <v>0</v>
      </c>
      <c r="M649" s="50">
        <f>SUMIFS(INDEX(Техника!$F$1:$ABM$500,M$2,0),Техника!$F$4:$ABM$4,"Часы",INDEX(Техника!$G$1:$ABN$500,M$2,0),$A$648,INDEX(Техника!$H$1:$ABO$500,M$2,0),"М")</f>
        <v>0</v>
      </c>
      <c r="N649" s="50">
        <f>SUMIFS(INDEX(Техника!$F$1:$ABM$500,N$2,0),Техника!$F$4:$ABM$4,"Часы",INDEX(Техника!$G$1:$ABN$500,N$2,0),$A$648,INDEX(Техника!$H$1:$ABO$500,N$2,0),"М")</f>
        <v>0</v>
      </c>
      <c r="O649" s="50">
        <f>SUMIFS(INDEX(Техника!$F$1:$ABM$500,O$2,0),Техника!$F$4:$ABM$4,"Часы",INDEX(Техника!$G$1:$ABN$500,O$2,0),$A$648,INDEX(Техника!$H$1:$ABO$500,O$2,0),"М")</f>
        <v>0</v>
      </c>
      <c r="P649" s="50">
        <f>SUMIFS(INDEX(Техника!$F$1:$ABM$500,P$2,0),Техника!$F$4:$ABM$4,"Часы",INDEX(Техника!$G$1:$ABN$500,P$2,0),$A$648,INDEX(Техника!$H$1:$ABO$500,P$2,0),"М")</f>
        <v>0</v>
      </c>
      <c r="Q649" s="50">
        <f>SUMIFS(INDEX(Техника!$F$1:$ABM$500,Q$2,0),Техника!$F$4:$ABM$4,"Часы",INDEX(Техника!$G$1:$ABN$500,Q$2,0),$A$648,INDEX(Техника!$H$1:$ABO$500,Q$2,0),"М")</f>
        <v>0</v>
      </c>
      <c r="R649" s="50">
        <f>SUMIFS(INDEX(Техника!$F$1:$ABM$500,R$2,0),Техника!$F$4:$ABM$4,"Часы",INDEX(Техника!$G$1:$ABN$500,R$2,0),$A$648,INDEX(Техника!$H$1:$ABO$500,R$2,0),"М")</f>
        <v>0</v>
      </c>
      <c r="S649" s="50">
        <f>SUMIFS(INDEX(Техника!$F$1:$ABM$500,S$2,0),Техника!$F$4:$ABM$4,"Часы",INDEX(Техника!$G$1:$ABN$500,S$2,0),$A$648,INDEX(Техника!$H$1:$ABO$500,S$2,0),"М")</f>
        <v>0</v>
      </c>
      <c r="T649" s="50">
        <f>SUMIFS(INDEX(Техника!$F$1:$ABM$500,T$2,0),Техника!$F$4:$ABM$4,"Часы",INDEX(Техника!$G$1:$ABN$500,T$2,0),$A$648,INDEX(Техника!$H$1:$ABO$500,T$2,0),"М")</f>
        <v>0</v>
      </c>
      <c r="U649" s="50">
        <f>SUMIFS(INDEX(Техника!$F$1:$ABM$500,U$2,0),Техника!$F$4:$ABM$4,"Часы",INDEX(Техника!$G$1:$ABN$500,U$2,0),$A$648,INDEX(Техника!$H$1:$ABO$500,U$2,0),"М")</f>
        <v>0</v>
      </c>
      <c r="V649" s="50">
        <f>SUMIFS(INDEX(Техника!$F$1:$ABM$500,V$2,0),Техника!$F$4:$ABM$4,"Часы",INDEX(Техника!$G$1:$ABN$500,V$2,0),$A$648,INDEX(Техника!$H$1:$ABO$500,V$2,0),"М")</f>
        <v>0</v>
      </c>
      <c r="W649" s="50">
        <f>SUMIFS(INDEX(Техника!$F$1:$ABM$500,W$2,0),Техника!$F$4:$ABM$4,"Часы",INDEX(Техника!$G$1:$ABN$500,W$2,0),$A$648,INDEX(Техника!$H$1:$ABO$500,W$2,0),"М")</f>
        <v>0</v>
      </c>
      <c r="X649" s="50">
        <f>SUMIFS(INDEX(Техника!$F$1:$ABM$500,X$2,0),Техника!$F$4:$ABM$4,"Часы",INDEX(Техника!$G$1:$ABN$500,X$2,0),$A$648,INDEX(Техника!$H$1:$ABO$500,X$2,0),"М")</f>
        <v>0</v>
      </c>
      <c r="Y649" s="50">
        <f>SUMIFS(INDEX(Техника!$F$1:$ABM$500,Y$2,0),Техника!$F$4:$ABM$4,"Часы",INDEX(Техника!$G$1:$ABN$500,Y$2,0),$A$648,INDEX(Техника!$H$1:$ABO$500,Y$2,0),"М")</f>
        <v>0</v>
      </c>
      <c r="Z649" s="50">
        <f>SUMIFS(INDEX(Техника!$F$1:$ABM$500,Z$2,0),Техника!$F$4:$ABM$4,"Часы",INDEX(Техника!$G$1:$ABN$500,Z$2,0),$A$648,INDEX(Техника!$H$1:$ABO$500,Z$2,0),"М")</f>
        <v>0</v>
      </c>
      <c r="AA649" s="50">
        <f>SUMIFS(INDEX(Техника!$F$1:$ABM$500,AA$2,0),Техника!$F$4:$ABM$4,"Часы",INDEX(Техника!$G$1:$ABN$500,AA$2,0),$A$648,INDEX(Техника!$H$1:$ABO$500,AA$2,0),"М")</f>
        <v>0</v>
      </c>
      <c r="AB649" s="50">
        <f>SUMIFS(INDEX(Техника!$F$1:$ABM$500,AB$2,0),Техника!$F$4:$ABM$4,"Часы",INDEX(Техника!$G$1:$ABN$500,AB$2,0),$A$648,INDEX(Техника!$H$1:$ABO$500,AB$2,0),"М")</f>
        <v>0</v>
      </c>
    </row>
    <row r="650" spans="1:28" hidden="1" outlineLevel="1" x14ac:dyDescent="0.3">
      <c r="A650" s="33" t="s">
        <v>244</v>
      </c>
      <c r="B650" s="34" t="s">
        <v>275</v>
      </c>
      <c r="C650" s="50">
        <f>SUMIFS(INDEX(Техника!$F$1:$ABM$500,C$2,0),Техника!$F$4:$ABM$4,"Часы",INDEX(Техника!$G$1:$ABN$500,C$2,0),$A$648,INDEX(Техника!$H$1:$ABO$500,C$2,0),"Д")</f>
        <v>0</v>
      </c>
      <c r="D650" s="50">
        <f>SUMIFS(INDEX(Техника!$F$1:$ABM$500,D$2,0),Техника!$F$4:$ABM$4,"Часы",INDEX(Техника!$G$1:$ABN$500,D$2,0),$A$648,INDEX(Техника!$H$1:$ABO$500,D$2,0),"Д")</f>
        <v>0</v>
      </c>
      <c r="E650" s="50">
        <f>SUMIFS(INDEX(Техника!$F$1:$ABM$500,E$2,0),Техника!$F$4:$ABM$4,"Часы",INDEX(Техника!$G$1:$ABN$500,E$2,0),$A$648,INDEX(Техника!$H$1:$ABO$500,E$2,0),"Д")</f>
        <v>0</v>
      </c>
      <c r="F650" s="50">
        <f>SUMIFS(INDEX(Техника!$F$1:$ABM$500,F$2,0),Техника!$F$4:$ABM$4,"Часы",INDEX(Техника!$G$1:$ABN$500,F$2,0),$A$648,INDEX(Техника!$H$1:$ABO$500,F$2,0),"Д")</f>
        <v>0</v>
      </c>
      <c r="G650" s="50">
        <f>SUMIFS(INDEX(Техника!$F$1:$ABM$500,G$2,0),Техника!$F$4:$ABM$4,"Часы",INDEX(Техника!$G$1:$ABN$500,G$2,0),$A$648,INDEX(Техника!$H$1:$ABO$500,G$2,0),"Д")</f>
        <v>0</v>
      </c>
      <c r="H650" s="50">
        <f>SUMIFS(INDEX(Техника!$F$1:$ABM$500,H$2,0),Техника!$F$4:$ABM$4,"Часы",INDEX(Техника!$G$1:$ABN$500,H$2,0),$A$648,INDEX(Техника!$H$1:$ABO$500,H$2,0),"Д")</f>
        <v>0</v>
      </c>
      <c r="I650" s="50">
        <f>SUMIFS(INDEX(Техника!$F$1:$ABM$500,I$2,0),Техника!$F$4:$ABM$4,"Часы",INDEX(Техника!$G$1:$ABN$500,I$2,0),$A$648,INDEX(Техника!$H$1:$ABO$500,I$2,0),"Д")</f>
        <v>0</v>
      </c>
      <c r="J650" s="50">
        <f>SUMIFS(INDEX(Техника!$F$1:$ABM$500,J$2,0),Техника!$F$4:$ABM$4,"Часы",INDEX(Техника!$G$1:$ABN$500,J$2,0),$A$648,INDEX(Техника!$H$1:$ABO$500,J$2,0),"Д")</f>
        <v>0</v>
      </c>
      <c r="K650" s="50">
        <f>SUMIFS(INDEX(Техника!$F$1:$ABM$500,K$2,0),Техника!$F$4:$ABM$4,"Часы",INDEX(Техника!$G$1:$ABN$500,K$2,0),$A$648,INDEX(Техника!$H$1:$ABO$500,K$2,0),"Д")</f>
        <v>0</v>
      </c>
      <c r="L650" s="50">
        <f>SUMIFS(INDEX(Техника!$F$1:$ABM$500,L$2,0),Техника!$F$4:$ABM$4,"Часы",INDEX(Техника!$G$1:$ABN$500,L$2,0),$A$648,INDEX(Техника!$H$1:$ABO$500,L$2,0),"Д")</f>
        <v>0</v>
      </c>
      <c r="M650" s="50">
        <f>SUMIFS(INDEX(Техника!$F$1:$ABM$500,M$2,0),Техника!$F$4:$ABM$4,"Часы",INDEX(Техника!$G$1:$ABN$500,M$2,0),$A$648,INDEX(Техника!$H$1:$ABO$500,M$2,0),"Д")</f>
        <v>0</v>
      </c>
      <c r="N650" s="50">
        <f>SUMIFS(INDEX(Техника!$F$1:$ABM$500,N$2,0),Техника!$F$4:$ABM$4,"Часы",INDEX(Техника!$G$1:$ABN$500,N$2,0),$A$648,INDEX(Техника!$H$1:$ABO$500,N$2,0),"Д")</f>
        <v>0</v>
      </c>
      <c r="O650" s="50">
        <f>SUMIFS(INDEX(Техника!$F$1:$ABM$500,O$2,0),Техника!$F$4:$ABM$4,"Часы",INDEX(Техника!$G$1:$ABN$500,O$2,0),$A$648,INDEX(Техника!$H$1:$ABO$500,O$2,0),"Д")</f>
        <v>0</v>
      </c>
      <c r="P650" s="50">
        <f>SUMIFS(INDEX(Техника!$F$1:$ABM$500,P$2,0),Техника!$F$4:$ABM$4,"Часы",INDEX(Техника!$G$1:$ABN$500,P$2,0),$A$648,INDEX(Техника!$H$1:$ABO$500,P$2,0),"Д")</f>
        <v>0</v>
      </c>
      <c r="Q650" s="50">
        <f>SUMIFS(INDEX(Техника!$F$1:$ABM$500,Q$2,0),Техника!$F$4:$ABM$4,"Часы",INDEX(Техника!$G$1:$ABN$500,Q$2,0),$A$648,INDEX(Техника!$H$1:$ABO$500,Q$2,0),"Д")</f>
        <v>0</v>
      </c>
      <c r="R650" s="50">
        <f>SUMIFS(INDEX(Техника!$F$1:$ABM$500,R$2,0),Техника!$F$4:$ABM$4,"Часы",INDEX(Техника!$G$1:$ABN$500,R$2,0),$A$648,INDEX(Техника!$H$1:$ABO$500,R$2,0),"Д")</f>
        <v>0</v>
      </c>
      <c r="S650" s="50">
        <f>SUMIFS(INDEX(Техника!$F$1:$ABM$500,S$2,0),Техника!$F$4:$ABM$4,"Часы",INDEX(Техника!$G$1:$ABN$500,S$2,0),$A$648,INDEX(Техника!$H$1:$ABO$500,S$2,0),"Д")</f>
        <v>0</v>
      </c>
      <c r="T650" s="50">
        <f>SUMIFS(INDEX(Техника!$F$1:$ABM$500,T$2,0),Техника!$F$4:$ABM$4,"Часы",INDEX(Техника!$G$1:$ABN$500,T$2,0),$A$648,INDEX(Техника!$H$1:$ABO$500,T$2,0),"Д")</f>
        <v>0</v>
      </c>
      <c r="U650" s="50">
        <f>SUMIFS(INDEX(Техника!$F$1:$ABM$500,U$2,0),Техника!$F$4:$ABM$4,"Часы",INDEX(Техника!$G$1:$ABN$500,U$2,0),$A$648,INDEX(Техника!$H$1:$ABO$500,U$2,0),"Д")</f>
        <v>0</v>
      </c>
      <c r="V650" s="50">
        <f>SUMIFS(INDEX(Техника!$F$1:$ABM$500,V$2,0),Техника!$F$4:$ABM$4,"Часы",INDEX(Техника!$G$1:$ABN$500,V$2,0),$A$648,INDEX(Техника!$H$1:$ABO$500,V$2,0),"Д")</f>
        <v>0</v>
      </c>
      <c r="W650" s="50">
        <f>SUMIFS(INDEX(Техника!$F$1:$ABM$500,W$2,0),Техника!$F$4:$ABM$4,"Часы",INDEX(Техника!$G$1:$ABN$500,W$2,0),$A$648,INDEX(Техника!$H$1:$ABO$500,W$2,0),"Д")</f>
        <v>0</v>
      </c>
      <c r="X650" s="50">
        <f>SUMIFS(INDEX(Техника!$F$1:$ABM$500,X$2,0),Техника!$F$4:$ABM$4,"Часы",INDEX(Техника!$G$1:$ABN$500,X$2,0),$A$648,INDEX(Техника!$H$1:$ABO$500,X$2,0),"Д")</f>
        <v>0</v>
      </c>
      <c r="Y650" s="50">
        <f>SUMIFS(INDEX(Техника!$F$1:$ABM$500,Y$2,0),Техника!$F$4:$ABM$4,"Часы",INDEX(Техника!$G$1:$ABN$500,Y$2,0),$A$648,INDEX(Техника!$H$1:$ABO$500,Y$2,0),"Д")</f>
        <v>0</v>
      </c>
      <c r="Z650" s="50">
        <f>SUMIFS(INDEX(Техника!$F$1:$ABM$500,Z$2,0),Техника!$F$4:$ABM$4,"Часы",INDEX(Техника!$G$1:$ABN$500,Z$2,0),$A$648,INDEX(Техника!$H$1:$ABO$500,Z$2,0),"Д")</f>
        <v>0</v>
      </c>
      <c r="AA650" s="50">
        <f>SUMIFS(INDEX(Техника!$F$1:$ABM$500,AA$2,0),Техника!$F$4:$ABM$4,"Часы",INDEX(Техника!$G$1:$ABN$500,AA$2,0),$A$648,INDEX(Техника!$H$1:$ABO$500,AA$2,0),"Д")</f>
        <v>0</v>
      </c>
      <c r="AB650" s="50">
        <f>SUMIFS(INDEX(Техника!$F$1:$ABM$500,AB$2,0),Техника!$F$4:$ABM$4,"Часы",INDEX(Техника!$G$1:$ABN$500,AB$2,0),$A$648,INDEX(Техника!$H$1:$ABO$500,AB$2,0),"Д")</f>
        <v>0</v>
      </c>
    </row>
    <row r="651" spans="1:28" hidden="1" outlineLevel="1" x14ac:dyDescent="0.3">
      <c r="A651" s="33" t="s">
        <v>276</v>
      </c>
      <c r="B651" s="34" t="s">
        <v>277</v>
      </c>
      <c r="C651" s="50">
        <f>SUMIFS(INDEX(Техника!$F$1:$ABM$500,C$2,0),Техника!$F$4:$ABM$4,"Часы",INDEX(Техника!$G$1:$ABN$500,C$2,0),$A$648,INDEX(Техника!$H$1:$ABO$500,C$2,0),"П")</f>
        <v>0</v>
      </c>
      <c r="D651" s="50">
        <f>SUMIFS(INDEX(Техника!$F$1:$ABM$500,D$2,0),Техника!$F$4:$ABM$4,"Часы",INDEX(Техника!$G$1:$ABN$500,D$2,0),$A$648,INDEX(Техника!$H$1:$ABO$500,D$2,0),"П")</f>
        <v>0</v>
      </c>
      <c r="E651" s="50">
        <f>SUMIFS(INDEX(Техника!$F$1:$ABM$500,E$2,0),Техника!$F$4:$ABM$4,"Часы",INDEX(Техника!$G$1:$ABN$500,E$2,0),$A$648,INDEX(Техника!$H$1:$ABO$500,E$2,0),"П")</f>
        <v>0</v>
      </c>
      <c r="F651" s="50">
        <f>SUMIFS(INDEX(Техника!$F$1:$ABM$500,F$2,0),Техника!$F$4:$ABM$4,"Часы",INDEX(Техника!$G$1:$ABN$500,F$2,0),$A$648,INDEX(Техника!$H$1:$ABO$500,F$2,0),"П")</f>
        <v>0</v>
      </c>
      <c r="G651" s="50">
        <f>SUMIFS(INDEX(Техника!$F$1:$ABM$500,G$2,0),Техника!$F$4:$ABM$4,"Часы",INDEX(Техника!$G$1:$ABN$500,G$2,0),$A$648,INDEX(Техника!$H$1:$ABO$500,G$2,0),"П")</f>
        <v>0</v>
      </c>
      <c r="H651" s="50">
        <f>SUMIFS(INDEX(Техника!$F$1:$ABM$500,H$2,0),Техника!$F$4:$ABM$4,"Часы",INDEX(Техника!$G$1:$ABN$500,H$2,0),$A$648,INDEX(Техника!$H$1:$ABO$500,H$2,0),"П")</f>
        <v>0</v>
      </c>
      <c r="I651" s="50">
        <f>SUMIFS(INDEX(Техника!$F$1:$ABM$500,I$2,0),Техника!$F$4:$ABM$4,"Часы",INDEX(Техника!$G$1:$ABN$500,I$2,0),$A$648,INDEX(Техника!$H$1:$ABO$500,I$2,0),"П")</f>
        <v>0</v>
      </c>
      <c r="J651" s="50">
        <f>SUMIFS(INDEX(Техника!$F$1:$ABM$500,J$2,0),Техника!$F$4:$ABM$4,"Часы",INDEX(Техника!$G$1:$ABN$500,J$2,0),$A$648,INDEX(Техника!$H$1:$ABO$500,J$2,0),"П")</f>
        <v>0</v>
      </c>
      <c r="K651" s="50">
        <f>SUMIFS(INDEX(Техника!$F$1:$ABM$500,K$2,0),Техника!$F$4:$ABM$4,"Часы",INDEX(Техника!$G$1:$ABN$500,K$2,0),$A$648,INDEX(Техника!$H$1:$ABO$500,K$2,0),"П")</f>
        <v>0</v>
      </c>
      <c r="L651" s="50">
        <f>SUMIFS(INDEX(Техника!$F$1:$ABM$500,L$2,0),Техника!$F$4:$ABM$4,"Часы",INDEX(Техника!$G$1:$ABN$500,L$2,0),$A$648,INDEX(Техника!$H$1:$ABO$500,L$2,0),"П")</f>
        <v>0</v>
      </c>
      <c r="M651" s="50">
        <f>SUMIFS(INDEX(Техника!$F$1:$ABM$500,M$2,0),Техника!$F$4:$ABM$4,"Часы",INDEX(Техника!$G$1:$ABN$500,M$2,0),$A$648,INDEX(Техника!$H$1:$ABO$500,M$2,0),"П")</f>
        <v>0</v>
      </c>
      <c r="N651" s="50">
        <f>SUMIFS(INDEX(Техника!$F$1:$ABM$500,N$2,0),Техника!$F$4:$ABM$4,"Часы",INDEX(Техника!$G$1:$ABN$500,N$2,0),$A$648,INDEX(Техника!$H$1:$ABO$500,N$2,0),"П")</f>
        <v>0</v>
      </c>
      <c r="O651" s="50">
        <f>SUMIFS(INDEX(Техника!$F$1:$ABM$500,O$2,0),Техника!$F$4:$ABM$4,"Часы",INDEX(Техника!$G$1:$ABN$500,O$2,0),$A$648,INDEX(Техника!$H$1:$ABO$500,O$2,0),"П")</f>
        <v>0</v>
      </c>
      <c r="P651" s="50">
        <f>SUMIFS(INDEX(Техника!$F$1:$ABM$500,P$2,0),Техника!$F$4:$ABM$4,"Часы",INDEX(Техника!$G$1:$ABN$500,P$2,0),$A$648,INDEX(Техника!$H$1:$ABO$500,P$2,0),"П")</f>
        <v>0</v>
      </c>
      <c r="Q651" s="50">
        <f>SUMIFS(INDEX(Техника!$F$1:$ABM$500,Q$2,0),Техника!$F$4:$ABM$4,"Часы",INDEX(Техника!$G$1:$ABN$500,Q$2,0),$A$648,INDEX(Техника!$H$1:$ABO$500,Q$2,0),"П")</f>
        <v>0</v>
      </c>
      <c r="R651" s="50">
        <f>SUMIFS(INDEX(Техника!$F$1:$ABM$500,R$2,0),Техника!$F$4:$ABM$4,"Часы",INDEX(Техника!$G$1:$ABN$500,R$2,0),$A$648,INDEX(Техника!$H$1:$ABO$500,R$2,0),"П")</f>
        <v>0</v>
      </c>
      <c r="S651" s="50">
        <f>SUMIFS(INDEX(Техника!$F$1:$ABM$500,S$2,0),Техника!$F$4:$ABM$4,"Часы",INDEX(Техника!$G$1:$ABN$500,S$2,0),$A$648,INDEX(Техника!$H$1:$ABO$500,S$2,0),"П")</f>
        <v>0</v>
      </c>
      <c r="T651" s="50">
        <f>SUMIFS(INDEX(Техника!$F$1:$ABM$500,T$2,0),Техника!$F$4:$ABM$4,"Часы",INDEX(Техника!$G$1:$ABN$500,T$2,0),$A$648,INDEX(Техника!$H$1:$ABO$500,T$2,0),"П")</f>
        <v>0</v>
      </c>
      <c r="U651" s="50">
        <f>SUMIFS(INDEX(Техника!$F$1:$ABM$500,U$2,0),Техника!$F$4:$ABM$4,"Часы",INDEX(Техника!$G$1:$ABN$500,U$2,0),$A$648,INDEX(Техника!$H$1:$ABO$500,U$2,0),"П")</f>
        <v>0</v>
      </c>
      <c r="V651" s="50">
        <f>SUMIFS(INDEX(Техника!$F$1:$ABM$500,V$2,0),Техника!$F$4:$ABM$4,"Часы",INDEX(Техника!$G$1:$ABN$500,V$2,0),$A$648,INDEX(Техника!$H$1:$ABO$500,V$2,0),"П")</f>
        <v>0</v>
      </c>
      <c r="W651" s="50">
        <f>SUMIFS(INDEX(Техника!$F$1:$ABM$500,W$2,0),Техника!$F$4:$ABM$4,"Часы",INDEX(Техника!$G$1:$ABN$500,W$2,0),$A$648,INDEX(Техника!$H$1:$ABO$500,W$2,0),"П")</f>
        <v>0</v>
      </c>
      <c r="X651" s="50">
        <f>SUMIFS(INDEX(Техника!$F$1:$ABM$500,X$2,0),Техника!$F$4:$ABM$4,"Часы",INDEX(Техника!$G$1:$ABN$500,X$2,0),$A$648,INDEX(Техника!$H$1:$ABO$500,X$2,0),"П")</f>
        <v>0</v>
      </c>
      <c r="Y651" s="50">
        <f>SUMIFS(INDEX(Техника!$F$1:$ABM$500,Y$2,0),Техника!$F$4:$ABM$4,"Часы",INDEX(Техника!$G$1:$ABN$500,Y$2,0),$A$648,INDEX(Техника!$H$1:$ABO$500,Y$2,0),"П")</f>
        <v>0</v>
      </c>
      <c r="Z651" s="50">
        <f>SUMIFS(INDEX(Техника!$F$1:$ABM$500,Z$2,0),Техника!$F$4:$ABM$4,"Часы",INDEX(Техника!$G$1:$ABN$500,Z$2,0),$A$648,INDEX(Техника!$H$1:$ABO$500,Z$2,0),"П")</f>
        <v>0</v>
      </c>
      <c r="AA651" s="50">
        <f>SUMIFS(INDEX(Техника!$F$1:$ABM$500,AA$2,0),Техника!$F$4:$ABM$4,"Часы",INDEX(Техника!$G$1:$ABN$500,AA$2,0),$A$648,INDEX(Техника!$H$1:$ABO$500,AA$2,0),"П")</f>
        <v>0</v>
      </c>
      <c r="AB651" s="50">
        <f>SUMIFS(INDEX(Техника!$F$1:$ABM$500,AB$2,0),Техника!$F$4:$ABM$4,"Часы",INDEX(Техника!$G$1:$ABN$500,AB$2,0),$A$648,INDEX(Техника!$H$1:$ABO$500,AB$2,0),"П")</f>
        <v>0</v>
      </c>
    </row>
    <row r="652" spans="1:28" hidden="1" outlineLevel="1" x14ac:dyDescent="0.3">
      <c r="A652" s="33" t="s">
        <v>243</v>
      </c>
      <c r="B652" s="34" t="s">
        <v>278</v>
      </c>
      <c r="C652" s="50">
        <f>SUMIFS(INDEX(Техника!$F$1:$ABM$500,C$2,0),Техника!$F$4:$ABM$4,"Часы",INDEX(Техника!$G$1:$ABN$500,C$2,0),$A$648,INDEX(Техника!$H$1:$ABO$500,C$2,0),"Л")</f>
        <v>0</v>
      </c>
      <c r="D652" s="50">
        <f>SUMIFS(INDEX(Техника!$F$1:$ABM$500,D$2,0),Техника!$F$4:$ABM$4,"Часы",INDEX(Техника!$G$1:$ABN$500,D$2,0),$A$648,INDEX(Техника!$H$1:$ABO$500,D$2,0),"Л")</f>
        <v>0</v>
      </c>
      <c r="E652" s="50">
        <f>SUMIFS(INDEX(Техника!$F$1:$ABM$500,E$2,0),Техника!$F$4:$ABM$4,"Часы",INDEX(Техника!$G$1:$ABN$500,E$2,0),$A$648,INDEX(Техника!$H$1:$ABO$500,E$2,0),"Л")</f>
        <v>0</v>
      </c>
      <c r="F652" s="50">
        <f>SUMIFS(INDEX(Техника!$F$1:$ABM$500,F$2,0),Техника!$F$4:$ABM$4,"Часы",INDEX(Техника!$G$1:$ABN$500,F$2,0),$A$648,INDEX(Техника!$H$1:$ABO$500,F$2,0),"Л")</f>
        <v>0</v>
      </c>
      <c r="G652" s="50">
        <f>SUMIFS(INDEX(Техника!$F$1:$ABM$500,G$2,0),Техника!$F$4:$ABM$4,"Часы",INDEX(Техника!$G$1:$ABN$500,G$2,0),$A$648,INDEX(Техника!$H$1:$ABO$500,G$2,0),"Л")</f>
        <v>0</v>
      </c>
      <c r="H652" s="50">
        <f>SUMIFS(INDEX(Техника!$F$1:$ABM$500,H$2,0),Техника!$F$4:$ABM$4,"Часы",INDEX(Техника!$G$1:$ABN$500,H$2,0),$A$648,INDEX(Техника!$H$1:$ABO$500,H$2,0),"Л")</f>
        <v>0</v>
      </c>
      <c r="I652" s="50">
        <f>SUMIFS(INDEX(Техника!$F$1:$ABM$500,I$2,0),Техника!$F$4:$ABM$4,"Часы",INDEX(Техника!$G$1:$ABN$500,I$2,0),$A$648,INDEX(Техника!$H$1:$ABO$500,I$2,0),"Л")</f>
        <v>0</v>
      </c>
      <c r="J652" s="50">
        <f>SUMIFS(INDEX(Техника!$F$1:$ABM$500,J$2,0),Техника!$F$4:$ABM$4,"Часы",INDEX(Техника!$G$1:$ABN$500,J$2,0),$A$648,INDEX(Техника!$H$1:$ABO$500,J$2,0),"Л")</f>
        <v>0</v>
      </c>
      <c r="K652" s="50">
        <f>SUMIFS(INDEX(Техника!$F$1:$ABM$500,K$2,0),Техника!$F$4:$ABM$4,"Часы",INDEX(Техника!$G$1:$ABN$500,K$2,0),$A$648,INDEX(Техника!$H$1:$ABO$500,K$2,0),"Л")</f>
        <v>0</v>
      </c>
      <c r="L652" s="50">
        <f>SUMIFS(INDEX(Техника!$F$1:$ABM$500,L$2,0),Техника!$F$4:$ABM$4,"Часы",INDEX(Техника!$G$1:$ABN$500,L$2,0),$A$648,INDEX(Техника!$H$1:$ABO$500,L$2,0),"Л")</f>
        <v>0</v>
      </c>
      <c r="M652" s="50">
        <f>SUMIFS(INDEX(Техника!$F$1:$ABM$500,M$2,0),Техника!$F$4:$ABM$4,"Часы",INDEX(Техника!$G$1:$ABN$500,M$2,0),$A$648,INDEX(Техника!$H$1:$ABO$500,M$2,0),"Л")</f>
        <v>0</v>
      </c>
      <c r="N652" s="50">
        <f>SUMIFS(INDEX(Техника!$F$1:$ABM$500,N$2,0),Техника!$F$4:$ABM$4,"Часы",INDEX(Техника!$G$1:$ABN$500,N$2,0),$A$648,INDEX(Техника!$H$1:$ABO$500,N$2,0),"Л")</f>
        <v>0</v>
      </c>
      <c r="O652" s="50">
        <f>SUMIFS(INDEX(Техника!$F$1:$ABM$500,O$2,0),Техника!$F$4:$ABM$4,"Часы",INDEX(Техника!$G$1:$ABN$500,O$2,0),$A$648,INDEX(Техника!$H$1:$ABO$500,O$2,0),"Л")</f>
        <v>0</v>
      </c>
      <c r="P652" s="50">
        <f>SUMIFS(INDEX(Техника!$F$1:$ABM$500,P$2,0),Техника!$F$4:$ABM$4,"Часы",INDEX(Техника!$G$1:$ABN$500,P$2,0),$A$648,INDEX(Техника!$H$1:$ABO$500,P$2,0),"Л")</f>
        <v>0</v>
      </c>
      <c r="Q652" s="50">
        <f>SUMIFS(INDEX(Техника!$F$1:$ABM$500,Q$2,0),Техника!$F$4:$ABM$4,"Часы",INDEX(Техника!$G$1:$ABN$500,Q$2,0),$A$648,INDEX(Техника!$H$1:$ABO$500,Q$2,0),"Л")</f>
        <v>0</v>
      </c>
      <c r="R652" s="50">
        <f>SUMIFS(INDEX(Техника!$F$1:$ABM$500,R$2,0),Техника!$F$4:$ABM$4,"Часы",INDEX(Техника!$G$1:$ABN$500,R$2,0),$A$648,INDEX(Техника!$H$1:$ABO$500,R$2,0),"Л")</f>
        <v>0</v>
      </c>
      <c r="S652" s="50">
        <f>SUMIFS(INDEX(Техника!$F$1:$ABM$500,S$2,0),Техника!$F$4:$ABM$4,"Часы",INDEX(Техника!$G$1:$ABN$500,S$2,0),$A$648,INDEX(Техника!$H$1:$ABO$500,S$2,0),"Л")</f>
        <v>0</v>
      </c>
      <c r="T652" s="50">
        <f>SUMIFS(INDEX(Техника!$F$1:$ABM$500,T$2,0),Техника!$F$4:$ABM$4,"Часы",INDEX(Техника!$G$1:$ABN$500,T$2,0),$A$648,INDEX(Техника!$H$1:$ABO$500,T$2,0),"Л")</f>
        <v>0</v>
      </c>
      <c r="U652" s="50">
        <f>SUMIFS(INDEX(Техника!$F$1:$ABM$500,U$2,0),Техника!$F$4:$ABM$4,"Часы",INDEX(Техника!$G$1:$ABN$500,U$2,0),$A$648,INDEX(Техника!$H$1:$ABO$500,U$2,0),"Л")</f>
        <v>0</v>
      </c>
      <c r="V652" s="50">
        <f>SUMIFS(INDEX(Техника!$F$1:$ABM$500,V$2,0),Техника!$F$4:$ABM$4,"Часы",INDEX(Техника!$G$1:$ABN$500,V$2,0),$A$648,INDEX(Техника!$H$1:$ABO$500,V$2,0),"Л")</f>
        <v>0</v>
      </c>
      <c r="W652" s="50">
        <f>SUMIFS(INDEX(Техника!$F$1:$ABM$500,W$2,0),Техника!$F$4:$ABM$4,"Часы",INDEX(Техника!$G$1:$ABN$500,W$2,0),$A$648,INDEX(Техника!$H$1:$ABO$500,W$2,0),"Л")</f>
        <v>0</v>
      </c>
      <c r="X652" s="50">
        <f>SUMIFS(INDEX(Техника!$F$1:$ABM$500,X$2,0),Техника!$F$4:$ABM$4,"Часы",INDEX(Техника!$G$1:$ABN$500,X$2,0),$A$648,INDEX(Техника!$H$1:$ABO$500,X$2,0),"Л")</f>
        <v>0</v>
      </c>
      <c r="Y652" s="50">
        <f>SUMIFS(INDEX(Техника!$F$1:$ABM$500,Y$2,0),Техника!$F$4:$ABM$4,"Часы",INDEX(Техника!$G$1:$ABN$500,Y$2,0),$A$648,INDEX(Техника!$H$1:$ABO$500,Y$2,0),"Л")</f>
        <v>0</v>
      </c>
      <c r="Z652" s="50">
        <f>SUMIFS(INDEX(Техника!$F$1:$ABM$500,Z$2,0),Техника!$F$4:$ABM$4,"Часы",INDEX(Техника!$G$1:$ABN$500,Z$2,0),$A$648,INDEX(Техника!$H$1:$ABO$500,Z$2,0),"Л")</f>
        <v>0</v>
      </c>
      <c r="AA652" s="50">
        <f>SUMIFS(INDEX(Техника!$F$1:$ABM$500,AA$2,0),Техника!$F$4:$ABM$4,"Часы",INDEX(Техника!$G$1:$ABN$500,AA$2,0),$A$648,INDEX(Техника!$H$1:$ABO$500,AA$2,0),"Л")</f>
        <v>0</v>
      </c>
      <c r="AB652" s="50">
        <f>SUMIFS(INDEX(Техника!$F$1:$ABM$500,AB$2,0),Техника!$F$4:$ABM$4,"Часы",INDEX(Техника!$G$1:$ABN$500,AB$2,0),$A$648,INDEX(Техника!$H$1:$ABO$500,AB$2,0),"Л")</f>
        <v>0</v>
      </c>
    </row>
    <row r="653" spans="1:28" hidden="1" outlineLevel="1" x14ac:dyDescent="0.3">
      <c r="A653" s="33" t="s">
        <v>245</v>
      </c>
      <c r="B653" s="34" t="s">
        <v>279</v>
      </c>
      <c r="C653" s="50">
        <f>SUMIFS(INDEX(Техника!$F$1:$ABM$500,C$2,0),Техника!$F$4:$ABM$4,"Часы",INDEX(Техника!$G$1:$ABN$500,C$2,0),$A$648,INDEX(Техника!$H$1:$ABO$500,C$2,0),"З")</f>
        <v>0</v>
      </c>
      <c r="D653" s="50">
        <f>SUMIFS(INDEX(Техника!$F$1:$ABM$500,D$2,0),Техника!$F$4:$ABM$4,"Часы",INDEX(Техника!$G$1:$ABN$500,D$2,0),$A$648,INDEX(Техника!$H$1:$ABO$500,D$2,0),"З")</f>
        <v>0</v>
      </c>
      <c r="E653" s="50">
        <f>SUMIFS(INDEX(Техника!$F$1:$ABM$500,E$2,0),Техника!$F$4:$ABM$4,"Часы",INDEX(Техника!$G$1:$ABN$500,E$2,0),$A$648,INDEX(Техника!$H$1:$ABO$500,E$2,0),"З")</f>
        <v>0</v>
      </c>
      <c r="F653" s="50">
        <f>SUMIFS(INDEX(Техника!$F$1:$ABM$500,F$2,0),Техника!$F$4:$ABM$4,"Часы",INDEX(Техника!$G$1:$ABN$500,F$2,0),$A$648,INDEX(Техника!$H$1:$ABO$500,F$2,0),"З")</f>
        <v>0</v>
      </c>
      <c r="G653" s="50">
        <f>SUMIFS(INDEX(Техника!$F$1:$ABM$500,G$2,0),Техника!$F$4:$ABM$4,"Часы",INDEX(Техника!$G$1:$ABN$500,G$2,0),$A$648,INDEX(Техника!$H$1:$ABO$500,G$2,0),"З")</f>
        <v>0</v>
      </c>
      <c r="H653" s="50">
        <f>SUMIFS(INDEX(Техника!$F$1:$ABM$500,H$2,0),Техника!$F$4:$ABM$4,"Часы",INDEX(Техника!$G$1:$ABN$500,H$2,0),$A$648,INDEX(Техника!$H$1:$ABO$500,H$2,0),"З")</f>
        <v>0</v>
      </c>
      <c r="I653" s="50">
        <f>SUMIFS(INDEX(Техника!$F$1:$ABM$500,I$2,0),Техника!$F$4:$ABM$4,"Часы",INDEX(Техника!$G$1:$ABN$500,I$2,0),$A$648,INDEX(Техника!$H$1:$ABO$500,I$2,0),"З")</f>
        <v>0</v>
      </c>
      <c r="J653" s="50">
        <f>SUMIFS(INDEX(Техника!$F$1:$ABM$500,J$2,0),Техника!$F$4:$ABM$4,"Часы",INDEX(Техника!$G$1:$ABN$500,J$2,0),$A$648,INDEX(Техника!$H$1:$ABO$500,J$2,0),"З")</f>
        <v>0</v>
      </c>
      <c r="K653" s="50">
        <f>SUMIFS(INDEX(Техника!$F$1:$ABM$500,K$2,0),Техника!$F$4:$ABM$4,"Часы",INDEX(Техника!$G$1:$ABN$500,K$2,0),$A$648,INDEX(Техника!$H$1:$ABO$500,K$2,0),"З")</f>
        <v>0</v>
      </c>
      <c r="L653" s="50">
        <f>SUMIFS(INDEX(Техника!$F$1:$ABM$500,L$2,0),Техника!$F$4:$ABM$4,"Часы",INDEX(Техника!$G$1:$ABN$500,L$2,0),$A$648,INDEX(Техника!$H$1:$ABO$500,L$2,0),"З")</f>
        <v>0</v>
      </c>
      <c r="M653" s="50">
        <f>SUMIFS(INDEX(Техника!$F$1:$ABM$500,M$2,0),Техника!$F$4:$ABM$4,"Часы",INDEX(Техника!$G$1:$ABN$500,M$2,0),$A$648,INDEX(Техника!$H$1:$ABO$500,M$2,0),"З")</f>
        <v>0</v>
      </c>
      <c r="N653" s="50">
        <f>SUMIFS(INDEX(Техника!$F$1:$ABM$500,N$2,0),Техника!$F$4:$ABM$4,"Часы",INDEX(Техника!$G$1:$ABN$500,N$2,0),$A$648,INDEX(Техника!$H$1:$ABO$500,N$2,0),"З")</f>
        <v>0</v>
      </c>
      <c r="O653" s="50">
        <f>SUMIFS(INDEX(Техника!$F$1:$ABM$500,O$2,0),Техника!$F$4:$ABM$4,"Часы",INDEX(Техника!$G$1:$ABN$500,O$2,0),$A$648,INDEX(Техника!$H$1:$ABO$500,O$2,0),"З")</f>
        <v>0</v>
      </c>
      <c r="P653" s="50">
        <f>SUMIFS(INDEX(Техника!$F$1:$ABM$500,P$2,0),Техника!$F$4:$ABM$4,"Часы",INDEX(Техника!$G$1:$ABN$500,P$2,0),$A$648,INDEX(Техника!$H$1:$ABO$500,P$2,0),"З")</f>
        <v>0</v>
      </c>
      <c r="Q653" s="50">
        <f>SUMIFS(INDEX(Техника!$F$1:$ABM$500,Q$2,0),Техника!$F$4:$ABM$4,"Часы",INDEX(Техника!$G$1:$ABN$500,Q$2,0),$A$648,INDEX(Техника!$H$1:$ABO$500,Q$2,0),"З")</f>
        <v>0</v>
      </c>
      <c r="R653" s="50">
        <f>SUMIFS(INDEX(Техника!$F$1:$ABM$500,R$2,0),Техника!$F$4:$ABM$4,"Часы",INDEX(Техника!$G$1:$ABN$500,R$2,0),$A$648,INDEX(Техника!$H$1:$ABO$500,R$2,0),"З")</f>
        <v>0</v>
      </c>
      <c r="S653" s="50">
        <f>SUMIFS(INDEX(Техника!$F$1:$ABM$500,S$2,0),Техника!$F$4:$ABM$4,"Часы",INDEX(Техника!$G$1:$ABN$500,S$2,0),$A$648,INDEX(Техника!$H$1:$ABO$500,S$2,0),"З")</f>
        <v>0</v>
      </c>
      <c r="T653" s="50">
        <f>SUMIFS(INDEX(Техника!$F$1:$ABM$500,T$2,0),Техника!$F$4:$ABM$4,"Часы",INDEX(Техника!$G$1:$ABN$500,T$2,0),$A$648,INDEX(Техника!$H$1:$ABO$500,T$2,0),"З")</f>
        <v>0</v>
      </c>
      <c r="U653" s="50">
        <f>SUMIFS(INDEX(Техника!$F$1:$ABM$500,U$2,0),Техника!$F$4:$ABM$4,"Часы",INDEX(Техника!$G$1:$ABN$500,U$2,0),$A$648,INDEX(Техника!$H$1:$ABO$500,U$2,0),"З")</f>
        <v>0</v>
      </c>
      <c r="V653" s="50">
        <f>SUMIFS(INDEX(Техника!$F$1:$ABM$500,V$2,0),Техника!$F$4:$ABM$4,"Часы",INDEX(Техника!$G$1:$ABN$500,V$2,0),$A$648,INDEX(Техника!$H$1:$ABO$500,V$2,0),"З")</f>
        <v>0</v>
      </c>
      <c r="W653" s="50">
        <f>SUMIFS(INDEX(Техника!$F$1:$ABM$500,W$2,0),Техника!$F$4:$ABM$4,"Часы",INDEX(Техника!$G$1:$ABN$500,W$2,0),$A$648,INDEX(Техника!$H$1:$ABO$500,W$2,0),"З")</f>
        <v>0</v>
      </c>
      <c r="X653" s="50">
        <f>SUMIFS(INDEX(Техника!$F$1:$ABM$500,X$2,0),Техника!$F$4:$ABM$4,"Часы",INDEX(Техника!$G$1:$ABN$500,X$2,0),$A$648,INDEX(Техника!$H$1:$ABO$500,X$2,0),"З")</f>
        <v>0</v>
      </c>
      <c r="Y653" s="50">
        <f>SUMIFS(INDEX(Техника!$F$1:$ABM$500,Y$2,0),Техника!$F$4:$ABM$4,"Часы",INDEX(Техника!$G$1:$ABN$500,Y$2,0),$A$648,INDEX(Техника!$H$1:$ABO$500,Y$2,0),"З")</f>
        <v>0</v>
      </c>
      <c r="Z653" s="50">
        <f>SUMIFS(INDEX(Техника!$F$1:$ABM$500,Z$2,0),Техника!$F$4:$ABM$4,"Часы",INDEX(Техника!$G$1:$ABN$500,Z$2,0),$A$648,INDEX(Техника!$H$1:$ABO$500,Z$2,0),"З")</f>
        <v>0</v>
      </c>
      <c r="AA653" s="50">
        <f>SUMIFS(INDEX(Техника!$F$1:$ABM$500,AA$2,0),Техника!$F$4:$ABM$4,"Часы",INDEX(Техника!$G$1:$ABN$500,AA$2,0),$A$648,INDEX(Техника!$H$1:$ABO$500,AA$2,0),"З")</f>
        <v>0</v>
      </c>
      <c r="AB653" s="50">
        <f>SUMIFS(INDEX(Техника!$F$1:$ABM$500,AB$2,0),Техника!$F$4:$ABM$4,"Часы",INDEX(Техника!$G$1:$ABN$500,AB$2,0),$A$648,INDEX(Техника!$H$1:$ABO$500,AB$2,0),"З")</f>
        <v>0</v>
      </c>
    </row>
    <row r="654" spans="1:28" ht="7.95" customHeight="1" x14ac:dyDescent="0.3">
      <c r="A654" s="38"/>
      <c r="B654" s="39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</row>
    <row r="655" spans="1:28" ht="25.05" customHeight="1" collapsed="1" x14ac:dyDescent="0.3">
      <c r="A655" s="32">
        <v>94</v>
      </c>
      <c r="B655" s="32" t="s">
        <v>95</v>
      </c>
      <c r="C655" s="49">
        <f>SUM(C656:C660)</f>
        <v>0</v>
      </c>
      <c r="D655" s="49">
        <f>SUM(D656:D660)</f>
        <v>0</v>
      </c>
      <c r="E655" s="49">
        <f>SUM(E656:E660)</f>
        <v>0</v>
      </c>
      <c r="F655" s="49">
        <f>SUM(F656:F660)</f>
        <v>0</v>
      </c>
      <c r="G655" s="49">
        <f>SUM(G656:G660)</f>
        <v>0</v>
      </c>
      <c r="H655" s="49">
        <f>SUM(H656:H660)</f>
        <v>0</v>
      </c>
      <c r="I655" s="49">
        <f>SUM(I656:I660)</f>
        <v>0</v>
      </c>
      <c r="J655" s="49">
        <f>SUM(J656:J660)</f>
        <v>0</v>
      </c>
      <c r="K655" s="49">
        <f>SUM(K656:K660)</f>
        <v>0</v>
      </c>
      <c r="L655" s="49">
        <f>SUM(L656:L660)</f>
        <v>0</v>
      </c>
      <c r="M655" s="49">
        <f>SUM(M656:M660)</f>
        <v>0</v>
      </c>
      <c r="N655" s="49">
        <f>SUM(N656:N660)</f>
        <v>0</v>
      </c>
      <c r="O655" s="49">
        <f>SUM(O656:O660)</f>
        <v>0</v>
      </c>
      <c r="P655" s="49">
        <f>SUM(P656:P660)</f>
        <v>0</v>
      </c>
      <c r="Q655" s="49">
        <f>SUM(Q656:Q660)</f>
        <v>0</v>
      </c>
      <c r="R655" s="49">
        <f>SUM(R656:R660)</f>
        <v>0</v>
      </c>
      <c r="S655" s="49">
        <f>SUM(S656:S660)</f>
        <v>0</v>
      </c>
      <c r="T655" s="49">
        <f>SUM(T656:T660)</f>
        <v>0</v>
      </c>
      <c r="U655" s="49">
        <f>SUM(U656:U660)</f>
        <v>0</v>
      </c>
      <c r="V655" s="49">
        <f>SUM(V656:V660)</f>
        <v>0</v>
      </c>
      <c r="W655" s="49">
        <f>SUM(W656:W660)</f>
        <v>0</v>
      </c>
      <c r="X655" s="49">
        <f>SUM(X656:X660)</f>
        <v>0</v>
      </c>
      <c r="Y655" s="49">
        <f>SUM(Y656:Y660)</f>
        <v>0</v>
      </c>
      <c r="Z655" s="49">
        <f>SUM(Z656:Z660)</f>
        <v>0</v>
      </c>
      <c r="AA655" s="49">
        <f>SUM(AA656:AA660)</f>
        <v>0</v>
      </c>
      <c r="AB655" s="49">
        <f>SUM(AB656:AB660)</f>
        <v>0</v>
      </c>
    </row>
    <row r="656" spans="1:28" hidden="1" outlineLevel="1" x14ac:dyDescent="0.3">
      <c r="A656" s="33" t="s">
        <v>246</v>
      </c>
      <c r="B656" s="34" t="s">
        <v>274</v>
      </c>
      <c r="C656" s="50">
        <f>SUMIFS(INDEX(Техника!$F$1:$ABM$500,C$2,0),Техника!$F$4:$ABM$4,"Часы",INDEX(Техника!$G$1:$ABN$500,C$2,0),$A$655,INDEX(Техника!$H$1:$ABO$500,C$2,0),"М")</f>
        <v>0</v>
      </c>
      <c r="D656" s="50">
        <f>SUMIFS(INDEX(Техника!$F$1:$ABM$500,D$2,0),Техника!$F$4:$ABM$4,"Часы",INDEX(Техника!$G$1:$ABN$500,D$2,0),$A$655,INDEX(Техника!$H$1:$ABO$500,D$2,0),"М")</f>
        <v>0</v>
      </c>
      <c r="E656" s="50">
        <f>SUMIFS(INDEX(Техника!$F$1:$ABM$500,E$2,0),Техника!$F$4:$ABM$4,"Часы",INDEX(Техника!$G$1:$ABN$500,E$2,0),$A$655,INDEX(Техника!$H$1:$ABO$500,E$2,0),"М")</f>
        <v>0</v>
      </c>
      <c r="F656" s="50">
        <f>SUMIFS(INDEX(Техника!$F$1:$ABM$500,F$2,0),Техника!$F$4:$ABM$4,"Часы",INDEX(Техника!$G$1:$ABN$500,F$2,0),$A$655,INDEX(Техника!$H$1:$ABO$500,F$2,0),"М")</f>
        <v>0</v>
      </c>
      <c r="G656" s="50">
        <f>SUMIFS(INDEX(Техника!$F$1:$ABM$500,G$2,0),Техника!$F$4:$ABM$4,"Часы",INDEX(Техника!$G$1:$ABN$500,G$2,0),$A$655,INDEX(Техника!$H$1:$ABO$500,G$2,0),"М")</f>
        <v>0</v>
      </c>
      <c r="H656" s="50">
        <f>SUMIFS(INDEX(Техника!$F$1:$ABM$500,H$2,0),Техника!$F$4:$ABM$4,"Часы",INDEX(Техника!$G$1:$ABN$500,H$2,0),$A$655,INDEX(Техника!$H$1:$ABO$500,H$2,0),"М")</f>
        <v>0</v>
      </c>
      <c r="I656" s="50">
        <f>SUMIFS(INDEX(Техника!$F$1:$ABM$500,I$2,0),Техника!$F$4:$ABM$4,"Часы",INDEX(Техника!$G$1:$ABN$500,I$2,0),$A$655,INDEX(Техника!$H$1:$ABO$500,I$2,0),"М")</f>
        <v>0</v>
      </c>
      <c r="J656" s="50">
        <f>SUMIFS(INDEX(Техника!$F$1:$ABM$500,J$2,0),Техника!$F$4:$ABM$4,"Часы",INDEX(Техника!$G$1:$ABN$500,J$2,0),$A$655,INDEX(Техника!$H$1:$ABO$500,J$2,0),"М")</f>
        <v>0</v>
      </c>
      <c r="K656" s="50">
        <f>SUMIFS(INDEX(Техника!$F$1:$ABM$500,K$2,0),Техника!$F$4:$ABM$4,"Часы",INDEX(Техника!$G$1:$ABN$500,K$2,0),$A$655,INDEX(Техника!$H$1:$ABO$500,K$2,0),"М")</f>
        <v>0</v>
      </c>
      <c r="L656" s="50">
        <f>SUMIFS(INDEX(Техника!$F$1:$ABM$500,L$2,0),Техника!$F$4:$ABM$4,"Часы",INDEX(Техника!$G$1:$ABN$500,L$2,0),$A$655,INDEX(Техника!$H$1:$ABO$500,L$2,0),"М")</f>
        <v>0</v>
      </c>
      <c r="M656" s="50">
        <f>SUMIFS(INDEX(Техника!$F$1:$ABM$500,M$2,0),Техника!$F$4:$ABM$4,"Часы",INDEX(Техника!$G$1:$ABN$500,M$2,0),$A$655,INDEX(Техника!$H$1:$ABO$500,M$2,0),"М")</f>
        <v>0</v>
      </c>
      <c r="N656" s="50">
        <f>SUMIFS(INDEX(Техника!$F$1:$ABM$500,N$2,0),Техника!$F$4:$ABM$4,"Часы",INDEX(Техника!$G$1:$ABN$500,N$2,0),$A$655,INDEX(Техника!$H$1:$ABO$500,N$2,0),"М")</f>
        <v>0</v>
      </c>
      <c r="O656" s="50">
        <f>SUMIFS(INDEX(Техника!$F$1:$ABM$500,O$2,0),Техника!$F$4:$ABM$4,"Часы",INDEX(Техника!$G$1:$ABN$500,O$2,0),$A$655,INDEX(Техника!$H$1:$ABO$500,O$2,0),"М")</f>
        <v>0</v>
      </c>
      <c r="P656" s="50">
        <f>SUMIFS(INDEX(Техника!$F$1:$ABM$500,P$2,0),Техника!$F$4:$ABM$4,"Часы",INDEX(Техника!$G$1:$ABN$500,P$2,0),$A$655,INDEX(Техника!$H$1:$ABO$500,P$2,0),"М")</f>
        <v>0</v>
      </c>
      <c r="Q656" s="50">
        <f>SUMIFS(INDEX(Техника!$F$1:$ABM$500,Q$2,0),Техника!$F$4:$ABM$4,"Часы",INDEX(Техника!$G$1:$ABN$500,Q$2,0),$A$655,INDEX(Техника!$H$1:$ABO$500,Q$2,0),"М")</f>
        <v>0</v>
      </c>
      <c r="R656" s="50">
        <f>SUMIFS(INDEX(Техника!$F$1:$ABM$500,R$2,0),Техника!$F$4:$ABM$4,"Часы",INDEX(Техника!$G$1:$ABN$500,R$2,0),$A$655,INDEX(Техника!$H$1:$ABO$500,R$2,0),"М")</f>
        <v>0</v>
      </c>
      <c r="S656" s="50">
        <f>SUMIFS(INDEX(Техника!$F$1:$ABM$500,S$2,0),Техника!$F$4:$ABM$4,"Часы",INDEX(Техника!$G$1:$ABN$500,S$2,0),$A$655,INDEX(Техника!$H$1:$ABO$500,S$2,0),"М")</f>
        <v>0</v>
      </c>
      <c r="T656" s="50">
        <f>SUMIFS(INDEX(Техника!$F$1:$ABM$500,T$2,0),Техника!$F$4:$ABM$4,"Часы",INDEX(Техника!$G$1:$ABN$500,T$2,0),$A$655,INDEX(Техника!$H$1:$ABO$500,T$2,0),"М")</f>
        <v>0</v>
      </c>
      <c r="U656" s="50">
        <f>SUMIFS(INDEX(Техника!$F$1:$ABM$500,U$2,0),Техника!$F$4:$ABM$4,"Часы",INDEX(Техника!$G$1:$ABN$500,U$2,0),$A$655,INDEX(Техника!$H$1:$ABO$500,U$2,0),"М")</f>
        <v>0</v>
      </c>
      <c r="V656" s="50">
        <f>SUMIFS(INDEX(Техника!$F$1:$ABM$500,V$2,0),Техника!$F$4:$ABM$4,"Часы",INDEX(Техника!$G$1:$ABN$500,V$2,0),$A$655,INDEX(Техника!$H$1:$ABO$500,V$2,0),"М")</f>
        <v>0</v>
      </c>
      <c r="W656" s="50">
        <f>SUMIFS(INDEX(Техника!$F$1:$ABM$500,W$2,0),Техника!$F$4:$ABM$4,"Часы",INDEX(Техника!$G$1:$ABN$500,W$2,0),$A$655,INDEX(Техника!$H$1:$ABO$500,W$2,0),"М")</f>
        <v>0</v>
      </c>
      <c r="X656" s="50">
        <f>SUMIFS(INDEX(Техника!$F$1:$ABM$500,X$2,0),Техника!$F$4:$ABM$4,"Часы",INDEX(Техника!$G$1:$ABN$500,X$2,0),$A$655,INDEX(Техника!$H$1:$ABO$500,X$2,0),"М")</f>
        <v>0</v>
      </c>
      <c r="Y656" s="50">
        <f>SUMIFS(INDEX(Техника!$F$1:$ABM$500,Y$2,0),Техника!$F$4:$ABM$4,"Часы",INDEX(Техника!$G$1:$ABN$500,Y$2,0),$A$655,INDEX(Техника!$H$1:$ABO$500,Y$2,0),"М")</f>
        <v>0</v>
      </c>
      <c r="Z656" s="50">
        <f>SUMIFS(INDEX(Техника!$F$1:$ABM$500,Z$2,0),Техника!$F$4:$ABM$4,"Часы",INDEX(Техника!$G$1:$ABN$500,Z$2,0),$A$655,INDEX(Техника!$H$1:$ABO$500,Z$2,0),"М")</f>
        <v>0</v>
      </c>
      <c r="AA656" s="50">
        <f>SUMIFS(INDEX(Техника!$F$1:$ABM$500,AA$2,0),Техника!$F$4:$ABM$4,"Часы",INDEX(Техника!$G$1:$ABN$500,AA$2,0),$A$655,INDEX(Техника!$H$1:$ABO$500,AA$2,0),"М")</f>
        <v>0</v>
      </c>
      <c r="AB656" s="50">
        <f>SUMIFS(INDEX(Техника!$F$1:$ABM$500,AB$2,0),Техника!$F$4:$ABM$4,"Часы",INDEX(Техника!$G$1:$ABN$500,AB$2,0),$A$655,INDEX(Техника!$H$1:$ABO$500,AB$2,0),"М")</f>
        <v>0</v>
      </c>
    </row>
    <row r="657" spans="1:28" hidden="1" outlineLevel="1" x14ac:dyDescent="0.3">
      <c r="A657" s="33" t="s">
        <v>244</v>
      </c>
      <c r="B657" s="34" t="s">
        <v>275</v>
      </c>
      <c r="C657" s="50">
        <f>SUMIFS(INDEX(Техника!$F$1:$ABM$500,C$2,0),Техника!$F$4:$ABM$4,"Часы",INDEX(Техника!$G$1:$ABN$500,C$2,0),$A$655,INDEX(Техника!$H$1:$ABO$500,C$2,0),"Д")</f>
        <v>0</v>
      </c>
      <c r="D657" s="50">
        <f>SUMIFS(INDEX(Техника!$F$1:$ABM$500,D$2,0),Техника!$F$4:$ABM$4,"Часы",INDEX(Техника!$G$1:$ABN$500,D$2,0),$A$655,INDEX(Техника!$H$1:$ABO$500,D$2,0),"Д")</f>
        <v>0</v>
      </c>
      <c r="E657" s="50">
        <f>SUMIFS(INDEX(Техника!$F$1:$ABM$500,E$2,0),Техника!$F$4:$ABM$4,"Часы",INDEX(Техника!$G$1:$ABN$500,E$2,0),$A$655,INDEX(Техника!$H$1:$ABO$500,E$2,0),"Д")</f>
        <v>0</v>
      </c>
      <c r="F657" s="50">
        <f>SUMIFS(INDEX(Техника!$F$1:$ABM$500,F$2,0),Техника!$F$4:$ABM$4,"Часы",INDEX(Техника!$G$1:$ABN$500,F$2,0),$A$655,INDEX(Техника!$H$1:$ABO$500,F$2,0),"Д")</f>
        <v>0</v>
      </c>
      <c r="G657" s="50">
        <f>SUMIFS(INDEX(Техника!$F$1:$ABM$500,G$2,0),Техника!$F$4:$ABM$4,"Часы",INDEX(Техника!$G$1:$ABN$500,G$2,0),$A$655,INDEX(Техника!$H$1:$ABO$500,G$2,0),"Д")</f>
        <v>0</v>
      </c>
      <c r="H657" s="50">
        <f>SUMIFS(INDEX(Техника!$F$1:$ABM$500,H$2,0),Техника!$F$4:$ABM$4,"Часы",INDEX(Техника!$G$1:$ABN$500,H$2,0),$A$655,INDEX(Техника!$H$1:$ABO$500,H$2,0),"Д")</f>
        <v>0</v>
      </c>
      <c r="I657" s="50">
        <f>SUMIFS(INDEX(Техника!$F$1:$ABM$500,I$2,0),Техника!$F$4:$ABM$4,"Часы",INDEX(Техника!$G$1:$ABN$500,I$2,0),$A$655,INDEX(Техника!$H$1:$ABO$500,I$2,0),"Д")</f>
        <v>0</v>
      </c>
      <c r="J657" s="50">
        <f>SUMIFS(INDEX(Техника!$F$1:$ABM$500,J$2,0),Техника!$F$4:$ABM$4,"Часы",INDEX(Техника!$G$1:$ABN$500,J$2,0),$A$655,INDEX(Техника!$H$1:$ABO$500,J$2,0),"Д")</f>
        <v>0</v>
      </c>
      <c r="K657" s="50">
        <f>SUMIFS(INDEX(Техника!$F$1:$ABM$500,K$2,0),Техника!$F$4:$ABM$4,"Часы",INDEX(Техника!$G$1:$ABN$500,K$2,0),$A$655,INDEX(Техника!$H$1:$ABO$500,K$2,0),"Д")</f>
        <v>0</v>
      </c>
      <c r="L657" s="50">
        <f>SUMIFS(INDEX(Техника!$F$1:$ABM$500,L$2,0),Техника!$F$4:$ABM$4,"Часы",INDEX(Техника!$G$1:$ABN$500,L$2,0),$A$655,INDEX(Техника!$H$1:$ABO$500,L$2,0),"Д")</f>
        <v>0</v>
      </c>
      <c r="M657" s="50">
        <f>SUMIFS(INDEX(Техника!$F$1:$ABM$500,M$2,0),Техника!$F$4:$ABM$4,"Часы",INDEX(Техника!$G$1:$ABN$500,M$2,0),$A$655,INDEX(Техника!$H$1:$ABO$500,M$2,0),"Д")</f>
        <v>0</v>
      </c>
      <c r="N657" s="50">
        <f>SUMIFS(INDEX(Техника!$F$1:$ABM$500,N$2,0),Техника!$F$4:$ABM$4,"Часы",INDEX(Техника!$G$1:$ABN$500,N$2,0),$A$655,INDEX(Техника!$H$1:$ABO$500,N$2,0),"Д")</f>
        <v>0</v>
      </c>
      <c r="O657" s="50">
        <f>SUMIFS(INDEX(Техника!$F$1:$ABM$500,O$2,0),Техника!$F$4:$ABM$4,"Часы",INDEX(Техника!$G$1:$ABN$500,O$2,0),$A$655,INDEX(Техника!$H$1:$ABO$500,O$2,0),"Д")</f>
        <v>0</v>
      </c>
      <c r="P657" s="50">
        <f>SUMIFS(INDEX(Техника!$F$1:$ABM$500,P$2,0),Техника!$F$4:$ABM$4,"Часы",INDEX(Техника!$G$1:$ABN$500,P$2,0),$A$655,INDEX(Техника!$H$1:$ABO$500,P$2,0),"Д")</f>
        <v>0</v>
      </c>
      <c r="Q657" s="50">
        <f>SUMIFS(INDEX(Техника!$F$1:$ABM$500,Q$2,0),Техника!$F$4:$ABM$4,"Часы",INDEX(Техника!$G$1:$ABN$500,Q$2,0),$A$655,INDEX(Техника!$H$1:$ABO$500,Q$2,0),"Д")</f>
        <v>0</v>
      </c>
      <c r="R657" s="50">
        <f>SUMIFS(INDEX(Техника!$F$1:$ABM$500,R$2,0),Техника!$F$4:$ABM$4,"Часы",INDEX(Техника!$G$1:$ABN$500,R$2,0),$A$655,INDEX(Техника!$H$1:$ABO$500,R$2,0),"Д")</f>
        <v>0</v>
      </c>
      <c r="S657" s="50">
        <f>SUMIFS(INDEX(Техника!$F$1:$ABM$500,S$2,0),Техника!$F$4:$ABM$4,"Часы",INDEX(Техника!$G$1:$ABN$500,S$2,0),$A$655,INDEX(Техника!$H$1:$ABO$500,S$2,0),"Д")</f>
        <v>0</v>
      </c>
      <c r="T657" s="50">
        <f>SUMIFS(INDEX(Техника!$F$1:$ABM$500,T$2,0),Техника!$F$4:$ABM$4,"Часы",INDEX(Техника!$G$1:$ABN$500,T$2,0),$A$655,INDEX(Техника!$H$1:$ABO$500,T$2,0),"Д")</f>
        <v>0</v>
      </c>
      <c r="U657" s="50">
        <f>SUMIFS(INDEX(Техника!$F$1:$ABM$500,U$2,0),Техника!$F$4:$ABM$4,"Часы",INDEX(Техника!$G$1:$ABN$500,U$2,0),$A$655,INDEX(Техника!$H$1:$ABO$500,U$2,0),"Д")</f>
        <v>0</v>
      </c>
      <c r="V657" s="50">
        <f>SUMIFS(INDEX(Техника!$F$1:$ABM$500,V$2,0),Техника!$F$4:$ABM$4,"Часы",INDEX(Техника!$G$1:$ABN$500,V$2,0),$A$655,INDEX(Техника!$H$1:$ABO$500,V$2,0),"Д")</f>
        <v>0</v>
      </c>
      <c r="W657" s="50">
        <f>SUMIFS(INDEX(Техника!$F$1:$ABM$500,W$2,0),Техника!$F$4:$ABM$4,"Часы",INDEX(Техника!$G$1:$ABN$500,W$2,0),$A$655,INDEX(Техника!$H$1:$ABO$500,W$2,0),"Д")</f>
        <v>0</v>
      </c>
      <c r="X657" s="50">
        <f>SUMIFS(INDEX(Техника!$F$1:$ABM$500,X$2,0),Техника!$F$4:$ABM$4,"Часы",INDEX(Техника!$G$1:$ABN$500,X$2,0),$A$655,INDEX(Техника!$H$1:$ABO$500,X$2,0),"Д")</f>
        <v>0</v>
      </c>
      <c r="Y657" s="50">
        <f>SUMIFS(INDEX(Техника!$F$1:$ABM$500,Y$2,0),Техника!$F$4:$ABM$4,"Часы",INDEX(Техника!$G$1:$ABN$500,Y$2,0),$A$655,INDEX(Техника!$H$1:$ABO$500,Y$2,0),"Д")</f>
        <v>0</v>
      </c>
      <c r="Z657" s="50">
        <f>SUMIFS(INDEX(Техника!$F$1:$ABM$500,Z$2,0),Техника!$F$4:$ABM$4,"Часы",INDEX(Техника!$G$1:$ABN$500,Z$2,0),$A$655,INDEX(Техника!$H$1:$ABO$500,Z$2,0),"Д")</f>
        <v>0</v>
      </c>
      <c r="AA657" s="50">
        <f>SUMIFS(INDEX(Техника!$F$1:$ABM$500,AA$2,0),Техника!$F$4:$ABM$4,"Часы",INDEX(Техника!$G$1:$ABN$500,AA$2,0),$A$655,INDEX(Техника!$H$1:$ABO$500,AA$2,0),"Д")</f>
        <v>0</v>
      </c>
      <c r="AB657" s="50">
        <f>SUMIFS(INDEX(Техника!$F$1:$ABM$500,AB$2,0),Техника!$F$4:$ABM$4,"Часы",INDEX(Техника!$G$1:$ABN$500,AB$2,0),$A$655,INDEX(Техника!$H$1:$ABO$500,AB$2,0),"Д")</f>
        <v>0</v>
      </c>
    </row>
    <row r="658" spans="1:28" hidden="1" outlineLevel="1" x14ac:dyDescent="0.3">
      <c r="A658" s="33" t="s">
        <v>276</v>
      </c>
      <c r="B658" s="34" t="s">
        <v>277</v>
      </c>
      <c r="C658" s="50">
        <f>SUMIFS(INDEX(Техника!$F$1:$ABM$500,C$2,0),Техника!$F$4:$ABM$4,"Часы",INDEX(Техника!$G$1:$ABN$500,C$2,0),$A$655,INDEX(Техника!$H$1:$ABO$500,C$2,0),"П")</f>
        <v>0</v>
      </c>
      <c r="D658" s="50">
        <f>SUMIFS(INDEX(Техника!$F$1:$ABM$500,D$2,0),Техника!$F$4:$ABM$4,"Часы",INDEX(Техника!$G$1:$ABN$500,D$2,0),$A$655,INDEX(Техника!$H$1:$ABO$500,D$2,0),"П")</f>
        <v>0</v>
      </c>
      <c r="E658" s="50">
        <f>SUMIFS(INDEX(Техника!$F$1:$ABM$500,E$2,0),Техника!$F$4:$ABM$4,"Часы",INDEX(Техника!$G$1:$ABN$500,E$2,0),$A$655,INDEX(Техника!$H$1:$ABO$500,E$2,0),"П")</f>
        <v>0</v>
      </c>
      <c r="F658" s="50">
        <f>SUMIFS(INDEX(Техника!$F$1:$ABM$500,F$2,0),Техника!$F$4:$ABM$4,"Часы",INDEX(Техника!$G$1:$ABN$500,F$2,0),$A$655,INDEX(Техника!$H$1:$ABO$500,F$2,0),"П")</f>
        <v>0</v>
      </c>
      <c r="G658" s="50">
        <f>SUMIFS(INDEX(Техника!$F$1:$ABM$500,G$2,0),Техника!$F$4:$ABM$4,"Часы",INDEX(Техника!$G$1:$ABN$500,G$2,0),$A$655,INDEX(Техника!$H$1:$ABO$500,G$2,0),"П")</f>
        <v>0</v>
      </c>
      <c r="H658" s="50">
        <f>SUMIFS(INDEX(Техника!$F$1:$ABM$500,H$2,0),Техника!$F$4:$ABM$4,"Часы",INDEX(Техника!$G$1:$ABN$500,H$2,0),$A$655,INDEX(Техника!$H$1:$ABO$500,H$2,0),"П")</f>
        <v>0</v>
      </c>
      <c r="I658" s="50">
        <f>SUMIFS(INDEX(Техника!$F$1:$ABM$500,I$2,0),Техника!$F$4:$ABM$4,"Часы",INDEX(Техника!$G$1:$ABN$500,I$2,0),$A$655,INDEX(Техника!$H$1:$ABO$500,I$2,0),"П")</f>
        <v>0</v>
      </c>
      <c r="J658" s="50">
        <f>SUMIFS(INDEX(Техника!$F$1:$ABM$500,J$2,0),Техника!$F$4:$ABM$4,"Часы",INDEX(Техника!$G$1:$ABN$500,J$2,0),$A$655,INDEX(Техника!$H$1:$ABO$500,J$2,0),"П")</f>
        <v>0</v>
      </c>
      <c r="K658" s="50">
        <f>SUMIFS(INDEX(Техника!$F$1:$ABM$500,K$2,0),Техника!$F$4:$ABM$4,"Часы",INDEX(Техника!$G$1:$ABN$500,K$2,0),$A$655,INDEX(Техника!$H$1:$ABO$500,K$2,0),"П")</f>
        <v>0</v>
      </c>
      <c r="L658" s="50">
        <f>SUMIFS(INDEX(Техника!$F$1:$ABM$500,L$2,0),Техника!$F$4:$ABM$4,"Часы",INDEX(Техника!$G$1:$ABN$500,L$2,0),$A$655,INDEX(Техника!$H$1:$ABO$500,L$2,0),"П")</f>
        <v>0</v>
      </c>
      <c r="M658" s="50">
        <f>SUMIFS(INDEX(Техника!$F$1:$ABM$500,M$2,0),Техника!$F$4:$ABM$4,"Часы",INDEX(Техника!$G$1:$ABN$500,M$2,0),$A$655,INDEX(Техника!$H$1:$ABO$500,M$2,0),"П")</f>
        <v>0</v>
      </c>
      <c r="N658" s="50">
        <f>SUMIFS(INDEX(Техника!$F$1:$ABM$500,N$2,0),Техника!$F$4:$ABM$4,"Часы",INDEX(Техника!$G$1:$ABN$500,N$2,0),$A$655,INDEX(Техника!$H$1:$ABO$500,N$2,0),"П")</f>
        <v>0</v>
      </c>
      <c r="O658" s="50">
        <f>SUMIFS(INDEX(Техника!$F$1:$ABM$500,O$2,0),Техника!$F$4:$ABM$4,"Часы",INDEX(Техника!$G$1:$ABN$500,O$2,0),$A$655,INDEX(Техника!$H$1:$ABO$500,O$2,0),"П")</f>
        <v>0</v>
      </c>
      <c r="P658" s="50">
        <f>SUMIFS(INDEX(Техника!$F$1:$ABM$500,P$2,0),Техника!$F$4:$ABM$4,"Часы",INDEX(Техника!$G$1:$ABN$500,P$2,0),$A$655,INDEX(Техника!$H$1:$ABO$500,P$2,0),"П")</f>
        <v>0</v>
      </c>
      <c r="Q658" s="50">
        <f>SUMIFS(INDEX(Техника!$F$1:$ABM$500,Q$2,0),Техника!$F$4:$ABM$4,"Часы",INDEX(Техника!$G$1:$ABN$500,Q$2,0),$A$655,INDEX(Техника!$H$1:$ABO$500,Q$2,0),"П")</f>
        <v>0</v>
      </c>
      <c r="R658" s="50">
        <f>SUMIFS(INDEX(Техника!$F$1:$ABM$500,R$2,0),Техника!$F$4:$ABM$4,"Часы",INDEX(Техника!$G$1:$ABN$500,R$2,0),$A$655,INDEX(Техника!$H$1:$ABO$500,R$2,0),"П")</f>
        <v>0</v>
      </c>
      <c r="S658" s="50">
        <f>SUMIFS(INDEX(Техника!$F$1:$ABM$500,S$2,0),Техника!$F$4:$ABM$4,"Часы",INDEX(Техника!$G$1:$ABN$500,S$2,0),$A$655,INDEX(Техника!$H$1:$ABO$500,S$2,0),"П")</f>
        <v>0</v>
      </c>
      <c r="T658" s="50">
        <f>SUMIFS(INDEX(Техника!$F$1:$ABM$500,T$2,0),Техника!$F$4:$ABM$4,"Часы",INDEX(Техника!$G$1:$ABN$500,T$2,0),$A$655,INDEX(Техника!$H$1:$ABO$500,T$2,0),"П")</f>
        <v>0</v>
      </c>
      <c r="U658" s="50">
        <f>SUMIFS(INDEX(Техника!$F$1:$ABM$500,U$2,0),Техника!$F$4:$ABM$4,"Часы",INDEX(Техника!$G$1:$ABN$500,U$2,0),$A$655,INDEX(Техника!$H$1:$ABO$500,U$2,0),"П")</f>
        <v>0</v>
      </c>
      <c r="V658" s="50">
        <f>SUMIFS(INDEX(Техника!$F$1:$ABM$500,V$2,0),Техника!$F$4:$ABM$4,"Часы",INDEX(Техника!$G$1:$ABN$500,V$2,0),$A$655,INDEX(Техника!$H$1:$ABO$500,V$2,0),"П")</f>
        <v>0</v>
      </c>
      <c r="W658" s="50">
        <f>SUMIFS(INDEX(Техника!$F$1:$ABM$500,W$2,0),Техника!$F$4:$ABM$4,"Часы",INDEX(Техника!$G$1:$ABN$500,W$2,0),$A$655,INDEX(Техника!$H$1:$ABO$500,W$2,0),"П")</f>
        <v>0</v>
      </c>
      <c r="X658" s="50">
        <f>SUMIFS(INDEX(Техника!$F$1:$ABM$500,X$2,0),Техника!$F$4:$ABM$4,"Часы",INDEX(Техника!$G$1:$ABN$500,X$2,0),$A$655,INDEX(Техника!$H$1:$ABO$500,X$2,0),"П")</f>
        <v>0</v>
      </c>
      <c r="Y658" s="50">
        <f>SUMIFS(INDEX(Техника!$F$1:$ABM$500,Y$2,0),Техника!$F$4:$ABM$4,"Часы",INDEX(Техника!$G$1:$ABN$500,Y$2,0),$A$655,INDEX(Техника!$H$1:$ABO$500,Y$2,0),"П")</f>
        <v>0</v>
      </c>
      <c r="Z658" s="50">
        <f>SUMIFS(INDEX(Техника!$F$1:$ABM$500,Z$2,0),Техника!$F$4:$ABM$4,"Часы",INDEX(Техника!$G$1:$ABN$500,Z$2,0),$A$655,INDEX(Техника!$H$1:$ABO$500,Z$2,0),"П")</f>
        <v>0</v>
      </c>
      <c r="AA658" s="50">
        <f>SUMIFS(INDEX(Техника!$F$1:$ABM$500,AA$2,0),Техника!$F$4:$ABM$4,"Часы",INDEX(Техника!$G$1:$ABN$500,AA$2,0),$A$655,INDEX(Техника!$H$1:$ABO$500,AA$2,0),"П")</f>
        <v>0</v>
      </c>
      <c r="AB658" s="50">
        <f>SUMIFS(INDEX(Техника!$F$1:$ABM$500,AB$2,0),Техника!$F$4:$ABM$4,"Часы",INDEX(Техника!$G$1:$ABN$500,AB$2,0),$A$655,INDEX(Техника!$H$1:$ABO$500,AB$2,0),"П")</f>
        <v>0</v>
      </c>
    </row>
    <row r="659" spans="1:28" hidden="1" outlineLevel="1" x14ac:dyDescent="0.3">
      <c r="A659" s="33" t="s">
        <v>243</v>
      </c>
      <c r="B659" s="34" t="s">
        <v>278</v>
      </c>
      <c r="C659" s="50">
        <f>SUMIFS(INDEX(Техника!$F$1:$ABM$500,C$2,0),Техника!$F$4:$ABM$4,"Часы",INDEX(Техника!$G$1:$ABN$500,C$2,0),$A$655,INDEX(Техника!$H$1:$ABO$500,C$2,0),"Л")</f>
        <v>0</v>
      </c>
      <c r="D659" s="50">
        <f>SUMIFS(INDEX(Техника!$F$1:$ABM$500,D$2,0),Техника!$F$4:$ABM$4,"Часы",INDEX(Техника!$G$1:$ABN$500,D$2,0),$A$655,INDEX(Техника!$H$1:$ABO$500,D$2,0),"Л")</f>
        <v>0</v>
      </c>
      <c r="E659" s="50">
        <f>SUMIFS(INDEX(Техника!$F$1:$ABM$500,E$2,0),Техника!$F$4:$ABM$4,"Часы",INDEX(Техника!$G$1:$ABN$500,E$2,0),$A$655,INDEX(Техника!$H$1:$ABO$500,E$2,0),"Л")</f>
        <v>0</v>
      </c>
      <c r="F659" s="50">
        <f>SUMIFS(INDEX(Техника!$F$1:$ABM$500,F$2,0),Техника!$F$4:$ABM$4,"Часы",INDEX(Техника!$G$1:$ABN$500,F$2,0),$A$655,INDEX(Техника!$H$1:$ABO$500,F$2,0),"Л")</f>
        <v>0</v>
      </c>
      <c r="G659" s="50">
        <f>SUMIFS(INDEX(Техника!$F$1:$ABM$500,G$2,0),Техника!$F$4:$ABM$4,"Часы",INDEX(Техника!$G$1:$ABN$500,G$2,0),$A$655,INDEX(Техника!$H$1:$ABO$500,G$2,0),"Л")</f>
        <v>0</v>
      </c>
      <c r="H659" s="50">
        <f>SUMIFS(INDEX(Техника!$F$1:$ABM$500,H$2,0),Техника!$F$4:$ABM$4,"Часы",INDEX(Техника!$G$1:$ABN$500,H$2,0),$A$655,INDEX(Техника!$H$1:$ABO$500,H$2,0),"Л")</f>
        <v>0</v>
      </c>
      <c r="I659" s="50">
        <f>SUMIFS(INDEX(Техника!$F$1:$ABM$500,I$2,0),Техника!$F$4:$ABM$4,"Часы",INDEX(Техника!$G$1:$ABN$500,I$2,0),$A$655,INDEX(Техника!$H$1:$ABO$500,I$2,0),"Л")</f>
        <v>0</v>
      </c>
      <c r="J659" s="50">
        <f>SUMIFS(INDEX(Техника!$F$1:$ABM$500,J$2,0),Техника!$F$4:$ABM$4,"Часы",INDEX(Техника!$G$1:$ABN$500,J$2,0),$A$655,INDEX(Техника!$H$1:$ABO$500,J$2,0),"Л")</f>
        <v>0</v>
      </c>
      <c r="K659" s="50">
        <f>SUMIFS(INDEX(Техника!$F$1:$ABM$500,K$2,0),Техника!$F$4:$ABM$4,"Часы",INDEX(Техника!$G$1:$ABN$500,K$2,0),$A$655,INDEX(Техника!$H$1:$ABO$500,K$2,0),"Л")</f>
        <v>0</v>
      </c>
      <c r="L659" s="50">
        <f>SUMIFS(INDEX(Техника!$F$1:$ABM$500,L$2,0),Техника!$F$4:$ABM$4,"Часы",INDEX(Техника!$G$1:$ABN$500,L$2,0),$A$655,INDEX(Техника!$H$1:$ABO$500,L$2,0),"Л")</f>
        <v>0</v>
      </c>
      <c r="M659" s="50">
        <f>SUMIFS(INDEX(Техника!$F$1:$ABM$500,M$2,0),Техника!$F$4:$ABM$4,"Часы",INDEX(Техника!$G$1:$ABN$500,M$2,0),$A$655,INDEX(Техника!$H$1:$ABO$500,M$2,0),"Л")</f>
        <v>0</v>
      </c>
      <c r="N659" s="50">
        <f>SUMIFS(INDEX(Техника!$F$1:$ABM$500,N$2,0),Техника!$F$4:$ABM$4,"Часы",INDEX(Техника!$G$1:$ABN$500,N$2,0),$A$655,INDEX(Техника!$H$1:$ABO$500,N$2,0),"Л")</f>
        <v>0</v>
      </c>
      <c r="O659" s="50">
        <f>SUMIFS(INDEX(Техника!$F$1:$ABM$500,O$2,0),Техника!$F$4:$ABM$4,"Часы",INDEX(Техника!$G$1:$ABN$500,O$2,0),$A$655,INDEX(Техника!$H$1:$ABO$500,O$2,0),"Л")</f>
        <v>0</v>
      </c>
      <c r="P659" s="50">
        <f>SUMIFS(INDEX(Техника!$F$1:$ABM$500,P$2,0),Техника!$F$4:$ABM$4,"Часы",INDEX(Техника!$G$1:$ABN$500,P$2,0),$A$655,INDEX(Техника!$H$1:$ABO$500,P$2,0),"Л")</f>
        <v>0</v>
      </c>
      <c r="Q659" s="50">
        <f>SUMIFS(INDEX(Техника!$F$1:$ABM$500,Q$2,0),Техника!$F$4:$ABM$4,"Часы",INDEX(Техника!$G$1:$ABN$500,Q$2,0),$A$655,INDEX(Техника!$H$1:$ABO$500,Q$2,0),"Л")</f>
        <v>0</v>
      </c>
      <c r="R659" s="50">
        <f>SUMIFS(INDEX(Техника!$F$1:$ABM$500,R$2,0),Техника!$F$4:$ABM$4,"Часы",INDEX(Техника!$G$1:$ABN$500,R$2,0),$A$655,INDEX(Техника!$H$1:$ABO$500,R$2,0),"Л")</f>
        <v>0</v>
      </c>
      <c r="S659" s="50">
        <f>SUMIFS(INDEX(Техника!$F$1:$ABM$500,S$2,0),Техника!$F$4:$ABM$4,"Часы",INDEX(Техника!$G$1:$ABN$500,S$2,0),$A$655,INDEX(Техника!$H$1:$ABO$500,S$2,0),"Л")</f>
        <v>0</v>
      </c>
      <c r="T659" s="50">
        <f>SUMIFS(INDEX(Техника!$F$1:$ABM$500,T$2,0),Техника!$F$4:$ABM$4,"Часы",INDEX(Техника!$G$1:$ABN$500,T$2,0),$A$655,INDEX(Техника!$H$1:$ABO$500,T$2,0),"Л")</f>
        <v>0</v>
      </c>
      <c r="U659" s="50">
        <f>SUMIFS(INDEX(Техника!$F$1:$ABM$500,U$2,0),Техника!$F$4:$ABM$4,"Часы",INDEX(Техника!$G$1:$ABN$500,U$2,0),$A$655,INDEX(Техника!$H$1:$ABO$500,U$2,0),"Л")</f>
        <v>0</v>
      </c>
      <c r="V659" s="50">
        <f>SUMIFS(INDEX(Техника!$F$1:$ABM$500,V$2,0),Техника!$F$4:$ABM$4,"Часы",INDEX(Техника!$G$1:$ABN$500,V$2,0),$A$655,INDEX(Техника!$H$1:$ABO$500,V$2,0),"Л")</f>
        <v>0</v>
      </c>
      <c r="W659" s="50">
        <f>SUMIFS(INDEX(Техника!$F$1:$ABM$500,W$2,0),Техника!$F$4:$ABM$4,"Часы",INDEX(Техника!$G$1:$ABN$500,W$2,0),$A$655,INDEX(Техника!$H$1:$ABO$500,W$2,0),"Л")</f>
        <v>0</v>
      </c>
      <c r="X659" s="50">
        <f>SUMIFS(INDEX(Техника!$F$1:$ABM$500,X$2,0),Техника!$F$4:$ABM$4,"Часы",INDEX(Техника!$G$1:$ABN$500,X$2,0),$A$655,INDEX(Техника!$H$1:$ABO$500,X$2,0),"Л")</f>
        <v>0</v>
      </c>
      <c r="Y659" s="50">
        <f>SUMIFS(INDEX(Техника!$F$1:$ABM$500,Y$2,0),Техника!$F$4:$ABM$4,"Часы",INDEX(Техника!$G$1:$ABN$500,Y$2,0),$A$655,INDEX(Техника!$H$1:$ABO$500,Y$2,0),"Л")</f>
        <v>0</v>
      </c>
      <c r="Z659" s="50">
        <f>SUMIFS(INDEX(Техника!$F$1:$ABM$500,Z$2,0),Техника!$F$4:$ABM$4,"Часы",INDEX(Техника!$G$1:$ABN$500,Z$2,0),$A$655,INDEX(Техника!$H$1:$ABO$500,Z$2,0),"Л")</f>
        <v>0</v>
      </c>
      <c r="AA659" s="50">
        <f>SUMIFS(INDEX(Техника!$F$1:$ABM$500,AA$2,0),Техника!$F$4:$ABM$4,"Часы",INDEX(Техника!$G$1:$ABN$500,AA$2,0),$A$655,INDEX(Техника!$H$1:$ABO$500,AA$2,0),"Л")</f>
        <v>0</v>
      </c>
      <c r="AB659" s="50">
        <f>SUMIFS(INDEX(Техника!$F$1:$ABM$500,AB$2,0),Техника!$F$4:$ABM$4,"Часы",INDEX(Техника!$G$1:$ABN$500,AB$2,0),$A$655,INDEX(Техника!$H$1:$ABO$500,AB$2,0),"Л")</f>
        <v>0</v>
      </c>
    </row>
    <row r="660" spans="1:28" hidden="1" outlineLevel="1" x14ac:dyDescent="0.3">
      <c r="A660" s="33" t="s">
        <v>245</v>
      </c>
      <c r="B660" s="34" t="s">
        <v>279</v>
      </c>
      <c r="C660" s="50">
        <f>SUMIFS(INDEX(Техника!$F$1:$ABM$500,C$2,0),Техника!$F$4:$ABM$4,"Часы",INDEX(Техника!$G$1:$ABN$500,C$2,0),$A$655,INDEX(Техника!$H$1:$ABO$500,C$2,0),"З")</f>
        <v>0</v>
      </c>
      <c r="D660" s="50">
        <f>SUMIFS(INDEX(Техника!$F$1:$ABM$500,D$2,0),Техника!$F$4:$ABM$4,"Часы",INDEX(Техника!$G$1:$ABN$500,D$2,0),$A$655,INDEX(Техника!$H$1:$ABO$500,D$2,0),"З")</f>
        <v>0</v>
      </c>
      <c r="E660" s="50">
        <f>SUMIFS(INDEX(Техника!$F$1:$ABM$500,E$2,0),Техника!$F$4:$ABM$4,"Часы",INDEX(Техника!$G$1:$ABN$500,E$2,0),$A$655,INDEX(Техника!$H$1:$ABO$500,E$2,0),"З")</f>
        <v>0</v>
      </c>
      <c r="F660" s="50">
        <f>SUMIFS(INDEX(Техника!$F$1:$ABM$500,F$2,0),Техника!$F$4:$ABM$4,"Часы",INDEX(Техника!$G$1:$ABN$500,F$2,0),$A$655,INDEX(Техника!$H$1:$ABO$500,F$2,0),"З")</f>
        <v>0</v>
      </c>
      <c r="G660" s="50">
        <f>SUMIFS(INDEX(Техника!$F$1:$ABM$500,G$2,0),Техника!$F$4:$ABM$4,"Часы",INDEX(Техника!$G$1:$ABN$500,G$2,0),$A$655,INDEX(Техника!$H$1:$ABO$500,G$2,0),"З")</f>
        <v>0</v>
      </c>
      <c r="H660" s="50">
        <f>SUMIFS(INDEX(Техника!$F$1:$ABM$500,H$2,0),Техника!$F$4:$ABM$4,"Часы",INDEX(Техника!$G$1:$ABN$500,H$2,0),$A$655,INDEX(Техника!$H$1:$ABO$500,H$2,0),"З")</f>
        <v>0</v>
      </c>
      <c r="I660" s="50">
        <f>SUMIFS(INDEX(Техника!$F$1:$ABM$500,I$2,0),Техника!$F$4:$ABM$4,"Часы",INDEX(Техника!$G$1:$ABN$500,I$2,0),$A$655,INDEX(Техника!$H$1:$ABO$500,I$2,0),"З")</f>
        <v>0</v>
      </c>
      <c r="J660" s="50">
        <f>SUMIFS(INDEX(Техника!$F$1:$ABM$500,J$2,0),Техника!$F$4:$ABM$4,"Часы",INDEX(Техника!$G$1:$ABN$500,J$2,0),$A$655,INDEX(Техника!$H$1:$ABO$500,J$2,0),"З")</f>
        <v>0</v>
      </c>
      <c r="K660" s="50">
        <f>SUMIFS(INDEX(Техника!$F$1:$ABM$500,K$2,0),Техника!$F$4:$ABM$4,"Часы",INDEX(Техника!$G$1:$ABN$500,K$2,0),$A$655,INDEX(Техника!$H$1:$ABO$500,K$2,0),"З")</f>
        <v>0</v>
      </c>
      <c r="L660" s="50">
        <f>SUMIFS(INDEX(Техника!$F$1:$ABM$500,L$2,0),Техника!$F$4:$ABM$4,"Часы",INDEX(Техника!$G$1:$ABN$500,L$2,0),$A$655,INDEX(Техника!$H$1:$ABO$500,L$2,0),"З")</f>
        <v>0</v>
      </c>
      <c r="M660" s="50">
        <f>SUMIFS(INDEX(Техника!$F$1:$ABM$500,M$2,0),Техника!$F$4:$ABM$4,"Часы",INDEX(Техника!$G$1:$ABN$500,M$2,0),$A$655,INDEX(Техника!$H$1:$ABO$500,M$2,0),"З")</f>
        <v>0</v>
      </c>
      <c r="N660" s="50">
        <f>SUMIFS(INDEX(Техника!$F$1:$ABM$500,N$2,0),Техника!$F$4:$ABM$4,"Часы",INDEX(Техника!$G$1:$ABN$500,N$2,0),$A$655,INDEX(Техника!$H$1:$ABO$500,N$2,0),"З")</f>
        <v>0</v>
      </c>
      <c r="O660" s="50">
        <f>SUMIFS(INDEX(Техника!$F$1:$ABM$500,O$2,0),Техника!$F$4:$ABM$4,"Часы",INDEX(Техника!$G$1:$ABN$500,O$2,0),$A$655,INDEX(Техника!$H$1:$ABO$500,O$2,0),"З")</f>
        <v>0</v>
      </c>
      <c r="P660" s="50">
        <f>SUMIFS(INDEX(Техника!$F$1:$ABM$500,P$2,0),Техника!$F$4:$ABM$4,"Часы",INDEX(Техника!$G$1:$ABN$500,P$2,0),$A$655,INDEX(Техника!$H$1:$ABO$500,P$2,0),"З")</f>
        <v>0</v>
      </c>
      <c r="Q660" s="50">
        <f>SUMIFS(INDEX(Техника!$F$1:$ABM$500,Q$2,0),Техника!$F$4:$ABM$4,"Часы",INDEX(Техника!$G$1:$ABN$500,Q$2,0),$A$655,INDEX(Техника!$H$1:$ABO$500,Q$2,0),"З")</f>
        <v>0</v>
      </c>
      <c r="R660" s="50">
        <f>SUMIFS(INDEX(Техника!$F$1:$ABM$500,R$2,0),Техника!$F$4:$ABM$4,"Часы",INDEX(Техника!$G$1:$ABN$500,R$2,0),$A$655,INDEX(Техника!$H$1:$ABO$500,R$2,0),"З")</f>
        <v>0</v>
      </c>
      <c r="S660" s="50">
        <f>SUMIFS(INDEX(Техника!$F$1:$ABM$500,S$2,0),Техника!$F$4:$ABM$4,"Часы",INDEX(Техника!$G$1:$ABN$500,S$2,0),$A$655,INDEX(Техника!$H$1:$ABO$500,S$2,0),"З")</f>
        <v>0</v>
      </c>
      <c r="T660" s="50">
        <f>SUMIFS(INDEX(Техника!$F$1:$ABM$500,T$2,0),Техника!$F$4:$ABM$4,"Часы",INDEX(Техника!$G$1:$ABN$500,T$2,0),$A$655,INDEX(Техника!$H$1:$ABO$500,T$2,0),"З")</f>
        <v>0</v>
      </c>
      <c r="U660" s="50">
        <f>SUMIFS(INDEX(Техника!$F$1:$ABM$500,U$2,0),Техника!$F$4:$ABM$4,"Часы",INDEX(Техника!$G$1:$ABN$500,U$2,0),$A$655,INDEX(Техника!$H$1:$ABO$500,U$2,0),"З")</f>
        <v>0</v>
      </c>
      <c r="V660" s="50">
        <f>SUMIFS(INDEX(Техника!$F$1:$ABM$500,V$2,0),Техника!$F$4:$ABM$4,"Часы",INDEX(Техника!$G$1:$ABN$500,V$2,0),$A$655,INDEX(Техника!$H$1:$ABO$500,V$2,0),"З")</f>
        <v>0</v>
      </c>
      <c r="W660" s="50">
        <f>SUMIFS(INDEX(Техника!$F$1:$ABM$500,W$2,0),Техника!$F$4:$ABM$4,"Часы",INDEX(Техника!$G$1:$ABN$500,W$2,0),$A$655,INDEX(Техника!$H$1:$ABO$500,W$2,0),"З")</f>
        <v>0</v>
      </c>
      <c r="X660" s="50">
        <f>SUMIFS(INDEX(Техника!$F$1:$ABM$500,X$2,0),Техника!$F$4:$ABM$4,"Часы",INDEX(Техника!$G$1:$ABN$500,X$2,0),$A$655,INDEX(Техника!$H$1:$ABO$500,X$2,0),"З")</f>
        <v>0</v>
      </c>
      <c r="Y660" s="50">
        <f>SUMIFS(INDEX(Техника!$F$1:$ABM$500,Y$2,0),Техника!$F$4:$ABM$4,"Часы",INDEX(Техника!$G$1:$ABN$500,Y$2,0),$A$655,INDEX(Техника!$H$1:$ABO$500,Y$2,0),"З")</f>
        <v>0</v>
      </c>
      <c r="Z660" s="50">
        <f>SUMIFS(INDEX(Техника!$F$1:$ABM$500,Z$2,0),Техника!$F$4:$ABM$4,"Часы",INDEX(Техника!$G$1:$ABN$500,Z$2,0),$A$655,INDEX(Техника!$H$1:$ABO$500,Z$2,0),"З")</f>
        <v>0</v>
      </c>
      <c r="AA660" s="50">
        <f>SUMIFS(INDEX(Техника!$F$1:$ABM$500,AA$2,0),Техника!$F$4:$ABM$4,"Часы",INDEX(Техника!$G$1:$ABN$500,AA$2,0),$A$655,INDEX(Техника!$H$1:$ABO$500,AA$2,0),"З")</f>
        <v>0</v>
      </c>
      <c r="AB660" s="50">
        <f>SUMIFS(INDEX(Техника!$F$1:$ABM$500,AB$2,0),Техника!$F$4:$ABM$4,"Часы",INDEX(Техника!$G$1:$ABN$500,AB$2,0),$A$655,INDEX(Техника!$H$1:$ABO$500,AB$2,0),"З")</f>
        <v>0</v>
      </c>
    </row>
    <row r="661" spans="1:28" ht="7.95" customHeight="1" x14ac:dyDescent="0.3">
      <c r="A661" s="38"/>
      <c r="B661" s="39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</row>
    <row r="662" spans="1:28" ht="25.05" customHeight="1" collapsed="1" x14ac:dyDescent="0.3">
      <c r="A662" s="32">
        <v>95</v>
      </c>
      <c r="B662" s="32" t="s">
        <v>96</v>
      </c>
      <c r="C662" s="49">
        <f>SUM(C663:C667)</f>
        <v>0</v>
      </c>
      <c r="D662" s="49">
        <f>SUM(D663:D667)</f>
        <v>0</v>
      </c>
      <c r="E662" s="49">
        <f>SUM(E663:E667)</f>
        <v>0</v>
      </c>
      <c r="F662" s="49">
        <f>SUM(F663:F667)</f>
        <v>0</v>
      </c>
      <c r="G662" s="49">
        <f>SUM(G663:G667)</f>
        <v>0</v>
      </c>
      <c r="H662" s="49">
        <f>SUM(H663:H667)</f>
        <v>0</v>
      </c>
      <c r="I662" s="49">
        <f>SUM(I663:I667)</f>
        <v>0</v>
      </c>
      <c r="J662" s="49">
        <f>SUM(J663:J667)</f>
        <v>0</v>
      </c>
      <c r="K662" s="49">
        <f>SUM(K663:K667)</f>
        <v>0</v>
      </c>
      <c r="L662" s="49">
        <f>SUM(L663:L667)</f>
        <v>0</v>
      </c>
      <c r="M662" s="49">
        <f>SUM(M663:M667)</f>
        <v>0</v>
      </c>
      <c r="N662" s="49">
        <f>SUM(N663:N667)</f>
        <v>0</v>
      </c>
      <c r="O662" s="49">
        <f>SUM(O663:O667)</f>
        <v>0</v>
      </c>
      <c r="P662" s="49">
        <f>SUM(P663:P667)</f>
        <v>0</v>
      </c>
      <c r="Q662" s="49">
        <f>SUM(Q663:Q667)</f>
        <v>0</v>
      </c>
      <c r="R662" s="49">
        <f>SUM(R663:R667)</f>
        <v>0</v>
      </c>
      <c r="S662" s="49">
        <f>SUM(S663:S667)</f>
        <v>0</v>
      </c>
      <c r="T662" s="49">
        <f>SUM(T663:T667)</f>
        <v>0</v>
      </c>
      <c r="U662" s="49">
        <f>SUM(U663:U667)</f>
        <v>0</v>
      </c>
      <c r="V662" s="49">
        <f>SUM(V663:V667)</f>
        <v>0</v>
      </c>
      <c r="W662" s="49">
        <f>SUM(W663:W667)</f>
        <v>0</v>
      </c>
      <c r="X662" s="49">
        <f>SUM(X663:X667)</f>
        <v>0</v>
      </c>
      <c r="Y662" s="49">
        <f>SUM(Y663:Y667)</f>
        <v>0</v>
      </c>
      <c r="Z662" s="49">
        <f>SUM(Z663:Z667)</f>
        <v>0</v>
      </c>
      <c r="AA662" s="49">
        <f>SUM(AA663:AA667)</f>
        <v>0</v>
      </c>
      <c r="AB662" s="49">
        <f>SUM(AB663:AB667)</f>
        <v>0</v>
      </c>
    </row>
    <row r="663" spans="1:28" hidden="1" outlineLevel="1" x14ac:dyDescent="0.3">
      <c r="A663" s="33" t="s">
        <v>246</v>
      </c>
      <c r="B663" s="34" t="s">
        <v>274</v>
      </c>
      <c r="C663" s="50">
        <f>SUMIFS(INDEX(Техника!$F$1:$ABM$500,C$2,0),Техника!$F$4:$ABM$4,"Часы",INDEX(Техника!$G$1:$ABN$500,C$2,0),$A$662,INDEX(Техника!$H$1:$ABO$500,C$2,0),"М")</f>
        <v>0</v>
      </c>
      <c r="D663" s="50">
        <f>SUMIFS(INDEX(Техника!$F$1:$ABM$500,D$2,0),Техника!$F$4:$ABM$4,"Часы",INDEX(Техника!$G$1:$ABN$500,D$2,0),$A$662,INDEX(Техника!$H$1:$ABO$500,D$2,0),"М")</f>
        <v>0</v>
      </c>
      <c r="E663" s="50">
        <f>SUMIFS(INDEX(Техника!$F$1:$ABM$500,E$2,0),Техника!$F$4:$ABM$4,"Часы",INDEX(Техника!$G$1:$ABN$500,E$2,0),$A$662,INDEX(Техника!$H$1:$ABO$500,E$2,0),"М")</f>
        <v>0</v>
      </c>
      <c r="F663" s="50">
        <f>SUMIFS(INDEX(Техника!$F$1:$ABM$500,F$2,0),Техника!$F$4:$ABM$4,"Часы",INDEX(Техника!$G$1:$ABN$500,F$2,0),$A$662,INDEX(Техника!$H$1:$ABO$500,F$2,0),"М")</f>
        <v>0</v>
      </c>
      <c r="G663" s="50">
        <f>SUMIFS(INDEX(Техника!$F$1:$ABM$500,G$2,0),Техника!$F$4:$ABM$4,"Часы",INDEX(Техника!$G$1:$ABN$500,G$2,0),$A$662,INDEX(Техника!$H$1:$ABO$500,G$2,0),"М")</f>
        <v>0</v>
      </c>
      <c r="H663" s="50">
        <f>SUMIFS(INDEX(Техника!$F$1:$ABM$500,H$2,0),Техника!$F$4:$ABM$4,"Часы",INDEX(Техника!$G$1:$ABN$500,H$2,0),$A$662,INDEX(Техника!$H$1:$ABO$500,H$2,0),"М")</f>
        <v>0</v>
      </c>
      <c r="I663" s="50">
        <f>SUMIFS(INDEX(Техника!$F$1:$ABM$500,I$2,0),Техника!$F$4:$ABM$4,"Часы",INDEX(Техника!$G$1:$ABN$500,I$2,0),$A$662,INDEX(Техника!$H$1:$ABO$500,I$2,0),"М")</f>
        <v>0</v>
      </c>
      <c r="J663" s="50">
        <f>SUMIFS(INDEX(Техника!$F$1:$ABM$500,J$2,0),Техника!$F$4:$ABM$4,"Часы",INDEX(Техника!$G$1:$ABN$500,J$2,0),$A$662,INDEX(Техника!$H$1:$ABO$500,J$2,0),"М")</f>
        <v>0</v>
      </c>
      <c r="K663" s="50">
        <f>SUMIFS(INDEX(Техника!$F$1:$ABM$500,K$2,0),Техника!$F$4:$ABM$4,"Часы",INDEX(Техника!$G$1:$ABN$500,K$2,0),$A$662,INDEX(Техника!$H$1:$ABO$500,K$2,0),"М")</f>
        <v>0</v>
      </c>
      <c r="L663" s="50">
        <f>SUMIFS(INDEX(Техника!$F$1:$ABM$500,L$2,0),Техника!$F$4:$ABM$4,"Часы",INDEX(Техника!$G$1:$ABN$500,L$2,0),$A$662,INDEX(Техника!$H$1:$ABO$500,L$2,0),"М")</f>
        <v>0</v>
      </c>
      <c r="M663" s="50">
        <f>SUMIFS(INDEX(Техника!$F$1:$ABM$500,M$2,0),Техника!$F$4:$ABM$4,"Часы",INDEX(Техника!$G$1:$ABN$500,M$2,0),$A$662,INDEX(Техника!$H$1:$ABO$500,M$2,0),"М")</f>
        <v>0</v>
      </c>
      <c r="N663" s="50">
        <f>SUMIFS(INDEX(Техника!$F$1:$ABM$500,N$2,0),Техника!$F$4:$ABM$4,"Часы",INDEX(Техника!$G$1:$ABN$500,N$2,0),$A$662,INDEX(Техника!$H$1:$ABO$500,N$2,0),"М")</f>
        <v>0</v>
      </c>
      <c r="O663" s="50">
        <f>SUMIFS(INDEX(Техника!$F$1:$ABM$500,O$2,0),Техника!$F$4:$ABM$4,"Часы",INDEX(Техника!$G$1:$ABN$500,O$2,0),$A$662,INDEX(Техника!$H$1:$ABO$500,O$2,0),"М")</f>
        <v>0</v>
      </c>
      <c r="P663" s="50">
        <f>SUMIFS(INDEX(Техника!$F$1:$ABM$500,P$2,0),Техника!$F$4:$ABM$4,"Часы",INDEX(Техника!$G$1:$ABN$500,P$2,0),$A$662,INDEX(Техника!$H$1:$ABO$500,P$2,0),"М")</f>
        <v>0</v>
      </c>
      <c r="Q663" s="50">
        <f>SUMIFS(INDEX(Техника!$F$1:$ABM$500,Q$2,0),Техника!$F$4:$ABM$4,"Часы",INDEX(Техника!$G$1:$ABN$500,Q$2,0),$A$662,INDEX(Техника!$H$1:$ABO$500,Q$2,0),"М")</f>
        <v>0</v>
      </c>
      <c r="R663" s="50">
        <f>SUMIFS(INDEX(Техника!$F$1:$ABM$500,R$2,0),Техника!$F$4:$ABM$4,"Часы",INDEX(Техника!$G$1:$ABN$500,R$2,0),$A$662,INDEX(Техника!$H$1:$ABO$500,R$2,0),"М")</f>
        <v>0</v>
      </c>
      <c r="S663" s="50">
        <f>SUMIFS(INDEX(Техника!$F$1:$ABM$500,S$2,0),Техника!$F$4:$ABM$4,"Часы",INDEX(Техника!$G$1:$ABN$500,S$2,0),$A$662,INDEX(Техника!$H$1:$ABO$500,S$2,0),"М")</f>
        <v>0</v>
      </c>
      <c r="T663" s="50">
        <f>SUMIFS(INDEX(Техника!$F$1:$ABM$500,T$2,0),Техника!$F$4:$ABM$4,"Часы",INDEX(Техника!$G$1:$ABN$500,T$2,0),$A$662,INDEX(Техника!$H$1:$ABO$500,T$2,0),"М")</f>
        <v>0</v>
      </c>
      <c r="U663" s="50">
        <f>SUMIFS(INDEX(Техника!$F$1:$ABM$500,U$2,0),Техника!$F$4:$ABM$4,"Часы",INDEX(Техника!$G$1:$ABN$500,U$2,0),$A$662,INDEX(Техника!$H$1:$ABO$500,U$2,0),"М")</f>
        <v>0</v>
      </c>
      <c r="V663" s="50">
        <f>SUMIFS(INDEX(Техника!$F$1:$ABM$500,V$2,0),Техника!$F$4:$ABM$4,"Часы",INDEX(Техника!$G$1:$ABN$500,V$2,0),$A$662,INDEX(Техника!$H$1:$ABO$500,V$2,0),"М")</f>
        <v>0</v>
      </c>
      <c r="W663" s="50">
        <f>SUMIFS(INDEX(Техника!$F$1:$ABM$500,W$2,0),Техника!$F$4:$ABM$4,"Часы",INDEX(Техника!$G$1:$ABN$500,W$2,0),$A$662,INDEX(Техника!$H$1:$ABO$500,W$2,0),"М")</f>
        <v>0</v>
      </c>
      <c r="X663" s="50">
        <f>SUMIFS(INDEX(Техника!$F$1:$ABM$500,X$2,0),Техника!$F$4:$ABM$4,"Часы",INDEX(Техника!$G$1:$ABN$500,X$2,0),$A$662,INDEX(Техника!$H$1:$ABO$500,X$2,0),"М")</f>
        <v>0</v>
      </c>
      <c r="Y663" s="50">
        <f>SUMIFS(INDEX(Техника!$F$1:$ABM$500,Y$2,0),Техника!$F$4:$ABM$4,"Часы",INDEX(Техника!$G$1:$ABN$500,Y$2,0),$A$662,INDEX(Техника!$H$1:$ABO$500,Y$2,0),"М")</f>
        <v>0</v>
      </c>
      <c r="Z663" s="50">
        <f>SUMIFS(INDEX(Техника!$F$1:$ABM$500,Z$2,0),Техника!$F$4:$ABM$4,"Часы",INDEX(Техника!$G$1:$ABN$500,Z$2,0),$A$662,INDEX(Техника!$H$1:$ABO$500,Z$2,0),"М")</f>
        <v>0</v>
      </c>
      <c r="AA663" s="50">
        <f>SUMIFS(INDEX(Техника!$F$1:$ABM$500,AA$2,0),Техника!$F$4:$ABM$4,"Часы",INDEX(Техника!$G$1:$ABN$500,AA$2,0),$A$662,INDEX(Техника!$H$1:$ABO$500,AA$2,0),"М")</f>
        <v>0</v>
      </c>
      <c r="AB663" s="50">
        <f>SUMIFS(INDEX(Техника!$F$1:$ABM$500,AB$2,0),Техника!$F$4:$ABM$4,"Часы",INDEX(Техника!$G$1:$ABN$500,AB$2,0),$A$662,INDEX(Техника!$H$1:$ABO$500,AB$2,0),"М")</f>
        <v>0</v>
      </c>
    </row>
    <row r="664" spans="1:28" hidden="1" outlineLevel="1" x14ac:dyDescent="0.3">
      <c r="A664" s="33" t="s">
        <v>244</v>
      </c>
      <c r="B664" s="34" t="s">
        <v>275</v>
      </c>
      <c r="C664" s="50">
        <f>SUMIFS(INDEX(Техника!$F$1:$ABM$500,C$2,0),Техника!$F$4:$ABM$4,"Часы",INDEX(Техника!$G$1:$ABN$500,C$2,0),$A$662,INDEX(Техника!$H$1:$ABO$500,C$2,0),"Д")</f>
        <v>0</v>
      </c>
      <c r="D664" s="50">
        <f>SUMIFS(INDEX(Техника!$F$1:$ABM$500,D$2,0),Техника!$F$4:$ABM$4,"Часы",INDEX(Техника!$G$1:$ABN$500,D$2,0),$A$662,INDEX(Техника!$H$1:$ABO$500,D$2,0),"Д")</f>
        <v>0</v>
      </c>
      <c r="E664" s="50">
        <f>SUMIFS(INDEX(Техника!$F$1:$ABM$500,E$2,0),Техника!$F$4:$ABM$4,"Часы",INDEX(Техника!$G$1:$ABN$500,E$2,0),$A$662,INDEX(Техника!$H$1:$ABO$500,E$2,0),"Д")</f>
        <v>0</v>
      </c>
      <c r="F664" s="50">
        <f>SUMIFS(INDEX(Техника!$F$1:$ABM$500,F$2,0),Техника!$F$4:$ABM$4,"Часы",INDEX(Техника!$G$1:$ABN$500,F$2,0),$A$662,INDEX(Техника!$H$1:$ABO$500,F$2,0),"Д")</f>
        <v>0</v>
      </c>
      <c r="G664" s="50">
        <f>SUMIFS(INDEX(Техника!$F$1:$ABM$500,G$2,0),Техника!$F$4:$ABM$4,"Часы",INDEX(Техника!$G$1:$ABN$500,G$2,0),$A$662,INDEX(Техника!$H$1:$ABO$500,G$2,0),"Д")</f>
        <v>0</v>
      </c>
      <c r="H664" s="50">
        <f>SUMIFS(INDEX(Техника!$F$1:$ABM$500,H$2,0),Техника!$F$4:$ABM$4,"Часы",INDEX(Техника!$G$1:$ABN$500,H$2,0),$A$662,INDEX(Техника!$H$1:$ABO$500,H$2,0),"Д")</f>
        <v>0</v>
      </c>
      <c r="I664" s="50">
        <f>SUMIFS(INDEX(Техника!$F$1:$ABM$500,I$2,0),Техника!$F$4:$ABM$4,"Часы",INDEX(Техника!$G$1:$ABN$500,I$2,0),$A$662,INDEX(Техника!$H$1:$ABO$500,I$2,0),"Д")</f>
        <v>0</v>
      </c>
      <c r="J664" s="50">
        <f>SUMIFS(INDEX(Техника!$F$1:$ABM$500,J$2,0),Техника!$F$4:$ABM$4,"Часы",INDEX(Техника!$G$1:$ABN$500,J$2,0),$A$662,INDEX(Техника!$H$1:$ABO$500,J$2,0),"Д")</f>
        <v>0</v>
      </c>
      <c r="K664" s="50">
        <f>SUMIFS(INDEX(Техника!$F$1:$ABM$500,K$2,0),Техника!$F$4:$ABM$4,"Часы",INDEX(Техника!$G$1:$ABN$500,K$2,0),$A$662,INDEX(Техника!$H$1:$ABO$500,K$2,0),"Д")</f>
        <v>0</v>
      </c>
      <c r="L664" s="50">
        <f>SUMIFS(INDEX(Техника!$F$1:$ABM$500,L$2,0),Техника!$F$4:$ABM$4,"Часы",INDEX(Техника!$G$1:$ABN$500,L$2,0),$A$662,INDEX(Техника!$H$1:$ABO$500,L$2,0),"Д")</f>
        <v>0</v>
      </c>
      <c r="M664" s="50">
        <f>SUMIFS(INDEX(Техника!$F$1:$ABM$500,M$2,0),Техника!$F$4:$ABM$4,"Часы",INDEX(Техника!$G$1:$ABN$500,M$2,0),$A$662,INDEX(Техника!$H$1:$ABO$500,M$2,0),"Д")</f>
        <v>0</v>
      </c>
      <c r="N664" s="50">
        <f>SUMIFS(INDEX(Техника!$F$1:$ABM$500,N$2,0),Техника!$F$4:$ABM$4,"Часы",INDEX(Техника!$G$1:$ABN$500,N$2,0),$A$662,INDEX(Техника!$H$1:$ABO$500,N$2,0),"Д")</f>
        <v>0</v>
      </c>
      <c r="O664" s="50">
        <f>SUMIFS(INDEX(Техника!$F$1:$ABM$500,O$2,0),Техника!$F$4:$ABM$4,"Часы",INDEX(Техника!$G$1:$ABN$500,O$2,0),$A$662,INDEX(Техника!$H$1:$ABO$500,O$2,0),"Д")</f>
        <v>0</v>
      </c>
      <c r="P664" s="50">
        <f>SUMIFS(INDEX(Техника!$F$1:$ABM$500,P$2,0),Техника!$F$4:$ABM$4,"Часы",INDEX(Техника!$G$1:$ABN$500,P$2,0),$A$662,INDEX(Техника!$H$1:$ABO$500,P$2,0),"Д")</f>
        <v>0</v>
      </c>
      <c r="Q664" s="50">
        <f>SUMIFS(INDEX(Техника!$F$1:$ABM$500,Q$2,0),Техника!$F$4:$ABM$4,"Часы",INDEX(Техника!$G$1:$ABN$500,Q$2,0),$A$662,INDEX(Техника!$H$1:$ABO$500,Q$2,0),"Д")</f>
        <v>0</v>
      </c>
      <c r="R664" s="50">
        <f>SUMIFS(INDEX(Техника!$F$1:$ABM$500,R$2,0),Техника!$F$4:$ABM$4,"Часы",INDEX(Техника!$G$1:$ABN$500,R$2,0),$A$662,INDEX(Техника!$H$1:$ABO$500,R$2,0),"Д")</f>
        <v>0</v>
      </c>
      <c r="S664" s="50">
        <f>SUMIFS(INDEX(Техника!$F$1:$ABM$500,S$2,0),Техника!$F$4:$ABM$4,"Часы",INDEX(Техника!$G$1:$ABN$500,S$2,0),$A$662,INDEX(Техника!$H$1:$ABO$500,S$2,0),"Д")</f>
        <v>0</v>
      </c>
      <c r="T664" s="50">
        <f>SUMIFS(INDEX(Техника!$F$1:$ABM$500,T$2,0),Техника!$F$4:$ABM$4,"Часы",INDEX(Техника!$G$1:$ABN$500,T$2,0),$A$662,INDEX(Техника!$H$1:$ABO$500,T$2,0),"Д")</f>
        <v>0</v>
      </c>
      <c r="U664" s="50">
        <f>SUMIFS(INDEX(Техника!$F$1:$ABM$500,U$2,0),Техника!$F$4:$ABM$4,"Часы",INDEX(Техника!$G$1:$ABN$500,U$2,0),$A$662,INDEX(Техника!$H$1:$ABO$500,U$2,0),"Д")</f>
        <v>0</v>
      </c>
      <c r="V664" s="50">
        <f>SUMIFS(INDEX(Техника!$F$1:$ABM$500,V$2,0),Техника!$F$4:$ABM$4,"Часы",INDEX(Техника!$G$1:$ABN$500,V$2,0),$A$662,INDEX(Техника!$H$1:$ABO$500,V$2,0),"Д")</f>
        <v>0</v>
      </c>
      <c r="W664" s="50">
        <f>SUMIFS(INDEX(Техника!$F$1:$ABM$500,W$2,0),Техника!$F$4:$ABM$4,"Часы",INDEX(Техника!$G$1:$ABN$500,W$2,0),$A$662,INDEX(Техника!$H$1:$ABO$500,W$2,0),"Д")</f>
        <v>0</v>
      </c>
      <c r="X664" s="50">
        <f>SUMIFS(INDEX(Техника!$F$1:$ABM$500,X$2,0),Техника!$F$4:$ABM$4,"Часы",INDEX(Техника!$G$1:$ABN$500,X$2,0),$A$662,INDEX(Техника!$H$1:$ABO$500,X$2,0),"Д")</f>
        <v>0</v>
      </c>
      <c r="Y664" s="50">
        <f>SUMIFS(INDEX(Техника!$F$1:$ABM$500,Y$2,0),Техника!$F$4:$ABM$4,"Часы",INDEX(Техника!$G$1:$ABN$500,Y$2,0),$A$662,INDEX(Техника!$H$1:$ABO$500,Y$2,0),"Д")</f>
        <v>0</v>
      </c>
      <c r="Z664" s="50">
        <f>SUMIFS(INDEX(Техника!$F$1:$ABM$500,Z$2,0),Техника!$F$4:$ABM$4,"Часы",INDEX(Техника!$G$1:$ABN$500,Z$2,0),$A$662,INDEX(Техника!$H$1:$ABO$500,Z$2,0),"Д")</f>
        <v>0</v>
      </c>
      <c r="AA664" s="50">
        <f>SUMIFS(INDEX(Техника!$F$1:$ABM$500,AA$2,0),Техника!$F$4:$ABM$4,"Часы",INDEX(Техника!$G$1:$ABN$500,AA$2,0),$A$662,INDEX(Техника!$H$1:$ABO$500,AA$2,0),"Д")</f>
        <v>0</v>
      </c>
      <c r="AB664" s="50">
        <f>SUMIFS(INDEX(Техника!$F$1:$ABM$500,AB$2,0),Техника!$F$4:$ABM$4,"Часы",INDEX(Техника!$G$1:$ABN$500,AB$2,0),$A$662,INDEX(Техника!$H$1:$ABO$500,AB$2,0),"Д")</f>
        <v>0</v>
      </c>
    </row>
    <row r="665" spans="1:28" hidden="1" outlineLevel="1" x14ac:dyDescent="0.3">
      <c r="A665" s="33" t="s">
        <v>276</v>
      </c>
      <c r="B665" s="34" t="s">
        <v>277</v>
      </c>
      <c r="C665" s="50">
        <f>SUMIFS(INDEX(Техника!$F$1:$ABM$500,C$2,0),Техника!$F$4:$ABM$4,"Часы",INDEX(Техника!$G$1:$ABN$500,C$2,0),$A$662,INDEX(Техника!$H$1:$ABO$500,C$2,0),"П")</f>
        <v>0</v>
      </c>
      <c r="D665" s="50">
        <f>SUMIFS(INDEX(Техника!$F$1:$ABM$500,D$2,0),Техника!$F$4:$ABM$4,"Часы",INDEX(Техника!$G$1:$ABN$500,D$2,0),$A$662,INDEX(Техника!$H$1:$ABO$500,D$2,0),"П")</f>
        <v>0</v>
      </c>
      <c r="E665" s="50">
        <f>SUMIFS(INDEX(Техника!$F$1:$ABM$500,E$2,0),Техника!$F$4:$ABM$4,"Часы",INDEX(Техника!$G$1:$ABN$500,E$2,0),$A$662,INDEX(Техника!$H$1:$ABO$500,E$2,0),"П")</f>
        <v>0</v>
      </c>
      <c r="F665" s="50">
        <f>SUMIFS(INDEX(Техника!$F$1:$ABM$500,F$2,0),Техника!$F$4:$ABM$4,"Часы",INDEX(Техника!$G$1:$ABN$500,F$2,0),$A$662,INDEX(Техника!$H$1:$ABO$500,F$2,0),"П")</f>
        <v>0</v>
      </c>
      <c r="G665" s="50">
        <f>SUMIFS(INDEX(Техника!$F$1:$ABM$500,G$2,0),Техника!$F$4:$ABM$4,"Часы",INDEX(Техника!$G$1:$ABN$500,G$2,0),$A$662,INDEX(Техника!$H$1:$ABO$500,G$2,0),"П")</f>
        <v>0</v>
      </c>
      <c r="H665" s="50">
        <f>SUMIFS(INDEX(Техника!$F$1:$ABM$500,H$2,0),Техника!$F$4:$ABM$4,"Часы",INDEX(Техника!$G$1:$ABN$500,H$2,0),$A$662,INDEX(Техника!$H$1:$ABO$500,H$2,0),"П")</f>
        <v>0</v>
      </c>
      <c r="I665" s="50">
        <f>SUMIFS(INDEX(Техника!$F$1:$ABM$500,I$2,0),Техника!$F$4:$ABM$4,"Часы",INDEX(Техника!$G$1:$ABN$500,I$2,0),$A$662,INDEX(Техника!$H$1:$ABO$500,I$2,0),"П")</f>
        <v>0</v>
      </c>
      <c r="J665" s="50">
        <f>SUMIFS(INDEX(Техника!$F$1:$ABM$500,J$2,0),Техника!$F$4:$ABM$4,"Часы",INDEX(Техника!$G$1:$ABN$500,J$2,0),$A$662,INDEX(Техника!$H$1:$ABO$500,J$2,0),"П")</f>
        <v>0</v>
      </c>
      <c r="K665" s="50">
        <f>SUMIFS(INDEX(Техника!$F$1:$ABM$500,K$2,0),Техника!$F$4:$ABM$4,"Часы",INDEX(Техника!$G$1:$ABN$500,K$2,0),$A$662,INDEX(Техника!$H$1:$ABO$500,K$2,0),"П")</f>
        <v>0</v>
      </c>
      <c r="L665" s="50">
        <f>SUMIFS(INDEX(Техника!$F$1:$ABM$500,L$2,0),Техника!$F$4:$ABM$4,"Часы",INDEX(Техника!$G$1:$ABN$500,L$2,0),$A$662,INDEX(Техника!$H$1:$ABO$500,L$2,0),"П")</f>
        <v>0</v>
      </c>
      <c r="M665" s="50">
        <f>SUMIFS(INDEX(Техника!$F$1:$ABM$500,M$2,0),Техника!$F$4:$ABM$4,"Часы",INDEX(Техника!$G$1:$ABN$500,M$2,0),$A$662,INDEX(Техника!$H$1:$ABO$500,M$2,0),"П")</f>
        <v>0</v>
      </c>
      <c r="N665" s="50">
        <f>SUMIFS(INDEX(Техника!$F$1:$ABM$500,N$2,0),Техника!$F$4:$ABM$4,"Часы",INDEX(Техника!$G$1:$ABN$500,N$2,0),$A$662,INDEX(Техника!$H$1:$ABO$500,N$2,0),"П")</f>
        <v>0</v>
      </c>
      <c r="O665" s="50">
        <f>SUMIFS(INDEX(Техника!$F$1:$ABM$500,O$2,0),Техника!$F$4:$ABM$4,"Часы",INDEX(Техника!$G$1:$ABN$500,O$2,0),$A$662,INDEX(Техника!$H$1:$ABO$500,O$2,0),"П")</f>
        <v>0</v>
      </c>
      <c r="P665" s="50">
        <f>SUMIFS(INDEX(Техника!$F$1:$ABM$500,P$2,0),Техника!$F$4:$ABM$4,"Часы",INDEX(Техника!$G$1:$ABN$500,P$2,0),$A$662,INDEX(Техника!$H$1:$ABO$500,P$2,0),"П")</f>
        <v>0</v>
      </c>
      <c r="Q665" s="50">
        <f>SUMIFS(INDEX(Техника!$F$1:$ABM$500,Q$2,0),Техника!$F$4:$ABM$4,"Часы",INDEX(Техника!$G$1:$ABN$500,Q$2,0),$A$662,INDEX(Техника!$H$1:$ABO$500,Q$2,0),"П")</f>
        <v>0</v>
      </c>
      <c r="R665" s="50">
        <f>SUMIFS(INDEX(Техника!$F$1:$ABM$500,R$2,0),Техника!$F$4:$ABM$4,"Часы",INDEX(Техника!$G$1:$ABN$500,R$2,0),$A$662,INDEX(Техника!$H$1:$ABO$500,R$2,0),"П")</f>
        <v>0</v>
      </c>
      <c r="S665" s="50">
        <f>SUMIFS(INDEX(Техника!$F$1:$ABM$500,S$2,0),Техника!$F$4:$ABM$4,"Часы",INDEX(Техника!$G$1:$ABN$500,S$2,0),$A$662,INDEX(Техника!$H$1:$ABO$500,S$2,0),"П")</f>
        <v>0</v>
      </c>
      <c r="T665" s="50">
        <f>SUMIFS(INDEX(Техника!$F$1:$ABM$500,T$2,0),Техника!$F$4:$ABM$4,"Часы",INDEX(Техника!$G$1:$ABN$500,T$2,0),$A$662,INDEX(Техника!$H$1:$ABO$500,T$2,0),"П")</f>
        <v>0</v>
      </c>
      <c r="U665" s="50">
        <f>SUMIFS(INDEX(Техника!$F$1:$ABM$500,U$2,0),Техника!$F$4:$ABM$4,"Часы",INDEX(Техника!$G$1:$ABN$500,U$2,0),$A$662,INDEX(Техника!$H$1:$ABO$500,U$2,0),"П")</f>
        <v>0</v>
      </c>
      <c r="V665" s="50">
        <f>SUMIFS(INDEX(Техника!$F$1:$ABM$500,V$2,0),Техника!$F$4:$ABM$4,"Часы",INDEX(Техника!$G$1:$ABN$500,V$2,0),$A$662,INDEX(Техника!$H$1:$ABO$500,V$2,0),"П")</f>
        <v>0</v>
      </c>
      <c r="W665" s="50">
        <f>SUMIFS(INDEX(Техника!$F$1:$ABM$500,W$2,0),Техника!$F$4:$ABM$4,"Часы",INDEX(Техника!$G$1:$ABN$500,W$2,0),$A$662,INDEX(Техника!$H$1:$ABO$500,W$2,0),"П")</f>
        <v>0</v>
      </c>
      <c r="X665" s="50">
        <f>SUMIFS(INDEX(Техника!$F$1:$ABM$500,X$2,0),Техника!$F$4:$ABM$4,"Часы",INDEX(Техника!$G$1:$ABN$500,X$2,0),$A$662,INDEX(Техника!$H$1:$ABO$500,X$2,0),"П")</f>
        <v>0</v>
      </c>
      <c r="Y665" s="50">
        <f>SUMIFS(INDEX(Техника!$F$1:$ABM$500,Y$2,0),Техника!$F$4:$ABM$4,"Часы",INDEX(Техника!$G$1:$ABN$500,Y$2,0),$A$662,INDEX(Техника!$H$1:$ABO$500,Y$2,0),"П")</f>
        <v>0</v>
      </c>
      <c r="Z665" s="50">
        <f>SUMIFS(INDEX(Техника!$F$1:$ABM$500,Z$2,0),Техника!$F$4:$ABM$4,"Часы",INDEX(Техника!$G$1:$ABN$500,Z$2,0),$A$662,INDEX(Техника!$H$1:$ABO$500,Z$2,0),"П")</f>
        <v>0</v>
      </c>
      <c r="AA665" s="50">
        <f>SUMIFS(INDEX(Техника!$F$1:$ABM$500,AA$2,0),Техника!$F$4:$ABM$4,"Часы",INDEX(Техника!$G$1:$ABN$500,AA$2,0),$A$662,INDEX(Техника!$H$1:$ABO$500,AA$2,0),"П")</f>
        <v>0</v>
      </c>
      <c r="AB665" s="50">
        <f>SUMIFS(INDEX(Техника!$F$1:$ABM$500,AB$2,0),Техника!$F$4:$ABM$4,"Часы",INDEX(Техника!$G$1:$ABN$500,AB$2,0),$A$662,INDEX(Техника!$H$1:$ABO$500,AB$2,0),"П")</f>
        <v>0</v>
      </c>
    </row>
    <row r="666" spans="1:28" hidden="1" outlineLevel="1" x14ac:dyDescent="0.3">
      <c r="A666" s="33" t="s">
        <v>243</v>
      </c>
      <c r="B666" s="34" t="s">
        <v>278</v>
      </c>
      <c r="C666" s="50">
        <f>SUMIFS(INDEX(Техника!$F$1:$ABM$500,C$2,0),Техника!$F$4:$ABM$4,"Часы",INDEX(Техника!$G$1:$ABN$500,C$2,0),$A$662,INDEX(Техника!$H$1:$ABO$500,C$2,0),"Л")</f>
        <v>0</v>
      </c>
      <c r="D666" s="50">
        <f>SUMIFS(INDEX(Техника!$F$1:$ABM$500,D$2,0),Техника!$F$4:$ABM$4,"Часы",INDEX(Техника!$G$1:$ABN$500,D$2,0),$A$662,INDEX(Техника!$H$1:$ABO$500,D$2,0),"Л")</f>
        <v>0</v>
      </c>
      <c r="E666" s="50">
        <f>SUMIFS(INDEX(Техника!$F$1:$ABM$500,E$2,0),Техника!$F$4:$ABM$4,"Часы",INDEX(Техника!$G$1:$ABN$500,E$2,0),$A$662,INDEX(Техника!$H$1:$ABO$500,E$2,0),"Л")</f>
        <v>0</v>
      </c>
      <c r="F666" s="50">
        <f>SUMIFS(INDEX(Техника!$F$1:$ABM$500,F$2,0),Техника!$F$4:$ABM$4,"Часы",INDEX(Техника!$G$1:$ABN$500,F$2,0),$A$662,INDEX(Техника!$H$1:$ABO$500,F$2,0),"Л")</f>
        <v>0</v>
      </c>
      <c r="G666" s="50">
        <f>SUMIFS(INDEX(Техника!$F$1:$ABM$500,G$2,0),Техника!$F$4:$ABM$4,"Часы",INDEX(Техника!$G$1:$ABN$500,G$2,0),$A$662,INDEX(Техника!$H$1:$ABO$500,G$2,0),"Л")</f>
        <v>0</v>
      </c>
      <c r="H666" s="50">
        <f>SUMIFS(INDEX(Техника!$F$1:$ABM$500,H$2,0),Техника!$F$4:$ABM$4,"Часы",INDEX(Техника!$G$1:$ABN$500,H$2,0),$A$662,INDEX(Техника!$H$1:$ABO$500,H$2,0),"Л")</f>
        <v>0</v>
      </c>
      <c r="I666" s="50">
        <f>SUMIFS(INDEX(Техника!$F$1:$ABM$500,I$2,0),Техника!$F$4:$ABM$4,"Часы",INDEX(Техника!$G$1:$ABN$500,I$2,0),$A$662,INDEX(Техника!$H$1:$ABO$500,I$2,0),"Л")</f>
        <v>0</v>
      </c>
      <c r="J666" s="50">
        <f>SUMIFS(INDEX(Техника!$F$1:$ABM$500,J$2,0),Техника!$F$4:$ABM$4,"Часы",INDEX(Техника!$G$1:$ABN$500,J$2,0),$A$662,INDEX(Техника!$H$1:$ABO$500,J$2,0),"Л")</f>
        <v>0</v>
      </c>
      <c r="K666" s="50">
        <f>SUMIFS(INDEX(Техника!$F$1:$ABM$500,K$2,0),Техника!$F$4:$ABM$4,"Часы",INDEX(Техника!$G$1:$ABN$500,K$2,0),$A$662,INDEX(Техника!$H$1:$ABO$500,K$2,0),"Л")</f>
        <v>0</v>
      </c>
      <c r="L666" s="50">
        <f>SUMIFS(INDEX(Техника!$F$1:$ABM$500,L$2,0),Техника!$F$4:$ABM$4,"Часы",INDEX(Техника!$G$1:$ABN$500,L$2,0),$A$662,INDEX(Техника!$H$1:$ABO$500,L$2,0),"Л")</f>
        <v>0</v>
      </c>
      <c r="M666" s="50">
        <f>SUMIFS(INDEX(Техника!$F$1:$ABM$500,M$2,0),Техника!$F$4:$ABM$4,"Часы",INDEX(Техника!$G$1:$ABN$500,M$2,0),$A$662,INDEX(Техника!$H$1:$ABO$500,M$2,0),"Л")</f>
        <v>0</v>
      </c>
      <c r="N666" s="50">
        <f>SUMIFS(INDEX(Техника!$F$1:$ABM$500,N$2,0),Техника!$F$4:$ABM$4,"Часы",INDEX(Техника!$G$1:$ABN$500,N$2,0),$A$662,INDEX(Техника!$H$1:$ABO$500,N$2,0),"Л")</f>
        <v>0</v>
      </c>
      <c r="O666" s="50">
        <f>SUMIFS(INDEX(Техника!$F$1:$ABM$500,O$2,0),Техника!$F$4:$ABM$4,"Часы",INDEX(Техника!$G$1:$ABN$500,O$2,0),$A$662,INDEX(Техника!$H$1:$ABO$500,O$2,0),"Л")</f>
        <v>0</v>
      </c>
      <c r="P666" s="50">
        <f>SUMIFS(INDEX(Техника!$F$1:$ABM$500,P$2,0),Техника!$F$4:$ABM$4,"Часы",INDEX(Техника!$G$1:$ABN$500,P$2,0),$A$662,INDEX(Техника!$H$1:$ABO$500,P$2,0),"Л")</f>
        <v>0</v>
      </c>
      <c r="Q666" s="50">
        <f>SUMIFS(INDEX(Техника!$F$1:$ABM$500,Q$2,0),Техника!$F$4:$ABM$4,"Часы",INDEX(Техника!$G$1:$ABN$500,Q$2,0),$A$662,INDEX(Техника!$H$1:$ABO$500,Q$2,0),"Л")</f>
        <v>0</v>
      </c>
      <c r="R666" s="50">
        <f>SUMIFS(INDEX(Техника!$F$1:$ABM$500,R$2,0),Техника!$F$4:$ABM$4,"Часы",INDEX(Техника!$G$1:$ABN$500,R$2,0),$A$662,INDEX(Техника!$H$1:$ABO$500,R$2,0),"Л")</f>
        <v>0</v>
      </c>
      <c r="S666" s="50">
        <f>SUMIFS(INDEX(Техника!$F$1:$ABM$500,S$2,0),Техника!$F$4:$ABM$4,"Часы",INDEX(Техника!$G$1:$ABN$500,S$2,0),$A$662,INDEX(Техника!$H$1:$ABO$500,S$2,0),"Л")</f>
        <v>0</v>
      </c>
      <c r="T666" s="50">
        <f>SUMIFS(INDEX(Техника!$F$1:$ABM$500,T$2,0),Техника!$F$4:$ABM$4,"Часы",INDEX(Техника!$G$1:$ABN$500,T$2,0),$A$662,INDEX(Техника!$H$1:$ABO$500,T$2,0),"Л")</f>
        <v>0</v>
      </c>
      <c r="U666" s="50">
        <f>SUMIFS(INDEX(Техника!$F$1:$ABM$500,U$2,0),Техника!$F$4:$ABM$4,"Часы",INDEX(Техника!$G$1:$ABN$500,U$2,0),$A$662,INDEX(Техника!$H$1:$ABO$500,U$2,0),"Л")</f>
        <v>0</v>
      </c>
      <c r="V666" s="50">
        <f>SUMIFS(INDEX(Техника!$F$1:$ABM$500,V$2,0),Техника!$F$4:$ABM$4,"Часы",INDEX(Техника!$G$1:$ABN$500,V$2,0),$A$662,INDEX(Техника!$H$1:$ABO$500,V$2,0),"Л")</f>
        <v>0</v>
      </c>
      <c r="W666" s="50">
        <f>SUMIFS(INDEX(Техника!$F$1:$ABM$500,W$2,0),Техника!$F$4:$ABM$4,"Часы",INDEX(Техника!$G$1:$ABN$500,W$2,0),$A$662,INDEX(Техника!$H$1:$ABO$500,W$2,0),"Л")</f>
        <v>0</v>
      </c>
      <c r="X666" s="50">
        <f>SUMIFS(INDEX(Техника!$F$1:$ABM$500,X$2,0),Техника!$F$4:$ABM$4,"Часы",INDEX(Техника!$G$1:$ABN$500,X$2,0),$A$662,INDEX(Техника!$H$1:$ABO$500,X$2,0),"Л")</f>
        <v>0</v>
      </c>
      <c r="Y666" s="50">
        <f>SUMIFS(INDEX(Техника!$F$1:$ABM$500,Y$2,0),Техника!$F$4:$ABM$4,"Часы",INDEX(Техника!$G$1:$ABN$500,Y$2,0),$A$662,INDEX(Техника!$H$1:$ABO$500,Y$2,0),"Л")</f>
        <v>0</v>
      </c>
      <c r="Z666" s="50">
        <f>SUMIFS(INDEX(Техника!$F$1:$ABM$500,Z$2,0),Техника!$F$4:$ABM$4,"Часы",INDEX(Техника!$G$1:$ABN$500,Z$2,0),$A$662,INDEX(Техника!$H$1:$ABO$500,Z$2,0),"Л")</f>
        <v>0</v>
      </c>
      <c r="AA666" s="50">
        <f>SUMIFS(INDEX(Техника!$F$1:$ABM$500,AA$2,0),Техника!$F$4:$ABM$4,"Часы",INDEX(Техника!$G$1:$ABN$500,AA$2,0),$A$662,INDEX(Техника!$H$1:$ABO$500,AA$2,0),"Л")</f>
        <v>0</v>
      </c>
      <c r="AB666" s="50">
        <f>SUMIFS(INDEX(Техника!$F$1:$ABM$500,AB$2,0),Техника!$F$4:$ABM$4,"Часы",INDEX(Техника!$G$1:$ABN$500,AB$2,0),$A$662,INDEX(Техника!$H$1:$ABO$500,AB$2,0),"Л")</f>
        <v>0</v>
      </c>
    </row>
    <row r="667" spans="1:28" hidden="1" outlineLevel="1" x14ac:dyDescent="0.3">
      <c r="A667" s="33" t="s">
        <v>245</v>
      </c>
      <c r="B667" s="34" t="s">
        <v>279</v>
      </c>
      <c r="C667" s="50">
        <f>SUMIFS(INDEX(Техника!$F$1:$ABM$500,C$2,0),Техника!$F$4:$ABM$4,"Часы",INDEX(Техника!$G$1:$ABN$500,C$2,0),$A$662,INDEX(Техника!$H$1:$ABO$500,C$2,0),"З")</f>
        <v>0</v>
      </c>
      <c r="D667" s="50">
        <f>SUMIFS(INDEX(Техника!$F$1:$ABM$500,D$2,0),Техника!$F$4:$ABM$4,"Часы",INDEX(Техника!$G$1:$ABN$500,D$2,0),$A$662,INDEX(Техника!$H$1:$ABO$500,D$2,0),"З")</f>
        <v>0</v>
      </c>
      <c r="E667" s="50">
        <f>SUMIFS(INDEX(Техника!$F$1:$ABM$500,E$2,0),Техника!$F$4:$ABM$4,"Часы",INDEX(Техника!$G$1:$ABN$500,E$2,0),$A$662,INDEX(Техника!$H$1:$ABO$500,E$2,0),"З")</f>
        <v>0</v>
      </c>
      <c r="F667" s="50">
        <f>SUMIFS(INDEX(Техника!$F$1:$ABM$500,F$2,0),Техника!$F$4:$ABM$4,"Часы",INDEX(Техника!$G$1:$ABN$500,F$2,0),$A$662,INDEX(Техника!$H$1:$ABO$500,F$2,0),"З")</f>
        <v>0</v>
      </c>
      <c r="G667" s="50">
        <f>SUMIFS(INDEX(Техника!$F$1:$ABM$500,G$2,0),Техника!$F$4:$ABM$4,"Часы",INDEX(Техника!$G$1:$ABN$500,G$2,0),$A$662,INDEX(Техника!$H$1:$ABO$500,G$2,0),"З")</f>
        <v>0</v>
      </c>
      <c r="H667" s="50">
        <f>SUMIFS(INDEX(Техника!$F$1:$ABM$500,H$2,0),Техника!$F$4:$ABM$4,"Часы",INDEX(Техника!$G$1:$ABN$500,H$2,0),$A$662,INDEX(Техника!$H$1:$ABO$500,H$2,0),"З")</f>
        <v>0</v>
      </c>
      <c r="I667" s="50">
        <f>SUMIFS(INDEX(Техника!$F$1:$ABM$500,I$2,0),Техника!$F$4:$ABM$4,"Часы",INDEX(Техника!$G$1:$ABN$500,I$2,0),$A$662,INDEX(Техника!$H$1:$ABO$500,I$2,0),"З")</f>
        <v>0</v>
      </c>
      <c r="J667" s="50">
        <f>SUMIFS(INDEX(Техника!$F$1:$ABM$500,J$2,0),Техника!$F$4:$ABM$4,"Часы",INDEX(Техника!$G$1:$ABN$500,J$2,0),$A$662,INDEX(Техника!$H$1:$ABO$500,J$2,0),"З")</f>
        <v>0</v>
      </c>
      <c r="K667" s="50">
        <f>SUMIFS(INDEX(Техника!$F$1:$ABM$500,K$2,0),Техника!$F$4:$ABM$4,"Часы",INDEX(Техника!$G$1:$ABN$500,K$2,0),$A$662,INDEX(Техника!$H$1:$ABO$500,K$2,0),"З")</f>
        <v>0</v>
      </c>
      <c r="L667" s="50">
        <f>SUMIFS(INDEX(Техника!$F$1:$ABM$500,L$2,0),Техника!$F$4:$ABM$4,"Часы",INDEX(Техника!$G$1:$ABN$500,L$2,0),$A$662,INDEX(Техника!$H$1:$ABO$500,L$2,0),"З")</f>
        <v>0</v>
      </c>
      <c r="M667" s="50">
        <f>SUMIFS(INDEX(Техника!$F$1:$ABM$500,M$2,0),Техника!$F$4:$ABM$4,"Часы",INDEX(Техника!$G$1:$ABN$500,M$2,0),$A$662,INDEX(Техника!$H$1:$ABO$500,M$2,0),"З")</f>
        <v>0</v>
      </c>
      <c r="N667" s="50">
        <f>SUMIFS(INDEX(Техника!$F$1:$ABM$500,N$2,0),Техника!$F$4:$ABM$4,"Часы",INDEX(Техника!$G$1:$ABN$500,N$2,0),$A$662,INDEX(Техника!$H$1:$ABO$500,N$2,0),"З")</f>
        <v>0</v>
      </c>
      <c r="O667" s="50">
        <f>SUMIFS(INDEX(Техника!$F$1:$ABM$500,O$2,0),Техника!$F$4:$ABM$4,"Часы",INDEX(Техника!$G$1:$ABN$500,O$2,0),$A$662,INDEX(Техника!$H$1:$ABO$500,O$2,0),"З")</f>
        <v>0</v>
      </c>
      <c r="P667" s="50">
        <f>SUMIFS(INDEX(Техника!$F$1:$ABM$500,P$2,0),Техника!$F$4:$ABM$4,"Часы",INDEX(Техника!$G$1:$ABN$500,P$2,0),$A$662,INDEX(Техника!$H$1:$ABO$500,P$2,0),"З")</f>
        <v>0</v>
      </c>
      <c r="Q667" s="50">
        <f>SUMIFS(INDEX(Техника!$F$1:$ABM$500,Q$2,0),Техника!$F$4:$ABM$4,"Часы",INDEX(Техника!$G$1:$ABN$500,Q$2,0),$A$662,INDEX(Техника!$H$1:$ABO$500,Q$2,0),"З")</f>
        <v>0</v>
      </c>
      <c r="R667" s="50">
        <f>SUMIFS(INDEX(Техника!$F$1:$ABM$500,R$2,0),Техника!$F$4:$ABM$4,"Часы",INDEX(Техника!$G$1:$ABN$500,R$2,0),$A$662,INDEX(Техника!$H$1:$ABO$500,R$2,0),"З")</f>
        <v>0</v>
      </c>
      <c r="S667" s="50">
        <f>SUMIFS(INDEX(Техника!$F$1:$ABM$500,S$2,0),Техника!$F$4:$ABM$4,"Часы",INDEX(Техника!$G$1:$ABN$500,S$2,0),$A$662,INDEX(Техника!$H$1:$ABO$500,S$2,0),"З")</f>
        <v>0</v>
      </c>
      <c r="T667" s="50">
        <f>SUMIFS(INDEX(Техника!$F$1:$ABM$500,T$2,0),Техника!$F$4:$ABM$4,"Часы",INDEX(Техника!$G$1:$ABN$500,T$2,0),$A$662,INDEX(Техника!$H$1:$ABO$500,T$2,0),"З")</f>
        <v>0</v>
      </c>
      <c r="U667" s="50">
        <f>SUMIFS(INDEX(Техника!$F$1:$ABM$500,U$2,0),Техника!$F$4:$ABM$4,"Часы",INDEX(Техника!$G$1:$ABN$500,U$2,0),$A$662,INDEX(Техника!$H$1:$ABO$500,U$2,0),"З")</f>
        <v>0</v>
      </c>
      <c r="V667" s="50">
        <f>SUMIFS(INDEX(Техника!$F$1:$ABM$500,V$2,0),Техника!$F$4:$ABM$4,"Часы",INDEX(Техника!$G$1:$ABN$500,V$2,0),$A$662,INDEX(Техника!$H$1:$ABO$500,V$2,0),"З")</f>
        <v>0</v>
      </c>
      <c r="W667" s="50">
        <f>SUMIFS(INDEX(Техника!$F$1:$ABM$500,W$2,0),Техника!$F$4:$ABM$4,"Часы",INDEX(Техника!$G$1:$ABN$500,W$2,0),$A$662,INDEX(Техника!$H$1:$ABO$500,W$2,0),"З")</f>
        <v>0</v>
      </c>
      <c r="X667" s="50">
        <f>SUMIFS(INDEX(Техника!$F$1:$ABM$500,X$2,0),Техника!$F$4:$ABM$4,"Часы",INDEX(Техника!$G$1:$ABN$500,X$2,0),$A$662,INDEX(Техника!$H$1:$ABO$500,X$2,0),"З")</f>
        <v>0</v>
      </c>
      <c r="Y667" s="50">
        <f>SUMIFS(INDEX(Техника!$F$1:$ABM$500,Y$2,0),Техника!$F$4:$ABM$4,"Часы",INDEX(Техника!$G$1:$ABN$500,Y$2,0),$A$662,INDEX(Техника!$H$1:$ABO$500,Y$2,0),"З")</f>
        <v>0</v>
      </c>
      <c r="Z667" s="50">
        <f>SUMIFS(INDEX(Техника!$F$1:$ABM$500,Z$2,0),Техника!$F$4:$ABM$4,"Часы",INDEX(Техника!$G$1:$ABN$500,Z$2,0),$A$662,INDEX(Техника!$H$1:$ABO$500,Z$2,0),"З")</f>
        <v>0</v>
      </c>
      <c r="AA667" s="50">
        <f>SUMIFS(INDEX(Техника!$F$1:$ABM$500,AA$2,0),Техника!$F$4:$ABM$4,"Часы",INDEX(Техника!$G$1:$ABN$500,AA$2,0),$A$662,INDEX(Техника!$H$1:$ABO$500,AA$2,0),"З")</f>
        <v>0</v>
      </c>
      <c r="AB667" s="50">
        <f>SUMIFS(INDEX(Техника!$F$1:$ABM$500,AB$2,0),Техника!$F$4:$ABM$4,"Часы",INDEX(Техника!$G$1:$ABN$500,AB$2,0),$A$662,INDEX(Техника!$H$1:$ABO$500,AB$2,0),"З")</f>
        <v>0</v>
      </c>
    </row>
    <row r="668" spans="1:28" ht="7.95" customHeight="1" x14ac:dyDescent="0.3">
      <c r="A668" s="38"/>
      <c r="B668" s="39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</row>
    <row r="669" spans="1:28" ht="25.05" customHeight="1" collapsed="1" x14ac:dyDescent="0.3">
      <c r="A669" s="32">
        <v>96</v>
      </c>
      <c r="B669" s="32" t="s">
        <v>97</v>
      </c>
      <c r="C669" s="49">
        <f>SUM(C670:C674)</f>
        <v>0</v>
      </c>
      <c r="D669" s="49">
        <f>SUM(D670:D674)</f>
        <v>0</v>
      </c>
      <c r="E669" s="49">
        <f>SUM(E670:E674)</f>
        <v>0</v>
      </c>
      <c r="F669" s="49">
        <f>SUM(F670:F674)</f>
        <v>0</v>
      </c>
      <c r="G669" s="49">
        <f>SUM(G670:G674)</f>
        <v>0</v>
      </c>
      <c r="H669" s="49">
        <f>SUM(H670:H674)</f>
        <v>0</v>
      </c>
      <c r="I669" s="49">
        <f>SUM(I670:I674)</f>
        <v>0</v>
      </c>
      <c r="J669" s="49">
        <f>SUM(J670:J674)</f>
        <v>0</v>
      </c>
      <c r="K669" s="49">
        <f>SUM(K670:K674)</f>
        <v>0</v>
      </c>
      <c r="L669" s="49">
        <f>SUM(L670:L674)</f>
        <v>0</v>
      </c>
      <c r="M669" s="49">
        <f>SUM(M670:M674)</f>
        <v>0</v>
      </c>
      <c r="N669" s="49">
        <f>SUM(N670:N674)</f>
        <v>0</v>
      </c>
      <c r="O669" s="49">
        <f>SUM(O670:O674)</f>
        <v>0</v>
      </c>
      <c r="P669" s="49">
        <f>SUM(P670:P674)</f>
        <v>0</v>
      </c>
      <c r="Q669" s="49">
        <f>SUM(Q670:Q674)</f>
        <v>0</v>
      </c>
      <c r="R669" s="49">
        <f>SUM(R670:R674)</f>
        <v>0</v>
      </c>
      <c r="S669" s="49">
        <f>SUM(S670:S674)</f>
        <v>0</v>
      </c>
      <c r="T669" s="49">
        <f>SUM(T670:T674)</f>
        <v>0</v>
      </c>
      <c r="U669" s="49">
        <f>SUM(U670:U674)</f>
        <v>0</v>
      </c>
      <c r="V669" s="49">
        <f>SUM(V670:V674)</f>
        <v>0</v>
      </c>
      <c r="W669" s="49">
        <f>SUM(W670:W674)</f>
        <v>0</v>
      </c>
      <c r="X669" s="49">
        <f>SUM(X670:X674)</f>
        <v>0</v>
      </c>
      <c r="Y669" s="49">
        <f>SUM(Y670:Y674)</f>
        <v>0</v>
      </c>
      <c r="Z669" s="49">
        <f>SUM(Z670:Z674)</f>
        <v>0</v>
      </c>
      <c r="AA669" s="49">
        <f>SUM(AA670:AA674)</f>
        <v>0</v>
      </c>
      <c r="AB669" s="49">
        <f>SUM(AB670:AB674)</f>
        <v>0</v>
      </c>
    </row>
    <row r="670" spans="1:28" hidden="1" outlineLevel="1" x14ac:dyDescent="0.3">
      <c r="A670" s="33" t="s">
        <v>246</v>
      </c>
      <c r="B670" s="34" t="s">
        <v>274</v>
      </c>
      <c r="C670" s="50">
        <f>SUMIFS(INDEX(Техника!$F$1:$ABM$500,C$2,0),Техника!$F$4:$ABM$4,"Часы",INDEX(Техника!$G$1:$ABN$500,C$2,0),$A$669,INDEX(Техника!$H$1:$ABO$500,C$2,0),"М")</f>
        <v>0</v>
      </c>
      <c r="D670" s="50">
        <f>SUMIFS(INDEX(Техника!$F$1:$ABM$500,D$2,0),Техника!$F$4:$ABM$4,"Часы",INDEX(Техника!$G$1:$ABN$500,D$2,0),$A$669,INDEX(Техника!$H$1:$ABO$500,D$2,0),"М")</f>
        <v>0</v>
      </c>
      <c r="E670" s="50">
        <f>SUMIFS(INDEX(Техника!$F$1:$ABM$500,E$2,0),Техника!$F$4:$ABM$4,"Часы",INDEX(Техника!$G$1:$ABN$500,E$2,0),$A$669,INDEX(Техника!$H$1:$ABO$500,E$2,0),"М")</f>
        <v>0</v>
      </c>
      <c r="F670" s="50">
        <f>SUMIFS(INDEX(Техника!$F$1:$ABM$500,F$2,0),Техника!$F$4:$ABM$4,"Часы",INDEX(Техника!$G$1:$ABN$500,F$2,0),$A$669,INDEX(Техника!$H$1:$ABO$500,F$2,0),"М")</f>
        <v>0</v>
      </c>
      <c r="G670" s="50">
        <f>SUMIFS(INDEX(Техника!$F$1:$ABM$500,G$2,0),Техника!$F$4:$ABM$4,"Часы",INDEX(Техника!$G$1:$ABN$500,G$2,0),$A$669,INDEX(Техника!$H$1:$ABO$500,G$2,0),"М")</f>
        <v>0</v>
      </c>
      <c r="H670" s="50">
        <f>SUMIFS(INDEX(Техника!$F$1:$ABM$500,H$2,0),Техника!$F$4:$ABM$4,"Часы",INDEX(Техника!$G$1:$ABN$500,H$2,0),$A$669,INDEX(Техника!$H$1:$ABO$500,H$2,0),"М")</f>
        <v>0</v>
      </c>
      <c r="I670" s="50">
        <f>SUMIFS(INDEX(Техника!$F$1:$ABM$500,I$2,0),Техника!$F$4:$ABM$4,"Часы",INDEX(Техника!$G$1:$ABN$500,I$2,0),$A$669,INDEX(Техника!$H$1:$ABO$500,I$2,0),"М")</f>
        <v>0</v>
      </c>
      <c r="J670" s="50">
        <f>SUMIFS(INDEX(Техника!$F$1:$ABM$500,J$2,0),Техника!$F$4:$ABM$4,"Часы",INDEX(Техника!$G$1:$ABN$500,J$2,0),$A$669,INDEX(Техника!$H$1:$ABO$500,J$2,0),"М")</f>
        <v>0</v>
      </c>
      <c r="K670" s="50">
        <f>SUMIFS(INDEX(Техника!$F$1:$ABM$500,K$2,0),Техника!$F$4:$ABM$4,"Часы",INDEX(Техника!$G$1:$ABN$500,K$2,0),$A$669,INDEX(Техника!$H$1:$ABO$500,K$2,0),"М")</f>
        <v>0</v>
      </c>
      <c r="L670" s="50">
        <f>SUMIFS(INDEX(Техника!$F$1:$ABM$500,L$2,0),Техника!$F$4:$ABM$4,"Часы",INDEX(Техника!$G$1:$ABN$500,L$2,0),$A$669,INDEX(Техника!$H$1:$ABO$500,L$2,0),"М")</f>
        <v>0</v>
      </c>
      <c r="M670" s="50">
        <f>SUMIFS(INDEX(Техника!$F$1:$ABM$500,M$2,0),Техника!$F$4:$ABM$4,"Часы",INDEX(Техника!$G$1:$ABN$500,M$2,0),$A$669,INDEX(Техника!$H$1:$ABO$500,M$2,0),"М")</f>
        <v>0</v>
      </c>
      <c r="N670" s="50">
        <f>SUMIFS(INDEX(Техника!$F$1:$ABM$500,N$2,0),Техника!$F$4:$ABM$4,"Часы",INDEX(Техника!$G$1:$ABN$500,N$2,0),$A$669,INDEX(Техника!$H$1:$ABO$500,N$2,0),"М")</f>
        <v>0</v>
      </c>
      <c r="O670" s="50">
        <f>SUMIFS(INDEX(Техника!$F$1:$ABM$500,O$2,0),Техника!$F$4:$ABM$4,"Часы",INDEX(Техника!$G$1:$ABN$500,O$2,0),$A$669,INDEX(Техника!$H$1:$ABO$500,O$2,0),"М")</f>
        <v>0</v>
      </c>
      <c r="P670" s="50">
        <f>SUMIFS(INDEX(Техника!$F$1:$ABM$500,P$2,0),Техника!$F$4:$ABM$4,"Часы",INDEX(Техника!$G$1:$ABN$500,P$2,0),$A$669,INDEX(Техника!$H$1:$ABO$500,P$2,0),"М")</f>
        <v>0</v>
      </c>
      <c r="Q670" s="50">
        <f>SUMIFS(INDEX(Техника!$F$1:$ABM$500,Q$2,0),Техника!$F$4:$ABM$4,"Часы",INDEX(Техника!$G$1:$ABN$500,Q$2,0),$A$669,INDEX(Техника!$H$1:$ABO$500,Q$2,0),"М")</f>
        <v>0</v>
      </c>
      <c r="R670" s="50">
        <f>SUMIFS(INDEX(Техника!$F$1:$ABM$500,R$2,0),Техника!$F$4:$ABM$4,"Часы",INDEX(Техника!$G$1:$ABN$500,R$2,0),$A$669,INDEX(Техника!$H$1:$ABO$500,R$2,0),"М")</f>
        <v>0</v>
      </c>
      <c r="S670" s="50">
        <f>SUMIFS(INDEX(Техника!$F$1:$ABM$500,S$2,0),Техника!$F$4:$ABM$4,"Часы",INDEX(Техника!$G$1:$ABN$500,S$2,0),$A$669,INDEX(Техника!$H$1:$ABO$500,S$2,0),"М")</f>
        <v>0</v>
      </c>
      <c r="T670" s="50">
        <f>SUMIFS(INDEX(Техника!$F$1:$ABM$500,T$2,0),Техника!$F$4:$ABM$4,"Часы",INDEX(Техника!$G$1:$ABN$500,T$2,0),$A$669,INDEX(Техника!$H$1:$ABO$500,T$2,0),"М")</f>
        <v>0</v>
      </c>
      <c r="U670" s="50">
        <f>SUMIFS(INDEX(Техника!$F$1:$ABM$500,U$2,0),Техника!$F$4:$ABM$4,"Часы",INDEX(Техника!$G$1:$ABN$500,U$2,0),$A$669,INDEX(Техника!$H$1:$ABO$500,U$2,0),"М")</f>
        <v>0</v>
      </c>
      <c r="V670" s="50">
        <f>SUMIFS(INDEX(Техника!$F$1:$ABM$500,V$2,0),Техника!$F$4:$ABM$4,"Часы",INDEX(Техника!$G$1:$ABN$500,V$2,0),$A$669,INDEX(Техника!$H$1:$ABO$500,V$2,0),"М")</f>
        <v>0</v>
      </c>
      <c r="W670" s="50">
        <f>SUMIFS(INDEX(Техника!$F$1:$ABM$500,W$2,0),Техника!$F$4:$ABM$4,"Часы",INDEX(Техника!$G$1:$ABN$500,W$2,0),$A$669,INDEX(Техника!$H$1:$ABO$500,W$2,0),"М")</f>
        <v>0</v>
      </c>
      <c r="X670" s="50">
        <f>SUMIFS(INDEX(Техника!$F$1:$ABM$500,X$2,0),Техника!$F$4:$ABM$4,"Часы",INDEX(Техника!$G$1:$ABN$500,X$2,0),$A$669,INDEX(Техника!$H$1:$ABO$500,X$2,0),"М")</f>
        <v>0</v>
      </c>
      <c r="Y670" s="50">
        <f>SUMIFS(INDEX(Техника!$F$1:$ABM$500,Y$2,0),Техника!$F$4:$ABM$4,"Часы",INDEX(Техника!$G$1:$ABN$500,Y$2,0),$A$669,INDEX(Техника!$H$1:$ABO$500,Y$2,0),"М")</f>
        <v>0</v>
      </c>
      <c r="Z670" s="50">
        <f>SUMIFS(INDEX(Техника!$F$1:$ABM$500,Z$2,0),Техника!$F$4:$ABM$4,"Часы",INDEX(Техника!$G$1:$ABN$500,Z$2,0),$A$669,INDEX(Техника!$H$1:$ABO$500,Z$2,0),"М")</f>
        <v>0</v>
      </c>
      <c r="AA670" s="50">
        <f>SUMIFS(INDEX(Техника!$F$1:$ABM$500,AA$2,0),Техника!$F$4:$ABM$4,"Часы",INDEX(Техника!$G$1:$ABN$500,AA$2,0),$A$669,INDEX(Техника!$H$1:$ABO$500,AA$2,0),"М")</f>
        <v>0</v>
      </c>
      <c r="AB670" s="50">
        <f>SUMIFS(INDEX(Техника!$F$1:$ABM$500,AB$2,0),Техника!$F$4:$ABM$4,"Часы",INDEX(Техника!$G$1:$ABN$500,AB$2,0),$A$669,INDEX(Техника!$H$1:$ABO$500,AB$2,0),"М")</f>
        <v>0</v>
      </c>
    </row>
    <row r="671" spans="1:28" hidden="1" outlineLevel="1" x14ac:dyDescent="0.3">
      <c r="A671" s="33" t="s">
        <v>244</v>
      </c>
      <c r="B671" s="34" t="s">
        <v>275</v>
      </c>
      <c r="C671" s="50">
        <f>SUMIFS(INDEX(Техника!$F$1:$ABM$500,C$2,0),Техника!$F$4:$ABM$4,"Часы",INDEX(Техника!$G$1:$ABN$500,C$2,0),$A$669,INDEX(Техника!$H$1:$ABO$500,C$2,0),"Д")</f>
        <v>0</v>
      </c>
      <c r="D671" s="50">
        <f>SUMIFS(INDEX(Техника!$F$1:$ABM$500,D$2,0),Техника!$F$4:$ABM$4,"Часы",INDEX(Техника!$G$1:$ABN$500,D$2,0),$A$669,INDEX(Техника!$H$1:$ABO$500,D$2,0),"Д")</f>
        <v>0</v>
      </c>
      <c r="E671" s="50">
        <f>SUMIFS(INDEX(Техника!$F$1:$ABM$500,E$2,0),Техника!$F$4:$ABM$4,"Часы",INDEX(Техника!$G$1:$ABN$500,E$2,0),$A$669,INDEX(Техника!$H$1:$ABO$500,E$2,0),"Д")</f>
        <v>0</v>
      </c>
      <c r="F671" s="50">
        <f>SUMIFS(INDEX(Техника!$F$1:$ABM$500,F$2,0),Техника!$F$4:$ABM$4,"Часы",INDEX(Техника!$G$1:$ABN$500,F$2,0),$A$669,INDEX(Техника!$H$1:$ABO$500,F$2,0),"Д")</f>
        <v>0</v>
      </c>
      <c r="G671" s="50">
        <f>SUMIFS(INDEX(Техника!$F$1:$ABM$500,G$2,0),Техника!$F$4:$ABM$4,"Часы",INDEX(Техника!$G$1:$ABN$500,G$2,0),$A$669,INDEX(Техника!$H$1:$ABO$500,G$2,0),"Д")</f>
        <v>0</v>
      </c>
      <c r="H671" s="50">
        <f>SUMIFS(INDEX(Техника!$F$1:$ABM$500,H$2,0),Техника!$F$4:$ABM$4,"Часы",INDEX(Техника!$G$1:$ABN$500,H$2,0),$A$669,INDEX(Техника!$H$1:$ABO$500,H$2,0),"Д")</f>
        <v>0</v>
      </c>
      <c r="I671" s="50">
        <f>SUMIFS(INDEX(Техника!$F$1:$ABM$500,I$2,0),Техника!$F$4:$ABM$4,"Часы",INDEX(Техника!$G$1:$ABN$500,I$2,0),$A$669,INDEX(Техника!$H$1:$ABO$500,I$2,0),"Д")</f>
        <v>0</v>
      </c>
      <c r="J671" s="50">
        <f>SUMIFS(INDEX(Техника!$F$1:$ABM$500,J$2,0),Техника!$F$4:$ABM$4,"Часы",INDEX(Техника!$G$1:$ABN$500,J$2,0),$A$669,INDEX(Техника!$H$1:$ABO$500,J$2,0),"Д")</f>
        <v>0</v>
      </c>
      <c r="K671" s="50">
        <f>SUMIFS(INDEX(Техника!$F$1:$ABM$500,K$2,0),Техника!$F$4:$ABM$4,"Часы",INDEX(Техника!$G$1:$ABN$500,K$2,0),$A$669,INDEX(Техника!$H$1:$ABO$500,K$2,0),"Д")</f>
        <v>0</v>
      </c>
      <c r="L671" s="50">
        <f>SUMIFS(INDEX(Техника!$F$1:$ABM$500,L$2,0),Техника!$F$4:$ABM$4,"Часы",INDEX(Техника!$G$1:$ABN$500,L$2,0),$A$669,INDEX(Техника!$H$1:$ABO$500,L$2,0),"Д")</f>
        <v>0</v>
      </c>
      <c r="M671" s="50">
        <f>SUMIFS(INDEX(Техника!$F$1:$ABM$500,M$2,0),Техника!$F$4:$ABM$4,"Часы",INDEX(Техника!$G$1:$ABN$500,M$2,0),$A$669,INDEX(Техника!$H$1:$ABO$500,M$2,0),"Д")</f>
        <v>0</v>
      </c>
      <c r="N671" s="50">
        <f>SUMIFS(INDEX(Техника!$F$1:$ABM$500,N$2,0),Техника!$F$4:$ABM$4,"Часы",INDEX(Техника!$G$1:$ABN$500,N$2,0),$A$669,INDEX(Техника!$H$1:$ABO$500,N$2,0),"Д")</f>
        <v>0</v>
      </c>
      <c r="O671" s="50">
        <f>SUMIFS(INDEX(Техника!$F$1:$ABM$500,O$2,0),Техника!$F$4:$ABM$4,"Часы",INDEX(Техника!$G$1:$ABN$500,O$2,0),$A$669,INDEX(Техника!$H$1:$ABO$500,O$2,0),"Д")</f>
        <v>0</v>
      </c>
      <c r="P671" s="50">
        <f>SUMIFS(INDEX(Техника!$F$1:$ABM$500,P$2,0),Техника!$F$4:$ABM$4,"Часы",INDEX(Техника!$G$1:$ABN$500,P$2,0),$A$669,INDEX(Техника!$H$1:$ABO$500,P$2,0),"Д")</f>
        <v>0</v>
      </c>
      <c r="Q671" s="50">
        <f>SUMIFS(INDEX(Техника!$F$1:$ABM$500,Q$2,0),Техника!$F$4:$ABM$4,"Часы",INDEX(Техника!$G$1:$ABN$500,Q$2,0),$A$669,INDEX(Техника!$H$1:$ABO$500,Q$2,0),"Д")</f>
        <v>0</v>
      </c>
      <c r="R671" s="50">
        <f>SUMIFS(INDEX(Техника!$F$1:$ABM$500,R$2,0),Техника!$F$4:$ABM$4,"Часы",INDEX(Техника!$G$1:$ABN$500,R$2,0),$A$669,INDEX(Техника!$H$1:$ABO$500,R$2,0),"Д")</f>
        <v>0</v>
      </c>
      <c r="S671" s="50">
        <f>SUMIFS(INDEX(Техника!$F$1:$ABM$500,S$2,0),Техника!$F$4:$ABM$4,"Часы",INDEX(Техника!$G$1:$ABN$500,S$2,0),$A$669,INDEX(Техника!$H$1:$ABO$500,S$2,0),"Д")</f>
        <v>0</v>
      </c>
      <c r="T671" s="50">
        <f>SUMIFS(INDEX(Техника!$F$1:$ABM$500,T$2,0),Техника!$F$4:$ABM$4,"Часы",INDEX(Техника!$G$1:$ABN$500,T$2,0),$A$669,INDEX(Техника!$H$1:$ABO$500,T$2,0),"Д")</f>
        <v>0</v>
      </c>
      <c r="U671" s="50">
        <f>SUMIFS(INDEX(Техника!$F$1:$ABM$500,U$2,0),Техника!$F$4:$ABM$4,"Часы",INDEX(Техника!$G$1:$ABN$500,U$2,0),$A$669,INDEX(Техника!$H$1:$ABO$500,U$2,0),"Д")</f>
        <v>0</v>
      </c>
      <c r="V671" s="50">
        <f>SUMIFS(INDEX(Техника!$F$1:$ABM$500,V$2,0),Техника!$F$4:$ABM$4,"Часы",INDEX(Техника!$G$1:$ABN$500,V$2,0),$A$669,INDEX(Техника!$H$1:$ABO$500,V$2,0),"Д")</f>
        <v>0</v>
      </c>
      <c r="W671" s="50">
        <f>SUMIFS(INDEX(Техника!$F$1:$ABM$500,W$2,0),Техника!$F$4:$ABM$4,"Часы",INDEX(Техника!$G$1:$ABN$500,W$2,0),$A$669,INDEX(Техника!$H$1:$ABO$500,W$2,0),"Д")</f>
        <v>0</v>
      </c>
      <c r="X671" s="50">
        <f>SUMIFS(INDEX(Техника!$F$1:$ABM$500,X$2,0),Техника!$F$4:$ABM$4,"Часы",INDEX(Техника!$G$1:$ABN$500,X$2,0),$A$669,INDEX(Техника!$H$1:$ABO$500,X$2,0),"Д")</f>
        <v>0</v>
      </c>
      <c r="Y671" s="50">
        <f>SUMIFS(INDEX(Техника!$F$1:$ABM$500,Y$2,0),Техника!$F$4:$ABM$4,"Часы",INDEX(Техника!$G$1:$ABN$500,Y$2,0),$A$669,INDEX(Техника!$H$1:$ABO$500,Y$2,0),"Д")</f>
        <v>0</v>
      </c>
      <c r="Z671" s="50">
        <f>SUMIFS(INDEX(Техника!$F$1:$ABM$500,Z$2,0),Техника!$F$4:$ABM$4,"Часы",INDEX(Техника!$G$1:$ABN$500,Z$2,0),$A$669,INDEX(Техника!$H$1:$ABO$500,Z$2,0),"Д")</f>
        <v>0</v>
      </c>
      <c r="AA671" s="50">
        <f>SUMIFS(INDEX(Техника!$F$1:$ABM$500,AA$2,0),Техника!$F$4:$ABM$4,"Часы",INDEX(Техника!$G$1:$ABN$500,AA$2,0),$A$669,INDEX(Техника!$H$1:$ABO$500,AA$2,0),"Д")</f>
        <v>0</v>
      </c>
      <c r="AB671" s="50">
        <f>SUMIFS(INDEX(Техника!$F$1:$ABM$500,AB$2,0),Техника!$F$4:$ABM$4,"Часы",INDEX(Техника!$G$1:$ABN$500,AB$2,0),$A$669,INDEX(Техника!$H$1:$ABO$500,AB$2,0),"Д")</f>
        <v>0</v>
      </c>
    </row>
    <row r="672" spans="1:28" hidden="1" outlineLevel="1" x14ac:dyDescent="0.3">
      <c r="A672" s="33" t="s">
        <v>276</v>
      </c>
      <c r="B672" s="34" t="s">
        <v>277</v>
      </c>
      <c r="C672" s="50">
        <f>SUMIFS(INDEX(Техника!$F$1:$ABM$500,C$2,0),Техника!$F$4:$ABM$4,"Часы",INDEX(Техника!$G$1:$ABN$500,C$2,0),$A$669,INDEX(Техника!$H$1:$ABO$500,C$2,0),"П")</f>
        <v>0</v>
      </c>
      <c r="D672" s="50">
        <f>SUMIFS(INDEX(Техника!$F$1:$ABM$500,D$2,0),Техника!$F$4:$ABM$4,"Часы",INDEX(Техника!$G$1:$ABN$500,D$2,0),$A$669,INDEX(Техника!$H$1:$ABO$500,D$2,0),"П")</f>
        <v>0</v>
      </c>
      <c r="E672" s="50">
        <f>SUMIFS(INDEX(Техника!$F$1:$ABM$500,E$2,0),Техника!$F$4:$ABM$4,"Часы",INDEX(Техника!$G$1:$ABN$500,E$2,0),$A$669,INDEX(Техника!$H$1:$ABO$500,E$2,0),"П")</f>
        <v>0</v>
      </c>
      <c r="F672" s="50">
        <f>SUMIFS(INDEX(Техника!$F$1:$ABM$500,F$2,0),Техника!$F$4:$ABM$4,"Часы",INDEX(Техника!$G$1:$ABN$500,F$2,0),$A$669,INDEX(Техника!$H$1:$ABO$500,F$2,0),"П")</f>
        <v>0</v>
      </c>
      <c r="G672" s="50">
        <f>SUMIFS(INDEX(Техника!$F$1:$ABM$500,G$2,0),Техника!$F$4:$ABM$4,"Часы",INDEX(Техника!$G$1:$ABN$500,G$2,0),$A$669,INDEX(Техника!$H$1:$ABO$500,G$2,0),"П")</f>
        <v>0</v>
      </c>
      <c r="H672" s="50">
        <f>SUMIFS(INDEX(Техника!$F$1:$ABM$500,H$2,0),Техника!$F$4:$ABM$4,"Часы",INDEX(Техника!$G$1:$ABN$500,H$2,0),$A$669,INDEX(Техника!$H$1:$ABO$500,H$2,0),"П")</f>
        <v>0</v>
      </c>
      <c r="I672" s="50">
        <f>SUMIFS(INDEX(Техника!$F$1:$ABM$500,I$2,0),Техника!$F$4:$ABM$4,"Часы",INDEX(Техника!$G$1:$ABN$500,I$2,0),$A$669,INDEX(Техника!$H$1:$ABO$500,I$2,0),"П")</f>
        <v>0</v>
      </c>
      <c r="J672" s="50">
        <f>SUMIFS(INDEX(Техника!$F$1:$ABM$500,J$2,0),Техника!$F$4:$ABM$4,"Часы",INDEX(Техника!$G$1:$ABN$500,J$2,0),$A$669,INDEX(Техника!$H$1:$ABO$500,J$2,0),"П")</f>
        <v>0</v>
      </c>
      <c r="K672" s="50">
        <f>SUMIFS(INDEX(Техника!$F$1:$ABM$500,K$2,0),Техника!$F$4:$ABM$4,"Часы",INDEX(Техника!$G$1:$ABN$500,K$2,0),$A$669,INDEX(Техника!$H$1:$ABO$500,K$2,0),"П")</f>
        <v>0</v>
      </c>
      <c r="L672" s="50">
        <f>SUMIFS(INDEX(Техника!$F$1:$ABM$500,L$2,0),Техника!$F$4:$ABM$4,"Часы",INDEX(Техника!$G$1:$ABN$500,L$2,0),$A$669,INDEX(Техника!$H$1:$ABO$500,L$2,0),"П")</f>
        <v>0</v>
      </c>
      <c r="M672" s="50">
        <f>SUMIFS(INDEX(Техника!$F$1:$ABM$500,M$2,0),Техника!$F$4:$ABM$4,"Часы",INDEX(Техника!$G$1:$ABN$500,M$2,0),$A$669,INDEX(Техника!$H$1:$ABO$500,M$2,0),"П")</f>
        <v>0</v>
      </c>
      <c r="N672" s="50">
        <f>SUMIFS(INDEX(Техника!$F$1:$ABM$500,N$2,0),Техника!$F$4:$ABM$4,"Часы",INDEX(Техника!$G$1:$ABN$500,N$2,0),$A$669,INDEX(Техника!$H$1:$ABO$500,N$2,0),"П")</f>
        <v>0</v>
      </c>
      <c r="O672" s="50">
        <f>SUMIFS(INDEX(Техника!$F$1:$ABM$500,O$2,0),Техника!$F$4:$ABM$4,"Часы",INDEX(Техника!$G$1:$ABN$500,O$2,0),$A$669,INDEX(Техника!$H$1:$ABO$500,O$2,0),"П")</f>
        <v>0</v>
      </c>
      <c r="P672" s="50">
        <f>SUMIFS(INDEX(Техника!$F$1:$ABM$500,P$2,0),Техника!$F$4:$ABM$4,"Часы",INDEX(Техника!$G$1:$ABN$500,P$2,0),$A$669,INDEX(Техника!$H$1:$ABO$500,P$2,0),"П")</f>
        <v>0</v>
      </c>
      <c r="Q672" s="50">
        <f>SUMIFS(INDEX(Техника!$F$1:$ABM$500,Q$2,0),Техника!$F$4:$ABM$4,"Часы",INDEX(Техника!$G$1:$ABN$500,Q$2,0),$A$669,INDEX(Техника!$H$1:$ABO$500,Q$2,0),"П")</f>
        <v>0</v>
      </c>
      <c r="R672" s="50">
        <f>SUMIFS(INDEX(Техника!$F$1:$ABM$500,R$2,0),Техника!$F$4:$ABM$4,"Часы",INDEX(Техника!$G$1:$ABN$500,R$2,0),$A$669,INDEX(Техника!$H$1:$ABO$500,R$2,0),"П")</f>
        <v>0</v>
      </c>
      <c r="S672" s="50">
        <f>SUMIFS(INDEX(Техника!$F$1:$ABM$500,S$2,0),Техника!$F$4:$ABM$4,"Часы",INDEX(Техника!$G$1:$ABN$500,S$2,0),$A$669,INDEX(Техника!$H$1:$ABO$500,S$2,0),"П")</f>
        <v>0</v>
      </c>
      <c r="T672" s="50">
        <f>SUMIFS(INDEX(Техника!$F$1:$ABM$500,T$2,0),Техника!$F$4:$ABM$4,"Часы",INDEX(Техника!$G$1:$ABN$500,T$2,0),$A$669,INDEX(Техника!$H$1:$ABO$500,T$2,0),"П")</f>
        <v>0</v>
      </c>
      <c r="U672" s="50">
        <f>SUMIFS(INDEX(Техника!$F$1:$ABM$500,U$2,0),Техника!$F$4:$ABM$4,"Часы",INDEX(Техника!$G$1:$ABN$500,U$2,0),$A$669,INDEX(Техника!$H$1:$ABO$500,U$2,0),"П")</f>
        <v>0</v>
      </c>
      <c r="V672" s="50">
        <f>SUMIFS(INDEX(Техника!$F$1:$ABM$500,V$2,0),Техника!$F$4:$ABM$4,"Часы",INDEX(Техника!$G$1:$ABN$500,V$2,0),$A$669,INDEX(Техника!$H$1:$ABO$500,V$2,0),"П")</f>
        <v>0</v>
      </c>
      <c r="W672" s="50">
        <f>SUMIFS(INDEX(Техника!$F$1:$ABM$500,W$2,0),Техника!$F$4:$ABM$4,"Часы",INDEX(Техника!$G$1:$ABN$500,W$2,0),$A$669,INDEX(Техника!$H$1:$ABO$500,W$2,0),"П")</f>
        <v>0</v>
      </c>
      <c r="X672" s="50">
        <f>SUMIFS(INDEX(Техника!$F$1:$ABM$500,X$2,0),Техника!$F$4:$ABM$4,"Часы",INDEX(Техника!$G$1:$ABN$500,X$2,0),$A$669,INDEX(Техника!$H$1:$ABO$500,X$2,0),"П")</f>
        <v>0</v>
      </c>
      <c r="Y672" s="50">
        <f>SUMIFS(INDEX(Техника!$F$1:$ABM$500,Y$2,0),Техника!$F$4:$ABM$4,"Часы",INDEX(Техника!$G$1:$ABN$500,Y$2,0),$A$669,INDEX(Техника!$H$1:$ABO$500,Y$2,0),"П")</f>
        <v>0</v>
      </c>
      <c r="Z672" s="50">
        <f>SUMIFS(INDEX(Техника!$F$1:$ABM$500,Z$2,0),Техника!$F$4:$ABM$4,"Часы",INDEX(Техника!$G$1:$ABN$500,Z$2,0),$A$669,INDEX(Техника!$H$1:$ABO$500,Z$2,0),"П")</f>
        <v>0</v>
      </c>
      <c r="AA672" s="50">
        <f>SUMIFS(INDEX(Техника!$F$1:$ABM$500,AA$2,0),Техника!$F$4:$ABM$4,"Часы",INDEX(Техника!$G$1:$ABN$500,AA$2,0),$A$669,INDEX(Техника!$H$1:$ABO$500,AA$2,0),"П")</f>
        <v>0</v>
      </c>
      <c r="AB672" s="50">
        <f>SUMIFS(INDEX(Техника!$F$1:$ABM$500,AB$2,0),Техника!$F$4:$ABM$4,"Часы",INDEX(Техника!$G$1:$ABN$500,AB$2,0),$A$669,INDEX(Техника!$H$1:$ABO$500,AB$2,0),"П")</f>
        <v>0</v>
      </c>
    </row>
    <row r="673" spans="1:28" hidden="1" outlineLevel="1" x14ac:dyDescent="0.3">
      <c r="A673" s="33" t="s">
        <v>243</v>
      </c>
      <c r="B673" s="34" t="s">
        <v>278</v>
      </c>
      <c r="C673" s="50">
        <f>SUMIFS(INDEX(Техника!$F$1:$ABM$500,C$2,0),Техника!$F$4:$ABM$4,"Часы",INDEX(Техника!$G$1:$ABN$500,C$2,0),$A$669,INDEX(Техника!$H$1:$ABO$500,C$2,0),"Л")</f>
        <v>0</v>
      </c>
      <c r="D673" s="50">
        <f>SUMIFS(INDEX(Техника!$F$1:$ABM$500,D$2,0),Техника!$F$4:$ABM$4,"Часы",INDEX(Техника!$G$1:$ABN$500,D$2,0),$A$669,INDEX(Техника!$H$1:$ABO$500,D$2,0),"Л")</f>
        <v>0</v>
      </c>
      <c r="E673" s="50">
        <f>SUMIFS(INDEX(Техника!$F$1:$ABM$500,E$2,0),Техника!$F$4:$ABM$4,"Часы",INDEX(Техника!$G$1:$ABN$500,E$2,0),$A$669,INDEX(Техника!$H$1:$ABO$500,E$2,0),"Л")</f>
        <v>0</v>
      </c>
      <c r="F673" s="50">
        <f>SUMIFS(INDEX(Техника!$F$1:$ABM$500,F$2,0),Техника!$F$4:$ABM$4,"Часы",INDEX(Техника!$G$1:$ABN$500,F$2,0),$A$669,INDEX(Техника!$H$1:$ABO$500,F$2,0),"Л")</f>
        <v>0</v>
      </c>
      <c r="G673" s="50">
        <f>SUMIFS(INDEX(Техника!$F$1:$ABM$500,G$2,0),Техника!$F$4:$ABM$4,"Часы",INDEX(Техника!$G$1:$ABN$500,G$2,0),$A$669,INDEX(Техника!$H$1:$ABO$500,G$2,0),"Л")</f>
        <v>0</v>
      </c>
      <c r="H673" s="50">
        <f>SUMIFS(INDEX(Техника!$F$1:$ABM$500,H$2,0),Техника!$F$4:$ABM$4,"Часы",INDEX(Техника!$G$1:$ABN$500,H$2,0),$A$669,INDEX(Техника!$H$1:$ABO$500,H$2,0),"Л")</f>
        <v>0</v>
      </c>
      <c r="I673" s="50">
        <f>SUMIFS(INDEX(Техника!$F$1:$ABM$500,I$2,0),Техника!$F$4:$ABM$4,"Часы",INDEX(Техника!$G$1:$ABN$500,I$2,0),$A$669,INDEX(Техника!$H$1:$ABO$500,I$2,0),"Л")</f>
        <v>0</v>
      </c>
      <c r="J673" s="50">
        <f>SUMIFS(INDEX(Техника!$F$1:$ABM$500,J$2,0),Техника!$F$4:$ABM$4,"Часы",INDEX(Техника!$G$1:$ABN$500,J$2,0),$A$669,INDEX(Техника!$H$1:$ABO$500,J$2,0),"Л")</f>
        <v>0</v>
      </c>
      <c r="K673" s="50">
        <f>SUMIFS(INDEX(Техника!$F$1:$ABM$500,K$2,0),Техника!$F$4:$ABM$4,"Часы",INDEX(Техника!$G$1:$ABN$500,K$2,0),$A$669,INDEX(Техника!$H$1:$ABO$500,K$2,0),"Л")</f>
        <v>0</v>
      </c>
      <c r="L673" s="50">
        <f>SUMIFS(INDEX(Техника!$F$1:$ABM$500,L$2,0),Техника!$F$4:$ABM$4,"Часы",INDEX(Техника!$G$1:$ABN$500,L$2,0),$A$669,INDEX(Техника!$H$1:$ABO$500,L$2,0),"Л")</f>
        <v>0</v>
      </c>
      <c r="M673" s="50">
        <f>SUMIFS(INDEX(Техника!$F$1:$ABM$500,M$2,0),Техника!$F$4:$ABM$4,"Часы",INDEX(Техника!$G$1:$ABN$500,M$2,0),$A$669,INDEX(Техника!$H$1:$ABO$500,M$2,0),"Л")</f>
        <v>0</v>
      </c>
      <c r="N673" s="50">
        <f>SUMIFS(INDEX(Техника!$F$1:$ABM$500,N$2,0),Техника!$F$4:$ABM$4,"Часы",INDEX(Техника!$G$1:$ABN$500,N$2,0),$A$669,INDEX(Техника!$H$1:$ABO$500,N$2,0),"Л")</f>
        <v>0</v>
      </c>
      <c r="O673" s="50">
        <f>SUMIFS(INDEX(Техника!$F$1:$ABM$500,O$2,0),Техника!$F$4:$ABM$4,"Часы",INDEX(Техника!$G$1:$ABN$500,O$2,0),$A$669,INDEX(Техника!$H$1:$ABO$500,O$2,0),"Л")</f>
        <v>0</v>
      </c>
      <c r="P673" s="50">
        <f>SUMIFS(INDEX(Техника!$F$1:$ABM$500,P$2,0),Техника!$F$4:$ABM$4,"Часы",INDEX(Техника!$G$1:$ABN$500,P$2,0),$A$669,INDEX(Техника!$H$1:$ABO$500,P$2,0),"Л")</f>
        <v>0</v>
      </c>
      <c r="Q673" s="50">
        <f>SUMIFS(INDEX(Техника!$F$1:$ABM$500,Q$2,0),Техника!$F$4:$ABM$4,"Часы",INDEX(Техника!$G$1:$ABN$500,Q$2,0),$A$669,INDEX(Техника!$H$1:$ABO$500,Q$2,0),"Л")</f>
        <v>0</v>
      </c>
      <c r="R673" s="50">
        <f>SUMIFS(INDEX(Техника!$F$1:$ABM$500,R$2,0),Техника!$F$4:$ABM$4,"Часы",INDEX(Техника!$G$1:$ABN$500,R$2,0),$A$669,INDEX(Техника!$H$1:$ABO$500,R$2,0),"Л")</f>
        <v>0</v>
      </c>
      <c r="S673" s="50">
        <f>SUMIFS(INDEX(Техника!$F$1:$ABM$500,S$2,0),Техника!$F$4:$ABM$4,"Часы",INDEX(Техника!$G$1:$ABN$500,S$2,0),$A$669,INDEX(Техника!$H$1:$ABO$500,S$2,0),"Л")</f>
        <v>0</v>
      </c>
      <c r="T673" s="50">
        <f>SUMIFS(INDEX(Техника!$F$1:$ABM$500,T$2,0),Техника!$F$4:$ABM$4,"Часы",INDEX(Техника!$G$1:$ABN$500,T$2,0),$A$669,INDEX(Техника!$H$1:$ABO$500,T$2,0),"Л")</f>
        <v>0</v>
      </c>
      <c r="U673" s="50">
        <f>SUMIFS(INDEX(Техника!$F$1:$ABM$500,U$2,0),Техника!$F$4:$ABM$4,"Часы",INDEX(Техника!$G$1:$ABN$500,U$2,0),$A$669,INDEX(Техника!$H$1:$ABO$500,U$2,0),"Л")</f>
        <v>0</v>
      </c>
      <c r="V673" s="50">
        <f>SUMIFS(INDEX(Техника!$F$1:$ABM$500,V$2,0),Техника!$F$4:$ABM$4,"Часы",INDEX(Техника!$G$1:$ABN$500,V$2,0),$A$669,INDEX(Техника!$H$1:$ABO$500,V$2,0),"Л")</f>
        <v>0</v>
      </c>
      <c r="W673" s="50">
        <f>SUMIFS(INDEX(Техника!$F$1:$ABM$500,W$2,0),Техника!$F$4:$ABM$4,"Часы",INDEX(Техника!$G$1:$ABN$500,W$2,0),$A$669,INDEX(Техника!$H$1:$ABO$500,W$2,0),"Л")</f>
        <v>0</v>
      </c>
      <c r="X673" s="50">
        <f>SUMIFS(INDEX(Техника!$F$1:$ABM$500,X$2,0),Техника!$F$4:$ABM$4,"Часы",INDEX(Техника!$G$1:$ABN$500,X$2,0),$A$669,INDEX(Техника!$H$1:$ABO$500,X$2,0),"Л")</f>
        <v>0</v>
      </c>
      <c r="Y673" s="50">
        <f>SUMIFS(INDEX(Техника!$F$1:$ABM$500,Y$2,0),Техника!$F$4:$ABM$4,"Часы",INDEX(Техника!$G$1:$ABN$500,Y$2,0),$A$669,INDEX(Техника!$H$1:$ABO$500,Y$2,0),"Л")</f>
        <v>0</v>
      </c>
      <c r="Z673" s="50">
        <f>SUMIFS(INDEX(Техника!$F$1:$ABM$500,Z$2,0),Техника!$F$4:$ABM$4,"Часы",INDEX(Техника!$G$1:$ABN$500,Z$2,0),$A$669,INDEX(Техника!$H$1:$ABO$500,Z$2,0),"Л")</f>
        <v>0</v>
      </c>
      <c r="AA673" s="50">
        <f>SUMIFS(INDEX(Техника!$F$1:$ABM$500,AA$2,0),Техника!$F$4:$ABM$4,"Часы",INDEX(Техника!$G$1:$ABN$500,AA$2,0),$A$669,INDEX(Техника!$H$1:$ABO$500,AA$2,0),"Л")</f>
        <v>0</v>
      </c>
      <c r="AB673" s="50">
        <f>SUMIFS(INDEX(Техника!$F$1:$ABM$500,AB$2,0),Техника!$F$4:$ABM$4,"Часы",INDEX(Техника!$G$1:$ABN$500,AB$2,0),$A$669,INDEX(Техника!$H$1:$ABO$500,AB$2,0),"Л")</f>
        <v>0</v>
      </c>
    </row>
    <row r="674" spans="1:28" hidden="1" outlineLevel="1" x14ac:dyDescent="0.3">
      <c r="A674" s="33" t="s">
        <v>245</v>
      </c>
      <c r="B674" s="34" t="s">
        <v>279</v>
      </c>
      <c r="C674" s="50">
        <f>SUMIFS(INDEX(Техника!$F$1:$ABM$500,C$2,0),Техника!$F$4:$ABM$4,"Часы",INDEX(Техника!$G$1:$ABN$500,C$2,0),$A$669,INDEX(Техника!$H$1:$ABO$500,C$2,0),"З")</f>
        <v>0</v>
      </c>
      <c r="D674" s="50">
        <f>SUMIFS(INDEX(Техника!$F$1:$ABM$500,D$2,0),Техника!$F$4:$ABM$4,"Часы",INDEX(Техника!$G$1:$ABN$500,D$2,0),$A$669,INDEX(Техника!$H$1:$ABO$500,D$2,0),"З")</f>
        <v>0</v>
      </c>
      <c r="E674" s="50">
        <f>SUMIFS(INDEX(Техника!$F$1:$ABM$500,E$2,0),Техника!$F$4:$ABM$4,"Часы",INDEX(Техника!$G$1:$ABN$500,E$2,0),$A$669,INDEX(Техника!$H$1:$ABO$500,E$2,0),"З")</f>
        <v>0</v>
      </c>
      <c r="F674" s="50">
        <f>SUMIFS(INDEX(Техника!$F$1:$ABM$500,F$2,0),Техника!$F$4:$ABM$4,"Часы",INDEX(Техника!$G$1:$ABN$500,F$2,0),$A$669,INDEX(Техника!$H$1:$ABO$500,F$2,0),"З")</f>
        <v>0</v>
      </c>
      <c r="G674" s="50">
        <f>SUMIFS(INDEX(Техника!$F$1:$ABM$500,G$2,0),Техника!$F$4:$ABM$4,"Часы",INDEX(Техника!$G$1:$ABN$500,G$2,0),$A$669,INDEX(Техника!$H$1:$ABO$500,G$2,0),"З")</f>
        <v>0</v>
      </c>
      <c r="H674" s="50">
        <f>SUMIFS(INDEX(Техника!$F$1:$ABM$500,H$2,0),Техника!$F$4:$ABM$4,"Часы",INDEX(Техника!$G$1:$ABN$500,H$2,0),$A$669,INDEX(Техника!$H$1:$ABO$500,H$2,0),"З")</f>
        <v>0</v>
      </c>
      <c r="I674" s="50">
        <f>SUMIFS(INDEX(Техника!$F$1:$ABM$500,I$2,0),Техника!$F$4:$ABM$4,"Часы",INDEX(Техника!$G$1:$ABN$500,I$2,0),$A$669,INDEX(Техника!$H$1:$ABO$500,I$2,0),"З")</f>
        <v>0</v>
      </c>
      <c r="J674" s="50">
        <f>SUMIFS(INDEX(Техника!$F$1:$ABM$500,J$2,0),Техника!$F$4:$ABM$4,"Часы",INDEX(Техника!$G$1:$ABN$500,J$2,0),$A$669,INDEX(Техника!$H$1:$ABO$500,J$2,0),"З")</f>
        <v>0</v>
      </c>
      <c r="K674" s="50">
        <f>SUMIFS(INDEX(Техника!$F$1:$ABM$500,K$2,0),Техника!$F$4:$ABM$4,"Часы",INDEX(Техника!$G$1:$ABN$500,K$2,0),$A$669,INDEX(Техника!$H$1:$ABO$500,K$2,0),"З")</f>
        <v>0</v>
      </c>
      <c r="L674" s="50">
        <f>SUMIFS(INDEX(Техника!$F$1:$ABM$500,L$2,0),Техника!$F$4:$ABM$4,"Часы",INDEX(Техника!$G$1:$ABN$500,L$2,0),$A$669,INDEX(Техника!$H$1:$ABO$500,L$2,0),"З")</f>
        <v>0</v>
      </c>
      <c r="M674" s="50">
        <f>SUMIFS(INDEX(Техника!$F$1:$ABM$500,M$2,0),Техника!$F$4:$ABM$4,"Часы",INDEX(Техника!$G$1:$ABN$500,M$2,0),$A$669,INDEX(Техника!$H$1:$ABO$500,M$2,0),"З")</f>
        <v>0</v>
      </c>
      <c r="N674" s="50">
        <f>SUMIFS(INDEX(Техника!$F$1:$ABM$500,N$2,0),Техника!$F$4:$ABM$4,"Часы",INDEX(Техника!$G$1:$ABN$500,N$2,0),$A$669,INDEX(Техника!$H$1:$ABO$500,N$2,0),"З")</f>
        <v>0</v>
      </c>
      <c r="O674" s="50">
        <f>SUMIFS(INDEX(Техника!$F$1:$ABM$500,O$2,0),Техника!$F$4:$ABM$4,"Часы",INDEX(Техника!$G$1:$ABN$500,O$2,0),$A$669,INDEX(Техника!$H$1:$ABO$500,O$2,0),"З")</f>
        <v>0</v>
      </c>
      <c r="P674" s="50">
        <f>SUMIFS(INDEX(Техника!$F$1:$ABM$500,P$2,0),Техника!$F$4:$ABM$4,"Часы",INDEX(Техника!$G$1:$ABN$500,P$2,0),$A$669,INDEX(Техника!$H$1:$ABO$500,P$2,0),"З")</f>
        <v>0</v>
      </c>
      <c r="Q674" s="50">
        <f>SUMIFS(INDEX(Техника!$F$1:$ABM$500,Q$2,0),Техника!$F$4:$ABM$4,"Часы",INDEX(Техника!$G$1:$ABN$500,Q$2,0),$A$669,INDEX(Техника!$H$1:$ABO$500,Q$2,0),"З")</f>
        <v>0</v>
      </c>
      <c r="R674" s="50">
        <f>SUMIFS(INDEX(Техника!$F$1:$ABM$500,R$2,0),Техника!$F$4:$ABM$4,"Часы",INDEX(Техника!$G$1:$ABN$500,R$2,0),$A$669,INDEX(Техника!$H$1:$ABO$500,R$2,0),"З")</f>
        <v>0</v>
      </c>
      <c r="S674" s="50">
        <f>SUMIFS(INDEX(Техника!$F$1:$ABM$500,S$2,0),Техника!$F$4:$ABM$4,"Часы",INDEX(Техника!$G$1:$ABN$500,S$2,0),$A$669,INDEX(Техника!$H$1:$ABO$500,S$2,0),"З")</f>
        <v>0</v>
      </c>
      <c r="T674" s="50">
        <f>SUMIFS(INDEX(Техника!$F$1:$ABM$500,T$2,0),Техника!$F$4:$ABM$4,"Часы",INDEX(Техника!$G$1:$ABN$500,T$2,0),$A$669,INDEX(Техника!$H$1:$ABO$500,T$2,0),"З")</f>
        <v>0</v>
      </c>
      <c r="U674" s="50">
        <f>SUMIFS(INDEX(Техника!$F$1:$ABM$500,U$2,0),Техника!$F$4:$ABM$4,"Часы",INDEX(Техника!$G$1:$ABN$500,U$2,0),$A$669,INDEX(Техника!$H$1:$ABO$500,U$2,0),"З")</f>
        <v>0</v>
      </c>
      <c r="V674" s="50">
        <f>SUMIFS(INDEX(Техника!$F$1:$ABM$500,V$2,0),Техника!$F$4:$ABM$4,"Часы",INDEX(Техника!$G$1:$ABN$500,V$2,0),$A$669,INDEX(Техника!$H$1:$ABO$500,V$2,0),"З")</f>
        <v>0</v>
      </c>
      <c r="W674" s="50">
        <f>SUMIFS(INDEX(Техника!$F$1:$ABM$500,W$2,0),Техника!$F$4:$ABM$4,"Часы",INDEX(Техника!$G$1:$ABN$500,W$2,0),$A$669,INDEX(Техника!$H$1:$ABO$500,W$2,0),"З")</f>
        <v>0</v>
      </c>
      <c r="X674" s="50">
        <f>SUMIFS(INDEX(Техника!$F$1:$ABM$500,X$2,0),Техника!$F$4:$ABM$4,"Часы",INDEX(Техника!$G$1:$ABN$500,X$2,0),$A$669,INDEX(Техника!$H$1:$ABO$500,X$2,0),"З")</f>
        <v>0</v>
      </c>
      <c r="Y674" s="50">
        <f>SUMIFS(INDEX(Техника!$F$1:$ABM$500,Y$2,0),Техника!$F$4:$ABM$4,"Часы",INDEX(Техника!$G$1:$ABN$500,Y$2,0),$A$669,INDEX(Техника!$H$1:$ABO$500,Y$2,0),"З")</f>
        <v>0</v>
      </c>
      <c r="Z674" s="50">
        <f>SUMIFS(INDEX(Техника!$F$1:$ABM$500,Z$2,0),Техника!$F$4:$ABM$4,"Часы",INDEX(Техника!$G$1:$ABN$500,Z$2,0),$A$669,INDEX(Техника!$H$1:$ABO$500,Z$2,0),"З")</f>
        <v>0</v>
      </c>
      <c r="AA674" s="50">
        <f>SUMIFS(INDEX(Техника!$F$1:$ABM$500,AA$2,0),Техника!$F$4:$ABM$4,"Часы",INDEX(Техника!$G$1:$ABN$500,AA$2,0),$A$669,INDEX(Техника!$H$1:$ABO$500,AA$2,0),"З")</f>
        <v>0</v>
      </c>
      <c r="AB674" s="50">
        <f>SUMIFS(INDEX(Техника!$F$1:$ABM$500,AB$2,0),Техника!$F$4:$ABM$4,"Часы",INDEX(Техника!$G$1:$ABN$500,AB$2,0),$A$669,INDEX(Техника!$H$1:$ABO$500,AB$2,0),"З")</f>
        <v>0</v>
      </c>
    </row>
    <row r="675" spans="1:28" ht="7.95" customHeight="1" x14ac:dyDescent="0.3">
      <c r="A675" s="38"/>
      <c r="B675" s="39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</row>
    <row r="676" spans="1:28" ht="25.05" customHeight="1" collapsed="1" x14ac:dyDescent="0.3">
      <c r="A676" s="32">
        <v>97</v>
      </c>
      <c r="B676" s="32" t="s">
        <v>98</v>
      </c>
      <c r="C676" s="49">
        <f>SUM(C677:C681)</f>
        <v>0</v>
      </c>
      <c r="D676" s="49">
        <f>SUM(D677:D681)</f>
        <v>0</v>
      </c>
      <c r="E676" s="49">
        <f>SUM(E677:E681)</f>
        <v>0</v>
      </c>
      <c r="F676" s="49">
        <f>SUM(F677:F681)</f>
        <v>0</v>
      </c>
      <c r="G676" s="49">
        <f>SUM(G677:G681)</f>
        <v>0</v>
      </c>
      <c r="H676" s="49">
        <f>SUM(H677:H681)</f>
        <v>0</v>
      </c>
      <c r="I676" s="49">
        <f>SUM(I677:I681)</f>
        <v>0</v>
      </c>
      <c r="J676" s="49">
        <f>SUM(J677:J681)</f>
        <v>0</v>
      </c>
      <c r="K676" s="49">
        <f>SUM(K677:K681)</f>
        <v>0</v>
      </c>
      <c r="L676" s="49">
        <f>SUM(L677:L681)</f>
        <v>0</v>
      </c>
      <c r="M676" s="49">
        <f>SUM(M677:M681)</f>
        <v>0</v>
      </c>
      <c r="N676" s="49">
        <f>SUM(N677:N681)</f>
        <v>0</v>
      </c>
      <c r="O676" s="49">
        <f>SUM(O677:O681)</f>
        <v>0</v>
      </c>
      <c r="P676" s="49">
        <f>SUM(P677:P681)</f>
        <v>0</v>
      </c>
      <c r="Q676" s="49">
        <f>SUM(Q677:Q681)</f>
        <v>0</v>
      </c>
      <c r="R676" s="49">
        <f>SUM(R677:R681)</f>
        <v>0</v>
      </c>
      <c r="S676" s="49">
        <f>SUM(S677:S681)</f>
        <v>0</v>
      </c>
      <c r="T676" s="49">
        <f>SUM(T677:T681)</f>
        <v>0</v>
      </c>
      <c r="U676" s="49">
        <f>SUM(U677:U681)</f>
        <v>0</v>
      </c>
      <c r="V676" s="49">
        <f>SUM(V677:V681)</f>
        <v>0</v>
      </c>
      <c r="W676" s="49">
        <f>SUM(W677:W681)</f>
        <v>0</v>
      </c>
      <c r="X676" s="49">
        <f>SUM(X677:X681)</f>
        <v>0</v>
      </c>
      <c r="Y676" s="49">
        <f>SUM(Y677:Y681)</f>
        <v>0</v>
      </c>
      <c r="Z676" s="49">
        <f>SUM(Z677:Z681)</f>
        <v>0</v>
      </c>
      <c r="AA676" s="49">
        <f>SUM(AA677:AA681)</f>
        <v>0</v>
      </c>
      <c r="AB676" s="49">
        <f>SUM(AB677:AB681)</f>
        <v>0</v>
      </c>
    </row>
    <row r="677" spans="1:28" hidden="1" outlineLevel="1" x14ac:dyDescent="0.3">
      <c r="A677" s="33" t="s">
        <v>246</v>
      </c>
      <c r="B677" s="34" t="s">
        <v>274</v>
      </c>
      <c r="C677" s="50">
        <f>SUMIFS(INDEX(Техника!$F$1:$ABM$500,C$2,0),Техника!$F$4:$ABM$4,"Часы",INDEX(Техника!$G$1:$ABN$500,C$2,0),$A$676,INDEX(Техника!$H$1:$ABO$500,C$2,0),"М")</f>
        <v>0</v>
      </c>
      <c r="D677" s="50">
        <f>SUMIFS(INDEX(Техника!$F$1:$ABM$500,D$2,0),Техника!$F$4:$ABM$4,"Часы",INDEX(Техника!$G$1:$ABN$500,D$2,0),$A$676,INDEX(Техника!$H$1:$ABO$500,D$2,0),"М")</f>
        <v>0</v>
      </c>
      <c r="E677" s="50">
        <f>SUMIFS(INDEX(Техника!$F$1:$ABM$500,E$2,0),Техника!$F$4:$ABM$4,"Часы",INDEX(Техника!$G$1:$ABN$500,E$2,0),$A$676,INDEX(Техника!$H$1:$ABO$500,E$2,0),"М")</f>
        <v>0</v>
      </c>
      <c r="F677" s="50">
        <f>SUMIFS(INDEX(Техника!$F$1:$ABM$500,F$2,0),Техника!$F$4:$ABM$4,"Часы",INDEX(Техника!$G$1:$ABN$500,F$2,0),$A$676,INDEX(Техника!$H$1:$ABO$500,F$2,0),"М")</f>
        <v>0</v>
      </c>
      <c r="G677" s="50">
        <f>SUMIFS(INDEX(Техника!$F$1:$ABM$500,G$2,0),Техника!$F$4:$ABM$4,"Часы",INDEX(Техника!$G$1:$ABN$500,G$2,0),$A$676,INDEX(Техника!$H$1:$ABO$500,G$2,0),"М")</f>
        <v>0</v>
      </c>
      <c r="H677" s="50">
        <f>SUMIFS(INDEX(Техника!$F$1:$ABM$500,H$2,0),Техника!$F$4:$ABM$4,"Часы",INDEX(Техника!$G$1:$ABN$500,H$2,0),$A$676,INDEX(Техника!$H$1:$ABO$500,H$2,0),"М")</f>
        <v>0</v>
      </c>
      <c r="I677" s="50">
        <f>SUMIFS(INDEX(Техника!$F$1:$ABM$500,I$2,0),Техника!$F$4:$ABM$4,"Часы",INDEX(Техника!$G$1:$ABN$500,I$2,0),$A$676,INDEX(Техника!$H$1:$ABO$500,I$2,0),"М")</f>
        <v>0</v>
      </c>
      <c r="J677" s="50">
        <f>SUMIFS(INDEX(Техника!$F$1:$ABM$500,J$2,0),Техника!$F$4:$ABM$4,"Часы",INDEX(Техника!$G$1:$ABN$500,J$2,0),$A$676,INDEX(Техника!$H$1:$ABO$500,J$2,0),"М")</f>
        <v>0</v>
      </c>
      <c r="K677" s="50">
        <f>SUMIFS(INDEX(Техника!$F$1:$ABM$500,K$2,0),Техника!$F$4:$ABM$4,"Часы",INDEX(Техника!$G$1:$ABN$500,K$2,0),$A$676,INDEX(Техника!$H$1:$ABO$500,K$2,0),"М")</f>
        <v>0</v>
      </c>
      <c r="L677" s="50">
        <f>SUMIFS(INDEX(Техника!$F$1:$ABM$500,L$2,0),Техника!$F$4:$ABM$4,"Часы",INDEX(Техника!$G$1:$ABN$500,L$2,0),$A$676,INDEX(Техника!$H$1:$ABO$500,L$2,0),"М")</f>
        <v>0</v>
      </c>
      <c r="M677" s="50">
        <f>SUMIFS(INDEX(Техника!$F$1:$ABM$500,M$2,0),Техника!$F$4:$ABM$4,"Часы",INDEX(Техника!$G$1:$ABN$500,M$2,0),$A$676,INDEX(Техника!$H$1:$ABO$500,M$2,0),"М")</f>
        <v>0</v>
      </c>
      <c r="N677" s="50">
        <f>SUMIFS(INDEX(Техника!$F$1:$ABM$500,N$2,0),Техника!$F$4:$ABM$4,"Часы",INDEX(Техника!$G$1:$ABN$500,N$2,0),$A$676,INDEX(Техника!$H$1:$ABO$500,N$2,0),"М")</f>
        <v>0</v>
      </c>
      <c r="O677" s="50">
        <f>SUMIFS(INDEX(Техника!$F$1:$ABM$500,O$2,0),Техника!$F$4:$ABM$4,"Часы",INDEX(Техника!$G$1:$ABN$500,O$2,0),$A$676,INDEX(Техника!$H$1:$ABO$500,O$2,0),"М")</f>
        <v>0</v>
      </c>
      <c r="P677" s="50">
        <f>SUMIFS(INDEX(Техника!$F$1:$ABM$500,P$2,0),Техника!$F$4:$ABM$4,"Часы",INDEX(Техника!$G$1:$ABN$500,P$2,0),$A$676,INDEX(Техника!$H$1:$ABO$500,P$2,0),"М")</f>
        <v>0</v>
      </c>
      <c r="Q677" s="50">
        <f>SUMIFS(INDEX(Техника!$F$1:$ABM$500,Q$2,0),Техника!$F$4:$ABM$4,"Часы",INDEX(Техника!$G$1:$ABN$500,Q$2,0),$A$676,INDEX(Техника!$H$1:$ABO$500,Q$2,0),"М")</f>
        <v>0</v>
      </c>
      <c r="R677" s="50">
        <f>SUMIFS(INDEX(Техника!$F$1:$ABM$500,R$2,0),Техника!$F$4:$ABM$4,"Часы",INDEX(Техника!$G$1:$ABN$500,R$2,0),$A$676,INDEX(Техника!$H$1:$ABO$500,R$2,0),"М")</f>
        <v>0</v>
      </c>
      <c r="S677" s="50">
        <f>SUMIFS(INDEX(Техника!$F$1:$ABM$500,S$2,0),Техника!$F$4:$ABM$4,"Часы",INDEX(Техника!$G$1:$ABN$500,S$2,0),$A$676,INDEX(Техника!$H$1:$ABO$500,S$2,0),"М")</f>
        <v>0</v>
      </c>
      <c r="T677" s="50">
        <f>SUMIFS(INDEX(Техника!$F$1:$ABM$500,T$2,0),Техника!$F$4:$ABM$4,"Часы",INDEX(Техника!$G$1:$ABN$500,T$2,0),$A$676,INDEX(Техника!$H$1:$ABO$500,T$2,0),"М")</f>
        <v>0</v>
      </c>
      <c r="U677" s="50">
        <f>SUMIFS(INDEX(Техника!$F$1:$ABM$500,U$2,0),Техника!$F$4:$ABM$4,"Часы",INDEX(Техника!$G$1:$ABN$500,U$2,0),$A$676,INDEX(Техника!$H$1:$ABO$500,U$2,0),"М")</f>
        <v>0</v>
      </c>
      <c r="V677" s="50">
        <f>SUMIFS(INDEX(Техника!$F$1:$ABM$500,V$2,0),Техника!$F$4:$ABM$4,"Часы",INDEX(Техника!$G$1:$ABN$500,V$2,0),$A$676,INDEX(Техника!$H$1:$ABO$500,V$2,0),"М")</f>
        <v>0</v>
      </c>
      <c r="W677" s="50">
        <f>SUMIFS(INDEX(Техника!$F$1:$ABM$500,W$2,0),Техника!$F$4:$ABM$4,"Часы",INDEX(Техника!$G$1:$ABN$500,W$2,0),$A$676,INDEX(Техника!$H$1:$ABO$500,W$2,0),"М")</f>
        <v>0</v>
      </c>
      <c r="X677" s="50">
        <f>SUMIFS(INDEX(Техника!$F$1:$ABM$500,X$2,0),Техника!$F$4:$ABM$4,"Часы",INDEX(Техника!$G$1:$ABN$500,X$2,0),$A$676,INDEX(Техника!$H$1:$ABO$500,X$2,0),"М")</f>
        <v>0</v>
      </c>
      <c r="Y677" s="50">
        <f>SUMIFS(INDEX(Техника!$F$1:$ABM$500,Y$2,0),Техника!$F$4:$ABM$4,"Часы",INDEX(Техника!$G$1:$ABN$500,Y$2,0),$A$676,INDEX(Техника!$H$1:$ABO$500,Y$2,0),"М")</f>
        <v>0</v>
      </c>
      <c r="Z677" s="50">
        <f>SUMIFS(INDEX(Техника!$F$1:$ABM$500,Z$2,0),Техника!$F$4:$ABM$4,"Часы",INDEX(Техника!$G$1:$ABN$500,Z$2,0),$A$676,INDEX(Техника!$H$1:$ABO$500,Z$2,0),"М")</f>
        <v>0</v>
      </c>
      <c r="AA677" s="50">
        <f>SUMIFS(INDEX(Техника!$F$1:$ABM$500,AA$2,0),Техника!$F$4:$ABM$4,"Часы",INDEX(Техника!$G$1:$ABN$500,AA$2,0),$A$676,INDEX(Техника!$H$1:$ABO$500,AA$2,0),"М")</f>
        <v>0</v>
      </c>
      <c r="AB677" s="50">
        <f>SUMIFS(INDEX(Техника!$F$1:$ABM$500,AB$2,0),Техника!$F$4:$ABM$4,"Часы",INDEX(Техника!$G$1:$ABN$500,AB$2,0),$A$676,INDEX(Техника!$H$1:$ABO$500,AB$2,0),"М")</f>
        <v>0</v>
      </c>
    </row>
    <row r="678" spans="1:28" hidden="1" outlineLevel="1" x14ac:dyDescent="0.3">
      <c r="A678" s="33" t="s">
        <v>244</v>
      </c>
      <c r="B678" s="34" t="s">
        <v>275</v>
      </c>
      <c r="C678" s="50">
        <f>SUMIFS(INDEX(Техника!$F$1:$ABM$500,C$2,0),Техника!$F$4:$ABM$4,"Часы",INDEX(Техника!$G$1:$ABN$500,C$2,0),$A$676,INDEX(Техника!$H$1:$ABO$500,C$2,0),"Д")</f>
        <v>0</v>
      </c>
      <c r="D678" s="50">
        <f>SUMIFS(INDEX(Техника!$F$1:$ABM$500,D$2,0),Техника!$F$4:$ABM$4,"Часы",INDEX(Техника!$G$1:$ABN$500,D$2,0),$A$676,INDEX(Техника!$H$1:$ABO$500,D$2,0),"Д")</f>
        <v>0</v>
      </c>
      <c r="E678" s="50">
        <f>SUMIFS(INDEX(Техника!$F$1:$ABM$500,E$2,0),Техника!$F$4:$ABM$4,"Часы",INDEX(Техника!$G$1:$ABN$500,E$2,0),$A$676,INDEX(Техника!$H$1:$ABO$500,E$2,0),"Д")</f>
        <v>0</v>
      </c>
      <c r="F678" s="50">
        <f>SUMIFS(INDEX(Техника!$F$1:$ABM$500,F$2,0),Техника!$F$4:$ABM$4,"Часы",INDEX(Техника!$G$1:$ABN$500,F$2,0),$A$676,INDEX(Техника!$H$1:$ABO$500,F$2,0),"Д")</f>
        <v>0</v>
      </c>
      <c r="G678" s="50">
        <f>SUMIFS(INDEX(Техника!$F$1:$ABM$500,G$2,0),Техника!$F$4:$ABM$4,"Часы",INDEX(Техника!$G$1:$ABN$500,G$2,0),$A$676,INDEX(Техника!$H$1:$ABO$500,G$2,0),"Д")</f>
        <v>0</v>
      </c>
      <c r="H678" s="50">
        <f>SUMIFS(INDEX(Техника!$F$1:$ABM$500,H$2,0),Техника!$F$4:$ABM$4,"Часы",INDEX(Техника!$G$1:$ABN$500,H$2,0),$A$676,INDEX(Техника!$H$1:$ABO$500,H$2,0),"Д")</f>
        <v>0</v>
      </c>
      <c r="I678" s="50">
        <f>SUMIFS(INDEX(Техника!$F$1:$ABM$500,I$2,0),Техника!$F$4:$ABM$4,"Часы",INDEX(Техника!$G$1:$ABN$500,I$2,0),$A$676,INDEX(Техника!$H$1:$ABO$500,I$2,0),"Д")</f>
        <v>0</v>
      </c>
      <c r="J678" s="50">
        <f>SUMIFS(INDEX(Техника!$F$1:$ABM$500,J$2,0),Техника!$F$4:$ABM$4,"Часы",INDEX(Техника!$G$1:$ABN$500,J$2,0),$A$676,INDEX(Техника!$H$1:$ABO$500,J$2,0),"Д")</f>
        <v>0</v>
      </c>
      <c r="K678" s="50">
        <f>SUMIFS(INDEX(Техника!$F$1:$ABM$500,K$2,0),Техника!$F$4:$ABM$4,"Часы",INDEX(Техника!$G$1:$ABN$500,K$2,0),$A$676,INDEX(Техника!$H$1:$ABO$500,K$2,0),"Д")</f>
        <v>0</v>
      </c>
      <c r="L678" s="50">
        <f>SUMIFS(INDEX(Техника!$F$1:$ABM$500,L$2,0),Техника!$F$4:$ABM$4,"Часы",INDEX(Техника!$G$1:$ABN$500,L$2,0),$A$676,INDEX(Техника!$H$1:$ABO$500,L$2,0),"Д")</f>
        <v>0</v>
      </c>
      <c r="M678" s="50">
        <f>SUMIFS(INDEX(Техника!$F$1:$ABM$500,M$2,0),Техника!$F$4:$ABM$4,"Часы",INDEX(Техника!$G$1:$ABN$500,M$2,0),$A$676,INDEX(Техника!$H$1:$ABO$500,M$2,0),"Д")</f>
        <v>0</v>
      </c>
      <c r="N678" s="50">
        <f>SUMIFS(INDEX(Техника!$F$1:$ABM$500,N$2,0),Техника!$F$4:$ABM$4,"Часы",INDEX(Техника!$G$1:$ABN$500,N$2,0),$A$676,INDEX(Техника!$H$1:$ABO$500,N$2,0),"Д")</f>
        <v>0</v>
      </c>
      <c r="O678" s="50">
        <f>SUMIFS(INDEX(Техника!$F$1:$ABM$500,O$2,0),Техника!$F$4:$ABM$4,"Часы",INDEX(Техника!$G$1:$ABN$500,O$2,0),$A$676,INDEX(Техника!$H$1:$ABO$500,O$2,0),"Д")</f>
        <v>0</v>
      </c>
      <c r="P678" s="50">
        <f>SUMIFS(INDEX(Техника!$F$1:$ABM$500,P$2,0),Техника!$F$4:$ABM$4,"Часы",INDEX(Техника!$G$1:$ABN$500,P$2,0),$A$676,INDEX(Техника!$H$1:$ABO$500,P$2,0),"Д")</f>
        <v>0</v>
      </c>
      <c r="Q678" s="50">
        <f>SUMIFS(INDEX(Техника!$F$1:$ABM$500,Q$2,0),Техника!$F$4:$ABM$4,"Часы",INDEX(Техника!$G$1:$ABN$500,Q$2,0),$A$676,INDEX(Техника!$H$1:$ABO$500,Q$2,0),"Д")</f>
        <v>0</v>
      </c>
      <c r="R678" s="50">
        <f>SUMIFS(INDEX(Техника!$F$1:$ABM$500,R$2,0),Техника!$F$4:$ABM$4,"Часы",INDEX(Техника!$G$1:$ABN$500,R$2,0),$A$676,INDEX(Техника!$H$1:$ABO$500,R$2,0),"Д")</f>
        <v>0</v>
      </c>
      <c r="S678" s="50">
        <f>SUMIFS(INDEX(Техника!$F$1:$ABM$500,S$2,0),Техника!$F$4:$ABM$4,"Часы",INDEX(Техника!$G$1:$ABN$500,S$2,0),$A$676,INDEX(Техника!$H$1:$ABO$500,S$2,0),"Д")</f>
        <v>0</v>
      </c>
      <c r="T678" s="50">
        <f>SUMIFS(INDEX(Техника!$F$1:$ABM$500,T$2,0),Техника!$F$4:$ABM$4,"Часы",INDEX(Техника!$G$1:$ABN$500,T$2,0),$A$676,INDEX(Техника!$H$1:$ABO$500,T$2,0),"Д")</f>
        <v>0</v>
      </c>
      <c r="U678" s="50">
        <f>SUMIFS(INDEX(Техника!$F$1:$ABM$500,U$2,0),Техника!$F$4:$ABM$4,"Часы",INDEX(Техника!$G$1:$ABN$500,U$2,0),$A$676,INDEX(Техника!$H$1:$ABO$500,U$2,0),"Д")</f>
        <v>0</v>
      </c>
      <c r="V678" s="50">
        <f>SUMIFS(INDEX(Техника!$F$1:$ABM$500,V$2,0),Техника!$F$4:$ABM$4,"Часы",INDEX(Техника!$G$1:$ABN$500,V$2,0),$A$676,INDEX(Техника!$H$1:$ABO$500,V$2,0),"Д")</f>
        <v>0</v>
      </c>
      <c r="W678" s="50">
        <f>SUMIFS(INDEX(Техника!$F$1:$ABM$500,W$2,0),Техника!$F$4:$ABM$4,"Часы",INDEX(Техника!$G$1:$ABN$500,W$2,0),$A$676,INDEX(Техника!$H$1:$ABO$500,W$2,0),"Д")</f>
        <v>0</v>
      </c>
      <c r="X678" s="50">
        <f>SUMIFS(INDEX(Техника!$F$1:$ABM$500,X$2,0),Техника!$F$4:$ABM$4,"Часы",INDEX(Техника!$G$1:$ABN$500,X$2,0),$A$676,INDEX(Техника!$H$1:$ABO$500,X$2,0),"Д")</f>
        <v>0</v>
      </c>
      <c r="Y678" s="50">
        <f>SUMIFS(INDEX(Техника!$F$1:$ABM$500,Y$2,0),Техника!$F$4:$ABM$4,"Часы",INDEX(Техника!$G$1:$ABN$500,Y$2,0),$A$676,INDEX(Техника!$H$1:$ABO$500,Y$2,0),"Д")</f>
        <v>0</v>
      </c>
      <c r="Z678" s="50">
        <f>SUMIFS(INDEX(Техника!$F$1:$ABM$500,Z$2,0),Техника!$F$4:$ABM$4,"Часы",INDEX(Техника!$G$1:$ABN$500,Z$2,0),$A$676,INDEX(Техника!$H$1:$ABO$500,Z$2,0),"Д")</f>
        <v>0</v>
      </c>
      <c r="AA678" s="50">
        <f>SUMIFS(INDEX(Техника!$F$1:$ABM$500,AA$2,0),Техника!$F$4:$ABM$4,"Часы",INDEX(Техника!$G$1:$ABN$500,AA$2,0),$A$676,INDEX(Техника!$H$1:$ABO$500,AA$2,0),"Д")</f>
        <v>0</v>
      </c>
      <c r="AB678" s="50">
        <f>SUMIFS(INDEX(Техника!$F$1:$ABM$500,AB$2,0),Техника!$F$4:$ABM$4,"Часы",INDEX(Техника!$G$1:$ABN$500,AB$2,0),$A$676,INDEX(Техника!$H$1:$ABO$500,AB$2,0),"Д")</f>
        <v>0</v>
      </c>
    </row>
    <row r="679" spans="1:28" hidden="1" outlineLevel="1" x14ac:dyDescent="0.3">
      <c r="A679" s="33" t="s">
        <v>276</v>
      </c>
      <c r="B679" s="34" t="s">
        <v>277</v>
      </c>
      <c r="C679" s="50">
        <f>SUMIFS(INDEX(Техника!$F$1:$ABM$500,C$2,0),Техника!$F$4:$ABM$4,"Часы",INDEX(Техника!$G$1:$ABN$500,C$2,0),$A$676,INDEX(Техника!$H$1:$ABO$500,C$2,0),"П")</f>
        <v>0</v>
      </c>
      <c r="D679" s="50">
        <f>SUMIFS(INDEX(Техника!$F$1:$ABM$500,D$2,0),Техника!$F$4:$ABM$4,"Часы",INDEX(Техника!$G$1:$ABN$500,D$2,0),$A$676,INDEX(Техника!$H$1:$ABO$500,D$2,0),"П")</f>
        <v>0</v>
      </c>
      <c r="E679" s="50">
        <f>SUMIFS(INDEX(Техника!$F$1:$ABM$500,E$2,0),Техника!$F$4:$ABM$4,"Часы",INDEX(Техника!$G$1:$ABN$500,E$2,0),$A$676,INDEX(Техника!$H$1:$ABO$500,E$2,0),"П")</f>
        <v>0</v>
      </c>
      <c r="F679" s="50">
        <f>SUMIFS(INDEX(Техника!$F$1:$ABM$500,F$2,0),Техника!$F$4:$ABM$4,"Часы",INDEX(Техника!$G$1:$ABN$500,F$2,0),$A$676,INDEX(Техника!$H$1:$ABO$500,F$2,0),"П")</f>
        <v>0</v>
      </c>
      <c r="G679" s="50">
        <f>SUMIFS(INDEX(Техника!$F$1:$ABM$500,G$2,0),Техника!$F$4:$ABM$4,"Часы",INDEX(Техника!$G$1:$ABN$500,G$2,0),$A$676,INDEX(Техника!$H$1:$ABO$500,G$2,0),"П")</f>
        <v>0</v>
      </c>
      <c r="H679" s="50">
        <f>SUMIFS(INDEX(Техника!$F$1:$ABM$500,H$2,0),Техника!$F$4:$ABM$4,"Часы",INDEX(Техника!$G$1:$ABN$500,H$2,0),$A$676,INDEX(Техника!$H$1:$ABO$500,H$2,0),"П")</f>
        <v>0</v>
      </c>
      <c r="I679" s="50">
        <f>SUMIFS(INDEX(Техника!$F$1:$ABM$500,I$2,0),Техника!$F$4:$ABM$4,"Часы",INDEX(Техника!$G$1:$ABN$500,I$2,0),$A$676,INDEX(Техника!$H$1:$ABO$500,I$2,0),"П")</f>
        <v>0</v>
      </c>
      <c r="J679" s="50">
        <f>SUMIFS(INDEX(Техника!$F$1:$ABM$500,J$2,0),Техника!$F$4:$ABM$4,"Часы",INDEX(Техника!$G$1:$ABN$500,J$2,0),$A$676,INDEX(Техника!$H$1:$ABO$500,J$2,0),"П")</f>
        <v>0</v>
      </c>
      <c r="K679" s="50">
        <f>SUMIFS(INDEX(Техника!$F$1:$ABM$500,K$2,0),Техника!$F$4:$ABM$4,"Часы",INDEX(Техника!$G$1:$ABN$500,K$2,0),$A$676,INDEX(Техника!$H$1:$ABO$500,K$2,0),"П")</f>
        <v>0</v>
      </c>
      <c r="L679" s="50">
        <f>SUMIFS(INDEX(Техника!$F$1:$ABM$500,L$2,0),Техника!$F$4:$ABM$4,"Часы",INDEX(Техника!$G$1:$ABN$500,L$2,0),$A$676,INDEX(Техника!$H$1:$ABO$500,L$2,0),"П")</f>
        <v>0</v>
      </c>
      <c r="M679" s="50">
        <f>SUMIFS(INDEX(Техника!$F$1:$ABM$500,M$2,0),Техника!$F$4:$ABM$4,"Часы",INDEX(Техника!$G$1:$ABN$500,M$2,0),$A$676,INDEX(Техника!$H$1:$ABO$500,M$2,0),"П")</f>
        <v>0</v>
      </c>
      <c r="N679" s="50">
        <f>SUMIFS(INDEX(Техника!$F$1:$ABM$500,N$2,0),Техника!$F$4:$ABM$4,"Часы",INDEX(Техника!$G$1:$ABN$500,N$2,0),$A$676,INDEX(Техника!$H$1:$ABO$500,N$2,0),"П")</f>
        <v>0</v>
      </c>
      <c r="O679" s="50">
        <f>SUMIFS(INDEX(Техника!$F$1:$ABM$500,O$2,0),Техника!$F$4:$ABM$4,"Часы",INDEX(Техника!$G$1:$ABN$500,O$2,0),$A$676,INDEX(Техника!$H$1:$ABO$500,O$2,0),"П")</f>
        <v>0</v>
      </c>
      <c r="P679" s="50">
        <f>SUMIFS(INDEX(Техника!$F$1:$ABM$500,P$2,0),Техника!$F$4:$ABM$4,"Часы",INDEX(Техника!$G$1:$ABN$500,P$2,0),$A$676,INDEX(Техника!$H$1:$ABO$500,P$2,0),"П")</f>
        <v>0</v>
      </c>
      <c r="Q679" s="50">
        <f>SUMIFS(INDEX(Техника!$F$1:$ABM$500,Q$2,0),Техника!$F$4:$ABM$4,"Часы",INDEX(Техника!$G$1:$ABN$500,Q$2,0),$A$676,INDEX(Техника!$H$1:$ABO$500,Q$2,0),"П")</f>
        <v>0</v>
      </c>
      <c r="R679" s="50">
        <f>SUMIFS(INDEX(Техника!$F$1:$ABM$500,R$2,0),Техника!$F$4:$ABM$4,"Часы",INDEX(Техника!$G$1:$ABN$500,R$2,0),$A$676,INDEX(Техника!$H$1:$ABO$500,R$2,0),"П")</f>
        <v>0</v>
      </c>
      <c r="S679" s="50">
        <f>SUMIFS(INDEX(Техника!$F$1:$ABM$500,S$2,0),Техника!$F$4:$ABM$4,"Часы",INDEX(Техника!$G$1:$ABN$500,S$2,0),$A$676,INDEX(Техника!$H$1:$ABO$500,S$2,0),"П")</f>
        <v>0</v>
      </c>
      <c r="T679" s="50">
        <f>SUMIFS(INDEX(Техника!$F$1:$ABM$500,T$2,0),Техника!$F$4:$ABM$4,"Часы",INDEX(Техника!$G$1:$ABN$500,T$2,0),$A$676,INDEX(Техника!$H$1:$ABO$500,T$2,0),"П")</f>
        <v>0</v>
      </c>
      <c r="U679" s="50">
        <f>SUMIFS(INDEX(Техника!$F$1:$ABM$500,U$2,0),Техника!$F$4:$ABM$4,"Часы",INDEX(Техника!$G$1:$ABN$500,U$2,0),$A$676,INDEX(Техника!$H$1:$ABO$500,U$2,0),"П")</f>
        <v>0</v>
      </c>
      <c r="V679" s="50">
        <f>SUMIFS(INDEX(Техника!$F$1:$ABM$500,V$2,0),Техника!$F$4:$ABM$4,"Часы",INDEX(Техника!$G$1:$ABN$500,V$2,0),$A$676,INDEX(Техника!$H$1:$ABO$500,V$2,0),"П")</f>
        <v>0</v>
      </c>
      <c r="W679" s="50">
        <f>SUMIFS(INDEX(Техника!$F$1:$ABM$500,W$2,0),Техника!$F$4:$ABM$4,"Часы",INDEX(Техника!$G$1:$ABN$500,W$2,0),$A$676,INDEX(Техника!$H$1:$ABO$500,W$2,0),"П")</f>
        <v>0</v>
      </c>
      <c r="X679" s="50">
        <f>SUMIFS(INDEX(Техника!$F$1:$ABM$500,X$2,0),Техника!$F$4:$ABM$4,"Часы",INDEX(Техника!$G$1:$ABN$500,X$2,0),$A$676,INDEX(Техника!$H$1:$ABO$500,X$2,0),"П")</f>
        <v>0</v>
      </c>
      <c r="Y679" s="50">
        <f>SUMIFS(INDEX(Техника!$F$1:$ABM$500,Y$2,0),Техника!$F$4:$ABM$4,"Часы",INDEX(Техника!$G$1:$ABN$500,Y$2,0),$A$676,INDEX(Техника!$H$1:$ABO$500,Y$2,0),"П")</f>
        <v>0</v>
      </c>
      <c r="Z679" s="50">
        <f>SUMIFS(INDEX(Техника!$F$1:$ABM$500,Z$2,0),Техника!$F$4:$ABM$4,"Часы",INDEX(Техника!$G$1:$ABN$500,Z$2,0),$A$676,INDEX(Техника!$H$1:$ABO$500,Z$2,0),"П")</f>
        <v>0</v>
      </c>
      <c r="AA679" s="50">
        <f>SUMIFS(INDEX(Техника!$F$1:$ABM$500,AA$2,0),Техника!$F$4:$ABM$4,"Часы",INDEX(Техника!$G$1:$ABN$500,AA$2,0),$A$676,INDEX(Техника!$H$1:$ABO$500,AA$2,0),"П")</f>
        <v>0</v>
      </c>
      <c r="AB679" s="50">
        <f>SUMIFS(INDEX(Техника!$F$1:$ABM$500,AB$2,0),Техника!$F$4:$ABM$4,"Часы",INDEX(Техника!$G$1:$ABN$500,AB$2,0),$A$676,INDEX(Техника!$H$1:$ABO$500,AB$2,0),"П")</f>
        <v>0</v>
      </c>
    </row>
    <row r="680" spans="1:28" hidden="1" outlineLevel="1" x14ac:dyDescent="0.3">
      <c r="A680" s="33" t="s">
        <v>243</v>
      </c>
      <c r="B680" s="34" t="s">
        <v>278</v>
      </c>
      <c r="C680" s="50">
        <f>SUMIFS(INDEX(Техника!$F$1:$ABM$500,C$2,0),Техника!$F$4:$ABM$4,"Часы",INDEX(Техника!$G$1:$ABN$500,C$2,0),$A$676,INDEX(Техника!$H$1:$ABO$500,C$2,0),"Л")</f>
        <v>0</v>
      </c>
      <c r="D680" s="50">
        <f>SUMIFS(INDEX(Техника!$F$1:$ABM$500,D$2,0),Техника!$F$4:$ABM$4,"Часы",INDEX(Техника!$G$1:$ABN$500,D$2,0),$A$676,INDEX(Техника!$H$1:$ABO$500,D$2,0),"Л")</f>
        <v>0</v>
      </c>
      <c r="E680" s="50">
        <f>SUMIFS(INDEX(Техника!$F$1:$ABM$500,E$2,0),Техника!$F$4:$ABM$4,"Часы",INDEX(Техника!$G$1:$ABN$500,E$2,0),$A$676,INDEX(Техника!$H$1:$ABO$500,E$2,0),"Л")</f>
        <v>0</v>
      </c>
      <c r="F680" s="50">
        <f>SUMIFS(INDEX(Техника!$F$1:$ABM$500,F$2,0),Техника!$F$4:$ABM$4,"Часы",INDEX(Техника!$G$1:$ABN$500,F$2,0),$A$676,INDEX(Техника!$H$1:$ABO$500,F$2,0),"Л")</f>
        <v>0</v>
      </c>
      <c r="G680" s="50">
        <f>SUMIFS(INDEX(Техника!$F$1:$ABM$500,G$2,0),Техника!$F$4:$ABM$4,"Часы",INDEX(Техника!$G$1:$ABN$500,G$2,0),$A$676,INDEX(Техника!$H$1:$ABO$500,G$2,0),"Л")</f>
        <v>0</v>
      </c>
      <c r="H680" s="50">
        <f>SUMIFS(INDEX(Техника!$F$1:$ABM$500,H$2,0),Техника!$F$4:$ABM$4,"Часы",INDEX(Техника!$G$1:$ABN$500,H$2,0),$A$676,INDEX(Техника!$H$1:$ABO$500,H$2,0),"Л")</f>
        <v>0</v>
      </c>
      <c r="I680" s="50">
        <f>SUMIFS(INDEX(Техника!$F$1:$ABM$500,I$2,0),Техника!$F$4:$ABM$4,"Часы",INDEX(Техника!$G$1:$ABN$500,I$2,0),$A$676,INDEX(Техника!$H$1:$ABO$500,I$2,0),"Л")</f>
        <v>0</v>
      </c>
      <c r="J680" s="50">
        <f>SUMIFS(INDEX(Техника!$F$1:$ABM$500,J$2,0),Техника!$F$4:$ABM$4,"Часы",INDEX(Техника!$G$1:$ABN$500,J$2,0),$A$676,INDEX(Техника!$H$1:$ABO$500,J$2,0),"Л")</f>
        <v>0</v>
      </c>
      <c r="K680" s="50">
        <f>SUMIFS(INDEX(Техника!$F$1:$ABM$500,K$2,0),Техника!$F$4:$ABM$4,"Часы",INDEX(Техника!$G$1:$ABN$500,K$2,0),$A$676,INDEX(Техника!$H$1:$ABO$500,K$2,0),"Л")</f>
        <v>0</v>
      </c>
      <c r="L680" s="50">
        <f>SUMIFS(INDEX(Техника!$F$1:$ABM$500,L$2,0),Техника!$F$4:$ABM$4,"Часы",INDEX(Техника!$G$1:$ABN$500,L$2,0),$A$676,INDEX(Техника!$H$1:$ABO$500,L$2,0),"Л")</f>
        <v>0</v>
      </c>
      <c r="M680" s="50">
        <f>SUMIFS(INDEX(Техника!$F$1:$ABM$500,M$2,0),Техника!$F$4:$ABM$4,"Часы",INDEX(Техника!$G$1:$ABN$500,M$2,0),$A$676,INDEX(Техника!$H$1:$ABO$500,M$2,0),"Л")</f>
        <v>0</v>
      </c>
      <c r="N680" s="50">
        <f>SUMIFS(INDEX(Техника!$F$1:$ABM$500,N$2,0),Техника!$F$4:$ABM$4,"Часы",INDEX(Техника!$G$1:$ABN$500,N$2,0),$A$676,INDEX(Техника!$H$1:$ABO$500,N$2,0),"Л")</f>
        <v>0</v>
      </c>
      <c r="O680" s="50">
        <f>SUMIFS(INDEX(Техника!$F$1:$ABM$500,O$2,0),Техника!$F$4:$ABM$4,"Часы",INDEX(Техника!$G$1:$ABN$500,O$2,0),$A$676,INDEX(Техника!$H$1:$ABO$500,O$2,0),"Л")</f>
        <v>0</v>
      </c>
      <c r="P680" s="50">
        <f>SUMIFS(INDEX(Техника!$F$1:$ABM$500,P$2,0),Техника!$F$4:$ABM$4,"Часы",INDEX(Техника!$G$1:$ABN$500,P$2,0),$A$676,INDEX(Техника!$H$1:$ABO$500,P$2,0),"Л")</f>
        <v>0</v>
      </c>
      <c r="Q680" s="50">
        <f>SUMIFS(INDEX(Техника!$F$1:$ABM$500,Q$2,0),Техника!$F$4:$ABM$4,"Часы",INDEX(Техника!$G$1:$ABN$500,Q$2,0),$A$676,INDEX(Техника!$H$1:$ABO$500,Q$2,0),"Л")</f>
        <v>0</v>
      </c>
      <c r="R680" s="50">
        <f>SUMIFS(INDEX(Техника!$F$1:$ABM$500,R$2,0),Техника!$F$4:$ABM$4,"Часы",INDEX(Техника!$G$1:$ABN$500,R$2,0),$A$676,INDEX(Техника!$H$1:$ABO$500,R$2,0),"Л")</f>
        <v>0</v>
      </c>
      <c r="S680" s="50">
        <f>SUMIFS(INDEX(Техника!$F$1:$ABM$500,S$2,0),Техника!$F$4:$ABM$4,"Часы",INDEX(Техника!$G$1:$ABN$500,S$2,0),$A$676,INDEX(Техника!$H$1:$ABO$500,S$2,0),"Л")</f>
        <v>0</v>
      </c>
      <c r="T680" s="50">
        <f>SUMIFS(INDEX(Техника!$F$1:$ABM$500,T$2,0),Техника!$F$4:$ABM$4,"Часы",INDEX(Техника!$G$1:$ABN$500,T$2,0),$A$676,INDEX(Техника!$H$1:$ABO$500,T$2,0),"Л")</f>
        <v>0</v>
      </c>
      <c r="U680" s="50">
        <f>SUMIFS(INDEX(Техника!$F$1:$ABM$500,U$2,0),Техника!$F$4:$ABM$4,"Часы",INDEX(Техника!$G$1:$ABN$500,U$2,0),$A$676,INDEX(Техника!$H$1:$ABO$500,U$2,0),"Л")</f>
        <v>0</v>
      </c>
      <c r="V680" s="50">
        <f>SUMIFS(INDEX(Техника!$F$1:$ABM$500,V$2,0),Техника!$F$4:$ABM$4,"Часы",INDEX(Техника!$G$1:$ABN$500,V$2,0),$A$676,INDEX(Техника!$H$1:$ABO$500,V$2,0),"Л")</f>
        <v>0</v>
      </c>
      <c r="W680" s="50">
        <f>SUMIFS(INDEX(Техника!$F$1:$ABM$500,W$2,0),Техника!$F$4:$ABM$4,"Часы",INDEX(Техника!$G$1:$ABN$500,W$2,0),$A$676,INDEX(Техника!$H$1:$ABO$500,W$2,0),"Л")</f>
        <v>0</v>
      </c>
      <c r="X680" s="50">
        <f>SUMIFS(INDEX(Техника!$F$1:$ABM$500,X$2,0),Техника!$F$4:$ABM$4,"Часы",INDEX(Техника!$G$1:$ABN$500,X$2,0),$A$676,INDEX(Техника!$H$1:$ABO$500,X$2,0),"Л")</f>
        <v>0</v>
      </c>
      <c r="Y680" s="50">
        <f>SUMIFS(INDEX(Техника!$F$1:$ABM$500,Y$2,0),Техника!$F$4:$ABM$4,"Часы",INDEX(Техника!$G$1:$ABN$500,Y$2,0),$A$676,INDEX(Техника!$H$1:$ABO$500,Y$2,0),"Л")</f>
        <v>0</v>
      </c>
      <c r="Z680" s="50">
        <f>SUMIFS(INDEX(Техника!$F$1:$ABM$500,Z$2,0),Техника!$F$4:$ABM$4,"Часы",INDEX(Техника!$G$1:$ABN$500,Z$2,0),$A$676,INDEX(Техника!$H$1:$ABO$500,Z$2,0),"Л")</f>
        <v>0</v>
      </c>
      <c r="AA680" s="50">
        <f>SUMIFS(INDEX(Техника!$F$1:$ABM$500,AA$2,0),Техника!$F$4:$ABM$4,"Часы",INDEX(Техника!$G$1:$ABN$500,AA$2,0),$A$676,INDEX(Техника!$H$1:$ABO$500,AA$2,0),"Л")</f>
        <v>0</v>
      </c>
      <c r="AB680" s="50">
        <f>SUMIFS(INDEX(Техника!$F$1:$ABM$500,AB$2,0),Техника!$F$4:$ABM$4,"Часы",INDEX(Техника!$G$1:$ABN$500,AB$2,0),$A$676,INDEX(Техника!$H$1:$ABO$500,AB$2,0),"Л")</f>
        <v>0</v>
      </c>
    </row>
    <row r="681" spans="1:28" hidden="1" outlineLevel="1" x14ac:dyDescent="0.3">
      <c r="A681" s="33" t="s">
        <v>245</v>
      </c>
      <c r="B681" s="34" t="s">
        <v>279</v>
      </c>
      <c r="C681" s="50">
        <f>SUMIFS(INDEX(Техника!$F$1:$ABM$500,C$2,0),Техника!$F$4:$ABM$4,"Часы",INDEX(Техника!$G$1:$ABN$500,C$2,0),$A$676,INDEX(Техника!$H$1:$ABO$500,C$2,0),"З")</f>
        <v>0</v>
      </c>
      <c r="D681" s="50">
        <f>SUMIFS(INDEX(Техника!$F$1:$ABM$500,D$2,0),Техника!$F$4:$ABM$4,"Часы",INDEX(Техника!$G$1:$ABN$500,D$2,0),$A$676,INDEX(Техника!$H$1:$ABO$500,D$2,0),"З")</f>
        <v>0</v>
      </c>
      <c r="E681" s="50">
        <f>SUMIFS(INDEX(Техника!$F$1:$ABM$500,E$2,0),Техника!$F$4:$ABM$4,"Часы",INDEX(Техника!$G$1:$ABN$500,E$2,0),$A$676,INDEX(Техника!$H$1:$ABO$500,E$2,0),"З")</f>
        <v>0</v>
      </c>
      <c r="F681" s="50">
        <f>SUMIFS(INDEX(Техника!$F$1:$ABM$500,F$2,0),Техника!$F$4:$ABM$4,"Часы",INDEX(Техника!$G$1:$ABN$500,F$2,0),$A$676,INDEX(Техника!$H$1:$ABO$500,F$2,0),"З")</f>
        <v>0</v>
      </c>
      <c r="G681" s="50">
        <f>SUMIFS(INDEX(Техника!$F$1:$ABM$500,G$2,0),Техника!$F$4:$ABM$4,"Часы",INDEX(Техника!$G$1:$ABN$500,G$2,0),$A$676,INDEX(Техника!$H$1:$ABO$500,G$2,0),"З")</f>
        <v>0</v>
      </c>
      <c r="H681" s="50">
        <f>SUMIFS(INDEX(Техника!$F$1:$ABM$500,H$2,0),Техника!$F$4:$ABM$4,"Часы",INDEX(Техника!$G$1:$ABN$500,H$2,0),$A$676,INDEX(Техника!$H$1:$ABO$500,H$2,0),"З")</f>
        <v>0</v>
      </c>
      <c r="I681" s="50">
        <f>SUMIFS(INDEX(Техника!$F$1:$ABM$500,I$2,0),Техника!$F$4:$ABM$4,"Часы",INDEX(Техника!$G$1:$ABN$500,I$2,0),$A$676,INDEX(Техника!$H$1:$ABO$500,I$2,0),"З")</f>
        <v>0</v>
      </c>
      <c r="J681" s="50">
        <f>SUMIFS(INDEX(Техника!$F$1:$ABM$500,J$2,0),Техника!$F$4:$ABM$4,"Часы",INDEX(Техника!$G$1:$ABN$500,J$2,0),$A$676,INDEX(Техника!$H$1:$ABO$500,J$2,0),"З")</f>
        <v>0</v>
      </c>
      <c r="K681" s="50">
        <f>SUMIFS(INDEX(Техника!$F$1:$ABM$500,K$2,0),Техника!$F$4:$ABM$4,"Часы",INDEX(Техника!$G$1:$ABN$500,K$2,0),$A$676,INDEX(Техника!$H$1:$ABO$500,K$2,0),"З")</f>
        <v>0</v>
      </c>
      <c r="L681" s="50">
        <f>SUMIFS(INDEX(Техника!$F$1:$ABM$500,L$2,0),Техника!$F$4:$ABM$4,"Часы",INDEX(Техника!$G$1:$ABN$500,L$2,0),$A$676,INDEX(Техника!$H$1:$ABO$500,L$2,0),"З")</f>
        <v>0</v>
      </c>
      <c r="M681" s="50">
        <f>SUMIFS(INDEX(Техника!$F$1:$ABM$500,M$2,0),Техника!$F$4:$ABM$4,"Часы",INDEX(Техника!$G$1:$ABN$500,M$2,0),$A$676,INDEX(Техника!$H$1:$ABO$500,M$2,0),"З")</f>
        <v>0</v>
      </c>
      <c r="N681" s="50">
        <f>SUMIFS(INDEX(Техника!$F$1:$ABM$500,N$2,0),Техника!$F$4:$ABM$4,"Часы",INDEX(Техника!$G$1:$ABN$500,N$2,0),$A$676,INDEX(Техника!$H$1:$ABO$500,N$2,0),"З")</f>
        <v>0</v>
      </c>
      <c r="O681" s="50">
        <f>SUMIFS(INDEX(Техника!$F$1:$ABM$500,O$2,0),Техника!$F$4:$ABM$4,"Часы",INDEX(Техника!$G$1:$ABN$500,O$2,0),$A$676,INDEX(Техника!$H$1:$ABO$500,O$2,0),"З")</f>
        <v>0</v>
      </c>
      <c r="P681" s="50">
        <f>SUMIFS(INDEX(Техника!$F$1:$ABM$500,P$2,0),Техника!$F$4:$ABM$4,"Часы",INDEX(Техника!$G$1:$ABN$500,P$2,0),$A$676,INDEX(Техника!$H$1:$ABO$500,P$2,0),"З")</f>
        <v>0</v>
      </c>
      <c r="Q681" s="50">
        <f>SUMIFS(INDEX(Техника!$F$1:$ABM$500,Q$2,0),Техника!$F$4:$ABM$4,"Часы",INDEX(Техника!$G$1:$ABN$500,Q$2,0),$A$676,INDEX(Техника!$H$1:$ABO$500,Q$2,0),"З")</f>
        <v>0</v>
      </c>
      <c r="R681" s="50">
        <f>SUMIFS(INDEX(Техника!$F$1:$ABM$500,R$2,0),Техника!$F$4:$ABM$4,"Часы",INDEX(Техника!$G$1:$ABN$500,R$2,0),$A$676,INDEX(Техника!$H$1:$ABO$500,R$2,0),"З")</f>
        <v>0</v>
      </c>
      <c r="S681" s="50">
        <f>SUMIFS(INDEX(Техника!$F$1:$ABM$500,S$2,0),Техника!$F$4:$ABM$4,"Часы",INDEX(Техника!$G$1:$ABN$500,S$2,0),$A$676,INDEX(Техника!$H$1:$ABO$500,S$2,0),"З")</f>
        <v>0</v>
      </c>
      <c r="T681" s="50">
        <f>SUMIFS(INDEX(Техника!$F$1:$ABM$500,T$2,0),Техника!$F$4:$ABM$4,"Часы",INDEX(Техника!$G$1:$ABN$500,T$2,0),$A$676,INDEX(Техника!$H$1:$ABO$500,T$2,0),"З")</f>
        <v>0</v>
      </c>
      <c r="U681" s="50">
        <f>SUMIFS(INDEX(Техника!$F$1:$ABM$500,U$2,0),Техника!$F$4:$ABM$4,"Часы",INDEX(Техника!$G$1:$ABN$500,U$2,0),$A$676,INDEX(Техника!$H$1:$ABO$500,U$2,0),"З")</f>
        <v>0</v>
      </c>
      <c r="V681" s="50">
        <f>SUMIFS(INDEX(Техника!$F$1:$ABM$500,V$2,0),Техника!$F$4:$ABM$4,"Часы",INDEX(Техника!$G$1:$ABN$500,V$2,0),$A$676,INDEX(Техника!$H$1:$ABO$500,V$2,0),"З")</f>
        <v>0</v>
      </c>
      <c r="W681" s="50">
        <f>SUMIFS(INDEX(Техника!$F$1:$ABM$500,W$2,0),Техника!$F$4:$ABM$4,"Часы",INDEX(Техника!$G$1:$ABN$500,W$2,0),$A$676,INDEX(Техника!$H$1:$ABO$500,W$2,0),"З")</f>
        <v>0</v>
      </c>
      <c r="X681" s="50">
        <f>SUMIFS(INDEX(Техника!$F$1:$ABM$500,X$2,0),Техника!$F$4:$ABM$4,"Часы",INDEX(Техника!$G$1:$ABN$500,X$2,0),$A$676,INDEX(Техника!$H$1:$ABO$500,X$2,0),"З")</f>
        <v>0</v>
      </c>
      <c r="Y681" s="50">
        <f>SUMIFS(INDEX(Техника!$F$1:$ABM$500,Y$2,0),Техника!$F$4:$ABM$4,"Часы",INDEX(Техника!$G$1:$ABN$500,Y$2,0),$A$676,INDEX(Техника!$H$1:$ABO$500,Y$2,0),"З")</f>
        <v>0</v>
      </c>
      <c r="Z681" s="50">
        <f>SUMIFS(INDEX(Техника!$F$1:$ABM$500,Z$2,0),Техника!$F$4:$ABM$4,"Часы",INDEX(Техника!$G$1:$ABN$500,Z$2,0),$A$676,INDEX(Техника!$H$1:$ABO$500,Z$2,0),"З")</f>
        <v>0</v>
      </c>
      <c r="AA681" s="50">
        <f>SUMIFS(INDEX(Техника!$F$1:$ABM$500,AA$2,0),Техника!$F$4:$ABM$4,"Часы",INDEX(Техника!$G$1:$ABN$500,AA$2,0),$A$676,INDEX(Техника!$H$1:$ABO$500,AA$2,0),"З")</f>
        <v>0</v>
      </c>
      <c r="AB681" s="50">
        <f>SUMIFS(INDEX(Техника!$F$1:$ABM$500,AB$2,0),Техника!$F$4:$ABM$4,"Часы",INDEX(Техника!$G$1:$ABN$500,AB$2,0),$A$676,INDEX(Техника!$H$1:$ABO$500,AB$2,0),"З")</f>
        <v>0</v>
      </c>
    </row>
    <row r="682" spans="1:28" ht="7.95" customHeight="1" x14ac:dyDescent="0.3">
      <c r="A682" s="38"/>
      <c r="B682" s="39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</row>
    <row r="683" spans="1:28" ht="25.05" customHeight="1" collapsed="1" x14ac:dyDescent="0.3">
      <c r="A683" s="32">
        <v>98</v>
      </c>
      <c r="B683" s="32" t="s">
        <v>99</v>
      </c>
      <c r="C683" s="49">
        <f>SUM(C684:C688)</f>
        <v>0</v>
      </c>
      <c r="D683" s="49">
        <f>SUM(D684:D688)</f>
        <v>0</v>
      </c>
      <c r="E683" s="49">
        <f>SUM(E684:E688)</f>
        <v>0</v>
      </c>
      <c r="F683" s="49">
        <f>SUM(F684:F688)</f>
        <v>0</v>
      </c>
      <c r="G683" s="49">
        <f>SUM(G684:G688)</f>
        <v>0</v>
      </c>
      <c r="H683" s="49">
        <f>SUM(H684:H688)</f>
        <v>0</v>
      </c>
      <c r="I683" s="49">
        <f>SUM(I684:I688)</f>
        <v>0</v>
      </c>
      <c r="J683" s="49">
        <f>SUM(J684:J688)</f>
        <v>0</v>
      </c>
      <c r="K683" s="49">
        <f>SUM(K684:K688)</f>
        <v>0</v>
      </c>
      <c r="L683" s="49">
        <f>SUM(L684:L688)</f>
        <v>0</v>
      </c>
      <c r="M683" s="49">
        <f>SUM(M684:M688)</f>
        <v>0</v>
      </c>
      <c r="N683" s="49">
        <f>SUM(N684:N688)</f>
        <v>0</v>
      </c>
      <c r="O683" s="49">
        <f>SUM(O684:O688)</f>
        <v>0</v>
      </c>
      <c r="P683" s="49">
        <f>SUM(P684:P688)</f>
        <v>0</v>
      </c>
      <c r="Q683" s="49">
        <f>SUM(Q684:Q688)</f>
        <v>0</v>
      </c>
      <c r="R683" s="49">
        <f>SUM(R684:R688)</f>
        <v>0</v>
      </c>
      <c r="S683" s="49">
        <f>SUM(S684:S688)</f>
        <v>0</v>
      </c>
      <c r="T683" s="49">
        <f>SUM(T684:T688)</f>
        <v>0</v>
      </c>
      <c r="U683" s="49">
        <f>SUM(U684:U688)</f>
        <v>0</v>
      </c>
      <c r="V683" s="49">
        <f>SUM(V684:V688)</f>
        <v>0</v>
      </c>
      <c r="W683" s="49">
        <f>SUM(W684:W688)</f>
        <v>0</v>
      </c>
      <c r="X683" s="49">
        <f>SUM(X684:X688)</f>
        <v>0</v>
      </c>
      <c r="Y683" s="49">
        <f>SUM(Y684:Y688)</f>
        <v>0</v>
      </c>
      <c r="Z683" s="49">
        <f>SUM(Z684:Z688)</f>
        <v>0</v>
      </c>
      <c r="AA683" s="49">
        <f>SUM(AA684:AA688)</f>
        <v>0</v>
      </c>
      <c r="AB683" s="49">
        <f>SUM(AB684:AB688)</f>
        <v>0</v>
      </c>
    </row>
    <row r="684" spans="1:28" hidden="1" outlineLevel="1" x14ac:dyDescent="0.3">
      <c r="A684" s="33" t="s">
        <v>246</v>
      </c>
      <c r="B684" s="34" t="s">
        <v>274</v>
      </c>
      <c r="C684" s="50">
        <f>SUMIFS(INDEX(Техника!$F$1:$ABM$500,C$2,0),Техника!$F$4:$ABM$4,"Часы",INDEX(Техника!$G$1:$ABN$500,C$2,0),$A$683,INDEX(Техника!$H$1:$ABO$500,C$2,0),"М")</f>
        <v>0</v>
      </c>
      <c r="D684" s="50">
        <f>SUMIFS(INDEX(Техника!$F$1:$ABM$500,D$2,0),Техника!$F$4:$ABM$4,"Часы",INDEX(Техника!$G$1:$ABN$500,D$2,0),$A$683,INDEX(Техника!$H$1:$ABO$500,D$2,0),"М")</f>
        <v>0</v>
      </c>
      <c r="E684" s="50">
        <f>SUMIFS(INDEX(Техника!$F$1:$ABM$500,E$2,0),Техника!$F$4:$ABM$4,"Часы",INDEX(Техника!$G$1:$ABN$500,E$2,0),$A$683,INDEX(Техника!$H$1:$ABO$500,E$2,0),"М")</f>
        <v>0</v>
      </c>
      <c r="F684" s="50">
        <f>SUMIFS(INDEX(Техника!$F$1:$ABM$500,F$2,0),Техника!$F$4:$ABM$4,"Часы",INDEX(Техника!$G$1:$ABN$500,F$2,0),$A$683,INDEX(Техника!$H$1:$ABO$500,F$2,0),"М")</f>
        <v>0</v>
      </c>
      <c r="G684" s="50">
        <f>SUMIFS(INDEX(Техника!$F$1:$ABM$500,G$2,0),Техника!$F$4:$ABM$4,"Часы",INDEX(Техника!$G$1:$ABN$500,G$2,0),$A$683,INDEX(Техника!$H$1:$ABO$500,G$2,0),"М")</f>
        <v>0</v>
      </c>
      <c r="H684" s="50">
        <f>SUMIFS(INDEX(Техника!$F$1:$ABM$500,H$2,0),Техника!$F$4:$ABM$4,"Часы",INDEX(Техника!$G$1:$ABN$500,H$2,0),$A$683,INDEX(Техника!$H$1:$ABO$500,H$2,0),"М")</f>
        <v>0</v>
      </c>
      <c r="I684" s="50">
        <f>SUMIFS(INDEX(Техника!$F$1:$ABM$500,I$2,0),Техника!$F$4:$ABM$4,"Часы",INDEX(Техника!$G$1:$ABN$500,I$2,0),$A$683,INDEX(Техника!$H$1:$ABO$500,I$2,0),"М")</f>
        <v>0</v>
      </c>
      <c r="J684" s="50">
        <f>SUMIFS(INDEX(Техника!$F$1:$ABM$500,J$2,0),Техника!$F$4:$ABM$4,"Часы",INDEX(Техника!$G$1:$ABN$500,J$2,0),$A$683,INDEX(Техника!$H$1:$ABO$500,J$2,0),"М")</f>
        <v>0</v>
      </c>
      <c r="K684" s="50">
        <f>SUMIFS(INDEX(Техника!$F$1:$ABM$500,K$2,0),Техника!$F$4:$ABM$4,"Часы",INDEX(Техника!$G$1:$ABN$500,K$2,0),$A$683,INDEX(Техника!$H$1:$ABO$500,K$2,0),"М")</f>
        <v>0</v>
      </c>
      <c r="L684" s="50">
        <f>SUMIFS(INDEX(Техника!$F$1:$ABM$500,L$2,0),Техника!$F$4:$ABM$4,"Часы",INDEX(Техника!$G$1:$ABN$500,L$2,0),$A$683,INDEX(Техника!$H$1:$ABO$500,L$2,0),"М")</f>
        <v>0</v>
      </c>
      <c r="M684" s="50">
        <f>SUMIFS(INDEX(Техника!$F$1:$ABM$500,M$2,0),Техника!$F$4:$ABM$4,"Часы",INDEX(Техника!$G$1:$ABN$500,M$2,0),$A$683,INDEX(Техника!$H$1:$ABO$500,M$2,0),"М")</f>
        <v>0</v>
      </c>
      <c r="N684" s="50">
        <f>SUMIFS(INDEX(Техника!$F$1:$ABM$500,N$2,0),Техника!$F$4:$ABM$4,"Часы",INDEX(Техника!$G$1:$ABN$500,N$2,0),$A$683,INDEX(Техника!$H$1:$ABO$500,N$2,0),"М")</f>
        <v>0</v>
      </c>
      <c r="O684" s="50">
        <f>SUMIFS(INDEX(Техника!$F$1:$ABM$500,O$2,0),Техника!$F$4:$ABM$4,"Часы",INDEX(Техника!$G$1:$ABN$500,O$2,0),$A$683,INDEX(Техника!$H$1:$ABO$500,O$2,0),"М")</f>
        <v>0</v>
      </c>
      <c r="P684" s="50">
        <f>SUMIFS(INDEX(Техника!$F$1:$ABM$500,P$2,0),Техника!$F$4:$ABM$4,"Часы",INDEX(Техника!$G$1:$ABN$500,P$2,0),$A$683,INDEX(Техника!$H$1:$ABO$500,P$2,0),"М")</f>
        <v>0</v>
      </c>
      <c r="Q684" s="50">
        <f>SUMIFS(INDEX(Техника!$F$1:$ABM$500,Q$2,0),Техника!$F$4:$ABM$4,"Часы",INDEX(Техника!$G$1:$ABN$500,Q$2,0),$A$683,INDEX(Техника!$H$1:$ABO$500,Q$2,0),"М")</f>
        <v>0</v>
      </c>
      <c r="R684" s="50">
        <f>SUMIFS(INDEX(Техника!$F$1:$ABM$500,R$2,0),Техника!$F$4:$ABM$4,"Часы",INDEX(Техника!$G$1:$ABN$500,R$2,0),$A$683,INDEX(Техника!$H$1:$ABO$500,R$2,0),"М")</f>
        <v>0</v>
      </c>
      <c r="S684" s="50">
        <f>SUMIFS(INDEX(Техника!$F$1:$ABM$500,S$2,0),Техника!$F$4:$ABM$4,"Часы",INDEX(Техника!$G$1:$ABN$500,S$2,0),$A$683,INDEX(Техника!$H$1:$ABO$500,S$2,0),"М")</f>
        <v>0</v>
      </c>
      <c r="T684" s="50">
        <f>SUMIFS(INDEX(Техника!$F$1:$ABM$500,T$2,0),Техника!$F$4:$ABM$4,"Часы",INDEX(Техника!$G$1:$ABN$500,T$2,0),$A$683,INDEX(Техника!$H$1:$ABO$500,T$2,0),"М")</f>
        <v>0</v>
      </c>
      <c r="U684" s="50">
        <f>SUMIFS(INDEX(Техника!$F$1:$ABM$500,U$2,0),Техника!$F$4:$ABM$4,"Часы",INDEX(Техника!$G$1:$ABN$500,U$2,0),$A$683,INDEX(Техника!$H$1:$ABO$500,U$2,0),"М")</f>
        <v>0</v>
      </c>
      <c r="V684" s="50">
        <f>SUMIFS(INDEX(Техника!$F$1:$ABM$500,V$2,0),Техника!$F$4:$ABM$4,"Часы",INDEX(Техника!$G$1:$ABN$500,V$2,0),$A$683,INDEX(Техника!$H$1:$ABO$500,V$2,0),"М")</f>
        <v>0</v>
      </c>
      <c r="W684" s="50">
        <f>SUMIFS(INDEX(Техника!$F$1:$ABM$500,W$2,0),Техника!$F$4:$ABM$4,"Часы",INDEX(Техника!$G$1:$ABN$500,W$2,0),$A$683,INDEX(Техника!$H$1:$ABO$500,W$2,0),"М")</f>
        <v>0</v>
      </c>
      <c r="X684" s="50">
        <f>SUMIFS(INDEX(Техника!$F$1:$ABM$500,X$2,0),Техника!$F$4:$ABM$4,"Часы",INDEX(Техника!$G$1:$ABN$500,X$2,0),$A$683,INDEX(Техника!$H$1:$ABO$500,X$2,0),"М")</f>
        <v>0</v>
      </c>
      <c r="Y684" s="50">
        <f>SUMIFS(INDEX(Техника!$F$1:$ABM$500,Y$2,0),Техника!$F$4:$ABM$4,"Часы",INDEX(Техника!$G$1:$ABN$500,Y$2,0),$A$683,INDEX(Техника!$H$1:$ABO$500,Y$2,0),"М")</f>
        <v>0</v>
      </c>
      <c r="Z684" s="50">
        <f>SUMIFS(INDEX(Техника!$F$1:$ABM$500,Z$2,0),Техника!$F$4:$ABM$4,"Часы",INDEX(Техника!$G$1:$ABN$500,Z$2,0),$A$683,INDEX(Техника!$H$1:$ABO$500,Z$2,0),"М")</f>
        <v>0</v>
      </c>
      <c r="AA684" s="50">
        <f>SUMIFS(INDEX(Техника!$F$1:$ABM$500,AA$2,0),Техника!$F$4:$ABM$4,"Часы",INDEX(Техника!$G$1:$ABN$500,AA$2,0),$A$683,INDEX(Техника!$H$1:$ABO$500,AA$2,0),"М")</f>
        <v>0</v>
      </c>
      <c r="AB684" s="50">
        <f>SUMIFS(INDEX(Техника!$F$1:$ABM$500,AB$2,0),Техника!$F$4:$ABM$4,"Часы",INDEX(Техника!$G$1:$ABN$500,AB$2,0),$A$683,INDEX(Техника!$H$1:$ABO$500,AB$2,0),"М")</f>
        <v>0</v>
      </c>
    </row>
    <row r="685" spans="1:28" hidden="1" outlineLevel="1" x14ac:dyDescent="0.3">
      <c r="A685" s="33" t="s">
        <v>244</v>
      </c>
      <c r="B685" s="34" t="s">
        <v>275</v>
      </c>
      <c r="C685" s="50">
        <f>SUMIFS(INDEX(Техника!$F$1:$ABM$500,C$2,0),Техника!$F$4:$ABM$4,"Часы",INDEX(Техника!$G$1:$ABN$500,C$2,0),$A$683,INDEX(Техника!$H$1:$ABO$500,C$2,0),"Д")</f>
        <v>0</v>
      </c>
      <c r="D685" s="50">
        <f>SUMIFS(INDEX(Техника!$F$1:$ABM$500,D$2,0),Техника!$F$4:$ABM$4,"Часы",INDEX(Техника!$G$1:$ABN$500,D$2,0),$A$683,INDEX(Техника!$H$1:$ABO$500,D$2,0),"Д")</f>
        <v>0</v>
      </c>
      <c r="E685" s="50">
        <f>SUMIFS(INDEX(Техника!$F$1:$ABM$500,E$2,0),Техника!$F$4:$ABM$4,"Часы",INDEX(Техника!$G$1:$ABN$500,E$2,0),$A$683,INDEX(Техника!$H$1:$ABO$500,E$2,0),"Д")</f>
        <v>0</v>
      </c>
      <c r="F685" s="50">
        <f>SUMIFS(INDEX(Техника!$F$1:$ABM$500,F$2,0),Техника!$F$4:$ABM$4,"Часы",INDEX(Техника!$G$1:$ABN$500,F$2,0),$A$683,INDEX(Техника!$H$1:$ABO$500,F$2,0),"Д")</f>
        <v>0</v>
      </c>
      <c r="G685" s="50">
        <f>SUMIFS(INDEX(Техника!$F$1:$ABM$500,G$2,0),Техника!$F$4:$ABM$4,"Часы",INDEX(Техника!$G$1:$ABN$500,G$2,0),$A$683,INDEX(Техника!$H$1:$ABO$500,G$2,0),"Д")</f>
        <v>0</v>
      </c>
      <c r="H685" s="50">
        <f>SUMIFS(INDEX(Техника!$F$1:$ABM$500,H$2,0),Техника!$F$4:$ABM$4,"Часы",INDEX(Техника!$G$1:$ABN$500,H$2,0),$A$683,INDEX(Техника!$H$1:$ABO$500,H$2,0),"Д")</f>
        <v>0</v>
      </c>
      <c r="I685" s="50">
        <f>SUMIFS(INDEX(Техника!$F$1:$ABM$500,I$2,0),Техника!$F$4:$ABM$4,"Часы",INDEX(Техника!$G$1:$ABN$500,I$2,0),$A$683,INDEX(Техника!$H$1:$ABO$500,I$2,0),"Д")</f>
        <v>0</v>
      </c>
      <c r="J685" s="50">
        <f>SUMIFS(INDEX(Техника!$F$1:$ABM$500,J$2,0),Техника!$F$4:$ABM$4,"Часы",INDEX(Техника!$G$1:$ABN$500,J$2,0),$A$683,INDEX(Техника!$H$1:$ABO$500,J$2,0),"Д")</f>
        <v>0</v>
      </c>
      <c r="K685" s="50">
        <f>SUMIFS(INDEX(Техника!$F$1:$ABM$500,K$2,0),Техника!$F$4:$ABM$4,"Часы",INDEX(Техника!$G$1:$ABN$500,K$2,0),$A$683,INDEX(Техника!$H$1:$ABO$500,K$2,0),"Д")</f>
        <v>0</v>
      </c>
      <c r="L685" s="50">
        <f>SUMIFS(INDEX(Техника!$F$1:$ABM$500,L$2,0),Техника!$F$4:$ABM$4,"Часы",INDEX(Техника!$G$1:$ABN$500,L$2,0),$A$683,INDEX(Техника!$H$1:$ABO$500,L$2,0),"Д")</f>
        <v>0</v>
      </c>
      <c r="M685" s="50">
        <f>SUMIFS(INDEX(Техника!$F$1:$ABM$500,M$2,0),Техника!$F$4:$ABM$4,"Часы",INDEX(Техника!$G$1:$ABN$500,M$2,0),$A$683,INDEX(Техника!$H$1:$ABO$500,M$2,0),"Д")</f>
        <v>0</v>
      </c>
      <c r="N685" s="50">
        <f>SUMIFS(INDEX(Техника!$F$1:$ABM$500,N$2,0),Техника!$F$4:$ABM$4,"Часы",INDEX(Техника!$G$1:$ABN$500,N$2,0),$A$683,INDEX(Техника!$H$1:$ABO$500,N$2,0),"Д")</f>
        <v>0</v>
      </c>
      <c r="O685" s="50">
        <f>SUMIFS(INDEX(Техника!$F$1:$ABM$500,O$2,0),Техника!$F$4:$ABM$4,"Часы",INDEX(Техника!$G$1:$ABN$500,O$2,0),$A$683,INDEX(Техника!$H$1:$ABO$500,O$2,0),"Д")</f>
        <v>0</v>
      </c>
      <c r="P685" s="50">
        <f>SUMIFS(INDEX(Техника!$F$1:$ABM$500,P$2,0),Техника!$F$4:$ABM$4,"Часы",INDEX(Техника!$G$1:$ABN$500,P$2,0),$A$683,INDEX(Техника!$H$1:$ABO$500,P$2,0),"Д")</f>
        <v>0</v>
      </c>
      <c r="Q685" s="50">
        <f>SUMIFS(INDEX(Техника!$F$1:$ABM$500,Q$2,0),Техника!$F$4:$ABM$4,"Часы",INDEX(Техника!$G$1:$ABN$500,Q$2,0),$A$683,INDEX(Техника!$H$1:$ABO$500,Q$2,0),"Д")</f>
        <v>0</v>
      </c>
      <c r="R685" s="50">
        <f>SUMIFS(INDEX(Техника!$F$1:$ABM$500,R$2,0),Техника!$F$4:$ABM$4,"Часы",INDEX(Техника!$G$1:$ABN$500,R$2,0),$A$683,INDEX(Техника!$H$1:$ABO$500,R$2,0),"Д")</f>
        <v>0</v>
      </c>
      <c r="S685" s="50">
        <f>SUMIFS(INDEX(Техника!$F$1:$ABM$500,S$2,0),Техника!$F$4:$ABM$4,"Часы",INDEX(Техника!$G$1:$ABN$500,S$2,0),$A$683,INDEX(Техника!$H$1:$ABO$500,S$2,0),"Д")</f>
        <v>0</v>
      </c>
      <c r="T685" s="50">
        <f>SUMIFS(INDEX(Техника!$F$1:$ABM$500,T$2,0),Техника!$F$4:$ABM$4,"Часы",INDEX(Техника!$G$1:$ABN$500,T$2,0),$A$683,INDEX(Техника!$H$1:$ABO$500,T$2,0),"Д")</f>
        <v>0</v>
      </c>
      <c r="U685" s="50">
        <f>SUMIFS(INDEX(Техника!$F$1:$ABM$500,U$2,0),Техника!$F$4:$ABM$4,"Часы",INDEX(Техника!$G$1:$ABN$500,U$2,0),$A$683,INDEX(Техника!$H$1:$ABO$500,U$2,0),"Д")</f>
        <v>0</v>
      </c>
      <c r="V685" s="50">
        <f>SUMIFS(INDEX(Техника!$F$1:$ABM$500,V$2,0),Техника!$F$4:$ABM$4,"Часы",INDEX(Техника!$G$1:$ABN$500,V$2,0),$A$683,INDEX(Техника!$H$1:$ABO$500,V$2,0),"Д")</f>
        <v>0</v>
      </c>
      <c r="W685" s="50">
        <f>SUMIFS(INDEX(Техника!$F$1:$ABM$500,W$2,0),Техника!$F$4:$ABM$4,"Часы",INDEX(Техника!$G$1:$ABN$500,W$2,0),$A$683,INDEX(Техника!$H$1:$ABO$500,W$2,0),"Д")</f>
        <v>0</v>
      </c>
      <c r="X685" s="50">
        <f>SUMIFS(INDEX(Техника!$F$1:$ABM$500,X$2,0),Техника!$F$4:$ABM$4,"Часы",INDEX(Техника!$G$1:$ABN$500,X$2,0),$A$683,INDEX(Техника!$H$1:$ABO$500,X$2,0),"Д")</f>
        <v>0</v>
      </c>
      <c r="Y685" s="50">
        <f>SUMIFS(INDEX(Техника!$F$1:$ABM$500,Y$2,0),Техника!$F$4:$ABM$4,"Часы",INDEX(Техника!$G$1:$ABN$500,Y$2,0),$A$683,INDEX(Техника!$H$1:$ABO$500,Y$2,0),"Д")</f>
        <v>0</v>
      </c>
      <c r="Z685" s="50">
        <f>SUMIFS(INDEX(Техника!$F$1:$ABM$500,Z$2,0),Техника!$F$4:$ABM$4,"Часы",INDEX(Техника!$G$1:$ABN$500,Z$2,0),$A$683,INDEX(Техника!$H$1:$ABO$500,Z$2,0),"Д")</f>
        <v>0</v>
      </c>
      <c r="AA685" s="50">
        <f>SUMIFS(INDEX(Техника!$F$1:$ABM$500,AA$2,0),Техника!$F$4:$ABM$4,"Часы",INDEX(Техника!$G$1:$ABN$500,AA$2,0),$A$683,INDEX(Техника!$H$1:$ABO$500,AA$2,0),"Д")</f>
        <v>0</v>
      </c>
      <c r="AB685" s="50">
        <f>SUMIFS(INDEX(Техника!$F$1:$ABM$500,AB$2,0),Техника!$F$4:$ABM$4,"Часы",INDEX(Техника!$G$1:$ABN$500,AB$2,0),$A$683,INDEX(Техника!$H$1:$ABO$500,AB$2,0),"Д")</f>
        <v>0</v>
      </c>
    </row>
    <row r="686" spans="1:28" hidden="1" outlineLevel="1" x14ac:dyDescent="0.3">
      <c r="A686" s="33" t="s">
        <v>276</v>
      </c>
      <c r="B686" s="34" t="s">
        <v>277</v>
      </c>
      <c r="C686" s="50">
        <f>SUMIFS(INDEX(Техника!$F$1:$ABM$500,C$2,0),Техника!$F$4:$ABM$4,"Часы",INDEX(Техника!$G$1:$ABN$500,C$2,0),$A$683,INDEX(Техника!$H$1:$ABO$500,C$2,0),"П")</f>
        <v>0</v>
      </c>
      <c r="D686" s="50">
        <f>SUMIFS(INDEX(Техника!$F$1:$ABM$500,D$2,0),Техника!$F$4:$ABM$4,"Часы",INDEX(Техника!$G$1:$ABN$500,D$2,0),$A$683,INDEX(Техника!$H$1:$ABO$500,D$2,0),"П")</f>
        <v>0</v>
      </c>
      <c r="E686" s="50">
        <f>SUMIFS(INDEX(Техника!$F$1:$ABM$500,E$2,0),Техника!$F$4:$ABM$4,"Часы",INDEX(Техника!$G$1:$ABN$500,E$2,0),$A$683,INDEX(Техника!$H$1:$ABO$500,E$2,0),"П")</f>
        <v>0</v>
      </c>
      <c r="F686" s="50">
        <f>SUMIFS(INDEX(Техника!$F$1:$ABM$500,F$2,0),Техника!$F$4:$ABM$4,"Часы",INDEX(Техника!$G$1:$ABN$500,F$2,0),$A$683,INDEX(Техника!$H$1:$ABO$500,F$2,0),"П")</f>
        <v>0</v>
      </c>
      <c r="G686" s="50">
        <f>SUMIFS(INDEX(Техника!$F$1:$ABM$500,G$2,0),Техника!$F$4:$ABM$4,"Часы",INDEX(Техника!$G$1:$ABN$500,G$2,0),$A$683,INDEX(Техника!$H$1:$ABO$500,G$2,0),"П")</f>
        <v>0</v>
      </c>
      <c r="H686" s="50">
        <f>SUMIFS(INDEX(Техника!$F$1:$ABM$500,H$2,0),Техника!$F$4:$ABM$4,"Часы",INDEX(Техника!$G$1:$ABN$500,H$2,0),$A$683,INDEX(Техника!$H$1:$ABO$500,H$2,0),"П")</f>
        <v>0</v>
      </c>
      <c r="I686" s="50">
        <f>SUMIFS(INDEX(Техника!$F$1:$ABM$500,I$2,0),Техника!$F$4:$ABM$4,"Часы",INDEX(Техника!$G$1:$ABN$500,I$2,0),$A$683,INDEX(Техника!$H$1:$ABO$500,I$2,0),"П")</f>
        <v>0</v>
      </c>
      <c r="J686" s="50">
        <f>SUMIFS(INDEX(Техника!$F$1:$ABM$500,J$2,0),Техника!$F$4:$ABM$4,"Часы",INDEX(Техника!$G$1:$ABN$500,J$2,0),$A$683,INDEX(Техника!$H$1:$ABO$500,J$2,0),"П")</f>
        <v>0</v>
      </c>
      <c r="K686" s="50">
        <f>SUMIFS(INDEX(Техника!$F$1:$ABM$500,K$2,0),Техника!$F$4:$ABM$4,"Часы",INDEX(Техника!$G$1:$ABN$500,K$2,0),$A$683,INDEX(Техника!$H$1:$ABO$500,K$2,0),"П")</f>
        <v>0</v>
      </c>
      <c r="L686" s="50">
        <f>SUMIFS(INDEX(Техника!$F$1:$ABM$500,L$2,0),Техника!$F$4:$ABM$4,"Часы",INDEX(Техника!$G$1:$ABN$500,L$2,0),$A$683,INDEX(Техника!$H$1:$ABO$500,L$2,0),"П")</f>
        <v>0</v>
      </c>
      <c r="M686" s="50">
        <f>SUMIFS(INDEX(Техника!$F$1:$ABM$500,M$2,0),Техника!$F$4:$ABM$4,"Часы",INDEX(Техника!$G$1:$ABN$500,M$2,0),$A$683,INDEX(Техника!$H$1:$ABO$500,M$2,0),"П")</f>
        <v>0</v>
      </c>
      <c r="N686" s="50">
        <f>SUMIFS(INDEX(Техника!$F$1:$ABM$500,N$2,0),Техника!$F$4:$ABM$4,"Часы",INDEX(Техника!$G$1:$ABN$500,N$2,0),$A$683,INDEX(Техника!$H$1:$ABO$500,N$2,0),"П")</f>
        <v>0</v>
      </c>
      <c r="O686" s="50">
        <f>SUMIFS(INDEX(Техника!$F$1:$ABM$500,O$2,0),Техника!$F$4:$ABM$4,"Часы",INDEX(Техника!$G$1:$ABN$500,O$2,0),$A$683,INDEX(Техника!$H$1:$ABO$500,O$2,0),"П")</f>
        <v>0</v>
      </c>
      <c r="P686" s="50">
        <f>SUMIFS(INDEX(Техника!$F$1:$ABM$500,P$2,0),Техника!$F$4:$ABM$4,"Часы",INDEX(Техника!$G$1:$ABN$500,P$2,0),$A$683,INDEX(Техника!$H$1:$ABO$500,P$2,0),"П")</f>
        <v>0</v>
      </c>
      <c r="Q686" s="50">
        <f>SUMIFS(INDEX(Техника!$F$1:$ABM$500,Q$2,0),Техника!$F$4:$ABM$4,"Часы",INDEX(Техника!$G$1:$ABN$500,Q$2,0),$A$683,INDEX(Техника!$H$1:$ABO$500,Q$2,0),"П")</f>
        <v>0</v>
      </c>
      <c r="R686" s="50">
        <f>SUMIFS(INDEX(Техника!$F$1:$ABM$500,R$2,0),Техника!$F$4:$ABM$4,"Часы",INDEX(Техника!$G$1:$ABN$500,R$2,0),$A$683,INDEX(Техника!$H$1:$ABO$500,R$2,0),"П")</f>
        <v>0</v>
      </c>
      <c r="S686" s="50">
        <f>SUMIFS(INDEX(Техника!$F$1:$ABM$500,S$2,0),Техника!$F$4:$ABM$4,"Часы",INDEX(Техника!$G$1:$ABN$500,S$2,0),$A$683,INDEX(Техника!$H$1:$ABO$500,S$2,0),"П")</f>
        <v>0</v>
      </c>
      <c r="T686" s="50">
        <f>SUMIFS(INDEX(Техника!$F$1:$ABM$500,T$2,0),Техника!$F$4:$ABM$4,"Часы",INDEX(Техника!$G$1:$ABN$500,T$2,0),$A$683,INDEX(Техника!$H$1:$ABO$500,T$2,0),"П")</f>
        <v>0</v>
      </c>
      <c r="U686" s="50">
        <f>SUMIFS(INDEX(Техника!$F$1:$ABM$500,U$2,0),Техника!$F$4:$ABM$4,"Часы",INDEX(Техника!$G$1:$ABN$500,U$2,0),$A$683,INDEX(Техника!$H$1:$ABO$500,U$2,0),"П")</f>
        <v>0</v>
      </c>
      <c r="V686" s="50">
        <f>SUMIFS(INDEX(Техника!$F$1:$ABM$500,V$2,0),Техника!$F$4:$ABM$4,"Часы",INDEX(Техника!$G$1:$ABN$500,V$2,0),$A$683,INDEX(Техника!$H$1:$ABO$500,V$2,0),"П")</f>
        <v>0</v>
      </c>
      <c r="W686" s="50">
        <f>SUMIFS(INDEX(Техника!$F$1:$ABM$500,W$2,0),Техника!$F$4:$ABM$4,"Часы",INDEX(Техника!$G$1:$ABN$500,W$2,0),$A$683,INDEX(Техника!$H$1:$ABO$500,W$2,0),"П")</f>
        <v>0</v>
      </c>
      <c r="X686" s="50">
        <f>SUMIFS(INDEX(Техника!$F$1:$ABM$500,X$2,0),Техника!$F$4:$ABM$4,"Часы",INDEX(Техника!$G$1:$ABN$500,X$2,0),$A$683,INDEX(Техника!$H$1:$ABO$500,X$2,0),"П")</f>
        <v>0</v>
      </c>
      <c r="Y686" s="50">
        <f>SUMIFS(INDEX(Техника!$F$1:$ABM$500,Y$2,0),Техника!$F$4:$ABM$4,"Часы",INDEX(Техника!$G$1:$ABN$500,Y$2,0),$A$683,INDEX(Техника!$H$1:$ABO$500,Y$2,0),"П")</f>
        <v>0</v>
      </c>
      <c r="Z686" s="50">
        <f>SUMIFS(INDEX(Техника!$F$1:$ABM$500,Z$2,0),Техника!$F$4:$ABM$4,"Часы",INDEX(Техника!$G$1:$ABN$500,Z$2,0),$A$683,INDEX(Техника!$H$1:$ABO$500,Z$2,0),"П")</f>
        <v>0</v>
      </c>
      <c r="AA686" s="50">
        <f>SUMIFS(INDEX(Техника!$F$1:$ABM$500,AA$2,0),Техника!$F$4:$ABM$4,"Часы",INDEX(Техника!$G$1:$ABN$500,AA$2,0),$A$683,INDEX(Техника!$H$1:$ABO$500,AA$2,0),"П")</f>
        <v>0</v>
      </c>
      <c r="AB686" s="50">
        <f>SUMIFS(INDEX(Техника!$F$1:$ABM$500,AB$2,0),Техника!$F$4:$ABM$4,"Часы",INDEX(Техника!$G$1:$ABN$500,AB$2,0),$A$683,INDEX(Техника!$H$1:$ABO$500,AB$2,0),"П")</f>
        <v>0</v>
      </c>
    </row>
    <row r="687" spans="1:28" hidden="1" outlineLevel="1" x14ac:dyDescent="0.3">
      <c r="A687" s="33" t="s">
        <v>243</v>
      </c>
      <c r="B687" s="34" t="s">
        <v>278</v>
      </c>
      <c r="C687" s="50">
        <f>SUMIFS(INDEX(Техника!$F$1:$ABM$500,C$2,0),Техника!$F$4:$ABM$4,"Часы",INDEX(Техника!$G$1:$ABN$500,C$2,0),$A$683,INDEX(Техника!$H$1:$ABO$500,C$2,0),"Л")</f>
        <v>0</v>
      </c>
      <c r="D687" s="50">
        <f>SUMIFS(INDEX(Техника!$F$1:$ABM$500,D$2,0),Техника!$F$4:$ABM$4,"Часы",INDEX(Техника!$G$1:$ABN$500,D$2,0),$A$683,INDEX(Техника!$H$1:$ABO$500,D$2,0),"Л")</f>
        <v>0</v>
      </c>
      <c r="E687" s="50">
        <f>SUMIFS(INDEX(Техника!$F$1:$ABM$500,E$2,0),Техника!$F$4:$ABM$4,"Часы",INDEX(Техника!$G$1:$ABN$500,E$2,0),$A$683,INDEX(Техника!$H$1:$ABO$500,E$2,0),"Л")</f>
        <v>0</v>
      </c>
      <c r="F687" s="50">
        <f>SUMIFS(INDEX(Техника!$F$1:$ABM$500,F$2,0),Техника!$F$4:$ABM$4,"Часы",INDEX(Техника!$G$1:$ABN$500,F$2,0),$A$683,INDEX(Техника!$H$1:$ABO$500,F$2,0),"Л")</f>
        <v>0</v>
      </c>
      <c r="G687" s="50">
        <f>SUMIFS(INDEX(Техника!$F$1:$ABM$500,G$2,0),Техника!$F$4:$ABM$4,"Часы",INDEX(Техника!$G$1:$ABN$500,G$2,0),$A$683,INDEX(Техника!$H$1:$ABO$500,G$2,0),"Л")</f>
        <v>0</v>
      </c>
      <c r="H687" s="50">
        <f>SUMIFS(INDEX(Техника!$F$1:$ABM$500,H$2,0),Техника!$F$4:$ABM$4,"Часы",INDEX(Техника!$G$1:$ABN$500,H$2,0),$A$683,INDEX(Техника!$H$1:$ABO$500,H$2,0),"Л")</f>
        <v>0</v>
      </c>
      <c r="I687" s="50">
        <f>SUMIFS(INDEX(Техника!$F$1:$ABM$500,I$2,0),Техника!$F$4:$ABM$4,"Часы",INDEX(Техника!$G$1:$ABN$500,I$2,0),$A$683,INDEX(Техника!$H$1:$ABO$500,I$2,0),"Л")</f>
        <v>0</v>
      </c>
      <c r="J687" s="50">
        <f>SUMIFS(INDEX(Техника!$F$1:$ABM$500,J$2,0),Техника!$F$4:$ABM$4,"Часы",INDEX(Техника!$G$1:$ABN$500,J$2,0),$A$683,INDEX(Техника!$H$1:$ABO$500,J$2,0),"Л")</f>
        <v>0</v>
      </c>
      <c r="K687" s="50">
        <f>SUMIFS(INDEX(Техника!$F$1:$ABM$500,K$2,0),Техника!$F$4:$ABM$4,"Часы",INDEX(Техника!$G$1:$ABN$500,K$2,0),$A$683,INDEX(Техника!$H$1:$ABO$500,K$2,0),"Л")</f>
        <v>0</v>
      </c>
      <c r="L687" s="50">
        <f>SUMIFS(INDEX(Техника!$F$1:$ABM$500,L$2,0),Техника!$F$4:$ABM$4,"Часы",INDEX(Техника!$G$1:$ABN$500,L$2,0),$A$683,INDEX(Техника!$H$1:$ABO$500,L$2,0),"Л")</f>
        <v>0</v>
      </c>
      <c r="M687" s="50">
        <f>SUMIFS(INDEX(Техника!$F$1:$ABM$500,M$2,0),Техника!$F$4:$ABM$4,"Часы",INDEX(Техника!$G$1:$ABN$500,M$2,0),$A$683,INDEX(Техника!$H$1:$ABO$500,M$2,0),"Л")</f>
        <v>0</v>
      </c>
      <c r="N687" s="50">
        <f>SUMIFS(INDEX(Техника!$F$1:$ABM$500,N$2,0),Техника!$F$4:$ABM$4,"Часы",INDEX(Техника!$G$1:$ABN$500,N$2,0),$A$683,INDEX(Техника!$H$1:$ABO$500,N$2,0),"Л")</f>
        <v>0</v>
      </c>
      <c r="O687" s="50">
        <f>SUMIFS(INDEX(Техника!$F$1:$ABM$500,O$2,0),Техника!$F$4:$ABM$4,"Часы",INDEX(Техника!$G$1:$ABN$500,O$2,0),$A$683,INDEX(Техника!$H$1:$ABO$500,O$2,0),"Л")</f>
        <v>0</v>
      </c>
      <c r="P687" s="50">
        <f>SUMIFS(INDEX(Техника!$F$1:$ABM$500,P$2,0),Техника!$F$4:$ABM$4,"Часы",INDEX(Техника!$G$1:$ABN$500,P$2,0),$A$683,INDEX(Техника!$H$1:$ABO$500,P$2,0),"Л")</f>
        <v>0</v>
      </c>
      <c r="Q687" s="50">
        <f>SUMIFS(INDEX(Техника!$F$1:$ABM$500,Q$2,0),Техника!$F$4:$ABM$4,"Часы",INDEX(Техника!$G$1:$ABN$500,Q$2,0),$A$683,INDEX(Техника!$H$1:$ABO$500,Q$2,0),"Л")</f>
        <v>0</v>
      </c>
      <c r="R687" s="50">
        <f>SUMIFS(INDEX(Техника!$F$1:$ABM$500,R$2,0),Техника!$F$4:$ABM$4,"Часы",INDEX(Техника!$G$1:$ABN$500,R$2,0),$A$683,INDEX(Техника!$H$1:$ABO$500,R$2,0),"Л")</f>
        <v>0</v>
      </c>
      <c r="S687" s="50">
        <f>SUMIFS(INDEX(Техника!$F$1:$ABM$500,S$2,0),Техника!$F$4:$ABM$4,"Часы",INDEX(Техника!$G$1:$ABN$500,S$2,0),$A$683,INDEX(Техника!$H$1:$ABO$500,S$2,0),"Л")</f>
        <v>0</v>
      </c>
      <c r="T687" s="50">
        <f>SUMIFS(INDEX(Техника!$F$1:$ABM$500,T$2,0),Техника!$F$4:$ABM$4,"Часы",INDEX(Техника!$G$1:$ABN$500,T$2,0),$A$683,INDEX(Техника!$H$1:$ABO$500,T$2,0),"Л")</f>
        <v>0</v>
      </c>
      <c r="U687" s="50">
        <f>SUMIFS(INDEX(Техника!$F$1:$ABM$500,U$2,0),Техника!$F$4:$ABM$4,"Часы",INDEX(Техника!$G$1:$ABN$500,U$2,0),$A$683,INDEX(Техника!$H$1:$ABO$500,U$2,0),"Л")</f>
        <v>0</v>
      </c>
      <c r="V687" s="50">
        <f>SUMIFS(INDEX(Техника!$F$1:$ABM$500,V$2,0),Техника!$F$4:$ABM$4,"Часы",INDEX(Техника!$G$1:$ABN$500,V$2,0),$A$683,INDEX(Техника!$H$1:$ABO$500,V$2,0),"Л")</f>
        <v>0</v>
      </c>
      <c r="W687" s="50">
        <f>SUMIFS(INDEX(Техника!$F$1:$ABM$500,W$2,0),Техника!$F$4:$ABM$4,"Часы",INDEX(Техника!$G$1:$ABN$500,W$2,0),$A$683,INDEX(Техника!$H$1:$ABO$500,W$2,0),"Л")</f>
        <v>0</v>
      </c>
      <c r="X687" s="50">
        <f>SUMIFS(INDEX(Техника!$F$1:$ABM$500,X$2,0),Техника!$F$4:$ABM$4,"Часы",INDEX(Техника!$G$1:$ABN$500,X$2,0),$A$683,INDEX(Техника!$H$1:$ABO$500,X$2,0),"Л")</f>
        <v>0</v>
      </c>
      <c r="Y687" s="50">
        <f>SUMIFS(INDEX(Техника!$F$1:$ABM$500,Y$2,0),Техника!$F$4:$ABM$4,"Часы",INDEX(Техника!$G$1:$ABN$500,Y$2,0),$A$683,INDEX(Техника!$H$1:$ABO$500,Y$2,0),"Л")</f>
        <v>0</v>
      </c>
      <c r="Z687" s="50">
        <f>SUMIFS(INDEX(Техника!$F$1:$ABM$500,Z$2,0),Техника!$F$4:$ABM$4,"Часы",INDEX(Техника!$G$1:$ABN$500,Z$2,0),$A$683,INDEX(Техника!$H$1:$ABO$500,Z$2,0),"Л")</f>
        <v>0</v>
      </c>
      <c r="AA687" s="50">
        <f>SUMIFS(INDEX(Техника!$F$1:$ABM$500,AA$2,0),Техника!$F$4:$ABM$4,"Часы",INDEX(Техника!$G$1:$ABN$500,AA$2,0),$A$683,INDEX(Техника!$H$1:$ABO$500,AA$2,0),"Л")</f>
        <v>0</v>
      </c>
      <c r="AB687" s="50">
        <f>SUMIFS(INDEX(Техника!$F$1:$ABM$500,AB$2,0),Техника!$F$4:$ABM$4,"Часы",INDEX(Техника!$G$1:$ABN$500,AB$2,0),$A$683,INDEX(Техника!$H$1:$ABO$500,AB$2,0),"Л")</f>
        <v>0</v>
      </c>
    </row>
    <row r="688" spans="1:28" hidden="1" outlineLevel="1" x14ac:dyDescent="0.3">
      <c r="A688" s="33" t="s">
        <v>245</v>
      </c>
      <c r="B688" s="34" t="s">
        <v>279</v>
      </c>
      <c r="C688" s="50">
        <f>SUMIFS(INDEX(Техника!$F$1:$ABM$500,C$2,0),Техника!$F$4:$ABM$4,"Часы",INDEX(Техника!$G$1:$ABN$500,C$2,0),$A$683,INDEX(Техника!$H$1:$ABO$500,C$2,0),"З")</f>
        <v>0</v>
      </c>
      <c r="D688" s="50">
        <f>SUMIFS(INDEX(Техника!$F$1:$ABM$500,D$2,0),Техника!$F$4:$ABM$4,"Часы",INDEX(Техника!$G$1:$ABN$500,D$2,0),$A$683,INDEX(Техника!$H$1:$ABO$500,D$2,0),"З")</f>
        <v>0</v>
      </c>
      <c r="E688" s="50">
        <f>SUMIFS(INDEX(Техника!$F$1:$ABM$500,E$2,0),Техника!$F$4:$ABM$4,"Часы",INDEX(Техника!$G$1:$ABN$500,E$2,0),$A$683,INDEX(Техника!$H$1:$ABO$500,E$2,0),"З")</f>
        <v>0</v>
      </c>
      <c r="F688" s="50">
        <f>SUMIFS(INDEX(Техника!$F$1:$ABM$500,F$2,0),Техника!$F$4:$ABM$4,"Часы",INDEX(Техника!$G$1:$ABN$500,F$2,0),$A$683,INDEX(Техника!$H$1:$ABO$500,F$2,0),"З")</f>
        <v>0</v>
      </c>
      <c r="G688" s="50">
        <f>SUMIFS(INDEX(Техника!$F$1:$ABM$500,G$2,0),Техника!$F$4:$ABM$4,"Часы",INDEX(Техника!$G$1:$ABN$500,G$2,0),$A$683,INDEX(Техника!$H$1:$ABO$500,G$2,0),"З")</f>
        <v>0</v>
      </c>
      <c r="H688" s="50">
        <f>SUMIFS(INDEX(Техника!$F$1:$ABM$500,H$2,0),Техника!$F$4:$ABM$4,"Часы",INDEX(Техника!$G$1:$ABN$500,H$2,0),$A$683,INDEX(Техника!$H$1:$ABO$500,H$2,0),"З")</f>
        <v>0</v>
      </c>
      <c r="I688" s="50">
        <f>SUMIFS(INDEX(Техника!$F$1:$ABM$500,I$2,0),Техника!$F$4:$ABM$4,"Часы",INDEX(Техника!$G$1:$ABN$500,I$2,0),$A$683,INDEX(Техника!$H$1:$ABO$500,I$2,0),"З")</f>
        <v>0</v>
      </c>
      <c r="J688" s="50">
        <f>SUMIFS(INDEX(Техника!$F$1:$ABM$500,J$2,0),Техника!$F$4:$ABM$4,"Часы",INDEX(Техника!$G$1:$ABN$500,J$2,0),$A$683,INDEX(Техника!$H$1:$ABO$500,J$2,0),"З")</f>
        <v>0</v>
      </c>
      <c r="K688" s="50">
        <f>SUMIFS(INDEX(Техника!$F$1:$ABM$500,K$2,0),Техника!$F$4:$ABM$4,"Часы",INDEX(Техника!$G$1:$ABN$500,K$2,0),$A$683,INDEX(Техника!$H$1:$ABO$500,K$2,0),"З")</f>
        <v>0</v>
      </c>
      <c r="L688" s="50">
        <f>SUMIFS(INDEX(Техника!$F$1:$ABM$500,L$2,0),Техника!$F$4:$ABM$4,"Часы",INDEX(Техника!$G$1:$ABN$500,L$2,0),$A$683,INDEX(Техника!$H$1:$ABO$500,L$2,0),"З")</f>
        <v>0</v>
      </c>
      <c r="M688" s="50">
        <f>SUMIFS(INDEX(Техника!$F$1:$ABM$500,M$2,0),Техника!$F$4:$ABM$4,"Часы",INDEX(Техника!$G$1:$ABN$500,M$2,0),$A$683,INDEX(Техника!$H$1:$ABO$500,M$2,0),"З")</f>
        <v>0</v>
      </c>
      <c r="N688" s="50">
        <f>SUMIFS(INDEX(Техника!$F$1:$ABM$500,N$2,0),Техника!$F$4:$ABM$4,"Часы",INDEX(Техника!$G$1:$ABN$500,N$2,0),$A$683,INDEX(Техника!$H$1:$ABO$500,N$2,0),"З")</f>
        <v>0</v>
      </c>
      <c r="O688" s="50">
        <f>SUMIFS(INDEX(Техника!$F$1:$ABM$500,O$2,0),Техника!$F$4:$ABM$4,"Часы",INDEX(Техника!$G$1:$ABN$500,O$2,0),$A$683,INDEX(Техника!$H$1:$ABO$500,O$2,0),"З")</f>
        <v>0</v>
      </c>
      <c r="P688" s="50">
        <f>SUMIFS(INDEX(Техника!$F$1:$ABM$500,P$2,0),Техника!$F$4:$ABM$4,"Часы",INDEX(Техника!$G$1:$ABN$500,P$2,0),$A$683,INDEX(Техника!$H$1:$ABO$500,P$2,0),"З")</f>
        <v>0</v>
      </c>
      <c r="Q688" s="50">
        <f>SUMIFS(INDEX(Техника!$F$1:$ABM$500,Q$2,0),Техника!$F$4:$ABM$4,"Часы",INDEX(Техника!$G$1:$ABN$500,Q$2,0),$A$683,INDEX(Техника!$H$1:$ABO$500,Q$2,0),"З")</f>
        <v>0</v>
      </c>
      <c r="R688" s="50">
        <f>SUMIFS(INDEX(Техника!$F$1:$ABM$500,R$2,0),Техника!$F$4:$ABM$4,"Часы",INDEX(Техника!$G$1:$ABN$500,R$2,0),$A$683,INDEX(Техника!$H$1:$ABO$500,R$2,0),"З")</f>
        <v>0</v>
      </c>
      <c r="S688" s="50">
        <f>SUMIFS(INDEX(Техника!$F$1:$ABM$500,S$2,0),Техника!$F$4:$ABM$4,"Часы",INDEX(Техника!$G$1:$ABN$500,S$2,0),$A$683,INDEX(Техника!$H$1:$ABO$500,S$2,0),"З")</f>
        <v>0</v>
      </c>
      <c r="T688" s="50">
        <f>SUMIFS(INDEX(Техника!$F$1:$ABM$500,T$2,0),Техника!$F$4:$ABM$4,"Часы",INDEX(Техника!$G$1:$ABN$500,T$2,0),$A$683,INDEX(Техника!$H$1:$ABO$500,T$2,0),"З")</f>
        <v>0</v>
      </c>
      <c r="U688" s="50">
        <f>SUMIFS(INDEX(Техника!$F$1:$ABM$500,U$2,0),Техника!$F$4:$ABM$4,"Часы",INDEX(Техника!$G$1:$ABN$500,U$2,0),$A$683,INDEX(Техника!$H$1:$ABO$500,U$2,0),"З")</f>
        <v>0</v>
      </c>
      <c r="V688" s="50">
        <f>SUMIFS(INDEX(Техника!$F$1:$ABM$500,V$2,0),Техника!$F$4:$ABM$4,"Часы",INDEX(Техника!$G$1:$ABN$500,V$2,0),$A$683,INDEX(Техника!$H$1:$ABO$500,V$2,0),"З")</f>
        <v>0</v>
      </c>
      <c r="W688" s="50">
        <f>SUMIFS(INDEX(Техника!$F$1:$ABM$500,W$2,0),Техника!$F$4:$ABM$4,"Часы",INDEX(Техника!$G$1:$ABN$500,W$2,0),$A$683,INDEX(Техника!$H$1:$ABO$500,W$2,0),"З")</f>
        <v>0</v>
      </c>
      <c r="X688" s="50">
        <f>SUMIFS(INDEX(Техника!$F$1:$ABM$500,X$2,0),Техника!$F$4:$ABM$4,"Часы",INDEX(Техника!$G$1:$ABN$500,X$2,0),$A$683,INDEX(Техника!$H$1:$ABO$500,X$2,0),"З")</f>
        <v>0</v>
      </c>
      <c r="Y688" s="50">
        <f>SUMIFS(INDEX(Техника!$F$1:$ABM$500,Y$2,0),Техника!$F$4:$ABM$4,"Часы",INDEX(Техника!$G$1:$ABN$500,Y$2,0),$A$683,INDEX(Техника!$H$1:$ABO$500,Y$2,0),"З")</f>
        <v>0</v>
      </c>
      <c r="Z688" s="50">
        <f>SUMIFS(INDEX(Техника!$F$1:$ABM$500,Z$2,0),Техника!$F$4:$ABM$4,"Часы",INDEX(Техника!$G$1:$ABN$500,Z$2,0),$A$683,INDEX(Техника!$H$1:$ABO$500,Z$2,0),"З")</f>
        <v>0</v>
      </c>
      <c r="AA688" s="50">
        <f>SUMIFS(INDEX(Техника!$F$1:$ABM$500,AA$2,0),Техника!$F$4:$ABM$4,"Часы",INDEX(Техника!$G$1:$ABN$500,AA$2,0),$A$683,INDEX(Техника!$H$1:$ABO$500,AA$2,0),"З")</f>
        <v>0</v>
      </c>
      <c r="AB688" s="50">
        <f>SUMIFS(INDEX(Техника!$F$1:$ABM$500,AB$2,0),Техника!$F$4:$ABM$4,"Часы",INDEX(Техника!$G$1:$ABN$500,AB$2,0),$A$683,INDEX(Техника!$H$1:$ABO$500,AB$2,0),"З")</f>
        <v>0</v>
      </c>
    </row>
    <row r="689" spans="1:28" ht="7.95" customHeight="1" x14ac:dyDescent="0.3">
      <c r="A689" s="38"/>
      <c r="B689" s="39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</row>
    <row r="690" spans="1:28" ht="25.05" customHeight="1" collapsed="1" x14ac:dyDescent="0.3">
      <c r="A690" s="32">
        <v>99</v>
      </c>
      <c r="B690" s="32" t="s">
        <v>100</v>
      </c>
      <c r="C690" s="49">
        <f>SUM(C691:C695)</f>
        <v>0</v>
      </c>
      <c r="D690" s="49">
        <f>SUM(D691:D695)</f>
        <v>0</v>
      </c>
      <c r="E690" s="49">
        <f>SUM(E691:E695)</f>
        <v>0</v>
      </c>
      <c r="F690" s="49">
        <f>SUM(F691:F695)</f>
        <v>0</v>
      </c>
      <c r="G690" s="49">
        <f>SUM(G691:G695)</f>
        <v>0</v>
      </c>
      <c r="H690" s="49">
        <f>SUM(H691:H695)</f>
        <v>0</v>
      </c>
      <c r="I690" s="49">
        <f>SUM(I691:I695)</f>
        <v>0</v>
      </c>
      <c r="J690" s="49">
        <f>SUM(J691:J695)</f>
        <v>0</v>
      </c>
      <c r="K690" s="49">
        <f>SUM(K691:K695)</f>
        <v>0</v>
      </c>
      <c r="L690" s="49">
        <f>SUM(L691:L695)</f>
        <v>0</v>
      </c>
      <c r="M690" s="49">
        <f>SUM(M691:M695)</f>
        <v>0</v>
      </c>
      <c r="N690" s="49">
        <f>SUM(N691:N695)</f>
        <v>0</v>
      </c>
      <c r="O690" s="49">
        <f>SUM(O691:O695)</f>
        <v>0</v>
      </c>
      <c r="P690" s="49">
        <f>SUM(P691:P695)</f>
        <v>0</v>
      </c>
      <c r="Q690" s="49">
        <f>SUM(Q691:Q695)</f>
        <v>0</v>
      </c>
      <c r="R690" s="49">
        <f>SUM(R691:R695)</f>
        <v>0</v>
      </c>
      <c r="S690" s="49">
        <f>SUM(S691:S695)</f>
        <v>0</v>
      </c>
      <c r="T690" s="49">
        <f>SUM(T691:T695)</f>
        <v>0</v>
      </c>
      <c r="U690" s="49">
        <f>SUM(U691:U695)</f>
        <v>0</v>
      </c>
      <c r="V690" s="49">
        <f>SUM(V691:V695)</f>
        <v>0</v>
      </c>
      <c r="W690" s="49">
        <f>SUM(W691:W695)</f>
        <v>0</v>
      </c>
      <c r="X690" s="49">
        <f>SUM(X691:X695)</f>
        <v>0</v>
      </c>
      <c r="Y690" s="49">
        <f>SUM(Y691:Y695)</f>
        <v>0</v>
      </c>
      <c r="Z690" s="49">
        <f>SUM(Z691:Z695)</f>
        <v>0</v>
      </c>
      <c r="AA690" s="49">
        <f>SUM(AA691:AA695)</f>
        <v>0</v>
      </c>
      <c r="AB690" s="49">
        <f>SUM(AB691:AB695)</f>
        <v>0</v>
      </c>
    </row>
    <row r="691" spans="1:28" hidden="1" outlineLevel="1" x14ac:dyDescent="0.3">
      <c r="A691" s="33" t="s">
        <v>246</v>
      </c>
      <c r="B691" s="34" t="s">
        <v>274</v>
      </c>
      <c r="C691" s="50">
        <f>SUMIFS(INDEX(Техника!$F$1:$ABM$500,C$2,0),Техника!$F$4:$ABM$4,"Часы",INDEX(Техника!$G$1:$ABN$500,C$2,0),$A$690,INDEX(Техника!$H$1:$ABO$500,C$2,0),"М")</f>
        <v>0</v>
      </c>
      <c r="D691" s="50">
        <f>SUMIFS(INDEX(Техника!$F$1:$ABM$500,D$2,0),Техника!$F$4:$ABM$4,"Часы",INDEX(Техника!$G$1:$ABN$500,D$2,0),$A$690,INDEX(Техника!$H$1:$ABO$500,D$2,0),"М")</f>
        <v>0</v>
      </c>
      <c r="E691" s="50">
        <f>SUMIFS(INDEX(Техника!$F$1:$ABM$500,E$2,0),Техника!$F$4:$ABM$4,"Часы",INDEX(Техника!$G$1:$ABN$500,E$2,0),$A$690,INDEX(Техника!$H$1:$ABO$500,E$2,0),"М")</f>
        <v>0</v>
      </c>
      <c r="F691" s="50">
        <f>SUMIFS(INDEX(Техника!$F$1:$ABM$500,F$2,0),Техника!$F$4:$ABM$4,"Часы",INDEX(Техника!$G$1:$ABN$500,F$2,0),$A$690,INDEX(Техника!$H$1:$ABO$500,F$2,0),"М")</f>
        <v>0</v>
      </c>
      <c r="G691" s="50">
        <f>SUMIFS(INDEX(Техника!$F$1:$ABM$500,G$2,0),Техника!$F$4:$ABM$4,"Часы",INDEX(Техника!$G$1:$ABN$500,G$2,0),$A$690,INDEX(Техника!$H$1:$ABO$500,G$2,0),"М")</f>
        <v>0</v>
      </c>
      <c r="H691" s="50">
        <f>SUMIFS(INDEX(Техника!$F$1:$ABM$500,H$2,0),Техника!$F$4:$ABM$4,"Часы",INDEX(Техника!$G$1:$ABN$500,H$2,0),$A$690,INDEX(Техника!$H$1:$ABO$500,H$2,0),"М")</f>
        <v>0</v>
      </c>
      <c r="I691" s="50">
        <f>SUMIFS(INDEX(Техника!$F$1:$ABM$500,I$2,0),Техника!$F$4:$ABM$4,"Часы",INDEX(Техника!$G$1:$ABN$500,I$2,0),$A$690,INDEX(Техника!$H$1:$ABO$500,I$2,0),"М")</f>
        <v>0</v>
      </c>
      <c r="J691" s="50">
        <f>SUMIFS(INDEX(Техника!$F$1:$ABM$500,J$2,0),Техника!$F$4:$ABM$4,"Часы",INDEX(Техника!$G$1:$ABN$500,J$2,0),$A$690,INDEX(Техника!$H$1:$ABO$500,J$2,0),"М")</f>
        <v>0</v>
      </c>
      <c r="K691" s="50">
        <f>SUMIFS(INDEX(Техника!$F$1:$ABM$500,K$2,0),Техника!$F$4:$ABM$4,"Часы",INDEX(Техника!$G$1:$ABN$500,K$2,0),$A$690,INDEX(Техника!$H$1:$ABO$500,K$2,0),"М")</f>
        <v>0</v>
      </c>
      <c r="L691" s="50">
        <f>SUMIFS(INDEX(Техника!$F$1:$ABM$500,L$2,0),Техника!$F$4:$ABM$4,"Часы",INDEX(Техника!$G$1:$ABN$500,L$2,0),$A$690,INDEX(Техника!$H$1:$ABO$500,L$2,0),"М")</f>
        <v>0</v>
      </c>
      <c r="M691" s="50">
        <f>SUMIFS(INDEX(Техника!$F$1:$ABM$500,M$2,0),Техника!$F$4:$ABM$4,"Часы",INDEX(Техника!$G$1:$ABN$500,M$2,0),$A$690,INDEX(Техника!$H$1:$ABO$500,M$2,0),"М")</f>
        <v>0</v>
      </c>
      <c r="N691" s="50">
        <f>SUMIFS(INDEX(Техника!$F$1:$ABM$500,N$2,0),Техника!$F$4:$ABM$4,"Часы",INDEX(Техника!$G$1:$ABN$500,N$2,0),$A$690,INDEX(Техника!$H$1:$ABO$500,N$2,0),"М")</f>
        <v>0</v>
      </c>
      <c r="O691" s="50">
        <f>SUMIFS(INDEX(Техника!$F$1:$ABM$500,O$2,0),Техника!$F$4:$ABM$4,"Часы",INDEX(Техника!$G$1:$ABN$500,O$2,0),$A$690,INDEX(Техника!$H$1:$ABO$500,O$2,0),"М")</f>
        <v>0</v>
      </c>
      <c r="P691" s="50">
        <f>SUMIFS(INDEX(Техника!$F$1:$ABM$500,P$2,0),Техника!$F$4:$ABM$4,"Часы",INDEX(Техника!$G$1:$ABN$500,P$2,0),$A$690,INDEX(Техника!$H$1:$ABO$500,P$2,0),"М")</f>
        <v>0</v>
      </c>
      <c r="Q691" s="50">
        <f>SUMIFS(INDEX(Техника!$F$1:$ABM$500,Q$2,0),Техника!$F$4:$ABM$4,"Часы",INDEX(Техника!$G$1:$ABN$500,Q$2,0),$A$690,INDEX(Техника!$H$1:$ABO$500,Q$2,0),"М")</f>
        <v>0</v>
      </c>
      <c r="R691" s="50">
        <f>SUMIFS(INDEX(Техника!$F$1:$ABM$500,R$2,0),Техника!$F$4:$ABM$4,"Часы",INDEX(Техника!$G$1:$ABN$500,R$2,0),$A$690,INDEX(Техника!$H$1:$ABO$500,R$2,0),"М")</f>
        <v>0</v>
      </c>
      <c r="S691" s="50">
        <f>SUMIFS(INDEX(Техника!$F$1:$ABM$500,S$2,0),Техника!$F$4:$ABM$4,"Часы",INDEX(Техника!$G$1:$ABN$500,S$2,0),$A$690,INDEX(Техника!$H$1:$ABO$500,S$2,0),"М")</f>
        <v>0</v>
      </c>
      <c r="T691" s="50">
        <f>SUMIFS(INDEX(Техника!$F$1:$ABM$500,T$2,0),Техника!$F$4:$ABM$4,"Часы",INDEX(Техника!$G$1:$ABN$500,T$2,0),$A$690,INDEX(Техника!$H$1:$ABO$500,T$2,0),"М")</f>
        <v>0</v>
      </c>
      <c r="U691" s="50">
        <f>SUMIFS(INDEX(Техника!$F$1:$ABM$500,U$2,0),Техника!$F$4:$ABM$4,"Часы",INDEX(Техника!$G$1:$ABN$500,U$2,0),$A$690,INDEX(Техника!$H$1:$ABO$500,U$2,0),"М")</f>
        <v>0</v>
      </c>
      <c r="V691" s="50">
        <f>SUMIFS(INDEX(Техника!$F$1:$ABM$500,V$2,0),Техника!$F$4:$ABM$4,"Часы",INDEX(Техника!$G$1:$ABN$500,V$2,0),$A$690,INDEX(Техника!$H$1:$ABO$500,V$2,0),"М")</f>
        <v>0</v>
      </c>
      <c r="W691" s="50">
        <f>SUMIFS(INDEX(Техника!$F$1:$ABM$500,W$2,0),Техника!$F$4:$ABM$4,"Часы",INDEX(Техника!$G$1:$ABN$500,W$2,0),$A$690,INDEX(Техника!$H$1:$ABO$500,W$2,0),"М")</f>
        <v>0</v>
      </c>
      <c r="X691" s="50">
        <f>SUMIFS(INDEX(Техника!$F$1:$ABM$500,X$2,0),Техника!$F$4:$ABM$4,"Часы",INDEX(Техника!$G$1:$ABN$500,X$2,0),$A$690,INDEX(Техника!$H$1:$ABO$500,X$2,0),"М")</f>
        <v>0</v>
      </c>
      <c r="Y691" s="50">
        <f>SUMIFS(INDEX(Техника!$F$1:$ABM$500,Y$2,0),Техника!$F$4:$ABM$4,"Часы",INDEX(Техника!$G$1:$ABN$500,Y$2,0),$A$690,INDEX(Техника!$H$1:$ABO$500,Y$2,0),"М")</f>
        <v>0</v>
      </c>
      <c r="Z691" s="50">
        <f>SUMIFS(INDEX(Техника!$F$1:$ABM$500,Z$2,0),Техника!$F$4:$ABM$4,"Часы",INDEX(Техника!$G$1:$ABN$500,Z$2,0),$A$690,INDEX(Техника!$H$1:$ABO$500,Z$2,0),"М")</f>
        <v>0</v>
      </c>
      <c r="AA691" s="50">
        <f>SUMIFS(INDEX(Техника!$F$1:$ABM$500,AA$2,0),Техника!$F$4:$ABM$4,"Часы",INDEX(Техника!$G$1:$ABN$500,AA$2,0),$A$690,INDEX(Техника!$H$1:$ABO$500,AA$2,0),"М")</f>
        <v>0</v>
      </c>
      <c r="AB691" s="50">
        <f>SUMIFS(INDEX(Техника!$F$1:$ABM$500,AB$2,0),Техника!$F$4:$ABM$4,"Часы",INDEX(Техника!$G$1:$ABN$500,AB$2,0),$A$690,INDEX(Техника!$H$1:$ABO$500,AB$2,0),"М")</f>
        <v>0</v>
      </c>
    </row>
    <row r="692" spans="1:28" hidden="1" outlineLevel="1" x14ac:dyDescent="0.3">
      <c r="A692" s="33" t="s">
        <v>244</v>
      </c>
      <c r="B692" s="34" t="s">
        <v>275</v>
      </c>
      <c r="C692" s="50">
        <f>SUMIFS(INDEX(Техника!$F$1:$ABM$500,C$2,0),Техника!$F$4:$ABM$4,"Часы",INDEX(Техника!$G$1:$ABN$500,C$2,0),$A$690,INDEX(Техника!$H$1:$ABO$500,C$2,0),"Д")</f>
        <v>0</v>
      </c>
      <c r="D692" s="50">
        <f>SUMIFS(INDEX(Техника!$F$1:$ABM$500,D$2,0),Техника!$F$4:$ABM$4,"Часы",INDEX(Техника!$G$1:$ABN$500,D$2,0),$A$690,INDEX(Техника!$H$1:$ABO$500,D$2,0),"Д")</f>
        <v>0</v>
      </c>
      <c r="E692" s="50">
        <f>SUMIFS(INDEX(Техника!$F$1:$ABM$500,E$2,0),Техника!$F$4:$ABM$4,"Часы",INDEX(Техника!$G$1:$ABN$500,E$2,0),$A$690,INDEX(Техника!$H$1:$ABO$500,E$2,0),"Д")</f>
        <v>0</v>
      </c>
      <c r="F692" s="50">
        <f>SUMIFS(INDEX(Техника!$F$1:$ABM$500,F$2,0),Техника!$F$4:$ABM$4,"Часы",INDEX(Техника!$G$1:$ABN$500,F$2,0),$A$690,INDEX(Техника!$H$1:$ABO$500,F$2,0),"Д")</f>
        <v>0</v>
      </c>
      <c r="G692" s="50">
        <f>SUMIFS(INDEX(Техника!$F$1:$ABM$500,G$2,0),Техника!$F$4:$ABM$4,"Часы",INDEX(Техника!$G$1:$ABN$500,G$2,0),$A$690,INDEX(Техника!$H$1:$ABO$500,G$2,0),"Д")</f>
        <v>0</v>
      </c>
      <c r="H692" s="50">
        <f>SUMIFS(INDEX(Техника!$F$1:$ABM$500,H$2,0),Техника!$F$4:$ABM$4,"Часы",INDEX(Техника!$G$1:$ABN$500,H$2,0),$A$690,INDEX(Техника!$H$1:$ABO$500,H$2,0),"Д")</f>
        <v>0</v>
      </c>
      <c r="I692" s="50">
        <f>SUMIFS(INDEX(Техника!$F$1:$ABM$500,I$2,0),Техника!$F$4:$ABM$4,"Часы",INDEX(Техника!$G$1:$ABN$500,I$2,0),$A$690,INDEX(Техника!$H$1:$ABO$500,I$2,0),"Д")</f>
        <v>0</v>
      </c>
      <c r="J692" s="50">
        <f>SUMIFS(INDEX(Техника!$F$1:$ABM$500,J$2,0),Техника!$F$4:$ABM$4,"Часы",INDEX(Техника!$G$1:$ABN$500,J$2,0),$A$690,INDEX(Техника!$H$1:$ABO$500,J$2,0),"Д")</f>
        <v>0</v>
      </c>
      <c r="K692" s="50">
        <f>SUMIFS(INDEX(Техника!$F$1:$ABM$500,K$2,0),Техника!$F$4:$ABM$4,"Часы",INDEX(Техника!$G$1:$ABN$500,K$2,0),$A$690,INDEX(Техника!$H$1:$ABO$500,K$2,0),"Д")</f>
        <v>0</v>
      </c>
      <c r="L692" s="50">
        <f>SUMIFS(INDEX(Техника!$F$1:$ABM$500,L$2,0),Техника!$F$4:$ABM$4,"Часы",INDEX(Техника!$G$1:$ABN$500,L$2,0),$A$690,INDEX(Техника!$H$1:$ABO$500,L$2,0),"Д")</f>
        <v>0</v>
      </c>
      <c r="M692" s="50">
        <f>SUMIFS(INDEX(Техника!$F$1:$ABM$500,M$2,0),Техника!$F$4:$ABM$4,"Часы",INDEX(Техника!$G$1:$ABN$500,M$2,0),$A$690,INDEX(Техника!$H$1:$ABO$500,M$2,0),"Д")</f>
        <v>0</v>
      </c>
      <c r="N692" s="50">
        <f>SUMIFS(INDEX(Техника!$F$1:$ABM$500,N$2,0),Техника!$F$4:$ABM$4,"Часы",INDEX(Техника!$G$1:$ABN$500,N$2,0),$A$690,INDEX(Техника!$H$1:$ABO$500,N$2,0),"Д")</f>
        <v>0</v>
      </c>
      <c r="O692" s="50">
        <f>SUMIFS(INDEX(Техника!$F$1:$ABM$500,O$2,0),Техника!$F$4:$ABM$4,"Часы",INDEX(Техника!$G$1:$ABN$500,O$2,0),$A$690,INDEX(Техника!$H$1:$ABO$500,O$2,0),"Д")</f>
        <v>0</v>
      </c>
      <c r="P692" s="50">
        <f>SUMIFS(INDEX(Техника!$F$1:$ABM$500,P$2,0),Техника!$F$4:$ABM$4,"Часы",INDEX(Техника!$G$1:$ABN$500,P$2,0),$A$690,INDEX(Техника!$H$1:$ABO$500,P$2,0),"Д")</f>
        <v>0</v>
      </c>
      <c r="Q692" s="50">
        <f>SUMIFS(INDEX(Техника!$F$1:$ABM$500,Q$2,0),Техника!$F$4:$ABM$4,"Часы",INDEX(Техника!$G$1:$ABN$500,Q$2,0),$A$690,INDEX(Техника!$H$1:$ABO$500,Q$2,0),"Д")</f>
        <v>0</v>
      </c>
      <c r="R692" s="50">
        <f>SUMIFS(INDEX(Техника!$F$1:$ABM$500,R$2,0),Техника!$F$4:$ABM$4,"Часы",INDEX(Техника!$G$1:$ABN$500,R$2,0),$A$690,INDEX(Техника!$H$1:$ABO$500,R$2,0),"Д")</f>
        <v>0</v>
      </c>
      <c r="S692" s="50">
        <f>SUMIFS(INDEX(Техника!$F$1:$ABM$500,S$2,0),Техника!$F$4:$ABM$4,"Часы",INDEX(Техника!$G$1:$ABN$500,S$2,0),$A$690,INDEX(Техника!$H$1:$ABO$500,S$2,0),"Д")</f>
        <v>0</v>
      </c>
      <c r="T692" s="50">
        <f>SUMIFS(INDEX(Техника!$F$1:$ABM$500,T$2,0),Техника!$F$4:$ABM$4,"Часы",INDEX(Техника!$G$1:$ABN$500,T$2,0),$A$690,INDEX(Техника!$H$1:$ABO$500,T$2,0),"Д")</f>
        <v>0</v>
      </c>
      <c r="U692" s="50">
        <f>SUMIFS(INDEX(Техника!$F$1:$ABM$500,U$2,0),Техника!$F$4:$ABM$4,"Часы",INDEX(Техника!$G$1:$ABN$500,U$2,0),$A$690,INDEX(Техника!$H$1:$ABO$500,U$2,0),"Д")</f>
        <v>0</v>
      </c>
      <c r="V692" s="50">
        <f>SUMIFS(INDEX(Техника!$F$1:$ABM$500,V$2,0),Техника!$F$4:$ABM$4,"Часы",INDEX(Техника!$G$1:$ABN$500,V$2,0),$A$690,INDEX(Техника!$H$1:$ABO$500,V$2,0),"Д")</f>
        <v>0</v>
      </c>
      <c r="W692" s="50">
        <f>SUMIFS(INDEX(Техника!$F$1:$ABM$500,W$2,0),Техника!$F$4:$ABM$4,"Часы",INDEX(Техника!$G$1:$ABN$500,W$2,0),$A$690,INDEX(Техника!$H$1:$ABO$500,W$2,0),"Д")</f>
        <v>0</v>
      </c>
      <c r="X692" s="50">
        <f>SUMIFS(INDEX(Техника!$F$1:$ABM$500,X$2,0),Техника!$F$4:$ABM$4,"Часы",INDEX(Техника!$G$1:$ABN$500,X$2,0),$A$690,INDEX(Техника!$H$1:$ABO$500,X$2,0),"Д")</f>
        <v>0</v>
      </c>
      <c r="Y692" s="50">
        <f>SUMIFS(INDEX(Техника!$F$1:$ABM$500,Y$2,0),Техника!$F$4:$ABM$4,"Часы",INDEX(Техника!$G$1:$ABN$500,Y$2,0),$A$690,INDEX(Техника!$H$1:$ABO$500,Y$2,0),"Д")</f>
        <v>0</v>
      </c>
      <c r="Z692" s="50">
        <f>SUMIFS(INDEX(Техника!$F$1:$ABM$500,Z$2,0),Техника!$F$4:$ABM$4,"Часы",INDEX(Техника!$G$1:$ABN$500,Z$2,0),$A$690,INDEX(Техника!$H$1:$ABO$500,Z$2,0),"Д")</f>
        <v>0</v>
      </c>
      <c r="AA692" s="50">
        <f>SUMIFS(INDEX(Техника!$F$1:$ABM$500,AA$2,0),Техника!$F$4:$ABM$4,"Часы",INDEX(Техника!$G$1:$ABN$500,AA$2,0),$A$690,INDEX(Техника!$H$1:$ABO$500,AA$2,0),"Д")</f>
        <v>0</v>
      </c>
      <c r="AB692" s="50">
        <f>SUMIFS(INDEX(Техника!$F$1:$ABM$500,AB$2,0),Техника!$F$4:$ABM$4,"Часы",INDEX(Техника!$G$1:$ABN$500,AB$2,0),$A$690,INDEX(Техника!$H$1:$ABO$500,AB$2,0),"Д")</f>
        <v>0</v>
      </c>
    </row>
    <row r="693" spans="1:28" hidden="1" outlineLevel="1" x14ac:dyDescent="0.3">
      <c r="A693" s="33" t="s">
        <v>276</v>
      </c>
      <c r="B693" s="34" t="s">
        <v>277</v>
      </c>
      <c r="C693" s="50">
        <f>SUMIFS(INDEX(Техника!$F$1:$ABM$500,C$2,0),Техника!$F$4:$ABM$4,"Часы",INDEX(Техника!$G$1:$ABN$500,C$2,0),$A$690,INDEX(Техника!$H$1:$ABO$500,C$2,0),"П")</f>
        <v>0</v>
      </c>
      <c r="D693" s="50">
        <f>SUMIFS(INDEX(Техника!$F$1:$ABM$500,D$2,0),Техника!$F$4:$ABM$4,"Часы",INDEX(Техника!$G$1:$ABN$500,D$2,0),$A$690,INDEX(Техника!$H$1:$ABO$500,D$2,0),"П")</f>
        <v>0</v>
      </c>
      <c r="E693" s="50">
        <f>SUMIFS(INDEX(Техника!$F$1:$ABM$500,E$2,0),Техника!$F$4:$ABM$4,"Часы",INDEX(Техника!$G$1:$ABN$500,E$2,0),$A$690,INDEX(Техника!$H$1:$ABO$500,E$2,0),"П")</f>
        <v>0</v>
      </c>
      <c r="F693" s="50">
        <f>SUMIFS(INDEX(Техника!$F$1:$ABM$500,F$2,0),Техника!$F$4:$ABM$4,"Часы",INDEX(Техника!$G$1:$ABN$500,F$2,0),$A$690,INDEX(Техника!$H$1:$ABO$500,F$2,0),"П")</f>
        <v>0</v>
      </c>
      <c r="G693" s="50">
        <f>SUMIFS(INDEX(Техника!$F$1:$ABM$500,G$2,0),Техника!$F$4:$ABM$4,"Часы",INDEX(Техника!$G$1:$ABN$500,G$2,0),$A$690,INDEX(Техника!$H$1:$ABO$500,G$2,0),"П")</f>
        <v>0</v>
      </c>
      <c r="H693" s="50">
        <f>SUMIFS(INDEX(Техника!$F$1:$ABM$500,H$2,0),Техника!$F$4:$ABM$4,"Часы",INDEX(Техника!$G$1:$ABN$500,H$2,0),$A$690,INDEX(Техника!$H$1:$ABO$500,H$2,0),"П")</f>
        <v>0</v>
      </c>
      <c r="I693" s="50">
        <f>SUMIFS(INDEX(Техника!$F$1:$ABM$500,I$2,0),Техника!$F$4:$ABM$4,"Часы",INDEX(Техника!$G$1:$ABN$500,I$2,0),$A$690,INDEX(Техника!$H$1:$ABO$500,I$2,0),"П")</f>
        <v>0</v>
      </c>
      <c r="J693" s="50">
        <f>SUMIFS(INDEX(Техника!$F$1:$ABM$500,J$2,0),Техника!$F$4:$ABM$4,"Часы",INDEX(Техника!$G$1:$ABN$500,J$2,0),$A$690,INDEX(Техника!$H$1:$ABO$500,J$2,0),"П")</f>
        <v>0</v>
      </c>
      <c r="K693" s="50">
        <f>SUMIFS(INDEX(Техника!$F$1:$ABM$500,K$2,0),Техника!$F$4:$ABM$4,"Часы",INDEX(Техника!$G$1:$ABN$500,K$2,0),$A$690,INDEX(Техника!$H$1:$ABO$500,K$2,0),"П")</f>
        <v>0</v>
      </c>
      <c r="L693" s="50">
        <f>SUMIFS(INDEX(Техника!$F$1:$ABM$500,L$2,0),Техника!$F$4:$ABM$4,"Часы",INDEX(Техника!$G$1:$ABN$500,L$2,0),$A$690,INDEX(Техника!$H$1:$ABO$500,L$2,0),"П")</f>
        <v>0</v>
      </c>
      <c r="M693" s="50">
        <f>SUMIFS(INDEX(Техника!$F$1:$ABM$500,M$2,0),Техника!$F$4:$ABM$4,"Часы",INDEX(Техника!$G$1:$ABN$500,M$2,0),$A$690,INDEX(Техника!$H$1:$ABO$500,M$2,0),"П")</f>
        <v>0</v>
      </c>
      <c r="N693" s="50">
        <f>SUMIFS(INDEX(Техника!$F$1:$ABM$500,N$2,0),Техника!$F$4:$ABM$4,"Часы",INDEX(Техника!$G$1:$ABN$500,N$2,0),$A$690,INDEX(Техника!$H$1:$ABO$500,N$2,0),"П")</f>
        <v>0</v>
      </c>
      <c r="O693" s="50">
        <f>SUMIFS(INDEX(Техника!$F$1:$ABM$500,O$2,0),Техника!$F$4:$ABM$4,"Часы",INDEX(Техника!$G$1:$ABN$500,O$2,0),$A$690,INDEX(Техника!$H$1:$ABO$500,O$2,0),"П")</f>
        <v>0</v>
      </c>
      <c r="P693" s="50">
        <f>SUMIFS(INDEX(Техника!$F$1:$ABM$500,P$2,0),Техника!$F$4:$ABM$4,"Часы",INDEX(Техника!$G$1:$ABN$500,P$2,0),$A$690,INDEX(Техника!$H$1:$ABO$500,P$2,0),"П")</f>
        <v>0</v>
      </c>
      <c r="Q693" s="50">
        <f>SUMIFS(INDEX(Техника!$F$1:$ABM$500,Q$2,0),Техника!$F$4:$ABM$4,"Часы",INDEX(Техника!$G$1:$ABN$500,Q$2,0),$A$690,INDEX(Техника!$H$1:$ABO$500,Q$2,0),"П")</f>
        <v>0</v>
      </c>
      <c r="R693" s="50">
        <f>SUMIFS(INDEX(Техника!$F$1:$ABM$500,R$2,0),Техника!$F$4:$ABM$4,"Часы",INDEX(Техника!$G$1:$ABN$500,R$2,0),$A$690,INDEX(Техника!$H$1:$ABO$500,R$2,0),"П")</f>
        <v>0</v>
      </c>
      <c r="S693" s="50">
        <f>SUMIFS(INDEX(Техника!$F$1:$ABM$500,S$2,0),Техника!$F$4:$ABM$4,"Часы",INDEX(Техника!$G$1:$ABN$500,S$2,0),$A$690,INDEX(Техника!$H$1:$ABO$500,S$2,0),"П")</f>
        <v>0</v>
      </c>
      <c r="T693" s="50">
        <f>SUMIFS(INDEX(Техника!$F$1:$ABM$500,T$2,0),Техника!$F$4:$ABM$4,"Часы",INDEX(Техника!$G$1:$ABN$500,T$2,0),$A$690,INDEX(Техника!$H$1:$ABO$500,T$2,0),"П")</f>
        <v>0</v>
      </c>
      <c r="U693" s="50">
        <f>SUMIFS(INDEX(Техника!$F$1:$ABM$500,U$2,0),Техника!$F$4:$ABM$4,"Часы",INDEX(Техника!$G$1:$ABN$500,U$2,0),$A$690,INDEX(Техника!$H$1:$ABO$500,U$2,0),"П")</f>
        <v>0</v>
      </c>
      <c r="V693" s="50">
        <f>SUMIFS(INDEX(Техника!$F$1:$ABM$500,V$2,0),Техника!$F$4:$ABM$4,"Часы",INDEX(Техника!$G$1:$ABN$500,V$2,0),$A$690,INDEX(Техника!$H$1:$ABO$500,V$2,0),"П")</f>
        <v>0</v>
      </c>
      <c r="W693" s="50">
        <f>SUMIFS(INDEX(Техника!$F$1:$ABM$500,W$2,0),Техника!$F$4:$ABM$4,"Часы",INDEX(Техника!$G$1:$ABN$500,W$2,0),$A$690,INDEX(Техника!$H$1:$ABO$500,W$2,0),"П")</f>
        <v>0</v>
      </c>
      <c r="X693" s="50">
        <f>SUMIFS(INDEX(Техника!$F$1:$ABM$500,X$2,0),Техника!$F$4:$ABM$4,"Часы",INDEX(Техника!$G$1:$ABN$500,X$2,0),$A$690,INDEX(Техника!$H$1:$ABO$500,X$2,0),"П")</f>
        <v>0</v>
      </c>
      <c r="Y693" s="50">
        <f>SUMIFS(INDEX(Техника!$F$1:$ABM$500,Y$2,0),Техника!$F$4:$ABM$4,"Часы",INDEX(Техника!$G$1:$ABN$500,Y$2,0),$A$690,INDEX(Техника!$H$1:$ABO$500,Y$2,0),"П")</f>
        <v>0</v>
      </c>
      <c r="Z693" s="50">
        <f>SUMIFS(INDEX(Техника!$F$1:$ABM$500,Z$2,0),Техника!$F$4:$ABM$4,"Часы",INDEX(Техника!$G$1:$ABN$500,Z$2,0),$A$690,INDEX(Техника!$H$1:$ABO$500,Z$2,0),"П")</f>
        <v>0</v>
      </c>
      <c r="AA693" s="50">
        <f>SUMIFS(INDEX(Техника!$F$1:$ABM$500,AA$2,0),Техника!$F$4:$ABM$4,"Часы",INDEX(Техника!$G$1:$ABN$500,AA$2,0),$A$690,INDEX(Техника!$H$1:$ABO$500,AA$2,0),"П")</f>
        <v>0</v>
      </c>
      <c r="AB693" s="50">
        <f>SUMIFS(INDEX(Техника!$F$1:$ABM$500,AB$2,0),Техника!$F$4:$ABM$4,"Часы",INDEX(Техника!$G$1:$ABN$500,AB$2,0),$A$690,INDEX(Техника!$H$1:$ABO$500,AB$2,0),"П")</f>
        <v>0</v>
      </c>
    </row>
    <row r="694" spans="1:28" hidden="1" outlineLevel="1" x14ac:dyDescent="0.3">
      <c r="A694" s="33" t="s">
        <v>243</v>
      </c>
      <c r="B694" s="34" t="s">
        <v>278</v>
      </c>
      <c r="C694" s="50">
        <f>SUMIFS(INDEX(Техника!$F$1:$ABM$500,C$2,0),Техника!$F$4:$ABM$4,"Часы",INDEX(Техника!$G$1:$ABN$500,C$2,0),$A$690,INDEX(Техника!$H$1:$ABO$500,C$2,0),"Л")</f>
        <v>0</v>
      </c>
      <c r="D694" s="50">
        <f>SUMIFS(INDEX(Техника!$F$1:$ABM$500,D$2,0),Техника!$F$4:$ABM$4,"Часы",INDEX(Техника!$G$1:$ABN$500,D$2,0),$A$690,INDEX(Техника!$H$1:$ABO$500,D$2,0),"Л")</f>
        <v>0</v>
      </c>
      <c r="E694" s="50">
        <f>SUMIFS(INDEX(Техника!$F$1:$ABM$500,E$2,0),Техника!$F$4:$ABM$4,"Часы",INDEX(Техника!$G$1:$ABN$500,E$2,0),$A$690,INDEX(Техника!$H$1:$ABO$500,E$2,0),"Л")</f>
        <v>0</v>
      </c>
      <c r="F694" s="50">
        <f>SUMIFS(INDEX(Техника!$F$1:$ABM$500,F$2,0),Техника!$F$4:$ABM$4,"Часы",INDEX(Техника!$G$1:$ABN$500,F$2,0),$A$690,INDEX(Техника!$H$1:$ABO$500,F$2,0),"Л")</f>
        <v>0</v>
      </c>
      <c r="G694" s="50">
        <f>SUMIFS(INDEX(Техника!$F$1:$ABM$500,G$2,0),Техника!$F$4:$ABM$4,"Часы",INDEX(Техника!$G$1:$ABN$500,G$2,0),$A$690,INDEX(Техника!$H$1:$ABO$500,G$2,0),"Л")</f>
        <v>0</v>
      </c>
      <c r="H694" s="50">
        <f>SUMIFS(INDEX(Техника!$F$1:$ABM$500,H$2,0),Техника!$F$4:$ABM$4,"Часы",INDEX(Техника!$G$1:$ABN$500,H$2,0),$A$690,INDEX(Техника!$H$1:$ABO$500,H$2,0),"Л")</f>
        <v>0</v>
      </c>
      <c r="I694" s="50">
        <f>SUMIFS(INDEX(Техника!$F$1:$ABM$500,I$2,0),Техника!$F$4:$ABM$4,"Часы",INDEX(Техника!$G$1:$ABN$500,I$2,0),$A$690,INDEX(Техника!$H$1:$ABO$500,I$2,0),"Л")</f>
        <v>0</v>
      </c>
      <c r="J694" s="50">
        <f>SUMIFS(INDEX(Техника!$F$1:$ABM$500,J$2,0),Техника!$F$4:$ABM$4,"Часы",INDEX(Техника!$G$1:$ABN$500,J$2,0),$A$690,INDEX(Техника!$H$1:$ABO$500,J$2,0),"Л")</f>
        <v>0</v>
      </c>
      <c r="K694" s="50">
        <f>SUMIFS(INDEX(Техника!$F$1:$ABM$500,K$2,0),Техника!$F$4:$ABM$4,"Часы",INDEX(Техника!$G$1:$ABN$500,K$2,0),$A$690,INDEX(Техника!$H$1:$ABO$500,K$2,0),"Л")</f>
        <v>0</v>
      </c>
      <c r="L694" s="50">
        <f>SUMIFS(INDEX(Техника!$F$1:$ABM$500,L$2,0),Техника!$F$4:$ABM$4,"Часы",INDEX(Техника!$G$1:$ABN$500,L$2,0),$A$690,INDEX(Техника!$H$1:$ABO$500,L$2,0),"Л")</f>
        <v>0</v>
      </c>
      <c r="M694" s="50">
        <f>SUMIFS(INDEX(Техника!$F$1:$ABM$500,M$2,0),Техника!$F$4:$ABM$4,"Часы",INDEX(Техника!$G$1:$ABN$500,M$2,0),$A$690,INDEX(Техника!$H$1:$ABO$500,M$2,0),"Л")</f>
        <v>0</v>
      </c>
      <c r="N694" s="50">
        <f>SUMIFS(INDEX(Техника!$F$1:$ABM$500,N$2,0),Техника!$F$4:$ABM$4,"Часы",INDEX(Техника!$G$1:$ABN$500,N$2,0),$A$690,INDEX(Техника!$H$1:$ABO$500,N$2,0),"Л")</f>
        <v>0</v>
      </c>
      <c r="O694" s="50">
        <f>SUMIFS(INDEX(Техника!$F$1:$ABM$500,O$2,0),Техника!$F$4:$ABM$4,"Часы",INDEX(Техника!$G$1:$ABN$500,O$2,0),$A$690,INDEX(Техника!$H$1:$ABO$500,O$2,0),"Л")</f>
        <v>0</v>
      </c>
      <c r="P694" s="50">
        <f>SUMIFS(INDEX(Техника!$F$1:$ABM$500,P$2,0),Техника!$F$4:$ABM$4,"Часы",INDEX(Техника!$G$1:$ABN$500,P$2,0),$A$690,INDEX(Техника!$H$1:$ABO$500,P$2,0),"Л")</f>
        <v>0</v>
      </c>
      <c r="Q694" s="50">
        <f>SUMIFS(INDEX(Техника!$F$1:$ABM$500,Q$2,0),Техника!$F$4:$ABM$4,"Часы",INDEX(Техника!$G$1:$ABN$500,Q$2,0),$A$690,INDEX(Техника!$H$1:$ABO$500,Q$2,0),"Л")</f>
        <v>0</v>
      </c>
      <c r="R694" s="50">
        <f>SUMIFS(INDEX(Техника!$F$1:$ABM$500,R$2,0),Техника!$F$4:$ABM$4,"Часы",INDEX(Техника!$G$1:$ABN$500,R$2,0),$A$690,INDEX(Техника!$H$1:$ABO$500,R$2,0),"Л")</f>
        <v>0</v>
      </c>
      <c r="S694" s="50">
        <f>SUMIFS(INDEX(Техника!$F$1:$ABM$500,S$2,0),Техника!$F$4:$ABM$4,"Часы",INDEX(Техника!$G$1:$ABN$500,S$2,0),$A$690,INDEX(Техника!$H$1:$ABO$500,S$2,0),"Л")</f>
        <v>0</v>
      </c>
      <c r="T694" s="50">
        <f>SUMIFS(INDEX(Техника!$F$1:$ABM$500,T$2,0),Техника!$F$4:$ABM$4,"Часы",INDEX(Техника!$G$1:$ABN$500,T$2,0),$A$690,INDEX(Техника!$H$1:$ABO$500,T$2,0),"Л")</f>
        <v>0</v>
      </c>
      <c r="U694" s="50">
        <f>SUMIFS(INDEX(Техника!$F$1:$ABM$500,U$2,0),Техника!$F$4:$ABM$4,"Часы",INDEX(Техника!$G$1:$ABN$500,U$2,0),$A$690,INDEX(Техника!$H$1:$ABO$500,U$2,0),"Л")</f>
        <v>0</v>
      </c>
      <c r="V694" s="50">
        <f>SUMIFS(INDEX(Техника!$F$1:$ABM$500,V$2,0),Техника!$F$4:$ABM$4,"Часы",INDEX(Техника!$G$1:$ABN$500,V$2,0),$A$690,INDEX(Техника!$H$1:$ABO$500,V$2,0),"Л")</f>
        <v>0</v>
      </c>
      <c r="W694" s="50">
        <f>SUMIFS(INDEX(Техника!$F$1:$ABM$500,W$2,0),Техника!$F$4:$ABM$4,"Часы",INDEX(Техника!$G$1:$ABN$500,W$2,0),$A$690,INDEX(Техника!$H$1:$ABO$500,W$2,0),"Л")</f>
        <v>0</v>
      </c>
      <c r="X694" s="50">
        <f>SUMIFS(INDEX(Техника!$F$1:$ABM$500,X$2,0),Техника!$F$4:$ABM$4,"Часы",INDEX(Техника!$G$1:$ABN$500,X$2,0),$A$690,INDEX(Техника!$H$1:$ABO$500,X$2,0),"Л")</f>
        <v>0</v>
      </c>
      <c r="Y694" s="50">
        <f>SUMIFS(INDEX(Техника!$F$1:$ABM$500,Y$2,0),Техника!$F$4:$ABM$4,"Часы",INDEX(Техника!$G$1:$ABN$500,Y$2,0),$A$690,INDEX(Техника!$H$1:$ABO$500,Y$2,0),"Л")</f>
        <v>0</v>
      </c>
      <c r="Z694" s="50">
        <f>SUMIFS(INDEX(Техника!$F$1:$ABM$500,Z$2,0),Техника!$F$4:$ABM$4,"Часы",INDEX(Техника!$G$1:$ABN$500,Z$2,0),$A$690,INDEX(Техника!$H$1:$ABO$500,Z$2,0),"Л")</f>
        <v>0</v>
      </c>
      <c r="AA694" s="50">
        <f>SUMIFS(INDEX(Техника!$F$1:$ABM$500,AA$2,0),Техника!$F$4:$ABM$4,"Часы",INDEX(Техника!$G$1:$ABN$500,AA$2,0),$A$690,INDEX(Техника!$H$1:$ABO$500,AA$2,0),"Л")</f>
        <v>0</v>
      </c>
      <c r="AB694" s="50">
        <f>SUMIFS(INDEX(Техника!$F$1:$ABM$500,AB$2,0),Техника!$F$4:$ABM$4,"Часы",INDEX(Техника!$G$1:$ABN$500,AB$2,0),$A$690,INDEX(Техника!$H$1:$ABO$500,AB$2,0),"Л")</f>
        <v>0</v>
      </c>
    </row>
    <row r="695" spans="1:28" hidden="1" outlineLevel="1" x14ac:dyDescent="0.3">
      <c r="A695" s="33" t="s">
        <v>245</v>
      </c>
      <c r="B695" s="34" t="s">
        <v>279</v>
      </c>
      <c r="C695" s="50">
        <f>SUMIFS(INDEX(Техника!$F$1:$ABM$500,C$2,0),Техника!$F$4:$ABM$4,"Часы",INDEX(Техника!$G$1:$ABN$500,C$2,0),$A$690,INDEX(Техника!$H$1:$ABO$500,C$2,0),"З")</f>
        <v>0</v>
      </c>
      <c r="D695" s="50">
        <f>SUMIFS(INDEX(Техника!$F$1:$ABM$500,D$2,0),Техника!$F$4:$ABM$4,"Часы",INDEX(Техника!$G$1:$ABN$500,D$2,0),$A$690,INDEX(Техника!$H$1:$ABO$500,D$2,0),"З")</f>
        <v>0</v>
      </c>
      <c r="E695" s="50">
        <f>SUMIFS(INDEX(Техника!$F$1:$ABM$500,E$2,0),Техника!$F$4:$ABM$4,"Часы",INDEX(Техника!$G$1:$ABN$500,E$2,0),$A$690,INDEX(Техника!$H$1:$ABO$500,E$2,0),"З")</f>
        <v>0</v>
      </c>
      <c r="F695" s="50">
        <f>SUMIFS(INDEX(Техника!$F$1:$ABM$500,F$2,0),Техника!$F$4:$ABM$4,"Часы",INDEX(Техника!$G$1:$ABN$500,F$2,0),$A$690,INDEX(Техника!$H$1:$ABO$500,F$2,0),"З")</f>
        <v>0</v>
      </c>
      <c r="G695" s="50">
        <f>SUMIFS(INDEX(Техника!$F$1:$ABM$500,G$2,0),Техника!$F$4:$ABM$4,"Часы",INDEX(Техника!$G$1:$ABN$500,G$2,0),$A$690,INDEX(Техника!$H$1:$ABO$500,G$2,0),"З")</f>
        <v>0</v>
      </c>
      <c r="H695" s="50">
        <f>SUMIFS(INDEX(Техника!$F$1:$ABM$500,H$2,0),Техника!$F$4:$ABM$4,"Часы",INDEX(Техника!$G$1:$ABN$500,H$2,0),$A$690,INDEX(Техника!$H$1:$ABO$500,H$2,0),"З")</f>
        <v>0</v>
      </c>
      <c r="I695" s="50">
        <f>SUMIFS(INDEX(Техника!$F$1:$ABM$500,I$2,0),Техника!$F$4:$ABM$4,"Часы",INDEX(Техника!$G$1:$ABN$500,I$2,0),$A$690,INDEX(Техника!$H$1:$ABO$500,I$2,0),"З")</f>
        <v>0</v>
      </c>
      <c r="J695" s="50">
        <f>SUMIFS(INDEX(Техника!$F$1:$ABM$500,J$2,0),Техника!$F$4:$ABM$4,"Часы",INDEX(Техника!$G$1:$ABN$500,J$2,0),$A$690,INDEX(Техника!$H$1:$ABO$500,J$2,0),"З")</f>
        <v>0</v>
      </c>
      <c r="K695" s="50">
        <f>SUMIFS(INDEX(Техника!$F$1:$ABM$500,K$2,0),Техника!$F$4:$ABM$4,"Часы",INDEX(Техника!$G$1:$ABN$500,K$2,0),$A$690,INDEX(Техника!$H$1:$ABO$500,K$2,0),"З")</f>
        <v>0</v>
      </c>
      <c r="L695" s="50">
        <f>SUMIFS(INDEX(Техника!$F$1:$ABM$500,L$2,0),Техника!$F$4:$ABM$4,"Часы",INDEX(Техника!$G$1:$ABN$500,L$2,0),$A$690,INDEX(Техника!$H$1:$ABO$500,L$2,0),"З")</f>
        <v>0</v>
      </c>
      <c r="M695" s="50">
        <f>SUMIFS(INDEX(Техника!$F$1:$ABM$500,M$2,0),Техника!$F$4:$ABM$4,"Часы",INDEX(Техника!$G$1:$ABN$500,M$2,0),$A$690,INDEX(Техника!$H$1:$ABO$500,M$2,0),"З")</f>
        <v>0</v>
      </c>
      <c r="N695" s="50">
        <f>SUMIFS(INDEX(Техника!$F$1:$ABM$500,N$2,0),Техника!$F$4:$ABM$4,"Часы",INDEX(Техника!$G$1:$ABN$500,N$2,0),$A$690,INDEX(Техника!$H$1:$ABO$500,N$2,0),"З")</f>
        <v>0</v>
      </c>
      <c r="O695" s="50">
        <f>SUMIFS(INDEX(Техника!$F$1:$ABM$500,O$2,0),Техника!$F$4:$ABM$4,"Часы",INDEX(Техника!$G$1:$ABN$500,O$2,0),$A$690,INDEX(Техника!$H$1:$ABO$500,O$2,0),"З")</f>
        <v>0</v>
      </c>
      <c r="P695" s="50">
        <f>SUMIFS(INDEX(Техника!$F$1:$ABM$500,P$2,0),Техника!$F$4:$ABM$4,"Часы",INDEX(Техника!$G$1:$ABN$500,P$2,0),$A$690,INDEX(Техника!$H$1:$ABO$500,P$2,0),"З")</f>
        <v>0</v>
      </c>
      <c r="Q695" s="50">
        <f>SUMIFS(INDEX(Техника!$F$1:$ABM$500,Q$2,0),Техника!$F$4:$ABM$4,"Часы",INDEX(Техника!$G$1:$ABN$500,Q$2,0),$A$690,INDEX(Техника!$H$1:$ABO$500,Q$2,0),"З")</f>
        <v>0</v>
      </c>
      <c r="R695" s="50">
        <f>SUMIFS(INDEX(Техника!$F$1:$ABM$500,R$2,0),Техника!$F$4:$ABM$4,"Часы",INDEX(Техника!$G$1:$ABN$500,R$2,0),$A$690,INDEX(Техника!$H$1:$ABO$500,R$2,0),"З")</f>
        <v>0</v>
      </c>
      <c r="S695" s="50">
        <f>SUMIFS(INDEX(Техника!$F$1:$ABM$500,S$2,0),Техника!$F$4:$ABM$4,"Часы",INDEX(Техника!$G$1:$ABN$500,S$2,0),$A$690,INDEX(Техника!$H$1:$ABO$500,S$2,0),"З")</f>
        <v>0</v>
      </c>
      <c r="T695" s="50">
        <f>SUMIFS(INDEX(Техника!$F$1:$ABM$500,T$2,0),Техника!$F$4:$ABM$4,"Часы",INDEX(Техника!$G$1:$ABN$500,T$2,0),$A$690,INDEX(Техника!$H$1:$ABO$500,T$2,0),"З")</f>
        <v>0</v>
      </c>
      <c r="U695" s="50">
        <f>SUMIFS(INDEX(Техника!$F$1:$ABM$500,U$2,0),Техника!$F$4:$ABM$4,"Часы",INDEX(Техника!$G$1:$ABN$500,U$2,0),$A$690,INDEX(Техника!$H$1:$ABO$500,U$2,0),"З")</f>
        <v>0</v>
      </c>
      <c r="V695" s="50">
        <f>SUMIFS(INDEX(Техника!$F$1:$ABM$500,V$2,0),Техника!$F$4:$ABM$4,"Часы",INDEX(Техника!$G$1:$ABN$500,V$2,0),$A$690,INDEX(Техника!$H$1:$ABO$500,V$2,0),"З")</f>
        <v>0</v>
      </c>
      <c r="W695" s="50">
        <f>SUMIFS(INDEX(Техника!$F$1:$ABM$500,W$2,0),Техника!$F$4:$ABM$4,"Часы",INDEX(Техника!$G$1:$ABN$500,W$2,0),$A$690,INDEX(Техника!$H$1:$ABO$500,W$2,0),"З")</f>
        <v>0</v>
      </c>
      <c r="X695" s="50">
        <f>SUMIFS(INDEX(Техника!$F$1:$ABM$500,X$2,0),Техника!$F$4:$ABM$4,"Часы",INDEX(Техника!$G$1:$ABN$500,X$2,0),$A$690,INDEX(Техника!$H$1:$ABO$500,X$2,0),"З")</f>
        <v>0</v>
      </c>
      <c r="Y695" s="50">
        <f>SUMIFS(INDEX(Техника!$F$1:$ABM$500,Y$2,0),Техника!$F$4:$ABM$4,"Часы",INDEX(Техника!$G$1:$ABN$500,Y$2,0),$A$690,INDEX(Техника!$H$1:$ABO$500,Y$2,0),"З")</f>
        <v>0</v>
      </c>
      <c r="Z695" s="50">
        <f>SUMIFS(INDEX(Техника!$F$1:$ABM$500,Z$2,0),Техника!$F$4:$ABM$4,"Часы",INDEX(Техника!$G$1:$ABN$500,Z$2,0),$A$690,INDEX(Техника!$H$1:$ABO$500,Z$2,0),"З")</f>
        <v>0</v>
      </c>
      <c r="AA695" s="50">
        <f>SUMIFS(INDEX(Техника!$F$1:$ABM$500,AA$2,0),Техника!$F$4:$ABM$4,"Часы",INDEX(Техника!$G$1:$ABN$500,AA$2,0),$A$690,INDEX(Техника!$H$1:$ABO$500,AA$2,0),"З")</f>
        <v>0</v>
      </c>
      <c r="AB695" s="50">
        <f>SUMIFS(INDEX(Техника!$F$1:$ABM$500,AB$2,0),Техника!$F$4:$ABM$4,"Часы",INDEX(Техника!$G$1:$ABN$500,AB$2,0),$A$690,INDEX(Техника!$H$1:$ABO$500,AB$2,0),"З")</f>
        <v>0</v>
      </c>
    </row>
    <row r="696" spans="1:28" ht="7.95" customHeight="1" x14ac:dyDescent="0.3">
      <c r="A696" s="38"/>
      <c r="B696" s="39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</row>
    <row r="697" spans="1:28" ht="25.05" customHeight="1" collapsed="1" x14ac:dyDescent="0.3">
      <c r="A697" s="32">
        <v>100</v>
      </c>
      <c r="B697" s="32" t="s">
        <v>101</v>
      </c>
      <c r="C697" s="49">
        <f>SUM(C698:C702)</f>
        <v>0</v>
      </c>
      <c r="D697" s="49">
        <f>SUM(D698:D702)</f>
        <v>0</v>
      </c>
      <c r="E697" s="49">
        <f>SUM(E698:E702)</f>
        <v>0</v>
      </c>
      <c r="F697" s="49">
        <f>SUM(F698:F702)</f>
        <v>0</v>
      </c>
      <c r="G697" s="49">
        <f>SUM(G698:G702)</f>
        <v>0</v>
      </c>
      <c r="H697" s="49">
        <f>SUM(H698:H702)</f>
        <v>0</v>
      </c>
      <c r="I697" s="49">
        <f>SUM(I698:I702)</f>
        <v>0</v>
      </c>
      <c r="J697" s="49">
        <f>SUM(J698:J702)</f>
        <v>0</v>
      </c>
      <c r="K697" s="49">
        <f>SUM(K698:K702)</f>
        <v>0</v>
      </c>
      <c r="L697" s="49">
        <f>SUM(L698:L702)</f>
        <v>0</v>
      </c>
      <c r="M697" s="49">
        <f>SUM(M698:M702)</f>
        <v>0</v>
      </c>
      <c r="N697" s="49">
        <f>SUM(N698:N702)</f>
        <v>0</v>
      </c>
      <c r="O697" s="49">
        <f>SUM(O698:O702)</f>
        <v>0</v>
      </c>
      <c r="P697" s="49">
        <f>SUM(P698:P702)</f>
        <v>0</v>
      </c>
      <c r="Q697" s="49">
        <f>SUM(Q698:Q702)</f>
        <v>0</v>
      </c>
      <c r="R697" s="49">
        <f>SUM(R698:R702)</f>
        <v>0</v>
      </c>
      <c r="S697" s="49">
        <f>SUM(S698:S702)</f>
        <v>0</v>
      </c>
      <c r="T697" s="49">
        <f>SUM(T698:T702)</f>
        <v>0</v>
      </c>
      <c r="U697" s="49">
        <f>SUM(U698:U702)</f>
        <v>0</v>
      </c>
      <c r="V697" s="49">
        <f>SUM(V698:V702)</f>
        <v>0</v>
      </c>
      <c r="W697" s="49">
        <f>SUM(W698:W702)</f>
        <v>0</v>
      </c>
      <c r="X697" s="49">
        <f>SUM(X698:X702)</f>
        <v>0</v>
      </c>
      <c r="Y697" s="49">
        <f>SUM(Y698:Y702)</f>
        <v>0</v>
      </c>
      <c r="Z697" s="49">
        <f>SUM(Z698:Z702)</f>
        <v>0</v>
      </c>
      <c r="AA697" s="49">
        <f>SUM(AA698:AA702)</f>
        <v>0</v>
      </c>
      <c r="AB697" s="49">
        <f>SUM(AB698:AB702)</f>
        <v>0</v>
      </c>
    </row>
    <row r="698" spans="1:28" hidden="1" outlineLevel="1" x14ac:dyDescent="0.3">
      <c r="A698" s="33" t="s">
        <v>246</v>
      </c>
      <c r="B698" s="34" t="s">
        <v>274</v>
      </c>
      <c r="C698" s="50">
        <f>SUMIFS(INDEX(Техника!$F$1:$ABM$500,C$2,0),Техника!$F$4:$ABM$4,"Часы",INDEX(Техника!$G$1:$ABN$500,C$2,0),$A$697,INDEX(Техника!$H$1:$ABO$500,C$2,0),"М")</f>
        <v>0</v>
      </c>
      <c r="D698" s="50">
        <f>SUMIFS(INDEX(Техника!$F$1:$ABM$500,D$2,0),Техника!$F$4:$ABM$4,"Часы",INDEX(Техника!$G$1:$ABN$500,D$2,0),$A$697,INDEX(Техника!$H$1:$ABO$500,D$2,0),"М")</f>
        <v>0</v>
      </c>
      <c r="E698" s="50">
        <f>SUMIFS(INDEX(Техника!$F$1:$ABM$500,E$2,0),Техника!$F$4:$ABM$4,"Часы",INDEX(Техника!$G$1:$ABN$500,E$2,0),$A$697,INDEX(Техника!$H$1:$ABO$500,E$2,0),"М")</f>
        <v>0</v>
      </c>
      <c r="F698" s="50">
        <f>SUMIFS(INDEX(Техника!$F$1:$ABM$500,F$2,0),Техника!$F$4:$ABM$4,"Часы",INDEX(Техника!$G$1:$ABN$500,F$2,0),$A$697,INDEX(Техника!$H$1:$ABO$500,F$2,0),"М")</f>
        <v>0</v>
      </c>
      <c r="G698" s="50">
        <f>SUMIFS(INDEX(Техника!$F$1:$ABM$500,G$2,0),Техника!$F$4:$ABM$4,"Часы",INDEX(Техника!$G$1:$ABN$500,G$2,0),$A$697,INDEX(Техника!$H$1:$ABO$500,G$2,0),"М")</f>
        <v>0</v>
      </c>
      <c r="H698" s="50">
        <f>SUMIFS(INDEX(Техника!$F$1:$ABM$500,H$2,0),Техника!$F$4:$ABM$4,"Часы",INDEX(Техника!$G$1:$ABN$500,H$2,0),$A$697,INDEX(Техника!$H$1:$ABO$500,H$2,0),"М")</f>
        <v>0</v>
      </c>
      <c r="I698" s="50">
        <f>SUMIFS(INDEX(Техника!$F$1:$ABM$500,I$2,0),Техника!$F$4:$ABM$4,"Часы",INDEX(Техника!$G$1:$ABN$500,I$2,0),$A$697,INDEX(Техника!$H$1:$ABO$500,I$2,0),"М")</f>
        <v>0</v>
      </c>
      <c r="J698" s="50">
        <f>SUMIFS(INDEX(Техника!$F$1:$ABM$500,J$2,0),Техника!$F$4:$ABM$4,"Часы",INDEX(Техника!$G$1:$ABN$500,J$2,0),$A$697,INDEX(Техника!$H$1:$ABO$500,J$2,0),"М")</f>
        <v>0</v>
      </c>
      <c r="K698" s="50">
        <f>SUMIFS(INDEX(Техника!$F$1:$ABM$500,K$2,0),Техника!$F$4:$ABM$4,"Часы",INDEX(Техника!$G$1:$ABN$500,K$2,0),$A$697,INDEX(Техника!$H$1:$ABO$500,K$2,0),"М")</f>
        <v>0</v>
      </c>
      <c r="L698" s="50">
        <f>SUMIFS(INDEX(Техника!$F$1:$ABM$500,L$2,0),Техника!$F$4:$ABM$4,"Часы",INDEX(Техника!$G$1:$ABN$500,L$2,0),$A$697,INDEX(Техника!$H$1:$ABO$500,L$2,0),"М")</f>
        <v>0</v>
      </c>
      <c r="M698" s="50">
        <f>SUMIFS(INDEX(Техника!$F$1:$ABM$500,M$2,0),Техника!$F$4:$ABM$4,"Часы",INDEX(Техника!$G$1:$ABN$500,M$2,0),$A$697,INDEX(Техника!$H$1:$ABO$500,M$2,0),"М")</f>
        <v>0</v>
      </c>
      <c r="N698" s="50">
        <f>SUMIFS(INDEX(Техника!$F$1:$ABM$500,N$2,0),Техника!$F$4:$ABM$4,"Часы",INDEX(Техника!$G$1:$ABN$500,N$2,0),$A$697,INDEX(Техника!$H$1:$ABO$500,N$2,0),"М")</f>
        <v>0</v>
      </c>
      <c r="O698" s="50">
        <f>SUMIFS(INDEX(Техника!$F$1:$ABM$500,O$2,0),Техника!$F$4:$ABM$4,"Часы",INDEX(Техника!$G$1:$ABN$500,O$2,0),$A$697,INDEX(Техника!$H$1:$ABO$500,O$2,0),"М")</f>
        <v>0</v>
      </c>
      <c r="P698" s="50">
        <f>SUMIFS(INDEX(Техника!$F$1:$ABM$500,P$2,0),Техника!$F$4:$ABM$4,"Часы",INDEX(Техника!$G$1:$ABN$500,P$2,0),$A$697,INDEX(Техника!$H$1:$ABO$500,P$2,0),"М")</f>
        <v>0</v>
      </c>
      <c r="Q698" s="50">
        <f>SUMIFS(INDEX(Техника!$F$1:$ABM$500,Q$2,0),Техника!$F$4:$ABM$4,"Часы",INDEX(Техника!$G$1:$ABN$500,Q$2,0),$A$697,INDEX(Техника!$H$1:$ABO$500,Q$2,0),"М")</f>
        <v>0</v>
      </c>
      <c r="R698" s="50">
        <f>SUMIFS(INDEX(Техника!$F$1:$ABM$500,R$2,0),Техника!$F$4:$ABM$4,"Часы",INDEX(Техника!$G$1:$ABN$500,R$2,0),$A$697,INDEX(Техника!$H$1:$ABO$500,R$2,0),"М")</f>
        <v>0</v>
      </c>
      <c r="S698" s="50">
        <f>SUMIFS(INDEX(Техника!$F$1:$ABM$500,S$2,0),Техника!$F$4:$ABM$4,"Часы",INDEX(Техника!$G$1:$ABN$500,S$2,0),$A$697,INDEX(Техника!$H$1:$ABO$500,S$2,0),"М")</f>
        <v>0</v>
      </c>
      <c r="T698" s="50">
        <f>SUMIFS(INDEX(Техника!$F$1:$ABM$500,T$2,0),Техника!$F$4:$ABM$4,"Часы",INDEX(Техника!$G$1:$ABN$500,T$2,0),$A$697,INDEX(Техника!$H$1:$ABO$500,T$2,0),"М")</f>
        <v>0</v>
      </c>
      <c r="U698" s="50">
        <f>SUMIFS(INDEX(Техника!$F$1:$ABM$500,U$2,0),Техника!$F$4:$ABM$4,"Часы",INDEX(Техника!$G$1:$ABN$500,U$2,0),$A$697,INDEX(Техника!$H$1:$ABO$500,U$2,0),"М")</f>
        <v>0</v>
      </c>
      <c r="V698" s="50">
        <f>SUMIFS(INDEX(Техника!$F$1:$ABM$500,V$2,0),Техника!$F$4:$ABM$4,"Часы",INDEX(Техника!$G$1:$ABN$500,V$2,0),$A$697,INDEX(Техника!$H$1:$ABO$500,V$2,0),"М")</f>
        <v>0</v>
      </c>
      <c r="W698" s="50">
        <f>SUMIFS(INDEX(Техника!$F$1:$ABM$500,W$2,0),Техника!$F$4:$ABM$4,"Часы",INDEX(Техника!$G$1:$ABN$500,W$2,0),$A$697,INDEX(Техника!$H$1:$ABO$500,W$2,0),"М")</f>
        <v>0</v>
      </c>
      <c r="X698" s="50">
        <f>SUMIFS(INDEX(Техника!$F$1:$ABM$500,X$2,0),Техника!$F$4:$ABM$4,"Часы",INDEX(Техника!$G$1:$ABN$500,X$2,0),$A$697,INDEX(Техника!$H$1:$ABO$500,X$2,0),"М")</f>
        <v>0</v>
      </c>
      <c r="Y698" s="50">
        <f>SUMIFS(INDEX(Техника!$F$1:$ABM$500,Y$2,0),Техника!$F$4:$ABM$4,"Часы",INDEX(Техника!$G$1:$ABN$500,Y$2,0),$A$697,INDEX(Техника!$H$1:$ABO$500,Y$2,0),"М")</f>
        <v>0</v>
      </c>
      <c r="Z698" s="50">
        <f>SUMIFS(INDEX(Техника!$F$1:$ABM$500,Z$2,0),Техника!$F$4:$ABM$4,"Часы",INDEX(Техника!$G$1:$ABN$500,Z$2,0),$A$697,INDEX(Техника!$H$1:$ABO$500,Z$2,0),"М")</f>
        <v>0</v>
      </c>
      <c r="AA698" s="50">
        <f>SUMIFS(INDEX(Техника!$F$1:$ABM$500,AA$2,0),Техника!$F$4:$ABM$4,"Часы",INDEX(Техника!$G$1:$ABN$500,AA$2,0),$A$697,INDEX(Техника!$H$1:$ABO$500,AA$2,0),"М")</f>
        <v>0</v>
      </c>
      <c r="AB698" s="50">
        <f>SUMIFS(INDEX(Техника!$F$1:$ABM$500,AB$2,0),Техника!$F$4:$ABM$4,"Часы",INDEX(Техника!$G$1:$ABN$500,AB$2,0),$A$697,INDEX(Техника!$H$1:$ABO$500,AB$2,0),"М")</f>
        <v>0</v>
      </c>
    </row>
    <row r="699" spans="1:28" hidden="1" outlineLevel="1" x14ac:dyDescent="0.3">
      <c r="A699" s="33" t="s">
        <v>244</v>
      </c>
      <c r="B699" s="34" t="s">
        <v>275</v>
      </c>
      <c r="C699" s="50">
        <f>SUMIFS(INDEX(Техника!$F$1:$ABM$500,C$2,0),Техника!$F$4:$ABM$4,"Часы",INDEX(Техника!$G$1:$ABN$500,C$2,0),$A$697,INDEX(Техника!$H$1:$ABO$500,C$2,0),"Д")</f>
        <v>0</v>
      </c>
      <c r="D699" s="50">
        <f>SUMIFS(INDEX(Техника!$F$1:$ABM$500,D$2,0),Техника!$F$4:$ABM$4,"Часы",INDEX(Техника!$G$1:$ABN$500,D$2,0),$A$697,INDEX(Техника!$H$1:$ABO$500,D$2,0),"Д")</f>
        <v>0</v>
      </c>
      <c r="E699" s="50">
        <f>SUMIFS(INDEX(Техника!$F$1:$ABM$500,E$2,0),Техника!$F$4:$ABM$4,"Часы",INDEX(Техника!$G$1:$ABN$500,E$2,0),$A$697,INDEX(Техника!$H$1:$ABO$500,E$2,0),"Д")</f>
        <v>0</v>
      </c>
      <c r="F699" s="50">
        <f>SUMIFS(INDEX(Техника!$F$1:$ABM$500,F$2,0),Техника!$F$4:$ABM$4,"Часы",INDEX(Техника!$G$1:$ABN$500,F$2,0),$A$697,INDEX(Техника!$H$1:$ABO$500,F$2,0),"Д")</f>
        <v>0</v>
      </c>
      <c r="G699" s="50">
        <f>SUMIFS(INDEX(Техника!$F$1:$ABM$500,G$2,0),Техника!$F$4:$ABM$4,"Часы",INDEX(Техника!$G$1:$ABN$500,G$2,0),$A$697,INDEX(Техника!$H$1:$ABO$500,G$2,0),"Д")</f>
        <v>0</v>
      </c>
      <c r="H699" s="50">
        <f>SUMIFS(INDEX(Техника!$F$1:$ABM$500,H$2,0),Техника!$F$4:$ABM$4,"Часы",INDEX(Техника!$G$1:$ABN$500,H$2,0),$A$697,INDEX(Техника!$H$1:$ABO$500,H$2,0),"Д")</f>
        <v>0</v>
      </c>
      <c r="I699" s="50">
        <f>SUMIFS(INDEX(Техника!$F$1:$ABM$500,I$2,0),Техника!$F$4:$ABM$4,"Часы",INDEX(Техника!$G$1:$ABN$500,I$2,0),$A$697,INDEX(Техника!$H$1:$ABO$500,I$2,0),"Д")</f>
        <v>0</v>
      </c>
      <c r="J699" s="50">
        <f>SUMIFS(INDEX(Техника!$F$1:$ABM$500,J$2,0),Техника!$F$4:$ABM$4,"Часы",INDEX(Техника!$G$1:$ABN$500,J$2,0),$A$697,INDEX(Техника!$H$1:$ABO$500,J$2,0),"Д")</f>
        <v>0</v>
      </c>
      <c r="K699" s="50">
        <f>SUMIFS(INDEX(Техника!$F$1:$ABM$500,K$2,0),Техника!$F$4:$ABM$4,"Часы",INDEX(Техника!$G$1:$ABN$500,K$2,0),$A$697,INDEX(Техника!$H$1:$ABO$500,K$2,0),"Д")</f>
        <v>0</v>
      </c>
      <c r="L699" s="50">
        <f>SUMIFS(INDEX(Техника!$F$1:$ABM$500,L$2,0),Техника!$F$4:$ABM$4,"Часы",INDEX(Техника!$G$1:$ABN$500,L$2,0),$A$697,INDEX(Техника!$H$1:$ABO$500,L$2,0),"Д")</f>
        <v>0</v>
      </c>
      <c r="M699" s="50">
        <f>SUMIFS(INDEX(Техника!$F$1:$ABM$500,M$2,0),Техника!$F$4:$ABM$4,"Часы",INDEX(Техника!$G$1:$ABN$500,M$2,0),$A$697,INDEX(Техника!$H$1:$ABO$500,M$2,0),"Д")</f>
        <v>0</v>
      </c>
      <c r="N699" s="50">
        <f>SUMIFS(INDEX(Техника!$F$1:$ABM$500,N$2,0),Техника!$F$4:$ABM$4,"Часы",INDEX(Техника!$G$1:$ABN$500,N$2,0),$A$697,INDEX(Техника!$H$1:$ABO$500,N$2,0),"Д")</f>
        <v>0</v>
      </c>
      <c r="O699" s="50">
        <f>SUMIFS(INDEX(Техника!$F$1:$ABM$500,O$2,0),Техника!$F$4:$ABM$4,"Часы",INDEX(Техника!$G$1:$ABN$500,O$2,0),$A$697,INDEX(Техника!$H$1:$ABO$500,O$2,0),"Д")</f>
        <v>0</v>
      </c>
      <c r="P699" s="50">
        <f>SUMIFS(INDEX(Техника!$F$1:$ABM$500,P$2,0),Техника!$F$4:$ABM$4,"Часы",INDEX(Техника!$G$1:$ABN$500,P$2,0),$A$697,INDEX(Техника!$H$1:$ABO$500,P$2,0),"Д")</f>
        <v>0</v>
      </c>
      <c r="Q699" s="50">
        <f>SUMIFS(INDEX(Техника!$F$1:$ABM$500,Q$2,0),Техника!$F$4:$ABM$4,"Часы",INDEX(Техника!$G$1:$ABN$500,Q$2,0),$A$697,INDEX(Техника!$H$1:$ABO$500,Q$2,0),"Д")</f>
        <v>0</v>
      </c>
      <c r="R699" s="50">
        <f>SUMIFS(INDEX(Техника!$F$1:$ABM$500,R$2,0),Техника!$F$4:$ABM$4,"Часы",INDEX(Техника!$G$1:$ABN$500,R$2,0),$A$697,INDEX(Техника!$H$1:$ABO$500,R$2,0),"Д")</f>
        <v>0</v>
      </c>
      <c r="S699" s="50">
        <f>SUMIFS(INDEX(Техника!$F$1:$ABM$500,S$2,0),Техника!$F$4:$ABM$4,"Часы",INDEX(Техника!$G$1:$ABN$500,S$2,0),$A$697,INDEX(Техника!$H$1:$ABO$500,S$2,0),"Д")</f>
        <v>0</v>
      </c>
      <c r="T699" s="50">
        <f>SUMIFS(INDEX(Техника!$F$1:$ABM$500,T$2,0),Техника!$F$4:$ABM$4,"Часы",INDEX(Техника!$G$1:$ABN$500,T$2,0),$A$697,INDEX(Техника!$H$1:$ABO$500,T$2,0),"Д")</f>
        <v>0</v>
      </c>
      <c r="U699" s="50">
        <f>SUMIFS(INDEX(Техника!$F$1:$ABM$500,U$2,0),Техника!$F$4:$ABM$4,"Часы",INDEX(Техника!$G$1:$ABN$500,U$2,0),$A$697,INDEX(Техника!$H$1:$ABO$500,U$2,0),"Д")</f>
        <v>0</v>
      </c>
      <c r="V699" s="50">
        <f>SUMIFS(INDEX(Техника!$F$1:$ABM$500,V$2,0),Техника!$F$4:$ABM$4,"Часы",INDEX(Техника!$G$1:$ABN$500,V$2,0),$A$697,INDEX(Техника!$H$1:$ABO$500,V$2,0),"Д")</f>
        <v>0</v>
      </c>
      <c r="W699" s="50">
        <f>SUMIFS(INDEX(Техника!$F$1:$ABM$500,W$2,0),Техника!$F$4:$ABM$4,"Часы",INDEX(Техника!$G$1:$ABN$500,W$2,0),$A$697,INDEX(Техника!$H$1:$ABO$500,W$2,0),"Д")</f>
        <v>0</v>
      </c>
      <c r="X699" s="50">
        <f>SUMIFS(INDEX(Техника!$F$1:$ABM$500,X$2,0),Техника!$F$4:$ABM$4,"Часы",INDEX(Техника!$G$1:$ABN$500,X$2,0),$A$697,INDEX(Техника!$H$1:$ABO$500,X$2,0),"Д")</f>
        <v>0</v>
      </c>
      <c r="Y699" s="50">
        <f>SUMIFS(INDEX(Техника!$F$1:$ABM$500,Y$2,0),Техника!$F$4:$ABM$4,"Часы",INDEX(Техника!$G$1:$ABN$500,Y$2,0),$A$697,INDEX(Техника!$H$1:$ABO$500,Y$2,0),"Д")</f>
        <v>0</v>
      </c>
      <c r="Z699" s="50">
        <f>SUMIFS(INDEX(Техника!$F$1:$ABM$500,Z$2,0),Техника!$F$4:$ABM$4,"Часы",INDEX(Техника!$G$1:$ABN$500,Z$2,0),$A$697,INDEX(Техника!$H$1:$ABO$500,Z$2,0),"Д")</f>
        <v>0</v>
      </c>
      <c r="AA699" s="50">
        <f>SUMIFS(INDEX(Техника!$F$1:$ABM$500,AA$2,0),Техника!$F$4:$ABM$4,"Часы",INDEX(Техника!$G$1:$ABN$500,AA$2,0),$A$697,INDEX(Техника!$H$1:$ABO$500,AA$2,0),"Д")</f>
        <v>0</v>
      </c>
      <c r="AB699" s="50">
        <f>SUMIFS(INDEX(Техника!$F$1:$ABM$500,AB$2,0),Техника!$F$4:$ABM$4,"Часы",INDEX(Техника!$G$1:$ABN$500,AB$2,0),$A$697,INDEX(Техника!$H$1:$ABO$500,AB$2,0),"Д")</f>
        <v>0</v>
      </c>
    </row>
    <row r="700" spans="1:28" hidden="1" outlineLevel="1" x14ac:dyDescent="0.3">
      <c r="A700" s="33" t="s">
        <v>276</v>
      </c>
      <c r="B700" s="34" t="s">
        <v>277</v>
      </c>
      <c r="C700" s="50">
        <f>SUMIFS(INDEX(Техника!$F$1:$ABM$500,C$2,0),Техника!$F$4:$ABM$4,"Часы",INDEX(Техника!$G$1:$ABN$500,C$2,0),$A$697,INDEX(Техника!$H$1:$ABO$500,C$2,0),"П")</f>
        <v>0</v>
      </c>
      <c r="D700" s="50">
        <f>SUMIFS(INDEX(Техника!$F$1:$ABM$500,D$2,0),Техника!$F$4:$ABM$4,"Часы",INDEX(Техника!$G$1:$ABN$500,D$2,0),$A$697,INDEX(Техника!$H$1:$ABO$500,D$2,0),"П")</f>
        <v>0</v>
      </c>
      <c r="E700" s="50">
        <f>SUMIFS(INDEX(Техника!$F$1:$ABM$500,E$2,0),Техника!$F$4:$ABM$4,"Часы",INDEX(Техника!$G$1:$ABN$500,E$2,0),$A$697,INDEX(Техника!$H$1:$ABO$500,E$2,0),"П")</f>
        <v>0</v>
      </c>
      <c r="F700" s="50">
        <f>SUMIFS(INDEX(Техника!$F$1:$ABM$500,F$2,0),Техника!$F$4:$ABM$4,"Часы",INDEX(Техника!$G$1:$ABN$500,F$2,0),$A$697,INDEX(Техника!$H$1:$ABO$500,F$2,0),"П")</f>
        <v>0</v>
      </c>
      <c r="G700" s="50">
        <f>SUMIFS(INDEX(Техника!$F$1:$ABM$500,G$2,0),Техника!$F$4:$ABM$4,"Часы",INDEX(Техника!$G$1:$ABN$500,G$2,0),$A$697,INDEX(Техника!$H$1:$ABO$500,G$2,0),"П")</f>
        <v>0</v>
      </c>
      <c r="H700" s="50">
        <f>SUMIFS(INDEX(Техника!$F$1:$ABM$500,H$2,0),Техника!$F$4:$ABM$4,"Часы",INDEX(Техника!$G$1:$ABN$500,H$2,0),$A$697,INDEX(Техника!$H$1:$ABO$500,H$2,0),"П")</f>
        <v>0</v>
      </c>
      <c r="I700" s="50">
        <f>SUMIFS(INDEX(Техника!$F$1:$ABM$500,I$2,0),Техника!$F$4:$ABM$4,"Часы",INDEX(Техника!$G$1:$ABN$500,I$2,0),$A$697,INDEX(Техника!$H$1:$ABO$500,I$2,0),"П")</f>
        <v>0</v>
      </c>
      <c r="J700" s="50">
        <f>SUMIFS(INDEX(Техника!$F$1:$ABM$500,J$2,0),Техника!$F$4:$ABM$4,"Часы",INDEX(Техника!$G$1:$ABN$500,J$2,0),$A$697,INDEX(Техника!$H$1:$ABO$500,J$2,0),"П")</f>
        <v>0</v>
      </c>
      <c r="K700" s="50">
        <f>SUMIFS(INDEX(Техника!$F$1:$ABM$500,K$2,0),Техника!$F$4:$ABM$4,"Часы",INDEX(Техника!$G$1:$ABN$500,K$2,0),$A$697,INDEX(Техника!$H$1:$ABO$500,K$2,0),"П")</f>
        <v>0</v>
      </c>
      <c r="L700" s="50">
        <f>SUMIFS(INDEX(Техника!$F$1:$ABM$500,L$2,0),Техника!$F$4:$ABM$4,"Часы",INDEX(Техника!$G$1:$ABN$500,L$2,0),$A$697,INDEX(Техника!$H$1:$ABO$500,L$2,0),"П")</f>
        <v>0</v>
      </c>
      <c r="M700" s="50">
        <f>SUMIFS(INDEX(Техника!$F$1:$ABM$500,M$2,0),Техника!$F$4:$ABM$4,"Часы",INDEX(Техника!$G$1:$ABN$500,M$2,0),$A$697,INDEX(Техника!$H$1:$ABO$500,M$2,0),"П")</f>
        <v>0</v>
      </c>
      <c r="N700" s="50">
        <f>SUMIFS(INDEX(Техника!$F$1:$ABM$500,N$2,0),Техника!$F$4:$ABM$4,"Часы",INDEX(Техника!$G$1:$ABN$500,N$2,0),$A$697,INDEX(Техника!$H$1:$ABO$500,N$2,0),"П")</f>
        <v>0</v>
      </c>
      <c r="O700" s="50">
        <f>SUMIFS(INDEX(Техника!$F$1:$ABM$500,O$2,0),Техника!$F$4:$ABM$4,"Часы",INDEX(Техника!$G$1:$ABN$500,O$2,0),$A$697,INDEX(Техника!$H$1:$ABO$500,O$2,0),"П")</f>
        <v>0</v>
      </c>
      <c r="P700" s="50">
        <f>SUMIFS(INDEX(Техника!$F$1:$ABM$500,P$2,0),Техника!$F$4:$ABM$4,"Часы",INDEX(Техника!$G$1:$ABN$500,P$2,0),$A$697,INDEX(Техника!$H$1:$ABO$500,P$2,0),"П")</f>
        <v>0</v>
      </c>
      <c r="Q700" s="50">
        <f>SUMIFS(INDEX(Техника!$F$1:$ABM$500,Q$2,0),Техника!$F$4:$ABM$4,"Часы",INDEX(Техника!$G$1:$ABN$500,Q$2,0),$A$697,INDEX(Техника!$H$1:$ABO$500,Q$2,0),"П")</f>
        <v>0</v>
      </c>
      <c r="R700" s="50">
        <f>SUMIFS(INDEX(Техника!$F$1:$ABM$500,R$2,0),Техника!$F$4:$ABM$4,"Часы",INDEX(Техника!$G$1:$ABN$500,R$2,0),$A$697,INDEX(Техника!$H$1:$ABO$500,R$2,0),"П")</f>
        <v>0</v>
      </c>
      <c r="S700" s="50">
        <f>SUMIFS(INDEX(Техника!$F$1:$ABM$500,S$2,0),Техника!$F$4:$ABM$4,"Часы",INDEX(Техника!$G$1:$ABN$500,S$2,0),$A$697,INDEX(Техника!$H$1:$ABO$500,S$2,0),"П")</f>
        <v>0</v>
      </c>
      <c r="T700" s="50">
        <f>SUMIFS(INDEX(Техника!$F$1:$ABM$500,T$2,0),Техника!$F$4:$ABM$4,"Часы",INDEX(Техника!$G$1:$ABN$500,T$2,0),$A$697,INDEX(Техника!$H$1:$ABO$500,T$2,0),"П")</f>
        <v>0</v>
      </c>
      <c r="U700" s="50">
        <f>SUMIFS(INDEX(Техника!$F$1:$ABM$500,U$2,0),Техника!$F$4:$ABM$4,"Часы",INDEX(Техника!$G$1:$ABN$500,U$2,0),$A$697,INDEX(Техника!$H$1:$ABO$500,U$2,0),"П")</f>
        <v>0</v>
      </c>
      <c r="V700" s="50">
        <f>SUMIFS(INDEX(Техника!$F$1:$ABM$500,V$2,0),Техника!$F$4:$ABM$4,"Часы",INDEX(Техника!$G$1:$ABN$500,V$2,0),$A$697,INDEX(Техника!$H$1:$ABO$500,V$2,0),"П")</f>
        <v>0</v>
      </c>
      <c r="W700" s="50">
        <f>SUMIFS(INDEX(Техника!$F$1:$ABM$500,W$2,0),Техника!$F$4:$ABM$4,"Часы",INDEX(Техника!$G$1:$ABN$500,W$2,0),$A$697,INDEX(Техника!$H$1:$ABO$500,W$2,0),"П")</f>
        <v>0</v>
      </c>
      <c r="X700" s="50">
        <f>SUMIFS(INDEX(Техника!$F$1:$ABM$500,X$2,0),Техника!$F$4:$ABM$4,"Часы",INDEX(Техника!$G$1:$ABN$500,X$2,0),$A$697,INDEX(Техника!$H$1:$ABO$500,X$2,0),"П")</f>
        <v>0</v>
      </c>
      <c r="Y700" s="50">
        <f>SUMIFS(INDEX(Техника!$F$1:$ABM$500,Y$2,0),Техника!$F$4:$ABM$4,"Часы",INDEX(Техника!$G$1:$ABN$500,Y$2,0),$A$697,INDEX(Техника!$H$1:$ABO$500,Y$2,0),"П")</f>
        <v>0</v>
      </c>
      <c r="Z700" s="50">
        <f>SUMIFS(INDEX(Техника!$F$1:$ABM$500,Z$2,0),Техника!$F$4:$ABM$4,"Часы",INDEX(Техника!$G$1:$ABN$500,Z$2,0),$A$697,INDEX(Техника!$H$1:$ABO$500,Z$2,0),"П")</f>
        <v>0</v>
      </c>
      <c r="AA700" s="50">
        <f>SUMIFS(INDEX(Техника!$F$1:$ABM$500,AA$2,0),Техника!$F$4:$ABM$4,"Часы",INDEX(Техника!$G$1:$ABN$500,AA$2,0),$A$697,INDEX(Техника!$H$1:$ABO$500,AA$2,0),"П")</f>
        <v>0</v>
      </c>
      <c r="AB700" s="50">
        <f>SUMIFS(INDEX(Техника!$F$1:$ABM$500,AB$2,0),Техника!$F$4:$ABM$4,"Часы",INDEX(Техника!$G$1:$ABN$500,AB$2,0),$A$697,INDEX(Техника!$H$1:$ABO$500,AB$2,0),"П")</f>
        <v>0</v>
      </c>
    </row>
    <row r="701" spans="1:28" hidden="1" outlineLevel="1" x14ac:dyDescent="0.3">
      <c r="A701" s="33" t="s">
        <v>243</v>
      </c>
      <c r="B701" s="34" t="s">
        <v>278</v>
      </c>
      <c r="C701" s="50">
        <f>SUMIFS(INDEX(Техника!$F$1:$ABM$500,C$2,0),Техника!$F$4:$ABM$4,"Часы",INDEX(Техника!$G$1:$ABN$500,C$2,0),$A$697,INDEX(Техника!$H$1:$ABO$500,C$2,0),"Л")</f>
        <v>0</v>
      </c>
      <c r="D701" s="50">
        <f>SUMIFS(INDEX(Техника!$F$1:$ABM$500,D$2,0),Техника!$F$4:$ABM$4,"Часы",INDEX(Техника!$G$1:$ABN$500,D$2,0),$A$697,INDEX(Техника!$H$1:$ABO$500,D$2,0),"Л")</f>
        <v>0</v>
      </c>
      <c r="E701" s="50">
        <f>SUMIFS(INDEX(Техника!$F$1:$ABM$500,E$2,0),Техника!$F$4:$ABM$4,"Часы",INDEX(Техника!$G$1:$ABN$500,E$2,0),$A$697,INDEX(Техника!$H$1:$ABO$500,E$2,0),"Л")</f>
        <v>0</v>
      </c>
      <c r="F701" s="50">
        <f>SUMIFS(INDEX(Техника!$F$1:$ABM$500,F$2,0),Техника!$F$4:$ABM$4,"Часы",INDEX(Техника!$G$1:$ABN$500,F$2,0),$A$697,INDEX(Техника!$H$1:$ABO$500,F$2,0),"Л")</f>
        <v>0</v>
      </c>
      <c r="G701" s="50">
        <f>SUMIFS(INDEX(Техника!$F$1:$ABM$500,G$2,0),Техника!$F$4:$ABM$4,"Часы",INDEX(Техника!$G$1:$ABN$500,G$2,0),$A$697,INDEX(Техника!$H$1:$ABO$500,G$2,0),"Л")</f>
        <v>0</v>
      </c>
      <c r="H701" s="50">
        <f>SUMIFS(INDEX(Техника!$F$1:$ABM$500,H$2,0),Техника!$F$4:$ABM$4,"Часы",INDEX(Техника!$G$1:$ABN$500,H$2,0),$A$697,INDEX(Техника!$H$1:$ABO$500,H$2,0),"Л")</f>
        <v>0</v>
      </c>
      <c r="I701" s="50">
        <f>SUMIFS(INDEX(Техника!$F$1:$ABM$500,I$2,0),Техника!$F$4:$ABM$4,"Часы",INDEX(Техника!$G$1:$ABN$500,I$2,0),$A$697,INDEX(Техника!$H$1:$ABO$500,I$2,0),"Л")</f>
        <v>0</v>
      </c>
      <c r="J701" s="50">
        <f>SUMIFS(INDEX(Техника!$F$1:$ABM$500,J$2,0),Техника!$F$4:$ABM$4,"Часы",INDEX(Техника!$G$1:$ABN$500,J$2,0),$A$697,INDEX(Техника!$H$1:$ABO$500,J$2,0),"Л")</f>
        <v>0</v>
      </c>
      <c r="K701" s="50">
        <f>SUMIFS(INDEX(Техника!$F$1:$ABM$500,K$2,0),Техника!$F$4:$ABM$4,"Часы",INDEX(Техника!$G$1:$ABN$500,K$2,0),$A$697,INDEX(Техника!$H$1:$ABO$500,K$2,0),"Л")</f>
        <v>0</v>
      </c>
      <c r="L701" s="50">
        <f>SUMIFS(INDEX(Техника!$F$1:$ABM$500,L$2,0),Техника!$F$4:$ABM$4,"Часы",INDEX(Техника!$G$1:$ABN$500,L$2,0),$A$697,INDEX(Техника!$H$1:$ABO$500,L$2,0),"Л")</f>
        <v>0</v>
      </c>
      <c r="M701" s="50">
        <f>SUMIFS(INDEX(Техника!$F$1:$ABM$500,M$2,0),Техника!$F$4:$ABM$4,"Часы",INDEX(Техника!$G$1:$ABN$500,M$2,0),$A$697,INDEX(Техника!$H$1:$ABO$500,M$2,0),"Л")</f>
        <v>0</v>
      </c>
      <c r="N701" s="50">
        <f>SUMIFS(INDEX(Техника!$F$1:$ABM$500,N$2,0),Техника!$F$4:$ABM$4,"Часы",INDEX(Техника!$G$1:$ABN$500,N$2,0),$A$697,INDEX(Техника!$H$1:$ABO$500,N$2,0),"Л")</f>
        <v>0</v>
      </c>
      <c r="O701" s="50">
        <f>SUMIFS(INDEX(Техника!$F$1:$ABM$500,O$2,0),Техника!$F$4:$ABM$4,"Часы",INDEX(Техника!$G$1:$ABN$500,O$2,0),$A$697,INDEX(Техника!$H$1:$ABO$500,O$2,0),"Л")</f>
        <v>0</v>
      </c>
      <c r="P701" s="50">
        <f>SUMIFS(INDEX(Техника!$F$1:$ABM$500,P$2,0),Техника!$F$4:$ABM$4,"Часы",INDEX(Техника!$G$1:$ABN$500,P$2,0),$A$697,INDEX(Техника!$H$1:$ABO$500,P$2,0),"Л")</f>
        <v>0</v>
      </c>
      <c r="Q701" s="50">
        <f>SUMIFS(INDEX(Техника!$F$1:$ABM$500,Q$2,0),Техника!$F$4:$ABM$4,"Часы",INDEX(Техника!$G$1:$ABN$500,Q$2,0),$A$697,INDEX(Техника!$H$1:$ABO$500,Q$2,0),"Л")</f>
        <v>0</v>
      </c>
      <c r="R701" s="50">
        <f>SUMIFS(INDEX(Техника!$F$1:$ABM$500,R$2,0),Техника!$F$4:$ABM$4,"Часы",INDEX(Техника!$G$1:$ABN$500,R$2,0),$A$697,INDEX(Техника!$H$1:$ABO$500,R$2,0),"Л")</f>
        <v>0</v>
      </c>
      <c r="S701" s="50">
        <f>SUMIFS(INDEX(Техника!$F$1:$ABM$500,S$2,0),Техника!$F$4:$ABM$4,"Часы",INDEX(Техника!$G$1:$ABN$500,S$2,0),$A$697,INDEX(Техника!$H$1:$ABO$500,S$2,0),"Л")</f>
        <v>0</v>
      </c>
      <c r="T701" s="50">
        <f>SUMIFS(INDEX(Техника!$F$1:$ABM$500,T$2,0),Техника!$F$4:$ABM$4,"Часы",INDEX(Техника!$G$1:$ABN$500,T$2,0),$A$697,INDEX(Техника!$H$1:$ABO$500,T$2,0),"Л")</f>
        <v>0</v>
      </c>
      <c r="U701" s="50">
        <f>SUMIFS(INDEX(Техника!$F$1:$ABM$500,U$2,0),Техника!$F$4:$ABM$4,"Часы",INDEX(Техника!$G$1:$ABN$500,U$2,0),$A$697,INDEX(Техника!$H$1:$ABO$500,U$2,0),"Л")</f>
        <v>0</v>
      </c>
      <c r="V701" s="50">
        <f>SUMIFS(INDEX(Техника!$F$1:$ABM$500,V$2,0),Техника!$F$4:$ABM$4,"Часы",INDEX(Техника!$G$1:$ABN$500,V$2,0),$A$697,INDEX(Техника!$H$1:$ABO$500,V$2,0),"Л")</f>
        <v>0</v>
      </c>
      <c r="W701" s="50">
        <f>SUMIFS(INDEX(Техника!$F$1:$ABM$500,W$2,0),Техника!$F$4:$ABM$4,"Часы",INDEX(Техника!$G$1:$ABN$500,W$2,0),$A$697,INDEX(Техника!$H$1:$ABO$500,W$2,0),"Л")</f>
        <v>0</v>
      </c>
      <c r="X701" s="50">
        <f>SUMIFS(INDEX(Техника!$F$1:$ABM$500,X$2,0),Техника!$F$4:$ABM$4,"Часы",INDEX(Техника!$G$1:$ABN$500,X$2,0),$A$697,INDEX(Техника!$H$1:$ABO$500,X$2,0),"Л")</f>
        <v>0</v>
      </c>
      <c r="Y701" s="50">
        <f>SUMIFS(INDEX(Техника!$F$1:$ABM$500,Y$2,0),Техника!$F$4:$ABM$4,"Часы",INDEX(Техника!$G$1:$ABN$500,Y$2,0),$A$697,INDEX(Техника!$H$1:$ABO$500,Y$2,0),"Л")</f>
        <v>0</v>
      </c>
      <c r="Z701" s="50">
        <f>SUMIFS(INDEX(Техника!$F$1:$ABM$500,Z$2,0),Техника!$F$4:$ABM$4,"Часы",INDEX(Техника!$G$1:$ABN$500,Z$2,0),$A$697,INDEX(Техника!$H$1:$ABO$500,Z$2,0),"Л")</f>
        <v>0</v>
      </c>
      <c r="AA701" s="50">
        <f>SUMIFS(INDEX(Техника!$F$1:$ABM$500,AA$2,0),Техника!$F$4:$ABM$4,"Часы",INDEX(Техника!$G$1:$ABN$500,AA$2,0),$A$697,INDEX(Техника!$H$1:$ABO$500,AA$2,0),"Л")</f>
        <v>0</v>
      </c>
      <c r="AB701" s="50">
        <f>SUMIFS(INDEX(Техника!$F$1:$ABM$500,AB$2,0),Техника!$F$4:$ABM$4,"Часы",INDEX(Техника!$G$1:$ABN$500,AB$2,0),$A$697,INDEX(Техника!$H$1:$ABO$500,AB$2,0),"Л")</f>
        <v>0</v>
      </c>
    </row>
    <row r="702" spans="1:28" hidden="1" outlineLevel="1" x14ac:dyDescent="0.3">
      <c r="A702" s="33" t="s">
        <v>245</v>
      </c>
      <c r="B702" s="34" t="s">
        <v>279</v>
      </c>
      <c r="C702" s="50">
        <f>SUMIFS(INDEX(Техника!$F$1:$ABM$500,C$2,0),Техника!$F$4:$ABM$4,"Часы",INDEX(Техника!$G$1:$ABN$500,C$2,0),$A$697,INDEX(Техника!$H$1:$ABO$500,C$2,0),"З")</f>
        <v>0</v>
      </c>
      <c r="D702" s="50">
        <f>SUMIFS(INDEX(Техника!$F$1:$ABM$500,D$2,0),Техника!$F$4:$ABM$4,"Часы",INDEX(Техника!$G$1:$ABN$500,D$2,0),$A$697,INDEX(Техника!$H$1:$ABO$500,D$2,0),"З")</f>
        <v>0</v>
      </c>
      <c r="E702" s="50">
        <f>SUMIFS(INDEX(Техника!$F$1:$ABM$500,E$2,0),Техника!$F$4:$ABM$4,"Часы",INDEX(Техника!$G$1:$ABN$500,E$2,0),$A$697,INDEX(Техника!$H$1:$ABO$500,E$2,0),"З")</f>
        <v>0</v>
      </c>
      <c r="F702" s="50">
        <f>SUMIFS(INDEX(Техника!$F$1:$ABM$500,F$2,0),Техника!$F$4:$ABM$4,"Часы",INDEX(Техника!$G$1:$ABN$500,F$2,0),$A$697,INDEX(Техника!$H$1:$ABO$500,F$2,0),"З")</f>
        <v>0</v>
      </c>
      <c r="G702" s="50">
        <f>SUMIFS(INDEX(Техника!$F$1:$ABM$500,G$2,0),Техника!$F$4:$ABM$4,"Часы",INDEX(Техника!$G$1:$ABN$500,G$2,0),$A$697,INDEX(Техника!$H$1:$ABO$500,G$2,0),"З")</f>
        <v>0</v>
      </c>
      <c r="H702" s="50">
        <f>SUMIFS(INDEX(Техника!$F$1:$ABM$500,H$2,0),Техника!$F$4:$ABM$4,"Часы",INDEX(Техника!$G$1:$ABN$500,H$2,0),$A$697,INDEX(Техника!$H$1:$ABO$500,H$2,0),"З")</f>
        <v>0</v>
      </c>
      <c r="I702" s="50">
        <f>SUMIFS(INDEX(Техника!$F$1:$ABM$500,I$2,0),Техника!$F$4:$ABM$4,"Часы",INDEX(Техника!$G$1:$ABN$500,I$2,0),$A$697,INDEX(Техника!$H$1:$ABO$500,I$2,0),"З")</f>
        <v>0</v>
      </c>
      <c r="J702" s="50">
        <f>SUMIFS(INDEX(Техника!$F$1:$ABM$500,J$2,0),Техника!$F$4:$ABM$4,"Часы",INDEX(Техника!$G$1:$ABN$500,J$2,0),$A$697,INDEX(Техника!$H$1:$ABO$500,J$2,0),"З")</f>
        <v>0</v>
      </c>
      <c r="K702" s="50">
        <f>SUMIFS(INDEX(Техника!$F$1:$ABM$500,K$2,0),Техника!$F$4:$ABM$4,"Часы",INDEX(Техника!$G$1:$ABN$500,K$2,0),$A$697,INDEX(Техника!$H$1:$ABO$500,K$2,0),"З")</f>
        <v>0</v>
      </c>
      <c r="L702" s="50">
        <f>SUMIFS(INDEX(Техника!$F$1:$ABM$500,L$2,0),Техника!$F$4:$ABM$4,"Часы",INDEX(Техника!$G$1:$ABN$500,L$2,0),$A$697,INDEX(Техника!$H$1:$ABO$500,L$2,0),"З")</f>
        <v>0</v>
      </c>
      <c r="M702" s="50">
        <f>SUMIFS(INDEX(Техника!$F$1:$ABM$500,M$2,0),Техника!$F$4:$ABM$4,"Часы",INDEX(Техника!$G$1:$ABN$500,M$2,0),$A$697,INDEX(Техника!$H$1:$ABO$500,M$2,0),"З")</f>
        <v>0</v>
      </c>
      <c r="N702" s="50">
        <f>SUMIFS(INDEX(Техника!$F$1:$ABM$500,N$2,0),Техника!$F$4:$ABM$4,"Часы",INDEX(Техника!$G$1:$ABN$500,N$2,0),$A$697,INDEX(Техника!$H$1:$ABO$500,N$2,0),"З")</f>
        <v>0</v>
      </c>
      <c r="O702" s="50">
        <f>SUMIFS(INDEX(Техника!$F$1:$ABM$500,O$2,0),Техника!$F$4:$ABM$4,"Часы",INDEX(Техника!$G$1:$ABN$500,O$2,0),$A$697,INDEX(Техника!$H$1:$ABO$500,O$2,0),"З")</f>
        <v>0</v>
      </c>
      <c r="P702" s="50">
        <f>SUMIFS(INDEX(Техника!$F$1:$ABM$500,P$2,0),Техника!$F$4:$ABM$4,"Часы",INDEX(Техника!$G$1:$ABN$500,P$2,0),$A$697,INDEX(Техника!$H$1:$ABO$500,P$2,0),"З")</f>
        <v>0</v>
      </c>
      <c r="Q702" s="50">
        <f>SUMIFS(INDEX(Техника!$F$1:$ABM$500,Q$2,0),Техника!$F$4:$ABM$4,"Часы",INDEX(Техника!$G$1:$ABN$500,Q$2,0),$A$697,INDEX(Техника!$H$1:$ABO$500,Q$2,0),"З")</f>
        <v>0</v>
      </c>
      <c r="R702" s="50">
        <f>SUMIFS(INDEX(Техника!$F$1:$ABM$500,R$2,0),Техника!$F$4:$ABM$4,"Часы",INDEX(Техника!$G$1:$ABN$500,R$2,0),$A$697,INDEX(Техника!$H$1:$ABO$500,R$2,0),"З")</f>
        <v>0</v>
      </c>
      <c r="S702" s="50">
        <f>SUMIFS(INDEX(Техника!$F$1:$ABM$500,S$2,0),Техника!$F$4:$ABM$4,"Часы",INDEX(Техника!$G$1:$ABN$500,S$2,0),$A$697,INDEX(Техника!$H$1:$ABO$500,S$2,0),"З")</f>
        <v>0</v>
      </c>
      <c r="T702" s="50">
        <f>SUMIFS(INDEX(Техника!$F$1:$ABM$500,T$2,0),Техника!$F$4:$ABM$4,"Часы",INDEX(Техника!$G$1:$ABN$500,T$2,0),$A$697,INDEX(Техника!$H$1:$ABO$500,T$2,0),"З")</f>
        <v>0</v>
      </c>
      <c r="U702" s="50">
        <f>SUMIFS(INDEX(Техника!$F$1:$ABM$500,U$2,0),Техника!$F$4:$ABM$4,"Часы",INDEX(Техника!$G$1:$ABN$500,U$2,0),$A$697,INDEX(Техника!$H$1:$ABO$500,U$2,0),"З")</f>
        <v>0</v>
      </c>
      <c r="V702" s="50">
        <f>SUMIFS(INDEX(Техника!$F$1:$ABM$500,V$2,0),Техника!$F$4:$ABM$4,"Часы",INDEX(Техника!$G$1:$ABN$500,V$2,0),$A$697,INDEX(Техника!$H$1:$ABO$500,V$2,0),"З")</f>
        <v>0</v>
      </c>
      <c r="W702" s="50">
        <f>SUMIFS(INDEX(Техника!$F$1:$ABM$500,W$2,0),Техника!$F$4:$ABM$4,"Часы",INDEX(Техника!$G$1:$ABN$500,W$2,0),$A$697,INDEX(Техника!$H$1:$ABO$500,W$2,0),"З")</f>
        <v>0</v>
      </c>
      <c r="X702" s="50">
        <f>SUMIFS(INDEX(Техника!$F$1:$ABM$500,X$2,0),Техника!$F$4:$ABM$4,"Часы",INDEX(Техника!$G$1:$ABN$500,X$2,0),$A$697,INDEX(Техника!$H$1:$ABO$500,X$2,0),"З")</f>
        <v>0</v>
      </c>
      <c r="Y702" s="50">
        <f>SUMIFS(INDEX(Техника!$F$1:$ABM$500,Y$2,0),Техника!$F$4:$ABM$4,"Часы",INDEX(Техника!$G$1:$ABN$500,Y$2,0),$A$697,INDEX(Техника!$H$1:$ABO$500,Y$2,0),"З")</f>
        <v>0</v>
      </c>
      <c r="Z702" s="50">
        <f>SUMIFS(INDEX(Техника!$F$1:$ABM$500,Z$2,0),Техника!$F$4:$ABM$4,"Часы",INDEX(Техника!$G$1:$ABN$500,Z$2,0),$A$697,INDEX(Техника!$H$1:$ABO$500,Z$2,0),"З")</f>
        <v>0</v>
      </c>
      <c r="AA702" s="50">
        <f>SUMIFS(INDEX(Техника!$F$1:$ABM$500,AA$2,0),Техника!$F$4:$ABM$4,"Часы",INDEX(Техника!$G$1:$ABN$500,AA$2,0),$A$697,INDEX(Техника!$H$1:$ABO$500,AA$2,0),"З")</f>
        <v>0</v>
      </c>
      <c r="AB702" s="50">
        <f>SUMIFS(INDEX(Техника!$F$1:$ABM$500,AB$2,0),Техника!$F$4:$ABM$4,"Часы",INDEX(Техника!$G$1:$ABN$500,AB$2,0),$A$697,INDEX(Техника!$H$1:$ABO$500,AB$2,0),"З")</f>
        <v>0</v>
      </c>
    </row>
    <row r="703" spans="1:28" ht="7.95" customHeight="1" x14ac:dyDescent="0.3">
      <c r="A703" s="38"/>
      <c r="B703" s="39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</row>
    <row r="704" spans="1:28" ht="25.05" customHeight="1" collapsed="1" x14ac:dyDescent="0.3">
      <c r="A704" s="32">
        <v>101</v>
      </c>
      <c r="B704" s="32" t="s">
        <v>102</v>
      </c>
      <c r="C704" s="49">
        <f>SUM(C705:C709)</f>
        <v>0</v>
      </c>
      <c r="D704" s="49">
        <f>SUM(D705:D709)</f>
        <v>0</v>
      </c>
      <c r="E704" s="49">
        <f>SUM(E705:E709)</f>
        <v>0</v>
      </c>
      <c r="F704" s="49">
        <f>SUM(F705:F709)</f>
        <v>0</v>
      </c>
      <c r="G704" s="49">
        <f>SUM(G705:G709)</f>
        <v>0</v>
      </c>
      <c r="H704" s="49">
        <f>SUM(H705:H709)</f>
        <v>0</v>
      </c>
      <c r="I704" s="49">
        <f>SUM(I705:I709)</f>
        <v>0</v>
      </c>
      <c r="J704" s="49">
        <f>SUM(J705:J709)</f>
        <v>0</v>
      </c>
      <c r="K704" s="49">
        <f>SUM(K705:K709)</f>
        <v>0</v>
      </c>
      <c r="L704" s="49">
        <f>SUM(L705:L709)</f>
        <v>0</v>
      </c>
      <c r="M704" s="49">
        <f>SUM(M705:M709)</f>
        <v>0</v>
      </c>
      <c r="N704" s="49">
        <f>SUM(N705:N709)</f>
        <v>0</v>
      </c>
      <c r="O704" s="49">
        <f>SUM(O705:O709)</f>
        <v>0</v>
      </c>
      <c r="P704" s="49">
        <f>SUM(P705:P709)</f>
        <v>0</v>
      </c>
      <c r="Q704" s="49">
        <f>SUM(Q705:Q709)</f>
        <v>0</v>
      </c>
      <c r="R704" s="49">
        <f>SUM(R705:R709)</f>
        <v>0</v>
      </c>
      <c r="S704" s="49">
        <f>SUM(S705:S709)</f>
        <v>0</v>
      </c>
      <c r="T704" s="49">
        <f>SUM(T705:T709)</f>
        <v>0</v>
      </c>
      <c r="U704" s="49">
        <f>SUM(U705:U709)</f>
        <v>0</v>
      </c>
      <c r="V704" s="49">
        <f>SUM(V705:V709)</f>
        <v>0</v>
      </c>
      <c r="W704" s="49">
        <f>SUM(W705:W709)</f>
        <v>0</v>
      </c>
      <c r="X704" s="49">
        <f>SUM(X705:X709)</f>
        <v>0</v>
      </c>
      <c r="Y704" s="49">
        <f>SUM(Y705:Y709)</f>
        <v>0</v>
      </c>
      <c r="Z704" s="49">
        <f>SUM(Z705:Z709)</f>
        <v>0</v>
      </c>
      <c r="AA704" s="49">
        <f>SUM(AA705:AA709)</f>
        <v>0</v>
      </c>
      <c r="AB704" s="49">
        <f>SUM(AB705:AB709)</f>
        <v>0</v>
      </c>
    </row>
    <row r="705" spans="1:28" hidden="1" outlineLevel="1" x14ac:dyDescent="0.3">
      <c r="A705" s="33" t="s">
        <v>246</v>
      </c>
      <c r="B705" s="34" t="s">
        <v>274</v>
      </c>
      <c r="C705" s="50">
        <f>SUMIFS(INDEX(Техника!$F$1:$ABM$500,C$2,0),Техника!$F$4:$ABM$4,"Часы",INDEX(Техника!$G$1:$ABN$500,C$2,0),$A$704,INDEX(Техника!$H$1:$ABO$500,C$2,0),"М")</f>
        <v>0</v>
      </c>
      <c r="D705" s="50">
        <f>SUMIFS(INDEX(Техника!$F$1:$ABM$500,D$2,0),Техника!$F$4:$ABM$4,"Часы",INDEX(Техника!$G$1:$ABN$500,D$2,0),$A$704,INDEX(Техника!$H$1:$ABO$500,D$2,0),"М")</f>
        <v>0</v>
      </c>
      <c r="E705" s="50">
        <f>SUMIFS(INDEX(Техника!$F$1:$ABM$500,E$2,0),Техника!$F$4:$ABM$4,"Часы",INDEX(Техника!$G$1:$ABN$500,E$2,0),$A$704,INDEX(Техника!$H$1:$ABO$500,E$2,0),"М")</f>
        <v>0</v>
      </c>
      <c r="F705" s="50">
        <f>SUMIFS(INDEX(Техника!$F$1:$ABM$500,F$2,0),Техника!$F$4:$ABM$4,"Часы",INDEX(Техника!$G$1:$ABN$500,F$2,0),$A$704,INDEX(Техника!$H$1:$ABO$500,F$2,0),"М")</f>
        <v>0</v>
      </c>
      <c r="G705" s="50">
        <f>SUMIFS(INDEX(Техника!$F$1:$ABM$500,G$2,0),Техника!$F$4:$ABM$4,"Часы",INDEX(Техника!$G$1:$ABN$500,G$2,0),$A$704,INDEX(Техника!$H$1:$ABO$500,G$2,0),"М")</f>
        <v>0</v>
      </c>
      <c r="H705" s="50">
        <f>SUMIFS(INDEX(Техника!$F$1:$ABM$500,H$2,0),Техника!$F$4:$ABM$4,"Часы",INDEX(Техника!$G$1:$ABN$500,H$2,0),$A$704,INDEX(Техника!$H$1:$ABO$500,H$2,0),"М")</f>
        <v>0</v>
      </c>
      <c r="I705" s="50">
        <f>SUMIFS(INDEX(Техника!$F$1:$ABM$500,I$2,0),Техника!$F$4:$ABM$4,"Часы",INDEX(Техника!$G$1:$ABN$500,I$2,0),$A$704,INDEX(Техника!$H$1:$ABO$500,I$2,0),"М")</f>
        <v>0</v>
      </c>
      <c r="J705" s="50">
        <f>SUMIFS(INDEX(Техника!$F$1:$ABM$500,J$2,0),Техника!$F$4:$ABM$4,"Часы",INDEX(Техника!$G$1:$ABN$500,J$2,0),$A$704,INDEX(Техника!$H$1:$ABO$500,J$2,0),"М")</f>
        <v>0</v>
      </c>
      <c r="K705" s="50">
        <f>SUMIFS(INDEX(Техника!$F$1:$ABM$500,K$2,0),Техника!$F$4:$ABM$4,"Часы",INDEX(Техника!$G$1:$ABN$500,K$2,0),$A$704,INDEX(Техника!$H$1:$ABO$500,K$2,0),"М")</f>
        <v>0</v>
      </c>
      <c r="L705" s="50">
        <f>SUMIFS(INDEX(Техника!$F$1:$ABM$500,L$2,0),Техника!$F$4:$ABM$4,"Часы",INDEX(Техника!$G$1:$ABN$500,L$2,0),$A$704,INDEX(Техника!$H$1:$ABO$500,L$2,0),"М")</f>
        <v>0</v>
      </c>
      <c r="M705" s="50">
        <f>SUMIFS(INDEX(Техника!$F$1:$ABM$500,M$2,0),Техника!$F$4:$ABM$4,"Часы",INDEX(Техника!$G$1:$ABN$500,M$2,0),$A$704,INDEX(Техника!$H$1:$ABO$500,M$2,0),"М")</f>
        <v>0</v>
      </c>
      <c r="N705" s="50">
        <f>SUMIFS(INDEX(Техника!$F$1:$ABM$500,N$2,0),Техника!$F$4:$ABM$4,"Часы",INDEX(Техника!$G$1:$ABN$500,N$2,0),$A$704,INDEX(Техника!$H$1:$ABO$500,N$2,0),"М")</f>
        <v>0</v>
      </c>
      <c r="O705" s="50">
        <f>SUMIFS(INDEX(Техника!$F$1:$ABM$500,O$2,0),Техника!$F$4:$ABM$4,"Часы",INDEX(Техника!$G$1:$ABN$500,O$2,0),$A$704,INDEX(Техника!$H$1:$ABO$500,O$2,0),"М")</f>
        <v>0</v>
      </c>
      <c r="P705" s="50">
        <f>SUMIFS(INDEX(Техника!$F$1:$ABM$500,P$2,0),Техника!$F$4:$ABM$4,"Часы",INDEX(Техника!$G$1:$ABN$500,P$2,0),$A$704,INDEX(Техника!$H$1:$ABO$500,P$2,0),"М")</f>
        <v>0</v>
      </c>
      <c r="Q705" s="50">
        <f>SUMIFS(INDEX(Техника!$F$1:$ABM$500,Q$2,0),Техника!$F$4:$ABM$4,"Часы",INDEX(Техника!$G$1:$ABN$500,Q$2,0),$A$704,INDEX(Техника!$H$1:$ABO$500,Q$2,0),"М")</f>
        <v>0</v>
      </c>
      <c r="R705" s="50">
        <f>SUMIFS(INDEX(Техника!$F$1:$ABM$500,R$2,0),Техника!$F$4:$ABM$4,"Часы",INDEX(Техника!$G$1:$ABN$500,R$2,0),$A$704,INDEX(Техника!$H$1:$ABO$500,R$2,0),"М")</f>
        <v>0</v>
      </c>
      <c r="S705" s="50">
        <f>SUMIFS(INDEX(Техника!$F$1:$ABM$500,S$2,0),Техника!$F$4:$ABM$4,"Часы",INDEX(Техника!$G$1:$ABN$500,S$2,0),$A$704,INDEX(Техника!$H$1:$ABO$500,S$2,0),"М")</f>
        <v>0</v>
      </c>
      <c r="T705" s="50">
        <f>SUMIFS(INDEX(Техника!$F$1:$ABM$500,T$2,0),Техника!$F$4:$ABM$4,"Часы",INDEX(Техника!$G$1:$ABN$500,T$2,0),$A$704,INDEX(Техника!$H$1:$ABO$500,T$2,0),"М")</f>
        <v>0</v>
      </c>
      <c r="U705" s="50">
        <f>SUMIFS(INDEX(Техника!$F$1:$ABM$500,U$2,0),Техника!$F$4:$ABM$4,"Часы",INDEX(Техника!$G$1:$ABN$500,U$2,0),$A$704,INDEX(Техника!$H$1:$ABO$500,U$2,0),"М")</f>
        <v>0</v>
      </c>
      <c r="V705" s="50">
        <f>SUMIFS(INDEX(Техника!$F$1:$ABM$500,V$2,0),Техника!$F$4:$ABM$4,"Часы",INDEX(Техника!$G$1:$ABN$500,V$2,0),$A$704,INDEX(Техника!$H$1:$ABO$500,V$2,0),"М")</f>
        <v>0</v>
      </c>
      <c r="W705" s="50">
        <f>SUMIFS(INDEX(Техника!$F$1:$ABM$500,W$2,0),Техника!$F$4:$ABM$4,"Часы",INDEX(Техника!$G$1:$ABN$500,W$2,0),$A$704,INDEX(Техника!$H$1:$ABO$500,W$2,0),"М")</f>
        <v>0</v>
      </c>
      <c r="X705" s="50">
        <f>SUMIFS(INDEX(Техника!$F$1:$ABM$500,X$2,0),Техника!$F$4:$ABM$4,"Часы",INDEX(Техника!$G$1:$ABN$500,X$2,0),$A$704,INDEX(Техника!$H$1:$ABO$500,X$2,0),"М")</f>
        <v>0</v>
      </c>
      <c r="Y705" s="50">
        <f>SUMIFS(INDEX(Техника!$F$1:$ABM$500,Y$2,0),Техника!$F$4:$ABM$4,"Часы",INDEX(Техника!$G$1:$ABN$500,Y$2,0),$A$704,INDEX(Техника!$H$1:$ABO$500,Y$2,0),"М")</f>
        <v>0</v>
      </c>
      <c r="Z705" s="50">
        <f>SUMIFS(INDEX(Техника!$F$1:$ABM$500,Z$2,0),Техника!$F$4:$ABM$4,"Часы",INDEX(Техника!$G$1:$ABN$500,Z$2,0),$A$704,INDEX(Техника!$H$1:$ABO$500,Z$2,0),"М")</f>
        <v>0</v>
      </c>
      <c r="AA705" s="50">
        <f>SUMIFS(INDEX(Техника!$F$1:$ABM$500,AA$2,0),Техника!$F$4:$ABM$4,"Часы",INDEX(Техника!$G$1:$ABN$500,AA$2,0),$A$704,INDEX(Техника!$H$1:$ABO$500,AA$2,0),"М")</f>
        <v>0</v>
      </c>
      <c r="AB705" s="50">
        <f>SUMIFS(INDEX(Техника!$F$1:$ABM$500,AB$2,0),Техника!$F$4:$ABM$4,"Часы",INDEX(Техника!$G$1:$ABN$500,AB$2,0),$A$704,INDEX(Техника!$H$1:$ABO$500,AB$2,0),"М")</f>
        <v>0</v>
      </c>
    </row>
    <row r="706" spans="1:28" hidden="1" outlineLevel="1" x14ac:dyDescent="0.3">
      <c r="A706" s="33" t="s">
        <v>244</v>
      </c>
      <c r="B706" s="34" t="s">
        <v>275</v>
      </c>
      <c r="C706" s="50">
        <f>SUMIFS(INDEX(Техника!$F$1:$ABM$500,C$2,0),Техника!$F$4:$ABM$4,"Часы",INDEX(Техника!$G$1:$ABN$500,C$2,0),$A$704,INDEX(Техника!$H$1:$ABO$500,C$2,0),"Д")</f>
        <v>0</v>
      </c>
      <c r="D706" s="50">
        <f>SUMIFS(INDEX(Техника!$F$1:$ABM$500,D$2,0),Техника!$F$4:$ABM$4,"Часы",INDEX(Техника!$G$1:$ABN$500,D$2,0),$A$704,INDEX(Техника!$H$1:$ABO$500,D$2,0),"Д")</f>
        <v>0</v>
      </c>
      <c r="E706" s="50">
        <f>SUMIFS(INDEX(Техника!$F$1:$ABM$500,E$2,0),Техника!$F$4:$ABM$4,"Часы",INDEX(Техника!$G$1:$ABN$500,E$2,0),$A$704,INDEX(Техника!$H$1:$ABO$500,E$2,0),"Д")</f>
        <v>0</v>
      </c>
      <c r="F706" s="50">
        <f>SUMIFS(INDEX(Техника!$F$1:$ABM$500,F$2,0),Техника!$F$4:$ABM$4,"Часы",INDEX(Техника!$G$1:$ABN$500,F$2,0),$A$704,INDEX(Техника!$H$1:$ABO$500,F$2,0),"Д")</f>
        <v>0</v>
      </c>
      <c r="G706" s="50">
        <f>SUMIFS(INDEX(Техника!$F$1:$ABM$500,G$2,0),Техника!$F$4:$ABM$4,"Часы",INDEX(Техника!$G$1:$ABN$500,G$2,0),$A$704,INDEX(Техника!$H$1:$ABO$500,G$2,0),"Д")</f>
        <v>0</v>
      </c>
      <c r="H706" s="50">
        <f>SUMIFS(INDEX(Техника!$F$1:$ABM$500,H$2,0),Техника!$F$4:$ABM$4,"Часы",INDEX(Техника!$G$1:$ABN$500,H$2,0),$A$704,INDEX(Техника!$H$1:$ABO$500,H$2,0),"Д")</f>
        <v>0</v>
      </c>
      <c r="I706" s="50">
        <f>SUMIFS(INDEX(Техника!$F$1:$ABM$500,I$2,0),Техника!$F$4:$ABM$4,"Часы",INDEX(Техника!$G$1:$ABN$500,I$2,0),$A$704,INDEX(Техника!$H$1:$ABO$500,I$2,0),"Д")</f>
        <v>0</v>
      </c>
      <c r="J706" s="50">
        <f>SUMIFS(INDEX(Техника!$F$1:$ABM$500,J$2,0),Техника!$F$4:$ABM$4,"Часы",INDEX(Техника!$G$1:$ABN$500,J$2,0),$A$704,INDEX(Техника!$H$1:$ABO$500,J$2,0),"Д")</f>
        <v>0</v>
      </c>
      <c r="K706" s="50">
        <f>SUMIFS(INDEX(Техника!$F$1:$ABM$500,K$2,0),Техника!$F$4:$ABM$4,"Часы",INDEX(Техника!$G$1:$ABN$500,K$2,0),$A$704,INDEX(Техника!$H$1:$ABO$500,K$2,0),"Д")</f>
        <v>0</v>
      </c>
      <c r="L706" s="50">
        <f>SUMIFS(INDEX(Техника!$F$1:$ABM$500,L$2,0),Техника!$F$4:$ABM$4,"Часы",INDEX(Техника!$G$1:$ABN$500,L$2,0),$A$704,INDEX(Техника!$H$1:$ABO$500,L$2,0),"Д")</f>
        <v>0</v>
      </c>
      <c r="M706" s="50">
        <f>SUMIFS(INDEX(Техника!$F$1:$ABM$500,M$2,0),Техника!$F$4:$ABM$4,"Часы",INDEX(Техника!$G$1:$ABN$500,M$2,0),$A$704,INDEX(Техника!$H$1:$ABO$500,M$2,0),"Д")</f>
        <v>0</v>
      </c>
      <c r="N706" s="50">
        <f>SUMIFS(INDEX(Техника!$F$1:$ABM$500,N$2,0),Техника!$F$4:$ABM$4,"Часы",INDEX(Техника!$G$1:$ABN$500,N$2,0),$A$704,INDEX(Техника!$H$1:$ABO$500,N$2,0),"Д")</f>
        <v>0</v>
      </c>
      <c r="O706" s="50">
        <f>SUMIFS(INDEX(Техника!$F$1:$ABM$500,O$2,0),Техника!$F$4:$ABM$4,"Часы",INDEX(Техника!$G$1:$ABN$500,O$2,0),$A$704,INDEX(Техника!$H$1:$ABO$500,O$2,0),"Д")</f>
        <v>0</v>
      </c>
      <c r="P706" s="50">
        <f>SUMIFS(INDEX(Техника!$F$1:$ABM$500,P$2,0),Техника!$F$4:$ABM$4,"Часы",INDEX(Техника!$G$1:$ABN$500,P$2,0),$A$704,INDEX(Техника!$H$1:$ABO$500,P$2,0),"Д")</f>
        <v>0</v>
      </c>
      <c r="Q706" s="50">
        <f>SUMIFS(INDEX(Техника!$F$1:$ABM$500,Q$2,0),Техника!$F$4:$ABM$4,"Часы",INDEX(Техника!$G$1:$ABN$500,Q$2,0),$A$704,INDEX(Техника!$H$1:$ABO$500,Q$2,0),"Д")</f>
        <v>0</v>
      </c>
      <c r="R706" s="50">
        <f>SUMIFS(INDEX(Техника!$F$1:$ABM$500,R$2,0),Техника!$F$4:$ABM$4,"Часы",INDEX(Техника!$G$1:$ABN$500,R$2,0),$A$704,INDEX(Техника!$H$1:$ABO$500,R$2,0),"Д")</f>
        <v>0</v>
      </c>
      <c r="S706" s="50">
        <f>SUMIFS(INDEX(Техника!$F$1:$ABM$500,S$2,0),Техника!$F$4:$ABM$4,"Часы",INDEX(Техника!$G$1:$ABN$500,S$2,0),$A$704,INDEX(Техника!$H$1:$ABO$500,S$2,0),"Д")</f>
        <v>0</v>
      </c>
      <c r="T706" s="50">
        <f>SUMIFS(INDEX(Техника!$F$1:$ABM$500,T$2,0),Техника!$F$4:$ABM$4,"Часы",INDEX(Техника!$G$1:$ABN$500,T$2,0),$A$704,INDEX(Техника!$H$1:$ABO$500,T$2,0),"Д")</f>
        <v>0</v>
      </c>
      <c r="U706" s="50">
        <f>SUMIFS(INDEX(Техника!$F$1:$ABM$500,U$2,0),Техника!$F$4:$ABM$4,"Часы",INDEX(Техника!$G$1:$ABN$500,U$2,0),$A$704,INDEX(Техника!$H$1:$ABO$500,U$2,0),"Д")</f>
        <v>0</v>
      </c>
      <c r="V706" s="50">
        <f>SUMIFS(INDEX(Техника!$F$1:$ABM$500,V$2,0),Техника!$F$4:$ABM$4,"Часы",INDEX(Техника!$G$1:$ABN$500,V$2,0),$A$704,INDEX(Техника!$H$1:$ABO$500,V$2,0),"Д")</f>
        <v>0</v>
      </c>
      <c r="W706" s="50">
        <f>SUMIFS(INDEX(Техника!$F$1:$ABM$500,W$2,0),Техника!$F$4:$ABM$4,"Часы",INDEX(Техника!$G$1:$ABN$500,W$2,0),$A$704,INDEX(Техника!$H$1:$ABO$500,W$2,0),"Д")</f>
        <v>0</v>
      </c>
      <c r="X706" s="50">
        <f>SUMIFS(INDEX(Техника!$F$1:$ABM$500,X$2,0),Техника!$F$4:$ABM$4,"Часы",INDEX(Техника!$G$1:$ABN$500,X$2,0),$A$704,INDEX(Техника!$H$1:$ABO$500,X$2,0),"Д")</f>
        <v>0</v>
      </c>
      <c r="Y706" s="50">
        <f>SUMIFS(INDEX(Техника!$F$1:$ABM$500,Y$2,0),Техника!$F$4:$ABM$4,"Часы",INDEX(Техника!$G$1:$ABN$500,Y$2,0),$A$704,INDEX(Техника!$H$1:$ABO$500,Y$2,0),"Д")</f>
        <v>0</v>
      </c>
      <c r="Z706" s="50">
        <f>SUMIFS(INDEX(Техника!$F$1:$ABM$500,Z$2,0),Техника!$F$4:$ABM$4,"Часы",INDEX(Техника!$G$1:$ABN$500,Z$2,0),$A$704,INDEX(Техника!$H$1:$ABO$500,Z$2,0),"Д")</f>
        <v>0</v>
      </c>
      <c r="AA706" s="50">
        <f>SUMIFS(INDEX(Техника!$F$1:$ABM$500,AA$2,0),Техника!$F$4:$ABM$4,"Часы",INDEX(Техника!$G$1:$ABN$500,AA$2,0),$A$704,INDEX(Техника!$H$1:$ABO$500,AA$2,0),"Д")</f>
        <v>0</v>
      </c>
      <c r="AB706" s="50">
        <f>SUMIFS(INDEX(Техника!$F$1:$ABM$500,AB$2,0),Техника!$F$4:$ABM$4,"Часы",INDEX(Техника!$G$1:$ABN$500,AB$2,0),$A$704,INDEX(Техника!$H$1:$ABO$500,AB$2,0),"Д")</f>
        <v>0</v>
      </c>
    </row>
    <row r="707" spans="1:28" hidden="1" outlineLevel="1" x14ac:dyDescent="0.3">
      <c r="A707" s="33" t="s">
        <v>276</v>
      </c>
      <c r="B707" s="34" t="s">
        <v>277</v>
      </c>
      <c r="C707" s="50">
        <f>SUMIFS(INDEX(Техника!$F$1:$ABM$500,C$2,0),Техника!$F$4:$ABM$4,"Часы",INDEX(Техника!$G$1:$ABN$500,C$2,0),$A$704,INDEX(Техника!$H$1:$ABO$500,C$2,0),"П")</f>
        <v>0</v>
      </c>
      <c r="D707" s="50">
        <f>SUMIFS(INDEX(Техника!$F$1:$ABM$500,D$2,0),Техника!$F$4:$ABM$4,"Часы",INDEX(Техника!$G$1:$ABN$500,D$2,0),$A$704,INDEX(Техника!$H$1:$ABO$500,D$2,0),"П")</f>
        <v>0</v>
      </c>
      <c r="E707" s="50">
        <f>SUMIFS(INDEX(Техника!$F$1:$ABM$500,E$2,0),Техника!$F$4:$ABM$4,"Часы",INDEX(Техника!$G$1:$ABN$500,E$2,0),$A$704,INDEX(Техника!$H$1:$ABO$500,E$2,0),"П")</f>
        <v>0</v>
      </c>
      <c r="F707" s="50">
        <f>SUMIFS(INDEX(Техника!$F$1:$ABM$500,F$2,0),Техника!$F$4:$ABM$4,"Часы",INDEX(Техника!$G$1:$ABN$500,F$2,0),$A$704,INDEX(Техника!$H$1:$ABO$500,F$2,0),"П")</f>
        <v>0</v>
      </c>
      <c r="G707" s="50">
        <f>SUMIFS(INDEX(Техника!$F$1:$ABM$500,G$2,0),Техника!$F$4:$ABM$4,"Часы",INDEX(Техника!$G$1:$ABN$500,G$2,0),$A$704,INDEX(Техника!$H$1:$ABO$500,G$2,0),"П")</f>
        <v>0</v>
      </c>
      <c r="H707" s="50">
        <f>SUMIFS(INDEX(Техника!$F$1:$ABM$500,H$2,0),Техника!$F$4:$ABM$4,"Часы",INDEX(Техника!$G$1:$ABN$500,H$2,0),$A$704,INDEX(Техника!$H$1:$ABO$500,H$2,0),"П")</f>
        <v>0</v>
      </c>
      <c r="I707" s="50">
        <f>SUMIFS(INDEX(Техника!$F$1:$ABM$500,I$2,0),Техника!$F$4:$ABM$4,"Часы",INDEX(Техника!$G$1:$ABN$500,I$2,0),$A$704,INDEX(Техника!$H$1:$ABO$500,I$2,0),"П")</f>
        <v>0</v>
      </c>
      <c r="J707" s="50">
        <f>SUMIFS(INDEX(Техника!$F$1:$ABM$500,J$2,0),Техника!$F$4:$ABM$4,"Часы",INDEX(Техника!$G$1:$ABN$500,J$2,0),$A$704,INDEX(Техника!$H$1:$ABO$500,J$2,0),"П")</f>
        <v>0</v>
      </c>
      <c r="K707" s="50">
        <f>SUMIFS(INDEX(Техника!$F$1:$ABM$500,K$2,0),Техника!$F$4:$ABM$4,"Часы",INDEX(Техника!$G$1:$ABN$500,K$2,0),$A$704,INDEX(Техника!$H$1:$ABO$500,K$2,0),"П")</f>
        <v>0</v>
      </c>
      <c r="L707" s="50">
        <f>SUMIFS(INDEX(Техника!$F$1:$ABM$500,L$2,0),Техника!$F$4:$ABM$4,"Часы",INDEX(Техника!$G$1:$ABN$500,L$2,0),$A$704,INDEX(Техника!$H$1:$ABO$500,L$2,0),"П")</f>
        <v>0</v>
      </c>
      <c r="M707" s="50">
        <f>SUMIFS(INDEX(Техника!$F$1:$ABM$500,M$2,0),Техника!$F$4:$ABM$4,"Часы",INDEX(Техника!$G$1:$ABN$500,M$2,0),$A$704,INDEX(Техника!$H$1:$ABO$500,M$2,0),"П")</f>
        <v>0</v>
      </c>
      <c r="N707" s="50">
        <f>SUMIFS(INDEX(Техника!$F$1:$ABM$500,N$2,0),Техника!$F$4:$ABM$4,"Часы",INDEX(Техника!$G$1:$ABN$500,N$2,0),$A$704,INDEX(Техника!$H$1:$ABO$500,N$2,0),"П")</f>
        <v>0</v>
      </c>
      <c r="O707" s="50">
        <f>SUMIFS(INDEX(Техника!$F$1:$ABM$500,O$2,0),Техника!$F$4:$ABM$4,"Часы",INDEX(Техника!$G$1:$ABN$500,O$2,0),$A$704,INDEX(Техника!$H$1:$ABO$500,O$2,0),"П")</f>
        <v>0</v>
      </c>
      <c r="P707" s="50">
        <f>SUMIFS(INDEX(Техника!$F$1:$ABM$500,P$2,0),Техника!$F$4:$ABM$4,"Часы",INDEX(Техника!$G$1:$ABN$500,P$2,0),$A$704,INDEX(Техника!$H$1:$ABO$500,P$2,0),"П")</f>
        <v>0</v>
      </c>
      <c r="Q707" s="50">
        <f>SUMIFS(INDEX(Техника!$F$1:$ABM$500,Q$2,0),Техника!$F$4:$ABM$4,"Часы",INDEX(Техника!$G$1:$ABN$500,Q$2,0),$A$704,INDEX(Техника!$H$1:$ABO$500,Q$2,0),"П")</f>
        <v>0</v>
      </c>
      <c r="R707" s="50">
        <f>SUMIFS(INDEX(Техника!$F$1:$ABM$500,R$2,0),Техника!$F$4:$ABM$4,"Часы",INDEX(Техника!$G$1:$ABN$500,R$2,0),$A$704,INDEX(Техника!$H$1:$ABO$500,R$2,0),"П")</f>
        <v>0</v>
      </c>
      <c r="S707" s="50">
        <f>SUMIFS(INDEX(Техника!$F$1:$ABM$500,S$2,0),Техника!$F$4:$ABM$4,"Часы",INDEX(Техника!$G$1:$ABN$500,S$2,0),$A$704,INDEX(Техника!$H$1:$ABO$500,S$2,0),"П")</f>
        <v>0</v>
      </c>
      <c r="T707" s="50">
        <f>SUMIFS(INDEX(Техника!$F$1:$ABM$500,T$2,0),Техника!$F$4:$ABM$4,"Часы",INDEX(Техника!$G$1:$ABN$500,T$2,0),$A$704,INDEX(Техника!$H$1:$ABO$500,T$2,0),"П")</f>
        <v>0</v>
      </c>
      <c r="U707" s="50">
        <f>SUMIFS(INDEX(Техника!$F$1:$ABM$500,U$2,0),Техника!$F$4:$ABM$4,"Часы",INDEX(Техника!$G$1:$ABN$500,U$2,0),$A$704,INDEX(Техника!$H$1:$ABO$500,U$2,0),"П")</f>
        <v>0</v>
      </c>
      <c r="V707" s="50">
        <f>SUMIFS(INDEX(Техника!$F$1:$ABM$500,V$2,0),Техника!$F$4:$ABM$4,"Часы",INDEX(Техника!$G$1:$ABN$500,V$2,0),$A$704,INDEX(Техника!$H$1:$ABO$500,V$2,0),"П")</f>
        <v>0</v>
      </c>
      <c r="W707" s="50">
        <f>SUMIFS(INDEX(Техника!$F$1:$ABM$500,W$2,0),Техника!$F$4:$ABM$4,"Часы",INDEX(Техника!$G$1:$ABN$500,W$2,0),$A$704,INDEX(Техника!$H$1:$ABO$500,W$2,0),"П")</f>
        <v>0</v>
      </c>
      <c r="X707" s="50">
        <f>SUMIFS(INDEX(Техника!$F$1:$ABM$500,X$2,0),Техника!$F$4:$ABM$4,"Часы",INDEX(Техника!$G$1:$ABN$500,X$2,0),$A$704,INDEX(Техника!$H$1:$ABO$500,X$2,0),"П")</f>
        <v>0</v>
      </c>
      <c r="Y707" s="50">
        <f>SUMIFS(INDEX(Техника!$F$1:$ABM$500,Y$2,0),Техника!$F$4:$ABM$4,"Часы",INDEX(Техника!$G$1:$ABN$500,Y$2,0),$A$704,INDEX(Техника!$H$1:$ABO$500,Y$2,0),"П")</f>
        <v>0</v>
      </c>
      <c r="Z707" s="50">
        <f>SUMIFS(INDEX(Техника!$F$1:$ABM$500,Z$2,0),Техника!$F$4:$ABM$4,"Часы",INDEX(Техника!$G$1:$ABN$500,Z$2,0),$A$704,INDEX(Техника!$H$1:$ABO$500,Z$2,0),"П")</f>
        <v>0</v>
      </c>
      <c r="AA707" s="50">
        <f>SUMIFS(INDEX(Техника!$F$1:$ABM$500,AA$2,0),Техника!$F$4:$ABM$4,"Часы",INDEX(Техника!$G$1:$ABN$500,AA$2,0),$A$704,INDEX(Техника!$H$1:$ABO$500,AA$2,0),"П")</f>
        <v>0</v>
      </c>
      <c r="AB707" s="50">
        <f>SUMIFS(INDEX(Техника!$F$1:$ABM$500,AB$2,0),Техника!$F$4:$ABM$4,"Часы",INDEX(Техника!$G$1:$ABN$500,AB$2,0),$A$704,INDEX(Техника!$H$1:$ABO$500,AB$2,0),"П")</f>
        <v>0</v>
      </c>
    </row>
    <row r="708" spans="1:28" hidden="1" outlineLevel="1" x14ac:dyDescent="0.3">
      <c r="A708" s="33" t="s">
        <v>243</v>
      </c>
      <c r="B708" s="34" t="s">
        <v>278</v>
      </c>
      <c r="C708" s="50">
        <f>SUMIFS(INDEX(Техника!$F$1:$ABM$500,C$2,0),Техника!$F$4:$ABM$4,"Часы",INDEX(Техника!$G$1:$ABN$500,C$2,0),$A$704,INDEX(Техника!$H$1:$ABO$500,C$2,0),"Л")</f>
        <v>0</v>
      </c>
      <c r="D708" s="50">
        <f>SUMIFS(INDEX(Техника!$F$1:$ABM$500,D$2,0),Техника!$F$4:$ABM$4,"Часы",INDEX(Техника!$G$1:$ABN$500,D$2,0),$A$704,INDEX(Техника!$H$1:$ABO$500,D$2,0),"Л")</f>
        <v>0</v>
      </c>
      <c r="E708" s="50">
        <f>SUMIFS(INDEX(Техника!$F$1:$ABM$500,E$2,0),Техника!$F$4:$ABM$4,"Часы",INDEX(Техника!$G$1:$ABN$500,E$2,0),$A$704,INDEX(Техника!$H$1:$ABO$500,E$2,0),"Л")</f>
        <v>0</v>
      </c>
      <c r="F708" s="50">
        <f>SUMIFS(INDEX(Техника!$F$1:$ABM$500,F$2,0),Техника!$F$4:$ABM$4,"Часы",INDEX(Техника!$G$1:$ABN$500,F$2,0),$A$704,INDEX(Техника!$H$1:$ABO$500,F$2,0),"Л")</f>
        <v>0</v>
      </c>
      <c r="G708" s="50">
        <f>SUMIFS(INDEX(Техника!$F$1:$ABM$500,G$2,0),Техника!$F$4:$ABM$4,"Часы",INDEX(Техника!$G$1:$ABN$500,G$2,0),$A$704,INDEX(Техника!$H$1:$ABO$500,G$2,0),"Л")</f>
        <v>0</v>
      </c>
      <c r="H708" s="50">
        <f>SUMIFS(INDEX(Техника!$F$1:$ABM$500,H$2,0),Техника!$F$4:$ABM$4,"Часы",INDEX(Техника!$G$1:$ABN$500,H$2,0),$A$704,INDEX(Техника!$H$1:$ABO$500,H$2,0),"Л")</f>
        <v>0</v>
      </c>
      <c r="I708" s="50">
        <f>SUMIFS(INDEX(Техника!$F$1:$ABM$500,I$2,0),Техника!$F$4:$ABM$4,"Часы",INDEX(Техника!$G$1:$ABN$500,I$2,0),$A$704,INDEX(Техника!$H$1:$ABO$500,I$2,0),"Л")</f>
        <v>0</v>
      </c>
      <c r="J708" s="50">
        <f>SUMIFS(INDEX(Техника!$F$1:$ABM$500,J$2,0),Техника!$F$4:$ABM$4,"Часы",INDEX(Техника!$G$1:$ABN$500,J$2,0),$A$704,INDEX(Техника!$H$1:$ABO$500,J$2,0),"Л")</f>
        <v>0</v>
      </c>
      <c r="K708" s="50">
        <f>SUMIFS(INDEX(Техника!$F$1:$ABM$500,K$2,0),Техника!$F$4:$ABM$4,"Часы",INDEX(Техника!$G$1:$ABN$500,K$2,0),$A$704,INDEX(Техника!$H$1:$ABO$500,K$2,0),"Л")</f>
        <v>0</v>
      </c>
      <c r="L708" s="50">
        <f>SUMIFS(INDEX(Техника!$F$1:$ABM$500,L$2,0),Техника!$F$4:$ABM$4,"Часы",INDEX(Техника!$G$1:$ABN$500,L$2,0),$A$704,INDEX(Техника!$H$1:$ABO$500,L$2,0),"Л")</f>
        <v>0</v>
      </c>
      <c r="M708" s="50">
        <f>SUMIFS(INDEX(Техника!$F$1:$ABM$500,M$2,0),Техника!$F$4:$ABM$4,"Часы",INDEX(Техника!$G$1:$ABN$500,M$2,0),$A$704,INDEX(Техника!$H$1:$ABO$500,M$2,0),"Л")</f>
        <v>0</v>
      </c>
      <c r="N708" s="50">
        <f>SUMIFS(INDEX(Техника!$F$1:$ABM$500,N$2,0),Техника!$F$4:$ABM$4,"Часы",INDEX(Техника!$G$1:$ABN$500,N$2,0),$A$704,INDEX(Техника!$H$1:$ABO$500,N$2,0),"Л")</f>
        <v>0</v>
      </c>
      <c r="O708" s="50">
        <f>SUMIFS(INDEX(Техника!$F$1:$ABM$500,O$2,0),Техника!$F$4:$ABM$4,"Часы",INDEX(Техника!$G$1:$ABN$500,O$2,0),$A$704,INDEX(Техника!$H$1:$ABO$500,O$2,0),"Л")</f>
        <v>0</v>
      </c>
      <c r="P708" s="50">
        <f>SUMIFS(INDEX(Техника!$F$1:$ABM$500,P$2,0),Техника!$F$4:$ABM$4,"Часы",INDEX(Техника!$G$1:$ABN$500,P$2,0),$A$704,INDEX(Техника!$H$1:$ABO$500,P$2,0),"Л")</f>
        <v>0</v>
      </c>
      <c r="Q708" s="50">
        <f>SUMIFS(INDEX(Техника!$F$1:$ABM$500,Q$2,0),Техника!$F$4:$ABM$4,"Часы",INDEX(Техника!$G$1:$ABN$500,Q$2,0),$A$704,INDEX(Техника!$H$1:$ABO$500,Q$2,0),"Л")</f>
        <v>0</v>
      </c>
      <c r="R708" s="50">
        <f>SUMIFS(INDEX(Техника!$F$1:$ABM$500,R$2,0),Техника!$F$4:$ABM$4,"Часы",INDEX(Техника!$G$1:$ABN$500,R$2,0),$A$704,INDEX(Техника!$H$1:$ABO$500,R$2,0),"Л")</f>
        <v>0</v>
      </c>
      <c r="S708" s="50">
        <f>SUMIFS(INDEX(Техника!$F$1:$ABM$500,S$2,0),Техника!$F$4:$ABM$4,"Часы",INDEX(Техника!$G$1:$ABN$500,S$2,0),$A$704,INDEX(Техника!$H$1:$ABO$500,S$2,0),"Л")</f>
        <v>0</v>
      </c>
      <c r="T708" s="50">
        <f>SUMIFS(INDEX(Техника!$F$1:$ABM$500,T$2,0),Техника!$F$4:$ABM$4,"Часы",INDEX(Техника!$G$1:$ABN$500,T$2,0),$A$704,INDEX(Техника!$H$1:$ABO$500,T$2,0),"Л")</f>
        <v>0</v>
      </c>
      <c r="U708" s="50">
        <f>SUMIFS(INDEX(Техника!$F$1:$ABM$500,U$2,0),Техника!$F$4:$ABM$4,"Часы",INDEX(Техника!$G$1:$ABN$500,U$2,0),$A$704,INDEX(Техника!$H$1:$ABO$500,U$2,0),"Л")</f>
        <v>0</v>
      </c>
      <c r="V708" s="50">
        <f>SUMIFS(INDEX(Техника!$F$1:$ABM$500,V$2,0),Техника!$F$4:$ABM$4,"Часы",INDEX(Техника!$G$1:$ABN$500,V$2,0),$A$704,INDEX(Техника!$H$1:$ABO$500,V$2,0),"Л")</f>
        <v>0</v>
      </c>
      <c r="W708" s="50">
        <f>SUMIFS(INDEX(Техника!$F$1:$ABM$500,W$2,0),Техника!$F$4:$ABM$4,"Часы",INDEX(Техника!$G$1:$ABN$500,W$2,0),$A$704,INDEX(Техника!$H$1:$ABO$500,W$2,0),"Л")</f>
        <v>0</v>
      </c>
      <c r="X708" s="50">
        <f>SUMIFS(INDEX(Техника!$F$1:$ABM$500,X$2,0),Техника!$F$4:$ABM$4,"Часы",INDEX(Техника!$G$1:$ABN$500,X$2,0),$A$704,INDEX(Техника!$H$1:$ABO$500,X$2,0),"Л")</f>
        <v>0</v>
      </c>
      <c r="Y708" s="50">
        <f>SUMIFS(INDEX(Техника!$F$1:$ABM$500,Y$2,0),Техника!$F$4:$ABM$4,"Часы",INDEX(Техника!$G$1:$ABN$500,Y$2,0),$A$704,INDEX(Техника!$H$1:$ABO$500,Y$2,0),"Л")</f>
        <v>0</v>
      </c>
      <c r="Z708" s="50">
        <f>SUMIFS(INDEX(Техника!$F$1:$ABM$500,Z$2,0),Техника!$F$4:$ABM$4,"Часы",INDEX(Техника!$G$1:$ABN$500,Z$2,0),$A$704,INDEX(Техника!$H$1:$ABO$500,Z$2,0),"Л")</f>
        <v>0</v>
      </c>
      <c r="AA708" s="50">
        <f>SUMIFS(INDEX(Техника!$F$1:$ABM$500,AA$2,0),Техника!$F$4:$ABM$4,"Часы",INDEX(Техника!$G$1:$ABN$500,AA$2,0),$A$704,INDEX(Техника!$H$1:$ABO$500,AA$2,0),"Л")</f>
        <v>0</v>
      </c>
      <c r="AB708" s="50">
        <f>SUMIFS(INDEX(Техника!$F$1:$ABM$500,AB$2,0),Техника!$F$4:$ABM$4,"Часы",INDEX(Техника!$G$1:$ABN$500,AB$2,0),$A$704,INDEX(Техника!$H$1:$ABO$500,AB$2,0),"Л")</f>
        <v>0</v>
      </c>
    </row>
    <row r="709" spans="1:28" hidden="1" outlineLevel="1" x14ac:dyDescent="0.3">
      <c r="A709" s="33" t="s">
        <v>245</v>
      </c>
      <c r="B709" s="34" t="s">
        <v>279</v>
      </c>
      <c r="C709" s="50">
        <f>SUMIFS(INDEX(Техника!$F$1:$ABM$500,C$2,0),Техника!$F$4:$ABM$4,"Часы",INDEX(Техника!$G$1:$ABN$500,C$2,0),$A$704,INDEX(Техника!$H$1:$ABO$500,C$2,0),"З")</f>
        <v>0</v>
      </c>
      <c r="D709" s="50">
        <f>SUMIFS(INDEX(Техника!$F$1:$ABM$500,D$2,0),Техника!$F$4:$ABM$4,"Часы",INDEX(Техника!$G$1:$ABN$500,D$2,0),$A$704,INDEX(Техника!$H$1:$ABO$500,D$2,0),"З")</f>
        <v>0</v>
      </c>
      <c r="E709" s="50">
        <f>SUMIFS(INDEX(Техника!$F$1:$ABM$500,E$2,0),Техника!$F$4:$ABM$4,"Часы",INDEX(Техника!$G$1:$ABN$500,E$2,0),$A$704,INDEX(Техника!$H$1:$ABO$500,E$2,0),"З")</f>
        <v>0</v>
      </c>
      <c r="F709" s="50">
        <f>SUMIFS(INDEX(Техника!$F$1:$ABM$500,F$2,0),Техника!$F$4:$ABM$4,"Часы",INDEX(Техника!$G$1:$ABN$500,F$2,0),$A$704,INDEX(Техника!$H$1:$ABO$500,F$2,0),"З")</f>
        <v>0</v>
      </c>
      <c r="G709" s="50">
        <f>SUMIFS(INDEX(Техника!$F$1:$ABM$500,G$2,0),Техника!$F$4:$ABM$4,"Часы",INDEX(Техника!$G$1:$ABN$500,G$2,0),$A$704,INDEX(Техника!$H$1:$ABO$500,G$2,0),"З")</f>
        <v>0</v>
      </c>
      <c r="H709" s="50">
        <f>SUMIFS(INDEX(Техника!$F$1:$ABM$500,H$2,0),Техника!$F$4:$ABM$4,"Часы",INDEX(Техника!$G$1:$ABN$500,H$2,0),$A$704,INDEX(Техника!$H$1:$ABO$500,H$2,0),"З")</f>
        <v>0</v>
      </c>
      <c r="I709" s="50">
        <f>SUMIFS(INDEX(Техника!$F$1:$ABM$500,I$2,0),Техника!$F$4:$ABM$4,"Часы",INDEX(Техника!$G$1:$ABN$500,I$2,0),$A$704,INDEX(Техника!$H$1:$ABO$500,I$2,0),"З")</f>
        <v>0</v>
      </c>
      <c r="J709" s="50">
        <f>SUMIFS(INDEX(Техника!$F$1:$ABM$500,J$2,0),Техника!$F$4:$ABM$4,"Часы",INDEX(Техника!$G$1:$ABN$500,J$2,0),$A$704,INDEX(Техника!$H$1:$ABO$500,J$2,0),"З")</f>
        <v>0</v>
      </c>
      <c r="K709" s="50">
        <f>SUMIFS(INDEX(Техника!$F$1:$ABM$500,K$2,0),Техника!$F$4:$ABM$4,"Часы",INDEX(Техника!$G$1:$ABN$500,K$2,0),$A$704,INDEX(Техника!$H$1:$ABO$500,K$2,0),"З")</f>
        <v>0</v>
      </c>
      <c r="L709" s="50">
        <f>SUMIFS(INDEX(Техника!$F$1:$ABM$500,L$2,0),Техника!$F$4:$ABM$4,"Часы",INDEX(Техника!$G$1:$ABN$500,L$2,0),$A$704,INDEX(Техника!$H$1:$ABO$500,L$2,0),"З")</f>
        <v>0</v>
      </c>
      <c r="M709" s="50">
        <f>SUMIFS(INDEX(Техника!$F$1:$ABM$500,M$2,0),Техника!$F$4:$ABM$4,"Часы",INDEX(Техника!$G$1:$ABN$500,M$2,0),$A$704,INDEX(Техника!$H$1:$ABO$500,M$2,0),"З")</f>
        <v>0</v>
      </c>
      <c r="N709" s="50">
        <f>SUMIFS(INDEX(Техника!$F$1:$ABM$500,N$2,0),Техника!$F$4:$ABM$4,"Часы",INDEX(Техника!$G$1:$ABN$500,N$2,0),$A$704,INDEX(Техника!$H$1:$ABO$500,N$2,0),"З")</f>
        <v>0</v>
      </c>
      <c r="O709" s="50">
        <f>SUMIFS(INDEX(Техника!$F$1:$ABM$500,O$2,0),Техника!$F$4:$ABM$4,"Часы",INDEX(Техника!$G$1:$ABN$500,O$2,0),$A$704,INDEX(Техника!$H$1:$ABO$500,O$2,0),"З")</f>
        <v>0</v>
      </c>
      <c r="P709" s="50">
        <f>SUMIFS(INDEX(Техника!$F$1:$ABM$500,P$2,0),Техника!$F$4:$ABM$4,"Часы",INDEX(Техника!$G$1:$ABN$500,P$2,0),$A$704,INDEX(Техника!$H$1:$ABO$500,P$2,0),"З")</f>
        <v>0</v>
      </c>
      <c r="Q709" s="50">
        <f>SUMIFS(INDEX(Техника!$F$1:$ABM$500,Q$2,0),Техника!$F$4:$ABM$4,"Часы",INDEX(Техника!$G$1:$ABN$500,Q$2,0),$A$704,INDEX(Техника!$H$1:$ABO$500,Q$2,0),"З")</f>
        <v>0</v>
      </c>
      <c r="R709" s="50">
        <f>SUMIFS(INDEX(Техника!$F$1:$ABM$500,R$2,0),Техника!$F$4:$ABM$4,"Часы",INDEX(Техника!$G$1:$ABN$500,R$2,0),$A$704,INDEX(Техника!$H$1:$ABO$500,R$2,0),"З")</f>
        <v>0</v>
      </c>
      <c r="S709" s="50">
        <f>SUMIFS(INDEX(Техника!$F$1:$ABM$500,S$2,0),Техника!$F$4:$ABM$4,"Часы",INDEX(Техника!$G$1:$ABN$500,S$2,0),$A$704,INDEX(Техника!$H$1:$ABO$500,S$2,0),"З")</f>
        <v>0</v>
      </c>
      <c r="T709" s="50">
        <f>SUMIFS(INDEX(Техника!$F$1:$ABM$500,T$2,0),Техника!$F$4:$ABM$4,"Часы",INDEX(Техника!$G$1:$ABN$500,T$2,0),$A$704,INDEX(Техника!$H$1:$ABO$500,T$2,0),"З")</f>
        <v>0</v>
      </c>
      <c r="U709" s="50">
        <f>SUMIFS(INDEX(Техника!$F$1:$ABM$500,U$2,0),Техника!$F$4:$ABM$4,"Часы",INDEX(Техника!$G$1:$ABN$500,U$2,0),$A$704,INDEX(Техника!$H$1:$ABO$500,U$2,0),"З")</f>
        <v>0</v>
      </c>
      <c r="V709" s="50">
        <f>SUMIFS(INDEX(Техника!$F$1:$ABM$500,V$2,0),Техника!$F$4:$ABM$4,"Часы",INDEX(Техника!$G$1:$ABN$500,V$2,0),$A$704,INDEX(Техника!$H$1:$ABO$500,V$2,0),"З")</f>
        <v>0</v>
      </c>
      <c r="W709" s="50">
        <f>SUMIFS(INDEX(Техника!$F$1:$ABM$500,W$2,0),Техника!$F$4:$ABM$4,"Часы",INDEX(Техника!$G$1:$ABN$500,W$2,0),$A$704,INDEX(Техника!$H$1:$ABO$500,W$2,0),"З")</f>
        <v>0</v>
      </c>
      <c r="X709" s="50">
        <f>SUMIFS(INDEX(Техника!$F$1:$ABM$500,X$2,0),Техника!$F$4:$ABM$4,"Часы",INDEX(Техника!$G$1:$ABN$500,X$2,0),$A$704,INDEX(Техника!$H$1:$ABO$500,X$2,0),"З")</f>
        <v>0</v>
      </c>
      <c r="Y709" s="50">
        <f>SUMIFS(INDEX(Техника!$F$1:$ABM$500,Y$2,0),Техника!$F$4:$ABM$4,"Часы",INDEX(Техника!$G$1:$ABN$500,Y$2,0),$A$704,INDEX(Техника!$H$1:$ABO$500,Y$2,0),"З")</f>
        <v>0</v>
      </c>
      <c r="Z709" s="50">
        <f>SUMIFS(INDEX(Техника!$F$1:$ABM$500,Z$2,0),Техника!$F$4:$ABM$4,"Часы",INDEX(Техника!$G$1:$ABN$500,Z$2,0),$A$704,INDEX(Техника!$H$1:$ABO$500,Z$2,0),"З")</f>
        <v>0</v>
      </c>
      <c r="AA709" s="50">
        <f>SUMIFS(INDEX(Техника!$F$1:$ABM$500,AA$2,0),Техника!$F$4:$ABM$4,"Часы",INDEX(Техника!$G$1:$ABN$500,AA$2,0),$A$704,INDEX(Техника!$H$1:$ABO$500,AA$2,0),"З")</f>
        <v>0</v>
      </c>
      <c r="AB709" s="50">
        <f>SUMIFS(INDEX(Техника!$F$1:$ABM$500,AB$2,0),Техника!$F$4:$ABM$4,"Часы",INDEX(Техника!$G$1:$ABN$500,AB$2,0),$A$704,INDEX(Техника!$H$1:$ABO$500,AB$2,0),"З")</f>
        <v>0</v>
      </c>
    </row>
    <row r="710" spans="1:28" ht="7.95" customHeight="1" x14ac:dyDescent="0.3">
      <c r="A710" s="38"/>
      <c r="B710" s="39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</row>
    <row r="711" spans="1:28" ht="25.05" customHeight="1" collapsed="1" x14ac:dyDescent="0.3">
      <c r="A711" s="32">
        <v>102</v>
      </c>
      <c r="B711" s="32" t="s">
        <v>103</v>
      </c>
      <c r="C711" s="49">
        <f>SUM(C712:C716)</f>
        <v>0</v>
      </c>
      <c r="D711" s="49">
        <f>SUM(D712:D716)</f>
        <v>0</v>
      </c>
      <c r="E711" s="49">
        <f>SUM(E712:E716)</f>
        <v>0</v>
      </c>
      <c r="F711" s="49">
        <f>SUM(F712:F716)</f>
        <v>0</v>
      </c>
      <c r="G711" s="49">
        <f>SUM(G712:G716)</f>
        <v>0</v>
      </c>
      <c r="H711" s="49">
        <f>SUM(H712:H716)</f>
        <v>0</v>
      </c>
      <c r="I711" s="49">
        <f>SUM(I712:I716)</f>
        <v>0</v>
      </c>
      <c r="J711" s="49">
        <f>SUM(J712:J716)</f>
        <v>0</v>
      </c>
      <c r="K711" s="49">
        <f>SUM(K712:K716)</f>
        <v>0</v>
      </c>
      <c r="L711" s="49">
        <f>SUM(L712:L716)</f>
        <v>0</v>
      </c>
      <c r="M711" s="49">
        <f>SUM(M712:M716)</f>
        <v>0</v>
      </c>
      <c r="N711" s="49">
        <f>SUM(N712:N716)</f>
        <v>0</v>
      </c>
      <c r="O711" s="49">
        <f>SUM(O712:O716)</f>
        <v>0</v>
      </c>
      <c r="P711" s="49">
        <f>SUM(P712:P716)</f>
        <v>0</v>
      </c>
      <c r="Q711" s="49">
        <f>SUM(Q712:Q716)</f>
        <v>0</v>
      </c>
      <c r="R711" s="49">
        <f>SUM(R712:R716)</f>
        <v>0</v>
      </c>
      <c r="S711" s="49">
        <f>SUM(S712:S716)</f>
        <v>0</v>
      </c>
      <c r="T711" s="49">
        <f>SUM(T712:T716)</f>
        <v>0</v>
      </c>
      <c r="U711" s="49">
        <f>SUM(U712:U716)</f>
        <v>0</v>
      </c>
      <c r="V711" s="49">
        <f>SUM(V712:V716)</f>
        <v>0</v>
      </c>
      <c r="W711" s="49">
        <f>SUM(W712:W716)</f>
        <v>0</v>
      </c>
      <c r="X711" s="49">
        <f>SUM(X712:X716)</f>
        <v>0</v>
      </c>
      <c r="Y711" s="49">
        <f>SUM(Y712:Y716)</f>
        <v>0</v>
      </c>
      <c r="Z711" s="49">
        <f>SUM(Z712:Z716)</f>
        <v>0</v>
      </c>
      <c r="AA711" s="49">
        <f>SUM(AA712:AA716)</f>
        <v>0</v>
      </c>
      <c r="AB711" s="49">
        <f>SUM(AB712:AB716)</f>
        <v>0</v>
      </c>
    </row>
    <row r="712" spans="1:28" hidden="1" outlineLevel="1" x14ac:dyDescent="0.3">
      <c r="A712" s="33" t="s">
        <v>246</v>
      </c>
      <c r="B712" s="34" t="s">
        <v>274</v>
      </c>
      <c r="C712" s="50">
        <f>SUMIFS(INDEX(Техника!$F$1:$ABM$500,C$2,0),Техника!$F$4:$ABM$4,"Часы",INDEX(Техника!$G$1:$ABN$500,C$2,0),$A$711,INDEX(Техника!$H$1:$ABO$500,C$2,0),"М")</f>
        <v>0</v>
      </c>
      <c r="D712" s="50">
        <f>SUMIFS(INDEX(Техника!$F$1:$ABM$500,D$2,0),Техника!$F$4:$ABM$4,"Часы",INDEX(Техника!$G$1:$ABN$500,D$2,0),$A$711,INDEX(Техника!$H$1:$ABO$500,D$2,0),"М")</f>
        <v>0</v>
      </c>
      <c r="E712" s="50">
        <f>SUMIFS(INDEX(Техника!$F$1:$ABM$500,E$2,0),Техника!$F$4:$ABM$4,"Часы",INDEX(Техника!$G$1:$ABN$500,E$2,0),$A$711,INDEX(Техника!$H$1:$ABO$500,E$2,0),"М")</f>
        <v>0</v>
      </c>
      <c r="F712" s="50">
        <f>SUMIFS(INDEX(Техника!$F$1:$ABM$500,F$2,0),Техника!$F$4:$ABM$4,"Часы",INDEX(Техника!$G$1:$ABN$500,F$2,0),$A$711,INDEX(Техника!$H$1:$ABO$500,F$2,0),"М")</f>
        <v>0</v>
      </c>
      <c r="G712" s="50">
        <f>SUMIFS(INDEX(Техника!$F$1:$ABM$500,G$2,0),Техника!$F$4:$ABM$4,"Часы",INDEX(Техника!$G$1:$ABN$500,G$2,0),$A$711,INDEX(Техника!$H$1:$ABO$500,G$2,0),"М")</f>
        <v>0</v>
      </c>
      <c r="H712" s="50">
        <f>SUMIFS(INDEX(Техника!$F$1:$ABM$500,H$2,0),Техника!$F$4:$ABM$4,"Часы",INDEX(Техника!$G$1:$ABN$500,H$2,0),$A$711,INDEX(Техника!$H$1:$ABO$500,H$2,0),"М")</f>
        <v>0</v>
      </c>
      <c r="I712" s="50">
        <f>SUMIFS(INDEX(Техника!$F$1:$ABM$500,I$2,0),Техника!$F$4:$ABM$4,"Часы",INDEX(Техника!$G$1:$ABN$500,I$2,0),$A$711,INDEX(Техника!$H$1:$ABO$500,I$2,0),"М")</f>
        <v>0</v>
      </c>
      <c r="J712" s="50">
        <f>SUMIFS(INDEX(Техника!$F$1:$ABM$500,J$2,0),Техника!$F$4:$ABM$4,"Часы",INDEX(Техника!$G$1:$ABN$500,J$2,0),$A$711,INDEX(Техника!$H$1:$ABO$500,J$2,0),"М")</f>
        <v>0</v>
      </c>
      <c r="K712" s="50">
        <f>SUMIFS(INDEX(Техника!$F$1:$ABM$500,K$2,0),Техника!$F$4:$ABM$4,"Часы",INDEX(Техника!$G$1:$ABN$500,K$2,0),$A$711,INDEX(Техника!$H$1:$ABO$500,K$2,0),"М")</f>
        <v>0</v>
      </c>
      <c r="L712" s="50">
        <f>SUMIFS(INDEX(Техника!$F$1:$ABM$500,L$2,0),Техника!$F$4:$ABM$4,"Часы",INDEX(Техника!$G$1:$ABN$500,L$2,0),$A$711,INDEX(Техника!$H$1:$ABO$500,L$2,0),"М")</f>
        <v>0</v>
      </c>
      <c r="M712" s="50">
        <f>SUMIFS(INDEX(Техника!$F$1:$ABM$500,M$2,0),Техника!$F$4:$ABM$4,"Часы",INDEX(Техника!$G$1:$ABN$500,M$2,0),$A$711,INDEX(Техника!$H$1:$ABO$500,M$2,0),"М")</f>
        <v>0</v>
      </c>
      <c r="N712" s="50">
        <f>SUMIFS(INDEX(Техника!$F$1:$ABM$500,N$2,0),Техника!$F$4:$ABM$4,"Часы",INDEX(Техника!$G$1:$ABN$500,N$2,0),$A$711,INDEX(Техника!$H$1:$ABO$500,N$2,0),"М")</f>
        <v>0</v>
      </c>
      <c r="O712" s="50">
        <f>SUMIFS(INDEX(Техника!$F$1:$ABM$500,O$2,0),Техника!$F$4:$ABM$4,"Часы",INDEX(Техника!$G$1:$ABN$500,O$2,0),$A$711,INDEX(Техника!$H$1:$ABO$500,O$2,0),"М")</f>
        <v>0</v>
      </c>
      <c r="P712" s="50">
        <f>SUMIFS(INDEX(Техника!$F$1:$ABM$500,P$2,0),Техника!$F$4:$ABM$4,"Часы",INDEX(Техника!$G$1:$ABN$500,P$2,0),$A$711,INDEX(Техника!$H$1:$ABO$500,P$2,0),"М")</f>
        <v>0</v>
      </c>
      <c r="Q712" s="50">
        <f>SUMIFS(INDEX(Техника!$F$1:$ABM$500,Q$2,0),Техника!$F$4:$ABM$4,"Часы",INDEX(Техника!$G$1:$ABN$500,Q$2,0),$A$711,INDEX(Техника!$H$1:$ABO$500,Q$2,0),"М")</f>
        <v>0</v>
      </c>
      <c r="R712" s="50">
        <f>SUMIFS(INDEX(Техника!$F$1:$ABM$500,R$2,0),Техника!$F$4:$ABM$4,"Часы",INDEX(Техника!$G$1:$ABN$500,R$2,0),$A$711,INDEX(Техника!$H$1:$ABO$500,R$2,0),"М")</f>
        <v>0</v>
      </c>
      <c r="S712" s="50">
        <f>SUMIFS(INDEX(Техника!$F$1:$ABM$500,S$2,0),Техника!$F$4:$ABM$4,"Часы",INDEX(Техника!$G$1:$ABN$500,S$2,0),$A$711,INDEX(Техника!$H$1:$ABO$500,S$2,0),"М")</f>
        <v>0</v>
      </c>
      <c r="T712" s="50">
        <f>SUMIFS(INDEX(Техника!$F$1:$ABM$500,T$2,0),Техника!$F$4:$ABM$4,"Часы",INDEX(Техника!$G$1:$ABN$500,T$2,0),$A$711,INDEX(Техника!$H$1:$ABO$500,T$2,0),"М")</f>
        <v>0</v>
      </c>
      <c r="U712" s="50">
        <f>SUMIFS(INDEX(Техника!$F$1:$ABM$500,U$2,0),Техника!$F$4:$ABM$4,"Часы",INDEX(Техника!$G$1:$ABN$500,U$2,0),$A$711,INDEX(Техника!$H$1:$ABO$500,U$2,0),"М")</f>
        <v>0</v>
      </c>
      <c r="V712" s="50">
        <f>SUMIFS(INDEX(Техника!$F$1:$ABM$500,V$2,0),Техника!$F$4:$ABM$4,"Часы",INDEX(Техника!$G$1:$ABN$500,V$2,0),$A$711,INDEX(Техника!$H$1:$ABO$500,V$2,0),"М")</f>
        <v>0</v>
      </c>
      <c r="W712" s="50">
        <f>SUMIFS(INDEX(Техника!$F$1:$ABM$500,W$2,0),Техника!$F$4:$ABM$4,"Часы",INDEX(Техника!$G$1:$ABN$500,W$2,0),$A$711,INDEX(Техника!$H$1:$ABO$500,W$2,0),"М")</f>
        <v>0</v>
      </c>
      <c r="X712" s="50">
        <f>SUMIFS(INDEX(Техника!$F$1:$ABM$500,X$2,0),Техника!$F$4:$ABM$4,"Часы",INDEX(Техника!$G$1:$ABN$500,X$2,0),$A$711,INDEX(Техника!$H$1:$ABO$500,X$2,0),"М")</f>
        <v>0</v>
      </c>
      <c r="Y712" s="50">
        <f>SUMIFS(INDEX(Техника!$F$1:$ABM$500,Y$2,0),Техника!$F$4:$ABM$4,"Часы",INDEX(Техника!$G$1:$ABN$500,Y$2,0),$A$711,INDEX(Техника!$H$1:$ABO$500,Y$2,0),"М")</f>
        <v>0</v>
      </c>
      <c r="Z712" s="50">
        <f>SUMIFS(INDEX(Техника!$F$1:$ABM$500,Z$2,0),Техника!$F$4:$ABM$4,"Часы",INDEX(Техника!$G$1:$ABN$500,Z$2,0),$A$711,INDEX(Техника!$H$1:$ABO$500,Z$2,0),"М")</f>
        <v>0</v>
      </c>
      <c r="AA712" s="50">
        <f>SUMIFS(INDEX(Техника!$F$1:$ABM$500,AA$2,0),Техника!$F$4:$ABM$4,"Часы",INDEX(Техника!$G$1:$ABN$500,AA$2,0),$A$711,INDEX(Техника!$H$1:$ABO$500,AA$2,0),"М")</f>
        <v>0</v>
      </c>
      <c r="AB712" s="50">
        <f>SUMIFS(INDEX(Техника!$F$1:$ABM$500,AB$2,0),Техника!$F$4:$ABM$4,"Часы",INDEX(Техника!$G$1:$ABN$500,AB$2,0),$A$711,INDEX(Техника!$H$1:$ABO$500,AB$2,0),"М")</f>
        <v>0</v>
      </c>
    </row>
    <row r="713" spans="1:28" hidden="1" outlineLevel="1" x14ac:dyDescent="0.3">
      <c r="A713" s="33" t="s">
        <v>244</v>
      </c>
      <c r="B713" s="34" t="s">
        <v>275</v>
      </c>
      <c r="C713" s="50">
        <f>SUMIFS(INDEX(Техника!$F$1:$ABM$500,C$2,0),Техника!$F$4:$ABM$4,"Часы",INDEX(Техника!$G$1:$ABN$500,C$2,0),$A$711,INDEX(Техника!$H$1:$ABO$500,C$2,0),"Д")</f>
        <v>0</v>
      </c>
      <c r="D713" s="50">
        <f>SUMIFS(INDEX(Техника!$F$1:$ABM$500,D$2,0),Техника!$F$4:$ABM$4,"Часы",INDEX(Техника!$G$1:$ABN$500,D$2,0),$A$711,INDEX(Техника!$H$1:$ABO$500,D$2,0),"Д")</f>
        <v>0</v>
      </c>
      <c r="E713" s="50">
        <f>SUMIFS(INDEX(Техника!$F$1:$ABM$500,E$2,0),Техника!$F$4:$ABM$4,"Часы",INDEX(Техника!$G$1:$ABN$500,E$2,0),$A$711,INDEX(Техника!$H$1:$ABO$500,E$2,0),"Д")</f>
        <v>0</v>
      </c>
      <c r="F713" s="50">
        <f>SUMIFS(INDEX(Техника!$F$1:$ABM$500,F$2,0),Техника!$F$4:$ABM$4,"Часы",INDEX(Техника!$G$1:$ABN$500,F$2,0),$A$711,INDEX(Техника!$H$1:$ABO$500,F$2,0),"Д")</f>
        <v>0</v>
      </c>
      <c r="G713" s="50">
        <f>SUMIFS(INDEX(Техника!$F$1:$ABM$500,G$2,0),Техника!$F$4:$ABM$4,"Часы",INDEX(Техника!$G$1:$ABN$500,G$2,0),$A$711,INDEX(Техника!$H$1:$ABO$500,G$2,0),"Д")</f>
        <v>0</v>
      </c>
      <c r="H713" s="50">
        <f>SUMIFS(INDEX(Техника!$F$1:$ABM$500,H$2,0),Техника!$F$4:$ABM$4,"Часы",INDEX(Техника!$G$1:$ABN$500,H$2,0),$A$711,INDEX(Техника!$H$1:$ABO$500,H$2,0),"Д")</f>
        <v>0</v>
      </c>
      <c r="I713" s="50">
        <f>SUMIFS(INDEX(Техника!$F$1:$ABM$500,I$2,0),Техника!$F$4:$ABM$4,"Часы",INDEX(Техника!$G$1:$ABN$500,I$2,0),$A$711,INDEX(Техника!$H$1:$ABO$500,I$2,0),"Д")</f>
        <v>0</v>
      </c>
      <c r="J713" s="50">
        <f>SUMIFS(INDEX(Техника!$F$1:$ABM$500,J$2,0),Техника!$F$4:$ABM$4,"Часы",INDEX(Техника!$G$1:$ABN$500,J$2,0),$A$711,INDEX(Техника!$H$1:$ABO$500,J$2,0),"Д")</f>
        <v>0</v>
      </c>
      <c r="K713" s="50">
        <f>SUMIFS(INDEX(Техника!$F$1:$ABM$500,K$2,0),Техника!$F$4:$ABM$4,"Часы",INDEX(Техника!$G$1:$ABN$500,K$2,0),$A$711,INDEX(Техника!$H$1:$ABO$500,K$2,0),"Д")</f>
        <v>0</v>
      </c>
      <c r="L713" s="50">
        <f>SUMIFS(INDEX(Техника!$F$1:$ABM$500,L$2,0),Техника!$F$4:$ABM$4,"Часы",INDEX(Техника!$G$1:$ABN$500,L$2,0),$A$711,INDEX(Техника!$H$1:$ABO$500,L$2,0),"Д")</f>
        <v>0</v>
      </c>
      <c r="M713" s="50">
        <f>SUMIFS(INDEX(Техника!$F$1:$ABM$500,M$2,0),Техника!$F$4:$ABM$4,"Часы",INDEX(Техника!$G$1:$ABN$500,M$2,0),$A$711,INDEX(Техника!$H$1:$ABO$500,M$2,0),"Д")</f>
        <v>0</v>
      </c>
      <c r="N713" s="50">
        <f>SUMIFS(INDEX(Техника!$F$1:$ABM$500,N$2,0),Техника!$F$4:$ABM$4,"Часы",INDEX(Техника!$G$1:$ABN$500,N$2,0),$A$711,INDEX(Техника!$H$1:$ABO$500,N$2,0),"Д")</f>
        <v>0</v>
      </c>
      <c r="O713" s="50">
        <f>SUMIFS(INDEX(Техника!$F$1:$ABM$500,O$2,0),Техника!$F$4:$ABM$4,"Часы",INDEX(Техника!$G$1:$ABN$500,O$2,0),$A$711,INDEX(Техника!$H$1:$ABO$500,O$2,0),"Д")</f>
        <v>0</v>
      </c>
      <c r="P713" s="50">
        <f>SUMIFS(INDEX(Техника!$F$1:$ABM$500,P$2,0),Техника!$F$4:$ABM$4,"Часы",INDEX(Техника!$G$1:$ABN$500,P$2,0),$A$711,INDEX(Техника!$H$1:$ABO$500,P$2,0),"Д")</f>
        <v>0</v>
      </c>
      <c r="Q713" s="50">
        <f>SUMIFS(INDEX(Техника!$F$1:$ABM$500,Q$2,0),Техника!$F$4:$ABM$4,"Часы",INDEX(Техника!$G$1:$ABN$500,Q$2,0),$A$711,INDEX(Техника!$H$1:$ABO$500,Q$2,0),"Д")</f>
        <v>0</v>
      </c>
      <c r="R713" s="50">
        <f>SUMIFS(INDEX(Техника!$F$1:$ABM$500,R$2,0),Техника!$F$4:$ABM$4,"Часы",INDEX(Техника!$G$1:$ABN$500,R$2,0),$A$711,INDEX(Техника!$H$1:$ABO$500,R$2,0),"Д")</f>
        <v>0</v>
      </c>
      <c r="S713" s="50">
        <f>SUMIFS(INDEX(Техника!$F$1:$ABM$500,S$2,0),Техника!$F$4:$ABM$4,"Часы",INDEX(Техника!$G$1:$ABN$500,S$2,0),$A$711,INDEX(Техника!$H$1:$ABO$500,S$2,0),"Д")</f>
        <v>0</v>
      </c>
      <c r="T713" s="50">
        <f>SUMIFS(INDEX(Техника!$F$1:$ABM$500,T$2,0),Техника!$F$4:$ABM$4,"Часы",INDEX(Техника!$G$1:$ABN$500,T$2,0),$A$711,INDEX(Техника!$H$1:$ABO$500,T$2,0),"Д")</f>
        <v>0</v>
      </c>
      <c r="U713" s="50">
        <f>SUMIFS(INDEX(Техника!$F$1:$ABM$500,U$2,0),Техника!$F$4:$ABM$4,"Часы",INDEX(Техника!$G$1:$ABN$500,U$2,0),$A$711,INDEX(Техника!$H$1:$ABO$500,U$2,0),"Д")</f>
        <v>0</v>
      </c>
      <c r="V713" s="50">
        <f>SUMIFS(INDEX(Техника!$F$1:$ABM$500,V$2,0),Техника!$F$4:$ABM$4,"Часы",INDEX(Техника!$G$1:$ABN$500,V$2,0),$A$711,INDEX(Техника!$H$1:$ABO$500,V$2,0),"Д")</f>
        <v>0</v>
      </c>
      <c r="W713" s="50">
        <f>SUMIFS(INDEX(Техника!$F$1:$ABM$500,W$2,0),Техника!$F$4:$ABM$4,"Часы",INDEX(Техника!$G$1:$ABN$500,W$2,0),$A$711,INDEX(Техника!$H$1:$ABO$500,W$2,0),"Д")</f>
        <v>0</v>
      </c>
      <c r="X713" s="50">
        <f>SUMIFS(INDEX(Техника!$F$1:$ABM$500,X$2,0),Техника!$F$4:$ABM$4,"Часы",INDEX(Техника!$G$1:$ABN$500,X$2,0),$A$711,INDEX(Техника!$H$1:$ABO$500,X$2,0),"Д")</f>
        <v>0</v>
      </c>
      <c r="Y713" s="50">
        <f>SUMIFS(INDEX(Техника!$F$1:$ABM$500,Y$2,0),Техника!$F$4:$ABM$4,"Часы",INDEX(Техника!$G$1:$ABN$500,Y$2,0),$A$711,INDEX(Техника!$H$1:$ABO$500,Y$2,0),"Д")</f>
        <v>0</v>
      </c>
      <c r="Z713" s="50">
        <f>SUMIFS(INDEX(Техника!$F$1:$ABM$500,Z$2,0),Техника!$F$4:$ABM$4,"Часы",INDEX(Техника!$G$1:$ABN$500,Z$2,0),$A$711,INDEX(Техника!$H$1:$ABO$500,Z$2,0),"Д")</f>
        <v>0</v>
      </c>
      <c r="AA713" s="50">
        <f>SUMIFS(INDEX(Техника!$F$1:$ABM$500,AA$2,0),Техника!$F$4:$ABM$4,"Часы",INDEX(Техника!$G$1:$ABN$500,AA$2,0),$A$711,INDEX(Техника!$H$1:$ABO$500,AA$2,0),"Д")</f>
        <v>0</v>
      </c>
      <c r="AB713" s="50">
        <f>SUMIFS(INDEX(Техника!$F$1:$ABM$500,AB$2,0),Техника!$F$4:$ABM$4,"Часы",INDEX(Техника!$G$1:$ABN$500,AB$2,0),$A$711,INDEX(Техника!$H$1:$ABO$500,AB$2,0),"Д")</f>
        <v>0</v>
      </c>
    </row>
    <row r="714" spans="1:28" hidden="1" outlineLevel="1" x14ac:dyDescent="0.3">
      <c r="A714" s="33" t="s">
        <v>276</v>
      </c>
      <c r="B714" s="34" t="s">
        <v>277</v>
      </c>
      <c r="C714" s="50">
        <f>SUMIFS(INDEX(Техника!$F$1:$ABM$500,C$2,0),Техника!$F$4:$ABM$4,"Часы",INDEX(Техника!$G$1:$ABN$500,C$2,0),$A$711,INDEX(Техника!$H$1:$ABO$500,C$2,0),"П")</f>
        <v>0</v>
      </c>
      <c r="D714" s="50">
        <f>SUMIFS(INDEX(Техника!$F$1:$ABM$500,D$2,0),Техника!$F$4:$ABM$4,"Часы",INDEX(Техника!$G$1:$ABN$500,D$2,0),$A$711,INDEX(Техника!$H$1:$ABO$500,D$2,0),"П")</f>
        <v>0</v>
      </c>
      <c r="E714" s="50">
        <f>SUMIFS(INDEX(Техника!$F$1:$ABM$500,E$2,0),Техника!$F$4:$ABM$4,"Часы",INDEX(Техника!$G$1:$ABN$500,E$2,0),$A$711,INDEX(Техника!$H$1:$ABO$500,E$2,0),"П")</f>
        <v>0</v>
      </c>
      <c r="F714" s="50">
        <f>SUMIFS(INDEX(Техника!$F$1:$ABM$500,F$2,0),Техника!$F$4:$ABM$4,"Часы",INDEX(Техника!$G$1:$ABN$500,F$2,0),$A$711,INDEX(Техника!$H$1:$ABO$500,F$2,0),"П")</f>
        <v>0</v>
      </c>
      <c r="G714" s="50">
        <f>SUMIFS(INDEX(Техника!$F$1:$ABM$500,G$2,0),Техника!$F$4:$ABM$4,"Часы",INDEX(Техника!$G$1:$ABN$500,G$2,0),$A$711,INDEX(Техника!$H$1:$ABO$500,G$2,0),"П")</f>
        <v>0</v>
      </c>
      <c r="H714" s="50">
        <f>SUMIFS(INDEX(Техника!$F$1:$ABM$500,H$2,0),Техника!$F$4:$ABM$4,"Часы",INDEX(Техника!$G$1:$ABN$500,H$2,0),$A$711,INDEX(Техника!$H$1:$ABO$500,H$2,0),"П")</f>
        <v>0</v>
      </c>
      <c r="I714" s="50">
        <f>SUMIFS(INDEX(Техника!$F$1:$ABM$500,I$2,0),Техника!$F$4:$ABM$4,"Часы",INDEX(Техника!$G$1:$ABN$500,I$2,0),$A$711,INDEX(Техника!$H$1:$ABO$500,I$2,0),"П")</f>
        <v>0</v>
      </c>
      <c r="J714" s="50">
        <f>SUMIFS(INDEX(Техника!$F$1:$ABM$500,J$2,0),Техника!$F$4:$ABM$4,"Часы",INDEX(Техника!$G$1:$ABN$500,J$2,0),$A$711,INDEX(Техника!$H$1:$ABO$500,J$2,0),"П")</f>
        <v>0</v>
      </c>
      <c r="K714" s="50">
        <f>SUMIFS(INDEX(Техника!$F$1:$ABM$500,K$2,0),Техника!$F$4:$ABM$4,"Часы",INDEX(Техника!$G$1:$ABN$500,K$2,0),$A$711,INDEX(Техника!$H$1:$ABO$500,K$2,0),"П")</f>
        <v>0</v>
      </c>
      <c r="L714" s="50">
        <f>SUMIFS(INDEX(Техника!$F$1:$ABM$500,L$2,0),Техника!$F$4:$ABM$4,"Часы",INDEX(Техника!$G$1:$ABN$500,L$2,0),$A$711,INDEX(Техника!$H$1:$ABO$500,L$2,0),"П")</f>
        <v>0</v>
      </c>
      <c r="M714" s="50">
        <f>SUMIFS(INDEX(Техника!$F$1:$ABM$500,M$2,0),Техника!$F$4:$ABM$4,"Часы",INDEX(Техника!$G$1:$ABN$500,M$2,0),$A$711,INDEX(Техника!$H$1:$ABO$500,M$2,0),"П")</f>
        <v>0</v>
      </c>
      <c r="N714" s="50">
        <f>SUMIFS(INDEX(Техника!$F$1:$ABM$500,N$2,0),Техника!$F$4:$ABM$4,"Часы",INDEX(Техника!$G$1:$ABN$500,N$2,0),$A$711,INDEX(Техника!$H$1:$ABO$500,N$2,0),"П")</f>
        <v>0</v>
      </c>
      <c r="O714" s="50">
        <f>SUMIFS(INDEX(Техника!$F$1:$ABM$500,O$2,0),Техника!$F$4:$ABM$4,"Часы",INDEX(Техника!$G$1:$ABN$500,O$2,0),$A$711,INDEX(Техника!$H$1:$ABO$500,O$2,0),"П")</f>
        <v>0</v>
      </c>
      <c r="P714" s="50">
        <f>SUMIFS(INDEX(Техника!$F$1:$ABM$500,P$2,0),Техника!$F$4:$ABM$4,"Часы",INDEX(Техника!$G$1:$ABN$500,P$2,0),$A$711,INDEX(Техника!$H$1:$ABO$500,P$2,0),"П")</f>
        <v>0</v>
      </c>
      <c r="Q714" s="50">
        <f>SUMIFS(INDEX(Техника!$F$1:$ABM$500,Q$2,0),Техника!$F$4:$ABM$4,"Часы",INDEX(Техника!$G$1:$ABN$500,Q$2,0),$A$711,INDEX(Техника!$H$1:$ABO$500,Q$2,0),"П")</f>
        <v>0</v>
      </c>
      <c r="R714" s="50">
        <f>SUMIFS(INDEX(Техника!$F$1:$ABM$500,R$2,0),Техника!$F$4:$ABM$4,"Часы",INDEX(Техника!$G$1:$ABN$500,R$2,0),$A$711,INDEX(Техника!$H$1:$ABO$500,R$2,0),"П")</f>
        <v>0</v>
      </c>
      <c r="S714" s="50">
        <f>SUMIFS(INDEX(Техника!$F$1:$ABM$500,S$2,0),Техника!$F$4:$ABM$4,"Часы",INDEX(Техника!$G$1:$ABN$500,S$2,0),$A$711,INDEX(Техника!$H$1:$ABO$500,S$2,0),"П")</f>
        <v>0</v>
      </c>
      <c r="T714" s="50">
        <f>SUMIFS(INDEX(Техника!$F$1:$ABM$500,T$2,0),Техника!$F$4:$ABM$4,"Часы",INDEX(Техника!$G$1:$ABN$500,T$2,0),$A$711,INDEX(Техника!$H$1:$ABO$500,T$2,0),"П")</f>
        <v>0</v>
      </c>
      <c r="U714" s="50">
        <f>SUMIFS(INDEX(Техника!$F$1:$ABM$500,U$2,0),Техника!$F$4:$ABM$4,"Часы",INDEX(Техника!$G$1:$ABN$500,U$2,0),$A$711,INDEX(Техника!$H$1:$ABO$500,U$2,0),"П")</f>
        <v>0</v>
      </c>
      <c r="V714" s="50">
        <f>SUMIFS(INDEX(Техника!$F$1:$ABM$500,V$2,0),Техника!$F$4:$ABM$4,"Часы",INDEX(Техника!$G$1:$ABN$500,V$2,0),$A$711,INDEX(Техника!$H$1:$ABO$500,V$2,0),"П")</f>
        <v>0</v>
      </c>
      <c r="W714" s="50">
        <f>SUMIFS(INDEX(Техника!$F$1:$ABM$500,W$2,0),Техника!$F$4:$ABM$4,"Часы",INDEX(Техника!$G$1:$ABN$500,W$2,0),$A$711,INDEX(Техника!$H$1:$ABO$500,W$2,0),"П")</f>
        <v>0</v>
      </c>
      <c r="X714" s="50">
        <f>SUMIFS(INDEX(Техника!$F$1:$ABM$500,X$2,0),Техника!$F$4:$ABM$4,"Часы",INDEX(Техника!$G$1:$ABN$500,X$2,0),$A$711,INDEX(Техника!$H$1:$ABO$500,X$2,0),"П")</f>
        <v>0</v>
      </c>
      <c r="Y714" s="50">
        <f>SUMIFS(INDEX(Техника!$F$1:$ABM$500,Y$2,0),Техника!$F$4:$ABM$4,"Часы",INDEX(Техника!$G$1:$ABN$500,Y$2,0),$A$711,INDEX(Техника!$H$1:$ABO$500,Y$2,0),"П")</f>
        <v>0</v>
      </c>
      <c r="Z714" s="50">
        <f>SUMIFS(INDEX(Техника!$F$1:$ABM$500,Z$2,0),Техника!$F$4:$ABM$4,"Часы",INDEX(Техника!$G$1:$ABN$500,Z$2,0),$A$711,INDEX(Техника!$H$1:$ABO$500,Z$2,0),"П")</f>
        <v>0</v>
      </c>
      <c r="AA714" s="50">
        <f>SUMIFS(INDEX(Техника!$F$1:$ABM$500,AA$2,0),Техника!$F$4:$ABM$4,"Часы",INDEX(Техника!$G$1:$ABN$500,AA$2,0),$A$711,INDEX(Техника!$H$1:$ABO$500,AA$2,0),"П")</f>
        <v>0</v>
      </c>
      <c r="AB714" s="50">
        <f>SUMIFS(INDEX(Техника!$F$1:$ABM$500,AB$2,0),Техника!$F$4:$ABM$4,"Часы",INDEX(Техника!$G$1:$ABN$500,AB$2,0),$A$711,INDEX(Техника!$H$1:$ABO$500,AB$2,0),"П")</f>
        <v>0</v>
      </c>
    </row>
    <row r="715" spans="1:28" hidden="1" outlineLevel="1" x14ac:dyDescent="0.3">
      <c r="A715" s="33" t="s">
        <v>243</v>
      </c>
      <c r="B715" s="34" t="s">
        <v>278</v>
      </c>
      <c r="C715" s="50">
        <f>SUMIFS(INDEX(Техника!$F$1:$ABM$500,C$2,0),Техника!$F$4:$ABM$4,"Часы",INDEX(Техника!$G$1:$ABN$500,C$2,0),$A$711,INDEX(Техника!$H$1:$ABO$500,C$2,0),"Л")</f>
        <v>0</v>
      </c>
      <c r="D715" s="50">
        <f>SUMIFS(INDEX(Техника!$F$1:$ABM$500,D$2,0),Техника!$F$4:$ABM$4,"Часы",INDEX(Техника!$G$1:$ABN$500,D$2,0),$A$711,INDEX(Техника!$H$1:$ABO$500,D$2,0),"Л")</f>
        <v>0</v>
      </c>
      <c r="E715" s="50">
        <f>SUMIFS(INDEX(Техника!$F$1:$ABM$500,E$2,0),Техника!$F$4:$ABM$4,"Часы",INDEX(Техника!$G$1:$ABN$500,E$2,0),$A$711,INDEX(Техника!$H$1:$ABO$500,E$2,0),"Л")</f>
        <v>0</v>
      </c>
      <c r="F715" s="50">
        <f>SUMIFS(INDEX(Техника!$F$1:$ABM$500,F$2,0),Техника!$F$4:$ABM$4,"Часы",INDEX(Техника!$G$1:$ABN$500,F$2,0),$A$711,INDEX(Техника!$H$1:$ABO$500,F$2,0),"Л")</f>
        <v>0</v>
      </c>
      <c r="G715" s="50">
        <f>SUMIFS(INDEX(Техника!$F$1:$ABM$500,G$2,0),Техника!$F$4:$ABM$4,"Часы",INDEX(Техника!$G$1:$ABN$500,G$2,0),$A$711,INDEX(Техника!$H$1:$ABO$500,G$2,0),"Л")</f>
        <v>0</v>
      </c>
      <c r="H715" s="50">
        <f>SUMIFS(INDEX(Техника!$F$1:$ABM$500,H$2,0),Техника!$F$4:$ABM$4,"Часы",INDEX(Техника!$G$1:$ABN$500,H$2,0),$A$711,INDEX(Техника!$H$1:$ABO$500,H$2,0),"Л")</f>
        <v>0</v>
      </c>
      <c r="I715" s="50">
        <f>SUMIFS(INDEX(Техника!$F$1:$ABM$500,I$2,0),Техника!$F$4:$ABM$4,"Часы",INDEX(Техника!$G$1:$ABN$500,I$2,0),$A$711,INDEX(Техника!$H$1:$ABO$500,I$2,0),"Л")</f>
        <v>0</v>
      </c>
      <c r="J715" s="50">
        <f>SUMIFS(INDEX(Техника!$F$1:$ABM$500,J$2,0),Техника!$F$4:$ABM$4,"Часы",INDEX(Техника!$G$1:$ABN$500,J$2,0),$A$711,INDEX(Техника!$H$1:$ABO$500,J$2,0),"Л")</f>
        <v>0</v>
      </c>
      <c r="K715" s="50">
        <f>SUMIFS(INDEX(Техника!$F$1:$ABM$500,K$2,0),Техника!$F$4:$ABM$4,"Часы",INDEX(Техника!$G$1:$ABN$500,K$2,0),$A$711,INDEX(Техника!$H$1:$ABO$500,K$2,0),"Л")</f>
        <v>0</v>
      </c>
      <c r="L715" s="50">
        <f>SUMIFS(INDEX(Техника!$F$1:$ABM$500,L$2,0),Техника!$F$4:$ABM$4,"Часы",INDEX(Техника!$G$1:$ABN$500,L$2,0),$A$711,INDEX(Техника!$H$1:$ABO$500,L$2,0),"Л")</f>
        <v>0</v>
      </c>
      <c r="M715" s="50">
        <f>SUMIFS(INDEX(Техника!$F$1:$ABM$500,M$2,0),Техника!$F$4:$ABM$4,"Часы",INDEX(Техника!$G$1:$ABN$500,M$2,0),$A$711,INDEX(Техника!$H$1:$ABO$500,M$2,0),"Л")</f>
        <v>0</v>
      </c>
      <c r="N715" s="50">
        <f>SUMIFS(INDEX(Техника!$F$1:$ABM$500,N$2,0),Техника!$F$4:$ABM$4,"Часы",INDEX(Техника!$G$1:$ABN$500,N$2,0),$A$711,INDEX(Техника!$H$1:$ABO$500,N$2,0),"Л")</f>
        <v>0</v>
      </c>
      <c r="O715" s="50">
        <f>SUMIFS(INDEX(Техника!$F$1:$ABM$500,O$2,0),Техника!$F$4:$ABM$4,"Часы",INDEX(Техника!$G$1:$ABN$500,O$2,0),$A$711,INDEX(Техника!$H$1:$ABO$500,O$2,0),"Л")</f>
        <v>0</v>
      </c>
      <c r="P715" s="50">
        <f>SUMIFS(INDEX(Техника!$F$1:$ABM$500,P$2,0),Техника!$F$4:$ABM$4,"Часы",INDEX(Техника!$G$1:$ABN$500,P$2,0),$A$711,INDEX(Техника!$H$1:$ABO$500,P$2,0),"Л")</f>
        <v>0</v>
      </c>
      <c r="Q715" s="50">
        <f>SUMIFS(INDEX(Техника!$F$1:$ABM$500,Q$2,0),Техника!$F$4:$ABM$4,"Часы",INDEX(Техника!$G$1:$ABN$500,Q$2,0),$A$711,INDEX(Техника!$H$1:$ABO$500,Q$2,0),"Л")</f>
        <v>0</v>
      </c>
      <c r="R715" s="50">
        <f>SUMIFS(INDEX(Техника!$F$1:$ABM$500,R$2,0),Техника!$F$4:$ABM$4,"Часы",INDEX(Техника!$G$1:$ABN$500,R$2,0),$A$711,INDEX(Техника!$H$1:$ABO$500,R$2,0),"Л")</f>
        <v>0</v>
      </c>
      <c r="S715" s="50">
        <f>SUMIFS(INDEX(Техника!$F$1:$ABM$500,S$2,0),Техника!$F$4:$ABM$4,"Часы",INDEX(Техника!$G$1:$ABN$500,S$2,0),$A$711,INDEX(Техника!$H$1:$ABO$500,S$2,0),"Л")</f>
        <v>0</v>
      </c>
      <c r="T715" s="50">
        <f>SUMIFS(INDEX(Техника!$F$1:$ABM$500,T$2,0),Техника!$F$4:$ABM$4,"Часы",INDEX(Техника!$G$1:$ABN$500,T$2,0),$A$711,INDEX(Техника!$H$1:$ABO$500,T$2,0),"Л")</f>
        <v>0</v>
      </c>
      <c r="U715" s="50">
        <f>SUMIFS(INDEX(Техника!$F$1:$ABM$500,U$2,0),Техника!$F$4:$ABM$4,"Часы",INDEX(Техника!$G$1:$ABN$500,U$2,0),$A$711,INDEX(Техника!$H$1:$ABO$500,U$2,0),"Л")</f>
        <v>0</v>
      </c>
      <c r="V715" s="50">
        <f>SUMIFS(INDEX(Техника!$F$1:$ABM$500,V$2,0),Техника!$F$4:$ABM$4,"Часы",INDEX(Техника!$G$1:$ABN$500,V$2,0),$A$711,INDEX(Техника!$H$1:$ABO$500,V$2,0),"Л")</f>
        <v>0</v>
      </c>
      <c r="W715" s="50">
        <f>SUMIFS(INDEX(Техника!$F$1:$ABM$500,W$2,0),Техника!$F$4:$ABM$4,"Часы",INDEX(Техника!$G$1:$ABN$500,W$2,0),$A$711,INDEX(Техника!$H$1:$ABO$500,W$2,0),"Л")</f>
        <v>0</v>
      </c>
      <c r="X715" s="50">
        <f>SUMIFS(INDEX(Техника!$F$1:$ABM$500,X$2,0),Техника!$F$4:$ABM$4,"Часы",INDEX(Техника!$G$1:$ABN$500,X$2,0),$A$711,INDEX(Техника!$H$1:$ABO$500,X$2,0),"Л")</f>
        <v>0</v>
      </c>
      <c r="Y715" s="50">
        <f>SUMIFS(INDEX(Техника!$F$1:$ABM$500,Y$2,0),Техника!$F$4:$ABM$4,"Часы",INDEX(Техника!$G$1:$ABN$500,Y$2,0),$A$711,INDEX(Техника!$H$1:$ABO$500,Y$2,0),"Л")</f>
        <v>0</v>
      </c>
      <c r="Z715" s="50">
        <f>SUMIFS(INDEX(Техника!$F$1:$ABM$500,Z$2,0),Техника!$F$4:$ABM$4,"Часы",INDEX(Техника!$G$1:$ABN$500,Z$2,0),$A$711,INDEX(Техника!$H$1:$ABO$500,Z$2,0),"Л")</f>
        <v>0</v>
      </c>
      <c r="AA715" s="50">
        <f>SUMIFS(INDEX(Техника!$F$1:$ABM$500,AA$2,0),Техника!$F$4:$ABM$4,"Часы",INDEX(Техника!$G$1:$ABN$500,AA$2,0),$A$711,INDEX(Техника!$H$1:$ABO$500,AA$2,0),"Л")</f>
        <v>0</v>
      </c>
      <c r="AB715" s="50">
        <f>SUMIFS(INDEX(Техника!$F$1:$ABM$500,AB$2,0),Техника!$F$4:$ABM$4,"Часы",INDEX(Техника!$G$1:$ABN$500,AB$2,0),$A$711,INDEX(Техника!$H$1:$ABO$500,AB$2,0),"Л")</f>
        <v>0</v>
      </c>
    </row>
    <row r="716" spans="1:28" hidden="1" outlineLevel="1" x14ac:dyDescent="0.3">
      <c r="A716" s="33" t="s">
        <v>245</v>
      </c>
      <c r="B716" s="34" t="s">
        <v>279</v>
      </c>
      <c r="C716" s="50">
        <f>SUMIFS(INDEX(Техника!$F$1:$ABM$500,C$2,0),Техника!$F$4:$ABM$4,"Часы",INDEX(Техника!$G$1:$ABN$500,C$2,0),$A$711,INDEX(Техника!$H$1:$ABO$500,C$2,0),"З")</f>
        <v>0</v>
      </c>
      <c r="D716" s="50">
        <f>SUMIFS(INDEX(Техника!$F$1:$ABM$500,D$2,0),Техника!$F$4:$ABM$4,"Часы",INDEX(Техника!$G$1:$ABN$500,D$2,0),$A$711,INDEX(Техника!$H$1:$ABO$500,D$2,0),"З")</f>
        <v>0</v>
      </c>
      <c r="E716" s="50">
        <f>SUMIFS(INDEX(Техника!$F$1:$ABM$500,E$2,0),Техника!$F$4:$ABM$4,"Часы",INDEX(Техника!$G$1:$ABN$500,E$2,0),$A$711,INDEX(Техника!$H$1:$ABO$500,E$2,0),"З")</f>
        <v>0</v>
      </c>
      <c r="F716" s="50">
        <f>SUMIFS(INDEX(Техника!$F$1:$ABM$500,F$2,0),Техника!$F$4:$ABM$4,"Часы",INDEX(Техника!$G$1:$ABN$500,F$2,0),$A$711,INDEX(Техника!$H$1:$ABO$500,F$2,0),"З")</f>
        <v>0</v>
      </c>
      <c r="G716" s="50">
        <f>SUMIFS(INDEX(Техника!$F$1:$ABM$500,G$2,0),Техника!$F$4:$ABM$4,"Часы",INDEX(Техника!$G$1:$ABN$500,G$2,0),$A$711,INDEX(Техника!$H$1:$ABO$500,G$2,0),"З")</f>
        <v>0</v>
      </c>
      <c r="H716" s="50">
        <f>SUMIFS(INDEX(Техника!$F$1:$ABM$500,H$2,0),Техника!$F$4:$ABM$4,"Часы",INDEX(Техника!$G$1:$ABN$500,H$2,0),$A$711,INDEX(Техника!$H$1:$ABO$500,H$2,0),"З")</f>
        <v>0</v>
      </c>
      <c r="I716" s="50">
        <f>SUMIFS(INDEX(Техника!$F$1:$ABM$500,I$2,0),Техника!$F$4:$ABM$4,"Часы",INDEX(Техника!$G$1:$ABN$500,I$2,0),$A$711,INDEX(Техника!$H$1:$ABO$500,I$2,0),"З")</f>
        <v>0</v>
      </c>
      <c r="J716" s="50">
        <f>SUMIFS(INDEX(Техника!$F$1:$ABM$500,J$2,0),Техника!$F$4:$ABM$4,"Часы",INDEX(Техника!$G$1:$ABN$500,J$2,0),$A$711,INDEX(Техника!$H$1:$ABO$500,J$2,0),"З")</f>
        <v>0</v>
      </c>
      <c r="K716" s="50">
        <f>SUMIFS(INDEX(Техника!$F$1:$ABM$500,K$2,0),Техника!$F$4:$ABM$4,"Часы",INDEX(Техника!$G$1:$ABN$500,K$2,0),$A$711,INDEX(Техника!$H$1:$ABO$500,K$2,0),"З")</f>
        <v>0</v>
      </c>
      <c r="L716" s="50">
        <f>SUMIFS(INDEX(Техника!$F$1:$ABM$500,L$2,0),Техника!$F$4:$ABM$4,"Часы",INDEX(Техника!$G$1:$ABN$500,L$2,0),$A$711,INDEX(Техника!$H$1:$ABO$500,L$2,0),"З")</f>
        <v>0</v>
      </c>
      <c r="M716" s="50">
        <f>SUMIFS(INDEX(Техника!$F$1:$ABM$500,M$2,0),Техника!$F$4:$ABM$4,"Часы",INDEX(Техника!$G$1:$ABN$500,M$2,0),$A$711,INDEX(Техника!$H$1:$ABO$500,M$2,0),"З")</f>
        <v>0</v>
      </c>
      <c r="N716" s="50">
        <f>SUMIFS(INDEX(Техника!$F$1:$ABM$500,N$2,0),Техника!$F$4:$ABM$4,"Часы",INDEX(Техника!$G$1:$ABN$500,N$2,0),$A$711,INDEX(Техника!$H$1:$ABO$500,N$2,0),"З")</f>
        <v>0</v>
      </c>
      <c r="O716" s="50">
        <f>SUMIFS(INDEX(Техника!$F$1:$ABM$500,O$2,0),Техника!$F$4:$ABM$4,"Часы",INDEX(Техника!$G$1:$ABN$500,O$2,0),$A$711,INDEX(Техника!$H$1:$ABO$500,O$2,0),"З")</f>
        <v>0</v>
      </c>
      <c r="P716" s="50">
        <f>SUMIFS(INDEX(Техника!$F$1:$ABM$500,P$2,0),Техника!$F$4:$ABM$4,"Часы",INDEX(Техника!$G$1:$ABN$500,P$2,0),$A$711,INDEX(Техника!$H$1:$ABO$500,P$2,0),"З")</f>
        <v>0</v>
      </c>
      <c r="Q716" s="50">
        <f>SUMIFS(INDEX(Техника!$F$1:$ABM$500,Q$2,0),Техника!$F$4:$ABM$4,"Часы",INDEX(Техника!$G$1:$ABN$500,Q$2,0),$A$711,INDEX(Техника!$H$1:$ABO$500,Q$2,0),"З")</f>
        <v>0</v>
      </c>
      <c r="R716" s="50">
        <f>SUMIFS(INDEX(Техника!$F$1:$ABM$500,R$2,0),Техника!$F$4:$ABM$4,"Часы",INDEX(Техника!$G$1:$ABN$500,R$2,0),$A$711,INDEX(Техника!$H$1:$ABO$500,R$2,0),"З")</f>
        <v>0</v>
      </c>
      <c r="S716" s="50">
        <f>SUMIFS(INDEX(Техника!$F$1:$ABM$500,S$2,0),Техника!$F$4:$ABM$4,"Часы",INDEX(Техника!$G$1:$ABN$500,S$2,0),$A$711,INDEX(Техника!$H$1:$ABO$500,S$2,0),"З")</f>
        <v>0</v>
      </c>
      <c r="T716" s="50">
        <f>SUMIFS(INDEX(Техника!$F$1:$ABM$500,T$2,0),Техника!$F$4:$ABM$4,"Часы",INDEX(Техника!$G$1:$ABN$500,T$2,0),$A$711,INDEX(Техника!$H$1:$ABO$500,T$2,0),"З")</f>
        <v>0</v>
      </c>
      <c r="U716" s="50">
        <f>SUMIFS(INDEX(Техника!$F$1:$ABM$500,U$2,0),Техника!$F$4:$ABM$4,"Часы",INDEX(Техника!$G$1:$ABN$500,U$2,0),$A$711,INDEX(Техника!$H$1:$ABO$500,U$2,0),"З")</f>
        <v>0</v>
      </c>
      <c r="V716" s="50">
        <f>SUMIFS(INDEX(Техника!$F$1:$ABM$500,V$2,0),Техника!$F$4:$ABM$4,"Часы",INDEX(Техника!$G$1:$ABN$500,V$2,0),$A$711,INDEX(Техника!$H$1:$ABO$500,V$2,0),"З")</f>
        <v>0</v>
      </c>
      <c r="W716" s="50">
        <f>SUMIFS(INDEX(Техника!$F$1:$ABM$500,W$2,0),Техника!$F$4:$ABM$4,"Часы",INDEX(Техника!$G$1:$ABN$500,W$2,0),$A$711,INDEX(Техника!$H$1:$ABO$500,W$2,0),"З")</f>
        <v>0</v>
      </c>
      <c r="X716" s="50">
        <f>SUMIFS(INDEX(Техника!$F$1:$ABM$500,X$2,0),Техника!$F$4:$ABM$4,"Часы",INDEX(Техника!$G$1:$ABN$500,X$2,0),$A$711,INDEX(Техника!$H$1:$ABO$500,X$2,0),"З")</f>
        <v>0</v>
      </c>
      <c r="Y716" s="50">
        <f>SUMIFS(INDEX(Техника!$F$1:$ABM$500,Y$2,0),Техника!$F$4:$ABM$4,"Часы",INDEX(Техника!$G$1:$ABN$500,Y$2,0),$A$711,INDEX(Техника!$H$1:$ABO$500,Y$2,0),"З")</f>
        <v>0</v>
      </c>
      <c r="Z716" s="50">
        <f>SUMIFS(INDEX(Техника!$F$1:$ABM$500,Z$2,0),Техника!$F$4:$ABM$4,"Часы",INDEX(Техника!$G$1:$ABN$500,Z$2,0),$A$711,INDEX(Техника!$H$1:$ABO$500,Z$2,0),"З")</f>
        <v>0</v>
      </c>
      <c r="AA716" s="50">
        <f>SUMIFS(INDEX(Техника!$F$1:$ABM$500,AA$2,0),Техника!$F$4:$ABM$4,"Часы",INDEX(Техника!$G$1:$ABN$500,AA$2,0),$A$711,INDEX(Техника!$H$1:$ABO$500,AA$2,0),"З")</f>
        <v>0</v>
      </c>
      <c r="AB716" s="50">
        <f>SUMIFS(INDEX(Техника!$F$1:$ABM$500,AB$2,0),Техника!$F$4:$ABM$4,"Часы",INDEX(Техника!$G$1:$ABN$500,AB$2,0),$A$711,INDEX(Техника!$H$1:$ABO$500,AB$2,0),"З")</f>
        <v>0</v>
      </c>
    </row>
    <row r="717" spans="1:28" ht="7.95" customHeight="1" x14ac:dyDescent="0.3">
      <c r="A717" s="38"/>
      <c r="B717" s="39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</row>
    <row r="718" spans="1:28" ht="25.05" customHeight="1" collapsed="1" x14ac:dyDescent="0.3">
      <c r="A718" s="32">
        <v>103</v>
      </c>
      <c r="B718" s="32" t="s">
        <v>104</v>
      </c>
      <c r="C718" s="49">
        <f>SUM(C719:C723)</f>
        <v>0</v>
      </c>
      <c r="D718" s="49">
        <f>SUM(D719:D723)</f>
        <v>0</v>
      </c>
      <c r="E718" s="49">
        <f>SUM(E719:E723)</f>
        <v>0</v>
      </c>
      <c r="F718" s="49">
        <f>SUM(F719:F723)</f>
        <v>0</v>
      </c>
      <c r="G718" s="49">
        <f>SUM(G719:G723)</f>
        <v>0</v>
      </c>
      <c r="H718" s="49">
        <f>SUM(H719:H723)</f>
        <v>0</v>
      </c>
      <c r="I718" s="49">
        <f>SUM(I719:I723)</f>
        <v>0</v>
      </c>
      <c r="J718" s="49">
        <f>SUM(J719:J723)</f>
        <v>0</v>
      </c>
      <c r="K718" s="49">
        <f>SUM(K719:K723)</f>
        <v>0</v>
      </c>
      <c r="L718" s="49">
        <f>SUM(L719:L723)</f>
        <v>0</v>
      </c>
      <c r="M718" s="49">
        <f>SUM(M719:M723)</f>
        <v>0</v>
      </c>
      <c r="N718" s="49">
        <f>SUM(N719:N723)</f>
        <v>0</v>
      </c>
      <c r="O718" s="49">
        <f>SUM(O719:O723)</f>
        <v>0</v>
      </c>
      <c r="P718" s="49">
        <f>SUM(P719:P723)</f>
        <v>0</v>
      </c>
      <c r="Q718" s="49">
        <f>SUM(Q719:Q723)</f>
        <v>0</v>
      </c>
      <c r="R718" s="49">
        <f>SUM(R719:R723)</f>
        <v>0</v>
      </c>
      <c r="S718" s="49">
        <f>SUM(S719:S723)</f>
        <v>0</v>
      </c>
      <c r="T718" s="49">
        <f>SUM(T719:T723)</f>
        <v>0</v>
      </c>
      <c r="U718" s="49">
        <f>SUM(U719:U723)</f>
        <v>0</v>
      </c>
      <c r="V718" s="49">
        <f>SUM(V719:V723)</f>
        <v>0</v>
      </c>
      <c r="W718" s="49">
        <f>SUM(W719:W723)</f>
        <v>0</v>
      </c>
      <c r="X718" s="49">
        <f>SUM(X719:X723)</f>
        <v>0</v>
      </c>
      <c r="Y718" s="49">
        <f>SUM(Y719:Y723)</f>
        <v>0</v>
      </c>
      <c r="Z718" s="49">
        <f>SUM(Z719:Z723)</f>
        <v>0</v>
      </c>
      <c r="AA718" s="49">
        <f>SUM(AA719:AA723)</f>
        <v>0</v>
      </c>
      <c r="AB718" s="49">
        <f>SUM(AB719:AB723)</f>
        <v>0</v>
      </c>
    </row>
    <row r="719" spans="1:28" hidden="1" outlineLevel="1" x14ac:dyDescent="0.3">
      <c r="A719" s="33" t="s">
        <v>246</v>
      </c>
      <c r="B719" s="34" t="s">
        <v>274</v>
      </c>
      <c r="C719" s="50">
        <f>SUMIFS(INDEX(Техника!$F$1:$ABM$500,C$2,0),Техника!$F$4:$ABM$4,"Часы",INDEX(Техника!$G$1:$ABN$500,C$2,0),$A$718,INDEX(Техника!$H$1:$ABO$500,C$2,0),"М")</f>
        <v>0</v>
      </c>
      <c r="D719" s="50">
        <f>SUMIFS(INDEX(Техника!$F$1:$ABM$500,D$2,0),Техника!$F$4:$ABM$4,"Часы",INDEX(Техника!$G$1:$ABN$500,D$2,0),$A$718,INDEX(Техника!$H$1:$ABO$500,D$2,0),"М")</f>
        <v>0</v>
      </c>
      <c r="E719" s="50">
        <f>SUMIFS(INDEX(Техника!$F$1:$ABM$500,E$2,0),Техника!$F$4:$ABM$4,"Часы",INDEX(Техника!$G$1:$ABN$500,E$2,0),$A$718,INDEX(Техника!$H$1:$ABO$500,E$2,0),"М")</f>
        <v>0</v>
      </c>
      <c r="F719" s="50">
        <f>SUMIFS(INDEX(Техника!$F$1:$ABM$500,F$2,0),Техника!$F$4:$ABM$4,"Часы",INDEX(Техника!$G$1:$ABN$500,F$2,0),$A$718,INDEX(Техника!$H$1:$ABO$500,F$2,0),"М")</f>
        <v>0</v>
      </c>
      <c r="G719" s="50">
        <f>SUMIFS(INDEX(Техника!$F$1:$ABM$500,G$2,0),Техника!$F$4:$ABM$4,"Часы",INDEX(Техника!$G$1:$ABN$500,G$2,0),$A$718,INDEX(Техника!$H$1:$ABO$500,G$2,0),"М")</f>
        <v>0</v>
      </c>
      <c r="H719" s="50">
        <f>SUMIFS(INDEX(Техника!$F$1:$ABM$500,H$2,0),Техника!$F$4:$ABM$4,"Часы",INDEX(Техника!$G$1:$ABN$500,H$2,0),$A$718,INDEX(Техника!$H$1:$ABO$500,H$2,0),"М")</f>
        <v>0</v>
      </c>
      <c r="I719" s="50">
        <f>SUMIFS(INDEX(Техника!$F$1:$ABM$500,I$2,0),Техника!$F$4:$ABM$4,"Часы",INDEX(Техника!$G$1:$ABN$500,I$2,0),$A$718,INDEX(Техника!$H$1:$ABO$500,I$2,0),"М")</f>
        <v>0</v>
      </c>
      <c r="J719" s="50">
        <f>SUMIFS(INDEX(Техника!$F$1:$ABM$500,J$2,0),Техника!$F$4:$ABM$4,"Часы",INDEX(Техника!$G$1:$ABN$500,J$2,0),$A$718,INDEX(Техника!$H$1:$ABO$500,J$2,0),"М")</f>
        <v>0</v>
      </c>
      <c r="K719" s="50">
        <f>SUMIFS(INDEX(Техника!$F$1:$ABM$500,K$2,0),Техника!$F$4:$ABM$4,"Часы",INDEX(Техника!$G$1:$ABN$500,K$2,0),$A$718,INDEX(Техника!$H$1:$ABO$500,K$2,0),"М")</f>
        <v>0</v>
      </c>
      <c r="L719" s="50">
        <f>SUMIFS(INDEX(Техника!$F$1:$ABM$500,L$2,0),Техника!$F$4:$ABM$4,"Часы",INDEX(Техника!$G$1:$ABN$500,L$2,0),$A$718,INDEX(Техника!$H$1:$ABO$500,L$2,0),"М")</f>
        <v>0</v>
      </c>
      <c r="M719" s="50">
        <f>SUMIFS(INDEX(Техника!$F$1:$ABM$500,M$2,0),Техника!$F$4:$ABM$4,"Часы",INDEX(Техника!$G$1:$ABN$500,M$2,0),$A$718,INDEX(Техника!$H$1:$ABO$500,M$2,0),"М")</f>
        <v>0</v>
      </c>
      <c r="N719" s="50">
        <f>SUMIFS(INDEX(Техника!$F$1:$ABM$500,N$2,0),Техника!$F$4:$ABM$4,"Часы",INDEX(Техника!$G$1:$ABN$500,N$2,0),$A$718,INDEX(Техника!$H$1:$ABO$500,N$2,0),"М")</f>
        <v>0</v>
      </c>
      <c r="O719" s="50">
        <f>SUMIFS(INDEX(Техника!$F$1:$ABM$500,O$2,0),Техника!$F$4:$ABM$4,"Часы",INDEX(Техника!$G$1:$ABN$500,O$2,0),$A$718,INDEX(Техника!$H$1:$ABO$500,O$2,0),"М")</f>
        <v>0</v>
      </c>
      <c r="P719" s="50">
        <f>SUMIFS(INDEX(Техника!$F$1:$ABM$500,P$2,0),Техника!$F$4:$ABM$4,"Часы",INDEX(Техника!$G$1:$ABN$500,P$2,0),$A$718,INDEX(Техника!$H$1:$ABO$500,P$2,0),"М")</f>
        <v>0</v>
      </c>
      <c r="Q719" s="50">
        <f>SUMIFS(INDEX(Техника!$F$1:$ABM$500,Q$2,0),Техника!$F$4:$ABM$4,"Часы",INDEX(Техника!$G$1:$ABN$500,Q$2,0),$A$718,INDEX(Техника!$H$1:$ABO$500,Q$2,0),"М")</f>
        <v>0</v>
      </c>
      <c r="R719" s="50">
        <f>SUMIFS(INDEX(Техника!$F$1:$ABM$500,R$2,0),Техника!$F$4:$ABM$4,"Часы",INDEX(Техника!$G$1:$ABN$500,R$2,0),$A$718,INDEX(Техника!$H$1:$ABO$500,R$2,0),"М")</f>
        <v>0</v>
      </c>
      <c r="S719" s="50">
        <f>SUMIFS(INDEX(Техника!$F$1:$ABM$500,S$2,0),Техника!$F$4:$ABM$4,"Часы",INDEX(Техника!$G$1:$ABN$500,S$2,0),$A$718,INDEX(Техника!$H$1:$ABO$500,S$2,0),"М")</f>
        <v>0</v>
      </c>
      <c r="T719" s="50">
        <f>SUMIFS(INDEX(Техника!$F$1:$ABM$500,T$2,0),Техника!$F$4:$ABM$4,"Часы",INDEX(Техника!$G$1:$ABN$500,T$2,0),$A$718,INDEX(Техника!$H$1:$ABO$500,T$2,0),"М")</f>
        <v>0</v>
      </c>
      <c r="U719" s="50">
        <f>SUMIFS(INDEX(Техника!$F$1:$ABM$500,U$2,0),Техника!$F$4:$ABM$4,"Часы",INDEX(Техника!$G$1:$ABN$500,U$2,0),$A$718,INDEX(Техника!$H$1:$ABO$500,U$2,0),"М")</f>
        <v>0</v>
      </c>
      <c r="V719" s="50">
        <f>SUMIFS(INDEX(Техника!$F$1:$ABM$500,V$2,0),Техника!$F$4:$ABM$4,"Часы",INDEX(Техника!$G$1:$ABN$500,V$2,0),$A$718,INDEX(Техника!$H$1:$ABO$500,V$2,0),"М")</f>
        <v>0</v>
      </c>
      <c r="W719" s="50">
        <f>SUMIFS(INDEX(Техника!$F$1:$ABM$500,W$2,0),Техника!$F$4:$ABM$4,"Часы",INDEX(Техника!$G$1:$ABN$500,W$2,0),$A$718,INDEX(Техника!$H$1:$ABO$500,W$2,0),"М")</f>
        <v>0</v>
      </c>
      <c r="X719" s="50">
        <f>SUMIFS(INDEX(Техника!$F$1:$ABM$500,X$2,0),Техника!$F$4:$ABM$4,"Часы",INDEX(Техника!$G$1:$ABN$500,X$2,0),$A$718,INDEX(Техника!$H$1:$ABO$500,X$2,0),"М")</f>
        <v>0</v>
      </c>
      <c r="Y719" s="50">
        <f>SUMIFS(INDEX(Техника!$F$1:$ABM$500,Y$2,0),Техника!$F$4:$ABM$4,"Часы",INDEX(Техника!$G$1:$ABN$500,Y$2,0),$A$718,INDEX(Техника!$H$1:$ABO$500,Y$2,0),"М")</f>
        <v>0</v>
      </c>
      <c r="Z719" s="50">
        <f>SUMIFS(INDEX(Техника!$F$1:$ABM$500,Z$2,0),Техника!$F$4:$ABM$4,"Часы",INDEX(Техника!$G$1:$ABN$500,Z$2,0),$A$718,INDEX(Техника!$H$1:$ABO$500,Z$2,0),"М")</f>
        <v>0</v>
      </c>
      <c r="AA719" s="50">
        <f>SUMIFS(INDEX(Техника!$F$1:$ABM$500,AA$2,0),Техника!$F$4:$ABM$4,"Часы",INDEX(Техника!$G$1:$ABN$500,AA$2,0),$A$718,INDEX(Техника!$H$1:$ABO$500,AA$2,0),"М")</f>
        <v>0</v>
      </c>
      <c r="AB719" s="50">
        <f>SUMIFS(INDEX(Техника!$F$1:$ABM$500,AB$2,0),Техника!$F$4:$ABM$4,"Часы",INDEX(Техника!$G$1:$ABN$500,AB$2,0),$A$718,INDEX(Техника!$H$1:$ABO$500,AB$2,0),"М")</f>
        <v>0</v>
      </c>
    </row>
    <row r="720" spans="1:28" hidden="1" outlineLevel="1" x14ac:dyDescent="0.3">
      <c r="A720" s="33" t="s">
        <v>244</v>
      </c>
      <c r="B720" s="34" t="s">
        <v>275</v>
      </c>
      <c r="C720" s="50">
        <f>SUMIFS(INDEX(Техника!$F$1:$ABM$500,C$2,0),Техника!$F$4:$ABM$4,"Часы",INDEX(Техника!$G$1:$ABN$500,C$2,0),$A$718,INDEX(Техника!$H$1:$ABO$500,C$2,0),"Д")</f>
        <v>0</v>
      </c>
      <c r="D720" s="50">
        <f>SUMIFS(INDEX(Техника!$F$1:$ABM$500,D$2,0),Техника!$F$4:$ABM$4,"Часы",INDEX(Техника!$G$1:$ABN$500,D$2,0),$A$718,INDEX(Техника!$H$1:$ABO$500,D$2,0),"Д")</f>
        <v>0</v>
      </c>
      <c r="E720" s="50">
        <f>SUMIFS(INDEX(Техника!$F$1:$ABM$500,E$2,0),Техника!$F$4:$ABM$4,"Часы",INDEX(Техника!$G$1:$ABN$500,E$2,0),$A$718,INDEX(Техника!$H$1:$ABO$500,E$2,0),"Д")</f>
        <v>0</v>
      </c>
      <c r="F720" s="50">
        <f>SUMIFS(INDEX(Техника!$F$1:$ABM$500,F$2,0),Техника!$F$4:$ABM$4,"Часы",INDEX(Техника!$G$1:$ABN$500,F$2,0),$A$718,INDEX(Техника!$H$1:$ABO$500,F$2,0),"Д")</f>
        <v>0</v>
      </c>
      <c r="G720" s="50">
        <f>SUMIFS(INDEX(Техника!$F$1:$ABM$500,G$2,0),Техника!$F$4:$ABM$4,"Часы",INDEX(Техника!$G$1:$ABN$500,G$2,0),$A$718,INDEX(Техника!$H$1:$ABO$500,G$2,0),"Д")</f>
        <v>0</v>
      </c>
      <c r="H720" s="50">
        <f>SUMIFS(INDEX(Техника!$F$1:$ABM$500,H$2,0),Техника!$F$4:$ABM$4,"Часы",INDEX(Техника!$G$1:$ABN$500,H$2,0),$A$718,INDEX(Техника!$H$1:$ABO$500,H$2,0),"Д")</f>
        <v>0</v>
      </c>
      <c r="I720" s="50">
        <f>SUMIFS(INDEX(Техника!$F$1:$ABM$500,I$2,0),Техника!$F$4:$ABM$4,"Часы",INDEX(Техника!$G$1:$ABN$500,I$2,0),$A$718,INDEX(Техника!$H$1:$ABO$500,I$2,0),"Д")</f>
        <v>0</v>
      </c>
      <c r="J720" s="50">
        <f>SUMIFS(INDEX(Техника!$F$1:$ABM$500,J$2,0),Техника!$F$4:$ABM$4,"Часы",INDEX(Техника!$G$1:$ABN$500,J$2,0),$A$718,INDEX(Техника!$H$1:$ABO$500,J$2,0),"Д")</f>
        <v>0</v>
      </c>
      <c r="K720" s="50">
        <f>SUMIFS(INDEX(Техника!$F$1:$ABM$500,K$2,0),Техника!$F$4:$ABM$4,"Часы",INDEX(Техника!$G$1:$ABN$500,K$2,0),$A$718,INDEX(Техника!$H$1:$ABO$500,K$2,0),"Д")</f>
        <v>0</v>
      </c>
      <c r="L720" s="50">
        <f>SUMIFS(INDEX(Техника!$F$1:$ABM$500,L$2,0),Техника!$F$4:$ABM$4,"Часы",INDEX(Техника!$G$1:$ABN$500,L$2,0),$A$718,INDEX(Техника!$H$1:$ABO$500,L$2,0),"Д")</f>
        <v>0</v>
      </c>
      <c r="M720" s="50">
        <f>SUMIFS(INDEX(Техника!$F$1:$ABM$500,M$2,0),Техника!$F$4:$ABM$4,"Часы",INDEX(Техника!$G$1:$ABN$500,M$2,0),$A$718,INDEX(Техника!$H$1:$ABO$500,M$2,0),"Д")</f>
        <v>0</v>
      </c>
      <c r="N720" s="50">
        <f>SUMIFS(INDEX(Техника!$F$1:$ABM$500,N$2,0),Техника!$F$4:$ABM$4,"Часы",INDEX(Техника!$G$1:$ABN$500,N$2,0),$A$718,INDEX(Техника!$H$1:$ABO$500,N$2,0),"Д")</f>
        <v>0</v>
      </c>
      <c r="O720" s="50">
        <f>SUMIFS(INDEX(Техника!$F$1:$ABM$500,O$2,0),Техника!$F$4:$ABM$4,"Часы",INDEX(Техника!$G$1:$ABN$500,O$2,0),$A$718,INDEX(Техника!$H$1:$ABO$500,O$2,0),"Д")</f>
        <v>0</v>
      </c>
      <c r="P720" s="50">
        <f>SUMIFS(INDEX(Техника!$F$1:$ABM$500,P$2,0),Техника!$F$4:$ABM$4,"Часы",INDEX(Техника!$G$1:$ABN$500,P$2,0),$A$718,INDEX(Техника!$H$1:$ABO$500,P$2,0),"Д")</f>
        <v>0</v>
      </c>
      <c r="Q720" s="50">
        <f>SUMIFS(INDEX(Техника!$F$1:$ABM$500,Q$2,0),Техника!$F$4:$ABM$4,"Часы",INDEX(Техника!$G$1:$ABN$500,Q$2,0),$A$718,INDEX(Техника!$H$1:$ABO$500,Q$2,0),"Д")</f>
        <v>0</v>
      </c>
      <c r="R720" s="50">
        <f>SUMIFS(INDEX(Техника!$F$1:$ABM$500,R$2,0),Техника!$F$4:$ABM$4,"Часы",INDEX(Техника!$G$1:$ABN$500,R$2,0),$A$718,INDEX(Техника!$H$1:$ABO$500,R$2,0),"Д")</f>
        <v>0</v>
      </c>
      <c r="S720" s="50">
        <f>SUMIFS(INDEX(Техника!$F$1:$ABM$500,S$2,0),Техника!$F$4:$ABM$4,"Часы",INDEX(Техника!$G$1:$ABN$500,S$2,0),$A$718,INDEX(Техника!$H$1:$ABO$500,S$2,0),"Д")</f>
        <v>0</v>
      </c>
      <c r="T720" s="50">
        <f>SUMIFS(INDEX(Техника!$F$1:$ABM$500,T$2,0),Техника!$F$4:$ABM$4,"Часы",INDEX(Техника!$G$1:$ABN$500,T$2,0),$A$718,INDEX(Техника!$H$1:$ABO$500,T$2,0),"Д")</f>
        <v>0</v>
      </c>
      <c r="U720" s="50">
        <f>SUMIFS(INDEX(Техника!$F$1:$ABM$500,U$2,0),Техника!$F$4:$ABM$4,"Часы",INDEX(Техника!$G$1:$ABN$500,U$2,0),$A$718,INDEX(Техника!$H$1:$ABO$500,U$2,0),"Д")</f>
        <v>0</v>
      </c>
      <c r="V720" s="50">
        <f>SUMIFS(INDEX(Техника!$F$1:$ABM$500,V$2,0),Техника!$F$4:$ABM$4,"Часы",INDEX(Техника!$G$1:$ABN$500,V$2,0),$A$718,INDEX(Техника!$H$1:$ABO$500,V$2,0),"Д")</f>
        <v>0</v>
      </c>
      <c r="W720" s="50">
        <f>SUMIFS(INDEX(Техника!$F$1:$ABM$500,W$2,0),Техника!$F$4:$ABM$4,"Часы",INDEX(Техника!$G$1:$ABN$500,W$2,0),$A$718,INDEX(Техника!$H$1:$ABO$500,W$2,0),"Д")</f>
        <v>0</v>
      </c>
      <c r="X720" s="50">
        <f>SUMIFS(INDEX(Техника!$F$1:$ABM$500,X$2,0),Техника!$F$4:$ABM$4,"Часы",INDEX(Техника!$G$1:$ABN$500,X$2,0),$A$718,INDEX(Техника!$H$1:$ABO$500,X$2,0),"Д")</f>
        <v>0</v>
      </c>
      <c r="Y720" s="50">
        <f>SUMIFS(INDEX(Техника!$F$1:$ABM$500,Y$2,0),Техника!$F$4:$ABM$4,"Часы",INDEX(Техника!$G$1:$ABN$500,Y$2,0),$A$718,INDEX(Техника!$H$1:$ABO$500,Y$2,0),"Д")</f>
        <v>0</v>
      </c>
      <c r="Z720" s="50">
        <f>SUMIFS(INDEX(Техника!$F$1:$ABM$500,Z$2,0),Техника!$F$4:$ABM$4,"Часы",INDEX(Техника!$G$1:$ABN$500,Z$2,0),$A$718,INDEX(Техника!$H$1:$ABO$500,Z$2,0),"Д")</f>
        <v>0</v>
      </c>
      <c r="AA720" s="50">
        <f>SUMIFS(INDEX(Техника!$F$1:$ABM$500,AA$2,0),Техника!$F$4:$ABM$4,"Часы",INDEX(Техника!$G$1:$ABN$500,AA$2,0),$A$718,INDEX(Техника!$H$1:$ABO$500,AA$2,0),"Д")</f>
        <v>0</v>
      </c>
      <c r="AB720" s="50">
        <f>SUMIFS(INDEX(Техника!$F$1:$ABM$500,AB$2,0),Техника!$F$4:$ABM$4,"Часы",INDEX(Техника!$G$1:$ABN$500,AB$2,0),$A$718,INDEX(Техника!$H$1:$ABO$500,AB$2,0),"Д")</f>
        <v>0</v>
      </c>
    </row>
    <row r="721" spans="1:28" hidden="1" outlineLevel="1" x14ac:dyDescent="0.3">
      <c r="A721" s="33" t="s">
        <v>276</v>
      </c>
      <c r="B721" s="34" t="s">
        <v>277</v>
      </c>
      <c r="C721" s="50">
        <f>SUMIFS(INDEX(Техника!$F$1:$ABM$500,C$2,0),Техника!$F$4:$ABM$4,"Часы",INDEX(Техника!$G$1:$ABN$500,C$2,0),$A$718,INDEX(Техника!$H$1:$ABO$500,C$2,0),"П")</f>
        <v>0</v>
      </c>
      <c r="D721" s="50">
        <f>SUMIFS(INDEX(Техника!$F$1:$ABM$500,D$2,0),Техника!$F$4:$ABM$4,"Часы",INDEX(Техника!$G$1:$ABN$500,D$2,0),$A$718,INDEX(Техника!$H$1:$ABO$500,D$2,0),"П")</f>
        <v>0</v>
      </c>
      <c r="E721" s="50">
        <f>SUMIFS(INDEX(Техника!$F$1:$ABM$500,E$2,0),Техника!$F$4:$ABM$4,"Часы",INDEX(Техника!$G$1:$ABN$500,E$2,0),$A$718,INDEX(Техника!$H$1:$ABO$500,E$2,0),"П")</f>
        <v>0</v>
      </c>
      <c r="F721" s="50">
        <f>SUMIFS(INDEX(Техника!$F$1:$ABM$500,F$2,0),Техника!$F$4:$ABM$4,"Часы",INDEX(Техника!$G$1:$ABN$500,F$2,0),$A$718,INDEX(Техника!$H$1:$ABO$500,F$2,0),"П")</f>
        <v>0</v>
      </c>
      <c r="G721" s="50">
        <f>SUMIFS(INDEX(Техника!$F$1:$ABM$500,G$2,0),Техника!$F$4:$ABM$4,"Часы",INDEX(Техника!$G$1:$ABN$500,G$2,0),$A$718,INDEX(Техника!$H$1:$ABO$500,G$2,0),"П")</f>
        <v>0</v>
      </c>
      <c r="H721" s="50">
        <f>SUMIFS(INDEX(Техника!$F$1:$ABM$500,H$2,0),Техника!$F$4:$ABM$4,"Часы",INDEX(Техника!$G$1:$ABN$500,H$2,0),$A$718,INDEX(Техника!$H$1:$ABO$500,H$2,0),"П")</f>
        <v>0</v>
      </c>
      <c r="I721" s="50">
        <f>SUMIFS(INDEX(Техника!$F$1:$ABM$500,I$2,0),Техника!$F$4:$ABM$4,"Часы",INDEX(Техника!$G$1:$ABN$500,I$2,0),$A$718,INDEX(Техника!$H$1:$ABO$500,I$2,0),"П")</f>
        <v>0</v>
      </c>
      <c r="J721" s="50">
        <f>SUMIFS(INDEX(Техника!$F$1:$ABM$500,J$2,0),Техника!$F$4:$ABM$4,"Часы",INDEX(Техника!$G$1:$ABN$500,J$2,0),$A$718,INDEX(Техника!$H$1:$ABO$500,J$2,0),"П")</f>
        <v>0</v>
      </c>
      <c r="K721" s="50">
        <f>SUMIFS(INDEX(Техника!$F$1:$ABM$500,K$2,0),Техника!$F$4:$ABM$4,"Часы",INDEX(Техника!$G$1:$ABN$500,K$2,0),$A$718,INDEX(Техника!$H$1:$ABO$500,K$2,0),"П")</f>
        <v>0</v>
      </c>
      <c r="L721" s="50">
        <f>SUMIFS(INDEX(Техника!$F$1:$ABM$500,L$2,0),Техника!$F$4:$ABM$4,"Часы",INDEX(Техника!$G$1:$ABN$500,L$2,0),$A$718,INDEX(Техника!$H$1:$ABO$500,L$2,0),"П")</f>
        <v>0</v>
      </c>
      <c r="M721" s="50">
        <f>SUMIFS(INDEX(Техника!$F$1:$ABM$500,M$2,0),Техника!$F$4:$ABM$4,"Часы",INDEX(Техника!$G$1:$ABN$500,M$2,0),$A$718,INDEX(Техника!$H$1:$ABO$500,M$2,0),"П")</f>
        <v>0</v>
      </c>
      <c r="N721" s="50">
        <f>SUMIFS(INDEX(Техника!$F$1:$ABM$500,N$2,0),Техника!$F$4:$ABM$4,"Часы",INDEX(Техника!$G$1:$ABN$500,N$2,0),$A$718,INDEX(Техника!$H$1:$ABO$500,N$2,0),"П")</f>
        <v>0</v>
      </c>
      <c r="O721" s="50">
        <f>SUMIFS(INDEX(Техника!$F$1:$ABM$500,O$2,0),Техника!$F$4:$ABM$4,"Часы",INDEX(Техника!$G$1:$ABN$500,O$2,0),$A$718,INDEX(Техника!$H$1:$ABO$500,O$2,0),"П")</f>
        <v>0</v>
      </c>
      <c r="P721" s="50">
        <f>SUMIFS(INDEX(Техника!$F$1:$ABM$500,P$2,0),Техника!$F$4:$ABM$4,"Часы",INDEX(Техника!$G$1:$ABN$500,P$2,0),$A$718,INDEX(Техника!$H$1:$ABO$500,P$2,0),"П")</f>
        <v>0</v>
      </c>
      <c r="Q721" s="50">
        <f>SUMIFS(INDEX(Техника!$F$1:$ABM$500,Q$2,0),Техника!$F$4:$ABM$4,"Часы",INDEX(Техника!$G$1:$ABN$500,Q$2,0),$A$718,INDEX(Техника!$H$1:$ABO$500,Q$2,0),"П")</f>
        <v>0</v>
      </c>
      <c r="R721" s="50">
        <f>SUMIFS(INDEX(Техника!$F$1:$ABM$500,R$2,0),Техника!$F$4:$ABM$4,"Часы",INDEX(Техника!$G$1:$ABN$500,R$2,0),$A$718,INDEX(Техника!$H$1:$ABO$500,R$2,0),"П")</f>
        <v>0</v>
      </c>
      <c r="S721" s="50">
        <f>SUMIFS(INDEX(Техника!$F$1:$ABM$500,S$2,0),Техника!$F$4:$ABM$4,"Часы",INDEX(Техника!$G$1:$ABN$500,S$2,0),$A$718,INDEX(Техника!$H$1:$ABO$500,S$2,0),"П")</f>
        <v>0</v>
      </c>
      <c r="T721" s="50">
        <f>SUMIFS(INDEX(Техника!$F$1:$ABM$500,T$2,0),Техника!$F$4:$ABM$4,"Часы",INDEX(Техника!$G$1:$ABN$500,T$2,0),$A$718,INDEX(Техника!$H$1:$ABO$500,T$2,0),"П")</f>
        <v>0</v>
      </c>
      <c r="U721" s="50">
        <f>SUMIFS(INDEX(Техника!$F$1:$ABM$500,U$2,0),Техника!$F$4:$ABM$4,"Часы",INDEX(Техника!$G$1:$ABN$500,U$2,0),$A$718,INDEX(Техника!$H$1:$ABO$500,U$2,0),"П")</f>
        <v>0</v>
      </c>
      <c r="V721" s="50">
        <f>SUMIFS(INDEX(Техника!$F$1:$ABM$500,V$2,0),Техника!$F$4:$ABM$4,"Часы",INDEX(Техника!$G$1:$ABN$500,V$2,0),$A$718,INDEX(Техника!$H$1:$ABO$500,V$2,0),"П")</f>
        <v>0</v>
      </c>
      <c r="W721" s="50">
        <f>SUMIFS(INDEX(Техника!$F$1:$ABM$500,W$2,0),Техника!$F$4:$ABM$4,"Часы",INDEX(Техника!$G$1:$ABN$500,W$2,0),$A$718,INDEX(Техника!$H$1:$ABO$500,W$2,0),"П")</f>
        <v>0</v>
      </c>
      <c r="X721" s="50">
        <f>SUMIFS(INDEX(Техника!$F$1:$ABM$500,X$2,0),Техника!$F$4:$ABM$4,"Часы",INDEX(Техника!$G$1:$ABN$500,X$2,0),$A$718,INDEX(Техника!$H$1:$ABO$500,X$2,0),"П")</f>
        <v>0</v>
      </c>
      <c r="Y721" s="50">
        <f>SUMIFS(INDEX(Техника!$F$1:$ABM$500,Y$2,0),Техника!$F$4:$ABM$4,"Часы",INDEX(Техника!$G$1:$ABN$500,Y$2,0),$A$718,INDEX(Техника!$H$1:$ABO$500,Y$2,0),"П")</f>
        <v>0</v>
      </c>
      <c r="Z721" s="50">
        <f>SUMIFS(INDEX(Техника!$F$1:$ABM$500,Z$2,0),Техника!$F$4:$ABM$4,"Часы",INDEX(Техника!$G$1:$ABN$500,Z$2,0),$A$718,INDEX(Техника!$H$1:$ABO$500,Z$2,0),"П")</f>
        <v>0</v>
      </c>
      <c r="AA721" s="50">
        <f>SUMIFS(INDEX(Техника!$F$1:$ABM$500,AA$2,0),Техника!$F$4:$ABM$4,"Часы",INDEX(Техника!$G$1:$ABN$500,AA$2,0),$A$718,INDEX(Техника!$H$1:$ABO$500,AA$2,0),"П")</f>
        <v>0</v>
      </c>
      <c r="AB721" s="50">
        <f>SUMIFS(INDEX(Техника!$F$1:$ABM$500,AB$2,0),Техника!$F$4:$ABM$4,"Часы",INDEX(Техника!$G$1:$ABN$500,AB$2,0),$A$718,INDEX(Техника!$H$1:$ABO$500,AB$2,0),"П")</f>
        <v>0</v>
      </c>
    </row>
    <row r="722" spans="1:28" hidden="1" outlineLevel="1" x14ac:dyDescent="0.3">
      <c r="A722" s="33" t="s">
        <v>243</v>
      </c>
      <c r="B722" s="34" t="s">
        <v>278</v>
      </c>
      <c r="C722" s="50">
        <f>SUMIFS(INDEX(Техника!$F$1:$ABM$500,C$2,0),Техника!$F$4:$ABM$4,"Часы",INDEX(Техника!$G$1:$ABN$500,C$2,0),$A$718,INDEX(Техника!$H$1:$ABO$500,C$2,0),"Л")</f>
        <v>0</v>
      </c>
      <c r="D722" s="50">
        <f>SUMIFS(INDEX(Техника!$F$1:$ABM$500,D$2,0),Техника!$F$4:$ABM$4,"Часы",INDEX(Техника!$G$1:$ABN$500,D$2,0),$A$718,INDEX(Техника!$H$1:$ABO$500,D$2,0),"Л")</f>
        <v>0</v>
      </c>
      <c r="E722" s="50">
        <f>SUMIFS(INDEX(Техника!$F$1:$ABM$500,E$2,0),Техника!$F$4:$ABM$4,"Часы",INDEX(Техника!$G$1:$ABN$500,E$2,0),$A$718,INDEX(Техника!$H$1:$ABO$500,E$2,0),"Л")</f>
        <v>0</v>
      </c>
      <c r="F722" s="50">
        <f>SUMIFS(INDEX(Техника!$F$1:$ABM$500,F$2,0),Техника!$F$4:$ABM$4,"Часы",INDEX(Техника!$G$1:$ABN$500,F$2,0),$A$718,INDEX(Техника!$H$1:$ABO$500,F$2,0),"Л")</f>
        <v>0</v>
      </c>
      <c r="G722" s="50">
        <f>SUMIFS(INDEX(Техника!$F$1:$ABM$500,G$2,0),Техника!$F$4:$ABM$4,"Часы",INDEX(Техника!$G$1:$ABN$500,G$2,0),$A$718,INDEX(Техника!$H$1:$ABO$500,G$2,0),"Л")</f>
        <v>0</v>
      </c>
      <c r="H722" s="50">
        <f>SUMIFS(INDEX(Техника!$F$1:$ABM$500,H$2,0),Техника!$F$4:$ABM$4,"Часы",INDEX(Техника!$G$1:$ABN$500,H$2,0),$A$718,INDEX(Техника!$H$1:$ABO$500,H$2,0),"Л")</f>
        <v>0</v>
      </c>
      <c r="I722" s="50">
        <f>SUMIFS(INDEX(Техника!$F$1:$ABM$500,I$2,0),Техника!$F$4:$ABM$4,"Часы",INDEX(Техника!$G$1:$ABN$500,I$2,0),$A$718,INDEX(Техника!$H$1:$ABO$500,I$2,0),"Л")</f>
        <v>0</v>
      </c>
      <c r="J722" s="50">
        <f>SUMIFS(INDEX(Техника!$F$1:$ABM$500,J$2,0),Техника!$F$4:$ABM$4,"Часы",INDEX(Техника!$G$1:$ABN$500,J$2,0),$A$718,INDEX(Техника!$H$1:$ABO$500,J$2,0),"Л")</f>
        <v>0</v>
      </c>
      <c r="K722" s="50">
        <f>SUMIFS(INDEX(Техника!$F$1:$ABM$500,K$2,0),Техника!$F$4:$ABM$4,"Часы",INDEX(Техника!$G$1:$ABN$500,K$2,0),$A$718,INDEX(Техника!$H$1:$ABO$500,K$2,0),"Л")</f>
        <v>0</v>
      </c>
      <c r="L722" s="50">
        <f>SUMIFS(INDEX(Техника!$F$1:$ABM$500,L$2,0),Техника!$F$4:$ABM$4,"Часы",INDEX(Техника!$G$1:$ABN$500,L$2,0),$A$718,INDEX(Техника!$H$1:$ABO$500,L$2,0),"Л")</f>
        <v>0</v>
      </c>
      <c r="M722" s="50">
        <f>SUMIFS(INDEX(Техника!$F$1:$ABM$500,M$2,0),Техника!$F$4:$ABM$4,"Часы",INDEX(Техника!$G$1:$ABN$500,M$2,0),$A$718,INDEX(Техника!$H$1:$ABO$500,M$2,0),"Л")</f>
        <v>0</v>
      </c>
      <c r="N722" s="50">
        <f>SUMIFS(INDEX(Техника!$F$1:$ABM$500,N$2,0),Техника!$F$4:$ABM$4,"Часы",INDEX(Техника!$G$1:$ABN$500,N$2,0),$A$718,INDEX(Техника!$H$1:$ABO$500,N$2,0),"Л")</f>
        <v>0</v>
      </c>
      <c r="O722" s="50">
        <f>SUMIFS(INDEX(Техника!$F$1:$ABM$500,O$2,0),Техника!$F$4:$ABM$4,"Часы",INDEX(Техника!$G$1:$ABN$500,O$2,0),$A$718,INDEX(Техника!$H$1:$ABO$500,O$2,0),"Л")</f>
        <v>0</v>
      </c>
      <c r="P722" s="50">
        <f>SUMIFS(INDEX(Техника!$F$1:$ABM$500,P$2,0),Техника!$F$4:$ABM$4,"Часы",INDEX(Техника!$G$1:$ABN$500,P$2,0),$A$718,INDEX(Техника!$H$1:$ABO$500,P$2,0),"Л")</f>
        <v>0</v>
      </c>
      <c r="Q722" s="50">
        <f>SUMIFS(INDEX(Техника!$F$1:$ABM$500,Q$2,0),Техника!$F$4:$ABM$4,"Часы",INDEX(Техника!$G$1:$ABN$500,Q$2,0),$A$718,INDEX(Техника!$H$1:$ABO$500,Q$2,0),"Л")</f>
        <v>0</v>
      </c>
      <c r="R722" s="50">
        <f>SUMIFS(INDEX(Техника!$F$1:$ABM$500,R$2,0),Техника!$F$4:$ABM$4,"Часы",INDEX(Техника!$G$1:$ABN$500,R$2,0),$A$718,INDEX(Техника!$H$1:$ABO$500,R$2,0),"Л")</f>
        <v>0</v>
      </c>
      <c r="S722" s="50">
        <f>SUMIFS(INDEX(Техника!$F$1:$ABM$500,S$2,0),Техника!$F$4:$ABM$4,"Часы",INDEX(Техника!$G$1:$ABN$500,S$2,0),$A$718,INDEX(Техника!$H$1:$ABO$500,S$2,0),"Л")</f>
        <v>0</v>
      </c>
      <c r="T722" s="50">
        <f>SUMIFS(INDEX(Техника!$F$1:$ABM$500,T$2,0),Техника!$F$4:$ABM$4,"Часы",INDEX(Техника!$G$1:$ABN$500,T$2,0),$A$718,INDEX(Техника!$H$1:$ABO$500,T$2,0),"Л")</f>
        <v>0</v>
      </c>
      <c r="U722" s="50">
        <f>SUMIFS(INDEX(Техника!$F$1:$ABM$500,U$2,0),Техника!$F$4:$ABM$4,"Часы",INDEX(Техника!$G$1:$ABN$500,U$2,0),$A$718,INDEX(Техника!$H$1:$ABO$500,U$2,0),"Л")</f>
        <v>0</v>
      </c>
      <c r="V722" s="50">
        <f>SUMIFS(INDEX(Техника!$F$1:$ABM$500,V$2,0),Техника!$F$4:$ABM$4,"Часы",INDEX(Техника!$G$1:$ABN$500,V$2,0),$A$718,INDEX(Техника!$H$1:$ABO$500,V$2,0),"Л")</f>
        <v>0</v>
      </c>
      <c r="W722" s="50">
        <f>SUMIFS(INDEX(Техника!$F$1:$ABM$500,W$2,0),Техника!$F$4:$ABM$4,"Часы",INDEX(Техника!$G$1:$ABN$500,W$2,0),$A$718,INDEX(Техника!$H$1:$ABO$500,W$2,0),"Л")</f>
        <v>0</v>
      </c>
      <c r="X722" s="50">
        <f>SUMIFS(INDEX(Техника!$F$1:$ABM$500,X$2,0),Техника!$F$4:$ABM$4,"Часы",INDEX(Техника!$G$1:$ABN$500,X$2,0),$A$718,INDEX(Техника!$H$1:$ABO$500,X$2,0),"Л")</f>
        <v>0</v>
      </c>
      <c r="Y722" s="50">
        <f>SUMIFS(INDEX(Техника!$F$1:$ABM$500,Y$2,0),Техника!$F$4:$ABM$4,"Часы",INDEX(Техника!$G$1:$ABN$500,Y$2,0),$A$718,INDEX(Техника!$H$1:$ABO$500,Y$2,0),"Л")</f>
        <v>0</v>
      </c>
      <c r="Z722" s="50">
        <f>SUMIFS(INDEX(Техника!$F$1:$ABM$500,Z$2,0),Техника!$F$4:$ABM$4,"Часы",INDEX(Техника!$G$1:$ABN$500,Z$2,0),$A$718,INDEX(Техника!$H$1:$ABO$500,Z$2,0),"Л")</f>
        <v>0</v>
      </c>
      <c r="AA722" s="50">
        <f>SUMIFS(INDEX(Техника!$F$1:$ABM$500,AA$2,0),Техника!$F$4:$ABM$4,"Часы",INDEX(Техника!$G$1:$ABN$500,AA$2,0),$A$718,INDEX(Техника!$H$1:$ABO$500,AA$2,0),"Л")</f>
        <v>0</v>
      </c>
      <c r="AB722" s="50">
        <f>SUMIFS(INDEX(Техника!$F$1:$ABM$500,AB$2,0),Техника!$F$4:$ABM$4,"Часы",INDEX(Техника!$G$1:$ABN$500,AB$2,0),$A$718,INDEX(Техника!$H$1:$ABO$500,AB$2,0),"Л")</f>
        <v>0</v>
      </c>
    </row>
    <row r="723" spans="1:28" hidden="1" outlineLevel="1" x14ac:dyDescent="0.3">
      <c r="A723" s="33" t="s">
        <v>245</v>
      </c>
      <c r="B723" s="34" t="s">
        <v>279</v>
      </c>
      <c r="C723" s="50">
        <f>SUMIFS(INDEX(Техника!$F$1:$ABM$500,C$2,0),Техника!$F$4:$ABM$4,"Часы",INDEX(Техника!$G$1:$ABN$500,C$2,0),$A$718,INDEX(Техника!$H$1:$ABO$500,C$2,0),"З")</f>
        <v>0</v>
      </c>
      <c r="D723" s="50">
        <f>SUMIFS(INDEX(Техника!$F$1:$ABM$500,D$2,0),Техника!$F$4:$ABM$4,"Часы",INDEX(Техника!$G$1:$ABN$500,D$2,0),$A$718,INDEX(Техника!$H$1:$ABO$500,D$2,0),"З")</f>
        <v>0</v>
      </c>
      <c r="E723" s="50">
        <f>SUMIFS(INDEX(Техника!$F$1:$ABM$500,E$2,0),Техника!$F$4:$ABM$4,"Часы",INDEX(Техника!$G$1:$ABN$500,E$2,0),$A$718,INDEX(Техника!$H$1:$ABO$500,E$2,0),"З")</f>
        <v>0</v>
      </c>
      <c r="F723" s="50">
        <f>SUMIFS(INDEX(Техника!$F$1:$ABM$500,F$2,0),Техника!$F$4:$ABM$4,"Часы",INDEX(Техника!$G$1:$ABN$500,F$2,0),$A$718,INDEX(Техника!$H$1:$ABO$500,F$2,0),"З")</f>
        <v>0</v>
      </c>
      <c r="G723" s="50">
        <f>SUMIFS(INDEX(Техника!$F$1:$ABM$500,G$2,0),Техника!$F$4:$ABM$4,"Часы",INDEX(Техника!$G$1:$ABN$500,G$2,0),$A$718,INDEX(Техника!$H$1:$ABO$500,G$2,0),"З")</f>
        <v>0</v>
      </c>
      <c r="H723" s="50">
        <f>SUMIFS(INDEX(Техника!$F$1:$ABM$500,H$2,0),Техника!$F$4:$ABM$4,"Часы",INDEX(Техника!$G$1:$ABN$500,H$2,0),$A$718,INDEX(Техника!$H$1:$ABO$500,H$2,0),"З")</f>
        <v>0</v>
      </c>
      <c r="I723" s="50">
        <f>SUMIFS(INDEX(Техника!$F$1:$ABM$500,I$2,0),Техника!$F$4:$ABM$4,"Часы",INDEX(Техника!$G$1:$ABN$500,I$2,0),$A$718,INDEX(Техника!$H$1:$ABO$500,I$2,0),"З")</f>
        <v>0</v>
      </c>
      <c r="J723" s="50">
        <f>SUMIFS(INDEX(Техника!$F$1:$ABM$500,J$2,0),Техника!$F$4:$ABM$4,"Часы",INDEX(Техника!$G$1:$ABN$500,J$2,0),$A$718,INDEX(Техника!$H$1:$ABO$500,J$2,0),"З")</f>
        <v>0</v>
      </c>
      <c r="K723" s="50">
        <f>SUMIFS(INDEX(Техника!$F$1:$ABM$500,K$2,0),Техника!$F$4:$ABM$4,"Часы",INDEX(Техника!$G$1:$ABN$500,K$2,0),$A$718,INDEX(Техника!$H$1:$ABO$500,K$2,0),"З")</f>
        <v>0</v>
      </c>
      <c r="L723" s="50">
        <f>SUMIFS(INDEX(Техника!$F$1:$ABM$500,L$2,0),Техника!$F$4:$ABM$4,"Часы",INDEX(Техника!$G$1:$ABN$500,L$2,0),$A$718,INDEX(Техника!$H$1:$ABO$500,L$2,0),"З")</f>
        <v>0</v>
      </c>
      <c r="M723" s="50">
        <f>SUMIFS(INDEX(Техника!$F$1:$ABM$500,M$2,0),Техника!$F$4:$ABM$4,"Часы",INDEX(Техника!$G$1:$ABN$500,M$2,0),$A$718,INDEX(Техника!$H$1:$ABO$500,M$2,0),"З")</f>
        <v>0</v>
      </c>
      <c r="N723" s="50">
        <f>SUMIFS(INDEX(Техника!$F$1:$ABM$500,N$2,0),Техника!$F$4:$ABM$4,"Часы",INDEX(Техника!$G$1:$ABN$500,N$2,0),$A$718,INDEX(Техника!$H$1:$ABO$500,N$2,0),"З")</f>
        <v>0</v>
      </c>
      <c r="O723" s="50">
        <f>SUMIFS(INDEX(Техника!$F$1:$ABM$500,O$2,0),Техника!$F$4:$ABM$4,"Часы",INDEX(Техника!$G$1:$ABN$500,O$2,0),$A$718,INDEX(Техника!$H$1:$ABO$500,O$2,0),"З")</f>
        <v>0</v>
      </c>
      <c r="P723" s="50">
        <f>SUMIFS(INDEX(Техника!$F$1:$ABM$500,P$2,0),Техника!$F$4:$ABM$4,"Часы",INDEX(Техника!$G$1:$ABN$500,P$2,0),$A$718,INDEX(Техника!$H$1:$ABO$500,P$2,0),"З")</f>
        <v>0</v>
      </c>
      <c r="Q723" s="50">
        <f>SUMIFS(INDEX(Техника!$F$1:$ABM$500,Q$2,0),Техника!$F$4:$ABM$4,"Часы",INDEX(Техника!$G$1:$ABN$500,Q$2,0),$A$718,INDEX(Техника!$H$1:$ABO$500,Q$2,0),"З")</f>
        <v>0</v>
      </c>
      <c r="R723" s="50">
        <f>SUMIFS(INDEX(Техника!$F$1:$ABM$500,R$2,0),Техника!$F$4:$ABM$4,"Часы",INDEX(Техника!$G$1:$ABN$500,R$2,0),$A$718,INDEX(Техника!$H$1:$ABO$500,R$2,0),"З")</f>
        <v>0</v>
      </c>
      <c r="S723" s="50">
        <f>SUMIFS(INDEX(Техника!$F$1:$ABM$500,S$2,0),Техника!$F$4:$ABM$4,"Часы",INDEX(Техника!$G$1:$ABN$500,S$2,0),$A$718,INDEX(Техника!$H$1:$ABO$500,S$2,0),"З")</f>
        <v>0</v>
      </c>
      <c r="T723" s="50">
        <f>SUMIFS(INDEX(Техника!$F$1:$ABM$500,T$2,0),Техника!$F$4:$ABM$4,"Часы",INDEX(Техника!$G$1:$ABN$500,T$2,0),$A$718,INDEX(Техника!$H$1:$ABO$500,T$2,0),"З")</f>
        <v>0</v>
      </c>
      <c r="U723" s="50">
        <f>SUMIFS(INDEX(Техника!$F$1:$ABM$500,U$2,0),Техника!$F$4:$ABM$4,"Часы",INDEX(Техника!$G$1:$ABN$500,U$2,0),$A$718,INDEX(Техника!$H$1:$ABO$500,U$2,0),"З")</f>
        <v>0</v>
      </c>
      <c r="V723" s="50">
        <f>SUMIFS(INDEX(Техника!$F$1:$ABM$500,V$2,0),Техника!$F$4:$ABM$4,"Часы",INDEX(Техника!$G$1:$ABN$500,V$2,0),$A$718,INDEX(Техника!$H$1:$ABO$500,V$2,0),"З")</f>
        <v>0</v>
      </c>
      <c r="W723" s="50">
        <f>SUMIFS(INDEX(Техника!$F$1:$ABM$500,W$2,0),Техника!$F$4:$ABM$4,"Часы",INDEX(Техника!$G$1:$ABN$500,W$2,0),$A$718,INDEX(Техника!$H$1:$ABO$500,W$2,0),"З")</f>
        <v>0</v>
      </c>
      <c r="X723" s="50">
        <f>SUMIFS(INDEX(Техника!$F$1:$ABM$500,X$2,0),Техника!$F$4:$ABM$4,"Часы",INDEX(Техника!$G$1:$ABN$500,X$2,0),$A$718,INDEX(Техника!$H$1:$ABO$500,X$2,0),"З")</f>
        <v>0</v>
      </c>
      <c r="Y723" s="50">
        <f>SUMIFS(INDEX(Техника!$F$1:$ABM$500,Y$2,0),Техника!$F$4:$ABM$4,"Часы",INDEX(Техника!$G$1:$ABN$500,Y$2,0),$A$718,INDEX(Техника!$H$1:$ABO$500,Y$2,0),"З")</f>
        <v>0</v>
      </c>
      <c r="Z723" s="50">
        <f>SUMIFS(INDEX(Техника!$F$1:$ABM$500,Z$2,0),Техника!$F$4:$ABM$4,"Часы",INDEX(Техника!$G$1:$ABN$500,Z$2,0),$A$718,INDEX(Техника!$H$1:$ABO$500,Z$2,0),"З")</f>
        <v>0</v>
      </c>
      <c r="AA723" s="50">
        <f>SUMIFS(INDEX(Техника!$F$1:$ABM$500,AA$2,0),Техника!$F$4:$ABM$4,"Часы",INDEX(Техника!$G$1:$ABN$500,AA$2,0),$A$718,INDEX(Техника!$H$1:$ABO$500,AA$2,0),"З")</f>
        <v>0</v>
      </c>
      <c r="AB723" s="50">
        <f>SUMIFS(INDEX(Техника!$F$1:$ABM$500,AB$2,0),Техника!$F$4:$ABM$4,"Часы",INDEX(Техника!$G$1:$ABN$500,AB$2,0),$A$718,INDEX(Техника!$H$1:$ABO$500,AB$2,0),"З")</f>
        <v>0</v>
      </c>
    </row>
    <row r="724" spans="1:28" ht="7.95" customHeight="1" x14ac:dyDescent="0.3">
      <c r="A724" s="38"/>
      <c r="B724" s="39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</row>
    <row r="725" spans="1:28" ht="25.05" customHeight="1" collapsed="1" x14ac:dyDescent="0.3">
      <c r="A725" s="32">
        <v>104</v>
      </c>
      <c r="B725" s="32" t="s">
        <v>105</v>
      </c>
      <c r="C725" s="49">
        <f>SUM(C726:C730)</f>
        <v>0</v>
      </c>
      <c r="D725" s="49">
        <f>SUM(D726:D730)</f>
        <v>0</v>
      </c>
      <c r="E725" s="49">
        <f>SUM(E726:E730)</f>
        <v>0</v>
      </c>
      <c r="F725" s="49">
        <f>SUM(F726:F730)</f>
        <v>0</v>
      </c>
      <c r="G725" s="49">
        <f>SUM(G726:G730)</f>
        <v>0</v>
      </c>
      <c r="H725" s="49">
        <f>SUM(H726:H730)</f>
        <v>0</v>
      </c>
      <c r="I725" s="49">
        <f>SUM(I726:I730)</f>
        <v>0</v>
      </c>
      <c r="J725" s="49">
        <f>SUM(J726:J730)</f>
        <v>0</v>
      </c>
      <c r="K725" s="49">
        <f>SUM(K726:K730)</f>
        <v>0</v>
      </c>
      <c r="L725" s="49">
        <f>SUM(L726:L730)</f>
        <v>0</v>
      </c>
      <c r="M725" s="49">
        <f>SUM(M726:M730)</f>
        <v>0</v>
      </c>
      <c r="N725" s="49">
        <f>SUM(N726:N730)</f>
        <v>0</v>
      </c>
      <c r="O725" s="49">
        <f>SUM(O726:O730)</f>
        <v>0</v>
      </c>
      <c r="P725" s="49">
        <f>SUM(P726:P730)</f>
        <v>0</v>
      </c>
      <c r="Q725" s="49">
        <f>SUM(Q726:Q730)</f>
        <v>0</v>
      </c>
      <c r="R725" s="49">
        <f>SUM(R726:R730)</f>
        <v>0</v>
      </c>
      <c r="S725" s="49">
        <f>SUM(S726:S730)</f>
        <v>0</v>
      </c>
      <c r="T725" s="49">
        <f>SUM(T726:T730)</f>
        <v>0</v>
      </c>
      <c r="U725" s="49">
        <f>SUM(U726:U730)</f>
        <v>0</v>
      </c>
      <c r="V725" s="49">
        <f>SUM(V726:V730)</f>
        <v>0</v>
      </c>
      <c r="W725" s="49">
        <f>SUM(W726:W730)</f>
        <v>0</v>
      </c>
      <c r="X725" s="49">
        <f>SUM(X726:X730)</f>
        <v>0</v>
      </c>
      <c r="Y725" s="49">
        <f>SUM(Y726:Y730)</f>
        <v>0</v>
      </c>
      <c r="Z725" s="49">
        <f>SUM(Z726:Z730)</f>
        <v>0</v>
      </c>
      <c r="AA725" s="49">
        <f>SUM(AA726:AA730)</f>
        <v>0</v>
      </c>
      <c r="AB725" s="49">
        <f>SUM(AB726:AB730)</f>
        <v>0</v>
      </c>
    </row>
    <row r="726" spans="1:28" hidden="1" outlineLevel="1" x14ac:dyDescent="0.3">
      <c r="A726" s="33" t="s">
        <v>246</v>
      </c>
      <c r="B726" s="34" t="s">
        <v>274</v>
      </c>
      <c r="C726" s="50">
        <f>SUMIFS(INDEX(Техника!$F$1:$ABM$500,C$2,0),Техника!$F$4:$ABM$4,"Часы",INDEX(Техника!$G$1:$ABN$500,C$2,0),$A$725,INDEX(Техника!$H$1:$ABO$500,C$2,0),"М")</f>
        <v>0</v>
      </c>
      <c r="D726" s="50">
        <f>SUMIFS(INDEX(Техника!$F$1:$ABM$500,D$2,0),Техника!$F$4:$ABM$4,"Часы",INDEX(Техника!$G$1:$ABN$500,D$2,0),$A$725,INDEX(Техника!$H$1:$ABO$500,D$2,0),"М")</f>
        <v>0</v>
      </c>
      <c r="E726" s="50">
        <f>SUMIFS(INDEX(Техника!$F$1:$ABM$500,E$2,0),Техника!$F$4:$ABM$4,"Часы",INDEX(Техника!$G$1:$ABN$500,E$2,0),$A$725,INDEX(Техника!$H$1:$ABO$500,E$2,0),"М")</f>
        <v>0</v>
      </c>
      <c r="F726" s="50">
        <f>SUMIFS(INDEX(Техника!$F$1:$ABM$500,F$2,0),Техника!$F$4:$ABM$4,"Часы",INDEX(Техника!$G$1:$ABN$500,F$2,0),$A$725,INDEX(Техника!$H$1:$ABO$500,F$2,0),"М")</f>
        <v>0</v>
      </c>
      <c r="G726" s="50">
        <f>SUMIFS(INDEX(Техника!$F$1:$ABM$500,G$2,0),Техника!$F$4:$ABM$4,"Часы",INDEX(Техника!$G$1:$ABN$500,G$2,0),$A$725,INDEX(Техника!$H$1:$ABO$500,G$2,0),"М")</f>
        <v>0</v>
      </c>
      <c r="H726" s="50">
        <f>SUMIFS(INDEX(Техника!$F$1:$ABM$500,H$2,0),Техника!$F$4:$ABM$4,"Часы",INDEX(Техника!$G$1:$ABN$500,H$2,0),$A$725,INDEX(Техника!$H$1:$ABO$500,H$2,0),"М")</f>
        <v>0</v>
      </c>
      <c r="I726" s="50">
        <f>SUMIFS(INDEX(Техника!$F$1:$ABM$500,I$2,0),Техника!$F$4:$ABM$4,"Часы",INDEX(Техника!$G$1:$ABN$500,I$2,0),$A$725,INDEX(Техника!$H$1:$ABO$500,I$2,0),"М")</f>
        <v>0</v>
      </c>
      <c r="J726" s="50">
        <f>SUMIFS(INDEX(Техника!$F$1:$ABM$500,J$2,0),Техника!$F$4:$ABM$4,"Часы",INDEX(Техника!$G$1:$ABN$500,J$2,0),$A$725,INDEX(Техника!$H$1:$ABO$500,J$2,0),"М")</f>
        <v>0</v>
      </c>
      <c r="K726" s="50">
        <f>SUMIFS(INDEX(Техника!$F$1:$ABM$500,K$2,0),Техника!$F$4:$ABM$4,"Часы",INDEX(Техника!$G$1:$ABN$500,K$2,0),$A$725,INDEX(Техника!$H$1:$ABO$500,K$2,0),"М")</f>
        <v>0</v>
      </c>
      <c r="L726" s="50">
        <f>SUMIFS(INDEX(Техника!$F$1:$ABM$500,L$2,0),Техника!$F$4:$ABM$4,"Часы",INDEX(Техника!$G$1:$ABN$500,L$2,0),$A$725,INDEX(Техника!$H$1:$ABO$500,L$2,0),"М")</f>
        <v>0</v>
      </c>
      <c r="M726" s="50">
        <f>SUMIFS(INDEX(Техника!$F$1:$ABM$500,M$2,0),Техника!$F$4:$ABM$4,"Часы",INDEX(Техника!$G$1:$ABN$500,M$2,0),$A$725,INDEX(Техника!$H$1:$ABO$500,M$2,0),"М")</f>
        <v>0</v>
      </c>
      <c r="N726" s="50">
        <f>SUMIFS(INDEX(Техника!$F$1:$ABM$500,N$2,0),Техника!$F$4:$ABM$4,"Часы",INDEX(Техника!$G$1:$ABN$500,N$2,0),$A$725,INDEX(Техника!$H$1:$ABO$500,N$2,0),"М")</f>
        <v>0</v>
      </c>
      <c r="O726" s="50">
        <f>SUMIFS(INDEX(Техника!$F$1:$ABM$500,O$2,0),Техника!$F$4:$ABM$4,"Часы",INDEX(Техника!$G$1:$ABN$500,O$2,0),$A$725,INDEX(Техника!$H$1:$ABO$500,O$2,0),"М")</f>
        <v>0</v>
      </c>
      <c r="P726" s="50">
        <f>SUMIFS(INDEX(Техника!$F$1:$ABM$500,P$2,0),Техника!$F$4:$ABM$4,"Часы",INDEX(Техника!$G$1:$ABN$500,P$2,0),$A$725,INDEX(Техника!$H$1:$ABO$500,P$2,0),"М")</f>
        <v>0</v>
      </c>
      <c r="Q726" s="50">
        <f>SUMIFS(INDEX(Техника!$F$1:$ABM$500,Q$2,0),Техника!$F$4:$ABM$4,"Часы",INDEX(Техника!$G$1:$ABN$500,Q$2,0),$A$725,INDEX(Техника!$H$1:$ABO$500,Q$2,0),"М")</f>
        <v>0</v>
      </c>
      <c r="R726" s="50">
        <f>SUMIFS(INDEX(Техника!$F$1:$ABM$500,R$2,0),Техника!$F$4:$ABM$4,"Часы",INDEX(Техника!$G$1:$ABN$500,R$2,0),$A$725,INDEX(Техника!$H$1:$ABO$500,R$2,0),"М")</f>
        <v>0</v>
      </c>
      <c r="S726" s="50">
        <f>SUMIFS(INDEX(Техника!$F$1:$ABM$500,S$2,0),Техника!$F$4:$ABM$4,"Часы",INDEX(Техника!$G$1:$ABN$500,S$2,0),$A$725,INDEX(Техника!$H$1:$ABO$500,S$2,0),"М")</f>
        <v>0</v>
      </c>
      <c r="T726" s="50">
        <f>SUMIFS(INDEX(Техника!$F$1:$ABM$500,T$2,0),Техника!$F$4:$ABM$4,"Часы",INDEX(Техника!$G$1:$ABN$500,T$2,0),$A$725,INDEX(Техника!$H$1:$ABO$500,T$2,0),"М")</f>
        <v>0</v>
      </c>
      <c r="U726" s="50">
        <f>SUMIFS(INDEX(Техника!$F$1:$ABM$500,U$2,0),Техника!$F$4:$ABM$4,"Часы",INDEX(Техника!$G$1:$ABN$500,U$2,0),$A$725,INDEX(Техника!$H$1:$ABO$500,U$2,0),"М")</f>
        <v>0</v>
      </c>
      <c r="V726" s="50">
        <f>SUMIFS(INDEX(Техника!$F$1:$ABM$500,V$2,0),Техника!$F$4:$ABM$4,"Часы",INDEX(Техника!$G$1:$ABN$500,V$2,0),$A$725,INDEX(Техника!$H$1:$ABO$500,V$2,0),"М")</f>
        <v>0</v>
      </c>
      <c r="W726" s="50">
        <f>SUMIFS(INDEX(Техника!$F$1:$ABM$500,W$2,0),Техника!$F$4:$ABM$4,"Часы",INDEX(Техника!$G$1:$ABN$500,W$2,0),$A$725,INDEX(Техника!$H$1:$ABO$500,W$2,0),"М")</f>
        <v>0</v>
      </c>
      <c r="X726" s="50">
        <f>SUMIFS(INDEX(Техника!$F$1:$ABM$500,X$2,0),Техника!$F$4:$ABM$4,"Часы",INDEX(Техника!$G$1:$ABN$500,X$2,0),$A$725,INDEX(Техника!$H$1:$ABO$500,X$2,0),"М")</f>
        <v>0</v>
      </c>
      <c r="Y726" s="50">
        <f>SUMIFS(INDEX(Техника!$F$1:$ABM$500,Y$2,0),Техника!$F$4:$ABM$4,"Часы",INDEX(Техника!$G$1:$ABN$500,Y$2,0),$A$725,INDEX(Техника!$H$1:$ABO$500,Y$2,0),"М")</f>
        <v>0</v>
      </c>
      <c r="Z726" s="50">
        <f>SUMIFS(INDEX(Техника!$F$1:$ABM$500,Z$2,0),Техника!$F$4:$ABM$4,"Часы",INDEX(Техника!$G$1:$ABN$500,Z$2,0),$A$725,INDEX(Техника!$H$1:$ABO$500,Z$2,0),"М")</f>
        <v>0</v>
      </c>
      <c r="AA726" s="50">
        <f>SUMIFS(INDEX(Техника!$F$1:$ABM$500,AA$2,0),Техника!$F$4:$ABM$4,"Часы",INDEX(Техника!$G$1:$ABN$500,AA$2,0),$A$725,INDEX(Техника!$H$1:$ABO$500,AA$2,0),"М")</f>
        <v>0</v>
      </c>
      <c r="AB726" s="50">
        <f>SUMIFS(INDEX(Техника!$F$1:$ABM$500,AB$2,0),Техника!$F$4:$ABM$4,"Часы",INDEX(Техника!$G$1:$ABN$500,AB$2,0),$A$725,INDEX(Техника!$H$1:$ABO$500,AB$2,0),"М")</f>
        <v>0</v>
      </c>
    </row>
    <row r="727" spans="1:28" hidden="1" outlineLevel="1" x14ac:dyDescent="0.3">
      <c r="A727" s="33" t="s">
        <v>244</v>
      </c>
      <c r="B727" s="34" t="s">
        <v>275</v>
      </c>
      <c r="C727" s="50">
        <f>SUMIFS(INDEX(Техника!$F$1:$ABM$500,C$2,0),Техника!$F$4:$ABM$4,"Часы",INDEX(Техника!$G$1:$ABN$500,C$2,0),$A$725,INDEX(Техника!$H$1:$ABO$500,C$2,0),"Д")</f>
        <v>0</v>
      </c>
      <c r="D727" s="50">
        <f>SUMIFS(INDEX(Техника!$F$1:$ABM$500,D$2,0),Техника!$F$4:$ABM$4,"Часы",INDEX(Техника!$G$1:$ABN$500,D$2,0),$A$725,INDEX(Техника!$H$1:$ABO$500,D$2,0),"Д")</f>
        <v>0</v>
      </c>
      <c r="E727" s="50">
        <f>SUMIFS(INDEX(Техника!$F$1:$ABM$500,E$2,0),Техника!$F$4:$ABM$4,"Часы",INDEX(Техника!$G$1:$ABN$500,E$2,0),$A$725,INDEX(Техника!$H$1:$ABO$500,E$2,0),"Д")</f>
        <v>0</v>
      </c>
      <c r="F727" s="50">
        <f>SUMIFS(INDEX(Техника!$F$1:$ABM$500,F$2,0),Техника!$F$4:$ABM$4,"Часы",INDEX(Техника!$G$1:$ABN$500,F$2,0),$A$725,INDEX(Техника!$H$1:$ABO$500,F$2,0),"Д")</f>
        <v>0</v>
      </c>
      <c r="G727" s="50">
        <f>SUMIFS(INDEX(Техника!$F$1:$ABM$500,G$2,0),Техника!$F$4:$ABM$4,"Часы",INDEX(Техника!$G$1:$ABN$500,G$2,0),$A$725,INDEX(Техника!$H$1:$ABO$500,G$2,0),"Д")</f>
        <v>0</v>
      </c>
      <c r="H727" s="50">
        <f>SUMIFS(INDEX(Техника!$F$1:$ABM$500,H$2,0),Техника!$F$4:$ABM$4,"Часы",INDEX(Техника!$G$1:$ABN$500,H$2,0),$A$725,INDEX(Техника!$H$1:$ABO$500,H$2,0),"Д")</f>
        <v>0</v>
      </c>
      <c r="I727" s="50">
        <f>SUMIFS(INDEX(Техника!$F$1:$ABM$500,I$2,0),Техника!$F$4:$ABM$4,"Часы",INDEX(Техника!$G$1:$ABN$500,I$2,0),$A$725,INDEX(Техника!$H$1:$ABO$500,I$2,0),"Д")</f>
        <v>0</v>
      </c>
      <c r="J727" s="50">
        <f>SUMIFS(INDEX(Техника!$F$1:$ABM$500,J$2,0),Техника!$F$4:$ABM$4,"Часы",INDEX(Техника!$G$1:$ABN$500,J$2,0),$A$725,INDEX(Техника!$H$1:$ABO$500,J$2,0),"Д")</f>
        <v>0</v>
      </c>
      <c r="K727" s="50">
        <f>SUMIFS(INDEX(Техника!$F$1:$ABM$500,K$2,0),Техника!$F$4:$ABM$4,"Часы",INDEX(Техника!$G$1:$ABN$500,K$2,0),$A$725,INDEX(Техника!$H$1:$ABO$500,K$2,0),"Д")</f>
        <v>0</v>
      </c>
      <c r="L727" s="50">
        <f>SUMIFS(INDEX(Техника!$F$1:$ABM$500,L$2,0),Техника!$F$4:$ABM$4,"Часы",INDEX(Техника!$G$1:$ABN$500,L$2,0),$A$725,INDEX(Техника!$H$1:$ABO$500,L$2,0),"Д")</f>
        <v>0</v>
      </c>
      <c r="M727" s="50">
        <f>SUMIFS(INDEX(Техника!$F$1:$ABM$500,M$2,0),Техника!$F$4:$ABM$4,"Часы",INDEX(Техника!$G$1:$ABN$500,M$2,0),$A$725,INDEX(Техника!$H$1:$ABO$500,M$2,0),"Д")</f>
        <v>0</v>
      </c>
      <c r="N727" s="50">
        <f>SUMIFS(INDEX(Техника!$F$1:$ABM$500,N$2,0),Техника!$F$4:$ABM$4,"Часы",INDEX(Техника!$G$1:$ABN$500,N$2,0),$A$725,INDEX(Техника!$H$1:$ABO$500,N$2,0),"Д")</f>
        <v>0</v>
      </c>
      <c r="O727" s="50">
        <f>SUMIFS(INDEX(Техника!$F$1:$ABM$500,O$2,0),Техника!$F$4:$ABM$4,"Часы",INDEX(Техника!$G$1:$ABN$500,O$2,0),$A$725,INDEX(Техника!$H$1:$ABO$500,O$2,0),"Д")</f>
        <v>0</v>
      </c>
      <c r="P727" s="50">
        <f>SUMIFS(INDEX(Техника!$F$1:$ABM$500,P$2,0),Техника!$F$4:$ABM$4,"Часы",INDEX(Техника!$G$1:$ABN$500,P$2,0),$A$725,INDEX(Техника!$H$1:$ABO$500,P$2,0),"Д")</f>
        <v>0</v>
      </c>
      <c r="Q727" s="50">
        <f>SUMIFS(INDEX(Техника!$F$1:$ABM$500,Q$2,0),Техника!$F$4:$ABM$4,"Часы",INDEX(Техника!$G$1:$ABN$500,Q$2,0),$A$725,INDEX(Техника!$H$1:$ABO$500,Q$2,0),"Д")</f>
        <v>0</v>
      </c>
      <c r="R727" s="50">
        <f>SUMIFS(INDEX(Техника!$F$1:$ABM$500,R$2,0),Техника!$F$4:$ABM$4,"Часы",INDEX(Техника!$G$1:$ABN$500,R$2,0),$A$725,INDEX(Техника!$H$1:$ABO$500,R$2,0),"Д")</f>
        <v>0</v>
      </c>
      <c r="S727" s="50">
        <f>SUMIFS(INDEX(Техника!$F$1:$ABM$500,S$2,0),Техника!$F$4:$ABM$4,"Часы",INDEX(Техника!$G$1:$ABN$500,S$2,0),$A$725,INDEX(Техника!$H$1:$ABO$500,S$2,0),"Д")</f>
        <v>0</v>
      </c>
      <c r="T727" s="50">
        <f>SUMIFS(INDEX(Техника!$F$1:$ABM$500,T$2,0),Техника!$F$4:$ABM$4,"Часы",INDEX(Техника!$G$1:$ABN$500,T$2,0),$A$725,INDEX(Техника!$H$1:$ABO$500,T$2,0),"Д")</f>
        <v>0</v>
      </c>
      <c r="U727" s="50">
        <f>SUMIFS(INDEX(Техника!$F$1:$ABM$500,U$2,0),Техника!$F$4:$ABM$4,"Часы",INDEX(Техника!$G$1:$ABN$500,U$2,0),$A$725,INDEX(Техника!$H$1:$ABO$500,U$2,0),"Д")</f>
        <v>0</v>
      </c>
      <c r="V727" s="50">
        <f>SUMIFS(INDEX(Техника!$F$1:$ABM$500,V$2,0),Техника!$F$4:$ABM$4,"Часы",INDEX(Техника!$G$1:$ABN$500,V$2,0),$A$725,INDEX(Техника!$H$1:$ABO$500,V$2,0),"Д")</f>
        <v>0</v>
      </c>
      <c r="W727" s="50">
        <f>SUMIFS(INDEX(Техника!$F$1:$ABM$500,W$2,0),Техника!$F$4:$ABM$4,"Часы",INDEX(Техника!$G$1:$ABN$500,W$2,0),$A$725,INDEX(Техника!$H$1:$ABO$500,W$2,0),"Д")</f>
        <v>0</v>
      </c>
      <c r="X727" s="50">
        <f>SUMIFS(INDEX(Техника!$F$1:$ABM$500,X$2,0),Техника!$F$4:$ABM$4,"Часы",INDEX(Техника!$G$1:$ABN$500,X$2,0),$A$725,INDEX(Техника!$H$1:$ABO$500,X$2,0),"Д")</f>
        <v>0</v>
      </c>
      <c r="Y727" s="50">
        <f>SUMIFS(INDEX(Техника!$F$1:$ABM$500,Y$2,0),Техника!$F$4:$ABM$4,"Часы",INDEX(Техника!$G$1:$ABN$500,Y$2,0),$A$725,INDEX(Техника!$H$1:$ABO$500,Y$2,0),"Д")</f>
        <v>0</v>
      </c>
      <c r="Z727" s="50">
        <f>SUMIFS(INDEX(Техника!$F$1:$ABM$500,Z$2,0),Техника!$F$4:$ABM$4,"Часы",INDEX(Техника!$G$1:$ABN$500,Z$2,0),$A$725,INDEX(Техника!$H$1:$ABO$500,Z$2,0),"Д")</f>
        <v>0</v>
      </c>
      <c r="AA727" s="50">
        <f>SUMIFS(INDEX(Техника!$F$1:$ABM$500,AA$2,0),Техника!$F$4:$ABM$4,"Часы",INDEX(Техника!$G$1:$ABN$500,AA$2,0),$A$725,INDEX(Техника!$H$1:$ABO$500,AA$2,0),"Д")</f>
        <v>0</v>
      </c>
      <c r="AB727" s="50">
        <f>SUMIFS(INDEX(Техника!$F$1:$ABM$500,AB$2,0),Техника!$F$4:$ABM$4,"Часы",INDEX(Техника!$G$1:$ABN$500,AB$2,0),$A$725,INDEX(Техника!$H$1:$ABO$500,AB$2,0),"Д")</f>
        <v>0</v>
      </c>
    </row>
    <row r="728" spans="1:28" hidden="1" outlineLevel="1" x14ac:dyDescent="0.3">
      <c r="A728" s="33" t="s">
        <v>276</v>
      </c>
      <c r="B728" s="34" t="s">
        <v>277</v>
      </c>
      <c r="C728" s="50">
        <f>SUMIFS(INDEX(Техника!$F$1:$ABM$500,C$2,0),Техника!$F$4:$ABM$4,"Часы",INDEX(Техника!$G$1:$ABN$500,C$2,0),$A$725,INDEX(Техника!$H$1:$ABO$500,C$2,0),"П")</f>
        <v>0</v>
      </c>
      <c r="D728" s="50">
        <f>SUMIFS(INDEX(Техника!$F$1:$ABM$500,D$2,0),Техника!$F$4:$ABM$4,"Часы",INDEX(Техника!$G$1:$ABN$500,D$2,0),$A$725,INDEX(Техника!$H$1:$ABO$500,D$2,0),"П")</f>
        <v>0</v>
      </c>
      <c r="E728" s="50">
        <f>SUMIFS(INDEX(Техника!$F$1:$ABM$500,E$2,0),Техника!$F$4:$ABM$4,"Часы",INDEX(Техника!$G$1:$ABN$500,E$2,0),$A$725,INDEX(Техника!$H$1:$ABO$500,E$2,0),"П")</f>
        <v>0</v>
      </c>
      <c r="F728" s="50">
        <f>SUMIFS(INDEX(Техника!$F$1:$ABM$500,F$2,0),Техника!$F$4:$ABM$4,"Часы",INDEX(Техника!$G$1:$ABN$500,F$2,0),$A$725,INDEX(Техника!$H$1:$ABO$500,F$2,0),"П")</f>
        <v>0</v>
      </c>
      <c r="G728" s="50">
        <f>SUMIFS(INDEX(Техника!$F$1:$ABM$500,G$2,0),Техника!$F$4:$ABM$4,"Часы",INDEX(Техника!$G$1:$ABN$500,G$2,0),$A$725,INDEX(Техника!$H$1:$ABO$500,G$2,0),"П")</f>
        <v>0</v>
      </c>
      <c r="H728" s="50">
        <f>SUMIFS(INDEX(Техника!$F$1:$ABM$500,H$2,0),Техника!$F$4:$ABM$4,"Часы",INDEX(Техника!$G$1:$ABN$500,H$2,0),$A$725,INDEX(Техника!$H$1:$ABO$500,H$2,0),"П")</f>
        <v>0</v>
      </c>
      <c r="I728" s="50">
        <f>SUMIFS(INDEX(Техника!$F$1:$ABM$500,I$2,0),Техника!$F$4:$ABM$4,"Часы",INDEX(Техника!$G$1:$ABN$500,I$2,0),$A$725,INDEX(Техника!$H$1:$ABO$500,I$2,0),"П")</f>
        <v>0</v>
      </c>
      <c r="J728" s="50">
        <f>SUMIFS(INDEX(Техника!$F$1:$ABM$500,J$2,0),Техника!$F$4:$ABM$4,"Часы",INDEX(Техника!$G$1:$ABN$500,J$2,0),$A$725,INDEX(Техника!$H$1:$ABO$500,J$2,0),"П")</f>
        <v>0</v>
      </c>
      <c r="K728" s="50">
        <f>SUMIFS(INDEX(Техника!$F$1:$ABM$500,K$2,0),Техника!$F$4:$ABM$4,"Часы",INDEX(Техника!$G$1:$ABN$500,K$2,0),$A$725,INDEX(Техника!$H$1:$ABO$500,K$2,0),"П")</f>
        <v>0</v>
      </c>
      <c r="L728" s="50">
        <f>SUMIFS(INDEX(Техника!$F$1:$ABM$500,L$2,0),Техника!$F$4:$ABM$4,"Часы",INDEX(Техника!$G$1:$ABN$500,L$2,0),$A$725,INDEX(Техника!$H$1:$ABO$500,L$2,0),"П")</f>
        <v>0</v>
      </c>
      <c r="M728" s="50">
        <f>SUMIFS(INDEX(Техника!$F$1:$ABM$500,M$2,0),Техника!$F$4:$ABM$4,"Часы",INDEX(Техника!$G$1:$ABN$500,M$2,0),$A$725,INDEX(Техника!$H$1:$ABO$500,M$2,0),"П")</f>
        <v>0</v>
      </c>
      <c r="N728" s="50">
        <f>SUMIFS(INDEX(Техника!$F$1:$ABM$500,N$2,0),Техника!$F$4:$ABM$4,"Часы",INDEX(Техника!$G$1:$ABN$500,N$2,0),$A$725,INDEX(Техника!$H$1:$ABO$500,N$2,0),"П")</f>
        <v>0</v>
      </c>
      <c r="O728" s="50">
        <f>SUMIFS(INDEX(Техника!$F$1:$ABM$500,O$2,0),Техника!$F$4:$ABM$4,"Часы",INDEX(Техника!$G$1:$ABN$500,O$2,0),$A$725,INDEX(Техника!$H$1:$ABO$500,O$2,0),"П")</f>
        <v>0</v>
      </c>
      <c r="P728" s="50">
        <f>SUMIFS(INDEX(Техника!$F$1:$ABM$500,P$2,0),Техника!$F$4:$ABM$4,"Часы",INDEX(Техника!$G$1:$ABN$500,P$2,0),$A$725,INDEX(Техника!$H$1:$ABO$500,P$2,0),"П")</f>
        <v>0</v>
      </c>
      <c r="Q728" s="50">
        <f>SUMIFS(INDEX(Техника!$F$1:$ABM$500,Q$2,0),Техника!$F$4:$ABM$4,"Часы",INDEX(Техника!$G$1:$ABN$500,Q$2,0),$A$725,INDEX(Техника!$H$1:$ABO$500,Q$2,0),"П")</f>
        <v>0</v>
      </c>
      <c r="R728" s="50">
        <f>SUMIFS(INDEX(Техника!$F$1:$ABM$500,R$2,0),Техника!$F$4:$ABM$4,"Часы",INDEX(Техника!$G$1:$ABN$500,R$2,0),$A$725,INDEX(Техника!$H$1:$ABO$500,R$2,0),"П")</f>
        <v>0</v>
      </c>
      <c r="S728" s="50">
        <f>SUMIFS(INDEX(Техника!$F$1:$ABM$500,S$2,0),Техника!$F$4:$ABM$4,"Часы",INDEX(Техника!$G$1:$ABN$500,S$2,0),$A$725,INDEX(Техника!$H$1:$ABO$500,S$2,0),"П")</f>
        <v>0</v>
      </c>
      <c r="T728" s="50">
        <f>SUMIFS(INDEX(Техника!$F$1:$ABM$500,T$2,0),Техника!$F$4:$ABM$4,"Часы",INDEX(Техника!$G$1:$ABN$500,T$2,0),$A$725,INDEX(Техника!$H$1:$ABO$500,T$2,0),"П")</f>
        <v>0</v>
      </c>
      <c r="U728" s="50">
        <f>SUMIFS(INDEX(Техника!$F$1:$ABM$500,U$2,0),Техника!$F$4:$ABM$4,"Часы",INDEX(Техника!$G$1:$ABN$500,U$2,0),$A$725,INDEX(Техника!$H$1:$ABO$500,U$2,0),"П")</f>
        <v>0</v>
      </c>
      <c r="V728" s="50">
        <f>SUMIFS(INDEX(Техника!$F$1:$ABM$500,V$2,0),Техника!$F$4:$ABM$4,"Часы",INDEX(Техника!$G$1:$ABN$500,V$2,0),$A$725,INDEX(Техника!$H$1:$ABO$500,V$2,0),"П")</f>
        <v>0</v>
      </c>
      <c r="W728" s="50">
        <f>SUMIFS(INDEX(Техника!$F$1:$ABM$500,W$2,0),Техника!$F$4:$ABM$4,"Часы",INDEX(Техника!$G$1:$ABN$500,W$2,0),$A$725,INDEX(Техника!$H$1:$ABO$500,W$2,0),"П")</f>
        <v>0</v>
      </c>
      <c r="X728" s="50">
        <f>SUMIFS(INDEX(Техника!$F$1:$ABM$500,X$2,0),Техника!$F$4:$ABM$4,"Часы",INDEX(Техника!$G$1:$ABN$500,X$2,0),$A$725,INDEX(Техника!$H$1:$ABO$500,X$2,0),"П")</f>
        <v>0</v>
      </c>
      <c r="Y728" s="50">
        <f>SUMIFS(INDEX(Техника!$F$1:$ABM$500,Y$2,0),Техника!$F$4:$ABM$4,"Часы",INDEX(Техника!$G$1:$ABN$500,Y$2,0),$A$725,INDEX(Техника!$H$1:$ABO$500,Y$2,0),"П")</f>
        <v>0</v>
      </c>
      <c r="Z728" s="50">
        <f>SUMIFS(INDEX(Техника!$F$1:$ABM$500,Z$2,0),Техника!$F$4:$ABM$4,"Часы",INDEX(Техника!$G$1:$ABN$500,Z$2,0),$A$725,INDEX(Техника!$H$1:$ABO$500,Z$2,0),"П")</f>
        <v>0</v>
      </c>
      <c r="AA728" s="50">
        <f>SUMIFS(INDEX(Техника!$F$1:$ABM$500,AA$2,0),Техника!$F$4:$ABM$4,"Часы",INDEX(Техника!$G$1:$ABN$500,AA$2,0),$A$725,INDEX(Техника!$H$1:$ABO$500,AA$2,0),"П")</f>
        <v>0</v>
      </c>
      <c r="AB728" s="50">
        <f>SUMIFS(INDEX(Техника!$F$1:$ABM$500,AB$2,0),Техника!$F$4:$ABM$4,"Часы",INDEX(Техника!$G$1:$ABN$500,AB$2,0),$A$725,INDEX(Техника!$H$1:$ABO$500,AB$2,0),"П")</f>
        <v>0</v>
      </c>
    </row>
    <row r="729" spans="1:28" hidden="1" outlineLevel="1" x14ac:dyDescent="0.3">
      <c r="A729" s="33" t="s">
        <v>243</v>
      </c>
      <c r="B729" s="34" t="s">
        <v>278</v>
      </c>
      <c r="C729" s="50">
        <f>SUMIFS(INDEX(Техника!$F$1:$ABM$500,C$2,0),Техника!$F$4:$ABM$4,"Часы",INDEX(Техника!$G$1:$ABN$500,C$2,0),$A$725,INDEX(Техника!$H$1:$ABO$500,C$2,0),"Л")</f>
        <v>0</v>
      </c>
      <c r="D729" s="50">
        <f>SUMIFS(INDEX(Техника!$F$1:$ABM$500,D$2,0),Техника!$F$4:$ABM$4,"Часы",INDEX(Техника!$G$1:$ABN$500,D$2,0),$A$725,INDEX(Техника!$H$1:$ABO$500,D$2,0),"Л")</f>
        <v>0</v>
      </c>
      <c r="E729" s="50">
        <f>SUMIFS(INDEX(Техника!$F$1:$ABM$500,E$2,0),Техника!$F$4:$ABM$4,"Часы",INDEX(Техника!$G$1:$ABN$500,E$2,0),$A$725,INDEX(Техника!$H$1:$ABO$500,E$2,0),"Л")</f>
        <v>0</v>
      </c>
      <c r="F729" s="50">
        <f>SUMIFS(INDEX(Техника!$F$1:$ABM$500,F$2,0),Техника!$F$4:$ABM$4,"Часы",INDEX(Техника!$G$1:$ABN$500,F$2,0),$A$725,INDEX(Техника!$H$1:$ABO$500,F$2,0),"Л")</f>
        <v>0</v>
      </c>
      <c r="G729" s="50">
        <f>SUMIFS(INDEX(Техника!$F$1:$ABM$500,G$2,0),Техника!$F$4:$ABM$4,"Часы",INDEX(Техника!$G$1:$ABN$500,G$2,0),$A$725,INDEX(Техника!$H$1:$ABO$500,G$2,0),"Л")</f>
        <v>0</v>
      </c>
      <c r="H729" s="50">
        <f>SUMIFS(INDEX(Техника!$F$1:$ABM$500,H$2,0),Техника!$F$4:$ABM$4,"Часы",INDEX(Техника!$G$1:$ABN$500,H$2,0),$A$725,INDEX(Техника!$H$1:$ABO$500,H$2,0),"Л")</f>
        <v>0</v>
      </c>
      <c r="I729" s="50">
        <f>SUMIFS(INDEX(Техника!$F$1:$ABM$500,I$2,0),Техника!$F$4:$ABM$4,"Часы",INDEX(Техника!$G$1:$ABN$500,I$2,0),$A$725,INDEX(Техника!$H$1:$ABO$500,I$2,0),"Л")</f>
        <v>0</v>
      </c>
      <c r="J729" s="50">
        <f>SUMIFS(INDEX(Техника!$F$1:$ABM$500,J$2,0),Техника!$F$4:$ABM$4,"Часы",INDEX(Техника!$G$1:$ABN$500,J$2,0),$A$725,INDEX(Техника!$H$1:$ABO$500,J$2,0),"Л")</f>
        <v>0</v>
      </c>
      <c r="K729" s="50">
        <f>SUMIFS(INDEX(Техника!$F$1:$ABM$500,K$2,0),Техника!$F$4:$ABM$4,"Часы",INDEX(Техника!$G$1:$ABN$500,K$2,0),$A$725,INDEX(Техника!$H$1:$ABO$500,K$2,0),"Л")</f>
        <v>0</v>
      </c>
      <c r="L729" s="50">
        <f>SUMIFS(INDEX(Техника!$F$1:$ABM$500,L$2,0),Техника!$F$4:$ABM$4,"Часы",INDEX(Техника!$G$1:$ABN$500,L$2,0),$A$725,INDEX(Техника!$H$1:$ABO$500,L$2,0),"Л")</f>
        <v>0</v>
      </c>
      <c r="M729" s="50">
        <f>SUMIFS(INDEX(Техника!$F$1:$ABM$500,M$2,0),Техника!$F$4:$ABM$4,"Часы",INDEX(Техника!$G$1:$ABN$500,M$2,0),$A$725,INDEX(Техника!$H$1:$ABO$500,M$2,0),"Л")</f>
        <v>0</v>
      </c>
      <c r="N729" s="50">
        <f>SUMIFS(INDEX(Техника!$F$1:$ABM$500,N$2,0),Техника!$F$4:$ABM$4,"Часы",INDEX(Техника!$G$1:$ABN$500,N$2,0),$A$725,INDEX(Техника!$H$1:$ABO$500,N$2,0),"Л")</f>
        <v>0</v>
      </c>
      <c r="O729" s="50">
        <f>SUMIFS(INDEX(Техника!$F$1:$ABM$500,O$2,0),Техника!$F$4:$ABM$4,"Часы",INDEX(Техника!$G$1:$ABN$500,O$2,0),$A$725,INDEX(Техника!$H$1:$ABO$500,O$2,0),"Л")</f>
        <v>0</v>
      </c>
      <c r="P729" s="50">
        <f>SUMIFS(INDEX(Техника!$F$1:$ABM$500,P$2,0),Техника!$F$4:$ABM$4,"Часы",INDEX(Техника!$G$1:$ABN$500,P$2,0),$A$725,INDEX(Техника!$H$1:$ABO$500,P$2,0),"Л")</f>
        <v>0</v>
      </c>
      <c r="Q729" s="50">
        <f>SUMIFS(INDEX(Техника!$F$1:$ABM$500,Q$2,0),Техника!$F$4:$ABM$4,"Часы",INDEX(Техника!$G$1:$ABN$500,Q$2,0),$A$725,INDEX(Техника!$H$1:$ABO$500,Q$2,0),"Л")</f>
        <v>0</v>
      </c>
      <c r="R729" s="50">
        <f>SUMIFS(INDEX(Техника!$F$1:$ABM$500,R$2,0),Техника!$F$4:$ABM$4,"Часы",INDEX(Техника!$G$1:$ABN$500,R$2,0),$A$725,INDEX(Техника!$H$1:$ABO$500,R$2,0),"Л")</f>
        <v>0</v>
      </c>
      <c r="S729" s="50">
        <f>SUMIFS(INDEX(Техника!$F$1:$ABM$500,S$2,0),Техника!$F$4:$ABM$4,"Часы",INDEX(Техника!$G$1:$ABN$500,S$2,0),$A$725,INDEX(Техника!$H$1:$ABO$500,S$2,0),"Л")</f>
        <v>0</v>
      </c>
      <c r="T729" s="50">
        <f>SUMIFS(INDEX(Техника!$F$1:$ABM$500,T$2,0),Техника!$F$4:$ABM$4,"Часы",INDEX(Техника!$G$1:$ABN$500,T$2,0),$A$725,INDEX(Техника!$H$1:$ABO$500,T$2,0),"Л")</f>
        <v>0</v>
      </c>
      <c r="U729" s="50">
        <f>SUMIFS(INDEX(Техника!$F$1:$ABM$500,U$2,0),Техника!$F$4:$ABM$4,"Часы",INDEX(Техника!$G$1:$ABN$500,U$2,0),$A$725,INDEX(Техника!$H$1:$ABO$500,U$2,0),"Л")</f>
        <v>0</v>
      </c>
      <c r="V729" s="50">
        <f>SUMIFS(INDEX(Техника!$F$1:$ABM$500,V$2,0),Техника!$F$4:$ABM$4,"Часы",INDEX(Техника!$G$1:$ABN$500,V$2,0),$A$725,INDEX(Техника!$H$1:$ABO$500,V$2,0),"Л")</f>
        <v>0</v>
      </c>
      <c r="W729" s="50">
        <f>SUMIFS(INDEX(Техника!$F$1:$ABM$500,W$2,0),Техника!$F$4:$ABM$4,"Часы",INDEX(Техника!$G$1:$ABN$500,W$2,0),$A$725,INDEX(Техника!$H$1:$ABO$500,W$2,0),"Л")</f>
        <v>0</v>
      </c>
      <c r="X729" s="50">
        <f>SUMIFS(INDEX(Техника!$F$1:$ABM$500,X$2,0),Техника!$F$4:$ABM$4,"Часы",INDEX(Техника!$G$1:$ABN$500,X$2,0),$A$725,INDEX(Техника!$H$1:$ABO$500,X$2,0),"Л")</f>
        <v>0</v>
      </c>
      <c r="Y729" s="50">
        <f>SUMIFS(INDEX(Техника!$F$1:$ABM$500,Y$2,0),Техника!$F$4:$ABM$4,"Часы",INDEX(Техника!$G$1:$ABN$500,Y$2,0),$A$725,INDEX(Техника!$H$1:$ABO$500,Y$2,0),"Л")</f>
        <v>0</v>
      </c>
      <c r="Z729" s="50">
        <f>SUMIFS(INDEX(Техника!$F$1:$ABM$500,Z$2,0),Техника!$F$4:$ABM$4,"Часы",INDEX(Техника!$G$1:$ABN$500,Z$2,0),$A$725,INDEX(Техника!$H$1:$ABO$500,Z$2,0),"Л")</f>
        <v>0</v>
      </c>
      <c r="AA729" s="50">
        <f>SUMIFS(INDEX(Техника!$F$1:$ABM$500,AA$2,0),Техника!$F$4:$ABM$4,"Часы",INDEX(Техника!$G$1:$ABN$500,AA$2,0),$A$725,INDEX(Техника!$H$1:$ABO$500,AA$2,0),"Л")</f>
        <v>0</v>
      </c>
      <c r="AB729" s="50">
        <f>SUMIFS(INDEX(Техника!$F$1:$ABM$500,AB$2,0),Техника!$F$4:$ABM$4,"Часы",INDEX(Техника!$G$1:$ABN$500,AB$2,0),$A$725,INDEX(Техника!$H$1:$ABO$500,AB$2,0),"Л")</f>
        <v>0</v>
      </c>
    </row>
    <row r="730" spans="1:28" hidden="1" outlineLevel="1" x14ac:dyDescent="0.3">
      <c r="A730" s="33" t="s">
        <v>245</v>
      </c>
      <c r="B730" s="34" t="s">
        <v>279</v>
      </c>
      <c r="C730" s="50">
        <f>SUMIFS(INDEX(Техника!$F$1:$ABM$500,C$2,0),Техника!$F$4:$ABM$4,"Часы",INDEX(Техника!$G$1:$ABN$500,C$2,0),$A$725,INDEX(Техника!$H$1:$ABO$500,C$2,0),"З")</f>
        <v>0</v>
      </c>
      <c r="D730" s="50">
        <f>SUMIFS(INDEX(Техника!$F$1:$ABM$500,D$2,0),Техника!$F$4:$ABM$4,"Часы",INDEX(Техника!$G$1:$ABN$500,D$2,0),$A$725,INDEX(Техника!$H$1:$ABO$500,D$2,0),"З")</f>
        <v>0</v>
      </c>
      <c r="E730" s="50">
        <f>SUMIFS(INDEX(Техника!$F$1:$ABM$500,E$2,0),Техника!$F$4:$ABM$4,"Часы",INDEX(Техника!$G$1:$ABN$500,E$2,0),$A$725,INDEX(Техника!$H$1:$ABO$500,E$2,0),"З")</f>
        <v>0</v>
      </c>
      <c r="F730" s="50">
        <f>SUMIFS(INDEX(Техника!$F$1:$ABM$500,F$2,0),Техника!$F$4:$ABM$4,"Часы",INDEX(Техника!$G$1:$ABN$500,F$2,0),$A$725,INDEX(Техника!$H$1:$ABO$500,F$2,0),"З")</f>
        <v>0</v>
      </c>
      <c r="G730" s="50">
        <f>SUMIFS(INDEX(Техника!$F$1:$ABM$500,G$2,0),Техника!$F$4:$ABM$4,"Часы",INDEX(Техника!$G$1:$ABN$500,G$2,0),$A$725,INDEX(Техника!$H$1:$ABO$500,G$2,0),"З")</f>
        <v>0</v>
      </c>
      <c r="H730" s="50">
        <f>SUMIFS(INDEX(Техника!$F$1:$ABM$500,H$2,0),Техника!$F$4:$ABM$4,"Часы",INDEX(Техника!$G$1:$ABN$500,H$2,0),$A$725,INDEX(Техника!$H$1:$ABO$500,H$2,0),"З")</f>
        <v>0</v>
      </c>
      <c r="I730" s="50">
        <f>SUMIFS(INDEX(Техника!$F$1:$ABM$500,I$2,0),Техника!$F$4:$ABM$4,"Часы",INDEX(Техника!$G$1:$ABN$500,I$2,0),$A$725,INDEX(Техника!$H$1:$ABO$500,I$2,0),"З")</f>
        <v>0</v>
      </c>
      <c r="J730" s="50">
        <f>SUMIFS(INDEX(Техника!$F$1:$ABM$500,J$2,0),Техника!$F$4:$ABM$4,"Часы",INDEX(Техника!$G$1:$ABN$500,J$2,0),$A$725,INDEX(Техника!$H$1:$ABO$500,J$2,0),"З")</f>
        <v>0</v>
      </c>
      <c r="K730" s="50">
        <f>SUMIFS(INDEX(Техника!$F$1:$ABM$500,K$2,0),Техника!$F$4:$ABM$4,"Часы",INDEX(Техника!$G$1:$ABN$500,K$2,0),$A$725,INDEX(Техника!$H$1:$ABO$500,K$2,0),"З")</f>
        <v>0</v>
      </c>
      <c r="L730" s="50">
        <f>SUMIFS(INDEX(Техника!$F$1:$ABM$500,L$2,0),Техника!$F$4:$ABM$4,"Часы",INDEX(Техника!$G$1:$ABN$500,L$2,0),$A$725,INDEX(Техника!$H$1:$ABO$500,L$2,0),"З")</f>
        <v>0</v>
      </c>
      <c r="M730" s="50">
        <f>SUMIFS(INDEX(Техника!$F$1:$ABM$500,M$2,0),Техника!$F$4:$ABM$4,"Часы",INDEX(Техника!$G$1:$ABN$500,M$2,0),$A$725,INDEX(Техника!$H$1:$ABO$500,M$2,0),"З")</f>
        <v>0</v>
      </c>
      <c r="N730" s="50">
        <f>SUMIFS(INDEX(Техника!$F$1:$ABM$500,N$2,0),Техника!$F$4:$ABM$4,"Часы",INDEX(Техника!$G$1:$ABN$500,N$2,0),$A$725,INDEX(Техника!$H$1:$ABO$500,N$2,0),"З")</f>
        <v>0</v>
      </c>
      <c r="O730" s="50">
        <f>SUMIFS(INDEX(Техника!$F$1:$ABM$500,O$2,0),Техника!$F$4:$ABM$4,"Часы",INDEX(Техника!$G$1:$ABN$500,O$2,0),$A$725,INDEX(Техника!$H$1:$ABO$500,O$2,0),"З")</f>
        <v>0</v>
      </c>
      <c r="P730" s="50">
        <f>SUMIFS(INDEX(Техника!$F$1:$ABM$500,P$2,0),Техника!$F$4:$ABM$4,"Часы",INDEX(Техника!$G$1:$ABN$500,P$2,0),$A$725,INDEX(Техника!$H$1:$ABO$500,P$2,0),"З")</f>
        <v>0</v>
      </c>
      <c r="Q730" s="50">
        <f>SUMIFS(INDEX(Техника!$F$1:$ABM$500,Q$2,0),Техника!$F$4:$ABM$4,"Часы",INDEX(Техника!$G$1:$ABN$500,Q$2,0),$A$725,INDEX(Техника!$H$1:$ABO$500,Q$2,0),"З")</f>
        <v>0</v>
      </c>
      <c r="R730" s="50">
        <f>SUMIFS(INDEX(Техника!$F$1:$ABM$500,R$2,0),Техника!$F$4:$ABM$4,"Часы",INDEX(Техника!$G$1:$ABN$500,R$2,0),$A$725,INDEX(Техника!$H$1:$ABO$500,R$2,0),"З")</f>
        <v>0</v>
      </c>
      <c r="S730" s="50">
        <f>SUMIFS(INDEX(Техника!$F$1:$ABM$500,S$2,0),Техника!$F$4:$ABM$4,"Часы",INDEX(Техника!$G$1:$ABN$500,S$2,0),$A$725,INDEX(Техника!$H$1:$ABO$500,S$2,0),"З")</f>
        <v>0</v>
      </c>
      <c r="T730" s="50">
        <f>SUMIFS(INDEX(Техника!$F$1:$ABM$500,T$2,0),Техника!$F$4:$ABM$4,"Часы",INDEX(Техника!$G$1:$ABN$500,T$2,0),$A$725,INDEX(Техника!$H$1:$ABO$500,T$2,0),"З")</f>
        <v>0</v>
      </c>
      <c r="U730" s="50">
        <f>SUMIFS(INDEX(Техника!$F$1:$ABM$500,U$2,0),Техника!$F$4:$ABM$4,"Часы",INDEX(Техника!$G$1:$ABN$500,U$2,0),$A$725,INDEX(Техника!$H$1:$ABO$500,U$2,0),"З")</f>
        <v>0</v>
      </c>
      <c r="V730" s="50">
        <f>SUMIFS(INDEX(Техника!$F$1:$ABM$500,V$2,0),Техника!$F$4:$ABM$4,"Часы",INDEX(Техника!$G$1:$ABN$500,V$2,0),$A$725,INDEX(Техника!$H$1:$ABO$500,V$2,0),"З")</f>
        <v>0</v>
      </c>
      <c r="W730" s="50">
        <f>SUMIFS(INDEX(Техника!$F$1:$ABM$500,W$2,0),Техника!$F$4:$ABM$4,"Часы",INDEX(Техника!$G$1:$ABN$500,W$2,0),$A$725,INDEX(Техника!$H$1:$ABO$500,W$2,0),"З")</f>
        <v>0</v>
      </c>
      <c r="X730" s="50">
        <f>SUMIFS(INDEX(Техника!$F$1:$ABM$500,X$2,0),Техника!$F$4:$ABM$4,"Часы",INDEX(Техника!$G$1:$ABN$500,X$2,0),$A$725,INDEX(Техника!$H$1:$ABO$500,X$2,0),"З")</f>
        <v>0</v>
      </c>
      <c r="Y730" s="50">
        <f>SUMIFS(INDEX(Техника!$F$1:$ABM$500,Y$2,0),Техника!$F$4:$ABM$4,"Часы",INDEX(Техника!$G$1:$ABN$500,Y$2,0),$A$725,INDEX(Техника!$H$1:$ABO$500,Y$2,0),"З")</f>
        <v>0</v>
      </c>
      <c r="Z730" s="50">
        <f>SUMIFS(INDEX(Техника!$F$1:$ABM$500,Z$2,0),Техника!$F$4:$ABM$4,"Часы",INDEX(Техника!$G$1:$ABN$500,Z$2,0),$A$725,INDEX(Техника!$H$1:$ABO$500,Z$2,0),"З")</f>
        <v>0</v>
      </c>
      <c r="AA730" s="50">
        <f>SUMIFS(INDEX(Техника!$F$1:$ABM$500,AA$2,0),Техника!$F$4:$ABM$4,"Часы",INDEX(Техника!$G$1:$ABN$500,AA$2,0),$A$725,INDEX(Техника!$H$1:$ABO$500,AA$2,0),"З")</f>
        <v>0</v>
      </c>
      <c r="AB730" s="50">
        <f>SUMIFS(INDEX(Техника!$F$1:$ABM$500,AB$2,0),Техника!$F$4:$ABM$4,"Часы",INDEX(Техника!$G$1:$ABN$500,AB$2,0),$A$725,INDEX(Техника!$H$1:$ABO$500,AB$2,0),"З")</f>
        <v>0</v>
      </c>
    </row>
    <row r="731" spans="1:28" ht="7.95" customHeight="1" x14ac:dyDescent="0.3">
      <c r="A731" s="38"/>
      <c r="B731" s="39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</row>
    <row r="732" spans="1:28" ht="25.05" customHeight="1" collapsed="1" x14ac:dyDescent="0.3">
      <c r="A732" s="32">
        <v>105</v>
      </c>
      <c r="B732" s="32" t="s">
        <v>106</v>
      </c>
      <c r="C732" s="49">
        <f>SUM(C733:C737)</f>
        <v>0</v>
      </c>
      <c r="D732" s="49">
        <f>SUM(D733:D737)</f>
        <v>0</v>
      </c>
      <c r="E732" s="49">
        <f>SUM(E733:E737)</f>
        <v>0</v>
      </c>
      <c r="F732" s="49">
        <f>SUM(F733:F737)</f>
        <v>0</v>
      </c>
      <c r="G732" s="49">
        <f>SUM(G733:G737)</f>
        <v>0</v>
      </c>
      <c r="H732" s="49">
        <f>SUM(H733:H737)</f>
        <v>0</v>
      </c>
      <c r="I732" s="49">
        <f>SUM(I733:I737)</f>
        <v>0</v>
      </c>
      <c r="J732" s="49">
        <f>SUM(J733:J737)</f>
        <v>0</v>
      </c>
      <c r="K732" s="49">
        <f>SUM(K733:K737)</f>
        <v>0</v>
      </c>
      <c r="L732" s="49">
        <f>SUM(L733:L737)</f>
        <v>0</v>
      </c>
      <c r="M732" s="49">
        <f>SUM(M733:M737)</f>
        <v>0</v>
      </c>
      <c r="N732" s="49">
        <f>SUM(N733:N737)</f>
        <v>0</v>
      </c>
      <c r="O732" s="49">
        <f>SUM(O733:O737)</f>
        <v>0</v>
      </c>
      <c r="P732" s="49">
        <f>SUM(P733:P737)</f>
        <v>0</v>
      </c>
      <c r="Q732" s="49">
        <f>SUM(Q733:Q737)</f>
        <v>0</v>
      </c>
      <c r="R732" s="49">
        <f>SUM(R733:R737)</f>
        <v>0</v>
      </c>
      <c r="S732" s="49">
        <f>SUM(S733:S737)</f>
        <v>0</v>
      </c>
      <c r="T732" s="49">
        <f>SUM(T733:T737)</f>
        <v>0</v>
      </c>
      <c r="U732" s="49">
        <f>SUM(U733:U737)</f>
        <v>0</v>
      </c>
      <c r="V732" s="49">
        <f>SUM(V733:V737)</f>
        <v>0</v>
      </c>
      <c r="W732" s="49">
        <f>SUM(W733:W737)</f>
        <v>0</v>
      </c>
      <c r="X732" s="49">
        <f>SUM(X733:X737)</f>
        <v>0</v>
      </c>
      <c r="Y732" s="49">
        <f>SUM(Y733:Y737)</f>
        <v>0</v>
      </c>
      <c r="Z732" s="49">
        <f>SUM(Z733:Z737)</f>
        <v>0</v>
      </c>
      <c r="AA732" s="49">
        <f>SUM(AA733:AA737)</f>
        <v>0</v>
      </c>
      <c r="AB732" s="49">
        <f>SUM(AB733:AB737)</f>
        <v>0</v>
      </c>
    </row>
    <row r="733" spans="1:28" hidden="1" outlineLevel="1" x14ac:dyDescent="0.3">
      <c r="A733" s="33" t="s">
        <v>246</v>
      </c>
      <c r="B733" s="34" t="s">
        <v>274</v>
      </c>
      <c r="C733" s="50">
        <f>SUMIFS(INDEX(Техника!$F$1:$ABM$500,C$2,0),Техника!$F$4:$ABM$4,"Часы",INDEX(Техника!$G$1:$ABN$500,C$2,0),$A$732,INDEX(Техника!$H$1:$ABO$500,C$2,0),"М")</f>
        <v>0</v>
      </c>
      <c r="D733" s="50">
        <f>SUMIFS(INDEX(Техника!$F$1:$ABM$500,D$2,0),Техника!$F$4:$ABM$4,"Часы",INDEX(Техника!$G$1:$ABN$500,D$2,0),$A$732,INDEX(Техника!$H$1:$ABO$500,D$2,0),"М")</f>
        <v>0</v>
      </c>
      <c r="E733" s="50">
        <f>SUMIFS(INDEX(Техника!$F$1:$ABM$500,E$2,0),Техника!$F$4:$ABM$4,"Часы",INDEX(Техника!$G$1:$ABN$500,E$2,0),$A$732,INDEX(Техника!$H$1:$ABO$500,E$2,0),"М")</f>
        <v>0</v>
      </c>
      <c r="F733" s="50">
        <f>SUMIFS(INDEX(Техника!$F$1:$ABM$500,F$2,0),Техника!$F$4:$ABM$4,"Часы",INDEX(Техника!$G$1:$ABN$500,F$2,0),$A$732,INDEX(Техника!$H$1:$ABO$500,F$2,0),"М")</f>
        <v>0</v>
      </c>
      <c r="G733" s="50">
        <f>SUMIFS(INDEX(Техника!$F$1:$ABM$500,G$2,0),Техника!$F$4:$ABM$4,"Часы",INDEX(Техника!$G$1:$ABN$500,G$2,0),$A$732,INDEX(Техника!$H$1:$ABO$500,G$2,0),"М")</f>
        <v>0</v>
      </c>
      <c r="H733" s="50">
        <f>SUMIFS(INDEX(Техника!$F$1:$ABM$500,H$2,0),Техника!$F$4:$ABM$4,"Часы",INDEX(Техника!$G$1:$ABN$500,H$2,0),$A$732,INDEX(Техника!$H$1:$ABO$500,H$2,0),"М")</f>
        <v>0</v>
      </c>
      <c r="I733" s="50">
        <f>SUMIFS(INDEX(Техника!$F$1:$ABM$500,I$2,0),Техника!$F$4:$ABM$4,"Часы",INDEX(Техника!$G$1:$ABN$500,I$2,0),$A$732,INDEX(Техника!$H$1:$ABO$500,I$2,0),"М")</f>
        <v>0</v>
      </c>
      <c r="J733" s="50">
        <f>SUMIFS(INDEX(Техника!$F$1:$ABM$500,J$2,0),Техника!$F$4:$ABM$4,"Часы",INDEX(Техника!$G$1:$ABN$500,J$2,0),$A$732,INDEX(Техника!$H$1:$ABO$500,J$2,0),"М")</f>
        <v>0</v>
      </c>
      <c r="K733" s="50">
        <f>SUMIFS(INDEX(Техника!$F$1:$ABM$500,K$2,0),Техника!$F$4:$ABM$4,"Часы",INDEX(Техника!$G$1:$ABN$500,K$2,0),$A$732,INDEX(Техника!$H$1:$ABO$500,K$2,0),"М")</f>
        <v>0</v>
      </c>
      <c r="L733" s="50">
        <f>SUMIFS(INDEX(Техника!$F$1:$ABM$500,L$2,0),Техника!$F$4:$ABM$4,"Часы",INDEX(Техника!$G$1:$ABN$500,L$2,0),$A$732,INDEX(Техника!$H$1:$ABO$500,L$2,0),"М")</f>
        <v>0</v>
      </c>
      <c r="M733" s="50">
        <f>SUMIFS(INDEX(Техника!$F$1:$ABM$500,M$2,0),Техника!$F$4:$ABM$4,"Часы",INDEX(Техника!$G$1:$ABN$500,M$2,0),$A$732,INDEX(Техника!$H$1:$ABO$500,M$2,0),"М")</f>
        <v>0</v>
      </c>
      <c r="N733" s="50">
        <f>SUMIFS(INDEX(Техника!$F$1:$ABM$500,N$2,0),Техника!$F$4:$ABM$4,"Часы",INDEX(Техника!$G$1:$ABN$500,N$2,0),$A$732,INDEX(Техника!$H$1:$ABO$500,N$2,0),"М")</f>
        <v>0</v>
      </c>
      <c r="O733" s="50">
        <f>SUMIFS(INDEX(Техника!$F$1:$ABM$500,O$2,0),Техника!$F$4:$ABM$4,"Часы",INDEX(Техника!$G$1:$ABN$500,O$2,0),$A$732,INDEX(Техника!$H$1:$ABO$500,O$2,0),"М")</f>
        <v>0</v>
      </c>
      <c r="P733" s="50">
        <f>SUMIFS(INDEX(Техника!$F$1:$ABM$500,P$2,0),Техника!$F$4:$ABM$4,"Часы",INDEX(Техника!$G$1:$ABN$500,P$2,0),$A$732,INDEX(Техника!$H$1:$ABO$500,P$2,0),"М")</f>
        <v>0</v>
      </c>
      <c r="Q733" s="50">
        <f>SUMIFS(INDEX(Техника!$F$1:$ABM$500,Q$2,0),Техника!$F$4:$ABM$4,"Часы",INDEX(Техника!$G$1:$ABN$500,Q$2,0),$A$732,INDEX(Техника!$H$1:$ABO$500,Q$2,0),"М")</f>
        <v>0</v>
      </c>
      <c r="R733" s="50">
        <f>SUMIFS(INDEX(Техника!$F$1:$ABM$500,R$2,0),Техника!$F$4:$ABM$4,"Часы",INDEX(Техника!$G$1:$ABN$500,R$2,0),$A$732,INDEX(Техника!$H$1:$ABO$500,R$2,0),"М")</f>
        <v>0</v>
      </c>
      <c r="S733" s="50">
        <f>SUMIFS(INDEX(Техника!$F$1:$ABM$500,S$2,0),Техника!$F$4:$ABM$4,"Часы",INDEX(Техника!$G$1:$ABN$500,S$2,0),$A$732,INDEX(Техника!$H$1:$ABO$500,S$2,0),"М")</f>
        <v>0</v>
      </c>
      <c r="T733" s="50">
        <f>SUMIFS(INDEX(Техника!$F$1:$ABM$500,T$2,0),Техника!$F$4:$ABM$4,"Часы",INDEX(Техника!$G$1:$ABN$500,T$2,0),$A$732,INDEX(Техника!$H$1:$ABO$500,T$2,0),"М")</f>
        <v>0</v>
      </c>
      <c r="U733" s="50">
        <f>SUMIFS(INDEX(Техника!$F$1:$ABM$500,U$2,0),Техника!$F$4:$ABM$4,"Часы",INDEX(Техника!$G$1:$ABN$500,U$2,0),$A$732,INDEX(Техника!$H$1:$ABO$500,U$2,0),"М")</f>
        <v>0</v>
      </c>
      <c r="V733" s="50">
        <f>SUMIFS(INDEX(Техника!$F$1:$ABM$500,V$2,0),Техника!$F$4:$ABM$4,"Часы",INDEX(Техника!$G$1:$ABN$500,V$2,0),$A$732,INDEX(Техника!$H$1:$ABO$500,V$2,0),"М")</f>
        <v>0</v>
      </c>
      <c r="W733" s="50">
        <f>SUMIFS(INDEX(Техника!$F$1:$ABM$500,W$2,0),Техника!$F$4:$ABM$4,"Часы",INDEX(Техника!$G$1:$ABN$500,W$2,0),$A$732,INDEX(Техника!$H$1:$ABO$500,W$2,0),"М")</f>
        <v>0</v>
      </c>
      <c r="X733" s="50">
        <f>SUMIFS(INDEX(Техника!$F$1:$ABM$500,X$2,0),Техника!$F$4:$ABM$4,"Часы",INDEX(Техника!$G$1:$ABN$500,X$2,0),$A$732,INDEX(Техника!$H$1:$ABO$500,X$2,0),"М")</f>
        <v>0</v>
      </c>
      <c r="Y733" s="50">
        <f>SUMIFS(INDEX(Техника!$F$1:$ABM$500,Y$2,0),Техника!$F$4:$ABM$4,"Часы",INDEX(Техника!$G$1:$ABN$500,Y$2,0),$A$732,INDEX(Техника!$H$1:$ABO$500,Y$2,0),"М")</f>
        <v>0</v>
      </c>
      <c r="Z733" s="50">
        <f>SUMIFS(INDEX(Техника!$F$1:$ABM$500,Z$2,0),Техника!$F$4:$ABM$4,"Часы",INDEX(Техника!$G$1:$ABN$500,Z$2,0),$A$732,INDEX(Техника!$H$1:$ABO$500,Z$2,0),"М")</f>
        <v>0</v>
      </c>
      <c r="AA733" s="50">
        <f>SUMIFS(INDEX(Техника!$F$1:$ABM$500,AA$2,0),Техника!$F$4:$ABM$4,"Часы",INDEX(Техника!$G$1:$ABN$500,AA$2,0),$A$732,INDEX(Техника!$H$1:$ABO$500,AA$2,0),"М")</f>
        <v>0</v>
      </c>
      <c r="AB733" s="50">
        <f>SUMIFS(INDEX(Техника!$F$1:$ABM$500,AB$2,0),Техника!$F$4:$ABM$4,"Часы",INDEX(Техника!$G$1:$ABN$500,AB$2,0),$A$732,INDEX(Техника!$H$1:$ABO$500,AB$2,0),"М")</f>
        <v>0</v>
      </c>
    </row>
    <row r="734" spans="1:28" hidden="1" outlineLevel="1" x14ac:dyDescent="0.3">
      <c r="A734" s="33" t="s">
        <v>244</v>
      </c>
      <c r="B734" s="34" t="s">
        <v>275</v>
      </c>
      <c r="C734" s="50">
        <f>SUMIFS(INDEX(Техника!$F$1:$ABM$500,C$2,0),Техника!$F$4:$ABM$4,"Часы",INDEX(Техника!$G$1:$ABN$500,C$2,0),$A$732,INDEX(Техника!$H$1:$ABO$500,C$2,0),"Д")</f>
        <v>0</v>
      </c>
      <c r="D734" s="50">
        <f>SUMIFS(INDEX(Техника!$F$1:$ABM$500,D$2,0),Техника!$F$4:$ABM$4,"Часы",INDEX(Техника!$G$1:$ABN$500,D$2,0),$A$732,INDEX(Техника!$H$1:$ABO$500,D$2,0),"Д")</f>
        <v>0</v>
      </c>
      <c r="E734" s="50">
        <f>SUMIFS(INDEX(Техника!$F$1:$ABM$500,E$2,0),Техника!$F$4:$ABM$4,"Часы",INDEX(Техника!$G$1:$ABN$500,E$2,0),$A$732,INDEX(Техника!$H$1:$ABO$500,E$2,0),"Д")</f>
        <v>0</v>
      </c>
      <c r="F734" s="50">
        <f>SUMIFS(INDEX(Техника!$F$1:$ABM$500,F$2,0),Техника!$F$4:$ABM$4,"Часы",INDEX(Техника!$G$1:$ABN$500,F$2,0),$A$732,INDEX(Техника!$H$1:$ABO$500,F$2,0),"Д")</f>
        <v>0</v>
      </c>
      <c r="G734" s="50">
        <f>SUMIFS(INDEX(Техника!$F$1:$ABM$500,G$2,0),Техника!$F$4:$ABM$4,"Часы",INDEX(Техника!$G$1:$ABN$500,G$2,0),$A$732,INDEX(Техника!$H$1:$ABO$500,G$2,0),"Д")</f>
        <v>0</v>
      </c>
      <c r="H734" s="50">
        <f>SUMIFS(INDEX(Техника!$F$1:$ABM$500,H$2,0),Техника!$F$4:$ABM$4,"Часы",INDEX(Техника!$G$1:$ABN$500,H$2,0),$A$732,INDEX(Техника!$H$1:$ABO$500,H$2,0),"Д")</f>
        <v>0</v>
      </c>
      <c r="I734" s="50">
        <f>SUMIFS(INDEX(Техника!$F$1:$ABM$500,I$2,0),Техника!$F$4:$ABM$4,"Часы",INDEX(Техника!$G$1:$ABN$500,I$2,0),$A$732,INDEX(Техника!$H$1:$ABO$500,I$2,0),"Д")</f>
        <v>0</v>
      </c>
      <c r="J734" s="50">
        <f>SUMIFS(INDEX(Техника!$F$1:$ABM$500,J$2,0),Техника!$F$4:$ABM$4,"Часы",INDEX(Техника!$G$1:$ABN$500,J$2,0),$A$732,INDEX(Техника!$H$1:$ABO$500,J$2,0),"Д")</f>
        <v>0</v>
      </c>
      <c r="K734" s="50">
        <f>SUMIFS(INDEX(Техника!$F$1:$ABM$500,K$2,0),Техника!$F$4:$ABM$4,"Часы",INDEX(Техника!$G$1:$ABN$500,K$2,0),$A$732,INDEX(Техника!$H$1:$ABO$500,K$2,0),"Д")</f>
        <v>0</v>
      </c>
      <c r="L734" s="50">
        <f>SUMIFS(INDEX(Техника!$F$1:$ABM$500,L$2,0),Техника!$F$4:$ABM$4,"Часы",INDEX(Техника!$G$1:$ABN$500,L$2,0),$A$732,INDEX(Техника!$H$1:$ABO$500,L$2,0),"Д")</f>
        <v>0</v>
      </c>
      <c r="M734" s="50">
        <f>SUMIFS(INDEX(Техника!$F$1:$ABM$500,M$2,0),Техника!$F$4:$ABM$4,"Часы",INDEX(Техника!$G$1:$ABN$500,M$2,0),$A$732,INDEX(Техника!$H$1:$ABO$500,M$2,0),"Д")</f>
        <v>0</v>
      </c>
      <c r="N734" s="50">
        <f>SUMIFS(INDEX(Техника!$F$1:$ABM$500,N$2,0),Техника!$F$4:$ABM$4,"Часы",INDEX(Техника!$G$1:$ABN$500,N$2,0),$A$732,INDEX(Техника!$H$1:$ABO$500,N$2,0),"Д")</f>
        <v>0</v>
      </c>
      <c r="O734" s="50">
        <f>SUMIFS(INDEX(Техника!$F$1:$ABM$500,O$2,0),Техника!$F$4:$ABM$4,"Часы",INDEX(Техника!$G$1:$ABN$500,O$2,0),$A$732,INDEX(Техника!$H$1:$ABO$500,O$2,0),"Д")</f>
        <v>0</v>
      </c>
      <c r="P734" s="50">
        <f>SUMIFS(INDEX(Техника!$F$1:$ABM$500,P$2,0),Техника!$F$4:$ABM$4,"Часы",INDEX(Техника!$G$1:$ABN$500,P$2,0),$A$732,INDEX(Техника!$H$1:$ABO$500,P$2,0),"Д")</f>
        <v>0</v>
      </c>
      <c r="Q734" s="50">
        <f>SUMIFS(INDEX(Техника!$F$1:$ABM$500,Q$2,0),Техника!$F$4:$ABM$4,"Часы",INDEX(Техника!$G$1:$ABN$500,Q$2,0),$A$732,INDEX(Техника!$H$1:$ABO$500,Q$2,0),"Д")</f>
        <v>0</v>
      </c>
      <c r="R734" s="50">
        <f>SUMIFS(INDEX(Техника!$F$1:$ABM$500,R$2,0),Техника!$F$4:$ABM$4,"Часы",INDEX(Техника!$G$1:$ABN$500,R$2,0),$A$732,INDEX(Техника!$H$1:$ABO$500,R$2,0),"Д")</f>
        <v>0</v>
      </c>
      <c r="S734" s="50">
        <f>SUMIFS(INDEX(Техника!$F$1:$ABM$500,S$2,0),Техника!$F$4:$ABM$4,"Часы",INDEX(Техника!$G$1:$ABN$500,S$2,0),$A$732,INDEX(Техника!$H$1:$ABO$500,S$2,0),"Д")</f>
        <v>0</v>
      </c>
      <c r="T734" s="50">
        <f>SUMIFS(INDEX(Техника!$F$1:$ABM$500,T$2,0),Техника!$F$4:$ABM$4,"Часы",INDEX(Техника!$G$1:$ABN$500,T$2,0),$A$732,INDEX(Техника!$H$1:$ABO$500,T$2,0),"Д")</f>
        <v>0</v>
      </c>
      <c r="U734" s="50">
        <f>SUMIFS(INDEX(Техника!$F$1:$ABM$500,U$2,0),Техника!$F$4:$ABM$4,"Часы",INDEX(Техника!$G$1:$ABN$500,U$2,0),$A$732,INDEX(Техника!$H$1:$ABO$500,U$2,0),"Д")</f>
        <v>0</v>
      </c>
      <c r="V734" s="50">
        <f>SUMIFS(INDEX(Техника!$F$1:$ABM$500,V$2,0),Техника!$F$4:$ABM$4,"Часы",INDEX(Техника!$G$1:$ABN$500,V$2,0),$A$732,INDEX(Техника!$H$1:$ABO$500,V$2,0),"Д")</f>
        <v>0</v>
      </c>
      <c r="W734" s="50">
        <f>SUMIFS(INDEX(Техника!$F$1:$ABM$500,W$2,0),Техника!$F$4:$ABM$4,"Часы",INDEX(Техника!$G$1:$ABN$500,W$2,0),$A$732,INDEX(Техника!$H$1:$ABO$500,W$2,0),"Д")</f>
        <v>0</v>
      </c>
      <c r="X734" s="50">
        <f>SUMIFS(INDEX(Техника!$F$1:$ABM$500,X$2,0),Техника!$F$4:$ABM$4,"Часы",INDEX(Техника!$G$1:$ABN$500,X$2,0),$A$732,INDEX(Техника!$H$1:$ABO$500,X$2,0),"Д")</f>
        <v>0</v>
      </c>
      <c r="Y734" s="50">
        <f>SUMIFS(INDEX(Техника!$F$1:$ABM$500,Y$2,0),Техника!$F$4:$ABM$4,"Часы",INDEX(Техника!$G$1:$ABN$500,Y$2,0),$A$732,INDEX(Техника!$H$1:$ABO$500,Y$2,0),"Д")</f>
        <v>0</v>
      </c>
      <c r="Z734" s="50">
        <f>SUMIFS(INDEX(Техника!$F$1:$ABM$500,Z$2,0),Техника!$F$4:$ABM$4,"Часы",INDEX(Техника!$G$1:$ABN$500,Z$2,0),$A$732,INDEX(Техника!$H$1:$ABO$500,Z$2,0),"Д")</f>
        <v>0</v>
      </c>
      <c r="AA734" s="50">
        <f>SUMIFS(INDEX(Техника!$F$1:$ABM$500,AA$2,0),Техника!$F$4:$ABM$4,"Часы",INDEX(Техника!$G$1:$ABN$500,AA$2,0),$A$732,INDEX(Техника!$H$1:$ABO$500,AA$2,0),"Д")</f>
        <v>0</v>
      </c>
      <c r="AB734" s="50">
        <f>SUMIFS(INDEX(Техника!$F$1:$ABM$500,AB$2,0),Техника!$F$4:$ABM$4,"Часы",INDEX(Техника!$G$1:$ABN$500,AB$2,0),$A$732,INDEX(Техника!$H$1:$ABO$500,AB$2,0),"Д")</f>
        <v>0</v>
      </c>
    </row>
    <row r="735" spans="1:28" hidden="1" outlineLevel="1" x14ac:dyDescent="0.3">
      <c r="A735" s="33" t="s">
        <v>276</v>
      </c>
      <c r="B735" s="34" t="s">
        <v>277</v>
      </c>
      <c r="C735" s="50">
        <f>SUMIFS(INDEX(Техника!$F$1:$ABM$500,C$2,0),Техника!$F$4:$ABM$4,"Часы",INDEX(Техника!$G$1:$ABN$500,C$2,0),$A$732,INDEX(Техника!$H$1:$ABO$500,C$2,0),"П")</f>
        <v>0</v>
      </c>
      <c r="D735" s="50">
        <f>SUMIFS(INDEX(Техника!$F$1:$ABM$500,D$2,0),Техника!$F$4:$ABM$4,"Часы",INDEX(Техника!$G$1:$ABN$500,D$2,0),$A$732,INDEX(Техника!$H$1:$ABO$500,D$2,0),"П")</f>
        <v>0</v>
      </c>
      <c r="E735" s="50">
        <f>SUMIFS(INDEX(Техника!$F$1:$ABM$500,E$2,0),Техника!$F$4:$ABM$4,"Часы",INDEX(Техника!$G$1:$ABN$500,E$2,0),$A$732,INDEX(Техника!$H$1:$ABO$500,E$2,0),"П")</f>
        <v>0</v>
      </c>
      <c r="F735" s="50">
        <f>SUMIFS(INDEX(Техника!$F$1:$ABM$500,F$2,0),Техника!$F$4:$ABM$4,"Часы",INDEX(Техника!$G$1:$ABN$500,F$2,0),$A$732,INDEX(Техника!$H$1:$ABO$500,F$2,0),"П")</f>
        <v>0</v>
      </c>
      <c r="G735" s="50">
        <f>SUMIFS(INDEX(Техника!$F$1:$ABM$500,G$2,0),Техника!$F$4:$ABM$4,"Часы",INDEX(Техника!$G$1:$ABN$500,G$2,0),$A$732,INDEX(Техника!$H$1:$ABO$500,G$2,0),"П")</f>
        <v>0</v>
      </c>
      <c r="H735" s="50">
        <f>SUMIFS(INDEX(Техника!$F$1:$ABM$500,H$2,0),Техника!$F$4:$ABM$4,"Часы",INDEX(Техника!$G$1:$ABN$500,H$2,0),$A$732,INDEX(Техника!$H$1:$ABO$500,H$2,0),"П")</f>
        <v>0</v>
      </c>
      <c r="I735" s="50">
        <f>SUMIFS(INDEX(Техника!$F$1:$ABM$500,I$2,0),Техника!$F$4:$ABM$4,"Часы",INDEX(Техника!$G$1:$ABN$500,I$2,0),$A$732,INDEX(Техника!$H$1:$ABO$500,I$2,0),"П")</f>
        <v>0</v>
      </c>
      <c r="J735" s="50">
        <f>SUMIFS(INDEX(Техника!$F$1:$ABM$500,J$2,0),Техника!$F$4:$ABM$4,"Часы",INDEX(Техника!$G$1:$ABN$500,J$2,0),$A$732,INDEX(Техника!$H$1:$ABO$500,J$2,0),"П")</f>
        <v>0</v>
      </c>
      <c r="K735" s="50">
        <f>SUMIFS(INDEX(Техника!$F$1:$ABM$500,K$2,0),Техника!$F$4:$ABM$4,"Часы",INDEX(Техника!$G$1:$ABN$500,K$2,0),$A$732,INDEX(Техника!$H$1:$ABO$500,K$2,0),"П")</f>
        <v>0</v>
      </c>
      <c r="L735" s="50">
        <f>SUMIFS(INDEX(Техника!$F$1:$ABM$500,L$2,0),Техника!$F$4:$ABM$4,"Часы",INDEX(Техника!$G$1:$ABN$500,L$2,0),$A$732,INDEX(Техника!$H$1:$ABO$500,L$2,0),"П")</f>
        <v>0</v>
      </c>
      <c r="M735" s="50">
        <f>SUMIFS(INDEX(Техника!$F$1:$ABM$500,M$2,0),Техника!$F$4:$ABM$4,"Часы",INDEX(Техника!$G$1:$ABN$500,M$2,0),$A$732,INDEX(Техника!$H$1:$ABO$500,M$2,0),"П")</f>
        <v>0</v>
      </c>
      <c r="N735" s="50">
        <f>SUMIFS(INDEX(Техника!$F$1:$ABM$500,N$2,0),Техника!$F$4:$ABM$4,"Часы",INDEX(Техника!$G$1:$ABN$500,N$2,0),$A$732,INDEX(Техника!$H$1:$ABO$500,N$2,0),"П")</f>
        <v>0</v>
      </c>
      <c r="O735" s="50">
        <f>SUMIFS(INDEX(Техника!$F$1:$ABM$500,O$2,0),Техника!$F$4:$ABM$4,"Часы",INDEX(Техника!$G$1:$ABN$500,O$2,0),$A$732,INDEX(Техника!$H$1:$ABO$500,O$2,0),"П")</f>
        <v>0</v>
      </c>
      <c r="P735" s="50">
        <f>SUMIFS(INDEX(Техника!$F$1:$ABM$500,P$2,0),Техника!$F$4:$ABM$4,"Часы",INDEX(Техника!$G$1:$ABN$500,P$2,0),$A$732,INDEX(Техника!$H$1:$ABO$500,P$2,0),"П")</f>
        <v>0</v>
      </c>
      <c r="Q735" s="50">
        <f>SUMIFS(INDEX(Техника!$F$1:$ABM$500,Q$2,0),Техника!$F$4:$ABM$4,"Часы",INDEX(Техника!$G$1:$ABN$500,Q$2,0),$A$732,INDEX(Техника!$H$1:$ABO$500,Q$2,0),"П")</f>
        <v>0</v>
      </c>
      <c r="R735" s="50">
        <f>SUMIFS(INDEX(Техника!$F$1:$ABM$500,R$2,0),Техника!$F$4:$ABM$4,"Часы",INDEX(Техника!$G$1:$ABN$500,R$2,0),$A$732,INDEX(Техника!$H$1:$ABO$500,R$2,0),"П")</f>
        <v>0</v>
      </c>
      <c r="S735" s="50">
        <f>SUMIFS(INDEX(Техника!$F$1:$ABM$500,S$2,0),Техника!$F$4:$ABM$4,"Часы",INDEX(Техника!$G$1:$ABN$500,S$2,0),$A$732,INDEX(Техника!$H$1:$ABO$500,S$2,0),"П")</f>
        <v>0</v>
      </c>
      <c r="T735" s="50">
        <f>SUMIFS(INDEX(Техника!$F$1:$ABM$500,T$2,0),Техника!$F$4:$ABM$4,"Часы",INDEX(Техника!$G$1:$ABN$500,T$2,0),$A$732,INDEX(Техника!$H$1:$ABO$500,T$2,0),"П")</f>
        <v>0</v>
      </c>
      <c r="U735" s="50">
        <f>SUMIFS(INDEX(Техника!$F$1:$ABM$500,U$2,0),Техника!$F$4:$ABM$4,"Часы",INDEX(Техника!$G$1:$ABN$500,U$2,0),$A$732,INDEX(Техника!$H$1:$ABO$500,U$2,0),"П")</f>
        <v>0</v>
      </c>
      <c r="V735" s="50">
        <f>SUMIFS(INDEX(Техника!$F$1:$ABM$500,V$2,0),Техника!$F$4:$ABM$4,"Часы",INDEX(Техника!$G$1:$ABN$500,V$2,0),$A$732,INDEX(Техника!$H$1:$ABO$500,V$2,0),"П")</f>
        <v>0</v>
      </c>
      <c r="W735" s="50">
        <f>SUMIFS(INDEX(Техника!$F$1:$ABM$500,W$2,0),Техника!$F$4:$ABM$4,"Часы",INDEX(Техника!$G$1:$ABN$500,W$2,0),$A$732,INDEX(Техника!$H$1:$ABO$500,W$2,0),"П")</f>
        <v>0</v>
      </c>
      <c r="X735" s="50">
        <f>SUMIFS(INDEX(Техника!$F$1:$ABM$500,X$2,0),Техника!$F$4:$ABM$4,"Часы",INDEX(Техника!$G$1:$ABN$500,X$2,0),$A$732,INDEX(Техника!$H$1:$ABO$500,X$2,0),"П")</f>
        <v>0</v>
      </c>
      <c r="Y735" s="50">
        <f>SUMIFS(INDEX(Техника!$F$1:$ABM$500,Y$2,0),Техника!$F$4:$ABM$4,"Часы",INDEX(Техника!$G$1:$ABN$500,Y$2,0),$A$732,INDEX(Техника!$H$1:$ABO$500,Y$2,0),"П")</f>
        <v>0</v>
      </c>
      <c r="Z735" s="50">
        <f>SUMIFS(INDEX(Техника!$F$1:$ABM$500,Z$2,0),Техника!$F$4:$ABM$4,"Часы",INDEX(Техника!$G$1:$ABN$500,Z$2,0),$A$732,INDEX(Техника!$H$1:$ABO$500,Z$2,0),"П")</f>
        <v>0</v>
      </c>
      <c r="AA735" s="50">
        <f>SUMIFS(INDEX(Техника!$F$1:$ABM$500,AA$2,0),Техника!$F$4:$ABM$4,"Часы",INDEX(Техника!$G$1:$ABN$500,AA$2,0),$A$732,INDEX(Техника!$H$1:$ABO$500,AA$2,0),"П")</f>
        <v>0</v>
      </c>
      <c r="AB735" s="50">
        <f>SUMIFS(INDEX(Техника!$F$1:$ABM$500,AB$2,0),Техника!$F$4:$ABM$4,"Часы",INDEX(Техника!$G$1:$ABN$500,AB$2,0),$A$732,INDEX(Техника!$H$1:$ABO$500,AB$2,0),"П")</f>
        <v>0</v>
      </c>
    </row>
    <row r="736" spans="1:28" hidden="1" outlineLevel="1" x14ac:dyDescent="0.3">
      <c r="A736" s="33" t="s">
        <v>243</v>
      </c>
      <c r="B736" s="34" t="s">
        <v>278</v>
      </c>
      <c r="C736" s="50">
        <f>SUMIFS(INDEX(Техника!$F$1:$ABM$500,C$2,0),Техника!$F$4:$ABM$4,"Часы",INDEX(Техника!$G$1:$ABN$500,C$2,0),$A$732,INDEX(Техника!$H$1:$ABO$500,C$2,0),"Л")</f>
        <v>0</v>
      </c>
      <c r="D736" s="50">
        <f>SUMIFS(INDEX(Техника!$F$1:$ABM$500,D$2,0),Техника!$F$4:$ABM$4,"Часы",INDEX(Техника!$G$1:$ABN$500,D$2,0),$A$732,INDEX(Техника!$H$1:$ABO$500,D$2,0),"Л")</f>
        <v>0</v>
      </c>
      <c r="E736" s="50">
        <f>SUMIFS(INDEX(Техника!$F$1:$ABM$500,E$2,0),Техника!$F$4:$ABM$4,"Часы",INDEX(Техника!$G$1:$ABN$500,E$2,0),$A$732,INDEX(Техника!$H$1:$ABO$500,E$2,0),"Л")</f>
        <v>0</v>
      </c>
      <c r="F736" s="50">
        <f>SUMIFS(INDEX(Техника!$F$1:$ABM$500,F$2,0),Техника!$F$4:$ABM$4,"Часы",INDEX(Техника!$G$1:$ABN$500,F$2,0),$A$732,INDEX(Техника!$H$1:$ABO$500,F$2,0),"Л")</f>
        <v>0</v>
      </c>
      <c r="G736" s="50">
        <f>SUMIFS(INDEX(Техника!$F$1:$ABM$500,G$2,0),Техника!$F$4:$ABM$4,"Часы",INDEX(Техника!$G$1:$ABN$500,G$2,0),$A$732,INDEX(Техника!$H$1:$ABO$500,G$2,0),"Л")</f>
        <v>0</v>
      </c>
      <c r="H736" s="50">
        <f>SUMIFS(INDEX(Техника!$F$1:$ABM$500,H$2,0),Техника!$F$4:$ABM$4,"Часы",INDEX(Техника!$G$1:$ABN$500,H$2,0),$A$732,INDEX(Техника!$H$1:$ABO$500,H$2,0),"Л")</f>
        <v>0</v>
      </c>
      <c r="I736" s="50">
        <f>SUMIFS(INDEX(Техника!$F$1:$ABM$500,I$2,0),Техника!$F$4:$ABM$4,"Часы",INDEX(Техника!$G$1:$ABN$500,I$2,0),$A$732,INDEX(Техника!$H$1:$ABO$500,I$2,0),"Л")</f>
        <v>0</v>
      </c>
      <c r="J736" s="50">
        <f>SUMIFS(INDEX(Техника!$F$1:$ABM$500,J$2,0),Техника!$F$4:$ABM$4,"Часы",INDEX(Техника!$G$1:$ABN$500,J$2,0),$A$732,INDEX(Техника!$H$1:$ABO$500,J$2,0),"Л")</f>
        <v>0</v>
      </c>
      <c r="K736" s="50">
        <f>SUMIFS(INDEX(Техника!$F$1:$ABM$500,K$2,0),Техника!$F$4:$ABM$4,"Часы",INDEX(Техника!$G$1:$ABN$500,K$2,0),$A$732,INDEX(Техника!$H$1:$ABO$500,K$2,0),"Л")</f>
        <v>0</v>
      </c>
      <c r="L736" s="50">
        <f>SUMIFS(INDEX(Техника!$F$1:$ABM$500,L$2,0),Техника!$F$4:$ABM$4,"Часы",INDEX(Техника!$G$1:$ABN$500,L$2,0),$A$732,INDEX(Техника!$H$1:$ABO$500,L$2,0),"Л")</f>
        <v>0</v>
      </c>
      <c r="M736" s="50">
        <f>SUMIFS(INDEX(Техника!$F$1:$ABM$500,M$2,0),Техника!$F$4:$ABM$4,"Часы",INDEX(Техника!$G$1:$ABN$500,M$2,0),$A$732,INDEX(Техника!$H$1:$ABO$500,M$2,0),"Л")</f>
        <v>0</v>
      </c>
      <c r="N736" s="50">
        <f>SUMIFS(INDEX(Техника!$F$1:$ABM$500,N$2,0),Техника!$F$4:$ABM$4,"Часы",INDEX(Техника!$G$1:$ABN$500,N$2,0),$A$732,INDEX(Техника!$H$1:$ABO$500,N$2,0),"Л")</f>
        <v>0</v>
      </c>
      <c r="O736" s="50">
        <f>SUMIFS(INDEX(Техника!$F$1:$ABM$500,O$2,0),Техника!$F$4:$ABM$4,"Часы",INDEX(Техника!$G$1:$ABN$500,O$2,0),$A$732,INDEX(Техника!$H$1:$ABO$500,O$2,0),"Л")</f>
        <v>0</v>
      </c>
      <c r="P736" s="50">
        <f>SUMIFS(INDEX(Техника!$F$1:$ABM$500,P$2,0),Техника!$F$4:$ABM$4,"Часы",INDEX(Техника!$G$1:$ABN$500,P$2,0),$A$732,INDEX(Техника!$H$1:$ABO$500,P$2,0),"Л")</f>
        <v>0</v>
      </c>
      <c r="Q736" s="50">
        <f>SUMIFS(INDEX(Техника!$F$1:$ABM$500,Q$2,0),Техника!$F$4:$ABM$4,"Часы",INDEX(Техника!$G$1:$ABN$500,Q$2,0),$A$732,INDEX(Техника!$H$1:$ABO$500,Q$2,0),"Л")</f>
        <v>0</v>
      </c>
      <c r="R736" s="50">
        <f>SUMIFS(INDEX(Техника!$F$1:$ABM$500,R$2,0),Техника!$F$4:$ABM$4,"Часы",INDEX(Техника!$G$1:$ABN$500,R$2,0),$A$732,INDEX(Техника!$H$1:$ABO$500,R$2,0),"Л")</f>
        <v>0</v>
      </c>
      <c r="S736" s="50">
        <f>SUMIFS(INDEX(Техника!$F$1:$ABM$500,S$2,0),Техника!$F$4:$ABM$4,"Часы",INDEX(Техника!$G$1:$ABN$500,S$2,0),$A$732,INDEX(Техника!$H$1:$ABO$500,S$2,0),"Л")</f>
        <v>0</v>
      </c>
      <c r="T736" s="50">
        <f>SUMIFS(INDEX(Техника!$F$1:$ABM$500,T$2,0),Техника!$F$4:$ABM$4,"Часы",INDEX(Техника!$G$1:$ABN$500,T$2,0),$A$732,INDEX(Техника!$H$1:$ABO$500,T$2,0),"Л")</f>
        <v>0</v>
      </c>
      <c r="U736" s="50">
        <f>SUMIFS(INDEX(Техника!$F$1:$ABM$500,U$2,0),Техника!$F$4:$ABM$4,"Часы",INDEX(Техника!$G$1:$ABN$500,U$2,0),$A$732,INDEX(Техника!$H$1:$ABO$500,U$2,0),"Л")</f>
        <v>0</v>
      </c>
      <c r="V736" s="50">
        <f>SUMIFS(INDEX(Техника!$F$1:$ABM$500,V$2,0),Техника!$F$4:$ABM$4,"Часы",INDEX(Техника!$G$1:$ABN$500,V$2,0),$A$732,INDEX(Техника!$H$1:$ABO$500,V$2,0),"Л")</f>
        <v>0</v>
      </c>
      <c r="W736" s="50">
        <f>SUMIFS(INDEX(Техника!$F$1:$ABM$500,W$2,0),Техника!$F$4:$ABM$4,"Часы",INDEX(Техника!$G$1:$ABN$500,W$2,0),$A$732,INDEX(Техника!$H$1:$ABO$500,W$2,0),"Л")</f>
        <v>0</v>
      </c>
      <c r="X736" s="50">
        <f>SUMIFS(INDEX(Техника!$F$1:$ABM$500,X$2,0),Техника!$F$4:$ABM$4,"Часы",INDEX(Техника!$G$1:$ABN$500,X$2,0),$A$732,INDEX(Техника!$H$1:$ABO$500,X$2,0),"Л")</f>
        <v>0</v>
      </c>
      <c r="Y736" s="50">
        <f>SUMIFS(INDEX(Техника!$F$1:$ABM$500,Y$2,0),Техника!$F$4:$ABM$4,"Часы",INDEX(Техника!$G$1:$ABN$500,Y$2,0),$A$732,INDEX(Техника!$H$1:$ABO$500,Y$2,0),"Л")</f>
        <v>0</v>
      </c>
      <c r="Z736" s="50">
        <f>SUMIFS(INDEX(Техника!$F$1:$ABM$500,Z$2,0),Техника!$F$4:$ABM$4,"Часы",INDEX(Техника!$G$1:$ABN$500,Z$2,0),$A$732,INDEX(Техника!$H$1:$ABO$500,Z$2,0),"Л")</f>
        <v>0</v>
      </c>
      <c r="AA736" s="50">
        <f>SUMIFS(INDEX(Техника!$F$1:$ABM$500,AA$2,0),Техника!$F$4:$ABM$4,"Часы",INDEX(Техника!$G$1:$ABN$500,AA$2,0),$A$732,INDEX(Техника!$H$1:$ABO$500,AA$2,0),"Л")</f>
        <v>0</v>
      </c>
      <c r="AB736" s="50">
        <f>SUMIFS(INDEX(Техника!$F$1:$ABM$500,AB$2,0),Техника!$F$4:$ABM$4,"Часы",INDEX(Техника!$G$1:$ABN$500,AB$2,0),$A$732,INDEX(Техника!$H$1:$ABO$500,AB$2,0),"Л")</f>
        <v>0</v>
      </c>
    </row>
    <row r="737" spans="1:28" hidden="1" outlineLevel="1" x14ac:dyDescent="0.3">
      <c r="A737" s="33" t="s">
        <v>245</v>
      </c>
      <c r="B737" s="34" t="s">
        <v>279</v>
      </c>
      <c r="C737" s="50">
        <f>SUMIFS(INDEX(Техника!$F$1:$ABM$500,C$2,0),Техника!$F$4:$ABM$4,"Часы",INDEX(Техника!$G$1:$ABN$500,C$2,0),$A$732,INDEX(Техника!$H$1:$ABO$500,C$2,0),"З")</f>
        <v>0</v>
      </c>
      <c r="D737" s="50">
        <f>SUMIFS(INDEX(Техника!$F$1:$ABM$500,D$2,0),Техника!$F$4:$ABM$4,"Часы",INDEX(Техника!$G$1:$ABN$500,D$2,0),$A$732,INDEX(Техника!$H$1:$ABO$500,D$2,0),"З")</f>
        <v>0</v>
      </c>
      <c r="E737" s="50">
        <f>SUMIFS(INDEX(Техника!$F$1:$ABM$500,E$2,0),Техника!$F$4:$ABM$4,"Часы",INDEX(Техника!$G$1:$ABN$500,E$2,0),$A$732,INDEX(Техника!$H$1:$ABO$500,E$2,0),"З")</f>
        <v>0</v>
      </c>
      <c r="F737" s="50">
        <f>SUMIFS(INDEX(Техника!$F$1:$ABM$500,F$2,0),Техника!$F$4:$ABM$4,"Часы",INDEX(Техника!$G$1:$ABN$500,F$2,0),$A$732,INDEX(Техника!$H$1:$ABO$500,F$2,0),"З")</f>
        <v>0</v>
      </c>
      <c r="G737" s="50">
        <f>SUMIFS(INDEX(Техника!$F$1:$ABM$500,G$2,0),Техника!$F$4:$ABM$4,"Часы",INDEX(Техника!$G$1:$ABN$500,G$2,0),$A$732,INDEX(Техника!$H$1:$ABO$500,G$2,0),"З")</f>
        <v>0</v>
      </c>
      <c r="H737" s="50">
        <f>SUMIFS(INDEX(Техника!$F$1:$ABM$500,H$2,0),Техника!$F$4:$ABM$4,"Часы",INDEX(Техника!$G$1:$ABN$500,H$2,0),$A$732,INDEX(Техника!$H$1:$ABO$500,H$2,0),"З")</f>
        <v>0</v>
      </c>
      <c r="I737" s="50">
        <f>SUMIFS(INDEX(Техника!$F$1:$ABM$500,I$2,0),Техника!$F$4:$ABM$4,"Часы",INDEX(Техника!$G$1:$ABN$500,I$2,0),$A$732,INDEX(Техника!$H$1:$ABO$500,I$2,0),"З")</f>
        <v>0</v>
      </c>
      <c r="J737" s="50">
        <f>SUMIFS(INDEX(Техника!$F$1:$ABM$500,J$2,0),Техника!$F$4:$ABM$4,"Часы",INDEX(Техника!$G$1:$ABN$500,J$2,0),$A$732,INDEX(Техника!$H$1:$ABO$500,J$2,0),"З")</f>
        <v>0</v>
      </c>
      <c r="K737" s="50">
        <f>SUMIFS(INDEX(Техника!$F$1:$ABM$500,K$2,0),Техника!$F$4:$ABM$4,"Часы",INDEX(Техника!$G$1:$ABN$500,K$2,0),$A$732,INDEX(Техника!$H$1:$ABO$500,K$2,0),"З")</f>
        <v>0</v>
      </c>
      <c r="L737" s="50">
        <f>SUMIFS(INDEX(Техника!$F$1:$ABM$500,L$2,0),Техника!$F$4:$ABM$4,"Часы",INDEX(Техника!$G$1:$ABN$500,L$2,0),$A$732,INDEX(Техника!$H$1:$ABO$500,L$2,0),"З")</f>
        <v>0</v>
      </c>
      <c r="M737" s="50">
        <f>SUMIFS(INDEX(Техника!$F$1:$ABM$500,M$2,0),Техника!$F$4:$ABM$4,"Часы",INDEX(Техника!$G$1:$ABN$500,M$2,0),$A$732,INDEX(Техника!$H$1:$ABO$500,M$2,0),"З")</f>
        <v>0</v>
      </c>
      <c r="N737" s="50">
        <f>SUMIFS(INDEX(Техника!$F$1:$ABM$500,N$2,0),Техника!$F$4:$ABM$4,"Часы",INDEX(Техника!$G$1:$ABN$500,N$2,0),$A$732,INDEX(Техника!$H$1:$ABO$500,N$2,0),"З")</f>
        <v>0</v>
      </c>
      <c r="O737" s="50">
        <f>SUMIFS(INDEX(Техника!$F$1:$ABM$500,O$2,0),Техника!$F$4:$ABM$4,"Часы",INDEX(Техника!$G$1:$ABN$500,O$2,0),$A$732,INDEX(Техника!$H$1:$ABO$500,O$2,0),"З")</f>
        <v>0</v>
      </c>
      <c r="P737" s="50">
        <f>SUMIFS(INDEX(Техника!$F$1:$ABM$500,P$2,0),Техника!$F$4:$ABM$4,"Часы",INDEX(Техника!$G$1:$ABN$500,P$2,0),$A$732,INDEX(Техника!$H$1:$ABO$500,P$2,0),"З")</f>
        <v>0</v>
      </c>
      <c r="Q737" s="50">
        <f>SUMIFS(INDEX(Техника!$F$1:$ABM$500,Q$2,0),Техника!$F$4:$ABM$4,"Часы",INDEX(Техника!$G$1:$ABN$500,Q$2,0),$A$732,INDEX(Техника!$H$1:$ABO$500,Q$2,0),"З")</f>
        <v>0</v>
      </c>
      <c r="R737" s="50">
        <f>SUMIFS(INDEX(Техника!$F$1:$ABM$500,R$2,0),Техника!$F$4:$ABM$4,"Часы",INDEX(Техника!$G$1:$ABN$500,R$2,0),$A$732,INDEX(Техника!$H$1:$ABO$500,R$2,0),"З")</f>
        <v>0</v>
      </c>
      <c r="S737" s="50">
        <f>SUMIFS(INDEX(Техника!$F$1:$ABM$500,S$2,0),Техника!$F$4:$ABM$4,"Часы",INDEX(Техника!$G$1:$ABN$500,S$2,0),$A$732,INDEX(Техника!$H$1:$ABO$500,S$2,0),"З")</f>
        <v>0</v>
      </c>
      <c r="T737" s="50">
        <f>SUMIFS(INDEX(Техника!$F$1:$ABM$500,T$2,0),Техника!$F$4:$ABM$4,"Часы",INDEX(Техника!$G$1:$ABN$500,T$2,0),$A$732,INDEX(Техника!$H$1:$ABO$500,T$2,0),"З")</f>
        <v>0</v>
      </c>
      <c r="U737" s="50">
        <f>SUMIFS(INDEX(Техника!$F$1:$ABM$500,U$2,0),Техника!$F$4:$ABM$4,"Часы",INDEX(Техника!$G$1:$ABN$500,U$2,0),$A$732,INDEX(Техника!$H$1:$ABO$500,U$2,0),"З")</f>
        <v>0</v>
      </c>
      <c r="V737" s="50">
        <f>SUMIFS(INDEX(Техника!$F$1:$ABM$500,V$2,0),Техника!$F$4:$ABM$4,"Часы",INDEX(Техника!$G$1:$ABN$500,V$2,0),$A$732,INDEX(Техника!$H$1:$ABO$500,V$2,0),"З")</f>
        <v>0</v>
      </c>
      <c r="W737" s="50">
        <f>SUMIFS(INDEX(Техника!$F$1:$ABM$500,W$2,0),Техника!$F$4:$ABM$4,"Часы",INDEX(Техника!$G$1:$ABN$500,W$2,0),$A$732,INDEX(Техника!$H$1:$ABO$500,W$2,0),"З")</f>
        <v>0</v>
      </c>
      <c r="X737" s="50">
        <f>SUMIFS(INDEX(Техника!$F$1:$ABM$500,X$2,0),Техника!$F$4:$ABM$4,"Часы",INDEX(Техника!$G$1:$ABN$500,X$2,0),$A$732,INDEX(Техника!$H$1:$ABO$500,X$2,0),"З")</f>
        <v>0</v>
      </c>
      <c r="Y737" s="50">
        <f>SUMIFS(INDEX(Техника!$F$1:$ABM$500,Y$2,0),Техника!$F$4:$ABM$4,"Часы",INDEX(Техника!$G$1:$ABN$500,Y$2,0),$A$732,INDEX(Техника!$H$1:$ABO$500,Y$2,0),"З")</f>
        <v>0</v>
      </c>
      <c r="Z737" s="50">
        <f>SUMIFS(INDEX(Техника!$F$1:$ABM$500,Z$2,0),Техника!$F$4:$ABM$4,"Часы",INDEX(Техника!$G$1:$ABN$500,Z$2,0),$A$732,INDEX(Техника!$H$1:$ABO$500,Z$2,0),"З")</f>
        <v>0</v>
      </c>
      <c r="AA737" s="50">
        <f>SUMIFS(INDEX(Техника!$F$1:$ABM$500,AA$2,0),Техника!$F$4:$ABM$4,"Часы",INDEX(Техника!$G$1:$ABN$500,AA$2,0),$A$732,INDEX(Техника!$H$1:$ABO$500,AA$2,0),"З")</f>
        <v>0</v>
      </c>
      <c r="AB737" s="50">
        <f>SUMIFS(INDEX(Техника!$F$1:$ABM$500,AB$2,0),Техника!$F$4:$ABM$4,"Часы",INDEX(Техника!$G$1:$ABN$500,AB$2,0),$A$732,INDEX(Техника!$H$1:$ABO$500,AB$2,0),"З")</f>
        <v>0</v>
      </c>
    </row>
    <row r="738" spans="1:28" ht="7.95" customHeight="1" x14ac:dyDescent="0.3">
      <c r="A738" s="38"/>
      <c r="B738" s="39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</row>
    <row r="739" spans="1:28" ht="25.05" customHeight="1" collapsed="1" x14ac:dyDescent="0.3">
      <c r="A739" s="32">
        <v>106</v>
      </c>
      <c r="B739" s="32" t="s">
        <v>107</v>
      </c>
      <c r="C739" s="49">
        <f>SUM(C740:C744)</f>
        <v>0</v>
      </c>
      <c r="D739" s="49">
        <f>SUM(D740:D744)</f>
        <v>0</v>
      </c>
      <c r="E739" s="49">
        <f>SUM(E740:E744)</f>
        <v>0</v>
      </c>
      <c r="F739" s="49">
        <f>SUM(F740:F744)</f>
        <v>0</v>
      </c>
      <c r="G739" s="49">
        <f>SUM(G740:G744)</f>
        <v>0</v>
      </c>
      <c r="H739" s="49">
        <f>SUM(H740:H744)</f>
        <v>0</v>
      </c>
      <c r="I739" s="49">
        <f>SUM(I740:I744)</f>
        <v>0</v>
      </c>
      <c r="J739" s="49">
        <f>SUM(J740:J744)</f>
        <v>0</v>
      </c>
      <c r="K739" s="49">
        <f>SUM(K740:K744)</f>
        <v>0</v>
      </c>
      <c r="L739" s="49">
        <f>SUM(L740:L744)</f>
        <v>0</v>
      </c>
      <c r="M739" s="49">
        <f>SUM(M740:M744)</f>
        <v>0</v>
      </c>
      <c r="N739" s="49">
        <f>SUM(N740:N744)</f>
        <v>0</v>
      </c>
      <c r="O739" s="49">
        <f>SUM(O740:O744)</f>
        <v>0</v>
      </c>
      <c r="P739" s="49">
        <f>SUM(P740:P744)</f>
        <v>0</v>
      </c>
      <c r="Q739" s="49">
        <f>SUM(Q740:Q744)</f>
        <v>0</v>
      </c>
      <c r="R739" s="49">
        <f>SUM(R740:R744)</f>
        <v>0</v>
      </c>
      <c r="S739" s="49">
        <f>SUM(S740:S744)</f>
        <v>0</v>
      </c>
      <c r="T739" s="49">
        <f>SUM(T740:T744)</f>
        <v>0</v>
      </c>
      <c r="U739" s="49">
        <f>SUM(U740:U744)</f>
        <v>0</v>
      </c>
      <c r="V739" s="49">
        <f>SUM(V740:V744)</f>
        <v>0</v>
      </c>
      <c r="W739" s="49">
        <f>SUM(W740:W744)</f>
        <v>0</v>
      </c>
      <c r="X739" s="49">
        <f>SUM(X740:X744)</f>
        <v>0</v>
      </c>
      <c r="Y739" s="49">
        <f>SUM(Y740:Y744)</f>
        <v>0</v>
      </c>
      <c r="Z739" s="49">
        <f>SUM(Z740:Z744)</f>
        <v>0</v>
      </c>
      <c r="AA739" s="49">
        <f>SUM(AA740:AA744)</f>
        <v>0</v>
      </c>
      <c r="AB739" s="49">
        <f>SUM(AB740:AB744)</f>
        <v>0</v>
      </c>
    </row>
    <row r="740" spans="1:28" hidden="1" outlineLevel="1" x14ac:dyDescent="0.3">
      <c r="A740" s="33" t="s">
        <v>246</v>
      </c>
      <c r="B740" s="34" t="s">
        <v>274</v>
      </c>
      <c r="C740" s="50">
        <f>SUMIFS(INDEX(Техника!$F$1:$ABM$500,C$2,0),Техника!$F$4:$ABM$4,"Часы",INDEX(Техника!$G$1:$ABN$500,C$2,0),$A$739,INDEX(Техника!$H$1:$ABO$500,C$2,0),"М")</f>
        <v>0</v>
      </c>
      <c r="D740" s="50">
        <f>SUMIFS(INDEX(Техника!$F$1:$ABM$500,D$2,0),Техника!$F$4:$ABM$4,"Часы",INDEX(Техника!$G$1:$ABN$500,D$2,0),$A$739,INDEX(Техника!$H$1:$ABO$500,D$2,0),"М")</f>
        <v>0</v>
      </c>
      <c r="E740" s="50">
        <f>SUMIFS(INDEX(Техника!$F$1:$ABM$500,E$2,0),Техника!$F$4:$ABM$4,"Часы",INDEX(Техника!$G$1:$ABN$500,E$2,0),$A$739,INDEX(Техника!$H$1:$ABO$500,E$2,0),"М")</f>
        <v>0</v>
      </c>
      <c r="F740" s="50">
        <f>SUMIFS(INDEX(Техника!$F$1:$ABM$500,F$2,0),Техника!$F$4:$ABM$4,"Часы",INDEX(Техника!$G$1:$ABN$500,F$2,0),$A$739,INDEX(Техника!$H$1:$ABO$500,F$2,0),"М")</f>
        <v>0</v>
      </c>
      <c r="G740" s="50">
        <f>SUMIFS(INDEX(Техника!$F$1:$ABM$500,G$2,0),Техника!$F$4:$ABM$4,"Часы",INDEX(Техника!$G$1:$ABN$500,G$2,0),$A$739,INDEX(Техника!$H$1:$ABO$500,G$2,0),"М")</f>
        <v>0</v>
      </c>
      <c r="H740" s="50">
        <f>SUMIFS(INDEX(Техника!$F$1:$ABM$500,H$2,0),Техника!$F$4:$ABM$4,"Часы",INDEX(Техника!$G$1:$ABN$500,H$2,0),$A$739,INDEX(Техника!$H$1:$ABO$500,H$2,0),"М")</f>
        <v>0</v>
      </c>
      <c r="I740" s="50">
        <f>SUMIFS(INDEX(Техника!$F$1:$ABM$500,I$2,0),Техника!$F$4:$ABM$4,"Часы",INDEX(Техника!$G$1:$ABN$500,I$2,0),$A$739,INDEX(Техника!$H$1:$ABO$500,I$2,0),"М")</f>
        <v>0</v>
      </c>
      <c r="J740" s="50">
        <f>SUMIFS(INDEX(Техника!$F$1:$ABM$500,J$2,0),Техника!$F$4:$ABM$4,"Часы",INDEX(Техника!$G$1:$ABN$500,J$2,0),$A$739,INDEX(Техника!$H$1:$ABO$500,J$2,0),"М")</f>
        <v>0</v>
      </c>
      <c r="K740" s="50">
        <f>SUMIFS(INDEX(Техника!$F$1:$ABM$500,K$2,0),Техника!$F$4:$ABM$4,"Часы",INDEX(Техника!$G$1:$ABN$500,K$2,0),$A$739,INDEX(Техника!$H$1:$ABO$500,K$2,0),"М")</f>
        <v>0</v>
      </c>
      <c r="L740" s="50">
        <f>SUMIFS(INDEX(Техника!$F$1:$ABM$500,L$2,0),Техника!$F$4:$ABM$4,"Часы",INDEX(Техника!$G$1:$ABN$500,L$2,0),$A$739,INDEX(Техника!$H$1:$ABO$500,L$2,0),"М")</f>
        <v>0</v>
      </c>
      <c r="M740" s="50">
        <f>SUMIFS(INDEX(Техника!$F$1:$ABM$500,M$2,0),Техника!$F$4:$ABM$4,"Часы",INDEX(Техника!$G$1:$ABN$500,M$2,0),$A$739,INDEX(Техника!$H$1:$ABO$500,M$2,0),"М")</f>
        <v>0</v>
      </c>
      <c r="N740" s="50">
        <f>SUMIFS(INDEX(Техника!$F$1:$ABM$500,N$2,0),Техника!$F$4:$ABM$4,"Часы",INDEX(Техника!$G$1:$ABN$500,N$2,0),$A$739,INDEX(Техника!$H$1:$ABO$500,N$2,0),"М")</f>
        <v>0</v>
      </c>
      <c r="O740" s="50">
        <f>SUMIFS(INDEX(Техника!$F$1:$ABM$500,O$2,0),Техника!$F$4:$ABM$4,"Часы",INDEX(Техника!$G$1:$ABN$500,O$2,0),$A$739,INDEX(Техника!$H$1:$ABO$500,O$2,0),"М")</f>
        <v>0</v>
      </c>
      <c r="P740" s="50">
        <f>SUMIFS(INDEX(Техника!$F$1:$ABM$500,P$2,0),Техника!$F$4:$ABM$4,"Часы",INDEX(Техника!$G$1:$ABN$500,P$2,0),$A$739,INDEX(Техника!$H$1:$ABO$500,P$2,0),"М")</f>
        <v>0</v>
      </c>
      <c r="Q740" s="50">
        <f>SUMIFS(INDEX(Техника!$F$1:$ABM$500,Q$2,0),Техника!$F$4:$ABM$4,"Часы",INDEX(Техника!$G$1:$ABN$500,Q$2,0),$A$739,INDEX(Техника!$H$1:$ABO$500,Q$2,0),"М")</f>
        <v>0</v>
      </c>
      <c r="R740" s="50">
        <f>SUMIFS(INDEX(Техника!$F$1:$ABM$500,R$2,0),Техника!$F$4:$ABM$4,"Часы",INDEX(Техника!$G$1:$ABN$500,R$2,0),$A$739,INDEX(Техника!$H$1:$ABO$500,R$2,0),"М")</f>
        <v>0</v>
      </c>
      <c r="S740" s="50">
        <f>SUMIFS(INDEX(Техника!$F$1:$ABM$500,S$2,0),Техника!$F$4:$ABM$4,"Часы",INDEX(Техника!$G$1:$ABN$500,S$2,0),$A$739,INDEX(Техника!$H$1:$ABO$500,S$2,0),"М")</f>
        <v>0</v>
      </c>
      <c r="T740" s="50">
        <f>SUMIFS(INDEX(Техника!$F$1:$ABM$500,T$2,0),Техника!$F$4:$ABM$4,"Часы",INDEX(Техника!$G$1:$ABN$500,T$2,0),$A$739,INDEX(Техника!$H$1:$ABO$500,T$2,0),"М")</f>
        <v>0</v>
      </c>
      <c r="U740" s="50">
        <f>SUMIFS(INDEX(Техника!$F$1:$ABM$500,U$2,0),Техника!$F$4:$ABM$4,"Часы",INDEX(Техника!$G$1:$ABN$500,U$2,0),$A$739,INDEX(Техника!$H$1:$ABO$500,U$2,0),"М")</f>
        <v>0</v>
      </c>
      <c r="V740" s="50">
        <f>SUMIFS(INDEX(Техника!$F$1:$ABM$500,V$2,0),Техника!$F$4:$ABM$4,"Часы",INDEX(Техника!$G$1:$ABN$500,V$2,0),$A$739,INDEX(Техника!$H$1:$ABO$500,V$2,0),"М")</f>
        <v>0</v>
      </c>
      <c r="W740" s="50">
        <f>SUMIFS(INDEX(Техника!$F$1:$ABM$500,W$2,0),Техника!$F$4:$ABM$4,"Часы",INDEX(Техника!$G$1:$ABN$500,W$2,0),$A$739,INDEX(Техника!$H$1:$ABO$500,W$2,0),"М")</f>
        <v>0</v>
      </c>
      <c r="X740" s="50">
        <f>SUMIFS(INDEX(Техника!$F$1:$ABM$500,X$2,0),Техника!$F$4:$ABM$4,"Часы",INDEX(Техника!$G$1:$ABN$500,X$2,0),$A$739,INDEX(Техника!$H$1:$ABO$500,X$2,0),"М")</f>
        <v>0</v>
      </c>
      <c r="Y740" s="50">
        <f>SUMIFS(INDEX(Техника!$F$1:$ABM$500,Y$2,0),Техника!$F$4:$ABM$4,"Часы",INDEX(Техника!$G$1:$ABN$500,Y$2,0),$A$739,INDEX(Техника!$H$1:$ABO$500,Y$2,0),"М")</f>
        <v>0</v>
      </c>
      <c r="Z740" s="50">
        <f>SUMIFS(INDEX(Техника!$F$1:$ABM$500,Z$2,0),Техника!$F$4:$ABM$4,"Часы",INDEX(Техника!$G$1:$ABN$500,Z$2,0),$A$739,INDEX(Техника!$H$1:$ABO$500,Z$2,0),"М")</f>
        <v>0</v>
      </c>
      <c r="AA740" s="50">
        <f>SUMIFS(INDEX(Техника!$F$1:$ABM$500,AA$2,0),Техника!$F$4:$ABM$4,"Часы",INDEX(Техника!$G$1:$ABN$500,AA$2,0),$A$739,INDEX(Техника!$H$1:$ABO$500,AA$2,0),"М")</f>
        <v>0</v>
      </c>
      <c r="AB740" s="50">
        <f>SUMIFS(INDEX(Техника!$F$1:$ABM$500,AB$2,0),Техника!$F$4:$ABM$4,"Часы",INDEX(Техника!$G$1:$ABN$500,AB$2,0),$A$739,INDEX(Техника!$H$1:$ABO$500,AB$2,0),"М")</f>
        <v>0</v>
      </c>
    </row>
    <row r="741" spans="1:28" hidden="1" outlineLevel="1" x14ac:dyDescent="0.3">
      <c r="A741" s="33" t="s">
        <v>244</v>
      </c>
      <c r="B741" s="34" t="s">
        <v>275</v>
      </c>
      <c r="C741" s="50">
        <f>SUMIFS(INDEX(Техника!$F$1:$ABM$500,C$2,0),Техника!$F$4:$ABM$4,"Часы",INDEX(Техника!$G$1:$ABN$500,C$2,0),$A$739,INDEX(Техника!$H$1:$ABO$500,C$2,0),"Д")</f>
        <v>0</v>
      </c>
      <c r="D741" s="50">
        <f>SUMIFS(INDEX(Техника!$F$1:$ABM$500,D$2,0),Техника!$F$4:$ABM$4,"Часы",INDEX(Техника!$G$1:$ABN$500,D$2,0),$A$739,INDEX(Техника!$H$1:$ABO$500,D$2,0),"Д")</f>
        <v>0</v>
      </c>
      <c r="E741" s="50">
        <f>SUMIFS(INDEX(Техника!$F$1:$ABM$500,E$2,0),Техника!$F$4:$ABM$4,"Часы",INDEX(Техника!$G$1:$ABN$500,E$2,0),$A$739,INDEX(Техника!$H$1:$ABO$500,E$2,0),"Д")</f>
        <v>0</v>
      </c>
      <c r="F741" s="50">
        <f>SUMIFS(INDEX(Техника!$F$1:$ABM$500,F$2,0),Техника!$F$4:$ABM$4,"Часы",INDEX(Техника!$G$1:$ABN$500,F$2,0),$A$739,INDEX(Техника!$H$1:$ABO$500,F$2,0),"Д")</f>
        <v>0</v>
      </c>
      <c r="G741" s="50">
        <f>SUMIFS(INDEX(Техника!$F$1:$ABM$500,G$2,0),Техника!$F$4:$ABM$4,"Часы",INDEX(Техника!$G$1:$ABN$500,G$2,0),$A$739,INDEX(Техника!$H$1:$ABO$500,G$2,0),"Д")</f>
        <v>0</v>
      </c>
      <c r="H741" s="50">
        <f>SUMIFS(INDEX(Техника!$F$1:$ABM$500,H$2,0),Техника!$F$4:$ABM$4,"Часы",INDEX(Техника!$G$1:$ABN$500,H$2,0),$A$739,INDEX(Техника!$H$1:$ABO$500,H$2,0),"Д")</f>
        <v>0</v>
      </c>
      <c r="I741" s="50">
        <f>SUMIFS(INDEX(Техника!$F$1:$ABM$500,I$2,0),Техника!$F$4:$ABM$4,"Часы",INDEX(Техника!$G$1:$ABN$500,I$2,0),$A$739,INDEX(Техника!$H$1:$ABO$500,I$2,0),"Д")</f>
        <v>0</v>
      </c>
      <c r="J741" s="50">
        <f>SUMIFS(INDEX(Техника!$F$1:$ABM$500,J$2,0),Техника!$F$4:$ABM$4,"Часы",INDEX(Техника!$G$1:$ABN$500,J$2,0),$A$739,INDEX(Техника!$H$1:$ABO$500,J$2,0),"Д")</f>
        <v>0</v>
      </c>
      <c r="K741" s="50">
        <f>SUMIFS(INDEX(Техника!$F$1:$ABM$500,K$2,0),Техника!$F$4:$ABM$4,"Часы",INDEX(Техника!$G$1:$ABN$500,K$2,0),$A$739,INDEX(Техника!$H$1:$ABO$500,K$2,0),"Д")</f>
        <v>0</v>
      </c>
      <c r="L741" s="50">
        <f>SUMIFS(INDEX(Техника!$F$1:$ABM$500,L$2,0),Техника!$F$4:$ABM$4,"Часы",INDEX(Техника!$G$1:$ABN$500,L$2,0),$A$739,INDEX(Техника!$H$1:$ABO$500,L$2,0),"Д")</f>
        <v>0</v>
      </c>
      <c r="M741" s="50">
        <f>SUMIFS(INDEX(Техника!$F$1:$ABM$500,M$2,0),Техника!$F$4:$ABM$4,"Часы",INDEX(Техника!$G$1:$ABN$500,M$2,0),$A$739,INDEX(Техника!$H$1:$ABO$500,M$2,0),"Д")</f>
        <v>0</v>
      </c>
      <c r="N741" s="50">
        <f>SUMIFS(INDEX(Техника!$F$1:$ABM$500,N$2,0),Техника!$F$4:$ABM$4,"Часы",INDEX(Техника!$G$1:$ABN$500,N$2,0),$A$739,INDEX(Техника!$H$1:$ABO$500,N$2,0),"Д")</f>
        <v>0</v>
      </c>
      <c r="O741" s="50">
        <f>SUMIFS(INDEX(Техника!$F$1:$ABM$500,O$2,0),Техника!$F$4:$ABM$4,"Часы",INDEX(Техника!$G$1:$ABN$500,O$2,0),$A$739,INDEX(Техника!$H$1:$ABO$500,O$2,0),"Д")</f>
        <v>0</v>
      </c>
      <c r="P741" s="50">
        <f>SUMIFS(INDEX(Техника!$F$1:$ABM$500,P$2,0),Техника!$F$4:$ABM$4,"Часы",INDEX(Техника!$G$1:$ABN$500,P$2,0),$A$739,INDEX(Техника!$H$1:$ABO$500,P$2,0),"Д")</f>
        <v>0</v>
      </c>
      <c r="Q741" s="50">
        <f>SUMIFS(INDEX(Техника!$F$1:$ABM$500,Q$2,0),Техника!$F$4:$ABM$4,"Часы",INDEX(Техника!$G$1:$ABN$500,Q$2,0),$A$739,INDEX(Техника!$H$1:$ABO$500,Q$2,0),"Д")</f>
        <v>0</v>
      </c>
      <c r="R741" s="50">
        <f>SUMIFS(INDEX(Техника!$F$1:$ABM$500,R$2,0),Техника!$F$4:$ABM$4,"Часы",INDEX(Техника!$G$1:$ABN$500,R$2,0),$A$739,INDEX(Техника!$H$1:$ABO$500,R$2,0),"Д")</f>
        <v>0</v>
      </c>
      <c r="S741" s="50">
        <f>SUMIFS(INDEX(Техника!$F$1:$ABM$500,S$2,0),Техника!$F$4:$ABM$4,"Часы",INDEX(Техника!$G$1:$ABN$500,S$2,0),$A$739,INDEX(Техника!$H$1:$ABO$500,S$2,0),"Д")</f>
        <v>0</v>
      </c>
      <c r="T741" s="50">
        <f>SUMIFS(INDEX(Техника!$F$1:$ABM$500,T$2,0),Техника!$F$4:$ABM$4,"Часы",INDEX(Техника!$G$1:$ABN$500,T$2,0),$A$739,INDEX(Техника!$H$1:$ABO$500,T$2,0),"Д")</f>
        <v>0</v>
      </c>
      <c r="U741" s="50">
        <f>SUMIFS(INDEX(Техника!$F$1:$ABM$500,U$2,0),Техника!$F$4:$ABM$4,"Часы",INDEX(Техника!$G$1:$ABN$500,U$2,0),$A$739,INDEX(Техника!$H$1:$ABO$500,U$2,0),"Д")</f>
        <v>0</v>
      </c>
      <c r="V741" s="50">
        <f>SUMIFS(INDEX(Техника!$F$1:$ABM$500,V$2,0),Техника!$F$4:$ABM$4,"Часы",INDEX(Техника!$G$1:$ABN$500,V$2,0),$A$739,INDEX(Техника!$H$1:$ABO$500,V$2,0),"Д")</f>
        <v>0</v>
      </c>
      <c r="W741" s="50">
        <f>SUMIFS(INDEX(Техника!$F$1:$ABM$500,W$2,0),Техника!$F$4:$ABM$4,"Часы",INDEX(Техника!$G$1:$ABN$500,W$2,0),$A$739,INDEX(Техника!$H$1:$ABO$500,W$2,0),"Д")</f>
        <v>0</v>
      </c>
      <c r="X741" s="50">
        <f>SUMIFS(INDEX(Техника!$F$1:$ABM$500,X$2,0),Техника!$F$4:$ABM$4,"Часы",INDEX(Техника!$G$1:$ABN$500,X$2,0),$A$739,INDEX(Техника!$H$1:$ABO$500,X$2,0),"Д")</f>
        <v>0</v>
      </c>
      <c r="Y741" s="50">
        <f>SUMIFS(INDEX(Техника!$F$1:$ABM$500,Y$2,0),Техника!$F$4:$ABM$4,"Часы",INDEX(Техника!$G$1:$ABN$500,Y$2,0),$A$739,INDEX(Техника!$H$1:$ABO$500,Y$2,0),"Д")</f>
        <v>0</v>
      </c>
      <c r="Z741" s="50">
        <f>SUMIFS(INDEX(Техника!$F$1:$ABM$500,Z$2,0),Техника!$F$4:$ABM$4,"Часы",INDEX(Техника!$G$1:$ABN$500,Z$2,0),$A$739,INDEX(Техника!$H$1:$ABO$500,Z$2,0),"Д")</f>
        <v>0</v>
      </c>
      <c r="AA741" s="50">
        <f>SUMIFS(INDEX(Техника!$F$1:$ABM$500,AA$2,0),Техника!$F$4:$ABM$4,"Часы",INDEX(Техника!$G$1:$ABN$500,AA$2,0),$A$739,INDEX(Техника!$H$1:$ABO$500,AA$2,0),"Д")</f>
        <v>0</v>
      </c>
      <c r="AB741" s="50">
        <f>SUMIFS(INDEX(Техника!$F$1:$ABM$500,AB$2,0),Техника!$F$4:$ABM$4,"Часы",INDEX(Техника!$G$1:$ABN$500,AB$2,0),$A$739,INDEX(Техника!$H$1:$ABO$500,AB$2,0),"Д")</f>
        <v>0</v>
      </c>
    </row>
    <row r="742" spans="1:28" hidden="1" outlineLevel="1" x14ac:dyDescent="0.3">
      <c r="A742" s="33" t="s">
        <v>276</v>
      </c>
      <c r="B742" s="34" t="s">
        <v>277</v>
      </c>
      <c r="C742" s="50">
        <f>SUMIFS(INDEX(Техника!$F$1:$ABM$500,C$2,0),Техника!$F$4:$ABM$4,"Часы",INDEX(Техника!$G$1:$ABN$500,C$2,0),$A$739,INDEX(Техника!$H$1:$ABO$500,C$2,0),"П")</f>
        <v>0</v>
      </c>
      <c r="D742" s="50">
        <f>SUMIFS(INDEX(Техника!$F$1:$ABM$500,D$2,0),Техника!$F$4:$ABM$4,"Часы",INDEX(Техника!$G$1:$ABN$500,D$2,0),$A$739,INDEX(Техника!$H$1:$ABO$500,D$2,0),"П")</f>
        <v>0</v>
      </c>
      <c r="E742" s="50">
        <f>SUMIFS(INDEX(Техника!$F$1:$ABM$500,E$2,0),Техника!$F$4:$ABM$4,"Часы",INDEX(Техника!$G$1:$ABN$500,E$2,0),$A$739,INDEX(Техника!$H$1:$ABO$500,E$2,0),"П")</f>
        <v>0</v>
      </c>
      <c r="F742" s="50">
        <f>SUMIFS(INDEX(Техника!$F$1:$ABM$500,F$2,0),Техника!$F$4:$ABM$4,"Часы",INDEX(Техника!$G$1:$ABN$500,F$2,0),$A$739,INDEX(Техника!$H$1:$ABO$500,F$2,0),"П")</f>
        <v>0</v>
      </c>
      <c r="G742" s="50">
        <f>SUMIFS(INDEX(Техника!$F$1:$ABM$500,G$2,0),Техника!$F$4:$ABM$4,"Часы",INDEX(Техника!$G$1:$ABN$500,G$2,0),$A$739,INDEX(Техника!$H$1:$ABO$500,G$2,0),"П")</f>
        <v>0</v>
      </c>
      <c r="H742" s="50">
        <f>SUMIFS(INDEX(Техника!$F$1:$ABM$500,H$2,0),Техника!$F$4:$ABM$4,"Часы",INDEX(Техника!$G$1:$ABN$500,H$2,0),$A$739,INDEX(Техника!$H$1:$ABO$500,H$2,0),"П")</f>
        <v>0</v>
      </c>
      <c r="I742" s="50">
        <f>SUMIFS(INDEX(Техника!$F$1:$ABM$500,I$2,0),Техника!$F$4:$ABM$4,"Часы",INDEX(Техника!$G$1:$ABN$500,I$2,0),$A$739,INDEX(Техника!$H$1:$ABO$500,I$2,0),"П")</f>
        <v>0</v>
      </c>
      <c r="J742" s="50">
        <f>SUMIFS(INDEX(Техника!$F$1:$ABM$500,J$2,0),Техника!$F$4:$ABM$4,"Часы",INDEX(Техника!$G$1:$ABN$500,J$2,0),$A$739,INDEX(Техника!$H$1:$ABO$500,J$2,0),"П")</f>
        <v>0</v>
      </c>
      <c r="K742" s="50">
        <f>SUMIFS(INDEX(Техника!$F$1:$ABM$500,K$2,0),Техника!$F$4:$ABM$4,"Часы",INDEX(Техника!$G$1:$ABN$500,K$2,0),$A$739,INDEX(Техника!$H$1:$ABO$500,K$2,0),"П")</f>
        <v>0</v>
      </c>
      <c r="L742" s="50">
        <f>SUMIFS(INDEX(Техника!$F$1:$ABM$500,L$2,0),Техника!$F$4:$ABM$4,"Часы",INDEX(Техника!$G$1:$ABN$500,L$2,0),$A$739,INDEX(Техника!$H$1:$ABO$500,L$2,0),"П")</f>
        <v>0</v>
      </c>
      <c r="M742" s="50">
        <f>SUMIFS(INDEX(Техника!$F$1:$ABM$500,M$2,0),Техника!$F$4:$ABM$4,"Часы",INDEX(Техника!$G$1:$ABN$500,M$2,0),$A$739,INDEX(Техника!$H$1:$ABO$500,M$2,0),"П")</f>
        <v>0</v>
      </c>
      <c r="N742" s="50">
        <f>SUMIFS(INDEX(Техника!$F$1:$ABM$500,N$2,0),Техника!$F$4:$ABM$4,"Часы",INDEX(Техника!$G$1:$ABN$500,N$2,0),$A$739,INDEX(Техника!$H$1:$ABO$500,N$2,0),"П")</f>
        <v>0</v>
      </c>
      <c r="O742" s="50">
        <f>SUMIFS(INDEX(Техника!$F$1:$ABM$500,O$2,0),Техника!$F$4:$ABM$4,"Часы",INDEX(Техника!$G$1:$ABN$500,O$2,0),$A$739,INDEX(Техника!$H$1:$ABO$500,O$2,0),"П")</f>
        <v>0</v>
      </c>
      <c r="P742" s="50">
        <f>SUMIFS(INDEX(Техника!$F$1:$ABM$500,P$2,0),Техника!$F$4:$ABM$4,"Часы",INDEX(Техника!$G$1:$ABN$500,P$2,0),$A$739,INDEX(Техника!$H$1:$ABO$500,P$2,0),"П")</f>
        <v>0</v>
      </c>
      <c r="Q742" s="50">
        <f>SUMIFS(INDEX(Техника!$F$1:$ABM$500,Q$2,0),Техника!$F$4:$ABM$4,"Часы",INDEX(Техника!$G$1:$ABN$500,Q$2,0),$A$739,INDEX(Техника!$H$1:$ABO$500,Q$2,0),"П")</f>
        <v>0</v>
      </c>
      <c r="R742" s="50">
        <f>SUMIFS(INDEX(Техника!$F$1:$ABM$500,R$2,0),Техника!$F$4:$ABM$4,"Часы",INDEX(Техника!$G$1:$ABN$500,R$2,0),$A$739,INDEX(Техника!$H$1:$ABO$500,R$2,0),"П")</f>
        <v>0</v>
      </c>
      <c r="S742" s="50">
        <f>SUMIFS(INDEX(Техника!$F$1:$ABM$500,S$2,0),Техника!$F$4:$ABM$4,"Часы",INDEX(Техника!$G$1:$ABN$500,S$2,0),$A$739,INDEX(Техника!$H$1:$ABO$500,S$2,0),"П")</f>
        <v>0</v>
      </c>
      <c r="T742" s="50">
        <f>SUMIFS(INDEX(Техника!$F$1:$ABM$500,T$2,0),Техника!$F$4:$ABM$4,"Часы",INDEX(Техника!$G$1:$ABN$500,T$2,0),$A$739,INDEX(Техника!$H$1:$ABO$500,T$2,0),"П")</f>
        <v>0</v>
      </c>
      <c r="U742" s="50">
        <f>SUMIFS(INDEX(Техника!$F$1:$ABM$500,U$2,0),Техника!$F$4:$ABM$4,"Часы",INDEX(Техника!$G$1:$ABN$500,U$2,0),$A$739,INDEX(Техника!$H$1:$ABO$500,U$2,0),"П")</f>
        <v>0</v>
      </c>
      <c r="V742" s="50">
        <f>SUMIFS(INDEX(Техника!$F$1:$ABM$500,V$2,0),Техника!$F$4:$ABM$4,"Часы",INDEX(Техника!$G$1:$ABN$500,V$2,0),$A$739,INDEX(Техника!$H$1:$ABO$500,V$2,0),"П")</f>
        <v>0</v>
      </c>
      <c r="W742" s="50">
        <f>SUMIFS(INDEX(Техника!$F$1:$ABM$500,W$2,0),Техника!$F$4:$ABM$4,"Часы",INDEX(Техника!$G$1:$ABN$500,W$2,0),$A$739,INDEX(Техника!$H$1:$ABO$500,W$2,0),"П")</f>
        <v>0</v>
      </c>
      <c r="X742" s="50">
        <f>SUMIFS(INDEX(Техника!$F$1:$ABM$500,X$2,0),Техника!$F$4:$ABM$4,"Часы",INDEX(Техника!$G$1:$ABN$500,X$2,0),$A$739,INDEX(Техника!$H$1:$ABO$500,X$2,0),"П")</f>
        <v>0</v>
      </c>
      <c r="Y742" s="50">
        <f>SUMIFS(INDEX(Техника!$F$1:$ABM$500,Y$2,0),Техника!$F$4:$ABM$4,"Часы",INDEX(Техника!$G$1:$ABN$500,Y$2,0),$A$739,INDEX(Техника!$H$1:$ABO$500,Y$2,0),"П")</f>
        <v>0</v>
      </c>
      <c r="Z742" s="50">
        <f>SUMIFS(INDEX(Техника!$F$1:$ABM$500,Z$2,0),Техника!$F$4:$ABM$4,"Часы",INDEX(Техника!$G$1:$ABN$500,Z$2,0),$A$739,INDEX(Техника!$H$1:$ABO$500,Z$2,0),"П")</f>
        <v>0</v>
      </c>
      <c r="AA742" s="50">
        <f>SUMIFS(INDEX(Техника!$F$1:$ABM$500,AA$2,0),Техника!$F$4:$ABM$4,"Часы",INDEX(Техника!$G$1:$ABN$500,AA$2,0),$A$739,INDEX(Техника!$H$1:$ABO$500,AA$2,0),"П")</f>
        <v>0</v>
      </c>
      <c r="AB742" s="50">
        <f>SUMIFS(INDEX(Техника!$F$1:$ABM$500,AB$2,0),Техника!$F$4:$ABM$4,"Часы",INDEX(Техника!$G$1:$ABN$500,AB$2,0),$A$739,INDEX(Техника!$H$1:$ABO$500,AB$2,0),"П")</f>
        <v>0</v>
      </c>
    </row>
    <row r="743" spans="1:28" hidden="1" outlineLevel="1" x14ac:dyDescent="0.3">
      <c r="A743" s="33" t="s">
        <v>243</v>
      </c>
      <c r="B743" s="34" t="s">
        <v>278</v>
      </c>
      <c r="C743" s="50">
        <f>SUMIFS(INDEX(Техника!$F$1:$ABM$500,C$2,0),Техника!$F$4:$ABM$4,"Часы",INDEX(Техника!$G$1:$ABN$500,C$2,0),$A$739,INDEX(Техника!$H$1:$ABO$500,C$2,0),"Л")</f>
        <v>0</v>
      </c>
      <c r="D743" s="50">
        <f>SUMIFS(INDEX(Техника!$F$1:$ABM$500,D$2,0),Техника!$F$4:$ABM$4,"Часы",INDEX(Техника!$G$1:$ABN$500,D$2,0),$A$739,INDEX(Техника!$H$1:$ABO$500,D$2,0),"Л")</f>
        <v>0</v>
      </c>
      <c r="E743" s="50">
        <f>SUMIFS(INDEX(Техника!$F$1:$ABM$500,E$2,0),Техника!$F$4:$ABM$4,"Часы",INDEX(Техника!$G$1:$ABN$500,E$2,0),$A$739,INDEX(Техника!$H$1:$ABO$500,E$2,0),"Л")</f>
        <v>0</v>
      </c>
      <c r="F743" s="50">
        <f>SUMIFS(INDEX(Техника!$F$1:$ABM$500,F$2,0),Техника!$F$4:$ABM$4,"Часы",INDEX(Техника!$G$1:$ABN$500,F$2,0),$A$739,INDEX(Техника!$H$1:$ABO$500,F$2,0),"Л")</f>
        <v>0</v>
      </c>
      <c r="G743" s="50">
        <f>SUMIFS(INDEX(Техника!$F$1:$ABM$500,G$2,0),Техника!$F$4:$ABM$4,"Часы",INDEX(Техника!$G$1:$ABN$500,G$2,0),$A$739,INDEX(Техника!$H$1:$ABO$500,G$2,0),"Л")</f>
        <v>0</v>
      </c>
      <c r="H743" s="50">
        <f>SUMIFS(INDEX(Техника!$F$1:$ABM$500,H$2,0),Техника!$F$4:$ABM$4,"Часы",INDEX(Техника!$G$1:$ABN$500,H$2,0),$A$739,INDEX(Техника!$H$1:$ABO$500,H$2,0),"Л")</f>
        <v>0</v>
      </c>
      <c r="I743" s="50">
        <f>SUMIFS(INDEX(Техника!$F$1:$ABM$500,I$2,0),Техника!$F$4:$ABM$4,"Часы",INDEX(Техника!$G$1:$ABN$500,I$2,0),$A$739,INDEX(Техника!$H$1:$ABO$500,I$2,0),"Л")</f>
        <v>0</v>
      </c>
      <c r="J743" s="50">
        <f>SUMIFS(INDEX(Техника!$F$1:$ABM$500,J$2,0),Техника!$F$4:$ABM$4,"Часы",INDEX(Техника!$G$1:$ABN$500,J$2,0),$A$739,INDEX(Техника!$H$1:$ABO$500,J$2,0),"Л")</f>
        <v>0</v>
      </c>
      <c r="K743" s="50">
        <f>SUMIFS(INDEX(Техника!$F$1:$ABM$500,K$2,0),Техника!$F$4:$ABM$4,"Часы",INDEX(Техника!$G$1:$ABN$500,K$2,0),$A$739,INDEX(Техника!$H$1:$ABO$500,K$2,0),"Л")</f>
        <v>0</v>
      </c>
      <c r="L743" s="50">
        <f>SUMIFS(INDEX(Техника!$F$1:$ABM$500,L$2,0),Техника!$F$4:$ABM$4,"Часы",INDEX(Техника!$G$1:$ABN$500,L$2,0),$A$739,INDEX(Техника!$H$1:$ABO$500,L$2,0),"Л")</f>
        <v>0</v>
      </c>
      <c r="M743" s="50">
        <f>SUMIFS(INDEX(Техника!$F$1:$ABM$500,M$2,0),Техника!$F$4:$ABM$4,"Часы",INDEX(Техника!$G$1:$ABN$500,M$2,0),$A$739,INDEX(Техника!$H$1:$ABO$500,M$2,0),"Л")</f>
        <v>0</v>
      </c>
      <c r="N743" s="50">
        <f>SUMIFS(INDEX(Техника!$F$1:$ABM$500,N$2,0),Техника!$F$4:$ABM$4,"Часы",INDEX(Техника!$G$1:$ABN$500,N$2,0),$A$739,INDEX(Техника!$H$1:$ABO$500,N$2,0),"Л")</f>
        <v>0</v>
      </c>
      <c r="O743" s="50">
        <f>SUMIFS(INDEX(Техника!$F$1:$ABM$500,O$2,0),Техника!$F$4:$ABM$4,"Часы",INDEX(Техника!$G$1:$ABN$500,O$2,0),$A$739,INDEX(Техника!$H$1:$ABO$500,O$2,0),"Л")</f>
        <v>0</v>
      </c>
      <c r="P743" s="50">
        <f>SUMIFS(INDEX(Техника!$F$1:$ABM$500,P$2,0),Техника!$F$4:$ABM$4,"Часы",INDEX(Техника!$G$1:$ABN$500,P$2,0),$A$739,INDEX(Техника!$H$1:$ABO$500,P$2,0),"Л")</f>
        <v>0</v>
      </c>
      <c r="Q743" s="50">
        <f>SUMIFS(INDEX(Техника!$F$1:$ABM$500,Q$2,0),Техника!$F$4:$ABM$4,"Часы",INDEX(Техника!$G$1:$ABN$500,Q$2,0),$A$739,INDEX(Техника!$H$1:$ABO$500,Q$2,0),"Л")</f>
        <v>0</v>
      </c>
      <c r="R743" s="50">
        <f>SUMIFS(INDEX(Техника!$F$1:$ABM$500,R$2,0),Техника!$F$4:$ABM$4,"Часы",INDEX(Техника!$G$1:$ABN$500,R$2,0),$A$739,INDEX(Техника!$H$1:$ABO$500,R$2,0),"Л")</f>
        <v>0</v>
      </c>
      <c r="S743" s="50">
        <f>SUMIFS(INDEX(Техника!$F$1:$ABM$500,S$2,0),Техника!$F$4:$ABM$4,"Часы",INDEX(Техника!$G$1:$ABN$500,S$2,0),$A$739,INDEX(Техника!$H$1:$ABO$500,S$2,0),"Л")</f>
        <v>0</v>
      </c>
      <c r="T743" s="50">
        <f>SUMIFS(INDEX(Техника!$F$1:$ABM$500,T$2,0),Техника!$F$4:$ABM$4,"Часы",INDEX(Техника!$G$1:$ABN$500,T$2,0),$A$739,INDEX(Техника!$H$1:$ABO$500,T$2,0),"Л")</f>
        <v>0</v>
      </c>
      <c r="U743" s="50">
        <f>SUMIFS(INDEX(Техника!$F$1:$ABM$500,U$2,0),Техника!$F$4:$ABM$4,"Часы",INDEX(Техника!$G$1:$ABN$500,U$2,0),$A$739,INDEX(Техника!$H$1:$ABO$500,U$2,0),"Л")</f>
        <v>0</v>
      </c>
      <c r="V743" s="50">
        <f>SUMIFS(INDEX(Техника!$F$1:$ABM$500,V$2,0),Техника!$F$4:$ABM$4,"Часы",INDEX(Техника!$G$1:$ABN$500,V$2,0),$A$739,INDEX(Техника!$H$1:$ABO$500,V$2,0),"Л")</f>
        <v>0</v>
      </c>
      <c r="W743" s="50">
        <f>SUMIFS(INDEX(Техника!$F$1:$ABM$500,W$2,0),Техника!$F$4:$ABM$4,"Часы",INDEX(Техника!$G$1:$ABN$500,W$2,0),$A$739,INDEX(Техника!$H$1:$ABO$500,W$2,0),"Л")</f>
        <v>0</v>
      </c>
      <c r="X743" s="50">
        <f>SUMIFS(INDEX(Техника!$F$1:$ABM$500,X$2,0),Техника!$F$4:$ABM$4,"Часы",INDEX(Техника!$G$1:$ABN$500,X$2,0),$A$739,INDEX(Техника!$H$1:$ABO$500,X$2,0),"Л")</f>
        <v>0</v>
      </c>
      <c r="Y743" s="50">
        <f>SUMIFS(INDEX(Техника!$F$1:$ABM$500,Y$2,0),Техника!$F$4:$ABM$4,"Часы",INDEX(Техника!$G$1:$ABN$500,Y$2,0),$A$739,INDEX(Техника!$H$1:$ABO$500,Y$2,0),"Л")</f>
        <v>0</v>
      </c>
      <c r="Z743" s="50">
        <f>SUMIFS(INDEX(Техника!$F$1:$ABM$500,Z$2,0),Техника!$F$4:$ABM$4,"Часы",INDEX(Техника!$G$1:$ABN$500,Z$2,0),$A$739,INDEX(Техника!$H$1:$ABO$500,Z$2,0),"Л")</f>
        <v>0</v>
      </c>
      <c r="AA743" s="50">
        <f>SUMIFS(INDEX(Техника!$F$1:$ABM$500,AA$2,0),Техника!$F$4:$ABM$4,"Часы",INDEX(Техника!$G$1:$ABN$500,AA$2,0),$A$739,INDEX(Техника!$H$1:$ABO$500,AA$2,0),"Л")</f>
        <v>0</v>
      </c>
      <c r="AB743" s="50">
        <f>SUMIFS(INDEX(Техника!$F$1:$ABM$500,AB$2,0),Техника!$F$4:$ABM$4,"Часы",INDEX(Техника!$G$1:$ABN$500,AB$2,0),$A$739,INDEX(Техника!$H$1:$ABO$500,AB$2,0),"Л")</f>
        <v>0</v>
      </c>
    </row>
    <row r="744" spans="1:28" hidden="1" outlineLevel="1" x14ac:dyDescent="0.3">
      <c r="A744" s="33" t="s">
        <v>245</v>
      </c>
      <c r="B744" s="34" t="s">
        <v>279</v>
      </c>
      <c r="C744" s="50">
        <f>SUMIFS(INDEX(Техника!$F$1:$ABM$500,C$2,0),Техника!$F$4:$ABM$4,"Часы",INDEX(Техника!$G$1:$ABN$500,C$2,0),$A$739,INDEX(Техника!$H$1:$ABO$500,C$2,0),"З")</f>
        <v>0</v>
      </c>
      <c r="D744" s="50">
        <f>SUMIFS(INDEX(Техника!$F$1:$ABM$500,D$2,0),Техника!$F$4:$ABM$4,"Часы",INDEX(Техника!$G$1:$ABN$500,D$2,0),$A$739,INDEX(Техника!$H$1:$ABO$500,D$2,0),"З")</f>
        <v>0</v>
      </c>
      <c r="E744" s="50">
        <f>SUMIFS(INDEX(Техника!$F$1:$ABM$500,E$2,0),Техника!$F$4:$ABM$4,"Часы",INDEX(Техника!$G$1:$ABN$500,E$2,0),$A$739,INDEX(Техника!$H$1:$ABO$500,E$2,0),"З")</f>
        <v>0</v>
      </c>
      <c r="F744" s="50">
        <f>SUMIFS(INDEX(Техника!$F$1:$ABM$500,F$2,0),Техника!$F$4:$ABM$4,"Часы",INDEX(Техника!$G$1:$ABN$500,F$2,0),$A$739,INDEX(Техника!$H$1:$ABO$500,F$2,0),"З")</f>
        <v>0</v>
      </c>
      <c r="G744" s="50">
        <f>SUMIFS(INDEX(Техника!$F$1:$ABM$500,G$2,0),Техника!$F$4:$ABM$4,"Часы",INDEX(Техника!$G$1:$ABN$500,G$2,0),$A$739,INDEX(Техника!$H$1:$ABO$500,G$2,0),"З")</f>
        <v>0</v>
      </c>
      <c r="H744" s="50">
        <f>SUMIFS(INDEX(Техника!$F$1:$ABM$500,H$2,0),Техника!$F$4:$ABM$4,"Часы",INDEX(Техника!$G$1:$ABN$500,H$2,0),$A$739,INDEX(Техника!$H$1:$ABO$500,H$2,0),"З")</f>
        <v>0</v>
      </c>
      <c r="I744" s="50">
        <f>SUMIFS(INDEX(Техника!$F$1:$ABM$500,I$2,0),Техника!$F$4:$ABM$4,"Часы",INDEX(Техника!$G$1:$ABN$500,I$2,0),$A$739,INDEX(Техника!$H$1:$ABO$500,I$2,0),"З")</f>
        <v>0</v>
      </c>
      <c r="J744" s="50">
        <f>SUMIFS(INDEX(Техника!$F$1:$ABM$500,J$2,0),Техника!$F$4:$ABM$4,"Часы",INDEX(Техника!$G$1:$ABN$500,J$2,0),$A$739,INDEX(Техника!$H$1:$ABO$500,J$2,0),"З")</f>
        <v>0</v>
      </c>
      <c r="K744" s="50">
        <f>SUMIFS(INDEX(Техника!$F$1:$ABM$500,K$2,0),Техника!$F$4:$ABM$4,"Часы",INDEX(Техника!$G$1:$ABN$500,K$2,0),$A$739,INDEX(Техника!$H$1:$ABO$500,K$2,0),"З")</f>
        <v>0</v>
      </c>
      <c r="L744" s="50">
        <f>SUMIFS(INDEX(Техника!$F$1:$ABM$500,L$2,0),Техника!$F$4:$ABM$4,"Часы",INDEX(Техника!$G$1:$ABN$500,L$2,0),$A$739,INDEX(Техника!$H$1:$ABO$500,L$2,0),"З")</f>
        <v>0</v>
      </c>
      <c r="M744" s="50">
        <f>SUMIFS(INDEX(Техника!$F$1:$ABM$500,M$2,0),Техника!$F$4:$ABM$4,"Часы",INDEX(Техника!$G$1:$ABN$500,M$2,0),$A$739,INDEX(Техника!$H$1:$ABO$500,M$2,0),"З")</f>
        <v>0</v>
      </c>
      <c r="N744" s="50">
        <f>SUMIFS(INDEX(Техника!$F$1:$ABM$500,N$2,0),Техника!$F$4:$ABM$4,"Часы",INDEX(Техника!$G$1:$ABN$500,N$2,0),$A$739,INDEX(Техника!$H$1:$ABO$500,N$2,0),"З")</f>
        <v>0</v>
      </c>
      <c r="O744" s="50">
        <f>SUMIFS(INDEX(Техника!$F$1:$ABM$500,O$2,0),Техника!$F$4:$ABM$4,"Часы",INDEX(Техника!$G$1:$ABN$500,O$2,0),$A$739,INDEX(Техника!$H$1:$ABO$500,O$2,0),"З")</f>
        <v>0</v>
      </c>
      <c r="P744" s="50">
        <f>SUMIFS(INDEX(Техника!$F$1:$ABM$500,P$2,0),Техника!$F$4:$ABM$4,"Часы",INDEX(Техника!$G$1:$ABN$500,P$2,0),$A$739,INDEX(Техника!$H$1:$ABO$500,P$2,0),"З")</f>
        <v>0</v>
      </c>
      <c r="Q744" s="50">
        <f>SUMIFS(INDEX(Техника!$F$1:$ABM$500,Q$2,0),Техника!$F$4:$ABM$4,"Часы",INDEX(Техника!$G$1:$ABN$500,Q$2,0),$A$739,INDEX(Техника!$H$1:$ABO$500,Q$2,0),"З")</f>
        <v>0</v>
      </c>
      <c r="R744" s="50">
        <f>SUMIFS(INDEX(Техника!$F$1:$ABM$500,R$2,0),Техника!$F$4:$ABM$4,"Часы",INDEX(Техника!$G$1:$ABN$500,R$2,0),$A$739,INDEX(Техника!$H$1:$ABO$500,R$2,0),"З")</f>
        <v>0</v>
      </c>
      <c r="S744" s="50">
        <f>SUMIFS(INDEX(Техника!$F$1:$ABM$500,S$2,0),Техника!$F$4:$ABM$4,"Часы",INDEX(Техника!$G$1:$ABN$500,S$2,0),$A$739,INDEX(Техника!$H$1:$ABO$500,S$2,0),"З")</f>
        <v>0</v>
      </c>
      <c r="T744" s="50">
        <f>SUMIFS(INDEX(Техника!$F$1:$ABM$500,T$2,0),Техника!$F$4:$ABM$4,"Часы",INDEX(Техника!$G$1:$ABN$500,T$2,0),$A$739,INDEX(Техника!$H$1:$ABO$500,T$2,0),"З")</f>
        <v>0</v>
      </c>
      <c r="U744" s="50">
        <f>SUMIFS(INDEX(Техника!$F$1:$ABM$500,U$2,0),Техника!$F$4:$ABM$4,"Часы",INDEX(Техника!$G$1:$ABN$500,U$2,0),$A$739,INDEX(Техника!$H$1:$ABO$500,U$2,0),"З")</f>
        <v>0</v>
      </c>
      <c r="V744" s="50">
        <f>SUMIFS(INDEX(Техника!$F$1:$ABM$500,V$2,0),Техника!$F$4:$ABM$4,"Часы",INDEX(Техника!$G$1:$ABN$500,V$2,0),$A$739,INDEX(Техника!$H$1:$ABO$500,V$2,0),"З")</f>
        <v>0</v>
      </c>
      <c r="W744" s="50">
        <f>SUMIFS(INDEX(Техника!$F$1:$ABM$500,W$2,0),Техника!$F$4:$ABM$4,"Часы",INDEX(Техника!$G$1:$ABN$500,W$2,0),$A$739,INDEX(Техника!$H$1:$ABO$500,W$2,0),"З")</f>
        <v>0</v>
      </c>
      <c r="X744" s="50">
        <f>SUMIFS(INDEX(Техника!$F$1:$ABM$500,X$2,0),Техника!$F$4:$ABM$4,"Часы",INDEX(Техника!$G$1:$ABN$500,X$2,0),$A$739,INDEX(Техника!$H$1:$ABO$500,X$2,0),"З")</f>
        <v>0</v>
      </c>
      <c r="Y744" s="50">
        <f>SUMIFS(INDEX(Техника!$F$1:$ABM$500,Y$2,0),Техника!$F$4:$ABM$4,"Часы",INDEX(Техника!$G$1:$ABN$500,Y$2,0),$A$739,INDEX(Техника!$H$1:$ABO$500,Y$2,0),"З")</f>
        <v>0</v>
      </c>
      <c r="Z744" s="50">
        <f>SUMIFS(INDEX(Техника!$F$1:$ABM$500,Z$2,0),Техника!$F$4:$ABM$4,"Часы",INDEX(Техника!$G$1:$ABN$500,Z$2,0),$A$739,INDEX(Техника!$H$1:$ABO$500,Z$2,0),"З")</f>
        <v>0</v>
      </c>
      <c r="AA744" s="50">
        <f>SUMIFS(INDEX(Техника!$F$1:$ABM$500,AA$2,0),Техника!$F$4:$ABM$4,"Часы",INDEX(Техника!$G$1:$ABN$500,AA$2,0),$A$739,INDEX(Техника!$H$1:$ABO$500,AA$2,0),"З")</f>
        <v>0</v>
      </c>
      <c r="AB744" s="50">
        <f>SUMIFS(INDEX(Техника!$F$1:$ABM$500,AB$2,0),Техника!$F$4:$ABM$4,"Часы",INDEX(Техника!$G$1:$ABN$500,AB$2,0),$A$739,INDEX(Техника!$H$1:$ABO$500,AB$2,0),"З")</f>
        <v>0</v>
      </c>
    </row>
    <row r="745" spans="1:28" ht="7.95" customHeight="1" x14ac:dyDescent="0.3">
      <c r="A745" s="38"/>
      <c r="B745" s="39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</row>
    <row r="746" spans="1:28" ht="25.05" customHeight="1" collapsed="1" x14ac:dyDescent="0.3">
      <c r="A746" s="32">
        <v>107</v>
      </c>
      <c r="B746" s="32" t="s">
        <v>108</v>
      </c>
      <c r="C746" s="49">
        <f>SUM(C747:C751)</f>
        <v>0</v>
      </c>
      <c r="D746" s="49">
        <f>SUM(D747:D751)</f>
        <v>0</v>
      </c>
      <c r="E746" s="49">
        <f>SUM(E747:E751)</f>
        <v>0</v>
      </c>
      <c r="F746" s="49">
        <f>SUM(F747:F751)</f>
        <v>0</v>
      </c>
      <c r="G746" s="49">
        <f>SUM(G747:G751)</f>
        <v>0</v>
      </c>
      <c r="H746" s="49">
        <f>SUM(H747:H751)</f>
        <v>0</v>
      </c>
      <c r="I746" s="49">
        <f>SUM(I747:I751)</f>
        <v>0</v>
      </c>
      <c r="J746" s="49">
        <f>SUM(J747:J751)</f>
        <v>0</v>
      </c>
      <c r="K746" s="49">
        <f>SUM(K747:K751)</f>
        <v>0</v>
      </c>
      <c r="L746" s="49">
        <f>SUM(L747:L751)</f>
        <v>0</v>
      </c>
      <c r="M746" s="49">
        <f>SUM(M747:M751)</f>
        <v>0</v>
      </c>
      <c r="N746" s="49">
        <f>SUM(N747:N751)</f>
        <v>0</v>
      </c>
      <c r="O746" s="49">
        <f>SUM(O747:O751)</f>
        <v>0</v>
      </c>
      <c r="P746" s="49">
        <f>SUM(P747:P751)</f>
        <v>0</v>
      </c>
      <c r="Q746" s="49">
        <f>SUM(Q747:Q751)</f>
        <v>0</v>
      </c>
      <c r="R746" s="49">
        <f>SUM(R747:R751)</f>
        <v>0</v>
      </c>
      <c r="S746" s="49">
        <f>SUM(S747:S751)</f>
        <v>0</v>
      </c>
      <c r="T746" s="49">
        <f>SUM(T747:T751)</f>
        <v>0</v>
      </c>
      <c r="U746" s="49">
        <f>SUM(U747:U751)</f>
        <v>0</v>
      </c>
      <c r="V746" s="49">
        <f>SUM(V747:V751)</f>
        <v>0</v>
      </c>
      <c r="W746" s="49">
        <f>SUM(W747:W751)</f>
        <v>0</v>
      </c>
      <c r="X746" s="49">
        <f>SUM(X747:X751)</f>
        <v>0</v>
      </c>
      <c r="Y746" s="49">
        <f>SUM(Y747:Y751)</f>
        <v>0</v>
      </c>
      <c r="Z746" s="49">
        <f>SUM(Z747:Z751)</f>
        <v>0</v>
      </c>
      <c r="AA746" s="49">
        <f>SUM(AA747:AA751)</f>
        <v>0</v>
      </c>
      <c r="AB746" s="49">
        <f>SUM(AB747:AB751)</f>
        <v>0</v>
      </c>
    </row>
    <row r="747" spans="1:28" hidden="1" outlineLevel="1" x14ac:dyDescent="0.3">
      <c r="A747" s="33" t="s">
        <v>246</v>
      </c>
      <c r="B747" s="34" t="s">
        <v>274</v>
      </c>
      <c r="C747" s="50">
        <f>SUMIFS(INDEX(Техника!$F$1:$ABM$500,C$2,0),Техника!$F$4:$ABM$4,"Часы",INDEX(Техника!$G$1:$ABN$500,C$2,0),$A$746,INDEX(Техника!$H$1:$ABO$500,C$2,0),"М")</f>
        <v>0</v>
      </c>
      <c r="D747" s="50">
        <f>SUMIFS(INDEX(Техника!$F$1:$ABM$500,D$2,0),Техника!$F$4:$ABM$4,"Часы",INDEX(Техника!$G$1:$ABN$500,D$2,0),$A$746,INDEX(Техника!$H$1:$ABO$500,D$2,0),"М")</f>
        <v>0</v>
      </c>
      <c r="E747" s="50">
        <f>SUMIFS(INDEX(Техника!$F$1:$ABM$500,E$2,0),Техника!$F$4:$ABM$4,"Часы",INDEX(Техника!$G$1:$ABN$500,E$2,0),$A$746,INDEX(Техника!$H$1:$ABO$500,E$2,0),"М")</f>
        <v>0</v>
      </c>
      <c r="F747" s="50">
        <f>SUMIFS(INDEX(Техника!$F$1:$ABM$500,F$2,0),Техника!$F$4:$ABM$4,"Часы",INDEX(Техника!$G$1:$ABN$500,F$2,0),$A$746,INDEX(Техника!$H$1:$ABO$500,F$2,0),"М")</f>
        <v>0</v>
      </c>
      <c r="G747" s="50">
        <f>SUMIFS(INDEX(Техника!$F$1:$ABM$500,G$2,0),Техника!$F$4:$ABM$4,"Часы",INDEX(Техника!$G$1:$ABN$500,G$2,0),$A$746,INDEX(Техника!$H$1:$ABO$500,G$2,0),"М")</f>
        <v>0</v>
      </c>
      <c r="H747" s="50">
        <f>SUMIFS(INDEX(Техника!$F$1:$ABM$500,H$2,0),Техника!$F$4:$ABM$4,"Часы",INDEX(Техника!$G$1:$ABN$500,H$2,0),$A$746,INDEX(Техника!$H$1:$ABO$500,H$2,0),"М")</f>
        <v>0</v>
      </c>
      <c r="I747" s="50">
        <f>SUMIFS(INDEX(Техника!$F$1:$ABM$500,I$2,0),Техника!$F$4:$ABM$4,"Часы",INDEX(Техника!$G$1:$ABN$500,I$2,0),$A$746,INDEX(Техника!$H$1:$ABO$500,I$2,0),"М")</f>
        <v>0</v>
      </c>
      <c r="J747" s="50">
        <f>SUMIFS(INDEX(Техника!$F$1:$ABM$500,J$2,0),Техника!$F$4:$ABM$4,"Часы",INDEX(Техника!$G$1:$ABN$500,J$2,0),$A$746,INDEX(Техника!$H$1:$ABO$500,J$2,0),"М")</f>
        <v>0</v>
      </c>
      <c r="K747" s="50">
        <f>SUMIFS(INDEX(Техника!$F$1:$ABM$500,K$2,0),Техника!$F$4:$ABM$4,"Часы",INDEX(Техника!$G$1:$ABN$500,K$2,0),$A$746,INDEX(Техника!$H$1:$ABO$500,K$2,0),"М")</f>
        <v>0</v>
      </c>
      <c r="L747" s="50">
        <f>SUMIFS(INDEX(Техника!$F$1:$ABM$500,L$2,0),Техника!$F$4:$ABM$4,"Часы",INDEX(Техника!$G$1:$ABN$500,L$2,0),$A$746,INDEX(Техника!$H$1:$ABO$500,L$2,0),"М")</f>
        <v>0</v>
      </c>
      <c r="M747" s="50">
        <f>SUMIFS(INDEX(Техника!$F$1:$ABM$500,M$2,0),Техника!$F$4:$ABM$4,"Часы",INDEX(Техника!$G$1:$ABN$500,M$2,0),$A$746,INDEX(Техника!$H$1:$ABO$500,M$2,0),"М")</f>
        <v>0</v>
      </c>
      <c r="N747" s="50">
        <f>SUMIFS(INDEX(Техника!$F$1:$ABM$500,N$2,0),Техника!$F$4:$ABM$4,"Часы",INDEX(Техника!$G$1:$ABN$500,N$2,0),$A$746,INDEX(Техника!$H$1:$ABO$500,N$2,0),"М")</f>
        <v>0</v>
      </c>
      <c r="O747" s="50">
        <f>SUMIFS(INDEX(Техника!$F$1:$ABM$500,O$2,0),Техника!$F$4:$ABM$4,"Часы",INDEX(Техника!$G$1:$ABN$500,O$2,0),$A$746,INDEX(Техника!$H$1:$ABO$500,O$2,0),"М")</f>
        <v>0</v>
      </c>
      <c r="P747" s="50">
        <f>SUMIFS(INDEX(Техника!$F$1:$ABM$500,P$2,0),Техника!$F$4:$ABM$4,"Часы",INDEX(Техника!$G$1:$ABN$500,P$2,0),$A$746,INDEX(Техника!$H$1:$ABO$500,P$2,0),"М")</f>
        <v>0</v>
      </c>
      <c r="Q747" s="50">
        <f>SUMIFS(INDEX(Техника!$F$1:$ABM$500,Q$2,0),Техника!$F$4:$ABM$4,"Часы",INDEX(Техника!$G$1:$ABN$500,Q$2,0),$A$746,INDEX(Техника!$H$1:$ABO$500,Q$2,0),"М")</f>
        <v>0</v>
      </c>
      <c r="R747" s="50">
        <f>SUMIFS(INDEX(Техника!$F$1:$ABM$500,R$2,0),Техника!$F$4:$ABM$4,"Часы",INDEX(Техника!$G$1:$ABN$500,R$2,0),$A$746,INDEX(Техника!$H$1:$ABO$500,R$2,0),"М")</f>
        <v>0</v>
      </c>
      <c r="S747" s="50">
        <f>SUMIFS(INDEX(Техника!$F$1:$ABM$500,S$2,0),Техника!$F$4:$ABM$4,"Часы",INDEX(Техника!$G$1:$ABN$500,S$2,0),$A$746,INDEX(Техника!$H$1:$ABO$500,S$2,0),"М")</f>
        <v>0</v>
      </c>
      <c r="T747" s="50">
        <f>SUMIFS(INDEX(Техника!$F$1:$ABM$500,T$2,0),Техника!$F$4:$ABM$4,"Часы",INDEX(Техника!$G$1:$ABN$500,T$2,0),$A$746,INDEX(Техника!$H$1:$ABO$500,T$2,0),"М")</f>
        <v>0</v>
      </c>
      <c r="U747" s="50">
        <f>SUMIFS(INDEX(Техника!$F$1:$ABM$500,U$2,0),Техника!$F$4:$ABM$4,"Часы",INDEX(Техника!$G$1:$ABN$500,U$2,0),$A$746,INDEX(Техника!$H$1:$ABO$500,U$2,0),"М")</f>
        <v>0</v>
      </c>
      <c r="V747" s="50">
        <f>SUMIFS(INDEX(Техника!$F$1:$ABM$500,V$2,0),Техника!$F$4:$ABM$4,"Часы",INDEX(Техника!$G$1:$ABN$500,V$2,0),$A$746,INDEX(Техника!$H$1:$ABO$500,V$2,0),"М")</f>
        <v>0</v>
      </c>
      <c r="W747" s="50">
        <f>SUMIFS(INDEX(Техника!$F$1:$ABM$500,W$2,0),Техника!$F$4:$ABM$4,"Часы",INDEX(Техника!$G$1:$ABN$500,W$2,0),$A$746,INDEX(Техника!$H$1:$ABO$500,W$2,0),"М")</f>
        <v>0</v>
      </c>
      <c r="X747" s="50">
        <f>SUMIFS(INDEX(Техника!$F$1:$ABM$500,X$2,0),Техника!$F$4:$ABM$4,"Часы",INDEX(Техника!$G$1:$ABN$500,X$2,0),$A$746,INDEX(Техника!$H$1:$ABO$500,X$2,0),"М")</f>
        <v>0</v>
      </c>
      <c r="Y747" s="50">
        <f>SUMIFS(INDEX(Техника!$F$1:$ABM$500,Y$2,0),Техника!$F$4:$ABM$4,"Часы",INDEX(Техника!$G$1:$ABN$500,Y$2,0),$A$746,INDEX(Техника!$H$1:$ABO$500,Y$2,0),"М")</f>
        <v>0</v>
      </c>
      <c r="Z747" s="50">
        <f>SUMIFS(INDEX(Техника!$F$1:$ABM$500,Z$2,0),Техника!$F$4:$ABM$4,"Часы",INDEX(Техника!$G$1:$ABN$500,Z$2,0),$A$746,INDEX(Техника!$H$1:$ABO$500,Z$2,0),"М")</f>
        <v>0</v>
      </c>
      <c r="AA747" s="50">
        <f>SUMIFS(INDEX(Техника!$F$1:$ABM$500,AA$2,0),Техника!$F$4:$ABM$4,"Часы",INDEX(Техника!$G$1:$ABN$500,AA$2,0),$A$746,INDEX(Техника!$H$1:$ABO$500,AA$2,0),"М")</f>
        <v>0</v>
      </c>
      <c r="AB747" s="50">
        <f>SUMIFS(INDEX(Техника!$F$1:$ABM$500,AB$2,0),Техника!$F$4:$ABM$4,"Часы",INDEX(Техника!$G$1:$ABN$500,AB$2,0),$A$746,INDEX(Техника!$H$1:$ABO$500,AB$2,0),"М")</f>
        <v>0</v>
      </c>
    </row>
    <row r="748" spans="1:28" hidden="1" outlineLevel="1" x14ac:dyDescent="0.3">
      <c r="A748" s="33" t="s">
        <v>244</v>
      </c>
      <c r="B748" s="34" t="s">
        <v>275</v>
      </c>
      <c r="C748" s="50">
        <f>SUMIFS(INDEX(Техника!$F$1:$ABM$500,C$2,0),Техника!$F$4:$ABM$4,"Часы",INDEX(Техника!$G$1:$ABN$500,C$2,0),$A$746,INDEX(Техника!$H$1:$ABO$500,C$2,0),"Д")</f>
        <v>0</v>
      </c>
      <c r="D748" s="50">
        <f>SUMIFS(INDEX(Техника!$F$1:$ABM$500,D$2,0),Техника!$F$4:$ABM$4,"Часы",INDEX(Техника!$G$1:$ABN$500,D$2,0),$A$746,INDEX(Техника!$H$1:$ABO$500,D$2,0),"Д")</f>
        <v>0</v>
      </c>
      <c r="E748" s="50">
        <f>SUMIFS(INDEX(Техника!$F$1:$ABM$500,E$2,0),Техника!$F$4:$ABM$4,"Часы",INDEX(Техника!$G$1:$ABN$500,E$2,0),$A$746,INDEX(Техника!$H$1:$ABO$500,E$2,0),"Д")</f>
        <v>0</v>
      </c>
      <c r="F748" s="50">
        <f>SUMIFS(INDEX(Техника!$F$1:$ABM$500,F$2,0),Техника!$F$4:$ABM$4,"Часы",INDEX(Техника!$G$1:$ABN$500,F$2,0),$A$746,INDEX(Техника!$H$1:$ABO$500,F$2,0),"Д")</f>
        <v>0</v>
      </c>
      <c r="G748" s="50">
        <f>SUMIFS(INDEX(Техника!$F$1:$ABM$500,G$2,0),Техника!$F$4:$ABM$4,"Часы",INDEX(Техника!$G$1:$ABN$500,G$2,0),$A$746,INDEX(Техника!$H$1:$ABO$500,G$2,0),"Д")</f>
        <v>0</v>
      </c>
      <c r="H748" s="50">
        <f>SUMIFS(INDEX(Техника!$F$1:$ABM$500,H$2,0),Техника!$F$4:$ABM$4,"Часы",INDEX(Техника!$G$1:$ABN$500,H$2,0),$A$746,INDEX(Техника!$H$1:$ABO$500,H$2,0),"Д")</f>
        <v>0</v>
      </c>
      <c r="I748" s="50">
        <f>SUMIFS(INDEX(Техника!$F$1:$ABM$500,I$2,0),Техника!$F$4:$ABM$4,"Часы",INDEX(Техника!$G$1:$ABN$500,I$2,0),$A$746,INDEX(Техника!$H$1:$ABO$500,I$2,0),"Д")</f>
        <v>0</v>
      </c>
      <c r="J748" s="50">
        <f>SUMIFS(INDEX(Техника!$F$1:$ABM$500,J$2,0),Техника!$F$4:$ABM$4,"Часы",INDEX(Техника!$G$1:$ABN$500,J$2,0),$A$746,INDEX(Техника!$H$1:$ABO$500,J$2,0),"Д")</f>
        <v>0</v>
      </c>
      <c r="K748" s="50">
        <f>SUMIFS(INDEX(Техника!$F$1:$ABM$500,K$2,0),Техника!$F$4:$ABM$4,"Часы",INDEX(Техника!$G$1:$ABN$500,K$2,0),$A$746,INDEX(Техника!$H$1:$ABO$500,K$2,0),"Д")</f>
        <v>0</v>
      </c>
      <c r="L748" s="50">
        <f>SUMIFS(INDEX(Техника!$F$1:$ABM$500,L$2,0),Техника!$F$4:$ABM$4,"Часы",INDEX(Техника!$G$1:$ABN$500,L$2,0),$A$746,INDEX(Техника!$H$1:$ABO$500,L$2,0),"Д")</f>
        <v>0</v>
      </c>
      <c r="M748" s="50">
        <f>SUMIFS(INDEX(Техника!$F$1:$ABM$500,M$2,0),Техника!$F$4:$ABM$4,"Часы",INDEX(Техника!$G$1:$ABN$500,M$2,0),$A$746,INDEX(Техника!$H$1:$ABO$500,M$2,0),"Д")</f>
        <v>0</v>
      </c>
      <c r="N748" s="50">
        <f>SUMIFS(INDEX(Техника!$F$1:$ABM$500,N$2,0),Техника!$F$4:$ABM$4,"Часы",INDEX(Техника!$G$1:$ABN$500,N$2,0),$A$746,INDEX(Техника!$H$1:$ABO$500,N$2,0),"Д")</f>
        <v>0</v>
      </c>
      <c r="O748" s="50">
        <f>SUMIFS(INDEX(Техника!$F$1:$ABM$500,O$2,0),Техника!$F$4:$ABM$4,"Часы",INDEX(Техника!$G$1:$ABN$500,O$2,0),$A$746,INDEX(Техника!$H$1:$ABO$500,O$2,0),"Д")</f>
        <v>0</v>
      </c>
      <c r="P748" s="50">
        <f>SUMIFS(INDEX(Техника!$F$1:$ABM$500,P$2,0),Техника!$F$4:$ABM$4,"Часы",INDEX(Техника!$G$1:$ABN$500,P$2,0),$A$746,INDEX(Техника!$H$1:$ABO$500,P$2,0),"Д")</f>
        <v>0</v>
      </c>
      <c r="Q748" s="50">
        <f>SUMIFS(INDEX(Техника!$F$1:$ABM$500,Q$2,0),Техника!$F$4:$ABM$4,"Часы",INDEX(Техника!$G$1:$ABN$500,Q$2,0),$A$746,INDEX(Техника!$H$1:$ABO$500,Q$2,0),"Д")</f>
        <v>0</v>
      </c>
      <c r="R748" s="50">
        <f>SUMIFS(INDEX(Техника!$F$1:$ABM$500,R$2,0),Техника!$F$4:$ABM$4,"Часы",INDEX(Техника!$G$1:$ABN$500,R$2,0),$A$746,INDEX(Техника!$H$1:$ABO$500,R$2,0),"Д")</f>
        <v>0</v>
      </c>
      <c r="S748" s="50">
        <f>SUMIFS(INDEX(Техника!$F$1:$ABM$500,S$2,0),Техника!$F$4:$ABM$4,"Часы",INDEX(Техника!$G$1:$ABN$500,S$2,0),$A$746,INDEX(Техника!$H$1:$ABO$500,S$2,0),"Д")</f>
        <v>0</v>
      </c>
      <c r="T748" s="50">
        <f>SUMIFS(INDEX(Техника!$F$1:$ABM$500,T$2,0),Техника!$F$4:$ABM$4,"Часы",INDEX(Техника!$G$1:$ABN$500,T$2,0),$A$746,INDEX(Техника!$H$1:$ABO$500,T$2,0),"Д")</f>
        <v>0</v>
      </c>
      <c r="U748" s="50">
        <f>SUMIFS(INDEX(Техника!$F$1:$ABM$500,U$2,0),Техника!$F$4:$ABM$4,"Часы",INDEX(Техника!$G$1:$ABN$500,U$2,0),$A$746,INDEX(Техника!$H$1:$ABO$500,U$2,0),"Д")</f>
        <v>0</v>
      </c>
      <c r="V748" s="50">
        <f>SUMIFS(INDEX(Техника!$F$1:$ABM$500,V$2,0),Техника!$F$4:$ABM$4,"Часы",INDEX(Техника!$G$1:$ABN$500,V$2,0),$A$746,INDEX(Техника!$H$1:$ABO$500,V$2,0),"Д")</f>
        <v>0</v>
      </c>
      <c r="W748" s="50">
        <f>SUMIFS(INDEX(Техника!$F$1:$ABM$500,W$2,0),Техника!$F$4:$ABM$4,"Часы",INDEX(Техника!$G$1:$ABN$500,W$2,0),$A$746,INDEX(Техника!$H$1:$ABO$500,W$2,0),"Д")</f>
        <v>0</v>
      </c>
      <c r="X748" s="50">
        <f>SUMIFS(INDEX(Техника!$F$1:$ABM$500,X$2,0),Техника!$F$4:$ABM$4,"Часы",INDEX(Техника!$G$1:$ABN$500,X$2,0),$A$746,INDEX(Техника!$H$1:$ABO$500,X$2,0),"Д")</f>
        <v>0</v>
      </c>
      <c r="Y748" s="50">
        <f>SUMIFS(INDEX(Техника!$F$1:$ABM$500,Y$2,0),Техника!$F$4:$ABM$4,"Часы",INDEX(Техника!$G$1:$ABN$500,Y$2,0),$A$746,INDEX(Техника!$H$1:$ABO$500,Y$2,0),"Д")</f>
        <v>0</v>
      </c>
      <c r="Z748" s="50">
        <f>SUMIFS(INDEX(Техника!$F$1:$ABM$500,Z$2,0),Техника!$F$4:$ABM$4,"Часы",INDEX(Техника!$G$1:$ABN$500,Z$2,0),$A$746,INDEX(Техника!$H$1:$ABO$500,Z$2,0),"Д")</f>
        <v>0</v>
      </c>
      <c r="AA748" s="50">
        <f>SUMIFS(INDEX(Техника!$F$1:$ABM$500,AA$2,0),Техника!$F$4:$ABM$4,"Часы",INDEX(Техника!$G$1:$ABN$500,AA$2,0),$A$746,INDEX(Техника!$H$1:$ABO$500,AA$2,0),"Д")</f>
        <v>0</v>
      </c>
      <c r="AB748" s="50">
        <f>SUMIFS(INDEX(Техника!$F$1:$ABM$500,AB$2,0),Техника!$F$4:$ABM$4,"Часы",INDEX(Техника!$G$1:$ABN$500,AB$2,0),$A$746,INDEX(Техника!$H$1:$ABO$500,AB$2,0),"Д")</f>
        <v>0</v>
      </c>
    </row>
    <row r="749" spans="1:28" hidden="1" outlineLevel="1" x14ac:dyDescent="0.3">
      <c r="A749" s="33" t="s">
        <v>276</v>
      </c>
      <c r="B749" s="34" t="s">
        <v>277</v>
      </c>
      <c r="C749" s="50">
        <f>SUMIFS(INDEX(Техника!$F$1:$ABM$500,C$2,0),Техника!$F$4:$ABM$4,"Часы",INDEX(Техника!$G$1:$ABN$500,C$2,0),$A$746,INDEX(Техника!$H$1:$ABO$500,C$2,0),"П")</f>
        <v>0</v>
      </c>
      <c r="D749" s="50">
        <f>SUMIFS(INDEX(Техника!$F$1:$ABM$500,D$2,0),Техника!$F$4:$ABM$4,"Часы",INDEX(Техника!$G$1:$ABN$500,D$2,0),$A$746,INDEX(Техника!$H$1:$ABO$500,D$2,0),"П")</f>
        <v>0</v>
      </c>
      <c r="E749" s="50">
        <f>SUMIFS(INDEX(Техника!$F$1:$ABM$500,E$2,0),Техника!$F$4:$ABM$4,"Часы",INDEX(Техника!$G$1:$ABN$500,E$2,0),$A$746,INDEX(Техника!$H$1:$ABO$500,E$2,0),"П")</f>
        <v>0</v>
      </c>
      <c r="F749" s="50">
        <f>SUMIFS(INDEX(Техника!$F$1:$ABM$500,F$2,0),Техника!$F$4:$ABM$4,"Часы",INDEX(Техника!$G$1:$ABN$500,F$2,0),$A$746,INDEX(Техника!$H$1:$ABO$500,F$2,0),"П")</f>
        <v>0</v>
      </c>
      <c r="G749" s="50">
        <f>SUMIFS(INDEX(Техника!$F$1:$ABM$500,G$2,0),Техника!$F$4:$ABM$4,"Часы",INDEX(Техника!$G$1:$ABN$500,G$2,0),$A$746,INDEX(Техника!$H$1:$ABO$500,G$2,0),"П")</f>
        <v>0</v>
      </c>
      <c r="H749" s="50">
        <f>SUMIFS(INDEX(Техника!$F$1:$ABM$500,H$2,0),Техника!$F$4:$ABM$4,"Часы",INDEX(Техника!$G$1:$ABN$500,H$2,0),$A$746,INDEX(Техника!$H$1:$ABO$500,H$2,0),"П")</f>
        <v>0</v>
      </c>
      <c r="I749" s="50">
        <f>SUMIFS(INDEX(Техника!$F$1:$ABM$500,I$2,0),Техника!$F$4:$ABM$4,"Часы",INDEX(Техника!$G$1:$ABN$500,I$2,0),$A$746,INDEX(Техника!$H$1:$ABO$500,I$2,0),"П")</f>
        <v>0</v>
      </c>
      <c r="J749" s="50">
        <f>SUMIFS(INDEX(Техника!$F$1:$ABM$500,J$2,0),Техника!$F$4:$ABM$4,"Часы",INDEX(Техника!$G$1:$ABN$500,J$2,0),$A$746,INDEX(Техника!$H$1:$ABO$500,J$2,0),"П")</f>
        <v>0</v>
      </c>
      <c r="K749" s="50">
        <f>SUMIFS(INDEX(Техника!$F$1:$ABM$500,K$2,0),Техника!$F$4:$ABM$4,"Часы",INDEX(Техника!$G$1:$ABN$500,K$2,0),$A$746,INDEX(Техника!$H$1:$ABO$500,K$2,0),"П")</f>
        <v>0</v>
      </c>
      <c r="L749" s="50">
        <f>SUMIFS(INDEX(Техника!$F$1:$ABM$500,L$2,0),Техника!$F$4:$ABM$4,"Часы",INDEX(Техника!$G$1:$ABN$500,L$2,0),$A$746,INDEX(Техника!$H$1:$ABO$500,L$2,0),"П")</f>
        <v>0</v>
      </c>
      <c r="M749" s="50">
        <f>SUMIFS(INDEX(Техника!$F$1:$ABM$500,M$2,0),Техника!$F$4:$ABM$4,"Часы",INDEX(Техника!$G$1:$ABN$500,M$2,0),$A$746,INDEX(Техника!$H$1:$ABO$500,M$2,0),"П")</f>
        <v>0</v>
      </c>
      <c r="N749" s="50">
        <f>SUMIFS(INDEX(Техника!$F$1:$ABM$500,N$2,0),Техника!$F$4:$ABM$4,"Часы",INDEX(Техника!$G$1:$ABN$500,N$2,0),$A$746,INDEX(Техника!$H$1:$ABO$500,N$2,0),"П")</f>
        <v>0</v>
      </c>
      <c r="O749" s="50">
        <f>SUMIFS(INDEX(Техника!$F$1:$ABM$500,O$2,0),Техника!$F$4:$ABM$4,"Часы",INDEX(Техника!$G$1:$ABN$500,O$2,0),$A$746,INDEX(Техника!$H$1:$ABO$500,O$2,0),"П")</f>
        <v>0</v>
      </c>
      <c r="P749" s="50">
        <f>SUMIFS(INDEX(Техника!$F$1:$ABM$500,P$2,0),Техника!$F$4:$ABM$4,"Часы",INDEX(Техника!$G$1:$ABN$500,P$2,0),$A$746,INDEX(Техника!$H$1:$ABO$500,P$2,0),"П")</f>
        <v>0</v>
      </c>
      <c r="Q749" s="50">
        <f>SUMIFS(INDEX(Техника!$F$1:$ABM$500,Q$2,0),Техника!$F$4:$ABM$4,"Часы",INDEX(Техника!$G$1:$ABN$500,Q$2,0),$A$746,INDEX(Техника!$H$1:$ABO$500,Q$2,0),"П")</f>
        <v>0</v>
      </c>
      <c r="R749" s="50">
        <f>SUMIFS(INDEX(Техника!$F$1:$ABM$500,R$2,0),Техника!$F$4:$ABM$4,"Часы",INDEX(Техника!$G$1:$ABN$500,R$2,0),$A$746,INDEX(Техника!$H$1:$ABO$500,R$2,0),"П")</f>
        <v>0</v>
      </c>
      <c r="S749" s="50">
        <f>SUMIFS(INDEX(Техника!$F$1:$ABM$500,S$2,0),Техника!$F$4:$ABM$4,"Часы",INDEX(Техника!$G$1:$ABN$500,S$2,0),$A$746,INDEX(Техника!$H$1:$ABO$500,S$2,0),"П")</f>
        <v>0</v>
      </c>
      <c r="T749" s="50">
        <f>SUMIFS(INDEX(Техника!$F$1:$ABM$500,T$2,0),Техника!$F$4:$ABM$4,"Часы",INDEX(Техника!$G$1:$ABN$500,T$2,0),$A$746,INDEX(Техника!$H$1:$ABO$500,T$2,0),"П")</f>
        <v>0</v>
      </c>
      <c r="U749" s="50">
        <f>SUMIFS(INDEX(Техника!$F$1:$ABM$500,U$2,0),Техника!$F$4:$ABM$4,"Часы",INDEX(Техника!$G$1:$ABN$500,U$2,0),$A$746,INDEX(Техника!$H$1:$ABO$500,U$2,0),"П")</f>
        <v>0</v>
      </c>
      <c r="V749" s="50">
        <f>SUMIFS(INDEX(Техника!$F$1:$ABM$500,V$2,0),Техника!$F$4:$ABM$4,"Часы",INDEX(Техника!$G$1:$ABN$500,V$2,0),$A$746,INDEX(Техника!$H$1:$ABO$500,V$2,0),"П")</f>
        <v>0</v>
      </c>
      <c r="W749" s="50">
        <f>SUMIFS(INDEX(Техника!$F$1:$ABM$500,W$2,0),Техника!$F$4:$ABM$4,"Часы",INDEX(Техника!$G$1:$ABN$500,W$2,0),$A$746,INDEX(Техника!$H$1:$ABO$500,W$2,0),"П")</f>
        <v>0</v>
      </c>
      <c r="X749" s="50">
        <f>SUMIFS(INDEX(Техника!$F$1:$ABM$500,X$2,0),Техника!$F$4:$ABM$4,"Часы",INDEX(Техника!$G$1:$ABN$500,X$2,0),$A$746,INDEX(Техника!$H$1:$ABO$500,X$2,0),"П")</f>
        <v>0</v>
      </c>
      <c r="Y749" s="50">
        <f>SUMIFS(INDEX(Техника!$F$1:$ABM$500,Y$2,0),Техника!$F$4:$ABM$4,"Часы",INDEX(Техника!$G$1:$ABN$500,Y$2,0),$A$746,INDEX(Техника!$H$1:$ABO$500,Y$2,0),"П")</f>
        <v>0</v>
      </c>
      <c r="Z749" s="50">
        <f>SUMIFS(INDEX(Техника!$F$1:$ABM$500,Z$2,0),Техника!$F$4:$ABM$4,"Часы",INDEX(Техника!$G$1:$ABN$500,Z$2,0),$A$746,INDEX(Техника!$H$1:$ABO$500,Z$2,0),"П")</f>
        <v>0</v>
      </c>
      <c r="AA749" s="50">
        <f>SUMIFS(INDEX(Техника!$F$1:$ABM$500,AA$2,0),Техника!$F$4:$ABM$4,"Часы",INDEX(Техника!$G$1:$ABN$500,AA$2,0),$A$746,INDEX(Техника!$H$1:$ABO$500,AA$2,0),"П")</f>
        <v>0</v>
      </c>
      <c r="AB749" s="50">
        <f>SUMIFS(INDEX(Техника!$F$1:$ABM$500,AB$2,0),Техника!$F$4:$ABM$4,"Часы",INDEX(Техника!$G$1:$ABN$500,AB$2,0),$A$746,INDEX(Техника!$H$1:$ABO$500,AB$2,0),"П")</f>
        <v>0</v>
      </c>
    </row>
    <row r="750" spans="1:28" hidden="1" outlineLevel="1" x14ac:dyDescent="0.3">
      <c r="A750" s="33" t="s">
        <v>243</v>
      </c>
      <c r="B750" s="34" t="s">
        <v>278</v>
      </c>
      <c r="C750" s="50">
        <f>SUMIFS(INDEX(Техника!$F$1:$ABM$500,C$2,0),Техника!$F$4:$ABM$4,"Часы",INDEX(Техника!$G$1:$ABN$500,C$2,0),$A$746,INDEX(Техника!$H$1:$ABO$500,C$2,0),"Л")</f>
        <v>0</v>
      </c>
      <c r="D750" s="50">
        <f>SUMIFS(INDEX(Техника!$F$1:$ABM$500,D$2,0),Техника!$F$4:$ABM$4,"Часы",INDEX(Техника!$G$1:$ABN$500,D$2,0),$A$746,INDEX(Техника!$H$1:$ABO$500,D$2,0),"Л")</f>
        <v>0</v>
      </c>
      <c r="E750" s="50">
        <f>SUMIFS(INDEX(Техника!$F$1:$ABM$500,E$2,0),Техника!$F$4:$ABM$4,"Часы",INDEX(Техника!$G$1:$ABN$500,E$2,0),$A$746,INDEX(Техника!$H$1:$ABO$500,E$2,0),"Л")</f>
        <v>0</v>
      </c>
      <c r="F750" s="50">
        <f>SUMIFS(INDEX(Техника!$F$1:$ABM$500,F$2,0),Техника!$F$4:$ABM$4,"Часы",INDEX(Техника!$G$1:$ABN$500,F$2,0),$A$746,INDEX(Техника!$H$1:$ABO$500,F$2,0),"Л")</f>
        <v>0</v>
      </c>
      <c r="G750" s="50">
        <f>SUMIFS(INDEX(Техника!$F$1:$ABM$500,G$2,0),Техника!$F$4:$ABM$4,"Часы",INDEX(Техника!$G$1:$ABN$500,G$2,0),$A$746,INDEX(Техника!$H$1:$ABO$500,G$2,0),"Л")</f>
        <v>0</v>
      </c>
      <c r="H750" s="50">
        <f>SUMIFS(INDEX(Техника!$F$1:$ABM$500,H$2,0),Техника!$F$4:$ABM$4,"Часы",INDEX(Техника!$G$1:$ABN$500,H$2,0),$A$746,INDEX(Техника!$H$1:$ABO$500,H$2,0),"Л")</f>
        <v>0</v>
      </c>
      <c r="I750" s="50">
        <f>SUMIFS(INDEX(Техника!$F$1:$ABM$500,I$2,0),Техника!$F$4:$ABM$4,"Часы",INDEX(Техника!$G$1:$ABN$500,I$2,0),$A$746,INDEX(Техника!$H$1:$ABO$500,I$2,0),"Л")</f>
        <v>0</v>
      </c>
      <c r="J750" s="50">
        <f>SUMIFS(INDEX(Техника!$F$1:$ABM$500,J$2,0),Техника!$F$4:$ABM$4,"Часы",INDEX(Техника!$G$1:$ABN$500,J$2,0),$A$746,INDEX(Техника!$H$1:$ABO$500,J$2,0),"Л")</f>
        <v>0</v>
      </c>
      <c r="K750" s="50">
        <f>SUMIFS(INDEX(Техника!$F$1:$ABM$500,K$2,0),Техника!$F$4:$ABM$4,"Часы",INDEX(Техника!$G$1:$ABN$500,K$2,0),$A$746,INDEX(Техника!$H$1:$ABO$500,K$2,0),"Л")</f>
        <v>0</v>
      </c>
      <c r="L750" s="50">
        <f>SUMIFS(INDEX(Техника!$F$1:$ABM$500,L$2,0),Техника!$F$4:$ABM$4,"Часы",INDEX(Техника!$G$1:$ABN$500,L$2,0),$A$746,INDEX(Техника!$H$1:$ABO$500,L$2,0),"Л")</f>
        <v>0</v>
      </c>
      <c r="M750" s="50">
        <f>SUMIFS(INDEX(Техника!$F$1:$ABM$500,M$2,0),Техника!$F$4:$ABM$4,"Часы",INDEX(Техника!$G$1:$ABN$500,M$2,0),$A$746,INDEX(Техника!$H$1:$ABO$500,M$2,0),"Л")</f>
        <v>0</v>
      </c>
      <c r="N750" s="50">
        <f>SUMIFS(INDEX(Техника!$F$1:$ABM$500,N$2,0),Техника!$F$4:$ABM$4,"Часы",INDEX(Техника!$G$1:$ABN$500,N$2,0),$A$746,INDEX(Техника!$H$1:$ABO$500,N$2,0),"Л")</f>
        <v>0</v>
      </c>
      <c r="O750" s="50">
        <f>SUMIFS(INDEX(Техника!$F$1:$ABM$500,O$2,0),Техника!$F$4:$ABM$4,"Часы",INDEX(Техника!$G$1:$ABN$500,O$2,0),$A$746,INDEX(Техника!$H$1:$ABO$500,O$2,0),"Л")</f>
        <v>0</v>
      </c>
      <c r="P750" s="50">
        <f>SUMIFS(INDEX(Техника!$F$1:$ABM$500,P$2,0),Техника!$F$4:$ABM$4,"Часы",INDEX(Техника!$G$1:$ABN$500,P$2,0),$A$746,INDEX(Техника!$H$1:$ABO$500,P$2,0),"Л")</f>
        <v>0</v>
      </c>
      <c r="Q750" s="50">
        <f>SUMIFS(INDEX(Техника!$F$1:$ABM$500,Q$2,0),Техника!$F$4:$ABM$4,"Часы",INDEX(Техника!$G$1:$ABN$500,Q$2,0),$A$746,INDEX(Техника!$H$1:$ABO$500,Q$2,0),"Л")</f>
        <v>0</v>
      </c>
      <c r="R750" s="50">
        <f>SUMIFS(INDEX(Техника!$F$1:$ABM$500,R$2,0),Техника!$F$4:$ABM$4,"Часы",INDEX(Техника!$G$1:$ABN$500,R$2,0),$A$746,INDEX(Техника!$H$1:$ABO$500,R$2,0),"Л")</f>
        <v>0</v>
      </c>
      <c r="S750" s="50">
        <f>SUMIFS(INDEX(Техника!$F$1:$ABM$500,S$2,0),Техника!$F$4:$ABM$4,"Часы",INDEX(Техника!$G$1:$ABN$500,S$2,0),$A$746,INDEX(Техника!$H$1:$ABO$500,S$2,0),"Л")</f>
        <v>0</v>
      </c>
      <c r="T750" s="50">
        <f>SUMIFS(INDEX(Техника!$F$1:$ABM$500,T$2,0),Техника!$F$4:$ABM$4,"Часы",INDEX(Техника!$G$1:$ABN$500,T$2,0),$A$746,INDEX(Техника!$H$1:$ABO$500,T$2,0),"Л")</f>
        <v>0</v>
      </c>
      <c r="U750" s="50">
        <f>SUMIFS(INDEX(Техника!$F$1:$ABM$500,U$2,0),Техника!$F$4:$ABM$4,"Часы",INDEX(Техника!$G$1:$ABN$500,U$2,0),$A$746,INDEX(Техника!$H$1:$ABO$500,U$2,0),"Л")</f>
        <v>0</v>
      </c>
      <c r="V750" s="50">
        <f>SUMIFS(INDEX(Техника!$F$1:$ABM$500,V$2,0),Техника!$F$4:$ABM$4,"Часы",INDEX(Техника!$G$1:$ABN$500,V$2,0),$A$746,INDEX(Техника!$H$1:$ABO$500,V$2,0),"Л")</f>
        <v>0</v>
      </c>
      <c r="W750" s="50">
        <f>SUMIFS(INDEX(Техника!$F$1:$ABM$500,W$2,0),Техника!$F$4:$ABM$4,"Часы",INDEX(Техника!$G$1:$ABN$500,W$2,0),$A$746,INDEX(Техника!$H$1:$ABO$500,W$2,0),"Л")</f>
        <v>0</v>
      </c>
      <c r="X750" s="50">
        <f>SUMIFS(INDEX(Техника!$F$1:$ABM$500,X$2,0),Техника!$F$4:$ABM$4,"Часы",INDEX(Техника!$G$1:$ABN$500,X$2,0),$A$746,INDEX(Техника!$H$1:$ABO$500,X$2,0),"Л")</f>
        <v>0</v>
      </c>
      <c r="Y750" s="50">
        <f>SUMIFS(INDEX(Техника!$F$1:$ABM$500,Y$2,0),Техника!$F$4:$ABM$4,"Часы",INDEX(Техника!$G$1:$ABN$500,Y$2,0),$A$746,INDEX(Техника!$H$1:$ABO$500,Y$2,0),"Л")</f>
        <v>0</v>
      </c>
      <c r="Z750" s="50">
        <f>SUMIFS(INDEX(Техника!$F$1:$ABM$500,Z$2,0),Техника!$F$4:$ABM$4,"Часы",INDEX(Техника!$G$1:$ABN$500,Z$2,0),$A$746,INDEX(Техника!$H$1:$ABO$500,Z$2,0),"Л")</f>
        <v>0</v>
      </c>
      <c r="AA750" s="50">
        <f>SUMIFS(INDEX(Техника!$F$1:$ABM$500,AA$2,0),Техника!$F$4:$ABM$4,"Часы",INDEX(Техника!$G$1:$ABN$500,AA$2,0),$A$746,INDEX(Техника!$H$1:$ABO$500,AA$2,0),"Л")</f>
        <v>0</v>
      </c>
      <c r="AB750" s="50">
        <f>SUMIFS(INDEX(Техника!$F$1:$ABM$500,AB$2,0),Техника!$F$4:$ABM$4,"Часы",INDEX(Техника!$G$1:$ABN$500,AB$2,0),$A$746,INDEX(Техника!$H$1:$ABO$500,AB$2,0),"Л")</f>
        <v>0</v>
      </c>
    </row>
    <row r="751" spans="1:28" hidden="1" outlineLevel="1" x14ac:dyDescent="0.3">
      <c r="A751" s="33" t="s">
        <v>245</v>
      </c>
      <c r="B751" s="34" t="s">
        <v>279</v>
      </c>
      <c r="C751" s="50">
        <f>SUMIFS(INDEX(Техника!$F$1:$ABM$500,C$2,0),Техника!$F$4:$ABM$4,"Часы",INDEX(Техника!$G$1:$ABN$500,C$2,0),$A$746,INDEX(Техника!$H$1:$ABO$500,C$2,0),"З")</f>
        <v>0</v>
      </c>
      <c r="D751" s="50">
        <f>SUMIFS(INDEX(Техника!$F$1:$ABM$500,D$2,0),Техника!$F$4:$ABM$4,"Часы",INDEX(Техника!$G$1:$ABN$500,D$2,0),$A$746,INDEX(Техника!$H$1:$ABO$500,D$2,0),"З")</f>
        <v>0</v>
      </c>
      <c r="E751" s="50">
        <f>SUMIFS(INDEX(Техника!$F$1:$ABM$500,E$2,0),Техника!$F$4:$ABM$4,"Часы",INDEX(Техника!$G$1:$ABN$500,E$2,0),$A$746,INDEX(Техника!$H$1:$ABO$500,E$2,0),"З")</f>
        <v>0</v>
      </c>
      <c r="F751" s="50">
        <f>SUMIFS(INDEX(Техника!$F$1:$ABM$500,F$2,0),Техника!$F$4:$ABM$4,"Часы",INDEX(Техника!$G$1:$ABN$500,F$2,0),$A$746,INDEX(Техника!$H$1:$ABO$500,F$2,0),"З")</f>
        <v>0</v>
      </c>
      <c r="G751" s="50">
        <f>SUMIFS(INDEX(Техника!$F$1:$ABM$500,G$2,0),Техника!$F$4:$ABM$4,"Часы",INDEX(Техника!$G$1:$ABN$500,G$2,0),$A$746,INDEX(Техника!$H$1:$ABO$500,G$2,0),"З")</f>
        <v>0</v>
      </c>
      <c r="H751" s="50">
        <f>SUMIFS(INDEX(Техника!$F$1:$ABM$500,H$2,0),Техника!$F$4:$ABM$4,"Часы",INDEX(Техника!$G$1:$ABN$500,H$2,0),$A$746,INDEX(Техника!$H$1:$ABO$500,H$2,0),"З")</f>
        <v>0</v>
      </c>
      <c r="I751" s="50">
        <f>SUMIFS(INDEX(Техника!$F$1:$ABM$500,I$2,0),Техника!$F$4:$ABM$4,"Часы",INDEX(Техника!$G$1:$ABN$500,I$2,0),$A$746,INDEX(Техника!$H$1:$ABO$500,I$2,0),"З")</f>
        <v>0</v>
      </c>
      <c r="J751" s="50">
        <f>SUMIFS(INDEX(Техника!$F$1:$ABM$500,J$2,0),Техника!$F$4:$ABM$4,"Часы",INDEX(Техника!$G$1:$ABN$500,J$2,0),$A$746,INDEX(Техника!$H$1:$ABO$500,J$2,0),"З")</f>
        <v>0</v>
      </c>
      <c r="K751" s="50">
        <f>SUMIFS(INDEX(Техника!$F$1:$ABM$500,K$2,0),Техника!$F$4:$ABM$4,"Часы",INDEX(Техника!$G$1:$ABN$500,K$2,0),$A$746,INDEX(Техника!$H$1:$ABO$500,K$2,0),"З")</f>
        <v>0</v>
      </c>
      <c r="L751" s="50">
        <f>SUMIFS(INDEX(Техника!$F$1:$ABM$500,L$2,0),Техника!$F$4:$ABM$4,"Часы",INDEX(Техника!$G$1:$ABN$500,L$2,0),$A$746,INDEX(Техника!$H$1:$ABO$500,L$2,0),"З")</f>
        <v>0</v>
      </c>
      <c r="M751" s="50">
        <f>SUMIFS(INDEX(Техника!$F$1:$ABM$500,M$2,0),Техника!$F$4:$ABM$4,"Часы",INDEX(Техника!$G$1:$ABN$500,M$2,0),$A$746,INDEX(Техника!$H$1:$ABO$500,M$2,0),"З")</f>
        <v>0</v>
      </c>
      <c r="N751" s="50">
        <f>SUMIFS(INDEX(Техника!$F$1:$ABM$500,N$2,0),Техника!$F$4:$ABM$4,"Часы",INDEX(Техника!$G$1:$ABN$500,N$2,0),$A$746,INDEX(Техника!$H$1:$ABO$500,N$2,0),"З")</f>
        <v>0</v>
      </c>
      <c r="O751" s="50">
        <f>SUMIFS(INDEX(Техника!$F$1:$ABM$500,O$2,0),Техника!$F$4:$ABM$4,"Часы",INDEX(Техника!$G$1:$ABN$500,O$2,0),$A$746,INDEX(Техника!$H$1:$ABO$500,O$2,0),"З")</f>
        <v>0</v>
      </c>
      <c r="P751" s="50">
        <f>SUMIFS(INDEX(Техника!$F$1:$ABM$500,P$2,0),Техника!$F$4:$ABM$4,"Часы",INDEX(Техника!$G$1:$ABN$500,P$2,0),$A$746,INDEX(Техника!$H$1:$ABO$500,P$2,0),"З")</f>
        <v>0</v>
      </c>
      <c r="Q751" s="50">
        <f>SUMIFS(INDEX(Техника!$F$1:$ABM$500,Q$2,0),Техника!$F$4:$ABM$4,"Часы",INDEX(Техника!$G$1:$ABN$500,Q$2,0),$A$746,INDEX(Техника!$H$1:$ABO$500,Q$2,0),"З")</f>
        <v>0</v>
      </c>
      <c r="R751" s="50">
        <f>SUMIFS(INDEX(Техника!$F$1:$ABM$500,R$2,0),Техника!$F$4:$ABM$4,"Часы",INDEX(Техника!$G$1:$ABN$500,R$2,0),$A$746,INDEX(Техника!$H$1:$ABO$500,R$2,0),"З")</f>
        <v>0</v>
      </c>
      <c r="S751" s="50">
        <f>SUMIFS(INDEX(Техника!$F$1:$ABM$500,S$2,0),Техника!$F$4:$ABM$4,"Часы",INDEX(Техника!$G$1:$ABN$500,S$2,0),$A$746,INDEX(Техника!$H$1:$ABO$500,S$2,0),"З")</f>
        <v>0</v>
      </c>
      <c r="T751" s="50">
        <f>SUMIFS(INDEX(Техника!$F$1:$ABM$500,T$2,0),Техника!$F$4:$ABM$4,"Часы",INDEX(Техника!$G$1:$ABN$500,T$2,0),$A$746,INDEX(Техника!$H$1:$ABO$500,T$2,0),"З")</f>
        <v>0</v>
      </c>
      <c r="U751" s="50">
        <f>SUMIFS(INDEX(Техника!$F$1:$ABM$500,U$2,0),Техника!$F$4:$ABM$4,"Часы",INDEX(Техника!$G$1:$ABN$500,U$2,0),$A$746,INDEX(Техника!$H$1:$ABO$500,U$2,0),"З")</f>
        <v>0</v>
      </c>
      <c r="V751" s="50">
        <f>SUMIFS(INDEX(Техника!$F$1:$ABM$500,V$2,0),Техника!$F$4:$ABM$4,"Часы",INDEX(Техника!$G$1:$ABN$500,V$2,0),$A$746,INDEX(Техника!$H$1:$ABO$500,V$2,0),"З")</f>
        <v>0</v>
      </c>
      <c r="W751" s="50">
        <f>SUMIFS(INDEX(Техника!$F$1:$ABM$500,W$2,0),Техника!$F$4:$ABM$4,"Часы",INDEX(Техника!$G$1:$ABN$500,W$2,0),$A$746,INDEX(Техника!$H$1:$ABO$500,W$2,0),"З")</f>
        <v>0</v>
      </c>
      <c r="X751" s="50">
        <f>SUMIFS(INDEX(Техника!$F$1:$ABM$500,X$2,0),Техника!$F$4:$ABM$4,"Часы",INDEX(Техника!$G$1:$ABN$500,X$2,0),$A$746,INDEX(Техника!$H$1:$ABO$500,X$2,0),"З")</f>
        <v>0</v>
      </c>
      <c r="Y751" s="50">
        <f>SUMIFS(INDEX(Техника!$F$1:$ABM$500,Y$2,0),Техника!$F$4:$ABM$4,"Часы",INDEX(Техника!$G$1:$ABN$500,Y$2,0),$A$746,INDEX(Техника!$H$1:$ABO$500,Y$2,0),"З")</f>
        <v>0</v>
      </c>
      <c r="Z751" s="50">
        <f>SUMIFS(INDEX(Техника!$F$1:$ABM$500,Z$2,0),Техника!$F$4:$ABM$4,"Часы",INDEX(Техника!$G$1:$ABN$500,Z$2,0),$A$746,INDEX(Техника!$H$1:$ABO$500,Z$2,0),"З")</f>
        <v>0</v>
      </c>
      <c r="AA751" s="50">
        <f>SUMIFS(INDEX(Техника!$F$1:$ABM$500,AA$2,0),Техника!$F$4:$ABM$4,"Часы",INDEX(Техника!$G$1:$ABN$500,AA$2,0),$A$746,INDEX(Техника!$H$1:$ABO$500,AA$2,0),"З")</f>
        <v>0</v>
      </c>
      <c r="AB751" s="50">
        <f>SUMIFS(INDEX(Техника!$F$1:$ABM$500,AB$2,0),Техника!$F$4:$ABM$4,"Часы",INDEX(Техника!$G$1:$ABN$500,AB$2,0),$A$746,INDEX(Техника!$H$1:$ABO$500,AB$2,0),"З")</f>
        <v>0</v>
      </c>
    </row>
    <row r="752" spans="1:28" ht="7.95" customHeight="1" x14ac:dyDescent="0.3">
      <c r="A752" s="38"/>
      <c r="B752" s="39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</row>
    <row r="753" spans="1:28" ht="25.05" customHeight="1" collapsed="1" x14ac:dyDescent="0.3">
      <c r="A753" s="32">
        <v>108</v>
      </c>
      <c r="B753" s="32" t="s">
        <v>109</v>
      </c>
      <c r="C753" s="49">
        <f>SUM(C754:C758)</f>
        <v>0</v>
      </c>
      <c r="D753" s="49">
        <f>SUM(D754:D758)</f>
        <v>0</v>
      </c>
      <c r="E753" s="49">
        <f>SUM(E754:E758)</f>
        <v>0</v>
      </c>
      <c r="F753" s="49">
        <f>SUM(F754:F758)</f>
        <v>0</v>
      </c>
      <c r="G753" s="49">
        <f>SUM(G754:G758)</f>
        <v>0</v>
      </c>
      <c r="H753" s="49">
        <f>SUM(H754:H758)</f>
        <v>0</v>
      </c>
      <c r="I753" s="49">
        <f>SUM(I754:I758)</f>
        <v>0</v>
      </c>
      <c r="J753" s="49">
        <f>SUM(J754:J758)</f>
        <v>0</v>
      </c>
      <c r="K753" s="49">
        <f>SUM(K754:K758)</f>
        <v>0</v>
      </c>
      <c r="L753" s="49">
        <f>SUM(L754:L758)</f>
        <v>0</v>
      </c>
      <c r="M753" s="49">
        <f>SUM(M754:M758)</f>
        <v>0</v>
      </c>
      <c r="N753" s="49">
        <f>SUM(N754:N758)</f>
        <v>0</v>
      </c>
      <c r="O753" s="49">
        <f>SUM(O754:O758)</f>
        <v>0</v>
      </c>
      <c r="P753" s="49">
        <f>SUM(P754:P758)</f>
        <v>0</v>
      </c>
      <c r="Q753" s="49">
        <f>SUM(Q754:Q758)</f>
        <v>0</v>
      </c>
      <c r="R753" s="49">
        <f>SUM(R754:R758)</f>
        <v>0</v>
      </c>
      <c r="S753" s="49">
        <f>SUM(S754:S758)</f>
        <v>0</v>
      </c>
      <c r="T753" s="49">
        <f>SUM(T754:T758)</f>
        <v>0</v>
      </c>
      <c r="U753" s="49">
        <f>SUM(U754:U758)</f>
        <v>0</v>
      </c>
      <c r="V753" s="49">
        <f>SUM(V754:V758)</f>
        <v>0</v>
      </c>
      <c r="W753" s="49">
        <f>SUM(W754:W758)</f>
        <v>0</v>
      </c>
      <c r="X753" s="49">
        <f>SUM(X754:X758)</f>
        <v>0</v>
      </c>
      <c r="Y753" s="49">
        <f>SUM(Y754:Y758)</f>
        <v>0</v>
      </c>
      <c r="Z753" s="49">
        <f>SUM(Z754:Z758)</f>
        <v>0</v>
      </c>
      <c r="AA753" s="49">
        <f>SUM(AA754:AA758)</f>
        <v>0</v>
      </c>
      <c r="AB753" s="49">
        <f>SUM(AB754:AB758)</f>
        <v>0</v>
      </c>
    </row>
    <row r="754" spans="1:28" hidden="1" outlineLevel="1" x14ac:dyDescent="0.3">
      <c r="A754" s="33" t="s">
        <v>246</v>
      </c>
      <c r="B754" s="34" t="s">
        <v>274</v>
      </c>
      <c r="C754" s="50">
        <f>SUMIFS(INDEX(Техника!$F$1:$ABM$500,C$2,0),Техника!$F$4:$ABM$4,"Часы",INDEX(Техника!$G$1:$ABN$500,C$2,0),$A$753,INDEX(Техника!$H$1:$ABO$500,C$2,0),"М")</f>
        <v>0</v>
      </c>
      <c r="D754" s="50">
        <f>SUMIFS(INDEX(Техника!$F$1:$ABM$500,D$2,0),Техника!$F$4:$ABM$4,"Часы",INDEX(Техника!$G$1:$ABN$500,D$2,0),$A$753,INDEX(Техника!$H$1:$ABO$500,D$2,0),"М")</f>
        <v>0</v>
      </c>
      <c r="E754" s="50">
        <f>SUMIFS(INDEX(Техника!$F$1:$ABM$500,E$2,0),Техника!$F$4:$ABM$4,"Часы",INDEX(Техника!$G$1:$ABN$500,E$2,0),$A$753,INDEX(Техника!$H$1:$ABO$500,E$2,0),"М")</f>
        <v>0</v>
      </c>
      <c r="F754" s="50">
        <f>SUMIFS(INDEX(Техника!$F$1:$ABM$500,F$2,0),Техника!$F$4:$ABM$4,"Часы",INDEX(Техника!$G$1:$ABN$500,F$2,0),$A$753,INDEX(Техника!$H$1:$ABO$500,F$2,0),"М")</f>
        <v>0</v>
      </c>
      <c r="G754" s="50">
        <f>SUMIFS(INDEX(Техника!$F$1:$ABM$500,G$2,0),Техника!$F$4:$ABM$4,"Часы",INDEX(Техника!$G$1:$ABN$500,G$2,0),$A$753,INDEX(Техника!$H$1:$ABO$500,G$2,0),"М")</f>
        <v>0</v>
      </c>
      <c r="H754" s="50">
        <f>SUMIFS(INDEX(Техника!$F$1:$ABM$500,H$2,0),Техника!$F$4:$ABM$4,"Часы",INDEX(Техника!$G$1:$ABN$500,H$2,0),$A$753,INDEX(Техника!$H$1:$ABO$500,H$2,0),"М")</f>
        <v>0</v>
      </c>
      <c r="I754" s="50">
        <f>SUMIFS(INDEX(Техника!$F$1:$ABM$500,I$2,0),Техника!$F$4:$ABM$4,"Часы",INDEX(Техника!$G$1:$ABN$500,I$2,0),$A$753,INDEX(Техника!$H$1:$ABO$500,I$2,0),"М")</f>
        <v>0</v>
      </c>
      <c r="J754" s="50">
        <f>SUMIFS(INDEX(Техника!$F$1:$ABM$500,J$2,0),Техника!$F$4:$ABM$4,"Часы",INDEX(Техника!$G$1:$ABN$500,J$2,0),$A$753,INDEX(Техника!$H$1:$ABO$500,J$2,0),"М")</f>
        <v>0</v>
      </c>
      <c r="K754" s="50">
        <f>SUMIFS(INDEX(Техника!$F$1:$ABM$500,K$2,0),Техника!$F$4:$ABM$4,"Часы",INDEX(Техника!$G$1:$ABN$500,K$2,0),$A$753,INDEX(Техника!$H$1:$ABO$500,K$2,0),"М")</f>
        <v>0</v>
      </c>
      <c r="L754" s="50">
        <f>SUMIFS(INDEX(Техника!$F$1:$ABM$500,L$2,0),Техника!$F$4:$ABM$4,"Часы",INDEX(Техника!$G$1:$ABN$500,L$2,0),$A$753,INDEX(Техника!$H$1:$ABO$500,L$2,0),"М")</f>
        <v>0</v>
      </c>
      <c r="M754" s="50">
        <f>SUMIFS(INDEX(Техника!$F$1:$ABM$500,M$2,0),Техника!$F$4:$ABM$4,"Часы",INDEX(Техника!$G$1:$ABN$500,M$2,0),$A$753,INDEX(Техника!$H$1:$ABO$500,M$2,0),"М")</f>
        <v>0</v>
      </c>
      <c r="N754" s="50">
        <f>SUMIFS(INDEX(Техника!$F$1:$ABM$500,N$2,0),Техника!$F$4:$ABM$4,"Часы",INDEX(Техника!$G$1:$ABN$500,N$2,0),$A$753,INDEX(Техника!$H$1:$ABO$500,N$2,0),"М")</f>
        <v>0</v>
      </c>
      <c r="O754" s="50">
        <f>SUMIFS(INDEX(Техника!$F$1:$ABM$500,O$2,0),Техника!$F$4:$ABM$4,"Часы",INDEX(Техника!$G$1:$ABN$500,O$2,0),$A$753,INDEX(Техника!$H$1:$ABO$500,O$2,0),"М")</f>
        <v>0</v>
      </c>
      <c r="P754" s="50">
        <f>SUMIFS(INDEX(Техника!$F$1:$ABM$500,P$2,0),Техника!$F$4:$ABM$4,"Часы",INDEX(Техника!$G$1:$ABN$500,P$2,0),$A$753,INDEX(Техника!$H$1:$ABO$500,P$2,0),"М")</f>
        <v>0</v>
      </c>
      <c r="Q754" s="50">
        <f>SUMIFS(INDEX(Техника!$F$1:$ABM$500,Q$2,0),Техника!$F$4:$ABM$4,"Часы",INDEX(Техника!$G$1:$ABN$500,Q$2,0),$A$753,INDEX(Техника!$H$1:$ABO$500,Q$2,0),"М")</f>
        <v>0</v>
      </c>
      <c r="R754" s="50">
        <f>SUMIFS(INDEX(Техника!$F$1:$ABM$500,R$2,0),Техника!$F$4:$ABM$4,"Часы",INDEX(Техника!$G$1:$ABN$500,R$2,0),$A$753,INDEX(Техника!$H$1:$ABO$500,R$2,0),"М")</f>
        <v>0</v>
      </c>
      <c r="S754" s="50">
        <f>SUMIFS(INDEX(Техника!$F$1:$ABM$500,S$2,0),Техника!$F$4:$ABM$4,"Часы",INDEX(Техника!$G$1:$ABN$500,S$2,0),$A$753,INDEX(Техника!$H$1:$ABO$500,S$2,0),"М")</f>
        <v>0</v>
      </c>
      <c r="T754" s="50">
        <f>SUMIFS(INDEX(Техника!$F$1:$ABM$500,T$2,0),Техника!$F$4:$ABM$4,"Часы",INDEX(Техника!$G$1:$ABN$500,T$2,0),$A$753,INDEX(Техника!$H$1:$ABO$500,T$2,0),"М")</f>
        <v>0</v>
      </c>
      <c r="U754" s="50">
        <f>SUMIFS(INDEX(Техника!$F$1:$ABM$500,U$2,0),Техника!$F$4:$ABM$4,"Часы",INDEX(Техника!$G$1:$ABN$500,U$2,0),$A$753,INDEX(Техника!$H$1:$ABO$500,U$2,0),"М")</f>
        <v>0</v>
      </c>
      <c r="V754" s="50">
        <f>SUMIFS(INDEX(Техника!$F$1:$ABM$500,V$2,0),Техника!$F$4:$ABM$4,"Часы",INDEX(Техника!$G$1:$ABN$500,V$2,0),$A$753,INDEX(Техника!$H$1:$ABO$500,V$2,0),"М")</f>
        <v>0</v>
      </c>
      <c r="W754" s="50">
        <f>SUMIFS(INDEX(Техника!$F$1:$ABM$500,W$2,0),Техника!$F$4:$ABM$4,"Часы",INDEX(Техника!$G$1:$ABN$500,W$2,0),$A$753,INDEX(Техника!$H$1:$ABO$500,W$2,0),"М")</f>
        <v>0</v>
      </c>
      <c r="X754" s="50">
        <f>SUMIFS(INDEX(Техника!$F$1:$ABM$500,X$2,0),Техника!$F$4:$ABM$4,"Часы",INDEX(Техника!$G$1:$ABN$500,X$2,0),$A$753,INDEX(Техника!$H$1:$ABO$500,X$2,0),"М")</f>
        <v>0</v>
      </c>
      <c r="Y754" s="50">
        <f>SUMIFS(INDEX(Техника!$F$1:$ABM$500,Y$2,0),Техника!$F$4:$ABM$4,"Часы",INDEX(Техника!$G$1:$ABN$500,Y$2,0),$A$753,INDEX(Техника!$H$1:$ABO$500,Y$2,0),"М")</f>
        <v>0</v>
      </c>
      <c r="Z754" s="50">
        <f>SUMIFS(INDEX(Техника!$F$1:$ABM$500,Z$2,0),Техника!$F$4:$ABM$4,"Часы",INDEX(Техника!$G$1:$ABN$500,Z$2,0),$A$753,INDEX(Техника!$H$1:$ABO$500,Z$2,0),"М")</f>
        <v>0</v>
      </c>
      <c r="AA754" s="50">
        <f>SUMIFS(INDEX(Техника!$F$1:$ABM$500,AA$2,0),Техника!$F$4:$ABM$4,"Часы",INDEX(Техника!$G$1:$ABN$500,AA$2,0),$A$753,INDEX(Техника!$H$1:$ABO$500,AA$2,0),"М")</f>
        <v>0</v>
      </c>
      <c r="AB754" s="50">
        <f>SUMIFS(INDEX(Техника!$F$1:$ABM$500,AB$2,0),Техника!$F$4:$ABM$4,"Часы",INDEX(Техника!$G$1:$ABN$500,AB$2,0),$A$753,INDEX(Техника!$H$1:$ABO$500,AB$2,0),"М")</f>
        <v>0</v>
      </c>
    </row>
    <row r="755" spans="1:28" hidden="1" outlineLevel="1" x14ac:dyDescent="0.3">
      <c r="A755" s="33" t="s">
        <v>244</v>
      </c>
      <c r="B755" s="34" t="s">
        <v>275</v>
      </c>
      <c r="C755" s="50">
        <f>SUMIFS(INDEX(Техника!$F$1:$ABM$500,C$2,0),Техника!$F$4:$ABM$4,"Часы",INDEX(Техника!$G$1:$ABN$500,C$2,0),$A$753,INDEX(Техника!$H$1:$ABO$500,C$2,0),"Д")</f>
        <v>0</v>
      </c>
      <c r="D755" s="50">
        <f>SUMIFS(INDEX(Техника!$F$1:$ABM$500,D$2,0),Техника!$F$4:$ABM$4,"Часы",INDEX(Техника!$G$1:$ABN$500,D$2,0),$A$753,INDEX(Техника!$H$1:$ABO$500,D$2,0),"Д")</f>
        <v>0</v>
      </c>
      <c r="E755" s="50">
        <f>SUMIFS(INDEX(Техника!$F$1:$ABM$500,E$2,0),Техника!$F$4:$ABM$4,"Часы",INDEX(Техника!$G$1:$ABN$500,E$2,0),$A$753,INDEX(Техника!$H$1:$ABO$500,E$2,0),"Д")</f>
        <v>0</v>
      </c>
      <c r="F755" s="50">
        <f>SUMIFS(INDEX(Техника!$F$1:$ABM$500,F$2,0),Техника!$F$4:$ABM$4,"Часы",INDEX(Техника!$G$1:$ABN$500,F$2,0),$A$753,INDEX(Техника!$H$1:$ABO$500,F$2,0),"Д")</f>
        <v>0</v>
      </c>
      <c r="G755" s="50">
        <f>SUMIFS(INDEX(Техника!$F$1:$ABM$500,G$2,0),Техника!$F$4:$ABM$4,"Часы",INDEX(Техника!$G$1:$ABN$500,G$2,0),$A$753,INDEX(Техника!$H$1:$ABO$500,G$2,0),"Д")</f>
        <v>0</v>
      </c>
      <c r="H755" s="50">
        <f>SUMIFS(INDEX(Техника!$F$1:$ABM$500,H$2,0),Техника!$F$4:$ABM$4,"Часы",INDEX(Техника!$G$1:$ABN$500,H$2,0),$A$753,INDEX(Техника!$H$1:$ABO$500,H$2,0),"Д")</f>
        <v>0</v>
      </c>
      <c r="I755" s="50">
        <f>SUMIFS(INDEX(Техника!$F$1:$ABM$500,I$2,0),Техника!$F$4:$ABM$4,"Часы",INDEX(Техника!$G$1:$ABN$500,I$2,0),$A$753,INDEX(Техника!$H$1:$ABO$500,I$2,0),"Д")</f>
        <v>0</v>
      </c>
      <c r="J755" s="50">
        <f>SUMIFS(INDEX(Техника!$F$1:$ABM$500,J$2,0),Техника!$F$4:$ABM$4,"Часы",INDEX(Техника!$G$1:$ABN$500,J$2,0),$A$753,INDEX(Техника!$H$1:$ABO$500,J$2,0),"Д")</f>
        <v>0</v>
      </c>
      <c r="K755" s="50">
        <f>SUMIFS(INDEX(Техника!$F$1:$ABM$500,K$2,0),Техника!$F$4:$ABM$4,"Часы",INDEX(Техника!$G$1:$ABN$500,K$2,0),$A$753,INDEX(Техника!$H$1:$ABO$500,K$2,0),"Д")</f>
        <v>0</v>
      </c>
      <c r="L755" s="50">
        <f>SUMIFS(INDEX(Техника!$F$1:$ABM$500,L$2,0),Техника!$F$4:$ABM$4,"Часы",INDEX(Техника!$G$1:$ABN$500,L$2,0),$A$753,INDEX(Техника!$H$1:$ABO$500,L$2,0),"Д")</f>
        <v>0</v>
      </c>
      <c r="M755" s="50">
        <f>SUMIFS(INDEX(Техника!$F$1:$ABM$500,M$2,0),Техника!$F$4:$ABM$4,"Часы",INDEX(Техника!$G$1:$ABN$500,M$2,0),$A$753,INDEX(Техника!$H$1:$ABO$500,M$2,0),"Д")</f>
        <v>0</v>
      </c>
      <c r="N755" s="50">
        <f>SUMIFS(INDEX(Техника!$F$1:$ABM$500,N$2,0),Техника!$F$4:$ABM$4,"Часы",INDEX(Техника!$G$1:$ABN$500,N$2,0),$A$753,INDEX(Техника!$H$1:$ABO$500,N$2,0),"Д")</f>
        <v>0</v>
      </c>
      <c r="O755" s="50">
        <f>SUMIFS(INDEX(Техника!$F$1:$ABM$500,O$2,0),Техника!$F$4:$ABM$4,"Часы",INDEX(Техника!$G$1:$ABN$500,O$2,0),$A$753,INDEX(Техника!$H$1:$ABO$500,O$2,0),"Д")</f>
        <v>0</v>
      </c>
      <c r="P755" s="50">
        <f>SUMIFS(INDEX(Техника!$F$1:$ABM$500,P$2,0),Техника!$F$4:$ABM$4,"Часы",INDEX(Техника!$G$1:$ABN$500,P$2,0),$A$753,INDEX(Техника!$H$1:$ABO$500,P$2,0),"Д")</f>
        <v>0</v>
      </c>
      <c r="Q755" s="50">
        <f>SUMIFS(INDEX(Техника!$F$1:$ABM$500,Q$2,0),Техника!$F$4:$ABM$4,"Часы",INDEX(Техника!$G$1:$ABN$500,Q$2,0),$A$753,INDEX(Техника!$H$1:$ABO$500,Q$2,0),"Д")</f>
        <v>0</v>
      </c>
      <c r="R755" s="50">
        <f>SUMIFS(INDEX(Техника!$F$1:$ABM$500,R$2,0),Техника!$F$4:$ABM$4,"Часы",INDEX(Техника!$G$1:$ABN$500,R$2,0),$A$753,INDEX(Техника!$H$1:$ABO$500,R$2,0),"Д")</f>
        <v>0</v>
      </c>
      <c r="S755" s="50">
        <f>SUMIFS(INDEX(Техника!$F$1:$ABM$500,S$2,0),Техника!$F$4:$ABM$4,"Часы",INDEX(Техника!$G$1:$ABN$500,S$2,0),$A$753,INDEX(Техника!$H$1:$ABO$500,S$2,0),"Д")</f>
        <v>0</v>
      </c>
      <c r="T755" s="50">
        <f>SUMIFS(INDEX(Техника!$F$1:$ABM$500,T$2,0),Техника!$F$4:$ABM$4,"Часы",INDEX(Техника!$G$1:$ABN$500,T$2,0),$A$753,INDEX(Техника!$H$1:$ABO$500,T$2,0),"Д")</f>
        <v>0</v>
      </c>
      <c r="U755" s="50">
        <f>SUMIFS(INDEX(Техника!$F$1:$ABM$500,U$2,0),Техника!$F$4:$ABM$4,"Часы",INDEX(Техника!$G$1:$ABN$500,U$2,0),$A$753,INDEX(Техника!$H$1:$ABO$500,U$2,0),"Д")</f>
        <v>0</v>
      </c>
      <c r="V755" s="50">
        <f>SUMIFS(INDEX(Техника!$F$1:$ABM$500,V$2,0),Техника!$F$4:$ABM$4,"Часы",INDEX(Техника!$G$1:$ABN$500,V$2,0),$A$753,INDEX(Техника!$H$1:$ABO$500,V$2,0),"Д")</f>
        <v>0</v>
      </c>
      <c r="W755" s="50">
        <f>SUMIFS(INDEX(Техника!$F$1:$ABM$500,W$2,0),Техника!$F$4:$ABM$4,"Часы",INDEX(Техника!$G$1:$ABN$500,W$2,0),$A$753,INDEX(Техника!$H$1:$ABO$500,W$2,0),"Д")</f>
        <v>0</v>
      </c>
      <c r="X755" s="50">
        <f>SUMIFS(INDEX(Техника!$F$1:$ABM$500,X$2,0),Техника!$F$4:$ABM$4,"Часы",INDEX(Техника!$G$1:$ABN$500,X$2,0),$A$753,INDEX(Техника!$H$1:$ABO$500,X$2,0),"Д")</f>
        <v>0</v>
      </c>
      <c r="Y755" s="50">
        <f>SUMIFS(INDEX(Техника!$F$1:$ABM$500,Y$2,0),Техника!$F$4:$ABM$4,"Часы",INDEX(Техника!$G$1:$ABN$500,Y$2,0),$A$753,INDEX(Техника!$H$1:$ABO$500,Y$2,0),"Д")</f>
        <v>0</v>
      </c>
      <c r="Z755" s="50">
        <f>SUMIFS(INDEX(Техника!$F$1:$ABM$500,Z$2,0),Техника!$F$4:$ABM$4,"Часы",INDEX(Техника!$G$1:$ABN$500,Z$2,0),$A$753,INDEX(Техника!$H$1:$ABO$500,Z$2,0),"Д")</f>
        <v>0</v>
      </c>
      <c r="AA755" s="50">
        <f>SUMIFS(INDEX(Техника!$F$1:$ABM$500,AA$2,0),Техника!$F$4:$ABM$4,"Часы",INDEX(Техника!$G$1:$ABN$500,AA$2,0),$A$753,INDEX(Техника!$H$1:$ABO$500,AA$2,0),"Д")</f>
        <v>0</v>
      </c>
      <c r="AB755" s="50">
        <f>SUMIFS(INDEX(Техника!$F$1:$ABM$500,AB$2,0),Техника!$F$4:$ABM$4,"Часы",INDEX(Техника!$G$1:$ABN$500,AB$2,0),$A$753,INDEX(Техника!$H$1:$ABO$500,AB$2,0),"Д")</f>
        <v>0</v>
      </c>
    </row>
    <row r="756" spans="1:28" hidden="1" outlineLevel="1" x14ac:dyDescent="0.3">
      <c r="A756" s="33" t="s">
        <v>276</v>
      </c>
      <c r="B756" s="34" t="s">
        <v>277</v>
      </c>
      <c r="C756" s="50">
        <f>SUMIFS(INDEX(Техника!$F$1:$ABM$500,C$2,0),Техника!$F$4:$ABM$4,"Часы",INDEX(Техника!$G$1:$ABN$500,C$2,0),$A$753,INDEX(Техника!$H$1:$ABO$500,C$2,0),"П")</f>
        <v>0</v>
      </c>
      <c r="D756" s="50">
        <f>SUMIFS(INDEX(Техника!$F$1:$ABM$500,D$2,0),Техника!$F$4:$ABM$4,"Часы",INDEX(Техника!$G$1:$ABN$500,D$2,0),$A$753,INDEX(Техника!$H$1:$ABO$500,D$2,0),"П")</f>
        <v>0</v>
      </c>
      <c r="E756" s="50">
        <f>SUMIFS(INDEX(Техника!$F$1:$ABM$500,E$2,0),Техника!$F$4:$ABM$4,"Часы",INDEX(Техника!$G$1:$ABN$500,E$2,0),$A$753,INDEX(Техника!$H$1:$ABO$500,E$2,0),"П")</f>
        <v>0</v>
      </c>
      <c r="F756" s="50">
        <f>SUMIFS(INDEX(Техника!$F$1:$ABM$500,F$2,0),Техника!$F$4:$ABM$4,"Часы",INDEX(Техника!$G$1:$ABN$500,F$2,0),$A$753,INDEX(Техника!$H$1:$ABO$500,F$2,0),"П")</f>
        <v>0</v>
      </c>
      <c r="G756" s="50">
        <f>SUMIFS(INDEX(Техника!$F$1:$ABM$500,G$2,0),Техника!$F$4:$ABM$4,"Часы",INDEX(Техника!$G$1:$ABN$500,G$2,0),$A$753,INDEX(Техника!$H$1:$ABO$500,G$2,0),"П")</f>
        <v>0</v>
      </c>
      <c r="H756" s="50">
        <f>SUMIFS(INDEX(Техника!$F$1:$ABM$500,H$2,0),Техника!$F$4:$ABM$4,"Часы",INDEX(Техника!$G$1:$ABN$500,H$2,0),$A$753,INDEX(Техника!$H$1:$ABO$500,H$2,0),"П")</f>
        <v>0</v>
      </c>
      <c r="I756" s="50">
        <f>SUMIFS(INDEX(Техника!$F$1:$ABM$500,I$2,0),Техника!$F$4:$ABM$4,"Часы",INDEX(Техника!$G$1:$ABN$500,I$2,0),$A$753,INDEX(Техника!$H$1:$ABO$500,I$2,0),"П")</f>
        <v>0</v>
      </c>
      <c r="J756" s="50">
        <f>SUMIFS(INDEX(Техника!$F$1:$ABM$500,J$2,0),Техника!$F$4:$ABM$4,"Часы",INDEX(Техника!$G$1:$ABN$500,J$2,0),$A$753,INDEX(Техника!$H$1:$ABO$500,J$2,0),"П")</f>
        <v>0</v>
      </c>
      <c r="K756" s="50">
        <f>SUMIFS(INDEX(Техника!$F$1:$ABM$500,K$2,0),Техника!$F$4:$ABM$4,"Часы",INDEX(Техника!$G$1:$ABN$500,K$2,0),$A$753,INDEX(Техника!$H$1:$ABO$500,K$2,0),"П")</f>
        <v>0</v>
      </c>
      <c r="L756" s="50">
        <f>SUMIFS(INDEX(Техника!$F$1:$ABM$500,L$2,0),Техника!$F$4:$ABM$4,"Часы",INDEX(Техника!$G$1:$ABN$500,L$2,0),$A$753,INDEX(Техника!$H$1:$ABO$500,L$2,0),"П")</f>
        <v>0</v>
      </c>
      <c r="M756" s="50">
        <f>SUMIFS(INDEX(Техника!$F$1:$ABM$500,M$2,0),Техника!$F$4:$ABM$4,"Часы",INDEX(Техника!$G$1:$ABN$500,M$2,0),$A$753,INDEX(Техника!$H$1:$ABO$500,M$2,0),"П")</f>
        <v>0</v>
      </c>
      <c r="N756" s="50">
        <f>SUMIFS(INDEX(Техника!$F$1:$ABM$500,N$2,0),Техника!$F$4:$ABM$4,"Часы",INDEX(Техника!$G$1:$ABN$500,N$2,0),$A$753,INDEX(Техника!$H$1:$ABO$500,N$2,0),"П")</f>
        <v>0</v>
      </c>
      <c r="O756" s="50">
        <f>SUMIFS(INDEX(Техника!$F$1:$ABM$500,O$2,0),Техника!$F$4:$ABM$4,"Часы",INDEX(Техника!$G$1:$ABN$500,O$2,0),$A$753,INDEX(Техника!$H$1:$ABO$500,O$2,0),"П")</f>
        <v>0</v>
      </c>
      <c r="P756" s="50">
        <f>SUMIFS(INDEX(Техника!$F$1:$ABM$500,P$2,0),Техника!$F$4:$ABM$4,"Часы",INDEX(Техника!$G$1:$ABN$500,P$2,0),$A$753,INDEX(Техника!$H$1:$ABO$500,P$2,0),"П")</f>
        <v>0</v>
      </c>
      <c r="Q756" s="50">
        <f>SUMIFS(INDEX(Техника!$F$1:$ABM$500,Q$2,0),Техника!$F$4:$ABM$4,"Часы",INDEX(Техника!$G$1:$ABN$500,Q$2,0),$A$753,INDEX(Техника!$H$1:$ABO$500,Q$2,0),"П")</f>
        <v>0</v>
      </c>
      <c r="R756" s="50">
        <f>SUMIFS(INDEX(Техника!$F$1:$ABM$500,R$2,0),Техника!$F$4:$ABM$4,"Часы",INDEX(Техника!$G$1:$ABN$500,R$2,0),$A$753,INDEX(Техника!$H$1:$ABO$500,R$2,0),"П")</f>
        <v>0</v>
      </c>
      <c r="S756" s="50">
        <f>SUMIFS(INDEX(Техника!$F$1:$ABM$500,S$2,0),Техника!$F$4:$ABM$4,"Часы",INDEX(Техника!$G$1:$ABN$500,S$2,0),$A$753,INDEX(Техника!$H$1:$ABO$500,S$2,0),"П")</f>
        <v>0</v>
      </c>
      <c r="T756" s="50">
        <f>SUMIFS(INDEX(Техника!$F$1:$ABM$500,T$2,0),Техника!$F$4:$ABM$4,"Часы",INDEX(Техника!$G$1:$ABN$500,T$2,0),$A$753,INDEX(Техника!$H$1:$ABO$500,T$2,0),"П")</f>
        <v>0</v>
      </c>
      <c r="U756" s="50">
        <f>SUMIFS(INDEX(Техника!$F$1:$ABM$500,U$2,0),Техника!$F$4:$ABM$4,"Часы",INDEX(Техника!$G$1:$ABN$500,U$2,0),$A$753,INDEX(Техника!$H$1:$ABO$500,U$2,0),"П")</f>
        <v>0</v>
      </c>
      <c r="V756" s="50">
        <f>SUMIFS(INDEX(Техника!$F$1:$ABM$500,V$2,0),Техника!$F$4:$ABM$4,"Часы",INDEX(Техника!$G$1:$ABN$500,V$2,0),$A$753,INDEX(Техника!$H$1:$ABO$500,V$2,0),"П")</f>
        <v>0</v>
      </c>
      <c r="W756" s="50">
        <f>SUMIFS(INDEX(Техника!$F$1:$ABM$500,W$2,0),Техника!$F$4:$ABM$4,"Часы",INDEX(Техника!$G$1:$ABN$500,W$2,0),$A$753,INDEX(Техника!$H$1:$ABO$500,W$2,0),"П")</f>
        <v>0</v>
      </c>
      <c r="X756" s="50">
        <f>SUMIFS(INDEX(Техника!$F$1:$ABM$500,X$2,0),Техника!$F$4:$ABM$4,"Часы",INDEX(Техника!$G$1:$ABN$500,X$2,0),$A$753,INDEX(Техника!$H$1:$ABO$500,X$2,0),"П")</f>
        <v>0</v>
      </c>
      <c r="Y756" s="50">
        <f>SUMIFS(INDEX(Техника!$F$1:$ABM$500,Y$2,0),Техника!$F$4:$ABM$4,"Часы",INDEX(Техника!$G$1:$ABN$500,Y$2,0),$A$753,INDEX(Техника!$H$1:$ABO$500,Y$2,0),"П")</f>
        <v>0</v>
      </c>
      <c r="Z756" s="50">
        <f>SUMIFS(INDEX(Техника!$F$1:$ABM$500,Z$2,0),Техника!$F$4:$ABM$4,"Часы",INDEX(Техника!$G$1:$ABN$500,Z$2,0),$A$753,INDEX(Техника!$H$1:$ABO$500,Z$2,0),"П")</f>
        <v>0</v>
      </c>
      <c r="AA756" s="50">
        <f>SUMIFS(INDEX(Техника!$F$1:$ABM$500,AA$2,0),Техника!$F$4:$ABM$4,"Часы",INDEX(Техника!$G$1:$ABN$500,AA$2,0),$A$753,INDEX(Техника!$H$1:$ABO$500,AA$2,0),"П")</f>
        <v>0</v>
      </c>
      <c r="AB756" s="50">
        <f>SUMIFS(INDEX(Техника!$F$1:$ABM$500,AB$2,0),Техника!$F$4:$ABM$4,"Часы",INDEX(Техника!$G$1:$ABN$500,AB$2,0),$A$753,INDEX(Техника!$H$1:$ABO$500,AB$2,0),"П")</f>
        <v>0</v>
      </c>
    </row>
    <row r="757" spans="1:28" hidden="1" outlineLevel="1" x14ac:dyDescent="0.3">
      <c r="A757" s="33" t="s">
        <v>243</v>
      </c>
      <c r="B757" s="34" t="s">
        <v>278</v>
      </c>
      <c r="C757" s="50">
        <f>SUMIFS(INDEX(Техника!$F$1:$ABM$500,C$2,0),Техника!$F$4:$ABM$4,"Часы",INDEX(Техника!$G$1:$ABN$500,C$2,0),$A$753,INDEX(Техника!$H$1:$ABO$500,C$2,0),"Л")</f>
        <v>0</v>
      </c>
      <c r="D757" s="50">
        <f>SUMIFS(INDEX(Техника!$F$1:$ABM$500,D$2,0),Техника!$F$4:$ABM$4,"Часы",INDEX(Техника!$G$1:$ABN$500,D$2,0),$A$753,INDEX(Техника!$H$1:$ABO$500,D$2,0),"Л")</f>
        <v>0</v>
      </c>
      <c r="E757" s="50">
        <f>SUMIFS(INDEX(Техника!$F$1:$ABM$500,E$2,0),Техника!$F$4:$ABM$4,"Часы",INDEX(Техника!$G$1:$ABN$500,E$2,0),$A$753,INDEX(Техника!$H$1:$ABO$500,E$2,0),"Л")</f>
        <v>0</v>
      </c>
      <c r="F757" s="50">
        <f>SUMIFS(INDEX(Техника!$F$1:$ABM$500,F$2,0),Техника!$F$4:$ABM$4,"Часы",INDEX(Техника!$G$1:$ABN$500,F$2,0),$A$753,INDEX(Техника!$H$1:$ABO$500,F$2,0),"Л")</f>
        <v>0</v>
      </c>
      <c r="G757" s="50">
        <f>SUMIFS(INDEX(Техника!$F$1:$ABM$500,G$2,0),Техника!$F$4:$ABM$4,"Часы",INDEX(Техника!$G$1:$ABN$500,G$2,0),$A$753,INDEX(Техника!$H$1:$ABO$500,G$2,0),"Л")</f>
        <v>0</v>
      </c>
      <c r="H757" s="50">
        <f>SUMIFS(INDEX(Техника!$F$1:$ABM$500,H$2,0),Техника!$F$4:$ABM$4,"Часы",INDEX(Техника!$G$1:$ABN$500,H$2,0),$A$753,INDEX(Техника!$H$1:$ABO$500,H$2,0),"Л")</f>
        <v>0</v>
      </c>
      <c r="I757" s="50">
        <f>SUMIFS(INDEX(Техника!$F$1:$ABM$500,I$2,0),Техника!$F$4:$ABM$4,"Часы",INDEX(Техника!$G$1:$ABN$500,I$2,0),$A$753,INDEX(Техника!$H$1:$ABO$500,I$2,0),"Л")</f>
        <v>0</v>
      </c>
      <c r="J757" s="50">
        <f>SUMIFS(INDEX(Техника!$F$1:$ABM$500,J$2,0),Техника!$F$4:$ABM$4,"Часы",INDEX(Техника!$G$1:$ABN$500,J$2,0),$A$753,INDEX(Техника!$H$1:$ABO$500,J$2,0),"Л")</f>
        <v>0</v>
      </c>
      <c r="K757" s="50">
        <f>SUMIFS(INDEX(Техника!$F$1:$ABM$500,K$2,0),Техника!$F$4:$ABM$4,"Часы",INDEX(Техника!$G$1:$ABN$500,K$2,0),$A$753,INDEX(Техника!$H$1:$ABO$500,K$2,0),"Л")</f>
        <v>0</v>
      </c>
      <c r="L757" s="50">
        <f>SUMIFS(INDEX(Техника!$F$1:$ABM$500,L$2,0),Техника!$F$4:$ABM$4,"Часы",INDEX(Техника!$G$1:$ABN$500,L$2,0),$A$753,INDEX(Техника!$H$1:$ABO$500,L$2,0),"Л")</f>
        <v>0</v>
      </c>
      <c r="M757" s="50">
        <f>SUMIFS(INDEX(Техника!$F$1:$ABM$500,M$2,0),Техника!$F$4:$ABM$4,"Часы",INDEX(Техника!$G$1:$ABN$500,M$2,0),$A$753,INDEX(Техника!$H$1:$ABO$500,M$2,0),"Л")</f>
        <v>0</v>
      </c>
      <c r="N757" s="50">
        <f>SUMIFS(INDEX(Техника!$F$1:$ABM$500,N$2,0),Техника!$F$4:$ABM$4,"Часы",INDEX(Техника!$G$1:$ABN$500,N$2,0),$A$753,INDEX(Техника!$H$1:$ABO$500,N$2,0),"Л")</f>
        <v>0</v>
      </c>
      <c r="O757" s="50">
        <f>SUMIFS(INDEX(Техника!$F$1:$ABM$500,O$2,0),Техника!$F$4:$ABM$4,"Часы",INDEX(Техника!$G$1:$ABN$500,O$2,0),$A$753,INDEX(Техника!$H$1:$ABO$500,O$2,0),"Л")</f>
        <v>0</v>
      </c>
      <c r="P757" s="50">
        <f>SUMIFS(INDEX(Техника!$F$1:$ABM$500,P$2,0),Техника!$F$4:$ABM$4,"Часы",INDEX(Техника!$G$1:$ABN$500,P$2,0),$A$753,INDEX(Техника!$H$1:$ABO$500,P$2,0),"Л")</f>
        <v>0</v>
      </c>
      <c r="Q757" s="50">
        <f>SUMIFS(INDEX(Техника!$F$1:$ABM$500,Q$2,0),Техника!$F$4:$ABM$4,"Часы",INDEX(Техника!$G$1:$ABN$500,Q$2,0),$A$753,INDEX(Техника!$H$1:$ABO$500,Q$2,0),"Л")</f>
        <v>0</v>
      </c>
      <c r="R757" s="50">
        <f>SUMIFS(INDEX(Техника!$F$1:$ABM$500,R$2,0),Техника!$F$4:$ABM$4,"Часы",INDEX(Техника!$G$1:$ABN$500,R$2,0),$A$753,INDEX(Техника!$H$1:$ABO$500,R$2,0),"Л")</f>
        <v>0</v>
      </c>
      <c r="S757" s="50">
        <f>SUMIFS(INDEX(Техника!$F$1:$ABM$500,S$2,0),Техника!$F$4:$ABM$4,"Часы",INDEX(Техника!$G$1:$ABN$500,S$2,0),$A$753,INDEX(Техника!$H$1:$ABO$500,S$2,0),"Л")</f>
        <v>0</v>
      </c>
      <c r="T757" s="50">
        <f>SUMIFS(INDEX(Техника!$F$1:$ABM$500,T$2,0),Техника!$F$4:$ABM$4,"Часы",INDEX(Техника!$G$1:$ABN$500,T$2,0),$A$753,INDEX(Техника!$H$1:$ABO$500,T$2,0),"Л")</f>
        <v>0</v>
      </c>
      <c r="U757" s="50">
        <f>SUMIFS(INDEX(Техника!$F$1:$ABM$500,U$2,0),Техника!$F$4:$ABM$4,"Часы",INDEX(Техника!$G$1:$ABN$500,U$2,0),$A$753,INDEX(Техника!$H$1:$ABO$500,U$2,0),"Л")</f>
        <v>0</v>
      </c>
      <c r="V757" s="50">
        <f>SUMIFS(INDEX(Техника!$F$1:$ABM$500,V$2,0),Техника!$F$4:$ABM$4,"Часы",INDEX(Техника!$G$1:$ABN$500,V$2,0),$A$753,INDEX(Техника!$H$1:$ABO$500,V$2,0),"Л")</f>
        <v>0</v>
      </c>
      <c r="W757" s="50">
        <f>SUMIFS(INDEX(Техника!$F$1:$ABM$500,W$2,0),Техника!$F$4:$ABM$4,"Часы",INDEX(Техника!$G$1:$ABN$500,W$2,0),$A$753,INDEX(Техника!$H$1:$ABO$500,W$2,0),"Л")</f>
        <v>0</v>
      </c>
      <c r="X757" s="50">
        <f>SUMIFS(INDEX(Техника!$F$1:$ABM$500,X$2,0),Техника!$F$4:$ABM$4,"Часы",INDEX(Техника!$G$1:$ABN$500,X$2,0),$A$753,INDEX(Техника!$H$1:$ABO$500,X$2,0),"Л")</f>
        <v>0</v>
      </c>
      <c r="Y757" s="50">
        <f>SUMIFS(INDEX(Техника!$F$1:$ABM$500,Y$2,0),Техника!$F$4:$ABM$4,"Часы",INDEX(Техника!$G$1:$ABN$500,Y$2,0),$A$753,INDEX(Техника!$H$1:$ABO$500,Y$2,0),"Л")</f>
        <v>0</v>
      </c>
      <c r="Z757" s="50">
        <f>SUMIFS(INDEX(Техника!$F$1:$ABM$500,Z$2,0),Техника!$F$4:$ABM$4,"Часы",INDEX(Техника!$G$1:$ABN$500,Z$2,0),$A$753,INDEX(Техника!$H$1:$ABO$500,Z$2,0),"Л")</f>
        <v>0</v>
      </c>
      <c r="AA757" s="50">
        <f>SUMIFS(INDEX(Техника!$F$1:$ABM$500,AA$2,0),Техника!$F$4:$ABM$4,"Часы",INDEX(Техника!$G$1:$ABN$500,AA$2,0),$A$753,INDEX(Техника!$H$1:$ABO$500,AA$2,0),"Л")</f>
        <v>0</v>
      </c>
      <c r="AB757" s="50">
        <f>SUMIFS(INDEX(Техника!$F$1:$ABM$500,AB$2,0),Техника!$F$4:$ABM$4,"Часы",INDEX(Техника!$G$1:$ABN$500,AB$2,0),$A$753,INDEX(Техника!$H$1:$ABO$500,AB$2,0),"Л")</f>
        <v>0</v>
      </c>
    </row>
    <row r="758" spans="1:28" hidden="1" outlineLevel="1" x14ac:dyDescent="0.3">
      <c r="A758" s="33" t="s">
        <v>245</v>
      </c>
      <c r="B758" s="34" t="s">
        <v>279</v>
      </c>
      <c r="C758" s="50">
        <f>SUMIFS(INDEX(Техника!$F$1:$ABM$500,C$2,0),Техника!$F$4:$ABM$4,"Часы",INDEX(Техника!$G$1:$ABN$500,C$2,0),$A$753,INDEX(Техника!$H$1:$ABO$500,C$2,0),"З")</f>
        <v>0</v>
      </c>
      <c r="D758" s="50">
        <f>SUMIFS(INDEX(Техника!$F$1:$ABM$500,D$2,0),Техника!$F$4:$ABM$4,"Часы",INDEX(Техника!$G$1:$ABN$500,D$2,0),$A$753,INDEX(Техника!$H$1:$ABO$500,D$2,0),"З")</f>
        <v>0</v>
      </c>
      <c r="E758" s="50">
        <f>SUMIFS(INDEX(Техника!$F$1:$ABM$500,E$2,0),Техника!$F$4:$ABM$4,"Часы",INDEX(Техника!$G$1:$ABN$500,E$2,0),$A$753,INDEX(Техника!$H$1:$ABO$500,E$2,0),"З")</f>
        <v>0</v>
      </c>
      <c r="F758" s="50">
        <f>SUMIFS(INDEX(Техника!$F$1:$ABM$500,F$2,0),Техника!$F$4:$ABM$4,"Часы",INDEX(Техника!$G$1:$ABN$500,F$2,0),$A$753,INDEX(Техника!$H$1:$ABO$500,F$2,0),"З")</f>
        <v>0</v>
      </c>
      <c r="G758" s="50">
        <f>SUMIFS(INDEX(Техника!$F$1:$ABM$500,G$2,0),Техника!$F$4:$ABM$4,"Часы",INDEX(Техника!$G$1:$ABN$500,G$2,0),$A$753,INDEX(Техника!$H$1:$ABO$500,G$2,0),"З")</f>
        <v>0</v>
      </c>
      <c r="H758" s="50">
        <f>SUMIFS(INDEX(Техника!$F$1:$ABM$500,H$2,0),Техника!$F$4:$ABM$4,"Часы",INDEX(Техника!$G$1:$ABN$500,H$2,0),$A$753,INDEX(Техника!$H$1:$ABO$500,H$2,0),"З")</f>
        <v>0</v>
      </c>
      <c r="I758" s="50">
        <f>SUMIFS(INDEX(Техника!$F$1:$ABM$500,I$2,0),Техника!$F$4:$ABM$4,"Часы",INDEX(Техника!$G$1:$ABN$500,I$2,0),$A$753,INDEX(Техника!$H$1:$ABO$500,I$2,0),"З")</f>
        <v>0</v>
      </c>
      <c r="J758" s="50">
        <f>SUMIFS(INDEX(Техника!$F$1:$ABM$500,J$2,0),Техника!$F$4:$ABM$4,"Часы",INDEX(Техника!$G$1:$ABN$500,J$2,0),$A$753,INDEX(Техника!$H$1:$ABO$500,J$2,0),"З")</f>
        <v>0</v>
      </c>
      <c r="K758" s="50">
        <f>SUMIFS(INDEX(Техника!$F$1:$ABM$500,K$2,0),Техника!$F$4:$ABM$4,"Часы",INDEX(Техника!$G$1:$ABN$500,K$2,0),$A$753,INDEX(Техника!$H$1:$ABO$500,K$2,0),"З")</f>
        <v>0</v>
      </c>
      <c r="L758" s="50">
        <f>SUMIFS(INDEX(Техника!$F$1:$ABM$500,L$2,0),Техника!$F$4:$ABM$4,"Часы",INDEX(Техника!$G$1:$ABN$500,L$2,0),$A$753,INDEX(Техника!$H$1:$ABO$500,L$2,0),"З")</f>
        <v>0</v>
      </c>
      <c r="M758" s="50">
        <f>SUMIFS(INDEX(Техника!$F$1:$ABM$500,M$2,0),Техника!$F$4:$ABM$4,"Часы",INDEX(Техника!$G$1:$ABN$500,M$2,0),$A$753,INDEX(Техника!$H$1:$ABO$500,M$2,0),"З")</f>
        <v>0</v>
      </c>
      <c r="N758" s="50">
        <f>SUMIFS(INDEX(Техника!$F$1:$ABM$500,N$2,0),Техника!$F$4:$ABM$4,"Часы",INDEX(Техника!$G$1:$ABN$500,N$2,0),$A$753,INDEX(Техника!$H$1:$ABO$500,N$2,0),"З")</f>
        <v>0</v>
      </c>
      <c r="O758" s="50">
        <f>SUMIFS(INDEX(Техника!$F$1:$ABM$500,O$2,0),Техника!$F$4:$ABM$4,"Часы",INDEX(Техника!$G$1:$ABN$500,O$2,0),$A$753,INDEX(Техника!$H$1:$ABO$500,O$2,0),"З")</f>
        <v>0</v>
      </c>
      <c r="P758" s="50">
        <f>SUMIFS(INDEX(Техника!$F$1:$ABM$500,P$2,0),Техника!$F$4:$ABM$4,"Часы",INDEX(Техника!$G$1:$ABN$500,P$2,0),$A$753,INDEX(Техника!$H$1:$ABO$500,P$2,0),"З")</f>
        <v>0</v>
      </c>
      <c r="Q758" s="50">
        <f>SUMIFS(INDEX(Техника!$F$1:$ABM$500,Q$2,0),Техника!$F$4:$ABM$4,"Часы",INDEX(Техника!$G$1:$ABN$500,Q$2,0),$A$753,INDEX(Техника!$H$1:$ABO$500,Q$2,0),"З")</f>
        <v>0</v>
      </c>
      <c r="R758" s="50">
        <f>SUMIFS(INDEX(Техника!$F$1:$ABM$500,R$2,0),Техника!$F$4:$ABM$4,"Часы",INDEX(Техника!$G$1:$ABN$500,R$2,0),$A$753,INDEX(Техника!$H$1:$ABO$500,R$2,0),"З")</f>
        <v>0</v>
      </c>
      <c r="S758" s="50">
        <f>SUMIFS(INDEX(Техника!$F$1:$ABM$500,S$2,0),Техника!$F$4:$ABM$4,"Часы",INDEX(Техника!$G$1:$ABN$500,S$2,0),$A$753,INDEX(Техника!$H$1:$ABO$500,S$2,0),"З")</f>
        <v>0</v>
      </c>
      <c r="T758" s="50">
        <f>SUMIFS(INDEX(Техника!$F$1:$ABM$500,T$2,0),Техника!$F$4:$ABM$4,"Часы",INDEX(Техника!$G$1:$ABN$500,T$2,0),$A$753,INDEX(Техника!$H$1:$ABO$500,T$2,0),"З")</f>
        <v>0</v>
      </c>
      <c r="U758" s="50">
        <f>SUMIFS(INDEX(Техника!$F$1:$ABM$500,U$2,0),Техника!$F$4:$ABM$4,"Часы",INDEX(Техника!$G$1:$ABN$500,U$2,0),$A$753,INDEX(Техника!$H$1:$ABO$500,U$2,0),"З")</f>
        <v>0</v>
      </c>
      <c r="V758" s="50">
        <f>SUMIFS(INDEX(Техника!$F$1:$ABM$500,V$2,0),Техника!$F$4:$ABM$4,"Часы",INDEX(Техника!$G$1:$ABN$500,V$2,0),$A$753,INDEX(Техника!$H$1:$ABO$500,V$2,0),"З")</f>
        <v>0</v>
      </c>
      <c r="W758" s="50">
        <f>SUMIFS(INDEX(Техника!$F$1:$ABM$500,W$2,0),Техника!$F$4:$ABM$4,"Часы",INDEX(Техника!$G$1:$ABN$500,W$2,0),$A$753,INDEX(Техника!$H$1:$ABO$500,W$2,0),"З")</f>
        <v>0</v>
      </c>
      <c r="X758" s="50">
        <f>SUMIFS(INDEX(Техника!$F$1:$ABM$500,X$2,0),Техника!$F$4:$ABM$4,"Часы",INDEX(Техника!$G$1:$ABN$500,X$2,0),$A$753,INDEX(Техника!$H$1:$ABO$500,X$2,0),"З")</f>
        <v>0</v>
      </c>
      <c r="Y758" s="50">
        <f>SUMIFS(INDEX(Техника!$F$1:$ABM$500,Y$2,0),Техника!$F$4:$ABM$4,"Часы",INDEX(Техника!$G$1:$ABN$500,Y$2,0),$A$753,INDEX(Техника!$H$1:$ABO$500,Y$2,0),"З")</f>
        <v>0</v>
      </c>
      <c r="Z758" s="50">
        <f>SUMIFS(INDEX(Техника!$F$1:$ABM$500,Z$2,0),Техника!$F$4:$ABM$4,"Часы",INDEX(Техника!$G$1:$ABN$500,Z$2,0),$A$753,INDEX(Техника!$H$1:$ABO$500,Z$2,0),"З")</f>
        <v>0</v>
      </c>
      <c r="AA758" s="50">
        <f>SUMIFS(INDEX(Техника!$F$1:$ABM$500,AA$2,0),Техника!$F$4:$ABM$4,"Часы",INDEX(Техника!$G$1:$ABN$500,AA$2,0),$A$753,INDEX(Техника!$H$1:$ABO$500,AA$2,0),"З")</f>
        <v>0</v>
      </c>
      <c r="AB758" s="50">
        <f>SUMIFS(INDEX(Техника!$F$1:$ABM$500,AB$2,0),Техника!$F$4:$ABM$4,"Часы",INDEX(Техника!$G$1:$ABN$500,AB$2,0),$A$753,INDEX(Техника!$H$1:$ABO$500,AB$2,0),"З")</f>
        <v>0</v>
      </c>
    </row>
    <row r="759" spans="1:28" ht="7.95" customHeight="1" x14ac:dyDescent="0.3">
      <c r="A759" s="38"/>
      <c r="B759" s="39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</row>
    <row r="760" spans="1:28" ht="25.05" customHeight="1" collapsed="1" x14ac:dyDescent="0.3">
      <c r="A760" s="32">
        <v>109</v>
      </c>
      <c r="B760" s="32" t="s">
        <v>110</v>
      </c>
      <c r="C760" s="49">
        <f>SUM(C761:C765)</f>
        <v>0</v>
      </c>
      <c r="D760" s="49">
        <f>SUM(D761:D765)</f>
        <v>0</v>
      </c>
      <c r="E760" s="49">
        <f>SUM(E761:E765)</f>
        <v>0</v>
      </c>
      <c r="F760" s="49">
        <f>SUM(F761:F765)</f>
        <v>0</v>
      </c>
      <c r="G760" s="49">
        <f>SUM(G761:G765)</f>
        <v>0</v>
      </c>
      <c r="H760" s="49">
        <f>SUM(H761:H765)</f>
        <v>0</v>
      </c>
      <c r="I760" s="49">
        <f>SUM(I761:I765)</f>
        <v>0</v>
      </c>
      <c r="J760" s="49">
        <f>SUM(J761:J765)</f>
        <v>0</v>
      </c>
      <c r="K760" s="49">
        <f>SUM(K761:K765)</f>
        <v>0</v>
      </c>
      <c r="L760" s="49">
        <f>SUM(L761:L765)</f>
        <v>0</v>
      </c>
      <c r="M760" s="49">
        <f>SUM(M761:M765)</f>
        <v>0</v>
      </c>
      <c r="N760" s="49">
        <f>SUM(N761:N765)</f>
        <v>0</v>
      </c>
      <c r="O760" s="49">
        <f>SUM(O761:O765)</f>
        <v>0</v>
      </c>
      <c r="P760" s="49">
        <f>SUM(P761:P765)</f>
        <v>0</v>
      </c>
      <c r="Q760" s="49">
        <f>SUM(Q761:Q765)</f>
        <v>0</v>
      </c>
      <c r="R760" s="49">
        <f>SUM(R761:R765)</f>
        <v>0</v>
      </c>
      <c r="S760" s="49">
        <f>SUM(S761:S765)</f>
        <v>0</v>
      </c>
      <c r="T760" s="49">
        <f>SUM(T761:T765)</f>
        <v>0</v>
      </c>
      <c r="U760" s="49">
        <f>SUM(U761:U765)</f>
        <v>0</v>
      </c>
      <c r="V760" s="49">
        <f>SUM(V761:V765)</f>
        <v>0</v>
      </c>
      <c r="W760" s="49">
        <f>SUM(W761:W765)</f>
        <v>0</v>
      </c>
      <c r="X760" s="49">
        <f>SUM(X761:X765)</f>
        <v>0</v>
      </c>
      <c r="Y760" s="49">
        <f>SUM(Y761:Y765)</f>
        <v>0</v>
      </c>
      <c r="Z760" s="49">
        <f>SUM(Z761:Z765)</f>
        <v>0</v>
      </c>
      <c r="AA760" s="49">
        <f>SUM(AA761:AA765)</f>
        <v>0</v>
      </c>
      <c r="AB760" s="49">
        <f>SUM(AB761:AB765)</f>
        <v>0</v>
      </c>
    </row>
    <row r="761" spans="1:28" hidden="1" outlineLevel="1" x14ac:dyDescent="0.3">
      <c r="A761" s="33" t="s">
        <v>246</v>
      </c>
      <c r="B761" s="34" t="s">
        <v>274</v>
      </c>
      <c r="C761" s="50">
        <f>SUMIFS(INDEX(Техника!$F$1:$ABM$500,C$2,0),Техника!$F$4:$ABM$4,"Часы",INDEX(Техника!$G$1:$ABN$500,C$2,0),$A$760,INDEX(Техника!$H$1:$ABO$500,C$2,0),"М")</f>
        <v>0</v>
      </c>
      <c r="D761" s="50">
        <f>SUMIFS(INDEX(Техника!$F$1:$ABM$500,D$2,0),Техника!$F$4:$ABM$4,"Часы",INDEX(Техника!$G$1:$ABN$500,D$2,0),$A$760,INDEX(Техника!$H$1:$ABO$500,D$2,0),"М")</f>
        <v>0</v>
      </c>
      <c r="E761" s="50">
        <f>SUMIFS(INDEX(Техника!$F$1:$ABM$500,E$2,0),Техника!$F$4:$ABM$4,"Часы",INDEX(Техника!$G$1:$ABN$500,E$2,0),$A$760,INDEX(Техника!$H$1:$ABO$500,E$2,0),"М")</f>
        <v>0</v>
      </c>
      <c r="F761" s="50">
        <f>SUMIFS(INDEX(Техника!$F$1:$ABM$500,F$2,0),Техника!$F$4:$ABM$4,"Часы",INDEX(Техника!$G$1:$ABN$500,F$2,0),$A$760,INDEX(Техника!$H$1:$ABO$500,F$2,0),"М")</f>
        <v>0</v>
      </c>
      <c r="G761" s="50">
        <f>SUMIFS(INDEX(Техника!$F$1:$ABM$500,G$2,0),Техника!$F$4:$ABM$4,"Часы",INDEX(Техника!$G$1:$ABN$500,G$2,0),$A$760,INDEX(Техника!$H$1:$ABO$500,G$2,0),"М")</f>
        <v>0</v>
      </c>
      <c r="H761" s="50">
        <f>SUMIFS(INDEX(Техника!$F$1:$ABM$500,H$2,0),Техника!$F$4:$ABM$4,"Часы",INDEX(Техника!$G$1:$ABN$500,H$2,0),$A$760,INDEX(Техника!$H$1:$ABO$500,H$2,0),"М")</f>
        <v>0</v>
      </c>
      <c r="I761" s="50">
        <f>SUMIFS(INDEX(Техника!$F$1:$ABM$500,I$2,0),Техника!$F$4:$ABM$4,"Часы",INDEX(Техника!$G$1:$ABN$500,I$2,0),$A$760,INDEX(Техника!$H$1:$ABO$500,I$2,0),"М")</f>
        <v>0</v>
      </c>
      <c r="J761" s="50">
        <f>SUMIFS(INDEX(Техника!$F$1:$ABM$500,J$2,0),Техника!$F$4:$ABM$4,"Часы",INDEX(Техника!$G$1:$ABN$500,J$2,0),$A$760,INDEX(Техника!$H$1:$ABO$500,J$2,0),"М")</f>
        <v>0</v>
      </c>
      <c r="K761" s="50">
        <f>SUMIFS(INDEX(Техника!$F$1:$ABM$500,K$2,0),Техника!$F$4:$ABM$4,"Часы",INDEX(Техника!$G$1:$ABN$500,K$2,0),$A$760,INDEX(Техника!$H$1:$ABO$500,K$2,0),"М")</f>
        <v>0</v>
      </c>
      <c r="L761" s="50">
        <f>SUMIFS(INDEX(Техника!$F$1:$ABM$500,L$2,0),Техника!$F$4:$ABM$4,"Часы",INDEX(Техника!$G$1:$ABN$500,L$2,0),$A$760,INDEX(Техника!$H$1:$ABO$500,L$2,0),"М")</f>
        <v>0</v>
      </c>
      <c r="M761" s="50">
        <f>SUMIFS(INDEX(Техника!$F$1:$ABM$500,M$2,0),Техника!$F$4:$ABM$4,"Часы",INDEX(Техника!$G$1:$ABN$500,M$2,0),$A$760,INDEX(Техника!$H$1:$ABO$500,M$2,0),"М")</f>
        <v>0</v>
      </c>
      <c r="N761" s="50">
        <f>SUMIFS(INDEX(Техника!$F$1:$ABM$500,N$2,0),Техника!$F$4:$ABM$4,"Часы",INDEX(Техника!$G$1:$ABN$500,N$2,0),$A$760,INDEX(Техника!$H$1:$ABO$500,N$2,0),"М")</f>
        <v>0</v>
      </c>
      <c r="O761" s="50">
        <f>SUMIFS(INDEX(Техника!$F$1:$ABM$500,O$2,0),Техника!$F$4:$ABM$4,"Часы",INDEX(Техника!$G$1:$ABN$500,O$2,0),$A$760,INDEX(Техника!$H$1:$ABO$500,O$2,0),"М")</f>
        <v>0</v>
      </c>
      <c r="P761" s="50">
        <f>SUMIFS(INDEX(Техника!$F$1:$ABM$500,P$2,0),Техника!$F$4:$ABM$4,"Часы",INDEX(Техника!$G$1:$ABN$500,P$2,0),$A$760,INDEX(Техника!$H$1:$ABO$500,P$2,0),"М")</f>
        <v>0</v>
      </c>
      <c r="Q761" s="50">
        <f>SUMIFS(INDEX(Техника!$F$1:$ABM$500,Q$2,0),Техника!$F$4:$ABM$4,"Часы",INDEX(Техника!$G$1:$ABN$500,Q$2,0),$A$760,INDEX(Техника!$H$1:$ABO$500,Q$2,0),"М")</f>
        <v>0</v>
      </c>
      <c r="R761" s="50">
        <f>SUMIFS(INDEX(Техника!$F$1:$ABM$500,R$2,0),Техника!$F$4:$ABM$4,"Часы",INDEX(Техника!$G$1:$ABN$500,R$2,0),$A$760,INDEX(Техника!$H$1:$ABO$500,R$2,0),"М")</f>
        <v>0</v>
      </c>
      <c r="S761" s="50">
        <f>SUMIFS(INDEX(Техника!$F$1:$ABM$500,S$2,0),Техника!$F$4:$ABM$4,"Часы",INDEX(Техника!$G$1:$ABN$500,S$2,0),$A$760,INDEX(Техника!$H$1:$ABO$500,S$2,0),"М")</f>
        <v>0</v>
      </c>
      <c r="T761" s="50">
        <f>SUMIFS(INDEX(Техника!$F$1:$ABM$500,T$2,0),Техника!$F$4:$ABM$4,"Часы",INDEX(Техника!$G$1:$ABN$500,T$2,0),$A$760,INDEX(Техника!$H$1:$ABO$500,T$2,0),"М")</f>
        <v>0</v>
      </c>
      <c r="U761" s="50">
        <f>SUMIFS(INDEX(Техника!$F$1:$ABM$500,U$2,0),Техника!$F$4:$ABM$4,"Часы",INDEX(Техника!$G$1:$ABN$500,U$2,0),$A$760,INDEX(Техника!$H$1:$ABO$500,U$2,0),"М")</f>
        <v>0</v>
      </c>
      <c r="V761" s="50">
        <f>SUMIFS(INDEX(Техника!$F$1:$ABM$500,V$2,0),Техника!$F$4:$ABM$4,"Часы",INDEX(Техника!$G$1:$ABN$500,V$2,0),$A$760,INDEX(Техника!$H$1:$ABO$500,V$2,0),"М")</f>
        <v>0</v>
      </c>
      <c r="W761" s="50">
        <f>SUMIFS(INDEX(Техника!$F$1:$ABM$500,W$2,0),Техника!$F$4:$ABM$4,"Часы",INDEX(Техника!$G$1:$ABN$500,W$2,0),$A$760,INDEX(Техника!$H$1:$ABO$500,W$2,0),"М")</f>
        <v>0</v>
      </c>
      <c r="X761" s="50">
        <f>SUMIFS(INDEX(Техника!$F$1:$ABM$500,X$2,0),Техника!$F$4:$ABM$4,"Часы",INDEX(Техника!$G$1:$ABN$500,X$2,0),$A$760,INDEX(Техника!$H$1:$ABO$500,X$2,0),"М")</f>
        <v>0</v>
      </c>
      <c r="Y761" s="50">
        <f>SUMIFS(INDEX(Техника!$F$1:$ABM$500,Y$2,0),Техника!$F$4:$ABM$4,"Часы",INDEX(Техника!$G$1:$ABN$500,Y$2,0),$A$760,INDEX(Техника!$H$1:$ABO$500,Y$2,0),"М")</f>
        <v>0</v>
      </c>
      <c r="Z761" s="50">
        <f>SUMIFS(INDEX(Техника!$F$1:$ABM$500,Z$2,0),Техника!$F$4:$ABM$4,"Часы",INDEX(Техника!$G$1:$ABN$500,Z$2,0),$A$760,INDEX(Техника!$H$1:$ABO$500,Z$2,0),"М")</f>
        <v>0</v>
      </c>
      <c r="AA761" s="50">
        <f>SUMIFS(INDEX(Техника!$F$1:$ABM$500,AA$2,0),Техника!$F$4:$ABM$4,"Часы",INDEX(Техника!$G$1:$ABN$500,AA$2,0),$A$760,INDEX(Техника!$H$1:$ABO$500,AA$2,0),"М")</f>
        <v>0</v>
      </c>
      <c r="AB761" s="50">
        <f>SUMIFS(INDEX(Техника!$F$1:$ABM$500,AB$2,0),Техника!$F$4:$ABM$4,"Часы",INDEX(Техника!$G$1:$ABN$500,AB$2,0),$A$760,INDEX(Техника!$H$1:$ABO$500,AB$2,0),"М")</f>
        <v>0</v>
      </c>
    </row>
    <row r="762" spans="1:28" hidden="1" outlineLevel="1" x14ac:dyDescent="0.3">
      <c r="A762" s="33" t="s">
        <v>244</v>
      </c>
      <c r="B762" s="34" t="s">
        <v>275</v>
      </c>
      <c r="C762" s="50">
        <f>SUMIFS(INDEX(Техника!$F$1:$ABM$500,C$2,0),Техника!$F$4:$ABM$4,"Часы",INDEX(Техника!$G$1:$ABN$500,C$2,0),$A$760,INDEX(Техника!$H$1:$ABO$500,C$2,0),"Д")</f>
        <v>0</v>
      </c>
      <c r="D762" s="50">
        <f>SUMIFS(INDEX(Техника!$F$1:$ABM$500,D$2,0),Техника!$F$4:$ABM$4,"Часы",INDEX(Техника!$G$1:$ABN$500,D$2,0),$A$760,INDEX(Техника!$H$1:$ABO$500,D$2,0),"Д")</f>
        <v>0</v>
      </c>
      <c r="E762" s="50">
        <f>SUMIFS(INDEX(Техника!$F$1:$ABM$500,E$2,0),Техника!$F$4:$ABM$4,"Часы",INDEX(Техника!$G$1:$ABN$500,E$2,0),$A$760,INDEX(Техника!$H$1:$ABO$500,E$2,0),"Д")</f>
        <v>0</v>
      </c>
      <c r="F762" s="50">
        <f>SUMIFS(INDEX(Техника!$F$1:$ABM$500,F$2,0),Техника!$F$4:$ABM$4,"Часы",INDEX(Техника!$G$1:$ABN$500,F$2,0),$A$760,INDEX(Техника!$H$1:$ABO$500,F$2,0),"Д")</f>
        <v>0</v>
      </c>
      <c r="G762" s="50">
        <f>SUMIFS(INDEX(Техника!$F$1:$ABM$500,G$2,0),Техника!$F$4:$ABM$4,"Часы",INDEX(Техника!$G$1:$ABN$500,G$2,0),$A$760,INDEX(Техника!$H$1:$ABO$500,G$2,0),"Д")</f>
        <v>0</v>
      </c>
      <c r="H762" s="50">
        <f>SUMIFS(INDEX(Техника!$F$1:$ABM$500,H$2,0),Техника!$F$4:$ABM$4,"Часы",INDEX(Техника!$G$1:$ABN$500,H$2,0),$A$760,INDEX(Техника!$H$1:$ABO$500,H$2,0),"Д")</f>
        <v>0</v>
      </c>
      <c r="I762" s="50">
        <f>SUMIFS(INDEX(Техника!$F$1:$ABM$500,I$2,0),Техника!$F$4:$ABM$4,"Часы",INDEX(Техника!$G$1:$ABN$500,I$2,0),$A$760,INDEX(Техника!$H$1:$ABO$500,I$2,0),"Д")</f>
        <v>0</v>
      </c>
      <c r="J762" s="50">
        <f>SUMIFS(INDEX(Техника!$F$1:$ABM$500,J$2,0),Техника!$F$4:$ABM$4,"Часы",INDEX(Техника!$G$1:$ABN$500,J$2,0),$A$760,INDEX(Техника!$H$1:$ABO$500,J$2,0),"Д")</f>
        <v>0</v>
      </c>
      <c r="K762" s="50">
        <f>SUMIFS(INDEX(Техника!$F$1:$ABM$500,K$2,0),Техника!$F$4:$ABM$4,"Часы",INDEX(Техника!$G$1:$ABN$500,K$2,0),$A$760,INDEX(Техника!$H$1:$ABO$500,K$2,0),"Д")</f>
        <v>0</v>
      </c>
      <c r="L762" s="50">
        <f>SUMIFS(INDEX(Техника!$F$1:$ABM$500,L$2,0),Техника!$F$4:$ABM$4,"Часы",INDEX(Техника!$G$1:$ABN$500,L$2,0),$A$760,INDEX(Техника!$H$1:$ABO$500,L$2,0),"Д")</f>
        <v>0</v>
      </c>
      <c r="M762" s="50">
        <f>SUMIFS(INDEX(Техника!$F$1:$ABM$500,M$2,0),Техника!$F$4:$ABM$4,"Часы",INDEX(Техника!$G$1:$ABN$500,M$2,0),$A$760,INDEX(Техника!$H$1:$ABO$500,M$2,0),"Д")</f>
        <v>0</v>
      </c>
      <c r="N762" s="50">
        <f>SUMIFS(INDEX(Техника!$F$1:$ABM$500,N$2,0),Техника!$F$4:$ABM$4,"Часы",INDEX(Техника!$G$1:$ABN$500,N$2,0),$A$760,INDEX(Техника!$H$1:$ABO$500,N$2,0),"Д")</f>
        <v>0</v>
      </c>
      <c r="O762" s="50">
        <f>SUMIFS(INDEX(Техника!$F$1:$ABM$500,O$2,0),Техника!$F$4:$ABM$4,"Часы",INDEX(Техника!$G$1:$ABN$500,O$2,0),$A$760,INDEX(Техника!$H$1:$ABO$500,O$2,0),"Д")</f>
        <v>0</v>
      </c>
      <c r="P762" s="50">
        <f>SUMIFS(INDEX(Техника!$F$1:$ABM$500,P$2,0),Техника!$F$4:$ABM$4,"Часы",INDEX(Техника!$G$1:$ABN$500,P$2,0),$A$760,INDEX(Техника!$H$1:$ABO$500,P$2,0),"Д")</f>
        <v>0</v>
      </c>
      <c r="Q762" s="50">
        <f>SUMIFS(INDEX(Техника!$F$1:$ABM$500,Q$2,0),Техника!$F$4:$ABM$4,"Часы",INDEX(Техника!$G$1:$ABN$500,Q$2,0),$A$760,INDEX(Техника!$H$1:$ABO$500,Q$2,0),"Д")</f>
        <v>0</v>
      </c>
      <c r="R762" s="50">
        <f>SUMIFS(INDEX(Техника!$F$1:$ABM$500,R$2,0),Техника!$F$4:$ABM$4,"Часы",INDEX(Техника!$G$1:$ABN$500,R$2,0),$A$760,INDEX(Техника!$H$1:$ABO$500,R$2,0),"Д")</f>
        <v>0</v>
      </c>
      <c r="S762" s="50">
        <f>SUMIFS(INDEX(Техника!$F$1:$ABM$500,S$2,0),Техника!$F$4:$ABM$4,"Часы",INDEX(Техника!$G$1:$ABN$500,S$2,0),$A$760,INDEX(Техника!$H$1:$ABO$500,S$2,0),"Д")</f>
        <v>0</v>
      </c>
      <c r="T762" s="50">
        <f>SUMIFS(INDEX(Техника!$F$1:$ABM$500,T$2,0),Техника!$F$4:$ABM$4,"Часы",INDEX(Техника!$G$1:$ABN$500,T$2,0),$A$760,INDEX(Техника!$H$1:$ABO$500,T$2,0),"Д")</f>
        <v>0</v>
      </c>
      <c r="U762" s="50">
        <f>SUMIFS(INDEX(Техника!$F$1:$ABM$500,U$2,0),Техника!$F$4:$ABM$4,"Часы",INDEX(Техника!$G$1:$ABN$500,U$2,0),$A$760,INDEX(Техника!$H$1:$ABO$500,U$2,0),"Д")</f>
        <v>0</v>
      </c>
      <c r="V762" s="50">
        <f>SUMIFS(INDEX(Техника!$F$1:$ABM$500,V$2,0),Техника!$F$4:$ABM$4,"Часы",INDEX(Техника!$G$1:$ABN$500,V$2,0),$A$760,INDEX(Техника!$H$1:$ABO$500,V$2,0),"Д")</f>
        <v>0</v>
      </c>
      <c r="W762" s="50">
        <f>SUMIFS(INDEX(Техника!$F$1:$ABM$500,W$2,0),Техника!$F$4:$ABM$4,"Часы",INDEX(Техника!$G$1:$ABN$500,W$2,0),$A$760,INDEX(Техника!$H$1:$ABO$500,W$2,0),"Д")</f>
        <v>0</v>
      </c>
      <c r="X762" s="50">
        <f>SUMIFS(INDEX(Техника!$F$1:$ABM$500,X$2,0),Техника!$F$4:$ABM$4,"Часы",INDEX(Техника!$G$1:$ABN$500,X$2,0),$A$760,INDEX(Техника!$H$1:$ABO$500,X$2,0),"Д")</f>
        <v>0</v>
      </c>
      <c r="Y762" s="50">
        <f>SUMIFS(INDEX(Техника!$F$1:$ABM$500,Y$2,0),Техника!$F$4:$ABM$4,"Часы",INDEX(Техника!$G$1:$ABN$500,Y$2,0),$A$760,INDEX(Техника!$H$1:$ABO$500,Y$2,0),"Д")</f>
        <v>0</v>
      </c>
      <c r="Z762" s="50">
        <f>SUMIFS(INDEX(Техника!$F$1:$ABM$500,Z$2,0),Техника!$F$4:$ABM$4,"Часы",INDEX(Техника!$G$1:$ABN$500,Z$2,0),$A$760,INDEX(Техника!$H$1:$ABO$500,Z$2,0),"Д")</f>
        <v>0</v>
      </c>
      <c r="AA762" s="50">
        <f>SUMIFS(INDEX(Техника!$F$1:$ABM$500,AA$2,0),Техника!$F$4:$ABM$4,"Часы",INDEX(Техника!$G$1:$ABN$500,AA$2,0),$A$760,INDEX(Техника!$H$1:$ABO$500,AA$2,0),"Д")</f>
        <v>0</v>
      </c>
      <c r="AB762" s="50">
        <f>SUMIFS(INDEX(Техника!$F$1:$ABM$500,AB$2,0),Техника!$F$4:$ABM$4,"Часы",INDEX(Техника!$G$1:$ABN$500,AB$2,0),$A$760,INDEX(Техника!$H$1:$ABO$500,AB$2,0),"Д")</f>
        <v>0</v>
      </c>
    </row>
    <row r="763" spans="1:28" hidden="1" outlineLevel="1" x14ac:dyDescent="0.3">
      <c r="A763" s="33" t="s">
        <v>276</v>
      </c>
      <c r="B763" s="34" t="s">
        <v>277</v>
      </c>
      <c r="C763" s="50">
        <f>SUMIFS(INDEX(Техника!$F$1:$ABM$500,C$2,0),Техника!$F$4:$ABM$4,"Часы",INDEX(Техника!$G$1:$ABN$500,C$2,0),$A$760,INDEX(Техника!$H$1:$ABO$500,C$2,0),"П")</f>
        <v>0</v>
      </c>
      <c r="D763" s="50">
        <f>SUMIFS(INDEX(Техника!$F$1:$ABM$500,D$2,0),Техника!$F$4:$ABM$4,"Часы",INDEX(Техника!$G$1:$ABN$500,D$2,0),$A$760,INDEX(Техника!$H$1:$ABO$500,D$2,0),"П")</f>
        <v>0</v>
      </c>
      <c r="E763" s="50">
        <f>SUMIFS(INDEX(Техника!$F$1:$ABM$500,E$2,0),Техника!$F$4:$ABM$4,"Часы",INDEX(Техника!$G$1:$ABN$500,E$2,0),$A$760,INDEX(Техника!$H$1:$ABO$500,E$2,0),"П")</f>
        <v>0</v>
      </c>
      <c r="F763" s="50">
        <f>SUMIFS(INDEX(Техника!$F$1:$ABM$500,F$2,0),Техника!$F$4:$ABM$4,"Часы",INDEX(Техника!$G$1:$ABN$500,F$2,0),$A$760,INDEX(Техника!$H$1:$ABO$500,F$2,0),"П")</f>
        <v>0</v>
      </c>
      <c r="G763" s="50">
        <f>SUMIFS(INDEX(Техника!$F$1:$ABM$500,G$2,0),Техника!$F$4:$ABM$4,"Часы",INDEX(Техника!$G$1:$ABN$500,G$2,0),$A$760,INDEX(Техника!$H$1:$ABO$500,G$2,0),"П")</f>
        <v>0</v>
      </c>
      <c r="H763" s="50">
        <f>SUMIFS(INDEX(Техника!$F$1:$ABM$500,H$2,0),Техника!$F$4:$ABM$4,"Часы",INDEX(Техника!$G$1:$ABN$500,H$2,0),$A$760,INDEX(Техника!$H$1:$ABO$500,H$2,0),"П")</f>
        <v>0</v>
      </c>
      <c r="I763" s="50">
        <f>SUMIFS(INDEX(Техника!$F$1:$ABM$500,I$2,0),Техника!$F$4:$ABM$4,"Часы",INDEX(Техника!$G$1:$ABN$500,I$2,0),$A$760,INDEX(Техника!$H$1:$ABO$500,I$2,0),"П")</f>
        <v>0</v>
      </c>
      <c r="J763" s="50">
        <f>SUMIFS(INDEX(Техника!$F$1:$ABM$500,J$2,0),Техника!$F$4:$ABM$4,"Часы",INDEX(Техника!$G$1:$ABN$500,J$2,0),$A$760,INDEX(Техника!$H$1:$ABO$500,J$2,0),"П")</f>
        <v>0</v>
      </c>
      <c r="K763" s="50">
        <f>SUMIFS(INDEX(Техника!$F$1:$ABM$500,K$2,0),Техника!$F$4:$ABM$4,"Часы",INDEX(Техника!$G$1:$ABN$500,K$2,0),$A$760,INDEX(Техника!$H$1:$ABO$500,K$2,0),"П")</f>
        <v>0</v>
      </c>
      <c r="L763" s="50">
        <f>SUMIFS(INDEX(Техника!$F$1:$ABM$500,L$2,0),Техника!$F$4:$ABM$4,"Часы",INDEX(Техника!$G$1:$ABN$500,L$2,0),$A$760,INDEX(Техника!$H$1:$ABO$500,L$2,0),"П")</f>
        <v>0</v>
      </c>
      <c r="M763" s="50">
        <f>SUMIFS(INDEX(Техника!$F$1:$ABM$500,M$2,0),Техника!$F$4:$ABM$4,"Часы",INDEX(Техника!$G$1:$ABN$500,M$2,0),$A$760,INDEX(Техника!$H$1:$ABO$500,M$2,0),"П")</f>
        <v>0</v>
      </c>
      <c r="N763" s="50">
        <f>SUMIFS(INDEX(Техника!$F$1:$ABM$500,N$2,0),Техника!$F$4:$ABM$4,"Часы",INDEX(Техника!$G$1:$ABN$500,N$2,0),$A$760,INDEX(Техника!$H$1:$ABO$500,N$2,0),"П")</f>
        <v>0</v>
      </c>
      <c r="O763" s="50">
        <f>SUMIFS(INDEX(Техника!$F$1:$ABM$500,O$2,0),Техника!$F$4:$ABM$4,"Часы",INDEX(Техника!$G$1:$ABN$500,O$2,0),$A$760,INDEX(Техника!$H$1:$ABO$500,O$2,0),"П")</f>
        <v>0</v>
      </c>
      <c r="P763" s="50">
        <f>SUMIFS(INDEX(Техника!$F$1:$ABM$500,P$2,0),Техника!$F$4:$ABM$4,"Часы",INDEX(Техника!$G$1:$ABN$500,P$2,0),$A$760,INDEX(Техника!$H$1:$ABO$500,P$2,0),"П")</f>
        <v>0</v>
      </c>
      <c r="Q763" s="50">
        <f>SUMIFS(INDEX(Техника!$F$1:$ABM$500,Q$2,0),Техника!$F$4:$ABM$4,"Часы",INDEX(Техника!$G$1:$ABN$500,Q$2,0),$A$760,INDEX(Техника!$H$1:$ABO$500,Q$2,0),"П")</f>
        <v>0</v>
      </c>
      <c r="R763" s="50">
        <f>SUMIFS(INDEX(Техника!$F$1:$ABM$500,R$2,0),Техника!$F$4:$ABM$4,"Часы",INDEX(Техника!$G$1:$ABN$500,R$2,0),$A$760,INDEX(Техника!$H$1:$ABO$500,R$2,0),"П")</f>
        <v>0</v>
      </c>
      <c r="S763" s="50">
        <f>SUMIFS(INDEX(Техника!$F$1:$ABM$500,S$2,0),Техника!$F$4:$ABM$4,"Часы",INDEX(Техника!$G$1:$ABN$500,S$2,0),$A$760,INDEX(Техника!$H$1:$ABO$500,S$2,0),"П")</f>
        <v>0</v>
      </c>
      <c r="T763" s="50">
        <f>SUMIFS(INDEX(Техника!$F$1:$ABM$500,T$2,0),Техника!$F$4:$ABM$4,"Часы",INDEX(Техника!$G$1:$ABN$500,T$2,0),$A$760,INDEX(Техника!$H$1:$ABO$500,T$2,0),"П")</f>
        <v>0</v>
      </c>
      <c r="U763" s="50">
        <f>SUMIFS(INDEX(Техника!$F$1:$ABM$500,U$2,0),Техника!$F$4:$ABM$4,"Часы",INDEX(Техника!$G$1:$ABN$500,U$2,0),$A$760,INDEX(Техника!$H$1:$ABO$500,U$2,0),"П")</f>
        <v>0</v>
      </c>
      <c r="V763" s="50">
        <f>SUMIFS(INDEX(Техника!$F$1:$ABM$500,V$2,0),Техника!$F$4:$ABM$4,"Часы",INDEX(Техника!$G$1:$ABN$500,V$2,0),$A$760,INDEX(Техника!$H$1:$ABO$500,V$2,0),"П")</f>
        <v>0</v>
      </c>
      <c r="W763" s="50">
        <f>SUMIFS(INDEX(Техника!$F$1:$ABM$500,W$2,0),Техника!$F$4:$ABM$4,"Часы",INDEX(Техника!$G$1:$ABN$500,W$2,0),$A$760,INDEX(Техника!$H$1:$ABO$500,W$2,0),"П")</f>
        <v>0</v>
      </c>
      <c r="X763" s="50">
        <f>SUMIFS(INDEX(Техника!$F$1:$ABM$500,X$2,0),Техника!$F$4:$ABM$4,"Часы",INDEX(Техника!$G$1:$ABN$500,X$2,0),$A$760,INDEX(Техника!$H$1:$ABO$500,X$2,0),"П")</f>
        <v>0</v>
      </c>
      <c r="Y763" s="50">
        <f>SUMIFS(INDEX(Техника!$F$1:$ABM$500,Y$2,0),Техника!$F$4:$ABM$4,"Часы",INDEX(Техника!$G$1:$ABN$500,Y$2,0),$A$760,INDEX(Техника!$H$1:$ABO$500,Y$2,0),"П")</f>
        <v>0</v>
      </c>
      <c r="Z763" s="50">
        <f>SUMIFS(INDEX(Техника!$F$1:$ABM$500,Z$2,0),Техника!$F$4:$ABM$4,"Часы",INDEX(Техника!$G$1:$ABN$500,Z$2,0),$A$760,INDEX(Техника!$H$1:$ABO$500,Z$2,0),"П")</f>
        <v>0</v>
      </c>
      <c r="AA763" s="50">
        <f>SUMIFS(INDEX(Техника!$F$1:$ABM$500,AA$2,0),Техника!$F$4:$ABM$4,"Часы",INDEX(Техника!$G$1:$ABN$500,AA$2,0),$A$760,INDEX(Техника!$H$1:$ABO$500,AA$2,0),"П")</f>
        <v>0</v>
      </c>
      <c r="AB763" s="50">
        <f>SUMIFS(INDEX(Техника!$F$1:$ABM$500,AB$2,0),Техника!$F$4:$ABM$4,"Часы",INDEX(Техника!$G$1:$ABN$500,AB$2,0),$A$760,INDEX(Техника!$H$1:$ABO$500,AB$2,0),"П")</f>
        <v>0</v>
      </c>
    </row>
    <row r="764" spans="1:28" hidden="1" outlineLevel="1" x14ac:dyDescent="0.3">
      <c r="A764" s="33" t="s">
        <v>243</v>
      </c>
      <c r="B764" s="34" t="s">
        <v>278</v>
      </c>
      <c r="C764" s="50">
        <f>SUMIFS(INDEX(Техника!$F$1:$ABM$500,C$2,0),Техника!$F$4:$ABM$4,"Часы",INDEX(Техника!$G$1:$ABN$500,C$2,0),$A$760,INDEX(Техника!$H$1:$ABO$500,C$2,0),"Л")</f>
        <v>0</v>
      </c>
      <c r="D764" s="50">
        <f>SUMIFS(INDEX(Техника!$F$1:$ABM$500,D$2,0),Техника!$F$4:$ABM$4,"Часы",INDEX(Техника!$G$1:$ABN$500,D$2,0),$A$760,INDEX(Техника!$H$1:$ABO$500,D$2,0),"Л")</f>
        <v>0</v>
      </c>
      <c r="E764" s="50">
        <f>SUMIFS(INDEX(Техника!$F$1:$ABM$500,E$2,0),Техника!$F$4:$ABM$4,"Часы",INDEX(Техника!$G$1:$ABN$500,E$2,0),$A$760,INDEX(Техника!$H$1:$ABO$500,E$2,0),"Л")</f>
        <v>0</v>
      </c>
      <c r="F764" s="50">
        <f>SUMIFS(INDEX(Техника!$F$1:$ABM$500,F$2,0),Техника!$F$4:$ABM$4,"Часы",INDEX(Техника!$G$1:$ABN$500,F$2,0),$A$760,INDEX(Техника!$H$1:$ABO$500,F$2,0),"Л")</f>
        <v>0</v>
      </c>
      <c r="G764" s="50">
        <f>SUMIFS(INDEX(Техника!$F$1:$ABM$500,G$2,0),Техника!$F$4:$ABM$4,"Часы",INDEX(Техника!$G$1:$ABN$500,G$2,0),$A$760,INDEX(Техника!$H$1:$ABO$500,G$2,0),"Л")</f>
        <v>0</v>
      </c>
      <c r="H764" s="50">
        <f>SUMIFS(INDEX(Техника!$F$1:$ABM$500,H$2,0),Техника!$F$4:$ABM$4,"Часы",INDEX(Техника!$G$1:$ABN$500,H$2,0),$A$760,INDEX(Техника!$H$1:$ABO$500,H$2,0),"Л")</f>
        <v>0</v>
      </c>
      <c r="I764" s="50">
        <f>SUMIFS(INDEX(Техника!$F$1:$ABM$500,I$2,0),Техника!$F$4:$ABM$4,"Часы",INDEX(Техника!$G$1:$ABN$500,I$2,0),$A$760,INDEX(Техника!$H$1:$ABO$500,I$2,0),"Л")</f>
        <v>0</v>
      </c>
      <c r="J764" s="50">
        <f>SUMIFS(INDEX(Техника!$F$1:$ABM$500,J$2,0),Техника!$F$4:$ABM$4,"Часы",INDEX(Техника!$G$1:$ABN$500,J$2,0),$A$760,INDEX(Техника!$H$1:$ABO$500,J$2,0),"Л")</f>
        <v>0</v>
      </c>
      <c r="K764" s="50">
        <f>SUMIFS(INDEX(Техника!$F$1:$ABM$500,K$2,0),Техника!$F$4:$ABM$4,"Часы",INDEX(Техника!$G$1:$ABN$500,K$2,0),$A$760,INDEX(Техника!$H$1:$ABO$500,K$2,0),"Л")</f>
        <v>0</v>
      </c>
      <c r="L764" s="50">
        <f>SUMIFS(INDEX(Техника!$F$1:$ABM$500,L$2,0),Техника!$F$4:$ABM$4,"Часы",INDEX(Техника!$G$1:$ABN$500,L$2,0),$A$760,INDEX(Техника!$H$1:$ABO$500,L$2,0),"Л")</f>
        <v>0</v>
      </c>
      <c r="M764" s="50">
        <f>SUMIFS(INDEX(Техника!$F$1:$ABM$500,M$2,0),Техника!$F$4:$ABM$4,"Часы",INDEX(Техника!$G$1:$ABN$500,M$2,0),$A$760,INDEX(Техника!$H$1:$ABO$500,M$2,0),"Л")</f>
        <v>0</v>
      </c>
      <c r="N764" s="50">
        <f>SUMIFS(INDEX(Техника!$F$1:$ABM$500,N$2,0),Техника!$F$4:$ABM$4,"Часы",INDEX(Техника!$G$1:$ABN$500,N$2,0),$A$760,INDEX(Техника!$H$1:$ABO$500,N$2,0),"Л")</f>
        <v>0</v>
      </c>
      <c r="O764" s="50">
        <f>SUMIFS(INDEX(Техника!$F$1:$ABM$500,O$2,0),Техника!$F$4:$ABM$4,"Часы",INDEX(Техника!$G$1:$ABN$500,O$2,0),$A$760,INDEX(Техника!$H$1:$ABO$500,O$2,0),"Л")</f>
        <v>0</v>
      </c>
      <c r="P764" s="50">
        <f>SUMIFS(INDEX(Техника!$F$1:$ABM$500,P$2,0),Техника!$F$4:$ABM$4,"Часы",INDEX(Техника!$G$1:$ABN$500,P$2,0),$A$760,INDEX(Техника!$H$1:$ABO$500,P$2,0),"Л")</f>
        <v>0</v>
      </c>
      <c r="Q764" s="50">
        <f>SUMIFS(INDEX(Техника!$F$1:$ABM$500,Q$2,0),Техника!$F$4:$ABM$4,"Часы",INDEX(Техника!$G$1:$ABN$500,Q$2,0),$A$760,INDEX(Техника!$H$1:$ABO$500,Q$2,0),"Л")</f>
        <v>0</v>
      </c>
      <c r="R764" s="50">
        <f>SUMIFS(INDEX(Техника!$F$1:$ABM$500,R$2,0),Техника!$F$4:$ABM$4,"Часы",INDEX(Техника!$G$1:$ABN$500,R$2,0),$A$760,INDEX(Техника!$H$1:$ABO$500,R$2,0),"Л")</f>
        <v>0</v>
      </c>
      <c r="S764" s="50">
        <f>SUMIFS(INDEX(Техника!$F$1:$ABM$500,S$2,0),Техника!$F$4:$ABM$4,"Часы",INDEX(Техника!$G$1:$ABN$500,S$2,0),$A$760,INDEX(Техника!$H$1:$ABO$500,S$2,0),"Л")</f>
        <v>0</v>
      </c>
      <c r="T764" s="50">
        <f>SUMIFS(INDEX(Техника!$F$1:$ABM$500,T$2,0),Техника!$F$4:$ABM$4,"Часы",INDEX(Техника!$G$1:$ABN$500,T$2,0),$A$760,INDEX(Техника!$H$1:$ABO$500,T$2,0),"Л")</f>
        <v>0</v>
      </c>
      <c r="U764" s="50">
        <f>SUMIFS(INDEX(Техника!$F$1:$ABM$500,U$2,0),Техника!$F$4:$ABM$4,"Часы",INDEX(Техника!$G$1:$ABN$500,U$2,0),$A$760,INDEX(Техника!$H$1:$ABO$500,U$2,0),"Л")</f>
        <v>0</v>
      </c>
      <c r="V764" s="50">
        <f>SUMIFS(INDEX(Техника!$F$1:$ABM$500,V$2,0),Техника!$F$4:$ABM$4,"Часы",INDEX(Техника!$G$1:$ABN$500,V$2,0),$A$760,INDEX(Техника!$H$1:$ABO$500,V$2,0),"Л")</f>
        <v>0</v>
      </c>
      <c r="W764" s="50">
        <f>SUMIFS(INDEX(Техника!$F$1:$ABM$500,W$2,0),Техника!$F$4:$ABM$4,"Часы",INDEX(Техника!$G$1:$ABN$500,W$2,0),$A$760,INDEX(Техника!$H$1:$ABO$500,W$2,0),"Л")</f>
        <v>0</v>
      </c>
      <c r="X764" s="50">
        <f>SUMIFS(INDEX(Техника!$F$1:$ABM$500,X$2,0),Техника!$F$4:$ABM$4,"Часы",INDEX(Техника!$G$1:$ABN$500,X$2,0),$A$760,INDEX(Техника!$H$1:$ABO$500,X$2,0),"Л")</f>
        <v>0</v>
      </c>
      <c r="Y764" s="50">
        <f>SUMIFS(INDEX(Техника!$F$1:$ABM$500,Y$2,0),Техника!$F$4:$ABM$4,"Часы",INDEX(Техника!$G$1:$ABN$500,Y$2,0),$A$760,INDEX(Техника!$H$1:$ABO$500,Y$2,0),"Л")</f>
        <v>0</v>
      </c>
      <c r="Z764" s="50">
        <f>SUMIFS(INDEX(Техника!$F$1:$ABM$500,Z$2,0),Техника!$F$4:$ABM$4,"Часы",INDEX(Техника!$G$1:$ABN$500,Z$2,0),$A$760,INDEX(Техника!$H$1:$ABO$500,Z$2,0),"Л")</f>
        <v>0</v>
      </c>
      <c r="AA764" s="50">
        <f>SUMIFS(INDEX(Техника!$F$1:$ABM$500,AA$2,0),Техника!$F$4:$ABM$4,"Часы",INDEX(Техника!$G$1:$ABN$500,AA$2,0),$A$760,INDEX(Техника!$H$1:$ABO$500,AA$2,0),"Л")</f>
        <v>0</v>
      </c>
      <c r="AB764" s="50">
        <f>SUMIFS(INDEX(Техника!$F$1:$ABM$500,AB$2,0),Техника!$F$4:$ABM$4,"Часы",INDEX(Техника!$G$1:$ABN$500,AB$2,0),$A$760,INDEX(Техника!$H$1:$ABO$500,AB$2,0),"Л")</f>
        <v>0</v>
      </c>
    </row>
    <row r="765" spans="1:28" hidden="1" outlineLevel="1" x14ac:dyDescent="0.3">
      <c r="A765" s="33" t="s">
        <v>245</v>
      </c>
      <c r="B765" s="34" t="s">
        <v>279</v>
      </c>
      <c r="C765" s="50">
        <f>SUMIFS(INDEX(Техника!$F$1:$ABM$500,C$2,0),Техника!$F$4:$ABM$4,"Часы",INDEX(Техника!$G$1:$ABN$500,C$2,0),$A$760,INDEX(Техника!$H$1:$ABO$500,C$2,0),"З")</f>
        <v>0</v>
      </c>
      <c r="D765" s="50">
        <f>SUMIFS(INDEX(Техника!$F$1:$ABM$500,D$2,0),Техника!$F$4:$ABM$4,"Часы",INDEX(Техника!$G$1:$ABN$500,D$2,0),$A$760,INDEX(Техника!$H$1:$ABO$500,D$2,0),"З")</f>
        <v>0</v>
      </c>
      <c r="E765" s="50">
        <f>SUMIFS(INDEX(Техника!$F$1:$ABM$500,E$2,0),Техника!$F$4:$ABM$4,"Часы",INDEX(Техника!$G$1:$ABN$500,E$2,0),$A$760,INDEX(Техника!$H$1:$ABO$500,E$2,0),"З")</f>
        <v>0</v>
      </c>
      <c r="F765" s="50">
        <f>SUMIFS(INDEX(Техника!$F$1:$ABM$500,F$2,0),Техника!$F$4:$ABM$4,"Часы",INDEX(Техника!$G$1:$ABN$500,F$2,0),$A$760,INDEX(Техника!$H$1:$ABO$500,F$2,0),"З")</f>
        <v>0</v>
      </c>
      <c r="G765" s="50">
        <f>SUMIFS(INDEX(Техника!$F$1:$ABM$500,G$2,0),Техника!$F$4:$ABM$4,"Часы",INDEX(Техника!$G$1:$ABN$500,G$2,0),$A$760,INDEX(Техника!$H$1:$ABO$500,G$2,0),"З")</f>
        <v>0</v>
      </c>
      <c r="H765" s="50">
        <f>SUMIFS(INDEX(Техника!$F$1:$ABM$500,H$2,0),Техника!$F$4:$ABM$4,"Часы",INDEX(Техника!$G$1:$ABN$500,H$2,0),$A$760,INDEX(Техника!$H$1:$ABO$500,H$2,0),"З")</f>
        <v>0</v>
      </c>
      <c r="I765" s="50">
        <f>SUMIFS(INDEX(Техника!$F$1:$ABM$500,I$2,0),Техника!$F$4:$ABM$4,"Часы",INDEX(Техника!$G$1:$ABN$500,I$2,0),$A$760,INDEX(Техника!$H$1:$ABO$500,I$2,0),"З")</f>
        <v>0</v>
      </c>
      <c r="J765" s="50">
        <f>SUMIFS(INDEX(Техника!$F$1:$ABM$500,J$2,0),Техника!$F$4:$ABM$4,"Часы",INDEX(Техника!$G$1:$ABN$500,J$2,0),$A$760,INDEX(Техника!$H$1:$ABO$500,J$2,0),"З")</f>
        <v>0</v>
      </c>
      <c r="K765" s="50">
        <f>SUMIFS(INDEX(Техника!$F$1:$ABM$500,K$2,0),Техника!$F$4:$ABM$4,"Часы",INDEX(Техника!$G$1:$ABN$500,K$2,0),$A$760,INDEX(Техника!$H$1:$ABO$500,K$2,0),"З")</f>
        <v>0</v>
      </c>
      <c r="L765" s="50">
        <f>SUMIFS(INDEX(Техника!$F$1:$ABM$500,L$2,0),Техника!$F$4:$ABM$4,"Часы",INDEX(Техника!$G$1:$ABN$500,L$2,0),$A$760,INDEX(Техника!$H$1:$ABO$500,L$2,0),"З")</f>
        <v>0</v>
      </c>
      <c r="M765" s="50">
        <f>SUMIFS(INDEX(Техника!$F$1:$ABM$500,M$2,0),Техника!$F$4:$ABM$4,"Часы",INDEX(Техника!$G$1:$ABN$500,M$2,0),$A$760,INDEX(Техника!$H$1:$ABO$500,M$2,0),"З")</f>
        <v>0</v>
      </c>
      <c r="N765" s="50">
        <f>SUMIFS(INDEX(Техника!$F$1:$ABM$500,N$2,0),Техника!$F$4:$ABM$4,"Часы",INDEX(Техника!$G$1:$ABN$500,N$2,0),$A$760,INDEX(Техника!$H$1:$ABO$500,N$2,0),"З")</f>
        <v>0</v>
      </c>
      <c r="O765" s="50">
        <f>SUMIFS(INDEX(Техника!$F$1:$ABM$500,O$2,0),Техника!$F$4:$ABM$4,"Часы",INDEX(Техника!$G$1:$ABN$500,O$2,0),$A$760,INDEX(Техника!$H$1:$ABO$500,O$2,0),"З")</f>
        <v>0</v>
      </c>
      <c r="P765" s="50">
        <f>SUMIFS(INDEX(Техника!$F$1:$ABM$500,P$2,0),Техника!$F$4:$ABM$4,"Часы",INDEX(Техника!$G$1:$ABN$500,P$2,0),$A$760,INDEX(Техника!$H$1:$ABO$500,P$2,0),"З")</f>
        <v>0</v>
      </c>
      <c r="Q765" s="50">
        <f>SUMIFS(INDEX(Техника!$F$1:$ABM$500,Q$2,0),Техника!$F$4:$ABM$4,"Часы",INDEX(Техника!$G$1:$ABN$500,Q$2,0),$A$760,INDEX(Техника!$H$1:$ABO$500,Q$2,0),"З")</f>
        <v>0</v>
      </c>
      <c r="R765" s="50">
        <f>SUMIFS(INDEX(Техника!$F$1:$ABM$500,R$2,0),Техника!$F$4:$ABM$4,"Часы",INDEX(Техника!$G$1:$ABN$500,R$2,0),$A$760,INDEX(Техника!$H$1:$ABO$500,R$2,0),"З")</f>
        <v>0</v>
      </c>
      <c r="S765" s="50">
        <f>SUMIFS(INDEX(Техника!$F$1:$ABM$500,S$2,0),Техника!$F$4:$ABM$4,"Часы",INDEX(Техника!$G$1:$ABN$500,S$2,0),$A$760,INDEX(Техника!$H$1:$ABO$500,S$2,0),"З")</f>
        <v>0</v>
      </c>
      <c r="T765" s="50">
        <f>SUMIFS(INDEX(Техника!$F$1:$ABM$500,T$2,0),Техника!$F$4:$ABM$4,"Часы",INDEX(Техника!$G$1:$ABN$500,T$2,0),$A$760,INDEX(Техника!$H$1:$ABO$500,T$2,0),"З")</f>
        <v>0</v>
      </c>
      <c r="U765" s="50">
        <f>SUMIFS(INDEX(Техника!$F$1:$ABM$500,U$2,0),Техника!$F$4:$ABM$4,"Часы",INDEX(Техника!$G$1:$ABN$500,U$2,0),$A$760,INDEX(Техника!$H$1:$ABO$500,U$2,0),"З")</f>
        <v>0</v>
      </c>
      <c r="V765" s="50">
        <f>SUMIFS(INDEX(Техника!$F$1:$ABM$500,V$2,0),Техника!$F$4:$ABM$4,"Часы",INDEX(Техника!$G$1:$ABN$500,V$2,0),$A$760,INDEX(Техника!$H$1:$ABO$500,V$2,0),"З")</f>
        <v>0</v>
      </c>
      <c r="W765" s="50">
        <f>SUMIFS(INDEX(Техника!$F$1:$ABM$500,W$2,0),Техника!$F$4:$ABM$4,"Часы",INDEX(Техника!$G$1:$ABN$500,W$2,0),$A$760,INDEX(Техника!$H$1:$ABO$500,W$2,0),"З")</f>
        <v>0</v>
      </c>
      <c r="X765" s="50">
        <f>SUMIFS(INDEX(Техника!$F$1:$ABM$500,X$2,0),Техника!$F$4:$ABM$4,"Часы",INDEX(Техника!$G$1:$ABN$500,X$2,0),$A$760,INDEX(Техника!$H$1:$ABO$500,X$2,0),"З")</f>
        <v>0</v>
      </c>
      <c r="Y765" s="50">
        <f>SUMIFS(INDEX(Техника!$F$1:$ABM$500,Y$2,0),Техника!$F$4:$ABM$4,"Часы",INDEX(Техника!$G$1:$ABN$500,Y$2,0),$A$760,INDEX(Техника!$H$1:$ABO$500,Y$2,0),"З")</f>
        <v>0</v>
      </c>
      <c r="Z765" s="50">
        <f>SUMIFS(INDEX(Техника!$F$1:$ABM$500,Z$2,0),Техника!$F$4:$ABM$4,"Часы",INDEX(Техника!$G$1:$ABN$500,Z$2,0),$A$760,INDEX(Техника!$H$1:$ABO$500,Z$2,0),"З")</f>
        <v>0</v>
      </c>
      <c r="AA765" s="50">
        <f>SUMIFS(INDEX(Техника!$F$1:$ABM$500,AA$2,0),Техника!$F$4:$ABM$4,"Часы",INDEX(Техника!$G$1:$ABN$500,AA$2,0),$A$760,INDEX(Техника!$H$1:$ABO$500,AA$2,0),"З")</f>
        <v>0</v>
      </c>
      <c r="AB765" s="50">
        <f>SUMIFS(INDEX(Техника!$F$1:$ABM$500,AB$2,0),Техника!$F$4:$ABM$4,"Часы",INDEX(Техника!$G$1:$ABN$500,AB$2,0),$A$760,INDEX(Техника!$H$1:$ABO$500,AB$2,0),"З")</f>
        <v>0</v>
      </c>
    </row>
    <row r="766" spans="1:28" ht="7.95" customHeight="1" x14ac:dyDescent="0.3">
      <c r="A766" s="38"/>
      <c r="B766" s="39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</row>
    <row r="767" spans="1:28" ht="25.05" customHeight="1" collapsed="1" x14ac:dyDescent="0.3">
      <c r="A767" s="32">
        <v>110</v>
      </c>
      <c r="B767" s="32" t="s">
        <v>111</v>
      </c>
      <c r="C767" s="49">
        <f>SUM(C768:C772)</f>
        <v>0</v>
      </c>
      <c r="D767" s="49">
        <f>SUM(D768:D772)</f>
        <v>0</v>
      </c>
      <c r="E767" s="49">
        <f>SUM(E768:E772)</f>
        <v>0</v>
      </c>
      <c r="F767" s="49">
        <f>SUM(F768:F772)</f>
        <v>0</v>
      </c>
      <c r="G767" s="49">
        <f>SUM(G768:G772)</f>
        <v>0</v>
      </c>
      <c r="H767" s="49">
        <f>SUM(H768:H772)</f>
        <v>0</v>
      </c>
      <c r="I767" s="49">
        <f>SUM(I768:I772)</f>
        <v>0</v>
      </c>
      <c r="J767" s="49">
        <f>SUM(J768:J772)</f>
        <v>0</v>
      </c>
      <c r="K767" s="49">
        <f>SUM(K768:K772)</f>
        <v>0</v>
      </c>
      <c r="L767" s="49">
        <f>SUM(L768:L772)</f>
        <v>0</v>
      </c>
      <c r="M767" s="49">
        <f>SUM(M768:M772)</f>
        <v>0</v>
      </c>
      <c r="N767" s="49">
        <f>SUM(N768:N772)</f>
        <v>0</v>
      </c>
      <c r="O767" s="49">
        <f>SUM(O768:O772)</f>
        <v>0</v>
      </c>
      <c r="P767" s="49">
        <f>SUM(P768:P772)</f>
        <v>0</v>
      </c>
      <c r="Q767" s="49">
        <f>SUM(Q768:Q772)</f>
        <v>0</v>
      </c>
      <c r="R767" s="49">
        <f>SUM(R768:R772)</f>
        <v>0</v>
      </c>
      <c r="S767" s="49">
        <f>SUM(S768:S772)</f>
        <v>0</v>
      </c>
      <c r="T767" s="49">
        <f>SUM(T768:T772)</f>
        <v>0</v>
      </c>
      <c r="U767" s="49">
        <f>SUM(U768:U772)</f>
        <v>0</v>
      </c>
      <c r="V767" s="49">
        <f>SUM(V768:V772)</f>
        <v>0</v>
      </c>
      <c r="W767" s="49">
        <f>SUM(W768:W772)</f>
        <v>0</v>
      </c>
      <c r="X767" s="49">
        <f>SUM(X768:X772)</f>
        <v>0</v>
      </c>
      <c r="Y767" s="49">
        <f>SUM(Y768:Y772)</f>
        <v>0</v>
      </c>
      <c r="Z767" s="49">
        <f>SUM(Z768:Z772)</f>
        <v>0</v>
      </c>
      <c r="AA767" s="49">
        <f>SUM(AA768:AA772)</f>
        <v>0</v>
      </c>
      <c r="AB767" s="49">
        <f>SUM(AB768:AB772)</f>
        <v>0</v>
      </c>
    </row>
    <row r="768" spans="1:28" hidden="1" outlineLevel="1" x14ac:dyDescent="0.3">
      <c r="A768" s="33" t="s">
        <v>246</v>
      </c>
      <c r="B768" s="34" t="s">
        <v>274</v>
      </c>
      <c r="C768" s="50">
        <f>SUMIFS(INDEX(Техника!$F$1:$ABM$500,C$2,0),Техника!$F$4:$ABM$4,"Часы",INDEX(Техника!$G$1:$ABN$500,C$2,0),$A$767,INDEX(Техника!$H$1:$ABO$500,C$2,0),"М")</f>
        <v>0</v>
      </c>
      <c r="D768" s="50">
        <f>SUMIFS(INDEX(Техника!$F$1:$ABM$500,D$2,0),Техника!$F$4:$ABM$4,"Часы",INDEX(Техника!$G$1:$ABN$500,D$2,0),$A$767,INDEX(Техника!$H$1:$ABO$500,D$2,0),"М")</f>
        <v>0</v>
      </c>
      <c r="E768" s="50">
        <f>SUMIFS(INDEX(Техника!$F$1:$ABM$500,E$2,0),Техника!$F$4:$ABM$4,"Часы",INDEX(Техника!$G$1:$ABN$500,E$2,0),$A$767,INDEX(Техника!$H$1:$ABO$500,E$2,0),"М")</f>
        <v>0</v>
      </c>
      <c r="F768" s="50">
        <f>SUMIFS(INDEX(Техника!$F$1:$ABM$500,F$2,0),Техника!$F$4:$ABM$4,"Часы",INDEX(Техника!$G$1:$ABN$500,F$2,0),$A$767,INDEX(Техника!$H$1:$ABO$500,F$2,0),"М")</f>
        <v>0</v>
      </c>
      <c r="G768" s="50">
        <f>SUMIFS(INDEX(Техника!$F$1:$ABM$500,G$2,0),Техника!$F$4:$ABM$4,"Часы",INDEX(Техника!$G$1:$ABN$500,G$2,0),$A$767,INDEX(Техника!$H$1:$ABO$500,G$2,0),"М")</f>
        <v>0</v>
      </c>
      <c r="H768" s="50">
        <f>SUMIFS(INDEX(Техника!$F$1:$ABM$500,H$2,0),Техника!$F$4:$ABM$4,"Часы",INDEX(Техника!$G$1:$ABN$500,H$2,0),$A$767,INDEX(Техника!$H$1:$ABO$500,H$2,0),"М")</f>
        <v>0</v>
      </c>
      <c r="I768" s="50">
        <f>SUMIFS(INDEX(Техника!$F$1:$ABM$500,I$2,0),Техника!$F$4:$ABM$4,"Часы",INDEX(Техника!$G$1:$ABN$500,I$2,0),$A$767,INDEX(Техника!$H$1:$ABO$500,I$2,0),"М")</f>
        <v>0</v>
      </c>
      <c r="J768" s="50">
        <f>SUMIFS(INDEX(Техника!$F$1:$ABM$500,J$2,0),Техника!$F$4:$ABM$4,"Часы",INDEX(Техника!$G$1:$ABN$500,J$2,0),$A$767,INDEX(Техника!$H$1:$ABO$500,J$2,0),"М")</f>
        <v>0</v>
      </c>
      <c r="K768" s="50">
        <f>SUMIFS(INDEX(Техника!$F$1:$ABM$500,K$2,0),Техника!$F$4:$ABM$4,"Часы",INDEX(Техника!$G$1:$ABN$500,K$2,0),$A$767,INDEX(Техника!$H$1:$ABO$500,K$2,0),"М")</f>
        <v>0</v>
      </c>
      <c r="L768" s="50">
        <f>SUMIFS(INDEX(Техника!$F$1:$ABM$500,L$2,0),Техника!$F$4:$ABM$4,"Часы",INDEX(Техника!$G$1:$ABN$500,L$2,0),$A$767,INDEX(Техника!$H$1:$ABO$500,L$2,0),"М")</f>
        <v>0</v>
      </c>
      <c r="M768" s="50">
        <f>SUMIFS(INDEX(Техника!$F$1:$ABM$500,M$2,0),Техника!$F$4:$ABM$4,"Часы",INDEX(Техника!$G$1:$ABN$500,M$2,0),$A$767,INDEX(Техника!$H$1:$ABO$500,M$2,0),"М")</f>
        <v>0</v>
      </c>
      <c r="N768" s="50">
        <f>SUMIFS(INDEX(Техника!$F$1:$ABM$500,N$2,0),Техника!$F$4:$ABM$4,"Часы",INDEX(Техника!$G$1:$ABN$500,N$2,0),$A$767,INDEX(Техника!$H$1:$ABO$500,N$2,0),"М")</f>
        <v>0</v>
      </c>
      <c r="O768" s="50">
        <f>SUMIFS(INDEX(Техника!$F$1:$ABM$500,O$2,0),Техника!$F$4:$ABM$4,"Часы",INDEX(Техника!$G$1:$ABN$500,O$2,0),$A$767,INDEX(Техника!$H$1:$ABO$500,O$2,0),"М")</f>
        <v>0</v>
      </c>
      <c r="P768" s="50">
        <f>SUMIFS(INDEX(Техника!$F$1:$ABM$500,P$2,0),Техника!$F$4:$ABM$4,"Часы",INDEX(Техника!$G$1:$ABN$500,P$2,0),$A$767,INDEX(Техника!$H$1:$ABO$500,P$2,0),"М")</f>
        <v>0</v>
      </c>
      <c r="Q768" s="50">
        <f>SUMIFS(INDEX(Техника!$F$1:$ABM$500,Q$2,0),Техника!$F$4:$ABM$4,"Часы",INDEX(Техника!$G$1:$ABN$500,Q$2,0),$A$767,INDEX(Техника!$H$1:$ABO$500,Q$2,0),"М")</f>
        <v>0</v>
      </c>
      <c r="R768" s="50">
        <f>SUMIFS(INDEX(Техника!$F$1:$ABM$500,R$2,0),Техника!$F$4:$ABM$4,"Часы",INDEX(Техника!$G$1:$ABN$500,R$2,0),$A$767,INDEX(Техника!$H$1:$ABO$500,R$2,0),"М")</f>
        <v>0</v>
      </c>
      <c r="S768" s="50">
        <f>SUMIFS(INDEX(Техника!$F$1:$ABM$500,S$2,0),Техника!$F$4:$ABM$4,"Часы",INDEX(Техника!$G$1:$ABN$500,S$2,0),$A$767,INDEX(Техника!$H$1:$ABO$500,S$2,0),"М")</f>
        <v>0</v>
      </c>
      <c r="T768" s="50">
        <f>SUMIFS(INDEX(Техника!$F$1:$ABM$500,T$2,0),Техника!$F$4:$ABM$4,"Часы",INDEX(Техника!$G$1:$ABN$500,T$2,0),$A$767,INDEX(Техника!$H$1:$ABO$500,T$2,0),"М")</f>
        <v>0</v>
      </c>
      <c r="U768" s="50">
        <f>SUMIFS(INDEX(Техника!$F$1:$ABM$500,U$2,0),Техника!$F$4:$ABM$4,"Часы",INDEX(Техника!$G$1:$ABN$500,U$2,0),$A$767,INDEX(Техника!$H$1:$ABO$500,U$2,0),"М")</f>
        <v>0</v>
      </c>
      <c r="V768" s="50">
        <f>SUMIFS(INDEX(Техника!$F$1:$ABM$500,V$2,0),Техника!$F$4:$ABM$4,"Часы",INDEX(Техника!$G$1:$ABN$500,V$2,0),$A$767,INDEX(Техника!$H$1:$ABO$500,V$2,0),"М")</f>
        <v>0</v>
      </c>
      <c r="W768" s="50">
        <f>SUMIFS(INDEX(Техника!$F$1:$ABM$500,W$2,0),Техника!$F$4:$ABM$4,"Часы",INDEX(Техника!$G$1:$ABN$500,W$2,0),$A$767,INDEX(Техника!$H$1:$ABO$500,W$2,0),"М")</f>
        <v>0</v>
      </c>
      <c r="X768" s="50">
        <f>SUMIFS(INDEX(Техника!$F$1:$ABM$500,X$2,0),Техника!$F$4:$ABM$4,"Часы",INDEX(Техника!$G$1:$ABN$500,X$2,0),$A$767,INDEX(Техника!$H$1:$ABO$500,X$2,0),"М")</f>
        <v>0</v>
      </c>
      <c r="Y768" s="50">
        <f>SUMIFS(INDEX(Техника!$F$1:$ABM$500,Y$2,0),Техника!$F$4:$ABM$4,"Часы",INDEX(Техника!$G$1:$ABN$500,Y$2,0),$A$767,INDEX(Техника!$H$1:$ABO$500,Y$2,0),"М")</f>
        <v>0</v>
      </c>
      <c r="Z768" s="50">
        <f>SUMIFS(INDEX(Техника!$F$1:$ABM$500,Z$2,0),Техника!$F$4:$ABM$4,"Часы",INDEX(Техника!$G$1:$ABN$500,Z$2,0),$A$767,INDEX(Техника!$H$1:$ABO$500,Z$2,0),"М")</f>
        <v>0</v>
      </c>
      <c r="AA768" s="50">
        <f>SUMIFS(INDEX(Техника!$F$1:$ABM$500,AA$2,0),Техника!$F$4:$ABM$4,"Часы",INDEX(Техника!$G$1:$ABN$500,AA$2,0),$A$767,INDEX(Техника!$H$1:$ABO$500,AA$2,0),"М")</f>
        <v>0</v>
      </c>
      <c r="AB768" s="50">
        <f>SUMIFS(INDEX(Техника!$F$1:$ABM$500,AB$2,0),Техника!$F$4:$ABM$4,"Часы",INDEX(Техника!$G$1:$ABN$500,AB$2,0),$A$767,INDEX(Техника!$H$1:$ABO$500,AB$2,0),"М")</f>
        <v>0</v>
      </c>
    </row>
    <row r="769" spans="1:28" hidden="1" outlineLevel="1" x14ac:dyDescent="0.3">
      <c r="A769" s="33" t="s">
        <v>244</v>
      </c>
      <c r="B769" s="34" t="s">
        <v>275</v>
      </c>
      <c r="C769" s="50">
        <f>SUMIFS(INDEX(Техника!$F$1:$ABM$500,C$2,0),Техника!$F$4:$ABM$4,"Часы",INDEX(Техника!$G$1:$ABN$500,C$2,0),$A$767,INDEX(Техника!$H$1:$ABO$500,C$2,0),"Д")</f>
        <v>0</v>
      </c>
      <c r="D769" s="50">
        <f>SUMIFS(INDEX(Техника!$F$1:$ABM$500,D$2,0),Техника!$F$4:$ABM$4,"Часы",INDEX(Техника!$G$1:$ABN$500,D$2,0),$A$767,INDEX(Техника!$H$1:$ABO$500,D$2,0),"Д")</f>
        <v>0</v>
      </c>
      <c r="E769" s="50">
        <f>SUMIFS(INDEX(Техника!$F$1:$ABM$500,E$2,0),Техника!$F$4:$ABM$4,"Часы",INDEX(Техника!$G$1:$ABN$500,E$2,0),$A$767,INDEX(Техника!$H$1:$ABO$500,E$2,0),"Д")</f>
        <v>0</v>
      </c>
      <c r="F769" s="50">
        <f>SUMIFS(INDEX(Техника!$F$1:$ABM$500,F$2,0),Техника!$F$4:$ABM$4,"Часы",INDEX(Техника!$G$1:$ABN$500,F$2,0),$A$767,INDEX(Техника!$H$1:$ABO$500,F$2,0),"Д")</f>
        <v>0</v>
      </c>
      <c r="G769" s="50">
        <f>SUMIFS(INDEX(Техника!$F$1:$ABM$500,G$2,0),Техника!$F$4:$ABM$4,"Часы",INDEX(Техника!$G$1:$ABN$500,G$2,0),$A$767,INDEX(Техника!$H$1:$ABO$500,G$2,0),"Д")</f>
        <v>0</v>
      </c>
      <c r="H769" s="50">
        <f>SUMIFS(INDEX(Техника!$F$1:$ABM$500,H$2,0),Техника!$F$4:$ABM$4,"Часы",INDEX(Техника!$G$1:$ABN$500,H$2,0),$A$767,INDEX(Техника!$H$1:$ABO$500,H$2,0),"Д")</f>
        <v>0</v>
      </c>
      <c r="I769" s="50">
        <f>SUMIFS(INDEX(Техника!$F$1:$ABM$500,I$2,0),Техника!$F$4:$ABM$4,"Часы",INDEX(Техника!$G$1:$ABN$500,I$2,0),$A$767,INDEX(Техника!$H$1:$ABO$500,I$2,0),"Д")</f>
        <v>0</v>
      </c>
      <c r="J769" s="50">
        <f>SUMIFS(INDEX(Техника!$F$1:$ABM$500,J$2,0),Техника!$F$4:$ABM$4,"Часы",INDEX(Техника!$G$1:$ABN$500,J$2,0),$A$767,INDEX(Техника!$H$1:$ABO$500,J$2,0),"Д")</f>
        <v>0</v>
      </c>
      <c r="K769" s="50">
        <f>SUMIFS(INDEX(Техника!$F$1:$ABM$500,K$2,0),Техника!$F$4:$ABM$4,"Часы",INDEX(Техника!$G$1:$ABN$500,K$2,0),$A$767,INDEX(Техника!$H$1:$ABO$500,K$2,0),"Д")</f>
        <v>0</v>
      </c>
      <c r="L769" s="50">
        <f>SUMIFS(INDEX(Техника!$F$1:$ABM$500,L$2,0),Техника!$F$4:$ABM$4,"Часы",INDEX(Техника!$G$1:$ABN$500,L$2,0),$A$767,INDEX(Техника!$H$1:$ABO$500,L$2,0),"Д")</f>
        <v>0</v>
      </c>
      <c r="M769" s="50">
        <f>SUMIFS(INDEX(Техника!$F$1:$ABM$500,M$2,0),Техника!$F$4:$ABM$4,"Часы",INDEX(Техника!$G$1:$ABN$500,M$2,0),$A$767,INDEX(Техника!$H$1:$ABO$500,M$2,0),"Д")</f>
        <v>0</v>
      </c>
      <c r="N769" s="50">
        <f>SUMIFS(INDEX(Техника!$F$1:$ABM$500,N$2,0),Техника!$F$4:$ABM$4,"Часы",INDEX(Техника!$G$1:$ABN$500,N$2,0),$A$767,INDEX(Техника!$H$1:$ABO$500,N$2,0),"Д")</f>
        <v>0</v>
      </c>
      <c r="O769" s="50">
        <f>SUMIFS(INDEX(Техника!$F$1:$ABM$500,O$2,0),Техника!$F$4:$ABM$4,"Часы",INDEX(Техника!$G$1:$ABN$500,O$2,0),$A$767,INDEX(Техника!$H$1:$ABO$500,O$2,0),"Д")</f>
        <v>0</v>
      </c>
      <c r="P769" s="50">
        <f>SUMIFS(INDEX(Техника!$F$1:$ABM$500,P$2,0),Техника!$F$4:$ABM$4,"Часы",INDEX(Техника!$G$1:$ABN$500,P$2,0),$A$767,INDEX(Техника!$H$1:$ABO$500,P$2,0),"Д")</f>
        <v>0</v>
      </c>
      <c r="Q769" s="50">
        <f>SUMIFS(INDEX(Техника!$F$1:$ABM$500,Q$2,0),Техника!$F$4:$ABM$4,"Часы",INDEX(Техника!$G$1:$ABN$500,Q$2,0),$A$767,INDEX(Техника!$H$1:$ABO$500,Q$2,0),"Д")</f>
        <v>0</v>
      </c>
      <c r="R769" s="50">
        <f>SUMIFS(INDEX(Техника!$F$1:$ABM$500,R$2,0),Техника!$F$4:$ABM$4,"Часы",INDEX(Техника!$G$1:$ABN$500,R$2,0),$A$767,INDEX(Техника!$H$1:$ABO$500,R$2,0),"Д")</f>
        <v>0</v>
      </c>
      <c r="S769" s="50">
        <f>SUMIFS(INDEX(Техника!$F$1:$ABM$500,S$2,0),Техника!$F$4:$ABM$4,"Часы",INDEX(Техника!$G$1:$ABN$500,S$2,0),$A$767,INDEX(Техника!$H$1:$ABO$500,S$2,0),"Д")</f>
        <v>0</v>
      </c>
      <c r="T769" s="50">
        <f>SUMIFS(INDEX(Техника!$F$1:$ABM$500,T$2,0),Техника!$F$4:$ABM$4,"Часы",INDEX(Техника!$G$1:$ABN$500,T$2,0),$A$767,INDEX(Техника!$H$1:$ABO$500,T$2,0),"Д")</f>
        <v>0</v>
      </c>
      <c r="U769" s="50">
        <f>SUMIFS(INDEX(Техника!$F$1:$ABM$500,U$2,0),Техника!$F$4:$ABM$4,"Часы",INDEX(Техника!$G$1:$ABN$500,U$2,0),$A$767,INDEX(Техника!$H$1:$ABO$500,U$2,0),"Д")</f>
        <v>0</v>
      </c>
      <c r="V769" s="50">
        <f>SUMIFS(INDEX(Техника!$F$1:$ABM$500,V$2,0),Техника!$F$4:$ABM$4,"Часы",INDEX(Техника!$G$1:$ABN$500,V$2,0),$A$767,INDEX(Техника!$H$1:$ABO$500,V$2,0),"Д")</f>
        <v>0</v>
      </c>
      <c r="W769" s="50">
        <f>SUMIFS(INDEX(Техника!$F$1:$ABM$500,W$2,0),Техника!$F$4:$ABM$4,"Часы",INDEX(Техника!$G$1:$ABN$500,W$2,0),$A$767,INDEX(Техника!$H$1:$ABO$500,W$2,0),"Д")</f>
        <v>0</v>
      </c>
      <c r="X769" s="50">
        <f>SUMIFS(INDEX(Техника!$F$1:$ABM$500,X$2,0),Техника!$F$4:$ABM$4,"Часы",INDEX(Техника!$G$1:$ABN$500,X$2,0),$A$767,INDEX(Техника!$H$1:$ABO$500,X$2,0),"Д")</f>
        <v>0</v>
      </c>
      <c r="Y769" s="50">
        <f>SUMIFS(INDEX(Техника!$F$1:$ABM$500,Y$2,0),Техника!$F$4:$ABM$4,"Часы",INDEX(Техника!$G$1:$ABN$500,Y$2,0),$A$767,INDEX(Техника!$H$1:$ABO$500,Y$2,0),"Д")</f>
        <v>0</v>
      </c>
      <c r="Z769" s="50">
        <f>SUMIFS(INDEX(Техника!$F$1:$ABM$500,Z$2,0),Техника!$F$4:$ABM$4,"Часы",INDEX(Техника!$G$1:$ABN$500,Z$2,0),$A$767,INDEX(Техника!$H$1:$ABO$500,Z$2,0),"Д")</f>
        <v>0</v>
      </c>
      <c r="AA769" s="50">
        <f>SUMIFS(INDEX(Техника!$F$1:$ABM$500,AA$2,0),Техника!$F$4:$ABM$4,"Часы",INDEX(Техника!$G$1:$ABN$500,AA$2,0),$A$767,INDEX(Техника!$H$1:$ABO$500,AA$2,0),"Д")</f>
        <v>0</v>
      </c>
      <c r="AB769" s="50">
        <f>SUMIFS(INDEX(Техника!$F$1:$ABM$500,AB$2,0),Техника!$F$4:$ABM$4,"Часы",INDEX(Техника!$G$1:$ABN$500,AB$2,0),$A$767,INDEX(Техника!$H$1:$ABO$500,AB$2,0),"Д")</f>
        <v>0</v>
      </c>
    </row>
    <row r="770" spans="1:28" hidden="1" outlineLevel="1" x14ac:dyDescent="0.3">
      <c r="A770" s="33" t="s">
        <v>276</v>
      </c>
      <c r="B770" s="34" t="s">
        <v>277</v>
      </c>
      <c r="C770" s="50">
        <f>SUMIFS(INDEX(Техника!$F$1:$ABM$500,C$2,0),Техника!$F$4:$ABM$4,"Часы",INDEX(Техника!$G$1:$ABN$500,C$2,0),$A$767,INDEX(Техника!$H$1:$ABO$500,C$2,0),"П")</f>
        <v>0</v>
      </c>
      <c r="D770" s="50">
        <f>SUMIFS(INDEX(Техника!$F$1:$ABM$500,D$2,0),Техника!$F$4:$ABM$4,"Часы",INDEX(Техника!$G$1:$ABN$500,D$2,0),$A$767,INDEX(Техника!$H$1:$ABO$500,D$2,0),"П")</f>
        <v>0</v>
      </c>
      <c r="E770" s="50">
        <f>SUMIFS(INDEX(Техника!$F$1:$ABM$500,E$2,0),Техника!$F$4:$ABM$4,"Часы",INDEX(Техника!$G$1:$ABN$500,E$2,0),$A$767,INDEX(Техника!$H$1:$ABO$500,E$2,0),"П")</f>
        <v>0</v>
      </c>
      <c r="F770" s="50">
        <f>SUMIFS(INDEX(Техника!$F$1:$ABM$500,F$2,0),Техника!$F$4:$ABM$4,"Часы",INDEX(Техника!$G$1:$ABN$500,F$2,0),$A$767,INDEX(Техника!$H$1:$ABO$500,F$2,0),"П")</f>
        <v>0</v>
      </c>
      <c r="G770" s="50">
        <f>SUMIFS(INDEX(Техника!$F$1:$ABM$500,G$2,0),Техника!$F$4:$ABM$4,"Часы",INDEX(Техника!$G$1:$ABN$500,G$2,0),$A$767,INDEX(Техника!$H$1:$ABO$500,G$2,0),"П")</f>
        <v>0</v>
      </c>
      <c r="H770" s="50">
        <f>SUMIFS(INDEX(Техника!$F$1:$ABM$500,H$2,0),Техника!$F$4:$ABM$4,"Часы",INDEX(Техника!$G$1:$ABN$500,H$2,0),$A$767,INDEX(Техника!$H$1:$ABO$500,H$2,0),"П")</f>
        <v>0</v>
      </c>
      <c r="I770" s="50">
        <f>SUMIFS(INDEX(Техника!$F$1:$ABM$500,I$2,0),Техника!$F$4:$ABM$4,"Часы",INDEX(Техника!$G$1:$ABN$500,I$2,0),$A$767,INDEX(Техника!$H$1:$ABO$500,I$2,0),"П")</f>
        <v>0</v>
      </c>
      <c r="J770" s="50">
        <f>SUMIFS(INDEX(Техника!$F$1:$ABM$500,J$2,0),Техника!$F$4:$ABM$4,"Часы",INDEX(Техника!$G$1:$ABN$500,J$2,0),$A$767,INDEX(Техника!$H$1:$ABO$500,J$2,0),"П")</f>
        <v>0</v>
      </c>
      <c r="K770" s="50">
        <f>SUMIFS(INDEX(Техника!$F$1:$ABM$500,K$2,0),Техника!$F$4:$ABM$4,"Часы",INDEX(Техника!$G$1:$ABN$500,K$2,0),$A$767,INDEX(Техника!$H$1:$ABO$500,K$2,0),"П")</f>
        <v>0</v>
      </c>
      <c r="L770" s="50">
        <f>SUMIFS(INDEX(Техника!$F$1:$ABM$500,L$2,0),Техника!$F$4:$ABM$4,"Часы",INDEX(Техника!$G$1:$ABN$500,L$2,0),$A$767,INDEX(Техника!$H$1:$ABO$500,L$2,0),"П")</f>
        <v>0</v>
      </c>
      <c r="M770" s="50">
        <f>SUMIFS(INDEX(Техника!$F$1:$ABM$500,M$2,0),Техника!$F$4:$ABM$4,"Часы",INDEX(Техника!$G$1:$ABN$500,M$2,0),$A$767,INDEX(Техника!$H$1:$ABO$500,M$2,0),"П")</f>
        <v>0</v>
      </c>
      <c r="N770" s="50">
        <f>SUMIFS(INDEX(Техника!$F$1:$ABM$500,N$2,0),Техника!$F$4:$ABM$4,"Часы",INDEX(Техника!$G$1:$ABN$500,N$2,0),$A$767,INDEX(Техника!$H$1:$ABO$500,N$2,0),"П")</f>
        <v>0</v>
      </c>
      <c r="O770" s="50">
        <f>SUMIFS(INDEX(Техника!$F$1:$ABM$500,O$2,0),Техника!$F$4:$ABM$4,"Часы",INDEX(Техника!$G$1:$ABN$500,O$2,0),$A$767,INDEX(Техника!$H$1:$ABO$500,O$2,0),"П")</f>
        <v>0</v>
      </c>
      <c r="P770" s="50">
        <f>SUMIFS(INDEX(Техника!$F$1:$ABM$500,P$2,0),Техника!$F$4:$ABM$4,"Часы",INDEX(Техника!$G$1:$ABN$500,P$2,0),$A$767,INDEX(Техника!$H$1:$ABO$500,P$2,0),"П")</f>
        <v>0</v>
      </c>
      <c r="Q770" s="50">
        <f>SUMIFS(INDEX(Техника!$F$1:$ABM$500,Q$2,0),Техника!$F$4:$ABM$4,"Часы",INDEX(Техника!$G$1:$ABN$500,Q$2,0),$A$767,INDEX(Техника!$H$1:$ABO$500,Q$2,0),"П")</f>
        <v>0</v>
      </c>
      <c r="R770" s="50">
        <f>SUMIFS(INDEX(Техника!$F$1:$ABM$500,R$2,0),Техника!$F$4:$ABM$4,"Часы",INDEX(Техника!$G$1:$ABN$500,R$2,0),$A$767,INDEX(Техника!$H$1:$ABO$500,R$2,0),"П")</f>
        <v>0</v>
      </c>
      <c r="S770" s="50">
        <f>SUMIFS(INDEX(Техника!$F$1:$ABM$500,S$2,0),Техника!$F$4:$ABM$4,"Часы",INDEX(Техника!$G$1:$ABN$500,S$2,0),$A$767,INDEX(Техника!$H$1:$ABO$500,S$2,0),"П")</f>
        <v>0</v>
      </c>
      <c r="T770" s="50">
        <f>SUMIFS(INDEX(Техника!$F$1:$ABM$500,T$2,0),Техника!$F$4:$ABM$4,"Часы",INDEX(Техника!$G$1:$ABN$500,T$2,0),$A$767,INDEX(Техника!$H$1:$ABO$500,T$2,0),"П")</f>
        <v>0</v>
      </c>
      <c r="U770" s="50">
        <f>SUMIFS(INDEX(Техника!$F$1:$ABM$500,U$2,0),Техника!$F$4:$ABM$4,"Часы",INDEX(Техника!$G$1:$ABN$500,U$2,0),$A$767,INDEX(Техника!$H$1:$ABO$500,U$2,0),"П")</f>
        <v>0</v>
      </c>
      <c r="V770" s="50">
        <f>SUMIFS(INDEX(Техника!$F$1:$ABM$500,V$2,0),Техника!$F$4:$ABM$4,"Часы",INDEX(Техника!$G$1:$ABN$500,V$2,0),$A$767,INDEX(Техника!$H$1:$ABO$500,V$2,0),"П")</f>
        <v>0</v>
      </c>
      <c r="W770" s="50">
        <f>SUMIFS(INDEX(Техника!$F$1:$ABM$500,W$2,0),Техника!$F$4:$ABM$4,"Часы",INDEX(Техника!$G$1:$ABN$500,W$2,0),$A$767,INDEX(Техника!$H$1:$ABO$500,W$2,0),"П")</f>
        <v>0</v>
      </c>
      <c r="X770" s="50">
        <f>SUMIFS(INDEX(Техника!$F$1:$ABM$500,X$2,0),Техника!$F$4:$ABM$4,"Часы",INDEX(Техника!$G$1:$ABN$500,X$2,0),$A$767,INDEX(Техника!$H$1:$ABO$500,X$2,0),"П")</f>
        <v>0</v>
      </c>
      <c r="Y770" s="50">
        <f>SUMIFS(INDEX(Техника!$F$1:$ABM$500,Y$2,0),Техника!$F$4:$ABM$4,"Часы",INDEX(Техника!$G$1:$ABN$500,Y$2,0),$A$767,INDEX(Техника!$H$1:$ABO$500,Y$2,0),"П")</f>
        <v>0</v>
      </c>
      <c r="Z770" s="50">
        <f>SUMIFS(INDEX(Техника!$F$1:$ABM$500,Z$2,0),Техника!$F$4:$ABM$4,"Часы",INDEX(Техника!$G$1:$ABN$500,Z$2,0),$A$767,INDEX(Техника!$H$1:$ABO$500,Z$2,0),"П")</f>
        <v>0</v>
      </c>
      <c r="AA770" s="50">
        <f>SUMIFS(INDEX(Техника!$F$1:$ABM$500,AA$2,0),Техника!$F$4:$ABM$4,"Часы",INDEX(Техника!$G$1:$ABN$500,AA$2,0),$A$767,INDEX(Техника!$H$1:$ABO$500,AA$2,0),"П")</f>
        <v>0</v>
      </c>
      <c r="AB770" s="50">
        <f>SUMIFS(INDEX(Техника!$F$1:$ABM$500,AB$2,0),Техника!$F$4:$ABM$4,"Часы",INDEX(Техника!$G$1:$ABN$500,AB$2,0),$A$767,INDEX(Техника!$H$1:$ABO$500,AB$2,0),"П")</f>
        <v>0</v>
      </c>
    </row>
    <row r="771" spans="1:28" hidden="1" outlineLevel="1" x14ac:dyDescent="0.3">
      <c r="A771" s="33" t="s">
        <v>243</v>
      </c>
      <c r="B771" s="34" t="s">
        <v>278</v>
      </c>
      <c r="C771" s="50">
        <f>SUMIFS(INDEX(Техника!$F$1:$ABM$500,C$2,0),Техника!$F$4:$ABM$4,"Часы",INDEX(Техника!$G$1:$ABN$500,C$2,0),$A$767,INDEX(Техника!$H$1:$ABO$500,C$2,0),"Л")</f>
        <v>0</v>
      </c>
      <c r="D771" s="50">
        <f>SUMIFS(INDEX(Техника!$F$1:$ABM$500,D$2,0),Техника!$F$4:$ABM$4,"Часы",INDEX(Техника!$G$1:$ABN$500,D$2,0),$A$767,INDEX(Техника!$H$1:$ABO$500,D$2,0),"Л")</f>
        <v>0</v>
      </c>
      <c r="E771" s="50">
        <f>SUMIFS(INDEX(Техника!$F$1:$ABM$500,E$2,0),Техника!$F$4:$ABM$4,"Часы",INDEX(Техника!$G$1:$ABN$500,E$2,0),$A$767,INDEX(Техника!$H$1:$ABO$500,E$2,0),"Л")</f>
        <v>0</v>
      </c>
      <c r="F771" s="50">
        <f>SUMIFS(INDEX(Техника!$F$1:$ABM$500,F$2,0),Техника!$F$4:$ABM$4,"Часы",INDEX(Техника!$G$1:$ABN$500,F$2,0),$A$767,INDEX(Техника!$H$1:$ABO$500,F$2,0),"Л")</f>
        <v>0</v>
      </c>
      <c r="G771" s="50">
        <f>SUMIFS(INDEX(Техника!$F$1:$ABM$500,G$2,0),Техника!$F$4:$ABM$4,"Часы",INDEX(Техника!$G$1:$ABN$500,G$2,0),$A$767,INDEX(Техника!$H$1:$ABO$500,G$2,0),"Л")</f>
        <v>0</v>
      </c>
      <c r="H771" s="50">
        <f>SUMIFS(INDEX(Техника!$F$1:$ABM$500,H$2,0),Техника!$F$4:$ABM$4,"Часы",INDEX(Техника!$G$1:$ABN$500,H$2,0),$A$767,INDEX(Техника!$H$1:$ABO$500,H$2,0),"Л")</f>
        <v>0</v>
      </c>
      <c r="I771" s="50">
        <f>SUMIFS(INDEX(Техника!$F$1:$ABM$500,I$2,0),Техника!$F$4:$ABM$4,"Часы",INDEX(Техника!$G$1:$ABN$500,I$2,0),$A$767,INDEX(Техника!$H$1:$ABO$500,I$2,0),"Л")</f>
        <v>0</v>
      </c>
      <c r="J771" s="50">
        <f>SUMIFS(INDEX(Техника!$F$1:$ABM$500,J$2,0),Техника!$F$4:$ABM$4,"Часы",INDEX(Техника!$G$1:$ABN$500,J$2,0),$A$767,INDEX(Техника!$H$1:$ABO$500,J$2,0),"Л")</f>
        <v>0</v>
      </c>
      <c r="K771" s="50">
        <f>SUMIFS(INDEX(Техника!$F$1:$ABM$500,K$2,0),Техника!$F$4:$ABM$4,"Часы",INDEX(Техника!$G$1:$ABN$500,K$2,0),$A$767,INDEX(Техника!$H$1:$ABO$500,K$2,0),"Л")</f>
        <v>0</v>
      </c>
      <c r="L771" s="50">
        <f>SUMIFS(INDEX(Техника!$F$1:$ABM$500,L$2,0),Техника!$F$4:$ABM$4,"Часы",INDEX(Техника!$G$1:$ABN$500,L$2,0),$A$767,INDEX(Техника!$H$1:$ABO$500,L$2,0),"Л")</f>
        <v>0</v>
      </c>
      <c r="M771" s="50">
        <f>SUMIFS(INDEX(Техника!$F$1:$ABM$500,M$2,0),Техника!$F$4:$ABM$4,"Часы",INDEX(Техника!$G$1:$ABN$500,M$2,0),$A$767,INDEX(Техника!$H$1:$ABO$500,M$2,0),"Л")</f>
        <v>0</v>
      </c>
      <c r="N771" s="50">
        <f>SUMIFS(INDEX(Техника!$F$1:$ABM$500,N$2,0),Техника!$F$4:$ABM$4,"Часы",INDEX(Техника!$G$1:$ABN$500,N$2,0),$A$767,INDEX(Техника!$H$1:$ABO$500,N$2,0),"Л")</f>
        <v>0</v>
      </c>
      <c r="O771" s="50">
        <f>SUMIFS(INDEX(Техника!$F$1:$ABM$500,O$2,0),Техника!$F$4:$ABM$4,"Часы",INDEX(Техника!$G$1:$ABN$500,O$2,0),$A$767,INDEX(Техника!$H$1:$ABO$500,O$2,0),"Л")</f>
        <v>0</v>
      </c>
      <c r="P771" s="50">
        <f>SUMIFS(INDEX(Техника!$F$1:$ABM$500,P$2,0),Техника!$F$4:$ABM$4,"Часы",INDEX(Техника!$G$1:$ABN$500,P$2,0),$A$767,INDEX(Техника!$H$1:$ABO$500,P$2,0),"Л")</f>
        <v>0</v>
      </c>
      <c r="Q771" s="50">
        <f>SUMIFS(INDEX(Техника!$F$1:$ABM$500,Q$2,0),Техника!$F$4:$ABM$4,"Часы",INDEX(Техника!$G$1:$ABN$500,Q$2,0),$A$767,INDEX(Техника!$H$1:$ABO$500,Q$2,0),"Л")</f>
        <v>0</v>
      </c>
      <c r="R771" s="50">
        <f>SUMIFS(INDEX(Техника!$F$1:$ABM$500,R$2,0),Техника!$F$4:$ABM$4,"Часы",INDEX(Техника!$G$1:$ABN$500,R$2,0),$A$767,INDEX(Техника!$H$1:$ABO$500,R$2,0),"Л")</f>
        <v>0</v>
      </c>
      <c r="S771" s="50">
        <f>SUMIFS(INDEX(Техника!$F$1:$ABM$500,S$2,0),Техника!$F$4:$ABM$4,"Часы",INDEX(Техника!$G$1:$ABN$500,S$2,0),$A$767,INDEX(Техника!$H$1:$ABO$500,S$2,0),"Л")</f>
        <v>0</v>
      </c>
      <c r="T771" s="50">
        <f>SUMIFS(INDEX(Техника!$F$1:$ABM$500,T$2,0),Техника!$F$4:$ABM$4,"Часы",INDEX(Техника!$G$1:$ABN$500,T$2,0),$A$767,INDEX(Техника!$H$1:$ABO$500,T$2,0),"Л")</f>
        <v>0</v>
      </c>
      <c r="U771" s="50">
        <f>SUMIFS(INDEX(Техника!$F$1:$ABM$500,U$2,0),Техника!$F$4:$ABM$4,"Часы",INDEX(Техника!$G$1:$ABN$500,U$2,0),$A$767,INDEX(Техника!$H$1:$ABO$500,U$2,0),"Л")</f>
        <v>0</v>
      </c>
      <c r="V771" s="50">
        <f>SUMIFS(INDEX(Техника!$F$1:$ABM$500,V$2,0),Техника!$F$4:$ABM$4,"Часы",INDEX(Техника!$G$1:$ABN$500,V$2,0),$A$767,INDEX(Техника!$H$1:$ABO$500,V$2,0),"Л")</f>
        <v>0</v>
      </c>
      <c r="W771" s="50">
        <f>SUMIFS(INDEX(Техника!$F$1:$ABM$500,W$2,0),Техника!$F$4:$ABM$4,"Часы",INDEX(Техника!$G$1:$ABN$500,W$2,0),$A$767,INDEX(Техника!$H$1:$ABO$500,W$2,0),"Л")</f>
        <v>0</v>
      </c>
      <c r="X771" s="50">
        <f>SUMIFS(INDEX(Техника!$F$1:$ABM$500,X$2,0),Техника!$F$4:$ABM$4,"Часы",INDEX(Техника!$G$1:$ABN$500,X$2,0),$A$767,INDEX(Техника!$H$1:$ABO$500,X$2,0),"Л")</f>
        <v>0</v>
      </c>
      <c r="Y771" s="50">
        <f>SUMIFS(INDEX(Техника!$F$1:$ABM$500,Y$2,0),Техника!$F$4:$ABM$4,"Часы",INDEX(Техника!$G$1:$ABN$500,Y$2,0),$A$767,INDEX(Техника!$H$1:$ABO$500,Y$2,0),"Л")</f>
        <v>0</v>
      </c>
      <c r="Z771" s="50">
        <f>SUMIFS(INDEX(Техника!$F$1:$ABM$500,Z$2,0),Техника!$F$4:$ABM$4,"Часы",INDEX(Техника!$G$1:$ABN$500,Z$2,0),$A$767,INDEX(Техника!$H$1:$ABO$500,Z$2,0),"Л")</f>
        <v>0</v>
      </c>
      <c r="AA771" s="50">
        <f>SUMIFS(INDEX(Техника!$F$1:$ABM$500,AA$2,0),Техника!$F$4:$ABM$4,"Часы",INDEX(Техника!$G$1:$ABN$500,AA$2,0),$A$767,INDEX(Техника!$H$1:$ABO$500,AA$2,0),"Л")</f>
        <v>0</v>
      </c>
      <c r="AB771" s="50">
        <f>SUMIFS(INDEX(Техника!$F$1:$ABM$500,AB$2,0),Техника!$F$4:$ABM$4,"Часы",INDEX(Техника!$G$1:$ABN$500,AB$2,0),$A$767,INDEX(Техника!$H$1:$ABO$500,AB$2,0),"Л")</f>
        <v>0</v>
      </c>
    </row>
    <row r="772" spans="1:28" hidden="1" outlineLevel="1" x14ac:dyDescent="0.3">
      <c r="A772" s="33" t="s">
        <v>245</v>
      </c>
      <c r="B772" s="34" t="s">
        <v>279</v>
      </c>
      <c r="C772" s="50">
        <f>SUMIFS(INDEX(Техника!$F$1:$ABM$500,C$2,0),Техника!$F$4:$ABM$4,"Часы",INDEX(Техника!$G$1:$ABN$500,C$2,0),$A$767,INDEX(Техника!$H$1:$ABO$500,C$2,0),"З")</f>
        <v>0</v>
      </c>
      <c r="D772" s="50">
        <f>SUMIFS(INDEX(Техника!$F$1:$ABM$500,D$2,0),Техника!$F$4:$ABM$4,"Часы",INDEX(Техника!$G$1:$ABN$500,D$2,0),$A$767,INDEX(Техника!$H$1:$ABO$500,D$2,0),"З")</f>
        <v>0</v>
      </c>
      <c r="E772" s="50">
        <f>SUMIFS(INDEX(Техника!$F$1:$ABM$500,E$2,0),Техника!$F$4:$ABM$4,"Часы",INDEX(Техника!$G$1:$ABN$500,E$2,0),$A$767,INDEX(Техника!$H$1:$ABO$500,E$2,0),"З")</f>
        <v>0</v>
      </c>
      <c r="F772" s="50">
        <f>SUMIFS(INDEX(Техника!$F$1:$ABM$500,F$2,0),Техника!$F$4:$ABM$4,"Часы",INDEX(Техника!$G$1:$ABN$500,F$2,0),$A$767,INDEX(Техника!$H$1:$ABO$500,F$2,0),"З")</f>
        <v>0</v>
      </c>
      <c r="G772" s="50">
        <f>SUMIFS(INDEX(Техника!$F$1:$ABM$500,G$2,0),Техника!$F$4:$ABM$4,"Часы",INDEX(Техника!$G$1:$ABN$500,G$2,0),$A$767,INDEX(Техника!$H$1:$ABO$500,G$2,0),"З")</f>
        <v>0</v>
      </c>
      <c r="H772" s="50">
        <f>SUMIFS(INDEX(Техника!$F$1:$ABM$500,H$2,0),Техника!$F$4:$ABM$4,"Часы",INDEX(Техника!$G$1:$ABN$500,H$2,0),$A$767,INDEX(Техника!$H$1:$ABO$500,H$2,0),"З")</f>
        <v>0</v>
      </c>
      <c r="I772" s="50">
        <f>SUMIFS(INDEX(Техника!$F$1:$ABM$500,I$2,0),Техника!$F$4:$ABM$4,"Часы",INDEX(Техника!$G$1:$ABN$500,I$2,0),$A$767,INDEX(Техника!$H$1:$ABO$500,I$2,0),"З")</f>
        <v>0</v>
      </c>
      <c r="J772" s="50">
        <f>SUMIFS(INDEX(Техника!$F$1:$ABM$500,J$2,0),Техника!$F$4:$ABM$4,"Часы",INDEX(Техника!$G$1:$ABN$500,J$2,0),$A$767,INDEX(Техника!$H$1:$ABO$500,J$2,0),"З")</f>
        <v>0</v>
      </c>
      <c r="K772" s="50">
        <f>SUMIFS(INDEX(Техника!$F$1:$ABM$500,K$2,0),Техника!$F$4:$ABM$4,"Часы",INDEX(Техника!$G$1:$ABN$500,K$2,0),$A$767,INDEX(Техника!$H$1:$ABO$500,K$2,0),"З")</f>
        <v>0</v>
      </c>
      <c r="L772" s="50">
        <f>SUMIFS(INDEX(Техника!$F$1:$ABM$500,L$2,0),Техника!$F$4:$ABM$4,"Часы",INDEX(Техника!$G$1:$ABN$500,L$2,0),$A$767,INDEX(Техника!$H$1:$ABO$500,L$2,0),"З")</f>
        <v>0</v>
      </c>
      <c r="M772" s="50">
        <f>SUMIFS(INDEX(Техника!$F$1:$ABM$500,M$2,0),Техника!$F$4:$ABM$4,"Часы",INDEX(Техника!$G$1:$ABN$500,M$2,0),$A$767,INDEX(Техника!$H$1:$ABO$500,M$2,0),"З")</f>
        <v>0</v>
      </c>
      <c r="N772" s="50">
        <f>SUMIFS(INDEX(Техника!$F$1:$ABM$500,N$2,0),Техника!$F$4:$ABM$4,"Часы",INDEX(Техника!$G$1:$ABN$500,N$2,0),$A$767,INDEX(Техника!$H$1:$ABO$500,N$2,0),"З")</f>
        <v>0</v>
      </c>
      <c r="O772" s="50">
        <f>SUMIFS(INDEX(Техника!$F$1:$ABM$500,O$2,0),Техника!$F$4:$ABM$4,"Часы",INDEX(Техника!$G$1:$ABN$500,O$2,0),$A$767,INDEX(Техника!$H$1:$ABO$500,O$2,0),"З")</f>
        <v>0</v>
      </c>
      <c r="P772" s="50">
        <f>SUMIFS(INDEX(Техника!$F$1:$ABM$500,P$2,0),Техника!$F$4:$ABM$4,"Часы",INDEX(Техника!$G$1:$ABN$500,P$2,0),$A$767,INDEX(Техника!$H$1:$ABO$500,P$2,0),"З")</f>
        <v>0</v>
      </c>
      <c r="Q772" s="50">
        <f>SUMIFS(INDEX(Техника!$F$1:$ABM$500,Q$2,0),Техника!$F$4:$ABM$4,"Часы",INDEX(Техника!$G$1:$ABN$500,Q$2,0),$A$767,INDEX(Техника!$H$1:$ABO$500,Q$2,0),"З")</f>
        <v>0</v>
      </c>
      <c r="R772" s="50">
        <f>SUMIFS(INDEX(Техника!$F$1:$ABM$500,R$2,0),Техника!$F$4:$ABM$4,"Часы",INDEX(Техника!$G$1:$ABN$500,R$2,0),$A$767,INDEX(Техника!$H$1:$ABO$500,R$2,0),"З")</f>
        <v>0</v>
      </c>
      <c r="S772" s="50">
        <f>SUMIFS(INDEX(Техника!$F$1:$ABM$500,S$2,0),Техника!$F$4:$ABM$4,"Часы",INDEX(Техника!$G$1:$ABN$500,S$2,0),$A$767,INDEX(Техника!$H$1:$ABO$500,S$2,0),"З")</f>
        <v>0</v>
      </c>
      <c r="T772" s="50">
        <f>SUMIFS(INDEX(Техника!$F$1:$ABM$500,T$2,0),Техника!$F$4:$ABM$4,"Часы",INDEX(Техника!$G$1:$ABN$500,T$2,0),$A$767,INDEX(Техника!$H$1:$ABO$500,T$2,0),"З")</f>
        <v>0</v>
      </c>
      <c r="U772" s="50">
        <f>SUMIFS(INDEX(Техника!$F$1:$ABM$500,U$2,0),Техника!$F$4:$ABM$4,"Часы",INDEX(Техника!$G$1:$ABN$500,U$2,0),$A$767,INDEX(Техника!$H$1:$ABO$500,U$2,0),"З")</f>
        <v>0</v>
      </c>
      <c r="V772" s="50">
        <f>SUMIFS(INDEX(Техника!$F$1:$ABM$500,V$2,0),Техника!$F$4:$ABM$4,"Часы",INDEX(Техника!$G$1:$ABN$500,V$2,0),$A$767,INDEX(Техника!$H$1:$ABO$500,V$2,0),"З")</f>
        <v>0</v>
      </c>
      <c r="W772" s="50">
        <f>SUMIFS(INDEX(Техника!$F$1:$ABM$500,W$2,0),Техника!$F$4:$ABM$4,"Часы",INDEX(Техника!$G$1:$ABN$500,W$2,0),$A$767,INDEX(Техника!$H$1:$ABO$500,W$2,0),"З")</f>
        <v>0</v>
      </c>
      <c r="X772" s="50">
        <f>SUMIFS(INDEX(Техника!$F$1:$ABM$500,X$2,0),Техника!$F$4:$ABM$4,"Часы",INDEX(Техника!$G$1:$ABN$500,X$2,0),$A$767,INDEX(Техника!$H$1:$ABO$500,X$2,0),"З")</f>
        <v>0</v>
      </c>
      <c r="Y772" s="50">
        <f>SUMIFS(INDEX(Техника!$F$1:$ABM$500,Y$2,0),Техника!$F$4:$ABM$4,"Часы",INDEX(Техника!$G$1:$ABN$500,Y$2,0),$A$767,INDEX(Техника!$H$1:$ABO$500,Y$2,0),"З")</f>
        <v>0</v>
      </c>
      <c r="Z772" s="50">
        <f>SUMIFS(INDEX(Техника!$F$1:$ABM$500,Z$2,0),Техника!$F$4:$ABM$4,"Часы",INDEX(Техника!$G$1:$ABN$500,Z$2,0),$A$767,INDEX(Техника!$H$1:$ABO$500,Z$2,0),"З")</f>
        <v>0</v>
      </c>
      <c r="AA772" s="50">
        <f>SUMIFS(INDEX(Техника!$F$1:$ABM$500,AA$2,0),Техника!$F$4:$ABM$4,"Часы",INDEX(Техника!$G$1:$ABN$500,AA$2,0),$A$767,INDEX(Техника!$H$1:$ABO$500,AA$2,0),"З")</f>
        <v>0</v>
      </c>
      <c r="AB772" s="50">
        <f>SUMIFS(INDEX(Техника!$F$1:$ABM$500,AB$2,0),Техника!$F$4:$ABM$4,"Часы",INDEX(Техника!$G$1:$ABN$500,AB$2,0),$A$767,INDEX(Техника!$H$1:$ABO$500,AB$2,0),"З")</f>
        <v>0</v>
      </c>
    </row>
    <row r="773" spans="1:28" ht="7.95" customHeight="1" x14ac:dyDescent="0.3">
      <c r="A773" s="38"/>
      <c r="B773" s="39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</row>
    <row r="774" spans="1:28" ht="25.05" customHeight="1" collapsed="1" x14ac:dyDescent="0.3">
      <c r="A774" s="32">
        <v>111</v>
      </c>
      <c r="B774" s="32" t="s">
        <v>112</v>
      </c>
      <c r="C774" s="49">
        <f>SUM(C775:C779)</f>
        <v>0</v>
      </c>
      <c r="D774" s="49">
        <f>SUM(D775:D779)</f>
        <v>0</v>
      </c>
      <c r="E774" s="49">
        <f>SUM(E775:E779)</f>
        <v>0</v>
      </c>
      <c r="F774" s="49">
        <f>SUM(F775:F779)</f>
        <v>0</v>
      </c>
      <c r="G774" s="49">
        <f>SUM(G775:G779)</f>
        <v>0</v>
      </c>
      <c r="H774" s="49">
        <f>SUM(H775:H779)</f>
        <v>0</v>
      </c>
      <c r="I774" s="49">
        <f>SUM(I775:I779)</f>
        <v>0</v>
      </c>
      <c r="J774" s="49">
        <f>SUM(J775:J779)</f>
        <v>0</v>
      </c>
      <c r="K774" s="49">
        <f>SUM(K775:K779)</f>
        <v>0</v>
      </c>
      <c r="L774" s="49">
        <f>SUM(L775:L779)</f>
        <v>0</v>
      </c>
      <c r="M774" s="49">
        <f>SUM(M775:M779)</f>
        <v>0</v>
      </c>
      <c r="N774" s="49">
        <f>SUM(N775:N779)</f>
        <v>0</v>
      </c>
      <c r="O774" s="49">
        <f>SUM(O775:O779)</f>
        <v>0</v>
      </c>
      <c r="P774" s="49">
        <f>SUM(P775:P779)</f>
        <v>0</v>
      </c>
      <c r="Q774" s="49">
        <f>SUM(Q775:Q779)</f>
        <v>0</v>
      </c>
      <c r="R774" s="49">
        <f>SUM(R775:R779)</f>
        <v>0</v>
      </c>
      <c r="S774" s="49">
        <f>SUM(S775:S779)</f>
        <v>0</v>
      </c>
      <c r="T774" s="49">
        <f>SUM(T775:T779)</f>
        <v>0</v>
      </c>
      <c r="U774" s="49">
        <f>SUM(U775:U779)</f>
        <v>0</v>
      </c>
      <c r="V774" s="49">
        <f>SUM(V775:V779)</f>
        <v>0</v>
      </c>
      <c r="W774" s="49">
        <f>SUM(W775:W779)</f>
        <v>0</v>
      </c>
      <c r="X774" s="49">
        <f>SUM(X775:X779)</f>
        <v>0</v>
      </c>
      <c r="Y774" s="49">
        <f>SUM(Y775:Y779)</f>
        <v>0</v>
      </c>
      <c r="Z774" s="49">
        <f>SUM(Z775:Z779)</f>
        <v>0</v>
      </c>
      <c r="AA774" s="49">
        <f>SUM(AA775:AA779)</f>
        <v>0</v>
      </c>
      <c r="AB774" s="49">
        <f>SUM(AB775:AB779)</f>
        <v>0</v>
      </c>
    </row>
    <row r="775" spans="1:28" hidden="1" outlineLevel="1" x14ac:dyDescent="0.3">
      <c r="A775" s="33" t="s">
        <v>246</v>
      </c>
      <c r="B775" s="34" t="s">
        <v>274</v>
      </c>
      <c r="C775" s="50">
        <f>SUMIFS(INDEX(Техника!$F$1:$ABM$500,C$2,0),Техника!$F$4:$ABM$4,"Часы",INDEX(Техника!$G$1:$ABN$500,C$2,0),$A$774,INDEX(Техника!$H$1:$ABO$500,C$2,0),"М")</f>
        <v>0</v>
      </c>
      <c r="D775" s="50">
        <f>SUMIFS(INDEX(Техника!$F$1:$ABM$500,D$2,0),Техника!$F$4:$ABM$4,"Часы",INDEX(Техника!$G$1:$ABN$500,D$2,0),$A$774,INDEX(Техника!$H$1:$ABO$500,D$2,0),"М")</f>
        <v>0</v>
      </c>
      <c r="E775" s="50">
        <f>SUMIFS(INDEX(Техника!$F$1:$ABM$500,E$2,0),Техника!$F$4:$ABM$4,"Часы",INDEX(Техника!$G$1:$ABN$500,E$2,0),$A$774,INDEX(Техника!$H$1:$ABO$500,E$2,0),"М")</f>
        <v>0</v>
      </c>
      <c r="F775" s="50">
        <f>SUMIFS(INDEX(Техника!$F$1:$ABM$500,F$2,0),Техника!$F$4:$ABM$4,"Часы",INDEX(Техника!$G$1:$ABN$500,F$2,0),$A$774,INDEX(Техника!$H$1:$ABO$500,F$2,0),"М")</f>
        <v>0</v>
      </c>
      <c r="G775" s="50">
        <f>SUMIFS(INDEX(Техника!$F$1:$ABM$500,G$2,0),Техника!$F$4:$ABM$4,"Часы",INDEX(Техника!$G$1:$ABN$500,G$2,0),$A$774,INDEX(Техника!$H$1:$ABO$500,G$2,0),"М")</f>
        <v>0</v>
      </c>
      <c r="H775" s="50">
        <f>SUMIFS(INDEX(Техника!$F$1:$ABM$500,H$2,0),Техника!$F$4:$ABM$4,"Часы",INDEX(Техника!$G$1:$ABN$500,H$2,0),$A$774,INDEX(Техника!$H$1:$ABO$500,H$2,0),"М")</f>
        <v>0</v>
      </c>
      <c r="I775" s="50">
        <f>SUMIFS(INDEX(Техника!$F$1:$ABM$500,I$2,0),Техника!$F$4:$ABM$4,"Часы",INDEX(Техника!$G$1:$ABN$500,I$2,0),$A$774,INDEX(Техника!$H$1:$ABO$500,I$2,0),"М")</f>
        <v>0</v>
      </c>
      <c r="J775" s="50">
        <f>SUMIFS(INDEX(Техника!$F$1:$ABM$500,J$2,0),Техника!$F$4:$ABM$4,"Часы",INDEX(Техника!$G$1:$ABN$500,J$2,0),$A$774,INDEX(Техника!$H$1:$ABO$500,J$2,0),"М")</f>
        <v>0</v>
      </c>
      <c r="K775" s="50">
        <f>SUMIFS(INDEX(Техника!$F$1:$ABM$500,K$2,0),Техника!$F$4:$ABM$4,"Часы",INDEX(Техника!$G$1:$ABN$500,K$2,0),$A$774,INDEX(Техника!$H$1:$ABO$500,K$2,0),"М")</f>
        <v>0</v>
      </c>
      <c r="L775" s="50">
        <f>SUMIFS(INDEX(Техника!$F$1:$ABM$500,L$2,0),Техника!$F$4:$ABM$4,"Часы",INDEX(Техника!$G$1:$ABN$500,L$2,0),$A$774,INDEX(Техника!$H$1:$ABO$500,L$2,0),"М")</f>
        <v>0</v>
      </c>
      <c r="M775" s="50">
        <f>SUMIFS(INDEX(Техника!$F$1:$ABM$500,M$2,0),Техника!$F$4:$ABM$4,"Часы",INDEX(Техника!$G$1:$ABN$500,M$2,0),$A$774,INDEX(Техника!$H$1:$ABO$500,M$2,0),"М")</f>
        <v>0</v>
      </c>
      <c r="N775" s="50">
        <f>SUMIFS(INDEX(Техника!$F$1:$ABM$500,N$2,0),Техника!$F$4:$ABM$4,"Часы",INDEX(Техника!$G$1:$ABN$500,N$2,0),$A$774,INDEX(Техника!$H$1:$ABO$500,N$2,0),"М")</f>
        <v>0</v>
      </c>
      <c r="O775" s="50">
        <f>SUMIFS(INDEX(Техника!$F$1:$ABM$500,O$2,0),Техника!$F$4:$ABM$4,"Часы",INDEX(Техника!$G$1:$ABN$500,O$2,0),$A$774,INDEX(Техника!$H$1:$ABO$500,O$2,0),"М")</f>
        <v>0</v>
      </c>
      <c r="P775" s="50">
        <f>SUMIFS(INDEX(Техника!$F$1:$ABM$500,P$2,0),Техника!$F$4:$ABM$4,"Часы",INDEX(Техника!$G$1:$ABN$500,P$2,0),$A$774,INDEX(Техника!$H$1:$ABO$500,P$2,0),"М")</f>
        <v>0</v>
      </c>
      <c r="Q775" s="50">
        <f>SUMIFS(INDEX(Техника!$F$1:$ABM$500,Q$2,0),Техника!$F$4:$ABM$4,"Часы",INDEX(Техника!$G$1:$ABN$500,Q$2,0),$A$774,INDEX(Техника!$H$1:$ABO$500,Q$2,0),"М")</f>
        <v>0</v>
      </c>
      <c r="R775" s="50">
        <f>SUMIFS(INDEX(Техника!$F$1:$ABM$500,R$2,0),Техника!$F$4:$ABM$4,"Часы",INDEX(Техника!$G$1:$ABN$500,R$2,0),$A$774,INDEX(Техника!$H$1:$ABO$500,R$2,0),"М")</f>
        <v>0</v>
      </c>
      <c r="S775" s="50">
        <f>SUMIFS(INDEX(Техника!$F$1:$ABM$500,S$2,0),Техника!$F$4:$ABM$4,"Часы",INDEX(Техника!$G$1:$ABN$500,S$2,0),$A$774,INDEX(Техника!$H$1:$ABO$500,S$2,0),"М")</f>
        <v>0</v>
      </c>
      <c r="T775" s="50">
        <f>SUMIFS(INDEX(Техника!$F$1:$ABM$500,T$2,0),Техника!$F$4:$ABM$4,"Часы",INDEX(Техника!$G$1:$ABN$500,T$2,0),$A$774,INDEX(Техника!$H$1:$ABO$500,T$2,0),"М")</f>
        <v>0</v>
      </c>
      <c r="U775" s="50">
        <f>SUMIFS(INDEX(Техника!$F$1:$ABM$500,U$2,0),Техника!$F$4:$ABM$4,"Часы",INDEX(Техника!$G$1:$ABN$500,U$2,0),$A$774,INDEX(Техника!$H$1:$ABO$500,U$2,0),"М")</f>
        <v>0</v>
      </c>
      <c r="V775" s="50">
        <f>SUMIFS(INDEX(Техника!$F$1:$ABM$500,V$2,0),Техника!$F$4:$ABM$4,"Часы",INDEX(Техника!$G$1:$ABN$500,V$2,0),$A$774,INDEX(Техника!$H$1:$ABO$500,V$2,0),"М")</f>
        <v>0</v>
      </c>
      <c r="W775" s="50">
        <f>SUMIFS(INDEX(Техника!$F$1:$ABM$500,W$2,0),Техника!$F$4:$ABM$4,"Часы",INDEX(Техника!$G$1:$ABN$500,W$2,0),$A$774,INDEX(Техника!$H$1:$ABO$500,W$2,0),"М")</f>
        <v>0</v>
      </c>
      <c r="X775" s="50">
        <f>SUMIFS(INDEX(Техника!$F$1:$ABM$500,X$2,0),Техника!$F$4:$ABM$4,"Часы",INDEX(Техника!$G$1:$ABN$500,X$2,0),$A$774,INDEX(Техника!$H$1:$ABO$500,X$2,0),"М")</f>
        <v>0</v>
      </c>
      <c r="Y775" s="50">
        <f>SUMIFS(INDEX(Техника!$F$1:$ABM$500,Y$2,0),Техника!$F$4:$ABM$4,"Часы",INDEX(Техника!$G$1:$ABN$500,Y$2,0),$A$774,INDEX(Техника!$H$1:$ABO$500,Y$2,0),"М")</f>
        <v>0</v>
      </c>
      <c r="Z775" s="50">
        <f>SUMIFS(INDEX(Техника!$F$1:$ABM$500,Z$2,0),Техника!$F$4:$ABM$4,"Часы",INDEX(Техника!$G$1:$ABN$500,Z$2,0),$A$774,INDEX(Техника!$H$1:$ABO$500,Z$2,0),"М")</f>
        <v>0</v>
      </c>
      <c r="AA775" s="50">
        <f>SUMIFS(INDEX(Техника!$F$1:$ABM$500,AA$2,0),Техника!$F$4:$ABM$4,"Часы",INDEX(Техника!$G$1:$ABN$500,AA$2,0),$A$774,INDEX(Техника!$H$1:$ABO$500,AA$2,0),"М")</f>
        <v>0</v>
      </c>
      <c r="AB775" s="50">
        <f>SUMIFS(INDEX(Техника!$F$1:$ABM$500,AB$2,0),Техника!$F$4:$ABM$4,"Часы",INDEX(Техника!$G$1:$ABN$500,AB$2,0),$A$774,INDEX(Техника!$H$1:$ABO$500,AB$2,0),"М")</f>
        <v>0</v>
      </c>
    </row>
    <row r="776" spans="1:28" hidden="1" outlineLevel="1" x14ac:dyDescent="0.3">
      <c r="A776" s="33" t="s">
        <v>244</v>
      </c>
      <c r="B776" s="34" t="s">
        <v>275</v>
      </c>
      <c r="C776" s="50">
        <f>SUMIFS(INDEX(Техника!$F$1:$ABM$500,C$2,0),Техника!$F$4:$ABM$4,"Часы",INDEX(Техника!$G$1:$ABN$500,C$2,0),$A$774,INDEX(Техника!$H$1:$ABO$500,C$2,0),"Д")</f>
        <v>0</v>
      </c>
      <c r="D776" s="50">
        <f>SUMIFS(INDEX(Техника!$F$1:$ABM$500,D$2,0),Техника!$F$4:$ABM$4,"Часы",INDEX(Техника!$G$1:$ABN$500,D$2,0),$A$774,INDEX(Техника!$H$1:$ABO$500,D$2,0),"Д")</f>
        <v>0</v>
      </c>
      <c r="E776" s="50">
        <f>SUMIFS(INDEX(Техника!$F$1:$ABM$500,E$2,0),Техника!$F$4:$ABM$4,"Часы",INDEX(Техника!$G$1:$ABN$500,E$2,0),$A$774,INDEX(Техника!$H$1:$ABO$500,E$2,0),"Д")</f>
        <v>0</v>
      </c>
      <c r="F776" s="50">
        <f>SUMIFS(INDEX(Техника!$F$1:$ABM$500,F$2,0),Техника!$F$4:$ABM$4,"Часы",INDEX(Техника!$G$1:$ABN$500,F$2,0),$A$774,INDEX(Техника!$H$1:$ABO$500,F$2,0),"Д")</f>
        <v>0</v>
      </c>
      <c r="G776" s="50">
        <f>SUMIFS(INDEX(Техника!$F$1:$ABM$500,G$2,0),Техника!$F$4:$ABM$4,"Часы",INDEX(Техника!$G$1:$ABN$500,G$2,0),$A$774,INDEX(Техника!$H$1:$ABO$500,G$2,0),"Д")</f>
        <v>0</v>
      </c>
      <c r="H776" s="50">
        <f>SUMIFS(INDEX(Техника!$F$1:$ABM$500,H$2,0),Техника!$F$4:$ABM$4,"Часы",INDEX(Техника!$G$1:$ABN$500,H$2,0),$A$774,INDEX(Техника!$H$1:$ABO$500,H$2,0),"Д")</f>
        <v>0</v>
      </c>
      <c r="I776" s="50">
        <f>SUMIFS(INDEX(Техника!$F$1:$ABM$500,I$2,0),Техника!$F$4:$ABM$4,"Часы",INDEX(Техника!$G$1:$ABN$500,I$2,0),$A$774,INDEX(Техника!$H$1:$ABO$500,I$2,0),"Д")</f>
        <v>0</v>
      </c>
      <c r="J776" s="50">
        <f>SUMIFS(INDEX(Техника!$F$1:$ABM$500,J$2,0),Техника!$F$4:$ABM$4,"Часы",INDEX(Техника!$G$1:$ABN$500,J$2,0),$A$774,INDEX(Техника!$H$1:$ABO$500,J$2,0),"Д")</f>
        <v>0</v>
      </c>
      <c r="K776" s="50">
        <f>SUMIFS(INDEX(Техника!$F$1:$ABM$500,K$2,0),Техника!$F$4:$ABM$4,"Часы",INDEX(Техника!$G$1:$ABN$500,K$2,0),$A$774,INDEX(Техника!$H$1:$ABO$500,K$2,0),"Д")</f>
        <v>0</v>
      </c>
      <c r="L776" s="50">
        <f>SUMIFS(INDEX(Техника!$F$1:$ABM$500,L$2,0),Техника!$F$4:$ABM$4,"Часы",INDEX(Техника!$G$1:$ABN$500,L$2,0),$A$774,INDEX(Техника!$H$1:$ABO$500,L$2,0),"Д")</f>
        <v>0</v>
      </c>
      <c r="M776" s="50">
        <f>SUMIFS(INDEX(Техника!$F$1:$ABM$500,M$2,0),Техника!$F$4:$ABM$4,"Часы",INDEX(Техника!$G$1:$ABN$500,M$2,0),$A$774,INDEX(Техника!$H$1:$ABO$500,M$2,0),"Д")</f>
        <v>0</v>
      </c>
      <c r="N776" s="50">
        <f>SUMIFS(INDEX(Техника!$F$1:$ABM$500,N$2,0),Техника!$F$4:$ABM$4,"Часы",INDEX(Техника!$G$1:$ABN$500,N$2,0),$A$774,INDEX(Техника!$H$1:$ABO$500,N$2,0),"Д")</f>
        <v>0</v>
      </c>
      <c r="O776" s="50">
        <f>SUMIFS(INDEX(Техника!$F$1:$ABM$500,O$2,0),Техника!$F$4:$ABM$4,"Часы",INDEX(Техника!$G$1:$ABN$500,O$2,0),$A$774,INDEX(Техника!$H$1:$ABO$500,O$2,0),"Д")</f>
        <v>0</v>
      </c>
      <c r="P776" s="50">
        <f>SUMIFS(INDEX(Техника!$F$1:$ABM$500,P$2,0),Техника!$F$4:$ABM$4,"Часы",INDEX(Техника!$G$1:$ABN$500,P$2,0),$A$774,INDEX(Техника!$H$1:$ABO$500,P$2,0),"Д")</f>
        <v>0</v>
      </c>
      <c r="Q776" s="50">
        <f>SUMIFS(INDEX(Техника!$F$1:$ABM$500,Q$2,0),Техника!$F$4:$ABM$4,"Часы",INDEX(Техника!$G$1:$ABN$500,Q$2,0),$A$774,INDEX(Техника!$H$1:$ABO$500,Q$2,0),"Д")</f>
        <v>0</v>
      </c>
      <c r="R776" s="50">
        <f>SUMIFS(INDEX(Техника!$F$1:$ABM$500,R$2,0),Техника!$F$4:$ABM$4,"Часы",INDEX(Техника!$G$1:$ABN$500,R$2,0),$A$774,INDEX(Техника!$H$1:$ABO$500,R$2,0),"Д")</f>
        <v>0</v>
      </c>
      <c r="S776" s="50">
        <f>SUMIFS(INDEX(Техника!$F$1:$ABM$500,S$2,0),Техника!$F$4:$ABM$4,"Часы",INDEX(Техника!$G$1:$ABN$500,S$2,0),$A$774,INDEX(Техника!$H$1:$ABO$500,S$2,0),"Д")</f>
        <v>0</v>
      </c>
      <c r="T776" s="50">
        <f>SUMIFS(INDEX(Техника!$F$1:$ABM$500,T$2,0),Техника!$F$4:$ABM$4,"Часы",INDEX(Техника!$G$1:$ABN$500,T$2,0),$A$774,INDEX(Техника!$H$1:$ABO$500,T$2,0),"Д")</f>
        <v>0</v>
      </c>
      <c r="U776" s="50">
        <f>SUMIFS(INDEX(Техника!$F$1:$ABM$500,U$2,0),Техника!$F$4:$ABM$4,"Часы",INDEX(Техника!$G$1:$ABN$500,U$2,0),$A$774,INDEX(Техника!$H$1:$ABO$500,U$2,0),"Д")</f>
        <v>0</v>
      </c>
      <c r="V776" s="50">
        <f>SUMIFS(INDEX(Техника!$F$1:$ABM$500,V$2,0),Техника!$F$4:$ABM$4,"Часы",INDEX(Техника!$G$1:$ABN$500,V$2,0),$A$774,INDEX(Техника!$H$1:$ABO$500,V$2,0),"Д")</f>
        <v>0</v>
      </c>
      <c r="W776" s="50">
        <f>SUMIFS(INDEX(Техника!$F$1:$ABM$500,W$2,0),Техника!$F$4:$ABM$4,"Часы",INDEX(Техника!$G$1:$ABN$500,W$2,0),$A$774,INDEX(Техника!$H$1:$ABO$500,W$2,0),"Д")</f>
        <v>0</v>
      </c>
      <c r="X776" s="50">
        <f>SUMIFS(INDEX(Техника!$F$1:$ABM$500,X$2,0),Техника!$F$4:$ABM$4,"Часы",INDEX(Техника!$G$1:$ABN$500,X$2,0),$A$774,INDEX(Техника!$H$1:$ABO$500,X$2,0),"Д")</f>
        <v>0</v>
      </c>
      <c r="Y776" s="50">
        <f>SUMIFS(INDEX(Техника!$F$1:$ABM$500,Y$2,0),Техника!$F$4:$ABM$4,"Часы",INDEX(Техника!$G$1:$ABN$500,Y$2,0),$A$774,INDEX(Техника!$H$1:$ABO$500,Y$2,0),"Д")</f>
        <v>0</v>
      </c>
      <c r="Z776" s="50">
        <f>SUMIFS(INDEX(Техника!$F$1:$ABM$500,Z$2,0),Техника!$F$4:$ABM$4,"Часы",INDEX(Техника!$G$1:$ABN$500,Z$2,0),$A$774,INDEX(Техника!$H$1:$ABO$500,Z$2,0),"Д")</f>
        <v>0</v>
      </c>
      <c r="AA776" s="50">
        <f>SUMIFS(INDEX(Техника!$F$1:$ABM$500,AA$2,0),Техника!$F$4:$ABM$4,"Часы",INDEX(Техника!$G$1:$ABN$500,AA$2,0),$A$774,INDEX(Техника!$H$1:$ABO$500,AA$2,0),"Д")</f>
        <v>0</v>
      </c>
      <c r="AB776" s="50">
        <f>SUMIFS(INDEX(Техника!$F$1:$ABM$500,AB$2,0),Техника!$F$4:$ABM$4,"Часы",INDEX(Техника!$G$1:$ABN$500,AB$2,0),$A$774,INDEX(Техника!$H$1:$ABO$500,AB$2,0),"Д")</f>
        <v>0</v>
      </c>
    </row>
    <row r="777" spans="1:28" hidden="1" outlineLevel="1" x14ac:dyDescent="0.3">
      <c r="A777" s="33" t="s">
        <v>276</v>
      </c>
      <c r="B777" s="34" t="s">
        <v>277</v>
      </c>
      <c r="C777" s="50">
        <f>SUMIFS(INDEX(Техника!$F$1:$ABM$500,C$2,0),Техника!$F$4:$ABM$4,"Часы",INDEX(Техника!$G$1:$ABN$500,C$2,0),$A$774,INDEX(Техника!$H$1:$ABO$500,C$2,0),"П")</f>
        <v>0</v>
      </c>
      <c r="D777" s="50">
        <f>SUMIFS(INDEX(Техника!$F$1:$ABM$500,D$2,0),Техника!$F$4:$ABM$4,"Часы",INDEX(Техника!$G$1:$ABN$500,D$2,0),$A$774,INDEX(Техника!$H$1:$ABO$500,D$2,0),"П")</f>
        <v>0</v>
      </c>
      <c r="E777" s="50">
        <f>SUMIFS(INDEX(Техника!$F$1:$ABM$500,E$2,0),Техника!$F$4:$ABM$4,"Часы",INDEX(Техника!$G$1:$ABN$500,E$2,0),$A$774,INDEX(Техника!$H$1:$ABO$500,E$2,0),"П")</f>
        <v>0</v>
      </c>
      <c r="F777" s="50">
        <f>SUMIFS(INDEX(Техника!$F$1:$ABM$500,F$2,0),Техника!$F$4:$ABM$4,"Часы",INDEX(Техника!$G$1:$ABN$500,F$2,0),$A$774,INDEX(Техника!$H$1:$ABO$500,F$2,0),"П")</f>
        <v>0</v>
      </c>
      <c r="G777" s="50">
        <f>SUMIFS(INDEX(Техника!$F$1:$ABM$500,G$2,0),Техника!$F$4:$ABM$4,"Часы",INDEX(Техника!$G$1:$ABN$500,G$2,0),$A$774,INDEX(Техника!$H$1:$ABO$500,G$2,0),"П")</f>
        <v>0</v>
      </c>
      <c r="H777" s="50">
        <f>SUMIFS(INDEX(Техника!$F$1:$ABM$500,H$2,0),Техника!$F$4:$ABM$4,"Часы",INDEX(Техника!$G$1:$ABN$500,H$2,0),$A$774,INDEX(Техника!$H$1:$ABO$500,H$2,0),"П")</f>
        <v>0</v>
      </c>
      <c r="I777" s="50">
        <f>SUMIFS(INDEX(Техника!$F$1:$ABM$500,I$2,0),Техника!$F$4:$ABM$4,"Часы",INDEX(Техника!$G$1:$ABN$500,I$2,0),$A$774,INDEX(Техника!$H$1:$ABO$500,I$2,0),"П")</f>
        <v>0</v>
      </c>
      <c r="J777" s="50">
        <f>SUMIFS(INDEX(Техника!$F$1:$ABM$500,J$2,0),Техника!$F$4:$ABM$4,"Часы",INDEX(Техника!$G$1:$ABN$500,J$2,0),$A$774,INDEX(Техника!$H$1:$ABO$500,J$2,0),"П")</f>
        <v>0</v>
      </c>
      <c r="K777" s="50">
        <f>SUMIFS(INDEX(Техника!$F$1:$ABM$500,K$2,0),Техника!$F$4:$ABM$4,"Часы",INDEX(Техника!$G$1:$ABN$500,K$2,0),$A$774,INDEX(Техника!$H$1:$ABO$500,K$2,0),"П")</f>
        <v>0</v>
      </c>
      <c r="L777" s="50">
        <f>SUMIFS(INDEX(Техника!$F$1:$ABM$500,L$2,0),Техника!$F$4:$ABM$4,"Часы",INDEX(Техника!$G$1:$ABN$500,L$2,0),$A$774,INDEX(Техника!$H$1:$ABO$500,L$2,0),"П")</f>
        <v>0</v>
      </c>
      <c r="M777" s="50">
        <f>SUMIFS(INDEX(Техника!$F$1:$ABM$500,M$2,0),Техника!$F$4:$ABM$4,"Часы",INDEX(Техника!$G$1:$ABN$500,M$2,0),$A$774,INDEX(Техника!$H$1:$ABO$500,M$2,0),"П")</f>
        <v>0</v>
      </c>
      <c r="N777" s="50">
        <f>SUMIFS(INDEX(Техника!$F$1:$ABM$500,N$2,0),Техника!$F$4:$ABM$4,"Часы",INDEX(Техника!$G$1:$ABN$500,N$2,0),$A$774,INDEX(Техника!$H$1:$ABO$500,N$2,0),"П")</f>
        <v>0</v>
      </c>
      <c r="O777" s="50">
        <f>SUMIFS(INDEX(Техника!$F$1:$ABM$500,O$2,0),Техника!$F$4:$ABM$4,"Часы",INDEX(Техника!$G$1:$ABN$500,O$2,0),$A$774,INDEX(Техника!$H$1:$ABO$500,O$2,0),"П")</f>
        <v>0</v>
      </c>
      <c r="P777" s="50">
        <f>SUMIFS(INDEX(Техника!$F$1:$ABM$500,P$2,0),Техника!$F$4:$ABM$4,"Часы",INDEX(Техника!$G$1:$ABN$500,P$2,0),$A$774,INDEX(Техника!$H$1:$ABO$500,P$2,0),"П")</f>
        <v>0</v>
      </c>
      <c r="Q777" s="50">
        <f>SUMIFS(INDEX(Техника!$F$1:$ABM$500,Q$2,0),Техника!$F$4:$ABM$4,"Часы",INDEX(Техника!$G$1:$ABN$500,Q$2,0),$A$774,INDEX(Техника!$H$1:$ABO$500,Q$2,0),"П")</f>
        <v>0</v>
      </c>
      <c r="R777" s="50">
        <f>SUMIFS(INDEX(Техника!$F$1:$ABM$500,R$2,0),Техника!$F$4:$ABM$4,"Часы",INDEX(Техника!$G$1:$ABN$500,R$2,0),$A$774,INDEX(Техника!$H$1:$ABO$500,R$2,0),"П")</f>
        <v>0</v>
      </c>
      <c r="S777" s="50">
        <f>SUMIFS(INDEX(Техника!$F$1:$ABM$500,S$2,0),Техника!$F$4:$ABM$4,"Часы",INDEX(Техника!$G$1:$ABN$500,S$2,0),$A$774,INDEX(Техника!$H$1:$ABO$500,S$2,0),"П")</f>
        <v>0</v>
      </c>
      <c r="T777" s="50">
        <f>SUMIFS(INDEX(Техника!$F$1:$ABM$500,T$2,0),Техника!$F$4:$ABM$4,"Часы",INDEX(Техника!$G$1:$ABN$500,T$2,0),$A$774,INDEX(Техника!$H$1:$ABO$500,T$2,0),"П")</f>
        <v>0</v>
      </c>
      <c r="U777" s="50">
        <f>SUMIFS(INDEX(Техника!$F$1:$ABM$500,U$2,0),Техника!$F$4:$ABM$4,"Часы",INDEX(Техника!$G$1:$ABN$500,U$2,0),$A$774,INDEX(Техника!$H$1:$ABO$500,U$2,0),"П")</f>
        <v>0</v>
      </c>
      <c r="V777" s="50">
        <f>SUMIFS(INDEX(Техника!$F$1:$ABM$500,V$2,0),Техника!$F$4:$ABM$4,"Часы",INDEX(Техника!$G$1:$ABN$500,V$2,0),$A$774,INDEX(Техника!$H$1:$ABO$500,V$2,0),"П")</f>
        <v>0</v>
      </c>
      <c r="W777" s="50">
        <f>SUMIFS(INDEX(Техника!$F$1:$ABM$500,W$2,0),Техника!$F$4:$ABM$4,"Часы",INDEX(Техника!$G$1:$ABN$500,W$2,0),$A$774,INDEX(Техника!$H$1:$ABO$500,W$2,0),"П")</f>
        <v>0</v>
      </c>
      <c r="X777" s="50">
        <f>SUMIFS(INDEX(Техника!$F$1:$ABM$500,X$2,0),Техника!$F$4:$ABM$4,"Часы",INDEX(Техника!$G$1:$ABN$500,X$2,0),$A$774,INDEX(Техника!$H$1:$ABO$500,X$2,0),"П")</f>
        <v>0</v>
      </c>
      <c r="Y777" s="50">
        <f>SUMIFS(INDEX(Техника!$F$1:$ABM$500,Y$2,0),Техника!$F$4:$ABM$4,"Часы",INDEX(Техника!$G$1:$ABN$500,Y$2,0),$A$774,INDEX(Техника!$H$1:$ABO$500,Y$2,0),"П")</f>
        <v>0</v>
      </c>
      <c r="Z777" s="50">
        <f>SUMIFS(INDEX(Техника!$F$1:$ABM$500,Z$2,0),Техника!$F$4:$ABM$4,"Часы",INDEX(Техника!$G$1:$ABN$500,Z$2,0),$A$774,INDEX(Техника!$H$1:$ABO$500,Z$2,0),"П")</f>
        <v>0</v>
      </c>
      <c r="AA777" s="50">
        <f>SUMIFS(INDEX(Техника!$F$1:$ABM$500,AA$2,0),Техника!$F$4:$ABM$4,"Часы",INDEX(Техника!$G$1:$ABN$500,AA$2,0),$A$774,INDEX(Техника!$H$1:$ABO$500,AA$2,0),"П")</f>
        <v>0</v>
      </c>
      <c r="AB777" s="50">
        <f>SUMIFS(INDEX(Техника!$F$1:$ABM$500,AB$2,0),Техника!$F$4:$ABM$4,"Часы",INDEX(Техника!$G$1:$ABN$500,AB$2,0),$A$774,INDEX(Техника!$H$1:$ABO$500,AB$2,0),"П")</f>
        <v>0</v>
      </c>
    </row>
    <row r="778" spans="1:28" hidden="1" outlineLevel="1" x14ac:dyDescent="0.3">
      <c r="A778" s="33" t="s">
        <v>243</v>
      </c>
      <c r="B778" s="34" t="s">
        <v>278</v>
      </c>
      <c r="C778" s="50">
        <f>SUMIFS(INDEX(Техника!$F$1:$ABM$500,C$2,0),Техника!$F$4:$ABM$4,"Часы",INDEX(Техника!$G$1:$ABN$500,C$2,0),$A$774,INDEX(Техника!$H$1:$ABO$500,C$2,0),"Л")</f>
        <v>0</v>
      </c>
      <c r="D778" s="50">
        <f>SUMIFS(INDEX(Техника!$F$1:$ABM$500,D$2,0),Техника!$F$4:$ABM$4,"Часы",INDEX(Техника!$G$1:$ABN$500,D$2,0),$A$774,INDEX(Техника!$H$1:$ABO$500,D$2,0),"Л")</f>
        <v>0</v>
      </c>
      <c r="E778" s="50">
        <f>SUMIFS(INDEX(Техника!$F$1:$ABM$500,E$2,0),Техника!$F$4:$ABM$4,"Часы",INDEX(Техника!$G$1:$ABN$500,E$2,0),$A$774,INDEX(Техника!$H$1:$ABO$500,E$2,0),"Л")</f>
        <v>0</v>
      </c>
      <c r="F778" s="50">
        <f>SUMIFS(INDEX(Техника!$F$1:$ABM$500,F$2,0),Техника!$F$4:$ABM$4,"Часы",INDEX(Техника!$G$1:$ABN$500,F$2,0),$A$774,INDEX(Техника!$H$1:$ABO$500,F$2,0),"Л")</f>
        <v>0</v>
      </c>
      <c r="G778" s="50">
        <f>SUMIFS(INDEX(Техника!$F$1:$ABM$500,G$2,0),Техника!$F$4:$ABM$4,"Часы",INDEX(Техника!$G$1:$ABN$500,G$2,0),$A$774,INDEX(Техника!$H$1:$ABO$500,G$2,0),"Л")</f>
        <v>0</v>
      </c>
      <c r="H778" s="50">
        <f>SUMIFS(INDEX(Техника!$F$1:$ABM$500,H$2,0),Техника!$F$4:$ABM$4,"Часы",INDEX(Техника!$G$1:$ABN$500,H$2,0),$A$774,INDEX(Техника!$H$1:$ABO$500,H$2,0),"Л")</f>
        <v>0</v>
      </c>
      <c r="I778" s="50">
        <f>SUMIFS(INDEX(Техника!$F$1:$ABM$500,I$2,0),Техника!$F$4:$ABM$4,"Часы",INDEX(Техника!$G$1:$ABN$500,I$2,0),$A$774,INDEX(Техника!$H$1:$ABO$500,I$2,0),"Л")</f>
        <v>0</v>
      </c>
      <c r="J778" s="50">
        <f>SUMIFS(INDEX(Техника!$F$1:$ABM$500,J$2,0),Техника!$F$4:$ABM$4,"Часы",INDEX(Техника!$G$1:$ABN$500,J$2,0),$A$774,INDEX(Техника!$H$1:$ABO$500,J$2,0),"Л")</f>
        <v>0</v>
      </c>
      <c r="K778" s="50">
        <f>SUMIFS(INDEX(Техника!$F$1:$ABM$500,K$2,0),Техника!$F$4:$ABM$4,"Часы",INDEX(Техника!$G$1:$ABN$500,K$2,0),$A$774,INDEX(Техника!$H$1:$ABO$500,K$2,0),"Л")</f>
        <v>0</v>
      </c>
      <c r="L778" s="50">
        <f>SUMIFS(INDEX(Техника!$F$1:$ABM$500,L$2,0),Техника!$F$4:$ABM$4,"Часы",INDEX(Техника!$G$1:$ABN$500,L$2,0),$A$774,INDEX(Техника!$H$1:$ABO$500,L$2,0),"Л")</f>
        <v>0</v>
      </c>
      <c r="M778" s="50">
        <f>SUMIFS(INDEX(Техника!$F$1:$ABM$500,M$2,0),Техника!$F$4:$ABM$4,"Часы",INDEX(Техника!$G$1:$ABN$500,M$2,0),$A$774,INDEX(Техника!$H$1:$ABO$500,M$2,0),"Л")</f>
        <v>0</v>
      </c>
      <c r="N778" s="50">
        <f>SUMIFS(INDEX(Техника!$F$1:$ABM$500,N$2,0),Техника!$F$4:$ABM$4,"Часы",INDEX(Техника!$G$1:$ABN$500,N$2,0),$A$774,INDEX(Техника!$H$1:$ABO$500,N$2,0),"Л")</f>
        <v>0</v>
      </c>
      <c r="O778" s="50">
        <f>SUMIFS(INDEX(Техника!$F$1:$ABM$500,O$2,0),Техника!$F$4:$ABM$4,"Часы",INDEX(Техника!$G$1:$ABN$500,O$2,0),$A$774,INDEX(Техника!$H$1:$ABO$500,O$2,0),"Л")</f>
        <v>0</v>
      </c>
      <c r="P778" s="50">
        <f>SUMIFS(INDEX(Техника!$F$1:$ABM$500,P$2,0),Техника!$F$4:$ABM$4,"Часы",INDEX(Техника!$G$1:$ABN$500,P$2,0),$A$774,INDEX(Техника!$H$1:$ABO$500,P$2,0),"Л")</f>
        <v>0</v>
      </c>
      <c r="Q778" s="50">
        <f>SUMIFS(INDEX(Техника!$F$1:$ABM$500,Q$2,0),Техника!$F$4:$ABM$4,"Часы",INDEX(Техника!$G$1:$ABN$500,Q$2,0),$A$774,INDEX(Техника!$H$1:$ABO$500,Q$2,0),"Л")</f>
        <v>0</v>
      </c>
      <c r="R778" s="50">
        <f>SUMIFS(INDEX(Техника!$F$1:$ABM$500,R$2,0),Техника!$F$4:$ABM$4,"Часы",INDEX(Техника!$G$1:$ABN$500,R$2,0),$A$774,INDEX(Техника!$H$1:$ABO$500,R$2,0),"Л")</f>
        <v>0</v>
      </c>
      <c r="S778" s="50">
        <f>SUMIFS(INDEX(Техника!$F$1:$ABM$500,S$2,0),Техника!$F$4:$ABM$4,"Часы",INDEX(Техника!$G$1:$ABN$500,S$2,0),$A$774,INDEX(Техника!$H$1:$ABO$500,S$2,0),"Л")</f>
        <v>0</v>
      </c>
      <c r="T778" s="50">
        <f>SUMIFS(INDEX(Техника!$F$1:$ABM$500,T$2,0),Техника!$F$4:$ABM$4,"Часы",INDEX(Техника!$G$1:$ABN$500,T$2,0),$A$774,INDEX(Техника!$H$1:$ABO$500,T$2,0),"Л")</f>
        <v>0</v>
      </c>
      <c r="U778" s="50">
        <f>SUMIFS(INDEX(Техника!$F$1:$ABM$500,U$2,0),Техника!$F$4:$ABM$4,"Часы",INDEX(Техника!$G$1:$ABN$500,U$2,0),$A$774,INDEX(Техника!$H$1:$ABO$500,U$2,0),"Л")</f>
        <v>0</v>
      </c>
      <c r="V778" s="50">
        <f>SUMIFS(INDEX(Техника!$F$1:$ABM$500,V$2,0),Техника!$F$4:$ABM$4,"Часы",INDEX(Техника!$G$1:$ABN$500,V$2,0),$A$774,INDEX(Техника!$H$1:$ABO$500,V$2,0),"Л")</f>
        <v>0</v>
      </c>
      <c r="W778" s="50">
        <f>SUMIFS(INDEX(Техника!$F$1:$ABM$500,W$2,0),Техника!$F$4:$ABM$4,"Часы",INDEX(Техника!$G$1:$ABN$500,W$2,0),$A$774,INDEX(Техника!$H$1:$ABO$500,W$2,0),"Л")</f>
        <v>0</v>
      </c>
      <c r="X778" s="50">
        <f>SUMIFS(INDEX(Техника!$F$1:$ABM$500,X$2,0),Техника!$F$4:$ABM$4,"Часы",INDEX(Техника!$G$1:$ABN$500,X$2,0),$A$774,INDEX(Техника!$H$1:$ABO$500,X$2,0),"Л")</f>
        <v>0</v>
      </c>
      <c r="Y778" s="50">
        <f>SUMIFS(INDEX(Техника!$F$1:$ABM$500,Y$2,0),Техника!$F$4:$ABM$4,"Часы",INDEX(Техника!$G$1:$ABN$500,Y$2,0),$A$774,INDEX(Техника!$H$1:$ABO$500,Y$2,0),"Л")</f>
        <v>0</v>
      </c>
      <c r="Z778" s="50">
        <f>SUMIFS(INDEX(Техника!$F$1:$ABM$500,Z$2,0),Техника!$F$4:$ABM$4,"Часы",INDEX(Техника!$G$1:$ABN$500,Z$2,0),$A$774,INDEX(Техника!$H$1:$ABO$500,Z$2,0),"Л")</f>
        <v>0</v>
      </c>
      <c r="AA778" s="50">
        <f>SUMIFS(INDEX(Техника!$F$1:$ABM$500,AA$2,0),Техника!$F$4:$ABM$4,"Часы",INDEX(Техника!$G$1:$ABN$500,AA$2,0),$A$774,INDEX(Техника!$H$1:$ABO$500,AA$2,0),"Л")</f>
        <v>0</v>
      </c>
      <c r="AB778" s="50">
        <f>SUMIFS(INDEX(Техника!$F$1:$ABM$500,AB$2,0),Техника!$F$4:$ABM$4,"Часы",INDEX(Техника!$G$1:$ABN$500,AB$2,0),$A$774,INDEX(Техника!$H$1:$ABO$500,AB$2,0),"Л")</f>
        <v>0</v>
      </c>
    </row>
    <row r="779" spans="1:28" hidden="1" outlineLevel="1" x14ac:dyDescent="0.3">
      <c r="A779" s="33" t="s">
        <v>245</v>
      </c>
      <c r="B779" s="34" t="s">
        <v>279</v>
      </c>
      <c r="C779" s="50">
        <f>SUMIFS(INDEX(Техника!$F$1:$ABM$500,C$2,0),Техника!$F$4:$ABM$4,"Часы",INDEX(Техника!$G$1:$ABN$500,C$2,0),$A$774,INDEX(Техника!$H$1:$ABO$500,C$2,0),"З")</f>
        <v>0</v>
      </c>
      <c r="D779" s="50">
        <f>SUMIFS(INDEX(Техника!$F$1:$ABM$500,D$2,0),Техника!$F$4:$ABM$4,"Часы",INDEX(Техника!$G$1:$ABN$500,D$2,0),$A$774,INDEX(Техника!$H$1:$ABO$500,D$2,0),"З")</f>
        <v>0</v>
      </c>
      <c r="E779" s="50">
        <f>SUMIFS(INDEX(Техника!$F$1:$ABM$500,E$2,0),Техника!$F$4:$ABM$4,"Часы",INDEX(Техника!$G$1:$ABN$500,E$2,0),$A$774,INDEX(Техника!$H$1:$ABO$500,E$2,0),"З")</f>
        <v>0</v>
      </c>
      <c r="F779" s="50">
        <f>SUMIFS(INDEX(Техника!$F$1:$ABM$500,F$2,0),Техника!$F$4:$ABM$4,"Часы",INDEX(Техника!$G$1:$ABN$500,F$2,0),$A$774,INDEX(Техника!$H$1:$ABO$500,F$2,0),"З")</f>
        <v>0</v>
      </c>
      <c r="G779" s="50">
        <f>SUMIFS(INDEX(Техника!$F$1:$ABM$500,G$2,0),Техника!$F$4:$ABM$4,"Часы",INDEX(Техника!$G$1:$ABN$500,G$2,0),$A$774,INDEX(Техника!$H$1:$ABO$500,G$2,0),"З")</f>
        <v>0</v>
      </c>
      <c r="H779" s="50">
        <f>SUMIFS(INDEX(Техника!$F$1:$ABM$500,H$2,0),Техника!$F$4:$ABM$4,"Часы",INDEX(Техника!$G$1:$ABN$500,H$2,0),$A$774,INDEX(Техника!$H$1:$ABO$500,H$2,0),"З")</f>
        <v>0</v>
      </c>
      <c r="I779" s="50">
        <f>SUMIFS(INDEX(Техника!$F$1:$ABM$500,I$2,0),Техника!$F$4:$ABM$4,"Часы",INDEX(Техника!$G$1:$ABN$500,I$2,0),$A$774,INDEX(Техника!$H$1:$ABO$500,I$2,0),"З")</f>
        <v>0</v>
      </c>
      <c r="J779" s="50">
        <f>SUMIFS(INDEX(Техника!$F$1:$ABM$500,J$2,0),Техника!$F$4:$ABM$4,"Часы",INDEX(Техника!$G$1:$ABN$500,J$2,0),$A$774,INDEX(Техника!$H$1:$ABO$500,J$2,0),"З")</f>
        <v>0</v>
      </c>
      <c r="K779" s="50">
        <f>SUMIFS(INDEX(Техника!$F$1:$ABM$500,K$2,0),Техника!$F$4:$ABM$4,"Часы",INDEX(Техника!$G$1:$ABN$500,K$2,0),$A$774,INDEX(Техника!$H$1:$ABO$500,K$2,0),"З")</f>
        <v>0</v>
      </c>
      <c r="L779" s="50">
        <f>SUMIFS(INDEX(Техника!$F$1:$ABM$500,L$2,0),Техника!$F$4:$ABM$4,"Часы",INDEX(Техника!$G$1:$ABN$500,L$2,0),$A$774,INDEX(Техника!$H$1:$ABO$500,L$2,0),"З")</f>
        <v>0</v>
      </c>
      <c r="M779" s="50">
        <f>SUMIFS(INDEX(Техника!$F$1:$ABM$500,M$2,0),Техника!$F$4:$ABM$4,"Часы",INDEX(Техника!$G$1:$ABN$500,M$2,0),$A$774,INDEX(Техника!$H$1:$ABO$500,M$2,0),"З")</f>
        <v>0</v>
      </c>
      <c r="N779" s="50">
        <f>SUMIFS(INDEX(Техника!$F$1:$ABM$500,N$2,0),Техника!$F$4:$ABM$4,"Часы",INDEX(Техника!$G$1:$ABN$500,N$2,0),$A$774,INDEX(Техника!$H$1:$ABO$500,N$2,0),"З")</f>
        <v>0</v>
      </c>
      <c r="O779" s="50">
        <f>SUMIFS(INDEX(Техника!$F$1:$ABM$500,O$2,0),Техника!$F$4:$ABM$4,"Часы",INDEX(Техника!$G$1:$ABN$500,O$2,0),$A$774,INDEX(Техника!$H$1:$ABO$500,O$2,0),"З")</f>
        <v>0</v>
      </c>
      <c r="P779" s="50">
        <f>SUMIFS(INDEX(Техника!$F$1:$ABM$500,P$2,0),Техника!$F$4:$ABM$4,"Часы",INDEX(Техника!$G$1:$ABN$500,P$2,0),$A$774,INDEX(Техника!$H$1:$ABO$500,P$2,0),"З")</f>
        <v>0</v>
      </c>
      <c r="Q779" s="50">
        <f>SUMIFS(INDEX(Техника!$F$1:$ABM$500,Q$2,0),Техника!$F$4:$ABM$4,"Часы",INDEX(Техника!$G$1:$ABN$500,Q$2,0),$A$774,INDEX(Техника!$H$1:$ABO$500,Q$2,0),"З")</f>
        <v>0</v>
      </c>
      <c r="R779" s="50">
        <f>SUMIFS(INDEX(Техника!$F$1:$ABM$500,R$2,0),Техника!$F$4:$ABM$4,"Часы",INDEX(Техника!$G$1:$ABN$500,R$2,0),$A$774,INDEX(Техника!$H$1:$ABO$500,R$2,0),"З")</f>
        <v>0</v>
      </c>
      <c r="S779" s="50">
        <f>SUMIFS(INDEX(Техника!$F$1:$ABM$500,S$2,0),Техника!$F$4:$ABM$4,"Часы",INDEX(Техника!$G$1:$ABN$500,S$2,0),$A$774,INDEX(Техника!$H$1:$ABO$500,S$2,0),"З")</f>
        <v>0</v>
      </c>
      <c r="T779" s="50">
        <f>SUMIFS(INDEX(Техника!$F$1:$ABM$500,T$2,0),Техника!$F$4:$ABM$4,"Часы",INDEX(Техника!$G$1:$ABN$500,T$2,0),$A$774,INDEX(Техника!$H$1:$ABO$500,T$2,0),"З")</f>
        <v>0</v>
      </c>
      <c r="U779" s="50">
        <f>SUMIFS(INDEX(Техника!$F$1:$ABM$500,U$2,0),Техника!$F$4:$ABM$4,"Часы",INDEX(Техника!$G$1:$ABN$500,U$2,0),$A$774,INDEX(Техника!$H$1:$ABO$500,U$2,0),"З")</f>
        <v>0</v>
      </c>
      <c r="V779" s="50">
        <f>SUMIFS(INDEX(Техника!$F$1:$ABM$500,V$2,0),Техника!$F$4:$ABM$4,"Часы",INDEX(Техника!$G$1:$ABN$500,V$2,0),$A$774,INDEX(Техника!$H$1:$ABO$500,V$2,0),"З")</f>
        <v>0</v>
      </c>
      <c r="W779" s="50">
        <f>SUMIFS(INDEX(Техника!$F$1:$ABM$500,W$2,0),Техника!$F$4:$ABM$4,"Часы",INDEX(Техника!$G$1:$ABN$500,W$2,0),$A$774,INDEX(Техника!$H$1:$ABO$500,W$2,0),"З")</f>
        <v>0</v>
      </c>
      <c r="X779" s="50">
        <f>SUMIFS(INDEX(Техника!$F$1:$ABM$500,X$2,0),Техника!$F$4:$ABM$4,"Часы",INDEX(Техника!$G$1:$ABN$500,X$2,0),$A$774,INDEX(Техника!$H$1:$ABO$500,X$2,0),"З")</f>
        <v>0</v>
      </c>
      <c r="Y779" s="50">
        <f>SUMIFS(INDEX(Техника!$F$1:$ABM$500,Y$2,0),Техника!$F$4:$ABM$4,"Часы",INDEX(Техника!$G$1:$ABN$500,Y$2,0),$A$774,INDEX(Техника!$H$1:$ABO$500,Y$2,0),"З")</f>
        <v>0</v>
      </c>
      <c r="Z779" s="50">
        <f>SUMIFS(INDEX(Техника!$F$1:$ABM$500,Z$2,0),Техника!$F$4:$ABM$4,"Часы",INDEX(Техника!$G$1:$ABN$500,Z$2,0),$A$774,INDEX(Техника!$H$1:$ABO$500,Z$2,0),"З")</f>
        <v>0</v>
      </c>
      <c r="AA779" s="50">
        <f>SUMIFS(INDEX(Техника!$F$1:$ABM$500,AA$2,0),Техника!$F$4:$ABM$4,"Часы",INDEX(Техника!$G$1:$ABN$500,AA$2,0),$A$774,INDEX(Техника!$H$1:$ABO$500,AA$2,0),"З")</f>
        <v>0</v>
      </c>
      <c r="AB779" s="50">
        <f>SUMIFS(INDEX(Техника!$F$1:$ABM$500,AB$2,0),Техника!$F$4:$ABM$4,"Часы",INDEX(Техника!$G$1:$ABN$500,AB$2,0),$A$774,INDEX(Техника!$H$1:$ABO$500,AB$2,0),"З")</f>
        <v>0</v>
      </c>
    </row>
    <row r="780" spans="1:28" ht="7.95" customHeight="1" x14ac:dyDescent="0.3">
      <c r="A780" s="38"/>
      <c r="B780" s="39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</row>
    <row r="781" spans="1:28" ht="25.05" customHeight="1" collapsed="1" x14ac:dyDescent="0.3">
      <c r="A781" s="32">
        <v>112</v>
      </c>
      <c r="B781" s="32" t="s">
        <v>113</v>
      </c>
      <c r="C781" s="49">
        <f>SUM(C782:C786)</f>
        <v>0</v>
      </c>
      <c r="D781" s="49">
        <f>SUM(D782:D786)</f>
        <v>0</v>
      </c>
      <c r="E781" s="49">
        <f>SUM(E782:E786)</f>
        <v>0</v>
      </c>
      <c r="F781" s="49">
        <f>SUM(F782:F786)</f>
        <v>0</v>
      </c>
      <c r="G781" s="49">
        <f>SUM(G782:G786)</f>
        <v>0</v>
      </c>
      <c r="H781" s="49">
        <f>SUM(H782:H786)</f>
        <v>0</v>
      </c>
      <c r="I781" s="49">
        <f>SUM(I782:I786)</f>
        <v>0</v>
      </c>
      <c r="J781" s="49">
        <f>SUM(J782:J786)</f>
        <v>0</v>
      </c>
      <c r="K781" s="49">
        <f>SUM(K782:K786)</f>
        <v>0</v>
      </c>
      <c r="L781" s="49">
        <f>SUM(L782:L786)</f>
        <v>0</v>
      </c>
      <c r="M781" s="49">
        <f>SUM(M782:M786)</f>
        <v>0</v>
      </c>
      <c r="N781" s="49">
        <f>SUM(N782:N786)</f>
        <v>0</v>
      </c>
      <c r="O781" s="49">
        <f>SUM(O782:O786)</f>
        <v>0</v>
      </c>
      <c r="P781" s="49">
        <f>SUM(P782:P786)</f>
        <v>0</v>
      </c>
      <c r="Q781" s="49">
        <f>SUM(Q782:Q786)</f>
        <v>0</v>
      </c>
      <c r="R781" s="49">
        <f>SUM(R782:R786)</f>
        <v>0</v>
      </c>
      <c r="S781" s="49">
        <f>SUM(S782:S786)</f>
        <v>0</v>
      </c>
      <c r="T781" s="49">
        <f>SUM(T782:T786)</f>
        <v>0</v>
      </c>
      <c r="U781" s="49">
        <f>SUM(U782:U786)</f>
        <v>0</v>
      </c>
      <c r="V781" s="49">
        <f>SUM(V782:V786)</f>
        <v>0</v>
      </c>
      <c r="W781" s="49">
        <f>SUM(W782:W786)</f>
        <v>0</v>
      </c>
      <c r="X781" s="49">
        <f>SUM(X782:X786)</f>
        <v>0</v>
      </c>
      <c r="Y781" s="49">
        <f>SUM(Y782:Y786)</f>
        <v>0</v>
      </c>
      <c r="Z781" s="49">
        <f>SUM(Z782:Z786)</f>
        <v>0</v>
      </c>
      <c r="AA781" s="49">
        <f>SUM(AA782:AA786)</f>
        <v>0</v>
      </c>
      <c r="AB781" s="49">
        <f>SUM(AB782:AB786)</f>
        <v>0</v>
      </c>
    </row>
    <row r="782" spans="1:28" hidden="1" outlineLevel="1" x14ac:dyDescent="0.3">
      <c r="A782" s="33" t="s">
        <v>246</v>
      </c>
      <c r="B782" s="34" t="s">
        <v>274</v>
      </c>
      <c r="C782" s="50">
        <f>SUMIFS(INDEX(Техника!$F$1:$ABM$500,C$2,0),Техника!$F$4:$ABM$4,"Часы",INDEX(Техника!$G$1:$ABN$500,C$2,0),$A$781,INDEX(Техника!$H$1:$ABO$500,C$2,0),"М")</f>
        <v>0</v>
      </c>
      <c r="D782" s="50">
        <f>SUMIFS(INDEX(Техника!$F$1:$ABM$500,D$2,0),Техника!$F$4:$ABM$4,"Часы",INDEX(Техника!$G$1:$ABN$500,D$2,0),$A$781,INDEX(Техника!$H$1:$ABO$500,D$2,0),"М")</f>
        <v>0</v>
      </c>
      <c r="E782" s="50">
        <f>SUMIFS(INDEX(Техника!$F$1:$ABM$500,E$2,0),Техника!$F$4:$ABM$4,"Часы",INDEX(Техника!$G$1:$ABN$500,E$2,0),$A$781,INDEX(Техника!$H$1:$ABO$500,E$2,0),"М")</f>
        <v>0</v>
      </c>
      <c r="F782" s="50">
        <f>SUMIFS(INDEX(Техника!$F$1:$ABM$500,F$2,0),Техника!$F$4:$ABM$4,"Часы",INDEX(Техника!$G$1:$ABN$500,F$2,0),$A$781,INDEX(Техника!$H$1:$ABO$500,F$2,0),"М")</f>
        <v>0</v>
      </c>
      <c r="G782" s="50">
        <f>SUMIFS(INDEX(Техника!$F$1:$ABM$500,G$2,0),Техника!$F$4:$ABM$4,"Часы",INDEX(Техника!$G$1:$ABN$500,G$2,0),$A$781,INDEX(Техника!$H$1:$ABO$500,G$2,0),"М")</f>
        <v>0</v>
      </c>
      <c r="H782" s="50">
        <f>SUMIFS(INDEX(Техника!$F$1:$ABM$500,H$2,0),Техника!$F$4:$ABM$4,"Часы",INDEX(Техника!$G$1:$ABN$500,H$2,0),$A$781,INDEX(Техника!$H$1:$ABO$500,H$2,0),"М")</f>
        <v>0</v>
      </c>
      <c r="I782" s="50">
        <f>SUMIFS(INDEX(Техника!$F$1:$ABM$500,I$2,0),Техника!$F$4:$ABM$4,"Часы",INDEX(Техника!$G$1:$ABN$500,I$2,0),$A$781,INDEX(Техника!$H$1:$ABO$500,I$2,0),"М")</f>
        <v>0</v>
      </c>
      <c r="J782" s="50">
        <f>SUMIFS(INDEX(Техника!$F$1:$ABM$500,J$2,0),Техника!$F$4:$ABM$4,"Часы",INDEX(Техника!$G$1:$ABN$500,J$2,0),$A$781,INDEX(Техника!$H$1:$ABO$500,J$2,0),"М")</f>
        <v>0</v>
      </c>
      <c r="K782" s="50">
        <f>SUMIFS(INDEX(Техника!$F$1:$ABM$500,K$2,0),Техника!$F$4:$ABM$4,"Часы",INDEX(Техника!$G$1:$ABN$500,K$2,0),$A$781,INDEX(Техника!$H$1:$ABO$500,K$2,0),"М")</f>
        <v>0</v>
      </c>
      <c r="L782" s="50">
        <f>SUMIFS(INDEX(Техника!$F$1:$ABM$500,L$2,0),Техника!$F$4:$ABM$4,"Часы",INDEX(Техника!$G$1:$ABN$500,L$2,0),$A$781,INDEX(Техника!$H$1:$ABO$500,L$2,0),"М")</f>
        <v>0</v>
      </c>
      <c r="M782" s="50">
        <f>SUMIFS(INDEX(Техника!$F$1:$ABM$500,M$2,0),Техника!$F$4:$ABM$4,"Часы",INDEX(Техника!$G$1:$ABN$500,M$2,0),$A$781,INDEX(Техника!$H$1:$ABO$500,M$2,0),"М")</f>
        <v>0</v>
      </c>
      <c r="N782" s="50">
        <f>SUMIFS(INDEX(Техника!$F$1:$ABM$500,N$2,0),Техника!$F$4:$ABM$4,"Часы",INDEX(Техника!$G$1:$ABN$500,N$2,0),$A$781,INDEX(Техника!$H$1:$ABO$500,N$2,0),"М")</f>
        <v>0</v>
      </c>
      <c r="O782" s="50">
        <f>SUMIFS(INDEX(Техника!$F$1:$ABM$500,O$2,0),Техника!$F$4:$ABM$4,"Часы",INDEX(Техника!$G$1:$ABN$500,O$2,0),$A$781,INDEX(Техника!$H$1:$ABO$500,O$2,0),"М")</f>
        <v>0</v>
      </c>
      <c r="P782" s="50">
        <f>SUMIFS(INDEX(Техника!$F$1:$ABM$500,P$2,0),Техника!$F$4:$ABM$4,"Часы",INDEX(Техника!$G$1:$ABN$500,P$2,0),$A$781,INDEX(Техника!$H$1:$ABO$500,P$2,0),"М")</f>
        <v>0</v>
      </c>
      <c r="Q782" s="50">
        <f>SUMIFS(INDEX(Техника!$F$1:$ABM$500,Q$2,0),Техника!$F$4:$ABM$4,"Часы",INDEX(Техника!$G$1:$ABN$500,Q$2,0),$A$781,INDEX(Техника!$H$1:$ABO$500,Q$2,0),"М")</f>
        <v>0</v>
      </c>
      <c r="R782" s="50">
        <f>SUMIFS(INDEX(Техника!$F$1:$ABM$500,R$2,0),Техника!$F$4:$ABM$4,"Часы",INDEX(Техника!$G$1:$ABN$500,R$2,0),$A$781,INDEX(Техника!$H$1:$ABO$500,R$2,0),"М")</f>
        <v>0</v>
      </c>
      <c r="S782" s="50">
        <f>SUMIFS(INDEX(Техника!$F$1:$ABM$500,S$2,0),Техника!$F$4:$ABM$4,"Часы",INDEX(Техника!$G$1:$ABN$500,S$2,0),$A$781,INDEX(Техника!$H$1:$ABO$500,S$2,0),"М")</f>
        <v>0</v>
      </c>
      <c r="T782" s="50">
        <f>SUMIFS(INDEX(Техника!$F$1:$ABM$500,T$2,0),Техника!$F$4:$ABM$4,"Часы",INDEX(Техника!$G$1:$ABN$500,T$2,0),$A$781,INDEX(Техника!$H$1:$ABO$500,T$2,0),"М")</f>
        <v>0</v>
      </c>
      <c r="U782" s="50">
        <f>SUMIFS(INDEX(Техника!$F$1:$ABM$500,U$2,0),Техника!$F$4:$ABM$4,"Часы",INDEX(Техника!$G$1:$ABN$500,U$2,0),$A$781,INDEX(Техника!$H$1:$ABO$500,U$2,0),"М")</f>
        <v>0</v>
      </c>
      <c r="V782" s="50">
        <f>SUMIFS(INDEX(Техника!$F$1:$ABM$500,V$2,0),Техника!$F$4:$ABM$4,"Часы",INDEX(Техника!$G$1:$ABN$500,V$2,0),$A$781,INDEX(Техника!$H$1:$ABO$500,V$2,0),"М")</f>
        <v>0</v>
      </c>
      <c r="W782" s="50">
        <f>SUMIFS(INDEX(Техника!$F$1:$ABM$500,W$2,0),Техника!$F$4:$ABM$4,"Часы",INDEX(Техника!$G$1:$ABN$500,W$2,0),$A$781,INDEX(Техника!$H$1:$ABO$500,W$2,0),"М")</f>
        <v>0</v>
      </c>
      <c r="X782" s="50">
        <f>SUMIFS(INDEX(Техника!$F$1:$ABM$500,X$2,0),Техника!$F$4:$ABM$4,"Часы",INDEX(Техника!$G$1:$ABN$500,X$2,0),$A$781,INDEX(Техника!$H$1:$ABO$500,X$2,0),"М")</f>
        <v>0</v>
      </c>
      <c r="Y782" s="50">
        <f>SUMIFS(INDEX(Техника!$F$1:$ABM$500,Y$2,0),Техника!$F$4:$ABM$4,"Часы",INDEX(Техника!$G$1:$ABN$500,Y$2,0),$A$781,INDEX(Техника!$H$1:$ABO$500,Y$2,0),"М")</f>
        <v>0</v>
      </c>
      <c r="Z782" s="50">
        <f>SUMIFS(INDEX(Техника!$F$1:$ABM$500,Z$2,0),Техника!$F$4:$ABM$4,"Часы",INDEX(Техника!$G$1:$ABN$500,Z$2,0),$A$781,INDEX(Техника!$H$1:$ABO$500,Z$2,0),"М")</f>
        <v>0</v>
      </c>
      <c r="AA782" s="50">
        <f>SUMIFS(INDEX(Техника!$F$1:$ABM$500,AA$2,0),Техника!$F$4:$ABM$4,"Часы",INDEX(Техника!$G$1:$ABN$500,AA$2,0),$A$781,INDEX(Техника!$H$1:$ABO$500,AA$2,0),"М")</f>
        <v>0</v>
      </c>
      <c r="AB782" s="50">
        <f>SUMIFS(INDEX(Техника!$F$1:$ABM$500,AB$2,0),Техника!$F$4:$ABM$4,"Часы",INDEX(Техника!$G$1:$ABN$500,AB$2,0),$A$781,INDEX(Техника!$H$1:$ABO$500,AB$2,0),"М")</f>
        <v>0</v>
      </c>
    </row>
    <row r="783" spans="1:28" hidden="1" outlineLevel="1" x14ac:dyDescent="0.3">
      <c r="A783" s="33" t="s">
        <v>244</v>
      </c>
      <c r="B783" s="34" t="s">
        <v>275</v>
      </c>
      <c r="C783" s="50">
        <f>SUMIFS(INDEX(Техника!$F$1:$ABM$500,C$2,0),Техника!$F$4:$ABM$4,"Часы",INDEX(Техника!$G$1:$ABN$500,C$2,0),$A$781,INDEX(Техника!$H$1:$ABO$500,C$2,0),"Д")</f>
        <v>0</v>
      </c>
      <c r="D783" s="50">
        <f>SUMIFS(INDEX(Техника!$F$1:$ABM$500,D$2,0),Техника!$F$4:$ABM$4,"Часы",INDEX(Техника!$G$1:$ABN$500,D$2,0),$A$781,INDEX(Техника!$H$1:$ABO$500,D$2,0),"Д")</f>
        <v>0</v>
      </c>
      <c r="E783" s="50">
        <f>SUMIFS(INDEX(Техника!$F$1:$ABM$500,E$2,0),Техника!$F$4:$ABM$4,"Часы",INDEX(Техника!$G$1:$ABN$500,E$2,0),$A$781,INDEX(Техника!$H$1:$ABO$500,E$2,0),"Д")</f>
        <v>0</v>
      </c>
      <c r="F783" s="50">
        <f>SUMIFS(INDEX(Техника!$F$1:$ABM$500,F$2,0),Техника!$F$4:$ABM$4,"Часы",INDEX(Техника!$G$1:$ABN$500,F$2,0),$A$781,INDEX(Техника!$H$1:$ABO$500,F$2,0),"Д")</f>
        <v>0</v>
      </c>
      <c r="G783" s="50">
        <f>SUMIFS(INDEX(Техника!$F$1:$ABM$500,G$2,0),Техника!$F$4:$ABM$4,"Часы",INDEX(Техника!$G$1:$ABN$500,G$2,0),$A$781,INDEX(Техника!$H$1:$ABO$500,G$2,0),"Д")</f>
        <v>0</v>
      </c>
      <c r="H783" s="50">
        <f>SUMIFS(INDEX(Техника!$F$1:$ABM$500,H$2,0),Техника!$F$4:$ABM$4,"Часы",INDEX(Техника!$G$1:$ABN$500,H$2,0),$A$781,INDEX(Техника!$H$1:$ABO$500,H$2,0),"Д")</f>
        <v>0</v>
      </c>
      <c r="I783" s="50">
        <f>SUMIFS(INDEX(Техника!$F$1:$ABM$500,I$2,0),Техника!$F$4:$ABM$4,"Часы",INDEX(Техника!$G$1:$ABN$500,I$2,0),$A$781,INDEX(Техника!$H$1:$ABO$500,I$2,0),"Д")</f>
        <v>0</v>
      </c>
      <c r="J783" s="50">
        <f>SUMIFS(INDEX(Техника!$F$1:$ABM$500,J$2,0),Техника!$F$4:$ABM$4,"Часы",INDEX(Техника!$G$1:$ABN$500,J$2,0),$A$781,INDEX(Техника!$H$1:$ABO$500,J$2,0),"Д")</f>
        <v>0</v>
      </c>
      <c r="K783" s="50">
        <f>SUMIFS(INDEX(Техника!$F$1:$ABM$500,K$2,0),Техника!$F$4:$ABM$4,"Часы",INDEX(Техника!$G$1:$ABN$500,K$2,0),$A$781,INDEX(Техника!$H$1:$ABO$500,K$2,0),"Д")</f>
        <v>0</v>
      </c>
      <c r="L783" s="50">
        <f>SUMIFS(INDEX(Техника!$F$1:$ABM$500,L$2,0),Техника!$F$4:$ABM$4,"Часы",INDEX(Техника!$G$1:$ABN$500,L$2,0),$A$781,INDEX(Техника!$H$1:$ABO$500,L$2,0),"Д")</f>
        <v>0</v>
      </c>
      <c r="M783" s="50">
        <f>SUMIFS(INDEX(Техника!$F$1:$ABM$500,M$2,0),Техника!$F$4:$ABM$4,"Часы",INDEX(Техника!$G$1:$ABN$500,M$2,0),$A$781,INDEX(Техника!$H$1:$ABO$500,M$2,0),"Д")</f>
        <v>0</v>
      </c>
      <c r="N783" s="50">
        <f>SUMIFS(INDEX(Техника!$F$1:$ABM$500,N$2,0),Техника!$F$4:$ABM$4,"Часы",INDEX(Техника!$G$1:$ABN$500,N$2,0),$A$781,INDEX(Техника!$H$1:$ABO$500,N$2,0),"Д")</f>
        <v>0</v>
      </c>
      <c r="O783" s="50">
        <f>SUMIFS(INDEX(Техника!$F$1:$ABM$500,O$2,0),Техника!$F$4:$ABM$4,"Часы",INDEX(Техника!$G$1:$ABN$500,O$2,0),$A$781,INDEX(Техника!$H$1:$ABO$500,O$2,0),"Д")</f>
        <v>0</v>
      </c>
      <c r="P783" s="50">
        <f>SUMIFS(INDEX(Техника!$F$1:$ABM$500,P$2,0),Техника!$F$4:$ABM$4,"Часы",INDEX(Техника!$G$1:$ABN$500,P$2,0),$A$781,INDEX(Техника!$H$1:$ABO$500,P$2,0),"Д")</f>
        <v>0</v>
      </c>
      <c r="Q783" s="50">
        <f>SUMIFS(INDEX(Техника!$F$1:$ABM$500,Q$2,0),Техника!$F$4:$ABM$4,"Часы",INDEX(Техника!$G$1:$ABN$500,Q$2,0),$A$781,INDEX(Техника!$H$1:$ABO$500,Q$2,0),"Д")</f>
        <v>0</v>
      </c>
      <c r="R783" s="50">
        <f>SUMIFS(INDEX(Техника!$F$1:$ABM$500,R$2,0),Техника!$F$4:$ABM$4,"Часы",INDEX(Техника!$G$1:$ABN$500,R$2,0),$A$781,INDEX(Техника!$H$1:$ABO$500,R$2,0),"Д")</f>
        <v>0</v>
      </c>
      <c r="S783" s="50">
        <f>SUMIFS(INDEX(Техника!$F$1:$ABM$500,S$2,0),Техника!$F$4:$ABM$4,"Часы",INDEX(Техника!$G$1:$ABN$500,S$2,0),$A$781,INDEX(Техника!$H$1:$ABO$500,S$2,0),"Д")</f>
        <v>0</v>
      </c>
      <c r="T783" s="50">
        <f>SUMIFS(INDEX(Техника!$F$1:$ABM$500,T$2,0),Техника!$F$4:$ABM$4,"Часы",INDEX(Техника!$G$1:$ABN$500,T$2,0),$A$781,INDEX(Техника!$H$1:$ABO$500,T$2,0),"Д")</f>
        <v>0</v>
      </c>
      <c r="U783" s="50">
        <f>SUMIFS(INDEX(Техника!$F$1:$ABM$500,U$2,0),Техника!$F$4:$ABM$4,"Часы",INDEX(Техника!$G$1:$ABN$500,U$2,0),$A$781,INDEX(Техника!$H$1:$ABO$500,U$2,0),"Д")</f>
        <v>0</v>
      </c>
      <c r="V783" s="50">
        <f>SUMIFS(INDEX(Техника!$F$1:$ABM$500,V$2,0),Техника!$F$4:$ABM$4,"Часы",INDEX(Техника!$G$1:$ABN$500,V$2,0),$A$781,INDEX(Техника!$H$1:$ABO$500,V$2,0),"Д")</f>
        <v>0</v>
      </c>
      <c r="W783" s="50">
        <f>SUMIFS(INDEX(Техника!$F$1:$ABM$500,W$2,0),Техника!$F$4:$ABM$4,"Часы",INDEX(Техника!$G$1:$ABN$500,W$2,0),$A$781,INDEX(Техника!$H$1:$ABO$500,W$2,0),"Д")</f>
        <v>0</v>
      </c>
      <c r="X783" s="50">
        <f>SUMIFS(INDEX(Техника!$F$1:$ABM$500,X$2,0),Техника!$F$4:$ABM$4,"Часы",INDEX(Техника!$G$1:$ABN$500,X$2,0),$A$781,INDEX(Техника!$H$1:$ABO$500,X$2,0),"Д")</f>
        <v>0</v>
      </c>
      <c r="Y783" s="50">
        <f>SUMIFS(INDEX(Техника!$F$1:$ABM$500,Y$2,0),Техника!$F$4:$ABM$4,"Часы",INDEX(Техника!$G$1:$ABN$500,Y$2,0),$A$781,INDEX(Техника!$H$1:$ABO$500,Y$2,0),"Д")</f>
        <v>0</v>
      </c>
      <c r="Z783" s="50">
        <f>SUMIFS(INDEX(Техника!$F$1:$ABM$500,Z$2,0),Техника!$F$4:$ABM$4,"Часы",INDEX(Техника!$G$1:$ABN$500,Z$2,0),$A$781,INDEX(Техника!$H$1:$ABO$500,Z$2,0),"Д")</f>
        <v>0</v>
      </c>
      <c r="AA783" s="50">
        <f>SUMIFS(INDEX(Техника!$F$1:$ABM$500,AA$2,0),Техника!$F$4:$ABM$4,"Часы",INDEX(Техника!$G$1:$ABN$500,AA$2,0),$A$781,INDEX(Техника!$H$1:$ABO$500,AA$2,0),"Д")</f>
        <v>0</v>
      </c>
      <c r="AB783" s="50">
        <f>SUMIFS(INDEX(Техника!$F$1:$ABM$500,AB$2,0),Техника!$F$4:$ABM$4,"Часы",INDEX(Техника!$G$1:$ABN$500,AB$2,0),$A$781,INDEX(Техника!$H$1:$ABO$500,AB$2,0),"Д")</f>
        <v>0</v>
      </c>
    </row>
    <row r="784" spans="1:28" hidden="1" outlineLevel="1" x14ac:dyDescent="0.3">
      <c r="A784" s="33" t="s">
        <v>276</v>
      </c>
      <c r="B784" s="34" t="s">
        <v>277</v>
      </c>
      <c r="C784" s="50">
        <f>SUMIFS(INDEX(Техника!$F$1:$ABM$500,C$2,0),Техника!$F$4:$ABM$4,"Часы",INDEX(Техника!$G$1:$ABN$500,C$2,0),$A$781,INDEX(Техника!$H$1:$ABO$500,C$2,0),"П")</f>
        <v>0</v>
      </c>
      <c r="D784" s="50">
        <f>SUMIFS(INDEX(Техника!$F$1:$ABM$500,D$2,0),Техника!$F$4:$ABM$4,"Часы",INDEX(Техника!$G$1:$ABN$500,D$2,0),$A$781,INDEX(Техника!$H$1:$ABO$500,D$2,0),"П")</f>
        <v>0</v>
      </c>
      <c r="E784" s="50">
        <f>SUMIFS(INDEX(Техника!$F$1:$ABM$500,E$2,0),Техника!$F$4:$ABM$4,"Часы",INDEX(Техника!$G$1:$ABN$500,E$2,0),$A$781,INDEX(Техника!$H$1:$ABO$500,E$2,0),"П")</f>
        <v>0</v>
      </c>
      <c r="F784" s="50">
        <f>SUMIFS(INDEX(Техника!$F$1:$ABM$500,F$2,0),Техника!$F$4:$ABM$4,"Часы",INDEX(Техника!$G$1:$ABN$500,F$2,0),$A$781,INDEX(Техника!$H$1:$ABO$500,F$2,0),"П")</f>
        <v>0</v>
      </c>
      <c r="G784" s="50">
        <f>SUMIFS(INDEX(Техника!$F$1:$ABM$500,G$2,0),Техника!$F$4:$ABM$4,"Часы",INDEX(Техника!$G$1:$ABN$500,G$2,0),$A$781,INDEX(Техника!$H$1:$ABO$500,G$2,0),"П")</f>
        <v>0</v>
      </c>
      <c r="H784" s="50">
        <f>SUMIFS(INDEX(Техника!$F$1:$ABM$500,H$2,0),Техника!$F$4:$ABM$4,"Часы",INDEX(Техника!$G$1:$ABN$500,H$2,0),$A$781,INDEX(Техника!$H$1:$ABO$500,H$2,0),"П")</f>
        <v>0</v>
      </c>
      <c r="I784" s="50">
        <f>SUMIFS(INDEX(Техника!$F$1:$ABM$500,I$2,0),Техника!$F$4:$ABM$4,"Часы",INDEX(Техника!$G$1:$ABN$500,I$2,0),$A$781,INDEX(Техника!$H$1:$ABO$500,I$2,0),"П")</f>
        <v>0</v>
      </c>
      <c r="J784" s="50">
        <f>SUMIFS(INDEX(Техника!$F$1:$ABM$500,J$2,0),Техника!$F$4:$ABM$4,"Часы",INDEX(Техника!$G$1:$ABN$500,J$2,0),$A$781,INDEX(Техника!$H$1:$ABO$500,J$2,0),"П")</f>
        <v>0</v>
      </c>
      <c r="K784" s="50">
        <f>SUMIFS(INDEX(Техника!$F$1:$ABM$500,K$2,0),Техника!$F$4:$ABM$4,"Часы",INDEX(Техника!$G$1:$ABN$500,K$2,0),$A$781,INDEX(Техника!$H$1:$ABO$500,K$2,0),"П")</f>
        <v>0</v>
      </c>
      <c r="L784" s="50">
        <f>SUMIFS(INDEX(Техника!$F$1:$ABM$500,L$2,0),Техника!$F$4:$ABM$4,"Часы",INDEX(Техника!$G$1:$ABN$500,L$2,0),$A$781,INDEX(Техника!$H$1:$ABO$500,L$2,0),"П")</f>
        <v>0</v>
      </c>
      <c r="M784" s="50">
        <f>SUMIFS(INDEX(Техника!$F$1:$ABM$500,M$2,0),Техника!$F$4:$ABM$4,"Часы",INDEX(Техника!$G$1:$ABN$500,M$2,0),$A$781,INDEX(Техника!$H$1:$ABO$500,M$2,0),"П")</f>
        <v>0</v>
      </c>
      <c r="N784" s="50">
        <f>SUMIFS(INDEX(Техника!$F$1:$ABM$500,N$2,0),Техника!$F$4:$ABM$4,"Часы",INDEX(Техника!$G$1:$ABN$500,N$2,0),$A$781,INDEX(Техника!$H$1:$ABO$500,N$2,0),"П")</f>
        <v>0</v>
      </c>
      <c r="O784" s="50">
        <f>SUMIFS(INDEX(Техника!$F$1:$ABM$500,O$2,0),Техника!$F$4:$ABM$4,"Часы",INDEX(Техника!$G$1:$ABN$500,O$2,0),$A$781,INDEX(Техника!$H$1:$ABO$500,O$2,0),"П")</f>
        <v>0</v>
      </c>
      <c r="P784" s="50">
        <f>SUMIFS(INDEX(Техника!$F$1:$ABM$500,P$2,0),Техника!$F$4:$ABM$4,"Часы",INDEX(Техника!$G$1:$ABN$500,P$2,0),$A$781,INDEX(Техника!$H$1:$ABO$500,P$2,0),"П")</f>
        <v>0</v>
      </c>
      <c r="Q784" s="50">
        <f>SUMIFS(INDEX(Техника!$F$1:$ABM$500,Q$2,0),Техника!$F$4:$ABM$4,"Часы",INDEX(Техника!$G$1:$ABN$500,Q$2,0),$A$781,INDEX(Техника!$H$1:$ABO$500,Q$2,0),"П")</f>
        <v>0</v>
      </c>
      <c r="R784" s="50">
        <f>SUMIFS(INDEX(Техника!$F$1:$ABM$500,R$2,0),Техника!$F$4:$ABM$4,"Часы",INDEX(Техника!$G$1:$ABN$500,R$2,0),$A$781,INDEX(Техника!$H$1:$ABO$500,R$2,0),"П")</f>
        <v>0</v>
      </c>
      <c r="S784" s="50">
        <f>SUMIFS(INDEX(Техника!$F$1:$ABM$500,S$2,0),Техника!$F$4:$ABM$4,"Часы",INDEX(Техника!$G$1:$ABN$500,S$2,0),$A$781,INDEX(Техника!$H$1:$ABO$500,S$2,0),"П")</f>
        <v>0</v>
      </c>
      <c r="T784" s="50">
        <f>SUMIFS(INDEX(Техника!$F$1:$ABM$500,T$2,0),Техника!$F$4:$ABM$4,"Часы",INDEX(Техника!$G$1:$ABN$500,T$2,0),$A$781,INDEX(Техника!$H$1:$ABO$500,T$2,0),"П")</f>
        <v>0</v>
      </c>
      <c r="U784" s="50">
        <f>SUMIFS(INDEX(Техника!$F$1:$ABM$500,U$2,0),Техника!$F$4:$ABM$4,"Часы",INDEX(Техника!$G$1:$ABN$500,U$2,0),$A$781,INDEX(Техника!$H$1:$ABO$500,U$2,0),"П")</f>
        <v>0</v>
      </c>
      <c r="V784" s="50">
        <f>SUMIFS(INDEX(Техника!$F$1:$ABM$500,V$2,0),Техника!$F$4:$ABM$4,"Часы",INDEX(Техника!$G$1:$ABN$500,V$2,0),$A$781,INDEX(Техника!$H$1:$ABO$500,V$2,0),"П")</f>
        <v>0</v>
      </c>
      <c r="W784" s="50">
        <f>SUMIFS(INDEX(Техника!$F$1:$ABM$500,W$2,0),Техника!$F$4:$ABM$4,"Часы",INDEX(Техника!$G$1:$ABN$500,W$2,0),$A$781,INDEX(Техника!$H$1:$ABO$500,W$2,0),"П")</f>
        <v>0</v>
      </c>
      <c r="X784" s="50">
        <f>SUMIFS(INDEX(Техника!$F$1:$ABM$500,X$2,0),Техника!$F$4:$ABM$4,"Часы",INDEX(Техника!$G$1:$ABN$500,X$2,0),$A$781,INDEX(Техника!$H$1:$ABO$500,X$2,0),"П")</f>
        <v>0</v>
      </c>
      <c r="Y784" s="50">
        <f>SUMIFS(INDEX(Техника!$F$1:$ABM$500,Y$2,0),Техника!$F$4:$ABM$4,"Часы",INDEX(Техника!$G$1:$ABN$500,Y$2,0),$A$781,INDEX(Техника!$H$1:$ABO$500,Y$2,0),"П")</f>
        <v>0</v>
      </c>
      <c r="Z784" s="50">
        <f>SUMIFS(INDEX(Техника!$F$1:$ABM$500,Z$2,0),Техника!$F$4:$ABM$4,"Часы",INDEX(Техника!$G$1:$ABN$500,Z$2,0),$A$781,INDEX(Техника!$H$1:$ABO$500,Z$2,0),"П")</f>
        <v>0</v>
      </c>
      <c r="AA784" s="50">
        <f>SUMIFS(INDEX(Техника!$F$1:$ABM$500,AA$2,0),Техника!$F$4:$ABM$4,"Часы",INDEX(Техника!$G$1:$ABN$500,AA$2,0),$A$781,INDEX(Техника!$H$1:$ABO$500,AA$2,0),"П")</f>
        <v>0</v>
      </c>
      <c r="AB784" s="50">
        <f>SUMIFS(INDEX(Техника!$F$1:$ABM$500,AB$2,0),Техника!$F$4:$ABM$4,"Часы",INDEX(Техника!$G$1:$ABN$500,AB$2,0),$A$781,INDEX(Техника!$H$1:$ABO$500,AB$2,0),"П")</f>
        <v>0</v>
      </c>
    </row>
    <row r="785" spans="1:28" hidden="1" outlineLevel="1" x14ac:dyDescent="0.3">
      <c r="A785" s="33" t="s">
        <v>243</v>
      </c>
      <c r="B785" s="34" t="s">
        <v>278</v>
      </c>
      <c r="C785" s="50">
        <f>SUMIFS(INDEX(Техника!$F$1:$ABM$500,C$2,0),Техника!$F$4:$ABM$4,"Часы",INDEX(Техника!$G$1:$ABN$500,C$2,0),$A$781,INDEX(Техника!$H$1:$ABO$500,C$2,0),"Л")</f>
        <v>0</v>
      </c>
      <c r="D785" s="50">
        <f>SUMIFS(INDEX(Техника!$F$1:$ABM$500,D$2,0),Техника!$F$4:$ABM$4,"Часы",INDEX(Техника!$G$1:$ABN$500,D$2,0),$A$781,INDEX(Техника!$H$1:$ABO$500,D$2,0),"Л")</f>
        <v>0</v>
      </c>
      <c r="E785" s="50">
        <f>SUMIFS(INDEX(Техника!$F$1:$ABM$500,E$2,0),Техника!$F$4:$ABM$4,"Часы",INDEX(Техника!$G$1:$ABN$500,E$2,0),$A$781,INDEX(Техника!$H$1:$ABO$500,E$2,0),"Л")</f>
        <v>0</v>
      </c>
      <c r="F785" s="50">
        <f>SUMIFS(INDEX(Техника!$F$1:$ABM$500,F$2,0),Техника!$F$4:$ABM$4,"Часы",INDEX(Техника!$G$1:$ABN$500,F$2,0),$A$781,INDEX(Техника!$H$1:$ABO$500,F$2,0),"Л")</f>
        <v>0</v>
      </c>
      <c r="G785" s="50">
        <f>SUMIFS(INDEX(Техника!$F$1:$ABM$500,G$2,0),Техника!$F$4:$ABM$4,"Часы",INDEX(Техника!$G$1:$ABN$500,G$2,0),$A$781,INDEX(Техника!$H$1:$ABO$500,G$2,0),"Л")</f>
        <v>0</v>
      </c>
      <c r="H785" s="50">
        <f>SUMIFS(INDEX(Техника!$F$1:$ABM$500,H$2,0),Техника!$F$4:$ABM$4,"Часы",INDEX(Техника!$G$1:$ABN$500,H$2,0),$A$781,INDEX(Техника!$H$1:$ABO$500,H$2,0),"Л")</f>
        <v>0</v>
      </c>
      <c r="I785" s="50">
        <f>SUMIFS(INDEX(Техника!$F$1:$ABM$500,I$2,0),Техника!$F$4:$ABM$4,"Часы",INDEX(Техника!$G$1:$ABN$500,I$2,0),$A$781,INDEX(Техника!$H$1:$ABO$500,I$2,0),"Л")</f>
        <v>0</v>
      </c>
      <c r="J785" s="50">
        <f>SUMIFS(INDEX(Техника!$F$1:$ABM$500,J$2,0),Техника!$F$4:$ABM$4,"Часы",INDEX(Техника!$G$1:$ABN$500,J$2,0),$A$781,INDEX(Техника!$H$1:$ABO$500,J$2,0),"Л")</f>
        <v>0</v>
      </c>
      <c r="K785" s="50">
        <f>SUMIFS(INDEX(Техника!$F$1:$ABM$500,K$2,0),Техника!$F$4:$ABM$4,"Часы",INDEX(Техника!$G$1:$ABN$500,K$2,0),$A$781,INDEX(Техника!$H$1:$ABO$500,K$2,0),"Л")</f>
        <v>0</v>
      </c>
      <c r="L785" s="50">
        <f>SUMIFS(INDEX(Техника!$F$1:$ABM$500,L$2,0),Техника!$F$4:$ABM$4,"Часы",INDEX(Техника!$G$1:$ABN$500,L$2,0),$A$781,INDEX(Техника!$H$1:$ABO$500,L$2,0),"Л")</f>
        <v>0</v>
      </c>
      <c r="M785" s="50">
        <f>SUMIFS(INDEX(Техника!$F$1:$ABM$500,M$2,0),Техника!$F$4:$ABM$4,"Часы",INDEX(Техника!$G$1:$ABN$500,M$2,0),$A$781,INDEX(Техника!$H$1:$ABO$500,M$2,0),"Л")</f>
        <v>0</v>
      </c>
      <c r="N785" s="50">
        <f>SUMIFS(INDEX(Техника!$F$1:$ABM$500,N$2,0),Техника!$F$4:$ABM$4,"Часы",INDEX(Техника!$G$1:$ABN$500,N$2,0),$A$781,INDEX(Техника!$H$1:$ABO$500,N$2,0),"Л")</f>
        <v>0</v>
      </c>
      <c r="O785" s="50">
        <f>SUMIFS(INDEX(Техника!$F$1:$ABM$500,O$2,0),Техника!$F$4:$ABM$4,"Часы",INDEX(Техника!$G$1:$ABN$500,O$2,0),$A$781,INDEX(Техника!$H$1:$ABO$500,O$2,0),"Л")</f>
        <v>0</v>
      </c>
      <c r="P785" s="50">
        <f>SUMIFS(INDEX(Техника!$F$1:$ABM$500,P$2,0),Техника!$F$4:$ABM$4,"Часы",INDEX(Техника!$G$1:$ABN$500,P$2,0),$A$781,INDEX(Техника!$H$1:$ABO$500,P$2,0),"Л")</f>
        <v>0</v>
      </c>
      <c r="Q785" s="50">
        <f>SUMIFS(INDEX(Техника!$F$1:$ABM$500,Q$2,0),Техника!$F$4:$ABM$4,"Часы",INDEX(Техника!$G$1:$ABN$500,Q$2,0),$A$781,INDEX(Техника!$H$1:$ABO$500,Q$2,0),"Л")</f>
        <v>0</v>
      </c>
      <c r="R785" s="50">
        <f>SUMIFS(INDEX(Техника!$F$1:$ABM$500,R$2,0),Техника!$F$4:$ABM$4,"Часы",INDEX(Техника!$G$1:$ABN$500,R$2,0),$A$781,INDEX(Техника!$H$1:$ABO$500,R$2,0),"Л")</f>
        <v>0</v>
      </c>
      <c r="S785" s="50">
        <f>SUMIFS(INDEX(Техника!$F$1:$ABM$500,S$2,0),Техника!$F$4:$ABM$4,"Часы",INDEX(Техника!$G$1:$ABN$500,S$2,0),$A$781,INDEX(Техника!$H$1:$ABO$500,S$2,0),"Л")</f>
        <v>0</v>
      </c>
      <c r="T785" s="50">
        <f>SUMIFS(INDEX(Техника!$F$1:$ABM$500,T$2,0),Техника!$F$4:$ABM$4,"Часы",INDEX(Техника!$G$1:$ABN$500,T$2,0),$A$781,INDEX(Техника!$H$1:$ABO$500,T$2,0),"Л")</f>
        <v>0</v>
      </c>
      <c r="U785" s="50">
        <f>SUMIFS(INDEX(Техника!$F$1:$ABM$500,U$2,0),Техника!$F$4:$ABM$4,"Часы",INDEX(Техника!$G$1:$ABN$500,U$2,0),$A$781,INDEX(Техника!$H$1:$ABO$500,U$2,0),"Л")</f>
        <v>0</v>
      </c>
      <c r="V785" s="50">
        <f>SUMIFS(INDEX(Техника!$F$1:$ABM$500,V$2,0),Техника!$F$4:$ABM$4,"Часы",INDEX(Техника!$G$1:$ABN$500,V$2,0),$A$781,INDEX(Техника!$H$1:$ABO$500,V$2,0),"Л")</f>
        <v>0</v>
      </c>
      <c r="W785" s="50">
        <f>SUMIFS(INDEX(Техника!$F$1:$ABM$500,W$2,0),Техника!$F$4:$ABM$4,"Часы",INDEX(Техника!$G$1:$ABN$500,W$2,0),$A$781,INDEX(Техника!$H$1:$ABO$500,W$2,0),"Л")</f>
        <v>0</v>
      </c>
      <c r="X785" s="50">
        <f>SUMIFS(INDEX(Техника!$F$1:$ABM$500,X$2,0),Техника!$F$4:$ABM$4,"Часы",INDEX(Техника!$G$1:$ABN$500,X$2,0),$A$781,INDEX(Техника!$H$1:$ABO$500,X$2,0),"Л")</f>
        <v>0</v>
      </c>
      <c r="Y785" s="50">
        <f>SUMIFS(INDEX(Техника!$F$1:$ABM$500,Y$2,0),Техника!$F$4:$ABM$4,"Часы",INDEX(Техника!$G$1:$ABN$500,Y$2,0),$A$781,INDEX(Техника!$H$1:$ABO$500,Y$2,0),"Л")</f>
        <v>0</v>
      </c>
      <c r="Z785" s="50">
        <f>SUMIFS(INDEX(Техника!$F$1:$ABM$500,Z$2,0),Техника!$F$4:$ABM$4,"Часы",INDEX(Техника!$G$1:$ABN$500,Z$2,0),$A$781,INDEX(Техника!$H$1:$ABO$500,Z$2,0),"Л")</f>
        <v>0</v>
      </c>
      <c r="AA785" s="50">
        <f>SUMIFS(INDEX(Техника!$F$1:$ABM$500,AA$2,0),Техника!$F$4:$ABM$4,"Часы",INDEX(Техника!$G$1:$ABN$500,AA$2,0),$A$781,INDEX(Техника!$H$1:$ABO$500,AA$2,0),"Л")</f>
        <v>0</v>
      </c>
      <c r="AB785" s="50">
        <f>SUMIFS(INDEX(Техника!$F$1:$ABM$500,AB$2,0),Техника!$F$4:$ABM$4,"Часы",INDEX(Техника!$G$1:$ABN$500,AB$2,0),$A$781,INDEX(Техника!$H$1:$ABO$500,AB$2,0),"Л")</f>
        <v>0</v>
      </c>
    </row>
    <row r="786" spans="1:28" hidden="1" outlineLevel="1" x14ac:dyDescent="0.3">
      <c r="A786" s="33" t="s">
        <v>245</v>
      </c>
      <c r="B786" s="34" t="s">
        <v>279</v>
      </c>
      <c r="C786" s="50">
        <f>SUMIFS(INDEX(Техника!$F$1:$ABM$500,C$2,0),Техника!$F$4:$ABM$4,"Часы",INDEX(Техника!$G$1:$ABN$500,C$2,0),$A$781,INDEX(Техника!$H$1:$ABO$500,C$2,0),"З")</f>
        <v>0</v>
      </c>
      <c r="D786" s="50">
        <f>SUMIFS(INDEX(Техника!$F$1:$ABM$500,D$2,0),Техника!$F$4:$ABM$4,"Часы",INDEX(Техника!$G$1:$ABN$500,D$2,0),$A$781,INDEX(Техника!$H$1:$ABO$500,D$2,0),"З")</f>
        <v>0</v>
      </c>
      <c r="E786" s="50">
        <f>SUMIFS(INDEX(Техника!$F$1:$ABM$500,E$2,0),Техника!$F$4:$ABM$4,"Часы",INDEX(Техника!$G$1:$ABN$500,E$2,0),$A$781,INDEX(Техника!$H$1:$ABO$500,E$2,0),"З")</f>
        <v>0</v>
      </c>
      <c r="F786" s="50">
        <f>SUMIFS(INDEX(Техника!$F$1:$ABM$500,F$2,0),Техника!$F$4:$ABM$4,"Часы",INDEX(Техника!$G$1:$ABN$500,F$2,0),$A$781,INDEX(Техника!$H$1:$ABO$500,F$2,0),"З")</f>
        <v>0</v>
      </c>
      <c r="G786" s="50">
        <f>SUMIFS(INDEX(Техника!$F$1:$ABM$500,G$2,0),Техника!$F$4:$ABM$4,"Часы",INDEX(Техника!$G$1:$ABN$500,G$2,0),$A$781,INDEX(Техника!$H$1:$ABO$500,G$2,0),"З")</f>
        <v>0</v>
      </c>
      <c r="H786" s="50">
        <f>SUMIFS(INDEX(Техника!$F$1:$ABM$500,H$2,0),Техника!$F$4:$ABM$4,"Часы",INDEX(Техника!$G$1:$ABN$500,H$2,0),$A$781,INDEX(Техника!$H$1:$ABO$500,H$2,0),"З")</f>
        <v>0</v>
      </c>
      <c r="I786" s="50">
        <f>SUMIFS(INDEX(Техника!$F$1:$ABM$500,I$2,0),Техника!$F$4:$ABM$4,"Часы",INDEX(Техника!$G$1:$ABN$500,I$2,0),$A$781,INDEX(Техника!$H$1:$ABO$500,I$2,0),"З")</f>
        <v>0</v>
      </c>
      <c r="J786" s="50">
        <f>SUMIFS(INDEX(Техника!$F$1:$ABM$500,J$2,0),Техника!$F$4:$ABM$4,"Часы",INDEX(Техника!$G$1:$ABN$500,J$2,0),$A$781,INDEX(Техника!$H$1:$ABO$500,J$2,0),"З")</f>
        <v>0</v>
      </c>
      <c r="K786" s="50">
        <f>SUMIFS(INDEX(Техника!$F$1:$ABM$500,K$2,0),Техника!$F$4:$ABM$4,"Часы",INDEX(Техника!$G$1:$ABN$500,K$2,0),$A$781,INDEX(Техника!$H$1:$ABO$500,K$2,0),"З")</f>
        <v>0</v>
      </c>
      <c r="L786" s="50">
        <f>SUMIFS(INDEX(Техника!$F$1:$ABM$500,L$2,0),Техника!$F$4:$ABM$4,"Часы",INDEX(Техника!$G$1:$ABN$500,L$2,0),$A$781,INDEX(Техника!$H$1:$ABO$500,L$2,0),"З")</f>
        <v>0</v>
      </c>
      <c r="M786" s="50">
        <f>SUMIFS(INDEX(Техника!$F$1:$ABM$500,M$2,0),Техника!$F$4:$ABM$4,"Часы",INDEX(Техника!$G$1:$ABN$500,M$2,0),$A$781,INDEX(Техника!$H$1:$ABO$500,M$2,0),"З")</f>
        <v>0</v>
      </c>
      <c r="N786" s="50">
        <f>SUMIFS(INDEX(Техника!$F$1:$ABM$500,N$2,0),Техника!$F$4:$ABM$4,"Часы",INDEX(Техника!$G$1:$ABN$500,N$2,0),$A$781,INDEX(Техника!$H$1:$ABO$500,N$2,0),"З")</f>
        <v>0</v>
      </c>
      <c r="O786" s="50">
        <f>SUMIFS(INDEX(Техника!$F$1:$ABM$500,O$2,0),Техника!$F$4:$ABM$4,"Часы",INDEX(Техника!$G$1:$ABN$500,O$2,0),$A$781,INDEX(Техника!$H$1:$ABO$500,O$2,0),"З")</f>
        <v>0</v>
      </c>
      <c r="P786" s="50">
        <f>SUMIFS(INDEX(Техника!$F$1:$ABM$500,P$2,0),Техника!$F$4:$ABM$4,"Часы",INDEX(Техника!$G$1:$ABN$500,P$2,0),$A$781,INDEX(Техника!$H$1:$ABO$500,P$2,0),"З")</f>
        <v>0</v>
      </c>
      <c r="Q786" s="50">
        <f>SUMIFS(INDEX(Техника!$F$1:$ABM$500,Q$2,0),Техника!$F$4:$ABM$4,"Часы",INDEX(Техника!$G$1:$ABN$500,Q$2,0),$A$781,INDEX(Техника!$H$1:$ABO$500,Q$2,0),"З")</f>
        <v>0</v>
      </c>
      <c r="R786" s="50">
        <f>SUMIFS(INDEX(Техника!$F$1:$ABM$500,R$2,0),Техника!$F$4:$ABM$4,"Часы",INDEX(Техника!$G$1:$ABN$500,R$2,0),$A$781,INDEX(Техника!$H$1:$ABO$500,R$2,0),"З")</f>
        <v>0</v>
      </c>
      <c r="S786" s="50">
        <f>SUMIFS(INDEX(Техника!$F$1:$ABM$500,S$2,0),Техника!$F$4:$ABM$4,"Часы",INDEX(Техника!$G$1:$ABN$500,S$2,0),$A$781,INDEX(Техника!$H$1:$ABO$500,S$2,0),"З")</f>
        <v>0</v>
      </c>
      <c r="T786" s="50">
        <f>SUMIFS(INDEX(Техника!$F$1:$ABM$500,T$2,0),Техника!$F$4:$ABM$4,"Часы",INDEX(Техника!$G$1:$ABN$500,T$2,0),$A$781,INDEX(Техника!$H$1:$ABO$500,T$2,0),"З")</f>
        <v>0</v>
      </c>
      <c r="U786" s="50">
        <f>SUMIFS(INDEX(Техника!$F$1:$ABM$500,U$2,0),Техника!$F$4:$ABM$4,"Часы",INDEX(Техника!$G$1:$ABN$500,U$2,0),$A$781,INDEX(Техника!$H$1:$ABO$500,U$2,0),"З")</f>
        <v>0</v>
      </c>
      <c r="V786" s="50">
        <f>SUMIFS(INDEX(Техника!$F$1:$ABM$500,V$2,0),Техника!$F$4:$ABM$4,"Часы",INDEX(Техника!$G$1:$ABN$500,V$2,0),$A$781,INDEX(Техника!$H$1:$ABO$500,V$2,0),"З")</f>
        <v>0</v>
      </c>
      <c r="W786" s="50">
        <f>SUMIFS(INDEX(Техника!$F$1:$ABM$500,W$2,0),Техника!$F$4:$ABM$4,"Часы",INDEX(Техника!$G$1:$ABN$500,W$2,0),$A$781,INDEX(Техника!$H$1:$ABO$500,W$2,0),"З")</f>
        <v>0</v>
      </c>
      <c r="X786" s="50">
        <f>SUMIFS(INDEX(Техника!$F$1:$ABM$500,X$2,0),Техника!$F$4:$ABM$4,"Часы",INDEX(Техника!$G$1:$ABN$500,X$2,0),$A$781,INDEX(Техника!$H$1:$ABO$500,X$2,0),"З")</f>
        <v>0</v>
      </c>
      <c r="Y786" s="50">
        <f>SUMIFS(INDEX(Техника!$F$1:$ABM$500,Y$2,0),Техника!$F$4:$ABM$4,"Часы",INDEX(Техника!$G$1:$ABN$500,Y$2,0),$A$781,INDEX(Техника!$H$1:$ABO$500,Y$2,0),"З")</f>
        <v>0</v>
      </c>
      <c r="Z786" s="50">
        <f>SUMIFS(INDEX(Техника!$F$1:$ABM$500,Z$2,0),Техника!$F$4:$ABM$4,"Часы",INDEX(Техника!$G$1:$ABN$500,Z$2,0),$A$781,INDEX(Техника!$H$1:$ABO$500,Z$2,0),"З")</f>
        <v>0</v>
      </c>
      <c r="AA786" s="50">
        <f>SUMIFS(INDEX(Техника!$F$1:$ABM$500,AA$2,0),Техника!$F$4:$ABM$4,"Часы",INDEX(Техника!$G$1:$ABN$500,AA$2,0),$A$781,INDEX(Техника!$H$1:$ABO$500,AA$2,0),"З")</f>
        <v>0</v>
      </c>
      <c r="AB786" s="50">
        <f>SUMIFS(INDEX(Техника!$F$1:$ABM$500,AB$2,0),Техника!$F$4:$ABM$4,"Часы",INDEX(Техника!$G$1:$ABN$500,AB$2,0),$A$781,INDEX(Техника!$H$1:$ABO$500,AB$2,0),"З")</f>
        <v>0</v>
      </c>
    </row>
    <row r="787" spans="1:28" ht="7.95" customHeight="1" x14ac:dyDescent="0.3">
      <c r="A787" s="38"/>
      <c r="B787" s="39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</row>
    <row r="788" spans="1:28" ht="25.05" customHeight="1" collapsed="1" x14ac:dyDescent="0.3">
      <c r="A788" s="32">
        <v>113</v>
      </c>
      <c r="B788" s="32" t="s">
        <v>114</v>
      </c>
      <c r="C788" s="49">
        <f>SUM(C789:C793)</f>
        <v>0</v>
      </c>
      <c r="D788" s="49">
        <f>SUM(D789:D793)</f>
        <v>0</v>
      </c>
      <c r="E788" s="49">
        <f>SUM(E789:E793)</f>
        <v>0</v>
      </c>
      <c r="F788" s="49">
        <f>SUM(F789:F793)</f>
        <v>0</v>
      </c>
      <c r="G788" s="49">
        <f>SUM(G789:G793)</f>
        <v>0</v>
      </c>
      <c r="H788" s="49">
        <f>SUM(H789:H793)</f>
        <v>0</v>
      </c>
      <c r="I788" s="49">
        <f>SUM(I789:I793)</f>
        <v>0</v>
      </c>
      <c r="J788" s="49">
        <f>SUM(J789:J793)</f>
        <v>0</v>
      </c>
      <c r="K788" s="49">
        <f>SUM(K789:K793)</f>
        <v>0</v>
      </c>
      <c r="L788" s="49">
        <f>SUM(L789:L793)</f>
        <v>0</v>
      </c>
      <c r="M788" s="49">
        <f>SUM(M789:M793)</f>
        <v>0</v>
      </c>
      <c r="N788" s="49">
        <f>SUM(N789:N793)</f>
        <v>0</v>
      </c>
      <c r="O788" s="49">
        <f>SUM(O789:O793)</f>
        <v>0</v>
      </c>
      <c r="P788" s="49">
        <f>SUM(P789:P793)</f>
        <v>0</v>
      </c>
      <c r="Q788" s="49">
        <f>SUM(Q789:Q793)</f>
        <v>0</v>
      </c>
      <c r="R788" s="49">
        <f>SUM(R789:R793)</f>
        <v>0</v>
      </c>
      <c r="S788" s="49">
        <f>SUM(S789:S793)</f>
        <v>0</v>
      </c>
      <c r="T788" s="49">
        <f>SUM(T789:T793)</f>
        <v>0</v>
      </c>
      <c r="U788" s="49">
        <f>SUM(U789:U793)</f>
        <v>0</v>
      </c>
      <c r="V788" s="49">
        <f>SUM(V789:V793)</f>
        <v>0</v>
      </c>
      <c r="W788" s="49">
        <f>SUM(W789:W793)</f>
        <v>0</v>
      </c>
      <c r="X788" s="49">
        <f>SUM(X789:X793)</f>
        <v>0</v>
      </c>
      <c r="Y788" s="49">
        <f>SUM(Y789:Y793)</f>
        <v>0</v>
      </c>
      <c r="Z788" s="49">
        <f>SUM(Z789:Z793)</f>
        <v>0</v>
      </c>
      <c r="AA788" s="49">
        <f>SUM(AA789:AA793)</f>
        <v>0</v>
      </c>
      <c r="AB788" s="49">
        <f>SUM(AB789:AB793)</f>
        <v>0</v>
      </c>
    </row>
    <row r="789" spans="1:28" hidden="1" outlineLevel="1" x14ac:dyDescent="0.3">
      <c r="A789" s="33" t="s">
        <v>246</v>
      </c>
      <c r="B789" s="34" t="s">
        <v>274</v>
      </c>
      <c r="C789" s="50">
        <f>SUMIFS(INDEX(Техника!$F$1:$ABM$500,C$2,0),Техника!$F$4:$ABM$4,"Часы",INDEX(Техника!$G$1:$ABN$500,C$2,0),$A$788,INDEX(Техника!$H$1:$ABO$500,C$2,0),"М")</f>
        <v>0</v>
      </c>
      <c r="D789" s="50">
        <f>SUMIFS(INDEX(Техника!$F$1:$ABM$500,D$2,0),Техника!$F$4:$ABM$4,"Часы",INDEX(Техника!$G$1:$ABN$500,D$2,0),$A$788,INDEX(Техника!$H$1:$ABO$500,D$2,0),"М")</f>
        <v>0</v>
      </c>
      <c r="E789" s="50">
        <f>SUMIFS(INDEX(Техника!$F$1:$ABM$500,E$2,0),Техника!$F$4:$ABM$4,"Часы",INDEX(Техника!$G$1:$ABN$500,E$2,0),$A$788,INDEX(Техника!$H$1:$ABO$500,E$2,0),"М")</f>
        <v>0</v>
      </c>
      <c r="F789" s="50">
        <f>SUMIFS(INDEX(Техника!$F$1:$ABM$500,F$2,0),Техника!$F$4:$ABM$4,"Часы",INDEX(Техника!$G$1:$ABN$500,F$2,0),$A$788,INDEX(Техника!$H$1:$ABO$500,F$2,0),"М")</f>
        <v>0</v>
      </c>
      <c r="G789" s="50">
        <f>SUMIFS(INDEX(Техника!$F$1:$ABM$500,G$2,0),Техника!$F$4:$ABM$4,"Часы",INDEX(Техника!$G$1:$ABN$500,G$2,0),$A$788,INDEX(Техника!$H$1:$ABO$500,G$2,0),"М")</f>
        <v>0</v>
      </c>
      <c r="H789" s="50">
        <f>SUMIFS(INDEX(Техника!$F$1:$ABM$500,H$2,0),Техника!$F$4:$ABM$4,"Часы",INDEX(Техника!$G$1:$ABN$500,H$2,0),$A$788,INDEX(Техника!$H$1:$ABO$500,H$2,0),"М")</f>
        <v>0</v>
      </c>
      <c r="I789" s="50">
        <f>SUMIFS(INDEX(Техника!$F$1:$ABM$500,I$2,0),Техника!$F$4:$ABM$4,"Часы",INDEX(Техника!$G$1:$ABN$500,I$2,0),$A$788,INDEX(Техника!$H$1:$ABO$500,I$2,0),"М")</f>
        <v>0</v>
      </c>
      <c r="J789" s="50">
        <f>SUMIFS(INDEX(Техника!$F$1:$ABM$500,J$2,0),Техника!$F$4:$ABM$4,"Часы",INDEX(Техника!$G$1:$ABN$500,J$2,0),$A$788,INDEX(Техника!$H$1:$ABO$500,J$2,0),"М")</f>
        <v>0</v>
      </c>
      <c r="K789" s="50">
        <f>SUMIFS(INDEX(Техника!$F$1:$ABM$500,K$2,0),Техника!$F$4:$ABM$4,"Часы",INDEX(Техника!$G$1:$ABN$500,K$2,0),$A$788,INDEX(Техника!$H$1:$ABO$500,K$2,0),"М")</f>
        <v>0</v>
      </c>
      <c r="L789" s="50">
        <f>SUMIFS(INDEX(Техника!$F$1:$ABM$500,L$2,0),Техника!$F$4:$ABM$4,"Часы",INDEX(Техника!$G$1:$ABN$500,L$2,0),$A$788,INDEX(Техника!$H$1:$ABO$500,L$2,0),"М")</f>
        <v>0</v>
      </c>
      <c r="M789" s="50">
        <f>SUMIFS(INDEX(Техника!$F$1:$ABM$500,M$2,0),Техника!$F$4:$ABM$4,"Часы",INDEX(Техника!$G$1:$ABN$500,M$2,0),$A$788,INDEX(Техника!$H$1:$ABO$500,M$2,0),"М")</f>
        <v>0</v>
      </c>
      <c r="N789" s="50">
        <f>SUMIFS(INDEX(Техника!$F$1:$ABM$500,N$2,0),Техника!$F$4:$ABM$4,"Часы",INDEX(Техника!$G$1:$ABN$500,N$2,0),$A$788,INDEX(Техника!$H$1:$ABO$500,N$2,0),"М")</f>
        <v>0</v>
      </c>
      <c r="O789" s="50">
        <f>SUMIFS(INDEX(Техника!$F$1:$ABM$500,O$2,0),Техника!$F$4:$ABM$4,"Часы",INDEX(Техника!$G$1:$ABN$500,O$2,0),$A$788,INDEX(Техника!$H$1:$ABO$500,O$2,0),"М")</f>
        <v>0</v>
      </c>
      <c r="P789" s="50">
        <f>SUMIFS(INDEX(Техника!$F$1:$ABM$500,P$2,0),Техника!$F$4:$ABM$4,"Часы",INDEX(Техника!$G$1:$ABN$500,P$2,0),$A$788,INDEX(Техника!$H$1:$ABO$500,P$2,0),"М")</f>
        <v>0</v>
      </c>
      <c r="Q789" s="50">
        <f>SUMIFS(INDEX(Техника!$F$1:$ABM$500,Q$2,0),Техника!$F$4:$ABM$4,"Часы",INDEX(Техника!$G$1:$ABN$500,Q$2,0),$A$788,INDEX(Техника!$H$1:$ABO$500,Q$2,0),"М")</f>
        <v>0</v>
      </c>
      <c r="R789" s="50">
        <f>SUMIFS(INDEX(Техника!$F$1:$ABM$500,R$2,0),Техника!$F$4:$ABM$4,"Часы",INDEX(Техника!$G$1:$ABN$500,R$2,0),$A$788,INDEX(Техника!$H$1:$ABO$500,R$2,0),"М")</f>
        <v>0</v>
      </c>
      <c r="S789" s="50">
        <f>SUMIFS(INDEX(Техника!$F$1:$ABM$500,S$2,0),Техника!$F$4:$ABM$4,"Часы",INDEX(Техника!$G$1:$ABN$500,S$2,0),$A$788,INDEX(Техника!$H$1:$ABO$500,S$2,0),"М")</f>
        <v>0</v>
      </c>
      <c r="T789" s="50">
        <f>SUMIFS(INDEX(Техника!$F$1:$ABM$500,T$2,0),Техника!$F$4:$ABM$4,"Часы",INDEX(Техника!$G$1:$ABN$500,T$2,0),$A$788,INDEX(Техника!$H$1:$ABO$500,T$2,0),"М")</f>
        <v>0</v>
      </c>
      <c r="U789" s="50">
        <f>SUMIFS(INDEX(Техника!$F$1:$ABM$500,U$2,0),Техника!$F$4:$ABM$4,"Часы",INDEX(Техника!$G$1:$ABN$500,U$2,0),$A$788,INDEX(Техника!$H$1:$ABO$500,U$2,0),"М")</f>
        <v>0</v>
      </c>
      <c r="V789" s="50">
        <f>SUMIFS(INDEX(Техника!$F$1:$ABM$500,V$2,0),Техника!$F$4:$ABM$4,"Часы",INDEX(Техника!$G$1:$ABN$500,V$2,0),$A$788,INDEX(Техника!$H$1:$ABO$500,V$2,0),"М")</f>
        <v>0</v>
      </c>
      <c r="W789" s="50">
        <f>SUMIFS(INDEX(Техника!$F$1:$ABM$500,W$2,0),Техника!$F$4:$ABM$4,"Часы",INDEX(Техника!$G$1:$ABN$500,W$2,0),$A$788,INDEX(Техника!$H$1:$ABO$500,W$2,0),"М")</f>
        <v>0</v>
      </c>
      <c r="X789" s="50">
        <f>SUMIFS(INDEX(Техника!$F$1:$ABM$500,X$2,0),Техника!$F$4:$ABM$4,"Часы",INDEX(Техника!$G$1:$ABN$500,X$2,0),$A$788,INDEX(Техника!$H$1:$ABO$500,X$2,0),"М")</f>
        <v>0</v>
      </c>
      <c r="Y789" s="50">
        <f>SUMIFS(INDEX(Техника!$F$1:$ABM$500,Y$2,0),Техника!$F$4:$ABM$4,"Часы",INDEX(Техника!$G$1:$ABN$500,Y$2,0),$A$788,INDEX(Техника!$H$1:$ABO$500,Y$2,0),"М")</f>
        <v>0</v>
      </c>
      <c r="Z789" s="50">
        <f>SUMIFS(INDEX(Техника!$F$1:$ABM$500,Z$2,0),Техника!$F$4:$ABM$4,"Часы",INDEX(Техника!$G$1:$ABN$500,Z$2,0),$A$788,INDEX(Техника!$H$1:$ABO$500,Z$2,0),"М")</f>
        <v>0</v>
      </c>
      <c r="AA789" s="50">
        <f>SUMIFS(INDEX(Техника!$F$1:$ABM$500,AA$2,0),Техника!$F$4:$ABM$4,"Часы",INDEX(Техника!$G$1:$ABN$500,AA$2,0),$A$788,INDEX(Техника!$H$1:$ABO$500,AA$2,0),"М")</f>
        <v>0</v>
      </c>
      <c r="AB789" s="50">
        <f>SUMIFS(INDEX(Техника!$F$1:$ABM$500,AB$2,0),Техника!$F$4:$ABM$4,"Часы",INDEX(Техника!$G$1:$ABN$500,AB$2,0),$A$788,INDEX(Техника!$H$1:$ABO$500,AB$2,0),"М")</f>
        <v>0</v>
      </c>
    </row>
    <row r="790" spans="1:28" hidden="1" outlineLevel="1" x14ac:dyDescent="0.3">
      <c r="A790" s="33" t="s">
        <v>244</v>
      </c>
      <c r="B790" s="34" t="s">
        <v>275</v>
      </c>
      <c r="C790" s="50">
        <f>SUMIFS(INDEX(Техника!$F$1:$ABM$500,C$2,0),Техника!$F$4:$ABM$4,"Часы",INDEX(Техника!$G$1:$ABN$500,C$2,0),$A$788,INDEX(Техника!$H$1:$ABO$500,C$2,0),"Д")</f>
        <v>0</v>
      </c>
      <c r="D790" s="50">
        <f>SUMIFS(INDEX(Техника!$F$1:$ABM$500,D$2,0),Техника!$F$4:$ABM$4,"Часы",INDEX(Техника!$G$1:$ABN$500,D$2,0),$A$788,INDEX(Техника!$H$1:$ABO$500,D$2,0),"Д")</f>
        <v>0</v>
      </c>
      <c r="E790" s="50">
        <f>SUMIFS(INDEX(Техника!$F$1:$ABM$500,E$2,0),Техника!$F$4:$ABM$4,"Часы",INDEX(Техника!$G$1:$ABN$500,E$2,0),$A$788,INDEX(Техника!$H$1:$ABO$500,E$2,0),"Д")</f>
        <v>0</v>
      </c>
      <c r="F790" s="50">
        <f>SUMIFS(INDEX(Техника!$F$1:$ABM$500,F$2,0),Техника!$F$4:$ABM$4,"Часы",INDEX(Техника!$G$1:$ABN$500,F$2,0),$A$788,INDEX(Техника!$H$1:$ABO$500,F$2,0),"Д")</f>
        <v>0</v>
      </c>
      <c r="G790" s="50">
        <f>SUMIFS(INDEX(Техника!$F$1:$ABM$500,G$2,0),Техника!$F$4:$ABM$4,"Часы",INDEX(Техника!$G$1:$ABN$500,G$2,0),$A$788,INDEX(Техника!$H$1:$ABO$500,G$2,0),"Д")</f>
        <v>0</v>
      </c>
      <c r="H790" s="50">
        <f>SUMIFS(INDEX(Техника!$F$1:$ABM$500,H$2,0),Техника!$F$4:$ABM$4,"Часы",INDEX(Техника!$G$1:$ABN$500,H$2,0),$A$788,INDEX(Техника!$H$1:$ABO$500,H$2,0),"Д")</f>
        <v>0</v>
      </c>
      <c r="I790" s="50">
        <f>SUMIFS(INDEX(Техника!$F$1:$ABM$500,I$2,0),Техника!$F$4:$ABM$4,"Часы",INDEX(Техника!$G$1:$ABN$500,I$2,0),$A$788,INDEX(Техника!$H$1:$ABO$500,I$2,0),"Д")</f>
        <v>0</v>
      </c>
      <c r="J790" s="50">
        <f>SUMIFS(INDEX(Техника!$F$1:$ABM$500,J$2,0),Техника!$F$4:$ABM$4,"Часы",INDEX(Техника!$G$1:$ABN$500,J$2,0),$A$788,INDEX(Техника!$H$1:$ABO$500,J$2,0),"Д")</f>
        <v>0</v>
      </c>
      <c r="K790" s="50">
        <f>SUMIFS(INDEX(Техника!$F$1:$ABM$500,K$2,0),Техника!$F$4:$ABM$4,"Часы",INDEX(Техника!$G$1:$ABN$500,K$2,0),$A$788,INDEX(Техника!$H$1:$ABO$500,K$2,0),"Д")</f>
        <v>0</v>
      </c>
      <c r="L790" s="50">
        <f>SUMIFS(INDEX(Техника!$F$1:$ABM$500,L$2,0),Техника!$F$4:$ABM$4,"Часы",INDEX(Техника!$G$1:$ABN$500,L$2,0),$A$788,INDEX(Техника!$H$1:$ABO$500,L$2,0),"Д")</f>
        <v>0</v>
      </c>
      <c r="M790" s="50">
        <f>SUMIFS(INDEX(Техника!$F$1:$ABM$500,M$2,0),Техника!$F$4:$ABM$4,"Часы",INDEX(Техника!$G$1:$ABN$500,M$2,0),$A$788,INDEX(Техника!$H$1:$ABO$500,M$2,0),"Д")</f>
        <v>0</v>
      </c>
      <c r="N790" s="50">
        <f>SUMIFS(INDEX(Техника!$F$1:$ABM$500,N$2,0),Техника!$F$4:$ABM$4,"Часы",INDEX(Техника!$G$1:$ABN$500,N$2,0),$A$788,INDEX(Техника!$H$1:$ABO$500,N$2,0),"Д")</f>
        <v>0</v>
      </c>
      <c r="O790" s="50">
        <f>SUMIFS(INDEX(Техника!$F$1:$ABM$500,O$2,0),Техника!$F$4:$ABM$4,"Часы",INDEX(Техника!$G$1:$ABN$500,O$2,0),$A$788,INDEX(Техника!$H$1:$ABO$500,O$2,0),"Д")</f>
        <v>0</v>
      </c>
      <c r="P790" s="50">
        <f>SUMIFS(INDEX(Техника!$F$1:$ABM$500,P$2,0),Техника!$F$4:$ABM$4,"Часы",INDEX(Техника!$G$1:$ABN$500,P$2,0),$A$788,INDEX(Техника!$H$1:$ABO$500,P$2,0),"Д")</f>
        <v>0</v>
      </c>
      <c r="Q790" s="50">
        <f>SUMIFS(INDEX(Техника!$F$1:$ABM$500,Q$2,0),Техника!$F$4:$ABM$4,"Часы",INDEX(Техника!$G$1:$ABN$500,Q$2,0),$A$788,INDEX(Техника!$H$1:$ABO$500,Q$2,0),"Д")</f>
        <v>0</v>
      </c>
      <c r="R790" s="50">
        <f>SUMIFS(INDEX(Техника!$F$1:$ABM$500,R$2,0),Техника!$F$4:$ABM$4,"Часы",INDEX(Техника!$G$1:$ABN$500,R$2,0),$A$788,INDEX(Техника!$H$1:$ABO$500,R$2,0),"Д")</f>
        <v>0</v>
      </c>
      <c r="S790" s="50">
        <f>SUMIFS(INDEX(Техника!$F$1:$ABM$500,S$2,0),Техника!$F$4:$ABM$4,"Часы",INDEX(Техника!$G$1:$ABN$500,S$2,0),$A$788,INDEX(Техника!$H$1:$ABO$500,S$2,0),"Д")</f>
        <v>0</v>
      </c>
      <c r="T790" s="50">
        <f>SUMIFS(INDEX(Техника!$F$1:$ABM$500,T$2,0),Техника!$F$4:$ABM$4,"Часы",INDEX(Техника!$G$1:$ABN$500,T$2,0),$A$788,INDEX(Техника!$H$1:$ABO$500,T$2,0),"Д")</f>
        <v>0</v>
      </c>
      <c r="U790" s="50">
        <f>SUMIFS(INDEX(Техника!$F$1:$ABM$500,U$2,0),Техника!$F$4:$ABM$4,"Часы",INDEX(Техника!$G$1:$ABN$500,U$2,0),$A$788,INDEX(Техника!$H$1:$ABO$500,U$2,0),"Д")</f>
        <v>0</v>
      </c>
      <c r="V790" s="50">
        <f>SUMIFS(INDEX(Техника!$F$1:$ABM$500,V$2,0),Техника!$F$4:$ABM$4,"Часы",INDEX(Техника!$G$1:$ABN$500,V$2,0),$A$788,INDEX(Техника!$H$1:$ABO$500,V$2,0),"Д")</f>
        <v>0</v>
      </c>
      <c r="W790" s="50">
        <f>SUMIFS(INDEX(Техника!$F$1:$ABM$500,W$2,0),Техника!$F$4:$ABM$4,"Часы",INDEX(Техника!$G$1:$ABN$500,W$2,0),$A$788,INDEX(Техника!$H$1:$ABO$500,W$2,0),"Д")</f>
        <v>0</v>
      </c>
      <c r="X790" s="50">
        <f>SUMIFS(INDEX(Техника!$F$1:$ABM$500,X$2,0),Техника!$F$4:$ABM$4,"Часы",INDEX(Техника!$G$1:$ABN$500,X$2,0),$A$788,INDEX(Техника!$H$1:$ABO$500,X$2,0),"Д")</f>
        <v>0</v>
      </c>
      <c r="Y790" s="50">
        <f>SUMIFS(INDEX(Техника!$F$1:$ABM$500,Y$2,0),Техника!$F$4:$ABM$4,"Часы",INDEX(Техника!$G$1:$ABN$500,Y$2,0),$A$788,INDEX(Техника!$H$1:$ABO$500,Y$2,0),"Д")</f>
        <v>0</v>
      </c>
      <c r="Z790" s="50">
        <f>SUMIFS(INDEX(Техника!$F$1:$ABM$500,Z$2,0),Техника!$F$4:$ABM$4,"Часы",INDEX(Техника!$G$1:$ABN$500,Z$2,0),$A$788,INDEX(Техника!$H$1:$ABO$500,Z$2,0),"Д")</f>
        <v>0</v>
      </c>
      <c r="AA790" s="50">
        <f>SUMIFS(INDEX(Техника!$F$1:$ABM$500,AA$2,0),Техника!$F$4:$ABM$4,"Часы",INDEX(Техника!$G$1:$ABN$500,AA$2,0),$A$788,INDEX(Техника!$H$1:$ABO$500,AA$2,0),"Д")</f>
        <v>0</v>
      </c>
      <c r="AB790" s="50">
        <f>SUMIFS(INDEX(Техника!$F$1:$ABM$500,AB$2,0),Техника!$F$4:$ABM$4,"Часы",INDEX(Техника!$G$1:$ABN$500,AB$2,0),$A$788,INDEX(Техника!$H$1:$ABO$500,AB$2,0),"Д")</f>
        <v>0</v>
      </c>
    </row>
    <row r="791" spans="1:28" hidden="1" outlineLevel="1" x14ac:dyDescent="0.3">
      <c r="A791" s="33" t="s">
        <v>276</v>
      </c>
      <c r="B791" s="34" t="s">
        <v>277</v>
      </c>
      <c r="C791" s="50">
        <f>SUMIFS(INDEX(Техника!$F$1:$ABM$500,C$2,0),Техника!$F$4:$ABM$4,"Часы",INDEX(Техника!$G$1:$ABN$500,C$2,0),$A$788,INDEX(Техника!$H$1:$ABO$500,C$2,0),"П")</f>
        <v>0</v>
      </c>
      <c r="D791" s="50">
        <f>SUMIFS(INDEX(Техника!$F$1:$ABM$500,D$2,0),Техника!$F$4:$ABM$4,"Часы",INDEX(Техника!$G$1:$ABN$500,D$2,0),$A$788,INDEX(Техника!$H$1:$ABO$500,D$2,0),"П")</f>
        <v>0</v>
      </c>
      <c r="E791" s="50">
        <f>SUMIFS(INDEX(Техника!$F$1:$ABM$500,E$2,0),Техника!$F$4:$ABM$4,"Часы",INDEX(Техника!$G$1:$ABN$500,E$2,0),$A$788,INDEX(Техника!$H$1:$ABO$500,E$2,0),"П")</f>
        <v>0</v>
      </c>
      <c r="F791" s="50">
        <f>SUMIFS(INDEX(Техника!$F$1:$ABM$500,F$2,0),Техника!$F$4:$ABM$4,"Часы",INDEX(Техника!$G$1:$ABN$500,F$2,0),$A$788,INDEX(Техника!$H$1:$ABO$500,F$2,0),"П")</f>
        <v>0</v>
      </c>
      <c r="G791" s="50">
        <f>SUMIFS(INDEX(Техника!$F$1:$ABM$500,G$2,0),Техника!$F$4:$ABM$4,"Часы",INDEX(Техника!$G$1:$ABN$500,G$2,0),$A$788,INDEX(Техника!$H$1:$ABO$500,G$2,0),"П")</f>
        <v>0</v>
      </c>
      <c r="H791" s="50">
        <f>SUMIFS(INDEX(Техника!$F$1:$ABM$500,H$2,0),Техника!$F$4:$ABM$4,"Часы",INDEX(Техника!$G$1:$ABN$500,H$2,0),$A$788,INDEX(Техника!$H$1:$ABO$500,H$2,0),"П")</f>
        <v>0</v>
      </c>
      <c r="I791" s="50">
        <f>SUMIFS(INDEX(Техника!$F$1:$ABM$500,I$2,0),Техника!$F$4:$ABM$4,"Часы",INDEX(Техника!$G$1:$ABN$500,I$2,0),$A$788,INDEX(Техника!$H$1:$ABO$500,I$2,0),"П")</f>
        <v>0</v>
      </c>
      <c r="J791" s="50">
        <f>SUMIFS(INDEX(Техника!$F$1:$ABM$500,J$2,0),Техника!$F$4:$ABM$4,"Часы",INDEX(Техника!$G$1:$ABN$500,J$2,0),$A$788,INDEX(Техника!$H$1:$ABO$500,J$2,0),"П")</f>
        <v>0</v>
      </c>
      <c r="K791" s="50">
        <f>SUMIFS(INDEX(Техника!$F$1:$ABM$500,K$2,0),Техника!$F$4:$ABM$4,"Часы",INDEX(Техника!$G$1:$ABN$500,K$2,0),$A$788,INDEX(Техника!$H$1:$ABO$500,K$2,0),"П")</f>
        <v>0</v>
      </c>
      <c r="L791" s="50">
        <f>SUMIFS(INDEX(Техника!$F$1:$ABM$500,L$2,0),Техника!$F$4:$ABM$4,"Часы",INDEX(Техника!$G$1:$ABN$500,L$2,0),$A$788,INDEX(Техника!$H$1:$ABO$500,L$2,0),"П")</f>
        <v>0</v>
      </c>
      <c r="M791" s="50">
        <f>SUMIFS(INDEX(Техника!$F$1:$ABM$500,M$2,0),Техника!$F$4:$ABM$4,"Часы",INDEX(Техника!$G$1:$ABN$500,M$2,0),$A$788,INDEX(Техника!$H$1:$ABO$500,M$2,0),"П")</f>
        <v>0</v>
      </c>
      <c r="N791" s="50">
        <f>SUMIFS(INDEX(Техника!$F$1:$ABM$500,N$2,0),Техника!$F$4:$ABM$4,"Часы",INDEX(Техника!$G$1:$ABN$500,N$2,0),$A$788,INDEX(Техника!$H$1:$ABO$500,N$2,0),"П")</f>
        <v>0</v>
      </c>
      <c r="O791" s="50">
        <f>SUMIFS(INDEX(Техника!$F$1:$ABM$500,O$2,0),Техника!$F$4:$ABM$4,"Часы",INDEX(Техника!$G$1:$ABN$500,O$2,0),$A$788,INDEX(Техника!$H$1:$ABO$500,O$2,0),"П")</f>
        <v>0</v>
      </c>
      <c r="P791" s="50">
        <f>SUMIFS(INDEX(Техника!$F$1:$ABM$500,P$2,0),Техника!$F$4:$ABM$4,"Часы",INDEX(Техника!$G$1:$ABN$500,P$2,0),$A$788,INDEX(Техника!$H$1:$ABO$500,P$2,0),"П")</f>
        <v>0</v>
      </c>
      <c r="Q791" s="50">
        <f>SUMIFS(INDEX(Техника!$F$1:$ABM$500,Q$2,0),Техника!$F$4:$ABM$4,"Часы",INDEX(Техника!$G$1:$ABN$500,Q$2,0),$A$788,INDEX(Техника!$H$1:$ABO$500,Q$2,0),"П")</f>
        <v>0</v>
      </c>
      <c r="R791" s="50">
        <f>SUMIFS(INDEX(Техника!$F$1:$ABM$500,R$2,0),Техника!$F$4:$ABM$4,"Часы",INDEX(Техника!$G$1:$ABN$500,R$2,0),$A$788,INDEX(Техника!$H$1:$ABO$500,R$2,0),"П")</f>
        <v>0</v>
      </c>
      <c r="S791" s="50">
        <f>SUMIFS(INDEX(Техника!$F$1:$ABM$500,S$2,0),Техника!$F$4:$ABM$4,"Часы",INDEX(Техника!$G$1:$ABN$500,S$2,0),$A$788,INDEX(Техника!$H$1:$ABO$500,S$2,0),"П")</f>
        <v>0</v>
      </c>
      <c r="T791" s="50">
        <f>SUMIFS(INDEX(Техника!$F$1:$ABM$500,T$2,0),Техника!$F$4:$ABM$4,"Часы",INDEX(Техника!$G$1:$ABN$500,T$2,0),$A$788,INDEX(Техника!$H$1:$ABO$500,T$2,0),"П")</f>
        <v>0</v>
      </c>
      <c r="U791" s="50">
        <f>SUMIFS(INDEX(Техника!$F$1:$ABM$500,U$2,0),Техника!$F$4:$ABM$4,"Часы",INDEX(Техника!$G$1:$ABN$500,U$2,0),$A$788,INDEX(Техника!$H$1:$ABO$500,U$2,0),"П")</f>
        <v>0</v>
      </c>
      <c r="V791" s="50">
        <f>SUMIFS(INDEX(Техника!$F$1:$ABM$500,V$2,0),Техника!$F$4:$ABM$4,"Часы",INDEX(Техника!$G$1:$ABN$500,V$2,0),$A$788,INDEX(Техника!$H$1:$ABO$500,V$2,0),"П")</f>
        <v>0</v>
      </c>
      <c r="W791" s="50">
        <f>SUMIFS(INDEX(Техника!$F$1:$ABM$500,W$2,0),Техника!$F$4:$ABM$4,"Часы",INDEX(Техника!$G$1:$ABN$500,W$2,0),$A$788,INDEX(Техника!$H$1:$ABO$500,W$2,0),"П")</f>
        <v>0</v>
      </c>
      <c r="X791" s="50">
        <f>SUMIFS(INDEX(Техника!$F$1:$ABM$500,X$2,0),Техника!$F$4:$ABM$4,"Часы",INDEX(Техника!$G$1:$ABN$500,X$2,0),$A$788,INDEX(Техника!$H$1:$ABO$500,X$2,0),"П")</f>
        <v>0</v>
      </c>
      <c r="Y791" s="50">
        <f>SUMIFS(INDEX(Техника!$F$1:$ABM$500,Y$2,0),Техника!$F$4:$ABM$4,"Часы",INDEX(Техника!$G$1:$ABN$500,Y$2,0),$A$788,INDEX(Техника!$H$1:$ABO$500,Y$2,0),"П")</f>
        <v>0</v>
      </c>
      <c r="Z791" s="50">
        <f>SUMIFS(INDEX(Техника!$F$1:$ABM$500,Z$2,0),Техника!$F$4:$ABM$4,"Часы",INDEX(Техника!$G$1:$ABN$500,Z$2,0),$A$788,INDEX(Техника!$H$1:$ABO$500,Z$2,0),"П")</f>
        <v>0</v>
      </c>
      <c r="AA791" s="50">
        <f>SUMIFS(INDEX(Техника!$F$1:$ABM$500,AA$2,0),Техника!$F$4:$ABM$4,"Часы",INDEX(Техника!$G$1:$ABN$500,AA$2,0),$A$788,INDEX(Техника!$H$1:$ABO$500,AA$2,0),"П")</f>
        <v>0</v>
      </c>
      <c r="AB791" s="50">
        <f>SUMIFS(INDEX(Техника!$F$1:$ABM$500,AB$2,0),Техника!$F$4:$ABM$4,"Часы",INDEX(Техника!$G$1:$ABN$500,AB$2,0),$A$788,INDEX(Техника!$H$1:$ABO$500,AB$2,0),"П")</f>
        <v>0</v>
      </c>
    </row>
    <row r="792" spans="1:28" hidden="1" outlineLevel="1" x14ac:dyDescent="0.3">
      <c r="A792" s="33" t="s">
        <v>243</v>
      </c>
      <c r="B792" s="34" t="s">
        <v>278</v>
      </c>
      <c r="C792" s="50">
        <f>SUMIFS(INDEX(Техника!$F$1:$ABM$500,C$2,0),Техника!$F$4:$ABM$4,"Часы",INDEX(Техника!$G$1:$ABN$500,C$2,0),$A$788,INDEX(Техника!$H$1:$ABO$500,C$2,0),"Л")</f>
        <v>0</v>
      </c>
      <c r="D792" s="50">
        <f>SUMIFS(INDEX(Техника!$F$1:$ABM$500,D$2,0),Техника!$F$4:$ABM$4,"Часы",INDEX(Техника!$G$1:$ABN$500,D$2,0),$A$788,INDEX(Техника!$H$1:$ABO$500,D$2,0),"Л")</f>
        <v>0</v>
      </c>
      <c r="E792" s="50">
        <f>SUMIFS(INDEX(Техника!$F$1:$ABM$500,E$2,0),Техника!$F$4:$ABM$4,"Часы",INDEX(Техника!$G$1:$ABN$500,E$2,0),$A$788,INDEX(Техника!$H$1:$ABO$500,E$2,0),"Л")</f>
        <v>0</v>
      </c>
      <c r="F792" s="50">
        <f>SUMIFS(INDEX(Техника!$F$1:$ABM$500,F$2,0),Техника!$F$4:$ABM$4,"Часы",INDEX(Техника!$G$1:$ABN$500,F$2,0),$A$788,INDEX(Техника!$H$1:$ABO$500,F$2,0),"Л")</f>
        <v>0</v>
      </c>
      <c r="G792" s="50">
        <f>SUMIFS(INDEX(Техника!$F$1:$ABM$500,G$2,0),Техника!$F$4:$ABM$4,"Часы",INDEX(Техника!$G$1:$ABN$500,G$2,0),$A$788,INDEX(Техника!$H$1:$ABO$500,G$2,0),"Л")</f>
        <v>0</v>
      </c>
      <c r="H792" s="50">
        <f>SUMIFS(INDEX(Техника!$F$1:$ABM$500,H$2,0),Техника!$F$4:$ABM$4,"Часы",INDEX(Техника!$G$1:$ABN$500,H$2,0),$A$788,INDEX(Техника!$H$1:$ABO$500,H$2,0),"Л")</f>
        <v>0</v>
      </c>
      <c r="I792" s="50">
        <f>SUMIFS(INDEX(Техника!$F$1:$ABM$500,I$2,0),Техника!$F$4:$ABM$4,"Часы",INDEX(Техника!$G$1:$ABN$500,I$2,0),$A$788,INDEX(Техника!$H$1:$ABO$500,I$2,0),"Л")</f>
        <v>0</v>
      </c>
      <c r="J792" s="50">
        <f>SUMIFS(INDEX(Техника!$F$1:$ABM$500,J$2,0),Техника!$F$4:$ABM$4,"Часы",INDEX(Техника!$G$1:$ABN$500,J$2,0),$A$788,INDEX(Техника!$H$1:$ABO$500,J$2,0),"Л")</f>
        <v>0</v>
      </c>
      <c r="K792" s="50">
        <f>SUMIFS(INDEX(Техника!$F$1:$ABM$500,K$2,0),Техника!$F$4:$ABM$4,"Часы",INDEX(Техника!$G$1:$ABN$500,K$2,0),$A$788,INDEX(Техника!$H$1:$ABO$500,K$2,0),"Л")</f>
        <v>0</v>
      </c>
      <c r="L792" s="50">
        <f>SUMIFS(INDEX(Техника!$F$1:$ABM$500,L$2,0),Техника!$F$4:$ABM$4,"Часы",INDEX(Техника!$G$1:$ABN$500,L$2,0),$A$788,INDEX(Техника!$H$1:$ABO$500,L$2,0),"Л")</f>
        <v>0</v>
      </c>
      <c r="M792" s="50">
        <f>SUMIFS(INDEX(Техника!$F$1:$ABM$500,M$2,0),Техника!$F$4:$ABM$4,"Часы",INDEX(Техника!$G$1:$ABN$500,M$2,0),$A$788,INDEX(Техника!$H$1:$ABO$500,M$2,0),"Л")</f>
        <v>0</v>
      </c>
      <c r="N792" s="50">
        <f>SUMIFS(INDEX(Техника!$F$1:$ABM$500,N$2,0),Техника!$F$4:$ABM$4,"Часы",INDEX(Техника!$G$1:$ABN$500,N$2,0),$A$788,INDEX(Техника!$H$1:$ABO$500,N$2,0),"Л")</f>
        <v>0</v>
      </c>
      <c r="O792" s="50">
        <f>SUMIFS(INDEX(Техника!$F$1:$ABM$500,O$2,0),Техника!$F$4:$ABM$4,"Часы",INDEX(Техника!$G$1:$ABN$500,O$2,0),$A$788,INDEX(Техника!$H$1:$ABO$500,O$2,0),"Л")</f>
        <v>0</v>
      </c>
      <c r="P792" s="50">
        <f>SUMIFS(INDEX(Техника!$F$1:$ABM$500,P$2,0),Техника!$F$4:$ABM$4,"Часы",INDEX(Техника!$G$1:$ABN$500,P$2,0),$A$788,INDEX(Техника!$H$1:$ABO$500,P$2,0),"Л")</f>
        <v>0</v>
      </c>
      <c r="Q792" s="50">
        <f>SUMIFS(INDEX(Техника!$F$1:$ABM$500,Q$2,0),Техника!$F$4:$ABM$4,"Часы",INDEX(Техника!$G$1:$ABN$500,Q$2,0),$A$788,INDEX(Техника!$H$1:$ABO$500,Q$2,0),"Л")</f>
        <v>0</v>
      </c>
      <c r="R792" s="50">
        <f>SUMIFS(INDEX(Техника!$F$1:$ABM$500,R$2,0),Техника!$F$4:$ABM$4,"Часы",INDEX(Техника!$G$1:$ABN$500,R$2,0),$A$788,INDEX(Техника!$H$1:$ABO$500,R$2,0),"Л")</f>
        <v>0</v>
      </c>
      <c r="S792" s="50">
        <f>SUMIFS(INDEX(Техника!$F$1:$ABM$500,S$2,0),Техника!$F$4:$ABM$4,"Часы",INDEX(Техника!$G$1:$ABN$500,S$2,0),$A$788,INDEX(Техника!$H$1:$ABO$500,S$2,0),"Л")</f>
        <v>0</v>
      </c>
      <c r="T792" s="50">
        <f>SUMIFS(INDEX(Техника!$F$1:$ABM$500,T$2,0),Техника!$F$4:$ABM$4,"Часы",INDEX(Техника!$G$1:$ABN$500,T$2,0),$A$788,INDEX(Техника!$H$1:$ABO$500,T$2,0),"Л")</f>
        <v>0</v>
      </c>
      <c r="U792" s="50">
        <f>SUMIFS(INDEX(Техника!$F$1:$ABM$500,U$2,0),Техника!$F$4:$ABM$4,"Часы",INDEX(Техника!$G$1:$ABN$500,U$2,0),$A$788,INDEX(Техника!$H$1:$ABO$500,U$2,0),"Л")</f>
        <v>0</v>
      </c>
      <c r="V792" s="50">
        <f>SUMIFS(INDEX(Техника!$F$1:$ABM$500,V$2,0),Техника!$F$4:$ABM$4,"Часы",INDEX(Техника!$G$1:$ABN$500,V$2,0),$A$788,INDEX(Техника!$H$1:$ABO$500,V$2,0),"Л")</f>
        <v>0</v>
      </c>
      <c r="W792" s="50">
        <f>SUMIFS(INDEX(Техника!$F$1:$ABM$500,W$2,0),Техника!$F$4:$ABM$4,"Часы",INDEX(Техника!$G$1:$ABN$500,W$2,0),$A$788,INDEX(Техника!$H$1:$ABO$500,W$2,0),"Л")</f>
        <v>0</v>
      </c>
      <c r="X792" s="50">
        <f>SUMIFS(INDEX(Техника!$F$1:$ABM$500,X$2,0),Техника!$F$4:$ABM$4,"Часы",INDEX(Техника!$G$1:$ABN$500,X$2,0),$A$788,INDEX(Техника!$H$1:$ABO$500,X$2,0),"Л")</f>
        <v>0</v>
      </c>
      <c r="Y792" s="50">
        <f>SUMIFS(INDEX(Техника!$F$1:$ABM$500,Y$2,0),Техника!$F$4:$ABM$4,"Часы",INDEX(Техника!$G$1:$ABN$500,Y$2,0),$A$788,INDEX(Техника!$H$1:$ABO$500,Y$2,0),"Л")</f>
        <v>0</v>
      </c>
      <c r="Z792" s="50">
        <f>SUMIFS(INDEX(Техника!$F$1:$ABM$500,Z$2,0),Техника!$F$4:$ABM$4,"Часы",INDEX(Техника!$G$1:$ABN$500,Z$2,0),$A$788,INDEX(Техника!$H$1:$ABO$500,Z$2,0),"Л")</f>
        <v>0</v>
      </c>
      <c r="AA792" s="50">
        <f>SUMIFS(INDEX(Техника!$F$1:$ABM$500,AA$2,0),Техника!$F$4:$ABM$4,"Часы",INDEX(Техника!$G$1:$ABN$500,AA$2,0),$A$788,INDEX(Техника!$H$1:$ABO$500,AA$2,0),"Л")</f>
        <v>0</v>
      </c>
      <c r="AB792" s="50">
        <f>SUMIFS(INDEX(Техника!$F$1:$ABM$500,AB$2,0),Техника!$F$4:$ABM$4,"Часы",INDEX(Техника!$G$1:$ABN$500,AB$2,0),$A$788,INDEX(Техника!$H$1:$ABO$500,AB$2,0),"Л")</f>
        <v>0</v>
      </c>
    </row>
    <row r="793" spans="1:28" hidden="1" outlineLevel="1" x14ac:dyDescent="0.3">
      <c r="A793" s="33" t="s">
        <v>245</v>
      </c>
      <c r="B793" s="34" t="s">
        <v>279</v>
      </c>
      <c r="C793" s="50">
        <f>SUMIFS(INDEX(Техника!$F$1:$ABM$500,C$2,0),Техника!$F$4:$ABM$4,"Часы",INDEX(Техника!$G$1:$ABN$500,C$2,0),$A$788,INDEX(Техника!$H$1:$ABO$500,C$2,0),"З")</f>
        <v>0</v>
      </c>
      <c r="D793" s="50">
        <f>SUMIFS(INDEX(Техника!$F$1:$ABM$500,D$2,0),Техника!$F$4:$ABM$4,"Часы",INDEX(Техника!$G$1:$ABN$500,D$2,0),$A$788,INDEX(Техника!$H$1:$ABO$500,D$2,0),"З")</f>
        <v>0</v>
      </c>
      <c r="E793" s="50">
        <f>SUMIFS(INDEX(Техника!$F$1:$ABM$500,E$2,0),Техника!$F$4:$ABM$4,"Часы",INDEX(Техника!$G$1:$ABN$500,E$2,0),$A$788,INDEX(Техника!$H$1:$ABO$500,E$2,0),"З")</f>
        <v>0</v>
      </c>
      <c r="F793" s="50">
        <f>SUMIFS(INDEX(Техника!$F$1:$ABM$500,F$2,0),Техника!$F$4:$ABM$4,"Часы",INDEX(Техника!$G$1:$ABN$500,F$2,0),$A$788,INDEX(Техника!$H$1:$ABO$500,F$2,0),"З")</f>
        <v>0</v>
      </c>
      <c r="G793" s="50">
        <f>SUMIFS(INDEX(Техника!$F$1:$ABM$500,G$2,0),Техника!$F$4:$ABM$4,"Часы",INDEX(Техника!$G$1:$ABN$500,G$2,0),$A$788,INDEX(Техника!$H$1:$ABO$500,G$2,0),"З")</f>
        <v>0</v>
      </c>
      <c r="H793" s="50">
        <f>SUMIFS(INDEX(Техника!$F$1:$ABM$500,H$2,0),Техника!$F$4:$ABM$4,"Часы",INDEX(Техника!$G$1:$ABN$500,H$2,0),$A$788,INDEX(Техника!$H$1:$ABO$500,H$2,0),"З")</f>
        <v>0</v>
      </c>
      <c r="I793" s="50">
        <f>SUMIFS(INDEX(Техника!$F$1:$ABM$500,I$2,0),Техника!$F$4:$ABM$4,"Часы",INDEX(Техника!$G$1:$ABN$500,I$2,0),$A$788,INDEX(Техника!$H$1:$ABO$500,I$2,0),"З")</f>
        <v>0</v>
      </c>
      <c r="J793" s="50">
        <f>SUMIFS(INDEX(Техника!$F$1:$ABM$500,J$2,0),Техника!$F$4:$ABM$4,"Часы",INDEX(Техника!$G$1:$ABN$500,J$2,0),$A$788,INDEX(Техника!$H$1:$ABO$500,J$2,0),"З")</f>
        <v>0</v>
      </c>
      <c r="K793" s="50">
        <f>SUMIFS(INDEX(Техника!$F$1:$ABM$500,K$2,0),Техника!$F$4:$ABM$4,"Часы",INDEX(Техника!$G$1:$ABN$500,K$2,0),$A$788,INDEX(Техника!$H$1:$ABO$500,K$2,0),"З")</f>
        <v>0</v>
      </c>
      <c r="L793" s="50">
        <f>SUMIFS(INDEX(Техника!$F$1:$ABM$500,L$2,0),Техника!$F$4:$ABM$4,"Часы",INDEX(Техника!$G$1:$ABN$500,L$2,0),$A$788,INDEX(Техника!$H$1:$ABO$500,L$2,0),"З")</f>
        <v>0</v>
      </c>
      <c r="M793" s="50">
        <f>SUMIFS(INDEX(Техника!$F$1:$ABM$500,M$2,0),Техника!$F$4:$ABM$4,"Часы",INDEX(Техника!$G$1:$ABN$500,M$2,0),$A$788,INDEX(Техника!$H$1:$ABO$500,M$2,0),"З")</f>
        <v>0</v>
      </c>
      <c r="N793" s="50">
        <f>SUMIFS(INDEX(Техника!$F$1:$ABM$500,N$2,0),Техника!$F$4:$ABM$4,"Часы",INDEX(Техника!$G$1:$ABN$500,N$2,0),$A$788,INDEX(Техника!$H$1:$ABO$500,N$2,0),"З")</f>
        <v>0</v>
      </c>
      <c r="O793" s="50">
        <f>SUMIFS(INDEX(Техника!$F$1:$ABM$500,O$2,0),Техника!$F$4:$ABM$4,"Часы",INDEX(Техника!$G$1:$ABN$500,O$2,0),$A$788,INDEX(Техника!$H$1:$ABO$500,O$2,0),"З")</f>
        <v>0</v>
      </c>
      <c r="P793" s="50">
        <f>SUMIFS(INDEX(Техника!$F$1:$ABM$500,P$2,0),Техника!$F$4:$ABM$4,"Часы",INDEX(Техника!$G$1:$ABN$500,P$2,0),$A$788,INDEX(Техника!$H$1:$ABO$500,P$2,0),"З")</f>
        <v>0</v>
      </c>
      <c r="Q793" s="50">
        <f>SUMIFS(INDEX(Техника!$F$1:$ABM$500,Q$2,0),Техника!$F$4:$ABM$4,"Часы",INDEX(Техника!$G$1:$ABN$500,Q$2,0),$A$788,INDEX(Техника!$H$1:$ABO$500,Q$2,0),"З")</f>
        <v>0</v>
      </c>
      <c r="R793" s="50">
        <f>SUMIFS(INDEX(Техника!$F$1:$ABM$500,R$2,0),Техника!$F$4:$ABM$4,"Часы",INDEX(Техника!$G$1:$ABN$500,R$2,0),$A$788,INDEX(Техника!$H$1:$ABO$500,R$2,0),"З")</f>
        <v>0</v>
      </c>
      <c r="S793" s="50">
        <f>SUMIFS(INDEX(Техника!$F$1:$ABM$500,S$2,0),Техника!$F$4:$ABM$4,"Часы",INDEX(Техника!$G$1:$ABN$500,S$2,0),$A$788,INDEX(Техника!$H$1:$ABO$500,S$2,0),"З")</f>
        <v>0</v>
      </c>
      <c r="T793" s="50">
        <f>SUMIFS(INDEX(Техника!$F$1:$ABM$500,T$2,0),Техника!$F$4:$ABM$4,"Часы",INDEX(Техника!$G$1:$ABN$500,T$2,0),$A$788,INDEX(Техника!$H$1:$ABO$500,T$2,0),"З")</f>
        <v>0</v>
      </c>
      <c r="U793" s="50">
        <f>SUMIFS(INDEX(Техника!$F$1:$ABM$500,U$2,0),Техника!$F$4:$ABM$4,"Часы",INDEX(Техника!$G$1:$ABN$500,U$2,0),$A$788,INDEX(Техника!$H$1:$ABO$500,U$2,0),"З")</f>
        <v>0</v>
      </c>
      <c r="V793" s="50">
        <f>SUMIFS(INDEX(Техника!$F$1:$ABM$500,V$2,0),Техника!$F$4:$ABM$4,"Часы",INDEX(Техника!$G$1:$ABN$500,V$2,0),$A$788,INDEX(Техника!$H$1:$ABO$500,V$2,0),"З")</f>
        <v>0</v>
      </c>
      <c r="W793" s="50">
        <f>SUMIFS(INDEX(Техника!$F$1:$ABM$500,W$2,0),Техника!$F$4:$ABM$4,"Часы",INDEX(Техника!$G$1:$ABN$500,W$2,0),$A$788,INDEX(Техника!$H$1:$ABO$500,W$2,0),"З")</f>
        <v>0</v>
      </c>
      <c r="X793" s="50">
        <f>SUMIFS(INDEX(Техника!$F$1:$ABM$500,X$2,0),Техника!$F$4:$ABM$4,"Часы",INDEX(Техника!$G$1:$ABN$500,X$2,0),$A$788,INDEX(Техника!$H$1:$ABO$500,X$2,0),"З")</f>
        <v>0</v>
      </c>
      <c r="Y793" s="50">
        <f>SUMIFS(INDEX(Техника!$F$1:$ABM$500,Y$2,0),Техника!$F$4:$ABM$4,"Часы",INDEX(Техника!$G$1:$ABN$500,Y$2,0),$A$788,INDEX(Техника!$H$1:$ABO$500,Y$2,0),"З")</f>
        <v>0</v>
      </c>
      <c r="Z793" s="50">
        <f>SUMIFS(INDEX(Техника!$F$1:$ABM$500,Z$2,0),Техника!$F$4:$ABM$4,"Часы",INDEX(Техника!$G$1:$ABN$500,Z$2,0),$A$788,INDEX(Техника!$H$1:$ABO$500,Z$2,0),"З")</f>
        <v>0</v>
      </c>
      <c r="AA793" s="50">
        <f>SUMIFS(INDEX(Техника!$F$1:$ABM$500,AA$2,0),Техника!$F$4:$ABM$4,"Часы",INDEX(Техника!$G$1:$ABN$500,AA$2,0),$A$788,INDEX(Техника!$H$1:$ABO$500,AA$2,0),"З")</f>
        <v>0</v>
      </c>
      <c r="AB793" s="50">
        <f>SUMIFS(INDEX(Техника!$F$1:$ABM$500,AB$2,0),Техника!$F$4:$ABM$4,"Часы",INDEX(Техника!$G$1:$ABN$500,AB$2,0),$A$788,INDEX(Техника!$H$1:$ABO$500,AB$2,0),"З")</f>
        <v>0</v>
      </c>
    </row>
    <row r="794" spans="1:28" ht="7.95" customHeight="1" x14ac:dyDescent="0.3">
      <c r="A794" s="38"/>
      <c r="B794" s="39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</row>
    <row r="795" spans="1:28" ht="25.05" customHeight="1" collapsed="1" x14ac:dyDescent="0.3">
      <c r="A795" s="32">
        <v>114</v>
      </c>
      <c r="B795" s="32" t="s">
        <v>115</v>
      </c>
      <c r="C795" s="49">
        <f>SUM(C796:C800)</f>
        <v>0</v>
      </c>
      <c r="D795" s="49">
        <f>SUM(D796:D800)</f>
        <v>0</v>
      </c>
      <c r="E795" s="49">
        <f>SUM(E796:E800)</f>
        <v>0</v>
      </c>
      <c r="F795" s="49">
        <f>SUM(F796:F800)</f>
        <v>0</v>
      </c>
      <c r="G795" s="49">
        <f>SUM(G796:G800)</f>
        <v>0</v>
      </c>
      <c r="H795" s="49">
        <f>SUM(H796:H800)</f>
        <v>0</v>
      </c>
      <c r="I795" s="49">
        <f>SUM(I796:I800)</f>
        <v>0</v>
      </c>
      <c r="J795" s="49">
        <f>SUM(J796:J800)</f>
        <v>0</v>
      </c>
      <c r="K795" s="49">
        <f>SUM(K796:K800)</f>
        <v>0</v>
      </c>
      <c r="L795" s="49">
        <f>SUM(L796:L800)</f>
        <v>0</v>
      </c>
      <c r="M795" s="49">
        <f>SUM(M796:M800)</f>
        <v>0</v>
      </c>
      <c r="N795" s="49">
        <f>SUM(N796:N800)</f>
        <v>0</v>
      </c>
      <c r="O795" s="49">
        <f>SUM(O796:O800)</f>
        <v>0</v>
      </c>
      <c r="P795" s="49">
        <f>SUM(P796:P800)</f>
        <v>0</v>
      </c>
      <c r="Q795" s="49">
        <f>SUM(Q796:Q800)</f>
        <v>0</v>
      </c>
      <c r="R795" s="49">
        <f>SUM(R796:R800)</f>
        <v>0</v>
      </c>
      <c r="S795" s="49">
        <f>SUM(S796:S800)</f>
        <v>0</v>
      </c>
      <c r="T795" s="49">
        <f>SUM(T796:T800)</f>
        <v>0</v>
      </c>
      <c r="U795" s="49">
        <f>SUM(U796:U800)</f>
        <v>0</v>
      </c>
      <c r="V795" s="49">
        <f>SUM(V796:V800)</f>
        <v>0</v>
      </c>
      <c r="W795" s="49">
        <f>SUM(W796:W800)</f>
        <v>0</v>
      </c>
      <c r="X795" s="49">
        <f>SUM(X796:X800)</f>
        <v>0</v>
      </c>
      <c r="Y795" s="49">
        <f>SUM(Y796:Y800)</f>
        <v>0</v>
      </c>
      <c r="Z795" s="49">
        <f>SUM(Z796:Z800)</f>
        <v>0</v>
      </c>
      <c r="AA795" s="49">
        <f>SUM(AA796:AA800)</f>
        <v>0</v>
      </c>
      <c r="AB795" s="49">
        <f>SUM(AB796:AB800)</f>
        <v>0</v>
      </c>
    </row>
    <row r="796" spans="1:28" hidden="1" outlineLevel="1" x14ac:dyDescent="0.3">
      <c r="A796" s="33" t="s">
        <v>246</v>
      </c>
      <c r="B796" s="34" t="s">
        <v>274</v>
      </c>
      <c r="C796" s="50">
        <f>SUMIFS(INDEX(Техника!$F$1:$ABM$500,C$2,0),Техника!$F$4:$ABM$4,"Часы",INDEX(Техника!$G$1:$ABN$500,C$2,0),$A$795,INDEX(Техника!$H$1:$ABO$500,C$2,0),"М")</f>
        <v>0</v>
      </c>
      <c r="D796" s="50">
        <f>SUMIFS(INDEX(Техника!$F$1:$ABM$500,D$2,0),Техника!$F$4:$ABM$4,"Часы",INDEX(Техника!$G$1:$ABN$500,D$2,0),$A$795,INDEX(Техника!$H$1:$ABO$500,D$2,0),"М")</f>
        <v>0</v>
      </c>
      <c r="E796" s="50">
        <f>SUMIFS(INDEX(Техника!$F$1:$ABM$500,E$2,0),Техника!$F$4:$ABM$4,"Часы",INDEX(Техника!$G$1:$ABN$500,E$2,0),$A$795,INDEX(Техника!$H$1:$ABO$500,E$2,0),"М")</f>
        <v>0</v>
      </c>
      <c r="F796" s="50">
        <f>SUMIFS(INDEX(Техника!$F$1:$ABM$500,F$2,0),Техника!$F$4:$ABM$4,"Часы",INDEX(Техника!$G$1:$ABN$500,F$2,0),$A$795,INDEX(Техника!$H$1:$ABO$500,F$2,0),"М")</f>
        <v>0</v>
      </c>
      <c r="G796" s="50">
        <f>SUMIFS(INDEX(Техника!$F$1:$ABM$500,G$2,0),Техника!$F$4:$ABM$4,"Часы",INDEX(Техника!$G$1:$ABN$500,G$2,0),$A$795,INDEX(Техника!$H$1:$ABO$500,G$2,0),"М")</f>
        <v>0</v>
      </c>
      <c r="H796" s="50">
        <f>SUMIFS(INDEX(Техника!$F$1:$ABM$500,H$2,0),Техника!$F$4:$ABM$4,"Часы",INDEX(Техника!$G$1:$ABN$500,H$2,0),$A$795,INDEX(Техника!$H$1:$ABO$500,H$2,0),"М")</f>
        <v>0</v>
      </c>
      <c r="I796" s="50">
        <f>SUMIFS(INDEX(Техника!$F$1:$ABM$500,I$2,0),Техника!$F$4:$ABM$4,"Часы",INDEX(Техника!$G$1:$ABN$500,I$2,0),$A$795,INDEX(Техника!$H$1:$ABO$500,I$2,0),"М")</f>
        <v>0</v>
      </c>
      <c r="J796" s="50">
        <f>SUMIFS(INDEX(Техника!$F$1:$ABM$500,J$2,0),Техника!$F$4:$ABM$4,"Часы",INDEX(Техника!$G$1:$ABN$500,J$2,0),$A$795,INDEX(Техника!$H$1:$ABO$500,J$2,0),"М")</f>
        <v>0</v>
      </c>
      <c r="K796" s="50">
        <f>SUMIFS(INDEX(Техника!$F$1:$ABM$500,K$2,0),Техника!$F$4:$ABM$4,"Часы",INDEX(Техника!$G$1:$ABN$500,K$2,0),$A$795,INDEX(Техника!$H$1:$ABO$500,K$2,0),"М")</f>
        <v>0</v>
      </c>
      <c r="L796" s="50">
        <f>SUMIFS(INDEX(Техника!$F$1:$ABM$500,L$2,0),Техника!$F$4:$ABM$4,"Часы",INDEX(Техника!$G$1:$ABN$500,L$2,0),$A$795,INDEX(Техника!$H$1:$ABO$500,L$2,0),"М")</f>
        <v>0</v>
      </c>
      <c r="M796" s="50">
        <f>SUMIFS(INDEX(Техника!$F$1:$ABM$500,M$2,0),Техника!$F$4:$ABM$4,"Часы",INDEX(Техника!$G$1:$ABN$500,M$2,0),$A$795,INDEX(Техника!$H$1:$ABO$500,M$2,0),"М")</f>
        <v>0</v>
      </c>
      <c r="N796" s="50">
        <f>SUMIFS(INDEX(Техника!$F$1:$ABM$500,N$2,0),Техника!$F$4:$ABM$4,"Часы",INDEX(Техника!$G$1:$ABN$500,N$2,0),$A$795,INDEX(Техника!$H$1:$ABO$500,N$2,0),"М")</f>
        <v>0</v>
      </c>
      <c r="O796" s="50">
        <f>SUMIFS(INDEX(Техника!$F$1:$ABM$500,O$2,0),Техника!$F$4:$ABM$4,"Часы",INDEX(Техника!$G$1:$ABN$500,O$2,0),$A$795,INDEX(Техника!$H$1:$ABO$500,O$2,0),"М")</f>
        <v>0</v>
      </c>
      <c r="P796" s="50">
        <f>SUMIFS(INDEX(Техника!$F$1:$ABM$500,P$2,0),Техника!$F$4:$ABM$4,"Часы",INDEX(Техника!$G$1:$ABN$500,P$2,0),$A$795,INDEX(Техника!$H$1:$ABO$500,P$2,0),"М")</f>
        <v>0</v>
      </c>
      <c r="Q796" s="50">
        <f>SUMIFS(INDEX(Техника!$F$1:$ABM$500,Q$2,0),Техника!$F$4:$ABM$4,"Часы",INDEX(Техника!$G$1:$ABN$500,Q$2,0),$A$795,INDEX(Техника!$H$1:$ABO$500,Q$2,0),"М")</f>
        <v>0</v>
      </c>
      <c r="R796" s="50">
        <f>SUMIFS(INDEX(Техника!$F$1:$ABM$500,R$2,0),Техника!$F$4:$ABM$4,"Часы",INDEX(Техника!$G$1:$ABN$500,R$2,0),$A$795,INDEX(Техника!$H$1:$ABO$500,R$2,0),"М")</f>
        <v>0</v>
      </c>
      <c r="S796" s="50">
        <f>SUMIFS(INDEX(Техника!$F$1:$ABM$500,S$2,0),Техника!$F$4:$ABM$4,"Часы",INDEX(Техника!$G$1:$ABN$500,S$2,0),$A$795,INDEX(Техника!$H$1:$ABO$500,S$2,0),"М")</f>
        <v>0</v>
      </c>
      <c r="T796" s="50">
        <f>SUMIFS(INDEX(Техника!$F$1:$ABM$500,T$2,0),Техника!$F$4:$ABM$4,"Часы",INDEX(Техника!$G$1:$ABN$500,T$2,0),$A$795,INDEX(Техника!$H$1:$ABO$500,T$2,0),"М")</f>
        <v>0</v>
      </c>
      <c r="U796" s="50">
        <f>SUMIFS(INDEX(Техника!$F$1:$ABM$500,U$2,0),Техника!$F$4:$ABM$4,"Часы",INDEX(Техника!$G$1:$ABN$500,U$2,0),$A$795,INDEX(Техника!$H$1:$ABO$500,U$2,0),"М")</f>
        <v>0</v>
      </c>
      <c r="V796" s="50">
        <f>SUMIFS(INDEX(Техника!$F$1:$ABM$500,V$2,0),Техника!$F$4:$ABM$4,"Часы",INDEX(Техника!$G$1:$ABN$500,V$2,0),$A$795,INDEX(Техника!$H$1:$ABO$500,V$2,0),"М")</f>
        <v>0</v>
      </c>
      <c r="W796" s="50">
        <f>SUMIFS(INDEX(Техника!$F$1:$ABM$500,W$2,0),Техника!$F$4:$ABM$4,"Часы",INDEX(Техника!$G$1:$ABN$500,W$2,0),$A$795,INDEX(Техника!$H$1:$ABO$500,W$2,0),"М")</f>
        <v>0</v>
      </c>
      <c r="X796" s="50">
        <f>SUMIFS(INDEX(Техника!$F$1:$ABM$500,X$2,0),Техника!$F$4:$ABM$4,"Часы",INDEX(Техника!$G$1:$ABN$500,X$2,0),$A$795,INDEX(Техника!$H$1:$ABO$500,X$2,0),"М")</f>
        <v>0</v>
      </c>
      <c r="Y796" s="50">
        <f>SUMIFS(INDEX(Техника!$F$1:$ABM$500,Y$2,0),Техника!$F$4:$ABM$4,"Часы",INDEX(Техника!$G$1:$ABN$500,Y$2,0),$A$795,INDEX(Техника!$H$1:$ABO$500,Y$2,0),"М")</f>
        <v>0</v>
      </c>
      <c r="Z796" s="50">
        <f>SUMIFS(INDEX(Техника!$F$1:$ABM$500,Z$2,0),Техника!$F$4:$ABM$4,"Часы",INDEX(Техника!$G$1:$ABN$500,Z$2,0),$A$795,INDEX(Техника!$H$1:$ABO$500,Z$2,0),"М")</f>
        <v>0</v>
      </c>
      <c r="AA796" s="50">
        <f>SUMIFS(INDEX(Техника!$F$1:$ABM$500,AA$2,0),Техника!$F$4:$ABM$4,"Часы",INDEX(Техника!$G$1:$ABN$500,AA$2,0),$A$795,INDEX(Техника!$H$1:$ABO$500,AA$2,0),"М")</f>
        <v>0</v>
      </c>
      <c r="AB796" s="50">
        <f>SUMIFS(INDEX(Техника!$F$1:$ABM$500,AB$2,0),Техника!$F$4:$ABM$4,"Часы",INDEX(Техника!$G$1:$ABN$500,AB$2,0),$A$795,INDEX(Техника!$H$1:$ABO$500,AB$2,0),"М")</f>
        <v>0</v>
      </c>
    </row>
    <row r="797" spans="1:28" hidden="1" outlineLevel="1" x14ac:dyDescent="0.3">
      <c r="A797" s="33" t="s">
        <v>244</v>
      </c>
      <c r="B797" s="34" t="s">
        <v>275</v>
      </c>
      <c r="C797" s="50">
        <f>SUMIFS(INDEX(Техника!$F$1:$ABM$500,C$2,0),Техника!$F$4:$ABM$4,"Часы",INDEX(Техника!$G$1:$ABN$500,C$2,0),$A$795,INDEX(Техника!$H$1:$ABO$500,C$2,0),"Д")</f>
        <v>0</v>
      </c>
      <c r="D797" s="50">
        <f>SUMIFS(INDEX(Техника!$F$1:$ABM$500,D$2,0),Техника!$F$4:$ABM$4,"Часы",INDEX(Техника!$G$1:$ABN$500,D$2,0),$A$795,INDEX(Техника!$H$1:$ABO$500,D$2,0),"Д")</f>
        <v>0</v>
      </c>
      <c r="E797" s="50">
        <f>SUMIFS(INDEX(Техника!$F$1:$ABM$500,E$2,0),Техника!$F$4:$ABM$4,"Часы",INDEX(Техника!$G$1:$ABN$500,E$2,0),$A$795,INDEX(Техника!$H$1:$ABO$500,E$2,0),"Д")</f>
        <v>0</v>
      </c>
      <c r="F797" s="50">
        <f>SUMIFS(INDEX(Техника!$F$1:$ABM$500,F$2,0),Техника!$F$4:$ABM$4,"Часы",INDEX(Техника!$G$1:$ABN$500,F$2,0),$A$795,INDEX(Техника!$H$1:$ABO$500,F$2,0),"Д")</f>
        <v>0</v>
      </c>
      <c r="G797" s="50">
        <f>SUMIFS(INDEX(Техника!$F$1:$ABM$500,G$2,0),Техника!$F$4:$ABM$4,"Часы",INDEX(Техника!$G$1:$ABN$500,G$2,0),$A$795,INDEX(Техника!$H$1:$ABO$500,G$2,0),"Д")</f>
        <v>0</v>
      </c>
      <c r="H797" s="50">
        <f>SUMIFS(INDEX(Техника!$F$1:$ABM$500,H$2,0),Техника!$F$4:$ABM$4,"Часы",INDEX(Техника!$G$1:$ABN$500,H$2,0),$A$795,INDEX(Техника!$H$1:$ABO$500,H$2,0),"Д")</f>
        <v>0</v>
      </c>
      <c r="I797" s="50">
        <f>SUMIFS(INDEX(Техника!$F$1:$ABM$500,I$2,0),Техника!$F$4:$ABM$4,"Часы",INDEX(Техника!$G$1:$ABN$500,I$2,0),$A$795,INDEX(Техника!$H$1:$ABO$500,I$2,0),"Д")</f>
        <v>0</v>
      </c>
      <c r="J797" s="50">
        <f>SUMIFS(INDEX(Техника!$F$1:$ABM$500,J$2,0),Техника!$F$4:$ABM$4,"Часы",INDEX(Техника!$G$1:$ABN$500,J$2,0),$A$795,INDEX(Техника!$H$1:$ABO$500,J$2,0),"Д")</f>
        <v>0</v>
      </c>
      <c r="K797" s="50">
        <f>SUMIFS(INDEX(Техника!$F$1:$ABM$500,K$2,0),Техника!$F$4:$ABM$4,"Часы",INDEX(Техника!$G$1:$ABN$500,K$2,0),$A$795,INDEX(Техника!$H$1:$ABO$500,K$2,0),"Д")</f>
        <v>0</v>
      </c>
      <c r="L797" s="50">
        <f>SUMIFS(INDEX(Техника!$F$1:$ABM$500,L$2,0),Техника!$F$4:$ABM$4,"Часы",INDEX(Техника!$G$1:$ABN$500,L$2,0),$A$795,INDEX(Техника!$H$1:$ABO$500,L$2,0),"Д")</f>
        <v>0</v>
      </c>
      <c r="M797" s="50">
        <f>SUMIFS(INDEX(Техника!$F$1:$ABM$500,M$2,0),Техника!$F$4:$ABM$4,"Часы",INDEX(Техника!$G$1:$ABN$500,M$2,0),$A$795,INDEX(Техника!$H$1:$ABO$500,M$2,0),"Д")</f>
        <v>0</v>
      </c>
      <c r="N797" s="50">
        <f>SUMIFS(INDEX(Техника!$F$1:$ABM$500,N$2,0),Техника!$F$4:$ABM$4,"Часы",INDEX(Техника!$G$1:$ABN$500,N$2,0),$A$795,INDEX(Техника!$H$1:$ABO$500,N$2,0),"Д")</f>
        <v>0</v>
      </c>
      <c r="O797" s="50">
        <f>SUMIFS(INDEX(Техника!$F$1:$ABM$500,O$2,0),Техника!$F$4:$ABM$4,"Часы",INDEX(Техника!$G$1:$ABN$500,O$2,0),$A$795,INDEX(Техника!$H$1:$ABO$500,O$2,0),"Д")</f>
        <v>0</v>
      </c>
      <c r="P797" s="50">
        <f>SUMIFS(INDEX(Техника!$F$1:$ABM$500,P$2,0),Техника!$F$4:$ABM$4,"Часы",INDEX(Техника!$G$1:$ABN$500,P$2,0),$A$795,INDEX(Техника!$H$1:$ABO$500,P$2,0),"Д")</f>
        <v>0</v>
      </c>
      <c r="Q797" s="50">
        <f>SUMIFS(INDEX(Техника!$F$1:$ABM$500,Q$2,0),Техника!$F$4:$ABM$4,"Часы",INDEX(Техника!$G$1:$ABN$500,Q$2,0),$A$795,INDEX(Техника!$H$1:$ABO$500,Q$2,0),"Д")</f>
        <v>0</v>
      </c>
      <c r="R797" s="50">
        <f>SUMIFS(INDEX(Техника!$F$1:$ABM$500,R$2,0),Техника!$F$4:$ABM$4,"Часы",INDEX(Техника!$G$1:$ABN$500,R$2,0),$A$795,INDEX(Техника!$H$1:$ABO$500,R$2,0),"Д")</f>
        <v>0</v>
      </c>
      <c r="S797" s="50">
        <f>SUMIFS(INDEX(Техника!$F$1:$ABM$500,S$2,0),Техника!$F$4:$ABM$4,"Часы",INDEX(Техника!$G$1:$ABN$500,S$2,0),$A$795,INDEX(Техника!$H$1:$ABO$500,S$2,0),"Д")</f>
        <v>0</v>
      </c>
      <c r="T797" s="50">
        <f>SUMIFS(INDEX(Техника!$F$1:$ABM$500,T$2,0),Техника!$F$4:$ABM$4,"Часы",INDEX(Техника!$G$1:$ABN$500,T$2,0),$A$795,INDEX(Техника!$H$1:$ABO$500,T$2,0),"Д")</f>
        <v>0</v>
      </c>
      <c r="U797" s="50">
        <f>SUMIFS(INDEX(Техника!$F$1:$ABM$500,U$2,0),Техника!$F$4:$ABM$4,"Часы",INDEX(Техника!$G$1:$ABN$500,U$2,0),$A$795,INDEX(Техника!$H$1:$ABO$500,U$2,0),"Д")</f>
        <v>0</v>
      </c>
      <c r="V797" s="50">
        <f>SUMIFS(INDEX(Техника!$F$1:$ABM$500,V$2,0),Техника!$F$4:$ABM$4,"Часы",INDEX(Техника!$G$1:$ABN$500,V$2,0),$A$795,INDEX(Техника!$H$1:$ABO$500,V$2,0),"Д")</f>
        <v>0</v>
      </c>
      <c r="W797" s="50">
        <f>SUMIFS(INDEX(Техника!$F$1:$ABM$500,W$2,0),Техника!$F$4:$ABM$4,"Часы",INDEX(Техника!$G$1:$ABN$500,W$2,0),$A$795,INDEX(Техника!$H$1:$ABO$500,W$2,0),"Д")</f>
        <v>0</v>
      </c>
      <c r="X797" s="50">
        <f>SUMIFS(INDEX(Техника!$F$1:$ABM$500,X$2,0),Техника!$F$4:$ABM$4,"Часы",INDEX(Техника!$G$1:$ABN$500,X$2,0),$A$795,INDEX(Техника!$H$1:$ABO$500,X$2,0),"Д")</f>
        <v>0</v>
      </c>
      <c r="Y797" s="50">
        <f>SUMIFS(INDEX(Техника!$F$1:$ABM$500,Y$2,0),Техника!$F$4:$ABM$4,"Часы",INDEX(Техника!$G$1:$ABN$500,Y$2,0),$A$795,INDEX(Техника!$H$1:$ABO$500,Y$2,0),"Д")</f>
        <v>0</v>
      </c>
      <c r="Z797" s="50">
        <f>SUMIFS(INDEX(Техника!$F$1:$ABM$500,Z$2,0),Техника!$F$4:$ABM$4,"Часы",INDEX(Техника!$G$1:$ABN$500,Z$2,0),$A$795,INDEX(Техника!$H$1:$ABO$500,Z$2,0),"Д")</f>
        <v>0</v>
      </c>
      <c r="AA797" s="50">
        <f>SUMIFS(INDEX(Техника!$F$1:$ABM$500,AA$2,0),Техника!$F$4:$ABM$4,"Часы",INDEX(Техника!$G$1:$ABN$500,AA$2,0),$A$795,INDEX(Техника!$H$1:$ABO$500,AA$2,0),"Д")</f>
        <v>0</v>
      </c>
      <c r="AB797" s="50">
        <f>SUMIFS(INDEX(Техника!$F$1:$ABM$500,AB$2,0),Техника!$F$4:$ABM$4,"Часы",INDEX(Техника!$G$1:$ABN$500,AB$2,0),$A$795,INDEX(Техника!$H$1:$ABO$500,AB$2,0),"Д")</f>
        <v>0</v>
      </c>
    </row>
    <row r="798" spans="1:28" hidden="1" outlineLevel="1" x14ac:dyDescent="0.3">
      <c r="A798" s="33" t="s">
        <v>276</v>
      </c>
      <c r="B798" s="34" t="s">
        <v>277</v>
      </c>
      <c r="C798" s="50">
        <f>SUMIFS(INDEX(Техника!$F$1:$ABM$500,C$2,0),Техника!$F$4:$ABM$4,"Часы",INDEX(Техника!$G$1:$ABN$500,C$2,0),$A$795,INDEX(Техника!$H$1:$ABO$500,C$2,0),"П")</f>
        <v>0</v>
      </c>
      <c r="D798" s="50">
        <f>SUMIFS(INDEX(Техника!$F$1:$ABM$500,D$2,0),Техника!$F$4:$ABM$4,"Часы",INDEX(Техника!$G$1:$ABN$500,D$2,0),$A$795,INDEX(Техника!$H$1:$ABO$500,D$2,0),"П")</f>
        <v>0</v>
      </c>
      <c r="E798" s="50">
        <f>SUMIFS(INDEX(Техника!$F$1:$ABM$500,E$2,0),Техника!$F$4:$ABM$4,"Часы",INDEX(Техника!$G$1:$ABN$500,E$2,0),$A$795,INDEX(Техника!$H$1:$ABO$500,E$2,0),"П")</f>
        <v>0</v>
      </c>
      <c r="F798" s="50">
        <f>SUMIFS(INDEX(Техника!$F$1:$ABM$500,F$2,0),Техника!$F$4:$ABM$4,"Часы",INDEX(Техника!$G$1:$ABN$500,F$2,0),$A$795,INDEX(Техника!$H$1:$ABO$500,F$2,0),"П")</f>
        <v>0</v>
      </c>
      <c r="G798" s="50">
        <f>SUMIFS(INDEX(Техника!$F$1:$ABM$500,G$2,0),Техника!$F$4:$ABM$4,"Часы",INDEX(Техника!$G$1:$ABN$500,G$2,0),$A$795,INDEX(Техника!$H$1:$ABO$500,G$2,0),"П")</f>
        <v>0</v>
      </c>
      <c r="H798" s="50">
        <f>SUMIFS(INDEX(Техника!$F$1:$ABM$500,H$2,0),Техника!$F$4:$ABM$4,"Часы",INDEX(Техника!$G$1:$ABN$500,H$2,0),$A$795,INDEX(Техника!$H$1:$ABO$500,H$2,0),"П")</f>
        <v>0</v>
      </c>
      <c r="I798" s="50">
        <f>SUMIFS(INDEX(Техника!$F$1:$ABM$500,I$2,0),Техника!$F$4:$ABM$4,"Часы",INDEX(Техника!$G$1:$ABN$500,I$2,0),$A$795,INDEX(Техника!$H$1:$ABO$500,I$2,0),"П")</f>
        <v>0</v>
      </c>
      <c r="J798" s="50">
        <f>SUMIFS(INDEX(Техника!$F$1:$ABM$500,J$2,0),Техника!$F$4:$ABM$4,"Часы",INDEX(Техника!$G$1:$ABN$500,J$2,0),$A$795,INDEX(Техника!$H$1:$ABO$500,J$2,0),"П")</f>
        <v>0</v>
      </c>
      <c r="K798" s="50">
        <f>SUMIFS(INDEX(Техника!$F$1:$ABM$500,K$2,0),Техника!$F$4:$ABM$4,"Часы",INDEX(Техника!$G$1:$ABN$500,K$2,0),$A$795,INDEX(Техника!$H$1:$ABO$500,K$2,0),"П")</f>
        <v>0</v>
      </c>
      <c r="L798" s="50">
        <f>SUMIFS(INDEX(Техника!$F$1:$ABM$500,L$2,0),Техника!$F$4:$ABM$4,"Часы",INDEX(Техника!$G$1:$ABN$500,L$2,0),$A$795,INDEX(Техника!$H$1:$ABO$500,L$2,0),"П")</f>
        <v>0</v>
      </c>
      <c r="M798" s="50">
        <f>SUMIFS(INDEX(Техника!$F$1:$ABM$500,M$2,0),Техника!$F$4:$ABM$4,"Часы",INDEX(Техника!$G$1:$ABN$500,M$2,0),$A$795,INDEX(Техника!$H$1:$ABO$500,M$2,0),"П")</f>
        <v>0</v>
      </c>
      <c r="N798" s="50">
        <f>SUMIFS(INDEX(Техника!$F$1:$ABM$500,N$2,0),Техника!$F$4:$ABM$4,"Часы",INDEX(Техника!$G$1:$ABN$500,N$2,0),$A$795,INDEX(Техника!$H$1:$ABO$500,N$2,0),"П")</f>
        <v>0</v>
      </c>
      <c r="O798" s="50">
        <f>SUMIFS(INDEX(Техника!$F$1:$ABM$500,O$2,0),Техника!$F$4:$ABM$4,"Часы",INDEX(Техника!$G$1:$ABN$500,O$2,0),$A$795,INDEX(Техника!$H$1:$ABO$500,O$2,0),"П")</f>
        <v>0</v>
      </c>
      <c r="P798" s="50">
        <f>SUMIFS(INDEX(Техника!$F$1:$ABM$500,P$2,0),Техника!$F$4:$ABM$4,"Часы",INDEX(Техника!$G$1:$ABN$500,P$2,0),$A$795,INDEX(Техника!$H$1:$ABO$500,P$2,0),"П")</f>
        <v>0</v>
      </c>
      <c r="Q798" s="50">
        <f>SUMIFS(INDEX(Техника!$F$1:$ABM$500,Q$2,0),Техника!$F$4:$ABM$4,"Часы",INDEX(Техника!$G$1:$ABN$500,Q$2,0),$A$795,INDEX(Техника!$H$1:$ABO$500,Q$2,0),"П")</f>
        <v>0</v>
      </c>
      <c r="R798" s="50">
        <f>SUMIFS(INDEX(Техника!$F$1:$ABM$500,R$2,0),Техника!$F$4:$ABM$4,"Часы",INDEX(Техника!$G$1:$ABN$500,R$2,0),$A$795,INDEX(Техника!$H$1:$ABO$500,R$2,0),"П")</f>
        <v>0</v>
      </c>
      <c r="S798" s="50">
        <f>SUMIFS(INDEX(Техника!$F$1:$ABM$500,S$2,0),Техника!$F$4:$ABM$4,"Часы",INDEX(Техника!$G$1:$ABN$500,S$2,0),$A$795,INDEX(Техника!$H$1:$ABO$500,S$2,0),"П")</f>
        <v>0</v>
      </c>
      <c r="T798" s="50">
        <f>SUMIFS(INDEX(Техника!$F$1:$ABM$500,T$2,0),Техника!$F$4:$ABM$4,"Часы",INDEX(Техника!$G$1:$ABN$500,T$2,0),$A$795,INDEX(Техника!$H$1:$ABO$500,T$2,0),"П")</f>
        <v>0</v>
      </c>
      <c r="U798" s="50">
        <f>SUMIFS(INDEX(Техника!$F$1:$ABM$500,U$2,0),Техника!$F$4:$ABM$4,"Часы",INDEX(Техника!$G$1:$ABN$500,U$2,0),$A$795,INDEX(Техника!$H$1:$ABO$500,U$2,0),"П")</f>
        <v>0</v>
      </c>
      <c r="V798" s="50">
        <f>SUMIFS(INDEX(Техника!$F$1:$ABM$500,V$2,0),Техника!$F$4:$ABM$4,"Часы",INDEX(Техника!$G$1:$ABN$500,V$2,0),$A$795,INDEX(Техника!$H$1:$ABO$500,V$2,0),"П")</f>
        <v>0</v>
      </c>
      <c r="W798" s="50">
        <f>SUMIFS(INDEX(Техника!$F$1:$ABM$500,W$2,0),Техника!$F$4:$ABM$4,"Часы",INDEX(Техника!$G$1:$ABN$500,W$2,0),$A$795,INDEX(Техника!$H$1:$ABO$500,W$2,0),"П")</f>
        <v>0</v>
      </c>
      <c r="X798" s="50">
        <f>SUMIFS(INDEX(Техника!$F$1:$ABM$500,X$2,0),Техника!$F$4:$ABM$4,"Часы",INDEX(Техника!$G$1:$ABN$500,X$2,0),$A$795,INDEX(Техника!$H$1:$ABO$500,X$2,0),"П")</f>
        <v>0</v>
      </c>
      <c r="Y798" s="50">
        <f>SUMIFS(INDEX(Техника!$F$1:$ABM$500,Y$2,0),Техника!$F$4:$ABM$4,"Часы",INDEX(Техника!$G$1:$ABN$500,Y$2,0),$A$795,INDEX(Техника!$H$1:$ABO$500,Y$2,0),"П")</f>
        <v>0</v>
      </c>
      <c r="Z798" s="50">
        <f>SUMIFS(INDEX(Техника!$F$1:$ABM$500,Z$2,0),Техника!$F$4:$ABM$4,"Часы",INDEX(Техника!$G$1:$ABN$500,Z$2,0),$A$795,INDEX(Техника!$H$1:$ABO$500,Z$2,0),"П")</f>
        <v>0</v>
      </c>
      <c r="AA798" s="50">
        <f>SUMIFS(INDEX(Техника!$F$1:$ABM$500,AA$2,0),Техника!$F$4:$ABM$4,"Часы",INDEX(Техника!$G$1:$ABN$500,AA$2,0),$A$795,INDEX(Техника!$H$1:$ABO$500,AA$2,0),"П")</f>
        <v>0</v>
      </c>
      <c r="AB798" s="50">
        <f>SUMIFS(INDEX(Техника!$F$1:$ABM$500,AB$2,0),Техника!$F$4:$ABM$4,"Часы",INDEX(Техника!$G$1:$ABN$500,AB$2,0),$A$795,INDEX(Техника!$H$1:$ABO$500,AB$2,0),"П")</f>
        <v>0</v>
      </c>
    </row>
    <row r="799" spans="1:28" hidden="1" outlineLevel="1" x14ac:dyDescent="0.3">
      <c r="A799" s="33" t="s">
        <v>243</v>
      </c>
      <c r="B799" s="34" t="s">
        <v>278</v>
      </c>
      <c r="C799" s="50">
        <f>SUMIFS(INDEX(Техника!$F$1:$ABM$500,C$2,0),Техника!$F$4:$ABM$4,"Часы",INDEX(Техника!$G$1:$ABN$500,C$2,0),$A$795,INDEX(Техника!$H$1:$ABO$500,C$2,0),"Л")</f>
        <v>0</v>
      </c>
      <c r="D799" s="50">
        <f>SUMIFS(INDEX(Техника!$F$1:$ABM$500,D$2,0),Техника!$F$4:$ABM$4,"Часы",INDEX(Техника!$G$1:$ABN$500,D$2,0),$A$795,INDEX(Техника!$H$1:$ABO$500,D$2,0),"Л")</f>
        <v>0</v>
      </c>
      <c r="E799" s="50">
        <f>SUMIFS(INDEX(Техника!$F$1:$ABM$500,E$2,0),Техника!$F$4:$ABM$4,"Часы",INDEX(Техника!$G$1:$ABN$500,E$2,0),$A$795,INDEX(Техника!$H$1:$ABO$500,E$2,0),"Л")</f>
        <v>0</v>
      </c>
      <c r="F799" s="50">
        <f>SUMIFS(INDEX(Техника!$F$1:$ABM$500,F$2,0),Техника!$F$4:$ABM$4,"Часы",INDEX(Техника!$G$1:$ABN$500,F$2,0),$A$795,INDEX(Техника!$H$1:$ABO$500,F$2,0),"Л")</f>
        <v>0</v>
      </c>
      <c r="G799" s="50">
        <f>SUMIFS(INDEX(Техника!$F$1:$ABM$500,G$2,0),Техника!$F$4:$ABM$4,"Часы",INDEX(Техника!$G$1:$ABN$500,G$2,0),$A$795,INDEX(Техника!$H$1:$ABO$500,G$2,0),"Л")</f>
        <v>0</v>
      </c>
      <c r="H799" s="50">
        <f>SUMIFS(INDEX(Техника!$F$1:$ABM$500,H$2,0),Техника!$F$4:$ABM$4,"Часы",INDEX(Техника!$G$1:$ABN$500,H$2,0),$A$795,INDEX(Техника!$H$1:$ABO$500,H$2,0),"Л")</f>
        <v>0</v>
      </c>
      <c r="I799" s="50">
        <f>SUMIFS(INDEX(Техника!$F$1:$ABM$500,I$2,0),Техника!$F$4:$ABM$4,"Часы",INDEX(Техника!$G$1:$ABN$500,I$2,0),$A$795,INDEX(Техника!$H$1:$ABO$500,I$2,0),"Л")</f>
        <v>0</v>
      </c>
      <c r="J799" s="50">
        <f>SUMIFS(INDEX(Техника!$F$1:$ABM$500,J$2,0),Техника!$F$4:$ABM$4,"Часы",INDEX(Техника!$G$1:$ABN$500,J$2,0),$A$795,INDEX(Техника!$H$1:$ABO$500,J$2,0),"Л")</f>
        <v>0</v>
      </c>
      <c r="K799" s="50">
        <f>SUMIFS(INDEX(Техника!$F$1:$ABM$500,K$2,0),Техника!$F$4:$ABM$4,"Часы",INDEX(Техника!$G$1:$ABN$500,K$2,0),$A$795,INDEX(Техника!$H$1:$ABO$500,K$2,0),"Л")</f>
        <v>0</v>
      </c>
      <c r="L799" s="50">
        <f>SUMIFS(INDEX(Техника!$F$1:$ABM$500,L$2,0),Техника!$F$4:$ABM$4,"Часы",INDEX(Техника!$G$1:$ABN$500,L$2,0),$A$795,INDEX(Техника!$H$1:$ABO$500,L$2,0),"Л")</f>
        <v>0</v>
      </c>
      <c r="M799" s="50">
        <f>SUMIFS(INDEX(Техника!$F$1:$ABM$500,M$2,0),Техника!$F$4:$ABM$4,"Часы",INDEX(Техника!$G$1:$ABN$500,M$2,0),$A$795,INDEX(Техника!$H$1:$ABO$500,M$2,0),"Л")</f>
        <v>0</v>
      </c>
      <c r="N799" s="50">
        <f>SUMIFS(INDEX(Техника!$F$1:$ABM$500,N$2,0),Техника!$F$4:$ABM$4,"Часы",INDEX(Техника!$G$1:$ABN$500,N$2,0),$A$795,INDEX(Техника!$H$1:$ABO$500,N$2,0),"Л")</f>
        <v>0</v>
      </c>
      <c r="O799" s="50">
        <f>SUMIFS(INDEX(Техника!$F$1:$ABM$500,O$2,0),Техника!$F$4:$ABM$4,"Часы",INDEX(Техника!$G$1:$ABN$500,O$2,0),$A$795,INDEX(Техника!$H$1:$ABO$500,O$2,0),"Л")</f>
        <v>0</v>
      </c>
      <c r="P799" s="50">
        <f>SUMIFS(INDEX(Техника!$F$1:$ABM$500,P$2,0),Техника!$F$4:$ABM$4,"Часы",INDEX(Техника!$G$1:$ABN$500,P$2,0),$A$795,INDEX(Техника!$H$1:$ABO$500,P$2,0),"Л")</f>
        <v>0</v>
      </c>
      <c r="Q799" s="50">
        <f>SUMIFS(INDEX(Техника!$F$1:$ABM$500,Q$2,0),Техника!$F$4:$ABM$4,"Часы",INDEX(Техника!$G$1:$ABN$500,Q$2,0),$A$795,INDEX(Техника!$H$1:$ABO$500,Q$2,0),"Л")</f>
        <v>0</v>
      </c>
      <c r="R799" s="50">
        <f>SUMIFS(INDEX(Техника!$F$1:$ABM$500,R$2,0),Техника!$F$4:$ABM$4,"Часы",INDEX(Техника!$G$1:$ABN$500,R$2,0),$A$795,INDEX(Техника!$H$1:$ABO$500,R$2,0),"Л")</f>
        <v>0</v>
      </c>
      <c r="S799" s="50">
        <f>SUMIFS(INDEX(Техника!$F$1:$ABM$500,S$2,0),Техника!$F$4:$ABM$4,"Часы",INDEX(Техника!$G$1:$ABN$500,S$2,0),$A$795,INDEX(Техника!$H$1:$ABO$500,S$2,0),"Л")</f>
        <v>0</v>
      </c>
      <c r="T799" s="50">
        <f>SUMIFS(INDEX(Техника!$F$1:$ABM$500,T$2,0),Техника!$F$4:$ABM$4,"Часы",INDEX(Техника!$G$1:$ABN$500,T$2,0),$A$795,INDEX(Техника!$H$1:$ABO$500,T$2,0),"Л")</f>
        <v>0</v>
      </c>
      <c r="U799" s="50">
        <f>SUMIFS(INDEX(Техника!$F$1:$ABM$500,U$2,0),Техника!$F$4:$ABM$4,"Часы",INDEX(Техника!$G$1:$ABN$500,U$2,0),$A$795,INDEX(Техника!$H$1:$ABO$500,U$2,0),"Л")</f>
        <v>0</v>
      </c>
      <c r="V799" s="50">
        <f>SUMIFS(INDEX(Техника!$F$1:$ABM$500,V$2,0),Техника!$F$4:$ABM$4,"Часы",INDEX(Техника!$G$1:$ABN$500,V$2,0),$A$795,INDEX(Техника!$H$1:$ABO$500,V$2,0),"Л")</f>
        <v>0</v>
      </c>
      <c r="W799" s="50">
        <f>SUMIFS(INDEX(Техника!$F$1:$ABM$500,W$2,0),Техника!$F$4:$ABM$4,"Часы",INDEX(Техника!$G$1:$ABN$500,W$2,0),$A$795,INDEX(Техника!$H$1:$ABO$500,W$2,0),"Л")</f>
        <v>0</v>
      </c>
      <c r="X799" s="50">
        <f>SUMIFS(INDEX(Техника!$F$1:$ABM$500,X$2,0),Техника!$F$4:$ABM$4,"Часы",INDEX(Техника!$G$1:$ABN$500,X$2,0),$A$795,INDEX(Техника!$H$1:$ABO$500,X$2,0),"Л")</f>
        <v>0</v>
      </c>
      <c r="Y799" s="50">
        <f>SUMIFS(INDEX(Техника!$F$1:$ABM$500,Y$2,0),Техника!$F$4:$ABM$4,"Часы",INDEX(Техника!$G$1:$ABN$500,Y$2,0),$A$795,INDEX(Техника!$H$1:$ABO$500,Y$2,0),"Л")</f>
        <v>0</v>
      </c>
      <c r="Z799" s="50">
        <f>SUMIFS(INDEX(Техника!$F$1:$ABM$500,Z$2,0),Техника!$F$4:$ABM$4,"Часы",INDEX(Техника!$G$1:$ABN$500,Z$2,0),$A$795,INDEX(Техника!$H$1:$ABO$500,Z$2,0),"Л")</f>
        <v>0</v>
      </c>
      <c r="AA799" s="50">
        <f>SUMIFS(INDEX(Техника!$F$1:$ABM$500,AA$2,0),Техника!$F$4:$ABM$4,"Часы",INDEX(Техника!$G$1:$ABN$500,AA$2,0),$A$795,INDEX(Техника!$H$1:$ABO$500,AA$2,0),"Л")</f>
        <v>0</v>
      </c>
      <c r="AB799" s="50">
        <f>SUMIFS(INDEX(Техника!$F$1:$ABM$500,AB$2,0),Техника!$F$4:$ABM$4,"Часы",INDEX(Техника!$G$1:$ABN$500,AB$2,0),$A$795,INDEX(Техника!$H$1:$ABO$500,AB$2,0),"Л")</f>
        <v>0</v>
      </c>
    </row>
    <row r="800" spans="1:28" hidden="1" outlineLevel="1" x14ac:dyDescent="0.3">
      <c r="A800" s="33" t="s">
        <v>245</v>
      </c>
      <c r="B800" s="34" t="s">
        <v>279</v>
      </c>
      <c r="C800" s="50">
        <f>SUMIFS(INDEX(Техника!$F$1:$ABM$500,C$2,0),Техника!$F$4:$ABM$4,"Часы",INDEX(Техника!$G$1:$ABN$500,C$2,0),$A$795,INDEX(Техника!$H$1:$ABO$500,C$2,0),"З")</f>
        <v>0</v>
      </c>
      <c r="D800" s="50">
        <f>SUMIFS(INDEX(Техника!$F$1:$ABM$500,D$2,0),Техника!$F$4:$ABM$4,"Часы",INDEX(Техника!$G$1:$ABN$500,D$2,0),$A$795,INDEX(Техника!$H$1:$ABO$500,D$2,0),"З")</f>
        <v>0</v>
      </c>
      <c r="E800" s="50">
        <f>SUMIFS(INDEX(Техника!$F$1:$ABM$500,E$2,0),Техника!$F$4:$ABM$4,"Часы",INDEX(Техника!$G$1:$ABN$500,E$2,0),$A$795,INDEX(Техника!$H$1:$ABO$500,E$2,0),"З")</f>
        <v>0</v>
      </c>
      <c r="F800" s="50">
        <f>SUMIFS(INDEX(Техника!$F$1:$ABM$500,F$2,0),Техника!$F$4:$ABM$4,"Часы",INDEX(Техника!$G$1:$ABN$500,F$2,0),$A$795,INDEX(Техника!$H$1:$ABO$500,F$2,0),"З")</f>
        <v>0</v>
      </c>
      <c r="G800" s="50">
        <f>SUMIFS(INDEX(Техника!$F$1:$ABM$500,G$2,0),Техника!$F$4:$ABM$4,"Часы",INDEX(Техника!$G$1:$ABN$500,G$2,0),$A$795,INDEX(Техника!$H$1:$ABO$500,G$2,0),"З")</f>
        <v>0</v>
      </c>
      <c r="H800" s="50">
        <f>SUMIFS(INDEX(Техника!$F$1:$ABM$500,H$2,0),Техника!$F$4:$ABM$4,"Часы",INDEX(Техника!$G$1:$ABN$500,H$2,0),$A$795,INDEX(Техника!$H$1:$ABO$500,H$2,0),"З")</f>
        <v>0</v>
      </c>
      <c r="I800" s="50">
        <f>SUMIFS(INDEX(Техника!$F$1:$ABM$500,I$2,0),Техника!$F$4:$ABM$4,"Часы",INDEX(Техника!$G$1:$ABN$500,I$2,0),$A$795,INDEX(Техника!$H$1:$ABO$500,I$2,0),"З")</f>
        <v>0</v>
      </c>
      <c r="J800" s="50">
        <f>SUMIFS(INDEX(Техника!$F$1:$ABM$500,J$2,0),Техника!$F$4:$ABM$4,"Часы",INDEX(Техника!$G$1:$ABN$500,J$2,0),$A$795,INDEX(Техника!$H$1:$ABO$500,J$2,0),"З")</f>
        <v>0</v>
      </c>
      <c r="K800" s="50">
        <f>SUMIFS(INDEX(Техника!$F$1:$ABM$500,K$2,0),Техника!$F$4:$ABM$4,"Часы",INDEX(Техника!$G$1:$ABN$500,K$2,0),$A$795,INDEX(Техника!$H$1:$ABO$500,K$2,0),"З")</f>
        <v>0</v>
      </c>
      <c r="L800" s="50">
        <f>SUMIFS(INDEX(Техника!$F$1:$ABM$500,L$2,0),Техника!$F$4:$ABM$4,"Часы",INDEX(Техника!$G$1:$ABN$500,L$2,0),$A$795,INDEX(Техника!$H$1:$ABO$500,L$2,0),"З")</f>
        <v>0</v>
      </c>
      <c r="M800" s="50">
        <f>SUMIFS(INDEX(Техника!$F$1:$ABM$500,M$2,0),Техника!$F$4:$ABM$4,"Часы",INDEX(Техника!$G$1:$ABN$500,M$2,0),$A$795,INDEX(Техника!$H$1:$ABO$500,M$2,0),"З")</f>
        <v>0</v>
      </c>
      <c r="N800" s="50">
        <f>SUMIFS(INDEX(Техника!$F$1:$ABM$500,N$2,0),Техника!$F$4:$ABM$4,"Часы",INDEX(Техника!$G$1:$ABN$500,N$2,0),$A$795,INDEX(Техника!$H$1:$ABO$500,N$2,0),"З")</f>
        <v>0</v>
      </c>
      <c r="O800" s="50">
        <f>SUMIFS(INDEX(Техника!$F$1:$ABM$500,O$2,0),Техника!$F$4:$ABM$4,"Часы",INDEX(Техника!$G$1:$ABN$500,O$2,0),$A$795,INDEX(Техника!$H$1:$ABO$500,O$2,0),"З")</f>
        <v>0</v>
      </c>
      <c r="P800" s="50">
        <f>SUMIFS(INDEX(Техника!$F$1:$ABM$500,P$2,0),Техника!$F$4:$ABM$4,"Часы",INDEX(Техника!$G$1:$ABN$500,P$2,0),$A$795,INDEX(Техника!$H$1:$ABO$500,P$2,0),"З")</f>
        <v>0</v>
      </c>
      <c r="Q800" s="50">
        <f>SUMIFS(INDEX(Техника!$F$1:$ABM$500,Q$2,0),Техника!$F$4:$ABM$4,"Часы",INDEX(Техника!$G$1:$ABN$500,Q$2,0),$A$795,INDEX(Техника!$H$1:$ABO$500,Q$2,0),"З")</f>
        <v>0</v>
      </c>
      <c r="R800" s="50">
        <f>SUMIFS(INDEX(Техника!$F$1:$ABM$500,R$2,0),Техника!$F$4:$ABM$4,"Часы",INDEX(Техника!$G$1:$ABN$500,R$2,0),$A$795,INDEX(Техника!$H$1:$ABO$500,R$2,0),"З")</f>
        <v>0</v>
      </c>
      <c r="S800" s="50">
        <f>SUMIFS(INDEX(Техника!$F$1:$ABM$500,S$2,0),Техника!$F$4:$ABM$4,"Часы",INDEX(Техника!$G$1:$ABN$500,S$2,0),$A$795,INDEX(Техника!$H$1:$ABO$500,S$2,0),"З")</f>
        <v>0</v>
      </c>
      <c r="T800" s="50">
        <f>SUMIFS(INDEX(Техника!$F$1:$ABM$500,T$2,0),Техника!$F$4:$ABM$4,"Часы",INDEX(Техника!$G$1:$ABN$500,T$2,0),$A$795,INDEX(Техника!$H$1:$ABO$500,T$2,0),"З")</f>
        <v>0</v>
      </c>
      <c r="U800" s="50">
        <f>SUMIFS(INDEX(Техника!$F$1:$ABM$500,U$2,0),Техника!$F$4:$ABM$4,"Часы",INDEX(Техника!$G$1:$ABN$500,U$2,0),$A$795,INDEX(Техника!$H$1:$ABO$500,U$2,0),"З")</f>
        <v>0</v>
      </c>
      <c r="V800" s="50">
        <f>SUMIFS(INDEX(Техника!$F$1:$ABM$500,V$2,0),Техника!$F$4:$ABM$4,"Часы",INDEX(Техника!$G$1:$ABN$500,V$2,0),$A$795,INDEX(Техника!$H$1:$ABO$500,V$2,0),"З")</f>
        <v>0</v>
      </c>
      <c r="W800" s="50">
        <f>SUMIFS(INDEX(Техника!$F$1:$ABM$500,W$2,0),Техника!$F$4:$ABM$4,"Часы",INDEX(Техника!$G$1:$ABN$500,W$2,0),$A$795,INDEX(Техника!$H$1:$ABO$500,W$2,0),"З")</f>
        <v>0</v>
      </c>
      <c r="X800" s="50">
        <f>SUMIFS(INDEX(Техника!$F$1:$ABM$500,X$2,0),Техника!$F$4:$ABM$4,"Часы",INDEX(Техника!$G$1:$ABN$500,X$2,0),$A$795,INDEX(Техника!$H$1:$ABO$500,X$2,0),"З")</f>
        <v>0</v>
      </c>
      <c r="Y800" s="50">
        <f>SUMIFS(INDEX(Техника!$F$1:$ABM$500,Y$2,0),Техника!$F$4:$ABM$4,"Часы",INDEX(Техника!$G$1:$ABN$500,Y$2,0),$A$795,INDEX(Техника!$H$1:$ABO$500,Y$2,0),"З")</f>
        <v>0</v>
      </c>
      <c r="Z800" s="50">
        <f>SUMIFS(INDEX(Техника!$F$1:$ABM$500,Z$2,0),Техника!$F$4:$ABM$4,"Часы",INDEX(Техника!$G$1:$ABN$500,Z$2,0),$A$795,INDEX(Техника!$H$1:$ABO$500,Z$2,0),"З")</f>
        <v>0</v>
      </c>
      <c r="AA800" s="50">
        <f>SUMIFS(INDEX(Техника!$F$1:$ABM$500,AA$2,0),Техника!$F$4:$ABM$4,"Часы",INDEX(Техника!$G$1:$ABN$500,AA$2,0),$A$795,INDEX(Техника!$H$1:$ABO$500,AA$2,0),"З")</f>
        <v>0</v>
      </c>
      <c r="AB800" s="50">
        <f>SUMIFS(INDEX(Техника!$F$1:$ABM$500,AB$2,0),Техника!$F$4:$ABM$4,"Часы",INDEX(Техника!$G$1:$ABN$500,AB$2,0),$A$795,INDEX(Техника!$H$1:$ABO$500,AB$2,0),"З")</f>
        <v>0</v>
      </c>
    </row>
    <row r="801" spans="1:28" ht="7.95" customHeight="1" x14ac:dyDescent="0.3">
      <c r="A801" s="38"/>
      <c r="B801" s="39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</row>
    <row r="802" spans="1:28" ht="25.05" customHeight="1" collapsed="1" x14ac:dyDescent="0.3">
      <c r="A802" s="32">
        <v>115</v>
      </c>
      <c r="B802" s="32" t="s">
        <v>116</v>
      </c>
      <c r="C802" s="49">
        <f>SUM(C803:C807)</f>
        <v>0</v>
      </c>
      <c r="D802" s="49">
        <f>SUM(D803:D807)</f>
        <v>0</v>
      </c>
      <c r="E802" s="49">
        <f>SUM(E803:E807)</f>
        <v>0</v>
      </c>
      <c r="F802" s="49">
        <f>SUM(F803:F807)</f>
        <v>0</v>
      </c>
      <c r="G802" s="49">
        <f>SUM(G803:G807)</f>
        <v>0</v>
      </c>
      <c r="H802" s="49">
        <f>SUM(H803:H807)</f>
        <v>0</v>
      </c>
      <c r="I802" s="49">
        <f>SUM(I803:I807)</f>
        <v>0</v>
      </c>
      <c r="J802" s="49">
        <f>SUM(J803:J807)</f>
        <v>0</v>
      </c>
      <c r="K802" s="49">
        <f>SUM(K803:K807)</f>
        <v>0</v>
      </c>
      <c r="L802" s="49">
        <f>SUM(L803:L807)</f>
        <v>0</v>
      </c>
      <c r="M802" s="49">
        <f>SUM(M803:M807)</f>
        <v>0</v>
      </c>
      <c r="N802" s="49">
        <f>SUM(N803:N807)</f>
        <v>0</v>
      </c>
      <c r="O802" s="49">
        <f>SUM(O803:O807)</f>
        <v>0</v>
      </c>
      <c r="P802" s="49">
        <f>SUM(P803:P807)</f>
        <v>0</v>
      </c>
      <c r="Q802" s="49">
        <f>SUM(Q803:Q807)</f>
        <v>0</v>
      </c>
      <c r="R802" s="49">
        <f>SUM(R803:R807)</f>
        <v>0</v>
      </c>
      <c r="S802" s="49">
        <f>SUM(S803:S807)</f>
        <v>0</v>
      </c>
      <c r="T802" s="49">
        <f>SUM(T803:T807)</f>
        <v>0</v>
      </c>
      <c r="U802" s="49">
        <f>SUM(U803:U807)</f>
        <v>0</v>
      </c>
      <c r="V802" s="49">
        <f>SUM(V803:V807)</f>
        <v>0</v>
      </c>
      <c r="W802" s="49">
        <f>SUM(W803:W807)</f>
        <v>0</v>
      </c>
      <c r="X802" s="49">
        <f>SUM(X803:X807)</f>
        <v>0</v>
      </c>
      <c r="Y802" s="49">
        <f>SUM(Y803:Y807)</f>
        <v>0</v>
      </c>
      <c r="Z802" s="49">
        <f>SUM(Z803:Z807)</f>
        <v>0</v>
      </c>
      <c r="AA802" s="49">
        <f>SUM(AA803:AA807)</f>
        <v>0</v>
      </c>
      <c r="AB802" s="49">
        <f>SUM(AB803:AB807)</f>
        <v>0</v>
      </c>
    </row>
    <row r="803" spans="1:28" hidden="1" outlineLevel="1" x14ac:dyDescent="0.3">
      <c r="A803" s="33" t="s">
        <v>246</v>
      </c>
      <c r="B803" s="34" t="s">
        <v>274</v>
      </c>
      <c r="C803" s="50">
        <f>SUMIFS(INDEX(Техника!$F$1:$ABM$500,C$2,0),Техника!$F$4:$ABM$4,"Часы",INDEX(Техника!$G$1:$ABN$500,C$2,0),$A$802,INDEX(Техника!$H$1:$ABO$500,C$2,0),"М")</f>
        <v>0</v>
      </c>
      <c r="D803" s="50">
        <f>SUMIFS(INDEX(Техника!$F$1:$ABM$500,D$2,0),Техника!$F$4:$ABM$4,"Часы",INDEX(Техника!$G$1:$ABN$500,D$2,0),$A$802,INDEX(Техника!$H$1:$ABO$500,D$2,0),"М")</f>
        <v>0</v>
      </c>
      <c r="E803" s="50">
        <f>SUMIFS(INDEX(Техника!$F$1:$ABM$500,E$2,0),Техника!$F$4:$ABM$4,"Часы",INDEX(Техника!$G$1:$ABN$500,E$2,0),$A$802,INDEX(Техника!$H$1:$ABO$500,E$2,0),"М")</f>
        <v>0</v>
      </c>
      <c r="F803" s="50">
        <f>SUMIFS(INDEX(Техника!$F$1:$ABM$500,F$2,0),Техника!$F$4:$ABM$4,"Часы",INDEX(Техника!$G$1:$ABN$500,F$2,0),$A$802,INDEX(Техника!$H$1:$ABO$500,F$2,0),"М")</f>
        <v>0</v>
      </c>
      <c r="G803" s="50">
        <f>SUMIFS(INDEX(Техника!$F$1:$ABM$500,G$2,0),Техника!$F$4:$ABM$4,"Часы",INDEX(Техника!$G$1:$ABN$500,G$2,0),$A$802,INDEX(Техника!$H$1:$ABO$500,G$2,0),"М")</f>
        <v>0</v>
      </c>
      <c r="H803" s="50">
        <f>SUMIFS(INDEX(Техника!$F$1:$ABM$500,H$2,0),Техника!$F$4:$ABM$4,"Часы",INDEX(Техника!$G$1:$ABN$500,H$2,0),$A$802,INDEX(Техника!$H$1:$ABO$500,H$2,0),"М")</f>
        <v>0</v>
      </c>
      <c r="I803" s="50">
        <f>SUMIFS(INDEX(Техника!$F$1:$ABM$500,I$2,0),Техника!$F$4:$ABM$4,"Часы",INDEX(Техника!$G$1:$ABN$500,I$2,0),$A$802,INDEX(Техника!$H$1:$ABO$500,I$2,0),"М")</f>
        <v>0</v>
      </c>
      <c r="J803" s="50">
        <f>SUMIFS(INDEX(Техника!$F$1:$ABM$500,J$2,0),Техника!$F$4:$ABM$4,"Часы",INDEX(Техника!$G$1:$ABN$500,J$2,0),$A$802,INDEX(Техника!$H$1:$ABO$500,J$2,0),"М")</f>
        <v>0</v>
      </c>
      <c r="K803" s="50">
        <f>SUMIFS(INDEX(Техника!$F$1:$ABM$500,K$2,0),Техника!$F$4:$ABM$4,"Часы",INDEX(Техника!$G$1:$ABN$500,K$2,0),$A$802,INDEX(Техника!$H$1:$ABO$500,K$2,0),"М")</f>
        <v>0</v>
      </c>
      <c r="L803" s="50">
        <f>SUMIFS(INDEX(Техника!$F$1:$ABM$500,L$2,0),Техника!$F$4:$ABM$4,"Часы",INDEX(Техника!$G$1:$ABN$500,L$2,0),$A$802,INDEX(Техника!$H$1:$ABO$500,L$2,0),"М")</f>
        <v>0</v>
      </c>
      <c r="M803" s="50">
        <f>SUMIFS(INDEX(Техника!$F$1:$ABM$500,M$2,0),Техника!$F$4:$ABM$4,"Часы",INDEX(Техника!$G$1:$ABN$500,M$2,0),$A$802,INDEX(Техника!$H$1:$ABO$500,M$2,0),"М")</f>
        <v>0</v>
      </c>
      <c r="N803" s="50">
        <f>SUMIFS(INDEX(Техника!$F$1:$ABM$500,N$2,0),Техника!$F$4:$ABM$4,"Часы",INDEX(Техника!$G$1:$ABN$500,N$2,0),$A$802,INDEX(Техника!$H$1:$ABO$500,N$2,0),"М")</f>
        <v>0</v>
      </c>
      <c r="O803" s="50">
        <f>SUMIFS(INDEX(Техника!$F$1:$ABM$500,O$2,0),Техника!$F$4:$ABM$4,"Часы",INDEX(Техника!$G$1:$ABN$500,O$2,0),$A$802,INDEX(Техника!$H$1:$ABO$500,O$2,0),"М")</f>
        <v>0</v>
      </c>
      <c r="P803" s="50">
        <f>SUMIFS(INDEX(Техника!$F$1:$ABM$500,P$2,0),Техника!$F$4:$ABM$4,"Часы",INDEX(Техника!$G$1:$ABN$500,P$2,0),$A$802,INDEX(Техника!$H$1:$ABO$500,P$2,0),"М")</f>
        <v>0</v>
      </c>
      <c r="Q803" s="50">
        <f>SUMIFS(INDEX(Техника!$F$1:$ABM$500,Q$2,0),Техника!$F$4:$ABM$4,"Часы",INDEX(Техника!$G$1:$ABN$500,Q$2,0),$A$802,INDEX(Техника!$H$1:$ABO$500,Q$2,0),"М")</f>
        <v>0</v>
      </c>
      <c r="R803" s="50">
        <f>SUMIFS(INDEX(Техника!$F$1:$ABM$500,R$2,0),Техника!$F$4:$ABM$4,"Часы",INDEX(Техника!$G$1:$ABN$500,R$2,0),$A$802,INDEX(Техника!$H$1:$ABO$500,R$2,0),"М")</f>
        <v>0</v>
      </c>
      <c r="S803" s="50">
        <f>SUMIFS(INDEX(Техника!$F$1:$ABM$500,S$2,0),Техника!$F$4:$ABM$4,"Часы",INDEX(Техника!$G$1:$ABN$500,S$2,0),$A$802,INDEX(Техника!$H$1:$ABO$500,S$2,0),"М")</f>
        <v>0</v>
      </c>
      <c r="T803" s="50">
        <f>SUMIFS(INDEX(Техника!$F$1:$ABM$500,T$2,0),Техника!$F$4:$ABM$4,"Часы",INDEX(Техника!$G$1:$ABN$500,T$2,0),$A$802,INDEX(Техника!$H$1:$ABO$500,T$2,0),"М")</f>
        <v>0</v>
      </c>
      <c r="U803" s="50">
        <f>SUMIFS(INDEX(Техника!$F$1:$ABM$500,U$2,0),Техника!$F$4:$ABM$4,"Часы",INDEX(Техника!$G$1:$ABN$500,U$2,0),$A$802,INDEX(Техника!$H$1:$ABO$500,U$2,0),"М")</f>
        <v>0</v>
      </c>
      <c r="V803" s="50">
        <f>SUMIFS(INDEX(Техника!$F$1:$ABM$500,V$2,0),Техника!$F$4:$ABM$4,"Часы",INDEX(Техника!$G$1:$ABN$500,V$2,0),$A$802,INDEX(Техника!$H$1:$ABO$500,V$2,0),"М")</f>
        <v>0</v>
      </c>
      <c r="W803" s="50">
        <f>SUMIFS(INDEX(Техника!$F$1:$ABM$500,W$2,0),Техника!$F$4:$ABM$4,"Часы",INDEX(Техника!$G$1:$ABN$500,W$2,0),$A$802,INDEX(Техника!$H$1:$ABO$500,W$2,0),"М")</f>
        <v>0</v>
      </c>
      <c r="X803" s="50">
        <f>SUMIFS(INDEX(Техника!$F$1:$ABM$500,X$2,0),Техника!$F$4:$ABM$4,"Часы",INDEX(Техника!$G$1:$ABN$500,X$2,0),$A$802,INDEX(Техника!$H$1:$ABO$500,X$2,0),"М")</f>
        <v>0</v>
      </c>
      <c r="Y803" s="50">
        <f>SUMIFS(INDEX(Техника!$F$1:$ABM$500,Y$2,0),Техника!$F$4:$ABM$4,"Часы",INDEX(Техника!$G$1:$ABN$500,Y$2,0),$A$802,INDEX(Техника!$H$1:$ABO$500,Y$2,0),"М")</f>
        <v>0</v>
      </c>
      <c r="Z803" s="50">
        <f>SUMIFS(INDEX(Техника!$F$1:$ABM$500,Z$2,0),Техника!$F$4:$ABM$4,"Часы",INDEX(Техника!$G$1:$ABN$500,Z$2,0),$A$802,INDEX(Техника!$H$1:$ABO$500,Z$2,0),"М")</f>
        <v>0</v>
      </c>
      <c r="AA803" s="50">
        <f>SUMIFS(INDEX(Техника!$F$1:$ABM$500,AA$2,0),Техника!$F$4:$ABM$4,"Часы",INDEX(Техника!$G$1:$ABN$500,AA$2,0),$A$802,INDEX(Техника!$H$1:$ABO$500,AA$2,0),"М")</f>
        <v>0</v>
      </c>
      <c r="AB803" s="50">
        <f>SUMIFS(INDEX(Техника!$F$1:$ABM$500,AB$2,0),Техника!$F$4:$ABM$4,"Часы",INDEX(Техника!$G$1:$ABN$500,AB$2,0),$A$802,INDEX(Техника!$H$1:$ABO$500,AB$2,0),"М")</f>
        <v>0</v>
      </c>
    </row>
    <row r="804" spans="1:28" hidden="1" outlineLevel="1" x14ac:dyDescent="0.3">
      <c r="A804" s="33" t="s">
        <v>244</v>
      </c>
      <c r="B804" s="34" t="s">
        <v>275</v>
      </c>
      <c r="C804" s="50">
        <f>SUMIFS(INDEX(Техника!$F$1:$ABM$500,C$2,0),Техника!$F$4:$ABM$4,"Часы",INDEX(Техника!$G$1:$ABN$500,C$2,0),$A$802,INDEX(Техника!$H$1:$ABO$500,C$2,0),"Д")</f>
        <v>0</v>
      </c>
      <c r="D804" s="50">
        <f>SUMIFS(INDEX(Техника!$F$1:$ABM$500,D$2,0),Техника!$F$4:$ABM$4,"Часы",INDEX(Техника!$G$1:$ABN$500,D$2,0),$A$802,INDEX(Техника!$H$1:$ABO$500,D$2,0),"Д")</f>
        <v>0</v>
      </c>
      <c r="E804" s="50">
        <f>SUMIFS(INDEX(Техника!$F$1:$ABM$500,E$2,0),Техника!$F$4:$ABM$4,"Часы",INDEX(Техника!$G$1:$ABN$500,E$2,0),$A$802,INDEX(Техника!$H$1:$ABO$500,E$2,0),"Д")</f>
        <v>0</v>
      </c>
      <c r="F804" s="50">
        <f>SUMIFS(INDEX(Техника!$F$1:$ABM$500,F$2,0),Техника!$F$4:$ABM$4,"Часы",INDEX(Техника!$G$1:$ABN$500,F$2,0),$A$802,INDEX(Техника!$H$1:$ABO$500,F$2,0),"Д")</f>
        <v>0</v>
      </c>
      <c r="G804" s="50">
        <f>SUMIFS(INDEX(Техника!$F$1:$ABM$500,G$2,0),Техника!$F$4:$ABM$4,"Часы",INDEX(Техника!$G$1:$ABN$500,G$2,0),$A$802,INDEX(Техника!$H$1:$ABO$500,G$2,0),"Д")</f>
        <v>0</v>
      </c>
      <c r="H804" s="50">
        <f>SUMIFS(INDEX(Техника!$F$1:$ABM$500,H$2,0),Техника!$F$4:$ABM$4,"Часы",INDEX(Техника!$G$1:$ABN$500,H$2,0),$A$802,INDEX(Техника!$H$1:$ABO$500,H$2,0),"Д")</f>
        <v>0</v>
      </c>
      <c r="I804" s="50">
        <f>SUMIFS(INDEX(Техника!$F$1:$ABM$500,I$2,0),Техника!$F$4:$ABM$4,"Часы",INDEX(Техника!$G$1:$ABN$500,I$2,0),$A$802,INDEX(Техника!$H$1:$ABO$500,I$2,0),"Д")</f>
        <v>0</v>
      </c>
      <c r="J804" s="50">
        <f>SUMIFS(INDEX(Техника!$F$1:$ABM$500,J$2,0),Техника!$F$4:$ABM$4,"Часы",INDEX(Техника!$G$1:$ABN$500,J$2,0),$A$802,INDEX(Техника!$H$1:$ABO$500,J$2,0),"Д")</f>
        <v>0</v>
      </c>
      <c r="K804" s="50">
        <f>SUMIFS(INDEX(Техника!$F$1:$ABM$500,K$2,0),Техника!$F$4:$ABM$4,"Часы",INDEX(Техника!$G$1:$ABN$500,K$2,0),$A$802,INDEX(Техника!$H$1:$ABO$500,K$2,0),"Д")</f>
        <v>0</v>
      </c>
      <c r="L804" s="50">
        <f>SUMIFS(INDEX(Техника!$F$1:$ABM$500,L$2,0),Техника!$F$4:$ABM$4,"Часы",INDEX(Техника!$G$1:$ABN$500,L$2,0),$A$802,INDEX(Техника!$H$1:$ABO$500,L$2,0),"Д")</f>
        <v>0</v>
      </c>
      <c r="M804" s="50">
        <f>SUMIFS(INDEX(Техника!$F$1:$ABM$500,M$2,0),Техника!$F$4:$ABM$4,"Часы",INDEX(Техника!$G$1:$ABN$500,M$2,0),$A$802,INDEX(Техника!$H$1:$ABO$500,M$2,0),"Д")</f>
        <v>0</v>
      </c>
      <c r="N804" s="50">
        <f>SUMIFS(INDEX(Техника!$F$1:$ABM$500,N$2,0),Техника!$F$4:$ABM$4,"Часы",INDEX(Техника!$G$1:$ABN$500,N$2,0),$A$802,INDEX(Техника!$H$1:$ABO$500,N$2,0),"Д")</f>
        <v>0</v>
      </c>
      <c r="O804" s="50">
        <f>SUMIFS(INDEX(Техника!$F$1:$ABM$500,O$2,0),Техника!$F$4:$ABM$4,"Часы",INDEX(Техника!$G$1:$ABN$500,O$2,0),$A$802,INDEX(Техника!$H$1:$ABO$500,O$2,0),"Д")</f>
        <v>0</v>
      </c>
      <c r="P804" s="50">
        <f>SUMIFS(INDEX(Техника!$F$1:$ABM$500,P$2,0),Техника!$F$4:$ABM$4,"Часы",INDEX(Техника!$G$1:$ABN$500,P$2,0),$A$802,INDEX(Техника!$H$1:$ABO$500,P$2,0),"Д")</f>
        <v>0</v>
      </c>
      <c r="Q804" s="50">
        <f>SUMIFS(INDEX(Техника!$F$1:$ABM$500,Q$2,0),Техника!$F$4:$ABM$4,"Часы",INDEX(Техника!$G$1:$ABN$500,Q$2,0),$A$802,INDEX(Техника!$H$1:$ABO$500,Q$2,0),"Д")</f>
        <v>0</v>
      </c>
      <c r="R804" s="50">
        <f>SUMIFS(INDEX(Техника!$F$1:$ABM$500,R$2,0),Техника!$F$4:$ABM$4,"Часы",INDEX(Техника!$G$1:$ABN$500,R$2,0),$A$802,INDEX(Техника!$H$1:$ABO$500,R$2,0),"Д")</f>
        <v>0</v>
      </c>
      <c r="S804" s="50">
        <f>SUMIFS(INDEX(Техника!$F$1:$ABM$500,S$2,0),Техника!$F$4:$ABM$4,"Часы",INDEX(Техника!$G$1:$ABN$500,S$2,0),$A$802,INDEX(Техника!$H$1:$ABO$500,S$2,0),"Д")</f>
        <v>0</v>
      </c>
      <c r="T804" s="50">
        <f>SUMIFS(INDEX(Техника!$F$1:$ABM$500,T$2,0),Техника!$F$4:$ABM$4,"Часы",INDEX(Техника!$G$1:$ABN$500,T$2,0),$A$802,INDEX(Техника!$H$1:$ABO$500,T$2,0),"Д")</f>
        <v>0</v>
      </c>
      <c r="U804" s="50">
        <f>SUMIFS(INDEX(Техника!$F$1:$ABM$500,U$2,0),Техника!$F$4:$ABM$4,"Часы",INDEX(Техника!$G$1:$ABN$500,U$2,0),$A$802,INDEX(Техника!$H$1:$ABO$500,U$2,0),"Д")</f>
        <v>0</v>
      </c>
      <c r="V804" s="50">
        <f>SUMIFS(INDEX(Техника!$F$1:$ABM$500,V$2,0),Техника!$F$4:$ABM$4,"Часы",INDEX(Техника!$G$1:$ABN$500,V$2,0),$A$802,INDEX(Техника!$H$1:$ABO$500,V$2,0),"Д")</f>
        <v>0</v>
      </c>
      <c r="W804" s="50">
        <f>SUMIFS(INDEX(Техника!$F$1:$ABM$500,W$2,0),Техника!$F$4:$ABM$4,"Часы",INDEX(Техника!$G$1:$ABN$500,W$2,0),$A$802,INDEX(Техника!$H$1:$ABO$500,W$2,0),"Д")</f>
        <v>0</v>
      </c>
      <c r="X804" s="50">
        <f>SUMIFS(INDEX(Техника!$F$1:$ABM$500,X$2,0),Техника!$F$4:$ABM$4,"Часы",INDEX(Техника!$G$1:$ABN$500,X$2,0),$A$802,INDEX(Техника!$H$1:$ABO$500,X$2,0),"Д")</f>
        <v>0</v>
      </c>
      <c r="Y804" s="50">
        <f>SUMIFS(INDEX(Техника!$F$1:$ABM$500,Y$2,0),Техника!$F$4:$ABM$4,"Часы",INDEX(Техника!$G$1:$ABN$500,Y$2,0),$A$802,INDEX(Техника!$H$1:$ABO$500,Y$2,0),"Д")</f>
        <v>0</v>
      </c>
      <c r="Z804" s="50">
        <f>SUMIFS(INDEX(Техника!$F$1:$ABM$500,Z$2,0),Техника!$F$4:$ABM$4,"Часы",INDEX(Техника!$G$1:$ABN$500,Z$2,0),$A$802,INDEX(Техника!$H$1:$ABO$500,Z$2,0),"Д")</f>
        <v>0</v>
      </c>
      <c r="AA804" s="50">
        <f>SUMIFS(INDEX(Техника!$F$1:$ABM$500,AA$2,0),Техника!$F$4:$ABM$4,"Часы",INDEX(Техника!$G$1:$ABN$500,AA$2,0),$A$802,INDEX(Техника!$H$1:$ABO$500,AA$2,0),"Д")</f>
        <v>0</v>
      </c>
      <c r="AB804" s="50">
        <f>SUMIFS(INDEX(Техника!$F$1:$ABM$500,AB$2,0),Техника!$F$4:$ABM$4,"Часы",INDEX(Техника!$G$1:$ABN$500,AB$2,0),$A$802,INDEX(Техника!$H$1:$ABO$500,AB$2,0),"Д")</f>
        <v>0</v>
      </c>
    </row>
    <row r="805" spans="1:28" hidden="1" outlineLevel="1" x14ac:dyDescent="0.3">
      <c r="A805" s="33" t="s">
        <v>276</v>
      </c>
      <c r="B805" s="34" t="s">
        <v>277</v>
      </c>
      <c r="C805" s="50">
        <f>SUMIFS(INDEX(Техника!$F$1:$ABM$500,C$2,0),Техника!$F$4:$ABM$4,"Часы",INDEX(Техника!$G$1:$ABN$500,C$2,0),$A$802,INDEX(Техника!$H$1:$ABO$500,C$2,0),"П")</f>
        <v>0</v>
      </c>
      <c r="D805" s="50">
        <f>SUMIFS(INDEX(Техника!$F$1:$ABM$500,D$2,0),Техника!$F$4:$ABM$4,"Часы",INDEX(Техника!$G$1:$ABN$500,D$2,0),$A$802,INDEX(Техника!$H$1:$ABO$500,D$2,0),"П")</f>
        <v>0</v>
      </c>
      <c r="E805" s="50">
        <f>SUMIFS(INDEX(Техника!$F$1:$ABM$500,E$2,0),Техника!$F$4:$ABM$4,"Часы",INDEX(Техника!$G$1:$ABN$500,E$2,0),$A$802,INDEX(Техника!$H$1:$ABO$500,E$2,0),"П")</f>
        <v>0</v>
      </c>
      <c r="F805" s="50">
        <f>SUMIFS(INDEX(Техника!$F$1:$ABM$500,F$2,0),Техника!$F$4:$ABM$4,"Часы",INDEX(Техника!$G$1:$ABN$500,F$2,0),$A$802,INDEX(Техника!$H$1:$ABO$500,F$2,0),"П")</f>
        <v>0</v>
      </c>
      <c r="G805" s="50">
        <f>SUMIFS(INDEX(Техника!$F$1:$ABM$500,G$2,0),Техника!$F$4:$ABM$4,"Часы",INDEX(Техника!$G$1:$ABN$500,G$2,0),$A$802,INDEX(Техника!$H$1:$ABO$500,G$2,0),"П")</f>
        <v>0</v>
      </c>
      <c r="H805" s="50">
        <f>SUMIFS(INDEX(Техника!$F$1:$ABM$500,H$2,0),Техника!$F$4:$ABM$4,"Часы",INDEX(Техника!$G$1:$ABN$500,H$2,0),$A$802,INDEX(Техника!$H$1:$ABO$500,H$2,0),"П")</f>
        <v>0</v>
      </c>
      <c r="I805" s="50">
        <f>SUMIFS(INDEX(Техника!$F$1:$ABM$500,I$2,0),Техника!$F$4:$ABM$4,"Часы",INDEX(Техника!$G$1:$ABN$500,I$2,0),$A$802,INDEX(Техника!$H$1:$ABO$500,I$2,0),"П")</f>
        <v>0</v>
      </c>
      <c r="J805" s="50">
        <f>SUMIFS(INDEX(Техника!$F$1:$ABM$500,J$2,0),Техника!$F$4:$ABM$4,"Часы",INDEX(Техника!$G$1:$ABN$500,J$2,0),$A$802,INDEX(Техника!$H$1:$ABO$500,J$2,0),"П")</f>
        <v>0</v>
      </c>
      <c r="K805" s="50">
        <f>SUMIFS(INDEX(Техника!$F$1:$ABM$500,K$2,0),Техника!$F$4:$ABM$4,"Часы",INDEX(Техника!$G$1:$ABN$500,K$2,0),$A$802,INDEX(Техника!$H$1:$ABO$500,K$2,0),"П")</f>
        <v>0</v>
      </c>
      <c r="L805" s="50">
        <f>SUMIFS(INDEX(Техника!$F$1:$ABM$500,L$2,0),Техника!$F$4:$ABM$4,"Часы",INDEX(Техника!$G$1:$ABN$500,L$2,0),$A$802,INDEX(Техника!$H$1:$ABO$500,L$2,0),"П")</f>
        <v>0</v>
      </c>
      <c r="M805" s="50">
        <f>SUMIFS(INDEX(Техника!$F$1:$ABM$500,M$2,0),Техника!$F$4:$ABM$4,"Часы",INDEX(Техника!$G$1:$ABN$500,M$2,0),$A$802,INDEX(Техника!$H$1:$ABO$500,M$2,0),"П")</f>
        <v>0</v>
      </c>
      <c r="N805" s="50">
        <f>SUMIFS(INDEX(Техника!$F$1:$ABM$500,N$2,0),Техника!$F$4:$ABM$4,"Часы",INDEX(Техника!$G$1:$ABN$500,N$2,0),$A$802,INDEX(Техника!$H$1:$ABO$500,N$2,0),"П")</f>
        <v>0</v>
      </c>
      <c r="O805" s="50">
        <f>SUMIFS(INDEX(Техника!$F$1:$ABM$500,O$2,0),Техника!$F$4:$ABM$4,"Часы",INDEX(Техника!$G$1:$ABN$500,O$2,0),$A$802,INDEX(Техника!$H$1:$ABO$500,O$2,0),"П")</f>
        <v>0</v>
      </c>
      <c r="P805" s="50">
        <f>SUMIFS(INDEX(Техника!$F$1:$ABM$500,P$2,0),Техника!$F$4:$ABM$4,"Часы",INDEX(Техника!$G$1:$ABN$500,P$2,0),$A$802,INDEX(Техника!$H$1:$ABO$500,P$2,0),"П")</f>
        <v>0</v>
      </c>
      <c r="Q805" s="50">
        <f>SUMIFS(INDEX(Техника!$F$1:$ABM$500,Q$2,0),Техника!$F$4:$ABM$4,"Часы",INDEX(Техника!$G$1:$ABN$500,Q$2,0),$A$802,INDEX(Техника!$H$1:$ABO$500,Q$2,0),"П")</f>
        <v>0</v>
      </c>
      <c r="R805" s="50">
        <f>SUMIFS(INDEX(Техника!$F$1:$ABM$500,R$2,0),Техника!$F$4:$ABM$4,"Часы",INDEX(Техника!$G$1:$ABN$500,R$2,0),$A$802,INDEX(Техника!$H$1:$ABO$500,R$2,0),"П")</f>
        <v>0</v>
      </c>
      <c r="S805" s="50">
        <f>SUMIFS(INDEX(Техника!$F$1:$ABM$500,S$2,0),Техника!$F$4:$ABM$4,"Часы",INDEX(Техника!$G$1:$ABN$500,S$2,0),$A$802,INDEX(Техника!$H$1:$ABO$500,S$2,0),"П")</f>
        <v>0</v>
      </c>
      <c r="T805" s="50">
        <f>SUMIFS(INDEX(Техника!$F$1:$ABM$500,T$2,0),Техника!$F$4:$ABM$4,"Часы",INDEX(Техника!$G$1:$ABN$500,T$2,0),$A$802,INDEX(Техника!$H$1:$ABO$500,T$2,0),"П")</f>
        <v>0</v>
      </c>
      <c r="U805" s="50">
        <f>SUMIFS(INDEX(Техника!$F$1:$ABM$500,U$2,0),Техника!$F$4:$ABM$4,"Часы",INDEX(Техника!$G$1:$ABN$500,U$2,0),$A$802,INDEX(Техника!$H$1:$ABO$500,U$2,0),"П")</f>
        <v>0</v>
      </c>
      <c r="V805" s="50">
        <f>SUMIFS(INDEX(Техника!$F$1:$ABM$500,V$2,0),Техника!$F$4:$ABM$4,"Часы",INDEX(Техника!$G$1:$ABN$500,V$2,0),$A$802,INDEX(Техника!$H$1:$ABO$500,V$2,0),"П")</f>
        <v>0</v>
      </c>
      <c r="W805" s="50">
        <f>SUMIFS(INDEX(Техника!$F$1:$ABM$500,W$2,0),Техника!$F$4:$ABM$4,"Часы",INDEX(Техника!$G$1:$ABN$500,W$2,0),$A$802,INDEX(Техника!$H$1:$ABO$500,W$2,0),"П")</f>
        <v>0</v>
      </c>
      <c r="X805" s="50">
        <f>SUMIFS(INDEX(Техника!$F$1:$ABM$500,X$2,0),Техника!$F$4:$ABM$4,"Часы",INDEX(Техника!$G$1:$ABN$500,X$2,0),$A$802,INDEX(Техника!$H$1:$ABO$500,X$2,0),"П")</f>
        <v>0</v>
      </c>
      <c r="Y805" s="50">
        <f>SUMIFS(INDEX(Техника!$F$1:$ABM$500,Y$2,0),Техника!$F$4:$ABM$4,"Часы",INDEX(Техника!$G$1:$ABN$500,Y$2,0),$A$802,INDEX(Техника!$H$1:$ABO$500,Y$2,0),"П")</f>
        <v>0</v>
      </c>
      <c r="Z805" s="50">
        <f>SUMIFS(INDEX(Техника!$F$1:$ABM$500,Z$2,0),Техника!$F$4:$ABM$4,"Часы",INDEX(Техника!$G$1:$ABN$500,Z$2,0),$A$802,INDEX(Техника!$H$1:$ABO$500,Z$2,0),"П")</f>
        <v>0</v>
      </c>
      <c r="AA805" s="50">
        <f>SUMIFS(INDEX(Техника!$F$1:$ABM$500,AA$2,0),Техника!$F$4:$ABM$4,"Часы",INDEX(Техника!$G$1:$ABN$500,AA$2,0),$A$802,INDEX(Техника!$H$1:$ABO$500,AA$2,0),"П")</f>
        <v>0</v>
      </c>
      <c r="AB805" s="50">
        <f>SUMIFS(INDEX(Техника!$F$1:$ABM$500,AB$2,0),Техника!$F$4:$ABM$4,"Часы",INDEX(Техника!$G$1:$ABN$500,AB$2,0),$A$802,INDEX(Техника!$H$1:$ABO$500,AB$2,0),"П")</f>
        <v>0</v>
      </c>
    </row>
    <row r="806" spans="1:28" hidden="1" outlineLevel="1" x14ac:dyDescent="0.3">
      <c r="A806" s="33" t="s">
        <v>243</v>
      </c>
      <c r="B806" s="34" t="s">
        <v>278</v>
      </c>
      <c r="C806" s="50">
        <f>SUMIFS(INDEX(Техника!$F$1:$ABM$500,C$2,0),Техника!$F$4:$ABM$4,"Часы",INDEX(Техника!$G$1:$ABN$500,C$2,0),$A$802,INDEX(Техника!$H$1:$ABO$500,C$2,0),"Л")</f>
        <v>0</v>
      </c>
      <c r="D806" s="50">
        <f>SUMIFS(INDEX(Техника!$F$1:$ABM$500,D$2,0),Техника!$F$4:$ABM$4,"Часы",INDEX(Техника!$G$1:$ABN$500,D$2,0),$A$802,INDEX(Техника!$H$1:$ABO$500,D$2,0),"Л")</f>
        <v>0</v>
      </c>
      <c r="E806" s="50">
        <f>SUMIFS(INDEX(Техника!$F$1:$ABM$500,E$2,0),Техника!$F$4:$ABM$4,"Часы",INDEX(Техника!$G$1:$ABN$500,E$2,0),$A$802,INDEX(Техника!$H$1:$ABO$500,E$2,0),"Л")</f>
        <v>0</v>
      </c>
      <c r="F806" s="50">
        <f>SUMIFS(INDEX(Техника!$F$1:$ABM$500,F$2,0),Техника!$F$4:$ABM$4,"Часы",INDEX(Техника!$G$1:$ABN$500,F$2,0),$A$802,INDEX(Техника!$H$1:$ABO$500,F$2,0),"Л")</f>
        <v>0</v>
      </c>
      <c r="G806" s="50">
        <f>SUMIFS(INDEX(Техника!$F$1:$ABM$500,G$2,0),Техника!$F$4:$ABM$4,"Часы",INDEX(Техника!$G$1:$ABN$500,G$2,0),$A$802,INDEX(Техника!$H$1:$ABO$500,G$2,0),"Л")</f>
        <v>0</v>
      </c>
      <c r="H806" s="50">
        <f>SUMIFS(INDEX(Техника!$F$1:$ABM$500,H$2,0),Техника!$F$4:$ABM$4,"Часы",INDEX(Техника!$G$1:$ABN$500,H$2,0),$A$802,INDEX(Техника!$H$1:$ABO$500,H$2,0),"Л")</f>
        <v>0</v>
      </c>
      <c r="I806" s="50">
        <f>SUMIFS(INDEX(Техника!$F$1:$ABM$500,I$2,0),Техника!$F$4:$ABM$4,"Часы",INDEX(Техника!$G$1:$ABN$500,I$2,0),$A$802,INDEX(Техника!$H$1:$ABO$500,I$2,0),"Л")</f>
        <v>0</v>
      </c>
      <c r="J806" s="50">
        <f>SUMIFS(INDEX(Техника!$F$1:$ABM$500,J$2,0),Техника!$F$4:$ABM$4,"Часы",INDEX(Техника!$G$1:$ABN$500,J$2,0),$A$802,INDEX(Техника!$H$1:$ABO$500,J$2,0),"Л")</f>
        <v>0</v>
      </c>
      <c r="K806" s="50">
        <f>SUMIFS(INDEX(Техника!$F$1:$ABM$500,K$2,0),Техника!$F$4:$ABM$4,"Часы",INDEX(Техника!$G$1:$ABN$500,K$2,0),$A$802,INDEX(Техника!$H$1:$ABO$500,K$2,0),"Л")</f>
        <v>0</v>
      </c>
      <c r="L806" s="50">
        <f>SUMIFS(INDEX(Техника!$F$1:$ABM$500,L$2,0),Техника!$F$4:$ABM$4,"Часы",INDEX(Техника!$G$1:$ABN$500,L$2,0),$A$802,INDEX(Техника!$H$1:$ABO$500,L$2,0),"Л")</f>
        <v>0</v>
      </c>
      <c r="M806" s="50">
        <f>SUMIFS(INDEX(Техника!$F$1:$ABM$500,M$2,0),Техника!$F$4:$ABM$4,"Часы",INDEX(Техника!$G$1:$ABN$500,M$2,0),$A$802,INDEX(Техника!$H$1:$ABO$500,M$2,0),"Л")</f>
        <v>0</v>
      </c>
      <c r="N806" s="50">
        <f>SUMIFS(INDEX(Техника!$F$1:$ABM$500,N$2,0),Техника!$F$4:$ABM$4,"Часы",INDEX(Техника!$G$1:$ABN$500,N$2,0),$A$802,INDEX(Техника!$H$1:$ABO$500,N$2,0),"Л")</f>
        <v>0</v>
      </c>
      <c r="O806" s="50">
        <f>SUMIFS(INDEX(Техника!$F$1:$ABM$500,O$2,0),Техника!$F$4:$ABM$4,"Часы",INDEX(Техника!$G$1:$ABN$500,O$2,0),$A$802,INDEX(Техника!$H$1:$ABO$500,O$2,0),"Л")</f>
        <v>0</v>
      </c>
      <c r="P806" s="50">
        <f>SUMIFS(INDEX(Техника!$F$1:$ABM$500,P$2,0),Техника!$F$4:$ABM$4,"Часы",INDEX(Техника!$G$1:$ABN$500,P$2,0),$A$802,INDEX(Техника!$H$1:$ABO$500,P$2,0),"Л")</f>
        <v>0</v>
      </c>
      <c r="Q806" s="50">
        <f>SUMIFS(INDEX(Техника!$F$1:$ABM$500,Q$2,0),Техника!$F$4:$ABM$4,"Часы",INDEX(Техника!$G$1:$ABN$500,Q$2,0),$A$802,INDEX(Техника!$H$1:$ABO$500,Q$2,0),"Л")</f>
        <v>0</v>
      </c>
      <c r="R806" s="50">
        <f>SUMIFS(INDEX(Техника!$F$1:$ABM$500,R$2,0),Техника!$F$4:$ABM$4,"Часы",INDEX(Техника!$G$1:$ABN$500,R$2,0),$A$802,INDEX(Техника!$H$1:$ABO$500,R$2,0),"Л")</f>
        <v>0</v>
      </c>
      <c r="S806" s="50">
        <f>SUMIFS(INDEX(Техника!$F$1:$ABM$500,S$2,0),Техника!$F$4:$ABM$4,"Часы",INDEX(Техника!$G$1:$ABN$500,S$2,0),$A$802,INDEX(Техника!$H$1:$ABO$500,S$2,0),"Л")</f>
        <v>0</v>
      </c>
      <c r="T806" s="50">
        <f>SUMIFS(INDEX(Техника!$F$1:$ABM$500,T$2,0),Техника!$F$4:$ABM$4,"Часы",INDEX(Техника!$G$1:$ABN$500,T$2,0),$A$802,INDEX(Техника!$H$1:$ABO$500,T$2,0),"Л")</f>
        <v>0</v>
      </c>
      <c r="U806" s="50">
        <f>SUMIFS(INDEX(Техника!$F$1:$ABM$500,U$2,0),Техника!$F$4:$ABM$4,"Часы",INDEX(Техника!$G$1:$ABN$500,U$2,0),$A$802,INDEX(Техника!$H$1:$ABO$500,U$2,0),"Л")</f>
        <v>0</v>
      </c>
      <c r="V806" s="50">
        <f>SUMIFS(INDEX(Техника!$F$1:$ABM$500,V$2,0),Техника!$F$4:$ABM$4,"Часы",INDEX(Техника!$G$1:$ABN$500,V$2,0),$A$802,INDEX(Техника!$H$1:$ABO$500,V$2,0),"Л")</f>
        <v>0</v>
      </c>
      <c r="W806" s="50">
        <f>SUMIFS(INDEX(Техника!$F$1:$ABM$500,W$2,0),Техника!$F$4:$ABM$4,"Часы",INDEX(Техника!$G$1:$ABN$500,W$2,0),$A$802,INDEX(Техника!$H$1:$ABO$500,W$2,0),"Л")</f>
        <v>0</v>
      </c>
      <c r="X806" s="50">
        <f>SUMIFS(INDEX(Техника!$F$1:$ABM$500,X$2,0),Техника!$F$4:$ABM$4,"Часы",INDEX(Техника!$G$1:$ABN$500,X$2,0),$A$802,INDEX(Техника!$H$1:$ABO$500,X$2,0),"Л")</f>
        <v>0</v>
      </c>
      <c r="Y806" s="50">
        <f>SUMIFS(INDEX(Техника!$F$1:$ABM$500,Y$2,0),Техника!$F$4:$ABM$4,"Часы",INDEX(Техника!$G$1:$ABN$500,Y$2,0),$A$802,INDEX(Техника!$H$1:$ABO$500,Y$2,0),"Л")</f>
        <v>0</v>
      </c>
      <c r="Z806" s="50">
        <f>SUMIFS(INDEX(Техника!$F$1:$ABM$500,Z$2,0),Техника!$F$4:$ABM$4,"Часы",INDEX(Техника!$G$1:$ABN$500,Z$2,0),$A$802,INDEX(Техника!$H$1:$ABO$500,Z$2,0),"Л")</f>
        <v>0</v>
      </c>
      <c r="AA806" s="50">
        <f>SUMIFS(INDEX(Техника!$F$1:$ABM$500,AA$2,0),Техника!$F$4:$ABM$4,"Часы",INDEX(Техника!$G$1:$ABN$500,AA$2,0),$A$802,INDEX(Техника!$H$1:$ABO$500,AA$2,0),"Л")</f>
        <v>0</v>
      </c>
      <c r="AB806" s="50">
        <f>SUMIFS(INDEX(Техника!$F$1:$ABM$500,AB$2,0),Техника!$F$4:$ABM$4,"Часы",INDEX(Техника!$G$1:$ABN$500,AB$2,0),$A$802,INDEX(Техника!$H$1:$ABO$500,AB$2,0),"Л")</f>
        <v>0</v>
      </c>
    </row>
    <row r="807" spans="1:28" hidden="1" outlineLevel="1" x14ac:dyDescent="0.3">
      <c r="A807" s="33" t="s">
        <v>245</v>
      </c>
      <c r="B807" s="34" t="s">
        <v>279</v>
      </c>
      <c r="C807" s="50">
        <f>SUMIFS(INDEX(Техника!$F$1:$ABM$500,C$2,0),Техника!$F$4:$ABM$4,"Часы",INDEX(Техника!$G$1:$ABN$500,C$2,0),$A$802,INDEX(Техника!$H$1:$ABO$500,C$2,0),"З")</f>
        <v>0</v>
      </c>
      <c r="D807" s="50">
        <f>SUMIFS(INDEX(Техника!$F$1:$ABM$500,D$2,0),Техника!$F$4:$ABM$4,"Часы",INDEX(Техника!$G$1:$ABN$500,D$2,0),$A$802,INDEX(Техника!$H$1:$ABO$500,D$2,0),"З")</f>
        <v>0</v>
      </c>
      <c r="E807" s="50">
        <f>SUMIFS(INDEX(Техника!$F$1:$ABM$500,E$2,0),Техника!$F$4:$ABM$4,"Часы",INDEX(Техника!$G$1:$ABN$500,E$2,0),$A$802,INDEX(Техника!$H$1:$ABO$500,E$2,0),"З")</f>
        <v>0</v>
      </c>
      <c r="F807" s="50">
        <f>SUMIFS(INDEX(Техника!$F$1:$ABM$500,F$2,0),Техника!$F$4:$ABM$4,"Часы",INDEX(Техника!$G$1:$ABN$500,F$2,0),$A$802,INDEX(Техника!$H$1:$ABO$500,F$2,0),"З")</f>
        <v>0</v>
      </c>
      <c r="G807" s="50">
        <f>SUMIFS(INDEX(Техника!$F$1:$ABM$500,G$2,0),Техника!$F$4:$ABM$4,"Часы",INDEX(Техника!$G$1:$ABN$500,G$2,0),$A$802,INDEX(Техника!$H$1:$ABO$500,G$2,0),"З")</f>
        <v>0</v>
      </c>
      <c r="H807" s="50">
        <f>SUMIFS(INDEX(Техника!$F$1:$ABM$500,H$2,0),Техника!$F$4:$ABM$4,"Часы",INDEX(Техника!$G$1:$ABN$500,H$2,0),$A$802,INDEX(Техника!$H$1:$ABO$500,H$2,0),"З")</f>
        <v>0</v>
      </c>
      <c r="I807" s="50">
        <f>SUMIFS(INDEX(Техника!$F$1:$ABM$500,I$2,0),Техника!$F$4:$ABM$4,"Часы",INDEX(Техника!$G$1:$ABN$500,I$2,0),$A$802,INDEX(Техника!$H$1:$ABO$500,I$2,0),"З")</f>
        <v>0</v>
      </c>
      <c r="J807" s="50">
        <f>SUMIFS(INDEX(Техника!$F$1:$ABM$500,J$2,0),Техника!$F$4:$ABM$4,"Часы",INDEX(Техника!$G$1:$ABN$500,J$2,0),$A$802,INDEX(Техника!$H$1:$ABO$500,J$2,0),"З")</f>
        <v>0</v>
      </c>
      <c r="K807" s="50">
        <f>SUMIFS(INDEX(Техника!$F$1:$ABM$500,K$2,0),Техника!$F$4:$ABM$4,"Часы",INDEX(Техника!$G$1:$ABN$500,K$2,0),$A$802,INDEX(Техника!$H$1:$ABO$500,K$2,0),"З")</f>
        <v>0</v>
      </c>
      <c r="L807" s="50">
        <f>SUMIFS(INDEX(Техника!$F$1:$ABM$500,L$2,0),Техника!$F$4:$ABM$4,"Часы",INDEX(Техника!$G$1:$ABN$500,L$2,0),$A$802,INDEX(Техника!$H$1:$ABO$500,L$2,0),"З")</f>
        <v>0</v>
      </c>
      <c r="M807" s="50">
        <f>SUMIFS(INDEX(Техника!$F$1:$ABM$500,M$2,0),Техника!$F$4:$ABM$4,"Часы",INDEX(Техника!$G$1:$ABN$500,M$2,0),$A$802,INDEX(Техника!$H$1:$ABO$500,M$2,0),"З")</f>
        <v>0</v>
      </c>
      <c r="N807" s="50">
        <f>SUMIFS(INDEX(Техника!$F$1:$ABM$500,N$2,0),Техника!$F$4:$ABM$4,"Часы",INDEX(Техника!$G$1:$ABN$500,N$2,0),$A$802,INDEX(Техника!$H$1:$ABO$500,N$2,0),"З")</f>
        <v>0</v>
      </c>
      <c r="O807" s="50">
        <f>SUMIFS(INDEX(Техника!$F$1:$ABM$500,O$2,0),Техника!$F$4:$ABM$4,"Часы",INDEX(Техника!$G$1:$ABN$500,O$2,0),$A$802,INDEX(Техника!$H$1:$ABO$500,O$2,0),"З")</f>
        <v>0</v>
      </c>
      <c r="P807" s="50">
        <f>SUMIFS(INDEX(Техника!$F$1:$ABM$500,P$2,0),Техника!$F$4:$ABM$4,"Часы",INDEX(Техника!$G$1:$ABN$500,P$2,0),$A$802,INDEX(Техника!$H$1:$ABO$500,P$2,0),"З")</f>
        <v>0</v>
      </c>
      <c r="Q807" s="50">
        <f>SUMIFS(INDEX(Техника!$F$1:$ABM$500,Q$2,0),Техника!$F$4:$ABM$4,"Часы",INDEX(Техника!$G$1:$ABN$500,Q$2,0),$A$802,INDEX(Техника!$H$1:$ABO$500,Q$2,0),"З")</f>
        <v>0</v>
      </c>
      <c r="R807" s="50">
        <f>SUMIFS(INDEX(Техника!$F$1:$ABM$500,R$2,0),Техника!$F$4:$ABM$4,"Часы",INDEX(Техника!$G$1:$ABN$500,R$2,0),$A$802,INDEX(Техника!$H$1:$ABO$500,R$2,0),"З")</f>
        <v>0</v>
      </c>
      <c r="S807" s="50">
        <f>SUMIFS(INDEX(Техника!$F$1:$ABM$500,S$2,0),Техника!$F$4:$ABM$4,"Часы",INDEX(Техника!$G$1:$ABN$500,S$2,0),$A$802,INDEX(Техника!$H$1:$ABO$500,S$2,0),"З")</f>
        <v>0</v>
      </c>
      <c r="T807" s="50">
        <f>SUMIFS(INDEX(Техника!$F$1:$ABM$500,T$2,0),Техника!$F$4:$ABM$4,"Часы",INDEX(Техника!$G$1:$ABN$500,T$2,0),$A$802,INDEX(Техника!$H$1:$ABO$500,T$2,0),"З")</f>
        <v>0</v>
      </c>
      <c r="U807" s="50">
        <f>SUMIFS(INDEX(Техника!$F$1:$ABM$500,U$2,0),Техника!$F$4:$ABM$4,"Часы",INDEX(Техника!$G$1:$ABN$500,U$2,0),$A$802,INDEX(Техника!$H$1:$ABO$500,U$2,0),"З")</f>
        <v>0</v>
      </c>
      <c r="V807" s="50">
        <f>SUMIFS(INDEX(Техника!$F$1:$ABM$500,V$2,0),Техника!$F$4:$ABM$4,"Часы",INDEX(Техника!$G$1:$ABN$500,V$2,0),$A$802,INDEX(Техника!$H$1:$ABO$500,V$2,0),"З")</f>
        <v>0</v>
      </c>
      <c r="W807" s="50">
        <f>SUMIFS(INDEX(Техника!$F$1:$ABM$500,W$2,0),Техника!$F$4:$ABM$4,"Часы",INDEX(Техника!$G$1:$ABN$500,W$2,0),$A$802,INDEX(Техника!$H$1:$ABO$500,W$2,0),"З")</f>
        <v>0</v>
      </c>
      <c r="X807" s="50">
        <f>SUMIFS(INDEX(Техника!$F$1:$ABM$500,X$2,0),Техника!$F$4:$ABM$4,"Часы",INDEX(Техника!$G$1:$ABN$500,X$2,0),$A$802,INDEX(Техника!$H$1:$ABO$500,X$2,0),"З")</f>
        <v>0</v>
      </c>
      <c r="Y807" s="50">
        <f>SUMIFS(INDEX(Техника!$F$1:$ABM$500,Y$2,0),Техника!$F$4:$ABM$4,"Часы",INDEX(Техника!$G$1:$ABN$500,Y$2,0),$A$802,INDEX(Техника!$H$1:$ABO$500,Y$2,0),"З")</f>
        <v>0</v>
      </c>
      <c r="Z807" s="50">
        <f>SUMIFS(INDEX(Техника!$F$1:$ABM$500,Z$2,0),Техника!$F$4:$ABM$4,"Часы",INDEX(Техника!$G$1:$ABN$500,Z$2,0),$A$802,INDEX(Техника!$H$1:$ABO$500,Z$2,0),"З")</f>
        <v>0</v>
      </c>
      <c r="AA807" s="50">
        <f>SUMIFS(INDEX(Техника!$F$1:$ABM$500,AA$2,0),Техника!$F$4:$ABM$4,"Часы",INDEX(Техника!$G$1:$ABN$500,AA$2,0),$A$802,INDEX(Техника!$H$1:$ABO$500,AA$2,0),"З")</f>
        <v>0</v>
      </c>
      <c r="AB807" s="50">
        <f>SUMIFS(INDEX(Техника!$F$1:$ABM$500,AB$2,0),Техника!$F$4:$ABM$4,"Часы",INDEX(Техника!$G$1:$ABN$500,AB$2,0),$A$802,INDEX(Техника!$H$1:$ABO$500,AB$2,0),"З")</f>
        <v>0</v>
      </c>
    </row>
    <row r="808" spans="1:28" ht="7.95" customHeight="1" x14ac:dyDescent="0.3">
      <c r="A808" s="38"/>
      <c r="B808" s="39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</row>
    <row r="809" spans="1:28" ht="25.05" customHeight="1" collapsed="1" x14ac:dyDescent="0.3">
      <c r="A809" s="32">
        <v>116</v>
      </c>
      <c r="B809" s="32" t="s">
        <v>117</v>
      </c>
      <c r="C809" s="49">
        <f>SUM(C810:C814)</f>
        <v>0</v>
      </c>
      <c r="D809" s="49">
        <f>SUM(D810:D814)</f>
        <v>0</v>
      </c>
      <c r="E809" s="49">
        <f>SUM(E810:E814)</f>
        <v>0</v>
      </c>
      <c r="F809" s="49">
        <f>SUM(F810:F814)</f>
        <v>0</v>
      </c>
      <c r="G809" s="49">
        <f>SUM(G810:G814)</f>
        <v>0</v>
      </c>
      <c r="H809" s="49">
        <f>SUM(H810:H814)</f>
        <v>0</v>
      </c>
      <c r="I809" s="49">
        <f>SUM(I810:I814)</f>
        <v>0</v>
      </c>
      <c r="J809" s="49">
        <f>SUM(J810:J814)</f>
        <v>0</v>
      </c>
      <c r="K809" s="49">
        <f>SUM(K810:K814)</f>
        <v>0</v>
      </c>
      <c r="L809" s="49">
        <f>SUM(L810:L814)</f>
        <v>0</v>
      </c>
      <c r="M809" s="49">
        <f>SUM(M810:M814)</f>
        <v>0</v>
      </c>
      <c r="N809" s="49">
        <f>SUM(N810:N814)</f>
        <v>0</v>
      </c>
      <c r="O809" s="49">
        <f>SUM(O810:O814)</f>
        <v>0</v>
      </c>
      <c r="P809" s="49">
        <f>SUM(P810:P814)</f>
        <v>0</v>
      </c>
      <c r="Q809" s="49">
        <f>SUM(Q810:Q814)</f>
        <v>0</v>
      </c>
      <c r="R809" s="49">
        <f>SUM(R810:R814)</f>
        <v>0</v>
      </c>
      <c r="S809" s="49">
        <f>SUM(S810:S814)</f>
        <v>0</v>
      </c>
      <c r="T809" s="49">
        <f>SUM(T810:T814)</f>
        <v>0</v>
      </c>
      <c r="U809" s="49">
        <f>SUM(U810:U814)</f>
        <v>0</v>
      </c>
      <c r="V809" s="49">
        <f>SUM(V810:V814)</f>
        <v>0</v>
      </c>
      <c r="W809" s="49">
        <f>SUM(W810:W814)</f>
        <v>0</v>
      </c>
      <c r="X809" s="49">
        <f>SUM(X810:X814)</f>
        <v>0</v>
      </c>
      <c r="Y809" s="49">
        <f>SUM(Y810:Y814)</f>
        <v>0</v>
      </c>
      <c r="Z809" s="49">
        <f>SUM(Z810:Z814)</f>
        <v>0</v>
      </c>
      <c r="AA809" s="49">
        <f>SUM(AA810:AA814)</f>
        <v>0</v>
      </c>
      <c r="AB809" s="49">
        <f>SUM(AB810:AB814)</f>
        <v>0</v>
      </c>
    </row>
    <row r="810" spans="1:28" hidden="1" outlineLevel="1" x14ac:dyDescent="0.3">
      <c r="A810" s="33" t="s">
        <v>246</v>
      </c>
      <c r="B810" s="34" t="s">
        <v>274</v>
      </c>
      <c r="C810" s="50">
        <f>SUMIFS(INDEX(Техника!$F$1:$ABM$500,C$2,0),Техника!$F$4:$ABM$4,"Часы",INDEX(Техника!$G$1:$ABN$500,C$2,0),$A$809,INDEX(Техника!$H$1:$ABO$500,C$2,0),"М")</f>
        <v>0</v>
      </c>
      <c r="D810" s="50">
        <f>SUMIFS(INDEX(Техника!$F$1:$ABM$500,D$2,0),Техника!$F$4:$ABM$4,"Часы",INDEX(Техника!$G$1:$ABN$500,D$2,0),$A$809,INDEX(Техника!$H$1:$ABO$500,D$2,0),"М")</f>
        <v>0</v>
      </c>
      <c r="E810" s="50">
        <f>SUMIFS(INDEX(Техника!$F$1:$ABM$500,E$2,0),Техника!$F$4:$ABM$4,"Часы",INDEX(Техника!$G$1:$ABN$500,E$2,0),$A$809,INDEX(Техника!$H$1:$ABO$500,E$2,0),"М")</f>
        <v>0</v>
      </c>
      <c r="F810" s="50">
        <f>SUMIFS(INDEX(Техника!$F$1:$ABM$500,F$2,0),Техника!$F$4:$ABM$4,"Часы",INDEX(Техника!$G$1:$ABN$500,F$2,0),$A$809,INDEX(Техника!$H$1:$ABO$500,F$2,0),"М")</f>
        <v>0</v>
      </c>
      <c r="G810" s="50">
        <f>SUMIFS(INDEX(Техника!$F$1:$ABM$500,G$2,0),Техника!$F$4:$ABM$4,"Часы",INDEX(Техника!$G$1:$ABN$500,G$2,0),$A$809,INDEX(Техника!$H$1:$ABO$500,G$2,0),"М")</f>
        <v>0</v>
      </c>
      <c r="H810" s="50">
        <f>SUMIFS(INDEX(Техника!$F$1:$ABM$500,H$2,0),Техника!$F$4:$ABM$4,"Часы",INDEX(Техника!$G$1:$ABN$500,H$2,0),$A$809,INDEX(Техника!$H$1:$ABO$500,H$2,0),"М")</f>
        <v>0</v>
      </c>
      <c r="I810" s="50">
        <f>SUMIFS(INDEX(Техника!$F$1:$ABM$500,I$2,0),Техника!$F$4:$ABM$4,"Часы",INDEX(Техника!$G$1:$ABN$500,I$2,0),$A$809,INDEX(Техника!$H$1:$ABO$500,I$2,0),"М")</f>
        <v>0</v>
      </c>
      <c r="J810" s="50">
        <f>SUMIFS(INDEX(Техника!$F$1:$ABM$500,J$2,0),Техника!$F$4:$ABM$4,"Часы",INDEX(Техника!$G$1:$ABN$500,J$2,0),$A$809,INDEX(Техника!$H$1:$ABO$500,J$2,0),"М")</f>
        <v>0</v>
      </c>
      <c r="K810" s="50">
        <f>SUMIFS(INDEX(Техника!$F$1:$ABM$500,K$2,0),Техника!$F$4:$ABM$4,"Часы",INDEX(Техника!$G$1:$ABN$500,K$2,0),$A$809,INDEX(Техника!$H$1:$ABO$500,K$2,0),"М")</f>
        <v>0</v>
      </c>
      <c r="L810" s="50">
        <f>SUMIFS(INDEX(Техника!$F$1:$ABM$500,L$2,0),Техника!$F$4:$ABM$4,"Часы",INDEX(Техника!$G$1:$ABN$500,L$2,0),$A$809,INDEX(Техника!$H$1:$ABO$500,L$2,0),"М")</f>
        <v>0</v>
      </c>
      <c r="M810" s="50">
        <f>SUMIFS(INDEX(Техника!$F$1:$ABM$500,M$2,0),Техника!$F$4:$ABM$4,"Часы",INDEX(Техника!$G$1:$ABN$500,M$2,0),$A$809,INDEX(Техника!$H$1:$ABO$500,M$2,0),"М")</f>
        <v>0</v>
      </c>
      <c r="N810" s="50">
        <f>SUMIFS(INDEX(Техника!$F$1:$ABM$500,N$2,0),Техника!$F$4:$ABM$4,"Часы",INDEX(Техника!$G$1:$ABN$500,N$2,0),$A$809,INDEX(Техника!$H$1:$ABO$500,N$2,0),"М")</f>
        <v>0</v>
      </c>
      <c r="O810" s="50">
        <f>SUMIFS(INDEX(Техника!$F$1:$ABM$500,O$2,0),Техника!$F$4:$ABM$4,"Часы",INDEX(Техника!$G$1:$ABN$500,O$2,0),$A$809,INDEX(Техника!$H$1:$ABO$500,O$2,0),"М")</f>
        <v>0</v>
      </c>
      <c r="P810" s="50">
        <f>SUMIFS(INDEX(Техника!$F$1:$ABM$500,P$2,0),Техника!$F$4:$ABM$4,"Часы",INDEX(Техника!$G$1:$ABN$500,P$2,0),$A$809,INDEX(Техника!$H$1:$ABO$500,P$2,0),"М")</f>
        <v>0</v>
      </c>
      <c r="Q810" s="50">
        <f>SUMIFS(INDEX(Техника!$F$1:$ABM$500,Q$2,0),Техника!$F$4:$ABM$4,"Часы",INDEX(Техника!$G$1:$ABN$500,Q$2,0),$A$809,INDEX(Техника!$H$1:$ABO$500,Q$2,0),"М")</f>
        <v>0</v>
      </c>
      <c r="R810" s="50">
        <f>SUMIFS(INDEX(Техника!$F$1:$ABM$500,R$2,0),Техника!$F$4:$ABM$4,"Часы",INDEX(Техника!$G$1:$ABN$500,R$2,0),$A$809,INDEX(Техника!$H$1:$ABO$500,R$2,0),"М")</f>
        <v>0</v>
      </c>
      <c r="S810" s="50">
        <f>SUMIFS(INDEX(Техника!$F$1:$ABM$500,S$2,0),Техника!$F$4:$ABM$4,"Часы",INDEX(Техника!$G$1:$ABN$500,S$2,0),$A$809,INDEX(Техника!$H$1:$ABO$500,S$2,0),"М")</f>
        <v>0</v>
      </c>
      <c r="T810" s="50">
        <f>SUMIFS(INDEX(Техника!$F$1:$ABM$500,T$2,0),Техника!$F$4:$ABM$4,"Часы",INDEX(Техника!$G$1:$ABN$500,T$2,0),$A$809,INDEX(Техника!$H$1:$ABO$500,T$2,0),"М")</f>
        <v>0</v>
      </c>
      <c r="U810" s="50">
        <f>SUMIFS(INDEX(Техника!$F$1:$ABM$500,U$2,0),Техника!$F$4:$ABM$4,"Часы",INDEX(Техника!$G$1:$ABN$500,U$2,0),$A$809,INDEX(Техника!$H$1:$ABO$500,U$2,0),"М")</f>
        <v>0</v>
      </c>
      <c r="V810" s="50">
        <f>SUMIFS(INDEX(Техника!$F$1:$ABM$500,V$2,0),Техника!$F$4:$ABM$4,"Часы",INDEX(Техника!$G$1:$ABN$500,V$2,0),$A$809,INDEX(Техника!$H$1:$ABO$500,V$2,0),"М")</f>
        <v>0</v>
      </c>
      <c r="W810" s="50">
        <f>SUMIFS(INDEX(Техника!$F$1:$ABM$500,W$2,0),Техника!$F$4:$ABM$4,"Часы",INDEX(Техника!$G$1:$ABN$500,W$2,0),$A$809,INDEX(Техника!$H$1:$ABO$500,W$2,0),"М")</f>
        <v>0</v>
      </c>
      <c r="X810" s="50">
        <f>SUMIFS(INDEX(Техника!$F$1:$ABM$500,X$2,0),Техника!$F$4:$ABM$4,"Часы",INDEX(Техника!$G$1:$ABN$500,X$2,0),$A$809,INDEX(Техника!$H$1:$ABO$500,X$2,0),"М")</f>
        <v>0</v>
      </c>
      <c r="Y810" s="50">
        <f>SUMIFS(INDEX(Техника!$F$1:$ABM$500,Y$2,0),Техника!$F$4:$ABM$4,"Часы",INDEX(Техника!$G$1:$ABN$500,Y$2,0),$A$809,INDEX(Техника!$H$1:$ABO$500,Y$2,0),"М")</f>
        <v>0</v>
      </c>
      <c r="Z810" s="50">
        <f>SUMIFS(INDEX(Техника!$F$1:$ABM$500,Z$2,0),Техника!$F$4:$ABM$4,"Часы",INDEX(Техника!$G$1:$ABN$500,Z$2,0),$A$809,INDEX(Техника!$H$1:$ABO$500,Z$2,0),"М")</f>
        <v>0</v>
      </c>
      <c r="AA810" s="50">
        <f>SUMIFS(INDEX(Техника!$F$1:$ABM$500,AA$2,0),Техника!$F$4:$ABM$4,"Часы",INDEX(Техника!$G$1:$ABN$500,AA$2,0),$A$809,INDEX(Техника!$H$1:$ABO$500,AA$2,0),"М")</f>
        <v>0</v>
      </c>
      <c r="AB810" s="50">
        <f>SUMIFS(INDEX(Техника!$F$1:$ABM$500,AB$2,0),Техника!$F$4:$ABM$4,"Часы",INDEX(Техника!$G$1:$ABN$500,AB$2,0),$A$809,INDEX(Техника!$H$1:$ABO$500,AB$2,0),"М")</f>
        <v>0</v>
      </c>
    </row>
    <row r="811" spans="1:28" hidden="1" outlineLevel="1" x14ac:dyDescent="0.3">
      <c r="A811" s="33" t="s">
        <v>244</v>
      </c>
      <c r="B811" s="34" t="s">
        <v>275</v>
      </c>
      <c r="C811" s="50">
        <f>SUMIFS(INDEX(Техника!$F$1:$ABM$500,C$2,0),Техника!$F$4:$ABM$4,"Часы",INDEX(Техника!$G$1:$ABN$500,C$2,0),$A$809,INDEX(Техника!$H$1:$ABO$500,C$2,0),"Д")</f>
        <v>0</v>
      </c>
      <c r="D811" s="50">
        <f>SUMIFS(INDEX(Техника!$F$1:$ABM$500,D$2,0),Техника!$F$4:$ABM$4,"Часы",INDEX(Техника!$G$1:$ABN$500,D$2,0),$A$809,INDEX(Техника!$H$1:$ABO$500,D$2,0),"Д")</f>
        <v>0</v>
      </c>
      <c r="E811" s="50">
        <f>SUMIFS(INDEX(Техника!$F$1:$ABM$500,E$2,0),Техника!$F$4:$ABM$4,"Часы",INDEX(Техника!$G$1:$ABN$500,E$2,0),$A$809,INDEX(Техника!$H$1:$ABO$500,E$2,0),"Д")</f>
        <v>0</v>
      </c>
      <c r="F811" s="50">
        <f>SUMIFS(INDEX(Техника!$F$1:$ABM$500,F$2,0),Техника!$F$4:$ABM$4,"Часы",INDEX(Техника!$G$1:$ABN$500,F$2,0),$A$809,INDEX(Техника!$H$1:$ABO$500,F$2,0),"Д")</f>
        <v>0</v>
      </c>
      <c r="G811" s="50">
        <f>SUMIFS(INDEX(Техника!$F$1:$ABM$500,G$2,0),Техника!$F$4:$ABM$4,"Часы",INDEX(Техника!$G$1:$ABN$500,G$2,0),$A$809,INDEX(Техника!$H$1:$ABO$500,G$2,0),"Д")</f>
        <v>0</v>
      </c>
      <c r="H811" s="50">
        <f>SUMIFS(INDEX(Техника!$F$1:$ABM$500,H$2,0),Техника!$F$4:$ABM$4,"Часы",INDEX(Техника!$G$1:$ABN$500,H$2,0),$A$809,INDEX(Техника!$H$1:$ABO$500,H$2,0),"Д")</f>
        <v>0</v>
      </c>
      <c r="I811" s="50">
        <f>SUMIFS(INDEX(Техника!$F$1:$ABM$500,I$2,0),Техника!$F$4:$ABM$4,"Часы",INDEX(Техника!$G$1:$ABN$500,I$2,0),$A$809,INDEX(Техника!$H$1:$ABO$500,I$2,0),"Д")</f>
        <v>0</v>
      </c>
      <c r="J811" s="50">
        <f>SUMIFS(INDEX(Техника!$F$1:$ABM$500,J$2,0),Техника!$F$4:$ABM$4,"Часы",INDEX(Техника!$G$1:$ABN$500,J$2,0),$A$809,INDEX(Техника!$H$1:$ABO$500,J$2,0),"Д")</f>
        <v>0</v>
      </c>
      <c r="K811" s="50">
        <f>SUMIFS(INDEX(Техника!$F$1:$ABM$500,K$2,0),Техника!$F$4:$ABM$4,"Часы",INDEX(Техника!$G$1:$ABN$500,K$2,0),$A$809,INDEX(Техника!$H$1:$ABO$500,K$2,0),"Д")</f>
        <v>0</v>
      </c>
      <c r="L811" s="50">
        <f>SUMIFS(INDEX(Техника!$F$1:$ABM$500,L$2,0),Техника!$F$4:$ABM$4,"Часы",INDEX(Техника!$G$1:$ABN$500,L$2,0),$A$809,INDEX(Техника!$H$1:$ABO$500,L$2,0),"Д")</f>
        <v>0</v>
      </c>
      <c r="M811" s="50">
        <f>SUMIFS(INDEX(Техника!$F$1:$ABM$500,M$2,0),Техника!$F$4:$ABM$4,"Часы",INDEX(Техника!$G$1:$ABN$500,M$2,0),$A$809,INDEX(Техника!$H$1:$ABO$500,M$2,0),"Д")</f>
        <v>0</v>
      </c>
      <c r="N811" s="50">
        <f>SUMIFS(INDEX(Техника!$F$1:$ABM$500,N$2,0),Техника!$F$4:$ABM$4,"Часы",INDEX(Техника!$G$1:$ABN$500,N$2,0),$A$809,INDEX(Техника!$H$1:$ABO$500,N$2,0),"Д")</f>
        <v>0</v>
      </c>
      <c r="O811" s="50">
        <f>SUMIFS(INDEX(Техника!$F$1:$ABM$500,O$2,0),Техника!$F$4:$ABM$4,"Часы",INDEX(Техника!$G$1:$ABN$500,O$2,0),$A$809,INDEX(Техника!$H$1:$ABO$500,O$2,0),"Д")</f>
        <v>0</v>
      </c>
      <c r="P811" s="50">
        <f>SUMIFS(INDEX(Техника!$F$1:$ABM$500,P$2,0),Техника!$F$4:$ABM$4,"Часы",INDEX(Техника!$G$1:$ABN$500,P$2,0),$A$809,INDEX(Техника!$H$1:$ABO$500,P$2,0),"Д")</f>
        <v>0</v>
      </c>
      <c r="Q811" s="50">
        <f>SUMIFS(INDEX(Техника!$F$1:$ABM$500,Q$2,0),Техника!$F$4:$ABM$4,"Часы",INDEX(Техника!$G$1:$ABN$500,Q$2,0),$A$809,INDEX(Техника!$H$1:$ABO$500,Q$2,0),"Д")</f>
        <v>0</v>
      </c>
      <c r="R811" s="50">
        <f>SUMIFS(INDEX(Техника!$F$1:$ABM$500,R$2,0),Техника!$F$4:$ABM$4,"Часы",INDEX(Техника!$G$1:$ABN$500,R$2,0),$A$809,INDEX(Техника!$H$1:$ABO$500,R$2,0),"Д")</f>
        <v>0</v>
      </c>
      <c r="S811" s="50">
        <f>SUMIFS(INDEX(Техника!$F$1:$ABM$500,S$2,0),Техника!$F$4:$ABM$4,"Часы",INDEX(Техника!$G$1:$ABN$500,S$2,0),$A$809,INDEX(Техника!$H$1:$ABO$500,S$2,0),"Д")</f>
        <v>0</v>
      </c>
      <c r="T811" s="50">
        <f>SUMIFS(INDEX(Техника!$F$1:$ABM$500,T$2,0),Техника!$F$4:$ABM$4,"Часы",INDEX(Техника!$G$1:$ABN$500,T$2,0),$A$809,INDEX(Техника!$H$1:$ABO$500,T$2,0),"Д")</f>
        <v>0</v>
      </c>
      <c r="U811" s="50">
        <f>SUMIFS(INDEX(Техника!$F$1:$ABM$500,U$2,0),Техника!$F$4:$ABM$4,"Часы",INDEX(Техника!$G$1:$ABN$500,U$2,0),$A$809,INDEX(Техника!$H$1:$ABO$500,U$2,0),"Д")</f>
        <v>0</v>
      </c>
      <c r="V811" s="50">
        <f>SUMIFS(INDEX(Техника!$F$1:$ABM$500,V$2,0),Техника!$F$4:$ABM$4,"Часы",INDEX(Техника!$G$1:$ABN$500,V$2,0),$A$809,INDEX(Техника!$H$1:$ABO$500,V$2,0),"Д")</f>
        <v>0</v>
      </c>
      <c r="W811" s="50">
        <f>SUMIFS(INDEX(Техника!$F$1:$ABM$500,W$2,0),Техника!$F$4:$ABM$4,"Часы",INDEX(Техника!$G$1:$ABN$500,W$2,0),$A$809,INDEX(Техника!$H$1:$ABO$500,W$2,0),"Д")</f>
        <v>0</v>
      </c>
      <c r="X811" s="50">
        <f>SUMIFS(INDEX(Техника!$F$1:$ABM$500,X$2,0),Техника!$F$4:$ABM$4,"Часы",INDEX(Техника!$G$1:$ABN$500,X$2,0),$A$809,INDEX(Техника!$H$1:$ABO$500,X$2,0),"Д")</f>
        <v>0</v>
      </c>
      <c r="Y811" s="50">
        <f>SUMIFS(INDEX(Техника!$F$1:$ABM$500,Y$2,0),Техника!$F$4:$ABM$4,"Часы",INDEX(Техника!$G$1:$ABN$500,Y$2,0),$A$809,INDEX(Техника!$H$1:$ABO$500,Y$2,0),"Д")</f>
        <v>0</v>
      </c>
      <c r="Z811" s="50">
        <f>SUMIFS(INDEX(Техника!$F$1:$ABM$500,Z$2,0),Техника!$F$4:$ABM$4,"Часы",INDEX(Техника!$G$1:$ABN$500,Z$2,0),$A$809,INDEX(Техника!$H$1:$ABO$500,Z$2,0),"Д")</f>
        <v>0</v>
      </c>
      <c r="AA811" s="50">
        <f>SUMIFS(INDEX(Техника!$F$1:$ABM$500,AA$2,0),Техника!$F$4:$ABM$4,"Часы",INDEX(Техника!$G$1:$ABN$500,AA$2,0),$A$809,INDEX(Техника!$H$1:$ABO$500,AA$2,0),"Д")</f>
        <v>0</v>
      </c>
      <c r="AB811" s="50">
        <f>SUMIFS(INDEX(Техника!$F$1:$ABM$500,AB$2,0),Техника!$F$4:$ABM$4,"Часы",INDEX(Техника!$G$1:$ABN$500,AB$2,0),$A$809,INDEX(Техника!$H$1:$ABO$500,AB$2,0),"Д")</f>
        <v>0</v>
      </c>
    </row>
    <row r="812" spans="1:28" hidden="1" outlineLevel="1" x14ac:dyDescent="0.3">
      <c r="A812" s="33" t="s">
        <v>276</v>
      </c>
      <c r="B812" s="34" t="s">
        <v>277</v>
      </c>
      <c r="C812" s="50">
        <f>SUMIFS(INDEX(Техника!$F$1:$ABM$500,C$2,0),Техника!$F$4:$ABM$4,"Часы",INDEX(Техника!$G$1:$ABN$500,C$2,0),$A$809,INDEX(Техника!$H$1:$ABO$500,C$2,0),"П")</f>
        <v>0</v>
      </c>
      <c r="D812" s="50">
        <f>SUMIFS(INDEX(Техника!$F$1:$ABM$500,D$2,0),Техника!$F$4:$ABM$4,"Часы",INDEX(Техника!$G$1:$ABN$500,D$2,0),$A$809,INDEX(Техника!$H$1:$ABO$500,D$2,0),"П")</f>
        <v>0</v>
      </c>
      <c r="E812" s="50">
        <f>SUMIFS(INDEX(Техника!$F$1:$ABM$500,E$2,0),Техника!$F$4:$ABM$4,"Часы",INDEX(Техника!$G$1:$ABN$500,E$2,0),$A$809,INDEX(Техника!$H$1:$ABO$500,E$2,0),"П")</f>
        <v>0</v>
      </c>
      <c r="F812" s="50">
        <f>SUMIFS(INDEX(Техника!$F$1:$ABM$500,F$2,0),Техника!$F$4:$ABM$4,"Часы",INDEX(Техника!$G$1:$ABN$500,F$2,0),$A$809,INDEX(Техника!$H$1:$ABO$500,F$2,0),"П")</f>
        <v>0</v>
      </c>
      <c r="G812" s="50">
        <f>SUMIFS(INDEX(Техника!$F$1:$ABM$500,G$2,0),Техника!$F$4:$ABM$4,"Часы",INDEX(Техника!$G$1:$ABN$500,G$2,0),$A$809,INDEX(Техника!$H$1:$ABO$500,G$2,0),"П")</f>
        <v>0</v>
      </c>
      <c r="H812" s="50">
        <f>SUMIFS(INDEX(Техника!$F$1:$ABM$500,H$2,0),Техника!$F$4:$ABM$4,"Часы",INDEX(Техника!$G$1:$ABN$500,H$2,0),$A$809,INDEX(Техника!$H$1:$ABO$500,H$2,0),"П")</f>
        <v>0</v>
      </c>
      <c r="I812" s="50">
        <f>SUMIFS(INDEX(Техника!$F$1:$ABM$500,I$2,0),Техника!$F$4:$ABM$4,"Часы",INDEX(Техника!$G$1:$ABN$500,I$2,0),$A$809,INDEX(Техника!$H$1:$ABO$500,I$2,0),"П")</f>
        <v>0</v>
      </c>
      <c r="J812" s="50">
        <f>SUMIFS(INDEX(Техника!$F$1:$ABM$500,J$2,0),Техника!$F$4:$ABM$4,"Часы",INDEX(Техника!$G$1:$ABN$500,J$2,0),$A$809,INDEX(Техника!$H$1:$ABO$500,J$2,0),"П")</f>
        <v>0</v>
      </c>
      <c r="K812" s="50">
        <f>SUMIFS(INDEX(Техника!$F$1:$ABM$500,K$2,0),Техника!$F$4:$ABM$4,"Часы",INDEX(Техника!$G$1:$ABN$500,K$2,0),$A$809,INDEX(Техника!$H$1:$ABO$500,K$2,0),"П")</f>
        <v>0</v>
      </c>
      <c r="L812" s="50">
        <f>SUMIFS(INDEX(Техника!$F$1:$ABM$500,L$2,0),Техника!$F$4:$ABM$4,"Часы",INDEX(Техника!$G$1:$ABN$500,L$2,0),$A$809,INDEX(Техника!$H$1:$ABO$500,L$2,0),"П")</f>
        <v>0</v>
      </c>
      <c r="M812" s="50">
        <f>SUMIFS(INDEX(Техника!$F$1:$ABM$500,M$2,0),Техника!$F$4:$ABM$4,"Часы",INDEX(Техника!$G$1:$ABN$500,M$2,0),$A$809,INDEX(Техника!$H$1:$ABO$500,M$2,0),"П")</f>
        <v>0</v>
      </c>
      <c r="N812" s="50">
        <f>SUMIFS(INDEX(Техника!$F$1:$ABM$500,N$2,0),Техника!$F$4:$ABM$4,"Часы",INDEX(Техника!$G$1:$ABN$500,N$2,0),$A$809,INDEX(Техника!$H$1:$ABO$500,N$2,0),"П")</f>
        <v>0</v>
      </c>
      <c r="O812" s="50">
        <f>SUMIFS(INDEX(Техника!$F$1:$ABM$500,O$2,0),Техника!$F$4:$ABM$4,"Часы",INDEX(Техника!$G$1:$ABN$500,O$2,0),$A$809,INDEX(Техника!$H$1:$ABO$500,O$2,0),"П")</f>
        <v>0</v>
      </c>
      <c r="P812" s="50">
        <f>SUMIFS(INDEX(Техника!$F$1:$ABM$500,P$2,0),Техника!$F$4:$ABM$4,"Часы",INDEX(Техника!$G$1:$ABN$500,P$2,0),$A$809,INDEX(Техника!$H$1:$ABO$500,P$2,0),"П")</f>
        <v>0</v>
      </c>
      <c r="Q812" s="50">
        <f>SUMIFS(INDEX(Техника!$F$1:$ABM$500,Q$2,0),Техника!$F$4:$ABM$4,"Часы",INDEX(Техника!$G$1:$ABN$500,Q$2,0),$A$809,INDEX(Техника!$H$1:$ABO$500,Q$2,0),"П")</f>
        <v>0</v>
      </c>
      <c r="R812" s="50">
        <f>SUMIFS(INDEX(Техника!$F$1:$ABM$500,R$2,0),Техника!$F$4:$ABM$4,"Часы",INDEX(Техника!$G$1:$ABN$500,R$2,0),$A$809,INDEX(Техника!$H$1:$ABO$500,R$2,0),"П")</f>
        <v>0</v>
      </c>
      <c r="S812" s="50">
        <f>SUMIFS(INDEX(Техника!$F$1:$ABM$500,S$2,0),Техника!$F$4:$ABM$4,"Часы",INDEX(Техника!$G$1:$ABN$500,S$2,0),$A$809,INDEX(Техника!$H$1:$ABO$500,S$2,0),"П")</f>
        <v>0</v>
      </c>
      <c r="T812" s="50">
        <f>SUMIFS(INDEX(Техника!$F$1:$ABM$500,T$2,0),Техника!$F$4:$ABM$4,"Часы",INDEX(Техника!$G$1:$ABN$500,T$2,0),$A$809,INDEX(Техника!$H$1:$ABO$500,T$2,0),"П")</f>
        <v>0</v>
      </c>
      <c r="U812" s="50">
        <f>SUMIFS(INDEX(Техника!$F$1:$ABM$500,U$2,0),Техника!$F$4:$ABM$4,"Часы",INDEX(Техника!$G$1:$ABN$500,U$2,0),$A$809,INDEX(Техника!$H$1:$ABO$500,U$2,0),"П")</f>
        <v>0</v>
      </c>
      <c r="V812" s="50">
        <f>SUMIFS(INDEX(Техника!$F$1:$ABM$500,V$2,0),Техника!$F$4:$ABM$4,"Часы",INDEX(Техника!$G$1:$ABN$500,V$2,0),$A$809,INDEX(Техника!$H$1:$ABO$500,V$2,0),"П")</f>
        <v>0</v>
      </c>
      <c r="W812" s="50">
        <f>SUMIFS(INDEX(Техника!$F$1:$ABM$500,W$2,0),Техника!$F$4:$ABM$4,"Часы",INDEX(Техника!$G$1:$ABN$500,W$2,0),$A$809,INDEX(Техника!$H$1:$ABO$500,W$2,0),"П")</f>
        <v>0</v>
      </c>
      <c r="X812" s="50">
        <f>SUMIFS(INDEX(Техника!$F$1:$ABM$500,X$2,0),Техника!$F$4:$ABM$4,"Часы",INDEX(Техника!$G$1:$ABN$500,X$2,0),$A$809,INDEX(Техника!$H$1:$ABO$500,X$2,0),"П")</f>
        <v>0</v>
      </c>
      <c r="Y812" s="50">
        <f>SUMIFS(INDEX(Техника!$F$1:$ABM$500,Y$2,0),Техника!$F$4:$ABM$4,"Часы",INDEX(Техника!$G$1:$ABN$500,Y$2,0),$A$809,INDEX(Техника!$H$1:$ABO$500,Y$2,0),"П")</f>
        <v>0</v>
      </c>
      <c r="Z812" s="50">
        <f>SUMIFS(INDEX(Техника!$F$1:$ABM$500,Z$2,0),Техника!$F$4:$ABM$4,"Часы",INDEX(Техника!$G$1:$ABN$500,Z$2,0),$A$809,INDEX(Техника!$H$1:$ABO$500,Z$2,0),"П")</f>
        <v>0</v>
      </c>
      <c r="AA812" s="50">
        <f>SUMIFS(INDEX(Техника!$F$1:$ABM$500,AA$2,0),Техника!$F$4:$ABM$4,"Часы",INDEX(Техника!$G$1:$ABN$500,AA$2,0),$A$809,INDEX(Техника!$H$1:$ABO$500,AA$2,0),"П")</f>
        <v>0</v>
      </c>
      <c r="AB812" s="50">
        <f>SUMIFS(INDEX(Техника!$F$1:$ABM$500,AB$2,0),Техника!$F$4:$ABM$4,"Часы",INDEX(Техника!$G$1:$ABN$500,AB$2,0),$A$809,INDEX(Техника!$H$1:$ABO$500,AB$2,0),"П")</f>
        <v>0</v>
      </c>
    </row>
    <row r="813" spans="1:28" hidden="1" outlineLevel="1" x14ac:dyDescent="0.3">
      <c r="A813" s="33" t="s">
        <v>243</v>
      </c>
      <c r="B813" s="34" t="s">
        <v>278</v>
      </c>
      <c r="C813" s="50">
        <f>SUMIFS(INDEX(Техника!$F$1:$ABM$500,C$2,0),Техника!$F$4:$ABM$4,"Часы",INDEX(Техника!$G$1:$ABN$500,C$2,0),$A$809,INDEX(Техника!$H$1:$ABO$500,C$2,0),"Л")</f>
        <v>0</v>
      </c>
      <c r="D813" s="50">
        <f>SUMIFS(INDEX(Техника!$F$1:$ABM$500,D$2,0),Техника!$F$4:$ABM$4,"Часы",INDEX(Техника!$G$1:$ABN$500,D$2,0),$A$809,INDEX(Техника!$H$1:$ABO$500,D$2,0),"Л")</f>
        <v>0</v>
      </c>
      <c r="E813" s="50">
        <f>SUMIFS(INDEX(Техника!$F$1:$ABM$500,E$2,0),Техника!$F$4:$ABM$4,"Часы",INDEX(Техника!$G$1:$ABN$500,E$2,0),$A$809,INDEX(Техника!$H$1:$ABO$500,E$2,0),"Л")</f>
        <v>0</v>
      </c>
      <c r="F813" s="50">
        <f>SUMIFS(INDEX(Техника!$F$1:$ABM$500,F$2,0),Техника!$F$4:$ABM$4,"Часы",INDEX(Техника!$G$1:$ABN$500,F$2,0),$A$809,INDEX(Техника!$H$1:$ABO$500,F$2,0),"Л")</f>
        <v>0</v>
      </c>
      <c r="G813" s="50">
        <f>SUMIFS(INDEX(Техника!$F$1:$ABM$500,G$2,0),Техника!$F$4:$ABM$4,"Часы",INDEX(Техника!$G$1:$ABN$500,G$2,0),$A$809,INDEX(Техника!$H$1:$ABO$500,G$2,0),"Л")</f>
        <v>0</v>
      </c>
      <c r="H813" s="50">
        <f>SUMIFS(INDEX(Техника!$F$1:$ABM$500,H$2,0),Техника!$F$4:$ABM$4,"Часы",INDEX(Техника!$G$1:$ABN$500,H$2,0),$A$809,INDEX(Техника!$H$1:$ABO$500,H$2,0),"Л")</f>
        <v>0</v>
      </c>
      <c r="I813" s="50">
        <f>SUMIFS(INDEX(Техника!$F$1:$ABM$500,I$2,0),Техника!$F$4:$ABM$4,"Часы",INDEX(Техника!$G$1:$ABN$500,I$2,0),$A$809,INDEX(Техника!$H$1:$ABO$500,I$2,0),"Л")</f>
        <v>0</v>
      </c>
      <c r="J813" s="50">
        <f>SUMIFS(INDEX(Техника!$F$1:$ABM$500,J$2,0),Техника!$F$4:$ABM$4,"Часы",INDEX(Техника!$G$1:$ABN$500,J$2,0),$A$809,INDEX(Техника!$H$1:$ABO$500,J$2,0),"Л")</f>
        <v>0</v>
      </c>
      <c r="K813" s="50">
        <f>SUMIFS(INDEX(Техника!$F$1:$ABM$500,K$2,0),Техника!$F$4:$ABM$4,"Часы",INDEX(Техника!$G$1:$ABN$500,K$2,0),$A$809,INDEX(Техника!$H$1:$ABO$500,K$2,0),"Л")</f>
        <v>0</v>
      </c>
      <c r="L813" s="50">
        <f>SUMIFS(INDEX(Техника!$F$1:$ABM$500,L$2,0),Техника!$F$4:$ABM$4,"Часы",INDEX(Техника!$G$1:$ABN$500,L$2,0),$A$809,INDEX(Техника!$H$1:$ABO$500,L$2,0),"Л")</f>
        <v>0</v>
      </c>
      <c r="M813" s="50">
        <f>SUMIFS(INDEX(Техника!$F$1:$ABM$500,M$2,0),Техника!$F$4:$ABM$4,"Часы",INDEX(Техника!$G$1:$ABN$500,M$2,0),$A$809,INDEX(Техника!$H$1:$ABO$500,M$2,0),"Л")</f>
        <v>0</v>
      </c>
      <c r="N813" s="50">
        <f>SUMIFS(INDEX(Техника!$F$1:$ABM$500,N$2,0),Техника!$F$4:$ABM$4,"Часы",INDEX(Техника!$G$1:$ABN$500,N$2,0),$A$809,INDEX(Техника!$H$1:$ABO$500,N$2,0),"Л")</f>
        <v>0</v>
      </c>
      <c r="O813" s="50">
        <f>SUMIFS(INDEX(Техника!$F$1:$ABM$500,O$2,0),Техника!$F$4:$ABM$4,"Часы",INDEX(Техника!$G$1:$ABN$500,O$2,0),$A$809,INDEX(Техника!$H$1:$ABO$500,O$2,0),"Л")</f>
        <v>0</v>
      </c>
      <c r="P813" s="50">
        <f>SUMIFS(INDEX(Техника!$F$1:$ABM$500,P$2,0),Техника!$F$4:$ABM$4,"Часы",INDEX(Техника!$G$1:$ABN$500,P$2,0),$A$809,INDEX(Техника!$H$1:$ABO$500,P$2,0),"Л")</f>
        <v>0</v>
      </c>
      <c r="Q813" s="50">
        <f>SUMIFS(INDEX(Техника!$F$1:$ABM$500,Q$2,0),Техника!$F$4:$ABM$4,"Часы",INDEX(Техника!$G$1:$ABN$500,Q$2,0),$A$809,INDEX(Техника!$H$1:$ABO$500,Q$2,0),"Л")</f>
        <v>0</v>
      </c>
      <c r="R813" s="50">
        <f>SUMIFS(INDEX(Техника!$F$1:$ABM$500,R$2,0),Техника!$F$4:$ABM$4,"Часы",INDEX(Техника!$G$1:$ABN$500,R$2,0),$A$809,INDEX(Техника!$H$1:$ABO$500,R$2,0),"Л")</f>
        <v>0</v>
      </c>
      <c r="S813" s="50">
        <f>SUMIFS(INDEX(Техника!$F$1:$ABM$500,S$2,0),Техника!$F$4:$ABM$4,"Часы",INDEX(Техника!$G$1:$ABN$500,S$2,0),$A$809,INDEX(Техника!$H$1:$ABO$500,S$2,0),"Л")</f>
        <v>0</v>
      </c>
      <c r="T813" s="50">
        <f>SUMIFS(INDEX(Техника!$F$1:$ABM$500,T$2,0),Техника!$F$4:$ABM$4,"Часы",INDEX(Техника!$G$1:$ABN$500,T$2,0),$A$809,INDEX(Техника!$H$1:$ABO$500,T$2,0),"Л")</f>
        <v>0</v>
      </c>
      <c r="U813" s="50">
        <f>SUMIFS(INDEX(Техника!$F$1:$ABM$500,U$2,0),Техника!$F$4:$ABM$4,"Часы",INDEX(Техника!$G$1:$ABN$500,U$2,0),$A$809,INDEX(Техника!$H$1:$ABO$500,U$2,0),"Л")</f>
        <v>0</v>
      </c>
      <c r="V813" s="50">
        <f>SUMIFS(INDEX(Техника!$F$1:$ABM$500,V$2,0),Техника!$F$4:$ABM$4,"Часы",INDEX(Техника!$G$1:$ABN$500,V$2,0),$A$809,INDEX(Техника!$H$1:$ABO$500,V$2,0),"Л")</f>
        <v>0</v>
      </c>
      <c r="W813" s="50">
        <f>SUMIFS(INDEX(Техника!$F$1:$ABM$500,W$2,0),Техника!$F$4:$ABM$4,"Часы",INDEX(Техника!$G$1:$ABN$500,W$2,0),$A$809,INDEX(Техника!$H$1:$ABO$500,W$2,0),"Л")</f>
        <v>0</v>
      </c>
      <c r="X813" s="50">
        <f>SUMIFS(INDEX(Техника!$F$1:$ABM$500,X$2,0),Техника!$F$4:$ABM$4,"Часы",INDEX(Техника!$G$1:$ABN$500,X$2,0),$A$809,INDEX(Техника!$H$1:$ABO$500,X$2,0),"Л")</f>
        <v>0</v>
      </c>
      <c r="Y813" s="50">
        <f>SUMIFS(INDEX(Техника!$F$1:$ABM$500,Y$2,0),Техника!$F$4:$ABM$4,"Часы",INDEX(Техника!$G$1:$ABN$500,Y$2,0),$A$809,INDEX(Техника!$H$1:$ABO$500,Y$2,0),"Л")</f>
        <v>0</v>
      </c>
      <c r="Z813" s="50">
        <f>SUMIFS(INDEX(Техника!$F$1:$ABM$500,Z$2,0),Техника!$F$4:$ABM$4,"Часы",INDEX(Техника!$G$1:$ABN$500,Z$2,0),$A$809,INDEX(Техника!$H$1:$ABO$500,Z$2,0),"Л")</f>
        <v>0</v>
      </c>
      <c r="AA813" s="50">
        <f>SUMIFS(INDEX(Техника!$F$1:$ABM$500,AA$2,0),Техника!$F$4:$ABM$4,"Часы",INDEX(Техника!$G$1:$ABN$500,AA$2,0),$A$809,INDEX(Техника!$H$1:$ABO$500,AA$2,0),"Л")</f>
        <v>0</v>
      </c>
      <c r="AB813" s="50">
        <f>SUMIFS(INDEX(Техника!$F$1:$ABM$500,AB$2,0),Техника!$F$4:$ABM$4,"Часы",INDEX(Техника!$G$1:$ABN$500,AB$2,0),$A$809,INDEX(Техника!$H$1:$ABO$500,AB$2,0),"Л")</f>
        <v>0</v>
      </c>
    </row>
    <row r="814" spans="1:28" hidden="1" outlineLevel="1" x14ac:dyDescent="0.3">
      <c r="A814" s="33" t="s">
        <v>245</v>
      </c>
      <c r="B814" s="34" t="s">
        <v>279</v>
      </c>
      <c r="C814" s="50">
        <f>SUMIFS(INDEX(Техника!$F$1:$ABM$500,C$2,0),Техника!$F$4:$ABM$4,"Часы",INDEX(Техника!$G$1:$ABN$500,C$2,0),$A$809,INDEX(Техника!$H$1:$ABO$500,C$2,0),"З")</f>
        <v>0</v>
      </c>
      <c r="D814" s="50">
        <f>SUMIFS(INDEX(Техника!$F$1:$ABM$500,D$2,0),Техника!$F$4:$ABM$4,"Часы",INDEX(Техника!$G$1:$ABN$500,D$2,0),$A$809,INDEX(Техника!$H$1:$ABO$500,D$2,0),"З")</f>
        <v>0</v>
      </c>
      <c r="E814" s="50">
        <f>SUMIFS(INDEX(Техника!$F$1:$ABM$500,E$2,0),Техника!$F$4:$ABM$4,"Часы",INDEX(Техника!$G$1:$ABN$500,E$2,0),$A$809,INDEX(Техника!$H$1:$ABO$500,E$2,0),"З")</f>
        <v>0</v>
      </c>
      <c r="F814" s="50">
        <f>SUMIFS(INDEX(Техника!$F$1:$ABM$500,F$2,0),Техника!$F$4:$ABM$4,"Часы",INDEX(Техника!$G$1:$ABN$500,F$2,0),$A$809,INDEX(Техника!$H$1:$ABO$500,F$2,0),"З")</f>
        <v>0</v>
      </c>
      <c r="G814" s="50">
        <f>SUMIFS(INDEX(Техника!$F$1:$ABM$500,G$2,0),Техника!$F$4:$ABM$4,"Часы",INDEX(Техника!$G$1:$ABN$500,G$2,0),$A$809,INDEX(Техника!$H$1:$ABO$500,G$2,0),"З")</f>
        <v>0</v>
      </c>
      <c r="H814" s="50">
        <f>SUMIFS(INDEX(Техника!$F$1:$ABM$500,H$2,0),Техника!$F$4:$ABM$4,"Часы",INDEX(Техника!$G$1:$ABN$500,H$2,0),$A$809,INDEX(Техника!$H$1:$ABO$500,H$2,0),"З")</f>
        <v>0</v>
      </c>
      <c r="I814" s="50">
        <f>SUMIFS(INDEX(Техника!$F$1:$ABM$500,I$2,0),Техника!$F$4:$ABM$4,"Часы",INDEX(Техника!$G$1:$ABN$500,I$2,0),$A$809,INDEX(Техника!$H$1:$ABO$500,I$2,0),"З")</f>
        <v>0</v>
      </c>
      <c r="J814" s="50">
        <f>SUMIFS(INDEX(Техника!$F$1:$ABM$500,J$2,0),Техника!$F$4:$ABM$4,"Часы",INDEX(Техника!$G$1:$ABN$500,J$2,0),$A$809,INDEX(Техника!$H$1:$ABO$500,J$2,0),"З")</f>
        <v>0</v>
      </c>
      <c r="K814" s="50">
        <f>SUMIFS(INDEX(Техника!$F$1:$ABM$500,K$2,0),Техника!$F$4:$ABM$4,"Часы",INDEX(Техника!$G$1:$ABN$500,K$2,0),$A$809,INDEX(Техника!$H$1:$ABO$500,K$2,0),"З")</f>
        <v>0</v>
      </c>
      <c r="L814" s="50">
        <f>SUMIFS(INDEX(Техника!$F$1:$ABM$500,L$2,0),Техника!$F$4:$ABM$4,"Часы",INDEX(Техника!$G$1:$ABN$500,L$2,0),$A$809,INDEX(Техника!$H$1:$ABO$500,L$2,0),"З")</f>
        <v>0</v>
      </c>
      <c r="M814" s="50">
        <f>SUMIFS(INDEX(Техника!$F$1:$ABM$500,M$2,0),Техника!$F$4:$ABM$4,"Часы",INDEX(Техника!$G$1:$ABN$500,M$2,0),$A$809,INDEX(Техника!$H$1:$ABO$500,M$2,0),"З")</f>
        <v>0</v>
      </c>
      <c r="N814" s="50">
        <f>SUMIFS(INDEX(Техника!$F$1:$ABM$500,N$2,0),Техника!$F$4:$ABM$4,"Часы",INDEX(Техника!$G$1:$ABN$500,N$2,0),$A$809,INDEX(Техника!$H$1:$ABO$500,N$2,0),"З")</f>
        <v>0</v>
      </c>
      <c r="O814" s="50">
        <f>SUMIFS(INDEX(Техника!$F$1:$ABM$500,O$2,0),Техника!$F$4:$ABM$4,"Часы",INDEX(Техника!$G$1:$ABN$500,O$2,0),$A$809,INDEX(Техника!$H$1:$ABO$500,O$2,0),"З")</f>
        <v>0</v>
      </c>
      <c r="P814" s="50">
        <f>SUMIFS(INDEX(Техника!$F$1:$ABM$500,P$2,0),Техника!$F$4:$ABM$4,"Часы",INDEX(Техника!$G$1:$ABN$500,P$2,0),$A$809,INDEX(Техника!$H$1:$ABO$500,P$2,0),"З")</f>
        <v>0</v>
      </c>
      <c r="Q814" s="50">
        <f>SUMIFS(INDEX(Техника!$F$1:$ABM$500,Q$2,0),Техника!$F$4:$ABM$4,"Часы",INDEX(Техника!$G$1:$ABN$500,Q$2,0),$A$809,INDEX(Техника!$H$1:$ABO$500,Q$2,0),"З")</f>
        <v>0</v>
      </c>
      <c r="R814" s="50">
        <f>SUMIFS(INDEX(Техника!$F$1:$ABM$500,R$2,0),Техника!$F$4:$ABM$4,"Часы",INDEX(Техника!$G$1:$ABN$500,R$2,0),$A$809,INDEX(Техника!$H$1:$ABO$500,R$2,0),"З")</f>
        <v>0</v>
      </c>
      <c r="S814" s="50">
        <f>SUMIFS(INDEX(Техника!$F$1:$ABM$500,S$2,0),Техника!$F$4:$ABM$4,"Часы",INDEX(Техника!$G$1:$ABN$500,S$2,0),$A$809,INDEX(Техника!$H$1:$ABO$500,S$2,0),"З")</f>
        <v>0</v>
      </c>
      <c r="T814" s="50">
        <f>SUMIFS(INDEX(Техника!$F$1:$ABM$500,T$2,0),Техника!$F$4:$ABM$4,"Часы",INDEX(Техника!$G$1:$ABN$500,T$2,0),$A$809,INDEX(Техника!$H$1:$ABO$500,T$2,0),"З")</f>
        <v>0</v>
      </c>
      <c r="U814" s="50">
        <f>SUMIFS(INDEX(Техника!$F$1:$ABM$500,U$2,0),Техника!$F$4:$ABM$4,"Часы",INDEX(Техника!$G$1:$ABN$500,U$2,0),$A$809,INDEX(Техника!$H$1:$ABO$500,U$2,0),"З")</f>
        <v>0</v>
      </c>
      <c r="V814" s="50">
        <f>SUMIFS(INDEX(Техника!$F$1:$ABM$500,V$2,0),Техника!$F$4:$ABM$4,"Часы",INDEX(Техника!$G$1:$ABN$500,V$2,0),$A$809,INDEX(Техника!$H$1:$ABO$500,V$2,0),"З")</f>
        <v>0</v>
      </c>
      <c r="W814" s="50">
        <f>SUMIFS(INDEX(Техника!$F$1:$ABM$500,W$2,0),Техника!$F$4:$ABM$4,"Часы",INDEX(Техника!$G$1:$ABN$500,W$2,0),$A$809,INDEX(Техника!$H$1:$ABO$500,W$2,0),"З")</f>
        <v>0</v>
      </c>
      <c r="X814" s="50">
        <f>SUMIFS(INDEX(Техника!$F$1:$ABM$500,X$2,0),Техника!$F$4:$ABM$4,"Часы",INDEX(Техника!$G$1:$ABN$500,X$2,0),$A$809,INDEX(Техника!$H$1:$ABO$500,X$2,0),"З")</f>
        <v>0</v>
      </c>
      <c r="Y814" s="50">
        <f>SUMIFS(INDEX(Техника!$F$1:$ABM$500,Y$2,0),Техника!$F$4:$ABM$4,"Часы",INDEX(Техника!$G$1:$ABN$500,Y$2,0),$A$809,INDEX(Техника!$H$1:$ABO$500,Y$2,0),"З")</f>
        <v>0</v>
      </c>
      <c r="Z814" s="50">
        <f>SUMIFS(INDEX(Техника!$F$1:$ABM$500,Z$2,0),Техника!$F$4:$ABM$4,"Часы",INDEX(Техника!$G$1:$ABN$500,Z$2,0),$A$809,INDEX(Техника!$H$1:$ABO$500,Z$2,0),"З")</f>
        <v>0</v>
      </c>
      <c r="AA814" s="50">
        <f>SUMIFS(INDEX(Техника!$F$1:$ABM$500,AA$2,0),Техника!$F$4:$ABM$4,"Часы",INDEX(Техника!$G$1:$ABN$500,AA$2,0),$A$809,INDEX(Техника!$H$1:$ABO$500,AA$2,0),"З")</f>
        <v>0</v>
      </c>
      <c r="AB814" s="50">
        <f>SUMIFS(INDEX(Техника!$F$1:$ABM$500,AB$2,0),Техника!$F$4:$ABM$4,"Часы",INDEX(Техника!$G$1:$ABN$500,AB$2,0),$A$809,INDEX(Техника!$H$1:$ABO$500,AB$2,0),"З")</f>
        <v>0</v>
      </c>
    </row>
    <row r="815" spans="1:28" ht="7.95" customHeight="1" x14ac:dyDescent="0.3">
      <c r="A815" s="38"/>
      <c r="B815" s="39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</row>
    <row r="816" spans="1:28" ht="25.05" customHeight="1" collapsed="1" x14ac:dyDescent="0.3">
      <c r="A816" s="32">
        <v>117</v>
      </c>
      <c r="B816" s="32" t="s">
        <v>118</v>
      </c>
      <c r="C816" s="49">
        <f>SUM(C817:C821)</f>
        <v>0</v>
      </c>
      <c r="D816" s="49">
        <f>SUM(D817:D821)</f>
        <v>0</v>
      </c>
      <c r="E816" s="49">
        <f>SUM(E817:E821)</f>
        <v>0</v>
      </c>
      <c r="F816" s="49">
        <f>SUM(F817:F821)</f>
        <v>0</v>
      </c>
      <c r="G816" s="49">
        <f>SUM(G817:G821)</f>
        <v>0</v>
      </c>
      <c r="H816" s="49">
        <f>SUM(H817:H821)</f>
        <v>0</v>
      </c>
      <c r="I816" s="49">
        <f>SUM(I817:I821)</f>
        <v>0</v>
      </c>
      <c r="J816" s="49">
        <f>SUM(J817:J821)</f>
        <v>0</v>
      </c>
      <c r="K816" s="49">
        <f>SUM(K817:K821)</f>
        <v>0</v>
      </c>
      <c r="L816" s="49">
        <f>SUM(L817:L821)</f>
        <v>0</v>
      </c>
      <c r="M816" s="49">
        <f>SUM(M817:M821)</f>
        <v>0</v>
      </c>
      <c r="N816" s="49">
        <f>SUM(N817:N821)</f>
        <v>0</v>
      </c>
      <c r="O816" s="49">
        <f>SUM(O817:O821)</f>
        <v>0</v>
      </c>
      <c r="P816" s="49">
        <f>SUM(P817:P821)</f>
        <v>0</v>
      </c>
      <c r="Q816" s="49">
        <f>SUM(Q817:Q821)</f>
        <v>0</v>
      </c>
      <c r="R816" s="49">
        <f>SUM(R817:R821)</f>
        <v>0</v>
      </c>
      <c r="S816" s="49">
        <f>SUM(S817:S821)</f>
        <v>0</v>
      </c>
      <c r="T816" s="49">
        <f>SUM(T817:T821)</f>
        <v>0</v>
      </c>
      <c r="U816" s="49">
        <f>SUM(U817:U821)</f>
        <v>0</v>
      </c>
      <c r="V816" s="49">
        <f>SUM(V817:V821)</f>
        <v>0</v>
      </c>
      <c r="W816" s="49">
        <f>SUM(W817:W821)</f>
        <v>0</v>
      </c>
      <c r="X816" s="49">
        <f>SUM(X817:X821)</f>
        <v>0</v>
      </c>
      <c r="Y816" s="49">
        <f>SUM(Y817:Y821)</f>
        <v>0</v>
      </c>
      <c r="Z816" s="49">
        <f>SUM(Z817:Z821)</f>
        <v>0</v>
      </c>
      <c r="AA816" s="49">
        <f>SUM(AA817:AA821)</f>
        <v>0</v>
      </c>
      <c r="AB816" s="49">
        <f>SUM(AB817:AB821)</f>
        <v>0</v>
      </c>
    </row>
    <row r="817" spans="1:28" hidden="1" outlineLevel="1" x14ac:dyDescent="0.3">
      <c r="A817" s="33" t="s">
        <v>246</v>
      </c>
      <c r="B817" s="34" t="s">
        <v>274</v>
      </c>
      <c r="C817" s="50">
        <f>SUMIFS(INDEX(Техника!$F$1:$ABM$500,C$2,0),Техника!$F$4:$ABM$4,"Часы",INDEX(Техника!$G$1:$ABN$500,C$2,0),$A$816,INDEX(Техника!$H$1:$ABO$500,C$2,0),"М")</f>
        <v>0</v>
      </c>
      <c r="D817" s="50">
        <f>SUMIFS(INDEX(Техника!$F$1:$ABM$500,D$2,0),Техника!$F$4:$ABM$4,"Часы",INDEX(Техника!$G$1:$ABN$500,D$2,0),$A$816,INDEX(Техника!$H$1:$ABO$500,D$2,0),"М")</f>
        <v>0</v>
      </c>
      <c r="E817" s="50">
        <f>SUMIFS(INDEX(Техника!$F$1:$ABM$500,E$2,0),Техника!$F$4:$ABM$4,"Часы",INDEX(Техника!$G$1:$ABN$500,E$2,0),$A$816,INDEX(Техника!$H$1:$ABO$500,E$2,0),"М")</f>
        <v>0</v>
      </c>
      <c r="F817" s="50">
        <f>SUMIFS(INDEX(Техника!$F$1:$ABM$500,F$2,0),Техника!$F$4:$ABM$4,"Часы",INDEX(Техника!$G$1:$ABN$500,F$2,0),$A$816,INDEX(Техника!$H$1:$ABO$500,F$2,0),"М")</f>
        <v>0</v>
      </c>
      <c r="G817" s="50">
        <f>SUMIFS(INDEX(Техника!$F$1:$ABM$500,G$2,0),Техника!$F$4:$ABM$4,"Часы",INDEX(Техника!$G$1:$ABN$500,G$2,0),$A$816,INDEX(Техника!$H$1:$ABO$500,G$2,0),"М")</f>
        <v>0</v>
      </c>
      <c r="H817" s="50">
        <f>SUMIFS(INDEX(Техника!$F$1:$ABM$500,H$2,0),Техника!$F$4:$ABM$4,"Часы",INDEX(Техника!$G$1:$ABN$500,H$2,0),$A$816,INDEX(Техника!$H$1:$ABO$500,H$2,0),"М")</f>
        <v>0</v>
      </c>
      <c r="I817" s="50">
        <f>SUMIFS(INDEX(Техника!$F$1:$ABM$500,I$2,0),Техника!$F$4:$ABM$4,"Часы",INDEX(Техника!$G$1:$ABN$500,I$2,0),$A$816,INDEX(Техника!$H$1:$ABO$500,I$2,0),"М")</f>
        <v>0</v>
      </c>
      <c r="J817" s="50">
        <f>SUMIFS(INDEX(Техника!$F$1:$ABM$500,J$2,0),Техника!$F$4:$ABM$4,"Часы",INDEX(Техника!$G$1:$ABN$500,J$2,0),$A$816,INDEX(Техника!$H$1:$ABO$500,J$2,0),"М")</f>
        <v>0</v>
      </c>
      <c r="K817" s="50">
        <f>SUMIFS(INDEX(Техника!$F$1:$ABM$500,K$2,0),Техника!$F$4:$ABM$4,"Часы",INDEX(Техника!$G$1:$ABN$500,K$2,0),$A$816,INDEX(Техника!$H$1:$ABO$500,K$2,0),"М")</f>
        <v>0</v>
      </c>
      <c r="L817" s="50">
        <f>SUMIFS(INDEX(Техника!$F$1:$ABM$500,L$2,0),Техника!$F$4:$ABM$4,"Часы",INDEX(Техника!$G$1:$ABN$500,L$2,0),$A$816,INDEX(Техника!$H$1:$ABO$500,L$2,0),"М")</f>
        <v>0</v>
      </c>
      <c r="M817" s="50">
        <f>SUMIFS(INDEX(Техника!$F$1:$ABM$500,M$2,0),Техника!$F$4:$ABM$4,"Часы",INDEX(Техника!$G$1:$ABN$500,M$2,0),$A$816,INDEX(Техника!$H$1:$ABO$500,M$2,0),"М")</f>
        <v>0</v>
      </c>
      <c r="N817" s="50">
        <f>SUMIFS(INDEX(Техника!$F$1:$ABM$500,N$2,0),Техника!$F$4:$ABM$4,"Часы",INDEX(Техника!$G$1:$ABN$500,N$2,0),$A$816,INDEX(Техника!$H$1:$ABO$500,N$2,0),"М")</f>
        <v>0</v>
      </c>
      <c r="O817" s="50">
        <f>SUMIFS(INDEX(Техника!$F$1:$ABM$500,O$2,0),Техника!$F$4:$ABM$4,"Часы",INDEX(Техника!$G$1:$ABN$500,O$2,0),$A$816,INDEX(Техника!$H$1:$ABO$500,O$2,0),"М")</f>
        <v>0</v>
      </c>
      <c r="P817" s="50">
        <f>SUMIFS(INDEX(Техника!$F$1:$ABM$500,P$2,0),Техника!$F$4:$ABM$4,"Часы",INDEX(Техника!$G$1:$ABN$500,P$2,0),$A$816,INDEX(Техника!$H$1:$ABO$500,P$2,0),"М")</f>
        <v>0</v>
      </c>
      <c r="Q817" s="50">
        <f>SUMIFS(INDEX(Техника!$F$1:$ABM$500,Q$2,0),Техника!$F$4:$ABM$4,"Часы",INDEX(Техника!$G$1:$ABN$500,Q$2,0),$A$816,INDEX(Техника!$H$1:$ABO$500,Q$2,0),"М")</f>
        <v>0</v>
      </c>
      <c r="R817" s="50">
        <f>SUMIFS(INDEX(Техника!$F$1:$ABM$500,R$2,0),Техника!$F$4:$ABM$4,"Часы",INDEX(Техника!$G$1:$ABN$500,R$2,0),$A$816,INDEX(Техника!$H$1:$ABO$500,R$2,0),"М")</f>
        <v>0</v>
      </c>
      <c r="S817" s="50">
        <f>SUMIFS(INDEX(Техника!$F$1:$ABM$500,S$2,0),Техника!$F$4:$ABM$4,"Часы",INDEX(Техника!$G$1:$ABN$500,S$2,0),$A$816,INDEX(Техника!$H$1:$ABO$500,S$2,0),"М")</f>
        <v>0</v>
      </c>
      <c r="T817" s="50">
        <f>SUMIFS(INDEX(Техника!$F$1:$ABM$500,T$2,0),Техника!$F$4:$ABM$4,"Часы",INDEX(Техника!$G$1:$ABN$500,T$2,0),$A$816,INDEX(Техника!$H$1:$ABO$500,T$2,0),"М")</f>
        <v>0</v>
      </c>
      <c r="U817" s="50">
        <f>SUMIFS(INDEX(Техника!$F$1:$ABM$500,U$2,0),Техника!$F$4:$ABM$4,"Часы",INDEX(Техника!$G$1:$ABN$500,U$2,0),$A$816,INDEX(Техника!$H$1:$ABO$500,U$2,0),"М")</f>
        <v>0</v>
      </c>
      <c r="V817" s="50">
        <f>SUMIFS(INDEX(Техника!$F$1:$ABM$500,V$2,0),Техника!$F$4:$ABM$4,"Часы",INDEX(Техника!$G$1:$ABN$500,V$2,0),$A$816,INDEX(Техника!$H$1:$ABO$500,V$2,0),"М")</f>
        <v>0</v>
      </c>
      <c r="W817" s="50">
        <f>SUMIFS(INDEX(Техника!$F$1:$ABM$500,W$2,0),Техника!$F$4:$ABM$4,"Часы",INDEX(Техника!$G$1:$ABN$500,W$2,0),$A$816,INDEX(Техника!$H$1:$ABO$500,W$2,0),"М")</f>
        <v>0</v>
      </c>
      <c r="X817" s="50">
        <f>SUMIFS(INDEX(Техника!$F$1:$ABM$500,X$2,0),Техника!$F$4:$ABM$4,"Часы",INDEX(Техника!$G$1:$ABN$500,X$2,0),$A$816,INDEX(Техника!$H$1:$ABO$500,X$2,0),"М")</f>
        <v>0</v>
      </c>
      <c r="Y817" s="50">
        <f>SUMIFS(INDEX(Техника!$F$1:$ABM$500,Y$2,0),Техника!$F$4:$ABM$4,"Часы",INDEX(Техника!$G$1:$ABN$500,Y$2,0),$A$816,INDEX(Техника!$H$1:$ABO$500,Y$2,0),"М")</f>
        <v>0</v>
      </c>
      <c r="Z817" s="50">
        <f>SUMIFS(INDEX(Техника!$F$1:$ABM$500,Z$2,0),Техника!$F$4:$ABM$4,"Часы",INDEX(Техника!$G$1:$ABN$500,Z$2,0),$A$816,INDEX(Техника!$H$1:$ABO$500,Z$2,0),"М")</f>
        <v>0</v>
      </c>
      <c r="AA817" s="50">
        <f>SUMIFS(INDEX(Техника!$F$1:$ABM$500,AA$2,0),Техника!$F$4:$ABM$4,"Часы",INDEX(Техника!$G$1:$ABN$500,AA$2,0),$A$816,INDEX(Техника!$H$1:$ABO$500,AA$2,0),"М")</f>
        <v>0</v>
      </c>
      <c r="AB817" s="50">
        <f>SUMIFS(INDEX(Техника!$F$1:$ABM$500,AB$2,0),Техника!$F$4:$ABM$4,"Часы",INDEX(Техника!$G$1:$ABN$500,AB$2,0),$A$816,INDEX(Техника!$H$1:$ABO$500,AB$2,0),"М")</f>
        <v>0</v>
      </c>
    </row>
    <row r="818" spans="1:28" hidden="1" outlineLevel="1" x14ac:dyDescent="0.3">
      <c r="A818" s="33" t="s">
        <v>244</v>
      </c>
      <c r="B818" s="34" t="s">
        <v>275</v>
      </c>
      <c r="C818" s="50">
        <f>SUMIFS(INDEX(Техника!$F$1:$ABM$500,C$2,0),Техника!$F$4:$ABM$4,"Часы",INDEX(Техника!$G$1:$ABN$500,C$2,0),$A$816,INDEX(Техника!$H$1:$ABO$500,C$2,0),"Д")</f>
        <v>0</v>
      </c>
      <c r="D818" s="50">
        <f>SUMIFS(INDEX(Техника!$F$1:$ABM$500,D$2,0),Техника!$F$4:$ABM$4,"Часы",INDEX(Техника!$G$1:$ABN$500,D$2,0),$A$816,INDEX(Техника!$H$1:$ABO$500,D$2,0),"Д")</f>
        <v>0</v>
      </c>
      <c r="E818" s="50">
        <f>SUMIFS(INDEX(Техника!$F$1:$ABM$500,E$2,0),Техника!$F$4:$ABM$4,"Часы",INDEX(Техника!$G$1:$ABN$500,E$2,0),$A$816,INDEX(Техника!$H$1:$ABO$500,E$2,0),"Д")</f>
        <v>0</v>
      </c>
      <c r="F818" s="50">
        <f>SUMIFS(INDEX(Техника!$F$1:$ABM$500,F$2,0),Техника!$F$4:$ABM$4,"Часы",INDEX(Техника!$G$1:$ABN$500,F$2,0),$A$816,INDEX(Техника!$H$1:$ABO$500,F$2,0),"Д")</f>
        <v>0</v>
      </c>
      <c r="G818" s="50">
        <f>SUMIFS(INDEX(Техника!$F$1:$ABM$500,G$2,0),Техника!$F$4:$ABM$4,"Часы",INDEX(Техника!$G$1:$ABN$500,G$2,0),$A$816,INDEX(Техника!$H$1:$ABO$500,G$2,0),"Д")</f>
        <v>0</v>
      </c>
      <c r="H818" s="50">
        <f>SUMIFS(INDEX(Техника!$F$1:$ABM$500,H$2,0),Техника!$F$4:$ABM$4,"Часы",INDEX(Техника!$G$1:$ABN$500,H$2,0),$A$816,INDEX(Техника!$H$1:$ABO$500,H$2,0),"Д")</f>
        <v>0</v>
      </c>
      <c r="I818" s="50">
        <f>SUMIFS(INDEX(Техника!$F$1:$ABM$500,I$2,0),Техника!$F$4:$ABM$4,"Часы",INDEX(Техника!$G$1:$ABN$500,I$2,0),$A$816,INDEX(Техника!$H$1:$ABO$500,I$2,0),"Д")</f>
        <v>0</v>
      </c>
      <c r="J818" s="50">
        <f>SUMIFS(INDEX(Техника!$F$1:$ABM$500,J$2,0),Техника!$F$4:$ABM$4,"Часы",INDEX(Техника!$G$1:$ABN$500,J$2,0),$A$816,INDEX(Техника!$H$1:$ABO$500,J$2,0),"Д")</f>
        <v>0</v>
      </c>
      <c r="K818" s="50">
        <f>SUMIFS(INDEX(Техника!$F$1:$ABM$500,K$2,0),Техника!$F$4:$ABM$4,"Часы",INDEX(Техника!$G$1:$ABN$500,K$2,0),$A$816,INDEX(Техника!$H$1:$ABO$500,K$2,0),"Д")</f>
        <v>0</v>
      </c>
      <c r="L818" s="50">
        <f>SUMIFS(INDEX(Техника!$F$1:$ABM$500,L$2,0),Техника!$F$4:$ABM$4,"Часы",INDEX(Техника!$G$1:$ABN$500,L$2,0),$A$816,INDEX(Техника!$H$1:$ABO$500,L$2,0),"Д")</f>
        <v>0</v>
      </c>
      <c r="M818" s="50">
        <f>SUMIFS(INDEX(Техника!$F$1:$ABM$500,M$2,0),Техника!$F$4:$ABM$4,"Часы",INDEX(Техника!$G$1:$ABN$500,M$2,0),$A$816,INDEX(Техника!$H$1:$ABO$500,M$2,0),"Д")</f>
        <v>0</v>
      </c>
      <c r="N818" s="50">
        <f>SUMIFS(INDEX(Техника!$F$1:$ABM$500,N$2,0),Техника!$F$4:$ABM$4,"Часы",INDEX(Техника!$G$1:$ABN$500,N$2,0),$A$816,INDEX(Техника!$H$1:$ABO$500,N$2,0),"Д")</f>
        <v>0</v>
      </c>
      <c r="O818" s="50">
        <f>SUMIFS(INDEX(Техника!$F$1:$ABM$500,O$2,0),Техника!$F$4:$ABM$4,"Часы",INDEX(Техника!$G$1:$ABN$500,O$2,0),$A$816,INDEX(Техника!$H$1:$ABO$500,O$2,0),"Д")</f>
        <v>0</v>
      </c>
      <c r="P818" s="50">
        <f>SUMIFS(INDEX(Техника!$F$1:$ABM$500,P$2,0),Техника!$F$4:$ABM$4,"Часы",INDEX(Техника!$G$1:$ABN$500,P$2,0),$A$816,INDEX(Техника!$H$1:$ABO$500,P$2,0),"Д")</f>
        <v>0</v>
      </c>
      <c r="Q818" s="50">
        <f>SUMIFS(INDEX(Техника!$F$1:$ABM$500,Q$2,0),Техника!$F$4:$ABM$4,"Часы",INDEX(Техника!$G$1:$ABN$500,Q$2,0),$A$816,INDEX(Техника!$H$1:$ABO$500,Q$2,0),"Д")</f>
        <v>0</v>
      </c>
      <c r="R818" s="50">
        <f>SUMIFS(INDEX(Техника!$F$1:$ABM$500,R$2,0),Техника!$F$4:$ABM$4,"Часы",INDEX(Техника!$G$1:$ABN$500,R$2,0),$A$816,INDEX(Техника!$H$1:$ABO$500,R$2,0),"Д")</f>
        <v>0</v>
      </c>
      <c r="S818" s="50">
        <f>SUMIFS(INDEX(Техника!$F$1:$ABM$500,S$2,0),Техника!$F$4:$ABM$4,"Часы",INDEX(Техника!$G$1:$ABN$500,S$2,0),$A$816,INDEX(Техника!$H$1:$ABO$500,S$2,0),"Д")</f>
        <v>0</v>
      </c>
      <c r="T818" s="50">
        <f>SUMIFS(INDEX(Техника!$F$1:$ABM$500,T$2,0),Техника!$F$4:$ABM$4,"Часы",INDEX(Техника!$G$1:$ABN$500,T$2,0),$A$816,INDEX(Техника!$H$1:$ABO$500,T$2,0),"Д")</f>
        <v>0</v>
      </c>
      <c r="U818" s="50">
        <f>SUMIFS(INDEX(Техника!$F$1:$ABM$500,U$2,0),Техника!$F$4:$ABM$4,"Часы",INDEX(Техника!$G$1:$ABN$500,U$2,0),$A$816,INDEX(Техника!$H$1:$ABO$500,U$2,0),"Д")</f>
        <v>0</v>
      </c>
      <c r="V818" s="50">
        <f>SUMIFS(INDEX(Техника!$F$1:$ABM$500,V$2,0),Техника!$F$4:$ABM$4,"Часы",INDEX(Техника!$G$1:$ABN$500,V$2,0),$A$816,INDEX(Техника!$H$1:$ABO$500,V$2,0),"Д")</f>
        <v>0</v>
      </c>
      <c r="W818" s="50">
        <f>SUMIFS(INDEX(Техника!$F$1:$ABM$500,W$2,0),Техника!$F$4:$ABM$4,"Часы",INDEX(Техника!$G$1:$ABN$500,W$2,0),$A$816,INDEX(Техника!$H$1:$ABO$500,W$2,0),"Д")</f>
        <v>0</v>
      </c>
      <c r="X818" s="50">
        <f>SUMIFS(INDEX(Техника!$F$1:$ABM$500,X$2,0),Техника!$F$4:$ABM$4,"Часы",INDEX(Техника!$G$1:$ABN$500,X$2,0),$A$816,INDEX(Техника!$H$1:$ABO$500,X$2,0),"Д")</f>
        <v>0</v>
      </c>
      <c r="Y818" s="50">
        <f>SUMIFS(INDEX(Техника!$F$1:$ABM$500,Y$2,0),Техника!$F$4:$ABM$4,"Часы",INDEX(Техника!$G$1:$ABN$500,Y$2,0),$A$816,INDEX(Техника!$H$1:$ABO$500,Y$2,0),"Д")</f>
        <v>0</v>
      </c>
      <c r="Z818" s="50">
        <f>SUMIFS(INDEX(Техника!$F$1:$ABM$500,Z$2,0),Техника!$F$4:$ABM$4,"Часы",INDEX(Техника!$G$1:$ABN$500,Z$2,0),$A$816,INDEX(Техника!$H$1:$ABO$500,Z$2,0),"Д")</f>
        <v>0</v>
      </c>
      <c r="AA818" s="50">
        <f>SUMIFS(INDEX(Техника!$F$1:$ABM$500,AA$2,0),Техника!$F$4:$ABM$4,"Часы",INDEX(Техника!$G$1:$ABN$500,AA$2,0),$A$816,INDEX(Техника!$H$1:$ABO$500,AA$2,0),"Д")</f>
        <v>0</v>
      </c>
      <c r="AB818" s="50">
        <f>SUMIFS(INDEX(Техника!$F$1:$ABM$500,AB$2,0),Техника!$F$4:$ABM$4,"Часы",INDEX(Техника!$G$1:$ABN$500,AB$2,0),$A$816,INDEX(Техника!$H$1:$ABO$500,AB$2,0),"Д")</f>
        <v>0</v>
      </c>
    </row>
    <row r="819" spans="1:28" hidden="1" outlineLevel="1" x14ac:dyDescent="0.3">
      <c r="A819" s="33" t="s">
        <v>276</v>
      </c>
      <c r="B819" s="34" t="s">
        <v>277</v>
      </c>
      <c r="C819" s="50">
        <f>SUMIFS(INDEX(Техника!$F$1:$ABM$500,C$2,0),Техника!$F$4:$ABM$4,"Часы",INDEX(Техника!$G$1:$ABN$500,C$2,0),$A$816,INDEX(Техника!$H$1:$ABO$500,C$2,0),"П")</f>
        <v>0</v>
      </c>
      <c r="D819" s="50">
        <f>SUMIFS(INDEX(Техника!$F$1:$ABM$500,D$2,0),Техника!$F$4:$ABM$4,"Часы",INDEX(Техника!$G$1:$ABN$500,D$2,0),$A$816,INDEX(Техника!$H$1:$ABO$500,D$2,0),"П")</f>
        <v>0</v>
      </c>
      <c r="E819" s="50">
        <f>SUMIFS(INDEX(Техника!$F$1:$ABM$500,E$2,0),Техника!$F$4:$ABM$4,"Часы",INDEX(Техника!$G$1:$ABN$500,E$2,0),$A$816,INDEX(Техника!$H$1:$ABO$500,E$2,0),"П")</f>
        <v>0</v>
      </c>
      <c r="F819" s="50">
        <f>SUMIFS(INDEX(Техника!$F$1:$ABM$500,F$2,0),Техника!$F$4:$ABM$4,"Часы",INDEX(Техника!$G$1:$ABN$500,F$2,0),$A$816,INDEX(Техника!$H$1:$ABO$500,F$2,0),"П")</f>
        <v>0</v>
      </c>
      <c r="G819" s="50">
        <f>SUMIFS(INDEX(Техника!$F$1:$ABM$500,G$2,0),Техника!$F$4:$ABM$4,"Часы",INDEX(Техника!$G$1:$ABN$500,G$2,0),$A$816,INDEX(Техника!$H$1:$ABO$500,G$2,0),"П")</f>
        <v>0</v>
      </c>
      <c r="H819" s="50">
        <f>SUMIFS(INDEX(Техника!$F$1:$ABM$500,H$2,0),Техника!$F$4:$ABM$4,"Часы",INDEX(Техника!$G$1:$ABN$500,H$2,0),$A$816,INDEX(Техника!$H$1:$ABO$500,H$2,0),"П")</f>
        <v>0</v>
      </c>
      <c r="I819" s="50">
        <f>SUMIFS(INDEX(Техника!$F$1:$ABM$500,I$2,0),Техника!$F$4:$ABM$4,"Часы",INDEX(Техника!$G$1:$ABN$500,I$2,0),$A$816,INDEX(Техника!$H$1:$ABO$500,I$2,0),"П")</f>
        <v>0</v>
      </c>
      <c r="J819" s="50">
        <f>SUMIFS(INDEX(Техника!$F$1:$ABM$500,J$2,0),Техника!$F$4:$ABM$4,"Часы",INDEX(Техника!$G$1:$ABN$500,J$2,0),$A$816,INDEX(Техника!$H$1:$ABO$500,J$2,0),"П")</f>
        <v>0</v>
      </c>
      <c r="K819" s="50">
        <f>SUMIFS(INDEX(Техника!$F$1:$ABM$500,K$2,0),Техника!$F$4:$ABM$4,"Часы",INDEX(Техника!$G$1:$ABN$500,K$2,0),$A$816,INDEX(Техника!$H$1:$ABO$500,K$2,0),"П")</f>
        <v>0</v>
      </c>
      <c r="L819" s="50">
        <f>SUMIFS(INDEX(Техника!$F$1:$ABM$500,L$2,0),Техника!$F$4:$ABM$4,"Часы",INDEX(Техника!$G$1:$ABN$500,L$2,0),$A$816,INDEX(Техника!$H$1:$ABO$500,L$2,0),"П")</f>
        <v>0</v>
      </c>
      <c r="M819" s="50">
        <f>SUMIFS(INDEX(Техника!$F$1:$ABM$500,M$2,0),Техника!$F$4:$ABM$4,"Часы",INDEX(Техника!$G$1:$ABN$500,M$2,0),$A$816,INDEX(Техника!$H$1:$ABO$500,M$2,0),"П")</f>
        <v>0</v>
      </c>
      <c r="N819" s="50">
        <f>SUMIFS(INDEX(Техника!$F$1:$ABM$500,N$2,0),Техника!$F$4:$ABM$4,"Часы",INDEX(Техника!$G$1:$ABN$500,N$2,0),$A$816,INDEX(Техника!$H$1:$ABO$500,N$2,0),"П")</f>
        <v>0</v>
      </c>
      <c r="O819" s="50">
        <f>SUMIFS(INDEX(Техника!$F$1:$ABM$500,O$2,0),Техника!$F$4:$ABM$4,"Часы",INDEX(Техника!$G$1:$ABN$500,O$2,0),$A$816,INDEX(Техника!$H$1:$ABO$500,O$2,0),"П")</f>
        <v>0</v>
      </c>
      <c r="P819" s="50">
        <f>SUMIFS(INDEX(Техника!$F$1:$ABM$500,P$2,0),Техника!$F$4:$ABM$4,"Часы",INDEX(Техника!$G$1:$ABN$500,P$2,0),$A$816,INDEX(Техника!$H$1:$ABO$500,P$2,0),"П")</f>
        <v>0</v>
      </c>
      <c r="Q819" s="50">
        <f>SUMIFS(INDEX(Техника!$F$1:$ABM$500,Q$2,0),Техника!$F$4:$ABM$4,"Часы",INDEX(Техника!$G$1:$ABN$500,Q$2,0),$A$816,INDEX(Техника!$H$1:$ABO$500,Q$2,0),"П")</f>
        <v>0</v>
      </c>
      <c r="R819" s="50">
        <f>SUMIFS(INDEX(Техника!$F$1:$ABM$500,R$2,0),Техника!$F$4:$ABM$4,"Часы",INDEX(Техника!$G$1:$ABN$500,R$2,0),$A$816,INDEX(Техника!$H$1:$ABO$500,R$2,0),"П")</f>
        <v>0</v>
      </c>
      <c r="S819" s="50">
        <f>SUMIFS(INDEX(Техника!$F$1:$ABM$500,S$2,0),Техника!$F$4:$ABM$4,"Часы",INDEX(Техника!$G$1:$ABN$500,S$2,0),$A$816,INDEX(Техника!$H$1:$ABO$500,S$2,0),"П")</f>
        <v>0</v>
      </c>
      <c r="T819" s="50">
        <f>SUMIFS(INDEX(Техника!$F$1:$ABM$500,T$2,0),Техника!$F$4:$ABM$4,"Часы",INDEX(Техника!$G$1:$ABN$500,T$2,0),$A$816,INDEX(Техника!$H$1:$ABO$500,T$2,0),"П")</f>
        <v>0</v>
      </c>
      <c r="U819" s="50">
        <f>SUMIFS(INDEX(Техника!$F$1:$ABM$500,U$2,0),Техника!$F$4:$ABM$4,"Часы",INDEX(Техника!$G$1:$ABN$500,U$2,0),$A$816,INDEX(Техника!$H$1:$ABO$500,U$2,0),"П")</f>
        <v>0</v>
      </c>
      <c r="V819" s="50">
        <f>SUMIFS(INDEX(Техника!$F$1:$ABM$500,V$2,0),Техника!$F$4:$ABM$4,"Часы",INDEX(Техника!$G$1:$ABN$500,V$2,0),$A$816,INDEX(Техника!$H$1:$ABO$500,V$2,0),"П")</f>
        <v>0</v>
      </c>
      <c r="W819" s="50">
        <f>SUMIFS(INDEX(Техника!$F$1:$ABM$500,W$2,0),Техника!$F$4:$ABM$4,"Часы",INDEX(Техника!$G$1:$ABN$500,W$2,0),$A$816,INDEX(Техника!$H$1:$ABO$500,W$2,0),"П")</f>
        <v>0</v>
      </c>
      <c r="X819" s="50">
        <f>SUMIFS(INDEX(Техника!$F$1:$ABM$500,X$2,0),Техника!$F$4:$ABM$4,"Часы",INDEX(Техника!$G$1:$ABN$500,X$2,0),$A$816,INDEX(Техника!$H$1:$ABO$500,X$2,0),"П")</f>
        <v>0</v>
      </c>
      <c r="Y819" s="50">
        <f>SUMIFS(INDEX(Техника!$F$1:$ABM$500,Y$2,0),Техника!$F$4:$ABM$4,"Часы",INDEX(Техника!$G$1:$ABN$500,Y$2,0),$A$816,INDEX(Техника!$H$1:$ABO$500,Y$2,0),"П")</f>
        <v>0</v>
      </c>
      <c r="Z819" s="50">
        <f>SUMIFS(INDEX(Техника!$F$1:$ABM$500,Z$2,0),Техника!$F$4:$ABM$4,"Часы",INDEX(Техника!$G$1:$ABN$500,Z$2,0),$A$816,INDEX(Техника!$H$1:$ABO$500,Z$2,0),"П")</f>
        <v>0</v>
      </c>
      <c r="AA819" s="50">
        <f>SUMIFS(INDEX(Техника!$F$1:$ABM$500,AA$2,0),Техника!$F$4:$ABM$4,"Часы",INDEX(Техника!$G$1:$ABN$500,AA$2,0),$A$816,INDEX(Техника!$H$1:$ABO$500,AA$2,0),"П")</f>
        <v>0</v>
      </c>
      <c r="AB819" s="50">
        <f>SUMIFS(INDEX(Техника!$F$1:$ABM$500,AB$2,0),Техника!$F$4:$ABM$4,"Часы",INDEX(Техника!$G$1:$ABN$500,AB$2,0),$A$816,INDEX(Техника!$H$1:$ABO$500,AB$2,0),"П")</f>
        <v>0</v>
      </c>
    </row>
    <row r="820" spans="1:28" hidden="1" outlineLevel="1" x14ac:dyDescent="0.3">
      <c r="A820" s="33" t="s">
        <v>243</v>
      </c>
      <c r="B820" s="34" t="s">
        <v>278</v>
      </c>
      <c r="C820" s="50">
        <f>SUMIFS(INDEX(Техника!$F$1:$ABM$500,C$2,0),Техника!$F$4:$ABM$4,"Часы",INDEX(Техника!$G$1:$ABN$500,C$2,0),$A$816,INDEX(Техника!$H$1:$ABO$500,C$2,0),"Л")</f>
        <v>0</v>
      </c>
      <c r="D820" s="50">
        <f>SUMIFS(INDEX(Техника!$F$1:$ABM$500,D$2,0),Техника!$F$4:$ABM$4,"Часы",INDEX(Техника!$G$1:$ABN$500,D$2,0),$A$816,INDEX(Техника!$H$1:$ABO$500,D$2,0),"Л")</f>
        <v>0</v>
      </c>
      <c r="E820" s="50">
        <f>SUMIFS(INDEX(Техника!$F$1:$ABM$500,E$2,0),Техника!$F$4:$ABM$4,"Часы",INDEX(Техника!$G$1:$ABN$500,E$2,0),$A$816,INDEX(Техника!$H$1:$ABO$500,E$2,0),"Л")</f>
        <v>0</v>
      </c>
      <c r="F820" s="50">
        <f>SUMIFS(INDEX(Техника!$F$1:$ABM$500,F$2,0),Техника!$F$4:$ABM$4,"Часы",INDEX(Техника!$G$1:$ABN$500,F$2,0),$A$816,INDEX(Техника!$H$1:$ABO$500,F$2,0),"Л")</f>
        <v>0</v>
      </c>
      <c r="G820" s="50">
        <f>SUMIFS(INDEX(Техника!$F$1:$ABM$500,G$2,0),Техника!$F$4:$ABM$4,"Часы",INDEX(Техника!$G$1:$ABN$500,G$2,0),$A$816,INDEX(Техника!$H$1:$ABO$500,G$2,0),"Л")</f>
        <v>0</v>
      </c>
      <c r="H820" s="50">
        <f>SUMIFS(INDEX(Техника!$F$1:$ABM$500,H$2,0),Техника!$F$4:$ABM$4,"Часы",INDEX(Техника!$G$1:$ABN$500,H$2,0),$A$816,INDEX(Техника!$H$1:$ABO$500,H$2,0),"Л")</f>
        <v>0</v>
      </c>
      <c r="I820" s="50">
        <f>SUMIFS(INDEX(Техника!$F$1:$ABM$500,I$2,0),Техника!$F$4:$ABM$4,"Часы",INDEX(Техника!$G$1:$ABN$500,I$2,0),$A$816,INDEX(Техника!$H$1:$ABO$500,I$2,0),"Л")</f>
        <v>0</v>
      </c>
      <c r="J820" s="50">
        <f>SUMIFS(INDEX(Техника!$F$1:$ABM$500,J$2,0),Техника!$F$4:$ABM$4,"Часы",INDEX(Техника!$G$1:$ABN$500,J$2,0),$A$816,INDEX(Техника!$H$1:$ABO$500,J$2,0),"Л")</f>
        <v>0</v>
      </c>
      <c r="K820" s="50">
        <f>SUMIFS(INDEX(Техника!$F$1:$ABM$500,K$2,0),Техника!$F$4:$ABM$4,"Часы",INDEX(Техника!$G$1:$ABN$500,K$2,0),$A$816,INDEX(Техника!$H$1:$ABO$500,K$2,0),"Л")</f>
        <v>0</v>
      </c>
      <c r="L820" s="50">
        <f>SUMIFS(INDEX(Техника!$F$1:$ABM$500,L$2,0),Техника!$F$4:$ABM$4,"Часы",INDEX(Техника!$G$1:$ABN$500,L$2,0),$A$816,INDEX(Техника!$H$1:$ABO$500,L$2,0),"Л")</f>
        <v>0</v>
      </c>
      <c r="M820" s="50">
        <f>SUMIFS(INDEX(Техника!$F$1:$ABM$500,M$2,0),Техника!$F$4:$ABM$4,"Часы",INDEX(Техника!$G$1:$ABN$500,M$2,0),$A$816,INDEX(Техника!$H$1:$ABO$500,M$2,0),"Л")</f>
        <v>0</v>
      </c>
      <c r="N820" s="50">
        <f>SUMIFS(INDEX(Техника!$F$1:$ABM$500,N$2,0),Техника!$F$4:$ABM$4,"Часы",INDEX(Техника!$G$1:$ABN$500,N$2,0),$A$816,INDEX(Техника!$H$1:$ABO$500,N$2,0),"Л")</f>
        <v>0</v>
      </c>
      <c r="O820" s="50">
        <f>SUMIFS(INDEX(Техника!$F$1:$ABM$500,O$2,0),Техника!$F$4:$ABM$4,"Часы",INDEX(Техника!$G$1:$ABN$500,O$2,0),$A$816,INDEX(Техника!$H$1:$ABO$500,O$2,0),"Л")</f>
        <v>0</v>
      </c>
      <c r="P820" s="50">
        <f>SUMIFS(INDEX(Техника!$F$1:$ABM$500,P$2,0),Техника!$F$4:$ABM$4,"Часы",INDEX(Техника!$G$1:$ABN$500,P$2,0),$A$816,INDEX(Техника!$H$1:$ABO$500,P$2,0),"Л")</f>
        <v>0</v>
      </c>
      <c r="Q820" s="50">
        <f>SUMIFS(INDEX(Техника!$F$1:$ABM$500,Q$2,0),Техника!$F$4:$ABM$4,"Часы",INDEX(Техника!$G$1:$ABN$500,Q$2,0),$A$816,INDEX(Техника!$H$1:$ABO$500,Q$2,0),"Л")</f>
        <v>0</v>
      </c>
      <c r="R820" s="50">
        <f>SUMIFS(INDEX(Техника!$F$1:$ABM$500,R$2,0),Техника!$F$4:$ABM$4,"Часы",INDEX(Техника!$G$1:$ABN$500,R$2,0),$A$816,INDEX(Техника!$H$1:$ABO$500,R$2,0),"Л")</f>
        <v>0</v>
      </c>
      <c r="S820" s="50">
        <f>SUMIFS(INDEX(Техника!$F$1:$ABM$500,S$2,0),Техника!$F$4:$ABM$4,"Часы",INDEX(Техника!$G$1:$ABN$500,S$2,0),$A$816,INDEX(Техника!$H$1:$ABO$500,S$2,0),"Л")</f>
        <v>0</v>
      </c>
      <c r="T820" s="50">
        <f>SUMIFS(INDEX(Техника!$F$1:$ABM$500,T$2,0),Техника!$F$4:$ABM$4,"Часы",INDEX(Техника!$G$1:$ABN$500,T$2,0),$A$816,INDEX(Техника!$H$1:$ABO$500,T$2,0),"Л")</f>
        <v>0</v>
      </c>
      <c r="U820" s="50">
        <f>SUMIFS(INDEX(Техника!$F$1:$ABM$500,U$2,0),Техника!$F$4:$ABM$4,"Часы",INDEX(Техника!$G$1:$ABN$500,U$2,0),$A$816,INDEX(Техника!$H$1:$ABO$500,U$2,0),"Л")</f>
        <v>0</v>
      </c>
      <c r="V820" s="50">
        <f>SUMIFS(INDEX(Техника!$F$1:$ABM$500,V$2,0),Техника!$F$4:$ABM$4,"Часы",INDEX(Техника!$G$1:$ABN$500,V$2,0),$A$816,INDEX(Техника!$H$1:$ABO$500,V$2,0),"Л")</f>
        <v>0</v>
      </c>
      <c r="W820" s="50">
        <f>SUMIFS(INDEX(Техника!$F$1:$ABM$500,W$2,0),Техника!$F$4:$ABM$4,"Часы",INDEX(Техника!$G$1:$ABN$500,W$2,0),$A$816,INDEX(Техника!$H$1:$ABO$500,W$2,0),"Л")</f>
        <v>0</v>
      </c>
      <c r="X820" s="50">
        <f>SUMIFS(INDEX(Техника!$F$1:$ABM$500,X$2,0),Техника!$F$4:$ABM$4,"Часы",INDEX(Техника!$G$1:$ABN$500,X$2,0),$A$816,INDEX(Техника!$H$1:$ABO$500,X$2,0),"Л")</f>
        <v>0</v>
      </c>
      <c r="Y820" s="50">
        <f>SUMIFS(INDEX(Техника!$F$1:$ABM$500,Y$2,0),Техника!$F$4:$ABM$4,"Часы",INDEX(Техника!$G$1:$ABN$500,Y$2,0),$A$816,INDEX(Техника!$H$1:$ABO$500,Y$2,0),"Л")</f>
        <v>0</v>
      </c>
      <c r="Z820" s="50">
        <f>SUMIFS(INDEX(Техника!$F$1:$ABM$500,Z$2,0),Техника!$F$4:$ABM$4,"Часы",INDEX(Техника!$G$1:$ABN$500,Z$2,0),$A$816,INDEX(Техника!$H$1:$ABO$500,Z$2,0),"Л")</f>
        <v>0</v>
      </c>
      <c r="AA820" s="50">
        <f>SUMIFS(INDEX(Техника!$F$1:$ABM$500,AA$2,0),Техника!$F$4:$ABM$4,"Часы",INDEX(Техника!$G$1:$ABN$500,AA$2,0),$A$816,INDEX(Техника!$H$1:$ABO$500,AA$2,0),"Л")</f>
        <v>0</v>
      </c>
      <c r="AB820" s="50">
        <f>SUMIFS(INDEX(Техника!$F$1:$ABM$500,AB$2,0),Техника!$F$4:$ABM$4,"Часы",INDEX(Техника!$G$1:$ABN$500,AB$2,0),$A$816,INDEX(Техника!$H$1:$ABO$500,AB$2,0),"Л")</f>
        <v>0</v>
      </c>
    </row>
    <row r="821" spans="1:28" hidden="1" outlineLevel="1" x14ac:dyDescent="0.3">
      <c r="A821" s="33" t="s">
        <v>245</v>
      </c>
      <c r="B821" s="34" t="s">
        <v>279</v>
      </c>
      <c r="C821" s="50">
        <f>SUMIFS(INDEX(Техника!$F$1:$ABM$500,C$2,0),Техника!$F$4:$ABM$4,"Часы",INDEX(Техника!$G$1:$ABN$500,C$2,0),$A$816,INDEX(Техника!$H$1:$ABO$500,C$2,0),"З")</f>
        <v>0</v>
      </c>
      <c r="D821" s="50">
        <f>SUMIFS(INDEX(Техника!$F$1:$ABM$500,D$2,0),Техника!$F$4:$ABM$4,"Часы",INDEX(Техника!$G$1:$ABN$500,D$2,0),$A$816,INDEX(Техника!$H$1:$ABO$500,D$2,0),"З")</f>
        <v>0</v>
      </c>
      <c r="E821" s="50">
        <f>SUMIFS(INDEX(Техника!$F$1:$ABM$500,E$2,0),Техника!$F$4:$ABM$4,"Часы",INDEX(Техника!$G$1:$ABN$500,E$2,0),$A$816,INDEX(Техника!$H$1:$ABO$500,E$2,0),"З")</f>
        <v>0</v>
      </c>
      <c r="F821" s="50">
        <f>SUMIFS(INDEX(Техника!$F$1:$ABM$500,F$2,0),Техника!$F$4:$ABM$4,"Часы",INDEX(Техника!$G$1:$ABN$500,F$2,0),$A$816,INDEX(Техника!$H$1:$ABO$500,F$2,0),"З")</f>
        <v>0</v>
      </c>
      <c r="G821" s="50">
        <f>SUMIFS(INDEX(Техника!$F$1:$ABM$500,G$2,0),Техника!$F$4:$ABM$4,"Часы",INDEX(Техника!$G$1:$ABN$500,G$2,0),$A$816,INDEX(Техника!$H$1:$ABO$500,G$2,0),"З")</f>
        <v>0</v>
      </c>
      <c r="H821" s="50">
        <f>SUMIFS(INDEX(Техника!$F$1:$ABM$500,H$2,0),Техника!$F$4:$ABM$4,"Часы",INDEX(Техника!$G$1:$ABN$500,H$2,0),$A$816,INDEX(Техника!$H$1:$ABO$500,H$2,0),"З")</f>
        <v>0</v>
      </c>
      <c r="I821" s="50">
        <f>SUMIFS(INDEX(Техника!$F$1:$ABM$500,I$2,0),Техника!$F$4:$ABM$4,"Часы",INDEX(Техника!$G$1:$ABN$500,I$2,0),$A$816,INDEX(Техника!$H$1:$ABO$500,I$2,0),"З")</f>
        <v>0</v>
      </c>
      <c r="J821" s="50">
        <f>SUMIFS(INDEX(Техника!$F$1:$ABM$500,J$2,0),Техника!$F$4:$ABM$4,"Часы",INDEX(Техника!$G$1:$ABN$500,J$2,0),$A$816,INDEX(Техника!$H$1:$ABO$500,J$2,0),"З")</f>
        <v>0</v>
      </c>
      <c r="K821" s="50">
        <f>SUMIFS(INDEX(Техника!$F$1:$ABM$500,K$2,0),Техника!$F$4:$ABM$4,"Часы",INDEX(Техника!$G$1:$ABN$500,K$2,0),$A$816,INDEX(Техника!$H$1:$ABO$500,K$2,0),"З")</f>
        <v>0</v>
      </c>
      <c r="L821" s="50">
        <f>SUMIFS(INDEX(Техника!$F$1:$ABM$500,L$2,0),Техника!$F$4:$ABM$4,"Часы",INDEX(Техника!$G$1:$ABN$500,L$2,0),$A$816,INDEX(Техника!$H$1:$ABO$500,L$2,0),"З")</f>
        <v>0</v>
      </c>
      <c r="M821" s="50">
        <f>SUMIFS(INDEX(Техника!$F$1:$ABM$500,M$2,0),Техника!$F$4:$ABM$4,"Часы",INDEX(Техника!$G$1:$ABN$500,M$2,0),$A$816,INDEX(Техника!$H$1:$ABO$500,M$2,0),"З")</f>
        <v>0</v>
      </c>
      <c r="N821" s="50">
        <f>SUMIFS(INDEX(Техника!$F$1:$ABM$500,N$2,0),Техника!$F$4:$ABM$4,"Часы",INDEX(Техника!$G$1:$ABN$500,N$2,0),$A$816,INDEX(Техника!$H$1:$ABO$500,N$2,0),"З")</f>
        <v>0</v>
      </c>
      <c r="O821" s="50">
        <f>SUMIFS(INDEX(Техника!$F$1:$ABM$500,O$2,0),Техника!$F$4:$ABM$4,"Часы",INDEX(Техника!$G$1:$ABN$500,O$2,0),$A$816,INDEX(Техника!$H$1:$ABO$500,O$2,0),"З")</f>
        <v>0</v>
      </c>
      <c r="P821" s="50">
        <f>SUMIFS(INDEX(Техника!$F$1:$ABM$500,P$2,0),Техника!$F$4:$ABM$4,"Часы",INDEX(Техника!$G$1:$ABN$500,P$2,0),$A$816,INDEX(Техника!$H$1:$ABO$500,P$2,0),"З")</f>
        <v>0</v>
      </c>
      <c r="Q821" s="50">
        <f>SUMIFS(INDEX(Техника!$F$1:$ABM$500,Q$2,0),Техника!$F$4:$ABM$4,"Часы",INDEX(Техника!$G$1:$ABN$500,Q$2,0),$A$816,INDEX(Техника!$H$1:$ABO$500,Q$2,0),"З")</f>
        <v>0</v>
      </c>
      <c r="R821" s="50">
        <f>SUMIFS(INDEX(Техника!$F$1:$ABM$500,R$2,0),Техника!$F$4:$ABM$4,"Часы",INDEX(Техника!$G$1:$ABN$500,R$2,0),$A$816,INDEX(Техника!$H$1:$ABO$500,R$2,0),"З")</f>
        <v>0</v>
      </c>
      <c r="S821" s="50">
        <f>SUMIFS(INDEX(Техника!$F$1:$ABM$500,S$2,0),Техника!$F$4:$ABM$4,"Часы",INDEX(Техника!$G$1:$ABN$500,S$2,0),$A$816,INDEX(Техника!$H$1:$ABO$500,S$2,0),"З")</f>
        <v>0</v>
      </c>
      <c r="T821" s="50">
        <f>SUMIFS(INDEX(Техника!$F$1:$ABM$500,T$2,0),Техника!$F$4:$ABM$4,"Часы",INDEX(Техника!$G$1:$ABN$500,T$2,0),$A$816,INDEX(Техника!$H$1:$ABO$500,T$2,0),"З")</f>
        <v>0</v>
      </c>
      <c r="U821" s="50">
        <f>SUMIFS(INDEX(Техника!$F$1:$ABM$500,U$2,0),Техника!$F$4:$ABM$4,"Часы",INDEX(Техника!$G$1:$ABN$500,U$2,0),$A$816,INDEX(Техника!$H$1:$ABO$500,U$2,0),"З")</f>
        <v>0</v>
      </c>
      <c r="V821" s="50">
        <f>SUMIFS(INDEX(Техника!$F$1:$ABM$500,V$2,0),Техника!$F$4:$ABM$4,"Часы",INDEX(Техника!$G$1:$ABN$500,V$2,0),$A$816,INDEX(Техника!$H$1:$ABO$500,V$2,0),"З")</f>
        <v>0</v>
      </c>
      <c r="W821" s="50">
        <f>SUMIFS(INDEX(Техника!$F$1:$ABM$500,W$2,0),Техника!$F$4:$ABM$4,"Часы",INDEX(Техника!$G$1:$ABN$500,W$2,0),$A$816,INDEX(Техника!$H$1:$ABO$500,W$2,0),"З")</f>
        <v>0</v>
      </c>
      <c r="X821" s="50">
        <f>SUMIFS(INDEX(Техника!$F$1:$ABM$500,X$2,0),Техника!$F$4:$ABM$4,"Часы",INDEX(Техника!$G$1:$ABN$500,X$2,0),$A$816,INDEX(Техника!$H$1:$ABO$500,X$2,0),"З")</f>
        <v>0</v>
      </c>
      <c r="Y821" s="50">
        <f>SUMIFS(INDEX(Техника!$F$1:$ABM$500,Y$2,0),Техника!$F$4:$ABM$4,"Часы",INDEX(Техника!$G$1:$ABN$500,Y$2,0),$A$816,INDEX(Техника!$H$1:$ABO$500,Y$2,0),"З")</f>
        <v>0</v>
      </c>
      <c r="Z821" s="50">
        <f>SUMIFS(INDEX(Техника!$F$1:$ABM$500,Z$2,0),Техника!$F$4:$ABM$4,"Часы",INDEX(Техника!$G$1:$ABN$500,Z$2,0),$A$816,INDEX(Техника!$H$1:$ABO$500,Z$2,0),"З")</f>
        <v>0</v>
      </c>
      <c r="AA821" s="50">
        <f>SUMIFS(INDEX(Техника!$F$1:$ABM$500,AA$2,0),Техника!$F$4:$ABM$4,"Часы",INDEX(Техника!$G$1:$ABN$500,AA$2,0),$A$816,INDEX(Техника!$H$1:$ABO$500,AA$2,0),"З")</f>
        <v>0</v>
      </c>
      <c r="AB821" s="50">
        <f>SUMIFS(INDEX(Техника!$F$1:$ABM$500,AB$2,0),Техника!$F$4:$ABM$4,"Часы",INDEX(Техника!$G$1:$ABN$500,AB$2,0),$A$816,INDEX(Техника!$H$1:$ABO$500,AB$2,0),"З")</f>
        <v>0</v>
      </c>
    </row>
    <row r="822" spans="1:28" ht="7.95" customHeight="1" x14ac:dyDescent="0.3">
      <c r="A822" s="38"/>
      <c r="B822" s="39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</row>
    <row r="823" spans="1:28" ht="25.05" customHeight="1" collapsed="1" x14ac:dyDescent="0.3">
      <c r="A823" s="32">
        <v>118</v>
      </c>
      <c r="B823" s="32" t="s">
        <v>119</v>
      </c>
      <c r="C823" s="49">
        <f>SUM(C824:C828)</f>
        <v>0</v>
      </c>
      <c r="D823" s="49">
        <f>SUM(D824:D828)</f>
        <v>0</v>
      </c>
      <c r="E823" s="49">
        <f>SUM(E824:E828)</f>
        <v>0</v>
      </c>
      <c r="F823" s="49">
        <f>SUM(F824:F828)</f>
        <v>0</v>
      </c>
      <c r="G823" s="49">
        <f>SUM(G824:G828)</f>
        <v>0</v>
      </c>
      <c r="H823" s="49">
        <f>SUM(H824:H828)</f>
        <v>0</v>
      </c>
      <c r="I823" s="49">
        <f>SUM(I824:I828)</f>
        <v>0</v>
      </c>
      <c r="J823" s="49">
        <f>SUM(J824:J828)</f>
        <v>0</v>
      </c>
      <c r="K823" s="49">
        <f>SUM(K824:K828)</f>
        <v>0</v>
      </c>
      <c r="L823" s="49">
        <f>SUM(L824:L828)</f>
        <v>0</v>
      </c>
      <c r="M823" s="49">
        <f>SUM(M824:M828)</f>
        <v>0</v>
      </c>
      <c r="N823" s="49">
        <f>SUM(N824:N828)</f>
        <v>0</v>
      </c>
      <c r="O823" s="49">
        <f>SUM(O824:O828)</f>
        <v>0</v>
      </c>
      <c r="P823" s="49">
        <f>SUM(P824:P828)</f>
        <v>0</v>
      </c>
      <c r="Q823" s="49">
        <f>SUM(Q824:Q828)</f>
        <v>0</v>
      </c>
      <c r="R823" s="49">
        <f>SUM(R824:R828)</f>
        <v>0</v>
      </c>
      <c r="S823" s="49">
        <f>SUM(S824:S828)</f>
        <v>0</v>
      </c>
      <c r="T823" s="49">
        <f>SUM(T824:T828)</f>
        <v>0</v>
      </c>
      <c r="U823" s="49">
        <f>SUM(U824:U828)</f>
        <v>0</v>
      </c>
      <c r="V823" s="49">
        <f>SUM(V824:V828)</f>
        <v>0</v>
      </c>
      <c r="W823" s="49">
        <f>SUM(W824:W828)</f>
        <v>0</v>
      </c>
      <c r="X823" s="49">
        <f>SUM(X824:X828)</f>
        <v>0</v>
      </c>
      <c r="Y823" s="49">
        <f>SUM(Y824:Y828)</f>
        <v>0</v>
      </c>
      <c r="Z823" s="49">
        <f>SUM(Z824:Z828)</f>
        <v>0</v>
      </c>
      <c r="AA823" s="49">
        <f>SUM(AA824:AA828)</f>
        <v>0</v>
      </c>
      <c r="AB823" s="49">
        <f>SUM(AB824:AB828)</f>
        <v>0</v>
      </c>
    </row>
    <row r="824" spans="1:28" hidden="1" outlineLevel="1" x14ac:dyDescent="0.3">
      <c r="A824" s="33" t="s">
        <v>246</v>
      </c>
      <c r="B824" s="34" t="s">
        <v>274</v>
      </c>
      <c r="C824" s="50">
        <f>SUMIFS(INDEX(Техника!$F$1:$ABM$500,C$2,0),Техника!$F$4:$ABM$4,"Часы",INDEX(Техника!$G$1:$ABN$500,C$2,0),$A$823,INDEX(Техника!$H$1:$ABO$500,C$2,0),"М")</f>
        <v>0</v>
      </c>
      <c r="D824" s="50">
        <f>SUMIFS(INDEX(Техника!$F$1:$ABM$500,D$2,0),Техника!$F$4:$ABM$4,"Часы",INDEX(Техника!$G$1:$ABN$500,D$2,0),$A$823,INDEX(Техника!$H$1:$ABO$500,D$2,0),"М")</f>
        <v>0</v>
      </c>
      <c r="E824" s="50">
        <f>SUMIFS(INDEX(Техника!$F$1:$ABM$500,E$2,0),Техника!$F$4:$ABM$4,"Часы",INDEX(Техника!$G$1:$ABN$500,E$2,0),$A$823,INDEX(Техника!$H$1:$ABO$500,E$2,0),"М")</f>
        <v>0</v>
      </c>
      <c r="F824" s="50">
        <f>SUMIFS(INDEX(Техника!$F$1:$ABM$500,F$2,0),Техника!$F$4:$ABM$4,"Часы",INDEX(Техника!$G$1:$ABN$500,F$2,0),$A$823,INDEX(Техника!$H$1:$ABO$500,F$2,0),"М")</f>
        <v>0</v>
      </c>
      <c r="G824" s="50">
        <f>SUMIFS(INDEX(Техника!$F$1:$ABM$500,G$2,0),Техника!$F$4:$ABM$4,"Часы",INDEX(Техника!$G$1:$ABN$500,G$2,0),$A$823,INDEX(Техника!$H$1:$ABO$500,G$2,0),"М")</f>
        <v>0</v>
      </c>
      <c r="H824" s="50">
        <f>SUMIFS(INDEX(Техника!$F$1:$ABM$500,H$2,0),Техника!$F$4:$ABM$4,"Часы",INDEX(Техника!$G$1:$ABN$500,H$2,0),$A$823,INDEX(Техника!$H$1:$ABO$500,H$2,0),"М")</f>
        <v>0</v>
      </c>
      <c r="I824" s="50">
        <f>SUMIFS(INDEX(Техника!$F$1:$ABM$500,I$2,0),Техника!$F$4:$ABM$4,"Часы",INDEX(Техника!$G$1:$ABN$500,I$2,0),$A$823,INDEX(Техника!$H$1:$ABO$500,I$2,0),"М")</f>
        <v>0</v>
      </c>
      <c r="J824" s="50">
        <f>SUMIFS(INDEX(Техника!$F$1:$ABM$500,J$2,0),Техника!$F$4:$ABM$4,"Часы",INDEX(Техника!$G$1:$ABN$500,J$2,0),$A$823,INDEX(Техника!$H$1:$ABO$500,J$2,0),"М")</f>
        <v>0</v>
      </c>
      <c r="K824" s="50">
        <f>SUMIFS(INDEX(Техника!$F$1:$ABM$500,K$2,0),Техника!$F$4:$ABM$4,"Часы",INDEX(Техника!$G$1:$ABN$500,K$2,0),$A$823,INDEX(Техника!$H$1:$ABO$500,K$2,0),"М")</f>
        <v>0</v>
      </c>
      <c r="L824" s="50">
        <f>SUMIFS(INDEX(Техника!$F$1:$ABM$500,L$2,0),Техника!$F$4:$ABM$4,"Часы",INDEX(Техника!$G$1:$ABN$500,L$2,0),$A$823,INDEX(Техника!$H$1:$ABO$500,L$2,0),"М")</f>
        <v>0</v>
      </c>
      <c r="M824" s="50">
        <f>SUMIFS(INDEX(Техника!$F$1:$ABM$500,M$2,0),Техника!$F$4:$ABM$4,"Часы",INDEX(Техника!$G$1:$ABN$500,M$2,0),$A$823,INDEX(Техника!$H$1:$ABO$500,M$2,0),"М")</f>
        <v>0</v>
      </c>
      <c r="N824" s="50">
        <f>SUMIFS(INDEX(Техника!$F$1:$ABM$500,N$2,0),Техника!$F$4:$ABM$4,"Часы",INDEX(Техника!$G$1:$ABN$500,N$2,0),$A$823,INDEX(Техника!$H$1:$ABO$500,N$2,0),"М")</f>
        <v>0</v>
      </c>
      <c r="O824" s="50">
        <f>SUMIFS(INDEX(Техника!$F$1:$ABM$500,O$2,0),Техника!$F$4:$ABM$4,"Часы",INDEX(Техника!$G$1:$ABN$500,O$2,0),$A$823,INDEX(Техника!$H$1:$ABO$500,O$2,0),"М")</f>
        <v>0</v>
      </c>
      <c r="P824" s="50">
        <f>SUMIFS(INDEX(Техника!$F$1:$ABM$500,P$2,0),Техника!$F$4:$ABM$4,"Часы",INDEX(Техника!$G$1:$ABN$500,P$2,0),$A$823,INDEX(Техника!$H$1:$ABO$500,P$2,0),"М")</f>
        <v>0</v>
      </c>
      <c r="Q824" s="50">
        <f>SUMIFS(INDEX(Техника!$F$1:$ABM$500,Q$2,0),Техника!$F$4:$ABM$4,"Часы",INDEX(Техника!$G$1:$ABN$500,Q$2,0),$A$823,INDEX(Техника!$H$1:$ABO$500,Q$2,0),"М")</f>
        <v>0</v>
      </c>
      <c r="R824" s="50">
        <f>SUMIFS(INDEX(Техника!$F$1:$ABM$500,R$2,0),Техника!$F$4:$ABM$4,"Часы",INDEX(Техника!$G$1:$ABN$500,R$2,0),$A$823,INDEX(Техника!$H$1:$ABO$500,R$2,0),"М")</f>
        <v>0</v>
      </c>
      <c r="S824" s="50">
        <f>SUMIFS(INDEX(Техника!$F$1:$ABM$500,S$2,0),Техника!$F$4:$ABM$4,"Часы",INDEX(Техника!$G$1:$ABN$500,S$2,0),$A$823,INDEX(Техника!$H$1:$ABO$500,S$2,0),"М")</f>
        <v>0</v>
      </c>
      <c r="T824" s="50">
        <f>SUMIFS(INDEX(Техника!$F$1:$ABM$500,T$2,0),Техника!$F$4:$ABM$4,"Часы",INDEX(Техника!$G$1:$ABN$500,T$2,0),$A$823,INDEX(Техника!$H$1:$ABO$500,T$2,0),"М")</f>
        <v>0</v>
      </c>
      <c r="U824" s="50">
        <f>SUMIFS(INDEX(Техника!$F$1:$ABM$500,U$2,0),Техника!$F$4:$ABM$4,"Часы",INDEX(Техника!$G$1:$ABN$500,U$2,0),$A$823,INDEX(Техника!$H$1:$ABO$500,U$2,0),"М")</f>
        <v>0</v>
      </c>
      <c r="V824" s="50">
        <f>SUMIFS(INDEX(Техника!$F$1:$ABM$500,V$2,0),Техника!$F$4:$ABM$4,"Часы",INDEX(Техника!$G$1:$ABN$500,V$2,0),$A$823,INDEX(Техника!$H$1:$ABO$500,V$2,0),"М")</f>
        <v>0</v>
      </c>
      <c r="W824" s="50">
        <f>SUMIFS(INDEX(Техника!$F$1:$ABM$500,W$2,0),Техника!$F$4:$ABM$4,"Часы",INDEX(Техника!$G$1:$ABN$500,W$2,0),$A$823,INDEX(Техника!$H$1:$ABO$500,W$2,0),"М")</f>
        <v>0</v>
      </c>
      <c r="X824" s="50">
        <f>SUMIFS(INDEX(Техника!$F$1:$ABM$500,X$2,0),Техника!$F$4:$ABM$4,"Часы",INDEX(Техника!$G$1:$ABN$500,X$2,0),$A$823,INDEX(Техника!$H$1:$ABO$500,X$2,0),"М")</f>
        <v>0</v>
      </c>
      <c r="Y824" s="50">
        <f>SUMIFS(INDEX(Техника!$F$1:$ABM$500,Y$2,0),Техника!$F$4:$ABM$4,"Часы",INDEX(Техника!$G$1:$ABN$500,Y$2,0),$A$823,INDEX(Техника!$H$1:$ABO$500,Y$2,0),"М")</f>
        <v>0</v>
      </c>
      <c r="Z824" s="50">
        <f>SUMIFS(INDEX(Техника!$F$1:$ABM$500,Z$2,0),Техника!$F$4:$ABM$4,"Часы",INDEX(Техника!$G$1:$ABN$500,Z$2,0),$A$823,INDEX(Техника!$H$1:$ABO$500,Z$2,0),"М")</f>
        <v>0</v>
      </c>
      <c r="AA824" s="50">
        <f>SUMIFS(INDEX(Техника!$F$1:$ABM$500,AA$2,0),Техника!$F$4:$ABM$4,"Часы",INDEX(Техника!$G$1:$ABN$500,AA$2,0),$A$823,INDEX(Техника!$H$1:$ABO$500,AA$2,0),"М")</f>
        <v>0</v>
      </c>
      <c r="AB824" s="50">
        <f>SUMIFS(INDEX(Техника!$F$1:$ABM$500,AB$2,0),Техника!$F$4:$ABM$4,"Часы",INDEX(Техника!$G$1:$ABN$500,AB$2,0),$A$823,INDEX(Техника!$H$1:$ABO$500,AB$2,0),"М")</f>
        <v>0</v>
      </c>
    </row>
    <row r="825" spans="1:28" hidden="1" outlineLevel="1" x14ac:dyDescent="0.3">
      <c r="A825" s="33" t="s">
        <v>244</v>
      </c>
      <c r="B825" s="34" t="s">
        <v>275</v>
      </c>
      <c r="C825" s="50">
        <f>SUMIFS(INDEX(Техника!$F$1:$ABM$500,C$2,0),Техника!$F$4:$ABM$4,"Часы",INDEX(Техника!$G$1:$ABN$500,C$2,0),$A$823,INDEX(Техника!$H$1:$ABO$500,C$2,0),"Д")</f>
        <v>0</v>
      </c>
      <c r="D825" s="50">
        <f>SUMIFS(INDEX(Техника!$F$1:$ABM$500,D$2,0),Техника!$F$4:$ABM$4,"Часы",INDEX(Техника!$G$1:$ABN$500,D$2,0),$A$823,INDEX(Техника!$H$1:$ABO$500,D$2,0),"Д")</f>
        <v>0</v>
      </c>
      <c r="E825" s="50">
        <f>SUMIFS(INDEX(Техника!$F$1:$ABM$500,E$2,0),Техника!$F$4:$ABM$4,"Часы",INDEX(Техника!$G$1:$ABN$500,E$2,0),$A$823,INDEX(Техника!$H$1:$ABO$500,E$2,0),"Д")</f>
        <v>0</v>
      </c>
      <c r="F825" s="50">
        <f>SUMIFS(INDEX(Техника!$F$1:$ABM$500,F$2,0),Техника!$F$4:$ABM$4,"Часы",INDEX(Техника!$G$1:$ABN$500,F$2,0),$A$823,INDEX(Техника!$H$1:$ABO$500,F$2,0),"Д")</f>
        <v>0</v>
      </c>
      <c r="G825" s="50">
        <f>SUMIFS(INDEX(Техника!$F$1:$ABM$500,G$2,0),Техника!$F$4:$ABM$4,"Часы",INDEX(Техника!$G$1:$ABN$500,G$2,0),$A$823,INDEX(Техника!$H$1:$ABO$500,G$2,0),"Д")</f>
        <v>0</v>
      </c>
      <c r="H825" s="50">
        <f>SUMIFS(INDEX(Техника!$F$1:$ABM$500,H$2,0),Техника!$F$4:$ABM$4,"Часы",INDEX(Техника!$G$1:$ABN$500,H$2,0),$A$823,INDEX(Техника!$H$1:$ABO$500,H$2,0),"Д")</f>
        <v>0</v>
      </c>
      <c r="I825" s="50">
        <f>SUMIFS(INDEX(Техника!$F$1:$ABM$500,I$2,0),Техника!$F$4:$ABM$4,"Часы",INDEX(Техника!$G$1:$ABN$500,I$2,0),$A$823,INDEX(Техника!$H$1:$ABO$500,I$2,0),"Д")</f>
        <v>0</v>
      </c>
      <c r="J825" s="50">
        <f>SUMIFS(INDEX(Техника!$F$1:$ABM$500,J$2,0),Техника!$F$4:$ABM$4,"Часы",INDEX(Техника!$G$1:$ABN$500,J$2,0),$A$823,INDEX(Техника!$H$1:$ABO$500,J$2,0),"Д")</f>
        <v>0</v>
      </c>
      <c r="K825" s="50">
        <f>SUMIFS(INDEX(Техника!$F$1:$ABM$500,K$2,0),Техника!$F$4:$ABM$4,"Часы",INDEX(Техника!$G$1:$ABN$500,K$2,0),$A$823,INDEX(Техника!$H$1:$ABO$500,K$2,0),"Д")</f>
        <v>0</v>
      </c>
      <c r="L825" s="50">
        <f>SUMIFS(INDEX(Техника!$F$1:$ABM$500,L$2,0),Техника!$F$4:$ABM$4,"Часы",INDEX(Техника!$G$1:$ABN$500,L$2,0),$A$823,INDEX(Техника!$H$1:$ABO$500,L$2,0),"Д")</f>
        <v>0</v>
      </c>
      <c r="M825" s="50">
        <f>SUMIFS(INDEX(Техника!$F$1:$ABM$500,M$2,0),Техника!$F$4:$ABM$4,"Часы",INDEX(Техника!$G$1:$ABN$500,M$2,0),$A$823,INDEX(Техника!$H$1:$ABO$500,M$2,0),"Д")</f>
        <v>0</v>
      </c>
      <c r="N825" s="50">
        <f>SUMIFS(INDEX(Техника!$F$1:$ABM$500,N$2,0),Техника!$F$4:$ABM$4,"Часы",INDEX(Техника!$G$1:$ABN$500,N$2,0),$A$823,INDEX(Техника!$H$1:$ABO$500,N$2,0),"Д")</f>
        <v>0</v>
      </c>
      <c r="O825" s="50">
        <f>SUMIFS(INDEX(Техника!$F$1:$ABM$500,O$2,0),Техника!$F$4:$ABM$4,"Часы",INDEX(Техника!$G$1:$ABN$500,O$2,0),$A$823,INDEX(Техника!$H$1:$ABO$500,O$2,0),"Д")</f>
        <v>0</v>
      </c>
      <c r="P825" s="50">
        <f>SUMIFS(INDEX(Техника!$F$1:$ABM$500,P$2,0),Техника!$F$4:$ABM$4,"Часы",INDEX(Техника!$G$1:$ABN$500,P$2,0),$A$823,INDEX(Техника!$H$1:$ABO$500,P$2,0),"Д")</f>
        <v>0</v>
      </c>
      <c r="Q825" s="50">
        <f>SUMIFS(INDEX(Техника!$F$1:$ABM$500,Q$2,0),Техника!$F$4:$ABM$4,"Часы",INDEX(Техника!$G$1:$ABN$500,Q$2,0),$A$823,INDEX(Техника!$H$1:$ABO$500,Q$2,0),"Д")</f>
        <v>0</v>
      </c>
      <c r="R825" s="50">
        <f>SUMIFS(INDEX(Техника!$F$1:$ABM$500,R$2,0),Техника!$F$4:$ABM$4,"Часы",INDEX(Техника!$G$1:$ABN$500,R$2,0),$A$823,INDEX(Техника!$H$1:$ABO$500,R$2,0),"Д")</f>
        <v>0</v>
      </c>
      <c r="S825" s="50">
        <f>SUMIFS(INDEX(Техника!$F$1:$ABM$500,S$2,0),Техника!$F$4:$ABM$4,"Часы",INDEX(Техника!$G$1:$ABN$500,S$2,0),$A$823,INDEX(Техника!$H$1:$ABO$500,S$2,0),"Д")</f>
        <v>0</v>
      </c>
      <c r="T825" s="50">
        <f>SUMIFS(INDEX(Техника!$F$1:$ABM$500,T$2,0),Техника!$F$4:$ABM$4,"Часы",INDEX(Техника!$G$1:$ABN$500,T$2,0),$A$823,INDEX(Техника!$H$1:$ABO$500,T$2,0),"Д")</f>
        <v>0</v>
      </c>
      <c r="U825" s="50">
        <f>SUMIFS(INDEX(Техника!$F$1:$ABM$500,U$2,0),Техника!$F$4:$ABM$4,"Часы",INDEX(Техника!$G$1:$ABN$500,U$2,0),$A$823,INDEX(Техника!$H$1:$ABO$500,U$2,0),"Д")</f>
        <v>0</v>
      </c>
      <c r="V825" s="50">
        <f>SUMIFS(INDEX(Техника!$F$1:$ABM$500,V$2,0),Техника!$F$4:$ABM$4,"Часы",INDEX(Техника!$G$1:$ABN$500,V$2,0),$A$823,INDEX(Техника!$H$1:$ABO$500,V$2,0),"Д")</f>
        <v>0</v>
      </c>
      <c r="W825" s="50">
        <f>SUMIFS(INDEX(Техника!$F$1:$ABM$500,W$2,0),Техника!$F$4:$ABM$4,"Часы",INDEX(Техника!$G$1:$ABN$500,W$2,0),$A$823,INDEX(Техника!$H$1:$ABO$500,W$2,0),"Д")</f>
        <v>0</v>
      </c>
      <c r="X825" s="50">
        <f>SUMIFS(INDEX(Техника!$F$1:$ABM$500,X$2,0),Техника!$F$4:$ABM$4,"Часы",INDEX(Техника!$G$1:$ABN$500,X$2,0),$A$823,INDEX(Техника!$H$1:$ABO$500,X$2,0),"Д")</f>
        <v>0</v>
      </c>
      <c r="Y825" s="50">
        <f>SUMIFS(INDEX(Техника!$F$1:$ABM$500,Y$2,0),Техника!$F$4:$ABM$4,"Часы",INDEX(Техника!$G$1:$ABN$500,Y$2,0),$A$823,INDEX(Техника!$H$1:$ABO$500,Y$2,0),"Д")</f>
        <v>0</v>
      </c>
      <c r="Z825" s="50">
        <f>SUMIFS(INDEX(Техника!$F$1:$ABM$500,Z$2,0),Техника!$F$4:$ABM$4,"Часы",INDEX(Техника!$G$1:$ABN$500,Z$2,0),$A$823,INDEX(Техника!$H$1:$ABO$500,Z$2,0),"Д")</f>
        <v>0</v>
      </c>
      <c r="AA825" s="50">
        <f>SUMIFS(INDEX(Техника!$F$1:$ABM$500,AA$2,0),Техника!$F$4:$ABM$4,"Часы",INDEX(Техника!$G$1:$ABN$500,AA$2,0),$A$823,INDEX(Техника!$H$1:$ABO$500,AA$2,0),"Д")</f>
        <v>0</v>
      </c>
      <c r="AB825" s="50">
        <f>SUMIFS(INDEX(Техника!$F$1:$ABM$500,AB$2,0),Техника!$F$4:$ABM$4,"Часы",INDEX(Техника!$G$1:$ABN$500,AB$2,0),$A$823,INDEX(Техника!$H$1:$ABO$500,AB$2,0),"Д")</f>
        <v>0</v>
      </c>
    </row>
    <row r="826" spans="1:28" hidden="1" outlineLevel="1" x14ac:dyDescent="0.3">
      <c r="A826" s="33" t="s">
        <v>276</v>
      </c>
      <c r="B826" s="34" t="s">
        <v>277</v>
      </c>
      <c r="C826" s="50">
        <f>SUMIFS(INDEX(Техника!$F$1:$ABM$500,C$2,0),Техника!$F$4:$ABM$4,"Часы",INDEX(Техника!$G$1:$ABN$500,C$2,0),$A$823,INDEX(Техника!$H$1:$ABO$500,C$2,0),"П")</f>
        <v>0</v>
      </c>
      <c r="D826" s="50">
        <f>SUMIFS(INDEX(Техника!$F$1:$ABM$500,D$2,0),Техника!$F$4:$ABM$4,"Часы",INDEX(Техника!$G$1:$ABN$500,D$2,0),$A$823,INDEX(Техника!$H$1:$ABO$500,D$2,0),"П")</f>
        <v>0</v>
      </c>
      <c r="E826" s="50">
        <f>SUMIFS(INDEX(Техника!$F$1:$ABM$500,E$2,0),Техника!$F$4:$ABM$4,"Часы",INDEX(Техника!$G$1:$ABN$500,E$2,0),$A$823,INDEX(Техника!$H$1:$ABO$500,E$2,0),"П")</f>
        <v>0</v>
      </c>
      <c r="F826" s="50">
        <f>SUMIFS(INDEX(Техника!$F$1:$ABM$500,F$2,0),Техника!$F$4:$ABM$4,"Часы",INDEX(Техника!$G$1:$ABN$500,F$2,0),$A$823,INDEX(Техника!$H$1:$ABO$500,F$2,0),"П")</f>
        <v>0</v>
      </c>
      <c r="G826" s="50">
        <f>SUMIFS(INDEX(Техника!$F$1:$ABM$500,G$2,0),Техника!$F$4:$ABM$4,"Часы",INDEX(Техника!$G$1:$ABN$500,G$2,0),$A$823,INDEX(Техника!$H$1:$ABO$500,G$2,0),"П")</f>
        <v>0</v>
      </c>
      <c r="H826" s="50">
        <f>SUMIFS(INDEX(Техника!$F$1:$ABM$500,H$2,0),Техника!$F$4:$ABM$4,"Часы",INDEX(Техника!$G$1:$ABN$500,H$2,0),$A$823,INDEX(Техника!$H$1:$ABO$500,H$2,0),"П")</f>
        <v>0</v>
      </c>
      <c r="I826" s="50">
        <f>SUMIFS(INDEX(Техника!$F$1:$ABM$500,I$2,0),Техника!$F$4:$ABM$4,"Часы",INDEX(Техника!$G$1:$ABN$500,I$2,0),$A$823,INDEX(Техника!$H$1:$ABO$500,I$2,0),"П")</f>
        <v>0</v>
      </c>
      <c r="J826" s="50">
        <f>SUMIFS(INDEX(Техника!$F$1:$ABM$500,J$2,0),Техника!$F$4:$ABM$4,"Часы",INDEX(Техника!$G$1:$ABN$500,J$2,0),$A$823,INDEX(Техника!$H$1:$ABO$500,J$2,0),"П")</f>
        <v>0</v>
      </c>
      <c r="K826" s="50">
        <f>SUMIFS(INDEX(Техника!$F$1:$ABM$500,K$2,0),Техника!$F$4:$ABM$4,"Часы",INDEX(Техника!$G$1:$ABN$500,K$2,0),$A$823,INDEX(Техника!$H$1:$ABO$500,K$2,0),"П")</f>
        <v>0</v>
      </c>
      <c r="L826" s="50">
        <f>SUMIFS(INDEX(Техника!$F$1:$ABM$500,L$2,0),Техника!$F$4:$ABM$4,"Часы",INDEX(Техника!$G$1:$ABN$500,L$2,0),$A$823,INDEX(Техника!$H$1:$ABO$500,L$2,0),"П")</f>
        <v>0</v>
      </c>
      <c r="M826" s="50">
        <f>SUMIFS(INDEX(Техника!$F$1:$ABM$500,M$2,0),Техника!$F$4:$ABM$4,"Часы",INDEX(Техника!$G$1:$ABN$500,M$2,0),$A$823,INDEX(Техника!$H$1:$ABO$500,M$2,0),"П")</f>
        <v>0</v>
      </c>
      <c r="N826" s="50">
        <f>SUMIFS(INDEX(Техника!$F$1:$ABM$500,N$2,0),Техника!$F$4:$ABM$4,"Часы",INDEX(Техника!$G$1:$ABN$500,N$2,0),$A$823,INDEX(Техника!$H$1:$ABO$500,N$2,0),"П")</f>
        <v>0</v>
      </c>
      <c r="O826" s="50">
        <f>SUMIFS(INDEX(Техника!$F$1:$ABM$500,O$2,0),Техника!$F$4:$ABM$4,"Часы",INDEX(Техника!$G$1:$ABN$500,O$2,0),$A$823,INDEX(Техника!$H$1:$ABO$500,O$2,0),"П")</f>
        <v>0</v>
      </c>
      <c r="P826" s="50">
        <f>SUMIFS(INDEX(Техника!$F$1:$ABM$500,P$2,0),Техника!$F$4:$ABM$4,"Часы",INDEX(Техника!$G$1:$ABN$500,P$2,0),$A$823,INDEX(Техника!$H$1:$ABO$500,P$2,0),"П")</f>
        <v>0</v>
      </c>
      <c r="Q826" s="50">
        <f>SUMIFS(INDEX(Техника!$F$1:$ABM$500,Q$2,0),Техника!$F$4:$ABM$4,"Часы",INDEX(Техника!$G$1:$ABN$500,Q$2,0),$A$823,INDEX(Техника!$H$1:$ABO$500,Q$2,0),"П")</f>
        <v>0</v>
      </c>
      <c r="R826" s="50">
        <f>SUMIFS(INDEX(Техника!$F$1:$ABM$500,R$2,0),Техника!$F$4:$ABM$4,"Часы",INDEX(Техника!$G$1:$ABN$500,R$2,0),$A$823,INDEX(Техника!$H$1:$ABO$500,R$2,0),"П")</f>
        <v>0</v>
      </c>
      <c r="S826" s="50">
        <f>SUMIFS(INDEX(Техника!$F$1:$ABM$500,S$2,0),Техника!$F$4:$ABM$4,"Часы",INDEX(Техника!$G$1:$ABN$500,S$2,0),$A$823,INDEX(Техника!$H$1:$ABO$500,S$2,0),"П")</f>
        <v>0</v>
      </c>
      <c r="T826" s="50">
        <f>SUMIFS(INDEX(Техника!$F$1:$ABM$500,T$2,0),Техника!$F$4:$ABM$4,"Часы",INDEX(Техника!$G$1:$ABN$500,T$2,0),$A$823,INDEX(Техника!$H$1:$ABO$500,T$2,0),"П")</f>
        <v>0</v>
      </c>
      <c r="U826" s="50">
        <f>SUMIFS(INDEX(Техника!$F$1:$ABM$500,U$2,0),Техника!$F$4:$ABM$4,"Часы",INDEX(Техника!$G$1:$ABN$500,U$2,0),$A$823,INDEX(Техника!$H$1:$ABO$500,U$2,0),"П")</f>
        <v>0</v>
      </c>
      <c r="V826" s="50">
        <f>SUMIFS(INDEX(Техника!$F$1:$ABM$500,V$2,0),Техника!$F$4:$ABM$4,"Часы",INDEX(Техника!$G$1:$ABN$500,V$2,0),$A$823,INDEX(Техника!$H$1:$ABO$500,V$2,0),"П")</f>
        <v>0</v>
      </c>
      <c r="W826" s="50">
        <f>SUMIFS(INDEX(Техника!$F$1:$ABM$500,W$2,0),Техника!$F$4:$ABM$4,"Часы",INDEX(Техника!$G$1:$ABN$500,W$2,0),$A$823,INDEX(Техника!$H$1:$ABO$500,W$2,0),"П")</f>
        <v>0</v>
      </c>
      <c r="X826" s="50">
        <f>SUMIFS(INDEX(Техника!$F$1:$ABM$500,X$2,0),Техника!$F$4:$ABM$4,"Часы",INDEX(Техника!$G$1:$ABN$500,X$2,0),$A$823,INDEX(Техника!$H$1:$ABO$500,X$2,0),"П")</f>
        <v>0</v>
      </c>
      <c r="Y826" s="50">
        <f>SUMIFS(INDEX(Техника!$F$1:$ABM$500,Y$2,0),Техника!$F$4:$ABM$4,"Часы",INDEX(Техника!$G$1:$ABN$500,Y$2,0),$A$823,INDEX(Техника!$H$1:$ABO$500,Y$2,0),"П")</f>
        <v>0</v>
      </c>
      <c r="Z826" s="50">
        <f>SUMIFS(INDEX(Техника!$F$1:$ABM$500,Z$2,0),Техника!$F$4:$ABM$4,"Часы",INDEX(Техника!$G$1:$ABN$500,Z$2,0),$A$823,INDEX(Техника!$H$1:$ABO$500,Z$2,0),"П")</f>
        <v>0</v>
      </c>
      <c r="AA826" s="50">
        <f>SUMIFS(INDEX(Техника!$F$1:$ABM$500,AA$2,0),Техника!$F$4:$ABM$4,"Часы",INDEX(Техника!$G$1:$ABN$500,AA$2,0),$A$823,INDEX(Техника!$H$1:$ABO$500,AA$2,0),"П")</f>
        <v>0</v>
      </c>
      <c r="AB826" s="50">
        <f>SUMIFS(INDEX(Техника!$F$1:$ABM$500,AB$2,0),Техника!$F$4:$ABM$4,"Часы",INDEX(Техника!$G$1:$ABN$500,AB$2,0),$A$823,INDEX(Техника!$H$1:$ABO$500,AB$2,0),"П")</f>
        <v>0</v>
      </c>
    </row>
    <row r="827" spans="1:28" hidden="1" outlineLevel="1" x14ac:dyDescent="0.3">
      <c r="A827" s="33" t="s">
        <v>243</v>
      </c>
      <c r="B827" s="34" t="s">
        <v>278</v>
      </c>
      <c r="C827" s="50">
        <f>SUMIFS(INDEX(Техника!$F$1:$ABM$500,C$2,0),Техника!$F$4:$ABM$4,"Часы",INDEX(Техника!$G$1:$ABN$500,C$2,0),$A$823,INDEX(Техника!$H$1:$ABO$500,C$2,0),"Л")</f>
        <v>0</v>
      </c>
      <c r="D827" s="50">
        <f>SUMIFS(INDEX(Техника!$F$1:$ABM$500,D$2,0),Техника!$F$4:$ABM$4,"Часы",INDEX(Техника!$G$1:$ABN$500,D$2,0),$A$823,INDEX(Техника!$H$1:$ABO$500,D$2,0),"Л")</f>
        <v>0</v>
      </c>
      <c r="E827" s="50">
        <f>SUMIFS(INDEX(Техника!$F$1:$ABM$500,E$2,0),Техника!$F$4:$ABM$4,"Часы",INDEX(Техника!$G$1:$ABN$500,E$2,0),$A$823,INDEX(Техника!$H$1:$ABO$500,E$2,0),"Л")</f>
        <v>0</v>
      </c>
      <c r="F827" s="50">
        <f>SUMIFS(INDEX(Техника!$F$1:$ABM$500,F$2,0),Техника!$F$4:$ABM$4,"Часы",INDEX(Техника!$G$1:$ABN$500,F$2,0),$A$823,INDEX(Техника!$H$1:$ABO$500,F$2,0),"Л")</f>
        <v>0</v>
      </c>
      <c r="G827" s="50">
        <f>SUMIFS(INDEX(Техника!$F$1:$ABM$500,G$2,0),Техника!$F$4:$ABM$4,"Часы",INDEX(Техника!$G$1:$ABN$500,G$2,0),$A$823,INDEX(Техника!$H$1:$ABO$500,G$2,0),"Л")</f>
        <v>0</v>
      </c>
      <c r="H827" s="50">
        <f>SUMIFS(INDEX(Техника!$F$1:$ABM$500,H$2,0),Техника!$F$4:$ABM$4,"Часы",INDEX(Техника!$G$1:$ABN$500,H$2,0),$A$823,INDEX(Техника!$H$1:$ABO$500,H$2,0),"Л")</f>
        <v>0</v>
      </c>
      <c r="I827" s="50">
        <f>SUMIFS(INDEX(Техника!$F$1:$ABM$500,I$2,0),Техника!$F$4:$ABM$4,"Часы",INDEX(Техника!$G$1:$ABN$500,I$2,0),$A$823,INDEX(Техника!$H$1:$ABO$500,I$2,0),"Л")</f>
        <v>0</v>
      </c>
      <c r="J827" s="50">
        <f>SUMIFS(INDEX(Техника!$F$1:$ABM$500,J$2,0),Техника!$F$4:$ABM$4,"Часы",INDEX(Техника!$G$1:$ABN$500,J$2,0),$A$823,INDEX(Техника!$H$1:$ABO$500,J$2,0),"Л")</f>
        <v>0</v>
      </c>
      <c r="K827" s="50">
        <f>SUMIFS(INDEX(Техника!$F$1:$ABM$500,K$2,0),Техника!$F$4:$ABM$4,"Часы",INDEX(Техника!$G$1:$ABN$500,K$2,0),$A$823,INDEX(Техника!$H$1:$ABO$500,K$2,0),"Л")</f>
        <v>0</v>
      </c>
      <c r="L827" s="50">
        <f>SUMIFS(INDEX(Техника!$F$1:$ABM$500,L$2,0),Техника!$F$4:$ABM$4,"Часы",INDEX(Техника!$G$1:$ABN$500,L$2,0),$A$823,INDEX(Техника!$H$1:$ABO$500,L$2,0),"Л")</f>
        <v>0</v>
      </c>
      <c r="M827" s="50">
        <f>SUMIFS(INDEX(Техника!$F$1:$ABM$500,M$2,0),Техника!$F$4:$ABM$4,"Часы",INDEX(Техника!$G$1:$ABN$500,M$2,0),$A$823,INDEX(Техника!$H$1:$ABO$500,M$2,0),"Л")</f>
        <v>0</v>
      </c>
      <c r="N827" s="50">
        <f>SUMIFS(INDEX(Техника!$F$1:$ABM$500,N$2,0),Техника!$F$4:$ABM$4,"Часы",INDEX(Техника!$G$1:$ABN$500,N$2,0),$A$823,INDEX(Техника!$H$1:$ABO$500,N$2,0),"Л")</f>
        <v>0</v>
      </c>
      <c r="O827" s="50">
        <f>SUMIFS(INDEX(Техника!$F$1:$ABM$500,O$2,0),Техника!$F$4:$ABM$4,"Часы",INDEX(Техника!$G$1:$ABN$500,O$2,0),$A$823,INDEX(Техника!$H$1:$ABO$500,O$2,0),"Л")</f>
        <v>0</v>
      </c>
      <c r="P827" s="50">
        <f>SUMIFS(INDEX(Техника!$F$1:$ABM$500,P$2,0),Техника!$F$4:$ABM$4,"Часы",INDEX(Техника!$G$1:$ABN$500,P$2,0),$A$823,INDEX(Техника!$H$1:$ABO$500,P$2,0),"Л")</f>
        <v>0</v>
      </c>
      <c r="Q827" s="50">
        <f>SUMIFS(INDEX(Техника!$F$1:$ABM$500,Q$2,0),Техника!$F$4:$ABM$4,"Часы",INDEX(Техника!$G$1:$ABN$500,Q$2,0),$A$823,INDEX(Техника!$H$1:$ABO$500,Q$2,0),"Л")</f>
        <v>0</v>
      </c>
      <c r="R827" s="50">
        <f>SUMIFS(INDEX(Техника!$F$1:$ABM$500,R$2,0),Техника!$F$4:$ABM$4,"Часы",INDEX(Техника!$G$1:$ABN$500,R$2,0),$A$823,INDEX(Техника!$H$1:$ABO$500,R$2,0),"Л")</f>
        <v>0</v>
      </c>
      <c r="S827" s="50">
        <f>SUMIFS(INDEX(Техника!$F$1:$ABM$500,S$2,0),Техника!$F$4:$ABM$4,"Часы",INDEX(Техника!$G$1:$ABN$500,S$2,0),$A$823,INDEX(Техника!$H$1:$ABO$500,S$2,0),"Л")</f>
        <v>0</v>
      </c>
      <c r="T827" s="50">
        <f>SUMIFS(INDEX(Техника!$F$1:$ABM$500,T$2,0),Техника!$F$4:$ABM$4,"Часы",INDEX(Техника!$G$1:$ABN$500,T$2,0),$A$823,INDEX(Техника!$H$1:$ABO$500,T$2,0),"Л")</f>
        <v>0</v>
      </c>
      <c r="U827" s="50">
        <f>SUMIFS(INDEX(Техника!$F$1:$ABM$500,U$2,0),Техника!$F$4:$ABM$4,"Часы",INDEX(Техника!$G$1:$ABN$500,U$2,0),$A$823,INDEX(Техника!$H$1:$ABO$500,U$2,0),"Л")</f>
        <v>0</v>
      </c>
      <c r="V827" s="50">
        <f>SUMIFS(INDEX(Техника!$F$1:$ABM$500,V$2,0),Техника!$F$4:$ABM$4,"Часы",INDEX(Техника!$G$1:$ABN$500,V$2,0),$A$823,INDEX(Техника!$H$1:$ABO$500,V$2,0),"Л")</f>
        <v>0</v>
      </c>
      <c r="W827" s="50">
        <f>SUMIFS(INDEX(Техника!$F$1:$ABM$500,W$2,0),Техника!$F$4:$ABM$4,"Часы",INDEX(Техника!$G$1:$ABN$500,W$2,0),$A$823,INDEX(Техника!$H$1:$ABO$500,W$2,0),"Л")</f>
        <v>0</v>
      </c>
      <c r="X827" s="50">
        <f>SUMIFS(INDEX(Техника!$F$1:$ABM$500,X$2,0),Техника!$F$4:$ABM$4,"Часы",INDEX(Техника!$G$1:$ABN$500,X$2,0),$A$823,INDEX(Техника!$H$1:$ABO$500,X$2,0),"Л")</f>
        <v>0</v>
      </c>
      <c r="Y827" s="50">
        <f>SUMIFS(INDEX(Техника!$F$1:$ABM$500,Y$2,0),Техника!$F$4:$ABM$4,"Часы",INDEX(Техника!$G$1:$ABN$500,Y$2,0),$A$823,INDEX(Техника!$H$1:$ABO$500,Y$2,0),"Л")</f>
        <v>0</v>
      </c>
      <c r="Z827" s="50">
        <f>SUMIFS(INDEX(Техника!$F$1:$ABM$500,Z$2,0),Техника!$F$4:$ABM$4,"Часы",INDEX(Техника!$G$1:$ABN$500,Z$2,0),$A$823,INDEX(Техника!$H$1:$ABO$500,Z$2,0),"Л")</f>
        <v>0</v>
      </c>
      <c r="AA827" s="50">
        <f>SUMIFS(INDEX(Техника!$F$1:$ABM$500,AA$2,0),Техника!$F$4:$ABM$4,"Часы",INDEX(Техника!$G$1:$ABN$500,AA$2,0),$A$823,INDEX(Техника!$H$1:$ABO$500,AA$2,0),"Л")</f>
        <v>0</v>
      </c>
      <c r="AB827" s="50">
        <f>SUMIFS(INDEX(Техника!$F$1:$ABM$500,AB$2,0),Техника!$F$4:$ABM$4,"Часы",INDEX(Техника!$G$1:$ABN$500,AB$2,0),$A$823,INDEX(Техника!$H$1:$ABO$500,AB$2,0),"Л")</f>
        <v>0</v>
      </c>
    </row>
    <row r="828" spans="1:28" hidden="1" outlineLevel="1" x14ac:dyDescent="0.3">
      <c r="A828" s="33" t="s">
        <v>245</v>
      </c>
      <c r="B828" s="34" t="s">
        <v>279</v>
      </c>
      <c r="C828" s="50">
        <f>SUMIFS(INDEX(Техника!$F$1:$ABM$500,C$2,0),Техника!$F$4:$ABM$4,"Часы",INDEX(Техника!$G$1:$ABN$500,C$2,0),$A$823,INDEX(Техника!$H$1:$ABO$500,C$2,0),"З")</f>
        <v>0</v>
      </c>
      <c r="D828" s="50">
        <f>SUMIFS(INDEX(Техника!$F$1:$ABM$500,D$2,0),Техника!$F$4:$ABM$4,"Часы",INDEX(Техника!$G$1:$ABN$500,D$2,0),$A$823,INDEX(Техника!$H$1:$ABO$500,D$2,0),"З")</f>
        <v>0</v>
      </c>
      <c r="E828" s="50">
        <f>SUMIFS(INDEX(Техника!$F$1:$ABM$500,E$2,0),Техника!$F$4:$ABM$4,"Часы",INDEX(Техника!$G$1:$ABN$500,E$2,0),$A$823,INDEX(Техника!$H$1:$ABO$500,E$2,0),"З")</f>
        <v>0</v>
      </c>
      <c r="F828" s="50">
        <f>SUMIFS(INDEX(Техника!$F$1:$ABM$500,F$2,0),Техника!$F$4:$ABM$4,"Часы",INDEX(Техника!$G$1:$ABN$500,F$2,0),$A$823,INDEX(Техника!$H$1:$ABO$500,F$2,0),"З")</f>
        <v>0</v>
      </c>
      <c r="G828" s="50">
        <f>SUMIFS(INDEX(Техника!$F$1:$ABM$500,G$2,0),Техника!$F$4:$ABM$4,"Часы",INDEX(Техника!$G$1:$ABN$500,G$2,0),$A$823,INDEX(Техника!$H$1:$ABO$500,G$2,0),"З")</f>
        <v>0</v>
      </c>
      <c r="H828" s="50">
        <f>SUMIFS(INDEX(Техника!$F$1:$ABM$500,H$2,0),Техника!$F$4:$ABM$4,"Часы",INDEX(Техника!$G$1:$ABN$500,H$2,0),$A$823,INDEX(Техника!$H$1:$ABO$500,H$2,0),"З")</f>
        <v>0</v>
      </c>
      <c r="I828" s="50">
        <f>SUMIFS(INDEX(Техника!$F$1:$ABM$500,I$2,0),Техника!$F$4:$ABM$4,"Часы",INDEX(Техника!$G$1:$ABN$500,I$2,0),$A$823,INDEX(Техника!$H$1:$ABO$500,I$2,0),"З")</f>
        <v>0</v>
      </c>
      <c r="J828" s="50">
        <f>SUMIFS(INDEX(Техника!$F$1:$ABM$500,J$2,0),Техника!$F$4:$ABM$4,"Часы",INDEX(Техника!$G$1:$ABN$500,J$2,0),$A$823,INDEX(Техника!$H$1:$ABO$500,J$2,0),"З")</f>
        <v>0</v>
      </c>
      <c r="K828" s="50">
        <f>SUMIFS(INDEX(Техника!$F$1:$ABM$500,K$2,0),Техника!$F$4:$ABM$4,"Часы",INDEX(Техника!$G$1:$ABN$500,K$2,0),$A$823,INDEX(Техника!$H$1:$ABO$500,K$2,0),"З")</f>
        <v>0</v>
      </c>
      <c r="L828" s="50">
        <f>SUMIFS(INDEX(Техника!$F$1:$ABM$500,L$2,0),Техника!$F$4:$ABM$4,"Часы",INDEX(Техника!$G$1:$ABN$500,L$2,0),$A$823,INDEX(Техника!$H$1:$ABO$500,L$2,0),"З")</f>
        <v>0</v>
      </c>
      <c r="M828" s="50">
        <f>SUMIFS(INDEX(Техника!$F$1:$ABM$500,M$2,0),Техника!$F$4:$ABM$4,"Часы",INDEX(Техника!$G$1:$ABN$500,M$2,0),$A$823,INDEX(Техника!$H$1:$ABO$500,M$2,0),"З")</f>
        <v>0</v>
      </c>
      <c r="N828" s="50">
        <f>SUMIFS(INDEX(Техника!$F$1:$ABM$500,N$2,0),Техника!$F$4:$ABM$4,"Часы",INDEX(Техника!$G$1:$ABN$500,N$2,0),$A$823,INDEX(Техника!$H$1:$ABO$500,N$2,0),"З")</f>
        <v>0</v>
      </c>
      <c r="O828" s="50">
        <f>SUMIFS(INDEX(Техника!$F$1:$ABM$500,O$2,0),Техника!$F$4:$ABM$4,"Часы",INDEX(Техника!$G$1:$ABN$500,O$2,0),$A$823,INDEX(Техника!$H$1:$ABO$500,O$2,0),"З")</f>
        <v>0</v>
      </c>
      <c r="P828" s="50">
        <f>SUMIFS(INDEX(Техника!$F$1:$ABM$500,P$2,0),Техника!$F$4:$ABM$4,"Часы",INDEX(Техника!$G$1:$ABN$500,P$2,0),$A$823,INDEX(Техника!$H$1:$ABO$500,P$2,0),"З")</f>
        <v>0</v>
      </c>
      <c r="Q828" s="50">
        <f>SUMIFS(INDEX(Техника!$F$1:$ABM$500,Q$2,0),Техника!$F$4:$ABM$4,"Часы",INDEX(Техника!$G$1:$ABN$500,Q$2,0),$A$823,INDEX(Техника!$H$1:$ABO$500,Q$2,0),"З")</f>
        <v>0</v>
      </c>
      <c r="R828" s="50">
        <f>SUMIFS(INDEX(Техника!$F$1:$ABM$500,R$2,0),Техника!$F$4:$ABM$4,"Часы",INDEX(Техника!$G$1:$ABN$500,R$2,0),$A$823,INDEX(Техника!$H$1:$ABO$500,R$2,0),"З")</f>
        <v>0</v>
      </c>
      <c r="S828" s="50">
        <f>SUMIFS(INDEX(Техника!$F$1:$ABM$500,S$2,0),Техника!$F$4:$ABM$4,"Часы",INDEX(Техника!$G$1:$ABN$500,S$2,0),$A$823,INDEX(Техника!$H$1:$ABO$500,S$2,0),"З")</f>
        <v>0</v>
      </c>
      <c r="T828" s="50">
        <f>SUMIFS(INDEX(Техника!$F$1:$ABM$500,T$2,0),Техника!$F$4:$ABM$4,"Часы",INDEX(Техника!$G$1:$ABN$500,T$2,0),$A$823,INDEX(Техника!$H$1:$ABO$500,T$2,0),"З")</f>
        <v>0</v>
      </c>
      <c r="U828" s="50">
        <f>SUMIFS(INDEX(Техника!$F$1:$ABM$500,U$2,0),Техника!$F$4:$ABM$4,"Часы",INDEX(Техника!$G$1:$ABN$500,U$2,0),$A$823,INDEX(Техника!$H$1:$ABO$500,U$2,0),"З")</f>
        <v>0</v>
      </c>
      <c r="V828" s="50">
        <f>SUMIFS(INDEX(Техника!$F$1:$ABM$500,V$2,0),Техника!$F$4:$ABM$4,"Часы",INDEX(Техника!$G$1:$ABN$500,V$2,0),$A$823,INDEX(Техника!$H$1:$ABO$500,V$2,0),"З")</f>
        <v>0</v>
      </c>
      <c r="W828" s="50">
        <f>SUMIFS(INDEX(Техника!$F$1:$ABM$500,W$2,0),Техника!$F$4:$ABM$4,"Часы",INDEX(Техника!$G$1:$ABN$500,W$2,0),$A$823,INDEX(Техника!$H$1:$ABO$500,W$2,0),"З")</f>
        <v>0</v>
      </c>
      <c r="X828" s="50">
        <f>SUMIFS(INDEX(Техника!$F$1:$ABM$500,X$2,0),Техника!$F$4:$ABM$4,"Часы",INDEX(Техника!$G$1:$ABN$500,X$2,0),$A$823,INDEX(Техника!$H$1:$ABO$500,X$2,0),"З")</f>
        <v>0</v>
      </c>
      <c r="Y828" s="50">
        <f>SUMIFS(INDEX(Техника!$F$1:$ABM$500,Y$2,0),Техника!$F$4:$ABM$4,"Часы",INDEX(Техника!$G$1:$ABN$500,Y$2,0),$A$823,INDEX(Техника!$H$1:$ABO$500,Y$2,0),"З")</f>
        <v>0</v>
      </c>
      <c r="Z828" s="50">
        <f>SUMIFS(INDEX(Техника!$F$1:$ABM$500,Z$2,0),Техника!$F$4:$ABM$4,"Часы",INDEX(Техника!$G$1:$ABN$500,Z$2,0),$A$823,INDEX(Техника!$H$1:$ABO$500,Z$2,0),"З")</f>
        <v>0</v>
      </c>
      <c r="AA828" s="50">
        <f>SUMIFS(INDEX(Техника!$F$1:$ABM$500,AA$2,0),Техника!$F$4:$ABM$4,"Часы",INDEX(Техника!$G$1:$ABN$500,AA$2,0),$A$823,INDEX(Техника!$H$1:$ABO$500,AA$2,0),"З")</f>
        <v>0</v>
      </c>
      <c r="AB828" s="50">
        <f>SUMIFS(INDEX(Техника!$F$1:$ABM$500,AB$2,0),Техника!$F$4:$ABM$4,"Часы",INDEX(Техника!$G$1:$ABN$500,AB$2,0),$A$823,INDEX(Техника!$H$1:$ABO$500,AB$2,0),"З")</f>
        <v>0</v>
      </c>
    </row>
    <row r="829" spans="1:28" ht="7.95" customHeight="1" x14ac:dyDescent="0.3">
      <c r="A829" s="38"/>
      <c r="B829" s="39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</row>
    <row r="830" spans="1:28" ht="25.05" customHeight="1" collapsed="1" x14ac:dyDescent="0.3">
      <c r="A830" s="32">
        <v>119</v>
      </c>
      <c r="B830" s="32" t="s">
        <v>120</v>
      </c>
      <c r="C830" s="49">
        <f>SUM(C831:C835)</f>
        <v>0</v>
      </c>
      <c r="D830" s="49">
        <f>SUM(D831:D835)</f>
        <v>0</v>
      </c>
      <c r="E830" s="49">
        <f>SUM(E831:E835)</f>
        <v>0</v>
      </c>
      <c r="F830" s="49">
        <f>SUM(F831:F835)</f>
        <v>0</v>
      </c>
      <c r="G830" s="49">
        <f>SUM(G831:G835)</f>
        <v>0</v>
      </c>
      <c r="H830" s="49">
        <f>SUM(H831:H835)</f>
        <v>0</v>
      </c>
      <c r="I830" s="49">
        <f>SUM(I831:I835)</f>
        <v>0</v>
      </c>
      <c r="J830" s="49">
        <f>SUM(J831:J835)</f>
        <v>0</v>
      </c>
      <c r="K830" s="49">
        <f>SUM(K831:K835)</f>
        <v>0</v>
      </c>
      <c r="L830" s="49">
        <f>SUM(L831:L835)</f>
        <v>0</v>
      </c>
      <c r="M830" s="49">
        <f>SUM(M831:M835)</f>
        <v>0</v>
      </c>
      <c r="N830" s="49">
        <f>SUM(N831:N835)</f>
        <v>0</v>
      </c>
      <c r="O830" s="49">
        <f>SUM(O831:O835)</f>
        <v>0</v>
      </c>
      <c r="P830" s="49">
        <f>SUM(P831:P835)</f>
        <v>0</v>
      </c>
      <c r="Q830" s="49">
        <f>SUM(Q831:Q835)</f>
        <v>0</v>
      </c>
      <c r="R830" s="49">
        <f>SUM(R831:R835)</f>
        <v>0</v>
      </c>
      <c r="S830" s="49">
        <f>SUM(S831:S835)</f>
        <v>0</v>
      </c>
      <c r="T830" s="49">
        <f>SUM(T831:T835)</f>
        <v>0</v>
      </c>
      <c r="U830" s="49">
        <f>SUM(U831:U835)</f>
        <v>0</v>
      </c>
      <c r="V830" s="49">
        <f>SUM(V831:V835)</f>
        <v>0</v>
      </c>
      <c r="W830" s="49">
        <f>SUM(W831:W835)</f>
        <v>0</v>
      </c>
      <c r="X830" s="49">
        <f>SUM(X831:X835)</f>
        <v>0</v>
      </c>
      <c r="Y830" s="49">
        <f>SUM(Y831:Y835)</f>
        <v>0</v>
      </c>
      <c r="Z830" s="49">
        <f>SUM(Z831:Z835)</f>
        <v>0</v>
      </c>
      <c r="AA830" s="49">
        <f>SUM(AA831:AA835)</f>
        <v>0</v>
      </c>
      <c r="AB830" s="49">
        <f>SUM(AB831:AB835)</f>
        <v>0</v>
      </c>
    </row>
    <row r="831" spans="1:28" hidden="1" outlineLevel="1" x14ac:dyDescent="0.3">
      <c r="A831" s="33" t="s">
        <v>246</v>
      </c>
      <c r="B831" s="34" t="s">
        <v>274</v>
      </c>
      <c r="C831" s="50">
        <f>SUMIFS(INDEX(Техника!$F$1:$ABM$500,C$2,0),Техника!$F$4:$ABM$4,"Часы",INDEX(Техника!$G$1:$ABN$500,C$2,0),$A$830,INDEX(Техника!$H$1:$ABO$500,C$2,0),"М")</f>
        <v>0</v>
      </c>
      <c r="D831" s="50">
        <f>SUMIFS(INDEX(Техника!$F$1:$ABM$500,D$2,0),Техника!$F$4:$ABM$4,"Часы",INDEX(Техника!$G$1:$ABN$500,D$2,0),$A$830,INDEX(Техника!$H$1:$ABO$500,D$2,0),"М")</f>
        <v>0</v>
      </c>
      <c r="E831" s="50">
        <f>SUMIFS(INDEX(Техника!$F$1:$ABM$500,E$2,0),Техника!$F$4:$ABM$4,"Часы",INDEX(Техника!$G$1:$ABN$500,E$2,0),$A$830,INDEX(Техника!$H$1:$ABO$500,E$2,0),"М")</f>
        <v>0</v>
      </c>
      <c r="F831" s="50">
        <f>SUMIFS(INDEX(Техника!$F$1:$ABM$500,F$2,0),Техника!$F$4:$ABM$4,"Часы",INDEX(Техника!$G$1:$ABN$500,F$2,0),$A$830,INDEX(Техника!$H$1:$ABO$500,F$2,0),"М")</f>
        <v>0</v>
      </c>
      <c r="G831" s="50">
        <f>SUMIFS(INDEX(Техника!$F$1:$ABM$500,G$2,0),Техника!$F$4:$ABM$4,"Часы",INDEX(Техника!$G$1:$ABN$500,G$2,0),$A$830,INDEX(Техника!$H$1:$ABO$500,G$2,0),"М")</f>
        <v>0</v>
      </c>
      <c r="H831" s="50">
        <f>SUMIFS(INDEX(Техника!$F$1:$ABM$500,H$2,0),Техника!$F$4:$ABM$4,"Часы",INDEX(Техника!$G$1:$ABN$500,H$2,0),$A$830,INDEX(Техника!$H$1:$ABO$500,H$2,0),"М")</f>
        <v>0</v>
      </c>
      <c r="I831" s="50">
        <f>SUMIFS(INDEX(Техника!$F$1:$ABM$500,I$2,0),Техника!$F$4:$ABM$4,"Часы",INDEX(Техника!$G$1:$ABN$500,I$2,0),$A$830,INDEX(Техника!$H$1:$ABO$500,I$2,0),"М")</f>
        <v>0</v>
      </c>
      <c r="J831" s="50">
        <f>SUMIFS(INDEX(Техника!$F$1:$ABM$500,J$2,0),Техника!$F$4:$ABM$4,"Часы",INDEX(Техника!$G$1:$ABN$500,J$2,0),$A$830,INDEX(Техника!$H$1:$ABO$500,J$2,0),"М")</f>
        <v>0</v>
      </c>
      <c r="K831" s="50">
        <f>SUMIFS(INDEX(Техника!$F$1:$ABM$500,K$2,0),Техника!$F$4:$ABM$4,"Часы",INDEX(Техника!$G$1:$ABN$500,K$2,0),$A$830,INDEX(Техника!$H$1:$ABO$500,K$2,0),"М")</f>
        <v>0</v>
      </c>
      <c r="L831" s="50">
        <f>SUMIFS(INDEX(Техника!$F$1:$ABM$500,L$2,0),Техника!$F$4:$ABM$4,"Часы",INDEX(Техника!$G$1:$ABN$500,L$2,0),$A$830,INDEX(Техника!$H$1:$ABO$500,L$2,0),"М")</f>
        <v>0</v>
      </c>
      <c r="M831" s="50">
        <f>SUMIFS(INDEX(Техника!$F$1:$ABM$500,M$2,0),Техника!$F$4:$ABM$4,"Часы",INDEX(Техника!$G$1:$ABN$500,M$2,0),$A$830,INDEX(Техника!$H$1:$ABO$500,M$2,0),"М")</f>
        <v>0</v>
      </c>
      <c r="N831" s="50">
        <f>SUMIFS(INDEX(Техника!$F$1:$ABM$500,N$2,0),Техника!$F$4:$ABM$4,"Часы",INDEX(Техника!$G$1:$ABN$500,N$2,0),$A$830,INDEX(Техника!$H$1:$ABO$500,N$2,0),"М")</f>
        <v>0</v>
      </c>
      <c r="O831" s="50">
        <f>SUMIFS(INDEX(Техника!$F$1:$ABM$500,O$2,0),Техника!$F$4:$ABM$4,"Часы",INDEX(Техника!$G$1:$ABN$500,O$2,0),$A$830,INDEX(Техника!$H$1:$ABO$500,O$2,0),"М")</f>
        <v>0</v>
      </c>
      <c r="P831" s="50">
        <f>SUMIFS(INDEX(Техника!$F$1:$ABM$500,P$2,0),Техника!$F$4:$ABM$4,"Часы",INDEX(Техника!$G$1:$ABN$500,P$2,0),$A$830,INDEX(Техника!$H$1:$ABO$500,P$2,0),"М")</f>
        <v>0</v>
      </c>
      <c r="Q831" s="50">
        <f>SUMIFS(INDEX(Техника!$F$1:$ABM$500,Q$2,0),Техника!$F$4:$ABM$4,"Часы",INDEX(Техника!$G$1:$ABN$500,Q$2,0),$A$830,INDEX(Техника!$H$1:$ABO$500,Q$2,0),"М")</f>
        <v>0</v>
      </c>
      <c r="R831" s="50">
        <f>SUMIFS(INDEX(Техника!$F$1:$ABM$500,R$2,0),Техника!$F$4:$ABM$4,"Часы",INDEX(Техника!$G$1:$ABN$500,R$2,0),$A$830,INDEX(Техника!$H$1:$ABO$500,R$2,0),"М")</f>
        <v>0</v>
      </c>
      <c r="S831" s="50">
        <f>SUMIFS(INDEX(Техника!$F$1:$ABM$500,S$2,0),Техника!$F$4:$ABM$4,"Часы",INDEX(Техника!$G$1:$ABN$500,S$2,0),$A$830,INDEX(Техника!$H$1:$ABO$500,S$2,0),"М")</f>
        <v>0</v>
      </c>
      <c r="T831" s="50">
        <f>SUMIFS(INDEX(Техника!$F$1:$ABM$500,T$2,0),Техника!$F$4:$ABM$4,"Часы",INDEX(Техника!$G$1:$ABN$500,T$2,0),$A$830,INDEX(Техника!$H$1:$ABO$500,T$2,0),"М")</f>
        <v>0</v>
      </c>
      <c r="U831" s="50">
        <f>SUMIFS(INDEX(Техника!$F$1:$ABM$500,U$2,0),Техника!$F$4:$ABM$4,"Часы",INDEX(Техника!$G$1:$ABN$500,U$2,0),$A$830,INDEX(Техника!$H$1:$ABO$500,U$2,0),"М")</f>
        <v>0</v>
      </c>
      <c r="V831" s="50">
        <f>SUMIFS(INDEX(Техника!$F$1:$ABM$500,V$2,0),Техника!$F$4:$ABM$4,"Часы",INDEX(Техника!$G$1:$ABN$500,V$2,0),$A$830,INDEX(Техника!$H$1:$ABO$500,V$2,0),"М")</f>
        <v>0</v>
      </c>
      <c r="W831" s="50">
        <f>SUMIFS(INDEX(Техника!$F$1:$ABM$500,W$2,0),Техника!$F$4:$ABM$4,"Часы",INDEX(Техника!$G$1:$ABN$500,W$2,0),$A$830,INDEX(Техника!$H$1:$ABO$500,W$2,0),"М")</f>
        <v>0</v>
      </c>
      <c r="X831" s="50">
        <f>SUMIFS(INDEX(Техника!$F$1:$ABM$500,X$2,0),Техника!$F$4:$ABM$4,"Часы",INDEX(Техника!$G$1:$ABN$500,X$2,0),$A$830,INDEX(Техника!$H$1:$ABO$500,X$2,0),"М")</f>
        <v>0</v>
      </c>
      <c r="Y831" s="50">
        <f>SUMIFS(INDEX(Техника!$F$1:$ABM$500,Y$2,0),Техника!$F$4:$ABM$4,"Часы",INDEX(Техника!$G$1:$ABN$500,Y$2,0),$A$830,INDEX(Техника!$H$1:$ABO$500,Y$2,0),"М")</f>
        <v>0</v>
      </c>
      <c r="Z831" s="50">
        <f>SUMIFS(INDEX(Техника!$F$1:$ABM$500,Z$2,0),Техника!$F$4:$ABM$4,"Часы",INDEX(Техника!$G$1:$ABN$500,Z$2,0),$A$830,INDEX(Техника!$H$1:$ABO$500,Z$2,0),"М")</f>
        <v>0</v>
      </c>
      <c r="AA831" s="50">
        <f>SUMIFS(INDEX(Техника!$F$1:$ABM$500,AA$2,0),Техника!$F$4:$ABM$4,"Часы",INDEX(Техника!$G$1:$ABN$500,AA$2,0),$A$830,INDEX(Техника!$H$1:$ABO$500,AA$2,0),"М")</f>
        <v>0</v>
      </c>
      <c r="AB831" s="50">
        <f>SUMIFS(INDEX(Техника!$F$1:$ABM$500,AB$2,0),Техника!$F$4:$ABM$4,"Часы",INDEX(Техника!$G$1:$ABN$500,AB$2,0),$A$830,INDEX(Техника!$H$1:$ABO$500,AB$2,0),"М")</f>
        <v>0</v>
      </c>
    </row>
    <row r="832" spans="1:28" hidden="1" outlineLevel="1" x14ac:dyDescent="0.3">
      <c r="A832" s="33" t="s">
        <v>244</v>
      </c>
      <c r="B832" s="34" t="s">
        <v>275</v>
      </c>
      <c r="C832" s="50">
        <f>SUMIFS(INDEX(Техника!$F$1:$ABM$500,C$2,0),Техника!$F$4:$ABM$4,"Часы",INDEX(Техника!$G$1:$ABN$500,C$2,0),$A$830,INDEX(Техника!$H$1:$ABO$500,C$2,0),"Д")</f>
        <v>0</v>
      </c>
      <c r="D832" s="50">
        <f>SUMIFS(INDEX(Техника!$F$1:$ABM$500,D$2,0),Техника!$F$4:$ABM$4,"Часы",INDEX(Техника!$G$1:$ABN$500,D$2,0),$A$830,INDEX(Техника!$H$1:$ABO$500,D$2,0),"Д")</f>
        <v>0</v>
      </c>
      <c r="E832" s="50">
        <f>SUMIFS(INDEX(Техника!$F$1:$ABM$500,E$2,0),Техника!$F$4:$ABM$4,"Часы",INDEX(Техника!$G$1:$ABN$500,E$2,0),$A$830,INDEX(Техника!$H$1:$ABO$500,E$2,0),"Д")</f>
        <v>0</v>
      </c>
      <c r="F832" s="50">
        <f>SUMIFS(INDEX(Техника!$F$1:$ABM$500,F$2,0),Техника!$F$4:$ABM$4,"Часы",INDEX(Техника!$G$1:$ABN$500,F$2,0),$A$830,INDEX(Техника!$H$1:$ABO$500,F$2,0),"Д")</f>
        <v>0</v>
      </c>
      <c r="G832" s="50">
        <f>SUMIFS(INDEX(Техника!$F$1:$ABM$500,G$2,0),Техника!$F$4:$ABM$4,"Часы",INDEX(Техника!$G$1:$ABN$500,G$2,0),$A$830,INDEX(Техника!$H$1:$ABO$500,G$2,0),"Д")</f>
        <v>0</v>
      </c>
      <c r="H832" s="50">
        <f>SUMIFS(INDEX(Техника!$F$1:$ABM$500,H$2,0),Техника!$F$4:$ABM$4,"Часы",INDEX(Техника!$G$1:$ABN$500,H$2,0),$A$830,INDEX(Техника!$H$1:$ABO$500,H$2,0),"Д")</f>
        <v>0</v>
      </c>
      <c r="I832" s="50">
        <f>SUMIFS(INDEX(Техника!$F$1:$ABM$500,I$2,0),Техника!$F$4:$ABM$4,"Часы",INDEX(Техника!$G$1:$ABN$500,I$2,0),$A$830,INDEX(Техника!$H$1:$ABO$500,I$2,0),"Д")</f>
        <v>0</v>
      </c>
      <c r="J832" s="50">
        <f>SUMIFS(INDEX(Техника!$F$1:$ABM$500,J$2,0),Техника!$F$4:$ABM$4,"Часы",INDEX(Техника!$G$1:$ABN$500,J$2,0),$A$830,INDEX(Техника!$H$1:$ABO$500,J$2,0),"Д")</f>
        <v>0</v>
      </c>
      <c r="K832" s="50">
        <f>SUMIFS(INDEX(Техника!$F$1:$ABM$500,K$2,0),Техника!$F$4:$ABM$4,"Часы",INDEX(Техника!$G$1:$ABN$500,K$2,0),$A$830,INDEX(Техника!$H$1:$ABO$500,K$2,0),"Д")</f>
        <v>0</v>
      </c>
      <c r="L832" s="50">
        <f>SUMIFS(INDEX(Техника!$F$1:$ABM$500,L$2,0),Техника!$F$4:$ABM$4,"Часы",INDEX(Техника!$G$1:$ABN$500,L$2,0),$A$830,INDEX(Техника!$H$1:$ABO$500,L$2,0),"Д")</f>
        <v>0</v>
      </c>
      <c r="M832" s="50">
        <f>SUMIFS(INDEX(Техника!$F$1:$ABM$500,M$2,0),Техника!$F$4:$ABM$4,"Часы",INDEX(Техника!$G$1:$ABN$500,M$2,0),$A$830,INDEX(Техника!$H$1:$ABO$500,M$2,0),"Д")</f>
        <v>0</v>
      </c>
      <c r="N832" s="50">
        <f>SUMIFS(INDEX(Техника!$F$1:$ABM$500,N$2,0),Техника!$F$4:$ABM$4,"Часы",INDEX(Техника!$G$1:$ABN$500,N$2,0),$A$830,INDEX(Техника!$H$1:$ABO$500,N$2,0),"Д")</f>
        <v>0</v>
      </c>
      <c r="O832" s="50">
        <f>SUMIFS(INDEX(Техника!$F$1:$ABM$500,O$2,0),Техника!$F$4:$ABM$4,"Часы",INDEX(Техника!$G$1:$ABN$500,O$2,0),$A$830,INDEX(Техника!$H$1:$ABO$500,O$2,0),"Д")</f>
        <v>0</v>
      </c>
      <c r="P832" s="50">
        <f>SUMIFS(INDEX(Техника!$F$1:$ABM$500,P$2,0),Техника!$F$4:$ABM$4,"Часы",INDEX(Техника!$G$1:$ABN$500,P$2,0),$A$830,INDEX(Техника!$H$1:$ABO$500,P$2,0),"Д")</f>
        <v>0</v>
      </c>
      <c r="Q832" s="50">
        <f>SUMIFS(INDEX(Техника!$F$1:$ABM$500,Q$2,0),Техника!$F$4:$ABM$4,"Часы",INDEX(Техника!$G$1:$ABN$500,Q$2,0),$A$830,INDEX(Техника!$H$1:$ABO$500,Q$2,0),"Д")</f>
        <v>0</v>
      </c>
      <c r="R832" s="50">
        <f>SUMIFS(INDEX(Техника!$F$1:$ABM$500,R$2,0),Техника!$F$4:$ABM$4,"Часы",INDEX(Техника!$G$1:$ABN$500,R$2,0),$A$830,INDEX(Техника!$H$1:$ABO$500,R$2,0),"Д")</f>
        <v>0</v>
      </c>
      <c r="S832" s="50">
        <f>SUMIFS(INDEX(Техника!$F$1:$ABM$500,S$2,0),Техника!$F$4:$ABM$4,"Часы",INDEX(Техника!$G$1:$ABN$500,S$2,0),$A$830,INDEX(Техника!$H$1:$ABO$500,S$2,0),"Д")</f>
        <v>0</v>
      </c>
      <c r="T832" s="50">
        <f>SUMIFS(INDEX(Техника!$F$1:$ABM$500,T$2,0),Техника!$F$4:$ABM$4,"Часы",INDEX(Техника!$G$1:$ABN$500,T$2,0),$A$830,INDEX(Техника!$H$1:$ABO$500,T$2,0),"Д")</f>
        <v>0</v>
      </c>
      <c r="U832" s="50">
        <f>SUMIFS(INDEX(Техника!$F$1:$ABM$500,U$2,0),Техника!$F$4:$ABM$4,"Часы",INDEX(Техника!$G$1:$ABN$500,U$2,0),$A$830,INDEX(Техника!$H$1:$ABO$500,U$2,0),"Д")</f>
        <v>0</v>
      </c>
      <c r="V832" s="50">
        <f>SUMIFS(INDEX(Техника!$F$1:$ABM$500,V$2,0),Техника!$F$4:$ABM$4,"Часы",INDEX(Техника!$G$1:$ABN$500,V$2,0),$A$830,INDEX(Техника!$H$1:$ABO$500,V$2,0),"Д")</f>
        <v>0</v>
      </c>
      <c r="W832" s="50">
        <f>SUMIFS(INDEX(Техника!$F$1:$ABM$500,W$2,0),Техника!$F$4:$ABM$4,"Часы",INDEX(Техника!$G$1:$ABN$500,W$2,0),$A$830,INDEX(Техника!$H$1:$ABO$500,W$2,0),"Д")</f>
        <v>0</v>
      </c>
      <c r="X832" s="50">
        <f>SUMIFS(INDEX(Техника!$F$1:$ABM$500,X$2,0),Техника!$F$4:$ABM$4,"Часы",INDEX(Техника!$G$1:$ABN$500,X$2,0),$A$830,INDEX(Техника!$H$1:$ABO$500,X$2,0),"Д")</f>
        <v>0</v>
      </c>
      <c r="Y832" s="50">
        <f>SUMIFS(INDEX(Техника!$F$1:$ABM$500,Y$2,0),Техника!$F$4:$ABM$4,"Часы",INDEX(Техника!$G$1:$ABN$500,Y$2,0),$A$830,INDEX(Техника!$H$1:$ABO$500,Y$2,0),"Д")</f>
        <v>0</v>
      </c>
      <c r="Z832" s="50">
        <f>SUMIFS(INDEX(Техника!$F$1:$ABM$500,Z$2,0),Техника!$F$4:$ABM$4,"Часы",INDEX(Техника!$G$1:$ABN$500,Z$2,0),$A$830,INDEX(Техника!$H$1:$ABO$500,Z$2,0),"Д")</f>
        <v>0</v>
      </c>
      <c r="AA832" s="50">
        <f>SUMIFS(INDEX(Техника!$F$1:$ABM$500,AA$2,0),Техника!$F$4:$ABM$4,"Часы",INDEX(Техника!$G$1:$ABN$500,AA$2,0),$A$830,INDEX(Техника!$H$1:$ABO$500,AA$2,0),"Д")</f>
        <v>0</v>
      </c>
      <c r="AB832" s="50">
        <f>SUMIFS(INDEX(Техника!$F$1:$ABM$500,AB$2,0),Техника!$F$4:$ABM$4,"Часы",INDEX(Техника!$G$1:$ABN$500,AB$2,0),$A$830,INDEX(Техника!$H$1:$ABO$500,AB$2,0),"Д")</f>
        <v>0</v>
      </c>
    </row>
    <row r="833" spans="1:28" hidden="1" outlineLevel="1" x14ac:dyDescent="0.3">
      <c r="A833" s="33" t="s">
        <v>276</v>
      </c>
      <c r="B833" s="34" t="s">
        <v>277</v>
      </c>
      <c r="C833" s="50">
        <f>SUMIFS(INDEX(Техника!$F$1:$ABM$500,C$2,0),Техника!$F$4:$ABM$4,"Часы",INDEX(Техника!$G$1:$ABN$500,C$2,0),$A$830,INDEX(Техника!$H$1:$ABO$500,C$2,0),"П")</f>
        <v>0</v>
      </c>
      <c r="D833" s="50">
        <f>SUMIFS(INDEX(Техника!$F$1:$ABM$500,D$2,0),Техника!$F$4:$ABM$4,"Часы",INDEX(Техника!$G$1:$ABN$500,D$2,0),$A$830,INDEX(Техника!$H$1:$ABO$500,D$2,0),"П")</f>
        <v>0</v>
      </c>
      <c r="E833" s="50">
        <f>SUMIFS(INDEX(Техника!$F$1:$ABM$500,E$2,0),Техника!$F$4:$ABM$4,"Часы",INDEX(Техника!$G$1:$ABN$500,E$2,0),$A$830,INDEX(Техника!$H$1:$ABO$500,E$2,0),"П")</f>
        <v>0</v>
      </c>
      <c r="F833" s="50">
        <f>SUMIFS(INDEX(Техника!$F$1:$ABM$500,F$2,0),Техника!$F$4:$ABM$4,"Часы",INDEX(Техника!$G$1:$ABN$500,F$2,0),$A$830,INDEX(Техника!$H$1:$ABO$500,F$2,0),"П")</f>
        <v>0</v>
      </c>
      <c r="G833" s="50">
        <f>SUMIFS(INDEX(Техника!$F$1:$ABM$500,G$2,0),Техника!$F$4:$ABM$4,"Часы",INDEX(Техника!$G$1:$ABN$500,G$2,0),$A$830,INDEX(Техника!$H$1:$ABO$500,G$2,0),"П")</f>
        <v>0</v>
      </c>
      <c r="H833" s="50">
        <f>SUMIFS(INDEX(Техника!$F$1:$ABM$500,H$2,0),Техника!$F$4:$ABM$4,"Часы",INDEX(Техника!$G$1:$ABN$500,H$2,0),$A$830,INDEX(Техника!$H$1:$ABO$500,H$2,0),"П")</f>
        <v>0</v>
      </c>
      <c r="I833" s="50">
        <f>SUMIFS(INDEX(Техника!$F$1:$ABM$500,I$2,0),Техника!$F$4:$ABM$4,"Часы",INDEX(Техника!$G$1:$ABN$500,I$2,0),$A$830,INDEX(Техника!$H$1:$ABO$500,I$2,0),"П")</f>
        <v>0</v>
      </c>
      <c r="J833" s="50">
        <f>SUMIFS(INDEX(Техника!$F$1:$ABM$500,J$2,0),Техника!$F$4:$ABM$4,"Часы",INDEX(Техника!$G$1:$ABN$500,J$2,0),$A$830,INDEX(Техника!$H$1:$ABO$500,J$2,0),"П")</f>
        <v>0</v>
      </c>
      <c r="K833" s="50">
        <f>SUMIFS(INDEX(Техника!$F$1:$ABM$500,K$2,0),Техника!$F$4:$ABM$4,"Часы",INDEX(Техника!$G$1:$ABN$500,K$2,0),$A$830,INDEX(Техника!$H$1:$ABO$500,K$2,0),"П")</f>
        <v>0</v>
      </c>
      <c r="L833" s="50">
        <f>SUMIFS(INDEX(Техника!$F$1:$ABM$500,L$2,0),Техника!$F$4:$ABM$4,"Часы",INDEX(Техника!$G$1:$ABN$500,L$2,0),$A$830,INDEX(Техника!$H$1:$ABO$500,L$2,0),"П")</f>
        <v>0</v>
      </c>
      <c r="M833" s="50">
        <f>SUMIFS(INDEX(Техника!$F$1:$ABM$500,M$2,0),Техника!$F$4:$ABM$4,"Часы",INDEX(Техника!$G$1:$ABN$500,M$2,0),$A$830,INDEX(Техника!$H$1:$ABO$500,M$2,0),"П")</f>
        <v>0</v>
      </c>
      <c r="N833" s="50">
        <f>SUMIFS(INDEX(Техника!$F$1:$ABM$500,N$2,0),Техника!$F$4:$ABM$4,"Часы",INDEX(Техника!$G$1:$ABN$500,N$2,0),$A$830,INDEX(Техника!$H$1:$ABO$500,N$2,0),"П")</f>
        <v>0</v>
      </c>
      <c r="O833" s="50">
        <f>SUMIFS(INDEX(Техника!$F$1:$ABM$500,O$2,0),Техника!$F$4:$ABM$4,"Часы",INDEX(Техника!$G$1:$ABN$500,O$2,0),$A$830,INDEX(Техника!$H$1:$ABO$500,O$2,0),"П")</f>
        <v>0</v>
      </c>
      <c r="P833" s="50">
        <f>SUMIFS(INDEX(Техника!$F$1:$ABM$500,P$2,0),Техника!$F$4:$ABM$4,"Часы",INDEX(Техника!$G$1:$ABN$500,P$2,0),$A$830,INDEX(Техника!$H$1:$ABO$500,P$2,0),"П")</f>
        <v>0</v>
      </c>
      <c r="Q833" s="50">
        <f>SUMIFS(INDEX(Техника!$F$1:$ABM$500,Q$2,0),Техника!$F$4:$ABM$4,"Часы",INDEX(Техника!$G$1:$ABN$500,Q$2,0),$A$830,INDEX(Техника!$H$1:$ABO$500,Q$2,0),"П")</f>
        <v>0</v>
      </c>
      <c r="R833" s="50">
        <f>SUMIFS(INDEX(Техника!$F$1:$ABM$500,R$2,0),Техника!$F$4:$ABM$4,"Часы",INDEX(Техника!$G$1:$ABN$500,R$2,0),$A$830,INDEX(Техника!$H$1:$ABO$500,R$2,0),"П")</f>
        <v>0</v>
      </c>
      <c r="S833" s="50">
        <f>SUMIFS(INDEX(Техника!$F$1:$ABM$500,S$2,0),Техника!$F$4:$ABM$4,"Часы",INDEX(Техника!$G$1:$ABN$500,S$2,0),$A$830,INDEX(Техника!$H$1:$ABO$500,S$2,0),"П")</f>
        <v>0</v>
      </c>
      <c r="T833" s="50">
        <f>SUMIFS(INDEX(Техника!$F$1:$ABM$500,T$2,0),Техника!$F$4:$ABM$4,"Часы",INDEX(Техника!$G$1:$ABN$500,T$2,0),$A$830,INDEX(Техника!$H$1:$ABO$500,T$2,0),"П")</f>
        <v>0</v>
      </c>
      <c r="U833" s="50">
        <f>SUMIFS(INDEX(Техника!$F$1:$ABM$500,U$2,0),Техника!$F$4:$ABM$4,"Часы",INDEX(Техника!$G$1:$ABN$500,U$2,0),$A$830,INDEX(Техника!$H$1:$ABO$500,U$2,0),"П")</f>
        <v>0</v>
      </c>
      <c r="V833" s="50">
        <f>SUMIFS(INDEX(Техника!$F$1:$ABM$500,V$2,0),Техника!$F$4:$ABM$4,"Часы",INDEX(Техника!$G$1:$ABN$500,V$2,0),$A$830,INDEX(Техника!$H$1:$ABO$500,V$2,0),"П")</f>
        <v>0</v>
      </c>
      <c r="W833" s="50">
        <f>SUMIFS(INDEX(Техника!$F$1:$ABM$500,W$2,0),Техника!$F$4:$ABM$4,"Часы",INDEX(Техника!$G$1:$ABN$500,W$2,0),$A$830,INDEX(Техника!$H$1:$ABO$500,W$2,0),"П")</f>
        <v>0</v>
      </c>
      <c r="X833" s="50">
        <f>SUMIFS(INDEX(Техника!$F$1:$ABM$500,X$2,0),Техника!$F$4:$ABM$4,"Часы",INDEX(Техника!$G$1:$ABN$500,X$2,0),$A$830,INDEX(Техника!$H$1:$ABO$500,X$2,0),"П")</f>
        <v>0</v>
      </c>
      <c r="Y833" s="50">
        <f>SUMIFS(INDEX(Техника!$F$1:$ABM$500,Y$2,0),Техника!$F$4:$ABM$4,"Часы",INDEX(Техника!$G$1:$ABN$500,Y$2,0),$A$830,INDEX(Техника!$H$1:$ABO$500,Y$2,0),"П")</f>
        <v>0</v>
      </c>
      <c r="Z833" s="50">
        <f>SUMIFS(INDEX(Техника!$F$1:$ABM$500,Z$2,0),Техника!$F$4:$ABM$4,"Часы",INDEX(Техника!$G$1:$ABN$500,Z$2,0),$A$830,INDEX(Техника!$H$1:$ABO$500,Z$2,0),"П")</f>
        <v>0</v>
      </c>
      <c r="AA833" s="50">
        <f>SUMIFS(INDEX(Техника!$F$1:$ABM$500,AA$2,0),Техника!$F$4:$ABM$4,"Часы",INDEX(Техника!$G$1:$ABN$500,AA$2,0),$A$830,INDEX(Техника!$H$1:$ABO$500,AA$2,0),"П")</f>
        <v>0</v>
      </c>
      <c r="AB833" s="50">
        <f>SUMIFS(INDEX(Техника!$F$1:$ABM$500,AB$2,0),Техника!$F$4:$ABM$4,"Часы",INDEX(Техника!$G$1:$ABN$500,AB$2,0),$A$830,INDEX(Техника!$H$1:$ABO$500,AB$2,0),"П")</f>
        <v>0</v>
      </c>
    </row>
    <row r="834" spans="1:28" hidden="1" outlineLevel="1" x14ac:dyDescent="0.3">
      <c r="A834" s="33" t="s">
        <v>243</v>
      </c>
      <c r="B834" s="34" t="s">
        <v>278</v>
      </c>
      <c r="C834" s="50">
        <f>SUMIFS(INDEX(Техника!$F$1:$ABM$500,C$2,0),Техника!$F$4:$ABM$4,"Часы",INDEX(Техника!$G$1:$ABN$500,C$2,0),$A$830,INDEX(Техника!$H$1:$ABO$500,C$2,0),"Л")</f>
        <v>0</v>
      </c>
      <c r="D834" s="50">
        <f>SUMIFS(INDEX(Техника!$F$1:$ABM$500,D$2,0),Техника!$F$4:$ABM$4,"Часы",INDEX(Техника!$G$1:$ABN$500,D$2,0),$A$830,INDEX(Техника!$H$1:$ABO$500,D$2,0),"Л")</f>
        <v>0</v>
      </c>
      <c r="E834" s="50">
        <f>SUMIFS(INDEX(Техника!$F$1:$ABM$500,E$2,0),Техника!$F$4:$ABM$4,"Часы",INDEX(Техника!$G$1:$ABN$500,E$2,0),$A$830,INDEX(Техника!$H$1:$ABO$500,E$2,0),"Л")</f>
        <v>0</v>
      </c>
      <c r="F834" s="50">
        <f>SUMIFS(INDEX(Техника!$F$1:$ABM$500,F$2,0),Техника!$F$4:$ABM$4,"Часы",INDEX(Техника!$G$1:$ABN$500,F$2,0),$A$830,INDEX(Техника!$H$1:$ABO$500,F$2,0),"Л")</f>
        <v>0</v>
      </c>
      <c r="G834" s="50">
        <f>SUMIFS(INDEX(Техника!$F$1:$ABM$500,G$2,0),Техника!$F$4:$ABM$4,"Часы",INDEX(Техника!$G$1:$ABN$500,G$2,0),$A$830,INDEX(Техника!$H$1:$ABO$500,G$2,0),"Л")</f>
        <v>0</v>
      </c>
      <c r="H834" s="50">
        <f>SUMIFS(INDEX(Техника!$F$1:$ABM$500,H$2,0),Техника!$F$4:$ABM$4,"Часы",INDEX(Техника!$G$1:$ABN$500,H$2,0),$A$830,INDEX(Техника!$H$1:$ABO$500,H$2,0),"Л")</f>
        <v>0</v>
      </c>
      <c r="I834" s="50">
        <f>SUMIFS(INDEX(Техника!$F$1:$ABM$500,I$2,0),Техника!$F$4:$ABM$4,"Часы",INDEX(Техника!$G$1:$ABN$500,I$2,0),$A$830,INDEX(Техника!$H$1:$ABO$500,I$2,0),"Л")</f>
        <v>0</v>
      </c>
      <c r="J834" s="50">
        <f>SUMIFS(INDEX(Техника!$F$1:$ABM$500,J$2,0),Техника!$F$4:$ABM$4,"Часы",INDEX(Техника!$G$1:$ABN$500,J$2,0),$A$830,INDEX(Техника!$H$1:$ABO$500,J$2,0),"Л")</f>
        <v>0</v>
      </c>
      <c r="K834" s="50">
        <f>SUMIFS(INDEX(Техника!$F$1:$ABM$500,K$2,0),Техника!$F$4:$ABM$4,"Часы",INDEX(Техника!$G$1:$ABN$500,K$2,0),$A$830,INDEX(Техника!$H$1:$ABO$500,K$2,0),"Л")</f>
        <v>0</v>
      </c>
      <c r="L834" s="50">
        <f>SUMIFS(INDEX(Техника!$F$1:$ABM$500,L$2,0),Техника!$F$4:$ABM$4,"Часы",INDEX(Техника!$G$1:$ABN$500,L$2,0),$A$830,INDEX(Техника!$H$1:$ABO$500,L$2,0),"Л")</f>
        <v>0</v>
      </c>
      <c r="M834" s="50">
        <f>SUMIFS(INDEX(Техника!$F$1:$ABM$500,M$2,0),Техника!$F$4:$ABM$4,"Часы",INDEX(Техника!$G$1:$ABN$500,M$2,0),$A$830,INDEX(Техника!$H$1:$ABO$500,M$2,0),"Л")</f>
        <v>0</v>
      </c>
      <c r="N834" s="50">
        <f>SUMIFS(INDEX(Техника!$F$1:$ABM$500,N$2,0),Техника!$F$4:$ABM$4,"Часы",INDEX(Техника!$G$1:$ABN$500,N$2,0),$A$830,INDEX(Техника!$H$1:$ABO$500,N$2,0),"Л")</f>
        <v>0</v>
      </c>
      <c r="O834" s="50">
        <f>SUMIFS(INDEX(Техника!$F$1:$ABM$500,O$2,0),Техника!$F$4:$ABM$4,"Часы",INDEX(Техника!$G$1:$ABN$500,O$2,0),$A$830,INDEX(Техника!$H$1:$ABO$500,O$2,0),"Л")</f>
        <v>0</v>
      </c>
      <c r="P834" s="50">
        <f>SUMIFS(INDEX(Техника!$F$1:$ABM$500,P$2,0),Техника!$F$4:$ABM$4,"Часы",INDEX(Техника!$G$1:$ABN$500,P$2,0),$A$830,INDEX(Техника!$H$1:$ABO$500,P$2,0),"Л")</f>
        <v>0</v>
      </c>
      <c r="Q834" s="50">
        <f>SUMIFS(INDEX(Техника!$F$1:$ABM$500,Q$2,0),Техника!$F$4:$ABM$4,"Часы",INDEX(Техника!$G$1:$ABN$500,Q$2,0),$A$830,INDEX(Техника!$H$1:$ABO$500,Q$2,0),"Л")</f>
        <v>0</v>
      </c>
      <c r="R834" s="50">
        <f>SUMIFS(INDEX(Техника!$F$1:$ABM$500,R$2,0),Техника!$F$4:$ABM$4,"Часы",INDEX(Техника!$G$1:$ABN$500,R$2,0),$A$830,INDEX(Техника!$H$1:$ABO$500,R$2,0),"Л")</f>
        <v>0</v>
      </c>
      <c r="S834" s="50">
        <f>SUMIFS(INDEX(Техника!$F$1:$ABM$500,S$2,0),Техника!$F$4:$ABM$4,"Часы",INDEX(Техника!$G$1:$ABN$500,S$2,0),$A$830,INDEX(Техника!$H$1:$ABO$500,S$2,0),"Л")</f>
        <v>0</v>
      </c>
      <c r="T834" s="50">
        <f>SUMIFS(INDEX(Техника!$F$1:$ABM$500,T$2,0),Техника!$F$4:$ABM$4,"Часы",INDEX(Техника!$G$1:$ABN$500,T$2,0),$A$830,INDEX(Техника!$H$1:$ABO$500,T$2,0),"Л")</f>
        <v>0</v>
      </c>
      <c r="U834" s="50">
        <f>SUMIFS(INDEX(Техника!$F$1:$ABM$500,U$2,0),Техника!$F$4:$ABM$4,"Часы",INDEX(Техника!$G$1:$ABN$500,U$2,0),$A$830,INDEX(Техника!$H$1:$ABO$500,U$2,0),"Л")</f>
        <v>0</v>
      </c>
      <c r="V834" s="50">
        <f>SUMIFS(INDEX(Техника!$F$1:$ABM$500,V$2,0),Техника!$F$4:$ABM$4,"Часы",INDEX(Техника!$G$1:$ABN$500,V$2,0),$A$830,INDEX(Техника!$H$1:$ABO$500,V$2,0),"Л")</f>
        <v>0</v>
      </c>
      <c r="W834" s="50">
        <f>SUMIFS(INDEX(Техника!$F$1:$ABM$500,W$2,0),Техника!$F$4:$ABM$4,"Часы",INDEX(Техника!$G$1:$ABN$500,W$2,0),$A$830,INDEX(Техника!$H$1:$ABO$500,W$2,0),"Л")</f>
        <v>0</v>
      </c>
      <c r="X834" s="50">
        <f>SUMIFS(INDEX(Техника!$F$1:$ABM$500,X$2,0),Техника!$F$4:$ABM$4,"Часы",INDEX(Техника!$G$1:$ABN$500,X$2,0),$A$830,INDEX(Техника!$H$1:$ABO$500,X$2,0),"Л")</f>
        <v>0</v>
      </c>
      <c r="Y834" s="50">
        <f>SUMIFS(INDEX(Техника!$F$1:$ABM$500,Y$2,0),Техника!$F$4:$ABM$4,"Часы",INDEX(Техника!$G$1:$ABN$500,Y$2,0),$A$830,INDEX(Техника!$H$1:$ABO$500,Y$2,0),"Л")</f>
        <v>0</v>
      </c>
      <c r="Z834" s="50">
        <f>SUMIFS(INDEX(Техника!$F$1:$ABM$500,Z$2,0),Техника!$F$4:$ABM$4,"Часы",INDEX(Техника!$G$1:$ABN$500,Z$2,0),$A$830,INDEX(Техника!$H$1:$ABO$500,Z$2,0),"Л")</f>
        <v>0</v>
      </c>
      <c r="AA834" s="50">
        <f>SUMIFS(INDEX(Техника!$F$1:$ABM$500,AA$2,0),Техника!$F$4:$ABM$4,"Часы",INDEX(Техника!$G$1:$ABN$500,AA$2,0),$A$830,INDEX(Техника!$H$1:$ABO$500,AA$2,0),"Л")</f>
        <v>0</v>
      </c>
      <c r="AB834" s="50">
        <f>SUMIFS(INDEX(Техника!$F$1:$ABM$500,AB$2,0),Техника!$F$4:$ABM$4,"Часы",INDEX(Техника!$G$1:$ABN$500,AB$2,0),$A$830,INDEX(Техника!$H$1:$ABO$500,AB$2,0),"Л")</f>
        <v>0</v>
      </c>
    </row>
    <row r="835" spans="1:28" hidden="1" outlineLevel="1" x14ac:dyDescent="0.3">
      <c r="A835" s="33" t="s">
        <v>245</v>
      </c>
      <c r="B835" s="34" t="s">
        <v>279</v>
      </c>
      <c r="C835" s="50">
        <f>SUMIFS(INDEX(Техника!$F$1:$ABM$500,C$2,0),Техника!$F$4:$ABM$4,"Часы",INDEX(Техника!$G$1:$ABN$500,C$2,0),$A$830,INDEX(Техника!$H$1:$ABO$500,C$2,0),"З")</f>
        <v>0</v>
      </c>
      <c r="D835" s="50">
        <f>SUMIFS(INDEX(Техника!$F$1:$ABM$500,D$2,0),Техника!$F$4:$ABM$4,"Часы",INDEX(Техника!$G$1:$ABN$500,D$2,0),$A$830,INDEX(Техника!$H$1:$ABO$500,D$2,0),"З")</f>
        <v>0</v>
      </c>
      <c r="E835" s="50">
        <f>SUMIFS(INDEX(Техника!$F$1:$ABM$500,E$2,0),Техника!$F$4:$ABM$4,"Часы",INDEX(Техника!$G$1:$ABN$500,E$2,0),$A$830,INDEX(Техника!$H$1:$ABO$500,E$2,0),"З")</f>
        <v>0</v>
      </c>
      <c r="F835" s="50">
        <f>SUMIFS(INDEX(Техника!$F$1:$ABM$500,F$2,0),Техника!$F$4:$ABM$4,"Часы",INDEX(Техника!$G$1:$ABN$500,F$2,0),$A$830,INDEX(Техника!$H$1:$ABO$500,F$2,0),"З")</f>
        <v>0</v>
      </c>
      <c r="G835" s="50">
        <f>SUMIFS(INDEX(Техника!$F$1:$ABM$500,G$2,0),Техника!$F$4:$ABM$4,"Часы",INDEX(Техника!$G$1:$ABN$500,G$2,0),$A$830,INDEX(Техника!$H$1:$ABO$500,G$2,0),"З")</f>
        <v>0</v>
      </c>
      <c r="H835" s="50">
        <f>SUMIFS(INDEX(Техника!$F$1:$ABM$500,H$2,0),Техника!$F$4:$ABM$4,"Часы",INDEX(Техника!$G$1:$ABN$500,H$2,0),$A$830,INDEX(Техника!$H$1:$ABO$500,H$2,0),"З")</f>
        <v>0</v>
      </c>
      <c r="I835" s="50">
        <f>SUMIFS(INDEX(Техника!$F$1:$ABM$500,I$2,0),Техника!$F$4:$ABM$4,"Часы",INDEX(Техника!$G$1:$ABN$500,I$2,0),$A$830,INDEX(Техника!$H$1:$ABO$500,I$2,0),"З")</f>
        <v>0</v>
      </c>
      <c r="J835" s="50">
        <f>SUMIFS(INDEX(Техника!$F$1:$ABM$500,J$2,0),Техника!$F$4:$ABM$4,"Часы",INDEX(Техника!$G$1:$ABN$500,J$2,0),$A$830,INDEX(Техника!$H$1:$ABO$500,J$2,0),"З")</f>
        <v>0</v>
      </c>
      <c r="K835" s="50">
        <f>SUMIFS(INDEX(Техника!$F$1:$ABM$500,K$2,0),Техника!$F$4:$ABM$4,"Часы",INDEX(Техника!$G$1:$ABN$500,K$2,0),$A$830,INDEX(Техника!$H$1:$ABO$500,K$2,0),"З")</f>
        <v>0</v>
      </c>
      <c r="L835" s="50">
        <f>SUMIFS(INDEX(Техника!$F$1:$ABM$500,L$2,0),Техника!$F$4:$ABM$4,"Часы",INDEX(Техника!$G$1:$ABN$500,L$2,0),$A$830,INDEX(Техника!$H$1:$ABO$500,L$2,0),"З")</f>
        <v>0</v>
      </c>
      <c r="M835" s="50">
        <f>SUMIFS(INDEX(Техника!$F$1:$ABM$500,M$2,0),Техника!$F$4:$ABM$4,"Часы",INDEX(Техника!$G$1:$ABN$500,M$2,0),$A$830,INDEX(Техника!$H$1:$ABO$500,M$2,0),"З")</f>
        <v>0</v>
      </c>
      <c r="N835" s="50">
        <f>SUMIFS(INDEX(Техника!$F$1:$ABM$500,N$2,0),Техника!$F$4:$ABM$4,"Часы",INDEX(Техника!$G$1:$ABN$500,N$2,0),$A$830,INDEX(Техника!$H$1:$ABO$500,N$2,0),"З")</f>
        <v>0</v>
      </c>
      <c r="O835" s="50">
        <f>SUMIFS(INDEX(Техника!$F$1:$ABM$500,O$2,0),Техника!$F$4:$ABM$4,"Часы",INDEX(Техника!$G$1:$ABN$500,O$2,0),$A$830,INDEX(Техника!$H$1:$ABO$500,O$2,0),"З")</f>
        <v>0</v>
      </c>
      <c r="P835" s="50">
        <f>SUMIFS(INDEX(Техника!$F$1:$ABM$500,P$2,0),Техника!$F$4:$ABM$4,"Часы",INDEX(Техника!$G$1:$ABN$500,P$2,0),$A$830,INDEX(Техника!$H$1:$ABO$500,P$2,0),"З")</f>
        <v>0</v>
      </c>
      <c r="Q835" s="50">
        <f>SUMIFS(INDEX(Техника!$F$1:$ABM$500,Q$2,0),Техника!$F$4:$ABM$4,"Часы",INDEX(Техника!$G$1:$ABN$500,Q$2,0),$A$830,INDEX(Техника!$H$1:$ABO$500,Q$2,0),"З")</f>
        <v>0</v>
      </c>
      <c r="R835" s="50">
        <f>SUMIFS(INDEX(Техника!$F$1:$ABM$500,R$2,0),Техника!$F$4:$ABM$4,"Часы",INDEX(Техника!$G$1:$ABN$500,R$2,0),$A$830,INDEX(Техника!$H$1:$ABO$500,R$2,0),"З")</f>
        <v>0</v>
      </c>
      <c r="S835" s="50">
        <f>SUMIFS(INDEX(Техника!$F$1:$ABM$500,S$2,0),Техника!$F$4:$ABM$4,"Часы",INDEX(Техника!$G$1:$ABN$500,S$2,0),$A$830,INDEX(Техника!$H$1:$ABO$500,S$2,0),"З")</f>
        <v>0</v>
      </c>
      <c r="T835" s="50">
        <f>SUMIFS(INDEX(Техника!$F$1:$ABM$500,T$2,0),Техника!$F$4:$ABM$4,"Часы",INDEX(Техника!$G$1:$ABN$500,T$2,0),$A$830,INDEX(Техника!$H$1:$ABO$500,T$2,0),"З")</f>
        <v>0</v>
      </c>
      <c r="U835" s="50">
        <f>SUMIFS(INDEX(Техника!$F$1:$ABM$500,U$2,0),Техника!$F$4:$ABM$4,"Часы",INDEX(Техника!$G$1:$ABN$500,U$2,0),$A$830,INDEX(Техника!$H$1:$ABO$500,U$2,0),"З")</f>
        <v>0</v>
      </c>
      <c r="V835" s="50">
        <f>SUMIFS(INDEX(Техника!$F$1:$ABM$500,V$2,0),Техника!$F$4:$ABM$4,"Часы",INDEX(Техника!$G$1:$ABN$500,V$2,0),$A$830,INDEX(Техника!$H$1:$ABO$500,V$2,0),"З")</f>
        <v>0</v>
      </c>
      <c r="W835" s="50">
        <f>SUMIFS(INDEX(Техника!$F$1:$ABM$500,W$2,0),Техника!$F$4:$ABM$4,"Часы",INDEX(Техника!$G$1:$ABN$500,W$2,0),$A$830,INDEX(Техника!$H$1:$ABO$500,W$2,0),"З")</f>
        <v>0</v>
      </c>
      <c r="X835" s="50">
        <f>SUMIFS(INDEX(Техника!$F$1:$ABM$500,X$2,0),Техника!$F$4:$ABM$4,"Часы",INDEX(Техника!$G$1:$ABN$500,X$2,0),$A$830,INDEX(Техника!$H$1:$ABO$500,X$2,0),"З")</f>
        <v>0</v>
      </c>
      <c r="Y835" s="50">
        <f>SUMIFS(INDEX(Техника!$F$1:$ABM$500,Y$2,0),Техника!$F$4:$ABM$4,"Часы",INDEX(Техника!$G$1:$ABN$500,Y$2,0),$A$830,INDEX(Техника!$H$1:$ABO$500,Y$2,0),"З")</f>
        <v>0</v>
      </c>
      <c r="Z835" s="50">
        <f>SUMIFS(INDEX(Техника!$F$1:$ABM$500,Z$2,0),Техника!$F$4:$ABM$4,"Часы",INDEX(Техника!$G$1:$ABN$500,Z$2,0),$A$830,INDEX(Техника!$H$1:$ABO$500,Z$2,0),"З")</f>
        <v>0</v>
      </c>
      <c r="AA835" s="50">
        <f>SUMIFS(INDEX(Техника!$F$1:$ABM$500,AA$2,0),Техника!$F$4:$ABM$4,"Часы",INDEX(Техника!$G$1:$ABN$500,AA$2,0),$A$830,INDEX(Техника!$H$1:$ABO$500,AA$2,0),"З")</f>
        <v>0</v>
      </c>
      <c r="AB835" s="50">
        <f>SUMIFS(INDEX(Техника!$F$1:$ABM$500,AB$2,0),Техника!$F$4:$ABM$4,"Часы",INDEX(Техника!$G$1:$ABN$500,AB$2,0),$A$830,INDEX(Техника!$H$1:$ABO$500,AB$2,0),"З")</f>
        <v>0</v>
      </c>
    </row>
    <row r="836" spans="1:28" ht="7.95" customHeight="1" x14ac:dyDescent="0.3">
      <c r="A836" s="38"/>
      <c r="B836" s="39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</row>
    <row r="837" spans="1:28" ht="25.05" customHeight="1" collapsed="1" x14ac:dyDescent="0.3">
      <c r="A837" s="32">
        <v>120</v>
      </c>
      <c r="B837" s="32" t="s">
        <v>121</v>
      </c>
      <c r="C837" s="49">
        <f>SUM(C838:C842)</f>
        <v>0</v>
      </c>
      <c r="D837" s="49">
        <f>SUM(D838:D842)</f>
        <v>0</v>
      </c>
      <c r="E837" s="49">
        <f>SUM(E838:E842)</f>
        <v>0</v>
      </c>
      <c r="F837" s="49">
        <f>SUM(F838:F842)</f>
        <v>0</v>
      </c>
      <c r="G837" s="49">
        <f>SUM(G838:G842)</f>
        <v>0</v>
      </c>
      <c r="H837" s="49">
        <f>SUM(H838:H842)</f>
        <v>0</v>
      </c>
      <c r="I837" s="49">
        <f>SUM(I838:I842)</f>
        <v>0</v>
      </c>
      <c r="J837" s="49">
        <f>SUM(J838:J842)</f>
        <v>0</v>
      </c>
      <c r="K837" s="49">
        <f>SUM(K838:K842)</f>
        <v>0</v>
      </c>
      <c r="L837" s="49">
        <f>SUM(L838:L842)</f>
        <v>0</v>
      </c>
      <c r="M837" s="49">
        <f>SUM(M838:M842)</f>
        <v>0</v>
      </c>
      <c r="N837" s="49">
        <f>SUM(N838:N842)</f>
        <v>0</v>
      </c>
      <c r="O837" s="49">
        <f>SUM(O838:O842)</f>
        <v>0</v>
      </c>
      <c r="P837" s="49">
        <f>SUM(P838:P842)</f>
        <v>0</v>
      </c>
      <c r="Q837" s="49">
        <f>SUM(Q838:Q842)</f>
        <v>0</v>
      </c>
      <c r="R837" s="49">
        <f>SUM(R838:R842)</f>
        <v>0</v>
      </c>
      <c r="S837" s="49">
        <f>SUM(S838:S842)</f>
        <v>0</v>
      </c>
      <c r="T837" s="49">
        <f>SUM(T838:T842)</f>
        <v>0</v>
      </c>
      <c r="U837" s="49">
        <f>SUM(U838:U842)</f>
        <v>0</v>
      </c>
      <c r="V837" s="49">
        <f>SUM(V838:V842)</f>
        <v>0</v>
      </c>
      <c r="W837" s="49">
        <f>SUM(W838:W842)</f>
        <v>0</v>
      </c>
      <c r="X837" s="49">
        <f>SUM(X838:X842)</f>
        <v>0</v>
      </c>
      <c r="Y837" s="49">
        <f>SUM(Y838:Y842)</f>
        <v>0</v>
      </c>
      <c r="Z837" s="49">
        <f>SUM(Z838:Z842)</f>
        <v>0</v>
      </c>
      <c r="AA837" s="49">
        <f>SUM(AA838:AA842)</f>
        <v>0</v>
      </c>
      <c r="AB837" s="49">
        <f>SUM(AB838:AB842)</f>
        <v>0</v>
      </c>
    </row>
    <row r="838" spans="1:28" hidden="1" outlineLevel="1" x14ac:dyDescent="0.3">
      <c r="A838" s="33" t="s">
        <v>246</v>
      </c>
      <c r="B838" s="34" t="s">
        <v>274</v>
      </c>
      <c r="C838" s="50">
        <f>SUMIFS(INDEX(Техника!$F$1:$ABM$500,C$2,0),Техника!$F$4:$ABM$4,"Часы",INDEX(Техника!$G$1:$ABN$500,C$2,0),$A$837,INDEX(Техника!$H$1:$ABO$500,C$2,0),"М")</f>
        <v>0</v>
      </c>
      <c r="D838" s="50">
        <f>SUMIFS(INDEX(Техника!$F$1:$ABM$500,D$2,0),Техника!$F$4:$ABM$4,"Часы",INDEX(Техника!$G$1:$ABN$500,D$2,0),$A$837,INDEX(Техника!$H$1:$ABO$500,D$2,0),"М")</f>
        <v>0</v>
      </c>
      <c r="E838" s="50">
        <f>SUMIFS(INDEX(Техника!$F$1:$ABM$500,E$2,0),Техника!$F$4:$ABM$4,"Часы",INDEX(Техника!$G$1:$ABN$500,E$2,0),$A$837,INDEX(Техника!$H$1:$ABO$500,E$2,0),"М")</f>
        <v>0</v>
      </c>
      <c r="F838" s="50">
        <f>SUMIFS(INDEX(Техника!$F$1:$ABM$500,F$2,0),Техника!$F$4:$ABM$4,"Часы",INDEX(Техника!$G$1:$ABN$500,F$2,0),$A$837,INDEX(Техника!$H$1:$ABO$500,F$2,0),"М")</f>
        <v>0</v>
      </c>
      <c r="G838" s="50">
        <f>SUMIFS(INDEX(Техника!$F$1:$ABM$500,G$2,0),Техника!$F$4:$ABM$4,"Часы",INDEX(Техника!$G$1:$ABN$500,G$2,0),$A$837,INDEX(Техника!$H$1:$ABO$500,G$2,0),"М")</f>
        <v>0</v>
      </c>
      <c r="H838" s="50">
        <f>SUMIFS(INDEX(Техника!$F$1:$ABM$500,H$2,0),Техника!$F$4:$ABM$4,"Часы",INDEX(Техника!$G$1:$ABN$500,H$2,0),$A$837,INDEX(Техника!$H$1:$ABO$500,H$2,0),"М")</f>
        <v>0</v>
      </c>
      <c r="I838" s="50">
        <f>SUMIFS(INDEX(Техника!$F$1:$ABM$500,I$2,0),Техника!$F$4:$ABM$4,"Часы",INDEX(Техника!$G$1:$ABN$500,I$2,0),$A$837,INDEX(Техника!$H$1:$ABO$500,I$2,0),"М")</f>
        <v>0</v>
      </c>
      <c r="J838" s="50">
        <f>SUMIFS(INDEX(Техника!$F$1:$ABM$500,J$2,0),Техника!$F$4:$ABM$4,"Часы",INDEX(Техника!$G$1:$ABN$500,J$2,0),$A$837,INDEX(Техника!$H$1:$ABO$500,J$2,0),"М")</f>
        <v>0</v>
      </c>
      <c r="K838" s="50">
        <f>SUMIFS(INDEX(Техника!$F$1:$ABM$500,K$2,0),Техника!$F$4:$ABM$4,"Часы",INDEX(Техника!$G$1:$ABN$500,K$2,0),$A$837,INDEX(Техника!$H$1:$ABO$500,K$2,0),"М")</f>
        <v>0</v>
      </c>
      <c r="L838" s="50">
        <f>SUMIFS(INDEX(Техника!$F$1:$ABM$500,L$2,0),Техника!$F$4:$ABM$4,"Часы",INDEX(Техника!$G$1:$ABN$500,L$2,0),$A$837,INDEX(Техника!$H$1:$ABO$500,L$2,0),"М")</f>
        <v>0</v>
      </c>
      <c r="M838" s="50">
        <f>SUMIFS(INDEX(Техника!$F$1:$ABM$500,M$2,0),Техника!$F$4:$ABM$4,"Часы",INDEX(Техника!$G$1:$ABN$500,M$2,0),$A$837,INDEX(Техника!$H$1:$ABO$500,M$2,0),"М")</f>
        <v>0</v>
      </c>
      <c r="N838" s="50">
        <f>SUMIFS(INDEX(Техника!$F$1:$ABM$500,N$2,0),Техника!$F$4:$ABM$4,"Часы",INDEX(Техника!$G$1:$ABN$500,N$2,0),$A$837,INDEX(Техника!$H$1:$ABO$500,N$2,0),"М")</f>
        <v>0</v>
      </c>
      <c r="O838" s="50">
        <f>SUMIFS(INDEX(Техника!$F$1:$ABM$500,O$2,0),Техника!$F$4:$ABM$4,"Часы",INDEX(Техника!$G$1:$ABN$500,O$2,0),$A$837,INDEX(Техника!$H$1:$ABO$500,O$2,0),"М")</f>
        <v>0</v>
      </c>
      <c r="P838" s="50">
        <f>SUMIFS(INDEX(Техника!$F$1:$ABM$500,P$2,0),Техника!$F$4:$ABM$4,"Часы",INDEX(Техника!$G$1:$ABN$500,P$2,0),$A$837,INDEX(Техника!$H$1:$ABO$500,P$2,0),"М")</f>
        <v>0</v>
      </c>
      <c r="Q838" s="50">
        <f>SUMIFS(INDEX(Техника!$F$1:$ABM$500,Q$2,0),Техника!$F$4:$ABM$4,"Часы",INDEX(Техника!$G$1:$ABN$500,Q$2,0),$A$837,INDEX(Техника!$H$1:$ABO$500,Q$2,0),"М")</f>
        <v>0</v>
      </c>
      <c r="R838" s="50">
        <f>SUMIFS(INDEX(Техника!$F$1:$ABM$500,R$2,0),Техника!$F$4:$ABM$4,"Часы",INDEX(Техника!$G$1:$ABN$500,R$2,0),$A$837,INDEX(Техника!$H$1:$ABO$500,R$2,0),"М")</f>
        <v>0</v>
      </c>
      <c r="S838" s="50">
        <f>SUMIFS(INDEX(Техника!$F$1:$ABM$500,S$2,0),Техника!$F$4:$ABM$4,"Часы",INDEX(Техника!$G$1:$ABN$500,S$2,0),$A$837,INDEX(Техника!$H$1:$ABO$500,S$2,0),"М")</f>
        <v>0</v>
      </c>
      <c r="T838" s="50">
        <f>SUMIFS(INDEX(Техника!$F$1:$ABM$500,T$2,0),Техника!$F$4:$ABM$4,"Часы",INDEX(Техника!$G$1:$ABN$500,T$2,0),$A$837,INDEX(Техника!$H$1:$ABO$500,T$2,0),"М")</f>
        <v>0</v>
      </c>
      <c r="U838" s="50">
        <f>SUMIFS(INDEX(Техника!$F$1:$ABM$500,U$2,0),Техника!$F$4:$ABM$4,"Часы",INDEX(Техника!$G$1:$ABN$500,U$2,0),$A$837,INDEX(Техника!$H$1:$ABO$500,U$2,0),"М")</f>
        <v>0</v>
      </c>
      <c r="V838" s="50">
        <f>SUMIFS(INDEX(Техника!$F$1:$ABM$500,V$2,0),Техника!$F$4:$ABM$4,"Часы",INDEX(Техника!$G$1:$ABN$500,V$2,0),$A$837,INDEX(Техника!$H$1:$ABO$500,V$2,0),"М")</f>
        <v>0</v>
      </c>
      <c r="W838" s="50">
        <f>SUMIFS(INDEX(Техника!$F$1:$ABM$500,W$2,0),Техника!$F$4:$ABM$4,"Часы",INDEX(Техника!$G$1:$ABN$500,W$2,0),$A$837,INDEX(Техника!$H$1:$ABO$500,W$2,0),"М")</f>
        <v>0</v>
      </c>
      <c r="X838" s="50">
        <f>SUMIFS(INDEX(Техника!$F$1:$ABM$500,X$2,0),Техника!$F$4:$ABM$4,"Часы",INDEX(Техника!$G$1:$ABN$500,X$2,0),$A$837,INDEX(Техника!$H$1:$ABO$500,X$2,0),"М")</f>
        <v>0</v>
      </c>
      <c r="Y838" s="50">
        <f>SUMIFS(INDEX(Техника!$F$1:$ABM$500,Y$2,0),Техника!$F$4:$ABM$4,"Часы",INDEX(Техника!$G$1:$ABN$500,Y$2,0),$A$837,INDEX(Техника!$H$1:$ABO$500,Y$2,0),"М")</f>
        <v>0</v>
      </c>
      <c r="Z838" s="50">
        <f>SUMIFS(INDEX(Техника!$F$1:$ABM$500,Z$2,0),Техника!$F$4:$ABM$4,"Часы",INDEX(Техника!$G$1:$ABN$500,Z$2,0),$A$837,INDEX(Техника!$H$1:$ABO$500,Z$2,0),"М")</f>
        <v>0</v>
      </c>
      <c r="AA838" s="50">
        <f>SUMIFS(INDEX(Техника!$F$1:$ABM$500,AA$2,0),Техника!$F$4:$ABM$4,"Часы",INDEX(Техника!$G$1:$ABN$500,AA$2,0),$A$837,INDEX(Техника!$H$1:$ABO$500,AA$2,0),"М")</f>
        <v>0</v>
      </c>
      <c r="AB838" s="50">
        <f>SUMIFS(INDEX(Техника!$F$1:$ABM$500,AB$2,0),Техника!$F$4:$ABM$4,"Часы",INDEX(Техника!$G$1:$ABN$500,AB$2,0),$A$837,INDEX(Техника!$H$1:$ABO$500,AB$2,0),"М")</f>
        <v>0</v>
      </c>
    </row>
    <row r="839" spans="1:28" hidden="1" outlineLevel="1" x14ac:dyDescent="0.3">
      <c r="A839" s="33" t="s">
        <v>244</v>
      </c>
      <c r="B839" s="34" t="s">
        <v>275</v>
      </c>
      <c r="C839" s="50">
        <f>SUMIFS(INDEX(Техника!$F$1:$ABM$500,C$2,0),Техника!$F$4:$ABM$4,"Часы",INDEX(Техника!$G$1:$ABN$500,C$2,0),$A$837,INDEX(Техника!$H$1:$ABO$500,C$2,0),"Д")</f>
        <v>0</v>
      </c>
      <c r="D839" s="50">
        <f>SUMIFS(INDEX(Техника!$F$1:$ABM$500,D$2,0),Техника!$F$4:$ABM$4,"Часы",INDEX(Техника!$G$1:$ABN$500,D$2,0),$A$837,INDEX(Техника!$H$1:$ABO$500,D$2,0),"Д")</f>
        <v>0</v>
      </c>
      <c r="E839" s="50">
        <f>SUMIFS(INDEX(Техника!$F$1:$ABM$500,E$2,0),Техника!$F$4:$ABM$4,"Часы",INDEX(Техника!$G$1:$ABN$500,E$2,0),$A$837,INDEX(Техника!$H$1:$ABO$500,E$2,0),"Д")</f>
        <v>0</v>
      </c>
      <c r="F839" s="50">
        <f>SUMIFS(INDEX(Техника!$F$1:$ABM$500,F$2,0),Техника!$F$4:$ABM$4,"Часы",INDEX(Техника!$G$1:$ABN$500,F$2,0),$A$837,INDEX(Техника!$H$1:$ABO$500,F$2,0),"Д")</f>
        <v>0</v>
      </c>
      <c r="G839" s="50">
        <f>SUMIFS(INDEX(Техника!$F$1:$ABM$500,G$2,0),Техника!$F$4:$ABM$4,"Часы",INDEX(Техника!$G$1:$ABN$500,G$2,0),$A$837,INDEX(Техника!$H$1:$ABO$500,G$2,0),"Д")</f>
        <v>0</v>
      </c>
      <c r="H839" s="50">
        <f>SUMIFS(INDEX(Техника!$F$1:$ABM$500,H$2,0),Техника!$F$4:$ABM$4,"Часы",INDEX(Техника!$G$1:$ABN$500,H$2,0),$A$837,INDEX(Техника!$H$1:$ABO$500,H$2,0),"Д")</f>
        <v>0</v>
      </c>
      <c r="I839" s="50">
        <f>SUMIFS(INDEX(Техника!$F$1:$ABM$500,I$2,0),Техника!$F$4:$ABM$4,"Часы",INDEX(Техника!$G$1:$ABN$500,I$2,0),$A$837,INDEX(Техника!$H$1:$ABO$500,I$2,0),"Д")</f>
        <v>0</v>
      </c>
      <c r="J839" s="50">
        <f>SUMIFS(INDEX(Техника!$F$1:$ABM$500,J$2,0),Техника!$F$4:$ABM$4,"Часы",INDEX(Техника!$G$1:$ABN$500,J$2,0),$A$837,INDEX(Техника!$H$1:$ABO$500,J$2,0),"Д")</f>
        <v>0</v>
      </c>
      <c r="K839" s="50">
        <f>SUMIFS(INDEX(Техника!$F$1:$ABM$500,K$2,0),Техника!$F$4:$ABM$4,"Часы",INDEX(Техника!$G$1:$ABN$500,K$2,0),$A$837,INDEX(Техника!$H$1:$ABO$500,K$2,0),"Д")</f>
        <v>0</v>
      </c>
      <c r="L839" s="50">
        <f>SUMIFS(INDEX(Техника!$F$1:$ABM$500,L$2,0),Техника!$F$4:$ABM$4,"Часы",INDEX(Техника!$G$1:$ABN$500,L$2,0),$A$837,INDEX(Техника!$H$1:$ABO$500,L$2,0),"Д")</f>
        <v>0</v>
      </c>
      <c r="M839" s="50">
        <f>SUMIFS(INDEX(Техника!$F$1:$ABM$500,M$2,0),Техника!$F$4:$ABM$4,"Часы",INDEX(Техника!$G$1:$ABN$500,M$2,0),$A$837,INDEX(Техника!$H$1:$ABO$500,M$2,0),"Д")</f>
        <v>0</v>
      </c>
      <c r="N839" s="50">
        <f>SUMIFS(INDEX(Техника!$F$1:$ABM$500,N$2,0),Техника!$F$4:$ABM$4,"Часы",INDEX(Техника!$G$1:$ABN$500,N$2,0),$A$837,INDEX(Техника!$H$1:$ABO$500,N$2,0),"Д")</f>
        <v>0</v>
      </c>
      <c r="O839" s="50">
        <f>SUMIFS(INDEX(Техника!$F$1:$ABM$500,O$2,0),Техника!$F$4:$ABM$4,"Часы",INDEX(Техника!$G$1:$ABN$500,O$2,0),$A$837,INDEX(Техника!$H$1:$ABO$500,O$2,0),"Д")</f>
        <v>0</v>
      </c>
      <c r="P839" s="50">
        <f>SUMIFS(INDEX(Техника!$F$1:$ABM$500,P$2,0),Техника!$F$4:$ABM$4,"Часы",INDEX(Техника!$G$1:$ABN$500,P$2,0),$A$837,INDEX(Техника!$H$1:$ABO$500,P$2,0),"Д")</f>
        <v>0</v>
      </c>
      <c r="Q839" s="50">
        <f>SUMIFS(INDEX(Техника!$F$1:$ABM$500,Q$2,0),Техника!$F$4:$ABM$4,"Часы",INDEX(Техника!$G$1:$ABN$500,Q$2,0),$A$837,INDEX(Техника!$H$1:$ABO$500,Q$2,0),"Д")</f>
        <v>0</v>
      </c>
      <c r="R839" s="50">
        <f>SUMIFS(INDEX(Техника!$F$1:$ABM$500,R$2,0),Техника!$F$4:$ABM$4,"Часы",INDEX(Техника!$G$1:$ABN$500,R$2,0),$A$837,INDEX(Техника!$H$1:$ABO$500,R$2,0),"Д")</f>
        <v>0</v>
      </c>
      <c r="S839" s="50">
        <f>SUMIFS(INDEX(Техника!$F$1:$ABM$500,S$2,0),Техника!$F$4:$ABM$4,"Часы",INDEX(Техника!$G$1:$ABN$500,S$2,0),$A$837,INDEX(Техника!$H$1:$ABO$500,S$2,0),"Д")</f>
        <v>0</v>
      </c>
      <c r="T839" s="50">
        <f>SUMIFS(INDEX(Техника!$F$1:$ABM$500,T$2,0),Техника!$F$4:$ABM$4,"Часы",INDEX(Техника!$G$1:$ABN$500,T$2,0),$A$837,INDEX(Техника!$H$1:$ABO$500,T$2,0),"Д")</f>
        <v>0</v>
      </c>
      <c r="U839" s="50">
        <f>SUMIFS(INDEX(Техника!$F$1:$ABM$500,U$2,0),Техника!$F$4:$ABM$4,"Часы",INDEX(Техника!$G$1:$ABN$500,U$2,0),$A$837,INDEX(Техника!$H$1:$ABO$500,U$2,0),"Д")</f>
        <v>0</v>
      </c>
      <c r="V839" s="50">
        <f>SUMIFS(INDEX(Техника!$F$1:$ABM$500,V$2,0),Техника!$F$4:$ABM$4,"Часы",INDEX(Техника!$G$1:$ABN$500,V$2,0),$A$837,INDEX(Техника!$H$1:$ABO$500,V$2,0),"Д")</f>
        <v>0</v>
      </c>
      <c r="W839" s="50">
        <f>SUMIFS(INDEX(Техника!$F$1:$ABM$500,W$2,0),Техника!$F$4:$ABM$4,"Часы",INDEX(Техника!$G$1:$ABN$500,W$2,0),$A$837,INDEX(Техника!$H$1:$ABO$500,W$2,0),"Д")</f>
        <v>0</v>
      </c>
      <c r="X839" s="50">
        <f>SUMIFS(INDEX(Техника!$F$1:$ABM$500,X$2,0),Техника!$F$4:$ABM$4,"Часы",INDEX(Техника!$G$1:$ABN$500,X$2,0),$A$837,INDEX(Техника!$H$1:$ABO$500,X$2,0),"Д")</f>
        <v>0</v>
      </c>
      <c r="Y839" s="50">
        <f>SUMIFS(INDEX(Техника!$F$1:$ABM$500,Y$2,0),Техника!$F$4:$ABM$4,"Часы",INDEX(Техника!$G$1:$ABN$500,Y$2,0),$A$837,INDEX(Техника!$H$1:$ABO$500,Y$2,0),"Д")</f>
        <v>0</v>
      </c>
      <c r="Z839" s="50">
        <f>SUMIFS(INDEX(Техника!$F$1:$ABM$500,Z$2,0),Техника!$F$4:$ABM$4,"Часы",INDEX(Техника!$G$1:$ABN$500,Z$2,0),$A$837,INDEX(Техника!$H$1:$ABO$500,Z$2,0),"Д")</f>
        <v>0</v>
      </c>
      <c r="AA839" s="50">
        <f>SUMIFS(INDEX(Техника!$F$1:$ABM$500,AA$2,0),Техника!$F$4:$ABM$4,"Часы",INDEX(Техника!$G$1:$ABN$500,AA$2,0),$A$837,INDEX(Техника!$H$1:$ABO$500,AA$2,0),"Д")</f>
        <v>0</v>
      </c>
      <c r="AB839" s="50">
        <f>SUMIFS(INDEX(Техника!$F$1:$ABM$500,AB$2,0),Техника!$F$4:$ABM$4,"Часы",INDEX(Техника!$G$1:$ABN$500,AB$2,0),$A$837,INDEX(Техника!$H$1:$ABO$500,AB$2,0),"Д")</f>
        <v>0</v>
      </c>
    </row>
    <row r="840" spans="1:28" hidden="1" outlineLevel="1" x14ac:dyDescent="0.3">
      <c r="A840" s="33" t="s">
        <v>276</v>
      </c>
      <c r="B840" s="34" t="s">
        <v>277</v>
      </c>
      <c r="C840" s="50">
        <f>SUMIFS(INDEX(Техника!$F$1:$ABM$500,C$2,0),Техника!$F$4:$ABM$4,"Часы",INDEX(Техника!$G$1:$ABN$500,C$2,0),$A$837,INDEX(Техника!$H$1:$ABO$500,C$2,0),"П")</f>
        <v>0</v>
      </c>
      <c r="D840" s="50">
        <f>SUMIFS(INDEX(Техника!$F$1:$ABM$500,D$2,0),Техника!$F$4:$ABM$4,"Часы",INDEX(Техника!$G$1:$ABN$500,D$2,0),$A$837,INDEX(Техника!$H$1:$ABO$500,D$2,0),"П")</f>
        <v>0</v>
      </c>
      <c r="E840" s="50">
        <f>SUMIFS(INDEX(Техника!$F$1:$ABM$500,E$2,0),Техника!$F$4:$ABM$4,"Часы",INDEX(Техника!$G$1:$ABN$500,E$2,0),$A$837,INDEX(Техника!$H$1:$ABO$500,E$2,0),"П")</f>
        <v>0</v>
      </c>
      <c r="F840" s="50">
        <f>SUMIFS(INDEX(Техника!$F$1:$ABM$500,F$2,0),Техника!$F$4:$ABM$4,"Часы",INDEX(Техника!$G$1:$ABN$500,F$2,0),$A$837,INDEX(Техника!$H$1:$ABO$500,F$2,0),"П")</f>
        <v>0</v>
      </c>
      <c r="G840" s="50">
        <f>SUMIFS(INDEX(Техника!$F$1:$ABM$500,G$2,0),Техника!$F$4:$ABM$4,"Часы",INDEX(Техника!$G$1:$ABN$500,G$2,0),$A$837,INDEX(Техника!$H$1:$ABO$500,G$2,0),"П")</f>
        <v>0</v>
      </c>
      <c r="H840" s="50">
        <f>SUMIFS(INDEX(Техника!$F$1:$ABM$500,H$2,0),Техника!$F$4:$ABM$4,"Часы",INDEX(Техника!$G$1:$ABN$500,H$2,0),$A$837,INDEX(Техника!$H$1:$ABO$500,H$2,0),"П")</f>
        <v>0</v>
      </c>
      <c r="I840" s="50">
        <f>SUMIFS(INDEX(Техника!$F$1:$ABM$500,I$2,0),Техника!$F$4:$ABM$4,"Часы",INDEX(Техника!$G$1:$ABN$500,I$2,0),$A$837,INDEX(Техника!$H$1:$ABO$500,I$2,0),"П")</f>
        <v>0</v>
      </c>
      <c r="J840" s="50">
        <f>SUMIFS(INDEX(Техника!$F$1:$ABM$500,J$2,0),Техника!$F$4:$ABM$4,"Часы",INDEX(Техника!$G$1:$ABN$500,J$2,0),$A$837,INDEX(Техника!$H$1:$ABO$500,J$2,0),"П")</f>
        <v>0</v>
      </c>
      <c r="K840" s="50">
        <f>SUMIFS(INDEX(Техника!$F$1:$ABM$500,K$2,0),Техника!$F$4:$ABM$4,"Часы",INDEX(Техника!$G$1:$ABN$500,K$2,0),$A$837,INDEX(Техника!$H$1:$ABO$500,K$2,0),"П")</f>
        <v>0</v>
      </c>
      <c r="L840" s="50">
        <f>SUMIFS(INDEX(Техника!$F$1:$ABM$500,L$2,0),Техника!$F$4:$ABM$4,"Часы",INDEX(Техника!$G$1:$ABN$500,L$2,0),$A$837,INDEX(Техника!$H$1:$ABO$500,L$2,0),"П")</f>
        <v>0</v>
      </c>
      <c r="M840" s="50">
        <f>SUMIFS(INDEX(Техника!$F$1:$ABM$500,M$2,0),Техника!$F$4:$ABM$4,"Часы",INDEX(Техника!$G$1:$ABN$500,M$2,0),$A$837,INDEX(Техника!$H$1:$ABO$500,M$2,0),"П")</f>
        <v>0</v>
      </c>
      <c r="N840" s="50">
        <f>SUMIFS(INDEX(Техника!$F$1:$ABM$500,N$2,0),Техника!$F$4:$ABM$4,"Часы",INDEX(Техника!$G$1:$ABN$500,N$2,0),$A$837,INDEX(Техника!$H$1:$ABO$500,N$2,0),"П")</f>
        <v>0</v>
      </c>
      <c r="O840" s="50">
        <f>SUMIFS(INDEX(Техника!$F$1:$ABM$500,O$2,0),Техника!$F$4:$ABM$4,"Часы",INDEX(Техника!$G$1:$ABN$500,O$2,0),$A$837,INDEX(Техника!$H$1:$ABO$500,O$2,0),"П")</f>
        <v>0</v>
      </c>
      <c r="P840" s="50">
        <f>SUMIFS(INDEX(Техника!$F$1:$ABM$500,P$2,0),Техника!$F$4:$ABM$4,"Часы",INDEX(Техника!$G$1:$ABN$500,P$2,0),$A$837,INDEX(Техника!$H$1:$ABO$500,P$2,0),"П")</f>
        <v>0</v>
      </c>
      <c r="Q840" s="50">
        <f>SUMIFS(INDEX(Техника!$F$1:$ABM$500,Q$2,0),Техника!$F$4:$ABM$4,"Часы",INDEX(Техника!$G$1:$ABN$500,Q$2,0),$A$837,INDEX(Техника!$H$1:$ABO$500,Q$2,0),"П")</f>
        <v>0</v>
      </c>
      <c r="R840" s="50">
        <f>SUMIFS(INDEX(Техника!$F$1:$ABM$500,R$2,0),Техника!$F$4:$ABM$4,"Часы",INDEX(Техника!$G$1:$ABN$500,R$2,0),$A$837,INDEX(Техника!$H$1:$ABO$500,R$2,0),"П")</f>
        <v>0</v>
      </c>
      <c r="S840" s="50">
        <f>SUMIFS(INDEX(Техника!$F$1:$ABM$500,S$2,0),Техника!$F$4:$ABM$4,"Часы",INDEX(Техника!$G$1:$ABN$500,S$2,0),$A$837,INDEX(Техника!$H$1:$ABO$500,S$2,0),"П")</f>
        <v>0</v>
      </c>
      <c r="T840" s="50">
        <f>SUMIFS(INDEX(Техника!$F$1:$ABM$500,T$2,0),Техника!$F$4:$ABM$4,"Часы",INDEX(Техника!$G$1:$ABN$500,T$2,0),$A$837,INDEX(Техника!$H$1:$ABO$500,T$2,0),"П")</f>
        <v>0</v>
      </c>
      <c r="U840" s="50">
        <f>SUMIFS(INDEX(Техника!$F$1:$ABM$500,U$2,0),Техника!$F$4:$ABM$4,"Часы",INDEX(Техника!$G$1:$ABN$500,U$2,0),$A$837,INDEX(Техника!$H$1:$ABO$500,U$2,0),"П")</f>
        <v>0</v>
      </c>
      <c r="V840" s="50">
        <f>SUMIFS(INDEX(Техника!$F$1:$ABM$500,V$2,0),Техника!$F$4:$ABM$4,"Часы",INDEX(Техника!$G$1:$ABN$500,V$2,0),$A$837,INDEX(Техника!$H$1:$ABO$500,V$2,0),"П")</f>
        <v>0</v>
      </c>
      <c r="W840" s="50">
        <f>SUMIFS(INDEX(Техника!$F$1:$ABM$500,W$2,0),Техника!$F$4:$ABM$4,"Часы",INDEX(Техника!$G$1:$ABN$500,W$2,0),$A$837,INDEX(Техника!$H$1:$ABO$500,W$2,0),"П")</f>
        <v>0</v>
      </c>
      <c r="X840" s="50">
        <f>SUMIFS(INDEX(Техника!$F$1:$ABM$500,X$2,0),Техника!$F$4:$ABM$4,"Часы",INDEX(Техника!$G$1:$ABN$500,X$2,0),$A$837,INDEX(Техника!$H$1:$ABO$500,X$2,0),"П")</f>
        <v>0</v>
      </c>
      <c r="Y840" s="50">
        <f>SUMIFS(INDEX(Техника!$F$1:$ABM$500,Y$2,0),Техника!$F$4:$ABM$4,"Часы",INDEX(Техника!$G$1:$ABN$500,Y$2,0),$A$837,INDEX(Техника!$H$1:$ABO$500,Y$2,0),"П")</f>
        <v>0</v>
      </c>
      <c r="Z840" s="50">
        <f>SUMIFS(INDEX(Техника!$F$1:$ABM$500,Z$2,0),Техника!$F$4:$ABM$4,"Часы",INDEX(Техника!$G$1:$ABN$500,Z$2,0),$A$837,INDEX(Техника!$H$1:$ABO$500,Z$2,0),"П")</f>
        <v>0</v>
      </c>
      <c r="AA840" s="50">
        <f>SUMIFS(INDEX(Техника!$F$1:$ABM$500,AA$2,0),Техника!$F$4:$ABM$4,"Часы",INDEX(Техника!$G$1:$ABN$500,AA$2,0),$A$837,INDEX(Техника!$H$1:$ABO$500,AA$2,0),"П")</f>
        <v>0</v>
      </c>
      <c r="AB840" s="50">
        <f>SUMIFS(INDEX(Техника!$F$1:$ABM$500,AB$2,0),Техника!$F$4:$ABM$4,"Часы",INDEX(Техника!$G$1:$ABN$500,AB$2,0),$A$837,INDEX(Техника!$H$1:$ABO$500,AB$2,0),"П")</f>
        <v>0</v>
      </c>
    </row>
    <row r="841" spans="1:28" hidden="1" outlineLevel="1" x14ac:dyDescent="0.3">
      <c r="A841" s="33" t="s">
        <v>243</v>
      </c>
      <c r="B841" s="34" t="s">
        <v>278</v>
      </c>
      <c r="C841" s="50">
        <f>SUMIFS(INDEX(Техника!$F$1:$ABM$500,C$2,0),Техника!$F$4:$ABM$4,"Часы",INDEX(Техника!$G$1:$ABN$500,C$2,0),$A$837,INDEX(Техника!$H$1:$ABO$500,C$2,0),"Л")</f>
        <v>0</v>
      </c>
      <c r="D841" s="50">
        <f>SUMIFS(INDEX(Техника!$F$1:$ABM$500,D$2,0),Техника!$F$4:$ABM$4,"Часы",INDEX(Техника!$G$1:$ABN$500,D$2,0),$A$837,INDEX(Техника!$H$1:$ABO$500,D$2,0),"Л")</f>
        <v>0</v>
      </c>
      <c r="E841" s="50">
        <f>SUMIFS(INDEX(Техника!$F$1:$ABM$500,E$2,0),Техника!$F$4:$ABM$4,"Часы",INDEX(Техника!$G$1:$ABN$500,E$2,0),$A$837,INDEX(Техника!$H$1:$ABO$500,E$2,0),"Л")</f>
        <v>0</v>
      </c>
      <c r="F841" s="50">
        <f>SUMIFS(INDEX(Техника!$F$1:$ABM$500,F$2,0),Техника!$F$4:$ABM$4,"Часы",INDEX(Техника!$G$1:$ABN$500,F$2,0),$A$837,INDEX(Техника!$H$1:$ABO$500,F$2,0),"Л")</f>
        <v>0</v>
      </c>
      <c r="G841" s="50">
        <f>SUMIFS(INDEX(Техника!$F$1:$ABM$500,G$2,0),Техника!$F$4:$ABM$4,"Часы",INDEX(Техника!$G$1:$ABN$500,G$2,0),$A$837,INDEX(Техника!$H$1:$ABO$500,G$2,0),"Л")</f>
        <v>0</v>
      </c>
      <c r="H841" s="50">
        <f>SUMIFS(INDEX(Техника!$F$1:$ABM$500,H$2,0),Техника!$F$4:$ABM$4,"Часы",INDEX(Техника!$G$1:$ABN$500,H$2,0),$A$837,INDEX(Техника!$H$1:$ABO$500,H$2,0),"Л")</f>
        <v>0</v>
      </c>
      <c r="I841" s="50">
        <f>SUMIFS(INDEX(Техника!$F$1:$ABM$500,I$2,0),Техника!$F$4:$ABM$4,"Часы",INDEX(Техника!$G$1:$ABN$500,I$2,0),$A$837,INDEX(Техника!$H$1:$ABO$500,I$2,0),"Л")</f>
        <v>0</v>
      </c>
      <c r="J841" s="50">
        <f>SUMIFS(INDEX(Техника!$F$1:$ABM$500,J$2,0),Техника!$F$4:$ABM$4,"Часы",INDEX(Техника!$G$1:$ABN$500,J$2,0),$A$837,INDEX(Техника!$H$1:$ABO$500,J$2,0),"Л")</f>
        <v>0</v>
      </c>
      <c r="K841" s="50">
        <f>SUMIFS(INDEX(Техника!$F$1:$ABM$500,K$2,0),Техника!$F$4:$ABM$4,"Часы",INDEX(Техника!$G$1:$ABN$500,K$2,0),$A$837,INDEX(Техника!$H$1:$ABO$500,K$2,0),"Л")</f>
        <v>0</v>
      </c>
      <c r="L841" s="50">
        <f>SUMIFS(INDEX(Техника!$F$1:$ABM$500,L$2,0),Техника!$F$4:$ABM$4,"Часы",INDEX(Техника!$G$1:$ABN$500,L$2,0),$A$837,INDEX(Техника!$H$1:$ABO$500,L$2,0),"Л")</f>
        <v>0</v>
      </c>
      <c r="M841" s="50">
        <f>SUMIFS(INDEX(Техника!$F$1:$ABM$500,M$2,0),Техника!$F$4:$ABM$4,"Часы",INDEX(Техника!$G$1:$ABN$500,M$2,0),$A$837,INDEX(Техника!$H$1:$ABO$500,M$2,0),"Л")</f>
        <v>0</v>
      </c>
      <c r="N841" s="50">
        <f>SUMIFS(INDEX(Техника!$F$1:$ABM$500,N$2,0),Техника!$F$4:$ABM$4,"Часы",INDEX(Техника!$G$1:$ABN$500,N$2,0),$A$837,INDEX(Техника!$H$1:$ABO$500,N$2,0),"Л")</f>
        <v>0</v>
      </c>
      <c r="O841" s="50">
        <f>SUMIFS(INDEX(Техника!$F$1:$ABM$500,O$2,0),Техника!$F$4:$ABM$4,"Часы",INDEX(Техника!$G$1:$ABN$500,O$2,0),$A$837,INDEX(Техника!$H$1:$ABO$500,O$2,0),"Л")</f>
        <v>0</v>
      </c>
      <c r="P841" s="50">
        <f>SUMIFS(INDEX(Техника!$F$1:$ABM$500,P$2,0),Техника!$F$4:$ABM$4,"Часы",INDEX(Техника!$G$1:$ABN$500,P$2,0),$A$837,INDEX(Техника!$H$1:$ABO$500,P$2,0),"Л")</f>
        <v>0</v>
      </c>
      <c r="Q841" s="50">
        <f>SUMIFS(INDEX(Техника!$F$1:$ABM$500,Q$2,0),Техника!$F$4:$ABM$4,"Часы",INDEX(Техника!$G$1:$ABN$500,Q$2,0),$A$837,INDEX(Техника!$H$1:$ABO$500,Q$2,0),"Л")</f>
        <v>0</v>
      </c>
      <c r="R841" s="50">
        <f>SUMIFS(INDEX(Техника!$F$1:$ABM$500,R$2,0),Техника!$F$4:$ABM$4,"Часы",INDEX(Техника!$G$1:$ABN$500,R$2,0),$A$837,INDEX(Техника!$H$1:$ABO$500,R$2,0),"Л")</f>
        <v>0</v>
      </c>
      <c r="S841" s="50">
        <f>SUMIFS(INDEX(Техника!$F$1:$ABM$500,S$2,0),Техника!$F$4:$ABM$4,"Часы",INDEX(Техника!$G$1:$ABN$500,S$2,0),$A$837,INDEX(Техника!$H$1:$ABO$500,S$2,0),"Л")</f>
        <v>0</v>
      </c>
      <c r="T841" s="50">
        <f>SUMIFS(INDEX(Техника!$F$1:$ABM$500,T$2,0),Техника!$F$4:$ABM$4,"Часы",INDEX(Техника!$G$1:$ABN$500,T$2,0),$A$837,INDEX(Техника!$H$1:$ABO$500,T$2,0),"Л")</f>
        <v>0</v>
      </c>
      <c r="U841" s="50">
        <f>SUMIFS(INDEX(Техника!$F$1:$ABM$500,U$2,0),Техника!$F$4:$ABM$4,"Часы",INDEX(Техника!$G$1:$ABN$500,U$2,0),$A$837,INDEX(Техника!$H$1:$ABO$500,U$2,0),"Л")</f>
        <v>0</v>
      </c>
      <c r="V841" s="50">
        <f>SUMIFS(INDEX(Техника!$F$1:$ABM$500,V$2,0),Техника!$F$4:$ABM$4,"Часы",INDEX(Техника!$G$1:$ABN$500,V$2,0),$A$837,INDEX(Техника!$H$1:$ABO$500,V$2,0),"Л")</f>
        <v>0</v>
      </c>
      <c r="W841" s="50">
        <f>SUMIFS(INDEX(Техника!$F$1:$ABM$500,W$2,0),Техника!$F$4:$ABM$4,"Часы",INDEX(Техника!$G$1:$ABN$500,W$2,0),$A$837,INDEX(Техника!$H$1:$ABO$500,W$2,0),"Л")</f>
        <v>0</v>
      </c>
      <c r="X841" s="50">
        <f>SUMIFS(INDEX(Техника!$F$1:$ABM$500,X$2,0),Техника!$F$4:$ABM$4,"Часы",INDEX(Техника!$G$1:$ABN$500,X$2,0),$A$837,INDEX(Техника!$H$1:$ABO$500,X$2,0),"Л")</f>
        <v>0</v>
      </c>
      <c r="Y841" s="50">
        <f>SUMIFS(INDEX(Техника!$F$1:$ABM$500,Y$2,0),Техника!$F$4:$ABM$4,"Часы",INDEX(Техника!$G$1:$ABN$500,Y$2,0),$A$837,INDEX(Техника!$H$1:$ABO$500,Y$2,0),"Л")</f>
        <v>0</v>
      </c>
      <c r="Z841" s="50">
        <f>SUMIFS(INDEX(Техника!$F$1:$ABM$500,Z$2,0),Техника!$F$4:$ABM$4,"Часы",INDEX(Техника!$G$1:$ABN$500,Z$2,0),$A$837,INDEX(Техника!$H$1:$ABO$500,Z$2,0),"Л")</f>
        <v>0</v>
      </c>
      <c r="AA841" s="50">
        <f>SUMIFS(INDEX(Техника!$F$1:$ABM$500,AA$2,0),Техника!$F$4:$ABM$4,"Часы",INDEX(Техника!$G$1:$ABN$500,AA$2,0),$A$837,INDEX(Техника!$H$1:$ABO$500,AA$2,0),"Л")</f>
        <v>0</v>
      </c>
      <c r="AB841" s="50">
        <f>SUMIFS(INDEX(Техника!$F$1:$ABM$500,AB$2,0),Техника!$F$4:$ABM$4,"Часы",INDEX(Техника!$G$1:$ABN$500,AB$2,0),$A$837,INDEX(Техника!$H$1:$ABO$500,AB$2,0),"Л")</f>
        <v>0</v>
      </c>
    </row>
    <row r="842" spans="1:28" hidden="1" outlineLevel="1" x14ac:dyDescent="0.3">
      <c r="A842" s="33" t="s">
        <v>245</v>
      </c>
      <c r="B842" s="34" t="s">
        <v>279</v>
      </c>
      <c r="C842" s="50">
        <f>SUMIFS(INDEX(Техника!$F$1:$ABM$500,C$2,0),Техника!$F$4:$ABM$4,"Часы",INDEX(Техника!$G$1:$ABN$500,C$2,0),$A$837,INDEX(Техника!$H$1:$ABO$500,C$2,0),"З")</f>
        <v>0</v>
      </c>
      <c r="D842" s="50">
        <f>SUMIFS(INDEX(Техника!$F$1:$ABM$500,D$2,0),Техника!$F$4:$ABM$4,"Часы",INDEX(Техника!$G$1:$ABN$500,D$2,0),$A$837,INDEX(Техника!$H$1:$ABO$500,D$2,0),"З")</f>
        <v>0</v>
      </c>
      <c r="E842" s="50">
        <f>SUMIFS(INDEX(Техника!$F$1:$ABM$500,E$2,0),Техника!$F$4:$ABM$4,"Часы",INDEX(Техника!$G$1:$ABN$500,E$2,0),$A$837,INDEX(Техника!$H$1:$ABO$500,E$2,0),"З")</f>
        <v>0</v>
      </c>
      <c r="F842" s="50">
        <f>SUMIFS(INDEX(Техника!$F$1:$ABM$500,F$2,0),Техника!$F$4:$ABM$4,"Часы",INDEX(Техника!$G$1:$ABN$500,F$2,0),$A$837,INDEX(Техника!$H$1:$ABO$500,F$2,0),"З")</f>
        <v>0</v>
      </c>
      <c r="G842" s="50">
        <f>SUMIFS(INDEX(Техника!$F$1:$ABM$500,G$2,0),Техника!$F$4:$ABM$4,"Часы",INDEX(Техника!$G$1:$ABN$500,G$2,0),$A$837,INDEX(Техника!$H$1:$ABO$500,G$2,0),"З")</f>
        <v>0</v>
      </c>
      <c r="H842" s="50">
        <f>SUMIFS(INDEX(Техника!$F$1:$ABM$500,H$2,0),Техника!$F$4:$ABM$4,"Часы",INDEX(Техника!$G$1:$ABN$500,H$2,0),$A$837,INDEX(Техника!$H$1:$ABO$500,H$2,0),"З")</f>
        <v>0</v>
      </c>
      <c r="I842" s="50">
        <f>SUMIFS(INDEX(Техника!$F$1:$ABM$500,I$2,0),Техника!$F$4:$ABM$4,"Часы",INDEX(Техника!$G$1:$ABN$500,I$2,0),$A$837,INDEX(Техника!$H$1:$ABO$500,I$2,0),"З")</f>
        <v>0</v>
      </c>
      <c r="J842" s="50">
        <f>SUMIFS(INDEX(Техника!$F$1:$ABM$500,J$2,0),Техника!$F$4:$ABM$4,"Часы",INDEX(Техника!$G$1:$ABN$500,J$2,0),$A$837,INDEX(Техника!$H$1:$ABO$500,J$2,0),"З")</f>
        <v>0</v>
      </c>
      <c r="K842" s="50">
        <f>SUMIFS(INDEX(Техника!$F$1:$ABM$500,K$2,0),Техника!$F$4:$ABM$4,"Часы",INDEX(Техника!$G$1:$ABN$500,K$2,0),$A$837,INDEX(Техника!$H$1:$ABO$500,K$2,0),"З")</f>
        <v>0</v>
      </c>
      <c r="L842" s="50">
        <f>SUMIFS(INDEX(Техника!$F$1:$ABM$500,L$2,0),Техника!$F$4:$ABM$4,"Часы",INDEX(Техника!$G$1:$ABN$500,L$2,0),$A$837,INDEX(Техника!$H$1:$ABO$500,L$2,0),"З")</f>
        <v>0</v>
      </c>
      <c r="M842" s="50">
        <f>SUMIFS(INDEX(Техника!$F$1:$ABM$500,M$2,0),Техника!$F$4:$ABM$4,"Часы",INDEX(Техника!$G$1:$ABN$500,M$2,0),$A$837,INDEX(Техника!$H$1:$ABO$500,M$2,0),"З")</f>
        <v>0</v>
      </c>
      <c r="N842" s="50">
        <f>SUMIFS(INDEX(Техника!$F$1:$ABM$500,N$2,0),Техника!$F$4:$ABM$4,"Часы",INDEX(Техника!$G$1:$ABN$500,N$2,0),$A$837,INDEX(Техника!$H$1:$ABO$500,N$2,0),"З")</f>
        <v>0</v>
      </c>
      <c r="O842" s="50">
        <f>SUMIFS(INDEX(Техника!$F$1:$ABM$500,O$2,0),Техника!$F$4:$ABM$4,"Часы",INDEX(Техника!$G$1:$ABN$500,O$2,0),$A$837,INDEX(Техника!$H$1:$ABO$500,O$2,0),"З")</f>
        <v>0</v>
      </c>
      <c r="P842" s="50">
        <f>SUMIFS(INDEX(Техника!$F$1:$ABM$500,P$2,0),Техника!$F$4:$ABM$4,"Часы",INDEX(Техника!$G$1:$ABN$500,P$2,0),$A$837,INDEX(Техника!$H$1:$ABO$500,P$2,0),"З")</f>
        <v>0</v>
      </c>
      <c r="Q842" s="50">
        <f>SUMIFS(INDEX(Техника!$F$1:$ABM$500,Q$2,0),Техника!$F$4:$ABM$4,"Часы",INDEX(Техника!$G$1:$ABN$500,Q$2,0),$A$837,INDEX(Техника!$H$1:$ABO$500,Q$2,0),"З")</f>
        <v>0</v>
      </c>
      <c r="R842" s="50">
        <f>SUMIFS(INDEX(Техника!$F$1:$ABM$500,R$2,0),Техника!$F$4:$ABM$4,"Часы",INDEX(Техника!$G$1:$ABN$500,R$2,0),$A$837,INDEX(Техника!$H$1:$ABO$500,R$2,0),"З")</f>
        <v>0</v>
      </c>
      <c r="S842" s="50">
        <f>SUMIFS(INDEX(Техника!$F$1:$ABM$500,S$2,0),Техника!$F$4:$ABM$4,"Часы",INDEX(Техника!$G$1:$ABN$500,S$2,0),$A$837,INDEX(Техника!$H$1:$ABO$500,S$2,0),"З")</f>
        <v>0</v>
      </c>
      <c r="T842" s="50">
        <f>SUMIFS(INDEX(Техника!$F$1:$ABM$500,T$2,0),Техника!$F$4:$ABM$4,"Часы",INDEX(Техника!$G$1:$ABN$500,T$2,0),$A$837,INDEX(Техника!$H$1:$ABO$500,T$2,0),"З")</f>
        <v>0</v>
      </c>
      <c r="U842" s="50">
        <f>SUMIFS(INDEX(Техника!$F$1:$ABM$500,U$2,0),Техника!$F$4:$ABM$4,"Часы",INDEX(Техника!$G$1:$ABN$500,U$2,0),$A$837,INDEX(Техника!$H$1:$ABO$500,U$2,0),"З")</f>
        <v>0</v>
      </c>
      <c r="V842" s="50">
        <f>SUMIFS(INDEX(Техника!$F$1:$ABM$500,V$2,0),Техника!$F$4:$ABM$4,"Часы",INDEX(Техника!$G$1:$ABN$500,V$2,0),$A$837,INDEX(Техника!$H$1:$ABO$500,V$2,0),"З")</f>
        <v>0</v>
      </c>
      <c r="W842" s="50">
        <f>SUMIFS(INDEX(Техника!$F$1:$ABM$500,W$2,0),Техника!$F$4:$ABM$4,"Часы",INDEX(Техника!$G$1:$ABN$500,W$2,0),$A$837,INDEX(Техника!$H$1:$ABO$500,W$2,0),"З")</f>
        <v>0</v>
      </c>
      <c r="X842" s="50">
        <f>SUMIFS(INDEX(Техника!$F$1:$ABM$500,X$2,0),Техника!$F$4:$ABM$4,"Часы",INDEX(Техника!$G$1:$ABN$500,X$2,0),$A$837,INDEX(Техника!$H$1:$ABO$500,X$2,0),"З")</f>
        <v>0</v>
      </c>
      <c r="Y842" s="50">
        <f>SUMIFS(INDEX(Техника!$F$1:$ABM$500,Y$2,0),Техника!$F$4:$ABM$4,"Часы",INDEX(Техника!$G$1:$ABN$500,Y$2,0),$A$837,INDEX(Техника!$H$1:$ABO$500,Y$2,0),"З")</f>
        <v>0</v>
      </c>
      <c r="Z842" s="50">
        <f>SUMIFS(INDEX(Техника!$F$1:$ABM$500,Z$2,0),Техника!$F$4:$ABM$4,"Часы",INDEX(Техника!$G$1:$ABN$500,Z$2,0),$A$837,INDEX(Техника!$H$1:$ABO$500,Z$2,0),"З")</f>
        <v>0</v>
      </c>
      <c r="AA842" s="50">
        <f>SUMIFS(INDEX(Техника!$F$1:$ABM$500,AA$2,0),Техника!$F$4:$ABM$4,"Часы",INDEX(Техника!$G$1:$ABN$500,AA$2,0),$A$837,INDEX(Техника!$H$1:$ABO$500,AA$2,0),"З")</f>
        <v>0</v>
      </c>
      <c r="AB842" s="50">
        <f>SUMIFS(INDEX(Техника!$F$1:$ABM$500,AB$2,0),Техника!$F$4:$ABM$4,"Часы",INDEX(Техника!$G$1:$ABN$500,AB$2,0),$A$837,INDEX(Техника!$H$1:$ABO$500,AB$2,0),"З")</f>
        <v>0</v>
      </c>
    </row>
    <row r="843" spans="1:28" ht="7.95" customHeight="1" x14ac:dyDescent="0.3">
      <c r="A843" s="38"/>
      <c r="B843" s="39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</row>
    <row r="844" spans="1:28" ht="25.05" customHeight="1" collapsed="1" x14ac:dyDescent="0.3">
      <c r="A844" s="32">
        <v>121</v>
      </c>
      <c r="B844" s="32" t="s">
        <v>122</v>
      </c>
      <c r="C844" s="49">
        <f>SUM(C845:C849)</f>
        <v>0</v>
      </c>
      <c r="D844" s="49">
        <f>SUM(D845:D849)</f>
        <v>0</v>
      </c>
      <c r="E844" s="49">
        <f>SUM(E845:E849)</f>
        <v>0</v>
      </c>
      <c r="F844" s="49">
        <f>SUM(F845:F849)</f>
        <v>0</v>
      </c>
      <c r="G844" s="49">
        <f>SUM(G845:G849)</f>
        <v>0</v>
      </c>
      <c r="H844" s="49">
        <f>SUM(H845:H849)</f>
        <v>0</v>
      </c>
      <c r="I844" s="49">
        <f>SUM(I845:I849)</f>
        <v>0</v>
      </c>
      <c r="J844" s="49">
        <f>SUM(J845:J849)</f>
        <v>0</v>
      </c>
      <c r="K844" s="49">
        <f>SUM(K845:K849)</f>
        <v>0</v>
      </c>
      <c r="L844" s="49">
        <f>SUM(L845:L849)</f>
        <v>0</v>
      </c>
      <c r="M844" s="49">
        <f>SUM(M845:M849)</f>
        <v>0</v>
      </c>
      <c r="N844" s="49">
        <f>SUM(N845:N849)</f>
        <v>0</v>
      </c>
      <c r="O844" s="49">
        <f>SUM(O845:O849)</f>
        <v>0</v>
      </c>
      <c r="P844" s="49">
        <f>SUM(P845:P849)</f>
        <v>0</v>
      </c>
      <c r="Q844" s="49">
        <f>SUM(Q845:Q849)</f>
        <v>0</v>
      </c>
      <c r="R844" s="49">
        <f>SUM(R845:R849)</f>
        <v>0</v>
      </c>
      <c r="S844" s="49">
        <f>SUM(S845:S849)</f>
        <v>0</v>
      </c>
      <c r="T844" s="49">
        <f>SUM(T845:T849)</f>
        <v>0</v>
      </c>
      <c r="U844" s="49">
        <f>SUM(U845:U849)</f>
        <v>0</v>
      </c>
      <c r="V844" s="49">
        <f>SUM(V845:V849)</f>
        <v>0</v>
      </c>
      <c r="W844" s="49">
        <f>SUM(W845:W849)</f>
        <v>0</v>
      </c>
      <c r="X844" s="49">
        <f>SUM(X845:X849)</f>
        <v>0</v>
      </c>
      <c r="Y844" s="49">
        <f>SUM(Y845:Y849)</f>
        <v>0</v>
      </c>
      <c r="Z844" s="49">
        <f>SUM(Z845:Z849)</f>
        <v>0</v>
      </c>
      <c r="AA844" s="49">
        <f>SUM(AA845:AA849)</f>
        <v>0</v>
      </c>
      <c r="AB844" s="49">
        <f>SUM(AB845:AB849)</f>
        <v>0</v>
      </c>
    </row>
    <row r="845" spans="1:28" hidden="1" outlineLevel="1" x14ac:dyDescent="0.3">
      <c r="A845" s="33" t="s">
        <v>246</v>
      </c>
      <c r="B845" s="34" t="s">
        <v>274</v>
      </c>
      <c r="C845" s="50">
        <f>SUMIFS(INDEX(Техника!$F$1:$ABM$500,C$2,0),Техника!$F$4:$ABM$4,"Часы",INDEX(Техника!$G$1:$ABN$500,C$2,0),$A$844,INDEX(Техника!$H$1:$ABO$500,C$2,0),"М")</f>
        <v>0</v>
      </c>
      <c r="D845" s="50">
        <f>SUMIFS(INDEX(Техника!$F$1:$ABM$500,D$2,0),Техника!$F$4:$ABM$4,"Часы",INDEX(Техника!$G$1:$ABN$500,D$2,0),$A$844,INDEX(Техника!$H$1:$ABO$500,D$2,0),"М")</f>
        <v>0</v>
      </c>
      <c r="E845" s="50">
        <f>SUMIFS(INDEX(Техника!$F$1:$ABM$500,E$2,0),Техника!$F$4:$ABM$4,"Часы",INDEX(Техника!$G$1:$ABN$500,E$2,0),$A$844,INDEX(Техника!$H$1:$ABO$500,E$2,0),"М")</f>
        <v>0</v>
      </c>
      <c r="F845" s="50">
        <f>SUMIFS(INDEX(Техника!$F$1:$ABM$500,F$2,0),Техника!$F$4:$ABM$4,"Часы",INDEX(Техника!$G$1:$ABN$500,F$2,0),$A$844,INDEX(Техника!$H$1:$ABO$500,F$2,0),"М")</f>
        <v>0</v>
      </c>
      <c r="G845" s="50">
        <f>SUMIFS(INDEX(Техника!$F$1:$ABM$500,G$2,0),Техника!$F$4:$ABM$4,"Часы",INDEX(Техника!$G$1:$ABN$500,G$2,0),$A$844,INDEX(Техника!$H$1:$ABO$500,G$2,0),"М")</f>
        <v>0</v>
      </c>
      <c r="H845" s="50">
        <f>SUMIFS(INDEX(Техника!$F$1:$ABM$500,H$2,0),Техника!$F$4:$ABM$4,"Часы",INDEX(Техника!$G$1:$ABN$500,H$2,0),$A$844,INDEX(Техника!$H$1:$ABO$500,H$2,0),"М")</f>
        <v>0</v>
      </c>
      <c r="I845" s="50">
        <f>SUMIFS(INDEX(Техника!$F$1:$ABM$500,I$2,0),Техника!$F$4:$ABM$4,"Часы",INDEX(Техника!$G$1:$ABN$500,I$2,0),$A$844,INDEX(Техника!$H$1:$ABO$500,I$2,0),"М")</f>
        <v>0</v>
      </c>
      <c r="J845" s="50">
        <f>SUMIFS(INDEX(Техника!$F$1:$ABM$500,J$2,0),Техника!$F$4:$ABM$4,"Часы",INDEX(Техника!$G$1:$ABN$500,J$2,0),$A$844,INDEX(Техника!$H$1:$ABO$500,J$2,0),"М")</f>
        <v>0</v>
      </c>
      <c r="K845" s="50">
        <f>SUMIFS(INDEX(Техника!$F$1:$ABM$500,K$2,0),Техника!$F$4:$ABM$4,"Часы",INDEX(Техника!$G$1:$ABN$500,K$2,0),$A$844,INDEX(Техника!$H$1:$ABO$500,K$2,0),"М")</f>
        <v>0</v>
      </c>
      <c r="L845" s="50">
        <f>SUMIFS(INDEX(Техника!$F$1:$ABM$500,L$2,0),Техника!$F$4:$ABM$4,"Часы",INDEX(Техника!$G$1:$ABN$500,L$2,0),$A$844,INDEX(Техника!$H$1:$ABO$500,L$2,0),"М")</f>
        <v>0</v>
      </c>
      <c r="M845" s="50">
        <f>SUMIFS(INDEX(Техника!$F$1:$ABM$500,M$2,0),Техника!$F$4:$ABM$4,"Часы",INDEX(Техника!$G$1:$ABN$500,M$2,0),$A$844,INDEX(Техника!$H$1:$ABO$500,M$2,0),"М")</f>
        <v>0</v>
      </c>
      <c r="N845" s="50">
        <f>SUMIFS(INDEX(Техника!$F$1:$ABM$500,N$2,0),Техника!$F$4:$ABM$4,"Часы",INDEX(Техника!$G$1:$ABN$500,N$2,0),$A$844,INDEX(Техника!$H$1:$ABO$500,N$2,0),"М")</f>
        <v>0</v>
      </c>
      <c r="O845" s="50">
        <f>SUMIFS(INDEX(Техника!$F$1:$ABM$500,O$2,0),Техника!$F$4:$ABM$4,"Часы",INDEX(Техника!$G$1:$ABN$500,O$2,0),$A$844,INDEX(Техника!$H$1:$ABO$500,O$2,0),"М")</f>
        <v>0</v>
      </c>
      <c r="P845" s="50">
        <f>SUMIFS(INDEX(Техника!$F$1:$ABM$500,P$2,0),Техника!$F$4:$ABM$4,"Часы",INDEX(Техника!$G$1:$ABN$500,P$2,0),$A$844,INDEX(Техника!$H$1:$ABO$500,P$2,0),"М")</f>
        <v>0</v>
      </c>
      <c r="Q845" s="50">
        <f>SUMIFS(INDEX(Техника!$F$1:$ABM$500,Q$2,0),Техника!$F$4:$ABM$4,"Часы",INDEX(Техника!$G$1:$ABN$500,Q$2,0),$A$844,INDEX(Техника!$H$1:$ABO$500,Q$2,0),"М")</f>
        <v>0</v>
      </c>
      <c r="R845" s="50">
        <f>SUMIFS(INDEX(Техника!$F$1:$ABM$500,R$2,0),Техника!$F$4:$ABM$4,"Часы",INDEX(Техника!$G$1:$ABN$500,R$2,0),$A$844,INDEX(Техника!$H$1:$ABO$500,R$2,0),"М")</f>
        <v>0</v>
      </c>
      <c r="S845" s="50">
        <f>SUMIFS(INDEX(Техника!$F$1:$ABM$500,S$2,0),Техника!$F$4:$ABM$4,"Часы",INDEX(Техника!$G$1:$ABN$500,S$2,0),$A$844,INDEX(Техника!$H$1:$ABO$500,S$2,0),"М")</f>
        <v>0</v>
      </c>
      <c r="T845" s="50">
        <f>SUMIFS(INDEX(Техника!$F$1:$ABM$500,T$2,0),Техника!$F$4:$ABM$4,"Часы",INDEX(Техника!$G$1:$ABN$500,T$2,0),$A$844,INDEX(Техника!$H$1:$ABO$500,T$2,0),"М")</f>
        <v>0</v>
      </c>
      <c r="U845" s="50">
        <f>SUMIFS(INDEX(Техника!$F$1:$ABM$500,U$2,0),Техника!$F$4:$ABM$4,"Часы",INDEX(Техника!$G$1:$ABN$500,U$2,0),$A$844,INDEX(Техника!$H$1:$ABO$500,U$2,0),"М")</f>
        <v>0</v>
      </c>
      <c r="V845" s="50">
        <f>SUMIFS(INDEX(Техника!$F$1:$ABM$500,V$2,0),Техника!$F$4:$ABM$4,"Часы",INDEX(Техника!$G$1:$ABN$500,V$2,0),$A$844,INDEX(Техника!$H$1:$ABO$500,V$2,0),"М")</f>
        <v>0</v>
      </c>
      <c r="W845" s="50">
        <f>SUMIFS(INDEX(Техника!$F$1:$ABM$500,W$2,0),Техника!$F$4:$ABM$4,"Часы",INDEX(Техника!$G$1:$ABN$500,W$2,0),$A$844,INDEX(Техника!$H$1:$ABO$500,W$2,0),"М")</f>
        <v>0</v>
      </c>
      <c r="X845" s="50">
        <f>SUMIFS(INDEX(Техника!$F$1:$ABM$500,X$2,0),Техника!$F$4:$ABM$4,"Часы",INDEX(Техника!$G$1:$ABN$500,X$2,0),$A$844,INDEX(Техника!$H$1:$ABO$500,X$2,0),"М")</f>
        <v>0</v>
      </c>
      <c r="Y845" s="50">
        <f>SUMIFS(INDEX(Техника!$F$1:$ABM$500,Y$2,0),Техника!$F$4:$ABM$4,"Часы",INDEX(Техника!$G$1:$ABN$500,Y$2,0),$A$844,INDEX(Техника!$H$1:$ABO$500,Y$2,0),"М")</f>
        <v>0</v>
      </c>
      <c r="Z845" s="50">
        <f>SUMIFS(INDEX(Техника!$F$1:$ABM$500,Z$2,0),Техника!$F$4:$ABM$4,"Часы",INDEX(Техника!$G$1:$ABN$500,Z$2,0),$A$844,INDEX(Техника!$H$1:$ABO$500,Z$2,0),"М")</f>
        <v>0</v>
      </c>
      <c r="AA845" s="50">
        <f>SUMIFS(INDEX(Техника!$F$1:$ABM$500,AA$2,0),Техника!$F$4:$ABM$4,"Часы",INDEX(Техника!$G$1:$ABN$500,AA$2,0),$A$844,INDEX(Техника!$H$1:$ABO$500,AA$2,0),"М")</f>
        <v>0</v>
      </c>
      <c r="AB845" s="50">
        <f>SUMIFS(INDEX(Техника!$F$1:$ABM$500,AB$2,0),Техника!$F$4:$ABM$4,"Часы",INDEX(Техника!$G$1:$ABN$500,AB$2,0),$A$844,INDEX(Техника!$H$1:$ABO$500,AB$2,0),"М")</f>
        <v>0</v>
      </c>
    </row>
    <row r="846" spans="1:28" hidden="1" outlineLevel="1" x14ac:dyDescent="0.3">
      <c r="A846" s="33" t="s">
        <v>244</v>
      </c>
      <c r="B846" s="34" t="s">
        <v>275</v>
      </c>
      <c r="C846" s="50">
        <f>SUMIFS(INDEX(Техника!$F$1:$ABM$500,C$2,0),Техника!$F$4:$ABM$4,"Часы",INDEX(Техника!$G$1:$ABN$500,C$2,0),$A$844,INDEX(Техника!$H$1:$ABO$500,C$2,0),"Д")</f>
        <v>0</v>
      </c>
      <c r="D846" s="50">
        <f>SUMIFS(INDEX(Техника!$F$1:$ABM$500,D$2,0),Техника!$F$4:$ABM$4,"Часы",INDEX(Техника!$G$1:$ABN$500,D$2,0),$A$844,INDEX(Техника!$H$1:$ABO$500,D$2,0),"Д")</f>
        <v>0</v>
      </c>
      <c r="E846" s="50">
        <f>SUMIFS(INDEX(Техника!$F$1:$ABM$500,E$2,0),Техника!$F$4:$ABM$4,"Часы",INDEX(Техника!$G$1:$ABN$500,E$2,0),$A$844,INDEX(Техника!$H$1:$ABO$500,E$2,0),"Д")</f>
        <v>0</v>
      </c>
      <c r="F846" s="50">
        <f>SUMIFS(INDEX(Техника!$F$1:$ABM$500,F$2,0),Техника!$F$4:$ABM$4,"Часы",INDEX(Техника!$G$1:$ABN$500,F$2,0),$A$844,INDEX(Техника!$H$1:$ABO$500,F$2,0),"Д")</f>
        <v>0</v>
      </c>
      <c r="G846" s="50">
        <f>SUMIFS(INDEX(Техника!$F$1:$ABM$500,G$2,0),Техника!$F$4:$ABM$4,"Часы",INDEX(Техника!$G$1:$ABN$500,G$2,0),$A$844,INDEX(Техника!$H$1:$ABO$500,G$2,0),"Д")</f>
        <v>0</v>
      </c>
      <c r="H846" s="50">
        <f>SUMIFS(INDEX(Техника!$F$1:$ABM$500,H$2,0),Техника!$F$4:$ABM$4,"Часы",INDEX(Техника!$G$1:$ABN$500,H$2,0),$A$844,INDEX(Техника!$H$1:$ABO$500,H$2,0),"Д")</f>
        <v>0</v>
      </c>
      <c r="I846" s="50">
        <f>SUMIFS(INDEX(Техника!$F$1:$ABM$500,I$2,0),Техника!$F$4:$ABM$4,"Часы",INDEX(Техника!$G$1:$ABN$500,I$2,0),$A$844,INDEX(Техника!$H$1:$ABO$500,I$2,0),"Д")</f>
        <v>0</v>
      </c>
      <c r="J846" s="50">
        <f>SUMIFS(INDEX(Техника!$F$1:$ABM$500,J$2,0),Техника!$F$4:$ABM$4,"Часы",INDEX(Техника!$G$1:$ABN$500,J$2,0),$A$844,INDEX(Техника!$H$1:$ABO$500,J$2,0),"Д")</f>
        <v>0</v>
      </c>
      <c r="K846" s="50">
        <f>SUMIFS(INDEX(Техника!$F$1:$ABM$500,K$2,0),Техника!$F$4:$ABM$4,"Часы",INDEX(Техника!$G$1:$ABN$500,K$2,0),$A$844,INDEX(Техника!$H$1:$ABO$500,K$2,0),"Д")</f>
        <v>0</v>
      </c>
      <c r="L846" s="50">
        <f>SUMIFS(INDEX(Техника!$F$1:$ABM$500,L$2,0),Техника!$F$4:$ABM$4,"Часы",INDEX(Техника!$G$1:$ABN$500,L$2,0),$A$844,INDEX(Техника!$H$1:$ABO$500,L$2,0),"Д")</f>
        <v>0</v>
      </c>
      <c r="M846" s="50">
        <f>SUMIFS(INDEX(Техника!$F$1:$ABM$500,M$2,0),Техника!$F$4:$ABM$4,"Часы",INDEX(Техника!$G$1:$ABN$500,M$2,0),$A$844,INDEX(Техника!$H$1:$ABO$500,M$2,0),"Д")</f>
        <v>0</v>
      </c>
      <c r="N846" s="50">
        <f>SUMIFS(INDEX(Техника!$F$1:$ABM$500,N$2,0),Техника!$F$4:$ABM$4,"Часы",INDEX(Техника!$G$1:$ABN$500,N$2,0),$A$844,INDEX(Техника!$H$1:$ABO$500,N$2,0),"Д")</f>
        <v>0</v>
      </c>
      <c r="O846" s="50">
        <f>SUMIFS(INDEX(Техника!$F$1:$ABM$500,O$2,0),Техника!$F$4:$ABM$4,"Часы",INDEX(Техника!$G$1:$ABN$500,O$2,0),$A$844,INDEX(Техника!$H$1:$ABO$500,O$2,0),"Д")</f>
        <v>0</v>
      </c>
      <c r="P846" s="50">
        <f>SUMIFS(INDEX(Техника!$F$1:$ABM$500,P$2,0),Техника!$F$4:$ABM$4,"Часы",INDEX(Техника!$G$1:$ABN$500,P$2,0),$A$844,INDEX(Техника!$H$1:$ABO$500,P$2,0),"Д")</f>
        <v>0</v>
      </c>
      <c r="Q846" s="50">
        <f>SUMIFS(INDEX(Техника!$F$1:$ABM$500,Q$2,0),Техника!$F$4:$ABM$4,"Часы",INDEX(Техника!$G$1:$ABN$500,Q$2,0),$A$844,INDEX(Техника!$H$1:$ABO$500,Q$2,0),"Д")</f>
        <v>0</v>
      </c>
      <c r="R846" s="50">
        <f>SUMIFS(INDEX(Техника!$F$1:$ABM$500,R$2,0),Техника!$F$4:$ABM$4,"Часы",INDEX(Техника!$G$1:$ABN$500,R$2,0),$A$844,INDEX(Техника!$H$1:$ABO$500,R$2,0),"Д")</f>
        <v>0</v>
      </c>
      <c r="S846" s="50">
        <f>SUMIFS(INDEX(Техника!$F$1:$ABM$500,S$2,0),Техника!$F$4:$ABM$4,"Часы",INDEX(Техника!$G$1:$ABN$500,S$2,0),$A$844,INDEX(Техника!$H$1:$ABO$500,S$2,0),"Д")</f>
        <v>0</v>
      </c>
      <c r="T846" s="50">
        <f>SUMIFS(INDEX(Техника!$F$1:$ABM$500,T$2,0),Техника!$F$4:$ABM$4,"Часы",INDEX(Техника!$G$1:$ABN$500,T$2,0),$A$844,INDEX(Техника!$H$1:$ABO$500,T$2,0),"Д")</f>
        <v>0</v>
      </c>
      <c r="U846" s="50">
        <f>SUMIFS(INDEX(Техника!$F$1:$ABM$500,U$2,0),Техника!$F$4:$ABM$4,"Часы",INDEX(Техника!$G$1:$ABN$500,U$2,0),$A$844,INDEX(Техника!$H$1:$ABO$500,U$2,0),"Д")</f>
        <v>0</v>
      </c>
      <c r="V846" s="50">
        <f>SUMIFS(INDEX(Техника!$F$1:$ABM$500,V$2,0),Техника!$F$4:$ABM$4,"Часы",INDEX(Техника!$G$1:$ABN$500,V$2,0),$A$844,INDEX(Техника!$H$1:$ABO$500,V$2,0),"Д")</f>
        <v>0</v>
      </c>
      <c r="W846" s="50">
        <f>SUMIFS(INDEX(Техника!$F$1:$ABM$500,W$2,0),Техника!$F$4:$ABM$4,"Часы",INDEX(Техника!$G$1:$ABN$500,W$2,0),$A$844,INDEX(Техника!$H$1:$ABO$500,W$2,0),"Д")</f>
        <v>0</v>
      </c>
      <c r="X846" s="50">
        <f>SUMIFS(INDEX(Техника!$F$1:$ABM$500,X$2,0),Техника!$F$4:$ABM$4,"Часы",INDEX(Техника!$G$1:$ABN$500,X$2,0),$A$844,INDEX(Техника!$H$1:$ABO$500,X$2,0),"Д")</f>
        <v>0</v>
      </c>
      <c r="Y846" s="50">
        <f>SUMIFS(INDEX(Техника!$F$1:$ABM$500,Y$2,0),Техника!$F$4:$ABM$4,"Часы",INDEX(Техника!$G$1:$ABN$500,Y$2,0),$A$844,INDEX(Техника!$H$1:$ABO$500,Y$2,0),"Д")</f>
        <v>0</v>
      </c>
      <c r="Z846" s="50">
        <f>SUMIFS(INDEX(Техника!$F$1:$ABM$500,Z$2,0),Техника!$F$4:$ABM$4,"Часы",INDEX(Техника!$G$1:$ABN$500,Z$2,0),$A$844,INDEX(Техника!$H$1:$ABO$500,Z$2,0),"Д")</f>
        <v>0</v>
      </c>
      <c r="AA846" s="50">
        <f>SUMIFS(INDEX(Техника!$F$1:$ABM$500,AA$2,0),Техника!$F$4:$ABM$4,"Часы",INDEX(Техника!$G$1:$ABN$500,AA$2,0),$A$844,INDEX(Техника!$H$1:$ABO$500,AA$2,0),"Д")</f>
        <v>0</v>
      </c>
      <c r="AB846" s="50">
        <f>SUMIFS(INDEX(Техника!$F$1:$ABM$500,AB$2,0),Техника!$F$4:$ABM$4,"Часы",INDEX(Техника!$G$1:$ABN$500,AB$2,0),$A$844,INDEX(Техника!$H$1:$ABO$500,AB$2,0),"Д")</f>
        <v>0</v>
      </c>
    </row>
    <row r="847" spans="1:28" hidden="1" outlineLevel="1" x14ac:dyDescent="0.3">
      <c r="A847" s="33" t="s">
        <v>276</v>
      </c>
      <c r="B847" s="34" t="s">
        <v>277</v>
      </c>
      <c r="C847" s="50">
        <f>SUMIFS(INDEX(Техника!$F$1:$ABM$500,C$2,0),Техника!$F$4:$ABM$4,"Часы",INDEX(Техника!$G$1:$ABN$500,C$2,0),$A$844,INDEX(Техника!$H$1:$ABO$500,C$2,0),"П")</f>
        <v>0</v>
      </c>
      <c r="D847" s="50">
        <f>SUMIFS(INDEX(Техника!$F$1:$ABM$500,D$2,0),Техника!$F$4:$ABM$4,"Часы",INDEX(Техника!$G$1:$ABN$500,D$2,0),$A$844,INDEX(Техника!$H$1:$ABO$500,D$2,0),"П")</f>
        <v>0</v>
      </c>
      <c r="E847" s="50">
        <f>SUMIFS(INDEX(Техника!$F$1:$ABM$500,E$2,0),Техника!$F$4:$ABM$4,"Часы",INDEX(Техника!$G$1:$ABN$500,E$2,0),$A$844,INDEX(Техника!$H$1:$ABO$500,E$2,0),"П")</f>
        <v>0</v>
      </c>
      <c r="F847" s="50">
        <f>SUMIFS(INDEX(Техника!$F$1:$ABM$500,F$2,0),Техника!$F$4:$ABM$4,"Часы",INDEX(Техника!$G$1:$ABN$500,F$2,0),$A$844,INDEX(Техника!$H$1:$ABO$500,F$2,0),"П")</f>
        <v>0</v>
      </c>
      <c r="G847" s="50">
        <f>SUMIFS(INDEX(Техника!$F$1:$ABM$500,G$2,0),Техника!$F$4:$ABM$4,"Часы",INDEX(Техника!$G$1:$ABN$500,G$2,0),$A$844,INDEX(Техника!$H$1:$ABO$500,G$2,0),"П")</f>
        <v>0</v>
      </c>
      <c r="H847" s="50">
        <f>SUMIFS(INDEX(Техника!$F$1:$ABM$500,H$2,0),Техника!$F$4:$ABM$4,"Часы",INDEX(Техника!$G$1:$ABN$500,H$2,0),$A$844,INDEX(Техника!$H$1:$ABO$500,H$2,0),"П")</f>
        <v>0</v>
      </c>
      <c r="I847" s="50">
        <f>SUMIFS(INDEX(Техника!$F$1:$ABM$500,I$2,0),Техника!$F$4:$ABM$4,"Часы",INDEX(Техника!$G$1:$ABN$500,I$2,0),$A$844,INDEX(Техника!$H$1:$ABO$500,I$2,0),"П")</f>
        <v>0</v>
      </c>
      <c r="J847" s="50">
        <f>SUMIFS(INDEX(Техника!$F$1:$ABM$500,J$2,0),Техника!$F$4:$ABM$4,"Часы",INDEX(Техника!$G$1:$ABN$500,J$2,0),$A$844,INDEX(Техника!$H$1:$ABO$500,J$2,0),"П")</f>
        <v>0</v>
      </c>
      <c r="K847" s="50">
        <f>SUMIFS(INDEX(Техника!$F$1:$ABM$500,K$2,0),Техника!$F$4:$ABM$4,"Часы",INDEX(Техника!$G$1:$ABN$500,K$2,0),$A$844,INDEX(Техника!$H$1:$ABO$500,K$2,0),"П")</f>
        <v>0</v>
      </c>
      <c r="L847" s="50">
        <f>SUMIFS(INDEX(Техника!$F$1:$ABM$500,L$2,0),Техника!$F$4:$ABM$4,"Часы",INDEX(Техника!$G$1:$ABN$500,L$2,0),$A$844,INDEX(Техника!$H$1:$ABO$500,L$2,0),"П")</f>
        <v>0</v>
      </c>
      <c r="M847" s="50">
        <f>SUMIFS(INDEX(Техника!$F$1:$ABM$500,M$2,0),Техника!$F$4:$ABM$4,"Часы",INDEX(Техника!$G$1:$ABN$500,M$2,0),$A$844,INDEX(Техника!$H$1:$ABO$500,M$2,0),"П")</f>
        <v>0</v>
      </c>
      <c r="N847" s="50">
        <f>SUMIFS(INDEX(Техника!$F$1:$ABM$500,N$2,0),Техника!$F$4:$ABM$4,"Часы",INDEX(Техника!$G$1:$ABN$500,N$2,0),$A$844,INDEX(Техника!$H$1:$ABO$500,N$2,0),"П")</f>
        <v>0</v>
      </c>
      <c r="O847" s="50">
        <f>SUMIFS(INDEX(Техника!$F$1:$ABM$500,O$2,0),Техника!$F$4:$ABM$4,"Часы",INDEX(Техника!$G$1:$ABN$500,O$2,0),$A$844,INDEX(Техника!$H$1:$ABO$500,O$2,0),"П")</f>
        <v>0</v>
      </c>
      <c r="P847" s="50">
        <f>SUMIFS(INDEX(Техника!$F$1:$ABM$500,P$2,0),Техника!$F$4:$ABM$4,"Часы",INDEX(Техника!$G$1:$ABN$500,P$2,0),$A$844,INDEX(Техника!$H$1:$ABO$500,P$2,0),"П")</f>
        <v>0</v>
      </c>
      <c r="Q847" s="50">
        <f>SUMIFS(INDEX(Техника!$F$1:$ABM$500,Q$2,0),Техника!$F$4:$ABM$4,"Часы",INDEX(Техника!$G$1:$ABN$500,Q$2,0),$A$844,INDEX(Техника!$H$1:$ABO$500,Q$2,0),"П")</f>
        <v>0</v>
      </c>
      <c r="R847" s="50">
        <f>SUMIFS(INDEX(Техника!$F$1:$ABM$500,R$2,0),Техника!$F$4:$ABM$4,"Часы",INDEX(Техника!$G$1:$ABN$500,R$2,0),$A$844,INDEX(Техника!$H$1:$ABO$500,R$2,0),"П")</f>
        <v>0</v>
      </c>
      <c r="S847" s="50">
        <f>SUMIFS(INDEX(Техника!$F$1:$ABM$500,S$2,0),Техника!$F$4:$ABM$4,"Часы",INDEX(Техника!$G$1:$ABN$500,S$2,0),$A$844,INDEX(Техника!$H$1:$ABO$500,S$2,0),"П")</f>
        <v>0</v>
      </c>
      <c r="T847" s="50">
        <f>SUMIFS(INDEX(Техника!$F$1:$ABM$500,T$2,0),Техника!$F$4:$ABM$4,"Часы",INDEX(Техника!$G$1:$ABN$500,T$2,0),$A$844,INDEX(Техника!$H$1:$ABO$500,T$2,0),"П")</f>
        <v>0</v>
      </c>
      <c r="U847" s="50">
        <f>SUMIFS(INDEX(Техника!$F$1:$ABM$500,U$2,0),Техника!$F$4:$ABM$4,"Часы",INDEX(Техника!$G$1:$ABN$500,U$2,0),$A$844,INDEX(Техника!$H$1:$ABO$500,U$2,0),"П")</f>
        <v>0</v>
      </c>
      <c r="V847" s="50">
        <f>SUMIFS(INDEX(Техника!$F$1:$ABM$500,V$2,0),Техника!$F$4:$ABM$4,"Часы",INDEX(Техника!$G$1:$ABN$500,V$2,0),$A$844,INDEX(Техника!$H$1:$ABO$500,V$2,0),"П")</f>
        <v>0</v>
      </c>
      <c r="W847" s="50">
        <f>SUMIFS(INDEX(Техника!$F$1:$ABM$500,W$2,0),Техника!$F$4:$ABM$4,"Часы",INDEX(Техника!$G$1:$ABN$500,W$2,0),$A$844,INDEX(Техника!$H$1:$ABO$500,W$2,0),"П")</f>
        <v>0</v>
      </c>
      <c r="X847" s="50">
        <f>SUMIFS(INDEX(Техника!$F$1:$ABM$500,X$2,0),Техника!$F$4:$ABM$4,"Часы",INDEX(Техника!$G$1:$ABN$500,X$2,0),$A$844,INDEX(Техника!$H$1:$ABO$500,X$2,0),"П")</f>
        <v>0</v>
      </c>
      <c r="Y847" s="50">
        <f>SUMIFS(INDEX(Техника!$F$1:$ABM$500,Y$2,0),Техника!$F$4:$ABM$4,"Часы",INDEX(Техника!$G$1:$ABN$500,Y$2,0),$A$844,INDEX(Техника!$H$1:$ABO$500,Y$2,0),"П")</f>
        <v>0</v>
      </c>
      <c r="Z847" s="50">
        <f>SUMIFS(INDEX(Техника!$F$1:$ABM$500,Z$2,0),Техника!$F$4:$ABM$4,"Часы",INDEX(Техника!$G$1:$ABN$500,Z$2,0),$A$844,INDEX(Техника!$H$1:$ABO$500,Z$2,0),"П")</f>
        <v>0</v>
      </c>
      <c r="AA847" s="50">
        <f>SUMIFS(INDEX(Техника!$F$1:$ABM$500,AA$2,0),Техника!$F$4:$ABM$4,"Часы",INDEX(Техника!$G$1:$ABN$500,AA$2,0),$A$844,INDEX(Техника!$H$1:$ABO$500,AA$2,0),"П")</f>
        <v>0</v>
      </c>
      <c r="AB847" s="50">
        <f>SUMIFS(INDEX(Техника!$F$1:$ABM$500,AB$2,0),Техника!$F$4:$ABM$4,"Часы",INDEX(Техника!$G$1:$ABN$500,AB$2,0),$A$844,INDEX(Техника!$H$1:$ABO$500,AB$2,0),"П")</f>
        <v>0</v>
      </c>
    </row>
    <row r="848" spans="1:28" hidden="1" outlineLevel="1" x14ac:dyDescent="0.3">
      <c r="A848" s="33" t="s">
        <v>243</v>
      </c>
      <c r="B848" s="34" t="s">
        <v>278</v>
      </c>
      <c r="C848" s="50">
        <f>SUMIFS(INDEX(Техника!$F$1:$ABM$500,C$2,0),Техника!$F$4:$ABM$4,"Часы",INDEX(Техника!$G$1:$ABN$500,C$2,0),$A$844,INDEX(Техника!$H$1:$ABO$500,C$2,0),"Л")</f>
        <v>0</v>
      </c>
      <c r="D848" s="50">
        <f>SUMIFS(INDEX(Техника!$F$1:$ABM$500,D$2,0),Техника!$F$4:$ABM$4,"Часы",INDEX(Техника!$G$1:$ABN$500,D$2,0),$A$844,INDEX(Техника!$H$1:$ABO$500,D$2,0),"Л")</f>
        <v>0</v>
      </c>
      <c r="E848" s="50">
        <f>SUMIFS(INDEX(Техника!$F$1:$ABM$500,E$2,0),Техника!$F$4:$ABM$4,"Часы",INDEX(Техника!$G$1:$ABN$500,E$2,0),$A$844,INDEX(Техника!$H$1:$ABO$500,E$2,0),"Л")</f>
        <v>0</v>
      </c>
      <c r="F848" s="50">
        <f>SUMIFS(INDEX(Техника!$F$1:$ABM$500,F$2,0),Техника!$F$4:$ABM$4,"Часы",INDEX(Техника!$G$1:$ABN$500,F$2,0),$A$844,INDEX(Техника!$H$1:$ABO$500,F$2,0),"Л")</f>
        <v>0</v>
      </c>
      <c r="G848" s="50">
        <f>SUMIFS(INDEX(Техника!$F$1:$ABM$500,G$2,0),Техника!$F$4:$ABM$4,"Часы",INDEX(Техника!$G$1:$ABN$500,G$2,0),$A$844,INDEX(Техника!$H$1:$ABO$500,G$2,0),"Л")</f>
        <v>0</v>
      </c>
      <c r="H848" s="50">
        <f>SUMIFS(INDEX(Техника!$F$1:$ABM$500,H$2,0),Техника!$F$4:$ABM$4,"Часы",INDEX(Техника!$G$1:$ABN$500,H$2,0),$A$844,INDEX(Техника!$H$1:$ABO$500,H$2,0),"Л")</f>
        <v>0</v>
      </c>
      <c r="I848" s="50">
        <f>SUMIFS(INDEX(Техника!$F$1:$ABM$500,I$2,0),Техника!$F$4:$ABM$4,"Часы",INDEX(Техника!$G$1:$ABN$500,I$2,0),$A$844,INDEX(Техника!$H$1:$ABO$500,I$2,0),"Л")</f>
        <v>0</v>
      </c>
      <c r="J848" s="50">
        <f>SUMIFS(INDEX(Техника!$F$1:$ABM$500,J$2,0),Техника!$F$4:$ABM$4,"Часы",INDEX(Техника!$G$1:$ABN$500,J$2,0),$A$844,INDEX(Техника!$H$1:$ABO$500,J$2,0),"Л")</f>
        <v>0</v>
      </c>
      <c r="K848" s="50">
        <f>SUMIFS(INDEX(Техника!$F$1:$ABM$500,K$2,0),Техника!$F$4:$ABM$4,"Часы",INDEX(Техника!$G$1:$ABN$500,K$2,0),$A$844,INDEX(Техника!$H$1:$ABO$500,K$2,0),"Л")</f>
        <v>0</v>
      </c>
      <c r="L848" s="50">
        <f>SUMIFS(INDEX(Техника!$F$1:$ABM$500,L$2,0),Техника!$F$4:$ABM$4,"Часы",INDEX(Техника!$G$1:$ABN$500,L$2,0),$A$844,INDEX(Техника!$H$1:$ABO$500,L$2,0),"Л")</f>
        <v>0</v>
      </c>
      <c r="M848" s="50">
        <f>SUMIFS(INDEX(Техника!$F$1:$ABM$500,M$2,0),Техника!$F$4:$ABM$4,"Часы",INDEX(Техника!$G$1:$ABN$500,M$2,0),$A$844,INDEX(Техника!$H$1:$ABO$500,M$2,0),"Л")</f>
        <v>0</v>
      </c>
      <c r="N848" s="50">
        <f>SUMIFS(INDEX(Техника!$F$1:$ABM$500,N$2,0),Техника!$F$4:$ABM$4,"Часы",INDEX(Техника!$G$1:$ABN$500,N$2,0),$A$844,INDEX(Техника!$H$1:$ABO$500,N$2,0),"Л")</f>
        <v>0</v>
      </c>
      <c r="O848" s="50">
        <f>SUMIFS(INDEX(Техника!$F$1:$ABM$500,O$2,0),Техника!$F$4:$ABM$4,"Часы",INDEX(Техника!$G$1:$ABN$500,O$2,0),$A$844,INDEX(Техника!$H$1:$ABO$500,O$2,0),"Л")</f>
        <v>0</v>
      </c>
      <c r="P848" s="50">
        <f>SUMIFS(INDEX(Техника!$F$1:$ABM$500,P$2,0),Техника!$F$4:$ABM$4,"Часы",INDEX(Техника!$G$1:$ABN$500,P$2,0),$A$844,INDEX(Техника!$H$1:$ABO$500,P$2,0),"Л")</f>
        <v>0</v>
      </c>
      <c r="Q848" s="50">
        <f>SUMIFS(INDEX(Техника!$F$1:$ABM$500,Q$2,0),Техника!$F$4:$ABM$4,"Часы",INDEX(Техника!$G$1:$ABN$500,Q$2,0),$A$844,INDEX(Техника!$H$1:$ABO$500,Q$2,0),"Л")</f>
        <v>0</v>
      </c>
      <c r="R848" s="50">
        <f>SUMIFS(INDEX(Техника!$F$1:$ABM$500,R$2,0),Техника!$F$4:$ABM$4,"Часы",INDEX(Техника!$G$1:$ABN$500,R$2,0),$A$844,INDEX(Техника!$H$1:$ABO$500,R$2,0),"Л")</f>
        <v>0</v>
      </c>
      <c r="S848" s="50">
        <f>SUMIFS(INDEX(Техника!$F$1:$ABM$500,S$2,0),Техника!$F$4:$ABM$4,"Часы",INDEX(Техника!$G$1:$ABN$500,S$2,0),$A$844,INDEX(Техника!$H$1:$ABO$500,S$2,0),"Л")</f>
        <v>0</v>
      </c>
      <c r="T848" s="50">
        <f>SUMIFS(INDEX(Техника!$F$1:$ABM$500,T$2,0),Техника!$F$4:$ABM$4,"Часы",INDEX(Техника!$G$1:$ABN$500,T$2,0),$A$844,INDEX(Техника!$H$1:$ABO$500,T$2,0),"Л")</f>
        <v>0</v>
      </c>
      <c r="U848" s="50">
        <f>SUMIFS(INDEX(Техника!$F$1:$ABM$500,U$2,0),Техника!$F$4:$ABM$4,"Часы",INDEX(Техника!$G$1:$ABN$500,U$2,0),$A$844,INDEX(Техника!$H$1:$ABO$500,U$2,0),"Л")</f>
        <v>0</v>
      </c>
      <c r="V848" s="50">
        <f>SUMIFS(INDEX(Техника!$F$1:$ABM$500,V$2,0),Техника!$F$4:$ABM$4,"Часы",INDEX(Техника!$G$1:$ABN$500,V$2,0),$A$844,INDEX(Техника!$H$1:$ABO$500,V$2,0),"Л")</f>
        <v>0</v>
      </c>
      <c r="W848" s="50">
        <f>SUMIFS(INDEX(Техника!$F$1:$ABM$500,W$2,0),Техника!$F$4:$ABM$4,"Часы",INDEX(Техника!$G$1:$ABN$500,W$2,0),$A$844,INDEX(Техника!$H$1:$ABO$500,W$2,0),"Л")</f>
        <v>0</v>
      </c>
      <c r="X848" s="50">
        <f>SUMIFS(INDEX(Техника!$F$1:$ABM$500,X$2,0),Техника!$F$4:$ABM$4,"Часы",INDEX(Техника!$G$1:$ABN$500,X$2,0),$A$844,INDEX(Техника!$H$1:$ABO$500,X$2,0),"Л")</f>
        <v>0</v>
      </c>
      <c r="Y848" s="50">
        <f>SUMIFS(INDEX(Техника!$F$1:$ABM$500,Y$2,0),Техника!$F$4:$ABM$4,"Часы",INDEX(Техника!$G$1:$ABN$500,Y$2,0),$A$844,INDEX(Техника!$H$1:$ABO$500,Y$2,0),"Л")</f>
        <v>0</v>
      </c>
      <c r="Z848" s="50">
        <f>SUMIFS(INDEX(Техника!$F$1:$ABM$500,Z$2,0),Техника!$F$4:$ABM$4,"Часы",INDEX(Техника!$G$1:$ABN$500,Z$2,0),$A$844,INDEX(Техника!$H$1:$ABO$500,Z$2,0),"Л")</f>
        <v>0</v>
      </c>
      <c r="AA848" s="50">
        <f>SUMIFS(INDEX(Техника!$F$1:$ABM$500,AA$2,0),Техника!$F$4:$ABM$4,"Часы",INDEX(Техника!$G$1:$ABN$500,AA$2,0),$A$844,INDEX(Техника!$H$1:$ABO$500,AA$2,0),"Л")</f>
        <v>0</v>
      </c>
      <c r="AB848" s="50">
        <f>SUMIFS(INDEX(Техника!$F$1:$ABM$500,AB$2,0),Техника!$F$4:$ABM$4,"Часы",INDEX(Техника!$G$1:$ABN$500,AB$2,0),$A$844,INDEX(Техника!$H$1:$ABO$500,AB$2,0),"Л")</f>
        <v>0</v>
      </c>
    </row>
    <row r="849" spans="1:28" hidden="1" outlineLevel="1" x14ac:dyDescent="0.3">
      <c r="A849" s="33" t="s">
        <v>245</v>
      </c>
      <c r="B849" s="34" t="s">
        <v>279</v>
      </c>
      <c r="C849" s="50">
        <f>SUMIFS(INDEX(Техника!$F$1:$ABM$500,C$2,0),Техника!$F$4:$ABM$4,"Часы",INDEX(Техника!$G$1:$ABN$500,C$2,0),$A$844,INDEX(Техника!$H$1:$ABO$500,C$2,0),"З")</f>
        <v>0</v>
      </c>
      <c r="D849" s="50">
        <f>SUMIFS(INDEX(Техника!$F$1:$ABM$500,D$2,0),Техника!$F$4:$ABM$4,"Часы",INDEX(Техника!$G$1:$ABN$500,D$2,0),$A$844,INDEX(Техника!$H$1:$ABO$500,D$2,0),"З")</f>
        <v>0</v>
      </c>
      <c r="E849" s="50">
        <f>SUMIFS(INDEX(Техника!$F$1:$ABM$500,E$2,0),Техника!$F$4:$ABM$4,"Часы",INDEX(Техника!$G$1:$ABN$500,E$2,0),$A$844,INDEX(Техника!$H$1:$ABO$500,E$2,0),"З")</f>
        <v>0</v>
      </c>
      <c r="F849" s="50">
        <f>SUMIFS(INDEX(Техника!$F$1:$ABM$500,F$2,0),Техника!$F$4:$ABM$4,"Часы",INDEX(Техника!$G$1:$ABN$500,F$2,0),$A$844,INDEX(Техника!$H$1:$ABO$500,F$2,0),"З")</f>
        <v>0</v>
      </c>
      <c r="G849" s="50">
        <f>SUMIFS(INDEX(Техника!$F$1:$ABM$500,G$2,0),Техника!$F$4:$ABM$4,"Часы",INDEX(Техника!$G$1:$ABN$500,G$2,0),$A$844,INDEX(Техника!$H$1:$ABO$500,G$2,0),"З")</f>
        <v>0</v>
      </c>
      <c r="H849" s="50">
        <f>SUMIFS(INDEX(Техника!$F$1:$ABM$500,H$2,0),Техника!$F$4:$ABM$4,"Часы",INDEX(Техника!$G$1:$ABN$500,H$2,0),$A$844,INDEX(Техника!$H$1:$ABO$500,H$2,0),"З")</f>
        <v>0</v>
      </c>
      <c r="I849" s="50">
        <f>SUMIFS(INDEX(Техника!$F$1:$ABM$500,I$2,0),Техника!$F$4:$ABM$4,"Часы",INDEX(Техника!$G$1:$ABN$500,I$2,0),$A$844,INDEX(Техника!$H$1:$ABO$500,I$2,0),"З")</f>
        <v>0</v>
      </c>
      <c r="J849" s="50">
        <f>SUMIFS(INDEX(Техника!$F$1:$ABM$500,J$2,0),Техника!$F$4:$ABM$4,"Часы",INDEX(Техника!$G$1:$ABN$500,J$2,0),$A$844,INDEX(Техника!$H$1:$ABO$500,J$2,0),"З")</f>
        <v>0</v>
      </c>
      <c r="K849" s="50">
        <f>SUMIFS(INDEX(Техника!$F$1:$ABM$500,K$2,0),Техника!$F$4:$ABM$4,"Часы",INDEX(Техника!$G$1:$ABN$500,K$2,0),$A$844,INDEX(Техника!$H$1:$ABO$500,K$2,0),"З")</f>
        <v>0</v>
      </c>
      <c r="L849" s="50">
        <f>SUMIFS(INDEX(Техника!$F$1:$ABM$500,L$2,0),Техника!$F$4:$ABM$4,"Часы",INDEX(Техника!$G$1:$ABN$500,L$2,0),$A$844,INDEX(Техника!$H$1:$ABO$500,L$2,0),"З")</f>
        <v>0</v>
      </c>
      <c r="M849" s="50">
        <f>SUMIFS(INDEX(Техника!$F$1:$ABM$500,M$2,0),Техника!$F$4:$ABM$4,"Часы",INDEX(Техника!$G$1:$ABN$500,M$2,0),$A$844,INDEX(Техника!$H$1:$ABO$500,M$2,0),"З")</f>
        <v>0</v>
      </c>
      <c r="N849" s="50">
        <f>SUMIFS(INDEX(Техника!$F$1:$ABM$500,N$2,0),Техника!$F$4:$ABM$4,"Часы",INDEX(Техника!$G$1:$ABN$500,N$2,0),$A$844,INDEX(Техника!$H$1:$ABO$500,N$2,0),"З")</f>
        <v>0</v>
      </c>
      <c r="O849" s="50">
        <f>SUMIFS(INDEX(Техника!$F$1:$ABM$500,O$2,0),Техника!$F$4:$ABM$4,"Часы",INDEX(Техника!$G$1:$ABN$500,O$2,0),$A$844,INDEX(Техника!$H$1:$ABO$500,O$2,0),"З")</f>
        <v>0</v>
      </c>
      <c r="P849" s="50">
        <f>SUMIFS(INDEX(Техника!$F$1:$ABM$500,P$2,0),Техника!$F$4:$ABM$4,"Часы",INDEX(Техника!$G$1:$ABN$500,P$2,0),$A$844,INDEX(Техника!$H$1:$ABO$500,P$2,0),"З")</f>
        <v>0</v>
      </c>
      <c r="Q849" s="50">
        <f>SUMIFS(INDEX(Техника!$F$1:$ABM$500,Q$2,0),Техника!$F$4:$ABM$4,"Часы",INDEX(Техника!$G$1:$ABN$500,Q$2,0),$A$844,INDEX(Техника!$H$1:$ABO$500,Q$2,0),"З")</f>
        <v>0</v>
      </c>
      <c r="R849" s="50">
        <f>SUMIFS(INDEX(Техника!$F$1:$ABM$500,R$2,0),Техника!$F$4:$ABM$4,"Часы",INDEX(Техника!$G$1:$ABN$500,R$2,0),$A$844,INDEX(Техника!$H$1:$ABO$500,R$2,0),"З")</f>
        <v>0</v>
      </c>
      <c r="S849" s="50">
        <f>SUMIFS(INDEX(Техника!$F$1:$ABM$500,S$2,0),Техника!$F$4:$ABM$4,"Часы",INDEX(Техника!$G$1:$ABN$500,S$2,0),$A$844,INDEX(Техника!$H$1:$ABO$500,S$2,0),"З")</f>
        <v>0</v>
      </c>
      <c r="T849" s="50">
        <f>SUMIFS(INDEX(Техника!$F$1:$ABM$500,T$2,0),Техника!$F$4:$ABM$4,"Часы",INDEX(Техника!$G$1:$ABN$500,T$2,0),$A$844,INDEX(Техника!$H$1:$ABO$500,T$2,0),"З")</f>
        <v>0</v>
      </c>
      <c r="U849" s="50">
        <f>SUMIFS(INDEX(Техника!$F$1:$ABM$500,U$2,0),Техника!$F$4:$ABM$4,"Часы",INDEX(Техника!$G$1:$ABN$500,U$2,0),$A$844,INDEX(Техника!$H$1:$ABO$500,U$2,0),"З")</f>
        <v>0</v>
      </c>
      <c r="V849" s="50">
        <f>SUMIFS(INDEX(Техника!$F$1:$ABM$500,V$2,0),Техника!$F$4:$ABM$4,"Часы",INDEX(Техника!$G$1:$ABN$500,V$2,0),$A$844,INDEX(Техника!$H$1:$ABO$500,V$2,0),"З")</f>
        <v>0</v>
      </c>
      <c r="W849" s="50">
        <f>SUMIFS(INDEX(Техника!$F$1:$ABM$500,W$2,0),Техника!$F$4:$ABM$4,"Часы",INDEX(Техника!$G$1:$ABN$500,W$2,0),$A$844,INDEX(Техника!$H$1:$ABO$500,W$2,0),"З")</f>
        <v>0</v>
      </c>
      <c r="X849" s="50">
        <f>SUMIFS(INDEX(Техника!$F$1:$ABM$500,X$2,0),Техника!$F$4:$ABM$4,"Часы",INDEX(Техника!$G$1:$ABN$500,X$2,0),$A$844,INDEX(Техника!$H$1:$ABO$500,X$2,0),"З")</f>
        <v>0</v>
      </c>
      <c r="Y849" s="50">
        <f>SUMIFS(INDEX(Техника!$F$1:$ABM$500,Y$2,0),Техника!$F$4:$ABM$4,"Часы",INDEX(Техника!$G$1:$ABN$500,Y$2,0),$A$844,INDEX(Техника!$H$1:$ABO$500,Y$2,0),"З")</f>
        <v>0</v>
      </c>
      <c r="Z849" s="50">
        <f>SUMIFS(INDEX(Техника!$F$1:$ABM$500,Z$2,0),Техника!$F$4:$ABM$4,"Часы",INDEX(Техника!$G$1:$ABN$500,Z$2,0),$A$844,INDEX(Техника!$H$1:$ABO$500,Z$2,0),"З")</f>
        <v>0</v>
      </c>
      <c r="AA849" s="50">
        <f>SUMIFS(INDEX(Техника!$F$1:$ABM$500,AA$2,0),Техника!$F$4:$ABM$4,"Часы",INDEX(Техника!$G$1:$ABN$500,AA$2,0),$A$844,INDEX(Техника!$H$1:$ABO$500,AA$2,0),"З")</f>
        <v>0</v>
      </c>
      <c r="AB849" s="50">
        <f>SUMIFS(INDEX(Техника!$F$1:$ABM$500,AB$2,0),Техника!$F$4:$ABM$4,"Часы",INDEX(Техника!$G$1:$ABN$500,AB$2,0),$A$844,INDEX(Техника!$H$1:$ABO$500,AB$2,0),"З")</f>
        <v>0</v>
      </c>
    </row>
    <row r="850" spans="1:28" ht="7.95" customHeight="1" x14ac:dyDescent="0.3">
      <c r="A850" s="38"/>
      <c r="B850" s="39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</row>
    <row r="851" spans="1:28" ht="25.05" customHeight="1" collapsed="1" x14ac:dyDescent="0.3">
      <c r="A851" s="32">
        <v>122</v>
      </c>
      <c r="B851" s="32" t="s">
        <v>123</v>
      </c>
      <c r="C851" s="49">
        <f>SUM(C852:C856)</f>
        <v>0</v>
      </c>
      <c r="D851" s="49">
        <f>SUM(D852:D856)</f>
        <v>0</v>
      </c>
      <c r="E851" s="49">
        <f>SUM(E852:E856)</f>
        <v>0</v>
      </c>
      <c r="F851" s="49">
        <f>SUM(F852:F856)</f>
        <v>0</v>
      </c>
      <c r="G851" s="49">
        <f>SUM(G852:G856)</f>
        <v>0</v>
      </c>
      <c r="H851" s="49">
        <f>SUM(H852:H856)</f>
        <v>0</v>
      </c>
      <c r="I851" s="49">
        <f>SUM(I852:I856)</f>
        <v>0</v>
      </c>
      <c r="J851" s="49">
        <f>SUM(J852:J856)</f>
        <v>0</v>
      </c>
      <c r="K851" s="49">
        <f>SUM(K852:K856)</f>
        <v>0</v>
      </c>
      <c r="L851" s="49">
        <f>SUM(L852:L856)</f>
        <v>0</v>
      </c>
      <c r="M851" s="49">
        <f>SUM(M852:M856)</f>
        <v>0</v>
      </c>
      <c r="N851" s="49">
        <f>SUM(N852:N856)</f>
        <v>0</v>
      </c>
      <c r="O851" s="49">
        <f>SUM(O852:O856)</f>
        <v>0</v>
      </c>
      <c r="P851" s="49">
        <f>SUM(P852:P856)</f>
        <v>0</v>
      </c>
      <c r="Q851" s="49">
        <f>SUM(Q852:Q856)</f>
        <v>0</v>
      </c>
      <c r="R851" s="49">
        <f>SUM(R852:R856)</f>
        <v>0</v>
      </c>
      <c r="S851" s="49">
        <f>SUM(S852:S856)</f>
        <v>0</v>
      </c>
      <c r="T851" s="49">
        <f>SUM(T852:T856)</f>
        <v>0</v>
      </c>
      <c r="U851" s="49">
        <f>SUM(U852:U856)</f>
        <v>0</v>
      </c>
      <c r="V851" s="49">
        <f>SUM(V852:V856)</f>
        <v>0</v>
      </c>
      <c r="W851" s="49">
        <f>SUM(W852:W856)</f>
        <v>0</v>
      </c>
      <c r="X851" s="49">
        <f>SUM(X852:X856)</f>
        <v>0</v>
      </c>
      <c r="Y851" s="49">
        <f>SUM(Y852:Y856)</f>
        <v>0</v>
      </c>
      <c r="Z851" s="49">
        <f>SUM(Z852:Z856)</f>
        <v>0</v>
      </c>
      <c r="AA851" s="49">
        <f>SUM(AA852:AA856)</f>
        <v>0</v>
      </c>
      <c r="AB851" s="49">
        <f>SUM(AB852:AB856)</f>
        <v>0</v>
      </c>
    </row>
    <row r="852" spans="1:28" hidden="1" outlineLevel="1" x14ac:dyDescent="0.3">
      <c r="A852" s="33" t="s">
        <v>246</v>
      </c>
      <c r="B852" s="34" t="s">
        <v>274</v>
      </c>
      <c r="C852" s="50">
        <f>SUMIFS(INDEX(Техника!$F$1:$ABM$500,C$2,0),Техника!$F$4:$ABM$4,"Часы",INDEX(Техника!$G$1:$ABN$500,C$2,0),$A$851,INDEX(Техника!$H$1:$ABO$500,C$2,0),"М")</f>
        <v>0</v>
      </c>
      <c r="D852" s="50">
        <f>SUMIFS(INDEX(Техника!$F$1:$ABM$500,D$2,0),Техника!$F$4:$ABM$4,"Часы",INDEX(Техника!$G$1:$ABN$500,D$2,0),$A$851,INDEX(Техника!$H$1:$ABO$500,D$2,0),"М")</f>
        <v>0</v>
      </c>
      <c r="E852" s="50">
        <f>SUMIFS(INDEX(Техника!$F$1:$ABM$500,E$2,0),Техника!$F$4:$ABM$4,"Часы",INDEX(Техника!$G$1:$ABN$500,E$2,0),$A$851,INDEX(Техника!$H$1:$ABO$500,E$2,0),"М")</f>
        <v>0</v>
      </c>
      <c r="F852" s="50">
        <f>SUMIFS(INDEX(Техника!$F$1:$ABM$500,F$2,0),Техника!$F$4:$ABM$4,"Часы",INDEX(Техника!$G$1:$ABN$500,F$2,0),$A$851,INDEX(Техника!$H$1:$ABO$500,F$2,0),"М")</f>
        <v>0</v>
      </c>
      <c r="G852" s="50">
        <f>SUMIFS(INDEX(Техника!$F$1:$ABM$500,G$2,0),Техника!$F$4:$ABM$4,"Часы",INDEX(Техника!$G$1:$ABN$500,G$2,0),$A$851,INDEX(Техника!$H$1:$ABO$500,G$2,0),"М")</f>
        <v>0</v>
      </c>
      <c r="H852" s="50">
        <f>SUMIFS(INDEX(Техника!$F$1:$ABM$500,H$2,0),Техника!$F$4:$ABM$4,"Часы",INDEX(Техника!$G$1:$ABN$500,H$2,0),$A$851,INDEX(Техника!$H$1:$ABO$500,H$2,0),"М")</f>
        <v>0</v>
      </c>
      <c r="I852" s="50">
        <f>SUMIFS(INDEX(Техника!$F$1:$ABM$500,I$2,0),Техника!$F$4:$ABM$4,"Часы",INDEX(Техника!$G$1:$ABN$500,I$2,0),$A$851,INDEX(Техника!$H$1:$ABO$500,I$2,0),"М")</f>
        <v>0</v>
      </c>
      <c r="J852" s="50">
        <f>SUMIFS(INDEX(Техника!$F$1:$ABM$500,J$2,0),Техника!$F$4:$ABM$4,"Часы",INDEX(Техника!$G$1:$ABN$500,J$2,0),$A$851,INDEX(Техника!$H$1:$ABO$500,J$2,0),"М")</f>
        <v>0</v>
      </c>
      <c r="K852" s="50">
        <f>SUMIFS(INDEX(Техника!$F$1:$ABM$500,K$2,0),Техника!$F$4:$ABM$4,"Часы",INDEX(Техника!$G$1:$ABN$500,K$2,0),$A$851,INDEX(Техника!$H$1:$ABO$500,K$2,0),"М")</f>
        <v>0</v>
      </c>
      <c r="L852" s="50">
        <f>SUMIFS(INDEX(Техника!$F$1:$ABM$500,L$2,0),Техника!$F$4:$ABM$4,"Часы",INDEX(Техника!$G$1:$ABN$500,L$2,0),$A$851,INDEX(Техника!$H$1:$ABO$500,L$2,0),"М")</f>
        <v>0</v>
      </c>
      <c r="M852" s="50">
        <f>SUMIFS(INDEX(Техника!$F$1:$ABM$500,M$2,0),Техника!$F$4:$ABM$4,"Часы",INDEX(Техника!$G$1:$ABN$500,M$2,0),$A$851,INDEX(Техника!$H$1:$ABO$500,M$2,0),"М")</f>
        <v>0</v>
      </c>
      <c r="N852" s="50">
        <f>SUMIFS(INDEX(Техника!$F$1:$ABM$500,N$2,0),Техника!$F$4:$ABM$4,"Часы",INDEX(Техника!$G$1:$ABN$500,N$2,0),$A$851,INDEX(Техника!$H$1:$ABO$500,N$2,0),"М")</f>
        <v>0</v>
      </c>
      <c r="O852" s="50">
        <f>SUMIFS(INDEX(Техника!$F$1:$ABM$500,O$2,0),Техника!$F$4:$ABM$4,"Часы",INDEX(Техника!$G$1:$ABN$500,O$2,0),$A$851,INDEX(Техника!$H$1:$ABO$500,O$2,0),"М")</f>
        <v>0</v>
      </c>
      <c r="P852" s="50">
        <f>SUMIFS(INDEX(Техника!$F$1:$ABM$500,P$2,0),Техника!$F$4:$ABM$4,"Часы",INDEX(Техника!$G$1:$ABN$500,P$2,0),$A$851,INDEX(Техника!$H$1:$ABO$500,P$2,0),"М")</f>
        <v>0</v>
      </c>
      <c r="Q852" s="50">
        <f>SUMIFS(INDEX(Техника!$F$1:$ABM$500,Q$2,0),Техника!$F$4:$ABM$4,"Часы",INDEX(Техника!$G$1:$ABN$500,Q$2,0),$A$851,INDEX(Техника!$H$1:$ABO$500,Q$2,0),"М")</f>
        <v>0</v>
      </c>
      <c r="R852" s="50">
        <f>SUMIFS(INDEX(Техника!$F$1:$ABM$500,R$2,0),Техника!$F$4:$ABM$4,"Часы",INDEX(Техника!$G$1:$ABN$500,R$2,0),$A$851,INDEX(Техника!$H$1:$ABO$500,R$2,0),"М")</f>
        <v>0</v>
      </c>
      <c r="S852" s="50">
        <f>SUMIFS(INDEX(Техника!$F$1:$ABM$500,S$2,0),Техника!$F$4:$ABM$4,"Часы",INDEX(Техника!$G$1:$ABN$500,S$2,0),$A$851,INDEX(Техника!$H$1:$ABO$500,S$2,0),"М")</f>
        <v>0</v>
      </c>
      <c r="T852" s="50">
        <f>SUMIFS(INDEX(Техника!$F$1:$ABM$500,T$2,0),Техника!$F$4:$ABM$4,"Часы",INDEX(Техника!$G$1:$ABN$500,T$2,0),$A$851,INDEX(Техника!$H$1:$ABO$500,T$2,0),"М")</f>
        <v>0</v>
      </c>
      <c r="U852" s="50">
        <f>SUMIFS(INDEX(Техника!$F$1:$ABM$500,U$2,0),Техника!$F$4:$ABM$4,"Часы",INDEX(Техника!$G$1:$ABN$500,U$2,0),$A$851,INDEX(Техника!$H$1:$ABO$500,U$2,0),"М")</f>
        <v>0</v>
      </c>
      <c r="V852" s="50">
        <f>SUMIFS(INDEX(Техника!$F$1:$ABM$500,V$2,0),Техника!$F$4:$ABM$4,"Часы",INDEX(Техника!$G$1:$ABN$500,V$2,0),$A$851,INDEX(Техника!$H$1:$ABO$500,V$2,0),"М")</f>
        <v>0</v>
      </c>
      <c r="W852" s="50">
        <f>SUMIFS(INDEX(Техника!$F$1:$ABM$500,W$2,0),Техника!$F$4:$ABM$4,"Часы",INDEX(Техника!$G$1:$ABN$500,W$2,0),$A$851,INDEX(Техника!$H$1:$ABO$500,W$2,0),"М")</f>
        <v>0</v>
      </c>
      <c r="X852" s="50">
        <f>SUMIFS(INDEX(Техника!$F$1:$ABM$500,X$2,0),Техника!$F$4:$ABM$4,"Часы",INDEX(Техника!$G$1:$ABN$500,X$2,0),$A$851,INDEX(Техника!$H$1:$ABO$500,X$2,0),"М")</f>
        <v>0</v>
      </c>
      <c r="Y852" s="50">
        <f>SUMIFS(INDEX(Техника!$F$1:$ABM$500,Y$2,0),Техника!$F$4:$ABM$4,"Часы",INDEX(Техника!$G$1:$ABN$500,Y$2,0),$A$851,INDEX(Техника!$H$1:$ABO$500,Y$2,0),"М")</f>
        <v>0</v>
      </c>
      <c r="Z852" s="50">
        <f>SUMIFS(INDEX(Техника!$F$1:$ABM$500,Z$2,0),Техника!$F$4:$ABM$4,"Часы",INDEX(Техника!$G$1:$ABN$500,Z$2,0),$A$851,INDEX(Техника!$H$1:$ABO$500,Z$2,0),"М")</f>
        <v>0</v>
      </c>
      <c r="AA852" s="50">
        <f>SUMIFS(INDEX(Техника!$F$1:$ABM$500,AA$2,0),Техника!$F$4:$ABM$4,"Часы",INDEX(Техника!$G$1:$ABN$500,AA$2,0),$A$851,INDEX(Техника!$H$1:$ABO$500,AA$2,0),"М")</f>
        <v>0</v>
      </c>
      <c r="AB852" s="50">
        <f>SUMIFS(INDEX(Техника!$F$1:$ABM$500,AB$2,0),Техника!$F$4:$ABM$4,"Часы",INDEX(Техника!$G$1:$ABN$500,AB$2,0),$A$851,INDEX(Техника!$H$1:$ABO$500,AB$2,0),"М")</f>
        <v>0</v>
      </c>
    </row>
    <row r="853" spans="1:28" hidden="1" outlineLevel="1" x14ac:dyDescent="0.3">
      <c r="A853" s="33" t="s">
        <v>244</v>
      </c>
      <c r="B853" s="34" t="s">
        <v>275</v>
      </c>
      <c r="C853" s="50">
        <f>SUMIFS(INDEX(Техника!$F$1:$ABM$500,C$2,0),Техника!$F$4:$ABM$4,"Часы",INDEX(Техника!$G$1:$ABN$500,C$2,0),$A$851,INDEX(Техника!$H$1:$ABO$500,C$2,0),"Д")</f>
        <v>0</v>
      </c>
      <c r="D853" s="50">
        <f>SUMIFS(INDEX(Техника!$F$1:$ABM$500,D$2,0),Техника!$F$4:$ABM$4,"Часы",INDEX(Техника!$G$1:$ABN$500,D$2,0),$A$851,INDEX(Техника!$H$1:$ABO$500,D$2,0),"Д")</f>
        <v>0</v>
      </c>
      <c r="E853" s="50">
        <f>SUMIFS(INDEX(Техника!$F$1:$ABM$500,E$2,0),Техника!$F$4:$ABM$4,"Часы",INDEX(Техника!$G$1:$ABN$500,E$2,0),$A$851,INDEX(Техника!$H$1:$ABO$500,E$2,0),"Д")</f>
        <v>0</v>
      </c>
      <c r="F853" s="50">
        <f>SUMIFS(INDEX(Техника!$F$1:$ABM$500,F$2,0),Техника!$F$4:$ABM$4,"Часы",INDEX(Техника!$G$1:$ABN$500,F$2,0),$A$851,INDEX(Техника!$H$1:$ABO$500,F$2,0),"Д")</f>
        <v>0</v>
      </c>
      <c r="G853" s="50">
        <f>SUMIFS(INDEX(Техника!$F$1:$ABM$500,G$2,0),Техника!$F$4:$ABM$4,"Часы",INDEX(Техника!$G$1:$ABN$500,G$2,0),$A$851,INDEX(Техника!$H$1:$ABO$500,G$2,0),"Д")</f>
        <v>0</v>
      </c>
      <c r="H853" s="50">
        <f>SUMIFS(INDEX(Техника!$F$1:$ABM$500,H$2,0),Техника!$F$4:$ABM$4,"Часы",INDEX(Техника!$G$1:$ABN$500,H$2,0),$A$851,INDEX(Техника!$H$1:$ABO$500,H$2,0),"Д")</f>
        <v>0</v>
      </c>
      <c r="I853" s="50">
        <f>SUMIFS(INDEX(Техника!$F$1:$ABM$500,I$2,0),Техника!$F$4:$ABM$4,"Часы",INDEX(Техника!$G$1:$ABN$500,I$2,0),$A$851,INDEX(Техника!$H$1:$ABO$500,I$2,0),"Д")</f>
        <v>0</v>
      </c>
      <c r="J853" s="50">
        <f>SUMIFS(INDEX(Техника!$F$1:$ABM$500,J$2,0),Техника!$F$4:$ABM$4,"Часы",INDEX(Техника!$G$1:$ABN$500,J$2,0),$A$851,INDEX(Техника!$H$1:$ABO$500,J$2,0),"Д")</f>
        <v>0</v>
      </c>
      <c r="K853" s="50">
        <f>SUMIFS(INDEX(Техника!$F$1:$ABM$500,K$2,0),Техника!$F$4:$ABM$4,"Часы",INDEX(Техника!$G$1:$ABN$500,K$2,0),$A$851,INDEX(Техника!$H$1:$ABO$500,K$2,0),"Д")</f>
        <v>0</v>
      </c>
      <c r="L853" s="50">
        <f>SUMIFS(INDEX(Техника!$F$1:$ABM$500,L$2,0),Техника!$F$4:$ABM$4,"Часы",INDEX(Техника!$G$1:$ABN$500,L$2,0),$A$851,INDEX(Техника!$H$1:$ABO$500,L$2,0),"Д")</f>
        <v>0</v>
      </c>
      <c r="M853" s="50">
        <f>SUMIFS(INDEX(Техника!$F$1:$ABM$500,M$2,0),Техника!$F$4:$ABM$4,"Часы",INDEX(Техника!$G$1:$ABN$500,M$2,0),$A$851,INDEX(Техника!$H$1:$ABO$500,M$2,0),"Д")</f>
        <v>0</v>
      </c>
      <c r="N853" s="50">
        <f>SUMIFS(INDEX(Техника!$F$1:$ABM$500,N$2,0),Техника!$F$4:$ABM$4,"Часы",INDEX(Техника!$G$1:$ABN$500,N$2,0),$A$851,INDEX(Техника!$H$1:$ABO$500,N$2,0),"Д")</f>
        <v>0</v>
      </c>
      <c r="O853" s="50">
        <f>SUMIFS(INDEX(Техника!$F$1:$ABM$500,O$2,0),Техника!$F$4:$ABM$4,"Часы",INDEX(Техника!$G$1:$ABN$500,O$2,0),$A$851,INDEX(Техника!$H$1:$ABO$500,O$2,0),"Д")</f>
        <v>0</v>
      </c>
      <c r="P853" s="50">
        <f>SUMIFS(INDEX(Техника!$F$1:$ABM$500,P$2,0),Техника!$F$4:$ABM$4,"Часы",INDEX(Техника!$G$1:$ABN$500,P$2,0),$A$851,INDEX(Техника!$H$1:$ABO$500,P$2,0),"Д")</f>
        <v>0</v>
      </c>
      <c r="Q853" s="50">
        <f>SUMIFS(INDEX(Техника!$F$1:$ABM$500,Q$2,0),Техника!$F$4:$ABM$4,"Часы",INDEX(Техника!$G$1:$ABN$500,Q$2,0),$A$851,INDEX(Техника!$H$1:$ABO$500,Q$2,0),"Д")</f>
        <v>0</v>
      </c>
      <c r="R853" s="50">
        <f>SUMIFS(INDEX(Техника!$F$1:$ABM$500,R$2,0),Техника!$F$4:$ABM$4,"Часы",INDEX(Техника!$G$1:$ABN$500,R$2,0),$A$851,INDEX(Техника!$H$1:$ABO$500,R$2,0),"Д")</f>
        <v>0</v>
      </c>
      <c r="S853" s="50">
        <f>SUMIFS(INDEX(Техника!$F$1:$ABM$500,S$2,0),Техника!$F$4:$ABM$4,"Часы",INDEX(Техника!$G$1:$ABN$500,S$2,0),$A$851,INDEX(Техника!$H$1:$ABO$500,S$2,0),"Д")</f>
        <v>0</v>
      </c>
      <c r="T853" s="50">
        <f>SUMIFS(INDEX(Техника!$F$1:$ABM$500,T$2,0),Техника!$F$4:$ABM$4,"Часы",INDEX(Техника!$G$1:$ABN$500,T$2,0),$A$851,INDEX(Техника!$H$1:$ABO$500,T$2,0),"Д")</f>
        <v>0</v>
      </c>
      <c r="U853" s="50">
        <f>SUMIFS(INDEX(Техника!$F$1:$ABM$500,U$2,0),Техника!$F$4:$ABM$4,"Часы",INDEX(Техника!$G$1:$ABN$500,U$2,0),$A$851,INDEX(Техника!$H$1:$ABO$500,U$2,0),"Д")</f>
        <v>0</v>
      </c>
      <c r="V853" s="50">
        <f>SUMIFS(INDEX(Техника!$F$1:$ABM$500,V$2,0),Техника!$F$4:$ABM$4,"Часы",INDEX(Техника!$G$1:$ABN$500,V$2,0),$A$851,INDEX(Техника!$H$1:$ABO$500,V$2,0),"Д")</f>
        <v>0</v>
      </c>
      <c r="W853" s="50">
        <f>SUMIFS(INDEX(Техника!$F$1:$ABM$500,W$2,0),Техника!$F$4:$ABM$4,"Часы",INDEX(Техника!$G$1:$ABN$500,W$2,0),$A$851,INDEX(Техника!$H$1:$ABO$500,W$2,0),"Д")</f>
        <v>0</v>
      </c>
      <c r="X853" s="50">
        <f>SUMIFS(INDEX(Техника!$F$1:$ABM$500,X$2,0),Техника!$F$4:$ABM$4,"Часы",INDEX(Техника!$G$1:$ABN$500,X$2,0),$A$851,INDEX(Техника!$H$1:$ABO$500,X$2,0),"Д")</f>
        <v>0</v>
      </c>
      <c r="Y853" s="50">
        <f>SUMIFS(INDEX(Техника!$F$1:$ABM$500,Y$2,0),Техника!$F$4:$ABM$4,"Часы",INDEX(Техника!$G$1:$ABN$500,Y$2,0),$A$851,INDEX(Техника!$H$1:$ABO$500,Y$2,0),"Д")</f>
        <v>0</v>
      </c>
      <c r="Z853" s="50">
        <f>SUMIFS(INDEX(Техника!$F$1:$ABM$500,Z$2,0),Техника!$F$4:$ABM$4,"Часы",INDEX(Техника!$G$1:$ABN$500,Z$2,0),$A$851,INDEX(Техника!$H$1:$ABO$500,Z$2,0),"Д")</f>
        <v>0</v>
      </c>
      <c r="AA853" s="50">
        <f>SUMIFS(INDEX(Техника!$F$1:$ABM$500,AA$2,0),Техника!$F$4:$ABM$4,"Часы",INDEX(Техника!$G$1:$ABN$500,AA$2,0),$A$851,INDEX(Техника!$H$1:$ABO$500,AA$2,0),"Д")</f>
        <v>0</v>
      </c>
      <c r="AB853" s="50">
        <f>SUMIFS(INDEX(Техника!$F$1:$ABM$500,AB$2,0),Техника!$F$4:$ABM$4,"Часы",INDEX(Техника!$G$1:$ABN$500,AB$2,0),$A$851,INDEX(Техника!$H$1:$ABO$500,AB$2,0),"Д")</f>
        <v>0</v>
      </c>
    </row>
    <row r="854" spans="1:28" hidden="1" outlineLevel="1" x14ac:dyDescent="0.3">
      <c r="A854" s="33" t="s">
        <v>276</v>
      </c>
      <c r="B854" s="34" t="s">
        <v>277</v>
      </c>
      <c r="C854" s="50">
        <f>SUMIFS(INDEX(Техника!$F$1:$ABM$500,C$2,0),Техника!$F$4:$ABM$4,"Часы",INDEX(Техника!$G$1:$ABN$500,C$2,0),$A$851,INDEX(Техника!$H$1:$ABO$500,C$2,0),"П")</f>
        <v>0</v>
      </c>
      <c r="D854" s="50">
        <f>SUMIFS(INDEX(Техника!$F$1:$ABM$500,D$2,0),Техника!$F$4:$ABM$4,"Часы",INDEX(Техника!$G$1:$ABN$500,D$2,0),$A$851,INDEX(Техника!$H$1:$ABO$500,D$2,0),"П")</f>
        <v>0</v>
      </c>
      <c r="E854" s="50">
        <f>SUMIFS(INDEX(Техника!$F$1:$ABM$500,E$2,0),Техника!$F$4:$ABM$4,"Часы",INDEX(Техника!$G$1:$ABN$500,E$2,0),$A$851,INDEX(Техника!$H$1:$ABO$500,E$2,0),"П")</f>
        <v>0</v>
      </c>
      <c r="F854" s="50">
        <f>SUMIFS(INDEX(Техника!$F$1:$ABM$500,F$2,0),Техника!$F$4:$ABM$4,"Часы",INDEX(Техника!$G$1:$ABN$500,F$2,0),$A$851,INDEX(Техника!$H$1:$ABO$500,F$2,0),"П")</f>
        <v>0</v>
      </c>
      <c r="G854" s="50">
        <f>SUMIFS(INDEX(Техника!$F$1:$ABM$500,G$2,0),Техника!$F$4:$ABM$4,"Часы",INDEX(Техника!$G$1:$ABN$500,G$2,0),$A$851,INDEX(Техника!$H$1:$ABO$500,G$2,0),"П")</f>
        <v>0</v>
      </c>
      <c r="H854" s="50">
        <f>SUMIFS(INDEX(Техника!$F$1:$ABM$500,H$2,0),Техника!$F$4:$ABM$4,"Часы",INDEX(Техника!$G$1:$ABN$500,H$2,0),$A$851,INDEX(Техника!$H$1:$ABO$500,H$2,0),"П")</f>
        <v>0</v>
      </c>
      <c r="I854" s="50">
        <f>SUMIFS(INDEX(Техника!$F$1:$ABM$500,I$2,0),Техника!$F$4:$ABM$4,"Часы",INDEX(Техника!$G$1:$ABN$500,I$2,0),$A$851,INDEX(Техника!$H$1:$ABO$500,I$2,0),"П")</f>
        <v>0</v>
      </c>
      <c r="J854" s="50">
        <f>SUMIFS(INDEX(Техника!$F$1:$ABM$500,J$2,0),Техника!$F$4:$ABM$4,"Часы",INDEX(Техника!$G$1:$ABN$500,J$2,0),$A$851,INDEX(Техника!$H$1:$ABO$500,J$2,0),"П")</f>
        <v>0</v>
      </c>
      <c r="K854" s="50">
        <f>SUMIFS(INDEX(Техника!$F$1:$ABM$500,K$2,0),Техника!$F$4:$ABM$4,"Часы",INDEX(Техника!$G$1:$ABN$500,K$2,0),$A$851,INDEX(Техника!$H$1:$ABO$500,K$2,0),"П")</f>
        <v>0</v>
      </c>
      <c r="L854" s="50">
        <f>SUMIFS(INDEX(Техника!$F$1:$ABM$500,L$2,0),Техника!$F$4:$ABM$4,"Часы",INDEX(Техника!$G$1:$ABN$500,L$2,0),$A$851,INDEX(Техника!$H$1:$ABO$500,L$2,0),"П")</f>
        <v>0</v>
      </c>
      <c r="M854" s="50">
        <f>SUMIFS(INDEX(Техника!$F$1:$ABM$500,M$2,0),Техника!$F$4:$ABM$4,"Часы",INDEX(Техника!$G$1:$ABN$500,M$2,0),$A$851,INDEX(Техника!$H$1:$ABO$500,M$2,0),"П")</f>
        <v>0</v>
      </c>
      <c r="N854" s="50">
        <f>SUMIFS(INDEX(Техника!$F$1:$ABM$500,N$2,0),Техника!$F$4:$ABM$4,"Часы",INDEX(Техника!$G$1:$ABN$500,N$2,0),$A$851,INDEX(Техника!$H$1:$ABO$500,N$2,0),"П")</f>
        <v>0</v>
      </c>
      <c r="O854" s="50">
        <f>SUMIFS(INDEX(Техника!$F$1:$ABM$500,O$2,0),Техника!$F$4:$ABM$4,"Часы",INDEX(Техника!$G$1:$ABN$500,O$2,0),$A$851,INDEX(Техника!$H$1:$ABO$500,O$2,0),"П")</f>
        <v>0</v>
      </c>
      <c r="P854" s="50">
        <f>SUMIFS(INDEX(Техника!$F$1:$ABM$500,P$2,0),Техника!$F$4:$ABM$4,"Часы",INDEX(Техника!$G$1:$ABN$500,P$2,0),$A$851,INDEX(Техника!$H$1:$ABO$500,P$2,0),"П")</f>
        <v>0</v>
      </c>
      <c r="Q854" s="50">
        <f>SUMIFS(INDEX(Техника!$F$1:$ABM$500,Q$2,0),Техника!$F$4:$ABM$4,"Часы",INDEX(Техника!$G$1:$ABN$500,Q$2,0),$A$851,INDEX(Техника!$H$1:$ABO$500,Q$2,0),"П")</f>
        <v>0</v>
      </c>
      <c r="R854" s="50">
        <f>SUMIFS(INDEX(Техника!$F$1:$ABM$500,R$2,0),Техника!$F$4:$ABM$4,"Часы",INDEX(Техника!$G$1:$ABN$500,R$2,0),$A$851,INDEX(Техника!$H$1:$ABO$500,R$2,0),"П")</f>
        <v>0</v>
      </c>
      <c r="S854" s="50">
        <f>SUMIFS(INDEX(Техника!$F$1:$ABM$500,S$2,0),Техника!$F$4:$ABM$4,"Часы",INDEX(Техника!$G$1:$ABN$500,S$2,0),$A$851,INDEX(Техника!$H$1:$ABO$500,S$2,0),"П")</f>
        <v>0</v>
      </c>
      <c r="T854" s="50">
        <f>SUMIFS(INDEX(Техника!$F$1:$ABM$500,T$2,0),Техника!$F$4:$ABM$4,"Часы",INDEX(Техника!$G$1:$ABN$500,T$2,0),$A$851,INDEX(Техника!$H$1:$ABO$500,T$2,0),"П")</f>
        <v>0</v>
      </c>
      <c r="U854" s="50">
        <f>SUMIFS(INDEX(Техника!$F$1:$ABM$500,U$2,0),Техника!$F$4:$ABM$4,"Часы",INDEX(Техника!$G$1:$ABN$500,U$2,0),$A$851,INDEX(Техника!$H$1:$ABO$500,U$2,0),"П")</f>
        <v>0</v>
      </c>
      <c r="V854" s="50">
        <f>SUMIFS(INDEX(Техника!$F$1:$ABM$500,V$2,0),Техника!$F$4:$ABM$4,"Часы",INDEX(Техника!$G$1:$ABN$500,V$2,0),$A$851,INDEX(Техника!$H$1:$ABO$500,V$2,0),"П")</f>
        <v>0</v>
      </c>
      <c r="W854" s="50">
        <f>SUMIFS(INDEX(Техника!$F$1:$ABM$500,W$2,0),Техника!$F$4:$ABM$4,"Часы",INDEX(Техника!$G$1:$ABN$500,W$2,0),$A$851,INDEX(Техника!$H$1:$ABO$500,W$2,0),"П")</f>
        <v>0</v>
      </c>
      <c r="X854" s="50">
        <f>SUMIFS(INDEX(Техника!$F$1:$ABM$500,X$2,0),Техника!$F$4:$ABM$4,"Часы",INDEX(Техника!$G$1:$ABN$500,X$2,0),$A$851,INDEX(Техника!$H$1:$ABO$500,X$2,0),"П")</f>
        <v>0</v>
      </c>
      <c r="Y854" s="50">
        <f>SUMIFS(INDEX(Техника!$F$1:$ABM$500,Y$2,0),Техника!$F$4:$ABM$4,"Часы",INDEX(Техника!$G$1:$ABN$500,Y$2,0),$A$851,INDEX(Техника!$H$1:$ABO$500,Y$2,0),"П")</f>
        <v>0</v>
      </c>
      <c r="Z854" s="50">
        <f>SUMIFS(INDEX(Техника!$F$1:$ABM$500,Z$2,0),Техника!$F$4:$ABM$4,"Часы",INDEX(Техника!$G$1:$ABN$500,Z$2,0),$A$851,INDEX(Техника!$H$1:$ABO$500,Z$2,0),"П")</f>
        <v>0</v>
      </c>
      <c r="AA854" s="50">
        <f>SUMIFS(INDEX(Техника!$F$1:$ABM$500,AA$2,0),Техника!$F$4:$ABM$4,"Часы",INDEX(Техника!$G$1:$ABN$500,AA$2,0),$A$851,INDEX(Техника!$H$1:$ABO$500,AA$2,0),"П")</f>
        <v>0</v>
      </c>
      <c r="AB854" s="50">
        <f>SUMIFS(INDEX(Техника!$F$1:$ABM$500,AB$2,0),Техника!$F$4:$ABM$4,"Часы",INDEX(Техника!$G$1:$ABN$500,AB$2,0),$A$851,INDEX(Техника!$H$1:$ABO$500,AB$2,0),"П")</f>
        <v>0</v>
      </c>
    </row>
    <row r="855" spans="1:28" hidden="1" outlineLevel="1" x14ac:dyDescent="0.3">
      <c r="A855" s="33" t="s">
        <v>243</v>
      </c>
      <c r="B855" s="34" t="s">
        <v>278</v>
      </c>
      <c r="C855" s="50">
        <f>SUMIFS(INDEX(Техника!$F$1:$ABM$500,C$2,0),Техника!$F$4:$ABM$4,"Часы",INDEX(Техника!$G$1:$ABN$500,C$2,0),$A$851,INDEX(Техника!$H$1:$ABO$500,C$2,0),"Л")</f>
        <v>0</v>
      </c>
      <c r="D855" s="50">
        <f>SUMIFS(INDEX(Техника!$F$1:$ABM$500,D$2,0),Техника!$F$4:$ABM$4,"Часы",INDEX(Техника!$G$1:$ABN$500,D$2,0),$A$851,INDEX(Техника!$H$1:$ABO$500,D$2,0),"Л")</f>
        <v>0</v>
      </c>
      <c r="E855" s="50">
        <f>SUMIFS(INDEX(Техника!$F$1:$ABM$500,E$2,0),Техника!$F$4:$ABM$4,"Часы",INDEX(Техника!$G$1:$ABN$500,E$2,0),$A$851,INDEX(Техника!$H$1:$ABO$500,E$2,0),"Л")</f>
        <v>0</v>
      </c>
      <c r="F855" s="50">
        <f>SUMIFS(INDEX(Техника!$F$1:$ABM$500,F$2,0),Техника!$F$4:$ABM$4,"Часы",INDEX(Техника!$G$1:$ABN$500,F$2,0),$A$851,INDEX(Техника!$H$1:$ABO$500,F$2,0),"Л")</f>
        <v>0</v>
      </c>
      <c r="G855" s="50">
        <f>SUMIFS(INDEX(Техника!$F$1:$ABM$500,G$2,0),Техника!$F$4:$ABM$4,"Часы",INDEX(Техника!$G$1:$ABN$500,G$2,0),$A$851,INDEX(Техника!$H$1:$ABO$500,G$2,0),"Л")</f>
        <v>0</v>
      </c>
      <c r="H855" s="50">
        <f>SUMIFS(INDEX(Техника!$F$1:$ABM$500,H$2,0),Техника!$F$4:$ABM$4,"Часы",INDEX(Техника!$G$1:$ABN$500,H$2,0),$A$851,INDEX(Техника!$H$1:$ABO$500,H$2,0),"Л")</f>
        <v>0</v>
      </c>
      <c r="I855" s="50">
        <f>SUMIFS(INDEX(Техника!$F$1:$ABM$500,I$2,0),Техника!$F$4:$ABM$4,"Часы",INDEX(Техника!$G$1:$ABN$500,I$2,0),$A$851,INDEX(Техника!$H$1:$ABO$500,I$2,0),"Л")</f>
        <v>0</v>
      </c>
      <c r="J855" s="50">
        <f>SUMIFS(INDEX(Техника!$F$1:$ABM$500,J$2,0),Техника!$F$4:$ABM$4,"Часы",INDEX(Техника!$G$1:$ABN$500,J$2,0),$A$851,INDEX(Техника!$H$1:$ABO$500,J$2,0),"Л")</f>
        <v>0</v>
      </c>
      <c r="K855" s="50">
        <f>SUMIFS(INDEX(Техника!$F$1:$ABM$500,K$2,0),Техника!$F$4:$ABM$4,"Часы",INDEX(Техника!$G$1:$ABN$500,K$2,0),$A$851,INDEX(Техника!$H$1:$ABO$500,K$2,0),"Л")</f>
        <v>0</v>
      </c>
      <c r="L855" s="50">
        <f>SUMIFS(INDEX(Техника!$F$1:$ABM$500,L$2,0),Техника!$F$4:$ABM$4,"Часы",INDEX(Техника!$G$1:$ABN$500,L$2,0),$A$851,INDEX(Техника!$H$1:$ABO$500,L$2,0),"Л")</f>
        <v>0</v>
      </c>
      <c r="M855" s="50">
        <f>SUMIFS(INDEX(Техника!$F$1:$ABM$500,M$2,0),Техника!$F$4:$ABM$4,"Часы",INDEX(Техника!$G$1:$ABN$500,M$2,0),$A$851,INDEX(Техника!$H$1:$ABO$500,M$2,0),"Л")</f>
        <v>0</v>
      </c>
      <c r="N855" s="50">
        <f>SUMIFS(INDEX(Техника!$F$1:$ABM$500,N$2,0),Техника!$F$4:$ABM$4,"Часы",INDEX(Техника!$G$1:$ABN$500,N$2,0),$A$851,INDEX(Техника!$H$1:$ABO$500,N$2,0),"Л")</f>
        <v>0</v>
      </c>
      <c r="O855" s="50">
        <f>SUMIFS(INDEX(Техника!$F$1:$ABM$500,O$2,0),Техника!$F$4:$ABM$4,"Часы",INDEX(Техника!$G$1:$ABN$500,O$2,0),$A$851,INDEX(Техника!$H$1:$ABO$500,O$2,0),"Л")</f>
        <v>0</v>
      </c>
      <c r="P855" s="50">
        <f>SUMIFS(INDEX(Техника!$F$1:$ABM$500,P$2,0),Техника!$F$4:$ABM$4,"Часы",INDEX(Техника!$G$1:$ABN$500,P$2,0),$A$851,INDEX(Техника!$H$1:$ABO$500,P$2,0),"Л")</f>
        <v>0</v>
      </c>
      <c r="Q855" s="50">
        <f>SUMIFS(INDEX(Техника!$F$1:$ABM$500,Q$2,0),Техника!$F$4:$ABM$4,"Часы",INDEX(Техника!$G$1:$ABN$500,Q$2,0),$A$851,INDEX(Техника!$H$1:$ABO$500,Q$2,0),"Л")</f>
        <v>0</v>
      </c>
      <c r="R855" s="50">
        <f>SUMIFS(INDEX(Техника!$F$1:$ABM$500,R$2,0),Техника!$F$4:$ABM$4,"Часы",INDEX(Техника!$G$1:$ABN$500,R$2,0),$A$851,INDEX(Техника!$H$1:$ABO$500,R$2,0),"Л")</f>
        <v>0</v>
      </c>
      <c r="S855" s="50">
        <f>SUMIFS(INDEX(Техника!$F$1:$ABM$500,S$2,0),Техника!$F$4:$ABM$4,"Часы",INDEX(Техника!$G$1:$ABN$500,S$2,0),$A$851,INDEX(Техника!$H$1:$ABO$500,S$2,0),"Л")</f>
        <v>0</v>
      </c>
      <c r="T855" s="50">
        <f>SUMIFS(INDEX(Техника!$F$1:$ABM$500,T$2,0),Техника!$F$4:$ABM$4,"Часы",INDEX(Техника!$G$1:$ABN$500,T$2,0),$A$851,INDEX(Техника!$H$1:$ABO$500,T$2,0),"Л")</f>
        <v>0</v>
      </c>
      <c r="U855" s="50">
        <f>SUMIFS(INDEX(Техника!$F$1:$ABM$500,U$2,0),Техника!$F$4:$ABM$4,"Часы",INDEX(Техника!$G$1:$ABN$500,U$2,0),$A$851,INDEX(Техника!$H$1:$ABO$500,U$2,0),"Л")</f>
        <v>0</v>
      </c>
      <c r="V855" s="50">
        <f>SUMIFS(INDEX(Техника!$F$1:$ABM$500,V$2,0),Техника!$F$4:$ABM$4,"Часы",INDEX(Техника!$G$1:$ABN$500,V$2,0),$A$851,INDEX(Техника!$H$1:$ABO$500,V$2,0),"Л")</f>
        <v>0</v>
      </c>
      <c r="W855" s="50">
        <f>SUMIFS(INDEX(Техника!$F$1:$ABM$500,W$2,0),Техника!$F$4:$ABM$4,"Часы",INDEX(Техника!$G$1:$ABN$500,W$2,0),$A$851,INDEX(Техника!$H$1:$ABO$500,W$2,0),"Л")</f>
        <v>0</v>
      </c>
      <c r="X855" s="50">
        <f>SUMIFS(INDEX(Техника!$F$1:$ABM$500,X$2,0),Техника!$F$4:$ABM$4,"Часы",INDEX(Техника!$G$1:$ABN$500,X$2,0),$A$851,INDEX(Техника!$H$1:$ABO$500,X$2,0),"Л")</f>
        <v>0</v>
      </c>
      <c r="Y855" s="50">
        <f>SUMIFS(INDEX(Техника!$F$1:$ABM$500,Y$2,0),Техника!$F$4:$ABM$4,"Часы",INDEX(Техника!$G$1:$ABN$500,Y$2,0),$A$851,INDEX(Техника!$H$1:$ABO$500,Y$2,0),"Л")</f>
        <v>0</v>
      </c>
      <c r="Z855" s="50">
        <f>SUMIFS(INDEX(Техника!$F$1:$ABM$500,Z$2,0),Техника!$F$4:$ABM$4,"Часы",INDEX(Техника!$G$1:$ABN$500,Z$2,0),$A$851,INDEX(Техника!$H$1:$ABO$500,Z$2,0),"Л")</f>
        <v>0</v>
      </c>
      <c r="AA855" s="50">
        <f>SUMIFS(INDEX(Техника!$F$1:$ABM$500,AA$2,0),Техника!$F$4:$ABM$4,"Часы",INDEX(Техника!$G$1:$ABN$500,AA$2,0),$A$851,INDEX(Техника!$H$1:$ABO$500,AA$2,0),"Л")</f>
        <v>0</v>
      </c>
      <c r="AB855" s="50">
        <f>SUMIFS(INDEX(Техника!$F$1:$ABM$500,AB$2,0),Техника!$F$4:$ABM$4,"Часы",INDEX(Техника!$G$1:$ABN$500,AB$2,0),$A$851,INDEX(Техника!$H$1:$ABO$500,AB$2,0),"Л")</f>
        <v>0</v>
      </c>
    </row>
    <row r="856" spans="1:28" hidden="1" outlineLevel="1" x14ac:dyDescent="0.3">
      <c r="A856" s="33" t="s">
        <v>245</v>
      </c>
      <c r="B856" s="34" t="s">
        <v>279</v>
      </c>
      <c r="C856" s="50">
        <f>SUMIFS(INDEX(Техника!$F$1:$ABM$500,C$2,0),Техника!$F$4:$ABM$4,"Часы",INDEX(Техника!$G$1:$ABN$500,C$2,0),$A$851,INDEX(Техника!$H$1:$ABO$500,C$2,0),"З")</f>
        <v>0</v>
      </c>
      <c r="D856" s="50">
        <f>SUMIFS(INDEX(Техника!$F$1:$ABM$500,D$2,0),Техника!$F$4:$ABM$4,"Часы",INDEX(Техника!$G$1:$ABN$500,D$2,0),$A$851,INDEX(Техника!$H$1:$ABO$500,D$2,0),"З")</f>
        <v>0</v>
      </c>
      <c r="E856" s="50">
        <f>SUMIFS(INDEX(Техника!$F$1:$ABM$500,E$2,0),Техника!$F$4:$ABM$4,"Часы",INDEX(Техника!$G$1:$ABN$500,E$2,0),$A$851,INDEX(Техника!$H$1:$ABO$500,E$2,0),"З")</f>
        <v>0</v>
      </c>
      <c r="F856" s="50">
        <f>SUMIFS(INDEX(Техника!$F$1:$ABM$500,F$2,0),Техника!$F$4:$ABM$4,"Часы",INDEX(Техника!$G$1:$ABN$500,F$2,0),$A$851,INDEX(Техника!$H$1:$ABO$500,F$2,0),"З")</f>
        <v>0</v>
      </c>
      <c r="G856" s="50">
        <f>SUMIFS(INDEX(Техника!$F$1:$ABM$500,G$2,0),Техника!$F$4:$ABM$4,"Часы",INDEX(Техника!$G$1:$ABN$500,G$2,0),$A$851,INDEX(Техника!$H$1:$ABO$500,G$2,0),"З")</f>
        <v>0</v>
      </c>
      <c r="H856" s="50">
        <f>SUMIFS(INDEX(Техника!$F$1:$ABM$500,H$2,0),Техника!$F$4:$ABM$4,"Часы",INDEX(Техника!$G$1:$ABN$500,H$2,0),$A$851,INDEX(Техника!$H$1:$ABO$500,H$2,0),"З")</f>
        <v>0</v>
      </c>
      <c r="I856" s="50">
        <f>SUMIFS(INDEX(Техника!$F$1:$ABM$500,I$2,0),Техника!$F$4:$ABM$4,"Часы",INDEX(Техника!$G$1:$ABN$500,I$2,0),$A$851,INDEX(Техника!$H$1:$ABO$500,I$2,0),"З")</f>
        <v>0</v>
      </c>
      <c r="J856" s="50">
        <f>SUMIFS(INDEX(Техника!$F$1:$ABM$500,J$2,0),Техника!$F$4:$ABM$4,"Часы",INDEX(Техника!$G$1:$ABN$500,J$2,0),$A$851,INDEX(Техника!$H$1:$ABO$500,J$2,0),"З")</f>
        <v>0</v>
      </c>
      <c r="K856" s="50">
        <f>SUMIFS(INDEX(Техника!$F$1:$ABM$500,K$2,0),Техника!$F$4:$ABM$4,"Часы",INDEX(Техника!$G$1:$ABN$500,K$2,0),$A$851,INDEX(Техника!$H$1:$ABO$500,K$2,0),"З")</f>
        <v>0</v>
      </c>
      <c r="L856" s="50">
        <f>SUMIFS(INDEX(Техника!$F$1:$ABM$500,L$2,0),Техника!$F$4:$ABM$4,"Часы",INDEX(Техника!$G$1:$ABN$500,L$2,0),$A$851,INDEX(Техника!$H$1:$ABO$500,L$2,0),"З")</f>
        <v>0</v>
      </c>
      <c r="M856" s="50">
        <f>SUMIFS(INDEX(Техника!$F$1:$ABM$500,M$2,0),Техника!$F$4:$ABM$4,"Часы",INDEX(Техника!$G$1:$ABN$500,M$2,0),$A$851,INDEX(Техника!$H$1:$ABO$500,M$2,0),"З")</f>
        <v>0</v>
      </c>
      <c r="N856" s="50">
        <f>SUMIFS(INDEX(Техника!$F$1:$ABM$500,N$2,0),Техника!$F$4:$ABM$4,"Часы",INDEX(Техника!$G$1:$ABN$500,N$2,0),$A$851,INDEX(Техника!$H$1:$ABO$500,N$2,0),"З")</f>
        <v>0</v>
      </c>
      <c r="O856" s="50">
        <f>SUMIFS(INDEX(Техника!$F$1:$ABM$500,O$2,0),Техника!$F$4:$ABM$4,"Часы",INDEX(Техника!$G$1:$ABN$500,O$2,0),$A$851,INDEX(Техника!$H$1:$ABO$500,O$2,0),"З")</f>
        <v>0</v>
      </c>
      <c r="P856" s="50">
        <f>SUMIFS(INDEX(Техника!$F$1:$ABM$500,P$2,0),Техника!$F$4:$ABM$4,"Часы",INDEX(Техника!$G$1:$ABN$500,P$2,0),$A$851,INDEX(Техника!$H$1:$ABO$500,P$2,0),"З")</f>
        <v>0</v>
      </c>
      <c r="Q856" s="50">
        <f>SUMIFS(INDEX(Техника!$F$1:$ABM$500,Q$2,0),Техника!$F$4:$ABM$4,"Часы",INDEX(Техника!$G$1:$ABN$500,Q$2,0),$A$851,INDEX(Техника!$H$1:$ABO$500,Q$2,0),"З")</f>
        <v>0</v>
      </c>
      <c r="R856" s="50">
        <f>SUMIFS(INDEX(Техника!$F$1:$ABM$500,R$2,0),Техника!$F$4:$ABM$4,"Часы",INDEX(Техника!$G$1:$ABN$500,R$2,0),$A$851,INDEX(Техника!$H$1:$ABO$500,R$2,0),"З")</f>
        <v>0</v>
      </c>
      <c r="S856" s="50">
        <f>SUMIFS(INDEX(Техника!$F$1:$ABM$500,S$2,0),Техника!$F$4:$ABM$4,"Часы",INDEX(Техника!$G$1:$ABN$500,S$2,0),$A$851,INDEX(Техника!$H$1:$ABO$500,S$2,0),"З")</f>
        <v>0</v>
      </c>
      <c r="T856" s="50">
        <f>SUMIFS(INDEX(Техника!$F$1:$ABM$500,T$2,0),Техника!$F$4:$ABM$4,"Часы",INDEX(Техника!$G$1:$ABN$500,T$2,0),$A$851,INDEX(Техника!$H$1:$ABO$500,T$2,0),"З")</f>
        <v>0</v>
      </c>
      <c r="U856" s="50">
        <f>SUMIFS(INDEX(Техника!$F$1:$ABM$500,U$2,0),Техника!$F$4:$ABM$4,"Часы",INDEX(Техника!$G$1:$ABN$500,U$2,0),$A$851,INDEX(Техника!$H$1:$ABO$500,U$2,0),"З")</f>
        <v>0</v>
      </c>
      <c r="V856" s="50">
        <f>SUMIFS(INDEX(Техника!$F$1:$ABM$500,V$2,0),Техника!$F$4:$ABM$4,"Часы",INDEX(Техника!$G$1:$ABN$500,V$2,0),$A$851,INDEX(Техника!$H$1:$ABO$500,V$2,0),"З")</f>
        <v>0</v>
      </c>
      <c r="W856" s="50">
        <f>SUMIFS(INDEX(Техника!$F$1:$ABM$500,W$2,0),Техника!$F$4:$ABM$4,"Часы",INDEX(Техника!$G$1:$ABN$500,W$2,0),$A$851,INDEX(Техника!$H$1:$ABO$500,W$2,0),"З")</f>
        <v>0</v>
      </c>
      <c r="X856" s="50">
        <f>SUMIFS(INDEX(Техника!$F$1:$ABM$500,X$2,0),Техника!$F$4:$ABM$4,"Часы",INDEX(Техника!$G$1:$ABN$500,X$2,0),$A$851,INDEX(Техника!$H$1:$ABO$500,X$2,0),"З")</f>
        <v>0</v>
      </c>
      <c r="Y856" s="50">
        <f>SUMIFS(INDEX(Техника!$F$1:$ABM$500,Y$2,0),Техника!$F$4:$ABM$4,"Часы",INDEX(Техника!$G$1:$ABN$500,Y$2,0),$A$851,INDEX(Техника!$H$1:$ABO$500,Y$2,0),"З")</f>
        <v>0</v>
      </c>
      <c r="Z856" s="50">
        <f>SUMIFS(INDEX(Техника!$F$1:$ABM$500,Z$2,0),Техника!$F$4:$ABM$4,"Часы",INDEX(Техника!$G$1:$ABN$500,Z$2,0),$A$851,INDEX(Техника!$H$1:$ABO$500,Z$2,0),"З")</f>
        <v>0</v>
      </c>
      <c r="AA856" s="50">
        <f>SUMIFS(INDEX(Техника!$F$1:$ABM$500,AA$2,0),Техника!$F$4:$ABM$4,"Часы",INDEX(Техника!$G$1:$ABN$500,AA$2,0),$A$851,INDEX(Техника!$H$1:$ABO$500,AA$2,0),"З")</f>
        <v>0</v>
      </c>
      <c r="AB856" s="50">
        <f>SUMIFS(INDEX(Техника!$F$1:$ABM$500,AB$2,0),Техника!$F$4:$ABM$4,"Часы",INDEX(Техника!$G$1:$ABN$500,AB$2,0),$A$851,INDEX(Техника!$H$1:$ABO$500,AB$2,0),"З")</f>
        <v>0</v>
      </c>
    </row>
    <row r="857" spans="1:28" ht="7.95" customHeight="1" x14ac:dyDescent="0.3">
      <c r="A857" s="38"/>
      <c r="B857" s="39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</row>
    <row r="858" spans="1:28" ht="25.05" customHeight="1" collapsed="1" x14ac:dyDescent="0.3">
      <c r="A858" s="32">
        <v>123</v>
      </c>
      <c r="B858" s="32" t="s">
        <v>124</v>
      </c>
      <c r="C858" s="49">
        <f>SUM(C859:C863)</f>
        <v>0</v>
      </c>
      <c r="D858" s="49">
        <f>SUM(D859:D863)</f>
        <v>0</v>
      </c>
      <c r="E858" s="49">
        <f>SUM(E859:E863)</f>
        <v>0</v>
      </c>
      <c r="F858" s="49">
        <f>SUM(F859:F863)</f>
        <v>0</v>
      </c>
      <c r="G858" s="49">
        <f>SUM(G859:G863)</f>
        <v>0</v>
      </c>
      <c r="H858" s="49">
        <f>SUM(H859:H863)</f>
        <v>0</v>
      </c>
      <c r="I858" s="49">
        <f>SUM(I859:I863)</f>
        <v>0</v>
      </c>
      <c r="J858" s="49">
        <f>SUM(J859:J863)</f>
        <v>0</v>
      </c>
      <c r="K858" s="49">
        <f>SUM(K859:K863)</f>
        <v>0</v>
      </c>
      <c r="L858" s="49">
        <f>SUM(L859:L863)</f>
        <v>0</v>
      </c>
      <c r="M858" s="49">
        <f>SUM(M859:M863)</f>
        <v>0</v>
      </c>
      <c r="N858" s="49">
        <f>SUM(N859:N863)</f>
        <v>0</v>
      </c>
      <c r="O858" s="49">
        <f>SUM(O859:O863)</f>
        <v>0</v>
      </c>
      <c r="P858" s="49">
        <f>SUM(P859:P863)</f>
        <v>0</v>
      </c>
      <c r="Q858" s="49">
        <f>SUM(Q859:Q863)</f>
        <v>0</v>
      </c>
      <c r="R858" s="49">
        <f>SUM(R859:R863)</f>
        <v>0</v>
      </c>
      <c r="S858" s="49">
        <f>SUM(S859:S863)</f>
        <v>0</v>
      </c>
      <c r="T858" s="49">
        <f>SUM(T859:T863)</f>
        <v>0</v>
      </c>
      <c r="U858" s="49">
        <f>SUM(U859:U863)</f>
        <v>0</v>
      </c>
      <c r="V858" s="49">
        <f>SUM(V859:V863)</f>
        <v>0</v>
      </c>
      <c r="W858" s="49">
        <f>SUM(W859:W863)</f>
        <v>0</v>
      </c>
      <c r="X858" s="49">
        <f>SUM(X859:X863)</f>
        <v>0</v>
      </c>
      <c r="Y858" s="49">
        <f>SUM(Y859:Y863)</f>
        <v>0</v>
      </c>
      <c r="Z858" s="49">
        <f>SUM(Z859:Z863)</f>
        <v>0</v>
      </c>
      <c r="AA858" s="49">
        <f>SUM(AA859:AA863)</f>
        <v>0</v>
      </c>
      <c r="AB858" s="49">
        <f>SUM(AB859:AB863)</f>
        <v>0</v>
      </c>
    </row>
    <row r="859" spans="1:28" hidden="1" outlineLevel="1" x14ac:dyDescent="0.3">
      <c r="A859" s="33" t="s">
        <v>246</v>
      </c>
      <c r="B859" s="34" t="s">
        <v>274</v>
      </c>
      <c r="C859" s="50">
        <f>SUMIFS(INDEX(Техника!$F$1:$ABM$500,C$2,0),Техника!$F$4:$ABM$4,"Часы",INDEX(Техника!$G$1:$ABN$500,C$2,0),$A$858,INDEX(Техника!$H$1:$ABO$500,C$2,0),"М")</f>
        <v>0</v>
      </c>
      <c r="D859" s="50">
        <f>SUMIFS(INDEX(Техника!$F$1:$ABM$500,D$2,0),Техника!$F$4:$ABM$4,"Часы",INDEX(Техника!$G$1:$ABN$500,D$2,0),$A$858,INDEX(Техника!$H$1:$ABO$500,D$2,0),"М")</f>
        <v>0</v>
      </c>
      <c r="E859" s="50">
        <f>SUMIFS(INDEX(Техника!$F$1:$ABM$500,E$2,0),Техника!$F$4:$ABM$4,"Часы",INDEX(Техника!$G$1:$ABN$500,E$2,0),$A$858,INDEX(Техника!$H$1:$ABO$500,E$2,0),"М")</f>
        <v>0</v>
      </c>
      <c r="F859" s="50">
        <f>SUMIFS(INDEX(Техника!$F$1:$ABM$500,F$2,0),Техника!$F$4:$ABM$4,"Часы",INDEX(Техника!$G$1:$ABN$500,F$2,0),$A$858,INDEX(Техника!$H$1:$ABO$500,F$2,0),"М")</f>
        <v>0</v>
      </c>
      <c r="G859" s="50">
        <f>SUMIFS(INDEX(Техника!$F$1:$ABM$500,G$2,0),Техника!$F$4:$ABM$4,"Часы",INDEX(Техника!$G$1:$ABN$500,G$2,0),$A$858,INDEX(Техника!$H$1:$ABO$500,G$2,0),"М")</f>
        <v>0</v>
      </c>
      <c r="H859" s="50">
        <f>SUMIFS(INDEX(Техника!$F$1:$ABM$500,H$2,0),Техника!$F$4:$ABM$4,"Часы",INDEX(Техника!$G$1:$ABN$500,H$2,0),$A$858,INDEX(Техника!$H$1:$ABO$500,H$2,0),"М")</f>
        <v>0</v>
      </c>
      <c r="I859" s="50">
        <f>SUMIFS(INDEX(Техника!$F$1:$ABM$500,I$2,0),Техника!$F$4:$ABM$4,"Часы",INDEX(Техника!$G$1:$ABN$500,I$2,0),$A$858,INDEX(Техника!$H$1:$ABO$500,I$2,0),"М")</f>
        <v>0</v>
      </c>
      <c r="J859" s="50">
        <f>SUMIFS(INDEX(Техника!$F$1:$ABM$500,J$2,0),Техника!$F$4:$ABM$4,"Часы",INDEX(Техника!$G$1:$ABN$500,J$2,0),$A$858,INDEX(Техника!$H$1:$ABO$500,J$2,0),"М")</f>
        <v>0</v>
      </c>
      <c r="K859" s="50">
        <f>SUMIFS(INDEX(Техника!$F$1:$ABM$500,K$2,0),Техника!$F$4:$ABM$4,"Часы",INDEX(Техника!$G$1:$ABN$500,K$2,0),$A$858,INDEX(Техника!$H$1:$ABO$500,K$2,0),"М")</f>
        <v>0</v>
      </c>
      <c r="L859" s="50">
        <f>SUMIFS(INDEX(Техника!$F$1:$ABM$500,L$2,0),Техника!$F$4:$ABM$4,"Часы",INDEX(Техника!$G$1:$ABN$500,L$2,0),$A$858,INDEX(Техника!$H$1:$ABO$500,L$2,0),"М")</f>
        <v>0</v>
      </c>
      <c r="M859" s="50">
        <f>SUMIFS(INDEX(Техника!$F$1:$ABM$500,M$2,0),Техника!$F$4:$ABM$4,"Часы",INDEX(Техника!$G$1:$ABN$500,M$2,0),$A$858,INDEX(Техника!$H$1:$ABO$500,M$2,0),"М")</f>
        <v>0</v>
      </c>
      <c r="N859" s="50">
        <f>SUMIFS(INDEX(Техника!$F$1:$ABM$500,N$2,0),Техника!$F$4:$ABM$4,"Часы",INDEX(Техника!$G$1:$ABN$500,N$2,0),$A$858,INDEX(Техника!$H$1:$ABO$500,N$2,0),"М")</f>
        <v>0</v>
      </c>
      <c r="O859" s="50">
        <f>SUMIFS(INDEX(Техника!$F$1:$ABM$500,O$2,0),Техника!$F$4:$ABM$4,"Часы",INDEX(Техника!$G$1:$ABN$500,O$2,0),$A$858,INDEX(Техника!$H$1:$ABO$500,O$2,0),"М")</f>
        <v>0</v>
      </c>
      <c r="P859" s="50">
        <f>SUMIFS(INDEX(Техника!$F$1:$ABM$500,P$2,0),Техника!$F$4:$ABM$4,"Часы",INDEX(Техника!$G$1:$ABN$500,P$2,0),$A$858,INDEX(Техника!$H$1:$ABO$500,P$2,0),"М")</f>
        <v>0</v>
      </c>
      <c r="Q859" s="50">
        <f>SUMIFS(INDEX(Техника!$F$1:$ABM$500,Q$2,0),Техника!$F$4:$ABM$4,"Часы",INDEX(Техника!$G$1:$ABN$500,Q$2,0),$A$858,INDEX(Техника!$H$1:$ABO$500,Q$2,0),"М")</f>
        <v>0</v>
      </c>
      <c r="R859" s="50">
        <f>SUMIFS(INDEX(Техника!$F$1:$ABM$500,R$2,0),Техника!$F$4:$ABM$4,"Часы",INDEX(Техника!$G$1:$ABN$500,R$2,0),$A$858,INDEX(Техника!$H$1:$ABO$500,R$2,0),"М")</f>
        <v>0</v>
      </c>
      <c r="S859" s="50">
        <f>SUMIFS(INDEX(Техника!$F$1:$ABM$500,S$2,0),Техника!$F$4:$ABM$4,"Часы",INDEX(Техника!$G$1:$ABN$500,S$2,0),$A$858,INDEX(Техника!$H$1:$ABO$500,S$2,0),"М")</f>
        <v>0</v>
      </c>
      <c r="T859" s="50">
        <f>SUMIFS(INDEX(Техника!$F$1:$ABM$500,T$2,0),Техника!$F$4:$ABM$4,"Часы",INDEX(Техника!$G$1:$ABN$500,T$2,0),$A$858,INDEX(Техника!$H$1:$ABO$500,T$2,0),"М")</f>
        <v>0</v>
      </c>
      <c r="U859" s="50">
        <f>SUMIFS(INDEX(Техника!$F$1:$ABM$500,U$2,0),Техника!$F$4:$ABM$4,"Часы",INDEX(Техника!$G$1:$ABN$500,U$2,0),$A$858,INDEX(Техника!$H$1:$ABO$500,U$2,0),"М")</f>
        <v>0</v>
      </c>
      <c r="V859" s="50">
        <f>SUMIFS(INDEX(Техника!$F$1:$ABM$500,V$2,0),Техника!$F$4:$ABM$4,"Часы",INDEX(Техника!$G$1:$ABN$500,V$2,0),$A$858,INDEX(Техника!$H$1:$ABO$500,V$2,0),"М")</f>
        <v>0</v>
      </c>
      <c r="W859" s="50">
        <f>SUMIFS(INDEX(Техника!$F$1:$ABM$500,W$2,0),Техника!$F$4:$ABM$4,"Часы",INDEX(Техника!$G$1:$ABN$500,W$2,0),$A$858,INDEX(Техника!$H$1:$ABO$500,W$2,0),"М")</f>
        <v>0</v>
      </c>
      <c r="X859" s="50">
        <f>SUMIFS(INDEX(Техника!$F$1:$ABM$500,X$2,0),Техника!$F$4:$ABM$4,"Часы",INDEX(Техника!$G$1:$ABN$500,X$2,0),$A$858,INDEX(Техника!$H$1:$ABO$500,X$2,0),"М")</f>
        <v>0</v>
      </c>
      <c r="Y859" s="50">
        <f>SUMIFS(INDEX(Техника!$F$1:$ABM$500,Y$2,0),Техника!$F$4:$ABM$4,"Часы",INDEX(Техника!$G$1:$ABN$500,Y$2,0),$A$858,INDEX(Техника!$H$1:$ABO$500,Y$2,0),"М")</f>
        <v>0</v>
      </c>
      <c r="Z859" s="50">
        <f>SUMIFS(INDEX(Техника!$F$1:$ABM$500,Z$2,0),Техника!$F$4:$ABM$4,"Часы",INDEX(Техника!$G$1:$ABN$500,Z$2,0),$A$858,INDEX(Техника!$H$1:$ABO$500,Z$2,0),"М")</f>
        <v>0</v>
      </c>
      <c r="AA859" s="50">
        <f>SUMIFS(INDEX(Техника!$F$1:$ABM$500,AA$2,0),Техника!$F$4:$ABM$4,"Часы",INDEX(Техника!$G$1:$ABN$500,AA$2,0),$A$858,INDEX(Техника!$H$1:$ABO$500,AA$2,0),"М")</f>
        <v>0</v>
      </c>
      <c r="AB859" s="50">
        <f>SUMIFS(INDEX(Техника!$F$1:$ABM$500,AB$2,0),Техника!$F$4:$ABM$4,"Часы",INDEX(Техника!$G$1:$ABN$500,AB$2,0),$A$858,INDEX(Техника!$H$1:$ABO$500,AB$2,0),"М")</f>
        <v>0</v>
      </c>
    </row>
    <row r="860" spans="1:28" hidden="1" outlineLevel="1" x14ac:dyDescent="0.3">
      <c r="A860" s="33" t="s">
        <v>244</v>
      </c>
      <c r="B860" s="34" t="s">
        <v>275</v>
      </c>
      <c r="C860" s="50">
        <f>SUMIFS(INDEX(Техника!$F$1:$ABM$500,C$2,0),Техника!$F$4:$ABM$4,"Часы",INDEX(Техника!$G$1:$ABN$500,C$2,0),$A$858,INDEX(Техника!$H$1:$ABO$500,C$2,0),"Д")</f>
        <v>0</v>
      </c>
      <c r="D860" s="50">
        <f>SUMIFS(INDEX(Техника!$F$1:$ABM$500,D$2,0),Техника!$F$4:$ABM$4,"Часы",INDEX(Техника!$G$1:$ABN$500,D$2,0),$A$858,INDEX(Техника!$H$1:$ABO$500,D$2,0),"Д")</f>
        <v>0</v>
      </c>
      <c r="E860" s="50">
        <f>SUMIFS(INDEX(Техника!$F$1:$ABM$500,E$2,0),Техника!$F$4:$ABM$4,"Часы",INDEX(Техника!$G$1:$ABN$500,E$2,0),$A$858,INDEX(Техника!$H$1:$ABO$500,E$2,0),"Д")</f>
        <v>0</v>
      </c>
      <c r="F860" s="50">
        <f>SUMIFS(INDEX(Техника!$F$1:$ABM$500,F$2,0),Техника!$F$4:$ABM$4,"Часы",INDEX(Техника!$G$1:$ABN$500,F$2,0),$A$858,INDEX(Техника!$H$1:$ABO$500,F$2,0),"Д")</f>
        <v>0</v>
      </c>
      <c r="G860" s="50">
        <f>SUMIFS(INDEX(Техника!$F$1:$ABM$500,G$2,0),Техника!$F$4:$ABM$4,"Часы",INDEX(Техника!$G$1:$ABN$500,G$2,0),$A$858,INDEX(Техника!$H$1:$ABO$500,G$2,0),"Д")</f>
        <v>0</v>
      </c>
      <c r="H860" s="50">
        <f>SUMIFS(INDEX(Техника!$F$1:$ABM$500,H$2,0),Техника!$F$4:$ABM$4,"Часы",INDEX(Техника!$G$1:$ABN$500,H$2,0),$A$858,INDEX(Техника!$H$1:$ABO$500,H$2,0),"Д")</f>
        <v>0</v>
      </c>
      <c r="I860" s="50">
        <f>SUMIFS(INDEX(Техника!$F$1:$ABM$500,I$2,0),Техника!$F$4:$ABM$4,"Часы",INDEX(Техника!$G$1:$ABN$500,I$2,0),$A$858,INDEX(Техника!$H$1:$ABO$500,I$2,0),"Д")</f>
        <v>0</v>
      </c>
      <c r="J860" s="50">
        <f>SUMIFS(INDEX(Техника!$F$1:$ABM$500,J$2,0),Техника!$F$4:$ABM$4,"Часы",INDEX(Техника!$G$1:$ABN$500,J$2,0),$A$858,INDEX(Техника!$H$1:$ABO$500,J$2,0),"Д")</f>
        <v>0</v>
      </c>
      <c r="K860" s="50">
        <f>SUMIFS(INDEX(Техника!$F$1:$ABM$500,K$2,0),Техника!$F$4:$ABM$4,"Часы",INDEX(Техника!$G$1:$ABN$500,K$2,0),$A$858,INDEX(Техника!$H$1:$ABO$500,K$2,0),"Д")</f>
        <v>0</v>
      </c>
      <c r="L860" s="50">
        <f>SUMIFS(INDEX(Техника!$F$1:$ABM$500,L$2,0),Техника!$F$4:$ABM$4,"Часы",INDEX(Техника!$G$1:$ABN$500,L$2,0),$A$858,INDEX(Техника!$H$1:$ABO$500,L$2,0),"Д")</f>
        <v>0</v>
      </c>
      <c r="M860" s="50">
        <f>SUMIFS(INDEX(Техника!$F$1:$ABM$500,M$2,0),Техника!$F$4:$ABM$4,"Часы",INDEX(Техника!$G$1:$ABN$500,M$2,0),$A$858,INDEX(Техника!$H$1:$ABO$500,M$2,0),"Д")</f>
        <v>0</v>
      </c>
      <c r="N860" s="50">
        <f>SUMIFS(INDEX(Техника!$F$1:$ABM$500,N$2,0),Техника!$F$4:$ABM$4,"Часы",INDEX(Техника!$G$1:$ABN$500,N$2,0),$A$858,INDEX(Техника!$H$1:$ABO$500,N$2,0),"Д")</f>
        <v>0</v>
      </c>
      <c r="O860" s="50">
        <f>SUMIFS(INDEX(Техника!$F$1:$ABM$500,O$2,0),Техника!$F$4:$ABM$4,"Часы",INDEX(Техника!$G$1:$ABN$500,O$2,0),$A$858,INDEX(Техника!$H$1:$ABO$500,O$2,0),"Д")</f>
        <v>0</v>
      </c>
      <c r="P860" s="50">
        <f>SUMIFS(INDEX(Техника!$F$1:$ABM$500,P$2,0),Техника!$F$4:$ABM$4,"Часы",INDEX(Техника!$G$1:$ABN$500,P$2,0),$A$858,INDEX(Техника!$H$1:$ABO$500,P$2,0),"Д")</f>
        <v>0</v>
      </c>
      <c r="Q860" s="50">
        <f>SUMIFS(INDEX(Техника!$F$1:$ABM$500,Q$2,0),Техника!$F$4:$ABM$4,"Часы",INDEX(Техника!$G$1:$ABN$500,Q$2,0),$A$858,INDEX(Техника!$H$1:$ABO$500,Q$2,0),"Д")</f>
        <v>0</v>
      </c>
      <c r="R860" s="50">
        <f>SUMIFS(INDEX(Техника!$F$1:$ABM$500,R$2,0),Техника!$F$4:$ABM$4,"Часы",INDEX(Техника!$G$1:$ABN$500,R$2,0),$A$858,INDEX(Техника!$H$1:$ABO$500,R$2,0),"Д")</f>
        <v>0</v>
      </c>
      <c r="S860" s="50">
        <f>SUMIFS(INDEX(Техника!$F$1:$ABM$500,S$2,0),Техника!$F$4:$ABM$4,"Часы",INDEX(Техника!$G$1:$ABN$500,S$2,0),$A$858,INDEX(Техника!$H$1:$ABO$500,S$2,0),"Д")</f>
        <v>0</v>
      </c>
      <c r="T860" s="50">
        <f>SUMIFS(INDEX(Техника!$F$1:$ABM$500,T$2,0),Техника!$F$4:$ABM$4,"Часы",INDEX(Техника!$G$1:$ABN$500,T$2,0),$A$858,INDEX(Техника!$H$1:$ABO$500,T$2,0),"Д")</f>
        <v>0</v>
      </c>
      <c r="U860" s="50">
        <f>SUMIFS(INDEX(Техника!$F$1:$ABM$500,U$2,0),Техника!$F$4:$ABM$4,"Часы",INDEX(Техника!$G$1:$ABN$500,U$2,0),$A$858,INDEX(Техника!$H$1:$ABO$500,U$2,0),"Д")</f>
        <v>0</v>
      </c>
      <c r="V860" s="50">
        <f>SUMIFS(INDEX(Техника!$F$1:$ABM$500,V$2,0),Техника!$F$4:$ABM$4,"Часы",INDEX(Техника!$G$1:$ABN$500,V$2,0),$A$858,INDEX(Техника!$H$1:$ABO$500,V$2,0),"Д")</f>
        <v>0</v>
      </c>
      <c r="W860" s="50">
        <f>SUMIFS(INDEX(Техника!$F$1:$ABM$500,W$2,0),Техника!$F$4:$ABM$4,"Часы",INDEX(Техника!$G$1:$ABN$500,W$2,0),$A$858,INDEX(Техника!$H$1:$ABO$500,W$2,0),"Д")</f>
        <v>0</v>
      </c>
      <c r="X860" s="50">
        <f>SUMIFS(INDEX(Техника!$F$1:$ABM$500,X$2,0),Техника!$F$4:$ABM$4,"Часы",INDEX(Техника!$G$1:$ABN$500,X$2,0),$A$858,INDEX(Техника!$H$1:$ABO$500,X$2,0),"Д")</f>
        <v>0</v>
      </c>
      <c r="Y860" s="50">
        <f>SUMIFS(INDEX(Техника!$F$1:$ABM$500,Y$2,0),Техника!$F$4:$ABM$4,"Часы",INDEX(Техника!$G$1:$ABN$500,Y$2,0),$A$858,INDEX(Техника!$H$1:$ABO$500,Y$2,0),"Д")</f>
        <v>0</v>
      </c>
      <c r="Z860" s="50">
        <f>SUMIFS(INDEX(Техника!$F$1:$ABM$500,Z$2,0),Техника!$F$4:$ABM$4,"Часы",INDEX(Техника!$G$1:$ABN$500,Z$2,0),$A$858,INDEX(Техника!$H$1:$ABO$500,Z$2,0),"Д")</f>
        <v>0</v>
      </c>
      <c r="AA860" s="50">
        <f>SUMIFS(INDEX(Техника!$F$1:$ABM$500,AA$2,0),Техника!$F$4:$ABM$4,"Часы",INDEX(Техника!$G$1:$ABN$500,AA$2,0),$A$858,INDEX(Техника!$H$1:$ABO$500,AA$2,0),"Д")</f>
        <v>0</v>
      </c>
      <c r="AB860" s="50">
        <f>SUMIFS(INDEX(Техника!$F$1:$ABM$500,AB$2,0),Техника!$F$4:$ABM$4,"Часы",INDEX(Техника!$G$1:$ABN$500,AB$2,0),$A$858,INDEX(Техника!$H$1:$ABO$500,AB$2,0),"Д")</f>
        <v>0</v>
      </c>
    </row>
    <row r="861" spans="1:28" hidden="1" outlineLevel="1" x14ac:dyDescent="0.3">
      <c r="A861" s="33" t="s">
        <v>276</v>
      </c>
      <c r="B861" s="34" t="s">
        <v>277</v>
      </c>
      <c r="C861" s="50">
        <f>SUMIFS(INDEX(Техника!$F$1:$ABM$500,C$2,0),Техника!$F$4:$ABM$4,"Часы",INDEX(Техника!$G$1:$ABN$500,C$2,0),$A$858,INDEX(Техника!$H$1:$ABO$500,C$2,0),"П")</f>
        <v>0</v>
      </c>
      <c r="D861" s="50">
        <f>SUMIFS(INDEX(Техника!$F$1:$ABM$500,D$2,0),Техника!$F$4:$ABM$4,"Часы",INDEX(Техника!$G$1:$ABN$500,D$2,0),$A$858,INDEX(Техника!$H$1:$ABO$500,D$2,0),"П")</f>
        <v>0</v>
      </c>
      <c r="E861" s="50">
        <f>SUMIFS(INDEX(Техника!$F$1:$ABM$500,E$2,0),Техника!$F$4:$ABM$4,"Часы",INDEX(Техника!$G$1:$ABN$500,E$2,0),$A$858,INDEX(Техника!$H$1:$ABO$500,E$2,0),"П")</f>
        <v>0</v>
      </c>
      <c r="F861" s="50">
        <f>SUMIFS(INDEX(Техника!$F$1:$ABM$500,F$2,0),Техника!$F$4:$ABM$4,"Часы",INDEX(Техника!$G$1:$ABN$500,F$2,0),$A$858,INDEX(Техника!$H$1:$ABO$500,F$2,0),"П")</f>
        <v>0</v>
      </c>
      <c r="G861" s="50">
        <f>SUMIFS(INDEX(Техника!$F$1:$ABM$500,G$2,0),Техника!$F$4:$ABM$4,"Часы",INDEX(Техника!$G$1:$ABN$500,G$2,0),$A$858,INDEX(Техника!$H$1:$ABO$500,G$2,0),"П")</f>
        <v>0</v>
      </c>
      <c r="H861" s="50">
        <f>SUMIFS(INDEX(Техника!$F$1:$ABM$500,H$2,0),Техника!$F$4:$ABM$4,"Часы",INDEX(Техника!$G$1:$ABN$500,H$2,0),$A$858,INDEX(Техника!$H$1:$ABO$500,H$2,0),"П")</f>
        <v>0</v>
      </c>
      <c r="I861" s="50">
        <f>SUMIFS(INDEX(Техника!$F$1:$ABM$500,I$2,0),Техника!$F$4:$ABM$4,"Часы",INDEX(Техника!$G$1:$ABN$500,I$2,0),$A$858,INDEX(Техника!$H$1:$ABO$500,I$2,0),"П")</f>
        <v>0</v>
      </c>
      <c r="J861" s="50">
        <f>SUMIFS(INDEX(Техника!$F$1:$ABM$500,J$2,0),Техника!$F$4:$ABM$4,"Часы",INDEX(Техника!$G$1:$ABN$500,J$2,0),$A$858,INDEX(Техника!$H$1:$ABO$500,J$2,0),"П")</f>
        <v>0</v>
      </c>
      <c r="K861" s="50">
        <f>SUMIFS(INDEX(Техника!$F$1:$ABM$500,K$2,0),Техника!$F$4:$ABM$4,"Часы",INDEX(Техника!$G$1:$ABN$500,K$2,0),$A$858,INDEX(Техника!$H$1:$ABO$500,K$2,0),"П")</f>
        <v>0</v>
      </c>
      <c r="L861" s="50">
        <f>SUMIFS(INDEX(Техника!$F$1:$ABM$500,L$2,0),Техника!$F$4:$ABM$4,"Часы",INDEX(Техника!$G$1:$ABN$500,L$2,0),$A$858,INDEX(Техника!$H$1:$ABO$500,L$2,0),"П")</f>
        <v>0</v>
      </c>
      <c r="M861" s="50">
        <f>SUMIFS(INDEX(Техника!$F$1:$ABM$500,M$2,0),Техника!$F$4:$ABM$4,"Часы",INDEX(Техника!$G$1:$ABN$500,M$2,0),$A$858,INDEX(Техника!$H$1:$ABO$500,M$2,0),"П")</f>
        <v>0</v>
      </c>
      <c r="N861" s="50">
        <f>SUMIFS(INDEX(Техника!$F$1:$ABM$500,N$2,0),Техника!$F$4:$ABM$4,"Часы",INDEX(Техника!$G$1:$ABN$500,N$2,0),$A$858,INDEX(Техника!$H$1:$ABO$500,N$2,0),"П")</f>
        <v>0</v>
      </c>
      <c r="O861" s="50">
        <f>SUMIFS(INDEX(Техника!$F$1:$ABM$500,O$2,0),Техника!$F$4:$ABM$4,"Часы",INDEX(Техника!$G$1:$ABN$500,O$2,0),$A$858,INDEX(Техника!$H$1:$ABO$500,O$2,0),"П")</f>
        <v>0</v>
      </c>
      <c r="P861" s="50">
        <f>SUMIFS(INDEX(Техника!$F$1:$ABM$500,P$2,0),Техника!$F$4:$ABM$4,"Часы",INDEX(Техника!$G$1:$ABN$500,P$2,0),$A$858,INDEX(Техника!$H$1:$ABO$500,P$2,0),"П")</f>
        <v>0</v>
      </c>
      <c r="Q861" s="50">
        <f>SUMIFS(INDEX(Техника!$F$1:$ABM$500,Q$2,0),Техника!$F$4:$ABM$4,"Часы",INDEX(Техника!$G$1:$ABN$500,Q$2,0),$A$858,INDEX(Техника!$H$1:$ABO$500,Q$2,0),"П")</f>
        <v>0</v>
      </c>
      <c r="R861" s="50">
        <f>SUMIFS(INDEX(Техника!$F$1:$ABM$500,R$2,0),Техника!$F$4:$ABM$4,"Часы",INDEX(Техника!$G$1:$ABN$500,R$2,0),$A$858,INDEX(Техника!$H$1:$ABO$500,R$2,0),"П")</f>
        <v>0</v>
      </c>
      <c r="S861" s="50">
        <f>SUMIFS(INDEX(Техника!$F$1:$ABM$500,S$2,0),Техника!$F$4:$ABM$4,"Часы",INDEX(Техника!$G$1:$ABN$500,S$2,0),$A$858,INDEX(Техника!$H$1:$ABO$500,S$2,0),"П")</f>
        <v>0</v>
      </c>
      <c r="T861" s="50">
        <f>SUMIFS(INDEX(Техника!$F$1:$ABM$500,T$2,0),Техника!$F$4:$ABM$4,"Часы",INDEX(Техника!$G$1:$ABN$500,T$2,0),$A$858,INDEX(Техника!$H$1:$ABO$500,T$2,0),"П")</f>
        <v>0</v>
      </c>
      <c r="U861" s="50">
        <f>SUMIFS(INDEX(Техника!$F$1:$ABM$500,U$2,0),Техника!$F$4:$ABM$4,"Часы",INDEX(Техника!$G$1:$ABN$500,U$2,0),$A$858,INDEX(Техника!$H$1:$ABO$500,U$2,0),"П")</f>
        <v>0</v>
      </c>
      <c r="V861" s="50">
        <f>SUMIFS(INDEX(Техника!$F$1:$ABM$500,V$2,0),Техника!$F$4:$ABM$4,"Часы",INDEX(Техника!$G$1:$ABN$500,V$2,0),$A$858,INDEX(Техника!$H$1:$ABO$500,V$2,0),"П")</f>
        <v>0</v>
      </c>
      <c r="W861" s="50">
        <f>SUMIFS(INDEX(Техника!$F$1:$ABM$500,W$2,0),Техника!$F$4:$ABM$4,"Часы",INDEX(Техника!$G$1:$ABN$500,W$2,0),$A$858,INDEX(Техника!$H$1:$ABO$500,W$2,0),"П")</f>
        <v>0</v>
      </c>
      <c r="X861" s="50">
        <f>SUMIFS(INDEX(Техника!$F$1:$ABM$500,X$2,0),Техника!$F$4:$ABM$4,"Часы",INDEX(Техника!$G$1:$ABN$500,X$2,0),$A$858,INDEX(Техника!$H$1:$ABO$500,X$2,0),"П")</f>
        <v>0</v>
      </c>
      <c r="Y861" s="50">
        <f>SUMIFS(INDEX(Техника!$F$1:$ABM$500,Y$2,0),Техника!$F$4:$ABM$4,"Часы",INDEX(Техника!$G$1:$ABN$500,Y$2,0),$A$858,INDEX(Техника!$H$1:$ABO$500,Y$2,0),"П")</f>
        <v>0</v>
      </c>
      <c r="Z861" s="50">
        <f>SUMIFS(INDEX(Техника!$F$1:$ABM$500,Z$2,0),Техника!$F$4:$ABM$4,"Часы",INDEX(Техника!$G$1:$ABN$500,Z$2,0),$A$858,INDEX(Техника!$H$1:$ABO$500,Z$2,0),"П")</f>
        <v>0</v>
      </c>
      <c r="AA861" s="50">
        <f>SUMIFS(INDEX(Техника!$F$1:$ABM$500,AA$2,0),Техника!$F$4:$ABM$4,"Часы",INDEX(Техника!$G$1:$ABN$500,AA$2,0),$A$858,INDEX(Техника!$H$1:$ABO$500,AA$2,0),"П")</f>
        <v>0</v>
      </c>
      <c r="AB861" s="50">
        <f>SUMIFS(INDEX(Техника!$F$1:$ABM$500,AB$2,0),Техника!$F$4:$ABM$4,"Часы",INDEX(Техника!$G$1:$ABN$500,AB$2,0),$A$858,INDEX(Техника!$H$1:$ABO$500,AB$2,0),"П")</f>
        <v>0</v>
      </c>
    </row>
    <row r="862" spans="1:28" hidden="1" outlineLevel="1" x14ac:dyDescent="0.3">
      <c r="A862" s="33" t="s">
        <v>243</v>
      </c>
      <c r="B862" s="34" t="s">
        <v>278</v>
      </c>
      <c r="C862" s="50">
        <f>SUMIFS(INDEX(Техника!$F$1:$ABM$500,C$2,0),Техника!$F$4:$ABM$4,"Часы",INDEX(Техника!$G$1:$ABN$500,C$2,0),$A$858,INDEX(Техника!$H$1:$ABO$500,C$2,0),"Л")</f>
        <v>0</v>
      </c>
      <c r="D862" s="50">
        <f>SUMIFS(INDEX(Техника!$F$1:$ABM$500,D$2,0),Техника!$F$4:$ABM$4,"Часы",INDEX(Техника!$G$1:$ABN$500,D$2,0),$A$858,INDEX(Техника!$H$1:$ABO$500,D$2,0),"Л")</f>
        <v>0</v>
      </c>
      <c r="E862" s="50">
        <f>SUMIFS(INDEX(Техника!$F$1:$ABM$500,E$2,0),Техника!$F$4:$ABM$4,"Часы",INDEX(Техника!$G$1:$ABN$500,E$2,0),$A$858,INDEX(Техника!$H$1:$ABO$500,E$2,0),"Л")</f>
        <v>0</v>
      </c>
      <c r="F862" s="50">
        <f>SUMIFS(INDEX(Техника!$F$1:$ABM$500,F$2,0),Техника!$F$4:$ABM$4,"Часы",INDEX(Техника!$G$1:$ABN$500,F$2,0),$A$858,INDEX(Техника!$H$1:$ABO$500,F$2,0),"Л")</f>
        <v>0</v>
      </c>
      <c r="G862" s="50">
        <f>SUMIFS(INDEX(Техника!$F$1:$ABM$500,G$2,0),Техника!$F$4:$ABM$4,"Часы",INDEX(Техника!$G$1:$ABN$500,G$2,0),$A$858,INDEX(Техника!$H$1:$ABO$500,G$2,0),"Л")</f>
        <v>0</v>
      </c>
      <c r="H862" s="50">
        <f>SUMIFS(INDEX(Техника!$F$1:$ABM$500,H$2,0),Техника!$F$4:$ABM$4,"Часы",INDEX(Техника!$G$1:$ABN$500,H$2,0),$A$858,INDEX(Техника!$H$1:$ABO$500,H$2,0),"Л")</f>
        <v>0</v>
      </c>
      <c r="I862" s="50">
        <f>SUMIFS(INDEX(Техника!$F$1:$ABM$500,I$2,0),Техника!$F$4:$ABM$4,"Часы",INDEX(Техника!$G$1:$ABN$500,I$2,0),$A$858,INDEX(Техника!$H$1:$ABO$500,I$2,0),"Л")</f>
        <v>0</v>
      </c>
      <c r="J862" s="50">
        <f>SUMIFS(INDEX(Техника!$F$1:$ABM$500,J$2,0),Техника!$F$4:$ABM$4,"Часы",INDEX(Техника!$G$1:$ABN$500,J$2,0),$A$858,INDEX(Техника!$H$1:$ABO$500,J$2,0),"Л")</f>
        <v>0</v>
      </c>
      <c r="K862" s="50">
        <f>SUMIFS(INDEX(Техника!$F$1:$ABM$500,K$2,0),Техника!$F$4:$ABM$4,"Часы",INDEX(Техника!$G$1:$ABN$500,K$2,0),$A$858,INDEX(Техника!$H$1:$ABO$500,K$2,0),"Л")</f>
        <v>0</v>
      </c>
      <c r="L862" s="50">
        <f>SUMIFS(INDEX(Техника!$F$1:$ABM$500,L$2,0),Техника!$F$4:$ABM$4,"Часы",INDEX(Техника!$G$1:$ABN$500,L$2,0),$A$858,INDEX(Техника!$H$1:$ABO$500,L$2,0),"Л")</f>
        <v>0</v>
      </c>
      <c r="M862" s="50">
        <f>SUMIFS(INDEX(Техника!$F$1:$ABM$500,M$2,0),Техника!$F$4:$ABM$4,"Часы",INDEX(Техника!$G$1:$ABN$500,M$2,0),$A$858,INDEX(Техника!$H$1:$ABO$500,M$2,0),"Л")</f>
        <v>0</v>
      </c>
      <c r="N862" s="50">
        <f>SUMIFS(INDEX(Техника!$F$1:$ABM$500,N$2,0),Техника!$F$4:$ABM$4,"Часы",INDEX(Техника!$G$1:$ABN$500,N$2,0),$A$858,INDEX(Техника!$H$1:$ABO$500,N$2,0),"Л")</f>
        <v>0</v>
      </c>
      <c r="O862" s="50">
        <f>SUMIFS(INDEX(Техника!$F$1:$ABM$500,O$2,0),Техника!$F$4:$ABM$4,"Часы",INDEX(Техника!$G$1:$ABN$500,O$2,0),$A$858,INDEX(Техника!$H$1:$ABO$500,O$2,0),"Л")</f>
        <v>0</v>
      </c>
      <c r="P862" s="50">
        <f>SUMIFS(INDEX(Техника!$F$1:$ABM$500,P$2,0),Техника!$F$4:$ABM$4,"Часы",INDEX(Техника!$G$1:$ABN$500,P$2,0),$A$858,INDEX(Техника!$H$1:$ABO$500,P$2,0),"Л")</f>
        <v>0</v>
      </c>
      <c r="Q862" s="50">
        <f>SUMIFS(INDEX(Техника!$F$1:$ABM$500,Q$2,0),Техника!$F$4:$ABM$4,"Часы",INDEX(Техника!$G$1:$ABN$500,Q$2,0),$A$858,INDEX(Техника!$H$1:$ABO$500,Q$2,0),"Л")</f>
        <v>0</v>
      </c>
      <c r="R862" s="50">
        <f>SUMIFS(INDEX(Техника!$F$1:$ABM$500,R$2,0),Техника!$F$4:$ABM$4,"Часы",INDEX(Техника!$G$1:$ABN$500,R$2,0),$A$858,INDEX(Техника!$H$1:$ABO$500,R$2,0),"Л")</f>
        <v>0</v>
      </c>
      <c r="S862" s="50">
        <f>SUMIFS(INDEX(Техника!$F$1:$ABM$500,S$2,0),Техника!$F$4:$ABM$4,"Часы",INDEX(Техника!$G$1:$ABN$500,S$2,0),$A$858,INDEX(Техника!$H$1:$ABO$500,S$2,0),"Л")</f>
        <v>0</v>
      </c>
      <c r="T862" s="50">
        <f>SUMIFS(INDEX(Техника!$F$1:$ABM$500,T$2,0),Техника!$F$4:$ABM$4,"Часы",INDEX(Техника!$G$1:$ABN$500,T$2,0),$A$858,INDEX(Техника!$H$1:$ABO$500,T$2,0),"Л")</f>
        <v>0</v>
      </c>
      <c r="U862" s="50">
        <f>SUMIFS(INDEX(Техника!$F$1:$ABM$500,U$2,0),Техника!$F$4:$ABM$4,"Часы",INDEX(Техника!$G$1:$ABN$500,U$2,0),$A$858,INDEX(Техника!$H$1:$ABO$500,U$2,0),"Л")</f>
        <v>0</v>
      </c>
      <c r="V862" s="50">
        <f>SUMIFS(INDEX(Техника!$F$1:$ABM$500,V$2,0),Техника!$F$4:$ABM$4,"Часы",INDEX(Техника!$G$1:$ABN$500,V$2,0),$A$858,INDEX(Техника!$H$1:$ABO$500,V$2,0),"Л")</f>
        <v>0</v>
      </c>
      <c r="W862" s="50">
        <f>SUMIFS(INDEX(Техника!$F$1:$ABM$500,W$2,0),Техника!$F$4:$ABM$4,"Часы",INDEX(Техника!$G$1:$ABN$500,W$2,0),$A$858,INDEX(Техника!$H$1:$ABO$500,W$2,0),"Л")</f>
        <v>0</v>
      </c>
      <c r="X862" s="50">
        <f>SUMIFS(INDEX(Техника!$F$1:$ABM$500,X$2,0),Техника!$F$4:$ABM$4,"Часы",INDEX(Техника!$G$1:$ABN$500,X$2,0),$A$858,INDEX(Техника!$H$1:$ABO$500,X$2,0),"Л")</f>
        <v>0</v>
      </c>
      <c r="Y862" s="50">
        <f>SUMIFS(INDEX(Техника!$F$1:$ABM$500,Y$2,0),Техника!$F$4:$ABM$4,"Часы",INDEX(Техника!$G$1:$ABN$500,Y$2,0),$A$858,INDEX(Техника!$H$1:$ABO$500,Y$2,0),"Л")</f>
        <v>0</v>
      </c>
      <c r="Z862" s="50">
        <f>SUMIFS(INDEX(Техника!$F$1:$ABM$500,Z$2,0),Техника!$F$4:$ABM$4,"Часы",INDEX(Техника!$G$1:$ABN$500,Z$2,0),$A$858,INDEX(Техника!$H$1:$ABO$500,Z$2,0),"Л")</f>
        <v>0</v>
      </c>
      <c r="AA862" s="50">
        <f>SUMIFS(INDEX(Техника!$F$1:$ABM$500,AA$2,0),Техника!$F$4:$ABM$4,"Часы",INDEX(Техника!$G$1:$ABN$500,AA$2,0),$A$858,INDEX(Техника!$H$1:$ABO$500,AA$2,0),"Л")</f>
        <v>0</v>
      </c>
      <c r="AB862" s="50">
        <f>SUMIFS(INDEX(Техника!$F$1:$ABM$500,AB$2,0),Техника!$F$4:$ABM$4,"Часы",INDEX(Техника!$G$1:$ABN$500,AB$2,0),$A$858,INDEX(Техника!$H$1:$ABO$500,AB$2,0),"Л")</f>
        <v>0</v>
      </c>
    </row>
    <row r="863" spans="1:28" hidden="1" outlineLevel="1" x14ac:dyDescent="0.3">
      <c r="A863" s="33" t="s">
        <v>245</v>
      </c>
      <c r="B863" s="34" t="s">
        <v>279</v>
      </c>
      <c r="C863" s="50">
        <f>SUMIFS(INDEX(Техника!$F$1:$ABM$500,C$2,0),Техника!$F$4:$ABM$4,"Часы",INDEX(Техника!$G$1:$ABN$500,C$2,0),$A$858,INDEX(Техника!$H$1:$ABO$500,C$2,0),"З")</f>
        <v>0</v>
      </c>
      <c r="D863" s="50">
        <f>SUMIFS(INDEX(Техника!$F$1:$ABM$500,D$2,0),Техника!$F$4:$ABM$4,"Часы",INDEX(Техника!$G$1:$ABN$500,D$2,0),$A$858,INDEX(Техника!$H$1:$ABO$500,D$2,0),"З")</f>
        <v>0</v>
      </c>
      <c r="E863" s="50">
        <f>SUMIFS(INDEX(Техника!$F$1:$ABM$500,E$2,0),Техника!$F$4:$ABM$4,"Часы",INDEX(Техника!$G$1:$ABN$500,E$2,0),$A$858,INDEX(Техника!$H$1:$ABO$500,E$2,0),"З")</f>
        <v>0</v>
      </c>
      <c r="F863" s="50">
        <f>SUMIFS(INDEX(Техника!$F$1:$ABM$500,F$2,0),Техника!$F$4:$ABM$4,"Часы",INDEX(Техника!$G$1:$ABN$500,F$2,0),$A$858,INDEX(Техника!$H$1:$ABO$500,F$2,0),"З")</f>
        <v>0</v>
      </c>
      <c r="G863" s="50">
        <f>SUMIFS(INDEX(Техника!$F$1:$ABM$500,G$2,0),Техника!$F$4:$ABM$4,"Часы",INDEX(Техника!$G$1:$ABN$500,G$2,0),$A$858,INDEX(Техника!$H$1:$ABO$500,G$2,0),"З")</f>
        <v>0</v>
      </c>
      <c r="H863" s="50">
        <f>SUMIFS(INDEX(Техника!$F$1:$ABM$500,H$2,0),Техника!$F$4:$ABM$4,"Часы",INDEX(Техника!$G$1:$ABN$500,H$2,0),$A$858,INDEX(Техника!$H$1:$ABO$500,H$2,0),"З")</f>
        <v>0</v>
      </c>
      <c r="I863" s="50">
        <f>SUMIFS(INDEX(Техника!$F$1:$ABM$500,I$2,0),Техника!$F$4:$ABM$4,"Часы",INDEX(Техника!$G$1:$ABN$500,I$2,0),$A$858,INDEX(Техника!$H$1:$ABO$500,I$2,0),"З")</f>
        <v>0</v>
      </c>
      <c r="J863" s="50">
        <f>SUMIFS(INDEX(Техника!$F$1:$ABM$500,J$2,0),Техника!$F$4:$ABM$4,"Часы",INDEX(Техника!$G$1:$ABN$500,J$2,0),$A$858,INDEX(Техника!$H$1:$ABO$500,J$2,0),"З")</f>
        <v>0</v>
      </c>
      <c r="K863" s="50">
        <f>SUMIFS(INDEX(Техника!$F$1:$ABM$500,K$2,0),Техника!$F$4:$ABM$4,"Часы",INDEX(Техника!$G$1:$ABN$500,K$2,0),$A$858,INDEX(Техника!$H$1:$ABO$500,K$2,0),"З")</f>
        <v>0</v>
      </c>
      <c r="L863" s="50">
        <f>SUMIFS(INDEX(Техника!$F$1:$ABM$500,L$2,0),Техника!$F$4:$ABM$4,"Часы",INDEX(Техника!$G$1:$ABN$500,L$2,0),$A$858,INDEX(Техника!$H$1:$ABO$500,L$2,0),"З")</f>
        <v>0</v>
      </c>
      <c r="M863" s="50">
        <f>SUMIFS(INDEX(Техника!$F$1:$ABM$500,M$2,0),Техника!$F$4:$ABM$4,"Часы",INDEX(Техника!$G$1:$ABN$500,M$2,0),$A$858,INDEX(Техника!$H$1:$ABO$500,M$2,0),"З")</f>
        <v>0</v>
      </c>
      <c r="N863" s="50">
        <f>SUMIFS(INDEX(Техника!$F$1:$ABM$500,N$2,0),Техника!$F$4:$ABM$4,"Часы",INDEX(Техника!$G$1:$ABN$500,N$2,0),$A$858,INDEX(Техника!$H$1:$ABO$500,N$2,0),"З")</f>
        <v>0</v>
      </c>
      <c r="O863" s="50">
        <f>SUMIFS(INDEX(Техника!$F$1:$ABM$500,O$2,0),Техника!$F$4:$ABM$4,"Часы",INDEX(Техника!$G$1:$ABN$500,O$2,0),$A$858,INDEX(Техника!$H$1:$ABO$500,O$2,0),"З")</f>
        <v>0</v>
      </c>
      <c r="P863" s="50">
        <f>SUMIFS(INDEX(Техника!$F$1:$ABM$500,P$2,0),Техника!$F$4:$ABM$4,"Часы",INDEX(Техника!$G$1:$ABN$500,P$2,0),$A$858,INDEX(Техника!$H$1:$ABO$500,P$2,0),"З")</f>
        <v>0</v>
      </c>
      <c r="Q863" s="50">
        <f>SUMIFS(INDEX(Техника!$F$1:$ABM$500,Q$2,0),Техника!$F$4:$ABM$4,"Часы",INDEX(Техника!$G$1:$ABN$500,Q$2,0),$A$858,INDEX(Техника!$H$1:$ABO$500,Q$2,0),"З")</f>
        <v>0</v>
      </c>
      <c r="R863" s="50">
        <f>SUMIFS(INDEX(Техника!$F$1:$ABM$500,R$2,0),Техника!$F$4:$ABM$4,"Часы",INDEX(Техника!$G$1:$ABN$500,R$2,0),$A$858,INDEX(Техника!$H$1:$ABO$500,R$2,0),"З")</f>
        <v>0</v>
      </c>
      <c r="S863" s="50">
        <f>SUMIFS(INDEX(Техника!$F$1:$ABM$500,S$2,0),Техника!$F$4:$ABM$4,"Часы",INDEX(Техника!$G$1:$ABN$500,S$2,0),$A$858,INDEX(Техника!$H$1:$ABO$500,S$2,0),"З")</f>
        <v>0</v>
      </c>
      <c r="T863" s="50">
        <f>SUMIFS(INDEX(Техника!$F$1:$ABM$500,T$2,0),Техника!$F$4:$ABM$4,"Часы",INDEX(Техника!$G$1:$ABN$500,T$2,0),$A$858,INDEX(Техника!$H$1:$ABO$500,T$2,0),"З")</f>
        <v>0</v>
      </c>
      <c r="U863" s="50">
        <f>SUMIFS(INDEX(Техника!$F$1:$ABM$500,U$2,0),Техника!$F$4:$ABM$4,"Часы",INDEX(Техника!$G$1:$ABN$500,U$2,0),$A$858,INDEX(Техника!$H$1:$ABO$500,U$2,0),"З")</f>
        <v>0</v>
      </c>
      <c r="V863" s="50">
        <f>SUMIFS(INDEX(Техника!$F$1:$ABM$500,V$2,0),Техника!$F$4:$ABM$4,"Часы",INDEX(Техника!$G$1:$ABN$500,V$2,0),$A$858,INDEX(Техника!$H$1:$ABO$500,V$2,0),"З")</f>
        <v>0</v>
      </c>
      <c r="W863" s="50">
        <f>SUMIFS(INDEX(Техника!$F$1:$ABM$500,W$2,0),Техника!$F$4:$ABM$4,"Часы",INDEX(Техника!$G$1:$ABN$500,W$2,0),$A$858,INDEX(Техника!$H$1:$ABO$500,W$2,0),"З")</f>
        <v>0</v>
      </c>
      <c r="X863" s="50">
        <f>SUMIFS(INDEX(Техника!$F$1:$ABM$500,X$2,0),Техника!$F$4:$ABM$4,"Часы",INDEX(Техника!$G$1:$ABN$500,X$2,0),$A$858,INDEX(Техника!$H$1:$ABO$500,X$2,0),"З")</f>
        <v>0</v>
      </c>
      <c r="Y863" s="50">
        <f>SUMIFS(INDEX(Техника!$F$1:$ABM$500,Y$2,0),Техника!$F$4:$ABM$4,"Часы",INDEX(Техника!$G$1:$ABN$500,Y$2,0),$A$858,INDEX(Техника!$H$1:$ABO$500,Y$2,0),"З")</f>
        <v>0</v>
      </c>
      <c r="Z863" s="50">
        <f>SUMIFS(INDEX(Техника!$F$1:$ABM$500,Z$2,0),Техника!$F$4:$ABM$4,"Часы",INDEX(Техника!$G$1:$ABN$500,Z$2,0),$A$858,INDEX(Техника!$H$1:$ABO$500,Z$2,0),"З")</f>
        <v>0</v>
      </c>
      <c r="AA863" s="50">
        <f>SUMIFS(INDEX(Техника!$F$1:$ABM$500,AA$2,0),Техника!$F$4:$ABM$4,"Часы",INDEX(Техника!$G$1:$ABN$500,AA$2,0),$A$858,INDEX(Техника!$H$1:$ABO$500,AA$2,0),"З")</f>
        <v>0</v>
      </c>
      <c r="AB863" s="50">
        <f>SUMIFS(INDEX(Техника!$F$1:$ABM$500,AB$2,0),Техника!$F$4:$ABM$4,"Часы",INDEX(Техника!$G$1:$ABN$500,AB$2,0),$A$858,INDEX(Техника!$H$1:$ABO$500,AB$2,0),"З")</f>
        <v>0</v>
      </c>
    </row>
    <row r="864" spans="1:28" ht="7.95" customHeight="1" x14ac:dyDescent="0.3">
      <c r="A864" s="38"/>
      <c r="B864" s="39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</row>
    <row r="865" spans="1:28" ht="25.05" customHeight="1" collapsed="1" x14ac:dyDescent="0.3">
      <c r="A865" s="32">
        <v>124</v>
      </c>
      <c r="B865" s="32" t="s">
        <v>125</v>
      </c>
      <c r="C865" s="49">
        <f>SUM(C866:C870)</f>
        <v>0</v>
      </c>
      <c r="D865" s="49">
        <f>SUM(D866:D870)</f>
        <v>0</v>
      </c>
      <c r="E865" s="49">
        <f>SUM(E866:E870)</f>
        <v>0</v>
      </c>
      <c r="F865" s="49">
        <f>SUM(F866:F870)</f>
        <v>0</v>
      </c>
      <c r="G865" s="49">
        <f>SUM(G866:G870)</f>
        <v>0</v>
      </c>
      <c r="H865" s="49">
        <f>SUM(H866:H870)</f>
        <v>0</v>
      </c>
      <c r="I865" s="49">
        <f>SUM(I866:I870)</f>
        <v>0</v>
      </c>
      <c r="J865" s="49">
        <f>SUM(J866:J870)</f>
        <v>0</v>
      </c>
      <c r="K865" s="49">
        <f>SUM(K866:K870)</f>
        <v>0</v>
      </c>
      <c r="L865" s="49">
        <f>SUM(L866:L870)</f>
        <v>0</v>
      </c>
      <c r="M865" s="49">
        <f>SUM(M866:M870)</f>
        <v>0</v>
      </c>
      <c r="N865" s="49">
        <f>SUM(N866:N870)</f>
        <v>0</v>
      </c>
      <c r="O865" s="49">
        <f>SUM(O866:O870)</f>
        <v>0</v>
      </c>
      <c r="P865" s="49">
        <f>SUM(P866:P870)</f>
        <v>0</v>
      </c>
      <c r="Q865" s="49">
        <f>SUM(Q866:Q870)</f>
        <v>0</v>
      </c>
      <c r="R865" s="49">
        <f>SUM(R866:R870)</f>
        <v>0</v>
      </c>
      <c r="S865" s="49">
        <f>SUM(S866:S870)</f>
        <v>0</v>
      </c>
      <c r="T865" s="49">
        <f>SUM(T866:T870)</f>
        <v>0</v>
      </c>
      <c r="U865" s="49">
        <f>SUM(U866:U870)</f>
        <v>0</v>
      </c>
      <c r="V865" s="49">
        <f>SUM(V866:V870)</f>
        <v>0</v>
      </c>
      <c r="W865" s="49">
        <f>SUM(W866:W870)</f>
        <v>0</v>
      </c>
      <c r="X865" s="49">
        <f>SUM(X866:X870)</f>
        <v>0</v>
      </c>
      <c r="Y865" s="49">
        <f>SUM(Y866:Y870)</f>
        <v>0</v>
      </c>
      <c r="Z865" s="49">
        <f>SUM(Z866:Z870)</f>
        <v>0</v>
      </c>
      <c r="AA865" s="49">
        <f>SUM(AA866:AA870)</f>
        <v>0</v>
      </c>
      <c r="AB865" s="49">
        <f>SUM(AB866:AB870)</f>
        <v>0</v>
      </c>
    </row>
    <row r="866" spans="1:28" hidden="1" outlineLevel="1" x14ac:dyDescent="0.3">
      <c r="A866" s="33" t="s">
        <v>246</v>
      </c>
      <c r="B866" s="34" t="s">
        <v>274</v>
      </c>
      <c r="C866" s="50">
        <f>SUMIFS(INDEX(Техника!$F$1:$ABM$500,C$2,0),Техника!$F$4:$ABM$4,"Часы",INDEX(Техника!$G$1:$ABN$500,C$2,0),$A$865,INDEX(Техника!$H$1:$ABO$500,C$2,0),"М")</f>
        <v>0</v>
      </c>
      <c r="D866" s="50">
        <f>SUMIFS(INDEX(Техника!$F$1:$ABM$500,D$2,0),Техника!$F$4:$ABM$4,"Часы",INDEX(Техника!$G$1:$ABN$500,D$2,0),$A$865,INDEX(Техника!$H$1:$ABO$500,D$2,0),"М")</f>
        <v>0</v>
      </c>
      <c r="E866" s="50">
        <f>SUMIFS(INDEX(Техника!$F$1:$ABM$500,E$2,0),Техника!$F$4:$ABM$4,"Часы",INDEX(Техника!$G$1:$ABN$500,E$2,0),$A$865,INDEX(Техника!$H$1:$ABO$500,E$2,0),"М")</f>
        <v>0</v>
      </c>
      <c r="F866" s="50">
        <f>SUMIFS(INDEX(Техника!$F$1:$ABM$500,F$2,0),Техника!$F$4:$ABM$4,"Часы",INDEX(Техника!$G$1:$ABN$500,F$2,0),$A$865,INDEX(Техника!$H$1:$ABO$500,F$2,0),"М")</f>
        <v>0</v>
      </c>
      <c r="G866" s="50">
        <f>SUMIFS(INDEX(Техника!$F$1:$ABM$500,G$2,0),Техника!$F$4:$ABM$4,"Часы",INDEX(Техника!$G$1:$ABN$500,G$2,0),$A$865,INDEX(Техника!$H$1:$ABO$500,G$2,0),"М")</f>
        <v>0</v>
      </c>
      <c r="H866" s="50">
        <f>SUMIFS(INDEX(Техника!$F$1:$ABM$500,H$2,0),Техника!$F$4:$ABM$4,"Часы",INDEX(Техника!$G$1:$ABN$500,H$2,0),$A$865,INDEX(Техника!$H$1:$ABO$500,H$2,0),"М")</f>
        <v>0</v>
      </c>
      <c r="I866" s="50">
        <f>SUMIFS(INDEX(Техника!$F$1:$ABM$500,I$2,0),Техника!$F$4:$ABM$4,"Часы",INDEX(Техника!$G$1:$ABN$500,I$2,0),$A$865,INDEX(Техника!$H$1:$ABO$500,I$2,0),"М")</f>
        <v>0</v>
      </c>
      <c r="J866" s="50">
        <f>SUMIFS(INDEX(Техника!$F$1:$ABM$500,J$2,0),Техника!$F$4:$ABM$4,"Часы",INDEX(Техника!$G$1:$ABN$500,J$2,0),$A$865,INDEX(Техника!$H$1:$ABO$500,J$2,0),"М")</f>
        <v>0</v>
      </c>
      <c r="K866" s="50">
        <f>SUMIFS(INDEX(Техника!$F$1:$ABM$500,K$2,0),Техника!$F$4:$ABM$4,"Часы",INDEX(Техника!$G$1:$ABN$500,K$2,0),$A$865,INDEX(Техника!$H$1:$ABO$500,K$2,0),"М")</f>
        <v>0</v>
      </c>
      <c r="L866" s="50">
        <f>SUMIFS(INDEX(Техника!$F$1:$ABM$500,L$2,0),Техника!$F$4:$ABM$4,"Часы",INDEX(Техника!$G$1:$ABN$500,L$2,0),$A$865,INDEX(Техника!$H$1:$ABO$500,L$2,0),"М")</f>
        <v>0</v>
      </c>
      <c r="M866" s="50">
        <f>SUMIFS(INDEX(Техника!$F$1:$ABM$500,M$2,0),Техника!$F$4:$ABM$4,"Часы",INDEX(Техника!$G$1:$ABN$500,M$2,0),$A$865,INDEX(Техника!$H$1:$ABO$500,M$2,0),"М")</f>
        <v>0</v>
      </c>
      <c r="N866" s="50">
        <f>SUMIFS(INDEX(Техника!$F$1:$ABM$500,N$2,0),Техника!$F$4:$ABM$4,"Часы",INDEX(Техника!$G$1:$ABN$500,N$2,0),$A$865,INDEX(Техника!$H$1:$ABO$500,N$2,0),"М")</f>
        <v>0</v>
      </c>
      <c r="O866" s="50">
        <f>SUMIFS(INDEX(Техника!$F$1:$ABM$500,O$2,0),Техника!$F$4:$ABM$4,"Часы",INDEX(Техника!$G$1:$ABN$500,O$2,0),$A$865,INDEX(Техника!$H$1:$ABO$500,O$2,0),"М")</f>
        <v>0</v>
      </c>
      <c r="P866" s="50">
        <f>SUMIFS(INDEX(Техника!$F$1:$ABM$500,P$2,0),Техника!$F$4:$ABM$4,"Часы",INDEX(Техника!$G$1:$ABN$500,P$2,0),$A$865,INDEX(Техника!$H$1:$ABO$500,P$2,0),"М")</f>
        <v>0</v>
      </c>
      <c r="Q866" s="50">
        <f>SUMIFS(INDEX(Техника!$F$1:$ABM$500,Q$2,0),Техника!$F$4:$ABM$4,"Часы",INDEX(Техника!$G$1:$ABN$500,Q$2,0),$A$865,INDEX(Техника!$H$1:$ABO$500,Q$2,0),"М")</f>
        <v>0</v>
      </c>
      <c r="R866" s="50">
        <f>SUMIFS(INDEX(Техника!$F$1:$ABM$500,R$2,0),Техника!$F$4:$ABM$4,"Часы",INDEX(Техника!$G$1:$ABN$500,R$2,0),$A$865,INDEX(Техника!$H$1:$ABO$500,R$2,0),"М")</f>
        <v>0</v>
      </c>
      <c r="S866" s="50">
        <f>SUMIFS(INDEX(Техника!$F$1:$ABM$500,S$2,0),Техника!$F$4:$ABM$4,"Часы",INDEX(Техника!$G$1:$ABN$500,S$2,0),$A$865,INDEX(Техника!$H$1:$ABO$500,S$2,0),"М")</f>
        <v>0</v>
      </c>
      <c r="T866" s="50">
        <f>SUMIFS(INDEX(Техника!$F$1:$ABM$500,T$2,0),Техника!$F$4:$ABM$4,"Часы",INDEX(Техника!$G$1:$ABN$500,T$2,0),$A$865,INDEX(Техника!$H$1:$ABO$500,T$2,0),"М")</f>
        <v>0</v>
      </c>
      <c r="U866" s="50">
        <f>SUMIFS(INDEX(Техника!$F$1:$ABM$500,U$2,0),Техника!$F$4:$ABM$4,"Часы",INDEX(Техника!$G$1:$ABN$500,U$2,0),$A$865,INDEX(Техника!$H$1:$ABO$500,U$2,0),"М")</f>
        <v>0</v>
      </c>
      <c r="V866" s="50">
        <f>SUMIFS(INDEX(Техника!$F$1:$ABM$500,V$2,0),Техника!$F$4:$ABM$4,"Часы",INDEX(Техника!$G$1:$ABN$500,V$2,0),$A$865,INDEX(Техника!$H$1:$ABO$500,V$2,0),"М")</f>
        <v>0</v>
      </c>
      <c r="W866" s="50">
        <f>SUMIFS(INDEX(Техника!$F$1:$ABM$500,W$2,0),Техника!$F$4:$ABM$4,"Часы",INDEX(Техника!$G$1:$ABN$500,W$2,0),$A$865,INDEX(Техника!$H$1:$ABO$500,W$2,0),"М")</f>
        <v>0</v>
      </c>
      <c r="X866" s="50">
        <f>SUMIFS(INDEX(Техника!$F$1:$ABM$500,X$2,0),Техника!$F$4:$ABM$4,"Часы",INDEX(Техника!$G$1:$ABN$500,X$2,0),$A$865,INDEX(Техника!$H$1:$ABO$500,X$2,0),"М")</f>
        <v>0</v>
      </c>
      <c r="Y866" s="50">
        <f>SUMIFS(INDEX(Техника!$F$1:$ABM$500,Y$2,0),Техника!$F$4:$ABM$4,"Часы",INDEX(Техника!$G$1:$ABN$500,Y$2,0),$A$865,INDEX(Техника!$H$1:$ABO$500,Y$2,0),"М")</f>
        <v>0</v>
      </c>
      <c r="Z866" s="50">
        <f>SUMIFS(INDEX(Техника!$F$1:$ABM$500,Z$2,0),Техника!$F$4:$ABM$4,"Часы",INDEX(Техника!$G$1:$ABN$500,Z$2,0),$A$865,INDEX(Техника!$H$1:$ABO$500,Z$2,0),"М")</f>
        <v>0</v>
      </c>
      <c r="AA866" s="50">
        <f>SUMIFS(INDEX(Техника!$F$1:$ABM$500,AA$2,0),Техника!$F$4:$ABM$4,"Часы",INDEX(Техника!$G$1:$ABN$500,AA$2,0),$A$865,INDEX(Техника!$H$1:$ABO$500,AA$2,0),"М")</f>
        <v>0</v>
      </c>
      <c r="AB866" s="50">
        <f>SUMIFS(INDEX(Техника!$F$1:$ABM$500,AB$2,0),Техника!$F$4:$ABM$4,"Часы",INDEX(Техника!$G$1:$ABN$500,AB$2,0),$A$865,INDEX(Техника!$H$1:$ABO$500,AB$2,0),"М")</f>
        <v>0</v>
      </c>
    </row>
    <row r="867" spans="1:28" hidden="1" outlineLevel="1" x14ac:dyDescent="0.3">
      <c r="A867" s="33" t="s">
        <v>244</v>
      </c>
      <c r="B867" s="34" t="s">
        <v>275</v>
      </c>
      <c r="C867" s="50">
        <f>SUMIFS(INDEX(Техника!$F$1:$ABM$500,C$2,0),Техника!$F$4:$ABM$4,"Часы",INDEX(Техника!$G$1:$ABN$500,C$2,0),$A$865,INDEX(Техника!$H$1:$ABO$500,C$2,0),"Д")</f>
        <v>0</v>
      </c>
      <c r="D867" s="50">
        <f>SUMIFS(INDEX(Техника!$F$1:$ABM$500,D$2,0),Техника!$F$4:$ABM$4,"Часы",INDEX(Техника!$G$1:$ABN$500,D$2,0),$A$865,INDEX(Техника!$H$1:$ABO$500,D$2,0),"Д")</f>
        <v>0</v>
      </c>
      <c r="E867" s="50">
        <f>SUMIFS(INDEX(Техника!$F$1:$ABM$500,E$2,0),Техника!$F$4:$ABM$4,"Часы",INDEX(Техника!$G$1:$ABN$500,E$2,0),$A$865,INDEX(Техника!$H$1:$ABO$500,E$2,0),"Д")</f>
        <v>0</v>
      </c>
      <c r="F867" s="50">
        <f>SUMIFS(INDEX(Техника!$F$1:$ABM$500,F$2,0),Техника!$F$4:$ABM$4,"Часы",INDEX(Техника!$G$1:$ABN$500,F$2,0),$A$865,INDEX(Техника!$H$1:$ABO$500,F$2,0),"Д")</f>
        <v>0</v>
      </c>
      <c r="G867" s="50">
        <f>SUMIFS(INDEX(Техника!$F$1:$ABM$500,G$2,0),Техника!$F$4:$ABM$4,"Часы",INDEX(Техника!$G$1:$ABN$500,G$2,0),$A$865,INDEX(Техника!$H$1:$ABO$500,G$2,0),"Д")</f>
        <v>0</v>
      </c>
      <c r="H867" s="50">
        <f>SUMIFS(INDEX(Техника!$F$1:$ABM$500,H$2,0),Техника!$F$4:$ABM$4,"Часы",INDEX(Техника!$G$1:$ABN$500,H$2,0),$A$865,INDEX(Техника!$H$1:$ABO$500,H$2,0),"Д")</f>
        <v>0</v>
      </c>
      <c r="I867" s="50">
        <f>SUMIFS(INDEX(Техника!$F$1:$ABM$500,I$2,0),Техника!$F$4:$ABM$4,"Часы",INDEX(Техника!$G$1:$ABN$500,I$2,0),$A$865,INDEX(Техника!$H$1:$ABO$500,I$2,0),"Д")</f>
        <v>0</v>
      </c>
      <c r="J867" s="50">
        <f>SUMIFS(INDEX(Техника!$F$1:$ABM$500,J$2,0),Техника!$F$4:$ABM$4,"Часы",INDEX(Техника!$G$1:$ABN$500,J$2,0),$A$865,INDEX(Техника!$H$1:$ABO$500,J$2,0),"Д")</f>
        <v>0</v>
      </c>
      <c r="K867" s="50">
        <f>SUMIFS(INDEX(Техника!$F$1:$ABM$500,K$2,0),Техника!$F$4:$ABM$4,"Часы",INDEX(Техника!$G$1:$ABN$500,K$2,0),$A$865,INDEX(Техника!$H$1:$ABO$500,K$2,0),"Д")</f>
        <v>0</v>
      </c>
      <c r="L867" s="50">
        <f>SUMIFS(INDEX(Техника!$F$1:$ABM$500,L$2,0),Техника!$F$4:$ABM$4,"Часы",INDEX(Техника!$G$1:$ABN$500,L$2,0),$A$865,INDEX(Техника!$H$1:$ABO$500,L$2,0),"Д")</f>
        <v>0</v>
      </c>
      <c r="M867" s="50">
        <f>SUMIFS(INDEX(Техника!$F$1:$ABM$500,M$2,0),Техника!$F$4:$ABM$4,"Часы",INDEX(Техника!$G$1:$ABN$500,M$2,0),$A$865,INDEX(Техника!$H$1:$ABO$500,M$2,0),"Д")</f>
        <v>0</v>
      </c>
      <c r="N867" s="50">
        <f>SUMIFS(INDEX(Техника!$F$1:$ABM$500,N$2,0),Техника!$F$4:$ABM$4,"Часы",INDEX(Техника!$G$1:$ABN$500,N$2,0),$A$865,INDEX(Техника!$H$1:$ABO$500,N$2,0),"Д")</f>
        <v>0</v>
      </c>
      <c r="O867" s="50">
        <f>SUMIFS(INDEX(Техника!$F$1:$ABM$500,O$2,0),Техника!$F$4:$ABM$4,"Часы",INDEX(Техника!$G$1:$ABN$500,O$2,0),$A$865,INDEX(Техника!$H$1:$ABO$500,O$2,0),"Д")</f>
        <v>0</v>
      </c>
      <c r="P867" s="50">
        <f>SUMIFS(INDEX(Техника!$F$1:$ABM$500,P$2,0),Техника!$F$4:$ABM$4,"Часы",INDEX(Техника!$G$1:$ABN$500,P$2,0),$A$865,INDEX(Техника!$H$1:$ABO$500,P$2,0),"Д")</f>
        <v>0</v>
      </c>
      <c r="Q867" s="50">
        <f>SUMIFS(INDEX(Техника!$F$1:$ABM$500,Q$2,0),Техника!$F$4:$ABM$4,"Часы",INDEX(Техника!$G$1:$ABN$500,Q$2,0),$A$865,INDEX(Техника!$H$1:$ABO$500,Q$2,0),"Д")</f>
        <v>0</v>
      </c>
      <c r="R867" s="50">
        <f>SUMIFS(INDEX(Техника!$F$1:$ABM$500,R$2,0),Техника!$F$4:$ABM$4,"Часы",INDEX(Техника!$G$1:$ABN$500,R$2,0),$A$865,INDEX(Техника!$H$1:$ABO$500,R$2,0),"Д")</f>
        <v>0</v>
      </c>
      <c r="S867" s="50">
        <f>SUMIFS(INDEX(Техника!$F$1:$ABM$500,S$2,0),Техника!$F$4:$ABM$4,"Часы",INDEX(Техника!$G$1:$ABN$500,S$2,0),$A$865,INDEX(Техника!$H$1:$ABO$500,S$2,0),"Д")</f>
        <v>0</v>
      </c>
      <c r="T867" s="50">
        <f>SUMIFS(INDEX(Техника!$F$1:$ABM$500,T$2,0),Техника!$F$4:$ABM$4,"Часы",INDEX(Техника!$G$1:$ABN$500,T$2,0),$A$865,INDEX(Техника!$H$1:$ABO$500,T$2,0),"Д")</f>
        <v>0</v>
      </c>
      <c r="U867" s="50">
        <f>SUMIFS(INDEX(Техника!$F$1:$ABM$500,U$2,0),Техника!$F$4:$ABM$4,"Часы",INDEX(Техника!$G$1:$ABN$500,U$2,0),$A$865,INDEX(Техника!$H$1:$ABO$500,U$2,0),"Д")</f>
        <v>0</v>
      </c>
      <c r="V867" s="50">
        <f>SUMIFS(INDEX(Техника!$F$1:$ABM$500,V$2,0),Техника!$F$4:$ABM$4,"Часы",INDEX(Техника!$G$1:$ABN$500,V$2,0),$A$865,INDEX(Техника!$H$1:$ABO$500,V$2,0),"Д")</f>
        <v>0</v>
      </c>
      <c r="W867" s="50">
        <f>SUMIFS(INDEX(Техника!$F$1:$ABM$500,W$2,0),Техника!$F$4:$ABM$4,"Часы",INDEX(Техника!$G$1:$ABN$500,W$2,0),$A$865,INDEX(Техника!$H$1:$ABO$500,W$2,0),"Д")</f>
        <v>0</v>
      </c>
      <c r="X867" s="50">
        <f>SUMIFS(INDEX(Техника!$F$1:$ABM$500,X$2,0),Техника!$F$4:$ABM$4,"Часы",INDEX(Техника!$G$1:$ABN$500,X$2,0),$A$865,INDEX(Техника!$H$1:$ABO$500,X$2,0),"Д")</f>
        <v>0</v>
      </c>
      <c r="Y867" s="50">
        <f>SUMIFS(INDEX(Техника!$F$1:$ABM$500,Y$2,0),Техника!$F$4:$ABM$4,"Часы",INDEX(Техника!$G$1:$ABN$500,Y$2,0),$A$865,INDEX(Техника!$H$1:$ABO$500,Y$2,0),"Д")</f>
        <v>0</v>
      </c>
      <c r="Z867" s="50">
        <f>SUMIFS(INDEX(Техника!$F$1:$ABM$500,Z$2,0),Техника!$F$4:$ABM$4,"Часы",INDEX(Техника!$G$1:$ABN$500,Z$2,0),$A$865,INDEX(Техника!$H$1:$ABO$500,Z$2,0),"Д")</f>
        <v>0</v>
      </c>
      <c r="AA867" s="50">
        <f>SUMIFS(INDEX(Техника!$F$1:$ABM$500,AA$2,0),Техника!$F$4:$ABM$4,"Часы",INDEX(Техника!$G$1:$ABN$500,AA$2,0),$A$865,INDEX(Техника!$H$1:$ABO$500,AA$2,0),"Д")</f>
        <v>0</v>
      </c>
      <c r="AB867" s="50">
        <f>SUMIFS(INDEX(Техника!$F$1:$ABM$500,AB$2,0),Техника!$F$4:$ABM$4,"Часы",INDEX(Техника!$G$1:$ABN$500,AB$2,0),$A$865,INDEX(Техника!$H$1:$ABO$500,AB$2,0),"Д")</f>
        <v>0</v>
      </c>
    </row>
    <row r="868" spans="1:28" hidden="1" outlineLevel="1" x14ac:dyDescent="0.3">
      <c r="A868" s="33" t="s">
        <v>276</v>
      </c>
      <c r="B868" s="34" t="s">
        <v>277</v>
      </c>
      <c r="C868" s="50">
        <f>SUMIFS(INDEX(Техника!$F$1:$ABM$500,C$2,0),Техника!$F$4:$ABM$4,"Часы",INDEX(Техника!$G$1:$ABN$500,C$2,0),$A$865,INDEX(Техника!$H$1:$ABO$500,C$2,0),"П")</f>
        <v>0</v>
      </c>
      <c r="D868" s="50">
        <f>SUMIFS(INDEX(Техника!$F$1:$ABM$500,D$2,0),Техника!$F$4:$ABM$4,"Часы",INDEX(Техника!$G$1:$ABN$500,D$2,0),$A$865,INDEX(Техника!$H$1:$ABO$500,D$2,0),"П")</f>
        <v>0</v>
      </c>
      <c r="E868" s="50">
        <f>SUMIFS(INDEX(Техника!$F$1:$ABM$500,E$2,0),Техника!$F$4:$ABM$4,"Часы",INDEX(Техника!$G$1:$ABN$500,E$2,0),$A$865,INDEX(Техника!$H$1:$ABO$500,E$2,0),"П")</f>
        <v>0</v>
      </c>
      <c r="F868" s="50">
        <f>SUMIFS(INDEX(Техника!$F$1:$ABM$500,F$2,0),Техника!$F$4:$ABM$4,"Часы",INDEX(Техника!$G$1:$ABN$500,F$2,0),$A$865,INDEX(Техника!$H$1:$ABO$500,F$2,0),"П")</f>
        <v>0</v>
      </c>
      <c r="G868" s="50">
        <f>SUMIFS(INDEX(Техника!$F$1:$ABM$500,G$2,0),Техника!$F$4:$ABM$4,"Часы",INDEX(Техника!$G$1:$ABN$500,G$2,0),$A$865,INDEX(Техника!$H$1:$ABO$500,G$2,0),"П")</f>
        <v>0</v>
      </c>
      <c r="H868" s="50">
        <f>SUMIFS(INDEX(Техника!$F$1:$ABM$500,H$2,0),Техника!$F$4:$ABM$4,"Часы",INDEX(Техника!$G$1:$ABN$500,H$2,0),$A$865,INDEX(Техника!$H$1:$ABO$500,H$2,0),"П")</f>
        <v>0</v>
      </c>
      <c r="I868" s="50">
        <f>SUMIFS(INDEX(Техника!$F$1:$ABM$500,I$2,0),Техника!$F$4:$ABM$4,"Часы",INDEX(Техника!$G$1:$ABN$500,I$2,0),$A$865,INDEX(Техника!$H$1:$ABO$500,I$2,0),"П")</f>
        <v>0</v>
      </c>
      <c r="J868" s="50">
        <f>SUMIFS(INDEX(Техника!$F$1:$ABM$500,J$2,0),Техника!$F$4:$ABM$4,"Часы",INDEX(Техника!$G$1:$ABN$500,J$2,0),$A$865,INDEX(Техника!$H$1:$ABO$500,J$2,0),"П")</f>
        <v>0</v>
      </c>
      <c r="K868" s="50">
        <f>SUMIFS(INDEX(Техника!$F$1:$ABM$500,K$2,0),Техника!$F$4:$ABM$4,"Часы",INDEX(Техника!$G$1:$ABN$500,K$2,0),$A$865,INDEX(Техника!$H$1:$ABO$500,K$2,0),"П")</f>
        <v>0</v>
      </c>
      <c r="L868" s="50">
        <f>SUMIFS(INDEX(Техника!$F$1:$ABM$500,L$2,0),Техника!$F$4:$ABM$4,"Часы",INDEX(Техника!$G$1:$ABN$500,L$2,0),$A$865,INDEX(Техника!$H$1:$ABO$500,L$2,0),"П")</f>
        <v>0</v>
      </c>
      <c r="M868" s="50">
        <f>SUMIFS(INDEX(Техника!$F$1:$ABM$500,M$2,0),Техника!$F$4:$ABM$4,"Часы",INDEX(Техника!$G$1:$ABN$500,M$2,0),$A$865,INDEX(Техника!$H$1:$ABO$500,M$2,0),"П")</f>
        <v>0</v>
      </c>
      <c r="N868" s="50">
        <f>SUMIFS(INDEX(Техника!$F$1:$ABM$500,N$2,0),Техника!$F$4:$ABM$4,"Часы",INDEX(Техника!$G$1:$ABN$500,N$2,0),$A$865,INDEX(Техника!$H$1:$ABO$500,N$2,0),"П")</f>
        <v>0</v>
      </c>
      <c r="O868" s="50">
        <f>SUMIFS(INDEX(Техника!$F$1:$ABM$500,O$2,0),Техника!$F$4:$ABM$4,"Часы",INDEX(Техника!$G$1:$ABN$500,O$2,0),$A$865,INDEX(Техника!$H$1:$ABO$500,O$2,0),"П")</f>
        <v>0</v>
      </c>
      <c r="P868" s="50">
        <f>SUMIFS(INDEX(Техника!$F$1:$ABM$500,P$2,0),Техника!$F$4:$ABM$4,"Часы",INDEX(Техника!$G$1:$ABN$500,P$2,0),$A$865,INDEX(Техника!$H$1:$ABO$500,P$2,0),"П")</f>
        <v>0</v>
      </c>
      <c r="Q868" s="50">
        <f>SUMIFS(INDEX(Техника!$F$1:$ABM$500,Q$2,0),Техника!$F$4:$ABM$4,"Часы",INDEX(Техника!$G$1:$ABN$500,Q$2,0),$A$865,INDEX(Техника!$H$1:$ABO$500,Q$2,0),"П")</f>
        <v>0</v>
      </c>
      <c r="R868" s="50">
        <f>SUMIFS(INDEX(Техника!$F$1:$ABM$500,R$2,0),Техника!$F$4:$ABM$4,"Часы",INDEX(Техника!$G$1:$ABN$500,R$2,0),$A$865,INDEX(Техника!$H$1:$ABO$500,R$2,0),"П")</f>
        <v>0</v>
      </c>
      <c r="S868" s="50">
        <f>SUMIFS(INDEX(Техника!$F$1:$ABM$500,S$2,0),Техника!$F$4:$ABM$4,"Часы",INDEX(Техника!$G$1:$ABN$500,S$2,0),$A$865,INDEX(Техника!$H$1:$ABO$500,S$2,0),"П")</f>
        <v>0</v>
      </c>
      <c r="T868" s="50">
        <f>SUMIFS(INDEX(Техника!$F$1:$ABM$500,T$2,0),Техника!$F$4:$ABM$4,"Часы",INDEX(Техника!$G$1:$ABN$500,T$2,0),$A$865,INDEX(Техника!$H$1:$ABO$500,T$2,0),"П")</f>
        <v>0</v>
      </c>
      <c r="U868" s="50">
        <f>SUMIFS(INDEX(Техника!$F$1:$ABM$500,U$2,0),Техника!$F$4:$ABM$4,"Часы",INDEX(Техника!$G$1:$ABN$500,U$2,0),$A$865,INDEX(Техника!$H$1:$ABO$500,U$2,0),"П")</f>
        <v>0</v>
      </c>
      <c r="V868" s="50">
        <f>SUMIFS(INDEX(Техника!$F$1:$ABM$500,V$2,0),Техника!$F$4:$ABM$4,"Часы",INDEX(Техника!$G$1:$ABN$500,V$2,0),$A$865,INDEX(Техника!$H$1:$ABO$500,V$2,0),"П")</f>
        <v>0</v>
      </c>
      <c r="W868" s="50">
        <f>SUMIFS(INDEX(Техника!$F$1:$ABM$500,W$2,0),Техника!$F$4:$ABM$4,"Часы",INDEX(Техника!$G$1:$ABN$500,W$2,0),$A$865,INDEX(Техника!$H$1:$ABO$500,W$2,0),"П")</f>
        <v>0</v>
      </c>
      <c r="X868" s="50">
        <f>SUMIFS(INDEX(Техника!$F$1:$ABM$500,X$2,0),Техника!$F$4:$ABM$4,"Часы",INDEX(Техника!$G$1:$ABN$500,X$2,0),$A$865,INDEX(Техника!$H$1:$ABO$500,X$2,0),"П")</f>
        <v>0</v>
      </c>
      <c r="Y868" s="50">
        <f>SUMIFS(INDEX(Техника!$F$1:$ABM$500,Y$2,0),Техника!$F$4:$ABM$4,"Часы",INDEX(Техника!$G$1:$ABN$500,Y$2,0),$A$865,INDEX(Техника!$H$1:$ABO$500,Y$2,0),"П")</f>
        <v>0</v>
      </c>
      <c r="Z868" s="50">
        <f>SUMIFS(INDEX(Техника!$F$1:$ABM$500,Z$2,0),Техника!$F$4:$ABM$4,"Часы",INDEX(Техника!$G$1:$ABN$500,Z$2,0),$A$865,INDEX(Техника!$H$1:$ABO$500,Z$2,0),"П")</f>
        <v>0</v>
      </c>
      <c r="AA868" s="50">
        <f>SUMIFS(INDEX(Техника!$F$1:$ABM$500,AA$2,0),Техника!$F$4:$ABM$4,"Часы",INDEX(Техника!$G$1:$ABN$500,AA$2,0),$A$865,INDEX(Техника!$H$1:$ABO$500,AA$2,0),"П")</f>
        <v>0</v>
      </c>
      <c r="AB868" s="50">
        <f>SUMIFS(INDEX(Техника!$F$1:$ABM$500,AB$2,0),Техника!$F$4:$ABM$4,"Часы",INDEX(Техника!$G$1:$ABN$500,AB$2,0),$A$865,INDEX(Техника!$H$1:$ABO$500,AB$2,0),"П")</f>
        <v>0</v>
      </c>
    </row>
    <row r="869" spans="1:28" hidden="1" outlineLevel="1" x14ac:dyDescent="0.3">
      <c r="A869" s="33" t="s">
        <v>243</v>
      </c>
      <c r="B869" s="34" t="s">
        <v>278</v>
      </c>
      <c r="C869" s="50">
        <f>SUMIFS(INDEX(Техника!$F$1:$ABM$500,C$2,0),Техника!$F$4:$ABM$4,"Часы",INDEX(Техника!$G$1:$ABN$500,C$2,0),$A$865,INDEX(Техника!$H$1:$ABO$500,C$2,0),"Л")</f>
        <v>0</v>
      </c>
      <c r="D869" s="50">
        <f>SUMIFS(INDEX(Техника!$F$1:$ABM$500,D$2,0),Техника!$F$4:$ABM$4,"Часы",INDEX(Техника!$G$1:$ABN$500,D$2,0),$A$865,INDEX(Техника!$H$1:$ABO$500,D$2,0),"Л")</f>
        <v>0</v>
      </c>
      <c r="E869" s="50">
        <f>SUMIFS(INDEX(Техника!$F$1:$ABM$500,E$2,0),Техника!$F$4:$ABM$4,"Часы",INDEX(Техника!$G$1:$ABN$500,E$2,0),$A$865,INDEX(Техника!$H$1:$ABO$500,E$2,0),"Л")</f>
        <v>0</v>
      </c>
      <c r="F869" s="50">
        <f>SUMIFS(INDEX(Техника!$F$1:$ABM$500,F$2,0),Техника!$F$4:$ABM$4,"Часы",INDEX(Техника!$G$1:$ABN$500,F$2,0),$A$865,INDEX(Техника!$H$1:$ABO$500,F$2,0),"Л")</f>
        <v>0</v>
      </c>
      <c r="G869" s="50">
        <f>SUMIFS(INDEX(Техника!$F$1:$ABM$500,G$2,0),Техника!$F$4:$ABM$4,"Часы",INDEX(Техника!$G$1:$ABN$500,G$2,0),$A$865,INDEX(Техника!$H$1:$ABO$500,G$2,0),"Л")</f>
        <v>0</v>
      </c>
      <c r="H869" s="50">
        <f>SUMIFS(INDEX(Техника!$F$1:$ABM$500,H$2,0),Техника!$F$4:$ABM$4,"Часы",INDEX(Техника!$G$1:$ABN$500,H$2,0),$A$865,INDEX(Техника!$H$1:$ABO$500,H$2,0),"Л")</f>
        <v>0</v>
      </c>
      <c r="I869" s="50">
        <f>SUMIFS(INDEX(Техника!$F$1:$ABM$500,I$2,0),Техника!$F$4:$ABM$4,"Часы",INDEX(Техника!$G$1:$ABN$500,I$2,0),$A$865,INDEX(Техника!$H$1:$ABO$500,I$2,0),"Л")</f>
        <v>0</v>
      </c>
      <c r="J869" s="50">
        <f>SUMIFS(INDEX(Техника!$F$1:$ABM$500,J$2,0),Техника!$F$4:$ABM$4,"Часы",INDEX(Техника!$G$1:$ABN$500,J$2,0),$A$865,INDEX(Техника!$H$1:$ABO$500,J$2,0),"Л")</f>
        <v>0</v>
      </c>
      <c r="K869" s="50">
        <f>SUMIFS(INDEX(Техника!$F$1:$ABM$500,K$2,0),Техника!$F$4:$ABM$4,"Часы",INDEX(Техника!$G$1:$ABN$500,K$2,0),$A$865,INDEX(Техника!$H$1:$ABO$500,K$2,0),"Л")</f>
        <v>0</v>
      </c>
      <c r="L869" s="50">
        <f>SUMIFS(INDEX(Техника!$F$1:$ABM$500,L$2,0),Техника!$F$4:$ABM$4,"Часы",INDEX(Техника!$G$1:$ABN$500,L$2,0),$A$865,INDEX(Техника!$H$1:$ABO$500,L$2,0),"Л")</f>
        <v>0</v>
      </c>
      <c r="M869" s="50">
        <f>SUMIFS(INDEX(Техника!$F$1:$ABM$500,M$2,0),Техника!$F$4:$ABM$4,"Часы",INDEX(Техника!$G$1:$ABN$500,M$2,0),$A$865,INDEX(Техника!$H$1:$ABO$500,M$2,0),"Л")</f>
        <v>0</v>
      </c>
      <c r="N869" s="50">
        <f>SUMIFS(INDEX(Техника!$F$1:$ABM$500,N$2,0),Техника!$F$4:$ABM$4,"Часы",INDEX(Техника!$G$1:$ABN$500,N$2,0),$A$865,INDEX(Техника!$H$1:$ABO$500,N$2,0),"Л")</f>
        <v>0</v>
      </c>
      <c r="O869" s="50">
        <f>SUMIFS(INDEX(Техника!$F$1:$ABM$500,O$2,0),Техника!$F$4:$ABM$4,"Часы",INDEX(Техника!$G$1:$ABN$500,O$2,0),$A$865,INDEX(Техника!$H$1:$ABO$500,O$2,0),"Л")</f>
        <v>0</v>
      </c>
      <c r="P869" s="50">
        <f>SUMIFS(INDEX(Техника!$F$1:$ABM$500,P$2,0),Техника!$F$4:$ABM$4,"Часы",INDEX(Техника!$G$1:$ABN$500,P$2,0),$A$865,INDEX(Техника!$H$1:$ABO$500,P$2,0),"Л")</f>
        <v>0</v>
      </c>
      <c r="Q869" s="50">
        <f>SUMIFS(INDEX(Техника!$F$1:$ABM$500,Q$2,0),Техника!$F$4:$ABM$4,"Часы",INDEX(Техника!$G$1:$ABN$500,Q$2,0),$A$865,INDEX(Техника!$H$1:$ABO$500,Q$2,0),"Л")</f>
        <v>0</v>
      </c>
      <c r="R869" s="50">
        <f>SUMIFS(INDEX(Техника!$F$1:$ABM$500,R$2,0),Техника!$F$4:$ABM$4,"Часы",INDEX(Техника!$G$1:$ABN$500,R$2,0),$A$865,INDEX(Техника!$H$1:$ABO$500,R$2,0),"Л")</f>
        <v>0</v>
      </c>
      <c r="S869" s="50">
        <f>SUMIFS(INDEX(Техника!$F$1:$ABM$500,S$2,0),Техника!$F$4:$ABM$4,"Часы",INDEX(Техника!$G$1:$ABN$500,S$2,0),$A$865,INDEX(Техника!$H$1:$ABO$500,S$2,0),"Л")</f>
        <v>0</v>
      </c>
      <c r="T869" s="50">
        <f>SUMIFS(INDEX(Техника!$F$1:$ABM$500,T$2,0),Техника!$F$4:$ABM$4,"Часы",INDEX(Техника!$G$1:$ABN$500,T$2,0),$A$865,INDEX(Техника!$H$1:$ABO$500,T$2,0),"Л")</f>
        <v>0</v>
      </c>
      <c r="U869" s="50">
        <f>SUMIFS(INDEX(Техника!$F$1:$ABM$500,U$2,0),Техника!$F$4:$ABM$4,"Часы",INDEX(Техника!$G$1:$ABN$500,U$2,0),$A$865,INDEX(Техника!$H$1:$ABO$500,U$2,0),"Л")</f>
        <v>0</v>
      </c>
      <c r="V869" s="50">
        <f>SUMIFS(INDEX(Техника!$F$1:$ABM$500,V$2,0),Техника!$F$4:$ABM$4,"Часы",INDEX(Техника!$G$1:$ABN$500,V$2,0),$A$865,INDEX(Техника!$H$1:$ABO$500,V$2,0),"Л")</f>
        <v>0</v>
      </c>
      <c r="W869" s="50">
        <f>SUMIFS(INDEX(Техника!$F$1:$ABM$500,W$2,0),Техника!$F$4:$ABM$4,"Часы",INDEX(Техника!$G$1:$ABN$500,W$2,0),$A$865,INDEX(Техника!$H$1:$ABO$500,W$2,0),"Л")</f>
        <v>0</v>
      </c>
      <c r="X869" s="50">
        <f>SUMIFS(INDEX(Техника!$F$1:$ABM$500,X$2,0),Техника!$F$4:$ABM$4,"Часы",INDEX(Техника!$G$1:$ABN$500,X$2,0),$A$865,INDEX(Техника!$H$1:$ABO$500,X$2,0),"Л")</f>
        <v>0</v>
      </c>
      <c r="Y869" s="50">
        <f>SUMIFS(INDEX(Техника!$F$1:$ABM$500,Y$2,0),Техника!$F$4:$ABM$4,"Часы",INDEX(Техника!$G$1:$ABN$500,Y$2,0),$A$865,INDEX(Техника!$H$1:$ABO$500,Y$2,0),"Л")</f>
        <v>0</v>
      </c>
      <c r="Z869" s="50">
        <f>SUMIFS(INDEX(Техника!$F$1:$ABM$500,Z$2,0),Техника!$F$4:$ABM$4,"Часы",INDEX(Техника!$G$1:$ABN$500,Z$2,0),$A$865,INDEX(Техника!$H$1:$ABO$500,Z$2,0),"Л")</f>
        <v>0</v>
      </c>
      <c r="AA869" s="50">
        <f>SUMIFS(INDEX(Техника!$F$1:$ABM$500,AA$2,0),Техника!$F$4:$ABM$4,"Часы",INDEX(Техника!$G$1:$ABN$500,AA$2,0),$A$865,INDEX(Техника!$H$1:$ABO$500,AA$2,0),"Л")</f>
        <v>0</v>
      </c>
      <c r="AB869" s="50">
        <f>SUMIFS(INDEX(Техника!$F$1:$ABM$500,AB$2,0),Техника!$F$4:$ABM$4,"Часы",INDEX(Техника!$G$1:$ABN$500,AB$2,0),$A$865,INDEX(Техника!$H$1:$ABO$500,AB$2,0),"Л")</f>
        <v>0</v>
      </c>
    </row>
    <row r="870" spans="1:28" hidden="1" outlineLevel="1" x14ac:dyDescent="0.3">
      <c r="A870" s="33" t="s">
        <v>245</v>
      </c>
      <c r="B870" s="34" t="s">
        <v>279</v>
      </c>
      <c r="C870" s="50">
        <f>SUMIFS(INDEX(Техника!$F$1:$ABM$500,C$2,0),Техника!$F$4:$ABM$4,"Часы",INDEX(Техника!$G$1:$ABN$500,C$2,0),$A$865,INDEX(Техника!$H$1:$ABO$500,C$2,0),"З")</f>
        <v>0</v>
      </c>
      <c r="D870" s="50">
        <f>SUMIFS(INDEX(Техника!$F$1:$ABM$500,D$2,0),Техника!$F$4:$ABM$4,"Часы",INDEX(Техника!$G$1:$ABN$500,D$2,0),$A$865,INDEX(Техника!$H$1:$ABO$500,D$2,0),"З")</f>
        <v>0</v>
      </c>
      <c r="E870" s="50">
        <f>SUMIFS(INDEX(Техника!$F$1:$ABM$500,E$2,0),Техника!$F$4:$ABM$4,"Часы",INDEX(Техника!$G$1:$ABN$500,E$2,0),$A$865,INDEX(Техника!$H$1:$ABO$500,E$2,0),"З")</f>
        <v>0</v>
      </c>
      <c r="F870" s="50">
        <f>SUMIFS(INDEX(Техника!$F$1:$ABM$500,F$2,0),Техника!$F$4:$ABM$4,"Часы",INDEX(Техника!$G$1:$ABN$500,F$2,0),$A$865,INDEX(Техника!$H$1:$ABO$500,F$2,0),"З")</f>
        <v>0</v>
      </c>
      <c r="G870" s="50">
        <f>SUMIFS(INDEX(Техника!$F$1:$ABM$500,G$2,0),Техника!$F$4:$ABM$4,"Часы",INDEX(Техника!$G$1:$ABN$500,G$2,0),$A$865,INDEX(Техника!$H$1:$ABO$500,G$2,0),"З")</f>
        <v>0</v>
      </c>
      <c r="H870" s="50">
        <f>SUMIFS(INDEX(Техника!$F$1:$ABM$500,H$2,0),Техника!$F$4:$ABM$4,"Часы",INDEX(Техника!$G$1:$ABN$500,H$2,0),$A$865,INDEX(Техника!$H$1:$ABO$500,H$2,0),"З")</f>
        <v>0</v>
      </c>
      <c r="I870" s="50">
        <f>SUMIFS(INDEX(Техника!$F$1:$ABM$500,I$2,0),Техника!$F$4:$ABM$4,"Часы",INDEX(Техника!$G$1:$ABN$500,I$2,0),$A$865,INDEX(Техника!$H$1:$ABO$500,I$2,0),"З")</f>
        <v>0</v>
      </c>
      <c r="J870" s="50">
        <f>SUMIFS(INDEX(Техника!$F$1:$ABM$500,J$2,0),Техника!$F$4:$ABM$4,"Часы",INDEX(Техника!$G$1:$ABN$500,J$2,0),$A$865,INDEX(Техника!$H$1:$ABO$500,J$2,0),"З")</f>
        <v>0</v>
      </c>
      <c r="K870" s="50">
        <f>SUMIFS(INDEX(Техника!$F$1:$ABM$500,K$2,0),Техника!$F$4:$ABM$4,"Часы",INDEX(Техника!$G$1:$ABN$500,K$2,0),$A$865,INDEX(Техника!$H$1:$ABO$500,K$2,0),"З")</f>
        <v>0</v>
      </c>
      <c r="L870" s="50">
        <f>SUMIFS(INDEX(Техника!$F$1:$ABM$500,L$2,0),Техника!$F$4:$ABM$4,"Часы",INDEX(Техника!$G$1:$ABN$500,L$2,0),$A$865,INDEX(Техника!$H$1:$ABO$500,L$2,0),"З")</f>
        <v>0</v>
      </c>
      <c r="M870" s="50">
        <f>SUMIFS(INDEX(Техника!$F$1:$ABM$500,M$2,0),Техника!$F$4:$ABM$4,"Часы",INDEX(Техника!$G$1:$ABN$500,M$2,0),$A$865,INDEX(Техника!$H$1:$ABO$500,M$2,0),"З")</f>
        <v>0</v>
      </c>
      <c r="N870" s="50">
        <f>SUMIFS(INDEX(Техника!$F$1:$ABM$500,N$2,0),Техника!$F$4:$ABM$4,"Часы",INDEX(Техника!$G$1:$ABN$500,N$2,0),$A$865,INDEX(Техника!$H$1:$ABO$500,N$2,0),"З")</f>
        <v>0</v>
      </c>
      <c r="O870" s="50">
        <f>SUMIFS(INDEX(Техника!$F$1:$ABM$500,O$2,0),Техника!$F$4:$ABM$4,"Часы",INDEX(Техника!$G$1:$ABN$500,O$2,0),$A$865,INDEX(Техника!$H$1:$ABO$500,O$2,0),"З")</f>
        <v>0</v>
      </c>
      <c r="P870" s="50">
        <f>SUMIFS(INDEX(Техника!$F$1:$ABM$500,P$2,0),Техника!$F$4:$ABM$4,"Часы",INDEX(Техника!$G$1:$ABN$500,P$2,0),$A$865,INDEX(Техника!$H$1:$ABO$500,P$2,0),"З")</f>
        <v>0</v>
      </c>
      <c r="Q870" s="50">
        <f>SUMIFS(INDEX(Техника!$F$1:$ABM$500,Q$2,0),Техника!$F$4:$ABM$4,"Часы",INDEX(Техника!$G$1:$ABN$500,Q$2,0),$A$865,INDEX(Техника!$H$1:$ABO$500,Q$2,0),"З")</f>
        <v>0</v>
      </c>
      <c r="R870" s="50">
        <f>SUMIFS(INDEX(Техника!$F$1:$ABM$500,R$2,0),Техника!$F$4:$ABM$4,"Часы",INDEX(Техника!$G$1:$ABN$500,R$2,0),$A$865,INDEX(Техника!$H$1:$ABO$500,R$2,0),"З")</f>
        <v>0</v>
      </c>
      <c r="S870" s="50">
        <f>SUMIFS(INDEX(Техника!$F$1:$ABM$500,S$2,0),Техника!$F$4:$ABM$4,"Часы",INDEX(Техника!$G$1:$ABN$500,S$2,0),$A$865,INDEX(Техника!$H$1:$ABO$500,S$2,0),"З")</f>
        <v>0</v>
      </c>
      <c r="T870" s="50">
        <f>SUMIFS(INDEX(Техника!$F$1:$ABM$500,T$2,0),Техника!$F$4:$ABM$4,"Часы",INDEX(Техника!$G$1:$ABN$500,T$2,0),$A$865,INDEX(Техника!$H$1:$ABO$500,T$2,0),"З")</f>
        <v>0</v>
      </c>
      <c r="U870" s="50">
        <f>SUMIFS(INDEX(Техника!$F$1:$ABM$500,U$2,0),Техника!$F$4:$ABM$4,"Часы",INDEX(Техника!$G$1:$ABN$500,U$2,0),$A$865,INDEX(Техника!$H$1:$ABO$500,U$2,0),"З")</f>
        <v>0</v>
      </c>
      <c r="V870" s="50">
        <f>SUMIFS(INDEX(Техника!$F$1:$ABM$500,V$2,0),Техника!$F$4:$ABM$4,"Часы",INDEX(Техника!$G$1:$ABN$500,V$2,0),$A$865,INDEX(Техника!$H$1:$ABO$500,V$2,0),"З")</f>
        <v>0</v>
      </c>
      <c r="W870" s="50">
        <f>SUMIFS(INDEX(Техника!$F$1:$ABM$500,W$2,0),Техника!$F$4:$ABM$4,"Часы",INDEX(Техника!$G$1:$ABN$500,W$2,0),$A$865,INDEX(Техника!$H$1:$ABO$500,W$2,0),"З")</f>
        <v>0</v>
      </c>
      <c r="X870" s="50">
        <f>SUMIFS(INDEX(Техника!$F$1:$ABM$500,X$2,0),Техника!$F$4:$ABM$4,"Часы",INDEX(Техника!$G$1:$ABN$500,X$2,0),$A$865,INDEX(Техника!$H$1:$ABO$500,X$2,0),"З")</f>
        <v>0</v>
      </c>
      <c r="Y870" s="50">
        <f>SUMIFS(INDEX(Техника!$F$1:$ABM$500,Y$2,0),Техника!$F$4:$ABM$4,"Часы",INDEX(Техника!$G$1:$ABN$500,Y$2,0),$A$865,INDEX(Техника!$H$1:$ABO$500,Y$2,0),"З")</f>
        <v>0</v>
      </c>
      <c r="Z870" s="50">
        <f>SUMIFS(INDEX(Техника!$F$1:$ABM$500,Z$2,0),Техника!$F$4:$ABM$4,"Часы",INDEX(Техника!$G$1:$ABN$500,Z$2,0),$A$865,INDEX(Техника!$H$1:$ABO$500,Z$2,0),"З")</f>
        <v>0</v>
      </c>
      <c r="AA870" s="50">
        <f>SUMIFS(INDEX(Техника!$F$1:$ABM$500,AA$2,0),Техника!$F$4:$ABM$4,"Часы",INDEX(Техника!$G$1:$ABN$500,AA$2,0),$A$865,INDEX(Техника!$H$1:$ABO$500,AA$2,0),"З")</f>
        <v>0</v>
      </c>
      <c r="AB870" s="50">
        <f>SUMIFS(INDEX(Техника!$F$1:$ABM$500,AB$2,0),Техника!$F$4:$ABM$4,"Часы",INDEX(Техника!$G$1:$ABN$500,AB$2,0),$A$865,INDEX(Техника!$H$1:$ABO$500,AB$2,0),"З")</f>
        <v>0</v>
      </c>
    </row>
    <row r="871" spans="1:28" ht="7.95" customHeight="1" x14ac:dyDescent="0.3">
      <c r="A871" s="38"/>
      <c r="B871" s="39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</row>
    <row r="872" spans="1:28" ht="25.05" customHeight="1" collapsed="1" x14ac:dyDescent="0.3">
      <c r="A872" s="32">
        <v>125</v>
      </c>
      <c r="B872" s="32" t="s">
        <v>126</v>
      </c>
      <c r="C872" s="49">
        <f>SUM(C873:C877)</f>
        <v>0</v>
      </c>
      <c r="D872" s="49">
        <f>SUM(D873:D877)</f>
        <v>0</v>
      </c>
      <c r="E872" s="49">
        <f>SUM(E873:E877)</f>
        <v>0</v>
      </c>
      <c r="F872" s="49">
        <f>SUM(F873:F877)</f>
        <v>0</v>
      </c>
      <c r="G872" s="49">
        <f>SUM(G873:G877)</f>
        <v>0</v>
      </c>
      <c r="H872" s="49">
        <f>SUM(H873:H877)</f>
        <v>0</v>
      </c>
      <c r="I872" s="49">
        <f>SUM(I873:I877)</f>
        <v>0</v>
      </c>
      <c r="J872" s="49">
        <f>SUM(J873:J877)</f>
        <v>0</v>
      </c>
      <c r="K872" s="49">
        <f>SUM(K873:K877)</f>
        <v>0</v>
      </c>
      <c r="L872" s="49">
        <f>SUM(L873:L877)</f>
        <v>0</v>
      </c>
      <c r="M872" s="49">
        <f>SUM(M873:M877)</f>
        <v>0</v>
      </c>
      <c r="N872" s="49">
        <f>SUM(N873:N877)</f>
        <v>0</v>
      </c>
      <c r="O872" s="49">
        <f>SUM(O873:O877)</f>
        <v>0</v>
      </c>
      <c r="P872" s="49">
        <f>SUM(P873:P877)</f>
        <v>0</v>
      </c>
      <c r="Q872" s="49">
        <f>SUM(Q873:Q877)</f>
        <v>0</v>
      </c>
      <c r="R872" s="49">
        <f>SUM(R873:R877)</f>
        <v>0</v>
      </c>
      <c r="S872" s="49">
        <f>SUM(S873:S877)</f>
        <v>0</v>
      </c>
      <c r="T872" s="49">
        <f>SUM(T873:T877)</f>
        <v>0</v>
      </c>
      <c r="U872" s="49">
        <f>SUM(U873:U877)</f>
        <v>0</v>
      </c>
      <c r="V872" s="49">
        <f>SUM(V873:V877)</f>
        <v>0</v>
      </c>
      <c r="W872" s="49">
        <f>SUM(W873:W877)</f>
        <v>0</v>
      </c>
      <c r="X872" s="49">
        <f>SUM(X873:X877)</f>
        <v>0</v>
      </c>
      <c r="Y872" s="49">
        <f>SUM(Y873:Y877)</f>
        <v>0</v>
      </c>
      <c r="Z872" s="49">
        <f>SUM(Z873:Z877)</f>
        <v>0</v>
      </c>
      <c r="AA872" s="49">
        <f>SUM(AA873:AA877)</f>
        <v>0</v>
      </c>
      <c r="AB872" s="49">
        <f>SUM(AB873:AB877)</f>
        <v>0</v>
      </c>
    </row>
    <row r="873" spans="1:28" hidden="1" outlineLevel="1" x14ac:dyDescent="0.3">
      <c r="A873" s="33" t="s">
        <v>246</v>
      </c>
      <c r="B873" s="34" t="s">
        <v>274</v>
      </c>
      <c r="C873" s="50">
        <f>SUMIFS(INDEX(Техника!$F$1:$ABM$500,C$2,0),Техника!$F$4:$ABM$4,"Часы",INDEX(Техника!$G$1:$ABN$500,C$2,0),$A$872,INDEX(Техника!$H$1:$ABO$500,C$2,0),"М")</f>
        <v>0</v>
      </c>
      <c r="D873" s="50">
        <f>SUMIFS(INDEX(Техника!$F$1:$ABM$500,D$2,0),Техника!$F$4:$ABM$4,"Часы",INDEX(Техника!$G$1:$ABN$500,D$2,0),$A$872,INDEX(Техника!$H$1:$ABO$500,D$2,0),"М")</f>
        <v>0</v>
      </c>
      <c r="E873" s="50">
        <f>SUMIFS(INDEX(Техника!$F$1:$ABM$500,E$2,0),Техника!$F$4:$ABM$4,"Часы",INDEX(Техника!$G$1:$ABN$500,E$2,0),$A$872,INDEX(Техника!$H$1:$ABO$500,E$2,0),"М")</f>
        <v>0</v>
      </c>
      <c r="F873" s="50">
        <f>SUMIFS(INDEX(Техника!$F$1:$ABM$500,F$2,0),Техника!$F$4:$ABM$4,"Часы",INDEX(Техника!$G$1:$ABN$500,F$2,0),$A$872,INDEX(Техника!$H$1:$ABO$500,F$2,0),"М")</f>
        <v>0</v>
      </c>
      <c r="G873" s="50">
        <f>SUMIFS(INDEX(Техника!$F$1:$ABM$500,G$2,0),Техника!$F$4:$ABM$4,"Часы",INDEX(Техника!$G$1:$ABN$500,G$2,0),$A$872,INDEX(Техника!$H$1:$ABO$500,G$2,0),"М")</f>
        <v>0</v>
      </c>
      <c r="H873" s="50">
        <f>SUMIFS(INDEX(Техника!$F$1:$ABM$500,H$2,0),Техника!$F$4:$ABM$4,"Часы",INDEX(Техника!$G$1:$ABN$500,H$2,0),$A$872,INDEX(Техника!$H$1:$ABO$500,H$2,0),"М")</f>
        <v>0</v>
      </c>
      <c r="I873" s="50">
        <f>SUMIFS(INDEX(Техника!$F$1:$ABM$500,I$2,0),Техника!$F$4:$ABM$4,"Часы",INDEX(Техника!$G$1:$ABN$500,I$2,0),$A$872,INDEX(Техника!$H$1:$ABO$500,I$2,0),"М")</f>
        <v>0</v>
      </c>
      <c r="J873" s="50">
        <f>SUMIFS(INDEX(Техника!$F$1:$ABM$500,J$2,0),Техника!$F$4:$ABM$4,"Часы",INDEX(Техника!$G$1:$ABN$500,J$2,0),$A$872,INDEX(Техника!$H$1:$ABO$500,J$2,0),"М")</f>
        <v>0</v>
      </c>
      <c r="K873" s="50">
        <f>SUMIFS(INDEX(Техника!$F$1:$ABM$500,K$2,0),Техника!$F$4:$ABM$4,"Часы",INDEX(Техника!$G$1:$ABN$500,K$2,0),$A$872,INDEX(Техника!$H$1:$ABO$500,K$2,0),"М")</f>
        <v>0</v>
      </c>
      <c r="L873" s="50">
        <f>SUMIFS(INDEX(Техника!$F$1:$ABM$500,L$2,0),Техника!$F$4:$ABM$4,"Часы",INDEX(Техника!$G$1:$ABN$500,L$2,0),$A$872,INDEX(Техника!$H$1:$ABO$500,L$2,0),"М")</f>
        <v>0</v>
      </c>
      <c r="M873" s="50">
        <f>SUMIFS(INDEX(Техника!$F$1:$ABM$500,M$2,0),Техника!$F$4:$ABM$4,"Часы",INDEX(Техника!$G$1:$ABN$500,M$2,0),$A$872,INDEX(Техника!$H$1:$ABO$500,M$2,0),"М")</f>
        <v>0</v>
      </c>
      <c r="N873" s="50">
        <f>SUMIFS(INDEX(Техника!$F$1:$ABM$500,N$2,0),Техника!$F$4:$ABM$4,"Часы",INDEX(Техника!$G$1:$ABN$500,N$2,0),$A$872,INDEX(Техника!$H$1:$ABO$500,N$2,0),"М")</f>
        <v>0</v>
      </c>
      <c r="O873" s="50">
        <f>SUMIFS(INDEX(Техника!$F$1:$ABM$500,O$2,0),Техника!$F$4:$ABM$4,"Часы",INDEX(Техника!$G$1:$ABN$500,O$2,0),$A$872,INDEX(Техника!$H$1:$ABO$500,O$2,0),"М")</f>
        <v>0</v>
      </c>
      <c r="P873" s="50">
        <f>SUMIFS(INDEX(Техника!$F$1:$ABM$500,P$2,0),Техника!$F$4:$ABM$4,"Часы",INDEX(Техника!$G$1:$ABN$500,P$2,0),$A$872,INDEX(Техника!$H$1:$ABO$500,P$2,0),"М")</f>
        <v>0</v>
      </c>
      <c r="Q873" s="50">
        <f>SUMIFS(INDEX(Техника!$F$1:$ABM$500,Q$2,0),Техника!$F$4:$ABM$4,"Часы",INDEX(Техника!$G$1:$ABN$500,Q$2,0),$A$872,INDEX(Техника!$H$1:$ABO$500,Q$2,0),"М")</f>
        <v>0</v>
      </c>
      <c r="R873" s="50">
        <f>SUMIFS(INDEX(Техника!$F$1:$ABM$500,R$2,0),Техника!$F$4:$ABM$4,"Часы",INDEX(Техника!$G$1:$ABN$500,R$2,0),$A$872,INDEX(Техника!$H$1:$ABO$500,R$2,0),"М")</f>
        <v>0</v>
      </c>
      <c r="S873" s="50">
        <f>SUMIFS(INDEX(Техника!$F$1:$ABM$500,S$2,0),Техника!$F$4:$ABM$4,"Часы",INDEX(Техника!$G$1:$ABN$500,S$2,0),$A$872,INDEX(Техника!$H$1:$ABO$500,S$2,0),"М")</f>
        <v>0</v>
      </c>
      <c r="T873" s="50">
        <f>SUMIFS(INDEX(Техника!$F$1:$ABM$500,T$2,0),Техника!$F$4:$ABM$4,"Часы",INDEX(Техника!$G$1:$ABN$500,T$2,0),$A$872,INDEX(Техника!$H$1:$ABO$500,T$2,0),"М")</f>
        <v>0</v>
      </c>
      <c r="U873" s="50">
        <f>SUMIFS(INDEX(Техника!$F$1:$ABM$500,U$2,0),Техника!$F$4:$ABM$4,"Часы",INDEX(Техника!$G$1:$ABN$500,U$2,0),$A$872,INDEX(Техника!$H$1:$ABO$500,U$2,0),"М")</f>
        <v>0</v>
      </c>
      <c r="V873" s="50">
        <f>SUMIFS(INDEX(Техника!$F$1:$ABM$500,V$2,0),Техника!$F$4:$ABM$4,"Часы",INDEX(Техника!$G$1:$ABN$500,V$2,0),$A$872,INDEX(Техника!$H$1:$ABO$500,V$2,0),"М")</f>
        <v>0</v>
      </c>
      <c r="W873" s="50">
        <f>SUMIFS(INDEX(Техника!$F$1:$ABM$500,W$2,0),Техника!$F$4:$ABM$4,"Часы",INDEX(Техника!$G$1:$ABN$500,W$2,0),$A$872,INDEX(Техника!$H$1:$ABO$500,W$2,0),"М")</f>
        <v>0</v>
      </c>
      <c r="X873" s="50">
        <f>SUMIFS(INDEX(Техника!$F$1:$ABM$500,X$2,0),Техника!$F$4:$ABM$4,"Часы",INDEX(Техника!$G$1:$ABN$500,X$2,0),$A$872,INDEX(Техника!$H$1:$ABO$500,X$2,0),"М")</f>
        <v>0</v>
      </c>
      <c r="Y873" s="50">
        <f>SUMIFS(INDEX(Техника!$F$1:$ABM$500,Y$2,0),Техника!$F$4:$ABM$4,"Часы",INDEX(Техника!$G$1:$ABN$500,Y$2,0),$A$872,INDEX(Техника!$H$1:$ABO$500,Y$2,0),"М")</f>
        <v>0</v>
      </c>
      <c r="Z873" s="50">
        <f>SUMIFS(INDEX(Техника!$F$1:$ABM$500,Z$2,0),Техника!$F$4:$ABM$4,"Часы",INDEX(Техника!$G$1:$ABN$500,Z$2,0),$A$872,INDEX(Техника!$H$1:$ABO$500,Z$2,0),"М")</f>
        <v>0</v>
      </c>
      <c r="AA873" s="50">
        <f>SUMIFS(INDEX(Техника!$F$1:$ABM$500,AA$2,0),Техника!$F$4:$ABM$4,"Часы",INDEX(Техника!$G$1:$ABN$500,AA$2,0),$A$872,INDEX(Техника!$H$1:$ABO$500,AA$2,0),"М")</f>
        <v>0</v>
      </c>
      <c r="AB873" s="50">
        <f>SUMIFS(INDEX(Техника!$F$1:$ABM$500,AB$2,0),Техника!$F$4:$ABM$4,"Часы",INDEX(Техника!$G$1:$ABN$500,AB$2,0),$A$872,INDEX(Техника!$H$1:$ABO$500,AB$2,0),"М")</f>
        <v>0</v>
      </c>
    </row>
    <row r="874" spans="1:28" hidden="1" outlineLevel="1" x14ac:dyDescent="0.3">
      <c r="A874" s="33" t="s">
        <v>244</v>
      </c>
      <c r="B874" s="34" t="s">
        <v>275</v>
      </c>
      <c r="C874" s="50">
        <f>SUMIFS(INDEX(Техника!$F$1:$ABM$500,C$2,0),Техника!$F$4:$ABM$4,"Часы",INDEX(Техника!$G$1:$ABN$500,C$2,0),$A$872,INDEX(Техника!$H$1:$ABO$500,C$2,0),"Д")</f>
        <v>0</v>
      </c>
      <c r="D874" s="50">
        <f>SUMIFS(INDEX(Техника!$F$1:$ABM$500,D$2,0),Техника!$F$4:$ABM$4,"Часы",INDEX(Техника!$G$1:$ABN$500,D$2,0),$A$872,INDEX(Техника!$H$1:$ABO$500,D$2,0),"Д")</f>
        <v>0</v>
      </c>
      <c r="E874" s="50">
        <f>SUMIFS(INDEX(Техника!$F$1:$ABM$500,E$2,0),Техника!$F$4:$ABM$4,"Часы",INDEX(Техника!$G$1:$ABN$500,E$2,0),$A$872,INDEX(Техника!$H$1:$ABO$500,E$2,0),"Д")</f>
        <v>0</v>
      </c>
      <c r="F874" s="50">
        <f>SUMIFS(INDEX(Техника!$F$1:$ABM$500,F$2,0),Техника!$F$4:$ABM$4,"Часы",INDEX(Техника!$G$1:$ABN$500,F$2,0),$A$872,INDEX(Техника!$H$1:$ABO$500,F$2,0),"Д")</f>
        <v>0</v>
      </c>
      <c r="G874" s="50">
        <f>SUMIFS(INDEX(Техника!$F$1:$ABM$500,G$2,0),Техника!$F$4:$ABM$4,"Часы",INDEX(Техника!$G$1:$ABN$500,G$2,0),$A$872,INDEX(Техника!$H$1:$ABO$500,G$2,0),"Д")</f>
        <v>0</v>
      </c>
      <c r="H874" s="50">
        <f>SUMIFS(INDEX(Техника!$F$1:$ABM$500,H$2,0),Техника!$F$4:$ABM$4,"Часы",INDEX(Техника!$G$1:$ABN$500,H$2,0),$A$872,INDEX(Техника!$H$1:$ABO$500,H$2,0),"Д")</f>
        <v>0</v>
      </c>
      <c r="I874" s="50">
        <f>SUMIFS(INDEX(Техника!$F$1:$ABM$500,I$2,0),Техника!$F$4:$ABM$4,"Часы",INDEX(Техника!$G$1:$ABN$500,I$2,0),$A$872,INDEX(Техника!$H$1:$ABO$500,I$2,0),"Д")</f>
        <v>0</v>
      </c>
      <c r="J874" s="50">
        <f>SUMIFS(INDEX(Техника!$F$1:$ABM$500,J$2,0),Техника!$F$4:$ABM$4,"Часы",INDEX(Техника!$G$1:$ABN$500,J$2,0),$A$872,INDEX(Техника!$H$1:$ABO$500,J$2,0),"Д")</f>
        <v>0</v>
      </c>
      <c r="K874" s="50">
        <f>SUMIFS(INDEX(Техника!$F$1:$ABM$500,K$2,0),Техника!$F$4:$ABM$4,"Часы",INDEX(Техника!$G$1:$ABN$500,K$2,0),$A$872,INDEX(Техника!$H$1:$ABO$500,K$2,0),"Д")</f>
        <v>0</v>
      </c>
      <c r="L874" s="50">
        <f>SUMIFS(INDEX(Техника!$F$1:$ABM$500,L$2,0),Техника!$F$4:$ABM$4,"Часы",INDEX(Техника!$G$1:$ABN$500,L$2,0),$A$872,INDEX(Техника!$H$1:$ABO$500,L$2,0),"Д")</f>
        <v>0</v>
      </c>
      <c r="M874" s="50">
        <f>SUMIFS(INDEX(Техника!$F$1:$ABM$500,M$2,0),Техника!$F$4:$ABM$4,"Часы",INDEX(Техника!$G$1:$ABN$500,M$2,0),$A$872,INDEX(Техника!$H$1:$ABO$500,M$2,0),"Д")</f>
        <v>0</v>
      </c>
      <c r="N874" s="50">
        <f>SUMIFS(INDEX(Техника!$F$1:$ABM$500,N$2,0),Техника!$F$4:$ABM$4,"Часы",INDEX(Техника!$G$1:$ABN$500,N$2,0),$A$872,INDEX(Техника!$H$1:$ABO$500,N$2,0),"Д")</f>
        <v>0</v>
      </c>
      <c r="O874" s="50">
        <f>SUMIFS(INDEX(Техника!$F$1:$ABM$500,O$2,0),Техника!$F$4:$ABM$4,"Часы",INDEX(Техника!$G$1:$ABN$500,O$2,0),$A$872,INDEX(Техника!$H$1:$ABO$500,O$2,0),"Д")</f>
        <v>0</v>
      </c>
      <c r="P874" s="50">
        <f>SUMIFS(INDEX(Техника!$F$1:$ABM$500,P$2,0),Техника!$F$4:$ABM$4,"Часы",INDEX(Техника!$G$1:$ABN$500,P$2,0),$A$872,INDEX(Техника!$H$1:$ABO$500,P$2,0),"Д")</f>
        <v>0</v>
      </c>
      <c r="Q874" s="50">
        <f>SUMIFS(INDEX(Техника!$F$1:$ABM$500,Q$2,0),Техника!$F$4:$ABM$4,"Часы",INDEX(Техника!$G$1:$ABN$500,Q$2,0),$A$872,INDEX(Техника!$H$1:$ABO$500,Q$2,0),"Д")</f>
        <v>0</v>
      </c>
      <c r="R874" s="50">
        <f>SUMIFS(INDEX(Техника!$F$1:$ABM$500,R$2,0),Техника!$F$4:$ABM$4,"Часы",INDEX(Техника!$G$1:$ABN$500,R$2,0),$A$872,INDEX(Техника!$H$1:$ABO$500,R$2,0),"Д")</f>
        <v>0</v>
      </c>
      <c r="S874" s="50">
        <f>SUMIFS(INDEX(Техника!$F$1:$ABM$500,S$2,0),Техника!$F$4:$ABM$4,"Часы",INDEX(Техника!$G$1:$ABN$500,S$2,0),$A$872,INDEX(Техника!$H$1:$ABO$500,S$2,0),"Д")</f>
        <v>0</v>
      </c>
      <c r="T874" s="50">
        <f>SUMIFS(INDEX(Техника!$F$1:$ABM$500,T$2,0),Техника!$F$4:$ABM$4,"Часы",INDEX(Техника!$G$1:$ABN$500,T$2,0),$A$872,INDEX(Техника!$H$1:$ABO$500,T$2,0),"Д")</f>
        <v>0</v>
      </c>
      <c r="U874" s="50">
        <f>SUMIFS(INDEX(Техника!$F$1:$ABM$500,U$2,0),Техника!$F$4:$ABM$4,"Часы",INDEX(Техника!$G$1:$ABN$500,U$2,0),$A$872,INDEX(Техника!$H$1:$ABO$500,U$2,0),"Д")</f>
        <v>0</v>
      </c>
      <c r="V874" s="50">
        <f>SUMIFS(INDEX(Техника!$F$1:$ABM$500,V$2,0),Техника!$F$4:$ABM$4,"Часы",INDEX(Техника!$G$1:$ABN$500,V$2,0),$A$872,INDEX(Техника!$H$1:$ABO$500,V$2,0),"Д")</f>
        <v>0</v>
      </c>
      <c r="W874" s="50">
        <f>SUMIFS(INDEX(Техника!$F$1:$ABM$500,W$2,0),Техника!$F$4:$ABM$4,"Часы",INDEX(Техника!$G$1:$ABN$500,W$2,0),$A$872,INDEX(Техника!$H$1:$ABO$500,W$2,0),"Д")</f>
        <v>0</v>
      </c>
      <c r="X874" s="50">
        <f>SUMIFS(INDEX(Техника!$F$1:$ABM$500,X$2,0),Техника!$F$4:$ABM$4,"Часы",INDEX(Техника!$G$1:$ABN$500,X$2,0),$A$872,INDEX(Техника!$H$1:$ABO$500,X$2,0),"Д")</f>
        <v>0</v>
      </c>
      <c r="Y874" s="50">
        <f>SUMIFS(INDEX(Техника!$F$1:$ABM$500,Y$2,0),Техника!$F$4:$ABM$4,"Часы",INDEX(Техника!$G$1:$ABN$500,Y$2,0),$A$872,INDEX(Техника!$H$1:$ABO$500,Y$2,0),"Д")</f>
        <v>0</v>
      </c>
      <c r="Z874" s="50">
        <f>SUMIFS(INDEX(Техника!$F$1:$ABM$500,Z$2,0),Техника!$F$4:$ABM$4,"Часы",INDEX(Техника!$G$1:$ABN$500,Z$2,0),$A$872,INDEX(Техника!$H$1:$ABO$500,Z$2,0),"Д")</f>
        <v>0</v>
      </c>
      <c r="AA874" s="50">
        <f>SUMIFS(INDEX(Техника!$F$1:$ABM$500,AA$2,0),Техника!$F$4:$ABM$4,"Часы",INDEX(Техника!$G$1:$ABN$500,AA$2,0),$A$872,INDEX(Техника!$H$1:$ABO$500,AA$2,0),"Д")</f>
        <v>0</v>
      </c>
      <c r="AB874" s="50">
        <f>SUMIFS(INDEX(Техника!$F$1:$ABM$500,AB$2,0),Техника!$F$4:$ABM$4,"Часы",INDEX(Техника!$G$1:$ABN$500,AB$2,0),$A$872,INDEX(Техника!$H$1:$ABO$500,AB$2,0),"Д")</f>
        <v>0</v>
      </c>
    </row>
    <row r="875" spans="1:28" hidden="1" outlineLevel="1" x14ac:dyDescent="0.3">
      <c r="A875" s="33" t="s">
        <v>276</v>
      </c>
      <c r="B875" s="34" t="s">
        <v>277</v>
      </c>
      <c r="C875" s="50">
        <f>SUMIFS(INDEX(Техника!$F$1:$ABM$500,C$2,0),Техника!$F$4:$ABM$4,"Часы",INDEX(Техника!$G$1:$ABN$500,C$2,0),$A$872,INDEX(Техника!$H$1:$ABO$500,C$2,0),"П")</f>
        <v>0</v>
      </c>
      <c r="D875" s="50">
        <f>SUMIFS(INDEX(Техника!$F$1:$ABM$500,D$2,0),Техника!$F$4:$ABM$4,"Часы",INDEX(Техника!$G$1:$ABN$500,D$2,0),$A$872,INDEX(Техника!$H$1:$ABO$500,D$2,0),"П")</f>
        <v>0</v>
      </c>
      <c r="E875" s="50">
        <f>SUMIFS(INDEX(Техника!$F$1:$ABM$500,E$2,0),Техника!$F$4:$ABM$4,"Часы",INDEX(Техника!$G$1:$ABN$500,E$2,0),$A$872,INDEX(Техника!$H$1:$ABO$500,E$2,0),"П")</f>
        <v>0</v>
      </c>
      <c r="F875" s="50">
        <f>SUMIFS(INDEX(Техника!$F$1:$ABM$500,F$2,0),Техника!$F$4:$ABM$4,"Часы",INDEX(Техника!$G$1:$ABN$500,F$2,0),$A$872,INDEX(Техника!$H$1:$ABO$500,F$2,0),"П")</f>
        <v>0</v>
      </c>
      <c r="G875" s="50">
        <f>SUMIFS(INDEX(Техника!$F$1:$ABM$500,G$2,0),Техника!$F$4:$ABM$4,"Часы",INDEX(Техника!$G$1:$ABN$500,G$2,0),$A$872,INDEX(Техника!$H$1:$ABO$500,G$2,0),"П")</f>
        <v>0</v>
      </c>
      <c r="H875" s="50">
        <f>SUMIFS(INDEX(Техника!$F$1:$ABM$500,H$2,0),Техника!$F$4:$ABM$4,"Часы",INDEX(Техника!$G$1:$ABN$500,H$2,0),$A$872,INDEX(Техника!$H$1:$ABO$500,H$2,0),"П")</f>
        <v>0</v>
      </c>
      <c r="I875" s="50">
        <f>SUMIFS(INDEX(Техника!$F$1:$ABM$500,I$2,0),Техника!$F$4:$ABM$4,"Часы",INDEX(Техника!$G$1:$ABN$500,I$2,0),$A$872,INDEX(Техника!$H$1:$ABO$500,I$2,0),"П")</f>
        <v>0</v>
      </c>
      <c r="J875" s="50">
        <f>SUMIFS(INDEX(Техника!$F$1:$ABM$500,J$2,0),Техника!$F$4:$ABM$4,"Часы",INDEX(Техника!$G$1:$ABN$500,J$2,0),$A$872,INDEX(Техника!$H$1:$ABO$500,J$2,0),"П")</f>
        <v>0</v>
      </c>
      <c r="K875" s="50">
        <f>SUMIFS(INDEX(Техника!$F$1:$ABM$500,K$2,0),Техника!$F$4:$ABM$4,"Часы",INDEX(Техника!$G$1:$ABN$500,K$2,0),$A$872,INDEX(Техника!$H$1:$ABO$500,K$2,0),"П")</f>
        <v>0</v>
      </c>
      <c r="L875" s="50">
        <f>SUMIFS(INDEX(Техника!$F$1:$ABM$500,L$2,0),Техника!$F$4:$ABM$4,"Часы",INDEX(Техника!$G$1:$ABN$500,L$2,0),$A$872,INDEX(Техника!$H$1:$ABO$500,L$2,0),"П")</f>
        <v>0</v>
      </c>
      <c r="M875" s="50">
        <f>SUMIFS(INDEX(Техника!$F$1:$ABM$500,M$2,0),Техника!$F$4:$ABM$4,"Часы",INDEX(Техника!$G$1:$ABN$500,M$2,0),$A$872,INDEX(Техника!$H$1:$ABO$500,M$2,0),"П")</f>
        <v>0</v>
      </c>
      <c r="N875" s="50">
        <f>SUMIFS(INDEX(Техника!$F$1:$ABM$500,N$2,0),Техника!$F$4:$ABM$4,"Часы",INDEX(Техника!$G$1:$ABN$500,N$2,0),$A$872,INDEX(Техника!$H$1:$ABO$500,N$2,0),"П")</f>
        <v>0</v>
      </c>
      <c r="O875" s="50">
        <f>SUMIFS(INDEX(Техника!$F$1:$ABM$500,O$2,0),Техника!$F$4:$ABM$4,"Часы",INDEX(Техника!$G$1:$ABN$500,O$2,0),$A$872,INDEX(Техника!$H$1:$ABO$500,O$2,0),"П")</f>
        <v>0</v>
      </c>
      <c r="P875" s="50">
        <f>SUMIFS(INDEX(Техника!$F$1:$ABM$500,P$2,0),Техника!$F$4:$ABM$4,"Часы",INDEX(Техника!$G$1:$ABN$500,P$2,0),$A$872,INDEX(Техника!$H$1:$ABO$500,P$2,0),"П")</f>
        <v>0</v>
      </c>
      <c r="Q875" s="50">
        <f>SUMIFS(INDEX(Техника!$F$1:$ABM$500,Q$2,0),Техника!$F$4:$ABM$4,"Часы",INDEX(Техника!$G$1:$ABN$500,Q$2,0),$A$872,INDEX(Техника!$H$1:$ABO$500,Q$2,0),"П")</f>
        <v>0</v>
      </c>
      <c r="R875" s="50">
        <f>SUMIFS(INDEX(Техника!$F$1:$ABM$500,R$2,0),Техника!$F$4:$ABM$4,"Часы",INDEX(Техника!$G$1:$ABN$500,R$2,0),$A$872,INDEX(Техника!$H$1:$ABO$500,R$2,0),"П")</f>
        <v>0</v>
      </c>
      <c r="S875" s="50">
        <f>SUMIFS(INDEX(Техника!$F$1:$ABM$500,S$2,0),Техника!$F$4:$ABM$4,"Часы",INDEX(Техника!$G$1:$ABN$500,S$2,0),$A$872,INDEX(Техника!$H$1:$ABO$500,S$2,0),"П")</f>
        <v>0</v>
      </c>
      <c r="T875" s="50">
        <f>SUMIFS(INDEX(Техника!$F$1:$ABM$500,T$2,0),Техника!$F$4:$ABM$4,"Часы",INDEX(Техника!$G$1:$ABN$500,T$2,0),$A$872,INDEX(Техника!$H$1:$ABO$500,T$2,0),"П")</f>
        <v>0</v>
      </c>
      <c r="U875" s="50">
        <f>SUMIFS(INDEX(Техника!$F$1:$ABM$500,U$2,0),Техника!$F$4:$ABM$4,"Часы",INDEX(Техника!$G$1:$ABN$500,U$2,0),$A$872,INDEX(Техника!$H$1:$ABO$500,U$2,0),"П")</f>
        <v>0</v>
      </c>
      <c r="V875" s="50">
        <f>SUMIFS(INDEX(Техника!$F$1:$ABM$500,V$2,0),Техника!$F$4:$ABM$4,"Часы",INDEX(Техника!$G$1:$ABN$500,V$2,0),$A$872,INDEX(Техника!$H$1:$ABO$500,V$2,0),"П")</f>
        <v>0</v>
      </c>
      <c r="W875" s="50">
        <f>SUMIFS(INDEX(Техника!$F$1:$ABM$500,W$2,0),Техника!$F$4:$ABM$4,"Часы",INDEX(Техника!$G$1:$ABN$500,W$2,0),$A$872,INDEX(Техника!$H$1:$ABO$500,W$2,0),"П")</f>
        <v>0</v>
      </c>
      <c r="X875" s="50">
        <f>SUMIFS(INDEX(Техника!$F$1:$ABM$500,X$2,0),Техника!$F$4:$ABM$4,"Часы",INDEX(Техника!$G$1:$ABN$500,X$2,0),$A$872,INDEX(Техника!$H$1:$ABO$500,X$2,0),"П")</f>
        <v>0</v>
      </c>
      <c r="Y875" s="50">
        <f>SUMIFS(INDEX(Техника!$F$1:$ABM$500,Y$2,0),Техника!$F$4:$ABM$4,"Часы",INDEX(Техника!$G$1:$ABN$500,Y$2,0),$A$872,INDEX(Техника!$H$1:$ABO$500,Y$2,0),"П")</f>
        <v>0</v>
      </c>
      <c r="Z875" s="50">
        <f>SUMIFS(INDEX(Техника!$F$1:$ABM$500,Z$2,0),Техника!$F$4:$ABM$4,"Часы",INDEX(Техника!$G$1:$ABN$500,Z$2,0),$A$872,INDEX(Техника!$H$1:$ABO$500,Z$2,0),"П")</f>
        <v>0</v>
      </c>
      <c r="AA875" s="50">
        <f>SUMIFS(INDEX(Техника!$F$1:$ABM$500,AA$2,0),Техника!$F$4:$ABM$4,"Часы",INDEX(Техника!$G$1:$ABN$500,AA$2,0),$A$872,INDEX(Техника!$H$1:$ABO$500,AA$2,0),"П")</f>
        <v>0</v>
      </c>
      <c r="AB875" s="50">
        <f>SUMIFS(INDEX(Техника!$F$1:$ABM$500,AB$2,0),Техника!$F$4:$ABM$4,"Часы",INDEX(Техника!$G$1:$ABN$500,AB$2,0),$A$872,INDEX(Техника!$H$1:$ABO$500,AB$2,0),"П")</f>
        <v>0</v>
      </c>
    </row>
    <row r="876" spans="1:28" hidden="1" outlineLevel="1" x14ac:dyDescent="0.3">
      <c r="A876" s="33" t="s">
        <v>243</v>
      </c>
      <c r="B876" s="34" t="s">
        <v>278</v>
      </c>
      <c r="C876" s="50">
        <f>SUMIFS(INDEX(Техника!$F$1:$ABM$500,C$2,0),Техника!$F$4:$ABM$4,"Часы",INDEX(Техника!$G$1:$ABN$500,C$2,0),$A$872,INDEX(Техника!$H$1:$ABO$500,C$2,0),"Л")</f>
        <v>0</v>
      </c>
      <c r="D876" s="50">
        <f>SUMIFS(INDEX(Техника!$F$1:$ABM$500,D$2,0),Техника!$F$4:$ABM$4,"Часы",INDEX(Техника!$G$1:$ABN$500,D$2,0),$A$872,INDEX(Техника!$H$1:$ABO$500,D$2,0),"Л")</f>
        <v>0</v>
      </c>
      <c r="E876" s="50">
        <f>SUMIFS(INDEX(Техника!$F$1:$ABM$500,E$2,0),Техника!$F$4:$ABM$4,"Часы",INDEX(Техника!$G$1:$ABN$500,E$2,0),$A$872,INDEX(Техника!$H$1:$ABO$500,E$2,0),"Л")</f>
        <v>0</v>
      </c>
      <c r="F876" s="50">
        <f>SUMIFS(INDEX(Техника!$F$1:$ABM$500,F$2,0),Техника!$F$4:$ABM$4,"Часы",INDEX(Техника!$G$1:$ABN$500,F$2,0),$A$872,INDEX(Техника!$H$1:$ABO$500,F$2,0),"Л")</f>
        <v>0</v>
      </c>
      <c r="G876" s="50">
        <f>SUMIFS(INDEX(Техника!$F$1:$ABM$500,G$2,0),Техника!$F$4:$ABM$4,"Часы",INDEX(Техника!$G$1:$ABN$500,G$2,0),$A$872,INDEX(Техника!$H$1:$ABO$500,G$2,0),"Л")</f>
        <v>0</v>
      </c>
      <c r="H876" s="50">
        <f>SUMIFS(INDEX(Техника!$F$1:$ABM$500,H$2,0),Техника!$F$4:$ABM$4,"Часы",INDEX(Техника!$G$1:$ABN$500,H$2,0),$A$872,INDEX(Техника!$H$1:$ABO$500,H$2,0),"Л")</f>
        <v>0</v>
      </c>
      <c r="I876" s="50">
        <f>SUMIFS(INDEX(Техника!$F$1:$ABM$500,I$2,0),Техника!$F$4:$ABM$4,"Часы",INDEX(Техника!$G$1:$ABN$500,I$2,0),$A$872,INDEX(Техника!$H$1:$ABO$500,I$2,0),"Л")</f>
        <v>0</v>
      </c>
      <c r="J876" s="50">
        <f>SUMIFS(INDEX(Техника!$F$1:$ABM$500,J$2,0),Техника!$F$4:$ABM$4,"Часы",INDEX(Техника!$G$1:$ABN$500,J$2,0),$A$872,INDEX(Техника!$H$1:$ABO$500,J$2,0),"Л")</f>
        <v>0</v>
      </c>
      <c r="K876" s="50">
        <f>SUMIFS(INDEX(Техника!$F$1:$ABM$500,K$2,0),Техника!$F$4:$ABM$4,"Часы",INDEX(Техника!$G$1:$ABN$500,K$2,0),$A$872,INDEX(Техника!$H$1:$ABO$500,K$2,0),"Л")</f>
        <v>0</v>
      </c>
      <c r="L876" s="50">
        <f>SUMIFS(INDEX(Техника!$F$1:$ABM$500,L$2,0),Техника!$F$4:$ABM$4,"Часы",INDEX(Техника!$G$1:$ABN$500,L$2,0),$A$872,INDEX(Техника!$H$1:$ABO$500,L$2,0),"Л")</f>
        <v>0</v>
      </c>
      <c r="M876" s="50">
        <f>SUMIFS(INDEX(Техника!$F$1:$ABM$500,M$2,0),Техника!$F$4:$ABM$4,"Часы",INDEX(Техника!$G$1:$ABN$500,M$2,0),$A$872,INDEX(Техника!$H$1:$ABO$500,M$2,0),"Л")</f>
        <v>0</v>
      </c>
      <c r="N876" s="50">
        <f>SUMIFS(INDEX(Техника!$F$1:$ABM$500,N$2,0),Техника!$F$4:$ABM$4,"Часы",INDEX(Техника!$G$1:$ABN$500,N$2,0),$A$872,INDEX(Техника!$H$1:$ABO$500,N$2,0),"Л")</f>
        <v>0</v>
      </c>
      <c r="O876" s="50">
        <f>SUMIFS(INDEX(Техника!$F$1:$ABM$500,O$2,0),Техника!$F$4:$ABM$4,"Часы",INDEX(Техника!$G$1:$ABN$500,O$2,0),$A$872,INDEX(Техника!$H$1:$ABO$500,O$2,0),"Л")</f>
        <v>0</v>
      </c>
      <c r="P876" s="50">
        <f>SUMIFS(INDEX(Техника!$F$1:$ABM$500,P$2,0),Техника!$F$4:$ABM$4,"Часы",INDEX(Техника!$G$1:$ABN$500,P$2,0),$A$872,INDEX(Техника!$H$1:$ABO$500,P$2,0),"Л")</f>
        <v>0</v>
      </c>
      <c r="Q876" s="50">
        <f>SUMIFS(INDEX(Техника!$F$1:$ABM$500,Q$2,0),Техника!$F$4:$ABM$4,"Часы",INDEX(Техника!$G$1:$ABN$500,Q$2,0),$A$872,INDEX(Техника!$H$1:$ABO$500,Q$2,0),"Л")</f>
        <v>0</v>
      </c>
      <c r="R876" s="50">
        <f>SUMIFS(INDEX(Техника!$F$1:$ABM$500,R$2,0),Техника!$F$4:$ABM$4,"Часы",INDEX(Техника!$G$1:$ABN$500,R$2,0),$A$872,INDEX(Техника!$H$1:$ABO$500,R$2,0),"Л")</f>
        <v>0</v>
      </c>
      <c r="S876" s="50">
        <f>SUMIFS(INDEX(Техника!$F$1:$ABM$500,S$2,0),Техника!$F$4:$ABM$4,"Часы",INDEX(Техника!$G$1:$ABN$500,S$2,0),$A$872,INDEX(Техника!$H$1:$ABO$500,S$2,0),"Л")</f>
        <v>0</v>
      </c>
      <c r="T876" s="50">
        <f>SUMIFS(INDEX(Техника!$F$1:$ABM$500,T$2,0),Техника!$F$4:$ABM$4,"Часы",INDEX(Техника!$G$1:$ABN$500,T$2,0),$A$872,INDEX(Техника!$H$1:$ABO$500,T$2,0),"Л")</f>
        <v>0</v>
      </c>
      <c r="U876" s="50">
        <f>SUMIFS(INDEX(Техника!$F$1:$ABM$500,U$2,0),Техника!$F$4:$ABM$4,"Часы",INDEX(Техника!$G$1:$ABN$500,U$2,0),$A$872,INDEX(Техника!$H$1:$ABO$500,U$2,0),"Л")</f>
        <v>0</v>
      </c>
      <c r="V876" s="50">
        <f>SUMIFS(INDEX(Техника!$F$1:$ABM$500,V$2,0),Техника!$F$4:$ABM$4,"Часы",INDEX(Техника!$G$1:$ABN$500,V$2,0),$A$872,INDEX(Техника!$H$1:$ABO$500,V$2,0),"Л")</f>
        <v>0</v>
      </c>
      <c r="W876" s="50">
        <f>SUMIFS(INDEX(Техника!$F$1:$ABM$500,W$2,0),Техника!$F$4:$ABM$4,"Часы",INDEX(Техника!$G$1:$ABN$500,W$2,0),$A$872,INDEX(Техника!$H$1:$ABO$500,W$2,0),"Л")</f>
        <v>0</v>
      </c>
      <c r="X876" s="50">
        <f>SUMIFS(INDEX(Техника!$F$1:$ABM$500,X$2,0),Техника!$F$4:$ABM$4,"Часы",INDEX(Техника!$G$1:$ABN$500,X$2,0),$A$872,INDEX(Техника!$H$1:$ABO$500,X$2,0),"Л")</f>
        <v>0</v>
      </c>
      <c r="Y876" s="50">
        <f>SUMIFS(INDEX(Техника!$F$1:$ABM$500,Y$2,0),Техника!$F$4:$ABM$4,"Часы",INDEX(Техника!$G$1:$ABN$500,Y$2,0),$A$872,INDEX(Техника!$H$1:$ABO$500,Y$2,0),"Л")</f>
        <v>0</v>
      </c>
      <c r="Z876" s="50">
        <f>SUMIFS(INDEX(Техника!$F$1:$ABM$500,Z$2,0),Техника!$F$4:$ABM$4,"Часы",INDEX(Техника!$G$1:$ABN$500,Z$2,0),$A$872,INDEX(Техника!$H$1:$ABO$500,Z$2,0),"Л")</f>
        <v>0</v>
      </c>
      <c r="AA876" s="50">
        <f>SUMIFS(INDEX(Техника!$F$1:$ABM$500,AA$2,0),Техника!$F$4:$ABM$4,"Часы",INDEX(Техника!$G$1:$ABN$500,AA$2,0),$A$872,INDEX(Техника!$H$1:$ABO$500,AA$2,0),"Л")</f>
        <v>0</v>
      </c>
      <c r="AB876" s="50">
        <f>SUMIFS(INDEX(Техника!$F$1:$ABM$500,AB$2,0),Техника!$F$4:$ABM$4,"Часы",INDEX(Техника!$G$1:$ABN$500,AB$2,0),$A$872,INDEX(Техника!$H$1:$ABO$500,AB$2,0),"Л")</f>
        <v>0</v>
      </c>
    </row>
    <row r="877" spans="1:28" hidden="1" outlineLevel="1" x14ac:dyDescent="0.3">
      <c r="A877" s="33" t="s">
        <v>245</v>
      </c>
      <c r="B877" s="34" t="s">
        <v>279</v>
      </c>
      <c r="C877" s="50">
        <f>SUMIFS(INDEX(Техника!$F$1:$ABM$500,C$2,0),Техника!$F$4:$ABM$4,"Часы",INDEX(Техника!$G$1:$ABN$500,C$2,0),$A$872,INDEX(Техника!$H$1:$ABO$500,C$2,0),"З")</f>
        <v>0</v>
      </c>
      <c r="D877" s="50">
        <f>SUMIFS(INDEX(Техника!$F$1:$ABM$500,D$2,0),Техника!$F$4:$ABM$4,"Часы",INDEX(Техника!$G$1:$ABN$500,D$2,0),$A$872,INDEX(Техника!$H$1:$ABO$500,D$2,0),"З")</f>
        <v>0</v>
      </c>
      <c r="E877" s="50">
        <f>SUMIFS(INDEX(Техника!$F$1:$ABM$500,E$2,0),Техника!$F$4:$ABM$4,"Часы",INDEX(Техника!$G$1:$ABN$500,E$2,0),$A$872,INDEX(Техника!$H$1:$ABO$500,E$2,0),"З")</f>
        <v>0</v>
      </c>
      <c r="F877" s="50">
        <f>SUMIFS(INDEX(Техника!$F$1:$ABM$500,F$2,0),Техника!$F$4:$ABM$4,"Часы",INDEX(Техника!$G$1:$ABN$500,F$2,0),$A$872,INDEX(Техника!$H$1:$ABO$500,F$2,0),"З")</f>
        <v>0</v>
      </c>
      <c r="G877" s="50">
        <f>SUMIFS(INDEX(Техника!$F$1:$ABM$500,G$2,0),Техника!$F$4:$ABM$4,"Часы",INDEX(Техника!$G$1:$ABN$500,G$2,0),$A$872,INDEX(Техника!$H$1:$ABO$500,G$2,0),"З")</f>
        <v>0</v>
      </c>
      <c r="H877" s="50">
        <f>SUMIFS(INDEX(Техника!$F$1:$ABM$500,H$2,0),Техника!$F$4:$ABM$4,"Часы",INDEX(Техника!$G$1:$ABN$500,H$2,0),$A$872,INDEX(Техника!$H$1:$ABO$500,H$2,0),"З")</f>
        <v>0</v>
      </c>
      <c r="I877" s="50">
        <f>SUMIFS(INDEX(Техника!$F$1:$ABM$500,I$2,0),Техника!$F$4:$ABM$4,"Часы",INDEX(Техника!$G$1:$ABN$500,I$2,0),$A$872,INDEX(Техника!$H$1:$ABO$500,I$2,0),"З")</f>
        <v>0</v>
      </c>
      <c r="J877" s="50">
        <f>SUMIFS(INDEX(Техника!$F$1:$ABM$500,J$2,0),Техника!$F$4:$ABM$4,"Часы",INDEX(Техника!$G$1:$ABN$500,J$2,0),$A$872,INDEX(Техника!$H$1:$ABO$500,J$2,0),"З")</f>
        <v>0</v>
      </c>
      <c r="K877" s="50">
        <f>SUMIFS(INDEX(Техника!$F$1:$ABM$500,K$2,0),Техника!$F$4:$ABM$4,"Часы",INDEX(Техника!$G$1:$ABN$500,K$2,0),$A$872,INDEX(Техника!$H$1:$ABO$500,K$2,0),"З")</f>
        <v>0</v>
      </c>
      <c r="L877" s="50">
        <f>SUMIFS(INDEX(Техника!$F$1:$ABM$500,L$2,0),Техника!$F$4:$ABM$4,"Часы",INDEX(Техника!$G$1:$ABN$500,L$2,0),$A$872,INDEX(Техника!$H$1:$ABO$500,L$2,0),"З")</f>
        <v>0</v>
      </c>
      <c r="M877" s="50">
        <f>SUMIFS(INDEX(Техника!$F$1:$ABM$500,M$2,0),Техника!$F$4:$ABM$4,"Часы",INDEX(Техника!$G$1:$ABN$500,M$2,0),$A$872,INDEX(Техника!$H$1:$ABO$500,M$2,0),"З")</f>
        <v>0</v>
      </c>
      <c r="N877" s="50">
        <f>SUMIFS(INDEX(Техника!$F$1:$ABM$500,N$2,0),Техника!$F$4:$ABM$4,"Часы",INDEX(Техника!$G$1:$ABN$500,N$2,0),$A$872,INDEX(Техника!$H$1:$ABO$500,N$2,0),"З")</f>
        <v>0</v>
      </c>
      <c r="O877" s="50">
        <f>SUMIFS(INDEX(Техника!$F$1:$ABM$500,O$2,0),Техника!$F$4:$ABM$4,"Часы",INDEX(Техника!$G$1:$ABN$500,O$2,0),$A$872,INDEX(Техника!$H$1:$ABO$500,O$2,0),"З")</f>
        <v>0</v>
      </c>
      <c r="P877" s="50">
        <f>SUMIFS(INDEX(Техника!$F$1:$ABM$500,P$2,0),Техника!$F$4:$ABM$4,"Часы",INDEX(Техника!$G$1:$ABN$500,P$2,0),$A$872,INDEX(Техника!$H$1:$ABO$500,P$2,0),"З")</f>
        <v>0</v>
      </c>
      <c r="Q877" s="50">
        <f>SUMIFS(INDEX(Техника!$F$1:$ABM$500,Q$2,0),Техника!$F$4:$ABM$4,"Часы",INDEX(Техника!$G$1:$ABN$500,Q$2,0),$A$872,INDEX(Техника!$H$1:$ABO$500,Q$2,0),"З")</f>
        <v>0</v>
      </c>
      <c r="R877" s="50">
        <f>SUMIFS(INDEX(Техника!$F$1:$ABM$500,R$2,0),Техника!$F$4:$ABM$4,"Часы",INDEX(Техника!$G$1:$ABN$500,R$2,0),$A$872,INDEX(Техника!$H$1:$ABO$500,R$2,0),"З")</f>
        <v>0</v>
      </c>
      <c r="S877" s="50">
        <f>SUMIFS(INDEX(Техника!$F$1:$ABM$500,S$2,0),Техника!$F$4:$ABM$4,"Часы",INDEX(Техника!$G$1:$ABN$500,S$2,0),$A$872,INDEX(Техника!$H$1:$ABO$500,S$2,0),"З")</f>
        <v>0</v>
      </c>
      <c r="T877" s="50">
        <f>SUMIFS(INDEX(Техника!$F$1:$ABM$500,T$2,0),Техника!$F$4:$ABM$4,"Часы",INDEX(Техника!$G$1:$ABN$500,T$2,0),$A$872,INDEX(Техника!$H$1:$ABO$500,T$2,0),"З")</f>
        <v>0</v>
      </c>
      <c r="U877" s="50">
        <f>SUMIFS(INDEX(Техника!$F$1:$ABM$500,U$2,0),Техника!$F$4:$ABM$4,"Часы",INDEX(Техника!$G$1:$ABN$500,U$2,0),$A$872,INDEX(Техника!$H$1:$ABO$500,U$2,0),"З")</f>
        <v>0</v>
      </c>
      <c r="V877" s="50">
        <f>SUMIFS(INDEX(Техника!$F$1:$ABM$500,V$2,0),Техника!$F$4:$ABM$4,"Часы",INDEX(Техника!$G$1:$ABN$500,V$2,0),$A$872,INDEX(Техника!$H$1:$ABO$500,V$2,0),"З")</f>
        <v>0</v>
      </c>
      <c r="W877" s="50">
        <f>SUMIFS(INDEX(Техника!$F$1:$ABM$500,W$2,0),Техника!$F$4:$ABM$4,"Часы",INDEX(Техника!$G$1:$ABN$500,W$2,0),$A$872,INDEX(Техника!$H$1:$ABO$500,W$2,0),"З")</f>
        <v>0</v>
      </c>
      <c r="X877" s="50">
        <f>SUMIFS(INDEX(Техника!$F$1:$ABM$500,X$2,0),Техника!$F$4:$ABM$4,"Часы",INDEX(Техника!$G$1:$ABN$500,X$2,0),$A$872,INDEX(Техника!$H$1:$ABO$500,X$2,0),"З")</f>
        <v>0</v>
      </c>
      <c r="Y877" s="50">
        <f>SUMIFS(INDEX(Техника!$F$1:$ABM$500,Y$2,0),Техника!$F$4:$ABM$4,"Часы",INDEX(Техника!$G$1:$ABN$500,Y$2,0),$A$872,INDEX(Техника!$H$1:$ABO$500,Y$2,0),"З")</f>
        <v>0</v>
      </c>
      <c r="Z877" s="50">
        <f>SUMIFS(INDEX(Техника!$F$1:$ABM$500,Z$2,0),Техника!$F$4:$ABM$4,"Часы",INDEX(Техника!$G$1:$ABN$500,Z$2,0),$A$872,INDEX(Техника!$H$1:$ABO$500,Z$2,0),"З")</f>
        <v>0</v>
      </c>
      <c r="AA877" s="50">
        <f>SUMIFS(INDEX(Техника!$F$1:$ABM$500,AA$2,0),Техника!$F$4:$ABM$4,"Часы",INDEX(Техника!$G$1:$ABN$500,AA$2,0),$A$872,INDEX(Техника!$H$1:$ABO$500,AA$2,0),"З")</f>
        <v>0</v>
      </c>
      <c r="AB877" s="50">
        <f>SUMIFS(INDEX(Техника!$F$1:$ABM$500,AB$2,0),Техника!$F$4:$ABM$4,"Часы",INDEX(Техника!$G$1:$ABN$500,AB$2,0),$A$872,INDEX(Техника!$H$1:$ABO$500,AB$2,0),"З")</f>
        <v>0</v>
      </c>
    </row>
    <row r="878" spans="1:28" ht="7.95" customHeight="1" x14ac:dyDescent="0.3">
      <c r="A878" s="38"/>
      <c r="B878" s="39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</row>
    <row r="879" spans="1:28" ht="25.05" customHeight="1" collapsed="1" x14ac:dyDescent="0.3">
      <c r="A879" s="32">
        <v>126</v>
      </c>
      <c r="B879" s="32" t="s">
        <v>127</v>
      </c>
      <c r="C879" s="49">
        <f>SUM(C880:C884)</f>
        <v>0</v>
      </c>
      <c r="D879" s="49">
        <f>SUM(D880:D884)</f>
        <v>0</v>
      </c>
      <c r="E879" s="49">
        <f>SUM(E880:E884)</f>
        <v>0</v>
      </c>
      <c r="F879" s="49">
        <f>SUM(F880:F884)</f>
        <v>0</v>
      </c>
      <c r="G879" s="49">
        <f>SUM(G880:G884)</f>
        <v>0</v>
      </c>
      <c r="H879" s="49">
        <f>SUM(H880:H884)</f>
        <v>0</v>
      </c>
      <c r="I879" s="49">
        <f>SUM(I880:I884)</f>
        <v>0</v>
      </c>
      <c r="J879" s="49">
        <f>SUM(J880:J884)</f>
        <v>0</v>
      </c>
      <c r="K879" s="49">
        <f>SUM(K880:K884)</f>
        <v>0</v>
      </c>
      <c r="L879" s="49">
        <f>SUM(L880:L884)</f>
        <v>0</v>
      </c>
      <c r="M879" s="49">
        <f>SUM(M880:M884)</f>
        <v>0</v>
      </c>
      <c r="N879" s="49">
        <f>SUM(N880:N884)</f>
        <v>0</v>
      </c>
      <c r="O879" s="49">
        <f>SUM(O880:O884)</f>
        <v>0</v>
      </c>
      <c r="P879" s="49">
        <f>SUM(P880:P884)</f>
        <v>0</v>
      </c>
      <c r="Q879" s="49">
        <f>SUM(Q880:Q884)</f>
        <v>0</v>
      </c>
      <c r="R879" s="49">
        <f>SUM(R880:R884)</f>
        <v>0</v>
      </c>
      <c r="S879" s="49">
        <f>SUM(S880:S884)</f>
        <v>0</v>
      </c>
      <c r="T879" s="49">
        <f>SUM(T880:T884)</f>
        <v>0</v>
      </c>
      <c r="U879" s="49">
        <f>SUM(U880:U884)</f>
        <v>0</v>
      </c>
      <c r="V879" s="49">
        <f>SUM(V880:V884)</f>
        <v>0</v>
      </c>
      <c r="W879" s="49">
        <f>SUM(W880:W884)</f>
        <v>0</v>
      </c>
      <c r="X879" s="49">
        <f>SUM(X880:X884)</f>
        <v>0</v>
      </c>
      <c r="Y879" s="49">
        <f>SUM(Y880:Y884)</f>
        <v>0</v>
      </c>
      <c r="Z879" s="49">
        <f>SUM(Z880:Z884)</f>
        <v>0</v>
      </c>
      <c r="AA879" s="49">
        <f>SUM(AA880:AA884)</f>
        <v>0</v>
      </c>
      <c r="AB879" s="49">
        <f>SUM(AB880:AB884)</f>
        <v>0</v>
      </c>
    </row>
    <row r="880" spans="1:28" hidden="1" outlineLevel="1" x14ac:dyDescent="0.3">
      <c r="A880" s="33" t="s">
        <v>246</v>
      </c>
      <c r="B880" s="34" t="s">
        <v>274</v>
      </c>
      <c r="C880" s="50">
        <f>SUMIFS(INDEX(Техника!$F$1:$ABM$500,C$2,0),Техника!$F$4:$ABM$4,"Часы",INDEX(Техника!$G$1:$ABN$500,C$2,0),$A$879,INDEX(Техника!$H$1:$ABO$500,C$2,0),"М")</f>
        <v>0</v>
      </c>
      <c r="D880" s="50">
        <f>SUMIFS(INDEX(Техника!$F$1:$ABM$500,D$2,0),Техника!$F$4:$ABM$4,"Часы",INDEX(Техника!$G$1:$ABN$500,D$2,0),$A$879,INDEX(Техника!$H$1:$ABO$500,D$2,0),"М")</f>
        <v>0</v>
      </c>
      <c r="E880" s="50">
        <f>SUMIFS(INDEX(Техника!$F$1:$ABM$500,E$2,0),Техника!$F$4:$ABM$4,"Часы",INDEX(Техника!$G$1:$ABN$500,E$2,0),$A$879,INDEX(Техника!$H$1:$ABO$500,E$2,0),"М")</f>
        <v>0</v>
      </c>
      <c r="F880" s="50">
        <f>SUMIFS(INDEX(Техника!$F$1:$ABM$500,F$2,0),Техника!$F$4:$ABM$4,"Часы",INDEX(Техника!$G$1:$ABN$500,F$2,0),$A$879,INDEX(Техника!$H$1:$ABO$500,F$2,0),"М")</f>
        <v>0</v>
      </c>
      <c r="G880" s="50">
        <f>SUMIFS(INDEX(Техника!$F$1:$ABM$500,G$2,0),Техника!$F$4:$ABM$4,"Часы",INDEX(Техника!$G$1:$ABN$500,G$2,0),$A$879,INDEX(Техника!$H$1:$ABO$500,G$2,0),"М")</f>
        <v>0</v>
      </c>
      <c r="H880" s="50">
        <f>SUMIFS(INDEX(Техника!$F$1:$ABM$500,H$2,0),Техника!$F$4:$ABM$4,"Часы",INDEX(Техника!$G$1:$ABN$500,H$2,0),$A$879,INDEX(Техника!$H$1:$ABO$500,H$2,0),"М")</f>
        <v>0</v>
      </c>
      <c r="I880" s="50">
        <f>SUMIFS(INDEX(Техника!$F$1:$ABM$500,I$2,0),Техника!$F$4:$ABM$4,"Часы",INDEX(Техника!$G$1:$ABN$500,I$2,0),$A$879,INDEX(Техника!$H$1:$ABO$500,I$2,0),"М")</f>
        <v>0</v>
      </c>
      <c r="J880" s="50">
        <f>SUMIFS(INDEX(Техника!$F$1:$ABM$500,J$2,0),Техника!$F$4:$ABM$4,"Часы",INDEX(Техника!$G$1:$ABN$500,J$2,0),$A$879,INDEX(Техника!$H$1:$ABO$500,J$2,0),"М")</f>
        <v>0</v>
      </c>
      <c r="K880" s="50">
        <f>SUMIFS(INDEX(Техника!$F$1:$ABM$500,K$2,0),Техника!$F$4:$ABM$4,"Часы",INDEX(Техника!$G$1:$ABN$500,K$2,0),$A$879,INDEX(Техника!$H$1:$ABO$500,K$2,0),"М")</f>
        <v>0</v>
      </c>
      <c r="L880" s="50">
        <f>SUMIFS(INDEX(Техника!$F$1:$ABM$500,L$2,0),Техника!$F$4:$ABM$4,"Часы",INDEX(Техника!$G$1:$ABN$500,L$2,0),$A$879,INDEX(Техника!$H$1:$ABO$500,L$2,0),"М")</f>
        <v>0</v>
      </c>
      <c r="M880" s="50">
        <f>SUMIFS(INDEX(Техника!$F$1:$ABM$500,M$2,0),Техника!$F$4:$ABM$4,"Часы",INDEX(Техника!$G$1:$ABN$500,M$2,0),$A$879,INDEX(Техника!$H$1:$ABO$500,M$2,0),"М")</f>
        <v>0</v>
      </c>
      <c r="N880" s="50">
        <f>SUMIFS(INDEX(Техника!$F$1:$ABM$500,N$2,0),Техника!$F$4:$ABM$4,"Часы",INDEX(Техника!$G$1:$ABN$500,N$2,0),$A$879,INDEX(Техника!$H$1:$ABO$500,N$2,0),"М")</f>
        <v>0</v>
      </c>
      <c r="O880" s="50">
        <f>SUMIFS(INDEX(Техника!$F$1:$ABM$500,O$2,0),Техника!$F$4:$ABM$4,"Часы",INDEX(Техника!$G$1:$ABN$500,O$2,0),$A$879,INDEX(Техника!$H$1:$ABO$500,O$2,0),"М")</f>
        <v>0</v>
      </c>
      <c r="P880" s="50">
        <f>SUMIFS(INDEX(Техника!$F$1:$ABM$500,P$2,0),Техника!$F$4:$ABM$4,"Часы",INDEX(Техника!$G$1:$ABN$500,P$2,0),$A$879,INDEX(Техника!$H$1:$ABO$500,P$2,0),"М")</f>
        <v>0</v>
      </c>
      <c r="Q880" s="50">
        <f>SUMIFS(INDEX(Техника!$F$1:$ABM$500,Q$2,0),Техника!$F$4:$ABM$4,"Часы",INDEX(Техника!$G$1:$ABN$500,Q$2,0),$A$879,INDEX(Техника!$H$1:$ABO$500,Q$2,0),"М")</f>
        <v>0</v>
      </c>
      <c r="R880" s="50">
        <f>SUMIFS(INDEX(Техника!$F$1:$ABM$500,R$2,0),Техника!$F$4:$ABM$4,"Часы",INDEX(Техника!$G$1:$ABN$500,R$2,0),$A$879,INDEX(Техника!$H$1:$ABO$500,R$2,0),"М")</f>
        <v>0</v>
      </c>
      <c r="S880" s="50">
        <f>SUMIFS(INDEX(Техника!$F$1:$ABM$500,S$2,0),Техника!$F$4:$ABM$4,"Часы",INDEX(Техника!$G$1:$ABN$500,S$2,0),$A$879,INDEX(Техника!$H$1:$ABO$500,S$2,0),"М")</f>
        <v>0</v>
      </c>
      <c r="T880" s="50">
        <f>SUMIFS(INDEX(Техника!$F$1:$ABM$500,T$2,0),Техника!$F$4:$ABM$4,"Часы",INDEX(Техника!$G$1:$ABN$500,T$2,0),$A$879,INDEX(Техника!$H$1:$ABO$500,T$2,0),"М")</f>
        <v>0</v>
      </c>
      <c r="U880" s="50">
        <f>SUMIFS(INDEX(Техника!$F$1:$ABM$500,U$2,0),Техника!$F$4:$ABM$4,"Часы",INDEX(Техника!$G$1:$ABN$500,U$2,0),$A$879,INDEX(Техника!$H$1:$ABO$500,U$2,0),"М")</f>
        <v>0</v>
      </c>
      <c r="V880" s="50">
        <f>SUMIFS(INDEX(Техника!$F$1:$ABM$500,V$2,0),Техника!$F$4:$ABM$4,"Часы",INDEX(Техника!$G$1:$ABN$500,V$2,0),$A$879,INDEX(Техника!$H$1:$ABO$500,V$2,0),"М")</f>
        <v>0</v>
      </c>
      <c r="W880" s="50">
        <f>SUMIFS(INDEX(Техника!$F$1:$ABM$500,W$2,0),Техника!$F$4:$ABM$4,"Часы",INDEX(Техника!$G$1:$ABN$500,W$2,0),$A$879,INDEX(Техника!$H$1:$ABO$500,W$2,0),"М")</f>
        <v>0</v>
      </c>
      <c r="X880" s="50">
        <f>SUMIFS(INDEX(Техника!$F$1:$ABM$500,X$2,0),Техника!$F$4:$ABM$4,"Часы",INDEX(Техника!$G$1:$ABN$500,X$2,0),$A$879,INDEX(Техника!$H$1:$ABO$500,X$2,0),"М")</f>
        <v>0</v>
      </c>
      <c r="Y880" s="50">
        <f>SUMIFS(INDEX(Техника!$F$1:$ABM$500,Y$2,0),Техника!$F$4:$ABM$4,"Часы",INDEX(Техника!$G$1:$ABN$500,Y$2,0),$A$879,INDEX(Техника!$H$1:$ABO$500,Y$2,0),"М")</f>
        <v>0</v>
      </c>
      <c r="Z880" s="50">
        <f>SUMIFS(INDEX(Техника!$F$1:$ABM$500,Z$2,0),Техника!$F$4:$ABM$4,"Часы",INDEX(Техника!$G$1:$ABN$500,Z$2,0),$A$879,INDEX(Техника!$H$1:$ABO$500,Z$2,0),"М")</f>
        <v>0</v>
      </c>
      <c r="AA880" s="50">
        <f>SUMIFS(INDEX(Техника!$F$1:$ABM$500,AA$2,0),Техника!$F$4:$ABM$4,"Часы",INDEX(Техника!$G$1:$ABN$500,AA$2,0),$A$879,INDEX(Техника!$H$1:$ABO$500,AA$2,0),"М")</f>
        <v>0</v>
      </c>
      <c r="AB880" s="50">
        <f>SUMIFS(INDEX(Техника!$F$1:$ABM$500,AB$2,0),Техника!$F$4:$ABM$4,"Часы",INDEX(Техника!$G$1:$ABN$500,AB$2,0),$A$879,INDEX(Техника!$H$1:$ABO$500,AB$2,0),"М")</f>
        <v>0</v>
      </c>
    </row>
    <row r="881" spans="1:28" hidden="1" outlineLevel="1" x14ac:dyDescent="0.3">
      <c r="A881" s="33" t="s">
        <v>244</v>
      </c>
      <c r="B881" s="34" t="s">
        <v>275</v>
      </c>
      <c r="C881" s="50">
        <f>SUMIFS(INDEX(Техника!$F$1:$ABM$500,C$2,0),Техника!$F$4:$ABM$4,"Часы",INDEX(Техника!$G$1:$ABN$500,C$2,0),$A$879,INDEX(Техника!$H$1:$ABO$500,C$2,0),"Д")</f>
        <v>0</v>
      </c>
      <c r="D881" s="50">
        <f>SUMIFS(INDEX(Техника!$F$1:$ABM$500,D$2,0),Техника!$F$4:$ABM$4,"Часы",INDEX(Техника!$G$1:$ABN$500,D$2,0),$A$879,INDEX(Техника!$H$1:$ABO$500,D$2,0),"Д")</f>
        <v>0</v>
      </c>
      <c r="E881" s="50">
        <f>SUMIFS(INDEX(Техника!$F$1:$ABM$500,E$2,0),Техника!$F$4:$ABM$4,"Часы",INDEX(Техника!$G$1:$ABN$500,E$2,0),$A$879,INDEX(Техника!$H$1:$ABO$500,E$2,0),"Д")</f>
        <v>0</v>
      </c>
      <c r="F881" s="50">
        <f>SUMIFS(INDEX(Техника!$F$1:$ABM$500,F$2,0),Техника!$F$4:$ABM$4,"Часы",INDEX(Техника!$G$1:$ABN$500,F$2,0),$A$879,INDEX(Техника!$H$1:$ABO$500,F$2,0),"Д")</f>
        <v>0</v>
      </c>
      <c r="G881" s="50">
        <f>SUMIFS(INDEX(Техника!$F$1:$ABM$500,G$2,0),Техника!$F$4:$ABM$4,"Часы",INDEX(Техника!$G$1:$ABN$500,G$2,0),$A$879,INDEX(Техника!$H$1:$ABO$500,G$2,0),"Д")</f>
        <v>0</v>
      </c>
      <c r="H881" s="50">
        <f>SUMIFS(INDEX(Техника!$F$1:$ABM$500,H$2,0),Техника!$F$4:$ABM$4,"Часы",INDEX(Техника!$G$1:$ABN$500,H$2,0),$A$879,INDEX(Техника!$H$1:$ABO$500,H$2,0),"Д")</f>
        <v>0</v>
      </c>
      <c r="I881" s="50">
        <f>SUMIFS(INDEX(Техника!$F$1:$ABM$500,I$2,0),Техника!$F$4:$ABM$4,"Часы",INDEX(Техника!$G$1:$ABN$500,I$2,0),$A$879,INDEX(Техника!$H$1:$ABO$500,I$2,0),"Д")</f>
        <v>0</v>
      </c>
      <c r="J881" s="50">
        <f>SUMIFS(INDEX(Техника!$F$1:$ABM$500,J$2,0),Техника!$F$4:$ABM$4,"Часы",INDEX(Техника!$G$1:$ABN$500,J$2,0),$A$879,INDEX(Техника!$H$1:$ABO$500,J$2,0),"Д")</f>
        <v>0</v>
      </c>
      <c r="K881" s="50">
        <f>SUMIFS(INDEX(Техника!$F$1:$ABM$500,K$2,0),Техника!$F$4:$ABM$4,"Часы",INDEX(Техника!$G$1:$ABN$500,K$2,0),$A$879,INDEX(Техника!$H$1:$ABO$500,K$2,0),"Д")</f>
        <v>0</v>
      </c>
      <c r="L881" s="50">
        <f>SUMIFS(INDEX(Техника!$F$1:$ABM$500,L$2,0),Техника!$F$4:$ABM$4,"Часы",INDEX(Техника!$G$1:$ABN$500,L$2,0),$A$879,INDEX(Техника!$H$1:$ABO$500,L$2,0),"Д")</f>
        <v>0</v>
      </c>
      <c r="M881" s="50">
        <f>SUMIFS(INDEX(Техника!$F$1:$ABM$500,M$2,0),Техника!$F$4:$ABM$4,"Часы",INDEX(Техника!$G$1:$ABN$500,M$2,0),$A$879,INDEX(Техника!$H$1:$ABO$500,M$2,0),"Д")</f>
        <v>0</v>
      </c>
      <c r="N881" s="50">
        <f>SUMIFS(INDEX(Техника!$F$1:$ABM$500,N$2,0),Техника!$F$4:$ABM$4,"Часы",INDEX(Техника!$G$1:$ABN$500,N$2,0),$A$879,INDEX(Техника!$H$1:$ABO$500,N$2,0),"Д")</f>
        <v>0</v>
      </c>
      <c r="O881" s="50">
        <f>SUMIFS(INDEX(Техника!$F$1:$ABM$500,O$2,0),Техника!$F$4:$ABM$4,"Часы",INDEX(Техника!$G$1:$ABN$500,O$2,0),$A$879,INDEX(Техника!$H$1:$ABO$500,O$2,0),"Д")</f>
        <v>0</v>
      </c>
      <c r="P881" s="50">
        <f>SUMIFS(INDEX(Техника!$F$1:$ABM$500,P$2,0),Техника!$F$4:$ABM$4,"Часы",INDEX(Техника!$G$1:$ABN$500,P$2,0),$A$879,INDEX(Техника!$H$1:$ABO$500,P$2,0),"Д")</f>
        <v>0</v>
      </c>
      <c r="Q881" s="50">
        <f>SUMIFS(INDEX(Техника!$F$1:$ABM$500,Q$2,0),Техника!$F$4:$ABM$4,"Часы",INDEX(Техника!$G$1:$ABN$500,Q$2,0),$A$879,INDEX(Техника!$H$1:$ABO$500,Q$2,0),"Д")</f>
        <v>0</v>
      </c>
      <c r="R881" s="50">
        <f>SUMIFS(INDEX(Техника!$F$1:$ABM$500,R$2,0),Техника!$F$4:$ABM$4,"Часы",INDEX(Техника!$G$1:$ABN$500,R$2,0),$A$879,INDEX(Техника!$H$1:$ABO$500,R$2,0),"Д")</f>
        <v>0</v>
      </c>
      <c r="S881" s="50">
        <f>SUMIFS(INDEX(Техника!$F$1:$ABM$500,S$2,0),Техника!$F$4:$ABM$4,"Часы",INDEX(Техника!$G$1:$ABN$500,S$2,0),$A$879,INDEX(Техника!$H$1:$ABO$500,S$2,0),"Д")</f>
        <v>0</v>
      </c>
      <c r="T881" s="50">
        <f>SUMIFS(INDEX(Техника!$F$1:$ABM$500,T$2,0),Техника!$F$4:$ABM$4,"Часы",INDEX(Техника!$G$1:$ABN$500,T$2,0),$A$879,INDEX(Техника!$H$1:$ABO$500,T$2,0),"Д")</f>
        <v>0</v>
      </c>
      <c r="U881" s="50">
        <f>SUMIFS(INDEX(Техника!$F$1:$ABM$500,U$2,0),Техника!$F$4:$ABM$4,"Часы",INDEX(Техника!$G$1:$ABN$500,U$2,0),$A$879,INDEX(Техника!$H$1:$ABO$500,U$2,0),"Д")</f>
        <v>0</v>
      </c>
      <c r="V881" s="50">
        <f>SUMIFS(INDEX(Техника!$F$1:$ABM$500,V$2,0),Техника!$F$4:$ABM$4,"Часы",INDEX(Техника!$G$1:$ABN$500,V$2,0),$A$879,INDEX(Техника!$H$1:$ABO$500,V$2,0),"Д")</f>
        <v>0</v>
      </c>
      <c r="W881" s="50">
        <f>SUMIFS(INDEX(Техника!$F$1:$ABM$500,W$2,0),Техника!$F$4:$ABM$4,"Часы",INDEX(Техника!$G$1:$ABN$500,W$2,0),$A$879,INDEX(Техника!$H$1:$ABO$500,W$2,0),"Д")</f>
        <v>0</v>
      </c>
      <c r="X881" s="50">
        <f>SUMIFS(INDEX(Техника!$F$1:$ABM$500,X$2,0),Техника!$F$4:$ABM$4,"Часы",INDEX(Техника!$G$1:$ABN$500,X$2,0),$A$879,INDEX(Техника!$H$1:$ABO$500,X$2,0),"Д")</f>
        <v>0</v>
      </c>
      <c r="Y881" s="50">
        <f>SUMIFS(INDEX(Техника!$F$1:$ABM$500,Y$2,0),Техника!$F$4:$ABM$4,"Часы",INDEX(Техника!$G$1:$ABN$500,Y$2,0),$A$879,INDEX(Техника!$H$1:$ABO$500,Y$2,0),"Д")</f>
        <v>0</v>
      </c>
      <c r="Z881" s="50">
        <f>SUMIFS(INDEX(Техника!$F$1:$ABM$500,Z$2,0),Техника!$F$4:$ABM$4,"Часы",INDEX(Техника!$G$1:$ABN$500,Z$2,0),$A$879,INDEX(Техника!$H$1:$ABO$500,Z$2,0),"Д")</f>
        <v>0</v>
      </c>
      <c r="AA881" s="50">
        <f>SUMIFS(INDEX(Техника!$F$1:$ABM$500,AA$2,0),Техника!$F$4:$ABM$4,"Часы",INDEX(Техника!$G$1:$ABN$500,AA$2,0),$A$879,INDEX(Техника!$H$1:$ABO$500,AA$2,0),"Д")</f>
        <v>0</v>
      </c>
      <c r="AB881" s="50">
        <f>SUMIFS(INDEX(Техника!$F$1:$ABM$500,AB$2,0),Техника!$F$4:$ABM$4,"Часы",INDEX(Техника!$G$1:$ABN$500,AB$2,0),$A$879,INDEX(Техника!$H$1:$ABO$500,AB$2,0),"Д")</f>
        <v>0</v>
      </c>
    </row>
    <row r="882" spans="1:28" hidden="1" outlineLevel="1" x14ac:dyDescent="0.3">
      <c r="A882" s="33" t="s">
        <v>276</v>
      </c>
      <c r="B882" s="34" t="s">
        <v>277</v>
      </c>
      <c r="C882" s="50">
        <f>SUMIFS(INDEX(Техника!$F$1:$ABM$500,C$2,0),Техника!$F$4:$ABM$4,"Часы",INDEX(Техника!$G$1:$ABN$500,C$2,0),$A$879,INDEX(Техника!$H$1:$ABO$500,C$2,0),"П")</f>
        <v>0</v>
      </c>
      <c r="D882" s="50">
        <f>SUMIFS(INDEX(Техника!$F$1:$ABM$500,D$2,0),Техника!$F$4:$ABM$4,"Часы",INDEX(Техника!$G$1:$ABN$500,D$2,0),$A$879,INDEX(Техника!$H$1:$ABO$500,D$2,0),"П")</f>
        <v>0</v>
      </c>
      <c r="E882" s="50">
        <f>SUMIFS(INDEX(Техника!$F$1:$ABM$500,E$2,0),Техника!$F$4:$ABM$4,"Часы",INDEX(Техника!$G$1:$ABN$500,E$2,0),$A$879,INDEX(Техника!$H$1:$ABO$500,E$2,0),"П")</f>
        <v>0</v>
      </c>
      <c r="F882" s="50">
        <f>SUMIFS(INDEX(Техника!$F$1:$ABM$500,F$2,0),Техника!$F$4:$ABM$4,"Часы",INDEX(Техника!$G$1:$ABN$500,F$2,0),$A$879,INDEX(Техника!$H$1:$ABO$500,F$2,0),"П")</f>
        <v>0</v>
      </c>
      <c r="G882" s="50">
        <f>SUMIFS(INDEX(Техника!$F$1:$ABM$500,G$2,0),Техника!$F$4:$ABM$4,"Часы",INDEX(Техника!$G$1:$ABN$500,G$2,0),$A$879,INDEX(Техника!$H$1:$ABO$500,G$2,0),"П")</f>
        <v>0</v>
      </c>
      <c r="H882" s="50">
        <f>SUMIFS(INDEX(Техника!$F$1:$ABM$500,H$2,0),Техника!$F$4:$ABM$4,"Часы",INDEX(Техника!$G$1:$ABN$500,H$2,0),$A$879,INDEX(Техника!$H$1:$ABO$500,H$2,0),"П")</f>
        <v>0</v>
      </c>
      <c r="I882" s="50">
        <f>SUMIFS(INDEX(Техника!$F$1:$ABM$500,I$2,0),Техника!$F$4:$ABM$4,"Часы",INDEX(Техника!$G$1:$ABN$500,I$2,0),$A$879,INDEX(Техника!$H$1:$ABO$500,I$2,0),"П")</f>
        <v>0</v>
      </c>
      <c r="J882" s="50">
        <f>SUMIFS(INDEX(Техника!$F$1:$ABM$500,J$2,0),Техника!$F$4:$ABM$4,"Часы",INDEX(Техника!$G$1:$ABN$500,J$2,0),$A$879,INDEX(Техника!$H$1:$ABO$500,J$2,0),"П")</f>
        <v>0</v>
      </c>
      <c r="K882" s="50">
        <f>SUMIFS(INDEX(Техника!$F$1:$ABM$500,K$2,0),Техника!$F$4:$ABM$4,"Часы",INDEX(Техника!$G$1:$ABN$500,K$2,0),$A$879,INDEX(Техника!$H$1:$ABO$500,K$2,0),"П")</f>
        <v>0</v>
      </c>
      <c r="L882" s="50">
        <f>SUMIFS(INDEX(Техника!$F$1:$ABM$500,L$2,0),Техника!$F$4:$ABM$4,"Часы",INDEX(Техника!$G$1:$ABN$500,L$2,0),$A$879,INDEX(Техника!$H$1:$ABO$500,L$2,0),"П")</f>
        <v>0</v>
      </c>
      <c r="M882" s="50">
        <f>SUMIFS(INDEX(Техника!$F$1:$ABM$500,M$2,0),Техника!$F$4:$ABM$4,"Часы",INDEX(Техника!$G$1:$ABN$500,M$2,0),$A$879,INDEX(Техника!$H$1:$ABO$500,M$2,0),"П")</f>
        <v>0</v>
      </c>
      <c r="N882" s="50">
        <f>SUMIFS(INDEX(Техника!$F$1:$ABM$500,N$2,0),Техника!$F$4:$ABM$4,"Часы",INDEX(Техника!$G$1:$ABN$500,N$2,0),$A$879,INDEX(Техника!$H$1:$ABO$500,N$2,0),"П")</f>
        <v>0</v>
      </c>
      <c r="O882" s="50">
        <f>SUMIFS(INDEX(Техника!$F$1:$ABM$500,O$2,0),Техника!$F$4:$ABM$4,"Часы",INDEX(Техника!$G$1:$ABN$500,O$2,0),$A$879,INDEX(Техника!$H$1:$ABO$500,O$2,0),"П")</f>
        <v>0</v>
      </c>
      <c r="P882" s="50">
        <f>SUMIFS(INDEX(Техника!$F$1:$ABM$500,P$2,0),Техника!$F$4:$ABM$4,"Часы",INDEX(Техника!$G$1:$ABN$500,P$2,0),$A$879,INDEX(Техника!$H$1:$ABO$500,P$2,0),"П")</f>
        <v>0</v>
      </c>
      <c r="Q882" s="50">
        <f>SUMIFS(INDEX(Техника!$F$1:$ABM$500,Q$2,0),Техника!$F$4:$ABM$4,"Часы",INDEX(Техника!$G$1:$ABN$500,Q$2,0),$A$879,INDEX(Техника!$H$1:$ABO$500,Q$2,0),"П")</f>
        <v>0</v>
      </c>
      <c r="R882" s="50">
        <f>SUMIFS(INDEX(Техника!$F$1:$ABM$500,R$2,0),Техника!$F$4:$ABM$4,"Часы",INDEX(Техника!$G$1:$ABN$500,R$2,0),$A$879,INDEX(Техника!$H$1:$ABO$500,R$2,0),"П")</f>
        <v>0</v>
      </c>
      <c r="S882" s="50">
        <f>SUMIFS(INDEX(Техника!$F$1:$ABM$500,S$2,0),Техника!$F$4:$ABM$4,"Часы",INDEX(Техника!$G$1:$ABN$500,S$2,0),$A$879,INDEX(Техника!$H$1:$ABO$500,S$2,0),"П")</f>
        <v>0</v>
      </c>
      <c r="T882" s="50">
        <f>SUMIFS(INDEX(Техника!$F$1:$ABM$500,T$2,0),Техника!$F$4:$ABM$4,"Часы",INDEX(Техника!$G$1:$ABN$500,T$2,0),$A$879,INDEX(Техника!$H$1:$ABO$500,T$2,0),"П")</f>
        <v>0</v>
      </c>
      <c r="U882" s="50">
        <f>SUMIFS(INDEX(Техника!$F$1:$ABM$500,U$2,0),Техника!$F$4:$ABM$4,"Часы",INDEX(Техника!$G$1:$ABN$500,U$2,0),$A$879,INDEX(Техника!$H$1:$ABO$500,U$2,0),"П")</f>
        <v>0</v>
      </c>
      <c r="V882" s="50">
        <f>SUMIFS(INDEX(Техника!$F$1:$ABM$500,V$2,0),Техника!$F$4:$ABM$4,"Часы",INDEX(Техника!$G$1:$ABN$500,V$2,0),$A$879,INDEX(Техника!$H$1:$ABO$500,V$2,0),"П")</f>
        <v>0</v>
      </c>
      <c r="W882" s="50">
        <f>SUMIFS(INDEX(Техника!$F$1:$ABM$500,W$2,0),Техника!$F$4:$ABM$4,"Часы",INDEX(Техника!$G$1:$ABN$500,W$2,0),$A$879,INDEX(Техника!$H$1:$ABO$500,W$2,0),"П")</f>
        <v>0</v>
      </c>
      <c r="X882" s="50">
        <f>SUMIFS(INDEX(Техника!$F$1:$ABM$500,X$2,0),Техника!$F$4:$ABM$4,"Часы",INDEX(Техника!$G$1:$ABN$500,X$2,0),$A$879,INDEX(Техника!$H$1:$ABO$500,X$2,0),"П")</f>
        <v>0</v>
      </c>
      <c r="Y882" s="50">
        <f>SUMIFS(INDEX(Техника!$F$1:$ABM$500,Y$2,0),Техника!$F$4:$ABM$4,"Часы",INDEX(Техника!$G$1:$ABN$500,Y$2,0),$A$879,INDEX(Техника!$H$1:$ABO$500,Y$2,0),"П")</f>
        <v>0</v>
      </c>
      <c r="Z882" s="50">
        <f>SUMIFS(INDEX(Техника!$F$1:$ABM$500,Z$2,0),Техника!$F$4:$ABM$4,"Часы",INDEX(Техника!$G$1:$ABN$500,Z$2,0),$A$879,INDEX(Техника!$H$1:$ABO$500,Z$2,0),"П")</f>
        <v>0</v>
      </c>
      <c r="AA882" s="50">
        <f>SUMIFS(INDEX(Техника!$F$1:$ABM$500,AA$2,0),Техника!$F$4:$ABM$4,"Часы",INDEX(Техника!$G$1:$ABN$500,AA$2,0),$A$879,INDEX(Техника!$H$1:$ABO$500,AA$2,0),"П")</f>
        <v>0</v>
      </c>
      <c r="AB882" s="50">
        <f>SUMIFS(INDEX(Техника!$F$1:$ABM$500,AB$2,0),Техника!$F$4:$ABM$4,"Часы",INDEX(Техника!$G$1:$ABN$500,AB$2,0),$A$879,INDEX(Техника!$H$1:$ABO$500,AB$2,0),"П")</f>
        <v>0</v>
      </c>
    </row>
    <row r="883" spans="1:28" hidden="1" outlineLevel="1" x14ac:dyDescent="0.3">
      <c r="A883" s="33" t="s">
        <v>243</v>
      </c>
      <c r="B883" s="34" t="s">
        <v>278</v>
      </c>
      <c r="C883" s="50">
        <f>SUMIFS(INDEX(Техника!$F$1:$ABM$500,C$2,0),Техника!$F$4:$ABM$4,"Часы",INDEX(Техника!$G$1:$ABN$500,C$2,0),$A$879,INDEX(Техника!$H$1:$ABO$500,C$2,0),"Л")</f>
        <v>0</v>
      </c>
      <c r="D883" s="50">
        <f>SUMIFS(INDEX(Техника!$F$1:$ABM$500,D$2,0),Техника!$F$4:$ABM$4,"Часы",INDEX(Техника!$G$1:$ABN$500,D$2,0),$A$879,INDEX(Техника!$H$1:$ABO$500,D$2,0),"Л")</f>
        <v>0</v>
      </c>
      <c r="E883" s="50">
        <f>SUMIFS(INDEX(Техника!$F$1:$ABM$500,E$2,0),Техника!$F$4:$ABM$4,"Часы",INDEX(Техника!$G$1:$ABN$500,E$2,0),$A$879,INDEX(Техника!$H$1:$ABO$500,E$2,0),"Л")</f>
        <v>0</v>
      </c>
      <c r="F883" s="50">
        <f>SUMIFS(INDEX(Техника!$F$1:$ABM$500,F$2,0),Техника!$F$4:$ABM$4,"Часы",INDEX(Техника!$G$1:$ABN$500,F$2,0),$A$879,INDEX(Техника!$H$1:$ABO$500,F$2,0),"Л")</f>
        <v>0</v>
      </c>
      <c r="G883" s="50">
        <f>SUMIFS(INDEX(Техника!$F$1:$ABM$500,G$2,0),Техника!$F$4:$ABM$4,"Часы",INDEX(Техника!$G$1:$ABN$500,G$2,0),$A$879,INDEX(Техника!$H$1:$ABO$500,G$2,0),"Л")</f>
        <v>0</v>
      </c>
      <c r="H883" s="50">
        <f>SUMIFS(INDEX(Техника!$F$1:$ABM$500,H$2,0),Техника!$F$4:$ABM$4,"Часы",INDEX(Техника!$G$1:$ABN$500,H$2,0),$A$879,INDEX(Техника!$H$1:$ABO$500,H$2,0),"Л")</f>
        <v>0</v>
      </c>
      <c r="I883" s="50">
        <f>SUMIFS(INDEX(Техника!$F$1:$ABM$500,I$2,0),Техника!$F$4:$ABM$4,"Часы",INDEX(Техника!$G$1:$ABN$500,I$2,0),$A$879,INDEX(Техника!$H$1:$ABO$500,I$2,0),"Л")</f>
        <v>0</v>
      </c>
      <c r="J883" s="50">
        <f>SUMIFS(INDEX(Техника!$F$1:$ABM$500,J$2,0),Техника!$F$4:$ABM$4,"Часы",INDEX(Техника!$G$1:$ABN$500,J$2,0),$A$879,INDEX(Техника!$H$1:$ABO$500,J$2,0),"Л")</f>
        <v>0</v>
      </c>
      <c r="K883" s="50">
        <f>SUMIFS(INDEX(Техника!$F$1:$ABM$500,K$2,0),Техника!$F$4:$ABM$4,"Часы",INDEX(Техника!$G$1:$ABN$500,K$2,0),$A$879,INDEX(Техника!$H$1:$ABO$500,K$2,0),"Л")</f>
        <v>0</v>
      </c>
      <c r="L883" s="50">
        <f>SUMIFS(INDEX(Техника!$F$1:$ABM$500,L$2,0),Техника!$F$4:$ABM$4,"Часы",INDEX(Техника!$G$1:$ABN$500,L$2,0),$A$879,INDEX(Техника!$H$1:$ABO$500,L$2,0),"Л")</f>
        <v>0</v>
      </c>
      <c r="M883" s="50">
        <f>SUMIFS(INDEX(Техника!$F$1:$ABM$500,M$2,0),Техника!$F$4:$ABM$4,"Часы",INDEX(Техника!$G$1:$ABN$500,M$2,0),$A$879,INDEX(Техника!$H$1:$ABO$500,M$2,0),"Л")</f>
        <v>0</v>
      </c>
      <c r="N883" s="50">
        <f>SUMIFS(INDEX(Техника!$F$1:$ABM$500,N$2,0),Техника!$F$4:$ABM$4,"Часы",INDEX(Техника!$G$1:$ABN$500,N$2,0),$A$879,INDEX(Техника!$H$1:$ABO$500,N$2,0),"Л")</f>
        <v>0</v>
      </c>
      <c r="O883" s="50">
        <f>SUMIFS(INDEX(Техника!$F$1:$ABM$500,O$2,0),Техника!$F$4:$ABM$4,"Часы",INDEX(Техника!$G$1:$ABN$500,O$2,0),$A$879,INDEX(Техника!$H$1:$ABO$500,O$2,0),"Л")</f>
        <v>0</v>
      </c>
      <c r="P883" s="50">
        <f>SUMIFS(INDEX(Техника!$F$1:$ABM$500,P$2,0),Техника!$F$4:$ABM$4,"Часы",INDEX(Техника!$G$1:$ABN$500,P$2,0),$A$879,INDEX(Техника!$H$1:$ABO$500,P$2,0),"Л")</f>
        <v>0</v>
      </c>
      <c r="Q883" s="50">
        <f>SUMIFS(INDEX(Техника!$F$1:$ABM$500,Q$2,0),Техника!$F$4:$ABM$4,"Часы",INDEX(Техника!$G$1:$ABN$500,Q$2,0),$A$879,INDEX(Техника!$H$1:$ABO$500,Q$2,0),"Л")</f>
        <v>0</v>
      </c>
      <c r="R883" s="50">
        <f>SUMIFS(INDEX(Техника!$F$1:$ABM$500,R$2,0),Техника!$F$4:$ABM$4,"Часы",INDEX(Техника!$G$1:$ABN$500,R$2,0),$A$879,INDEX(Техника!$H$1:$ABO$500,R$2,0),"Л")</f>
        <v>0</v>
      </c>
      <c r="S883" s="50">
        <f>SUMIFS(INDEX(Техника!$F$1:$ABM$500,S$2,0),Техника!$F$4:$ABM$4,"Часы",INDEX(Техника!$G$1:$ABN$500,S$2,0),$A$879,INDEX(Техника!$H$1:$ABO$500,S$2,0),"Л")</f>
        <v>0</v>
      </c>
      <c r="T883" s="50">
        <f>SUMIFS(INDEX(Техника!$F$1:$ABM$500,T$2,0),Техника!$F$4:$ABM$4,"Часы",INDEX(Техника!$G$1:$ABN$500,T$2,0),$A$879,INDEX(Техника!$H$1:$ABO$500,T$2,0),"Л")</f>
        <v>0</v>
      </c>
      <c r="U883" s="50">
        <f>SUMIFS(INDEX(Техника!$F$1:$ABM$500,U$2,0),Техника!$F$4:$ABM$4,"Часы",INDEX(Техника!$G$1:$ABN$500,U$2,0),$A$879,INDEX(Техника!$H$1:$ABO$500,U$2,0),"Л")</f>
        <v>0</v>
      </c>
      <c r="V883" s="50">
        <f>SUMIFS(INDEX(Техника!$F$1:$ABM$500,V$2,0),Техника!$F$4:$ABM$4,"Часы",INDEX(Техника!$G$1:$ABN$500,V$2,0),$A$879,INDEX(Техника!$H$1:$ABO$500,V$2,0),"Л")</f>
        <v>0</v>
      </c>
      <c r="W883" s="50">
        <f>SUMIFS(INDEX(Техника!$F$1:$ABM$500,W$2,0),Техника!$F$4:$ABM$4,"Часы",INDEX(Техника!$G$1:$ABN$500,W$2,0),$A$879,INDEX(Техника!$H$1:$ABO$500,W$2,0),"Л")</f>
        <v>0</v>
      </c>
      <c r="X883" s="50">
        <f>SUMIFS(INDEX(Техника!$F$1:$ABM$500,X$2,0),Техника!$F$4:$ABM$4,"Часы",INDEX(Техника!$G$1:$ABN$500,X$2,0),$A$879,INDEX(Техника!$H$1:$ABO$500,X$2,0),"Л")</f>
        <v>0</v>
      </c>
      <c r="Y883" s="50">
        <f>SUMIFS(INDEX(Техника!$F$1:$ABM$500,Y$2,0),Техника!$F$4:$ABM$4,"Часы",INDEX(Техника!$G$1:$ABN$500,Y$2,0),$A$879,INDEX(Техника!$H$1:$ABO$500,Y$2,0),"Л")</f>
        <v>0</v>
      </c>
      <c r="Z883" s="50">
        <f>SUMIFS(INDEX(Техника!$F$1:$ABM$500,Z$2,0),Техника!$F$4:$ABM$4,"Часы",INDEX(Техника!$G$1:$ABN$500,Z$2,0),$A$879,INDEX(Техника!$H$1:$ABO$500,Z$2,0),"Л")</f>
        <v>0</v>
      </c>
      <c r="AA883" s="50">
        <f>SUMIFS(INDEX(Техника!$F$1:$ABM$500,AA$2,0),Техника!$F$4:$ABM$4,"Часы",INDEX(Техника!$G$1:$ABN$500,AA$2,0),$A$879,INDEX(Техника!$H$1:$ABO$500,AA$2,0),"Л")</f>
        <v>0</v>
      </c>
      <c r="AB883" s="50">
        <f>SUMIFS(INDEX(Техника!$F$1:$ABM$500,AB$2,0),Техника!$F$4:$ABM$4,"Часы",INDEX(Техника!$G$1:$ABN$500,AB$2,0),$A$879,INDEX(Техника!$H$1:$ABO$500,AB$2,0),"Л")</f>
        <v>0</v>
      </c>
    </row>
    <row r="884" spans="1:28" hidden="1" outlineLevel="1" x14ac:dyDescent="0.3">
      <c r="A884" s="33" t="s">
        <v>245</v>
      </c>
      <c r="B884" s="34" t="s">
        <v>279</v>
      </c>
      <c r="C884" s="50">
        <f>SUMIFS(INDEX(Техника!$F$1:$ABM$500,C$2,0),Техника!$F$4:$ABM$4,"Часы",INDEX(Техника!$G$1:$ABN$500,C$2,0),$A$879,INDEX(Техника!$H$1:$ABO$500,C$2,0),"З")</f>
        <v>0</v>
      </c>
      <c r="D884" s="50">
        <f>SUMIFS(INDEX(Техника!$F$1:$ABM$500,D$2,0),Техника!$F$4:$ABM$4,"Часы",INDEX(Техника!$G$1:$ABN$500,D$2,0),$A$879,INDEX(Техника!$H$1:$ABO$500,D$2,0),"З")</f>
        <v>0</v>
      </c>
      <c r="E884" s="50">
        <f>SUMIFS(INDEX(Техника!$F$1:$ABM$500,E$2,0),Техника!$F$4:$ABM$4,"Часы",INDEX(Техника!$G$1:$ABN$500,E$2,0),$A$879,INDEX(Техника!$H$1:$ABO$500,E$2,0),"З")</f>
        <v>0</v>
      </c>
      <c r="F884" s="50">
        <f>SUMIFS(INDEX(Техника!$F$1:$ABM$500,F$2,0),Техника!$F$4:$ABM$4,"Часы",INDEX(Техника!$G$1:$ABN$500,F$2,0),$A$879,INDEX(Техника!$H$1:$ABO$500,F$2,0),"З")</f>
        <v>0</v>
      </c>
      <c r="G884" s="50">
        <f>SUMIFS(INDEX(Техника!$F$1:$ABM$500,G$2,0),Техника!$F$4:$ABM$4,"Часы",INDEX(Техника!$G$1:$ABN$500,G$2,0),$A$879,INDEX(Техника!$H$1:$ABO$500,G$2,0),"З")</f>
        <v>0</v>
      </c>
      <c r="H884" s="50">
        <f>SUMIFS(INDEX(Техника!$F$1:$ABM$500,H$2,0),Техника!$F$4:$ABM$4,"Часы",INDEX(Техника!$G$1:$ABN$500,H$2,0),$A$879,INDEX(Техника!$H$1:$ABO$500,H$2,0),"З")</f>
        <v>0</v>
      </c>
      <c r="I884" s="50">
        <f>SUMIFS(INDEX(Техника!$F$1:$ABM$500,I$2,0),Техника!$F$4:$ABM$4,"Часы",INDEX(Техника!$G$1:$ABN$500,I$2,0),$A$879,INDEX(Техника!$H$1:$ABO$500,I$2,0),"З")</f>
        <v>0</v>
      </c>
      <c r="J884" s="50">
        <f>SUMIFS(INDEX(Техника!$F$1:$ABM$500,J$2,0),Техника!$F$4:$ABM$4,"Часы",INDEX(Техника!$G$1:$ABN$500,J$2,0),$A$879,INDEX(Техника!$H$1:$ABO$500,J$2,0),"З")</f>
        <v>0</v>
      </c>
      <c r="K884" s="50">
        <f>SUMIFS(INDEX(Техника!$F$1:$ABM$500,K$2,0),Техника!$F$4:$ABM$4,"Часы",INDEX(Техника!$G$1:$ABN$500,K$2,0),$A$879,INDEX(Техника!$H$1:$ABO$500,K$2,0),"З")</f>
        <v>0</v>
      </c>
      <c r="L884" s="50">
        <f>SUMIFS(INDEX(Техника!$F$1:$ABM$500,L$2,0),Техника!$F$4:$ABM$4,"Часы",INDEX(Техника!$G$1:$ABN$500,L$2,0),$A$879,INDEX(Техника!$H$1:$ABO$500,L$2,0),"З")</f>
        <v>0</v>
      </c>
      <c r="M884" s="50">
        <f>SUMIFS(INDEX(Техника!$F$1:$ABM$500,M$2,0),Техника!$F$4:$ABM$4,"Часы",INDEX(Техника!$G$1:$ABN$500,M$2,0),$A$879,INDEX(Техника!$H$1:$ABO$500,M$2,0),"З")</f>
        <v>0</v>
      </c>
      <c r="N884" s="50">
        <f>SUMIFS(INDEX(Техника!$F$1:$ABM$500,N$2,0),Техника!$F$4:$ABM$4,"Часы",INDEX(Техника!$G$1:$ABN$500,N$2,0),$A$879,INDEX(Техника!$H$1:$ABO$500,N$2,0),"З")</f>
        <v>0</v>
      </c>
      <c r="O884" s="50">
        <f>SUMIFS(INDEX(Техника!$F$1:$ABM$500,O$2,0),Техника!$F$4:$ABM$4,"Часы",INDEX(Техника!$G$1:$ABN$500,O$2,0),$A$879,INDEX(Техника!$H$1:$ABO$500,O$2,0),"З")</f>
        <v>0</v>
      </c>
      <c r="P884" s="50">
        <f>SUMIFS(INDEX(Техника!$F$1:$ABM$500,P$2,0),Техника!$F$4:$ABM$4,"Часы",INDEX(Техника!$G$1:$ABN$500,P$2,0),$A$879,INDEX(Техника!$H$1:$ABO$500,P$2,0),"З")</f>
        <v>0</v>
      </c>
      <c r="Q884" s="50">
        <f>SUMIFS(INDEX(Техника!$F$1:$ABM$500,Q$2,0),Техника!$F$4:$ABM$4,"Часы",INDEX(Техника!$G$1:$ABN$500,Q$2,0),$A$879,INDEX(Техника!$H$1:$ABO$500,Q$2,0),"З")</f>
        <v>0</v>
      </c>
      <c r="R884" s="50">
        <f>SUMIFS(INDEX(Техника!$F$1:$ABM$500,R$2,0),Техника!$F$4:$ABM$4,"Часы",INDEX(Техника!$G$1:$ABN$500,R$2,0),$A$879,INDEX(Техника!$H$1:$ABO$500,R$2,0),"З")</f>
        <v>0</v>
      </c>
      <c r="S884" s="50">
        <f>SUMIFS(INDEX(Техника!$F$1:$ABM$500,S$2,0),Техника!$F$4:$ABM$4,"Часы",INDEX(Техника!$G$1:$ABN$500,S$2,0),$A$879,INDEX(Техника!$H$1:$ABO$500,S$2,0),"З")</f>
        <v>0</v>
      </c>
      <c r="T884" s="50">
        <f>SUMIFS(INDEX(Техника!$F$1:$ABM$500,T$2,0),Техника!$F$4:$ABM$4,"Часы",INDEX(Техника!$G$1:$ABN$500,T$2,0),$A$879,INDEX(Техника!$H$1:$ABO$500,T$2,0),"З")</f>
        <v>0</v>
      </c>
      <c r="U884" s="50">
        <f>SUMIFS(INDEX(Техника!$F$1:$ABM$500,U$2,0),Техника!$F$4:$ABM$4,"Часы",INDEX(Техника!$G$1:$ABN$500,U$2,0),$A$879,INDEX(Техника!$H$1:$ABO$500,U$2,0),"З")</f>
        <v>0</v>
      </c>
      <c r="V884" s="50">
        <f>SUMIFS(INDEX(Техника!$F$1:$ABM$500,V$2,0),Техника!$F$4:$ABM$4,"Часы",INDEX(Техника!$G$1:$ABN$500,V$2,0),$A$879,INDEX(Техника!$H$1:$ABO$500,V$2,0),"З")</f>
        <v>0</v>
      </c>
      <c r="W884" s="50">
        <f>SUMIFS(INDEX(Техника!$F$1:$ABM$500,W$2,0),Техника!$F$4:$ABM$4,"Часы",INDEX(Техника!$G$1:$ABN$500,W$2,0),$A$879,INDEX(Техника!$H$1:$ABO$500,W$2,0),"З")</f>
        <v>0</v>
      </c>
      <c r="X884" s="50">
        <f>SUMIFS(INDEX(Техника!$F$1:$ABM$500,X$2,0),Техника!$F$4:$ABM$4,"Часы",INDEX(Техника!$G$1:$ABN$500,X$2,0),$A$879,INDEX(Техника!$H$1:$ABO$500,X$2,0),"З")</f>
        <v>0</v>
      </c>
      <c r="Y884" s="50">
        <f>SUMIFS(INDEX(Техника!$F$1:$ABM$500,Y$2,0),Техника!$F$4:$ABM$4,"Часы",INDEX(Техника!$G$1:$ABN$500,Y$2,0),$A$879,INDEX(Техника!$H$1:$ABO$500,Y$2,0),"З")</f>
        <v>0</v>
      </c>
      <c r="Z884" s="50">
        <f>SUMIFS(INDEX(Техника!$F$1:$ABM$500,Z$2,0),Техника!$F$4:$ABM$4,"Часы",INDEX(Техника!$G$1:$ABN$500,Z$2,0),$A$879,INDEX(Техника!$H$1:$ABO$500,Z$2,0),"З")</f>
        <v>0</v>
      </c>
      <c r="AA884" s="50">
        <f>SUMIFS(INDEX(Техника!$F$1:$ABM$500,AA$2,0),Техника!$F$4:$ABM$4,"Часы",INDEX(Техника!$G$1:$ABN$500,AA$2,0),$A$879,INDEX(Техника!$H$1:$ABO$500,AA$2,0),"З")</f>
        <v>0</v>
      </c>
      <c r="AB884" s="50">
        <f>SUMIFS(INDEX(Техника!$F$1:$ABM$500,AB$2,0),Техника!$F$4:$ABM$4,"Часы",INDEX(Техника!$G$1:$ABN$500,AB$2,0),$A$879,INDEX(Техника!$H$1:$ABO$500,AB$2,0),"З")</f>
        <v>0</v>
      </c>
    </row>
    <row r="885" spans="1:28" ht="7.95" customHeight="1" x14ac:dyDescent="0.3">
      <c r="A885" s="38"/>
      <c r="B885" s="39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</row>
    <row r="886" spans="1:28" ht="25.05" customHeight="1" collapsed="1" x14ac:dyDescent="0.3">
      <c r="A886" s="32">
        <v>127</v>
      </c>
      <c r="B886" s="32" t="s">
        <v>128</v>
      </c>
      <c r="C886" s="49">
        <f>SUM(C887:C891)</f>
        <v>0</v>
      </c>
      <c r="D886" s="49">
        <f>SUM(D887:D891)</f>
        <v>0</v>
      </c>
      <c r="E886" s="49">
        <f>SUM(E887:E891)</f>
        <v>0</v>
      </c>
      <c r="F886" s="49">
        <f>SUM(F887:F891)</f>
        <v>0</v>
      </c>
      <c r="G886" s="49">
        <f>SUM(G887:G891)</f>
        <v>0</v>
      </c>
      <c r="H886" s="49">
        <f>SUM(H887:H891)</f>
        <v>0</v>
      </c>
      <c r="I886" s="49">
        <f>SUM(I887:I891)</f>
        <v>0</v>
      </c>
      <c r="J886" s="49">
        <f>SUM(J887:J891)</f>
        <v>0</v>
      </c>
      <c r="K886" s="49">
        <f>SUM(K887:K891)</f>
        <v>0</v>
      </c>
      <c r="L886" s="49">
        <f>SUM(L887:L891)</f>
        <v>0</v>
      </c>
      <c r="M886" s="49">
        <f>SUM(M887:M891)</f>
        <v>0</v>
      </c>
      <c r="N886" s="49">
        <f>SUM(N887:N891)</f>
        <v>0</v>
      </c>
      <c r="O886" s="49">
        <f>SUM(O887:O891)</f>
        <v>0</v>
      </c>
      <c r="P886" s="49">
        <f>SUM(P887:P891)</f>
        <v>0</v>
      </c>
      <c r="Q886" s="49">
        <f>SUM(Q887:Q891)</f>
        <v>0</v>
      </c>
      <c r="R886" s="49">
        <f>SUM(R887:R891)</f>
        <v>0</v>
      </c>
      <c r="S886" s="49">
        <f>SUM(S887:S891)</f>
        <v>0</v>
      </c>
      <c r="T886" s="49">
        <f>SUM(T887:T891)</f>
        <v>0</v>
      </c>
      <c r="U886" s="49">
        <f>SUM(U887:U891)</f>
        <v>0</v>
      </c>
      <c r="V886" s="49">
        <f>SUM(V887:V891)</f>
        <v>0</v>
      </c>
      <c r="W886" s="49">
        <f>SUM(W887:W891)</f>
        <v>0</v>
      </c>
      <c r="X886" s="49">
        <f>SUM(X887:X891)</f>
        <v>0</v>
      </c>
      <c r="Y886" s="49">
        <f>SUM(Y887:Y891)</f>
        <v>0</v>
      </c>
      <c r="Z886" s="49">
        <f>SUM(Z887:Z891)</f>
        <v>0</v>
      </c>
      <c r="AA886" s="49">
        <f>SUM(AA887:AA891)</f>
        <v>0</v>
      </c>
      <c r="AB886" s="49">
        <f>SUM(AB887:AB891)</f>
        <v>0</v>
      </c>
    </row>
    <row r="887" spans="1:28" hidden="1" outlineLevel="1" x14ac:dyDescent="0.3">
      <c r="A887" s="33" t="s">
        <v>246</v>
      </c>
      <c r="B887" s="34" t="s">
        <v>274</v>
      </c>
      <c r="C887" s="50">
        <f>SUMIFS(INDEX(Техника!$F$1:$ABM$500,C$2,0),Техника!$F$4:$ABM$4,"Часы",INDEX(Техника!$G$1:$ABN$500,C$2,0),$A$886,INDEX(Техника!$H$1:$ABO$500,C$2,0),"М")</f>
        <v>0</v>
      </c>
      <c r="D887" s="50">
        <f>SUMIFS(INDEX(Техника!$F$1:$ABM$500,D$2,0),Техника!$F$4:$ABM$4,"Часы",INDEX(Техника!$G$1:$ABN$500,D$2,0),$A$886,INDEX(Техника!$H$1:$ABO$500,D$2,0),"М")</f>
        <v>0</v>
      </c>
      <c r="E887" s="50">
        <f>SUMIFS(INDEX(Техника!$F$1:$ABM$500,E$2,0),Техника!$F$4:$ABM$4,"Часы",INDEX(Техника!$G$1:$ABN$500,E$2,0),$A$886,INDEX(Техника!$H$1:$ABO$500,E$2,0),"М")</f>
        <v>0</v>
      </c>
      <c r="F887" s="50">
        <f>SUMIFS(INDEX(Техника!$F$1:$ABM$500,F$2,0),Техника!$F$4:$ABM$4,"Часы",INDEX(Техника!$G$1:$ABN$500,F$2,0),$A$886,INDEX(Техника!$H$1:$ABO$500,F$2,0),"М")</f>
        <v>0</v>
      </c>
      <c r="G887" s="50">
        <f>SUMIFS(INDEX(Техника!$F$1:$ABM$500,G$2,0),Техника!$F$4:$ABM$4,"Часы",INDEX(Техника!$G$1:$ABN$500,G$2,0),$A$886,INDEX(Техника!$H$1:$ABO$500,G$2,0),"М")</f>
        <v>0</v>
      </c>
      <c r="H887" s="50">
        <f>SUMIFS(INDEX(Техника!$F$1:$ABM$500,H$2,0),Техника!$F$4:$ABM$4,"Часы",INDEX(Техника!$G$1:$ABN$500,H$2,0),$A$886,INDEX(Техника!$H$1:$ABO$500,H$2,0),"М")</f>
        <v>0</v>
      </c>
      <c r="I887" s="50">
        <f>SUMIFS(INDEX(Техника!$F$1:$ABM$500,I$2,0),Техника!$F$4:$ABM$4,"Часы",INDEX(Техника!$G$1:$ABN$500,I$2,0),$A$886,INDEX(Техника!$H$1:$ABO$500,I$2,0),"М")</f>
        <v>0</v>
      </c>
      <c r="J887" s="50">
        <f>SUMIFS(INDEX(Техника!$F$1:$ABM$500,J$2,0),Техника!$F$4:$ABM$4,"Часы",INDEX(Техника!$G$1:$ABN$500,J$2,0),$A$886,INDEX(Техника!$H$1:$ABO$500,J$2,0),"М")</f>
        <v>0</v>
      </c>
      <c r="K887" s="50">
        <f>SUMIFS(INDEX(Техника!$F$1:$ABM$500,K$2,0),Техника!$F$4:$ABM$4,"Часы",INDEX(Техника!$G$1:$ABN$500,K$2,0),$A$886,INDEX(Техника!$H$1:$ABO$500,K$2,0),"М")</f>
        <v>0</v>
      </c>
      <c r="L887" s="50">
        <f>SUMIFS(INDEX(Техника!$F$1:$ABM$500,L$2,0),Техника!$F$4:$ABM$4,"Часы",INDEX(Техника!$G$1:$ABN$500,L$2,0),$A$886,INDEX(Техника!$H$1:$ABO$500,L$2,0),"М")</f>
        <v>0</v>
      </c>
      <c r="M887" s="50">
        <f>SUMIFS(INDEX(Техника!$F$1:$ABM$500,M$2,0),Техника!$F$4:$ABM$4,"Часы",INDEX(Техника!$G$1:$ABN$500,M$2,0),$A$886,INDEX(Техника!$H$1:$ABO$500,M$2,0),"М")</f>
        <v>0</v>
      </c>
      <c r="N887" s="50">
        <f>SUMIFS(INDEX(Техника!$F$1:$ABM$500,N$2,0),Техника!$F$4:$ABM$4,"Часы",INDEX(Техника!$G$1:$ABN$500,N$2,0),$A$886,INDEX(Техника!$H$1:$ABO$500,N$2,0),"М")</f>
        <v>0</v>
      </c>
      <c r="O887" s="50">
        <f>SUMIFS(INDEX(Техника!$F$1:$ABM$500,O$2,0),Техника!$F$4:$ABM$4,"Часы",INDEX(Техника!$G$1:$ABN$500,O$2,0),$A$886,INDEX(Техника!$H$1:$ABO$500,O$2,0),"М")</f>
        <v>0</v>
      </c>
      <c r="P887" s="50">
        <f>SUMIFS(INDEX(Техника!$F$1:$ABM$500,P$2,0),Техника!$F$4:$ABM$4,"Часы",INDEX(Техника!$G$1:$ABN$500,P$2,0),$A$886,INDEX(Техника!$H$1:$ABO$500,P$2,0),"М")</f>
        <v>0</v>
      </c>
      <c r="Q887" s="50">
        <f>SUMIFS(INDEX(Техника!$F$1:$ABM$500,Q$2,0),Техника!$F$4:$ABM$4,"Часы",INDEX(Техника!$G$1:$ABN$500,Q$2,0),$A$886,INDEX(Техника!$H$1:$ABO$500,Q$2,0),"М")</f>
        <v>0</v>
      </c>
      <c r="R887" s="50">
        <f>SUMIFS(INDEX(Техника!$F$1:$ABM$500,R$2,0),Техника!$F$4:$ABM$4,"Часы",INDEX(Техника!$G$1:$ABN$500,R$2,0),$A$886,INDEX(Техника!$H$1:$ABO$500,R$2,0),"М")</f>
        <v>0</v>
      </c>
      <c r="S887" s="50">
        <f>SUMIFS(INDEX(Техника!$F$1:$ABM$500,S$2,0),Техника!$F$4:$ABM$4,"Часы",INDEX(Техника!$G$1:$ABN$500,S$2,0),$A$886,INDEX(Техника!$H$1:$ABO$500,S$2,0),"М")</f>
        <v>0</v>
      </c>
      <c r="T887" s="50">
        <f>SUMIFS(INDEX(Техника!$F$1:$ABM$500,T$2,0),Техника!$F$4:$ABM$4,"Часы",INDEX(Техника!$G$1:$ABN$500,T$2,0),$A$886,INDEX(Техника!$H$1:$ABO$500,T$2,0),"М")</f>
        <v>0</v>
      </c>
      <c r="U887" s="50">
        <f>SUMIFS(INDEX(Техника!$F$1:$ABM$500,U$2,0),Техника!$F$4:$ABM$4,"Часы",INDEX(Техника!$G$1:$ABN$500,U$2,0),$A$886,INDEX(Техника!$H$1:$ABO$500,U$2,0),"М")</f>
        <v>0</v>
      </c>
      <c r="V887" s="50">
        <f>SUMIFS(INDEX(Техника!$F$1:$ABM$500,V$2,0),Техника!$F$4:$ABM$4,"Часы",INDEX(Техника!$G$1:$ABN$500,V$2,0),$A$886,INDEX(Техника!$H$1:$ABO$500,V$2,0),"М")</f>
        <v>0</v>
      </c>
      <c r="W887" s="50">
        <f>SUMIFS(INDEX(Техника!$F$1:$ABM$500,W$2,0),Техника!$F$4:$ABM$4,"Часы",INDEX(Техника!$G$1:$ABN$500,W$2,0),$A$886,INDEX(Техника!$H$1:$ABO$500,W$2,0),"М")</f>
        <v>0</v>
      </c>
      <c r="X887" s="50">
        <f>SUMIFS(INDEX(Техника!$F$1:$ABM$500,X$2,0),Техника!$F$4:$ABM$4,"Часы",INDEX(Техника!$G$1:$ABN$500,X$2,0),$A$886,INDEX(Техника!$H$1:$ABO$500,X$2,0),"М")</f>
        <v>0</v>
      </c>
      <c r="Y887" s="50">
        <f>SUMIFS(INDEX(Техника!$F$1:$ABM$500,Y$2,0),Техника!$F$4:$ABM$4,"Часы",INDEX(Техника!$G$1:$ABN$500,Y$2,0),$A$886,INDEX(Техника!$H$1:$ABO$500,Y$2,0),"М")</f>
        <v>0</v>
      </c>
      <c r="Z887" s="50">
        <f>SUMIFS(INDEX(Техника!$F$1:$ABM$500,Z$2,0),Техника!$F$4:$ABM$4,"Часы",INDEX(Техника!$G$1:$ABN$500,Z$2,0),$A$886,INDEX(Техника!$H$1:$ABO$500,Z$2,0),"М")</f>
        <v>0</v>
      </c>
      <c r="AA887" s="50">
        <f>SUMIFS(INDEX(Техника!$F$1:$ABM$500,AA$2,0),Техника!$F$4:$ABM$4,"Часы",INDEX(Техника!$G$1:$ABN$500,AA$2,0),$A$886,INDEX(Техника!$H$1:$ABO$500,AA$2,0),"М")</f>
        <v>0</v>
      </c>
      <c r="AB887" s="50">
        <f>SUMIFS(INDEX(Техника!$F$1:$ABM$500,AB$2,0),Техника!$F$4:$ABM$4,"Часы",INDEX(Техника!$G$1:$ABN$500,AB$2,0),$A$886,INDEX(Техника!$H$1:$ABO$500,AB$2,0),"М")</f>
        <v>0</v>
      </c>
    </row>
    <row r="888" spans="1:28" hidden="1" outlineLevel="1" x14ac:dyDescent="0.3">
      <c r="A888" s="33" t="s">
        <v>244</v>
      </c>
      <c r="B888" s="34" t="s">
        <v>275</v>
      </c>
      <c r="C888" s="50">
        <f>SUMIFS(INDEX(Техника!$F$1:$ABM$500,C$2,0),Техника!$F$4:$ABM$4,"Часы",INDEX(Техника!$G$1:$ABN$500,C$2,0),$A$886,INDEX(Техника!$H$1:$ABO$500,C$2,0),"Д")</f>
        <v>0</v>
      </c>
      <c r="D888" s="50">
        <f>SUMIFS(INDEX(Техника!$F$1:$ABM$500,D$2,0),Техника!$F$4:$ABM$4,"Часы",INDEX(Техника!$G$1:$ABN$500,D$2,0),$A$886,INDEX(Техника!$H$1:$ABO$500,D$2,0),"Д")</f>
        <v>0</v>
      </c>
      <c r="E888" s="50">
        <f>SUMIFS(INDEX(Техника!$F$1:$ABM$500,E$2,0),Техника!$F$4:$ABM$4,"Часы",INDEX(Техника!$G$1:$ABN$500,E$2,0),$A$886,INDEX(Техника!$H$1:$ABO$500,E$2,0),"Д")</f>
        <v>0</v>
      </c>
      <c r="F888" s="50">
        <f>SUMIFS(INDEX(Техника!$F$1:$ABM$500,F$2,0),Техника!$F$4:$ABM$4,"Часы",INDEX(Техника!$G$1:$ABN$500,F$2,0),$A$886,INDEX(Техника!$H$1:$ABO$500,F$2,0),"Д")</f>
        <v>0</v>
      </c>
      <c r="G888" s="50">
        <f>SUMIFS(INDEX(Техника!$F$1:$ABM$500,G$2,0),Техника!$F$4:$ABM$4,"Часы",INDEX(Техника!$G$1:$ABN$500,G$2,0),$A$886,INDEX(Техника!$H$1:$ABO$500,G$2,0),"Д")</f>
        <v>0</v>
      </c>
      <c r="H888" s="50">
        <f>SUMIFS(INDEX(Техника!$F$1:$ABM$500,H$2,0),Техника!$F$4:$ABM$4,"Часы",INDEX(Техника!$G$1:$ABN$500,H$2,0),$A$886,INDEX(Техника!$H$1:$ABO$500,H$2,0),"Д")</f>
        <v>0</v>
      </c>
      <c r="I888" s="50">
        <f>SUMIFS(INDEX(Техника!$F$1:$ABM$500,I$2,0),Техника!$F$4:$ABM$4,"Часы",INDEX(Техника!$G$1:$ABN$500,I$2,0),$A$886,INDEX(Техника!$H$1:$ABO$500,I$2,0),"Д")</f>
        <v>0</v>
      </c>
      <c r="J888" s="50">
        <f>SUMIFS(INDEX(Техника!$F$1:$ABM$500,J$2,0),Техника!$F$4:$ABM$4,"Часы",INDEX(Техника!$G$1:$ABN$500,J$2,0),$A$886,INDEX(Техника!$H$1:$ABO$500,J$2,0),"Д")</f>
        <v>0</v>
      </c>
      <c r="K888" s="50">
        <f>SUMIFS(INDEX(Техника!$F$1:$ABM$500,K$2,0),Техника!$F$4:$ABM$4,"Часы",INDEX(Техника!$G$1:$ABN$500,K$2,0),$A$886,INDEX(Техника!$H$1:$ABO$500,K$2,0),"Д")</f>
        <v>0</v>
      </c>
      <c r="L888" s="50">
        <f>SUMIFS(INDEX(Техника!$F$1:$ABM$500,L$2,0),Техника!$F$4:$ABM$4,"Часы",INDEX(Техника!$G$1:$ABN$500,L$2,0),$A$886,INDEX(Техника!$H$1:$ABO$500,L$2,0),"Д")</f>
        <v>0</v>
      </c>
      <c r="M888" s="50">
        <f>SUMIFS(INDEX(Техника!$F$1:$ABM$500,M$2,0),Техника!$F$4:$ABM$4,"Часы",INDEX(Техника!$G$1:$ABN$500,M$2,0),$A$886,INDEX(Техника!$H$1:$ABO$500,M$2,0),"Д")</f>
        <v>0</v>
      </c>
      <c r="N888" s="50">
        <f>SUMIFS(INDEX(Техника!$F$1:$ABM$500,N$2,0),Техника!$F$4:$ABM$4,"Часы",INDEX(Техника!$G$1:$ABN$500,N$2,0),$A$886,INDEX(Техника!$H$1:$ABO$500,N$2,0),"Д")</f>
        <v>0</v>
      </c>
      <c r="O888" s="50">
        <f>SUMIFS(INDEX(Техника!$F$1:$ABM$500,O$2,0),Техника!$F$4:$ABM$4,"Часы",INDEX(Техника!$G$1:$ABN$500,O$2,0),$A$886,INDEX(Техника!$H$1:$ABO$500,O$2,0),"Д")</f>
        <v>0</v>
      </c>
      <c r="P888" s="50">
        <f>SUMIFS(INDEX(Техника!$F$1:$ABM$500,P$2,0),Техника!$F$4:$ABM$4,"Часы",INDEX(Техника!$G$1:$ABN$500,P$2,0),$A$886,INDEX(Техника!$H$1:$ABO$500,P$2,0),"Д")</f>
        <v>0</v>
      </c>
      <c r="Q888" s="50">
        <f>SUMIFS(INDEX(Техника!$F$1:$ABM$500,Q$2,0),Техника!$F$4:$ABM$4,"Часы",INDEX(Техника!$G$1:$ABN$500,Q$2,0),$A$886,INDEX(Техника!$H$1:$ABO$500,Q$2,0),"Д")</f>
        <v>0</v>
      </c>
      <c r="R888" s="50">
        <f>SUMIFS(INDEX(Техника!$F$1:$ABM$500,R$2,0),Техника!$F$4:$ABM$4,"Часы",INDEX(Техника!$G$1:$ABN$500,R$2,0),$A$886,INDEX(Техника!$H$1:$ABO$500,R$2,0),"Д")</f>
        <v>0</v>
      </c>
      <c r="S888" s="50">
        <f>SUMIFS(INDEX(Техника!$F$1:$ABM$500,S$2,0),Техника!$F$4:$ABM$4,"Часы",INDEX(Техника!$G$1:$ABN$500,S$2,0),$A$886,INDEX(Техника!$H$1:$ABO$500,S$2,0),"Д")</f>
        <v>0</v>
      </c>
      <c r="T888" s="50">
        <f>SUMIFS(INDEX(Техника!$F$1:$ABM$500,T$2,0),Техника!$F$4:$ABM$4,"Часы",INDEX(Техника!$G$1:$ABN$500,T$2,0),$A$886,INDEX(Техника!$H$1:$ABO$500,T$2,0),"Д")</f>
        <v>0</v>
      </c>
      <c r="U888" s="50">
        <f>SUMIFS(INDEX(Техника!$F$1:$ABM$500,U$2,0),Техника!$F$4:$ABM$4,"Часы",INDEX(Техника!$G$1:$ABN$500,U$2,0),$A$886,INDEX(Техника!$H$1:$ABO$500,U$2,0),"Д")</f>
        <v>0</v>
      </c>
      <c r="V888" s="50">
        <f>SUMIFS(INDEX(Техника!$F$1:$ABM$500,V$2,0),Техника!$F$4:$ABM$4,"Часы",INDEX(Техника!$G$1:$ABN$500,V$2,0),$A$886,INDEX(Техника!$H$1:$ABO$500,V$2,0),"Д")</f>
        <v>0</v>
      </c>
      <c r="W888" s="50">
        <f>SUMIFS(INDEX(Техника!$F$1:$ABM$500,W$2,0),Техника!$F$4:$ABM$4,"Часы",INDEX(Техника!$G$1:$ABN$500,W$2,0),$A$886,INDEX(Техника!$H$1:$ABO$500,W$2,0),"Д")</f>
        <v>0</v>
      </c>
      <c r="X888" s="50">
        <f>SUMIFS(INDEX(Техника!$F$1:$ABM$500,X$2,0),Техника!$F$4:$ABM$4,"Часы",INDEX(Техника!$G$1:$ABN$500,X$2,0),$A$886,INDEX(Техника!$H$1:$ABO$500,X$2,0),"Д")</f>
        <v>0</v>
      </c>
      <c r="Y888" s="50">
        <f>SUMIFS(INDEX(Техника!$F$1:$ABM$500,Y$2,0),Техника!$F$4:$ABM$4,"Часы",INDEX(Техника!$G$1:$ABN$500,Y$2,0),$A$886,INDEX(Техника!$H$1:$ABO$500,Y$2,0),"Д")</f>
        <v>0</v>
      </c>
      <c r="Z888" s="50">
        <f>SUMIFS(INDEX(Техника!$F$1:$ABM$500,Z$2,0),Техника!$F$4:$ABM$4,"Часы",INDEX(Техника!$G$1:$ABN$500,Z$2,0),$A$886,INDEX(Техника!$H$1:$ABO$500,Z$2,0),"Д")</f>
        <v>0</v>
      </c>
      <c r="AA888" s="50">
        <f>SUMIFS(INDEX(Техника!$F$1:$ABM$500,AA$2,0),Техника!$F$4:$ABM$4,"Часы",INDEX(Техника!$G$1:$ABN$500,AA$2,0),$A$886,INDEX(Техника!$H$1:$ABO$500,AA$2,0),"Д")</f>
        <v>0</v>
      </c>
      <c r="AB888" s="50">
        <f>SUMIFS(INDEX(Техника!$F$1:$ABM$500,AB$2,0),Техника!$F$4:$ABM$4,"Часы",INDEX(Техника!$G$1:$ABN$500,AB$2,0),$A$886,INDEX(Техника!$H$1:$ABO$500,AB$2,0),"Д")</f>
        <v>0</v>
      </c>
    </row>
    <row r="889" spans="1:28" hidden="1" outlineLevel="1" x14ac:dyDescent="0.3">
      <c r="A889" s="33" t="s">
        <v>276</v>
      </c>
      <c r="B889" s="34" t="s">
        <v>277</v>
      </c>
      <c r="C889" s="50">
        <f>SUMIFS(INDEX(Техника!$F$1:$ABM$500,C$2,0),Техника!$F$4:$ABM$4,"Часы",INDEX(Техника!$G$1:$ABN$500,C$2,0),$A$886,INDEX(Техника!$H$1:$ABO$500,C$2,0),"П")</f>
        <v>0</v>
      </c>
      <c r="D889" s="50">
        <f>SUMIFS(INDEX(Техника!$F$1:$ABM$500,D$2,0),Техника!$F$4:$ABM$4,"Часы",INDEX(Техника!$G$1:$ABN$500,D$2,0),$A$886,INDEX(Техника!$H$1:$ABO$500,D$2,0),"П")</f>
        <v>0</v>
      </c>
      <c r="E889" s="50">
        <f>SUMIFS(INDEX(Техника!$F$1:$ABM$500,E$2,0),Техника!$F$4:$ABM$4,"Часы",INDEX(Техника!$G$1:$ABN$500,E$2,0),$A$886,INDEX(Техника!$H$1:$ABO$500,E$2,0),"П")</f>
        <v>0</v>
      </c>
      <c r="F889" s="50">
        <f>SUMIFS(INDEX(Техника!$F$1:$ABM$500,F$2,0),Техника!$F$4:$ABM$4,"Часы",INDEX(Техника!$G$1:$ABN$500,F$2,0),$A$886,INDEX(Техника!$H$1:$ABO$500,F$2,0),"П")</f>
        <v>0</v>
      </c>
      <c r="G889" s="50">
        <f>SUMIFS(INDEX(Техника!$F$1:$ABM$500,G$2,0),Техника!$F$4:$ABM$4,"Часы",INDEX(Техника!$G$1:$ABN$500,G$2,0),$A$886,INDEX(Техника!$H$1:$ABO$500,G$2,0),"П")</f>
        <v>0</v>
      </c>
      <c r="H889" s="50">
        <f>SUMIFS(INDEX(Техника!$F$1:$ABM$500,H$2,0),Техника!$F$4:$ABM$4,"Часы",INDEX(Техника!$G$1:$ABN$500,H$2,0),$A$886,INDEX(Техника!$H$1:$ABO$500,H$2,0),"П")</f>
        <v>0</v>
      </c>
      <c r="I889" s="50">
        <f>SUMIFS(INDEX(Техника!$F$1:$ABM$500,I$2,0),Техника!$F$4:$ABM$4,"Часы",INDEX(Техника!$G$1:$ABN$500,I$2,0),$A$886,INDEX(Техника!$H$1:$ABO$500,I$2,0),"П")</f>
        <v>0</v>
      </c>
      <c r="J889" s="50">
        <f>SUMIFS(INDEX(Техника!$F$1:$ABM$500,J$2,0),Техника!$F$4:$ABM$4,"Часы",INDEX(Техника!$G$1:$ABN$500,J$2,0),$A$886,INDEX(Техника!$H$1:$ABO$500,J$2,0),"П")</f>
        <v>0</v>
      </c>
      <c r="K889" s="50">
        <f>SUMIFS(INDEX(Техника!$F$1:$ABM$500,K$2,0),Техника!$F$4:$ABM$4,"Часы",INDEX(Техника!$G$1:$ABN$500,K$2,0),$A$886,INDEX(Техника!$H$1:$ABO$500,K$2,0),"П")</f>
        <v>0</v>
      </c>
      <c r="L889" s="50">
        <f>SUMIFS(INDEX(Техника!$F$1:$ABM$500,L$2,0),Техника!$F$4:$ABM$4,"Часы",INDEX(Техника!$G$1:$ABN$500,L$2,0),$A$886,INDEX(Техника!$H$1:$ABO$500,L$2,0),"П")</f>
        <v>0</v>
      </c>
      <c r="M889" s="50">
        <f>SUMIFS(INDEX(Техника!$F$1:$ABM$500,M$2,0),Техника!$F$4:$ABM$4,"Часы",INDEX(Техника!$G$1:$ABN$500,M$2,0),$A$886,INDEX(Техника!$H$1:$ABO$500,M$2,0),"П")</f>
        <v>0</v>
      </c>
      <c r="N889" s="50">
        <f>SUMIFS(INDEX(Техника!$F$1:$ABM$500,N$2,0),Техника!$F$4:$ABM$4,"Часы",INDEX(Техника!$G$1:$ABN$500,N$2,0),$A$886,INDEX(Техника!$H$1:$ABO$500,N$2,0),"П")</f>
        <v>0</v>
      </c>
      <c r="O889" s="50">
        <f>SUMIFS(INDEX(Техника!$F$1:$ABM$500,O$2,0),Техника!$F$4:$ABM$4,"Часы",INDEX(Техника!$G$1:$ABN$500,O$2,0),$A$886,INDEX(Техника!$H$1:$ABO$500,O$2,0),"П")</f>
        <v>0</v>
      </c>
      <c r="P889" s="50">
        <f>SUMIFS(INDEX(Техника!$F$1:$ABM$500,P$2,0),Техника!$F$4:$ABM$4,"Часы",INDEX(Техника!$G$1:$ABN$500,P$2,0),$A$886,INDEX(Техника!$H$1:$ABO$500,P$2,0),"П")</f>
        <v>0</v>
      </c>
      <c r="Q889" s="50">
        <f>SUMIFS(INDEX(Техника!$F$1:$ABM$500,Q$2,0),Техника!$F$4:$ABM$4,"Часы",INDEX(Техника!$G$1:$ABN$500,Q$2,0),$A$886,INDEX(Техника!$H$1:$ABO$500,Q$2,0),"П")</f>
        <v>0</v>
      </c>
      <c r="R889" s="50">
        <f>SUMIFS(INDEX(Техника!$F$1:$ABM$500,R$2,0),Техника!$F$4:$ABM$4,"Часы",INDEX(Техника!$G$1:$ABN$500,R$2,0),$A$886,INDEX(Техника!$H$1:$ABO$500,R$2,0),"П")</f>
        <v>0</v>
      </c>
      <c r="S889" s="50">
        <f>SUMIFS(INDEX(Техника!$F$1:$ABM$500,S$2,0),Техника!$F$4:$ABM$4,"Часы",INDEX(Техника!$G$1:$ABN$500,S$2,0),$A$886,INDEX(Техника!$H$1:$ABO$500,S$2,0),"П")</f>
        <v>0</v>
      </c>
      <c r="T889" s="50">
        <f>SUMIFS(INDEX(Техника!$F$1:$ABM$500,T$2,0),Техника!$F$4:$ABM$4,"Часы",INDEX(Техника!$G$1:$ABN$500,T$2,0),$A$886,INDEX(Техника!$H$1:$ABO$500,T$2,0),"П")</f>
        <v>0</v>
      </c>
      <c r="U889" s="50">
        <f>SUMIFS(INDEX(Техника!$F$1:$ABM$500,U$2,0),Техника!$F$4:$ABM$4,"Часы",INDEX(Техника!$G$1:$ABN$500,U$2,0),$A$886,INDEX(Техника!$H$1:$ABO$500,U$2,0),"П")</f>
        <v>0</v>
      </c>
      <c r="V889" s="50">
        <f>SUMIFS(INDEX(Техника!$F$1:$ABM$500,V$2,0),Техника!$F$4:$ABM$4,"Часы",INDEX(Техника!$G$1:$ABN$500,V$2,0),$A$886,INDEX(Техника!$H$1:$ABO$500,V$2,0),"П")</f>
        <v>0</v>
      </c>
      <c r="W889" s="50">
        <f>SUMIFS(INDEX(Техника!$F$1:$ABM$500,W$2,0),Техника!$F$4:$ABM$4,"Часы",INDEX(Техника!$G$1:$ABN$500,W$2,0),$A$886,INDEX(Техника!$H$1:$ABO$500,W$2,0),"П")</f>
        <v>0</v>
      </c>
      <c r="X889" s="50">
        <f>SUMIFS(INDEX(Техника!$F$1:$ABM$500,X$2,0),Техника!$F$4:$ABM$4,"Часы",INDEX(Техника!$G$1:$ABN$500,X$2,0),$A$886,INDEX(Техника!$H$1:$ABO$500,X$2,0),"П")</f>
        <v>0</v>
      </c>
      <c r="Y889" s="50">
        <f>SUMIFS(INDEX(Техника!$F$1:$ABM$500,Y$2,0),Техника!$F$4:$ABM$4,"Часы",INDEX(Техника!$G$1:$ABN$500,Y$2,0),$A$886,INDEX(Техника!$H$1:$ABO$500,Y$2,0),"П")</f>
        <v>0</v>
      </c>
      <c r="Z889" s="50">
        <f>SUMIFS(INDEX(Техника!$F$1:$ABM$500,Z$2,0),Техника!$F$4:$ABM$4,"Часы",INDEX(Техника!$G$1:$ABN$500,Z$2,0),$A$886,INDEX(Техника!$H$1:$ABO$500,Z$2,0),"П")</f>
        <v>0</v>
      </c>
      <c r="AA889" s="50">
        <f>SUMIFS(INDEX(Техника!$F$1:$ABM$500,AA$2,0),Техника!$F$4:$ABM$4,"Часы",INDEX(Техника!$G$1:$ABN$500,AA$2,0),$A$886,INDEX(Техника!$H$1:$ABO$500,AA$2,0),"П")</f>
        <v>0</v>
      </c>
      <c r="AB889" s="50">
        <f>SUMIFS(INDEX(Техника!$F$1:$ABM$500,AB$2,0),Техника!$F$4:$ABM$4,"Часы",INDEX(Техника!$G$1:$ABN$500,AB$2,0),$A$886,INDEX(Техника!$H$1:$ABO$500,AB$2,0),"П")</f>
        <v>0</v>
      </c>
    </row>
    <row r="890" spans="1:28" hidden="1" outlineLevel="1" x14ac:dyDescent="0.3">
      <c r="A890" s="33" t="s">
        <v>243</v>
      </c>
      <c r="B890" s="34" t="s">
        <v>278</v>
      </c>
      <c r="C890" s="50">
        <f>SUMIFS(INDEX(Техника!$F$1:$ABM$500,C$2,0),Техника!$F$4:$ABM$4,"Часы",INDEX(Техника!$G$1:$ABN$500,C$2,0),$A$886,INDEX(Техника!$H$1:$ABO$500,C$2,0),"Л")</f>
        <v>0</v>
      </c>
      <c r="D890" s="50">
        <f>SUMIFS(INDEX(Техника!$F$1:$ABM$500,D$2,0),Техника!$F$4:$ABM$4,"Часы",INDEX(Техника!$G$1:$ABN$500,D$2,0),$A$886,INDEX(Техника!$H$1:$ABO$500,D$2,0),"Л")</f>
        <v>0</v>
      </c>
      <c r="E890" s="50">
        <f>SUMIFS(INDEX(Техника!$F$1:$ABM$500,E$2,0),Техника!$F$4:$ABM$4,"Часы",INDEX(Техника!$G$1:$ABN$500,E$2,0),$A$886,INDEX(Техника!$H$1:$ABO$500,E$2,0),"Л")</f>
        <v>0</v>
      </c>
      <c r="F890" s="50">
        <f>SUMIFS(INDEX(Техника!$F$1:$ABM$500,F$2,0),Техника!$F$4:$ABM$4,"Часы",INDEX(Техника!$G$1:$ABN$500,F$2,0),$A$886,INDEX(Техника!$H$1:$ABO$500,F$2,0),"Л")</f>
        <v>0</v>
      </c>
      <c r="G890" s="50">
        <f>SUMIFS(INDEX(Техника!$F$1:$ABM$500,G$2,0),Техника!$F$4:$ABM$4,"Часы",INDEX(Техника!$G$1:$ABN$500,G$2,0),$A$886,INDEX(Техника!$H$1:$ABO$500,G$2,0),"Л")</f>
        <v>0</v>
      </c>
      <c r="H890" s="50">
        <f>SUMIFS(INDEX(Техника!$F$1:$ABM$500,H$2,0),Техника!$F$4:$ABM$4,"Часы",INDEX(Техника!$G$1:$ABN$500,H$2,0),$A$886,INDEX(Техника!$H$1:$ABO$500,H$2,0),"Л")</f>
        <v>0</v>
      </c>
      <c r="I890" s="50">
        <f>SUMIFS(INDEX(Техника!$F$1:$ABM$500,I$2,0),Техника!$F$4:$ABM$4,"Часы",INDEX(Техника!$G$1:$ABN$500,I$2,0),$A$886,INDEX(Техника!$H$1:$ABO$500,I$2,0),"Л")</f>
        <v>0</v>
      </c>
      <c r="J890" s="50">
        <f>SUMIFS(INDEX(Техника!$F$1:$ABM$500,J$2,0),Техника!$F$4:$ABM$4,"Часы",INDEX(Техника!$G$1:$ABN$500,J$2,0),$A$886,INDEX(Техника!$H$1:$ABO$500,J$2,0),"Л")</f>
        <v>0</v>
      </c>
      <c r="K890" s="50">
        <f>SUMIFS(INDEX(Техника!$F$1:$ABM$500,K$2,0),Техника!$F$4:$ABM$4,"Часы",INDEX(Техника!$G$1:$ABN$500,K$2,0),$A$886,INDEX(Техника!$H$1:$ABO$500,K$2,0),"Л")</f>
        <v>0</v>
      </c>
      <c r="L890" s="50">
        <f>SUMIFS(INDEX(Техника!$F$1:$ABM$500,L$2,0),Техника!$F$4:$ABM$4,"Часы",INDEX(Техника!$G$1:$ABN$500,L$2,0),$A$886,INDEX(Техника!$H$1:$ABO$500,L$2,0),"Л")</f>
        <v>0</v>
      </c>
      <c r="M890" s="50">
        <f>SUMIFS(INDEX(Техника!$F$1:$ABM$500,M$2,0),Техника!$F$4:$ABM$4,"Часы",INDEX(Техника!$G$1:$ABN$500,M$2,0),$A$886,INDEX(Техника!$H$1:$ABO$500,M$2,0),"Л")</f>
        <v>0</v>
      </c>
      <c r="N890" s="50">
        <f>SUMIFS(INDEX(Техника!$F$1:$ABM$500,N$2,0),Техника!$F$4:$ABM$4,"Часы",INDEX(Техника!$G$1:$ABN$500,N$2,0),$A$886,INDEX(Техника!$H$1:$ABO$500,N$2,0),"Л")</f>
        <v>0</v>
      </c>
      <c r="O890" s="50">
        <f>SUMIFS(INDEX(Техника!$F$1:$ABM$500,O$2,0),Техника!$F$4:$ABM$4,"Часы",INDEX(Техника!$G$1:$ABN$500,O$2,0),$A$886,INDEX(Техника!$H$1:$ABO$500,O$2,0),"Л")</f>
        <v>0</v>
      </c>
      <c r="P890" s="50">
        <f>SUMIFS(INDEX(Техника!$F$1:$ABM$500,P$2,0),Техника!$F$4:$ABM$4,"Часы",INDEX(Техника!$G$1:$ABN$500,P$2,0),$A$886,INDEX(Техника!$H$1:$ABO$500,P$2,0),"Л")</f>
        <v>0</v>
      </c>
      <c r="Q890" s="50">
        <f>SUMIFS(INDEX(Техника!$F$1:$ABM$500,Q$2,0),Техника!$F$4:$ABM$4,"Часы",INDEX(Техника!$G$1:$ABN$500,Q$2,0),$A$886,INDEX(Техника!$H$1:$ABO$500,Q$2,0),"Л")</f>
        <v>0</v>
      </c>
      <c r="R890" s="50">
        <f>SUMIFS(INDEX(Техника!$F$1:$ABM$500,R$2,0),Техника!$F$4:$ABM$4,"Часы",INDEX(Техника!$G$1:$ABN$500,R$2,0),$A$886,INDEX(Техника!$H$1:$ABO$500,R$2,0),"Л")</f>
        <v>0</v>
      </c>
      <c r="S890" s="50">
        <f>SUMIFS(INDEX(Техника!$F$1:$ABM$500,S$2,0),Техника!$F$4:$ABM$4,"Часы",INDEX(Техника!$G$1:$ABN$500,S$2,0),$A$886,INDEX(Техника!$H$1:$ABO$500,S$2,0),"Л")</f>
        <v>0</v>
      </c>
      <c r="T890" s="50">
        <f>SUMIFS(INDEX(Техника!$F$1:$ABM$500,T$2,0),Техника!$F$4:$ABM$4,"Часы",INDEX(Техника!$G$1:$ABN$500,T$2,0),$A$886,INDEX(Техника!$H$1:$ABO$500,T$2,0),"Л")</f>
        <v>0</v>
      </c>
      <c r="U890" s="50">
        <f>SUMIFS(INDEX(Техника!$F$1:$ABM$500,U$2,0),Техника!$F$4:$ABM$4,"Часы",INDEX(Техника!$G$1:$ABN$500,U$2,0),$A$886,INDEX(Техника!$H$1:$ABO$500,U$2,0),"Л")</f>
        <v>0</v>
      </c>
      <c r="V890" s="50">
        <f>SUMIFS(INDEX(Техника!$F$1:$ABM$500,V$2,0),Техника!$F$4:$ABM$4,"Часы",INDEX(Техника!$G$1:$ABN$500,V$2,0),$A$886,INDEX(Техника!$H$1:$ABO$500,V$2,0),"Л")</f>
        <v>0</v>
      </c>
      <c r="W890" s="50">
        <f>SUMIFS(INDEX(Техника!$F$1:$ABM$500,W$2,0),Техника!$F$4:$ABM$4,"Часы",INDEX(Техника!$G$1:$ABN$500,W$2,0),$A$886,INDEX(Техника!$H$1:$ABO$500,W$2,0),"Л")</f>
        <v>0</v>
      </c>
      <c r="X890" s="50">
        <f>SUMIFS(INDEX(Техника!$F$1:$ABM$500,X$2,0),Техника!$F$4:$ABM$4,"Часы",INDEX(Техника!$G$1:$ABN$500,X$2,0),$A$886,INDEX(Техника!$H$1:$ABO$500,X$2,0),"Л")</f>
        <v>0</v>
      </c>
      <c r="Y890" s="50">
        <f>SUMIFS(INDEX(Техника!$F$1:$ABM$500,Y$2,0),Техника!$F$4:$ABM$4,"Часы",INDEX(Техника!$G$1:$ABN$500,Y$2,0),$A$886,INDEX(Техника!$H$1:$ABO$500,Y$2,0),"Л")</f>
        <v>0</v>
      </c>
      <c r="Z890" s="50">
        <f>SUMIFS(INDEX(Техника!$F$1:$ABM$500,Z$2,0),Техника!$F$4:$ABM$4,"Часы",INDEX(Техника!$G$1:$ABN$500,Z$2,0),$A$886,INDEX(Техника!$H$1:$ABO$500,Z$2,0),"Л")</f>
        <v>0</v>
      </c>
      <c r="AA890" s="50">
        <f>SUMIFS(INDEX(Техника!$F$1:$ABM$500,AA$2,0),Техника!$F$4:$ABM$4,"Часы",INDEX(Техника!$G$1:$ABN$500,AA$2,0),$A$886,INDEX(Техника!$H$1:$ABO$500,AA$2,0),"Л")</f>
        <v>0</v>
      </c>
      <c r="AB890" s="50">
        <f>SUMIFS(INDEX(Техника!$F$1:$ABM$500,AB$2,0),Техника!$F$4:$ABM$4,"Часы",INDEX(Техника!$G$1:$ABN$500,AB$2,0),$A$886,INDEX(Техника!$H$1:$ABO$500,AB$2,0),"Л")</f>
        <v>0</v>
      </c>
    </row>
    <row r="891" spans="1:28" hidden="1" outlineLevel="1" x14ac:dyDescent="0.3">
      <c r="A891" s="33" t="s">
        <v>245</v>
      </c>
      <c r="B891" s="34" t="s">
        <v>279</v>
      </c>
      <c r="C891" s="50">
        <f>SUMIFS(INDEX(Техника!$F$1:$ABM$500,C$2,0),Техника!$F$4:$ABM$4,"Часы",INDEX(Техника!$G$1:$ABN$500,C$2,0),$A$886,INDEX(Техника!$H$1:$ABO$500,C$2,0),"З")</f>
        <v>0</v>
      </c>
      <c r="D891" s="50">
        <f>SUMIFS(INDEX(Техника!$F$1:$ABM$500,D$2,0),Техника!$F$4:$ABM$4,"Часы",INDEX(Техника!$G$1:$ABN$500,D$2,0),$A$886,INDEX(Техника!$H$1:$ABO$500,D$2,0),"З")</f>
        <v>0</v>
      </c>
      <c r="E891" s="50">
        <f>SUMIFS(INDEX(Техника!$F$1:$ABM$500,E$2,0),Техника!$F$4:$ABM$4,"Часы",INDEX(Техника!$G$1:$ABN$500,E$2,0),$A$886,INDEX(Техника!$H$1:$ABO$500,E$2,0),"З")</f>
        <v>0</v>
      </c>
      <c r="F891" s="50">
        <f>SUMIFS(INDEX(Техника!$F$1:$ABM$500,F$2,0),Техника!$F$4:$ABM$4,"Часы",INDEX(Техника!$G$1:$ABN$500,F$2,0),$A$886,INDEX(Техника!$H$1:$ABO$500,F$2,0),"З")</f>
        <v>0</v>
      </c>
      <c r="G891" s="50">
        <f>SUMIFS(INDEX(Техника!$F$1:$ABM$500,G$2,0),Техника!$F$4:$ABM$4,"Часы",INDEX(Техника!$G$1:$ABN$500,G$2,0),$A$886,INDEX(Техника!$H$1:$ABO$500,G$2,0),"З")</f>
        <v>0</v>
      </c>
      <c r="H891" s="50">
        <f>SUMIFS(INDEX(Техника!$F$1:$ABM$500,H$2,0),Техника!$F$4:$ABM$4,"Часы",INDEX(Техника!$G$1:$ABN$500,H$2,0),$A$886,INDEX(Техника!$H$1:$ABO$500,H$2,0),"З")</f>
        <v>0</v>
      </c>
      <c r="I891" s="50">
        <f>SUMIFS(INDEX(Техника!$F$1:$ABM$500,I$2,0),Техника!$F$4:$ABM$4,"Часы",INDEX(Техника!$G$1:$ABN$500,I$2,0),$A$886,INDEX(Техника!$H$1:$ABO$500,I$2,0),"З")</f>
        <v>0</v>
      </c>
      <c r="J891" s="50">
        <f>SUMIFS(INDEX(Техника!$F$1:$ABM$500,J$2,0),Техника!$F$4:$ABM$4,"Часы",INDEX(Техника!$G$1:$ABN$500,J$2,0),$A$886,INDEX(Техника!$H$1:$ABO$500,J$2,0),"З")</f>
        <v>0</v>
      </c>
      <c r="K891" s="50">
        <f>SUMIFS(INDEX(Техника!$F$1:$ABM$500,K$2,0),Техника!$F$4:$ABM$4,"Часы",INDEX(Техника!$G$1:$ABN$500,K$2,0),$A$886,INDEX(Техника!$H$1:$ABO$500,K$2,0),"З")</f>
        <v>0</v>
      </c>
      <c r="L891" s="50">
        <f>SUMIFS(INDEX(Техника!$F$1:$ABM$500,L$2,0),Техника!$F$4:$ABM$4,"Часы",INDEX(Техника!$G$1:$ABN$500,L$2,0),$A$886,INDEX(Техника!$H$1:$ABO$500,L$2,0),"З")</f>
        <v>0</v>
      </c>
      <c r="M891" s="50">
        <f>SUMIFS(INDEX(Техника!$F$1:$ABM$500,M$2,0),Техника!$F$4:$ABM$4,"Часы",INDEX(Техника!$G$1:$ABN$500,M$2,0),$A$886,INDEX(Техника!$H$1:$ABO$500,M$2,0),"З")</f>
        <v>0</v>
      </c>
      <c r="N891" s="50">
        <f>SUMIFS(INDEX(Техника!$F$1:$ABM$500,N$2,0),Техника!$F$4:$ABM$4,"Часы",INDEX(Техника!$G$1:$ABN$500,N$2,0),$A$886,INDEX(Техника!$H$1:$ABO$500,N$2,0),"З")</f>
        <v>0</v>
      </c>
      <c r="O891" s="50">
        <f>SUMIFS(INDEX(Техника!$F$1:$ABM$500,O$2,0),Техника!$F$4:$ABM$4,"Часы",INDEX(Техника!$G$1:$ABN$500,O$2,0),$A$886,INDEX(Техника!$H$1:$ABO$500,O$2,0),"З")</f>
        <v>0</v>
      </c>
      <c r="P891" s="50">
        <f>SUMIFS(INDEX(Техника!$F$1:$ABM$500,P$2,0),Техника!$F$4:$ABM$4,"Часы",INDEX(Техника!$G$1:$ABN$500,P$2,0),$A$886,INDEX(Техника!$H$1:$ABO$500,P$2,0),"З")</f>
        <v>0</v>
      </c>
      <c r="Q891" s="50">
        <f>SUMIFS(INDEX(Техника!$F$1:$ABM$500,Q$2,0),Техника!$F$4:$ABM$4,"Часы",INDEX(Техника!$G$1:$ABN$500,Q$2,0),$A$886,INDEX(Техника!$H$1:$ABO$500,Q$2,0),"З")</f>
        <v>0</v>
      </c>
      <c r="R891" s="50">
        <f>SUMIFS(INDEX(Техника!$F$1:$ABM$500,R$2,0),Техника!$F$4:$ABM$4,"Часы",INDEX(Техника!$G$1:$ABN$500,R$2,0),$A$886,INDEX(Техника!$H$1:$ABO$500,R$2,0),"З")</f>
        <v>0</v>
      </c>
      <c r="S891" s="50">
        <f>SUMIFS(INDEX(Техника!$F$1:$ABM$500,S$2,0),Техника!$F$4:$ABM$4,"Часы",INDEX(Техника!$G$1:$ABN$500,S$2,0),$A$886,INDEX(Техника!$H$1:$ABO$500,S$2,0),"З")</f>
        <v>0</v>
      </c>
      <c r="T891" s="50">
        <f>SUMIFS(INDEX(Техника!$F$1:$ABM$500,T$2,0),Техника!$F$4:$ABM$4,"Часы",INDEX(Техника!$G$1:$ABN$500,T$2,0),$A$886,INDEX(Техника!$H$1:$ABO$500,T$2,0),"З")</f>
        <v>0</v>
      </c>
      <c r="U891" s="50">
        <f>SUMIFS(INDEX(Техника!$F$1:$ABM$500,U$2,0),Техника!$F$4:$ABM$4,"Часы",INDEX(Техника!$G$1:$ABN$500,U$2,0),$A$886,INDEX(Техника!$H$1:$ABO$500,U$2,0),"З")</f>
        <v>0</v>
      </c>
      <c r="V891" s="50">
        <f>SUMIFS(INDEX(Техника!$F$1:$ABM$500,V$2,0),Техника!$F$4:$ABM$4,"Часы",INDEX(Техника!$G$1:$ABN$500,V$2,0),$A$886,INDEX(Техника!$H$1:$ABO$500,V$2,0),"З")</f>
        <v>0</v>
      </c>
      <c r="W891" s="50">
        <f>SUMIFS(INDEX(Техника!$F$1:$ABM$500,W$2,0),Техника!$F$4:$ABM$4,"Часы",INDEX(Техника!$G$1:$ABN$500,W$2,0),$A$886,INDEX(Техника!$H$1:$ABO$500,W$2,0),"З")</f>
        <v>0</v>
      </c>
      <c r="X891" s="50">
        <f>SUMIFS(INDEX(Техника!$F$1:$ABM$500,X$2,0),Техника!$F$4:$ABM$4,"Часы",INDEX(Техника!$G$1:$ABN$500,X$2,0),$A$886,INDEX(Техника!$H$1:$ABO$500,X$2,0),"З")</f>
        <v>0</v>
      </c>
      <c r="Y891" s="50">
        <f>SUMIFS(INDEX(Техника!$F$1:$ABM$500,Y$2,0),Техника!$F$4:$ABM$4,"Часы",INDEX(Техника!$G$1:$ABN$500,Y$2,0),$A$886,INDEX(Техника!$H$1:$ABO$500,Y$2,0),"З")</f>
        <v>0</v>
      </c>
      <c r="Z891" s="50">
        <f>SUMIFS(INDEX(Техника!$F$1:$ABM$500,Z$2,0),Техника!$F$4:$ABM$4,"Часы",INDEX(Техника!$G$1:$ABN$500,Z$2,0),$A$886,INDEX(Техника!$H$1:$ABO$500,Z$2,0),"З")</f>
        <v>0</v>
      </c>
      <c r="AA891" s="50">
        <f>SUMIFS(INDEX(Техника!$F$1:$ABM$500,AA$2,0),Техника!$F$4:$ABM$4,"Часы",INDEX(Техника!$G$1:$ABN$500,AA$2,0),$A$886,INDEX(Техника!$H$1:$ABO$500,AA$2,0),"З")</f>
        <v>0</v>
      </c>
      <c r="AB891" s="50">
        <f>SUMIFS(INDEX(Техника!$F$1:$ABM$500,AB$2,0),Техника!$F$4:$ABM$4,"Часы",INDEX(Техника!$G$1:$ABN$500,AB$2,0),$A$886,INDEX(Техника!$H$1:$ABO$500,AB$2,0),"З")</f>
        <v>0</v>
      </c>
    </row>
    <row r="892" spans="1:28" ht="7.95" customHeight="1" x14ac:dyDescent="0.3">
      <c r="A892" s="38"/>
      <c r="B892" s="39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</row>
    <row r="893" spans="1:28" ht="25.05" customHeight="1" collapsed="1" x14ac:dyDescent="0.3">
      <c r="A893" s="32">
        <v>128</v>
      </c>
      <c r="B893" s="32" t="s">
        <v>129</v>
      </c>
      <c r="C893" s="49">
        <f>SUM(C894:C898)</f>
        <v>0</v>
      </c>
      <c r="D893" s="49">
        <f>SUM(D894:D898)</f>
        <v>0</v>
      </c>
      <c r="E893" s="49">
        <f>SUM(E894:E898)</f>
        <v>0</v>
      </c>
      <c r="F893" s="49">
        <f>SUM(F894:F898)</f>
        <v>0</v>
      </c>
      <c r="G893" s="49">
        <f>SUM(G894:G898)</f>
        <v>0</v>
      </c>
      <c r="H893" s="49">
        <f>SUM(H894:H898)</f>
        <v>0</v>
      </c>
      <c r="I893" s="49">
        <f>SUM(I894:I898)</f>
        <v>0</v>
      </c>
      <c r="J893" s="49">
        <f>SUM(J894:J898)</f>
        <v>0</v>
      </c>
      <c r="K893" s="49">
        <f>SUM(K894:K898)</f>
        <v>0</v>
      </c>
      <c r="L893" s="49">
        <f>SUM(L894:L898)</f>
        <v>0</v>
      </c>
      <c r="M893" s="49">
        <f>SUM(M894:M898)</f>
        <v>0</v>
      </c>
      <c r="N893" s="49">
        <f>SUM(N894:N898)</f>
        <v>0</v>
      </c>
      <c r="O893" s="49">
        <f>SUM(O894:O898)</f>
        <v>0</v>
      </c>
      <c r="P893" s="49">
        <f>SUM(P894:P898)</f>
        <v>0</v>
      </c>
      <c r="Q893" s="49">
        <f>SUM(Q894:Q898)</f>
        <v>0</v>
      </c>
      <c r="R893" s="49">
        <f>SUM(R894:R898)</f>
        <v>0</v>
      </c>
      <c r="S893" s="49">
        <f>SUM(S894:S898)</f>
        <v>0</v>
      </c>
      <c r="T893" s="49">
        <f>SUM(T894:T898)</f>
        <v>0</v>
      </c>
      <c r="U893" s="49">
        <f>SUM(U894:U898)</f>
        <v>0</v>
      </c>
      <c r="V893" s="49">
        <f>SUM(V894:V898)</f>
        <v>0</v>
      </c>
      <c r="W893" s="49">
        <f>SUM(W894:W898)</f>
        <v>0</v>
      </c>
      <c r="X893" s="49">
        <f>SUM(X894:X898)</f>
        <v>0</v>
      </c>
      <c r="Y893" s="49">
        <f>SUM(Y894:Y898)</f>
        <v>0</v>
      </c>
      <c r="Z893" s="49">
        <f>SUM(Z894:Z898)</f>
        <v>0</v>
      </c>
      <c r="AA893" s="49">
        <f>SUM(AA894:AA898)</f>
        <v>0</v>
      </c>
      <c r="AB893" s="49">
        <f>SUM(AB894:AB898)</f>
        <v>0</v>
      </c>
    </row>
    <row r="894" spans="1:28" hidden="1" outlineLevel="1" x14ac:dyDescent="0.3">
      <c r="A894" s="33" t="s">
        <v>246</v>
      </c>
      <c r="B894" s="34" t="s">
        <v>274</v>
      </c>
      <c r="C894" s="50">
        <f>SUMIFS(INDEX(Техника!$F$1:$ABM$500,C$2,0),Техника!$F$4:$ABM$4,"Часы",INDEX(Техника!$G$1:$ABN$500,C$2,0),$A$893,INDEX(Техника!$H$1:$ABO$500,C$2,0),"М")</f>
        <v>0</v>
      </c>
      <c r="D894" s="50">
        <f>SUMIFS(INDEX(Техника!$F$1:$ABM$500,D$2,0),Техника!$F$4:$ABM$4,"Часы",INDEX(Техника!$G$1:$ABN$500,D$2,0),$A$893,INDEX(Техника!$H$1:$ABO$500,D$2,0),"М")</f>
        <v>0</v>
      </c>
      <c r="E894" s="50">
        <f>SUMIFS(INDEX(Техника!$F$1:$ABM$500,E$2,0),Техника!$F$4:$ABM$4,"Часы",INDEX(Техника!$G$1:$ABN$500,E$2,0),$A$893,INDEX(Техника!$H$1:$ABO$500,E$2,0),"М")</f>
        <v>0</v>
      </c>
      <c r="F894" s="50">
        <f>SUMIFS(INDEX(Техника!$F$1:$ABM$500,F$2,0),Техника!$F$4:$ABM$4,"Часы",INDEX(Техника!$G$1:$ABN$500,F$2,0),$A$893,INDEX(Техника!$H$1:$ABO$500,F$2,0),"М")</f>
        <v>0</v>
      </c>
      <c r="G894" s="50">
        <f>SUMIFS(INDEX(Техника!$F$1:$ABM$500,G$2,0),Техника!$F$4:$ABM$4,"Часы",INDEX(Техника!$G$1:$ABN$500,G$2,0),$A$893,INDEX(Техника!$H$1:$ABO$500,G$2,0),"М")</f>
        <v>0</v>
      </c>
      <c r="H894" s="50">
        <f>SUMIFS(INDEX(Техника!$F$1:$ABM$500,H$2,0),Техника!$F$4:$ABM$4,"Часы",INDEX(Техника!$G$1:$ABN$500,H$2,0),$A$893,INDEX(Техника!$H$1:$ABO$500,H$2,0),"М")</f>
        <v>0</v>
      </c>
      <c r="I894" s="50">
        <f>SUMIFS(INDEX(Техника!$F$1:$ABM$500,I$2,0),Техника!$F$4:$ABM$4,"Часы",INDEX(Техника!$G$1:$ABN$500,I$2,0),$A$893,INDEX(Техника!$H$1:$ABO$500,I$2,0),"М")</f>
        <v>0</v>
      </c>
      <c r="J894" s="50">
        <f>SUMIFS(INDEX(Техника!$F$1:$ABM$500,J$2,0),Техника!$F$4:$ABM$4,"Часы",INDEX(Техника!$G$1:$ABN$500,J$2,0),$A$893,INDEX(Техника!$H$1:$ABO$500,J$2,0),"М")</f>
        <v>0</v>
      </c>
      <c r="K894" s="50">
        <f>SUMIFS(INDEX(Техника!$F$1:$ABM$500,K$2,0),Техника!$F$4:$ABM$4,"Часы",INDEX(Техника!$G$1:$ABN$500,K$2,0),$A$893,INDEX(Техника!$H$1:$ABO$500,K$2,0),"М")</f>
        <v>0</v>
      </c>
      <c r="L894" s="50">
        <f>SUMIFS(INDEX(Техника!$F$1:$ABM$500,L$2,0),Техника!$F$4:$ABM$4,"Часы",INDEX(Техника!$G$1:$ABN$500,L$2,0),$A$893,INDEX(Техника!$H$1:$ABO$500,L$2,0),"М")</f>
        <v>0</v>
      </c>
      <c r="M894" s="50">
        <f>SUMIFS(INDEX(Техника!$F$1:$ABM$500,M$2,0),Техника!$F$4:$ABM$4,"Часы",INDEX(Техника!$G$1:$ABN$500,M$2,0),$A$893,INDEX(Техника!$H$1:$ABO$500,M$2,0),"М")</f>
        <v>0</v>
      </c>
      <c r="N894" s="50">
        <f>SUMIFS(INDEX(Техника!$F$1:$ABM$500,N$2,0),Техника!$F$4:$ABM$4,"Часы",INDEX(Техника!$G$1:$ABN$500,N$2,0),$A$893,INDEX(Техника!$H$1:$ABO$500,N$2,0),"М")</f>
        <v>0</v>
      </c>
      <c r="O894" s="50">
        <f>SUMIFS(INDEX(Техника!$F$1:$ABM$500,O$2,0),Техника!$F$4:$ABM$4,"Часы",INDEX(Техника!$G$1:$ABN$500,O$2,0),$A$893,INDEX(Техника!$H$1:$ABO$500,O$2,0),"М")</f>
        <v>0</v>
      </c>
      <c r="P894" s="50">
        <f>SUMIFS(INDEX(Техника!$F$1:$ABM$500,P$2,0),Техника!$F$4:$ABM$4,"Часы",INDEX(Техника!$G$1:$ABN$500,P$2,0),$A$893,INDEX(Техника!$H$1:$ABO$500,P$2,0),"М")</f>
        <v>0</v>
      </c>
      <c r="Q894" s="50">
        <f>SUMIFS(INDEX(Техника!$F$1:$ABM$500,Q$2,0),Техника!$F$4:$ABM$4,"Часы",INDEX(Техника!$G$1:$ABN$500,Q$2,0),$A$893,INDEX(Техника!$H$1:$ABO$500,Q$2,0),"М")</f>
        <v>0</v>
      </c>
      <c r="R894" s="50">
        <f>SUMIFS(INDEX(Техника!$F$1:$ABM$500,R$2,0),Техника!$F$4:$ABM$4,"Часы",INDEX(Техника!$G$1:$ABN$500,R$2,0),$A$893,INDEX(Техника!$H$1:$ABO$500,R$2,0),"М")</f>
        <v>0</v>
      </c>
      <c r="S894" s="50">
        <f>SUMIFS(INDEX(Техника!$F$1:$ABM$500,S$2,0),Техника!$F$4:$ABM$4,"Часы",INDEX(Техника!$G$1:$ABN$500,S$2,0),$A$893,INDEX(Техника!$H$1:$ABO$500,S$2,0),"М")</f>
        <v>0</v>
      </c>
      <c r="T894" s="50">
        <f>SUMIFS(INDEX(Техника!$F$1:$ABM$500,T$2,0),Техника!$F$4:$ABM$4,"Часы",INDEX(Техника!$G$1:$ABN$500,T$2,0),$A$893,INDEX(Техника!$H$1:$ABO$500,T$2,0),"М")</f>
        <v>0</v>
      </c>
      <c r="U894" s="50">
        <f>SUMIFS(INDEX(Техника!$F$1:$ABM$500,U$2,0),Техника!$F$4:$ABM$4,"Часы",INDEX(Техника!$G$1:$ABN$500,U$2,0),$A$893,INDEX(Техника!$H$1:$ABO$500,U$2,0),"М")</f>
        <v>0</v>
      </c>
      <c r="V894" s="50">
        <f>SUMIFS(INDEX(Техника!$F$1:$ABM$500,V$2,0),Техника!$F$4:$ABM$4,"Часы",INDEX(Техника!$G$1:$ABN$500,V$2,0),$A$893,INDEX(Техника!$H$1:$ABO$500,V$2,0),"М")</f>
        <v>0</v>
      </c>
      <c r="W894" s="50">
        <f>SUMIFS(INDEX(Техника!$F$1:$ABM$500,W$2,0),Техника!$F$4:$ABM$4,"Часы",INDEX(Техника!$G$1:$ABN$500,W$2,0),$A$893,INDEX(Техника!$H$1:$ABO$500,W$2,0),"М")</f>
        <v>0</v>
      </c>
      <c r="X894" s="50">
        <f>SUMIFS(INDEX(Техника!$F$1:$ABM$500,X$2,0),Техника!$F$4:$ABM$4,"Часы",INDEX(Техника!$G$1:$ABN$500,X$2,0),$A$893,INDEX(Техника!$H$1:$ABO$500,X$2,0),"М")</f>
        <v>0</v>
      </c>
      <c r="Y894" s="50">
        <f>SUMIFS(INDEX(Техника!$F$1:$ABM$500,Y$2,0),Техника!$F$4:$ABM$4,"Часы",INDEX(Техника!$G$1:$ABN$500,Y$2,0),$A$893,INDEX(Техника!$H$1:$ABO$500,Y$2,0),"М")</f>
        <v>0</v>
      </c>
      <c r="Z894" s="50">
        <f>SUMIFS(INDEX(Техника!$F$1:$ABM$500,Z$2,0),Техника!$F$4:$ABM$4,"Часы",INDEX(Техника!$G$1:$ABN$500,Z$2,0),$A$893,INDEX(Техника!$H$1:$ABO$500,Z$2,0),"М")</f>
        <v>0</v>
      </c>
      <c r="AA894" s="50">
        <f>SUMIFS(INDEX(Техника!$F$1:$ABM$500,AA$2,0),Техника!$F$4:$ABM$4,"Часы",INDEX(Техника!$G$1:$ABN$500,AA$2,0),$A$893,INDEX(Техника!$H$1:$ABO$500,AA$2,0),"М")</f>
        <v>0</v>
      </c>
      <c r="AB894" s="50">
        <f>SUMIFS(INDEX(Техника!$F$1:$ABM$500,AB$2,0),Техника!$F$4:$ABM$4,"Часы",INDEX(Техника!$G$1:$ABN$500,AB$2,0),$A$893,INDEX(Техника!$H$1:$ABO$500,AB$2,0),"М")</f>
        <v>0</v>
      </c>
    </row>
    <row r="895" spans="1:28" hidden="1" outlineLevel="1" x14ac:dyDescent="0.3">
      <c r="A895" s="33" t="s">
        <v>244</v>
      </c>
      <c r="B895" s="34" t="s">
        <v>275</v>
      </c>
      <c r="C895" s="50">
        <f>SUMIFS(INDEX(Техника!$F$1:$ABM$500,C$2,0),Техника!$F$4:$ABM$4,"Часы",INDEX(Техника!$G$1:$ABN$500,C$2,0),$A$893,INDEX(Техника!$H$1:$ABO$500,C$2,0),"Д")</f>
        <v>0</v>
      </c>
      <c r="D895" s="50">
        <f>SUMIFS(INDEX(Техника!$F$1:$ABM$500,D$2,0),Техника!$F$4:$ABM$4,"Часы",INDEX(Техника!$G$1:$ABN$500,D$2,0),$A$893,INDEX(Техника!$H$1:$ABO$500,D$2,0),"Д")</f>
        <v>0</v>
      </c>
      <c r="E895" s="50">
        <f>SUMIFS(INDEX(Техника!$F$1:$ABM$500,E$2,0),Техника!$F$4:$ABM$4,"Часы",INDEX(Техника!$G$1:$ABN$500,E$2,0),$A$893,INDEX(Техника!$H$1:$ABO$500,E$2,0),"Д")</f>
        <v>0</v>
      </c>
      <c r="F895" s="50">
        <f>SUMIFS(INDEX(Техника!$F$1:$ABM$500,F$2,0),Техника!$F$4:$ABM$4,"Часы",INDEX(Техника!$G$1:$ABN$500,F$2,0),$A$893,INDEX(Техника!$H$1:$ABO$500,F$2,0),"Д")</f>
        <v>0</v>
      </c>
      <c r="G895" s="50">
        <f>SUMIFS(INDEX(Техника!$F$1:$ABM$500,G$2,0),Техника!$F$4:$ABM$4,"Часы",INDEX(Техника!$G$1:$ABN$500,G$2,0),$A$893,INDEX(Техника!$H$1:$ABO$500,G$2,0),"Д")</f>
        <v>0</v>
      </c>
      <c r="H895" s="50">
        <f>SUMIFS(INDEX(Техника!$F$1:$ABM$500,H$2,0),Техника!$F$4:$ABM$4,"Часы",INDEX(Техника!$G$1:$ABN$500,H$2,0),$A$893,INDEX(Техника!$H$1:$ABO$500,H$2,0),"Д")</f>
        <v>0</v>
      </c>
      <c r="I895" s="50">
        <f>SUMIFS(INDEX(Техника!$F$1:$ABM$500,I$2,0),Техника!$F$4:$ABM$4,"Часы",INDEX(Техника!$G$1:$ABN$500,I$2,0),$A$893,INDEX(Техника!$H$1:$ABO$500,I$2,0),"Д")</f>
        <v>0</v>
      </c>
      <c r="J895" s="50">
        <f>SUMIFS(INDEX(Техника!$F$1:$ABM$500,J$2,0),Техника!$F$4:$ABM$4,"Часы",INDEX(Техника!$G$1:$ABN$500,J$2,0),$A$893,INDEX(Техника!$H$1:$ABO$500,J$2,0),"Д")</f>
        <v>0</v>
      </c>
      <c r="K895" s="50">
        <f>SUMIFS(INDEX(Техника!$F$1:$ABM$500,K$2,0),Техника!$F$4:$ABM$4,"Часы",INDEX(Техника!$G$1:$ABN$500,K$2,0),$A$893,INDEX(Техника!$H$1:$ABO$500,K$2,0),"Д")</f>
        <v>0</v>
      </c>
      <c r="L895" s="50">
        <f>SUMIFS(INDEX(Техника!$F$1:$ABM$500,L$2,0),Техника!$F$4:$ABM$4,"Часы",INDEX(Техника!$G$1:$ABN$500,L$2,0),$A$893,INDEX(Техника!$H$1:$ABO$500,L$2,0),"Д")</f>
        <v>0</v>
      </c>
      <c r="M895" s="50">
        <f>SUMIFS(INDEX(Техника!$F$1:$ABM$500,M$2,0),Техника!$F$4:$ABM$4,"Часы",INDEX(Техника!$G$1:$ABN$500,M$2,0),$A$893,INDEX(Техника!$H$1:$ABO$500,M$2,0),"Д")</f>
        <v>0</v>
      </c>
      <c r="N895" s="50">
        <f>SUMIFS(INDEX(Техника!$F$1:$ABM$500,N$2,0),Техника!$F$4:$ABM$4,"Часы",INDEX(Техника!$G$1:$ABN$500,N$2,0),$A$893,INDEX(Техника!$H$1:$ABO$500,N$2,0),"Д")</f>
        <v>0</v>
      </c>
      <c r="O895" s="50">
        <f>SUMIFS(INDEX(Техника!$F$1:$ABM$500,O$2,0),Техника!$F$4:$ABM$4,"Часы",INDEX(Техника!$G$1:$ABN$500,O$2,0),$A$893,INDEX(Техника!$H$1:$ABO$500,O$2,0),"Д")</f>
        <v>0</v>
      </c>
      <c r="P895" s="50">
        <f>SUMIFS(INDEX(Техника!$F$1:$ABM$500,P$2,0),Техника!$F$4:$ABM$4,"Часы",INDEX(Техника!$G$1:$ABN$500,P$2,0),$A$893,INDEX(Техника!$H$1:$ABO$500,P$2,0),"Д")</f>
        <v>0</v>
      </c>
      <c r="Q895" s="50">
        <f>SUMIFS(INDEX(Техника!$F$1:$ABM$500,Q$2,0),Техника!$F$4:$ABM$4,"Часы",INDEX(Техника!$G$1:$ABN$500,Q$2,0),$A$893,INDEX(Техника!$H$1:$ABO$500,Q$2,0),"Д")</f>
        <v>0</v>
      </c>
      <c r="R895" s="50">
        <f>SUMIFS(INDEX(Техника!$F$1:$ABM$500,R$2,0),Техника!$F$4:$ABM$4,"Часы",INDEX(Техника!$G$1:$ABN$500,R$2,0),$A$893,INDEX(Техника!$H$1:$ABO$500,R$2,0),"Д")</f>
        <v>0</v>
      </c>
      <c r="S895" s="50">
        <f>SUMIFS(INDEX(Техника!$F$1:$ABM$500,S$2,0),Техника!$F$4:$ABM$4,"Часы",INDEX(Техника!$G$1:$ABN$500,S$2,0),$A$893,INDEX(Техника!$H$1:$ABO$500,S$2,0),"Д")</f>
        <v>0</v>
      </c>
      <c r="T895" s="50">
        <f>SUMIFS(INDEX(Техника!$F$1:$ABM$500,T$2,0),Техника!$F$4:$ABM$4,"Часы",INDEX(Техника!$G$1:$ABN$500,T$2,0),$A$893,INDEX(Техника!$H$1:$ABO$500,T$2,0),"Д")</f>
        <v>0</v>
      </c>
      <c r="U895" s="50">
        <f>SUMIFS(INDEX(Техника!$F$1:$ABM$500,U$2,0),Техника!$F$4:$ABM$4,"Часы",INDEX(Техника!$G$1:$ABN$500,U$2,0),$A$893,INDEX(Техника!$H$1:$ABO$500,U$2,0),"Д")</f>
        <v>0</v>
      </c>
      <c r="V895" s="50">
        <f>SUMIFS(INDEX(Техника!$F$1:$ABM$500,V$2,0),Техника!$F$4:$ABM$4,"Часы",INDEX(Техника!$G$1:$ABN$500,V$2,0),$A$893,INDEX(Техника!$H$1:$ABO$500,V$2,0),"Д")</f>
        <v>0</v>
      </c>
      <c r="W895" s="50">
        <f>SUMIFS(INDEX(Техника!$F$1:$ABM$500,W$2,0),Техника!$F$4:$ABM$4,"Часы",INDEX(Техника!$G$1:$ABN$500,W$2,0),$A$893,INDEX(Техника!$H$1:$ABO$500,W$2,0),"Д")</f>
        <v>0</v>
      </c>
      <c r="X895" s="50">
        <f>SUMIFS(INDEX(Техника!$F$1:$ABM$500,X$2,0),Техника!$F$4:$ABM$4,"Часы",INDEX(Техника!$G$1:$ABN$500,X$2,0),$A$893,INDEX(Техника!$H$1:$ABO$500,X$2,0),"Д")</f>
        <v>0</v>
      </c>
      <c r="Y895" s="50">
        <f>SUMIFS(INDEX(Техника!$F$1:$ABM$500,Y$2,0),Техника!$F$4:$ABM$4,"Часы",INDEX(Техника!$G$1:$ABN$500,Y$2,0),$A$893,INDEX(Техника!$H$1:$ABO$500,Y$2,0),"Д")</f>
        <v>0</v>
      </c>
      <c r="Z895" s="50">
        <f>SUMIFS(INDEX(Техника!$F$1:$ABM$500,Z$2,0),Техника!$F$4:$ABM$4,"Часы",INDEX(Техника!$G$1:$ABN$500,Z$2,0),$A$893,INDEX(Техника!$H$1:$ABO$500,Z$2,0),"Д")</f>
        <v>0</v>
      </c>
      <c r="AA895" s="50">
        <f>SUMIFS(INDEX(Техника!$F$1:$ABM$500,AA$2,0),Техника!$F$4:$ABM$4,"Часы",INDEX(Техника!$G$1:$ABN$500,AA$2,0),$A$893,INDEX(Техника!$H$1:$ABO$500,AA$2,0),"Д")</f>
        <v>0</v>
      </c>
      <c r="AB895" s="50">
        <f>SUMIFS(INDEX(Техника!$F$1:$ABM$500,AB$2,0),Техника!$F$4:$ABM$4,"Часы",INDEX(Техника!$G$1:$ABN$500,AB$2,0),$A$893,INDEX(Техника!$H$1:$ABO$500,AB$2,0),"Д")</f>
        <v>0</v>
      </c>
    </row>
    <row r="896" spans="1:28" hidden="1" outlineLevel="1" x14ac:dyDescent="0.3">
      <c r="A896" s="33" t="s">
        <v>276</v>
      </c>
      <c r="B896" s="34" t="s">
        <v>277</v>
      </c>
      <c r="C896" s="50">
        <f>SUMIFS(INDEX(Техника!$F$1:$ABM$500,C$2,0),Техника!$F$4:$ABM$4,"Часы",INDEX(Техника!$G$1:$ABN$500,C$2,0),$A$893,INDEX(Техника!$H$1:$ABO$500,C$2,0),"П")</f>
        <v>0</v>
      </c>
      <c r="D896" s="50">
        <f>SUMIFS(INDEX(Техника!$F$1:$ABM$500,D$2,0),Техника!$F$4:$ABM$4,"Часы",INDEX(Техника!$G$1:$ABN$500,D$2,0),$A$893,INDEX(Техника!$H$1:$ABO$500,D$2,0),"П")</f>
        <v>0</v>
      </c>
      <c r="E896" s="50">
        <f>SUMIFS(INDEX(Техника!$F$1:$ABM$500,E$2,0),Техника!$F$4:$ABM$4,"Часы",INDEX(Техника!$G$1:$ABN$500,E$2,0),$A$893,INDEX(Техника!$H$1:$ABO$500,E$2,0),"П")</f>
        <v>0</v>
      </c>
      <c r="F896" s="50">
        <f>SUMIFS(INDEX(Техника!$F$1:$ABM$500,F$2,0),Техника!$F$4:$ABM$4,"Часы",INDEX(Техника!$G$1:$ABN$500,F$2,0),$A$893,INDEX(Техника!$H$1:$ABO$500,F$2,0),"П")</f>
        <v>0</v>
      </c>
      <c r="G896" s="50">
        <f>SUMIFS(INDEX(Техника!$F$1:$ABM$500,G$2,0),Техника!$F$4:$ABM$4,"Часы",INDEX(Техника!$G$1:$ABN$500,G$2,0),$A$893,INDEX(Техника!$H$1:$ABO$500,G$2,0),"П")</f>
        <v>0</v>
      </c>
      <c r="H896" s="50">
        <f>SUMIFS(INDEX(Техника!$F$1:$ABM$500,H$2,0),Техника!$F$4:$ABM$4,"Часы",INDEX(Техника!$G$1:$ABN$500,H$2,0),$A$893,INDEX(Техника!$H$1:$ABO$500,H$2,0),"П")</f>
        <v>0</v>
      </c>
      <c r="I896" s="50">
        <f>SUMIFS(INDEX(Техника!$F$1:$ABM$500,I$2,0),Техника!$F$4:$ABM$4,"Часы",INDEX(Техника!$G$1:$ABN$500,I$2,0),$A$893,INDEX(Техника!$H$1:$ABO$500,I$2,0),"П")</f>
        <v>0</v>
      </c>
      <c r="J896" s="50">
        <f>SUMIFS(INDEX(Техника!$F$1:$ABM$500,J$2,0),Техника!$F$4:$ABM$4,"Часы",INDEX(Техника!$G$1:$ABN$500,J$2,0),$A$893,INDEX(Техника!$H$1:$ABO$500,J$2,0),"П")</f>
        <v>0</v>
      </c>
      <c r="K896" s="50">
        <f>SUMIFS(INDEX(Техника!$F$1:$ABM$500,K$2,0),Техника!$F$4:$ABM$4,"Часы",INDEX(Техника!$G$1:$ABN$500,K$2,0),$A$893,INDEX(Техника!$H$1:$ABO$500,K$2,0),"П")</f>
        <v>0</v>
      </c>
      <c r="L896" s="50">
        <f>SUMIFS(INDEX(Техника!$F$1:$ABM$500,L$2,0),Техника!$F$4:$ABM$4,"Часы",INDEX(Техника!$G$1:$ABN$500,L$2,0),$A$893,INDEX(Техника!$H$1:$ABO$500,L$2,0),"П")</f>
        <v>0</v>
      </c>
      <c r="M896" s="50">
        <f>SUMIFS(INDEX(Техника!$F$1:$ABM$500,M$2,0),Техника!$F$4:$ABM$4,"Часы",INDEX(Техника!$G$1:$ABN$500,M$2,0),$A$893,INDEX(Техника!$H$1:$ABO$500,M$2,0),"П")</f>
        <v>0</v>
      </c>
      <c r="N896" s="50">
        <f>SUMIFS(INDEX(Техника!$F$1:$ABM$500,N$2,0),Техника!$F$4:$ABM$4,"Часы",INDEX(Техника!$G$1:$ABN$500,N$2,0),$A$893,INDEX(Техника!$H$1:$ABO$500,N$2,0),"П")</f>
        <v>0</v>
      </c>
      <c r="O896" s="50">
        <f>SUMIFS(INDEX(Техника!$F$1:$ABM$500,O$2,0),Техника!$F$4:$ABM$4,"Часы",INDEX(Техника!$G$1:$ABN$500,O$2,0),$A$893,INDEX(Техника!$H$1:$ABO$500,O$2,0),"П")</f>
        <v>0</v>
      </c>
      <c r="P896" s="50">
        <f>SUMIFS(INDEX(Техника!$F$1:$ABM$500,P$2,0),Техника!$F$4:$ABM$4,"Часы",INDEX(Техника!$G$1:$ABN$500,P$2,0),$A$893,INDEX(Техника!$H$1:$ABO$500,P$2,0),"П")</f>
        <v>0</v>
      </c>
      <c r="Q896" s="50">
        <f>SUMIFS(INDEX(Техника!$F$1:$ABM$500,Q$2,0),Техника!$F$4:$ABM$4,"Часы",INDEX(Техника!$G$1:$ABN$500,Q$2,0),$A$893,INDEX(Техника!$H$1:$ABO$500,Q$2,0),"П")</f>
        <v>0</v>
      </c>
      <c r="R896" s="50">
        <f>SUMIFS(INDEX(Техника!$F$1:$ABM$500,R$2,0),Техника!$F$4:$ABM$4,"Часы",INDEX(Техника!$G$1:$ABN$500,R$2,0),$A$893,INDEX(Техника!$H$1:$ABO$500,R$2,0),"П")</f>
        <v>0</v>
      </c>
      <c r="S896" s="50">
        <f>SUMIFS(INDEX(Техника!$F$1:$ABM$500,S$2,0),Техника!$F$4:$ABM$4,"Часы",INDEX(Техника!$G$1:$ABN$500,S$2,0),$A$893,INDEX(Техника!$H$1:$ABO$500,S$2,0),"П")</f>
        <v>0</v>
      </c>
      <c r="T896" s="50">
        <f>SUMIFS(INDEX(Техника!$F$1:$ABM$500,T$2,0),Техника!$F$4:$ABM$4,"Часы",INDEX(Техника!$G$1:$ABN$500,T$2,0),$A$893,INDEX(Техника!$H$1:$ABO$500,T$2,0),"П")</f>
        <v>0</v>
      </c>
      <c r="U896" s="50">
        <f>SUMIFS(INDEX(Техника!$F$1:$ABM$500,U$2,0),Техника!$F$4:$ABM$4,"Часы",INDEX(Техника!$G$1:$ABN$500,U$2,0),$A$893,INDEX(Техника!$H$1:$ABO$500,U$2,0),"П")</f>
        <v>0</v>
      </c>
      <c r="V896" s="50">
        <f>SUMIFS(INDEX(Техника!$F$1:$ABM$500,V$2,0),Техника!$F$4:$ABM$4,"Часы",INDEX(Техника!$G$1:$ABN$500,V$2,0),$A$893,INDEX(Техника!$H$1:$ABO$500,V$2,0),"П")</f>
        <v>0</v>
      </c>
      <c r="W896" s="50">
        <f>SUMIFS(INDEX(Техника!$F$1:$ABM$500,W$2,0),Техника!$F$4:$ABM$4,"Часы",INDEX(Техника!$G$1:$ABN$500,W$2,0),$A$893,INDEX(Техника!$H$1:$ABO$500,W$2,0),"П")</f>
        <v>0</v>
      </c>
      <c r="X896" s="50">
        <f>SUMIFS(INDEX(Техника!$F$1:$ABM$500,X$2,0),Техника!$F$4:$ABM$4,"Часы",INDEX(Техника!$G$1:$ABN$500,X$2,0),$A$893,INDEX(Техника!$H$1:$ABO$500,X$2,0),"П")</f>
        <v>0</v>
      </c>
      <c r="Y896" s="50">
        <f>SUMIFS(INDEX(Техника!$F$1:$ABM$500,Y$2,0),Техника!$F$4:$ABM$4,"Часы",INDEX(Техника!$G$1:$ABN$500,Y$2,0),$A$893,INDEX(Техника!$H$1:$ABO$500,Y$2,0),"П")</f>
        <v>0</v>
      </c>
      <c r="Z896" s="50">
        <f>SUMIFS(INDEX(Техника!$F$1:$ABM$500,Z$2,0),Техника!$F$4:$ABM$4,"Часы",INDEX(Техника!$G$1:$ABN$500,Z$2,0),$A$893,INDEX(Техника!$H$1:$ABO$500,Z$2,0),"П")</f>
        <v>0</v>
      </c>
      <c r="AA896" s="50">
        <f>SUMIFS(INDEX(Техника!$F$1:$ABM$500,AA$2,0),Техника!$F$4:$ABM$4,"Часы",INDEX(Техника!$G$1:$ABN$500,AA$2,0),$A$893,INDEX(Техника!$H$1:$ABO$500,AA$2,0),"П")</f>
        <v>0</v>
      </c>
      <c r="AB896" s="50">
        <f>SUMIFS(INDEX(Техника!$F$1:$ABM$500,AB$2,0),Техника!$F$4:$ABM$4,"Часы",INDEX(Техника!$G$1:$ABN$500,AB$2,0),$A$893,INDEX(Техника!$H$1:$ABO$500,AB$2,0),"П")</f>
        <v>0</v>
      </c>
    </row>
    <row r="897" spans="1:28" hidden="1" outlineLevel="1" x14ac:dyDescent="0.3">
      <c r="A897" s="33" t="s">
        <v>243</v>
      </c>
      <c r="B897" s="34" t="s">
        <v>278</v>
      </c>
      <c r="C897" s="50">
        <f>SUMIFS(INDEX(Техника!$F$1:$ABM$500,C$2,0),Техника!$F$4:$ABM$4,"Часы",INDEX(Техника!$G$1:$ABN$500,C$2,0),$A$893,INDEX(Техника!$H$1:$ABO$500,C$2,0),"Л")</f>
        <v>0</v>
      </c>
      <c r="D897" s="50">
        <f>SUMIFS(INDEX(Техника!$F$1:$ABM$500,D$2,0),Техника!$F$4:$ABM$4,"Часы",INDEX(Техника!$G$1:$ABN$500,D$2,0),$A$893,INDEX(Техника!$H$1:$ABO$500,D$2,0),"Л")</f>
        <v>0</v>
      </c>
      <c r="E897" s="50">
        <f>SUMIFS(INDEX(Техника!$F$1:$ABM$500,E$2,0),Техника!$F$4:$ABM$4,"Часы",INDEX(Техника!$G$1:$ABN$500,E$2,0),$A$893,INDEX(Техника!$H$1:$ABO$500,E$2,0),"Л")</f>
        <v>0</v>
      </c>
      <c r="F897" s="50">
        <f>SUMIFS(INDEX(Техника!$F$1:$ABM$500,F$2,0),Техника!$F$4:$ABM$4,"Часы",INDEX(Техника!$G$1:$ABN$500,F$2,0),$A$893,INDEX(Техника!$H$1:$ABO$500,F$2,0),"Л")</f>
        <v>0</v>
      </c>
      <c r="G897" s="50">
        <f>SUMIFS(INDEX(Техника!$F$1:$ABM$500,G$2,0),Техника!$F$4:$ABM$4,"Часы",INDEX(Техника!$G$1:$ABN$500,G$2,0),$A$893,INDEX(Техника!$H$1:$ABO$500,G$2,0),"Л")</f>
        <v>0</v>
      </c>
      <c r="H897" s="50">
        <f>SUMIFS(INDEX(Техника!$F$1:$ABM$500,H$2,0),Техника!$F$4:$ABM$4,"Часы",INDEX(Техника!$G$1:$ABN$500,H$2,0),$A$893,INDEX(Техника!$H$1:$ABO$500,H$2,0),"Л")</f>
        <v>0</v>
      </c>
      <c r="I897" s="50">
        <f>SUMIFS(INDEX(Техника!$F$1:$ABM$500,I$2,0),Техника!$F$4:$ABM$4,"Часы",INDEX(Техника!$G$1:$ABN$500,I$2,0),$A$893,INDEX(Техника!$H$1:$ABO$500,I$2,0),"Л")</f>
        <v>0</v>
      </c>
      <c r="J897" s="50">
        <f>SUMIFS(INDEX(Техника!$F$1:$ABM$500,J$2,0),Техника!$F$4:$ABM$4,"Часы",INDEX(Техника!$G$1:$ABN$500,J$2,0),$A$893,INDEX(Техника!$H$1:$ABO$500,J$2,0),"Л")</f>
        <v>0</v>
      </c>
      <c r="K897" s="50">
        <f>SUMIFS(INDEX(Техника!$F$1:$ABM$500,K$2,0),Техника!$F$4:$ABM$4,"Часы",INDEX(Техника!$G$1:$ABN$500,K$2,0),$A$893,INDEX(Техника!$H$1:$ABO$500,K$2,0),"Л")</f>
        <v>0</v>
      </c>
      <c r="L897" s="50">
        <f>SUMIFS(INDEX(Техника!$F$1:$ABM$500,L$2,0),Техника!$F$4:$ABM$4,"Часы",INDEX(Техника!$G$1:$ABN$500,L$2,0),$A$893,INDEX(Техника!$H$1:$ABO$500,L$2,0),"Л")</f>
        <v>0</v>
      </c>
      <c r="M897" s="50">
        <f>SUMIFS(INDEX(Техника!$F$1:$ABM$500,M$2,0),Техника!$F$4:$ABM$4,"Часы",INDEX(Техника!$G$1:$ABN$500,M$2,0),$A$893,INDEX(Техника!$H$1:$ABO$500,M$2,0),"Л")</f>
        <v>0</v>
      </c>
      <c r="N897" s="50">
        <f>SUMIFS(INDEX(Техника!$F$1:$ABM$500,N$2,0),Техника!$F$4:$ABM$4,"Часы",INDEX(Техника!$G$1:$ABN$500,N$2,0),$A$893,INDEX(Техника!$H$1:$ABO$500,N$2,0),"Л")</f>
        <v>0</v>
      </c>
      <c r="O897" s="50">
        <f>SUMIFS(INDEX(Техника!$F$1:$ABM$500,O$2,0),Техника!$F$4:$ABM$4,"Часы",INDEX(Техника!$G$1:$ABN$500,O$2,0),$A$893,INDEX(Техника!$H$1:$ABO$500,O$2,0),"Л")</f>
        <v>0</v>
      </c>
      <c r="P897" s="50">
        <f>SUMIFS(INDEX(Техника!$F$1:$ABM$500,P$2,0),Техника!$F$4:$ABM$4,"Часы",INDEX(Техника!$G$1:$ABN$500,P$2,0),$A$893,INDEX(Техника!$H$1:$ABO$500,P$2,0),"Л")</f>
        <v>0</v>
      </c>
      <c r="Q897" s="50">
        <f>SUMIFS(INDEX(Техника!$F$1:$ABM$500,Q$2,0),Техника!$F$4:$ABM$4,"Часы",INDEX(Техника!$G$1:$ABN$500,Q$2,0),$A$893,INDEX(Техника!$H$1:$ABO$500,Q$2,0),"Л")</f>
        <v>0</v>
      </c>
      <c r="R897" s="50">
        <f>SUMIFS(INDEX(Техника!$F$1:$ABM$500,R$2,0),Техника!$F$4:$ABM$4,"Часы",INDEX(Техника!$G$1:$ABN$500,R$2,0),$A$893,INDEX(Техника!$H$1:$ABO$500,R$2,0),"Л")</f>
        <v>0</v>
      </c>
      <c r="S897" s="50">
        <f>SUMIFS(INDEX(Техника!$F$1:$ABM$500,S$2,0),Техника!$F$4:$ABM$4,"Часы",INDEX(Техника!$G$1:$ABN$500,S$2,0),$A$893,INDEX(Техника!$H$1:$ABO$500,S$2,0),"Л")</f>
        <v>0</v>
      </c>
      <c r="T897" s="50">
        <f>SUMIFS(INDEX(Техника!$F$1:$ABM$500,T$2,0),Техника!$F$4:$ABM$4,"Часы",INDEX(Техника!$G$1:$ABN$500,T$2,0),$A$893,INDEX(Техника!$H$1:$ABO$500,T$2,0),"Л")</f>
        <v>0</v>
      </c>
      <c r="U897" s="50">
        <f>SUMIFS(INDEX(Техника!$F$1:$ABM$500,U$2,0),Техника!$F$4:$ABM$4,"Часы",INDEX(Техника!$G$1:$ABN$500,U$2,0),$A$893,INDEX(Техника!$H$1:$ABO$500,U$2,0),"Л")</f>
        <v>0</v>
      </c>
      <c r="V897" s="50">
        <f>SUMIFS(INDEX(Техника!$F$1:$ABM$500,V$2,0),Техника!$F$4:$ABM$4,"Часы",INDEX(Техника!$G$1:$ABN$500,V$2,0),$A$893,INDEX(Техника!$H$1:$ABO$500,V$2,0),"Л")</f>
        <v>0</v>
      </c>
      <c r="W897" s="50">
        <f>SUMIFS(INDEX(Техника!$F$1:$ABM$500,W$2,0),Техника!$F$4:$ABM$4,"Часы",INDEX(Техника!$G$1:$ABN$500,W$2,0),$A$893,INDEX(Техника!$H$1:$ABO$500,W$2,0),"Л")</f>
        <v>0</v>
      </c>
      <c r="X897" s="50">
        <f>SUMIFS(INDEX(Техника!$F$1:$ABM$500,X$2,0),Техника!$F$4:$ABM$4,"Часы",INDEX(Техника!$G$1:$ABN$500,X$2,0),$A$893,INDEX(Техника!$H$1:$ABO$500,X$2,0),"Л")</f>
        <v>0</v>
      </c>
      <c r="Y897" s="50">
        <f>SUMIFS(INDEX(Техника!$F$1:$ABM$500,Y$2,0),Техника!$F$4:$ABM$4,"Часы",INDEX(Техника!$G$1:$ABN$500,Y$2,0),$A$893,INDEX(Техника!$H$1:$ABO$500,Y$2,0),"Л")</f>
        <v>0</v>
      </c>
      <c r="Z897" s="50">
        <f>SUMIFS(INDEX(Техника!$F$1:$ABM$500,Z$2,0),Техника!$F$4:$ABM$4,"Часы",INDEX(Техника!$G$1:$ABN$500,Z$2,0),$A$893,INDEX(Техника!$H$1:$ABO$500,Z$2,0),"Л")</f>
        <v>0</v>
      </c>
      <c r="AA897" s="50">
        <f>SUMIFS(INDEX(Техника!$F$1:$ABM$500,AA$2,0),Техника!$F$4:$ABM$4,"Часы",INDEX(Техника!$G$1:$ABN$500,AA$2,0),$A$893,INDEX(Техника!$H$1:$ABO$500,AA$2,0),"Л")</f>
        <v>0</v>
      </c>
      <c r="AB897" s="50">
        <f>SUMIFS(INDEX(Техника!$F$1:$ABM$500,AB$2,0),Техника!$F$4:$ABM$4,"Часы",INDEX(Техника!$G$1:$ABN$500,AB$2,0),$A$893,INDEX(Техника!$H$1:$ABO$500,AB$2,0),"Л")</f>
        <v>0</v>
      </c>
    </row>
    <row r="898" spans="1:28" hidden="1" outlineLevel="1" x14ac:dyDescent="0.3">
      <c r="A898" s="33" t="s">
        <v>245</v>
      </c>
      <c r="B898" s="34" t="s">
        <v>279</v>
      </c>
      <c r="C898" s="50">
        <f>SUMIFS(INDEX(Техника!$F$1:$ABM$500,C$2,0),Техника!$F$4:$ABM$4,"Часы",INDEX(Техника!$G$1:$ABN$500,C$2,0),$A$893,INDEX(Техника!$H$1:$ABO$500,C$2,0),"З")</f>
        <v>0</v>
      </c>
      <c r="D898" s="50">
        <f>SUMIFS(INDEX(Техника!$F$1:$ABM$500,D$2,0),Техника!$F$4:$ABM$4,"Часы",INDEX(Техника!$G$1:$ABN$500,D$2,0),$A$893,INDEX(Техника!$H$1:$ABO$500,D$2,0),"З")</f>
        <v>0</v>
      </c>
      <c r="E898" s="50">
        <f>SUMIFS(INDEX(Техника!$F$1:$ABM$500,E$2,0),Техника!$F$4:$ABM$4,"Часы",INDEX(Техника!$G$1:$ABN$500,E$2,0),$A$893,INDEX(Техника!$H$1:$ABO$500,E$2,0),"З")</f>
        <v>0</v>
      </c>
      <c r="F898" s="50">
        <f>SUMIFS(INDEX(Техника!$F$1:$ABM$500,F$2,0),Техника!$F$4:$ABM$4,"Часы",INDEX(Техника!$G$1:$ABN$500,F$2,0),$A$893,INDEX(Техника!$H$1:$ABO$500,F$2,0),"З")</f>
        <v>0</v>
      </c>
      <c r="G898" s="50">
        <f>SUMIFS(INDEX(Техника!$F$1:$ABM$500,G$2,0),Техника!$F$4:$ABM$4,"Часы",INDEX(Техника!$G$1:$ABN$500,G$2,0),$A$893,INDEX(Техника!$H$1:$ABO$500,G$2,0),"З")</f>
        <v>0</v>
      </c>
      <c r="H898" s="50">
        <f>SUMIFS(INDEX(Техника!$F$1:$ABM$500,H$2,0),Техника!$F$4:$ABM$4,"Часы",INDEX(Техника!$G$1:$ABN$500,H$2,0),$A$893,INDEX(Техника!$H$1:$ABO$500,H$2,0),"З")</f>
        <v>0</v>
      </c>
      <c r="I898" s="50">
        <f>SUMIFS(INDEX(Техника!$F$1:$ABM$500,I$2,0),Техника!$F$4:$ABM$4,"Часы",INDEX(Техника!$G$1:$ABN$500,I$2,0),$A$893,INDEX(Техника!$H$1:$ABO$500,I$2,0),"З")</f>
        <v>0</v>
      </c>
      <c r="J898" s="50">
        <f>SUMIFS(INDEX(Техника!$F$1:$ABM$500,J$2,0),Техника!$F$4:$ABM$4,"Часы",INDEX(Техника!$G$1:$ABN$500,J$2,0),$A$893,INDEX(Техника!$H$1:$ABO$500,J$2,0),"З")</f>
        <v>0</v>
      </c>
      <c r="K898" s="50">
        <f>SUMIFS(INDEX(Техника!$F$1:$ABM$500,K$2,0),Техника!$F$4:$ABM$4,"Часы",INDEX(Техника!$G$1:$ABN$500,K$2,0),$A$893,INDEX(Техника!$H$1:$ABO$500,K$2,0),"З")</f>
        <v>0</v>
      </c>
      <c r="L898" s="50">
        <f>SUMIFS(INDEX(Техника!$F$1:$ABM$500,L$2,0),Техника!$F$4:$ABM$4,"Часы",INDEX(Техника!$G$1:$ABN$500,L$2,0),$A$893,INDEX(Техника!$H$1:$ABO$500,L$2,0),"З")</f>
        <v>0</v>
      </c>
      <c r="M898" s="50">
        <f>SUMIFS(INDEX(Техника!$F$1:$ABM$500,M$2,0),Техника!$F$4:$ABM$4,"Часы",INDEX(Техника!$G$1:$ABN$500,M$2,0),$A$893,INDEX(Техника!$H$1:$ABO$500,M$2,0),"З")</f>
        <v>0</v>
      </c>
      <c r="N898" s="50">
        <f>SUMIFS(INDEX(Техника!$F$1:$ABM$500,N$2,0),Техника!$F$4:$ABM$4,"Часы",INDEX(Техника!$G$1:$ABN$500,N$2,0),$A$893,INDEX(Техника!$H$1:$ABO$500,N$2,0),"З")</f>
        <v>0</v>
      </c>
      <c r="O898" s="50">
        <f>SUMIFS(INDEX(Техника!$F$1:$ABM$500,O$2,0),Техника!$F$4:$ABM$4,"Часы",INDEX(Техника!$G$1:$ABN$500,O$2,0),$A$893,INDEX(Техника!$H$1:$ABO$500,O$2,0),"З")</f>
        <v>0</v>
      </c>
      <c r="P898" s="50">
        <f>SUMIFS(INDEX(Техника!$F$1:$ABM$500,P$2,0),Техника!$F$4:$ABM$4,"Часы",INDEX(Техника!$G$1:$ABN$500,P$2,0),$A$893,INDEX(Техника!$H$1:$ABO$500,P$2,0),"З")</f>
        <v>0</v>
      </c>
      <c r="Q898" s="50">
        <f>SUMIFS(INDEX(Техника!$F$1:$ABM$500,Q$2,0),Техника!$F$4:$ABM$4,"Часы",INDEX(Техника!$G$1:$ABN$500,Q$2,0),$A$893,INDEX(Техника!$H$1:$ABO$500,Q$2,0),"З")</f>
        <v>0</v>
      </c>
      <c r="R898" s="50">
        <f>SUMIFS(INDEX(Техника!$F$1:$ABM$500,R$2,0),Техника!$F$4:$ABM$4,"Часы",INDEX(Техника!$G$1:$ABN$500,R$2,0),$A$893,INDEX(Техника!$H$1:$ABO$500,R$2,0),"З")</f>
        <v>0</v>
      </c>
      <c r="S898" s="50">
        <f>SUMIFS(INDEX(Техника!$F$1:$ABM$500,S$2,0),Техника!$F$4:$ABM$4,"Часы",INDEX(Техника!$G$1:$ABN$500,S$2,0),$A$893,INDEX(Техника!$H$1:$ABO$500,S$2,0),"З")</f>
        <v>0</v>
      </c>
      <c r="T898" s="50">
        <f>SUMIFS(INDEX(Техника!$F$1:$ABM$500,T$2,0),Техника!$F$4:$ABM$4,"Часы",INDEX(Техника!$G$1:$ABN$500,T$2,0),$A$893,INDEX(Техника!$H$1:$ABO$500,T$2,0),"З")</f>
        <v>0</v>
      </c>
      <c r="U898" s="50">
        <f>SUMIFS(INDEX(Техника!$F$1:$ABM$500,U$2,0),Техника!$F$4:$ABM$4,"Часы",INDEX(Техника!$G$1:$ABN$500,U$2,0),$A$893,INDEX(Техника!$H$1:$ABO$500,U$2,0),"З")</f>
        <v>0</v>
      </c>
      <c r="V898" s="50">
        <f>SUMIFS(INDEX(Техника!$F$1:$ABM$500,V$2,0),Техника!$F$4:$ABM$4,"Часы",INDEX(Техника!$G$1:$ABN$500,V$2,0),$A$893,INDEX(Техника!$H$1:$ABO$500,V$2,0),"З")</f>
        <v>0</v>
      </c>
      <c r="W898" s="50">
        <f>SUMIFS(INDEX(Техника!$F$1:$ABM$500,W$2,0),Техника!$F$4:$ABM$4,"Часы",INDEX(Техника!$G$1:$ABN$500,W$2,0),$A$893,INDEX(Техника!$H$1:$ABO$500,W$2,0),"З")</f>
        <v>0</v>
      </c>
      <c r="X898" s="50">
        <f>SUMIFS(INDEX(Техника!$F$1:$ABM$500,X$2,0),Техника!$F$4:$ABM$4,"Часы",INDEX(Техника!$G$1:$ABN$500,X$2,0),$A$893,INDEX(Техника!$H$1:$ABO$500,X$2,0),"З")</f>
        <v>0</v>
      </c>
      <c r="Y898" s="50">
        <f>SUMIFS(INDEX(Техника!$F$1:$ABM$500,Y$2,0),Техника!$F$4:$ABM$4,"Часы",INDEX(Техника!$G$1:$ABN$500,Y$2,0),$A$893,INDEX(Техника!$H$1:$ABO$500,Y$2,0),"З")</f>
        <v>0</v>
      </c>
      <c r="Z898" s="50">
        <f>SUMIFS(INDEX(Техника!$F$1:$ABM$500,Z$2,0),Техника!$F$4:$ABM$4,"Часы",INDEX(Техника!$G$1:$ABN$500,Z$2,0),$A$893,INDEX(Техника!$H$1:$ABO$500,Z$2,0),"З")</f>
        <v>0</v>
      </c>
      <c r="AA898" s="50">
        <f>SUMIFS(INDEX(Техника!$F$1:$ABM$500,AA$2,0),Техника!$F$4:$ABM$4,"Часы",INDEX(Техника!$G$1:$ABN$500,AA$2,0),$A$893,INDEX(Техника!$H$1:$ABO$500,AA$2,0),"З")</f>
        <v>0</v>
      </c>
      <c r="AB898" s="50">
        <f>SUMIFS(INDEX(Техника!$F$1:$ABM$500,AB$2,0),Техника!$F$4:$ABM$4,"Часы",INDEX(Техника!$G$1:$ABN$500,AB$2,0),$A$893,INDEX(Техника!$H$1:$ABO$500,AB$2,0),"З")</f>
        <v>0</v>
      </c>
    </row>
    <row r="899" spans="1:28" ht="7.95" customHeight="1" x14ac:dyDescent="0.3">
      <c r="A899" s="38"/>
      <c r="B899" s="39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</row>
    <row r="900" spans="1:28" ht="25.05" customHeight="1" collapsed="1" x14ac:dyDescent="0.3">
      <c r="A900" s="32">
        <v>129</v>
      </c>
      <c r="B900" s="32" t="s">
        <v>130</v>
      </c>
      <c r="C900" s="49">
        <f>SUM(C901:C905)</f>
        <v>0</v>
      </c>
      <c r="D900" s="49">
        <f>SUM(D901:D905)</f>
        <v>0</v>
      </c>
      <c r="E900" s="49">
        <f>SUM(E901:E905)</f>
        <v>0</v>
      </c>
      <c r="F900" s="49">
        <f>SUM(F901:F905)</f>
        <v>0</v>
      </c>
      <c r="G900" s="49">
        <f>SUM(G901:G905)</f>
        <v>0</v>
      </c>
      <c r="H900" s="49">
        <f>SUM(H901:H905)</f>
        <v>0</v>
      </c>
      <c r="I900" s="49">
        <f>SUM(I901:I905)</f>
        <v>0</v>
      </c>
      <c r="J900" s="49">
        <f>SUM(J901:J905)</f>
        <v>0</v>
      </c>
      <c r="K900" s="49">
        <f>SUM(K901:K905)</f>
        <v>0</v>
      </c>
      <c r="L900" s="49">
        <f>SUM(L901:L905)</f>
        <v>0</v>
      </c>
      <c r="M900" s="49">
        <f>SUM(M901:M905)</f>
        <v>0</v>
      </c>
      <c r="N900" s="49">
        <f>SUM(N901:N905)</f>
        <v>0</v>
      </c>
      <c r="O900" s="49">
        <f>SUM(O901:O905)</f>
        <v>0</v>
      </c>
      <c r="P900" s="49">
        <f>SUM(P901:P905)</f>
        <v>0</v>
      </c>
      <c r="Q900" s="49">
        <f>SUM(Q901:Q905)</f>
        <v>0</v>
      </c>
      <c r="R900" s="49">
        <f>SUM(R901:R905)</f>
        <v>0</v>
      </c>
      <c r="S900" s="49">
        <f>SUM(S901:S905)</f>
        <v>0</v>
      </c>
      <c r="T900" s="49">
        <f>SUM(T901:T905)</f>
        <v>0</v>
      </c>
      <c r="U900" s="49">
        <f>SUM(U901:U905)</f>
        <v>0</v>
      </c>
      <c r="V900" s="49">
        <f>SUM(V901:V905)</f>
        <v>0</v>
      </c>
      <c r="W900" s="49">
        <f>SUM(W901:W905)</f>
        <v>0</v>
      </c>
      <c r="X900" s="49">
        <f>SUM(X901:X905)</f>
        <v>0</v>
      </c>
      <c r="Y900" s="49">
        <f>SUM(Y901:Y905)</f>
        <v>0</v>
      </c>
      <c r="Z900" s="49">
        <f>SUM(Z901:Z905)</f>
        <v>0</v>
      </c>
      <c r="AA900" s="49">
        <f>SUM(AA901:AA905)</f>
        <v>0</v>
      </c>
      <c r="AB900" s="49">
        <f>SUM(AB901:AB905)</f>
        <v>0</v>
      </c>
    </row>
    <row r="901" spans="1:28" hidden="1" outlineLevel="1" x14ac:dyDescent="0.3">
      <c r="A901" s="33" t="s">
        <v>246</v>
      </c>
      <c r="B901" s="34" t="s">
        <v>274</v>
      </c>
      <c r="C901" s="50">
        <f>SUMIFS(INDEX(Техника!$F$1:$ABM$500,C$2,0),Техника!$F$4:$ABM$4,"Часы",INDEX(Техника!$G$1:$ABN$500,C$2,0),$A$900,INDEX(Техника!$H$1:$ABO$500,C$2,0),"М")</f>
        <v>0</v>
      </c>
      <c r="D901" s="50">
        <f>SUMIFS(INDEX(Техника!$F$1:$ABM$500,D$2,0),Техника!$F$4:$ABM$4,"Часы",INDEX(Техника!$G$1:$ABN$500,D$2,0),$A$900,INDEX(Техника!$H$1:$ABO$500,D$2,0),"М")</f>
        <v>0</v>
      </c>
      <c r="E901" s="50">
        <f>SUMIFS(INDEX(Техника!$F$1:$ABM$500,E$2,0),Техника!$F$4:$ABM$4,"Часы",INDEX(Техника!$G$1:$ABN$500,E$2,0),$A$900,INDEX(Техника!$H$1:$ABO$500,E$2,0),"М")</f>
        <v>0</v>
      </c>
      <c r="F901" s="50">
        <f>SUMIFS(INDEX(Техника!$F$1:$ABM$500,F$2,0),Техника!$F$4:$ABM$4,"Часы",INDEX(Техника!$G$1:$ABN$500,F$2,0),$A$900,INDEX(Техника!$H$1:$ABO$500,F$2,0),"М")</f>
        <v>0</v>
      </c>
      <c r="G901" s="50">
        <f>SUMIFS(INDEX(Техника!$F$1:$ABM$500,G$2,0),Техника!$F$4:$ABM$4,"Часы",INDEX(Техника!$G$1:$ABN$500,G$2,0),$A$900,INDEX(Техника!$H$1:$ABO$500,G$2,0),"М")</f>
        <v>0</v>
      </c>
      <c r="H901" s="50">
        <f>SUMIFS(INDEX(Техника!$F$1:$ABM$500,H$2,0),Техника!$F$4:$ABM$4,"Часы",INDEX(Техника!$G$1:$ABN$500,H$2,0),$A$900,INDEX(Техника!$H$1:$ABO$500,H$2,0),"М")</f>
        <v>0</v>
      </c>
      <c r="I901" s="50">
        <f>SUMIFS(INDEX(Техника!$F$1:$ABM$500,I$2,0),Техника!$F$4:$ABM$4,"Часы",INDEX(Техника!$G$1:$ABN$500,I$2,0),$A$900,INDEX(Техника!$H$1:$ABO$500,I$2,0),"М")</f>
        <v>0</v>
      </c>
      <c r="J901" s="50">
        <f>SUMIFS(INDEX(Техника!$F$1:$ABM$500,J$2,0),Техника!$F$4:$ABM$4,"Часы",INDEX(Техника!$G$1:$ABN$500,J$2,0),$A$900,INDEX(Техника!$H$1:$ABO$500,J$2,0),"М")</f>
        <v>0</v>
      </c>
      <c r="K901" s="50">
        <f>SUMIFS(INDEX(Техника!$F$1:$ABM$500,K$2,0),Техника!$F$4:$ABM$4,"Часы",INDEX(Техника!$G$1:$ABN$500,K$2,0),$A$900,INDEX(Техника!$H$1:$ABO$500,K$2,0),"М")</f>
        <v>0</v>
      </c>
      <c r="L901" s="50">
        <f>SUMIFS(INDEX(Техника!$F$1:$ABM$500,L$2,0),Техника!$F$4:$ABM$4,"Часы",INDEX(Техника!$G$1:$ABN$500,L$2,0),$A$900,INDEX(Техника!$H$1:$ABO$500,L$2,0),"М")</f>
        <v>0</v>
      </c>
      <c r="M901" s="50">
        <f>SUMIFS(INDEX(Техника!$F$1:$ABM$500,M$2,0),Техника!$F$4:$ABM$4,"Часы",INDEX(Техника!$G$1:$ABN$500,M$2,0),$A$900,INDEX(Техника!$H$1:$ABO$500,M$2,0),"М")</f>
        <v>0</v>
      </c>
      <c r="N901" s="50">
        <f>SUMIFS(INDEX(Техника!$F$1:$ABM$500,N$2,0),Техника!$F$4:$ABM$4,"Часы",INDEX(Техника!$G$1:$ABN$500,N$2,0),$A$900,INDEX(Техника!$H$1:$ABO$500,N$2,0),"М")</f>
        <v>0</v>
      </c>
      <c r="O901" s="50">
        <f>SUMIFS(INDEX(Техника!$F$1:$ABM$500,O$2,0),Техника!$F$4:$ABM$4,"Часы",INDEX(Техника!$G$1:$ABN$500,O$2,0),$A$900,INDEX(Техника!$H$1:$ABO$500,O$2,0),"М")</f>
        <v>0</v>
      </c>
      <c r="P901" s="50">
        <f>SUMIFS(INDEX(Техника!$F$1:$ABM$500,P$2,0),Техника!$F$4:$ABM$4,"Часы",INDEX(Техника!$G$1:$ABN$500,P$2,0),$A$900,INDEX(Техника!$H$1:$ABO$500,P$2,0),"М")</f>
        <v>0</v>
      </c>
      <c r="Q901" s="50">
        <f>SUMIFS(INDEX(Техника!$F$1:$ABM$500,Q$2,0),Техника!$F$4:$ABM$4,"Часы",INDEX(Техника!$G$1:$ABN$500,Q$2,0),$A$900,INDEX(Техника!$H$1:$ABO$500,Q$2,0),"М")</f>
        <v>0</v>
      </c>
      <c r="R901" s="50">
        <f>SUMIFS(INDEX(Техника!$F$1:$ABM$500,R$2,0),Техника!$F$4:$ABM$4,"Часы",INDEX(Техника!$G$1:$ABN$500,R$2,0),$A$900,INDEX(Техника!$H$1:$ABO$500,R$2,0),"М")</f>
        <v>0</v>
      </c>
      <c r="S901" s="50">
        <f>SUMIFS(INDEX(Техника!$F$1:$ABM$500,S$2,0),Техника!$F$4:$ABM$4,"Часы",INDEX(Техника!$G$1:$ABN$500,S$2,0),$A$900,INDEX(Техника!$H$1:$ABO$500,S$2,0),"М")</f>
        <v>0</v>
      </c>
      <c r="T901" s="50">
        <f>SUMIFS(INDEX(Техника!$F$1:$ABM$500,T$2,0),Техника!$F$4:$ABM$4,"Часы",INDEX(Техника!$G$1:$ABN$500,T$2,0),$A$900,INDEX(Техника!$H$1:$ABO$500,T$2,0),"М")</f>
        <v>0</v>
      </c>
      <c r="U901" s="50">
        <f>SUMIFS(INDEX(Техника!$F$1:$ABM$500,U$2,0),Техника!$F$4:$ABM$4,"Часы",INDEX(Техника!$G$1:$ABN$500,U$2,0),$A$900,INDEX(Техника!$H$1:$ABO$500,U$2,0),"М")</f>
        <v>0</v>
      </c>
      <c r="V901" s="50">
        <f>SUMIFS(INDEX(Техника!$F$1:$ABM$500,V$2,0),Техника!$F$4:$ABM$4,"Часы",INDEX(Техника!$G$1:$ABN$500,V$2,0),$A$900,INDEX(Техника!$H$1:$ABO$500,V$2,0),"М")</f>
        <v>0</v>
      </c>
      <c r="W901" s="50">
        <f>SUMIFS(INDEX(Техника!$F$1:$ABM$500,W$2,0),Техника!$F$4:$ABM$4,"Часы",INDEX(Техника!$G$1:$ABN$500,W$2,0),$A$900,INDEX(Техника!$H$1:$ABO$500,W$2,0),"М")</f>
        <v>0</v>
      </c>
      <c r="X901" s="50">
        <f>SUMIFS(INDEX(Техника!$F$1:$ABM$500,X$2,0),Техника!$F$4:$ABM$4,"Часы",INDEX(Техника!$G$1:$ABN$500,X$2,0),$A$900,INDEX(Техника!$H$1:$ABO$500,X$2,0),"М")</f>
        <v>0</v>
      </c>
      <c r="Y901" s="50">
        <f>SUMIFS(INDEX(Техника!$F$1:$ABM$500,Y$2,0),Техника!$F$4:$ABM$4,"Часы",INDEX(Техника!$G$1:$ABN$500,Y$2,0),$A$900,INDEX(Техника!$H$1:$ABO$500,Y$2,0),"М")</f>
        <v>0</v>
      </c>
      <c r="Z901" s="50">
        <f>SUMIFS(INDEX(Техника!$F$1:$ABM$500,Z$2,0),Техника!$F$4:$ABM$4,"Часы",INDEX(Техника!$G$1:$ABN$500,Z$2,0),$A$900,INDEX(Техника!$H$1:$ABO$500,Z$2,0),"М")</f>
        <v>0</v>
      </c>
      <c r="AA901" s="50">
        <f>SUMIFS(INDEX(Техника!$F$1:$ABM$500,AA$2,0),Техника!$F$4:$ABM$4,"Часы",INDEX(Техника!$G$1:$ABN$500,AA$2,0),$A$900,INDEX(Техника!$H$1:$ABO$500,AA$2,0),"М")</f>
        <v>0</v>
      </c>
      <c r="AB901" s="50">
        <f>SUMIFS(INDEX(Техника!$F$1:$ABM$500,AB$2,0),Техника!$F$4:$ABM$4,"Часы",INDEX(Техника!$G$1:$ABN$500,AB$2,0),$A$900,INDEX(Техника!$H$1:$ABO$500,AB$2,0),"М")</f>
        <v>0</v>
      </c>
    </row>
    <row r="902" spans="1:28" hidden="1" outlineLevel="1" x14ac:dyDescent="0.3">
      <c r="A902" s="33" t="s">
        <v>244</v>
      </c>
      <c r="B902" s="34" t="s">
        <v>275</v>
      </c>
      <c r="C902" s="50">
        <f>SUMIFS(INDEX(Техника!$F$1:$ABM$500,C$2,0),Техника!$F$4:$ABM$4,"Часы",INDEX(Техника!$G$1:$ABN$500,C$2,0),$A$900,INDEX(Техника!$H$1:$ABO$500,C$2,0),"Д")</f>
        <v>0</v>
      </c>
      <c r="D902" s="50">
        <f>SUMIFS(INDEX(Техника!$F$1:$ABM$500,D$2,0),Техника!$F$4:$ABM$4,"Часы",INDEX(Техника!$G$1:$ABN$500,D$2,0),$A$900,INDEX(Техника!$H$1:$ABO$500,D$2,0),"Д")</f>
        <v>0</v>
      </c>
      <c r="E902" s="50">
        <f>SUMIFS(INDEX(Техника!$F$1:$ABM$500,E$2,0),Техника!$F$4:$ABM$4,"Часы",INDEX(Техника!$G$1:$ABN$500,E$2,0),$A$900,INDEX(Техника!$H$1:$ABO$500,E$2,0),"Д")</f>
        <v>0</v>
      </c>
      <c r="F902" s="50">
        <f>SUMIFS(INDEX(Техника!$F$1:$ABM$500,F$2,0),Техника!$F$4:$ABM$4,"Часы",INDEX(Техника!$G$1:$ABN$500,F$2,0),$A$900,INDEX(Техника!$H$1:$ABO$500,F$2,0),"Д")</f>
        <v>0</v>
      </c>
      <c r="G902" s="50">
        <f>SUMIFS(INDEX(Техника!$F$1:$ABM$500,G$2,0),Техника!$F$4:$ABM$4,"Часы",INDEX(Техника!$G$1:$ABN$500,G$2,0),$A$900,INDEX(Техника!$H$1:$ABO$500,G$2,0),"Д")</f>
        <v>0</v>
      </c>
      <c r="H902" s="50">
        <f>SUMIFS(INDEX(Техника!$F$1:$ABM$500,H$2,0),Техника!$F$4:$ABM$4,"Часы",INDEX(Техника!$G$1:$ABN$500,H$2,0),$A$900,INDEX(Техника!$H$1:$ABO$500,H$2,0),"Д")</f>
        <v>0</v>
      </c>
      <c r="I902" s="50">
        <f>SUMIFS(INDEX(Техника!$F$1:$ABM$500,I$2,0),Техника!$F$4:$ABM$4,"Часы",INDEX(Техника!$G$1:$ABN$500,I$2,0),$A$900,INDEX(Техника!$H$1:$ABO$500,I$2,0),"Д")</f>
        <v>0</v>
      </c>
      <c r="J902" s="50">
        <f>SUMIFS(INDEX(Техника!$F$1:$ABM$500,J$2,0),Техника!$F$4:$ABM$4,"Часы",INDEX(Техника!$G$1:$ABN$500,J$2,0),$A$900,INDEX(Техника!$H$1:$ABO$500,J$2,0),"Д")</f>
        <v>0</v>
      </c>
      <c r="K902" s="50">
        <f>SUMIFS(INDEX(Техника!$F$1:$ABM$500,K$2,0),Техника!$F$4:$ABM$4,"Часы",INDEX(Техника!$G$1:$ABN$500,K$2,0),$A$900,INDEX(Техника!$H$1:$ABO$500,K$2,0),"Д")</f>
        <v>0</v>
      </c>
      <c r="L902" s="50">
        <f>SUMIFS(INDEX(Техника!$F$1:$ABM$500,L$2,0),Техника!$F$4:$ABM$4,"Часы",INDEX(Техника!$G$1:$ABN$500,L$2,0),$A$900,INDEX(Техника!$H$1:$ABO$500,L$2,0),"Д")</f>
        <v>0</v>
      </c>
      <c r="M902" s="50">
        <f>SUMIFS(INDEX(Техника!$F$1:$ABM$500,M$2,0),Техника!$F$4:$ABM$4,"Часы",INDEX(Техника!$G$1:$ABN$500,M$2,0),$A$900,INDEX(Техника!$H$1:$ABO$500,M$2,0),"Д")</f>
        <v>0</v>
      </c>
      <c r="N902" s="50">
        <f>SUMIFS(INDEX(Техника!$F$1:$ABM$500,N$2,0),Техника!$F$4:$ABM$4,"Часы",INDEX(Техника!$G$1:$ABN$500,N$2,0),$A$900,INDEX(Техника!$H$1:$ABO$500,N$2,0),"Д")</f>
        <v>0</v>
      </c>
      <c r="O902" s="50">
        <f>SUMIFS(INDEX(Техника!$F$1:$ABM$500,O$2,0),Техника!$F$4:$ABM$4,"Часы",INDEX(Техника!$G$1:$ABN$500,O$2,0),$A$900,INDEX(Техника!$H$1:$ABO$500,O$2,0),"Д")</f>
        <v>0</v>
      </c>
      <c r="P902" s="50">
        <f>SUMIFS(INDEX(Техника!$F$1:$ABM$500,P$2,0),Техника!$F$4:$ABM$4,"Часы",INDEX(Техника!$G$1:$ABN$500,P$2,0),$A$900,INDEX(Техника!$H$1:$ABO$500,P$2,0),"Д")</f>
        <v>0</v>
      </c>
      <c r="Q902" s="50">
        <f>SUMIFS(INDEX(Техника!$F$1:$ABM$500,Q$2,0),Техника!$F$4:$ABM$4,"Часы",INDEX(Техника!$G$1:$ABN$500,Q$2,0),$A$900,INDEX(Техника!$H$1:$ABO$500,Q$2,0),"Д")</f>
        <v>0</v>
      </c>
      <c r="R902" s="50">
        <f>SUMIFS(INDEX(Техника!$F$1:$ABM$500,R$2,0),Техника!$F$4:$ABM$4,"Часы",INDEX(Техника!$G$1:$ABN$500,R$2,0),$A$900,INDEX(Техника!$H$1:$ABO$500,R$2,0),"Д")</f>
        <v>0</v>
      </c>
      <c r="S902" s="50">
        <f>SUMIFS(INDEX(Техника!$F$1:$ABM$500,S$2,0),Техника!$F$4:$ABM$4,"Часы",INDEX(Техника!$G$1:$ABN$500,S$2,0),$A$900,INDEX(Техника!$H$1:$ABO$500,S$2,0),"Д")</f>
        <v>0</v>
      </c>
      <c r="T902" s="50">
        <f>SUMIFS(INDEX(Техника!$F$1:$ABM$500,T$2,0),Техника!$F$4:$ABM$4,"Часы",INDEX(Техника!$G$1:$ABN$500,T$2,0),$A$900,INDEX(Техника!$H$1:$ABO$500,T$2,0),"Д")</f>
        <v>0</v>
      </c>
      <c r="U902" s="50">
        <f>SUMIFS(INDEX(Техника!$F$1:$ABM$500,U$2,0),Техника!$F$4:$ABM$4,"Часы",INDEX(Техника!$G$1:$ABN$500,U$2,0),$A$900,INDEX(Техника!$H$1:$ABO$500,U$2,0),"Д")</f>
        <v>0</v>
      </c>
      <c r="V902" s="50">
        <f>SUMIFS(INDEX(Техника!$F$1:$ABM$500,V$2,0),Техника!$F$4:$ABM$4,"Часы",INDEX(Техника!$G$1:$ABN$500,V$2,0),$A$900,INDEX(Техника!$H$1:$ABO$500,V$2,0),"Д")</f>
        <v>0</v>
      </c>
      <c r="W902" s="50">
        <f>SUMIFS(INDEX(Техника!$F$1:$ABM$500,W$2,0),Техника!$F$4:$ABM$4,"Часы",INDEX(Техника!$G$1:$ABN$500,W$2,0),$A$900,INDEX(Техника!$H$1:$ABO$500,W$2,0),"Д")</f>
        <v>0</v>
      </c>
      <c r="X902" s="50">
        <f>SUMIFS(INDEX(Техника!$F$1:$ABM$500,X$2,0),Техника!$F$4:$ABM$4,"Часы",INDEX(Техника!$G$1:$ABN$500,X$2,0),$A$900,INDEX(Техника!$H$1:$ABO$500,X$2,0),"Д")</f>
        <v>0</v>
      </c>
      <c r="Y902" s="50">
        <f>SUMIFS(INDEX(Техника!$F$1:$ABM$500,Y$2,0),Техника!$F$4:$ABM$4,"Часы",INDEX(Техника!$G$1:$ABN$500,Y$2,0),$A$900,INDEX(Техника!$H$1:$ABO$500,Y$2,0),"Д")</f>
        <v>0</v>
      </c>
      <c r="Z902" s="50">
        <f>SUMIFS(INDEX(Техника!$F$1:$ABM$500,Z$2,0),Техника!$F$4:$ABM$4,"Часы",INDEX(Техника!$G$1:$ABN$500,Z$2,0),$A$900,INDEX(Техника!$H$1:$ABO$500,Z$2,0),"Д")</f>
        <v>0</v>
      </c>
      <c r="AA902" s="50">
        <f>SUMIFS(INDEX(Техника!$F$1:$ABM$500,AA$2,0),Техника!$F$4:$ABM$4,"Часы",INDEX(Техника!$G$1:$ABN$500,AA$2,0),$A$900,INDEX(Техника!$H$1:$ABO$500,AA$2,0),"Д")</f>
        <v>0</v>
      </c>
      <c r="AB902" s="50">
        <f>SUMIFS(INDEX(Техника!$F$1:$ABM$500,AB$2,0),Техника!$F$4:$ABM$4,"Часы",INDEX(Техника!$G$1:$ABN$500,AB$2,0),$A$900,INDEX(Техника!$H$1:$ABO$500,AB$2,0),"Д")</f>
        <v>0</v>
      </c>
    </row>
    <row r="903" spans="1:28" hidden="1" outlineLevel="1" x14ac:dyDescent="0.3">
      <c r="A903" s="33" t="s">
        <v>276</v>
      </c>
      <c r="B903" s="34" t="s">
        <v>277</v>
      </c>
      <c r="C903" s="50">
        <f>SUMIFS(INDEX(Техника!$F$1:$ABM$500,C$2,0),Техника!$F$4:$ABM$4,"Часы",INDEX(Техника!$G$1:$ABN$500,C$2,0),$A$900,INDEX(Техника!$H$1:$ABO$500,C$2,0),"П")</f>
        <v>0</v>
      </c>
      <c r="D903" s="50">
        <f>SUMIFS(INDEX(Техника!$F$1:$ABM$500,D$2,0),Техника!$F$4:$ABM$4,"Часы",INDEX(Техника!$G$1:$ABN$500,D$2,0),$A$900,INDEX(Техника!$H$1:$ABO$500,D$2,0),"П")</f>
        <v>0</v>
      </c>
      <c r="E903" s="50">
        <f>SUMIFS(INDEX(Техника!$F$1:$ABM$500,E$2,0),Техника!$F$4:$ABM$4,"Часы",INDEX(Техника!$G$1:$ABN$500,E$2,0),$A$900,INDEX(Техника!$H$1:$ABO$500,E$2,0),"П")</f>
        <v>0</v>
      </c>
      <c r="F903" s="50">
        <f>SUMIFS(INDEX(Техника!$F$1:$ABM$500,F$2,0),Техника!$F$4:$ABM$4,"Часы",INDEX(Техника!$G$1:$ABN$500,F$2,0),$A$900,INDEX(Техника!$H$1:$ABO$500,F$2,0),"П")</f>
        <v>0</v>
      </c>
      <c r="G903" s="50">
        <f>SUMIFS(INDEX(Техника!$F$1:$ABM$500,G$2,0),Техника!$F$4:$ABM$4,"Часы",INDEX(Техника!$G$1:$ABN$500,G$2,0),$A$900,INDEX(Техника!$H$1:$ABO$500,G$2,0),"П")</f>
        <v>0</v>
      </c>
      <c r="H903" s="50">
        <f>SUMIFS(INDEX(Техника!$F$1:$ABM$500,H$2,0),Техника!$F$4:$ABM$4,"Часы",INDEX(Техника!$G$1:$ABN$500,H$2,0),$A$900,INDEX(Техника!$H$1:$ABO$500,H$2,0),"П")</f>
        <v>0</v>
      </c>
      <c r="I903" s="50">
        <f>SUMIFS(INDEX(Техника!$F$1:$ABM$500,I$2,0),Техника!$F$4:$ABM$4,"Часы",INDEX(Техника!$G$1:$ABN$500,I$2,0),$A$900,INDEX(Техника!$H$1:$ABO$500,I$2,0),"П")</f>
        <v>0</v>
      </c>
      <c r="J903" s="50">
        <f>SUMIFS(INDEX(Техника!$F$1:$ABM$500,J$2,0),Техника!$F$4:$ABM$4,"Часы",INDEX(Техника!$G$1:$ABN$500,J$2,0),$A$900,INDEX(Техника!$H$1:$ABO$500,J$2,0),"П")</f>
        <v>0</v>
      </c>
      <c r="K903" s="50">
        <f>SUMIFS(INDEX(Техника!$F$1:$ABM$500,K$2,0),Техника!$F$4:$ABM$4,"Часы",INDEX(Техника!$G$1:$ABN$500,K$2,0),$A$900,INDEX(Техника!$H$1:$ABO$500,K$2,0),"П")</f>
        <v>0</v>
      </c>
      <c r="L903" s="50">
        <f>SUMIFS(INDEX(Техника!$F$1:$ABM$500,L$2,0),Техника!$F$4:$ABM$4,"Часы",INDEX(Техника!$G$1:$ABN$500,L$2,0),$A$900,INDEX(Техника!$H$1:$ABO$500,L$2,0),"П")</f>
        <v>0</v>
      </c>
      <c r="M903" s="50">
        <f>SUMIFS(INDEX(Техника!$F$1:$ABM$500,M$2,0),Техника!$F$4:$ABM$4,"Часы",INDEX(Техника!$G$1:$ABN$500,M$2,0),$A$900,INDEX(Техника!$H$1:$ABO$500,M$2,0),"П")</f>
        <v>0</v>
      </c>
      <c r="N903" s="50">
        <f>SUMIFS(INDEX(Техника!$F$1:$ABM$500,N$2,0),Техника!$F$4:$ABM$4,"Часы",INDEX(Техника!$G$1:$ABN$500,N$2,0),$A$900,INDEX(Техника!$H$1:$ABO$500,N$2,0),"П")</f>
        <v>0</v>
      </c>
      <c r="O903" s="50">
        <f>SUMIFS(INDEX(Техника!$F$1:$ABM$500,O$2,0),Техника!$F$4:$ABM$4,"Часы",INDEX(Техника!$G$1:$ABN$500,O$2,0),$A$900,INDEX(Техника!$H$1:$ABO$500,O$2,0),"П")</f>
        <v>0</v>
      </c>
      <c r="P903" s="50">
        <f>SUMIFS(INDEX(Техника!$F$1:$ABM$500,P$2,0),Техника!$F$4:$ABM$4,"Часы",INDEX(Техника!$G$1:$ABN$500,P$2,0),$A$900,INDEX(Техника!$H$1:$ABO$500,P$2,0),"П")</f>
        <v>0</v>
      </c>
      <c r="Q903" s="50">
        <f>SUMIFS(INDEX(Техника!$F$1:$ABM$500,Q$2,0),Техника!$F$4:$ABM$4,"Часы",INDEX(Техника!$G$1:$ABN$500,Q$2,0),$A$900,INDEX(Техника!$H$1:$ABO$500,Q$2,0),"П")</f>
        <v>0</v>
      </c>
      <c r="R903" s="50">
        <f>SUMIFS(INDEX(Техника!$F$1:$ABM$500,R$2,0),Техника!$F$4:$ABM$4,"Часы",INDEX(Техника!$G$1:$ABN$500,R$2,0),$A$900,INDEX(Техника!$H$1:$ABO$500,R$2,0),"П")</f>
        <v>0</v>
      </c>
      <c r="S903" s="50">
        <f>SUMIFS(INDEX(Техника!$F$1:$ABM$500,S$2,0),Техника!$F$4:$ABM$4,"Часы",INDEX(Техника!$G$1:$ABN$500,S$2,0),$A$900,INDEX(Техника!$H$1:$ABO$500,S$2,0),"П")</f>
        <v>0</v>
      </c>
      <c r="T903" s="50">
        <f>SUMIFS(INDEX(Техника!$F$1:$ABM$500,T$2,0),Техника!$F$4:$ABM$4,"Часы",INDEX(Техника!$G$1:$ABN$500,T$2,0),$A$900,INDEX(Техника!$H$1:$ABO$500,T$2,0),"П")</f>
        <v>0</v>
      </c>
      <c r="U903" s="50">
        <f>SUMIFS(INDEX(Техника!$F$1:$ABM$500,U$2,0),Техника!$F$4:$ABM$4,"Часы",INDEX(Техника!$G$1:$ABN$500,U$2,0),$A$900,INDEX(Техника!$H$1:$ABO$500,U$2,0),"П")</f>
        <v>0</v>
      </c>
      <c r="V903" s="50">
        <f>SUMIFS(INDEX(Техника!$F$1:$ABM$500,V$2,0),Техника!$F$4:$ABM$4,"Часы",INDEX(Техника!$G$1:$ABN$500,V$2,0),$A$900,INDEX(Техника!$H$1:$ABO$500,V$2,0),"П")</f>
        <v>0</v>
      </c>
      <c r="W903" s="50">
        <f>SUMIFS(INDEX(Техника!$F$1:$ABM$500,W$2,0),Техника!$F$4:$ABM$4,"Часы",INDEX(Техника!$G$1:$ABN$500,W$2,0),$A$900,INDEX(Техника!$H$1:$ABO$500,W$2,0),"П")</f>
        <v>0</v>
      </c>
      <c r="X903" s="50">
        <f>SUMIFS(INDEX(Техника!$F$1:$ABM$500,X$2,0),Техника!$F$4:$ABM$4,"Часы",INDEX(Техника!$G$1:$ABN$500,X$2,0),$A$900,INDEX(Техника!$H$1:$ABO$500,X$2,0),"П")</f>
        <v>0</v>
      </c>
      <c r="Y903" s="50">
        <f>SUMIFS(INDEX(Техника!$F$1:$ABM$500,Y$2,0),Техника!$F$4:$ABM$4,"Часы",INDEX(Техника!$G$1:$ABN$500,Y$2,0),$A$900,INDEX(Техника!$H$1:$ABO$500,Y$2,0),"П")</f>
        <v>0</v>
      </c>
      <c r="Z903" s="50">
        <f>SUMIFS(INDEX(Техника!$F$1:$ABM$500,Z$2,0),Техника!$F$4:$ABM$4,"Часы",INDEX(Техника!$G$1:$ABN$500,Z$2,0),$A$900,INDEX(Техника!$H$1:$ABO$500,Z$2,0),"П")</f>
        <v>0</v>
      </c>
      <c r="AA903" s="50">
        <f>SUMIFS(INDEX(Техника!$F$1:$ABM$500,AA$2,0),Техника!$F$4:$ABM$4,"Часы",INDEX(Техника!$G$1:$ABN$500,AA$2,0),$A$900,INDEX(Техника!$H$1:$ABO$500,AA$2,0),"П")</f>
        <v>0</v>
      </c>
      <c r="AB903" s="50">
        <f>SUMIFS(INDEX(Техника!$F$1:$ABM$500,AB$2,0),Техника!$F$4:$ABM$4,"Часы",INDEX(Техника!$G$1:$ABN$500,AB$2,0),$A$900,INDEX(Техника!$H$1:$ABO$500,AB$2,0),"П")</f>
        <v>0</v>
      </c>
    </row>
    <row r="904" spans="1:28" hidden="1" outlineLevel="1" x14ac:dyDescent="0.3">
      <c r="A904" s="33" t="s">
        <v>243</v>
      </c>
      <c r="B904" s="34" t="s">
        <v>278</v>
      </c>
      <c r="C904" s="50">
        <f>SUMIFS(INDEX(Техника!$F$1:$ABM$500,C$2,0),Техника!$F$4:$ABM$4,"Часы",INDEX(Техника!$G$1:$ABN$500,C$2,0),$A$900,INDEX(Техника!$H$1:$ABO$500,C$2,0),"Л")</f>
        <v>0</v>
      </c>
      <c r="D904" s="50">
        <f>SUMIFS(INDEX(Техника!$F$1:$ABM$500,D$2,0),Техника!$F$4:$ABM$4,"Часы",INDEX(Техника!$G$1:$ABN$500,D$2,0),$A$900,INDEX(Техника!$H$1:$ABO$500,D$2,0),"Л")</f>
        <v>0</v>
      </c>
      <c r="E904" s="50">
        <f>SUMIFS(INDEX(Техника!$F$1:$ABM$500,E$2,0),Техника!$F$4:$ABM$4,"Часы",INDEX(Техника!$G$1:$ABN$500,E$2,0),$A$900,INDEX(Техника!$H$1:$ABO$500,E$2,0),"Л")</f>
        <v>0</v>
      </c>
      <c r="F904" s="50">
        <f>SUMIFS(INDEX(Техника!$F$1:$ABM$500,F$2,0),Техника!$F$4:$ABM$4,"Часы",INDEX(Техника!$G$1:$ABN$500,F$2,0),$A$900,INDEX(Техника!$H$1:$ABO$500,F$2,0),"Л")</f>
        <v>0</v>
      </c>
      <c r="G904" s="50">
        <f>SUMIFS(INDEX(Техника!$F$1:$ABM$500,G$2,0),Техника!$F$4:$ABM$4,"Часы",INDEX(Техника!$G$1:$ABN$500,G$2,0),$A$900,INDEX(Техника!$H$1:$ABO$500,G$2,0),"Л")</f>
        <v>0</v>
      </c>
      <c r="H904" s="50">
        <f>SUMIFS(INDEX(Техника!$F$1:$ABM$500,H$2,0),Техника!$F$4:$ABM$4,"Часы",INDEX(Техника!$G$1:$ABN$500,H$2,0),$A$900,INDEX(Техника!$H$1:$ABO$500,H$2,0),"Л")</f>
        <v>0</v>
      </c>
      <c r="I904" s="50">
        <f>SUMIFS(INDEX(Техника!$F$1:$ABM$500,I$2,0),Техника!$F$4:$ABM$4,"Часы",INDEX(Техника!$G$1:$ABN$500,I$2,0),$A$900,INDEX(Техника!$H$1:$ABO$500,I$2,0),"Л")</f>
        <v>0</v>
      </c>
      <c r="J904" s="50">
        <f>SUMIFS(INDEX(Техника!$F$1:$ABM$500,J$2,0),Техника!$F$4:$ABM$4,"Часы",INDEX(Техника!$G$1:$ABN$500,J$2,0),$A$900,INDEX(Техника!$H$1:$ABO$500,J$2,0),"Л")</f>
        <v>0</v>
      </c>
      <c r="K904" s="50">
        <f>SUMIFS(INDEX(Техника!$F$1:$ABM$500,K$2,0),Техника!$F$4:$ABM$4,"Часы",INDEX(Техника!$G$1:$ABN$500,K$2,0),$A$900,INDEX(Техника!$H$1:$ABO$500,K$2,0),"Л")</f>
        <v>0</v>
      </c>
      <c r="L904" s="50">
        <f>SUMIFS(INDEX(Техника!$F$1:$ABM$500,L$2,0),Техника!$F$4:$ABM$4,"Часы",INDEX(Техника!$G$1:$ABN$500,L$2,0),$A$900,INDEX(Техника!$H$1:$ABO$500,L$2,0),"Л")</f>
        <v>0</v>
      </c>
      <c r="M904" s="50">
        <f>SUMIFS(INDEX(Техника!$F$1:$ABM$500,M$2,0),Техника!$F$4:$ABM$4,"Часы",INDEX(Техника!$G$1:$ABN$500,M$2,0),$A$900,INDEX(Техника!$H$1:$ABO$500,M$2,0),"Л")</f>
        <v>0</v>
      </c>
      <c r="N904" s="50">
        <f>SUMIFS(INDEX(Техника!$F$1:$ABM$500,N$2,0),Техника!$F$4:$ABM$4,"Часы",INDEX(Техника!$G$1:$ABN$500,N$2,0),$A$900,INDEX(Техника!$H$1:$ABO$500,N$2,0),"Л")</f>
        <v>0</v>
      </c>
      <c r="O904" s="50">
        <f>SUMIFS(INDEX(Техника!$F$1:$ABM$500,O$2,0),Техника!$F$4:$ABM$4,"Часы",INDEX(Техника!$G$1:$ABN$500,O$2,0),$A$900,INDEX(Техника!$H$1:$ABO$500,O$2,0),"Л")</f>
        <v>0</v>
      </c>
      <c r="P904" s="50">
        <f>SUMIFS(INDEX(Техника!$F$1:$ABM$500,P$2,0),Техника!$F$4:$ABM$4,"Часы",INDEX(Техника!$G$1:$ABN$500,P$2,0),$A$900,INDEX(Техника!$H$1:$ABO$500,P$2,0),"Л")</f>
        <v>0</v>
      </c>
      <c r="Q904" s="50">
        <f>SUMIFS(INDEX(Техника!$F$1:$ABM$500,Q$2,0),Техника!$F$4:$ABM$4,"Часы",INDEX(Техника!$G$1:$ABN$500,Q$2,0),$A$900,INDEX(Техника!$H$1:$ABO$500,Q$2,0),"Л")</f>
        <v>0</v>
      </c>
      <c r="R904" s="50">
        <f>SUMIFS(INDEX(Техника!$F$1:$ABM$500,R$2,0),Техника!$F$4:$ABM$4,"Часы",INDEX(Техника!$G$1:$ABN$500,R$2,0),$A$900,INDEX(Техника!$H$1:$ABO$500,R$2,0),"Л")</f>
        <v>0</v>
      </c>
      <c r="S904" s="50">
        <f>SUMIFS(INDEX(Техника!$F$1:$ABM$500,S$2,0),Техника!$F$4:$ABM$4,"Часы",INDEX(Техника!$G$1:$ABN$500,S$2,0),$A$900,INDEX(Техника!$H$1:$ABO$500,S$2,0),"Л")</f>
        <v>0</v>
      </c>
      <c r="T904" s="50">
        <f>SUMIFS(INDEX(Техника!$F$1:$ABM$500,T$2,0),Техника!$F$4:$ABM$4,"Часы",INDEX(Техника!$G$1:$ABN$500,T$2,0),$A$900,INDEX(Техника!$H$1:$ABO$500,T$2,0),"Л")</f>
        <v>0</v>
      </c>
      <c r="U904" s="50">
        <f>SUMIFS(INDEX(Техника!$F$1:$ABM$500,U$2,0),Техника!$F$4:$ABM$4,"Часы",INDEX(Техника!$G$1:$ABN$500,U$2,0),$A$900,INDEX(Техника!$H$1:$ABO$500,U$2,0),"Л")</f>
        <v>0</v>
      </c>
      <c r="V904" s="50">
        <f>SUMIFS(INDEX(Техника!$F$1:$ABM$500,V$2,0),Техника!$F$4:$ABM$4,"Часы",INDEX(Техника!$G$1:$ABN$500,V$2,0),$A$900,INDEX(Техника!$H$1:$ABO$500,V$2,0),"Л")</f>
        <v>0</v>
      </c>
      <c r="W904" s="50">
        <f>SUMIFS(INDEX(Техника!$F$1:$ABM$500,W$2,0),Техника!$F$4:$ABM$4,"Часы",INDEX(Техника!$G$1:$ABN$500,W$2,0),$A$900,INDEX(Техника!$H$1:$ABO$500,W$2,0),"Л")</f>
        <v>0</v>
      </c>
      <c r="X904" s="50">
        <f>SUMIFS(INDEX(Техника!$F$1:$ABM$500,X$2,0),Техника!$F$4:$ABM$4,"Часы",INDEX(Техника!$G$1:$ABN$500,X$2,0),$A$900,INDEX(Техника!$H$1:$ABO$500,X$2,0),"Л")</f>
        <v>0</v>
      </c>
      <c r="Y904" s="50">
        <f>SUMIFS(INDEX(Техника!$F$1:$ABM$500,Y$2,0),Техника!$F$4:$ABM$4,"Часы",INDEX(Техника!$G$1:$ABN$500,Y$2,0),$A$900,INDEX(Техника!$H$1:$ABO$500,Y$2,0),"Л")</f>
        <v>0</v>
      </c>
      <c r="Z904" s="50">
        <f>SUMIFS(INDEX(Техника!$F$1:$ABM$500,Z$2,0),Техника!$F$4:$ABM$4,"Часы",INDEX(Техника!$G$1:$ABN$500,Z$2,0),$A$900,INDEX(Техника!$H$1:$ABO$500,Z$2,0),"Л")</f>
        <v>0</v>
      </c>
      <c r="AA904" s="50">
        <f>SUMIFS(INDEX(Техника!$F$1:$ABM$500,AA$2,0),Техника!$F$4:$ABM$4,"Часы",INDEX(Техника!$G$1:$ABN$500,AA$2,0),$A$900,INDEX(Техника!$H$1:$ABO$500,AA$2,0),"Л")</f>
        <v>0</v>
      </c>
      <c r="AB904" s="50">
        <f>SUMIFS(INDEX(Техника!$F$1:$ABM$500,AB$2,0),Техника!$F$4:$ABM$4,"Часы",INDEX(Техника!$G$1:$ABN$500,AB$2,0),$A$900,INDEX(Техника!$H$1:$ABO$500,AB$2,0),"Л")</f>
        <v>0</v>
      </c>
    </row>
    <row r="905" spans="1:28" hidden="1" outlineLevel="1" x14ac:dyDescent="0.3">
      <c r="A905" s="33" t="s">
        <v>245</v>
      </c>
      <c r="B905" s="34" t="s">
        <v>279</v>
      </c>
      <c r="C905" s="50">
        <f>SUMIFS(INDEX(Техника!$F$1:$ABM$500,C$2,0),Техника!$F$4:$ABM$4,"Часы",INDEX(Техника!$G$1:$ABN$500,C$2,0),$A$900,INDEX(Техника!$H$1:$ABO$500,C$2,0),"З")</f>
        <v>0</v>
      </c>
      <c r="D905" s="50">
        <f>SUMIFS(INDEX(Техника!$F$1:$ABM$500,D$2,0),Техника!$F$4:$ABM$4,"Часы",INDEX(Техника!$G$1:$ABN$500,D$2,0),$A$900,INDEX(Техника!$H$1:$ABO$500,D$2,0),"З")</f>
        <v>0</v>
      </c>
      <c r="E905" s="50">
        <f>SUMIFS(INDEX(Техника!$F$1:$ABM$500,E$2,0),Техника!$F$4:$ABM$4,"Часы",INDEX(Техника!$G$1:$ABN$500,E$2,0),$A$900,INDEX(Техника!$H$1:$ABO$500,E$2,0),"З")</f>
        <v>0</v>
      </c>
      <c r="F905" s="50">
        <f>SUMIFS(INDEX(Техника!$F$1:$ABM$500,F$2,0),Техника!$F$4:$ABM$4,"Часы",INDEX(Техника!$G$1:$ABN$500,F$2,0),$A$900,INDEX(Техника!$H$1:$ABO$500,F$2,0),"З")</f>
        <v>0</v>
      </c>
      <c r="G905" s="50">
        <f>SUMIFS(INDEX(Техника!$F$1:$ABM$500,G$2,0),Техника!$F$4:$ABM$4,"Часы",INDEX(Техника!$G$1:$ABN$500,G$2,0),$A$900,INDEX(Техника!$H$1:$ABO$500,G$2,0),"З")</f>
        <v>0</v>
      </c>
      <c r="H905" s="50">
        <f>SUMIFS(INDEX(Техника!$F$1:$ABM$500,H$2,0),Техника!$F$4:$ABM$4,"Часы",INDEX(Техника!$G$1:$ABN$500,H$2,0),$A$900,INDEX(Техника!$H$1:$ABO$500,H$2,0),"З")</f>
        <v>0</v>
      </c>
      <c r="I905" s="50">
        <f>SUMIFS(INDEX(Техника!$F$1:$ABM$500,I$2,0),Техника!$F$4:$ABM$4,"Часы",INDEX(Техника!$G$1:$ABN$500,I$2,0),$A$900,INDEX(Техника!$H$1:$ABO$500,I$2,0),"З")</f>
        <v>0</v>
      </c>
      <c r="J905" s="50">
        <f>SUMIFS(INDEX(Техника!$F$1:$ABM$500,J$2,0),Техника!$F$4:$ABM$4,"Часы",INDEX(Техника!$G$1:$ABN$500,J$2,0),$A$900,INDEX(Техника!$H$1:$ABO$500,J$2,0),"З")</f>
        <v>0</v>
      </c>
      <c r="K905" s="50">
        <f>SUMIFS(INDEX(Техника!$F$1:$ABM$500,K$2,0),Техника!$F$4:$ABM$4,"Часы",INDEX(Техника!$G$1:$ABN$500,K$2,0),$A$900,INDEX(Техника!$H$1:$ABO$500,K$2,0),"З")</f>
        <v>0</v>
      </c>
      <c r="L905" s="50">
        <f>SUMIFS(INDEX(Техника!$F$1:$ABM$500,L$2,0),Техника!$F$4:$ABM$4,"Часы",INDEX(Техника!$G$1:$ABN$500,L$2,0),$A$900,INDEX(Техника!$H$1:$ABO$500,L$2,0),"З")</f>
        <v>0</v>
      </c>
      <c r="M905" s="50">
        <f>SUMIFS(INDEX(Техника!$F$1:$ABM$500,M$2,0),Техника!$F$4:$ABM$4,"Часы",INDEX(Техника!$G$1:$ABN$500,M$2,0),$A$900,INDEX(Техника!$H$1:$ABO$500,M$2,0),"З")</f>
        <v>0</v>
      </c>
      <c r="N905" s="50">
        <f>SUMIFS(INDEX(Техника!$F$1:$ABM$500,N$2,0),Техника!$F$4:$ABM$4,"Часы",INDEX(Техника!$G$1:$ABN$500,N$2,0),$A$900,INDEX(Техника!$H$1:$ABO$500,N$2,0),"З")</f>
        <v>0</v>
      </c>
      <c r="O905" s="50">
        <f>SUMIFS(INDEX(Техника!$F$1:$ABM$500,O$2,0),Техника!$F$4:$ABM$4,"Часы",INDEX(Техника!$G$1:$ABN$500,O$2,0),$A$900,INDEX(Техника!$H$1:$ABO$500,O$2,0),"З")</f>
        <v>0</v>
      </c>
      <c r="P905" s="50">
        <f>SUMIFS(INDEX(Техника!$F$1:$ABM$500,P$2,0),Техника!$F$4:$ABM$4,"Часы",INDEX(Техника!$G$1:$ABN$500,P$2,0),$A$900,INDEX(Техника!$H$1:$ABO$500,P$2,0),"З")</f>
        <v>0</v>
      </c>
      <c r="Q905" s="50">
        <f>SUMIFS(INDEX(Техника!$F$1:$ABM$500,Q$2,0),Техника!$F$4:$ABM$4,"Часы",INDEX(Техника!$G$1:$ABN$500,Q$2,0),$A$900,INDEX(Техника!$H$1:$ABO$500,Q$2,0),"З")</f>
        <v>0</v>
      </c>
      <c r="R905" s="50">
        <f>SUMIFS(INDEX(Техника!$F$1:$ABM$500,R$2,0),Техника!$F$4:$ABM$4,"Часы",INDEX(Техника!$G$1:$ABN$500,R$2,0),$A$900,INDEX(Техника!$H$1:$ABO$500,R$2,0),"З")</f>
        <v>0</v>
      </c>
      <c r="S905" s="50">
        <f>SUMIFS(INDEX(Техника!$F$1:$ABM$500,S$2,0),Техника!$F$4:$ABM$4,"Часы",INDEX(Техника!$G$1:$ABN$500,S$2,0),$A$900,INDEX(Техника!$H$1:$ABO$500,S$2,0),"З")</f>
        <v>0</v>
      </c>
      <c r="T905" s="50">
        <f>SUMIFS(INDEX(Техника!$F$1:$ABM$500,T$2,0),Техника!$F$4:$ABM$4,"Часы",INDEX(Техника!$G$1:$ABN$500,T$2,0),$A$900,INDEX(Техника!$H$1:$ABO$500,T$2,0),"З")</f>
        <v>0</v>
      </c>
      <c r="U905" s="50">
        <f>SUMIFS(INDEX(Техника!$F$1:$ABM$500,U$2,0),Техника!$F$4:$ABM$4,"Часы",INDEX(Техника!$G$1:$ABN$500,U$2,0),$A$900,INDEX(Техника!$H$1:$ABO$500,U$2,0),"З")</f>
        <v>0</v>
      </c>
      <c r="V905" s="50">
        <f>SUMIFS(INDEX(Техника!$F$1:$ABM$500,V$2,0),Техника!$F$4:$ABM$4,"Часы",INDEX(Техника!$G$1:$ABN$500,V$2,0),$A$900,INDEX(Техника!$H$1:$ABO$500,V$2,0),"З")</f>
        <v>0</v>
      </c>
      <c r="W905" s="50">
        <f>SUMIFS(INDEX(Техника!$F$1:$ABM$500,W$2,0),Техника!$F$4:$ABM$4,"Часы",INDEX(Техника!$G$1:$ABN$500,W$2,0),$A$900,INDEX(Техника!$H$1:$ABO$500,W$2,0),"З")</f>
        <v>0</v>
      </c>
      <c r="X905" s="50">
        <f>SUMIFS(INDEX(Техника!$F$1:$ABM$500,X$2,0),Техника!$F$4:$ABM$4,"Часы",INDEX(Техника!$G$1:$ABN$500,X$2,0),$A$900,INDEX(Техника!$H$1:$ABO$500,X$2,0),"З")</f>
        <v>0</v>
      </c>
      <c r="Y905" s="50">
        <f>SUMIFS(INDEX(Техника!$F$1:$ABM$500,Y$2,0),Техника!$F$4:$ABM$4,"Часы",INDEX(Техника!$G$1:$ABN$500,Y$2,0),$A$900,INDEX(Техника!$H$1:$ABO$500,Y$2,0),"З")</f>
        <v>0</v>
      </c>
      <c r="Z905" s="50">
        <f>SUMIFS(INDEX(Техника!$F$1:$ABM$500,Z$2,0),Техника!$F$4:$ABM$4,"Часы",INDEX(Техника!$G$1:$ABN$500,Z$2,0),$A$900,INDEX(Техника!$H$1:$ABO$500,Z$2,0),"З")</f>
        <v>0</v>
      </c>
      <c r="AA905" s="50">
        <f>SUMIFS(INDEX(Техника!$F$1:$ABM$500,AA$2,0),Техника!$F$4:$ABM$4,"Часы",INDEX(Техника!$G$1:$ABN$500,AA$2,0),$A$900,INDEX(Техника!$H$1:$ABO$500,AA$2,0),"З")</f>
        <v>0</v>
      </c>
      <c r="AB905" s="50">
        <f>SUMIFS(INDEX(Техника!$F$1:$ABM$500,AB$2,0),Техника!$F$4:$ABM$4,"Часы",INDEX(Техника!$G$1:$ABN$500,AB$2,0),$A$900,INDEX(Техника!$H$1:$ABO$500,AB$2,0),"З")</f>
        <v>0</v>
      </c>
    </row>
    <row r="906" spans="1:28" ht="7.95" customHeight="1" x14ac:dyDescent="0.3">
      <c r="A906" s="38"/>
      <c r="B906" s="39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</row>
    <row r="907" spans="1:28" ht="25.05" customHeight="1" collapsed="1" x14ac:dyDescent="0.3">
      <c r="A907" s="32">
        <v>130</v>
      </c>
      <c r="B907" s="32" t="s">
        <v>131</v>
      </c>
      <c r="C907" s="49">
        <f>SUM(C908:C912)</f>
        <v>0</v>
      </c>
      <c r="D907" s="49">
        <f>SUM(D908:D912)</f>
        <v>0</v>
      </c>
      <c r="E907" s="49">
        <f>SUM(E908:E912)</f>
        <v>0</v>
      </c>
      <c r="F907" s="49">
        <f>SUM(F908:F912)</f>
        <v>0</v>
      </c>
      <c r="G907" s="49">
        <f>SUM(G908:G912)</f>
        <v>0</v>
      </c>
      <c r="H907" s="49">
        <f>SUM(H908:H912)</f>
        <v>0</v>
      </c>
      <c r="I907" s="49">
        <f>SUM(I908:I912)</f>
        <v>0</v>
      </c>
      <c r="J907" s="49">
        <f>SUM(J908:J912)</f>
        <v>0</v>
      </c>
      <c r="K907" s="49">
        <f>SUM(K908:K912)</f>
        <v>0</v>
      </c>
      <c r="L907" s="49">
        <f>SUM(L908:L912)</f>
        <v>0</v>
      </c>
      <c r="M907" s="49">
        <f>SUM(M908:M912)</f>
        <v>0</v>
      </c>
      <c r="N907" s="49">
        <f>SUM(N908:N912)</f>
        <v>0</v>
      </c>
      <c r="O907" s="49">
        <f>SUM(O908:O912)</f>
        <v>0</v>
      </c>
      <c r="P907" s="49">
        <f>SUM(P908:P912)</f>
        <v>0</v>
      </c>
      <c r="Q907" s="49">
        <f>SUM(Q908:Q912)</f>
        <v>0</v>
      </c>
      <c r="R907" s="49">
        <f>SUM(R908:R912)</f>
        <v>0</v>
      </c>
      <c r="S907" s="49">
        <f>SUM(S908:S912)</f>
        <v>0</v>
      </c>
      <c r="T907" s="49">
        <f>SUM(T908:T912)</f>
        <v>0</v>
      </c>
      <c r="U907" s="49">
        <f>SUM(U908:U912)</f>
        <v>0</v>
      </c>
      <c r="V907" s="49">
        <f>SUM(V908:V912)</f>
        <v>0</v>
      </c>
      <c r="W907" s="49">
        <f>SUM(W908:W912)</f>
        <v>0</v>
      </c>
      <c r="X907" s="49">
        <f>SUM(X908:X912)</f>
        <v>0</v>
      </c>
      <c r="Y907" s="49">
        <f>SUM(Y908:Y912)</f>
        <v>0</v>
      </c>
      <c r="Z907" s="49">
        <f>SUM(Z908:Z912)</f>
        <v>0</v>
      </c>
      <c r="AA907" s="49">
        <f>SUM(AA908:AA912)</f>
        <v>0</v>
      </c>
      <c r="AB907" s="49">
        <f>SUM(AB908:AB912)</f>
        <v>0</v>
      </c>
    </row>
    <row r="908" spans="1:28" hidden="1" outlineLevel="1" x14ac:dyDescent="0.3">
      <c r="A908" s="33" t="s">
        <v>246</v>
      </c>
      <c r="B908" s="34" t="s">
        <v>274</v>
      </c>
      <c r="C908" s="50">
        <f>SUMIFS(INDEX(Техника!$F$1:$ABM$500,C$2,0),Техника!$F$4:$ABM$4,"Часы",INDEX(Техника!$G$1:$ABN$500,C$2,0),$A$907,INDEX(Техника!$H$1:$ABO$500,C$2,0),"М")</f>
        <v>0</v>
      </c>
      <c r="D908" s="50">
        <f>SUMIFS(INDEX(Техника!$F$1:$ABM$500,D$2,0),Техника!$F$4:$ABM$4,"Часы",INDEX(Техника!$G$1:$ABN$500,D$2,0),$A$907,INDEX(Техника!$H$1:$ABO$500,D$2,0),"М")</f>
        <v>0</v>
      </c>
      <c r="E908" s="50">
        <f>SUMIFS(INDEX(Техника!$F$1:$ABM$500,E$2,0),Техника!$F$4:$ABM$4,"Часы",INDEX(Техника!$G$1:$ABN$500,E$2,0),$A$907,INDEX(Техника!$H$1:$ABO$500,E$2,0),"М")</f>
        <v>0</v>
      </c>
      <c r="F908" s="50">
        <f>SUMIFS(INDEX(Техника!$F$1:$ABM$500,F$2,0),Техника!$F$4:$ABM$4,"Часы",INDEX(Техника!$G$1:$ABN$500,F$2,0),$A$907,INDEX(Техника!$H$1:$ABO$500,F$2,0),"М")</f>
        <v>0</v>
      </c>
      <c r="G908" s="50">
        <f>SUMIFS(INDEX(Техника!$F$1:$ABM$500,G$2,0),Техника!$F$4:$ABM$4,"Часы",INDEX(Техника!$G$1:$ABN$500,G$2,0),$A$907,INDEX(Техника!$H$1:$ABO$500,G$2,0),"М")</f>
        <v>0</v>
      </c>
      <c r="H908" s="50">
        <f>SUMIFS(INDEX(Техника!$F$1:$ABM$500,H$2,0),Техника!$F$4:$ABM$4,"Часы",INDEX(Техника!$G$1:$ABN$500,H$2,0),$A$907,INDEX(Техника!$H$1:$ABO$500,H$2,0),"М")</f>
        <v>0</v>
      </c>
      <c r="I908" s="50">
        <f>SUMIFS(INDEX(Техника!$F$1:$ABM$500,I$2,0),Техника!$F$4:$ABM$4,"Часы",INDEX(Техника!$G$1:$ABN$500,I$2,0),$A$907,INDEX(Техника!$H$1:$ABO$500,I$2,0),"М")</f>
        <v>0</v>
      </c>
      <c r="J908" s="50">
        <f>SUMIFS(INDEX(Техника!$F$1:$ABM$500,J$2,0),Техника!$F$4:$ABM$4,"Часы",INDEX(Техника!$G$1:$ABN$500,J$2,0),$A$907,INDEX(Техника!$H$1:$ABO$500,J$2,0),"М")</f>
        <v>0</v>
      </c>
      <c r="K908" s="50">
        <f>SUMIFS(INDEX(Техника!$F$1:$ABM$500,K$2,0),Техника!$F$4:$ABM$4,"Часы",INDEX(Техника!$G$1:$ABN$500,K$2,0),$A$907,INDEX(Техника!$H$1:$ABO$500,K$2,0),"М")</f>
        <v>0</v>
      </c>
      <c r="L908" s="50">
        <f>SUMIFS(INDEX(Техника!$F$1:$ABM$500,L$2,0),Техника!$F$4:$ABM$4,"Часы",INDEX(Техника!$G$1:$ABN$500,L$2,0),$A$907,INDEX(Техника!$H$1:$ABO$500,L$2,0),"М")</f>
        <v>0</v>
      </c>
      <c r="M908" s="50">
        <f>SUMIFS(INDEX(Техника!$F$1:$ABM$500,M$2,0),Техника!$F$4:$ABM$4,"Часы",INDEX(Техника!$G$1:$ABN$500,M$2,0),$A$907,INDEX(Техника!$H$1:$ABO$500,M$2,0),"М")</f>
        <v>0</v>
      </c>
      <c r="N908" s="50">
        <f>SUMIFS(INDEX(Техника!$F$1:$ABM$500,N$2,0),Техника!$F$4:$ABM$4,"Часы",INDEX(Техника!$G$1:$ABN$500,N$2,0),$A$907,INDEX(Техника!$H$1:$ABO$500,N$2,0),"М")</f>
        <v>0</v>
      </c>
      <c r="O908" s="50">
        <f>SUMIFS(INDEX(Техника!$F$1:$ABM$500,O$2,0),Техника!$F$4:$ABM$4,"Часы",INDEX(Техника!$G$1:$ABN$500,O$2,0),$A$907,INDEX(Техника!$H$1:$ABO$500,O$2,0),"М")</f>
        <v>0</v>
      </c>
      <c r="P908" s="50">
        <f>SUMIFS(INDEX(Техника!$F$1:$ABM$500,P$2,0),Техника!$F$4:$ABM$4,"Часы",INDEX(Техника!$G$1:$ABN$500,P$2,0),$A$907,INDEX(Техника!$H$1:$ABO$500,P$2,0),"М")</f>
        <v>0</v>
      </c>
      <c r="Q908" s="50">
        <f>SUMIFS(INDEX(Техника!$F$1:$ABM$500,Q$2,0),Техника!$F$4:$ABM$4,"Часы",INDEX(Техника!$G$1:$ABN$500,Q$2,0),$A$907,INDEX(Техника!$H$1:$ABO$500,Q$2,0),"М")</f>
        <v>0</v>
      </c>
      <c r="R908" s="50">
        <f>SUMIFS(INDEX(Техника!$F$1:$ABM$500,R$2,0),Техника!$F$4:$ABM$4,"Часы",INDEX(Техника!$G$1:$ABN$500,R$2,0),$A$907,INDEX(Техника!$H$1:$ABO$500,R$2,0),"М")</f>
        <v>0</v>
      </c>
      <c r="S908" s="50">
        <f>SUMIFS(INDEX(Техника!$F$1:$ABM$500,S$2,0),Техника!$F$4:$ABM$4,"Часы",INDEX(Техника!$G$1:$ABN$500,S$2,0),$A$907,INDEX(Техника!$H$1:$ABO$500,S$2,0),"М")</f>
        <v>0</v>
      </c>
      <c r="T908" s="50">
        <f>SUMIFS(INDEX(Техника!$F$1:$ABM$500,T$2,0),Техника!$F$4:$ABM$4,"Часы",INDEX(Техника!$G$1:$ABN$500,T$2,0),$A$907,INDEX(Техника!$H$1:$ABO$500,T$2,0),"М")</f>
        <v>0</v>
      </c>
      <c r="U908" s="50">
        <f>SUMIFS(INDEX(Техника!$F$1:$ABM$500,U$2,0),Техника!$F$4:$ABM$4,"Часы",INDEX(Техника!$G$1:$ABN$500,U$2,0),$A$907,INDEX(Техника!$H$1:$ABO$500,U$2,0),"М")</f>
        <v>0</v>
      </c>
      <c r="V908" s="50">
        <f>SUMIFS(INDEX(Техника!$F$1:$ABM$500,V$2,0),Техника!$F$4:$ABM$4,"Часы",INDEX(Техника!$G$1:$ABN$500,V$2,0),$A$907,INDEX(Техника!$H$1:$ABO$500,V$2,0),"М")</f>
        <v>0</v>
      </c>
      <c r="W908" s="50">
        <f>SUMIFS(INDEX(Техника!$F$1:$ABM$500,W$2,0),Техника!$F$4:$ABM$4,"Часы",INDEX(Техника!$G$1:$ABN$500,W$2,0),$A$907,INDEX(Техника!$H$1:$ABO$500,W$2,0),"М")</f>
        <v>0</v>
      </c>
      <c r="X908" s="50">
        <f>SUMIFS(INDEX(Техника!$F$1:$ABM$500,X$2,0),Техника!$F$4:$ABM$4,"Часы",INDEX(Техника!$G$1:$ABN$500,X$2,0),$A$907,INDEX(Техника!$H$1:$ABO$500,X$2,0),"М")</f>
        <v>0</v>
      </c>
      <c r="Y908" s="50">
        <f>SUMIFS(INDEX(Техника!$F$1:$ABM$500,Y$2,0),Техника!$F$4:$ABM$4,"Часы",INDEX(Техника!$G$1:$ABN$500,Y$2,0),$A$907,INDEX(Техника!$H$1:$ABO$500,Y$2,0),"М")</f>
        <v>0</v>
      </c>
      <c r="Z908" s="50">
        <f>SUMIFS(INDEX(Техника!$F$1:$ABM$500,Z$2,0),Техника!$F$4:$ABM$4,"Часы",INDEX(Техника!$G$1:$ABN$500,Z$2,0),$A$907,INDEX(Техника!$H$1:$ABO$500,Z$2,0),"М")</f>
        <v>0</v>
      </c>
      <c r="AA908" s="50">
        <f>SUMIFS(INDEX(Техника!$F$1:$ABM$500,AA$2,0),Техника!$F$4:$ABM$4,"Часы",INDEX(Техника!$G$1:$ABN$500,AA$2,0),$A$907,INDEX(Техника!$H$1:$ABO$500,AA$2,0),"М")</f>
        <v>0</v>
      </c>
      <c r="AB908" s="50">
        <f>SUMIFS(INDEX(Техника!$F$1:$ABM$500,AB$2,0),Техника!$F$4:$ABM$4,"Часы",INDEX(Техника!$G$1:$ABN$500,AB$2,0),$A$907,INDEX(Техника!$H$1:$ABO$500,AB$2,0),"М")</f>
        <v>0</v>
      </c>
    </row>
    <row r="909" spans="1:28" hidden="1" outlineLevel="1" x14ac:dyDescent="0.3">
      <c r="A909" s="33" t="s">
        <v>244</v>
      </c>
      <c r="B909" s="34" t="s">
        <v>275</v>
      </c>
      <c r="C909" s="50">
        <f>SUMIFS(INDEX(Техника!$F$1:$ABM$500,C$2,0),Техника!$F$4:$ABM$4,"Часы",INDEX(Техника!$G$1:$ABN$500,C$2,0),$A$907,INDEX(Техника!$H$1:$ABO$500,C$2,0),"Д")</f>
        <v>0</v>
      </c>
      <c r="D909" s="50">
        <f>SUMIFS(INDEX(Техника!$F$1:$ABM$500,D$2,0),Техника!$F$4:$ABM$4,"Часы",INDEX(Техника!$G$1:$ABN$500,D$2,0),$A$907,INDEX(Техника!$H$1:$ABO$500,D$2,0),"Д")</f>
        <v>0</v>
      </c>
      <c r="E909" s="50">
        <f>SUMIFS(INDEX(Техника!$F$1:$ABM$500,E$2,0),Техника!$F$4:$ABM$4,"Часы",INDEX(Техника!$G$1:$ABN$500,E$2,0),$A$907,INDEX(Техника!$H$1:$ABO$500,E$2,0),"Д")</f>
        <v>0</v>
      </c>
      <c r="F909" s="50">
        <f>SUMIFS(INDEX(Техника!$F$1:$ABM$500,F$2,0),Техника!$F$4:$ABM$4,"Часы",INDEX(Техника!$G$1:$ABN$500,F$2,0),$A$907,INDEX(Техника!$H$1:$ABO$500,F$2,0),"Д")</f>
        <v>0</v>
      </c>
      <c r="G909" s="50">
        <f>SUMIFS(INDEX(Техника!$F$1:$ABM$500,G$2,0),Техника!$F$4:$ABM$4,"Часы",INDEX(Техника!$G$1:$ABN$500,G$2,0),$A$907,INDEX(Техника!$H$1:$ABO$500,G$2,0),"Д")</f>
        <v>0</v>
      </c>
      <c r="H909" s="50">
        <f>SUMIFS(INDEX(Техника!$F$1:$ABM$500,H$2,0),Техника!$F$4:$ABM$4,"Часы",INDEX(Техника!$G$1:$ABN$500,H$2,0),$A$907,INDEX(Техника!$H$1:$ABO$500,H$2,0),"Д")</f>
        <v>0</v>
      </c>
      <c r="I909" s="50">
        <f>SUMIFS(INDEX(Техника!$F$1:$ABM$500,I$2,0),Техника!$F$4:$ABM$4,"Часы",INDEX(Техника!$G$1:$ABN$500,I$2,0),$A$907,INDEX(Техника!$H$1:$ABO$500,I$2,0),"Д")</f>
        <v>0</v>
      </c>
      <c r="J909" s="50">
        <f>SUMIFS(INDEX(Техника!$F$1:$ABM$500,J$2,0),Техника!$F$4:$ABM$4,"Часы",INDEX(Техника!$G$1:$ABN$500,J$2,0),$A$907,INDEX(Техника!$H$1:$ABO$500,J$2,0),"Д")</f>
        <v>0</v>
      </c>
      <c r="K909" s="50">
        <f>SUMIFS(INDEX(Техника!$F$1:$ABM$500,K$2,0),Техника!$F$4:$ABM$4,"Часы",INDEX(Техника!$G$1:$ABN$500,K$2,0),$A$907,INDEX(Техника!$H$1:$ABO$500,K$2,0),"Д")</f>
        <v>0</v>
      </c>
      <c r="L909" s="50">
        <f>SUMIFS(INDEX(Техника!$F$1:$ABM$500,L$2,0),Техника!$F$4:$ABM$4,"Часы",INDEX(Техника!$G$1:$ABN$500,L$2,0),$A$907,INDEX(Техника!$H$1:$ABO$500,L$2,0),"Д")</f>
        <v>0</v>
      </c>
      <c r="M909" s="50">
        <f>SUMIFS(INDEX(Техника!$F$1:$ABM$500,M$2,0),Техника!$F$4:$ABM$4,"Часы",INDEX(Техника!$G$1:$ABN$500,M$2,0),$A$907,INDEX(Техника!$H$1:$ABO$500,M$2,0),"Д")</f>
        <v>0</v>
      </c>
      <c r="N909" s="50">
        <f>SUMIFS(INDEX(Техника!$F$1:$ABM$500,N$2,0),Техника!$F$4:$ABM$4,"Часы",INDEX(Техника!$G$1:$ABN$500,N$2,0),$A$907,INDEX(Техника!$H$1:$ABO$500,N$2,0),"Д")</f>
        <v>0</v>
      </c>
      <c r="O909" s="50">
        <f>SUMIFS(INDEX(Техника!$F$1:$ABM$500,O$2,0),Техника!$F$4:$ABM$4,"Часы",INDEX(Техника!$G$1:$ABN$500,O$2,0),$A$907,INDEX(Техника!$H$1:$ABO$500,O$2,0),"Д")</f>
        <v>0</v>
      </c>
      <c r="P909" s="50">
        <f>SUMIFS(INDEX(Техника!$F$1:$ABM$500,P$2,0),Техника!$F$4:$ABM$4,"Часы",INDEX(Техника!$G$1:$ABN$500,P$2,0),$A$907,INDEX(Техника!$H$1:$ABO$500,P$2,0),"Д")</f>
        <v>0</v>
      </c>
      <c r="Q909" s="50">
        <f>SUMIFS(INDEX(Техника!$F$1:$ABM$500,Q$2,0),Техника!$F$4:$ABM$4,"Часы",INDEX(Техника!$G$1:$ABN$500,Q$2,0),$A$907,INDEX(Техника!$H$1:$ABO$500,Q$2,0),"Д")</f>
        <v>0</v>
      </c>
      <c r="R909" s="50">
        <f>SUMIFS(INDEX(Техника!$F$1:$ABM$500,R$2,0),Техника!$F$4:$ABM$4,"Часы",INDEX(Техника!$G$1:$ABN$500,R$2,0),$A$907,INDEX(Техника!$H$1:$ABO$500,R$2,0),"Д")</f>
        <v>0</v>
      </c>
      <c r="S909" s="50">
        <f>SUMIFS(INDEX(Техника!$F$1:$ABM$500,S$2,0),Техника!$F$4:$ABM$4,"Часы",INDEX(Техника!$G$1:$ABN$500,S$2,0),$A$907,INDEX(Техника!$H$1:$ABO$500,S$2,0),"Д")</f>
        <v>0</v>
      </c>
      <c r="T909" s="50">
        <f>SUMIFS(INDEX(Техника!$F$1:$ABM$500,T$2,0),Техника!$F$4:$ABM$4,"Часы",INDEX(Техника!$G$1:$ABN$500,T$2,0),$A$907,INDEX(Техника!$H$1:$ABO$500,T$2,0),"Д")</f>
        <v>0</v>
      </c>
      <c r="U909" s="50">
        <f>SUMIFS(INDEX(Техника!$F$1:$ABM$500,U$2,0),Техника!$F$4:$ABM$4,"Часы",INDEX(Техника!$G$1:$ABN$500,U$2,0),$A$907,INDEX(Техника!$H$1:$ABO$500,U$2,0),"Д")</f>
        <v>0</v>
      </c>
      <c r="V909" s="50">
        <f>SUMIFS(INDEX(Техника!$F$1:$ABM$500,V$2,0),Техника!$F$4:$ABM$4,"Часы",INDEX(Техника!$G$1:$ABN$500,V$2,0),$A$907,INDEX(Техника!$H$1:$ABO$500,V$2,0),"Д")</f>
        <v>0</v>
      </c>
      <c r="W909" s="50">
        <f>SUMIFS(INDEX(Техника!$F$1:$ABM$500,W$2,0),Техника!$F$4:$ABM$4,"Часы",INDEX(Техника!$G$1:$ABN$500,W$2,0),$A$907,INDEX(Техника!$H$1:$ABO$500,W$2,0),"Д")</f>
        <v>0</v>
      </c>
      <c r="X909" s="50">
        <f>SUMIFS(INDEX(Техника!$F$1:$ABM$500,X$2,0),Техника!$F$4:$ABM$4,"Часы",INDEX(Техника!$G$1:$ABN$500,X$2,0),$A$907,INDEX(Техника!$H$1:$ABO$500,X$2,0),"Д")</f>
        <v>0</v>
      </c>
      <c r="Y909" s="50">
        <f>SUMIFS(INDEX(Техника!$F$1:$ABM$500,Y$2,0),Техника!$F$4:$ABM$4,"Часы",INDEX(Техника!$G$1:$ABN$500,Y$2,0),$A$907,INDEX(Техника!$H$1:$ABO$500,Y$2,0),"Д")</f>
        <v>0</v>
      </c>
      <c r="Z909" s="50">
        <f>SUMIFS(INDEX(Техника!$F$1:$ABM$500,Z$2,0),Техника!$F$4:$ABM$4,"Часы",INDEX(Техника!$G$1:$ABN$500,Z$2,0),$A$907,INDEX(Техника!$H$1:$ABO$500,Z$2,0),"Д")</f>
        <v>0</v>
      </c>
      <c r="AA909" s="50">
        <f>SUMIFS(INDEX(Техника!$F$1:$ABM$500,AA$2,0),Техника!$F$4:$ABM$4,"Часы",INDEX(Техника!$G$1:$ABN$500,AA$2,0),$A$907,INDEX(Техника!$H$1:$ABO$500,AA$2,0),"Д")</f>
        <v>0</v>
      </c>
      <c r="AB909" s="50">
        <f>SUMIFS(INDEX(Техника!$F$1:$ABM$500,AB$2,0),Техника!$F$4:$ABM$4,"Часы",INDEX(Техника!$G$1:$ABN$500,AB$2,0),$A$907,INDEX(Техника!$H$1:$ABO$500,AB$2,0),"Д")</f>
        <v>0</v>
      </c>
    </row>
    <row r="910" spans="1:28" hidden="1" outlineLevel="1" x14ac:dyDescent="0.3">
      <c r="A910" s="33" t="s">
        <v>276</v>
      </c>
      <c r="B910" s="34" t="s">
        <v>277</v>
      </c>
      <c r="C910" s="50">
        <f>SUMIFS(INDEX(Техника!$F$1:$ABM$500,C$2,0),Техника!$F$4:$ABM$4,"Часы",INDEX(Техника!$G$1:$ABN$500,C$2,0),$A$907,INDEX(Техника!$H$1:$ABO$500,C$2,0),"П")</f>
        <v>0</v>
      </c>
      <c r="D910" s="50">
        <f>SUMIFS(INDEX(Техника!$F$1:$ABM$500,D$2,0),Техника!$F$4:$ABM$4,"Часы",INDEX(Техника!$G$1:$ABN$500,D$2,0),$A$907,INDEX(Техника!$H$1:$ABO$500,D$2,0),"П")</f>
        <v>0</v>
      </c>
      <c r="E910" s="50">
        <f>SUMIFS(INDEX(Техника!$F$1:$ABM$500,E$2,0),Техника!$F$4:$ABM$4,"Часы",INDEX(Техника!$G$1:$ABN$500,E$2,0),$A$907,INDEX(Техника!$H$1:$ABO$500,E$2,0),"П")</f>
        <v>0</v>
      </c>
      <c r="F910" s="50">
        <f>SUMIFS(INDEX(Техника!$F$1:$ABM$500,F$2,0),Техника!$F$4:$ABM$4,"Часы",INDEX(Техника!$G$1:$ABN$500,F$2,0),$A$907,INDEX(Техника!$H$1:$ABO$500,F$2,0),"П")</f>
        <v>0</v>
      </c>
      <c r="G910" s="50">
        <f>SUMIFS(INDEX(Техника!$F$1:$ABM$500,G$2,0),Техника!$F$4:$ABM$4,"Часы",INDEX(Техника!$G$1:$ABN$500,G$2,0),$A$907,INDEX(Техника!$H$1:$ABO$500,G$2,0),"П")</f>
        <v>0</v>
      </c>
      <c r="H910" s="50">
        <f>SUMIFS(INDEX(Техника!$F$1:$ABM$500,H$2,0),Техника!$F$4:$ABM$4,"Часы",INDEX(Техника!$G$1:$ABN$500,H$2,0),$A$907,INDEX(Техника!$H$1:$ABO$500,H$2,0),"П")</f>
        <v>0</v>
      </c>
      <c r="I910" s="50">
        <f>SUMIFS(INDEX(Техника!$F$1:$ABM$500,I$2,0),Техника!$F$4:$ABM$4,"Часы",INDEX(Техника!$G$1:$ABN$500,I$2,0),$A$907,INDEX(Техника!$H$1:$ABO$500,I$2,0),"П")</f>
        <v>0</v>
      </c>
      <c r="J910" s="50">
        <f>SUMIFS(INDEX(Техника!$F$1:$ABM$500,J$2,0),Техника!$F$4:$ABM$4,"Часы",INDEX(Техника!$G$1:$ABN$500,J$2,0),$A$907,INDEX(Техника!$H$1:$ABO$500,J$2,0),"П")</f>
        <v>0</v>
      </c>
      <c r="K910" s="50">
        <f>SUMIFS(INDEX(Техника!$F$1:$ABM$500,K$2,0),Техника!$F$4:$ABM$4,"Часы",INDEX(Техника!$G$1:$ABN$500,K$2,0),$A$907,INDEX(Техника!$H$1:$ABO$500,K$2,0),"П")</f>
        <v>0</v>
      </c>
      <c r="L910" s="50">
        <f>SUMIFS(INDEX(Техника!$F$1:$ABM$500,L$2,0),Техника!$F$4:$ABM$4,"Часы",INDEX(Техника!$G$1:$ABN$500,L$2,0),$A$907,INDEX(Техника!$H$1:$ABO$500,L$2,0),"П")</f>
        <v>0</v>
      </c>
      <c r="M910" s="50">
        <f>SUMIFS(INDEX(Техника!$F$1:$ABM$500,M$2,0),Техника!$F$4:$ABM$4,"Часы",INDEX(Техника!$G$1:$ABN$500,M$2,0),$A$907,INDEX(Техника!$H$1:$ABO$500,M$2,0),"П")</f>
        <v>0</v>
      </c>
      <c r="N910" s="50">
        <f>SUMIFS(INDEX(Техника!$F$1:$ABM$500,N$2,0),Техника!$F$4:$ABM$4,"Часы",INDEX(Техника!$G$1:$ABN$500,N$2,0),$A$907,INDEX(Техника!$H$1:$ABO$500,N$2,0),"П")</f>
        <v>0</v>
      </c>
      <c r="O910" s="50">
        <f>SUMIFS(INDEX(Техника!$F$1:$ABM$500,O$2,0),Техника!$F$4:$ABM$4,"Часы",INDEX(Техника!$G$1:$ABN$500,O$2,0),$A$907,INDEX(Техника!$H$1:$ABO$500,O$2,0),"П")</f>
        <v>0</v>
      </c>
      <c r="P910" s="50">
        <f>SUMIFS(INDEX(Техника!$F$1:$ABM$500,P$2,0),Техника!$F$4:$ABM$4,"Часы",INDEX(Техника!$G$1:$ABN$500,P$2,0),$A$907,INDEX(Техника!$H$1:$ABO$500,P$2,0),"П")</f>
        <v>0</v>
      </c>
      <c r="Q910" s="50">
        <f>SUMIFS(INDEX(Техника!$F$1:$ABM$500,Q$2,0),Техника!$F$4:$ABM$4,"Часы",INDEX(Техника!$G$1:$ABN$500,Q$2,0),$A$907,INDEX(Техника!$H$1:$ABO$500,Q$2,0),"П")</f>
        <v>0</v>
      </c>
      <c r="R910" s="50">
        <f>SUMIFS(INDEX(Техника!$F$1:$ABM$500,R$2,0),Техника!$F$4:$ABM$4,"Часы",INDEX(Техника!$G$1:$ABN$500,R$2,0),$A$907,INDEX(Техника!$H$1:$ABO$500,R$2,0),"П")</f>
        <v>0</v>
      </c>
      <c r="S910" s="50">
        <f>SUMIFS(INDEX(Техника!$F$1:$ABM$500,S$2,0),Техника!$F$4:$ABM$4,"Часы",INDEX(Техника!$G$1:$ABN$500,S$2,0),$A$907,INDEX(Техника!$H$1:$ABO$500,S$2,0),"П")</f>
        <v>0</v>
      </c>
      <c r="T910" s="50">
        <f>SUMIFS(INDEX(Техника!$F$1:$ABM$500,T$2,0),Техника!$F$4:$ABM$4,"Часы",INDEX(Техника!$G$1:$ABN$500,T$2,0),$A$907,INDEX(Техника!$H$1:$ABO$500,T$2,0),"П")</f>
        <v>0</v>
      </c>
      <c r="U910" s="50">
        <f>SUMIFS(INDEX(Техника!$F$1:$ABM$500,U$2,0),Техника!$F$4:$ABM$4,"Часы",INDEX(Техника!$G$1:$ABN$500,U$2,0),$A$907,INDEX(Техника!$H$1:$ABO$500,U$2,0),"П")</f>
        <v>0</v>
      </c>
      <c r="V910" s="50">
        <f>SUMIFS(INDEX(Техника!$F$1:$ABM$500,V$2,0),Техника!$F$4:$ABM$4,"Часы",INDEX(Техника!$G$1:$ABN$500,V$2,0),$A$907,INDEX(Техника!$H$1:$ABO$500,V$2,0),"П")</f>
        <v>0</v>
      </c>
      <c r="W910" s="50">
        <f>SUMIFS(INDEX(Техника!$F$1:$ABM$500,W$2,0),Техника!$F$4:$ABM$4,"Часы",INDEX(Техника!$G$1:$ABN$500,W$2,0),$A$907,INDEX(Техника!$H$1:$ABO$500,W$2,0),"П")</f>
        <v>0</v>
      </c>
      <c r="X910" s="50">
        <f>SUMIFS(INDEX(Техника!$F$1:$ABM$500,X$2,0),Техника!$F$4:$ABM$4,"Часы",INDEX(Техника!$G$1:$ABN$500,X$2,0),$A$907,INDEX(Техника!$H$1:$ABO$500,X$2,0),"П")</f>
        <v>0</v>
      </c>
      <c r="Y910" s="50">
        <f>SUMIFS(INDEX(Техника!$F$1:$ABM$500,Y$2,0),Техника!$F$4:$ABM$4,"Часы",INDEX(Техника!$G$1:$ABN$500,Y$2,0),$A$907,INDEX(Техника!$H$1:$ABO$500,Y$2,0),"П")</f>
        <v>0</v>
      </c>
      <c r="Z910" s="50">
        <f>SUMIFS(INDEX(Техника!$F$1:$ABM$500,Z$2,0),Техника!$F$4:$ABM$4,"Часы",INDEX(Техника!$G$1:$ABN$500,Z$2,0),$A$907,INDEX(Техника!$H$1:$ABO$500,Z$2,0),"П")</f>
        <v>0</v>
      </c>
      <c r="AA910" s="50">
        <f>SUMIFS(INDEX(Техника!$F$1:$ABM$500,AA$2,0),Техника!$F$4:$ABM$4,"Часы",INDEX(Техника!$G$1:$ABN$500,AA$2,0),$A$907,INDEX(Техника!$H$1:$ABO$500,AA$2,0),"П")</f>
        <v>0</v>
      </c>
      <c r="AB910" s="50">
        <f>SUMIFS(INDEX(Техника!$F$1:$ABM$500,AB$2,0),Техника!$F$4:$ABM$4,"Часы",INDEX(Техника!$G$1:$ABN$500,AB$2,0),$A$907,INDEX(Техника!$H$1:$ABO$500,AB$2,0),"П")</f>
        <v>0</v>
      </c>
    </row>
    <row r="911" spans="1:28" hidden="1" outlineLevel="1" x14ac:dyDescent="0.3">
      <c r="A911" s="33" t="s">
        <v>243</v>
      </c>
      <c r="B911" s="34" t="s">
        <v>278</v>
      </c>
      <c r="C911" s="50">
        <f>SUMIFS(INDEX(Техника!$F$1:$ABM$500,C$2,0),Техника!$F$4:$ABM$4,"Часы",INDEX(Техника!$G$1:$ABN$500,C$2,0),$A$907,INDEX(Техника!$H$1:$ABO$500,C$2,0),"Л")</f>
        <v>0</v>
      </c>
      <c r="D911" s="50">
        <f>SUMIFS(INDEX(Техника!$F$1:$ABM$500,D$2,0),Техника!$F$4:$ABM$4,"Часы",INDEX(Техника!$G$1:$ABN$500,D$2,0),$A$907,INDEX(Техника!$H$1:$ABO$500,D$2,0),"Л")</f>
        <v>0</v>
      </c>
      <c r="E911" s="50">
        <f>SUMIFS(INDEX(Техника!$F$1:$ABM$500,E$2,0),Техника!$F$4:$ABM$4,"Часы",INDEX(Техника!$G$1:$ABN$500,E$2,0),$A$907,INDEX(Техника!$H$1:$ABO$500,E$2,0),"Л")</f>
        <v>0</v>
      </c>
      <c r="F911" s="50">
        <f>SUMIFS(INDEX(Техника!$F$1:$ABM$500,F$2,0),Техника!$F$4:$ABM$4,"Часы",INDEX(Техника!$G$1:$ABN$500,F$2,0),$A$907,INDEX(Техника!$H$1:$ABO$500,F$2,0),"Л")</f>
        <v>0</v>
      </c>
      <c r="G911" s="50">
        <f>SUMIFS(INDEX(Техника!$F$1:$ABM$500,G$2,0),Техника!$F$4:$ABM$4,"Часы",INDEX(Техника!$G$1:$ABN$500,G$2,0),$A$907,INDEX(Техника!$H$1:$ABO$500,G$2,0),"Л")</f>
        <v>0</v>
      </c>
      <c r="H911" s="50">
        <f>SUMIFS(INDEX(Техника!$F$1:$ABM$500,H$2,0),Техника!$F$4:$ABM$4,"Часы",INDEX(Техника!$G$1:$ABN$500,H$2,0),$A$907,INDEX(Техника!$H$1:$ABO$500,H$2,0),"Л")</f>
        <v>0</v>
      </c>
      <c r="I911" s="50">
        <f>SUMIFS(INDEX(Техника!$F$1:$ABM$500,I$2,0),Техника!$F$4:$ABM$4,"Часы",INDEX(Техника!$G$1:$ABN$500,I$2,0),$A$907,INDEX(Техника!$H$1:$ABO$500,I$2,0),"Л")</f>
        <v>0</v>
      </c>
      <c r="J911" s="50">
        <f>SUMIFS(INDEX(Техника!$F$1:$ABM$500,J$2,0),Техника!$F$4:$ABM$4,"Часы",INDEX(Техника!$G$1:$ABN$500,J$2,0),$A$907,INDEX(Техника!$H$1:$ABO$500,J$2,0),"Л")</f>
        <v>0</v>
      </c>
      <c r="K911" s="50">
        <f>SUMIFS(INDEX(Техника!$F$1:$ABM$500,K$2,0),Техника!$F$4:$ABM$4,"Часы",INDEX(Техника!$G$1:$ABN$500,K$2,0),$A$907,INDEX(Техника!$H$1:$ABO$500,K$2,0),"Л")</f>
        <v>0</v>
      </c>
      <c r="L911" s="50">
        <f>SUMIFS(INDEX(Техника!$F$1:$ABM$500,L$2,0),Техника!$F$4:$ABM$4,"Часы",INDEX(Техника!$G$1:$ABN$500,L$2,0),$A$907,INDEX(Техника!$H$1:$ABO$500,L$2,0),"Л")</f>
        <v>0</v>
      </c>
      <c r="M911" s="50">
        <f>SUMIFS(INDEX(Техника!$F$1:$ABM$500,M$2,0),Техника!$F$4:$ABM$4,"Часы",INDEX(Техника!$G$1:$ABN$500,M$2,0),$A$907,INDEX(Техника!$H$1:$ABO$500,M$2,0),"Л")</f>
        <v>0</v>
      </c>
      <c r="N911" s="50">
        <f>SUMIFS(INDEX(Техника!$F$1:$ABM$500,N$2,0),Техника!$F$4:$ABM$4,"Часы",INDEX(Техника!$G$1:$ABN$500,N$2,0),$A$907,INDEX(Техника!$H$1:$ABO$500,N$2,0),"Л")</f>
        <v>0</v>
      </c>
      <c r="O911" s="50">
        <f>SUMIFS(INDEX(Техника!$F$1:$ABM$500,O$2,0),Техника!$F$4:$ABM$4,"Часы",INDEX(Техника!$G$1:$ABN$500,O$2,0),$A$907,INDEX(Техника!$H$1:$ABO$500,O$2,0),"Л")</f>
        <v>0</v>
      </c>
      <c r="P911" s="50">
        <f>SUMIFS(INDEX(Техника!$F$1:$ABM$500,P$2,0),Техника!$F$4:$ABM$4,"Часы",INDEX(Техника!$G$1:$ABN$500,P$2,0),$A$907,INDEX(Техника!$H$1:$ABO$500,P$2,0),"Л")</f>
        <v>0</v>
      </c>
      <c r="Q911" s="50">
        <f>SUMIFS(INDEX(Техника!$F$1:$ABM$500,Q$2,0),Техника!$F$4:$ABM$4,"Часы",INDEX(Техника!$G$1:$ABN$500,Q$2,0),$A$907,INDEX(Техника!$H$1:$ABO$500,Q$2,0),"Л")</f>
        <v>0</v>
      </c>
      <c r="R911" s="50">
        <f>SUMIFS(INDEX(Техника!$F$1:$ABM$500,R$2,0),Техника!$F$4:$ABM$4,"Часы",INDEX(Техника!$G$1:$ABN$500,R$2,0),$A$907,INDEX(Техника!$H$1:$ABO$500,R$2,0),"Л")</f>
        <v>0</v>
      </c>
      <c r="S911" s="50">
        <f>SUMIFS(INDEX(Техника!$F$1:$ABM$500,S$2,0),Техника!$F$4:$ABM$4,"Часы",INDEX(Техника!$G$1:$ABN$500,S$2,0),$A$907,INDEX(Техника!$H$1:$ABO$500,S$2,0),"Л")</f>
        <v>0</v>
      </c>
      <c r="T911" s="50">
        <f>SUMIFS(INDEX(Техника!$F$1:$ABM$500,T$2,0),Техника!$F$4:$ABM$4,"Часы",INDEX(Техника!$G$1:$ABN$500,T$2,0),$A$907,INDEX(Техника!$H$1:$ABO$500,T$2,0),"Л")</f>
        <v>0</v>
      </c>
      <c r="U911" s="50">
        <f>SUMIFS(INDEX(Техника!$F$1:$ABM$500,U$2,0),Техника!$F$4:$ABM$4,"Часы",INDEX(Техника!$G$1:$ABN$500,U$2,0),$A$907,INDEX(Техника!$H$1:$ABO$500,U$2,0),"Л")</f>
        <v>0</v>
      </c>
      <c r="V911" s="50">
        <f>SUMIFS(INDEX(Техника!$F$1:$ABM$500,V$2,0),Техника!$F$4:$ABM$4,"Часы",INDEX(Техника!$G$1:$ABN$500,V$2,0),$A$907,INDEX(Техника!$H$1:$ABO$500,V$2,0),"Л")</f>
        <v>0</v>
      </c>
      <c r="W911" s="50">
        <f>SUMIFS(INDEX(Техника!$F$1:$ABM$500,W$2,0),Техника!$F$4:$ABM$4,"Часы",INDEX(Техника!$G$1:$ABN$500,W$2,0),$A$907,INDEX(Техника!$H$1:$ABO$500,W$2,0),"Л")</f>
        <v>0</v>
      </c>
      <c r="X911" s="50">
        <f>SUMIFS(INDEX(Техника!$F$1:$ABM$500,X$2,0),Техника!$F$4:$ABM$4,"Часы",INDEX(Техника!$G$1:$ABN$500,X$2,0),$A$907,INDEX(Техника!$H$1:$ABO$500,X$2,0),"Л")</f>
        <v>0</v>
      </c>
      <c r="Y911" s="50">
        <f>SUMIFS(INDEX(Техника!$F$1:$ABM$500,Y$2,0),Техника!$F$4:$ABM$4,"Часы",INDEX(Техника!$G$1:$ABN$500,Y$2,0),$A$907,INDEX(Техника!$H$1:$ABO$500,Y$2,0),"Л")</f>
        <v>0</v>
      </c>
      <c r="Z911" s="50">
        <f>SUMIFS(INDEX(Техника!$F$1:$ABM$500,Z$2,0),Техника!$F$4:$ABM$4,"Часы",INDEX(Техника!$G$1:$ABN$500,Z$2,0),$A$907,INDEX(Техника!$H$1:$ABO$500,Z$2,0),"Л")</f>
        <v>0</v>
      </c>
      <c r="AA911" s="50">
        <f>SUMIFS(INDEX(Техника!$F$1:$ABM$500,AA$2,0),Техника!$F$4:$ABM$4,"Часы",INDEX(Техника!$G$1:$ABN$500,AA$2,0),$A$907,INDEX(Техника!$H$1:$ABO$500,AA$2,0),"Л")</f>
        <v>0</v>
      </c>
      <c r="AB911" s="50">
        <f>SUMIFS(INDEX(Техника!$F$1:$ABM$500,AB$2,0),Техника!$F$4:$ABM$4,"Часы",INDEX(Техника!$G$1:$ABN$500,AB$2,0),$A$907,INDEX(Техника!$H$1:$ABO$500,AB$2,0),"Л")</f>
        <v>0</v>
      </c>
    </row>
    <row r="912" spans="1:28" hidden="1" outlineLevel="1" x14ac:dyDescent="0.3">
      <c r="A912" s="33" t="s">
        <v>245</v>
      </c>
      <c r="B912" s="34" t="s">
        <v>279</v>
      </c>
      <c r="C912" s="50">
        <f>SUMIFS(INDEX(Техника!$F$1:$ABM$500,C$2,0),Техника!$F$4:$ABM$4,"Часы",INDEX(Техника!$G$1:$ABN$500,C$2,0),$A$907,INDEX(Техника!$H$1:$ABO$500,C$2,0),"З")</f>
        <v>0</v>
      </c>
      <c r="D912" s="50">
        <f>SUMIFS(INDEX(Техника!$F$1:$ABM$500,D$2,0),Техника!$F$4:$ABM$4,"Часы",INDEX(Техника!$G$1:$ABN$500,D$2,0),$A$907,INDEX(Техника!$H$1:$ABO$500,D$2,0),"З")</f>
        <v>0</v>
      </c>
      <c r="E912" s="50">
        <f>SUMIFS(INDEX(Техника!$F$1:$ABM$500,E$2,0),Техника!$F$4:$ABM$4,"Часы",INDEX(Техника!$G$1:$ABN$500,E$2,0),$A$907,INDEX(Техника!$H$1:$ABO$500,E$2,0),"З")</f>
        <v>0</v>
      </c>
      <c r="F912" s="50">
        <f>SUMIFS(INDEX(Техника!$F$1:$ABM$500,F$2,0),Техника!$F$4:$ABM$4,"Часы",INDEX(Техника!$G$1:$ABN$500,F$2,0),$A$907,INDEX(Техника!$H$1:$ABO$500,F$2,0),"З")</f>
        <v>0</v>
      </c>
      <c r="G912" s="50">
        <f>SUMIFS(INDEX(Техника!$F$1:$ABM$500,G$2,0),Техника!$F$4:$ABM$4,"Часы",INDEX(Техника!$G$1:$ABN$500,G$2,0),$A$907,INDEX(Техника!$H$1:$ABO$500,G$2,0),"З")</f>
        <v>0</v>
      </c>
      <c r="H912" s="50">
        <f>SUMIFS(INDEX(Техника!$F$1:$ABM$500,H$2,0),Техника!$F$4:$ABM$4,"Часы",INDEX(Техника!$G$1:$ABN$500,H$2,0),$A$907,INDEX(Техника!$H$1:$ABO$500,H$2,0),"З")</f>
        <v>0</v>
      </c>
      <c r="I912" s="50">
        <f>SUMIFS(INDEX(Техника!$F$1:$ABM$500,I$2,0),Техника!$F$4:$ABM$4,"Часы",INDEX(Техника!$G$1:$ABN$500,I$2,0),$A$907,INDEX(Техника!$H$1:$ABO$500,I$2,0),"З")</f>
        <v>0</v>
      </c>
      <c r="J912" s="50">
        <f>SUMIFS(INDEX(Техника!$F$1:$ABM$500,J$2,0),Техника!$F$4:$ABM$4,"Часы",INDEX(Техника!$G$1:$ABN$500,J$2,0),$A$907,INDEX(Техника!$H$1:$ABO$500,J$2,0),"З")</f>
        <v>0</v>
      </c>
      <c r="K912" s="50">
        <f>SUMIFS(INDEX(Техника!$F$1:$ABM$500,K$2,0),Техника!$F$4:$ABM$4,"Часы",INDEX(Техника!$G$1:$ABN$500,K$2,0),$A$907,INDEX(Техника!$H$1:$ABO$500,K$2,0),"З")</f>
        <v>0</v>
      </c>
      <c r="L912" s="50">
        <f>SUMIFS(INDEX(Техника!$F$1:$ABM$500,L$2,0),Техника!$F$4:$ABM$4,"Часы",INDEX(Техника!$G$1:$ABN$500,L$2,0),$A$907,INDEX(Техника!$H$1:$ABO$500,L$2,0),"З")</f>
        <v>0</v>
      </c>
      <c r="M912" s="50">
        <f>SUMIFS(INDEX(Техника!$F$1:$ABM$500,M$2,0),Техника!$F$4:$ABM$4,"Часы",INDEX(Техника!$G$1:$ABN$500,M$2,0),$A$907,INDEX(Техника!$H$1:$ABO$500,M$2,0),"З")</f>
        <v>0</v>
      </c>
      <c r="N912" s="50">
        <f>SUMIFS(INDEX(Техника!$F$1:$ABM$500,N$2,0),Техника!$F$4:$ABM$4,"Часы",INDEX(Техника!$G$1:$ABN$500,N$2,0),$A$907,INDEX(Техника!$H$1:$ABO$500,N$2,0),"З")</f>
        <v>0</v>
      </c>
      <c r="O912" s="50">
        <f>SUMIFS(INDEX(Техника!$F$1:$ABM$500,O$2,0),Техника!$F$4:$ABM$4,"Часы",INDEX(Техника!$G$1:$ABN$500,O$2,0),$A$907,INDEX(Техника!$H$1:$ABO$500,O$2,0),"З")</f>
        <v>0</v>
      </c>
      <c r="P912" s="50">
        <f>SUMIFS(INDEX(Техника!$F$1:$ABM$500,P$2,0),Техника!$F$4:$ABM$4,"Часы",INDEX(Техника!$G$1:$ABN$500,P$2,0),$A$907,INDEX(Техника!$H$1:$ABO$500,P$2,0),"З")</f>
        <v>0</v>
      </c>
      <c r="Q912" s="50">
        <f>SUMIFS(INDEX(Техника!$F$1:$ABM$500,Q$2,0),Техника!$F$4:$ABM$4,"Часы",INDEX(Техника!$G$1:$ABN$500,Q$2,0),$A$907,INDEX(Техника!$H$1:$ABO$500,Q$2,0),"З")</f>
        <v>0</v>
      </c>
      <c r="R912" s="50">
        <f>SUMIFS(INDEX(Техника!$F$1:$ABM$500,R$2,0),Техника!$F$4:$ABM$4,"Часы",INDEX(Техника!$G$1:$ABN$500,R$2,0),$A$907,INDEX(Техника!$H$1:$ABO$500,R$2,0),"З")</f>
        <v>0</v>
      </c>
      <c r="S912" s="50">
        <f>SUMIFS(INDEX(Техника!$F$1:$ABM$500,S$2,0),Техника!$F$4:$ABM$4,"Часы",INDEX(Техника!$G$1:$ABN$500,S$2,0),$A$907,INDEX(Техника!$H$1:$ABO$500,S$2,0),"З")</f>
        <v>0</v>
      </c>
      <c r="T912" s="50">
        <f>SUMIFS(INDEX(Техника!$F$1:$ABM$500,T$2,0),Техника!$F$4:$ABM$4,"Часы",INDEX(Техника!$G$1:$ABN$500,T$2,0),$A$907,INDEX(Техника!$H$1:$ABO$500,T$2,0),"З")</f>
        <v>0</v>
      </c>
      <c r="U912" s="50">
        <f>SUMIFS(INDEX(Техника!$F$1:$ABM$500,U$2,0),Техника!$F$4:$ABM$4,"Часы",INDEX(Техника!$G$1:$ABN$500,U$2,0),$A$907,INDEX(Техника!$H$1:$ABO$500,U$2,0),"З")</f>
        <v>0</v>
      </c>
      <c r="V912" s="50">
        <f>SUMIFS(INDEX(Техника!$F$1:$ABM$500,V$2,0),Техника!$F$4:$ABM$4,"Часы",INDEX(Техника!$G$1:$ABN$500,V$2,0),$A$907,INDEX(Техника!$H$1:$ABO$500,V$2,0),"З")</f>
        <v>0</v>
      </c>
      <c r="W912" s="50">
        <f>SUMIFS(INDEX(Техника!$F$1:$ABM$500,W$2,0),Техника!$F$4:$ABM$4,"Часы",INDEX(Техника!$G$1:$ABN$500,W$2,0),$A$907,INDEX(Техника!$H$1:$ABO$500,W$2,0),"З")</f>
        <v>0</v>
      </c>
      <c r="X912" s="50">
        <f>SUMIFS(INDEX(Техника!$F$1:$ABM$500,X$2,0),Техника!$F$4:$ABM$4,"Часы",INDEX(Техника!$G$1:$ABN$500,X$2,0),$A$907,INDEX(Техника!$H$1:$ABO$500,X$2,0),"З")</f>
        <v>0</v>
      </c>
      <c r="Y912" s="50">
        <f>SUMIFS(INDEX(Техника!$F$1:$ABM$500,Y$2,0),Техника!$F$4:$ABM$4,"Часы",INDEX(Техника!$G$1:$ABN$500,Y$2,0),$A$907,INDEX(Техника!$H$1:$ABO$500,Y$2,0),"З")</f>
        <v>0</v>
      </c>
      <c r="Z912" s="50">
        <f>SUMIFS(INDEX(Техника!$F$1:$ABM$500,Z$2,0),Техника!$F$4:$ABM$4,"Часы",INDEX(Техника!$G$1:$ABN$500,Z$2,0),$A$907,INDEX(Техника!$H$1:$ABO$500,Z$2,0),"З")</f>
        <v>0</v>
      </c>
      <c r="AA912" s="50">
        <f>SUMIFS(INDEX(Техника!$F$1:$ABM$500,AA$2,0),Техника!$F$4:$ABM$4,"Часы",INDEX(Техника!$G$1:$ABN$500,AA$2,0),$A$907,INDEX(Техника!$H$1:$ABO$500,AA$2,0),"З")</f>
        <v>0</v>
      </c>
      <c r="AB912" s="50">
        <f>SUMIFS(INDEX(Техника!$F$1:$ABM$500,AB$2,0),Техника!$F$4:$ABM$4,"Часы",INDEX(Техника!$G$1:$ABN$500,AB$2,0),$A$907,INDEX(Техника!$H$1:$ABO$500,AB$2,0),"З")</f>
        <v>0</v>
      </c>
    </row>
    <row r="913" spans="1:28" ht="7.95" customHeight="1" x14ac:dyDescent="0.3">
      <c r="A913" s="38"/>
      <c r="B913" s="39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</row>
    <row r="914" spans="1:28" ht="25.05" customHeight="1" collapsed="1" x14ac:dyDescent="0.3">
      <c r="A914" s="32">
        <v>131</v>
      </c>
      <c r="B914" s="32" t="s">
        <v>132</v>
      </c>
      <c r="C914" s="49">
        <f>SUM(C915:C919)</f>
        <v>0</v>
      </c>
      <c r="D914" s="49">
        <f>SUM(D915:D919)</f>
        <v>0</v>
      </c>
      <c r="E914" s="49">
        <f>SUM(E915:E919)</f>
        <v>0</v>
      </c>
      <c r="F914" s="49">
        <f>SUM(F915:F919)</f>
        <v>0</v>
      </c>
      <c r="G914" s="49">
        <f>SUM(G915:G919)</f>
        <v>0</v>
      </c>
      <c r="H914" s="49">
        <f>SUM(H915:H919)</f>
        <v>0</v>
      </c>
      <c r="I914" s="49">
        <f>SUM(I915:I919)</f>
        <v>0</v>
      </c>
      <c r="J914" s="49">
        <f>SUM(J915:J919)</f>
        <v>0</v>
      </c>
      <c r="K914" s="49">
        <f>SUM(K915:K919)</f>
        <v>0</v>
      </c>
      <c r="L914" s="49">
        <f>SUM(L915:L919)</f>
        <v>0</v>
      </c>
      <c r="M914" s="49">
        <f>SUM(M915:M919)</f>
        <v>0</v>
      </c>
      <c r="N914" s="49">
        <f>SUM(N915:N919)</f>
        <v>0</v>
      </c>
      <c r="O914" s="49">
        <f>SUM(O915:O919)</f>
        <v>0</v>
      </c>
      <c r="P914" s="49">
        <f>SUM(P915:P919)</f>
        <v>0</v>
      </c>
      <c r="Q914" s="49">
        <f>SUM(Q915:Q919)</f>
        <v>0</v>
      </c>
      <c r="R914" s="49">
        <f>SUM(R915:R919)</f>
        <v>0</v>
      </c>
      <c r="S914" s="49">
        <f>SUM(S915:S919)</f>
        <v>0</v>
      </c>
      <c r="T914" s="49">
        <f>SUM(T915:T919)</f>
        <v>0</v>
      </c>
      <c r="U914" s="49">
        <f>SUM(U915:U919)</f>
        <v>0</v>
      </c>
      <c r="V914" s="49">
        <f>SUM(V915:V919)</f>
        <v>0</v>
      </c>
      <c r="W914" s="49">
        <f>SUM(W915:W919)</f>
        <v>0</v>
      </c>
      <c r="X914" s="49">
        <f>SUM(X915:X919)</f>
        <v>0</v>
      </c>
      <c r="Y914" s="49">
        <f>SUM(Y915:Y919)</f>
        <v>0</v>
      </c>
      <c r="Z914" s="49">
        <f>SUM(Z915:Z919)</f>
        <v>0</v>
      </c>
      <c r="AA914" s="49">
        <f>SUM(AA915:AA919)</f>
        <v>0</v>
      </c>
      <c r="AB914" s="49">
        <f>SUM(AB915:AB919)</f>
        <v>0</v>
      </c>
    </row>
    <row r="915" spans="1:28" hidden="1" outlineLevel="1" x14ac:dyDescent="0.3">
      <c r="A915" s="33" t="s">
        <v>246</v>
      </c>
      <c r="B915" s="34" t="s">
        <v>274</v>
      </c>
      <c r="C915" s="50">
        <f>SUMIFS(INDEX(Техника!$F$1:$ABM$500,C$2,0),Техника!$F$4:$ABM$4,"Часы",INDEX(Техника!$G$1:$ABN$500,C$2,0),$A$914,INDEX(Техника!$H$1:$ABO$500,C$2,0),"М")</f>
        <v>0</v>
      </c>
      <c r="D915" s="50">
        <f>SUMIFS(INDEX(Техника!$F$1:$ABM$500,D$2,0),Техника!$F$4:$ABM$4,"Часы",INDEX(Техника!$G$1:$ABN$500,D$2,0),$A$914,INDEX(Техника!$H$1:$ABO$500,D$2,0),"М")</f>
        <v>0</v>
      </c>
      <c r="E915" s="50">
        <f>SUMIFS(INDEX(Техника!$F$1:$ABM$500,E$2,0),Техника!$F$4:$ABM$4,"Часы",INDEX(Техника!$G$1:$ABN$500,E$2,0),$A$914,INDEX(Техника!$H$1:$ABO$500,E$2,0),"М")</f>
        <v>0</v>
      </c>
      <c r="F915" s="50">
        <f>SUMIFS(INDEX(Техника!$F$1:$ABM$500,F$2,0),Техника!$F$4:$ABM$4,"Часы",INDEX(Техника!$G$1:$ABN$500,F$2,0),$A$914,INDEX(Техника!$H$1:$ABO$500,F$2,0),"М")</f>
        <v>0</v>
      </c>
      <c r="G915" s="50">
        <f>SUMIFS(INDEX(Техника!$F$1:$ABM$500,G$2,0),Техника!$F$4:$ABM$4,"Часы",INDEX(Техника!$G$1:$ABN$500,G$2,0),$A$914,INDEX(Техника!$H$1:$ABO$500,G$2,0),"М")</f>
        <v>0</v>
      </c>
      <c r="H915" s="50">
        <f>SUMIFS(INDEX(Техника!$F$1:$ABM$500,H$2,0),Техника!$F$4:$ABM$4,"Часы",INDEX(Техника!$G$1:$ABN$500,H$2,0),$A$914,INDEX(Техника!$H$1:$ABO$500,H$2,0),"М")</f>
        <v>0</v>
      </c>
      <c r="I915" s="50">
        <f>SUMIFS(INDEX(Техника!$F$1:$ABM$500,I$2,0),Техника!$F$4:$ABM$4,"Часы",INDEX(Техника!$G$1:$ABN$500,I$2,0),$A$914,INDEX(Техника!$H$1:$ABO$500,I$2,0),"М")</f>
        <v>0</v>
      </c>
      <c r="J915" s="50">
        <f>SUMIFS(INDEX(Техника!$F$1:$ABM$500,J$2,0),Техника!$F$4:$ABM$4,"Часы",INDEX(Техника!$G$1:$ABN$500,J$2,0),$A$914,INDEX(Техника!$H$1:$ABO$500,J$2,0),"М")</f>
        <v>0</v>
      </c>
      <c r="K915" s="50">
        <f>SUMIFS(INDEX(Техника!$F$1:$ABM$500,K$2,0),Техника!$F$4:$ABM$4,"Часы",INDEX(Техника!$G$1:$ABN$500,K$2,0),$A$914,INDEX(Техника!$H$1:$ABO$500,K$2,0),"М")</f>
        <v>0</v>
      </c>
      <c r="L915" s="50">
        <f>SUMIFS(INDEX(Техника!$F$1:$ABM$500,L$2,0),Техника!$F$4:$ABM$4,"Часы",INDEX(Техника!$G$1:$ABN$500,L$2,0),$A$914,INDEX(Техника!$H$1:$ABO$500,L$2,0),"М")</f>
        <v>0</v>
      </c>
      <c r="M915" s="50">
        <f>SUMIFS(INDEX(Техника!$F$1:$ABM$500,M$2,0),Техника!$F$4:$ABM$4,"Часы",INDEX(Техника!$G$1:$ABN$500,M$2,0),$A$914,INDEX(Техника!$H$1:$ABO$500,M$2,0),"М")</f>
        <v>0</v>
      </c>
      <c r="N915" s="50">
        <f>SUMIFS(INDEX(Техника!$F$1:$ABM$500,N$2,0),Техника!$F$4:$ABM$4,"Часы",INDEX(Техника!$G$1:$ABN$500,N$2,0),$A$914,INDEX(Техника!$H$1:$ABO$500,N$2,0),"М")</f>
        <v>0</v>
      </c>
      <c r="O915" s="50">
        <f>SUMIFS(INDEX(Техника!$F$1:$ABM$500,O$2,0),Техника!$F$4:$ABM$4,"Часы",INDEX(Техника!$G$1:$ABN$500,O$2,0),$A$914,INDEX(Техника!$H$1:$ABO$500,O$2,0),"М")</f>
        <v>0</v>
      </c>
      <c r="P915" s="50">
        <f>SUMIFS(INDEX(Техника!$F$1:$ABM$500,P$2,0),Техника!$F$4:$ABM$4,"Часы",INDEX(Техника!$G$1:$ABN$500,P$2,0),$A$914,INDEX(Техника!$H$1:$ABO$500,P$2,0),"М")</f>
        <v>0</v>
      </c>
      <c r="Q915" s="50">
        <f>SUMIFS(INDEX(Техника!$F$1:$ABM$500,Q$2,0),Техника!$F$4:$ABM$4,"Часы",INDEX(Техника!$G$1:$ABN$500,Q$2,0),$A$914,INDEX(Техника!$H$1:$ABO$500,Q$2,0),"М")</f>
        <v>0</v>
      </c>
      <c r="R915" s="50">
        <f>SUMIFS(INDEX(Техника!$F$1:$ABM$500,R$2,0),Техника!$F$4:$ABM$4,"Часы",INDEX(Техника!$G$1:$ABN$500,R$2,0),$A$914,INDEX(Техника!$H$1:$ABO$500,R$2,0),"М")</f>
        <v>0</v>
      </c>
      <c r="S915" s="50">
        <f>SUMIFS(INDEX(Техника!$F$1:$ABM$500,S$2,0),Техника!$F$4:$ABM$4,"Часы",INDEX(Техника!$G$1:$ABN$500,S$2,0),$A$914,INDEX(Техника!$H$1:$ABO$500,S$2,0),"М")</f>
        <v>0</v>
      </c>
      <c r="T915" s="50">
        <f>SUMIFS(INDEX(Техника!$F$1:$ABM$500,T$2,0),Техника!$F$4:$ABM$4,"Часы",INDEX(Техника!$G$1:$ABN$500,T$2,0),$A$914,INDEX(Техника!$H$1:$ABO$500,T$2,0),"М")</f>
        <v>0</v>
      </c>
      <c r="U915" s="50">
        <f>SUMIFS(INDEX(Техника!$F$1:$ABM$500,U$2,0),Техника!$F$4:$ABM$4,"Часы",INDEX(Техника!$G$1:$ABN$500,U$2,0),$A$914,INDEX(Техника!$H$1:$ABO$500,U$2,0),"М")</f>
        <v>0</v>
      </c>
      <c r="V915" s="50">
        <f>SUMIFS(INDEX(Техника!$F$1:$ABM$500,V$2,0),Техника!$F$4:$ABM$4,"Часы",INDEX(Техника!$G$1:$ABN$500,V$2,0),$A$914,INDEX(Техника!$H$1:$ABO$500,V$2,0),"М")</f>
        <v>0</v>
      </c>
      <c r="W915" s="50">
        <f>SUMIFS(INDEX(Техника!$F$1:$ABM$500,W$2,0),Техника!$F$4:$ABM$4,"Часы",INDEX(Техника!$G$1:$ABN$500,W$2,0),$A$914,INDEX(Техника!$H$1:$ABO$500,W$2,0),"М")</f>
        <v>0</v>
      </c>
      <c r="X915" s="50">
        <f>SUMIFS(INDEX(Техника!$F$1:$ABM$500,X$2,0),Техника!$F$4:$ABM$4,"Часы",INDEX(Техника!$G$1:$ABN$500,X$2,0),$A$914,INDEX(Техника!$H$1:$ABO$500,X$2,0),"М")</f>
        <v>0</v>
      </c>
      <c r="Y915" s="50">
        <f>SUMIFS(INDEX(Техника!$F$1:$ABM$500,Y$2,0),Техника!$F$4:$ABM$4,"Часы",INDEX(Техника!$G$1:$ABN$500,Y$2,0),$A$914,INDEX(Техника!$H$1:$ABO$500,Y$2,0),"М")</f>
        <v>0</v>
      </c>
      <c r="Z915" s="50">
        <f>SUMIFS(INDEX(Техника!$F$1:$ABM$500,Z$2,0),Техника!$F$4:$ABM$4,"Часы",INDEX(Техника!$G$1:$ABN$500,Z$2,0),$A$914,INDEX(Техника!$H$1:$ABO$500,Z$2,0),"М")</f>
        <v>0</v>
      </c>
      <c r="AA915" s="50">
        <f>SUMIFS(INDEX(Техника!$F$1:$ABM$500,AA$2,0),Техника!$F$4:$ABM$4,"Часы",INDEX(Техника!$G$1:$ABN$500,AA$2,0),$A$914,INDEX(Техника!$H$1:$ABO$500,AA$2,0),"М")</f>
        <v>0</v>
      </c>
      <c r="AB915" s="50">
        <f>SUMIFS(INDEX(Техника!$F$1:$ABM$500,AB$2,0),Техника!$F$4:$ABM$4,"Часы",INDEX(Техника!$G$1:$ABN$500,AB$2,0),$A$914,INDEX(Техника!$H$1:$ABO$500,AB$2,0),"М")</f>
        <v>0</v>
      </c>
    </row>
    <row r="916" spans="1:28" hidden="1" outlineLevel="1" x14ac:dyDescent="0.3">
      <c r="A916" s="33" t="s">
        <v>244</v>
      </c>
      <c r="B916" s="34" t="s">
        <v>275</v>
      </c>
      <c r="C916" s="50">
        <f>SUMIFS(INDEX(Техника!$F$1:$ABM$500,C$2,0),Техника!$F$4:$ABM$4,"Часы",INDEX(Техника!$G$1:$ABN$500,C$2,0),$A$914,INDEX(Техника!$H$1:$ABO$500,C$2,0),"Д")</f>
        <v>0</v>
      </c>
      <c r="D916" s="50">
        <f>SUMIFS(INDEX(Техника!$F$1:$ABM$500,D$2,0),Техника!$F$4:$ABM$4,"Часы",INDEX(Техника!$G$1:$ABN$500,D$2,0),$A$914,INDEX(Техника!$H$1:$ABO$500,D$2,0),"Д")</f>
        <v>0</v>
      </c>
      <c r="E916" s="50">
        <f>SUMIFS(INDEX(Техника!$F$1:$ABM$500,E$2,0),Техника!$F$4:$ABM$4,"Часы",INDEX(Техника!$G$1:$ABN$500,E$2,0),$A$914,INDEX(Техника!$H$1:$ABO$500,E$2,0),"Д")</f>
        <v>0</v>
      </c>
      <c r="F916" s="50">
        <f>SUMIFS(INDEX(Техника!$F$1:$ABM$500,F$2,0),Техника!$F$4:$ABM$4,"Часы",INDEX(Техника!$G$1:$ABN$500,F$2,0),$A$914,INDEX(Техника!$H$1:$ABO$500,F$2,0),"Д")</f>
        <v>0</v>
      </c>
      <c r="G916" s="50">
        <f>SUMIFS(INDEX(Техника!$F$1:$ABM$500,G$2,0),Техника!$F$4:$ABM$4,"Часы",INDEX(Техника!$G$1:$ABN$500,G$2,0),$A$914,INDEX(Техника!$H$1:$ABO$500,G$2,0),"Д")</f>
        <v>0</v>
      </c>
      <c r="H916" s="50">
        <f>SUMIFS(INDEX(Техника!$F$1:$ABM$500,H$2,0),Техника!$F$4:$ABM$4,"Часы",INDEX(Техника!$G$1:$ABN$500,H$2,0),$A$914,INDEX(Техника!$H$1:$ABO$500,H$2,0),"Д")</f>
        <v>0</v>
      </c>
      <c r="I916" s="50">
        <f>SUMIFS(INDEX(Техника!$F$1:$ABM$500,I$2,0),Техника!$F$4:$ABM$4,"Часы",INDEX(Техника!$G$1:$ABN$500,I$2,0),$A$914,INDEX(Техника!$H$1:$ABO$500,I$2,0),"Д")</f>
        <v>0</v>
      </c>
      <c r="J916" s="50">
        <f>SUMIFS(INDEX(Техника!$F$1:$ABM$500,J$2,0),Техника!$F$4:$ABM$4,"Часы",INDEX(Техника!$G$1:$ABN$500,J$2,0),$A$914,INDEX(Техника!$H$1:$ABO$500,J$2,0),"Д")</f>
        <v>0</v>
      </c>
      <c r="K916" s="50">
        <f>SUMIFS(INDEX(Техника!$F$1:$ABM$500,K$2,0),Техника!$F$4:$ABM$4,"Часы",INDEX(Техника!$G$1:$ABN$500,K$2,0),$A$914,INDEX(Техника!$H$1:$ABO$500,K$2,0),"Д")</f>
        <v>0</v>
      </c>
      <c r="L916" s="50">
        <f>SUMIFS(INDEX(Техника!$F$1:$ABM$500,L$2,0),Техника!$F$4:$ABM$4,"Часы",INDEX(Техника!$G$1:$ABN$500,L$2,0),$A$914,INDEX(Техника!$H$1:$ABO$500,L$2,0),"Д")</f>
        <v>0</v>
      </c>
      <c r="M916" s="50">
        <f>SUMIFS(INDEX(Техника!$F$1:$ABM$500,M$2,0),Техника!$F$4:$ABM$4,"Часы",INDEX(Техника!$G$1:$ABN$500,M$2,0),$A$914,INDEX(Техника!$H$1:$ABO$500,M$2,0),"Д")</f>
        <v>0</v>
      </c>
      <c r="N916" s="50">
        <f>SUMIFS(INDEX(Техника!$F$1:$ABM$500,N$2,0),Техника!$F$4:$ABM$4,"Часы",INDEX(Техника!$G$1:$ABN$500,N$2,0),$A$914,INDEX(Техника!$H$1:$ABO$500,N$2,0),"Д")</f>
        <v>0</v>
      </c>
      <c r="O916" s="50">
        <f>SUMIFS(INDEX(Техника!$F$1:$ABM$500,O$2,0),Техника!$F$4:$ABM$4,"Часы",INDEX(Техника!$G$1:$ABN$500,O$2,0),$A$914,INDEX(Техника!$H$1:$ABO$500,O$2,0),"Д")</f>
        <v>0</v>
      </c>
      <c r="P916" s="50">
        <f>SUMIFS(INDEX(Техника!$F$1:$ABM$500,P$2,0),Техника!$F$4:$ABM$4,"Часы",INDEX(Техника!$G$1:$ABN$500,P$2,0),$A$914,INDEX(Техника!$H$1:$ABO$500,P$2,0),"Д")</f>
        <v>0</v>
      </c>
      <c r="Q916" s="50">
        <f>SUMIFS(INDEX(Техника!$F$1:$ABM$500,Q$2,0),Техника!$F$4:$ABM$4,"Часы",INDEX(Техника!$G$1:$ABN$500,Q$2,0),$A$914,INDEX(Техника!$H$1:$ABO$500,Q$2,0),"Д")</f>
        <v>0</v>
      </c>
      <c r="R916" s="50">
        <f>SUMIFS(INDEX(Техника!$F$1:$ABM$500,R$2,0),Техника!$F$4:$ABM$4,"Часы",INDEX(Техника!$G$1:$ABN$500,R$2,0),$A$914,INDEX(Техника!$H$1:$ABO$500,R$2,0),"Д")</f>
        <v>0</v>
      </c>
      <c r="S916" s="50">
        <f>SUMIFS(INDEX(Техника!$F$1:$ABM$500,S$2,0),Техника!$F$4:$ABM$4,"Часы",INDEX(Техника!$G$1:$ABN$500,S$2,0),$A$914,INDEX(Техника!$H$1:$ABO$500,S$2,0),"Д")</f>
        <v>0</v>
      </c>
      <c r="T916" s="50">
        <f>SUMIFS(INDEX(Техника!$F$1:$ABM$500,T$2,0),Техника!$F$4:$ABM$4,"Часы",INDEX(Техника!$G$1:$ABN$500,T$2,0),$A$914,INDEX(Техника!$H$1:$ABO$500,T$2,0),"Д")</f>
        <v>0</v>
      </c>
      <c r="U916" s="50">
        <f>SUMIFS(INDEX(Техника!$F$1:$ABM$500,U$2,0),Техника!$F$4:$ABM$4,"Часы",INDEX(Техника!$G$1:$ABN$500,U$2,0),$A$914,INDEX(Техника!$H$1:$ABO$500,U$2,0),"Д")</f>
        <v>0</v>
      </c>
      <c r="V916" s="50">
        <f>SUMIFS(INDEX(Техника!$F$1:$ABM$500,V$2,0),Техника!$F$4:$ABM$4,"Часы",INDEX(Техника!$G$1:$ABN$500,V$2,0),$A$914,INDEX(Техника!$H$1:$ABO$500,V$2,0),"Д")</f>
        <v>0</v>
      </c>
      <c r="W916" s="50">
        <f>SUMIFS(INDEX(Техника!$F$1:$ABM$500,W$2,0),Техника!$F$4:$ABM$4,"Часы",INDEX(Техника!$G$1:$ABN$500,W$2,0),$A$914,INDEX(Техника!$H$1:$ABO$500,W$2,0),"Д")</f>
        <v>0</v>
      </c>
      <c r="X916" s="50">
        <f>SUMIFS(INDEX(Техника!$F$1:$ABM$500,X$2,0),Техника!$F$4:$ABM$4,"Часы",INDEX(Техника!$G$1:$ABN$500,X$2,0),$A$914,INDEX(Техника!$H$1:$ABO$500,X$2,0),"Д")</f>
        <v>0</v>
      </c>
      <c r="Y916" s="50">
        <f>SUMIFS(INDEX(Техника!$F$1:$ABM$500,Y$2,0),Техника!$F$4:$ABM$4,"Часы",INDEX(Техника!$G$1:$ABN$500,Y$2,0),$A$914,INDEX(Техника!$H$1:$ABO$500,Y$2,0),"Д")</f>
        <v>0</v>
      </c>
      <c r="Z916" s="50">
        <f>SUMIFS(INDEX(Техника!$F$1:$ABM$500,Z$2,0),Техника!$F$4:$ABM$4,"Часы",INDEX(Техника!$G$1:$ABN$500,Z$2,0),$A$914,INDEX(Техника!$H$1:$ABO$500,Z$2,0),"Д")</f>
        <v>0</v>
      </c>
      <c r="AA916" s="50">
        <f>SUMIFS(INDEX(Техника!$F$1:$ABM$500,AA$2,0),Техника!$F$4:$ABM$4,"Часы",INDEX(Техника!$G$1:$ABN$500,AA$2,0),$A$914,INDEX(Техника!$H$1:$ABO$500,AA$2,0),"Д")</f>
        <v>0</v>
      </c>
      <c r="AB916" s="50">
        <f>SUMIFS(INDEX(Техника!$F$1:$ABM$500,AB$2,0),Техника!$F$4:$ABM$4,"Часы",INDEX(Техника!$G$1:$ABN$500,AB$2,0),$A$914,INDEX(Техника!$H$1:$ABO$500,AB$2,0),"Д")</f>
        <v>0</v>
      </c>
    </row>
    <row r="917" spans="1:28" hidden="1" outlineLevel="1" x14ac:dyDescent="0.3">
      <c r="A917" s="33" t="s">
        <v>276</v>
      </c>
      <c r="B917" s="34" t="s">
        <v>277</v>
      </c>
      <c r="C917" s="50">
        <f>SUMIFS(INDEX(Техника!$F$1:$ABM$500,C$2,0),Техника!$F$4:$ABM$4,"Часы",INDEX(Техника!$G$1:$ABN$500,C$2,0),$A$914,INDEX(Техника!$H$1:$ABO$500,C$2,0),"П")</f>
        <v>0</v>
      </c>
      <c r="D917" s="50">
        <f>SUMIFS(INDEX(Техника!$F$1:$ABM$500,D$2,0),Техника!$F$4:$ABM$4,"Часы",INDEX(Техника!$G$1:$ABN$500,D$2,0),$A$914,INDEX(Техника!$H$1:$ABO$500,D$2,0),"П")</f>
        <v>0</v>
      </c>
      <c r="E917" s="50">
        <f>SUMIFS(INDEX(Техника!$F$1:$ABM$500,E$2,0),Техника!$F$4:$ABM$4,"Часы",INDEX(Техника!$G$1:$ABN$500,E$2,0),$A$914,INDEX(Техника!$H$1:$ABO$500,E$2,0),"П")</f>
        <v>0</v>
      </c>
      <c r="F917" s="50">
        <f>SUMIFS(INDEX(Техника!$F$1:$ABM$500,F$2,0),Техника!$F$4:$ABM$4,"Часы",INDEX(Техника!$G$1:$ABN$500,F$2,0),$A$914,INDEX(Техника!$H$1:$ABO$500,F$2,0),"П")</f>
        <v>0</v>
      </c>
      <c r="G917" s="50">
        <f>SUMIFS(INDEX(Техника!$F$1:$ABM$500,G$2,0),Техника!$F$4:$ABM$4,"Часы",INDEX(Техника!$G$1:$ABN$500,G$2,0),$A$914,INDEX(Техника!$H$1:$ABO$500,G$2,0),"П")</f>
        <v>0</v>
      </c>
      <c r="H917" s="50">
        <f>SUMIFS(INDEX(Техника!$F$1:$ABM$500,H$2,0),Техника!$F$4:$ABM$4,"Часы",INDEX(Техника!$G$1:$ABN$500,H$2,0),$A$914,INDEX(Техника!$H$1:$ABO$500,H$2,0),"П")</f>
        <v>0</v>
      </c>
      <c r="I917" s="50">
        <f>SUMIFS(INDEX(Техника!$F$1:$ABM$500,I$2,0),Техника!$F$4:$ABM$4,"Часы",INDEX(Техника!$G$1:$ABN$500,I$2,0),$A$914,INDEX(Техника!$H$1:$ABO$500,I$2,0),"П")</f>
        <v>0</v>
      </c>
      <c r="J917" s="50">
        <f>SUMIFS(INDEX(Техника!$F$1:$ABM$500,J$2,0),Техника!$F$4:$ABM$4,"Часы",INDEX(Техника!$G$1:$ABN$500,J$2,0),$A$914,INDEX(Техника!$H$1:$ABO$500,J$2,0),"П")</f>
        <v>0</v>
      </c>
      <c r="K917" s="50">
        <f>SUMIFS(INDEX(Техника!$F$1:$ABM$500,K$2,0),Техника!$F$4:$ABM$4,"Часы",INDEX(Техника!$G$1:$ABN$500,K$2,0),$A$914,INDEX(Техника!$H$1:$ABO$500,K$2,0),"П")</f>
        <v>0</v>
      </c>
      <c r="L917" s="50">
        <f>SUMIFS(INDEX(Техника!$F$1:$ABM$500,L$2,0),Техника!$F$4:$ABM$4,"Часы",INDEX(Техника!$G$1:$ABN$500,L$2,0),$A$914,INDEX(Техника!$H$1:$ABO$500,L$2,0),"П")</f>
        <v>0</v>
      </c>
      <c r="M917" s="50">
        <f>SUMIFS(INDEX(Техника!$F$1:$ABM$500,M$2,0),Техника!$F$4:$ABM$4,"Часы",INDEX(Техника!$G$1:$ABN$500,M$2,0),$A$914,INDEX(Техника!$H$1:$ABO$500,M$2,0),"П")</f>
        <v>0</v>
      </c>
      <c r="N917" s="50">
        <f>SUMIFS(INDEX(Техника!$F$1:$ABM$500,N$2,0),Техника!$F$4:$ABM$4,"Часы",INDEX(Техника!$G$1:$ABN$500,N$2,0),$A$914,INDEX(Техника!$H$1:$ABO$500,N$2,0),"П")</f>
        <v>0</v>
      </c>
      <c r="O917" s="50">
        <f>SUMIFS(INDEX(Техника!$F$1:$ABM$500,O$2,0),Техника!$F$4:$ABM$4,"Часы",INDEX(Техника!$G$1:$ABN$500,O$2,0),$A$914,INDEX(Техника!$H$1:$ABO$500,O$2,0),"П")</f>
        <v>0</v>
      </c>
      <c r="P917" s="50">
        <f>SUMIFS(INDEX(Техника!$F$1:$ABM$500,P$2,0),Техника!$F$4:$ABM$4,"Часы",INDEX(Техника!$G$1:$ABN$500,P$2,0),$A$914,INDEX(Техника!$H$1:$ABO$500,P$2,0),"П")</f>
        <v>0</v>
      </c>
      <c r="Q917" s="50">
        <f>SUMIFS(INDEX(Техника!$F$1:$ABM$500,Q$2,0),Техника!$F$4:$ABM$4,"Часы",INDEX(Техника!$G$1:$ABN$500,Q$2,0),$A$914,INDEX(Техника!$H$1:$ABO$500,Q$2,0),"П")</f>
        <v>0</v>
      </c>
      <c r="R917" s="50">
        <f>SUMIFS(INDEX(Техника!$F$1:$ABM$500,R$2,0),Техника!$F$4:$ABM$4,"Часы",INDEX(Техника!$G$1:$ABN$500,R$2,0),$A$914,INDEX(Техника!$H$1:$ABO$500,R$2,0),"П")</f>
        <v>0</v>
      </c>
      <c r="S917" s="50">
        <f>SUMIFS(INDEX(Техника!$F$1:$ABM$500,S$2,0),Техника!$F$4:$ABM$4,"Часы",INDEX(Техника!$G$1:$ABN$500,S$2,0),$A$914,INDEX(Техника!$H$1:$ABO$500,S$2,0),"П")</f>
        <v>0</v>
      </c>
      <c r="T917" s="50">
        <f>SUMIFS(INDEX(Техника!$F$1:$ABM$500,T$2,0),Техника!$F$4:$ABM$4,"Часы",INDEX(Техника!$G$1:$ABN$500,T$2,0),$A$914,INDEX(Техника!$H$1:$ABO$500,T$2,0),"П")</f>
        <v>0</v>
      </c>
      <c r="U917" s="50">
        <f>SUMIFS(INDEX(Техника!$F$1:$ABM$500,U$2,0),Техника!$F$4:$ABM$4,"Часы",INDEX(Техника!$G$1:$ABN$500,U$2,0),$A$914,INDEX(Техника!$H$1:$ABO$500,U$2,0),"П")</f>
        <v>0</v>
      </c>
      <c r="V917" s="50">
        <f>SUMIFS(INDEX(Техника!$F$1:$ABM$500,V$2,0),Техника!$F$4:$ABM$4,"Часы",INDEX(Техника!$G$1:$ABN$500,V$2,0),$A$914,INDEX(Техника!$H$1:$ABO$500,V$2,0),"П")</f>
        <v>0</v>
      </c>
      <c r="W917" s="50">
        <f>SUMIFS(INDEX(Техника!$F$1:$ABM$500,W$2,0),Техника!$F$4:$ABM$4,"Часы",INDEX(Техника!$G$1:$ABN$500,W$2,0),$A$914,INDEX(Техника!$H$1:$ABO$500,W$2,0),"П")</f>
        <v>0</v>
      </c>
      <c r="X917" s="50">
        <f>SUMIFS(INDEX(Техника!$F$1:$ABM$500,X$2,0),Техника!$F$4:$ABM$4,"Часы",INDEX(Техника!$G$1:$ABN$500,X$2,0),$A$914,INDEX(Техника!$H$1:$ABO$500,X$2,0),"П")</f>
        <v>0</v>
      </c>
      <c r="Y917" s="50">
        <f>SUMIFS(INDEX(Техника!$F$1:$ABM$500,Y$2,0),Техника!$F$4:$ABM$4,"Часы",INDEX(Техника!$G$1:$ABN$500,Y$2,0),$A$914,INDEX(Техника!$H$1:$ABO$500,Y$2,0),"П")</f>
        <v>0</v>
      </c>
      <c r="Z917" s="50">
        <f>SUMIFS(INDEX(Техника!$F$1:$ABM$500,Z$2,0),Техника!$F$4:$ABM$4,"Часы",INDEX(Техника!$G$1:$ABN$500,Z$2,0),$A$914,INDEX(Техника!$H$1:$ABO$500,Z$2,0),"П")</f>
        <v>0</v>
      </c>
      <c r="AA917" s="50">
        <f>SUMIFS(INDEX(Техника!$F$1:$ABM$500,AA$2,0),Техника!$F$4:$ABM$4,"Часы",INDEX(Техника!$G$1:$ABN$500,AA$2,0),$A$914,INDEX(Техника!$H$1:$ABO$500,AA$2,0),"П")</f>
        <v>0</v>
      </c>
      <c r="AB917" s="50">
        <f>SUMIFS(INDEX(Техника!$F$1:$ABM$500,AB$2,0),Техника!$F$4:$ABM$4,"Часы",INDEX(Техника!$G$1:$ABN$500,AB$2,0),$A$914,INDEX(Техника!$H$1:$ABO$500,AB$2,0),"П")</f>
        <v>0</v>
      </c>
    </row>
    <row r="918" spans="1:28" hidden="1" outlineLevel="1" x14ac:dyDescent="0.3">
      <c r="A918" s="33" t="s">
        <v>243</v>
      </c>
      <c r="B918" s="34" t="s">
        <v>278</v>
      </c>
      <c r="C918" s="50">
        <f>SUMIFS(INDEX(Техника!$F$1:$ABM$500,C$2,0),Техника!$F$4:$ABM$4,"Часы",INDEX(Техника!$G$1:$ABN$500,C$2,0),$A$914,INDEX(Техника!$H$1:$ABO$500,C$2,0),"Л")</f>
        <v>0</v>
      </c>
      <c r="D918" s="50">
        <f>SUMIFS(INDEX(Техника!$F$1:$ABM$500,D$2,0),Техника!$F$4:$ABM$4,"Часы",INDEX(Техника!$G$1:$ABN$500,D$2,0),$A$914,INDEX(Техника!$H$1:$ABO$500,D$2,0),"Л")</f>
        <v>0</v>
      </c>
      <c r="E918" s="50">
        <f>SUMIFS(INDEX(Техника!$F$1:$ABM$500,E$2,0),Техника!$F$4:$ABM$4,"Часы",INDEX(Техника!$G$1:$ABN$500,E$2,0),$A$914,INDEX(Техника!$H$1:$ABO$500,E$2,0),"Л")</f>
        <v>0</v>
      </c>
      <c r="F918" s="50">
        <f>SUMIFS(INDEX(Техника!$F$1:$ABM$500,F$2,0),Техника!$F$4:$ABM$4,"Часы",INDEX(Техника!$G$1:$ABN$500,F$2,0),$A$914,INDEX(Техника!$H$1:$ABO$500,F$2,0),"Л")</f>
        <v>0</v>
      </c>
      <c r="G918" s="50">
        <f>SUMIFS(INDEX(Техника!$F$1:$ABM$500,G$2,0),Техника!$F$4:$ABM$4,"Часы",INDEX(Техника!$G$1:$ABN$500,G$2,0),$A$914,INDEX(Техника!$H$1:$ABO$500,G$2,0),"Л")</f>
        <v>0</v>
      </c>
      <c r="H918" s="50">
        <f>SUMIFS(INDEX(Техника!$F$1:$ABM$500,H$2,0),Техника!$F$4:$ABM$4,"Часы",INDEX(Техника!$G$1:$ABN$500,H$2,0),$A$914,INDEX(Техника!$H$1:$ABO$500,H$2,0),"Л")</f>
        <v>0</v>
      </c>
      <c r="I918" s="50">
        <f>SUMIFS(INDEX(Техника!$F$1:$ABM$500,I$2,0),Техника!$F$4:$ABM$4,"Часы",INDEX(Техника!$G$1:$ABN$500,I$2,0),$A$914,INDEX(Техника!$H$1:$ABO$500,I$2,0),"Л")</f>
        <v>0</v>
      </c>
      <c r="J918" s="50">
        <f>SUMIFS(INDEX(Техника!$F$1:$ABM$500,J$2,0),Техника!$F$4:$ABM$4,"Часы",INDEX(Техника!$G$1:$ABN$500,J$2,0),$A$914,INDEX(Техника!$H$1:$ABO$500,J$2,0),"Л")</f>
        <v>0</v>
      </c>
      <c r="K918" s="50">
        <f>SUMIFS(INDEX(Техника!$F$1:$ABM$500,K$2,0),Техника!$F$4:$ABM$4,"Часы",INDEX(Техника!$G$1:$ABN$500,K$2,0),$A$914,INDEX(Техника!$H$1:$ABO$500,K$2,0),"Л")</f>
        <v>0</v>
      </c>
      <c r="L918" s="50">
        <f>SUMIFS(INDEX(Техника!$F$1:$ABM$500,L$2,0),Техника!$F$4:$ABM$4,"Часы",INDEX(Техника!$G$1:$ABN$500,L$2,0),$A$914,INDEX(Техника!$H$1:$ABO$500,L$2,0),"Л")</f>
        <v>0</v>
      </c>
      <c r="M918" s="50">
        <f>SUMIFS(INDEX(Техника!$F$1:$ABM$500,M$2,0),Техника!$F$4:$ABM$4,"Часы",INDEX(Техника!$G$1:$ABN$500,M$2,0),$A$914,INDEX(Техника!$H$1:$ABO$500,M$2,0),"Л")</f>
        <v>0</v>
      </c>
      <c r="N918" s="50">
        <f>SUMIFS(INDEX(Техника!$F$1:$ABM$500,N$2,0),Техника!$F$4:$ABM$4,"Часы",INDEX(Техника!$G$1:$ABN$500,N$2,0),$A$914,INDEX(Техника!$H$1:$ABO$500,N$2,0),"Л")</f>
        <v>0</v>
      </c>
      <c r="O918" s="50">
        <f>SUMIFS(INDEX(Техника!$F$1:$ABM$500,O$2,0),Техника!$F$4:$ABM$4,"Часы",INDEX(Техника!$G$1:$ABN$500,O$2,0),$A$914,INDEX(Техника!$H$1:$ABO$500,O$2,0),"Л")</f>
        <v>0</v>
      </c>
      <c r="P918" s="50">
        <f>SUMIFS(INDEX(Техника!$F$1:$ABM$500,P$2,0),Техника!$F$4:$ABM$4,"Часы",INDEX(Техника!$G$1:$ABN$500,P$2,0),$A$914,INDEX(Техника!$H$1:$ABO$500,P$2,0),"Л")</f>
        <v>0</v>
      </c>
      <c r="Q918" s="50">
        <f>SUMIFS(INDEX(Техника!$F$1:$ABM$500,Q$2,0),Техника!$F$4:$ABM$4,"Часы",INDEX(Техника!$G$1:$ABN$500,Q$2,0),$A$914,INDEX(Техника!$H$1:$ABO$500,Q$2,0),"Л")</f>
        <v>0</v>
      </c>
      <c r="R918" s="50">
        <f>SUMIFS(INDEX(Техника!$F$1:$ABM$500,R$2,0),Техника!$F$4:$ABM$4,"Часы",INDEX(Техника!$G$1:$ABN$500,R$2,0),$A$914,INDEX(Техника!$H$1:$ABO$500,R$2,0),"Л")</f>
        <v>0</v>
      </c>
      <c r="S918" s="50">
        <f>SUMIFS(INDEX(Техника!$F$1:$ABM$500,S$2,0),Техника!$F$4:$ABM$4,"Часы",INDEX(Техника!$G$1:$ABN$500,S$2,0),$A$914,INDEX(Техника!$H$1:$ABO$500,S$2,0),"Л")</f>
        <v>0</v>
      </c>
      <c r="T918" s="50">
        <f>SUMIFS(INDEX(Техника!$F$1:$ABM$500,T$2,0),Техника!$F$4:$ABM$4,"Часы",INDEX(Техника!$G$1:$ABN$500,T$2,0),$A$914,INDEX(Техника!$H$1:$ABO$500,T$2,0),"Л")</f>
        <v>0</v>
      </c>
      <c r="U918" s="50">
        <f>SUMIFS(INDEX(Техника!$F$1:$ABM$500,U$2,0),Техника!$F$4:$ABM$4,"Часы",INDEX(Техника!$G$1:$ABN$500,U$2,0),$A$914,INDEX(Техника!$H$1:$ABO$500,U$2,0),"Л")</f>
        <v>0</v>
      </c>
      <c r="V918" s="50">
        <f>SUMIFS(INDEX(Техника!$F$1:$ABM$500,V$2,0),Техника!$F$4:$ABM$4,"Часы",INDEX(Техника!$G$1:$ABN$500,V$2,0),$A$914,INDEX(Техника!$H$1:$ABO$500,V$2,0),"Л")</f>
        <v>0</v>
      </c>
      <c r="W918" s="50">
        <f>SUMIFS(INDEX(Техника!$F$1:$ABM$500,W$2,0),Техника!$F$4:$ABM$4,"Часы",INDEX(Техника!$G$1:$ABN$500,W$2,0),$A$914,INDEX(Техника!$H$1:$ABO$500,W$2,0),"Л")</f>
        <v>0</v>
      </c>
      <c r="X918" s="50">
        <f>SUMIFS(INDEX(Техника!$F$1:$ABM$500,X$2,0),Техника!$F$4:$ABM$4,"Часы",INDEX(Техника!$G$1:$ABN$500,X$2,0),$A$914,INDEX(Техника!$H$1:$ABO$500,X$2,0),"Л")</f>
        <v>0</v>
      </c>
      <c r="Y918" s="50">
        <f>SUMIFS(INDEX(Техника!$F$1:$ABM$500,Y$2,0),Техника!$F$4:$ABM$4,"Часы",INDEX(Техника!$G$1:$ABN$500,Y$2,0),$A$914,INDEX(Техника!$H$1:$ABO$500,Y$2,0),"Л")</f>
        <v>0</v>
      </c>
      <c r="Z918" s="50">
        <f>SUMIFS(INDEX(Техника!$F$1:$ABM$500,Z$2,0),Техника!$F$4:$ABM$4,"Часы",INDEX(Техника!$G$1:$ABN$500,Z$2,0),$A$914,INDEX(Техника!$H$1:$ABO$500,Z$2,0),"Л")</f>
        <v>0</v>
      </c>
      <c r="AA918" s="50">
        <f>SUMIFS(INDEX(Техника!$F$1:$ABM$500,AA$2,0),Техника!$F$4:$ABM$4,"Часы",INDEX(Техника!$G$1:$ABN$500,AA$2,0),$A$914,INDEX(Техника!$H$1:$ABO$500,AA$2,0),"Л")</f>
        <v>0</v>
      </c>
      <c r="AB918" s="50">
        <f>SUMIFS(INDEX(Техника!$F$1:$ABM$500,AB$2,0),Техника!$F$4:$ABM$4,"Часы",INDEX(Техника!$G$1:$ABN$500,AB$2,0),$A$914,INDEX(Техника!$H$1:$ABO$500,AB$2,0),"Л")</f>
        <v>0</v>
      </c>
    </row>
    <row r="919" spans="1:28" hidden="1" outlineLevel="1" x14ac:dyDescent="0.3">
      <c r="A919" s="33" t="s">
        <v>245</v>
      </c>
      <c r="B919" s="34" t="s">
        <v>279</v>
      </c>
      <c r="C919" s="50">
        <f>SUMIFS(INDEX(Техника!$F$1:$ABM$500,C$2,0),Техника!$F$4:$ABM$4,"Часы",INDEX(Техника!$G$1:$ABN$500,C$2,0),$A$914,INDEX(Техника!$H$1:$ABO$500,C$2,0),"З")</f>
        <v>0</v>
      </c>
      <c r="D919" s="50">
        <f>SUMIFS(INDEX(Техника!$F$1:$ABM$500,D$2,0),Техника!$F$4:$ABM$4,"Часы",INDEX(Техника!$G$1:$ABN$500,D$2,0),$A$914,INDEX(Техника!$H$1:$ABO$500,D$2,0),"З")</f>
        <v>0</v>
      </c>
      <c r="E919" s="50">
        <f>SUMIFS(INDEX(Техника!$F$1:$ABM$500,E$2,0),Техника!$F$4:$ABM$4,"Часы",INDEX(Техника!$G$1:$ABN$500,E$2,0),$A$914,INDEX(Техника!$H$1:$ABO$500,E$2,0),"З")</f>
        <v>0</v>
      </c>
      <c r="F919" s="50">
        <f>SUMIFS(INDEX(Техника!$F$1:$ABM$500,F$2,0),Техника!$F$4:$ABM$4,"Часы",INDEX(Техника!$G$1:$ABN$500,F$2,0),$A$914,INDEX(Техника!$H$1:$ABO$500,F$2,0),"З")</f>
        <v>0</v>
      </c>
      <c r="G919" s="50">
        <f>SUMIFS(INDEX(Техника!$F$1:$ABM$500,G$2,0),Техника!$F$4:$ABM$4,"Часы",INDEX(Техника!$G$1:$ABN$500,G$2,0),$A$914,INDEX(Техника!$H$1:$ABO$500,G$2,0),"З")</f>
        <v>0</v>
      </c>
      <c r="H919" s="50">
        <f>SUMIFS(INDEX(Техника!$F$1:$ABM$500,H$2,0),Техника!$F$4:$ABM$4,"Часы",INDEX(Техника!$G$1:$ABN$500,H$2,0),$A$914,INDEX(Техника!$H$1:$ABO$500,H$2,0),"З")</f>
        <v>0</v>
      </c>
      <c r="I919" s="50">
        <f>SUMIFS(INDEX(Техника!$F$1:$ABM$500,I$2,0),Техника!$F$4:$ABM$4,"Часы",INDEX(Техника!$G$1:$ABN$500,I$2,0),$A$914,INDEX(Техника!$H$1:$ABO$500,I$2,0),"З")</f>
        <v>0</v>
      </c>
      <c r="J919" s="50">
        <f>SUMIFS(INDEX(Техника!$F$1:$ABM$500,J$2,0),Техника!$F$4:$ABM$4,"Часы",INDEX(Техника!$G$1:$ABN$500,J$2,0),$A$914,INDEX(Техника!$H$1:$ABO$500,J$2,0),"З")</f>
        <v>0</v>
      </c>
      <c r="K919" s="50">
        <f>SUMIFS(INDEX(Техника!$F$1:$ABM$500,K$2,0),Техника!$F$4:$ABM$4,"Часы",INDEX(Техника!$G$1:$ABN$500,K$2,0),$A$914,INDEX(Техника!$H$1:$ABO$500,K$2,0),"З")</f>
        <v>0</v>
      </c>
      <c r="L919" s="50">
        <f>SUMIFS(INDEX(Техника!$F$1:$ABM$500,L$2,0),Техника!$F$4:$ABM$4,"Часы",INDEX(Техника!$G$1:$ABN$500,L$2,0),$A$914,INDEX(Техника!$H$1:$ABO$500,L$2,0),"З")</f>
        <v>0</v>
      </c>
      <c r="M919" s="50">
        <f>SUMIFS(INDEX(Техника!$F$1:$ABM$500,M$2,0),Техника!$F$4:$ABM$4,"Часы",INDEX(Техника!$G$1:$ABN$500,M$2,0),$A$914,INDEX(Техника!$H$1:$ABO$500,M$2,0),"З")</f>
        <v>0</v>
      </c>
      <c r="N919" s="50">
        <f>SUMIFS(INDEX(Техника!$F$1:$ABM$500,N$2,0),Техника!$F$4:$ABM$4,"Часы",INDEX(Техника!$G$1:$ABN$500,N$2,0),$A$914,INDEX(Техника!$H$1:$ABO$500,N$2,0),"З")</f>
        <v>0</v>
      </c>
      <c r="O919" s="50">
        <f>SUMIFS(INDEX(Техника!$F$1:$ABM$500,O$2,0),Техника!$F$4:$ABM$4,"Часы",INDEX(Техника!$G$1:$ABN$500,O$2,0),$A$914,INDEX(Техника!$H$1:$ABO$500,O$2,0),"З")</f>
        <v>0</v>
      </c>
      <c r="P919" s="50">
        <f>SUMIFS(INDEX(Техника!$F$1:$ABM$500,P$2,0),Техника!$F$4:$ABM$4,"Часы",INDEX(Техника!$G$1:$ABN$500,P$2,0),$A$914,INDEX(Техника!$H$1:$ABO$500,P$2,0),"З")</f>
        <v>0</v>
      </c>
      <c r="Q919" s="50">
        <f>SUMIFS(INDEX(Техника!$F$1:$ABM$500,Q$2,0),Техника!$F$4:$ABM$4,"Часы",INDEX(Техника!$G$1:$ABN$500,Q$2,0),$A$914,INDEX(Техника!$H$1:$ABO$500,Q$2,0),"З")</f>
        <v>0</v>
      </c>
      <c r="R919" s="50">
        <f>SUMIFS(INDEX(Техника!$F$1:$ABM$500,R$2,0),Техника!$F$4:$ABM$4,"Часы",INDEX(Техника!$G$1:$ABN$500,R$2,0),$A$914,INDEX(Техника!$H$1:$ABO$500,R$2,0),"З")</f>
        <v>0</v>
      </c>
      <c r="S919" s="50">
        <f>SUMIFS(INDEX(Техника!$F$1:$ABM$500,S$2,0),Техника!$F$4:$ABM$4,"Часы",INDEX(Техника!$G$1:$ABN$500,S$2,0),$A$914,INDEX(Техника!$H$1:$ABO$500,S$2,0),"З")</f>
        <v>0</v>
      </c>
      <c r="T919" s="50">
        <f>SUMIFS(INDEX(Техника!$F$1:$ABM$500,T$2,0),Техника!$F$4:$ABM$4,"Часы",INDEX(Техника!$G$1:$ABN$500,T$2,0),$A$914,INDEX(Техника!$H$1:$ABO$500,T$2,0),"З")</f>
        <v>0</v>
      </c>
      <c r="U919" s="50">
        <f>SUMIFS(INDEX(Техника!$F$1:$ABM$500,U$2,0),Техника!$F$4:$ABM$4,"Часы",INDEX(Техника!$G$1:$ABN$500,U$2,0),$A$914,INDEX(Техника!$H$1:$ABO$500,U$2,0),"З")</f>
        <v>0</v>
      </c>
      <c r="V919" s="50">
        <f>SUMIFS(INDEX(Техника!$F$1:$ABM$500,V$2,0),Техника!$F$4:$ABM$4,"Часы",INDEX(Техника!$G$1:$ABN$500,V$2,0),$A$914,INDEX(Техника!$H$1:$ABO$500,V$2,0),"З")</f>
        <v>0</v>
      </c>
      <c r="W919" s="50">
        <f>SUMIFS(INDEX(Техника!$F$1:$ABM$500,W$2,0),Техника!$F$4:$ABM$4,"Часы",INDEX(Техника!$G$1:$ABN$500,W$2,0),$A$914,INDEX(Техника!$H$1:$ABO$500,W$2,0),"З")</f>
        <v>0</v>
      </c>
      <c r="X919" s="50">
        <f>SUMIFS(INDEX(Техника!$F$1:$ABM$500,X$2,0),Техника!$F$4:$ABM$4,"Часы",INDEX(Техника!$G$1:$ABN$500,X$2,0),$A$914,INDEX(Техника!$H$1:$ABO$500,X$2,0),"З")</f>
        <v>0</v>
      </c>
      <c r="Y919" s="50">
        <f>SUMIFS(INDEX(Техника!$F$1:$ABM$500,Y$2,0),Техника!$F$4:$ABM$4,"Часы",INDEX(Техника!$G$1:$ABN$500,Y$2,0),$A$914,INDEX(Техника!$H$1:$ABO$500,Y$2,0),"З")</f>
        <v>0</v>
      </c>
      <c r="Z919" s="50">
        <f>SUMIFS(INDEX(Техника!$F$1:$ABM$500,Z$2,0),Техника!$F$4:$ABM$4,"Часы",INDEX(Техника!$G$1:$ABN$500,Z$2,0),$A$914,INDEX(Техника!$H$1:$ABO$500,Z$2,0),"З")</f>
        <v>0</v>
      </c>
      <c r="AA919" s="50">
        <f>SUMIFS(INDEX(Техника!$F$1:$ABM$500,AA$2,0),Техника!$F$4:$ABM$4,"Часы",INDEX(Техника!$G$1:$ABN$500,AA$2,0),$A$914,INDEX(Техника!$H$1:$ABO$500,AA$2,0),"З")</f>
        <v>0</v>
      </c>
      <c r="AB919" s="50">
        <f>SUMIFS(INDEX(Техника!$F$1:$ABM$500,AB$2,0),Техника!$F$4:$ABM$4,"Часы",INDEX(Техника!$G$1:$ABN$500,AB$2,0),$A$914,INDEX(Техника!$H$1:$ABO$500,AB$2,0),"З")</f>
        <v>0</v>
      </c>
    </row>
    <row r="920" spans="1:28" ht="7.95" customHeight="1" x14ac:dyDescent="0.3">
      <c r="A920" s="38"/>
      <c r="B920" s="39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</row>
    <row r="921" spans="1:28" ht="25.05" customHeight="1" collapsed="1" x14ac:dyDescent="0.3">
      <c r="A921" s="32">
        <v>132</v>
      </c>
      <c r="B921" s="32" t="s">
        <v>133</v>
      </c>
      <c r="C921" s="49">
        <f>SUM(C922:C926)</f>
        <v>0</v>
      </c>
      <c r="D921" s="49">
        <f>SUM(D922:D926)</f>
        <v>0</v>
      </c>
      <c r="E921" s="49">
        <f>SUM(E922:E926)</f>
        <v>0</v>
      </c>
      <c r="F921" s="49">
        <f>SUM(F922:F926)</f>
        <v>0</v>
      </c>
      <c r="G921" s="49">
        <f>SUM(G922:G926)</f>
        <v>0</v>
      </c>
      <c r="H921" s="49">
        <f>SUM(H922:H926)</f>
        <v>0</v>
      </c>
      <c r="I921" s="49">
        <f>SUM(I922:I926)</f>
        <v>0</v>
      </c>
      <c r="J921" s="49">
        <f>SUM(J922:J926)</f>
        <v>0</v>
      </c>
      <c r="K921" s="49">
        <f>SUM(K922:K926)</f>
        <v>0</v>
      </c>
      <c r="L921" s="49">
        <f>SUM(L922:L926)</f>
        <v>0</v>
      </c>
      <c r="M921" s="49">
        <f>SUM(M922:M926)</f>
        <v>0</v>
      </c>
      <c r="N921" s="49">
        <f>SUM(N922:N926)</f>
        <v>0</v>
      </c>
      <c r="O921" s="49">
        <f>SUM(O922:O926)</f>
        <v>0</v>
      </c>
      <c r="P921" s="49">
        <f>SUM(P922:P926)</f>
        <v>0</v>
      </c>
      <c r="Q921" s="49">
        <f>SUM(Q922:Q926)</f>
        <v>0</v>
      </c>
      <c r="R921" s="49">
        <f>SUM(R922:R926)</f>
        <v>0</v>
      </c>
      <c r="S921" s="49">
        <f>SUM(S922:S926)</f>
        <v>0</v>
      </c>
      <c r="T921" s="49">
        <f>SUM(T922:T926)</f>
        <v>0</v>
      </c>
      <c r="U921" s="49">
        <f>SUM(U922:U926)</f>
        <v>0</v>
      </c>
      <c r="V921" s="49">
        <f>SUM(V922:V926)</f>
        <v>0</v>
      </c>
      <c r="W921" s="49">
        <f>SUM(W922:W926)</f>
        <v>0</v>
      </c>
      <c r="X921" s="49">
        <f>SUM(X922:X926)</f>
        <v>0</v>
      </c>
      <c r="Y921" s="49">
        <f>SUM(Y922:Y926)</f>
        <v>0</v>
      </c>
      <c r="Z921" s="49">
        <f>SUM(Z922:Z926)</f>
        <v>0</v>
      </c>
      <c r="AA921" s="49">
        <f>SUM(AA922:AA926)</f>
        <v>0</v>
      </c>
      <c r="AB921" s="49">
        <f>SUM(AB922:AB926)</f>
        <v>0</v>
      </c>
    </row>
    <row r="922" spans="1:28" hidden="1" outlineLevel="1" x14ac:dyDescent="0.3">
      <c r="A922" s="33" t="s">
        <v>246</v>
      </c>
      <c r="B922" s="34" t="s">
        <v>274</v>
      </c>
      <c r="C922" s="50">
        <f>SUMIFS(INDEX(Техника!$F$1:$ABM$500,C$2,0),Техника!$F$4:$ABM$4,"Часы",INDEX(Техника!$G$1:$ABN$500,C$2,0),$A$921,INDEX(Техника!$H$1:$ABO$500,C$2,0),"М")</f>
        <v>0</v>
      </c>
      <c r="D922" s="50">
        <f>SUMIFS(INDEX(Техника!$F$1:$ABM$500,D$2,0),Техника!$F$4:$ABM$4,"Часы",INDEX(Техника!$G$1:$ABN$500,D$2,0),$A$921,INDEX(Техника!$H$1:$ABO$500,D$2,0),"М")</f>
        <v>0</v>
      </c>
      <c r="E922" s="50">
        <f>SUMIFS(INDEX(Техника!$F$1:$ABM$500,E$2,0),Техника!$F$4:$ABM$4,"Часы",INDEX(Техника!$G$1:$ABN$500,E$2,0),$A$921,INDEX(Техника!$H$1:$ABO$500,E$2,0),"М")</f>
        <v>0</v>
      </c>
      <c r="F922" s="50">
        <f>SUMIFS(INDEX(Техника!$F$1:$ABM$500,F$2,0),Техника!$F$4:$ABM$4,"Часы",INDEX(Техника!$G$1:$ABN$500,F$2,0),$A$921,INDEX(Техника!$H$1:$ABO$500,F$2,0),"М")</f>
        <v>0</v>
      </c>
      <c r="G922" s="50">
        <f>SUMIFS(INDEX(Техника!$F$1:$ABM$500,G$2,0),Техника!$F$4:$ABM$4,"Часы",INDEX(Техника!$G$1:$ABN$500,G$2,0),$A$921,INDEX(Техника!$H$1:$ABO$500,G$2,0),"М")</f>
        <v>0</v>
      </c>
      <c r="H922" s="50">
        <f>SUMIFS(INDEX(Техника!$F$1:$ABM$500,H$2,0),Техника!$F$4:$ABM$4,"Часы",INDEX(Техника!$G$1:$ABN$500,H$2,0),$A$921,INDEX(Техника!$H$1:$ABO$500,H$2,0),"М")</f>
        <v>0</v>
      </c>
      <c r="I922" s="50">
        <f>SUMIFS(INDEX(Техника!$F$1:$ABM$500,I$2,0),Техника!$F$4:$ABM$4,"Часы",INDEX(Техника!$G$1:$ABN$500,I$2,0),$A$921,INDEX(Техника!$H$1:$ABO$500,I$2,0),"М")</f>
        <v>0</v>
      </c>
      <c r="J922" s="50">
        <f>SUMIFS(INDEX(Техника!$F$1:$ABM$500,J$2,0),Техника!$F$4:$ABM$4,"Часы",INDEX(Техника!$G$1:$ABN$500,J$2,0),$A$921,INDEX(Техника!$H$1:$ABO$500,J$2,0),"М")</f>
        <v>0</v>
      </c>
      <c r="K922" s="50">
        <f>SUMIFS(INDEX(Техника!$F$1:$ABM$500,K$2,0),Техника!$F$4:$ABM$4,"Часы",INDEX(Техника!$G$1:$ABN$500,K$2,0),$A$921,INDEX(Техника!$H$1:$ABO$500,K$2,0),"М")</f>
        <v>0</v>
      </c>
      <c r="L922" s="50">
        <f>SUMIFS(INDEX(Техника!$F$1:$ABM$500,L$2,0),Техника!$F$4:$ABM$4,"Часы",INDEX(Техника!$G$1:$ABN$500,L$2,0),$A$921,INDEX(Техника!$H$1:$ABO$500,L$2,0),"М")</f>
        <v>0</v>
      </c>
      <c r="M922" s="50">
        <f>SUMIFS(INDEX(Техника!$F$1:$ABM$500,M$2,0),Техника!$F$4:$ABM$4,"Часы",INDEX(Техника!$G$1:$ABN$500,M$2,0),$A$921,INDEX(Техника!$H$1:$ABO$500,M$2,0),"М")</f>
        <v>0</v>
      </c>
      <c r="N922" s="50">
        <f>SUMIFS(INDEX(Техника!$F$1:$ABM$500,N$2,0),Техника!$F$4:$ABM$4,"Часы",INDEX(Техника!$G$1:$ABN$500,N$2,0),$A$921,INDEX(Техника!$H$1:$ABO$500,N$2,0),"М")</f>
        <v>0</v>
      </c>
      <c r="O922" s="50">
        <f>SUMIFS(INDEX(Техника!$F$1:$ABM$500,O$2,0),Техника!$F$4:$ABM$4,"Часы",INDEX(Техника!$G$1:$ABN$500,O$2,0),$A$921,INDEX(Техника!$H$1:$ABO$500,O$2,0),"М")</f>
        <v>0</v>
      </c>
      <c r="P922" s="50">
        <f>SUMIFS(INDEX(Техника!$F$1:$ABM$500,P$2,0),Техника!$F$4:$ABM$4,"Часы",INDEX(Техника!$G$1:$ABN$500,P$2,0),$A$921,INDEX(Техника!$H$1:$ABO$500,P$2,0),"М")</f>
        <v>0</v>
      </c>
      <c r="Q922" s="50">
        <f>SUMIFS(INDEX(Техника!$F$1:$ABM$500,Q$2,0),Техника!$F$4:$ABM$4,"Часы",INDEX(Техника!$G$1:$ABN$500,Q$2,0),$A$921,INDEX(Техника!$H$1:$ABO$500,Q$2,0),"М")</f>
        <v>0</v>
      </c>
      <c r="R922" s="50">
        <f>SUMIFS(INDEX(Техника!$F$1:$ABM$500,R$2,0),Техника!$F$4:$ABM$4,"Часы",INDEX(Техника!$G$1:$ABN$500,R$2,0),$A$921,INDEX(Техника!$H$1:$ABO$500,R$2,0),"М")</f>
        <v>0</v>
      </c>
      <c r="S922" s="50">
        <f>SUMIFS(INDEX(Техника!$F$1:$ABM$500,S$2,0),Техника!$F$4:$ABM$4,"Часы",INDEX(Техника!$G$1:$ABN$500,S$2,0),$A$921,INDEX(Техника!$H$1:$ABO$500,S$2,0),"М")</f>
        <v>0</v>
      </c>
      <c r="T922" s="50">
        <f>SUMIFS(INDEX(Техника!$F$1:$ABM$500,T$2,0),Техника!$F$4:$ABM$4,"Часы",INDEX(Техника!$G$1:$ABN$500,T$2,0),$A$921,INDEX(Техника!$H$1:$ABO$500,T$2,0),"М")</f>
        <v>0</v>
      </c>
      <c r="U922" s="50">
        <f>SUMIFS(INDEX(Техника!$F$1:$ABM$500,U$2,0),Техника!$F$4:$ABM$4,"Часы",INDEX(Техника!$G$1:$ABN$500,U$2,0),$A$921,INDEX(Техника!$H$1:$ABO$500,U$2,0),"М")</f>
        <v>0</v>
      </c>
      <c r="V922" s="50">
        <f>SUMIFS(INDEX(Техника!$F$1:$ABM$500,V$2,0),Техника!$F$4:$ABM$4,"Часы",INDEX(Техника!$G$1:$ABN$500,V$2,0),$A$921,INDEX(Техника!$H$1:$ABO$500,V$2,0),"М")</f>
        <v>0</v>
      </c>
      <c r="W922" s="50">
        <f>SUMIFS(INDEX(Техника!$F$1:$ABM$500,W$2,0),Техника!$F$4:$ABM$4,"Часы",INDEX(Техника!$G$1:$ABN$500,W$2,0),$A$921,INDEX(Техника!$H$1:$ABO$500,W$2,0),"М")</f>
        <v>0</v>
      </c>
      <c r="X922" s="50">
        <f>SUMIFS(INDEX(Техника!$F$1:$ABM$500,X$2,0),Техника!$F$4:$ABM$4,"Часы",INDEX(Техника!$G$1:$ABN$500,X$2,0),$A$921,INDEX(Техника!$H$1:$ABO$500,X$2,0),"М")</f>
        <v>0</v>
      </c>
      <c r="Y922" s="50">
        <f>SUMIFS(INDEX(Техника!$F$1:$ABM$500,Y$2,0),Техника!$F$4:$ABM$4,"Часы",INDEX(Техника!$G$1:$ABN$500,Y$2,0),$A$921,INDEX(Техника!$H$1:$ABO$500,Y$2,0),"М")</f>
        <v>0</v>
      </c>
      <c r="Z922" s="50">
        <f>SUMIFS(INDEX(Техника!$F$1:$ABM$500,Z$2,0),Техника!$F$4:$ABM$4,"Часы",INDEX(Техника!$G$1:$ABN$500,Z$2,0),$A$921,INDEX(Техника!$H$1:$ABO$500,Z$2,0),"М")</f>
        <v>0</v>
      </c>
      <c r="AA922" s="50">
        <f>SUMIFS(INDEX(Техника!$F$1:$ABM$500,AA$2,0),Техника!$F$4:$ABM$4,"Часы",INDEX(Техника!$G$1:$ABN$500,AA$2,0),$A$921,INDEX(Техника!$H$1:$ABO$500,AA$2,0),"М")</f>
        <v>0</v>
      </c>
      <c r="AB922" s="50">
        <f>SUMIFS(INDEX(Техника!$F$1:$ABM$500,AB$2,0),Техника!$F$4:$ABM$4,"Часы",INDEX(Техника!$G$1:$ABN$500,AB$2,0),$A$921,INDEX(Техника!$H$1:$ABO$500,AB$2,0),"М")</f>
        <v>0</v>
      </c>
    </row>
    <row r="923" spans="1:28" hidden="1" outlineLevel="1" x14ac:dyDescent="0.3">
      <c r="A923" s="33" t="s">
        <v>244</v>
      </c>
      <c r="B923" s="34" t="s">
        <v>275</v>
      </c>
      <c r="C923" s="50">
        <f>SUMIFS(INDEX(Техника!$F$1:$ABM$500,C$2,0),Техника!$F$4:$ABM$4,"Часы",INDEX(Техника!$G$1:$ABN$500,C$2,0),$A$921,INDEX(Техника!$H$1:$ABO$500,C$2,0),"Д")</f>
        <v>0</v>
      </c>
      <c r="D923" s="50">
        <f>SUMIFS(INDEX(Техника!$F$1:$ABM$500,D$2,0),Техника!$F$4:$ABM$4,"Часы",INDEX(Техника!$G$1:$ABN$500,D$2,0),$A$921,INDEX(Техника!$H$1:$ABO$500,D$2,0),"Д")</f>
        <v>0</v>
      </c>
      <c r="E923" s="50">
        <f>SUMIFS(INDEX(Техника!$F$1:$ABM$500,E$2,0),Техника!$F$4:$ABM$4,"Часы",INDEX(Техника!$G$1:$ABN$500,E$2,0),$A$921,INDEX(Техника!$H$1:$ABO$500,E$2,0),"Д")</f>
        <v>0</v>
      </c>
      <c r="F923" s="50">
        <f>SUMIFS(INDEX(Техника!$F$1:$ABM$500,F$2,0),Техника!$F$4:$ABM$4,"Часы",INDEX(Техника!$G$1:$ABN$500,F$2,0),$A$921,INDEX(Техника!$H$1:$ABO$500,F$2,0),"Д")</f>
        <v>0</v>
      </c>
      <c r="G923" s="50">
        <f>SUMIFS(INDEX(Техника!$F$1:$ABM$500,G$2,0),Техника!$F$4:$ABM$4,"Часы",INDEX(Техника!$G$1:$ABN$500,G$2,0),$A$921,INDEX(Техника!$H$1:$ABO$500,G$2,0),"Д")</f>
        <v>0</v>
      </c>
      <c r="H923" s="50">
        <f>SUMIFS(INDEX(Техника!$F$1:$ABM$500,H$2,0),Техника!$F$4:$ABM$4,"Часы",INDEX(Техника!$G$1:$ABN$500,H$2,0),$A$921,INDEX(Техника!$H$1:$ABO$500,H$2,0),"Д")</f>
        <v>0</v>
      </c>
      <c r="I923" s="50">
        <f>SUMIFS(INDEX(Техника!$F$1:$ABM$500,I$2,0),Техника!$F$4:$ABM$4,"Часы",INDEX(Техника!$G$1:$ABN$500,I$2,0),$A$921,INDEX(Техника!$H$1:$ABO$500,I$2,0),"Д")</f>
        <v>0</v>
      </c>
      <c r="J923" s="50">
        <f>SUMIFS(INDEX(Техника!$F$1:$ABM$500,J$2,0),Техника!$F$4:$ABM$4,"Часы",INDEX(Техника!$G$1:$ABN$500,J$2,0),$A$921,INDEX(Техника!$H$1:$ABO$500,J$2,0),"Д")</f>
        <v>0</v>
      </c>
      <c r="K923" s="50">
        <f>SUMIFS(INDEX(Техника!$F$1:$ABM$500,K$2,0),Техника!$F$4:$ABM$4,"Часы",INDEX(Техника!$G$1:$ABN$500,K$2,0),$A$921,INDEX(Техника!$H$1:$ABO$500,K$2,0),"Д")</f>
        <v>0</v>
      </c>
      <c r="L923" s="50">
        <f>SUMIFS(INDEX(Техника!$F$1:$ABM$500,L$2,0),Техника!$F$4:$ABM$4,"Часы",INDEX(Техника!$G$1:$ABN$500,L$2,0),$A$921,INDEX(Техника!$H$1:$ABO$500,L$2,0),"Д")</f>
        <v>0</v>
      </c>
      <c r="M923" s="50">
        <f>SUMIFS(INDEX(Техника!$F$1:$ABM$500,M$2,0),Техника!$F$4:$ABM$4,"Часы",INDEX(Техника!$G$1:$ABN$500,M$2,0),$A$921,INDEX(Техника!$H$1:$ABO$500,M$2,0),"Д")</f>
        <v>0</v>
      </c>
      <c r="N923" s="50">
        <f>SUMIFS(INDEX(Техника!$F$1:$ABM$500,N$2,0),Техника!$F$4:$ABM$4,"Часы",INDEX(Техника!$G$1:$ABN$500,N$2,0),$A$921,INDEX(Техника!$H$1:$ABO$500,N$2,0),"Д")</f>
        <v>0</v>
      </c>
      <c r="O923" s="50">
        <f>SUMIFS(INDEX(Техника!$F$1:$ABM$500,O$2,0),Техника!$F$4:$ABM$4,"Часы",INDEX(Техника!$G$1:$ABN$500,O$2,0),$A$921,INDEX(Техника!$H$1:$ABO$500,O$2,0),"Д")</f>
        <v>0</v>
      </c>
      <c r="P923" s="50">
        <f>SUMIFS(INDEX(Техника!$F$1:$ABM$500,P$2,0),Техника!$F$4:$ABM$4,"Часы",INDEX(Техника!$G$1:$ABN$500,P$2,0),$A$921,INDEX(Техника!$H$1:$ABO$500,P$2,0),"Д")</f>
        <v>0</v>
      </c>
      <c r="Q923" s="50">
        <f>SUMIFS(INDEX(Техника!$F$1:$ABM$500,Q$2,0),Техника!$F$4:$ABM$4,"Часы",INDEX(Техника!$G$1:$ABN$500,Q$2,0),$A$921,INDEX(Техника!$H$1:$ABO$500,Q$2,0),"Д")</f>
        <v>0</v>
      </c>
      <c r="R923" s="50">
        <f>SUMIFS(INDEX(Техника!$F$1:$ABM$500,R$2,0),Техника!$F$4:$ABM$4,"Часы",INDEX(Техника!$G$1:$ABN$500,R$2,0),$A$921,INDEX(Техника!$H$1:$ABO$500,R$2,0),"Д")</f>
        <v>0</v>
      </c>
      <c r="S923" s="50">
        <f>SUMIFS(INDEX(Техника!$F$1:$ABM$500,S$2,0),Техника!$F$4:$ABM$4,"Часы",INDEX(Техника!$G$1:$ABN$500,S$2,0),$A$921,INDEX(Техника!$H$1:$ABO$500,S$2,0),"Д")</f>
        <v>0</v>
      </c>
      <c r="T923" s="50">
        <f>SUMIFS(INDEX(Техника!$F$1:$ABM$500,T$2,0),Техника!$F$4:$ABM$4,"Часы",INDEX(Техника!$G$1:$ABN$500,T$2,0),$A$921,INDEX(Техника!$H$1:$ABO$500,T$2,0),"Д")</f>
        <v>0</v>
      </c>
      <c r="U923" s="50">
        <f>SUMIFS(INDEX(Техника!$F$1:$ABM$500,U$2,0),Техника!$F$4:$ABM$4,"Часы",INDEX(Техника!$G$1:$ABN$500,U$2,0),$A$921,INDEX(Техника!$H$1:$ABO$500,U$2,0),"Д")</f>
        <v>0</v>
      </c>
      <c r="V923" s="50">
        <f>SUMIFS(INDEX(Техника!$F$1:$ABM$500,V$2,0),Техника!$F$4:$ABM$4,"Часы",INDEX(Техника!$G$1:$ABN$500,V$2,0),$A$921,INDEX(Техника!$H$1:$ABO$500,V$2,0),"Д")</f>
        <v>0</v>
      </c>
      <c r="W923" s="50">
        <f>SUMIFS(INDEX(Техника!$F$1:$ABM$500,W$2,0),Техника!$F$4:$ABM$4,"Часы",INDEX(Техника!$G$1:$ABN$500,W$2,0),$A$921,INDEX(Техника!$H$1:$ABO$500,W$2,0),"Д")</f>
        <v>0</v>
      </c>
      <c r="X923" s="50">
        <f>SUMIFS(INDEX(Техника!$F$1:$ABM$500,X$2,0),Техника!$F$4:$ABM$4,"Часы",INDEX(Техника!$G$1:$ABN$500,X$2,0),$A$921,INDEX(Техника!$H$1:$ABO$500,X$2,0),"Д")</f>
        <v>0</v>
      </c>
      <c r="Y923" s="50">
        <f>SUMIFS(INDEX(Техника!$F$1:$ABM$500,Y$2,0),Техника!$F$4:$ABM$4,"Часы",INDEX(Техника!$G$1:$ABN$500,Y$2,0),$A$921,INDEX(Техника!$H$1:$ABO$500,Y$2,0),"Д")</f>
        <v>0</v>
      </c>
      <c r="Z923" s="50">
        <f>SUMIFS(INDEX(Техника!$F$1:$ABM$500,Z$2,0),Техника!$F$4:$ABM$4,"Часы",INDEX(Техника!$G$1:$ABN$500,Z$2,0),$A$921,INDEX(Техника!$H$1:$ABO$500,Z$2,0),"Д")</f>
        <v>0</v>
      </c>
      <c r="AA923" s="50">
        <f>SUMIFS(INDEX(Техника!$F$1:$ABM$500,AA$2,0),Техника!$F$4:$ABM$4,"Часы",INDEX(Техника!$G$1:$ABN$500,AA$2,0),$A$921,INDEX(Техника!$H$1:$ABO$500,AA$2,0),"Д")</f>
        <v>0</v>
      </c>
      <c r="AB923" s="50">
        <f>SUMIFS(INDEX(Техника!$F$1:$ABM$500,AB$2,0),Техника!$F$4:$ABM$4,"Часы",INDEX(Техника!$G$1:$ABN$500,AB$2,0),$A$921,INDEX(Техника!$H$1:$ABO$500,AB$2,0),"Д")</f>
        <v>0</v>
      </c>
    </row>
    <row r="924" spans="1:28" hidden="1" outlineLevel="1" x14ac:dyDescent="0.3">
      <c r="A924" s="33" t="s">
        <v>276</v>
      </c>
      <c r="B924" s="34" t="s">
        <v>277</v>
      </c>
      <c r="C924" s="50">
        <f>SUMIFS(INDEX(Техника!$F$1:$ABM$500,C$2,0),Техника!$F$4:$ABM$4,"Часы",INDEX(Техника!$G$1:$ABN$500,C$2,0),$A$921,INDEX(Техника!$H$1:$ABO$500,C$2,0),"П")</f>
        <v>0</v>
      </c>
      <c r="D924" s="50">
        <f>SUMIFS(INDEX(Техника!$F$1:$ABM$500,D$2,0),Техника!$F$4:$ABM$4,"Часы",INDEX(Техника!$G$1:$ABN$500,D$2,0),$A$921,INDEX(Техника!$H$1:$ABO$500,D$2,0),"П")</f>
        <v>0</v>
      </c>
      <c r="E924" s="50">
        <f>SUMIFS(INDEX(Техника!$F$1:$ABM$500,E$2,0),Техника!$F$4:$ABM$4,"Часы",INDEX(Техника!$G$1:$ABN$500,E$2,0),$A$921,INDEX(Техника!$H$1:$ABO$500,E$2,0),"П")</f>
        <v>0</v>
      </c>
      <c r="F924" s="50">
        <f>SUMIFS(INDEX(Техника!$F$1:$ABM$500,F$2,0),Техника!$F$4:$ABM$4,"Часы",INDEX(Техника!$G$1:$ABN$500,F$2,0),$A$921,INDEX(Техника!$H$1:$ABO$500,F$2,0),"П")</f>
        <v>0</v>
      </c>
      <c r="G924" s="50">
        <f>SUMIFS(INDEX(Техника!$F$1:$ABM$500,G$2,0),Техника!$F$4:$ABM$4,"Часы",INDEX(Техника!$G$1:$ABN$500,G$2,0),$A$921,INDEX(Техника!$H$1:$ABO$500,G$2,0),"П")</f>
        <v>0</v>
      </c>
      <c r="H924" s="50">
        <f>SUMIFS(INDEX(Техника!$F$1:$ABM$500,H$2,0),Техника!$F$4:$ABM$4,"Часы",INDEX(Техника!$G$1:$ABN$500,H$2,0),$A$921,INDEX(Техника!$H$1:$ABO$500,H$2,0),"П")</f>
        <v>0</v>
      </c>
      <c r="I924" s="50">
        <f>SUMIFS(INDEX(Техника!$F$1:$ABM$500,I$2,0),Техника!$F$4:$ABM$4,"Часы",INDEX(Техника!$G$1:$ABN$500,I$2,0),$A$921,INDEX(Техника!$H$1:$ABO$500,I$2,0),"П")</f>
        <v>0</v>
      </c>
      <c r="J924" s="50">
        <f>SUMIFS(INDEX(Техника!$F$1:$ABM$500,J$2,0),Техника!$F$4:$ABM$4,"Часы",INDEX(Техника!$G$1:$ABN$500,J$2,0),$A$921,INDEX(Техника!$H$1:$ABO$500,J$2,0),"П")</f>
        <v>0</v>
      </c>
      <c r="K924" s="50">
        <f>SUMIFS(INDEX(Техника!$F$1:$ABM$500,K$2,0),Техника!$F$4:$ABM$4,"Часы",INDEX(Техника!$G$1:$ABN$500,K$2,0),$A$921,INDEX(Техника!$H$1:$ABO$500,K$2,0),"П")</f>
        <v>0</v>
      </c>
      <c r="L924" s="50">
        <f>SUMIFS(INDEX(Техника!$F$1:$ABM$500,L$2,0),Техника!$F$4:$ABM$4,"Часы",INDEX(Техника!$G$1:$ABN$500,L$2,0),$A$921,INDEX(Техника!$H$1:$ABO$500,L$2,0),"П")</f>
        <v>0</v>
      </c>
      <c r="M924" s="50">
        <f>SUMIFS(INDEX(Техника!$F$1:$ABM$500,M$2,0),Техника!$F$4:$ABM$4,"Часы",INDEX(Техника!$G$1:$ABN$500,M$2,0),$A$921,INDEX(Техника!$H$1:$ABO$500,M$2,0),"П")</f>
        <v>0</v>
      </c>
      <c r="N924" s="50">
        <f>SUMIFS(INDEX(Техника!$F$1:$ABM$500,N$2,0),Техника!$F$4:$ABM$4,"Часы",INDEX(Техника!$G$1:$ABN$500,N$2,0),$A$921,INDEX(Техника!$H$1:$ABO$500,N$2,0),"П")</f>
        <v>0</v>
      </c>
      <c r="O924" s="50">
        <f>SUMIFS(INDEX(Техника!$F$1:$ABM$500,O$2,0),Техника!$F$4:$ABM$4,"Часы",INDEX(Техника!$G$1:$ABN$500,O$2,0),$A$921,INDEX(Техника!$H$1:$ABO$500,O$2,0),"П")</f>
        <v>0</v>
      </c>
      <c r="P924" s="50">
        <f>SUMIFS(INDEX(Техника!$F$1:$ABM$500,P$2,0),Техника!$F$4:$ABM$4,"Часы",INDEX(Техника!$G$1:$ABN$500,P$2,0),$A$921,INDEX(Техника!$H$1:$ABO$500,P$2,0),"П")</f>
        <v>0</v>
      </c>
      <c r="Q924" s="50">
        <f>SUMIFS(INDEX(Техника!$F$1:$ABM$500,Q$2,0),Техника!$F$4:$ABM$4,"Часы",INDEX(Техника!$G$1:$ABN$500,Q$2,0),$A$921,INDEX(Техника!$H$1:$ABO$500,Q$2,0),"П")</f>
        <v>0</v>
      </c>
      <c r="R924" s="50">
        <f>SUMIFS(INDEX(Техника!$F$1:$ABM$500,R$2,0),Техника!$F$4:$ABM$4,"Часы",INDEX(Техника!$G$1:$ABN$500,R$2,0),$A$921,INDEX(Техника!$H$1:$ABO$500,R$2,0),"П")</f>
        <v>0</v>
      </c>
      <c r="S924" s="50">
        <f>SUMIFS(INDEX(Техника!$F$1:$ABM$500,S$2,0),Техника!$F$4:$ABM$4,"Часы",INDEX(Техника!$G$1:$ABN$500,S$2,0),$A$921,INDEX(Техника!$H$1:$ABO$500,S$2,0),"П")</f>
        <v>0</v>
      </c>
      <c r="T924" s="50">
        <f>SUMIFS(INDEX(Техника!$F$1:$ABM$500,T$2,0),Техника!$F$4:$ABM$4,"Часы",INDEX(Техника!$G$1:$ABN$500,T$2,0),$A$921,INDEX(Техника!$H$1:$ABO$500,T$2,0),"П")</f>
        <v>0</v>
      </c>
      <c r="U924" s="50">
        <f>SUMIFS(INDEX(Техника!$F$1:$ABM$500,U$2,0),Техника!$F$4:$ABM$4,"Часы",INDEX(Техника!$G$1:$ABN$500,U$2,0),$A$921,INDEX(Техника!$H$1:$ABO$500,U$2,0),"П")</f>
        <v>0</v>
      </c>
      <c r="V924" s="50">
        <f>SUMIFS(INDEX(Техника!$F$1:$ABM$500,V$2,0),Техника!$F$4:$ABM$4,"Часы",INDEX(Техника!$G$1:$ABN$500,V$2,0),$A$921,INDEX(Техника!$H$1:$ABO$500,V$2,0),"П")</f>
        <v>0</v>
      </c>
      <c r="W924" s="50">
        <f>SUMIFS(INDEX(Техника!$F$1:$ABM$500,W$2,0),Техника!$F$4:$ABM$4,"Часы",INDEX(Техника!$G$1:$ABN$500,W$2,0),$A$921,INDEX(Техника!$H$1:$ABO$500,W$2,0),"П")</f>
        <v>0</v>
      </c>
      <c r="X924" s="50">
        <f>SUMIFS(INDEX(Техника!$F$1:$ABM$500,X$2,0),Техника!$F$4:$ABM$4,"Часы",INDEX(Техника!$G$1:$ABN$500,X$2,0),$A$921,INDEX(Техника!$H$1:$ABO$500,X$2,0),"П")</f>
        <v>0</v>
      </c>
      <c r="Y924" s="50">
        <f>SUMIFS(INDEX(Техника!$F$1:$ABM$500,Y$2,0),Техника!$F$4:$ABM$4,"Часы",INDEX(Техника!$G$1:$ABN$500,Y$2,0),$A$921,INDEX(Техника!$H$1:$ABO$500,Y$2,0),"П")</f>
        <v>0</v>
      </c>
      <c r="Z924" s="50">
        <f>SUMIFS(INDEX(Техника!$F$1:$ABM$500,Z$2,0),Техника!$F$4:$ABM$4,"Часы",INDEX(Техника!$G$1:$ABN$500,Z$2,0),$A$921,INDEX(Техника!$H$1:$ABO$500,Z$2,0),"П")</f>
        <v>0</v>
      </c>
      <c r="AA924" s="50">
        <f>SUMIFS(INDEX(Техника!$F$1:$ABM$500,AA$2,0),Техника!$F$4:$ABM$4,"Часы",INDEX(Техника!$G$1:$ABN$500,AA$2,0),$A$921,INDEX(Техника!$H$1:$ABO$500,AA$2,0),"П")</f>
        <v>0</v>
      </c>
      <c r="AB924" s="50">
        <f>SUMIFS(INDEX(Техника!$F$1:$ABM$500,AB$2,0),Техника!$F$4:$ABM$4,"Часы",INDEX(Техника!$G$1:$ABN$500,AB$2,0),$A$921,INDEX(Техника!$H$1:$ABO$500,AB$2,0),"П")</f>
        <v>0</v>
      </c>
    </row>
    <row r="925" spans="1:28" hidden="1" outlineLevel="1" x14ac:dyDescent="0.3">
      <c r="A925" s="33" t="s">
        <v>243</v>
      </c>
      <c r="B925" s="34" t="s">
        <v>278</v>
      </c>
      <c r="C925" s="50">
        <f>SUMIFS(INDEX(Техника!$F$1:$ABM$500,C$2,0),Техника!$F$4:$ABM$4,"Часы",INDEX(Техника!$G$1:$ABN$500,C$2,0),$A$921,INDEX(Техника!$H$1:$ABO$500,C$2,0),"Л")</f>
        <v>0</v>
      </c>
      <c r="D925" s="50">
        <f>SUMIFS(INDEX(Техника!$F$1:$ABM$500,D$2,0),Техника!$F$4:$ABM$4,"Часы",INDEX(Техника!$G$1:$ABN$500,D$2,0),$A$921,INDEX(Техника!$H$1:$ABO$500,D$2,0),"Л")</f>
        <v>0</v>
      </c>
      <c r="E925" s="50">
        <f>SUMIFS(INDEX(Техника!$F$1:$ABM$500,E$2,0),Техника!$F$4:$ABM$4,"Часы",INDEX(Техника!$G$1:$ABN$500,E$2,0),$A$921,INDEX(Техника!$H$1:$ABO$500,E$2,0),"Л")</f>
        <v>0</v>
      </c>
      <c r="F925" s="50">
        <f>SUMIFS(INDEX(Техника!$F$1:$ABM$500,F$2,0),Техника!$F$4:$ABM$4,"Часы",INDEX(Техника!$G$1:$ABN$500,F$2,0),$A$921,INDEX(Техника!$H$1:$ABO$500,F$2,0),"Л")</f>
        <v>0</v>
      </c>
      <c r="G925" s="50">
        <f>SUMIFS(INDEX(Техника!$F$1:$ABM$500,G$2,0),Техника!$F$4:$ABM$4,"Часы",INDEX(Техника!$G$1:$ABN$500,G$2,0),$A$921,INDEX(Техника!$H$1:$ABO$500,G$2,0),"Л")</f>
        <v>0</v>
      </c>
      <c r="H925" s="50">
        <f>SUMIFS(INDEX(Техника!$F$1:$ABM$500,H$2,0),Техника!$F$4:$ABM$4,"Часы",INDEX(Техника!$G$1:$ABN$500,H$2,0),$A$921,INDEX(Техника!$H$1:$ABO$500,H$2,0),"Л")</f>
        <v>0</v>
      </c>
      <c r="I925" s="50">
        <f>SUMIFS(INDEX(Техника!$F$1:$ABM$500,I$2,0),Техника!$F$4:$ABM$4,"Часы",INDEX(Техника!$G$1:$ABN$500,I$2,0),$A$921,INDEX(Техника!$H$1:$ABO$500,I$2,0),"Л")</f>
        <v>0</v>
      </c>
      <c r="J925" s="50">
        <f>SUMIFS(INDEX(Техника!$F$1:$ABM$500,J$2,0),Техника!$F$4:$ABM$4,"Часы",INDEX(Техника!$G$1:$ABN$500,J$2,0),$A$921,INDEX(Техника!$H$1:$ABO$500,J$2,0),"Л")</f>
        <v>0</v>
      </c>
      <c r="K925" s="50">
        <f>SUMIFS(INDEX(Техника!$F$1:$ABM$500,K$2,0),Техника!$F$4:$ABM$4,"Часы",INDEX(Техника!$G$1:$ABN$500,K$2,0),$A$921,INDEX(Техника!$H$1:$ABO$500,K$2,0),"Л")</f>
        <v>0</v>
      </c>
      <c r="L925" s="50">
        <f>SUMIFS(INDEX(Техника!$F$1:$ABM$500,L$2,0),Техника!$F$4:$ABM$4,"Часы",INDEX(Техника!$G$1:$ABN$500,L$2,0),$A$921,INDEX(Техника!$H$1:$ABO$500,L$2,0),"Л")</f>
        <v>0</v>
      </c>
      <c r="M925" s="50">
        <f>SUMIFS(INDEX(Техника!$F$1:$ABM$500,M$2,0),Техника!$F$4:$ABM$4,"Часы",INDEX(Техника!$G$1:$ABN$500,M$2,0),$A$921,INDEX(Техника!$H$1:$ABO$500,M$2,0),"Л")</f>
        <v>0</v>
      </c>
      <c r="N925" s="50">
        <f>SUMIFS(INDEX(Техника!$F$1:$ABM$500,N$2,0),Техника!$F$4:$ABM$4,"Часы",INDEX(Техника!$G$1:$ABN$500,N$2,0),$A$921,INDEX(Техника!$H$1:$ABO$500,N$2,0),"Л")</f>
        <v>0</v>
      </c>
      <c r="O925" s="50">
        <f>SUMIFS(INDEX(Техника!$F$1:$ABM$500,O$2,0),Техника!$F$4:$ABM$4,"Часы",INDEX(Техника!$G$1:$ABN$500,O$2,0),$A$921,INDEX(Техника!$H$1:$ABO$500,O$2,0),"Л")</f>
        <v>0</v>
      </c>
      <c r="P925" s="50">
        <f>SUMIFS(INDEX(Техника!$F$1:$ABM$500,P$2,0),Техника!$F$4:$ABM$4,"Часы",INDEX(Техника!$G$1:$ABN$500,P$2,0),$A$921,INDEX(Техника!$H$1:$ABO$500,P$2,0),"Л")</f>
        <v>0</v>
      </c>
      <c r="Q925" s="50">
        <f>SUMIFS(INDEX(Техника!$F$1:$ABM$500,Q$2,0),Техника!$F$4:$ABM$4,"Часы",INDEX(Техника!$G$1:$ABN$500,Q$2,0),$A$921,INDEX(Техника!$H$1:$ABO$500,Q$2,0),"Л")</f>
        <v>0</v>
      </c>
      <c r="R925" s="50">
        <f>SUMIFS(INDEX(Техника!$F$1:$ABM$500,R$2,0),Техника!$F$4:$ABM$4,"Часы",INDEX(Техника!$G$1:$ABN$500,R$2,0),$A$921,INDEX(Техника!$H$1:$ABO$500,R$2,0),"Л")</f>
        <v>0</v>
      </c>
      <c r="S925" s="50">
        <f>SUMIFS(INDEX(Техника!$F$1:$ABM$500,S$2,0),Техника!$F$4:$ABM$4,"Часы",INDEX(Техника!$G$1:$ABN$500,S$2,0),$A$921,INDEX(Техника!$H$1:$ABO$500,S$2,0),"Л")</f>
        <v>0</v>
      </c>
      <c r="T925" s="50">
        <f>SUMIFS(INDEX(Техника!$F$1:$ABM$500,T$2,0),Техника!$F$4:$ABM$4,"Часы",INDEX(Техника!$G$1:$ABN$500,T$2,0),$A$921,INDEX(Техника!$H$1:$ABO$500,T$2,0),"Л")</f>
        <v>0</v>
      </c>
      <c r="U925" s="50">
        <f>SUMIFS(INDEX(Техника!$F$1:$ABM$500,U$2,0),Техника!$F$4:$ABM$4,"Часы",INDEX(Техника!$G$1:$ABN$500,U$2,0),$A$921,INDEX(Техника!$H$1:$ABO$500,U$2,0),"Л")</f>
        <v>0</v>
      </c>
      <c r="V925" s="50">
        <f>SUMIFS(INDEX(Техника!$F$1:$ABM$500,V$2,0),Техника!$F$4:$ABM$4,"Часы",INDEX(Техника!$G$1:$ABN$500,V$2,0),$A$921,INDEX(Техника!$H$1:$ABO$500,V$2,0),"Л")</f>
        <v>0</v>
      </c>
      <c r="W925" s="50">
        <f>SUMIFS(INDEX(Техника!$F$1:$ABM$500,W$2,0),Техника!$F$4:$ABM$4,"Часы",INDEX(Техника!$G$1:$ABN$500,W$2,0),$A$921,INDEX(Техника!$H$1:$ABO$500,W$2,0),"Л")</f>
        <v>0</v>
      </c>
      <c r="X925" s="50">
        <f>SUMIFS(INDEX(Техника!$F$1:$ABM$500,X$2,0),Техника!$F$4:$ABM$4,"Часы",INDEX(Техника!$G$1:$ABN$500,X$2,0),$A$921,INDEX(Техника!$H$1:$ABO$500,X$2,0),"Л")</f>
        <v>0</v>
      </c>
      <c r="Y925" s="50">
        <f>SUMIFS(INDEX(Техника!$F$1:$ABM$500,Y$2,0),Техника!$F$4:$ABM$4,"Часы",INDEX(Техника!$G$1:$ABN$500,Y$2,0),$A$921,INDEX(Техника!$H$1:$ABO$500,Y$2,0),"Л")</f>
        <v>0</v>
      </c>
      <c r="Z925" s="50">
        <f>SUMIFS(INDEX(Техника!$F$1:$ABM$500,Z$2,0),Техника!$F$4:$ABM$4,"Часы",INDEX(Техника!$G$1:$ABN$500,Z$2,0),$A$921,INDEX(Техника!$H$1:$ABO$500,Z$2,0),"Л")</f>
        <v>0</v>
      </c>
      <c r="AA925" s="50">
        <f>SUMIFS(INDEX(Техника!$F$1:$ABM$500,AA$2,0),Техника!$F$4:$ABM$4,"Часы",INDEX(Техника!$G$1:$ABN$500,AA$2,0),$A$921,INDEX(Техника!$H$1:$ABO$500,AA$2,0),"Л")</f>
        <v>0</v>
      </c>
      <c r="AB925" s="50">
        <f>SUMIFS(INDEX(Техника!$F$1:$ABM$500,AB$2,0),Техника!$F$4:$ABM$4,"Часы",INDEX(Техника!$G$1:$ABN$500,AB$2,0),$A$921,INDEX(Техника!$H$1:$ABO$500,AB$2,0),"Л")</f>
        <v>0</v>
      </c>
    </row>
    <row r="926" spans="1:28" hidden="1" outlineLevel="1" x14ac:dyDescent="0.3">
      <c r="A926" s="33" t="s">
        <v>245</v>
      </c>
      <c r="B926" s="34" t="s">
        <v>279</v>
      </c>
      <c r="C926" s="50">
        <f>SUMIFS(INDEX(Техника!$F$1:$ABM$500,C$2,0),Техника!$F$4:$ABM$4,"Часы",INDEX(Техника!$G$1:$ABN$500,C$2,0),$A$921,INDEX(Техника!$H$1:$ABO$500,C$2,0),"З")</f>
        <v>0</v>
      </c>
      <c r="D926" s="50">
        <f>SUMIFS(INDEX(Техника!$F$1:$ABM$500,D$2,0),Техника!$F$4:$ABM$4,"Часы",INDEX(Техника!$G$1:$ABN$500,D$2,0),$A$921,INDEX(Техника!$H$1:$ABO$500,D$2,0),"З")</f>
        <v>0</v>
      </c>
      <c r="E926" s="50">
        <f>SUMIFS(INDEX(Техника!$F$1:$ABM$500,E$2,0),Техника!$F$4:$ABM$4,"Часы",INDEX(Техника!$G$1:$ABN$500,E$2,0),$A$921,INDEX(Техника!$H$1:$ABO$500,E$2,0),"З")</f>
        <v>0</v>
      </c>
      <c r="F926" s="50">
        <f>SUMIFS(INDEX(Техника!$F$1:$ABM$500,F$2,0),Техника!$F$4:$ABM$4,"Часы",INDEX(Техника!$G$1:$ABN$500,F$2,0),$A$921,INDEX(Техника!$H$1:$ABO$500,F$2,0),"З")</f>
        <v>0</v>
      </c>
      <c r="G926" s="50">
        <f>SUMIFS(INDEX(Техника!$F$1:$ABM$500,G$2,0),Техника!$F$4:$ABM$4,"Часы",INDEX(Техника!$G$1:$ABN$500,G$2,0),$A$921,INDEX(Техника!$H$1:$ABO$500,G$2,0),"З")</f>
        <v>0</v>
      </c>
      <c r="H926" s="50">
        <f>SUMIFS(INDEX(Техника!$F$1:$ABM$500,H$2,0),Техника!$F$4:$ABM$4,"Часы",INDEX(Техника!$G$1:$ABN$500,H$2,0),$A$921,INDEX(Техника!$H$1:$ABO$500,H$2,0),"З")</f>
        <v>0</v>
      </c>
      <c r="I926" s="50">
        <f>SUMIFS(INDEX(Техника!$F$1:$ABM$500,I$2,0),Техника!$F$4:$ABM$4,"Часы",INDEX(Техника!$G$1:$ABN$500,I$2,0),$A$921,INDEX(Техника!$H$1:$ABO$500,I$2,0),"З")</f>
        <v>0</v>
      </c>
      <c r="J926" s="50">
        <f>SUMIFS(INDEX(Техника!$F$1:$ABM$500,J$2,0),Техника!$F$4:$ABM$4,"Часы",INDEX(Техника!$G$1:$ABN$500,J$2,0),$A$921,INDEX(Техника!$H$1:$ABO$500,J$2,0),"З")</f>
        <v>0</v>
      </c>
      <c r="K926" s="50">
        <f>SUMIFS(INDEX(Техника!$F$1:$ABM$500,K$2,0),Техника!$F$4:$ABM$4,"Часы",INDEX(Техника!$G$1:$ABN$500,K$2,0),$A$921,INDEX(Техника!$H$1:$ABO$500,K$2,0),"З")</f>
        <v>0</v>
      </c>
      <c r="L926" s="50">
        <f>SUMIFS(INDEX(Техника!$F$1:$ABM$500,L$2,0),Техника!$F$4:$ABM$4,"Часы",INDEX(Техника!$G$1:$ABN$500,L$2,0),$A$921,INDEX(Техника!$H$1:$ABO$500,L$2,0),"З")</f>
        <v>0</v>
      </c>
      <c r="M926" s="50">
        <f>SUMIFS(INDEX(Техника!$F$1:$ABM$500,M$2,0),Техника!$F$4:$ABM$4,"Часы",INDEX(Техника!$G$1:$ABN$500,M$2,0),$A$921,INDEX(Техника!$H$1:$ABO$500,M$2,0),"З")</f>
        <v>0</v>
      </c>
      <c r="N926" s="50">
        <f>SUMIFS(INDEX(Техника!$F$1:$ABM$500,N$2,0),Техника!$F$4:$ABM$4,"Часы",INDEX(Техника!$G$1:$ABN$500,N$2,0),$A$921,INDEX(Техника!$H$1:$ABO$500,N$2,0),"З")</f>
        <v>0</v>
      </c>
      <c r="O926" s="50">
        <f>SUMIFS(INDEX(Техника!$F$1:$ABM$500,O$2,0),Техника!$F$4:$ABM$4,"Часы",INDEX(Техника!$G$1:$ABN$500,O$2,0),$A$921,INDEX(Техника!$H$1:$ABO$500,O$2,0),"З")</f>
        <v>0</v>
      </c>
      <c r="P926" s="50">
        <f>SUMIFS(INDEX(Техника!$F$1:$ABM$500,P$2,0),Техника!$F$4:$ABM$4,"Часы",INDEX(Техника!$G$1:$ABN$500,P$2,0),$A$921,INDEX(Техника!$H$1:$ABO$500,P$2,0),"З")</f>
        <v>0</v>
      </c>
      <c r="Q926" s="50">
        <f>SUMIFS(INDEX(Техника!$F$1:$ABM$500,Q$2,0),Техника!$F$4:$ABM$4,"Часы",INDEX(Техника!$G$1:$ABN$500,Q$2,0),$A$921,INDEX(Техника!$H$1:$ABO$500,Q$2,0),"З")</f>
        <v>0</v>
      </c>
      <c r="R926" s="50">
        <f>SUMIFS(INDEX(Техника!$F$1:$ABM$500,R$2,0),Техника!$F$4:$ABM$4,"Часы",INDEX(Техника!$G$1:$ABN$500,R$2,0),$A$921,INDEX(Техника!$H$1:$ABO$500,R$2,0),"З")</f>
        <v>0</v>
      </c>
      <c r="S926" s="50">
        <f>SUMIFS(INDEX(Техника!$F$1:$ABM$500,S$2,0),Техника!$F$4:$ABM$4,"Часы",INDEX(Техника!$G$1:$ABN$500,S$2,0),$A$921,INDEX(Техника!$H$1:$ABO$500,S$2,0),"З")</f>
        <v>0</v>
      </c>
      <c r="T926" s="50">
        <f>SUMIFS(INDEX(Техника!$F$1:$ABM$500,T$2,0),Техника!$F$4:$ABM$4,"Часы",INDEX(Техника!$G$1:$ABN$500,T$2,0),$A$921,INDEX(Техника!$H$1:$ABO$500,T$2,0),"З")</f>
        <v>0</v>
      </c>
      <c r="U926" s="50">
        <f>SUMIFS(INDEX(Техника!$F$1:$ABM$500,U$2,0),Техника!$F$4:$ABM$4,"Часы",INDEX(Техника!$G$1:$ABN$500,U$2,0),$A$921,INDEX(Техника!$H$1:$ABO$500,U$2,0),"З")</f>
        <v>0</v>
      </c>
      <c r="V926" s="50">
        <f>SUMIFS(INDEX(Техника!$F$1:$ABM$500,V$2,0),Техника!$F$4:$ABM$4,"Часы",INDEX(Техника!$G$1:$ABN$500,V$2,0),$A$921,INDEX(Техника!$H$1:$ABO$500,V$2,0),"З")</f>
        <v>0</v>
      </c>
      <c r="W926" s="50">
        <f>SUMIFS(INDEX(Техника!$F$1:$ABM$500,W$2,0),Техника!$F$4:$ABM$4,"Часы",INDEX(Техника!$G$1:$ABN$500,W$2,0),$A$921,INDEX(Техника!$H$1:$ABO$500,W$2,0),"З")</f>
        <v>0</v>
      </c>
      <c r="X926" s="50">
        <f>SUMIFS(INDEX(Техника!$F$1:$ABM$500,X$2,0),Техника!$F$4:$ABM$4,"Часы",INDEX(Техника!$G$1:$ABN$500,X$2,0),$A$921,INDEX(Техника!$H$1:$ABO$500,X$2,0),"З")</f>
        <v>0</v>
      </c>
      <c r="Y926" s="50">
        <f>SUMIFS(INDEX(Техника!$F$1:$ABM$500,Y$2,0),Техника!$F$4:$ABM$4,"Часы",INDEX(Техника!$G$1:$ABN$500,Y$2,0),$A$921,INDEX(Техника!$H$1:$ABO$500,Y$2,0),"З")</f>
        <v>0</v>
      </c>
      <c r="Z926" s="50">
        <f>SUMIFS(INDEX(Техника!$F$1:$ABM$500,Z$2,0),Техника!$F$4:$ABM$4,"Часы",INDEX(Техника!$G$1:$ABN$500,Z$2,0),$A$921,INDEX(Техника!$H$1:$ABO$500,Z$2,0),"З")</f>
        <v>0</v>
      </c>
      <c r="AA926" s="50">
        <f>SUMIFS(INDEX(Техника!$F$1:$ABM$500,AA$2,0),Техника!$F$4:$ABM$4,"Часы",INDEX(Техника!$G$1:$ABN$500,AA$2,0),$A$921,INDEX(Техника!$H$1:$ABO$500,AA$2,0),"З")</f>
        <v>0</v>
      </c>
      <c r="AB926" s="50">
        <f>SUMIFS(INDEX(Техника!$F$1:$ABM$500,AB$2,0),Техника!$F$4:$ABM$4,"Часы",INDEX(Техника!$G$1:$ABN$500,AB$2,0),$A$921,INDEX(Техника!$H$1:$ABO$500,AB$2,0),"З")</f>
        <v>0</v>
      </c>
    </row>
    <row r="927" spans="1:28" ht="7.95" customHeight="1" x14ac:dyDescent="0.3">
      <c r="A927" s="38"/>
      <c r="B927" s="39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</row>
    <row r="928" spans="1:28" ht="25.05" customHeight="1" collapsed="1" x14ac:dyDescent="0.3">
      <c r="A928" s="32">
        <v>133</v>
      </c>
      <c r="B928" s="32" t="s">
        <v>134</v>
      </c>
      <c r="C928" s="49">
        <f>SUM(C929:C933)</f>
        <v>0</v>
      </c>
      <c r="D928" s="49">
        <f>SUM(D929:D933)</f>
        <v>0</v>
      </c>
      <c r="E928" s="49">
        <f>SUM(E929:E933)</f>
        <v>0</v>
      </c>
      <c r="F928" s="49">
        <f>SUM(F929:F933)</f>
        <v>0</v>
      </c>
      <c r="G928" s="49">
        <f>SUM(G929:G933)</f>
        <v>0</v>
      </c>
      <c r="H928" s="49">
        <f>SUM(H929:H933)</f>
        <v>0</v>
      </c>
      <c r="I928" s="49">
        <f>SUM(I929:I933)</f>
        <v>0</v>
      </c>
      <c r="J928" s="49">
        <f>SUM(J929:J933)</f>
        <v>0</v>
      </c>
      <c r="K928" s="49">
        <f>SUM(K929:K933)</f>
        <v>0</v>
      </c>
      <c r="L928" s="49">
        <f>SUM(L929:L933)</f>
        <v>0</v>
      </c>
      <c r="M928" s="49">
        <f>SUM(M929:M933)</f>
        <v>0</v>
      </c>
      <c r="N928" s="49">
        <f>SUM(N929:N933)</f>
        <v>0</v>
      </c>
      <c r="O928" s="49">
        <f>SUM(O929:O933)</f>
        <v>0</v>
      </c>
      <c r="P928" s="49">
        <f>SUM(P929:P933)</f>
        <v>0</v>
      </c>
      <c r="Q928" s="49">
        <f>SUM(Q929:Q933)</f>
        <v>0</v>
      </c>
      <c r="R928" s="49">
        <f>SUM(R929:R933)</f>
        <v>0</v>
      </c>
      <c r="S928" s="49">
        <f>SUM(S929:S933)</f>
        <v>0</v>
      </c>
      <c r="T928" s="49">
        <f>SUM(T929:T933)</f>
        <v>0</v>
      </c>
      <c r="U928" s="49">
        <f>SUM(U929:U933)</f>
        <v>0</v>
      </c>
      <c r="V928" s="49">
        <f>SUM(V929:V933)</f>
        <v>0</v>
      </c>
      <c r="W928" s="49">
        <f>SUM(W929:W933)</f>
        <v>0</v>
      </c>
      <c r="X928" s="49">
        <f>SUM(X929:X933)</f>
        <v>0</v>
      </c>
      <c r="Y928" s="49">
        <f>SUM(Y929:Y933)</f>
        <v>0</v>
      </c>
      <c r="Z928" s="49">
        <f>SUM(Z929:Z933)</f>
        <v>0</v>
      </c>
      <c r="AA928" s="49">
        <f>SUM(AA929:AA933)</f>
        <v>0</v>
      </c>
      <c r="AB928" s="49">
        <f>SUM(AB929:AB933)</f>
        <v>0</v>
      </c>
    </row>
    <row r="929" spans="1:28" hidden="1" outlineLevel="1" x14ac:dyDescent="0.3">
      <c r="A929" s="33" t="s">
        <v>246</v>
      </c>
      <c r="B929" s="34" t="s">
        <v>274</v>
      </c>
      <c r="C929" s="50">
        <f>SUMIFS(INDEX(Техника!$F$1:$ABM$500,C$2,0),Техника!$F$4:$ABM$4,"Часы",INDEX(Техника!$G$1:$ABN$500,C$2,0),$A$928,INDEX(Техника!$H$1:$ABO$500,C$2,0),"М")</f>
        <v>0</v>
      </c>
      <c r="D929" s="50">
        <f>SUMIFS(INDEX(Техника!$F$1:$ABM$500,D$2,0),Техника!$F$4:$ABM$4,"Часы",INDEX(Техника!$G$1:$ABN$500,D$2,0),$A$928,INDEX(Техника!$H$1:$ABO$500,D$2,0),"М")</f>
        <v>0</v>
      </c>
      <c r="E929" s="50">
        <f>SUMIFS(INDEX(Техника!$F$1:$ABM$500,E$2,0),Техника!$F$4:$ABM$4,"Часы",INDEX(Техника!$G$1:$ABN$500,E$2,0),$A$928,INDEX(Техника!$H$1:$ABO$500,E$2,0),"М")</f>
        <v>0</v>
      </c>
      <c r="F929" s="50">
        <f>SUMIFS(INDEX(Техника!$F$1:$ABM$500,F$2,0),Техника!$F$4:$ABM$4,"Часы",INDEX(Техника!$G$1:$ABN$500,F$2,0),$A$928,INDEX(Техника!$H$1:$ABO$500,F$2,0),"М")</f>
        <v>0</v>
      </c>
      <c r="G929" s="50">
        <f>SUMIFS(INDEX(Техника!$F$1:$ABM$500,G$2,0),Техника!$F$4:$ABM$4,"Часы",INDEX(Техника!$G$1:$ABN$500,G$2,0),$A$928,INDEX(Техника!$H$1:$ABO$500,G$2,0),"М")</f>
        <v>0</v>
      </c>
      <c r="H929" s="50">
        <f>SUMIFS(INDEX(Техника!$F$1:$ABM$500,H$2,0),Техника!$F$4:$ABM$4,"Часы",INDEX(Техника!$G$1:$ABN$500,H$2,0),$A$928,INDEX(Техника!$H$1:$ABO$500,H$2,0),"М")</f>
        <v>0</v>
      </c>
      <c r="I929" s="50">
        <f>SUMIFS(INDEX(Техника!$F$1:$ABM$500,I$2,0),Техника!$F$4:$ABM$4,"Часы",INDEX(Техника!$G$1:$ABN$500,I$2,0),$A$928,INDEX(Техника!$H$1:$ABO$500,I$2,0),"М")</f>
        <v>0</v>
      </c>
      <c r="J929" s="50">
        <f>SUMIFS(INDEX(Техника!$F$1:$ABM$500,J$2,0),Техника!$F$4:$ABM$4,"Часы",INDEX(Техника!$G$1:$ABN$500,J$2,0),$A$928,INDEX(Техника!$H$1:$ABO$500,J$2,0),"М")</f>
        <v>0</v>
      </c>
      <c r="K929" s="50">
        <f>SUMIFS(INDEX(Техника!$F$1:$ABM$500,K$2,0),Техника!$F$4:$ABM$4,"Часы",INDEX(Техника!$G$1:$ABN$500,K$2,0),$A$928,INDEX(Техника!$H$1:$ABO$500,K$2,0),"М")</f>
        <v>0</v>
      </c>
      <c r="L929" s="50">
        <f>SUMIFS(INDEX(Техника!$F$1:$ABM$500,L$2,0),Техника!$F$4:$ABM$4,"Часы",INDEX(Техника!$G$1:$ABN$500,L$2,0),$A$928,INDEX(Техника!$H$1:$ABO$500,L$2,0),"М")</f>
        <v>0</v>
      </c>
      <c r="M929" s="50">
        <f>SUMIFS(INDEX(Техника!$F$1:$ABM$500,M$2,0),Техника!$F$4:$ABM$4,"Часы",INDEX(Техника!$G$1:$ABN$500,M$2,0),$A$928,INDEX(Техника!$H$1:$ABO$500,M$2,0),"М")</f>
        <v>0</v>
      </c>
      <c r="N929" s="50">
        <f>SUMIFS(INDEX(Техника!$F$1:$ABM$500,N$2,0),Техника!$F$4:$ABM$4,"Часы",INDEX(Техника!$G$1:$ABN$500,N$2,0),$A$928,INDEX(Техника!$H$1:$ABO$500,N$2,0),"М")</f>
        <v>0</v>
      </c>
      <c r="O929" s="50">
        <f>SUMIFS(INDEX(Техника!$F$1:$ABM$500,O$2,0),Техника!$F$4:$ABM$4,"Часы",INDEX(Техника!$G$1:$ABN$500,O$2,0),$A$928,INDEX(Техника!$H$1:$ABO$500,O$2,0),"М")</f>
        <v>0</v>
      </c>
      <c r="P929" s="50">
        <f>SUMIFS(INDEX(Техника!$F$1:$ABM$500,P$2,0),Техника!$F$4:$ABM$4,"Часы",INDEX(Техника!$G$1:$ABN$500,P$2,0),$A$928,INDEX(Техника!$H$1:$ABO$500,P$2,0),"М")</f>
        <v>0</v>
      </c>
      <c r="Q929" s="50">
        <f>SUMIFS(INDEX(Техника!$F$1:$ABM$500,Q$2,0),Техника!$F$4:$ABM$4,"Часы",INDEX(Техника!$G$1:$ABN$500,Q$2,0),$A$928,INDEX(Техника!$H$1:$ABO$500,Q$2,0),"М")</f>
        <v>0</v>
      </c>
      <c r="R929" s="50">
        <f>SUMIFS(INDEX(Техника!$F$1:$ABM$500,R$2,0),Техника!$F$4:$ABM$4,"Часы",INDEX(Техника!$G$1:$ABN$500,R$2,0),$A$928,INDEX(Техника!$H$1:$ABO$500,R$2,0),"М")</f>
        <v>0</v>
      </c>
      <c r="S929" s="50">
        <f>SUMIFS(INDEX(Техника!$F$1:$ABM$500,S$2,0),Техника!$F$4:$ABM$4,"Часы",INDEX(Техника!$G$1:$ABN$500,S$2,0),$A$928,INDEX(Техника!$H$1:$ABO$500,S$2,0),"М")</f>
        <v>0</v>
      </c>
      <c r="T929" s="50">
        <f>SUMIFS(INDEX(Техника!$F$1:$ABM$500,T$2,0),Техника!$F$4:$ABM$4,"Часы",INDEX(Техника!$G$1:$ABN$500,T$2,0),$A$928,INDEX(Техника!$H$1:$ABO$500,T$2,0),"М")</f>
        <v>0</v>
      </c>
      <c r="U929" s="50">
        <f>SUMIFS(INDEX(Техника!$F$1:$ABM$500,U$2,0),Техника!$F$4:$ABM$4,"Часы",INDEX(Техника!$G$1:$ABN$500,U$2,0),$A$928,INDEX(Техника!$H$1:$ABO$500,U$2,0),"М")</f>
        <v>0</v>
      </c>
      <c r="V929" s="50">
        <f>SUMIFS(INDEX(Техника!$F$1:$ABM$500,V$2,0),Техника!$F$4:$ABM$4,"Часы",INDEX(Техника!$G$1:$ABN$500,V$2,0),$A$928,INDEX(Техника!$H$1:$ABO$500,V$2,0),"М")</f>
        <v>0</v>
      </c>
      <c r="W929" s="50">
        <f>SUMIFS(INDEX(Техника!$F$1:$ABM$500,W$2,0),Техника!$F$4:$ABM$4,"Часы",INDEX(Техника!$G$1:$ABN$500,W$2,0),$A$928,INDEX(Техника!$H$1:$ABO$500,W$2,0),"М")</f>
        <v>0</v>
      </c>
      <c r="X929" s="50">
        <f>SUMIFS(INDEX(Техника!$F$1:$ABM$500,X$2,0),Техника!$F$4:$ABM$4,"Часы",INDEX(Техника!$G$1:$ABN$500,X$2,0),$A$928,INDEX(Техника!$H$1:$ABO$500,X$2,0),"М")</f>
        <v>0</v>
      </c>
      <c r="Y929" s="50">
        <f>SUMIFS(INDEX(Техника!$F$1:$ABM$500,Y$2,0),Техника!$F$4:$ABM$4,"Часы",INDEX(Техника!$G$1:$ABN$500,Y$2,0),$A$928,INDEX(Техника!$H$1:$ABO$500,Y$2,0),"М")</f>
        <v>0</v>
      </c>
      <c r="Z929" s="50">
        <f>SUMIFS(INDEX(Техника!$F$1:$ABM$500,Z$2,0),Техника!$F$4:$ABM$4,"Часы",INDEX(Техника!$G$1:$ABN$500,Z$2,0),$A$928,INDEX(Техника!$H$1:$ABO$500,Z$2,0),"М")</f>
        <v>0</v>
      </c>
      <c r="AA929" s="50">
        <f>SUMIFS(INDEX(Техника!$F$1:$ABM$500,AA$2,0),Техника!$F$4:$ABM$4,"Часы",INDEX(Техника!$G$1:$ABN$500,AA$2,0),$A$928,INDEX(Техника!$H$1:$ABO$500,AA$2,0),"М")</f>
        <v>0</v>
      </c>
      <c r="AB929" s="50">
        <f>SUMIFS(INDEX(Техника!$F$1:$ABM$500,AB$2,0),Техника!$F$4:$ABM$4,"Часы",INDEX(Техника!$G$1:$ABN$500,AB$2,0),$A$928,INDEX(Техника!$H$1:$ABO$500,AB$2,0),"М")</f>
        <v>0</v>
      </c>
    </row>
    <row r="930" spans="1:28" hidden="1" outlineLevel="1" x14ac:dyDescent="0.3">
      <c r="A930" s="33" t="s">
        <v>244</v>
      </c>
      <c r="B930" s="34" t="s">
        <v>275</v>
      </c>
      <c r="C930" s="50">
        <f>SUMIFS(INDEX(Техника!$F$1:$ABM$500,C$2,0),Техника!$F$4:$ABM$4,"Часы",INDEX(Техника!$G$1:$ABN$500,C$2,0),$A$928,INDEX(Техника!$H$1:$ABO$500,C$2,0),"Д")</f>
        <v>0</v>
      </c>
      <c r="D930" s="50">
        <f>SUMIFS(INDEX(Техника!$F$1:$ABM$500,D$2,0),Техника!$F$4:$ABM$4,"Часы",INDEX(Техника!$G$1:$ABN$500,D$2,0),$A$928,INDEX(Техника!$H$1:$ABO$500,D$2,0),"Д")</f>
        <v>0</v>
      </c>
      <c r="E930" s="50">
        <f>SUMIFS(INDEX(Техника!$F$1:$ABM$500,E$2,0),Техника!$F$4:$ABM$4,"Часы",INDEX(Техника!$G$1:$ABN$500,E$2,0),$A$928,INDEX(Техника!$H$1:$ABO$500,E$2,0),"Д")</f>
        <v>0</v>
      </c>
      <c r="F930" s="50">
        <f>SUMIFS(INDEX(Техника!$F$1:$ABM$500,F$2,0),Техника!$F$4:$ABM$4,"Часы",INDEX(Техника!$G$1:$ABN$500,F$2,0),$A$928,INDEX(Техника!$H$1:$ABO$500,F$2,0),"Д")</f>
        <v>0</v>
      </c>
      <c r="G930" s="50">
        <f>SUMIFS(INDEX(Техника!$F$1:$ABM$500,G$2,0),Техника!$F$4:$ABM$4,"Часы",INDEX(Техника!$G$1:$ABN$500,G$2,0),$A$928,INDEX(Техника!$H$1:$ABO$500,G$2,0),"Д")</f>
        <v>0</v>
      </c>
      <c r="H930" s="50">
        <f>SUMIFS(INDEX(Техника!$F$1:$ABM$500,H$2,0),Техника!$F$4:$ABM$4,"Часы",INDEX(Техника!$G$1:$ABN$500,H$2,0),$A$928,INDEX(Техника!$H$1:$ABO$500,H$2,0),"Д")</f>
        <v>0</v>
      </c>
      <c r="I930" s="50">
        <f>SUMIFS(INDEX(Техника!$F$1:$ABM$500,I$2,0),Техника!$F$4:$ABM$4,"Часы",INDEX(Техника!$G$1:$ABN$500,I$2,0),$A$928,INDEX(Техника!$H$1:$ABO$500,I$2,0),"Д")</f>
        <v>0</v>
      </c>
      <c r="J930" s="50">
        <f>SUMIFS(INDEX(Техника!$F$1:$ABM$500,J$2,0),Техника!$F$4:$ABM$4,"Часы",INDEX(Техника!$G$1:$ABN$500,J$2,0),$A$928,INDEX(Техника!$H$1:$ABO$500,J$2,0),"Д")</f>
        <v>0</v>
      </c>
      <c r="K930" s="50">
        <f>SUMIFS(INDEX(Техника!$F$1:$ABM$500,K$2,0),Техника!$F$4:$ABM$4,"Часы",INDEX(Техника!$G$1:$ABN$500,K$2,0),$A$928,INDEX(Техника!$H$1:$ABO$500,K$2,0),"Д")</f>
        <v>0</v>
      </c>
      <c r="L930" s="50">
        <f>SUMIFS(INDEX(Техника!$F$1:$ABM$500,L$2,0),Техника!$F$4:$ABM$4,"Часы",INDEX(Техника!$G$1:$ABN$500,L$2,0),$A$928,INDEX(Техника!$H$1:$ABO$500,L$2,0),"Д")</f>
        <v>0</v>
      </c>
      <c r="M930" s="50">
        <f>SUMIFS(INDEX(Техника!$F$1:$ABM$500,M$2,0),Техника!$F$4:$ABM$4,"Часы",INDEX(Техника!$G$1:$ABN$500,M$2,0),$A$928,INDEX(Техника!$H$1:$ABO$500,M$2,0),"Д")</f>
        <v>0</v>
      </c>
      <c r="N930" s="50">
        <f>SUMIFS(INDEX(Техника!$F$1:$ABM$500,N$2,0),Техника!$F$4:$ABM$4,"Часы",INDEX(Техника!$G$1:$ABN$500,N$2,0),$A$928,INDEX(Техника!$H$1:$ABO$500,N$2,0),"Д")</f>
        <v>0</v>
      </c>
      <c r="O930" s="50">
        <f>SUMIFS(INDEX(Техника!$F$1:$ABM$500,O$2,0),Техника!$F$4:$ABM$4,"Часы",INDEX(Техника!$G$1:$ABN$500,O$2,0),$A$928,INDEX(Техника!$H$1:$ABO$500,O$2,0),"Д")</f>
        <v>0</v>
      </c>
      <c r="P930" s="50">
        <f>SUMIFS(INDEX(Техника!$F$1:$ABM$500,P$2,0),Техника!$F$4:$ABM$4,"Часы",INDEX(Техника!$G$1:$ABN$500,P$2,0),$A$928,INDEX(Техника!$H$1:$ABO$500,P$2,0),"Д")</f>
        <v>0</v>
      </c>
      <c r="Q930" s="50">
        <f>SUMIFS(INDEX(Техника!$F$1:$ABM$500,Q$2,0),Техника!$F$4:$ABM$4,"Часы",INDEX(Техника!$G$1:$ABN$500,Q$2,0),$A$928,INDEX(Техника!$H$1:$ABO$500,Q$2,0),"Д")</f>
        <v>0</v>
      </c>
      <c r="R930" s="50">
        <f>SUMIFS(INDEX(Техника!$F$1:$ABM$500,R$2,0),Техника!$F$4:$ABM$4,"Часы",INDEX(Техника!$G$1:$ABN$500,R$2,0),$A$928,INDEX(Техника!$H$1:$ABO$500,R$2,0),"Д")</f>
        <v>0</v>
      </c>
      <c r="S930" s="50">
        <f>SUMIFS(INDEX(Техника!$F$1:$ABM$500,S$2,0),Техника!$F$4:$ABM$4,"Часы",INDEX(Техника!$G$1:$ABN$500,S$2,0),$A$928,INDEX(Техника!$H$1:$ABO$500,S$2,0),"Д")</f>
        <v>0</v>
      </c>
      <c r="T930" s="50">
        <f>SUMIFS(INDEX(Техника!$F$1:$ABM$500,T$2,0),Техника!$F$4:$ABM$4,"Часы",INDEX(Техника!$G$1:$ABN$500,T$2,0),$A$928,INDEX(Техника!$H$1:$ABO$500,T$2,0),"Д")</f>
        <v>0</v>
      </c>
      <c r="U930" s="50">
        <f>SUMIFS(INDEX(Техника!$F$1:$ABM$500,U$2,0),Техника!$F$4:$ABM$4,"Часы",INDEX(Техника!$G$1:$ABN$500,U$2,0),$A$928,INDEX(Техника!$H$1:$ABO$500,U$2,0),"Д")</f>
        <v>0</v>
      </c>
      <c r="V930" s="50">
        <f>SUMIFS(INDEX(Техника!$F$1:$ABM$500,V$2,0),Техника!$F$4:$ABM$4,"Часы",INDEX(Техника!$G$1:$ABN$500,V$2,0),$A$928,INDEX(Техника!$H$1:$ABO$500,V$2,0),"Д")</f>
        <v>0</v>
      </c>
      <c r="W930" s="50">
        <f>SUMIFS(INDEX(Техника!$F$1:$ABM$500,W$2,0),Техника!$F$4:$ABM$4,"Часы",INDEX(Техника!$G$1:$ABN$500,W$2,0),$A$928,INDEX(Техника!$H$1:$ABO$500,W$2,0),"Д")</f>
        <v>0</v>
      </c>
      <c r="X930" s="50">
        <f>SUMIFS(INDEX(Техника!$F$1:$ABM$500,X$2,0),Техника!$F$4:$ABM$4,"Часы",INDEX(Техника!$G$1:$ABN$500,X$2,0),$A$928,INDEX(Техника!$H$1:$ABO$500,X$2,0),"Д")</f>
        <v>0</v>
      </c>
      <c r="Y930" s="50">
        <f>SUMIFS(INDEX(Техника!$F$1:$ABM$500,Y$2,0),Техника!$F$4:$ABM$4,"Часы",INDEX(Техника!$G$1:$ABN$500,Y$2,0),$A$928,INDEX(Техника!$H$1:$ABO$500,Y$2,0),"Д")</f>
        <v>0</v>
      </c>
      <c r="Z930" s="50">
        <f>SUMIFS(INDEX(Техника!$F$1:$ABM$500,Z$2,0),Техника!$F$4:$ABM$4,"Часы",INDEX(Техника!$G$1:$ABN$500,Z$2,0),$A$928,INDEX(Техника!$H$1:$ABO$500,Z$2,0),"Д")</f>
        <v>0</v>
      </c>
      <c r="AA930" s="50">
        <f>SUMIFS(INDEX(Техника!$F$1:$ABM$500,AA$2,0),Техника!$F$4:$ABM$4,"Часы",INDEX(Техника!$G$1:$ABN$500,AA$2,0),$A$928,INDEX(Техника!$H$1:$ABO$500,AA$2,0),"Д")</f>
        <v>0</v>
      </c>
      <c r="AB930" s="50">
        <f>SUMIFS(INDEX(Техника!$F$1:$ABM$500,AB$2,0),Техника!$F$4:$ABM$4,"Часы",INDEX(Техника!$G$1:$ABN$500,AB$2,0),$A$928,INDEX(Техника!$H$1:$ABO$500,AB$2,0),"Д")</f>
        <v>0</v>
      </c>
    </row>
    <row r="931" spans="1:28" hidden="1" outlineLevel="1" x14ac:dyDescent="0.3">
      <c r="A931" s="33" t="s">
        <v>276</v>
      </c>
      <c r="B931" s="34" t="s">
        <v>277</v>
      </c>
      <c r="C931" s="50">
        <f>SUMIFS(INDEX(Техника!$F$1:$ABM$500,C$2,0),Техника!$F$4:$ABM$4,"Часы",INDEX(Техника!$G$1:$ABN$500,C$2,0),$A$928,INDEX(Техника!$H$1:$ABO$500,C$2,0),"П")</f>
        <v>0</v>
      </c>
      <c r="D931" s="50">
        <f>SUMIFS(INDEX(Техника!$F$1:$ABM$500,D$2,0),Техника!$F$4:$ABM$4,"Часы",INDEX(Техника!$G$1:$ABN$500,D$2,0),$A$928,INDEX(Техника!$H$1:$ABO$500,D$2,0),"П")</f>
        <v>0</v>
      </c>
      <c r="E931" s="50">
        <f>SUMIFS(INDEX(Техника!$F$1:$ABM$500,E$2,0),Техника!$F$4:$ABM$4,"Часы",INDEX(Техника!$G$1:$ABN$500,E$2,0),$A$928,INDEX(Техника!$H$1:$ABO$500,E$2,0),"П")</f>
        <v>0</v>
      </c>
      <c r="F931" s="50">
        <f>SUMIFS(INDEX(Техника!$F$1:$ABM$500,F$2,0),Техника!$F$4:$ABM$4,"Часы",INDEX(Техника!$G$1:$ABN$500,F$2,0),$A$928,INDEX(Техника!$H$1:$ABO$500,F$2,0),"П")</f>
        <v>0</v>
      </c>
      <c r="G931" s="50">
        <f>SUMIFS(INDEX(Техника!$F$1:$ABM$500,G$2,0),Техника!$F$4:$ABM$4,"Часы",INDEX(Техника!$G$1:$ABN$500,G$2,0),$A$928,INDEX(Техника!$H$1:$ABO$500,G$2,0),"П")</f>
        <v>0</v>
      </c>
      <c r="H931" s="50">
        <f>SUMIFS(INDEX(Техника!$F$1:$ABM$500,H$2,0),Техника!$F$4:$ABM$4,"Часы",INDEX(Техника!$G$1:$ABN$500,H$2,0),$A$928,INDEX(Техника!$H$1:$ABO$500,H$2,0),"П")</f>
        <v>0</v>
      </c>
      <c r="I931" s="50">
        <f>SUMIFS(INDEX(Техника!$F$1:$ABM$500,I$2,0),Техника!$F$4:$ABM$4,"Часы",INDEX(Техника!$G$1:$ABN$500,I$2,0),$A$928,INDEX(Техника!$H$1:$ABO$500,I$2,0),"П")</f>
        <v>0</v>
      </c>
      <c r="J931" s="50">
        <f>SUMIFS(INDEX(Техника!$F$1:$ABM$500,J$2,0),Техника!$F$4:$ABM$4,"Часы",INDEX(Техника!$G$1:$ABN$500,J$2,0),$A$928,INDEX(Техника!$H$1:$ABO$500,J$2,0),"П")</f>
        <v>0</v>
      </c>
      <c r="K931" s="50">
        <f>SUMIFS(INDEX(Техника!$F$1:$ABM$500,K$2,0),Техника!$F$4:$ABM$4,"Часы",INDEX(Техника!$G$1:$ABN$500,K$2,0),$A$928,INDEX(Техника!$H$1:$ABO$500,K$2,0),"П")</f>
        <v>0</v>
      </c>
      <c r="L931" s="50">
        <f>SUMIFS(INDEX(Техника!$F$1:$ABM$500,L$2,0),Техника!$F$4:$ABM$4,"Часы",INDEX(Техника!$G$1:$ABN$500,L$2,0),$A$928,INDEX(Техника!$H$1:$ABO$500,L$2,0),"П")</f>
        <v>0</v>
      </c>
      <c r="M931" s="50">
        <f>SUMIFS(INDEX(Техника!$F$1:$ABM$500,M$2,0),Техника!$F$4:$ABM$4,"Часы",INDEX(Техника!$G$1:$ABN$500,M$2,0),$A$928,INDEX(Техника!$H$1:$ABO$500,M$2,0),"П")</f>
        <v>0</v>
      </c>
      <c r="N931" s="50">
        <f>SUMIFS(INDEX(Техника!$F$1:$ABM$500,N$2,0),Техника!$F$4:$ABM$4,"Часы",INDEX(Техника!$G$1:$ABN$500,N$2,0),$A$928,INDEX(Техника!$H$1:$ABO$500,N$2,0),"П")</f>
        <v>0</v>
      </c>
      <c r="O931" s="50">
        <f>SUMIFS(INDEX(Техника!$F$1:$ABM$500,O$2,0),Техника!$F$4:$ABM$4,"Часы",INDEX(Техника!$G$1:$ABN$500,O$2,0),$A$928,INDEX(Техника!$H$1:$ABO$500,O$2,0),"П")</f>
        <v>0</v>
      </c>
      <c r="P931" s="50">
        <f>SUMIFS(INDEX(Техника!$F$1:$ABM$500,P$2,0),Техника!$F$4:$ABM$4,"Часы",INDEX(Техника!$G$1:$ABN$500,P$2,0),$A$928,INDEX(Техника!$H$1:$ABO$500,P$2,0),"П")</f>
        <v>0</v>
      </c>
      <c r="Q931" s="50">
        <f>SUMIFS(INDEX(Техника!$F$1:$ABM$500,Q$2,0),Техника!$F$4:$ABM$4,"Часы",INDEX(Техника!$G$1:$ABN$500,Q$2,0),$A$928,INDEX(Техника!$H$1:$ABO$500,Q$2,0),"П")</f>
        <v>0</v>
      </c>
      <c r="R931" s="50">
        <f>SUMIFS(INDEX(Техника!$F$1:$ABM$500,R$2,0),Техника!$F$4:$ABM$4,"Часы",INDEX(Техника!$G$1:$ABN$500,R$2,0),$A$928,INDEX(Техника!$H$1:$ABO$500,R$2,0),"П")</f>
        <v>0</v>
      </c>
      <c r="S931" s="50">
        <f>SUMIFS(INDEX(Техника!$F$1:$ABM$500,S$2,0),Техника!$F$4:$ABM$4,"Часы",INDEX(Техника!$G$1:$ABN$500,S$2,0),$A$928,INDEX(Техника!$H$1:$ABO$500,S$2,0),"П")</f>
        <v>0</v>
      </c>
      <c r="T931" s="50">
        <f>SUMIFS(INDEX(Техника!$F$1:$ABM$500,T$2,0),Техника!$F$4:$ABM$4,"Часы",INDEX(Техника!$G$1:$ABN$500,T$2,0),$A$928,INDEX(Техника!$H$1:$ABO$500,T$2,0),"П")</f>
        <v>0</v>
      </c>
      <c r="U931" s="50">
        <f>SUMIFS(INDEX(Техника!$F$1:$ABM$500,U$2,0),Техника!$F$4:$ABM$4,"Часы",INDEX(Техника!$G$1:$ABN$500,U$2,0),$A$928,INDEX(Техника!$H$1:$ABO$500,U$2,0),"П")</f>
        <v>0</v>
      </c>
      <c r="V931" s="50">
        <f>SUMIFS(INDEX(Техника!$F$1:$ABM$500,V$2,0),Техника!$F$4:$ABM$4,"Часы",INDEX(Техника!$G$1:$ABN$500,V$2,0),$A$928,INDEX(Техника!$H$1:$ABO$500,V$2,0),"П")</f>
        <v>0</v>
      </c>
      <c r="W931" s="50">
        <f>SUMIFS(INDEX(Техника!$F$1:$ABM$500,W$2,0),Техника!$F$4:$ABM$4,"Часы",INDEX(Техника!$G$1:$ABN$500,W$2,0),$A$928,INDEX(Техника!$H$1:$ABO$500,W$2,0),"П")</f>
        <v>0</v>
      </c>
      <c r="X931" s="50">
        <f>SUMIFS(INDEX(Техника!$F$1:$ABM$500,X$2,0),Техника!$F$4:$ABM$4,"Часы",INDEX(Техника!$G$1:$ABN$500,X$2,0),$A$928,INDEX(Техника!$H$1:$ABO$500,X$2,0),"П")</f>
        <v>0</v>
      </c>
      <c r="Y931" s="50">
        <f>SUMIFS(INDEX(Техника!$F$1:$ABM$500,Y$2,0),Техника!$F$4:$ABM$4,"Часы",INDEX(Техника!$G$1:$ABN$500,Y$2,0),$A$928,INDEX(Техника!$H$1:$ABO$500,Y$2,0),"П")</f>
        <v>0</v>
      </c>
      <c r="Z931" s="50">
        <f>SUMIFS(INDEX(Техника!$F$1:$ABM$500,Z$2,0),Техника!$F$4:$ABM$4,"Часы",INDEX(Техника!$G$1:$ABN$500,Z$2,0),$A$928,INDEX(Техника!$H$1:$ABO$500,Z$2,0),"П")</f>
        <v>0</v>
      </c>
      <c r="AA931" s="50">
        <f>SUMIFS(INDEX(Техника!$F$1:$ABM$500,AA$2,0),Техника!$F$4:$ABM$4,"Часы",INDEX(Техника!$G$1:$ABN$500,AA$2,0),$A$928,INDEX(Техника!$H$1:$ABO$500,AA$2,0),"П")</f>
        <v>0</v>
      </c>
      <c r="AB931" s="50">
        <f>SUMIFS(INDEX(Техника!$F$1:$ABM$500,AB$2,0),Техника!$F$4:$ABM$4,"Часы",INDEX(Техника!$G$1:$ABN$500,AB$2,0),$A$928,INDEX(Техника!$H$1:$ABO$500,AB$2,0),"П")</f>
        <v>0</v>
      </c>
    </row>
    <row r="932" spans="1:28" hidden="1" outlineLevel="1" x14ac:dyDescent="0.3">
      <c r="A932" s="33" t="s">
        <v>243</v>
      </c>
      <c r="B932" s="34" t="s">
        <v>278</v>
      </c>
      <c r="C932" s="50">
        <f>SUMIFS(INDEX(Техника!$F$1:$ABM$500,C$2,0),Техника!$F$4:$ABM$4,"Часы",INDEX(Техника!$G$1:$ABN$500,C$2,0),$A$928,INDEX(Техника!$H$1:$ABO$500,C$2,0),"Л")</f>
        <v>0</v>
      </c>
      <c r="D932" s="50">
        <f>SUMIFS(INDEX(Техника!$F$1:$ABM$500,D$2,0),Техника!$F$4:$ABM$4,"Часы",INDEX(Техника!$G$1:$ABN$500,D$2,0),$A$928,INDEX(Техника!$H$1:$ABO$500,D$2,0),"Л")</f>
        <v>0</v>
      </c>
      <c r="E932" s="50">
        <f>SUMIFS(INDEX(Техника!$F$1:$ABM$500,E$2,0),Техника!$F$4:$ABM$4,"Часы",INDEX(Техника!$G$1:$ABN$500,E$2,0),$A$928,INDEX(Техника!$H$1:$ABO$500,E$2,0),"Л")</f>
        <v>0</v>
      </c>
      <c r="F932" s="50">
        <f>SUMIFS(INDEX(Техника!$F$1:$ABM$500,F$2,0),Техника!$F$4:$ABM$4,"Часы",INDEX(Техника!$G$1:$ABN$500,F$2,0),$A$928,INDEX(Техника!$H$1:$ABO$500,F$2,0),"Л")</f>
        <v>0</v>
      </c>
      <c r="G932" s="50">
        <f>SUMIFS(INDEX(Техника!$F$1:$ABM$500,G$2,0),Техника!$F$4:$ABM$4,"Часы",INDEX(Техника!$G$1:$ABN$500,G$2,0),$A$928,INDEX(Техника!$H$1:$ABO$500,G$2,0),"Л")</f>
        <v>0</v>
      </c>
      <c r="H932" s="50">
        <f>SUMIFS(INDEX(Техника!$F$1:$ABM$500,H$2,0),Техника!$F$4:$ABM$4,"Часы",INDEX(Техника!$G$1:$ABN$500,H$2,0),$A$928,INDEX(Техника!$H$1:$ABO$500,H$2,0),"Л")</f>
        <v>0</v>
      </c>
      <c r="I932" s="50">
        <f>SUMIFS(INDEX(Техника!$F$1:$ABM$500,I$2,0),Техника!$F$4:$ABM$4,"Часы",INDEX(Техника!$G$1:$ABN$500,I$2,0),$A$928,INDEX(Техника!$H$1:$ABO$500,I$2,0),"Л")</f>
        <v>0</v>
      </c>
      <c r="J932" s="50">
        <f>SUMIFS(INDEX(Техника!$F$1:$ABM$500,J$2,0),Техника!$F$4:$ABM$4,"Часы",INDEX(Техника!$G$1:$ABN$500,J$2,0),$A$928,INDEX(Техника!$H$1:$ABO$500,J$2,0),"Л")</f>
        <v>0</v>
      </c>
      <c r="K932" s="50">
        <f>SUMIFS(INDEX(Техника!$F$1:$ABM$500,K$2,0),Техника!$F$4:$ABM$4,"Часы",INDEX(Техника!$G$1:$ABN$500,K$2,0),$A$928,INDEX(Техника!$H$1:$ABO$500,K$2,0),"Л")</f>
        <v>0</v>
      </c>
      <c r="L932" s="50">
        <f>SUMIFS(INDEX(Техника!$F$1:$ABM$500,L$2,0),Техника!$F$4:$ABM$4,"Часы",INDEX(Техника!$G$1:$ABN$500,L$2,0),$A$928,INDEX(Техника!$H$1:$ABO$500,L$2,0),"Л")</f>
        <v>0</v>
      </c>
      <c r="M932" s="50">
        <f>SUMIFS(INDEX(Техника!$F$1:$ABM$500,M$2,0),Техника!$F$4:$ABM$4,"Часы",INDEX(Техника!$G$1:$ABN$500,M$2,0),$A$928,INDEX(Техника!$H$1:$ABO$500,M$2,0),"Л")</f>
        <v>0</v>
      </c>
      <c r="N932" s="50">
        <f>SUMIFS(INDEX(Техника!$F$1:$ABM$500,N$2,0),Техника!$F$4:$ABM$4,"Часы",INDEX(Техника!$G$1:$ABN$500,N$2,0),$A$928,INDEX(Техника!$H$1:$ABO$500,N$2,0),"Л")</f>
        <v>0</v>
      </c>
      <c r="O932" s="50">
        <f>SUMIFS(INDEX(Техника!$F$1:$ABM$500,O$2,0),Техника!$F$4:$ABM$4,"Часы",INDEX(Техника!$G$1:$ABN$500,O$2,0),$A$928,INDEX(Техника!$H$1:$ABO$500,O$2,0),"Л")</f>
        <v>0</v>
      </c>
      <c r="P932" s="50">
        <f>SUMIFS(INDEX(Техника!$F$1:$ABM$500,P$2,0),Техника!$F$4:$ABM$4,"Часы",INDEX(Техника!$G$1:$ABN$500,P$2,0),$A$928,INDEX(Техника!$H$1:$ABO$500,P$2,0),"Л")</f>
        <v>0</v>
      </c>
      <c r="Q932" s="50">
        <f>SUMIFS(INDEX(Техника!$F$1:$ABM$500,Q$2,0),Техника!$F$4:$ABM$4,"Часы",INDEX(Техника!$G$1:$ABN$500,Q$2,0),$A$928,INDEX(Техника!$H$1:$ABO$500,Q$2,0),"Л")</f>
        <v>0</v>
      </c>
      <c r="R932" s="50">
        <f>SUMIFS(INDEX(Техника!$F$1:$ABM$500,R$2,0),Техника!$F$4:$ABM$4,"Часы",INDEX(Техника!$G$1:$ABN$500,R$2,0),$A$928,INDEX(Техника!$H$1:$ABO$500,R$2,0),"Л")</f>
        <v>0</v>
      </c>
      <c r="S932" s="50">
        <f>SUMIFS(INDEX(Техника!$F$1:$ABM$500,S$2,0),Техника!$F$4:$ABM$4,"Часы",INDEX(Техника!$G$1:$ABN$500,S$2,0),$A$928,INDEX(Техника!$H$1:$ABO$500,S$2,0),"Л")</f>
        <v>0</v>
      </c>
      <c r="T932" s="50">
        <f>SUMIFS(INDEX(Техника!$F$1:$ABM$500,T$2,0),Техника!$F$4:$ABM$4,"Часы",INDEX(Техника!$G$1:$ABN$500,T$2,0),$A$928,INDEX(Техника!$H$1:$ABO$500,T$2,0),"Л")</f>
        <v>0</v>
      </c>
      <c r="U932" s="50">
        <f>SUMIFS(INDEX(Техника!$F$1:$ABM$500,U$2,0),Техника!$F$4:$ABM$4,"Часы",INDEX(Техника!$G$1:$ABN$500,U$2,0),$A$928,INDEX(Техника!$H$1:$ABO$500,U$2,0),"Л")</f>
        <v>0</v>
      </c>
      <c r="V932" s="50">
        <f>SUMIFS(INDEX(Техника!$F$1:$ABM$500,V$2,0),Техника!$F$4:$ABM$4,"Часы",INDEX(Техника!$G$1:$ABN$500,V$2,0),$A$928,INDEX(Техника!$H$1:$ABO$500,V$2,0),"Л")</f>
        <v>0</v>
      </c>
      <c r="W932" s="50">
        <f>SUMIFS(INDEX(Техника!$F$1:$ABM$500,W$2,0),Техника!$F$4:$ABM$4,"Часы",INDEX(Техника!$G$1:$ABN$500,W$2,0),$A$928,INDEX(Техника!$H$1:$ABO$500,W$2,0),"Л")</f>
        <v>0</v>
      </c>
      <c r="X932" s="50">
        <f>SUMIFS(INDEX(Техника!$F$1:$ABM$500,X$2,0),Техника!$F$4:$ABM$4,"Часы",INDEX(Техника!$G$1:$ABN$500,X$2,0),$A$928,INDEX(Техника!$H$1:$ABO$500,X$2,0),"Л")</f>
        <v>0</v>
      </c>
      <c r="Y932" s="50">
        <f>SUMIFS(INDEX(Техника!$F$1:$ABM$500,Y$2,0),Техника!$F$4:$ABM$4,"Часы",INDEX(Техника!$G$1:$ABN$500,Y$2,0),$A$928,INDEX(Техника!$H$1:$ABO$500,Y$2,0),"Л")</f>
        <v>0</v>
      </c>
      <c r="Z932" s="50">
        <f>SUMIFS(INDEX(Техника!$F$1:$ABM$500,Z$2,0),Техника!$F$4:$ABM$4,"Часы",INDEX(Техника!$G$1:$ABN$500,Z$2,0),$A$928,INDEX(Техника!$H$1:$ABO$500,Z$2,0),"Л")</f>
        <v>0</v>
      </c>
      <c r="AA932" s="50">
        <f>SUMIFS(INDEX(Техника!$F$1:$ABM$500,AA$2,0),Техника!$F$4:$ABM$4,"Часы",INDEX(Техника!$G$1:$ABN$500,AA$2,0),$A$928,INDEX(Техника!$H$1:$ABO$500,AA$2,0),"Л")</f>
        <v>0</v>
      </c>
      <c r="AB932" s="50">
        <f>SUMIFS(INDEX(Техника!$F$1:$ABM$500,AB$2,0),Техника!$F$4:$ABM$4,"Часы",INDEX(Техника!$G$1:$ABN$500,AB$2,0),$A$928,INDEX(Техника!$H$1:$ABO$500,AB$2,0),"Л")</f>
        <v>0</v>
      </c>
    </row>
    <row r="933" spans="1:28" hidden="1" outlineLevel="1" x14ac:dyDescent="0.3">
      <c r="A933" s="33" t="s">
        <v>245</v>
      </c>
      <c r="B933" s="34" t="s">
        <v>279</v>
      </c>
      <c r="C933" s="50">
        <f>SUMIFS(INDEX(Техника!$F$1:$ABM$500,C$2,0),Техника!$F$4:$ABM$4,"Часы",INDEX(Техника!$G$1:$ABN$500,C$2,0),$A$928,INDEX(Техника!$H$1:$ABO$500,C$2,0),"З")</f>
        <v>0</v>
      </c>
      <c r="D933" s="50">
        <f>SUMIFS(INDEX(Техника!$F$1:$ABM$500,D$2,0),Техника!$F$4:$ABM$4,"Часы",INDEX(Техника!$G$1:$ABN$500,D$2,0),$A$928,INDEX(Техника!$H$1:$ABO$500,D$2,0),"З")</f>
        <v>0</v>
      </c>
      <c r="E933" s="50">
        <f>SUMIFS(INDEX(Техника!$F$1:$ABM$500,E$2,0),Техника!$F$4:$ABM$4,"Часы",INDEX(Техника!$G$1:$ABN$500,E$2,0),$A$928,INDEX(Техника!$H$1:$ABO$500,E$2,0),"З")</f>
        <v>0</v>
      </c>
      <c r="F933" s="50">
        <f>SUMIFS(INDEX(Техника!$F$1:$ABM$500,F$2,0),Техника!$F$4:$ABM$4,"Часы",INDEX(Техника!$G$1:$ABN$500,F$2,0),$A$928,INDEX(Техника!$H$1:$ABO$500,F$2,0),"З")</f>
        <v>0</v>
      </c>
      <c r="G933" s="50">
        <f>SUMIFS(INDEX(Техника!$F$1:$ABM$500,G$2,0),Техника!$F$4:$ABM$4,"Часы",INDEX(Техника!$G$1:$ABN$500,G$2,0),$A$928,INDEX(Техника!$H$1:$ABO$500,G$2,0),"З")</f>
        <v>0</v>
      </c>
      <c r="H933" s="50">
        <f>SUMIFS(INDEX(Техника!$F$1:$ABM$500,H$2,0),Техника!$F$4:$ABM$4,"Часы",INDEX(Техника!$G$1:$ABN$500,H$2,0),$A$928,INDEX(Техника!$H$1:$ABO$500,H$2,0),"З")</f>
        <v>0</v>
      </c>
      <c r="I933" s="50">
        <f>SUMIFS(INDEX(Техника!$F$1:$ABM$500,I$2,0),Техника!$F$4:$ABM$4,"Часы",INDEX(Техника!$G$1:$ABN$500,I$2,0),$A$928,INDEX(Техника!$H$1:$ABO$500,I$2,0),"З")</f>
        <v>0</v>
      </c>
      <c r="J933" s="50">
        <f>SUMIFS(INDEX(Техника!$F$1:$ABM$500,J$2,0),Техника!$F$4:$ABM$4,"Часы",INDEX(Техника!$G$1:$ABN$500,J$2,0),$A$928,INDEX(Техника!$H$1:$ABO$500,J$2,0),"З")</f>
        <v>0</v>
      </c>
      <c r="K933" s="50">
        <f>SUMIFS(INDEX(Техника!$F$1:$ABM$500,K$2,0),Техника!$F$4:$ABM$4,"Часы",INDEX(Техника!$G$1:$ABN$500,K$2,0),$A$928,INDEX(Техника!$H$1:$ABO$500,K$2,0),"З")</f>
        <v>0</v>
      </c>
      <c r="L933" s="50">
        <f>SUMIFS(INDEX(Техника!$F$1:$ABM$500,L$2,0),Техника!$F$4:$ABM$4,"Часы",INDEX(Техника!$G$1:$ABN$500,L$2,0),$A$928,INDEX(Техника!$H$1:$ABO$500,L$2,0),"З")</f>
        <v>0</v>
      </c>
      <c r="M933" s="50">
        <f>SUMIFS(INDEX(Техника!$F$1:$ABM$500,M$2,0),Техника!$F$4:$ABM$4,"Часы",INDEX(Техника!$G$1:$ABN$500,M$2,0),$A$928,INDEX(Техника!$H$1:$ABO$500,M$2,0),"З")</f>
        <v>0</v>
      </c>
      <c r="N933" s="50">
        <f>SUMIFS(INDEX(Техника!$F$1:$ABM$500,N$2,0),Техника!$F$4:$ABM$4,"Часы",INDEX(Техника!$G$1:$ABN$500,N$2,0),$A$928,INDEX(Техника!$H$1:$ABO$500,N$2,0),"З")</f>
        <v>0</v>
      </c>
      <c r="O933" s="50">
        <f>SUMIFS(INDEX(Техника!$F$1:$ABM$500,O$2,0),Техника!$F$4:$ABM$4,"Часы",INDEX(Техника!$G$1:$ABN$500,O$2,0),$A$928,INDEX(Техника!$H$1:$ABO$500,O$2,0),"З")</f>
        <v>0</v>
      </c>
      <c r="P933" s="50">
        <f>SUMIFS(INDEX(Техника!$F$1:$ABM$500,P$2,0),Техника!$F$4:$ABM$4,"Часы",INDEX(Техника!$G$1:$ABN$500,P$2,0),$A$928,INDEX(Техника!$H$1:$ABO$500,P$2,0),"З")</f>
        <v>0</v>
      </c>
      <c r="Q933" s="50">
        <f>SUMIFS(INDEX(Техника!$F$1:$ABM$500,Q$2,0),Техника!$F$4:$ABM$4,"Часы",INDEX(Техника!$G$1:$ABN$500,Q$2,0),$A$928,INDEX(Техника!$H$1:$ABO$500,Q$2,0),"З")</f>
        <v>0</v>
      </c>
      <c r="R933" s="50">
        <f>SUMIFS(INDEX(Техника!$F$1:$ABM$500,R$2,0),Техника!$F$4:$ABM$4,"Часы",INDEX(Техника!$G$1:$ABN$500,R$2,0),$A$928,INDEX(Техника!$H$1:$ABO$500,R$2,0),"З")</f>
        <v>0</v>
      </c>
      <c r="S933" s="50">
        <f>SUMIFS(INDEX(Техника!$F$1:$ABM$500,S$2,0),Техника!$F$4:$ABM$4,"Часы",INDEX(Техника!$G$1:$ABN$500,S$2,0),$A$928,INDEX(Техника!$H$1:$ABO$500,S$2,0),"З")</f>
        <v>0</v>
      </c>
      <c r="T933" s="50">
        <f>SUMIFS(INDEX(Техника!$F$1:$ABM$500,T$2,0),Техника!$F$4:$ABM$4,"Часы",INDEX(Техника!$G$1:$ABN$500,T$2,0),$A$928,INDEX(Техника!$H$1:$ABO$500,T$2,0),"З")</f>
        <v>0</v>
      </c>
      <c r="U933" s="50">
        <f>SUMIFS(INDEX(Техника!$F$1:$ABM$500,U$2,0),Техника!$F$4:$ABM$4,"Часы",INDEX(Техника!$G$1:$ABN$500,U$2,0),$A$928,INDEX(Техника!$H$1:$ABO$500,U$2,0),"З")</f>
        <v>0</v>
      </c>
      <c r="V933" s="50">
        <f>SUMIFS(INDEX(Техника!$F$1:$ABM$500,V$2,0),Техника!$F$4:$ABM$4,"Часы",INDEX(Техника!$G$1:$ABN$500,V$2,0),$A$928,INDEX(Техника!$H$1:$ABO$500,V$2,0),"З")</f>
        <v>0</v>
      </c>
      <c r="W933" s="50">
        <f>SUMIFS(INDEX(Техника!$F$1:$ABM$500,W$2,0),Техника!$F$4:$ABM$4,"Часы",INDEX(Техника!$G$1:$ABN$500,W$2,0),$A$928,INDEX(Техника!$H$1:$ABO$500,W$2,0),"З")</f>
        <v>0</v>
      </c>
      <c r="X933" s="50">
        <f>SUMIFS(INDEX(Техника!$F$1:$ABM$500,X$2,0),Техника!$F$4:$ABM$4,"Часы",INDEX(Техника!$G$1:$ABN$500,X$2,0),$A$928,INDEX(Техника!$H$1:$ABO$500,X$2,0),"З")</f>
        <v>0</v>
      </c>
      <c r="Y933" s="50">
        <f>SUMIFS(INDEX(Техника!$F$1:$ABM$500,Y$2,0),Техника!$F$4:$ABM$4,"Часы",INDEX(Техника!$G$1:$ABN$500,Y$2,0),$A$928,INDEX(Техника!$H$1:$ABO$500,Y$2,0),"З")</f>
        <v>0</v>
      </c>
      <c r="Z933" s="50">
        <f>SUMIFS(INDEX(Техника!$F$1:$ABM$500,Z$2,0),Техника!$F$4:$ABM$4,"Часы",INDEX(Техника!$G$1:$ABN$500,Z$2,0),$A$928,INDEX(Техника!$H$1:$ABO$500,Z$2,0),"З")</f>
        <v>0</v>
      </c>
      <c r="AA933" s="50">
        <f>SUMIFS(INDEX(Техника!$F$1:$ABM$500,AA$2,0),Техника!$F$4:$ABM$4,"Часы",INDEX(Техника!$G$1:$ABN$500,AA$2,0),$A$928,INDEX(Техника!$H$1:$ABO$500,AA$2,0),"З")</f>
        <v>0</v>
      </c>
      <c r="AB933" s="50">
        <f>SUMIFS(INDEX(Техника!$F$1:$ABM$500,AB$2,0),Техника!$F$4:$ABM$4,"Часы",INDEX(Техника!$G$1:$ABN$500,AB$2,0),$A$928,INDEX(Техника!$H$1:$ABO$500,AB$2,0),"З")</f>
        <v>0</v>
      </c>
    </row>
    <row r="934" spans="1:28" ht="7.95" customHeight="1" x14ac:dyDescent="0.3">
      <c r="A934" s="38"/>
      <c r="B934" s="39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</row>
    <row r="935" spans="1:28" ht="25.05" customHeight="1" collapsed="1" x14ac:dyDescent="0.3">
      <c r="A935" s="32">
        <v>134</v>
      </c>
      <c r="B935" s="32" t="s">
        <v>135</v>
      </c>
      <c r="C935" s="49">
        <f>SUM(C936:C940)</f>
        <v>0</v>
      </c>
      <c r="D935" s="49">
        <f>SUM(D936:D940)</f>
        <v>0</v>
      </c>
      <c r="E935" s="49">
        <f>SUM(E936:E940)</f>
        <v>0</v>
      </c>
      <c r="F935" s="49">
        <f>SUM(F936:F940)</f>
        <v>0</v>
      </c>
      <c r="G935" s="49">
        <f>SUM(G936:G940)</f>
        <v>0</v>
      </c>
      <c r="H935" s="49">
        <f>SUM(H936:H940)</f>
        <v>0</v>
      </c>
      <c r="I935" s="49">
        <f>SUM(I936:I940)</f>
        <v>0</v>
      </c>
      <c r="J935" s="49">
        <f>SUM(J936:J940)</f>
        <v>0</v>
      </c>
      <c r="K935" s="49">
        <f>SUM(K936:K940)</f>
        <v>0</v>
      </c>
      <c r="L935" s="49">
        <f>SUM(L936:L940)</f>
        <v>0</v>
      </c>
      <c r="M935" s="49">
        <f>SUM(M936:M940)</f>
        <v>0</v>
      </c>
      <c r="N935" s="49">
        <f>SUM(N936:N940)</f>
        <v>0</v>
      </c>
      <c r="O935" s="49">
        <f>SUM(O936:O940)</f>
        <v>0</v>
      </c>
      <c r="P935" s="49">
        <f>SUM(P936:P940)</f>
        <v>0</v>
      </c>
      <c r="Q935" s="49">
        <f>SUM(Q936:Q940)</f>
        <v>0</v>
      </c>
      <c r="R935" s="49">
        <f>SUM(R936:R940)</f>
        <v>0</v>
      </c>
      <c r="S935" s="49">
        <f>SUM(S936:S940)</f>
        <v>0</v>
      </c>
      <c r="T935" s="49">
        <f>SUM(T936:T940)</f>
        <v>0</v>
      </c>
      <c r="U935" s="49">
        <f>SUM(U936:U940)</f>
        <v>0</v>
      </c>
      <c r="V935" s="49">
        <f>SUM(V936:V940)</f>
        <v>0</v>
      </c>
      <c r="W935" s="49">
        <f>SUM(W936:W940)</f>
        <v>0</v>
      </c>
      <c r="X935" s="49">
        <f>SUM(X936:X940)</f>
        <v>0</v>
      </c>
      <c r="Y935" s="49">
        <f>SUM(Y936:Y940)</f>
        <v>0</v>
      </c>
      <c r="Z935" s="49">
        <f>SUM(Z936:Z940)</f>
        <v>0</v>
      </c>
      <c r="AA935" s="49">
        <f>SUM(AA936:AA940)</f>
        <v>0</v>
      </c>
      <c r="AB935" s="49">
        <f>SUM(AB936:AB940)</f>
        <v>0</v>
      </c>
    </row>
    <row r="936" spans="1:28" hidden="1" outlineLevel="1" x14ac:dyDescent="0.3">
      <c r="A936" s="33" t="s">
        <v>246</v>
      </c>
      <c r="B936" s="34" t="s">
        <v>274</v>
      </c>
      <c r="C936" s="50">
        <f>SUMIFS(INDEX(Техника!$F$1:$ABM$500,C$2,0),Техника!$F$4:$ABM$4,"Часы",INDEX(Техника!$G$1:$ABN$500,C$2,0),$A$935,INDEX(Техника!$H$1:$ABO$500,C$2,0),"М")</f>
        <v>0</v>
      </c>
      <c r="D936" s="50">
        <f>SUMIFS(INDEX(Техника!$F$1:$ABM$500,D$2,0),Техника!$F$4:$ABM$4,"Часы",INDEX(Техника!$G$1:$ABN$500,D$2,0),$A$935,INDEX(Техника!$H$1:$ABO$500,D$2,0),"М")</f>
        <v>0</v>
      </c>
      <c r="E936" s="50">
        <f>SUMIFS(INDEX(Техника!$F$1:$ABM$500,E$2,0),Техника!$F$4:$ABM$4,"Часы",INDEX(Техника!$G$1:$ABN$500,E$2,0),$A$935,INDEX(Техника!$H$1:$ABO$500,E$2,0),"М")</f>
        <v>0</v>
      </c>
      <c r="F936" s="50">
        <f>SUMIFS(INDEX(Техника!$F$1:$ABM$500,F$2,0),Техника!$F$4:$ABM$4,"Часы",INDEX(Техника!$G$1:$ABN$500,F$2,0),$A$935,INDEX(Техника!$H$1:$ABO$500,F$2,0),"М")</f>
        <v>0</v>
      </c>
      <c r="G936" s="50">
        <f>SUMIFS(INDEX(Техника!$F$1:$ABM$500,G$2,0),Техника!$F$4:$ABM$4,"Часы",INDEX(Техника!$G$1:$ABN$500,G$2,0),$A$935,INDEX(Техника!$H$1:$ABO$500,G$2,0),"М")</f>
        <v>0</v>
      </c>
      <c r="H936" s="50">
        <f>SUMIFS(INDEX(Техника!$F$1:$ABM$500,H$2,0),Техника!$F$4:$ABM$4,"Часы",INDEX(Техника!$G$1:$ABN$500,H$2,0),$A$935,INDEX(Техника!$H$1:$ABO$500,H$2,0),"М")</f>
        <v>0</v>
      </c>
      <c r="I936" s="50">
        <f>SUMIFS(INDEX(Техника!$F$1:$ABM$500,I$2,0),Техника!$F$4:$ABM$4,"Часы",INDEX(Техника!$G$1:$ABN$500,I$2,0),$A$935,INDEX(Техника!$H$1:$ABO$500,I$2,0),"М")</f>
        <v>0</v>
      </c>
      <c r="J936" s="50">
        <f>SUMIFS(INDEX(Техника!$F$1:$ABM$500,J$2,0),Техника!$F$4:$ABM$4,"Часы",INDEX(Техника!$G$1:$ABN$500,J$2,0),$A$935,INDEX(Техника!$H$1:$ABO$500,J$2,0),"М")</f>
        <v>0</v>
      </c>
      <c r="K936" s="50">
        <f>SUMIFS(INDEX(Техника!$F$1:$ABM$500,K$2,0),Техника!$F$4:$ABM$4,"Часы",INDEX(Техника!$G$1:$ABN$500,K$2,0),$A$935,INDEX(Техника!$H$1:$ABO$500,K$2,0),"М")</f>
        <v>0</v>
      </c>
      <c r="L936" s="50">
        <f>SUMIFS(INDEX(Техника!$F$1:$ABM$500,L$2,0),Техника!$F$4:$ABM$4,"Часы",INDEX(Техника!$G$1:$ABN$500,L$2,0),$A$935,INDEX(Техника!$H$1:$ABO$500,L$2,0),"М")</f>
        <v>0</v>
      </c>
      <c r="M936" s="50">
        <f>SUMIFS(INDEX(Техника!$F$1:$ABM$500,M$2,0),Техника!$F$4:$ABM$4,"Часы",INDEX(Техника!$G$1:$ABN$500,M$2,0),$A$935,INDEX(Техника!$H$1:$ABO$500,M$2,0),"М")</f>
        <v>0</v>
      </c>
      <c r="N936" s="50">
        <f>SUMIFS(INDEX(Техника!$F$1:$ABM$500,N$2,0),Техника!$F$4:$ABM$4,"Часы",INDEX(Техника!$G$1:$ABN$500,N$2,0),$A$935,INDEX(Техника!$H$1:$ABO$500,N$2,0),"М")</f>
        <v>0</v>
      </c>
      <c r="O936" s="50">
        <f>SUMIFS(INDEX(Техника!$F$1:$ABM$500,O$2,0),Техника!$F$4:$ABM$4,"Часы",INDEX(Техника!$G$1:$ABN$500,O$2,0),$A$935,INDEX(Техника!$H$1:$ABO$500,O$2,0),"М")</f>
        <v>0</v>
      </c>
      <c r="P936" s="50">
        <f>SUMIFS(INDEX(Техника!$F$1:$ABM$500,P$2,0),Техника!$F$4:$ABM$4,"Часы",INDEX(Техника!$G$1:$ABN$500,P$2,0),$A$935,INDEX(Техника!$H$1:$ABO$500,P$2,0),"М")</f>
        <v>0</v>
      </c>
      <c r="Q936" s="50">
        <f>SUMIFS(INDEX(Техника!$F$1:$ABM$500,Q$2,0),Техника!$F$4:$ABM$4,"Часы",INDEX(Техника!$G$1:$ABN$500,Q$2,0),$A$935,INDEX(Техника!$H$1:$ABO$500,Q$2,0),"М")</f>
        <v>0</v>
      </c>
      <c r="R936" s="50">
        <f>SUMIFS(INDEX(Техника!$F$1:$ABM$500,R$2,0),Техника!$F$4:$ABM$4,"Часы",INDEX(Техника!$G$1:$ABN$500,R$2,0),$A$935,INDEX(Техника!$H$1:$ABO$500,R$2,0),"М")</f>
        <v>0</v>
      </c>
      <c r="S936" s="50">
        <f>SUMIFS(INDEX(Техника!$F$1:$ABM$500,S$2,0),Техника!$F$4:$ABM$4,"Часы",INDEX(Техника!$G$1:$ABN$500,S$2,0),$A$935,INDEX(Техника!$H$1:$ABO$500,S$2,0),"М")</f>
        <v>0</v>
      </c>
      <c r="T936" s="50">
        <f>SUMIFS(INDEX(Техника!$F$1:$ABM$500,T$2,0),Техника!$F$4:$ABM$4,"Часы",INDEX(Техника!$G$1:$ABN$500,T$2,0),$A$935,INDEX(Техника!$H$1:$ABO$500,T$2,0),"М")</f>
        <v>0</v>
      </c>
      <c r="U936" s="50">
        <f>SUMIFS(INDEX(Техника!$F$1:$ABM$500,U$2,0),Техника!$F$4:$ABM$4,"Часы",INDEX(Техника!$G$1:$ABN$500,U$2,0),$A$935,INDEX(Техника!$H$1:$ABO$500,U$2,0),"М")</f>
        <v>0</v>
      </c>
      <c r="V936" s="50">
        <f>SUMIFS(INDEX(Техника!$F$1:$ABM$500,V$2,0),Техника!$F$4:$ABM$4,"Часы",INDEX(Техника!$G$1:$ABN$500,V$2,0),$A$935,INDEX(Техника!$H$1:$ABO$500,V$2,0),"М")</f>
        <v>0</v>
      </c>
      <c r="W936" s="50">
        <f>SUMIFS(INDEX(Техника!$F$1:$ABM$500,W$2,0),Техника!$F$4:$ABM$4,"Часы",INDEX(Техника!$G$1:$ABN$500,W$2,0),$A$935,INDEX(Техника!$H$1:$ABO$500,W$2,0),"М")</f>
        <v>0</v>
      </c>
      <c r="X936" s="50">
        <f>SUMIFS(INDEX(Техника!$F$1:$ABM$500,X$2,0),Техника!$F$4:$ABM$4,"Часы",INDEX(Техника!$G$1:$ABN$500,X$2,0),$A$935,INDEX(Техника!$H$1:$ABO$500,X$2,0),"М")</f>
        <v>0</v>
      </c>
      <c r="Y936" s="50">
        <f>SUMIFS(INDEX(Техника!$F$1:$ABM$500,Y$2,0),Техника!$F$4:$ABM$4,"Часы",INDEX(Техника!$G$1:$ABN$500,Y$2,0),$A$935,INDEX(Техника!$H$1:$ABO$500,Y$2,0),"М")</f>
        <v>0</v>
      </c>
      <c r="Z936" s="50">
        <f>SUMIFS(INDEX(Техника!$F$1:$ABM$500,Z$2,0),Техника!$F$4:$ABM$4,"Часы",INDEX(Техника!$G$1:$ABN$500,Z$2,0),$A$935,INDEX(Техника!$H$1:$ABO$500,Z$2,0),"М")</f>
        <v>0</v>
      </c>
      <c r="AA936" s="50">
        <f>SUMIFS(INDEX(Техника!$F$1:$ABM$500,AA$2,0),Техника!$F$4:$ABM$4,"Часы",INDEX(Техника!$G$1:$ABN$500,AA$2,0),$A$935,INDEX(Техника!$H$1:$ABO$500,AA$2,0),"М")</f>
        <v>0</v>
      </c>
      <c r="AB936" s="50">
        <f>SUMIFS(INDEX(Техника!$F$1:$ABM$500,AB$2,0),Техника!$F$4:$ABM$4,"Часы",INDEX(Техника!$G$1:$ABN$500,AB$2,0),$A$935,INDEX(Техника!$H$1:$ABO$500,AB$2,0),"М")</f>
        <v>0</v>
      </c>
    </row>
    <row r="937" spans="1:28" hidden="1" outlineLevel="1" x14ac:dyDescent="0.3">
      <c r="A937" s="33" t="s">
        <v>244</v>
      </c>
      <c r="B937" s="34" t="s">
        <v>275</v>
      </c>
      <c r="C937" s="50">
        <f>SUMIFS(INDEX(Техника!$F$1:$ABM$500,C$2,0),Техника!$F$4:$ABM$4,"Часы",INDEX(Техника!$G$1:$ABN$500,C$2,0),$A$935,INDEX(Техника!$H$1:$ABO$500,C$2,0),"Д")</f>
        <v>0</v>
      </c>
      <c r="D937" s="50">
        <f>SUMIFS(INDEX(Техника!$F$1:$ABM$500,D$2,0),Техника!$F$4:$ABM$4,"Часы",INDEX(Техника!$G$1:$ABN$500,D$2,0),$A$935,INDEX(Техника!$H$1:$ABO$500,D$2,0),"Д")</f>
        <v>0</v>
      </c>
      <c r="E937" s="50">
        <f>SUMIFS(INDEX(Техника!$F$1:$ABM$500,E$2,0),Техника!$F$4:$ABM$4,"Часы",INDEX(Техника!$G$1:$ABN$500,E$2,0),$A$935,INDEX(Техника!$H$1:$ABO$500,E$2,0),"Д")</f>
        <v>0</v>
      </c>
      <c r="F937" s="50">
        <f>SUMIFS(INDEX(Техника!$F$1:$ABM$500,F$2,0),Техника!$F$4:$ABM$4,"Часы",INDEX(Техника!$G$1:$ABN$500,F$2,0),$A$935,INDEX(Техника!$H$1:$ABO$500,F$2,0),"Д")</f>
        <v>0</v>
      </c>
      <c r="G937" s="50">
        <f>SUMIFS(INDEX(Техника!$F$1:$ABM$500,G$2,0),Техника!$F$4:$ABM$4,"Часы",INDEX(Техника!$G$1:$ABN$500,G$2,0),$A$935,INDEX(Техника!$H$1:$ABO$500,G$2,0),"Д")</f>
        <v>0</v>
      </c>
      <c r="H937" s="50">
        <f>SUMIFS(INDEX(Техника!$F$1:$ABM$500,H$2,0),Техника!$F$4:$ABM$4,"Часы",INDEX(Техника!$G$1:$ABN$500,H$2,0),$A$935,INDEX(Техника!$H$1:$ABO$500,H$2,0),"Д")</f>
        <v>0</v>
      </c>
      <c r="I937" s="50">
        <f>SUMIFS(INDEX(Техника!$F$1:$ABM$500,I$2,0),Техника!$F$4:$ABM$4,"Часы",INDEX(Техника!$G$1:$ABN$500,I$2,0),$A$935,INDEX(Техника!$H$1:$ABO$500,I$2,0),"Д")</f>
        <v>0</v>
      </c>
      <c r="J937" s="50">
        <f>SUMIFS(INDEX(Техника!$F$1:$ABM$500,J$2,0),Техника!$F$4:$ABM$4,"Часы",INDEX(Техника!$G$1:$ABN$500,J$2,0),$A$935,INDEX(Техника!$H$1:$ABO$500,J$2,0),"Д")</f>
        <v>0</v>
      </c>
      <c r="K937" s="50">
        <f>SUMIFS(INDEX(Техника!$F$1:$ABM$500,K$2,0),Техника!$F$4:$ABM$4,"Часы",INDEX(Техника!$G$1:$ABN$500,K$2,0),$A$935,INDEX(Техника!$H$1:$ABO$500,K$2,0),"Д")</f>
        <v>0</v>
      </c>
      <c r="L937" s="50">
        <f>SUMIFS(INDEX(Техника!$F$1:$ABM$500,L$2,0),Техника!$F$4:$ABM$4,"Часы",INDEX(Техника!$G$1:$ABN$500,L$2,0),$A$935,INDEX(Техника!$H$1:$ABO$500,L$2,0),"Д")</f>
        <v>0</v>
      </c>
      <c r="M937" s="50">
        <f>SUMIFS(INDEX(Техника!$F$1:$ABM$500,M$2,0),Техника!$F$4:$ABM$4,"Часы",INDEX(Техника!$G$1:$ABN$500,M$2,0),$A$935,INDEX(Техника!$H$1:$ABO$500,M$2,0),"Д")</f>
        <v>0</v>
      </c>
      <c r="N937" s="50">
        <f>SUMIFS(INDEX(Техника!$F$1:$ABM$500,N$2,0),Техника!$F$4:$ABM$4,"Часы",INDEX(Техника!$G$1:$ABN$500,N$2,0),$A$935,INDEX(Техника!$H$1:$ABO$500,N$2,0),"Д")</f>
        <v>0</v>
      </c>
      <c r="O937" s="50">
        <f>SUMIFS(INDEX(Техника!$F$1:$ABM$500,O$2,0),Техника!$F$4:$ABM$4,"Часы",INDEX(Техника!$G$1:$ABN$500,O$2,0),$A$935,INDEX(Техника!$H$1:$ABO$500,O$2,0),"Д")</f>
        <v>0</v>
      </c>
      <c r="P937" s="50">
        <f>SUMIFS(INDEX(Техника!$F$1:$ABM$500,P$2,0),Техника!$F$4:$ABM$4,"Часы",INDEX(Техника!$G$1:$ABN$500,P$2,0),$A$935,INDEX(Техника!$H$1:$ABO$500,P$2,0),"Д")</f>
        <v>0</v>
      </c>
      <c r="Q937" s="50">
        <f>SUMIFS(INDEX(Техника!$F$1:$ABM$500,Q$2,0),Техника!$F$4:$ABM$4,"Часы",INDEX(Техника!$G$1:$ABN$500,Q$2,0),$A$935,INDEX(Техника!$H$1:$ABO$500,Q$2,0),"Д")</f>
        <v>0</v>
      </c>
      <c r="R937" s="50">
        <f>SUMIFS(INDEX(Техника!$F$1:$ABM$500,R$2,0),Техника!$F$4:$ABM$4,"Часы",INDEX(Техника!$G$1:$ABN$500,R$2,0),$A$935,INDEX(Техника!$H$1:$ABO$500,R$2,0),"Д")</f>
        <v>0</v>
      </c>
      <c r="S937" s="50">
        <f>SUMIFS(INDEX(Техника!$F$1:$ABM$500,S$2,0),Техника!$F$4:$ABM$4,"Часы",INDEX(Техника!$G$1:$ABN$500,S$2,0),$A$935,INDEX(Техника!$H$1:$ABO$500,S$2,0),"Д")</f>
        <v>0</v>
      </c>
      <c r="T937" s="50">
        <f>SUMIFS(INDEX(Техника!$F$1:$ABM$500,T$2,0),Техника!$F$4:$ABM$4,"Часы",INDEX(Техника!$G$1:$ABN$500,T$2,0),$A$935,INDEX(Техника!$H$1:$ABO$500,T$2,0),"Д")</f>
        <v>0</v>
      </c>
      <c r="U937" s="50">
        <f>SUMIFS(INDEX(Техника!$F$1:$ABM$500,U$2,0),Техника!$F$4:$ABM$4,"Часы",INDEX(Техника!$G$1:$ABN$500,U$2,0),$A$935,INDEX(Техника!$H$1:$ABO$500,U$2,0),"Д")</f>
        <v>0</v>
      </c>
      <c r="V937" s="50">
        <f>SUMIFS(INDEX(Техника!$F$1:$ABM$500,V$2,0),Техника!$F$4:$ABM$4,"Часы",INDEX(Техника!$G$1:$ABN$500,V$2,0),$A$935,INDEX(Техника!$H$1:$ABO$500,V$2,0),"Д")</f>
        <v>0</v>
      </c>
      <c r="W937" s="50">
        <f>SUMIFS(INDEX(Техника!$F$1:$ABM$500,W$2,0),Техника!$F$4:$ABM$4,"Часы",INDEX(Техника!$G$1:$ABN$500,W$2,0),$A$935,INDEX(Техника!$H$1:$ABO$500,W$2,0),"Д")</f>
        <v>0</v>
      </c>
      <c r="X937" s="50">
        <f>SUMIFS(INDEX(Техника!$F$1:$ABM$500,X$2,0),Техника!$F$4:$ABM$4,"Часы",INDEX(Техника!$G$1:$ABN$500,X$2,0),$A$935,INDEX(Техника!$H$1:$ABO$500,X$2,0),"Д")</f>
        <v>0</v>
      </c>
      <c r="Y937" s="50">
        <f>SUMIFS(INDEX(Техника!$F$1:$ABM$500,Y$2,0),Техника!$F$4:$ABM$4,"Часы",INDEX(Техника!$G$1:$ABN$500,Y$2,0),$A$935,INDEX(Техника!$H$1:$ABO$500,Y$2,0),"Д")</f>
        <v>0</v>
      </c>
      <c r="Z937" s="50">
        <f>SUMIFS(INDEX(Техника!$F$1:$ABM$500,Z$2,0),Техника!$F$4:$ABM$4,"Часы",INDEX(Техника!$G$1:$ABN$500,Z$2,0),$A$935,INDEX(Техника!$H$1:$ABO$500,Z$2,0),"Д")</f>
        <v>0</v>
      </c>
      <c r="AA937" s="50">
        <f>SUMIFS(INDEX(Техника!$F$1:$ABM$500,AA$2,0),Техника!$F$4:$ABM$4,"Часы",INDEX(Техника!$G$1:$ABN$500,AA$2,0),$A$935,INDEX(Техника!$H$1:$ABO$500,AA$2,0),"Д")</f>
        <v>0</v>
      </c>
      <c r="AB937" s="50">
        <f>SUMIFS(INDEX(Техника!$F$1:$ABM$500,AB$2,0),Техника!$F$4:$ABM$4,"Часы",INDEX(Техника!$G$1:$ABN$500,AB$2,0),$A$935,INDEX(Техника!$H$1:$ABO$500,AB$2,0),"Д")</f>
        <v>0</v>
      </c>
    </row>
    <row r="938" spans="1:28" hidden="1" outlineLevel="1" x14ac:dyDescent="0.3">
      <c r="A938" s="33" t="s">
        <v>276</v>
      </c>
      <c r="B938" s="34" t="s">
        <v>277</v>
      </c>
      <c r="C938" s="50">
        <f>SUMIFS(INDEX(Техника!$F$1:$ABM$500,C$2,0),Техника!$F$4:$ABM$4,"Часы",INDEX(Техника!$G$1:$ABN$500,C$2,0),$A$935,INDEX(Техника!$H$1:$ABO$500,C$2,0),"П")</f>
        <v>0</v>
      </c>
      <c r="D938" s="50">
        <f>SUMIFS(INDEX(Техника!$F$1:$ABM$500,D$2,0),Техника!$F$4:$ABM$4,"Часы",INDEX(Техника!$G$1:$ABN$500,D$2,0),$A$935,INDEX(Техника!$H$1:$ABO$500,D$2,0),"П")</f>
        <v>0</v>
      </c>
      <c r="E938" s="50">
        <f>SUMIFS(INDEX(Техника!$F$1:$ABM$500,E$2,0),Техника!$F$4:$ABM$4,"Часы",INDEX(Техника!$G$1:$ABN$500,E$2,0),$A$935,INDEX(Техника!$H$1:$ABO$500,E$2,0),"П")</f>
        <v>0</v>
      </c>
      <c r="F938" s="50">
        <f>SUMIFS(INDEX(Техника!$F$1:$ABM$500,F$2,0),Техника!$F$4:$ABM$4,"Часы",INDEX(Техника!$G$1:$ABN$500,F$2,0),$A$935,INDEX(Техника!$H$1:$ABO$500,F$2,0),"П")</f>
        <v>0</v>
      </c>
      <c r="G938" s="50">
        <f>SUMIFS(INDEX(Техника!$F$1:$ABM$500,G$2,0),Техника!$F$4:$ABM$4,"Часы",INDEX(Техника!$G$1:$ABN$500,G$2,0),$A$935,INDEX(Техника!$H$1:$ABO$500,G$2,0),"П")</f>
        <v>0</v>
      </c>
      <c r="H938" s="50">
        <f>SUMIFS(INDEX(Техника!$F$1:$ABM$500,H$2,0),Техника!$F$4:$ABM$4,"Часы",INDEX(Техника!$G$1:$ABN$500,H$2,0),$A$935,INDEX(Техника!$H$1:$ABO$500,H$2,0),"П")</f>
        <v>0</v>
      </c>
      <c r="I938" s="50">
        <f>SUMIFS(INDEX(Техника!$F$1:$ABM$500,I$2,0),Техника!$F$4:$ABM$4,"Часы",INDEX(Техника!$G$1:$ABN$500,I$2,0),$A$935,INDEX(Техника!$H$1:$ABO$500,I$2,0),"П")</f>
        <v>0</v>
      </c>
      <c r="J938" s="50">
        <f>SUMIFS(INDEX(Техника!$F$1:$ABM$500,J$2,0),Техника!$F$4:$ABM$4,"Часы",INDEX(Техника!$G$1:$ABN$500,J$2,0),$A$935,INDEX(Техника!$H$1:$ABO$500,J$2,0),"П")</f>
        <v>0</v>
      </c>
      <c r="K938" s="50">
        <f>SUMIFS(INDEX(Техника!$F$1:$ABM$500,K$2,0),Техника!$F$4:$ABM$4,"Часы",INDEX(Техника!$G$1:$ABN$500,K$2,0),$A$935,INDEX(Техника!$H$1:$ABO$500,K$2,0),"П")</f>
        <v>0</v>
      </c>
      <c r="L938" s="50">
        <f>SUMIFS(INDEX(Техника!$F$1:$ABM$500,L$2,0),Техника!$F$4:$ABM$4,"Часы",INDEX(Техника!$G$1:$ABN$500,L$2,0),$A$935,INDEX(Техника!$H$1:$ABO$500,L$2,0),"П")</f>
        <v>0</v>
      </c>
      <c r="M938" s="50">
        <f>SUMIFS(INDEX(Техника!$F$1:$ABM$500,M$2,0),Техника!$F$4:$ABM$4,"Часы",INDEX(Техника!$G$1:$ABN$500,M$2,0),$A$935,INDEX(Техника!$H$1:$ABO$500,M$2,0),"П")</f>
        <v>0</v>
      </c>
      <c r="N938" s="50">
        <f>SUMIFS(INDEX(Техника!$F$1:$ABM$500,N$2,0),Техника!$F$4:$ABM$4,"Часы",INDEX(Техника!$G$1:$ABN$500,N$2,0),$A$935,INDEX(Техника!$H$1:$ABO$500,N$2,0),"П")</f>
        <v>0</v>
      </c>
      <c r="O938" s="50">
        <f>SUMIFS(INDEX(Техника!$F$1:$ABM$500,O$2,0),Техника!$F$4:$ABM$4,"Часы",INDEX(Техника!$G$1:$ABN$500,O$2,0),$A$935,INDEX(Техника!$H$1:$ABO$500,O$2,0),"П")</f>
        <v>0</v>
      </c>
      <c r="P938" s="50">
        <f>SUMIFS(INDEX(Техника!$F$1:$ABM$500,P$2,0),Техника!$F$4:$ABM$4,"Часы",INDEX(Техника!$G$1:$ABN$500,P$2,0),$A$935,INDEX(Техника!$H$1:$ABO$500,P$2,0),"П")</f>
        <v>0</v>
      </c>
      <c r="Q938" s="50">
        <f>SUMIFS(INDEX(Техника!$F$1:$ABM$500,Q$2,0),Техника!$F$4:$ABM$4,"Часы",INDEX(Техника!$G$1:$ABN$500,Q$2,0),$A$935,INDEX(Техника!$H$1:$ABO$500,Q$2,0),"П")</f>
        <v>0</v>
      </c>
      <c r="R938" s="50">
        <f>SUMIFS(INDEX(Техника!$F$1:$ABM$500,R$2,0),Техника!$F$4:$ABM$4,"Часы",INDEX(Техника!$G$1:$ABN$500,R$2,0),$A$935,INDEX(Техника!$H$1:$ABO$500,R$2,0),"П")</f>
        <v>0</v>
      </c>
      <c r="S938" s="50">
        <f>SUMIFS(INDEX(Техника!$F$1:$ABM$500,S$2,0),Техника!$F$4:$ABM$4,"Часы",INDEX(Техника!$G$1:$ABN$500,S$2,0),$A$935,INDEX(Техника!$H$1:$ABO$500,S$2,0),"П")</f>
        <v>0</v>
      </c>
      <c r="T938" s="50">
        <f>SUMIFS(INDEX(Техника!$F$1:$ABM$500,T$2,0),Техника!$F$4:$ABM$4,"Часы",INDEX(Техника!$G$1:$ABN$500,T$2,0),$A$935,INDEX(Техника!$H$1:$ABO$500,T$2,0),"П")</f>
        <v>0</v>
      </c>
      <c r="U938" s="50">
        <f>SUMIFS(INDEX(Техника!$F$1:$ABM$500,U$2,0),Техника!$F$4:$ABM$4,"Часы",INDEX(Техника!$G$1:$ABN$500,U$2,0),$A$935,INDEX(Техника!$H$1:$ABO$500,U$2,0),"П")</f>
        <v>0</v>
      </c>
      <c r="V938" s="50">
        <f>SUMIFS(INDEX(Техника!$F$1:$ABM$500,V$2,0),Техника!$F$4:$ABM$4,"Часы",INDEX(Техника!$G$1:$ABN$500,V$2,0),$A$935,INDEX(Техника!$H$1:$ABO$500,V$2,0),"П")</f>
        <v>0</v>
      </c>
      <c r="W938" s="50">
        <f>SUMIFS(INDEX(Техника!$F$1:$ABM$500,W$2,0),Техника!$F$4:$ABM$4,"Часы",INDEX(Техника!$G$1:$ABN$500,W$2,0),$A$935,INDEX(Техника!$H$1:$ABO$500,W$2,0),"П")</f>
        <v>0</v>
      </c>
      <c r="X938" s="50">
        <f>SUMIFS(INDEX(Техника!$F$1:$ABM$500,X$2,0),Техника!$F$4:$ABM$4,"Часы",INDEX(Техника!$G$1:$ABN$500,X$2,0),$A$935,INDEX(Техника!$H$1:$ABO$500,X$2,0),"П")</f>
        <v>0</v>
      </c>
      <c r="Y938" s="50">
        <f>SUMIFS(INDEX(Техника!$F$1:$ABM$500,Y$2,0),Техника!$F$4:$ABM$4,"Часы",INDEX(Техника!$G$1:$ABN$500,Y$2,0),$A$935,INDEX(Техника!$H$1:$ABO$500,Y$2,0),"П")</f>
        <v>0</v>
      </c>
      <c r="Z938" s="50">
        <f>SUMIFS(INDEX(Техника!$F$1:$ABM$500,Z$2,0),Техника!$F$4:$ABM$4,"Часы",INDEX(Техника!$G$1:$ABN$500,Z$2,0),$A$935,INDEX(Техника!$H$1:$ABO$500,Z$2,0),"П")</f>
        <v>0</v>
      </c>
      <c r="AA938" s="50">
        <f>SUMIFS(INDEX(Техника!$F$1:$ABM$500,AA$2,0),Техника!$F$4:$ABM$4,"Часы",INDEX(Техника!$G$1:$ABN$500,AA$2,0),$A$935,INDEX(Техника!$H$1:$ABO$500,AA$2,0),"П")</f>
        <v>0</v>
      </c>
      <c r="AB938" s="50">
        <f>SUMIFS(INDEX(Техника!$F$1:$ABM$500,AB$2,0),Техника!$F$4:$ABM$4,"Часы",INDEX(Техника!$G$1:$ABN$500,AB$2,0),$A$935,INDEX(Техника!$H$1:$ABO$500,AB$2,0),"П")</f>
        <v>0</v>
      </c>
    </row>
    <row r="939" spans="1:28" hidden="1" outlineLevel="1" x14ac:dyDescent="0.3">
      <c r="A939" s="33" t="s">
        <v>243</v>
      </c>
      <c r="B939" s="34" t="s">
        <v>278</v>
      </c>
      <c r="C939" s="50">
        <f>SUMIFS(INDEX(Техника!$F$1:$ABM$500,C$2,0),Техника!$F$4:$ABM$4,"Часы",INDEX(Техника!$G$1:$ABN$500,C$2,0),$A$935,INDEX(Техника!$H$1:$ABO$500,C$2,0),"Л")</f>
        <v>0</v>
      </c>
      <c r="D939" s="50">
        <f>SUMIFS(INDEX(Техника!$F$1:$ABM$500,D$2,0),Техника!$F$4:$ABM$4,"Часы",INDEX(Техника!$G$1:$ABN$500,D$2,0),$A$935,INDEX(Техника!$H$1:$ABO$500,D$2,0),"Л")</f>
        <v>0</v>
      </c>
      <c r="E939" s="50">
        <f>SUMIFS(INDEX(Техника!$F$1:$ABM$500,E$2,0),Техника!$F$4:$ABM$4,"Часы",INDEX(Техника!$G$1:$ABN$500,E$2,0),$A$935,INDEX(Техника!$H$1:$ABO$500,E$2,0),"Л")</f>
        <v>0</v>
      </c>
      <c r="F939" s="50">
        <f>SUMIFS(INDEX(Техника!$F$1:$ABM$500,F$2,0),Техника!$F$4:$ABM$4,"Часы",INDEX(Техника!$G$1:$ABN$500,F$2,0),$A$935,INDEX(Техника!$H$1:$ABO$500,F$2,0),"Л")</f>
        <v>0</v>
      </c>
      <c r="G939" s="50">
        <f>SUMIFS(INDEX(Техника!$F$1:$ABM$500,G$2,0),Техника!$F$4:$ABM$4,"Часы",INDEX(Техника!$G$1:$ABN$500,G$2,0),$A$935,INDEX(Техника!$H$1:$ABO$500,G$2,0),"Л")</f>
        <v>0</v>
      </c>
      <c r="H939" s="50">
        <f>SUMIFS(INDEX(Техника!$F$1:$ABM$500,H$2,0),Техника!$F$4:$ABM$4,"Часы",INDEX(Техника!$G$1:$ABN$500,H$2,0),$A$935,INDEX(Техника!$H$1:$ABO$500,H$2,0),"Л")</f>
        <v>0</v>
      </c>
      <c r="I939" s="50">
        <f>SUMIFS(INDEX(Техника!$F$1:$ABM$500,I$2,0),Техника!$F$4:$ABM$4,"Часы",INDEX(Техника!$G$1:$ABN$500,I$2,0),$A$935,INDEX(Техника!$H$1:$ABO$500,I$2,0),"Л")</f>
        <v>0</v>
      </c>
      <c r="J939" s="50">
        <f>SUMIFS(INDEX(Техника!$F$1:$ABM$500,J$2,0),Техника!$F$4:$ABM$4,"Часы",INDEX(Техника!$G$1:$ABN$500,J$2,0),$A$935,INDEX(Техника!$H$1:$ABO$500,J$2,0),"Л")</f>
        <v>0</v>
      </c>
      <c r="K939" s="50">
        <f>SUMIFS(INDEX(Техника!$F$1:$ABM$500,K$2,0),Техника!$F$4:$ABM$4,"Часы",INDEX(Техника!$G$1:$ABN$500,K$2,0),$A$935,INDEX(Техника!$H$1:$ABO$500,K$2,0),"Л")</f>
        <v>0</v>
      </c>
      <c r="L939" s="50">
        <f>SUMIFS(INDEX(Техника!$F$1:$ABM$500,L$2,0),Техника!$F$4:$ABM$4,"Часы",INDEX(Техника!$G$1:$ABN$500,L$2,0),$A$935,INDEX(Техника!$H$1:$ABO$500,L$2,0),"Л")</f>
        <v>0</v>
      </c>
      <c r="M939" s="50">
        <f>SUMIFS(INDEX(Техника!$F$1:$ABM$500,M$2,0),Техника!$F$4:$ABM$4,"Часы",INDEX(Техника!$G$1:$ABN$500,M$2,0),$A$935,INDEX(Техника!$H$1:$ABO$500,M$2,0),"Л")</f>
        <v>0</v>
      </c>
      <c r="N939" s="50">
        <f>SUMIFS(INDEX(Техника!$F$1:$ABM$500,N$2,0),Техника!$F$4:$ABM$4,"Часы",INDEX(Техника!$G$1:$ABN$500,N$2,0),$A$935,INDEX(Техника!$H$1:$ABO$500,N$2,0),"Л")</f>
        <v>0</v>
      </c>
      <c r="O939" s="50">
        <f>SUMIFS(INDEX(Техника!$F$1:$ABM$500,O$2,0),Техника!$F$4:$ABM$4,"Часы",INDEX(Техника!$G$1:$ABN$500,O$2,0),$A$935,INDEX(Техника!$H$1:$ABO$500,O$2,0),"Л")</f>
        <v>0</v>
      </c>
      <c r="P939" s="50">
        <f>SUMIFS(INDEX(Техника!$F$1:$ABM$500,P$2,0),Техника!$F$4:$ABM$4,"Часы",INDEX(Техника!$G$1:$ABN$500,P$2,0),$A$935,INDEX(Техника!$H$1:$ABO$500,P$2,0),"Л")</f>
        <v>0</v>
      </c>
      <c r="Q939" s="50">
        <f>SUMIFS(INDEX(Техника!$F$1:$ABM$500,Q$2,0),Техника!$F$4:$ABM$4,"Часы",INDEX(Техника!$G$1:$ABN$500,Q$2,0),$A$935,INDEX(Техника!$H$1:$ABO$500,Q$2,0),"Л")</f>
        <v>0</v>
      </c>
      <c r="R939" s="50">
        <f>SUMIFS(INDEX(Техника!$F$1:$ABM$500,R$2,0),Техника!$F$4:$ABM$4,"Часы",INDEX(Техника!$G$1:$ABN$500,R$2,0),$A$935,INDEX(Техника!$H$1:$ABO$500,R$2,0),"Л")</f>
        <v>0</v>
      </c>
      <c r="S939" s="50">
        <f>SUMIFS(INDEX(Техника!$F$1:$ABM$500,S$2,0),Техника!$F$4:$ABM$4,"Часы",INDEX(Техника!$G$1:$ABN$500,S$2,0),$A$935,INDEX(Техника!$H$1:$ABO$500,S$2,0),"Л")</f>
        <v>0</v>
      </c>
      <c r="T939" s="50">
        <f>SUMIFS(INDEX(Техника!$F$1:$ABM$500,T$2,0),Техника!$F$4:$ABM$4,"Часы",INDEX(Техника!$G$1:$ABN$500,T$2,0),$A$935,INDEX(Техника!$H$1:$ABO$500,T$2,0),"Л")</f>
        <v>0</v>
      </c>
      <c r="U939" s="50">
        <f>SUMIFS(INDEX(Техника!$F$1:$ABM$500,U$2,0),Техника!$F$4:$ABM$4,"Часы",INDEX(Техника!$G$1:$ABN$500,U$2,0),$A$935,INDEX(Техника!$H$1:$ABO$500,U$2,0),"Л")</f>
        <v>0</v>
      </c>
      <c r="V939" s="50">
        <f>SUMIFS(INDEX(Техника!$F$1:$ABM$500,V$2,0),Техника!$F$4:$ABM$4,"Часы",INDEX(Техника!$G$1:$ABN$500,V$2,0),$A$935,INDEX(Техника!$H$1:$ABO$500,V$2,0),"Л")</f>
        <v>0</v>
      </c>
      <c r="W939" s="50">
        <f>SUMIFS(INDEX(Техника!$F$1:$ABM$500,W$2,0),Техника!$F$4:$ABM$4,"Часы",INDEX(Техника!$G$1:$ABN$500,W$2,0),$A$935,INDEX(Техника!$H$1:$ABO$500,W$2,0),"Л")</f>
        <v>0</v>
      </c>
      <c r="X939" s="50">
        <f>SUMIFS(INDEX(Техника!$F$1:$ABM$500,X$2,0),Техника!$F$4:$ABM$4,"Часы",INDEX(Техника!$G$1:$ABN$500,X$2,0),$A$935,INDEX(Техника!$H$1:$ABO$500,X$2,0),"Л")</f>
        <v>0</v>
      </c>
      <c r="Y939" s="50">
        <f>SUMIFS(INDEX(Техника!$F$1:$ABM$500,Y$2,0),Техника!$F$4:$ABM$4,"Часы",INDEX(Техника!$G$1:$ABN$500,Y$2,0),$A$935,INDEX(Техника!$H$1:$ABO$500,Y$2,0),"Л")</f>
        <v>0</v>
      </c>
      <c r="Z939" s="50">
        <f>SUMIFS(INDEX(Техника!$F$1:$ABM$500,Z$2,0),Техника!$F$4:$ABM$4,"Часы",INDEX(Техника!$G$1:$ABN$500,Z$2,0),$A$935,INDEX(Техника!$H$1:$ABO$500,Z$2,0),"Л")</f>
        <v>0</v>
      </c>
      <c r="AA939" s="50">
        <f>SUMIFS(INDEX(Техника!$F$1:$ABM$500,AA$2,0),Техника!$F$4:$ABM$4,"Часы",INDEX(Техника!$G$1:$ABN$500,AA$2,0),$A$935,INDEX(Техника!$H$1:$ABO$500,AA$2,0),"Л")</f>
        <v>0</v>
      </c>
      <c r="AB939" s="50">
        <f>SUMIFS(INDEX(Техника!$F$1:$ABM$500,AB$2,0),Техника!$F$4:$ABM$4,"Часы",INDEX(Техника!$G$1:$ABN$500,AB$2,0),$A$935,INDEX(Техника!$H$1:$ABO$500,AB$2,0),"Л")</f>
        <v>0</v>
      </c>
    </row>
    <row r="940" spans="1:28" hidden="1" outlineLevel="1" x14ac:dyDescent="0.3">
      <c r="A940" s="33" t="s">
        <v>245</v>
      </c>
      <c r="B940" s="34" t="s">
        <v>279</v>
      </c>
      <c r="C940" s="50">
        <f>SUMIFS(INDEX(Техника!$F$1:$ABM$500,C$2,0),Техника!$F$4:$ABM$4,"Часы",INDEX(Техника!$G$1:$ABN$500,C$2,0),$A$935,INDEX(Техника!$H$1:$ABO$500,C$2,0),"З")</f>
        <v>0</v>
      </c>
      <c r="D940" s="50">
        <f>SUMIFS(INDEX(Техника!$F$1:$ABM$500,D$2,0),Техника!$F$4:$ABM$4,"Часы",INDEX(Техника!$G$1:$ABN$500,D$2,0),$A$935,INDEX(Техника!$H$1:$ABO$500,D$2,0),"З")</f>
        <v>0</v>
      </c>
      <c r="E940" s="50">
        <f>SUMIFS(INDEX(Техника!$F$1:$ABM$500,E$2,0),Техника!$F$4:$ABM$4,"Часы",INDEX(Техника!$G$1:$ABN$500,E$2,0),$A$935,INDEX(Техника!$H$1:$ABO$500,E$2,0),"З")</f>
        <v>0</v>
      </c>
      <c r="F940" s="50">
        <f>SUMIFS(INDEX(Техника!$F$1:$ABM$500,F$2,0),Техника!$F$4:$ABM$4,"Часы",INDEX(Техника!$G$1:$ABN$500,F$2,0),$A$935,INDEX(Техника!$H$1:$ABO$500,F$2,0),"З")</f>
        <v>0</v>
      </c>
      <c r="G940" s="50">
        <f>SUMIFS(INDEX(Техника!$F$1:$ABM$500,G$2,0),Техника!$F$4:$ABM$4,"Часы",INDEX(Техника!$G$1:$ABN$500,G$2,0),$A$935,INDEX(Техника!$H$1:$ABO$500,G$2,0),"З")</f>
        <v>0</v>
      </c>
      <c r="H940" s="50">
        <f>SUMIFS(INDEX(Техника!$F$1:$ABM$500,H$2,0),Техника!$F$4:$ABM$4,"Часы",INDEX(Техника!$G$1:$ABN$500,H$2,0),$A$935,INDEX(Техника!$H$1:$ABO$500,H$2,0),"З")</f>
        <v>0</v>
      </c>
      <c r="I940" s="50">
        <f>SUMIFS(INDEX(Техника!$F$1:$ABM$500,I$2,0),Техника!$F$4:$ABM$4,"Часы",INDEX(Техника!$G$1:$ABN$500,I$2,0),$A$935,INDEX(Техника!$H$1:$ABO$500,I$2,0),"З")</f>
        <v>0</v>
      </c>
      <c r="J940" s="50">
        <f>SUMIFS(INDEX(Техника!$F$1:$ABM$500,J$2,0),Техника!$F$4:$ABM$4,"Часы",INDEX(Техника!$G$1:$ABN$500,J$2,0),$A$935,INDEX(Техника!$H$1:$ABO$500,J$2,0),"З")</f>
        <v>0</v>
      </c>
      <c r="K940" s="50">
        <f>SUMIFS(INDEX(Техника!$F$1:$ABM$500,K$2,0),Техника!$F$4:$ABM$4,"Часы",INDEX(Техника!$G$1:$ABN$500,K$2,0),$A$935,INDEX(Техника!$H$1:$ABO$500,K$2,0),"З")</f>
        <v>0</v>
      </c>
      <c r="L940" s="50">
        <f>SUMIFS(INDEX(Техника!$F$1:$ABM$500,L$2,0),Техника!$F$4:$ABM$4,"Часы",INDEX(Техника!$G$1:$ABN$500,L$2,0),$A$935,INDEX(Техника!$H$1:$ABO$500,L$2,0),"З")</f>
        <v>0</v>
      </c>
      <c r="M940" s="50">
        <f>SUMIFS(INDEX(Техника!$F$1:$ABM$500,M$2,0),Техника!$F$4:$ABM$4,"Часы",INDEX(Техника!$G$1:$ABN$500,M$2,0),$A$935,INDEX(Техника!$H$1:$ABO$500,M$2,0),"З")</f>
        <v>0</v>
      </c>
      <c r="N940" s="50">
        <f>SUMIFS(INDEX(Техника!$F$1:$ABM$500,N$2,0),Техника!$F$4:$ABM$4,"Часы",INDEX(Техника!$G$1:$ABN$500,N$2,0),$A$935,INDEX(Техника!$H$1:$ABO$500,N$2,0),"З")</f>
        <v>0</v>
      </c>
      <c r="O940" s="50">
        <f>SUMIFS(INDEX(Техника!$F$1:$ABM$500,O$2,0),Техника!$F$4:$ABM$4,"Часы",INDEX(Техника!$G$1:$ABN$500,O$2,0),$A$935,INDEX(Техника!$H$1:$ABO$500,O$2,0),"З")</f>
        <v>0</v>
      </c>
      <c r="P940" s="50">
        <f>SUMIFS(INDEX(Техника!$F$1:$ABM$500,P$2,0),Техника!$F$4:$ABM$4,"Часы",INDEX(Техника!$G$1:$ABN$500,P$2,0),$A$935,INDEX(Техника!$H$1:$ABO$500,P$2,0),"З")</f>
        <v>0</v>
      </c>
      <c r="Q940" s="50">
        <f>SUMIFS(INDEX(Техника!$F$1:$ABM$500,Q$2,0),Техника!$F$4:$ABM$4,"Часы",INDEX(Техника!$G$1:$ABN$500,Q$2,0),$A$935,INDEX(Техника!$H$1:$ABO$500,Q$2,0),"З")</f>
        <v>0</v>
      </c>
      <c r="R940" s="50">
        <f>SUMIFS(INDEX(Техника!$F$1:$ABM$500,R$2,0),Техника!$F$4:$ABM$4,"Часы",INDEX(Техника!$G$1:$ABN$500,R$2,0),$A$935,INDEX(Техника!$H$1:$ABO$500,R$2,0),"З")</f>
        <v>0</v>
      </c>
      <c r="S940" s="50">
        <f>SUMIFS(INDEX(Техника!$F$1:$ABM$500,S$2,0),Техника!$F$4:$ABM$4,"Часы",INDEX(Техника!$G$1:$ABN$500,S$2,0),$A$935,INDEX(Техника!$H$1:$ABO$500,S$2,0),"З")</f>
        <v>0</v>
      </c>
      <c r="T940" s="50">
        <f>SUMIFS(INDEX(Техника!$F$1:$ABM$500,T$2,0),Техника!$F$4:$ABM$4,"Часы",INDEX(Техника!$G$1:$ABN$500,T$2,0),$A$935,INDEX(Техника!$H$1:$ABO$500,T$2,0),"З")</f>
        <v>0</v>
      </c>
      <c r="U940" s="50">
        <f>SUMIFS(INDEX(Техника!$F$1:$ABM$500,U$2,0),Техника!$F$4:$ABM$4,"Часы",INDEX(Техника!$G$1:$ABN$500,U$2,0),$A$935,INDEX(Техника!$H$1:$ABO$500,U$2,0),"З")</f>
        <v>0</v>
      </c>
      <c r="V940" s="50">
        <f>SUMIFS(INDEX(Техника!$F$1:$ABM$500,V$2,0),Техника!$F$4:$ABM$4,"Часы",INDEX(Техника!$G$1:$ABN$500,V$2,0),$A$935,INDEX(Техника!$H$1:$ABO$500,V$2,0),"З")</f>
        <v>0</v>
      </c>
      <c r="W940" s="50">
        <f>SUMIFS(INDEX(Техника!$F$1:$ABM$500,W$2,0),Техника!$F$4:$ABM$4,"Часы",INDEX(Техника!$G$1:$ABN$500,W$2,0),$A$935,INDEX(Техника!$H$1:$ABO$500,W$2,0),"З")</f>
        <v>0</v>
      </c>
      <c r="X940" s="50">
        <f>SUMIFS(INDEX(Техника!$F$1:$ABM$500,X$2,0),Техника!$F$4:$ABM$4,"Часы",INDEX(Техника!$G$1:$ABN$500,X$2,0),$A$935,INDEX(Техника!$H$1:$ABO$500,X$2,0),"З")</f>
        <v>0</v>
      </c>
      <c r="Y940" s="50">
        <f>SUMIFS(INDEX(Техника!$F$1:$ABM$500,Y$2,0),Техника!$F$4:$ABM$4,"Часы",INDEX(Техника!$G$1:$ABN$500,Y$2,0),$A$935,INDEX(Техника!$H$1:$ABO$500,Y$2,0),"З")</f>
        <v>0</v>
      </c>
      <c r="Z940" s="50">
        <f>SUMIFS(INDEX(Техника!$F$1:$ABM$500,Z$2,0),Техника!$F$4:$ABM$4,"Часы",INDEX(Техника!$G$1:$ABN$500,Z$2,0),$A$935,INDEX(Техника!$H$1:$ABO$500,Z$2,0),"З")</f>
        <v>0</v>
      </c>
      <c r="AA940" s="50">
        <f>SUMIFS(INDEX(Техника!$F$1:$ABM$500,AA$2,0),Техника!$F$4:$ABM$4,"Часы",INDEX(Техника!$G$1:$ABN$500,AA$2,0),$A$935,INDEX(Техника!$H$1:$ABO$500,AA$2,0),"З")</f>
        <v>0</v>
      </c>
      <c r="AB940" s="50">
        <f>SUMIFS(INDEX(Техника!$F$1:$ABM$500,AB$2,0),Техника!$F$4:$ABM$4,"Часы",INDEX(Техника!$G$1:$ABN$500,AB$2,0),$A$935,INDEX(Техника!$H$1:$ABO$500,AB$2,0),"З")</f>
        <v>0</v>
      </c>
    </row>
    <row r="941" spans="1:28" ht="7.95" customHeight="1" x14ac:dyDescent="0.3">
      <c r="A941" s="38"/>
      <c r="B941" s="39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</row>
    <row r="942" spans="1:28" ht="25.05" customHeight="1" collapsed="1" x14ac:dyDescent="0.3">
      <c r="A942" s="32">
        <v>135</v>
      </c>
      <c r="B942" s="32" t="s">
        <v>136</v>
      </c>
      <c r="C942" s="49">
        <f>SUM(C943:C947)</f>
        <v>0</v>
      </c>
      <c r="D942" s="49">
        <f>SUM(D943:D947)</f>
        <v>0</v>
      </c>
      <c r="E942" s="49">
        <f>SUM(E943:E947)</f>
        <v>0</v>
      </c>
      <c r="F942" s="49">
        <f>SUM(F943:F947)</f>
        <v>0</v>
      </c>
      <c r="G942" s="49">
        <f>SUM(G943:G947)</f>
        <v>0</v>
      </c>
      <c r="H942" s="49">
        <f>SUM(H943:H947)</f>
        <v>0</v>
      </c>
      <c r="I942" s="49">
        <f>SUM(I943:I947)</f>
        <v>0</v>
      </c>
      <c r="J942" s="49">
        <f>SUM(J943:J947)</f>
        <v>0</v>
      </c>
      <c r="K942" s="49">
        <f>SUM(K943:K947)</f>
        <v>0</v>
      </c>
      <c r="L942" s="49">
        <f>SUM(L943:L947)</f>
        <v>0</v>
      </c>
      <c r="M942" s="49">
        <f>SUM(M943:M947)</f>
        <v>0</v>
      </c>
      <c r="N942" s="49">
        <f>SUM(N943:N947)</f>
        <v>0</v>
      </c>
      <c r="O942" s="49">
        <f>SUM(O943:O947)</f>
        <v>0</v>
      </c>
      <c r="P942" s="49">
        <f>SUM(P943:P947)</f>
        <v>0</v>
      </c>
      <c r="Q942" s="49">
        <f>SUM(Q943:Q947)</f>
        <v>0</v>
      </c>
      <c r="R942" s="49">
        <f>SUM(R943:R947)</f>
        <v>0</v>
      </c>
      <c r="S942" s="49">
        <f>SUM(S943:S947)</f>
        <v>0</v>
      </c>
      <c r="T942" s="49">
        <f>SUM(T943:T947)</f>
        <v>0</v>
      </c>
      <c r="U942" s="49">
        <f>SUM(U943:U947)</f>
        <v>0</v>
      </c>
      <c r="V942" s="49">
        <f>SUM(V943:V947)</f>
        <v>0</v>
      </c>
      <c r="W942" s="49">
        <f>SUM(W943:W947)</f>
        <v>0</v>
      </c>
      <c r="X942" s="49">
        <f>SUM(X943:X947)</f>
        <v>0</v>
      </c>
      <c r="Y942" s="49">
        <f>SUM(Y943:Y947)</f>
        <v>0</v>
      </c>
      <c r="Z942" s="49">
        <f>SUM(Z943:Z947)</f>
        <v>0</v>
      </c>
      <c r="AA942" s="49">
        <f>SUM(AA943:AA947)</f>
        <v>0</v>
      </c>
      <c r="AB942" s="49">
        <f>SUM(AB943:AB947)</f>
        <v>0</v>
      </c>
    </row>
    <row r="943" spans="1:28" hidden="1" outlineLevel="1" x14ac:dyDescent="0.3">
      <c r="A943" s="33" t="s">
        <v>246</v>
      </c>
      <c r="B943" s="34" t="s">
        <v>274</v>
      </c>
      <c r="C943" s="50">
        <f>SUMIFS(INDEX(Техника!$F$1:$ABM$500,C$2,0),Техника!$F$4:$ABM$4,"Часы",INDEX(Техника!$G$1:$ABN$500,C$2,0),$A$942,INDEX(Техника!$H$1:$ABO$500,C$2,0),"М")</f>
        <v>0</v>
      </c>
      <c r="D943" s="50">
        <f>SUMIFS(INDEX(Техника!$F$1:$ABM$500,D$2,0),Техника!$F$4:$ABM$4,"Часы",INDEX(Техника!$G$1:$ABN$500,D$2,0),$A$942,INDEX(Техника!$H$1:$ABO$500,D$2,0),"М")</f>
        <v>0</v>
      </c>
      <c r="E943" s="50">
        <f>SUMIFS(INDEX(Техника!$F$1:$ABM$500,E$2,0),Техника!$F$4:$ABM$4,"Часы",INDEX(Техника!$G$1:$ABN$500,E$2,0),$A$942,INDEX(Техника!$H$1:$ABO$500,E$2,0),"М")</f>
        <v>0</v>
      </c>
      <c r="F943" s="50">
        <f>SUMIFS(INDEX(Техника!$F$1:$ABM$500,F$2,0),Техника!$F$4:$ABM$4,"Часы",INDEX(Техника!$G$1:$ABN$500,F$2,0),$A$942,INDEX(Техника!$H$1:$ABO$500,F$2,0),"М")</f>
        <v>0</v>
      </c>
      <c r="G943" s="50">
        <f>SUMIFS(INDEX(Техника!$F$1:$ABM$500,G$2,0),Техника!$F$4:$ABM$4,"Часы",INDEX(Техника!$G$1:$ABN$500,G$2,0),$A$942,INDEX(Техника!$H$1:$ABO$500,G$2,0),"М")</f>
        <v>0</v>
      </c>
      <c r="H943" s="50">
        <f>SUMIFS(INDEX(Техника!$F$1:$ABM$500,H$2,0),Техника!$F$4:$ABM$4,"Часы",INDEX(Техника!$G$1:$ABN$500,H$2,0),$A$942,INDEX(Техника!$H$1:$ABO$500,H$2,0),"М")</f>
        <v>0</v>
      </c>
      <c r="I943" s="50">
        <f>SUMIFS(INDEX(Техника!$F$1:$ABM$500,I$2,0),Техника!$F$4:$ABM$4,"Часы",INDEX(Техника!$G$1:$ABN$500,I$2,0),$A$942,INDEX(Техника!$H$1:$ABO$500,I$2,0),"М")</f>
        <v>0</v>
      </c>
      <c r="J943" s="50">
        <f>SUMIFS(INDEX(Техника!$F$1:$ABM$500,J$2,0),Техника!$F$4:$ABM$4,"Часы",INDEX(Техника!$G$1:$ABN$500,J$2,0),$A$942,INDEX(Техника!$H$1:$ABO$500,J$2,0),"М")</f>
        <v>0</v>
      </c>
      <c r="K943" s="50">
        <f>SUMIFS(INDEX(Техника!$F$1:$ABM$500,K$2,0),Техника!$F$4:$ABM$4,"Часы",INDEX(Техника!$G$1:$ABN$500,K$2,0),$A$942,INDEX(Техника!$H$1:$ABO$500,K$2,0),"М")</f>
        <v>0</v>
      </c>
      <c r="L943" s="50">
        <f>SUMIFS(INDEX(Техника!$F$1:$ABM$500,L$2,0),Техника!$F$4:$ABM$4,"Часы",INDEX(Техника!$G$1:$ABN$500,L$2,0),$A$942,INDEX(Техника!$H$1:$ABO$500,L$2,0),"М")</f>
        <v>0</v>
      </c>
      <c r="M943" s="50">
        <f>SUMIFS(INDEX(Техника!$F$1:$ABM$500,M$2,0),Техника!$F$4:$ABM$4,"Часы",INDEX(Техника!$G$1:$ABN$500,M$2,0),$A$942,INDEX(Техника!$H$1:$ABO$500,M$2,0),"М")</f>
        <v>0</v>
      </c>
      <c r="N943" s="50">
        <f>SUMIFS(INDEX(Техника!$F$1:$ABM$500,N$2,0),Техника!$F$4:$ABM$4,"Часы",INDEX(Техника!$G$1:$ABN$500,N$2,0),$A$942,INDEX(Техника!$H$1:$ABO$500,N$2,0),"М")</f>
        <v>0</v>
      </c>
      <c r="O943" s="50">
        <f>SUMIFS(INDEX(Техника!$F$1:$ABM$500,O$2,0),Техника!$F$4:$ABM$4,"Часы",INDEX(Техника!$G$1:$ABN$500,O$2,0),$A$942,INDEX(Техника!$H$1:$ABO$500,O$2,0),"М")</f>
        <v>0</v>
      </c>
      <c r="P943" s="50">
        <f>SUMIFS(INDEX(Техника!$F$1:$ABM$500,P$2,0),Техника!$F$4:$ABM$4,"Часы",INDEX(Техника!$G$1:$ABN$500,P$2,0),$A$942,INDEX(Техника!$H$1:$ABO$500,P$2,0),"М")</f>
        <v>0</v>
      </c>
      <c r="Q943" s="50">
        <f>SUMIFS(INDEX(Техника!$F$1:$ABM$500,Q$2,0),Техника!$F$4:$ABM$4,"Часы",INDEX(Техника!$G$1:$ABN$500,Q$2,0),$A$942,INDEX(Техника!$H$1:$ABO$500,Q$2,0),"М")</f>
        <v>0</v>
      </c>
      <c r="R943" s="50">
        <f>SUMIFS(INDEX(Техника!$F$1:$ABM$500,R$2,0),Техника!$F$4:$ABM$4,"Часы",INDEX(Техника!$G$1:$ABN$500,R$2,0),$A$942,INDEX(Техника!$H$1:$ABO$500,R$2,0),"М")</f>
        <v>0</v>
      </c>
      <c r="S943" s="50">
        <f>SUMIFS(INDEX(Техника!$F$1:$ABM$500,S$2,0),Техника!$F$4:$ABM$4,"Часы",INDEX(Техника!$G$1:$ABN$500,S$2,0),$A$942,INDEX(Техника!$H$1:$ABO$500,S$2,0),"М")</f>
        <v>0</v>
      </c>
      <c r="T943" s="50">
        <f>SUMIFS(INDEX(Техника!$F$1:$ABM$500,T$2,0),Техника!$F$4:$ABM$4,"Часы",INDEX(Техника!$G$1:$ABN$500,T$2,0),$A$942,INDEX(Техника!$H$1:$ABO$500,T$2,0),"М")</f>
        <v>0</v>
      </c>
      <c r="U943" s="50">
        <f>SUMIFS(INDEX(Техника!$F$1:$ABM$500,U$2,0),Техника!$F$4:$ABM$4,"Часы",INDEX(Техника!$G$1:$ABN$500,U$2,0),$A$942,INDEX(Техника!$H$1:$ABO$500,U$2,0),"М")</f>
        <v>0</v>
      </c>
      <c r="V943" s="50">
        <f>SUMIFS(INDEX(Техника!$F$1:$ABM$500,V$2,0),Техника!$F$4:$ABM$4,"Часы",INDEX(Техника!$G$1:$ABN$500,V$2,0),$A$942,INDEX(Техника!$H$1:$ABO$500,V$2,0),"М")</f>
        <v>0</v>
      </c>
      <c r="W943" s="50">
        <f>SUMIFS(INDEX(Техника!$F$1:$ABM$500,W$2,0),Техника!$F$4:$ABM$4,"Часы",INDEX(Техника!$G$1:$ABN$500,W$2,0),$A$942,INDEX(Техника!$H$1:$ABO$500,W$2,0),"М")</f>
        <v>0</v>
      </c>
      <c r="X943" s="50">
        <f>SUMIFS(INDEX(Техника!$F$1:$ABM$500,X$2,0),Техника!$F$4:$ABM$4,"Часы",INDEX(Техника!$G$1:$ABN$500,X$2,0),$A$942,INDEX(Техника!$H$1:$ABO$500,X$2,0),"М")</f>
        <v>0</v>
      </c>
      <c r="Y943" s="50">
        <f>SUMIFS(INDEX(Техника!$F$1:$ABM$500,Y$2,0),Техника!$F$4:$ABM$4,"Часы",INDEX(Техника!$G$1:$ABN$500,Y$2,0),$A$942,INDEX(Техника!$H$1:$ABO$500,Y$2,0),"М")</f>
        <v>0</v>
      </c>
      <c r="Z943" s="50">
        <f>SUMIFS(INDEX(Техника!$F$1:$ABM$500,Z$2,0),Техника!$F$4:$ABM$4,"Часы",INDEX(Техника!$G$1:$ABN$500,Z$2,0),$A$942,INDEX(Техника!$H$1:$ABO$500,Z$2,0),"М")</f>
        <v>0</v>
      </c>
      <c r="AA943" s="50">
        <f>SUMIFS(INDEX(Техника!$F$1:$ABM$500,AA$2,0),Техника!$F$4:$ABM$4,"Часы",INDEX(Техника!$G$1:$ABN$500,AA$2,0),$A$942,INDEX(Техника!$H$1:$ABO$500,AA$2,0),"М")</f>
        <v>0</v>
      </c>
      <c r="AB943" s="50">
        <f>SUMIFS(INDEX(Техника!$F$1:$ABM$500,AB$2,0),Техника!$F$4:$ABM$4,"Часы",INDEX(Техника!$G$1:$ABN$500,AB$2,0),$A$942,INDEX(Техника!$H$1:$ABO$500,AB$2,0),"М")</f>
        <v>0</v>
      </c>
    </row>
    <row r="944" spans="1:28" hidden="1" outlineLevel="1" x14ac:dyDescent="0.3">
      <c r="A944" s="33" t="s">
        <v>244</v>
      </c>
      <c r="B944" s="34" t="s">
        <v>275</v>
      </c>
      <c r="C944" s="50">
        <f>SUMIFS(INDEX(Техника!$F$1:$ABM$500,C$2,0),Техника!$F$4:$ABM$4,"Часы",INDEX(Техника!$G$1:$ABN$500,C$2,0),$A$942,INDEX(Техника!$H$1:$ABO$500,C$2,0),"Д")</f>
        <v>0</v>
      </c>
      <c r="D944" s="50">
        <f>SUMIFS(INDEX(Техника!$F$1:$ABM$500,D$2,0),Техника!$F$4:$ABM$4,"Часы",INDEX(Техника!$G$1:$ABN$500,D$2,0),$A$942,INDEX(Техника!$H$1:$ABO$500,D$2,0),"Д")</f>
        <v>0</v>
      </c>
      <c r="E944" s="50">
        <f>SUMIFS(INDEX(Техника!$F$1:$ABM$500,E$2,0),Техника!$F$4:$ABM$4,"Часы",INDEX(Техника!$G$1:$ABN$500,E$2,0),$A$942,INDEX(Техника!$H$1:$ABO$500,E$2,0),"Д")</f>
        <v>0</v>
      </c>
      <c r="F944" s="50">
        <f>SUMIFS(INDEX(Техника!$F$1:$ABM$500,F$2,0),Техника!$F$4:$ABM$4,"Часы",INDEX(Техника!$G$1:$ABN$500,F$2,0),$A$942,INDEX(Техника!$H$1:$ABO$500,F$2,0),"Д")</f>
        <v>0</v>
      </c>
      <c r="G944" s="50">
        <f>SUMIFS(INDEX(Техника!$F$1:$ABM$500,G$2,0),Техника!$F$4:$ABM$4,"Часы",INDEX(Техника!$G$1:$ABN$500,G$2,0),$A$942,INDEX(Техника!$H$1:$ABO$500,G$2,0),"Д")</f>
        <v>0</v>
      </c>
      <c r="H944" s="50">
        <f>SUMIFS(INDEX(Техника!$F$1:$ABM$500,H$2,0),Техника!$F$4:$ABM$4,"Часы",INDEX(Техника!$G$1:$ABN$500,H$2,0),$A$942,INDEX(Техника!$H$1:$ABO$500,H$2,0),"Д")</f>
        <v>0</v>
      </c>
      <c r="I944" s="50">
        <f>SUMIFS(INDEX(Техника!$F$1:$ABM$500,I$2,0),Техника!$F$4:$ABM$4,"Часы",INDEX(Техника!$G$1:$ABN$500,I$2,0),$A$942,INDEX(Техника!$H$1:$ABO$500,I$2,0),"Д")</f>
        <v>0</v>
      </c>
      <c r="J944" s="50">
        <f>SUMIFS(INDEX(Техника!$F$1:$ABM$500,J$2,0),Техника!$F$4:$ABM$4,"Часы",INDEX(Техника!$G$1:$ABN$500,J$2,0),$A$942,INDEX(Техника!$H$1:$ABO$500,J$2,0),"Д")</f>
        <v>0</v>
      </c>
      <c r="K944" s="50">
        <f>SUMIFS(INDEX(Техника!$F$1:$ABM$500,K$2,0),Техника!$F$4:$ABM$4,"Часы",INDEX(Техника!$G$1:$ABN$500,K$2,0),$A$942,INDEX(Техника!$H$1:$ABO$500,K$2,0),"Д")</f>
        <v>0</v>
      </c>
      <c r="L944" s="50">
        <f>SUMIFS(INDEX(Техника!$F$1:$ABM$500,L$2,0),Техника!$F$4:$ABM$4,"Часы",INDEX(Техника!$G$1:$ABN$500,L$2,0),$A$942,INDEX(Техника!$H$1:$ABO$500,L$2,0),"Д")</f>
        <v>0</v>
      </c>
      <c r="M944" s="50">
        <f>SUMIFS(INDEX(Техника!$F$1:$ABM$500,M$2,0),Техника!$F$4:$ABM$4,"Часы",INDEX(Техника!$G$1:$ABN$500,M$2,0),$A$942,INDEX(Техника!$H$1:$ABO$500,M$2,0),"Д")</f>
        <v>0</v>
      </c>
      <c r="N944" s="50">
        <f>SUMIFS(INDEX(Техника!$F$1:$ABM$500,N$2,0),Техника!$F$4:$ABM$4,"Часы",INDEX(Техника!$G$1:$ABN$500,N$2,0),$A$942,INDEX(Техника!$H$1:$ABO$500,N$2,0),"Д")</f>
        <v>0</v>
      </c>
      <c r="O944" s="50">
        <f>SUMIFS(INDEX(Техника!$F$1:$ABM$500,O$2,0),Техника!$F$4:$ABM$4,"Часы",INDEX(Техника!$G$1:$ABN$500,O$2,0),$A$942,INDEX(Техника!$H$1:$ABO$500,O$2,0),"Д")</f>
        <v>0</v>
      </c>
      <c r="P944" s="50">
        <f>SUMIFS(INDEX(Техника!$F$1:$ABM$500,P$2,0),Техника!$F$4:$ABM$4,"Часы",INDEX(Техника!$G$1:$ABN$500,P$2,0),$A$942,INDEX(Техника!$H$1:$ABO$500,P$2,0),"Д")</f>
        <v>0</v>
      </c>
      <c r="Q944" s="50">
        <f>SUMIFS(INDEX(Техника!$F$1:$ABM$500,Q$2,0),Техника!$F$4:$ABM$4,"Часы",INDEX(Техника!$G$1:$ABN$500,Q$2,0),$A$942,INDEX(Техника!$H$1:$ABO$500,Q$2,0),"Д")</f>
        <v>0</v>
      </c>
      <c r="R944" s="50">
        <f>SUMIFS(INDEX(Техника!$F$1:$ABM$500,R$2,0),Техника!$F$4:$ABM$4,"Часы",INDEX(Техника!$G$1:$ABN$500,R$2,0),$A$942,INDEX(Техника!$H$1:$ABO$500,R$2,0),"Д")</f>
        <v>0</v>
      </c>
      <c r="S944" s="50">
        <f>SUMIFS(INDEX(Техника!$F$1:$ABM$500,S$2,0),Техника!$F$4:$ABM$4,"Часы",INDEX(Техника!$G$1:$ABN$500,S$2,0),$A$942,INDEX(Техника!$H$1:$ABO$500,S$2,0),"Д")</f>
        <v>0</v>
      </c>
      <c r="T944" s="50">
        <f>SUMIFS(INDEX(Техника!$F$1:$ABM$500,T$2,0),Техника!$F$4:$ABM$4,"Часы",INDEX(Техника!$G$1:$ABN$500,T$2,0),$A$942,INDEX(Техника!$H$1:$ABO$500,T$2,0),"Д")</f>
        <v>0</v>
      </c>
      <c r="U944" s="50">
        <f>SUMIFS(INDEX(Техника!$F$1:$ABM$500,U$2,0),Техника!$F$4:$ABM$4,"Часы",INDEX(Техника!$G$1:$ABN$500,U$2,0),$A$942,INDEX(Техника!$H$1:$ABO$500,U$2,0),"Д")</f>
        <v>0</v>
      </c>
      <c r="V944" s="50">
        <f>SUMIFS(INDEX(Техника!$F$1:$ABM$500,V$2,0),Техника!$F$4:$ABM$4,"Часы",INDEX(Техника!$G$1:$ABN$500,V$2,0),$A$942,INDEX(Техника!$H$1:$ABO$500,V$2,0),"Д")</f>
        <v>0</v>
      </c>
      <c r="W944" s="50">
        <f>SUMIFS(INDEX(Техника!$F$1:$ABM$500,W$2,0),Техника!$F$4:$ABM$4,"Часы",INDEX(Техника!$G$1:$ABN$500,W$2,0),$A$942,INDEX(Техника!$H$1:$ABO$500,W$2,0),"Д")</f>
        <v>0</v>
      </c>
      <c r="X944" s="50">
        <f>SUMIFS(INDEX(Техника!$F$1:$ABM$500,X$2,0),Техника!$F$4:$ABM$4,"Часы",INDEX(Техника!$G$1:$ABN$500,X$2,0),$A$942,INDEX(Техника!$H$1:$ABO$500,X$2,0),"Д")</f>
        <v>0</v>
      </c>
      <c r="Y944" s="50">
        <f>SUMIFS(INDEX(Техника!$F$1:$ABM$500,Y$2,0),Техника!$F$4:$ABM$4,"Часы",INDEX(Техника!$G$1:$ABN$500,Y$2,0),$A$942,INDEX(Техника!$H$1:$ABO$500,Y$2,0),"Д")</f>
        <v>0</v>
      </c>
      <c r="Z944" s="50">
        <f>SUMIFS(INDEX(Техника!$F$1:$ABM$500,Z$2,0),Техника!$F$4:$ABM$4,"Часы",INDEX(Техника!$G$1:$ABN$500,Z$2,0),$A$942,INDEX(Техника!$H$1:$ABO$500,Z$2,0),"Д")</f>
        <v>0</v>
      </c>
      <c r="AA944" s="50">
        <f>SUMIFS(INDEX(Техника!$F$1:$ABM$500,AA$2,0),Техника!$F$4:$ABM$4,"Часы",INDEX(Техника!$G$1:$ABN$500,AA$2,0),$A$942,INDEX(Техника!$H$1:$ABO$500,AA$2,0),"Д")</f>
        <v>0</v>
      </c>
      <c r="AB944" s="50">
        <f>SUMIFS(INDEX(Техника!$F$1:$ABM$500,AB$2,0),Техника!$F$4:$ABM$4,"Часы",INDEX(Техника!$G$1:$ABN$500,AB$2,0),$A$942,INDEX(Техника!$H$1:$ABO$500,AB$2,0),"Д")</f>
        <v>0</v>
      </c>
    </row>
    <row r="945" spans="1:28" hidden="1" outlineLevel="1" x14ac:dyDescent="0.3">
      <c r="A945" s="33" t="s">
        <v>276</v>
      </c>
      <c r="B945" s="34" t="s">
        <v>277</v>
      </c>
      <c r="C945" s="50">
        <f>SUMIFS(INDEX(Техника!$F$1:$ABM$500,C$2,0),Техника!$F$4:$ABM$4,"Часы",INDEX(Техника!$G$1:$ABN$500,C$2,0),$A$942,INDEX(Техника!$H$1:$ABO$500,C$2,0),"П")</f>
        <v>0</v>
      </c>
      <c r="D945" s="50">
        <f>SUMIFS(INDEX(Техника!$F$1:$ABM$500,D$2,0),Техника!$F$4:$ABM$4,"Часы",INDEX(Техника!$G$1:$ABN$500,D$2,0),$A$942,INDEX(Техника!$H$1:$ABO$500,D$2,0),"П")</f>
        <v>0</v>
      </c>
      <c r="E945" s="50">
        <f>SUMIFS(INDEX(Техника!$F$1:$ABM$500,E$2,0),Техника!$F$4:$ABM$4,"Часы",INDEX(Техника!$G$1:$ABN$500,E$2,0),$A$942,INDEX(Техника!$H$1:$ABO$500,E$2,0),"П")</f>
        <v>0</v>
      </c>
      <c r="F945" s="50">
        <f>SUMIFS(INDEX(Техника!$F$1:$ABM$500,F$2,0),Техника!$F$4:$ABM$4,"Часы",INDEX(Техника!$G$1:$ABN$500,F$2,0),$A$942,INDEX(Техника!$H$1:$ABO$500,F$2,0),"П")</f>
        <v>0</v>
      </c>
      <c r="G945" s="50">
        <f>SUMIFS(INDEX(Техника!$F$1:$ABM$500,G$2,0),Техника!$F$4:$ABM$4,"Часы",INDEX(Техника!$G$1:$ABN$500,G$2,0),$A$942,INDEX(Техника!$H$1:$ABO$500,G$2,0),"П")</f>
        <v>0</v>
      </c>
      <c r="H945" s="50">
        <f>SUMIFS(INDEX(Техника!$F$1:$ABM$500,H$2,0),Техника!$F$4:$ABM$4,"Часы",INDEX(Техника!$G$1:$ABN$500,H$2,0),$A$942,INDEX(Техника!$H$1:$ABO$500,H$2,0),"П")</f>
        <v>0</v>
      </c>
      <c r="I945" s="50">
        <f>SUMIFS(INDEX(Техника!$F$1:$ABM$500,I$2,0),Техника!$F$4:$ABM$4,"Часы",INDEX(Техника!$G$1:$ABN$500,I$2,0),$A$942,INDEX(Техника!$H$1:$ABO$500,I$2,0),"П")</f>
        <v>0</v>
      </c>
      <c r="J945" s="50">
        <f>SUMIFS(INDEX(Техника!$F$1:$ABM$500,J$2,0),Техника!$F$4:$ABM$4,"Часы",INDEX(Техника!$G$1:$ABN$500,J$2,0),$A$942,INDEX(Техника!$H$1:$ABO$500,J$2,0),"П")</f>
        <v>0</v>
      </c>
      <c r="K945" s="50">
        <f>SUMIFS(INDEX(Техника!$F$1:$ABM$500,K$2,0),Техника!$F$4:$ABM$4,"Часы",INDEX(Техника!$G$1:$ABN$500,K$2,0),$A$942,INDEX(Техника!$H$1:$ABO$500,K$2,0),"П")</f>
        <v>0</v>
      </c>
      <c r="L945" s="50">
        <f>SUMIFS(INDEX(Техника!$F$1:$ABM$500,L$2,0),Техника!$F$4:$ABM$4,"Часы",INDEX(Техника!$G$1:$ABN$500,L$2,0),$A$942,INDEX(Техника!$H$1:$ABO$500,L$2,0),"П")</f>
        <v>0</v>
      </c>
      <c r="M945" s="50">
        <f>SUMIFS(INDEX(Техника!$F$1:$ABM$500,M$2,0),Техника!$F$4:$ABM$4,"Часы",INDEX(Техника!$G$1:$ABN$500,M$2,0),$A$942,INDEX(Техника!$H$1:$ABO$500,M$2,0),"П")</f>
        <v>0</v>
      </c>
      <c r="N945" s="50">
        <f>SUMIFS(INDEX(Техника!$F$1:$ABM$500,N$2,0),Техника!$F$4:$ABM$4,"Часы",INDEX(Техника!$G$1:$ABN$500,N$2,0),$A$942,INDEX(Техника!$H$1:$ABO$500,N$2,0),"П")</f>
        <v>0</v>
      </c>
      <c r="O945" s="50">
        <f>SUMIFS(INDEX(Техника!$F$1:$ABM$500,O$2,0),Техника!$F$4:$ABM$4,"Часы",INDEX(Техника!$G$1:$ABN$500,O$2,0),$A$942,INDEX(Техника!$H$1:$ABO$500,O$2,0),"П")</f>
        <v>0</v>
      </c>
      <c r="P945" s="50">
        <f>SUMIFS(INDEX(Техника!$F$1:$ABM$500,P$2,0),Техника!$F$4:$ABM$4,"Часы",INDEX(Техника!$G$1:$ABN$500,P$2,0),$A$942,INDEX(Техника!$H$1:$ABO$500,P$2,0),"П")</f>
        <v>0</v>
      </c>
      <c r="Q945" s="50">
        <f>SUMIFS(INDEX(Техника!$F$1:$ABM$500,Q$2,0),Техника!$F$4:$ABM$4,"Часы",INDEX(Техника!$G$1:$ABN$500,Q$2,0),$A$942,INDEX(Техника!$H$1:$ABO$500,Q$2,0),"П")</f>
        <v>0</v>
      </c>
      <c r="R945" s="50">
        <f>SUMIFS(INDEX(Техника!$F$1:$ABM$500,R$2,0),Техника!$F$4:$ABM$4,"Часы",INDEX(Техника!$G$1:$ABN$500,R$2,0),$A$942,INDEX(Техника!$H$1:$ABO$500,R$2,0),"П")</f>
        <v>0</v>
      </c>
      <c r="S945" s="50">
        <f>SUMIFS(INDEX(Техника!$F$1:$ABM$500,S$2,0),Техника!$F$4:$ABM$4,"Часы",INDEX(Техника!$G$1:$ABN$500,S$2,0),$A$942,INDEX(Техника!$H$1:$ABO$500,S$2,0),"П")</f>
        <v>0</v>
      </c>
      <c r="T945" s="50">
        <f>SUMIFS(INDEX(Техника!$F$1:$ABM$500,T$2,0),Техника!$F$4:$ABM$4,"Часы",INDEX(Техника!$G$1:$ABN$500,T$2,0),$A$942,INDEX(Техника!$H$1:$ABO$500,T$2,0),"П")</f>
        <v>0</v>
      </c>
      <c r="U945" s="50">
        <f>SUMIFS(INDEX(Техника!$F$1:$ABM$500,U$2,0),Техника!$F$4:$ABM$4,"Часы",INDEX(Техника!$G$1:$ABN$500,U$2,0),$A$942,INDEX(Техника!$H$1:$ABO$500,U$2,0),"П")</f>
        <v>0</v>
      </c>
      <c r="V945" s="50">
        <f>SUMIFS(INDEX(Техника!$F$1:$ABM$500,V$2,0),Техника!$F$4:$ABM$4,"Часы",INDEX(Техника!$G$1:$ABN$500,V$2,0),$A$942,INDEX(Техника!$H$1:$ABO$500,V$2,0),"П")</f>
        <v>0</v>
      </c>
      <c r="W945" s="50">
        <f>SUMIFS(INDEX(Техника!$F$1:$ABM$500,W$2,0),Техника!$F$4:$ABM$4,"Часы",INDEX(Техника!$G$1:$ABN$500,W$2,0),$A$942,INDEX(Техника!$H$1:$ABO$500,W$2,0),"П")</f>
        <v>0</v>
      </c>
      <c r="X945" s="50">
        <f>SUMIFS(INDEX(Техника!$F$1:$ABM$500,X$2,0),Техника!$F$4:$ABM$4,"Часы",INDEX(Техника!$G$1:$ABN$500,X$2,0),$A$942,INDEX(Техника!$H$1:$ABO$500,X$2,0),"П")</f>
        <v>0</v>
      </c>
      <c r="Y945" s="50">
        <f>SUMIFS(INDEX(Техника!$F$1:$ABM$500,Y$2,0),Техника!$F$4:$ABM$4,"Часы",INDEX(Техника!$G$1:$ABN$500,Y$2,0),$A$942,INDEX(Техника!$H$1:$ABO$500,Y$2,0),"П")</f>
        <v>0</v>
      </c>
      <c r="Z945" s="50">
        <f>SUMIFS(INDEX(Техника!$F$1:$ABM$500,Z$2,0),Техника!$F$4:$ABM$4,"Часы",INDEX(Техника!$G$1:$ABN$500,Z$2,0),$A$942,INDEX(Техника!$H$1:$ABO$500,Z$2,0),"П")</f>
        <v>0</v>
      </c>
      <c r="AA945" s="50">
        <f>SUMIFS(INDEX(Техника!$F$1:$ABM$500,AA$2,0),Техника!$F$4:$ABM$4,"Часы",INDEX(Техника!$G$1:$ABN$500,AA$2,0),$A$942,INDEX(Техника!$H$1:$ABO$500,AA$2,0),"П")</f>
        <v>0</v>
      </c>
      <c r="AB945" s="50">
        <f>SUMIFS(INDEX(Техника!$F$1:$ABM$500,AB$2,0),Техника!$F$4:$ABM$4,"Часы",INDEX(Техника!$G$1:$ABN$500,AB$2,0),$A$942,INDEX(Техника!$H$1:$ABO$500,AB$2,0),"П")</f>
        <v>0</v>
      </c>
    </row>
    <row r="946" spans="1:28" hidden="1" outlineLevel="1" x14ac:dyDescent="0.3">
      <c r="A946" s="33" t="s">
        <v>243</v>
      </c>
      <c r="B946" s="34" t="s">
        <v>278</v>
      </c>
      <c r="C946" s="50">
        <f>SUMIFS(INDEX(Техника!$F$1:$ABM$500,C$2,0),Техника!$F$4:$ABM$4,"Часы",INDEX(Техника!$G$1:$ABN$500,C$2,0),$A$942,INDEX(Техника!$H$1:$ABO$500,C$2,0),"Л")</f>
        <v>0</v>
      </c>
      <c r="D946" s="50">
        <f>SUMIFS(INDEX(Техника!$F$1:$ABM$500,D$2,0),Техника!$F$4:$ABM$4,"Часы",INDEX(Техника!$G$1:$ABN$500,D$2,0),$A$942,INDEX(Техника!$H$1:$ABO$500,D$2,0),"Л")</f>
        <v>0</v>
      </c>
      <c r="E946" s="50">
        <f>SUMIFS(INDEX(Техника!$F$1:$ABM$500,E$2,0),Техника!$F$4:$ABM$4,"Часы",INDEX(Техника!$G$1:$ABN$500,E$2,0),$A$942,INDEX(Техника!$H$1:$ABO$500,E$2,0),"Л")</f>
        <v>0</v>
      </c>
      <c r="F946" s="50">
        <f>SUMIFS(INDEX(Техника!$F$1:$ABM$500,F$2,0),Техника!$F$4:$ABM$4,"Часы",INDEX(Техника!$G$1:$ABN$500,F$2,0),$A$942,INDEX(Техника!$H$1:$ABO$500,F$2,0),"Л")</f>
        <v>0</v>
      </c>
      <c r="G946" s="50">
        <f>SUMIFS(INDEX(Техника!$F$1:$ABM$500,G$2,0),Техника!$F$4:$ABM$4,"Часы",INDEX(Техника!$G$1:$ABN$500,G$2,0),$A$942,INDEX(Техника!$H$1:$ABO$500,G$2,0),"Л")</f>
        <v>0</v>
      </c>
      <c r="H946" s="50">
        <f>SUMIFS(INDEX(Техника!$F$1:$ABM$500,H$2,0),Техника!$F$4:$ABM$4,"Часы",INDEX(Техника!$G$1:$ABN$500,H$2,0),$A$942,INDEX(Техника!$H$1:$ABO$500,H$2,0),"Л")</f>
        <v>0</v>
      </c>
      <c r="I946" s="50">
        <f>SUMIFS(INDEX(Техника!$F$1:$ABM$500,I$2,0),Техника!$F$4:$ABM$4,"Часы",INDEX(Техника!$G$1:$ABN$500,I$2,0),$A$942,INDEX(Техника!$H$1:$ABO$500,I$2,0),"Л")</f>
        <v>0</v>
      </c>
      <c r="J946" s="50">
        <f>SUMIFS(INDEX(Техника!$F$1:$ABM$500,J$2,0),Техника!$F$4:$ABM$4,"Часы",INDEX(Техника!$G$1:$ABN$500,J$2,0),$A$942,INDEX(Техника!$H$1:$ABO$500,J$2,0),"Л")</f>
        <v>0</v>
      </c>
      <c r="K946" s="50">
        <f>SUMIFS(INDEX(Техника!$F$1:$ABM$500,K$2,0),Техника!$F$4:$ABM$4,"Часы",INDEX(Техника!$G$1:$ABN$500,K$2,0),$A$942,INDEX(Техника!$H$1:$ABO$500,K$2,0),"Л")</f>
        <v>0</v>
      </c>
      <c r="L946" s="50">
        <f>SUMIFS(INDEX(Техника!$F$1:$ABM$500,L$2,0),Техника!$F$4:$ABM$4,"Часы",INDEX(Техника!$G$1:$ABN$500,L$2,0),$A$942,INDEX(Техника!$H$1:$ABO$500,L$2,0),"Л")</f>
        <v>0</v>
      </c>
      <c r="M946" s="50">
        <f>SUMIFS(INDEX(Техника!$F$1:$ABM$500,M$2,0),Техника!$F$4:$ABM$4,"Часы",INDEX(Техника!$G$1:$ABN$500,M$2,0),$A$942,INDEX(Техника!$H$1:$ABO$500,M$2,0),"Л")</f>
        <v>0</v>
      </c>
      <c r="N946" s="50">
        <f>SUMIFS(INDEX(Техника!$F$1:$ABM$500,N$2,0),Техника!$F$4:$ABM$4,"Часы",INDEX(Техника!$G$1:$ABN$500,N$2,0),$A$942,INDEX(Техника!$H$1:$ABO$500,N$2,0),"Л")</f>
        <v>0</v>
      </c>
      <c r="O946" s="50">
        <f>SUMIFS(INDEX(Техника!$F$1:$ABM$500,O$2,0),Техника!$F$4:$ABM$4,"Часы",INDEX(Техника!$G$1:$ABN$500,O$2,0),$A$942,INDEX(Техника!$H$1:$ABO$500,O$2,0),"Л")</f>
        <v>0</v>
      </c>
      <c r="P946" s="50">
        <f>SUMIFS(INDEX(Техника!$F$1:$ABM$500,P$2,0),Техника!$F$4:$ABM$4,"Часы",INDEX(Техника!$G$1:$ABN$500,P$2,0),$A$942,INDEX(Техника!$H$1:$ABO$500,P$2,0),"Л")</f>
        <v>0</v>
      </c>
      <c r="Q946" s="50">
        <f>SUMIFS(INDEX(Техника!$F$1:$ABM$500,Q$2,0),Техника!$F$4:$ABM$4,"Часы",INDEX(Техника!$G$1:$ABN$500,Q$2,0),$A$942,INDEX(Техника!$H$1:$ABO$500,Q$2,0),"Л")</f>
        <v>0</v>
      </c>
      <c r="R946" s="50">
        <f>SUMIFS(INDEX(Техника!$F$1:$ABM$500,R$2,0),Техника!$F$4:$ABM$4,"Часы",INDEX(Техника!$G$1:$ABN$500,R$2,0),$A$942,INDEX(Техника!$H$1:$ABO$500,R$2,0),"Л")</f>
        <v>0</v>
      </c>
      <c r="S946" s="50">
        <f>SUMIFS(INDEX(Техника!$F$1:$ABM$500,S$2,0),Техника!$F$4:$ABM$4,"Часы",INDEX(Техника!$G$1:$ABN$500,S$2,0),$A$942,INDEX(Техника!$H$1:$ABO$500,S$2,0),"Л")</f>
        <v>0</v>
      </c>
      <c r="T946" s="50">
        <f>SUMIFS(INDEX(Техника!$F$1:$ABM$500,T$2,0),Техника!$F$4:$ABM$4,"Часы",INDEX(Техника!$G$1:$ABN$500,T$2,0),$A$942,INDEX(Техника!$H$1:$ABO$500,T$2,0),"Л")</f>
        <v>0</v>
      </c>
      <c r="U946" s="50">
        <f>SUMIFS(INDEX(Техника!$F$1:$ABM$500,U$2,0),Техника!$F$4:$ABM$4,"Часы",INDEX(Техника!$G$1:$ABN$500,U$2,0),$A$942,INDEX(Техника!$H$1:$ABO$500,U$2,0),"Л")</f>
        <v>0</v>
      </c>
      <c r="V946" s="50">
        <f>SUMIFS(INDEX(Техника!$F$1:$ABM$500,V$2,0),Техника!$F$4:$ABM$4,"Часы",INDEX(Техника!$G$1:$ABN$500,V$2,0),$A$942,INDEX(Техника!$H$1:$ABO$500,V$2,0),"Л")</f>
        <v>0</v>
      </c>
      <c r="W946" s="50">
        <f>SUMIFS(INDEX(Техника!$F$1:$ABM$500,W$2,0),Техника!$F$4:$ABM$4,"Часы",INDEX(Техника!$G$1:$ABN$500,W$2,0),$A$942,INDEX(Техника!$H$1:$ABO$500,W$2,0),"Л")</f>
        <v>0</v>
      </c>
      <c r="X946" s="50">
        <f>SUMIFS(INDEX(Техника!$F$1:$ABM$500,X$2,0),Техника!$F$4:$ABM$4,"Часы",INDEX(Техника!$G$1:$ABN$500,X$2,0),$A$942,INDEX(Техника!$H$1:$ABO$500,X$2,0),"Л")</f>
        <v>0</v>
      </c>
      <c r="Y946" s="50">
        <f>SUMIFS(INDEX(Техника!$F$1:$ABM$500,Y$2,0),Техника!$F$4:$ABM$4,"Часы",INDEX(Техника!$G$1:$ABN$500,Y$2,0),$A$942,INDEX(Техника!$H$1:$ABO$500,Y$2,0),"Л")</f>
        <v>0</v>
      </c>
      <c r="Z946" s="50">
        <f>SUMIFS(INDEX(Техника!$F$1:$ABM$500,Z$2,0),Техника!$F$4:$ABM$4,"Часы",INDEX(Техника!$G$1:$ABN$500,Z$2,0),$A$942,INDEX(Техника!$H$1:$ABO$500,Z$2,0),"Л")</f>
        <v>0</v>
      </c>
      <c r="AA946" s="50">
        <f>SUMIFS(INDEX(Техника!$F$1:$ABM$500,AA$2,0),Техника!$F$4:$ABM$4,"Часы",INDEX(Техника!$G$1:$ABN$500,AA$2,0),$A$942,INDEX(Техника!$H$1:$ABO$500,AA$2,0),"Л")</f>
        <v>0</v>
      </c>
      <c r="AB946" s="50">
        <f>SUMIFS(INDEX(Техника!$F$1:$ABM$500,AB$2,0),Техника!$F$4:$ABM$4,"Часы",INDEX(Техника!$G$1:$ABN$500,AB$2,0),$A$942,INDEX(Техника!$H$1:$ABO$500,AB$2,0),"Л")</f>
        <v>0</v>
      </c>
    </row>
    <row r="947" spans="1:28" hidden="1" outlineLevel="1" x14ac:dyDescent="0.3">
      <c r="A947" s="33" t="s">
        <v>245</v>
      </c>
      <c r="B947" s="34" t="s">
        <v>279</v>
      </c>
      <c r="C947" s="50">
        <f>SUMIFS(INDEX(Техника!$F$1:$ABM$500,C$2,0),Техника!$F$4:$ABM$4,"Часы",INDEX(Техника!$G$1:$ABN$500,C$2,0),$A$942,INDEX(Техника!$H$1:$ABO$500,C$2,0),"З")</f>
        <v>0</v>
      </c>
      <c r="D947" s="50">
        <f>SUMIFS(INDEX(Техника!$F$1:$ABM$500,D$2,0),Техника!$F$4:$ABM$4,"Часы",INDEX(Техника!$G$1:$ABN$500,D$2,0),$A$942,INDEX(Техника!$H$1:$ABO$500,D$2,0),"З")</f>
        <v>0</v>
      </c>
      <c r="E947" s="50">
        <f>SUMIFS(INDEX(Техника!$F$1:$ABM$500,E$2,0),Техника!$F$4:$ABM$4,"Часы",INDEX(Техника!$G$1:$ABN$500,E$2,0),$A$942,INDEX(Техника!$H$1:$ABO$500,E$2,0),"З")</f>
        <v>0</v>
      </c>
      <c r="F947" s="50">
        <f>SUMIFS(INDEX(Техника!$F$1:$ABM$500,F$2,0),Техника!$F$4:$ABM$4,"Часы",INDEX(Техника!$G$1:$ABN$500,F$2,0),$A$942,INDEX(Техника!$H$1:$ABO$500,F$2,0),"З")</f>
        <v>0</v>
      </c>
      <c r="G947" s="50">
        <f>SUMIFS(INDEX(Техника!$F$1:$ABM$500,G$2,0),Техника!$F$4:$ABM$4,"Часы",INDEX(Техника!$G$1:$ABN$500,G$2,0),$A$942,INDEX(Техника!$H$1:$ABO$500,G$2,0),"З")</f>
        <v>0</v>
      </c>
      <c r="H947" s="50">
        <f>SUMIFS(INDEX(Техника!$F$1:$ABM$500,H$2,0),Техника!$F$4:$ABM$4,"Часы",INDEX(Техника!$G$1:$ABN$500,H$2,0),$A$942,INDEX(Техника!$H$1:$ABO$500,H$2,0),"З")</f>
        <v>0</v>
      </c>
      <c r="I947" s="50">
        <f>SUMIFS(INDEX(Техника!$F$1:$ABM$500,I$2,0),Техника!$F$4:$ABM$4,"Часы",INDEX(Техника!$G$1:$ABN$500,I$2,0),$A$942,INDEX(Техника!$H$1:$ABO$500,I$2,0),"З")</f>
        <v>0</v>
      </c>
      <c r="J947" s="50">
        <f>SUMIFS(INDEX(Техника!$F$1:$ABM$500,J$2,0),Техника!$F$4:$ABM$4,"Часы",INDEX(Техника!$G$1:$ABN$500,J$2,0),$A$942,INDEX(Техника!$H$1:$ABO$500,J$2,0),"З")</f>
        <v>0</v>
      </c>
      <c r="K947" s="50">
        <f>SUMIFS(INDEX(Техника!$F$1:$ABM$500,K$2,0),Техника!$F$4:$ABM$4,"Часы",INDEX(Техника!$G$1:$ABN$500,K$2,0),$A$942,INDEX(Техника!$H$1:$ABO$500,K$2,0),"З")</f>
        <v>0</v>
      </c>
      <c r="L947" s="50">
        <f>SUMIFS(INDEX(Техника!$F$1:$ABM$500,L$2,0),Техника!$F$4:$ABM$4,"Часы",INDEX(Техника!$G$1:$ABN$500,L$2,0),$A$942,INDEX(Техника!$H$1:$ABO$500,L$2,0),"З")</f>
        <v>0</v>
      </c>
      <c r="M947" s="50">
        <f>SUMIFS(INDEX(Техника!$F$1:$ABM$500,M$2,0),Техника!$F$4:$ABM$4,"Часы",INDEX(Техника!$G$1:$ABN$500,M$2,0),$A$942,INDEX(Техника!$H$1:$ABO$500,M$2,0),"З")</f>
        <v>0</v>
      </c>
      <c r="N947" s="50">
        <f>SUMIFS(INDEX(Техника!$F$1:$ABM$500,N$2,0),Техника!$F$4:$ABM$4,"Часы",INDEX(Техника!$G$1:$ABN$500,N$2,0),$A$942,INDEX(Техника!$H$1:$ABO$500,N$2,0),"З")</f>
        <v>0</v>
      </c>
      <c r="O947" s="50">
        <f>SUMIFS(INDEX(Техника!$F$1:$ABM$500,O$2,0),Техника!$F$4:$ABM$4,"Часы",INDEX(Техника!$G$1:$ABN$500,O$2,0),$A$942,INDEX(Техника!$H$1:$ABO$500,O$2,0),"З")</f>
        <v>0</v>
      </c>
      <c r="P947" s="50">
        <f>SUMIFS(INDEX(Техника!$F$1:$ABM$500,P$2,0),Техника!$F$4:$ABM$4,"Часы",INDEX(Техника!$G$1:$ABN$500,P$2,0),$A$942,INDEX(Техника!$H$1:$ABO$500,P$2,0),"З")</f>
        <v>0</v>
      </c>
      <c r="Q947" s="50">
        <f>SUMIFS(INDEX(Техника!$F$1:$ABM$500,Q$2,0),Техника!$F$4:$ABM$4,"Часы",INDEX(Техника!$G$1:$ABN$500,Q$2,0),$A$942,INDEX(Техника!$H$1:$ABO$500,Q$2,0),"З")</f>
        <v>0</v>
      </c>
      <c r="R947" s="50">
        <f>SUMIFS(INDEX(Техника!$F$1:$ABM$500,R$2,0),Техника!$F$4:$ABM$4,"Часы",INDEX(Техника!$G$1:$ABN$500,R$2,0),$A$942,INDEX(Техника!$H$1:$ABO$500,R$2,0),"З")</f>
        <v>0</v>
      </c>
      <c r="S947" s="50">
        <f>SUMIFS(INDEX(Техника!$F$1:$ABM$500,S$2,0),Техника!$F$4:$ABM$4,"Часы",INDEX(Техника!$G$1:$ABN$500,S$2,0),$A$942,INDEX(Техника!$H$1:$ABO$500,S$2,0),"З")</f>
        <v>0</v>
      </c>
      <c r="T947" s="50">
        <f>SUMIFS(INDEX(Техника!$F$1:$ABM$500,T$2,0),Техника!$F$4:$ABM$4,"Часы",INDEX(Техника!$G$1:$ABN$500,T$2,0),$A$942,INDEX(Техника!$H$1:$ABO$500,T$2,0),"З")</f>
        <v>0</v>
      </c>
      <c r="U947" s="50">
        <f>SUMIFS(INDEX(Техника!$F$1:$ABM$500,U$2,0),Техника!$F$4:$ABM$4,"Часы",INDEX(Техника!$G$1:$ABN$500,U$2,0),$A$942,INDEX(Техника!$H$1:$ABO$500,U$2,0),"З")</f>
        <v>0</v>
      </c>
      <c r="V947" s="50">
        <f>SUMIFS(INDEX(Техника!$F$1:$ABM$500,V$2,0),Техника!$F$4:$ABM$4,"Часы",INDEX(Техника!$G$1:$ABN$500,V$2,0),$A$942,INDEX(Техника!$H$1:$ABO$500,V$2,0),"З")</f>
        <v>0</v>
      </c>
      <c r="W947" s="50">
        <f>SUMIFS(INDEX(Техника!$F$1:$ABM$500,W$2,0),Техника!$F$4:$ABM$4,"Часы",INDEX(Техника!$G$1:$ABN$500,W$2,0),$A$942,INDEX(Техника!$H$1:$ABO$500,W$2,0),"З")</f>
        <v>0</v>
      </c>
      <c r="X947" s="50">
        <f>SUMIFS(INDEX(Техника!$F$1:$ABM$500,X$2,0),Техника!$F$4:$ABM$4,"Часы",INDEX(Техника!$G$1:$ABN$500,X$2,0),$A$942,INDEX(Техника!$H$1:$ABO$500,X$2,0),"З")</f>
        <v>0</v>
      </c>
      <c r="Y947" s="50">
        <f>SUMIFS(INDEX(Техника!$F$1:$ABM$500,Y$2,0),Техника!$F$4:$ABM$4,"Часы",INDEX(Техника!$G$1:$ABN$500,Y$2,0),$A$942,INDEX(Техника!$H$1:$ABO$500,Y$2,0),"З")</f>
        <v>0</v>
      </c>
      <c r="Z947" s="50">
        <f>SUMIFS(INDEX(Техника!$F$1:$ABM$500,Z$2,0),Техника!$F$4:$ABM$4,"Часы",INDEX(Техника!$G$1:$ABN$500,Z$2,0),$A$942,INDEX(Техника!$H$1:$ABO$500,Z$2,0),"З")</f>
        <v>0</v>
      </c>
      <c r="AA947" s="50">
        <f>SUMIFS(INDEX(Техника!$F$1:$ABM$500,AA$2,0),Техника!$F$4:$ABM$4,"Часы",INDEX(Техника!$G$1:$ABN$500,AA$2,0),$A$942,INDEX(Техника!$H$1:$ABO$500,AA$2,0),"З")</f>
        <v>0</v>
      </c>
      <c r="AB947" s="50">
        <f>SUMIFS(INDEX(Техника!$F$1:$ABM$500,AB$2,0),Техника!$F$4:$ABM$4,"Часы",INDEX(Техника!$G$1:$ABN$500,AB$2,0),$A$942,INDEX(Техника!$H$1:$ABO$500,AB$2,0),"З")</f>
        <v>0</v>
      </c>
    </row>
    <row r="948" spans="1:28" ht="7.95" customHeight="1" x14ac:dyDescent="0.3">
      <c r="A948" s="38"/>
      <c r="B948" s="39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</row>
    <row r="949" spans="1:28" ht="25.05" customHeight="1" collapsed="1" x14ac:dyDescent="0.3">
      <c r="A949" s="32">
        <v>136</v>
      </c>
      <c r="B949" s="32" t="s">
        <v>137</v>
      </c>
      <c r="C949" s="49">
        <f>SUM(C950:C954)</f>
        <v>0</v>
      </c>
      <c r="D949" s="49">
        <f>SUM(D950:D954)</f>
        <v>0</v>
      </c>
      <c r="E949" s="49">
        <f>SUM(E950:E954)</f>
        <v>0</v>
      </c>
      <c r="F949" s="49">
        <f>SUM(F950:F954)</f>
        <v>0</v>
      </c>
      <c r="G949" s="49">
        <f>SUM(G950:G954)</f>
        <v>0</v>
      </c>
      <c r="H949" s="49">
        <f>SUM(H950:H954)</f>
        <v>0</v>
      </c>
      <c r="I949" s="49">
        <f>SUM(I950:I954)</f>
        <v>0</v>
      </c>
      <c r="J949" s="49">
        <f>SUM(J950:J954)</f>
        <v>0</v>
      </c>
      <c r="K949" s="49">
        <f>SUM(K950:K954)</f>
        <v>0</v>
      </c>
      <c r="L949" s="49">
        <f>SUM(L950:L954)</f>
        <v>0</v>
      </c>
      <c r="M949" s="49">
        <f>SUM(M950:M954)</f>
        <v>0</v>
      </c>
      <c r="N949" s="49">
        <f>SUM(N950:N954)</f>
        <v>0</v>
      </c>
      <c r="O949" s="49">
        <f>SUM(O950:O954)</f>
        <v>0</v>
      </c>
      <c r="P949" s="49">
        <f>SUM(P950:P954)</f>
        <v>0</v>
      </c>
      <c r="Q949" s="49">
        <f>SUM(Q950:Q954)</f>
        <v>0</v>
      </c>
      <c r="R949" s="49">
        <f>SUM(R950:R954)</f>
        <v>0</v>
      </c>
      <c r="S949" s="49">
        <f>SUM(S950:S954)</f>
        <v>0</v>
      </c>
      <c r="T949" s="49">
        <f>SUM(T950:T954)</f>
        <v>0</v>
      </c>
      <c r="U949" s="49">
        <f>SUM(U950:U954)</f>
        <v>0</v>
      </c>
      <c r="V949" s="49">
        <f>SUM(V950:V954)</f>
        <v>0</v>
      </c>
      <c r="W949" s="49">
        <f>SUM(W950:W954)</f>
        <v>0</v>
      </c>
      <c r="X949" s="49">
        <f>SUM(X950:X954)</f>
        <v>0</v>
      </c>
      <c r="Y949" s="49">
        <f>SUM(Y950:Y954)</f>
        <v>0</v>
      </c>
      <c r="Z949" s="49">
        <f>SUM(Z950:Z954)</f>
        <v>0</v>
      </c>
      <c r="AA949" s="49">
        <f>SUM(AA950:AA954)</f>
        <v>0</v>
      </c>
      <c r="AB949" s="49">
        <f>SUM(AB950:AB954)</f>
        <v>0</v>
      </c>
    </row>
    <row r="950" spans="1:28" hidden="1" outlineLevel="1" x14ac:dyDescent="0.3">
      <c r="A950" s="33" t="s">
        <v>246</v>
      </c>
      <c r="B950" s="34" t="s">
        <v>274</v>
      </c>
      <c r="C950" s="50">
        <f>SUMIFS(INDEX(Техника!$F$1:$ABM$500,C$2,0),Техника!$F$4:$ABM$4,"Часы",INDEX(Техника!$G$1:$ABN$500,C$2,0),$A$949,INDEX(Техника!$H$1:$ABO$500,C$2,0),"М")</f>
        <v>0</v>
      </c>
      <c r="D950" s="50">
        <f>SUMIFS(INDEX(Техника!$F$1:$ABM$500,D$2,0),Техника!$F$4:$ABM$4,"Часы",INDEX(Техника!$G$1:$ABN$500,D$2,0),$A$949,INDEX(Техника!$H$1:$ABO$500,D$2,0),"М")</f>
        <v>0</v>
      </c>
      <c r="E950" s="50">
        <f>SUMIFS(INDEX(Техника!$F$1:$ABM$500,E$2,0),Техника!$F$4:$ABM$4,"Часы",INDEX(Техника!$G$1:$ABN$500,E$2,0),$A$949,INDEX(Техника!$H$1:$ABO$500,E$2,0),"М")</f>
        <v>0</v>
      </c>
      <c r="F950" s="50">
        <f>SUMIFS(INDEX(Техника!$F$1:$ABM$500,F$2,0),Техника!$F$4:$ABM$4,"Часы",INDEX(Техника!$G$1:$ABN$500,F$2,0),$A$949,INDEX(Техника!$H$1:$ABO$500,F$2,0),"М")</f>
        <v>0</v>
      </c>
      <c r="G950" s="50">
        <f>SUMIFS(INDEX(Техника!$F$1:$ABM$500,G$2,0),Техника!$F$4:$ABM$4,"Часы",INDEX(Техника!$G$1:$ABN$500,G$2,0),$A$949,INDEX(Техника!$H$1:$ABO$500,G$2,0),"М")</f>
        <v>0</v>
      </c>
      <c r="H950" s="50">
        <f>SUMIFS(INDEX(Техника!$F$1:$ABM$500,H$2,0),Техника!$F$4:$ABM$4,"Часы",INDEX(Техника!$G$1:$ABN$500,H$2,0),$A$949,INDEX(Техника!$H$1:$ABO$500,H$2,0),"М")</f>
        <v>0</v>
      </c>
      <c r="I950" s="50">
        <f>SUMIFS(INDEX(Техника!$F$1:$ABM$500,I$2,0),Техника!$F$4:$ABM$4,"Часы",INDEX(Техника!$G$1:$ABN$500,I$2,0),$A$949,INDEX(Техника!$H$1:$ABO$500,I$2,0),"М")</f>
        <v>0</v>
      </c>
      <c r="J950" s="50">
        <f>SUMIFS(INDEX(Техника!$F$1:$ABM$500,J$2,0),Техника!$F$4:$ABM$4,"Часы",INDEX(Техника!$G$1:$ABN$500,J$2,0),$A$949,INDEX(Техника!$H$1:$ABO$500,J$2,0),"М")</f>
        <v>0</v>
      </c>
      <c r="K950" s="50">
        <f>SUMIFS(INDEX(Техника!$F$1:$ABM$500,K$2,0),Техника!$F$4:$ABM$4,"Часы",INDEX(Техника!$G$1:$ABN$500,K$2,0),$A$949,INDEX(Техника!$H$1:$ABO$500,K$2,0),"М")</f>
        <v>0</v>
      </c>
      <c r="L950" s="50">
        <f>SUMIFS(INDEX(Техника!$F$1:$ABM$500,L$2,0),Техника!$F$4:$ABM$4,"Часы",INDEX(Техника!$G$1:$ABN$500,L$2,0),$A$949,INDEX(Техника!$H$1:$ABO$500,L$2,0),"М")</f>
        <v>0</v>
      </c>
      <c r="M950" s="50">
        <f>SUMIFS(INDEX(Техника!$F$1:$ABM$500,M$2,0),Техника!$F$4:$ABM$4,"Часы",INDEX(Техника!$G$1:$ABN$500,M$2,0),$A$949,INDEX(Техника!$H$1:$ABO$500,M$2,0),"М")</f>
        <v>0</v>
      </c>
      <c r="N950" s="50">
        <f>SUMIFS(INDEX(Техника!$F$1:$ABM$500,N$2,0),Техника!$F$4:$ABM$4,"Часы",INDEX(Техника!$G$1:$ABN$500,N$2,0),$A$949,INDEX(Техника!$H$1:$ABO$500,N$2,0),"М")</f>
        <v>0</v>
      </c>
      <c r="O950" s="50">
        <f>SUMIFS(INDEX(Техника!$F$1:$ABM$500,O$2,0),Техника!$F$4:$ABM$4,"Часы",INDEX(Техника!$G$1:$ABN$500,O$2,0),$A$949,INDEX(Техника!$H$1:$ABO$500,O$2,0),"М")</f>
        <v>0</v>
      </c>
      <c r="P950" s="50">
        <f>SUMIFS(INDEX(Техника!$F$1:$ABM$500,P$2,0),Техника!$F$4:$ABM$4,"Часы",INDEX(Техника!$G$1:$ABN$500,P$2,0),$A$949,INDEX(Техника!$H$1:$ABO$500,P$2,0),"М")</f>
        <v>0</v>
      </c>
      <c r="Q950" s="50">
        <f>SUMIFS(INDEX(Техника!$F$1:$ABM$500,Q$2,0),Техника!$F$4:$ABM$4,"Часы",INDEX(Техника!$G$1:$ABN$500,Q$2,0),$A$949,INDEX(Техника!$H$1:$ABO$500,Q$2,0),"М")</f>
        <v>0</v>
      </c>
      <c r="R950" s="50">
        <f>SUMIFS(INDEX(Техника!$F$1:$ABM$500,R$2,0),Техника!$F$4:$ABM$4,"Часы",INDEX(Техника!$G$1:$ABN$500,R$2,0),$A$949,INDEX(Техника!$H$1:$ABO$500,R$2,0),"М")</f>
        <v>0</v>
      </c>
      <c r="S950" s="50">
        <f>SUMIFS(INDEX(Техника!$F$1:$ABM$500,S$2,0),Техника!$F$4:$ABM$4,"Часы",INDEX(Техника!$G$1:$ABN$500,S$2,0),$A$949,INDEX(Техника!$H$1:$ABO$500,S$2,0),"М")</f>
        <v>0</v>
      </c>
      <c r="T950" s="50">
        <f>SUMIFS(INDEX(Техника!$F$1:$ABM$500,T$2,0),Техника!$F$4:$ABM$4,"Часы",INDEX(Техника!$G$1:$ABN$500,T$2,0),$A$949,INDEX(Техника!$H$1:$ABO$500,T$2,0),"М")</f>
        <v>0</v>
      </c>
      <c r="U950" s="50">
        <f>SUMIFS(INDEX(Техника!$F$1:$ABM$500,U$2,0),Техника!$F$4:$ABM$4,"Часы",INDEX(Техника!$G$1:$ABN$500,U$2,0),$A$949,INDEX(Техника!$H$1:$ABO$500,U$2,0),"М")</f>
        <v>0</v>
      </c>
      <c r="V950" s="50">
        <f>SUMIFS(INDEX(Техника!$F$1:$ABM$500,V$2,0),Техника!$F$4:$ABM$4,"Часы",INDEX(Техника!$G$1:$ABN$500,V$2,0),$A$949,INDEX(Техника!$H$1:$ABO$500,V$2,0),"М")</f>
        <v>0</v>
      </c>
      <c r="W950" s="50">
        <f>SUMIFS(INDEX(Техника!$F$1:$ABM$500,W$2,0),Техника!$F$4:$ABM$4,"Часы",INDEX(Техника!$G$1:$ABN$500,W$2,0),$A$949,INDEX(Техника!$H$1:$ABO$500,W$2,0),"М")</f>
        <v>0</v>
      </c>
      <c r="X950" s="50">
        <f>SUMIFS(INDEX(Техника!$F$1:$ABM$500,X$2,0),Техника!$F$4:$ABM$4,"Часы",INDEX(Техника!$G$1:$ABN$500,X$2,0),$A$949,INDEX(Техника!$H$1:$ABO$500,X$2,0),"М")</f>
        <v>0</v>
      </c>
      <c r="Y950" s="50">
        <f>SUMIFS(INDEX(Техника!$F$1:$ABM$500,Y$2,0),Техника!$F$4:$ABM$4,"Часы",INDEX(Техника!$G$1:$ABN$500,Y$2,0),$A$949,INDEX(Техника!$H$1:$ABO$500,Y$2,0),"М")</f>
        <v>0</v>
      </c>
      <c r="Z950" s="50">
        <f>SUMIFS(INDEX(Техника!$F$1:$ABM$500,Z$2,0),Техника!$F$4:$ABM$4,"Часы",INDEX(Техника!$G$1:$ABN$500,Z$2,0),$A$949,INDEX(Техника!$H$1:$ABO$500,Z$2,0),"М")</f>
        <v>0</v>
      </c>
      <c r="AA950" s="50">
        <f>SUMIFS(INDEX(Техника!$F$1:$ABM$500,AA$2,0),Техника!$F$4:$ABM$4,"Часы",INDEX(Техника!$G$1:$ABN$500,AA$2,0),$A$949,INDEX(Техника!$H$1:$ABO$500,AA$2,0),"М")</f>
        <v>0</v>
      </c>
      <c r="AB950" s="50">
        <f>SUMIFS(INDEX(Техника!$F$1:$ABM$500,AB$2,0),Техника!$F$4:$ABM$4,"Часы",INDEX(Техника!$G$1:$ABN$500,AB$2,0),$A$949,INDEX(Техника!$H$1:$ABO$500,AB$2,0),"М")</f>
        <v>0</v>
      </c>
    </row>
    <row r="951" spans="1:28" hidden="1" outlineLevel="1" x14ac:dyDescent="0.3">
      <c r="A951" s="33" t="s">
        <v>244</v>
      </c>
      <c r="B951" s="34" t="s">
        <v>275</v>
      </c>
      <c r="C951" s="50">
        <f>SUMIFS(INDEX(Техника!$F$1:$ABM$500,C$2,0),Техника!$F$4:$ABM$4,"Часы",INDEX(Техника!$G$1:$ABN$500,C$2,0),$A$949,INDEX(Техника!$H$1:$ABO$500,C$2,0),"Д")</f>
        <v>0</v>
      </c>
      <c r="D951" s="50">
        <f>SUMIFS(INDEX(Техника!$F$1:$ABM$500,D$2,0),Техника!$F$4:$ABM$4,"Часы",INDEX(Техника!$G$1:$ABN$500,D$2,0),$A$949,INDEX(Техника!$H$1:$ABO$500,D$2,0),"Д")</f>
        <v>0</v>
      </c>
      <c r="E951" s="50">
        <f>SUMIFS(INDEX(Техника!$F$1:$ABM$500,E$2,0),Техника!$F$4:$ABM$4,"Часы",INDEX(Техника!$G$1:$ABN$500,E$2,0),$A$949,INDEX(Техника!$H$1:$ABO$500,E$2,0),"Д")</f>
        <v>0</v>
      </c>
      <c r="F951" s="50">
        <f>SUMIFS(INDEX(Техника!$F$1:$ABM$500,F$2,0),Техника!$F$4:$ABM$4,"Часы",INDEX(Техника!$G$1:$ABN$500,F$2,0),$A$949,INDEX(Техника!$H$1:$ABO$500,F$2,0),"Д")</f>
        <v>0</v>
      </c>
      <c r="G951" s="50">
        <f>SUMIFS(INDEX(Техника!$F$1:$ABM$500,G$2,0),Техника!$F$4:$ABM$4,"Часы",INDEX(Техника!$G$1:$ABN$500,G$2,0),$A$949,INDEX(Техника!$H$1:$ABO$500,G$2,0),"Д")</f>
        <v>0</v>
      </c>
      <c r="H951" s="50">
        <f>SUMIFS(INDEX(Техника!$F$1:$ABM$500,H$2,0),Техника!$F$4:$ABM$4,"Часы",INDEX(Техника!$G$1:$ABN$500,H$2,0),$A$949,INDEX(Техника!$H$1:$ABO$500,H$2,0),"Д")</f>
        <v>0</v>
      </c>
      <c r="I951" s="50">
        <f>SUMIFS(INDEX(Техника!$F$1:$ABM$500,I$2,0),Техника!$F$4:$ABM$4,"Часы",INDEX(Техника!$G$1:$ABN$500,I$2,0),$A$949,INDEX(Техника!$H$1:$ABO$500,I$2,0),"Д")</f>
        <v>0</v>
      </c>
      <c r="J951" s="50">
        <f>SUMIFS(INDEX(Техника!$F$1:$ABM$500,J$2,0),Техника!$F$4:$ABM$4,"Часы",INDEX(Техника!$G$1:$ABN$500,J$2,0),$A$949,INDEX(Техника!$H$1:$ABO$500,J$2,0),"Д")</f>
        <v>0</v>
      </c>
      <c r="K951" s="50">
        <f>SUMIFS(INDEX(Техника!$F$1:$ABM$500,K$2,0),Техника!$F$4:$ABM$4,"Часы",INDEX(Техника!$G$1:$ABN$500,K$2,0),$A$949,INDEX(Техника!$H$1:$ABO$500,K$2,0),"Д")</f>
        <v>0</v>
      </c>
      <c r="L951" s="50">
        <f>SUMIFS(INDEX(Техника!$F$1:$ABM$500,L$2,0),Техника!$F$4:$ABM$4,"Часы",INDEX(Техника!$G$1:$ABN$500,L$2,0),$A$949,INDEX(Техника!$H$1:$ABO$500,L$2,0),"Д")</f>
        <v>0</v>
      </c>
      <c r="M951" s="50">
        <f>SUMIFS(INDEX(Техника!$F$1:$ABM$500,M$2,0),Техника!$F$4:$ABM$4,"Часы",INDEX(Техника!$G$1:$ABN$500,M$2,0),$A$949,INDEX(Техника!$H$1:$ABO$500,M$2,0),"Д")</f>
        <v>0</v>
      </c>
      <c r="N951" s="50">
        <f>SUMIFS(INDEX(Техника!$F$1:$ABM$500,N$2,0),Техника!$F$4:$ABM$4,"Часы",INDEX(Техника!$G$1:$ABN$500,N$2,0),$A$949,INDEX(Техника!$H$1:$ABO$500,N$2,0),"Д")</f>
        <v>0</v>
      </c>
      <c r="O951" s="50">
        <f>SUMIFS(INDEX(Техника!$F$1:$ABM$500,O$2,0),Техника!$F$4:$ABM$4,"Часы",INDEX(Техника!$G$1:$ABN$500,O$2,0),$A$949,INDEX(Техника!$H$1:$ABO$500,O$2,0),"Д")</f>
        <v>0</v>
      </c>
      <c r="P951" s="50">
        <f>SUMIFS(INDEX(Техника!$F$1:$ABM$500,P$2,0),Техника!$F$4:$ABM$4,"Часы",INDEX(Техника!$G$1:$ABN$500,P$2,0),$A$949,INDEX(Техника!$H$1:$ABO$500,P$2,0),"Д")</f>
        <v>0</v>
      </c>
      <c r="Q951" s="50">
        <f>SUMIFS(INDEX(Техника!$F$1:$ABM$500,Q$2,0),Техника!$F$4:$ABM$4,"Часы",INDEX(Техника!$G$1:$ABN$500,Q$2,0),$A$949,INDEX(Техника!$H$1:$ABO$500,Q$2,0),"Д")</f>
        <v>0</v>
      </c>
      <c r="R951" s="50">
        <f>SUMIFS(INDEX(Техника!$F$1:$ABM$500,R$2,0),Техника!$F$4:$ABM$4,"Часы",INDEX(Техника!$G$1:$ABN$500,R$2,0),$A$949,INDEX(Техника!$H$1:$ABO$500,R$2,0),"Д")</f>
        <v>0</v>
      </c>
      <c r="S951" s="50">
        <f>SUMIFS(INDEX(Техника!$F$1:$ABM$500,S$2,0),Техника!$F$4:$ABM$4,"Часы",INDEX(Техника!$G$1:$ABN$500,S$2,0),$A$949,INDEX(Техника!$H$1:$ABO$500,S$2,0),"Д")</f>
        <v>0</v>
      </c>
      <c r="T951" s="50">
        <f>SUMIFS(INDEX(Техника!$F$1:$ABM$500,T$2,0),Техника!$F$4:$ABM$4,"Часы",INDEX(Техника!$G$1:$ABN$500,T$2,0),$A$949,INDEX(Техника!$H$1:$ABO$500,T$2,0),"Д")</f>
        <v>0</v>
      </c>
      <c r="U951" s="50">
        <f>SUMIFS(INDEX(Техника!$F$1:$ABM$500,U$2,0),Техника!$F$4:$ABM$4,"Часы",INDEX(Техника!$G$1:$ABN$500,U$2,0),$A$949,INDEX(Техника!$H$1:$ABO$500,U$2,0),"Д")</f>
        <v>0</v>
      </c>
      <c r="V951" s="50">
        <f>SUMIFS(INDEX(Техника!$F$1:$ABM$500,V$2,0),Техника!$F$4:$ABM$4,"Часы",INDEX(Техника!$G$1:$ABN$500,V$2,0),$A$949,INDEX(Техника!$H$1:$ABO$500,V$2,0),"Д")</f>
        <v>0</v>
      </c>
      <c r="W951" s="50">
        <f>SUMIFS(INDEX(Техника!$F$1:$ABM$500,W$2,0),Техника!$F$4:$ABM$4,"Часы",INDEX(Техника!$G$1:$ABN$500,W$2,0),$A$949,INDEX(Техника!$H$1:$ABO$500,W$2,0),"Д")</f>
        <v>0</v>
      </c>
      <c r="X951" s="50">
        <f>SUMIFS(INDEX(Техника!$F$1:$ABM$500,X$2,0),Техника!$F$4:$ABM$4,"Часы",INDEX(Техника!$G$1:$ABN$500,X$2,0),$A$949,INDEX(Техника!$H$1:$ABO$500,X$2,0),"Д")</f>
        <v>0</v>
      </c>
      <c r="Y951" s="50">
        <f>SUMIFS(INDEX(Техника!$F$1:$ABM$500,Y$2,0),Техника!$F$4:$ABM$4,"Часы",INDEX(Техника!$G$1:$ABN$500,Y$2,0),$A$949,INDEX(Техника!$H$1:$ABO$500,Y$2,0),"Д")</f>
        <v>0</v>
      </c>
      <c r="Z951" s="50">
        <f>SUMIFS(INDEX(Техника!$F$1:$ABM$500,Z$2,0),Техника!$F$4:$ABM$4,"Часы",INDEX(Техника!$G$1:$ABN$500,Z$2,0),$A$949,INDEX(Техника!$H$1:$ABO$500,Z$2,0),"Д")</f>
        <v>0</v>
      </c>
      <c r="AA951" s="50">
        <f>SUMIFS(INDEX(Техника!$F$1:$ABM$500,AA$2,0),Техника!$F$4:$ABM$4,"Часы",INDEX(Техника!$G$1:$ABN$500,AA$2,0),$A$949,INDEX(Техника!$H$1:$ABO$500,AA$2,0),"Д")</f>
        <v>0</v>
      </c>
      <c r="AB951" s="50">
        <f>SUMIFS(INDEX(Техника!$F$1:$ABM$500,AB$2,0),Техника!$F$4:$ABM$4,"Часы",INDEX(Техника!$G$1:$ABN$500,AB$2,0),$A$949,INDEX(Техника!$H$1:$ABO$500,AB$2,0),"Д")</f>
        <v>0</v>
      </c>
    </row>
    <row r="952" spans="1:28" hidden="1" outlineLevel="1" x14ac:dyDescent="0.3">
      <c r="A952" s="33" t="s">
        <v>276</v>
      </c>
      <c r="B952" s="34" t="s">
        <v>277</v>
      </c>
      <c r="C952" s="50">
        <f>SUMIFS(INDEX(Техника!$F$1:$ABM$500,C$2,0),Техника!$F$4:$ABM$4,"Часы",INDEX(Техника!$G$1:$ABN$500,C$2,0),$A$949,INDEX(Техника!$H$1:$ABO$500,C$2,0),"П")</f>
        <v>0</v>
      </c>
      <c r="D952" s="50">
        <f>SUMIFS(INDEX(Техника!$F$1:$ABM$500,D$2,0),Техника!$F$4:$ABM$4,"Часы",INDEX(Техника!$G$1:$ABN$500,D$2,0),$A$949,INDEX(Техника!$H$1:$ABO$500,D$2,0),"П")</f>
        <v>0</v>
      </c>
      <c r="E952" s="50">
        <f>SUMIFS(INDEX(Техника!$F$1:$ABM$500,E$2,0),Техника!$F$4:$ABM$4,"Часы",INDEX(Техника!$G$1:$ABN$500,E$2,0),$A$949,INDEX(Техника!$H$1:$ABO$500,E$2,0),"П")</f>
        <v>0</v>
      </c>
      <c r="F952" s="50">
        <f>SUMIFS(INDEX(Техника!$F$1:$ABM$500,F$2,0),Техника!$F$4:$ABM$4,"Часы",INDEX(Техника!$G$1:$ABN$500,F$2,0),$A$949,INDEX(Техника!$H$1:$ABO$500,F$2,0),"П")</f>
        <v>0</v>
      </c>
      <c r="G952" s="50">
        <f>SUMIFS(INDEX(Техника!$F$1:$ABM$500,G$2,0),Техника!$F$4:$ABM$4,"Часы",INDEX(Техника!$G$1:$ABN$500,G$2,0),$A$949,INDEX(Техника!$H$1:$ABO$500,G$2,0),"П")</f>
        <v>0</v>
      </c>
      <c r="H952" s="50">
        <f>SUMIFS(INDEX(Техника!$F$1:$ABM$500,H$2,0),Техника!$F$4:$ABM$4,"Часы",INDEX(Техника!$G$1:$ABN$500,H$2,0),$A$949,INDEX(Техника!$H$1:$ABO$500,H$2,0),"П")</f>
        <v>0</v>
      </c>
      <c r="I952" s="50">
        <f>SUMIFS(INDEX(Техника!$F$1:$ABM$500,I$2,0),Техника!$F$4:$ABM$4,"Часы",INDEX(Техника!$G$1:$ABN$500,I$2,0),$A$949,INDEX(Техника!$H$1:$ABO$500,I$2,0),"П")</f>
        <v>0</v>
      </c>
      <c r="J952" s="50">
        <f>SUMIFS(INDEX(Техника!$F$1:$ABM$500,J$2,0),Техника!$F$4:$ABM$4,"Часы",INDEX(Техника!$G$1:$ABN$500,J$2,0),$A$949,INDEX(Техника!$H$1:$ABO$500,J$2,0),"П")</f>
        <v>0</v>
      </c>
      <c r="K952" s="50">
        <f>SUMIFS(INDEX(Техника!$F$1:$ABM$500,K$2,0),Техника!$F$4:$ABM$4,"Часы",INDEX(Техника!$G$1:$ABN$500,K$2,0),$A$949,INDEX(Техника!$H$1:$ABO$500,K$2,0),"П")</f>
        <v>0</v>
      </c>
      <c r="L952" s="50">
        <f>SUMIFS(INDEX(Техника!$F$1:$ABM$500,L$2,0),Техника!$F$4:$ABM$4,"Часы",INDEX(Техника!$G$1:$ABN$500,L$2,0),$A$949,INDEX(Техника!$H$1:$ABO$500,L$2,0),"П")</f>
        <v>0</v>
      </c>
      <c r="M952" s="50">
        <f>SUMIFS(INDEX(Техника!$F$1:$ABM$500,M$2,0),Техника!$F$4:$ABM$4,"Часы",INDEX(Техника!$G$1:$ABN$500,M$2,0),$A$949,INDEX(Техника!$H$1:$ABO$500,M$2,0),"П")</f>
        <v>0</v>
      </c>
      <c r="N952" s="50">
        <f>SUMIFS(INDEX(Техника!$F$1:$ABM$500,N$2,0),Техника!$F$4:$ABM$4,"Часы",INDEX(Техника!$G$1:$ABN$500,N$2,0),$A$949,INDEX(Техника!$H$1:$ABO$500,N$2,0),"П")</f>
        <v>0</v>
      </c>
      <c r="O952" s="50">
        <f>SUMIFS(INDEX(Техника!$F$1:$ABM$500,O$2,0),Техника!$F$4:$ABM$4,"Часы",INDEX(Техника!$G$1:$ABN$500,O$2,0),$A$949,INDEX(Техника!$H$1:$ABO$500,O$2,0),"П")</f>
        <v>0</v>
      </c>
      <c r="P952" s="50">
        <f>SUMIFS(INDEX(Техника!$F$1:$ABM$500,P$2,0),Техника!$F$4:$ABM$4,"Часы",INDEX(Техника!$G$1:$ABN$500,P$2,0),$A$949,INDEX(Техника!$H$1:$ABO$500,P$2,0),"П")</f>
        <v>0</v>
      </c>
      <c r="Q952" s="50">
        <f>SUMIFS(INDEX(Техника!$F$1:$ABM$500,Q$2,0),Техника!$F$4:$ABM$4,"Часы",INDEX(Техника!$G$1:$ABN$500,Q$2,0),$A$949,INDEX(Техника!$H$1:$ABO$500,Q$2,0),"П")</f>
        <v>0</v>
      </c>
      <c r="R952" s="50">
        <f>SUMIFS(INDEX(Техника!$F$1:$ABM$500,R$2,0),Техника!$F$4:$ABM$4,"Часы",INDEX(Техника!$G$1:$ABN$500,R$2,0),$A$949,INDEX(Техника!$H$1:$ABO$500,R$2,0),"П")</f>
        <v>0</v>
      </c>
      <c r="S952" s="50">
        <f>SUMIFS(INDEX(Техника!$F$1:$ABM$500,S$2,0),Техника!$F$4:$ABM$4,"Часы",INDEX(Техника!$G$1:$ABN$500,S$2,0),$A$949,INDEX(Техника!$H$1:$ABO$500,S$2,0),"П")</f>
        <v>0</v>
      </c>
      <c r="T952" s="50">
        <f>SUMIFS(INDEX(Техника!$F$1:$ABM$500,T$2,0),Техника!$F$4:$ABM$4,"Часы",INDEX(Техника!$G$1:$ABN$500,T$2,0),$A$949,INDEX(Техника!$H$1:$ABO$500,T$2,0),"П")</f>
        <v>0</v>
      </c>
      <c r="U952" s="50">
        <f>SUMIFS(INDEX(Техника!$F$1:$ABM$500,U$2,0),Техника!$F$4:$ABM$4,"Часы",INDEX(Техника!$G$1:$ABN$500,U$2,0),$A$949,INDEX(Техника!$H$1:$ABO$500,U$2,0),"П")</f>
        <v>0</v>
      </c>
      <c r="V952" s="50">
        <f>SUMIFS(INDEX(Техника!$F$1:$ABM$500,V$2,0),Техника!$F$4:$ABM$4,"Часы",INDEX(Техника!$G$1:$ABN$500,V$2,0),$A$949,INDEX(Техника!$H$1:$ABO$500,V$2,0),"П")</f>
        <v>0</v>
      </c>
      <c r="W952" s="50">
        <f>SUMIFS(INDEX(Техника!$F$1:$ABM$500,W$2,0),Техника!$F$4:$ABM$4,"Часы",INDEX(Техника!$G$1:$ABN$500,W$2,0),$A$949,INDEX(Техника!$H$1:$ABO$500,W$2,0),"П")</f>
        <v>0</v>
      </c>
      <c r="X952" s="50">
        <f>SUMIFS(INDEX(Техника!$F$1:$ABM$500,X$2,0),Техника!$F$4:$ABM$4,"Часы",INDEX(Техника!$G$1:$ABN$500,X$2,0),$A$949,INDEX(Техника!$H$1:$ABO$500,X$2,0),"П")</f>
        <v>0</v>
      </c>
      <c r="Y952" s="50">
        <f>SUMIFS(INDEX(Техника!$F$1:$ABM$500,Y$2,0),Техника!$F$4:$ABM$4,"Часы",INDEX(Техника!$G$1:$ABN$500,Y$2,0),$A$949,INDEX(Техника!$H$1:$ABO$500,Y$2,0),"П")</f>
        <v>0</v>
      </c>
      <c r="Z952" s="50">
        <f>SUMIFS(INDEX(Техника!$F$1:$ABM$500,Z$2,0),Техника!$F$4:$ABM$4,"Часы",INDEX(Техника!$G$1:$ABN$500,Z$2,0),$A$949,INDEX(Техника!$H$1:$ABO$500,Z$2,0),"П")</f>
        <v>0</v>
      </c>
      <c r="AA952" s="50">
        <f>SUMIFS(INDEX(Техника!$F$1:$ABM$500,AA$2,0),Техника!$F$4:$ABM$4,"Часы",INDEX(Техника!$G$1:$ABN$500,AA$2,0),$A$949,INDEX(Техника!$H$1:$ABO$500,AA$2,0),"П")</f>
        <v>0</v>
      </c>
      <c r="AB952" s="50">
        <f>SUMIFS(INDEX(Техника!$F$1:$ABM$500,AB$2,0),Техника!$F$4:$ABM$4,"Часы",INDEX(Техника!$G$1:$ABN$500,AB$2,0),$A$949,INDEX(Техника!$H$1:$ABO$500,AB$2,0),"П")</f>
        <v>0</v>
      </c>
    </row>
    <row r="953" spans="1:28" hidden="1" outlineLevel="1" x14ac:dyDescent="0.3">
      <c r="A953" s="33" t="s">
        <v>243</v>
      </c>
      <c r="B953" s="34" t="s">
        <v>278</v>
      </c>
      <c r="C953" s="50">
        <f>SUMIFS(INDEX(Техника!$F$1:$ABM$500,C$2,0),Техника!$F$4:$ABM$4,"Часы",INDEX(Техника!$G$1:$ABN$500,C$2,0),$A$949,INDEX(Техника!$H$1:$ABO$500,C$2,0),"Л")</f>
        <v>0</v>
      </c>
      <c r="D953" s="50">
        <f>SUMIFS(INDEX(Техника!$F$1:$ABM$500,D$2,0),Техника!$F$4:$ABM$4,"Часы",INDEX(Техника!$G$1:$ABN$500,D$2,0),$A$949,INDEX(Техника!$H$1:$ABO$500,D$2,0),"Л")</f>
        <v>0</v>
      </c>
      <c r="E953" s="50">
        <f>SUMIFS(INDEX(Техника!$F$1:$ABM$500,E$2,0),Техника!$F$4:$ABM$4,"Часы",INDEX(Техника!$G$1:$ABN$500,E$2,0),$A$949,INDEX(Техника!$H$1:$ABO$500,E$2,0),"Л")</f>
        <v>0</v>
      </c>
      <c r="F953" s="50">
        <f>SUMIFS(INDEX(Техника!$F$1:$ABM$500,F$2,0),Техника!$F$4:$ABM$4,"Часы",INDEX(Техника!$G$1:$ABN$500,F$2,0),$A$949,INDEX(Техника!$H$1:$ABO$500,F$2,0),"Л")</f>
        <v>0</v>
      </c>
      <c r="G953" s="50">
        <f>SUMIFS(INDEX(Техника!$F$1:$ABM$500,G$2,0),Техника!$F$4:$ABM$4,"Часы",INDEX(Техника!$G$1:$ABN$500,G$2,0),$A$949,INDEX(Техника!$H$1:$ABO$500,G$2,0),"Л")</f>
        <v>0</v>
      </c>
      <c r="H953" s="50">
        <f>SUMIFS(INDEX(Техника!$F$1:$ABM$500,H$2,0),Техника!$F$4:$ABM$4,"Часы",INDEX(Техника!$G$1:$ABN$500,H$2,0),$A$949,INDEX(Техника!$H$1:$ABO$500,H$2,0),"Л")</f>
        <v>0</v>
      </c>
      <c r="I953" s="50">
        <f>SUMIFS(INDEX(Техника!$F$1:$ABM$500,I$2,0),Техника!$F$4:$ABM$4,"Часы",INDEX(Техника!$G$1:$ABN$500,I$2,0),$A$949,INDEX(Техника!$H$1:$ABO$500,I$2,0),"Л")</f>
        <v>0</v>
      </c>
      <c r="J953" s="50">
        <f>SUMIFS(INDEX(Техника!$F$1:$ABM$500,J$2,0),Техника!$F$4:$ABM$4,"Часы",INDEX(Техника!$G$1:$ABN$500,J$2,0),$A$949,INDEX(Техника!$H$1:$ABO$500,J$2,0),"Л")</f>
        <v>0</v>
      </c>
      <c r="K953" s="50">
        <f>SUMIFS(INDEX(Техника!$F$1:$ABM$500,K$2,0),Техника!$F$4:$ABM$4,"Часы",INDEX(Техника!$G$1:$ABN$500,K$2,0),$A$949,INDEX(Техника!$H$1:$ABO$500,K$2,0),"Л")</f>
        <v>0</v>
      </c>
      <c r="L953" s="50">
        <f>SUMIFS(INDEX(Техника!$F$1:$ABM$500,L$2,0),Техника!$F$4:$ABM$4,"Часы",INDEX(Техника!$G$1:$ABN$500,L$2,0),$A$949,INDEX(Техника!$H$1:$ABO$500,L$2,0),"Л")</f>
        <v>0</v>
      </c>
      <c r="M953" s="50">
        <f>SUMIFS(INDEX(Техника!$F$1:$ABM$500,M$2,0),Техника!$F$4:$ABM$4,"Часы",INDEX(Техника!$G$1:$ABN$500,M$2,0),$A$949,INDEX(Техника!$H$1:$ABO$500,M$2,0),"Л")</f>
        <v>0</v>
      </c>
      <c r="N953" s="50">
        <f>SUMIFS(INDEX(Техника!$F$1:$ABM$500,N$2,0),Техника!$F$4:$ABM$4,"Часы",INDEX(Техника!$G$1:$ABN$500,N$2,0),$A$949,INDEX(Техника!$H$1:$ABO$500,N$2,0),"Л")</f>
        <v>0</v>
      </c>
      <c r="O953" s="50">
        <f>SUMIFS(INDEX(Техника!$F$1:$ABM$500,O$2,0),Техника!$F$4:$ABM$4,"Часы",INDEX(Техника!$G$1:$ABN$500,O$2,0),$A$949,INDEX(Техника!$H$1:$ABO$500,O$2,0),"Л")</f>
        <v>0</v>
      </c>
      <c r="P953" s="50">
        <f>SUMIFS(INDEX(Техника!$F$1:$ABM$500,P$2,0),Техника!$F$4:$ABM$4,"Часы",INDEX(Техника!$G$1:$ABN$500,P$2,0),$A$949,INDEX(Техника!$H$1:$ABO$500,P$2,0),"Л")</f>
        <v>0</v>
      </c>
      <c r="Q953" s="50">
        <f>SUMIFS(INDEX(Техника!$F$1:$ABM$500,Q$2,0),Техника!$F$4:$ABM$4,"Часы",INDEX(Техника!$G$1:$ABN$500,Q$2,0),$A$949,INDEX(Техника!$H$1:$ABO$500,Q$2,0),"Л")</f>
        <v>0</v>
      </c>
      <c r="R953" s="50">
        <f>SUMIFS(INDEX(Техника!$F$1:$ABM$500,R$2,0),Техника!$F$4:$ABM$4,"Часы",INDEX(Техника!$G$1:$ABN$500,R$2,0),$A$949,INDEX(Техника!$H$1:$ABO$500,R$2,0),"Л")</f>
        <v>0</v>
      </c>
      <c r="S953" s="50">
        <f>SUMIFS(INDEX(Техника!$F$1:$ABM$500,S$2,0),Техника!$F$4:$ABM$4,"Часы",INDEX(Техника!$G$1:$ABN$500,S$2,0),$A$949,INDEX(Техника!$H$1:$ABO$500,S$2,0),"Л")</f>
        <v>0</v>
      </c>
      <c r="T953" s="50">
        <f>SUMIFS(INDEX(Техника!$F$1:$ABM$500,T$2,0),Техника!$F$4:$ABM$4,"Часы",INDEX(Техника!$G$1:$ABN$500,T$2,0),$A$949,INDEX(Техника!$H$1:$ABO$500,T$2,0),"Л")</f>
        <v>0</v>
      </c>
      <c r="U953" s="50">
        <f>SUMIFS(INDEX(Техника!$F$1:$ABM$500,U$2,0),Техника!$F$4:$ABM$4,"Часы",INDEX(Техника!$G$1:$ABN$500,U$2,0),$A$949,INDEX(Техника!$H$1:$ABO$500,U$2,0),"Л")</f>
        <v>0</v>
      </c>
      <c r="V953" s="50">
        <f>SUMIFS(INDEX(Техника!$F$1:$ABM$500,V$2,0),Техника!$F$4:$ABM$4,"Часы",INDEX(Техника!$G$1:$ABN$500,V$2,0),$A$949,INDEX(Техника!$H$1:$ABO$500,V$2,0),"Л")</f>
        <v>0</v>
      </c>
      <c r="W953" s="50">
        <f>SUMIFS(INDEX(Техника!$F$1:$ABM$500,W$2,0),Техника!$F$4:$ABM$4,"Часы",INDEX(Техника!$G$1:$ABN$500,W$2,0),$A$949,INDEX(Техника!$H$1:$ABO$500,W$2,0),"Л")</f>
        <v>0</v>
      </c>
      <c r="X953" s="50">
        <f>SUMIFS(INDEX(Техника!$F$1:$ABM$500,X$2,0),Техника!$F$4:$ABM$4,"Часы",INDEX(Техника!$G$1:$ABN$500,X$2,0),$A$949,INDEX(Техника!$H$1:$ABO$500,X$2,0),"Л")</f>
        <v>0</v>
      </c>
      <c r="Y953" s="50">
        <f>SUMIFS(INDEX(Техника!$F$1:$ABM$500,Y$2,0),Техника!$F$4:$ABM$4,"Часы",INDEX(Техника!$G$1:$ABN$500,Y$2,0),$A$949,INDEX(Техника!$H$1:$ABO$500,Y$2,0),"Л")</f>
        <v>0</v>
      </c>
      <c r="Z953" s="50">
        <f>SUMIFS(INDEX(Техника!$F$1:$ABM$500,Z$2,0),Техника!$F$4:$ABM$4,"Часы",INDEX(Техника!$G$1:$ABN$500,Z$2,0),$A$949,INDEX(Техника!$H$1:$ABO$500,Z$2,0),"Л")</f>
        <v>0</v>
      </c>
      <c r="AA953" s="50">
        <f>SUMIFS(INDEX(Техника!$F$1:$ABM$500,AA$2,0),Техника!$F$4:$ABM$4,"Часы",INDEX(Техника!$G$1:$ABN$500,AA$2,0),$A$949,INDEX(Техника!$H$1:$ABO$500,AA$2,0),"Л")</f>
        <v>0</v>
      </c>
      <c r="AB953" s="50">
        <f>SUMIFS(INDEX(Техника!$F$1:$ABM$500,AB$2,0),Техника!$F$4:$ABM$4,"Часы",INDEX(Техника!$G$1:$ABN$500,AB$2,0),$A$949,INDEX(Техника!$H$1:$ABO$500,AB$2,0),"Л")</f>
        <v>0</v>
      </c>
    </row>
    <row r="954" spans="1:28" hidden="1" outlineLevel="1" x14ac:dyDescent="0.3">
      <c r="A954" s="33" t="s">
        <v>245</v>
      </c>
      <c r="B954" s="34" t="s">
        <v>279</v>
      </c>
      <c r="C954" s="50">
        <f>SUMIFS(INDEX(Техника!$F$1:$ABM$500,C$2,0),Техника!$F$4:$ABM$4,"Часы",INDEX(Техника!$G$1:$ABN$500,C$2,0),$A$949,INDEX(Техника!$H$1:$ABO$500,C$2,0),"З")</f>
        <v>0</v>
      </c>
      <c r="D954" s="50">
        <f>SUMIFS(INDEX(Техника!$F$1:$ABM$500,D$2,0),Техника!$F$4:$ABM$4,"Часы",INDEX(Техника!$G$1:$ABN$500,D$2,0),$A$949,INDEX(Техника!$H$1:$ABO$500,D$2,0),"З")</f>
        <v>0</v>
      </c>
      <c r="E954" s="50">
        <f>SUMIFS(INDEX(Техника!$F$1:$ABM$500,E$2,0),Техника!$F$4:$ABM$4,"Часы",INDEX(Техника!$G$1:$ABN$500,E$2,0),$A$949,INDEX(Техника!$H$1:$ABO$500,E$2,0),"З")</f>
        <v>0</v>
      </c>
      <c r="F954" s="50">
        <f>SUMIFS(INDEX(Техника!$F$1:$ABM$500,F$2,0),Техника!$F$4:$ABM$4,"Часы",INDEX(Техника!$G$1:$ABN$500,F$2,0),$A$949,INDEX(Техника!$H$1:$ABO$500,F$2,0),"З")</f>
        <v>0</v>
      </c>
      <c r="G954" s="50">
        <f>SUMIFS(INDEX(Техника!$F$1:$ABM$500,G$2,0),Техника!$F$4:$ABM$4,"Часы",INDEX(Техника!$G$1:$ABN$500,G$2,0),$A$949,INDEX(Техника!$H$1:$ABO$500,G$2,0),"З")</f>
        <v>0</v>
      </c>
      <c r="H954" s="50">
        <f>SUMIFS(INDEX(Техника!$F$1:$ABM$500,H$2,0),Техника!$F$4:$ABM$4,"Часы",INDEX(Техника!$G$1:$ABN$500,H$2,0),$A$949,INDEX(Техника!$H$1:$ABO$500,H$2,0),"З")</f>
        <v>0</v>
      </c>
      <c r="I954" s="50">
        <f>SUMIFS(INDEX(Техника!$F$1:$ABM$500,I$2,0),Техника!$F$4:$ABM$4,"Часы",INDEX(Техника!$G$1:$ABN$500,I$2,0),$A$949,INDEX(Техника!$H$1:$ABO$500,I$2,0),"З")</f>
        <v>0</v>
      </c>
      <c r="J954" s="50">
        <f>SUMIFS(INDEX(Техника!$F$1:$ABM$500,J$2,0),Техника!$F$4:$ABM$4,"Часы",INDEX(Техника!$G$1:$ABN$500,J$2,0),$A$949,INDEX(Техника!$H$1:$ABO$500,J$2,0),"З")</f>
        <v>0</v>
      </c>
      <c r="K954" s="50">
        <f>SUMIFS(INDEX(Техника!$F$1:$ABM$500,K$2,0),Техника!$F$4:$ABM$4,"Часы",INDEX(Техника!$G$1:$ABN$500,K$2,0),$A$949,INDEX(Техника!$H$1:$ABO$500,K$2,0),"З")</f>
        <v>0</v>
      </c>
      <c r="L954" s="50">
        <f>SUMIFS(INDEX(Техника!$F$1:$ABM$500,L$2,0),Техника!$F$4:$ABM$4,"Часы",INDEX(Техника!$G$1:$ABN$500,L$2,0),$A$949,INDEX(Техника!$H$1:$ABO$500,L$2,0),"З")</f>
        <v>0</v>
      </c>
      <c r="M954" s="50">
        <f>SUMIFS(INDEX(Техника!$F$1:$ABM$500,M$2,0),Техника!$F$4:$ABM$4,"Часы",INDEX(Техника!$G$1:$ABN$500,M$2,0),$A$949,INDEX(Техника!$H$1:$ABO$500,M$2,0),"З")</f>
        <v>0</v>
      </c>
      <c r="N954" s="50">
        <f>SUMIFS(INDEX(Техника!$F$1:$ABM$500,N$2,0),Техника!$F$4:$ABM$4,"Часы",INDEX(Техника!$G$1:$ABN$500,N$2,0),$A$949,INDEX(Техника!$H$1:$ABO$500,N$2,0),"З")</f>
        <v>0</v>
      </c>
      <c r="O954" s="50">
        <f>SUMIFS(INDEX(Техника!$F$1:$ABM$500,O$2,0),Техника!$F$4:$ABM$4,"Часы",INDEX(Техника!$G$1:$ABN$500,O$2,0),$A$949,INDEX(Техника!$H$1:$ABO$500,O$2,0),"З")</f>
        <v>0</v>
      </c>
      <c r="P954" s="50">
        <f>SUMIFS(INDEX(Техника!$F$1:$ABM$500,P$2,0),Техника!$F$4:$ABM$4,"Часы",INDEX(Техника!$G$1:$ABN$500,P$2,0),$A$949,INDEX(Техника!$H$1:$ABO$500,P$2,0),"З")</f>
        <v>0</v>
      </c>
      <c r="Q954" s="50">
        <f>SUMIFS(INDEX(Техника!$F$1:$ABM$500,Q$2,0),Техника!$F$4:$ABM$4,"Часы",INDEX(Техника!$G$1:$ABN$500,Q$2,0),$A$949,INDEX(Техника!$H$1:$ABO$500,Q$2,0),"З")</f>
        <v>0</v>
      </c>
      <c r="R954" s="50">
        <f>SUMIFS(INDEX(Техника!$F$1:$ABM$500,R$2,0),Техника!$F$4:$ABM$4,"Часы",INDEX(Техника!$G$1:$ABN$500,R$2,0),$A$949,INDEX(Техника!$H$1:$ABO$500,R$2,0),"З")</f>
        <v>0</v>
      </c>
      <c r="S954" s="50">
        <f>SUMIFS(INDEX(Техника!$F$1:$ABM$500,S$2,0),Техника!$F$4:$ABM$4,"Часы",INDEX(Техника!$G$1:$ABN$500,S$2,0),$A$949,INDEX(Техника!$H$1:$ABO$500,S$2,0),"З")</f>
        <v>0</v>
      </c>
      <c r="T954" s="50">
        <f>SUMIFS(INDEX(Техника!$F$1:$ABM$500,T$2,0),Техника!$F$4:$ABM$4,"Часы",INDEX(Техника!$G$1:$ABN$500,T$2,0),$A$949,INDEX(Техника!$H$1:$ABO$500,T$2,0),"З")</f>
        <v>0</v>
      </c>
      <c r="U954" s="50">
        <f>SUMIFS(INDEX(Техника!$F$1:$ABM$500,U$2,0),Техника!$F$4:$ABM$4,"Часы",INDEX(Техника!$G$1:$ABN$500,U$2,0),$A$949,INDEX(Техника!$H$1:$ABO$500,U$2,0),"З")</f>
        <v>0</v>
      </c>
      <c r="V954" s="50">
        <f>SUMIFS(INDEX(Техника!$F$1:$ABM$500,V$2,0),Техника!$F$4:$ABM$4,"Часы",INDEX(Техника!$G$1:$ABN$500,V$2,0),$A$949,INDEX(Техника!$H$1:$ABO$500,V$2,0),"З")</f>
        <v>0</v>
      </c>
      <c r="W954" s="50">
        <f>SUMIFS(INDEX(Техника!$F$1:$ABM$500,W$2,0),Техника!$F$4:$ABM$4,"Часы",INDEX(Техника!$G$1:$ABN$500,W$2,0),$A$949,INDEX(Техника!$H$1:$ABO$500,W$2,0),"З")</f>
        <v>0</v>
      </c>
      <c r="X954" s="50">
        <f>SUMIFS(INDEX(Техника!$F$1:$ABM$500,X$2,0),Техника!$F$4:$ABM$4,"Часы",INDEX(Техника!$G$1:$ABN$500,X$2,0),$A$949,INDEX(Техника!$H$1:$ABO$500,X$2,0),"З")</f>
        <v>0</v>
      </c>
      <c r="Y954" s="50">
        <f>SUMIFS(INDEX(Техника!$F$1:$ABM$500,Y$2,0),Техника!$F$4:$ABM$4,"Часы",INDEX(Техника!$G$1:$ABN$500,Y$2,0),$A$949,INDEX(Техника!$H$1:$ABO$500,Y$2,0),"З")</f>
        <v>0</v>
      </c>
      <c r="Z954" s="50">
        <f>SUMIFS(INDEX(Техника!$F$1:$ABM$500,Z$2,0),Техника!$F$4:$ABM$4,"Часы",INDEX(Техника!$G$1:$ABN$500,Z$2,0),$A$949,INDEX(Техника!$H$1:$ABO$500,Z$2,0),"З")</f>
        <v>0</v>
      </c>
      <c r="AA954" s="50">
        <f>SUMIFS(INDEX(Техника!$F$1:$ABM$500,AA$2,0),Техника!$F$4:$ABM$4,"Часы",INDEX(Техника!$G$1:$ABN$500,AA$2,0),$A$949,INDEX(Техника!$H$1:$ABO$500,AA$2,0),"З")</f>
        <v>0</v>
      </c>
      <c r="AB954" s="50">
        <f>SUMIFS(INDEX(Техника!$F$1:$ABM$500,AB$2,0),Техника!$F$4:$ABM$4,"Часы",INDEX(Техника!$G$1:$ABN$500,AB$2,0),$A$949,INDEX(Техника!$H$1:$ABO$500,AB$2,0),"З")</f>
        <v>0</v>
      </c>
    </row>
    <row r="955" spans="1:28" ht="7.95" customHeight="1" x14ac:dyDescent="0.3">
      <c r="A955" s="38"/>
      <c r="B955" s="39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</row>
    <row r="956" spans="1:28" ht="25.05" customHeight="1" collapsed="1" x14ac:dyDescent="0.3">
      <c r="A956" s="32">
        <v>137</v>
      </c>
      <c r="B956" s="32" t="s">
        <v>138</v>
      </c>
      <c r="C956" s="49">
        <f>SUM(C957:C961)</f>
        <v>0</v>
      </c>
      <c r="D956" s="49">
        <f>SUM(D957:D961)</f>
        <v>0</v>
      </c>
      <c r="E956" s="49">
        <f>SUM(E957:E961)</f>
        <v>0</v>
      </c>
      <c r="F956" s="49">
        <f>SUM(F957:F961)</f>
        <v>0</v>
      </c>
      <c r="G956" s="49">
        <f>SUM(G957:G961)</f>
        <v>0</v>
      </c>
      <c r="H956" s="49">
        <f>SUM(H957:H961)</f>
        <v>0</v>
      </c>
      <c r="I956" s="49">
        <f>SUM(I957:I961)</f>
        <v>0</v>
      </c>
      <c r="J956" s="49">
        <f>SUM(J957:J961)</f>
        <v>0</v>
      </c>
      <c r="K956" s="49">
        <f>SUM(K957:K961)</f>
        <v>0</v>
      </c>
      <c r="L956" s="49">
        <f>SUM(L957:L961)</f>
        <v>0</v>
      </c>
      <c r="M956" s="49">
        <f>SUM(M957:M961)</f>
        <v>0</v>
      </c>
      <c r="N956" s="49">
        <f>SUM(N957:N961)</f>
        <v>0</v>
      </c>
      <c r="O956" s="49">
        <f>SUM(O957:O961)</f>
        <v>0</v>
      </c>
      <c r="P956" s="49">
        <f>SUM(P957:P961)</f>
        <v>0</v>
      </c>
      <c r="Q956" s="49">
        <f>SUM(Q957:Q961)</f>
        <v>0</v>
      </c>
      <c r="R956" s="49">
        <f>SUM(R957:R961)</f>
        <v>0</v>
      </c>
      <c r="S956" s="49">
        <f>SUM(S957:S961)</f>
        <v>0</v>
      </c>
      <c r="T956" s="49">
        <f>SUM(T957:T961)</f>
        <v>0</v>
      </c>
      <c r="U956" s="49">
        <f>SUM(U957:U961)</f>
        <v>0</v>
      </c>
      <c r="V956" s="49">
        <f>SUM(V957:V961)</f>
        <v>0</v>
      </c>
      <c r="W956" s="49">
        <f>SUM(W957:W961)</f>
        <v>0</v>
      </c>
      <c r="X956" s="49">
        <f>SUM(X957:X961)</f>
        <v>0</v>
      </c>
      <c r="Y956" s="49">
        <f>SUM(Y957:Y961)</f>
        <v>0</v>
      </c>
      <c r="Z956" s="49">
        <f>SUM(Z957:Z961)</f>
        <v>0</v>
      </c>
      <c r="AA956" s="49">
        <f>SUM(AA957:AA961)</f>
        <v>0</v>
      </c>
      <c r="AB956" s="49">
        <f>SUM(AB957:AB961)</f>
        <v>0</v>
      </c>
    </row>
    <row r="957" spans="1:28" hidden="1" outlineLevel="1" x14ac:dyDescent="0.3">
      <c r="A957" s="33" t="s">
        <v>246</v>
      </c>
      <c r="B957" s="34" t="s">
        <v>274</v>
      </c>
      <c r="C957" s="50">
        <f>SUMIFS(INDEX(Техника!$F$1:$ABM$500,C$2,0),Техника!$F$4:$ABM$4,"Часы",INDEX(Техника!$G$1:$ABN$500,C$2,0),$A$956,INDEX(Техника!$H$1:$ABO$500,C$2,0),"М")</f>
        <v>0</v>
      </c>
      <c r="D957" s="50">
        <f>SUMIFS(INDEX(Техника!$F$1:$ABM$500,D$2,0),Техника!$F$4:$ABM$4,"Часы",INDEX(Техника!$G$1:$ABN$500,D$2,0),$A$956,INDEX(Техника!$H$1:$ABO$500,D$2,0),"М")</f>
        <v>0</v>
      </c>
      <c r="E957" s="50">
        <f>SUMIFS(INDEX(Техника!$F$1:$ABM$500,E$2,0),Техника!$F$4:$ABM$4,"Часы",INDEX(Техника!$G$1:$ABN$500,E$2,0),$A$956,INDEX(Техника!$H$1:$ABO$500,E$2,0),"М")</f>
        <v>0</v>
      </c>
      <c r="F957" s="50">
        <f>SUMIFS(INDEX(Техника!$F$1:$ABM$500,F$2,0),Техника!$F$4:$ABM$4,"Часы",INDEX(Техника!$G$1:$ABN$500,F$2,0),$A$956,INDEX(Техника!$H$1:$ABO$500,F$2,0),"М")</f>
        <v>0</v>
      </c>
      <c r="G957" s="50">
        <f>SUMIFS(INDEX(Техника!$F$1:$ABM$500,G$2,0),Техника!$F$4:$ABM$4,"Часы",INDEX(Техника!$G$1:$ABN$500,G$2,0),$A$956,INDEX(Техника!$H$1:$ABO$500,G$2,0),"М")</f>
        <v>0</v>
      </c>
      <c r="H957" s="50">
        <f>SUMIFS(INDEX(Техника!$F$1:$ABM$500,H$2,0),Техника!$F$4:$ABM$4,"Часы",INDEX(Техника!$G$1:$ABN$500,H$2,0),$A$956,INDEX(Техника!$H$1:$ABO$500,H$2,0),"М")</f>
        <v>0</v>
      </c>
      <c r="I957" s="50">
        <f>SUMIFS(INDEX(Техника!$F$1:$ABM$500,I$2,0),Техника!$F$4:$ABM$4,"Часы",INDEX(Техника!$G$1:$ABN$500,I$2,0),$A$956,INDEX(Техника!$H$1:$ABO$500,I$2,0),"М")</f>
        <v>0</v>
      </c>
      <c r="J957" s="50">
        <f>SUMIFS(INDEX(Техника!$F$1:$ABM$500,J$2,0),Техника!$F$4:$ABM$4,"Часы",INDEX(Техника!$G$1:$ABN$500,J$2,0),$A$956,INDEX(Техника!$H$1:$ABO$500,J$2,0),"М")</f>
        <v>0</v>
      </c>
      <c r="K957" s="50">
        <f>SUMIFS(INDEX(Техника!$F$1:$ABM$500,K$2,0),Техника!$F$4:$ABM$4,"Часы",INDEX(Техника!$G$1:$ABN$500,K$2,0),$A$956,INDEX(Техника!$H$1:$ABO$500,K$2,0),"М")</f>
        <v>0</v>
      </c>
      <c r="L957" s="50">
        <f>SUMIFS(INDEX(Техника!$F$1:$ABM$500,L$2,0),Техника!$F$4:$ABM$4,"Часы",INDEX(Техника!$G$1:$ABN$500,L$2,0),$A$956,INDEX(Техника!$H$1:$ABO$500,L$2,0),"М")</f>
        <v>0</v>
      </c>
      <c r="M957" s="50">
        <f>SUMIFS(INDEX(Техника!$F$1:$ABM$500,M$2,0),Техника!$F$4:$ABM$4,"Часы",INDEX(Техника!$G$1:$ABN$500,M$2,0),$A$956,INDEX(Техника!$H$1:$ABO$500,M$2,0),"М")</f>
        <v>0</v>
      </c>
      <c r="N957" s="50">
        <f>SUMIFS(INDEX(Техника!$F$1:$ABM$500,N$2,0),Техника!$F$4:$ABM$4,"Часы",INDEX(Техника!$G$1:$ABN$500,N$2,0),$A$956,INDEX(Техника!$H$1:$ABO$500,N$2,0),"М")</f>
        <v>0</v>
      </c>
      <c r="O957" s="50">
        <f>SUMIFS(INDEX(Техника!$F$1:$ABM$500,O$2,0),Техника!$F$4:$ABM$4,"Часы",INDEX(Техника!$G$1:$ABN$500,O$2,0),$A$956,INDEX(Техника!$H$1:$ABO$500,O$2,0),"М")</f>
        <v>0</v>
      </c>
      <c r="P957" s="50">
        <f>SUMIFS(INDEX(Техника!$F$1:$ABM$500,P$2,0),Техника!$F$4:$ABM$4,"Часы",INDEX(Техника!$G$1:$ABN$500,P$2,0),$A$956,INDEX(Техника!$H$1:$ABO$500,P$2,0),"М")</f>
        <v>0</v>
      </c>
      <c r="Q957" s="50">
        <f>SUMIFS(INDEX(Техника!$F$1:$ABM$500,Q$2,0),Техника!$F$4:$ABM$4,"Часы",INDEX(Техника!$G$1:$ABN$500,Q$2,0),$A$956,INDEX(Техника!$H$1:$ABO$500,Q$2,0),"М")</f>
        <v>0</v>
      </c>
      <c r="R957" s="50">
        <f>SUMIFS(INDEX(Техника!$F$1:$ABM$500,R$2,0),Техника!$F$4:$ABM$4,"Часы",INDEX(Техника!$G$1:$ABN$500,R$2,0),$A$956,INDEX(Техника!$H$1:$ABO$500,R$2,0),"М")</f>
        <v>0</v>
      </c>
      <c r="S957" s="50">
        <f>SUMIFS(INDEX(Техника!$F$1:$ABM$500,S$2,0),Техника!$F$4:$ABM$4,"Часы",INDEX(Техника!$G$1:$ABN$500,S$2,0),$A$956,INDEX(Техника!$H$1:$ABO$500,S$2,0),"М")</f>
        <v>0</v>
      </c>
      <c r="T957" s="50">
        <f>SUMIFS(INDEX(Техника!$F$1:$ABM$500,T$2,0),Техника!$F$4:$ABM$4,"Часы",INDEX(Техника!$G$1:$ABN$500,T$2,0),$A$956,INDEX(Техника!$H$1:$ABO$500,T$2,0),"М")</f>
        <v>0</v>
      </c>
      <c r="U957" s="50">
        <f>SUMIFS(INDEX(Техника!$F$1:$ABM$500,U$2,0),Техника!$F$4:$ABM$4,"Часы",INDEX(Техника!$G$1:$ABN$500,U$2,0),$A$956,INDEX(Техника!$H$1:$ABO$500,U$2,0),"М")</f>
        <v>0</v>
      </c>
      <c r="V957" s="50">
        <f>SUMIFS(INDEX(Техника!$F$1:$ABM$500,V$2,0),Техника!$F$4:$ABM$4,"Часы",INDEX(Техника!$G$1:$ABN$500,V$2,0),$A$956,INDEX(Техника!$H$1:$ABO$500,V$2,0),"М")</f>
        <v>0</v>
      </c>
      <c r="W957" s="50">
        <f>SUMIFS(INDEX(Техника!$F$1:$ABM$500,W$2,0),Техника!$F$4:$ABM$4,"Часы",INDEX(Техника!$G$1:$ABN$500,W$2,0),$A$956,INDEX(Техника!$H$1:$ABO$500,W$2,0),"М")</f>
        <v>0</v>
      </c>
      <c r="X957" s="50">
        <f>SUMIFS(INDEX(Техника!$F$1:$ABM$500,X$2,0),Техника!$F$4:$ABM$4,"Часы",INDEX(Техника!$G$1:$ABN$500,X$2,0),$A$956,INDEX(Техника!$H$1:$ABO$500,X$2,0),"М")</f>
        <v>0</v>
      </c>
      <c r="Y957" s="50">
        <f>SUMIFS(INDEX(Техника!$F$1:$ABM$500,Y$2,0),Техника!$F$4:$ABM$4,"Часы",INDEX(Техника!$G$1:$ABN$500,Y$2,0),$A$956,INDEX(Техника!$H$1:$ABO$500,Y$2,0),"М")</f>
        <v>0</v>
      </c>
      <c r="Z957" s="50">
        <f>SUMIFS(INDEX(Техника!$F$1:$ABM$500,Z$2,0),Техника!$F$4:$ABM$4,"Часы",INDEX(Техника!$G$1:$ABN$500,Z$2,0),$A$956,INDEX(Техника!$H$1:$ABO$500,Z$2,0),"М")</f>
        <v>0</v>
      </c>
      <c r="AA957" s="50">
        <f>SUMIFS(INDEX(Техника!$F$1:$ABM$500,AA$2,0),Техника!$F$4:$ABM$4,"Часы",INDEX(Техника!$G$1:$ABN$500,AA$2,0),$A$956,INDEX(Техника!$H$1:$ABO$500,AA$2,0),"М")</f>
        <v>0</v>
      </c>
      <c r="AB957" s="50">
        <f>SUMIFS(INDEX(Техника!$F$1:$ABM$500,AB$2,0),Техника!$F$4:$ABM$4,"Часы",INDEX(Техника!$G$1:$ABN$500,AB$2,0),$A$956,INDEX(Техника!$H$1:$ABO$500,AB$2,0),"М")</f>
        <v>0</v>
      </c>
    </row>
    <row r="958" spans="1:28" hidden="1" outlineLevel="1" x14ac:dyDescent="0.3">
      <c r="A958" s="33" t="s">
        <v>244</v>
      </c>
      <c r="B958" s="34" t="s">
        <v>275</v>
      </c>
      <c r="C958" s="50">
        <f>SUMIFS(INDEX(Техника!$F$1:$ABM$500,C$2,0),Техника!$F$4:$ABM$4,"Часы",INDEX(Техника!$G$1:$ABN$500,C$2,0),$A$956,INDEX(Техника!$H$1:$ABO$500,C$2,0),"Д")</f>
        <v>0</v>
      </c>
      <c r="D958" s="50">
        <f>SUMIFS(INDEX(Техника!$F$1:$ABM$500,D$2,0),Техника!$F$4:$ABM$4,"Часы",INDEX(Техника!$G$1:$ABN$500,D$2,0),$A$956,INDEX(Техника!$H$1:$ABO$500,D$2,0),"Д")</f>
        <v>0</v>
      </c>
      <c r="E958" s="50">
        <f>SUMIFS(INDEX(Техника!$F$1:$ABM$500,E$2,0),Техника!$F$4:$ABM$4,"Часы",INDEX(Техника!$G$1:$ABN$500,E$2,0),$A$956,INDEX(Техника!$H$1:$ABO$500,E$2,0),"Д")</f>
        <v>0</v>
      </c>
      <c r="F958" s="50">
        <f>SUMIFS(INDEX(Техника!$F$1:$ABM$500,F$2,0),Техника!$F$4:$ABM$4,"Часы",INDEX(Техника!$G$1:$ABN$500,F$2,0),$A$956,INDEX(Техника!$H$1:$ABO$500,F$2,0),"Д")</f>
        <v>0</v>
      </c>
      <c r="G958" s="50">
        <f>SUMIFS(INDEX(Техника!$F$1:$ABM$500,G$2,0),Техника!$F$4:$ABM$4,"Часы",INDEX(Техника!$G$1:$ABN$500,G$2,0),$A$956,INDEX(Техника!$H$1:$ABO$500,G$2,0),"Д")</f>
        <v>0</v>
      </c>
      <c r="H958" s="50">
        <f>SUMIFS(INDEX(Техника!$F$1:$ABM$500,H$2,0),Техника!$F$4:$ABM$4,"Часы",INDEX(Техника!$G$1:$ABN$500,H$2,0),$A$956,INDEX(Техника!$H$1:$ABO$500,H$2,0),"Д")</f>
        <v>0</v>
      </c>
      <c r="I958" s="50">
        <f>SUMIFS(INDEX(Техника!$F$1:$ABM$500,I$2,0),Техника!$F$4:$ABM$4,"Часы",INDEX(Техника!$G$1:$ABN$500,I$2,0),$A$956,INDEX(Техника!$H$1:$ABO$500,I$2,0),"Д")</f>
        <v>0</v>
      </c>
      <c r="J958" s="50">
        <f>SUMIFS(INDEX(Техника!$F$1:$ABM$500,J$2,0),Техника!$F$4:$ABM$4,"Часы",INDEX(Техника!$G$1:$ABN$500,J$2,0),$A$956,INDEX(Техника!$H$1:$ABO$500,J$2,0),"Д")</f>
        <v>0</v>
      </c>
      <c r="K958" s="50">
        <f>SUMIFS(INDEX(Техника!$F$1:$ABM$500,K$2,0),Техника!$F$4:$ABM$4,"Часы",INDEX(Техника!$G$1:$ABN$500,K$2,0),$A$956,INDEX(Техника!$H$1:$ABO$500,K$2,0),"Д")</f>
        <v>0</v>
      </c>
      <c r="L958" s="50">
        <f>SUMIFS(INDEX(Техника!$F$1:$ABM$500,L$2,0),Техника!$F$4:$ABM$4,"Часы",INDEX(Техника!$G$1:$ABN$500,L$2,0),$A$956,INDEX(Техника!$H$1:$ABO$500,L$2,0),"Д")</f>
        <v>0</v>
      </c>
      <c r="M958" s="50">
        <f>SUMIFS(INDEX(Техника!$F$1:$ABM$500,M$2,0),Техника!$F$4:$ABM$4,"Часы",INDEX(Техника!$G$1:$ABN$500,M$2,0),$A$956,INDEX(Техника!$H$1:$ABO$500,M$2,0),"Д")</f>
        <v>0</v>
      </c>
      <c r="N958" s="50">
        <f>SUMIFS(INDEX(Техника!$F$1:$ABM$500,N$2,0),Техника!$F$4:$ABM$4,"Часы",INDEX(Техника!$G$1:$ABN$500,N$2,0),$A$956,INDEX(Техника!$H$1:$ABO$500,N$2,0),"Д")</f>
        <v>0</v>
      </c>
      <c r="O958" s="50">
        <f>SUMIFS(INDEX(Техника!$F$1:$ABM$500,O$2,0),Техника!$F$4:$ABM$4,"Часы",INDEX(Техника!$G$1:$ABN$500,O$2,0),$A$956,INDEX(Техника!$H$1:$ABO$500,O$2,0),"Д")</f>
        <v>0</v>
      </c>
      <c r="P958" s="50">
        <f>SUMIFS(INDEX(Техника!$F$1:$ABM$500,P$2,0),Техника!$F$4:$ABM$4,"Часы",INDEX(Техника!$G$1:$ABN$500,P$2,0),$A$956,INDEX(Техника!$H$1:$ABO$500,P$2,0),"Д")</f>
        <v>0</v>
      </c>
      <c r="Q958" s="50">
        <f>SUMIFS(INDEX(Техника!$F$1:$ABM$500,Q$2,0),Техника!$F$4:$ABM$4,"Часы",INDEX(Техника!$G$1:$ABN$500,Q$2,0),$A$956,INDEX(Техника!$H$1:$ABO$500,Q$2,0),"Д")</f>
        <v>0</v>
      </c>
      <c r="R958" s="50">
        <f>SUMIFS(INDEX(Техника!$F$1:$ABM$500,R$2,0),Техника!$F$4:$ABM$4,"Часы",INDEX(Техника!$G$1:$ABN$500,R$2,0),$A$956,INDEX(Техника!$H$1:$ABO$500,R$2,0),"Д")</f>
        <v>0</v>
      </c>
      <c r="S958" s="50">
        <f>SUMIFS(INDEX(Техника!$F$1:$ABM$500,S$2,0),Техника!$F$4:$ABM$4,"Часы",INDEX(Техника!$G$1:$ABN$500,S$2,0),$A$956,INDEX(Техника!$H$1:$ABO$500,S$2,0),"Д")</f>
        <v>0</v>
      </c>
      <c r="T958" s="50">
        <f>SUMIFS(INDEX(Техника!$F$1:$ABM$500,T$2,0),Техника!$F$4:$ABM$4,"Часы",INDEX(Техника!$G$1:$ABN$500,T$2,0),$A$956,INDEX(Техника!$H$1:$ABO$500,T$2,0),"Д")</f>
        <v>0</v>
      </c>
      <c r="U958" s="50">
        <f>SUMIFS(INDEX(Техника!$F$1:$ABM$500,U$2,0),Техника!$F$4:$ABM$4,"Часы",INDEX(Техника!$G$1:$ABN$500,U$2,0),$A$956,INDEX(Техника!$H$1:$ABO$500,U$2,0),"Д")</f>
        <v>0</v>
      </c>
      <c r="V958" s="50">
        <f>SUMIFS(INDEX(Техника!$F$1:$ABM$500,V$2,0),Техника!$F$4:$ABM$4,"Часы",INDEX(Техника!$G$1:$ABN$500,V$2,0),$A$956,INDEX(Техника!$H$1:$ABO$500,V$2,0),"Д")</f>
        <v>0</v>
      </c>
      <c r="W958" s="50">
        <f>SUMIFS(INDEX(Техника!$F$1:$ABM$500,W$2,0),Техника!$F$4:$ABM$4,"Часы",INDEX(Техника!$G$1:$ABN$500,W$2,0),$A$956,INDEX(Техника!$H$1:$ABO$500,W$2,0),"Д")</f>
        <v>0</v>
      </c>
      <c r="X958" s="50">
        <f>SUMIFS(INDEX(Техника!$F$1:$ABM$500,X$2,0),Техника!$F$4:$ABM$4,"Часы",INDEX(Техника!$G$1:$ABN$500,X$2,0),$A$956,INDEX(Техника!$H$1:$ABO$500,X$2,0),"Д")</f>
        <v>0</v>
      </c>
      <c r="Y958" s="50">
        <f>SUMIFS(INDEX(Техника!$F$1:$ABM$500,Y$2,0),Техника!$F$4:$ABM$4,"Часы",INDEX(Техника!$G$1:$ABN$500,Y$2,0),$A$956,INDEX(Техника!$H$1:$ABO$500,Y$2,0),"Д")</f>
        <v>0</v>
      </c>
      <c r="Z958" s="50">
        <f>SUMIFS(INDEX(Техника!$F$1:$ABM$500,Z$2,0),Техника!$F$4:$ABM$4,"Часы",INDEX(Техника!$G$1:$ABN$500,Z$2,0),$A$956,INDEX(Техника!$H$1:$ABO$500,Z$2,0),"Д")</f>
        <v>0</v>
      </c>
      <c r="AA958" s="50">
        <f>SUMIFS(INDEX(Техника!$F$1:$ABM$500,AA$2,0),Техника!$F$4:$ABM$4,"Часы",INDEX(Техника!$G$1:$ABN$500,AA$2,0),$A$956,INDEX(Техника!$H$1:$ABO$500,AA$2,0),"Д")</f>
        <v>0</v>
      </c>
      <c r="AB958" s="50">
        <f>SUMIFS(INDEX(Техника!$F$1:$ABM$500,AB$2,0),Техника!$F$4:$ABM$4,"Часы",INDEX(Техника!$G$1:$ABN$500,AB$2,0),$A$956,INDEX(Техника!$H$1:$ABO$500,AB$2,0),"Д")</f>
        <v>0</v>
      </c>
    </row>
    <row r="959" spans="1:28" hidden="1" outlineLevel="1" x14ac:dyDescent="0.3">
      <c r="A959" s="33" t="s">
        <v>276</v>
      </c>
      <c r="B959" s="34" t="s">
        <v>277</v>
      </c>
      <c r="C959" s="50">
        <f>SUMIFS(INDEX(Техника!$F$1:$ABM$500,C$2,0),Техника!$F$4:$ABM$4,"Часы",INDEX(Техника!$G$1:$ABN$500,C$2,0),$A$956,INDEX(Техника!$H$1:$ABO$500,C$2,0),"П")</f>
        <v>0</v>
      </c>
      <c r="D959" s="50">
        <f>SUMIFS(INDEX(Техника!$F$1:$ABM$500,D$2,0),Техника!$F$4:$ABM$4,"Часы",INDEX(Техника!$G$1:$ABN$500,D$2,0),$A$956,INDEX(Техника!$H$1:$ABO$500,D$2,0),"П")</f>
        <v>0</v>
      </c>
      <c r="E959" s="50">
        <f>SUMIFS(INDEX(Техника!$F$1:$ABM$500,E$2,0),Техника!$F$4:$ABM$4,"Часы",INDEX(Техника!$G$1:$ABN$500,E$2,0),$A$956,INDEX(Техника!$H$1:$ABO$500,E$2,0),"П")</f>
        <v>0</v>
      </c>
      <c r="F959" s="50">
        <f>SUMIFS(INDEX(Техника!$F$1:$ABM$500,F$2,0),Техника!$F$4:$ABM$4,"Часы",INDEX(Техника!$G$1:$ABN$500,F$2,0),$A$956,INDEX(Техника!$H$1:$ABO$500,F$2,0),"П")</f>
        <v>0</v>
      </c>
      <c r="G959" s="50">
        <f>SUMIFS(INDEX(Техника!$F$1:$ABM$500,G$2,0),Техника!$F$4:$ABM$4,"Часы",INDEX(Техника!$G$1:$ABN$500,G$2,0),$A$956,INDEX(Техника!$H$1:$ABO$500,G$2,0),"П")</f>
        <v>0</v>
      </c>
      <c r="H959" s="50">
        <f>SUMIFS(INDEX(Техника!$F$1:$ABM$500,H$2,0),Техника!$F$4:$ABM$4,"Часы",INDEX(Техника!$G$1:$ABN$500,H$2,0),$A$956,INDEX(Техника!$H$1:$ABO$500,H$2,0),"П")</f>
        <v>0</v>
      </c>
      <c r="I959" s="50">
        <f>SUMIFS(INDEX(Техника!$F$1:$ABM$500,I$2,0),Техника!$F$4:$ABM$4,"Часы",INDEX(Техника!$G$1:$ABN$500,I$2,0),$A$956,INDEX(Техника!$H$1:$ABO$500,I$2,0),"П")</f>
        <v>0</v>
      </c>
      <c r="J959" s="50">
        <f>SUMIFS(INDEX(Техника!$F$1:$ABM$500,J$2,0),Техника!$F$4:$ABM$4,"Часы",INDEX(Техника!$G$1:$ABN$500,J$2,0),$A$956,INDEX(Техника!$H$1:$ABO$500,J$2,0),"П")</f>
        <v>0</v>
      </c>
      <c r="K959" s="50">
        <f>SUMIFS(INDEX(Техника!$F$1:$ABM$500,K$2,0),Техника!$F$4:$ABM$4,"Часы",INDEX(Техника!$G$1:$ABN$500,K$2,0),$A$956,INDEX(Техника!$H$1:$ABO$500,K$2,0),"П")</f>
        <v>0</v>
      </c>
      <c r="L959" s="50">
        <f>SUMIFS(INDEX(Техника!$F$1:$ABM$500,L$2,0),Техника!$F$4:$ABM$4,"Часы",INDEX(Техника!$G$1:$ABN$500,L$2,0),$A$956,INDEX(Техника!$H$1:$ABO$500,L$2,0),"П")</f>
        <v>0</v>
      </c>
      <c r="M959" s="50">
        <f>SUMIFS(INDEX(Техника!$F$1:$ABM$500,M$2,0),Техника!$F$4:$ABM$4,"Часы",INDEX(Техника!$G$1:$ABN$500,M$2,0),$A$956,INDEX(Техника!$H$1:$ABO$500,M$2,0),"П")</f>
        <v>0</v>
      </c>
      <c r="N959" s="50">
        <f>SUMIFS(INDEX(Техника!$F$1:$ABM$500,N$2,0),Техника!$F$4:$ABM$4,"Часы",INDEX(Техника!$G$1:$ABN$500,N$2,0),$A$956,INDEX(Техника!$H$1:$ABO$500,N$2,0),"П")</f>
        <v>0</v>
      </c>
      <c r="O959" s="50">
        <f>SUMIFS(INDEX(Техника!$F$1:$ABM$500,O$2,0),Техника!$F$4:$ABM$4,"Часы",INDEX(Техника!$G$1:$ABN$500,O$2,0),$A$956,INDEX(Техника!$H$1:$ABO$500,O$2,0),"П")</f>
        <v>0</v>
      </c>
      <c r="P959" s="50">
        <f>SUMIFS(INDEX(Техника!$F$1:$ABM$500,P$2,0),Техника!$F$4:$ABM$4,"Часы",INDEX(Техника!$G$1:$ABN$500,P$2,0),$A$956,INDEX(Техника!$H$1:$ABO$500,P$2,0),"П")</f>
        <v>0</v>
      </c>
      <c r="Q959" s="50">
        <f>SUMIFS(INDEX(Техника!$F$1:$ABM$500,Q$2,0),Техника!$F$4:$ABM$4,"Часы",INDEX(Техника!$G$1:$ABN$500,Q$2,0),$A$956,INDEX(Техника!$H$1:$ABO$500,Q$2,0),"П")</f>
        <v>0</v>
      </c>
      <c r="R959" s="50">
        <f>SUMIFS(INDEX(Техника!$F$1:$ABM$500,R$2,0),Техника!$F$4:$ABM$4,"Часы",INDEX(Техника!$G$1:$ABN$500,R$2,0),$A$956,INDEX(Техника!$H$1:$ABO$500,R$2,0),"П")</f>
        <v>0</v>
      </c>
      <c r="S959" s="50">
        <f>SUMIFS(INDEX(Техника!$F$1:$ABM$500,S$2,0),Техника!$F$4:$ABM$4,"Часы",INDEX(Техника!$G$1:$ABN$500,S$2,0),$A$956,INDEX(Техника!$H$1:$ABO$500,S$2,0),"П")</f>
        <v>0</v>
      </c>
      <c r="T959" s="50">
        <f>SUMIFS(INDEX(Техника!$F$1:$ABM$500,T$2,0),Техника!$F$4:$ABM$4,"Часы",INDEX(Техника!$G$1:$ABN$500,T$2,0),$A$956,INDEX(Техника!$H$1:$ABO$500,T$2,0),"П")</f>
        <v>0</v>
      </c>
      <c r="U959" s="50">
        <f>SUMIFS(INDEX(Техника!$F$1:$ABM$500,U$2,0),Техника!$F$4:$ABM$4,"Часы",INDEX(Техника!$G$1:$ABN$500,U$2,0),$A$956,INDEX(Техника!$H$1:$ABO$500,U$2,0),"П")</f>
        <v>0</v>
      </c>
      <c r="V959" s="50">
        <f>SUMIFS(INDEX(Техника!$F$1:$ABM$500,V$2,0),Техника!$F$4:$ABM$4,"Часы",INDEX(Техника!$G$1:$ABN$500,V$2,0),$A$956,INDEX(Техника!$H$1:$ABO$500,V$2,0),"П")</f>
        <v>0</v>
      </c>
      <c r="W959" s="50">
        <f>SUMIFS(INDEX(Техника!$F$1:$ABM$500,W$2,0),Техника!$F$4:$ABM$4,"Часы",INDEX(Техника!$G$1:$ABN$500,W$2,0),$A$956,INDEX(Техника!$H$1:$ABO$500,W$2,0),"П")</f>
        <v>0</v>
      </c>
      <c r="X959" s="50">
        <f>SUMIFS(INDEX(Техника!$F$1:$ABM$500,X$2,0),Техника!$F$4:$ABM$4,"Часы",INDEX(Техника!$G$1:$ABN$500,X$2,0),$A$956,INDEX(Техника!$H$1:$ABO$500,X$2,0),"П")</f>
        <v>0</v>
      </c>
      <c r="Y959" s="50">
        <f>SUMIFS(INDEX(Техника!$F$1:$ABM$500,Y$2,0),Техника!$F$4:$ABM$4,"Часы",INDEX(Техника!$G$1:$ABN$500,Y$2,0),$A$956,INDEX(Техника!$H$1:$ABO$500,Y$2,0),"П")</f>
        <v>0</v>
      </c>
      <c r="Z959" s="50">
        <f>SUMIFS(INDEX(Техника!$F$1:$ABM$500,Z$2,0),Техника!$F$4:$ABM$4,"Часы",INDEX(Техника!$G$1:$ABN$500,Z$2,0),$A$956,INDEX(Техника!$H$1:$ABO$500,Z$2,0),"П")</f>
        <v>0</v>
      </c>
      <c r="AA959" s="50">
        <f>SUMIFS(INDEX(Техника!$F$1:$ABM$500,AA$2,0),Техника!$F$4:$ABM$4,"Часы",INDEX(Техника!$G$1:$ABN$500,AA$2,0),$A$956,INDEX(Техника!$H$1:$ABO$500,AA$2,0),"П")</f>
        <v>0</v>
      </c>
      <c r="AB959" s="50">
        <f>SUMIFS(INDEX(Техника!$F$1:$ABM$500,AB$2,0),Техника!$F$4:$ABM$4,"Часы",INDEX(Техника!$G$1:$ABN$500,AB$2,0),$A$956,INDEX(Техника!$H$1:$ABO$500,AB$2,0),"П")</f>
        <v>0</v>
      </c>
    </row>
    <row r="960" spans="1:28" hidden="1" outlineLevel="1" x14ac:dyDescent="0.3">
      <c r="A960" s="33" t="s">
        <v>243</v>
      </c>
      <c r="B960" s="34" t="s">
        <v>278</v>
      </c>
      <c r="C960" s="50">
        <f>SUMIFS(INDEX(Техника!$F$1:$ABM$500,C$2,0),Техника!$F$4:$ABM$4,"Часы",INDEX(Техника!$G$1:$ABN$500,C$2,0),$A$956,INDEX(Техника!$H$1:$ABO$500,C$2,0),"Л")</f>
        <v>0</v>
      </c>
      <c r="D960" s="50">
        <f>SUMIFS(INDEX(Техника!$F$1:$ABM$500,D$2,0),Техника!$F$4:$ABM$4,"Часы",INDEX(Техника!$G$1:$ABN$500,D$2,0),$A$956,INDEX(Техника!$H$1:$ABO$500,D$2,0),"Л")</f>
        <v>0</v>
      </c>
      <c r="E960" s="50">
        <f>SUMIFS(INDEX(Техника!$F$1:$ABM$500,E$2,0),Техника!$F$4:$ABM$4,"Часы",INDEX(Техника!$G$1:$ABN$500,E$2,0),$A$956,INDEX(Техника!$H$1:$ABO$500,E$2,0),"Л")</f>
        <v>0</v>
      </c>
      <c r="F960" s="50">
        <f>SUMIFS(INDEX(Техника!$F$1:$ABM$500,F$2,0),Техника!$F$4:$ABM$4,"Часы",INDEX(Техника!$G$1:$ABN$500,F$2,0),$A$956,INDEX(Техника!$H$1:$ABO$500,F$2,0),"Л")</f>
        <v>0</v>
      </c>
      <c r="G960" s="50">
        <f>SUMIFS(INDEX(Техника!$F$1:$ABM$500,G$2,0),Техника!$F$4:$ABM$4,"Часы",INDEX(Техника!$G$1:$ABN$500,G$2,0),$A$956,INDEX(Техника!$H$1:$ABO$500,G$2,0),"Л")</f>
        <v>0</v>
      </c>
      <c r="H960" s="50">
        <f>SUMIFS(INDEX(Техника!$F$1:$ABM$500,H$2,0),Техника!$F$4:$ABM$4,"Часы",INDEX(Техника!$G$1:$ABN$500,H$2,0),$A$956,INDEX(Техника!$H$1:$ABO$500,H$2,0),"Л")</f>
        <v>0</v>
      </c>
      <c r="I960" s="50">
        <f>SUMIFS(INDEX(Техника!$F$1:$ABM$500,I$2,0),Техника!$F$4:$ABM$4,"Часы",INDEX(Техника!$G$1:$ABN$500,I$2,0),$A$956,INDEX(Техника!$H$1:$ABO$500,I$2,0),"Л")</f>
        <v>0</v>
      </c>
      <c r="J960" s="50">
        <f>SUMIFS(INDEX(Техника!$F$1:$ABM$500,J$2,0),Техника!$F$4:$ABM$4,"Часы",INDEX(Техника!$G$1:$ABN$500,J$2,0),$A$956,INDEX(Техника!$H$1:$ABO$500,J$2,0),"Л")</f>
        <v>0</v>
      </c>
      <c r="K960" s="50">
        <f>SUMIFS(INDEX(Техника!$F$1:$ABM$500,K$2,0),Техника!$F$4:$ABM$4,"Часы",INDEX(Техника!$G$1:$ABN$500,K$2,0),$A$956,INDEX(Техника!$H$1:$ABO$500,K$2,0),"Л")</f>
        <v>0</v>
      </c>
      <c r="L960" s="50">
        <f>SUMIFS(INDEX(Техника!$F$1:$ABM$500,L$2,0),Техника!$F$4:$ABM$4,"Часы",INDEX(Техника!$G$1:$ABN$500,L$2,0),$A$956,INDEX(Техника!$H$1:$ABO$500,L$2,0),"Л")</f>
        <v>0</v>
      </c>
      <c r="M960" s="50">
        <f>SUMIFS(INDEX(Техника!$F$1:$ABM$500,M$2,0),Техника!$F$4:$ABM$4,"Часы",INDEX(Техника!$G$1:$ABN$500,M$2,0),$A$956,INDEX(Техника!$H$1:$ABO$500,M$2,0),"Л")</f>
        <v>0</v>
      </c>
      <c r="N960" s="50">
        <f>SUMIFS(INDEX(Техника!$F$1:$ABM$500,N$2,0),Техника!$F$4:$ABM$4,"Часы",INDEX(Техника!$G$1:$ABN$500,N$2,0),$A$956,INDEX(Техника!$H$1:$ABO$500,N$2,0),"Л")</f>
        <v>0</v>
      </c>
      <c r="O960" s="50">
        <f>SUMIFS(INDEX(Техника!$F$1:$ABM$500,O$2,0),Техника!$F$4:$ABM$4,"Часы",INDEX(Техника!$G$1:$ABN$500,O$2,0),$A$956,INDEX(Техника!$H$1:$ABO$500,O$2,0),"Л")</f>
        <v>0</v>
      </c>
      <c r="P960" s="50">
        <f>SUMIFS(INDEX(Техника!$F$1:$ABM$500,P$2,0),Техника!$F$4:$ABM$4,"Часы",INDEX(Техника!$G$1:$ABN$500,P$2,0),$A$956,INDEX(Техника!$H$1:$ABO$500,P$2,0),"Л")</f>
        <v>0</v>
      </c>
      <c r="Q960" s="50">
        <f>SUMIFS(INDEX(Техника!$F$1:$ABM$500,Q$2,0),Техника!$F$4:$ABM$4,"Часы",INDEX(Техника!$G$1:$ABN$500,Q$2,0),$A$956,INDEX(Техника!$H$1:$ABO$500,Q$2,0),"Л")</f>
        <v>0</v>
      </c>
      <c r="R960" s="50">
        <f>SUMIFS(INDEX(Техника!$F$1:$ABM$500,R$2,0),Техника!$F$4:$ABM$4,"Часы",INDEX(Техника!$G$1:$ABN$500,R$2,0),$A$956,INDEX(Техника!$H$1:$ABO$500,R$2,0),"Л")</f>
        <v>0</v>
      </c>
      <c r="S960" s="50">
        <f>SUMIFS(INDEX(Техника!$F$1:$ABM$500,S$2,0),Техника!$F$4:$ABM$4,"Часы",INDEX(Техника!$G$1:$ABN$500,S$2,0),$A$956,INDEX(Техника!$H$1:$ABO$500,S$2,0),"Л")</f>
        <v>0</v>
      </c>
      <c r="T960" s="50">
        <f>SUMIFS(INDEX(Техника!$F$1:$ABM$500,T$2,0),Техника!$F$4:$ABM$4,"Часы",INDEX(Техника!$G$1:$ABN$500,T$2,0),$A$956,INDEX(Техника!$H$1:$ABO$500,T$2,0),"Л")</f>
        <v>0</v>
      </c>
      <c r="U960" s="50">
        <f>SUMIFS(INDEX(Техника!$F$1:$ABM$500,U$2,0),Техника!$F$4:$ABM$4,"Часы",INDEX(Техника!$G$1:$ABN$500,U$2,0),$A$956,INDEX(Техника!$H$1:$ABO$500,U$2,0),"Л")</f>
        <v>0</v>
      </c>
      <c r="V960" s="50">
        <f>SUMIFS(INDEX(Техника!$F$1:$ABM$500,V$2,0),Техника!$F$4:$ABM$4,"Часы",INDEX(Техника!$G$1:$ABN$500,V$2,0),$A$956,INDEX(Техника!$H$1:$ABO$500,V$2,0),"Л")</f>
        <v>0</v>
      </c>
      <c r="W960" s="50">
        <f>SUMIFS(INDEX(Техника!$F$1:$ABM$500,W$2,0),Техника!$F$4:$ABM$4,"Часы",INDEX(Техника!$G$1:$ABN$500,W$2,0),$A$956,INDEX(Техника!$H$1:$ABO$500,W$2,0),"Л")</f>
        <v>0</v>
      </c>
      <c r="X960" s="50">
        <f>SUMIFS(INDEX(Техника!$F$1:$ABM$500,X$2,0),Техника!$F$4:$ABM$4,"Часы",INDEX(Техника!$G$1:$ABN$500,X$2,0),$A$956,INDEX(Техника!$H$1:$ABO$500,X$2,0),"Л")</f>
        <v>0</v>
      </c>
      <c r="Y960" s="50">
        <f>SUMIFS(INDEX(Техника!$F$1:$ABM$500,Y$2,0),Техника!$F$4:$ABM$4,"Часы",INDEX(Техника!$G$1:$ABN$500,Y$2,0),$A$956,INDEX(Техника!$H$1:$ABO$500,Y$2,0),"Л")</f>
        <v>0</v>
      </c>
      <c r="Z960" s="50">
        <f>SUMIFS(INDEX(Техника!$F$1:$ABM$500,Z$2,0),Техника!$F$4:$ABM$4,"Часы",INDEX(Техника!$G$1:$ABN$500,Z$2,0),$A$956,INDEX(Техника!$H$1:$ABO$500,Z$2,0),"Л")</f>
        <v>0</v>
      </c>
      <c r="AA960" s="50">
        <f>SUMIFS(INDEX(Техника!$F$1:$ABM$500,AA$2,0),Техника!$F$4:$ABM$4,"Часы",INDEX(Техника!$G$1:$ABN$500,AA$2,0),$A$956,INDEX(Техника!$H$1:$ABO$500,AA$2,0),"Л")</f>
        <v>0</v>
      </c>
      <c r="AB960" s="50">
        <f>SUMIFS(INDEX(Техника!$F$1:$ABM$500,AB$2,0),Техника!$F$4:$ABM$4,"Часы",INDEX(Техника!$G$1:$ABN$500,AB$2,0),$A$956,INDEX(Техника!$H$1:$ABO$500,AB$2,0),"Л")</f>
        <v>0</v>
      </c>
    </row>
    <row r="961" spans="1:28" hidden="1" outlineLevel="1" x14ac:dyDescent="0.3">
      <c r="A961" s="33" t="s">
        <v>245</v>
      </c>
      <c r="B961" s="34" t="s">
        <v>279</v>
      </c>
      <c r="C961" s="50">
        <f>SUMIFS(INDEX(Техника!$F$1:$ABM$500,C$2,0),Техника!$F$4:$ABM$4,"Часы",INDEX(Техника!$G$1:$ABN$500,C$2,0),$A$956,INDEX(Техника!$H$1:$ABO$500,C$2,0),"З")</f>
        <v>0</v>
      </c>
      <c r="D961" s="50">
        <f>SUMIFS(INDEX(Техника!$F$1:$ABM$500,D$2,0),Техника!$F$4:$ABM$4,"Часы",INDEX(Техника!$G$1:$ABN$500,D$2,0),$A$956,INDEX(Техника!$H$1:$ABO$500,D$2,0),"З")</f>
        <v>0</v>
      </c>
      <c r="E961" s="50">
        <f>SUMIFS(INDEX(Техника!$F$1:$ABM$500,E$2,0),Техника!$F$4:$ABM$4,"Часы",INDEX(Техника!$G$1:$ABN$500,E$2,0),$A$956,INDEX(Техника!$H$1:$ABO$500,E$2,0),"З")</f>
        <v>0</v>
      </c>
      <c r="F961" s="50">
        <f>SUMIFS(INDEX(Техника!$F$1:$ABM$500,F$2,0),Техника!$F$4:$ABM$4,"Часы",INDEX(Техника!$G$1:$ABN$500,F$2,0),$A$956,INDEX(Техника!$H$1:$ABO$500,F$2,0),"З")</f>
        <v>0</v>
      </c>
      <c r="G961" s="50">
        <f>SUMIFS(INDEX(Техника!$F$1:$ABM$500,G$2,0),Техника!$F$4:$ABM$4,"Часы",INDEX(Техника!$G$1:$ABN$500,G$2,0),$A$956,INDEX(Техника!$H$1:$ABO$500,G$2,0),"З")</f>
        <v>0</v>
      </c>
      <c r="H961" s="50">
        <f>SUMIFS(INDEX(Техника!$F$1:$ABM$500,H$2,0),Техника!$F$4:$ABM$4,"Часы",INDEX(Техника!$G$1:$ABN$500,H$2,0),$A$956,INDEX(Техника!$H$1:$ABO$500,H$2,0),"З")</f>
        <v>0</v>
      </c>
      <c r="I961" s="50">
        <f>SUMIFS(INDEX(Техника!$F$1:$ABM$500,I$2,0),Техника!$F$4:$ABM$4,"Часы",INDEX(Техника!$G$1:$ABN$500,I$2,0),$A$956,INDEX(Техника!$H$1:$ABO$500,I$2,0),"З")</f>
        <v>0</v>
      </c>
      <c r="J961" s="50">
        <f>SUMIFS(INDEX(Техника!$F$1:$ABM$500,J$2,0),Техника!$F$4:$ABM$4,"Часы",INDEX(Техника!$G$1:$ABN$500,J$2,0),$A$956,INDEX(Техника!$H$1:$ABO$500,J$2,0),"З")</f>
        <v>0</v>
      </c>
      <c r="K961" s="50">
        <f>SUMIFS(INDEX(Техника!$F$1:$ABM$500,K$2,0),Техника!$F$4:$ABM$4,"Часы",INDEX(Техника!$G$1:$ABN$500,K$2,0),$A$956,INDEX(Техника!$H$1:$ABO$500,K$2,0),"З")</f>
        <v>0</v>
      </c>
      <c r="L961" s="50">
        <f>SUMIFS(INDEX(Техника!$F$1:$ABM$500,L$2,0),Техника!$F$4:$ABM$4,"Часы",INDEX(Техника!$G$1:$ABN$500,L$2,0),$A$956,INDEX(Техника!$H$1:$ABO$500,L$2,0),"З")</f>
        <v>0</v>
      </c>
      <c r="M961" s="50">
        <f>SUMIFS(INDEX(Техника!$F$1:$ABM$500,M$2,0),Техника!$F$4:$ABM$4,"Часы",INDEX(Техника!$G$1:$ABN$500,M$2,0),$A$956,INDEX(Техника!$H$1:$ABO$500,M$2,0),"З")</f>
        <v>0</v>
      </c>
      <c r="N961" s="50">
        <f>SUMIFS(INDEX(Техника!$F$1:$ABM$500,N$2,0),Техника!$F$4:$ABM$4,"Часы",INDEX(Техника!$G$1:$ABN$500,N$2,0),$A$956,INDEX(Техника!$H$1:$ABO$500,N$2,0),"З")</f>
        <v>0</v>
      </c>
      <c r="O961" s="50">
        <f>SUMIFS(INDEX(Техника!$F$1:$ABM$500,O$2,0),Техника!$F$4:$ABM$4,"Часы",INDEX(Техника!$G$1:$ABN$500,O$2,0),$A$956,INDEX(Техника!$H$1:$ABO$500,O$2,0),"З")</f>
        <v>0</v>
      </c>
      <c r="P961" s="50">
        <f>SUMIFS(INDEX(Техника!$F$1:$ABM$500,P$2,0),Техника!$F$4:$ABM$4,"Часы",INDEX(Техника!$G$1:$ABN$500,P$2,0),$A$956,INDEX(Техника!$H$1:$ABO$500,P$2,0),"З")</f>
        <v>0</v>
      </c>
      <c r="Q961" s="50">
        <f>SUMIFS(INDEX(Техника!$F$1:$ABM$500,Q$2,0),Техника!$F$4:$ABM$4,"Часы",INDEX(Техника!$G$1:$ABN$500,Q$2,0),$A$956,INDEX(Техника!$H$1:$ABO$500,Q$2,0),"З")</f>
        <v>0</v>
      </c>
      <c r="R961" s="50">
        <f>SUMIFS(INDEX(Техника!$F$1:$ABM$500,R$2,0),Техника!$F$4:$ABM$4,"Часы",INDEX(Техника!$G$1:$ABN$500,R$2,0),$A$956,INDEX(Техника!$H$1:$ABO$500,R$2,0),"З")</f>
        <v>0</v>
      </c>
      <c r="S961" s="50">
        <f>SUMIFS(INDEX(Техника!$F$1:$ABM$500,S$2,0),Техника!$F$4:$ABM$4,"Часы",INDEX(Техника!$G$1:$ABN$500,S$2,0),$A$956,INDEX(Техника!$H$1:$ABO$500,S$2,0),"З")</f>
        <v>0</v>
      </c>
      <c r="T961" s="50">
        <f>SUMIFS(INDEX(Техника!$F$1:$ABM$500,T$2,0),Техника!$F$4:$ABM$4,"Часы",INDEX(Техника!$G$1:$ABN$500,T$2,0),$A$956,INDEX(Техника!$H$1:$ABO$500,T$2,0),"З")</f>
        <v>0</v>
      </c>
      <c r="U961" s="50">
        <f>SUMIFS(INDEX(Техника!$F$1:$ABM$500,U$2,0),Техника!$F$4:$ABM$4,"Часы",INDEX(Техника!$G$1:$ABN$500,U$2,0),$A$956,INDEX(Техника!$H$1:$ABO$500,U$2,0),"З")</f>
        <v>0</v>
      </c>
      <c r="V961" s="50">
        <f>SUMIFS(INDEX(Техника!$F$1:$ABM$500,V$2,0),Техника!$F$4:$ABM$4,"Часы",INDEX(Техника!$G$1:$ABN$500,V$2,0),$A$956,INDEX(Техника!$H$1:$ABO$500,V$2,0),"З")</f>
        <v>0</v>
      </c>
      <c r="W961" s="50">
        <f>SUMIFS(INDEX(Техника!$F$1:$ABM$500,W$2,0),Техника!$F$4:$ABM$4,"Часы",INDEX(Техника!$G$1:$ABN$500,W$2,0),$A$956,INDEX(Техника!$H$1:$ABO$500,W$2,0),"З")</f>
        <v>0</v>
      </c>
      <c r="X961" s="50">
        <f>SUMIFS(INDEX(Техника!$F$1:$ABM$500,X$2,0),Техника!$F$4:$ABM$4,"Часы",INDEX(Техника!$G$1:$ABN$500,X$2,0),$A$956,INDEX(Техника!$H$1:$ABO$500,X$2,0),"З")</f>
        <v>0</v>
      </c>
      <c r="Y961" s="50">
        <f>SUMIFS(INDEX(Техника!$F$1:$ABM$500,Y$2,0),Техника!$F$4:$ABM$4,"Часы",INDEX(Техника!$G$1:$ABN$500,Y$2,0),$A$956,INDEX(Техника!$H$1:$ABO$500,Y$2,0),"З")</f>
        <v>0</v>
      </c>
      <c r="Z961" s="50">
        <f>SUMIFS(INDEX(Техника!$F$1:$ABM$500,Z$2,0),Техника!$F$4:$ABM$4,"Часы",INDEX(Техника!$G$1:$ABN$500,Z$2,0),$A$956,INDEX(Техника!$H$1:$ABO$500,Z$2,0),"З")</f>
        <v>0</v>
      </c>
      <c r="AA961" s="50">
        <f>SUMIFS(INDEX(Техника!$F$1:$ABM$500,AA$2,0),Техника!$F$4:$ABM$4,"Часы",INDEX(Техника!$G$1:$ABN$500,AA$2,0),$A$956,INDEX(Техника!$H$1:$ABO$500,AA$2,0),"З")</f>
        <v>0</v>
      </c>
      <c r="AB961" s="50">
        <f>SUMIFS(INDEX(Техника!$F$1:$ABM$500,AB$2,0),Техника!$F$4:$ABM$4,"Часы",INDEX(Техника!$G$1:$ABN$500,AB$2,0),$A$956,INDEX(Техника!$H$1:$ABO$500,AB$2,0),"З")</f>
        <v>0</v>
      </c>
    </row>
    <row r="962" spans="1:28" ht="7.95" customHeight="1" x14ac:dyDescent="0.3">
      <c r="A962" s="38"/>
      <c r="B962" s="39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</row>
    <row r="963" spans="1:28" ht="25.05" customHeight="1" collapsed="1" x14ac:dyDescent="0.3">
      <c r="A963" s="32">
        <v>138</v>
      </c>
      <c r="B963" s="32" t="s">
        <v>139</v>
      </c>
      <c r="C963" s="49">
        <f>SUM(C964:C968)</f>
        <v>0</v>
      </c>
      <c r="D963" s="49">
        <f>SUM(D964:D968)</f>
        <v>0</v>
      </c>
      <c r="E963" s="49">
        <f>SUM(E964:E968)</f>
        <v>0</v>
      </c>
      <c r="F963" s="49">
        <f>SUM(F964:F968)</f>
        <v>0</v>
      </c>
      <c r="G963" s="49">
        <f>SUM(G964:G968)</f>
        <v>0</v>
      </c>
      <c r="H963" s="49">
        <f>SUM(H964:H968)</f>
        <v>0</v>
      </c>
      <c r="I963" s="49">
        <f>SUM(I964:I968)</f>
        <v>0</v>
      </c>
      <c r="J963" s="49">
        <f>SUM(J964:J968)</f>
        <v>0</v>
      </c>
      <c r="K963" s="49">
        <f>SUM(K964:K968)</f>
        <v>0</v>
      </c>
      <c r="L963" s="49">
        <f>SUM(L964:L968)</f>
        <v>0</v>
      </c>
      <c r="M963" s="49">
        <f>SUM(M964:M968)</f>
        <v>0</v>
      </c>
      <c r="N963" s="49">
        <f>SUM(N964:N968)</f>
        <v>0</v>
      </c>
      <c r="O963" s="49">
        <f>SUM(O964:O968)</f>
        <v>0</v>
      </c>
      <c r="P963" s="49">
        <f>SUM(P964:P968)</f>
        <v>0</v>
      </c>
      <c r="Q963" s="49">
        <f>SUM(Q964:Q968)</f>
        <v>0</v>
      </c>
      <c r="R963" s="49">
        <f>SUM(R964:R968)</f>
        <v>0</v>
      </c>
      <c r="S963" s="49">
        <f>SUM(S964:S968)</f>
        <v>0</v>
      </c>
      <c r="T963" s="49">
        <f>SUM(T964:T968)</f>
        <v>0</v>
      </c>
      <c r="U963" s="49">
        <f>SUM(U964:U968)</f>
        <v>0</v>
      </c>
      <c r="V963" s="49">
        <f>SUM(V964:V968)</f>
        <v>0</v>
      </c>
      <c r="W963" s="49">
        <f>SUM(W964:W968)</f>
        <v>0</v>
      </c>
      <c r="X963" s="49">
        <f>SUM(X964:X968)</f>
        <v>0</v>
      </c>
      <c r="Y963" s="49">
        <f>SUM(Y964:Y968)</f>
        <v>0</v>
      </c>
      <c r="Z963" s="49">
        <f>SUM(Z964:Z968)</f>
        <v>0</v>
      </c>
      <c r="AA963" s="49">
        <f>SUM(AA964:AA968)</f>
        <v>0</v>
      </c>
      <c r="AB963" s="49">
        <f>SUM(AB964:AB968)</f>
        <v>0</v>
      </c>
    </row>
    <row r="964" spans="1:28" hidden="1" outlineLevel="1" x14ac:dyDescent="0.3">
      <c r="A964" s="33" t="s">
        <v>246</v>
      </c>
      <c r="B964" s="34" t="s">
        <v>274</v>
      </c>
      <c r="C964" s="50">
        <f>SUMIFS(INDEX(Техника!$F$1:$ABM$500,C$2,0),Техника!$F$4:$ABM$4,"Часы",INDEX(Техника!$G$1:$ABN$500,C$2,0),$A$963,INDEX(Техника!$H$1:$ABO$500,C$2,0),"М")</f>
        <v>0</v>
      </c>
      <c r="D964" s="50">
        <f>SUMIFS(INDEX(Техника!$F$1:$ABM$500,D$2,0),Техника!$F$4:$ABM$4,"Часы",INDEX(Техника!$G$1:$ABN$500,D$2,0),$A$963,INDEX(Техника!$H$1:$ABO$500,D$2,0),"М")</f>
        <v>0</v>
      </c>
      <c r="E964" s="50">
        <f>SUMIFS(INDEX(Техника!$F$1:$ABM$500,E$2,0),Техника!$F$4:$ABM$4,"Часы",INDEX(Техника!$G$1:$ABN$500,E$2,0),$A$963,INDEX(Техника!$H$1:$ABO$500,E$2,0),"М")</f>
        <v>0</v>
      </c>
      <c r="F964" s="50">
        <f>SUMIFS(INDEX(Техника!$F$1:$ABM$500,F$2,0),Техника!$F$4:$ABM$4,"Часы",INDEX(Техника!$G$1:$ABN$500,F$2,0),$A$963,INDEX(Техника!$H$1:$ABO$500,F$2,0),"М")</f>
        <v>0</v>
      </c>
      <c r="G964" s="50">
        <f>SUMIFS(INDEX(Техника!$F$1:$ABM$500,G$2,0),Техника!$F$4:$ABM$4,"Часы",INDEX(Техника!$G$1:$ABN$500,G$2,0),$A$963,INDEX(Техника!$H$1:$ABO$500,G$2,0),"М")</f>
        <v>0</v>
      </c>
      <c r="H964" s="50">
        <f>SUMIFS(INDEX(Техника!$F$1:$ABM$500,H$2,0),Техника!$F$4:$ABM$4,"Часы",INDEX(Техника!$G$1:$ABN$500,H$2,0),$A$963,INDEX(Техника!$H$1:$ABO$500,H$2,0),"М")</f>
        <v>0</v>
      </c>
      <c r="I964" s="50">
        <f>SUMIFS(INDEX(Техника!$F$1:$ABM$500,I$2,0),Техника!$F$4:$ABM$4,"Часы",INDEX(Техника!$G$1:$ABN$500,I$2,0),$A$963,INDEX(Техника!$H$1:$ABO$500,I$2,0),"М")</f>
        <v>0</v>
      </c>
      <c r="J964" s="50">
        <f>SUMIFS(INDEX(Техника!$F$1:$ABM$500,J$2,0),Техника!$F$4:$ABM$4,"Часы",INDEX(Техника!$G$1:$ABN$500,J$2,0),$A$963,INDEX(Техника!$H$1:$ABO$500,J$2,0),"М")</f>
        <v>0</v>
      </c>
      <c r="K964" s="50">
        <f>SUMIFS(INDEX(Техника!$F$1:$ABM$500,K$2,0),Техника!$F$4:$ABM$4,"Часы",INDEX(Техника!$G$1:$ABN$500,K$2,0),$A$963,INDEX(Техника!$H$1:$ABO$500,K$2,0),"М")</f>
        <v>0</v>
      </c>
      <c r="L964" s="50">
        <f>SUMIFS(INDEX(Техника!$F$1:$ABM$500,L$2,0),Техника!$F$4:$ABM$4,"Часы",INDEX(Техника!$G$1:$ABN$500,L$2,0),$A$963,INDEX(Техника!$H$1:$ABO$500,L$2,0),"М")</f>
        <v>0</v>
      </c>
      <c r="M964" s="50">
        <f>SUMIFS(INDEX(Техника!$F$1:$ABM$500,M$2,0),Техника!$F$4:$ABM$4,"Часы",INDEX(Техника!$G$1:$ABN$500,M$2,0),$A$963,INDEX(Техника!$H$1:$ABO$500,M$2,0),"М")</f>
        <v>0</v>
      </c>
      <c r="N964" s="50">
        <f>SUMIFS(INDEX(Техника!$F$1:$ABM$500,N$2,0),Техника!$F$4:$ABM$4,"Часы",INDEX(Техника!$G$1:$ABN$500,N$2,0),$A$963,INDEX(Техника!$H$1:$ABO$500,N$2,0),"М")</f>
        <v>0</v>
      </c>
      <c r="O964" s="50">
        <f>SUMIFS(INDEX(Техника!$F$1:$ABM$500,O$2,0),Техника!$F$4:$ABM$4,"Часы",INDEX(Техника!$G$1:$ABN$500,O$2,0),$A$963,INDEX(Техника!$H$1:$ABO$500,O$2,0),"М")</f>
        <v>0</v>
      </c>
      <c r="P964" s="50">
        <f>SUMIFS(INDEX(Техника!$F$1:$ABM$500,P$2,0),Техника!$F$4:$ABM$4,"Часы",INDEX(Техника!$G$1:$ABN$500,P$2,0),$A$963,INDEX(Техника!$H$1:$ABO$500,P$2,0),"М")</f>
        <v>0</v>
      </c>
      <c r="Q964" s="50">
        <f>SUMIFS(INDEX(Техника!$F$1:$ABM$500,Q$2,0),Техника!$F$4:$ABM$4,"Часы",INDEX(Техника!$G$1:$ABN$500,Q$2,0),$A$963,INDEX(Техника!$H$1:$ABO$500,Q$2,0),"М")</f>
        <v>0</v>
      </c>
      <c r="R964" s="50">
        <f>SUMIFS(INDEX(Техника!$F$1:$ABM$500,R$2,0),Техника!$F$4:$ABM$4,"Часы",INDEX(Техника!$G$1:$ABN$500,R$2,0),$A$963,INDEX(Техника!$H$1:$ABO$500,R$2,0),"М")</f>
        <v>0</v>
      </c>
      <c r="S964" s="50">
        <f>SUMIFS(INDEX(Техника!$F$1:$ABM$500,S$2,0),Техника!$F$4:$ABM$4,"Часы",INDEX(Техника!$G$1:$ABN$500,S$2,0),$A$963,INDEX(Техника!$H$1:$ABO$500,S$2,0),"М")</f>
        <v>0</v>
      </c>
      <c r="T964" s="50">
        <f>SUMIFS(INDEX(Техника!$F$1:$ABM$500,T$2,0),Техника!$F$4:$ABM$4,"Часы",INDEX(Техника!$G$1:$ABN$500,T$2,0),$A$963,INDEX(Техника!$H$1:$ABO$500,T$2,0),"М")</f>
        <v>0</v>
      </c>
      <c r="U964" s="50">
        <f>SUMIFS(INDEX(Техника!$F$1:$ABM$500,U$2,0),Техника!$F$4:$ABM$4,"Часы",INDEX(Техника!$G$1:$ABN$500,U$2,0),$A$963,INDEX(Техника!$H$1:$ABO$500,U$2,0),"М")</f>
        <v>0</v>
      </c>
      <c r="V964" s="50">
        <f>SUMIFS(INDEX(Техника!$F$1:$ABM$500,V$2,0),Техника!$F$4:$ABM$4,"Часы",INDEX(Техника!$G$1:$ABN$500,V$2,0),$A$963,INDEX(Техника!$H$1:$ABO$500,V$2,0),"М")</f>
        <v>0</v>
      </c>
      <c r="W964" s="50">
        <f>SUMIFS(INDEX(Техника!$F$1:$ABM$500,W$2,0),Техника!$F$4:$ABM$4,"Часы",INDEX(Техника!$G$1:$ABN$500,W$2,0),$A$963,INDEX(Техника!$H$1:$ABO$500,W$2,0),"М")</f>
        <v>0</v>
      </c>
      <c r="X964" s="50">
        <f>SUMIFS(INDEX(Техника!$F$1:$ABM$500,X$2,0),Техника!$F$4:$ABM$4,"Часы",INDEX(Техника!$G$1:$ABN$500,X$2,0),$A$963,INDEX(Техника!$H$1:$ABO$500,X$2,0),"М")</f>
        <v>0</v>
      </c>
      <c r="Y964" s="50">
        <f>SUMIFS(INDEX(Техника!$F$1:$ABM$500,Y$2,0),Техника!$F$4:$ABM$4,"Часы",INDEX(Техника!$G$1:$ABN$500,Y$2,0),$A$963,INDEX(Техника!$H$1:$ABO$500,Y$2,0),"М")</f>
        <v>0</v>
      </c>
      <c r="Z964" s="50">
        <f>SUMIFS(INDEX(Техника!$F$1:$ABM$500,Z$2,0),Техника!$F$4:$ABM$4,"Часы",INDEX(Техника!$G$1:$ABN$500,Z$2,0),$A$963,INDEX(Техника!$H$1:$ABO$500,Z$2,0),"М")</f>
        <v>0</v>
      </c>
      <c r="AA964" s="50">
        <f>SUMIFS(INDEX(Техника!$F$1:$ABM$500,AA$2,0),Техника!$F$4:$ABM$4,"Часы",INDEX(Техника!$G$1:$ABN$500,AA$2,0),$A$963,INDEX(Техника!$H$1:$ABO$500,AA$2,0),"М")</f>
        <v>0</v>
      </c>
      <c r="AB964" s="50">
        <f>SUMIFS(INDEX(Техника!$F$1:$ABM$500,AB$2,0),Техника!$F$4:$ABM$4,"Часы",INDEX(Техника!$G$1:$ABN$500,AB$2,0),$A$963,INDEX(Техника!$H$1:$ABO$500,AB$2,0),"М")</f>
        <v>0</v>
      </c>
    </row>
    <row r="965" spans="1:28" hidden="1" outlineLevel="1" x14ac:dyDescent="0.3">
      <c r="A965" s="33" t="s">
        <v>244</v>
      </c>
      <c r="B965" s="34" t="s">
        <v>275</v>
      </c>
      <c r="C965" s="50">
        <f>SUMIFS(INDEX(Техника!$F$1:$ABM$500,C$2,0),Техника!$F$4:$ABM$4,"Часы",INDEX(Техника!$G$1:$ABN$500,C$2,0),$A$963,INDEX(Техника!$H$1:$ABO$500,C$2,0),"Д")</f>
        <v>0</v>
      </c>
      <c r="D965" s="50">
        <f>SUMIFS(INDEX(Техника!$F$1:$ABM$500,D$2,0),Техника!$F$4:$ABM$4,"Часы",INDEX(Техника!$G$1:$ABN$500,D$2,0),$A$963,INDEX(Техника!$H$1:$ABO$500,D$2,0),"Д")</f>
        <v>0</v>
      </c>
      <c r="E965" s="50">
        <f>SUMIFS(INDEX(Техника!$F$1:$ABM$500,E$2,0),Техника!$F$4:$ABM$4,"Часы",INDEX(Техника!$G$1:$ABN$500,E$2,0),$A$963,INDEX(Техника!$H$1:$ABO$500,E$2,0),"Д")</f>
        <v>0</v>
      </c>
      <c r="F965" s="50">
        <f>SUMIFS(INDEX(Техника!$F$1:$ABM$500,F$2,0),Техника!$F$4:$ABM$4,"Часы",INDEX(Техника!$G$1:$ABN$500,F$2,0),$A$963,INDEX(Техника!$H$1:$ABO$500,F$2,0),"Д")</f>
        <v>0</v>
      </c>
      <c r="G965" s="50">
        <f>SUMIFS(INDEX(Техника!$F$1:$ABM$500,G$2,0),Техника!$F$4:$ABM$4,"Часы",INDEX(Техника!$G$1:$ABN$500,G$2,0),$A$963,INDEX(Техника!$H$1:$ABO$500,G$2,0),"Д")</f>
        <v>0</v>
      </c>
      <c r="H965" s="50">
        <f>SUMIFS(INDEX(Техника!$F$1:$ABM$500,H$2,0),Техника!$F$4:$ABM$4,"Часы",INDEX(Техника!$G$1:$ABN$500,H$2,0),$A$963,INDEX(Техника!$H$1:$ABO$500,H$2,0),"Д")</f>
        <v>0</v>
      </c>
      <c r="I965" s="50">
        <f>SUMIFS(INDEX(Техника!$F$1:$ABM$500,I$2,0),Техника!$F$4:$ABM$4,"Часы",INDEX(Техника!$G$1:$ABN$500,I$2,0),$A$963,INDEX(Техника!$H$1:$ABO$500,I$2,0),"Д")</f>
        <v>0</v>
      </c>
      <c r="J965" s="50">
        <f>SUMIFS(INDEX(Техника!$F$1:$ABM$500,J$2,0),Техника!$F$4:$ABM$4,"Часы",INDEX(Техника!$G$1:$ABN$500,J$2,0),$A$963,INDEX(Техника!$H$1:$ABO$500,J$2,0),"Д")</f>
        <v>0</v>
      </c>
      <c r="K965" s="50">
        <f>SUMIFS(INDEX(Техника!$F$1:$ABM$500,K$2,0),Техника!$F$4:$ABM$4,"Часы",INDEX(Техника!$G$1:$ABN$500,K$2,0),$A$963,INDEX(Техника!$H$1:$ABO$500,K$2,0),"Д")</f>
        <v>0</v>
      </c>
      <c r="L965" s="50">
        <f>SUMIFS(INDEX(Техника!$F$1:$ABM$500,L$2,0),Техника!$F$4:$ABM$4,"Часы",INDEX(Техника!$G$1:$ABN$500,L$2,0),$A$963,INDEX(Техника!$H$1:$ABO$500,L$2,0),"Д")</f>
        <v>0</v>
      </c>
      <c r="M965" s="50">
        <f>SUMIFS(INDEX(Техника!$F$1:$ABM$500,M$2,0),Техника!$F$4:$ABM$4,"Часы",INDEX(Техника!$G$1:$ABN$500,M$2,0),$A$963,INDEX(Техника!$H$1:$ABO$500,M$2,0),"Д")</f>
        <v>0</v>
      </c>
      <c r="N965" s="50">
        <f>SUMIFS(INDEX(Техника!$F$1:$ABM$500,N$2,0),Техника!$F$4:$ABM$4,"Часы",INDEX(Техника!$G$1:$ABN$500,N$2,0),$A$963,INDEX(Техника!$H$1:$ABO$500,N$2,0),"Д")</f>
        <v>0</v>
      </c>
      <c r="O965" s="50">
        <f>SUMIFS(INDEX(Техника!$F$1:$ABM$500,O$2,0),Техника!$F$4:$ABM$4,"Часы",INDEX(Техника!$G$1:$ABN$500,O$2,0),$A$963,INDEX(Техника!$H$1:$ABO$500,O$2,0),"Д")</f>
        <v>0</v>
      </c>
      <c r="P965" s="50">
        <f>SUMIFS(INDEX(Техника!$F$1:$ABM$500,P$2,0),Техника!$F$4:$ABM$4,"Часы",INDEX(Техника!$G$1:$ABN$500,P$2,0),$A$963,INDEX(Техника!$H$1:$ABO$500,P$2,0),"Д")</f>
        <v>0</v>
      </c>
      <c r="Q965" s="50">
        <f>SUMIFS(INDEX(Техника!$F$1:$ABM$500,Q$2,0),Техника!$F$4:$ABM$4,"Часы",INDEX(Техника!$G$1:$ABN$500,Q$2,0),$A$963,INDEX(Техника!$H$1:$ABO$500,Q$2,0),"Д")</f>
        <v>0</v>
      </c>
      <c r="R965" s="50">
        <f>SUMIFS(INDEX(Техника!$F$1:$ABM$500,R$2,0),Техника!$F$4:$ABM$4,"Часы",INDEX(Техника!$G$1:$ABN$500,R$2,0),$A$963,INDEX(Техника!$H$1:$ABO$500,R$2,0),"Д")</f>
        <v>0</v>
      </c>
      <c r="S965" s="50">
        <f>SUMIFS(INDEX(Техника!$F$1:$ABM$500,S$2,0),Техника!$F$4:$ABM$4,"Часы",INDEX(Техника!$G$1:$ABN$500,S$2,0),$A$963,INDEX(Техника!$H$1:$ABO$500,S$2,0),"Д")</f>
        <v>0</v>
      </c>
      <c r="T965" s="50">
        <f>SUMIFS(INDEX(Техника!$F$1:$ABM$500,T$2,0),Техника!$F$4:$ABM$4,"Часы",INDEX(Техника!$G$1:$ABN$500,T$2,0),$A$963,INDEX(Техника!$H$1:$ABO$500,T$2,0),"Д")</f>
        <v>0</v>
      </c>
      <c r="U965" s="50">
        <f>SUMIFS(INDEX(Техника!$F$1:$ABM$500,U$2,0),Техника!$F$4:$ABM$4,"Часы",INDEX(Техника!$G$1:$ABN$500,U$2,0),$A$963,INDEX(Техника!$H$1:$ABO$500,U$2,0),"Д")</f>
        <v>0</v>
      </c>
      <c r="V965" s="50">
        <f>SUMIFS(INDEX(Техника!$F$1:$ABM$500,V$2,0),Техника!$F$4:$ABM$4,"Часы",INDEX(Техника!$G$1:$ABN$500,V$2,0),$A$963,INDEX(Техника!$H$1:$ABO$500,V$2,0),"Д")</f>
        <v>0</v>
      </c>
      <c r="W965" s="50">
        <f>SUMIFS(INDEX(Техника!$F$1:$ABM$500,W$2,0),Техника!$F$4:$ABM$4,"Часы",INDEX(Техника!$G$1:$ABN$500,W$2,0),$A$963,INDEX(Техника!$H$1:$ABO$500,W$2,0),"Д")</f>
        <v>0</v>
      </c>
      <c r="X965" s="50">
        <f>SUMIFS(INDEX(Техника!$F$1:$ABM$500,X$2,0),Техника!$F$4:$ABM$4,"Часы",INDEX(Техника!$G$1:$ABN$500,X$2,0),$A$963,INDEX(Техника!$H$1:$ABO$500,X$2,0),"Д")</f>
        <v>0</v>
      </c>
      <c r="Y965" s="50">
        <f>SUMIFS(INDEX(Техника!$F$1:$ABM$500,Y$2,0),Техника!$F$4:$ABM$4,"Часы",INDEX(Техника!$G$1:$ABN$500,Y$2,0),$A$963,INDEX(Техника!$H$1:$ABO$500,Y$2,0),"Д")</f>
        <v>0</v>
      </c>
      <c r="Z965" s="50">
        <f>SUMIFS(INDEX(Техника!$F$1:$ABM$500,Z$2,0),Техника!$F$4:$ABM$4,"Часы",INDEX(Техника!$G$1:$ABN$500,Z$2,0),$A$963,INDEX(Техника!$H$1:$ABO$500,Z$2,0),"Д")</f>
        <v>0</v>
      </c>
      <c r="AA965" s="50">
        <f>SUMIFS(INDEX(Техника!$F$1:$ABM$500,AA$2,0),Техника!$F$4:$ABM$4,"Часы",INDEX(Техника!$G$1:$ABN$500,AA$2,0),$A$963,INDEX(Техника!$H$1:$ABO$500,AA$2,0),"Д")</f>
        <v>0</v>
      </c>
      <c r="AB965" s="50">
        <f>SUMIFS(INDEX(Техника!$F$1:$ABM$500,AB$2,0),Техника!$F$4:$ABM$4,"Часы",INDEX(Техника!$G$1:$ABN$500,AB$2,0),$A$963,INDEX(Техника!$H$1:$ABO$500,AB$2,0),"Д")</f>
        <v>0</v>
      </c>
    </row>
    <row r="966" spans="1:28" hidden="1" outlineLevel="1" x14ac:dyDescent="0.3">
      <c r="A966" s="33" t="s">
        <v>276</v>
      </c>
      <c r="B966" s="34" t="s">
        <v>277</v>
      </c>
      <c r="C966" s="50">
        <f>SUMIFS(INDEX(Техника!$F$1:$ABM$500,C$2,0),Техника!$F$4:$ABM$4,"Часы",INDEX(Техника!$G$1:$ABN$500,C$2,0),$A$963,INDEX(Техника!$H$1:$ABO$500,C$2,0),"П")</f>
        <v>0</v>
      </c>
      <c r="D966" s="50">
        <f>SUMIFS(INDEX(Техника!$F$1:$ABM$500,D$2,0),Техника!$F$4:$ABM$4,"Часы",INDEX(Техника!$G$1:$ABN$500,D$2,0),$A$963,INDEX(Техника!$H$1:$ABO$500,D$2,0),"П")</f>
        <v>0</v>
      </c>
      <c r="E966" s="50">
        <f>SUMIFS(INDEX(Техника!$F$1:$ABM$500,E$2,0),Техника!$F$4:$ABM$4,"Часы",INDEX(Техника!$G$1:$ABN$500,E$2,0),$A$963,INDEX(Техника!$H$1:$ABO$500,E$2,0),"П")</f>
        <v>0</v>
      </c>
      <c r="F966" s="50">
        <f>SUMIFS(INDEX(Техника!$F$1:$ABM$500,F$2,0),Техника!$F$4:$ABM$4,"Часы",INDEX(Техника!$G$1:$ABN$500,F$2,0),$A$963,INDEX(Техника!$H$1:$ABO$500,F$2,0),"П")</f>
        <v>0</v>
      </c>
      <c r="G966" s="50">
        <f>SUMIFS(INDEX(Техника!$F$1:$ABM$500,G$2,0),Техника!$F$4:$ABM$4,"Часы",INDEX(Техника!$G$1:$ABN$500,G$2,0),$A$963,INDEX(Техника!$H$1:$ABO$500,G$2,0),"П")</f>
        <v>0</v>
      </c>
      <c r="H966" s="50">
        <f>SUMIFS(INDEX(Техника!$F$1:$ABM$500,H$2,0),Техника!$F$4:$ABM$4,"Часы",INDEX(Техника!$G$1:$ABN$500,H$2,0),$A$963,INDEX(Техника!$H$1:$ABO$500,H$2,0),"П")</f>
        <v>0</v>
      </c>
      <c r="I966" s="50">
        <f>SUMIFS(INDEX(Техника!$F$1:$ABM$500,I$2,0),Техника!$F$4:$ABM$4,"Часы",INDEX(Техника!$G$1:$ABN$500,I$2,0),$A$963,INDEX(Техника!$H$1:$ABO$500,I$2,0),"П")</f>
        <v>0</v>
      </c>
      <c r="J966" s="50">
        <f>SUMIFS(INDEX(Техника!$F$1:$ABM$500,J$2,0),Техника!$F$4:$ABM$4,"Часы",INDEX(Техника!$G$1:$ABN$500,J$2,0),$A$963,INDEX(Техника!$H$1:$ABO$500,J$2,0),"П")</f>
        <v>0</v>
      </c>
      <c r="K966" s="50">
        <f>SUMIFS(INDEX(Техника!$F$1:$ABM$500,K$2,0),Техника!$F$4:$ABM$4,"Часы",INDEX(Техника!$G$1:$ABN$500,K$2,0),$A$963,INDEX(Техника!$H$1:$ABO$500,K$2,0),"П")</f>
        <v>0</v>
      </c>
      <c r="L966" s="50">
        <f>SUMIFS(INDEX(Техника!$F$1:$ABM$500,L$2,0),Техника!$F$4:$ABM$4,"Часы",INDEX(Техника!$G$1:$ABN$500,L$2,0),$A$963,INDEX(Техника!$H$1:$ABO$500,L$2,0),"П")</f>
        <v>0</v>
      </c>
      <c r="M966" s="50">
        <f>SUMIFS(INDEX(Техника!$F$1:$ABM$500,M$2,0),Техника!$F$4:$ABM$4,"Часы",INDEX(Техника!$G$1:$ABN$500,M$2,0),$A$963,INDEX(Техника!$H$1:$ABO$500,M$2,0),"П")</f>
        <v>0</v>
      </c>
      <c r="N966" s="50">
        <f>SUMIFS(INDEX(Техника!$F$1:$ABM$500,N$2,0),Техника!$F$4:$ABM$4,"Часы",INDEX(Техника!$G$1:$ABN$500,N$2,0),$A$963,INDEX(Техника!$H$1:$ABO$500,N$2,0),"П")</f>
        <v>0</v>
      </c>
      <c r="O966" s="50">
        <f>SUMIFS(INDEX(Техника!$F$1:$ABM$500,O$2,0),Техника!$F$4:$ABM$4,"Часы",INDEX(Техника!$G$1:$ABN$500,O$2,0),$A$963,INDEX(Техника!$H$1:$ABO$500,O$2,0),"П")</f>
        <v>0</v>
      </c>
      <c r="P966" s="50">
        <f>SUMIFS(INDEX(Техника!$F$1:$ABM$500,P$2,0),Техника!$F$4:$ABM$4,"Часы",INDEX(Техника!$G$1:$ABN$500,P$2,0),$A$963,INDEX(Техника!$H$1:$ABO$500,P$2,0),"П")</f>
        <v>0</v>
      </c>
      <c r="Q966" s="50">
        <f>SUMIFS(INDEX(Техника!$F$1:$ABM$500,Q$2,0),Техника!$F$4:$ABM$4,"Часы",INDEX(Техника!$G$1:$ABN$500,Q$2,0),$A$963,INDEX(Техника!$H$1:$ABO$500,Q$2,0),"П")</f>
        <v>0</v>
      </c>
      <c r="R966" s="50">
        <f>SUMIFS(INDEX(Техника!$F$1:$ABM$500,R$2,0),Техника!$F$4:$ABM$4,"Часы",INDEX(Техника!$G$1:$ABN$500,R$2,0),$A$963,INDEX(Техника!$H$1:$ABO$500,R$2,0),"П")</f>
        <v>0</v>
      </c>
      <c r="S966" s="50">
        <f>SUMIFS(INDEX(Техника!$F$1:$ABM$500,S$2,0),Техника!$F$4:$ABM$4,"Часы",INDEX(Техника!$G$1:$ABN$500,S$2,0),$A$963,INDEX(Техника!$H$1:$ABO$500,S$2,0),"П")</f>
        <v>0</v>
      </c>
      <c r="T966" s="50">
        <f>SUMIFS(INDEX(Техника!$F$1:$ABM$500,T$2,0),Техника!$F$4:$ABM$4,"Часы",INDEX(Техника!$G$1:$ABN$500,T$2,0),$A$963,INDEX(Техника!$H$1:$ABO$500,T$2,0),"П")</f>
        <v>0</v>
      </c>
      <c r="U966" s="50">
        <f>SUMIFS(INDEX(Техника!$F$1:$ABM$500,U$2,0),Техника!$F$4:$ABM$4,"Часы",INDEX(Техника!$G$1:$ABN$500,U$2,0),$A$963,INDEX(Техника!$H$1:$ABO$500,U$2,0),"П")</f>
        <v>0</v>
      </c>
      <c r="V966" s="50">
        <f>SUMIFS(INDEX(Техника!$F$1:$ABM$500,V$2,0),Техника!$F$4:$ABM$4,"Часы",INDEX(Техника!$G$1:$ABN$500,V$2,0),$A$963,INDEX(Техника!$H$1:$ABO$500,V$2,0),"П")</f>
        <v>0</v>
      </c>
      <c r="W966" s="50">
        <f>SUMIFS(INDEX(Техника!$F$1:$ABM$500,W$2,0),Техника!$F$4:$ABM$4,"Часы",INDEX(Техника!$G$1:$ABN$500,W$2,0),$A$963,INDEX(Техника!$H$1:$ABO$500,W$2,0),"П")</f>
        <v>0</v>
      </c>
      <c r="X966" s="50">
        <f>SUMIFS(INDEX(Техника!$F$1:$ABM$500,X$2,0),Техника!$F$4:$ABM$4,"Часы",INDEX(Техника!$G$1:$ABN$500,X$2,0),$A$963,INDEX(Техника!$H$1:$ABO$500,X$2,0),"П")</f>
        <v>0</v>
      </c>
      <c r="Y966" s="50">
        <f>SUMIFS(INDEX(Техника!$F$1:$ABM$500,Y$2,0),Техника!$F$4:$ABM$4,"Часы",INDEX(Техника!$G$1:$ABN$500,Y$2,0),$A$963,INDEX(Техника!$H$1:$ABO$500,Y$2,0),"П")</f>
        <v>0</v>
      </c>
      <c r="Z966" s="50">
        <f>SUMIFS(INDEX(Техника!$F$1:$ABM$500,Z$2,0),Техника!$F$4:$ABM$4,"Часы",INDEX(Техника!$G$1:$ABN$500,Z$2,0),$A$963,INDEX(Техника!$H$1:$ABO$500,Z$2,0),"П")</f>
        <v>0</v>
      </c>
      <c r="AA966" s="50">
        <f>SUMIFS(INDEX(Техника!$F$1:$ABM$500,AA$2,0),Техника!$F$4:$ABM$4,"Часы",INDEX(Техника!$G$1:$ABN$500,AA$2,0),$A$963,INDEX(Техника!$H$1:$ABO$500,AA$2,0),"П")</f>
        <v>0</v>
      </c>
      <c r="AB966" s="50">
        <f>SUMIFS(INDEX(Техника!$F$1:$ABM$500,AB$2,0),Техника!$F$4:$ABM$4,"Часы",INDEX(Техника!$G$1:$ABN$500,AB$2,0),$A$963,INDEX(Техника!$H$1:$ABO$500,AB$2,0),"П")</f>
        <v>0</v>
      </c>
    </row>
    <row r="967" spans="1:28" hidden="1" outlineLevel="1" x14ac:dyDescent="0.3">
      <c r="A967" s="33" t="s">
        <v>243</v>
      </c>
      <c r="B967" s="34" t="s">
        <v>278</v>
      </c>
      <c r="C967" s="50">
        <f>SUMIFS(INDEX(Техника!$F$1:$ABM$500,C$2,0),Техника!$F$4:$ABM$4,"Часы",INDEX(Техника!$G$1:$ABN$500,C$2,0),$A$963,INDEX(Техника!$H$1:$ABO$500,C$2,0),"Л")</f>
        <v>0</v>
      </c>
      <c r="D967" s="50">
        <f>SUMIFS(INDEX(Техника!$F$1:$ABM$500,D$2,0),Техника!$F$4:$ABM$4,"Часы",INDEX(Техника!$G$1:$ABN$500,D$2,0),$A$963,INDEX(Техника!$H$1:$ABO$500,D$2,0),"Л")</f>
        <v>0</v>
      </c>
      <c r="E967" s="50">
        <f>SUMIFS(INDEX(Техника!$F$1:$ABM$500,E$2,0),Техника!$F$4:$ABM$4,"Часы",INDEX(Техника!$G$1:$ABN$500,E$2,0),$A$963,INDEX(Техника!$H$1:$ABO$500,E$2,0),"Л")</f>
        <v>0</v>
      </c>
      <c r="F967" s="50">
        <f>SUMIFS(INDEX(Техника!$F$1:$ABM$500,F$2,0),Техника!$F$4:$ABM$4,"Часы",INDEX(Техника!$G$1:$ABN$500,F$2,0),$A$963,INDEX(Техника!$H$1:$ABO$500,F$2,0),"Л")</f>
        <v>0</v>
      </c>
      <c r="G967" s="50">
        <f>SUMIFS(INDEX(Техника!$F$1:$ABM$500,G$2,0),Техника!$F$4:$ABM$4,"Часы",INDEX(Техника!$G$1:$ABN$500,G$2,0),$A$963,INDEX(Техника!$H$1:$ABO$500,G$2,0),"Л")</f>
        <v>0</v>
      </c>
      <c r="H967" s="50">
        <f>SUMIFS(INDEX(Техника!$F$1:$ABM$500,H$2,0),Техника!$F$4:$ABM$4,"Часы",INDEX(Техника!$G$1:$ABN$500,H$2,0),$A$963,INDEX(Техника!$H$1:$ABO$500,H$2,0),"Л")</f>
        <v>0</v>
      </c>
      <c r="I967" s="50">
        <f>SUMIFS(INDEX(Техника!$F$1:$ABM$500,I$2,0),Техника!$F$4:$ABM$4,"Часы",INDEX(Техника!$G$1:$ABN$500,I$2,0),$A$963,INDEX(Техника!$H$1:$ABO$500,I$2,0),"Л")</f>
        <v>0</v>
      </c>
      <c r="J967" s="50">
        <f>SUMIFS(INDEX(Техника!$F$1:$ABM$500,J$2,0),Техника!$F$4:$ABM$4,"Часы",INDEX(Техника!$G$1:$ABN$500,J$2,0),$A$963,INDEX(Техника!$H$1:$ABO$500,J$2,0),"Л")</f>
        <v>0</v>
      </c>
      <c r="K967" s="50">
        <f>SUMIFS(INDEX(Техника!$F$1:$ABM$500,K$2,0),Техника!$F$4:$ABM$4,"Часы",INDEX(Техника!$G$1:$ABN$500,K$2,0),$A$963,INDEX(Техника!$H$1:$ABO$500,K$2,0),"Л")</f>
        <v>0</v>
      </c>
      <c r="L967" s="50">
        <f>SUMIFS(INDEX(Техника!$F$1:$ABM$500,L$2,0),Техника!$F$4:$ABM$4,"Часы",INDEX(Техника!$G$1:$ABN$500,L$2,0),$A$963,INDEX(Техника!$H$1:$ABO$500,L$2,0),"Л")</f>
        <v>0</v>
      </c>
      <c r="M967" s="50">
        <f>SUMIFS(INDEX(Техника!$F$1:$ABM$500,M$2,0),Техника!$F$4:$ABM$4,"Часы",INDEX(Техника!$G$1:$ABN$500,M$2,0),$A$963,INDEX(Техника!$H$1:$ABO$500,M$2,0),"Л")</f>
        <v>0</v>
      </c>
      <c r="N967" s="50">
        <f>SUMIFS(INDEX(Техника!$F$1:$ABM$500,N$2,0),Техника!$F$4:$ABM$4,"Часы",INDEX(Техника!$G$1:$ABN$500,N$2,0),$A$963,INDEX(Техника!$H$1:$ABO$500,N$2,0),"Л")</f>
        <v>0</v>
      </c>
      <c r="O967" s="50">
        <f>SUMIFS(INDEX(Техника!$F$1:$ABM$500,O$2,0),Техника!$F$4:$ABM$4,"Часы",INDEX(Техника!$G$1:$ABN$500,O$2,0),$A$963,INDEX(Техника!$H$1:$ABO$500,O$2,0),"Л")</f>
        <v>0</v>
      </c>
      <c r="P967" s="50">
        <f>SUMIFS(INDEX(Техника!$F$1:$ABM$500,P$2,0),Техника!$F$4:$ABM$4,"Часы",INDEX(Техника!$G$1:$ABN$500,P$2,0),$A$963,INDEX(Техника!$H$1:$ABO$500,P$2,0),"Л")</f>
        <v>0</v>
      </c>
      <c r="Q967" s="50">
        <f>SUMIFS(INDEX(Техника!$F$1:$ABM$500,Q$2,0),Техника!$F$4:$ABM$4,"Часы",INDEX(Техника!$G$1:$ABN$500,Q$2,0),$A$963,INDEX(Техника!$H$1:$ABO$500,Q$2,0),"Л")</f>
        <v>0</v>
      </c>
      <c r="R967" s="50">
        <f>SUMIFS(INDEX(Техника!$F$1:$ABM$500,R$2,0),Техника!$F$4:$ABM$4,"Часы",INDEX(Техника!$G$1:$ABN$500,R$2,0),$A$963,INDEX(Техника!$H$1:$ABO$500,R$2,0),"Л")</f>
        <v>0</v>
      </c>
      <c r="S967" s="50">
        <f>SUMIFS(INDEX(Техника!$F$1:$ABM$500,S$2,0),Техника!$F$4:$ABM$4,"Часы",INDEX(Техника!$G$1:$ABN$500,S$2,0),$A$963,INDEX(Техника!$H$1:$ABO$500,S$2,0),"Л")</f>
        <v>0</v>
      </c>
      <c r="T967" s="50">
        <f>SUMIFS(INDEX(Техника!$F$1:$ABM$500,T$2,0),Техника!$F$4:$ABM$4,"Часы",INDEX(Техника!$G$1:$ABN$500,T$2,0),$A$963,INDEX(Техника!$H$1:$ABO$500,T$2,0),"Л")</f>
        <v>0</v>
      </c>
      <c r="U967" s="50">
        <f>SUMIFS(INDEX(Техника!$F$1:$ABM$500,U$2,0),Техника!$F$4:$ABM$4,"Часы",INDEX(Техника!$G$1:$ABN$500,U$2,0),$A$963,INDEX(Техника!$H$1:$ABO$500,U$2,0),"Л")</f>
        <v>0</v>
      </c>
      <c r="V967" s="50">
        <f>SUMIFS(INDEX(Техника!$F$1:$ABM$500,V$2,0),Техника!$F$4:$ABM$4,"Часы",INDEX(Техника!$G$1:$ABN$500,V$2,0),$A$963,INDEX(Техника!$H$1:$ABO$500,V$2,0),"Л")</f>
        <v>0</v>
      </c>
      <c r="W967" s="50">
        <f>SUMIFS(INDEX(Техника!$F$1:$ABM$500,W$2,0),Техника!$F$4:$ABM$4,"Часы",INDEX(Техника!$G$1:$ABN$500,W$2,0),$A$963,INDEX(Техника!$H$1:$ABO$500,W$2,0),"Л")</f>
        <v>0</v>
      </c>
      <c r="X967" s="50">
        <f>SUMIFS(INDEX(Техника!$F$1:$ABM$500,X$2,0),Техника!$F$4:$ABM$4,"Часы",INDEX(Техника!$G$1:$ABN$500,X$2,0),$A$963,INDEX(Техника!$H$1:$ABO$500,X$2,0),"Л")</f>
        <v>0</v>
      </c>
      <c r="Y967" s="50">
        <f>SUMIFS(INDEX(Техника!$F$1:$ABM$500,Y$2,0),Техника!$F$4:$ABM$4,"Часы",INDEX(Техника!$G$1:$ABN$500,Y$2,0),$A$963,INDEX(Техника!$H$1:$ABO$500,Y$2,0),"Л")</f>
        <v>0</v>
      </c>
      <c r="Z967" s="50">
        <f>SUMIFS(INDEX(Техника!$F$1:$ABM$500,Z$2,0),Техника!$F$4:$ABM$4,"Часы",INDEX(Техника!$G$1:$ABN$500,Z$2,0),$A$963,INDEX(Техника!$H$1:$ABO$500,Z$2,0),"Л")</f>
        <v>0</v>
      </c>
      <c r="AA967" s="50">
        <f>SUMIFS(INDEX(Техника!$F$1:$ABM$500,AA$2,0),Техника!$F$4:$ABM$4,"Часы",INDEX(Техника!$G$1:$ABN$500,AA$2,0),$A$963,INDEX(Техника!$H$1:$ABO$500,AA$2,0),"Л")</f>
        <v>0</v>
      </c>
      <c r="AB967" s="50">
        <f>SUMIFS(INDEX(Техника!$F$1:$ABM$500,AB$2,0),Техника!$F$4:$ABM$4,"Часы",INDEX(Техника!$G$1:$ABN$500,AB$2,0),$A$963,INDEX(Техника!$H$1:$ABO$500,AB$2,0),"Л")</f>
        <v>0</v>
      </c>
    </row>
    <row r="968" spans="1:28" hidden="1" outlineLevel="1" x14ac:dyDescent="0.3">
      <c r="A968" s="33" t="s">
        <v>245</v>
      </c>
      <c r="B968" s="34" t="s">
        <v>279</v>
      </c>
      <c r="C968" s="50">
        <f>SUMIFS(INDEX(Техника!$F$1:$ABM$500,C$2,0),Техника!$F$4:$ABM$4,"Часы",INDEX(Техника!$G$1:$ABN$500,C$2,0),$A$963,INDEX(Техника!$H$1:$ABO$500,C$2,0),"З")</f>
        <v>0</v>
      </c>
      <c r="D968" s="50">
        <f>SUMIFS(INDEX(Техника!$F$1:$ABM$500,D$2,0),Техника!$F$4:$ABM$4,"Часы",INDEX(Техника!$G$1:$ABN$500,D$2,0),$A$963,INDEX(Техника!$H$1:$ABO$500,D$2,0),"З")</f>
        <v>0</v>
      </c>
      <c r="E968" s="50">
        <f>SUMIFS(INDEX(Техника!$F$1:$ABM$500,E$2,0),Техника!$F$4:$ABM$4,"Часы",INDEX(Техника!$G$1:$ABN$500,E$2,0),$A$963,INDEX(Техника!$H$1:$ABO$500,E$2,0),"З")</f>
        <v>0</v>
      </c>
      <c r="F968" s="50">
        <f>SUMIFS(INDEX(Техника!$F$1:$ABM$500,F$2,0),Техника!$F$4:$ABM$4,"Часы",INDEX(Техника!$G$1:$ABN$500,F$2,0),$A$963,INDEX(Техника!$H$1:$ABO$500,F$2,0),"З")</f>
        <v>0</v>
      </c>
      <c r="G968" s="50">
        <f>SUMIFS(INDEX(Техника!$F$1:$ABM$500,G$2,0),Техника!$F$4:$ABM$4,"Часы",INDEX(Техника!$G$1:$ABN$500,G$2,0),$A$963,INDEX(Техника!$H$1:$ABO$500,G$2,0),"З")</f>
        <v>0</v>
      </c>
      <c r="H968" s="50">
        <f>SUMIFS(INDEX(Техника!$F$1:$ABM$500,H$2,0),Техника!$F$4:$ABM$4,"Часы",INDEX(Техника!$G$1:$ABN$500,H$2,0),$A$963,INDEX(Техника!$H$1:$ABO$500,H$2,0),"З")</f>
        <v>0</v>
      </c>
      <c r="I968" s="50">
        <f>SUMIFS(INDEX(Техника!$F$1:$ABM$500,I$2,0),Техника!$F$4:$ABM$4,"Часы",INDEX(Техника!$G$1:$ABN$500,I$2,0),$A$963,INDEX(Техника!$H$1:$ABO$500,I$2,0),"З")</f>
        <v>0</v>
      </c>
      <c r="J968" s="50">
        <f>SUMIFS(INDEX(Техника!$F$1:$ABM$500,J$2,0),Техника!$F$4:$ABM$4,"Часы",INDEX(Техника!$G$1:$ABN$500,J$2,0),$A$963,INDEX(Техника!$H$1:$ABO$500,J$2,0),"З")</f>
        <v>0</v>
      </c>
      <c r="K968" s="50">
        <f>SUMIFS(INDEX(Техника!$F$1:$ABM$500,K$2,0),Техника!$F$4:$ABM$4,"Часы",INDEX(Техника!$G$1:$ABN$500,K$2,0),$A$963,INDEX(Техника!$H$1:$ABO$500,K$2,0),"З")</f>
        <v>0</v>
      </c>
      <c r="L968" s="50">
        <f>SUMIFS(INDEX(Техника!$F$1:$ABM$500,L$2,0),Техника!$F$4:$ABM$4,"Часы",INDEX(Техника!$G$1:$ABN$500,L$2,0),$A$963,INDEX(Техника!$H$1:$ABO$500,L$2,0),"З")</f>
        <v>0</v>
      </c>
      <c r="M968" s="50">
        <f>SUMIFS(INDEX(Техника!$F$1:$ABM$500,M$2,0),Техника!$F$4:$ABM$4,"Часы",INDEX(Техника!$G$1:$ABN$500,M$2,0),$A$963,INDEX(Техника!$H$1:$ABO$500,M$2,0),"З")</f>
        <v>0</v>
      </c>
      <c r="N968" s="50">
        <f>SUMIFS(INDEX(Техника!$F$1:$ABM$500,N$2,0),Техника!$F$4:$ABM$4,"Часы",INDEX(Техника!$G$1:$ABN$500,N$2,0),$A$963,INDEX(Техника!$H$1:$ABO$500,N$2,0),"З")</f>
        <v>0</v>
      </c>
      <c r="O968" s="50">
        <f>SUMIFS(INDEX(Техника!$F$1:$ABM$500,O$2,0),Техника!$F$4:$ABM$4,"Часы",INDEX(Техника!$G$1:$ABN$500,O$2,0),$A$963,INDEX(Техника!$H$1:$ABO$500,O$2,0),"З")</f>
        <v>0</v>
      </c>
      <c r="P968" s="50">
        <f>SUMIFS(INDEX(Техника!$F$1:$ABM$500,P$2,0),Техника!$F$4:$ABM$4,"Часы",INDEX(Техника!$G$1:$ABN$500,P$2,0),$A$963,INDEX(Техника!$H$1:$ABO$500,P$2,0),"З")</f>
        <v>0</v>
      </c>
      <c r="Q968" s="50">
        <f>SUMIFS(INDEX(Техника!$F$1:$ABM$500,Q$2,0),Техника!$F$4:$ABM$4,"Часы",INDEX(Техника!$G$1:$ABN$500,Q$2,0),$A$963,INDEX(Техника!$H$1:$ABO$500,Q$2,0),"З")</f>
        <v>0</v>
      </c>
      <c r="R968" s="50">
        <f>SUMIFS(INDEX(Техника!$F$1:$ABM$500,R$2,0),Техника!$F$4:$ABM$4,"Часы",INDEX(Техника!$G$1:$ABN$500,R$2,0),$A$963,INDEX(Техника!$H$1:$ABO$500,R$2,0),"З")</f>
        <v>0</v>
      </c>
      <c r="S968" s="50">
        <f>SUMIFS(INDEX(Техника!$F$1:$ABM$500,S$2,0),Техника!$F$4:$ABM$4,"Часы",INDEX(Техника!$G$1:$ABN$500,S$2,0),$A$963,INDEX(Техника!$H$1:$ABO$500,S$2,0),"З")</f>
        <v>0</v>
      </c>
      <c r="T968" s="50">
        <f>SUMIFS(INDEX(Техника!$F$1:$ABM$500,T$2,0),Техника!$F$4:$ABM$4,"Часы",INDEX(Техника!$G$1:$ABN$500,T$2,0),$A$963,INDEX(Техника!$H$1:$ABO$500,T$2,0),"З")</f>
        <v>0</v>
      </c>
      <c r="U968" s="50">
        <f>SUMIFS(INDEX(Техника!$F$1:$ABM$500,U$2,0),Техника!$F$4:$ABM$4,"Часы",INDEX(Техника!$G$1:$ABN$500,U$2,0),$A$963,INDEX(Техника!$H$1:$ABO$500,U$2,0),"З")</f>
        <v>0</v>
      </c>
      <c r="V968" s="50">
        <f>SUMIFS(INDEX(Техника!$F$1:$ABM$500,V$2,0),Техника!$F$4:$ABM$4,"Часы",INDEX(Техника!$G$1:$ABN$500,V$2,0),$A$963,INDEX(Техника!$H$1:$ABO$500,V$2,0),"З")</f>
        <v>0</v>
      </c>
      <c r="W968" s="50">
        <f>SUMIFS(INDEX(Техника!$F$1:$ABM$500,W$2,0),Техника!$F$4:$ABM$4,"Часы",INDEX(Техника!$G$1:$ABN$500,W$2,0),$A$963,INDEX(Техника!$H$1:$ABO$500,W$2,0),"З")</f>
        <v>0</v>
      </c>
      <c r="X968" s="50">
        <f>SUMIFS(INDEX(Техника!$F$1:$ABM$500,X$2,0),Техника!$F$4:$ABM$4,"Часы",INDEX(Техника!$G$1:$ABN$500,X$2,0),$A$963,INDEX(Техника!$H$1:$ABO$500,X$2,0),"З")</f>
        <v>0</v>
      </c>
      <c r="Y968" s="50">
        <f>SUMIFS(INDEX(Техника!$F$1:$ABM$500,Y$2,0),Техника!$F$4:$ABM$4,"Часы",INDEX(Техника!$G$1:$ABN$500,Y$2,0),$A$963,INDEX(Техника!$H$1:$ABO$500,Y$2,0),"З")</f>
        <v>0</v>
      </c>
      <c r="Z968" s="50">
        <f>SUMIFS(INDEX(Техника!$F$1:$ABM$500,Z$2,0),Техника!$F$4:$ABM$4,"Часы",INDEX(Техника!$G$1:$ABN$500,Z$2,0),$A$963,INDEX(Техника!$H$1:$ABO$500,Z$2,0),"З")</f>
        <v>0</v>
      </c>
      <c r="AA968" s="50">
        <f>SUMIFS(INDEX(Техника!$F$1:$ABM$500,AA$2,0),Техника!$F$4:$ABM$4,"Часы",INDEX(Техника!$G$1:$ABN$500,AA$2,0),$A$963,INDEX(Техника!$H$1:$ABO$500,AA$2,0),"З")</f>
        <v>0</v>
      </c>
      <c r="AB968" s="50">
        <f>SUMIFS(INDEX(Техника!$F$1:$ABM$500,AB$2,0),Техника!$F$4:$ABM$4,"Часы",INDEX(Техника!$G$1:$ABN$500,AB$2,0),$A$963,INDEX(Техника!$H$1:$ABO$500,AB$2,0),"З")</f>
        <v>0</v>
      </c>
    </row>
    <row r="969" spans="1:28" ht="7.95" customHeight="1" x14ac:dyDescent="0.3">
      <c r="A969" s="38"/>
      <c r="B969" s="39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</row>
    <row r="970" spans="1:28" ht="25.05" customHeight="1" collapsed="1" x14ac:dyDescent="0.3">
      <c r="A970" s="32">
        <v>139</v>
      </c>
      <c r="B970" s="32" t="s">
        <v>140</v>
      </c>
      <c r="C970" s="49">
        <f>SUM(C971:C975)</f>
        <v>0</v>
      </c>
      <c r="D970" s="49">
        <f>SUM(D971:D975)</f>
        <v>0</v>
      </c>
      <c r="E970" s="49">
        <f>SUM(E971:E975)</f>
        <v>0</v>
      </c>
      <c r="F970" s="49">
        <f>SUM(F971:F975)</f>
        <v>0</v>
      </c>
      <c r="G970" s="49">
        <f>SUM(G971:G975)</f>
        <v>0</v>
      </c>
      <c r="H970" s="49">
        <f>SUM(H971:H975)</f>
        <v>0</v>
      </c>
      <c r="I970" s="49">
        <f>SUM(I971:I975)</f>
        <v>0</v>
      </c>
      <c r="J970" s="49">
        <f>SUM(J971:J975)</f>
        <v>0</v>
      </c>
      <c r="K970" s="49">
        <f>SUM(K971:K975)</f>
        <v>0</v>
      </c>
      <c r="L970" s="49">
        <f>SUM(L971:L975)</f>
        <v>0</v>
      </c>
      <c r="M970" s="49">
        <f>SUM(M971:M975)</f>
        <v>0</v>
      </c>
      <c r="N970" s="49">
        <f>SUM(N971:N975)</f>
        <v>0</v>
      </c>
      <c r="O970" s="49">
        <f>SUM(O971:O975)</f>
        <v>0</v>
      </c>
      <c r="P970" s="49">
        <f>SUM(P971:P975)</f>
        <v>0</v>
      </c>
      <c r="Q970" s="49">
        <f>SUM(Q971:Q975)</f>
        <v>0</v>
      </c>
      <c r="R970" s="49">
        <f>SUM(R971:R975)</f>
        <v>0</v>
      </c>
      <c r="S970" s="49">
        <f>SUM(S971:S975)</f>
        <v>0</v>
      </c>
      <c r="T970" s="49">
        <f>SUM(T971:T975)</f>
        <v>0</v>
      </c>
      <c r="U970" s="49">
        <f>SUM(U971:U975)</f>
        <v>0</v>
      </c>
      <c r="V970" s="49">
        <f>SUM(V971:V975)</f>
        <v>0</v>
      </c>
      <c r="W970" s="49">
        <f>SUM(W971:W975)</f>
        <v>0</v>
      </c>
      <c r="X970" s="49">
        <f>SUM(X971:X975)</f>
        <v>0</v>
      </c>
      <c r="Y970" s="49">
        <f>SUM(Y971:Y975)</f>
        <v>0</v>
      </c>
      <c r="Z970" s="49">
        <f>SUM(Z971:Z975)</f>
        <v>0</v>
      </c>
      <c r="AA970" s="49">
        <f>SUM(AA971:AA975)</f>
        <v>0</v>
      </c>
      <c r="AB970" s="49">
        <f>SUM(AB971:AB975)</f>
        <v>0</v>
      </c>
    </row>
    <row r="971" spans="1:28" hidden="1" outlineLevel="1" x14ac:dyDescent="0.3">
      <c r="A971" s="33" t="s">
        <v>246</v>
      </c>
      <c r="B971" s="34" t="s">
        <v>274</v>
      </c>
      <c r="C971" s="50">
        <f>SUMIFS(INDEX(Техника!$F$1:$ABM$500,C$2,0),Техника!$F$4:$ABM$4,"Часы",INDEX(Техника!$G$1:$ABN$500,C$2,0),$A$970,INDEX(Техника!$H$1:$ABO$500,C$2,0),"М")</f>
        <v>0</v>
      </c>
      <c r="D971" s="50">
        <f>SUMIFS(INDEX(Техника!$F$1:$ABM$500,D$2,0),Техника!$F$4:$ABM$4,"Часы",INDEX(Техника!$G$1:$ABN$500,D$2,0),$A$970,INDEX(Техника!$H$1:$ABO$500,D$2,0),"М")</f>
        <v>0</v>
      </c>
      <c r="E971" s="50">
        <f>SUMIFS(INDEX(Техника!$F$1:$ABM$500,E$2,0),Техника!$F$4:$ABM$4,"Часы",INDEX(Техника!$G$1:$ABN$500,E$2,0),$A$970,INDEX(Техника!$H$1:$ABO$500,E$2,0),"М")</f>
        <v>0</v>
      </c>
      <c r="F971" s="50">
        <f>SUMIFS(INDEX(Техника!$F$1:$ABM$500,F$2,0),Техника!$F$4:$ABM$4,"Часы",INDEX(Техника!$G$1:$ABN$500,F$2,0),$A$970,INDEX(Техника!$H$1:$ABO$500,F$2,0),"М")</f>
        <v>0</v>
      </c>
      <c r="G971" s="50">
        <f>SUMIFS(INDEX(Техника!$F$1:$ABM$500,G$2,0),Техника!$F$4:$ABM$4,"Часы",INDEX(Техника!$G$1:$ABN$500,G$2,0),$A$970,INDEX(Техника!$H$1:$ABO$500,G$2,0),"М")</f>
        <v>0</v>
      </c>
      <c r="H971" s="50">
        <f>SUMIFS(INDEX(Техника!$F$1:$ABM$500,H$2,0),Техника!$F$4:$ABM$4,"Часы",INDEX(Техника!$G$1:$ABN$500,H$2,0),$A$970,INDEX(Техника!$H$1:$ABO$500,H$2,0),"М")</f>
        <v>0</v>
      </c>
      <c r="I971" s="50">
        <f>SUMIFS(INDEX(Техника!$F$1:$ABM$500,I$2,0),Техника!$F$4:$ABM$4,"Часы",INDEX(Техника!$G$1:$ABN$500,I$2,0),$A$970,INDEX(Техника!$H$1:$ABO$500,I$2,0),"М")</f>
        <v>0</v>
      </c>
      <c r="J971" s="50">
        <f>SUMIFS(INDEX(Техника!$F$1:$ABM$500,J$2,0),Техника!$F$4:$ABM$4,"Часы",INDEX(Техника!$G$1:$ABN$500,J$2,0),$A$970,INDEX(Техника!$H$1:$ABO$500,J$2,0),"М")</f>
        <v>0</v>
      </c>
      <c r="K971" s="50">
        <f>SUMIFS(INDEX(Техника!$F$1:$ABM$500,K$2,0),Техника!$F$4:$ABM$4,"Часы",INDEX(Техника!$G$1:$ABN$500,K$2,0),$A$970,INDEX(Техника!$H$1:$ABO$500,K$2,0),"М")</f>
        <v>0</v>
      </c>
      <c r="L971" s="50">
        <f>SUMIFS(INDEX(Техника!$F$1:$ABM$500,L$2,0),Техника!$F$4:$ABM$4,"Часы",INDEX(Техника!$G$1:$ABN$500,L$2,0),$A$970,INDEX(Техника!$H$1:$ABO$500,L$2,0),"М")</f>
        <v>0</v>
      </c>
      <c r="M971" s="50">
        <f>SUMIFS(INDEX(Техника!$F$1:$ABM$500,M$2,0),Техника!$F$4:$ABM$4,"Часы",INDEX(Техника!$G$1:$ABN$500,M$2,0),$A$970,INDEX(Техника!$H$1:$ABO$500,M$2,0),"М")</f>
        <v>0</v>
      </c>
      <c r="N971" s="50">
        <f>SUMIFS(INDEX(Техника!$F$1:$ABM$500,N$2,0),Техника!$F$4:$ABM$4,"Часы",INDEX(Техника!$G$1:$ABN$500,N$2,0),$A$970,INDEX(Техника!$H$1:$ABO$500,N$2,0),"М")</f>
        <v>0</v>
      </c>
      <c r="O971" s="50">
        <f>SUMIFS(INDEX(Техника!$F$1:$ABM$500,O$2,0),Техника!$F$4:$ABM$4,"Часы",INDEX(Техника!$G$1:$ABN$500,O$2,0),$A$970,INDEX(Техника!$H$1:$ABO$500,O$2,0),"М")</f>
        <v>0</v>
      </c>
      <c r="P971" s="50">
        <f>SUMIFS(INDEX(Техника!$F$1:$ABM$500,P$2,0),Техника!$F$4:$ABM$4,"Часы",INDEX(Техника!$G$1:$ABN$500,P$2,0),$A$970,INDEX(Техника!$H$1:$ABO$500,P$2,0),"М")</f>
        <v>0</v>
      </c>
      <c r="Q971" s="50">
        <f>SUMIFS(INDEX(Техника!$F$1:$ABM$500,Q$2,0),Техника!$F$4:$ABM$4,"Часы",INDEX(Техника!$G$1:$ABN$500,Q$2,0),$A$970,INDEX(Техника!$H$1:$ABO$500,Q$2,0),"М")</f>
        <v>0</v>
      </c>
      <c r="R971" s="50">
        <f>SUMIFS(INDEX(Техника!$F$1:$ABM$500,R$2,0),Техника!$F$4:$ABM$4,"Часы",INDEX(Техника!$G$1:$ABN$500,R$2,0),$A$970,INDEX(Техника!$H$1:$ABO$500,R$2,0),"М")</f>
        <v>0</v>
      </c>
      <c r="S971" s="50">
        <f>SUMIFS(INDEX(Техника!$F$1:$ABM$500,S$2,0),Техника!$F$4:$ABM$4,"Часы",INDEX(Техника!$G$1:$ABN$500,S$2,0),$A$970,INDEX(Техника!$H$1:$ABO$500,S$2,0),"М")</f>
        <v>0</v>
      </c>
      <c r="T971" s="50">
        <f>SUMIFS(INDEX(Техника!$F$1:$ABM$500,T$2,0),Техника!$F$4:$ABM$4,"Часы",INDEX(Техника!$G$1:$ABN$500,T$2,0),$A$970,INDEX(Техника!$H$1:$ABO$500,T$2,0),"М")</f>
        <v>0</v>
      </c>
      <c r="U971" s="50">
        <f>SUMIFS(INDEX(Техника!$F$1:$ABM$500,U$2,0),Техника!$F$4:$ABM$4,"Часы",INDEX(Техника!$G$1:$ABN$500,U$2,0),$A$970,INDEX(Техника!$H$1:$ABO$500,U$2,0),"М")</f>
        <v>0</v>
      </c>
      <c r="V971" s="50">
        <f>SUMIFS(INDEX(Техника!$F$1:$ABM$500,V$2,0),Техника!$F$4:$ABM$4,"Часы",INDEX(Техника!$G$1:$ABN$500,V$2,0),$A$970,INDEX(Техника!$H$1:$ABO$500,V$2,0),"М")</f>
        <v>0</v>
      </c>
      <c r="W971" s="50">
        <f>SUMIFS(INDEX(Техника!$F$1:$ABM$500,W$2,0),Техника!$F$4:$ABM$4,"Часы",INDEX(Техника!$G$1:$ABN$500,W$2,0),$A$970,INDEX(Техника!$H$1:$ABO$500,W$2,0),"М")</f>
        <v>0</v>
      </c>
      <c r="X971" s="50">
        <f>SUMIFS(INDEX(Техника!$F$1:$ABM$500,X$2,0),Техника!$F$4:$ABM$4,"Часы",INDEX(Техника!$G$1:$ABN$500,X$2,0),$A$970,INDEX(Техника!$H$1:$ABO$500,X$2,0),"М")</f>
        <v>0</v>
      </c>
      <c r="Y971" s="50">
        <f>SUMIFS(INDEX(Техника!$F$1:$ABM$500,Y$2,0),Техника!$F$4:$ABM$4,"Часы",INDEX(Техника!$G$1:$ABN$500,Y$2,0),$A$970,INDEX(Техника!$H$1:$ABO$500,Y$2,0),"М")</f>
        <v>0</v>
      </c>
      <c r="Z971" s="50">
        <f>SUMIFS(INDEX(Техника!$F$1:$ABM$500,Z$2,0),Техника!$F$4:$ABM$4,"Часы",INDEX(Техника!$G$1:$ABN$500,Z$2,0),$A$970,INDEX(Техника!$H$1:$ABO$500,Z$2,0),"М")</f>
        <v>0</v>
      </c>
      <c r="AA971" s="50">
        <f>SUMIFS(INDEX(Техника!$F$1:$ABM$500,AA$2,0),Техника!$F$4:$ABM$4,"Часы",INDEX(Техника!$G$1:$ABN$500,AA$2,0),$A$970,INDEX(Техника!$H$1:$ABO$500,AA$2,0),"М")</f>
        <v>0</v>
      </c>
      <c r="AB971" s="50">
        <f>SUMIFS(INDEX(Техника!$F$1:$ABM$500,AB$2,0),Техника!$F$4:$ABM$4,"Часы",INDEX(Техника!$G$1:$ABN$500,AB$2,0),$A$970,INDEX(Техника!$H$1:$ABO$500,AB$2,0),"М")</f>
        <v>0</v>
      </c>
    </row>
    <row r="972" spans="1:28" hidden="1" outlineLevel="1" x14ac:dyDescent="0.3">
      <c r="A972" s="33" t="s">
        <v>244</v>
      </c>
      <c r="B972" s="34" t="s">
        <v>275</v>
      </c>
      <c r="C972" s="50">
        <f>SUMIFS(INDEX(Техника!$F$1:$ABM$500,C$2,0),Техника!$F$4:$ABM$4,"Часы",INDEX(Техника!$G$1:$ABN$500,C$2,0),$A$970,INDEX(Техника!$H$1:$ABO$500,C$2,0),"Д")</f>
        <v>0</v>
      </c>
      <c r="D972" s="50">
        <f>SUMIFS(INDEX(Техника!$F$1:$ABM$500,D$2,0),Техника!$F$4:$ABM$4,"Часы",INDEX(Техника!$G$1:$ABN$500,D$2,0),$A$970,INDEX(Техника!$H$1:$ABO$500,D$2,0),"Д")</f>
        <v>0</v>
      </c>
      <c r="E972" s="50">
        <f>SUMIFS(INDEX(Техника!$F$1:$ABM$500,E$2,0),Техника!$F$4:$ABM$4,"Часы",INDEX(Техника!$G$1:$ABN$500,E$2,0),$A$970,INDEX(Техника!$H$1:$ABO$500,E$2,0),"Д")</f>
        <v>0</v>
      </c>
      <c r="F972" s="50">
        <f>SUMIFS(INDEX(Техника!$F$1:$ABM$500,F$2,0),Техника!$F$4:$ABM$4,"Часы",INDEX(Техника!$G$1:$ABN$500,F$2,0),$A$970,INDEX(Техника!$H$1:$ABO$500,F$2,0),"Д")</f>
        <v>0</v>
      </c>
      <c r="G972" s="50">
        <f>SUMIFS(INDEX(Техника!$F$1:$ABM$500,G$2,0),Техника!$F$4:$ABM$4,"Часы",INDEX(Техника!$G$1:$ABN$500,G$2,0),$A$970,INDEX(Техника!$H$1:$ABO$500,G$2,0),"Д")</f>
        <v>0</v>
      </c>
      <c r="H972" s="50">
        <f>SUMIFS(INDEX(Техника!$F$1:$ABM$500,H$2,0),Техника!$F$4:$ABM$4,"Часы",INDEX(Техника!$G$1:$ABN$500,H$2,0),$A$970,INDEX(Техника!$H$1:$ABO$500,H$2,0),"Д")</f>
        <v>0</v>
      </c>
      <c r="I972" s="50">
        <f>SUMIFS(INDEX(Техника!$F$1:$ABM$500,I$2,0),Техника!$F$4:$ABM$4,"Часы",INDEX(Техника!$G$1:$ABN$500,I$2,0),$A$970,INDEX(Техника!$H$1:$ABO$500,I$2,0),"Д")</f>
        <v>0</v>
      </c>
      <c r="J972" s="50">
        <f>SUMIFS(INDEX(Техника!$F$1:$ABM$500,J$2,0),Техника!$F$4:$ABM$4,"Часы",INDEX(Техника!$G$1:$ABN$500,J$2,0),$A$970,INDEX(Техника!$H$1:$ABO$500,J$2,0),"Д")</f>
        <v>0</v>
      </c>
      <c r="K972" s="50">
        <f>SUMIFS(INDEX(Техника!$F$1:$ABM$500,K$2,0),Техника!$F$4:$ABM$4,"Часы",INDEX(Техника!$G$1:$ABN$500,K$2,0),$A$970,INDEX(Техника!$H$1:$ABO$500,K$2,0),"Д")</f>
        <v>0</v>
      </c>
      <c r="L972" s="50">
        <f>SUMIFS(INDEX(Техника!$F$1:$ABM$500,L$2,0),Техника!$F$4:$ABM$4,"Часы",INDEX(Техника!$G$1:$ABN$500,L$2,0),$A$970,INDEX(Техника!$H$1:$ABO$500,L$2,0),"Д")</f>
        <v>0</v>
      </c>
      <c r="M972" s="50">
        <f>SUMIFS(INDEX(Техника!$F$1:$ABM$500,M$2,0),Техника!$F$4:$ABM$4,"Часы",INDEX(Техника!$G$1:$ABN$500,M$2,0),$A$970,INDEX(Техника!$H$1:$ABO$500,M$2,0),"Д")</f>
        <v>0</v>
      </c>
      <c r="N972" s="50">
        <f>SUMIFS(INDEX(Техника!$F$1:$ABM$500,N$2,0),Техника!$F$4:$ABM$4,"Часы",INDEX(Техника!$G$1:$ABN$500,N$2,0),$A$970,INDEX(Техника!$H$1:$ABO$500,N$2,0),"Д")</f>
        <v>0</v>
      </c>
      <c r="O972" s="50">
        <f>SUMIFS(INDEX(Техника!$F$1:$ABM$500,O$2,0),Техника!$F$4:$ABM$4,"Часы",INDEX(Техника!$G$1:$ABN$500,O$2,0),$A$970,INDEX(Техника!$H$1:$ABO$500,O$2,0),"Д")</f>
        <v>0</v>
      </c>
      <c r="P972" s="50">
        <f>SUMIFS(INDEX(Техника!$F$1:$ABM$500,P$2,0),Техника!$F$4:$ABM$4,"Часы",INDEX(Техника!$G$1:$ABN$500,P$2,0),$A$970,INDEX(Техника!$H$1:$ABO$500,P$2,0),"Д")</f>
        <v>0</v>
      </c>
      <c r="Q972" s="50">
        <f>SUMIFS(INDEX(Техника!$F$1:$ABM$500,Q$2,0),Техника!$F$4:$ABM$4,"Часы",INDEX(Техника!$G$1:$ABN$500,Q$2,0),$A$970,INDEX(Техника!$H$1:$ABO$500,Q$2,0),"Д")</f>
        <v>0</v>
      </c>
      <c r="R972" s="50">
        <f>SUMIFS(INDEX(Техника!$F$1:$ABM$500,R$2,0),Техника!$F$4:$ABM$4,"Часы",INDEX(Техника!$G$1:$ABN$500,R$2,0),$A$970,INDEX(Техника!$H$1:$ABO$500,R$2,0),"Д")</f>
        <v>0</v>
      </c>
      <c r="S972" s="50">
        <f>SUMIFS(INDEX(Техника!$F$1:$ABM$500,S$2,0),Техника!$F$4:$ABM$4,"Часы",INDEX(Техника!$G$1:$ABN$500,S$2,0),$A$970,INDEX(Техника!$H$1:$ABO$500,S$2,0),"Д")</f>
        <v>0</v>
      </c>
      <c r="T972" s="50">
        <f>SUMIFS(INDEX(Техника!$F$1:$ABM$500,T$2,0),Техника!$F$4:$ABM$4,"Часы",INDEX(Техника!$G$1:$ABN$500,T$2,0),$A$970,INDEX(Техника!$H$1:$ABO$500,T$2,0),"Д")</f>
        <v>0</v>
      </c>
      <c r="U972" s="50">
        <f>SUMIFS(INDEX(Техника!$F$1:$ABM$500,U$2,0),Техника!$F$4:$ABM$4,"Часы",INDEX(Техника!$G$1:$ABN$500,U$2,0),$A$970,INDEX(Техника!$H$1:$ABO$500,U$2,0),"Д")</f>
        <v>0</v>
      </c>
      <c r="V972" s="50">
        <f>SUMIFS(INDEX(Техника!$F$1:$ABM$500,V$2,0),Техника!$F$4:$ABM$4,"Часы",INDEX(Техника!$G$1:$ABN$500,V$2,0),$A$970,INDEX(Техника!$H$1:$ABO$500,V$2,0),"Д")</f>
        <v>0</v>
      </c>
      <c r="W972" s="50">
        <f>SUMIFS(INDEX(Техника!$F$1:$ABM$500,W$2,0),Техника!$F$4:$ABM$4,"Часы",INDEX(Техника!$G$1:$ABN$500,W$2,0),$A$970,INDEX(Техника!$H$1:$ABO$500,W$2,0),"Д")</f>
        <v>0</v>
      </c>
      <c r="X972" s="50">
        <f>SUMIFS(INDEX(Техника!$F$1:$ABM$500,X$2,0),Техника!$F$4:$ABM$4,"Часы",INDEX(Техника!$G$1:$ABN$500,X$2,0),$A$970,INDEX(Техника!$H$1:$ABO$500,X$2,0),"Д")</f>
        <v>0</v>
      </c>
      <c r="Y972" s="50">
        <f>SUMIFS(INDEX(Техника!$F$1:$ABM$500,Y$2,0),Техника!$F$4:$ABM$4,"Часы",INDEX(Техника!$G$1:$ABN$500,Y$2,0),$A$970,INDEX(Техника!$H$1:$ABO$500,Y$2,0),"Д")</f>
        <v>0</v>
      </c>
      <c r="Z972" s="50">
        <f>SUMIFS(INDEX(Техника!$F$1:$ABM$500,Z$2,0),Техника!$F$4:$ABM$4,"Часы",INDEX(Техника!$G$1:$ABN$500,Z$2,0),$A$970,INDEX(Техника!$H$1:$ABO$500,Z$2,0),"Д")</f>
        <v>0</v>
      </c>
      <c r="AA972" s="50">
        <f>SUMIFS(INDEX(Техника!$F$1:$ABM$500,AA$2,0),Техника!$F$4:$ABM$4,"Часы",INDEX(Техника!$G$1:$ABN$500,AA$2,0),$A$970,INDEX(Техника!$H$1:$ABO$500,AA$2,0),"Д")</f>
        <v>0</v>
      </c>
      <c r="AB972" s="50">
        <f>SUMIFS(INDEX(Техника!$F$1:$ABM$500,AB$2,0),Техника!$F$4:$ABM$4,"Часы",INDEX(Техника!$G$1:$ABN$500,AB$2,0),$A$970,INDEX(Техника!$H$1:$ABO$500,AB$2,0),"Д")</f>
        <v>0</v>
      </c>
    </row>
    <row r="973" spans="1:28" hidden="1" outlineLevel="1" x14ac:dyDescent="0.3">
      <c r="A973" s="33" t="s">
        <v>276</v>
      </c>
      <c r="B973" s="34" t="s">
        <v>277</v>
      </c>
      <c r="C973" s="50">
        <f>SUMIFS(INDEX(Техника!$F$1:$ABM$500,C$2,0),Техника!$F$4:$ABM$4,"Часы",INDEX(Техника!$G$1:$ABN$500,C$2,0),$A$970,INDEX(Техника!$H$1:$ABO$500,C$2,0),"П")</f>
        <v>0</v>
      </c>
      <c r="D973" s="50">
        <f>SUMIFS(INDEX(Техника!$F$1:$ABM$500,D$2,0),Техника!$F$4:$ABM$4,"Часы",INDEX(Техника!$G$1:$ABN$500,D$2,0),$A$970,INDEX(Техника!$H$1:$ABO$500,D$2,0),"П")</f>
        <v>0</v>
      </c>
      <c r="E973" s="50">
        <f>SUMIFS(INDEX(Техника!$F$1:$ABM$500,E$2,0),Техника!$F$4:$ABM$4,"Часы",INDEX(Техника!$G$1:$ABN$500,E$2,0),$A$970,INDEX(Техника!$H$1:$ABO$500,E$2,0),"П")</f>
        <v>0</v>
      </c>
      <c r="F973" s="50">
        <f>SUMIFS(INDEX(Техника!$F$1:$ABM$500,F$2,0),Техника!$F$4:$ABM$4,"Часы",INDEX(Техника!$G$1:$ABN$500,F$2,0),$A$970,INDEX(Техника!$H$1:$ABO$500,F$2,0),"П")</f>
        <v>0</v>
      </c>
      <c r="G973" s="50">
        <f>SUMIFS(INDEX(Техника!$F$1:$ABM$500,G$2,0),Техника!$F$4:$ABM$4,"Часы",INDEX(Техника!$G$1:$ABN$500,G$2,0),$A$970,INDEX(Техника!$H$1:$ABO$500,G$2,0),"П")</f>
        <v>0</v>
      </c>
      <c r="H973" s="50">
        <f>SUMIFS(INDEX(Техника!$F$1:$ABM$500,H$2,0),Техника!$F$4:$ABM$4,"Часы",INDEX(Техника!$G$1:$ABN$500,H$2,0),$A$970,INDEX(Техника!$H$1:$ABO$500,H$2,0),"П")</f>
        <v>0</v>
      </c>
      <c r="I973" s="50">
        <f>SUMIFS(INDEX(Техника!$F$1:$ABM$500,I$2,0),Техника!$F$4:$ABM$4,"Часы",INDEX(Техника!$G$1:$ABN$500,I$2,0),$A$970,INDEX(Техника!$H$1:$ABO$500,I$2,0),"П")</f>
        <v>0</v>
      </c>
      <c r="J973" s="50">
        <f>SUMIFS(INDEX(Техника!$F$1:$ABM$500,J$2,0),Техника!$F$4:$ABM$4,"Часы",INDEX(Техника!$G$1:$ABN$500,J$2,0),$A$970,INDEX(Техника!$H$1:$ABO$500,J$2,0),"П")</f>
        <v>0</v>
      </c>
      <c r="K973" s="50">
        <f>SUMIFS(INDEX(Техника!$F$1:$ABM$500,K$2,0),Техника!$F$4:$ABM$4,"Часы",INDEX(Техника!$G$1:$ABN$500,K$2,0),$A$970,INDEX(Техника!$H$1:$ABO$500,K$2,0),"П")</f>
        <v>0</v>
      </c>
      <c r="L973" s="50">
        <f>SUMIFS(INDEX(Техника!$F$1:$ABM$500,L$2,0),Техника!$F$4:$ABM$4,"Часы",INDEX(Техника!$G$1:$ABN$500,L$2,0),$A$970,INDEX(Техника!$H$1:$ABO$500,L$2,0),"П")</f>
        <v>0</v>
      </c>
      <c r="M973" s="50">
        <f>SUMIFS(INDEX(Техника!$F$1:$ABM$500,M$2,0),Техника!$F$4:$ABM$4,"Часы",INDEX(Техника!$G$1:$ABN$500,M$2,0),$A$970,INDEX(Техника!$H$1:$ABO$500,M$2,0),"П")</f>
        <v>0</v>
      </c>
      <c r="N973" s="50">
        <f>SUMIFS(INDEX(Техника!$F$1:$ABM$500,N$2,0),Техника!$F$4:$ABM$4,"Часы",INDEX(Техника!$G$1:$ABN$500,N$2,0),$A$970,INDEX(Техника!$H$1:$ABO$500,N$2,0),"П")</f>
        <v>0</v>
      </c>
      <c r="O973" s="50">
        <f>SUMIFS(INDEX(Техника!$F$1:$ABM$500,O$2,0),Техника!$F$4:$ABM$4,"Часы",INDEX(Техника!$G$1:$ABN$500,O$2,0),$A$970,INDEX(Техника!$H$1:$ABO$500,O$2,0),"П")</f>
        <v>0</v>
      </c>
      <c r="P973" s="50">
        <f>SUMIFS(INDEX(Техника!$F$1:$ABM$500,P$2,0),Техника!$F$4:$ABM$4,"Часы",INDEX(Техника!$G$1:$ABN$500,P$2,0),$A$970,INDEX(Техника!$H$1:$ABO$500,P$2,0),"П")</f>
        <v>0</v>
      </c>
      <c r="Q973" s="50">
        <f>SUMIFS(INDEX(Техника!$F$1:$ABM$500,Q$2,0),Техника!$F$4:$ABM$4,"Часы",INDEX(Техника!$G$1:$ABN$500,Q$2,0),$A$970,INDEX(Техника!$H$1:$ABO$500,Q$2,0),"П")</f>
        <v>0</v>
      </c>
      <c r="R973" s="50">
        <f>SUMIFS(INDEX(Техника!$F$1:$ABM$500,R$2,0),Техника!$F$4:$ABM$4,"Часы",INDEX(Техника!$G$1:$ABN$500,R$2,0),$A$970,INDEX(Техника!$H$1:$ABO$500,R$2,0),"П")</f>
        <v>0</v>
      </c>
      <c r="S973" s="50">
        <f>SUMIFS(INDEX(Техника!$F$1:$ABM$500,S$2,0),Техника!$F$4:$ABM$4,"Часы",INDEX(Техника!$G$1:$ABN$500,S$2,0),$A$970,INDEX(Техника!$H$1:$ABO$500,S$2,0),"П")</f>
        <v>0</v>
      </c>
      <c r="T973" s="50">
        <f>SUMIFS(INDEX(Техника!$F$1:$ABM$500,T$2,0),Техника!$F$4:$ABM$4,"Часы",INDEX(Техника!$G$1:$ABN$500,T$2,0),$A$970,INDEX(Техника!$H$1:$ABO$500,T$2,0),"П")</f>
        <v>0</v>
      </c>
      <c r="U973" s="50">
        <f>SUMIFS(INDEX(Техника!$F$1:$ABM$500,U$2,0),Техника!$F$4:$ABM$4,"Часы",INDEX(Техника!$G$1:$ABN$500,U$2,0),$A$970,INDEX(Техника!$H$1:$ABO$500,U$2,0),"П")</f>
        <v>0</v>
      </c>
      <c r="V973" s="50">
        <f>SUMIFS(INDEX(Техника!$F$1:$ABM$500,V$2,0),Техника!$F$4:$ABM$4,"Часы",INDEX(Техника!$G$1:$ABN$500,V$2,0),$A$970,INDEX(Техника!$H$1:$ABO$500,V$2,0),"П")</f>
        <v>0</v>
      </c>
      <c r="W973" s="50">
        <f>SUMIFS(INDEX(Техника!$F$1:$ABM$500,W$2,0),Техника!$F$4:$ABM$4,"Часы",INDEX(Техника!$G$1:$ABN$500,W$2,0),$A$970,INDEX(Техника!$H$1:$ABO$500,W$2,0),"П")</f>
        <v>0</v>
      </c>
      <c r="X973" s="50">
        <f>SUMIFS(INDEX(Техника!$F$1:$ABM$500,X$2,0),Техника!$F$4:$ABM$4,"Часы",INDEX(Техника!$G$1:$ABN$500,X$2,0),$A$970,INDEX(Техника!$H$1:$ABO$500,X$2,0),"П")</f>
        <v>0</v>
      </c>
      <c r="Y973" s="50">
        <f>SUMIFS(INDEX(Техника!$F$1:$ABM$500,Y$2,0),Техника!$F$4:$ABM$4,"Часы",INDEX(Техника!$G$1:$ABN$500,Y$2,0),$A$970,INDEX(Техника!$H$1:$ABO$500,Y$2,0),"П")</f>
        <v>0</v>
      </c>
      <c r="Z973" s="50">
        <f>SUMIFS(INDEX(Техника!$F$1:$ABM$500,Z$2,0),Техника!$F$4:$ABM$4,"Часы",INDEX(Техника!$G$1:$ABN$500,Z$2,0),$A$970,INDEX(Техника!$H$1:$ABO$500,Z$2,0),"П")</f>
        <v>0</v>
      </c>
      <c r="AA973" s="50">
        <f>SUMIFS(INDEX(Техника!$F$1:$ABM$500,AA$2,0),Техника!$F$4:$ABM$4,"Часы",INDEX(Техника!$G$1:$ABN$500,AA$2,0),$A$970,INDEX(Техника!$H$1:$ABO$500,AA$2,0),"П")</f>
        <v>0</v>
      </c>
      <c r="AB973" s="50">
        <f>SUMIFS(INDEX(Техника!$F$1:$ABM$500,AB$2,0),Техника!$F$4:$ABM$4,"Часы",INDEX(Техника!$G$1:$ABN$500,AB$2,0),$A$970,INDEX(Техника!$H$1:$ABO$500,AB$2,0),"П")</f>
        <v>0</v>
      </c>
    </row>
    <row r="974" spans="1:28" hidden="1" outlineLevel="1" x14ac:dyDescent="0.3">
      <c r="A974" s="33" t="s">
        <v>243</v>
      </c>
      <c r="B974" s="34" t="s">
        <v>278</v>
      </c>
      <c r="C974" s="50">
        <f>SUMIFS(INDEX(Техника!$F$1:$ABM$500,C$2,0),Техника!$F$4:$ABM$4,"Часы",INDEX(Техника!$G$1:$ABN$500,C$2,0),$A$970,INDEX(Техника!$H$1:$ABO$500,C$2,0),"Л")</f>
        <v>0</v>
      </c>
      <c r="D974" s="50">
        <f>SUMIFS(INDEX(Техника!$F$1:$ABM$500,D$2,0),Техника!$F$4:$ABM$4,"Часы",INDEX(Техника!$G$1:$ABN$500,D$2,0),$A$970,INDEX(Техника!$H$1:$ABO$500,D$2,0),"Л")</f>
        <v>0</v>
      </c>
      <c r="E974" s="50">
        <f>SUMIFS(INDEX(Техника!$F$1:$ABM$500,E$2,0),Техника!$F$4:$ABM$4,"Часы",INDEX(Техника!$G$1:$ABN$500,E$2,0),$A$970,INDEX(Техника!$H$1:$ABO$500,E$2,0),"Л")</f>
        <v>0</v>
      </c>
      <c r="F974" s="50">
        <f>SUMIFS(INDEX(Техника!$F$1:$ABM$500,F$2,0),Техника!$F$4:$ABM$4,"Часы",INDEX(Техника!$G$1:$ABN$500,F$2,0),$A$970,INDEX(Техника!$H$1:$ABO$500,F$2,0),"Л")</f>
        <v>0</v>
      </c>
      <c r="G974" s="50">
        <f>SUMIFS(INDEX(Техника!$F$1:$ABM$500,G$2,0),Техника!$F$4:$ABM$4,"Часы",INDEX(Техника!$G$1:$ABN$500,G$2,0),$A$970,INDEX(Техника!$H$1:$ABO$500,G$2,0),"Л")</f>
        <v>0</v>
      </c>
      <c r="H974" s="50">
        <f>SUMIFS(INDEX(Техника!$F$1:$ABM$500,H$2,0),Техника!$F$4:$ABM$4,"Часы",INDEX(Техника!$G$1:$ABN$500,H$2,0),$A$970,INDEX(Техника!$H$1:$ABO$500,H$2,0),"Л")</f>
        <v>0</v>
      </c>
      <c r="I974" s="50">
        <f>SUMIFS(INDEX(Техника!$F$1:$ABM$500,I$2,0),Техника!$F$4:$ABM$4,"Часы",INDEX(Техника!$G$1:$ABN$500,I$2,0),$A$970,INDEX(Техника!$H$1:$ABO$500,I$2,0),"Л")</f>
        <v>0</v>
      </c>
      <c r="J974" s="50">
        <f>SUMIFS(INDEX(Техника!$F$1:$ABM$500,J$2,0),Техника!$F$4:$ABM$4,"Часы",INDEX(Техника!$G$1:$ABN$500,J$2,0),$A$970,INDEX(Техника!$H$1:$ABO$500,J$2,0),"Л")</f>
        <v>0</v>
      </c>
      <c r="K974" s="50">
        <f>SUMIFS(INDEX(Техника!$F$1:$ABM$500,K$2,0),Техника!$F$4:$ABM$4,"Часы",INDEX(Техника!$G$1:$ABN$500,K$2,0),$A$970,INDEX(Техника!$H$1:$ABO$500,K$2,0),"Л")</f>
        <v>0</v>
      </c>
      <c r="L974" s="50">
        <f>SUMIFS(INDEX(Техника!$F$1:$ABM$500,L$2,0),Техника!$F$4:$ABM$4,"Часы",INDEX(Техника!$G$1:$ABN$500,L$2,0),$A$970,INDEX(Техника!$H$1:$ABO$500,L$2,0),"Л")</f>
        <v>0</v>
      </c>
      <c r="M974" s="50">
        <f>SUMIFS(INDEX(Техника!$F$1:$ABM$500,M$2,0),Техника!$F$4:$ABM$4,"Часы",INDEX(Техника!$G$1:$ABN$500,M$2,0),$A$970,INDEX(Техника!$H$1:$ABO$500,M$2,0),"Л")</f>
        <v>0</v>
      </c>
      <c r="N974" s="50">
        <f>SUMIFS(INDEX(Техника!$F$1:$ABM$500,N$2,0),Техника!$F$4:$ABM$4,"Часы",INDEX(Техника!$G$1:$ABN$500,N$2,0),$A$970,INDEX(Техника!$H$1:$ABO$500,N$2,0),"Л")</f>
        <v>0</v>
      </c>
      <c r="O974" s="50">
        <f>SUMIFS(INDEX(Техника!$F$1:$ABM$500,O$2,0),Техника!$F$4:$ABM$4,"Часы",INDEX(Техника!$G$1:$ABN$500,O$2,0),$A$970,INDEX(Техника!$H$1:$ABO$500,O$2,0),"Л")</f>
        <v>0</v>
      </c>
      <c r="P974" s="50">
        <f>SUMIFS(INDEX(Техника!$F$1:$ABM$500,P$2,0),Техника!$F$4:$ABM$4,"Часы",INDEX(Техника!$G$1:$ABN$500,P$2,0),$A$970,INDEX(Техника!$H$1:$ABO$500,P$2,0),"Л")</f>
        <v>0</v>
      </c>
      <c r="Q974" s="50">
        <f>SUMIFS(INDEX(Техника!$F$1:$ABM$500,Q$2,0),Техника!$F$4:$ABM$4,"Часы",INDEX(Техника!$G$1:$ABN$500,Q$2,0),$A$970,INDEX(Техника!$H$1:$ABO$500,Q$2,0),"Л")</f>
        <v>0</v>
      </c>
      <c r="R974" s="50">
        <f>SUMIFS(INDEX(Техника!$F$1:$ABM$500,R$2,0),Техника!$F$4:$ABM$4,"Часы",INDEX(Техника!$G$1:$ABN$500,R$2,0),$A$970,INDEX(Техника!$H$1:$ABO$500,R$2,0),"Л")</f>
        <v>0</v>
      </c>
      <c r="S974" s="50">
        <f>SUMIFS(INDEX(Техника!$F$1:$ABM$500,S$2,0),Техника!$F$4:$ABM$4,"Часы",INDEX(Техника!$G$1:$ABN$500,S$2,0),$A$970,INDEX(Техника!$H$1:$ABO$500,S$2,0),"Л")</f>
        <v>0</v>
      </c>
      <c r="T974" s="50">
        <f>SUMIFS(INDEX(Техника!$F$1:$ABM$500,T$2,0),Техника!$F$4:$ABM$4,"Часы",INDEX(Техника!$G$1:$ABN$500,T$2,0),$A$970,INDEX(Техника!$H$1:$ABO$500,T$2,0),"Л")</f>
        <v>0</v>
      </c>
      <c r="U974" s="50">
        <f>SUMIFS(INDEX(Техника!$F$1:$ABM$500,U$2,0),Техника!$F$4:$ABM$4,"Часы",INDEX(Техника!$G$1:$ABN$500,U$2,0),$A$970,INDEX(Техника!$H$1:$ABO$500,U$2,0),"Л")</f>
        <v>0</v>
      </c>
      <c r="V974" s="50">
        <f>SUMIFS(INDEX(Техника!$F$1:$ABM$500,V$2,0),Техника!$F$4:$ABM$4,"Часы",INDEX(Техника!$G$1:$ABN$500,V$2,0),$A$970,INDEX(Техника!$H$1:$ABO$500,V$2,0),"Л")</f>
        <v>0</v>
      </c>
      <c r="W974" s="50">
        <f>SUMIFS(INDEX(Техника!$F$1:$ABM$500,W$2,0),Техника!$F$4:$ABM$4,"Часы",INDEX(Техника!$G$1:$ABN$500,W$2,0),$A$970,INDEX(Техника!$H$1:$ABO$500,W$2,0),"Л")</f>
        <v>0</v>
      </c>
      <c r="X974" s="50">
        <f>SUMIFS(INDEX(Техника!$F$1:$ABM$500,X$2,0),Техника!$F$4:$ABM$4,"Часы",INDEX(Техника!$G$1:$ABN$500,X$2,0),$A$970,INDEX(Техника!$H$1:$ABO$500,X$2,0),"Л")</f>
        <v>0</v>
      </c>
      <c r="Y974" s="50">
        <f>SUMIFS(INDEX(Техника!$F$1:$ABM$500,Y$2,0),Техника!$F$4:$ABM$4,"Часы",INDEX(Техника!$G$1:$ABN$500,Y$2,0),$A$970,INDEX(Техника!$H$1:$ABO$500,Y$2,0),"Л")</f>
        <v>0</v>
      </c>
      <c r="Z974" s="50">
        <f>SUMIFS(INDEX(Техника!$F$1:$ABM$500,Z$2,0),Техника!$F$4:$ABM$4,"Часы",INDEX(Техника!$G$1:$ABN$500,Z$2,0),$A$970,INDEX(Техника!$H$1:$ABO$500,Z$2,0),"Л")</f>
        <v>0</v>
      </c>
      <c r="AA974" s="50">
        <f>SUMIFS(INDEX(Техника!$F$1:$ABM$500,AA$2,0),Техника!$F$4:$ABM$4,"Часы",INDEX(Техника!$G$1:$ABN$500,AA$2,0),$A$970,INDEX(Техника!$H$1:$ABO$500,AA$2,0),"Л")</f>
        <v>0</v>
      </c>
      <c r="AB974" s="50">
        <f>SUMIFS(INDEX(Техника!$F$1:$ABM$500,AB$2,0),Техника!$F$4:$ABM$4,"Часы",INDEX(Техника!$G$1:$ABN$500,AB$2,0),$A$970,INDEX(Техника!$H$1:$ABO$500,AB$2,0),"Л")</f>
        <v>0</v>
      </c>
    </row>
    <row r="975" spans="1:28" hidden="1" outlineLevel="1" x14ac:dyDescent="0.3">
      <c r="A975" s="33" t="s">
        <v>245</v>
      </c>
      <c r="B975" s="34" t="s">
        <v>279</v>
      </c>
      <c r="C975" s="50">
        <f>SUMIFS(INDEX(Техника!$F$1:$ABM$500,C$2,0),Техника!$F$4:$ABM$4,"Часы",INDEX(Техника!$G$1:$ABN$500,C$2,0),$A$970,INDEX(Техника!$H$1:$ABO$500,C$2,0),"З")</f>
        <v>0</v>
      </c>
      <c r="D975" s="50">
        <f>SUMIFS(INDEX(Техника!$F$1:$ABM$500,D$2,0),Техника!$F$4:$ABM$4,"Часы",INDEX(Техника!$G$1:$ABN$500,D$2,0),$A$970,INDEX(Техника!$H$1:$ABO$500,D$2,0),"З")</f>
        <v>0</v>
      </c>
      <c r="E975" s="50">
        <f>SUMIFS(INDEX(Техника!$F$1:$ABM$500,E$2,0),Техника!$F$4:$ABM$4,"Часы",INDEX(Техника!$G$1:$ABN$500,E$2,0),$A$970,INDEX(Техника!$H$1:$ABO$500,E$2,0),"З")</f>
        <v>0</v>
      </c>
      <c r="F975" s="50">
        <f>SUMIFS(INDEX(Техника!$F$1:$ABM$500,F$2,0),Техника!$F$4:$ABM$4,"Часы",INDEX(Техника!$G$1:$ABN$500,F$2,0),$A$970,INDEX(Техника!$H$1:$ABO$500,F$2,0),"З")</f>
        <v>0</v>
      </c>
      <c r="G975" s="50">
        <f>SUMIFS(INDEX(Техника!$F$1:$ABM$500,G$2,0),Техника!$F$4:$ABM$4,"Часы",INDEX(Техника!$G$1:$ABN$500,G$2,0),$A$970,INDEX(Техника!$H$1:$ABO$500,G$2,0),"З")</f>
        <v>0</v>
      </c>
      <c r="H975" s="50">
        <f>SUMIFS(INDEX(Техника!$F$1:$ABM$500,H$2,0),Техника!$F$4:$ABM$4,"Часы",INDEX(Техника!$G$1:$ABN$500,H$2,0),$A$970,INDEX(Техника!$H$1:$ABO$500,H$2,0),"З")</f>
        <v>0</v>
      </c>
      <c r="I975" s="50">
        <f>SUMIFS(INDEX(Техника!$F$1:$ABM$500,I$2,0),Техника!$F$4:$ABM$4,"Часы",INDEX(Техника!$G$1:$ABN$500,I$2,0),$A$970,INDEX(Техника!$H$1:$ABO$500,I$2,0),"З")</f>
        <v>0</v>
      </c>
      <c r="J975" s="50">
        <f>SUMIFS(INDEX(Техника!$F$1:$ABM$500,J$2,0),Техника!$F$4:$ABM$4,"Часы",INDEX(Техника!$G$1:$ABN$500,J$2,0),$A$970,INDEX(Техника!$H$1:$ABO$500,J$2,0),"З")</f>
        <v>0</v>
      </c>
      <c r="K975" s="50">
        <f>SUMIFS(INDEX(Техника!$F$1:$ABM$500,K$2,0),Техника!$F$4:$ABM$4,"Часы",INDEX(Техника!$G$1:$ABN$500,K$2,0),$A$970,INDEX(Техника!$H$1:$ABO$500,K$2,0),"З")</f>
        <v>0</v>
      </c>
      <c r="L975" s="50">
        <f>SUMIFS(INDEX(Техника!$F$1:$ABM$500,L$2,0),Техника!$F$4:$ABM$4,"Часы",INDEX(Техника!$G$1:$ABN$500,L$2,0),$A$970,INDEX(Техника!$H$1:$ABO$500,L$2,0),"З")</f>
        <v>0</v>
      </c>
      <c r="M975" s="50">
        <f>SUMIFS(INDEX(Техника!$F$1:$ABM$500,M$2,0),Техника!$F$4:$ABM$4,"Часы",INDEX(Техника!$G$1:$ABN$500,M$2,0),$A$970,INDEX(Техника!$H$1:$ABO$500,M$2,0),"З")</f>
        <v>0</v>
      </c>
      <c r="N975" s="50">
        <f>SUMIFS(INDEX(Техника!$F$1:$ABM$500,N$2,0),Техника!$F$4:$ABM$4,"Часы",INDEX(Техника!$G$1:$ABN$500,N$2,0),$A$970,INDEX(Техника!$H$1:$ABO$500,N$2,0),"З")</f>
        <v>0</v>
      </c>
      <c r="O975" s="50">
        <f>SUMIFS(INDEX(Техника!$F$1:$ABM$500,O$2,0),Техника!$F$4:$ABM$4,"Часы",INDEX(Техника!$G$1:$ABN$500,O$2,0),$A$970,INDEX(Техника!$H$1:$ABO$500,O$2,0),"З")</f>
        <v>0</v>
      </c>
      <c r="P975" s="50">
        <f>SUMIFS(INDEX(Техника!$F$1:$ABM$500,P$2,0),Техника!$F$4:$ABM$4,"Часы",INDEX(Техника!$G$1:$ABN$500,P$2,0),$A$970,INDEX(Техника!$H$1:$ABO$500,P$2,0),"З")</f>
        <v>0</v>
      </c>
      <c r="Q975" s="50">
        <f>SUMIFS(INDEX(Техника!$F$1:$ABM$500,Q$2,0),Техника!$F$4:$ABM$4,"Часы",INDEX(Техника!$G$1:$ABN$500,Q$2,0),$A$970,INDEX(Техника!$H$1:$ABO$500,Q$2,0),"З")</f>
        <v>0</v>
      </c>
      <c r="R975" s="50">
        <f>SUMIFS(INDEX(Техника!$F$1:$ABM$500,R$2,0),Техника!$F$4:$ABM$4,"Часы",INDEX(Техника!$G$1:$ABN$500,R$2,0),$A$970,INDEX(Техника!$H$1:$ABO$500,R$2,0),"З")</f>
        <v>0</v>
      </c>
      <c r="S975" s="50">
        <f>SUMIFS(INDEX(Техника!$F$1:$ABM$500,S$2,0),Техника!$F$4:$ABM$4,"Часы",INDEX(Техника!$G$1:$ABN$500,S$2,0),$A$970,INDEX(Техника!$H$1:$ABO$500,S$2,0),"З")</f>
        <v>0</v>
      </c>
      <c r="T975" s="50">
        <f>SUMIFS(INDEX(Техника!$F$1:$ABM$500,T$2,0),Техника!$F$4:$ABM$4,"Часы",INDEX(Техника!$G$1:$ABN$500,T$2,0),$A$970,INDEX(Техника!$H$1:$ABO$500,T$2,0),"З")</f>
        <v>0</v>
      </c>
      <c r="U975" s="50">
        <f>SUMIFS(INDEX(Техника!$F$1:$ABM$500,U$2,0),Техника!$F$4:$ABM$4,"Часы",INDEX(Техника!$G$1:$ABN$500,U$2,0),$A$970,INDEX(Техника!$H$1:$ABO$500,U$2,0),"З")</f>
        <v>0</v>
      </c>
      <c r="V975" s="50">
        <f>SUMIFS(INDEX(Техника!$F$1:$ABM$500,V$2,0),Техника!$F$4:$ABM$4,"Часы",INDEX(Техника!$G$1:$ABN$500,V$2,0),$A$970,INDEX(Техника!$H$1:$ABO$500,V$2,0),"З")</f>
        <v>0</v>
      </c>
      <c r="W975" s="50">
        <f>SUMIFS(INDEX(Техника!$F$1:$ABM$500,W$2,0),Техника!$F$4:$ABM$4,"Часы",INDEX(Техника!$G$1:$ABN$500,W$2,0),$A$970,INDEX(Техника!$H$1:$ABO$500,W$2,0),"З")</f>
        <v>0</v>
      </c>
      <c r="X975" s="50">
        <f>SUMIFS(INDEX(Техника!$F$1:$ABM$500,X$2,0),Техника!$F$4:$ABM$4,"Часы",INDEX(Техника!$G$1:$ABN$500,X$2,0),$A$970,INDEX(Техника!$H$1:$ABO$500,X$2,0),"З")</f>
        <v>0</v>
      </c>
      <c r="Y975" s="50">
        <f>SUMIFS(INDEX(Техника!$F$1:$ABM$500,Y$2,0),Техника!$F$4:$ABM$4,"Часы",INDEX(Техника!$G$1:$ABN$500,Y$2,0),$A$970,INDEX(Техника!$H$1:$ABO$500,Y$2,0),"З")</f>
        <v>0</v>
      </c>
      <c r="Z975" s="50">
        <f>SUMIFS(INDEX(Техника!$F$1:$ABM$500,Z$2,0),Техника!$F$4:$ABM$4,"Часы",INDEX(Техника!$G$1:$ABN$500,Z$2,0),$A$970,INDEX(Техника!$H$1:$ABO$500,Z$2,0),"З")</f>
        <v>0</v>
      </c>
      <c r="AA975" s="50">
        <f>SUMIFS(INDEX(Техника!$F$1:$ABM$500,AA$2,0),Техника!$F$4:$ABM$4,"Часы",INDEX(Техника!$G$1:$ABN$500,AA$2,0),$A$970,INDEX(Техника!$H$1:$ABO$500,AA$2,0),"З")</f>
        <v>0</v>
      </c>
      <c r="AB975" s="50">
        <f>SUMIFS(INDEX(Техника!$F$1:$ABM$500,AB$2,0),Техника!$F$4:$ABM$4,"Часы",INDEX(Техника!$G$1:$ABN$500,AB$2,0),$A$970,INDEX(Техника!$H$1:$ABO$500,AB$2,0),"З")</f>
        <v>0</v>
      </c>
    </row>
    <row r="976" spans="1:28" ht="7.95" customHeight="1" x14ac:dyDescent="0.3">
      <c r="A976" s="38"/>
      <c r="B976" s="39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</row>
    <row r="977" spans="1:28" ht="25.05" customHeight="1" collapsed="1" x14ac:dyDescent="0.3">
      <c r="A977" s="32">
        <v>140</v>
      </c>
      <c r="B977" s="32" t="s">
        <v>141</v>
      </c>
      <c r="C977" s="49">
        <f>SUM(C978:C982)</f>
        <v>0</v>
      </c>
      <c r="D977" s="49">
        <f>SUM(D978:D982)</f>
        <v>0</v>
      </c>
      <c r="E977" s="49">
        <f>SUM(E978:E982)</f>
        <v>0</v>
      </c>
      <c r="F977" s="49">
        <f>SUM(F978:F982)</f>
        <v>0</v>
      </c>
      <c r="G977" s="49">
        <f>SUM(G978:G982)</f>
        <v>0</v>
      </c>
      <c r="H977" s="49">
        <f>SUM(H978:H982)</f>
        <v>0</v>
      </c>
      <c r="I977" s="49">
        <f>SUM(I978:I982)</f>
        <v>0</v>
      </c>
      <c r="J977" s="49">
        <f>SUM(J978:J982)</f>
        <v>0</v>
      </c>
      <c r="K977" s="49">
        <f>SUM(K978:K982)</f>
        <v>0</v>
      </c>
      <c r="L977" s="49">
        <f>SUM(L978:L982)</f>
        <v>0</v>
      </c>
      <c r="M977" s="49">
        <f>SUM(M978:M982)</f>
        <v>0</v>
      </c>
      <c r="N977" s="49">
        <f>SUM(N978:N982)</f>
        <v>0</v>
      </c>
      <c r="O977" s="49">
        <f>SUM(O978:O982)</f>
        <v>0</v>
      </c>
      <c r="P977" s="49">
        <f>SUM(P978:P982)</f>
        <v>0</v>
      </c>
      <c r="Q977" s="49">
        <f>SUM(Q978:Q982)</f>
        <v>0</v>
      </c>
      <c r="R977" s="49">
        <f>SUM(R978:R982)</f>
        <v>0</v>
      </c>
      <c r="S977" s="49">
        <f>SUM(S978:S982)</f>
        <v>0</v>
      </c>
      <c r="T977" s="49">
        <f>SUM(T978:T982)</f>
        <v>0</v>
      </c>
      <c r="U977" s="49">
        <f>SUM(U978:U982)</f>
        <v>0</v>
      </c>
      <c r="V977" s="49">
        <f>SUM(V978:V982)</f>
        <v>0</v>
      </c>
      <c r="W977" s="49">
        <f>SUM(W978:W982)</f>
        <v>0</v>
      </c>
      <c r="X977" s="49">
        <f>SUM(X978:X982)</f>
        <v>0</v>
      </c>
      <c r="Y977" s="49">
        <f>SUM(Y978:Y982)</f>
        <v>0</v>
      </c>
      <c r="Z977" s="49">
        <f>SUM(Z978:Z982)</f>
        <v>0</v>
      </c>
      <c r="AA977" s="49">
        <f>SUM(AA978:AA982)</f>
        <v>0</v>
      </c>
      <c r="AB977" s="49">
        <f>SUM(AB978:AB982)</f>
        <v>0</v>
      </c>
    </row>
    <row r="978" spans="1:28" hidden="1" outlineLevel="1" x14ac:dyDescent="0.3">
      <c r="A978" s="33" t="s">
        <v>246</v>
      </c>
      <c r="B978" s="34" t="s">
        <v>274</v>
      </c>
      <c r="C978" s="50">
        <f>SUMIFS(INDEX(Техника!$F$1:$ABM$500,C$2,0),Техника!$F$4:$ABM$4,"Часы",INDEX(Техника!$G$1:$ABN$500,C$2,0),$A$977,INDEX(Техника!$H$1:$ABO$500,C$2,0),"М")</f>
        <v>0</v>
      </c>
      <c r="D978" s="50">
        <f>SUMIFS(INDEX(Техника!$F$1:$ABM$500,D$2,0),Техника!$F$4:$ABM$4,"Часы",INDEX(Техника!$G$1:$ABN$500,D$2,0),$A$977,INDEX(Техника!$H$1:$ABO$500,D$2,0),"М")</f>
        <v>0</v>
      </c>
      <c r="E978" s="50">
        <f>SUMIFS(INDEX(Техника!$F$1:$ABM$500,E$2,0),Техника!$F$4:$ABM$4,"Часы",INDEX(Техника!$G$1:$ABN$500,E$2,0),$A$977,INDEX(Техника!$H$1:$ABO$500,E$2,0),"М")</f>
        <v>0</v>
      </c>
      <c r="F978" s="50">
        <f>SUMIFS(INDEX(Техника!$F$1:$ABM$500,F$2,0),Техника!$F$4:$ABM$4,"Часы",INDEX(Техника!$G$1:$ABN$500,F$2,0),$A$977,INDEX(Техника!$H$1:$ABO$500,F$2,0),"М")</f>
        <v>0</v>
      </c>
      <c r="G978" s="50">
        <f>SUMIFS(INDEX(Техника!$F$1:$ABM$500,G$2,0),Техника!$F$4:$ABM$4,"Часы",INDEX(Техника!$G$1:$ABN$500,G$2,0),$A$977,INDEX(Техника!$H$1:$ABO$500,G$2,0),"М")</f>
        <v>0</v>
      </c>
      <c r="H978" s="50">
        <f>SUMIFS(INDEX(Техника!$F$1:$ABM$500,H$2,0),Техника!$F$4:$ABM$4,"Часы",INDEX(Техника!$G$1:$ABN$500,H$2,0),$A$977,INDEX(Техника!$H$1:$ABO$500,H$2,0),"М")</f>
        <v>0</v>
      </c>
      <c r="I978" s="50">
        <f>SUMIFS(INDEX(Техника!$F$1:$ABM$500,I$2,0),Техника!$F$4:$ABM$4,"Часы",INDEX(Техника!$G$1:$ABN$500,I$2,0),$A$977,INDEX(Техника!$H$1:$ABO$500,I$2,0),"М")</f>
        <v>0</v>
      </c>
      <c r="J978" s="50">
        <f>SUMIFS(INDEX(Техника!$F$1:$ABM$500,J$2,0),Техника!$F$4:$ABM$4,"Часы",INDEX(Техника!$G$1:$ABN$500,J$2,0),$A$977,INDEX(Техника!$H$1:$ABO$500,J$2,0),"М")</f>
        <v>0</v>
      </c>
      <c r="K978" s="50">
        <f>SUMIFS(INDEX(Техника!$F$1:$ABM$500,K$2,0),Техника!$F$4:$ABM$4,"Часы",INDEX(Техника!$G$1:$ABN$500,K$2,0),$A$977,INDEX(Техника!$H$1:$ABO$500,K$2,0),"М")</f>
        <v>0</v>
      </c>
      <c r="L978" s="50">
        <f>SUMIFS(INDEX(Техника!$F$1:$ABM$500,L$2,0),Техника!$F$4:$ABM$4,"Часы",INDEX(Техника!$G$1:$ABN$500,L$2,0),$A$977,INDEX(Техника!$H$1:$ABO$500,L$2,0),"М")</f>
        <v>0</v>
      </c>
      <c r="M978" s="50">
        <f>SUMIFS(INDEX(Техника!$F$1:$ABM$500,M$2,0),Техника!$F$4:$ABM$4,"Часы",INDEX(Техника!$G$1:$ABN$500,M$2,0),$A$977,INDEX(Техника!$H$1:$ABO$500,M$2,0),"М")</f>
        <v>0</v>
      </c>
      <c r="N978" s="50">
        <f>SUMIFS(INDEX(Техника!$F$1:$ABM$500,N$2,0),Техника!$F$4:$ABM$4,"Часы",INDEX(Техника!$G$1:$ABN$500,N$2,0),$A$977,INDEX(Техника!$H$1:$ABO$500,N$2,0),"М")</f>
        <v>0</v>
      </c>
      <c r="O978" s="50">
        <f>SUMIFS(INDEX(Техника!$F$1:$ABM$500,O$2,0),Техника!$F$4:$ABM$4,"Часы",INDEX(Техника!$G$1:$ABN$500,O$2,0),$A$977,INDEX(Техника!$H$1:$ABO$500,O$2,0),"М")</f>
        <v>0</v>
      </c>
      <c r="P978" s="50">
        <f>SUMIFS(INDEX(Техника!$F$1:$ABM$500,P$2,0),Техника!$F$4:$ABM$4,"Часы",INDEX(Техника!$G$1:$ABN$500,P$2,0),$A$977,INDEX(Техника!$H$1:$ABO$500,P$2,0),"М")</f>
        <v>0</v>
      </c>
      <c r="Q978" s="50">
        <f>SUMIFS(INDEX(Техника!$F$1:$ABM$500,Q$2,0),Техника!$F$4:$ABM$4,"Часы",INDEX(Техника!$G$1:$ABN$500,Q$2,0),$A$977,INDEX(Техника!$H$1:$ABO$500,Q$2,0),"М")</f>
        <v>0</v>
      </c>
      <c r="R978" s="50">
        <f>SUMIFS(INDEX(Техника!$F$1:$ABM$500,R$2,0),Техника!$F$4:$ABM$4,"Часы",INDEX(Техника!$G$1:$ABN$500,R$2,0),$A$977,INDEX(Техника!$H$1:$ABO$500,R$2,0),"М")</f>
        <v>0</v>
      </c>
      <c r="S978" s="50">
        <f>SUMIFS(INDEX(Техника!$F$1:$ABM$500,S$2,0),Техника!$F$4:$ABM$4,"Часы",INDEX(Техника!$G$1:$ABN$500,S$2,0),$A$977,INDEX(Техника!$H$1:$ABO$500,S$2,0),"М")</f>
        <v>0</v>
      </c>
      <c r="T978" s="50">
        <f>SUMIFS(INDEX(Техника!$F$1:$ABM$500,T$2,0),Техника!$F$4:$ABM$4,"Часы",INDEX(Техника!$G$1:$ABN$500,T$2,0),$A$977,INDEX(Техника!$H$1:$ABO$500,T$2,0),"М")</f>
        <v>0</v>
      </c>
      <c r="U978" s="50">
        <f>SUMIFS(INDEX(Техника!$F$1:$ABM$500,U$2,0),Техника!$F$4:$ABM$4,"Часы",INDEX(Техника!$G$1:$ABN$500,U$2,0),$A$977,INDEX(Техника!$H$1:$ABO$500,U$2,0),"М")</f>
        <v>0</v>
      </c>
      <c r="V978" s="50">
        <f>SUMIFS(INDEX(Техника!$F$1:$ABM$500,V$2,0),Техника!$F$4:$ABM$4,"Часы",INDEX(Техника!$G$1:$ABN$500,V$2,0),$A$977,INDEX(Техника!$H$1:$ABO$500,V$2,0),"М")</f>
        <v>0</v>
      </c>
      <c r="W978" s="50">
        <f>SUMIFS(INDEX(Техника!$F$1:$ABM$500,W$2,0),Техника!$F$4:$ABM$4,"Часы",INDEX(Техника!$G$1:$ABN$500,W$2,0),$A$977,INDEX(Техника!$H$1:$ABO$500,W$2,0),"М")</f>
        <v>0</v>
      </c>
      <c r="X978" s="50">
        <f>SUMIFS(INDEX(Техника!$F$1:$ABM$500,X$2,0),Техника!$F$4:$ABM$4,"Часы",INDEX(Техника!$G$1:$ABN$500,X$2,0),$A$977,INDEX(Техника!$H$1:$ABO$500,X$2,0),"М")</f>
        <v>0</v>
      </c>
      <c r="Y978" s="50">
        <f>SUMIFS(INDEX(Техника!$F$1:$ABM$500,Y$2,0),Техника!$F$4:$ABM$4,"Часы",INDEX(Техника!$G$1:$ABN$500,Y$2,0),$A$977,INDEX(Техника!$H$1:$ABO$500,Y$2,0),"М")</f>
        <v>0</v>
      </c>
      <c r="Z978" s="50">
        <f>SUMIFS(INDEX(Техника!$F$1:$ABM$500,Z$2,0),Техника!$F$4:$ABM$4,"Часы",INDEX(Техника!$G$1:$ABN$500,Z$2,0),$A$977,INDEX(Техника!$H$1:$ABO$500,Z$2,0),"М")</f>
        <v>0</v>
      </c>
      <c r="AA978" s="50">
        <f>SUMIFS(INDEX(Техника!$F$1:$ABM$500,AA$2,0),Техника!$F$4:$ABM$4,"Часы",INDEX(Техника!$G$1:$ABN$500,AA$2,0),$A$977,INDEX(Техника!$H$1:$ABO$500,AA$2,0),"М")</f>
        <v>0</v>
      </c>
      <c r="AB978" s="50">
        <f>SUMIFS(INDEX(Техника!$F$1:$ABM$500,AB$2,0),Техника!$F$4:$ABM$4,"Часы",INDEX(Техника!$G$1:$ABN$500,AB$2,0),$A$977,INDEX(Техника!$H$1:$ABO$500,AB$2,0),"М")</f>
        <v>0</v>
      </c>
    </row>
    <row r="979" spans="1:28" hidden="1" outlineLevel="1" x14ac:dyDescent="0.3">
      <c r="A979" s="33" t="s">
        <v>244</v>
      </c>
      <c r="B979" s="34" t="s">
        <v>275</v>
      </c>
      <c r="C979" s="50">
        <f>SUMIFS(INDEX(Техника!$F$1:$ABM$500,C$2,0),Техника!$F$4:$ABM$4,"Часы",INDEX(Техника!$G$1:$ABN$500,C$2,0),$A$977,INDEX(Техника!$H$1:$ABO$500,C$2,0),"Д")</f>
        <v>0</v>
      </c>
      <c r="D979" s="50">
        <f>SUMIFS(INDEX(Техника!$F$1:$ABM$500,D$2,0),Техника!$F$4:$ABM$4,"Часы",INDEX(Техника!$G$1:$ABN$500,D$2,0),$A$977,INDEX(Техника!$H$1:$ABO$500,D$2,0),"Д")</f>
        <v>0</v>
      </c>
      <c r="E979" s="50">
        <f>SUMIFS(INDEX(Техника!$F$1:$ABM$500,E$2,0),Техника!$F$4:$ABM$4,"Часы",INDEX(Техника!$G$1:$ABN$500,E$2,0),$A$977,INDEX(Техника!$H$1:$ABO$500,E$2,0),"Д")</f>
        <v>0</v>
      </c>
      <c r="F979" s="50">
        <f>SUMIFS(INDEX(Техника!$F$1:$ABM$500,F$2,0),Техника!$F$4:$ABM$4,"Часы",INDEX(Техника!$G$1:$ABN$500,F$2,0),$A$977,INDEX(Техника!$H$1:$ABO$500,F$2,0),"Д")</f>
        <v>0</v>
      </c>
      <c r="G979" s="50">
        <f>SUMIFS(INDEX(Техника!$F$1:$ABM$500,G$2,0),Техника!$F$4:$ABM$4,"Часы",INDEX(Техника!$G$1:$ABN$500,G$2,0),$A$977,INDEX(Техника!$H$1:$ABO$500,G$2,0),"Д")</f>
        <v>0</v>
      </c>
      <c r="H979" s="50">
        <f>SUMIFS(INDEX(Техника!$F$1:$ABM$500,H$2,0),Техника!$F$4:$ABM$4,"Часы",INDEX(Техника!$G$1:$ABN$500,H$2,0),$A$977,INDEX(Техника!$H$1:$ABO$500,H$2,0),"Д")</f>
        <v>0</v>
      </c>
      <c r="I979" s="50">
        <f>SUMIFS(INDEX(Техника!$F$1:$ABM$500,I$2,0),Техника!$F$4:$ABM$4,"Часы",INDEX(Техника!$G$1:$ABN$500,I$2,0),$A$977,INDEX(Техника!$H$1:$ABO$500,I$2,0),"Д")</f>
        <v>0</v>
      </c>
      <c r="J979" s="50">
        <f>SUMIFS(INDEX(Техника!$F$1:$ABM$500,J$2,0),Техника!$F$4:$ABM$4,"Часы",INDEX(Техника!$G$1:$ABN$500,J$2,0),$A$977,INDEX(Техника!$H$1:$ABO$500,J$2,0),"Д")</f>
        <v>0</v>
      </c>
      <c r="K979" s="50">
        <f>SUMIFS(INDEX(Техника!$F$1:$ABM$500,K$2,0),Техника!$F$4:$ABM$4,"Часы",INDEX(Техника!$G$1:$ABN$500,K$2,0),$A$977,INDEX(Техника!$H$1:$ABO$500,K$2,0),"Д")</f>
        <v>0</v>
      </c>
      <c r="L979" s="50">
        <f>SUMIFS(INDEX(Техника!$F$1:$ABM$500,L$2,0),Техника!$F$4:$ABM$4,"Часы",INDEX(Техника!$G$1:$ABN$500,L$2,0),$A$977,INDEX(Техника!$H$1:$ABO$500,L$2,0),"Д")</f>
        <v>0</v>
      </c>
      <c r="M979" s="50">
        <f>SUMIFS(INDEX(Техника!$F$1:$ABM$500,M$2,0),Техника!$F$4:$ABM$4,"Часы",INDEX(Техника!$G$1:$ABN$500,M$2,0),$A$977,INDEX(Техника!$H$1:$ABO$500,M$2,0),"Д")</f>
        <v>0</v>
      </c>
      <c r="N979" s="50">
        <f>SUMIFS(INDEX(Техника!$F$1:$ABM$500,N$2,0),Техника!$F$4:$ABM$4,"Часы",INDEX(Техника!$G$1:$ABN$500,N$2,0),$A$977,INDEX(Техника!$H$1:$ABO$500,N$2,0),"Д")</f>
        <v>0</v>
      </c>
      <c r="O979" s="50">
        <f>SUMIFS(INDEX(Техника!$F$1:$ABM$500,O$2,0),Техника!$F$4:$ABM$4,"Часы",INDEX(Техника!$G$1:$ABN$500,O$2,0),$A$977,INDEX(Техника!$H$1:$ABO$500,O$2,0),"Д")</f>
        <v>0</v>
      </c>
      <c r="P979" s="50">
        <f>SUMIFS(INDEX(Техника!$F$1:$ABM$500,P$2,0),Техника!$F$4:$ABM$4,"Часы",INDEX(Техника!$G$1:$ABN$500,P$2,0),$A$977,INDEX(Техника!$H$1:$ABO$500,P$2,0),"Д")</f>
        <v>0</v>
      </c>
      <c r="Q979" s="50">
        <f>SUMIFS(INDEX(Техника!$F$1:$ABM$500,Q$2,0),Техника!$F$4:$ABM$4,"Часы",INDEX(Техника!$G$1:$ABN$500,Q$2,0),$A$977,INDEX(Техника!$H$1:$ABO$500,Q$2,0),"Д")</f>
        <v>0</v>
      </c>
      <c r="R979" s="50">
        <f>SUMIFS(INDEX(Техника!$F$1:$ABM$500,R$2,0),Техника!$F$4:$ABM$4,"Часы",INDEX(Техника!$G$1:$ABN$500,R$2,0),$A$977,INDEX(Техника!$H$1:$ABO$500,R$2,0),"Д")</f>
        <v>0</v>
      </c>
      <c r="S979" s="50">
        <f>SUMIFS(INDEX(Техника!$F$1:$ABM$500,S$2,0),Техника!$F$4:$ABM$4,"Часы",INDEX(Техника!$G$1:$ABN$500,S$2,0),$A$977,INDEX(Техника!$H$1:$ABO$500,S$2,0),"Д")</f>
        <v>0</v>
      </c>
      <c r="T979" s="50">
        <f>SUMIFS(INDEX(Техника!$F$1:$ABM$500,T$2,0),Техника!$F$4:$ABM$4,"Часы",INDEX(Техника!$G$1:$ABN$500,T$2,0),$A$977,INDEX(Техника!$H$1:$ABO$500,T$2,0),"Д")</f>
        <v>0</v>
      </c>
      <c r="U979" s="50">
        <f>SUMIFS(INDEX(Техника!$F$1:$ABM$500,U$2,0),Техника!$F$4:$ABM$4,"Часы",INDEX(Техника!$G$1:$ABN$500,U$2,0),$A$977,INDEX(Техника!$H$1:$ABO$500,U$2,0),"Д")</f>
        <v>0</v>
      </c>
      <c r="V979" s="50">
        <f>SUMIFS(INDEX(Техника!$F$1:$ABM$500,V$2,0),Техника!$F$4:$ABM$4,"Часы",INDEX(Техника!$G$1:$ABN$500,V$2,0),$A$977,INDEX(Техника!$H$1:$ABO$500,V$2,0),"Д")</f>
        <v>0</v>
      </c>
      <c r="W979" s="50">
        <f>SUMIFS(INDEX(Техника!$F$1:$ABM$500,W$2,0),Техника!$F$4:$ABM$4,"Часы",INDEX(Техника!$G$1:$ABN$500,W$2,0),$A$977,INDEX(Техника!$H$1:$ABO$500,W$2,0),"Д")</f>
        <v>0</v>
      </c>
      <c r="X979" s="50">
        <f>SUMIFS(INDEX(Техника!$F$1:$ABM$500,X$2,0),Техника!$F$4:$ABM$4,"Часы",INDEX(Техника!$G$1:$ABN$500,X$2,0),$A$977,INDEX(Техника!$H$1:$ABO$500,X$2,0),"Д")</f>
        <v>0</v>
      </c>
      <c r="Y979" s="50">
        <f>SUMIFS(INDEX(Техника!$F$1:$ABM$500,Y$2,0),Техника!$F$4:$ABM$4,"Часы",INDEX(Техника!$G$1:$ABN$500,Y$2,0),$A$977,INDEX(Техника!$H$1:$ABO$500,Y$2,0),"Д")</f>
        <v>0</v>
      </c>
      <c r="Z979" s="50">
        <f>SUMIFS(INDEX(Техника!$F$1:$ABM$500,Z$2,0),Техника!$F$4:$ABM$4,"Часы",INDEX(Техника!$G$1:$ABN$500,Z$2,0),$A$977,INDEX(Техника!$H$1:$ABO$500,Z$2,0),"Д")</f>
        <v>0</v>
      </c>
      <c r="AA979" s="50">
        <f>SUMIFS(INDEX(Техника!$F$1:$ABM$500,AA$2,0),Техника!$F$4:$ABM$4,"Часы",INDEX(Техника!$G$1:$ABN$500,AA$2,0),$A$977,INDEX(Техника!$H$1:$ABO$500,AA$2,0),"Д")</f>
        <v>0</v>
      </c>
      <c r="AB979" s="50">
        <f>SUMIFS(INDEX(Техника!$F$1:$ABM$500,AB$2,0),Техника!$F$4:$ABM$4,"Часы",INDEX(Техника!$G$1:$ABN$500,AB$2,0),$A$977,INDEX(Техника!$H$1:$ABO$500,AB$2,0),"Д")</f>
        <v>0</v>
      </c>
    </row>
    <row r="980" spans="1:28" hidden="1" outlineLevel="1" x14ac:dyDescent="0.3">
      <c r="A980" s="33" t="s">
        <v>276</v>
      </c>
      <c r="B980" s="34" t="s">
        <v>277</v>
      </c>
      <c r="C980" s="50">
        <f>SUMIFS(INDEX(Техника!$F$1:$ABM$500,C$2,0),Техника!$F$4:$ABM$4,"Часы",INDEX(Техника!$G$1:$ABN$500,C$2,0),$A$977,INDEX(Техника!$H$1:$ABO$500,C$2,0),"П")</f>
        <v>0</v>
      </c>
      <c r="D980" s="50">
        <f>SUMIFS(INDEX(Техника!$F$1:$ABM$500,D$2,0),Техника!$F$4:$ABM$4,"Часы",INDEX(Техника!$G$1:$ABN$500,D$2,0),$A$977,INDEX(Техника!$H$1:$ABO$500,D$2,0),"П")</f>
        <v>0</v>
      </c>
      <c r="E980" s="50">
        <f>SUMIFS(INDEX(Техника!$F$1:$ABM$500,E$2,0),Техника!$F$4:$ABM$4,"Часы",INDEX(Техника!$G$1:$ABN$500,E$2,0),$A$977,INDEX(Техника!$H$1:$ABO$500,E$2,0),"П")</f>
        <v>0</v>
      </c>
      <c r="F980" s="50">
        <f>SUMIFS(INDEX(Техника!$F$1:$ABM$500,F$2,0),Техника!$F$4:$ABM$4,"Часы",INDEX(Техника!$G$1:$ABN$500,F$2,0),$A$977,INDEX(Техника!$H$1:$ABO$500,F$2,0),"П")</f>
        <v>0</v>
      </c>
      <c r="G980" s="50">
        <f>SUMIFS(INDEX(Техника!$F$1:$ABM$500,G$2,0),Техника!$F$4:$ABM$4,"Часы",INDEX(Техника!$G$1:$ABN$500,G$2,0),$A$977,INDEX(Техника!$H$1:$ABO$500,G$2,0),"П")</f>
        <v>0</v>
      </c>
      <c r="H980" s="50">
        <f>SUMIFS(INDEX(Техника!$F$1:$ABM$500,H$2,0),Техника!$F$4:$ABM$4,"Часы",INDEX(Техника!$G$1:$ABN$500,H$2,0),$A$977,INDEX(Техника!$H$1:$ABO$500,H$2,0),"П")</f>
        <v>0</v>
      </c>
      <c r="I980" s="50">
        <f>SUMIFS(INDEX(Техника!$F$1:$ABM$500,I$2,0),Техника!$F$4:$ABM$4,"Часы",INDEX(Техника!$G$1:$ABN$500,I$2,0),$A$977,INDEX(Техника!$H$1:$ABO$500,I$2,0),"П")</f>
        <v>0</v>
      </c>
      <c r="J980" s="50">
        <f>SUMIFS(INDEX(Техника!$F$1:$ABM$500,J$2,0),Техника!$F$4:$ABM$4,"Часы",INDEX(Техника!$G$1:$ABN$500,J$2,0),$A$977,INDEX(Техника!$H$1:$ABO$500,J$2,0),"П")</f>
        <v>0</v>
      </c>
      <c r="K980" s="50">
        <f>SUMIFS(INDEX(Техника!$F$1:$ABM$500,K$2,0),Техника!$F$4:$ABM$4,"Часы",INDEX(Техника!$G$1:$ABN$500,K$2,0),$A$977,INDEX(Техника!$H$1:$ABO$500,K$2,0),"П")</f>
        <v>0</v>
      </c>
      <c r="L980" s="50">
        <f>SUMIFS(INDEX(Техника!$F$1:$ABM$500,L$2,0),Техника!$F$4:$ABM$4,"Часы",INDEX(Техника!$G$1:$ABN$500,L$2,0),$A$977,INDEX(Техника!$H$1:$ABO$500,L$2,0),"П")</f>
        <v>0</v>
      </c>
      <c r="M980" s="50">
        <f>SUMIFS(INDEX(Техника!$F$1:$ABM$500,M$2,0),Техника!$F$4:$ABM$4,"Часы",INDEX(Техника!$G$1:$ABN$500,M$2,0),$A$977,INDEX(Техника!$H$1:$ABO$500,M$2,0),"П")</f>
        <v>0</v>
      </c>
      <c r="N980" s="50">
        <f>SUMIFS(INDEX(Техника!$F$1:$ABM$500,N$2,0),Техника!$F$4:$ABM$4,"Часы",INDEX(Техника!$G$1:$ABN$500,N$2,0),$A$977,INDEX(Техника!$H$1:$ABO$500,N$2,0),"П")</f>
        <v>0</v>
      </c>
      <c r="O980" s="50">
        <f>SUMIFS(INDEX(Техника!$F$1:$ABM$500,O$2,0),Техника!$F$4:$ABM$4,"Часы",INDEX(Техника!$G$1:$ABN$500,O$2,0),$A$977,INDEX(Техника!$H$1:$ABO$500,O$2,0),"П")</f>
        <v>0</v>
      </c>
      <c r="P980" s="50">
        <f>SUMIFS(INDEX(Техника!$F$1:$ABM$500,P$2,0),Техника!$F$4:$ABM$4,"Часы",INDEX(Техника!$G$1:$ABN$500,P$2,0),$A$977,INDEX(Техника!$H$1:$ABO$500,P$2,0),"П")</f>
        <v>0</v>
      </c>
      <c r="Q980" s="50">
        <f>SUMIFS(INDEX(Техника!$F$1:$ABM$500,Q$2,0),Техника!$F$4:$ABM$4,"Часы",INDEX(Техника!$G$1:$ABN$500,Q$2,0),$A$977,INDEX(Техника!$H$1:$ABO$500,Q$2,0),"П")</f>
        <v>0</v>
      </c>
      <c r="R980" s="50">
        <f>SUMIFS(INDEX(Техника!$F$1:$ABM$500,R$2,0),Техника!$F$4:$ABM$4,"Часы",INDEX(Техника!$G$1:$ABN$500,R$2,0),$A$977,INDEX(Техника!$H$1:$ABO$500,R$2,0),"П")</f>
        <v>0</v>
      </c>
      <c r="S980" s="50">
        <f>SUMIFS(INDEX(Техника!$F$1:$ABM$500,S$2,0),Техника!$F$4:$ABM$4,"Часы",INDEX(Техника!$G$1:$ABN$500,S$2,0),$A$977,INDEX(Техника!$H$1:$ABO$500,S$2,0),"П")</f>
        <v>0</v>
      </c>
      <c r="T980" s="50">
        <f>SUMIFS(INDEX(Техника!$F$1:$ABM$500,T$2,0),Техника!$F$4:$ABM$4,"Часы",INDEX(Техника!$G$1:$ABN$500,T$2,0),$A$977,INDEX(Техника!$H$1:$ABO$500,T$2,0),"П")</f>
        <v>0</v>
      </c>
      <c r="U980" s="50">
        <f>SUMIFS(INDEX(Техника!$F$1:$ABM$500,U$2,0),Техника!$F$4:$ABM$4,"Часы",INDEX(Техника!$G$1:$ABN$500,U$2,0),$A$977,INDEX(Техника!$H$1:$ABO$500,U$2,0),"П")</f>
        <v>0</v>
      </c>
      <c r="V980" s="50">
        <f>SUMIFS(INDEX(Техника!$F$1:$ABM$500,V$2,0),Техника!$F$4:$ABM$4,"Часы",INDEX(Техника!$G$1:$ABN$500,V$2,0),$A$977,INDEX(Техника!$H$1:$ABO$500,V$2,0),"П")</f>
        <v>0</v>
      </c>
      <c r="W980" s="50">
        <f>SUMIFS(INDEX(Техника!$F$1:$ABM$500,W$2,0),Техника!$F$4:$ABM$4,"Часы",INDEX(Техника!$G$1:$ABN$500,W$2,0),$A$977,INDEX(Техника!$H$1:$ABO$500,W$2,0),"П")</f>
        <v>0</v>
      </c>
      <c r="X980" s="50">
        <f>SUMIFS(INDEX(Техника!$F$1:$ABM$500,X$2,0),Техника!$F$4:$ABM$4,"Часы",INDEX(Техника!$G$1:$ABN$500,X$2,0),$A$977,INDEX(Техника!$H$1:$ABO$500,X$2,0),"П")</f>
        <v>0</v>
      </c>
      <c r="Y980" s="50">
        <f>SUMIFS(INDEX(Техника!$F$1:$ABM$500,Y$2,0),Техника!$F$4:$ABM$4,"Часы",INDEX(Техника!$G$1:$ABN$500,Y$2,0),$A$977,INDEX(Техника!$H$1:$ABO$500,Y$2,0),"П")</f>
        <v>0</v>
      </c>
      <c r="Z980" s="50">
        <f>SUMIFS(INDEX(Техника!$F$1:$ABM$500,Z$2,0),Техника!$F$4:$ABM$4,"Часы",INDEX(Техника!$G$1:$ABN$500,Z$2,0),$A$977,INDEX(Техника!$H$1:$ABO$500,Z$2,0),"П")</f>
        <v>0</v>
      </c>
      <c r="AA980" s="50">
        <f>SUMIFS(INDEX(Техника!$F$1:$ABM$500,AA$2,0),Техника!$F$4:$ABM$4,"Часы",INDEX(Техника!$G$1:$ABN$500,AA$2,0),$A$977,INDEX(Техника!$H$1:$ABO$500,AA$2,0),"П")</f>
        <v>0</v>
      </c>
      <c r="AB980" s="50">
        <f>SUMIFS(INDEX(Техника!$F$1:$ABM$500,AB$2,0),Техника!$F$4:$ABM$4,"Часы",INDEX(Техника!$G$1:$ABN$500,AB$2,0),$A$977,INDEX(Техника!$H$1:$ABO$500,AB$2,0),"П")</f>
        <v>0</v>
      </c>
    </row>
    <row r="981" spans="1:28" hidden="1" outlineLevel="1" x14ac:dyDescent="0.3">
      <c r="A981" s="33" t="s">
        <v>243</v>
      </c>
      <c r="B981" s="34" t="s">
        <v>278</v>
      </c>
      <c r="C981" s="50">
        <f>SUMIFS(INDEX(Техника!$F$1:$ABM$500,C$2,0),Техника!$F$4:$ABM$4,"Часы",INDEX(Техника!$G$1:$ABN$500,C$2,0),$A$977,INDEX(Техника!$H$1:$ABO$500,C$2,0),"Л")</f>
        <v>0</v>
      </c>
      <c r="D981" s="50">
        <f>SUMIFS(INDEX(Техника!$F$1:$ABM$500,D$2,0),Техника!$F$4:$ABM$4,"Часы",INDEX(Техника!$G$1:$ABN$500,D$2,0),$A$977,INDEX(Техника!$H$1:$ABO$500,D$2,0),"Л")</f>
        <v>0</v>
      </c>
      <c r="E981" s="50">
        <f>SUMIFS(INDEX(Техника!$F$1:$ABM$500,E$2,0),Техника!$F$4:$ABM$4,"Часы",INDEX(Техника!$G$1:$ABN$500,E$2,0),$A$977,INDEX(Техника!$H$1:$ABO$500,E$2,0),"Л")</f>
        <v>0</v>
      </c>
      <c r="F981" s="50">
        <f>SUMIFS(INDEX(Техника!$F$1:$ABM$500,F$2,0),Техника!$F$4:$ABM$4,"Часы",INDEX(Техника!$G$1:$ABN$500,F$2,0),$A$977,INDEX(Техника!$H$1:$ABO$500,F$2,0),"Л")</f>
        <v>0</v>
      </c>
      <c r="G981" s="50">
        <f>SUMIFS(INDEX(Техника!$F$1:$ABM$500,G$2,0),Техника!$F$4:$ABM$4,"Часы",INDEX(Техника!$G$1:$ABN$500,G$2,0),$A$977,INDEX(Техника!$H$1:$ABO$500,G$2,0),"Л")</f>
        <v>0</v>
      </c>
      <c r="H981" s="50">
        <f>SUMIFS(INDEX(Техника!$F$1:$ABM$500,H$2,0),Техника!$F$4:$ABM$4,"Часы",INDEX(Техника!$G$1:$ABN$500,H$2,0),$A$977,INDEX(Техника!$H$1:$ABO$500,H$2,0),"Л")</f>
        <v>0</v>
      </c>
      <c r="I981" s="50">
        <f>SUMIFS(INDEX(Техника!$F$1:$ABM$500,I$2,0),Техника!$F$4:$ABM$4,"Часы",INDEX(Техника!$G$1:$ABN$500,I$2,0),$A$977,INDEX(Техника!$H$1:$ABO$500,I$2,0),"Л")</f>
        <v>0</v>
      </c>
      <c r="J981" s="50">
        <f>SUMIFS(INDEX(Техника!$F$1:$ABM$500,J$2,0),Техника!$F$4:$ABM$4,"Часы",INDEX(Техника!$G$1:$ABN$500,J$2,0),$A$977,INDEX(Техника!$H$1:$ABO$500,J$2,0),"Л")</f>
        <v>0</v>
      </c>
      <c r="K981" s="50">
        <f>SUMIFS(INDEX(Техника!$F$1:$ABM$500,K$2,0),Техника!$F$4:$ABM$4,"Часы",INDEX(Техника!$G$1:$ABN$500,K$2,0),$A$977,INDEX(Техника!$H$1:$ABO$500,K$2,0),"Л")</f>
        <v>0</v>
      </c>
      <c r="L981" s="50">
        <f>SUMIFS(INDEX(Техника!$F$1:$ABM$500,L$2,0),Техника!$F$4:$ABM$4,"Часы",INDEX(Техника!$G$1:$ABN$500,L$2,0),$A$977,INDEX(Техника!$H$1:$ABO$500,L$2,0),"Л")</f>
        <v>0</v>
      </c>
      <c r="M981" s="50">
        <f>SUMIFS(INDEX(Техника!$F$1:$ABM$500,M$2,0),Техника!$F$4:$ABM$4,"Часы",INDEX(Техника!$G$1:$ABN$500,M$2,0),$A$977,INDEX(Техника!$H$1:$ABO$500,M$2,0),"Л")</f>
        <v>0</v>
      </c>
      <c r="N981" s="50">
        <f>SUMIFS(INDEX(Техника!$F$1:$ABM$500,N$2,0),Техника!$F$4:$ABM$4,"Часы",INDEX(Техника!$G$1:$ABN$500,N$2,0),$A$977,INDEX(Техника!$H$1:$ABO$500,N$2,0),"Л")</f>
        <v>0</v>
      </c>
      <c r="O981" s="50">
        <f>SUMIFS(INDEX(Техника!$F$1:$ABM$500,O$2,0),Техника!$F$4:$ABM$4,"Часы",INDEX(Техника!$G$1:$ABN$500,O$2,0),$A$977,INDEX(Техника!$H$1:$ABO$500,O$2,0),"Л")</f>
        <v>0</v>
      </c>
      <c r="P981" s="50">
        <f>SUMIFS(INDEX(Техника!$F$1:$ABM$500,P$2,0),Техника!$F$4:$ABM$4,"Часы",INDEX(Техника!$G$1:$ABN$500,P$2,0),$A$977,INDEX(Техника!$H$1:$ABO$500,P$2,0),"Л")</f>
        <v>0</v>
      </c>
      <c r="Q981" s="50">
        <f>SUMIFS(INDEX(Техника!$F$1:$ABM$500,Q$2,0),Техника!$F$4:$ABM$4,"Часы",INDEX(Техника!$G$1:$ABN$500,Q$2,0),$A$977,INDEX(Техника!$H$1:$ABO$500,Q$2,0),"Л")</f>
        <v>0</v>
      </c>
      <c r="R981" s="50">
        <f>SUMIFS(INDEX(Техника!$F$1:$ABM$500,R$2,0),Техника!$F$4:$ABM$4,"Часы",INDEX(Техника!$G$1:$ABN$500,R$2,0),$A$977,INDEX(Техника!$H$1:$ABO$500,R$2,0),"Л")</f>
        <v>0</v>
      </c>
      <c r="S981" s="50">
        <f>SUMIFS(INDEX(Техника!$F$1:$ABM$500,S$2,0),Техника!$F$4:$ABM$4,"Часы",INDEX(Техника!$G$1:$ABN$500,S$2,0),$A$977,INDEX(Техника!$H$1:$ABO$500,S$2,0),"Л")</f>
        <v>0</v>
      </c>
      <c r="T981" s="50">
        <f>SUMIFS(INDEX(Техника!$F$1:$ABM$500,T$2,0),Техника!$F$4:$ABM$4,"Часы",INDEX(Техника!$G$1:$ABN$500,T$2,0),$A$977,INDEX(Техника!$H$1:$ABO$500,T$2,0),"Л")</f>
        <v>0</v>
      </c>
      <c r="U981" s="50">
        <f>SUMIFS(INDEX(Техника!$F$1:$ABM$500,U$2,0),Техника!$F$4:$ABM$4,"Часы",INDEX(Техника!$G$1:$ABN$500,U$2,0),$A$977,INDEX(Техника!$H$1:$ABO$500,U$2,0),"Л")</f>
        <v>0</v>
      </c>
      <c r="V981" s="50">
        <f>SUMIFS(INDEX(Техника!$F$1:$ABM$500,V$2,0),Техника!$F$4:$ABM$4,"Часы",INDEX(Техника!$G$1:$ABN$500,V$2,0),$A$977,INDEX(Техника!$H$1:$ABO$500,V$2,0),"Л")</f>
        <v>0</v>
      </c>
      <c r="W981" s="50">
        <f>SUMIFS(INDEX(Техника!$F$1:$ABM$500,W$2,0),Техника!$F$4:$ABM$4,"Часы",INDEX(Техника!$G$1:$ABN$500,W$2,0),$A$977,INDEX(Техника!$H$1:$ABO$500,W$2,0),"Л")</f>
        <v>0</v>
      </c>
      <c r="X981" s="50">
        <f>SUMIFS(INDEX(Техника!$F$1:$ABM$500,X$2,0),Техника!$F$4:$ABM$4,"Часы",INDEX(Техника!$G$1:$ABN$500,X$2,0),$A$977,INDEX(Техника!$H$1:$ABO$500,X$2,0),"Л")</f>
        <v>0</v>
      </c>
      <c r="Y981" s="50">
        <f>SUMIFS(INDEX(Техника!$F$1:$ABM$500,Y$2,0),Техника!$F$4:$ABM$4,"Часы",INDEX(Техника!$G$1:$ABN$500,Y$2,0),$A$977,INDEX(Техника!$H$1:$ABO$500,Y$2,0),"Л")</f>
        <v>0</v>
      </c>
      <c r="Z981" s="50">
        <f>SUMIFS(INDEX(Техника!$F$1:$ABM$500,Z$2,0),Техника!$F$4:$ABM$4,"Часы",INDEX(Техника!$G$1:$ABN$500,Z$2,0),$A$977,INDEX(Техника!$H$1:$ABO$500,Z$2,0),"Л")</f>
        <v>0</v>
      </c>
      <c r="AA981" s="50">
        <f>SUMIFS(INDEX(Техника!$F$1:$ABM$500,AA$2,0),Техника!$F$4:$ABM$4,"Часы",INDEX(Техника!$G$1:$ABN$500,AA$2,0),$A$977,INDEX(Техника!$H$1:$ABO$500,AA$2,0),"Л")</f>
        <v>0</v>
      </c>
      <c r="AB981" s="50">
        <f>SUMIFS(INDEX(Техника!$F$1:$ABM$500,AB$2,0),Техника!$F$4:$ABM$4,"Часы",INDEX(Техника!$G$1:$ABN$500,AB$2,0),$A$977,INDEX(Техника!$H$1:$ABO$500,AB$2,0),"Л")</f>
        <v>0</v>
      </c>
    </row>
    <row r="982" spans="1:28" hidden="1" outlineLevel="1" x14ac:dyDescent="0.3">
      <c r="A982" s="33" t="s">
        <v>245</v>
      </c>
      <c r="B982" s="34" t="s">
        <v>279</v>
      </c>
      <c r="C982" s="50">
        <f>SUMIFS(INDEX(Техника!$F$1:$ABM$500,C$2,0),Техника!$F$4:$ABM$4,"Часы",INDEX(Техника!$G$1:$ABN$500,C$2,0),$A$977,INDEX(Техника!$H$1:$ABO$500,C$2,0),"З")</f>
        <v>0</v>
      </c>
      <c r="D982" s="50">
        <f>SUMIFS(INDEX(Техника!$F$1:$ABM$500,D$2,0),Техника!$F$4:$ABM$4,"Часы",INDEX(Техника!$G$1:$ABN$500,D$2,0),$A$977,INDEX(Техника!$H$1:$ABO$500,D$2,0),"З")</f>
        <v>0</v>
      </c>
      <c r="E982" s="50">
        <f>SUMIFS(INDEX(Техника!$F$1:$ABM$500,E$2,0),Техника!$F$4:$ABM$4,"Часы",INDEX(Техника!$G$1:$ABN$500,E$2,0),$A$977,INDEX(Техника!$H$1:$ABO$500,E$2,0),"З")</f>
        <v>0</v>
      </c>
      <c r="F982" s="50">
        <f>SUMIFS(INDEX(Техника!$F$1:$ABM$500,F$2,0),Техника!$F$4:$ABM$4,"Часы",INDEX(Техника!$G$1:$ABN$500,F$2,0),$A$977,INDEX(Техника!$H$1:$ABO$500,F$2,0),"З")</f>
        <v>0</v>
      </c>
      <c r="G982" s="50">
        <f>SUMIFS(INDEX(Техника!$F$1:$ABM$500,G$2,0),Техника!$F$4:$ABM$4,"Часы",INDEX(Техника!$G$1:$ABN$500,G$2,0),$A$977,INDEX(Техника!$H$1:$ABO$500,G$2,0),"З")</f>
        <v>0</v>
      </c>
      <c r="H982" s="50">
        <f>SUMIFS(INDEX(Техника!$F$1:$ABM$500,H$2,0),Техника!$F$4:$ABM$4,"Часы",INDEX(Техника!$G$1:$ABN$500,H$2,0),$A$977,INDEX(Техника!$H$1:$ABO$500,H$2,0),"З")</f>
        <v>0</v>
      </c>
      <c r="I982" s="50">
        <f>SUMIFS(INDEX(Техника!$F$1:$ABM$500,I$2,0),Техника!$F$4:$ABM$4,"Часы",INDEX(Техника!$G$1:$ABN$500,I$2,0),$A$977,INDEX(Техника!$H$1:$ABO$500,I$2,0),"З")</f>
        <v>0</v>
      </c>
      <c r="J982" s="50">
        <f>SUMIFS(INDEX(Техника!$F$1:$ABM$500,J$2,0),Техника!$F$4:$ABM$4,"Часы",INDEX(Техника!$G$1:$ABN$500,J$2,0),$A$977,INDEX(Техника!$H$1:$ABO$500,J$2,0),"З")</f>
        <v>0</v>
      </c>
      <c r="K982" s="50">
        <f>SUMIFS(INDEX(Техника!$F$1:$ABM$500,K$2,0),Техника!$F$4:$ABM$4,"Часы",INDEX(Техника!$G$1:$ABN$500,K$2,0),$A$977,INDEX(Техника!$H$1:$ABO$500,K$2,0),"З")</f>
        <v>0</v>
      </c>
      <c r="L982" s="50">
        <f>SUMIFS(INDEX(Техника!$F$1:$ABM$500,L$2,0),Техника!$F$4:$ABM$4,"Часы",INDEX(Техника!$G$1:$ABN$500,L$2,0),$A$977,INDEX(Техника!$H$1:$ABO$500,L$2,0),"З")</f>
        <v>0</v>
      </c>
      <c r="M982" s="50">
        <f>SUMIFS(INDEX(Техника!$F$1:$ABM$500,M$2,0),Техника!$F$4:$ABM$4,"Часы",INDEX(Техника!$G$1:$ABN$500,M$2,0),$A$977,INDEX(Техника!$H$1:$ABO$500,M$2,0),"З")</f>
        <v>0</v>
      </c>
      <c r="N982" s="50">
        <f>SUMIFS(INDEX(Техника!$F$1:$ABM$500,N$2,0),Техника!$F$4:$ABM$4,"Часы",INDEX(Техника!$G$1:$ABN$500,N$2,0),$A$977,INDEX(Техника!$H$1:$ABO$500,N$2,0),"З")</f>
        <v>0</v>
      </c>
      <c r="O982" s="50">
        <f>SUMIFS(INDEX(Техника!$F$1:$ABM$500,O$2,0),Техника!$F$4:$ABM$4,"Часы",INDEX(Техника!$G$1:$ABN$500,O$2,0),$A$977,INDEX(Техника!$H$1:$ABO$500,O$2,0),"З")</f>
        <v>0</v>
      </c>
      <c r="P982" s="50">
        <f>SUMIFS(INDEX(Техника!$F$1:$ABM$500,P$2,0),Техника!$F$4:$ABM$4,"Часы",INDEX(Техника!$G$1:$ABN$500,P$2,0),$A$977,INDEX(Техника!$H$1:$ABO$500,P$2,0),"З")</f>
        <v>0</v>
      </c>
      <c r="Q982" s="50">
        <f>SUMIFS(INDEX(Техника!$F$1:$ABM$500,Q$2,0),Техника!$F$4:$ABM$4,"Часы",INDEX(Техника!$G$1:$ABN$500,Q$2,0),$A$977,INDEX(Техника!$H$1:$ABO$500,Q$2,0),"З")</f>
        <v>0</v>
      </c>
      <c r="R982" s="50">
        <f>SUMIFS(INDEX(Техника!$F$1:$ABM$500,R$2,0),Техника!$F$4:$ABM$4,"Часы",INDEX(Техника!$G$1:$ABN$500,R$2,0),$A$977,INDEX(Техника!$H$1:$ABO$500,R$2,0),"З")</f>
        <v>0</v>
      </c>
      <c r="S982" s="50">
        <f>SUMIFS(INDEX(Техника!$F$1:$ABM$500,S$2,0),Техника!$F$4:$ABM$4,"Часы",INDEX(Техника!$G$1:$ABN$500,S$2,0),$A$977,INDEX(Техника!$H$1:$ABO$500,S$2,0),"З")</f>
        <v>0</v>
      </c>
      <c r="T982" s="50">
        <f>SUMIFS(INDEX(Техника!$F$1:$ABM$500,T$2,0),Техника!$F$4:$ABM$4,"Часы",INDEX(Техника!$G$1:$ABN$500,T$2,0),$A$977,INDEX(Техника!$H$1:$ABO$500,T$2,0),"З")</f>
        <v>0</v>
      </c>
      <c r="U982" s="50">
        <f>SUMIFS(INDEX(Техника!$F$1:$ABM$500,U$2,0),Техника!$F$4:$ABM$4,"Часы",INDEX(Техника!$G$1:$ABN$500,U$2,0),$A$977,INDEX(Техника!$H$1:$ABO$500,U$2,0),"З")</f>
        <v>0</v>
      </c>
      <c r="V982" s="50">
        <f>SUMIFS(INDEX(Техника!$F$1:$ABM$500,V$2,0),Техника!$F$4:$ABM$4,"Часы",INDEX(Техника!$G$1:$ABN$500,V$2,0),$A$977,INDEX(Техника!$H$1:$ABO$500,V$2,0),"З")</f>
        <v>0</v>
      </c>
      <c r="W982" s="50">
        <f>SUMIFS(INDEX(Техника!$F$1:$ABM$500,W$2,0),Техника!$F$4:$ABM$4,"Часы",INDEX(Техника!$G$1:$ABN$500,W$2,0),$A$977,INDEX(Техника!$H$1:$ABO$500,W$2,0),"З")</f>
        <v>0</v>
      </c>
      <c r="X982" s="50">
        <f>SUMIFS(INDEX(Техника!$F$1:$ABM$500,X$2,0),Техника!$F$4:$ABM$4,"Часы",INDEX(Техника!$G$1:$ABN$500,X$2,0),$A$977,INDEX(Техника!$H$1:$ABO$500,X$2,0),"З")</f>
        <v>0</v>
      </c>
      <c r="Y982" s="50">
        <f>SUMIFS(INDEX(Техника!$F$1:$ABM$500,Y$2,0),Техника!$F$4:$ABM$4,"Часы",INDEX(Техника!$G$1:$ABN$500,Y$2,0),$A$977,INDEX(Техника!$H$1:$ABO$500,Y$2,0),"З")</f>
        <v>0</v>
      </c>
      <c r="Z982" s="50">
        <f>SUMIFS(INDEX(Техника!$F$1:$ABM$500,Z$2,0),Техника!$F$4:$ABM$4,"Часы",INDEX(Техника!$G$1:$ABN$500,Z$2,0),$A$977,INDEX(Техника!$H$1:$ABO$500,Z$2,0),"З")</f>
        <v>0</v>
      </c>
      <c r="AA982" s="50">
        <f>SUMIFS(INDEX(Техника!$F$1:$ABM$500,AA$2,0),Техника!$F$4:$ABM$4,"Часы",INDEX(Техника!$G$1:$ABN$500,AA$2,0),$A$977,INDEX(Техника!$H$1:$ABO$500,AA$2,0),"З")</f>
        <v>0</v>
      </c>
      <c r="AB982" s="50">
        <f>SUMIFS(INDEX(Техника!$F$1:$ABM$500,AB$2,0),Техника!$F$4:$ABM$4,"Часы",INDEX(Техника!$G$1:$ABN$500,AB$2,0),$A$977,INDEX(Техника!$H$1:$ABO$500,AB$2,0),"З")</f>
        <v>0</v>
      </c>
    </row>
    <row r="983" spans="1:28" ht="7.95" customHeight="1" x14ac:dyDescent="0.3">
      <c r="A983" s="38"/>
      <c r="B983" s="39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</row>
    <row r="984" spans="1:28" ht="25.05" customHeight="1" collapsed="1" x14ac:dyDescent="0.3">
      <c r="A984" s="32">
        <v>141</v>
      </c>
      <c r="B984" s="32" t="s">
        <v>142</v>
      </c>
      <c r="C984" s="49">
        <f>SUM(C985:C989)</f>
        <v>0</v>
      </c>
      <c r="D984" s="49">
        <f>SUM(D985:D989)</f>
        <v>0</v>
      </c>
      <c r="E984" s="49">
        <f>SUM(E985:E989)</f>
        <v>0</v>
      </c>
      <c r="F984" s="49">
        <f>SUM(F985:F989)</f>
        <v>0</v>
      </c>
      <c r="G984" s="49">
        <f>SUM(G985:G989)</f>
        <v>0</v>
      </c>
      <c r="H984" s="49">
        <f>SUM(H985:H989)</f>
        <v>0</v>
      </c>
      <c r="I984" s="49">
        <f>SUM(I985:I989)</f>
        <v>0</v>
      </c>
      <c r="J984" s="49">
        <f>SUM(J985:J989)</f>
        <v>0</v>
      </c>
      <c r="K984" s="49">
        <f>SUM(K985:K989)</f>
        <v>0</v>
      </c>
      <c r="L984" s="49">
        <f>SUM(L985:L989)</f>
        <v>0</v>
      </c>
      <c r="M984" s="49">
        <f>SUM(M985:M989)</f>
        <v>0</v>
      </c>
      <c r="N984" s="49">
        <f>SUM(N985:N989)</f>
        <v>0</v>
      </c>
      <c r="O984" s="49">
        <f>SUM(O985:O989)</f>
        <v>0</v>
      </c>
      <c r="P984" s="49">
        <f>SUM(P985:P989)</f>
        <v>0</v>
      </c>
      <c r="Q984" s="49">
        <f>SUM(Q985:Q989)</f>
        <v>0</v>
      </c>
      <c r="R984" s="49">
        <f>SUM(R985:R989)</f>
        <v>0</v>
      </c>
      <c r="S984" s="49">
        <f>SUM(S985:S989)</f>
        <v>0</v>
      </c>
      <c r="T984" s="49">
        <f>SUM(T985:T989)</f>
        <v>0</v>
      </c>
      <c r="U984" s="49">
        <f>SUM(U985:U989)</f>
        <v>0</v>
      </c>
      <c r="V984" s="49">
        <f>SUM(V985:V989)</f>
        <v>0</v>
      </c>
      <c r="W984" s="49">
        <f>SUM(W985:W989)</f>
        <v>0</v>
      </c>
      <c r="X984" s="49">
        <f>SUM(X985:X989)</f>
        <v>0</v>
      </c>
      <c r="Y984" s="49">
        <f>SUM(Y985:Y989)</f>
        <v>0</v>
      </c>
      <c r="Z984" s="49">
        <f>SUM(Z985:Z989)</f>
        <v>0</v>
      </c>
      <c r="AA984" s="49">
        <f>SUM(AA985:AA989)</f>
        <v>0</v>
      </c>
      <c r="AB984" s="49">
        <f>SUM(AB985:AB989)</f>
        <v>0</v>
      </c>
    </row>
    <row r="985" spans="1:28" hidden="1" outlineLevel="1" x14ac:dyDescent="0.3">
      <c r="A985" s="33" t="s">
        <v>246</v>
      </c>
      <c r="B985" s="34" t="s">
        <v>274</v>
      </c>
      <c r="C985" s="50">
        <f>SUMIFS(INDEX(Техника!$F$1:$ABM$500,C$2,0),Техника!$F$4:$ABM$4,"Часы",INDEX(Техника!$G$1:$ABN$500,C$2,0),$A$984,INDEX(Техника!$H$1:$ABO$500,C$2,0),"М")</f>
        <v>0</v>
      </c>
      <c r="D985" s="50">
        <f>SUMIFS(INDEX(Техника!$F$1:$ABM$500,D$2,0),Техника!$F$4:$ABM$4,"Часы",INDEX(Техника!$G$1:$ABN$500,D$2,0),$A$984,INDEX(Техника!$H$1:$ABO$500,D$2,0),"М")</f>
        <v>0</v>
      </c>
      <c r="E985" s="50">
        <f>SUMIFS(INDEX(Техника!$F$1:$ABM$500,E$2,0),Техника!$F$4:$ABM$4,"Часы",INDEX(Техника!$G$1:$ABN$500,E$2,0),$A$984,INDEX(Техника!$H$1:$ABO$500,E$2,0),"М")</f>
        <v>0</v>
      </c>
      <c r="F985" s="50">
        <f>SUMIFS(INDEX(Техника!$F$1:$ABM$500,F$2,0),Техника!$F$4:$ABM$4,"Часы",INDEX(Техника!$G$1:$ABN$500,F$2,0),$A$984,INDEX(Техника!$H$1:$ABO$500,F$2,0),"М")</f>
        <v>0</v>
      </c>
      <c r="G985" s="50">
        <f>SUMIFS(INDEX(Техника!$F$1:$ABM$500,G$2,0),Техника!$F$4:$ABM$4,"Часы",INDEX(Техника!$G$1:$ABN$500,G$2,0),$A$984,INDEX(Техника!$H$1:$ABO$500,G$2,0),"М")</f>
        <v>0</v>
      </c>
      <c r="H985" s="50">
        <f>SUMIFS(INDEX(Техника!$F$1:$ABM$500,H$2,0),Техника!$F$4:$ABM$4,"Часы",INDEX(Техника!$G$1:$ABN$500,H$2,0),$A$984,INDEX(Техника!$H$1:$ABO$500,H$2,0),"М")</f>
        <v>0</v>
      </c>
      <c r="I985" s="50">
        <f>SUMIFS(INDEX(Техника!$F$1:$ABM$500,I$2,0),Техника!$F$4:$ABM$4,"Часы",INDEX(Техника!$G$1:$ABN$500,I$2,0),$A$984,INDEX(Техника!$H$1:$ABO$500,I$2,0),"М")</f>
        <v>0</v>
      </c>
      <c r="J985" s="50">
        <f>SUMIFS(INDEX(Техника!$F$1:$ABM$500,J$2,0),Техника!$F$4:$ABM$4,"Часы",INDEX(Техника!$G$1:$ABN$500,J$2,0),$A$984,INDEX(Техника!$H$1:$ABO$500,J$2,0),"М")</f>
        <v>0</v>
      </c>
      <c r="K985" s="50">
        <f>SUMIFS(INDEX(Техника!$F$1:$ABM$500,K$2,0),Техника!$F$4:$ABM$4,"Часы",INDEX(Техника!$G$1:$ABN$500,K$2,0),$A$984,INDEX(Техника!$H$1:$ABO$500,K$2,0),"М")</f>
        <v>0</v>
      </c>
      <c r="L985" s="50">
        <f>SUMIFS(INDEX(Техника!$F$1:$ABM$500,L$2,0),Техника!$F$4:$ABM$4,"Часы",INDEX(Техника!$G$1:$ABN$500,L$2,0),$A$984,INDEX(Техника!$H$1:$ABO$500,L$2,0),"М")</f>
        <v>0</v>
      </c>
      <c r="M985" s="50">
        <f>SUMIFS(INDEX(Техника!$F$1:$ABM$500,M$2,0),Техника!$F$4:$ABM$4,"Часы",INDEX(Техника!$G$1:$ABN$500,M$2,0),$A$984,INDEX(Техника!$H$1:$ABO$500,M$2,0),"М")</f>
        <v>0</v>
      </c>
      <c r="N985" s="50">
        <f>SUMIFS(INDEX(Техника!$F$1:$ABM$500,N$2,0),Техника!$F$4:$ABM$4,"Часы",INDEX(Техника!$G$1:$ABN$500,N$2,0),$A$984,INDEX(Техника!$H$1:$ABO$500,N$2,0),"М")</f>
        <v>0</v>
      </c>
      <c r="O985" s="50">
        <f>SUMIFS(INDEX(Техника!$F$1:$ABM$500,O$2,0),Техника!$F$4:$ABM$4,"Часы",INDEX(Техника!$G$1:$ABN$500,O$2,0),$A$984,INDEX(Техника!$H$1:$ABO$500,O$2,0),"М")</f>
        <v>0</v>
      </c>
      <c r="P985" s="50">
        <f>SUMIFS(INDEX(Техника!$F$1:$ABM$500,P$2,0),Техника!$F$4:$ABM$4,"Часы",INDEX(Техника!$G$1:$ABN$500,P$2,0),$A$984,INDEX(Техника!$H$1:$ABO$500,P$2,0),"М")</f>
        <v>0</v>
      </c>
      <c r="Q985" s="50">
        <f>SUMIFS(INDEX(Техника!$F$1:$ABM$500,Q$2,0),Техника!$F$4:$ABM$4,"Часы",INDEX(Техника!$G$1:$ABN$500,Q$2,0),$A$984,INDEX(Техника!$H$1:$ABO$500,Q$2,0),"М")</f>
        <v>0</v>
      </c>
      <c r="R985" s="50">
        <f>SUMIFS(INDEX(Техника!$F$1:$ABM$500,R$2,0),Техника!$F$4:$ABM$4,"Часы",INDEX(Техника!$G$1:$ABN$500,R$2,0),$A$984,INDEX(Техника!$H$1:$ABO$500,R$2,0),"М")</f>
        <v>0</v>
      </c>
      <c r="S985" s="50">
        <f>SUMIFS(INDEX(Техника!$F$1:$ABM$500,S$2,0),Техника!$F$4:$ABM$4,"Часы",INDEX(Техника!$G$1:$ABN$500,S$2,0),$A$984,INDEX(Техника!$H$1:$ABO$500,S$2,0),"М")</f>
        <v>0</v>
      </c>
      <c r="T985" s="50">
        <f>SUMIFS(INDEX(Техника!$F$1:$ABM$500,T$2,0),Техника!$F$4:$ABM$4,"Часы",INDEX(Техника!$G$1:$ABN$500,T$2,0),$A$984,INDEX(Техника!$H$1:$ABO$500,T$2,0),"М")</f>
        <v>0</v>
      </c>
      <c r="U985" s="50">
        <f>SUMIFS(INDEX(Техника!$F$1:$ABM$500,U$2,0),Техника!$F$4:$ABM$4,"Часы",INDEX(Техника!$G$1:$ABN$500,U$2,0),$A$984,INDEX(Техника!$H$1:$ABO$500,U$2,0),"М")</f>
        <v>0</v>
      </c>
      <c r="V985" s="50">
        <f>SUMIFS(INDEX(Техника!$F$1:$ABM$500,V$2,0),Техника!$F$4:$ABM$4,"Часы",INDEX(Техника!$G$1:$ABN$500,V$2,0),$A$984,INDEX(Техника!$H$1:$ABO$500,V$2,0),"М")</f>
        <v>0</v>
      </c>
      <c r="W985" s="50">
        <f>SUMIFS(INDEX(Техника!$F$1:$ABM$500,W$2,0),Техника!$F$4:$ABM$4,"Часы",INDEX(Техника!$G$1:$ABN$500,W$2,0),$A$984,INDEX(Техника!$H$1:$ABO$500,W$2,0),"М")</f>
        <v>0</v>
      </c>
      <c r="X985" s="50">
        <f>SUMIFS(INDEX(Техника!$F$1:$ABM$500,X$2,0),Техника!$F$4:$ABM$4,"Часы",INDEX(Техника!$G$1:$ABN$500,X$2,0),$A$984,INDEX(Техника!$H$1:$ABO$500,X$2,0),"М")</f>
        <v>0</v>
      </c>
      <c r="Y985" s="50">
        <f>SUMIFS(INDEX(Техника!$F$1:$ABM$500,Y$2,0),Техника!$F$4:$ABM$4,"Часы",INDEX(Техника!$G$1:$ABN$500,Y$2,0),$A$984,INDEX(Техника!$H$1:$ABO$500,Y$2,0),"М")</f>
        <v>0</v>
      </c>
      <c r="Z985" s="50">
        <f>SUMIFS(INDEX(Техника!$F$1:$ABM$500,Z$2,0),Техника!$F$4:$ABM$4,"Часы",INDEX(Техника!$G$1:$ABN$500,Z$2,0),$A$984,INDEX(Техника!$H$1:$ABO$500,Z$2,0),"М")</f>
        <v>0</v>
      </c>
      <c r="AA985" s="50">
        <f>SUMIFS(INDEX(Техника!$F$1:$ABM$500,AA$2,0),Техника!$F$4:$ABM$4,"Часы",INDEX(Техника!$G$1:$ABN$500,AA$2,0),$A$984,INDEX(Техника!$H$1:$ABO$500,AA$2,0),"М")</f>
        <v>0</v>
      </c>
      <c r="AB985" s="50">
        <f>SUMIFS(INDEX(Техника!$F$1:$ABM$500,AB$2,0),Техника!$F$4:$ABM$4,"Часы",INDEX(Техника!$G$1:$ABN$500,AB$2,0),$A$984,INDEX(Техника!$H$1:$ABO$500,AB$2,0),"М")</f>
        <v>0</v>
      </c>
    </row>
    <row r="986" spans="1:28" hidden="1" outlineLevel="1" x14ac:dyDescent="0.3">
      <c r="A986" s="33" t="s">
        <v>244</v>
      </c>
      <c r="B986" s="34" t="s">
        <v>275</v>
      </c>
      <c r="C986" s="50">
        <f>SUMIFS(INDEX(Техника!$F$1:$ABM$500,C$2,0),Техника!$F$4:$ABM$4,"Часы",INDEX(Техника!$G$1:$ABN$500,C$2,0),$A$984,INDEX(Техника!$H$1:$ABO$500,C$2,0),"Д")</f>
        <v>0</v>
      </c>
      <c r="D986" s="50">
        <f>SUMIFS(INDEX(Техника!$F$1:$ABM$500,D$2,0),Техника!$F$4:$ABM$4,"Часы",INDEX(Техника!$G$1:$ABN$500,D$2,0),$A$984,INDEX(Техника!$H$1:$ABO$500,D$2,0),"Д")</f>
        <v>0</v>
      </c>
      <c r="E986" s="50">
        <f>SUMIFS(INDEX(Техника!$F$1:$ABM$500,E$2,0),Техника!$F$4:$ABM$4,"Часы",INDEX(Техника!$G$1:$ABN$500,E$2,0),$A$984,INDEX(Техника!$H$1:$ABO$500,E$2,0),"Д")</f>
        <v>0</v>
      </c>
      <c r="F986" s="50">
        <f>SUMIFS(INDEX(Техника!$F$1:$ABM$500,F$2,0),Техника!$F$4:$ABM$4,"Часы",INDEX(Техника!$G$1:$ABN$500,F$2,0),$A$984,INDEX(Техника!$H$1:$ABO$500,F$2,0),"Д")</f>
        <v>0</v>
      </c>
      <c r="G986" s="50">
        <f>SUMIFS(INDEX(Техника!$F$1:$ABM$500,G$2,0),Техника!$F$4:$ABM$4,"Часы",INDEX(Техника!$G$1:$ABN$500,G$2,0),$A$984,INDEX(Техника!$H$1:$ABO$500,G$2,0),"Д")</f>
        <v>0</v>
      </c>
      <c r="H986" s="50">
        <f>SUMIFS(INDEX(Техника!$F$1:$ABM$500,H$2,0),Техника!$F$4:$ABM$4,"Часы",INDEX(Техника!$G$1:$ABN$500,H$2,0),$A$984,INDEX(Техника!$H$1:$ABO$500,H$2,0),"Д")</f>
        <v>0</v>
      </c>
      <c r="I986" s="50">
        <f>SUMIFS(INDEX(Техника!$F$1:$ABM$500,I$2,0),Техника!$F$4:$ABM$4,"Часы",INDEX(Техника!$G$1:$ABN$500,I$2,0),$A$984,INDEX(Техника!$H$1:$ABO$500,I$2,0),"Д")</f>
        <v>0</v>
      </c>
      <c r="J986" s="50">
        <f>SUMIFS(INDEX(Техника!$F$1:$ABM$500,J$2,0),Техника!$F$4:$ABM$4,"Часы",INDEX(Техника!$G$1:$ABN$500,J$2,0),$A$984,INDEX(Техника!$H$1:$ABO$500,J$2,0),"Д")</f>
        <v>0</v>
      </c>
      <c r="K986" s="50">
        <f>SUMIFS(INDEX(Техника!$F$1:$ABM$500,K$2,0),Техника!$F$4:$ABM$4,"Часы",INDEX(Техника!$G$1:$ABN$500,K$2,0),$A$984,INDEX(Техника!$H$1:$ABO$500,K$2,0),"Д")</f>
        <v>0</v>
      </c>
      <c r="L986" s="50">
        <f>SUMIFS(INDEX(Техника!$F$1:$ABM$500,L$2,0),Техника!$F$4:$ABM$4,"Часы",INDEX(Техника!$G$1:$ABN$500,L$2,0),$A$984,INDEX(Техника!$H$1:$ABO$500,L$2,0),"Д")</f>
        <v>0</v>
      </c>
      <c r="M986" s="50">
        <f>SUMIFS(INDEX(Техника!$F$1:$ABM$500,M$2,0),Техника!$F$4:$ABM$4,"Часы",INDEX(Техника!$G$1:$ABN$500,M$2,0),$A$984,INDEX(Техника!$H$1:$ABO$500,M$2,0),"Д")</f>
        <v>0</v>
      </c>
      <c r="N986" s="50">
        <f>SUMIFS(INDEX(Техника!$F$1:$ABM$500,N$2,0),Техника!$F$4:$ABM$4,"Часы",INDEX(Техника!$G$1:$ABN$500,N$2,0),$A$984,INDEX(Техника!$H$1:$ABO$500,N$2,0),"Д")</f>
        <v>0</v>
      </c>
      <c r="O986" s="50">
        <f>SUMIFS(INDEX(Техника!$F$1:$ABM$500,O$2,0),Техника!$F$4:$ABM$4,"Часы",INDEX(Техника!$G$1:$ABN$500,O$2,0),$A$984,INDEX(Техника!$H$1:$ABO$500,O$2,0),"Д")</f>
        <v>0</v>
      </c>
      <c r="P986" s="50">
        <f>SUMIFS(INDEX(Техника!$F$1:$ABM$500,P$2,0),Техника!$F$4:$ABM$4,"Часы",INDEX(Техника!$G$1:$ABN$500,P$2,0),$A$984,INDEX(Техника!$H$1:$ABO$500,P$2,0),"Д")</f>
        <v>0</v>
      </c>
      <c r="Q986" s="50">
        <f>SUMIFS(INDEX(Техника!$F$1:$ABM$500,Q$2,0),Техника!$F$4:$ABM$4,"Часы",INDEX(Техника!$G$1:$ABN$500,Q$2,0),$A$984,INDEX(Техника!$H$1:$ABO$500,Q$2,0),"Д")</f>
        <v>0</v>
      </c>
      <c r="R986" s="50">
        <f>SUMIFS(INDEX(Техника!$F$1:$ABM$500,R$2,0),Техника!$F$4:$ABM$4,"Часы",INDEX(Техника!$G$1:$ABN$500,R$2,0),$A$984,INDEX(Техника!$H$1:$ABO$500,R$2,0),"Д")</f>
        <v>0</v>
      </c>
      <c r="S986" s="50">
        <f>SUMIFS(INDEX(Техника!$F$1:$ABM$500,S$2,0),Техника!$F$4:$ABM$4,"Часы",INDEX(Техника!$G$1:$ABN$500,S$2,0),$A$984,INDEX(Техника!$H$1:$ABO$500,S$2,0),"Д")</f>
        <v>0</v>
      </c>
      <c r="T986" s="50">
        <f>SUMIFS(INDEX(Техника!$F$1:$ABM$500,T$2,0),Техника!$F$4:$ABM$4,"Часы",INDEX(Техника!$G$1:$ABN$500,T$2,0),$A$984,INDEX(Техника!$H$1:$ABO$500,T$2,0),"Д")</f>
        <v>0</v>
      </c>
      <c r="U986" s="50">
        <f>SUMIFS(INDEX(Техника!$F$1:$ABM$500,U$2,0),Техника!$F$4:$ABM$4,"Часы",INDEX(Техника!$G$1:$ABN$500,U$2,0),$A$984,INDEX(Техника!$H$1:$ABO$500,U$2,0),"Д")</f>
        <v>0</v>
      </c>
      <c r="V986" s="50">
        <f>SUMIFS(INDEX(Техника!$F$1:$ABM$500,V$2,0),Техника!$F$4:$ABM$4,"Часы",INDEX(Техника!$G$1:$ABN$500,V$2,0),$A$984,INDEX(Техника!$H$1:$ABO$500,V$2,0),"Д")</f>
        <v>0</v>
      </c>
      <c r="W986" s="50">
        <f>SUMIFS(INDEX(Техника!$F$1:$ABM$500,W$2,0),Техника!$F$4:$ABM$4,"Часы",INDEX(Техника!$G$1:$ABN$500,W$2,0),$A$984,INDEX(Техника!$H$1:$ABO$500,W$2,0),"Д")</f>
        <v>0</v>
      </c>
      <c r="X986" s="50">
        <f>SUMIFS(INDEX(Техника!$F$1:$ABM$500,X$2,0),Техника!$F$4:$ABM$4,"Часы",INDEX(Техника!$G$1:$ABN$500,X$2,0),$A$984,INDEX(Техника!$H$1:$ABO$500,X$2,0),"Д")</f>
        <v>0</v>
      </c>
      <c r="Y986" s="50">
        <f>SUMIFS(INDEX(Техника!$F$1:$ABM$500,Y$2,0),Техника!$F$4:$ABM$4,"Часы",INDEX(Техника!$G$1:$ABN$500,Y$2,0),$A$984,INDEX(Техника!$H$1:$ABO$500,Y$2,0),"Д")</f>
        <v>0</v>
      </c>
      <c r="Z986" s="50">
        <f>SUMIFS(INDEX(Техника!$F$1:$ABM$500,Z$2,0),Техника!$F$4:$ABM$4,"Часы",INDEX(Техника!$G$1:$ABN$500,Z$2,0),$A$984,INDEX(Техника!$H$1:$ABO$500,Z$2,0),"Д")</f>
        <v>0</v>
      </c>
      <c r="AA986" s="50">
        <f>SUMIFS(INDEX(Техника!$F$1:$ABM$500,AA$2,0),Техника!$F$4:$ABM$4,"Часы",INDEX(Техника!$G$1:$ABN$500,AA$2,0),$A$984,INDEX(Техника!$H$1:$ABO$500,AA$2,0),"Д")</f>
        <v>0</v>
      </c>
      <c r="AB986" s="50">
        <f>SUMIFS(INDEX(Техника!$F$1:$ABM$500,AB$2,0),Техника!$F$4:$ABM$4,"Часы",INDEX(Техника!$G$1:$ABN$500,AB$2,0),$A$984,INDEX(Техника!$H$1:$ABO$500,AB$2,0),"Д")</f>
        <v>0</v>
      </c>
    </row>
    <row r="987" spans="1:28" hidden="1" outlineLevel="1" x14ac:dyDescent="0.3">
      <c r="A987" s="33" t="s">
        <v>276</v>
      </c>
      <c r="B987" s="34" t="s">
        <v>277</v>
      </c>
      <c r="C987" s="50">
        <f>SUMIFS(INDEX(Техника!$F$1:$ABM$500,C$2,0),Техника!$F$4:$ABM$4,"Часы",INDEX(Техника!$G$1:$ABN$500,C$2,0),$A$984,INDEX(Техника!$H$1:$ABO$500,C$2,0),"П")</f>
        <v>0</v>
      </c>
      <c r="D987" s="50">
        <f>SUMIFS(INDEX(Техника!$F$1:$ABM$500,D$2,0),Техника!$F$4:$ABM$4,"Часы",INDEX(Техника!$G$1:$ABN$500,D$2,0),$A$984,INDEX(Техника!$H$1:$ABO$500,D$2,0),"П")</f>
        <v>0</v>
      </c>
      <c r="E987" s="50">
        <f>SUMIFS(INDEX(Техника!$F$1:$ABM$500,E$2,0),Техника!$F$4:$ABM$4,"Часы",INDEX(Техника!$G$1:$ABN$500,E$2,0),$A$984,INDEX(Техника!$H$1:$ABO$500,E$2,0),"П")</f>
        <v>0</v>
      </c>
      <c r="F987" s="50">
        <f>SUMIFS(INDEX(Техника!$F$1:$ABM$500,F$2,0),Техника!$F$4:$ABM$4,"Часы",INDEX(Техника!$G$1:$ABN$500,F$2,0),$A$984,INDEX(Техника!$H$1:$ABO$500,F$2,0),"П")</f>
        <v>0</v>
      </c>
      <c r="G987" s="50">
        <f>SUMIFS(INDEX(Техника!$F$1:$ABM$500,G$2,0),Техника!$F$4:$ABM$4,"Часы",INDEX(Техника!$G$1:$ABN$500,G$2,0),$A$984,INDEX(Техника!$H$1:$ABO$500,G$2,0),"П")</f>
        <v>0</v>
      </c>
      <c r="H987" s="50">
        <f>SUMIFS(INDEX(Техника!$F$1:$ABM$500,H$2,0),Техника!$F$4:$ABM$4,"Часы",INDEX(Техника!$G$1:$ABN$500,H$2,0),$A$984,INDEX(Техника!$H$1:$ABO$500,H$2,0),"П")</f>
        <v>0</v>
      </c>
      <c r="I987" s="50">
        <f>SUMIFS(INDEX(Техника!$F$1:$ABM$500,I$2,0),Техника!$F$4:$ABM$4,"Часы",INDEX(Техника!$G$1:$ABN$500,I$2,0),$A$984,INDEX(Техника!$H$1:$ABO$500,I$2,0),"П")</f>
        <v>0</v>
      </c>
      <c r="J987" s="50">
        <f>SUMIFS(INDEX(Техника!$F$1:$ABM$500,J$2,0),Техника!$F$4:$ABM$4,"Часы",INDEX(Техника!$G$1:$ABN$500,J$2,0),$A$984,INDEX(Техника!$H$1:$ABO$500,J$2,0),"П")</f>
        <v>0</v>
      </c>
      <c r="K987" s="50">
        <f>SUMIFS(INDEX(Техника!$F$1:$ABM$500,K$2,0),Техника!$F$4:$ABM$4,"Часы",INDEX(Техника!$G$1:$ABN$500,K$2,0),$A$984,INDEX(Техника!$H$1:$ABO$500,K$2,0),"П")</f>
        <v>0</v>
      </c>
      <c r="L987" s="50">
        <f>SUMIFS(INDEX(Техника!$F$1:$ABM$500,L$2,0),Техника!$F$4:$ABM$4,"Часы",INDEX(Техника!$G$1:$ABN$500,L$2,0),$A$984,INDEX(Техника!$H$1:$ABO$500,L$2,0),"П")</f>
        <v>0</v>
      </c>
      <c r="M987" s="50">
        <f>SUMIFS(INDEX(Техника!$F$1:$ABM$500,M$2,0),Техника!$F$4:$ABM$4,"Часы",INDEX(Техника!$G$1:$ABN$500,M$2,0),$A$984,INDEX(Техника!$H$1:$ABO$500,M$2,0),"П")</f>
        <v>0</v>
      </c>
      <c r="N987" s="50">
        <f>SUMIFS(INDEX(Техника!$F$1:$ABM$500,N$2,0),Техника!$F$4:$ABM$4,"Часы",INDEX(Техника!$G$1:$ABN$500,N$2,0),$A$984,INDEX(Техника!$H$1:$ABO$500,N$2,0),"П")</f>
        <v>0</v>
      </c>
      <c r="O987" s="50">
        <f>SUMIFS(INDEX(Техника!$F$1:$ABM$500,O$2,0),Техника!$F$4:$ABM$4,"Часы",INDEX(Техника!$G$1:$ABN$500,O$2,0),$A$984,INDEX(Техника!$H$1:$ABO$500,O$2,0),"П")</f>
        <v>0</v>
      </c>
      <c r="P987" s="50">
        <f>SUMIFS(INDEX(Техника!$F$1:$ABM$500,P$2,0),Техника!$F$4:$ABM$4,"Часы",INDEX(Техника!$G$1:$ABN$500,P$2,0),$A$984,INDEX(Техника!$H$1:$ABO$500,P$2,0),"П")</f>
        <v>0</v>
      </c>
      <c r="Q987" s="50">
        <f>SUMIFS(INDEX(Техника!$F$1:$ABM$500,Q$2,0),Техника!$F$4:$ABM$4,"Часы",INDEX(Техника!$G$1:$ABN$500,Q$2,0),$A$984,INDEX(Техника!$H$1:$ABO$500,Q$2,0),"П")</f>
        <v>0</v>
      </c>
      <c r="R987" s="50">
        <f>SUMIFS(INDEX(Техника!$F$1:$ABM$500,R$2,0),Техника!$F$4:$ABM$4,"Часы",INDEX(Техника!$G$1:$ABN$500,R$2,0),$A$984,INDEX(Техника!$H$1:$ABO$500,R$2,0),"П")</f>
        <v>0</v>
      </c>
      <c r="S987" s="50">
        <f>SUMIFS(INDEX(Техника!$F$1:$ABM$500,S$2,0),Техника!$F$4:$ABM$4,"Часы",INDEX(Техника!$G$1:$ABN$500,S$2,0),$A$984,INDEX(Техника!$H$1:$ABO$500,S$2,0),"П")</f>
        <v>0</v>
      </c>
      <c r="T987" s="50">
        <f>SUMIFS(INDEX(Техника!$F$1:$ABM$500,T$2,0),Техника!$F$4:$ABM$4,"Часы",INDEX(Техника!$G$1:$ABN$500,T$2,0),$A$984,INDEX(Техника!$H$1:$ABO$500,T$2,0),"П")</f>
        <v>0</v>
      </c>
      <c r="U987" s="50">
        <f>SUMIFS(INDEX(Техника!$F$1:$ABM$500,U$2,0),Техника!$F$4:$ABM$4,"Часы",INDEX(Техника!$G$1:$ABN$500,U$2,0),$A$984,INDEX(Техника!$H$1:$ABO$500,U$2,0),"П")</f>
        <v>0</v>
      </c>
      <c r="V987" s="50">
        <f>SUMIFS(INDEX(Техника!$F$1:$ABM$500,V$2,0),Техника!$F$4:$ABM$4,"Часы",INDEX(Техника!$G$1:$ABN$500,V$2,0),$A$984,INDEX(Техника!$H$1:$ABO$500,V$2,0),"П")</f>
        <v>0</v>
      </c>
      <c r="W987" s="50">
        <f>SUMIFS(INDEX(Техника!$F$1:$ABM$500,W$2,0),Техника!$F$4:$ABM$4,"Часы",INDEX(Техника!$G$1:$ABN$500,W$2,0),$A$984,INDEX(Техника!$H$1:$ABO$500,W$2,0),"П")</f>
        <v>0</v>
      </c>
      <c r="X987" s="50">
        <f>SUMIFS(INDEX(Техника!$F$1:$ABM$500,X$2,0),Техника!$F$4:$ABM$4,"Часы",INDEX(Техника!$G$1:$ABN$500,X$2,0),$A$984,INDEX(Техника!$H$1:$ABO$500,X$2,0),"П")</f>
        <v>0</v>
      </c>
      <c r="Y987" s="50">
        <f>SUMIFS(INDEX(Техника!$F$1:$ABM$500,Y$2,0),Техника!$F$4:$ABM$4,"Часы",INDEX(Техника!$G$1:$ABN$500,Y$2,0),$A$984,INDEX(Техника!$H$1:$ABO$500,Y$2,0),"П")</f>
        <v>0</v>
      </c>
      <c r="Z987" s="50">
        <f>SUMIFS(INDEX(Техника!$F$1:$ABM$500,Z$2,0),Техника!$F$4:$ABM$4,"Часы",INDEX(Техника!$G$1:$ABN$500,Z$2,0),$A$984,INDEX(Техника!$H$1:$ABO$500,Z$2,0),"П")</f>
        <v>0</v>
      </c>
      <c r="AA987" s="50">
        <f>SUMIFS(INDEX(Техника!$F$1:$ABM$500,AA$2,0),Техника!$F$4:$ABM$4,"Часы",INDEX(Техника!$G$1:$ABN$500,AA$2,0),$A$984,INDEX(Техника!$H$1:$ABO$500,AA$2,0),"П")</f>
        <v>0</v>
      </c>
      <c r="AB987" s="50">
        <f>SUMIFS(INDEX(Техника!$F$1:$ABM$500,AB$2,0),Техника!$F$4:$ABM$4,"Часы",INDEX(Техника!$G$1:$ABN$500,AB$2,0),$A$984,INDEX(Техника!$H$1:$ABO$500,AB$2,0),"П")</f>
        <v>0</v>
      </c>
    </row>
    <row r="988" spans="1:28" hidden="1" outlineLevel="1" x14ac:dyDescent="0.3">
      <c r="A988" s="33" t="s">
        <v>243</v>
      </c>
      <c r="B988" s="34" t="s">
        <v>278</v>
      </c>
      <c r="C988" s="50">
        <f>SUMIFS(INDEX(Техника!$F$1:$ABM$500,C$2,0),Техника!$F$4:$ABM$4,"Часы",INDEX(Техника!$G$1:$ABN$500,C$2,0),$A$984,INDEX(Техника!$H$1:$ABO$500,C$2,0),"Л")</f>
        <v>0</v>
      </c>
      <c r="D988" s="50">
        <f>SUMIFS(INDEX(Техника!$F$1:$ABM$500,D$2,0),Техника!$F$4:$ABM$4,"Часы",INDEX(Техника!$G$1:$ABN$500,D$2,0),$A$984,INDEX(Техника!$H$1:$ABO$500,D$2,0),"Л")</f>
        <v>0</v>
      </c>
      <c r="E988" s="50">
        <f>SUMIFS(INDEX(Техника!$F$1:$ABM$500,E$2,0),Техника!$F$4:$ABM$4,"Часы",INDEX(Техника!$G$1:$ABN$500,E$2,0),$A$984,INDEX(Техника!$H$1:$ABO$500,E$2,0),"Л")</f>
        <v>0</v>
      </c>
      <c r="F988" s="50">
        <f>SUMIFS(INDEX(Техника!$F$1:$ABM$500,F$2,0),Техника!$F$4:$ABM$4,"Часы",INDEX(Техника!$G$1:$ABN$500,F$2,0),$A$984,INDEX(Техника!$H$1:$ABO$500,F$2,0),"Л")</f>
        <v>0</v>
      </c>
      <c r="G988" s="50">
        <f>SUMIFS(INDEX(Техника!$F$1:$ABM$500,G$2,0),Техника!$F$4:$ABM$4,"Часы",INDEX(Техника!$G$1:$ABN$500,G$2,0),$A$984,INDEX(Техника!$H$1:$ABO$500,G$2,0),"Л")</f>
        <v>0</v>
      </c>
      <c r="H988" s="50">
        <f>SUMIFS(INDEX(Техника!$F$1:$ABM$500,H$2,0),Техника!$F$4:$ABM$4,"Часы",INDEX(Техника!$G$1:$ABN$500,H$2,0),$A$984,INDEX(Техника!$H$1:$ABO$500,H$2,0),"Л")</f>
        <v>0</v>
      </c>
      <c r="I988" s="50">
        <f>SUMIFS(INDEX(Техника!$F$1:$ABM$500,I$2,0),Техника!$F$4:$ABM$4,"Часы",INDEX(Техника!$G$1:$ABN$500,I$2,0),$A$984,INDEX(Техника!$H$1:$ABO$500,I$2,0),"Л")</f>
        <v>0</v>
      </c>
      <c r="J988" s="50">
        <f>SUMIFS(INDEX(Техника!$F$1:$ABM$500,J$2,0),Техника!$F$4:$ABM$4,"Часы",INDEX(Техника!$G$1:$ABN$500,J$2,0),$A$984,INDEX(Техника!$H$1:$ABO$500,J$2,0),"Л")</f>
        <v>0</v>
      </c>
      <c r="K988" s="50">
        <f>SUMIFS(INDEX(Техника!$F$1:$ABM$500,K$2,0),Техника!$F$4:$ABM$4,"Часы",INDEX(Техника!$G$1:$ABN$500,K$2,0),$A$984,INDEX(Техника!$H$1:$ABO$500,K$2,0),"Л")</f>
        <v>0</v>
      </c>
      <c r="L988" s="50">
        <f>SUMIFS(INDEX(Техника!$F$1:$ABM$500,L$2,0),Техника!$F$4:$ABM$4,"Часы",INDEX(Техника!$G$1:$ABN$500,L$2,0),$A$984,INDEX(Техника!$H$1:$ABO$500,L$2,0),"Л")</f>
        <v>0</v>
      </c>
      <c r="M988" s="50">
        <f>SUMIFS(INDEX(Техника!$F$1:$ABM$500,M$2,0),Техника!$F$4:$ABM$4,"Часы",INDEX(Техника!$G$1:$ABN$500,M$2,0),$A$984,INDEX(Техника!$H$1:$ABO$500,M$2,0),"Л")</f>
        <v>0</v>
      </c>
      <c r="N988" s="50">
        <f>SUMIFS(INDEX(Техника!$F$1:$ABM$500,N$2,0),Техника!$F$4:$ABM$4,"Часы",INDEX(Техника!$G$1:$ABN$500,N$2,0),$A$984,INDEX(Техника!$H$1:$ABO$500,N$2,0),"Л")</f>
        <v>0</v>
      </c>
      <c r="O988" s="50">
        <f>SUMIFS(INDEX(Техника!$F$1:$ABM$500,O$2,0),Техника!$F$4:$ABM$4,"Часы",INDEX(Техника!$G$1:$ABN$500,O$2,0),$A$984,INDEX(Техника!$H$1:$ABO$500,O$2,0),"Л")</f>
        <v>0</v>
      </c>
      <c r="P988" s="50">
        <f>SUMIFS(INDEX(Техника!$F$1:$ABM$500,P$2,0),Техника!$F$4:$ABM$4,"Часы",INDEX(Техника!$G$1:$ABN$500,P$2,0),$A$984,INDEX(Техника!$H$1:$ABO$500,P$2,0),"Л")</f>
        <v>0</v>
      </c>
      <c r="Q988" s="50">
        <f>SUMIFS(INDEX(Техника!$F$1:$ABM$500,Q$2,0),Техника!$F$4:$ABM$4,"Часы",INDEX(Техника!$G$1:$ABN$500,Q$2,0),$A$984,INDEX(Техника!$H$1:$ABO$500,Q$2,0),"Л")</f>
        <v>0</v>
      </c>
      <c r="R988" s="50">
        <f>SUMIFS(INDEX(Техника!$F$1:$ABM$500,R$2,0),Техника!$F$4:$ABM$4,"Часы",INDEX(Техника!$G$1:$ABN$500,R$2,0),$A$984,INDEX(Техника!$H$1:$ABO$500,R$2,0),"Л")</f>
        <v>0</v>
      </c>
      <c r="S988" s="50">
        <f>SUMIFS(INDEX(Техника!$F$1:$ABM$500,S$2,0),Техника!$F$4:$ABM$4,"Часы",INDEX(Техника!$G$1:$ABN$500,S$2,0),$A$984,INDEX(Техника!$H$1:$ABO$500,S$2,0),"Л")</f>
        <v>0</v>
      </c>
      <c r="T988" s="50">
        <f>SUMIFS(INDEX(Техника!$F$1:$ABM$500,T$2,0),Техника!$F$4:$ABM$4,"Часы",INDEX(Техника!$G$1:$ABN$500,T$2,0),$A$984,INDEX(Техника!$H$1:$ABO$500,T$2,0),"Л")</f>
        <v>0</v>
      </c>
      <c r="U988" s="50">
        <f>SUMIFS(INDEX(Техника!$F$1:$ABM$500,U$2,0),Техника!$F$4:$ABM$4,"Часы",INDEX(Техника!$G$1:$ABN$500,U$2,0),$A$984,INDEX(Техника!$H$1:$ABO$500,U$2,0),"Л")</f>
        <v>0</v>
      </c>
      <c r="V988" s="50">
        <f>SUMIFS(INDEX(Техника!$F$1:$ABM$500,V$2,0),Техника!$F$4:$ABM$4,"Часы",INDEX(Техника!$G$1:$ABN$500,V$2,0),$A$984,INDEX(Техника!$H$1:$ABO$500,V$2,0),"Л")</f>
        <v>0</v>
      </c>
      <c r="W988" s="50">
        <f>SUMIFS(INDEX(Техника!$F$1:$ABM$500,W$2,0),Техника!$F$4:$ABM$4,"Часы",INDEX(Техника!$G$1:$ABN$500,W$2,0),$A$984,INDEX(Техника!$H$1:$ABO$500,W$2,0),"Л")</f>
        <v>0</v>
      </c>
      <c r="X988" s="50">
        <f>SUMIFS(INDEX(Техника!$F$1:$ABM$500,X$2,0),Техника!$F$4:$ABM$4,"Часы",INDEX(Техника!$G$1:$ABN$500,X$2,0),$A$984,INDEX(Техника!$H$1:$ABO$500,X$2,0),"Л")</f>
        <v>0</v>
      </c>
      <c r="Y988" s="50">
        <f>SUMIFS(INDEX(Техника!$F$1:$ABM$500,Y$2,0),Техника!$F$4:$ABM$4,"Часы",INDEX(Техника!$G$1:$ABN$500,Y$2,0),$A$984,INDEX(Техника!$H$1:$ABO$500,Y$2,0),"Л")</f>
        <v>0</v>
      </c>
      <c r="Z988" s="50">
        <f>SUMIFS(INDEX(Техника!$F$1:$ABM$500,Z$2,0),Техника!$F$4:$ABM$4,"Часы",INDEX(Техника!$G$1:$ABN$500,Z$2,0),$A$984,INDEX(Техника!$H$1:$ABO$500,Z$2,0),"Л")</f>
        <v>0</v>
      </c>
      <c r="AA988" s="50">
        <f>SUMIFS(INDEX(Техника!$F$1:$ABM$500,AA$2,0),Техника!$F$4:$ABM$4,"Часы",INDEX(Техника!$G$1:$ABN$500,AA$2,0),$A$984,INDEX(Техника!$H$1:$ABO$500,AA$2,0),"Л")</f>
        <v>0</v>
      </c>
      <c r="AB988" s="50">
        <f>SUMIFS(INDEX(Техника!$F$1:$ABM$500,AB$2,0),Техника!$F$4:$ABM$4,"Часы",INDEX(Техника!$G$1:$ABN$500,AB$2,0),$A$984,INDEX(Техника!$H$1:$ABO$500,AB$2,0),"Л")</f>
        <v>0</v>
      </c>
    </row>
    <row r="989" spans="1:28" hidden="1" outlineLevel="1" x14ac:dyDescent="0.3">
      <c r="A989" s="33" t="s">
        <v>245</v>
      </c>
      <c r="B989" s="34" t="s">
        <v>279</v>
      </c>
      <c r="C989" s="50">
        <f>SUMIFS(INDEX(Техника!$F$1:$ABM$500,C$2,0),Техника!$F$4:$ABM$4,"Часы",INDEX(Техника!$G$1:$ABN$500,C$2,0),$A$984,INDEX(Техника!$H$1:$ABO$500,C$2,0),"З")</f>
        <v>0</v>
      </c>
      <c r="D989" s="50">
        <f>SUMIFS(INDEX(Техника!$F$1:$ABM$500,D$2,0),Техника!$F$4:$ABM$4,"Часы",INDEX(Техника!$G$1:$ABN$500,D$2,0),$A$984,INDEX(Техника!$H$1:$ABO$500,D$2,0),"З")</f>
        <v>0</v>
      </c>
      <c r="E989" s="50">
        <f>SUMIFS(INDEX(Техника!$F$1:$ABM$500,E$2,0),Техника!$F$4:$ABM$4,"Часы",INDEX(Техника!$G$1:$ABN$500,E$2,0),$A$984,INDEX(Техника!$H$1:$ABO$500,E$2,0),"З")</f>
        <v>0</v>
      </c>
      <c r="F989" s="50">
        <f>SUMIFS(INDEX(Техника!$F$1:$ABM$500,F$2,0),Техника!$F$4:$ABM$4,"Часы",INDEX(Техника!$G$1:$ABN$500,F$2,0),$A$984,INDEX(Техника!$H$1:$ABO$500,F$2,0),"З")</f>
        <v>0</v>
      </c>
      <c r="G989" s="50">
        <f>SUMIFS(INDEX(Техника!$F$1:$ABM$500,G$2,0),Техника!$F$4:$ABM$4,"Часы",INDEX(Техника!$G$1:$ABN$500,G$2,0),$A$984,INDEX(Техника!$H$1:$ABO$500,G$2,0),"З")</f>
        <v>0</v>
      </c>
      <c r="H989" s="50">
        <f>SUMIFS(INDEX(Техника!$F$1:$ABM$500,H$2,0),Техника!$F$4:$ABM$4,"Часы",INDEX(Техника!$G$1:$ABN$500,H$2,0),$A$984,INDEX(Техника!$H$1:$ABO$500,H$2,0),"З")</f>
        <v>0</v>
      </c>
      <c r="I989" s="50">
        <f>SUMIFS(INDEX(Техника!$F$1:$ABM$500,I$2,0),Техника!$F$4:$ABM$4,"Часы",INDEX(Техника!$G$1:$ABN$500,I$2,0),$A$984,INDEX(Техника!$H$1:$ABO$500,I$2,0),"З")</f>
        <v>0</v>
      </c>
      <c r="J989" s="50">
        <f>SUMIFS(INDEX(Техника!$F$1:$ABM$500,J$2,0),Техника!$F$4:$ABM$4,"Часы",INDEX(Техника!$G$1:$ABN$500,J$2,0),$A$984,INDEX(Техника!$H$1:$ABO$500,J$2,0),"З")</f>
        <v>0</v>
      </c>
      <c r="K989" s="50">
        <f>SUMIFS(INDEX(Техника!$F$1:$ABM$500,K$2,0),Техника!$F$4:$ABM$4,"Часы",INDEX(Техника!$G$1:$ABN$500,K$2,0),$A$984,INDEX(Техника!$H$1:$ABO$500,K$2,0),"З")</f>
        <v>0</v>
      </c>
      <c r="L989" s="50">
        <f>SUMIFS(INDEX(Техника!$F$1:$ABM$500,L$2,0),Техника!$F$4:$ABM$4,"Часы",INDEX(Техника!$G$1:$ABN$500,L$2,0),$A$984,INDEX(Техника!$H$1:$ABO$500,L$2,0),"З")</f>
        <v>0</v>
      </c>
      <c r="M989" s="50">
        <f>SUMIFS(INDEX(Техника!$F$1:$ABM$500,M$2,0),Техника!$F$4:$ABM$4,"Часы",INDEX(Техника!$G$1:$ABN$500,M$2,0),$A$984,INDEX(Техника!$H$1:$ABO$500,M$2,0),"З")</f>
        <v>0</v>
      </c>
      <c r="N989" s="50">
        <f>SUMIFS(INDEX(Техника!$F$1:$ABM$500,N$2,0),Техника!$F$4:$ABM$4,"Часы",INDEX(Техника!$G$1:$ABN$500,N$2,0),$A$984,INDEX(Техника!$H$1:$ABO$500,N$2,0),"З")</f>
        <v>0</v>
      </c>
      <c r="O989" s="50">
        <f>SUMIFS(INDEX(Техника!$F$1:$ABM$500,O$2,0),Техника!$F$4:$ABM$4,"Часы",INDEX(Техника!$G$1:$ABN$500,O$2,0),$A$984,INDEX(Техника!$H$1:$ABO$500,O$2,0),"З")</f>
        <v>0</v>
      </c>
      <c r="P989" s="50">
        <f>SUMIFS(INDEX(Техника!$F$1:$ABM$500,P$2,0),Техника!$F$4:$ABM$4,"Часы",INDEX(Техника!$G$1:$ABN$500,P$2,0),$A$984,INDEX(Техника!$H$1:$ABO$500,P$2,0),"З")</f>
        <v>0</v>
      </c>
      <c r="Q989" s="50">
        <f>SUMIFS(INDEX(Техника!$F$1:$ABM$500,Q$2,0),Техника!$F$4:$ABM$4,"Часы",INDEX(Техника!$G$1:$ABN$500,Q$2,0),$A$984,INDEX(Техника!$H$1:$ABO$500,Q$2,0),"З")</f>
        <v>0</v>
      </c>
      <c r="R989" s="50">
        <f>SUMIFS(INDEX(Техника!$F$1:$ABM$500,R$2,0),Техника!$F$4:$ABM$4,"Часы",INDEX(Техника!$G$1:$ABN$500,R$2,0),$A$984,INDEX(Техника!$H$1:$ABO$500,R$2,0),"З")</f>
        <v>0</v>
      </c>
      <c r="S989" s="50">
        <f>SUMIFS(INDEX(Техника!$F$1:$ABM$500,S$2,0),Техника!$F$4:$ABM$4,"Часы",INDEX(Техника!$G$1:$ABN$500,S$2,0),$A$984,INDEX(Техника!$H$1:$ABO$500,S$2,0),"З")</f>
        <v>0</v>
      </c>
      <c r="T989" s="50">
        <f>SUMIFS(INDEX(Техника!$F$1:$ABM$500,T$2,0),Техника!$F$4:$ABM$4,"Часы",INDEX(Техника!$G$1:$ABN$500,T$2,0),$A$984,INDEX(Техника!$H$1:$ABO$500,T$2,0),"З")</f>
        <v>0</v>
      </c>
      <c r="U989" s="50">
        <f>SUMIFS(INDEX(Техника!$F$1:$ABM$500,U$2,0),Техника!$F$4:$ABM$4,"Часы",INDEX(Техника!$G$1:$ABN$500,U$2,0),$A$984,INDEX(Техника!$H$1:$ABO$500,U$2,0),"З")</f>
        <v>0</v>
      </c>
      <c r="V989" s="50">
        <f>SUMIFS(INDEX(Техника!$F$1:$ABM$500,V$2,0),Техника!$F$4:$ABM$4,"Часы",INDEX(Техника!$G$1:$ABN$500,V$2,0),$A$984,INDEX(Техника!$H$1:$ABO$500,V$2,0),"З")</f>
        <v>0</v>
      </c>
      <c r="W989" s="50">
        <f>SUMIFS(INDEX(Техника!$F$1:$ABM$500,W$2,0),Техника!$F$4:$ABM$4,"Часы",INDEX(Техника!$G$1:$ABN$500,W$2,0),$A$984,INDEX(Техника!$H$1:$ABO$500,W$2,0),"З")</f>
        <v>0</v>
      </c>
      <c r="X989" s="50">
        <f>SUMIFS(INDEX(Техника!$F$1:$ABM$500,X$2,0),Техника!$F$4:$ABM$4,"Часы",INDEX(Техника!$G$1:$ABN$500,X$2,0),$A$984,INDEX(Техника!$H$1:$ABO$500,X$2,0),"З")</f>
        <v>0</v>
      </c>
      <c r="Y989" s="50">
        <f>SUMIFS(INDEX(Техника!$F$1:$ABM$500,Y$2,0),Техника!$F$4:$ABM$4,"Часы",INDEX(Техника!$G$1:$ABN$500,Y$2,0),$A$984,INDEX(Техника!$H$1:$ABO$500,Y$2,0),"З")</f>
        <v>0</v>
      </c>
      <c r="Z989" s="50">
        <f>SUMIFS(INDEX(Техника!$F$1:$ABM$500,Z$2,0),Техника!$F$4:$ABM$4,"Часы",INDEX(Техника!$G$1:$ABN$500,Z$2,0),$A$984,INDEX(Техника!$H$1:$ABO$500,Z$2,0),"З")</f>
        <v>0</v>
      </c>
      <c r="AA989" s="50">
        <f>SUMIFS(INDEX(Техника!$F$1:$ABM$500,AA$2,0),Техника!$F$4:$ABM$4,"Часы",INDEX(Техника!$G$1:$ABN$500,AA$2,0),$A$984,INDEX(Техника!$H$1:$ABO$500,AA$2,0),"З")</f>
        <v>0</v>
      </c>
      <c r="AB989" s="50">
        <f>SUMIFS(INDEX(Техника!$F$1:$ABM$500,AB$2,0),Техника!$F$4:$ABM$4,"Часы",INDEX(Техника!$G$1:$ABN$500,AB$2,0),$A$984,INDEX(Техника!$H$1:$ABO$500,AB$2,0),"З")</f>
        <v>0</v>
      </c>
    </row>
    <row r="990" spans="1:28" ht="7.95" customHeight="1" x14ac:dyDescent="0.3">
      <c r="A990" s="38"/>
      <c r="B990" s="39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</row>
    <row r="991" spans="1:28" ht="25.05" customHeight="1" collapsed="1" x14ac:dyDescent="0.3">
      <c r="A991" s="32">
        <v>142</v>
      </c>
      <c r="B991" s="32" t="s">
        <v>143</v>
      </c>
      <c r="C991" s="49">
        <f>SUM(C992:C996)</f>
        <v>0</v>
      </c>
      <c r="D991" s="49">
        <f>SUM(D992:D996)</f>
        <v>0</v>
      </c>
      <c r="E991" s="49">
        <f>SUM(E992:E996)</f>
        <v>0</v>
      </c>
      <c r="F991" s="49">
        <f>SUM(F992:F996)</f>
        <v>0</v>
      </c>
      <c r="G991" s="49">
        <f>SUM(G992:G996)</f>
        <v>0</v>
      </c>
      <c r="H991" s="49">
        <f>SUM(H992:H996)</f>
        <v>0</v>
      </c>
      <c r="I991" s="49">
        <f>SUM(I992:I996)</f>
        <v>0</v>
      </c>
      <c r="J991" s="49">
        <f>SUM(J992:J996)</f>
        <v>0</v>
      </c>
      <c r="K991" s="49">
        <f>SUM(K992:K996)</f>
        <v>0</v>
      </c>
      <c r="L991" s="49">
        <f>SUM(L992:L996)</f>
        <v>0</v>
      </c>
      <c r="M991" s="49">
        <f>SUM(M992:M996)</f>
        <v>0</v>
      </c>
      <c r="N991" s="49">
        <f>SUM(N992:N996)</f>
        <v>0</v>
      </c>
      <c r="O991" s="49">
        <f>SUM(O992:O996)</f>
        <v>0</v>
      </c>
      <c r="P991" s="49">
        <f>SUM(P992:P996)</f>
        <v>0</v>
      </c>
      <c r="Q991" s="49">
        <f>SUM(Q992:Q996)</f>
        <v>0</v>
      </c>
      <c r="R991" s="49">
        <f>SUM(R992:R996)</f>
        <v>0</v>
      </c>
      <c r="S991" s="49">
        <f>SUM(S992:S996)</f>
        <v>0</v>
      </c>
      <c r="T991" s="49">
        <f>SUM(T992:T996)</f>
        <v>0</v>
      </c>
      <c r="U991" s="49">
        <f>SUM(U992:U996)</f>
        <v>0</v>
      </c>
      <c r="V991" s="49">
        <f>SUM(V992:V996)</f>
        <v>0</v>
      </c>
      <c r="W991" s="49">
        <f>SUM(W992:W996)</f>
        <v>0</v>
      </c>
      <c r="X991" s="49">
        <f>SUM(X992:X996)</f>
        <v>0</v>
      </c>
      <c r="Y991" s="49">
        <f>SUM(Y992:Y996)</f>
        <v>0</v>
      </c>
      <c r="Z991" s="49">
        <f>SUM(Z992:Z996)</f>
        <v>0</v>
      </c>
      <c r="AA991" s="49">
        <f>SUM(AA992:AA996)</f>
        <v>0</v>
      </c>
      <c r="AB991" s="49">
        <f>SUM(AB992:AB996)</f>
        <v>0</v>
      </c>
    </row>
    <row r="992" spans="1:28" hidden="1" outlineLevel="1" x14ac:dyDescent="0.3">
      <c r="A992" s="33" t="s">
        <v>246</v>
      </c>
      <c r="B992" s="34" t="s">
        <v>274</v>
      </c>
      <c r="C992" s="50">
        <f>SUMIFS(INDEX(Техника!$F$1:$ABM$500,C$2,0),Техника!$F$4:$ABM$4,"Часы",INDEX(Техника!$G$1:$ABN$500,C$2,0),$A$991,INDEX(Техника!$H$1:$ABO$500,C$2,0),"М")</f>
        <v>0</v>
      </c>
      <c r="D992" s="50">
        <f>SUMIFS(INDEX(Техника!$F$1:$ABM$500,D$2,0),Техника!$F$4:$ABM$4,"Часы",INDEX(Техника!$G$1:$ABN$500,D$2,0),$A$991,INDEX(Техника!$H$1:$ABO$500,D$2,0),"М")</f>
        <v>0</v>
      </c>
      <c r="E992" s="50">
        <f>SUMIFS(INDEX(Техника!$F$1:$ABM$500,E$2,0),Техника!$F$4:$ABM$4,"Часы",INDEX(Техника!$G$1:$ABN$500,E$2,0),$A$991,INDEX(Техника!$H$1:$ABO$500,E$2,0),"М")</f>
        <v>0</v>
      </c>
      <c r="F992" s="50">
        <f>SUMIFS(INDEX(Техника!$F$1:$ABM$500,F$2,0),Техника!$F$4:$ABM$4,"Часы",INDEX(Техника!$G$1:$ABN$500,F$2,0),$A$991,INDEX(Техника!$H$1:$ABO$500,F$2,0),"М")</f>
        <v>0</v>
      </c>
      <c r="G992" s="50">
        <f>SUMIFS(INDEX(Техника!$F$1:$ABM$500,G$2,0),Техника!$F$4:$ABM$4,"Часы",INDEX(Техника!$G$1:$ABN$500,G$2,0),$A$991,INDEX(Техника!$H$1:$ABO$500,G$2,0),"М")</f>
        <v>0</v>
      </c>
      <c r="H992" s="50">
        <f>SUMIFS(INDEX(Техника!$F$1:$ABM$500,H$2,0),Техника!$F$4:$ABM$4,"Часы",INDEX(Техника!$G$1:$ABN$500,H$2,0),$A$991,INDEX(Техника!$H$1:$ABO$500,H$2,0),"М")</f>
        <v>0</v>
      </c>
      <c r="I992" s="50">
        <f>SUMIFS(INDEX(Техника!$F$1:$ABM$500,I$2,0),Техника!$F$4:$ABM$4,"Часы",INDEX(Техника!$G$1:$ABN$500,I$2,0),$A$991,INDEX(Техника!$H$1:$ABO$500,I$2,0),"М")</f>
        <v>0</v>
      </c>
      <c r="J992" s="50">
        <f>SUMIFS(INDEX(Техника!$F$1:$ABM$500,J$2,0),Техника!$F$4:$ABM$4,"Часы",INDEX(Техника!$G$1:$ABN$500,J$2,0),$A$991,INDEX(Техника!$H$1:$ABO$500,J$2,0),"М")</f>
        <v>0</v>
      </c>
      <c r="K992" s="50">
        <f>SUMIFS(INDEX(Техника!$F$1:$ABM$500,K$2,0),Техника!$F$4:$ABM$4,"Часы",INDEX(Техника!$G$1:$ABN$500,K$2,0),$A$991,INDEX(Техника!$H$1:$ABO$500,K$2,0),"М")</f>
        <v>0</v>
      </c>
      <c r="L992" s="50">
        <f>SUMIFS(INDEX(Техника!$F$1:$ABM$500,L$2,0),Техника!$F$4:$ABM$4,"Часы",INDEX(Техника!$G$1:$ABN$500,L$2,0),$A$991,INDEX(Техника!$H$1:$ABO$500,L$2,0),"М")</f>
        <v>0</v>
      </c>
      <c r="M992" s="50">
        <f>SUMIFS(INDEX(Техника!$F$1:$ABM$500,M$2,0),Техника!$F$4:$ABM$4,"Часы",INDEX(Техника!$G$1:$ABN$500,M$2,0),$A$991,INDEX(Техника!$H$1:$ABO$500,M$2,0),"М")</f>
        <v>0</v>
      </c>
      <c r="N992" s="50">
        <f>SUMIFS(INDEX(Техника!$F$1:$ABM$500,N$2,0),Техника!$F$4:$ABM$4,"Часы",INDEX(Техника!$G$1:$ABN$500,N$2,0),$A$991,INDEX(Техника!$H$1:$ABO$500,N$2,0),"М")</f>
        <v>0</v>
      </c>
      <c r="O992" s="50">
        <f>SUMIFS(INDEX(Техника!$F$1:$ABM$500,O$2,0),Техника!$F$4:$ABM$4,"Часы",INDEX(Техника!$G$1:$ABN$500,O$2,0),$A$991,INDEX(Техника!$H$1:$ABO$500,O$2,0),"М")</f>
        <v>0</v>
      </c>
      <c r="P992" s="50">
        <f>SUMIFS(INDEX(Техника!$F$1:$ABM$500,P$2,0),Техника!$F$4:$ABM$4,"Часы",INDEX(Техника!$G$1:$ABN$500,P$2,0),$A$991,INDEX(Техника!$H$1:$ABO$500,P$2,0),"М")</f>
        <v>0</v>
      </c>
      <c r="Q992" s="50">
        <f>SUMIFS(INDEX(Техника!$F$1:$ABM$500,Q$2,0),Техника!$F$4:$ABM$4,"Часы",INDEX(Техника!$G$1:$ABN$500,Q$2,0),$A$991,INDEX(Техника!$H$1:$ABO$500,Q$2,0),"М")</f>
        <v>0</v>
      </c>
      <c r="R992" s="50">
        <f>SUMIFS(INDEX(Техника!$F$1:$ABM$500,R$2,0),Техника!$F$4:$ABM$4,"Часы",INDEX(Техника!$G$1:$ABN$500,R$2,0),$A$991,INDEX(Техника!$H$1:$ABO$500,R$2,0),"М")</f>
        <v>0</v>
      </c>
      <c r="S992" s="50">
        <f>SUMIFS(INDEX(Техника!$F$1:$ABM$500,S$2,0),Техника!$F$4:$ABM$4,"Часы",INDEX(Техника!$G$1:$ABN$500,S$2,0),$A$991,INDEX(Техника!$H$1:$ABO$500,S$2,0),"М")</f>
        <v>0</v>
      </c>
      <c r="T992" s="50">
        <f>SUMIFS(INDEX(Техника!$F$1:$ABM$500,T$2,0),Техника!$F$4:$ABM$4,"Часы",INDEX(Техника!$G$1:$ABN$500,T$2,0),$A$991,INDEX(Техника!$H$1:$ABO$500,T$2,0),"М")</f>
        <v>0</v>
      </c>
      <c r="U992" s="50">
        <f>SUMIFS(INDEX(Техника!$F$1:$ABM$500,U$2,0),Техника!$F$4:$ABM$4,"Часы",INDEX(Техника!$G$1:$ABN$500,U$2,0),$A$991,INDEX(Техника!$H$1:$ABO$500,U$2,0),"М")</f>
        <v>0</v>
      </c>
      <c r="V992" s="50">
        <f>SUMIFS(INDEX(Техника!$F$1:$ABM$500,V$2,0),Техника!$F$4:$ABM$4,"Часы",INDEX(Техника!$G$1:$ABN$500,V$2,0),$A$991,INDEX(Техника!$H$1:$ABO$500,V$2,0),"М")</f>
        <v>0</v>
      </c>
      <c r="W992" s="50">
        <f>SUMIFS(INDEX(Техника!$F$1:$ABM$500,W$2,0),Техника!$F$4:$ABM$4,"Часы",INDEX(Техника!$G$1:$ABN$500,W$2,0),$A$991,INDEX(Техника!$H$1:$ABO$500,W$2,0),"М")</f>
        <v>0</v>
      </c>
      <c r="X992" s="50">
        <f>SUMIFS(INDEX(Техника!$F$1:$ABM$500,X$2,0),Техника!$F$4:$ABM$4,"Часы",INDEX(Техника!$G$1:$ABN$500,X$2,0),$A$991,INDEX(Техника!$H$1:$ABO$500,X$2,0),"М")</f>
        <v>0</v>
      </c>
      <c r="Y992" s="50">
        <f>SUMIFS(INDEX(Техника!$F$1:$ABM$500,Y$2,0),Техника!$F$4:$ABM$4,"Часы",INDEX(Техника!$G$1:$ABN$500,Y$2,0),$A$991,INDEX(Техника!$H$1:$ABO$500,Y$2,0),"М")</f>
        <v>0</v>
      </c>
      <c r="Z992" s="50">
        <f>SUMIFS(INDEX(Техника!$F$1:$ABM$500,Z$2,0),Техника!$F$4:$ABM$4,"Часы",INDEX(Техника!$G$1:$ABN$500,Z$2,0),$A$991,INDEX(Техника!$H$1:$ABO$500,Z$2,0),"М")</f>
        <v>0</v>
      </c>
      <c r="AA992" s="50">
        <f>SUMIFS(INDEX(Техника!$F$1:$ABM$500,AA$2,0),Техника!$F$4:$ABM$4,"Часы",INDEX(Техника!$G$1:$ABN$500,AA$2,0),$A$991,INDEX(Техника!$H$1:$ABO$500,AA$2,0),"М")</f>
        <v>0</v>
      </c>
      <c r="AB992" s="50">
        <f>SUMIFS(INDEX(Техника!$F$1:$ABM$500,AB$2,0),Техника!$F$4:$ABM$4,"Часы",INDEX(Техника!$G$1:$ABN$500,AB$2,0),$A$991,INDEX(Техника!$H$1:$ABO$500,AB$2,0),"М")</f>
        <v>0</v>
      </c>
    </row>
    <row r="993" spans="1:28" hidden="1" outlineLevel="1" x14ac:dyDescent="0.3">
      <c r="A993" s="33" t="s">
        <v>244</v>
      </c>
      <c r="B993" s="34" t="s">
        <v>275</v>
      </c>
      <c r="C993" s="50">
        <f>SUMIFS(INDEX(Техника!$F$1:$ABM$500,C$2,0),Техника!$F$4:$ABM$4,"Часы",INDEX(Техника!$G$1:$ABN$500,C$2,0),$A$991,INDEX(Техника!$H$1:$ABO$500,C$2,0),"Д")</f>
        <v>0</v>
      </c>
      <c r="D993" s="50">
        <f>SUMIFS(INDEX(Техника!$F$1:$ABM$500,D$2,0),Техника!$F$4:$ABM$4,"Часы",INDEX(Техника!$G$1:$ABN$500,D$2,0),$A$991,INDEX(Техника!$H$1:$ABO$500,D$2,0),"Д")</f>
        <v>0</v>
      </c>
      <c r="E993" s="50">
        <f>SUMIFS(INDEX(Техника!$F$1:$ABM$500,E$2,0),Техника!$F$4:$ABM$4,"Часы",INDEX(Техника!$G$1:$ABN$500,E$2,0),$A$991,INDEX(Техника!$H$1:$ABO$500,E$2,0),"Д")</f>
        <v>0</v>
      </c>
      <c r="F993" s="50">
        <f>SUMIFS(INDEX(Техника!$F$1:$ABM$500,F$2,0),Техника!$F$4:$ABM$4,"Часы",INDEX(Техника!$G$1:$ABN$500,F$2,0),$A$991,INDEX(Техника!$H$1:$ABO$500,F$2,0),"Д")</f>
        <v>0</v>
      </c>
      <c r="G993" s="50">
        <f>SUMIFS(INDEX(Техника!$F$1:$ABM$500,G$2,0),Техника!$F$4:$ABM$4,"Часы",INDEX(Техника!$G$1:$ABN$500,G$2,0),$A$991,INDEX(Техника!$H$1:$ABO$500,G$2,0),"Д")</f>
        <v>0</v>
      </c>
      <c r="H993" s="50">
        <f>SUMIFS(INDEX(Техника!$F$1:$ABM$500,H$2,0),Техника!$F$4:$ABM$4,"Часы",INDEX(Техника!$G$1:$ABN$500,H$2,0),$A$991,INDEX(Техника!$H$1:$ABO$500,H$2,0),"Д")</f>
        <v>0</v>
      </c>
      <c r="I993" s="50">
        <f>SUMIFS(INDEX(Техника!$F$1:$ABM$500,I$2,0),Техника!$F$4:$ABM$4,"Часы",INDEX(Техника!$G$1:$ABN$500,I$2,0),$A$991,INDEX(Техника!$H$1:$ABO$500,I$2,0),"Д")</f>
        <v>0</v>
      </c>
      <c r="J993" s="50">
        <f>SUMIFS(INDEX(Техника!$F$1:$ABM$500,J$2,0),Техника!$F$4:$ABM$4,"Часы",INDEX(Техника!$G$1:$ABN$500,J$2,0),$A$991,INDEX(Техника!$H$1:$ABO$500,J$2,0),"Д")</f>
        <v>0</v>
      </c>
      <c r="K993" s="50">
        <f>SUMIFS(INDEX(Техника!$F$1:$ABM$500,K$2,0),Техника!$F$4:$ABM$4,"Часы",INDEX(Техника!$G$1:$ABN$500,K$2,0),$A$991,INDEX(Техника!$H$1:$ABO$500,K$2,0),"Д")</f>
        <v>0</v>
      </c>
      <c r="L993" s="50">
        <f>SUMIFS(INDEX(Техника!$F$1:$ABM$500,L$2,0),Техника!$F$4:$ABM$4,"Часы",INDEX(Техника!$G$1:$ABN$500,L$2,0),$A$991,INDEX(Техника!$H$1:$ABO$500,L$2,0),"Д")</f>
        <v>0</v>
      </c>
      <c r="M993" s="50">
        <f>SUMIFS(INDEX(Техника!$F$1:$ABM$500,M$2,0),Техника!$F$4:$ABM$4,"Часы",INDEX(Техника!$G$1:$ABN$500,M$2,0),$A$991,INDEX(Техника!$H$1:$ABO$500,M$2,0),"Д")</f>
        <v>0</v>
      </c>
      <c r="N993" s="50">
        <f>SUMIFS(INDEX(Техника!$F$1:$ABM$500,N$2,0),Техника!$F$4:$ABM$4,"Часы",INDEX(Техника!$G$1:$ABN$500,N$2,0),$A$991,INDEX(Техника!$H$1:$ABO$500,N$2,0),"Д")</f>
        <v>0</v>
      </c>
      <c r="O993" s="50">
        <f>SUMIFS(INDEX(Техника!$F$1:$ABM$500,O$2,0),Техника!$F$4:$ABM$4,"Часы",INDEX(Техника!$G$1:$ABN$500,O$2,0),$A$991,INDEX(Техника!$H$1:$ABO$500,O$2,0),"Д")</f>
        <v>0</v>
      </c>
      <c r="P993" s="50">
        <f>SUMIFS(INDEX(Техника!$F$1:$ABM$500,P$2,0),Техника!$F$4:$ABM$4,"Часы",INDEX(Техника!$G$1:$ABN$500,P$2,0),$A$991,INDEX(Техника!$H$1:$ABO$500,P$2,0),"Д")</f>
        <v>0</v>
      </c>
      <c r="Q993" s="50">
        <f>SUMIFS(INDEX(Техника!$F$1:$ABM$500,Q$2,0),Техника!$F$4:$ABM$4,"Часы",INDEX(Техника!$G$1:$ABN$500,Q$2,0),$A$991,INDEX(Техника!$H$1:$ABO$500,Q$2,0),"Д")</f>
        <v>0</v>
      </c>
      <c r="R993" s="50">
        <f>SUMIFS(INDEX(Техника!$F$1:$ABM$500,R$2,0),Техника!$F$4:$ABM$4,"Часы",INDEX(Техника!$G$1:$ABN$500,R$2,0),$A$991,INDEX(Техника!$H$1:$ABO$500,R$2,0),"Д")</f>
        <v>0</v>
      </c>
      <c r="S993" s="50">
        <f>SUMIFS(INDEX(Техника!$F$1:$ABM$500,S$2,0),Техника!$F$4:$ABM$4,"Часы",INDEX(Техника!$G$1:$ABN$500,S$2,0),$A$991,INDEX(Техника!$H$1:$ABO$500,S$2,0),"Д")</f>
        <v>0</v>
      </c>
      <c r="T993" s="50">
        <f>SUMIFS(INDEX(Техника!$F$1:$ABM$500,T$2,0),Техника!$F$4:$ABM$4,"Часы",INDEX(Техника!$G$1:$ABN$500,T$2,0),$A$991,INDEX(Техника!$H$1:$ABO$500,T$2,0),"Д")</f>
        <v>0</v>
      </c>
      <c r="U993" s="50">
        <f>SUMIFS(INDEX(Техника!$F$1:$ABM$500,U$2,0),Техника!$F$4:$ABM$4,"Часы",INDEX(Техника!$G$1:$ABN$500,U$2,0),$A$991,INDEX(Техника!$H$1:$ABO$500,U$2,0),"Д")</f>
        <v>0</v>
      </c>
      <c r="V993" s="50">
        <f>SUMIFS(INDEX(Техника!$F$1:$ABM$500,V$2,0),Техника!$F$4:$ABM$4,"Часы",INDEX(Техника!$G$1:$ABN$500,V$2,0),$A$991,INDEX(Техника!$H$1:$ABO$500,V$2,0),"Д")</f>
        <v>0</v>
      </c>
      <c r="W993" s="50">
        <f>SUMIFS(INDEX(Техника!$F$1:$ABM$500,W$2,0),Техника!$F$4:$ABM$4,"Часы",INDEX(Техника!$G$1:$ABN$500,W$2,0),$A$991,INDEX(Техника!$H$1:$ABO$500,W$2,0),"Д")</f>
        <v>0</v>
      </c>
      <c r="X993" s="50">
        <f>SUMIFS(INDEX(Техника!$F$1:$ABM$500,X$2,0),Техника!$F$4:$ABM$4,"Часы",INDEX(Техника!$G$1:$ABN$500,X$2,0),$A$991,INDEX(Техника!$H$1:$ABO$500,X$2,0),"Д")</f>
        <v>0</v>
      </c>
      <c r="Y993" s="50">
        <f>SUMIFS(INDEX(Техника!$F$1:$ABM$500,Y$2,0),Техника!$F$4:$ABM$4,"Часы",INDEX(Техника!$G$1:$ABN$500,Y$2,0),$A$991,INDEX(Техника!$H$1:$ABO$500,Y$2,0),"Д")</f>
        <v>0</v>
      </c>
      <c r="Z993" s="50">
        <f>SUMIFS(INDEX(Техника!$F$1:$ABM$500,Z$2,0),Техника!$F$4:$ABM$4,"Часы",INDEX(Техника!$G$1:$ABN$500,Z$2,0),$A$991,INDEX(Техника!$H$1:$ABO$500,Z$2,0),"Д")</f>
        <v>0</v>
      </c>
      <c r="AA993" s="50">
        <f>SUMIFS(INDEX(Техника!$F$1:$ABM$500,AA$2,0),Техника!$F$4:$ABM$4,"Часы",INDEX(Техника!$G$1:$ABN$500,AA$2,0),$A$991,INDEX(Техника!$H$1:$ABO$500,AA$2,0),"Д")</f>
        <v>0</v>
      </c>
      <c r="AB993" s="50">
        <f>SUMIFS(INDEX(Техника!$F$1:$ABM$500,AB$2,0),Техника!$F$4:$ABM$4,"Часы",INDEX(Техника!$G$1:$ABN$500,AB$2,0),$A$991,INDEX(Техника!$H$1:$ABO$500,AB$2,0),"Д")</f>
        <v>0</v>
      </c>
    </row>
    <row r="994" spans="1:28" hidden="1" outlineLevel="1" x14ac:dyDescent="0.3">
      <c r="A994" s="33" t="s">
        <v>276</v>
      </c>
      <c r="B994" s="34" t="s">
        <v>277</v>
      </c>
      <c r="C994" s="50">
        <f>SUMIFS(INDEX(Техника!$F$1:$ABM$500,C$2,0),Техника!$F$4:$ABM$4,"Часы",INDEX(Техника!$G$1:$ABN$500,C$2,0),$A$991,INDEX(Техника!$H$1:$ABO$500,C$2,0),"П")</f>
        <v>0</v>
      </c>
      <c r="D994" s="50">
        <f>SUMIFS(INDEX(Техника!$F$1:$ABM$500,D$2,0),Техника!$F$4:$ABM$4,"Часы",INDEX(Техника!$G$1:$ABN$500,D$2,0),$A$991,INDEX(Техника!$H$1:$ABO$500,D$2,0),"П")</f>
        <v>0</v>
      </c>
      <c r="E994" s="50">
        <f>SUMIFS(INDEX(Техника!$F$1:$ABM$500,E$2,0),Техника!$F$4:$ABM$4,"Часы",INDEX(Техника!$G$1:$ABN$500,E$2,0),$A$991,INDEX(Техника!$H$1:$ABO$500,E$2,0),"П")</f>
        <v>0</v>
      </c>
      <c r="F994" s="50">
        <f>SUMIFS(INDEX(Техника!$F$1:$ABM$500,F$2,0),Техника!$F$4:$ABM$4,"Часы",INDEX(Техника!$G$1:$ABN$500,F$2,0),$A$991,INDEX(Техника!$H$1:$ABO$500,F$2,0),"П")</f>
        <v>0</v>
      </c>
      <c r="G994" s="50">
        <f>SUMIFS(INDEX(Техника!$F$1:$ABM$500,G$2,0),Техника!$F$4:$ABM$4,"Часы",INDEX(Техника!$G$1:$ABN$500,G$2,0),$A$991,INDEX(Техника!$H$1:$ABO$500,G$2,0),"П")</f>
        <v>0</v>
      </c>
      <c r="H994" s="50">
        <f>SUMIFS(INDEX(Техника!$F$1:$ABM$500,H$2,0),Техника!$F$4:$ABM$4,"Часы",INDEX(Техника!$G$1:$ABN$500,H$2,0),$A$991,INDEX(Техника!$H$1:$ABO$500,H$2,0),"П")</f>
        <v>0</v>
      </c>
      <c r="I994" s="50">
        <f>SUMIFS(INDEX(Техника!$F$1:$ABM$500,I$2,0),Техника!$F$4:$ABM$4,"Часы",INDEX(Техника!$G$1:$ABN$500,I$2,0),$A$991,INDEX(Техника!$H$1:$ABO$500,I$2,0),"П")</f>
        <v>0</v>
      </c>
      <c r="J994" s="50">
        <f>SUMIFS(INDEX(Техника!$F$1:$ABM$500,J$2,0),Техника!$F$4:$ABM$4,"Часы",INDEX(Техника!$G$1:$ABN$500,J$2,0),$A$991,INDEX(Техника!$H$1:$ABO$500,J$2,0),"П")</f>
        <v>0</v>
      </c>
      <c r="K994" s="50">
        <f>SUMIFS(INDEX(Техника!$F$1:$ABM$500,K$2,0),Техника!$F$4:$ABM$4,"Часы",INDEX(Техника!$G$1:$ABN$500,K$2,0),$A$991,INDEX(Техника!$H$1:$ABO$500,K$2,0),"П")</f>
        <v>0</v>
      </c>
      <c r="L994" s="50">
        <f>SUMIFS(INDEX(Техника!$F$1:$ABM$500,L$2,0),Техника!$F$4:$ABM$4,"Часы",INDEX(Техника!$G$1:$ABN$500,L$2,0),$A$991,INDEX(Техника!$H$1:$ABO$500,L$2,0),"П")</f>
        <v>0</v>
      </c>
      <c r="M994" s="50">
        <f>SUMIFS(INDEX(Техника!$F$1:$ABM$500,M$2,0),Техника!$F$4:$ABM$4,"Часы",INDEX(Техника!$G$1:$ABN$500,M$2,0),$A$991,INDEX(Техника!$H$1:$ABO$500,M$2,0),"П")</f>
        <v>0</v>
      </c>
      <c r="N994" s="50">
        <f>SUMIFS(INDEX(Техника!$F$1:$ABM$500,N$2,0),Техника!$F$4:$ABM$4,"Часы",INDEX(Техника!$G$1:$ABN$500,N$2,0),$A$991,INDEX(Техника!$H$1:$ABO$500,N$2,0),"П")</f>
        <v>0</v>
      </c>
      <c r="O994" s="50">
        <f>SUMIFS(INDEX(Техника!$F$1:$ABM$500,O$2,0),Техника!$F$4:$ABM$4,"Часы",INDEX(Техника!$G$1:$ABN$500,O$2,0),$A$991,INDEX(Техника!$H$1:$ABO$500,O$2,0),"П")</f>
        <v>0</v>
      </c>
      <c r="P994" s="50">
        <f>SUMIFS(INDEX(Техника!$F$1:$ABM$500,P$2,0),Техника!$F$4:$ABM$4,"Часы",INDEX(Техника!$G$1:$ABN$500,P$2,0),$A$991,INDEX(Техника!$H$1:$ABO$500,P$2,0),"П")</f>
        <v>0</v>
      </c>
      <c r="Q994" s="50">
        <f>SUMIFS(INDEX(Техника!$F$1:$ABM$500,Q$2,0),Техника!$F$4:$ABM$4,"Часы",INDEX(Техника!$G$1:$ABN$500,Q$2,0),$A$991,INDEX(Техника!$H$1:$ABO$500,Q$2,0),"П")</f>
        <v>0</v>
      </c>
      <c r="R994" s="50">
        <f>SUMIFS(INDEX(Техника!$F$1:$ABM$500,R$2,0),Техника!$F$4:$ABM$4,"Часы",INDEX(Техника!$G$1:$ABN$500,R$2,0),$A$991,INDEX(Техника!$H$1:$ABO$500,R$2,0),"П")</f>
        <v>0</v>
      </c>
      <c r="S994" s="50">
        <f>SUMIFS(INDEX(Техника!$F$1:$ABM$500,S$2,0),Техника!$F$4:$ABM$4,"Часы",INDEX(Техника!$G$1:$ABN$500,S$2,0),$A$991,INDEX(Техника!$H$1:$ABO$500,S$2,0),"П")</f>
        <v>0</v>
      </c>
      <c r="T994" s="50">
        <f>SUMIFS(INDEX(Техника!$F$1:$ABM$500,T$2,0),Техника!$F$4:$ABM$4,"Часы",INDEX(Техника!$G$1:$ABN$500,T$2,0),$A$991,INDEX(Техника!$H$1:$ABO$500,T$2,0),"П")</f>
        <v>0</v>
      </c>
      <c r="U994" s="50">
        <f>SUMIFS(INDEX(Техника!$F$1:$ABM$500,U$2,0),Техника!$F$4:$ABM$4,"Часы",INDEX(Техника!$G$1:$ABN$500,U$2,0),$A$991,INDEX(Техника!$H$1:$ABO$500,U$2,0),"П")</f>
        <v>0</v>
      </c>
      <c r="V994" s="50">
        <f>SUMIFS(INDEX(Техника!$F$1:$ABM$500,V$2,0),Техника!$F$4:$ABM$4,"Часы",INDEX(Техника!$G$1:$ABN$500,V$2,0),$A$991,INDEX(Техника!$H$1:$ABO$500,V$2,0),"П")</f>
        <v>0</v>
      </c>
      <c r="W994" s="50">
        <f>SUMIFS(INDEX(Техника!$F$1:$ABM$500,W$2,0),Техника!$F$4:$ABM$4,"Часы",INDEX(Техника!$G$1:$ABN$500,W$2,0),$A$991,INDEX(Техника!$H$1:$ABO$500,W$2,0),"П")</f>
        <v>0</v>
      </c>
      <c r="X994" s="50">
        <f>SUMIFS(INDEX(Техника!$F$1:$ABM$500,X$2,0),Техника!$F$4:$ABM$4,"Часы",INDEX(Техника!$G$1:$ABN$500,X$2,0),$A$991,INDEX(Техника!$H$1:$ABO$500,X$2,0),"П")</f>
        <v>0</v>
      </c>
      <c r="Y994" s="50">
        <f>SUMIFS(INDEX(Техника!$F$1:$ABM$500,Y$2,0),Техника!$F$4:$ABM$4,"Часы",INDEX(Техника!$G$1:$ABN$500,Y$2,0),$A$991,INDEX(Техника!$H$1:$ABO$500,Y$2,0),"П")</f>
        <v>0</v>
      </c>
      <c r="Z994" s="50">
        <f>SUMIFS(INDEX(Техника!$F$1:$ABM$500,Z$2,0),Техника!$F$4:$ABM$4,"Часы",INDEX(Техника!$G$1:$ABN$500,Z$2,0),$A$991,INDEX(Техника!$H$1:$ABO$500,Z$2,0),"П")</f>
        <v>0</v>
      </c>
      <c r="AA994" s="50">
        <f>SUMIFS(INDEX(Техника!$F$1:$ABM$500,AA$2,0),Техника!$F$4:$ABM$4,"Часы",INDEX(Техника!$G$1:$ABN$500,AA$2,0),$A$991,INDEX(Техника!$H$1:$ABO$500,AA$2,0),"П")</f>
        <v>0</v>
      </c>
      <c r="AB994" s="50">
        <f>SUMIFS(INDEX(Техника!$F$1:$ABM$500,AB$2,0),Техника!$F$4:$ABM$4,"Часы",INDEX(Техника!$G$1:$ABN$500,AB$2,0),$A$991,INDEX(Техника!$H$1:$ABO$500,AB$2,0),"П")</f>
        <v>0</v>
      </c>
    </row>
    <row r="995" spans="1:28" hidden="1" outlineLevel="1" x14ac:dyDescent="0.3">
      <c r="A995" s="33" t="s">
        <v>243</v>
      </c>
      <c r="B995" s="34" t="s">
        <v>278</v>
      </c>
      <c r="C995" s="50">
        <f>SUMIFS(INDEX(Техника!$F$1:$ABM$500,C$2,0),Техника!$F$4:$ABM$4,"Часы",INDEX(Техника!$G$1:$ABN$500,C$2,0),$A$991,INDEX(Техника!$H$1:$ABO$500,C$2,0),"Л")</f>
        <v>0</v>
      </c>
      <c r="D995" s="50">
        <f>SUMIFS(INDEX(Техника!$F$1:$ABM$500,D$2,0),Техника!$F$4:$ABM$4,"Часы",INDEX(Техника!$G$1:$ABN$500,D$2,0),$A$991,INDEX(Техника!$H$1:$ABO$500,D$2,0),"Л")</f>
        <v>0</v>
      </c>
      <c r="E995" s="50">
        <f>SUMIFS(INDEX(Техника!$F$1:$ABM$500,E$2,0),Техника!$F$4:$ABM$4,"Часы",INDEX(Техника!$G$1:$ABN$500,E$2,0),$A$991,INDEX(Техника!$H$1:$ABO$500,E$2,0),"Л")</f>
        <v>0</v>
      </c>
      <c r="F995" s="50">
        <f>SUMIFS(INDEX(Техника!$F$1:$ABM$500,F$2,0),Техника!$F$4:$ABM$4,"Часы",INDEX(Техника!$G$1:$ABN$500,F$2,0),$A$991,INDEX(Техника!$H$1:$ABO$500,F$2,0),"Л")</f>
        <v>0</v>
      </c>
      <c r="G995" s="50">
        <f>SUMIFS(INDEX(Техника!$F$1:$ABM$500,G$2,0),Техника!$F$4:$ABM$4,"Часы",INDEX(Техника!$G$1:$ABN$500,G$2,0),$A$991,INDEX(Техника!$H$1:$ABO$500,G$2,0),"Л")</f>
        <v>0</v>
      </c>
      <c r="H995" s="50">
        <f>SUMIFS(INDEX(Техника!$F$1:$ABM$500,H$2,0),Техника!$F$4:$ABM$4,"Часы",INDEX(Техника!$G$1:$ABN$500,H$2,0),$A$991,INDEX(Техника!$H$1:$ABO$500,H$2,0),"Л")</f>
        <v>0</v>
      </c>
      <c r="I995" s="50">
        <f>SUMIFS(INDEX(Техника!$F$1:$ABM$500,I$2,0),Техника!$F$4:$ABM$4,"Часы",INDEX(Техника!$G$1:$ABN$500,I$2,0),$A$991,INDEX(Техника!$H$1:$ABO$500,I$2,0),"Л")</f>
        <v>0</v>
      </c>
      <c r="J995" s="50">
        <f>SUMIFS(INDEX(Техника!$F$1:$ABM$500,J$2,0),Техника!$F$4:$ABM$4,"Часы",INDEX(Техника!$G$1:$ABN$500,J$2,0),$A$991,INDEX(Техника!$H$1:$ABO$500,J$2,0),"Л")</f>
        <v>0</v>
      </c>
      <c r="K995" s="50">
        <f>SUMIFS(INDEX(Техника!$F$1:$ABM$500,K$2,0),Техника!$F$4:$ABM$4,"Часы",INDEX(Техника!$G$1:$ABN$500,K$2,0),$A$991,INDEX(Техника!$H$1:$ABO$500,K$2,0),"Л")</f>
        <v>0</v>
      </c>
      <c r="L995" s="50">
        <f>SUMIFS(INDEX(Техника!$F$1:$ABM$500,L$2,0),Техника!$F$4:$ABM$4,"Часы",INDEX(Техника!$G$1:$ABN$500,L$2,0),$A$991,INDEX(Техника!$H$1:$ABO$500,L$2,0),"Л")</f>
        <v>0</v>
      </c>
      <c r="M995" s="50">
        <f>SUMIFS(INDEX(Техника!$F$1:$ABM$500,M$2,0),Техника!$F$4:$ABM$4,"Часы",INDEX(Техника!$G$1:$ABN$500,M$2,0),$A$991,INDEX(Техника!$H$1:$ABO$500,M$2,0),"Л")</f>
        <v>0</v>
      </c>
      <c r="N995" s="50">
        <f>SUMIFS(INDEX(Техника!$F$1:$ABM$500,N$2,0),Техника!$F$4:$ABM$4,"Часы",INDEX(Техника!$G$1:$ABN$500,N$2,0),$A$991,INDEX(Техника!$H$1:$ABO$500,N$2,0),"Л")</f>
        <v>0</v>
      </c>
      <c r="O995" s="50">
        <f>SUMIFS(INDEX(Техника!$F$1:$ABM$500,O$2,0),Техника!$F$4:$ABM$4,"Часы",INDEX(Техника!$G$1:$ABN$500,O$2,0),$A$991,INDEX(Техника!$H$1:$ABO$500,O$2,0),"Л")</f>
        <v>0</v>
      </c>
      <c r="P995" s="50">
        <f>SUMIFS(INDEX(Техника!$F$1:$ABM$500,P$2,0),Техника!$F$4:$ABM$4,"Часы",INDEX(Техника!$G$1:$ABN$500,P$2,0),$A$991,INDEX(Техника!$H$1:$ABO$500,P$2,0),"Л")</f>
        <v>0</v>
      </c>
      <c r="Q995" s="50">
        <f>SUMIFS(INDEX(Техника!$F$1:$ABM$500,Q$2,0),Техника!$F$4:$ABM$4,"Часы",INDEX(Техника!$G$1:$ABN$500,Q$2,0),$A$991,INDEX(Техника!$H$1:$ABO$500,Q$2,0),"Л")</f>
        <v>0</v>
      </c>
      <c r="R995" s="50">
        <f>SUMIFS(INDEX(Техника!$F$1:$ABM$500,R$2,0),Техника!$F$4:$ABM$4,"Часы",INDEX(Техника!$G$1:$ABN$500,R$2,0),$A$991,INDEX(Техника!$H$1:$ABO$500,R$2,0),"Л")</f>
        <v>0</v>
      </c>
      <c r="S995" s="50">
        <f>SUMIFS(INDEX(Техника!$F$1:$ABM$500,S$2,0),Техника!$F$4:$ABM$4,"Часы",INDEX(Техника!$G$1:$ABN$500,S$2,0),$A$991,INDEX(Техника!$H$1:$ABO$500,S$2,0),"Л")</f>
        <v>0</v>
      </c>
      <c r="T995" s="50">
        <f>SUMIFS(INDEX(Техника!$F$1:$ABM$500,T$2,0),Техника!$F$4:$ABM$4,"Часы",INDEX(Техника!$G$1:$ABN$500,T$2,0),$A$991,INDEX(Техника!$H$1:$ABO$500,T$2,0),"Л")</f>
        <v>0</v>
      </c>
      <c r="U995" s="50">
        <f>SUMIFS(INDEX(Техника!$F$1:$ABM$500,U$2,0),Техника!$F$4:$ABM$4,"Часы",INDEX(Техника!$G$1:$ABN$500,U$2,0),$A$991,INDEX(Техника!$H$1:$ABO$500,U$2,0),"Л")</f>
        <v>0</v>
      </c>
      <c r="V995" s="50">
        <f>SUMIFS(INDEX(Техника!$F$1:$ABM$500,V$2,0),Техника!$F$4:$ABM$4,"Часы",INDEX(Техника!$G$1:$ABN$500,V$2,0),$A$991,INDEX(Техника!$H$1:$ABO$500,V$2,0),"Л")</f>
        <v>0</v>
      </c>
      <c r="W995" s="50">
        <f>SUMIFS(INDEX(Техника!$F$1:$ABM$500,W$2,0),Техника!$F$4:$ABM$4,"Часы",INDEX(Техника!$G$1:$ABN$500,W$2,0),$A$991,INDEX(Техника!$H$1:$ABO$500,W$2,0),"Л")</f>
        <v>0</v>
      </c>
      <c r="X995" s="50">
        <f>SUMIFS(INDEX(Техника!$F$1:$ABM$500,X$2,0),Техника!$F$4:$ABM$4,"Часы",INDEX(Техника!$G$1:$ABN$500,X$2,0),$A$991,INDEX(Техника!$H$1:$ABO$500,X$2,0),"Л")</f>
        <v>0</v>
      </c>
      <c r="Y995" s="50">
        <f>SUMIFS(INDEX(Техника!$F$1:$ABM$500,Y$2,0),Техника!$F$4:$ABM$4,"Часы",INDEX(Техника!$G$1:$ABN$500,Y$2,0),$A$991,INDEX(Техника!$H$1:$ABO$500,Y$2,0),"Л")</f>
        <v>0</v>
      </c>
      <c r="Z995" s="50">
        <f>SUMIFS(INDEX(Техника!$F$1:$ABM$500,Z$2,0),Техника!$F$4:$ABM$4,"Часы",INDEX(Техника!$G$1:$ABN$500,Z$2,0),$A$991,INDEX(Техника!$H$1:$ABO$500,Z$2,0),"Л")</f>
        <v>0</v>
      </c>
      <c r="AA995" s="50">
        <f>SUMIFS(INDEX(Техника!$F$1:$ABM$500,AA$2,0),Техника!$F$4:$ABM$4,"Часы",INDEX(Техника!$G$1:$ABN$500,AA$2,0),$A$991,INDEX(Техника!$H$1:$ABO$500,AA$2,0),"Л")</f>
        <v>0</v>
      </c>
      <c r="AB995" s="50">
        <f>SUMIFS(INDEX(Техника!$F$1:$ABM$500,AB$2,0),Техника!$F$4:$ABM$4,"Часы",INDEX(Техника!$G$1:$ABN$500,AB$2,0),$A$991,INDEX(Техника!$H$1:$ABO$500,AB$2,0),"Л")</f>
        <v>0</v>
      </c>
    </row>
    <row r="996" spans="1:28" hidden="1" outlineLevel="1" x14ac:dyDescent="0.3">
      <c r="A996" s="33" t="s">
        <v>245</v>
      </c>
      <c r="B996" s="34" t="s">
        <v>279</v>
      </c>
      <c r="C996" s="50">
        <f>SUMIFS(INDEX(Техника!$F$1:$ABM$500,C$2,0),Техника!$F$4:$ABM$4,"Часы",INDEX(Техника!$G$1:$ABN$500,C$2,0),$A$991,INDEX(Техника!$H$1:$ABO$500,C$2,0),"З")</f>
        <v>0</v>
      </c>
      <c r="D996" s="50">
        <f>SUMIFS(INDEX(Техника!$F$1:$ABM$500,D$2,0),Техника!$F$4:$ABM$4,"Часы",INDEX(Техника!$G$1:$ABN$500,D$2,0),$A$991,INDEX(Техника!$H$1:$ABO$500,D$2,0),"З")</f>
        <v>0</v>
      </c>
      <c r="E996" s="50">
        <f>SUMIFS(INDEX(Техника!$F$1:$ABM$500,E$2,0),Техника!$F$4:$ABM$4,"Часы",INDEX(Техника!$G$1:$ABN$500,E$2,0),$A$991,INDEX(Техника!$H$1:$ABO$500,E$2,0),"З")</f>
        <v>0</v>
      </c>
      <c r="F996" s="50">
        <f>SUMIFS(INDEX(Техника!$F$1:$ABM$500,F$2,0),Техника!$F$4:$ABM$4,"Часы",INDEX(Техника!$G$1:$ABN$500,F$2,0),$A$991,INDEX(Техника!$H$1:$ABO$500,F$2,0),"З")</f>
        <v>0</v>
      </c>
      <c r="G996" s="50">
        <f>SUMIFS(INDEX(Техника!$F$1:$ABM$500,G$2,0),Техника!$F$4:$ABM$4,"Часы",INDEX(Техника!$G$1:$ABN$500,G$2,0),$A$991,INDEX(Техника!$H$1:$ABO$500,G$2,0),"З")</f>
        <v>0</v>
      </c>
      <c r="H996" s="50">
        <f>SUMIFS(INDEX(Техника!$F$1:$ABM$500,H$2,0),Техника!$F$4:$ABM$4,"Часы",INDEX(Техника!$G$1:$ABN$500,H$2,0),$A$991,INDEX(Техника!$H$1:$ABO$500,H$2,0),"З")</f>
        <v>0</v>
      </c>
      <c r="I996" s="50">
        <f>SUMIFS(INDEX(Техника!$F$1:$ABM$500,I$2,0),Техника!$F$4:$ABM$4,"Часы",INDEX(Техника!$G$1:$ABN$500,I$2,0),$A$991,INDEX(Техника!$H$1:$ABO$500,I$2,0),"З")</f>
        <v>0</v>
      </c>
      <c r="J996" s="50">
        <f>SUMIFS(INDEX(Техника!$F$1:$ABM$500,J$2,0),Техника!$F$4:$ABM$4,"Часы",INDEX(Техника!$G$1:$ABN$500,J$2,0),$A$991,INDEX(Техника!$H$1:$ABO$500,J$2,0),"З")</f>
        <v>0</v>
      </c>
      <c r="K996" s="50">
        <f>SUMIFS(INDEX(Техника!$F$1:$ABM$500,K$2,0),Техника!$F$4:$ABM$4,"Часы",INDEX(Техника!$G$1:$ABN$500,K$2,0),$A$991,INDEX(Техника!$H$1:$ABO$500,K$2,0),"З")</f>
        <v>0</v>
      </c>
      <c r="L996" s="50">
        <f>SUMIFS(INDEX(Техника!$F$1:$ABM$500,L$2,0),Техника!$F$4:$ABM$4,"Часы",INDEX(Техника!$G$1:$ABN$500,L$2,0),$A$991,INDEX(Техника!$H$1:$ABO$500,L$2,0),"З")</f>
        <v>0</v>
      </c>
      <c r="M996" s="50">
        <f>SUMIFS(INDEX(Техника!$F$1:$ABM$500,M$2,0),Техника!$F$4:$ABM$4,"Часы",INDEX(Техника!$G$1:$ABN$500,M$2,0),$A$991,INDEX(Техника!$H$1:$ABO$500,M$2,0),"З")</f>
        <v>0</v>
      </c>
      <c r="N996" s="50">
        <f>SUMIFS(INDEX(Техника!$F$1:$ABM$500,N$2,0),Техника!$F$4:$ABM$4,"Часы",INDEX(Техника!$G$1:$ABN$500,N$2,0),$A$991,INDEX(Техника!$H$1:$ABO$500,N$2,0),"З")</f>
        <v>0</v>
      </c>
      <c r="O996" s="50">
        <f>SUMIFS(INDEX(Техника!$F$1:$ABM$500,O$2,0),Техника!$F$4:$ABM$4,"Часы",INDEX(Техника!$G$1:$ABN$500,O$2,0),$A$991,INDEX(Техника!$H$1:$ABO$500,O$2,0),"З")</f>
        <v>0</v>
      </c>
      <c r="P996" s="50">
        <f>SUMIFS(INDEX(Техника!$F$1:$ABM$500,P$2,0),Техника!$F$4:$ABM$4,"Часы",INDEX(Техника!$G$1:$ABN$500,P$2,0),$A$991,INDEX(Техника!$H$1:$ABO$500,P$2,0),"З")</f>
        <v>0</v>
      </c>
      <c r="Q996" s="50">
        <f>SUMIFS(INDEX(Техника!$F$1:$ABM$500,Q$2,0),Техника!$F$4:$ABM$4,"Часы",INDEX(Техника!$G$1:$ABN$500,Q$2,0),$A$991,INDEX(Техника!$H$1:$ABO$500,Q$2,0),"З")</f>
        <v>0</v>
      </c>
      <c r="R996" s="50">
        <f>SUMIFS(INDEX(Техника!$F$1:$ABM$500,R$2,0),Техника!$F$4:$ABM$4,"Часы",INDEX(Техника!$G$1:$ABN$500,R$2,0),$A$991,INDEX(Техника!$H$1:$ABO$500,R$2,0),"З")</f>
        <v>0</v>
      </c>
      <c r="S996" s="50">
        <f>SUMIFS(INDEX(Техника!$F$1:$ABM$500,S$2,0),Техника!$F$4:$ABM$4,"Часы",INDEX(Техника!$G$1:$ABN$500,S$2,0),$A$991,INDEX(Техника!$H$1:$ABO$500,S$2,0),"З")</f>
        <v>0</v>
      </c>
      <c r="T996" s="50">
        <f>SUMIFS(INDEX(Техника!$F$1:$ABM$500,T$2,0),Техника!$F$4:$ABM$4,"Часы",INDEX(Техника!$G$1:$ABN$500,T$2,0),$A$991,INDEX(Техника!$H$1:$ABO$500,T$2,0),"З")</f>
        <v>0</v>
      </c>
      <c r="U996" s="50">
        <f>SUMIFS(INDEX(Техника!$F$1:$ABM$500,U$2,0),Техника!$F$4:$ABM$4,"Часы",INDEX(Техника!$G$1:$ABN$500,U$2,0),$A$991,INDEX(Техника!$H$1:$ABO$500,U$2,0),"З")</f>
        <v>0</v>
      </c>
      <c r="V996" s="50">
        <f>SUMIFS(INDEX(Техника!$F$1:$ABM$500,V$2,0),Техника!$F$4:$ABM$4,"Часы",INDEX(Техника!$G$1:$ABN$500,V$2,0),$A$991,INDEX(Техника!$H$1:$ABO$500,V$2,0),"З")</f>
        <v>0</v>
      </c>
      <c r="W996" s="50">
        <f>SUMIFS(INDEX(Техника!$F$1:$ABM$500,W$2,0),Техника!$F$4:$ABM$4,"Часы",INDEX(Техника!$G$1:$ABN$500,W$2,0),$A$991,INDEX(Техника!$H$1:$ABO$500,W$2,0),"З")</f>
        <v>0</v>
      </c>
      <c r="X996" s="50">
        <f>SUMIFS(INDEX(Техника!$F$1:$ABM$500,X$2,0),Техника!$F$4:$ABM$4,"Часы",INDEX(Техника!$G$1:$ABN$500,X$2,0),$A$991,INDEX(Техника!$H$1:$ABO$500,X$2,0),"З")</f>
        <v>0</v>
      </c>
      <c r="Y996" s="50">
        <f>SUMIFS(INDEX(Техника!$F$1:$ABM$500,Y$2,0),Техника!$F$4:$ABM$4,"Часы",INDEX(Техника!$G$1:$ABN$500,Y$2,0),$A$991,INDEX(Техника!$H$1:$ABO$500,Y$2,0),"З")</f>
        <v>0</v>
      </c>
      <c r="Z996" s="50">
        <f>SUMIFS(INDEX(Техника!$F$1:$ABM$500,Z$2,0),Техника!$F$4:$ABM$4,"Часы",INDEX(Техника!$G$1:$ABN$500,Z$2,0),$A$991,INDEX(Техника!$H$1:$ABO$500,Z$2,0),"З")</f>
        <v>0</v>
      </c>
      <c r="AA996" s="50">
        <f>SUMIFS(INDEX(Техника!$F$1:$ABM$500,AA$2,0),Техника!$F$4:$ABM$4,"Часы",INDEX(Техника!$G$1:$ABN$500,AA$2,0),$A$991,INDEX(Техника!$H$1:$ABO$500,AA$2,0),"З")</f>
        <v>0</v>
      </c>
      <c r="AB996" s="50">
        <f>SUMIFS(INDEX(Техника!$F$1:$ABM$500,AB$2,0),Техника!$F$4:$ABM$4,"Часы",INDEX(Техника!$G$1:$ABN$500,AB$2,0),$A$991,INDEX(Техника!$H$1:$ABO$500,AB$2,0),"З")</f>
        <v>0</v>
      </c>
    </row>
    <row r="997" spans="1:28" ht="7.95" customHeight="1" x14ac:dyDescent="0.3">
      <c r="A997" s="38"/>
      <c r="B997" s="39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</row>
    <row r="998" spans="1:28" ht="25.05" customHeight="1" collapsed="1" x14ac:dyDescent="0.3">
      <c r="A998" s="32">
        <v>143</v>
      </c>
      <c r="B998" s="32" t="s">
        <v>144</v>
      </c>
      <c r="C998" s="49">
        <f>SUM(C999:C1003)</f>
        <v>0</v>
      </c>
      <c r="D998" s="49">
        <f>SUM(D999:D1003)</f>
        <v>0</v>
      </c>
      <c r="E998" s="49">
        <f>SUM(E999:E1003)</f>
        <v>0</v>
      </c>
      <c r="F998" s="49">
        <f>SUM(F999:F1003)</f>
        <v>0</v>
      </c>
      <c r="G998" s="49">
        <f>SUM(G999:G1003)</f>
        <v>0</v>
      </c>
      <c r="H998" s="49">
        <f>SUM(H999:H1003)</f>
        <v>0</v>
      </c>
      <c r="I998" s="49">
        <f>SUM(I999:I1003)</f>
        <v>0</v>
      </c>
      <c r="J998" s="49">
        <f>SUM(J999:J1003)</f>
        <v>0</v>
      </c>
      <c r="K998" s="49">
        <f>SUM(K999:K1003)</f>
        <v>0</v>
      </c>
      <c r="L998" s="49">
        <f>SUM(L999:L1003)</f>
        <v>0</v>
      </c>
      <c r="M998" s="49">
        <f>SUM(M999:M1003)</f>
        <v>0</v>
      </c>
      <c r="N998" s="49">
        <f>SUM(N999:N1003)</f>
        <v>0</v>
      </c>
      <c r="O998" s="49">
        <f>SUM(O999:O1003)</f>
        <v>0</v>
      </c>
      <c r="P998" s="49">
        <f>SUM(P999:P1003)</f>
        <v>0</v>
      </c>
      <c r="Q998" s="49">
        <f>SUM(Q999:Q1003)</f>
        <v>0</v>
      </c>
      <c r="R998" s="49">
        <f>SUM(R999:R1003)</f>
        <v>0</v>
      </c>
      <c r="S998" s="49">
        <f>SUM(S999:S1003)</f>
        <v>0</v>
      </c>
      <c r="T998" s="49">
        <f>SUM(T999:T1003)</f>
        <v>0</v>
      </c>
      <c r="U998" s="49">
        <f>SUM(U999:U1003)</f>
        <v>0</v>
      </c>
      <c r="V998" s="49">
        <f>SUM(V999:V1003)</f>
        <v>0</v>
      </c>
      <c r="W998" s="49">
        <f>SUM(W999:W1003)</f>
        <v>0</v>
      </c>
      <c r="X998" s="49">
        <f>SUM(X999:X1003)</f>
        <v>0</v>
      </c>
      <c r="Y998" s="49">
        <f>SUM(Y999:Y1003)</f>
        <v>0</v>
      </c>
      <c r="Z998" s="49">
        <f>SUM(Z999:Z1003)</f>
        <v>0</v>
      </c>
      <c r="AA998" s="49">
        <f>SUM(AA999:AA1003)</f>
        <v>0</v>
      </c>
      <c r="AB998" s="49">
        <f>SUM(AB999:AB1003)</f>
        <v>0</v>
      </c>
    </row>
    <row r="999" spans="1:28" hidden="1" outlineLevel="1" x14ac:dyDescent="0.3">
      <c r="A999" s="33" t="s">
        <v>246</v>
      </c>
      <c r="B999" s="34" t="s">
        <v>274</v>
      </c>
      <c r="C999" s="50">
        <f>SUMIFS(INDEX(Техника!$F$1:$ABM$500,C$2,0),Техника!$F$4:$ABM$4,"Часы",INDEX(Техника!$G$1:$ABN$500,C$2,0),$A$998,INDEX(Техника!$H$1:$ABO$500,C$2,0),"М")</f>
        <v>0</v>
      </c>
      <c r="D999" s="50">
        <f>SUMIFS(INDEX(Техника!$F$1:$ABM$500,D$2,0),Техника!$F$4:$ABM$4,"Часы",INDEX(Техника!$G$1:$ABN$500,D$2,0),$A$998,INDEX(Техника!$H$1:$ABO$500,D$2,0),"М")</f>
        <v>0</v>
      </c>
      <c r="E999" s="50">
        <f>SUMIFS(INDEX(Техника!$F$1:$ABM$500,E$2,0),Техника!$F$4:$ABM$4,"Часы",INDEX(Техника!$G$1:$ABN$500,E$2,0),$A$998,INDEX(Техника!$H$1:$ABO$500,E$2,0),"М")</f>
        <v>0</v>
      </c>
      <c r="F999" s="50">
        <f>SUMIFS(INDEX(Техника!$F$1:$ABM$500,F$2,0),Техника!$F$4:$ABM$4,"Часы",INDEX(Техника!$G$1:$ABN$500,F$2,0),$A$998,INDEX(Техника!$H$1:$ABO$500,F$2,0),"М")</f>
        <v>0</v>
      </c>
      <c r="G999" s="50">
        <f>SUMIFS(INDEX(Техника!$F$1:$ABM$500,G$2,0),Техника!$F$4:$ABM$4,"Часы",INDEX(Техника!$G$1:$ABN$500,G$2,0),$A$998,INDEX(Техника!$H$1:$ABO$500,G$2,0),"М")</f>
        <v>0</v>
      </c>
      <c r="H999" s="50">
        <f>SUMIFS(INDEX(Техника!$F$1:$ABM$500,H$2,0),Техника!$F$4:$ABM$4,"Часы",INDEX(Техника!$G$1:$ABN$500,H$2,0),$A$998,INDEX(Техника!$H$1:$ABO$500,H$2,0),"М")</f>
        <v>0</v>
      </c>
      <c r="I999" s="50">
        <f>SUMIFS(INDEX(Техника!$F$1:$ABM$500,I$2,0),Техника!$F$4:$ABM$4,"Часы",INDEX(Техника!$G$1:$ABN$500,I$2,0),$A$998,INDEX(Техника!$H$1:$ABO$500,I$2,0),"М")</f>
        <v>0</v>
      </c>
      <c r="J999" s="50">
        <f>SUMIFS(INDEX(Техника!$F$1:$ABM$500,J$2,0),Техника!$F$4:$ABM$4,"Часы",INDEX(Техника!$G$1:$ABN$500,J$2,0),$A$998,INDEX(Техника!$H$1:$ABO$500,J$2,0),"М")</f>
        <v>0</v>
      </c>
      <c r="K999" s="50">
        <f>SUMIFS(INDEX(Техника!$F$1:$ABM$500,K$2,0),Техника!$F$4:$ABM$4,"Часы",INDEX(Техника!$G$1:$ABN$500,K$2,0),$A$998,INDEX(Техника!$H$1:$ABO$500,K$2,0),"М")</f>
        <v>0</v>
      </c>
      <c r="L999" s="50">
        <f>SUMIFS(INDEX(Техника!$F$1:$ABM$500,L$2,0),Техника!$F$4:$ABM$4,"Часы",INDEX(Техника!$G$1:$ABN$500,L$2,0),$A$998,INDEX(Техника!$H$1:$ABO$500,L$2,0),"М")</f>
        <v>0</v>
      </c>
      <c r="M999" s="50">
        <f>SUMIFS(INDEX(Техника!$F$1:$ABM$500,M$2,0),Техника!$F$4:$ABM$4,"Часы",INDEX(Техника!$G$1:$ABN$500,M$2,0),$A$998,INDEX(Техника!$H$1:$ABO$500,M$2,0),"М")</f>
        <v>0</v>
      </c>
      <c r="N999" s="50">
        <f>SUMIFS(INDEX(Техника!$F$1:$ABM$500,N$2,0),Техника!$F$4:$ABM$4,"Часы",INDEX(Техника!$G$1:$ABN$500,N$2,0),$A$998,INDEX(Техника!$H$1:$ABO$500,N$2,0),"М")</f>
        <v>0</v>
      </c>
      <c r="O999" s="50">
        <f>SUMIFS(INDEX(Техника!$F$1:$ABM$500,O$2,0),Техника!$F$4:$ABM$4,"Часы",INDEX(Техника!$G$1:$ABN$500,O$2,0),$A$998,INDEX(Техника!$H$1:$ABO$500,O$2,0),"М")</f>
        <v>0</v>
      </c>
      <c r="P999" s="50">
        <f>SUMIFS(INDEX(Техника!$F$1:$ABM$500,P$2,0),Техника!$F$4:$ABM$4,"Часы",INDEX(Техника!$G$1:$ABN$500,P$2,0),$A$998,INDEX(Техника!$H$1:$ABO$500,P$2,0),"М")</f>
        <v>0</v>
      </c>
      <c r="Q999" s="50">
        <f>SUMIFS(INDEX(Техника!$F$1:$ABM$500,Q$2,0),Техника!$F$4:$ABM$4,"Часы",INDEX(Техника!$G$1:$ABN$500,Q$2,0),$A$998,INDEX(Техника!$H$1:$ABO$500,Q$2,0),"М")</f>
        <v>0</v>
      </c>
      <c r="R999" s="50">
        <f>SUMIFS(INDEX(Техника!$F$1:$ABM$500,R$2,0),Техника!$F$4:$ABM$4,"Часы",INDEX(Техника!$G$1:$ABN$500,R$2,0),$A$998,INDEX(Техника!$H$1:$ABO$500,R$2,0),"М")</f>
        <v>0</v>
      </c>
      <c r="S999" s="50">
        <f>SUMIFS(INDEX(Техника!$F$1:$ABM$500,S$2,0),Техника!$F$4:$ABM$4,"Часы",INDEX(Техника!$G$1:$ABN$500,S$2,0),$A$998,INDEX(Техника!$H$1:$ABO$500,S$2,0),"М")</f>
        <v>0</v>
      </c>
      <c r="T999" s="50">
        <f>SUMIFS(INDEX(Техника!$F$1:$ABM$500,T$2,0),Техника!$F$4:$ABM$4,"Часы",INDEX(Техника!$G$1:$ABN$500,T$2,0),$A$998,INDEX(Техника!$H$1:$ABO$500,T$2,0),"М")</f>
        <v>0</v>
      </c>
      <c r="U999" s="50">
        <f>SUMIFS(INDEX(Техника!$F$1:$ABM$500,U$2,0),Техника!$F$4:$ABM$4,"Часы",INDEX(Техника!$G$1:$ABN$500,U$2,0),$A$998,INDEX(Техника!$H$1:$ABO$500,U$2,0),"М")</f>
        <v>0</v>
      </c>
      <c r="V999" s="50">
        <f>SUMIFS(INDEX(Техника!$F$1:$ABM$500,V$2,0),Техника!$F$4:$ABM$4,"Часы",INDEX(Техника!$G$1:$ABN$500,V$2,0),$A$998,INDEX(Техника!$H$1:$ABO$500,V$2,0),"М")</f>
        <v>0</v>
      </c>
      <c r="W999" s="50">
        <f>SUMIFS(INDEX(Техника!$F$1:$ABM$500,W$2,0),Техника!$F$4:$ABM$4,"Часы",INDEX(Техника!$G$1:$ABN$500,W$2,0),$A$998,INDEX(Техника!$H$1:$ABO$500,W$2,0),"М")</f>
        <v>0</v>
      </c>
      <c r="X999" s="50">
        <f>SUMIFS(INDEX(Техника!$F$1:$ABM$500,X$2,0),Техника!$F$4:$ABM$4,"Часы",INDEX(Техника!$G$1:$ABN$500,X$2,0),$A$998,INDEX(Техника!$H$1:$ABO$500,X$2,0),"М")</f>
        <v>0</v>
      </c>
      <c r="Y999" s="50">
        <f>SUMIFS(INDEX(Техника!$F$1:$ABM$500,Y$2,0),Техника!$F$4:$ABM$4,"Часы",INDEX(Техника!$G$1:$ABN$500,Y$2,0),$A$998,INDEX(Техника!$H$1:$ABO$500,Y$2,0),"М")</f>
        <v>0</v>
      </c>
      <c r="Z999" s="50">
        <f>SUMIFS(INDEX(Техника!$F$1:$ABM$500,Z$2,0),Техника!$F$4:$ABM$4,"Часы",INDEX(Техника!$G$1:$ABN$500,Z$2,0),$A$998,INDEX(Техника!$H$1:$ABO$500,Z$2,0),"М")</f>
        <v>0</v>
      </c>
      <c r="AA999" s="50">
        <f>SUMIFS(INDEX(Техника!$F$1:$ABM$500,AA$2,0),Техника!$F$4:$ABM$4,"Часы",INDEX(Техника!$G$1:$ABN$500,AA$2,0),$A$998,INDEX(Техника!$H$1:$ABO$500,AA$2,0),"М")</f>
        <v>0</v>
      </c>
      <c r="AB999" s="50">
        <f>SUMIFS(INDEX(Техника!$F$1:$ABM$500,AB$2,0),Техника!$F$4:$ABM$4,"Часы",INDEX(Техника!$G$1:$ABN$500,AB$2,0),$A$998,INDEX(Техника!$H$1:$ABO$500,AB$2,0),"М")</f>
        <v>0</v>
      </c>
    </row>
    <row r="1000" spans="1:28" hidden="1" outlineLevel="1" x14ac:dyDescent="0.3">
      <c r="A1000" s="33" t="s">
        <v>244</v>
      </c>
      <c r="B1000" s="34" t="s">
        <v>275</v>
      </c>
      <c r="C1000" s="50">
        <f>SUMIFS(INDEX(Техника!$F$1:$ABM$500,C$2,0),Техника!$F$4:$ABM$4,"Часы",INDEX(Техника!$G$1:$ABN$500,C$2,0),$A$998,INDEX(Техника!$H$1:$ABO$500,C$2,0),"Д")</f>
        <v>0</v>
      </c>
      <c r="D1000" s="50">
        <f>SUMIFS(INDEX(Техника!$F$1:$ABM$500,D$2,0),Техника!$F$4:$ABM$4,"Часы",INDEX(Техника!$G$1:$ABN$500,D$2,0),$A$998,INDEX(Техника!$H$1:$ABO$500,D$2,0),"Д")</f>
        <v>0</v>
      </c>
      <c r="E1000" s="50">
        <f>SUMIFS(INDEX(Техника!$F$1:$ABM$500,E$2,0),Техника!$F$4:$ABM$4,"Часы",INDEX(Техника!$G$1:$ABN$500,E$2,0),$A$998,INDEX(Техника!$H$1:$ABO$500,E$2,0),"Д")</f>
        <v>0</v>
      </c>
      <c r="F1000" s="50">
        <f>SUMIFS(INDEX(Техника!$F$1:$ABM$500,F$2,0),Техника!$F$4:$ABM$4,"Часы",INDEX(Техника!$G$1:$ABN$500,F$2,0),$A$998,INDEX(Техника!$H$1:$ABO$500,F$2,0),"Д")</f>
        <v>0</v>
      </c>
      <c r="G1000" s="50">
        <f>SUMIFS(INDEX(Техника!$F$1:$ABM$500,G$2,0),Техника!$F$4:$ABM$4,"Часы",INDEX(Техника!$G$1:$ABN$500,G$2,0),$A$998,INDEX(Техника!$H$1:$ABO$500,G$2,0),"Д")</f>
        <v>0</v>
      </c>
      <c r="H1000" s="50">
        <f>SUMIFS(INDEX(Техника!$F$1:$ABM$500,H$2,0),Техника!$F$4:$ABM$4,"Часы",INDEX(Техника!$G$1:$ABN$500,H$2,0),$A$998,INDEX(Техника!$H$1:$ABO$500,H$2,0),"Д")</f>
        <v>0</v>
      </c>
      <c r="I1000" s="50">
        <f>SUMIFS(INDEX(Техника!$F$1:$ABM$500,I$2,0),Техника!$F$4:$ABM$4,"Часы",INDEX(Техника!$G$1:$ABN$500,I$2,0),$A$998,INDEX(Техника!$H$1:$ABO$500,I$2,0),"Д")</f>
        <v>0</v>
      </c>
      <c r="J1000" s="50">
        <f>SUMIFS(INDEX(Техника!$F$1:$ABM$500,J$2,0),Техника!$F$4:$ABM$4,"Часы",INDEX(Техника!$G$1:$ABN$500,J$2,0),$A$998,INDEX(Техника!$H$1:$ABO$500,J$2,0),"Д")</f>
        <v>0</v>
      </c>
      <c r="K1000" s="50">
        <f>SUMIFS(INDEX(Техника!$F$1:$ABM$500,K$2,0),Техника!$F$4:$ABM$4,"Часы",INDEX(Техника!$G$1:$ABN$500,K$2,0),$A$998,INDEX(Техника!$H$1:$ABO$500,K$2,0),"Д")</f>
        <v>0</v>
      </c>
      <c r="L1000" s="50">
        <f>SUMIFS(INDEX(Техника!$F$1:$ABM$500,L$2,0),Техника!$F$4:$ABM$4,"Часы",INDEX(Техника!$G$1:$ABN$500,L$2,0),$A$998,INDEX(Техника!$H$1:$ABO$500,L$2,0),"Д")</f>
        <v>0</v>
      </c>
      <c r="M1000" s="50">
        <f>SUMIFS(INDEX(Техника!$F$1:$ABM$500,M$2,0),Техника!$F$4:$ABM$4,"Часы",INDEX(Техника!$G$1:$ABN$500,M$2,0),$A$998,INDEX(Техника!$H$1:$ABO$500,M$2,0),"Д")</f>
        <v>0</v>
      </c>
      <c r="N1000" s="50">
        <f>SUMIFS(INDEX(Техника!$F$1:$ABM$500,N$2,0),Техника!$F$4:$ABM$4,"Часы",INDEX(Техника!$G$1:$ABN$500,N$2,0),$A$998,INDEX(Техника!$H$1:$ABO$500,N$2,0),"Д")</f>
        <v>0</v>
      </c>
      <c r="O1000" s="50">
        <f>SUMIFS(INDEX(Техника!$F$1:$ABM$500,O$2,0),Техника!$F$4:$ABM$4,"Часы",INDEX(Техника!$G$1:$ABN$500,O$2,0),$A$998,INDEX(Техника!$H$1:$ABO$500,O$2,0),"Д")</f>
        <v>0</v>
      </c>
      <c r="P1000" s="50">
        <f>SUMIFS(INDEX(Техника!$F$1:$ABM$500,P$2,0),Техника!$F$4:$ABM$4,"Часы",INDEX(Техника!$G$1:$ABN$500,P$2,0),$A$998,INDEX(Техника!$H$1:$ABO$500,P$2,0),"Д")</f>
        <v>0</v>
      </c>
      <c r="Q1000" s="50">
        <f>SUMIFS(INDEX(Техника!$F$1:$ABM$500,Q$2,0),Техника!$F$4:$ABM$4,"Часы",INDEX(Техника!$G$1:$ABN$500,Q$2,0),$A$998,INDEX(Техника!$H$1:$ABO$500,Q$2,0),"Д")</f>
        <v>0</v>
      </c>
      <c r="R1000" s="50">
        <f>SUMIFS(INDEX(Техника!$F$1:$ABM$500,R$2,0),Техника!$F$4:$ABM$4,"Часы",INDEX(Техника!$G$1:$ABN$500,R$2,0),$A$998,INDEX(Техника!$H$1:$ABO$500,R$2,0),"Д")</f>
        <v>0</v>
      </c>
      <c r="S1000" s="50">
        <f>SUMIFS(INDEX(Техника!$F$1:$ABM$500,S$2,0),Техника!$F$4:$ABM$4,"Часы",INDEX(Техника!$G$1:$ABN$500,S$2,0),$A$998,INDEX(Техника!$H$1:$ABO$500,S$2,0),"Д")</f>
        <v>0</v>
      </c>
      <c r="T1000" s="50">
        <f>SUMIFS(INDEX(Техника!$F$1:$ABM$500,T$2,0),Техника!$F$4:$ABM$4,"Часы",INDEX(Техника!$G$1:$ABN$500,T$2,0),$A$998,INDEX(Техника!$H$1:$ABO$500,T$2,0),"Д")</f>
        <v>0</v>
      </c>
      <c r="U1000" s="50">
        <f>SUMIFS(INDEX(Техника!$F$1:$ABM$500,U$2,0),Техника!$F$4:$ABM$4,"Часы",INDEX(Техника!$G$1:$ABN$500,U$2,0),$A$998,INDEX(Техника!$H$1:$ABO$500,U$2,0),"Д")</f>
        <v>0</v>
      </c>
      <c r="V1000" s="50">
        <f>SUMIFS(INDEX(Техника!$F$1:$ABM$500,V$2,0),Техника!$F$4:$ABM$4,"Часы",INDEX(Техника!$G$1:$ABN$500,V$2,0),$A$998,INDEX(Техника!$H$1:$ABO$500,V$2,0),"Д")</f>
        <v>0</v>
      </c>
      <c r="W1000" s="50">
        <f>SUMIFS(INDEX(Техника!$F$1:$ABM$500,W$2,0),Техника!$F$4:$ABM$4,"Часы",INDEX(Техника!$G$1:$ABN$500,W$2,0),$A$998,INDEX(Техника!$H$1:$ABO$500,W$2,0),"Д")</f>
        <v>0</v>
      </c>
      <c r="X1000" s="50">
        <f>SUMIFS(INDEX(Техника!$F$1:$ABM$500,X$2,0),Техника!$F$4:$ABM$4,"Часы",INDEX(Техника!$G$1:$ABN$500,X$2,0),$A$998,INDEX(Техника!$H$1:$ABO$500,X$2,0),"Д")</f>
        <v>0</v>
      </c>
      <c r="Y1000" s="50">
        <f>SUMIFS(INDEX(Техника!$F$1:$ABM$500,Y$2,0),Техника!$F$4:$ABM$4,"Часы",INDEX(Техника!$G$1:$ABN$500,Y$2,0),$A$998,INDEX(Техника!$H$1:$ABO$500,Y$2,0),"Д")</f>
        <v>0</v>
      </c>
      <c r="Z1000" s="50">
        <f>SUMIFS(INDEX(Техника!$F$1:$ABM$500,Z$2,0),Техника!$F$4:$ABM$4,"Часы",INDEX(Техника!$G$1:$ABN$500,Z$2,0),$A$998,INDEX(Техника!$H$1:$ABO$500,Z$2,0),"Д")</f>
        <v>0</v>
      </c>
      <c r="AA1000" s="50">
        <f>SUMIFS(INDEX(Техника!$F$1:$ABM$500,AA$2,0),Техника!$F$4:$ABM$4,"Часы",INDEX(Техника!$G$1:$ABN$500,AA$2,0),$A$998,INDEX(Техника!$H$1:$ABO$500,AA$2,0),"Д")</f>
        <v>0</v>
      </c>
      <c r="AB1000" s="50">
        <f>SUMIFS(INDEX(Техника!$F$1:$ABM$500,AB$2,0),Техника!$F$4:$ABM$4,"Часы",INDEX(Техника!$G$1:$ABN$500,AB$2,0),$A$998,INDEX(Техника!$H$1:$ABO$500,AB$2,0),"Д")</f>
        <v>0</v>
      </c>
    </row>
    <row r="1001" spans="1:28" hidden="1" outlineLevel="1" x14ac:dyDescent="0.3">
      <c r="A1001" s="33" t="s">
        <v>276</v>
      </c>
      <c r="B1001" s="34" t="s">
        <v>277</v>
      </c>
      <c r="C1001" s="50">
        <f>SUMIFS(INDEX(Техника!$F$1:$ABM$500,C$2,0),Техника!$F$4:$ABM$4,"Часы",INDEX(Техника!$G$1:$ABN$500,C$2,0),$A$998,INDEX(Техника!$H$1:$ABO$500,C$2,0),"П")</f>
        <v>0</v>
      </c>
      <c r="D1001" s="50">
        <f>SUMIFS(INDEX(Техника!$F$1:$ABM$500,D$2,0),Техника!$F$4:$ABM$4,"Часы",INDEX(Техника!$G$1:$ABN$500,D$2,0),$A$998,INDEX(Техника!$H$1:$ABO$500,D$2,0),"П")</f>
        <v>0</v>
      </c>
      <c r="E1001" s="50">
        <f>SUMIFS(INDEX(Техника!$F$1:$ABM$500,E$2,0),Техника!$F$4:$ABM$4,"Часы",INDEX(Техника!$G$1:$ABN$500,E$2,0),$A$998,INDEX(Техника!$H$1:$ABO$500,E$2,0),"П")</f>
        <v>0</v>
      </c>
      <c r="F1001" s="50">
        <f>SUMIFS(INDEX(Техника!$F$1:$ABM$500,F$2,0),Техника!$F$4:$ABM$4,"Часы",INDEX(Техника!$G$1:$ABN$500,F$2,0),$A$998,INDEX(Техника!$H$1:$ABO$500,F$2,0),"П")</f>
        <v>0</v>
      </c>
      <c r="G1001" s="50">
        <f>SUMIFS(INDEX(Техника!$F$1:$ABM$500,G$2,0),Техника!$F$4:$ABM$4,"Часы",INDEX(Техника!$G$1:$ABN$500,G$2,0),$A$998,INDEX(Техника!$H$1:$ABO$500,G$2,0),"П")</f>
        <v>0</v>
      </c>
      <c r="H1001" s="50">
        <f>SUMIFS(INDEX(Техника!$F$1:$ABM$500,H$2,0),Техника!$F$4:$ABM$4,"Часы",INDEX(Техника!$G$1:$ABN$500,H$2,0),$A$998,INDEX(Техника!$H$1:$ABO$500,H$2,0),"П")</f>
        <v>0</v>
      </c>
      <c r="I1001" s="50">
        <f>SUMIFS(INDEX(Техника!$F$1:$ABM$500,I$2,0),Техника!$F$4:$ABM$4,"Часы",INDEX(Техника!$G$1:$ABN$500,I$2,0),$A$998,INDEX(Техника!$H$1:$ABO$500,I$2,0),"П")</f>
        <v>0</v>
      </c>
      <c r="J1001" s="50">
        <f>SUMIFS(INDEX(Техника!$F$1:$ABM$500,J$2,0),Техника!$F$4:$ABM$4,"Часы",INDEX(Техника!$G$1:$ABN$500,J$2,0),$A$998,INDEX(Техника!$H$1:$ABO$500,J$2,0),"П")</f>
        <v>0</v>
      </c>
      <c r="K1001" s="50">
        <f>SUMIFS(INDEX(Техника!$F$1:$ABM$500,K$2,0),Техника!$F$4:$ABM$4,"Часы",INDEX(Техника!$G$1:$ABN$500,K$2,0),$A$998,INDEX(Техника!$H$1:$ABO$500,K$2,0),"П")</f>
        <v>0</v>
      </c>
      <c r="L1001" s="50">
        <f>SUMIFS(INDEX(Техника!$F$1:$ABM$500,L$2,0),Техника!$F$4:$ABM$4,"Часы",INDEX(Техника!$G$1:$ABN$500,L$2,0),$A$998,INDEX(Техника!$H$1:$ABO$500,L$2,0),"П")</f>
        <v>0</v>
      </c>
      <c r="M1001" s="50">
        <f>SUMIFS(INDEX(Техника!$F$1:$ABM$500,M$2,0),Техника!$F$4:$ABM$4,"Часы",INDEX(Техника!$G$1:$ABN$500,M$2,0),$A$998,INDEX(Техника!$H$1:$ABO$500,M$2,0),"П")</f>
        <v>0</v>
      </c>
      <c r="N1001" s="50">
        <f>SUMIFS(INDEX(Техника!$F$1:$ABM$500,N$2,0),Техника!$F$4:$ABM$4,"Часы",INDEX(Техника!$G$1:$ABN$500,N$2,0),$A$998,INDEX(Техника!$H$1:$ABO$500,N$2,0),"П")</f>
        <v>0</v>
      </c>
      <c r="O1001" s="50">
        <f>SUMIFS(INDEX(Техника!$F$1:$ABM$500,O$2,0),Техника!$F$4:$ABM$4,"Часы",INDEX(Техника!$G$1:$ABN$500,O$2,0),$A$998,INDEX(Техника!$H$1:$ABO$500,O$2,0),"П")</f>
        <v>0</v>
      </c>
      <c r="P1001" s="50">
        <f>SUMIFS(INDEX(Техника!$F$1:$ABM$500,P$2,0),Техника!$F$4:$ABM$4,"Часы",INDEX(Техника!$G$1:$ABN$500,P$2,0),$A$998,INDEX(Техника!$H$1:$ABO$500,P$2,0),"П")</f>
        <v>0</v>
      </c>
      <c r="Q1001" s="50">
        <f>SUMIFS(INDEX(Техника!$F$1:$ABM$500,Q$2,0),Техника!$F$4:$ABM$4,"Часы",INDEX(Техника!$G$1:$ABN$500,Q$2,0),$A$998,INDEX(Техника!$H$1:$ABO$500,Q$2,0),"П")</f>
        <v>0</v>
      </c>
      <c r="R1001" s="50">
        <f>SUMIFS(INDEX(Техника!$F$1:$ABM$500,R$2,0),Техника!$F$4:$ABM$4,"Часы",INDEX(Техника!$G$1:$ABN$500,R$2,0),$A$998,INDEX(Техника!$H$1:$ABO$500,R$2,0),"П")</f>
        <v>0</v>
      </c>
      <c r="S1001" s="50">
        <f>SUMIFS(INDEX(Техника!$F$1:$ABM$500,S$2,0),Техника!$F$4:$ABM$4,"Часы",INDEX(Техника!$G$1:$ABN$500,S$2,0),$A$998,INDEX(Техника!$H$1:$ABO$500,S$2,0),"П")</f>
        <v>0</v>
      </c>
      <c r="T1001" s="50">
        <f>SUMIFS(INDEX(Техника!$F$1:$ABM$500,T$2,0),Техника!$F$4:$ABM$4,"Часы",INDEX(Техника!$G$1:$ABN$500,T$2,0),$A$998,INDEX(Техника!$H$1:$ABO$500,T$2,0),"П")</f>
        <v>0</v>
      </c>
      <c r="U1001" s="50">
        <f>SUMIFS(INDEX(Техника!$F$1:$ABM$500,U$2,0),Техника!$F$4:$ABM$4,"Часы",INDEX(Техника!$G$1:$ABN$500,U$2,0),$A$998,INDEX(Техника!$H$1:$ABO$500,U$2,0),"П")</f>
        <v>0</v>
      </c>
      <c r="V1001" s="50">
        <f>SUMIFS(INDEX(Техника!$F$1:$ABM$500,V$2,0),Техника!$F$4:$ABM$4,"Часы",INDEX(Техника!$G$1:$ABN$500,V$2,0),$A$998,INDEX(Техника!$H$1:$ABO$500,V$2,0),"П")</f>
        <v>0</v>
      </c>
      <c r="W1001" s="50">
        <f>SUMIFS(INDEX(Техника!$F$1:$ABM$500,W$2,0),Техника!$F$4:$ABM$4,"Часы",INDEX(Техника!$G$1:$ABN$500,W$2,0),$A$998,INDEX(Техника!$H$1:$ABO$500,W$2,0),"П")</f>
        <v>0</v>
      </c>
      <c r="X1001" s="50">
        <f>SUMIFS(INDEX(Техника!$F$1:$ABM$500,X$2,0),Техника!$F$4:$ABM$4,"Часы",INDEX(Техника!$G$1:$ABN$500,X$2,0),$A$998,INDEX(Техника!$H$1:$ABO$500,X$2,0),"П")</f>
        <v>0</v>
      </c>
      <c r="Y1001" s="50">
        <f>SUMIFS(INDEX(Техника!$F$1:$ABM$500,Y$2,0),Техника!$F$4:$ABM$4,"Часы",INDEX(Техника!$G$1:$ABN$500,Y$2,0),$A$998,INDEX(Техника!$H$1:$ABO$500,Y$2,0),"П")</f>
        <v>0</v>
      </c>
      <c r="Z1001" s="50">
        <f>SUMIFS(INDEX(Техника!$F$1:$ABM$500,Z$2,0),Техника!$F$4:$ABM$4,"Часы",INDEX(Техника!$G$1:$ABN$500,Z$2,0),$A$998,INDEX(Техника!$H$1:$ABO$500,Z$2,0),"П")</f>
        <v>0</v>
      </c>
      <c r="AA1001" s="50">
        <f>SUMIFS(INDEX(Техника!$F$1:$ABM$500,AA$2,0),Техника!$F$4:$ABM$4,"Часы",INDEX(Техника!$G$1:$ABN$500,AA$2,0),$A$998,INDEX(Техника!$H$1:$ABO$500,AA$2,0),"П")</f>
        <v>0</v>
      </c>
      <c r="AB1001" s="50">
        <f>SUMIFS(INDEX(Техника!$F$1:$ABM$500,AB$2,0),Техника!$F$4:$ABM$4,"Часы",INDEX(Техника!$G$1:$ABN$500,AB$2,0),$A$998,INDEX(Техника!$H$1:$ABO$500,AB$2,0),"П")</f>
        <v>0</v>
      </c>
    </row>
    <row r="1002" spans="1:28" hidden="1" outlineLevel="1" x14ac:dyDescent="0.3">
      <c r="A1002" s="33" t="s">
        <v>243</v>
      </c>
      <c r="B1002" s="34" t="s">
        <v>278</v>
      </c>
      <c r="C1002" s="50">
        <f>SUMIFS(INDEX(Техника!$F$1:$ABM$500,C$2,0),Техника!$F$4:$ABM$4,"Часы",INDEX(Техника!$G$1:$ABN$500,C$2,0),$A$998,INDEX(Техника!$H$1:$ABO$500,C$2,0),"Л")</f>
        <v>0</v>
      </c>
      <c r="D1002" s="50">
        <f>SUMIFS(INDEX(Техника!$F$1:$ABM$500,D$2,0),Техника!$F$4:$ABM$4,"Часы",INDEX(Техника!$G$1:$ABN$500,D$2,0),$A$998,INDEX(Техника!$H$1:$ABO$500,D$2,0),"Л")</f>
        <v>0</v>
      </c>
      <c r="E1002" s="50">
        <f>SUMIFS(INDEX(Техника!$F$1:$ABM$500,E$2,0),Техника!$F$4:$ABM$4,"Часы",INDEX(Техника!$G$1:$ABN$500,E$2,0),$A$998,INDEX(Техника!$H$1:$ABO$500,E$2,0),"Л")</f>
        <v>0</v>
      </c>
      <c r="F1002" s="50">
        <f>SUMIFS(INDEX(Техника!$F$1:$ABM$500,F$2,0),Техника!$F$4:$ABM$4,"Часы",INDEX(Техника!$G$1:$ABN$500,F$2,0),$A$998,INDEX(Техника!$H$1:$ABO$500,F$2,0),"Л")</f>
        <v>0</v>
      </c>
      <c r="G1002" s="50">
        <f>SUMIFS(INDEX(Техника!$F$1:$ABM$500,G$2,0),Техника!$F$4:$ABM$4,"Часы",INDEX(Техника!$G$1:$ABN$500,G$2,0),$A$998,INDEX(Техника!$H$1:$ABO$500,G$2,0),"Л")</f>
        <v>0</v>
      </c>
      <c r="H1002" s="50">
        <f>SUMIFS(INDEX(Техника!$F$1:$ABM$500,H$2,0),Техника!$F$4:$ABM$4,"Часы",INDEX(Техника!$G$1:$ABN$500,H$2,0),$A$998,INDEX(Техника!$H$1:$ABO$500,H$2,0),"Л")</f>
        <v>0</v>
      </c>
      <c r="I1002" s="50">
        <f>SUMIFS(INDEX(Техника!$F$1:$ABM$500,I$2,0),Техника!$F$4:$ABM$4,"Часы",INDEX(Техника!$G$1:$ABN$500,I$2,0),$A$998,INDEX(Техника!$H$1:$ABO$500,I$2,0),"Л")</f>
        <v>0</v>
      </c>
      <c r="J1002" s="50">
        <f>SUMIFS(INDEX(Техника!$F$1:$ABM$500,J$2,0),Техника!$F$4:$ABM$4,"Часы",INDEX(Техника!$G$1:$ABN$500,J$2,0),$A$998,INDEX(Техника!$H$1:$ABO$500,J$2,0),"Л")</f>
        <v>0</v>
      </c>
      <c r="K1002" s="50">
        <f>SUMIFS(INDEX(Техника!$F$1:$ABM$500,K$2,0),Техника!$F$4:$ABM$4,"Часы",INDEX(Техника!$G$1:$ABN$500,K$2,0),$A$998,INDEX(Техника!$H$1:$ABO$500,K$2,0),"Л")</f>
        <v>0</v>
      </c>
      <c r="L1002" s="50">
        <f>SUMIFS(INDEX(Техника!$F$1:$ABM$500,L$2,0),Техника!$F$4:$ABM$4,"Часы",INDEX(Техника!$G$1:$ABN$500,L$2,0),$A$998,INDEX(Техника!$H$1:$ABO$500,L$2,0),"Л")</f>
        <v>0</v>
      </c>
      <c r="M1002" s="50">
        <f>SUMIFS(INDEX(Техника!$F$1:$ABM$500,M$2,0),Техника!$F$4:$ABM$4,"Часы",INDEX(Техника!$G$1:$ABN$500,M$2,0),$A$998,INDEX(Техника!$H$1:$ABO$500,M$2,0),"Л")</f>
        <v>0</v>
      </c>
      <c r="N1002" s="50">
        <f>SUMIFS(INDEX(Техника!$F$1:$ABM$500,N$2,0),Техника!$F$4:$ABM$4,"Часы",INDEX(Техника!$G$1:$ABN$500,N$2,0),$A$998,INDEX(Техника!$H$1:$ABO$500,N$2,0),"Л")</f>
        <v>0</v>
      </c>
      <c r="O1002" s="50">
        <f>SUMIFS(INDEX(Техника!$F$1:$ABM$500,O$2,0),Техника!$F$4:$ABM$4,"Часы",INDEX(Техника!$G$1:$ABN$500,O$2,0),$A$998,INDEX(Техника!$H$1:$ABO$500,O$2,0),"Л")</f>
        <v>0</v>
      </c>
      <c r="P1002" s="50">
        <f>SUMIFS(INDEX(Техника!$F$1:$ABM$500,P$2,0),Техника!$F$4:$ABM$4,"Часы",INDEX(Техника!$G$1:$ABN$500,P$2,0),$A$998,INDEX(Техника!$H$1:$ABO$500,P$2,0),"Л")</f>
        <v>0</v>
      </c>
      <c r="Q1002" s="50">
        <f>SUMIFS(INDEX(Техника!$F$1:$ABM$500,Q$2,0),Техника!$F$4:$ABM$4,"Часы",INDEX(Техника!$G$1:$ABN$500,Q$2,0),$A$998,INDEX(Техника!$H$1:$ABO$500,Q$2,0),"Л")</f>
        <v>0</v>
      </c>
      <c r="R1002" s="50">
        <f>SUMIFS(INDEX(Техника!$F$1:$ABM$500,R$2,0),Техника!$F$4:$ABM$4,"Часы",INDEX(Техника!$G$1:$ABN$500,R$2,0),$A$998,INDEX(Техника!$H$1:$ABO$500,R$2,0),"Л")</f>
        <v>0</v>
      </c>
      <c r="S1002" s="50">
        <f>SUMIFS(INDEX(Техника!$F$1:$ABM$500,S$2,0),Техника!$F$4:$ABM$4,"Часы",INDEX(Техника!$G$1:$ABN$500,S$2,0),$A$998,INDEX(Техника!$H$1:$ABO$500,S$2,0),"Л")</f>
        <v>0</v>
      </c>
      <c r="T1002" s="50">
        <f>SUMIFS(INDEX(Техника!$F$1:$ABM$500,T$2,0),Техника!$F$4:$ABM$4,"Часы",INDEX(Техника!$G$1:$ABN$500,T$2,0),$A$998,INDEX(Техника!$H$1:$ABO$500,T$2,0),"Л")</f>
        <v>0</v>
      </c>
      <c r="U1002" s="50">
        <f>SUMIFS(INDEX(Техника!$F$1:$ABM$500,U$2,0),Техника!$F$4:$ABM$4,"Часы",INDEX(Техника!$G$1:$ABN$500,U$2,0),$A$998,INDEX(Техника!$H$1:$ABO$500,U$2,0),"Л")</f>
        <v>0</v>
      </c>
      <c r="V1002" s="50">
        <f>SUMIFS(INDEX(Техника!$F$1:$ABM$500,V$2,0),Техника!$F$4:$ABM$4,"Часы",INDEX(Техника!$G$1:$ABN$500,V$2,0),$A$998,INDEX(Техника!$H$1:$ABO$500,V$2,0),"Л")</f>
        <v>0</v>
      </c>
      <c r="W1002" s="50">
        <f>SUMIFS(INDEX(Техника!$F$1:$ABM$500,W$2,0),Техника!$F$4:$ABM$4,"Часы",INDEX(Техника!$G$1:$ABN$500,W$2,0),$A$998,INDEX(Техника!$H$1:$ABO$500,W$2,0),"Л")</f>
        <v>0</v>
      </c>
      <c r="X1002" s="50">
        <f>SUMIFS(INDEX(Техника!$F$1:$ABM$500,X$2,0),Техника!$F$4:$ABM$4,"Часы",INDEX(Техника!$G$1:$ABN$500,X$2,0),$A$998,INDEX(Техника!$H$1:$ABO$500,X$2,0),"Л")</f>
        <v>0</v>
      </c>
      <c r="Y1002" s="50">
        <f>SUMIFS(INDEX(Техника!$F$1:$ABM$500,Y$2,0),Техника!$F$4:$ABM$4,"Часы",INDEX(Техника!$G$1:$ABN$500,Y$2,0),$A$998,INDEX(Техника!$H$1:$ABO$500,Y$2,0),"Л")</f>
        <v>0</v>
      </c>
      <c r="Z1002" s="50">
        <f>SUMIFS(INDEX(Техника!$F$1:$ABM$500,Z$2,0),Техника!$F$4:$ABM$4,"Часы",INDEX(Техника!$G$1:$ABN$500,Z$2,0),$A$998,INDEX(Техника!$H$1:$ABO$500,Z$2,0),"Л")</f>
        <v>0</v>
      </c>
      <c r="AA1002" s="50">
        <f>SUMIFS(INDEX(Техника!$F$1:$ABM$500,AA$2,0),Техника!$F$4:$ABM$4,"Часы",INDEX(Техника!$G$1:$ABN$500,AA$2,0),$A$998,INDEX(Техника!$H$1:$ABO$500,AA$2,0),"Л")</f>
        <v>0</v>
      </c>
      <c r="AB1002" s="50">
        <f>SUMIFS(INDEX(Техника!$F$1:$ABM$500,AB$2,0),Техника!$F$4:$ABM$4,"Часы",INDEX(Техника!$G$1:$ABN$500,AB$2,0),$A$998,INDEX(Техника!$H$1:$ABO$500,AB$2,0),"Л")</f>
        <v>0</v>
      </c>
    </row>
    <row r="1003" spans="1:28" hidden="1" outlineLevel="1" x14ac:dyDescent="0.3">
      <c r="A1003" s="33" t="s">
        <v>245</v>
      </c>
      <c r="B1003" s="34" t="s">
        <v>279</v>
      </c>
      <c r="C1003" s="50">
        <f>SUMIFS(INDEX(Техника!$F$1:$ABM$500,C$2,0),Техника!$F$4:$ABM$4,"Часы",INDEX(Техника!$G$1:$ABN$500,C$2,0),$A$998,INDEX(Техника!$H$1:$ABO$500,C$2,0),"З")</f>
        <v>0</v>
      </c>
      <c r="D1003" s="50">
        <f>SUMIFS(INDEX(Техника!$F$1:$ABM$500,D$2,0),Техника!$F$4:$ABM$4,"Часы",INDEX(Техника!$G$1:$ABN$500,D$2,0),$A$998,INDEX(Техника!$H$1:$ABO$500,D$2,0),"З")</f>
        <v>0</v>
      </c>
      <c r="E1003" s="50">
        <f>SUMIFS(INDEX(Техника!$F$1:$ABM$500,E$2,0),Техника!$F$4:$ABM$4,"Часы",INDEX(Техника!$G$1:$ABN$500,E$2,0),$A$998,INDEX(Техника!$H$1:$ABO$500,E$2,0),"З")</f>
        <v>0</v>
      </c>
      <c r="F1003" s="50">
        <f>SUMIFS(INDEX(Техника!$F$1:$ABM$500,F$2,0),Техника!$F$4:$ABM$4,"Часы",INDEX(Техника!$G$1:$ABN$500,F$2,0),$A$998,INDEX(Техника!$H$1:$ABO$500,F$2,0),"З")</f>
        <v>0</v>
      </c>
      <c r="G1003" s="50">
        <f>SUMIFS(INDEX(Техника!$F$1:$ABM$500,G$2,0),Техника!$F$4:$ABM$4,"Часы",INDEX(Техника!$G$1:$ABN$500,G$2,0),$A$998,INDEX(Техника!$H$1:$ABO$500,G$2,0),"З")</f>
        <v>0</v>
      </c>
      <c r="H1003" s="50">
        <f>SUMIFS(INDEX(Техника!$F$1:$ABM$500,H$2,0),Техника!$F$4:$ABM$4,"Часы",INDEX(Техника!$G$1:$ABN$500,H$2,0),$A$998,INDEX(Техника!$H$1:$ABO$500,H$2,0),"З")</f>
        <v>0</v>
      </c>
      <c r="I1003" s="50">
        <f>SUMIFS(INDEX(Техника!$F$1:$ABM$500,I$2,0),Техника!$F$4:$ABM$4,"Часы",INDEX(Техника!$G$1:$ABN$500,I$2,0),$A$998,INDEX(Техника!$H$1:$ABO$500,I$2,0),"З")</f>
        <v>0</v>
      </c>
      <c r="J1003" s="50">
        <f>SUMIFS(INDEX(Техника!$F$1:$ABM$500,J$2,0),Техника!$F$4:$ABM$4,"Часы",INDEX(Техника!$G$1:$ABN$500,J$2,0),$A$998,INDEX(Техника!$H$1:$ABO$500,J$2,0),"З")</f>
        <v>0</v>
      </c>
      <c r="K1003" s="50">
        <f>SUMIFS(INDEX(Техника!$F$1:$ABM$500,K$2,0),Техника!$F$4:$ABM$4,"Часы",INDEX(Техника!$G$1:$ABN$500,K$2,0),$A$998,INDEX(Техника!$H$1:$ABO$500,K$2,0),"З")</f>
        <v>0</v>
      </c>
      <c r="L1003" s="50">
        <f>SUMIFS(INDEX(Техника!$F$1:$ABM$500,L$2,0),Техника!$F$4:$ABM$4,"Часы",INDEX(Техника!$G$1:$ABN$500,L$2,0),$A$998,INDEX(Техника!$H$1:$ABO$500,L$2,0),"З")</f>
        <v>0</v>
      </c>
      <c r="M1003" s="50">
        <f>SUMIFS(INDEX(Техника!$F$1:$ABM$500,M$2,0),Техника!$F$4:$ABM$4,"Часы",INDEX(Техника!$G$1:$ABN$500,M$2,0),$A$998,INDEX(Техника!$H$1:$ABO$500,M$2,0),"З")</f>
        <v>0</v>
      </c>
      <c r="N1003" s="50">
        <f>SUMIFS(INDEX(Техника!$F$1:$ABM$500,N$2,0),Техника!$F$4:$ABM$4,"Часы",INDEX(Техника!$G$1:$ABN$500,N$2,0),$A$998,INDEX(Техника!$H$1:$ABO$500,N$2,0),"З")</f>
        <v>0</v>
      </c>
      <c r="O1003" s="50">
        <f>SUMIFS(INDEX(Техника!$F$1:$ABM$500,O$2,0),Техника!$F$4:$ABM$4,"Часы",INDEX(Техника!$G$1:$ABN$500,O$2,0),$A$998,INDEX(Техника!$H$1:$ABO$500,O$2,0),"З")</f>
        <v>0</v>
      </c>
      <c r="P1003" s="50">
        <f>SUMIFS(INDEX(Техника!$F$1:$ABM$500,P$2,0),Техника!$F$4:$ABM$4,"Часы",INDEX(Техника!$G$1:$ABN$500,P$2,0),$A$998,INDEX(Техника!$H$1:$ABO$500,P$2,0),"З")</f>
        <v>0</v>
      </c>
      <c r="Q1003" s="50">
        <f>SUMIFS(INDEX(Техника!$F$1:$ABM$500,Q$2,0),Техника!$F$4:$ABM$4,"Часы",INDEX(Техника!$G$1:$ABN$500,Q$2,0),$A$998,INDEX(Техника!$H$1:$ABO$500,Q$2,0),"З")</f>
        <v>0</v>
      </c>
      <c r="R1003" s="50">
        <f>SUMIFS(INDEX(Техника!$F$1:$ABM$500,R$2,0),Техника!$F$4:$ABM$4,"Часы",INDEX(Техника!$G$1:$ABN$500,R$2,0),$A$998,INDEX(Техника!$H$1:$ABO$500,R$2,0),"З")</f>
        <v>0</v>
      </c>
      <c r="S1003" s="50">
        <f>SUMIFS(INDEX(Техника!$F$1:$ABM$500,S$2,0),Техника!$F$4:$ABM$4,"Часы",INDEX(Техника!$G$1:$ABN$500,S$2,0),$A$998,INDEX(Техника!$H$1:$ABO$500,S$2,0),"З")</f>
        <v>0</v>
      </c>
      <c r="T1003" s="50">
        <f>SUMIFS(INDEX(Техника!$F$1:$ABM$500,T$2,0),Техника!$F$4:$ABM$4,"Часы",INDEX(Техника!$G$1:$ABN$500,T$2,0),$A$998,INDEX(Техника!$H$1:$ABO$500,T$2,0),"З")</f>
        <v>0</v>
      </c>
      <c r="U1003" s="50">
        <f>SUMIFS(INDEX(Техника!$F$1:$ABM$500,U$2,0),Техника!$F$4:$ABM$4,"Часы",INDEX(Техника!$G$1:$ABN$500,U$2,0),$A$998,INDEX(Техника!$H$1:$ABO$500,U$2,0),"З")</f>
        <v>0</v>
      </c>
      <c r="V1003" s="50">
        <f>SUMIFS(INDEX(Техника!$F$1:$ABM$500,V$2,0),Техника!$F$4:$ABM$4,"Часы",INDEX(Техника!$G$1:$ABN$500,V$2,0),$A$998,INDEX(Техника!$H$1:$ABO$500,V$2,0),"З")</f>
        <v>0</v>
      </c>
      <c r="W1003" s="50">
        <f>SUMIFS(INDEX(Техника!$F$1:$ABM$500,W$2,0),Техника!$F$4:$ABM$4,"Часы",INDEX(Техника!$G$1:$ABN$500,W$2,0),$A$998,INDEX(Техника!$H$1:$ABO$500,W$2,0),"З")</f>
        <v>0</v>
      </c>
      <c r="X1003" s="50">
        <f>SUMIFS(INDEX(Техника!$F$1:$ABM$500,X$2,0),Техника!$F$4:$ABM$4,"Часы",INDEX(Техника!$G$1:$ABN$500,X$2,0),$A$998,INDEX(Техника!$H$1:$ABO$500,X$2,0),"З")</f>
        <v>0</v>
      </c>
      <c r="Y1003" s="50">
        <f>SUMIFS(INDEX(Техника!$F$1:$ABM$500,Y$2,0),Техника!$F$4:$ABM$4,"Часы",INDEX(Техника!$G$1:$ABN$500,Y$2,0),$A$998,INDEX(Техника!$H$1:$ABO$500,Y$2,0),"З")</f>
        <v>0</v>
      </c>
      <c r="Z1003" s="50">
        <f>SUMIFS(INDEX(Техника!$F$1:$ABM$500,Z$2,0),Техника!$F$4:$ABM$4,"Часы",INDEX(Техника!$G$1:$ABN$500,Z$2,0),$A$998,INDEX(Техника!$H$1:$ABO$500,Z$2,0),"З")</f>
        <v>0</v>
      </c>
      <c r="AA1003" s="50">
        <f>SUMIFS(INDEX(Техника!$F$1:$ABM$500,AA$2,0),Техника!$F$4:$ABM$4,"Часы",INDEX(Техника!$G$1:$ABN$500,AA$2,0),$A$998,INDEX(Техника!$H$1:$ABO$500,AA$2,0),"З")</f>
        <v>0</v>
      </c>
      <c r="AB1003" s="50">
        <f>SUMIFS(INDEX(Техника!$F$1:$ABM$500,AB$2,0),Техника!$F$4:$ABM$4,"Часы",INDEX(Техника!$G$1:$ABN$500,AB$2,0),$A$998,INDEX(Техника!$H$1:$ABO$500,AB$2,0),"З")</f>
        <v>0</v>
      </c>
    </row>
    <row r="1004" spans="1:28" ht="7.95" customHeight="1" x14ac:dyDescent="0.3">
      <c r="A1004" s="38"/>
      <c r="B1004" s="39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</row>
    <row r="1005" spans="1:28" ht="25.05" customHeight="1" collapsed="1" x14ac:dyDescent="0.3">
      <c r="A1005" s="32">
        <v>144</v>
      </c>
      <c r="B1005" s="32" t="s">
        <v>145</v>
      </c>
      <c r="C1005" s="49">
        <f>SUM(C1006:C1010)</f>
        <v>0</v>
      </c>
      <c r="D1005" s="49">
        <f>SUM(D1006:D1010)</f>
        <v>0</v>
      </c>
      <c r="E1005" s="49">
        <f>SUM(E1006:E1010)</f>
        <v>0</v>
      </c>
      <c r="F1005" s="49">
        <f>SUM(F1006:F1010)</f>
        <v>0</v>
      </c>
      <c r="G1005" s="49">
        <f>SUM(G1006:G1010)</f>
        <v>0</v>
      </c>
      <c r="H1005" s="49">
        <f>SUM(H1006:H1010)</f>
        <v>0</v>
      </c>
      <c r="I1005" s="49">
        <f>SUM(I1006:I1010)</f>
        <v>0</v>
      </c>
      <c r="J1005" s="49">
        <f>SUM(J1006:J1010)</f>
        <v>0</v>
      </c>
      <c r="K1005" s="49">
        <f>SUM(K1006:K1010)</f>
        <v>0</v>
      </c>
      <c r="L1005" s="49">
        <f>SUM(L1006:L1010)</f>
        <v>0</v>
      </c>
      <c r="M1005" s="49">
        <f>SUM(M1006:M1010)</f>
        <v>0</v>
      </c>
      <c r="N1005" s="49">
        <f>SUM(N1006:N1010)</f>
        <v>0</v>
      </c>
      <c r="O1005" s="49">
        <f>SUM(O1006:O1010)</f>
        <v>0</v>
      </c>
      <c r="P1005" s="49">
        <f>SUM(P1006:P1010)</f>
        <v>0</v>
      </c>
      <c r="Q1005" s="49">
        <f>SUM(Q1006:Q1010)</f>
        <v>0</v>
      </c>
      <c r="R1005" s="49">
        <f>SUM(R1006:R1010)</f>
        <v>0</v>
      </c>
      <c r="S1005" s="49">
        <f>SUM(S1006:S1010)</f>
        <v>0</v>
      </c>
      <c r="T1005" s="49">
        <f>SUM(T1006:T1010)</f>
        <v>0</v>
      </c>
      <c r="U1005" s="49">
        <f>SUM(U1006:U1010)</f>
        <v>0</v>
      </c>
      <c r="V1005" s="49">
        <f>SUM(V1006:V1010)</f>
        <v>0</v>
      </c>
      <c r="W1005" s="49">
        <f>SUM(W1006:W1010)</f>
        <v>0</v>
      </c>
      <c r="X1005" s="49">
        <f>SUM(X1006:X1010)</f>
        <v>0</v>
      </c>
      <c r="Y1005" s="49">
        <f>SUM(Y1006:Y1010)</f>
        <v>0</v>
      </c>
      <c r="Z1005" s="49">
        <f>SUM(Z1006:Z1010)</f>
        <v>0</v>
      </c>
      <c r="AA1005" s="49">
        <f>SUM(AA1006:AA1010)</f>
        <v>0</v>
      </c>
      <c r="AB1005" s="49">
        <f>SUM(AB1006:AB1010)</f>
        <v>0</v>
      </c>
    </row>
    <row r="1006" spans="1:28" hidden="1" outlineLevel="1" x14ac:dyDescent="0.3">
      <c r="A1006" s="33" t="s">
        <v>246</v>
      </c>
      <c r="B1006" s="34" t="s">
        <v>274</v>
      </c>
      <c r="C1006" s="50">
        <f>SUMIFS(INDEX(Техника!$F$1:$ABM$500,C$2,0),Техника!$F$4:$ABM$4,"Часы",INDEX(Техника!$G$1:$ABN$500,C$2,0),$A$1005,INDEX(Техника!$H$1:$ABO$500,C$2,0),"М")</f>
        <v>0</v>
      </c>
      <c r="D1006" s="50">
        <f>SUMIFS(INDEX(Техника!$F$1:$ABM$500,D$2,0),Техника!$F$4:$ABM$4,"Часы",INDEX(Техника!$G$1:$ABN$500,D$2,0),$A$1005,INDEX(Техника!$H$1:$ABO$500,D$2,0),"М")</f>
        <v>0</v>
      </c>
      <c r="E1006" s="50">
        <f>SUMIFS(INDEX(Техника!$F$1:$ABM$500,E$2,0),Техника!$F$4:$ABM$4,"Часы",INDEX(Техника!$G$1:$ABN$500,E$2,0),$A$1005,INDEX(Техника!$H$1:$ABO$500,E$2,0),"М")</f>
        <v>0</v>
      </c>
      <c r="F1006" s="50">
        <f>SUMIFS(INDEX(Техника!$F$1:$ABM$500,F$2,0),Техника!$F$4:$ABM$4,"Часы",INDEX(Техника!$G$1:$ABN$500,F$2,0),$A$1005,INDEX(Техника!$H$1:$ABO$500,F$2,0),"М")</f>
        <v>0</v>
      </c>
      <c r="G1006" s="50">
        <f>SUMIFS(INDEX(Техника!$F$1:$ABM$500,G$2,0),Техника!$F$4:$ABM$4,"Часы",INDEX(Техника!$G$1:$ABN$500,G$2,0),$A$1005,INDEX(Техника!$H$1:$ABO$500,G$2,0),"М")</f>
        <v>0</v>
      </c>
      <c r="H1006" s="50">
        <f>SUMIFS(INDEX(Техника!$F$1:$ABM$500,H$2,0),Техника!$F$4:$ABM$4,"Часы",INDEX(Техника!$G$1:$ABN$500,H$2,0),$A$1005,INDEX(Техника!$H$1:$ABO$500,H$2,0),"М")</f>
        <v>0</v>
      </c>
      <c r="I1006" s="50">
        <f>SUMIFS(INDEX(Техника!$F$1:$ABM$500,I$2,0),Техника!$F$4:$ABM$4,"Часы",INDEX(Техника!$G$1:$ABN$500,I$2,0),$A$1005,INDEX(Техника!$H$1:$ABO$500,I$2,0),"М")</f>
        <v>0</v>
      </c>
      <c r="J1006" s="50">
        <f>SUMIFS(INDEX(Техника!$F$1:$ABM$500,J$2,0),Техника!$F$4:$ABM$4,"Часы",INDEX(Техника!$G$1:$ABN$500,J$2,0),$A$1005,INDEX(Техника!$H$1:$ABO$500,J$2,0),"М")</f>
        <v>0</v>
      </c>
      <c r="K1006" s="50">
        <f>SUMIFS(INDEX(Техника!$F$1:$ABM$500,K$2,0),Техника!$F$4:$ABM$4,"Часы",INDEX(Техника!$G$1:$ABN$500,K$2,0),$A$1005,INDEX(Техника!$H$1:$ABO$500,K$2,0),"М")</f>
        <v>0</v>
      </c>
      <c r="L1006" s="50">
        <f>SUMIFS(INDEX(Техника!$F$1:$ABM$500,L$2,0),Техника!$F$4:$ABM$4,"Часы",INDEX(Техника!$G$1:$ABN$500,L$2,0),$A$1005,INDEX(Техника!$H$1:$ABO$500,L$2,0),"М")</f>
        <v>0</v>
      </c>
      <c r="M1006" s="50">
        <f>SUMIFS(INDEX(Техника!$F$1:$ABM$500,M$2,0),Техника!$F$4:$ABM$4,"Часы",INDEX(Техника!$G$1:$ABN$500,M$2,0),$A$1005,INDEX(Техника!$H$1:$ABO$500,M$2,0),"М")</f>
        <v>0</v>
      </c>
      <c r="N1006" s="50">
        <f>SUMIFS(INDEX(Техника!$F$1:$ABM$500,N$2,0),Техника!$F$4:$ABM$4,"Часы",INDEX(Техника!$G$1:$ABN$500,N$2,0),$A$1005,INDEX(Техника!$H$1:$ABO$500,N$2,0),"М")</f>
        <v>0</v>
      </c>
      <c r="O1006" s="50">
        <f>SUMIFS(INDEX(Техника!$F$1:$ABM$500,O$2,0),Техника!$F$4:$ABM$4,"Часы",INDEX(Техника!$G$1:$ABN$500,O$2,0),$A$1005,INDEX(Техника!$H$1:$ABO$500,O$2,0),"М")</f>
        <v>0</v>
      </c>
      <c r="P1006" s="50">
        <f>SUMIFS(INDEX(Техника!$F$1:$ABM$500,P$2,0),Техника!$F$4:$ABM$4,"Часы",INDEX(Техника!$G$1:$ABN$500,P$2,0),$A$1005,INDEX(Техника!$H$1:$ABO$500,P$2,0),"М")</f>
        <v>0</v>
      </c>
      <c r="Q1006" s="50">
        <f>SUMIFS(INDEX(Техника!$F$1:$ABM$500,Q$2,0),Техника!$F$4:$ABM$4,"Часы",INDEX(Техника!$G$1:$ABN$500,Q$2,0),$A$1005,INDEX(Техника!$H$1:$ABO$500,Q$2,0),"М")</f>
        <v>0</v>
      </c>
      <c r="R1006" s="50">
        <f>SUMIFS(INDEX(Техника!$F$1:$ABM$500,R$2,0),Техника!$F$4:$ABM$4,"Часы",INDEX(Техника!$G$1:$ABN$500,R$2,0),$A$1005,INDEX(Техника!$H$1:$ABO$500,R$2,0),"М")</f>
        <v>0</v>
      </c>
      <c r="S1006" s="50">
        <f>SUMIFS(INDEX(Техника!$F$1:$ABM$500,S$2,0),Техника!$F$4:$ABM$4,"Часы",INDEX(Техника!$G$1:$ABN$500,S$2,0),$A$1005,INDEX(Техника!$H$1:$ABO$500,S$2,0),"М")</f>
        <v>0</v>
      </c>
      <c r="T1006" s="50">
        <f>SUMIFS(INDEX(Техника!$F$1:$ABM$500,T$2,0),Техника!$F$4:$ABM$4,"Часы",INDEX(Техника!$G$1:$ABN$500,T$2,0),$A$1005,INDEX(Техника!$H$1:$ABO$500,T$2,0),"М")</f>
        <v>0</v>
      </c>
      <c r="U1006" s="50">
        <f>SUMIFS(INDEX(Техника!$F$1:$ABM$500,U$2,0),Техника!$F$4:$ABM$4,"Часы",INDEX(Техника!$G$1:$ABN$500,U$2,0),$A$1005,INDEX(Техника!$H$1:$ABO$500,U$2,0),"М")</f>
        <v>0</v>
      </c>
      <c r="V1006" s="50">
        <f>SUMIFS(INDEX(Техника!$F$1:$ABM$500,V$2,0),Техника!$F$4:$ABM$4,"Часы",INDEX(Техника!$G$1:$ABN$500,V$2,0),$A$1005,INDEX(Техника!$H$1:$ABO$500,V$2,0),"М")</f>
        <v>0</v>
      </c>
      <c r="W1006" s="50">
        <f>SUMIFS(INDEX(Техника!$F$1:$ABM$500,W$2,0),Техника!$F$4:$ABM$4,"Часы",INDEX(Техника!$G$1:$ABN$500,W$2,0),$A$1005,INDEX(Техника!$H$1:$ABO$500,W$2,0),"М")</f>
        <v>0</v>
      </c>
      <c r="X1006" s="50">
        <f>SUMIFS(INDEX(Техника!$F$1:$ABM$500,X$2,0),Техника!$F$4:$ABM$4,"Часы",INDEX(Техника!$G$1:$ABN$500,X$2,0),$A$1005,INDEX(Техника!$H$1:$ABO$500,X$2,0),"М")</f>
        <v>0</v>
      </c>
      <c r="Y1006" s="50">
        <f>SUMIFS(INDEX(Техника!$F$1:$ABM$500,Y$2,0),Техника!$F$4:$ABM$4,"Часы",INDEX(Техника!$G$1:$ABN$500,Y$2,0),$A$1005,INDEX(Техника!$H$1:$ABO$500,Y$2,0),"М")</f>
        <v>0</v>
      </c>
      <c r="Z1006" s="50">
        <f>SUMIFS(INDEX(Техника!$F$1:$ABM$500,Z$2,0),Техника!$F$4:$ABM$4,"Часы",INDEX(Техника!$G$1:$ABN$500,Z$2,0),$A$1005,INDEX(Техника!$H$1:$ABO$500,Z$2,0),"М")</f>
        <v>0</v>
      </c>
      <c r="AA1006" s="50">
        <f>SUMIFS(INDEX(Техника!$F$1:$ABM$500,AA$2,0),Техника!$F$4:$ABM$4,"Часы",INDEX(Техника!$G$1:$ABN$500,AA$2,0),$A$1005,INDEX(Техника!$H$1:$ABO$500,AA$2,0),"М")</f>
        <v>0</v>
      </c>
      <c r="AB1006" s="50">
        <f>SUMIFS(INDEX(Техника!$F$1:$ABM$500,AB$2,0),Техника!$F$4:$ABM$4,"Часы",INDEX(Техника!$G$1:$ABN$500,AB$2,0),$A$1005,INDEX(Техника!$H$1:$ABO$500,AB$2,0),"М")</f>
        <v>0</v>
      </c>
    </row>
    <row r="1007" spans="1:28" hidden="1" outlineLevel="1" x14ac:dyDescent="0.3">
      <c r="A1007" s="33" t="s">
        <v>244</v>
      </c>
      <c r="B1007" s="34" t="s">
        <v>275</v>
      </c>
      <c r="C1007" s="50">
        <f>SUMIFS(INDEX(Техника!$F$1:$ABM$500,C$2,0),Техника!$F$4:$ABM$4,"Часы",INDEX(Техника!$G$1:$ABN$500,C$2,0),$A$1005,INDEX(Техника!$H$1:$ABO$500,C$2,0),"Д")</f>
        <v>0</v>
      </c>
      <c r="D1007" s="50">
        <f>SUMIFS(INDEX(Техника!$F$1:$ABM$500,D$2,0),Техника!$F$4:$ABM$4,"Часы",INDEX(Техника!$G$1:$ABN$500,D$2,0),$A$1005,INDEX(Техника!$H$1:$ABO$500,D$2,0),"Д")</f>
        <v>0</v>
      </c>
      <c r="E1007" s="50">
        <f>SUMIFS(INDEX(Техника!$F$1:$ABM$500,E$2,0),Техника!$F$4:$ABM$4,"Часы",INDEX(Техника!$G$1:$ABN$500,E$2,0),$A$1005,INDEX(Техника!$H$1:$ABO$500,E$2,0),"Д")</f>
        <v>0</v>
      </c>
      <c r="F1007" s="50">
        <f>SUMIFS(INDEX(Техника!$F$1:$ABM$500,F$2,0),Техника!$F$4:$ABM$4,"Часы",INDEX(Техника!$G$1:$ABN$500,F$2,0),$A$1005,INDEX(Техника!$H$1:$ABO$500,F$2,0),"Д")</f>
        <v>0</v>
      </c>
      <c r="G1007" s="50">
        <f>SUMIFS(INDEX(Техника!$F$1:$ABM$500,G$2,0),Техника!$F$4:$ABM$4,"Часы",INDEX(Техника!$G$1:$ABN$500,G$2,0),$A$1005,INDEX(Техника!$H$1:$ABO$500,G$2,0),"Д")</f>
        <v>0</v>
      </c>
      <c r="H1007" s="50">
        <f>SUMIFS(INDEX(Техника!$F$1:$ABM$500,H$2,0),Техника!$F$4:$ABM$4,"Часы",INDEX(Техника!$G$1:$ABN$500,H$2,0),$A$1005,INDEX(Техника!$H$1:$ABO$500,H$2,0),"Д")</f>
        <v>0</v>
      </c>
      <c r="I1007" s="50">
        <f>SUMIFS(INDEX(Техника!$F$1:$ABM$500,I$2,0),Техника!$F$4:$ABM$4,"Часы",INDEX(Техника!$G$1:$ABN$500,I$2,0),$A$1005,INDEX(Техника!$H$1:$ABO$500,I$2,0),"Д")</f>
        <v>0</v>
      </c>
      <c r="J1007" s="50">
        <f>SUMIFS(INDEX(Техника!$F$1:$ABM$500,J$2,0),Техника!$F$4:$ABM$4,"Часы",INDEX(Техника!$G$1:$ABN$500,J$2,0),$A$1005,INDEX(Техника!$H$1:$ABO$500,J$2,0),"Д")</f>
        <v>0</v>
      </c>
      <c r="K1007" s="50">
        <f>SUMIFS(INDEX(Техника!$F$1:$ABM$500,K$2,0),Техника!$F$4:$ABM$4,"Часы",INDEX(Техника!$G$1:$ABN$500,K$2,0),$A$1005,INDEX(Техника!$H$1:$ABO$500,K$2,0),"Д")</f>
        <v>0</v>
      </c>
      <c r="L1007" s="50">
        <f>SUMIFS(INDEX(Техника!$F$1:$ABM$500,L$2,0),Техника!$F$4:$ABM$4,"Часы",INDEX(Техника!$G$1:$ABN$500,L$2,0),$A$1005,INDEX(Техника!$H$1:$ABO$500,L$2,0),"Д")</f>
        <v>0</v>
      </c>
      <c r="M1007" s="50">
        <f>SUMIFS(INDEX(Техника!$F$1:$ABM$500,M$2,0),Техника!$F$4:$ABM$4,"Часы",INDEX(Техника!$G$1:$ABN$500,M$2,0),$A$1005,INDEX(Техника!$H$1:$ABO$500,M$2,0),"Д")</f>
        <v>0</v>
      </c>
      <c r="N1007" s="50">
        <f>SUMIFS(INDEX(Техника!$F$1:$ABM$500,N$2,0),Техника!$F$4:$ABM$4,"Часы",INDEX(Техника!$G$1:$ABN$500,N$2,0),$A$1005,INDEX(Техника!$H$1:$ABO$500,N$2,0),"Д")</f>
        <v>0</v>
      </c>
      <c r="O1007" s="50">
        <f>SUMIFS(INDEX(Техника!$F$1:$ABM$500,O$2,0),Техника!$F$4:$ABM$4,"Часы",INDEX(Техника!$G$1:$ABN$500,O$2,0),$A$1005,INDEX(Техника!$H$1:$ABO$500,O$2,0),"Д")</f>
        <v>0</v>
      </c>
      <c r="P1007" s="50">
        <f>SUMIFS(INDEX(Техника!$F$1:$ABM$500,P$2,0),Техника!$F$4:$ABM$4,"Часы",INDEX(Техника!$G$1:$ABN$500,P$2,0),$A$1005,INDEX(Техника!$H$1:$ABO$500,P$2,0),"Д")</f>
        <v>0</v>
      </c>
      <c r="Q1007" s="50">
        <f>SUMIFS(INDEX(Техника!$F$1:$ABM$500,Q$2,0),Техника!$F$4:$ABM$4,"Часы",INDEX(Техника!$G$1:$ABN$500,Q$2,0),$A$1005,INDEX(Техника!$H$1:$ABO$500,Q$2,0),"Д")</f>
        <v>0</v>
      </c>
      <c r="R1007" s="50">
        <f>SUMIFS(INDEX(Техника!$F$1:$ABM$500,R$2,0),Техника!$F$4:$ABM$4,"Часы",INDEX(Техника!$G$1:$ABN$500,R$2,0),$A$1005,INDEX(Техника!$H$1:$ABO$500,R$2,0),"Д")</f>
        <v>0</v>
      </c>
      <c r="S1007" s="50">
        <f>SUMIFS(INDEX(Техника!$F$1:$ABM$500,S$2,0),Техника!$F$4:$ABM$4,"Часы",INDEX(Техника!$G$1:$ABN$500,S$2,0),$A$1005,INDEX(Техника!$H$1:$ABO$500,S$2,0),"Д")</f>
        <v>0</v>
      </c>
      <c r="T1007" s="50">
        <f>SUMIFS(INDEX(Техника!$F$1:$ABM$500,T$2,0),Техника!$F$4:$ABM$4,"Часы",INDEX(Техника!$G$1:$ABN$500,T$2,0),$A$1005,INDEX(Техника!$H$1:$ABO$500,T$2,0),"Д")</f>
        <v>0</v>
      </c>
      <c r="U1007" s="50">
        <f>SUMIFS(INDEX(Техника!$F$1:$ABM$500,U$2,0),Техника!$F$4:$ABM$4,"Часы",INDEX(Техника!$G$1:$ABN$500,U$2,0),$A$1005,INDEX(Техника!$H$1:$ABO$500,U$2,0),"Д")</f>
        <v>0</v>
      </c>
      <c r="V1007" s="50">
        <f>SUMIFS(INDEX(Техника!$F$1:$ABM$500,V$2,0),Техника!$F$4:$ABM$4,"Часы",INDEX(Техника!$G$1:$ABN$500,V$2,0),$A$1005,INDEX(Техника!$H$1:$ABO$500,V$2,0),"Д")</f>
        <v>0</v>
      </c>
      <c r="W1007" s="50">
        <f>SUMIFS(INDEX(Техника!$F$1:$ABM$500,W$2,0),Техника!$F$4:$ABM$4,"Часы",INDEX(Техника!$G$1:$ABN$500,W$2,0),$A$1005,INDEX(Техника!$H$1:$ABO$500,W$2,0),"Д")</f>
        <v>0</v>
      </c>
      <c r="X1007" s="50">
        <f>SUMIFS(INDEX(Техника!$F$1:$ABM$500,X$2,0),Техника!$F$4:$ABM$4,"Часы",INDEX(Техника!$G$1:$ABN$500,X$2,0),$A$1005,INDEX(Техника!$H$1:$ABO$500,X$2,0),"Д")</f>
        <v>0</v>
      </c>
      <c r="Y1007" s="50">
        <f>SUMIFS(INDEX(Техника!$F$1:$ABM$500,Y$2,0),Техника!$F$4:$ABM$4,"Часы",INDEX(Техника!$G$1:$ABN$500,Y$2,0),$A$1005,INDEX(Техника!$H$1:$ABO$500,Y$2,0),"Д")</f>
        <v>0</v>
      </c>
      <c r="Z1007" s="50">
        <f>SUMIFS(INDEX(Техника!$F$1:$ABM$500,Z$2,0),Техника!$F$4:$ABM$4,"Часы",INDEX(Техника!$G$1:$ABN$500,Z$2,0),$A$1005,INDEX(Техника!$H$1:$ABO$500,Z$2,0),"Д")</f>
        <v>0</v>
      </c>
      <c r="AA1007" s="50">
        <f>SUMIFS(INDEX(Техника!$F$1:$ABM$500,AA$2,0),Техника!$F$4:$ABM$4,"Часы",INDEX(Техника!$G$1:$ABN$500,AA$2,0),$A$1005,INDEX(Техника!$H$1:$ABO$500,AA$2,0),"Д")</f>
        <v>0</v>
      </c>
      <c r="AB1007" s="50">
        <f>SUMIFS(INDEX(Техника!$F$1:$ABM$500,AB$2,0),Техника!$F$4:$ABM$4,"Часы",INDEX(Техника!$G$1:$ABN$500,AB$2,0),$A$1005,INDEX(Техника!$H$1:$ABO$500,AB$2,0),"Д")</f>
        <v>0</v>
      </c>
    </row>
    <row r="1008" spans="1:28" hidden="1" outlineLevel="1" x14ac:dyDescent="0.3">
      <c r="A1008" s="33" t="s">
        <v>276</v>
      </c>
      <c r="B1008" s="34" t="s">
        <v>277</v>
      </c>
      <c r="C1008" s="50">
        <f>SUMIFS(INDEX(Техника!$F$1:$ABM$500,C$2,0),Техника!$F$4:$ABM$4,"Часы",INDEX(Техника!$G$1:$ABN$500,C$2,0),$A$1005,INDEX(Техника!$H$1:$ABO$500,C$2,0),"П")</f>
        <v>0</v>
      </c>
      <c r="D1008" s="50">
        <f>SUMIFS(INDEX(Техника!$F$1:$ABM$500,D$2,0),Техника!$F$4:$ABM$4,"Часы",INDEX(Техника!$G$1:$ABN$500,D$2,0),$A$1005,INDEX(Техника!$H$1:$ABO$500,D$2,0),"П")</f>
        <v>0</v>
      </c>
      <c r="E1008" s="50">
        <f>SUMIFS(INDEX(Техника!$F$1:$ABM$500,E$2,0),Техника!$F$4:$ABM$4,"Часы",INDEX(Техника!$G$1:$ABN$500,E$2,0),$A$1005,INDEX(Техника!$H$1:$ABO$500,E$2,0),"П")</f>
        <v>0</v>
      </c>
      <c r="F1008" s="50">
        <f>SUMIFS(INDEX(Техника!$F$1:$ABM$500,F$2,0),Техника!$F$4:$ABM$4,"Часы",INDEX(Техника!$G$1:$ABN$500,F$2,0),$A$1005,INDEX(Техника!$H$1:$ABO$500,F$2,0),"П")</f>
        <v>0</v>
      </c>
      <c r="G1008" s="50">
        <f>SUMIFS(INDEX(Техника!$F$1:$ABM$500,G$2,0),Техника!$F$4:$ABM$4,"Часы",INDEX(Техника!$G$1:$ABN$500,G$2,0),$A$1005,INDEX(Техника!$H$1:$ABO$500,G$2,0),"П")</f>
        <v>0</v>
      </c>
      <c r="H1008" s="50">
        <f>SUMIFS(INDEX(Техника!$F$1:$ABM$500,H$2,0),Техника!$F$4:$ABM$4,"Часы",INDEX(Техника!$G$1:$ABN$500,H$2,0),$A$1005,INDEX(Техника!$H$1:$ABO$500,H$2,0),"П")</f>
        <v>0</v>
      </c>
      <c r="I1008" s="50">
        <f>SUMIFS(INDEX(Техника!$F$1:$ABM$500,I$2,0),Техника!$F$4:$ABM$4,"Часы",INDEX(Техника!$G$1:$ABN$500,I$2,0),$A$1005,INDEX(Техника!$H$1:$ABO$500,I$2,0),"П")</f>
        <v>0</v>
      </c>
      <c r="J1008" s="50">
        <f>SUMIFS(INDEX(Техника!$F$1:$ABM$500,J$2,0),Техника!$F$4:$ABM$4,"Часы",INDEX(Техника!$G$1:$ABN$500,J$2,0),$A$1005,INDEX(Техника!$H$1:$ABO$500,J$2,0),"П")</f>
        <v>0</v>
      </c>
      <c r="K1008" s="50">
        <f>SUMIFS(INDEX(Техника!$F$1:$ABM$500,K$2,0),Техника!$F$4:$ABM$4,"Часы",INDEX(Техника!$G$1:$ABN$500,K$2,0),$A$1005,INDEX(Техника!$H$1:$ABO$500,K$2,0),"П")</f>
        <v>0</v>
      </c>
      <c r="L1008" s="50">
        <f>SUMIFS(INDEX(Техника!$F$1:$ABM$500,L$2,0),Техника!$F$4:$ABM$4,"Часы",INDEX(Техника!$G$1:$ABN$500,L$2,0),$A$1005,INDEX(Техника!$H$1:$ABO$500,L$2,0),"П")</f>
        <v>0</v>
      </c>
      <c r="M1008" s="50">
        <f>SUMIFS(INDEX(Техника!$F$1:$ABM$500,M$2,0),Техника!$F$4:$ABM$4,"Часы",INDEX(Техника!$G$1:$ABN$500,M$2,0),$A$1005,INDEX(Техника!$H$1:$ABO$500,M$2,0),"П")</f>
        <v>0</v>
      </c>
      <c r="N1008" s="50">
        <f>SUMIFS(INDEX(Техника!$F$1:$ABM$500,N$2,0),Техника!$F$4:$ABM$4,"Часы",INDEX(Техника!$G$1:$ABN$500,N$2,0),$A$1005,INDEX(Техника!$H$1:$ABO$500,N$2,0),"П")</f>
        <v>0</v>
      </c>
      <c r="O1008" s="50">
        <f>SUMIFS(INDEX(Техника!$F$1:$ABM$500,O$2,0),Техника!$F$4:$ABM$4,"Часы",INDEX(Техника!$G$1:$ABN$500,O$2,0),$A$1005,INDEX(Техника!$H$1:$ABO$500,O$2,0),"П")</f>
        <v>0</v>
      </c>
      <c r="P1008" s="50">
        <f>SUMIFS(INDEX(Техника!$F$1:$ABM$500,P$2,0),Техника!$F$4:$ABM$4,"Часы",INDEX(Техника!$G$1:$ABN$500,P$2,0),$A$1005,INDEX(Техника!$H$1:$ABO$500,P$2,0),"П")</f>
        <v>0</v>
      </c>
      <c r="Q1008" s="50">
        <f>SUMIFS(INDEX(Техника!$F$1:$ABM$500,Q$2,0),Техника!$F$4:$ABM$4,"Часы",INDEX(Техника!$G$1:$ABN$500,Q$2,0),$A$1005,INDEX(Техника!$H$1:$ABO$500,Q$2,0),"П")</f>
        <v>0</v>
      </c>
      <c r="R1008" s="50">
        <f>SUMIFS(INDEX(Техника!$F$1:$ABM$500,R$2,0),Техника!$F$4:$ABM$4,"Часы",INDEX(Техника!$G$1:$ABN$500,R$2,0),$A$1005,INDEX(Техника!$H$1:$ABO$500,R$2,0),"П")</f>
        <v>0</v>
      </c>
      <c r="S1008" s="50">
        <f>SUMIFS(INDEX(Техника!$F$1:$ABM$500,S$2,0),Техника!$F$4:$ABM$4,"Часы",INDEX(Техника!$G$1:$ABN$500,S$2,0),$A$1005,INDEX(Техника!$H$1:$ABO$500,S$2,0),"П")</f>
        <v>0</v>
      </c>
      <c r="T1008" s="50">
        <f>SUMIFS(INDEX(Техника!$F$1:$ABM$500,T$2,0),Техника!$F$4:$ABM$4,"Часы",INDEX(Техника!$G$1:$ABN$500,T$2,0),$A$1005,INDEX(Техника!$H$1:$ABO$500,T$2,0),"П")</f>
        <v>0</v>
      </c>
      <c r="U1008" s="50">
        <f>SUMIFS(INDEX(Техника!$F$1:$ABM$500,U$2,0),Техника!$F$4:$ABM$4,"Часы",INDEX(Техника!$G$1:$ABN$500,U$2,0),$A$1005,INDEX(Техника!$H$1:$ABO$500,U$2,0),"П")</f>
        <v>0</v>
      </c>
      <c r="V1008" s="50">
        <f>SUMIFS(INDEX(Техника!$F$1:$ABM$500,V$2,0),Техника!$F$4:$ABM$4,"Часы",INDEX(Техника!$G$1:$ABN$500,V$2,0),$A$1005,INDEX(Техника!$H$1:$ABO$500,V$2,0),"П")</f>
        <v>0</v>
      </c>
      <c r="W1008" s="50">
        <f>SUMIFS(INDEX(Техника!$F$1:$ABM$500,W$2,0),Техника!$F$4:$ABM$4,"Часы",INDEX(Техника!$G$1:$ABN$500,W$2,0),$A$1005,INDEX(Техника!$H$1:$ABO$500,W$2,0),"П")</f>
        <v>0</v>
      </c>
      <c r="X1008" s="50">
        <f>SUMIFS(INDEX(Техника!$F$1:$ABM$500,X$2,0),Техника!$F$4:$ABM$4,"Часы",INDEX(Техника!$G$1:$ABN$500,X$2,0),$A$1005,INDEX(Техника!$H$1:$ABO$500,X$2,0),"П")</f>
        <v>0</v>
      </c>
      <c r="Y1008" s="50">
        <f>SUMIFS(INDEX(Техника!$F$1:$ABM$500,Y$2,0),Техника!$F$4:$ABM$4,"Часы",INDEX(Техника!$G$1:$ABN$500,Y$2,0),$A$1005,INDEX(Техника!$H$1:$ABO$500,Y$2,0),"П")</f>
        <v>0</v>
      </c>
      <c r="Z1008" s="50">
        <f>SUMIFS(INDEX(Техника!$F$1:$ABM$500,Z$2,0),Техника!$F$4:$ABM$4,"Часы",INDEX(Техника!$G$1:$ABN$500,Z$2,0),$A$1005,INDEX(Техника!$H$1:$ABO$500,Z$2,0),"П")</f>
        <v>0</v>
      </c>
      <c r="AA1008" s="50">
        <f>SUMIFS(INDEX(Техника!$F$1:$ABM$500,AA$2,0),Техника!$F$4:$ABM$4,"Часы",INDEX(Техника!$G$1:$ABN$500,AA$2,0),$A$1005,INDEX(Техника!$H$1:$ABO$500,AA$2,0),"П")</f>
        <v>0</v>
      </c>
      <c r="AB1008" s="50">
        <f>SUMIFS(INDEX(Техника!$F$1:$ABM$500,AB$2,0),Техника!$F$4:$ABM$4,"Часы",INDEX(Техника!$G$1:$ABN$500,AB$2,0),$A$1005,INDEX(Техника!$H$1:$ABO$500,AB$2,0),"П")</f>
        <v>0</v>
      </c>
    </row>
    <row r="1009" spans="1:28" hidden="1" outlineLevel="1" x14ac:dyDescent="0.3">
      <c r="A1009" s="33" t="s">
        <v>243</v>
      </c>
      <c r="B1009" s="34" t="s">
        <v>278</v>
      </c>
      <c r="C1009" s="50">
        <f>SUMIFS(INDEX(Техника!$F$1:$ABM$500,C$2,0),Техника!$F$4:$ABM$4,"Часы",INDEX(Техника!$G$1:$ABN$500,C$2,0),$A$1005,INDEX(Техника!$H$1:$ABO$500,C$2,0),"Л")</f>
        <v>0</v>
      </c>
      <c r="D1009" s="50">
        <f>SUMIFS(INDEX(Техника!$F$1:$ABM$500,D$2,0),Техника!$F$4:$ABM$4,"Часы",INDEX(Техника!$G$1:$ABN$500,D$2,0),$A$1005,INDEX(Техника!$H$1:$ABO$500,D$2,0),"Л")</f>
        <v>0</v>
      </c>
      <c r="E1009" s="50">
        <f>SUMIFS(INDEX(Техника!$F$1:$ABM$500,E$2,0),Техника!$F$4:$ABM$4,"Часы",INDEX(Техника!$G$1:$ABN$500,E$2,0),$A$1005,INDEX(Техника!$H$1:$ABO$500,E$2,0),"Л")</f>
        <v>0</v>
      </c>
      <c r="F1009" s="50">
        <f>SUMIFS(INDEX(Техника!$F$1:$ABM$500,F$2,0),Техника!$F$4:$ABM$4,"Часы",INDEX(Техника!$G$1:$ABN$500,F$2,0),$A$1005,INDEX(Техника!$H$1:$ABO$500,F$2,0),"Л")</f>
        <v>0</v>
      </c>
      <c r="G1009" s="50">
        <f>SUMIFS(INDEX(Техника!$F$1:$ABM$500,G$2,0),Техника!$F$4:$ABM$4,"Часы",INDEX(Техника!$G$1:$ABN$500,G$2,0),$A$1005,INDEX(Техника!$H$1:$ABO$500,G$2,0),"Л")</f>
        <v>0</v>
      </c>
      <c r="H1009" s="50">
        <f>SUMIFS(INDEX(Техника!$F$1:$ABM$500,H$2,0),Техника!$F$4:$ABM$4,"Часы",INDEX(Техника!$G$1:$ABN$500,H$2,0),$A$1005,INDEX(Техника!$H$1:$ABO$500,H$2,0),"Л")</f>
        <v>0</v>
      </c>
      <c r="I1009" s="50">
        <f>SUMIFS(INDEX(Техника!$F$1:$ABM$500,I$2,0),Техника!$F$4:$ABM$4,"Часы",INDEX(Техника!$G$1:$ABN$500,I$2,0),$A$1005,INDEX(Техника!$H$1:$ABO$500,I$2,0),"Л")</f>
        <v>0</v>
      </c>
      <c r="J1009" s="50">
        <f>SUMIFS(INDEX(Техника!$F$1:$ABM$500,J$2,0),Техника!$F$4:$ABM$4,"Часы",INDEX(Техника!$G$1:$ABN$500,J$2,0),$A$1005,INDEX(Техника!$H$1:$ABO$500,J$2,0),"Л")</f>
        <v>0</v>
      </c>
      <c r="K1009" s="50">
        <f>SUMIFS(INDEX(Техника!$F$1:$ABM$500,K$2,0),Техника!$F$4:$ABM$4,"Часы",INDEX(Техника!$G$1:$ABN$500,K$2,0),$A$1005,INDEX(Техника!$H$1:$ABO$500,K$2,0),"Л")</f>
        <v>0</v>
      </c>
      <c r="L1009" s="50">
        <f>SUMIFS(INDEX(Техника!$F$1:$ABM$500,L$2,0),Техника!$F$4:$ABM$4,"Часы",INDEX(Техника!$G$1:$ABN$500,L$2,0),$A$1005,INDEX(Техника!$H$1:$ABO$500,L$2,0),"Л")</f>
        <v>0</v>
      </c>
      <c r="M1009" s="50">
        <f>SUMIFS(INDEX(Техника!$F$1:$ABM$500,M$2,0),Техника!$F$4:$ABM$4,"Часы",INDEX(Техника!$G$1:$ABN$500,M$2,0),$A$1005,INDEX(Техника!$H$1:$ABO$500,M$2,0),"Л")</f>
        <v>0</v>
      </c>
      <c r="N1009" s="50">
        <f>SUMIFS(INDEX(Техника!$F$1:$ABM$500,N$2,0),Техника!$F$4:$ABM$4,"Часы",INDEX(Техника!$G$1:$ABN$500,N$2,0),$A$1005,INDEX(Техника!$H$1:$ABO$500,N$2,0),"Л")</f>
        <v>0</v>
      </c>
      <c r="O1009" s="50">
        <f>SUMIFS(INDEX(Техника!$F$1:$ABM$500,O$2,0),Техника!$F$4:$ABM$4,"Часы",INDEX(Техника!$G$1:$ABN$500,O$2,0),$A$1005,INDEX(Техника!$H$1:$ABO$500,O$2,0),"Л")</f>
        <v>0</v>
      </c>
      <c r="P1009" s="50">
        <f>SUMIFS(INDEX(Техника!$F$1:$ABM$500,P$2,0),Техника!$F$4:$ABM$4,"Часы",INDEX(Техника!$G$1:$ABN$500,P$2,0),$A$1005,INDEX(Техника!$H$1:$ABO$500,P$2,0),"Л")</f>
        <v>0</v>
      </c>
      <c r="Q1009" s="50">
        <f>SUMIFS(INDEX(Техника!$F$1:$ABM$500,Q$2,0),Техника!$F$4:$ABM$4,"Часы",INDEX(Техника!$G$1:$ABN$500,Q$2,0),$A$1005,INDEX(Техника!$H$1:$ABO$500,Q$2,0),"Л")</f>
        <v>0</v>
      </c>
      <c r="R1009" s="50">
        <f>SUMIFS(INDEX(Техника!$F$1:$ABM$500,R$2,0),Техника!$F$4:$ABM$4,"Часы",INDEX(Техника!$G$1:$ABN$500,R$2,0),$A$1005,INDEX(Техника!$H$1:$ABO$500,R$2,0),"Л")</f>
        <v>0</v>
      </c>
      <c r="S1009" s="50">
        <f>SUMIFS(INDEX(Техника!$F$1:$ABM$500,S$2,0),Техника!$F$4:$ABM$4,"Часы",INDEX(Техника!$G$1:$ABN$500,S$2,0),$A$1005,INDEX(Техника!$H$1:$ABO$500,S$2,0),"Л")</f>
        <v>0</v>
      </c>
      <c r="T1009" s="50">
        <f>SUMIFS(INDEX(Техника!$F$1:$ABM$500,T$2,0),Техника!$F$4:$ABM$4,"Часы",INDEX(Техника!$G$1:$ABN$500,T$2,0),$A$1005,INDEX(Техника!$H$1:$ABO$500,T$2,0),"Л")</f>
        <v>0</v>
      </c>
      <c r="U1009" s="50">
        <f>SUMIFS(INDEX(Техника!$F$1:$ABM$500,U$2,0),Техника!$F$4:$ABM$4,"Часы",INDEX(Техника!$G$1:$ABN$500,U$2,0),$A$1005,INDEX(Техника!$H$1:$ABO$500,U$2,0),"Л")</f>
        <v>0</v>
      </c>
      <c r="V1009" s="50">
        <f>SUMIFS(INDEX(Техника!$F$1:$ABM$500,V$2,0),Техника!$F$4:$ABM$4,"Часы",INDEX(Техника!$G$1:$ABN$500,V$2,0),$A$1005,INDEX(Техника!$H$1:$ABO$500,V$2,0),"Л")</f>
        <v>0</v>
      </c>
      <c r="W1009" s="50">
        <f>SUMIFS(INDEX(Техника!$F$1:$ABM$500,W$2,0),Техника!$F$4:$ABM$4,"Часы",INDEX(Техника!$G$1:$ABN$500,W$2,0),$A$1005,INDEX(Техника!$H$1:$ABO$500,W$2,0),"Л")</f>
        <v>0</v>
      </c>
      <c r="X1009" s="50">
        <f>SUMIFS(INDEX(Техника!$F$1:$ABM$500,X$2,0),Техника!$F$4:$ABM$4,"Часы",INDEX(Техника!$G$1:$ABN$500,X$2,0),$A$1005,INDEX(Техника!$H$1:$ABO$500,X$2,0),"Л")</f>
        <v>0</v>
      </c>
      <c r="Y1009" s="50">
        <f>SUMIFS(INDEX(Техника!$F$1:$ABM$500,Y$2,0),Техника!$F$4:$ABM$4,"Часы",INDEX(Техника!$G$1:$ABN$500,Y$2,0),$A$1005,INDEX(Техника!$H$1:$ABO$500,Y$2,0),"Л")</f>
        <v>0</v>
      </c>
      <c r="Z1009" s="50">
        <f>SUMIFS(INDEX(Техника!$F$1:$ABM$500,Z$2,0),Техника!$F$4:$ABM$4,"Часы",INDEX(Техника!$G$1:$ABN$500,Z$2,0),$A$1005,INDEX(Техника!$H$1:$ABO$500,Z$2,0),"Л")</f>
        <v>0</v>
      </c>
      <c r="AA1009" s="50">
        <f>SUMIFS(INDEX(Техника!$F$1:$ABM$500,AA$2,0),Техника!$F$4:$ABM$4,"Часы",INDEX(Техника!$G$1:$ABN$500,AA$2,0),$A$1005,INDEX(Техника!$H$1:$ABO$500,AA$2,0),"Л")</f>
        <v>0</v>
      </c>
      <c r="AB1009" s="50">
        <f>SUMIFS(INDEX(Техника!$F$1:$ABM$500,AB$2,0),Техника!$F$4:$ABM$4,"Часы",INDEX(Техника!$G$1:$ABN$500,AB$2,0),$A$1005,INDEX(Техника!$H$1:$ABO$500,AB$2,0),"Л")</f>
        <v>0</v>
      </c>
    </row>
    <row r="1010" spans="1:28" hidden="1" outlineLevel="1" x14ac:dyDescent="0.3">
      <c r="A1010" s="33" t="s">
        <v>245</v>
      </c>
      <c r="B1010" s="34" t="s">
        <v>279</v>
      </c>
      <c r="C1010" s="50">
        <f>SUMIFS(INDEX(Техника!$F$1:$ABM$500,C$2,0),Техника!$F$4:$ABM$4,"Часы",INDEX(Техника!$G$1:$ABN$500,C$2,0),$A$1005,INDEX(Техника!$H$1:$ABO$500,C$2,0),"З")</f>
        <v>0</v>
      </c>
      <c r="D1010" s="50">
        <f>SUMIFS(INDEX(Техника!$F$1:$ABM$500,D$2,0),Техника!$F$4:$ABM$4,"Часы",INDEX(Техника!$G$1:$ABN$500,D$2,0),$A$1005,INDEX(Техника!$H$1:$ABO$500,D$2,0),"З")</f>
        <v>0</v>
      </c>
      <c r="E1010" s="50">
        <f>SUMIFS(INDEX(Техника!$F$1:$ABM$500,E$2,0),Техника!$F$4:$ABM$4,"Часы",INDEX(Техника!$G$1:$ABN$500,E$2,0),$A$1005,INDEX(Техника!$H$1:$ABO$500,E$2,0),"З")</f>
        <v>0</v>
      </c>
      <c r="F1010" s="50">
        <f>SUMIFS(INDEX(Техника!$F$1:$ABM$500,F$2,0),Техника!$F$4:$ABM$4,"Часы",INDEX(Техника!$G$1:$ABN$500,F$2,0),$A$1005,INDEX(Техника!$H$1:$ABO$500,F$2,0),"З")</f>
        <v>0</v>
      </c>
      <c r="G1010" s="50">
        <f>SUMIFS(INDEX(Техника!$F$1:$ABM$500,G$2,0),Техника!$F$4:$ABM$4,"Часы",INDEX(Техника!$G$1:$ABN$500,G$2,0),$A$1005,INDEX(Техника!$H$1:$ABO$500,G$2,0),"З")</f>
        <v>0</v>
      </c>
      <c r="H1010" s="50">
        <f>SUMIFS(INDEX(Техника!$F$1:$ABM$500,H$2,0),Техника!$F$4:$ABM$4,"Часы",INDEX(Техника!$G$1:$ABN$500,H$2,0),$A$1005,INDEX(Техника!$H$1:$ABO$500,H$2,0),"З")</f>
        <v>0</v>
      </c>
      <c r="I1010" s="50">
        <f>SUMIFS(INDEX(Техника!$F$1:$ABM$500,I$2,0),Техника!$F$4:$ABM$4,"Часы",INDEX(Техника!$G$1:$ABN$500,I$2,0),$A$1005,INDEX(Техника!$H$1:$ABO$500,I$2,0),"З")</f>
        <v>0</v>
      </c>
      <c r="J1010" s="50">
        <f>SUMIFS(INDEX(Техника!$F$1:$ABM$500,J$2,0),Техника!$F$4:$ABM$4,"Часы",INDEX(Техника!$G$1:$ABN$500,J$2,0),$A$1005,INDEX(Техника!$H$1:$ABO$500,J$2,0),"З")</f>
        <v>0</v>
      </c>
      <c r="K1010" s="50">
        <f>SUMIFS(INDEX(Техника!$F$1:$ABM$500,K$2,0),Техника!$F$4:$ABM$4,"Часы",INDEX(Техника!$G$1:$ABN$500,K$2,0),$A$1005,INDEX(Техника!$H$1:$ABO$500,K$2,0),"З")</f>
        <v>0</v>
      </c>
      <c r="L1010" s="50">
        <f>SUMIFS(INDEX(Техника!$F$1:$ABM$500,L$2,0),Техника!$F$4:$ABM$4,"Часы",INDEX(Техника!$G$1:$ABN$500,L$2,0),$A$1005,INDEX(Техника!$H$1:$ABO$500,L$2,0),"З")</f>
        <v>0</v>
      </c>
      <c r="M1010" s="50">
        <f>SUMIFS(INDEX(Техника!$F$1:$ABM$500,M$2,0),Техника!$F$4:$ABM$4,"Часы",INDEX(Техника!$G$1:$ABN$500,M$2,0),$A$1005,INDEX(Техника!$H$1:$ABO$500,M$2,0),"З")</f>
        <v>0</v>
      </c>
      <c r="N1010" s="50">
        <f>SUMIFS(INDEX(Техника!$F$1:$ABM$500,N$2,0),Техника!$F$4:$ABM$4,"Часы",INDEX(Техника!$G$1:$ABN$500,N$2,0),$A$1005,INDEX(Техника!$H$1:$ABO$500,N$2,0),"З")</f>
        <v>0</v>
      </c>
      <c r="O1010" s="50">
        <f>SUMIFS(INDEX(Техника!$F$1:$ABM$500,O$2,0),Техника!$F$4:$ABM$4,"Часы",INDEX(Техника!$G$1:$ABN$500,O$2,0),$A$1005,INDEX(Техника!$H$1:$ABO$500,O$2,0),"З")</f>
        <v>0</v>
      </c>
      <c r="P1010" s="50">
        <f>SUMIFS(INDEX(Техника!$F$1:$ABM$500,P$2,0),Техника!$F$4:$ABM$4,"Часы",INDEX(Техника!$G$1:$ABN$500,P$2,0),$A$1005,INDEX(Техника!$H$1:$ABO$500,P$2,0),"З")</f>
        <v>0</v>
      </c>
      <c r="Q1010" s="50">
        <f>SUMIFS(INDEX(Техника!$F$1:$ABM$500,Q$2,0),Техника!$F$4:$ABM$4,"Часы",INDEX(Техника!$G$1:$ABN$500,Q$2,0),$A$1005,INDEX(Техника!$H$1:$ABO$500,Q$2,0),"З")</f>
        <v>0</v>
      </c>
      <c r="R1010" s="50">
        <f>SUMIFS(INDEX(Техника!$F$1:$ABM$500,R$2,0),Техника!$F$4:$ABM$4,"Часы",INDEX(Техника!$G$1:$ABN$500,R$2,0),$A$1005,INDEX(Техника!$H$1:$ABO$500,R$2,0),"З")</f>
        <v>0</v>
      </c>
      <c r="S1010" s="50">
        <f>SUMIFS(INDEX(Техника!$F$1:$ABM$500,S$2,0),Техника!$F$4:$ABM$4,"Часы",INDEX(Техника!$G$1:$ABN$500,S$2,0),$A$1005,INDEX(Техника!$H$1:$ABO$500,S$2,0),"З")</f>
        <v>0</v>
      </c>
      <c r="T1010" s="50">
        <f>SUMIFS(INDEX(Техника!$F$1:$ABM$500,T$2,0),Техника!$F$4:$ABM$4,"Часы",INDEX(Техника!$G$1:$ABN$500,T$2,0),$A$1005,INDEX(Техника!$H$1:$ABO$500,T$2,0),"З")</f>
        <v>0</v>
      </c>
      <c r="U1010" s="50">
        <f>SUMIFS(INDEX(Техника!$F$1:$ABM$500,U$2,0),Техника!$F$4:$ABM$4,"Часы",INDEX(Техника!$G$1:$ABN$500,U$2,0),$A$1005,INDEX(Техника!$H$1:$ABO$500,U$2,0),"З")</f>
        <v>0</v>
      </c>
      <c r="V1010" s="50">
        <f>SUMIFS(INDEX(Техника!$F$1:$ABM$500,V$2,0),Техника!$F$4:$ABM$4,"Часы",INDEX(Техника!$G$1:$ABN$500,V$2,0),$A$1005,INDEX(Техника!$H$1:$ABO$500,V$2,0),"З")</f>
        <v>0</v>
      </c>
      <c r="W1010" s="50">
        <f>SUMIFS(INDEX(Техника!$F$1:$ABM$500,W$2,0),Техника!$F$4:$ABM$4,"Часы",INDEX(Техника!$G$1:$ABN$500,W$2,0),$A$1005,INDEX(Техника!$H$1:$ABO$500,W$2,0),"З")</f>
        <v>0</v>
      </c>
      <c r="X1010" s="50">
        <f>SUMIFS(INDEX(Техника!$F$1:$ABM$500,X$2,0),Техника!$F$4:$ABM$4,"Часы",INDEX(Техника!$G$1:$ABN$500,X$2,0),$A$1005,INDEX(Техника!$H$1:$ABO$500,X$2,0),"З")</f>
        <v>0</v>
      </c>
      <c r="Y1010" s="50">
        <f>SUMIFS(INDEX(Техника!$F$1:$ABM$500,Y$2,0),Техника!$F$4:$ABM$4,"Часы",INDEX(Техника!$G$1:$ABN$500,Y$2,0),$A$1005,INDEX(Техника!$H$1:$ABO$500,Y$2,0),"З")</f>
        <v>0</v>
      </c>
      <c r="Z1010" s="50">
        <f>SUMIFS(INDEX(Техника!$F$1:$ABM$500,Z$2,0),Техника!$F$4:$ABM$4,"Часы",INDEX(Техника!$G$1:$ABN$500,Z$2,0),$A$1005,INDEX(Техника!$H$1:$ABO$500,Z$2,0),"З")</f>
        <v>0</v>
      </c>
      <c r="AA1010" s="50">
        <f>SUMIFS(INDEX(Техника!$F$1:$ABM$500,AA$2,0),Техника!$F$4:$ABM$4,"Часы",INDEX(Техника!$G$1:$ABN$500,AA$2,0),$A$1005,INDEX(Техника!$H$1:$ABO$500,AA$2,0),"З")</f>
        <v>0</v>
      </c>
      <c r="AB1010" s="50">
        <f>SUMIFS(INDEX(Техника!$F$1:$ABM$500,AB$2,0),Техника!$F$4:$ABM$4,"Часы",INDEX(Техника!$G$1:$ABN$500,AB$2,0),$A$1005,INDEX(Техника!$H$1:$ABO$500,AB$2,0),"З")</f>
        <v>0</v>
      </c>
    </row>
    <row r="1011" spans="1:28" ht="7.95" customHeight="1" x14ac:dyDescent="0.3">
      <c r="A1011" s="38"/>
      <c r="B1011" s="39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</row>
    <row r="1012" spans="1:28" ht="25.05" customHeight="1" collapsed="1" x14ac:dyDescent="0.3">
      <c r="A1012" s="32">
        <v>145</v>
      </c>
      <c r="B1012" s="32" t="s">
        <v>146</v>
      </c>
      <c r="C1012" s="49">
        <f>SUM(C1013:C1017)</f>
        <v>0</v>
      </c>
      <c r="D1012" s="49">
        <f>SUM(D1013:D1017)</f>
        <v>0</v>
      </c>
      <c r="E1012" s="49">
        <f>SUM(E1013:E1017)</f>
        <v>0</v>
      </c>
      <c r="F1012" s="49">
        <f>SUM(F1013:F1017)</f>
        <v>0</v>
      </c>
      <c r="G1012" s="49">
        <f>SUM(G1013:G1017)</f>
        <v>0</v>
      </c>
      <c r="H1012" s="49">
        <f>SUM(H1013:H1017)</f>
        <v>0</v>
      </c>
      <c r="I1012" s="49">
        <f>SUM(I1013:I1017)</f>
        <v>0</v>
      </c>
      <c r="J1012" s="49">
        <f>SUM(J1013:J1017)</f>
        <v>0</v>
      </c>
      <c r="K1012" s="49">
        <f>SUM(K1013:K1017)</f>
        <v>0</v>
      </c>
      <c r="L1012" s="49">
        <f>SUM(L1013:L1017)</f>
        <v>0</v>
      </c>
      <c r="M1012" s="49">
        <f>SUM(M1013:M1017)</f>
        <v>0</v>
      </c>
      <c r="N1012" s="49">
        <f>SUM(N1013:N1017)</f>
        <v>0</v>
      </c>
      <c r="O1012" s="49">
        <f>SUM(O1013:O1017)</f>
        <v>0</v>
      </c>
      <c r="P1012" s="49">
        <f>SUM(P1013:P1017)</f>
        <v>0</v>
      </c>
      <c r="Q1012" s="49">
        <f>SUM(Q1013:Q1017)</f>
        <v>0</v>
      </c>
      <c r="R1012" s="49">
        <f>SUM(R1013:R1017)</f>
        <v>0</v>
      </c>
      <c r="S1012" s="49">
        <f>SUM(S1013:S1017)</f>
        <v>0</v>
      </c>
      <c r="T1012" s="49">
        <f>SUM(T1013:T1017)</f>
        <v>0</v>
      </c>
      <c r="U1012" s="49">
        <f>SUM(U1013:U1017)</f>
        <v>0</v>
      </c>
      <c r="V1012" s="49">
        <f>SUM(V1013:V1017)</f>
        <v>0</v>
      </c>
      <c r="W1012" s="49">
        <f>SUM(W1013:W1017)</f>
        <v>0</v>
      </c>
      <c r="X1012" s="49">
        <f>SUM(X1013:X1017)</f>
        <v>0</v>
      </c>
      <c r="Y1012" s="49">
        <f>SUM(Y1013:Y1017)</f>
        <v>0</v>
      </c>
      <c r="Z1012" s="49">
        <f>SUM(Z1013:Z1017)</f>
        <v>0</v>
      </c>
      <c r="AA1012" s="49">
        <f>SUM(AA1013:AA1017)</f>
        <v>0</v>
      </c>
      <c r="AB1012" s="49">
        <f>SUM(AB1013:AB1017)</f>
        <v>0</v>
      </c>
    </row>
    <row r="1013" spans="1:28" hidden="1" outlineLevel="1" x14ac:dyDescent="0.3">
      <c r="A1013" s="33" t="s">
        <v>246</v>
      </c>
      <c r="B1013" s="34" t="s">
        <v>274</v>
      </c>
      <c r="C1013" s="50">
        <f>SUMIFS(INDEX(Техника!$F$1:$ABM$500,C$2,0),Техника!$F$4:$ABM$4,"Часы",INDEX(Техника!$G$1:$ABN$500,C$2,0),$A$1012,INDEX(Техника!$H$1:$ABO$500,C$2,0),"М")</f>
        <v>0</v>
      </c>
      <c r="D1013" s="50">
        <f>SUMIFS(INDEX(Техника!$F$1:$ABM$500,D$2,0),Техника!$F$4:$ABM$4,"Часы",INDEX(Техника!$G$1:$ABN$500,D$2,0),$A$1012,INDEX(Техника!$H$1:$ABO$500,D$2,0),"М")</f>
        <v>0</v>
      </c>
      <c r="E1013" s="50">
        <f>SUMIFS(INDEX(Техника!$F$1:$ABM$500,E$2,0),Техника!$F$4:$ABM$4,"Часы",INDEX(Техника!$G$1:$ABN$500,E$2,0),$A$1012,INDEX(Техника!$H$1:$ABO$500,E$2,0),"М")</f>
        <v>0</v>
      </c>
      <c r="F1013" s="50">
        <f>SUMIFS(INDEX(Техника!$F$1:$ABM$500,F$2,0),Техника!$F$4:$ABM$4,"Часы",INDEX(Техника!$G$1:$ABN$500,F$2,0),$A$1012,INDEX(Техника!$H$1:$ABO$500,F$2,0),"М")</f>
        <v>0</v>
      </c>
      <c r="G1013" s="50">
        <f>SUMIFS(INDEX(Техника!$F$1:$ABM$500,G$2,0),Техника!$F$4:$ABM$4,"Часы",INDEX(Техника!$G$1:$ABN$500,G$2,0),$A$1012,INDEX(Техника!$H$1:$ABO$500,G$2,0),"М")</f>
        <v>0</v>
      </c>
      <c r="H1013" s="50">
        <f>SUMIFS(INDEX(Техника!$F$1:$ABM$500,H$2,0),Техника!$F$4:$ABM$4,"Часы",INDEX(Техника!$G$1:$ABN$500,H$2,0),$A$1012,INDEX(Техника!$H$1:$ABO$500,H$2,0),"М")</f>
        <v>0</v>
      </c>
      <c r="I1013" s="50">
        <f>SUMIFS(INDEX(Техника!$F$1:$ABM$500,I$2,0),Техника!$F$4:$ABM$4,"Часы",INDEX(Техника!$G$1:$ABN$500,I$2,0),$A$1012,INDEX(Техника!$H$1:$ABO$500,I$2,0),"М")</f>
        <v>0</v>
      </c>
      <c r="J1013" s="50">
        <f>SUMIFS(INDEX(Техника!$F$1:$ABM$500,J$2,0),Техника!$F$4:$ABM$4,"Часы",INDEX(Техника!$G$1:$ABN$500,J$2,0),$A$1012,INDEX(Техника!$H$1:$ABO$500,J$2,0),"М")</f>
        <v>0</v>
      </c>
      <c r="K1013" s="50">
        <f>SUMIFS(INDEX(Техника!$F$1:$ABM$500,K$2,0),Техника!$F$4:$ABM$4,"Часы",INDEX(Техника!$G$1:$ABN$500,K$2,0),$A$1012,INDEX(Техника!$H$1:$ABO$500,K$2,0),"М")</f>
        <v>0</v>
      </c>
      <c r="L1013" s="50">
        <f>SUMIFS(INDEX(Техника!$F$1:$ABM$500,L$2,0),Техника!$F$4:$ABM$4,"Часы",INDEX(Техника!$G$1:$ABN$500,L$2,0),$A$1012,INDEX(Техника!$H$1:$ABO$500,L$2,0),"М")</f>
        <v>0</v>
      </c>
      <c r="M1013" s="50">
        <f>SUMIFS(INDEX(Техника!$F$1:$ABM$500,M$2,0),Техника!$F$4:$ABM$4,"Часы",INDEX(Техника!$G$1:$ABN$500,M$2,0),$A$1012,INDEX(Техника!$H$1:$ABO$500,M$2,0),"М")</f>
        <v>0</v>
      </c>
      <c r="N1013" s="50">
        <f>SUMIFS(INDEX(Техника!$F$1:$ABM$500,N$2,0),Техника!$F$4:$ABM$4,"Часы",INDEX(Техника!$G$1:$ABN$500,N$2,0),$A$1012,INDEX(Техника!$H$1:$ABO$500,N$2,0),"М")</f>
        <v>0</v>
      </c>
      <c r="O1013" s="50">
        <f>SUMIFS(INDEX(Техника!$F$1:$ABM$500,O$2,0),Техника!$F$4:$ABM$4,"Часы",INDEX(Техника!$G$1:$ABN$500,O$2,0),$A$1012,INDEX(Техника!$H$1:$ABO$500,O$2,0),"М")</f>
        <v>0</v>
      </c>
      <c r="P1013" s="50">
        <f>SUMIFS(INDEX(Техника!$F$1:$ABM$500,P$2,0),Техника!$F$4:$ABM$4,"Часы",INDEX(Техника!$G$1:$ABN$500,P$2,0),$A$1012,INDEX(Техника!$H$1:$ABO$500,P$2,0),"М")</f>
        <v>0</v>
      </c>
      <c r="Q1013" s="50">
        <f>SUMIFS(INDEX(Техника!$F$1:$ABM$500,Q$2,0),Техника!$F$4:$ABM$4,"Часы",INDEX(Техника!$G$1:$ABN$500,Q$2,0),$A$1012,INDEX(Техника!$H$1:$ABO$500,Q$2,0),"М")</f>
        <v>0</v>
      </c>
      <c r="R1013" s="50">
        <f>SUMIFS(INDEX(Техника!$F$1:$ABM$500,R$2,0),Техника!$F$4:$ABM$4,"Часы",INDEX(Техника!$G$1:$ABN$500,R$2,0),$A$1012,INDEX(Техника!$H$1:$ABO$500,R$2,0),"М")</f>
        <v>0</v>
      </c>
      <c r="S1013" s="50">
        <f>SUMIFS(INDEX(Техника!$F$1:$ABM$500,S$2,0),Техника!$F$4:$ABM$4,"Часы",INDEX(Техника!$G$1:$ABN$500,S$2,0),$A$1012,INDEX(Техника!$H$1:$ABO$500,S$2,0),"М")</f>
        <v>0</v>
      </c>
      <c r="T1013" s="50">
        <f>SUMIFS(INDEX(Техника!$F$1:$ABM$500,T$2,0),Техника!$F$4:$ABM$4,"Часы",INDEX(Техника!$G$1:$ABN$500,T$2,0),$A$1012,INDEX(Техника!$H$1:$ABO$500,T$2,0),"М")</f>
        <v>0</v>
      </c>
      <c r="U1013" s="50">
        <f>SUMIFS(INDEX(Техника!$F$1:$ABM$500,U$2,0),Техника!$F$4:$ABM$4,"Часы",INDEX(Техника!$G$1:$ABN$500,U$2,0),$A$1012,INDEX(Техника!$H$1:$ABO$500,U$2,0),"М")</f>
        <v>0</v>
      </c>
      <c r="V1013" s="50">
        <f>SUMIFS(INDEX(Техника!$F$1:$ABM$500,V$2,0),Техника!$F$4:$ABM$4,"Часы",INDEX(Техника!$G$1:$ABN$500,V$2,0),$A$1012,INDEX(Техника!$H$1:$ABO$500,V$2,0),"М")</f>
        <v>0</v>
      </c>
      <c r="W1013" s="50">
        <f>SUMIFS(INDEX(Техника!$F$1:$ABM$500,W$2,0),Техника!$F$4:$ABM$4,"Часы",INDEX(Техника!$G$1:$ABN$500,W$2,0),$A$1012,INDEX(Техника!$H$1:$ABO$500,W$2,0),"М")</f>
        <v>0</v>
      </c>
      <c r="X1013" s="50">
        <f>SUMIFS(INDEX(Техника!$F$1:$ABM$500,X$2,0),Техника!$F$4:$ABM$4,"Часы",INDEX(Техника!$G$1:$ABN$500,X$2,0),$A$1012,INDEX(Техника!$H$1:$ABO$500,X$2,0),"М")</f>
        <v>0</v>
      </c>
      <c r="Y1013" s="50">
        <f>SUMIFS(INDEX(Техника!$F$1:$ABM$500,Y$2,0),Техника!$F$4:$ABM$4,"Часы",INDEX(Техника!$G$1:$ABN$500,Y$2,0),$A$1012,INDEX(Техника!$H$1:$ABO$500,Y$2,0),"М")</f>
        <v>0</v>
      </c>
      <c r="Z1013" s="50">
        <f>SUMIFS(INDEX(Техника!$F$1:$ABM$500,Z$2,0),Техника!$F$4:$ABM$4,"Часы",INDEX(Техника!$G$1:$ABN$500,Z$2,0),$A$1012,INDEX(Техника!$H$1:$ABO$500,Z$2,0),"М")</f>
        <v>0</v>
      </c>
      <c r="AA1013" s="50">
        <f>SUMIFS(INDEX(Техника!$F$1:$ABM$500,AA$2,0),Техника!$F$4:$ABM$4,"Часы",INDEX(Техника!$G$1:$ABN$500,AA$2,0),$A$1012,INDEX(Техника!$H$1:$ABO$500,AA$2,0),"М")</f>
        <v>0</v>
      </c>
      <c r="AB1013" s="50">
        <f>SUMIFS(INDEX(Техника!$F$1:$ABM$500,AB$2,0),Техника!$F$4:$ABM$4,"Часы",INDEX(Техника!$G$1:$ABN$500,AB$2,0),$A$1012,INDEX(Техника!$H$1:$ABO$500,AB$2,0),"М")</f>
        <v>0</v>
      </c>
    </row>
    <row r="1014" spans="1:28" hidden="1" outlineLevel="1" x14ac:dyDescent="0.3">
      <c r="A1014" s="33" t="s">
        <v>244</v>
      </c>
      <c r="B1014" s="34" t="s">
        <v>275</v>
      </c>
      <c r="C1014" s="50">
        <f>SUMIFS(INDEX(Техника!$F$1:$ABM$500,C$2,0),Техника!$F$4:$ABM$4,"Часы",INDEX(Техника!$G$1:$ABN$500,C$2,0),$A$1012,INDEX(Техника!$H$1:$ABO$500,C$2,0),"Д")</f>
        <v>0</v>
      </c>
      <c r="D1014" s="50">
        <f>SUMIFS(INDEX(Техника!$F$1:$ABM$500,D$2,0),Техника!$F$4:$ABM$4,"Часы",INDEX(Техника!$G$1:$ABN$500,D$2,0),$A$1012,INDEX(Техника!$H$1:$ABO$500,D$2,0),"Д")</f>
        <v>0</v>
      </c>
      <c r="E1014" s="50">
        <f>SUMIFS(INDEX(Техника!$F$1:$ABM$500,E$2,0),Техника!$F$4:$ABM$4,"Часы",INDEX(Техника!$G$1:$ABN$500,E$2,0),$A$1012,INDEX(Техника!$H$1:$ABO$500,E$2,0),"Д")</f>
        <v>0</v>
      </c>
      <c r="F1014" s="50">
        <f>SUMIFS(INDEX(Техника!$F$1:$ABM$500,F$2,0),Техника!$F$4:$ABM$4,"Часы",INDEX(Техника!$G$1:$ABN$500,F$2,0),$A$1012,INDEX(Техника!$H$1:$ABO$500,F$2,0),"Д")</f>
        <v>0</v>
      </c>
      <c r="G1014" s="50">
        <f>SUMIFS(INDEX(Техника!$F$1:$ABM$500,G$2,0),Техника!$F$4:$ABM$4,"Часы",INDEX(Техника!$G$1:$ABN$500,G$2,0),$A$1012,INDEX(Техника!$H$1:$ABO$500,G$2,0),"Д")</f>
        <v>0</v>
      </c>
      <c r="H1014" s="50">
        <f>SUMIFS(INDEX(Техника!$F$1:$ABM$500,H$2,0),Техника!$F$4:$ABM$4,"Часы",INDEX(Техника!$G$1:$ABN$500,H$2,0),$A$1012,INDEX(Техника!$H$1:$ABO$500,H$2,0),"Д")</f>
        <v>0</v>
      </c>
      <c r="I1014" s="50">
        <f>SUMIFS(INDEX(Техника!$F$1:$ABM$500,I$2,0),Техника!$F$4:$ABM$4,"Часы",INDEX(Техника!$G$1:$ABN$500,I$2,0),$A$1012,INDEX(Техника!$H$1:$ABO$500,I$2,0),"Д")</f>
        <v>0</v>
      </c>
      <c r="J1014" s="50">
        <f>SUMIFS(INDEX(Техника!$F$1:$ABM$500,J$2,0),Техника!$F$4:$ABM$4,"Часы",INDEX(Техника!$G$1:$ABN$500,J$2,0),$A$1012,INDEX(Техника!$H$1:$ABO$500,J$2,0),"Д")</f>
        <v>0</v>
      </c>
      <c r="K1014" s="50">
        <f>SUMIFS(INDEX(Техника!$F$1:$ABM$500,K$2,0),Техника!$F$4:$ABM$4,"Часы",INDEX(Техника!$G$1:$ABN$500,K$2,0),$A$1012,INDEX(Техника!$H$1:$ABO$500,K$2,0),"Д")</f>
        <v>0</v>
      </c>
      <c r="L1014" s="50">
        <f>SUMIFS(INDEX(Техника!$F$1:$ABM$500,L$2,0),Техника!$F$4:$ABM$4,"Часы",INDEX(Техника!$G$1:$ABN$500,L$2,0),$A$1012,INDEX(Техника!$H$1:$ABO$500,L$2,0),"Д")</f>
        <v>0</v>
      </c>
      <c r="M1014" s="50">
        <f>SUMIFS(INDEX(Техника!$F$1:$ABM$500,M$2,0),Техника!$F$4:$ABM$4,"Часы",INDEX(Техника!$G$1:$ABN$500,M$2,0),$A$1012,INDEX(Техника!$H$1:$ABO$500,M$2,0),"Д")</f>
        <v>0</v>
      </c>
      <c r="N1014" s="50">
        <f>SUMIFS(INDEX(Техника!$F$1:$ABM$500,N$2,0),Техника!$F$4:$ABM$4,"Часы",INDEX(Техника!$G$1:$ABN$500,N$2,0),$A$1012,INDEX(Техника!$H$1:$ABO$500,N$2,0),"Д")</f>
        <v>0</v>
      </c>
      <c r="O1014" s="50">
        <f>SUMIFS(INDEX(Техника!$F$1:$ABM$500,O$2,0),Техника!$F$4:$ABM$4,"Часы",INDEX(Техника!$G$1:$ABN$500,O$2,0),$A$1012,INDEX(Техника!$H$1:$ABO$500,O$2,0),"Д")</f>
        <v>0</v>
      </c>
      <c r="P1014" s="50">
        <f>SUMIFS(INDEX(Техника!$F$1:$ABM$500,P$2,0),Техника!$F$4:$ABM$4,"Часы",INDEX(Техника!$G$1:$ABN$500,P$2,0),$A$1012,INDEX(Техника!$H$1:$ABO$500,P$2,0),"Д")</f>
        <v>0</v>
      </c>
      <c r="Q1014" s="50">
        <f>SUMIFS(INDEX(Техника!$F$1:$ABM$500,Q$2,0),Техника!$F$4:$ABM$4,"Часы",INDEX(Техника!$G$1:$ABN$500,Q$2,0),$A$1012,INDEX(Техника!$H$1:$ABO$500,Q$2,0),"Д")</f>
        <v>0</v>
      </c>
      <c r="R1014" s="50">
        <f>SUMIFS(INDEX(Техника!$F$1:$ABM$500,R$2,0),Техника!$F$4:$ABM$4,"Часы",INDEX(Техника!$G$1:$ABN$500,R$2,0),$A$1012,INDEX(Техника!$H$1:$ABO$500,R$2,0),"Д")</f>
        <v>0</v>
      </c>
      <c r="S1014" s="50">
        <f>SUMIFS(INDEX(Техника!$F$1:$ABM$500,S$2,0),Техника!$F$4:$ABM$4,"Часы",INDEX(Техника!$G$1:$ABN$500,S$2,0),$A$1012,INDEX(Техника!$H$1:$ABO$500,S$2,0),"Д")</f>
        <v>0</v>
      </c>
      <c r="T1014" s="50">
        <f>SUMIFS(INDEX(Техника!$F$1:$ABM$500,T$2,0),Техника!$F$4:$ABM$4,"Часы",INDEX(Техника!$G$1:$ABN$500,T$2,0),$A$1012,INDEX(Техника!$H$1:$ABO$500,T$2,0),"Д")</f>
        <v>0</v>
      </c>
      <c r="U1014" s="50">
        <f>SUMIFS(INDEX(Техника!$F$1:$ABM$500,U$2,0),Техника!$F$4:$ABM$4,"Часы",INDEX(Техника!$G$1:$ABN$500,U$2,0),$A$1012,INDEX(Техника!$H$1:$ABO$500,U$2,0),"Д")</f>
        <v>0</v>
      </c>
      <c r="V1014" s="50">
        <f>SUMIFS(INDEX(Техника!$F$1:$ABM$500,V$2,0),Техника!$F$4:$ABM$4,"Часы",INDEX(Техника!$G$1:$ABN$500,V$2,0),$A$1012,INDEX(Техника!$H$1:$ABO$500,V$2,0),"Д")</f>
        <v>0</v>
      </c>
      <c r="W1014" s="50">
        <f>SUMIFS(INDEX(Техника!$F$1:$ABM$500,W$2,0),Техника!$F$4:$ABM$4,"Часы",INDEX(Техника!$G$1:$ABN$500,W$2,0),$A$1012,INDEX(Техника!$H$1:$ABO$500,W$2,0),"Д")</f>
        <v>0</v>
      </c>
      <c r="X1014" s="50">
        <f>SUMIFS(INDEX(Техника!$F$1:$ABM$500,X$2,0),Техника!$F$4:$ABM$4,"Часы",INDEX(Техника!$G$1:$ABN$500,X$2,0),$A$1012,INDEX(Техника!$H$1:$ABO$500,X$2,0),"Д")</f>
        <v>0</v>
      </c>
      <c r="Y1014" s="50">
        <f>SUMIFS(INDEX(Техника!$F$1:$ABM$500,Y$2,0),Техника!$F$4:$ABM$4,"Часы",INDEX(Техника!$G$1:$ABN$500,Y$2,0),$A$1012,INDEX(Техника!$H$1:$ABO$500,Y$2,0),"Д")</f>
        <v>0</v>
      </c>
      <c r="Z1014" s="50">
        <f>SUMIFS(INDEX(Техника!$F$1:$ABM$500,Z$2,0),Техника!$F$4:$ABM$4,"Часы",INDEX(Техника!$G$1:$ABN$500,Z$2,0),$A$1012,INDEX(Техника!$H$1:$ABO$500,Z$2,0),"Д")</f>
        <v>0</v>
      </c>
      <c r="AA1014" s="50">
        <f>SUMIFS(INDEX(Техника!$F$1:$ABM$500,AA$2,0),Техника!$F$4:$ABM$4,"Часы",INDEX(Техника!$G$1:$ABN$500,AA$2,0),$A$1012,INDEX(Техника!$H$1:$ABO$500,AA$2,0),"Д")</f>
        <v>0</v>
      </c>
      <c r="AB1014" s="50">
        <f>SUMIFS(INDEX(Техника!$F$1:$ABM$500,AB$2,0),Техника!$F$4:$ABM$4,"Часы",INDEX(Техника!$G$1:$ABN$500,AB$2,0),$A$1012,INDEX(Техника!$H$1:$ABO$500,AB$2,0),"Д")</f>
        <v>0</v>
      </c>
    </row>
    <row r="1015" spans="1:28" hidden="1" outlineLevel="1" x14ac:dyDescent="0.3">
      <c r="A1015" s="33" t="s">
        <v>276</v>
      </c>
      <c r="B1015" s="34" t="s">
        <v>277</v>
      </c>
      <c r="C1015" s="50">
        <f>SUMIFS(INDEX(Техника!$F$1:$ABM$500,C$2,0),Техника!$F$4:$ABM$4,"Часы",INDEX(Техника!$G$1:$ABN$500,C$2,0),$A$1012,INDEX(Техника!$H$1:$ABO$500,C$2,0),"П")</f>
        <v>0</v>
      </c>
      <c r="D1015" s="50">
        <f>SUMIFS(INDEX(Техника!$F$1:$ABM$500,D$2,0),Техника!$F$4:$ABM$4,"Часы",INDEX(Техника!$G$1:$ABN$500,D$2,0),$A$1012,INDEX(Техника!$H$1:$ABO$500,D$2,0),"П")</f>
        <v>0</v>
      </c>
      <c r="E1015" s="50">
        <f>SUMIFS(INDEX(Техника!$F$1:$ABM$500,E$2,0),Техника!$F$4:$ABM$4,"Часы",INDEX(Техника!$G$1:$ABN$500,E$2,0),$A$1012,INDEX(Техника!$H$1:$ABO$500,E$2,0),"П")</f>
        <v>0</v>
      </c>
      <c r="F1015" s="50">
        <f>SUMIFS(INDEX(Техника!$F$1:$ABM$500,F$2,0),Техника!$F$4:$ABM$4,"Часы",INDEX(Техника!$G$1:$ABN$500,F$2,0),$A$1012,INDEX(Техника!$H$1:$ABO$500,F$2,0),"П")</f>
        <v>0</v>
      </c>
      <c r="G1015" s="50">
        <f>SUMIFS(INDEX(Техника!$F$1:$ABM$500,G$2,0),Техника!$F$4:$ABM$4,"Часы",INDEX(Техника!$G$1:$ABN$500,G$2,0),$A$1012,INDEX(Техника!$H$1:$ABO$500,G$2,0),"П")</f>
        <v>0</v>
      </c>
      <c r="H1015" s="50">
        <f>SUMIFS(INDEX(Техника!$F$1:$ABM$500,H$2,0),Техника!$F$4:$ABM$4,"Часы",INDEX(Техника!$G$1:$ABN$500,H$2,0),$A$1012,INDEX(Техника!$H$1:$ABO$500,H$2,0),"П")</f>
        <v>0</v>
      </c>
      <c r="I1015" s="50">
        <f>SUMIFS(INDEX(Техника!$F$1:$ABM$500,I$2,0),Техника!$F$4:$ABM$4,"Часы",INDEX(Техника!$G$1:$ABN$500,I$2,0),$A$1012,INDEX(Техника!$H$1:$ABO$500,I$2,0),"П")</f>
        <v>0</v>
      </c>
      <c r="J1015" s="50">
        <f>SUMIFS(INDEX(Техника!$F$1:$ABM$500,J$2,0),Техника!$F$4:$ABM$4,"Часы",INDEX(Техника!$G$1:$ABN$500,J$2,0),$A$1012,INDEX(Техника!$H$1:$ABO$500,J$2,0),"П")</f>
        <v>0</v>
      </c>
      <c r="K1015" s="50">
        <f>SUMIFS(INDEX(Техника!$F$1:$ABM$500,K$2,0),Техника!$F$4:$ABM$4,"Часы",INDEX(Техника!$G$1:$ABN$500,K$2,0),$A$1012,INDEX(Техника!$H$1:$ABO$500,K$2,0),"П")</f>
        <v>0</v>
      </c>
      <c r="L1015" s="50">
        <f>SUMIFS(INDEX(Техника!$F$1:$ABM$500,L$2,0),Техника!$F$4:$ABM$4,"Часы",INDEX(Техника!$G$1:$ABN$500,L$2,0),$A$1012,INDEX(Техника!$H$1:$ABO$500,L$2,0),"П")</f>
        <v>0</v>
      </c>
      <c r="M1015" s="50">
        <f>SUMIFS(INDEX(Техника!$F$1:$ABM$500,M$2,0),Техника!$F$4:$ABM$4,"Часы",INDEX(Техника!$G$1:$ABN$500,M$2,0),$A$1012,INDEX(Техника!$H$1:$ABO$500,M$2,0),"П")</f>
        <v>0</v>
      </c>
      <c r="N1015" s="50">
        <f>SUMIFS(INDEX(Техника!$F$1:$ABM$500,N$2,0),Техника!$F$4:$ABM$4,"Часы",INDEX(Техника!$G$1:$ABN$500,N$2,0),$A$1012,INDEX(Техника!$H$1:$ABO$500,N$2,0),"П")</f>
        <v>0</v>
      </c>
      <c r="O1015" s="50">
        <f>SUMIFS(INDEX(Техника!$F$1:$ABM$500,O$2,0),Техника!$F$4:$ABM$4,"Часы",INDEX(Техника!$G$1:$ABN$500,O$2,0),$A$1012,INDEX(Техника!$H$1:$ABO$500,O$2,0),"П")</f>
        <v>0</v>
      </c>
      <c r="P1015" s="50">
        <f>SUMIFS(INDEX(Техника!$F$1:$ABM$500,P$2,0),Техника!$F$4:$ABM$4,"Часы",INDEX(Техника!$G$1:$ABN$500,P$2,0),$A$1012,INDEX(Техника!$H$1:$ABO$500,P$2,0),"П")</f>
        <v>0</v>
      </c>
      <c r="Q1015" s="50">
        <f>SUMIFS(INDEX(Техника!$F$1:$ABM$500,Q$2,0),Техника!$F$4:$ABM$4,"Часы",INDEX(Техника!$G$1:$ABN$500,Q$2,0),$A$1012,INDEX(Техника!$H$1:$ABO$500,Q$2,0),"П")</f>
        <v>0</v>
      </c>
      <c r="R1015" s="50">
        <f>SUMIFS(INDEX(Техника!$F$1:$ABM$500,R$2,0),Техника!$F$4:$ABM$4,"Часы",INDEX(Техника!$G$1:$ABN$500,R$2,0),$A$1012,INDEX(Техника!$H$1:$ABO$500,R$2,0),"П")</f>
        <v>0</v>
      </c>
      <c r="S1015" s="50">
        <f>SUMIFS(INDEX(Техника!$F$1:$ABM$500,S$2,0),Техника!$F$4:$ABM$4,"Часы",INDEX(Техника!$G$1:$ABN$500,S$2,0),$A$1012,INDEX(Техника!$H$1:$ABO$500,S$2,0),"П")</f>
        <v>0</v>
      </c>
      <c r="T1015" s="50">
        <f>SUMIFS(INDEX(Техника!$F$1:$ABM$500,T$2,0),Техника!$F$4:$ABM$4,"Часы",INDEX(Техника!$G$1:$ABN$500,T$2,0),$A$1012,INDEX(Техника!$H$1:$ABO$500,T$2,0),"П")</f>
        <v>0</v>
      </c>
      <c r="U1015" s="50">
        <f>SUMIFS(INDEX(Техника!$F$1:$ABM$500,U$2,0),Техника!$F$4:$ABM$4,"Часы",INDEX(Техника!$G$1:$ABN$500,U$2,0),$A$1012,INDEX(Техника!$H$1:$ABO$500,U$2,0),"П")</f>
        <v>0</v>
      </c>
      <c r="V1015" s="50">
        <f>SUMIFS(INDEX(Техника!$F$1:$ABM$500,V$2,0),Техника!$F$4:$ABM$4,"Часы",INDEX(Техника!$G$1:$ABN$500,V$2,0),$A$1012,INDEX(Техника!$H$1:$ABO$500,V$2,0),"П")</f>
        <v>0</v>
      </c>
      <c r="W1015" s="50">
        <f>SUMIFS(INDEX(Техника!$F$1:$ABM$500,W$2,0),Техника!$F$4:$ABM$4,"Часы",INDEX(Техника!$G$1:$ABN$500,W$2,0),$A$1012,INDEX(Техника!$H$1:$ABO$500,W$2,0),"П")</f>
        <v>0</v>
      </c>
      <c r="X1015" s="50">
        <f>SUMIFS(INDEX(Техника!$F$1:$ABM$500,X$2,0),Техника!$F$4:$ABM$4,"Часы",INDEX(Техника!$G$1:$ABN$500,X$2,0),$A$1012,INDEX(Техника!$H$1:$ABO$500,X$2,0),"П")</f>
        <v>0</v>
      </c>
      <c r="Y1015" s="50">
        <f>SUMIFS(INDEX(Техника!$F$1:$ABM$500,Y$2,0),Техника!$F$4:$ABM$4,"Часы",INDEX(Техника!$G$1:$ABN$500,Y$2,0),$A$1012,INDEX(Техника!$H$1:$ABO$500,Y$2,0),"П")</f>
        <v>0</v>
      </c>
      <c r="Z1015" s="50">
        <f>SUMIFS(INDEX(Техника!$F$1:$ABM$500,Z$2,0),Техника!$F$4:$ABM$4,"Часы",INDEX(Техника!$G$1:$ABN$500,Z$2,0),$A$1012,INDEX(Техника!$H$1:$ABO$500,Z$2,0),"П")</f>
        <v>0</v>
      </c>
      <c r="AA1015" s="50">
        <f>SUMIFS(INDEX(Техника!$F$1:$ABM$500,AA$2,0),Техника!$F$4:$ABM$4,"Часы",INDEX(Техника!$G$1:$ABN$500,AA$2,0),$A$1012,INDEX(Техника!$H$1:$ABO$500,AA$2,0),"П")</f>
        <v>0</v>
      </c>
      <c r="AB1015" s="50">
        <f>SUMIFS(INDEX(Техника!$F$1:$ABM$500,AB$2,0),Техника!$F$4:$ABM$4,"Часы",INDEX(Техника!$G$1:$ABN$500,AB$2,0),$A$1012,INDEX(Техника!$H$1:$ABO$500,AB$2,0),"П")</f>
        <v>0</v>
      </c>
    </row>
    <row r="1016" spans="1:28" hidden="1" outlineLevel="1" x14ac:dyDescent="0.3">
      <c r="A1016" s="33" t="s">
        <v>243</v>
      </c>
      <c r="B1016" s="34" t="s">
        <v>278</v>
      </c>
      <c r="C1016" s="50">
        <f>SUMIFS(INDEX(Техника!$F$1:$ABM$500,C$2,0),Техника!$F$4:$ABM$4,"Часы",INDEX(Техника!$G$1:$ABN$500,C$2,0),$A$1012,INDEX(Техника!$H$1:$ABO$500,C$2,0),"Л")</f>
        <v>0</v>
      </c>
      <c r="D1016" s="50">
        <f>SUMIFS(INDEX(Техника!$F$1:$ABM$500,D$2,0),Техника!$F$4:$ABM$4,"Часы",INDEX(Техника!$G$1:$ABN$500,D$2,0),$A$1012,INDEX(Техника!$H$1:$ABO$500,D$2,0),"Л")</f>
        <v>0</v>
      </c>
      <c r="E1016" s="50">
        <f>SUMIFS(INDEX(Техника!$F$1:$ABM$500,E$2,0),Техника!$F$4:$ABM$4,"Часы",INDEX(Техника!$G$1:$ABN$500,E$2,0),$A$1012,INDEX(Техника!$H$1:$ABO$500,E$2,0),"Л")</f>
        <v>0</v>
      </c>
      <c r="F1016" s="50">
        <f>SUMIFS(INDEX(Техника!$F$1:$ABM$500,F$2,0),Техника!$F$4:$ABM$4,"Часы",INDEX(Техника!$G$1:$ABN$500,F$2,0),$A$1012,INDEX(Техника!$H$1:$ABO$500,F$2,0),"Л")</f>
        <v>0</v>
      </c>
      <c r="G1016" s="50">
        <f>SUMIFS(INDEX(Техника!$F$1:$ABM$500,G$2,0),Техника!$F$4:$ABM$4,"Часы",INDEX(Техника!$G$1:$ABN$500,G$2,0),$A$1012,INDEX(Техника!$H$1:$ABO$500,G$2,0),"Л")</f>
        <v>0</v>
      </c>
      <c r="H1016" s="50">
        <f>SUMIFS(INDEX(Техника!$F$1:$ABM$500,H$2,0),Техника!$F$4:$ABM$4,"Часы",INDEX(Техника!$G$1:$ABN$500,H$2,0),$A$1012,INDEX(Техника!$H$1:$ABO$500,H$2,0),"Л")</f>
        <v>0</v>
      </c>
      <c r="I1016" s="50">
        <f>SUMIFS(INDEX(Техника!$F$1:$ABM$500,I$2,0),Техника!$F$4:$ABM$4,"Часы",INDEX(Техника!$G$1:$ABN$500,I$2,0),$A$1012,INDEX(Техника!$H$1:$ABO$500,I$2,0),"Л")</f>
        <v>0</v>
      </c>
      <c r="J1016" s="50">
        <f>SUMIFS(INDEX(Техника!$F$1:$ABM$500,J$2,0),Техника!$F$4:$ABM$4,"Часы",INDEX(Техника!$G$1:$ABN$500,J$2,0),$A$1012,INDEX(Техника!$H$1:$ABO$500,J$2,0),"Л")</f>
        <v>0</v>
      </c>
      <c r="K1016" s="50">
        <f>SUMIFS(INDEX(Техника!$F$1:$ABM$500,K$2,0),Техника!$F$4:$ABM$4,"Часы",INDEX(Техника!$G$1:$ABN$500,K$2,0),$A$1012,INDEX(Техника!$H$1:$ABO$500,K$2,0),"Л")</f>
        <v>0</v>
      </c>
      <c r="L1016" s="50">
        <f>SUMIFS(INDEX(Техника!$F$1:$ABM$500,L$2,0),Техника!$F$4:$ABM$4,"Часы",INDEX(Техника!$G$1:$ABN$500,L$2,0),$A$1012,INDEX(Техника!$H$1:$ABO$500,L$2,0),"Л")</f>
        <v>0</v>
      </c>
      <c r="M1016" s="50">
        <f>SUMIFS(INDEX(Техника!$F$1:$ABM$500,M$2,0),Техника!$F$4:$ABM$4,"Часы",INDEX(Техника!$G$1:$ABN$500,M$2,0),$A$1012,INDEX(Техника!$H$1:$ABO$500,M$2,0),"Л")</f>
        <v>0</v>
      </c>
      <c r="N1016" s="50">
        <f>SUMIFS(INDEX(Техника!$F$1:$ABM$500,N$2,0),Техника!$F$4:$ABM$4,"Часы",INDEX(Техника!$G$1:$ABN$500,N$2,0),$A$1012,INDEX(Техника!$H$1:$ABO$500,N$2,0),"Л")</f>
        <v>0</v>
      </c>
      <c r="O1016" s="50">
        <f>SUMIFS(INDEX(Техника!$F$1:$ABM$500,O$2,0),Техника!$F$4:$ABM$4,"Часы",INDEX(Техника!$G$1:$ABN$500,O$2,0),$A$1012,INDEX(Техника!$H$1:$ABO$500,O$2,0),"Л")</f>
        <v>0</v>
      </c>
      <c r="P1016" s="50">
        <f>SUMIFS(INDEX(Техника!$F$1:$ABM$500,P$2,0),Техника!$F$4:$ABM$4,"Часы",INDEX(Техника!$G$1:$ABN$500,P$2,0),$A$1012,INDEX(Техника!$H$1:$ABO$500,P$2,0),"Л")</f>
        <v>0</v>
      </c>
      <c r="Q1016" s="50">
        <f>SUMIFS(INDEX(Техника!$F$1:$ABM$500,Q$2,0),Техника!$F$4:$ABM$4,"Часы",INDEX(Техника!$G$1:$ABN$500,Q$2,0),$A$1012,INDEX(Техника!$H$1:$ABO$500,Q$2,0),"Л")</f>
        <v>0</v>
      </c>
      <c r="R1016" s="50">
        <f>SUMIFS(INDEX(Техника!$F$1:$ABM$500,R$2,0),Техника!$F$4:$ABM$4,"Часы",INDEX(Техника!$G$1:$ABN$500,R$2,0),$A$1012,INDEX(Техника!$H$1:$ABO$500,R$2,0),"Л")</f>
        <v>0</v>
      </c>
      <c r="S1016" s="50">
        <f>SUMIFS(INDEX(Техника!$F$1:$ABM$500,S$2,0),Техника!$F$4:$ABM$4,"Часы",INDEX(Техника!$G$1:$ABN$500,S$2,0),$A$1012,INDEX(Техника!$H$1:$ABO$500,S$2,0),"Л")</f>
        <v>0</v>
      </c>
      <c r="T1016" s="50">
        <f>SUMIFS(INDEX(Техника!$F$1:$ABM$500,T$2,0),Техника!$F$4:$ABM$4,"Часы",INDEX(Техника!$G$1:$ABN$500,T$2,0),$A$1012,INDEX(Техника!$H$1:$ABO$500,T$2,0),"Л")</f>
        <v>0</v>
      </c>
      <c r="U1016" s="50">
        <f>SUMIFS(INDEX(Техника!$F$1:$ABM$500,U$2,0),Техника!$F$4:$ABM$4,"Часы",INDEX(Техника!$G$1:$ABN$500,U$2,0),$A$1012,INDEX(Техника!$H$1:$ABO$500,U$2,0),"Л")</f>
        <v>0</v>
      </c>
      <c r="V1016" s="50">
        <f>SUMIFS(INDEX(Техника!$F$1:$ABM$500,V$2,0),Техника!$F$4:$ABM$4,"Часы",INDEX(Техника!$G$1:$ABN$500,V$2,0),$A$1012,INDEX(Техника!$H$1:$ABO$500,V$2,0),"Л")</f>
        <v>0</v>
      </c>
      <c r="W1016" s="50">
        <f>SUMIFS(INDEX(Техника!$F$1:$ABM$500,W$2,0),Техника!$F$4:$ABM$4,"Часы",INDEX(Техника!$G$1:$ABN$500,W$2,0),$A$1012,INDEX(Техника!$H$1:$ABO$500,W$2,0),"Л")</f>
        <v>0</v>
      </c>
      <c r="X1016" s="50">
        <f>SUMIFS(INDEX(Техника!$F$1:$ABM$500,X$2,0),Техника!$F$4:$ABM$4,"Часы",INDEX(Техника!$G$1:$ABN$500,X$2,0),$A$1012,INDEX(Техника!$H$1:$ABO$500,X$2,0),"Л")</f>
        <v>0</v>
      </c>
      <c r="Y1016" s="50">
        <f>SUMIFS(INDEX(Техника!$F$1:$ABM$500,Y$2,0),Техника!$F$4:$ABM$4,"Часы",INDEX(Техника!$G$1:$ABN$500,Y$2,0),$A$1012,INDEX(Техника!$H$1:$ABO$500,Y$2,0),"Л")</f>
        <v>0</v>
      </c>
      <c r="Z1016" s="50">
        <f>SUMIFS(INDEX(Техника!$F$1:$ABM$500,Z$2,0),Техника!$F$4:$ABM$4,"Часы",INDEX(Техника!$G$1:$ABN$500,Z$2,0),$A$1012,INDEX(Техника!$H$1:$ABO$500,Z$2,0),"Л")</f>
        <v>0</v>
      </c>
      <c r="AA1016" s="50">
        <f>SUMIFS(INDEX(Техника!$F$1:$ABM$500,AA$2,0),Техника!$F$4:$ABM$4,"Часы",INDEX(Техника!$G$1:$ABN$500,AA$2,0),$A$1012,INDEX(Техника!$H$1:$ABO$500,AA$2,0),"Л")</f>
        <v>0</v>
      </c>
      <c r="AB1016" s="50">
        <f>SUMIFS(INDEX(Техника!$F$1:$ABM$500,AB$2,0),Техника!$F$4:$ABM$4,"Часы",INDEX(Техника!$G$1:$ABN$500,AB$2,0),$A$1012,INDEX(Техника!$H$1:$ABO$500,AB$2,0),"Л")</f>
        <v>0</v>
      </c>
    </row>
    <row r="1017" spans="1:28" hidden="1" outlineLevel="1" x14ac:dyDescent="0.3">
      <c r="A1017" s="33" t="s">
        <v>245</v>
      </c>
      <c r="B1017" s="34" t="s">
        <v>279</v>
      </c>
      <c r="C1017" s="50">
        <f>SUMIFS(INDEX(Техника!$F$1:$ABM$500,C$2,0),Техника!$F$4:$ABM$4,"Часы",INDEX(Техника!$G$1:$ABN$500,C$2,0),$A$1012,INDEX(Техника!$H$1:$ABO$500,C$2,0),"З")</f>
        <v>0</v>
      </c>
      <c r="D1017" s="50">
        <f>SUMIFS(INDEX(Техника!$F$1:$ABM$500,D$2,0),Техника!$F$4:$ABM$4,"Часы",INDEX(Техника!$G$1:$ABN$500,D$2,0),$A$1012,INDEX(Техника!$H$1:$ABO$500,D$2,0),"З")</f>
        <v>0</v>
      </c>
      <c r="E1017" s="50">
        <f>SUMIFS(INDEX(Техника!$F$1:$ABM$500,E$2,0),Техника!$F$4:$ABM$4,"Часы",INDEX(Техника!$G$1:$ABN$500,E$2,0),$A$1012,INDEX(Техника!$H$1:$ABO$500,E$2,0),"З")</f>
        <v>0</v>
      </c>
      <c r="F1017" s="50">
        <f>SUMIFS(INDEX(Техника!$F$1:$ABM$500,F$2,0),Техника!$F$4:$ABM$4,"Часы",INDEX(Техника!$G$1:$ABN$500,F$2,0),$A$1012,INDEX(Техника!$H$1:$ABO$500,F$2,0),"З")</f>
        <v>0</v>
      </c>
      <c r="G1017" s="50">
        <f>SUMIFS(INDEX(Техника!$F$1:$ABM$500,G$2,0),Техника!$F$4:$ABM$4,"Часы",INDEX(Техника!$G$1:$ABN$500,G$2,0),$A$1012,INDEX(Техника!$H$1:$ABO$500,G$2,0),"З")</f>
        <v>0</v>
      </c>
      <c r="H1017" s="50">
        <f>SUMIFS(INDEX(Техника!$F$1:$ABM$500,H$2,0),Техника!$F$4:$ABM$4,"Часы",INDEX(Техника!$G$1:$ABN$500,H$2,0),$A$1012,INDEX(Техника!$H$1:$ABO$500,H$2,0),"З")</f>
        <v>0</v>
      </c>
      <c r="I1017" s="50">
        <f>SUMIFS(INDEX(Техника!$F$1:$ABM$500,I$2,0),Техника!$F$4:$ABM$4,"Часы",INDEX(Техника!$G$1:$ABN$500,I$2,0),$A$1012,INDEX(Техника!$H$1:$ABO$500,I$2,0),"З")</f>
        <v>0</v>
      </c>
      <c r="J1017" s="50">
        <f>SUMIFS(INDEX(Техника!$F$1:$ABM$500,J$2,0),Техника!$F$4:$ABM$4,"Часы",INDEX(Техника!$G$1:$ABN$500,J$2,0),$A$1012,INDEX(Техника!$H$1:$ABO$500,J$2,0),"З")</f>
        <v>0</v>
      </c>
      <c r="K1017" s="50">
        <f>SUMIFS(INDEX(Техника!$F$1:$ABM$500,K$2,0),Техника!$F$4:$ABM$4,"Часы",INDEX(Техника!$G$1:$ABN$500,K$2,0),$A$1012,INDEX(Техника!$H$1:$ABO$500,K$2,0),"З")</f>
        <v>0</v>
      </c>
      <c r="L1017" s="50">
        <f>SUMIFS(INDEX(Техника!$F$1:$ABM$500,L$2,0),Техника!$F$4:$ABM$4,"Часы",INDEX(Техника!$G$1:$ABN$500,L$2,0),$A$1012,INDEX(Техника!$H$1:$ABO$500,L$2,0),"З")</f>
        <v>0</v>
      </c>
      <c r="M1017" s="50">
        <f>SUMIFS(INDEX(Техника!$F$1:$ABM$500,M$2,0),Техника!$F$4:$ABM$4,"Часы",INDEX(Техника!$G$1:$ABN$500,M$2,0),$A$1012,INDEX(Техника!$H$1:$ABO$500,M$2,0),"З")</f>
        <v>0</v>
      </c>
      <c r="N1017" s="50">
        <f>SUMIFS(INDEX(Техника!$F$1:$ABM$500,N$2,0),Техника!$F$4:$ABM$4,"Часы",INDEX(Техника!$G$1:$ABN$500,N$2,0),$A$1012,INDEX(Техника!$H$1:$ABO$500,N$2,0),"З")</f>
        <v>0</v>
      </c>
      <c r="O1017" s="50">
        <f>SUMIFS(INDEX(Техника!$F$1:$ABM$500,O$2,0),Техника!$F$4:$ABM$4,"Часы",INDEX(Техника!$G$1:$ABN$500,O$2,0),$A$1012,INDEX(Техника!$H$1:$ABO$500,O$2,0),"З")</f>
        <v>0</v>
      </c>
      <c r="P1017" s="50">
        <f>SUMIFS(INDEX(Техника!$F$1:$ABM$500,P$2,0),Техника!$F$4:$ABM$4,"Часы",INDEX(Техника!$G$1:$ABN$500,P$2,0),$A$1012,INDEX(Техника!$H$1:$ABO$500,P$2,0),"З")</f>
        <v>0</v>
      </c>
      <c r="Q1017" s="50">
        <f>SUMIFS(INDEX(Техника!$F$1:$ABM$500,Q$2,0),Техника!$F$4:$ABM$4,"Часы",INDEX(Техника!$G$1:$ABN$500,Q$2,0),$A$1012,INDEX(Техника!$H$1:$ABO$500,Q$2,0),"З")</f>
        <v>0</v>
      </c>
      <c r="R1017" s="50">
        <f>SUMIFS(INDEX(Техника!$F$1:$ABM$500,R$2,0),Техника!$F$4:$ABM$4,"Часы",INDEX(Техника!$G$1:$ABN$500,R$2,0),$A$1012,INDEX(Техника!$H$1:$ABO$500,R$2,0),"З")</f>
        <v>0</v>
      </c>
      <c r="S1017" s="50">
        <f>SUMIFS(INDEX(Техника!$F$1:$ABM$500,S$2,0),Техника!$F$4:$ABM$4,"Часы",INDEX(Техника!$G$1:$ABN$500,S$2,0),$A$1012,INDEX(Техника!$H$1:$ABO$500,S$2,0),"З")</f>
        <v>0</v>
      </c>
      <c r="T1017" s="50">
        <f>SUMIFS(INDEX(Техника!$F$1:$ABM$500,T$2,0),Техника!$F$4:$ABM$4,"Часы",INDEX(Техника!$G$1:$ABN$500,T$2,0),$A$1012,INDEX(Техника!$H$1:$ABO$500,T$2,0),"З")</f>
        <v>0</v>
      </c>
      <c r="U1017" s="50">
        <f>SUMIFS(INDEX(Техника!$F$1:$ABM$500,U$2,0),Техника!$F$4:$ABM$4,"Часы",INDEX(Техника!$G$1:$ABN$500,U$2,0),$A$1012,INDEX(Техника!$H$1:$ABO$500,U$2,0),"З")</f>
        <v>0</v>
      </c>
      <c r="V1017" s="50">
        <f>SUMIFS(INDEX(Техника!$F$1:$ABM$500,V$2,0),Техника!$F$4:$ABM$4,"Часы",INDEX(Техника!$G$1:$ABN$500,V$2,0),$A$1012,INDEX(Техника!$H$1:$ABO$500,V$2,0),"З")</f>
        <v>0</v>
      </c>
      <c r="W1017" s="50">
        <f>SUMIFS(INDEX(Техника!$F$1:$ABM$500,W$2,0),Техника!$F$4:$ABM$4,"Часы",INDEX(Техника!$G$1:$ABN$500,W$2,0),$A$1012,INDEX(Техника!$H$1:$ABO$500,W$2,0),"З")</f>
        <v>0</v>
      </c>
      <c r="X1017" s="50">
        <f>SUMIFS(INDEX(Техника!$F$1:$ABM$500,X$2,0),Техника!$F$4:$ABM$4,"Часы",INDEX(Техника!$G$1:$ABN$500,X$2,0),$A$1012,INDEX(Техника!$H$1:$ABO$500,X$2,0),"З")</f>
        <v>0</v>
      </c>
      <c r="Y1017" s="50">
        <f>SUMIFS(INDEX(Техника!$F$1:$ABM$500,Y$2,0),Техника!$F$4:$ABM$4,"Часы",INDEX(Техника!$G$1:$ABN$500,Y$2,0),$A$1012,INDEX(Техника!$H$1:$ABO$500,Y$2,0),"З")</f>
        <v>0</v>
      </c>
      <c r="Z1017" s="50">
        <f>SUMIFS(INDEX(Техника!$F$1:$ABM$500,Z$2,0),Техника!$F$4:$ABM$4,"Часы",INDEX(Техника!$G$1:$ABN$500,Z$2,0),$A$1012,INDEX(Техника!$H$1:$ABO$500,Z$2,0),"З")</f>
        <v>0</v>
      </c>
      <c r="AA1017" s="50">
        <f>SUMIFS(INDEX(Техника!$F$1:$ABM$500,AA$2,0),Техника!$F$4:$ABM$4,"Часы",INDEX(Техника!$G$1:$ABN$500,AA$2,0),$A$1012,INDEX(Техника!$H$1:$ABO$500,AA$2,0),"З")</f>
        <v>0</v>
      </c>
      <c r="AB1017" s="50">
        <f>SUMIFS(INDEX(Техника!$F$1:$ABM$500,AB$2,0),Техника!$F$4:$ABM$4,"Часы",INDEX(Техника!$G$1:$ABN$500,AB$2,0),$A$1012,INDEX(Техника!$H$1:$ABO$500,AB$2,0),"З")</f>
        <v>0</v>
      </c>
    </row>
    <row r="1018" spans="1:28" ht="7.95" customHeight="1" x14ac:dyDescent="0.3">
      <c r="A1018" s="38"/>
      <c r="B1018" s="39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</row>
    <row r="1019" spans="1:28" ht="25.05" customHeight="1" collapsed="1" x14ac:dyDescent="0.3">
      <c r="A1019" s="32">
        <v>146</v>
      </c>
      <c r="B1019" s="32" t="s">
        <v>147</v>
      </c>
      <c r="C1019" s="49">
        <f>SUM(C1020:C1024)</f>
        <v>0</v>
      </c>
      <c r="D1019" s="49">
        <f>SUM(D1020:D1024)</f>
        <v>0</v>
      </c>
      <c r="E1019" s="49">
        <f>SUM(E1020:E1024)</f>
        <v>0</v>
      </c>
      <c r="F1019" s="49">
        <f>SUM(F1020:F1024)</f>
        <v>0</v>
      </c>
      <c r="G1019" s="49">
        <f>SUM(G1020:G1024)</f>
        <v>0</v>
      </c>
      <c r="H1019" s="49">
        <f>SUM(H1020:H1024)</f>
        <v>0</v>
      </c>
      <c r="I1019" s="49">
        <f>SUM(I1020:I1024)</f>
        <v>0</v>
      </c>
      <c r="J1019" s="49">
        <f>SUM(J1020:J1024)</f>
        <v>0</v>
      </c>
      <c r="K1019" s="49">
        <f>SUM(K1020:K1024)</f>
        <v>0</v>
      </c>
      <c r="L1019" s="49">
        <f>SUM(L1020:L1024)</f>
        <v>0</v>
      </c>
      <c r="M1019" s="49">
        <f>SUM(M1020:M1024)</f>
        <v>0</v>
      </c>
      <c r="N1019" s="49">
        <f>SUM(N1020:N1024)</f>
        <v>0</v>
      </c>
      <c r="O1019" s="49">
        <f>SUM(O1020:O1024)</f>
        <v>0</v>
      </c>
      <c r="P1019" s="49">
        <f>SUM(P1020:P1024)</f>
        <v>0</v>
      </c>
      <c r="Q1019" s="49">
        <f>SUM(Q1020:Q1024)</f>
        <v>0</v>
      </c>
      <c r="R1019" s="49">
        <f>SUM(R1020:R1024)</f>
        <v>0</v>
      </c>
      <c r="S1019" s="49">
        <f>SUM(S1020:S1024)</f>
        <v>0</v>
      </c>
      <c r="T1019" s="49">
        <f>SUM(T1020:T1024)</f>
        <v>0</v>
      </c>
      <c r="U1019" s="49">
        <f>SUM(U1020:U1024)</f>
        <v>0</v>
      </c>
      <c r="V1019" s="49">
        <f>SUM(V1020:V1024)</f>
        <v>0</v>
      </c>
      <c r="W1019" s="49">
        <f>SUM(W1020:W1024)</f>
        <v>0</v>
      </c>
      <c r="X1019" s="49">
        <f>SUM(X1020:X1024)</f>
        <v>0</v>
      </c>
      <c r="Y1019" s="49">
        <f>SUM(Y1020:Y1024)</f>
        <v>0</v>
      </c>
      <c r="Z1019" s="49">
        <f>SUM(Z1020:Z1024)</f>
        <v>0</v>
      </c>
      <c r="AA1019" s="49">
        <f>SUM(AA1020:AA1024)</f>
        <v>0</v>
      </c>
      <c r="AB1019" s="49">
        <f>SUM(AB1020:AB1024)</f>
        <v>0</v>
      </c>
    </row>
    <row r="1020" spans="1:28" hidden="1" outlineLevel="1" x14ac:dyDescent="0.3">
      <c r="A1020" s="33" t="s">
        <v>246</v>
      </c>
      <c r="B1020" s="34" t="s">
        <v>274</v>
      </c>
      <c r="C1020" s="50">
        <f>SUMIFS(INDEX(Техника!$F$1:$ABM$500,C$2,0),Техника!$F$4:$ABM$4,"Часы",INDEX(Техника!$G$1:$ABN$500,C$2,0),$A$1019,INDEX(Техника!$H$1:$ABO$500,C$2,0),"М")</f>
        <v>0</v>
      </c>
      <c r="D1020" s="50">
        <f>SUMIFS(INDEX(Техника!$F$1:$ABM$500,D$2,0),Техника!$F$4:$ABM$4,"Часы",INDEX(Техника!$G$1:$ABN$500,D$2,0),$A$1019,INDEX(Техника!$H$1:$ABO$500,D$2,0),"М")</f>
        <v>0</v>
      </c>
      <c r="E1020" s="50">
        <f>SUMIFS(INDEX(Техника!$F$1:$ABM$500,E$2,0),Техника!$F$4:$ABM$4,"Часы",INDEX(Техника!$G$1:$ABN$500,E$2,0),$A$1019,INDEX(Техника!$H$1:$ABO$500,E$2,0),"М")</f>
        <v>0</v>
      </c>
      <c r="F1020" s="50">
        <f>SUMIFS(INDEX(Техника!$F$1:$ABM$500,F$2,0),Техника!$F$4:$ABM$4,"Часы",INDEX(Техника!$G$1:$ABN$500,F$2,0),$A$1019,INDEX(Техника!$H$1:$ABO$500,F$2,0),"М")</f>
        <v>0</v>
      </c>
      <c r="G1020" s="50">
        <f>SUMIFS(INDEX(Техника!$F$1:$ABM$500,G$2,0),Техника!$F$4:$ABM$4,"Часы",INDEX(Техника!$G$1:$ABN$500,G$2,0),$A$1019,INDEX(Техника!$H$1:$ABO$500,G$2,0),"М")</f>
        <v>0</v>
      </c>
      <c r="H1020" s="50">
        <f>SUMIFS(INDEX(Техника!$F$1:$ABM$500,H$2,0),Техника!$F$4:$ABM$4,"Часы",INDEX(Техника!$G$1:$ABN$500,H$2,0),$A$1019,INDEX(Техника!$H$1:$ABO$500,H$2,0),"М")</f>
        <v>0</v>
      </c>
      <c r="I1020" s="50">
        <f>SUMIFS(INDEX(Техника!$F$1:$ABM$500,I$2,0),Техника!$F$4:$ABM$4,"Часы",INDEX(Техника!$G$1:$ABN$500,I$2,0),$A$1019,INDEX(Техника!$H$1:$ABO$500,I$2,0),"М")</f>
        <v>0</v>
      </c>
      <c r="J1020" s="50">
        <f>SUMIFS(INDEX(Техника!$F$1:$ABM$500,J$2,0),Техника!$F$4:$ABM$4,"Часы",INDEX(Техника!$G$1:$ABN$500,J$2,0),$A$1019,INDEX(Техника!$H$1:$ABO$500,J$2,0),"М")</f>
        <v>0</v>
      </c>
      <c r="K1020" s="50">
        <f>SUMIFS(INDEX(Техника!$F$1:$ABM$500,K$2,0),Техника!$F$4:$ABM$4,"Часы",INDEX(Техника!$G$1:$ABN$500,K$2,0),$A$1019,INDEX(Техника!$H$1:$ABO$500,K$2,0),"М")</f>
        <v>0</v>
      </c>
      <c r="L1020" s="50">
        <f>SUMIFS(INDEX(Техника!$F$1:$ABM$500,L$2,0),Техника!$F$4:$ABM$4,"Часы",INDEX(Техника!$G$1:$ABN$500,L$2,0),$A$1019,INDEX(Техника!$H$1:$ABO$500,L$2,0),"М")</f>
        <v>0</v>
      </c>
      <c r="M1020" s="50">
        <f>SUMIFS(INDEX(Техника!$F$1:$ABM$500,M$2,0),Техника!$F$4:$ABM$4,"Часы",INDEX(Техника!$G$1:$ABN$500,M$2,0),$A$1019,INDEX(Техника!$H$1:$ABO$500,M$2,0),"М")</f>
        <v>0</v>
      </c>
      <c r="N1020" s="50">
        <f>SUMIFS(INDEX(Техника!$F$1:$ABM$500,N$2,0),Техника!$F$4:$ABM$4,"Часы",INDEX(Техника!$G$1:$ABN$500,N$2,0),$A$1019,INDEX(Техника!$H$1:$ABO$500,N$2,0),"М")</f>
        <v>0</v>
      </c>
      <c r="O1020" s="50">
        <f>SUMIFS(INDEX(Техника!$F$1:$ABM$500,O$2,0),Техника!$F$4:$ABM$4,"Часы",INDEX(Техника!$G$1:$ABN$500,O$2,0),$A$1019,INDEX(Техника!$H$1:$ABO$500,O$2,0),"М")</f>
        <v>0</v>
      </c>
      <c r="P1020" s="50">
        <f>SUMIFS(INDEX(Техника!$F$1:$ABM$500,P$2,0),Техника!$F$4:$ABM$4,"Часы",INDEX(Техника!$G$1:$ABN$500,P$2,0),$A$1019,INDEX(Техника!$H$1:$ABO$500,P$2,0),"М")</f>
        <v>0</v>
      </c>
      <c r="Q1020" s="50">
        <f>SUMIFS(INDEX(Техника!$F$1:$ABM$500,Q$2,0),Техника!$F$4:$ABM$4,"Часы",INDEX(Техника!$G$1:$ABN$500,Q$2,0),$A$1019,INDEX(Техника!$H$1:$ABO$500,Q$2,0),"М")</f>
        <v>0</v>
      </c>
      <c r="R1020" s="50">
        <f>SUMIFS(INDEX(Техника!$F$1:$ABM$500,R$2,0),Техника!$F$4:$ABM$4,"Часы",INDEX(Техника!$G$1:$ABN$500,R$2,0),$A$1019,INDEX(Техника!$H$1:$ABO$500,R$2,0),"М")</f>
        <v>0</v>
      </c>
      <c r="S1020" s="50">
        <f>SUMIFS(INDEX(Техника!$F$1:$ABM$500,S$2,0),Техника!$F$4:$ABM$4,"Часы",INDEX(Техника!$G$1:$ABN$500,S$2,0),$A$1019,INDEX(Техника!$H$1:$ABO$500,S$2,0),"М")</f>
        <v>0</v>
      </c>
      <c r="T1020" s="50">
        <f>SUMIFS(INDEX(Техника!$F$1:$ABM$500,T$2,0),Техника!$F$4:$ABM$4,"Часы",INDEX(Техника!$G$1:$ABN$500,T$2,0),$A$1019,INDEX(Техника!$H$1:$ABO$500,T$2,0),"М")</f>
        <v>0</v>
      </c>
      <c r="U1020" s="50">
        <f>SUMIFS(INDEX(Техника!$F$1:$ABM$500,U$2,0),Техника!$F$4:$ABM$4,"Часы",INDEX(Техника!$G$1:$ABN$500,U$2,0),$A$1019,INDEX(Техника!$H$1:$ABO$500,U$2,0),"М")</f>
        <v>0</v>
      </c>
      <c r="V1020" s="50">
        <f>SUMIFS(INDEX(Техника!$F$1:$ABM$500,V$2,0),Техника!$F$4:$ABM$4,"Часы",INDEX(Техника!$G$1:$ABN$500,V$2,0),$A$1019,INDEX(Техника!$H$1:$ABO$500,V$2,0),"М")</f>
        <v>0</v>
      </c>
      <c r="W1020" s="50">
        <f>SUMIFS(INDEX(Техника!$F$1:$ABM$500,W$2,0),Техника!$F$4:$ABM$4,"Часы",INDEX(Техника!$G$1:$ABN$500,W$2,0),$A$1019,INDEX(Техника!$H$1:$ABO$500,W$2,0),"М")</f>
        <v>0</v>
      </c>
      <c r="X1020" s="50">
        <f>SUMIFS(INDEX(Техника!$F$1:$ABM$500,X$2,0),Техника!$F$4:$ABM$4,"Часы",INDEX(Техника!$G$1:$ABN$500,X$2,0),$A$1019,INDEX(Техника!$H$1:$ABO$500,X$2,0),"М")</f>
        <v>0</v>
      </c>
      <c r="Y1020" s="50">
        <f>SUMIFS(INDEX(Техника!$F$1:$ABM$500,Y$2,0),Техника!$F$4:$ABM$4,"Часы",INDEX(Техника!$G$1:$ABN$500,Y$2,0),$A$1019,INDEX(Техника!$H$1:$ABO$500,Y$2,0),"М")</f>
        <v>0</v>
      </c>
      <c r="Z1020" s="50">
        <f>SUMIFS(INDEX(Техника!$F$1:$ABM$500,Z$2,0),Техника!$F$4:$ABM$4,"Часы",INDEX(Техника!$G$1:$ABN$500,Z$2,0),$A$1019,INDEX(Техника!$H$1:$ABO$500,Z$2,0),"М")</f>
        <v>0</v>
      </c>
      <c r="AA1020" s="50">
        <f>SUMIFS(INDEX(Техника!$F$1:$ABM$500,AA$2,0),Техника!$F$4:$ABM$4,"Часы",INDEX(Техника!$G$1:$ABN$500,AA$2,0),$A$1019,INDEX(Техника!$H$1:$ABO$500,AA$2,0),"М")</f>
        <v>0</v>
      </c>
      <c r="AB1020" s="50">
        <f>SUMIFS(INDEX(Техника!$F$1:$ABM$500,AB$2,0),Техника!$F$4:$ABM$4,"Часы",INDEX(Техника!$G$1:$ABN$500,AB$2,0),$A$1019,INDEX(Техника!$H$1:$ABO$500,AB$2,0),"М")</f>
        <v>0</v>
      </c>
    </row>
    <row r="1021" spans="1:28" hidden="1" outlineLevel="1" x14ac:dyDescent="0.3">
      <c r="A1021" s="33" t="s">
        <v>244</v>
      </c>
      <c r="B1021" s="34" t="s">
        <v>275</v>
      </c>
      <c r="C1021" s="50">
        <f>SUMIFS(INDEX(Техника!$F$1:$ABM$500,C$2,0),Техника!$F$4:$ABM$4,"Часы",INDEX(Техника!$G$1:$ABN$500,C$2,0),$A$1019,INDEX(Техника!$H$1:$ABO$500,C$2,0),"Д")</f>
        <v>0</v>
      </c>
      <c r="D1021" s="50">
        <f>SUMIFS(INDEX(Техника!$F$1:$ABM$500,D$2,0),Техника!$F$4:$ABM$4,"Часы",INDEX(Техника!$G$1:$ABN$500,D$2,0),$A$1019,INDEX(Техника!$H$1:$ABO$500,D$2,0),"Д")</f>
        <v>0</v>
      </c>
      <c r="E1021" s="50">
        <f>SUMIFS(INDEX(Техника!$F$1:$ABM$500,E$2,0),Техника!$F$4:$ABM$4,"Часы",INDEX(Техника!$G$1:$ABN$500,E$2,0),$A$1019,INDEX(Техника!$H$1:$ABO$500,E$2,0),"Д")</f>
        <v>0</v>
      </c>
      <c r="F1021" s="50">
        <f>SUMIFS(INDEX(Техника!$F$1:$ABM$500,F$2,0),Техника!$F$4:$ABM$4,"Часы",INDEX(Техника!$G$1:$ABN$500,F$2,0),$A$1019,INDEX(Техника!$H$1:$ABO$500,F$2,0),"Д")</f>
        <v>0</v>
      </c>
      <c r="G1021" s="50">
        <f>SUMIFS(INDEX(Техника!$F$1:$ABM$500,G$2,0),Техника!$F$4:$ABM$4,"Часы",INDEX(Техника!$G$1:$ABN$500,G$2,0),$A$1019,INDEX(Техника!$H$1:$ABO$500,G$2,0),"Д")</f>
        <v>0</v>
      </c>
      <c r="H1021" s="50">
        <f>SUMIFS(INDEX(Техника!$F$1:$ABM$500,H$2,0),Техника!$F$4:$ABM$4,"Часы",INDEX(Техника!$G$1:$ABN$500,H$2,0),$A$1019,INDEX(Техника!$H$1:$ABO$500,H$2,0),"Д")</f>
        <v>0</v>
      </c>
      <c r="I1021" s="50">
        <f>SUMIFS(INDEX(Техника!$F$1:$ABM$500,I$2,0),Техника!$F$4:$ABM$4,"Часы",INDEX(Техника!$G$1:$ABN$500,I$2,0),$A$1019,INDEX(Техника!$H$1:$ABO$500,I$2,0),"Д")</f>
        <v>0</v>
      </c>
      <c r="J1021" s="50">
        <f>SUMIFS(INDEX(Техника!$F$1:$ABM$500,J$2,0),Техника!$F$4:$ABM$4,"Часы",INDEX(Техника!$G$1:$ABN$500,J$2,0),$A$1019,INDEX(Техника!$H$1:$ABO$500,J$2,0),"Д")</f>
        <v>0</v>
      </c>
      <c r="K1021" s="50">
        <f>SUMIFS(INDEX(Техника!$F$1:$ABM$500,K$2,0),Техника!$F$4:$ABM$4,"Часы",INDEX(Техника!$G$1:$ABN$500,K$2,0),$A$1019,INDEX(Техника!$H$1:$ABO$500,K$2,0),"Д")</f>
        <v>0</v>
      </c>
      <c r="L1021" s="50">
        <f>SUMIFS(INDEX(Техника!$F$1:$ABM$500,L$2,0),Техника!$F$4:$ABM$4,"Часы",INDEX(Техника!$G$1:$ABN$500,L$2,0),$A$1019,INDEX(Техника!$H$1:$ABO$500,L$2,0),"Д")</f>
        <v>0</v>
      </c>
      <c r="M1021" s="50">
        <f>SUMIFS(INDEX(Техника!$F$1:$ABM$500,M$2,0),Техника!$F$4:$ABM$4,"Часы",INDEX(Техника!$G$1:$ABN$500,M$2,0),$A$1019,INDEX(Техника!$H$1:$ABO$500,M$2,0),"Д")</f>
        <v>0</v>
      </c>
      <c r="N1021" s="50">
        <f>SUMIFS(INDEX(Техника!$F$1:$ABM$500,N$2,0),Техника!$F$4:$ABM$4,"Часы",INDEX(Техника!$G$1:$ABN$500,N$2,0),$A$1019,INDEX(Техника!$H$1:$ABO$500,N$2,0),"Д")</f>
        <v>0</v>
      </c>
      <c r="O1021" s="50">
        <f>SUMIFS(INDEX(Техника!$F$1:$ABM$500,O$2,0),Техника!$F$4:$ABM$4,"Часы",INDEX(Техника!$G$1:$ABN$500,O$2,0),$A$1019,INDEX(Техника!$H$1:$ABO$500,O$2,0),"Д")</f>
        <v>0</v>
      </c>
      <c r="P1021" s="50">
        <f>SUMIFS(INDEX(Техника!$F$1:$ABM$500,P$2,0),Техника!$F$4:$ABM$4,"Часы",INDEX(Техника!$G$1:$ABN$500,P$2,0),$A$1019,INDEX(Техника!$H$1:$ABO$500,P$2,0),"Д")</f>
        <v>0</v>
      </c>
      <c r="Q1021" s="50">
        <f>SUMIFS(INDEX(Техника!$F$1:$ABM$500,Q$2,0),Техника!$F$4:$ABM$4,"Часы",INDEX(Техника!$G$1:$ABN$500,Q$2,0),$A$1019,INDEX(Техника!$H$1:$ABO$500,Q$2,0),"Д")</f>
        <v>0</v>
      </c>
      <c r="R1021" s="50">
        <f>SUMIFS(INDEX(Техника!$F$1:$ABM$500,R$2,0),Техника!$F$4:$ABM$4,"Часы",INDEX(Техника!$G$1:$ABN$500,R$2,0),$A$1019,INDEX(Техника!$H$1:$ABO$500,R$2,0),"Д")</f>
        <v>0</v>
      </c>
      <c r="S1021" s="50">
        <f>SUMIFS(INDEX(Техника!$F$1:$ABM$500,S$2,0),Техника!$F$4:$ABM$4,"Часы",INDEX(Техника!$G$1:$ABN$500,S$2,0),$A$1019,INDEX(Техника!$H$1:$ABO$500,S$2,0),"Д")</f>
        <v>0</v>
      </c>
      <c r="T1021" s="50">
        <f>SUMIFS(INDEX(Техника!$F$1:$ABM$500,T$2,0),Техника!$F$4:$ABM$4,"Часы",INDEX(Техника!$G$1:$ABN$500,T$2,0),$A$1019,INDEX(Техника!$H$1:$ABO$500,T$2,0),"Д")</f>
        <v>0</v>
      </c>
      <c r="U1021" s="50">
        <f>SUMIFS(INDEX(Техника!$F$1:$ABM$500,U$2,0),Техника!$F$4:$ABM$4,"Часы",INDEX(Техника!$G$1:$ABN$500,U$2,0),$A$1019,INDEX(Техника!$H$1:$ABO$500,U$2,0),"Д")</f>
        <v>0</v>
      </c>
      <c r="V1021" s="50">
        <f>SUMIFS(INDEX(Техника!$F$1:$ABM$500,V$2,0),Техника!$F$4:$ABM$4,"Часы",INDEX(Техника!$G$1:$ABN$500,V$2,0),$A$1019,INDEX(Техника!$H$1:$ABO$500,V$2,0),"Д")</f>
        <v>0</v>
      </c>
      <c r="W1021" s="50">
        <f>SUMIFS(INDEX(Техника!$F$1:$ABM$500,W$2,0),Техника!$F$4:$ABM$4,"Часы",INDEX(Техника!$G$1:$ABN$500,W$2,0),$A$1019,INDEX(Техника!$H$1:$ABO$500,W$2,0),"Д")</f>
        <v>0</v>
      </c>
      <c r="X1021" s="50">
        <f>SUMIFS(INDEX(Техника!$F$1:$ABM$500,X$2,0),Техника!$F$4:$ABM$4,"Часы",INDEX(Техника!$G$1:$ABN$500,X$2,0),$A$1019,INDEX(Техника!$H$1:$ABO$500,X$2,0),"Д")</f>
        <v>0</v>
      </c>
      <c r="Y1021" s="50">
        <f>SUMIFS(INDEX(Техника!$F$1:$ABM$500,Y$2,0),Техника!$F$4:$ABM$4,"Часы",INDEX(Техника!$G$1:$ABN$500,Y$2,0),$A$1019,INDEX(Техника!$H$1:$ABO$500,Y$2,0),"Д")</f>
        <v>0</v>
      </c>
      <c r="Z1021" s="50">
        <f>SUMIFS(INDEX(Техника!$F$1:$ABM$500,Z$2,0),Техника!$F$4:$ABM$4,"Часы",INDEX(Техника!$G$1:$ABN$500,Z$2,0),$A$1019,INDEX(Техника!$H$1:$ABO$500,Z$2,0),"Д")</f>
        <v>0</v>
      </c>
      <c r="AA1021" s="50">
        <f>SUMIFS(INDEX(Техника!$F$1:$ABM$500,AA$2,0),Техника!$F$4:$ABM$4,"Часы",INDEX(Техника!$G$1:$ABN$500,AA$2,0),$A$1019,INDEX(Техника!$H$1:$ABO$500,AA$2,0),"Д")</f>
        <v>0</v>
      </c>
      <c r="AB1021" s="50">
        <f>SUMIFS(INDEX(Техника!$F$1:$ABM$500,AB$2,0),Техника!$F$4:$ABM$4,"Часы",INDEX(Техника!$G$1:$ABN$500,AB$2,0),$A$1019,INDEX(Техника!$H$1:$ABO$500,AB$2,0),"Д")</f>
        <v>0</v>
      </c>
    </row>
    <row r="1022" spans="1:28" hidden="1" outlineLevel="1" x14ac:dyDescent="0.3">
      <c r="A1022" s="33" t="s">
        <v>276</v>
      </c>
      <c r="B1022" s="34" t="s">
        <v>277</v>
      </c>
      <c r="C1022" s="50">
        <f>SUMIFS(INDEX(Техника!$F$1:$ABM$500,C$2,0),Техника!$F$4:$ABM$4,"Часы",INDEX(Техника!$G$1:$ABN$500,C$2,0),$A$1019,INDEX(Техника!$H$1:$ABO$500,C$2,0),"П")</f>
        <v>0</v>
      </c>
      <c r="D1022" s="50">
        <f>SUMIFS(INDEX(Техника!$F$1:$ABM$500,D$2,0),Техника!$F$4:$ABM$4,"Часы",INDEX(Техника!$G$1:$ABN$500,D$2,0),$A$1019,INDEX(Техника!$H$1:$ABO$500,D$2,0),"П")</f>
        <v>0</v>
      </c>
      <c r="E1022" s="50">
        <f>SUMIFS(INDEX(Техника!$F$1:$ABM$500,E$2,0),Техника!$F$4:$ABM$4,"Часы",INDEX(Техника!$G$1:$ABN$500,E$2,0),$A$1019,INDEX(Техника!$H$1:$ABO$500,E$2,0),"П")</f>
        <v>0</v>
      </c>
      <c r="F1022" s="50">
        <f>SUMIFS(INDEX(Техника!$F$1:$ABM$500,F$2,0),Техника!$F$4:$ABM$4,"Часы",INDEX(Техника!$G$1:$ABN$500,F$2,0),$A$1019,INDEX(Техника!$H$1:$ABO$500,F$2,0),"П")</f>
        <v>0</v>
      </c>
      <c r="G1022" s="50">
        <f>SUMIFS(INDEX(Техника!$F$1:$ABM$500,G$2,0),Техника!$F$4:$ABM$4,"Часы",INDEX(Техника!$G$1:$ABN$500,G$2,0),$A$1019,INDEX(Техника!$H$1:$ABO$500,G$2,0),"П")</f>
        <v>0</v>
      </c>
      <c r="H1022" s="50">
        <f>SUMIFS(INDEX(Техника!$F$1:$ABM$500,H$2,0),Техника!$F$4:$ABM$4,"Часы",INDEX(Техника!$G$1:$ABN$500,H$2,0),$A$1019,INDEX(Техника!$H$1:$ABO$500,H$2,0),"П")</f>
        <v>0</v>
      </c>
      <c r="I1022" s="50">
        <f>SUMIFS(INDEX(Техника!$F$1:$ABM$500,I$2,0),Техника!$F$4:$ABM$4,"Часы",INDEX(Техника!$G$1:$ABN$500,I$2,0),$A$1019,INDEX(Техника!$H$1:$ABO$500,I$2,0),"П")</f>
        <v>0</v>
      </c>
      <c r="J1022" s="50">
        <f>SUMIFS(INDEX(Техника!$F$1:$ABM$500,J$2,0),Техника!$F$4:$ABM$4,"Часы",INDEX(Техника!$G$1:$ABN$500,J$2,0),$A$1019,INDEX(Техника!$H$1:$ABO$500,J$2,0),"П")</f>
        <v>0</v>
      </c>
      <c r="K1022" s="50">
        <f>SUMIFS(INDEX(Техника!$F$1:$ABM$500,K$2,0),Техника!$F$4:$ABM$4,"Часы",INDEX(Техника!$G$1:$ABN$500,K$2,0),$A$1019,INDEX(Техника!$H$1:$ABO$500,K$2,0),"П")</f>
        <v>0</v>
      </c>
      <c r="L1022" s="50">
        <f>SUMIFS(INDEX(Техника!$F$1:$ABM$500,L$2,0),Техника!$F$4:$ABM$4,"Часы",INDEX(Техника!$G$1:$ABN$500,L$2,0),$A$1019,INDEX(Техника!$H$1:$ABO$500,L$2,0),"П")</f>
        <v>0</v>
      </c>
      <c r="M1022" s="50">
        <f>SUMIFS(INDEX(Техника!$F$1:$ABM$500,M$2,0),Техника!$F$4:$ABM$4,"Часы",INDEX(Техника!$G$1:$ABN$500,M$2,0),$A$1019,INDEX(Техника!$H$1:$ABO$500,M$2,0),"П")</f>
        <v>0</v>
      </c>
      <c r="N1022" s="50">
        <f>SUMIFS(INDEX(Техника!$F$1:$ABM$500,N$2,0),Техника!$F$4:$ABM$4,"Часы",INDEX(Техника!$G$1:$ABN$500,N$2,0),$A$1019,INDEX(Техника!$H$1:$ABO$500,N$2,0),"П")</f>
        <v>0</v>
      </c>
      <c r="O1022" s="50">
        <f>SUMIFS(INDEX(Техника!$F$1:$ABM$500,O$2,0),Техника!$F$4:$ABM$4,"Часы",INDEX(Техника!$G$1:$ABN$500,O$2,0),$A$1019,INDEX(Техника!$H$1:$ABO$500,O$2,0),"П")</f>
        <v>0</v>
      </c>
      <c r="P1022" s="50">
        <f>SUMIFS(INDEX(Техника!$F$1:$ABM$500,P$2,0),Техника!$F$4:$ABM$4,"Часы",INDEX(Техника!$G$1:$ABN$500,P$2,0),$A$1019,INDEX(Техника!$H$1:$ABO$500,P$2,0),"П")</f>
        <v>0</v>
      </c>
      <c r="Q1022" s="50">
        <f>SUMIFS(INDEX(Техника!$F$1:$ABM$500,Q$2,0),Техника!$F$4:$ABM$4,"Часы",INDEX(Техника!$G$1:$ABN$500,Q$2,0),$A$1019,INDEX(Техника!$H$1:$ABO$500,Q$2,0),"П")</f>
        <v>0</v>
      </c>
      <c r="R1022" s="50">
        <f>SUMIFS(INDEX(Техника!$F$1:$ABM$500,R$2,0),Техника!$F$4:$ABM$4,"Часы",INDEX(Техника!$G$1:$ABN$500,R$2,0),$A$1019,INDEX(Техника!$H$1:$ABO$500,R$2,0),"П")</f>
        <v>0</v>
      </c>
      <c r="S1022" s="50">
        <f>SUMIFS(INDEX(Техника!$F$1:$ABM$500,S$2,0),Техника!$F$4:$ABM$4,"Часы",INDEX(Техника!$G$1:$ABN$500,S$2,0),$A$1019,INDEX(Техника!$H$1:$ABO$500,S$2,0),"П")</f>
        <v>0</v>
      </c>
      <c r="T1022" s="50">
        <f>SUMIFS(INDEX(Техника!$F$1:$ABM$500,T$2,0),Техника!$F$4:$ABM$4,"Часы",INDEX(Техника!$G$1:$ABN$500,T$2,0),$A$1019,INDEX(Техника!$H$1:$ABO$500,T$2,0),"П")</f>
        <v>0</v>
      </c>
      <c r="U1022" s="50">
        <f>SUMIFS(INDEX(Техника!$F$1:$ABM$500,U$2,0),Техника!$F$4:$ABM$4,"Часы",INDEX(Техника!$G$1:$ABN$500,U$2,0),$A$1019,INDEX(Техника!$H$1:$ABO$500,U$2,0),"П")</f>
        <v>0</v>
      </c>
      <c r="V1022" s="50">
        <f>SUMIFS(INDEX(Техника!$F$1:$ABM$500,V$2,0),Техника!$F$4:$ABM$4,"Часы",INDEX(Техника!$G$1:$ABN$500,V$2,0),$A$1019,INDEX(Техника!$H$1:$ABO$500,V$2,0),"П")</f>
        <v>0</v>
      </c>
      <c r="W1022" s="50">
        <f>SUMIFS(INDEX(Техника!$F$1:$ABM$500,W$2,0),Техника!$F$4:$ABM$4,"Часы",INDEX(Техника!$G$1:$ABN$500,W$2,0),$A$1019,INDEX(Техника!$H$1:$ABO$500,W$2,0),"П")</f>
        <v>0</v>
      </c>
      <c r="X1022" s="50">
        <f>SUMIFS(INDEX(Техника!$F$1:$ABM$500,X$2,0),Техника!$F$4:$ABM$4,"Часы",INDEX(Техника!$G$1:$ABN$500,X$2,0),$A$1019,INDEX(Техника!$H$1:$ABO$500,X$2,0),"П")</f>
        <v>0</v>
      </c>
      <c r="Y1022" s="50">
        <f>SUMIFS(INDEX(Техника!$F$1:$ABM$500,Y$2,0),Техника!$F$4:$ABM$4,"Часы",INDEX(Техника!$G$1:$ABN$500,Y$2,0),$A$1019,INDEX(Техника!$H$1:$ABO$500,Y$2,0),"П")</f>
        <v>0</v>
      </c>
      <c r="Z1022" s="50">
        <f>SUMIFS(INDEX(Техника!$F$1:$ABM$500,Z$2,0),Техника!$F$4:$ABM$4,"Часы",INDEX(Техника!$G$1:$ABN$500,Z$2,0),$A$1019,INDEX(Техника!$H$1:$ABO$500,Z$2,0),"П")</f>
        <v>0</v>
      </c>
      <c r="AA1022" s="50">
        <f>SUMIFS(INDEX(Техника!$F$1:$ABM$500,AA$2,0),Техника!$F$4:$ABM$4,"Часы",INDEX(Техника!$G$1:$ABN$500,AA$2,0),$A$1019,INDEX(Техника!$H$1:$ABO$500,AA$2,0),"П")</f>
        <v>0</v>
      </c>
      <c r="AB1022" s="50">
        <f>SUMIFS(INDEX(Техника!$F$1:$ABM$500,AB$2,0),Техника!$F$4:$ABM$4,"Часы",INDEX(Техника!$G$1:$ABN$500,AB$2,0),$A$1019,INDEX(Техника!$H$1:$ABO$500,AB$2,0),"П")</f>
        <v>0</v>
      </c>
    </row>
    <row r="1023" spans="1:28" hidden="1" outlineLevel="1" x14ac:dyDescent="0.3">
      <c r="A1023" s="33" t="s">
        <v>243</v>
      </c>
      <c r="B1023" s="34" t="s">
        <v>278</v>
      </c>
      <c r="C1023" s="50">
        <f>SUMIFS(INDEX(Техника!$F$1:$ABM$500,C$2,0),Техника!$F$4:$ABM$4,"Часы",INDEX(Техника!$G$1:$ABN$500,C$2,0),$A$1019,INDEX(Техника!$H$1:$ABO$500,C$2,0),"Л")</f>
        <v>0</v>
      </c>
      <c r="D1023" s="50">
        <f>SUMIFS(INDEX(Техника!$F$1:$ABM$500,D$2,0),Техника!$F$4:$ABM$4,"Часы",INDEX(Техника!$G$1:$ABN$500,D$2,0),$A$1019,INDEX(Техника!$H$1:$ABO$500,D$2,0),"Л")</f>
        <v>0</v>
      </c>
      <c r="E1023" s="50">
        <f>SUMIFS(INDEX(Техника!$F$1:$ABM$500,E$2,0),Техника!$F$4:$ABM$4,"Часы",INDEX(Техника!$G$1:$ABN$500,E$2,0),$A$1019,INDEX(Техника!$H$1:$ABO$500,E$2,0),"Л")</f>
        <v>0</v>
      </c>
      <c r="F1023" s="50">
        <f>SUMIFS(INDEX(Техника!$F$1:$ABM$500,F$2,0),Техника!$F$4:$ABM$4,"Часы",INDEX(Техника!$G$1:$ABN$500,F$2,0),$A$1019,INDEX(Техника!$H$1:$ABO$500,F$2,0),"Л")</f>
        <v>0</v>
      </c>
      <c r="G1023" s="50">
        <f>SUMIFS(INDEX(Техника!$F$1:$ABM$500,G$2,0),Техника!$F$4:$ABM$4,"Часы",INDEX(Техника!$G$1:$ABN$500,G$2,0),$A$1019,INDEX(Техника!$H$1:$ABO$500,G$2,0),"Л")</f>
        <v>0</v>
      </c>
      <c r="H1023" s="50">
        <f>SUMIFS(INDEX(Техника!$F$1:$ABM$500,H$2,0),Техника!$F$4:$ABM$4,"Часы",INDEX(Техника!$G$1:$ABN$500,H$2,0),$A$1019,INDEX(Техника!$H$1:$ABO$500,H$2,0),"Л")</f>
        <v>0</v>
      </c>
      <c r="I1023" s="50">
        <f>SUMIFS(INDEX(Техника!$F$1:$ABM$500,I$2,0),Техника!$F$4:$ABM$4,"Часы",INDEX(Техника!$G$1:$ABN$500,I$2,0),$A$1019,INDEX(Техника!$H$1:$ABO$500,I$2,0),"Л")</f>
        <v>0</v>
      </c>
      <c r="J1023" s="50">
        <f>SUMIFS(INDEX(Техника!$F$1:$ABM$500,J$2,0),Техника!$F$4:$ABM$4,"Часы",INDEX(Техника!$G$1:$ABN$500,J$2,0),$A$1019,INDEX(Техника!$H$1:$ABO$500,J$2,0),"Л")</f>
        <v>0</v>
      </c>
      <c r="K1023" s="50">
        <f>SUMIFS(INDEX(Техника!$F$1:$ABM$500,K$2,0),Техника!$F$4:$ABM$4,"Часы",INDEX(Техника!$G$1:$ABN$500,K$2,0),$A$1019,INDEX(Техника!$H$1:$ABO$500,K$2,0),"Л")</f>
        <v>0</v>
      </c>
      <c r="L1023" s="50">
        <f>SUMIFS(INDEX(Техника!$F$1:$ABM$500,L$2,0),Техника!$F$4:$ABM$4,"Часы",INDEX(Техника!$G$1:$ABN$500,L$2,0),$A$1019,INDEX(Техника!$H$1:$ABO$500,L$2,0),"Л")</f>
        <v>0</v>
      </c>
      <c r="M1023" s="50">
        <f>SUMIFS(INDEX(Техника!$F$1:$ABM$500,M$2,0),Техника!$F$4:$ABM$4,"Часы",INDEX(Техника!$G$1:$ABN$500,M$2,0),$A$1019,INDEX(Техника!$H$1:$ABO$500,M$2,0),"Л")</f>
        <v>0</v>
      </c>
      <c r="N1023" s="50">
        <f>SUMIFS(INDEX(Техника!$F$1:$ABM$500,N$2,0),Техника!$F$4:$ABM$4,"Часы",INDEX(Техника!$G$1:$ABN$500,N$2,0),$A$1019,INDEX(Техника!$H$1:$ABO$500,N$2,0),"Л")</f>
        <v>0</v>
      </c>
      <c r="O1023" s="50">
        <f>SUMIFS(INDEX(Техника!$F$1:$ABM$500,O$2,0),Техника!$F$4:$ABM$4,"Часы",INDEX(Техника!$G$1:$ABN$500,O$2,0),$A$1019,INDEX(Техника!$H$1:$ABO$500,O$2,0),"Л")</f>
        <v>0</v>
      </c>
      <c r="P1023" s="50">
        <f>SUMIFS(INDEX(Техника!$F$1:$ABM$500,P$2,0),Техника!$F$4:$ABM$4,"Часы",INDEX(Техника!$G$1:$ABN$500,P$2,0),$A$1019,INDEX(Техника!$H$1:$ABO$500,P$2,0),"Л")</f>
        <v>0</v>
      </c>
      <c r="Q1023" s="50">
        <f>SUMIFS(INDEX(Техника!$F$1:$ABM$500,Q$2,0),Техника!$F$4:$ABM$4,"Часы",INDEX(Техника!$G$1:$ABN$500,Q$2,0),$A$1019,INDEX(Техника!$H$1:$ABO$500,Q$2,0),"Л")</f>
        <v>0</v>
      </c>
      <c r="R1023" s="50">
        <f>SUMIFS(INDEX(Техника!$F$1:$ABM$500,R$2,0),Техника!$F$4:$ABM$4,"Часы",INDEX(Техника!$G$1:$ABN$500,R$2,0),$A$1019,INDEX(Техника!$H$1:$ABO$500,R$2,0),"Л")</f>
        <v>0</v>
      </c>
      <c r="S1023" s="50">
        <f>SUMIFS(INDEX(Техника!$F$1:$ABM$500,S$2,0),Техника!$F$4:$ABM$4,"Часы",INDEX(Техника!$G$1:$ABN$500,S$2,0),$A$1019,INDEX(Техника!$H$1:$ABO$500,S$2,0),"Л")</f>
        <v>0</v>
      </c>
      <c r="T1023" s="50">
        <f>SUMIFS(INDEX(Техника!$F$1:$ABM$500,T$2,0),Техника!$F$4:$ABM$4,"Часы",INDEX(Техника!$G$1:$ABN$500,T$2,0),$A$1019,INDEX(Техника!$H$1:$ABO$500,T$2,0),"Л")</f>
        <v>0</v>
      </c>
      <c r="U1023" s="50">
        <f>SUMIFS(INDEX(Техника!$F$1:$ABM$500,U$2,0),Техника!$F$4:$ABM$4,"Часы",INDEX(Техника!$G$1:$ABN$500,U$2,0),$A$1019,INDEX(Техника!$H$1:$ABO$500,U$2,0),"Л")</f>
        <v>0</v>
      </c>
      <c r="V1023" s="50">
        <f>SUMIFS(INDEX(Техника!$F$1:$ABM$500,V$2,0),Техника!$F$4:$ABM$4,"Часы",INDEX(Техника!$G$1:$ABN$500,V$2,0),$A$1019,INDEX(Техника!$H$1:$ABO$500,V$2,0),"Л")</f>
        <v>0</v>
      </c>
      <c r="W1023" s="50">
        <f>SUMIFS(INDEX(Техника!$F$1:$ABM$500,W$2,0),Техника!$F$4:$ABM$4,"Часы",INDEX(Техника!$G$1:$ABN$500,W$2,0),$A$1019,INDEX(Техника!$H$1:$ABO$500,W$2,0),"Л")</f>
        <v>0</v>
      </c>
      <c r="X1023" s="50">
        <f>SUMIFS(INDEX(Техника!$F$1:$ABM$500,X$2,0),Техника!$F$4:$ABM$4,"Часы",INDEX(Техника!$G$1:$ABN$500,X$2,0),$A$1019,INDEX(Техника!$H$1:$ABO$500,X$2,0),"Л")</f>
        <v>0</v>
      </c>
      <c r="Y1023" s="50">
        <f>SUMIFS(INDEX(Техника!$F$1:$ABM$500,Y$2,0),Техника!$F$4:$ABM$4,"Часы",INDEX(Техника!$G$1:$ABN$500,Y$2,0),$A$1019,INDEX(Техника!$H$1:$ABO$500,Y$2,0),"Л")</f>
        <v>0</v>
      </c>
      <c r="Z1023" s="50">
        <f>SUMIFS(INDEX(Техника!$F$1:$ABM$500,Z$2,0),Техника!$F$4:$ABM$4,"Часы",INDEX(Техника!$G$1:$ABN$500,Z$2,0),$A$1019,INDEX(Техника!$H$1:$ABO$500,Z$2,0),"Л")</f>
        <v>0</v>
      </c>
      <c r="AA1023" s="50">
        <f>SUMIFS(INDEX(Техника!$F$1:$ABM$500,AA$2,0),Техника!$F$4:$ABM$4,"Часы",INDEX(Техника!$G$1:$ABN$500,AA$2,0),$A$1019,INDEX(Техника!$H$1:$ABO$500,AA$2,0),"Л")</f>
        <v>0</v>
      </c>
      <c r="AB1023" s="50">
        <f>SUMIFS(INDEX(Техника!$F$1:$ABM$500,AB$2,0),Техника!$F$4:$ABM$4,"Часы",INDEX(Техника!$G$1:$ABN$500,AB$2,0),$A$1019,INDEX(Техника!$H$1:$ABO$500,AB$2,0),"Л")</f>
        <v>0</v>
      </c>
    </row>
    <row r="1024" spans="1:28" hidden="1" outlineLevel="1" x14ac:dyDescent="0.3">
      <c r="A1024" s="33" t="s">
        <v>245</v>
      </c>
      <c r="B1024" s="34" t="s">
        <v>279</v>
      </c>
      <c r="C1024" s="50">
        <f>SUMIFS(INDEX(Техника!$F$1:$ABM$500,C$2,0),Техника!$F$4:$ABM$4,"Часы",INDEX(Техника!$G$1:$ABN$500,C$2,0),$A$1019,INDEX(Техника!$H$1:$ABO$500,C$2,0),"З")</f>
        <v>0</v>
      </c>
      <c r="D1024" s="50">
        <f>SUMIFS(INDEX(Техника!$F$1:$ABM$500,D$2,0),Техника!$F$4:$ABM$4,"Часы",INDEX(Техника!$G$1:$ABN$500,D$2,0),$A$1019,INDEX(Техника!$H$1:$ABO$500,D$2,0),"З")</f>
        <v>0</v>
      </c>
      <c r="E1024" s="50">
        <f>SUMIFS(INDEX(Техника!$F$1:$ABM$500,E$2,0),Техника!$F$4:$ABM$4,"Часы",INDEX(Техника!$G$1:$ABN$500,E$2,0),$A$1019,INDEX(Техника!$H$1:$ABO$500,E$2,0),"З")</f>
        <v>0</v>
      </c>
      <c r="F1024" s="50">
        <f>SUMIFS(INDEX(Техника!$F$1:$ABM$500,F$2,0),Техника!$F$4:$ABM$4,"Часы",INDEX(Техника!$G$1:$ABN$500,F$2,0),$A$1019,INDEX(Техника!$H$1:$ABO$500,F$2,0),"З")</f>
        <v>0</v>
      </c>
      <c r="G1024" s="50">
        <f>SUMIFS(INDEX(Техника!$F$1:$ABM$500,G$2,0),Техника!$F$4:$ABM$4,"Часы",INDEX(Техника!$G$1:$ABN$500,G$2,0),$A$1019,INDEX(Техника!$H$1:$ABO$500,G$2,0),"З")</f>
        <v>0</v>
      </c>
      <c r="H1024" s="50">
        <f>SUMIFS(INDEX(Техника!$F$1:$ABM$500,H$2,0),Техника!$F$4:$ABM$4,"Часы",INDEX(Техника!$G$1:$ABN$500,H$2,0),$A$1019,INDEX(Техника!$H$1:$ABO$500,H$2,0),"З")</f>
        <v>0</v>
      </c>
      <c r="I1024" s="50">
        <f>SUMIFS(INDEX(Техника!$F$1:$ABM$500,I$2,0),Техника!$F$4:$ABM$4,"Часы",INDEX(Техника!$G$1:$ABN$500,I$2,0),$A$1019,INDEX(Техника!$H$1:$ABO$500,I$2,0),"З")</f>
        <v>0</v>
      </c>
      <c r="J1024" s="50">
        <f>SUMIFS(INDEX(Техника!$F$1:$ABM$500,J$2,0),Техника!$F$4:$ABM$4,"Часы",INDEX(Техника!$G$1:$ABN$500,J$2,0),$A$1019,INDEX(Техника!$H$1:$ABO$500,J$2,0),"З")</f>
        <v>0</v>
      </c>
      <c r="K1024" s="50">
        <f>SUMIFS(INDEX(Техника!$F$1:$ABM$500,K$2,0),Техника!$F$4:$ABM$4,"Часы",INDEX(Техника!$G$1:$ABN$500,K$2,0),$A$1019,INDEX(Техника!$H$1:$ABO$500,K$2,0),"З")</f>
        <v>0</v>
      </c>
      <c r="L1024" s="50">
        <f>SUMIFS(INDEX(Техника!$F$1:$ABM$500,L$2,0),Техника!$F$4:$ABM$4,"Часы",INDEX(Техника!$G$1:$ABN$500,L$2,0),$A$1019,INDEX(Техника!$H$1:$ABO$500,L$2,0),"З")</f>
        <v>0</v>
      </c>
      <c r="M1024" s="50">
        <f>SUMIFS(INDEX(Техника!$F$1:$ABM$500,M$2,0),Техника!$F$4:$ABM$4,"Часы",INDEX(Техника!$G$1:$ABN$500,M$2,0),$A$1019,INDEX(Техника!$H$1:$ABO$500,M$2,0),"З")</f>
        <v>0</v>
      </c>
      <c r="N1024" s="50">
        <f>SUMIFS(INDEX(Техника!$F$1:$ABM$500,N$2,0),Техника!$F$4:$ABM$4,"Часы",INDEX(Техника!$G$1:$ABN$500,N$2,0),$A$1019,INDEX(Техника!$H$1:$ABO$500,N$2,0),"З")</f>
        <v>0</v>
      </c>
      <c r="O1024" s="50">
        <f>SUMIFS(INDEX(Техника!$F$1:$ABM$500,O$2,0),Техника!$F$4:$ABM$4,"Часы",INDEX(Техника!$G$1:$ABN$500,O$2,0),$A$1019,INDEX(Техника!$H$1:$ABO$500,O$2,0),"З")</f>
        <v>0</v>
      </c>
      <c r="P1024" s="50">
        <f>SUMIFS(INDEX(Техника!$F$1:$ABM$500,P$2,0),Техника!$F$4:$ABM$4,"Часы",INDEX(Техника!$G$1:$ABN$500,P$2,0),$A$1019,INDEX(Техника!$H$1:$ABO$500,P$2,0),"З")</f>
        <v>0</v>
      </c>
      <c r="Q1024" s="50">
        <f>SUMIFS(INDEX(Техника!$F$1:$ABM$500,Q$2,0),Техника!$F$4:$ABM$4,"Часы",INDEX(Техника!$G$1:$ABN$500,Q$2,0),$A$1019,INDEX(Техника!$H$1:$ABO$500,Q$2,0),"З")</f>
        <v>0</v>
      </c>
      <c r="R1024" s="50">
        <f>SUMIFS(INDEX(Техника!$F$1:$ABM$500,R$2,0),Техника!$F$4:$ABM$4,"Часы",INDEX(Техника!$G$1:$ABN$500,R$2,0),$A$1019,INDEX(Техника!$H$1:$ABO$500,R$2,0),"З")</f>
        <v>0</v>
      </c>
      <c r="S1024" s="50">
        <f>SUMIFS(INDEX(Техника!$F$1:$ABM$500,S$2,0),Техника!$F$4:$ABM$4,"Часы",INDEX(Техника!$G$1:$ABN$500,S$2,0),$A$1019,INDEX(Техника!$H$1:$ABO$500,S$2,0),"З")</f>
        <v>0</v>
      </c>
      <c r="T1024" s="50">
        <f>SUMIFS(INDEX(Техника!$F$1:$ABM$500,T$2,0),Техника!$F$4:$ABM$4,"Часы",INDEX(Техника!$G$1:$ABN$500,T$2,0),$A$1019,INDEX(Техника!$H$1:$ABO$500,T$2,0),"З")</f>
        <v>0</v>
      </c>
      <c r="U1024" s="50">
        <f>SUMIFS(INDEX(Техника!$F$1:$ABM$500,U$2,0),Техника!$F$4:$ABM$4,"Часы",INDEX(Техника!$G$1:$ABN$500,U$2,0),$A$1019,INDEX(Техника!$H$1:$ABO$500,U$2,0),"З")</f>
        <v>0</v>
      </c>
      <c r="V1024" s="50">
        <f>SUMIFS(INDEX(Техника!$F$1:$ABM$500,V$2,0),Техника!$F$4:$ABM$4,"Часы",INDEX(Техника!$G$1:$ABN$500,V$2,0),$A$1019,INDEX(Техника!$H$1:$ABO$500,V$2,0),"З")</f>
        <v>0</v>
      </c>
      <c r="W1024" s="50">
        <f>SUMIFS(INDEX(Техника!$F$1:$ABM$500,W$2,0),Техника!$F$4:$ABM$4,"Часы",INDEX(Техника!$G$1:$ABN$500,W$2,0),$A$1019,INDEX(Техника!$H$1:$ABO$500,W$2,0),"З")</f>
        <v>0</v>
      </c>
      <c r="X1024" s="50">
        <f>SUMIFS(INDEX(Техника!$F$1:$ABM$500,X$2,0),Техника!$F$4:$ABM$4,"Часы",INDEX(Техника!$G$1:$ABN$500,X$2,0),$A$1019,INDEX(Техника!$H$1:$ABO$500,X$2,0),"З")</f>
        <v>0</v>
      </c>
      <c r="Y1024" s="50">
        <f>SUMIFS(INDEX(Техника!$F$1:$ABM$500,Y$2,0),Техника!$F$4:$ABM$4,"Часы",INDEX(Техника!$G$1:$ABN$500,Y$2,0),$A$1019,INDEX(Техника!$H$1:$ABO$500,Y$2,0),"З")</f>
        <v>0</v>
      </c>
      <c r="Z1024" s="50">
        <f>SUMIFS(INDEX(Техника!$F$1:$ABM$500,Z$2,0),Техника!$F$4:$ABM$4,"Часы",INDEX(Техника!$G$1:$ABN$500,Z$2,0),$A$1019,INDEX(Техника!$H$1:$ABO$500,Z$2,0),"З")</f>
        <v>0</v>
      </c>
      <c r="AA1024" s="50">
        <f>SUMIFS(INDEX(Техника!$F$1:$ABM$500,AA$2,0),Техника!$F$4:$ABM$4,"Часы",INDEX(Техника!$G$1:$ABN$500,AA$2,0),$A$1019,INDEX(Техника!$H$1:$ABO$500,AA$2,0),"З")</f>
        <v>0</v>
      </c>
      <c r="AB1024" s="50">
        <f>SUMIFS(INDEX(Техника!$F$1:$ABM$500,AB$2,0),Техника!$F$4:$ABM$4,"Часы",INDEX(Техника!$G$1:$ABN$500,AB$2,0),$A$1019,INDEX(Техника!$H$1:$ABO$500,AB$2,0),"З")</f>
        <v>0</v>
      </c>
    </row>
    <row r="1025" spans="1:28" ht="7.95" customHeight="1" x14ac:dyDescent="0.3">
      <c r="A1025" s="38"/>
      <c r="B1025" s="39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</row>
    <row r="1026" spans="1:28" ht="25.05" customHeight="1" collapsed="1" x14ac:dyDescent="0.3">
      <c r="A1026" s="32">
        <v>147</v>
      </c>
      <c r="B1026" s="32" t="s">
        <v>148</v>
      </c>
      <c r="C1026" s="49">
        <f>SUM(C1027:C1031)</f>
        <v>0</v>
      </c>
      <c r="D1026" s="49">
        <f>SUM(D1027:D1031)</f>
        <v>0</v>
      </c>
      <c r="E1026" s="49">
        <f>SUM(E1027:E1031)</f>
        <v>0</v>
      </c>
      <c r="F1026" s="49">
        <f>SUM(F1027:F1031)</f>
        <v>0</v>
      </c>
      <c r="G1026" s="49">
        <f>SUM(G1027:G1031)</f>
        <v>0</v>
      </c>
      <c r="H1026" s="49">
        <f>SUM(H1027:H1031)</f>
        <v>0</v>
      </c>
      <c r="I1026" s="49">
        <f>SUM(I1027:I1031)</f>
        <v>0</v>
      </c>
      <c r="J1026" s="49">
        <f>SUM(J1027:J1031)</f>
        <v>0</v>
      </c>
      <c r="K1026" s="49">
        <f>SUM(K1027:K1031)</f>
        <v>0</v>
      </c>
      <c r="L1026" s="49">
        <f>SUM(L1027:L1031)</f>
        <v>0</v>
      </c>
      <c r="M1026" s="49">
        <f>SUM(M1027:M1031)</f>
        <v>0</v>
      </c>
      <c r="N1026" s="49">
        <f>SUM(N1027:N1031)</f>
        <v>0</v>
      </c>
      <c r="O1026" s="49">
        <f>SUM(O1027:O1031)</f>
        <v>0</v>
      </c>
      <c r="P1026" s="49">
        <f>SUM(P1027:P1031)</f>
        <v>0</v>
      </c>
      <c r="Q1026" s="49">
        <f>SUM(Q1027:Q1031)</f>
        <v>0</v>
      </c>
      <c r="R1026" s="49">
        <f>SUM(R1027:R1031)</f>
        <v>0</v>
      </c>
      <c r="S1026" s="49">
        <f>SUM(S1027:S1031)</f>
        <v>0</v>
      </c>
      <c r="T1026" s="49">
        <f>SUM(T1027:T1031)</f>
        <v>0</v>
      </c>
      <c r="U1026" s="49">
        <f>SUM(U1027:U1031)</f>
        <v>0</v>
      </c>
      <c r="V1026" s="49">
        <f>SUM(V1027:V1031)</f>
        <v>0</v>
      </c>
      <c r="W1026" s="49">
        <f>SUM(W1027:W1031)</f>
        <v>0</v>
      </c>
      <c r="X1026" s="49">
        <f>SUM(X1027:X1031)</f>
        <v>0</v>
      </c>
      <c r="Y1026" s="49">
        <f>SUM(Y1027:Y1031)</f>
        <v>0</v>
      </c>
      <c r="Z1026" s="49">
        <f>SUM(Z1027:Z1031)</f>
        <v>0</v>
      </c>
      <c r="AA1026" s="49">
        <f>SUM(AA1027:AA1031)</f>
        <v>0</v>
      </c>
      <c r="AB1026" s="49">
        <f>SUM(AB1027:AB1031)</f>
        <v>0</v>
      </c>
    </row>
    <row r="1027" spans="1:28" hidden="1" outlineLevel="1" x14ac:dyDescent="0.3">
      <c r="A1027" s="33" t="s">
        <v>246</v>
      </c>
      <c r="B1027" s="34" t="s">
        <v>274</v>
      </c>
      <c r="C1027" s="50">
        <f>SUMIFS(INDEX(Техника!$F$1:$ABM$500,C$2,0),Техника!$F$4:$ABM$4,"Часы",INDEX(Техника!$G$1:$ABN$500,C$2,0),$A$1026,INDEX(Техника!$H$1:$ABO$500,C$2,0),"М")</f>
        <v>0</v>
      </c>
      <c r="D1027" s="50">
        <f>SUMIFS(INDEX(Техника!$F$1:$ABM$500,D$2,0),Техника!$F$4:$ABM$4,"Часы",INDEX(Техника!$G$1:$ABN$500,D$2,0),$A$1026,INDEX(Техника!$H$1:$ABO$500,D$2,0),"М")</f>
        <v>0</v>
      </c>
      <c r="E1027" s="50">
        <f>SUMIFS(INDEX(Техника!$F$1:$ABM$500,E$2,0),Техника!$F$4:$ABM$4,"Часы",INDEX(Техника!$G$1:$ABN$500,E$2,0),$A$1026,INDEX(Техника!$H$1:$ABO$500,E$2,0),"М")</f>
        <v>0</v>
      </c>
      <c r="F1027" s="50">
        <f>SUMIFS(INDEX(Техника!$F$1:$ABM$500,F$2,0),Техника!$F$4:$ABM$4,"Часы",INDEX(Техника!$G$1:$ABN$500,F$2,0),$A$1026,INDEX(Техника!$H$1:$ABO$500,F$2,0),"М")</f>
        <v>0</v>
      </c>
      <c r="G1027" s="50">
        <f>SUMIFS(INDEX(Техника!$F$1:$ABM$500,G$2,0),Техника!$F$4:$ABM$4,"Часы",INDEX(Техника!$G$1:$ABN$500,G$2,0),$A$1026,INDEX(Техника!$H$1:$ABO$500,G$2,0),"М")</f>
        <v>0</v>
      </c>
      <c r="H1027" s="50">
        <f>SUMIFS(INDEX(Техника!$F$1:$ABM$500,H$2,0),Техника!$F$4:$ABM$4,"Часы",INDEX(Техника!$G$1:$ABN$500,H$2,0),$A$1026,INDEX(Техника!$H$1:$ABO$500,H$2,0),"М")</f>
        <v>0</v>
      </c>
      <c r="I1027" s="50">
        <f>SUMIFS(INDEX(Техника!$F$1:$ABM$500,I$2,0),Техника!$F$4:$ABM$4,"Часы",INDEX(Техника!$G$1:$ABN$500,I$2,0),$A$1026,INDEX(Техника!$H$1:$ABO$500,I$2,0),"М")</f>
        <v>0</v>
      </c>
      <c r="J1027" s="50">
        <f>SUMIFS(INDEX(Техника!$F$1:$ABM$500,J$2,0),Техника!$F$4:$ABM$4,"Часы",INDEX(Техника!$G$1:$ABN$500,J$2,0),$A$1026,INDEX(Техника!$H$1:$ABO$500,J$2,0),"М")</f>
        <v>0</v>
      </c>
      <c r="K1027" s="50">
        <f>SUMIFS(INDEX(Техника!$F$1:$ABM$500,K$2,0),Техника!$F$4:$ABM$4,"Часы",INDEX(Техника!$G$1:$ABN$500,K$2,0),$A$1026,INDEX(Техника!$H$1:$ABO$500,K$2,0),"М")</f>
        <v>0</v>
      </c>
      <c r="L1027" s="50">
        <f>SUMIFS(INDEX(Техника!$F$1:$ABM$500,L$2,0),Техника!$F$4:$ABM$4,"Часы",INDEX(Техника!$G$1:$ABN$500,L$2,0),$A$1026,INDEX(Техника!$H$1:$ABO$500,L$2,0),"М")</f>
        <v>0</v>
      </c>
      <c r="M1027" s="50">
        <f>SUMIFS(INDEX(Техника!$F$1:$ABM$500,M$2,0),Техника!$F$4:$ABM$4,"Часы",INDEX(Техника!$G$1:$ABN$500,M$2,0),$A$1026,INDEX(Техника!$H$1:$ABO$500,M$2,0),"М")</f>
        <v>0</v>
      </c>
      <c r="N1027" s="50">
        <f>SUMIFS(INDEX(Техника!$F$1:$ABM$500,N$2,0),Техника!$F$4:$ABM$4,"Часы",INDEX(Техника!$G$1:$ABN$500,N$2,0),$A$1026,INDEX(Техника!$H$1:$ABO$500,N$2,0),"М")</f>
        <v>0</v>
      </c>
      <c r="O1027" s="50">
        <f>SUMIFS(INDEX(Техника!$F$1:$ABM$500,O$2,0),Техника!$F$4:$ABM$4,"Часы",INDEX(Техника!$G$1:$ABN$500,O$2,0),$A$1026,INDEX(Техника!$H$1:$ABO$500,O$2,0),"М")</f>
        <v>0</v>
      </c>
      <c r="P1027" s="50">
        <f>SUMIFS(INDEX(Техника!$F$1:$ABM$500,P$2,0),Техника!$F$4:$ABM$4,"Часы",INDEX(Техника!$G$1:$ABN$500,P$2,0),$A$1026,INDEX(Техника!$H$1:$ABO$500,P$2,0),"М")</f>
        <v>0</v>
      </c>
      <c r="Q1027" s="50">
        <f>SUMIFS(INDEX(Техника!$F$1:$ABM$500,Q$2,0),Техника!$F$4:$ABM$4,"Часы",INDEX(Техника!$G$1:$ABN$500,Q$2,0),$A$1026,INDEX(Техника!$H$1:$ABO$500,Q$2,0),"М")</f>
        <v>0</v>
      </c>
      <c r="R1027" s="50">
        <f>SUMIFS(INDEX(Техника!$F$1:$ABM$500,R$2,0),Техника!$F$4:$ABM$4,"Часы",INDEX(Техника!$G$1:$ABN$500,R$2,0),$A$1026,INDEX(Техника!$H$1:$ABO$500,R$2,0),"М")</f>
        <v>0</v>
      </c>
      <c r="S1027" s="50">
        <f>SUMIFS(INDEX(Техника!$F$1:$ABM$500,S$2,0),Техника!$F$4:$ABM$4,"Часы",INDEX(Техника!$G$1:$ABN$500,S$2,0),$A$1026,INDEX(Техника!$H$1:$ABO$500,S$2,0),"М")</f>
        <v>0</v>
      </c>
      <c r="T1027" s="50">
        <f>SUMIFS(INDEX(Техника!$F$1:$ABM$500,T$2,0),Техника!$F$4:$ABM$4,"Часы",INDEX(Техника!$G$1:$ABN$500,T$2,0),$A$1026,INDEX(Техника!$H$1:$ABO$500,T$2,0),"М")</f>
        <v>0</v>
      </c>
      <c r="U1027" s="50">
        <f>SUMIFS(INDEX(Техника!$F$1:$ABM$500,U$2,0),Техника!$F$4:$ABM$4,"Часы",INDEX(Техника!$G$1:$ABN$500,U$2,0),$A$1026,INDEX(Техника!$H$1:$ABO$500,U$2,0),"М")</f>
        <v>0</v>
      </c>
      <c r="V1027" s="50">
        <f>SUMIFS(INDEX(Техника!$F$1:$ABM$500,V$2,0),Техника!$F$4:$ABM$4,"Часы",INDEX(Техника!$G$1:$ABN$500,V$2,0),$A$1026,INDEX(Техника!$H$1:$ABO$500,V$2,0),"М")</f>
        <v>0</v>
      </c>
      <c r="W1027" s="50">
        <f>SUMIFS(INDEX(Техника!$F$1:$ABM$500,W$2,0),Техника!$F$4:$ABM$4,"Часы",INDEX(Техника!$G$1:$ABN$500,W$2,0),$A$1026,INDEX(Техника!$H$1:$ABO$500,W$2,0),"М")</f>
        <v>0</v>
      </c>
      <c r="X1027" s="50">
        <f>SUMIFS(INDEX(Техника!$F$1:$ABM$500,X$2,0),Техника!$F$4:$ABM$4,"Часы",INDEX(Техника!$G$1:$ABN$500,X$2,0),$A$1026,INDEX(Техника!$H$1:$ABO$500,X$2,0),"М")</f>
        <v>0</v>
      </c>
      <c r="Y1027" s="50">
        <f>SUMIFS(INDEX(Техника!$F$1:$ABM$500,Y$2,0),Техника!$F$4:$ABM$4,"Часы",INDEX(Техника!$G$1:$ABN$500,Y$2,0),$A$1026,INDEX(Техника!$H$1:$ABO$500,Y$2,0),"М")</f>
        <v>0</v>
      </c>
      <c r="Z1027" s="50">
        <f>SUMIFS(INDEX(Техника!$F$1:$ABM$500,Z$2,0),Техника!$F$4:$ABM$4,"Часы",INDEX(Техника!$G$1:$ABN$500,Z$2,0),$A$1026,INDEX(Техника!$H$1:$ABO$500,Z$2,0),"М")</f>
        <v>0</v>
      </c>
      <c r="AA1027" s="50">
        <f>SUMIFS(INDEX(Техника!$F$1:$ABM$500,AA$2,0),Техника!$F$4:$ABM$4,"Часы",INDEX(Техника!$G$1:$ABN$500,AA$2,0),$A$1026,INDEX(Техника!$H$1:$ABO$500,AA$2,0),"М")</f>
        <v>0</v>
      </c>
      <c r="AB1027" s="50">
        <f>SUMIFS(INDEX(Техника!$F$1:$ABM$500,AB$2,0),Техника!$F$4:$ABM$4,"Часы",INDEX(Техника!$G$1:$ABN$500,AB$2,0),$A$1026,INDEX(Техника!$H$1:$ABO$500,AB$2,0),"М")</f>
        <v>0</v>
      </c>
    </row>
    <row r="1028" spans="1:28" hidden="1" outlineLevel="1" x14ac:dyDescent="0.3">
      <c r="A1028" s="33" t="s">
        <v>244</v>
      </c>
      <c r="B1028" s="34" t="s">
        <v>275</v>
      </c>
      <c r="C1028" s="50">
        <f>SUMIFS(INDEX(Техника!$F$1:$ABM$500,C$2,0),Техника!$F$4:$ABM$4,"Часы",INDEX(Техника!$G$1:$ABN$500,C$2,0),$A$1026,INDEX(Техника!$H$1:$ABO$500,C$2,0),"Д")</f>
        <v>0</v>
      </c>
      <c r="D1028" s="50">
        <f>SUMIFS(INDEX(Техника!$F$1:$ABM$500,D$2,0),Техника!$F$4:$ABM$4,"Часы",INDEX(Техника!$G$1:$ABN$500,D$2,0),$A$1026,INDEX(Техника!$H$1:$ABO$500,D$2,0),"Д")</f>
        <v>0</v>
      </c>
      <c r="E1028" s="50">
        <f>SUMIFS(INDEX(Техника!$F$1:$ABM$500,E$2,0),Техника!$F$4:$ABM$4,"Часы",INDEX(Техника!$G$1:$ABN$500,E$2,0),$A$1026,INDEX(Техника!$H$1:$ABO$500,E$2,0),"Д")</f>
        <v>0</v>
      </c>
      <c r="F1028" s="50">
        <f>SUMIFS(INDEX(Техника!$F$1:$ABM$500,F$2,0),Техника!$F$4:$ABM$4,"Часы",INDEX(Техника!$G$1:$ABN$500,F$2,0),$A$1026,INDEX(Техника!$H$1:$ABO$500,F$2,0),"Д")</f>
        <v>0</v>
      </c>
      <c r="G1028" s="50">
        <f>SUMIFS(INDEX(Техника!$F$1:$ABM$500,G$2,0),Техника!$F$4:$ABM$4,"Часы",INDEX(Техника!$G$1:$ABN$500,G$2,0),$A$1026,INDEX(Техника!$H$1:$ABO$500,G$2,0),"Д")</f>
        <v>0</v>
      </c>
      <c r="H1028" s="50">
        <f>SUMIFS(INDEX(Техника!$F$1:$ABM$500,H$2,0),Техника!$F$4:$ABM$4,"Часы",INDEX(Техника!$G$1:$ABN$500,H$2,0),$A$1026,INDEX(Техника!$H$1:$ABO$500,H$2,0),"Д")</f>
        <v>0</v>
      </c>
      <c r="I1028" s="50">
        <f>SUMIFS(INDEX(Техника!$F$1:$ABM$500,I$2,0),Техника!$F$4:$ABM$4,"Часы",INDEX(Техника!$G$1:$ABN$500,I$2,0),$A$1026,INDEX(Техника!$H$1:$ABO$500,I$2,0),"Д")</f>
        <v>0</v>
      </c>
      <c r="J1028" s="50">
        <f>SUMIFS(INDEX(Техника!$F$1:$ABM$500,J$2,0),Техника!$F$4:$ABM$4,"Часы",INDEX(Техника!$G$1:$ABN$500,J$2,0),$A$1026,INDEX(Техника!$H$1:$ABO$500,J$2,0),"Д")</f>
        <v>0</v>
      </c>
      <c r="K1028" s="50">
        <f>SUMIFS(INDEX(Техника!$F$1:$ABM$500,K$2,0),Техника!$F$4:$ABM$4,"Часы",INDEX(Техника!$G$1:$ABN$500,K$2,0),$A$1026,INDEX(Техника!$H$1:$ABO$500,K$2,0),"Д")</f>
        <v>0</v>
      </c>
      <c r="L1028" s="50">
        <f>SUMIFS(INDEX(Техника!$F$1:$ABM$500,L$2,0),Техника!$F$4:$ABM$4,"Часы",INDEX(Техника!$G$1:$ABN$500,L$2,0),$A$1026,INDEX(Техника!$H$1:$ABO$500,L$2,0),"Д")</f>
        <v>0</v>
      </c>
      <c r="M1028" s="50">
        <f>SUMIFS(INDEX(Техника!$F$1:$ABM$500,M$2,0),Техника!$F$4:$ABM$4,"Часы",INDEX(Техника!$G$1:$ABN$500,M$2,0),$A$1026,INDEX(Техника!$H$1:$ABO$500,M$2,0),"Д")</f>
        <v>0</v>
      </c>
      <c r="N1028" s="50">
        <f>SUMIFS(INDEX(Техника!$F$1:$ABM$500,N$2,0),Техника!$F$4:$ABM$4,"Часы",INDEX(Техника!$G$1:$ABN$500,N$2,0),$A$1026,INDEX(Техника!$H$1:$ABO$500,N$2,0),"Д")</f>
        <v>0</v>
      </c>
      <c r="O1028" s="50">
        <f>SUMIFS(INDEX(Техника!$F$1:$ABM$500,O$2,0),Техника!$F$4:$ABM$4,"Часы",INDEX(Техника!$G$1:$ABN$500,O$2,0),$A$1026,INDEX(Техника!$H$1:$ABO$500,O$2,0),"Д")</f>
        <v>0</v>
      </c>
      <c r="P1028" s="50">
        <f>SUMIFS(INDEX(Техника!$F$1:$ABM$500,P$2,0),Техника!$F$4:$ABM$4,"Часы",INDEX(Техника!$G$1:$ABN$500,P$2,0),$A$1026,INDEX(Техника!$H$1:$ABO$500,P$2,0),"Д")</f>
        <v>0</v>
      </c>
      <c r="Q1028" s="50">
        <f>SUMIFS(INDEX(Техника!$F$1:$ABM$500,Q$2,0),Техника!$F$4:$ABM$4,"Часы",INDEX(Техника!$G$1:$ABN$500,Q$2,0),$A$1026,INDEX(Техника!$H$1:$ABO$500,Q$2,0),"Д")</f>
        <v>0</v>
      </c>
      <c r="R1028" s="50">
        <f>SUMIFS(INDEX(Техника!$F$1:$ABM$500,R$2,0),Техника!$F$4:$ABM$4,"Часы",INDEX(Техника!$G$1:$ABN$500,R$2,0),$A$1026,INDEX(Техника!$H$1:$ABO$500,R$2,0),"Д")</f>
        <v>0</v>
      </c>
      <c r="S1028" s="50">
        <f>SUMIFS(INDEX(Техника!$F$1:$ABM$500,S$2,0),Техника!$F$4:$ABM$4,"Часы",INDEX(Техника!$G$1:$ABN$500,S$2,0),$A$1026,INDEX(Техника!$H$1:$ABO$500,S$2,0),"Д")</f>
        <v>0</v>
      </c>
      <c r="T1028" s="50">
        <f>SUMIFS(INDEX(Техника!$F$1:$ABM$500,T$2,0),Техника!$F$4:$ABM$4,"Часы",INDEX(Техника!$G$1:$ABN$500,T$2,0),$A$1026,INDEX(Техника!$H$1:$ABO$500,T$2,0),"Д")</f>
        <v>0</v>
      </c>
      <c r="U1028" s="50">
        <f>SUMIFS(INDEX(Техника!$F$1:$ABM$500,U$2,0),Техника!$F$4:$ABM$4,"Часы",INDEX(Техника!$G$1:$ABN$500,U$2,0),$A$1026,INDEX(Техника!$H$1:$ABO$500,U$2,0),"Д")</f>
        <v>0</v>
      </c>
      <c r="V1028" s="50">
        <f>SUMIFS(INDEX(Техника!$F$1:$ABM$500,V$2,0),Техника!$F$4:$ABM$4,"Часы",INDEX(Техника!$G$1:$ABN$500,V$2,0),$A$1026,INDEX(Техника!$H$1:$ABO$500,V$2,0),"Д")</f>
        <v>0</v>
      </c>
      <c r="W1028" s="50">
        <f>SUMIFS(INDEX(Техника!$F$1:$ABM$500,W$2,0),Техника!$F$4:$ABM$4,"Часы",INDEX(Техника!$G$1:$ABN$500,W$2,0),$A$1026,INDEX(Техника!$H$1:$ABO$500,W$2,0),"Д")</f>
        <v>0</v>
      </c>
      <c r="X1028" s="50">
        <f>SUMIFS(INDEX(Техника!$F$1:$ABM$500,X$2,0),Техника!$F$4:$ABM$4,"Часы",INDEX(Техника!$G$1:$ABN$500,X$2,0),$A$1026,INDEX(Техника!$H$1:$ABO$500,X$2,0),"Д")</f>
        <v>0</v>
      </c>
      <c r="Y1028" s="50">
        <f>SUMIFS(INDEX(Техника!$F$1:$ABM$500,Y$2,0),Техника!$F$4:$ABM$4,"Часы",INDEX(Техника!$G$1:$ABN$500,Y$2,0),$A$1026,INDEX(Техника!$H$1:$ABO$500,Y$2,0),"Д")</f>
        <v>0</v>
      </c>
      <c r="Z1028" s="50">
        <f>SUMIFS(INDEX(Техника!$F$1:$ABM$500,Z$2,0),Техника!$F$4:$ABM$4,"Часы",INDEX(Техника!$G$1:$ABN$500,Z$2,0),$A$1026,INDEX(Техника!$H$1:$ABO$500,Z$2,0),"Д")</f>
        <v>0</v>
      </c>
      <c r="AA1028" s="50">
        <f>SUMIFS(INDEX(Техника!$F$1:$ABM$500,AA$2,0),Техника!$F$4:$ABM$4,"Часы",INDEX(Техника!$G$1:$ABN$500,AA$2,0),$A$1026,INDEX(Техника!$H$1:$ABO$500,AA$2,0),"Д")</f>
        <v>0</v>
      </c>
      <c r="AB1028" s="50">
        <f>SUMIFS(INDEX(Техника!$F$1:$ABM$500,AB$2,0),Техника!$F$4:$ABM$4,"Часы",INDEX(Техника!$G$1:$ABN$500,AB$2,0),$A$1026,INDEX(Техника!$H$1:$ABO$500,AB$2,0),"Д")</f>
        <v>0</v>
      </c>
    </row>
    <row r="1029" spans="1:28" hidden="1" outlineLevel="1" x14ac:dyDescent="0.3">
      <c r="A1029" s="33" t="s">
        <v>276</v>
      </c>
      <c r="B1029" s="34" t="s">
        <v>277</v>
      </c>
      <c r="C1029" s="50">
        <f>SUMIFS(INDEX(Техника!$F$1:$ABM$500,C$2,0),Техника!$F$4:$ABM$4,"Часы",INDEX(Техника!$G$1:$ABN$500,C$2,0),$A$1026,INDEX(Техника!$H$1:$ABO$500,C$2,0),"П")</f>
        <v>0</v>
      </c>
      <c r="D1029" s="50">
        <f>SUMIFS(INDEX(Техника!$F$1:$ABM$500,D$2,0),Техника!$F$4:$ABM$4,"Часы",INDEX(Техника!$G$1:$ABN$500,D$2,0),$A$1026,INDEX(Техника!$H$1:$ABO$500,D$2,0),"П")</f>
        <v>0</v>
      </c>
      <c r="E1029" s="50">
        <f>SUMIFS(INDEX(Техника!$F$1:$ABM$500,E$2,0),Техника!$F$4:$ABM$4,"Часы",INDEX(Техника!$G$1:$ABN$500,E$2,0),$A$1026,INDEX(Техника!$H$1:$ABO$500,E$2,0),"П")</f>
        <v>0</v>
      </c>
      <c r="F1029" s="50">
        <f>SUMIFS(INDEX(Техника!$F$1:$ABM$500,F$2,0),Техника!$F$4:$ABM$4,"Часы",INDEX(Техника!$G$1:$ABN$500,F$2,0),$A$1026,INDEX(Техника!$H$1:$ABO$500,F$2,0),"П")</f>
        <v>0</v>
      </c>
      <c r="G1029" s="50">
        <f>SUMIFS(INDEX(Техника!$F$1:$ABM$500,G$2,0),Техника!$F$4:$ABM$4,"Часы",INDEX(Техника!$G$1:$ABN$500,G$2,0),$A$1026,INDEX(Техника!$H$1:$ABO$500,G$2,0),"П")</f>
        <v>0</v>
      </c>
      <c r="H1029" s="50">
        <f>SUMIFS(INDEX(Техника!$F$1:$ABM$500,H$2,0),Техника!$F$4:$ABM$4,"Часы",INDEX(Техника!$G$1:$ABN$500,H$2,0),$A$1026,INDEX(Техника!$H$1:$ABO$500,H$2,0),"П")</f>
        <v>0</v>
      </c>
      <c r="I1029" s="50">
        <f>SUMIFS(INDEX(Техника!$F$1:$ABM$500,I$2,0),Техника!$F$4:$ABM$4,"Часы",INDEX(Техника!$G$1:$ABN$500,I$2,0),$A$1026,INDEX(Техника!$H$1:$ABO$500,I$2,0),"П")</f>
        <v>0</v>
      </c>
      <c r="J1029" s="50">
        <f>SUMIFS(INDEX(Техника!$F$1:$ABM$500,J$2,0),Техника!$F$4:$ABM$4,"Часы",INDEX(Техника!$G$1:$ABN$500,J$2,0),$A$1026,INDEX(Техника!$H$1:$ABO$500,J$2,0),"П")</f>
        <v>0</v>
      </c>
      <c r="K1029" s="50">
        <f>SUMIFS(INDEX(Техника!$F$1:$ABM$500,K$2,0),Техника!$F$4:$ABM$4,"Часы",INDEX(Техника!$G$1:$ABN$500,K$2,0),$A$1026,INDEX(Техника!$H$1:$ABO$500,K$2,0),"П")</f>
        <v>0</v>
      </c>
      <c r="L1029" s="50">
        <f>SUMIFS(INDEX(Техника!$F$1:$ABM$500,L$2,0),Техника!$F$4:$ABM$4,"Часы",INDEX(Техника!$G$1:$ABN$500,L$2,0),$A$1026,INDEX(Техника!$H$1:$ABO$500,L$2,0),"П")</f>
        <v>0</v>
      </c>
      <c r="M1029" s="50">
        <f>SUMIFS(INDEX(Техника!$F$1:$ABM$500,M$2,0),Техника!$F$4:$ABM$4,"Часы",INDEX(Техника!$G$1:$ABN$500,M$2,0),$A$1026,INDEX(Техника!$H$1:$ABO$500,M$2,0),"П")</f>
        <v>0</v>
      </c>
      <c r="N1029" s="50">
        <f>SUMIFS(INDEX(Техника!$F$1:$ABM$500,N$2,0),Техника!$F$4:$ABM$4,"Часы",INDEX(Техника!$G$1:$ABN$500,N$2,0),$A$1026,INDEX(Техника!$H$1:$ABO$500,N$2,0),"П")</f>
        <v>0</v>
      </c>
      <c r="O1029" s="50">
        <f>SUMIFS(INDEX(Техника!$F$1:$ABM$500,O$2,0),Техника!$F$4:$ABM$4,"Часы",INDEX(Техника!$G$1:$ABN$500,O$2,0),$A$1026,INDEX(Техника!$H$1:$ABO$500,O$2,0),"П")</f>
        <v>0</v>
      </c>
      <c r="P1029" s="50">
        <f>SUMIFS(INDEX(Техника!$F$1:$ABM$500,P$2,0),Техника!$F$4:$ABM$4,"Часы",INDEX(Техника!$G$1:$ABN$500,P$2,0),$A$1026,INDEX(Техника!$H$1:$ABO$500,P$2,0),"П")</f>
        <v>0</v>
      </c>
      <c r="Q1029" s="50">
        <f>SUMIFS(INDEX(Техника!$F$1:$ABM$500,Q$2,0),Техника!$F$4:$ABM$4,"Часы",INDEX(Техника!$G$1:$ABN$500,Q$2,0),$A$1026,INDEX(Техника!$H$1:$ABO$500,Q$2,0),"П")</f>
        <v>0</v>
      </c>
      <c r="R1029" s="50">
        <f>SUMIFS(INDEX(Техника!$F$1:$ABM$500,R$2,0),Техника!$F$4:$ABM$4,"Часы",INDEX(Техника!$G$1:$ABN$500,R$2,0),$A$1026,INDEX(Техника!$H$1:$ABO$500,R$2,0),"П")</f>
        <v>0</v>
      </c>
      <c r="S1029" s="50">
        <f>SUMIFS(INDEX(Техника!$F$1:$ABM$500,S$2,0),Техника!$F$4:$ABM$4,"Часы",INDEX(Техника!$G$1:$ABN$500,S$2,0),$A$1026,INDEX(Техника!$H$1:$ABO$500,S$2,0),"П")</f>
        <v>0</v>
      </c>
      <c r="T1029" s="50">
        <f>SUMIFS(INDEX(Техника!$F$1:$ABM$500,T$2,0),Техника!$F$4:$ABM$4,"Часы",INDEX(Техника!$G$1:$ABN$500,T$2,0),$A$1026,INDEX(Техника!$H$1:$ABO$500,T$2,0),"П")</f>
        <v>0</v>
      </c>
      <c r="U1029" s="50">
        <f>SUMIFS(INDEX(Техника!$F$1:$ABM$500,U$2,0),Техника!$F$4:$ABM$4,"Часы",INDEX(Техника!$G$1:$ABN$500,U$2,0),$A$1026,INDEX(Техника!$H$1:$ABO$500,U$2,0),"П")</f>
        <v>0</v>
      </c>
      <c r="V1029" s="50">
        <f>SUMIFS(INDEX(Техника!$F$1:$ABM$500,V$2,0),Техника!$F$4:$ABM$4,"Часы",INDEX(Техника!$G$1:$ABN$500,V$2,0),$A$1026,INDEX(Техника!$H$1:$ABO$500,V$2,0),"П")</f>
        <v>0</v>
      </c>
      <c r="W1029" s="50">
        <f>SUMIFS(INDEX(Техника!$F$1:$ABM$500,W$2,0),Техника!$F$4:$ABM$4,"Часы",INDEX(Техника!$G$1:$ABN$500,W$2,0),$A$1026,INDEX(Техника!$H$1:$ABO$500,W$2,0),"П")</f>
        <v>0</v>
      </c>
      <c r="X1029" s="50">
        <f>SUMIFS(INDEX(Техника!$F$1:$ABM$500,X$2,0),Техника!$F$4:$ABM$4,"Часы",INDEX(Техника!$G$1:$ABN$500,X$2,0),$A$1026,INDEX(Техника!$H$1:$ABO$500,X$2,0),"П")</f>
        <v>0</v>
      </c>
      <c r="Y1029" s="50">
        <f>SUMIFS(INDEX(Техника!$F$1:$ABM$500,Y$2,0),Техника!$F$4:$ABM$4,"Часы",INDEX(Техника!$G$1:$ABN$500,Y$2,0),$A$1026,INDEX(Техника!$H$1:$ABO$500,Y$2,0),"П")</f>
        <v>0</v>
      </c>
      <c r="Z1029" s="50">
        <f>SUMIFS(INDEX(Техника!$F$1:$ABM$500,Z$2,0),Техника!$F$4:$ABM$4,"Часы",INDEX(Техника!$G$1:$ABN$500,Z$2,0),$A$1026,INDEX(Техника!$H$1:$ABO$500,Z$2,0),"П")</f>
        <v>0</v>
      </c>
      <c r="AA1029" s="50">
        <f>SUMIFS(INDEX(Техника!$F$1:$ABM$500,AA$2,0),Техника!$F$4:$ABM$4,"Часы",INDEX(Техника!$G$1:$ABN$500,AA$2,0),$A$1026,INDEX(Техника!$H$1:$ABO$500,AA$2,0),"П")</f>
        <v>0</v>
      </c>
      <c r="AB1029" s="50">
        <f>SUMIFS(INDEX(Техника!$F$1:$ABM$500,AB$2,0),Техника!$F$4:$ABM$4,"Часы",INDEX(Техника!$G$1:$ABN$500,AB$2,0),$A$1026,INDEX(Техника!$H$1:$ABO$500,AB$2,0),"П")</f>
        <v>0</v>
      </c>
    </row>
    <row r="1030" spans="1:28" hidden="1" outlineLevel="1" x14ac:dyDescent="0.3">
      <c r="A1030" s="33" t="s">
        <v>243</v>
      </c>
      <c r="B1030" s="34" t="s">
        <v>278</v>
      </c>
      <c r="C1030" s="50">
        <f>SUMIFS(INDEX(Техника!$F$1:$ABM$500,C$2,0),Техника!$F$4:$ABM$4,"Часы",INDEX(Техника!$G$1:$ABN$500,C$2,0),$A$1026,INDEX(Техника!$H$1:$ABO$500,C$2,0),"Л")</f>
        <v>0</v>
      </c>
      <c r="D1030" s="50">
        <f>SUMIFS(INDEX(Техника!$F$1:$ABM$500,D$2,0),Техника!$F$4:$ABM$4,"Часы",INDEX(Техника!$G$1:$ABN$500,D$2,0),$A$1026,INDEX(Техника!$H$1:$ABO$500,D$2,0),"Л")</f>
        <v>0</v>
      </c>
      <c r="E1030" s="50">
        <f>SUMIFS(INDEX(Техника!$F$1:$ABM$500,E$2,0),Техника!$F$4:$ABM$4,"Часы",INDEX(Техника!$G$1:$ABN$500,E$2,0),$A$1026,INDEX(Техника!$H$1:$ABO$500,E$2,0),"Л")</f>
        <v>0</v>
      </c>
      <c r="F1030" s="50">
        <f>SUMIFS(INDEX(Техника!$F$1:$ABM$500,F$2,0),Техника!$F$4:$ABM$4,"Часы",INDEX(Техника!$G$1:$ABN$500,F$2,0),$A$1026,INDEX(Техника!$H$1:$ABO$500,F$2,0),"Л")</f>
        <v>0</v>
      </c>
      <c r="G1030" s="50">
        <f>SUMIFS(INDEX(Техника!$F$1:$ABM$500,G$2,0),Техника!$F$4:$ABM$4,"Часы",INDEX(Техника!$G$1:$ABN$500,G$2,0),$A$1026,INDEX(Техника!$H$1:$ABO$500,G$2,0),"Л")</f>
        <v>0</v>
      </c>
      <c r="H1030" s="50">
        <f>SUMIFS(INDEX(Техника!$F$1:$ABM$500,H$2,0),Техника!$F$4:$ABM$4,"Часы",INDEX(Техника!$G$1:$ABN$500,H$2,0),$A$1026,INDEX(Техника!$H$1:$ABO$500,H$2,0),"Л")</f>
        <v>0</v>
      </c>
      <c r="I1030" s="50">
        <f>SUMIFS(INDEX(Техника!$F$1:$ABM$500,I$2,0),Техника!$F$4:$ABM$4,"Часы",INDEX(Техника!$G$1:$ABN$500,I$2,0),$A$1026,INDEX(Техника!$H$1:$ABO$500,I$2,0),"Л")</f>
        <v>0</v>
      </c>
      <c r="J1030" s="50">
        <f>SUMIFS(INDEX(Техника!$F$1:$ABM$500,J$2,0),Техника!$F$4:$ABM$4,"Часы",INDEX(Техника!$G$1:$ABN$500,J$2,0),$A$1026,INDEX(Техника!$H$1:$ABO$500,J$2,0),"Л")</f>
        <v>0</v>
      </c>
      <c r="K1030" s="50">
        <f>SUMIFS(INDEX(Техника!$F$1:$ABM$500,K$2,0),Техника!$F$4:$ABM$4,"Часы",INDEX(Техника!$G$1:$ABN$500,K$2,0),$A$1026,INDEX(Техника!$H$1:$ABO$500,K$2,0),"Л")</f>
        <v>0</v>
      </c>
      <c r="L1030" s="50">
        <f>SUMIFS(INDEX(Техника!$F$1:$ABM$500,L$2,0),Техника!$F$4:$ABM$4,"Часы",INDEX(Техника!$G$1:$ABN$500,L$2,0),$A$1026,INDEX(Техника!$H$1:$ABO$500,L$2,0),"Л")</f>
        <v>0</v>
      </c>
      <c r="M1030" s="50">
        <f>SUMIFS(INDEX(Техника!$F$1:$ABM$500,M$2,0),Техника!$F$4:$ABM$4,"Часы",INDEX(Техника!$G$1:$ABN$500,M$2,0),$A$1026,INDEX(Техника!$H$1:$ABO$500,M$2,0),"Л")</f>
        <v>0</v>
      </c>
      <c r="N1030" s="50">
        <f>SUMIFS(INDEX(Техника!$F$1:$ABM$500,N$2,0),Техника!$F$4:$ABM$4,"Часы",INDEX(Техника!$G$1:$ABN$500,N$2,0),$A$1026,INDEX(Техника!$H$1:$ABO$500,N$2,0),"Л")</f>
        <v>0</v>
      </c>
      <c r="O1030" s="50">
        <f>SUMIFS(INDEX(Техника!$F$1:$ABM$500,O$2,0),Техника!$F$4:$ABM$4,"Часы",INDEX(Техника!$G$1:$ABN$500,O$2,0),$A$1026,INDEX(Техника!$H$1:$ABO$500,O$2,0),"Л")</f>
        <v>0</v>
      </c>
      <c r="P1030" s="50">
        <f>SUMIFS(INDEX(Техника!$F$1:$ABM$500,P$2,0),Техника!$F$4:$ABM$4,"Часы",INDEX(Техника!$G$1:$ABN$500,P$2,0),$A$1026,INDEX(Техника!$H$1:$ABO$500,P$2,0),"Л")</f>
        <v>0</v>
      </c>
      <c r="Q1030" s="50">
        <f>SUMIFS(INDEX(Техника!$F$1:$ABM$500,Q$2,0),Техника!$F$4:$ABM$4,"Часы",INDEX(Техника!$G$1:$ABN$500,Q$2,0),$A$1026,INDEX(Техника!$H$1:$ABO$500,Q$2,0),"Л")</f>
        <v>0</v>
      </c>
      <c r="R1030" s="50">
        <f>SUMIFS(INDEX(Техника!$F$1:$ABM$500,R$2,0),Техника!$F$4:$ABM$4,"Часы",INDEX(Техника!$G$1:$ABN$500,R$2,0),$A$1026,INDEX(Техника!$H$1:$ABO$500,R$2,0),"Л")</f>
        <v>0</v>
      </c>
      <c r="S1030" s="50">
        <f>SUMIFS(INDEX(Техника!$F$1:$ABM$500,S$2,0),Техника!$F$4:$ABM$4,"Часы",INDEX(Техника!$G$1:$ABN$500,S$2,0),$A$1026,INDEX(Техника!$H$1:$ABO$500,S$2,0),"Л")</f>
        <v>0</v>
      </c>
      <c r="T1030" s="50">
        <f>SUMIFS(INDEX(Техника!$F$1:$ABM$500,T$2,0),Техника!$F$4:$ABM$4,"Часы",INDEX(Техника!$G$1:$ABN$500,T$2,0),$A$1026,INDEX(Техника!$H$1:$ABO$500,T$2,0),"Л")</f>
        <v>0</v>
      </c>
      <c r="U1030" s="50">
        <f>SUMIFS(INDEX(Техника!$F$1:$ABM$500,U$2,0),Техника!$F$4:$ABM$4,"Часы",INDEX(Техника!$G$1:$ABN$500,U$2,0),$A$1026,INDEX(Техника!$H$1:$ABO$500,U$2,0),"Л")</f>
        <v>0</v>
      </c>
      <c r="V1030" s="50">
        <f>SUMIFS(INDEX(Техника!$F$1:$ABM$500,V$2,0),Техника!$F$4:$ABM$4,"Часы",INDEX(Техника!$G$1:$ABN$500,V$2,0),$A$1026,INDEX(Техника!$H$1:$ABO$500,V$2,0),"Л")</f>
        <v>0</v>
      </c>
      <c r="W1030" s="50">
        <f>SUMIFS(INDEX(Техника!$F$1:$ABM$500,W$2,0),Техника!$F$4:$ABM$4,"Часы",INDEX(Техника!$G$1:$ABN$500,W$2,0),$A$1026,INDEX(Техника!$H$1:$ABO$500,W$2,0),"Л")</f>
        <v>0</v>
      </c>
      <c r="X1030" s="50">
        <f>SUMIFS(INDEX(Техника!$F$1:$ABM$500,X$2,0),Техника!$F$4:$ABM$4,"Часы",INDEX(Техника!$G$1:$ABN$500,X$2,0),$A$1026,INDEX(Техника!$H$1:$ABO$500,X$2,0),"Л")</f>
        <v>0</v>
      </c>
      <c r="Y1030" s="50">
        <f>SUMIFS(INDEX(Техника!$F$1:$ABM$500,Y$2,0),Техника!$F$4:$ABM$4,"Часы",INDEX(Техника!$G$1:$ABN$500,Y$2,0),$A$1026,INDEX(Техника!$H$1:$ABO$500,Y$2,0),"Л")</f>
        <v>0</v>
      </c>
      <c r="Z1030" s="50">
        <f>SUMIFS(INDEX(Техника!$F$1:$ABM$500,Z$2,0),Техника!$F$4:$ABM$4,"Часы",INDEX(Техника!$G$1:$ABN$500,Z$2,0),$A$1026,INDEX(Техника!$H$1:$ABO$500,Z$2,0),"Л")</f>
        <v>0</v>
      </c>
      <c r="AA1030" s="50">
        <f>SUMIFS(INDEX(Техника!$F$1:$ABM$500,AA$2,0),Техника!$F$4:$ABM$4,"Часы",INDEX(Техника!$G$1:$ABN$500,AA$2,0),$A$1026,INDEX(Техника!$H$1:$ABO$500,AA$2,0),"Л")</f>
        <v>0</v>
      </c>
      <c r="AB1030" s="50">
        <f>SUMIFS(INDEX(Техника!$F$1:$ABM$500,AB$2,0),Техника!$F$4:$ABM$4,"Часы",INDEX(Техника!$G$1:$ABN$500,AB$2,0),$A$1026,INDEX(Техника!$H$1:$ABO$500,AB$2,0),"Л")</f>
        <v>0</v>
      </c>
    </row>
    <row r="1031" spans="1:28" hidden="1" outlineLevel="1" x14ac:dyDescent="0.3">
      <c r="A1031" s="33" t="s">
        <v>245</v>
      </c>
      <c r="B1031" s="34" t="s">
        <v>279</v>
      </c>
      <c r="C1031" s="50">
        <f>SUMIFS(INDEX(Техника!$F$1:$ABM$500,C$2,0),Техника!$F$4:$ABM$4,"Часы",INDEX(Техника!$G$1:$ABN$500,C$2,0),$A$1026,INDEX(Техника!$H$1:$ABO$500,C$2,0),"З")</f>
        <v>0</v>
      </c>
      <c r="D1031" s="50">
        <f>SUMIFS(INDEX(Техника!$F$1:$ABM$500,D$2,0),Техника!$F$4:$ABM$4,"Часы",INDEX(Техника!$G$1:$ABN$500,D$2,0),$A$1026,INDEX(Техника!$H$1:$ABO$500,D$2,0),"З")</f>
        <v>0</v>
      </c>
      <c r="E1031" s="50">
        <f>SUMIFS(INDEX(Техника!$F$1:$ABM$500,E$2,0),Техника!$F$4:$ABM$4,"Часы",INDEX(Техника!$G$1:$ABN$500,E$2,0),$A$1026,INDEX(Техника!$H$1:$ABO$500,E$2,0),"З")</f>
        <v>0</v>
      </c>
      <c r="F1031" s="50">
        <f>SUMIFS(INDEX(Техника!$F$1:$ABM$500,F$2,0),Техника!$F$4:$ABM$4,"Часы",INDEX(Техника!$G$1:$ABN$500,F$2,0),$A$1026,INDEX(Техника!$H$1:$ABO$500,F$2,0),"З")</f>
        <v>0</v>
      </c>
      <c r="G1031" s="50">
        <f>SUMIFS(INDEX(Техника!$F$1:$ABM$500,G$2,0),Техника!$F$4:$ABM$4,"Часы",INDEX(Техника!$G$1:$ABN$500,G$2,0),$A$1026,INDEX(Техника!$H$1:$ABO$500,G$2,0),"З")</f>
        <v>0</v>
      </c>
      <c r="H1031" s="50">
        <f>SUMIFS(INDEX(Техника!$F$1:$ABM$500,H$2,0),Техника!$F$4:$ABM$4,"Часы",INDEX(Техника!$G$1:$ABN$500,H$2,0),$A$1026,INDEX(Техника!$H$1:$ABO$500,H$2,0),"З")</f>
        <v>0</v>
      </c>
      <c r="I1031" s="50">
        <f>SUMIFS(INDEX(Техника!$F$1:$ABM$500,I$2,0),Техника!$F$4:$ABM$4,"Часы",INDEX(Техника!$G$1:$ABN$500,I$2,0),$A$1026,INDEX(Техника!$H$1:$ABO$500,I$2,0),"З")</f>
        <v>0</v>
      </c>
      <c r="J1031" s="50">
        <f>SUMIFS(INDEX(Техника!$F$1:$ABM$500,J$2,0),Техника!$F$4:$ABM$4,"Часы",INDEX(Техника!$G$1:$ABN$500,J$2,0),$A$1026,INDEX(Техника!$H$1:$ABO$500,J$2,0),"З")</f>
        <v>0</v>
      </c>
      <c r="K1031" s="50">
        <f>SUMIFS(INDEX(Техника!$F$1:$ABM$500,K$2,0),Техника!$F$4:$ABM$4,"Часы",INDEX(Техника!$G$1:$ABN$500,K$2,0),$A$1026,INDEX(Техника!$H$1:$ABO$500,K$2,0),"З")</f>
        <v>0</v>
      </c>
      <c r="L1031" s="50">
        <f>SUMIFS(INDEX(Техника!$F$1:$ABM$500,L$2,0),Техника!$F$4:$ABM$4,"Часы",INDEX(Техника!$G$1:$ABN$500,L$2,0),$A$1026,INDEX(Техника!$H$1:$ABO$500,L$2,0),"З")</f>
        <v>0</v>
      </c>
      <c r="M1031" s="50">
        <f>SUMIFS(INDEX(Техника!$F$1:$ABM$500,M$2,0),Техника!$F$4:$ABM$4,"Часы",INDEX(Техника!$G$1:$ABN$500,M$2,0),$A$1026,INDEX(Техника!$H$1:$ABO$500,M$2,0),"З")</f>
        <v>0</v>
      </c>
      <c r="N1031" s="50">
        <f>SUMIFS(INDEX(Техника!$F$1:$ABM$500,N$2,0),Техника!$F$4:$ABM$4,"Часы",INDEX(Техника!$G$1:$ABN$500,N$2,0),$A$1026,INDEX(Техника!$H$1:$ABO$500,N$2,0),"З")</f>
        <v>0</v>
      </c>
      <c r="O1031" s="50">
        <f>SUMIFS(INDEX(Техника!$F$1:$ABM$500,O$2,0),Техника!$F$4:$ABM$4,"Часы",INDEX(Техника!$G$1:$ABN$500,O$2,0),$A$1026,INDEX(Техника!$H$1:$ABO$500,O$2,0),"З")</f>
        <v>0</v>
      </c>
      <c r="P1031" s="50">
        <f>SUMIFS(INDEX(Техника!$F$1:$ABM$500,P$2,0),Техника!$F$4:$ABM$4,"Часы",INDEX(Техника!$G$1:$ABN$500,P$2,0),$A$1026,INDEX(Техника!$H$1:$ABO$500,P$2,0),"З")</f>
        <v>0</v>
      </c>
      <c r="Q1031" s="50">
        <f>SUMIFS(INDEX(Техника!$F$1:$ABM$500,Q$2,0),Техника!$F$4:$ABM$4,"Часы",INDEX(Техника!$G$1:$ABN$500,Q$2,0),$A$1026,INDEX(Техника!$H$1:$ABO$500,Q$2,0),"З")</f>
        <v>0</v>
      </c>
      <c r="R1031" s="50">
        <f>SUMIFS(INDEX(Техника!$F$1:$ABM$500,R$2,0),Техника!$F$4:$ABM$4,"Часы",INDEX(Техника!$G$1:$ABN$500,R$2,0),$A$1026,INDEX(Техника!$H$1:$ABO$500,R$2,0),"З")</f>
        <v>0</v>
      </c>
      <c r="S1031" s="50">
        <f>SUMIFS(INDEX(Техника!$F$1:$ABM$500,S$2,0),Техника!$F$4:$ABM$4,"Часы",INDEX(Техника!$G$1:$ABN$500,S$2,0),$A$1026,INDEX(Техника!$H$1:$ABO$500,S$2,0),"З")</f>
        <v>0</v>
      </c>
      <c r="T1031" s="50">
        <f>SUMIFS(INDEX(Техника!$F$1:$ABM$500,T$2,0),Техника!$F$4:$ABM$4,"Часы",INDEX(Техника!$G$1:$ABN$500,T$2,0),$A$1026,INDEX(Техника!$H$1:$ABO$500,T$2,0),"З")</f>
        <v>0</v>
      </c>
      <c r="U1031" s="50">
        <f>SUMIFS(INDEX(Техника!$F$1:$ABM$500,U$2,0),Техника!$F$4:$ABM$4,"Часы",INDEX(Техника!$G$1:$ABN$500,U$2,0),$A$1026,INDEX(Техника!$H$1:$ABO$500,U$2,0),"З")</f>
        <v>0</v>
      </c>
      <c r="V1031" s="50">
        <f>SUMIFS(INDEX(Техника!$F$1:$ABM$500,V$2,0),Техника!$F$4:$ABM$4,"Часы",INDEX(Техника!$G$1:$ABN$500,V$2,0),$A$1026,INDEX(Техника!$H$1:$ABO$500,V$2,0),"З")</f>
        <v>0</v>
      </c>
      <c r="W1031" s="50">
        <f>SUMIFS(INDEX(Техника!$F$1:$ABM$500,W$2,0),Техника!$F$4:$ABM$4,"Часы",INDEX(Техника!$G$1:$ABN$500,W$2,0),$A$1026,INDEX(Техника!$H$1:$ABO$500,W$2,0),"З")</f>
        <v>0</v>
      </c>
      <c r="X1031" s="50">
        <f>SUMIFS(INDEX(Техника!$F$1:$ABM$500,X$2,0),Техника!$F$4:$ABM$4,"Часы",INDEX(Техника!$G$1:$ABN$500,X$2,0),$A$1026,INDEX(Техника!$H$1:$ABO$500,X$2,0),"З")</f>
        <v>0</v>
      </c>
      <c r="Y1031" s="50">
        <f>SUMIFS(INDEX(Техника!$F$1:$ABM$500,Y$2,0),Техника!$F$4:$ABM$4,"Часы",INDEX(Техника!$G$1:$ABN$500,Y$2,0),$A$1026,INDEX(Техника!$H$1:$ABO$500,Y$2,0),"З")</f>
        <v>0</v>
      </c>
      <c r="Z1031" s="50">
        <f>SUMIFS(INDEX(Техника!$F$1:$ABM$500,Z$2,0),Техника!$F$4:$ABM$4,"Часы",INDEX(Техника!$G$1:$ABN$500,Z$2,0),$A$1026,INDEX(Техника!$H$1:$ABO$500,Z$2,0),"З")</f>
        <v>0</v>
      </c>
      <c r="AA1031" s="50">
        <f>SUMIFS(INDEX(Техника!$F$1:$ABM$500,AA$2,0),Техника!$F$4:$ABM$4,"Часы",INDEX(Техника!$G$1:$ABN$500,AA$2,0),$A$1026,INDEX(Техника!$H$1:$ABO$500,AA$2,0),"З")</f>
        <v>0</v>
      </c>
      <c r="AB1031" s="50">
        <f>SUMIFS(INDEX(Техника!$F$1:$ABM$500,AB$2,0),Техника!$F$4:$ABM$4,"Часы",INDEX(Техника!$G$1:$ABN$500,AB$2,0),$A$1026,INDEX(Техника!$H$1:$ABO$500,AB$2,0),"З")</f>
        <v>0</v>
      </c>
    </row>
    <row r="1032" spans="1:28" ht="7.95" customHeight="1" x14ac:dyDescent="0.3">
      <c r="A1032" s="38"/>
      <c r="B1032" s="39"/>
      <c r="C1032" s="51"/>
      <c r="D1032" s="51"/>
      <c r="E1032" s="51"/>
      <c r="F1032" s="51"/>
      <c r="G1032" s="51"/>
      <c r="H1032" s="51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</row>
    <row r="1033" spans="1:28" ht="25.05" customHeight="1" collapsed="1" x14ac:dyDescent="0.3">
      <c r="A1033" s="32">
        <v>148</v>
      </c>
      <c r="B1033" s="32" t="s">
        <v>149</v>
      </c>
      <c r="C1033" s="49">
        <f>SUM(C1034:C1038)</f>
        <v>0</v>
      </c>
      <c r="D1033" s="49">
        <f>SUM(D1034:D1038)</f>
        <v>0</v>
      </c>
      <c r="E1033" s="49">
        <f>SUM(E1034:E1038)</f>
        <v>0</v>
      </c>
      <c r="F1033" s="49">
        <f>SUM(F1034:F1038)</f>
        <v>0</v>
      </c>
      <c r="G1033" s="49">
        <f>SUM(G1034:G1038)</f>
        <v>0</v>
      </c>
      <c r="H1033" s="49">
        <f>SUM(H1034:H1038)</f>
        <v>0</v>
      </c>
      <c r="I1033" s="49">
        <f>SUM(I1034:I1038)</f>
        <v>0</v>
      </c>
      <c r="J1033" s="49">
        <f>SUM(J1034:J1038)</f>
        <v>0</v>
      </c>
      <c r="K1033" s="49">
        <f>SUM(K1034:K1038)</f>
        <v>0</v>
      </c>
      <c r="L1033" s="49">
        <f>SUM(L1034:L1038)</f>
        <v>0</v>
      </c>
      <c r="M1033" s="49">
        <f>SUM(M1034:M1038)</f>
        <v>0</v>
      </c>
      <c r="N1033" s="49">
        <f>SUM(N1034:N1038)</f>
        <v>0</v>
      </c>
      <c r="O1033" s="49">
        <f>SUM(O1034:O1038)</f>
        <v>0</v>
      </c>
      <c r="P1033" s="49">
        <f>SUM(P1034:P1038)</f>
        <v>0</v>
      </c>
      <c r="Q1033" s="49">
        <f>SUM(Q1034:Q1038)</f>
        <v>0</v>
      </c>
      <c r="R1033" s="49">
        <f>SUM(R1034:R1038)</f>
        <v>0</v>
      </c>
      <c r="S1033" s="49">
        <f>SUM(S1034:S1038)</f>
        <v>0</v>
      </c>
      <c r="T1033" s="49">
        <f>SUM(T1034:T1038)</f>
        <v>0</v>
      </c>
      <c r="U1033" s="49">
        <f>SUM(U1034:U1038)</f>
        <v>0</v>
      </c>
      <c r="V1033" s="49">
        <f>SUM(V1034:V1038)</f>
        <v>0</v>
      </c>
      <c r="W1033" s="49">
        <f>SUM(W1034:W1038)</f>
        <v>0</v>
      </c>
      <c r="X1033" s="49">
        <f>SUM(X1034:X1038)</f>
        <v>0</v>
      </c>
      <c r="Y1033" s="49">
        <f>SUM(Y1034:Y1038)</f>
        <v>0</v>
      </c>
      <c r="Z1033" s="49">
        <f>SUM(Z1034:Z1038)</f>
        <v>0</v>
      </c>
      <c r="AA1033" s="49">
        <f>SUM(AA1034:AA1038)</f>
        <v>0</v>
      </c>
      <c r="AB1033" s="49">
        <f>SUM(AB1034:AB1038)</f>
        <v>0</v>
      </c>
    </row>
    <row r="1034" spans="1:28" hidden="1" outlineLevel="1" x14ac:dyDescent="0.3">
      <c r="A1034" s="33" t="s">
        <v>246</v>
      </c>
      <c r="B1034" s="34" t="s">
        <v>274</v>
      </c>
      <c r="C1034" s="50">
        <f>SUMIFS(INDEX(Техника!$F$1:$ABM$500,C$2,0),Техника!$F$4:$ABM$4,"Часы",INDEX(Техника!$G$1:$ABN$500,C$2,0),$A$1033,INDEX(Техника!$H$1:$ABO$500,C$2,0),"М")</f>
        <v>0</v>
      </c>
      <c r="D1034" s="50">
        <f>SUMIFS(INDEX(Техника!$F$1:$ABM$500,D$2,0),Техника!$F$4:$ABM$4,"Часы",INDEX(Техника!$G$1:$ABN$500,D$2,0),$A$1033,INDEX(Техника!$H$1:$ABO$500,D$2,0),"М")</f>
        <v>0</v>
      </c>
      <c r="E1034" s="50">
        <f>SUMIFS(INDEX(Техника!$F$1:$ABM$500,E$2,0),Техника!$F$4:$ABM$4,"Часы",INDEX(Техника!$G$1:$ABN$500,E$2,0),$A$1033,INDEX(Техника!$H$1:$ABO$500,E$2,0),"М")</f>
        <v>0</v>
      </c>
      <c r="F1034" s="50">
        <f>SUMIFS(INDEX(Техника!$F$1:$ABM$500,F$2,0),Техника!$F$4:$ABM$4,"Часы",INDEX(Техника!$G$1:$ABN$500,F$2,0),$A$1033,INDEX(Техника!$H$1:$ABO$500,F$2,0),"М")</f>
        <v>0</v>
      </c>
      <c r="G1034" s="50">
        <f>SUMIFS(INDEX(Техника!$F$1:$ABM$500,G$2,0),Техника!$F$4:$ABM$4,"Часы",INDEX(Техника!$G$1:$ABN$500,G$2,0),$A$1033,INDEX(Техника!$H$1:$ABO$500,G$2,0),"М")</f>
        <v>0</v>
      </c>
      <c r="H1034" s="50">
        <f>SUMIFS(INDEX(Техника!$F$1:$ABM$500,H$2,0),Техника!$F$4:$ABM$4,"Часы",INDEX(Техника!$G$1:$ABN$500,H$2,0),$A$1033,INDEX(Техника!$H$1:$ABO$500,H$2,0),"М")</f>
        <v>0</v>
      </c>
      <c r="I1034" s="50">
        <f>SUMIFS(INDEX(Техника!$F$1:$ABM$500,I$2,0),Техника!$F$4:$ABM$4,"Часы",INDEX(Техника!$G$1:$ABN$500,I$2,0),$A$1033,INDEX(Техника!$H$1:$ABO$500,I$2,0),"М")</f>
        <v>0</v>
      </c>
      <c r="J1034" s="50">
        <f>SUMIFS(INDEX(Техника!$F$1:$ABM$500,J$2,0),Техника!$F$4:$ABM$4,"Часы",INDEX(Техника!$G$1:$ABN$500,J$2,0),$A$1033,INDEX(Техника!$H$1:$ABO$500,J$2,0),"М")</f>
        <v>0</v>
      </c>
      <c r="K1034" s="50">
        <f>SUMIFS(INDEX(Техника!$F$1:$ABM$500,K$2,0),Техника!$F$4:$ABM$4,"Часы",INDEX(Техника!$G$1:$ABN$500,K$2,0),$A$1033,INDEX(Техника!$H$1:$ABO$500,K$2,0),"М")</f>
        <v>0</v>
      </c>
      <c r="L1034" s="50">
        <f>SUMIFS(INDEX(Техника!$F$1:$ABM$500,L$2,0),Техника!$F$4:$ABM$4,"Часы",INDEX(Техника!$G$1:$ABN$500,L$2,0),$A$1033,INDEX(Техника!$H$1:$ABO$500,L$2,0),"М")</f>
        <v>0</v>
      </c>
      <c r="M1034" s="50">
        <f>SUMIFS(INDEX(Техника!$F$1:$ABM$500,M$2,0),Техника!$F$4:$ABM$4,"Часы",INDEX(Техника!$G$1:$ABN$500,M$2,0),$A$1033,INDEX(Техника!$H$1:$ABO$500,M$2,0),"М")</f>
        <v>0</v>
      </c>
      <c r="N1034" s="50">
        <f>SUMIFS(INDEX(Техника!$F$1:$ABM$500,N$2,0),Техника!$F$4:$ABM$4,"Часы",INDEX(Техника!$G$1:$ABN$500,N$2,0),$A$1033,INDEX(Техника!$H$1:$ABO$500,N$2,0),"М")</f>
        <v>0</v>
      </c>
      <c r="O1034" s="50">
        <f>SUMIFS(INDEX(Техника!$F$1:$ABM$500,O$2,0),Техника!$F$4:$ABM$4,"Часы",INDEX(Техника!$G$1:$ABN$500,O$2,0),$A$1033,INDEX(Техника!$H$1:$ABO$500,O$2,0),"М")</f>
        <v>0</v>
      </c>
      <c r="P1034" s="50">
        <f>SUMIFS(INDEX(Техника!$F$1:$ABM$500,P$2,0),Техника!$F$4:$ABM$4,"Часы",INDEX(Техника!$G$1:$ABN$500,P$2,0),$A$1033,INDEX(Техника!$H$1:$ABO$500,P$2,0),"М")</f>
        <v>0</v>
      </c>
      <c r="Q1034" s="50">
        <f>SUMIFS(INDEX(Техника!$F$1:$ABM$500,Q$2,0),Техника!$F$4:$ABM$4,"Часы",INDEX(Техника!$G$1:$ABN$500,Q$2,0),$A$1033,INDEX(Техника!$H$1:$ABO$500,Q$2,0),"М")</f>
        <v>0</v>
      </c>
      <c r="R1034" s="50">
        <f>SUMIFS(INDEX(Техника!$F$1:$ABM$500,R$2,0),Техника!$F$4:$ABM$4,"Часы",INDEX(Техника!$G$1:$ABN$500,R$2,0),$A$1033,INDEX(Техника!$H$1:$ABO$500,R$2,0),"М")</f>
        <v>0</v>
      </c>
      <c r="S1034" s="50">
        <f>SUMIFS(INDEX(Техника!$F$1:$ABM$500,S$2,0),Техника!$F$4:$ABM$4,"Часы",INDEX(Техника!$G$1:$ABN$500,S$2,0),$A$1033,INDEX(Техника!$H$1:$ABO$500,S$2,0),"М")</f>
        <v>0</v>
      </c>
      <c r="T1034" s="50">
        <f>SUMIFS(INDEX(Техника!$F$1:$ABM$500,T$2,0),Техника!$F$4:$ABM$4,"Часы",INDEX(Техника!$G$1:$ABN$500,T$2,0),$A$1033,INDEX(Техника!$H$1:$ABO$500,T$2,0),"М")</f>
        <v>0</v>
      </c>
      <c r="U1034" s="50">
        <f>SUMIFS(INDEX(Техника!$F$1:$ABM$500,U$2,0),Техника!$F$4:$ABM$4,"Часы",INDEX(Техника!$G$1:$ABN$500,U$2,0),$A$1033,INDEX(Техника!$H$1:$ABO$500,U$2,0),"М")</f>
        <v>0</v>
      </c>
      <c r="V1034" s="50">
        <f>SUMIFS(INDEX(Техника!$F$1:$ABM$500,V$2,0),Техника!$F$4:$ABM$4,"Часы",INDEX(Техника!$G$1:$ABN$500,V$2,0),$A$1033,INDEX(Техника!$H$1:$ABO$500,V$2,0),"М")</f>
        <v>0</v>
      </c>
      <c r="W1034" s="50">
        <f>SUMIFS(INDEX(Техника!$F$1:$ABM$500,W$2,0),Техника!$F$4:$ABM$4,"Часы",INDEX(Техника!$G$1:$ABN$500,W$2,0),$A$1033,INDEX(Техника!$H$1:$ABO$500,W$2,0),"М")</f>
        <v>0</v>
      </c>
      <c r="X1034" s="50">
        <f>SUMIFS(INDEX(Техника!$F$1:$ABM$500,X$2,0),Техника!$F$4:$ABM$4,"Часы",INDEX(Техника!$G$1:$ABN$500,X$2,0),$A$1033,INDEX(Техника!$H$1:$ABO$500,X$2,0),"М")</f>
        <v>0</v>
      </c>
      <c r="Y1034" s="50">
        <f>SUMIFS(INDEX(Техника!$F$1:$ABM$500,Y$2,0),Техника!$F$4:$ABM$4,"Часы",INDEX(Техника!$G$1:$ABN$500,Y$2,0),$A$1033,INDEX(Техника!$H$1:$ABO$500,Y$2,0),"М")</f>
        <v>0</v>
      </c>
      <c r="Z1034" s="50">
        <f>SUMIFS(INDEX(Техника!$F$1:$ABM$500,Z$2,0),Техника!$F$4:$ABM$4,"Часы",INDEX(Техника!$G$1:$ABN$500,Z$2,0),$A$1033,INDEX(Техника!$H$1:$ABO$500,Z$2,0),"М")</f>
        <v>0</v>
      </c>
      <c r="AA1034" s="50">
        <f>SUMIFS(INDEX(Техника!$F$1:$ABM$500,AA$2,0),Техника!$F$4:$ABM$4,"Часы",INDEX(Техника!$G$1:$ABN$500,AA$2,0),$A$1033,INDEX(Техника!$H$1:$ABO$500,AA$2,0),"М")</f>
        <v>0</v>
      </c>
      <c r="AB1034" s="50">
        <f>SUMIFS(INDEX(Техника!$F$1:$ABM$500,AB$2,0),Техника!$F$4:$ABM$4,"Часы",INDEX(Техника!$G$1:$ABN$500,AB$2,0),$A$1033,INDEX(Техника!$H$1:$ABO$500,AB$2,0),"М")</f>
        <v>0</v>
      </c>
    </row>
    <row r="1035" spans="1:28" hidden="1" outlineLevel="1" x14ac:dyDescent="0.3">
      <c r="A1035" s="33" t="s">
        <v>244</v>
      </c>
      <c r="B1035" s="34" t="s">
        <v>275</v>
      </c>
      <c r="C1035" s="50">
        <f>SUMIFS(INDEX(Техника!$F$1:$ABM$500,C$2,0),Техника!$F$4:$ABM$4,"Часы",INDEX(Техника!$G$1:$ABN$500,C$2,0),$A$1033,INDEX(Техника!$H$1:$ABO$500,C$2,0),"Д")</f>
        <v>0</v>
      </c>
      <c r="D1035" s="50">
        <f>SUMIFS(INDEX(Техника!$F$1:$ABM$500,D$2,0),Техника!$F$4:$ABM$4,"Часы",INDEX(Техника!$G$1:$ABN$500,D$2,0),$A$1033,INDEX(Техника!$H$1:$ABO$500,D$2,0),"Д")</f>
        <v>0</v>
      </c>
      <c r="E1035" s="50">
        <f>SUMIFS(INDEX(Техника!$F$1:$ABM$500,E$2,0),Техника!$F$4:$ABM$4,"Часы",INDEX(Техника!$G$1:$ABN$500,E$2,0),$A$1033,INDEX(Техника!$H$1:$ABO$500,E$2,0),"Д")</f>
        <v>0</v>
      </c>
      <c r="F1035" s="50">
        <f>SUMIFS(INDEX(Техника!$F$1:$ABM$500,F$2,0),Техника!$F$4:$ABM$4,"Часы",INDEX(Техника!$G$1:$ABN$500,F$2,0),$A$1033,INDEX(Техника!$H$1:$ABO$500,F$2,0),"Д")</f>
        <v>0</v>
      </c>
      <c r="G1035" s="50">
        <f>SUMIFS(INDEX(Техника!$F$1:$ABM$500,G$2,0),Техника!$F$4:$ABM$4,"Часы",INDEX(Техника!$G$1:$ABN$500,G$2,0),$A$1033,INDEX(Техника!$H$1:$ABO$500,G$2,0),"Д")</f>
        <v>0</v>
      </c>
      <c r="H1035" s="50">
        <f>SUMIFS(INDEX(Техника!$F$1:$ABM$500,H$2,0),Техника!$F$4:$ABM$4,"Часы",INDEX(Техника!$G$1:$ABN$500,H$2,0),$A$1033,INDEX(Техника!$H$1:$ABO$500,H$2,0),"Д")</f>
        <v>0</v>
      </c>
      <c r="I1035" s="50">
        <f>SUMIFS(INDEX(Техника!$F$1:$ABM$500,I$2,0),Техника!$F$4:$ABM$4,"Часы",INDEX(Техника!$G$1:$ABN$500,I$2,0),$A$1033,INDEX(Техника!$H$1:$ABO$500,I$2,0),"Д")</f>
        <v>0</v>
      </c>
      <c r="J1035" s="50">
        <f>SUMIFS(INDEX(Техника!$F$1:$ABM$500,J$2,0),Техника!$F$4:$ABM$4,"Часы",INDEX(Техника!$G$1:$ABN$500,J$2,0),$A$1033,INDEX(Техника!$H$1:$ABO$500,J$2,0),"Д")</f>
        <v>0</v>
      </c>
      <c r="K1035" s="50">
        <f>SUMIFS(INDEX(Техника!$F$1:$ABM$500,K$2,0),Техника!$F$4:$ABM$4,"Часы",INDEX(Техника!$G$1:$ABN$500,K$2,0),$A$1033,INDEX(Техника!$H$1:$ABO$500,K$2,0),"Д")</f>
        <v>0</v>
      </c>
      <c r="L1035" s="50">
        <f>SUMIFS(INDEX(Техника!$F$1:$ABM$500,L$2,0),Техника!$F$4:$ABM$4,"Часы",INDEX(Техника!$G$1:$ABN$500,L$2,0),$A$1033,INDEX(Техника!$H$1:$ABO$500,L$2,0),"Д")</f>
        <v>0</v>
      </c>
      <c r="M1035" s="50">
        <f>SUMIFS(INDEX(Техника!$F$1:$ABM$500,M$2,0),Техника!$F$4:$ABM$4,"Часы",INDEX(Техника!$G$1:$ABN$500,M$2,0),$A$1033,INDEX(Техника!$H$1:$ABO$500,M$2,0),"Д")</f>
        <v>0</v>
      </c>
      <c r="N1035" s="50">
        <f>SUMIFS(INDEX(Техника!$F$1:$ABM$500,N$2,0),Техника!$F$4:$ABM$4,"Часы",INDEX(Техника!$G$1:$ABN$500,N$2,0),$A$1033,INDEX(Техника!$H$1:$ABO$500,N$2,0),"Д")</f>
        <v>0</v>
      </c>
      <c r="O1035" s="50">
        <f>SUMIFS(INDEX(Техника!$F$1:$ABM$500,O$2,0),Техника!$F$4:$ABM$4,"Часы",INDEX(Техника!$G$1:$ABN$500,O$2,0),$A$1033,INDEX(Техника!$H$1:$ABO$500,O$2,0),"Д")</f>
        <v>0</v>
      </c>
      <c r="P1035" s="50">
        <f>SUMIFS(INDEX(Техника!$F$1:$ABM$500,P$2,0),Техника!$F$4:$ABM$4,"Часы",INDEX(Техника!$G$1:$ABN$500,P$2,0),$A$1033,INDEX(Техника!$H$1:$ABO$500,P$2,0),"Д")</f>
        <v>0</v>
      </c>
      <c r="Q1035" s="50">
        <f>SUMIFS(INDEX(Техника!$F$1:$ABM$500,Q$2,0),Техника!$F$4:$ABM$4,"Часы",INDEX(Техника!$G$1:$ABN$500,Q$2,0),$A$1033,INDEX(Техника!$H$1:$ABO$500,Q$2,0),"Д")</f>
        <v>0</v>
      </c>
      <c r="R1035" s="50">
        <f>SUMIFS(INDEX(Техника!$F$1:$ABM$500,R$2,0),Техника!$F$4:$ABM$4,"Часы",INDEX(Техника!$G$1:$ABN$500,R$2,0),$A$1033,INDEX(Техника!$H$1:$ABO$500,R$2,0),"Д")</f>
        <v>0</v>
      </c>
      <c r="S1035" s="50">
        <f>SUMIFS(INDEX(Техника!$F$1:$ABM$500,S$2,0),Техника!$F$4:$ABM$4,"Часы",INDEX(Техника!$G$1:$ABN$500,S$2,0),$A$1033,INDEX(Техника!$H$1:$ABO$500,S$2,0),"Д")</f>
        <v>0</v>
      </c>
      <c r="T1035" s="50">
        <f>SUMIFS(INDEX(Техника!$F$1:$ABM$500,T$2,0),Техника!$F$4:$ABM$4,"Часы",INDEX(Техника!$G$1:$ABN$500,T$2,0),$A$1033,INDEX(Техника!$H$1:$ABO$500,T$2,0),"Д")</f>
        <v>0</v>
      </c>
      <c r="U1035" s="50">
        <f>SUMIFS(INDEX(Техника!$F$1:$ABM$500,U$2,0),Техника!$F$4:$ABM$4,"Часы",INDEX(Техника!$G$1:$ABN$500,U$2,0),$A$1033,INDEX(Техника!$H$1:$ABO$500,U$2,0),"Д")</f>
        <v>0</v>
      </c>
      <c r="V1035" s="50">
        <f>SUMIFS(INDEX(Техника!$F$1:$ABM$500,V$2,0),Техника!$F$4:$ABM$4,"Часы",INDEX(Техника!$G$1:$ABN$500,V$2,0),$A$1033,INDEX(Техника!$H$1:$ABO$500,V$2,0),"Д")</f>
        <v>0</v>
      </c>
      <c r="W1035" s="50">
        <f>SUMIFS(INDEX(Техника!$F$1:$ABM$500,W$2,0),Техника!$F$4:$ABM$4,"Часы",INDEX(Техника!$G$1:$ABN$500,W$2,0),$A$1033,INDEX(Техника!$H$1:$ABO$500,W$2,0),"Д")</f>
        <v>0</v>
      </c>
      <c r="X1035" s="50">
        <f>SUMIFS(INDEX(Техника!$F$1:$ABM$500,X$2,0),Техника!$F$4:$ABM$4,"Часы",INDEX(Техника!$G$1:$ABN$500,X$2,0),$A$1033,INDEX(Техника!$H$1:$ABO$500,X$2,0),"Д")</f>
        <v>0</v>
      </c>
      <c r="Y1035" s="50">
        <f>SUMIFS(INDEX(Техника!$F$1:$ABM$500,Y$2,0),Техника!$F$4:$ABM$4,"Часы",INDEX(Техника!$G$1:$ABN$500,Y$2,0),$A$1033,INDEX(Техника!$H$1:$ABO$500,Y$2,0),"Д")</f>
        <v>0</v>
      </c>
      <c r="Z1035" s="50">
        <f>SUMIFS(INDEX(Техника!$F$1:$ABM$500,Z$2,0),Техника!$F$4:$ABM$4,"Часы",INDEX(Техника!$G$1:$ABN$500,Z$2,0),$A$1033,INDEX(Техника!$H$1:$ABO$500,Z$2,0),"Д")</f>
        <v>0</v>
      </c>
      <c r="AA1035" s="50">
        <f>SUMIFS(INDEX(Техника!$F$1:$ABM$500,AA$2,0),Техника!$F$4:$ABM$4,"Часы",INDEX(Техника!$G$1:$ABN$500,AA$2,0),$A$1033,INDEX(Техника!$H$1:$ABO$500,AA$2,0),"Д")</f>
        <v>0</v>
      </c>
      <c r="AB1035" s="50">
        <f>SUMIFS(INDEX(Техника!$F$1:$ABM$500,AB$2,0),Техника!$F$4:$ABM$4,"Часы",INDEX(Техника!$G$1:$ABN$500,AB$2,0),$A$1033,INDEX(Техника!$H$1:$ABO$500,AB$2,0),"Д")</f>
        <v>0</v>
      </c>
    </row>
    <row r="1036" spans="1:28" hidden="1" outlineLevel="1" x14ac:dyDescent="0.3">
      <c r="A1036" s="33" t="s">
        <v>276</v>
      </c>
      <c r="B1036" s="34" t="s">
        <v>277</v>
      </c>
      <c r="C1036" s="50">
        <f>SUMIFS(INDEX(Техника!$F$1:$ABM$500,C$2,0),Техника!$F$4:$ABM$4,"Часы",INDEX(Техника!$G$1:$ABN$500,C$2,0),$A$1033,INDEX(Техника!$H$1:$ABO$500,C$2,0),"П")</f>
        <v>0</v>
      </c>
      <c r="D1036" s="50">
        <f>SUMIFS(INDEX(Техника!$F$1:$ABM$500,D$2,0),Техника!$F$4:$ABM$4,"Часы",INDEX(Техника!$G$1:$ABN$500,D$2,0),$A$1033,INDEX(Техника!$H$1:$ABO$500,D$2,0),"П")</f>
        <v>0</v>
      </c>
      <c r="E1036" s="50">
        <f>SUMIFS(INDEX(Техника!$F$1:$ABM$500,E$2,0),Техника!$F$4:$ABM$4,"Часы",INDEX(Техника!$G$1:$ABN$500,E$2,0),$A$1033,INDEX(Техника!$H$1:$ABO$500,E$2,0),"П")</f>
        <v>0</v>
      </c>
      <c r="F1036" s="50">
        <f>SUMIFS(INDEX(Техника!$F$1:$ABM$500,F$2,0),Техника!$F$4:$ABM$4,"Часы",INDEX(Техника!$G$1:$ABN$500,F$2,0),$A$1033,INDEX(Техника!$H$1:$ABO$500,F$2,0),"П")</f>
        <v>0</v>
      </c>
      <c r="G1036" s="50">
        <f>SUMIFS(INDEX(Техника!$F$1:$ABM$500,G$2,0),Техника!$F$4:$ABM$4,"Часы",INDEX(Техника!$G$1:$ABN$500,G$2,0),$A$1033,INDEX(Техника!$H$1:$ABO$500,G$2,0),"П")</f>
        <v>0</v>
      </c>
      <c r="H1036" s="50">
        <f>SUMIFS(INDEX(Техника!$F$1:$ABM$500,H$2,0),Техника!$F$4:$ABM$4,"Часы",INDEX(Техника!$G$1:$ABN$500,H$2,0),$A$1033,INDEX(Техника!$H$1:$ABO$500,H$2,0),"П")</f>
        <v>0</v>
      </c>
      <c r="I1036" s="50">
        <f>SUMIFS(INDEX(Техника!$F$1:$ABM$500,I$2,0),Техника!$F$4:$ABM$4,"Часы",INDEX(Техника!$G$1:$ABN$500,I$2,0),$A$1033,INDEX(Техника!$H$1:$ABO$500,I$2,0),"П")</f>
        <v>0</v>
      </c>
      <c r="J1036" s="50">
        <f>SUMIFS(INDEX(Техника!$F$1:$ABM$500,J$2,0),Техника!$F$4:$ABM$4,"Часы",INDEX(Техника!$G$1:$ABN$500,J$2,0),$A$1033,INDEX(Техника!$H$1:$ABO$500,J$2,0),"П")</f>
        <v>0</v>
      </c>
      <c r="K1036" s="50">
        <f>SUMIFS(INDEX(Техника!$F$1:$ABM$500,K$2,0),Техника!$F$4:$ABM$4,"Часы",INDEX(Техника!$G$1:$ABN$500,K$2,0),$A$1033,INDEX(Техника!$H$1:$ABO$500,K$2,0),"П")</f>
        <v>0</v>
      </c>
      <c r="L1036" s="50">
        <f>SUMIFS(INDEX(Техника!$F$1:$ABM$500,L$2,0),Техника!$F$4:$ABM$4,"Часы",INDEX(Техника!$G$1:$ABN$500,L$2,0),$A$1033,INDEX(Техника!$H$1:$ABO$500,L$2,0),"П")</f>
        <v>0</v>
      </c>
      <c r="M1036" s="50">
        <f>SUMIFS(INDEX(Техника!$F$1:$ABM$500,M$2,0),Техника!$F$4:$ABM$4,"Часы",INDEX(Техника!$G$1:$ABN$500,M$2,0),$A$1033,INDEX(Техника!$H$1:$ABO$500,M$2,0),"П")</f>
        <v>0</v>
      </c>
      <c r="N1036" s="50">
        <f>SUMIFS(INDEX(Техника!$F$1:$ABM$500,N$2,0),Техника!$F$4:$ABM$4,"Часы",INDEX(Техника!$G$1:$ABN$500,N$2,0),$A$1033,INDEX(Техника!$H$1:$ABO$500,N$2,0),"П")</f>
        <v>0</v>
      </c>
      <c r="O1036" s="50">
        <f>SUMIFS(INDEX(Техника!$F$1:$ABM$500,O$2,0),Техника!$F$4:$ABM$4,"Часы",INDEX(Техника!$G$1:$ABN$500,O$2,0),$A$1033,INDEX(Техника!$H$1:$ABO$500,O$2,0),"П")</f>
        <v>0</v>
      </c>
      <c r="P1036" s="50">
        <f>SUMIFS(INDEX(Техника!$F$1:$ABM$500,P$2,0),Техника!$F$4:$ABM$4,"Часы",INDEX(Техника!$G$1:$ABN$500,P$2,0),$A$1033,INDEX(Техника!$H$1:$ABO$500,P$2,0),"П")</f>
        <v>0</v>
      </c>
      <c r="Q1036" s="50">
        <f>SUMIFS(INDEX(Техника!$F$1:$ABM$500,Q$2,0),Техника!$F$4:$ABM$4,"Часы",INDEX(Техника!$G$1:$ABN$500,Q$2,0),$A$1033,INDEX(Техника!$H$1:$ABO$500,Q$2,0),"П")</f>
        <v>0</v>
      </c>
      <c r="R1036" s="50">
        <f>SUMIFS(INDEX(Техника!$F$1:$ABM$500,R$2,0),Техника!$F$4:$ABM$4,"Часы",INDEX(Техника!$G$1:$ABN$500,R$2,0),$A$1033,INDEX(Техника!$H$1:$ABO$500,R$2,0),"П")</f>
        <v>0</v>
      </c>
      <c r="S1036" s="50">
        <f>SUMIFS(INDEX(Техника!$F$1:$ABM$500,S$2,0),Техника!$F$4:$ABM$4,"Часы",INDEX(Техника!$G$1:$ABN$500,S$2,0),$A$1033,INDEX(Техника!$H$1:$ABO$500,S$2,0),"П")</f>
        <v>0</v>
      </c>
      <c r="T1036" s="50">
        <f>SUMIFS(INDEX(Техника!$F$1:$ABM$500,T$2,0),Техника!$F$4:$ABM$4,"Часы",INDEX(Техника!$G$1:$ABN$500,T$2,0),$A$1033,INDEX(Техника!$H$1:$ABO$500,T$2,0),"П")</f>
        <v>0</v>
      </c>
      <c r="U1036" s="50">
        <f>SUMIFS(INDEX(Техника!$F$1:$ABM$500,U$2,0),Техника!$F$4:$ABM$4,"Часы",INDEX(Техника!$G$1:$ABN$500,U$2,0),$A$1033,INDEX(Техника!$H$1:$ABO$500,U$2,0),"П")</f>
        <v>0</v>
      </c>
      <c r="V1036" s="50">
        <f>SUMIFS(INDEX(Техника!$F$1:$ABM$500,V$2,0),Техника!$F$4:$ABM$4,"Часы",INDEX(Техника!$G$1:$ABN$500,V$2,0),$A$1033,INDEX(Техника!$H$1:$ABO$500,V$2,0),"П")</f>
        <v>0</v>
      </c>
      <c r="W1036" s="50">
        <f>SUMIFS(INDEX(Техника!$F$1:$ABM$500,W$2,0),Техника!$F$4:$ABM$4,"Часы",INDEX(Техника!$G$1:$ABN$500,W$2,0),$A$1033,INDEX(Техника!$H$1:$ABO$500,W$2,0),"П")</f>
        <v>0</v>
      </c>
      <c r="X1036" s="50">
        <f>SUMIFS(INDEX(Техника!$F$1:$ABM$500,X$2,0),Техника!$F$4:$ABM$4,"Часы",INDEX(Техника!$G$1:$ABN$500,X$2,0),$A$1033,INDEX(Техника!$H$1:$ABO$500,X$2,0),"П")</f>
        <v>0</v>
      </c>
      <c r="Y1036" s="50">
        <f>SUMIFS(INDEX(Техника!$F$1:$ABM$500,Y$2,0),Техника!$F$4:$ABM$4,"Часы",INDEX(Техника!$G$1:$ABN$500,Y$2,0),$A$1033,INDEX(Техника!$H$1:$ABO$500,Y$2,0),"П")</f>
        <v>0</v>
      </c>
      <c r="Z1036" s="50">
        <f>SUMIFS(INDEX(Техника!$F$1:$ABM$500,Z$2,0),Техника!$F$4:$ABM$4,"Часы",INDEX(Техника!$G$1:$ABN$500,Z$2,0),$A$1033,INDEX(Техника!$H$1:$ABO$500,Z$2,0),"П")</f>
        <v>0</v>
      </c>
      <c r="AA1036" s="50">
        <f>SUMIFS(INDEX(Техника!$F$1:$ABM$500,AA$2,0),Техника!$F$4:$ABM$4,"Часы",INDEX(Техника!$G$1:$ABN$500,AA$2,0),$A$1033,INDEX(Техника!$H$1:$ABO$500,AA$2,0),"П")</f>
        <v>0</v>
      </c>
      <c r="AB1036" s="50">
        <f>SUMIFS(INDEX(Техника!$F$1:$ABM$500,AB$2,0),Техника!$F$4:$ABM$4,"Часы",INDEX(Техника!$G$1:$ABN$500,AB$2,0),$A$1033,INDEX(Техника!$H$1:$ABO$500,AB$2,0),"П")</f>
        <v>0</v>
      </c>
    </row>
    <row r="1037" spans="1:28" hidden="1" outlineLevel="1" x14ac:dyDescent="0.3">
      <c r="A1037" s="33" t="s">
        <v>243</v>
      </c>
      <c r="B1037" s="34" t="s">
        <v>278</v>
      </c>
      <c r="C1037" s="50">
        <f>SUMIFS(INDEX(Техника!$F$1:$ABM$500,C$2,0),Техника!$F$4:$ABM$4,"Часы",INDEX(Техника!$G$1:$ABN$500,C$2,0),$A$1033,INDEX(Техника!$H$1:$ABO$500,C$2,0),"Л")</f>
        <v>0</v>
      </c>
      <c r="D1037" s="50">
        <f>SUMIFS(INDEX(Техника!$F$1:$ABM$500,D$2,0),Техника!$F$4:$ABM$4,"Часы",INDEX(Техника!$G$1:$ABN$500,D$2,0),$A$1033,INDEX(Техника!$H$1:$ABO$500,D$2,0),"Л")</f>
        <v>0</v>
      </c>
      <c r="E1037" s="50">
        <f>SUMIFS(INDEX(Техника!$F$1:$ABM$500,E$2,0),Техника!$F$4:$ABM$4,"Часы",INDEX(Техника!$G$1:$ABN$500,E$2,0),$A$1033,INDEX(Техника!$H$1:$ABO$500,E$2,0),"Л")</f>
        <v>0</v>
      </c>
      <c r="F1037" s="50">
        <f>SUMIFS(INDEX(Техника!$F$1:$ABM$500,F$2,0),Техника!$F$4:$ABM$4,"Часы",INDEX(Техника!$G$1:$ABN$500,F$2,0),$A$1033,INDEX(Техника!$H$1:$ABO$500,F$2,0),"Л")</f>
        <v>0</v>
      </c>
      <c r="G1037" s="50">
        <f>SUMIFS(INDEX(Техника!$F$1:$ABM$500,G$2,0),Техника!$F$4:$ABM$4,"Часы",INDEX(Техника!$G$1:$ABN$500,G$2,0),$A$1033,INDEX(Техника!$H$1:$ABO$500,G$2,0),"Л")</f>
        <v>0</v>
      </c>
      <c r="H1037" s="50">
        <f>SUMIFS(INDEX(Техника!$F$1:$ABM$500,H$2,0),Техника!$F$4:$ABM$4,"Часы",INDEX(Техника!$G$1:$ABN$500,H$2,0),$A$1033,INDEX(Техника!$H$1:$ABO$500,H$2,0),"Л")</f>
        <v>0</v>
      </c>
      <c r="I1037" s="50">
        <f>SUMIFS(INDEX(Техника!$F$1:$ABM$500,I$2,0),Техника!$F$4:$ABM$4,"Часы",INDEX(Техника!$G$1:$ABN$500,I$2,0),$A$1033,INDEX(Техника!$H$1:$ABO$500,I$2,0),"Л")</f>
        <v>0</v>
      </c>
      <c r="J1037" s="50">
        <f>SUMIFS(INDEX(Техника!$F$1:$ABM$500,J$2,0),Техника!$F$4:$ABM$4,"Часы",INDEX(Техника!$G$1:$ABN$500,J$2,0),$A$1033,INDEX(Техника!$H$1:$ABO$500,J$2,0),"Л")</f>
        <v>0</v>
      </c>
      <c r="K1037" s="50">
        <f>SUMIFS(INDEX(Техника!$F$1:$ABM$500,K$2,0),Техника!$F$4:$ABM$4,"Часы",INDEX(Техника!$G$1:$ABN$500,K$2,0),$A$1033,INDEX(Техника!$H$1:$ABO$500,K$2,0),"Л")</f>
        <v>0</v>
      </c>
      <c r="L1037" s="50">
        <f>SUMIFS(INDEX(Техника!$F$1:$ABM$500,L$2,0),Техника!$F$4:$ABM$4,"Часы",INDEX(Техника!$G$1:$ABN$500,L$2,0),$A$1033,INDEX(Техника!$H$1:$ABO$500,L$2,0),"Л")</f>
        <v>0</v>
      </c>
      <c r="M1037" s="50">
        <f>SUMIFS(INDEX(Техника!$F$1:$ABM$500,M$2,0),Техника!$F$4:$ABM$4,"Часы",INDEX(Техника!$G$1:$ABN$500,M$2,0),$A$1033,INDEX(Техника!$H$1:$ABO$500,M$2,0),"Л")</f>
        <v>0</v>
      </c>
      <c r="N1037" s="50">
        <f>SUMIFS(INDEX(Техника!$F$1:$ABM$500,N$2,0),Техника!$F$4:$ABM$4,"Часы",INDEX(Техника!$G$1:$ABN$500,N$2,0),$A$1033,INDEX(Техника!$H$1:$ABO$500,N$2,0),"Л")</f>
        <v>0</v>
      </c>
      <c r="O1037" s="50">
        <f>SUMIFS(INDEX(Техника!$F$1:$ABM$500,O$2,0),Техника!$F$4:$ABM$4,"Часы",INDEX(Техника!$G$1:$ABN$500,O$2,0),$A$1033,INDEX(Техника!$H$1:$ABO$500,O$2,0),"Л")</f>
        <v>0</v>
      </c>
      <c r="P1037" s="50">
        <f>SUMIFS(INDEX(Техника!$F$1:$ABM$500,P$2,0),Техника!$F$4:$ABM$4,"Часы",INDEX(Техника!$G$1:$ABN$500,P$2,0),$A$1033,INDEX(Техника!$H$1:$ABO$500,P$2,0),"Л")</f>
        <v>0</v>
      </c>
      <c r="Q1037" s="50">
        <f>SUMIFS(INDEX(Техника!$F$1:$ABM$500,Q$2,0),Техника!$F$4:$ABM$4,"Часы",INDEX(Техника!$G$1:$ABN$500,Q$2,0),$A$1033,INDEX(Техника!$H$1:$ABO$500,Q$2,0),"Л")</f>
        <v>0</v>
      </c>
      <c r="R1037" s="50">
        <f>SUMIFS(INDEX(Техника!$F$1:$ABM$500,R$2,0),Техника!$F$4:$ABM$4,"Часы",INDEX(Техника!$G$1:$ABN$500,R$2,0),$A$1033,INDEX(Техника!$H$1:$ABO$500,R$2,0),"Л")</f>
        <v>0</v>
      </c>
      <c r="S1037" s="50">
        <f>SUMIFS(INDEX(Техника!$F$1:$ABM$500,S$2,0),Техника!$F$4:$ABM$4,"Часы",INDEX(Техника!$G$1:$ABN$500,S$2,0),$A$1033,INDEX(Техника!$H$1:$ABO$500,S$2,0),"Л")</f>
        <v>0</v>
      </c>
      <c r="T1037" s="50">
        <f>SUMIFS(INDEX(Техника!$F$1:$ABM$500,T$2,0),Техника!$F$4:$ABM$4,"Часы",INDEX(Техника!$G$1:$ABN$500,T$2,0),$A$1033,INDEX(Техника!$H$1:$ABO$500,T$2,0),"Л")</f>
        <v>0</v>
      </c>
      <c r="U1037" s="50">
        <f>SUMIFS(INDEX(Техника!$F$1:$ABM$500,U$2,0),Техника!$F$4:$ABM$4,"Часы",INDEX(Техника!$G$1:$ABN$500,U$2,0),$A$1033,INDEX(Техника!$H$1:$ABO$500,U$2,0),"Л")</f>
        <v>0</v>
      </c>
      <c r="V1037" s="50">
        <f>SUMIFS(INDEX(Техника!$F$1:$ABM$500,V$2,0),Техника!$F$4:$ABM$4,"Часы",INDEX(Техника!$G$1:$ABN$500,V$2,0),$A$1033,INDEX(Техника!$H$1:$ABO$500,V$2,0),"Л")</f>
        <v>0</v>
      </c>
      <c r="W1037" s="50">
        <f>SUMIFS(INDEX(Техника!$F$1:$ABM$500,W$2,0),Техника!$F$4:$ABM$4,"Часы",INDEX(Техника!$G$1:$ABN$500,W$2,0),$A$1033,INDEX(Техника!$H$1:$ABO$500,W$2,0),"Л")</f>
        <v>0</v>
      </c>
      <c r="X1037" s="50">
        <f>SUMIFS(INDEX(Техника!$F$1:$ABM$500,X$2,0),Техника!$F$4:$ABM$4,"Часы",INDEX(Техника!$G$1:$ABN$500,X$2,0),$A$1033,INDEX(Техника!$H$1:$ABO$500,X$2,0),"Л")</f>
        <v>0</v>
      </c>
      <c r="Y1037" s="50">
        <f>SUMIFS(INDEX(Техника!$F$1:$ABM$500,Y$2,0),Техника!$F$4:$ABM$4,"Часы",INDEX(Техника!$G$1:$ABN$500,Y$2,0),$A$1033,INDEX(Техника!$H$1:$ABO$500,Y$2,0),"Л")</f>
        <v>0</v>
      </c>
      <c r="Z1037" s="50">
        <f>SUMIFS(INDEX(Техника!$F$1:$ABM$500,Z$2,0),Техника!$F$4:$ABM$4,"Часы",INDEX(Техника!$G$1:$ABN$500,Z$2,0),$A$1033,INDEX(Техника!$H$1:$ABO$500,Z$2,0),"Л")</f>
        <v>0</v>
      </c>
      <c r="AA1037" s="50">
        <f>SUMIFS(INDEX(Техника!$F$1:$ABM$500,AA$2,0),Техника!$F$4:$ABM$4,"Часы",INDEX(Техника!$G$1:$ABN$500,AA$2,0),$A$1033,INDEX(Техника!$H$1:$ABO$500,AA$2,0),"Л")</f>
        <v>0</v>
      </c>
      <c r="AB1037" s="50">
        <f>SUMIFS(INDEX(Техника!$F$1:$ABM$500,AB$2,0),Техника!$F$4:$ABM$4,"Часы",INDEX(Техника!$G$1:$ABN$500,AB$2,0),$A$1033,INDEX(Техника!$H$1:$ABO$500,AB$2,0),"Л")</f>
        <v>0</v>
      </c>
    </row>
    <row r="1038" spans="1:28" hidden="1" outlineLevel="1" x14ac:dyDescent="0.3">
      <c r="A1038" s="33" t="s">
        <v>245</v>
      </c>
      <c r="B1038" s="34" t="s">
        <v>279</v>
      </c>
      <c r="C1038" s="50">
        <f>SUMIFS(INDEX(Техника!$F$1:$ABM$500,C$2,0),Техника!$F$4:$ABM$4,"Часы",INDEX(Техника!$G$1:$ABN$500,C$2,0),$A$1033,INDEX(Техника!$H$1:$ABO$500,C$2,0),"З")</f>
        <v>0</v>
      </c>
      <c r="D1038" s="50">
        <f>SUMIFS(INDEX(Техника!$F$1:$ABM$500,D$2,0),Техника!$F$4:$ABM$4,"Часы",INDEX(Техника!$G$1:$ABN$500,D$2,0),$A$1033,INDEX(Техника!$H$1:$ABO$500,D$2,0),"З")</f>
        <v>0</v>
      </c>
      <c r="E1038" s="50">
        <f>SUMIFS(INDEX(Техника!$F$1:$ABM$500,E$2,0),Техника!$F$4:$ABM$4,"Часы",INDEX(Техника!$G$1:$ABN$500,E$2,0),$A$1033,INDEX(Техника!$H$1:$ABO$500,E$2,0),"З")</f>
        <v>0</v>
      </c>
      <c r="F1038" s="50">
        <f>SUMIFS(INDEX(Техника!$F$1:$ABM$500,F$2,0),Техника!$F$4:$ABM$4,"Часы",INDEX(Техника!$G$1:$ABN$500,F$2,0),$A$1033,INDEX(Техника!$H$1:$ABO$500,F$2,0),"З")</f>
        <v>0</v>
      </c>
      <c r="G1038" s="50">
        <f>SUMIFS(INDEX(Техника!$F$1:$ABM$500,G$2,0),Техника!$F$4:$ABM$4,"Часы",INDEX(Техника!$G$1:$ABN$500,G$2,0),$A$1033,INDEX(Техника!$H$1:$ABO$500,G$2,0),"З")</f>
        <v>0</v>
      </c>
      <c r="H1038" s="50">
        <f>SUMIFS(INDEX(Техника!$F$1:$ABM$500,H$2,0),Техника!$F$4:$ABM$4,"Часы",INDEX(Техника!$G$1:$ABN$500,H$2,0),$A$1033,INDEX(Техника!$H$1:$ABO$500,H$2,0),"З")</f>
        <v>0</v>
      </c>
      <c r="I1038" s="50">
        <f>SUMIFS(INDEX(Техника!$F$1:$ABM$500,I$2,0),Техника!$F$4:$ABM$4,"Часы",INDEX(Техника!$G$1:$ABN$500,I$2,0),$A$1033,INDEX(Техника!$H$1:$ABO$500,I$2,0),"З")</f>
        <v>0</v>
      </c>
      <c r="J1038" s="50">
        <f>SUMIFS(INDEX(Техника!$F$1:$ABM$500,J$2,0),Техника!$F$4:$ABM$4,"Часы",INDEX(Техника!$G$1:$ABN$500,J$2,0),$A$1033,INDEX(Техника!$H$1:$ABO$500,J$2,0),"З")</f>
        <v>0</v>
      </c>
      <c r="K1038" s="50">
        <f>SUMIFS(INDEX(Техника!$F$1:$ABM$500,K$2,0),Техника!$F$4:$ABM$4,"Часы",INDEX(Техника!$G$1:$ABN$500,K$2,0),$A$1033,INDEX(Техника!$H$1:$ABO$500,K$2,0),"З")</f>
        <v>0</v>
      </c>
      <c r="L1038" s="50">
        <f>SUMIFS(INDEX(Техника!$F$1:$ABM$500,L$2,0),Техника!$F$4:$ABM$4,"Часы",INDEX(Техника!$G$1:$ABN$500,L$2,0),$A$1033,INDEX(Техника!$H$1:$ABO$500,L$2,0),"З")</f>
        <v>0</v>
      </c>
      <c r="M1038" s="50">
        <f>SUMIFS(INDEX(Техника!$F$1:$ABM$500,M$2,0),Техника!$F$4:$ABM$4,"Часы",INDEX(Техника!$G$1:$ABN$500,M$2,0),$A$1033,INDEX(Техника!$H$1:$ABO$500,M$2,0),"З")</f>
        <v>0</v>
      </c>
      <c r="N1038" s="50">
        <f>SUMIFS(INDEX(Техника!$F$1:$ABM$500,N$2,0),Техника!$F$4:$ABM$4,"Часы",INDEX(Техника!$G$1:$ABN$500,N$2,0),$A$1033,INDEX(Техника!$H$1:$ABO$500,N$2,0),"З")</f>
        <v>0</v>
      </c>
      <c r="O1038" s="50">
        <f>SUMIFS(INDEX(Техника!$F$1:$ABM$500,O$2,0),Техника!$F$4:$ABM$4,"Часы",INDEX(Техника!$G$1:$ABN$500,O$2,0),$A$1033,INDEX(Техника!$H$1:$ABO$500,O$2,0),"З")</f>
        <v>0</v>
      </c>
      <c r="P1038" s="50">
        <f>SUMIFS(INDEX(Техника!$F$1:$ABM$500,P$2,0),Техника!$F$4:$ABM$4,"Часы",INDEX(Техника!$G$1:$ABN$500,P$2,0),$A$1033,INDEX(Техника!$H$1:$ABO$500,P$2,0),"З")</f>
        <v>0</v>
      </c>
      <c r="Q1038" s="50">
        <f>SUMIFS(INDEX(Техника!$F$1:$ABM$500,Q$2,0),Техника!$F$4:$ABM$4,"Часы",INDEX(Техника!$G$1:$ABN$500,Q$2,0),$A$1033,INDEX(Техника!$H$1:$ABO$500,Q$2,0),"З")</f>
        <v>0</v>
      </c>
      <c r="R1038" s="50">
        <f>SUMIFS(INDEX(Техника!$F$1:$ABM$500,R$2,0),Техника!$F$4:$ABM$4,"Часы",INDEX(Техника!$G$1:$ABN$500,R$2,0),$A$1033,INDEX(Техника!$H$1:$ABO$500,R$2,0),"З")</f>
        <v>0</v>
      </c>
      <c r="S1038" s="50">
        <f>SUMIFS(INDEX(Техника!$F$1:$ABM$500,S$2,0),Техника!$F$4:$ABM$4,"Часы",INDEX(Техника!$G$1:$ABN$500,S$2,0),$A$1033,INDEX(Техника!$H$1:$ABO$500,S$2,0),"З")</f>
        <v>0</v>
      </c>
      <c r="T1038" s="50">
        <f>SUMIFS(INDEX(Техника!$F$1:$ABM$500,T$2,0),Техника!$F$4:$ABM$4,"Часы",INDEX(Техника!$G$1:$ABN$500,T$2,0),$A$1033,INDEX(Техника!$H$1:$ABO$500,T$2,0),"З")</f>
        <v>0</v>
      </c>
      <c r="U1038" s="50">
        <f>SUMIFS(INDEX(Техника!$F$1:$ABM$500,U$2,0),Техника!$F$4:$ABM$4,"Часы",INDEX(Техника!$G$1:$ABN$500,U$2,0),$A$1033,INDEX(Техника!$H$1:$ABO$500,U$2,0),"З")</f>
        <v>0</v>
      </c>
      <c r="V1038" s="50">
        <f>SUMIFS(INDEX(Техника!$F$1:$ABM$500,V$2,0),Техника!$F$4:$ABM$4,"Часы",INDEX(Техника!$G$1:$ABN$500,V$2,0),$A$1033,INDEX(Техника!$H$1:$ABO$500,V$2,0),"З")</f>
        <v>0</v>
      </c>
      <c r="W1038" s="50">
        <f>SUMIFS(INDEX(Техника!$F$1:$ABM$500,W$2,0),Техника!$F$4:$ABM$4,"Часы",INDEX(Техника!$G$1:$ABN$500,W$2,0),$A$1033,INDEX(Техника!$H$1:$ABO$500,W$2,0),"З")</f>
        <v>0</v>
      </c>
      <c r="X1038" s="50">
        <f>SUMIFS(INDEX(Техника!$F$1:$ABM$500,X$2,0),Техника!$F$4:$ABM$4,"Часы",INDEX(Техника!$G$1:$ABN$500,X$2,0),$A$1033,INDEX(Техника!$H$1:$ABO$500,X$2,0),"З")</f>
        <v>0</v>
      </c>
      <c r="Y1038" s="50">
        <f>SUMIFS(INDEX(Техника!$F$1:$ABM$500,Y$2,0),Техника!$F$4:$ABM$4,"Часы",INDEX(Техника!$G$1:$ABN$500,Y$2,0),$A$1033,INDEX(Техника!$H$1:$ABO$500,Y$2,0),"З")</f>
        <v>0</v>
      </c>
      <c r="Z1038" s="50">
        <f>SUMIFS(INDEX(Техника!$F$1:$ABM$500,Z$2,0),Техника!$F$4:$ABM$4,"Часы",INDEX(Техника!$G$1:$ABN$500,Z$2,0),$A$1033,INDEX(Техника!$H$1:$ABO$500,Z$2,0),"З")</f>
        <v>0</v>
      </c>
      <c r="AA1038" s="50">
        <f>SUMIFS(INDEX(Техника!$F$1:$ABM$500,AA$2,0),Техника!$F$4:$ABM$4,"Часы",INDEX(Техника!$G$1:$ABN$500,AA$2,0),$A$1033,INDEX(Техника!$H$1:$ABO$500,AA$2,0),"З")</f>
        <v>0</v>
      </c>
      <c r="AB1038" s="50">
        <f>SUMIFS(INDEX(Техника!$F$1:$ABM$500,AB$2,0),Техника!$F$4:$ABM$4,"Часы",INDEX(Техника!$G$1:$ABN$500,AB$2,0),$A$1033,INDEX(Техника!$H$1:$ABO$500,AB$2,0),"З")</f>
        <v>0</v>
      </c>
    </row>
    <row r="1039" spans="1:28" ht="7.95" customHeight="1" x14ac:dyDescent="0.3">
      <c r="A1039" s="38"/>
      <c r="B1039" s="39"/>
      <c r="C1039" s="51"/>
      <c r="D1039" s="51"/>
      <c r="E1039" s="51"/>
      <c r="F1039" s="51"/>
      <c r="G1039" s="51"/>
      <c r="H1039" s="51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</row>
    <row r="1040" spans="1:28" ht="25.05" customHeight="1" collapsed="1" x14ac:dyDescent="0.3">
      <c r="A1040" s="32">
        <v>149</v>
      </c>
      <c r="B1040" s="32" t="s">
        <v>150</v>
      </c>
      <c r="C1040" s="49">
        <f>SUM(C1041:C1045)</f>
        <v>0</v>
      </c>
      <c r="D1040" s="49">
        <f>SUM(D1041:D1045)</f>
        <v>0</v>
      </c>
      <c r="E1040" s="49">
        <f>SUM(E1041:E1045)</f>
        <v>0</v>
      </c>
      <c r="F1040" s="49">
        <f>SUM(F1041:F1045)</f>
        <v>0</v>
      </c>
      <c r="G1040" s="49">
        <f>SUM(G1041:G1045)</f>
        <v>0</v>
      </c>
      <c r="H1040" s="49">
        <f>SUM(H1041:H1045)</f>
        <v>0</v>
      </c>
      <c r="I1040" s="49">
        <f>SUM(I1041:I1045)</f>
        <v>0</v>
      </c>
      <c r="J1040" s="49">
        <f>SUM(J1041:J1045)</f>
        <v>0</v>
      </c>
      <c r="K1040" s="49">
        <f>SUM(K1041:K1045)</f>
        <v>0</v>
      </c>
      <c r="L1040" s="49">
        <f>SUM(L1041:L1045)</f>
        <v>0</v>
      </c>
      <c r="M1040" s="49">
        <f>SUM(M1041:M1045)</f>
        <v>0</v>
      </c>
      <c r="N1040" s="49">
        <f>SUM(N1041:N1045)</f>
        <v>0</v>
      </c>
      <c r="O1040" s="49">
        <f>SUM(O1041:O1045)</f>
        <v>0</v>
      </c>
      <c r="P1040" s="49">
        <f>SUM(P1041:P1045)</f>
        <v>0</v>
      </c>
      <c r="Q1040" s="49">
        <f>SUM(Q1041:Q1045)</f>
        <v>0</v>
      </c>
      <c r="R1040" s="49">
        <f>SUM(R1041:R1045)</f>
        <v>0</v>
      </c>
      <c r="S1040" s="49">
        <f>SUM(S1041:S1045)</f>
        <v>0</v>
      </c>
      <c r="T1040" s="49">
        <f>SUM(T1041:T1045)</f>
        <v>0</v>
      </c>
      <c r="U1040" s="49">
        <f>SUM(U1041:U1045)</f>
        <v>0</v>
      </c>
      <c r="V1040" s="49">
        <f>SUM(V1041:V1045)</f>
        <v>0</v>
      </c>
      <c r="W1040" s="49">
        <f>SUM(W1041:W1045)</f>
        <v>0</v>
      </c>
      <c r="X1040" s="49">
        <f>SUM(X1041:X1045)</f>
        <v>0</v>
      </c>
      <c r="Y1040" s="49">
        <f>SUM(Y1041:Y1045)</f>
        <v>0</v>
      </c>
      <c r="Z1040" s="49">
        <f>SUM(Z1041:Z1045)</f>
        <v>0</v>
      </c>
      <c r="AA1040" s="49">
        <f>SUM(AA1041:AA1045)</f>
        <v>0</v>
      </c>
      <c r="AB1040" s="49">
        <f>SUM(AB1041:AB1045)</f>
        <v>0</v>
      </c>
    </row>
    <row r="1041" spans="1:28" hidden="1" outlineLevel="1" x14ac:dyDescent="0.3">
      <c r="A1041" s="33" t="s">
        <v>246</v>
      </c>
      <c r="B1041" s="34" t="s">
        <v>274</v>
      </c>
      <c r="C1041" s="50">
        <f>SUMIFS(INDEX(Техника!$F$1:$ABM$500,C$2,0),Техника!$F$4:$ABM$4,"Часы",INDEX(Техника!$G$1:$ABN$500,C$2,0),$A$1040,INDEX(Техника!$H$1:$ABO$500,C$2,0),"М")</f>
        <v>0</v>
      </c>
      <c r="D1041" s="50">
        <f>SUMIFS(INDEX(Техника!$F$1:$ABM$500,D$2,0),Техника!$F$4:$ABM$4,"Часы",INDEX(Техника!$G$1:$ABN$500,D$2,0),$A$1040,INDEX(Техника!$H$1:$ABO$500,D$2,0),"М")</f>
        <v>0</v>
      </c>
      <c r="E1041" s="50">
        <f>SUMIFS(INDEX(Техника!$F$1:$ABM$500,E$2,0),Техника!$F$4:$ABM$4,"Часы",INDEX(Техника!$G$1:$ABN$500,E$2,0),$A$1040,INDEX(Техника!$H$1:$ABO$500,E$2,0),"М")</f>
        <v>0</v>
      </c>
      <c r="F1041" s="50">
        <f>SUMIFS(INDEX(Техника!$F$1:$ABM$500,F$2,0),Техника!$F$4:$ABM$4,"Часы",INDEX(Техника!$G$1:$ABN$500,F$2,0),$A$1040,INDEX(Техника!$H$1:$ABO$500,F$2,0),"М")</f>
        <v>0</v>
      </c>
      <c r="G1041" s="50">
        <f>SUMIFS(INDEX(Техника!$F$1:$ABM$500,G$2,0),Техника!$F$4:$ABM$4,"Часы",INDEX(Техника!$G$1:$ABN$500,G$2,0),$A$1040,INDEX(Техника!$H$1:$ABO$500,G$2,0),"М")</f>
        <v>0</v>
      </c>
      <c r="H1041" s="50">
        <f>SUMIFS(INDEX(Техника!$F$1:$ABM$500,H$2,0),Техника!$F$4:$ABM$4,"Часы",INDEX(Техника!$G$1:$ABN$500,H$2,0),$A$1040,INDEX(Техника!$H$1:$ABO$500,H$2,0),"М")</f>
        <v>0</v>
      </c>
      <c r="I1041" s="50">
        <f>SUMIFS(INDEX(Техника!$F$1:$ABM$500,I$2,0),Техника!$F$4:$ABM$4,"Часы",INDEX(Техника!$G$1:$ABN$500,I$2,0),$A$1040,INDEX(Техника!$H$1:$ABO$500,I$2,0),"М")</f>
        <v>0</v>
      </c>
      <c r="J1041" s="50">
        <f>SUMIFS(INDEX(Техника!$F$1:$ABM$500,J$2,0),Техника!$F$4:$ABM$4,"Часы",INDEX(Техника!$G$1:$ABN$500,J$2,0),$A$1040,INDEX(Техника!$H$1:$ABO$500,J$2,0),"М")</f>
        <v>0</v>
      </c>
      <c r="K1041" s="50">
        <f>SUMIFS(INDEX(Техника!$F$1:$ABM$500,K$2,0),Техника!$F$4:$ABM$4,"Часы",INDEX(Техника!$G$1:$ABN$500,K$2,0),$A$1040,INDEX(Техника!$H$1:$ABO$500,K$2,0),"М")</f>
        <v>0</v>
      </c>
      <c r="L1041" s="50">
        <f>SUMIFS(INDEX(Техника!$F$1:$ABM$500,L$2,0),Техника!$F$4:$ABM$4,"Часы",INDEX(Техника!$G$1:$ABN$500,L$2,0),$A$1040,INDEX(Техника!$H$1:$ABO$500,L$2,0),"М")</f>
        <v>0</v>
      </c>
      <c r="M1041" s="50">
        <f>SUMIFS(INDEX(Техника!$F$1:$ABM$500,M$2,0),Техника!$F$4:$ABM$4,"Часы",INDEX(Техника!$G$1:$ABN$500,M$2,0),$A$1040,INDEX(Техника!$H$1:$ABO$500,M$2,0),"М")</f>
        <v>0</v>
      </c>
      <c r="N1041" s="50">
        <f>SUMIFS(INDEX(Техника!$F$1:$ABM$500,N$2,0),Техника!$F$4:$ABM$4,"Часы",INDEX(Техника!$G$1:$ABN$500,N$2,0),$A$1040,INDEX(Техника!$H$1:$ABO$500,N$2,0),"М")</f>
        <v>0</v>
      </c>
      <c r="O1041" s="50">
        <f>SUMIFS(INDEX(Техника!$F$1:$ABM$500,O$2,0),Техника!$F$4:$ABM$4,"Часы",INDEX(Техника!$G$1:$ABN$500,O$2,0),$A$1040,INDEX(Техника!$H$1:$ABO$500,O$2,0),"М")</f>
        <v>0</v>
      </c>
      <c r="P1041" s="50">
        <f>SUMIFS(INDEX(Техника!$F$1:$ABM$500,P$2,0),Техника!$F$4:$ABM$4,"Часы",INDEX(Техника!$G$1:$ABN$500,P$2,0),$A$1040,INDEX(Техника!$H$1:$ABO$500,P$2,0),"М")</f>
        <v>0</v>
      </c>
      <c r="Q1041" s="50">
        <f>SUMIFS(INDEX(Техника!$F$1:$ABM$500,Q$2,0),Техника!$F$4:$ABM$4,"Часы",INDEX(Техника!$G$1:$ABN$500,Q$2,0),$A$1040,INDEX(Техника!$H$1:$ABO$500,Q$2,0),"М")</f>
        <v>0</v>
      </c>
      <c r="R1041" s="50">
        <f>SUMIFS(INDEX(Техника!$F$1:$ABM$500,R$2,0),Техника!$F$4:$ABM$4,"Часы",INDEX(Техника!$G$1:$ABN$500,R$2,0),$A$1040,INDEX(Техника!$H$1:$ABO$500,R$2,0),"М")</f>
        <v>0</v>
      </c>
      <c r="S1041" s="50">
        <f>SUMIFS(INDEX(Техника!$F$1:$ABM$500,S$2,0),Техника!$F$4:$ABM$4,"Часы",INDEX(Техника!$G$1:$ABN$500,S$2,0),$A$1040,INDEX(Техника!$H$1:$ABO$500,S$2,0),"М")</f>
        <v>0</v>
      </c>
      <c r="T1041" s="50">
        <f>SUMIFS(INDEX(Техника!$F$1:$ABM$500,T$2,0),Техника!$F$4:$ABM$4,"Часы",INDEX(Техника!$G$1:$ABN$500,T$2,0),$A$1040,INDEX(Техника!$H$1:$ABO$500,T$2,0),"М")</f>
        <v>0</v>
      </c>
      <c r="U1041" s="50">
        <f>SUMIFS(INDEX(Техника!$F$1:$ABM$500,U$2,0),Техника!$F$4:$ABM$4,"Часы",INDEX(Техника!$G$1:$ABN$500,U$2,0),$A$1040,INDEX(Техника!$H$1:$ABO$500,U$2,0),"М")</f>
        <v>0</v>
      </c>
      <c r="V1041" s="50">
        <f>SUMIFS(INDEX(Техника!$F$1:$ABM$500,V$2,0),Техника!$F$4:$ABM$4,"Часы",INDEX(Техника!$G$1:$ABN$500,V$2,0),$A$1040,INDEX(Техника!$H$1:$ABO$500,V$2,0),"М")</f>
        <v>0</v>
      </c>
      <c r="W1041" s="50">
        <f>SUMIFS(INDEX(Техника!$F$1:$ABM$500,W$2,0),Техника!$F$4:$ABM$4,"Часы",INDEX(Техника!$G$1:$ABN$500,W$2,0),$A$1040,INDEX(Техника!$H$1:$ABO$500,W$2,0),"М")</f>
        <v>0</v>
      </c>
      <c r="X1041" s="50">
        <f>SUMIFS(INDEX(Техника!$F$1:$ABM$500,X$2,0),Техника!$F$4:$ABM$4,"Часы",INDEX(Техника!$G$1:$ABN$500,X$2,0),$A$1040,INDEX(Техника!$H$1:$ABO$500,X$2,0),"М")</f>
        <v>0</v>
      </c>
      <c r="Y1041" s="50">
        <f>SUMIFS(INDEX(Техника!$F$1:$ABM$500,Y$2,0),Техника!$F$4:$ABM$4,"Часы",INDEX(Техника!$G$1:$ABN$500,Y$2,0),$A$1040,INDEX(Техника!$H$1:$ABO$500,Y$2,0),"М")</f>
        <v>0</v>
      </c>
      <c r="Z1041" s="50">
        <f>SUMIFS(INDEX(Техника!$F$1:$ABM$500,Z$2,0),Техника!$F$4:$ABM$4,"Часы",INDEX(Техника!$G$1:$ABN$500,Z$2,0),$A$1040,INDEX(Техника!$H$1:$ABO$500,Z$2,0),"М")</f>
        <v>0</v>
      </c>
      <c r="AA1041" s="50">
        <f>SUMIFS(INDEX(Техника!$F$1:$ABM$500,AA$2,0),Техника!$F$4:$ABM$4,"Часы",INDEX(Техника!$G$1:$ABN$500,AA$2,0),$A$1040,INDEX(Техника!$H$1:$ABO$500,AA$2,0),"М")</f>
        <v>0</v>
      </c>
      <c r="AB1041" s="50">
        <f>SUMIFS(INDEX(Техника!$F$1:$ABM$500,AB$2,0),Техника!$F$4:$ABM$4,"Часы",INDEX(Техника!$G$1:$ABN$500,AB$2,0),$A$1040,INDEX(Техника!$H$1:$ABO$500,AB$2,0),"М")</f>
        <v>0</v>
      </c>
    </row>
    <row r="1042" spans="1:28" hidden="1" outlineLevel="1" x14ac:dyDescent="0.3">
      <c r="A1042" s="33" t="s">
        <v>244</v>
      </c>
      <c r="B1042" s="34" t="s">
        <v>275</v>
      </c>
      <c r="C1042" s="50">
        <f>SUMIFS(INDEX(Техника!$F$1:$ABM$500,C$2,0),Техника!$F$4:$ABM$4,"Часы",INDEX(Техника!$G$1:$ABN$500,C$2,0),$A$1040,INDEX(Техника!$H$1:$ABO$500,C$2,0),"Д")</f>
        <v>0</v>
      </c>
      <c r="D1042" s="50">
        <f>SUMIFS(INDEX(Техника!$F$1:$ABM$500,D$2,0),Техника!$F$4:$ABM$4,"Часы",INDEX(Техника!$G$1:$ABN$500,D$2,0),$A$1040,INDEX(Техника!$H$1:$ABO$500,D$2,0),"Д")</f>
        <v>0</v>
      </c>
      <c r="E1042" s="50">
        <f>SUMIFS(INDEX(Техника!$F$1:$ABM$500,E$2,0),Техника!$F$4:$ABM$4,"Часы",INDEX(Техника!$G$1:$ABN$500,E$2,0),$A$1040,INDEX(Техника!$H$1:$ABO$500,E$2,0),"Д")</f>
        <v>0</v>
      </c>
      <c r="F1042" s="50">
        <f>SUMIFS(INDEX(Техника!$F$1:$ABM$500,F$2,0),Техника!$F$4:$ABM$4,"Часы",INDEX(Техника!$G$1:$ABN$500,F$2,0),$A$1040,INDEX(Техника!$H$1:$ABO$500,F$2,0),"Д")</f>
        <v>0</v>
      </c>
      <c r="G1042" s="50">
        <f>SUMIFS(INDEX(Техника!$F$1:$ABM$500,G$2,0),Техника!$F$4:$ABM$4,"Часы",INDEX(Техника!$G$1:$ABN$500,G$2,0),$A$1040,INDEX(Техника!$H$1:$ABO$500,G$2,0),"Д")</f>
        <v>0</v>
      </c>
      <c r="H1042" s="50">
        <f>SUMIFS(INDEX(Техника!$F$1:$ABM$500,H$2,0),Техника!$F$4:$ABM$4,"Часы",INDEX(Техника!$G$1:$ABN$500,H$2,0),$A$1040,INDEX(Техника!$H$1:$ABO$500,H$2,0),"Д")</f>
        <v>0</v>
      </c>
      <c r="I1042" s="50">
        <f>SUMIFS(INDEX(Техника!$F$1:$ABM$500,I$2,0),Техника!$F$4:$ABM$4,"Часы",INDEX(Техника!$G$1:$ABN$500,I$2,0),$A$1040,INDEX(Техника!$H$1:$ABO$500,I$2,0),"Д")</f>
        <v>0</v>
      </c>
      <c r="J1042" s="50">
        <f>SUMIFS(INDEX(Техника!$F$1:$ABM$500,J$2,0),Техника!$F$4:$ABM$4,"Часы",INDEX(Техника!$G$1:$ABN$500,J$2,0),$A$1040,INDEX(Техника!$H$1:$ABO$500,J$2,0),"Д")</f>
        <v>0</v>
      </c>
      <c r="K1042" s="50">
        <f>SUMIFS(INDEX(Техника!$F$1:$ABM$500,K$2,0),Техника!$F$4:$ABM$4,"Часы",INDEX(Техника!$G$1:$ABN$500,K$2,0),$A$1040,INDEX(Техника!$H$1:$ABO$500,K$2,0),"Д")</f>
        <v>0</v>
      </c>
      <c r="L1042" s="50">
        <f>SUMIFS(INDEX(Техника!$F$1:$ABM$500,L$2,0),Техника!$F$4:$ABM$4,"Часы",INDEX(Техника!$G$1:$ABN$500,L$2,0),$A$1040,INDEX(Техника!$H$1:$ABO$500,L$2,0),"Д")</f>
        <v>0</v>
      </c>
      <c r="M1042" s="50">
        <f>SUMIFS(INDEX(Техника!$F$1:$ABM$500,M$2,0),Техника!$F$4:$ABM$4,"Часы",INDEX(Техника!$G$1:$ABN$500,M$2,0),$A$1040,INDEX(Техника!$H$1:$ABO$500,M$2,0),"Д")</f>
        <v>0</v>
      </c>
      <c r="N1042" s="50">
        <f>SUMIFS(INDEX(Техника!$F$1:$ABM$500,N$2,0),Техника!$F$4:$ABM$4,"Часы",INDEX(Техника!$G$1:$ABN$500,N$2,0),$A$1040,INDEX(Техника!$H$1:$ABO$500,N$2,0),"Д")</f>
        <v>0</v>
      </c>
      <c r="O1042" s="50">
        <f>SUMIFS(INDEX(Техника!$F$1:$ABM$500,O$2,0),Техника!$F$4:$ABM$4,"Часы",INDEX(Техника!$G$1:$ABN$500,O$2,0),$A$1040,INDEX(Техника!$H$1:$ABO$500,O$2,0),"Д")</f>
        <v>0</v>
      </c>
      <c r="P1042" s="50">
        <f>SUMIFS(INDEX(Техника!$F$1:$ABM$500,P$2,0),Техника!$F$4:$ABM$4,"Часы",INDEX(Техника!$G$1:$ABN$500,P$2,0),$A$1040,INDEX(Техника!$H$1:$ABO$500,P$2,0),"Д")</f>
        <v>0</v>
      </c>
      <c r="Q1042" s="50">
        <f>SUMIFS(INDEX(Техника!$F$1:$ABM$500,Q$2,0),Техника!$F$4:$ABM$4,"Часы",INDEX(Техника!$G$1:$ABN$500,Q$2,0),$A$1040,INDEX(Техника!$H$1:$ABO$500,Q$2,0),"Д")</f>
        <v>0</v>
      </c>
      <c r="R1042" s="50">
        <f>SUMIFS(INDEX(Техника!$F$1:$ABM$500,R$2,0),Техника!$F$4:$ABM$4,"Часы",INDEX(Техника!$G$1:$ABN$500,R$2,0),$A$1040,INDEX(Техника!$H$1:$ABO$500,R$2,0),"Д")</f>
        <v>0</v>
      </c>
      <c r="S1042" s="50">
        <f>SUMIFS(INDEX(Техника!$F$1:$ABM$500,S$2,0),Техника!$F$4:$ABM$4,"Часы",INDEX(Техника!$G$1:$ABN$500,S$2,0),$A$1040,INDEX(Техника!$H$1:$ABO$500,S$2,0),"Д")</f>
        <v>0</v>
      </c>
      <c r="T1042" s="50">
        <f>SUMIFS(INDEX(Техника!$F$1:$ABM$500,T$2,0),Техника!$F$4:$ABM$4,"Часы",INDEX(Техника!$G$1:$ABN$500,T$2,0),$A$1040,INDEX(Техника!$H$1:$ABO$500,T$2,0),"Д")</f>
        <v>0</v>
      </c>
      <c r="U1042" s="50">
        <f>SUMIFS(INDEX(Техника!$F$1:$ABM$500,U$2,0),Техника!$F$4:$ABM$4,"Часы",INDEX(Техника!$G$1:$ABN$500,U$2,0),$A$1040,INDEX(Техника!$H$1:$ABO$500,U$2,0),"Д")</f>
        <v>0</v>
      </c>
      <c r="V1042" s="50">
        <f>SUMIFS(INDEX(Техника!$F$1:$ABM$500,V$2,0),Техника!$F$4:$ABM$4,"Часы",INDEX(Техника!$G$1:$ABN$500,V$2,0),$A$1040,INDEX(Техника!$H$1:$ABO$500,V$2,0),"Д")</f>
        <v>0</v>
      </c>
      <c r="W1042" s="50">
        <f>SUMIFS(INDEX(Техника!$F$1:$ABM$500,W$2,0),Техника!$F$4:$ABM$4,"Часы",INDEX(Техника!$G$1:$ABN$500,W$2,0),$A$1040,INDEX(Техника!$H$1:$ABO$500,W$2,0),"Д")</f>
        <v>0</v>
      </c>
      <c r="X1042" s="50">
        <f>SUMIFS(INDEX(Техника!$F$1:$ABM$500,X$2,0),Техника!$F$4:$ABM$4,"Часы",INDEX(Техника!$G$1:$ABN$500,X$2,0),$A$1040,INDEX(Техника!$H$1:$ABO$500,X$2,0),"Д")</f>
        <v>0</v>
      </c>
      <c r="Y1042" s="50">
        <f>SUMIFS(INDEX(Техника!$F$1:$ABM$500,Y$2,0),Техника!$F$4:$ABM$4,"Часы",INDEX(Техника!$G$1:$ABN$500,Y$2,0),$A$1040,INDEX(Техника!$H$1:$ABO$500,Y$2,0),"Д")</f>
        <v>0</v>
      </c>
      <c r="Z1042" s="50">
        <f>SUMIFS(INDEX(Техника!$F$1:$ABM$500,Z$2,0),Техника!$F$4:$ABM$4,"Часы",INDEX(Техника!$G$1:$ABN$500,Z$2,0),$A$1040,INDEX(Техника!$H$1:$ABO$500,Z$2,0),"Д")</f>
        <v>0</v>
      </c>
      <c r="AA1042" s="50">
        <f>SUMIFS(INDEX(Техника!$F$1:$ABM$500,AA$2,0),Техника!$F$4:$ABM$4,"Часы",INDEX(Техника!$G$1:$ABN$500,AA$2,0),$A$1040,INDEX(Техника!$H$1:$ABO$500,AA$2,0),"Д")</f>
        <v>0</v>
      </c>
      <c r="AB1042" s="50">
        <f>SUMIFS(INDEX(Техника!$F$1:$ABM$500,AB$2,0),Техника!$F$4:$ABM$4,"Часы",INDEX(Техника!$G$1:$ABN$500,AB$2,0),$A$1040,INDEX(Техника!$H$1:$ABO$500,AB$2,0),"Д")</f>
        <v>0</v>
      </c>
    </row>
    <row r="1043" spans="1:28" hidden="1" outlineLevel="1" x14ac:dyDescent="0.3">
      <c r="A1043" s="33" t="s">
        <v>276</v>
      </c>
      <c r="B1043" s="34" t="s">
        <v>277</v>
      </c>
      <c r="C1043" s="50">
        <f>SUMIFS(INDEX(Техника!$F$1:$ABM$500,C$2,0),Техника!$F$4:$ABM$4,"Часы",INDEX(Техника!$G$1:$ABN$500,C$2,0),$A$1040,INDEX(Техника!$H$1:$ABO$500,C$2,0),"П")</f>
        <v>0</v>
      </c>
      <c r="D1043" s="50">
        <f>SUMIFS(INDEX(Техника!$F$1:$ABM$500,D$2,0),Техника!$F$4:$ABM$4,"Часы",INDEX(Техника!$G$1:$ABN$500,D$2,0),$A$1040,INDEX(Техника!$H$1:$ABO$500,D$2,0),"П")</f>
        <v>0</v>
      </c>
      <c r="E1043" s="50">
        <f>SUMIFS(INDEX(Техника!$F$1:$ABM$500,E$2,0),Техника!$F$4:$ABM$4,"Часы",INDEX(Техника!$G$1:$ABN$500,E$2,0),$A$1040,INDEX(Техника!$H$1:$ABO$500,E$2,0),"П")</f>
        <v>0</v>
      </c>
      <c r="F1043" s="50">
        <f>SUMIFS(INDEX(Техника!$F$1:$ABM$500,F$2,0),Техника!$F$4:$ABM$4,"Часы",INDEX(Техника!$G$1:$ABN$500,F$2,0),$A$1040,INDEX(Техника!$H$1:$ABO$500,F$2,0),"П")</f>
        <v>0</v>
      </c>
      <c r="G1043" s="50">
        <f>SUMIFS(INDEX(Техника!$F$1:$ABM$500,G$2,0),Техника!$F$4:$ABM$4,"Часы",INDEX(Техника!$G$1:$ABN$500,G$2,0),$A$1040,INDEX(Техника!$H$1:$ABO$500,G$2,0),"П")</f>
        <v>0</v>
      </c>
      <c r="H1043" s="50">
        <f>SUMIFS(INDEX(Техника!$F$1:$ABM$500,H$2,0),Техника!$F$4:$ABM$4,"Часы",INDEX(Техника!$G$1:$ABN$500,H$2,0),$A$1040,INDEX(Техника!$H$1:$ABO$500,H$2,0),"П")</f>
        <v>0</v>
      </c>
      <c r="I1043" s="50">
        <f>SUMIFS(INDEX(Техника!$F$1:$ABM$500,I$2,0),Техника!$F$4:$ABM$4,"Часы",INDEX(Техника!$G$1:$ABN$500,I$2,0),$A$1040,INDEX(Техника!$H$1:$ABO$500,I$2,0),"П")</f>
        <v>0</v>
      </c>
      <c r="J1043" s="50">
        <f>SUMIFS(INDEX(Техника!$F$1:$ABM$500,J$2,0),Техника!$F$4:$ABM$4,"Часы",INDEX(Техника!$G$1:$ABN$500,J$2,0),$A$1040,INDEX(Техника!$H$1:$ABO$500,J$2,0),"П")</f>
        <v>0</v>
      </c>
      <c r="K1043" s="50">
        <f>SUMIFS(INDEX(Техника!$F$1:$ABM$500,K$2,0),Техника!$F$4:$ABM$4,"Часы",INDEX(Техника!$G$1:$ABN$500,K$2,0),$A$1040,INDEX(Техника!$H$1:$ABO$500,K$2,0),"П")</f>
        <v>0</v>
      </c>
      <c r="L1043" s="50">
        <f>SUMIFS(INDEX(Техника!$F$1:$ABM$500,L$2,0),Техника!$F$4:$ABM$4,"Часы",INDEX(Техника!$G$1:$ABN$500,L$2,0),$A$1040,INDEX(Техника!$H$1:$ABO$500,L$2,0),"П")</f>
        <v>0</v>
      </c>
      <c r="M1043" s="50">
        <f>SUMIFS(INDEX(Техника!$F$1:$ABM$500,M$2,0),Техника!$F$4:$ABM$4,"Часы",INDEX(Техника!$G$1:$ABN$500,M$2,0),$A$1040,INDEX(Техника!$H$1:$ABO$500,M$2,0),"П")</f>
        <v>0</v>
      </c>
      <c r="N1043" s="50">
        <f>SUMIFS(INDEX(Техника!$F$1:$ABM$500,N$2,0),Техника!$F$4:$ABM$4,"Часы",INDEX(Техника!$G$1:$ABN$500,N$2,0),$A$1040,INDEX(Техника!$H$1:$ABO$500,N$2,0),"П")</f>
        <v>0</v>
      </c>
      <c r="O1043" s="50">
        <f>SUMIFS(INDEX(Техника!$F$1:$ABM$500,O$2,0),Техника!$F$4:$ABM$4,"Часы",INDEX(Техника!$G$1:$ABN$500,O$2,0),$A$1040,INDEX(Техника!$H$1:$ABO$500,O$2,0),"П")</f>
        <v>0</v>
      </c>
      <c r="P1043" s="50">
        <f>SUMIFS(INDEX(Техника!$F$1:$ABM$500,P$2,0),Техника!$F$4:$ABM$4,"Часы",INDEX(Техника!$G$1:$ABN$500,P$2,0),$A$1040,INDEX(Техника!$H$1:$ABO$500,P$2,0),"П")</f>
        <v>0</v>
      </c>
      <c r="Q1043" s="50">
        <f>SUMIFS(INDEX(Техника!$F$1:$ABM$500,Q$2,0),Техника!$F$4:$ABM$4,"Часы",INDEX(Техника!$G$1:$ABN$500,Q$2,0),$A$1040,INDEX(Техника!$H$1:$ABO$500,Q$2,0),"П")</f>
        <v>0</v>
      </c>
      <c r="R1043" s="50">
        <f>SUMIFS(INDEX(Техника!$F$1:$ABM$500,R$2,0),Техника!$F$4:$ABM$4,"Часы",INDEX(Техника!$G$1:$ABN$500,R$2,0),$A$1040,INDEX(Техника!$H$1:$ABO$500,R$2,0),"П")</f>
        <v>0</v>
      </c>
      <c r="S1043" s="50">
        <f>SUMIFS(INDEX(Техника!$F$1:$ABM$500,S$2,0),Техника!$F$4:$ABM$4,"Часы",INDEX(Техника!$G$1:$ABN$500,S$2,0),$A$1040,INDEX(Техника!$H$1:$ABO$500,S$2,0),"П")</f>
        <v>0</v>
      </c>
      <c r="T1043" s="50">
        <f>SUMIFS(INDEX(Техника!$F$1:$ABM$500,T$2,0),Техника!$F$4:$ABM$4,"Часы",INDEX(Техника!$G$1:$ABN$500,T$2,0),$A$1040,INDEX(Техника!$H$1:$ABO$500,T$2,0),"П")</f>
        <v>0</v>
      </c>
      <c r="U1043" s="50">
        <f>SUMIFS(INDEX(Техника!$F$1:$ABM$500,U$2,0),Техника!$F$4:$ABM$4,"Часы",INDEX(Техника!$G$1:$ABN$500,U$2,0),$A$1040,INDEX(Техника!$H$1:$ABO$500,U$2,0),"П")</f>
        <v>0</v>
      </c>
      <c r="V1043" s="50">
        <f>SUMIFS(INDEX(Техника!$F$1:$ABM$500,V$2,0),Техника!$F$4:$ABM$4,"Часы",INDEX(Техника!$G$1:$ABN$500,V$2,0),$A$1040,INDEX(Техника!$H$1:$ABO$500,V$2,0),"П")</f>
        <v>0</v>
      </c>
      <c r="W1043" s="50">
        <f>SUMIFS(INDEX(Техника!$F$1:$ABM$500,W$2,0),Техника!$F$4:$ABM$4,"Часы",INDEX(Техника!$G$1:$ABN$500,W$2,0),$A$1040,INDEX(Техника!$H$1:$ABO$500,W$2,0),"П")</f>
        <v>0</v>
      </c>
      <c r="X1043" s="50">
        <f>SUMIFS(INDEX(Техника!$F$1:$ABM$500,X$2,0),Техника!$F$4:$ABM$4,"Часы",INDEX(Техника!$G$1:$ABN$500,X$2,0),$A$1040,INDEX(Техника!$H$1:$ABO$500,X$2,0),"П")</f>
        <v>0</v>
      </c>
      <c r="Y1043" s="50">
        <f>SUMIFS(INDEX(Техника!$F$1:$ABM$500,Y$2,0),Техника!$F$4:$ABM$4,"Часы",INDEX(Техника!$G$1:$ABN$500,Y$2,0),$A$1040,INDEX(Техника!$H$1:$ABO$500,Y$2,0),"П")</f>
        <v>0</v>
      </c>
      <c r="Z1043" s="50">
        <f>SUMIFS(INDEX(Техника!$F$1:$ABM$500,Z$2,0),Техника!$F$4:$ABM$4,"Часы",INDEX(Техника!$G$1:$ABN$500,Z$2,0),$A$1040,INDEX(Техника!$H$1:$ABO$500,Z$2,0),"П")</f>
        <v>0</v>
      </c>
      <c r="AA1043" s="50">
        <f>SUMIFS(INDEX(Техника!$F$1:$ABM$500,AA$2,0),Техника!$F$4:$ABM$4,"Часы",INDEX(Техника!$G$1:$ABN$500,AA$2,0),$A$1040,INDEX(Техника!$H$1:$ABO$500,AA$2,0),"П")</f>
        <v>0</v>
      </c>
      <c r="AB1043" s="50">
        <f>SUMIFS(INDEX(Техника!$F$1:$ABM$500,AB$2,0),Техника!$F$4:$ABM$4,"Часы",INDEX(Техника!$G$1:$ABN$500,AB$2,0),$A$1040,INDEX(Техника!$H$1:$ABO$500,AB$2,0),"П")</f>
        <v>0</v>
      </c>
    </row>
    <row r="1044" spans="1:28" hidden="1" outlineLevel="1" x14ac:dyDescent="0.3">
      <c r="A1044" s="33" t="s">
        <v>243</v>
      </c>
      <c r="B1044" s="34" t="s">
        <v>278</v>
      </c>
      <c r="C1044" s="50">
        <f>SUMIFS(INDEX(Техника!$F$1:$ABM$500,C$2,0),Техника!$F$4:$ABM$4,"Часы",INDEX(Техника!$G$1:$ABN$500,C$2,0),$A$1040,INDEX(Техника!$H$1:$ABO$500,C$2,0),"Л")</f>
        <v>0</v>
      </c>
      <c r="D1044" s="50">
        <f>SUMIFS(INDEX(Техника!$F$1:$ABM$500,D$2,0),Техника!$F$4:$ABM$4,"Часы",INDEX(Техника!$G$1:$ABN$500,D$2,0),$A$1040,INDEX(Техника!$H$1:$ABO$500,D$2,0),"Л")</f>
        <v>0</v>
      </c>
      <c r="E1044" s="50">
        <f>SUMIFS(INDEX(Техника!$F$1:$ABM$500,E$2,0),Техника!$F$4:$ABM$4,"Часы",INDEX(Техника!$G$1:$ABN$500,E$2,0),$A$1040,INDEX(Техника!$H$1:$ABO$500,E$2,0),"Л")</f>
        <v>0</v>
      </c>
      <c r="F1044" s="50">
        <f>SUMIFS(INDEX(Техника!$F$1:$ABM$500,F$2,0),Техника!$F$4:$ABM$4,"Часы",INDEX(Техника!$G$1:$ABN$500,F$2,0),$A$1040,INDEX(Техника!$H$1:$ABO$500,F$2,0),"Л")</f>
        <v>0</v>
      </c>
      <c r="G1044" s="50">
        <f>SUMIFS(INDEX(Техника!$F$1:$ABM$500,G$2,0),Техника!$F$4:$ABM$4,"Часы",INDEX(Техника!$G$1:$ABN$500,G$2,0),$A$1040,INDEX(Техника!$H$1:$ABO$500,G$2,0),"Л")</f>
        <v>0</v>
      </c>
      <c r="H1044" s="50">
        <f>SUMIFS(INDEX(Техника!$F$1:$ABM$500,H$2,0),Техника!$F$4:$ABM$4,"Часы",INDEX(Техника!$G$1:$ABN$500,H$2,0),$A$1040,INDEX(Техника!$H$1:$ABO$500,H$2,0),"Л")</f>
        <v>0</v>
      </c>
      <c r="I1044" s="50">
        <f>SUMIFS(INDEX(Техника!$F$1:$ABM$500,I$2,0),Техника!$F$4:$ABM$4,"Часы",INDEX(Техника!$G$1:$ABN$500,I$2,0),$A$1040,INDEX(Техника!$H$1:$ABO$500,I$2,0),"Л")</f>
        <v>0</v>
      </c>
      <c r="J1044" s="50">
        <f>SUMIFS(INDEX(Техника!$F$1:$ABM$500,J$2,0),Техника!$F$4:$ABM$4,"Часы",INDEX(Техника!$G$1:$ABN$500,J$2,0),$A$1040,INDEX(Техника!$H$1:$ABO$500,J$2,0),"Л")</f>
        <v>0</v>
      </c>
      <c r="K1044" s="50">
        <f>SUMIFS(INDEX(Техника!$F$1:$ABM$500,K$2,0),Техника!$F$4:$ABM$4,"Часы",INDEX(Техника!$G$1:$ABN$500,K$2,0),$A$1040,INDEX(Техника!$H$1:$ABO$500,K$2,0),"Л")</f>
        <v>0</v>
      </c>
      <c r="L1044" s="50">
        <f>SUMIFS(INDEX(Техника!$F$1:$ABM$500,L$2,0),Техника!$F$4:$ABM$4,"Часы",INDEX(Техника!$G$1:$ABN$500,L$2,0),$A$1040,INDEX(Техника!$H$1:$ABO$500,L$2,0),"Л")</f>
        <v>0</v>
      </c>
      <c r="M1044" s="50">
        <f>SUMIFS(INDEX(Техника!$F$1:$ABM$500,M$2,0),Техника!$F$4:$ABM$4,"Часы",INDEX(Техника!$G$1:$ABN$500,M$2,0),$A$1040,INDEX(Техника!$H$1:$ABO$500,M$2,0),"Л")</f>
        <v>0</v>
      </c>
      <c r="N1044" s="50">
        <f>SUMIFS(INDEX(Техника!$F$1:$ABM$500,N$2,0),Техника!$F$4:$ABM$4,"Часы",INDEX(Техника!$G$1:$ABN$500,N$2,0),$A$1040,INDEX(Техника!$H$1:$ABO$500,N$2,0),"Л")</f>
        <v>0</v>
      </c>
      <c r="O1044" s="50">
        <f>SUMIFS(INDEX(Техника!$F$1:$ABM$500,O$2,0),Техника!$F$4:$ABM$4,"Часы",INDEX(Техника!$G$1:$ABN$500,O$2,0),$A$1040,INDEX(Техника!$H$1:$ABO$500,O$2,0),"Л")</f>
        <v>0</v>
      </c>
      <c r="P1044" s="50">
        <f>SUMIFS(INDEX(Техника!$F$1:$ABM$500,P$2,0),Техника!$F$4:$ABM$4,"Часы",INDEX(Техника!$G$1:$ABN$500,P$2,0),$A$1040,INDEX(Техника!$H$1:$ABO$500,P$2,0),"Л")</f>
        <v>0</v>
      </c>
      <c r="Q1044" s="50">
        <f>SUMIFS(INDEX(Техника!$F$1:$ABM$500,Q$2,0),Техника!$F$4:$ABM$4,"Часы",INDEX(Техника!$G$1:$ABN$500,Q$2,0),$A$1040,INDEX(Техника!$H$1:$ABO$500,Q$2,0),"Л")</f>
        <v>0</v>
      </c>
      <c r="R1044" s="50">
        <f>SUMIFS(INDEX(Техника!$F$1:$ABM$500,R$2,0),Техника!$F$4:$ABM$4,"Часы",INDEX(Техника!$G$1:$ABN$500,R$2,0),$A$1040,INDEX(Техника!$H$1:$ABO$500,R$2,0),"Л")</f>
        <v>0</v>
      </c>
      <c r="S1044" s="50">
        <f>SUMIFS(INDEX(Техника!$F$1:$ABM$500,S$2,0),Техника!$F$4:$ABM$4,"Часы",INDEX(Техника!$G$1:$ABN$500,S$2,0),$A$1040,INDEX(Техника!$H$1:$ABO$500,S$2,0),"Л")</f>
        <v>0</v>
      </c>
      <c r="T1044" s="50">
        <f>SUMIFS(INDEX(Техника!$F$1:$ABM$500,T$2,0),Техника!$F$4:$ABM$4,"Часы",INDEX(Техника!$G$1:$ABN$500,T$2,0),$A$1040,INDEX(Техника!$H$1:$ABO$500,T$2,0),"Л")</f>
        <v>0</v>
      </c>
      <c r="U1044" s="50">
        <f>SUMIFS(INDEX(Техника!$F$1:$ABM$500,U$2,0),Техника!$F$4:$ABM$4,"Часы",INDEX(Техника!$G$1:$ABN$500,U$2,0),$A$1040,INDEX(Техника!$H$1:$ABO$500,U$2,0),"Л")</f>
        <v>0</v>
      </c>
      <c r="V1044" s="50">
        <f>SUMIFS(INDEX(Техника!$F$1:$ABM$500,V$2,0),Техника!$F$4:$ABM$4,"Часы",INDEX(Техника!$G$1:$ABN$500,V$2,0),$A$1040,INDEX(Техника!$H$1:$ABO$500,V$2,0),"Л")</f>
        <v>0</v>
      </c>
      <c r="W1044" s="50">
        <f>SUMIFS(INDEX(Техника!$F$1:$ABM$500,W$2,0),Техника!$F$4:$ABM$4,"Часы",INDEX(Техника!$G$1:$ABN$500,W$2,0),$A$1040,INDEX(Техника!$H$1:$ABO$500,W$2,0),"Л")</f>
        <v>0</v>
      </c>
      <c r="X1044" s="50">
        <f>SUMIFS(INDEX(Техника!$F$1:$ABM$500,X$2,0),Техника!$F$4:$ABM$4,"Часы",INDEX(Техника!$G$1:$ABN$500,X$2,0),$A$1040,INDEX(Техника!$H$1:$ABO$500,X$2,0),"Л")</f>
        <v>0</v>
      </c>
      <c r="Y1044" s="50">
        <f>SUMIFS(INDEX(Техника!$F$1:$ABM$500,Y$2,0),Техника!$F$4:$ABM$4,"Часы",INDEX(Техника!$G$1:$ABN$500,Y$2,0),$A$1040,INDEX(Техника!$H$1:$ABO$500,Y$2,0),"Л")</f>
        <v>0</v>
      </c>
      <c r="Z1044" s="50">
        <f>SUMIFS(INDEX(Техника!$F$1:$ABM$500,Z$2,0),Техника!$F$4:$ABM$4,"Часы",INDEX(Техника!$G$1:$ABN$500,Z$2,0),$A$1040,INDEX(Техника!$H$1:$ABO$500,Z$2,0),"Л")</f>
        <v>0</v>
      </c>
      <c r="AA1044" s="50">
        <f>SUMIFS(INDEX(Техника!$F$1:$ABM$500,AA$2,0),Техника!$F$4:$ABM$4,"Часы",INDEX(Техника!$G$1:$ABN$500,AA$2,0),$A$1040,INDEX(Техника!$H$1:$ABO$500,AA$2,0),"Л")</f>
        <v>0</v>
      </c>
      <c r="AB1044" s="50">
        <f>SUMIFS(INDEX(Техника!$F$1:$ABM$500,AB$2,0),Техника!$F$4:$ABM$4,"Часы",INDEX(Техника!$G$1:$ABN$500,AB$2,0),$A$1040,INDEX(Техника!$H$1:$ABO$500,AB$2,0),"Л")</f>
        <v>0</v>
      </c>
    </row>
    <row r="1045" spans="1:28" hidden="1" outlineLevel="1" x14ac:dyDescent="0.3">
      <c r="A1045" s="33" t="s">
        <v>245</v>
      </c>
      <c r="B1045" s="34" t="s">
        <v>279</v>
      </c>
      <c r="C1045" s="50">
        <f>SUMIFS(INDEX(Техника!$F$1:$ABM$500,C$2,0),Техника!$F$4:$ABM$4,"Часы",INDEX(Техника!$G$1:$ABN$500,C$2,0),$A$1040,INDEX(Техника!$H$1:$ABO$500,C$2,0),"З")</f>
        <v>0</v>
      </c>
      <c r="D1045" s="50">
        <f>SUMIFS(INDEX(Техника!$F$1:$ABM$500,D$2,0),Техника!$F$4:$ABM$4,"Часы",INDEX(Техника!$G$1:$ABN$500,D$2,0),$A$1040,INDEX(Техника!$H$1:$ABO$500,D$2,0),"З")</f>
        <v>0</v>
      </c>
      <c r="E1045" s="50">
        <f>SUMIFS(INDEX(Техника!$F$1:$ABM$500,E$2,0),Техника!$F$4:$ABM$4,"Часы",INDEX(Техника!$G$1:$ABN$500,E$2,0),$A$1040,INDEX(Техника!$H$1:$ABO$500,E$2,0),"З")</f>
        <v>0</v>
      </c>
      <c r="F1045" s="50">
        <f>SUMIFS(INDEX(Техника!$F$1:$ABM$500,F$2,0),Техника!$F$4:$ABM$4,"Часы",INDEX(Техника!$G$1:$ABN$500,F$2,0),$A$1040,INDEX(Техника!$H$1:$ABO$500,F$2,0),"З")</f>
        <v>0</v>
      </c>
      <c r="G1045" s="50">
        <f>SUMIFS(INDEX(Техника!$F$1:$ABM$500,G$2,0),Техника!$F$4:$ABM$4,"Часы",INDEX(Техника!$G$1:$ABN$500,G$2,0),$A$1040,INDEX(Техника!$H$1:$ABO$500,G$2,0),"З")</f>
        <v>0</v>
      </c>
      <c r="H1045" s="50">
        <f>SUMIFS(INDEX(Техника!$F$1:$ABM$500,H$2,0),Техника!$F$4:$ABM$4,"Часы",INDEX(Техника!$G$1:$ABN$500,H$2,0),$A$1040,INDEX(Техника!$H$1:$ABO$500,H$2,0),"З")</f>
        <v>0</v>
      </c>
      <c r="I1045" s="50">
        <f>SUMIFS(INDEX(Техника!$F$1:$ABM$500,I$2,0),Техника!$F$4:$ABM$4,"Часы",INDEX(Техника!$G$1:$ABN$500,I$2,0),$A$1040,INDEX(Техника!$H$1:$ABO$500,I$2,0),"З")</f>
        <v>0</v>
      </c>
      <c r="J1045" s="50">
        <f>SUMIFS(INDEX(Техника!$F$1:$ABM$500,J$2,0),Техника!$F$4:$ABM$4,"Часы",INDEX(Техника!$G$1:$ABN$500,J$2,0),$A$1040,INDEX(Техника!$H$1:$ABO$500,J$2,0),"З")</f>
        <v>0</v>
      </c>
      <c r="K1045" s="50">
        <f>SUMIFS(INDEX(Техника!$F$1:$ABM$500,K$2,0),Техника!$F$4:$ABM$4,"Часы",INDEX(Техника!$G$1:$ABN$500,K$2,0),$A$1040,INDEX(Техника!$H$1:$ABO$500,K$2,0),"З")</f>
        <v>0</v>
      </c>
      <c r="L1045" s="50">
        <f>SUMIFS(INDEX(Техника!$F$1:$ABM$500,L$2,0),Техника!$F$4:$ABM$4,"Часы",INDEX(Техника!$G$1:$ABN$500,L$2,0),$A$1040,INDEX(Техника!$H$1:$ABO$500,L$2,0),"З")</f>
        <v>0</v>
      </c>
      <c r="M1045" s="50">
        <f>SUMIFS(INDEX(Техника!$F$1:$ABM$500,M$2,0),Техника!$F$4:$ABM$4,"Часы",INDEX(Техника!$G$1:$ABN$500,M$2,0),$A$1040,INDEX(Техника!$H$1:$ABO$500,M$2,0),"З")</f>
        <v>0</v>
      </c>
      <c r="N1045" s="50">
        <f>SUMIFS(INDEX(Техника!$F$1:$ABM$500,N$2,0),Техника!$F$4:$ABM$4,"Часы",INDEX(Техника!$G$1:$ABN$500,N$2,0),$A$1040,INDEX(Техника!$H$1:$ABO$500,N$2,0),"З")</f>
        <v>0</v>
      </c>
      <c r="O1045" s="50">
        <f>SUMIFS(INDEX(Техника!$F$1:$ABM$500,O$2,0),Техника!$F$4:$ABM$4,"Часы",INDEX(Техника!$G$1:$ABN$500,O$2,0),$A$1040,INDEX(Техника!$H$1:$ABO$500,O$2,0),"З")</f>
        <v>0</v>
      </c>
      <c r="P1045" s="50">
        <f>SUMIFS(INDEX(Техника!$F$1:$ABM$500,P$2,0),Техника!$F$4:$ABM$4,"Часы",INDEX(Техника!$G$1:$ABN$500,P$2,0),$A$1040,INDEX(Техника!$H$1:$ABO$500,P$2,0),"З")</f>
        <v>0</v>
      </c>
      <c r="Q1045" s="50">
        <f>SUMIFS(INDEX(Техника!$F$1:$ABM$500,Q$2,0),Техника!$F$4:$ABM$4,"Часы",INDEX(Техника!$G$1:$ABN$500,Q$2,0),$A$1040,INDEX(Техника!$H$1:$ABO$500,Q$2,0),"З")</f>
        <v>0</v>
      </c>
      <c r="R1045" s="50">
        <f>SUMIFS(INDEX(Техника!$F$1:$ABM$500,R$2,0),Техника!$F$4:$ABM$4,"Часы",INDEX(Техника!$G$1:$ABN$500,R$2,0),$A$1040,INDEX(Техника!$H$1:$ABO$500,R$2,0),"З")</f>
        <v>0</v>
      </c>
      <c r="S1045" s="50">
        <f>SUMIFS(INDEX(Техника!$F$1:$ABM$500,S$2,0),Техника!$F$4:$ABM$4,"Часы",INDEX(Техника!$G$1:$ABN$500,S$2,0),$A$1040,INDEX(Техника!$H$1:$ABO$500,S$2,0),"З")</f>
        <v>0</v>
      </c>
      <c r="T1045" s="50">
        <f>SUMIFS(INDEX(Техника!$F$1:$ABM$500,T$2,0),Техника!$F$4:$ABM$4,"Часы",INDEX(Техника!$G$1:$ABN$500,T$2,0),$A$1040,INDEX(Техника!$H$1:$ABO$500,T$2,0),"З")</f>
        <v>0</v>
      </c>
      <c r="U1045" s="50">
        <f>SUMIFS(INDEX(Техника!$F$1:$ABM$500,U$2,0),Техника!$F$4:$ABM$4,"Часы",INDEX(Техника!$G$1:$ABN$500,U$2,0),$A$1040,INDEX(Техника!$H$1:$ABO$500,U$2,0),"З")</f>
        <v>0</v>
      </c>
      <c r="V1045" s="50">
        <f>SUMIFS(INDEX(Техника!$F$1:$ABM$500,V$2,0),Техника!$F$4:$ABM$4,"Часы",INDEX(Техника!$G$1:$ABN$500,V$2,0),$A$1040,INDEX(Техника!$H$1:$ABO$500,V$2,0),"З")</f>
        <v>0</v>
      </c>
      <c r="W1045" s="50">
        <f>SUMIFS(INDEX(Техника!$F$1:$ABM$500,W$2,0),Техника!$F$4:$ABM$4,"Часы",INDEX(Техника!$G$1:$ABN$500,W$2,0),$A$1040,INDEX(Техника!$H$1:$ABO$500,W$2,0),"З")</f>
        <v>0</v>
      </c>
      <c r="X1045" s="50">
        <f>SUMIFS(INDEX(Техника!$F$1:$ABM$500,X$2,0),Техника!$F$4:$ABM$4,"Часы",INDEX(Техника!$G$1:$ABN$500,X$2,0),$A$1040,INDEX(Техника!$H$1:$ABO$500,X$2,0),"З")</f>
        <v>0</v>
      </c>
      <c r="Y1045" s="50">
        <f>SUMIFS(INDEX(Техника!$F$1:$ABM$500,Y$2,0),Техника!$F$4:$ABM$4,"Часы",INDEX(Техника!$G$1:$ABN$500,Y$2,0),$A$1040,INDEX(Техника!$H$1:$ABO$500,Y$2,0),"З")</f>
        <v>0</v>
      </c>
      <c r="Z1045" s="50">
        <f>SUMIFS(INDEX(Техника!$F$1:$ABM$500,Z$2,0),Техника!$F$4:$ABM$4,"Часы",INDEX(Техника!$G$1:$ABN$500,Z$2,0),$A$1040,INDEX(Техника!$H$1:$ABO$500,Z$2,0),"З")</f>
        <v>0</v>
      </c>
      <c r="AA1045" s="50">
        <f>SUMIFS(INDEX(Техника!$F$1:$ABM$500,AA$2,0),Техника!$F$4:$ABM$4,"Часы",INDEX(Техника!$G$1:$ABN$500,AA$2,0),$A$1040,INDEX(Техника!$H$1:$ABO$500,AA$2,0),"З")</f>
        <v>0</v>
      </c>
      <c r="AB1045" s="50">
        <f>SUMIFS(INDEX(Техника!$F$1:$ABM$500,AB$2,0),Техника!$F$4:$ABM$4,"Часы",INDEX(Техника!$G$1:$ABN$500,AB$2,0),$A$1040,INDEX(Техника!$H$1:$ABO$500,AB$2,0),"З")</f>
        <v>0</v>
      </c>
    </row>
    <row r="1046" spans="1:28" ht="7.95" customHeight="1" x14ac:dyDescent="0.3">
      <c r="A1046" s="38"/>
      <c r="B1046" s="39"/>
      <c r="C1046" s="51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</row>
    <row r="1047" spans="1:28" ht="25.05" customHeight="1" collapsed="1" x14ac:dyDescent="0.3">
      <c r="A1047" s="32">
        <v>150</v>
      </c>
      <c r="B1047" s="32" t="s">
        <v>151</v>
      </c>
      <c r="C1047" s="49">
        <f>SUM(C1048:C1052)</f>
        <v>0</v>
      </c>
      <c r="D1047" s="49">
        <f>SUM(D1048:D1052)</f>
        <v>0</v>
      </c>
      <c r="E1047" s="49">
        <f>SUM(E1048:E1052)</f>
        <v>0</v>
      </c>
      <c r="F1047" s="49">
        <f>SUM(F1048:F1052)</f>
        <v>0</v>
      </c>
      <c r="G1047" s="49">
        <f>SUM(G1048:G1052)</f>
        <v>0</v>
      </c>
      <c r="H1047" s="49">
        <f>SUM(H1048:H1052)</f>
        <v>0</v>
      </c>
      <c r="I1047" s="49">
        <f>SUM(I1048:I1052)</f>
        <v>0</v>
      </c>
      <c r="J1047" s="49">
        <f>SUM(J1048:J1052)</f>
        <v>0</v>
      </c>
      <c r="K1047" s="49">
        <f>SUM(K1048:K1052)</f>
        <v>0</v>
      </c>
      <c r="L1047" s="49">
        <f>SUM(L1048:L1052)</f>
        <v>0</v>
      </c>
      <c r="M1047" s="49">
        <f>SUM(M1048:M1052)</f>
        <v>0</v>
      </c>
      <c r="N1047" s="49">
        <f>SUM(N1048:N1052)</f>
        <v>0</v>
      </c>
      <c r="O1047" s="49">
        <f>SUM(O1048:O1052)</f>
        <v>0</v>
      </c>
      <c r="P1047" s="49">
        <f>SUM(P1048:P1052)</f>
        <v>0</v>
      </c>
      <c r="Q1047" s="49">
        <f>SUM(Q1048:Q1052)</f>
        <v>0</v>
      </c>
      <c r="R1047" s="49">
        <f>SUM(R1048:R1052)</f>
        <v>0</v>
      </c>
      <c r="S1047" s="49">
        <f>SUM(S1048:S1052)</f>
        <v>0</v>
      </c>
      <c r="T1047" s="49">
        <f>SUM(T1048:T1052)</f>
        <v>0</v>
      </c>
      <c r="U1047" s="49">
        <f>SUM(U1048:U1052)</f>
        <v>0</v>
      </c>
      <c r="V1047" s="49">
        <f>SUM(V1048:V1052)</f>
        <v>0</v>
      </c>
      <c r="W1047" s="49">
        <f>SUM(W1048:W1052)</f>
        <v>0</v>
      </c>
      <c r="X1047" s="49">
        <f>SUM(X1048:X1052)</f>
        <v>0</v>
      </c>
      <c r="Y1047" s="49">
        <f>SUM(Y1048:Y1052)</f>
        <v>0</v>
      </c>
      <c r="Z1047" s="49">
        <f>SUM(Z1048:Z1052)</f>
        <v>0</v>
      </c>
      <c r="AA1047" s="49">
        <f>SUM(AA1048:AA1052)</f>
        <v>0</v>
      </c>
      <c r="AB1047" s="49">
        <f>SUM(AB1048:AB1052)</f>
        <v>0</v>
      </c>
    </row>
    <row r="1048" spans="1:28" hidden="1" outlineLevel="1" x14ac:dyDescent="0.3">
      <c r="A1048" s="33" t="s">
        <v>246</v>
      </c>
      <c r="B1048" s="34" t="s">
        <v>274</v>
      </c>
      <c r="C1048" s="50">
        <f>SUMIFS(INDEX(Техника!$F$1:$ABM$500,C$2,0),Техника!$F$4:$ABM$4,"Часы",INDEX(Техника!$G$1:$ABN$500,C$2,0),$A$1047,INDEX(Техника!$H$1:$ABO$500,C$2,0),"М")</f>
        <v>0</v>
      </c>
      <c r="D1048" s="50">
        <f>SUMIFS(INDEX(Техника!$F$1:$ABM$500,D$2,0),Техника!$F$4:$ABM$4,"Часы",INDEX(Техника!$G$1:$ABN$500,D$2,0),$A$1047,INDEX(Техника!$H$1:$ABO$500,D$2,0),"М")</f>
        <v>0</v>
      </c>
      <c r="E1048" s="50">
        <f>SUMIFS(INDEX(Техника!$F$1:$ABM$500,E$2,0),Техника!$F$4:$ABM$4,"Часы",INDEX(Техника!$G$1:$ABN$500,E$2,0),$A$1047,INDEX(Техника!$H$1:$ABO$500,E$2,0),"М")</f>
        <v>0</v>
      </c>
      <c r="F1048" s="50">
        <f>SUMIFS(INDEX(Техника!$F$1:$ABM$500,F$2,0),Техника!$F$4:$ABM$4,"Часы",INDEX(Техника!$G$1:$ABN$500,F$2,0),$A$1047,INDEX(Техника!$H$1:$ABO$500,F$2,0),"М")</f>
        <v>0</v>
      </c>
      <c r="G1048" s="50">
        <f>SUMIFS(INDEX(Техника!$F$1:$ABM$500,G$2,0),Техника!$F$4:$ABM$4,"Часы",INDEX(Техника!$G$1:$ABN$500,G$2,0),$A$1047,INDEX(Техника!$H$1:$ABO$500,G$2,0),"М")</f>
        <v>0</v>
      </c>
      <c r="H1048" s="50">
        <f>SUMIFS(INDEX(Техника!$F$1:$ABM$500,H$2,0),Техника!$F$4:$ABM$4,"Часы",INDEX(Техника!$G$1:$ABN$500,H$2,0),$A$1047,INDEX(Техника!$H$1:$ABO$500,H$2,0),"М")</f>
        <v>0</v>
      </c>
      <c r="I1048" s="50">
        <f>SUMIFS(INDEX(Техника!$F$1:$ABM$500,I$2,0),Техника!$F$4:$ABM$4,"Часы",INDEX(Техника!$G$1:$ABN$500,I$2,0),$A$1047,INDEX(Техника!$H$1:$ABO$500,I$2,0),"М")</f>
        <v>0</v>
      </c>
      <c r="J1048" s="50">
        <f>SUMIFS(INDEX(Техника!$F$1:$ABM$500,J$2,0),Техника!$F$4:$ABM$4,"Часы",INDEX(Техника!$G$1:$ABN$500,J$2,0),$A$1047,INDEX(Техника!$H$1:$ABO$500,J$2,0),"М")</f>
        <v>0</v>
      </c>
      <c r="K1048" s="50">
        <f>SUMIFS(INDEX(Техника!$F$1:$ABM$500,K$2,0),Техника!$F$4:$ABM$4,"Часы",INDEX(Техника!$G$1:$ABN$500,K$2,0),$A$1047,INDEX(Техника!$H$1:$ABO$500,K$2,0),"М")</f>
        <v>0</v>
      </c>
      <c r="L1048" s="50">
        <f>SUMIFS(INDEX(Техника!$F$1:$ABM$500,L$2,0),Техника!$F$4:$ABM$4,"Часы",INDEX(Техника!$G$1:$ABN$500,L$2,0),$A$1047,INDEX(Техника!$H$1:$ABO$500,L$2,0),"М")</f>
        <v>0</v>
      </c>
      <c r="M1048" s="50">
        <f>SUMIFS(INDEX(Техника!$F$1:$ABM$500,M$2,0),Техника!$F$4:$ABM$4,"Часы",INDEX(Техника!$G$1:$ABN$500,M$2,0),$A$1047,INDEX(Техника!$H$1:$ABO$500,M$2,0),"М")</f>
        <v>0</v>
      </c>
      <c r="N1048" s="50">
        <f>SUMIFS(INDEX(Техника!$F$1:$ABM$500,N$2,0),Техника!$F$4:$ABM$4,"Часы",INDEX(Техника!$G$1:$ABN$500,N$2,0),$A$1047,INDEX(Техника!$H$1:$ABO$500,N$2,0),"М")</f>
        <v>0</v>
      </c>
      <c r="O1048" s="50">
        <f>SUMIFS(INDEX(Техника!$F$1:$ABM$500,O$2,0),Техника!$F$4:$ABM$4,"Часы",INDEX(Техника!$G$1:$ABN$500,O$2,0),$A$1047,INDEX(Техника!$H$1:$ABO$500,O$2,0),"М")</f>
        <v>0</v>
      </c>
      <c r="P1048" s="50">
        <f>SUMIFS(INDEX(Техника!$F$1:$ABM$500,P$2,0),Техника!$F$4:$ABM$4,"Часы",INDEX(Техника!$G$1:$ABN$500,P$2,0),$A$1047,INDEX(Техника!$H$1:$ABO$500,P$2,0),"М")</f>
        <v>0</v>
      </c>
      <c r="Q1048" s="50">
        <f>SUMIFS(INDEX(Техника!$F$1:$ABM$500,Q$2,0),Техника!$F$4:$ABM$4,"Часы",INDEX(Техника!$G$1:$ABN$500,Q$2,0),$A$1047,INDEX(Техника!$H$1:$ABO$500,Q$2,0),"М")</f>
        <v>0</v>
      </c>
      <c r="R1048" s="50">
        <f>SUMIFS(INDEX(Техника!$F$1:$ABM$500,R$2,0),Техника!$F$4:$ABM$4,"Часы",INDEX(Техника!$G$1:$ABN$500,R$2,0),$A$1047,INDEX(Техника!$H$1:$ABO$500,R$2,0),"М")</f>
        <v>0</v>
      </c>
      <c r="S1048" s="50">
        <f>SUMIFS(INDEX(Техника!$F$1:$ABM$500,S$2,0),Техника!$F$4:$ABM$4,"Часы",INDEX(Техника!$G$1:$ABN$500,S$2,0),$A$1047,INDEX(Техника!$H$1:$ABO$500,S$2,0),"М")</f>
        <v>0</v>
      </c>
      <c r="T1048" s="50">
        <f>SUMIFS(INDEX(Техника!$F$1:$ABM$500,T$2,0),Техника!$F$4:$ABM$4,"Часы",INDEX(Техника!$G$1:$ABN$500,T$2,0),$A$1047,INDEX(Техника!$H$1:$ABO$500,T$2,0),"М")</f>
        <v>0</v>
      </c>
      <c r="U1048" s="50">
        <f>SUMIFS(INDEX(Техника!$F$1:$ABM$500,U$2,0),Техника!$F$4:$ABM$4,"Часы",INDEX(Техника!$G$1:$ABN$500,U$2,0),$A$1047,INDEX(Техника!$H$1:$ABO$500,U$2,0),"М")</f>
        <v>0</v>
      </c>
      <c r="V1048" s="50">
        <f>SUMIFS(INDEX(Техника!$F$1:$ABM$500,V$2,0),Техника!$F$4:$ABM$4,"Часы",INDEX(Техника!$G$1:$ABN$500,V$2,0),$A$1047,INDEX(Техника!$H$1:$ABO$500,V$2,0),"М")</f>
        <v>0</v>
      </c>
      <c r="W1048" s="50">
        <f>SUMIFS(INDEX(Техника!$F$1:$ABM$500,W$2,0),Техника!$F$4:$ABM$4,"Часы",INDEX(Техника!$G$1:$ABN$500,W$2,0),$A$1047,INDEX(Техника!$H$1:$ABO$500,W$2,0),"М")</f>
        <v>0</v>
      </c>
      <c r="X1048" s="50">
        <f>SUMIFS(INDEX(Техника!$F$1:$ABM$500,X$2,0),Техника!$F$4:$ABM$4,"Часы",INDEX(Техника!$G$1:$ABN$500,X$2,0),$A$1047,INDEX(Техника!$H$1:$ABO$500,X$2,0),"М")</f>
        <v>0</v>
      </c>
      <c r="Y1048" s="50">
        <f>SUMIFS(INDEX(Техника!$F$1:$ABM$500,Y$2,0),Техника!$F$4:$ABM$4,"Часы",INDEX(Техника!$G$1:$ABN$500,Y$2,0),$A$1047,INDEX(Техника!$H$1:$ABO$500,Y$2,0),"М")</f>
        <v>0</v>
      </c>
      <c r="Z1048" s="50">
        <f>SUMIFS(INDEX(Техника!$F$1:$ABM$500,Z$2,0),Техника!$F$4:$ABM$4,"Часы",INDEX(Техника!$G$1:$ABN$500,Z$2,0),$A$1047,INDEX(Техника!$H$1:$ABO$500,Z$2,0),"М")</f>
        <v>0</v>
      </c>
      <c r="AA1048" s="50">
        <f>SUMIFS(INDEX(Техника!$F$1:$ABM$500,AA$2,0),Техника!$F$4:$ABM$4,"Часы",INDEX(Техника!$G$1:$ABN$500,AA$2,0),$A$1047,INDEX(Техника!$H$1:$ABO$500,AA$2,0),"М")</f>
        <v>0</v>
      </c>
      <c r="AB1048" s="50">
        <f>SUMIFS(INDEX(Техника!$F$1:$ABM$500,AB$2,0),Техника!$F$4:$ABM$4,"Часы",INDEX(Техника!$G$1:$ABN$500,AB$2,0),$A$1047,INDEX(Техника!$H$1:$ABO$500,AB$2,0),"М")</f>
        <v>0</v>
      </c>
    </row>
    <row r="1049" spans="1:28" hidden="1" outlineLevel="1" x14ac:dyDescent="0.3">
      <c r="A1049" s="33" t="s">
        <v>244</v>
      </c>
      <c r="B1049" s="34" t="s">
        <v>275</v>
      </c>
      <c r="C1049" s="50">
        <f>SUMIFS(INDEX(Техника!$F$1:$ABM$500,C$2,0),Техника!$F$4:$ABM$4,"Часы",INDEX(Техника!$G$1:$ABN$500,C$2,0),$A$1047,INDEX(Техника!$H$1:$ABO$500,C$2,0),"Д")</f>
        <v>0</v>
      </c>
      <c r="D1049" s="50">
        <f>SUMIFS(INDEX(Техника!$F$1:$ABM$500,D$2,0),Техника!$F$4:$ABM$4,"Часы",INDEX(Техника!$G$1:$ABN$500,D$2,0),$A$1047,INDEX(Техника!$H$1:$ABO$500,D$2,0),"Д")</f>
        <v>0</v>
      </c>
      <c r="E1049" s="50">
        <f>SUMIFS(INDEX(Техника!$F$1:$ABM$500,E$2,0),Техника!$F$4:$ABM$4,"Часы",INDEX(Техника!$G$1:$ABN$500,E$2,0),$A$1047,INDEX(Техника!$H$1:$ABO$500,E$2,0),"Д")</f>
        <v>0</v>
      </c>
      <c r="F1049" s="50">
        <f>SUMIFS(INDEX(Техника!$F$1:$ABM$500,F$2,0),Техника!$F$4:$ABM$4,"Часы",INDEX(Техника!$G$1:$ABN$500,F$2,0),$A$1047,INDEX(Техника!$H$1:$ABO$500,F$2,0),"Д")</f>
        <v>0</v>
      </c>
      <c r="G1049" s="50">
        <f>SUMIFS(INDEX(Техника!$F$1:$ABM$500,G$2,0),Техника!$F$4:$ABM$4,"Часы",INDEX(Техника!$G$1:$ABN$500,G$2,0),$A$1047,INDEX(Техника!$H$1:$ABO$500,G$2,0),"Д")</f>
        <v>0</v>
      </c>
      <c r="H1049" s="50">
        <f>SUMIFS(INDEX(Техника!$F$1:$ABM$500,H$2,0),Техника!$F$4:$ABM$4,"Часы",INDEX(Техника!$G$1:$ABN$500,H$2,0),$A$1047,INDEX(Техника!$H$1:$ABO$500,H$2,0),"Д")</f>
        <v>0</v>
      </c>
      <c r="I1049" s="50">
        <f>SUMIFS(INDEX(Техника!$F$1:$ABM$500,I$2,0),Техника!$F$4:$ABM$4,"Часы",INDEX(Техника!$G$1:$ABN$500,I$2,0),$A$1047,INDEX(Техника!$H$1:$ABO$500,I$2,0),"Д")</f>
        <v>0</v>
      </c>
      <c r="J1049" s="50">
        <f>SUMIFS(INDEX(Техника!$F$1:$ABM$500,J$2,0),Техника!$F$4:$ABM$4,"Часы",INDEX(Техника!$G$1:$ABN$500,J$2,0),$A$1047,INDEX(Техника!$H$1:$ABO$500,J$2,0),"Д")</f>
        <v>0</v>
      </c>
      <c r="K1049" s="50">
        <f>SUMIFS(INDEX(Техника!$F$1:$ABM$500,K$2,0),Техника!$F$4:$ABM$4,"Часы",INDEX(Техника!$G$1:$ABN$500,K$2,0),$A$1047,INDEX(Техника!$H$1:$ABO$500,K$2,0),"Д")</f>
        <v>0</v>
      </c>
      <c r="L1049" s="50">
        <f>SUMIFS(INDEX(Техника!$F$1:$ABM$500,L$2,0),Техника!$F$4:$ABM$4,"Часы",INDEX(Техника!$G$1:$ABN$500,L$2,0),$A$1047,INDEX(Техника!$H$1:$ABO$500,L$2,0),"Д")</f>
        <v>0</v>
      </c>
      <c r="M1049" s="50">
        <f>SUMIFS(INDEX(Техника!$F$1:$ABM$500,M$2,0),Техника!$F$4:$ABM$4,"Часы",INDEX(Техника!$G$1:$ABN$500,M$2,0),$A$1047,INDEX(Техника!$H$1:$ABO$500,M$2,0),"Д")</f>
        <v>0</v>
      </c>
      <c r="N1049" s="50">
        <f>SUMIFS(INDEX(Техника!$F$1:$ABM$500,N$2,0),Техника!$F$4:$ABM$4,"Часы",INDEX(Техника!$G$1:$ABN$500,N$2,0),$A$1047,INDEX(Техника!$H$1:$ABO$500,N$2,0),"Д")</f>
        <v>0</v>
      </c>
      <c r="O1049" s="50">
        <f>SUMIFS(INDEX(Техника!$F$1:$ABM$500,O$2,0),Техника!$F$4:$ABM$4,"Часы",INDEX(Техника!$G$1:$ABN$500,O$2,0),$A$1047,INDEX(Техника!$H$1:$ABO$500,O$2,0),"Д")</f>
        <v>0</v>
      </c>
      <c r="P1049" s="50">
        <f>SUMIFS(INDEX(Техника!$F$1:$ABM$500,P$2,0),Техника!$F$4:$ABM$4,"Часы",INDEX(Техника!$G$1:$ABN$500,P$2,0),$A$1047,INDEX(Техника!$H$1:$ABO$500,P$2,0),"Д")</f>
        <v>0</v>
      </c>
      <c r="Q1049" s="50">
        <f>SUMIFS(INDEX(Техника!$F$1:$ABM$500,Q$2,0),Техника!$F$4:$ABM$4,"Часы",INDEX(Техника!$G$1:$ABN$500,Q$2,0),$A$1047,INDEX(Техника!$H$1:$ABO$500,Q$2,0),"Д")</f>
        <v>0</v>
      </c>
      <c r="R1049" s="50">
        <f>SUMIFS(INDEX(Техника!$F$1:$ABM$500,R$2,0),Техника!$F$4:$ABM$4,"Часы",INDEX(Техника!$G$1:$ABN$500,R$2,0),$A$1047,INDEX(Техника!$H$1:$ABO$500,R$2,0),"Д")</f>
        <v>0</v>
      </c>
      <c r="S1049" s="50">
        <f>SUMIFS(INDEX(Техника!$F$1:$ABM$500,S$2,0),Техника!$F$4:$ABM$4,"Часы",INDEX(Техника!$G$1:$ABN$500,S$2,0),$A$1047,INDEX(Техника!$H$1:$ABO$500,S$2,0),"Д")</f>
        <v>0</v>
      </c>
      <c r="T1049" s="50">
        <f>SUMIFS(INDEX(Техника!$F$1:$ABM$500,T$2,0),Техника!$F$4:$ABM$4,"Часы",INDEX(Техника!$G$1:$ABN$500,T$2,0),$A$1047,INDEX(Техника!$H$1:$ABO$500,T$2,0),"Д")</f>
        <v>0</v>
      </c>
      <c r="U1049" s="50">
        <f>SUMIFS(INDEX(Техника!$F$1:$ABM$500,U$2,0),Техника!$F$4:$ABM$4,"Часы",INDEX(Техника!$G$1:$ABN$500,U$2,0),$A$1047,INDEX(Техника!$H$1:$ABO$500,U$2,0),"Д")</f>
        <v>0</v>
      </c>
      <c r="V1049" s="50">
        <f>SUMIFS(INDEX(Техника!$F$1:$ABM$500,V$2,0),Техника!$F$4:$ABM$4,"Часы",INDEX(Техника!$G$1:$ABN$500,V$2,0),$A$1047,INDEX(Техника!$H$1:$ABO$500,V$2,0),"Д")</f>
        <v>0</v>
      </c>
      <c r="W1049" s="50">
        <f>SUMIFS(INDEX(Техника!$F$1:$ABM$500,W$2,0),Техника!$F$4:$ABM$4,"Часы",INDEX(Техника!$G$1:$ABN$500,W$2,0),$A$1047,INDEX(Техника!$H$1:$ABO$500,W$2,0),"Д")</f>
        <v>0</v>
      </c>
      <c r="X1049" s="50">
        <f>SUMIFS(INDEX(Техника!$F$1:$ABM$500,X$2,0),Техника!$F$4:$ABM$4,"Часы",INDEX(Техника!$G$1:$ABN$500,X$2,0),$A$1047,INDEX(Техника!$H$1:$ABO$500,X$2,0),"Д")</f>
        <v>0</v>
      </c>
      <c r="Y1049" s="50">
        <f>SUMIFS(INDEX(Техника!$F$1:$ABM$500,Y$2,0),Техника!$F$4:$ABM$4,"Часы",INDEX(Техника!$G$1:$ABN$500,Y$2,0),$A$1047,INDEX(Техника!$H$1:$ABO$500,Y$2,0),"Д")</f>
        <v>0</v>
      </c>
      <c r="Z1049" s="50">
        <f>SUMIFS(INDEX(Техника!$F$1:$ABM$500,Z$2,0),Техника!$F$4:$ABM$4,"Часы",INDEX(Техника!$G$1:$ABN$500,Z$2,0),$A$1047,INDEX(Техника!$H$1:$ABO$500,Z$2,0),"Д")</f>
        <v>0</v>
      </c>
      <c r="AA1049" s="50">
        <f>SUMIFS(INDEX(Техника!$F$1:$ABM$500,AA$2,0),Техника!$F$4:$ABM$4,"Часы",INDEX(Техника!$G$1:$ABN$500,AA$2,0),$A$1047,INDEX(Техника!$H$1:$ABO$500,AA$2,0),"Д")</f>
        <v>0</v>
      </c>
      <c r="AB1049" s="50">
        <f>SUMIFS(INDEX(Техника!$F$1:$ABM$500,AB$2,0),Техника!$F$4:$ABM$4,"Часы",INDEX(Техника!$G$1:$ABN$500,AB$2,0),$A$1047,INDEX(Техника!$H$1:$ABO$500,AB$2,0),"Д")</f>
        <v>0</v>
      </c>
    </row>
    <row r="1050" spans="1:28" hidden="1" outlineLevel="1" x14ac:dyDescent="0.3">
      <c r="A1050" s="33" t="s">
        <v>276</v>
      </c>
      <c r="B1050" s="34" t="s">
        <v>277</v>
      </c>
      <c r="C1050" s="50">
        <f>SUMIFS(INDEX(Техника!$F$1:$ABM$500,C$2,0),Техника!$F$4:$ABM$4,"Часы",INDEX(Техника!$G$1:$ABN$500,C$2,0),$A$1047,INDEX(Техника!$H$1:$ABO$500,C$2,0),"П")</f>
        <v>0</v>
      </c>
      <c r="D1050" s="50">
        <f>SUMIFS(INDEX(Техника!$F$1:$ABM$500,D$2,0),Техника!$F$4:$ABM$4,"Часы",INDEX(Техника!$G$1:$ABN$500,D$2,0),$A$1047,INDEX(Техника!$H$1:$ABO$500,D$2,0),"П")</f>
        <v>0</v>
      </c>
      <c r="E1050" s="50">
        <f>SUMIFS(INDEX(Техника!$F$1:$ABM$500,E$2,0),Техника!$F$4:$ABM$4,"Часы",INDEX(Техника!$G$1:$ABN$500,E$2,0),$A$1047,INDEX(Техника!$H$1:$ABO$500,E$2,0),"П")</f>
        <v>0</v>
      </c>
      <c r="F1050" s="50">
        <f>SUMIFS(INDEX(Техника!$F$1:$ABM$500,F$2,0),Техника!$F$4:$ABM$4,"Часы",INDEX(Техника!$G$1:$ABN$500,F$2,0),$A$1047,INDEX(Техника!$H$1:$ABO$500,F$2,0),"П")</f>
        <v>0</v>
      </c>
      <c r="G1050" s="50">
        <f>SUMIFS(INDEX(Техника!$F$1:$ABM$500,G$2,0),Техника!$F$4:$ABM$4,"Часы",INDEX(Техника!$G$1:$ABN$500,G$2,0),$A$1047,INDEX(Техника!$H$1:$ABO$500,G$2,0),"П")</f>
        <v>0</v>
      </c>
      <c r="H1050" s="50">
        <f>SUMIFS(INDEX(Техника!$F$1:$ABM$500,H$2,0),Техника!$F$4:$ABM$4,"Часы",INDEX(Техника!$G$1:$ABN$500,H$2,0),$A$1047,INDEX(Техника!$H$1:$ABO$500,H$2,0),"П")</f>
        <v>0</v>
      </c>
      <c r="I1050" s="50">
        <f>SUMIFS(INDEX(Техника!$F$1:$ABM$500,I$2,0),Техника!$F$4:$ABM$4,"Часы",INDEX(Техника!$G$1:$ABN$500,I$2,0),$A$1047,INDEX(Техника!$H$1:$ABO$500,I$2,0),"П")</f>
        <v>0</v>
      </c>
      <c r="J1050" s="50">
        <f>SUMIFS(INDEX(Техника!$F$1:$ABM$500,J$2,0),Техника!$F$4:$ABM$4,"Часы",INDEX(Техника!$G$1:$ABN$500,J$2,0),$A$1047,INDEX(Техника!$H$1:$ABO$500,J$2,0),"П")</f>
        <v>0</v>
      </c>
      <c r="K1050" s="50">
        <f>SUMIFS(INDEX(Техника!$F$1:$ABM$500,K$2,0),Техника!$F$4:$ABM$4,"Часы",INDEX(Техника!$G$1:$ABN$500,K$2,0),$A$1047,INDEX(Техника!$H$1:$ABO$500,K$2,0),"П")</f>
        <v>0</v>
      </c>
      <c r="L1050" s="50">
        <f>SUMIFS(INDEX(Техника!$F$1:$ABM$500,L$2,0),Техника!$F$4:$ABM$4,"Часы",INDEX(Техника!$G$1:$ABN$500,L$2,0),$A$1047,INDEX(Техника!$H$1:$ABO$500,L$2,0),"П")</f>
        <v>0</v>
      </c>
      <c r="M1050" s="50">
        <f>SUMIFS(INDEX(Техника!$F$1:$ABM$500,M$2,0),Техника!$F$4:$ABM$4,"Часы",INDEX(Техника!$G$1:$ABN$500,M$2,0),$A$1047,INDEX(Техника!$H$1:$ABO$500,M$2,0),"П")</f>
        <v>0</v>
      </c>
      <c r="N1050" s="50">
        <f>SUMIFS(INDEX(Техника!$F$1:$ABM$500,N$2,0),Техника!$F$4:$ABM$4,"Часы",INDEX(Техника!$G$1:$ABN$500,N$2,0),$A$1047,INDEX(Техника!$H$1:$ABO$500,N$2,0),"П")</f>
        <v>0</v>
      </c>
      <c r="O1050" s="50">
        <f>SUMIFS(INDEX(Техника!$F$1:$ABM$500,O$2,0),Техника!$F$4:$ABM$4,"Часы",INDEX(Техника!$G$1:$ABN$500,O$2,0),$A$1047,INDEX(Техника!$H$1:$ABO$500,O$2,0),"П")</f>
        <v>0</v>
      </c>
      <c r="P1050" s="50">
        <f>SUMIFS(INDEX(Техника!$F$1:$ABM$500,P$2,0),Техника!$F$4:$ABM$4,"Часы",INDEX(Техника!$G$1:$ABN$500,P$2,0),$A$1047,INDEX(Техника!$H$1:$ABO$500,P$2,0),"П")</f>
        <v>0</v>
      </c>
      <c r="Q1050" s="50">
        <f>SUMIFS(INDEX(Техника!$F$1:$ABM$500,Q$2,0),Техника!$F$4:$ABM$4,"Часы",INDEX(Техника!$G$1:$ABN$500,Q$2,0),$A$1047,INDEX(Техника!$H$1:$ABO$500,Q$2,0),"П")</f>
        <v>0</v>
      </c>
      <c r="R1050" s="50">
        <f>SUMIFS(INDEX(Техника!$F$1:$ABM$500,R$2,0),Техника!$F$4:$ABM$4,"Часы",INDEX(Техника!$G$1:$ABN$500,R$2,0),$A$1047,INDEX(Техника!$H$1:$ABO$500,R$2,0),"П")</f>
        <v>0</v>
      </c>
      <c r="S1050" s="50">
        <f>SUMIFS(INDEX(Техника!$F$1:$ABM$500,S$2,0),Техника!$F$4:$ABM$4,"Часы",INDEX(Техника!$G$1:$ABN$500,S$2,0),$A$1047,INDEX(Техника!$H$1:$ABO$500,S$2,0),"П")</f>
        <v>0</v>
      </c>
      <c r="T1050" s="50">
        <f>SUMIFS(INDEX(Техника!$F$1:$ABM$500,T$2,0),Техника!$F$4:$ABM$4,"Часы",INDEX(Техника!$G$1:$ABN$500,T$2,0),$A$1047,INDEX(Техника!$H$1:$ABO$500,T$2,0),"П")</f>
        <v>0</v>
      </c>
      <c r="U1050" s="50">
        <f>SUMIFS(INDEX(Техника!$F$1:$ABM$500,U$2,0),Техника!$F$4:$ABM$4,"Часы",INDEX(Техника!$G$1:$ABN$500,U$2,0),$A$1047,INDEX(Техника!$H$1:$ABO$500,U$2,0),"П")</f>
        <v>0</v>
      </c>
      <c r="V1050" s="50">
        <f>SUMIFS(INDEX(Техника!$F$1:$ABM$500,V$2,0),Техника!$F$4:$ABM$4,"Часы",INDEX(Техника!$G$1:$ABN$500,V$2,0),$A$1047,INDEX(Техника!$H$1:$ABO$500,V$2,0),"П")</f>
        <v>0</v>
      </c>
      <c r="W1050" s="50">
        <f>SUMIFS(INDEX(Техника!$F$1:$ABM$500,W$2,0),Техника!$F$4:$ABM$4,"Часы",INDEX(Техника!$G$1:$ABN$500,W$2,0),$A$1047,INDEX(Техника!$H$1:$ABO$500,W$2,0),"П")</f>
        <v>0</v>
      </c>
      <c r="X1050" s="50">
        <f>SUMIFS(INDEX(Техника!$F$1:$ABM$500,X$2,0),Техника!$F$4:$ABM$4,"Часы",INDEX(Техника!$G$1:$ABN$500,X$2,0),$A$1047,INDEX(Техника!$H$1:$ABO$500,X$2,0),"П")</f>
        <v>0</v>
      </c>
      <c r="Y1050" s="50">
        <f>SUMIFS(INDEX(Техника!$F$1:$ABM$500,Y$2,0),Техника!$F$4:$ABM$4,"Часы",INDEX(Техника!$G$1:$ABN$500,Y$2,0),$A$1047,INDEX(Техника!$H$1:$ABO$500,Y$2,0),"П")</f>
        <v>0</v>
      </c>
      <c r="Z1050" s="50">
        <f>SUMIFS(INDEX(Техника!$F$1:$ABM$500,Z$2,0),Техника!$F$4:$ABM$4,"Часы",INDEX(Техника!$G$1:$ABN$500,Z$2,0),$A$1047,INDEX(Техника!$H$1:$ABO$500,Z$2,0),"П")</f>
        <v>0</v>
      </c>
      <c r="AA1050" s="50">
        <f>SUMIFS(INDEX(Техника!$F$1:$ABM$500,AA$2,0),Техника!$F$4:$ABM$4,"Часы",INDEX(Техника!$G$1:$ABN$500,AA$2,0),$A$1047,INDEX(Техника!$H$1:$ABO$500,AA$2,0),"П")</f>
        <v>0</v>
      </c>
      <c r="AB1050" s="50">
        <f>SUMIFS(INDEX(Техника!$F$1:$ABM$500,AB$2,0),Техника!$F$4:$ABM$4,"Часы",INDEX(Техника!$G$1:$ABN$500,AB$2,0),$A$1047,INDEX(Техника!$H$1:$ABO$500,AB$2,0),"П")</f>
        <v>0</v>
      </c>
    </row>
    <row r="1051" spans="1:28" hidden="1" outlineLevel="1" x14ac:dyDescent="0.3">
      <c r="A1051" s="33" t="s">
        <v>243</v>
      </c>
      <c r="B1051" s="34" t="s">
        <v>278</v>
      </c>
      <c r="C1051" s="50">
        <f>SUMIFS(INDEX(Техника!$F$1:$ABM$500,C$2,0),Техника!$F$4:$ABM$4,"Часы",INDEX(Техника!$G$1:$ABN$500,C$2,0),$A$1047,INDEX(Техника!$H$1:$ABO$500,C$2,0),"Л")</f>
        <v>0</v>
      </c>
      <c r="D1051" s="50">
        <f>SUMIFS(INDEX(Техника!$F$1:$ABM$500,D$2,0),Техника!$F$4:$ABM$4,"Часы",INDEX(Техника!$G$1:$ABN$500,D$2,0),$A$1047,INDEX(Техника!$H$1:$ABO$500,D$2,0),"Л")</f>
        <v>0</v>
      </c>
      <c r="E1051" s="50">
        <f>SUMIFS(INDEX(Техника!$F$1:$ABM$500,E$2,0),Техника!$F$4:$ABM$4,"Часы",INDEX(Техника!$G$1:$ABN$500,E$2,0),$A$1047,INDEX(Техника!$H$1:$ABO$500,E$2,0),"Л")</f>
        <v>0</v>
      </c>
      <c r="F1051" s="50">
        <f>SUMIFS(INDEX(Техника!$F$1:$ABM$500,F$2,0),Техника!$F$4:$ABM$4,"Часы",INDEX(Техника!$G$1:$ABN$500,F$2,0),$A$1047,INDEX(Техника!$H$1:$ABO$500,F$2,0),"Л")</f>
        <v>0</v>
      </c>
      <c r="G1051" s="50">
        <f>SUMIFS(INDEX(Техника!$F$1:$ABM$500,G$2,0),Техника!$F$4:$ABM$4,"Часы",INDEX(Техника!$G$1:$ABN$500,G$2,0),$A$1047,INDEX(Техника!$H$1:$ABO$500,G$2,0),"Л")</f>
        <v>0</v>
      </c>
      <c r="H1051" s="50">
        <f>SUMIFS(INDEX(Техника!$F$1:$ABM$500,H$2,0),Техника!$F$4:$ABM$4,"Часы",INDEX(Техника!$G$1:$ABN$500,H$2,0),$A$1047,INDEX(Техника!$H$1:$ABO$500,H$2,0),"Л")</f>
        <v>0</v>
      </c>
      <c r="I1051" s="50">
        <f>SUMIFS(INDEX(Техника!$F$1:$ABM$500,I$2,0),Техника!$F$4:$ABM$4,"Часы",INDEX(Техника!$G$1:$ABN$500,I$2,0),$A$1047,INDEX(Техника!$H$1:$ABO$500,I$2,0),"Л")</f>
        <v>0</v>
      </c>
      <c r="J1051" s="50">
        <f>SUMIFS(INDEX(Техника!$F$1:$ABM$500,J$2,0),Техника!$F$4:$ABM$4,"Часы",INDEX(Техника!$G$1:$ABN$500,J$2,0),$A$1047,INDEX(Техника!$H$1:$ABO$500,J$2,0),"Л")</f>
        <v>0</v>
      </c>
      <c r="K1051" s="50">
        <f>SUMIFS(INDEX(Техника!$F$1:$ABM$500,K$2,0),Техника!$F$4:$ABM$4,"Часы",INDEX(Техника!$G$1:$ABN$500,K$2,0),$A$1047,INDEX(Техника!$H$1:$ABO$500,K$2,0),"Л")</f>
        <v>0</v>
      </c>
      <c r="L1051" s="50">
        <f>SUMIFS(INDEX(Техника!$F$1:$ABM$500,L$2,0),Техника!$F$4:$ABM$4,"Часы",INDEX(Техника!$G$1:$ABN$500,L$2,0),$A$1047,INDEX(Техника!$H$1:$ABO$500,L$2,0),"Л")</f>
        <v>0</v>
      </c>
      <c r="M1051" s="50">
        <f>SUMIFS(INDEX(Техника!$F$1:$ABM$500,M$2,0),Техника!$F$4:$ABM$4,"Часы",INDEX(Техника!$G$1:$ABN$500,M$2,0),$A$1047,INDEX(Техника!$H$1:$ABO$500,M$2,0),"Л")</f>
        <v>0</v>
      </c>
      <c r="N1051" s="50">
        <f>SUMIFS(INDEX(Техника!$F$1:$ABM$500,N$2,0),Техника!$F$4:$ABM$4,"Часы",INDEX(Техника!$G$1:$ABN$500,N$2,0),$A$1047,INDEX(Техника!$H$1:$ABO$500,N$2,0),"Л")</f>
        <v>0</v>
      </c>
      <c r="O1051" s="50">
        <f>SUMIFS(INDEX(Техника!$F$1:$ABM$500,O$2,0),Техника!$F$4:$ABM$4,"Часы",INDEX(Техника!$G$1:$ABN$500,O$2,0),$A$1047,INDEX(Техника!$H$1:$ABO$500,O$2,0),"Л")</f>
        <v>0</v>
      </c>
      <c r="P1051" s="50">
        <f>SUMIFS(INDEX(Техника!$F$1:$ABM$500,P$2,0),Техника!$F$4:$ABM$4,"Часы",INDEX(Техника!$G$1:$ABN$500,P$2,0),$A$1047,INDEX(Техника!$H$1:$ABO$500,P$2,0),"Л")</f>
        <v>0</v>
      </c>
      <c r="Q1051" s="50">
        <f>SUMIFS(INDEX(Техника!$F$1:$ABM$500,Q$2,0),Техника!$F$4:$ABM$4,"Часы",INDEX(Техника!$G$1:$ABN$500,Q$2,0),$A$1047,INDEX(Техника!$H$1:$ABO$500,Q$2,0),"Л")</f>
        <v>0</v>
      </c>
      <c r="R1051" s="50">
        <f>SUMIFS(INDEX(Техника!$F$1:$ABM$500,R$2,0),Техника!$F$4:$ABM$4,"Часы",INDEX(Техника!$G$1:$ABN$500,R$2,0),$A$1047,INDEX(Техника!$H$1:$ABO$500,R$2,0),"Л")</f>
        <v>0</v>
      </c>
      <c r="S1051" s="50">
        <f>SUMIFS(INDEX(Техника!$F$1:$ABM$500,S$2,0),Техника!$F$4:$ABM$4,"Часы",INDEX(Техника!$G$1:$ABN$500,S$2,0),$A$1047,INDEX(Техника!$H$1:$ABO$500,S$2,0),"Л")</f>
        <v>0</v>
      </c>
      <c r="T1051" s="50">
        <f>SUMIFS(INDEX(Техника!$F$1:$ABM$500,T$2,0),Техника!$F$4:$ABM$4,"Часы",INDEX(Техника!$G$1:$ABN$500,T$2,0),$A$1047,INDEX(Техника!$H$1:$ABO$500,T$2,0),"Л")</f>
        <v>0</v>
      </c>
      <c r="U1051" s="50">
        <f>SUMIFS(INDEX(Техника!$F$1:$ABM$500,U$2,0),Техника!$F$4:$ABM$4,"Часы",INDEX(Техника!$G$1:$ABN$500,U$2,0),$A$1047,INDEX(Техника!$H$1:$ABO$500,U$2,0),"Л")</f>
        <v>0</v>
      </c>
      <c r="V1051" s="50">
        <f>SUMIFS(INDEX(Техника!$F$1:$ABM$500,V$2,0),Техника!$F$4:$ABM$4,"Часы",INDEX(Техника!$G$1:$ABN$500,V$2,0),$A$1047,INDEX(Техника!$H$1:$ABO$500,V$2,0),"Л")</f>
        <v>0</v>
      </c>
      <c r="W1051" s="50">
        <f>SUMIFS(INDEX(Техника!$F$1:$ABM$500,W$2,0),Техника!$F$4:$ABM$4,"Часы",INDEX(Техника!$G$1:$ABN$500,W$2,0),$A$1047,INDEX(Техника!$H$1:$ABO$500,W$2,0),"Л")</f>
        <v>0</v>
      </c>
      <c r="X1051" s="50">
        <f>SUMIFS(INDEX(Техника!$F$1:$ABM$500,X$2,0),Техника!$F$4:$ABM$4,"Часы",INDEX(Техника!$G$1:$ABN$500,X$2,0),$A$1047,INDEX(Техника!$H$1:$ABO$500,X$2,0),"Л")</f>
        <v>0</v>
      </c>
      <c r="Y1051" s="50">
        <f>SUMIFS(INDEX(Техника!$F$1:$ABM$500,Y$2,0),Техника!$F$4:$ABM$4,"Часы",INDEX(Техника!$G$1:$ABN$500,Y$2,0),$A$1047,INDEX(Техника!$H$1:$ABO$500,Y$2,0),"Л")</f>
        <v>0</v>
      </c>
      <c r="Z1051" s="50">
        <f>SUMIFS(INDEX(Техника!$F$1:$ABM$500,Z$2,0),Техника!$F$4:$ABM$4,"Часы",INDEX(Техника!$G$1:$ABN$500,Z$2,0),$A$1047,INDEX(Техника!$H$1:$ABO$500,Z$2,0),"Л")</f>
        <v>0</v>
      </c>
      <c r="AA1051" s="50">
        <f>SUMIFS(INDEX(Техника!$F$1:$ABM$500,AA$2,0),Техника!$F$4:$ABM$4,"Часы",INDEX(Техника!$G$1:$ABN$500,AA$2,0),$A$1047,INDEX(Техника!$H$1:$ABO$500,AA$2,0),"Л")</f>
        <v>0</v>
      </c>
      <c r="AB1051" s="50">
        <f>SUMIFS(INDEX(Техника!$F$1:$ABM$500,AB$2,0),Техника!$F$4:$ABM$4,"Часы",INDEX(Техника!$G$1:$ABN$500,AB$2,0),$A$1047,INDEX(Техника!$H$1:$ABO$500,AB$2,0),"Л")</f>
        <v>0</v>
      </c>
    </row>
    <row r="1052" spans="1:28" hidden="1" outlineLevel="1" x14ac:dyDescent="0.3">
      <c r="A1052" s="33" t="s">
        <v>245</v>
      </c>
      <c r="B1052" s="34" t="s">
        <v>279</v>
      </c>
      <c r="C1052" s="50">
        <f>SUMIFS(INDEX(Техника!$F$1:$ABM$500,C$2,0),Техника!$F$4:$ABM$4,"Часы",INDEX(Техника!$G$1:$ABN$500,C$2,0),$A$1047,INDEX(Техника!$H$1:$ABO$500,C$2,0),"З")</f>
        <v>0</v>
      </c>
      <c r="D1052" s="50">
        <f>SUMIFS(INDEX(Техника!$F$1:$ABM$500,D$2,0),Техника!$F$4:$ABM$4,"Часы",INDEX(Техника!$G$1:$ABN$500,D$2,0),$A$1047,INDEX(Техника!$H$1:$ABO$500,D$2,0),"З")</f>
        <v>0</v>
      </c>
      <c r="E1052" s="50">
        <f>SUMIFS(INDEX(Техника!$F$1:$ABM$500,E$2,0),Техника!$F$4:$ABM$4,"Часы",INDEX(Техника!$G$1:$ABN$500,E$2,0),$A$1047,INDEX(Техника!$H$1:$ABO$500,E$2,0),"З")</f>
        <v>0</v>
      </c>
      <c r="F1052" s="50">
        <f>SUMIFS(INDEX(Техника!$F$1:$ABM$500,F$2,0),Техника!$F$4:$ABM$4,"Часы",INDEX(Техника!$G$1:$ABN$500,F$2,0),$A$1047,INDEX(Техника!$H$1:$ABO$500,F$2,0),"З")</f>
        <v>0</v>
      </c>
      <c r="G1052" s="50">
        <f>SUMIFS(INDEX(Техника!$F$1:$ABM$500,G$2,0),Техника!$F$4:$ABM$4,"Часы",INDEX(Техника!$G$1:$ABN$500,G$2,0),$A$1047,INDEX(Техника!$H$1:$ABO$500,G$2,0),"З")</f>
        <v>0</v>
      </c>
      <c r="H1052" s="50">
        <f>SUMIFS(INDEX(Техника!$F$1:$ABM$500,H$2,0),Техника!$F$4:$ABM$4,"Часы",INDEX(Техника!$G$1:$ABN$500,H$2,0),$A$1047,INDEX(Техника!$H$1:$ABO$500,H$2,0),"З")</f>
        <v>0</v>
      </c>
      <c r="I1052" s="50">
        <f>SUMIFS(INDEX(Техника!$F$1:$ABM$500,I$2,0),Техника!$F$4:$ABM$4,"Часы",INDEX(Техника!$G$1:$ABN$500,I$2,0),$A$1047,INDEX(Техника!$H$1:$ABO$500,I$2,0),"З")</f>
        <v>0</v>
      </c>
      <c r="J1052" s="50">
        <f>SUMIFS(INDEX(Техника!$F$1:$ABM$500,J$2,0),Техника!$F$4:$ABM$4,"Часы",INDEX(Техника!$G$1:$ABN$500,J$2,0),$A$1047,INDEX(Техника!$H$1:$ABO$500,J$2,0),"З")</f>
        <v>0</v>
      </c>
      <c r="K1052" s="50">
        <f>SUMIFS(INDEX(Техника!$F$1:$ABM$500,K$2,0),Техника!$F$4:$ABM$4,"Часы",INDEX(Техника!$G$1:$ABN$500,K$2,0),$A$1047,INDEX(Техника!$H$1:$ABO$500,K$2,0),"З")</f>
        <v>0</v>
      </c>
      <c r="L1052" s="50">
        <f>SUMIFS(INDEX(Техника!$F$1:$ABM$500,L$2,0),Техника!$F$4:$ABM$4,"Часы",INDEX(Техника!$G$1:$ABN$500,L$2,0),$A$1047,INDEX(Техника!$H$1:$ABO$500,L$2,0),"З")</f>
        <v>0</v>
      </c>
      <c r="M1052" s="50">
        <f>SUMIFS(INDEX(Техника!$F$1:$ABM$500,M$2,0),Техника!$F$4:$ABM$4,"Часы",INDEX(Техника!$G$1:$ABN$500,M$2,0),$A$1047,INDEX(Техника!$H$1:$ABO$500,M$2,0),"З")</f>
        <v>0</v>
      </c>
      <c r="N1052" s="50">
        <f>SUMIFS(INDEX(Техника!$F$1:$ABM$500,N$2,0),Техника!$F$4:$ABM$4,"Часы",INDEX(Техника!$G$1:$ABN$500,N$2,0),$A$1047,INDEX(Техника!$H$1:$ABO$500,N$2,0),"З")</f>
        <v>0</v>
      </c>
      <c r="O1052" s="50">
        <f>SUMIFS(INDEX(Техника!$F$1:$ABM$500,O$2,0),Техника!$F$4:$ABM$4,"Часы",INDEX(Техника!$G$1:$ABN$500,O$2,0),$A$1047,INDEX(Техника!$H$1:$ABO$500,O$2,0),"З")</f>
        <v>0</v>
      </c>
      <c r="P1052" s="50">
        <f>SUMIFS(INDEX(Техника!$F$1:$ABM$500,P$2,0),Техника!$F$4:$ABM$4,"Часы",INDEX(Техника!$G$1:$ABN$500,P$2,0),$A$1047,INDEX(Техника!$H$1:$ABO$500,P$2,0),"З")</f>
        <v>0</v>
      </c>
      <c r="Q1052" s="50">
        <f>SUMIFS(INDEX(Техника!$F$1:$ABM$500,Q$2,0),Техника!$F$4:$ABM$4,"Часы",INDEX(Техника!$G$1:$ABN$500,Q$2,0),$A$1047,INDEX(Техника!$H$1:$ABO$500,Q$2,0),"З")</f>
        <v>0</v>
      </c>
      <c r="R1052" s="50">
        <f>SUMIFS(INDEX(Техника!$F$1:$ABM$500,R$2,0),Техника!$F$4:$ABM$4,"Часы",INDEX(Техника!$G$1:$ABN$500,R$2,0),$A$1047,INDEX(Техника!$H$1:$ABO$500,R$2,0),"З")</f>
        <v>0</v>
      </c>
      <c r="S1052" s="50">
        <f>SUMIFS(INDEX(Техника!$F$1:$ABM$500,S$2,0),Техника!$F$4:$ABM$4,"Часы",INDEX(Техника!$G$1:$ABN$500,S$2,0),$A$1047,INDEX(Техника!$H$1:$ABO$500,S$2,0),"З")</f>
        <v>0</v>
      </c>
      <c r="T1052" s="50">
        <f>SUMIFS(INDEX(Техника!$F$1:$ABM$500,T$2,0),Техника!$F$4:$ABM$4,"Часы",INDEX(Техника!$G$1:$ABN$500,T$2,0),$A$1047,INDEX(Техника!$H$1:$ABO$500,T$2,0),"З")</f>
        <v>0</v>
      </c>
      <c r="U1052" s="50">
        <f>SUMIFS(INDEX(Техника!$F$1:$ABM$500,U$2,0),Техника!$F$4:$ABM$4,"Часы",INDEX(Техника!$G$1:$ABN$500,U$2,0),$A$1047,INDEX(Техника!$H$1:$ABO$500,U$2,0),"З")</f>
        <v>0</v>
      </c>
      <c r="V1052" s="50">
        <f>SUMIFS(INDEX(Техника!$F$1:$ABM$500,V$2,0),Техника!$F$4:$ABM$4,"Часы",INDEX(Техника!$G$1:$ABN$500,V$2,0),$A$1047,INDEX(Техника!$H$1:$ABO$500,V$2,0),"З")</f>
        <v>0</v>
      </c>
      <c r="W1052" s="50">
        <f>SUMIFS(INDEX(Техника!$F$1:$ABM$500,W$2,0),Техника!$F$4:$ABM$4,"Часы",INDEX(Техника!$G$1:$ABN$500,W$2,0),$A$1047,INDEX(Техника!$H$1:$ABO$500,W$2,0),"З")</f>
        <v>0</v>
      </c>
      <c r="X1052" s="50">
        <f>SUMIFS(INDEX(Техника!$F$1:$ABM$500,X$2,0),Техника!$F$4:$ABM$4,"Часы",INDEX(Техника!$G$1:$ABN$500,X$2,0),$A$1047,INDEX(Техника!$H$1:$ABO$500,X$2,0),"З")</f>
        <v>0</v>
      </c>
      <c r="Y1052" s="50">
        <f>SUMIFS(INDEX(Техника!$F$1:$ABM$500,Y$2,0),Техника!$F$4:$ABM$4,"Часы",INDEX(Техника!$G$1:$ABN$500,Y$2,0),$A$1047,INDEX(Техника!$H$1:$ABO$500,Y$2,0),"З")</f>
        <v>0</v>
      </c>
      <c r="Z1052" s="50">
        <f>SUMIFS(INDEX(Техника!$F$1:$ABM$500,Z$2,0),Техника!$F$4:$ABM$4,"Часы",INDEX(Техника!$G$1:$ABN$500,Z$2,0),$A$1047,INDEX(Техника!$H$1:$ABO$500,Z$2,0),"З")</f>
        <v>0</v>
      </c>
      <c r="AA1052" s="50">
        <f>SUMIFS(INDEX(Техника!$F$1:$ABM$500,AA$2,0),Техника!$F$4:$ABM$4,"Часы",INDEX(Техника!$G$1:$ABN$500,AA$2,0),$A$1047,INDEX(Техника!$H$1:$ABO$500,AA$2,0),"З")</f>
        <v>0</v>
      </c>
      <c r="AB1052" s="50">
        <f>SUMIFS(INDEX(Техника!$F$1:$ABM$500,AB$2,0),Техника!$F$4:$ABM$4,"Часы",INDEX(Техника!$G$1:$ABN$500,AB$2,0),$A$1047,INDEX(Техника!$H$1:$ABO$500,AB$2,0),"З")</f>
        <v>0</v>
      </c>
    </row>
    <row r="1053" spans="1:28" ht="7.95" customHeight="1" x14ac:dyDescent="0.3">
      <c r="A1053" s="38"/>
      <c r="B1053" s="39"/>
      <c r="C1053" s="51"/>
      <c r="D1053" s="51"/>
      <c r="E1053" s="51"/>
      <c r="F1053" s="51"/>
      <c r="G1053" s="51"/>
      <c r="H1053" s="51"/>
      <c r="I1053" s="51"/>
      <c r="J1053" s="51"/>
      <c r="K1053" s="51"/>
      <c r="L1053" s="51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</row>
    <row r="1054" spans="1:28" ht="25.05" customHeight="1" collapsed="1" x14ac:dyDescent="0.3">
      <c r="A1054" s="32">
        <v>151</v>
      </c>
      <c r="B1054" s="32" t="s">
        <v>152</v>
      </c>
      <c r="C1054" s="49">
        <f>SUM(C1055:C1059)</f>
        <v>0</v>
      </c>
      <c r="D1054" s="49">
        <f>SUM(D1055:D1059)</f>
        <v>0</v>
      </c>
      <c r="E1054" s="49">
        <f>SUM(E1055:E1059)</f>
        <v>0</v>
      </c>
      <c r="F1054" s="49">
        <f>SUM(F1055:F1059)</f>
        <v>0</v>
      </c>
      <c r="G1054" s="49">
        <f>SUM(G1055:G1059)</f>
        <v>0</v>
      </c>
      <c r="H1054" s="49">
        <f>SUM(H1055:H1059)</f>
        <v>0</v>
      </c>
      <c r="I1054" s="49">
        <f>SUM(I1055:I1059)</f>
        <v>0</v>
      </c>
      <c r="J1054" s="49">
        <f>SUM(J1055:J1059)</f>
        <v>0</v>
      </c>
      <c r="K1054" s="49">
        <f>SUM(K1055:K1059)</f>
        <v>0</v>
      </c>
      <c r="L1054" s="49">
        <f>SUM(L1055:L1059)</f>
        <v>0</v>
      </c>
      <c r="M1054" s="49">
        <f>SUM(M1055:M1059)</f>
        <v>0</v>
      </c>
      <c r="N1054" s="49">
        <f>SUM(N1055:N1059)</f>
        <v>0</v>
      </c>
      <c r="O1054" s="49">
        <f>SUM(O1055:O1059)</f>
        <v>0</v>
      </c>
      <c r="P1054" s="49">
        <f>SUM(P1055:P1059)</f>
        <v>0</v>
      </c>
      <c r="Q1054" s="49">
        <f>SUM(Q1055:Q1059)</f>
        <v>0</v>
      </c>
      <c r="R1054" s="49">
        <f>SUM(R1055:R1059)</f>
        <v>0</v>
      </c>
      <c r="S1054" s="49">
        <f>SUM(S1055:S1059)</f>
        <v>0</v>
      </c>
      <c r="T1054" s="49">
        <f>SUM(T1055:T1059)</f>
        <v>0</v>
      </c>
      <c r="U1054" s="49">
        <f>SUM(U1055:U1059)</f>
        <v>0</v>
      </c>
      <c r="V1054" s="49">
        <f>SUM(V1055:V1059)</f>
        <v>0</v>
      </c>
      <c r="W1054" s="49">
        <f>SUM(W1055:W1059)</f>
        <v>0</v>
      </c>
      <c r="X1054" s="49">
        <f>SUM(X1055:X1059)</f>
        <v>0</v>
      </c>
      <c r="Y1054" s="49">
        <f>SUM(Y1055:Y1059)</f>
        <v>0</v>
      </c>
      <c r="Z1054" s="49">
        <f>SUM(Z1055:Z1059)</f>
        <v>0</v>
      </c>
      <c r="AA1054" s="49">
        <f>SUM(AA1055:AA1059)</f>
        <v>0</v>
      </c>
      <c r="AB1054" s="49">
        <f>SUM(AB1055:AB1059)</f>
        <v>0</v>
      </c>
    </row>
    <row r="1055" spans="1:28" hidden="1" outlineLevel="1" x14ac:dyDescent="0.3">
      <c r="A1055" s="33" t="s">
        <v>246</v>
      </c>
      <c r="B1055" s="34" t="s">
        <v>274</v>
      </c>
      <c r="C1055" s="50">
        <f>SUMIFS(INDEX(Техника!$F$1:$ABM$500,C$2,0),Техника!$F$4:$ABM$4,"Часы",INDEX(Техника!$G$1:$ABN$500,C$2,0),$A$1054,INDEX(Техника!$H$1:$ABO$500,C$2,0),"М")</f>
        <v>0</v>
      </c>
      <c r="D1055" s="50">
        <f>SUMIFS(INDEX(Техника!$F$1:$ABM$500,D$2,0),Техника!$F$4:$ABM$4,"Часы",INDEX(Техника!$G$1:$ABN$500,D$2,0),$A$1054,INDEX(Техника!$H$1:$ABO$500,D$2,0),"М")</f>
        <v>0</v>
      </c>
      <c r="E1055" s="50">
        <f>SUMIFS(INDEX(Техника!$F$1:$ABM$500,E$2,0),Техника!$F$4:$ABM$4,"Часы",INDEX(Техника!$G$1:$ABN$500,E$2,0),$A$1054,INDEX(Техника!$H$1:$ABO$500,E$2,0),"М")</f>
        <v>0</v>
      </c>
      <c r="F1055" s="50">
        <f>SUMIFS(INDEX(Техника!$F$1:$ABM$500,F$2,0),Техника!$F$4:$ABM$4,"Часы",INDEX(Техника!$G$1:$ABN$500,F$2,0),$A$1054,INDEX(Техника!$H$1:$ABO$500,F$2,0),"М")</f>
        <v>0</v>
      </c>
      <c r="G1055" s="50">
        <f>SUMIFS(INDEX(Техника!$F$1:$ABM$500,G$2,0),Техника!$F$4:$ABM$4,"Часы",INDEX(Техника!$G$1:$ABN$500,G$2,0),$A$1054,INDEX(Техника!$H$1:$ABO$500,G$2,0),"М")</f>
        <v>0</v>
      </c>
      <c r="H1055" s="50">
        <f>SUMIFS(INDEX(Техника!$F$1:$ABM$500,H$2,0),Техника!$F$4:$ABM$4,"Часы",INDEX(Техника!$G$1:$ABN$500,H$2,0),$A$1054,INDEX(Техника!$H$1:$ABO$500,H$2,0),"М")</f>
        <v>0</v>
      </c>
      <c r="I1055" s="50">
        <f>SUMIFS(INDEX(Техника!$F$1:$ABM$500,I$2,0),Техника!$F$4:$ABM$4,"Часы",INDEX(Техника!$G$1:$ABN$500,I$2,0),$A$1054,INDEX(Техника!$H$1:$ABO$500,I$2,0),"М")</f>
        <v>0</v>
      </c>
      <c r="J1055" s="50">
        <f>SUMIFS(INDEX(Техника!$F$1:$ABM$500,J$2,0),Техника!$F$4:$ABM$4,"Часы",INDEX(Техника!$G$1:$ABN$500,J$2,0),$A$1054,INDEX(Техника!$H$1:$ABO$500,J$2,0),"М")</f>
        <v>0</v>
      </c>
      <c r="K1055" s="50">
        <f>SUMIFS(INDEX(Техника!$F$1:$ABM$500,K$2,0),Техника!$F$4:$ABM$4,"Часы",INDEX(Техника!$G$1:$ABN$500,K$2,0),$A$1054,INDEX(Техника!$H$1:$ABO$500,K$2,0),"М")</f>
        <v>0</v>
      </c>
      <c r="L1055" s="50">
        <f>SUMIFS(INDEX(Техника!$F$1:$ABM$500,L$2,0),Техника!$F$4:$ABM$4,"Часы",INDEX(Техника!$G$1:$ABN$500,L$2,0),$A$1054,INDEX(Техника!$H$1:$ABO$500,L$2,0),"М")</f>
        <v>0</v>
      </c>
      <c r="M1055" s="50">
        <f>SUMIFS(INDEX(Техника!$F$1:$ABM$500,M$2,0),Техника!$F$4:$ABM$4,"Часы",INDEX(Техника!$G$1:$ABN$500,M$2,0),$A$1054,INDEX(Техника!$H$1:$ABO$500,M$2,0),"М")</f>
        <v>0</v>
      </c>
      <c r="N1055" s="50">
        <f>SUMIFS(INDEX(Техника!$F$1:$ABM$500,N$2,0),Техника!$F$4:$ABM$4,"Часы",INDEX(Техника!$G$1:$ABN$500,N$2,0),$A$1054,INDEX(Техника!$H$1:$ABO$500,N$2,0),"М")</f>
        <v>0</v>
      </c>
      <c r="O1055" s="50">
        <f>SUMIFS(INDEX(Техника!$F$1:$ABM$500,O$2,0),Техника!$F$4:$ABM$4,"Часы",INDEX(Техника!$G$1:$ABN$500,O$2,0),$A$1054,INDEX(Техника!$H$1:$ABO$500,O$2,0),"М")</f>
        <v>0</v>
      </c>
      <c r="P1055" s="50">
        <f>SUMIFS(INDEX(Техника!$F$1:$ABM$500,P$2,0),Техника!$F$4:$ABM$4,"Часы",INDEX(Техника!$G$1:$ABN$500,P$2,0),$A$1054,INDEX(Техника!$H$1:$ABO$500,P$2,0),"М")</f>
        <v>0</v>
      </c>
      <c r="Q1055" s="50">
        <f>SUMIFS(INDEX(Техника!$F$1:$ABM$500,Q$2,0),Техника!$F$4:$ABM$4,"Часы",INDEX(Техника!$G$1:$ABN$500,Q$2,0),$A$1054,INDEX(Техника!$H$1:$ABO$500,Q$2,0),"М")</f>
        <v>0</v>
      </c>
      <c r="R1055" s="50">
        <f>SUMIFS(INDEX(Техника!$F$1:$ABM$500,R$2,0),Техника!$F$4:$ABM$4,"Часы",INDEX(Техника!$G$1:$ABN$500,R$2,0),$A$1054,INDEX(Техника!$H$1:$ABO$500,R$2,0),"М")</f>
        <v>0</v>
      </c>
      <c r="S1055" s="50">
        <f>SUMIFS(INDEX(Техника!$F$1:$ABM$500,S$2,0),Техника!$F$4:$ABM$4,"Часы",INDEX(Техника!$G$1:$ABN$500,S$2,0),$A$1054,INDEX(Техника!$H$1:$ABO$500,S$2,0),"М")</f>
        <v>0</v>
      </c>
      <c r="T1055" s="50">
        <f>SUMIFS(INDEX(Техника!$F$1:$ABM$500,T$2,0),Техника!$F$4:$ABM$4,"Часы",INDEX(Техника!$G$1:$ABN$500,T$2,0),$A$1054,INDEX(Техника!$H$1:$ABO$500,T$2,0),"М")</f>
        <v>0</v>
      </c>
      <c r="U1055" s="50">
        <f>SUMIFS(INDEX(Техника!$F$1:$ABM$500,U$2,0),Техника!$F$4:$ABM$4,"Часы",INDEX(Техника!$G$1:$ABN$500,U$2,0),$A$1054,INDEX(Техника!$H$1:$ABO$500,U$2,0),"М")</f>
        <v>0</v>
      </c>
      <c r="V1055" s="50">
        <f>SUMIFS(INDEX(Техника!$F$1:$ABM$500,V$2,0),Техника!$F$4:$ABM$4,"Часы",INDEX(Техника!$G$1:$ABN$500,V$2,0),$A$1054,INDEX(Техника!$H$1:$ABO$500,V$2,0),"М")</f>
        <v>0</v>
      </c>
      <c r="W1055" s="50">
        <f>SUMIFS(INDEX(Техника!$F$1:$ABM$500,W$2,0),Техника!$F$4:$ABM$4,"Часы",INDEX(Техника!$G$1:$ABN$500,W$2,0),$A$1054,INDEX(Техника!$H$1:$ABO$500,W$2,0),"М")</f>
        <v>0</v>
      </c>
      <c r="X1055" s="50">
        <f>SUMIFS(INDEX(Техника!$F$1:$ABM$500,X$2,0),Техника!$F$4:$ABM$4,"Часы",INDEX(Техника!$G$1:$ABN$500,X$2,0),$A$1054,INDEX(Техника!$H$1:$ABO$500,X$2,0),"М")</f>
        <v>0</v>
      </c>
      <c r="Y1055" s="50">
        <f>SUMIFS(INDEX(Техника!$F$1:$ABM$500,Y$2,0),Техника!$F$4:$ABM$4,"Часы",INDEX(Техника!$G$1:$ABN$500,Y$2,0),$A$1054,INDEX(Техника!$H$1:$ABO$500,Y$2,0),"М")</f>
        <v>0</v>
      </c>
      <c r="Z1055" s="50">
        <f>SUMIFS(INDEX(Техника!$F$1:$ABM$500,Z$2,0),Техника!$F$4:$ABM$4,"Часы",INDEX(Техника!$G$1:$ABN$500,Z$2,0),$A$1054,INDEX(Техника!$H$1:$ABO$500,Z$2,0),"М")</f>
        <v>0</v>
      </c>
      <c r="AA1055" s="50">
        <f>SUMIFS(INDEX(Техника!$F$1:$ABM$500,AA$2,0),Техника!$F$4:$ABM$4,"Часы",INDEX(Техника!$G$1:$ABN$500,AA$2,0),$A$1054,INDEX(Техника!$H$1:$ABO$500,AA$2,0),"М")</f>
        <v>0</v>
      </c>
      <c r="AB1055" s="50">
        <f>SUMIFS(INDEX(Техника!$F$1:$ABM$500,AB$2,0),Техника!$F$4:$ABM$4,"Часы",INDEX(Техника!$G$1:$ABN$500,AB$2,0),$A$1054,INDEX(Техника!$H$1:$ABO$500,AB$2,0),"М")</f>
        <v>0</v>
      </c>
    </row>
    <row r="1056" spans="1:28" hidden="1" outlineLevel="1" x14ac:dyDescent="0.3">
      <c r="A1056" s="33" t="s">
        <v>244</v>
      </c>
      <c r="B1056" s="34" t="s">
        <v>275</v>
      </c>
      <c r="C1056" s="50">
        <f>SUMIFS(INDEX(Техника!$F$1:$ABM$500,C$2,0),Техника!$F$4:$ABM$4,"Часы",INDEX(Техника!$G$1:$ABN$500,C$2,0),$A$1054,INDEX(Техника!$H$1:$ABO$500,C$2,0),"Д")</f>
        <v>0</v>
      </c>
      <c r="D1056" s="50">
        <f>SUMIFS(INDEX(Техника!$F$1:$ABM$500,D$2,0),Техника!$F$4:$ABM$4,"Часы",INDEX(Техника!$G$1:$ABN$500,D$2,0),$A$1054,INDEX(Техника!$H$1:$ABO$500,D$2,0),"Д")</f>
        <v>0</v>
      </c>
      <c r="E1056" s="50">
        <f>SUMIFS(INDEX(Техника!$F$1:$ABM$500,E$2,0),Техника!$F$4:$ABM$4,"Часы",INDEX(Техника!$G$1:$ABN$500,E$2,0),$A$1054,INDEX(Техника!$H$1:$ABO$500,E$2,0),"Д")</f>
        <v>0</v>
      </c>
      <c r="F1056" s="50">
        <f>SUMIFS(INDEX(Техника!$F$1:$ABM$500,F$2,0),Техника!$F$4:$ABM$4,"Часы",INDEX(Техника!$G$1:$ABN$500,F$2,0),$A$1054,INDEX(Техника!$H$1:$ABO$500,F$2,0),"Д")</f>
        <v>0</v>
      </c>
      <c r="G1056" s="50">
        <f>SUMIFS(INDEX(Техника!$F$1:$ABM$500,G$2,0),Техника!$F$4:$ABM$4,"Часы",INDEX(Техника!$G$1:$ABN$500,G$2,0),$A$1054,INDEX(Техника!$H$1:$ABO$500,G$2,0),"Д")</f>
        <v>0</v>
      </c>
      <c r="H1056" s="50">
        <f>SUMIFS(INDEX(Техника!$F$1:$ABM$500,H$2,0),Техника!$F$4:$ABM$4,"Часы",INDEX(Техника!$G$1:$ABN$500,H$2,0),$A$1054,INDEX(Техника!$H$1:$ABO$500,H$2,0),"Д")</f>
        <v>0</v>
      </c>
      <c r="I1056" s="50">
        <f>SUMIFS(INDEX(Техника!$F$1:$ABM$500,I$2,0),Техника!$F$4:$ABM$4,"Часы",INDEX(Техника!$G$1:$ABN$500,I$2,0),$A$1054,INDEX(Техника!$H$1:$ABO$500,I$2,0),"Д")</f>
        <v>0</v>
      </c>
      <c r="J1056" s="50">
        <f>SUMIFS(INDEX(Техника!$F$1:$ABM$500,J$2,0),Техника!$F$4:$ABM$4,"Часы",INDEX(Техника!$G$1:$ABN$500,J$2,0),$A$1054,INDEX(Техника!$H$1:$ABO$500,J$2,0),"Д")</f>
        <v>0</v>
      </c>
      <c r="K1056" s="50">
        <f>SUMIFS(INDEX(Техника!$F$1:$ABM$500,K$2,0),Техника!$F$4:$ABM$4,"Часы",INDEX(Техника!$G$1:$ABN$500,K$2,0),$A$1054,INDEX(Техника!$H$1:$ABO$500,K$2,0),"Д")</f>
        <v>0</v>
      </c>
      <c r="L1056" s="50">
        <f>SUMIFS(INDEX(Техника!$F$1:$ABM$500,L$2,0),Техника!$F$4:$ABM$4,"Часы",INDEX(Техника!$G$1:$ABN$500,L$2,0),$A$1054,INDEX(Техника!$H$1:$ABO$500,L$2,0),"Д")</f>
        <v>0</v>
      </c>
      <c r="M1056" s="50">
        <f>SUMIFS(INDEX(Техника!$F$1:$ABM$500,M$2,0),Техника!$F$4:$ABM$4,"Часы",INDEX(Техника!$G$1:$ABN$500,M$2,0),$A$1054,INDEX(Техника!$H$1:$ABO$500,M$2,0),"Д")</f>
        <v>0</v>
      </c>
      <c r="N1056" s="50">
        <f>SUMIFS(INDEX(Техника!$F$1:$ABM$500,N$2,0),Техника!$F$4:$ABM$4,"Часы",INDEX(Техника!$G$1:$ABN$500,N$2,0),$A$1054,INDEX(Техника!$H$1:$ABO$500,N$2,0),"Д")</f>
        <v>0</v>
      </c>
      <c r="O1056" s="50">
        <f>SUMIFS(INDEX(Техника!$F$1:$ABM$500,O$2,0),Техника!$F$4:$ABM$4,"Часы",INDEX(Техника!$G$1:$ABN$500,O$2,0),$A$1054,INDEX(Техника!$H$1:$ABO$500,O$2,0),"Д")</f>
        <v>0</v>
      </c>
      <c r="P1056" s="50">
        <f>SUMIFS(INDEX(Техника!$F$1:$ABM$500,P$2,0),Техника!$F$4:$ABM$4,"Часы",INDEX(Техника!$G$1:$ABN$500,P$2,0),$A$1054,INDEX(Техника!$H$1:$ABO$500,P$2,0),"Д")</f>
        <v>0</v>
      </c>
      <c r="Q1056" s="50">
        <f>SUMIFS(INDEX(Техника!$F$1:$ABM$500,Q$2,0),Техника!$F$4:$ABM$4,"Часы",INDEX(Техника!$G$1:$ABN$500,Q$2,0),$A$1054,INDEX(Техника!$H$1:$ABO$500,Q$2,0),"Д")</f>
        <v>0</v>
      </c>
      <c r="R1056" s="50">
        <f>SUMIFS(INDEX(Техника!$F$1:$ABM$500,R$2,0),Техника!$F$4:$ABM$4,"Часы",INDEX(Техника!$G$1:$ABN$500,R$2,0),$A$1054,INDEX(Техника!$H$1:$ABO$500,R$2,0),"Д")</f>
        <v>0</v>
      </c>
      <c r="S1056" s="50">
        <f>SUMIFS(INDEX(Техника!$F$1:$ABM$500,S$2,0),Техника!$F$4:$ABM$4,"Часы",INDEX(Техника!$G$1:$ABN$500,S$2,0),$A$1054,INDEX(Техника!$H$1:$ABO$500,S$2,0),"Д")</f>
        <v>0</v>
      </c>
      <c r="T1056" s="50">
        <f>SUMIFS(INDEX(Техника!$F$1:$ABM$500,T$2,0),Техника!$F$4:$ABM$4,"Часы",INDEX(Техника!$G$1:$ABN$500,T$2,0),$A$1054,INDEX(Техника!$H$1:$ABO$500,T$2,0),"Д")</f>
        <v>0</v>
      </c>
      <c r="U1056" s="50">
        <f>SUMIFS(INDEX(Техника!$F$1:$ABM$500,U$2,0),Техника!$F$4:$ABM$4,"Часы",INDEX(Техника!$G$1:$ABN$500,U$2,0),$A$1054,INDEX(Техника!$H$1:$ABO$500,U$2,0),"Д")</f>
        <v>0</v>
      </c>
      <c r="V1056" s="50">
        <f>SUMIFS(INDEX(Техника!$F$1:$ABM$500,V$2,0),Техника!$F$4:$ABM$4,"Часы",INDEX(Техника!$G$1:$ABN$500,V$2,0),$A$1054,INDEX(Техника!$H$1:$ABO$500,V$2,0),"Д")</f>
        <v>0</v>
      </c>
      <c r="W1056" s="50">
        <f>SUMIFS(INDEX(Техника!$F$1:$ABM$500,W$2,0),Техника!$F$4:$ABM$4,"Часы",INDEX(Техника!$G$1:$ABN$500,W$2,0),$A$1054,INDEX(Техника!$H$1:$ABO$500,W$2,0),"Д")</f>
        <v>0</v>
      </c>
      <c r="X1056" s="50">
        <f>SUMIFS(INDEX(Техника!$F$1:$ABM$500,X$2,0),Техника!$F$4:$ABM$4,"Часы",INDEX(Техника!$G$1:$ABN$500,X$2,0),$A$1054,INDEX(Техника!$H$1:$ABO$500,X$2,0),"Д")</f>
        <v>0</v>
      </c>
      <c r="Y1056" s="50">
        <f>SUMIFS(INDEX(Техника!$F$1:$ABM$500,Y$2,0),Техника!$F$4:$ABM$4,"Часы",INDEX(Техника!$G$1:$ABN$500,Y$2,0),$A$1054,INDEX(Техника!$H$1:$ABO$500,Y$2,0),"Д")</f>
        <v>0</v>
      </c>
      <c r="Z1056" s="50">
        <f>SUMIFS(INDEX(Техника!$F$1:$ABM$500,Z$2,0),Техника!$F$4:$ABM$4,"Часы",INDEX(Техника!$G$1:$ABN$500,Z$2,0),$A$1054,INDEX(Техника!$H$1:$ABO$500,Z$2,0),"Д")</f>
        <v>0</v>
      </c>
      <c r="AA1056" s="50">
        <f>SUMIFS(INDEX(Техника!$F$1:$ABM$500,AA$2,0),Техника!$F$4:$ABM$4,"Часы",INDEX(Техника!$G$1:$ABN$500,AA$2,0),$A$1054,INDEX(Техника!$H$1:$ABO$500,AA$2,0),"Д")</f>
        <v>0</v>
      </c>
      <c r="AB1056" s="50">
        <f>SUMIFS(INDEX(Техника!$F$1:$ABM$500,AB$2,0),Техника!$F$4:$ABM$4,"Часы",INDEX(Техника!$G$1:$ABN$500,AB$2,0),$A$1054,INDEX(Техника!$H$1:$ABO$500,AB$2,0),"Д")</f>
        <v>0</v>
      </c>
    </row>
    <row r="1057" spans="1:28" hidden="1" outlineLevel="1" x14ac:dyDescent="0.3">
      <c r="A1057" s="33" t="s">
        <v>276</v>
      </c>
      <c r="B1057" s="34" t="s">
        <v>277</v>
      </c>
      <c r="C1057" s="50">
        <f>SUMIFS(INDEX(Техника!$F$1:$ABM$500,C$2,0),Техника!$F$4:$ABM$4,"Часы",INDEX(Техника!$G$1:$ABN$500,C$2,0),$A$1054,INDEX(Техника!$H$1:$ABO$500,C$2,0),"П")</f>
        <v>0</v>
      </c>
      <c r="D1057" s="50">
        <f>SUMIFS(INDEX(Техника!$F$1:$ABM$500,D$2,0),Техника!$F$4:$ABM$4,"Часы",INDEX(Техника!$G$1:$ABN$500,D$2,0),$A$1054,INDEX(Техника!$H$1:$ABO$500,D$2,0),"П")</f>
        <v>0</v>
      </c>
      <c r="E1057" s="50">
        <f>SUMIFS(INDEX(Техника!$F$1:$ABM$500,E$2,0),Техника!$F$4:$ABM$4,"Часы",INDEX(Техника!$G$1:$ABN$500,E$2,0),$A$1054,INDEX(Техника!$H$1:$ABO$500,E$2,0),"П")</f>
        <v>0</v>
      </c>
      <c r="F1057" s="50">
        <f>SUMIFS(INDEX(Техника!$F$1:$ABM$500,F$2,0),Техника!$F$4:$ABM$4,"Часы",INDEX(Техника!$G$1:$ABN$500,F$2,0),$A$1054,INDEX(Техника!$H$1:$ABO$500,F$2,0),"П")</f>
        <v>0</v>
      </c>
      <c r="G1057" s="50">
        <f>SUMIFS(INDEX(Техника!$F$1:$ABM$500,G$2,0),Техника!$F$4:$ABM$4,"Часы",INDEX(Техника!$G$1:$ABN$500,G$2,0),$A$1054,INDEX(Техника!$H$1:$ABO$500,G$2,0),"П")</f>
        <v>0</v>
      </c>
      <c r="H1057" s="50">
        <f>SUMIFS(INDEX(Техника!$F$1:$ABM$500,H$2,0),Техника!$F$4:$ABM$4,"Часы",INDEX(Техника!$G$1:$ABN$500,H$2,0),$A$1054,INDEX(Техника!$H$1:$ABO$500,H$2,0),"П")</f>
        <v>0</v>
      </c>
      <c r="I1057" s="50">
        <f>SUMIFS(INDEX(Техника!$F$1:$ABM$500,I$2,0),Техника!$F$4:$ABM$4,"Часы",INDEX(Техника!$G$1:$ABN$500,I$2,0),$A$1054,INDEX(Техника!$H$1:$ABO$500,I$2,0),"П")</f>
        <v>0</v>
      </c>
      <c r="J1057" s="50">
        <f>SUMIFS(INDEX(Техника!$F$1:$ABM$500,J$2,0),Техника!$F$4:$ABM$4,"Часы",INDEX(Техника!$G$1:$ABN$500,J$2,0),$A$1054,INDEX(Техника!$H$1:$ABO$500,J$2,0),"П")</f>
        <v>0</v>
      </c>
      <c r="K1057" s="50">
        <f>SUMIFS(INDEX(Техника!$F$1:$ABM$500,K$2,0),Техника!$F$4:$ABM$4,"Часы",INDEX(Техника!$G$1:$ABN$500,K$2,0),$A$1054,INDEX(Техника!$H$1:$ABO$500,K$2,0),"П")</f>
        <v>0</v>
      </c>
      <c r="L1057" s="50">
        <f>SUMIFS(INDEX(Техника!$F$1:$ABM$500,L$2,0),Техника!$F$4:$ABM$4,"Часы",INDEX(Техника!$G$1:$ABN$500,L$2,0),$A$1054,INDEX(Техника!$H$1:$ABO$500,L$2,0),"П")</f>
        <v>0</v>
      </c>
      <c r="M1057" s="50">
        <f>SUMIFS(INDEX(Техника!$F$1:$ABM$500,M$2,0),Техника!$F$4:$ABM$4,"Часы",INDEX(Техника!$G$1:$ABN$500,M$2,0),$A$1054,INDEX(Техника!$H$1:$ABO$500,M$2,0),"П")</f>
        <v>0</v>
      </c>
      <c r="N1057" s="50">
        <f>SUMIFS(INDEX(Техника!$F$1:$ABM$500,N$2,0),Техника!$F$4:$ABM$4,"Часы",INDEX(Техника!$G$1:$ABN$500,N$2,0),$A$1054,INDEX(Техника!$H$1:$ABO$500,N$2,0),"П")</f>
        <v>0</v>
      </c>
      <c r="O1057" s="50">
        <f>SUMIFS(INDEX(Техника!$F$1:$ABM$500,O$2,0),Техника!$F$4:$ABM$4,"Часы",INDEX(Техника!$G$1:$ABN$500,O$2,0),$A$1054,INDEX(Техника!$H$1:$ABO$500,O$2,0),"П")</f>
        <v>0</v>
      </c>
      <c r="P1057" s="50">
        <f>SUMIFS(INDEX(Техника!$F$1:$ABM$500,P$2,0),Техника!$F$4:$ABM$4,"Часы",INDEX(Техника!$G$1:$ABN$500,P$2,0),$A$1054,INDEX(Техника!$H$1:$ABO$500,P$2,0),"П")</f>
        <v>0</v>
      </c>
      <c r="Q1057" s="50">
        <f>SUMIFS(INDEX(Техника!$F$1:$ABM$500,Q$2,0),Техника!$F$4:$ABM$4,"Часы",INDEX(Техника!$G$1:$ABN$500,Q$2,0),$A$1054,INDEX(Техника!$H$1:$ABO$500,Q$2,0),"П")</f>
        <v>0</v>
      </c>
      <c r="R1057" s="50">
        <f>SUMIFS(INDEX(Техника!$F$1:$ABM$500,R$2,0),Техника!$F$4:$ABM$4,"Часы",INDEX(Техника!$G$1:$ABN$500,R$2,0),$A$1054,INDEX(Техника!$H$1:$ABO$500,R$2,0),"П")</f>
        <v>0</v>
      </c>
      <c r="S1057" s="50">
        <f>SUMIFS(INDEX(Техника!$F$1:$ABM$500,S$2,0),Техника!$F$4:$ABM$4,"Часы",INDEX(Техника!$G$1:$ABN$500,S$2,0),$A$1054,INDEX(Техника!$H$1:$ABO$500,S$2,0),"П")</f>
        <v>0</v>
      </c>
      <c r="T1057" s="50">
        <f>SUMIFS(INDEX(Техника!$F$1:$ABM$500,T$2,0),Техника!$F$4:$ABM$4,"Часы",INDEX(Техника!$G$1:$ABN$500,T$2,0),$A$1054,INDEX(Техника!$H$1:$ABO$500,T$2,0),"П")</f>
        <v>0</v>
      </c>
      <c r="U1057" s="50">
        <f>SUMIFS(INDEX(Техника!$F$1:$ABM$500,U$2,0),Техника!$F$4:$ABM$4,"Часы",INDEX(Техника!$G$1:$ABN$500,U$2,0),$A$1054,INDEX(Техника!$H$1:$ABO$500,U$2,0),"П")</f>
        <v>0</v>
      </c>
      <c r="V1057" s="50">
        <f>SUMIFS(INDEX(Техника!$F$1:$ABM$500,V$2,0),Техника!$F$4:$ABM$4,"Часы",INDEX(Техника!$G$1:$ABN$500,V$2,0),$A$1054,INDEX(Техника!$H$1:$ABO$500,V$2,0),"П")</f>
        <v>0</v>
      </c>
      <c r="W1057" s="50">
        <f>SUMIFS(INDEX(Техника!$F$1:$ABM$500,W$2,0),Техника!$F$4:$ABM$4,"Часы",INDEX(Техника!$G$1:$ABN$500,W$2,0),$A$1054,INDEX(Техника!$H$1:$ABO$500,W$2,0),"П")</f>
        <v>0</v>
      </c>
      <c r="X1057" s="50">
        <f>SUMIFS(INDEX(Техника!$F$1:$ABM$500,X$2,0),Техника!$F$4:$ABM$4,"Часы",INDEX(Техника!$G$1:$ABN$500,X$2,0),$A$1054,INDEX(Техника!$H$1:$ABO$500,X$2,0),"П")</f>
        <v>0</v>
      </c>
      <c r="Y1057" s="50">
        <f>SUMIFS(INDEX(Техника!$F$1:$ABM$500,Y$2,0),Техника!$F$4:$ABM$4,"Часы",INDEX(Техника!$G$1:$ABN$500,Y$2,0),$A$1054,INDEX(Техника!$H$1:$ABO$500,Y$2,0),"П")</f>
        <v>0</v>
      </c>
      <c r="Z1057" s="50">
        <f>SUMIFS(INDEX(Техника!$F$1:$ABM$500,Z$2,0),Техника!$F$4:$ABM$4,"Часы",INDEX(Техника!$G$1:$ABN$500,Z$2,0),$A$1054,INDEX(Техника!$H$1:$ABO$500,Z$2,0),"П")</f>
        <v>0</v>
      </c>
      <c r="AA1057" s="50">
        <f>SUMIFS(INDEX(Техника!$F$1:$ABM$500,AA$2,0),Техника!$F$4:$ABM$4,"Часы",INDEX(Техника!$G$1:$ABN$500,AA$2,0),$A$1054,INDEX(Техника!$H$1:$ABO$500,AA$2,0),"П")</f>
        <v>0</v>
      </c>
      <c r="AB1057" s="50">
        <f>SUMIFS(INDEX(Техника!$F$1:$ABM$500,AB$2,0),Техника!$F$4:$ABM$4,"Часы",INDEX(Техника!$G$1:$ABN$500,AB$2,0),$A$1054,INDEX(Техника!$H$1:$ABO$500,AB$2,0),"П")</f>
        <v>0</v>
      </c>
    </row>
    <row r="1058" spans="1:28" hidden="1" outlineLevel="1" x14ac:dyDescent="0.3">
      <c r="A1058" s="33" t="s">
        <v>243</v>
      </c>
      <c r="B1058" s="34" t="s">
        <v>278</v>
      </c>
      <c r="C1058" s="50">
        <f>SUMIFS(INDEX(Техника!$F$1:$ABM$500,C$2,0),Техника!$F$4:$ABM$4,"Часы",INDEX(Техника!$G$1:$ABN$500,C$2,0),$A$1054,INDEX(Техника!$H$1:$ABO$500,C$2,0),"Л")</f>
        <v>0</v>
      </c>
      <c r="D1058" s="50">
        <f>SUMIFS(INDEX(Техника!$F$1:$ABM$500,D$2,0),Техника!$F$4:$ABM$4,"Часы",INDEX(Техника!$G$1:$ABN$500,D$2,0),$A$1054,INDEX(Техника!$H$1:$ABO$500,D$2,0),"Л")</f>
        <v>0</v>
      </c>
      <c r="E1058" s="50">
        <f>SUMIFS(INDEX(Техника!$F$1:$ABM$500,E$2,0),Техника!$F$4:$ABM$4,"Часы",INDEX(Техника!$G$1:$ABN$500,E$2,0),$A$1054,INDEX(Техника!$H$1:$ABO$500,E$2,0),"Л")</f>
        <v>0</v>
      </c>
      <c r="F1058" s="50">
        <f>SUMIFS(INDEX(Техника!$F$1:$ABM$500,F$2,0),Техника!$F$4:$ABM$4,"Часы",INDEX(Техника!$G$1:$ABN$500,F$2,0),$A$1054,INDEX(Техника!$H$1:$ABO$500,F$2,0),"Л")</f>
        <v>0</v>
      </c>
      <c r="G1058" s="50">
        <f>SUMIFS(INDEX(Техника!$F$1:$ABM$500,G$2,0),Техника!$F$4:$ABM$4,"Часы",INDEX(Техника!$G$1:$ABN$500,G$2,0),$A$1054,INDEX(Техника!$H$1:$ABO$500,G$2,0),"Л")</f>
        <v>0</v>
      </c>
      <c r="H1058" s="50">
        <f>SUMIFS(INDEX(Техника!$F$1:$ABM$500,H$2,0),Техника!$F$4:$ABM$4,"Часы",INDEX(Техника!$G$1:$ABN$500,H$2,0),$A$1054,INDEX(Техника!$H$1:$ABO$500,H$2,0),"Л")</f>
        <v>0</v>
      </c>
      <c r="I1058" s="50">
        <f>SUMIFS(INDEX(Техника!$F$1:$ABM$500,I$2,0),Техника!$F$4:$ABM$4,"Часы",INDEX(Техника!$G$1:$ABN$500,I$2,0),$A$1054,INDEX(Техника!$H$1:$ABO$500,I$2,0),"Л")</f>
        <v>0</v>
      </c>
      <c r="J1058" s="50">
        <f>SUMIFS(INDEX(Техника!$F$1:$ABM$500,J$2,0),Техника!$F$4:$ABM$4,"Часы",INDEX(Техника!$G$1:$ABN$500,J$2,0),$A$1054,INDEX(Техника!$H$1:$ABO$500,J$2,0),"Л")</f>
        <v>0</v>
      </c>
      <c r="K1058" s="50">
        <f>SUMIFS(INDEX(Техника!$F$1:$ABM$500,K$2,0),Техника!$F$4:$ABM$4,"Часы",INDEX(Техника!$G$1:$ABN$500,K$2,0),$A$1054,INDEX(Техника!$H$1:$ABO$500,K$2,0),"Л")</f>
        <v>0</v>
      </c>
      <c r="L1058" s="50">
        <f>SUMIFS(INDEX(Техника!$F$1:$ABM$500,L$2,0),Техника!$F$4:$ABM$4,"Часы",INDEX(Техника!$G$1:$ABN$500,L$2,0),$A$1054,INDEX(Техника!$H$1:$ABO$500,L$2,0),"Л")</f>
        <v>0</v>
      </c>
      <c r="M1058" s="50">
        <f>SUMIFS(INDEX(Техника!$F$1:$ABM$500,M$2,0),Техника!$F$4:$ABM$4,"Часы",INDEX(Техника!$G$1:$ABN$500,M$2,0),$A$1054,INDEX(Техника!$H$1:$ABO$500,M$2,0),"Л")</f>
        <v>0</v>
      </c>
      <c r="N1058" s="50">
        <f>SUMIFS(INDEX(Техника!$F$1:$ABM$500,N$2,0),Техника!$F$4:$ABM$4,"Часы",INDEX(Техника!$G$1:$ABN$500,N$2,0),$A$1054,INDEX(Техника!$H$1:$ABO$500,N$2,0),"Л")</f>
        <v>0</v>
      </c>
      <c r="O1058" s="50">
        <f>SUMIFS(INDEX(Техника!$F$1:$ABM$500,O$2,0),Техника!$F$4:$ABM$4,"Часы",INDEX(Техника!$G$1:$ABN$500,O$2,0),$A$1054,INDEX(Техника!$H$1:$ABO$500,O$2,0),"Л")</f>
        <v>0</v>
      </c>
      <c r="P1058" s="50">
        <f>SUMIFS(INDEX(Техника!$F$1:$ABM$500,P$2,0),Техника!$F$4:$ABM$4,"Часы",INDEX(Техника!$G$1:$ABN$500,P$2,0),$A$1054,INDEX(Техника!$H$1:$ABO$500,P$2,0),"Л")</f>
        <v>0</v>
      </c>
      <c r="Q1058" s="50">
        <f>SUMIFS(INDEX(Техника!$F$1:$ABM$500,Q$2,0),Техника!$F$4:$ABM$4,"Часы",INDEX(Техника!$G$1:$ABN$500,Q$2,0),$A$1054,INDEX(Техника!$H$1:$ABO$500,Q$2,0),"Л")</f>
        <v>0</v>
      </c>
      <c r="R1058" s="50">
        <f>SUMIFS(INDEX(Техника!$F$1:$ABM$500,R$2,0),Техника!$F$4:$ABM$4,"Часы",INDEX(Техника!$G$1:$ABN$500,R$2,0),$A$1054,INDEX(Техника!$H$1:$ABO$500,R$2,0),"Л")</f>
        <v>0</v>
      </c>
      <c r="S1058" s="50">
        <f>SUMIFS(INDEX(Техника!$F$1:$ABM$500,S$2,0),Техника!$F$4:$ABM$4,"Часы",INDEX(Техника!$G$1:$ABN$500,S$2,0),$A$1054,INDEX(Техника!$H$1:$ABO$500,S$2,0),"Л")</f>
        <v>0</v>
      </c>
      <c r="T1058" s="50">
        <f>SUMIFS(INDEX(Техника!$F$1:$ABM$500,T$2,0),Техника!$F$4:$ABM$4,"Часы",INDEX(Техника!$G$1:$ABN$500,T$2,0),$A$1054,INDEX(Техника!$H$1:$ABO$500,T$2,0),"Л")</f>
        <v>0</v>
      </c>
      <c r="U1058" s="50">
        <f>SUMIFS(INDEX(Техника!$F$1:$ABM$500,U$2,0),Техника!$F$4:$ABM$4,"Часы",INDEX(Техника!$G$1:$ABN$500,U$2,0),$A$1054,INDEX(Техника!$H$1:$ABO$500,U$2,0),"Л")</f>
        <v>0</v>
      </c>
      <c r="V1058" s="50">
        <f>SUMIFS(INDEX(Техника!$F$1:$ABM$500,V$2,0),Техника!$F$4:$ABM$4,"Часы",INDEX(Техника!$G$1:$ABN$500,V$2,0),$A$1054,INDEX(Техника!$H$1:$ABO$500,V$2,0),"Л")</f>
        <v>0</v>
      </c>
      <c r="W1058" s="50">
        <f>SUMIFS(INDEX(Техника!$F$1:$ABM$500,W$2,0),Техника!$F$4:$ABM$4,"Часы",INDEX(Техника!$G$1:$ABN$500,W$2,0),$A$1054,INDEX(Техника!$H$1:$ABO$500,W$2,0),"Л")</f>
        <v>0</v>
      </c>
      <c r="X1058" s="50">
        <f>SUMIFS(INDEX(Техника!$F$1:$ABM$500,X$2,0),Техника!$F$4:$ABM$4,"Часы",INDEX(Техника!$G$1:$ABN$500,X$2,0),$A$1054,INDEX(Техника!$H$1:$ABO$500,X$2,0),"Л")</f>
        <v>0</v>
      </c>
      <c r="Y1058" s="50">
        <f>SUMIFS(INDEX(Техника!$F$1:$ABM$500,Y$2,0),Техника!$F$4:$ABM$4,"Часы",INDEX(Техника!$G$1:$ABN$500,Y$2,0),$A$1054,INDEX(Техника!$H$1:$ABO$500,Y$2,0),"Л")</f>
        <v>0</v>
      </c>
      <c r="Z1058" s="50">
        <f>SUMIFS(INDEX(Техника!$F$1:$ABM$500,Z$2,0),Техника!$F$4:$ABM$4,"Часы",INDEX(Техника!$G$1:$ABN$500,Z$2,0),$A$1054,INDEX(Техника!$H$1:$ABO$500,Z$2,0),"Л")</f>
        <v>0</v>
      </c>
      <c r="AA1058" s="50">
        <f>SUMIFS(INDEX(Техника!$F$1:$ABM$500,AA$2,0),Техника!$F$4:$ABM$4,"Часы",INDEX(Техника!$G$1:$ABN$500,AA$2,0),$A$1054,INDEX(Техника!$H$1:$ABO$500,AA$2,0),"Л")</f>
        <v>0</v>
      </c>
      <c r="AB1058" s="50">
        <f>SUMIFS(INDEX(Техника!$F$1:$ABM$500,AB$2,0),Техника!$F$4:$ABM$4,"Часы",INDEX(Техника!$G$1:$ABN$500,AB$2,0),$A$1054,INDEX(Техника!$H$1:$ABO$500,AB$2,0),"Л")</f>
        <v>0</v>
      </c>
    </row>
    <row r="1059" spans="1:28" hidden="1" outlineLevel="1" x14ac:dyDescent="0.3">
      <c r="A1059" s="33" t="s">
        <v>245</v>
      </c>
      <c r="B1059" s="34" t="s">
        <v>279</v>
      </c>
      <c r="C1059" s="50">
        <f>SUMIFS(INDEX(Техника!$F$1:$ABM$500,C$2,0),Техника!$F$4:$ABM$4,"Часы",INDEX(Техника!$G$1:$ABN$500,C$2,0),$A$1054,INDEX(Техника!$H$1:$ABO$500,C$2,0),"З")</f>
        <v>0</v>
      </c>
      <c r="D1059" s="50">
        <f>SUMIFS(INDEX(Техника!$F$1:$ABM$500,D$2,0),Техника!$F$4:$ABM$4,"Часы",INDEX(Техника!$G$1:$ABN$500,D$2,0),$A$1054,INDEX(Техника!$H$1:$ABO$500,D$2,0),"З")</f>
        <v>0</v>
      </c>
      <c r="E1059" s="50">
        <f>SUMIFS(INDEX(Техника!$F$1:$ABM$500,E$2,0),Техника!$F$4:$ABM$4,"Часы",INDEX(Техника!$G$1:$ABN$500,E$2,0),$A$1054,INDEX(Техника!$H$1:$ABO$500,E$2,0),"З")</f>
        <v>0</v>
      </c>
      <c r="F1059" s="50">
        <f>SUMIFS(INDEX(Техника!$F$1:$ABM$500,F$2,0),Техника!$F$4:$ABM$4,"Часы",INDEX(Техника!$G$1:$ABN$500,F$2,0),$A$1054,INDEX(Техника!$H$1:$ABO$500,F$2,0),"З")</f>
        <v>0</v>
      </c>
      <c r="G1059" s="50">
        <f>SUMIFS(INDEX(Техника!$F$1:$ABM$500,G$2,0),Техника!$F$4:$ABM$4,"Часы",INDEX(Техника!$G$1:$ABN$500,G$2,0),$A$1054,INDEX(Техника!$H$1:$ABO$500,G$2,0),"З")</f>
        <v>0</v>
      </c>
      <c r="H1059" s="50">
        <f>SUMIFS(INDEX(Техника!$F$1:$ABM$500,H$2,0),Техника!$F$4:$ABM$4,"Часы",INDEX(Техника!$G$1:$ABN$500,H$2,0),$A$1054,INDEX(Техника!$H$1:$ABO$500,H$2,0),"З")</f>
        <v>0</v>
      </c>
      <c r="I1059" s="50">
        <f>SUMIFS(INDEX(Техника!$F$1:$ABM$500,I$2,0),Техника!$F$4:$ABM$4,"Часы",INDEX(Техника!$G$1:$ABN$500,I$2,0),$A$1054,INDEX(Техника!$H$1:$ABO$500,I$2,0),"З")</f>
        <v>0</v>
      </c>
      <c r="J1059" s="50">
        <f>SUMIFS(INDEX(Техника!$F$1:$ABM$500,J$2,0),Техника!$F$4:$ABM$4,"Часы",INDEX(Техника!$G$1:$ABN$500,J$2,0),$A$1054,INDEX(Техника!$H$1:$ABO$500,J$2,0),"З")</f>
        <v>0</v>
      </c>
      <c r="K1059" s="50">
        <f>SUMIFS(INDEX(Техника!$F$1:$ABM$500,K$2,0),Техника!$F$4:$ABM$4,"Часы",INDEX(Техника!$G$1:$ABN$500,K$2,0),$A$1054,INDEX(Техника!$H$1:$ABO$500,K$2,0),"З")</f>
        <v>0</v>
      </c>
      <c r="L1059" s="50">
        <f>SUMIFS(INDEX(Техника!$F$1:$ABM$500,L$2,0),Техника!$F$4:$ABM$4,"Часы",INDEX(Техника!$G$1:$ABN$500,L$2,0),$A$1054,INDEX(Техника!$H$1:$ABO$500,L$2,0),"З")</f>
        <v>0</v>
      </c>
      <c r="M1059" s="50">
        <f>SUMIFS(INDEX(Техника!$F$1:$ABM$500,M$2,0),Техника!$F$4:$ABM$4,"Часы",INDEX(Техника!$G$1:$ABN$500,M$2,0),$A$1054,INDEX(Техника!$H$1:$ABO$500,M$2,0),"З")</f>
        <v>0</v>
      </c>
      <c r="N1059" s="50">
        <f>SUMIFS(INDEX(Техника!$F$1:$ABM$500,N$2,0),Техника!$F$4:$ABM$4,"Часы",INDEX(Техника!$G$1:$ABN$500,N$2,0),$A$1054,INDEX(Техника!$H$1:$ABO$500,N$2,0),"З")</f>
        <v>0</v>
      </c>
      <c r="O1059" s="50">
        <f>SUMIFS(INDEX(Техника!$F$1:$ABM$500,O$2,0),Техника!$F$4:$ABM$4,"Часы",INDEX(Техника!$G$1:$ABN$500,O$2,0),$A$1054,INDEX(Техника!$H$1:$ABO$500,O$2,0),"З")</f>
        <v>0</v>
      </c>
      <c r="P1059" s="50">
        <f>SUMIFS(INDEX(Техника!$F$1:$ABM$500,P$2,0),Техника!$F$4:$ABM$4,"Часы",INDEX(Техника!$G$1:$ABN$500,P$2,0),$A$1054,INDEX(Техника!$H$1:$ABO$500,P$2,0),"З")</f>
        <v>0</v>
      </c>
      <c r="Q1059" s="50">
        <f>SUMIFS(INDEX(Техника!$F$1:$ABM$500,Q$2,0),Техника!$F$4:$ABM$4,"Часы",INDEX(Техника!$G$1:$ABN$500,Q$2,0),$A$1054,INDEX(Техника!$H$1:$ABO$500,Q$2,0),"З")</f>
        <v>0</v>
      </c>
      <c r="R1059" s="50">
        <f>SUMIFS(INDEX(Техника!$F$1:$ABM$500,R$2,0),Техника!$F$4:$ABM$4,"Часы",INDEX(Техника!$G$1:$ABN$500,R$2,0),$A$1054,INDEX(Техника!$H$1:$ABO$500,R$2,0),"З")</f>
        <v>0</v>
      </c>
      <c r="S1059" s="50">
        <f>SUMIFS(INDEX(Техника!$F$1:$ABM$500,S$2,0),Техника!$F$4:$ABM$4,"Часы",INDEX(Техника!$G$1:$ABN$500,S$2,0),$A$1054,INDEX(Техника!$H$1:$ABO$500,S$2,0),"З")</f>
        <v>0</v>
      </c>
      <c r="T1059" s="50">
        <f>SUMIFS(INDEX(Техника!$F$1:$ABM$500,T$2,0),Техника!$F$4:$ABM$4,"Часы",INDEX(Техника!$G$1:$ABN$500,T$2,0),$A$1054,INDEX(Техника!$H$1:$ABO$500,T$2,0),"З")</f>
        <v>0</v>
      </c>
      <c r="U1059" s="50">
        <f>SUMIFS(INDEX(Техника!$F$1:$ABM$500,U$2,0),Техника!$F$4:$ABM$4,"Часы",INDEX(Техника!$G$1:$ABN$500,U$2,0),$A$1054,INDEX(Техника!$H$1:$ABO$500,U$2,0),"З")</f>
        <v>0</v>
      </c>
      <c r="V1059" s="50">
        <f>SUMIFS(INDEX(Техника!$F$1:$ABM$500,V$2,0),Техника!$F$4:$ABM$4,"Часы",INDEX(Техника!$G$1:$ABN$500,V$2,0),$A$1054,INDEX(Техника!$H$1:$ABO$500,V$2,0),"З")</f>
        <v>0</v>
      </c>
      <c r="W1059" s="50">
        <f>SUMIFS(INDEX(Техника!$F$1:$ABM$500,W$2,0),Техника!$F$4:$ABM$4,"Часы",INDEX(Техника!$G$1:$ABN$500,W$2,0),$A$1054,INDEX(Техника!$H$1:$ABO$500,W$2,0),"З")</f>
        <v>0</v>
      </c>
      <c r="X1059" s="50">
        <f>SUMIFS(INDEX(Техника!$F$1:$ABM$500,X$2,0),Техника!$F$4:$ABM$4,"Часы",INDEX(Техника!$G$1:$ABN$500,X$2,0),$A$1054,INDEX(Техника!$H$1:$ABO$500,X$2,0),"З")</f>
        <v>0</v>
      </c>
      <c r="Y1059" s="50">
        <f>SUMIFS(INDEX(Техника!$F$1:$ABM$500,Y$2,0),Техника!$F$4:$ABM$4,"Часы",INDEX(Техника!$G$1:$ABN$500,Y$2,0),$A$1054,INDEX(Техника!$H$1:$ABO$500,Y$2,0),"З")</f>
        <v>0</v>
      </c>
      <c r="Z1059" s="50">
        <f>SUMIFS(INDEX(Техника!$F$1:$ABM$500,Z$2,0),Техника!$F$4:$ABM$4,"Часы",INDEX(Техника!$G$1:$ABN$500,Z$2,0),$A$1054,INDEX(Техника!$H$1:$ABO$500,Z$2,0),"З")</f>
        <v>0</v>
      </c>
      <c r="AA1059" s="50">
        <f>SUMIFS(INDEX(Техника!$F$1:$ABM$500,AA$2,0),Техника!$F$4:$ABM$4,"Часы",INDEX(Техника!$G$1:$ABN$500,AA$2,0),$A$1054,INDEX(Техника!$H$1:$ABO$500,AA$2,0),"З")</f>
        <v>0</v>
      </c>
      <c r="AB1059" s="50">
        <f>SUMIFS(INDEX(Техника!$F$1:$ABM$500,AB$2,0),Техника!$F$4:$ABM$4,"Часы",INDEX(Техника!$G$1:$ABN$500,AB$2,0),$A$1054,INDEX(Техника!$H$1:$ABO$500,AB$2,0),"З")</f>
        <v>0</v>
      </c>
    </row>
    <row r="1060" spans="1:28" ht="7.95" customHeight="1" x14ac:dyDescent="0.3">
      <c r="A1060" s="38"/>
      <c r="B1060" s="39"/>
      <c r="C1060" s="51"/>
      <c r="D1060" s="51"/>
      <c r="E1060" s="51"/>
      <c r="F1060" s="51"/>
      <c r="G1060" s="51"/>
      <c r="H1060" s="51"/>
      <c r="I1060" s="51"/>
      <c r="J1060" s="51"/>
      <c r="K1060" s="51"/>
      <c r="L1060" s="51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</row>
    <row r="1061" spans="1:28" ht="25.05" customHeight="1" collapsed="1" x14ac:dyDescent="0.3">
      <c r="A1061" s="32">
        <v>152</v>
      </c>
      <c r="B1061" s="32" t="s">
        <v>153</v>
      </c>
      <c r="C1061" s="49">
        <f>SUM(C1062:C1066)</f>
        <v>0</v>
      </c>
      <c r="D1061" s="49">
        <f>SUM(D1062:D1066)</f>
        <v>0</v>
      </c>
      <c r="E1061" s="49">
        <f>SUM(E1062:E1066)</f>
        <v>0</v>
      </c>
      <c r="F1061" s="49">
        <f>SUM(F1062:F1066)</f>
        <v>0</v>
      </c>
      <c r="G1061" s="49">
        <f>SUM(G1062:G1066)</f>
        <v>0</v>
      </c>
      <c r="H1061" s="49">
        <f>SUM(H1062:H1066)</f>
        <v>0</v>
      </c>
      <c r="I1061" s="49">
        <f>SUM(I1062:I1066)</f>
        <v>0</v>
      </c>
      <c r="J1061" s="49">
        <f>SUM(J1062:J1066)</f>
        <v>0</v>
      </c>
      <c r="K1061" s="49">
        <f>SUM(K1062:K1066)</f>
        <v>0</v>
      </c>
      <c r="L1061" s="49">
        <f>SUM(L1062:L1066)</f>
        <v>0</v>
      </c>
      <c r="M1061" s="49">
        <f>SUM(M1062:M1066)</f>
        <v>0</v>
      </c>
      <c r="N1061" s="49">
        <f>SUM(N1062:N1066)</f>
        <v>0</v>
      </c>
      <c r="O1061" s="49">
        <f>SUM(O1062:O1066)</f>
        <v>0</v>
      </c>
      <c r="P1061" s="49">
        <f>SUM(P1062:P1066)</f>
        <v>0</v>
      </c>
      <c r="Q1061" s="49">
        <f>SUM(Q1062:Q1066)</f>
        <v>0</v>
      </c>
      <c r="R1061" s="49">
        <f>SUM(R1062:R1066)</f>
        <v>0</v>
      </c>
      <c r="S1061" s="49">
        <f>SUM(S1062:S1066)</f>
        <v>0</v>
      </c>
      <c r="T1061" s="49">
        <f>SUM(T1062:T1066)</f>
        <v>0</v>
      </c>
      <c r="U1061" s="49">
        <f>SUM(U1062:U1066)</f>
        <v>0</v>
      </c>
      <c r="V1061" s="49">
        <f>SUM(V1062:V1066)</f>
        <v>0</v>
      </c>
      <c r="W1061" s="49">
        <f>SUM(W1062:W1066)</f>
        <v>0</v>
      </c>
      <c r="X1061" s="49">
        <f>SUM(X1062:X1066)</f>
        <v>0</v>
      </c>
      <c r="Y1061" s="49">
        <f>SUM(Y1062:Y1066)</f>
        <v>0</v>
      </c>
      <c r="Z1061" s="49">
        <f>SUM(Z1062:Z1066)</f>
        <v>0</v>
      </c>
      <c r="AA1061" s="49">
        <f>SUM(AA1062:AA1066)</f>
        <v>0</v>
      </c>
      <c r="AB1061" s="49">
        <f>SUM(AB1062:AB1066)</f>
        <v>0</v>
      </c>
    </row>
    <row r="1062" spans="1:28" hidden="1" outlineLevel="1" x14ac:dyDescent="0.3">
      <c r="A1062" s="33" t="s">
        <v>246</v>
      </c>
      <c r="B1062" s="34" t="s">
        <v>274</v>
      </c>
      <c r="C1062" s="50">
        <f>SUMIFS(INDEX(Техника!$F$1:$ABM$500,C$2,0),Техника!$F$4:$ABM$4,"Часы",INDEX(Техника!$G$1:$ABN$500,C$2,0),$A$1061,INDEX(Техника!$H$1:$ABO$500,C$2,0),"М")</f>
        <v>0</v>
      </c>
      <c r="D1062" s="50">
        <f>SUMIFS(INDEX(Техника!$F$1:$ABM$500,D$2,0),Техника!$F$4:$ABM$4,"Часы",INDEX(Техника!$G$1:$ABN$500,D$2,0),$A$1061,INDEX(Техника!$H$1:$ABO$500,D$2,0),"М")</f>
        <v>0</v>
      </c>
      <c r="E1062" s="50">
        <f>SUMIFS(INDEX(Техника!$F$1:$ABM$500,E$2,0),Техника!$F$4:$ABM$4,"Часы",INDEX(Техника!$G$1:$ABN$500,E$2,0),$A$1061,INDEX(Техника!$H$1:$ABO$500,E$2,0),"М")</f>
        <v>0</v>
      </c>
      <c r="F1062" s="50">
        <f>SUMIFS(INDEX(Техника!$F$1:$ABM$500,F$2,0),Техника!$F$4:$ABM$4,"Часы",INDEX(Техника!$G$1:$ABN$500,F$2,0),$A$1061,INDEX(Техника!$H$1:$ABO$500,F$2,0),"М")</f>
        <v>0</v>
      </c>
      <c r="G1062" s="50">
        <f>SUMIFS(INDEX(Техника!$F$1:$ABM$500,G$2,0),Техника!$F$4:$ABM$4,"Часы",INDEX(Техника!$G$1:$ABN$500,G$2,0),$A$1061,INDEX(Техника!$H$1:$ABO$500,G$2,0),"М")</f>
        <v>0</v>
      </c>
      <c r="H1062" s="50">
        <f>SUMIFS(INDEX(Техника!$F$1:$ABM$500,H$2,0),Техника!$F$4:$ABM$4,"Часы",INDEX(Техника!$G$1:$ABN$500,H$2,0),$A$1061,INDEX(Техника!$H$1:$ABO$500,H$2,0),"М")</f>
        <v>0</v>
      </c>
      <c r="I1062" s="50">
        <f>SUMIFS(INDEX(Техника!$F$1:$ABM$500,I$2,0),Техника!$F$4:$ABM$4,"Часы",INDEX(Техника!$G$1:$ABN$500,I$2,0),$A$1061,INDEX(Техника!$H$1:$ABO$500,I$2,0),"М")</f>
        <v>0</v>
      </c>
      <c r="J1062" s="50">
        <f>SUMIFS(INDEX(Техника!$F$1:$ABM$500,J$2,0),Техника!$F$4:$ABM$4,"Часы",INDEX(Техника!$G$1:$ABN$500,J$2,0),$A$1061,INDEX(Техника!$H$1:$ABO$500,J$2,0),"М")</f>
        <v>0</v>
      </c>
      <c r="K1062" s="50">
        <f>SUMIFS(INDEX(Техника!$F$1:$ABM$500,K$2,0),Техника!$F$4:$ABM$4,"Часы",INDEX(Техника!$G$1:$ABN$500,K$2,0),$A$1061,INDEX(Техника!$H$1:$ABO$500,K$2,0),"М")</f>
        <v>0</v>
      </c>
      <c r="L1062" s="50">
        <f>SUMIFS(INDEX(Техника!$F$1:$ABM$500,L$2,0),Техника!$F$4:$ABM$4,"Часы",INDEX(Техника!$G$1:$ABN$500,L$2,0),$A$1061,INDEX(Техника!$H$1:$ABO$500,L$2,0),"М")</f>
        <v>0</v>
      </c>
      <c r="M1062" s="50">
        <f>SUMIFS(INDEX(Техника!$F$1:$ABM$500,M$2,0),Техника!$F$4:$ABM$4,"Часы",INDEX(Техника!$G$1:$ABN$500,M$2,0),$A$1061,INDEX(Техника!$H$1:$ABO$500,M$2,0),"М")</f>
        <v>0</v>
      </c>
      <c r="N1062" s="50">
        <f>SUMIFS(INDEX(Техника!$F$1:$ABM$500,N$2,0),Техника!$F$4:$ABM$4,"Часы",INDEX(Техника!$G$1:$ABN$500,N$2,0),$A$1061,INDEX(Техника!$H$1:$ABO$500,N$2,0),"М")</f>
        <v>0</v>
      </c>
      <c r="O1062" s="50">
        <f>SUMIFS(INDEX(Техника!$F$1:$ABM$500,O$2,0),Техника!$F$4:$ABM$4,"Часы",INDEX(Техника!$G$1:$ABN$500,O$2,0),$A$1061,INDEX(Техника!$H$1:$ABO$500,O$2,0),"М")</f>
        <v>0</v>
      </c>
      <c r="P1062" s="50">
        <f>SUMIFS(INDEX(Техника!$F$1:$ABM$500,P$2,0),Техника!$F$4:$ABM$4,"Часы",INDEX(Техника!$G$1:$ABN$500,P$2,0),$A$1061,INDEX(Техника!$H$1:$ABO$500,P$2,0),"М")</f>
        <v>0</v>
      </c>
      <c r="Q1062" s="50">
        <f>SUMIFS(INDEX(Техника!$F$1:$ABM$500,Q$2,0),Техника!$F$4:$ABM$4,"Часы",INDEX(Техника!$G$1:$ABN$500,Q$2,0),$A$1061,INDEX(Техника!$H$1:$ABO$500,Q$2,0),"М")</f>
        <v>0</v>
      </c>
      <c r="R1062" s="50">
        <f>SUMIFS(INDEX(Техника!$F$1:$ABM$500,R$2,0),Техника!$F$4:$ABM$4,"Часы",INDEX(Техника!$G$1:$ABN$500,R$2,0),$A$1061,INDEX(Техника!$H$1:$ABO$500,R$2,0),"М")</f>
        <v>0</v>
      </c>
      <c r="S1062" s="50">
        <f>SUMIFS(INDEX(Техника!$F$1:$ABM$500,S$2,0),Техника!$F$4:$ABM$4,"Часы",INDEX(Техника!$G$1:$ABN$500,S$2,0),$A$1061,INDEX(Техника!$H$1:$ABO$500,S$2,0),"М")</f>
        <v>0</v>
      </c>
      <c r="T1062" s="50">
        <f>SUMIFS(INDEX(Техника!$F$1:$ABM$500,T$2,0),Техника!$F$4:$ABM$4,"Часы",INDEX(Техника!$G$1:$ABN$500,T$2,0),$A$1061,INDEX(Техника!$H$1:$ABO$500,T$2,0),"М")</f>
        <v>0</v>
      </c>
      <c r="U1062" s="50">
        <f>SUMIFS(INDEX(Техника!$F$1:$ABM$500,U$2,0),Техника!$F$4:$ABM$4,"Часы",INDEX(Техника!$G$1:$ABN$500,U$2,0),$A$1061,INDEX(Техника!$H$1:$ABO$500,U$2,0),"М")</f>
        <v>0</v>
      </c>
      <c r="V1062" s="50">
        <f>SUMIFS(INDEX(Техника!$F$1:$ABM$500,V$2,0),Техника!$F$4:$ABM$4,"Часы",INDEX(Техника!$G$1:$ABN$500,V$2,0),$A$1061,INDEX(Техника!$H$1:$ABO$500,V$2,0),"М")</f>
        <v>0</v>
      </c>
      <c r="W1062" s="50">
        <f>SUMIFS(INDEX(Техника!$F$1:$ABM$500,W$2,0),Техника!$F$4:$ABM$4,"Часы",INDEX(Техника!$G$1:$ABN$500,W$2,0),$A$1061,INDEX(Техника!$H$1:$ABO$500,W$2,0),"М")</f>
        <v>0</v>
      </c>
      <c r="X1062" s="50">
        <f>SUMIFS(INDEX(Техника!$F$1:$ABM$500,X$2,0),Техника!$F$4:$ABM$4,"Часы",INDEX(Техника!$G$1:$ABN$500,X$2,0),$A$1061,INDEX(Техника!$H$1:$ABO$500,X$2,0),"М")</f>
        <v>0</v>
      </c>
      <c r="Y1062" s="50">
        <f>SUMIFS(INDEX(Техника!$F$1:$ABM$500,Y$2,0),Техника!$F$4:$ABM$4,"Часы",INDEX(Техника!$G$1:$ABN$500,Y$2,0),$A$1061,INDEX(Техника!$H$1:$ABO$500,Y$2,0),"М")</f>
        <v>0</v>
      </c>
      <c r="Z1062" s="50">
        <f>SUMIFS(INDEX(Техника!$F$1:$ABM$500,Z$2,0),Техника!$F$4:$ABM$4,"Часы",INDEX(Техника!$G$1:$ABN$500,Z$2,0),$A$1061,INDEX(Техника!$H$1:$ABO$500,Z$2,0),"М")</f>
        <v>0</v>
      </c>
      <c r="AA1062" s="50">
        <f>SUMIFS(INDEX(Техника!$F$1:$ABM$500,AA$2,0),Техника!$F$4:$ABM$4,"Часы",INDEX(Техника!$G$1:$ABN$500,AA$2,0),$A$1061,INDEX(Техника!$H$1:$ABO$500,AA$2,0),"М")</f>
        <v>0</v>
      </c>
      <c r="AB1062" s="50">
        <f>SUMIFS(INDEX(Техника!$F$1:$ABM$500,AB$2,0),Техника!$F$4:$ABM$4,"Часы",INDEX(Техника!$G$1:$ABN$500,AB$2,0),$A$1061,INDEX(Техника!$H$1:$ABO$500,AB$2,0),"М")</f>
        <v>0</v>
      </c>
    </row>
    <row r="1063" spans="1:28" hidden="1" outlineLevel="1" x14ac:dyDescent="0.3">
      <c r="A1063" s="33" t="s">
        <v>244</v>
      </c>
      <c r="B1063" s="34" t="s">
        <v>275</v>
      </c>
      <c r="C1063" s="50">
        <f>SUMIFS(INDEX(Техника!$F$1:$ABM$500,C$2,0),Техника!$F$4:$ABM$4,"Часы",INDEX(Техника!$G$1:$ABN$500,C$2,0),$A$1061,INDEX(Техника!$H$1:$ABO$500,C$2,0),"Д")</f>
        <v>0</v>
      </c>
      <c r="D1063" s="50">
        <f>SUMIFS(INDEX(Техника!$F$1:$ABM$500,D$2,0),Техника!$F$4:$ABM$4,"Часы",INDEX(Техника!$G$1:$ABN$500,D$2,0),$A$1061,INDEX(Техника!$H$1:$ABO$500,D$2,0),"Д")</f>
        <v>0</v>
      </c>
      <c r="E1063" s="50">
        <f>SUMIFS(INDEX(Техника!$F$1:$ABM$500,E$2,0),Техника!$F$4:$ABM$4,"Часы",INDEX(Техника!$G$1:$ABN$500,E$2,0),$A$1061,INDEX(Техника!$H$1:$ABO$500,E$2,0),"Д")</f>
        <v>0</v>
      </c>
      <c r="F1063" s="50">
        <f>SUMIFS(INDEX(Техника!$F$1:$ABM$500,F$2,0),Техника!$F$4:$ABM$4,"Часы",INDEX(Техника!$G$1:$ABN$500,F$2,0),$A$1061,INDEX(Техника!$H$1:$ABO$500,F$2,0),"Д")</f>
        <v>0</v>
      </c>
      <c r="G1063" s="50">
        <f>SUMIFS(INDEX(Техника!$F$1:$ABM$500,G$2,0),Техника!$F$4:$ABM$4,"Часы",INDEX(Техника!$G$1:$ABN$500,G$2,0),$A$1061,INDEX(Техника!$H$1:$ABO$500,G$2,0),"Д")</f>
        <v>0</v>
      </c>
      <c r="H1063" s="50">
        <f>SUMIFS(INDEX(Техника!$F$1:$ABM$500,H$2,0),Техника!$F$4:$ABM$4,"Часы",INDEX(Техника!$G$1:$ABN$500,H$2,0),$A$1061,INDEX(Техника!$H$1:$ABO$500,H$2,0),"Д")</f>
        <v>0</v>
      </c>
      <c r="I1063" s="50">
        <f>SUMIFS(INDEX(Техника!$F$1:$ABM$500,I$2,0),Техника!$F$4:$ABM$4,"Часы",INDEX(Техника!$G$1:$ABN$500,I$2,0),$A$1061,INDEX(Техника!$H$1:$ABO$500,I$2,0),"Д")</f>
        <v>0</v>
      </c>
      <c r="J1063" s="50">
        <f>SUMIFS(INDEX(Техника!$F$1:$ABM$500,J$2,0),Техника!$F$4:$ABM$4,"Часы",INDEX(Техника!$G$1:$ABN$500,J$2,0),$A$1061,INDEX(Техника!$H$1:$ABO$500,J$2,0),"Д")</f>
        <v>0</v>
      </c>
      <c r="K1063" s="50">
        <f>SUMIFS(INDEX(Техника!$F$1:$ABM$500,K$2,0),Техника!$F$4:$ABM$4,"Часы",INDEX(Техника!$G$1:$ABN$500,K$2,0),$A$1061,INDEX(Техника!$H$1:$ABO$500,K$2,0),"Д")</f>
        <v>0</v>
      </c>
      <c r="L1063" s="50">
        <f>SUMIFS(INDEX(Техника!$F$1:$ABM$500,L$2,0),Техника!$F$4:$ABM$4,"Часы",INDEX(Техника!$G$1:$ABN$500,L$2,0),$A$1061,INDEX(Техника!$H$1:$ABO$500,L$2,0),"Д")</f>
        <v>0</v>
      </c>
      <c r="M1063" s="50">
        <f>SUMIFS(INDEX(Техника!$F$1:$ABM$500,M$2,0),Техника!$F$4:$ABM$4,"Часы",INDEX(Техника!$G$1:$ABN$500,M$2,0),$A$1061,INDEX(Техника!$H$1:$ABO$500,M$2,0),"Д")</f>
        <v>0</v>
      </c>
      <c r="N1063" s="50">
        <f>SUMIFS(INDEX(Техника!$F$1:$ABM$500,N$2,0),Техника!$F$4:$ABM$4,"Часы",INDEX(Техника!$G$1:$ABN$500,N$2,0),$A$1061,INDEX(Техника!$H$1:$ABO$500,N$2,0),"Д")</f>
        <v>0</v>
      </c>
      <c r="O1063" s="50">
        <f>SUMIFS(INDEX(Техника!$F$1:$ABM$500,O$2,0),Техника!$F$4:$ABM$4,"Часы",INDEX(Техника!$G$1:$ABN$500,O$2,0),$A$1061,INDEX(Техника!$H$1:$ABO$500,O$2,0),"Д")</f>
        <v>0</v>
      </c>
      <c r="P1063" s="50">
        <f>SUMIFS(INDEX(Техника!$F$1:$ABM$500,P$2,0),Техника!$F$4:$ABM$4,"Часы",INDEX(Техника!$G$1:$ABN$500,P$2,0),$A$1061,INDEX(Техника!$H$1:$ABO$500,P$2,0),"Д")</f>
        <v>0</v>
      </c>
      <c r="Q1063" s="50">
        <f>SUMIFS(INDEX(Техника!$F$1:$ABM$500,Q$2,0),Техника!$F$4:$ABM$4,"Часы",INDEX(Техника!$G$1:$ABN$500,Q$2,0),$A$1061,INDEX(Техника!$H$1:$ABO$500,Q$2,0),"Д")</f>
        <v>0</v>
      </c>
      <c r="R1063" s="50">
        <f>SUMIFS(INDEX(Техника!$F$1:$ABM$500,R$2,0),Техника!$F$4:$ABM$4,"Часы",INDEX(Техника!$G$1:$ABN$500,R$2,0),$A$1061,INDEX(Техника!$H$1:$ABO$500,R$2,0),"Д")</f>
        <v>0</v>
      </c>
      <c r="S1063" s="50">
        <f>SUMIFS(INDEX(Техника!$F$1:$ABM$500,S$2,0),Техника!$F$4:$ABM$4,"Часы",INDEX(Техника!$G$1:$ABN$500,S$2,0),$A$1061,INDEX(Техника!$H$1:$ABO$500,S$2,0),"Д")</f>
        <v>0</v>
      </c>
      <c r="T1063" s="50">
        <f>SUMIFS(INDEX(Техника!$F$1:$ABM$500,T$2,0),Техника!$F$4:$ABM$4,"Часы",INDEX(Техника!$G$1:$ABN$500,T$2,0),$A$1061,INDEX(Техника!$H$1:$ABO$500,T$2,0),"Д")</f>
        <v>0</v>
      </c>
      <c r="U1063" s="50">
        <f>SUMIFS(INDEX(Техника!$F$1:$ABM$500,U$2,0),Техника!$F$4:$ABM$4,"Часы",INDEX(Техника!$G$1:$ABN$500,U$2,0),$A$1061,INDEX(Техника!$H$1:$ABO$500,U$2,0),"Д")</f>
        <v>0</v>
      </c>
      <c r="V1063" s="50">
        <f>SUMIFS(INDEX(Техника!$F$1:$ABM$500,V$2,0),Техника!$F$4:$ABM$4,"Часы",INDEX(Техника!$G$1:$ABN$500,V$2,0),$A$1061,INDEX(Техника!$H$1:$ABO$500,V$2,0),"Д")</f>
        <v>0</v>
      </c>
      <c r="W1063" s="50">
        <f>SUMIFS(INDEX(Техника!$F$1:$ABM$500,W$2,0),Техника!$F$4:$ABM$4,"Часы",INDEX(Техника!$G$1:$ABN$500,W$2,0),$A$1061,INDEX(Техника!$H$1:$ABO$500,W$2,0),"Д")</f>
        <v>0</v>
      </c>
      <c r="X1063" s="50">
        <f>SUMIFS(INDEX(Техника!$F$1:$ABM$500,X$2,0),Техника!$F$4:$ABM$4,"Часы",INDEX(Техника!$G$1:$ABN$500,X$2,0),$A$1061,INDEX(Техника!$H$1:$ABO$500,X$2,0),"Д")</f>
        <v>0</v>
      </c>
      <c r="Y1063" s="50">
        <f>SUMIFS(INDEX(Техника!$F$1:$ABM$500,Y$2,0),Техника!$F$4:$ABM$4,"Часы",INDEX(Техника!$G$1:$ABN$500,Y$2,0),$A$1061,INDEX(Техника!$H$1:$ABO$500,Y$2,0),"Д")</f>
        <v>0</v>
      </c>
      <c r="Z1063" s="50">
        <f>SUMIFS(INDEX(Техника!$F$1:$ABM$500,Z$2,0),Техника!$F$4:$ABM$4,"Часы",INDEX(Техника!$G$1:$ABN$500,Z$2,0),$A$1061,INDEX(Техника!$H$1:$ABO$500,Z$2,0),"Д")</f>
        <v>0</v>
      </c>
      <c r="AA1063" s="50">
        <f>SUMIFS(INDEX(Техника!$F$1:$ABM$500,AA$2,0),Техника!$F$4:$ABM$4,"Часы",INDEX(Техника!$G$1:$ABN$500,AA$2,0),$A$1061,INDEX(Техника!$H$1:$ABO$500,AA$2,0),"Д")</f>
        <v>0</v>
      </c>
      <c r="AB1063" s="50">
        <f>SUMIFS(INDEX(Техника!$F$1:$ABM$500,AB$2,0),Техника!$F$4:$ABM$4,"Часы",INDEX(Техника!$G$1:$ABN$500,AB$2,0),$A$1061,INDEX(Техника!$H$1:$ABO$500,AB$2,0),"Д")</f>
        <v>0</v>
      </c>
    </row>
    <row r="1064" spans="1:28" hidden="1" outlineLevel="1" x14ac:dyDescent="0.3">
      <c r="A1064" s="33" t="s">
        <v>276</v>
      </c>
      <c r="B1064" s="34" t="s">
        <v>277</v>
      </c>
      <c r="C1064" s="50">
        <f>SUMIFS(INDEX(Техника!$F$1:$ABM$500,C$2,0),Техника!$F$4:$ABM$4,"Часы",INDEX(Техника!$G$1:$ABN$500,C$2,0),$A$1061,INDEX(Техника!$H$1:$ABO$500,C$2,0),"П")</f>
        <v>0</v>
      </c>
      <c r="D1064" s="50">
        <f>SUMIFS(INDEX(Техника!$F$1:$ABM$500,D$2,0),Техника!$F$4:$ABM$4,"Часы",INDEX(Техника!$G$1:$ABN$500,D$2,0),$A$1061,INDEX(Техника!$H$1:$ABO$500,D$2,0),"П")</f>
        <v>0</v>
      </c>
      <c r="E1064" s="50">
        <f>SUMIFS(INDEX(Техника!$F$1:$ABM$500,E$2,0),Техника!$F$4:$ABM$4,"Часы",INDEX(Техника!$G$1:$ABN$500,E$2,0),$A$1061,INDEX(Техника!$H$1:$ABO$500,E$2,0),"П")</f>
        <v>0</v>
      </c>
      <c r="F1064" s="50">
        <f>SUMIFS(INDEX(Техника!$F$1:$ABM$500,F$2,0),Техника!$F$4:$ABM$4,"Часы",INDEX(Техника!$G$1:$ABN$500,F$2,0),$A$1061,INDEX(Техника!$H$1:$ABO$500,F$2,0),"П")</f>
        <v>0</v>
      </c>
      <c r="G1064" s="50">
        <f>SUMIFS(INDEX(Техника!$F$1:$ABM$500,G$2,0),Техника!$F$4:$ABM$4,"Часы",INDEX(Техника!$G$1:$ABN$500,G$2,0),$A$1061,INDEX(Техника!$H$1:$ABO$500,G$2,0),"П")</f>
        <v>0</v>
      </c>
      <c r="H1064" s="50">
        <f>SUMIFS(INDEX(Техника!$F$1:$ABM$500,H$2,0),Техника!$F$4:$ABM$4,"Часы",INDEX(Техника!$G$1:$ABN$500,H$2,0),$A$1061,INDEX(Техника!$H$1:$ABO$500,H$2,0),"П")</f>
        <v>0</v>
      </c>
      <c r="I1064" s="50">
        <f>SUMIFS(INDEX(Техника!$F$1:$ABM$500,I$2,0),Техника!$F$4:$ABM$4,"Часы",INDEX(Техника!$G$1:$ABN$500,I$2,0),$A$1061,INDEX(Техника!$H$1:$ABO$500,I$2,0),"П")</f>
        <v>0</v>
      </c>
      <c r="J1064" s="50">
        <f>SUMIFS(INDEX(Техника!$F$1:$ABM$500,J$2,0),Техника!$F$4:$ABM$4,"Часы",INDEX(Техника!$G$1:$ABN$500,J$2,0),$A$1061,INDEX(Техника!$H$1:$ABO$500,J$2,0),"П")</f>
        <v>0</v>
      </c>
      <c r="K1064" s="50">
        <f>SUMIFS(INDEX(Техника!$F$1:$ABM$500,K$2,0),Техника!$F$4:$ABM$4,"Часы",INDEX(Техника!$G$1:$ABN$500,K$2,0),$A$1061,INDEX(Техника!$H$1:$ABO$500,K$2,0),"П")</f>
        <v>0</v>
      </c>
      <c r="L1064" s="50">
        <f>SUMIFS(INDEX(Техника!$F$1:$ABM$500,L$2,0),Техника!$F$4:$ABM$4,"Часы",INDEX(Техника!$G$1:$ABN$500,L$2,0),$A$1061,INDEX(Техника!$H$1:$ABO$500,L$2,0),"П")</f>
        <v>0</v>
      </c>
      <c r="M1064" s="50">
        <f>SUMIFS(INDEX(Техника!$F$1:$ABM$500,M$2,0),Техника!$F$4:$ABM$4,"Часы",INDEX(Техника!$G$1:$ABN$500,M$2,0),$A$1061,INDEX(Техника!$H$1:$ABO$500,M$2,0),"П")</f>
        <v>0</v>
      </c>
      <c r="N1064" s="50">
        <f>SUMIFS(INDEX(Техника!$F$1:$ABM$500,N$2,0),Техника!$F$4:$ABM$4,"Часы",INDEX(Техника!$G$1:$ABN$500,N$2,0),$A$1061,INDEX(Техника!$H$1:$ABO$500,N$2,0),"П")</f>
        <v>0</v>
      </c>
      <c r="O1064" s="50">
        <f>SUMIFS(INDEX(Техника!$F$1:$ABM$500,O$2,0),Техника!$F$4:$ABM$4,"Часы",INDEX(Техника!$G$1:$ABN$500,O$2,0),$A$1061,INDEX(Техника!$H$1:$ABO$500,O$2,0),"П")</f>
        <v>0</v>
      </c>
      <c r="P1064" s="50">
        <f>SUMIFS(INDEX(Техника!$F$1:$ABM$500,P$2,0),Техника!$F$4:$ABM$4,"Часы",INDEX(Техника!$G$1:$ABN$500,P$2,0),$A$1061,INDEX(Техника!$H$1:$ABO$500,P$2,0),"П")</f>
        <v>0</v>
      </c>
      <c r="Q1064" s="50">
        <f>SUMIFS(INDEX(Техника!$F$1:$ABM$500,Q$2,0),Техника!$F$4:$ABM$4,"Часы",INDEX(Техника!$G$1:$ABN$500,Q$2,0),$A$1061,INDEX(Техника!$H$1:$ABO$500,Q$2,0),"П")</f>
        <v>0</v>
      </c>
      <c r="R1064" s="50">
        <f>SUMIFS(INDEX(Техника!$F$1:$ABM$500,R$2,0),Техника!$F$4:$ABM$4,"Часы",INDEX(Техника!$G$1:$ABN$500,R$2,0),$A$1061,INDEX(Техника!$H$1:$ABO$500,R$2,0),"П")</f>
        <v>0</v>
      </c>
      <c r="S1064" s="50">
        <f>SUMIFS(INDEX(Техника!$F$1:$ABM$500,S$2,0),Техника!$F$4:$ABM$4,"Часы",INDEX(Техника!$G$1:$ABN$500,S$2,0),$A$1061,INDEX(Техника!$H$1:$ABO$500,S$2,0),"П")</f>
        <v>0</v>
      </c>
      <c r="T1064" s="50">
        <f>SUMIFS(INDEX(Техника!$F$1:$ABM$500,T$2,0),Техника!$F$4:$ABM$4,"Часы",INDEX(Техника!$G$1:$ABN$500,T$2,0),$A$1061,INDEX(Техника!$H$1:$ABO$500,T$2,0),"П")</f>
        <v>0</v>
      </c>
      <c r="U1064" s="50">
        <f>SUMIFS(INDEX(Техника!$F$1:$ABM$500,U$2,0),Техника!$F$4:$ABM$4,"Часы",INDEX(Техника!$G$1:$ABN$500,U$2,0),$A$1061,INDEX(Техника!$H$1:$ABO$500,U$2,0),"П")</f>
        <v>0</v>
      </c>
      <c r="V1064" s="50">
        <f>SUMIFS(INDEX(Техника!$F$1:$ABM$500,V$2,0),Техника!$F$4:$ABM$4,"Часы",INDEX(Техника!$G$1:$ABN$500,V$2,0),$A$1061,INDEX(Техника!$H$1:$ABO$500,V$2,0),"П")</f>
        <v>0</v>
      </c>
      <c r="W1064" s="50">
        <f>SUMIFS(INDEX(Техника!$F$1:$ABM$500,W$2,0),Техника!$F$4:$ABM$4,"Часы",INDEX(Техника!$G$1:$ABN$500,W$2,0),$A$1061,INDEX(Техника!$H$1:$ABO$500,W$2,0),"П")</f>
        <v>0</v>
      </c>
      <c r="X1064" s="50">
        <f>SUMIFS(INDEX(Техника!$F$1:$ABM$500,X$2,0),Техника!$F$4:$ABM$4,"Часы",INDEX(Техника!$G$1:$ABN$500,X$2,0),$A$1061,INDEX(Техника!$H$1:$ABO$500,X$2,0),"П")</f>
        <v>0</v>
      </c>
      <c r="Y1064" s="50">
        <f>SUMIFS(INDEX(Техника!$F$1:$ABM$500,Y$2,0),Техника!$F$4:$ABM$4,"Часы",INDEX(Техника!$G$1:$ABN$500,Y$2,0),$A$1061,INDEX(Техника!$H$1:$ABO$500,Y$2,0),"П")</f>
        <v>0</v>
      </c>
      <c r="Z1064" s="50">
        <f>SUMIFS(INDEX(Техника!$F$1:$ABM$500,Z$2,0),Техника!$F$4:$ABM$4,"Часы",INDEX(Техника!$G$1:$ABN$500,Z$2,0),$A$1061,INDEX(Техника!$H$1:$ABO$500,Z$2,0),"П")</f>
        <v>0</v>
      </c>
      <c r="AA1064" s="50">
        <f>SUMIFS(INDEX(Техника!$F$1:$ABM$500,AA$2,0),Техника!$F$4:$ABM$4,"Часы",INDEX(Техника!$G$1:$ABN$500,AA$2,0),$A$1061,INDEX(Техника!$H$1:$ABO$500,AA$2,0),"П")</f>
        <v>0</v>
      </c>
      <c r="AB1064" s="50">
        <f>SUMIFS(INDEX(Техника!$F$1:$ABM$500,AB$2,0),Техника!$F$4:$ABM$4,"Часы",INDEX(Техника!$G$1:$ABN$500,AB$2,0),$A$1061,INDEX(Техника!$H$1:$ABO$500,AB$2,0),"П")</f>
        <v>0</v>
      </c>
    </row>
    <row r="1065" spans="1:28" hidden="1" outlineLevel="1" x14ac:dyDescent="0.3">
      <c r="A1065" s="33" t="s">
        <v>243</v>
      </c>
      <c r="B1065" s="34" t="s">
        <v>278</v>
      </c>
      <c r="C1065" s="50">
        <f>SUMIFS(INDEX(Техника!$F$1:$ABM$500,C$2,0),Техника!$F$4:$ABM$4,"Часы",INDEX(Техника!$G$1:$ABN$500,C$2,0),$A$1061,INDEX(Техника!$H$1:$ABO$500,C$2,0),"Л")</f>
        <v>0</v>
      </c>
      <c r="D1065" s="50">
        <f>SUMIFS(INDEX(Техника!$F$1:$ABM$500,D$2,0),Техника!$F$4:$ABM$4,"Часы",INDEX(Техника!$G$1:$ABN$500,D$2,0),$A$1061,INDEX(Техника!$H$1:$ABO$500,D$2,0),"Л")</f>
        <v>0</v>
      </c>
      <c r="E1065" s="50">
        <f>SUMIFS(INDEX(Техника!$F$1:$ABM$500,E$2,0),Техника!$F$4:$ABM$4,"Часы",INDEX(Техника!$G$1:$ABN$500,E$2,0),$A$1061,INDEX(Техника!$H$1:$ABO$500,E$2,0),"Л")</f>
        <v>0</v>
      </c>
      <c r="F1065" s="50">
        <f>SUMIFS(INDEX(Техника!$F$1:$ABM$500,F$2,0),Техника!$F$4:$ABM$4,"Часы",INDEX(Техника!$G$1:$ABN$500,F$2,0),$A$1061,INDEX(Техника!$H$1:$ABO$500,F$2,0),"Л")</f>
        <v>0</v>
      </c>
      <c r="G1065" s="50">
        <f>SUMIFS(INDEX(Техника!$F$1:$ABM$500,G$2,0),Техника!$F$4:$ABM$4,"Часы",INDEX(Техника!$G$1:$ABN$500,G$2,0),$A$1061,INDEX(Техника!$H$1:$ABO$500,G$2,0),"Л")</f>
        <v>0</v>
      </c>
      <c r="H1065" s="50">
        <f>SUMIFS(INDEX(Техника!$F$1:$ABM$500,H$2,0),Техника!$F$4:$ABM$4,"Часы",INDEX(Техника!$G$1:$ABN$500,H$2,0),$A$1061,INDEX(Техника!$H$1:$ABO$500,H$2,0),"Л")</f>
        <v>0</v>
      </c>
      <c r="I1065" s="50">
        <f>SUMIFS(INDEX(Техника!$F$1:$ABM$500,I$2,0),Техника!$F$4:$ABM$4,"Часы",INDEX(Техника!$G$1:$ABN$500,I$2,0),$A$1061,INDEX(Техника!$H$1:$ABO$500,I$2,0),"Л")</f>
        <v>0</v>
      </c>
      <c r="J1065" s="50">
        <f>SUMIFS(INDEX(Техника!$F$1:$ABM$500,J$2,0),Техника!$F$4:$ABM$4,"Часы",INDEX(Техника!$G$1:$ABN$500,J$2,0),$A$1061,INDEX(Техника!$H$1:$ABO$500,J$2,0),"Л")</f>
        <v>0</v>
      </c>
      <c r="K1065" s="50">
        <f>SUMIFS(INDEX(Техника!$F$1:$ABM$500,K$2,0),Техника!$F$4:$ABM$4,"Часы",INDEX(Техника!$G$1:$ABN$500,K$2,0),$A$1061,INDEX(Техника!$H$1:$ABO$500,K$2,0),"Л")</f>
        <v>0</v>
      </c>
      <c r="L1065" s="50">
        <f>SUMIFS(INDEX(Техника!$F$1:$ABM$500,L$2,0),Техника!$F$4:$ABM$4,"Часы",INDEX(Техника!$G$1:$ABN$500,L$2,0),$A$1061,INDEX(Техника!$H$1:$ABO$500,L$2,0),"Л")</f>
        <v>0</v>
      </c>
      <c r="M1065" s="50">
        <f>SUMIFS(INDEX(Техника!$F$1:$ABM$500,M$2,0),Техника!$F$4:$ABM$4,"Часы",INDEX(Техника!$G$1:$ABN$500,M$2,0),$A$1061,INDEX(Техника!$H$1:$ABO$500,M$2,0),"Л")</f>
        <v>0</v>
      </c>
      <c r="N1065" s="50">
        <f>SUMIFS(INDEX(Техника!$F$1:$ABM$500,N$2,0),Техника!$F$4:$ABM$4,"Часы",INDEX(Техника!$G$1:$ABN$500,N$2,0),$A$1061,INDEX(Техника!$H$1:$ABO$500,N$2,0),"Л")</f>
        <v>0</v>
      </c>
      <c r="O1065" s="50">
        <f>SUMIFS(INDEX(Техника!$F$1:$ABM$500,O$2,0),Техника!$F$4:$ABM$4,"Часы",INDEX(Техника!$G$1:$ABN$500,O$2,0),$A$1061,INDEX(Техника!$H$1:$ABO$500,O$2,0),"Л")</f>
        <v>0</v>
      </c>
      <c r="P1065" s="50">
        <f>SUMIFS(INDEX(Техника!$F$1:$ABM$500,P$2,0),Техника!$F$4:$ABM$4,"Часы",INDEX(Техника!$G$1:$ABN$500,P$2,0),$A$1061,INDEX(Техника!$H$1:$ABO$500,P$2,0),"Л")</f>
        <v>0</v>
      </c>
      <c r="Q1065" s="50">
        <f>SUMIFS(INDEX(Техника!$F$1:$ABM$500,Q$2,0),Техника!$F$4:$ABM$4,"Часы",INDEX(Техника!$G$1:$ABN$500,Q$2,0),$A$1061,INDEX(Техника!$H$1:$ABO$500,Q$2,0),"Л")</f>
        <v>0</v>
      </c>
      <c r="R1065" s="50">
        <f>SUMIFS(INDEX(Техника!$F$1:$ABM$500,R$2,0),Техника!$F$4:$ABM$4,"Часы",INDEX(Техника!$G$1:$ABN$500,R$2,0),$A$1061,INDEX(Техника!$H$1:$ABO$500,R$2,0),"Л")</f>
        <v>0</v>
      </c>
      <c r="S1065" s="50">
        <f>SUMIFS(INDEX(Техника!$F$1:$ABM$500,S$2,0),Техника!$F$4:$ABM$4,"Часы",INDEX(Техника!$G$1:$ABN$500,S$2,0),$A$1061,INDEX(Техника!$H$1:$ABO$500,S$2,0),"Л")</f>
        <v>0</v>
      </c>
      <c r="T1065" s="50">
        <f>SUMIFS(INDEX(Техника!$F$1:$ABM$500,T$2,0),Техника!$F$4:$ABM$4,"Часы",INDEX(Техника!$G$1:$ABN$500,T$2,0),$A$1061,INDEX(Техника!$H$1:$ABO$500,T$2,0),"Л")</f>
        <v>0</v>
      </c>
      <c r="U1065" s="50">
        <f>SUMIFS(INDEX(Техника!$F$1:$ABM$500,U$2,0),Техника!$F$4:$ABM$4,"Часы",INDEX(Техника!$G$1:$ABN$500,U$2,0),$A$1061,INDEX(Техника!$H$1:$ABO$500,U$2,0),"Л")</f>
        <v>0</v>
      </c>
      <c r="V1065" s="50">
        <f>SUMIFS(INDEX(Техника!$F$1:$ABM$500,V$2,0),Техника!$F$4:$ABM$4,"Часы",INDEX(Техника!$G$1:$ABN$500,V$2,0),$A$1061,INDEX(Техника!$H$1:$ABO$500,V$2,0),"Л")</f>
        <v>0</v>
      </c>
      <c r="W1065" s="50">
        <f>SUMIFS(INDEX(Техника!$F$1:$ABM$500,W$2,0),Техника!$F$4:$ABM$4,"Часы",INDEX(Техника!$G$1:$ABN$500,W$2,0),$A$1061,INDEX(Техника!$H$1:$ABO$500,W$2,0),"Л")</f>
        <v>0</v>
      </c>
      <c r="X1065" s="50">
        <f>SUMIFS(INDEX(Техника!$F$1:$ABM$500,X$2,0),Техника!$F$4:$ABM$4,"Часы",INDEX(Техника!$G$1:$ABN$500,X$2,0),$A$1061,INDEX(Техника!$H$1:$ABO$500,X$2,0),"Л")</f>
        <v>0</v>
      </c>
      <c r="Y1065" s="50">
        <f>SUMIFS(INDEX(Техника!$F$1:$ABM$500,Y$2,0),Техника!$F$4:$ABM$4,"Часы",INDEX(Техника!$G$1:$ABN$500,Y$2,0),$A$1061,INDEX(Техника!$H$1:$ABO$500,Y$2,0),"Л")</f>
        <v>0</v>
      </c>
      <c r="Z1065" s="50">
        <f>SUMIFS(INDEX(Техника!$F$1:$ABM$500,Z$2,0),Техника!$F$4:$ABM$4,"Часы",INDEX(Техника!$G$1:$ABN$500,Z$2,0),$A$1061,INDEX(Техника!$H$1:$ABO$500,Z$2,0),"Л")</f>
        <v>0</v>
      </c>
      <c r="AA1065" s="50">
        <f>SUMIFS(INDEX(Техника!$F$1:$ABM$500,AA$2,0),Техника!$F$4:$ABM$4,"Часы",INDEX(Техника!$G$1:$ABN$500,AA$2,0),$A$1061,INDEX(Техника!$H$1:$ABO$500,AA$2,0),"Л")</f>
        <v>0</v>
      </c>
      <c r="AB1065" s="50">
        <f>SUMIFS(INDEX(Техника!$F$1:$ABM$500,AB$2,0),Техника!$F$4:$ABM$4,"Часы",INDEX(Техника!$G$1:$ABN$500,AB$2,0),$A$1061,INDEX(Техника!$H$1:$ABO$500,AB$2,0),"Л")</f>
        <v>0</v>
      </c>
    </row>
    <row r="1066" spans="1:28" hidden="1" outlineLevel="1" x14ac:dyDescent="0.3">
      <c r="A1066" s="33" t="s">
        <v>245</v>
      </c>
      <c r="B1066" s="34" t="s">
        <v>279</v>
      </c>
      <c r="C1066" s="50">
        <f>SUMIFS(INDEX(Техника!$F$1:$ABM$500,C$2,0),Техника!$F$4:$ABM$4,"Часы",INDEX(Техника!$G$1:$ABN$500,C$2,0),$A$1061,INDEX(Техника!$H$1:$ABO$500,C$2,0),"З")</f>
        <v>0</v>
      </c>
      <c r="D1066" s="50">
        <f>SUMIFS(INDEX(Техника!$F$1:$ABM$500,D$2,0),Техника!$F$4:$ABM$4,"Часы",INDEX(Техника!$G$1:$ABN$500,D$2,0),$A$1061,INDEX(Техника!$H$1:$ABO$500,D$2,0),"З")</f>
        <v>0</v>
      </c>
      <c r="E1066" s="50">
        <f>SUMIFS(INDEX(Техника!$F$1:$ABM$500,E$2,0),Техника!$F$4:$ABM$4,"Часы",INDEX(Техника!$G$1:$ABN$500,E$2,0),$A$1061,INDEX(Техника!$H$1:$ABO$500,E$2,0),"З")</f>
        <v>0</v>
      </c>
      <c r="F1066" s="50">
        <f>SUMIFS(INDEX(Техника!$F$1:$ABM$500,F$2,0),Техника!$F$4:$ABM$4,"Часы",INDEX(Техника!$G$1:$ABN$500,F$2,0),$A$1061,INDEX(Техника!$H$1:$ABO$500,F$2,0),"З")</f>
        <v>0</v>
      </c>
      <c r="G1066" s="50">
        <f>SUMIFS(INDEX(Техника!$F$1:$ABM$500,G$2,0),Техника!$F$4:$ABM$4,"Часы",INDEX(Техника!$G$1:$ABN$500,G$2,0),$A$1061,INDEX(Техника!$H$1:$ABO$500,G$2,0),"З")</f>
        <v>0</v>
      </c>
      <c r="H1066" s="50">
        <f>SUMIFS(INDEX(Техника!$F$1:$ABM$500,H$2,0),Техника!$F$4:$ABM$4,"Часы",INDEX(Техника!$G$1:$ABN$500,H$2,0),$A$1061,INDEX(Техника!$H$1:$ABO$500,H$2,0),"З")</f>
        <v>0</v>
      </c>
      <c r="I1066" s="50">
        <f>SUMIFS(INDEX(Техника!$F$1:$ABM$500,I$2,0),Техника!$F$4:$ABM$4,"Часы",INDEX(Техника!$G$1:$ABN$500,I$2,0),$A$1061,INDEX(Техника!$H$1:$ABO$500,I$2,0),"З")</f>
        <v>0</v>
      </c>
      <c r="J1066" s="50">
        <f>SUMIFS(INDEX(Техника!$F$1:$ABM$500,J$2,0),Техника!$F$4:$ABM$4,"Часы",INDEX(Техника!$G$1:$ABN$500,J$2,0),$A$1061,INDEX(Техника!$H$1:$ABO$500,J$2,0),"З")</f>
        <v>0</v>
      </c>
      <c r="K1066" s="50">
        <f>SUMIFS(INDEX(Техника!$F$1:$ABM$500,K$2,0),Техника!$F$4:$ABM$4,"Часы",INDEX(Техника!$G$1:$ABN$500,K$2,0),$A$1061,INDEX(Техника!$H$1:$ABO$500,K$2,0),"З")</f>
        <v>0</v>
      </c>
      <c r="L1066" s="50">
        <f>SUMIFS(INDEX(Техника!$F$1:$ABM$500,L$2,0),Техника!$F$4:$ABM$4,"Часы",INDEX(Техника!$G$1:$ABN$500,L$2,0),$A$1061,INDEX(Техника!$H$1:$ABO$500,L$2,0),"З")</f>
        <v>0</v>
      </c>
      <c r="M1066" s="50">
        <f>SUMIFS(INDEX(Техника!$F$1:$ABM$500,M$2,0),Техника!$F$4:$ABM$4,"Часы",INDEX(Техника!$G$1:$ABN$500,M$2,0),$A$1061,INDEX(Техника!$H$1:$ABO$500,M$2,0),"З")</f>
        <v>0</v>
      </c>
      <c r="N1066" s="50">
        <f>SUMIFS(INDEX(Техника!$F$1:$ABM$500,N$2,0),Техника!$F$4:$ABM$4,"Часы",INDEX(Техника!$G$1:$ABN$500,N$2,0),$A$1061,INDEX(Техника!$H$1:$ABO$500,N$2,0),"З")</f>
        <v>0</v>
      </c>
      <c r="O1066" s="50">
        <f>SUMIFS(INDEX(Техника!$F$1:$ABM$500,O$2,0),Техника!$F$4:$ABM$4,"Часы",INDEX(Техника!$G$1:$ABN$500,O$2,0),$A$1061,INDEX(Техника!$H$1:$ABO$500,O$2,0),"З")</f>
        <v>0</v>
      </c>
      <c r="P1066" s="50">
        <f>SUMIFS(INDEX(Техника!$F$1:$ABM$500,P$2,0),Техника!$F$4:$ABM$4,"Часы",INDEX(Техника!$G$1:$ABN$500,P$2,0),$A$1061,INDEX(Техника!$H$1:$ABO$500,P$2,0),"З")</f>
        <v>0</v>
      </c>
      <c r="Q1066" s="50">
        <f>SUMIFS(INDEX(Техника!$F$1:$ABM$500,Q$2,0),Техника!$F$4:$ABM$4,"Часы",INDEX(Техника!$G$1:$ABN$500,Q$2,0),$A$1061,INDEX(Техника!$H$1:$ABO$500,Q$2,0),"З")</f>
        <v>0</v>
      </c>
      <c r="R1066" s="50">
        <f>SUMIFS(INDEX(Техника!$F$1:$ABM$500,R$2,0),Техника!$F$4:$ABM$4,"Часы",INDEX(Техника!$G$1:$ABN$500,R$2,0),$A$1061,INDEX(Техника!$H$1:$ABO$500,R$2,0),"З")</f>
        <v>0</v>
      </c>
      <c r="S1066" s="50">
        <f>SUMIFS(INDEX(Техника!$F$1:$ABM$500,S$2,0),Техника!$F$4:$ABM$4,"Часы",INDEX(Техника!$G$1:$ABN$500,S$2,0),$A$1061,INDEX(Техника!$H$1:$ABO$500,S$2,0),"З")</f>
        <v>0</v>
      </c>
      <c r="T1066" s="50">
        <f>SUMIFS(INDEX(Техника!$F$1:$ABM$500,T$2,0),Техника!$F$4:$ABM$4,"Часы",INDEX(Техника!$G$1:$ABN$500,T$2,0),$A$1061,INDEX(Техника!$H$1:$ABO$500,T$2,0),"З")</f>
        <v>0</v>
      </c>
      <c r="U1066" s="50">
        <f>SUMIFS(INDEX(Техника!$F$1:$ABM$500,U$2,0),Техника!$F$4:$ABM$4,"Часы",INDEX(Техника!$G$1:$ABN$500,U$2,0),$A$1061,INDEX(Техника!$H$1:$ABO$500,U$2,0),"З")</f>
        <v>0</v>
      </c>
      <c r="V1066" s="50">
        <f>SUMIFS(INDEX(Техника!$F$1:$ABM$500,V$2,0),Техника!$F$4:$ABM$4,"Часы",INDEX(Техника!$G$1:$ABN$500,V$2,0),$A$1061,INDEX(Техника!$H$1:$ABO$500,V$2,0),"З")</f>
        <v>0</v>
      </c>
      <c r="W1066" s="50">
        <f>SUMIFS(INDEX(Техника!$F$1:$ABM$500,W$2,0),Техника!$F$4:$ABM$4,"Часы",INDEX(Техника!$G$1:$ABN$500,W$2,0),$A$1061,INDEX(Техника!$H$1:$ABO$500,W$2,0),"З")</f>
        <v>0</v>
      </c>
      <c r="X1066" s="50">
        <f>SUMIFS(INDEX(Техника!$F$1:$ABM$500,X$2,0),Техника!$F$4:$ABM$4,"Часы",INDEX(Техника!$G$1:$ABN$500,X$2,0),$A$1061,INDEX(Техника!$H$1:$ABO$500,X$2,0),"З")</f>
        <v>0</v>
      </c>
      <c r="Y1066" s="50">
        <f>SUMIFS(INDEX(Техника!$F$1:$ABM$500,Y$2,0),Техника!$F$4:$ABM$4,"Часы",INDEX(Техника!$G$1:$ABN$500,Y$2,0),$A$1061,INDEX(Техника!$H$1:$ABO$500,Y$2,0),"З")</f>
        <v>0</v>
      </c>
      <c r="Z1066" s="50">
        <f>SUMIFS(INDEX(Техника!$F$1:$ABM$500,Z$2,0),Техника!$F$4:$ABM$4,"Часы",INDEX(Техника!$G$1:$ABN$500,Z$2,0),$A$1061,INDEX(Техника!$H$1:$ABO$500,Z$2,0),"З")</f>
        <v>0</v>
      </c>
      <c r="AA1066" s="50">
        <f>SUMIFS(INDEX(Техника!$F$1:$ABM$500,AA$2,0),Техника!$F$4:$ABM$4,"Часы",INDEX(Техника!$G$1:$ABN$500,AA$2,0),$A$1061,INDEX(Техника!$H$1:$ABO$500,AA$2,0),"З")</f>
        <v>0</v>
      </c>
      <c r="AB1066" s="50">
        <f>SUMIFS(INDEX(Техника!$F$1:$ABM$500,AB$2,0),Техника!$F$4:$ABM$4,"Часы",INDEX(Техника!$G$1:$ABN$500,AB$2,0),$A$1061,INDEX(Техника!$H$1:$ABO$500,AB$2,0),"З")</f>
        <v>0</v>
      </c>
    </row>
    <row r="1067" spans="1:28" ht="7.95" customHeight="1" x14ac:dyDescent="0.3">
      <c r="A1067" s="38"/>
      <c r="B1067" s="39"/>
      <c r="C1067" s="51"/>
      <c r="D1067" s="51"/>
      <c r="E1067" s="51"/>
      <c r="F1067" s="51"/>
      <c r="G1067" s="51"/>
      <c r="H1067" s="51"/>
      <c r="I1067" s="51"/>
      <c r="J1067" s="51"/>
      <c r="K1067" s="51"/>
      <c r="L1067" s="51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</row>
    <row r="1068" spans="1:28" ht="25.05" customHeight="1" collapsed="1" x14ac:dyDescent="0.3">
      <c r="A1068" s="32">
        <v>153</v>
      </c>
      <c r="B1068" s="32" t="s">
        <v>154</v>
      </c>
      <c r="C1068" s="49">
        <f>SUM(C1069:C1073)</f>
        <v>0</v>
      </c>
      <c r="D1068" s="49">
        <f>SUM(D1069:D1073)</f>
        <v>0</v>
      </c>
      <c r="E1068" s="49">
        <f>SUM(E1069:E1073)</f>
        <v>0</v>
      </c>
      <c r="F1068" s="49">
        <f>SUM(F1069:F1073)</f>
        <v>0</v>
      </c>
      <c r="G1068" s="49">
        <f>SUM(G1069:G1073)</f>
        <v>0</v>
      </c>
      <c r="H1068" s="49">
        <f>SUM(H1069:H1073)</f>
        <v>0</v>
      </c>
      <c r="I1068" s="49">
        <f>SUM(I1069:I1073)</f>
        <v>0</v>
      </c>
      <c r="J1068" s="49">
        <f>SUM(J1069:J1073)</f>
        <v>0</v>
      </c>
      <c r="K1068" s="49">
        <f>SUM(K1069:K1073)</f>
        <v>0</v>
      </c>
      <c r="L1068" s="49">
        <f>SUM(L1069:L1073)</f>
        <v>0</v>
      </c>
      <c r="M1068" s="49">
        <f>SUM(M1069:M1073)</f>
        <v>0</v>
      </c>
      <c r="N1068" s="49">
        <f>SUM(N1069:N1073)</f>
        <v>0</v>
      </c>
      <c r="O1068" s="49">
        <f>SUM(O1069:O1073)</f>
        <v>0</v>
      </c>
      <c r="P1068" s="49">
        <f>SUM(P1069:P1073)</f>
        <v>0</v>
      </c>
      <c r="Q1068" s="49">
        <f>SUM(Q1069:Q1073)</f>
        <v>0</v>
      </c>
      <c r="R1068" s="49">
        <f>SUM(R1069:R1073)</f>
        <v>0</v>
      </c>
      <c r="S1068" s="49">
        <f>SUM(S1069:S1073)</f>
        <v>0</v>
      </c>
      <c r="T1068" s="49">
        <f>SUM(T1069:T1073)</f>
        <v>0</v>
      </c>
      <c r="U1068" s="49">
        <f>SUM(U1069:U1073)</f>
        <v>0</v>
      </c>
      <c r="V1068" s="49">
        <f>SUM(V1069:V1073)</f>
        <v>0</v>
      </c>
      <c r="W1068" s="49">
        <f>SUM(W1069:W1073)</f>
        <v>0</v>
      </c>
      <c r="X1068" s="49">
        <f>SUM(X1069:X1073)</f>
        <v>0</v>
      </c>
      <c r="Y1068" s="49">
        <f>SUM(Y1069:Y1073)</f>
        <v>0</v>
      </c>
      <c r="Z1068" s="49">
        <f>SUM(Z1069:Z1073)</f>
        <v>0</v>
      </c>
      <c r="AA1068" s="49">
        <f>SUM(AA1069:AA1073)</f>
        <v>0</v>
      </c>
      <c r="AB1068" s="49">
        <f>SUM(AB1069:AB1073)</f>
        <v>0</v>
      </c>
    </row>
    <row r="1069" spans="1:28" hidden="1" outlineLevel="1" x14ac:dyDescent="0.3">
      <c r="A1069" s="33" t="s">
        <v>246</v>
      </c>
      <c r="B1069" s="34" t="s">
        <v>274</v>
      </c>
      <c r="C1069" s="50">
        <f>SUMIFS(INDEX(Техника!$F$1:$ABM$500,C$2,0),Техника!$F$4:$ABM$4,"Часы",INDEX(Техника!$G$1:$ABN$500,C$2,0),$A$1068,INDEX(Техника!$H$1:$ABO$500,C$2,0),"М")</f>
        <v>0</v>
      </c>
      <c r="D1069" s="50">
        <f>SUMIFS(INDEX(Техника!$F$1:$ABM$500,D$2,0),Техника!$F$4:$ABM$4,"Часы",INDEX(Техника!$G$1:$ABN$500,D$2,0),$A$1068,INDEX(Техника!$H$1:$ABO$500,D$2,0),"М")</f>
        <v>0</v>
      </c>
      <c r="E1069" s="50">
        <f>SUMIFS(INDEX(Техника!$F$1:$ABM$500,E$2,0),Техника!$F$4:$ABM$4,"Часы",INDEX(Техника!$G$1:$ABN$500,E$2,0),$A$1068,INDEX(Техника!$H$1:$ABO$500,E$2,0),"М")</f>
        <v>0</v>
      </c>
      <c r="F1069" s="50">
        <f>SUMIFS(INDEX(Техника!$F$1:$ABM$500,F$2,0),Техника!$F$4:$ABM$4,"Часы",INDEX(Техника!$G$1:$ABN$500,F$2,0),$A$1068,INDEX(Техника!$H$1:$ABO$500,F$2,0),"М")</f>
        <v>0</v>
      </c>
      <c r="G1069" s="50">
        <f>SUMIFS(INDEX(Техника!$F$1:$ABM$500,G$2,0),Техника!$F$4:$ABM$4,"Часы",INDEX(Техника!$G$1:$ABN$500,G$2,0),$A$1068,INDEX(Техника!$H$1:$ABO$500,G$2,0),"М")</f>
        <v>0</v>
      </c>
      <c r="H1069" s="50">
        <f>SUMIFS(INDEX(Техника!$F$1:$ABM$500,H$2,0),Техника!$F$4:$ABM$4,"Часы",INDEX(Техника!$G$1:$ABN$500,H$2,0),$A$1068,INDEX(Техника!$H$1:$ABO$500,H$2,0),"М")</f>
        <v>0</v>
      </c>
      <c r="I1069" s="50">
        <f>SUMIFS(INDEX(Техника!$F$1:$ABM$500,I$2,0),Техника!$F$4:$ABM$4,"Часы",INDEX(Техника!$G$1:$ABN$500,I$2,0),$A$1068,INDEX(Техника!$H$1:$ABO$500,I$2,0),"М")</f>
        <v>0</v>
      </c>
      <c r="J1069" s="50">
        <f>SUMIFS(INDEX(Техника!$F$1:$ABM$500,J$2,0),Техника!$F$4:$ABM$4,"Часы",INDEX(Техника!$G$1:$ABN$500,J$2,0),$A$1068,INDEX(Техника!$H$1:$ABO$500,J$2,0),"М")</f>
        <v>0</v>
      </c>
      <c r="K1069" s="50">
        <f>SUMIFS(INDEX(Техника!$F$1:$ABM$500,K$2,0),Техника!$F$4:$ABM$4,"Часы",INDEX(Техника!$G$1:$ABN$500,K$2,0),$A$1068,INDEX(Техника!$H$1:$ABO$500,K$2,0),"М")</f>
        <v>0</v>
      </c>
      <c r="L1069" s="50">
        <f>SUMIFS(INDEX(Техника!$F$1:$ABM$500,L$2,0),Техника!$F$4:$ABM$4,"Часы",INDEX(Техника!$G$1:$ABN$500,L$2,0),$A$1068,INDEX(Техника!$H$1:$ABO$500,L$2,0),"М")</f>
        <v>0</v>
      </c>
      <c r="M1069" s="50">
        <f>SUMIFS(INDEX(Техника!$F$1:$ABM$500,M$2,0),Техника!$F$4:$ABM$4,"Часы",INDEX(Техника!$G$1:$ABN$500,M$2,0),$A$1068,INDEX(Техника!$H$1:$ABO$500,M$2,0),"М")</f>
        <v>0</v>
      </c>
      <c r="N1069" s="50">
        <f>SUMIFS(INDEX(Техника!$F$1:$ABM$500,N$2,0),Техника!$F$4:$ABM$4,"Часы",INDEX(Техника!$G$1:$ABN$500,N$2,0),$A$1068,INDEX(Техника!$H$1:$ABO$500,N$2,0),"М")</f>
        <v>0</v>
      </c>
      <c r="O1069" s="50">
        <f>SUMIFS(INDEX(Техника!$F$1:$ABM$500,O$2,0),Техника!$F$4:$ABM$4,"Часы",INDEX(Техника!$G$1:$ABN$500,O$2,0),$A$1068,INDEX(Техника!$H$1:$ABO$500,O$2,0),"М")</f>
        <v>0</v>
      </c>
      <c r="P1069" s="50">
        <f>SUMIFS(INDEX(Техника!$F$1:$ABM$500,P$2,0),Техника!$F$4:$ABM$4,"Часы",INDEX(Техника!$G$1:$ABN$500,P$2,0),$A$1068,INDEX(Техника!$H$1:$ABO$500,P$2,0),"М")</f>
        <v>0</v>
      </c>
      <c r="Q1069" s="50">
        <f>SUMIFS(INDEX(Техника!$F$1:$ABM$500,Q$2,0),Техника!$F$4:$ABM$4,"Часы",INDEX(Техника!$G$1:$ABN$500,Q$2,0),$A$1068,INDEX(Техника!$H$1:$ABO$500,Q$2,0),"М")</f>
        <v>0</v>
      </c>
      <c r="R1069" s="50">
        <f>SUMIFS(INDEX(Техника!$F$1:$ABM$500,R$2,0),Техника!$F$4:$ABM$4,"Часы",INDEX(Техника!$G$1:$ABN$500,R$2,0),$A$1068,INDEX(Техника!$H$1:$ABO$500,R$2,0),"М")</f>
        <v>0</v>
      </c>
      <c r="S1069" s="50">
        <f>SUMIFS(INDEX(Техника!$F$1:$ABM$500,S$2,0),Техника!$F$4:$ABM$4,"Часы",INDEX(Техника!$G$1:$ABN$500,S$2,0),$A$1068,INDEX(Техника!$H$1:$ABO$500,S$2,0),"М")</f>
        <v>0</v>
      </c>
      <c r="T1069" s="50">
        <f>SUMIFS(INDEX(Техника!$F$1:$ABM$500,T$2,0),Техника!$F$4:$ABM$4,"Часы",INDEX(Техника!$G$1:$ABN$500,T$2,0),$A$1068,INDEX(Техника!$H$1:$ABO$500,T$2,0),"М")</f>
        <v>0</v>
      </c>
      <c r="U1069" s="50">
        <f>SUMIFS(INDEX(Техника!$F$1:$ABM$500,U$2,0),Техника!$F$4:$ABM$4,"Часы",INDEX(Техника!$G$1:$ABN$500,U$2,0),$A$1068,INDEX(Техника!$H$1:$ABO$500,U$2,0),"М")</f>
        <v>0</v>
      </c>
      <c r="V1069" s="50">
        <f>SUMIFS(INDEX(Техника!$F$1:$ABM$500,V$2,0),Техника!$F$4:$ABM$4,"Часы",INDEX(Техника!$G$1:$ABN$500,V$2,0),$A$1068,INDEX(Техника!$H$1:$ABO$500,V$2,0),"М")</f>
        <v>0</v>
      </c>
      <c r="W1069" s="50">
        <f>SUMIFS(INDEX(Техника!$F$1:$ABM$500,W$2,0),Техника!$F$4:$ABM$4,"Часы",INDEX(Техника!$G$1:$ABN$500,W$2,0),$A$1068,INDEX(Техника!$H$1:$ABO$500,W$2,0),"М")</f>
        <v>0</v>
      </c>
      <c r="X1069" s="50">
        <f>SUMIFS(INDEX(Техника!$F$1:$ABM$500,X$2,0),Техника!$F$4:$ABM$4,"Часы",INDEX(Техника!$G$1:$ABN$500,X$2,0),$A$1068,INDEX(Техника!$H$1:$ABO$500,X$2,0),"М")</f>
        <v>0</v>
      </c>
      <c r="Y1069" s="50">
        <f>SUMIFS(INDEX(Техника!$F$1:$ABM$500,Y$2,0),Техника!$F$4:$ABM$4,"Часы",INDEX(Техника!$G$1:$ABN$500,Y$2,0),$A$1068,INDEX(Техника!$H$1:$ABO$500,Y$2,0),"М")</f>
        <v>0</v>
      </c>
      <c r="Z1069" s="50">
        <f>SUMIFS(INDEX(Техника!$F$1:$ABM$500,Z$2,0),Техника!$F$4:$ABM$4,"Часы",INDEX(Техника!$G$1:$ABN$500,Z$2,0),$A$1068,INDEX(Техника!$H$1:$ABO$500,Z$2,0),"М")</f>
        <v>0</v>
      </c>
      <c r="AA1069" s="50">
        <f>SUMIFS(INDEX(Техника!$F$1:$ABM$500,AA$2,0),Техника!$F$4:$ABM$4,"Часы",INDEX(Техника!$G$1:$ABN$500,AA$2,0),$A$1068,INDEX(Техника!$H$1:$ABO$500,AA$2,0),"М")</f>
        <v>0</v>
      </c>
      <c r="AB1069" s="50">
        <f>SUMIFS(INDEX(Техника!$F$1:$ABM$500,AB$2,0),Техника!$F$4:$ABM$4,"Часы",INDEX(Техника!$G$1:$ABN$500,AB$2,0),$A$1068,INDEX(Техника!$H$1:$ABO$500,AB$2,0),"М")</f>
        <v>0</v>
      </c>
    </row>
    <row r="1070" spans="1:28" hidden="1" outlineLevel="1" x14ac:dyDescent="0.3">
      <c r="A1070" s="33" t="s">
        <v>244</v>
      </c>
      <c r="B1070" s="34" t="s">
        <v>275</v>
      </c>
      <c r="C1070" s="50">
        <f>SUMIFS(INDEX(Техника!$F$1:$ABM$500,C$2,0),Техника!$F$4:$ABM$4,"Часы",INDEX(Техника!$G$1:$ABN$500,C$2,0),$A$1068,INDEX(Техника!$H$1:$ABO$500,C$2,0),"Д")</f>
        <v>0</v>
      </c>
      <c r="D1070" s="50">
        <f>SUMIFS(INDEX(Техника!$F$1:$ABM$500,D$2,0),Техника!$F$4:$ABM$4,"Часы",INDEX(Техника!$G$1:$ABN$500,D$2,0),$A$1068,INDEX(Техника!$H$1:$ABO$500,D$2,0),"Д")</f>
        <v>0</v>
      </c>
      <c r="E1070" s="50">
        <f>SUMIFS(INDEX(Техника!$F$1:$ABM$500,E$2,0),Техника!$F$4:$ABM$4,"Часы",INDEX(Техника!$G$1:$ABN$500,E$2,0),$A$1068,INDEX(Техника!$H$1:$ABO$500,E$2,0),"Д")</f>
        <v>0</v>
      </c>
      <c r="F1070" s="50">
        <f>SUMIFS(INDEX(Техника!$F$1:$ABM$500,F$2,0),Техника!$F$4:$ABM$4,"Часы",INDEX(Техника!$G$1:$ABN$500,F$2,0),$A$1068,INDEX(Техника!$H$1:$ABO$500,F$2,0),"Д")</f>
        <v>0</v>
      </c>
      <c r="G1070" s="50">
        <f>SUMIFS(INDEX(Техника!$F$1:$ABM$500,G$2,0),Техника!$F$4:$ABM$4,"Часы",INDEX(Техника!$G$1:$ABN$500,G$2,0),$A$1068,INDEX(Техника!$H$1:$ABO$500,G$2,0),"Д")</f>
        <v>0</v>
      </c>
      <c r="H1070" s="50">
        <f>SUMIFS(INDEX(Техника!$F$1:$ABM$500,H$2,0),Техника!$F$4:$ABM$4,"Часы",INDEX(Техника!$G$1:$ABN$500,H$2,0),$A$1068,INDEX(Техника!$H$1:$ABO$500,H$2,0),"Д")</f>
        <v>0</v>
      </c>
      <c r="I1070" s="50">
        <f>SUMIFS(INDEX(Техника!$F$1:$ABM$500,I$2,0),Техника!$F$4:$ABM$4,"Часы",INDEX(Техника!$G$1:$ABN$500,I$2,0),$A$1068,INDEX(Техника!$H$1:$ABO$500,I$2,0),"Д")</f>
        <v>0</v>
      </c>
      <c r="J1070" s="50">
        <f>SUMIFS(INDEX(Техника!$F$1:$ABM$500,J$2,0),Техника!$F$4:$ABM$4,"Часы",INDEX(Техника!$G$1:$ABN$500,J$2,0),$A$1068,INDEX(Техника!$H$1:$ABO$500,J$2,0),"Д")</f>
        <v>0</v>
      </c>
      <c r="K1070" s="50">
        <f>SUMIFS(INDEX(Техника!$F$1:$ABM$500,K$2,0),Техника!$F$4:$ABM$4,"Часы",INDEX(Техника!$G$1:$ABN$500,K$2,0),$A$1068,INDEX(Техника!$H$1:$ABO$500,K$2,0),"Д")</f>
        <v>0</v>
      </c>
      <c r="L1070" s="50">
        <f>SUMIFS(INDEX(Техника!$F$1:$ABM$500,L$2,0),Техника!$F$4:$ABM$4,"Часы",INDEX(Техника!$G$1:$ABN$500,L$2,0),$A$1068,INDEX(Техника!$H$1:$ABO$500,L$2,0),"Д")</f>
        <v>0</v>
      </c>
      <c r="M1070" s="50">
        <f>SUMIFS(INDEX(Техника!$F$1:$ABM$500,M$2,0),Техника!$F$4:$ABM$4,"Часы",INDEX(Техника!$G$1:$ABN$500,M$2,0),$A$1068,INDEX(Техника!$H$1:$ABO$500,M$2,0),"Д")</f>
        <v>0</v>
      </c>
      <c r="N1070" s="50">
        <f>SUMIFS(INDEX(Техника!$F$1:$ABM$500,N$2,0),Техника!$F$4:$ABM$4,"Часы",INDEX(Техника!$G$1:$ABN$500,N$2,0),$A$1068,INDEX(Техника!$H$1:$ABO$500,N$2,0),"Д")</f>
        <v>0</v>
      </c>
      <c r="O1070" s="50">
        <f>SUMIFS(INDEX(Техника!$F$1:$ABM$500,O$2,0),Техника!$F$4:$ABM$4,"Часы",INDEX(Техника!$G$1:$ABN$500,O$2,0),$A$1068,INDEX(Техника!$H$1:$ABO$500,O$2,0),"Д")</f>
        <v>0</v>
      </c>
      <c r="P1070" s="50">
        <f>SUMIFS(INDEX(Техника!$F$1:$ABM$500,P$2,0),Техника!$F$4:$ABM$4,"Часы",INDEX(Техника!$G$1:$ABN$500,P$2,0),$A$1068,INDEX(Техника!$H$1:$ABO$500,P$2,0),"Д")</f>
        <v>0</v>
      </c>
      <c r="Q1070" s="50">
        <f>SUMIFS(INDEX(Техника!$F$1:$ABM$500,Q$2,0),Техника!$F$4:$ABM$4,"Часы",INDEX(Техника!$G$1:$ABN$500,Q$2,0),$A$1068,INDEX(Техника!$H$1:$ABO$500,Q$2,0),"Д")</f>
        <v>0</v>
      </c>
      <c r="R1070" s="50">
        <f>SUMIFS(INDEX(Техника!$F$1:$ABM$500,R$2,0),Техника!$F$4:$ABM$4,"Часы",INDEX(Техника!$G$1:$ABN$500,R$2,0),$A$1068,INDEX(Техника!$H$1:$ABO$500,R$2,0),"Д")</f>
        <v>0</v>
      </c>
      <c r="S1070" s="50">
        <f>SUMIFS(INDEX(Техника!$F$1:$ABM$500,S$2,0),Техника!$F$4:$ABM$4,"Часы",INDEX(Техника!$G$1:$ABN$500,S$2,0),$A$1068,INDEX(Техника!$H$1:$ABO$500,S$2,0),"Д")</f>
        <v>0</v>
      </c>
      <c r="T1070" s="50">
        <f>SUMIFS(INDEX(Техника!$F$1:$ABM$500,T$2,0),Техника!$F$4:$ABM$4,"Часы",INDEX(Техника!$G$1:$ABN$500,T$2,0),$A$1068,INDEX(Техника!$H$1:$ABO$500,T$2,0),"Д")</f>
        <v>0</v>
      </c>
      <c r="U1070" s="50">
        <f>SUMIFS(INDEX(Техника!$F$1:$ABM$500,U$2,0),Техника!$F$4:$ABM$4,"Часы",INDEX(Техника!$G$1:$ABN$500,U$2,0),$A$1068,INDEX(Техника!$H$1:$ABO$500,U$2,0),"Д")</f>
        <v>0</v>
      </c>
      <c r="V1070" s="50">
        <f>SUMIFS(INDEX(Техника!$F$1:$ABM$500,V$2,0),Техника!$F$4:$ABM$4,"Часы",INDEX(Техника!$G$1:$ABN$500,V$2,0),$A$1068,INDEX(Техника!$H$1:$ABO$500,V$2,0),"Д")</f>
        <v>0</v>
      </c>
      <c r="W1070" s="50">
        <f>SUMIFS(INDEX(Техника!$F$1:$ABM$500,W$2,0),Техника!$F$4:$ABM$4,"Часы",INDEX(Техника!$G$1:$ABN$500,W$2,0),$A$1068,INDEX(Техника!$H$1:$ABO$500,W$2,0),"Д")</f>
        <v>0</v>
      </c>
      <c r="X1070" s="50">
        <f>SUMIFS(INDEX(Техника!$F$1:$ABM$500,X$2,0),Техника!$F$4:$ABM$4,"Часы",INDEX(Техника!$G$1:$ABN$500,X$2,0),$A$1068,INDEX(Техника!$H$1:$ABO$500,X$2,0),"Д")</f>
        <v>0</v>
      </c>
      <c r="Y1070" s="50">
        <f>SUMIFS(INDEX(Техника!$F$1:$ABM$500,Y$2,0),Техника!$F$4:$ABM$4,"Часы",INDEX(Техника!$G$1:$ABN$500,Y$2,0),$A$1068,INDEX(Техника!$H$1:$ABO$500,Y$2,0),"Д")</f>
        <v>0</v>
      </c>
      <c r="Z1070" s="50">
        <f>SUMIFS(INDEX(Техника!$F$1:$ABM$500,Z$2,0),Техника!$F$4:$ABM$4,"Часы",INDEX(Техника!$G$1:$ABN$500,Z$2,0),$A$1068,INDEX(Техника!$H$1:$ABO$500,Z$2,0),"Д")</f>
        <v>0</v>
      </c>
      <c r="AA1070" s="50">
        <f>SUMIFS(INDEX(Техника!$F$1:$ABM$500,AA$2,0),Техника!$F$4:$ABM$4,"Часы",INDEX(Техника!$G$1:$ABN$500,AA$2,0),$A$1068,INDEX(Техника!$H$1:$ABO$500,AA$2,0),"Д")</f>
        <v>0</v>
      </c>
      <c r="AB1070" s="50">
        <f>SUMIFS(INDEX(Техника!$F$1:$ABM$500,AB$2,0),Техника!$F$4:$ABM$4,"Часы",INDEX(Техника!$G$1:$ABN$500,AB$2,0),$A$1068,INDEX(Техника!$H$1:$ABO$500,AB$2,0),"Д")</f>
        <v>0</v>
      </c>
    </row>
    <row r="1071" spans="1:28" hidden="1" outlineLevel="1" x14ac:dyDescent="0.3">
      <c r="A1071" s="33" t="s">
        <v>276</v>
      </c>
      <c r="B1071" s="34" t="s">
        <v>277</v>
      </c>
      <c r="C1071" s="50">
        <f>SUMIFS(INDEX(Техника!$F$1:$ABM$500,C$2,0),Техника!$F$4:$ABM$4,"Часы",INDEX(Техника!$G$1:$ABN$500,C$2,0),$A$1068,INDEX(Техника!$H$1:$ABO$500,C$2,0),"П")</f>
        <v>0</v>
      </c>
      <c r="D1071" s="50">
        <f>SUMIFS(INDEX(Техника!$F$1:$ABM$500,D$2,0),Техника!$F$4:$ABM$4,"Часы",INDEX(Техника!$G$1:$ABN$500,D$2,0),$A$1068,INDEX(Техника!$H$1:$ABO$500,D$2,0),"П")</f>
        <v>0</v>
      </c>
      <c r="E1071" s="50">
        <f>SUMIFS(INDEX(Техника!$F$1:$ABM$500,E$2,0),Техника!$F$4:$ABM$4,"Часы",INDEX(Техника!$G$1:$ABN$500,E$2,0),$A$1068,INDEX(Техника!$H$1:$ABO$500,E$2,0),"П")</f>
        <v>0</v>
      </c>
      <c r="F1071" s="50">
        <f>SUMIFS(INDEX(Техника!$F$1:$ABM$500,F$2,0),Техника!$F$4:$ABM$4,"Часы",INDEX(Техника!$G$1:$ABN$500,F$2,0),$A$1068,INDEX(Техника!$H$1:$ABO$500,F$2,0),"П")</f>
        <v>0</v>
      </c>
      <c r="G1071" s="50">
        <f>SUMIFS(INDEX(Техника!$F$1:$ABM$500,G$2,0),Техника!$F$4:$ABM$4,"Часы",INDEX(Техника!$G$1:$ABN$500,G$2,0),$A$1068,INDEX(Техника!$H$1:$ABO$500,G$2,0),"П")</f>
        <v>0</v>
      </c>
      <c r="H1071" s="50">
        <f>SUMIFS(INDEX(Техника!$F$1:$ABM$500,H$2,0),Техника!$F$4:$ABM$4,"Часы",INDEX(Техника!$G$1:$ABN$500,H$2,0),$A$1068,INDEX(Техника!$H$1:$ABO$500,H$2,0),"П")</f>
        <v>0</v>
      </c>
      <c r="I1071" s="50">
        <f>SUMIFS(INDEX(Техника!$F$1:$ABM$500,I$2,0),Техника!$F$4:$ABM$4,"Часы",INDEX(Техника!$G$1:$ABN$500,I$2,0),$A$1068,INDEX(Техника!$H$1:$ABO$500,I$2,0),"П")</f>
        <v>0</v>
      </c>
      <c r="J1071" s="50">
        <f>SUMIFS(INDEX(Техника!$F$1:$ABM$500,J$2,0),Техника!$F$4:$ABM$4,"Часы",INDEX(Техника!$G$1:$ABN$500,J$2,0),$A$1068,INDEX(Техника!$H$1:$ABO$500,J$2,0),"П")</f>
        <v>0</v>
      </c>
      <c r="K1071" s="50">
        <f>SUMIFS(INDEX(Техника!$F$1:$ABM$500,K$2,0),Техника!$F$4:$ABM$4,"Часы",INDEX(Техника!$G$1:$ABN$500,K$2,0),$A$1068,INDEX(Техника!$H$1:$ABO$500,K$2,0),"П")</f>
        <v>0</v>
      </c>
      <c r="L1071" s="50">
        <f>SUMIFS(INDEX(Техника!$F$1:$ABM$500,L$2,0),Техника!$F$4:$ABM$4,"Часы",INDEX(Техника!$G$1:$ABN$500,L$2,0),$A$1068,INDEX(Техника!$H$1:$ABO$500,L$2,0),"П")</f>
        <v>0</v>
      </c>
      <c r="M1071" s="50">
        <f>SUMIFS(INDEX(Техника!$F$1:$ABM$500,M$2,0),Техника!$F$4:$ABM$4,"Часы",INDEX(Техника!$G$1:$ABN$500,M$2,0),$A$1068,INDEX(Техника!$H$1:$ABO$500,M$2,0),"П")</f>
        <v>0</v>
      </c>
      <c r="N1071" s="50">
        <f>SUMIFS(INDEX(Техника!$F$1:$ABM$500,N$2,0),Техника!$F$4:$ABM$4,"Часы",INDEX(Техника!$G$1:$ABN$500,N$2,0),$A$1068,INDEX(Техника!$H$1:$ABO$500,N$2,0),"П")</f>
        <v>0</v>
      </c>
      <c r="O1071" s="50">
        <f>SUMIFS(INDEX(Техника!$F$1:$ABM$500,O$2,0),Техника!$F$4:$ABM$4,"Часы",INDEX(Техника!$G$1:$ABN$500,O$2,0),$A$1068,INDEX(Техника!$H$1:$ABO$500,O$2,0),"П")</f>
        <v>0</v>
      </c>
      <c r="P1071" s="50">
        <f>SUMIFS(INDEX(Техника!$F$1:$ABM$500,P$2,0),Техника!$F$4:$ABM$4,"Часы",INDEX(Техника!$G$1:$ABN$500,P$2,0),$A$1068,INDEX(Техника!$H$1:$ABO$500,P$2,0),"П")</f>
        <v>0</v>
      </c>
      <c r="Q1071" s="50">
        <f>SUMIFS(INDEX(Техника!$F$1:$ABM$500,Q$2,0),Техника!$F$4:$ABM$4,"Часы",INDEX(Техника!$G$1:$ABN$500,Q$2,0),$A$1068,INDEX(Техника!$H$1:$ABO$500,Q$2,0),"П")</f>
        <v>0</v>
      </c>
      <c r="R1071" s="50">
        <f>SUMIFS(INDEX(Техника!$F$1:$ABM$500,R$2,0),Техника!$F$4:$ABM$4,"Часы",INDEX(Техника!$G$1:$ABN$500,R$2,0),$A$1068,INDEX(Техника!$H$1:$ABO$500,R$2,0),"П")</f>
        <v>0</v>
      </c>
      <c r="S1071" s="50">
        <f>SUMIFS(INDEX(Техника!$F$1:$ABM$500,S$2,0),Техника!$F$4:$ABM$4,"Часы",INDEX(Техника!$G$1:$ABN$500,S$2,0),$A$1068,INDEX(Техника!$H$1:$ABO$500,S$2,0),"П")</f>
        <v>0</v>
      </c>
      <c r="T1071" s="50">
        <f>SUMIFS(INDEX(Техника!$F$1:$ABM$500,T$2,0),Техника!$F$4:$ABM$4,"Часы",INDEX(Техника!$G$1:$ABN$500,T$2,0),$A$1068,INDEX(Техника!$H$1:$ABO$500,T$2,0),"П")</f>
        <v>0</v>
      </c>
      <c r="U1071" s="50">
        <f>SUMIFS(INDEX(Техника!$F$1:$ABM$500,U$2,0),Техника!$F$4:$ABM$4,"Часы",INDEX(Техника!$G$1:$ABN$500,U$2,0),$A$1068,INDEX(Техника!$H$1:$ABO$500,U$2,0),"П")</f>
        <v>0</v>
      </c>
      <c r="V1071" s="50">
        <f>SUMIFS(INDEX(Техника!$F$1:$ABM$500,V$2,0),Техника!$F$4:$ABM$4,"Часы",INDEX(Техника!$G$1:$ABN$500,V$2,0),$A$1068,INDEX(Техника!$H$1:$ABO$500,V$2,0),"П")</f>
        <v>0</v>
      </c>
      <c r="W1071" s="50">
        <f>SUMIFS(INDEX(Техника!$F$1:$ABM$500,W$2,0),Техника!$F$4:$ABM$4,"Часы",INDEX(Техника!$G$1:$ABN$500,W$2,0),$A$1068,INDEX(Техника!$H$1:$ABO$500,W$2,0),"П")</f>
        <v>0</v>
      </c>
      <c r="X1071" s="50">
        <f>SUMIFS(INDEX(Техника!$F$1:$ABM$500,X$2,0),Техника!$F$4:$ABM$4,"Часы",INDEX(Техника!$G$1:$ABN$500,X$2,0),$A$1068,INDEX(Техника!$H$1:$ABO$500,X$2,0),"П")</f>
        <v>0</v>
      </c>
      <c r="Y1071" s="50">
        <f>SUMIFS(INDEX(Техника!$F$1:$ABM$500,Y$2,0),Техника!$F$4:$ABM$4,"Часы",INDEX(Техника!$G$1:$ABN$500,Y$2,0),$A$1068,INDEX(Техника!$H$1:$ABO$500,Y$2,0),"П")</f>
        <v>0</v>
      </c>
      <c r="Z1071" s="50">
        <f>SUMIFS(INDEX(Техника!$F$1:$ABM$500,Z$2,0),Техника!$F$4:$ABM$4,"Часы",INDEX(Техника!$G$1:$ABN$500,Z$2,0),$A$1068,INDEX(Техника!$H$1:$ABO$500,Z$2,0),"П")</f>
        <v>0</v>
      </c>
      <c r="AA1071" s="50">
        <f>SUMIFS(INDEX(Техника!$F$1:$ABM$500,AA$2,0),Техника!$F$4:$ABM$4,"Часы",INDEX(Техника!$G$1:$ABN$500,AA$2,0),$A$1068,INDEX(Техника!$H$1:$ABO$500,AA$2,0),"П")</f>
        <v>0</v>
      </c>
      <c r="AB1071" s="50">
        <f>SUMIFS(INDEX(Техника!$F$1:$ABM$500,AB$2,0),Техника!$F$4:$ABM$4,"Часы",INDEX(Техника!$G$1:$ABN$500,AB$2,0),$A$1068,INDEX(Техника!$H$1:$ABO$500,AB$2,0),"П")</f>
        <v>0</v>
      </c>
    </row>
    <row r="1072" spans="1:28" hidden="1" outlineLevel="1" x14ac:dyDescent="0.3">
      <c r="A1072" s="33" t="s">
        <v>243</v>
      </c>
      <c r="B1072" s="34" t="s">
        <v>278</v>
      </c>
      <c r="C1072" s="50">
        <f>SUMIFS(INDEX(Техника!$F$1:$ABM$500,C$2,0),Техника!$F$4:$ABM$4,"Часы",INDEX(Техника!$G$1:$ABN$500,C$2,0),$A$1068,INDEX(Техника!$H$1:$ABO$500,C$2,0),"Л")</f>
        <v>0</v>
      </c>
      <c r="D1072" s="50">
        <f>SUMIFS(INDEX(Техника!$F$1:$ABM$500,D$2,0),Техника!$F$4:$ABM$4,"Часы",INDEX(Техника!$G$1:$ABN$500,D$2,0),$A$1068,INDEX(Техника!$H$1:$ABO$500,D$2,0),"Л")</f>
        <v>0</v>
      </c>
      <c r="E1072" s="50">
        <f>SUMIFS(INDEX(Техника!$F$1:$ABM$500,E$2,0),Техника!$F$4:$ABM$4,"Часы",INDEX(Техника!$G$1:$ABN$500,E$2,0),$A$1068,INDEX(Техника!$H$1:$ABO$500,E$2,0),"Л")</f>
        <v>0</v>
      </c>
      <c r="F1072" s="50">
        <f>SUMIFS(INDEX(Техника!$F$1:$ABM$500,F$2,0),Техника!$F$4:$ABM$4,"Часы",INDEX(Техника!$G$1:$ABN$500,F$2,0),$A$1068,INDEX(Техника!$H$1:$ABO$500,F$2,0),"Л")</f>
        <v>0</v>
      </c>
      <c r="G1072" s="50">
        <f>SUMIFS(INDEX(Техника!$F$1:$ABM$500,G$2,0),Техника!$F$4:$ABM$4,"Часы",INDEX(Техника!$G$1:$ABN$500,G$2,0),$A$1068,INDEX(Техника!$H$1:$ABO$500,G$2,0),"Л")</f>
        <v>0</v>
      </c>
      <c r="H1072" s="50">
        <f>SUMIFS(INDEX(Техника!$F$1:$ABM$500,H$2,0),Техника!$F$4:$ABM$4,"Часы",INDEX(Техника!$G$1:$ABN$500,H$2,0),$A$1068,INDEX(Техника!$H$1:$ABO$500,H$2,0),"Л")</f>
        <v>0</v>
      </c>
      <c r="I1072" s="50">
        <f>SUMIFS(INDEX(Техника!$F$1:$ABM$500,I$2,0),Техника!$F$4:$ABM$4,"Часы",INDEX(Техника!$G$1:$ABN$500,I$2,0),$A$1068,INDEX(Техника!$H$1:$ABO$500,I$2,0),"Л")</f>
        <v>0</v>
      </c>
      <c r="J1072" s="50">
        <f>SUMIFS(INDEX(Техника!$F$1:$ABM$500,J$2,0),Техника!$F$4:$ABM$4,"Часы",INDEX(Техника!$G$1:$ABN$500,J$2,0),$A$1068,INDEX(Техника!$H$1:$ABO$500,J$2,0),"Л")</f>
        <v>0</v>
      </c>
      <c r="K1072" s="50">
        <f>SUMIFS(INDEX(Техника!$F$1:$ABM$500,K$2,0),Техника!$F$4:$ABM$4,"Часы",INDEX(Техника!$G$1:$ABN$500,K$2,0),$A$1068,INDEX(Техника!$H$1:$ABO$500,K$2,0),"Л")</f>
        <v>0</v>
      </c>
      <c r="L1072" s="50">
        <f>SUMIFS(INDEX(Техника!$F$1:$ABM$500,L$2,0),Техника!$F$4:$ABM$4,"Часы",INDEX(Техника!$G$1:$ABN$500,L$2,0),$A$1068,INDEX(Техника!$H$1:$ABO$500,L$2,0),"Л")</f>
        <v>0</v>
      </c>
      <c r="M1072" s="50">
        <f>SUMIFS(INDEX(Техника!$F$1:$ABM$500,M$2,0),Техника!$F$4:$ABM$4,"Часы",INDEX(Техника!$G$1:$ABN$500,M$2,0),$A$1068,INDEX(Техника!$H$1:$ABO$500,M$2,0),"Л")</f>
        <v>0</v>
      </c>
      <c r="N1072" s="50">
        <f>SUMIFS(INDEX(Техника!$F$1:$ABM$500,N$2,0),Техника!$F$4:$ABM$4,"Часы",INDEX(Техника!$G$1:$ABN$500,N$2,0),$A$1068,INDEX(Техника!$H$1:$ABO$500,N$2,0),"Л")</f>
        <v>0</v>
      </c>
      <c r="O1072" s="50">
        <f>SUMIFS(INDEX(Техника!$F$1:$ABM$500,O$2,0),Техника!$F$4:$ABM$4,"Часы",INDEX(Техника!$G$1:$ABN$500,O$2,0),$A$1068,INDEX(Техника!$H$1:$ABO$500,O$2,0),"Л")</f>
        <v>0</v>
      </c>
      <c r="P1072" s="50">
        <f>SUMIFS(INDEX(Техника!$F$1:$ABM$500,P$2,0),Техника!$F$4:$ABM$4,"Часы",INDEX(Техника!$G$1:$ABN$500,P$2,0),$A$1068,INDEX(Техника!$H$1:$ABO$500,P$2,0),"Л")</f>
        <v>0</v>
      </c>
      <c r="Q1072" s="50">
        <f>SUMIFS(INDEX(Техника!$F$1:$ABM$500,Q$2,0),Техника!$F$4:$ABM$4,"Часы",INDEX(Техника!$G$1:$ABN$500,Q$2,0),$A$1068,INDEX(Техника!$H$1:$ABO$500,Q$2,0),"Л")</f>
        <v>0</v>
      </c>
      <c r="R1072" s="50">
        <f>SUMIFS(INDEX(Техника!$F$1:$ABM$500,R$2,0),Техника!$F$4:$ABM$4,"Часы",INDEX(Техника!$G$1:$ABN$500,R$2,0),$A$1068,INDEX(Техника!$H$1:$ABO$500,R$2,0),"Л")</f>
        <v>0</v>
      </c>
      <c r="S1072" s="50">
        <f>SUMIFS(INDEX(Техника!$F$1:$ABM$500,S$2,0),Техника!$F$4:$ABM$4,"Часы",INDEX(Техника!$G$1:$ABN$500,S$2,0),$A$1068,INDEX(Техника!$H$1:$ABO$500,S$2,0),"Л")</f>
        <v>0</v>
      </c>
      <c r="T1072" s="50">
        <f>SUMIFS(INDEX(Техника!$F$1:$ABM$500,T$2,0),Техника!$F$4:$ABM$4,"Часы",INDEX(Техника!$G$1:$ABN$500,T$2,0),$A$1068,INDEX(Техника!$H$1:$ABO$500,T$2,0),"Л")</f>
        <v>0</v>
      </c>
      <c r="U1072" s="50">
        <f>SUMIFS(INDEX(Техника!$F$1:$ABM$500,U$2,0),Техника!$F$4:$ABM$4,"Часы",INDEX(Техника!$G$1:$ABN$500,U$2,0),$A$1068,INDEX(Техника!$H$1:$ABO$500,U$2,0),"Л")</f>
        <v>0</v>
      </c>
      <c r="V1072" s="50">
        <f>SUMIFS(INDEX(Техника!$F$1:$ABM$500,V$2,0),Техника!$F$4:$ABM$4,"Часы",INDEX(Техника!$G$1:$ABN$500,V$2,0),$A$1068,INDEX(Техника!$H$1:$ABO$500,V$2,0),"Л")</f>
        <v>0</v>
      </c>
      <c r="W1072" s="50">
        <f>SUMIFS(INDEX(Техника!$F$1:$ABM$500,W$2,0),Техника!$F$4:$ABM$4,"Часы",INDEX(Техника!$G$1:$ABN$500,W$2,0),$A$1068,INDEX(Техника!$H$1:$ABO$500,W$2,0),"Л")</f>
        <v>0</v>
      </c>
      <c r="X1072" s="50">
        <f>SUMIFS(INDEX(Техника!$F$1:$ABM$500,X$2,0),Техника!$F$4:$ABM$4,"Часы",INDEX(Техника!$G$1:$ABN$500,X$2,0),$A$1068,INDEX(Техника!$H$1:$ABO$500,X$2,0),"Л")</f>
        <v>0</v>
      </c>
      <c r="Y1072" s="50">
        <f>SUMIFS(INDEX(Техника!$F$1:$ABM$500,Y$2,0),Техника!$F$4:$ABM$4,"Часы",INDEX(Техника!$G$1:$ABN$500,Y$2,0),$A$1068,INDEX(Техника!$H$1:$ABO$500,Y$2,0),"Л")</f>
        <v>0</v>
      </c>
      <c r="Z1072" s="50">
        <f>SUMIFS(INDEX(Техника!$F$1:$ABM$500,Z$2,0),Техника!$F$4:$ABM$4,"Часы",INDEX(Техника!$G$1:$ABN$500,Z$2,0),$A$1068,INDEX(Техника!$H$1:$ABO$500,Z$2,0),"Л")</f>
        <v>0</v>
      </c>
      <c r="AA1072" s="50">
        <f>SUMIFS(INDEX(Техника!$F$1:$ABM$500,AA$2,0),Техника!$F$4:$ABM$4,"Часы",INDEX(Техника!$G$1:$ABN$500,AA$2,0),$A$1068,INDEX(Техника!$H$1:$ABO$500,AA$2,0),"Л")</f>
        <v>0</v>
      </c>
      <c r="AB1072" s="50">
        <f>SUMIFS(INDEX(Техника!$F$1:$ABM$500,AB$2,0),Техника!$F$4:$ABM$4,"Часы",INDEX(Техника!$G$1:$ABN$500,AB$2,0),$A$1068,INDEX(Техника!$H$1:$ABO$500,AB$2,0),"Л")</f>
        <v>0</v>
      </c>
    </row>
    <row r="1073" spans="1:28" hidden="1" outlineLevel="1" x14ac:dyDescent="0.3">
      <c r="A1073" s="33" t="s">
        <v>245</v>
      </c>
      <c r="B1073" s="34" t="s">
        <v>279</v>
      </c>
      <c r="C1073" s="50">
        <f>SUMIFS(INDEX(Техника!$F$1:$ABM$500,C$2,0),Техника!$F$4:$ABM$4,"Часы",INDEX(Техника!$G$1:$ABN$500,C$2,0),$A$1068,INDEX(Техника!$H$1:$ABO$500,C$2,0),"З")</f>
        <v>0</v>
      </c>
      <c r="D1073" s="50">
        <f>SUMIFS(INDEX(Техника!$F$1:$ABM$500,D$2,0),Техника!$F$4:$ABM$4,"Часы",INDEX(Техника!$G$1:$ABN$500,D$2,0),$A$1068,INDEX(Техника!$H$1:$ABO$500,D$2,0),"З")</f>
        <v>0</v>
      </c>
      <c r="E1073" s="50">
        <f>SUMIFS(INDEX(Техника!$F$1:$ABM$500,E$2,0),Техника!$F$4:$ABM$4,"Часы",INDEX(Техника!$G$1:$ABN$500,E$2,0),$A$1068,INDEX(Техника!$H$1:$ABO$500,E$2,0),"З")</f>
        <v>0</v>
      </c>
      <c r="F1073" s="50">
        <f>SUMIFS(INDEX(Техника!$F$1:$ABM$500,F$2,0),Техника!$F$4:$ABM$4,"Часы",INDEX(Техника!$G$1:$ABN$500,F$2,0),$A$1068,INDEX(Техника!$H$1:$ABO$500,F$2,0),"З")</f>
        <v>0</v>
      </c>
      <c r="G1073" s="50">
        <f>SUMIFS(INDEX(Техника!$F$1:$ABM$500,G$2,0),Техника!$F$4:$ABM$4,"Часы",INDEX(Техника!$G$1:$ABN$500,G$2,0),$A$1068,INDEX(Техника!$H$1:$ABO$500,G$2,0),"З")</f>
        <v>0</v>
      </c>
      <c r="H1073" s="50">
        <f>SUMIFS(INDEX(Техника!$F$1:$ABM$500,H$2,0),Техника!$F$4:$ABM$4,"Часы",INDEX(Техника!$G$1:$ABN$500,H$2,0),$A$1068,INDEX(Техника!$H$1:$ABO$500,H$2,0),"З")</f>
        <v>0</v>
      </c>
      <c r="I1073" s="50">
        <f>SUMIFS(INDEX(Техника!$F$1:$ABM$500,I$2,0),Техника!$F$4:$ABM$4,"Часы",INDEX(Техника!$G$1:$ABN$500,I$2,0),$A$1068,INDEX(Техника!$H$1:$ABO$500,I$2,0),"З")</f>
        <v>0</v>
      </c>
      <c r="J1073" s="50">
        <f>SUMIFS(INDEX(Техника!$F$1:$ABM$500,J$2,0),Техника!$F$4:$ABM$4,"Часы",INDEX(Техника!$G$1:$ABN$500,J$2,0),$A$1068,INDEX(Техника!$H$1:$ABO$500,J$2,0),"З")</f>
        <v>0</v>
      </c>
      <c r="K1073" s="50">
        <f>SUMIFS(INDEX(Техника!$F$1:$ABM$500,K$2,0),Техника!$F$4:$ABM$4,"Часы",INDEX(Техника!$G$1:$ABN$500,K$2,0),$A$1068,INDEX(Техника!$H$1:$ABO$500,K$2,0),"З")</f>
        <v>0</v>
      </c>
      <c r="L1073" s="50">
        <f>SUMIFS(INDEX(Техника!$F$1:$ABM$500,L$2,0),Техника!$F$4:$ABM$4,"Часы",INDEX(Техника!$G$1:$ABN$500,L$2,0),$A$1068,INDEX(Техника!$H$1:$ABO$500,L$2,0),"З")</f>
        <v>0</v>
      </c>
      <c r="M1073" s="50">
        <f>SUMIFS(INDEX(Техника!$F$1:$ABM$500,M$2,0),Техника!$F$4:$ABM$4,"Часы",INDEX(Техника!$G$1:$ABN$500,M$2,0),$A$1068,INDEX(Техника!$H$1:$ABO$500,M$2,0),"З")</f>
        <v>0</v>
      </c>
      <c r="N1073" s="50">
        <f>SUMIFS(INDEX(Техника!$F$1:$ABM$500,N$2,0),Техника!$F$4:$ABM$4,"Часы",INDEX(Техника!$G$1:$ABN$500,N$2,0),$A$1068,INDEX(Техника!$H$1:$ABO$500,N$2,0),"З")</f>
        <v>0</v>
      </c>
      <c r="O1073" s="50">
        <f>SUMIFS(INDEX(Техника!$F$1:$ABM$500,O$2,0),Техника!$F$4:$ABM$4,"Часы",INDEX(Техника!$G$1:$ABN$500,O$2,0),$A$1068,INDEX(Техника!$H$1:$ABO$500,O$2,0),"З")</f>
        <v>0</v>
      </c>
      <c r="P1073" s="50">
        <f>SUMIFS(INDEX(Техника!$F$1:$ABM$500,P$2,0),Техника!$F$4:$ABM$4,"Часы",INDEX(Техника!$G$1:$ABN$500,P$2,0),$A$1068,INDEX(Техника!$H$1:$ABO$500,P$2,0),"З")</f>
        <v>0</v>
      </c>
      <c r="Q1073" s="50">
        <f>SUMIFS(INDEX(Техника!$F$1:$ABM$500,Q$2,0),Техника!$F$4:$ABM$4,"Часы",INDEX(Техника!$G$1:$ABN$500,Q$2,0),$A$1068,INDEX(Техника!$H$1:$ABO$500,Q$2,0),"З")</f>
        <v>0</v>
      </c>
      <c r="R1073" s="50">
        <f>SUMIFS(INDEX(Техника!$F$1:$ABM$500,R$2,0),Техника!$F$4:$ABM$4,"Часы",INDEX(Техника!$G$1:$ABN$500,R$2,0),$A$1068,INDEX(Техника!$H$1:$ABO$500,R$2,0),"З")</f>
        <v>0</v>
      </c>
      <c r="S1073" s="50">
        <f>SUMIFS(INDEX(Техника!$F$1:$ABM$500,S$2,0),Техника!$F$4:$ABM$4,"Часы",INDEX(Техника!$G$1:$ABN$500,S$2,0),$A$1068,INDEX(Техника!$H$1:$ABO$500,S$2,0),"З")</f>
        <v>0</v>
      </c>
      <c r="T1073" s="50">
        <f>SUMIFS(INDEX(Техника!$F$1:$ABM$500,T$2,0),Техника!$F$4:$ABM$4,"Часы",INDEX(Техника!$G$1:$ABN$500,T$2,0),$A$1068,INDEX(Техника!$H$1:$ABO$500,T$2,0),"З")</f>
        <v>0</v>
      </c>
      <c r="U1073" s="50">
        <f>SUMIFS(INDEX(Техника!$F$1:$ABM$500,U$2,0),Техника!$F$4:$ABM$4,"Часы",INDEX(Техника!$G$1:$ABN$500,U$2,0),$A$1068,INDEX(Техника!$H$1:$ABO$500,U$2,0),"З")</f>
        <v>0</v>
      </c>
      <c r="V1073" s="50">
        <f>SUMIFS(INDEX(Техника!$F$1:$ABM$500,V$2,0),Техника!$F$4:$ABM$4,"Часы",INDEX(Техника!$G$1:$ABN$500,V$2,0),$A$1068,INDEX(Техника!$H$1:$ABO$500,V$2,0),"З")</f>
        <v>0</v>
      </c>
      <c r="W1073" s="50">
        <f>SUMIFS(INDEX(Техника!$F$1:$ABM$500,W$2,0),Техника!$F$4:$ABM$4,"Часы",INDEX(Техника!$G$1:$ABN$500,W$2,0),$A$1068,INDEX(Техника!$H$1:$ABO$500,W$2,0),"З")</f>
        <v>0</v>
      </c>
      <c r="X1073" s="50">
        <f>SUMIFS(INDEX(Техника!$F$1:$ABM$500,X$2,0),Техника!$F$4:$ABM$4,"Часы",INDEX(Техника!$G$1:$ABN$500,X$2,0),$A$1068,INDEX(Техника!$H$1:$ABO$500,X$2,0),"З")</f>
        <v>0</v>
      </c>
      <c r="Y1073" s="50">
        <f>SUMIFS(INDEX(Техника!$F$1:$ABM$500,Y$2,0),Техника!$F$4:$ABM$4,"Часы",INDEX(Техника!$G$1:$ABN$500,Y$2,0),$A$1068,INDEX(Техника!$H$1:$ABO$500,Y$2,0),"З")</f>
        <v>0</v>
      </c>
      <c r="Z1073" s="50">
        <f>SUMIFS(INDEX(Техника!$F$1:$ABM$500,Z$2,0),Техника!$F$4:$ABM$4,"Часы",INDEX(Техника!$G$1:$ABN$500,Z$2,0),$A$1068,INDEX(Техника!$H$1:$ABO$500,Z$2,0),"З")</f>
        <v>0</v>
      </c>
      <c r="AA1073" s="50">
        <f>SUMIFS(INDEX(Техника!$F$1:$ABM$500,AA$2,0),Техника!$F$4:$ABM$4,"Часы",INDEX(Техника!$G$1:$ABN$500,AA$2,0),$A$1068,INDEX(Техника!$H$1:$ABO$500,AA$2,0),"З")</f>
        <v>0</v>
      </c>
      <c r="AB1073" s="50">
        <f>SUMIFS(INDEX(Техника!$F$1:$ABM$500,AB$2,0),Техника!$F$4:$ABM$4,"Часы",INDEX(Техника!$G$1:$ABN$500,AB$2,0),$A$1068,INDEX(Техника!$H$1:$ABO$500,AB$2,0),"З")</f>
        <v>0</v>
      </c>
    </row>
    <row r="1074" spans="1:28" ht="7.95" customHeight="1" x14ac:dyDescent="0.3">
      <c r="A1074" s="38"/>
      <c r="B1074" s="39"/>
      <c r="C1074" s="51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</row>
    <row r="1075" spans="1:28" ht="25.05" customHeight="1" collapsed="1" x14ac:dyDescent="0.3">
      <c r="A1075" s="32">
        <v>154</v>
      </c>
      <c r="B1075" s="32" t="s">
        <v>155</v>
      </c>
      <c r="C1075" s="49">
        <f>SUM(C1076:C1080)</f>
        <v>0</v>
      </c>
      <c r="D1075" s="49">
        <f>SUM(D1076:D1080)</f>
        <v>0</v>
      </c>
      <c r="E1075" s="49">
        <f>SUM(E1076:E1080)</f>
        <v>0</v>
      </c>
      <c r="F1075" s="49">
        <f>SUM(F1076:F1080)</f>
        <v>0</v>
      </c>
      <c r="G1075" s="49">
        <f>SUM(G1076:G1080)</f>
        <v>0</v>
      </c>
      <c r="H1075" s="49">
        <f>SUM(H1076:H1080)</f>
        <v>0</v>
      </c>
      <c r="I1075" s="49">
        <f>SUM(I1076:I1080)</f>
        <v>0</v>
      </c>
      <c r="J1075" s="49">
        <f>SUM(J1076:J1080)</f>
        <v>0</v>
      </c>
      <c r="K1075" s="49">
        <f>SUM(K1076:K1080)</f>
        <v>0</v>
      </c>
      <c r="L1075" s="49">
        <f>SUM(L1076:L1080)</f>
        <v>0</v>
      </c>
      <c r="M1075" s="49">
        <f>SUM(M1076:M1080)</f>
        <v>0</v>
      </c>
      <c r="N1075" s="49">
        <f>SUM(N1076:N1080)</f>
        <v>0</v>
      </c>
      <c r="O1075" s="49">
        <f>SUM(O1076:O1080)</f>
        <v>0</v>
      </c>
      <c r="P1075" s="49">
        <f>SUM(P1076:P1080)</f>
        <v>0</v>
      </c>
      <c r="Q1075" s="49">
        <f>SUM(Q1076:Q1080)</f>
        <v>0</v>
      </c>
      <c r="R1075" s="49">
        <f>SUM(R1076:R1080)</f>
        <v>0</v>
      </c>
      <c r="S1075" s="49">
        <f>SUM(S1076:S1080)</f>
        <v>0</v>
      </c>
      <c r="T1075" s="49">
        <f>SUM(T1076:T1080)</f>
        <v>0</v>
      </c>
      <c r="U1075" s="49">
        <f>SUM(U1076:U1080)</f>
        <v>0</v>
      </c>
      <c r="V1075" s="49">
        <f>SUM(V1076:V1080)</f>
        <v>0</v>
      </c>
      <c r="W1075" s="49">
        <f>SUM(W1076:W1080)</f>
        <v>0</v>
      </c>
      <c r="X1075" s="49">
        <f>SUM(X1076:X1080)</f>
        <v>0</v>
      </c>
      <c r="Y1075" s="49">
        <f>SUM(Y1076:Y1080)</f>
        <v>0</v>
      </c>
      <c r="Z1075" s="49">
        <f>SUM(Z1076:Z1080)</f>
        <v>0</v>
      </c>
      <c r="AA1075" s="49">
        <f>SUM(AA1076:AA1080)</f>
        <v>0</v>
      </c>
      <c r="AB1075" s="49">
        <f>SUM(AB1076:AB1080)</f>
        <v>0</v>
      </c>
    </row>
    <row r="1076" spans="1:28" hidden="1" outlineLevel="1" x14ac:dyDescent="0.3">
      <c r="A1076" s="33" t="s">
        <v>246</v>
      </c>
      <c r="B1076" s="34" t="s">
        <v>274</v>
      </c>
      <c r="C1076" s="50">
        <f>SUMIFS(INDEX(Техника!$F$1:$ABM$500,C$2,0),Техника!$F$4:$ABM$4,"Часы",INDEX(Техника!$G$1:$ABN$500,C$2,0),$A$1075,INDEX(Техника!$H$1:$ABO$500,C$2,0),"М")</f>
        <v>0</v>
      </c>
      <c r="D1076" s="50">
        <f>SUMIFS(INDEX(Техника!$F$1:$ABM$500,D$2,0),Техника!$F$4:$ABM$4,"Часы",INDEX(Техника!$G$1:$ABN$500,D$2,0),$A$1075,INDEX(Техника!$H$1:$ABO$500,D$2,0),"М")</f>
        <v>0</v>
      </c>
      <c r="E1076" s="50">
        <f>SUMIFS(INDEX(Техника!$F$1:$ABM$500,E$2,0),Техника!$F$4:$ABM$4,"Часы",INDEX(Техника!$G$1:$ABN$500,E$2,0),$A$1075,INDEX(Техника!$H$1:$ABO$500,E$2,0),"М")</f>
        <v>0</v>
      </c>
      <c r="F1076" s="50">
        <f>SUMIFS(INDEX(Техника!$F$1:$ABM$500,F$2,0),Техника!$F$4:$ABM$4,"Часы",INDEX(Техника!$G$1:$ABN$500,F$2,0),$A$1075,INDEX(Техника!$H$1:$ABO$500,F$2,0),"М")</f>
        <v>0</v>
      </c>
      <c r="G1076" s="50">
        <f>SUMIFS(INDEX(Техника!$F$1:$ABM$500,G$2,0),Техника!$F$4:$ABM$4,"Часы",INDEX(Техника!$G$1:$ABN$500,G$2,0),$A$1075,INDEX(Техника!$H$1:$ABO$500,G$2,0),"М")</f>
        <v>0</v>
      </c>
      <c r="H1076" s="50">
        <f>SUMIFS(INDEX(Техника!$F$1:$ABM$500,H$2,0),Техника!$F$4:$ABM$4,"Часы",INDEX(Техника!$G$1:$ABN$500,H$2,0),$A$1075,INDEX(Техника!$H$1:$ABO$500,H$2,0),"М")</f>
        <v>0</v>
      </c>
      <c r="I1076" s="50">
        <f>SUMIFS(INDEX(Техника!$F$1:$ABM$500,I$2,0),Техника!$F$4:$ABM$4,"Часы",INDEX(Техника!$G$1:$ABN$500,I$2,0),$A$1075,INDEX(Техника!$H$1:$ABO$500,I$2,0),"М")</f>
        <v>0</v>
      </c>
      <c r="J1076" s="50">
        <f>SUMIFS(INDEX(Техника!$F$1:$ABM$500,J$2,0),Техника!$F$4:$ABM$4,"Часы",INDEX(Техника!$G$1:$ABN$500,J$2,0),$A$1075,INDEX(Техника!$H$1:$ABO$500,J$2,0),"М")</f>
        <v>0</v>
      </c>
      <c r="K1076" s="50">
        <f>SUMIFS(INDEX(Техника!$F$1:$ABM$500,K$2,0),Техника!$F$4:$ABM$4,"Часы",INDEX(Техника!$G$1:$ABN$500,K$2,0),$A$1075,INDEX(Техника!$H$1:$ABO$500,K$2,0),"М")</f>
        <v>0</v>
      </c>
      <c r="L1076" s="50">
        <f>SUMIFS(INDEX(Техника!$F$1:$ABM$500,L$2,0),Техника!$F$4:$ABM$4,"Часы",INDEX(Техника!$G$1:$ABN$500,L$2,0),$A$1075,INDEX(Техника!$H$1:$ABO$500,L$2,0),"М")</f>
        <v>0</v>
      </c>
      <c r="M1076" s="50">
        <f>SUMIFS(INDEX(Техника!$F$1:$ABM$500,M$2,0),Техника!$F$4:$ABM$4,"Часы",INDEX(Техника!$G$1:$ABN$500,M$2,0),$A$1075,INDEX(Техника!$H$1:$ABO$500,M$2,0),"М")</f>
        <v>0</v>
      </c>
      <c r="N1076" s="50">
        <f>SUMIFS(INDEX(Техника!$F$1:$ABM$500,N$2,0),Техника!$F$4:$ABM$4,"Часы",INDEX(Техника!$G$1:$ABN$500,N$2,0),$A$1075,INDEX(Техника!$H$1:$ABO$500,N$2,0),"М")</f>
        <v>0</v>
      </c>
      <c r="O1076" s="50">
        <f>SUMIFS(INDEX(Техника!$F$1:$ABM$500,O$2,0),Техника!$F$4:$ABM$4,"Часы",INDEX(Техника!$G$1:$ABN$500,O$2,0),$A$1075,INDEX(Техника!$H$1:$ABO$500,O$2,0),"М")</f>
        <v>0</v>
      </c>
      <c r="P1076" s="50">
        <f>SUMIFS(INDEX(Техника!$F$1:$ABM$500,P$2,0),Техника!$F$4:$ABM$4,"Часы",INDEX(Техника!$G$1:$ABN$500,P$2,0),$A$1075,INDEX(Техника!$H$1:$ABO$500,P$2,0),"М")</f>
        <v>0</v>
      </c>
      <c r="Q1076" s="50">
        <f>SUMIFS(INDEX(Техника!$F$1:$ABM$500,Q$2,0),Техника!$F$4:$ABM$4,"Часы",INDEX(Техника!$G$1:$ABN$500,Q$2,0),$A$1075,INDEX(Техника!$H$1:$ABO$500,Q$2,0),"М")</f>
        <v>0</v>
      </c>
      <c r="R1076" s="50">
        <f>SUMIFS(INDEX(Техника!$F$1:$ABM$500,R$2,0),Техника!$F$4:$ABM$4,"Часы",INDEX(Техника!$G$1:$ABN$500,R$2,0),$A$1075,INDEX(Техника!$H$1:$ABO$500,R$2,0),"М")</f>
        <v>0</v>
      </c>
      <c r="S1076" s="50">
        <f>SUMIFS(INDEX(Техника!$F$1:$ABM$500,S$2,0),Техника!$F$4:$ABM$4,"Часы",INDEX(Техника!$G$1:$ABN$500,S$2,0),$A$1075,INDEX(Техника!$H$1:$ABO$500,S$2,0),"М")</f>
        <v>0</v>
      </c>
      <c r="T1076" s="50">
        <f>SUMIFS(INDEX(Техника!$F$1:$ABM$500,T$2,0),Техника!$F$4:$ABM$4,"Часы",INDEX(Техника!$G$1:$ABN$500,T$2,0),$A$1075,INDEX(Техника!$H$1:$ABO$500,T$2,0),"М")</f>
        <v>0</v>
      </c>
      <c r="U1076" s="50">
        <f>SUMIFS(INDEX(Техника!$F$1:$ABM$500,U$2,0),Техника!$F$4:$ABM$4,"Часы",INDEX(Техника!$G$1:$ABN$500,U$2,0),$A$1075,INDEX(Техника!$H$1:$ABO$500,U$2,0),"М")</f>
        <v>0</v>
      </c>
      <c r="V1076" s="50">
        <f>SUMIFS(INDEX(Техника!$F$1:$ABM$500,V$2,0),Техника!$F$4:$ABM$4,"Часы",INDEX(Техника!$G$1:$ABN$500,V$2,0),$A$1075,INDEX(Техника!$H$1:$ABO$500,V$2,0),"М")</f>
        <v>0</v>
      </c>
      <c r="W1076" s="50">
        <f>SUMIFS(INDEX(Техника!$F$1:$ABM$500,W$2,0),Техника!$F$4:$ABM$4,"Часы",INDEX(Техника!$G$1:$ABN$500,W$2,0),$A$1075,INDEX(Техника!$H$1:$ABO$500,W$2,0),"М")</f>
        <v>0</v>
      </c>
      <c r="X1076" s="50">
        <f>SUMIFS(INDEX(Техника!$F$1:$ABM$500,X$2,0),Техника!$F$4:$ABM$4,"Часы",INDEX(Техника!$G$1:$ABN$500,X$2,0),$A$1075,INDEX(Техника!$H$1:$ABO$500,X$2,0),"М")</f>
        <v>0</v>
      </c>
      <c r="Y1076" s="50">
        <f>SUMIFS(INDEX(Техника!$F$1:$ABM$500,Y$2,0),Техника!$F$4:$ABM$4,"Часы",INDEX(Техника!$G$1:$ABN$500,Y$2,0),$A$1075,INDEX(Техника!$H$1:$ABO$500,Y$2,0),"М")</f>
        <v>0</v>
      </c>
      <c r="Z1076" s="50">
        <f>SUMIFS(INDEX(Техника!$F$1:$ABM$500,Z$2,0),Техника!$F$4:$ABM$4,"Часы",INDEX(Техника!$G$1:$ABN$500,Z$2,0),$A$1075,INDEX(Техника!$H$1:$ABO$500,Z$2,0),"М")</f>
        <v>0</v>
      </c>
      <c r="AA1076" s="50">
        <f>SUMIFS(INDEX(Техника!$F$1:$ABM$500,AA$2,0),Техника!$F$4:$ABM$4,"Часы",INDEX(Техника!$G$1:$ABN$500,AA$2,0),$A$1075,INDEX(Техника!$H$1:$ABO$500,AA$2,0),"М")</f>
        <v>0</v>
      </c>
      <c r="AB1076" s="50">
        <f>SUMIFS(INDEX(Техника!$F$1:$ABM$500,AB$2,0),Техника!$F$4:$ABM$4,"Часы",INDEX(Техника!$G$1:$ABN$500,AB$2,0),$A$1075,INDEX(Техника!$H$1:$ABO$500,AB$2,0),"М")</f>
        <v>0</v>
      </c>
    </row>
    <row r="1077" spans="1:28" hidden="1" outlineLevel="1" x14ac:dyDescent="0.3">
      <c r="A1077" s="33" t="s">
        <v>244</v>
      </c>
      <c r="B1077" s="34" t="s">
        <v>275</v>
      </c>
      <c r="C1077" s="50">
        <f>SUMIFS(INDEX(Техника!$F$1:$ABM$500,C$2,0),Техника!$F$4:$ABM$4,"Часы",INDEX(Техника!$G$1:$ABN$500,C$2,0),$A$1075,INDEX(Техника!$H$1:$ABO$500,C$2,0),"Д")</f>
        <v>0</v>
      </c>
      <c r="D1077" s="50">
        <f>SUMIFS(INDEX(Техника!$F$1:$ABM$500,D$2,0),Техника!$F$4:$ABM$4,"Часы",INDEX(Техника!$G$1:$ABN$500,D$2,0),$A$1075,INDEX(Техника!$H$1:$ABO$500,D$2,0),"Д")</f>
        <v>0</v>
      </c>
      <c r="E1077" s="50">
        <f>SUMIFS(INDEX(Техника!$F$1:$ABM$500,E$2,0),Техника!$F$4:$ABM$4,"Часы",INDEX(Техника!$G$1:$ABN$500,E$2,0),$A$1075,INDEX(Техника!$H$1:$ABO$500,E$2,0),"Д")</f>
        <v>0</v>
      </c>
      <c r="F1077" s="50">
        <f>SUMIFS(INDEX(Техника!$F$1:$ABM$500,F$2,0),Техника!$F$4:$ABM$4,"Часы",INDEX(Техника!$G$1:$ABN$500,F$2,0),$A$1075,INDEX(Техника!$H$1:$ABO$500,F$2,0),"Д")</f>
        <v>0</v>
      </c>
      <c r="G1077" s="50">
        <f>SUMIFS(INDEX(Техника!$F$1:$ABM$500,G$2,0),Техника!$F$4:$ABM$4,"Часы",INDEX(Техника!$G$1:$ABN$500,G$2,0),$A$1075,INDEX(Техника!$H$1:$ABO$500,G$2,0),"Д")</f>
        <v>0</v>
      </c>
      <c r="H1077" s="50">
        <f>SUMIFS(INDEX(Техника!$F$1:$ABM$500,H$2,0),Техника!$F$4:$ABM$4,"Часы",INDEX(Техника!$G$1:$ABN$500,H$2,0),$A$1075,INDEX(Техника!$H$1:$ABO$500,H$2,0),"Д")</f>
        <v>0</v>
      </c>
      <c r="I1077" s="50">
        <f>SUMIFS(INDEX(Техника!$F$1:$ABM$500,I$2,0),Техника!$F$4:$ABM$4,"Часы",INDEX(Техника!$G$1:$ABN$500,I$2,0),$A$1075,INDEX(Техника!$H$1:$ABO$500,I$2,0),"Д")</f>
        <v>0</v>
      </c>
      <c r="J1077" s="50">
        <f>SUMIFS(INDEX(Техника!$F$1:$ABM$500,J$2,0),Техника!$F$4:$ABM$4,"Часы",INDEX(Техника!$G$1:$ABN$500,J$2,0),$A$1075,INDEX(Техника!$H$1:$ABO$500,J$2,0),"Д")</f>
        <v>0</v>
      </c>
      <c r="K1077" s="50">
        <f>SUMIFS(INDEX(Техника!$F$1:$ABM$500,K$2,0),Техника!$F$4:$ABM$4,"Часы",INDEX(Техника!$G$1:$ABN$500,K$2,0),$A$1075,INDEX(Техника!$H$1:$ABO$500,K$2,0),"Д")</f>
        <v>0</v>
      </c>
      <c r="L1077" s="50">
        <f>SUMIFS(INDEX(Техника!$F$1:$ABM$500,L$2,0),Техника!$F$4:$ABM$4,"Часы",INDEX(Техника!$G$1:$ABN$500,L$2,0),$A$1075,INDEX(Техника!$H$1:$ABO$500,L$2,0),"Д")</f>
        <v>0</v>
      </c>
      <c r="M1077" s="50">
        <f>SUMIFS(INDEX(Техника!$F$1:$ABM$500,M$2,0),Техника!$F$4:$ABM$4,"Часы",INDEX(Техника!$G$1:$ABN$500,M$2,0),$A$1075,INDEX(Техника!$H$1:$ABO$500,M$2,0),"Д")</f>
        <v>0</v>
      </c>
      <c r="N1077" s="50">
        <f>SUMIFS(INDEX(Техника!$F$1:$ABM$500,N$2,0),Техника!$F$4:$ABM$4,"Часы",INDEX(Техника!$G$1:$ABN$500,N$2,0),$A$1075,INDEX(Техника!$H$1:$ABO$500,N$2,0),"Д")</f>
        <v>0</v>
      </c>
      <c r="O1077" s="50">
        <f>SUMIFS(INDEX(Техника!$F$1:$ABM$500,O$2,0),Техника!$F$4:$ABM$4,"Часы",INDEX(Техника!$G$1:$ABN$500,O$2,0),$A$1075,INDEX(Техника!$H$1:$ABO$500,O$2,0),"Д")</f>
        <v>0</v>
      </c>
      <c r="P1077" s="50">
        <f>SUMIFS(INDEX(Техника!$F$1:$ABM$500,P$2,0),Техника!$F$4:$ABM$4,"Часы",INDEX(Техника!$G$1:$ABN$500,P$2,0),$A$1075,INDEX(Техника!$H$1:$ABO$500,P$2,0),"Д")</f>
        <v>0</v>
      </c>
      <c r="Q1077" s="50">
        <f>SUMIFS(INDEX(Техника!$F$1:$ABM$500,Q$2,0),Техника!$F$4:$ABM$4,"Часы",INDEX(Техника!$G$1:$ABN$500,Q$2,0),$A$1075,INDEX(Техника!$H$1:$ABO$500,Q$2,0),"Д")</f>
        <v>0</v>
      </c>
      <c r="R1077" s="50">
        <f>SUMIFS(INDEX(Техника!$F$1:$ABM$500,R$2,0),Техника!$F$4:$ABM$4,"Часы",INDEX(Техника!$G$1:$ABN$500,R$2,0),$A$1075,INDEX(Техника!$H$1:$ABO$500,R$2,0),"Д")</f>
        <v>0</v>
      </c>
      <c r="S1077" s="50">
        <f>SUMIFS(INDEX(Техника!$F$1:$ABM$500,S$2,0),Техника!$F$4:$ABM$4,"Часы",INDEX(Техника!$G$1:$ABN$500,S$2,0),$A$1075,INDEX(Техника!$H$1:$ABO$500,S$2,0),"Д")</f>
        <v>0</v>
      </c>
      <c r="T1077" s="50">
        <f>SUMIFS(INDEX(Техника!$F$1:$ABM$500,T$2,0),Техника!$F$4:$ABM$4,"Часы",INDEX(Техника!$G$1:$ABN$500,T$2,0),$A$1075,INDEX(Техника!$H$1:$ABO$500,T$2,0),"Д")</f>
        <v>0</v>
      </c>
      <c r="U1077" s="50">
        <f>SUMIFS(INDEX(Техника!$F$1:$ABM$500,U$2,0),Техника!$F$4:$ABM$4,"Часы",INDEX(Техника!$G$1:$ABN$500,U$2,0),$A$1075,INDEX(Техника!$H$1:$ABO$500,U$2,0),"Д")</f>
        <v>0</v>
      </c>
      <c r="V1077" s="50">
        <f>SUMIFS(INDEX(Техника!$F$1:$ABM$500,V$2,0),Техника!$F$4:$ABM$4,"Часы",INDEX(Техника!$G$1:$ABN$500,V$2,0),$A$1075,INDEX(Техника!$H$1:$ABO$500,V$2,0),"Д")</f>
        <v>0</v>
      </c>
      <c r="W1077" s="50">
        <f>SUMIFS(INDEX(Техника!$F$1:$ABM$500,W$2,0),Техника!$F$4:$ABM$4,"Часы",INDEX(Техника!$G$1:$ABN$500,W$2,0),$A$1075,INDEX(Техника!$H$1:$ABO$500,W$2,0),"Д")</f>
        <v>0</v>
      </c>
      <c r="X1077" s="50">
        <f>SUMIFS(INDEX(Техника!$F$1:$ABM$500,X$2,0),Техника!$F$4:$ABM$4,"Часы",INDEX(Техника!$G$1:$ABN$500,X$2,0),$A$1075,INDEX(Техника!$H$1:$ABO$500,X$2,0),"Д")</f>
        <v>0</v>
      </c>
      <c r="Y1077" s="50">
        <f>SUMIFS(INDEX(Техника!$F$1:$ABM$500,Y$2,0),Техника!$F$4:$ABM$4,"Часы",INDEX(Техника!$G$1:$ABN$500,Y$2,0),$A$1075,INDEX(Техника!$H$1:$ABO$500,Y$2,0),"Д")</f>
        <v>0</v>
      </c>
      <c r="Z1077" s="50">
        <f>SUMIFS(INDEX(Техника!$F$1:$ABM$500,Z$2,0),Техника!$F$4:$ABM$4,"Часы",INDEX(Техника!$G$1:$ABN$500,Z$2,0),$A$1075,INDEX(Техника!$H$1:$ABO$500,Z$2,0),"Д")</f>
        <v>0</v>
      </c>
      <c r="AA1077" s="50">
        <f>SUMIFS(INDEX(Техника!$F$1:$ABM$500,AA$2,0),Техника!$F$4:$ABM$4,"Часы",INDEX(Техника!$G$1:$ABN$500,AA$2,0),$A$1075,INDEX(Техника!$H$1:$ABO$500,AA$2,0),"Д")</f>
        <v>0</v>
      </c>
      <c r="AB1077" s="50">
        <f>SUMIFS(INDEX(Техника!$F$1:$ABM$500,AB$2,0),Техника!$F$4:$ABM$4,"Часы",INDEX(Техника!$G$1:$ABN$500,AB$2,0),$A$1075,INDEX(Техника!$H$1:$ABO$500,AB$2,0),"Д")</f>
        <v>0</v>
      </c>
    </row>
    <row r="1078" spans="1:28" hidden="1" outlineLevel="1" x14ac:dyDescent="0.3">
      <c r="A1078" s="33" t="s">
        <v>276</v>
      </c>
      <c r="B1078" s="34" t="s">
        <v>277</v>
      </c>
      <c r="C1078" s="50">
        <f>SUMIFS(INDEX(Техника!$F$1:$ABM$500,C$2,0),Техника!$F$4:$ABM$4,"Часы",INDEX(Техника!$G$1:$ABN$500,C$2,0),$A$1075,INDEX(Техника!$H$1:$ABO$500,C$2,0),"П")</f>
        <v>0</v>
      </c>
      <c r="D1078" s="50">
        <f>SUMIFS(INDEX(Техника!$F$1:$ABM$500,D$2,0),Техника!$F$4:$ABM$4,"Часы",INDEX(Техника!$G$1:$ABN$500,D$2,0),$A$1075,INDEX(Техника!$H$1:$ABO$500,D$2,0),"П")</f>
        <v>0</v>
      </c>
      <c r="E1078" s="50">
        <f>SUMIFS(INDEX(Техника!$F$1:$ABM$500,E$2,0),Техника!$F$4:$ABM$4,"Часы",INDEX(Техника!$G$1:$ABN$500,E$2,0),$A$1075,INDEX(Техника!$H$1:$ABO$500,E$2,0),"П")</f>
        <v>0</v>
      </c>
      <c r="F1078" s="50">
        <f>SUMIFS(INDEX(Техника!$F$1:$ABM$500,F$2,0),Техника!$F$4:$ABM$4,"Часы",INDEX(Техника!$G$1:$ABN$500,F$2,0),$A$1075,INDEX(Техника!$H$1:$ABO$500,F$2,0),"П")</f>
        <v>0</v>
      </c>
      <c r="G1078" s="50">
        <f>SUMIFS(INDEX(Техника!$F$1:$ABM$500,G$2,0),Техника!$F$4:$ABM$4,"Часы",INDEX(Техника!$G$1:$ABN$500,G$2,0),$A$1075,INDEX(Техника!$H$1:$ABO$500,G$2,0),"П")</f>
        <v>0</v>
      </c>
      <c r="H1078" s="50">
        <f>SUMIFS(INDEX(Техника!$F$1:$ABM$500,H$2,0),Техника!$F$4:$ABM$4,"Часы",INDEX(Техника!$G$1:$ABN$500,H$2,0),$A$1075,INDEX(Техника!$H$1:$ABO$500,H$2,0),"П")</f>
        <v>0</v>
      </c>
      <c r="I1078" s="50">
        <f>SUMIFS(INDEX(Техника!$F$1:$ABM$500,I$2,0),Техника!$F$4:$ABM$4,"Часы",INDEX(Техника!$G$1:$ABN$500,I$2,0),$A$1075,INDEX(Техника!$H$1:$ABO$500,I$2,0),"П")</f>
        <v>0</v>
      </c>
      <c r="J1078" s="50">
        <f>SUMIFS(INDEX(Техника!$F$1:$ABM$500,J$2,0),Техника!$F$4:$ABM$4,"Часы",INDEX(Техника!$G$1:$ABN$500,J$2,0),$A$1075,INDEX(Техника!$H$1:$ABO$500,J$2,0),"П")</f>
        <v>0</v>
      </c>
      <c r="K1078" s="50">
        <f>SUMIFS(INDEX(Техника!$F$1:$ABM$500,K$2,0),Техника!$F$4:$ABM$4,"Часы",INDEX(Техника!$G$1:$ABN$500,K$2,0),$A$1075,INDEX(Техника!$H$1:$ABO$500,K$2,0),"П")</f>
        <v>0</v>
      </c>
      <c r="L1078" s="50">
        <f>SUMIFS(INDEX(Техника!$F$1:$ABM$500,L$2,0),Техника!$F$4:$ABM$4,"Часы",INDEX(Техника!$G$1:$ABN$500,L$2,0),$A$1075,INDEX(Техника!$H$1:$ABO$500,L$2,0),"П")</f>
        <v>0</v>
      </c>
      <c r="M1078" s="50">
        <f>SUMIFS(INDEX(Техника!$F$1:$ABM$500,M$2,0),Техника!$F$4:$ABM$4,"Часы",INDEX(Техника!$G$1:$ABN$500,M$2,0),$A$1075,INDEX(Техника!$H$1:$ABO$500,M$2,0),"П")</f>
        <v>0</v>
      </c>
      <c r="N1078" s="50">
        <f>SUMIFS(INDEX(Техника!$F$1:$ABM$500,N$2,0),Техника!$F$4:$ABM$4,"Часы",INDEX(Техника!$G$1:$ABN$500,N$2,0),$A$1075,INDEX(Техника!$H$1:$ABO$500,N$2,0),"П")</f>
        <v>0</v>
      </c>
      <c r="O1078" s="50">
        <f>SUMIFS(INDEX(Техника!$F$1:$ABM$500,O$2,0),Техника!$F$4:$ABM$4,"Часы",INDEX(Техника!$G$1:$ABN$500,O$2,0),$A$1075,INDEX(Техника!$H$1:$ABO$500,O$2,0),"П")</f>
        <v>0</v>
      </c>
      <c r="P1078" s="50">
        <f>SUMIFS(INDEX(Техника!$F$1:$ABM$500,P$2,0),Техника!$F$4:$ABM$4,"Часы",INDEX(Техника!$G$1:$ABN$500,P$2,0),$A$1075,INDEX(Техника!$H$1:$ABO$500,P$2,0),"П")</f>
        <v>0</v>
      </c>
      <c r="Q1078" s="50">
        <f>SUMIFS(INDEX(Техника!$F$1:$ABM$500,Q$2,0),Техника!$F$4:$ABM$4,"Часы",INDEX(Техника!$G$1:$ABN$500,Q$2,0),$A$1075,INDEX(Техника!$H$1:$ABO$500,Q$2,0),"П")</f>
        <v>0</v>
      </c>
      <c r="R1078" s="50">
        <f>SUMIFS(INDEX(Техника!$F$1:$ABM$500,R$2,0),Техника!$F$4:$ABM$4,"Часы",INDEX(Техника!$G$1:$ABN$500,R$2,0),$A$1075,INDEX(Техника!$H$1:$ABO$500,R$2,0),"П")</f>
        <v>0</v>
      </c>
      <c r="S1078" s="50">
        <f>SUMIFS(INDEX(Техника!$F$1:$ABM$500,S$2,0),Техника!$F$4:$ABM$4,"Часы",INDEX(Техника!$G$1:$ABN$500,S$2,0),$A$1075,INDEX(Техника!$H$1:$ABO$500,S$2,0),"П")</f>
        <v>0</v>
      </c>
      <c r="T1078" s="50">
        <f>SUMIFS(INDEX(Техника!$F$1:$ABM$500,T$2,0),Техника!$F$4:$ABM$4,"Часы",INDEX(Техника!$G$1:$ABN$500,T$2,0),$A$1075,INDEX(Техника!$H$1:$ABO$500,T$2,0),"П")</f>
        <v>0</v>
      </c>
      <c r="U1078" s="50">
        <f>SUMIFS(INDEX(Техника!$F$1:$ABM$500,U$2,0),Техника!$F$4:$ABM$4,"Часы",INDEX(Техника!$G$1:$ABN$500,U$2,0),$A$1075,INDEX(Техника!$H$1:$ABO$500,U$2,0),"П")</f>
        <v>0</v>
      </c>
      <c r="V1078" s="50">
        <f>SUMIFS(INDEX(Техника!$F$1:$ABM$500,V$2,0),Техника!$F$4:$ABM$4,"Часы",INDEX(Техника!$G$1:$ABN$500,V$2,0),$A$1075,INDEX(Техника!$H$1:$ABO$500,V$2,0),"П")</f>
        <v>0</v>
      </c>
      <c r="W1078" s="50">
        <f>SUMIFS(INDEX(Техника!$F$1:$ABM$500,W$2,0),Техника!$F$4:$ABM$4,"Часы",INDEX(Техника!$G$1:$ABN$500,W$2,0),$A$1075,INDEX(Техника!$H$1:$ABO$500,W$2,0),"П")</f>
        <v>0</v>
      </c>
      <c r="X1078" s="50">
        <f>SUMIFS(INDEX(Техника!$F$1:$ABM$500,X$2,0),Техника!$F$4:$ABM$4,"Часы",INDEX(Техника!$G$1:$ABN$500,X$2,0),$A$1075,INDEX(Техника!$H$1:$ABO$500,X$2,0),"П")</f>
        <v>0</v>
      </c>
      <c r="Y1078" s="50">
        <f>SUMIFS(INDEX(Техника!$F$1:$ABM$500,Y$2,0),Техника!$F$4:$ABM$4,"Часы",INDEX(Техника!$G$1:$ABN$500,Y$2,0),$A$1075,INDEX(Техника!$H$1:$ABO$500,Y$2,0),"П")</f>
        <v>0</v>
      </c>
      <c r="Z1078" s="50">
        <f>SUMIFS(INDEX(Техника!$F$1:$ABM$500,Z$2,0),Техника!$F$4:$ABM$4,"Часы",INDEX(Техника!$G$1:$ABN$500,Z$2,0),$A$1075,INDEX(Техника!$H$1:$ABO$500,Z$2,0),"П")</f>
        <v>0</v>
      </c>
      <c r="AA1078" s="50">
        <f>SUMIFS(INDEX(Техника!$F$1:$ABM$500,AA$2,0),Техника!$F$4:$ABM$4,"Часы",INDEX(Техника!$G$1:$ABN$500,AA$2,0),$A$1075,INDEX(Техника!$H$1:$ABO$500,AA$2,0),"П")</f>
        <v>0</v>
      </c>
      <c r="AB1078" s="50">
        <f>SUMIFS(INDEX(Техника!$F$1:$ABM$500,AB$2,0),Техника!$F$4:$ABM$4,"Часы",INDEX(Техника!$G$1:$ABN$500,AB$2,0),$A$1075,INDEX(Техника!$H$1:$ABO$500,AB$2,0),"П")</f>
        <v>0</v>
      </c>
    </row>
    <row r="1079" spans="1:28" hidden="1" outlineLevel="1" x14ac:dyDescent="0.3">
      <c r="A1079" s="33" t="s">
        <v>243</v>
      </c>
      <c r="B1079" s="34" t="s">
        <v>278</v>
      </c>
      <c r="C1079" s="50">
        <f>SUMIFS(INDEX(Техника!$F$1:$ABM$500,C$2,0),Техника!$F$4:$ABM$4,"Часы",INDEX(Техника!$G$1:$ABN$500,C$2,0),$A$1075,INDEX(Техника!$H$1:$ABO$500,C$2,0),"Л")</f>
        <v>0</v>
      </c>
      <c r="D1079" s="50">
        <f>SUMIFS(INDEX(Техника!$F$1:$ABM$500,D$2,0),Техника!$F$4:$ABM$4,"Часы",INDEX(Техника!$G$1:$ABN$500,D$2,0),$A$1075,INDEX(Техника!$H$1:$ABO$500,D$2,0),"Л")</f>
        <v>0</v>
      </c>
      <c r="E1079" s="50">
        <f>SUMIFS(INDEX(Техника!$F$1:$ABM$500,E$2,0),Техника!$F$4:$ABM$4,"Часы",INDEX(Техника!$G$1:$ABN$500,E$2,0),$A$1075,INDEX(Техника!$H$1:$ABO$500,E$2,0),"Л")</f>
        <v>0</v>
      </c>
      <c r="F1079" s="50">
        <f>SUMIFS(INDEX(Техника!$F$1:$ABM$500,F$2,0),Техника!$F$4:$ABM$4,"Часы",INDEX(Техника!$G$1:$ABN$500,F$2,0),$A$1075,INDEX(Техника!$H$1:$ABO$500,F$2,0),"Л")</f>
        <v>0</v>
      </c>
      <c r="G1079" s="50">
        <f>SUMIFS(INDEX(Техника!$F$1:$ABM$500,G$2,0),Техника!$F$4:$ABM$4,"Часы",INDEX(Техника!$G$1:$ABN$500,G$2,0),$A$1075,INDEX(Техника!$H$1:$ABO$500,G$2,0),"Л")</f>
        <v>0</v>
      </c>
      <c r="H1079" s="50">
        <f>SUMIFS(INDEX(Техника!$F$1:$ABM$500,H$2,0),Техника!$F$4:$ABM$4,"Часы",INDEX(Техника!$G$1:$ABN$500,H$2,0),$A$1075,INDEX(Техника!$H$1:$ABO$500,H$2,0),"Л")</f>
        <v>0</v>
      </c>
      <c r="I1079" s="50">
        <f>SUMIFS(INDEX(Техника!$F$1:$ABM$500,I$2,0),Техника!$F$4:$ABM$4,"Часы",INDEX(Техника!$G$1:$ABN$500,I$2,0),$A$1075,INDEX(Техника!$H$1:$ABO$500,I$2,0),"Л")</f>
        <v>0</v>
      </c>
      <c r="J1079" s="50">
        <f>SUMIFS(INDEX(Техника!$F$1:$ABM$500,J$2,0),Техника!$F$4:$ABM$4,"Часы",INDEX(Техника!$G$1:$ABN$500,J$2,0),$A$1075,INDEX(Техника!$H$1:$ABO$500,J$2,0),"Л")</f>
        <v>0</v>
      </c>
      <c r="K1079" s="50">
        <f>SUMIFS(INDEX(Техника!$F$1:$ABM$500,K$2,0),Техника!$F$4:$ABM$4,"Часы",INDEX(Техника!$G$1:$ABN$500,K$2,0),$A$1075,INDEX(Техника!$H$1:$ABO$500,K$2,0),"Л")</f>
        <v>0</v>
      </c>
      <c r="L1079" s="50">
        <f>SUMIFS(INDEX(Техника!$F$1:$ABM$500,L$2,0),Техника!$F$4:$ABM$4,"Часы",INDEX(Техника!$G$1:$ABN$500,L$2,0),$A$1075,INDEX(Техника!$H$1:$ABO$500,L$2,0),"Л")</f>
        <v>0</v>
      </c>
      <c r="M1079" s="50">
        <f>SUMIFS(INDEX(Техника!$F$1:$ABM$500,M$2,0),Техника!$F$4:$ABM$4,"Часы",INDEX(Техника!$G$1:$ABN$500,M$2,0),$A$1075,INDEX(Техника!$H$1:$ABO$500,M$2,0),"Л")</f>
        <v>0</v>
      </c>
      <c r="N1079" s="50">
        <f>SUMIFS(INDEX(Техника!$F$1:$ABM$500,N$2,0),Техника!$F$4:$ABM$4,"Часы",INDEX(Техника!$G$1:$ABN$500,N$2,0),$A$1075,INDEX(Техника!$H$1:$ABO$500,N$2,0),"Л")</f>
        <v>0</v>
      </c>
      <c r="O1079" s="50">
        <f>SUMIFS(INDEX(Техника!$F$1:$ABM$500,O$2,0),Техника!$F$4:$ABM$4,"Часы",INDEX(Техника!$G$1:$ABN$500,O$2,0),$A$1075,INDEX(Техника!$H$1:$ABO$500,O$2,0),"Л")</f>
        <v>0</v>
      </c>
      <c r="P1079" s="50">
        <f>SUMIFS(INDEX(Техника!$F$1:$ABM$500,P$2,0),Техника!$F$4:$ABM$4,"Часы",INDEX(Техника!$G$1:$ABN$500,P$2,0),$A$1075,INDEX(Техника!$H$1:$ABO$500,P$2,0),"Л")</f>
        <v>0</v>
      </c>
      <c r="Q1079" s="50">
        <f>SUMIFS(INDEX(Техника!$F$1:$ABM$500,Q$2,0),Техника!$F$4:$ABM$4,"Часы",INDEX(Техника!$G$1:$ABN$500,Q$2,0),$A$1075,INDEX(Техника!$H$1:$ABO$500,Q$2,0),"Л")</f>
        <v>0</v>
      </c>
      <c r="R1079" s="50">
        <f>SUMIFS(INDEX(Техника!$F$1:$ABM$500,R$2,0),Техника!$F$4:$ABM$4,"Часы",INDEX(Техника!$G$1:$ABN$500,R$2,0),$A$1075,INDEX(Техника!$H$1:$ABO$500,R$2,0),"Л")</f>
        <v>0</v>
      </c>
      <c r="S1079" s="50">
        <f>SUMIFS(INDEX(Техника!$F$1:$ABM$500,S$2,0),Техника!$F$4:$ABM$4,"Часы",INDEX(Техника!$G$1:$ABN$500,S$2,0),$A$1075,INDEX(Техника!$H$1:$ABO$500,S$2,0),"Л")</f>
        <v>0</v>
      </c>
      <c r="T1079" s="50">
        <f>SUMIFS(INDEX(Техника!$F$1:$ABM$500,T$2,0),Техника!$F$4:$ABM$4,"Часы",INDEX(Техника!$G$1:$ABN$500,T$2,0),$A$1075,INDEX(Техника!$H$1:$ABO$500,T$2,0),"Л")</f>
        <v>0</v>
      </c>
      <c r="U1079" s="50">
        <f>SUMIFS(INDEX(Техника!$F$1:$ABM$500,U$2,0),Техника!$F$4:$ABM$4,"Часы",INDEX(Техника!$G$1:$ABN$500,U$2,0),$A$1075,INDEX(Техника!$H$1:$ABO$500,U$2,0),"Л")</f>
        <v>0</v>
      </c>
      <c r="V1079" s="50">
        <f>SUMIFS(INDEX(Техника!$F$1:$ABM$500,V$2,0),Техника!$F$4:$ABM$4,"Часы",INDEX(Техника!$G$1:$ABN$500,V$2,0),$A$1075,INDEX(Техника!$H$1:$ABO$500,V$2,0),"Л")</f>
        <v>0</v>
      </c>
      <c r="W1079" s="50">
        <f>SUMIFS(INDEX(Техника!$F$1:$ABM$500,W$2,0),Техника!$F$4:$ABM$4,"Часы",INDEX(Техника!$G$1:$ABN$500,W$2,0),$A$1075,INDEX(Техника!$H$1:$ABO$500,W$2,0),"Л")</f>
        <v>0</v>
      </c>
      <c r="X1079" s="50">
        <f>SUMIFS(INDEX(Техника!$F$1:$ABM$500,X$2,0),Техника!$F$4:$ABM$4,"Часы",INDEX(Техника!$G$1:$ABN$500,X$2,0),$A$1075,INDEX(Техника!$H$1:$ABO$500,X$2,0),"Л")</f>
        <v>0</v>
      </c>
      <c r="Y1079" s="50">
        <f>SUMIFS(INDEX(Техника!$F$1:$ABM$500,Y$2,0),Техника!$F$4:$ABM$4,"Часы",INDEX(Техника!$G$1:$ABN$500,Y$2,0),$A$1075,INDEX(Техника!$H$1:$ABO$500,Y$2,0),"Л")</f>
        <v>0</v>
      </c>
      <c r="Z1079" s="50">
        <f>SUMIFS(INDEX(Техника!$F$1:$ABM$500,Z$2,0),Техника!$F$4:$ABM$4,"Часы",INDEX(Техника!$G$1:$ABN$500,Z$2,0),$A$1075,INDEX(Техника!$H$1:$ABO$500,Z$2,0),"Л")</f>
        <v>0</v>
      </c>
      <c r="AA1079" s="50">
        <f>SUMIFS(INDEX(Техника!$F$1:$ABM$500,AA$2,0),Техника!$F$4:$ABM$4,"Часы",INDEX(Техника!$G$1:$ABN$500,AA$2,0),$A$1075,INDEX(Техника!$H$1:$ABO$500,AA$2,0),"Л")</f>
        <v>0</v>
      </c>
      <c r="AB1079" s="50">
        <f>SUMIFS(INDEX(Техника!$F$1:$ABM$500,AB$2,0),Техника!$F$4:$ABM$4,"Часы",INDEX(Техника!$G$1:$ABN$500,AB$2,0),$A$1075,INDEX(Техника!$H$1:$ABO$500,AB$2,0),"Л")</f>
        <v>0</v>
      </c>
    </row>
    <row r="1080" spans="1:28" hidden="1" outlineLevel="1" x14ac:dyDescent="0.3">
      <c r="A1080" s="33" t="s">
        <v>245</v>
      </c>
      <c r="B1080" s="34" t="s">
        <v>279</v>
      </c>
      <c r="C1080" s="50">
        <f>SUMIFS(INDEX(Техника!$F$1:$ABM$500,C$2,0),Техника!$F$4:$ABM$4,"Часы",INDEX(Техника!$G$1:$ABN$500,C$2,0),$A$1075,INDEX(Техника!$H$1:$ABO$500,C$2,0),"З")</f>
        <v>0</v>
      </c>
      <c r="D1080" s="50">
        <f>SUMIFS(INDEX(Техника!$F$1:$ABM$500,D$2,0),Техника!$F$4:$ABM$4,"Часы",INDEX(Техника!$G$1:$ABN$500,D$2,0),$A$1075,INDEX(Техника!$H$1:$ABO$500,D$2,0),"З")</f>
        <v>0</v>
      </c>
      <c r="E1080" s="50">
        <f>SUMIFS(INDEX(Техника!$F$1:$ABM$500,E$2,0),Техника!$F$4:$ABM$4,"Часы",INDEX(Техника!$G$1:$ABN$500,E$2,0),$A$1075,INDEX(Техника!$H$1:$ABO$500,E$2,0),"З")</f>
        <v>0</v>
      </c>
      <c r="F1080" s="50">
        <f>SUMIFS(INDEX(Техника!$F$1:$ABM$500,F$2,0),Техника!$F$4:$ABM$4,"Часы",INDEX(Техника!$G$1:$ABN$500,F$2,0),$A$1075,INDEX(Техника!$H$1:$ABO$500,F$2,0),"З")</f>
        <v>0</v>
      </c>
      <c r="G1080" s="50">
        <f>SUMIFS(INDEX(Техника!$F$1:$ABM$500,G$2,0),Техника!$F$4:$ABM$4,"Часы",INDEX(Техника!$G$1:$ABN$500,G$2,0),$A$1075,INDEX(Техника!$H$1:$ABO$500,G$2,0),"З")</f>
        <v>0</v>
      </c>
      <c r="H1080" s="50">
        <f>SUMIFS(INDEX(Техника!$F$1:$ABM$500,H$2,0),Техника!$F$4:$ABM$4,"Часы",INDEX(Техника!$G$1:$ABN$500,H$2,0),$A$1075,INDEX(Техника!$H$1:$ABO$500,H$2,0),"З")</f>
        <v>0</v>
      </c>
      <c r="I1080" s="50">
        <f>SUMIFS(INDEX(Техника!$F$1:$ABM$500,I$2,0),Техника!$F$4:$ABM$4,"Часы",INDEX(Техника!$G$1:$ABN$500,I$2,0),$A$1075,INDEX(Техника!$H$1:$ABO$500,I$2,0),"З")</f>
        <v>0</v>
      </c>
      <c r="J1080" s="50">
        <f>SUMIFS(INDEX(Техника!$F$1:$ABM$500,J$2,0),Техника!$F$4:$ABM$4,"Часы",INDEX(Техника!$G$1:$ABN$500,J$2,0),$A$1075,INDEX(Техника!$H$1:$ABO$500,J$2,0),"З")</f>
        <v>0</v>
      </c>
      <c r="K1080" s="50">
        <f>SUMIFS(INDEX(Техника!$F$1:$ABM$500,K$2,0),Техника!$F$4:$ABM$4,"Часы",INDEX(Техника!$G$1:$ABN$500,K$2,0),$A$1075,INDEX(Техника!$H$1:$ABO$500,K$2,0),"З")</f>
        <v>0</v>
      </c>
      <c r="L1080" s="50">
        <f>SUMIFS(INDEX(Техника!$F$1:$ABM$500,L$2,0),Техника!$F$4:$ABM$4,"Часы",INDEX(Техника!$G$1:$ABN$500,L$2,0),$A$1075,INDEX(Техника!$H$1:$ABO$500,L$2,0),"З")</f>
        <v>0</v>
      </c>
      <c r="M1080" s="50">
        <f>SUMIFS(INDEX(Техника!$F$1:$ABM$500,M$2,0),Техника!$F$4:$ABM$4,"Часы",INDEX(Техника!$G$1:$ABN$500,M$2,0),$A$1075,INDEX(Техника!$H$1:$ABO$500,M$2,0),"З")</f>
        <v>0</v>
      </c>
      <c r="N1080" s="50">
        <f>SUMIFS(INDEX(Техника!$F$1:$ABM$500,N$2,0),Техника!$F$4:$ABM$4,"Часы",INDEX(Техника!$G$1:$ABN$500,N$2,0),$A$1075,INDEX(Техника!$H$1:$ABO$500,N$2,0),"З")</f>
        <v>0</v>
      </c>
      <c r="O1080" s="50">
        <f>SUMIFS(INDEX(Техника!$F$1:$ABM$500,O$2,0),Техника!$F$4:$ABM$4,"Часы",INDEX(Техника!$G$1:$ABN$500,O$2,0),$A$1075,INDEX(Техника!$H$1:$ABO$500,O$2,0),"З")</f>
        <v>0</v>
      </c>
      <c r="P1080" s="50">
        <f>SUMIFS(INDEX(Техника!$F$1:$ABM$500,P$2,0),Техника!$F$4:$ABM$4,"Часы",INDEX(Техника!$G$1:$ABN$500,P$2,0),$A$1075,INDEX(Техника!$H$1:$ABO$500,P$2,0),"З")</f>
        <v>0</v>
      </c>
      <c r="Q1080" s="50">
        <f>SUMIFS(INDEX(Техника!$F$1:$ABM$500,Q$2,0),Техника!$F$4:$ABM$4,"Часы",INDEX(Техника!$G$1:$ABN$500,Q$2,0),$A$1075,INDEX(Техника!$H$1:$ABO$500,Q$2,0),"З")</f>
        <v>0</v>
      </c>
      <c r="R1080" s="50">
        <f>SUMIFS(INDEX(Техника!$F$1:$ABM$500,R$2,0),Техника!$F$4:$ABM$4,"Часы",INDEX(Техника!$G$1:$ABN$500,R$2,0),$A$1075,INDEX(Техника!$H$1:$ABO$500,R$2,0),"З")</f>
        <v>0</v>
      </c>
      <c r="S1080" s="50">
        <f>SUMIFS(INDEX(Техника!$F$1:$ABM$500,S$2,0),Техника!$F$4:$ABM$4,"Часы",INDEX(Техника!$G$1:$ABN$500,S$2,0),$A$1075,INDEX(Техника!$H$1:$ABO$500,S$2,0),"З")</f>
        <v>0</v>
      </c>
      <c r="T1080" s="50">
        <f>SUMIFS(INDEX(Техника!$F$1:$ABM$500,T$2,0),Техника!$F$4:$ABM$4,"Часы",INDEX(Техника!$G$1:$ABN$500,T$2,0),$A$1075,INDEX(Техника!$H$1:$ABO$500,T$2,0),"З")</f>
        <v>0</v>
      </c>
      <c r="U1080" s="50">
        <f>SUMIFS(INDEX(Техника!$F$1:$ABM$500,U$2,0),Техника!$F$4:$ABM$4,"Часы",INDEX(Техника!$G$1:$ABN$500,U$2,0),$A$1075,INDEX(Техника!$H$1:$ABO$500,U$2,0),"З")</f>
        <v>0</v>
      </c>
      <c r="V1080" s="50">
        <f>SUMIFS(INDEX(Техника!$F$1:$ABM$500,V$2,0),Техника!$F$4:$ABM$4,"Часы",INDEX(Техника!$G$1:$ABN$500,V$2,0),$A$1075,INDEX(Техника!$H$1:$ABO$500,V$2,0),"З")</f>
        <v>0</v>
      </c>
      <c r="W1080" s="50">
        <f>SUMIFS(INDEX(Техника!$F$1:$ABM$500,W$2,0),Техника!$F$4:$ABM$4,"Часы",INDEX(Техника!$G$1:$ABN$500,W$2,0),$A$1075,INDEX(Техника!$H$1:$ABO$500,W$2,0),"З")</f>
        <v>0</v>
      </c>
      <c r="X1080" s="50">
        <f>SUMIFS(INDEX(Техника!$F$1:$ABM$500,X$2,0),Техника!$F$4:$ABM$4,"Часы",INDEX(Техника!$G$1:$ABN$500,X$2,0),$A$1075,INDEX(Техника!$H$1:$ABO$500,X$2,0),"З")</f>
        <v>0</v>
      </c>
      <c r="Y1080" s="50">
        <f>SUMIFS(INDEX(Техника!$F$1:$ABM$500,Y$2,0),Техника!$F$4:$ABM$4,"Часы",INDEX(Техника!$G$1:$ABN$500,Y$2,0),$A$1075,INDEX(Техника!$H$1:$ABO$500,Y$2,0),"З")</f>
        <v>0</v>
      </c>
      <c r="Z1080" s="50">
        <f>SUMIFS(INDEX(Техника!$F$1:$ABM$500,Z$2,0),Техника!$F$4:$ABM$4,"Часы",INDEX(Техника!$G$1:$ABN$500,Z$2,0),$A$1075,INDEX(Техника!$H$1:$ABO$500,Z$2,0),"З")</f>
        <v>0</v>
      </c>
      <c r="AA1080" s="50">
        <f>SUMIFS(INDEX(Техника!$F$1:$ABM$500,AA$2,0),Техника!$F$4:$ABM$4,"Часы",INDEX(Техника!$G$1:$ABN$500,AA$2,0),$A$1075,INDEX(Техника!$H$1:$ABO$500,AA$2,0),"З")</f>
        <v>0</v>
      </c>
      <c r="AB1080" s="50">
        <f>SUMIFS(INDEX(Техника!$F$1:$ABM$500,AB$2,0),Техника!$F$4:$ABM$4,"Часы",INDEX(Техника!$G$1:$ABN$500,AB$2,0),$A$1075,INDEX(Техника!$H$1:$ABO$500,AB$2,0),"З")</f>
        <v>0</v>
      </c>
    </row>
    <row r="1081" spans="1:28" ht="7.95" customHeight="1" x14ac:dyDescent="0.3">
      <c r="A1081" s="38"/>
      <c r="B1081" s="39"/>
      <c r="C1081" s="51"/>
      <c r="D1081" s="51"/>
      <c r="E1081" s="51"/>
      <c r="F1081" s="51"/>
      <c r="G1081" s="51"/>
      <c r="H1081" s="51"/>
      <c r="I1081" s="51"/>
      <c r="J1081" s="51"/>
      <c r="K1081" s="51"/>
      <c r="L1081" s="51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</row>
    <row r="1082" spans="1:28" ht="25.05" customHeight="1" collapsed="1" x14ac:dyDescent="0.3">
      <c r="A1082" s="32">
        <v>155</v>
      </c>
      <c r="B1082" s="32" t="s">
        <v>156</v>
      </c>
      <c r="C1082" s="49">
        <f>SUM(C1083:C1087)</f>
        <v>0</v>
      </c>
      <c r="D1082" s="49">
        <f>SUM(D1083:D1087)</f>
        <v>0</v>
      </c>
      <c r="E1082" s="49">
        <f>SUM(E1083:E1087)</f>
        <v>0</v>
      </c>
      <c r="F1082" s="49">
        <f>SUM(F1083:F1087)</f>
        <v>0</v>
      </c>
      <c r="G1082" s="49">
        <f>SUM(G1083:G1087)</f>
        <v>0</v>
      </c>
      <c r="H1082" s="49">
        <f>SUM(H1083:H1087)</f>
        <v>0</v>
      </c>
      <c r="I1082" s="49">
        <f>SUM(I1083:I1087)</f>
        <v>0</v>
      </c>
      <c r="J1082" s="49">
        <f>SUM(J1083:J1087)</f>
        <v>0</v>
      </c>
      <c r="K1082" s="49">
        <f>SUM(K1083:K1087)</f>
        <v>0</v>
      </c>
      <c r="L1082" s="49">
        <f>SUM(L1083:L1087)</f>
        <v>0</v>
      </c>
      <c r="M1082" s="49">
        <f>SUM(M1083:M1087)</f>
        <v>0</v>
      </c>
      <c r="N1082" s="49">
        <f>SUM(N1083:N1087)</f>
        <v>0</v>
      </c>
      <c r="O1082" s="49">
        <f>SUM(O1083:O1087)</f>
        <v>0</v>
      </c>
      <c r="P1082" s="49">
        <f>SUM(P1083:P1087)</f>
        <v>0</v>
      </c>
      <c r="Q1082" s="49">
        <f>SUM(Q1083:Q1087)</f>
        <v>0</v>
      </c>
      <c r="R1082" s="49">
        <f>SUM(R1083:R1087)</f>
        <v>0</v>
      </c>
      <c r="S1082" s="49">
        <f>SUM(S1083:S1087)</f>
        <v>0</v>
      </c>
      <c r="T1082" s="49">
        <f>SUM(T1083:T1087)</f>
        <v>0</v>
      </c>
      <c r="U1082" s="49">
        <f>SUM(U1083:U1087)</f>
        <v>0</v>
      </c>
      <c r="V1082" s="49">
        <f>SUM(V1083:V1087)</f>
        <v>0</v>
      </c>
      <c r="W1082" s="49">
        <f>SUM(W1083:W1087)</f>
        <v>0</v>
      </c>
      <c r="X1082" s="49">
        <f>SUM(X1083:X1087)</f>
        <v>0</v>
      </c>
      <c r="Y1082" s="49">
        <f>SUM(Y1083:Y1087)</f>
        <v>0</v>
      </c>
      <c r="Z1082" s="49">
        <f>SUM(Z1083:Z1087)</f>
        <v>0</v>
      </c>
      <c r="AA1082" s="49">
        <f>SUM(AA1083:AA1087)</f>
        <v>0</v>
      </c>
      <c r="AB1082" s="49">
        <f>SUM(AB1083:AB1087)</f>
        <v>0</v>
      </c>
    </row>
    <row r="1083" spans="1:28" hidden="1" outlineLevel="1" x14ac:dyDescent="0.3">
      <c r="A1083" s="33" t="s">
        <v>246</v>
      </c>
      <c r="B1083" s="34" t="s">
        <v>274</v>
      </c>
      <c r="C1083" s="50">
        <f>SUMIFS(INDEX(Техника!$F$1:$ABM$500,C$2,0),Техника!$F$4:$ABM$4,"Часы",INDEX(Техника!$G$1:$ABN$500,C$2,0),$A$1082,INDEX(Техника!$H$1:$ABO$500,C$2,0),"М")</f>
        <v>0</v>
      </c>
      <c r="D1083" s="50">
        <f>SUMIFS(INDEX(Техника!$F$1:$ABM$500,D$2,0),Техника!$F$4:$ABM$4,"Часы",INDEX(Техника!$G$1:$ABN$500,D$2,0),$A$1082,INDEX(Техника!$H$1:$ABO$500,D$2,0),"М")</f>
        <v>0</v>
      </c>
      <c r="E1083" s="50">
        <f>SUMIFS(INDEX(Техника!$F$1:$ABM$500,E$2,0),Техника!$F$4:$ABM$4,"Часы",INDEX(Техника!$G$1:$ABN$500,E$2,0),$A$1082,INDEX(Техника!$H$1:$ABO$500,E$2,0),"М")</f>
        <v>0</v>
      </c>
      <c r="F1083" s="50">
        <f>SUMIFS(INDEX(Техника!$F$1:$ABM$500,F$2,0),Техника!$F$4:$ABM$4,"Часы",INDEX(Техника!$G$1:$ABN$500,F$2,0),$A$1082,INDEX(Техника!$H$1:$ABO$500,F$2,0),"М")</f>
        <v>0</v>
      </c>
      <c r="G1083" s="50">
        <f>SUMIFS(INDEX(Техника!$F$1:$ABM$500,G$2,0),Техника!$F$4:$ABM$4,"Часы",INDEX(Техника!$G$1:$ABN$500,G$2,0),$A$1082,INDEX(Техника!$H$1:$ABO$500,G$2,0),"М")</f>
        <v>0</v>
      </c>
      <c r="H1083" s="50">
        <f>SUMIFS(INDEX(Техника!$F$1:$ABM$500,H$2,0),Техника!$F$4:$ABM$4,"Часы",INDEX(Техника!$G$1:$ABN$500,H$2,0),$A$1082,INDEX(Техника!$H$1:$ABO$500,H$2,0),"М")</f>
        <v>0</v>
      </c>
      <c r="I1083" s="50">
        <f>SUMIFS(INDEX(Техника!$F$1:$ABM$500,I$2,0),Техника!$F$4:$ABM$4,"Часы",INDEX(Техника!$G$1:$ABN$500,I$2,0),$A$1082,INDEX(Техника!$H$1:$ABO$500,I$2,0),"М")</f>
        <v>0</v>
      </c>
      <c r="J1083" s="50">
        <f>SUMIFS(INDEX(Техника!$F$1:$ABM$500,J$2,0),Техника!$F$4:$ABM$4,"Часы",INDEX(Техника!$G$1:$ABN$500,J$2,0),$A$1082,INDEX(Техника!$H$1:$ABO$500,J$2,0),"М")</f>
        <v>0</v>
      </c>
      <c r="K1083" s="50">
        <f>SUMIFS(INDEX(Техника!$F$1:$ABM$500,K$2,0),Техника!$F$4:$ABM$4,"Часы",INDEX(Техника!$G$1:$ABN$500,K$2,0),$A$1082,INDEX(Техника!$H$1:$ABO$500,K$2,0),"М")</f>
        <v>0</v>
      </c>
      <c r="L1083" s="50">
        <f>SUMIFS(INDEX(Техника!$F$1:$ABM$500,L$2,0),Техника!$F$4:$ABM$4,"Часы",INDEX(Техника!$G$1:$ABN$500,L$2,0),$A$1082,INDEX(Техника!$H$1:$ABO$500,L$2,0),"М")</f>
        <v>0</v>
      </c>
      <c r="M1083" s="50">
        <f>SUMIFS(INDEX(Техника!$F$1:$ABM$500,M$2,0),Техника!$F$4:$ABM$4,"Часы",INDEX(Техника!$G$1:$ABN$500,M$2,0),$A$1082,INDEX(Техника!$H$1:$ABO$500,M$2,0),"М")</f>
        <v>0</v>
      </c>
      <c r="N1083" s="50">
        <f>SUMIFS(INDEX(Техника!$F$1:$ABM$500,N$2,0),Техника!$F$4:$ABM$4,"Часы",INDEX(Техника!$G$1:$ABN$500,N$2,0),$A$1082,INDEX(Техника!$H$1:$ABO$500,N$2,0),"М")</f>
        <v>0</v>
      </c>
      <c r="O1083" s="50">
        <f>SUMIFS(INDEX(Техника!$F$1:$ABM$500,O$2,0),Техника!$F$4:$ABM$4,"Часы",INDEX(Техника!$G$1:$ABN$500,O$2,0),$A$1082,INDEX(Техника!$H$1:$ABO$500,O$2,0),"М")</f>
        <v>0</v>
      </c>
      <c r="P1083" s="50">
        <f>SUMIFS(INDEX(Техника!$F$1:$ABM$500,P$2,0),Техника!$F$4:$ABM$4,"Часы",INDEX(Техника!$G$1:$ABN$500,P$2,0),$A$1082,INDEX(Техника!$H$1:$ABO$500,P$2,0),"М")</f>
        <v>0</v>
      </c>
      <c r="Q1083" s="50">
        <f>SUMIFS(INDEX(Техника!$F$1:$ABM$500,Q$2,0),Техника!$F$4:$ABM$4,"Часы",INDEX(Техника!$G$1:$ABN$500,Q$2,0),$A$1082,INDEX(Техника!$H$1:$ABO$500,Q$2,0),"М")</f>
        <v>0</v>
      </c>
      <c r="R1083" s="50">
        <f>SUMIFS(INDEX(Техника!$F$1:$ABM$500,R$2,0),Техника!$F$4:$ABM$4,"Часы",INDEX(Техника!$G$1:$ABN$500,R$2,0),$A$1082,INDEX(Техника!$H$1:$ABO$500,R$2,0),"М")</f>
        <v>0</v>
      </c>
      <c r="S1083" s="50">
        <f>SUMIFS(INDEX(Техника!$F$1:$ABM$500,S$2,0),Техника!$F$4:$ABM$4,"Часы",INDEX(Техника!$G$1:$ABN$500,S$2,0),$A$1082,INDEX(Техника!$H$1:$ABO$500,S$2,0),"М")</f>
        <v>0</v>
      </c>
      <c r="T1083" s="50">
        <f>SUMIFS(INDEX(Техника!$F$1:$ABM$500,T$2,0),Техника!$F$4:$ABM$4,"Часы",INDEX(Техника!$G$1:$ABN$500,T$2,0),$A$1082,INDEX(Техника!$H$1:$ABO$500,T$2,0),"М")</f>
        <v>0</v>
      </c>
      <c r="U1083" s="50">
        <f>SUMIFS(INDEX(Техника!$F$1:$ABM$500,U$2,0),Техника!$F$4:$ABM$4,"Часы",INDEX(Техника!$G$1:$ABN$500,U$2,0),$A$1082,INDEX(Техника!$H$1:$ABO$500,U$2,0),"М")</f>
        <v>0</v>
      </c>
      <c r="V1083" s="50">
        <f>SUMIFS(INDEX(Техника!$F$1:$ABM$500,V$2,0),Техника!$F$4:$ABM$4,"Часы",INDEX(Техника!$G$1:$ABN$500,V$2,0),$A$1082,INDEX(Техника!$H$1:$ABO$500,V$2,0),"М")</f>
        <v>0</v>
      </c>
      <c r="W1083" s="50">
        <f>SUMIFS(INDEX(Техника!$F$1:$ABM$500,W$2,0),Техника!$F$4:$ABM$4,"Часы",INDEX(Техника!$G$1:$ABN$500,W$2,0),$A$1082,INDEX(Техника!$H$1:$ABO$500,W$2,0),"М")</f>
        <v>0</v>
      </c>
      <c r="X1083" s="50">
        <f>SUMIFS(INDEX(Техника!$F$1:$ABM$500,X$2,0),Техника!$F$4:$ABM$4,"Часы",INDEX(Техника!$G$1:$ABN$500,X$2,0),$A$1082,INDEX(Техника!$H$1:$ABO$500,X$2,0),"М")</f>
        <v>0</v>
      </c>
      <c r="Y1083" s="50">
        <f>SUMIFS(INDEX(Техника!$F$1:$ABM$500,Y$2,0),Техника!$F$4:$ABM$4,"Часы",INDEX(Техника!$G$1:$ABN$500,Y$2,0),$A$1082,INDEX(Техника!$H$1:$ABO$500,Y$2,0),"М")</f>
        <v>0</v>
      </c>
      <c r="Z1083" s="50">
        <f>SUMIFS(INDEX(Техника!$F$1:$ABM$500,Z$2,0),Техника!$F$4:$ABM$4,"Часы",INDEX(Техника!$G$1:$ABN$500,Z$2,0),$A$1082,INDEX(Техника!$H$1:$ABO$500,Z$2,0),"М")</f>
        <v>0</v>
      </c>
      <c r="AA1083" s="50">
        <f>SUMIFS(INDEX(Техника!$F$1:$ABM$500,AA$2,0),Техника!$F$4:$ABM$4,"Часы",INDEX(Техника!$G$1:$ABN$500,AA$2,0),$A$1082,INDEX(Техника!$H$1:$ABO$500,AA$2,0),"М")</f>
        <v>0</v>
      </c>
      <c r="AB1083" s="50">
        <f>SUMIFS(INDEX(Техника!$F$1:$ABM$500,AB$2,0),Техника!$F$4:$ABM$4,"Часы",INDEX(Техника!$G$1:$ABN$500,AB$2,0),$A$1082,INDEX(Техника!$H$1:$ABO$500,AB$2,0),"М")</f>
        <v>0</v>
      </c>
    </row>
    <row r="1084" spans="1:28" hidden="1" outlineLevel="1" x14ac:dyDescent="0.3">
      <c r="A1084" s="33" t="s">
        <v>244</v>
      </c>
      <c r="B1084" s="34" t="s">
        <v>275</v>
      </c>
      <c r="C1084" s="50">
        <f>SUMIFS(INDEX(Техника!$F$1:$ABM$500,C$2,0),Техника!$F$4:$ABM$4,"Часы",INDEX(Техника!$G$1:$ABN$500,C$2,0),$A$1082,INDEX(Техника!$H$1:$ABO$500,C$2,0),"Д")</f>
        <v>0</v>
      </c>
      <c r="D1084" s="50">
        <f>SUMIFS(INDEX(Техника!$F$1:$ABM$500,D$2,0),Техника!$F$4:$ABM$4,"Часы",INDEX(Техника!$G$1:$ABN$500,D$2,0),$A$1082,INDEX(Техника!$H$1:$ABO$500,D$2,0),"Д")</f>
        <v>0</v>
      </c>
      <c r="E1084" s="50">
        <f>SUMIFS(INDEX(Техника!$F$1:$ABM$500,E$2,0),Техника!$F$4:$ABM$4,"Часы",INDEX(Техника!$G$1:$ABN$500,E$2,0),$A$1082,INDEX(Техника!$H$1:$ABO$500,E$2,0),"Д")</f>
        <v>0</v>
      </c>
      <c r="F1084" s="50">
        <f>SUMIFS(INDEX(Техника!$F$1:$ABM$500,F$2,0),Техника!$F$4:$ABM$4,"Часы",INDEX(Техника!$G$1:$ABN$500,F$2,0),$A$1082,INDEX(Техника!$H$1:$ABO$500,F$2,0),"Д")</f>
        <v>0</v>
      </c>
      <c r="G1084" s="50">
        <f>SUMIFS(INDEX(Техника!$F$1:$ABM$500,G$2,0),Техника!$F$4:$ABM$4,"Часы",INDEX(Техника!$G$1:$ABN$500,G$2,0),$A$1082,INDEX(Техника!$H$1:$ABO$500,G$2,0),"Д")</f>
        <v>0</v>
      </c>
      <c r="H1084" s="50">
        <f>SUMIFS(INDEX(Техника!$F$1:$ABM$500,H$2,0),Техника!$F$4:$ABM$4,"Часы",INDEX(Техника!$G$1:$ABN$500,H$2,0),$A$1082,INDEX(Техника!$H$1:$ABO$500,H$2,0),"Д")</f>
        <v>0</v>
      </c>
      <c r="I1084" s="50">
        <f>SUMIFS(INDEX(Техника!$F$1:$ABM$500,I$2,0),Техника!$F$4:$ABM$4,"Часы",INDEX(Техника!$G$1:$ABN$500,I$2,0),$A$1082,INDEX(Техника!$H$1:$ABO$500,I$2,0),"Д")</f>
        <v>0</v>
      </c>
      <c r="J1084" s="50">
        <f>SUMIFS(INDEX(Техника!$F$1:$ABM$500,J$2,0),Техника!$F$4:$ABM$4,"Часы",INDEX(Техника!$G$1:$ABN$500,J$2,0),$A$1082,INDEX(Техника!$H$1:$ABO$500,J$2,0),"Д")</f>
        <v>0</v>
      </c>
      <c r="K1084" s="50">
        <f>SUMIFS(INDEX(Техника!$F$1:$ABM$500,K$2,0),Техника!$F$4:$ABM$4,"Часы",INDEX(Техника!$G$1:$ABN$500,K$2,0),$A$1082,INDEX(Техника!$H$1:$ABO$500,K$2,0),"Д")</f>
        <v>0</v>
      </c>
      <c r="L1084" s="50">
        <f>SUMIFS(INDEX(Техника!$F$1:$ABM$500,L$2,0),Техника!$F$4:$ABM$4,"Часы",INDEX(Техника!$G$1:$ABN$500,L$2,0),$A$1082,INDEX(Техника!$H$1:$ABO$500,L$2,0),"Д")</f>
        <v>0</v>
      </c>
      <c r="M1084" s="50">
        <f>SUMIFS(INDEX(Техника!$F$1:$ABM$500,M$2,0),Техника!$F$4:$ABM$4,"Часы",INDEX(Техника!$G$1:$ABN$500,M$2,0),$A$1082,INDEX(Техника!$H$1:$ABO$500,M$2,0),"Д")</f>
        <v>0</v>
      </c>
      <c r="N1084" s="50">
        <f>SUMIFS(INDEX(Техника!$F$1:$ABM$500,N$2,0),Техника!$F$4:$ABM$4,"Часы",INDEX(Техника!$G$1:$ABN$500,N$2,0),$A$1082,INDEX(Техника!$H$1:$ABO$500,N$2,0),"Д")</f>
        <v>0</v>
      </c>
      <c r="O1084" s="50">
        <f>SUMIFS(INDEX(Техника!$F$1:$ABM$500,O$2,0),Техника!$F$4:$ABM$4,"Часы",INDEX(Техника!$G$1:$ABN$500,O$2,0),$A$1082,INDEX(Техника!$H$1:$ABO$500,O$2,0),"Д")</f>
        <v>0</v>
      </c>
      <c r="P1084" s="50">
        <f>SUMIFS(INDEX(Техника!$F$1:$ABM$500,P$2,0),Техника!$F$4:$ABM$4,"Часы",INDEX(Техника!$G$1:$ABN$500,P$2,0),$A$1082,INDEX(Техника!$H$1:$ABO$500,P$2,0),"Д")</f>
        <v>0</v>
      </c>
      <c r="Q1084" s="50">
        <f>SUMIFS(INDEX(Техника!$F$1:$ABM$500,Q$2,0),Техника!$F$4:$ABM$4,"Часы",INDEX(Техника!$G$1:$ABN$500,Q$2,0),$A$1082,INDEX(Техника!$H$1:$ABO$500,Q$2,0),"Д")</f>
        <v>0</v>
      </c>
      <c r="R1084" s="50">
        <f>SUMIFS(INDEX(Техника!$F$1:$ABM$500,R$2,0),Техника!$F$4:$ABM$4,"Часы",INDEX(Техника!$G$1:$ABN$500,R$2,0),$A$1082,INDEX(Техника!$H$1:$ABO$500,R$2,0),"Д")</f>
        <v>0</v>
      </c>
      <c r="S1084" s="50">
        <f>SUMIFS(INDEX(Техника!$F$1:$ABM$500,S$2,0),Техника!$F$4:$ABM$4,"Часы",INDEX(Техника!$G$1:$ABN$500,S$2,0),$A$1082,INDEX(Техника!$H$1:$ABO$500,S$2,0),"Д")</f>
        <v>0</v>
      </c>
      <c r="T1084" s="50">
        <f>SUMIFS(INDEX(Техника!$F$1:$ABM$500,T$2,0),Техника!$F$4:$ABM$4,"Часы",INDEX(Техника!$G$1:$ABN$500,T$2,0),$A$1082,INDEX(Техника!$H$1:$ABO$500,T$2,0),"Д")</f>
        <v>0</v>
      </c>
      <c r="U1084" s="50">
        <f>SUMIFS(INDEX(Техника!$F$1:$ABM$500,U$2,0),Техника!$F$4:$ABM$4,"Часы",INDEX(Техника!$G$1:$ABN$500,U$2,0),$A$1082,INDEX(Техника!$H$1:$ABO$500,U$2,0),"Д")</f>
        <v>0</v>
      </c>
      <c r="V1084" s="50">
        <f>SUMIFS(INDEX(Техника!$F$1:$ABM$500,V$2,0),Техника!$F$4:$ABM$4,"Часы",INDEX(Техника!$G$1:$ABN$500,V$2,0),$A$1082,INDEX(Техника!$H$1:$ABO$500,V$2,0),"Д")</f>
        <v>0</v>
      </c>
      <c r="W1084" s="50">
        <f>SUMIFS(INDEX(Техника!$F$1:$ABM$500,W$2,0),Техника!$F$4:$ABM$4,"Часы",INDEX(Техника!$G$1:$ABN$500,W$2,0),$A$1082,INDEX(Техника!$H$1:$ABO$500,W$2,0),"Д")</f>
        <v>0</v>
      </c>
      <c r="X1084" s="50">
        <f>SUMIFS(INDEX(Техника!$F$1:$ABM$500,X$2,0),Техника!$F$4:$ABM$4,"Часы",INDEX(Техника!$G$1:$ABN$500,X$2,0),$A$1082,INDEX(Техника!$H$1:$ABO$500,X$2,0),"Д")</f>
        <v>0</v>
      </c>
      <c r="Y1084" s="50">
        <f>SUMIFS(INDEX(Техника!$F$1:$ABM$500,Y$2,0),Техника!$F$4:$ABM$4,"Часы",INDEX(Техника!$G$1:$ABN$500,Y$2,0),$A$1082,INDEX(Техника!$H$1:$ABO$500,Y$2,0),"Д")</f>
        <v>0</v>
      </c>
      <c r="Z1084" s="50">
        <f>SUMIFS(INDEX(Техника!$F$1:$ABM$500,Z$2,0),Техника!$F$4:$ABM$4,"Часы",INDEX(Техника!$G$1:$ABN$500,Z$2,0),$A$1082,INDEX(Техника!$H$1:$ABO$500,Z$2,0),"Д")</f>
        <v>0</v>
      </c>
      <c r="AA1084" s="50">
        <f>SUMIFS(INDEX(Техника!$F$1:$ABM$500,AA$2,0),Техника!$F$4:$ABM$4,"Часы",INDEX(Техника!$G$1:$ABN$500,AA$2,0),$A$1082,INDEX(Техника!$H$1:$ABO$500,AA$2,0),"Д")</f>
        <v>0</v>
      </c>
      <c r="AB1084" s="50">
        <f>SUMIFS(INDEX(Техника!$F$1:$ABM$500,AB$2,0),Техника!$F$4:$ABM$4,"Часы",INDEX(Техника!$G$1:$ABN$500,AB$2,0),$A$1082,INDEX(Техника!$H$1:$ABO$500,AB$2,0),"Д")</f>
        <v>0</v>
      </c>
    </row>
    <row r="1085" spans="1:28" hidden="1" outlineLevel="1" x14ac:dyDescent="0.3">
      <c r="A1085" s="33" t="s">
        <v>276</v>
      </c>
      <c r="B1085" s="34" t="s">
        <v>277</v>
      </c>
      <c r="C1085" s="50">
        <f>SUMIFS(INDEX(Техника!$F$1:$ABM$500,C$2,0),Техника!$F$4:$ABM$4,"Часы",INDEX(Техника!$G$1:$ABN$500,C$2,0),$A$1082,INDEX(Техника!$H$1:$ABO$500,C$2,0),"П")</f>
        <v>0</v>
      </c>
      <c r="D1085" s="50">
        <f>SUMIFS(INDEX(Техника!$F$1:$ABM$500,D$2,0),Техника!$F$4:$ABM$4,"Часы",INDEX(Техника!$G$1:$ABN$500,D$2,0),$A$1082,INDEX(Техника!$H$1:$ABO$500,D$2,0),"П")</f>
        <v>0</v>
      </c>
      <c r="E1085" s="50">
        <f>SUMIFS(INDEX(Техника!$F$1:$ABM$500,E$2,0),Техника!$F$4:$ABM$4,"Часы",INDEX(Техника!$G$1:$ABN$500,E$2,0),$A$1082,INDEX(Техника!$H$1:$ABO$500,E$2,0),"П")</f>
        <v>0</v>
      </c>
      <c r="F1085" s="50">
        <f>SUMIFS(INDEX(Техника!$F$1:$ABM$500,F$2,0),Техника!$F$4:$ABM$4,"Часы",INDEX(Техника!$G$1:$ABN$500,F$2,0),$A$1082,INDEX(Техника!$H$1:$ABO$500,F$2,0),"П")</f>
        <v>0</v>
      </c>
      <c r="G1085" s="50">
        <f>SUMIFS(INDEX(Техника!$F$1:$ABM$500,G$2,0),Техника!$F$4:$ABM$4,"Часы",INDEX(Техника!$G$1:$ABN$500,G$2,0),$A$1082,INDEX(Техника!$H$1:$ABO$500,G$2,0),"П")</f>
        <v>0</v>
      </c>
      <c r="H1085" s="50">
        <f>SUMIFS(INDEX(Техника!$F$1:$ABM$500,H$2,0),Техника!$F$4:$ABM$4,"Часы",INDEX(Техника!$G$1:$ABN$500,H$2,0),$A$1082,INDEX(Техника!$H$1:$ABO$500,H$2,0),"П")</f>
        <v>0</v>
      </c>
      <c r="I1085" s="50">
        <f>SUMIFS(INDEX(Техника!$F$1:$ABM$500,I$2,0),Техника!$F$4:$ABM$4,"Часы",INDEX(Техника!$G$1:$ABN$500,I$2,0),$A$1082,INDEX(Техника!$H$1:$ABO$500,I$2,0),"П")</f>
        <v>0</v>
      </c>
      <c r="J1085" s="50">
        <f>SUMIFS(INDEX(Техника!$F$1:$ABM$500,J$2,0),Техника!$F$4:$ABM$4,"Часы",INDEX(Техника!$G$1:$ABN$500,J$2,0),$A$1082,INDEX(Техника!$H$1:$ABO$500,J$2,0),"П")</f>
        <v>0</v>
      </c>
      <c r="K1085" s="50">
        <f>SUMIFS(INDEX(Техника!$F$1:$ABM$500,K$2,0),Техника!$F$4:$ABM$4,"Часы",INDEX(Техника!$G$1:$ABN$500,K$2,0),$A$1082,INDEX(Техника!$H$1:$ABO$500,K$2,0),"П")</f>
        <v>0</v>
      </c>
      <c r="L1085" s="50">
        <f>SUMIFS(INDEX(Техника!$F$1:$ABM$500,L$2,0),Техника!$F$4:$ABM$4,"Часы",INDEX(Техника!$G$1:$ABN$500,L$2,0),$A$1082,INDEX(Техника!$H$1:$ABO$500,L$2,0),"П")</f>
        <v>0</v>
      </c>
      <c r="M1085" s="50">
        <f>SUMIFS(INDEX(Техника!$F$1:$ABM$500,M$2,0),Техника!$F$4:$ABM$4,"Часы",INDEX(Техника!$G$1:$ABN$500,M$2,0),$A$1082,INDEX(Техника!$H$1:$ABO$500,M$2,0),"П")</f>
        <v>0</v>
      </c>
      <c r="N1085" s="50">
        <f>SUMIFS(INDEX(Техника!$F$1:$ABM$500,N$2,0),Техника!$F$4:$ABM$4,"Часы",INDEX(Техника!$G$1:$ABN$500,N$2,0),$A$1082,INDEX(Техника!$H$1:$ABO$500,N$2,0),"П")</f>
        <v>0</v>
      </c>
      <c r="O1085" s="50">
        <f>SUMIFS(INDEX(Техника!$F$1:$ABM$500,O$2,0),Техника!$F$4:$ABM$4,"Часы",INDEX(Техника!$G$1:$ABN$500,O$2,0),$A$1082,INDEX(Техника!$H$1:$ABO$500,O$2,0),"П")</f>
        <v>0</v>
      </c>
      <c r="P1085" s="50">
        <f>SUMIFS(INDEX(Техника!$F$1:$ABM$500,P$2,0),Техника!$F$4:$ABM$4,"Часы",INDEX(Техника!$G$1:$ABN$500,P$2,0),$A$1082,INDEX(Техника!$H$1:$ABO$500,P$2,0),"П")</f>
        <v>0</v>
      </c>
      <c r="Q1085" s="50">
        <f>SUMIFS(INDEX(Техника!$F$1:$ABM$500,Q$2,0),Техника!$F$4:$ABM$4,"Часы",INDEX(Техника!$G$1:$ABN$500,Q$2,0),$A$1082,INDEX(Техника!$H$1:$ABO$500,Q$2,0),"П")</f>
        <v>0</v>
      </c>
      <c r="R1085" s="50">
        <f>SUMIFS(INDEX(Техника!$F$1:$ABM$500,R$2,0),Техника!$F$4:$ABM$4,"Часы",INDEX(Техника!$G$1:$ABN$500,R$2,0),$A$1082,INDEX(Техника!$H$1:$ABO$500,R$2,0),"П")</f>
        <v>0</v>
      </c>
      <c r="S1085" s="50">
        <f>SUMIFS(INDEX(Техника!$F$1:$ABM$500,S$2,0),Техника!$F$4:$ABM$4,"Часы",INDEX(Техника!$G$1:$ABN$500,S$2,0),$A$1082,INDEX(Техника!$H$1:$ABO$500,S$2,0),"П")</f>
        <v>0</v>
      </c>
      <c r="T1085" s="50">
        <f>SUMIFS(INDEX(Техника!$F$1:$ABM$500,T$2,0),Техника!$F$4:$ABM$4,"Часы",INDEX(Техника!$G$1:$ABN$500,T$2,0),$A$1082,INDEX(Техника!$H$1:$ABO$500,T$2,0),"П")</f>
        <v>0</v>
      </c>
      <c r="U1085" s="50">
        <f>SUMIFS(INDEX(Техника!$F$1:$ABM$500,U$2,0),Техника!$F$4:$ABM$4,"Часы",INDEX(Техника!$G$1:$ABN$500,U$2,0),$A$1082,INDEX(Техника!$H$1:$ABO$500,U$2,0),"П")</f>
        <v>0</v>
      </c>
      <c r="V1085" s="50">
        <f>SUMIFS(INDEX(Техника!$F$1:$ABM$500,V$2,0),Техника!$F$4:$ABM$4,"Часы",INDEX(Техника!$G$1:$ABN$500,V$2,0),$A$1082,INDEX(Техника!$H$1:$ABO$500,V$2,0),"П")</f>
        <v>0</v>
      </c>
      <c r="W1085" s="50">
        <f>SUMIFS(INDEX(Техника!$F$1:$ABM$500,W$2,0),Техника!$F$4:$ABM$4,"Часы",INDEX(Техника!$G$1:$ABN$500,W$2,0),$A$1082,INDEX(Техника!$H$1:$ABO$500,W$2,0),"П")</f>
        <v>0</v>
      </c>
      <c r="X1085" s="50">
        <f>SUMIFS(INDEX(Техника!$F$1:$ABM$500,X$2,0),Техника!$F$4:$ABM$4,"Часы",INDEX(Техника!$G$1:$ABN$500,X$2,0),$A$1082,INDEX(Техника!$H$1:$ABO$500,X$2,0),"П")</f>
        <v>0</v>
      </c>
      <c r="Y1085" s="50">
        <f>SUMIFS(INDEX(Техника!$F$1:$ABM$500,Y$2,0),Техника!$F$4:$ABM$4,"Часы",INDEX(Техника!$G$1:$ABN$500,Y$2,0),$A$1082,INDEX(Техника!$H$1:$ABO$500,Y$2,0),"П")</f>
        <v>0</v>
      </c>
      <c r="Z1085" s="50">
        <f>SUMIFS(INDEX(Техника!$F$1:$ABM$500,Z$2,0),Техника!$F$4:$ABM$4,"Часы",INDEX(Техника!$G$1:$ABN$500,Z$2,0),$A$1082,INDEX(Техника!$H$1:$ABO$500,Z$2,0),"П")</f>
        <v>0</v>
      </c>
      <c r="AA1085" s="50">
        <f>SUMIFS(INDEX(Техника!$F$1:$ABM$500,AA$2,0),Техника!$F$4:$ABM$4,"Часы",INDEX(Техника!$G$1:$ABN$500,AA$2,0),$A$1082,INDEX(Техника!$H$1:$ABO$500,AA$2,0),"П")</f>
        <v>0</v>
      </c>
      <c r="AB1085" s="50">
        <f>SUMIFS(INDEX(Техника!$F$1:$ABM$500,AB$2,0),Техника!$F$4:$ABM$4,"Часы",INDEX(Техника!$G$1:$ABN$500,AB$2,0),$A$1082,INDEX(Техника!$H$1:$ABO$500,AB$2,0),"П")</f>
        <v>0</v>
      </c>
    </row>
    <row r="1086" spans="1:28" hidden="1" outlineLevel="1" x14ac:dyDescent="0.3">
      <c r="A1086" s="33" t="s">
        <v>243</v>
      </c>
      <c r="B1086" s="34" t="s">
        <v>278</v>
      </c>
      <c r="C1086" s="50">
        <f>SUMIFS(INDEX(Техника!$F$1:$ABM$500,C$2,0),Техника!$F$4:$ABM$4,"Часы",INDEX(Техника!$G$1:$ABN$500,C$2,0),$A$1082,INDEX(Техника!$H$1:$ABO$500,C$2,0),"Л")</f>
        <v>0</v>
      </c>
      <c r="D1086" s="50">
        <f>SUMIFS(INDEX(Техника!$F$1:$ABM$500,D$2,0),Техника!$F$4:$ABM$4,"Часы",INDEX(Техника!$G$1:$ABN$500,D$2,0),$A$1082,INDEX(Техника!$H$1:$ABO$500,D$2,0),"Л")</f>
        <v>0</v>
      </c>
      <c r="E1086" s="50">
        <f>SUMIFS(INDEX(Техника!$F$1:$ABM$500,E$2,0),Техника!$F$4:$ABM$4,"Часы",INDEX(Техника!$G$1:$ABN$500,E$2,0),$A$1082,INDEX(Техника!$H$1:$ABO$500,E$2,0),"Л")</f>
        <v>0</v>
      </c>
      <c r="F1086" s="50">
        <f>SUMIFS(INDEX(Техника!$F$1:$ABM$500,F$2,0),Техника!$F$4:$ABM$4,"Часы",INDEX(Техника!$G$1:$ABN$500,F$2,0),$A$1082,INDEX(Техника!$H$1:$ABO$500,F$2,0),"Л")</f>
        <v>0</v>
      </c>
      <c r="G1086" s="50">
        <f>SUMIFS(INDEX(Техника!$F$1:$ABM$500,G$2,0),Техника!$F$4:$ABM$4,"Часы",INDEX(Техника!$G$1:$ABN$500,G$2,0),$A$1082,INDEX(Техника!$H$1:$ABO$500,G$2,0),"Л")</f>
        <v>0</v>
      </c>
      <c r="H1086" s="50">
        <f>SUMIFS(INDEX(Техника!$F$1:$ABM$500,H$2,0),Техника!$F$4:$ABM$4,"Часы",INDEX(Техника!$G$1:$ABN$500,H$2,0),$A$1082,INDEX(Техника!$H$1:$ABO$500,H$2,0),"Л")</f>
        <v>0</v>
      </c>
      <c r="I1086" s="50">
        <f>SUMIFS(INDEX(Техника!$F$1:$ABM$500,I$2,0),Техника!$F$4:$ABM$4,"Часы",INDEX(Техника!$G$1:$ABN$500,I$2,0),$A$1082,INDEX(Техника!$H$1:$ABO$500,I$2,0),"Л")</f>
        <v>0</v>
      </c>
      <c r="J1086" s="50">
        <f>SUMIFS(INDEX(Техника!$F$1:$ABM$500,J$2,0),Техника!$F$4:$ABM$4,"Часы",INDEX(Техника!$G$1:$ABN$500,J$2,0),$A$1082,INDEX(Техника!$H$1:$ABO$500,J$2,0),"Л")</f>
        <v>0</v>
      </c>
      <c r="K1086" s="50">
        <f>SUMIFS(INDEX(Техника!$F$1:$ABM$500,K$2,0),Техника!$F$4:$ABM$4,"Часы",INDEX(Техника!$G$1:$ABN$500,K$2,0),$A$1082,INDEX(Техника!$H$1:$ABO$500,K$2,0),"Л")</f>
        <v>0</v>
      </c>
      <c r="L1086" s="50">
        <f>SUMIFS(INDEX(Техника!$F$1:$ABM$500,L$2,0),Техника!$F$4:$ABM$4,"Часы",INDEX(Техника!$G$1:$ABN$500,L$2,0),$A$1082,INDEX(Техника!$H$1:$ABO$500,L$2,0),"Л")</f>
        <v>0</v>
      </c>
      <c r="M1086" s="50">
        <f>SUMIFS(INDEX(Техника!$F$1:$ABM$500,M$2,0),Техника!$F$4:$ABM$4,"Часы",INDEX(Техника!$G$1:$ABN$500,M$2,0),$A$1082,INDEX(Техника!$H$1:$ABO$500,M$2,0),"Л")</f>
        <v>0</v>
      </c>
      <c r="N1086" s="50">
        <f>SUMIFS(INDEX(Техника!$F$1:$ABM$500,N$2,0),Техника!$F$4:$ABM$4,"Часы",INDEX(Техника!$G$1:$ABN$500,N$2,0),$A$1082,INDEX(Техника!$H$1:$ABO$500,N$2,0),"Л")</f>
        <v>0</v>
      </c>
      <c r="O1086" s="50">
        <f>SUMIFS(INDEX(Техника!$F$1:$ABM$500,O$2,0),Техника!$F$4:$ABM$4,"Часы",INDEX(Техника!$G$1:$ABN$500,O$2,0),$A$1082,INDEX(Техника!$H$1:$ABO$500,O$2,0),"Л")</f>
        <v>0</v>
      </c>
      <c r="P1086" s="50">
        <f>SUMIFS(INDEX(Техника!$F$1:$ABM$500,P$2,0),Техника!$F$4:$ABM$4,"Часы",INDEX(Техника!$G$1:$ABN$500,P$2,0),$A$1082,INDEX(Техника!$H$1:$ABO$500,P$2,0),"Л")</f>
        <v>0</v>
      </c>
      <c r="Q1086" s="50">
        <f>SUMIFS(INDEX(Техника!$F$1:$ABM$500,Q$2,0),Техника!$F$4:$ABM$4,"Часы",INDEX(Техника!$G$1:$ABN$500,Q$2,0),$A$1082,INDEX(Техника!$H$1:$ABO$500,Q$2,0),"Л")</f>
        <v>0</v>
      </c>
      <c r="R1086" s="50">
        <f>SUMIFS(INDEX(Техника!$F$1:$ABM$500,R$2,0),Техника!$F$4:$ABM$4,"Часы",INDEX(Техника!$G$1:$ABN$500,R$2,0),$A$1082,INDEX(Техника!$H$1:$ABO$500,R$2,0),"Л")</f>
        <v>0</v>
      </c>
      <c r="S1086" s="50">
        <f>SUMIFS(INDEX(Техника!$F$1:$ABM$500,S$2,0),Техника!$F$4:$ABM$4,"Часы",INDEX(Техника!$G$1:$ABN$500,S$2,0),$A$1082,INDEX(Техника!$H$1:$ABO$500,S$2,0),"Л")</f>
        <v>0</v>
      </c>
      <c r="T1086" s="50">
        <f>SUMIFS(INDEX(Техника!$F$1:$ABM$500,T$2,0),Техника!$F$4:$ABM$4,"Часы",INDEX(Техника!$G$1:$ABN$500,T$2,0),$A$1082,INDEX(Техника!$H$1:$ABO$500,T$2,0),"Л")</f>
        <v>0</v>
      </c>
      <c r="U1086" s="50">
        <f>SUMIFS(INDEX(Техника!$F$1:$ABM$500,U$2,0),Техника!$F$4:$ABM$4,"Часы",INDEX(Техника!$G$1:$ABN$500,U$2,0),$A$1082,INDEX(Техника!$H$1:$ABO$500,U$2,0),"Л")</f>
        <v>0</v>
      </c>
      <c r="V1086" s="50">
        <f>SUMIFS(INDEX(Техника!$F$1:$ABM$500,V$2,0),Техника!$F$4:$ABM$4,"Часы",INDEX(Техника!$G$1:$ABN$500,V$2,0),$A$1082,INDEX(Техника!$H$1:$ABO$500,V$2,0),"Л")</f>
        <v>0</v>
      </c>
      <c r="W1086" s="50">
        <f>SUMIFS(INDEX(Техника!$F$1:$ABM$500,W$2,0),Техника!$F$4:$ABM$4,"Часы",INDEX(Техника!$G$1:$ABN$500,W$2,0),$A$1082,INDEX(Техника!$H$1:$ABO$500,W$2,0),"Л")</f>
        <v>0</v>
      </c>
      <c r="X1086" s="50">
        <f>SUMIFS(INDEX(Техника!$F$1:$ABM$500,X$2,0),Техника!$F$4:$ABM$4,"Часы",INDEX(Техника!$G$1:$ABN$500,X$2,0),$A$1082,INDEX(Техника!$H$1:$ABO$500,X$2,0),"Л")</f>
        <v>0</v>
      </c>
      <c r="Y1086" s="50">
        <f>SUMIFS(INDEX(Техника!$F$1:$ABM$500,Y$2,0),Техника!$F$4:$ABM$4,"Часы",INDEX(Техника!$G$1:$ABN$500,Y$2,0),$A$1082,INDEX(Техника!$H$1:$ABO$500,Y$2,0),"Л")</f>
        <v>0</v>
      </c>
      <c r="Z1086" s="50">
        <f>SUMIFS(INDEX(Техника!$F$1:$ABM$500,Z$2,0),Техника!$F$4:$ABM$4,"Часы",INDEX(Техника!$G$1:$ABN$500,Z$2,0),$A$1082,INDEX(Техника!$H$1:$ABO$500,Z$2,0),"Л")</f>
        <v>0</v>
      </c>
      <c r="AA1086" s="50">
        <f>SUMIFS(INDEX(Техника!$F$1:$ABM$500,AA$2,0),Техника!$F$4:$ABM$4,"Часы",INDEX(Техника!$G$1:$ABN$500,AA$2,0),$A$1082,INDEX(Техника!$H$1:$ABO$500,AA$2,0),"Л")</f>
        <v>0</v>
      </c>
      <c r="AB1086" s="50">
        <f>SUMIFS(INDEX(Техника!$F$1:$ABM$500,AB$2,0),Техника!$F$4:$ABM$4,"Часы",INDEX(Техника!$G$1:$ABN$500,AB$2,0),$A$1082,INDEX(Техника!$H$1:$ABO$500,AB$2,0),"Л")</f>
        <v>0</v>
      </c>
    </row>
    <row r="1087" spans="1:28" hidden="1" outlineLevel="1" x14ac:dyDescent="0.3">
      <c r="A1087" s="33" t="s">
        <v>245</v>
      </c>
      <c r="B1087" s="34" t="s">
        <v>279</v>
      </c>
      <c r="C1087" s="50">
        <f>SUMIFS(INDEX(Техника!$F$1:$ABM$500,C$2,0),Техника!$F$4:$ABM$4,"Часы",INDEX(Техника!$G$1:$ABN$500,C$2,0),$A$1082,INDEX(Техника!$H$1:$ABO$500,C$2,0),"З")</f>
        <v>0</v>
      </c>
      <c r="D1087" s="50">
        <f>SUMIFS(INDEX(Техника!$F$1:$ABM$500,D$2,0),Техника!$F$4:$ABM$4,"Часы",INDEX(Техника!$G$1:$ABN$500,D$2,0),$A$1082,INDEX(Техника!$H$1:$ABO$500,D$2,0),"З")</f>
        <v>0</v>
      </c>
      <c r="E1087" s="50">
        <f>SUMIFS(INDEX(Техника!$F$1:$ABM$500,E$2,0),Техника!$F$4:$ABM$4,"Часы",INDEX(Техника!$G$1:$ABN$500,E$2,0),$A$1082,INDEX(Техника!$H$1:$ABO$500,E$2,0),"З")</f>
        <v>0</v>
      </c>
      <c r="F1087" s="50">
        <f>SUMIFS(INDEX(Техника!$F$1:$ABM$500,F$2,0),Техника!$F$4:$ABM$4,"Часы",INDEX(Техника!$G$1:$ABN$500,F$2,0),$A$1082,INDEX(Техника!$H$1:$ABO$500,F$2,0),"З")</f>
        <v>0</v>
      </c>
      <c r="G1087" s="50">
        <f>SUMIFS(INDEX(Техника!$F$1:$ABM$500,G$2,0),Техника!$F$4:$ABM$4,"Часы",INDEX(Техника!$G$1:$ABN$500,G$2,0),$A$1082,INDEX(Техника!$H$1:$ABO$500,G$2,0),"З")</f>
        <v>0</v>
      </c>
      <c r="H1087" s="50">
        <f>SUMIFS(INDEX(Техника!$F$1:$ABM$500,H$2,0),Техника!$F$4:$ABM$4,"Часы",INDEX(Техника!$G$1:$ABN$500,H$2,0),$A$1082,INDEX(Техника!$H$1:$ABO$500,H$2,0),"З")</f>
        <v>0</v>
      </c>
      <c r="I1087" s="50">
        <f>SUMIFS(INDEX(Техника!$F$1:$ABM$500,I$2,0),Техника!$F$4:$ABM$4,"Часы",INDEX(Техника!$G$1:$ABN$500,I$2,0),$A$1082,INDEX(Техника!$H$1:$ABO$500,I$2,0),"З")</f>
        <v>0</v>
      </c>
      <c r="J1087" s="50">
        <f>SUMIFS(INDEX(Техника!$F$1:$ABM$500,J$2,0),Техника!$F$4:$ABM$4,"Часы",INDEX(Техника!$G$1:$ABN$500,J$2,0),$A$1082,INDEX(Техника!$H$1:$ABO$500,J$2,0),"З")</f>
        <v>0</v>
      </c>
      <c r="K1087" s="50">
        <f>SUMIFS(INDEX(Техника!$F$1:$ABM$500,K$2,0),Техника!$F$4:$ABM$4,"Часы",INDEX(Техника!$G$1:$ABN$500,K$2,0),$A$1082,INDEX(Техника!$H$1:$ABO$500,K$2,0),"З")</f>
        <v>0</v>
      </c>
      <c r="L1087" s="50">
        <f>SUMIFS(INDEX(Техника!$F$1:$ABM$500,L$2,0),Техника!$F$4:$ABM$4,"Часы",INDEX(Техника!$G$1:$ABN$500,L$2,0),$A$1082,INDEX(Техника!$H$1:$ABO$500,L$2,0),"З")</f>
        <v>0</v>
      </c>
      <c r="M1087" s="50">
        <f>SUMIFS(INDEX(Техника!$F$1:$ABM$500,M$2,0),Техника!$F$4:$ABM$4,"Часы",INDEX(Техника!$G$1:$ABN$500,M$2,0),$A$1082,INDEX(Техника!$H$1:$ABO$500,M$2,0),"З")</f>
        <v>0</v>
      </c>
      <c r="N1087" s="50">
        <f>SUMIFS(INDEX(Техника!$F$1:$ABM$500,N$2,0),Техника!$F$4:$ABM$4,"Часы",INDEX(Техника!$G$1:$ABN$500,N$2,0),$A$1082,INDEX(Техника!$H$1:$ABO$500,N$2,0),"З")</f>
        <v>0</v>
      </c>
      <c r="O1087" s="50">
        <f>SUMIFS(INDEX(Техника!$F$1:$ABM$500,O$2,0),Техника!$F$4:$ABM$4,"Часы",INDEX(Техника!$G$1:$ABN$500,O$2,0),$A$1082,INDEX(Техника!$H$1:$ABO$500,O$2,0),"З")</f>
        <v>0</v>
      </c>
      <c r="P1087" s="50">
        <f>SUMIFS(INDEX(Техника!$F$1:$ABM$500,P$2,0),Техника!$F$4:$ABM$4,"Часы",INDEX(Техника!$G$1:$ABN$500,P$2,0),$A$1082,INDEX(Техника!$H$1:$ABO$500,P$2,0),"З")</f>
        <v>0</v>
      </c>
      <c r="Q1087" s="50">
        <f>SUMIFS(INDEX(Техника!$F$1:$ABM$500,Q$2,0),Техника!$F$4:$ABM$4,"Часы",INDEX(Техника!$G$1:$ABN$500,Q$2,0),$A$1082,INDEX(Техника!$H$1:$ABO$500,Q$2,0),"З")</f>
        <v>0</v>
      </c>
      <c r="R1087" s="50">
        <f>SUMIFS(INDEX(Техника!$F$1:$ABM$500,R$2,0),Техника!$F$4:$ABM$4,"Часы",INDEX(Техника!$G$1:$ABN$500,R$2,0),$A$1082,INDEX(Техника!$H$1:$ABO$500,R$2,0),"З")</f>
        <v>0</v>
      </c>
      <c r="S1087" s="50">
        <f>SUMIFS(INDEX(Техника!$F$1:$ABM$500,S$2,0),Техника!$F$4:$ABM$4,"Часы",INDEX(Техника!$G$1:$ABN$500,S$2,0),$A$1082,INDEX(Техника!$H$1:$ABO$500,S$2,0),"З")</f>
        <v>0</v>
      </c>
      <c r="T1087" s="50">
        <f>SUMIFS(INDEX(Техника!$F$1:$ABM$500,T$2,0),Техника!$F$4:$ABM$4,"Часы",INDEX(Техника!$G$1:$ABN$500,T$2,0),$A$1082,INDEX(Техника!$H$1:$ABO$500,T$2,0),"З")</f>
        <v>0</v>
      </c>
      <c r="U1087" s="50">
        <f>SUMIFS(INDEX(Техника!$F$1:$ABM$500,U$2,0),Техника!$F$4:$ABM$4,"Часы",INDEX(Техника!$G$1:$ABN$500,U$2,0),$A$1082,INDEX(Техника!$H$1:$ABO$500,U$2,0),"З")</f>
        <v>0</v>
      </c>
      <c r="V1087" s="50">
        <f>SUMIFS(INDEX(Техника!$F$1:$ABM$500,V$2,0),Техника!$F$4:$ABM$4,"Часы",INDEX(Техника!$G$1:$ABN$500,V$2,0),$A$1082,INDEX(Техника!$H$1:$ABO$500,V$2,0),"З")</f>
        <v>0</v>
      </c>
      <c r="W1087" s="50">
        <f>SUMIFS(INDEX(Техника!$F$1:$ABM$500,W$2,0),Техника!$F$4:$ABM$4,"Часы",INDEX(Техника!$G$1:$ABN$500,W$2,0),$A$1082,INDEX(Техника!$H$1:$ABO$500,W$2,0),"З")</f>
        <v>0</v>
      </c>
      <c r="X1087" s="50">
        <f>SUMIFS(INDEX(Техника!$F$1:$ABM$500,X$2,0),Техника!$F$4:$ABM$4,"Часы",INDEX(Техника!$G$1:$ABN$500,X$2,0),$A$1082,INDEX(Техника!$H$1:$ABO$500,X$2,0),"З")</f>
        <v>0</v>
      </c>
      <c r="Y1087" s="50">
        <f>SUMIFS(INDEX(Техника!$F$1:$ABM$500,Y$2,0),Техника!$F$4:$ABM$4,"Часы",INDEX(Техника!$G$1:$ABN$500,Y$2,0),$A$1082,INDEX(Техника!$H$1:$ABO$500,Y$2,0),"З")</f>
        <v>0</v>
      </c>
      <c r="Z1087" s="50">
        <f>SUMIFS(INDEX(Техника!$F$1:$ABM$500,Z$2,0),Техника!$F$4:$ABM$4,"Часы",INDEX(Техника!$G$1:$ABN$500,Z$2,0),$A$1082,INDEX(Техника!$H$1:$ABO$500,Z$2,0),"З")</f>
        <v>0</v>
      </c>
      <c r="AA1087" s="50">
        <f>SUMIFS(INDEX(Техника!$F$1:$ABM$500,AA$2,0),Техника!$F$4:$ABM$4,"Часы",INDEX(Техника!$G$1:$ABN$500,AA$2,0),$A$1082,INDEX(Техника!$H$1:$ABO$500,AA$2,0),"З")</f>
        <v>0</v>
      </c>
      <c r="AB1087" s="50">
        <f>SUMIFS(INDEX(Техника!$F$1:$ABM$500,AB$2,0),Техника!$F$4:$ABM$4,"Часы",INDEX(Техника!$G$1:$ABN$500,AB$2,0),$A$1082,INDEX(Техника!$H$1:$ABO$500,AB$2,0),"З")</f>
        <v>0</v>
      </c>
    </row>
    <row r="1088" spans="1:28" ht="7.95" customHeight="1" x14ac:dyDescent="0.3">
      <c r="A1088" s="38"/>
      <c r="B1088" s="39"/>
      <c r="C1088" s="51"/>
      <c r="D1088" s="51"/>
      <c r="E1088" s="51"/>
      <c r="F1088" s="51"/>
      <c r="G1088" s="51"/>
      <c r="H1088" s="51"/>
      <c r="I1088" s="51"/>
      <c r="J1088" s="51"/>
      <c r="K1088" s="51"/>
      <c r="L1088" s="51"/>
      <c r="M1088" s="51"/>
      <c r="N1088" s="51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</row>
    <row r="1089" spans="1:28" ht="25.05" customHeight="1" collapsed="1" x14ac:dyDescent="0.3">
      <c r="A1089" s="32">
        <v>156</v>
      </c>
      <c r="B1089" s="32" t="s">
        <v>157</v>
      </c>
      <c r="C1089" s="49">
        <f>SUM(C1090:C1094)</f>
        <v>0</v>
      </c>
      <c r="D1089" s="49">
        <f>SUM(D1090:D1094)</f>
        <v>0</v>
      </c>
      <c r="E1089" s="49">
        <f>SUM(E1090:E1094)</f>
        <v>0</v>
      </c>
      <c r="F1089" s="49">
        <f>SUM(F1090:F1094)</f>
        <v>0</v>
      </c>
      <c r="G1089" s="49">
        <f>SUM(G1090:G1094)</f>
        <v>0</v>
      </c>
      <c r="H1089" s="49">
        <f>SUM(H1090:H1094)</f>
        <v>0</v>
      </c>
      <c r="I1089" s="49">
        <f>SUM(I1090:I1094)</f>
        <v>0</v>
      </c>
      <c r="J1089" s="49">
        <f>SUM(J1090:J1094)</f>
        <v>0</v>
      </c>
      <c r="K1089" s="49">
        <f>SUM(K1090:K1094)</f>
        <v>0</v>
      </c>
      <c r="L1089" s="49">
        <f>SUM(L1090:L1094)</f>
        <v>0</v>
      </c>
      <c r="M1089" s="49">
        <f>SUM(M1090:M1094)</f>
        <v>0</v>
      </c>
      <c r="N1089" s="49">
        <f>SUM(N1090:N1094)</f>
        <v>0</v>
      </c>
      <c r="O1089" s="49">
        <f>SUM(O1090:O1094)</f>
        <v>0</v>
      </c>
      <c r="P1089" s="49">
        <f>SUM(P1090:P1094)</f>
        <v>0</v>
      </c>
      <c r="Q1089" s="49">
        <f>SUM(Q1090:Q1094)</f>
        <v>0</v>
      </c>
      <c r="R1089" s="49">
        <f>SUM(R1090:R1094)</f>
        <v>0</v>
      </c>
      <c r="S1089" s="49">
        <f>SUM(S1090:S1094)</f>
        <v>0</v>
      </c>
      <c r="T1089" s="49">
        <f>SUM(T1090:T1094)</f>
        <v>0</v>
      </c>
      <c r="U1089" s="49">
        <f>SUM(U1090:U1094)</f>
        <v>0</v>
      </c>
      <c r="V1089" s="49">
        <f>SUM(V1090:V1094)</f>
        <v>0</v>
      </c>
      <c r="W1089" s="49">
        <f>SUM(W1090:W1094)</f>
        <v>0</v>
      </c>
      <c r="X1089" s="49">
        <f>SUM(X1090:X1094)</f>
        <v>0</v>
      </c>
      <c r="Y1089" s="49">
        <f>SUM(Y1090:Y1094)</f>
        <v>0</v>
      </c>
      <c r="Z1089" s="49">
        <f>SUM(Z1090:Z1094)</f>
        <v>0</v>
      </c>
      <c r="AA1089" s="49">
        <f>SUM(AA1090:AA1094)</f>
        <v>0</v>
      </c>
      <c r="AB1089" s="49">
        <f>SUM(AB1090:AB1094)</f>
        <v>0</v>
      </c>
    </row>
    <row r="1090" spans="1:28" hidden="1" outlineLevel="1" x14ac:dyDescent="0.3">
      <c r="A1090" s="33" t="s">
        <v>246</v>
      </c>
      <c r="B1090" s="34" t="s">
        <v>274</v>
      </c>
      <c r="C1090" s="50">
        <f>SUMIFS(INDEX(Техника!$F$1:$ABM$500,C$2,0),Техника!$F$4:$ABM$4,"Часы",INDEX(Техника!$G$1:$ABN$500,C$2,0),$A$1089,INDEX(Техника!$H$1:$ABO$500,C$2,0),"М")</f>
        <v>0</v>
      </c>
      <c r="D1090" s="50">
        <f>SUMIFS(INDEX(Техника!$F$1:$ABM$500,D$2,0),Техника!$F$4:$ABM$4,"Часы",INDEX(Техника!$G$1:$ABN$500,D$2,0),$A$1089,INDEX(Техника!$H$1:$ABO$500,D$2,0),"М")</f>
        <v>0</v>
      </c>
      <c r="E1090" s="50">
        <f>SUMIFS(INDEX(Техника!$F$1:$ABM$500,E$2,0),Техника!$F$4:$ABM$4,"Часы",INDEX(Техника!$G$1:$ABN$500,E$2,0),$A$1089,INDEX(Техника!$H$1:$ABO$500,E$2,0),"М")</f>
        <v>0</v>
      </c>
      <c r="F1090" s="50">
        <f>SUMIFS(INDEX(Техника!$F$1:$ABM$500,F$2,0),Техника!$F$4:$ABM$4,"Часы",INDEX(Техника!$G$1:$ABN$500,F$2,0),$A$1089,INDEX(Техника!$H$1:$ABO$500,F$2,0),"М")</f>
        <v>0</v>
      </c>
      <c r="G1090" s="50">
        <f>SUMIFS(INDEX(Техника!$F$1:$ABM$500,G$2,0),Техника!$F$4:$ABM$4,"Часы",INDEX(Техника!$G$1:$ABN$500,G$2,0),$A$1089,INDEX(Техника!$H$1:$ABO$500,G$2,0),"М")</f>
        <v>0</v>
      </c>
      <c r="H1090" s="50">
        <f>SUMIFS(INDEX(Техника!$F$1:$ABM$500,H$2,0),Техника!$F$4:$ABM$4,"Часы",INDEX(Техника!$G$1:$ABN$500,H$2,0),$A$1089,INDEX(Техника!$H$1:$ABO$500,H$2,0),"М")</f>
        <v>0</v>
      </c>
      <c r="I1090" s="50">
        <f>SUMIFS(INDEX(Техника!$F$1:$ABM$500,I$2,0),Техника!$F$4:$ABM$4,"Часы",INDEX(Техника!$G$1:$ABN$500,I$2,0),$A$1089,INDEX(Техника!$H$1:$ABO$500,I$2,0),"М")</f>
        <v>0</v>
      </c>
      <c r="J1090" s="50">
        <f>SUMIFS(INDEX(Техника!$F$1:$ABM$500,J$2,0),Техника!$F$4:$ABM$4,"Часы",INDEX(Техника!$G$1:$ABN$500,J$2,0),$A$1089,INDEX(Техника!$H$1:$ABO$500,J$2,0),"М")</f>
        <v>0</v>
      </c>
      <c r="K1090" s="50">
        <f>SUMIFS(INDEX(Техника!$F$1:$ABM$500,K$2,0),Техника!$F$4:$ABM$4,"Часы",INDEX(Техника!$G$1:$ABN$500,K$2,0),$A$1089,INDEX(Техника!$H$1:$ABO$500,K$2,0),"М")</f>
        <v>0</v>
      </c>
      <c r="L1090" s="50">
        <f>SUMIFS(INDEX(Техника!$F$1:$ABM$500,L$2,0),Техника!$F$4:$ABM$4,"Часы",INDEX(Техника!$G$1:$ABN$500,L$2,0),$A$1089,INDEX(Техника!$H$1:$ABO$500,L$2,0),"М")</f>
        <v>0</v>
      </c>
      <c r="M1090" s="50">
        <f>SUMIFS(INDEX(Техника!$F$1:$ABM$500,M$2,0),Техника!$F$4:$ABM$4,"Часы",INDEX(Техника!$G$1:$ABN$500,M$2,0),$A$1089,INDEX(Техника!$H$1:$ABO$500,M$2,0),"М")</f>
        <v>0</v>
      </c>
      <c r="N1090" s="50">
        <f>SUMIFS(INDEX(Техника!$F$1:$ABM$500,N$2,0),Техника!$F$4:$ABM$4,"Часы",INDEX(Техника!$G$1:$ABN$500,N$2,0),$A$1089,INDEX(Техника!$H$1:$ABO$500,N$2,0),"М")</f>
        <v>0</v>
      </c>
      <c r="O1090" s="50">
        <f>SUMIFS(INDEX(Техника!$F$1:$ABM$500,O$2,0),Техника!$F$4:$ABM$4,"Часы",INDEX(Техника!$G$1:$ABN$500,O$2,0),$A$1089,INDEX(Техника!$H$1:$ABO$500,O$2,0),"М")</f>
        <v>0</v>
      </c>
      <c r="P1090" s="50">
        <f>SUMIFS(INDEX(Техника!$F$1:$ABM$500,P$2,0),Техника!$F$4:$ABM$4,"Часы",INDEX(Техника!$G$1:$ABN$500,P$2,0),$A$1089,INDEX(Техника!$H$1:$ABO$500,P$2,0),"М")</f>
        <v>0</v>
      </c>
      <c r="Q1090" s="50">
        <f>SUMIFS(INDEX(Техника!$F$1:$ABM$500,Q$2,0),Техника!$F$4:$ABM$4,"Часы",INDEX(Техника!$G$1:$ABN$500,Q$2,0),$A$1089,INDEX(Техника!$H$1:$ABO$500,Q$2,0),"М")</f>
        <v>0</v>
      </c>
      <c r="R1090" s="50">
        <f>SUMIFS(INDEX(Техника!$F$1:$ABM$500,R$2,0),Техника!$F$4:$ABM$4,"Часы",INDEX(Техника!$G$1:$ABN$500,R$2,0),$A$1089,INDEX(Техника!$H$1:$ABO$500,R$2,0),"М")</f>
        <v>0</v>
      </c>
      <c r="S1090" s="50">
        <f>SUMIFS(INDEX(Техника!$F$1:$ABM$500,S$2,0),Техника!$F$4:$ABM$4,"Часы",INDEX(Техника!$G$1:$ABN$500,S$2,0),$A$1089,INDEX(Техника!$H$1:$ABO$500,S$2,0),"М")</f>
        <v>0</v>
      </c>
      <c r="T1090" s="50">
        <f>SUMIFS(INDEX(Техника!$F$1:$ABM$500,T$2,0),Техника!$F$4:$ABM$4,"Часы",INDEX(Техника!$G$1:$ABN$500,T$2,0),$A$1089,INDEX(Техника!$H$1:$ABO$500,T$2,0),"М")</f>
        <v>0</v>
      </c>
      <c r="U1090" s="50">
        <f>SUMIFS(INDEX(Техника!$F$1:$ABM$500,U$2,0),Техника!$F$4:$ABM$4,"Часы",INDEX(Техника!$G$1:$ABN$500,U$2,0),$A$1089,INDEX(Техника!$H$1:$ABO$500,U$2,0),"М")</f>
        <v>0</v>
      </c>
      <c r="V1090" s="50">
        <f>SUMIFS(INDEX(Техника!$F$1:$ABM$500,V$2,0),Техника!$F$4:$ABM$4,"Часы",INDEX(Техника!$G$1:$ABN$500,V$2,0),$A$1089,INDEX(Техника!$H$1:$ABO$500,V$2,0),"М")</f>
        <v>0</v>
      </c>
      <c r="W1090" s="50">
        <f>SUMIFS(INDEX(Техника!$F$1:$ABM$500,W$2,0),Техника!$F$4:$ABM$4,"Часы",INDEX(Техника!$G$1:$ABN$500,W$2,0),$A$1089,INDEX(Техника!$H$1:$ABO$500,W$2,0),"М")</f>
        <v>0</v>
      </c>
      <c r="X1090" s="50">
        <f>SUMIFS(INDEX(Техника!$F$1:$ABM$500,X$2,0),Техника!$F$4:$ABM$4,"Часы",INDEX(Техника!$G$1:$ABN$500,X$2,0),$A$1089,INDEX(Техника!$H$1:$ABO$500,X$2,0),"М")</f>
        <v>0</v>
      </c>
      <c r="Y1090" s="50">
        <f>SUMIFS(INDEX(Техника!$F$1:$ABM$500,Y$2,0),Техника!$F$4:$ABM$4,"Часы",INDEX(Техника!$G$1:$ABN$500,Y$2,0),$A$1089,INDEX(Техника!$H$1:$ABO$500,Y$2,0),"М")</f>
        <v>0</v>
      </c>
      <c r="Z1090" s="50">
        <f>SUMIFS(INDEX(Техника!$F$1:$ABM$500,Z$2,0),Техника!$F$4:$ABM$4,"Часы",INDEX(Техника!$G$1:$ABN$500,Z$2,0),$A$1089,INDEX(Техника!$H$1:$ABO$500,Z$2,0),"М")</f>
        <v>0</v>
      </c>
      <c r="AA1090" s="50">
        <f>SUMIFS(INDEX(Техника!$F$1:$ABM$500,AA$2,0),Техника!$F$4:$ABM$4,"Часы",INDEX(Техника!$G$1:$ABN$500,AA$2,0),$A$1089,INDEX(Техника!$H$1:$ABO$500,AA$2,0),"М")</f>
        <v>0</v>
      </c>
      <c r="AB1090" s="50">
        <f>SUMIFS(INDEX(Техника!$F$1:$ABM$500,AB$2,0),Техника!$F$4:$ABM$4,"Часы",INDEX(Техника!$G$1:$ABN$500,AB$2,0),$A$1089,INDEX(Техника!$H$1:$ABO$500,AB$2,0),"М")</f>
        <v>0</v>
      </c>
    </row>
    <row r="1091" spans="1:28" hidden="1" outlineLevel="1" x14ac:dyDescent="0.3">
      <c r="A1091" s="33" t="s">
        <v>244</v>
      </c>
      <c r="B1091" s="34" t="s">
        <v>275</v>
      </c>
      <c r="C1091" s="50">
        <f>SUMIFS(INDEX(Техника!$F$1:$ABM$500,C$2,0),Техника!$F$4:$ABM$4,"Часы",INDEX(Техника!$G$1:$ABN$500,C$2,0),$A$1089,INDEX(Техника!$H$1:$ABO$500,C$2,0),"Д")</f>
        <v>0</v>
      </c>
      <c r="D1091" s="50">
        <f>SUMIFS(INDEX(Техника!$F$1:$ABM$500,D$2,0),Техника!$F$4:$ABM$4,"Часы",INDEX(Техника!$G$1:$ABN$500,D$2,0),$A$1089,INDEX(Техника!$H$1:$ABO$500,D$2,0),"Д")</f>
        <v>0</v>
      </c>
      <c r="E1091" s="50">
        <f>SUMIFS(INDEX(Техника!$F$1:$ABM$500,E$2,0),Техника!$F$4:$ABM$4,"Часы",INDEX(Техника!$G$1:$ABN$500,E$2,0),$A$1089,INDEX(Техника!$H$1:$ABO$500,E$2,0),"Д")</f>
        <v>0</v>
      </c>
      <c r="F1091" s="50">
        <f>SUMIFS(INDEX(Техника!$F$1:$ABM$500,F$2,0),Техника!$F$4:$ABM$4,"Часы",INDEX(Техника!$G$1:$ABN$500,F$2,0),$A$1089,INDEX(Техника!$H$1:$ABO$500,F$2,0),"Д")</f>
        <v>0</v>
      </c>
      <c r="G1091" s="50">
        <f>SUMIFS(INDEX(Техника!$F$1:$ABM$500,G$2,0),Техника!$F$4:$ABM$4,"Часы",INDEX(Техника!$G$1:$ABN$500,G$2,0),$A$1089,INDEX(Техника!$H$1:$ABO$500,G$2,0),"Д")</f>
        <v>0</v>
      </c>
      <c r="H1091" s="50">
        <f>SUMIFS(INDEX(Техника!$F$1:$ABM$500,H$2,0),Техника!$F$4:$ABM$4,"Часы",INDEX(Техника!$G$1:$ABN$500,H$2,0),$A$1089,INDEX(Техника!$H$1:$ABO$500,H$2,0),"Д")</f>
        <v>0</v>
      </c>
      <c r="I1091" s="50">
        <f>SUMIFS(INDEX(Техника!$F$1:$ABM$500,I$2,0),Техника!$F$4:$ABM$4,"Часы",INDEX(Техника!$G$1:$ABN$500,I$2,0),$A$1089,INDEX(Техника!$H$1:$ABO$500,I$2,0),"Д")</f>
        <v>0</v>
      </c>
      <c r="J1091" s="50">
        <f>SUMIFS(INDEX(Техника!$F$1:$ABM$500,J$2,0),Техника!$F$4:$ABM$4,"Часы",INDEX(Техника!$G$1:$ABN$500,J$2,0),$A$1089,INDEX(Техника!$H$1:$ABO$500,J$2,0),"Д")</f>
        <v>0</v>
      </c>
      <c r="K1091" s="50">
        <f>SUMIFS(INDEX(Техника!$F$1:$ABM$500,K$2,0),Техника!$F$4:$ABM$4,"Часы",INDEX(Техника!$G$1:$ABN$500,K$2,0),$A$1089,INDEX(Техника!$H$1:$ABO$500,K$2,0),"Д")</f>
        <v>0</v>
      </c>
      <c r="L1091" s="50">
        <f>SUMIFS(INDEX(Техника!$F$1:$ABM$500,L$2,0),Техника!$F$4:$ABM$4,"Часы",INDEX(Техника!$G$1:$ABN$500,L$2,0),$A$1089,INDEX(Техника!$H$1:$ABO$500,L$2,0),"Д")</f>
        <v>0</v>
      </c>
      <c r="M1091" s="50">
        <f>SUMIFS(INDEX(Техника!$F$1:$ABM$500,M$2,0),Техника!$F$4:$ABM$4,"Часы",INDEX(Техника!$G$1:$ABN$500,M$2,0),$A$1089,INDEX(Техника!$H$1:$ABO$500,M$2,0),"Д")</f>
        <v>0</v>
      </c>
      <c r="N1091" s="50">
        <f>SUMIFS(INDEX(Техника!$F$1:$ABM$500,N$2,0),Техника!$F$4:$ABM$4,"Часы",INDEX(Техника!$G$1:$ABN$500,N$2,0),$A$1089,INDEX(Техника!$H$1:$ABO$500,N$2,0),"Д")</f>
        <v>0</v>
      </c>
      <c r="O1091" s="50">
        <f>SUMIFS(INDEX(Техника!$F$1:$ABM$500,O$2,0),Техника!$F$4:$ABM$4,"Часы",INDEX(Техника!$G$1:$ABN$500,O$2,0),$A$1089,INDEX(Техника!$H$1:$ABO$500,O$2,0),"Д")</f>
        <v>0</v>
      </c>
      <c r="P1091" s="50">
        <f>SUMIFS(INDEX(Техника!$F$1:$ABM$500,P$2,0),Техника!$F$4:$ABM$4,"Часы",INDEX(Техника!$G$1:$ABN$500,P$2,0),$A$1089,INDEX(Техника!$H$1:$ABO$500,P$2,0),"Д")</f>
        <v>0</v>
      </c>
      <c r="Q1091" s="50">
        <f>SUMIFS(INDEX(Техника!$F$1:$ABM$500,Q$2,0),Техника!$F$4:$ABM$4,"Часы",INDEX(Техника!$G$1:$ABN$500,Q$2,0),$A$1089,INDEX(Техника!$H$1:$ABO$500,Q$2,0),"Д")</f>
        <v>0</v>
      </c>
      <c r="R1091" s="50">
        <f>SUMIFS(INDEX(Техника!$F$1:$ABM$500,R$2,0),Техника!$F$4:$ABM$4,"Часы",INDEX(Техника!$G$1:$ABN$500,R$2,0),$A$1089,INDEX(Техника!$H$1:$ABO$500,R$2,0),"Д")</f>
        <v>0</v>
      </c>
      <c r="S1091" s="50">
        <f>SUMIFS(INDEX(Техника!$F$1:$ABM$500,S$2,0),Техника!$F$4:$ABM$4,"Часы",INDEX(Техника!$G$1:$ABN$500,S$2,0),$A$1089,INDEX(Техника!$H$1:$ABO$500,S$2,0),"Д")</f>
        <v>0</v>
      </c>
      <c r="T1091" s="50">
        <f>SUMIFS(INDEX(Техника!$F$1:$ABM$500,T$2,0),Техника!$F$4:$ABM$4,"Часы",INDEX(Техника!$G$1:$ABN$500,T$2,0),$A$1089,INDEX(Техника!$H$1:$ABO$500,T$2,0),"Д")</f>
        <v>0</v>
      </c>
      <c r="U1091" s="50">
        <f>SUMIFS(INDEX(Техника!$F$1:$ABM$500,U$2,0),Техника!$F$4:$ABM$4,"Часы",INDEX(Техника!$G$1:$ABN$500,U$2,0),$A$1089,INDEX(Техника!$H$1:$ABO$500,U$2,0),"Д")</f>
        <v>0</v>
      </c>
      <c r="V1091" s="50">
        <f>SUMIFS(INDEX(Техника!$F$1:$ABM$500,V$2,0),Техника!$F$4:$ABM$4,"Часы",INDEX(Техника!$G$1:$ABN$500,V$2,0),$A$1089,INDEX(Техника!$H$1:$ABO$500,V$2,0),"Д")</f>
        <v>0</v>
      </c>
      <c r="W1091" s="50">
        <f>SUMIFS(INDEX(Техника!$F$1:$ABM$500,W$2,0),Техника!$F$4:$ABM$4,"Часы",INDEX(Техника!$G$1:$ABN$500,W$2,0),$A$1089,INDEX(Техника!$H$1:$ABO$500,W$2,0),"Д")</f>
        <v>0</v>
      </c>
      <c r="X1091" s="50">
        <f>SUMIFS(INDEX(Техника!$F$1:$ABM$500,X$2,0),Техника!$F$4:$ABM$4,"Часы",INDEX(Техника!$G$1:$ABN$500,X$2,0),$A$1089,INDEX(Техника!$H$1:$ABO$500,X$2,0),"Д")</f>
        <v>0</v>
      </c>
      <c r="Y1091" s="50">
        <f>SUMIFS(INDEX(Техника!$F$1:$ABM$500,Y$2,0),Техника!$F$4:$ABM$4,"Часы",INDEX(Техника!$G$1:$ABN$500,Y$2,0),$A$1089,INDEX(Техника!$H$1:$ABO$500,Y$2,0),"Д")</f>
        <v>0</v>
      </c>
      <c r="Z1091" s="50">
        <f>SUMIFS(INDEX(Техника!$F$1:$ABM$500,Z$2,0),Техника!$F$4:$ABM$4,"Часы",INDEX(Техника!$G$1:$ABN$500,Z$2,0),$A$1089,INDEX(Техника!$H$1:$ABO$500,Z$2,0),"Д")</f>
        <v>0</v>
      </c>
      <c r="AA1091" s="50">
        <f>SUMIFS(INDEX(Техника!$F$1:$ABM$500,AA$2,0),Техника!$F$4:$ABM$4,"Часы",INDEX(Техника!$G$1:$ABN$500,AA$2,0),$A$1089,INDEX(Техника!$H$1:$ABO$500,AA$2,0),"Д")</f>
        <v>0</v>
      </c>
      <c r="AB1091" s="50">
        <f>SUMIFS(INDEX(Техника!$F$1:$ABM$500,AB$2,0),Техника!$F$4:$ABM$4,"Часы",INDEX(Техника!$G$1:$ABN$500,AB$2,0),$A$1089,INDEX(Техника!$H$1:$ABO$500,AB$2,0),"Д")</f>
        <v>0</v>
      </c>
    </row>
    <row r="1092" spans="1:28" hidden="1" outlineLevel="1" x14ac:dyDescent="0.3">
      <c r="A1092" s="33" t="s">
        <v>276</v>
      </c>
      <c r="B1092" s="34" t="s">
        <v>277</v>
      </c>
      <c r="C1092" s="50">
        <f>SUMIFS(INDEX(Техника!$F$1:$ABM$500,C$2,0),Техника!$F$4:$ABM$4,"Часы",INDEX(Техника!$G$1:$ABN$500,C$2,0),$A$1089,INDEX(Техника!$H$1:$ABO$500,C$2,0),"П")</f>
        <v>0</v>
      </c>
      <c r="D1092" s="50">
        <f>SUMIFS(INDEX(Техника!$F$1:$ABM$500,D$2,0),Техника!$F$4:$ABM$4,"Часы",INDEX(Техника!$G$1:$ABN$500,D$2,0),$A$1089,INDEX(Техника!$H$1:$ABO$500,D$2,0),"П")</f>
        <v>0</v>
      </c>
      <c r="E1092" s="50">
        <f>SUMIFS(INDEX(Техника!$F$1:$ABM$500,E$2,0),Техника!$F$4:$ABM$4,"Часы",INDEX(Техника!$G$1:$ABN$500,E$2,0),$A$1089,INDEX(Техника!$H$1:$ABO$500,E$2,0),"П")</f>
        <v>0</v>
      </c>
      <c r="F1092" s="50">
        <f>SUMIFS(INDEX(Техника!$F$1:$ABM$500,F$2,0),Техника!$F$4:$ABM$4,"Часы",INDEX(Техника!$G$1:$ABN$500,F$2,0),$A$1089,INDEX(Техника!$H$1:$ABO$500,F$2,0),"П")</f>
        <v>0</v>
      </c>
      <c r="G1092" s="50">
        <f>SUMIFS(INDEX(Техника!$F$1:$ABM$500,G$2,0),Техника!$F$4:$ABM$4,"Часы",INDEX(Техника!$G$1:$ABN$500,G$2,0),$A$1089,INDEX(Техника!$H$1:$ABO$500,G$2,0),"П")</f>
        <v>0</v>
      </c>
      <c r="H1092" s="50">
        <f>SUMIFS(INDEX(Техника!$F$1:$ABM$500,H$2,0),Техника!$F$4:$ABM$4,"Часы",INDEX(Техника!$G$1:$ABN$500,H$2,0),$A$1089,INDEX(Техника!$H$1:$ABO$500,H$2,0),"П")</f>
        <v>0</v>
      </c>
      <c r="I1092" s="50">
        <f>SUMIFS(INDEX(Техника!$F$1:$ABM$500,I$2,0),Техника!$F$4:$ABM$4,"Часы",INDEX(Техника!$G$1:$ABN$500,I$2,0),$A$1089,INDEX(Техника!$H$1:$ABO$500,I$2,0),"П")</f>
        <v>0</v>
      </c>
      <c r="J1092" s="50">
        <f>SUMIFS(INDEX(Техника!$F$1:$ABM$500,J$2,0),Техника!$F$4:$ABM$4,"Часы",INDEX(Техника!$G$1:$ABN$500,J$2,0),$A$1089,INDEX(Техника!$H$1:$ABO$500,J$2,0),"П")</f>
        <v>0</v>
      </c>
      <c r="K1092" s="50">
        <f>SUMIFS(INDEX(Техника!$F$1:$ABM$500,K$2,0),Техника!$F$4:$ABM$4,"Часы",INDEX(Техника!$G$1:$ABN$500,K$2,0),$A$1089,INDEX(Техника!$H$1:$ABO$500,K$2,0),"П")</f>
        <v>0</v>
      </c>
      <c r="L1092" s="50">
        <f>SUMIFS(INDEX(Техника!$F$1:$ABM$500,L$2,0),Техника!$F$4:$ABM$4,"Часы",INDEX(Техника!$G$1:$ABN$500,L$2,0),$A$1089,INDEX(Техника!$H$1:$ABO$500,L$2,0),"П")</f>
        <v>0</v>
      </c>
      <c r="M1092" s="50">
        <f>SUMIFS(INDEX(Техника!$F$1:$ABM$500,M$2,0),Техника!$F$4:$ABM$4,"Часы",INDEX(Техника!$G$1:$ABN$500,M$2,0),$A$1089,INDEX(Техника!$H$1:$ABO$500,M$2,0),"П")</f>
        <v>0</v>
      </c>
      <c r="N1092" s="50">
        <f>SUMIFS(INDEX(Техника!$F$1:$ABM$500,N$2,0),Техника!$F$4:$ABM$4,"Часы",INDEX(Техника!$G$1:$ABN$500,N$2,0),$A$1089,INDEX(Техника!$H$1:$ABO$500,N$2,0),"П")</f>
        <v>0</v>
      </c>
      <c r="O1092" s="50">
        <f>SUMIFS(INDEX(Техника!$F$1:$ABM$500,O$2,0),Техника!$F$4:$ABM$4,"Часы",INDEX(Техника!$G$1:$ABN$500,O$2,0),$A$1089,INDEX(Техника!$H$1:$ABO$500,O$2,0),"П")</f>
        <v>0</v>
      </c>
      <c r="P1092" s="50">
        <f>SUMIFS(INDEX(Техника!$F$1:$ABM$500,P$2,0),Техника!$F$4:$ABM$4,"Часы",INDEX(Техника!$G$1:$ABN$500,P$2,0),$A$1089,INDEX(Техника!$H$1:$ABO$500,P$2,0),"П")</f>
        <v>0</v>
      </c>
      <c r="Q1092" s="50">
        <f>SUMIFS(INDEX(Техника!$F$1:$ABM$500,Q$2,0),Техника!$F$4:$ABM$4,"Часы",INDEX(Техника!$G$1:$ABN$500,Q$2,0),$A$1089,INDEX(Техника!$H$1:$ABO$500,Q$2,0),"П")</f>
        <v>0</v>
      </c>
      <c r="R1092" s="50">
        <f>SUMIFS(INDEX(Техника!$F$1:$ABM$500,R$2,0),Техника!$F$4:$ABM$4,"Часы",INDEX(Техника!$G$1:$ABN$500,R$2,0),$A$1089,INDEX(Техника!$H$1:$ABO$500,R$2,0),"П")</f>
        <v>0</v>
      </c>
      <c r="S1092" s="50">
        <f>SUMIFS(INDEX(Техника!$F$1:$ABM$500,S$2,0),Техника!$F$4:$ABM$4,"Часы",INDEX(Техника!$G$1:$ABN$500,S$2,0),$A$1089,INDEX(Техника!$H$1:$ABO$500,S$2,0),"П")</f>
        <v>0</v>
      </c>
      <c r="T1092" s="50">
        <f>SUMIFS(INDEX(Техника!$F$1:$ABM$500,T$2,0),Техника!$F$4:$ABM$4,"Часы",INDEX(Техника!$G$1:$ABN$500,T$2,0),$A$1089,INDEX(Техника!$H$1:$ABO$500,T$2,0),"П")</f>
        <v>0</v>
      </c>
      <c r="U1092" s="50">
        <f>SUMIFS(INDEX(Техника!$F$1:$ABM$500,U$2,0),Техника!$F$4:$ABM$4,"Часы",INDEX(Техника!$G$1:$ABN$500,U$2,0),$A$1089,INDEX(Техника!$H$1:$ABO$500,U$2,0),"П")</f>
        <v>0</v>
      </c>
      <c r="V1092" s="50">
        <f>SUMIFS(INDEX(Техника!$F$1:$ABM$500,V$2,0),Техника!$F$4:$ABM$4,"Часы",INDEX(Техника!$G$1:$ABN$500,V$2,0),$A$1089,INDEX(Техника!$H$1:$ABO$500,V$2,0),"П")</f>
        <v>0</v>
      </c>
      <c r="W1092" s="50">
        <f>SUMIFS(INDEX(Техника!$F$1:$ABM$500,W$2,0),Техника!$F$4:$ABM$4,"Часы",INDEX(Техника!$G$1:$ABN$500,W$2,0),$A$1089,INDEX(Техника!$H$1:$ABO$500,W$2,0),"П")</f>
        <v>0</v>
      </c>
      <c r="X1092" s="50">
        <f>SUMIFS(INDEX(Техника!$F$1:$ABM$500,X$2,0),Техника!$F$4:$ABM$4,"Часы",INDEX(Техника!$G$1:$ABN$500,X$2,0),$A$1089,INDEX(Техника!$H$1:$ABO$500,X$2,0),"П")</f>
        <v>0</v>
      </c>
      <c r="Y1092" s="50">
        <f>SUMIFS(INDEX(Техника!$F$1:$ABM$500,Y$2,0),Техника!$F$4:$ABM$4,"Часы",INDEX(Техника!$G$1:$ABN$500,Y$2,0),$A$1089,INDEX(Техника!$H$1:$ABO$500,Y$2,0),"П")</f>
        <v>0</v>
      </c>
      <c r="Z1092" s="50">
        <f>SUMIFS(INDEX(Техника!$F$1:$ABM$500,Z$2,0),Техника!$F$4:$ABM$4,"Часы",INDEX(Техника!$G$1:$ABN$500,Z$2,0),$A$1089,INDEX(Техника!$H$1:$ABO$500,Z$2,0),"П")</f>
        <v>0</v>
      </c>
      <c r="AA1092" s="50">
        <f>SUMIFS(INDEX(Техника!$F$1:$ABM$500,AA$2,0),Техника!$F$4:$ABM$4,"Часы",INDEX(Техника!$G$1:$ABN$500,AA$2,0),$A$1089,INDEX(Техника!$H$1:$ABO$500,AA$2,0),"П")</f>
        <v>0</v>
      </c>
      <c r="AB1092" s="50">
        <f>SUMIFS(INDEX(Техника!$F$1:$ABM$500,AB$2,0),Техника!$F$4:$ABM$4,"Часы",INDEX(Техника!$G$1:$ABN$500,AB$2,0),$A$1089,INDEX(Техника!$H$1:$ABO$500,AB$2,0),"П")</f>
        <v>0</v>
      </c>
    </row>
    <row r="1093" spans="1:28" hidden="1" outlineLevel="1" x14ac:dyDescent="0.3">
      <c r="A1093" s="33" t="s">
        <v>243</v>
      </c>
      <c r="B1093" s="34" t="s">
        <v>278</v>
      </c>
      <c r="C1093" s="50">
        <f>SUMIFS(INDEX(Техника!$F$1:$ABM$500,C$2,0),Техника!$F$4:$ABM$4,"Часы",INDEX(Техника!$G$1:$ABN$500,C$2,0),$A$1089,INDEX(Техника!$H$1:$ABO$500,C$2,0),"Л")</f>
        <v>0</v>
      </c>
      <c r="D1093" s="50">
        <f>SUMIFS(INDEX(Техника!$F$1:$ABM$500,D$2,0),Техника!$F$4:$ABM$4,"Часы",INDEX(Техника!$G$1:$ABN$500,D$2,0),$A$1089,INDEX(Техника!$H$1:$ABO$500,D$2,0),"Л")</f>
        <v>0</v>
      </c>
      <c r="E1093" s="50">
        <f>SUMIFS(INDEX(Техника!$F$1:$ABM$500,E$2,0),Техника!$F$4:$ABM$4,"Часы",INDEX(Техника!$G$1:$ABN$500,E$2,0),$A$1089,INDEX(Техника!$H$1:$ABO$500,E$2,0),"Л")</f>
        <v>0</v>
      </c>
      <c r="F1093" s="50">
        <f>SUMIFS(INDEX(Техника!$F$1:$ABM$500,F$2,0),Техника!$F$4:$ABM$4,"Часы",INDEX(Техника!$G$1:$ABN$500,F$2,0),$A$1089,INDEX(Техника!$H$1:$ABO$500,F$2,0),"Л")</f>
        <v>0</v>
      </c>
      <c r="G1093" s="50">
        <f>SUMIFS(INDEX(Техника!$F$1:$ABM$500,G$2,0),Техника!$F$4:$ABM$4,"Часы",INDEX(Техника!$G$1:$ABN$500,G$2,0),$A$1089,INDEX(Техника!$H$1:$ABO$500,G$2,0),"Л")</f>
        <v>0</v>
      </c>
      <c r="H1093" s="50">
        <f>SUMIFS(INDEX(Техника!$F$1:$ABM$500,H$2,0),Техника!$F$4:$ABM$4,"Часы",INDEX(Техника!$G$1:$ABN$500,H$2,0),$A$1089,INDEX(Техника!$H$1:$ABO$500,H$2,0),"Л")</f>
        <v>0</v>
      </c>
      <c r="I1093" s="50">
        <f>SUMIFS(INDEX(Техника!$F$1:$ABM$500,I$2,0),Техника!$F$4:$ABM$4,"Часы",INDEX(Техника!$G$1:$ABN$500,I$2,0),$A$1089,INDEX(Техника!$H$1:$ABO$500,I$2,0),"Л")</f>
        <v>0</v>
      </c>
      <c r="J1093" s="50">
        <f>SUMIFS(INDEX(Техника!$F$1:$ABM$500,J$2,0),Техника!$F$4:$ABM$4,"Часы",INDEX(Техника!$G$1:$ABN$500,J$2,0),$A$1089,INDEX(Техника!$H$1:$ABO$500,J$2,0),"Л")</f>
        <v>0</v>
      </c>
      <c r="K1093" s="50">
        <f>SUMIFS(INDEX(Техника!$F$1:$ABM$500,K$2,0),Техника!$F$4:$ABM$4,"Часы",INDEX(Техника!$G$1:$ABN$500,K$2,0),$A$1089,INDEX(Техника!$H$1:$ABO$500,K$2,0),"Л")</f>
        <v>0</v>
      </c>
      <c r="L1093" s="50">
        <f>SUMIFS(INDEX(Техника!$F$1:$ABM$500,L$2,0),Техника!$F$4:$ABM$4,"Часы",INDEX(Техника!$G$1:$ABN$500,L$2,0),$A$1089,INDEX(Техника!$H$1:$ABO$500,L$2,0),"Л")</f>
        <v>0</v>
      </c>
      <c r="M1093" s="50">
        <f>SUMIFS(INDEX(Техника!$F$1:$ABM$500,M$2,0),Техника!$F$4:$ABM$4,"Часы",INDEX(Техника!$G$1:$ABN$500,M$2,0),$A$1089,INDEX(Техника!$H$1:$ABO$500,M$2,0),"Л")</f>
        <v>0</v>
      </c>
      <c r="N1093" s="50">
        <f>SUMIFS(INDEX(Техника!$F$1:$ABM$500,N$2,0),Техника!$F$4:$ABM$4,"Часы",INDEX(Техника!$G$1:$ABN$500,N$2,0),$A$1089,INDEX(Техника!$H$1:$ABO$500,N$2,0),"Л")</f>
        <v>0</v>
      </c>
      <c r="O1093" s="50">
        <f>SUMIFS(INDEX(Техника!$F$1:$ABM$500,O$2,0),Техника!$F$4:$ABM$4,"Часы",INDEX(Техника!$G$1:$ABN$500,O$2,0),$A$1089,INDEX(Техника!$H$1:$ABO$500,O$2,0),"Л")</f>
        <v>0</v>
      </c>
      <c r="P1093" s="50">
        <f>SUMIFS(INDEX(Техника!$F$1:$ABM$500,P$2,0),Техника!$F$4:$ABM$4,"Часы",INDEX(Техника!$G$1:$ABN$500,P$2,0),$A$1089,INDEX(Техника!$H$1:$ABO$500,P$2,0),"Л")</f>
        <v>0</v>
      </c>
      <c r="Q1093" s="50">
        <f>SUMIFS(INDEX(Техника!$F$1:$ABM$500,Q$2,0),Техника!$F$4:$ABM$4,"Часы",INDEX(Техника!$G$1:$ABN$500,Q$2,0),$A$1089,INDEX(Техника!$H$1:$ABO$500,Q$2,0),"Л")</f>
        <v>0</v>
      </c>
      <c r="R1093" s="50">
        <f>SUMIFS(INDEX(Техника!$F$1:$ABM$500,R$2,0),Техника!$F$4:$ABM$4,"Часы",INDEX(Техника!$G$1:$ABN$500,R$2,0),$A$1089,INDEX(Техника!$H$1:$ABO$500,R$2,0),"Л")</f>
        <v>0</v>
      </c>
      <c r="S1093" s="50">
        <f>SUMIFS(INDEX(Техника!$F$1:$ABM$500,S$2,0),Техника!$F$4:$ABM$4,"Часы",INDEX(Техника!$G$1:$ABN$500,S$2,0),$A$1089,INDEX(Техника!$H$1:$ABO$500,S$2,0),"Л")</f>
        <v>0</v>
      </c>
      <c r="T1093" s="50">
        <f>SUMIFS(INDEX(Техника!$F$1:$ABM$500,T$2,0),Техника!$F$4:$ABM$4,"Часы",INDEX(Техника!$G$1:$ABN$500,T$2,0),$A$1089,INDEX(Техника!$H$1:$ABO$500,T$2,0),"Л")</f>
        <v>0</v>
      </c>
      <c r="U1093" s="50">
        <f>SUMIFS(INDEX(Техника!$F$1:$ABM$500,U$2,0),Техника!$F$4:$ABM$4,"Часы",INDEX(Техника!$G$1:$ABN$500,U$2,0),$A$1089,INDEX(Техника!$H$1:$ABO$500,U$2,0),"Л")</f>
        <v>0</v>
      </c>
      <c r="V1093" s="50">
        <f>SUMIFS(INDEX(Техника!$F$1:$ABM$500,V$2,0),Техника!$F$4:$ABM$4,"Часы",INDEX(Техника!$G$1:$ABN$500,V$2,0),$A$1089,INDEX(Техника!$H$1:$ABO$500,V$2,0),"Л")</f>
        <v>0</v>
      </c>
      <c r="W1093" s="50">
        <f>SUMIFS(INDEX(Техника!$F$1:$ABM$500,W$2,0),Техника!$F$4:$ABM$4,"Часы",INDEX(Техника!$G$1:$ABN$500,W$2,0),$A$1089,INDEX(Техника!$H$1:$ABO$500,W$2,0),"Л")</f>
        <v>0</v>
      </c>
      <c r="X1093" s="50">
        <f>SUMIFS(INDEX(Техника!$F$1:$ABM$500,X$2,0),Техника!$F$4:$ABM$4,"Часы",INDEX(Техника!$G$1:$ABN$500,X$2,0),$A$1089,INDEX(Техника!$H$1:$ABO$500,X$2,0),"Л")</f>
        <v>0</v>
      </c>
      <c r="Y1093" s="50">
        <f>SUMIFS(INDEX(Техника!$F$1:$ABM$500,Y$2,0),Техника!$F$4:$ABM$4,"Часы",INDEX(Техника!$G$1:$ABN$500,Y$2,0),$A$1089,INDEX(Техника!$H$1:$ABO$500,Y$2,0),"Л")</f>
        <v>0</v>
      </c>
      <c r="Z1093" s="50">
        <f>SUMIFS(INDEX(Техника!$F$1:$ABM$500,Z$2,0),Техника!$F$4:$ABM$4,"Часы",INDEX(Техника!$G$1:$ABN$500,Z$2,0),$A$1089,INDEX(Техника!$H$1:$ABO$500,Z$2,0),"Л")</f>
        <v>0</v>
      </c>
      <c r="AA1093" s="50">
        <f>SUMIFS(INDEX(Техника!$F$1:$ABM$500,AA$2,0),Техника!$F$4:$ABM$4,"Часы",INDEX(Техника!$G$1:$ABN$500,AA$2,0),$A$1089,INDEX(Техника!$H$1:$ABO$500,AA$2,0),"Л")</f>
        <v>0</v>
      </c>
      <c r="AB1093" s="50">
        <f>SUMIFS(INDEX(Техника!$F$1:$ABM$500,AB$2,0),Техника!$F$4:$ABM$4,"Часы",INDEX(Техника!$G$1:$ABN$500,AB$2,0),$A$1089,INDEX(Техника!$H$1:$ABO$500,AB$2,0),"Л")</f>
        <v>0</v>
      </c>
    </row>
    <row r="1094" spans="1:28" hidden="1" outlineLevel="1" x14ac:dyDescent="0.3">
      <c r="A1094" s="33" t="s">
        <v>245</v>
      </c>
      <c r="B1094" s="34" t="s">
        <v>279</v>
      </c>
      <c r="C1094" s="50">
        <f>SUMIFS(INDEX(Техника!$F$1:$ABM$500,C$2,0),Техника!$F$4:$ABM$4,"Часы",INDEX(Техника!$G$1:$ABN$500,C$2,0),$A$1089,INDEX(Техника!$H$1:$ABO$500,C$2,0),"З")</f>
        <v>0</v>
      </c>
      <c r="D1094" s="50">
        <f>SUMIFS(INDEX(Техника!$F$1:$ABM$500,D$2,0),Техника!$F$4:$ABM$4,"Часы",INDEX(Техника!$G$1:$ABN$500,D$2,0),$A$1089,INDEX(Техника!$H$1:$ABO$500,D$2,0),"З")</f>
        <v>0</v>
      </c>
      <c r="E1094" s="50">
        <f>SUMIFS(INDEX(Техника!$F$1:$ABM$500,E$2,0),Техника!$F$4:$ABM$4,"Часы",INDEX(Техника!$G$1:$ABN$500,E$2,0),$A$1089,INDEX(Техника!$H$1:$ABO$500,E$2,0),"З")</f>
        <v>0</v>
      </c>
      <c r="F1094" s="50">
        <f>SUMIFS(INDEX(Техника!$F$1:$ABM$500,F$2,0),Техника!$F$4:$ABM$4,"Часы",INDEX(Техника!$G$1:$ABN$500,F$2,0),$A$1089,INDEX(Техника!$H$1:$ABO$500,F$2,0),"З")</f>
        <v>0</v>
      </c>
      <c r="G1094" s="50">
        <f>SUMIFS(INDEX(Техника!$F$1:$ABM$500,G$2,0),Техника!$F$4:$ABM$4,"Часы",INDEX(Техника!$G$1:$ABN$500,G$2,0),$A$1089,INDEX(Техника!$H$1:$ABO$500,G$2,0),"З")</f>
        <v>0</v>
      </c>
      <c r="H1094" s="50">
        <f>SUMIFS(INDEX(Техника!$F$1:$ABM$500,H$2,0),Техника!$F$4:$ABM$4,"Часы",INDEX(Техника!$G$1:$ABN$500,H$2,0),$A$1089,INDEX(Техника!$H$1:$ABO$500,H$2,0),"З")</f>
        <v>0</v>
      </c>
      <c r="I1094" s="50">
        <f>SUMIFS(INDEX(Техника!$F$1:$ABM$500,I$2,0),Техника!$F$4:$ABM$4,"Часы",INDEX(Техника!$G$1:$ABN$500,I$2,0),$A$1089,INDEX(Техника!$H$1:$ABO$500,I$2,0),"З")</f>
        <v>0</v>
      </c>
      <c r="J1094" s="50">
        <f>SUMIFS(INDEX(Техника!$F$1:$ABM$500,J$2,0),Техника!$F$4:$ABM$4,"Часы",INDEX(Техника!$G$1:$ABN$500,J$2,0),$A$1089,INDEX(Техника!$H$1:$ABO$500,J$2,0),"З")</f>
        <v>0</v>
      </c>
      <c r="K1094" s="50">
        <f>SUMIFS(INDEX(Техника!$F$1:$ABM$500,K$2,0),Техника!$F$4:$ABM$4,"Часы",INDEX(Техника!$G$1:$ABN$500,K$2,0),$A$1089,INDEX(Техника!$H$1:$ABO$500,K$2,0),"З")</f>
        <v>0</v>
      </c>
      <c r="L1094" s="50">
        <f>SUMIFS(INDEX(Техника!$F$1:$ABM$500,L$2,0),Техника!$F$4:$ABM$4,"Часы",INDEX(Техника!$G$1:$ABN$500,L$2,0),$A$1089,INDEX(Техника!$H$1:$ABO$500,L$2,0),"З")</f>
        <v>0</v>
      </c>
      <c r="M1094" s="50">
        <f>SUMIFS(INDEX(Техника!$F$1:$ABM$500,M$2,0),Техника!$F$4:$ABM$4,"Часы",INDEX(Техника!$G$1:$ABN$500,M$2,0),$A$1089,INDEX(Техника!$H$1:$ABO$500,M$2,0),"З")</f>
        <v>0</v>
      </c>
      <c r="N1094" s="50">
        <f>SUMIFS(INDEX(Техника!$F$1:$ABM$500,N$2,0),Техника!$F$4:$ABM$4,"Часы",INDEX(Техника!$G$1:$ABN$500,N$2,0),$A$1089,INDEX(Техника!$H$1:$ABO$500,N$2,0),"З")</f>
        <v>0</v>
      </c>
      <c r="O1094" s="50">
        <f>SUMIFS(INDEX(Техника!$F$1:$ABM$500,O$2,0),Техника!$F$4:$ABM$4,"Часы",INDEX(Техника!$G$1:$ABN$500,O$2,0),$A$1089,INDEX(Техника!$H$1:$ABO$500,O$2,0),"З")</f>
        <v>0</v>
      </c>
      <c r="P1094" s="50">
        <f>SUMIFS(INDEX(Техника!$F$1:$ABM$500,P$2,0),Техника!$F$4:$ABM$4,"Часы",INDEX(Техника!$G$1:$ABN$500,P$2,0),$A$1089,INDEX(Техника!$H$1:$ABO$500,P$2,0),"З")</f>
        <v>0</v>
      </c>
      <c r="Q1094" s="50">
        <f>SUMIFS(INDEX(Техника!$F$1:$ABM$500,Q$2,0),Техника!$F$4:$ABM$4,"Часы",INDEX(Техника!$G$1:$ABN$500,Q$2,0),$A$1089,INDEX(Техника!$H$1:$ABO$500,Q$2,0),"З")</f>
        <v>0</v>
      </c>
      <c r="R1094" s="50">
        <f>SUMIFS(INDEX(Техника!$F$1:$ABM$500,R$2,0),Техника!$F$4:$ABM$4,"Часы",INDEX(Техника!$G$1:$ABN$500,R$2,0),$A$1089,INDEX(Техника!$H$1:$ABO$500,R$2,0),"З")</f>
        <v>0</v>
      </c>
      <c r="S1094" s="50">
        <f>SUMIFS(INDEX(Техника!$F$1:$ABM$500,S$2,0),Техника!$F$4:$ABM$4,"Часы",INDEX(Техника!$G$1:$ABN$500,S$2,0),$A$1089,INDEX(Техника!$H$1:$ABO$500,S$2,0),"З")</f>
        <v>0</v>
      </c>
      <c r="T1094" s="50">
        <f>SUMIFS(INDEX(Техника!$F$1:$ABM$500,T$2,0),Техника!$F$4:$ABM$4,"Часы",INDEX(Техника!$G$1:$ABN$500,T$2,0),$A$1089,INDEX(Техника!$H$1:$ABO$500,T$2,0),"З")</f>
        <v>0</v>
      </c>
      <c r="U1094" s="50">
        <f>SUMIFS(INDEX(Техника!$F$1:$ABM$500,U$2,0),Техника!$F$4:$ABM$4,"Часы",INDEX(Техника!$G$1:$ABN$500,U$2,0),$A$1089,INDEX(Техника!$H$1:$ABO$500,U$2,0),"З")</f>
        <v>0</v>
      </c>
      <c r="V1094" s="50">
        <f>SUMIFS(INDEX(Техника!$F$1:$ABM$500,V$2,0),Техника!$F$4:$ABM$4,"Часы",INDEX(Техника!$G$1:$ABN$500,V$2,0),$A$1089,INDEX(Техника!$H$1:$ABO$500,V$2,0),"З")</f>
        <v>0</v>
      </c>
      <c r="W1094" s="50">
        <f>SUMIFS(INDEX(Техника!$F$1:$ABM$500,W$2,0),Техника!$F$4:$ABM$4,"Часы",INDEX(Техника!$G$1:$ABN$500,W$2,0),$A$1089,INDEX(Техника!$H$1:$ABO$500,W$2,0),"З")</f>
        <v>0</v>
      </c>
      <c r="X1094" s="50">
        <f>SUMIFS(INDEX(Техника!$F$1:$ABM$500,X$2,0),Техника!$F$4:$ABM$4,"Часы",INDEX(Техника!$G$1:$ABN$500,X$2,0),$A$1089,INDEX(Техника!$H$1:$ABO$500,X$2,0),"З")</f>
        <v>0</v>
      </c>
      <c r="Y1094" s="50">
        <f>SUMIFS(INDEX(Техника!$F$1:$ABM$500,Y$2,0),Техника!$F$4:$ABM$4,"Часы",INDEX(Техника!$G$1:$ABN$500,Y$2,0),$A$1089,INDEX(Техника!$H$1:$ABO$500,Y$2,0),"З")</f>
        <v>0</v>
      </c>
      <c r="Z1094" s="50">
        <f>SUMIFS(INDEX(Техника!$F$1:$ABM$500,Z$2,0),Техника!$F$4:$ABM$4,"Часы",INDEX(Техника!$G$1:$ABN$500,Z$2,0),$A$1089,INDEX(Техника!$H$1:$ABO$500,Z$2,0),"З")</f>
        <v>0</v>
      </c>
      <c r="AA1094" s="50">
        <f>SUMIFS(INDEX(Техника!$F$1:$ABM$500,AA$2,0),Техника!$F$4:$ABM$4,"Часы",INDEX(Техника!$G$1:$ABN$500,AA$2,0),$A$1089,INDEX(Техника!$H$1:$ABO$500,AA$2,0),"З")</f>
        <v>0</v>
      </c>
      <c r="AB1094" s="50">
        <f>SUMIFS(INDEX(Техника!$F$1:$ABM$500,AB$2,0),Техника!$F$4:$ABM$4,"Часы",INDEX(Техника!$G$1:$ABN$500,AB$2,0),$A$1089,INDEX(Техника!$H$1:$ABO$500,AB$2,0),"З")</f>
        <v>0</v>
      </c>
    </row>
    <row r="1095" spans="1:28" ht="7.95" customHeight="1" x14ac:dyDescent="0.3">
      <c r="A1095" s="38"/>
      <c r="B1095" s="39"/>
      <c r="C1095" s="51"/>
      <c r="D1095" s="51"/>
      <c r="E1095" s="51"/>
      <c r="F1095" s="51"/>
      <c r="G1095" s="51"/>
      <c r="H1095" s="51"/>
      <c r="I1095" s="51"/>
      <c r="J1095" s="51"/>
      <c r="K1095" s="51"/>
      <c r="L1095" s="51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</row>
    <row r="1096" spans="1:28" ht="25.05" customHeight="1" collapsed="1" x14ac:dyDescent="0.3">
      <c r="A1096" s="32">
        <v>157</v>
      </c>
      <c r="B1096" s="32" t="s">
        <v>158</v>
      </c>
      <c r="C1096" s="49">
        <f>SUM(C1097:C1101)</f>
        <v>0</v>
      </c>
      <c r="D1096" s="49">
        <f>SUM(D1097:D1101)</f>
        <v>0</v>
      </c>
      <c r="E1096" s="49">
        <f>SUM(E1097:E1101)</f>
        <v>0</v>
      </c>
      <c r="F1096" s="49">
        <f>SUM(F1097:F1101)</f>
        <v>0</v>
      </c>
      <c r="G1096" s="49">
        <f>SUM(G1097:G1101)</f>
        <v>0</v>
      </c>
      <c r="H1096" s="49">
        <f>SUM(H1097:H1101)</f>
        <v>0</v>
      </c>
      <c r="I1096" s="49">
        <f>SUM(I1097:I1101)</f>
        <v>0</v>
      </c>
      <c r="J1096" s="49">
        <f>SUM(J1097:J1101)</f>
        <v>0</v>
      </c>
      <c r="K1096" s="49">
        <f>SUM(K1097:K1101)</f>
        <v>0</v>
      </c>
      <c r="L1096" s="49">
        <f>SUM(L1097:L1101)</f>
        <v>0</v>
      </c>
      <c r="M1096" s="49">
        <f>SUM(M1097:M1101)</f>
        <v>0</v>
      </c>
      <c r="N1096" s="49">
        <f>SUM(N1097:N1101)</f>
        <v>0</v>
      </c>
      <c r="O1096" s="49">
        <f>SUM(O1097:O1101)</f>
        <v>0</v>
      </c>
      <c r="P1096" s="49">
        <f>SUM(P1097:P1101)</f>
        <v>0</v>
      </c>
      <c r="Q1096" s="49">
        <f>SUM(Q1097:Q1101)</f>
        <v>0</v>
      </c>
      <c r="R1096" s="49">
        <f>SUM(R1097:R1101)</f>
        <v>0</v>
      </c>
      <c r="S1096" s="49">
        <f>SUM(S1097:S1101)</f>
        <v>0</v>
      </c>
      <c r="T1096" s="49">
        <f>SUM(T1097:T1101)</f>
        <v>0</v>
      </c>
      <c r="U1096" s="49">
        <f>SUM(U1097:U1101)</f>
        <v>0</v>
      </c>
      <c r="V1096" s="49">
        <f>SUM(V1097:V1101)</f>
        <v>0</v>
      </c>
      <c r="W1096" s="49">
        <f>SUM(W1097:W1101)</f>
        <v>0</v>
      </c>
      <c r="X1096" s="49">
        <f>SUM(X1097:X1101)</f>
        <v>0</v>
      </c>
      <c r="Y1096" s="49">
        <f>SUM(Y1097:Y1101)</f>
        <v>0</v>
      </c>
      <c r="Z1096" s="49">
        <f>SUM(Z1097:Z1101)</f>
        <v>0</v>
      </c>
      <c r="AA1096" s="49">
        <f>SUM(AA1097:AA1101)</f>
        <v>0</v>
      </c>
      <c r="AB1096" s="49">
        <f>SUM(AB1097:AB1101)</f>
        <v>0</v>
      </c>
    </row>
    <row r="1097" spans="1:28" hidden="1" outlineLevel="1" x14ac:dyDescent="0.3">
      <c r="A1097" s="33" t="s">
        <v>246</v>
      </c>
      <c r="B1097" s="34" t="s">
        <v>274</v>
      </c>
      <c r="C1097" s="50">
        <f>SUMIFS(INDEX(Техника!$F$1:$ABM$500,C$2,0),Техника!$F$4:$ABM$4,"Часы",INDEX(Техника!$G$1:$ABN$500,C$2,0),$A$1096,INDEX(Техника!$H$1:$ABO$500,C$2,0),"М")</f>
        <v>0</v>
      </c>
      <c r="D1097" s="50">
        <f>SUMIFS(INDEX(Техника!$F$1:$ABM$500,D$2,0),Техника!$F$4:$ABM$4,"Часы",INDEX(Техника!$G$1:$ABN$500,D$2,0),$A$1096,INDEX(Техника!$H$1:$ABO$500,D$2,0),"М")</f>
        <v>0</v>
      </c>
      <c r="E1097" s="50">
        <f>SUMIFS(INDEX(Техника!$F$1:$ABM$500,E$2,0),Техника!$F$4:$ABM$4,"Часы",INDEX(Техника!$G$1:$ABN$500,E$2,0),$A$1096,INDEX(Техника!$H$1:$ABO$500,E$2,0),"М")</f>
        <v>0</v>
      </c>
      <c r="F1097" s="50">
        <f>SUMIFS(INDEX(Техника!$F$1:$ABM$500,F$2,0),Техника!$F$4:$ABM$4,"Часы",INDEX(Техника!$G$1:$ABN$500,F$2,0),$A$1096,INDEX(Техника!$H$1:$ABO$500,F$2,0),"М")</f>
        <v>0</v>
      </c>
      <c r="G1097" s="50">
        <f>SUMIFS(INDEX(Техника!$F$1:$ABM$500,G$2,0),Техника!$F$4:$ABM$4,"Часы",INDEX(Техника!$G$1:$ABN$500,G$2,0),$A$1096,INDEX(Техника!$H$1:$ABO$500,G$2,0),"М")</f>
        <v>0</v>
      </c>
      <c r="H1097" s="50">
        <f>SUMIFS(INDEX(Техника!$F$1:$ABM$500,H$2,0),Техника!$F$4:$ABM$4,"Часы",INDEX(Техника!$G$1:$ABN$500,H$2,0),$A$1096,INDEX(Техника!$H$1:$ABO$500,H$2,0),"М")</f>
        <v>0</v>
      </c>
      <c r="I1097" s="50">
        <f>SUMIFS(INDEX(Техника!$F$1:$ABM$500,I$2,0),Техника!$F$4:$ABM$4,"Часы",INDEX(Техника!$G$1:$ABN$500,I$2,0),$A$1096,INDEX(Техника!$H$1:$ABO$500,I$2,0),"М")</f>
        <v>0</v>
      </c>
      <c r="J1097" s="50">
        <f>SUMIFS(INDEX(Техника!$F$1:$ABM$500,J$2,0),Техника!$F$4:$ABM$4,"Часы",INDEX(Техника!$G$1:$ABN$500,J$2,0),$A$1096,INDEX(Техника!$H$1:$ABO$500,J$2,0),"М")</f>
        <v>0</v>
      </c>
      <c r="K1097" s="50">
        <f>SUMIFS(INDEX(Техника!$F$1:$ABM$500,K$2,0),Техника!$F$4:$ABM$4,"Часы",INDEX(Техника!$G$1:$ABN$500,K$2,0),$A$1096,INDEX(Техника!$H$1:$ABO$500,K$2,0),"М")</f>
        <v>0</v>
      </c>
      <c r="L1097" s="50">
        <f>SUMIFS(INDEX(Техника!$F$1:$ABM$500,L$2,0),Техника!$F$4:$ABM$4,"Часы",INDEX(Техника!$G$1:$ABN$500,L$2,0),$A$1096,INDEX(Техника!$H$1:$ABO$500,L$2,0),"М")</f>
        <v>0</v>
      </c>
      <c r="M1097" s="50">
        <f>SUMIFS(INDEX(Техника!$F$1:$ABM$500,M$2,0),Техника!$F$4:$ABM$4,"Часы",INDEX(Техника!$G$1:$ABN$500,M$2,0),$A$1096,INDEX(Техника!$H$1:$ABO$500,M$2,0),"М")</f>
        <v>0</v>
      </c>
      <c r="N1097" s="50">
        <f>SUMIFS(INDEX(Техника!$F$1:$ABM$500,N$2,0),Техника!$F$4:$ABM$4,"Часы",INDEX(Техника!$G$1:$ABN$500,N$2,0),$A$1096,INDEX(Техника!$H$1:$ABO$500,N$2,0),"М")</f>
        <v>0</v>
      </c>
      <c r="O1097" s="50">
        <f>SUMIFS(INDEX(Техника!$F$1:$ABM$500,O$2,0),Техника!$F$4:$ABM$4,"Часы",INDEX(Техника!$G$1:$ABN$500,O$2,0),$A$1096,INDEX(Техника!$H$1:$ABO$500,O$2,0),"М")</f>
        <v>0</v>
      </c>
      <c r="P1097" s="50">
        <f>SUMIFS(INDEX(Техника!$F$1:$ABM$500,P$2,0),Техника!$F$4:$ABM$4,"Часы",INDEX(Техника!$G$1:$ABN$500,P$2,0),$A$1096,INDEX(Техника!$H$1:$ABO$500,P$2,0),"М")</f>
        <v>0</v>
      </c>
      <c r="Q1097" s="50">
        <f>SUMIFS(INDEX(Техника!$F$1:$ABM$500,Q$2,0),Техника!$F$4:$ABM$4,"Часы",INDEX(Техника!$G$1:$ABN$500,Q$2,0),$A$1096,INDEX(Техника!$H$1:$ABO$500,Q$2,0),"М")</f>
        <v>0</v>
      </c>
      <c r="R1097" s="50">
        <f>SUMIFS(INDEX(Техника!$F$1:$ABM$500,R$2,0),Техника!$F$4:$ABM$4,"Часы",INDEX(Техника!$G$1:$ABN$500,R$2,0),$A$1096,INDEX(Техника!$H$1:$ABO$500,R$2,0),"М")</f>
        <v>0</v>
      </c>
      <c r="S1097" s="50">
        <f>SUMIFS(INDEX(Техника!$F$1:$ABM$500,S$2,0),Техника!$F$4:$ABM$4,"Часы",INDEX(Техника!$G$1:$ABN$500,S$2,0),$A$1096,INDEX(Техника!$H$1:$ABO$500,S$2,0),"М")</f>
        <v>0</v>
      </c>
      <c r="T1097" s="50">
        <f>SUMIFS(INDEX(Техника!$F$1:$ABM$500,T$2,0),Техника!$F$4:$ABM$4,"Часы",INDEX(Техника!$G$1:$ABN$500,T$2,0),$A$1096,INDEX(Техника!$H$1:$ABO$500,T$2,0),"М")</f>
        <v>0</v>
      </c>
      <c r="U1097" s="50">
        <f>SUMIFS(INDEX(Техника!$F$1:$ABM$500,U$2,0),Техника!$F$4:$ABM$4,"Часы",INDEX(Техника!$G$1:$ABN$500,U$2,0),$A$1096,INDEX(Техника!$H$1:$ABO$500,U$2,0),"М")</f>
        <v>0</v>
      </c>
      <c r="V1097" s="50">
        <f>SUMIFS(INDEX(Техника!$F$1:$ABM$500,V$2,0),Техника!$F$4:$ABM$4,"Часы",INDEX(Техника!$G$1:$ABN$500,V$2,0),$A$1096,INDEX(Техника!$H$1:$ABO$500,V$2,0),"М")</f>
        <v>0</v>
      </c>
      <c r="W1097" s="50">
        <f>SUMIFS(INDEX(Техника!$F$1:$ABM$500,W$2,0),Техника!$F$4:$ABM$4,"Часы",INDEX(Техника!$G$1:$ABN$500,W$2,0),$A$1096,INDEX(Техника!$H$1:$ABO$500,W$2,0),"М")</f>
        <v>0</v>
      </c>
      <c r="X1097" s="50">
        <f>SUMIFS(INDEX(Техника!$F$1:$ABM$500,X$2,0),Техника!$F$4:$ABM$4,"Часы",INDEX(Техника!$G$1:$ABN$500,X$2,0),$A$1096,INDEX(Техника!$H$1:$ABO$500,X$2,0),"М")</f>
        <v>0</v>
      </c>
      <c r="Y1097" s="50">
        <f>SUMIFS(INDEX(Техника!$F$1:$ABM$500,Y$2,0),Техника!$F$4:$ABM$4,"Часы",INDEX(Техника!$G$1:$ABN$500,Y$2,0),$A$1096,INDEX(Техника!$H$1:$ABO$500,Y$2,0),"М")</f>
        <v>0</v>
      </c>
      <c r="Z1097" s="50">
        <f>SUMIFS(INDEX(Техника!$F$1:$ABM$500,Z$2,0),Техника!$F$4:$ABM$4,"Часы",INDEX(Техника!$G$1:$ABN$500,Z$2,0),$A$1096,INDEX(Техника!$H$1:$ABO$500,Z$2,0),"М")</f>
        <v>0</v>
      </c>
      <c r="AA1097" s="50">
        <f>SUMIFS(INDEX(Техника!$F$1:$ABM$500,AA$2,0),Техника!$F$4:$ABM$4,"Часы",INDEX(Техника!$G$1:$ABN$500,AA$2,0),$A$1096,INDEX(Техника!$H$1:$ABO$500,AA$2,0),"М")</f>
        <v>0</v>
      </c>
      <c r="AB1097" s="50">
        <f>SUMIFS(INDEX(Техника!$F$1:$ABM$500,AB$2,0),Техника!$F$4:$ABM$4,"Часы",INDEX(Техника!$G$1:$ABN$500,AB$2,0),$A$1096,INDEX(Техника!$H$1:$ABO$500,AB$2,0),"М")</f>
        <v>0</v>
      </c>
    </row>
    <row r="1098" spans="1:28" hidden="1" outlineLevel="1" x14ac:dyDescent="0.3">
      <c r="A1098" s="33" t="s">
        <v>244</v>
      </c>
      <c r="B1098" s="34" t="s">
        <v>275</v>
      </c>
      <c r="C1098" s="50">
        <f>SUMIFS(INDEX(Техника!$F$1:$ABM$500,C$2,0),Техника!$F$4:$ABM$4,"Часы",INDEX(Техника!$G$1:$ABN$500,C$2,0),$A$1096,INDEX(Техника!$H$1:$ABO$500,C$2,0),"Д")</f>
        <v>0</v>
      </c>
      <c r="D1098" s="50">
        <f>SUMIFS(INDEX(Техника!$F$1:$ABM$500,D$2,0),Техника!$F$4:$ABM$4,"Часы",INDEX(Техника!$G$1:$ABN$500,D$2,0),$A$1096,INDEX(Техника!$H$1:$ABO$500,D$2,0),"Д")</f>
        <v>0</v>
      </c>
      <c r="E1098" s="50">
        <f>SUMIFS(INDEX(Техника!$F$1:$ABM$500,E$2,0),Техника!$F$4:$ABM$4,"Часы",INDEX(Техника!$G$1:$ABN$500,E$2,0),$A$1096,INDEX(Техника!$H$1:$ABO$500,E$2,0),"Д")</f>
        <v>0</v>
      </c>
      <c r="F1098" s="50">
        <f>SUMIFS(INDEX(Техника!$F$1:$ABM$500,F$2,0),Техника!$F$4:$ABM$4,"Часы",INDEX(Техника!$G$1:$ABN$500,F$2,0),$A$1096,INDEX(Техника!$H$1:$ABO$500,F$2,0),"Д")</f>
        <v>0</v>
      </c>
      <c r="G1098" s="50">
        <f>SUMIFS(INDEX(Техника!$F$1:$ABM$500,G$2,0),Техника!$F$4:$ABM$4,"Часы",INDEX(Техника!$G$1:$ABN$500,G$2,0),$A$1096,INDEX(Техника!$H$1:$ABO$500,G$2,0),"Д")</f>
        <v>0</v>
      </c>
      <c r="H1098" s="50">
        <f>SUMIFS(INDEX(Техника!$F$1:$ABM$500,H$2,0),Техника!$F$4:$ABM$4,"Часы",INDEX(Техника!$G$1:$ABN$500,H$2,0),$A$1096,INDEX(Техника!$H$1:$ABO$500,H$2,0),"Д")</f>
        <v>0</v>
      </c>
      <c r="I1098" s="50">
        <f>SUMIFS(INDEX(Техника!$F$1:$ABM$500,I$2,0),Техника!$F$4:$ABM$4,"Часы",INDEX(Техника!$G$1:$ABN$500,I$2,0),$A$1096,INDEX(Техника!$H$1:$ABO$500,I$2,0),"Д")</f>
        <v>0</v>
      </c>
      <c r="J1098" s="50">
        <f>SUMIFS(INDEX(Техника!$F$1:$ABM$500,J$2,0),Техника!$F$4:$ABM$4,"Часы",INDEX(Техника!$G$1:$ABN$500,J$2,0),$A$1096,INDEX(Техника!$H$1:$ABO$500,J$2,0),"Д")</f>
        <v>0</v>
      </c>
      <c r="K1098" s="50">
        <f>SUMIFS(INDEX(Техника!$F$1:$ABM$500,K$2,0),Техника!$F$4:$ABM$4,"Часы",INDEX(Техника!$G$1:$ABN$500,K$2,0),$A$1096,INDEX(Техника!$H$1:$ABO$500,K$2,0),"Д")</f>
        <v>0</v>
      </c>
      <c r="L1098" s="50">
        <f>SUMIFS(INDEX(Техника!$F$1:$ABM$500,L$2,0),Техника!$F$4:$ABM$4,"Часы",INDEX(Техника!$G$1:$ABN$500,L$2,0),$A$1096,INDEX(Техника!$H$1:$ABO$500,L$2,0),"Д")</f>
        <v>0</v>
      </c>
      <c r="M1098" s="50">
        <f>SUMIFS(INDEX(Техника!$F$1:$ABM$500,M$2,0),Техника!$F$4:$ABM$4,"Часы",INDEX(Техника!$G$1:$ABN$500,M$2,0),$A$1096,INDEX(Техника!$H$1:$ABO$500,M$2,0),"Д")</f>
        <v>0</v>
      </c>
      <c r="N1098" s="50">
        <f>SUMIFS(INDEX(Техника!$F$1:$ABM$500,N$2,0),Техника!$F$4:$ABM$4,"Часы",INDEX(Техника!$G$1:$ABN$500,N$2,0),$A$1096,INDEX(Техника!$H$1:$ABO$500,N$2,0),"Д")</f>
        <v>0</v>
      </c>
      <c r="O1098" s="50">
        <f>SUMIFS(INDEX(Техника!$F$1:$ABM$500,O$2,0),Техника!$F$4:$ABM$4,"Часы",INDEX(Техника!$G$1:$ABN$500,O$2,0),$A$1096,INDEX(Техника!$H$1:$ABO$500,O$2,0),"Д")</f>
        <v>0</v>
      </c>
      <c r="P1098" s="50">
        <f>SUMIFS(INDEX(Техника!$F$1:$ABM$500,P$2,0),Техника!$F$4:$ABM$4,"Часы",INDEX(Техника!$G$1:$ABN$500,P$2,0),$A$1096,INDEX(Техника!$H$1:$ABO$500,P$2,0),"Д")</f>
        <v>0</v>
      </c>
      <c r="Q1098" s="50">
        <f>SUMIFS(INDEX(Техника!$F$1:$ABM$500,Q$2,0),Техника!$F$4:$ABM$4,"Часы",INDEX(Техника!$G$1:$ABN$500,Q$2,0),$A$1096,INDEX(Техника!$H$1:$ABO$500,Q$2,0),"Д")</f>
        <v>0</v>
      </c>
      <c r="R1098" s="50">
        <f>SUMIFS(INDEX(Техника!$F$1:$ABM$500,R$2,0),Техника!$F$4:$ABM$4,"Часы",INDEX(Техника!$G$1:$ABN$500,R$2,0),$A$1096,INDEX(Техника!$H$1:$ABO$500,R$2,0),"Д")</f>
        <v>0</v>
      </c>
      <c r="S1098" s="50">
        <f>SUMIFS(INDEX(Техника!$F$1:$ABM$500,S$2,0),Техника!$F$4:$ABM$4,"Часы",INDEX(Техника!$G$1:$ABN$500,S$2,0),$A$1096,INDEX(Техника!$H$1:$ABO$500,S$2,0),"Д")</f>
        <v>0</v>
      </c>
      <c r="T1098" s="50">
        <f>SUMIFS(INDEX(Техника!$F$1:$ABM$500,T$2,0),Техника!$F$4:$ABM$4,"Часы",INDEX(Техника!$G$1:$ABN$500,T$2,0),$A$1096,INDEX(Техника!$H$1:$ABO$500,T$2,0),"Д")</f>
        <v>0</v>
      </c>
      <c r="U1098" s="50">
        <f>SUMIFS(INDEX(Техника!$F$1:$ABM$500,U$2,0),Техника!$F$4:$ABM$4,"Часы",INDEX(Техника!$G$1:$ABN$500,U$2,0),$A$1096,INDEX(Техника!$H$1:$ABO$500,U$2,0),"Д")</f>
        <v>0</v>
      </c>
      <c r="V1098" s="50">
        <f>SUMIFS(INDEX(Техника!$F$1:$ABM$500,V$2,0),Техника!$F$4:$ABM$4,"Часы",INDEX(Техника!$G$1:$ABN$500,V$2,0),$A$1096,INDEX(Техника!$H$1:$ABO$500,V$2,0),"Д")</f>
        <v>0</v>
      </c>
      <c r="W1098" s="50">
        <f>SUMIFS(INDEX(Техника!$F$1:$ABM$500,W$2,0),Техника!$F$4:$ABM$4,"Часы",INDEX(Техника!$G$1:$ABN$500,W$2,0),$A$1096,INDEX(Техника!$H$1:$ABO$500,W$2,0),"Д")</f>
        <v>0</v>
      </c>
      <c r="X1098" s="50">
        <f>SUMIFS(INDEX(Техника!$F$1:$ABM$500,X$2,0),Техника!$F$4:$ABM$4,"Часы",INDEX(Техника!$G$1:$ABN$500,X$2,0),$A$1096,INDEX(Техника!$H$1:$ABO$500,X$2,0),"Д")</f>
        <v>0</v>
      </c>
      <c r="Y1098" s="50">
        <f>SUMIFS(INDEX(Техника!$F$1:$ABM$500,Y$2,0),Техника!$F$4:$ABM$4,"Часы",INDEX(Техника!$G$1:$ABN$500,Y$2,0),$A$1096,INDEX(Техника!$H$1:$ABO$500,Y$2,0),"Д")</f>
        <v>0</v>
      </c>
      <c r="Z1098" s="50">
        <f>SUMIFS(INDEX(Техника!$F$1:$ABM$500,Z$2,0),Техника!$F$4:$ABM$4,"Часы",INDEX(Техника!$G$1:$ABN$500,Z$2,0),$A$1096,INDEX(Техника!$H$1:$ABO$500,Z$2,0),"Д")</f>
        <v>0</v>
      </c>
      <c r="AA1098" s="50">
        <f>SUMIFS(INDEX(Техника!$F$1:$ABM$500,AA$2,0),Техника!$F$4:$ABM$4,"Часы",INDEX(Техника!$G$1:$ABN$500,AA$2,0),$A$1096,INDEX(Техника!$H$1:$ABO$500,AA$2,0),"Д")</f>
        <v>0</v>
      </c>
      <c r="AB1098" s="50">
        <f>SUMIFS(INDEX(Техника!$F$1:$ABM$500,AB$2,0),Техника!$F$4:$ABM$4,"Часы",INDEX(Техника!$G$1:$ABN$500,AB$2,0),$A$1096,INDEX(Техника!$H$1:$ABO$500,AB$2,0),"Д")</f>
        <v>0</v>
      </c>
    </row>
    <row r="1099" spans="1:28" hidden="1" outlineLevel="1" x14ac:dyDescent="0.3">
      <c r="A1099" s="33" t="s">
        <v>276</v>
      </c>
      <c r="B1099" s="34" t="s">
        <v>277</v>
      </c>
      <c r="C1099" s="50">
        <f>SUMIFS(INDEX(Техника!$F$1:$ABM$500,C$2,0),Техника!$F$4:$ABM$4,"Часы",INDEX(Техника!$G$1:$ABN$500,C$2,0),$A$1096,INDEX(Техника!$H$1:$ABO$500,C$2,0),"П")</f>
        <v>0</v>
      </c>
      <c r="D1099" s="50">
        <f>SUMIFS(INDEX(Техника!$F$1:$ABM$500,D$2,0),Техника!$F$4:$ABM$4,"Часы",INDEX(Техника!$G$1:$ABN$500,D$2,0),$A$1096,INDEX(Техника!$H$1:$ABO$500,D$2,0),"П")</f>
        <v>0</v>
      </c>
      <c r="E1099" s="50">
        <f>SUMIFS(INDEX(Техника!$F$1:$ABM$500,E$2,0),Техника!$F$4:$ABM$4,"Часы",INDEX(Техника!$G$1:$ABN$500,E$2,0),$A$1096,INDEX(Техника!$H$1:$ABO$500,E$2,0),"П")</f>
        <v>0</v>
      </c>
      <c r="F1099" s="50">
        <f>SUMIFS(INDEX(Техника!$F$1:$ABM$500,F$2,0),Техника!$F$4:$ABM$4,"Часы",INDEX(Техника!$G$1:$ABN$500,F$2,0),$A$1096,INDEX(Техника!$H$1:$ABO$500,F$2,0),"П")</f>
        <v>0</v>
      </c>
      <c r="G1099" s="50">
        <f>SUMIFS(INDEX(Техника!$F$1:$ABM$500,G$2,0),Техника!$F$4:$ABM$4,"Часы",INDEX(Техника!$G$1:$ABN$500,G$2,0),$A$1096,INDEX(Техника!$H$1:$ABO$500,G$2,0),"П")</f>
        <v>0</v>
      </c>
      <c r="H1099" s="50">
        <f>SUMIFS(INDEX(Техника!$F$1:$ABM$500,H$2,0),Техника!$F$4:$ABM$4,"Часы",INDEX(Техника!$G$1:$ABN$500,H$2,0),$A$1096,INDEX(Техника!$H$1:$ABO$500,H$2,0),"П")</f>
        <v>0</v>
      </c>
      <c r="I1099" s="50">
        <f>SUMIFS(INDEX(Техника!$F$1:$ABM$500,I$2,0),Техника!$F$4:$ABM$4,"Часы",INDEX(Техника!$G$1:$ABN$500,I$2,0),$A$1096,INDEX(Техника!$H$1:$ABO$500,I$2,0),"П")</f>
        <v>0</v>
      </c>
      <c r="J1099" s="50">
        <f>SUMIFS(INDEX(Техника!$F$1:$ABM$500,J$2,0),Техника!$F$4:$ABM$4,"Часы",INDEX(Техника!$G$1:$ABN$500,J$2,0),$A$1096,INDEX(Техника!$H$1:$ABO$500,J$2,0),"П")</f>
        <v>0</v>
      </c>
      <c r="K1099" s="50">
        <f>SUMIFS(INDEX(Техника!$F$1:$ABM$500,K$2,0),Техника!$F$4:$ABM$4,"Часы",INDEX(Техника!$G$1:$ABN$500,K$2,0),$A$1096,INDEX(Техника!$H$1:$ABO$500,K$2,0),"П")</f>
        <v>0</v>
      </c>
      <c r="L1099" s="50">
        <f>SUMIFS(INDEX(Техника!$F$1:$ABM$500,L$2,0),Техника!$F$4:$ABM$4,"Часы",INDEX(Техника!$G$1:$ABN$500,L$2,0),$A$1096,INDEX(Техника!$H$1:$ABO$500,L$2,0),"П")</f>
        <v>0</v>
      </c>
      <c r="M1099" s="50">
        <f>SUMIFS(INDEX(Техника!$F$1:$ABM$500,M$2,0),Техника!$F$4:$ABM$4,"Часы",INDEX(Техника!$G$1:$ABN$500,M$2,0),$A$1096,INDEX(Техника!$H$1:$ABO$500,M$2,0),"П")</f>
        <v>0</v>
      </c>
      <c r="N1099" s="50">
        <f>SUMIFS(INDEX(Техника!$F$1:$ABM$500,N$2,0),Техника!$F$4:$ABM$4,"Часы",INDEX(Техника!$G$1:$ABN$500,N$2,0),$A$1096,INDEX(Техника!$H$1:$ABO$500,N$2,0),"П")</f>
        <v>0</v>
      </c>
      <c r="O1099" s="50">
        <f>SUMIFS(INDEX(Техника!$F$1:$ABM$500,O$2,0),Техника!$F$4:$ABM$4,"Часы",INDEX(Техника!$G$1:$ABN$500,O$2,0),$A$1096,INDEX(Техника!$H$1:$ABO$500,O$2,0),"П")</f>
        <v>0</v>
      </c>
      <c r="P1099" s="50">
        <f>SUMIFS(INDEX(Техника!$F$1:$ABM$500,P$2,0),Техника!$F$4:$ABM$4,"Часы",INDEX(Техника!$G$1:$ABN$500,P$2,0),$A$1096,INDEX(Техника!$H$1:$ABO$500,P$2,0),"П")</f>
        <v>0</v>
      </c>
      <c r="Q1099" s="50">
        <f>SUMIFS(INDEX(Техника!$F$1:$ABM$500,Q$2,0),Техника!$F$4:$ABM$4,"Часы",INDEX(Техника!$G$1:$ABN$500,Q$2,0),$A$1096,INDEX(Техника!$H$1:$ABO$500,Q$2,0),"П")</f>
        <v>0</v>
      </c>
      <c r="R1099" s="50">
        <f>SUMIFS(INDEX(Техника!$F$1:$ABM$500,R$2,0),Техника!$F$4:$ABM$4,"Часы",INDEX(Техника!$G$1:$ABN$500,R$2,0),$A$1096,INDEX(Техника!$H$1:$ABO$500,R$2,0),"П")</f>
        <v>0</v>
      </c>
      <c r="S1099" s="50">
        <f>SUMIFS(INDEX(Техника!$F$1:$ABM$500,S$2,0),Техника!$F$4:$ABM$4,"Часы",INDEX(Техника!$G$1:$ABN$500,S$2,0),$A$1096,INDEX(Техника!$H$1:$ABO$500,S$2,0),"П")</f>
        <v>0</v>
      </c>
      <c r="T1099" s="50">
        <f>SUMIFS(INDEX(Техника!$F$1:$ABM$500,T$2,0),Техника!$F$4:$ABM$4,"Часы",INDEX(Техника!$G$1:$ABN$500,T$2,0),$A$1096,INDEX(Техника!$H$1:$ABO$500,T$2,0),"П")</f>
        <v>0</v>
      </c>
      <c r="U1099" s="50">
        <f>SUMIFS(INDEX(Техника!$F$1:$ABM$500,U$2,0),Техника!$F$4:$ABM$4,"Часы",INDEX(Техника!$G$1:$ABN$500,U$2,0),$A$1096,INDEX(Техника!$H$1:$ABO$500,U$2,0),"П")</f>
        <v>0</v>
      </c>
      <c r="V1099" s="50">
        <f>SUMIFS(INDEX(Техника!$F$1:$ABM$500,V$2,0),Техника!$F$4:$ABM$4,"Часы",INDEX(Техника!$G$1:$ABN$500,V$2,0),$A$1096,INDEX(Техника!$H$1:$ABO$500,V$2,0),"П")</f>
        <v>0</v>
      </c>
      <c r="W1099" s="50">
        <f>SUMIFS(INDEX(Техника!$F$1:$ABM$500,W$2,0),Техника!$F$4:$ABM$4,"Часы",INDEX(Техника!$G$1:$ABN$500,W$2,0),$A$1096,INDEX(Техника!$H$1:$ABO$500,W$2,0),"П")</f>
        <v>0</v>
      </c>
      <c r="X1099" s="50">
        <f>SUMIFS(INDEX(Техника!$F$1:$ABM$500,X$2,0),Техника!$F$4:$ABM$4,"Часы",INDEX(Техника!$G$1:$ABN$500,X$2,0),$A$1096,INDEX(Техника!$H$1:$ABO$500,X$2,0),"П")</f>
        <v>0</v>
      </c>
      <c r="Y1099" s="50">
        <f>SUMIFS(INDEX(Техника!$F$1:$ABM$500,Y$2,0),Техника!$F$4:$ABM$4,"Часы",INDEX(Техника!$G$1:$ABN$500,Y$2,0),$A$1096,INDEX(Техника!$H$1:$ABO$500,Y$2,0),"П")</f>
        <v>0</v>
      </c>
      <c r="Z1099" s="50">
        <f>SUMIFS(INDEX(Техника!$F$1:$ABM$500,Z$2,0),Техника!$F$4:$ABM$4,"Часы",INDEX(Техника!$G$1:$ABN$500,Z$2,0),$A$1096,INDEX(Техника!$H$1:$ABO$500,Z$2,0),"П")</f>
        <v>0</v>
      </c>
      <c r="AA1099" s="50">
        <f>SUMIFS(INDEX(Техника!$F$1:$ABM$500,AA$2,0),Техника!$F$4:$ABM$4,"Часы",INDEX(Техника!$G$1:$ABN$500,AA$2,0),$A$1096,INDEX(Техника!$H$1:$ABO$500,AA$2,0),"П")</f>
        <v>0</v>
      </c>
      <c r="AB1099" s="50">
        <f>SUMIFS(INDEX(Техника!$F$1:$ABM$500,AB$2,0),Техника!$F$4:$ABM$4,"Часы",INDEX(Техника!$G$1:$ABN$500,AB$2,0),$A$1096,INDEX(Техника!$H$1:$ABO$500,AB$2,0),"П")</f>
        <v>0</v>
      </c>
    </row>
    <row r="1100" spans="1:28" hidden="1" outlineLevel="1" x14ac:dyDescent="0.3">
      <c r="A1100" s="33" t="s">
        <v>243</v>
      </c>
      <c r="B1100" s="34" t="s">
        <v>278</v>
      </c>
      <c r="C1100" s="50">
        <f>SUMIFS(INDEX(Техника!$F$1:$ABM$500,C$2,0),Техника!$F$4:$ABM$4,"Часы",INDEX(Техника!$G$1:$ABN$500,C$2,0),$A$1096,INDEX(Техника!$H$1:$ABO$500,C$2,0),"Л")</f>
        <v>0</v>
      </c>
      <c r="D1100" s="50">
        <f>SUMIFS(INDEX(Техника!$F$1:$ABM$500,D$2,0),Техника!$F$4:$ABM$4,"Часы",INDEX(Техника!$G$1:$ABN$500,D$2,0),$A$1096,INDEX(Техника!$H$1:$ABO$500,D$2,0),"Л")</f>
        <v>0</v>
      </c>
      <c r="E1100" s="50">
        <f>SUMIFS(INDEX(Техника!$F$1:$ABM$500,E$2,0),Техника!$F$4:$ABM$4,"Часы",INDEX(Техника!$G$1:$ABN$500,E$2,0),$A$1096,INDEX(Техника!$H$1:$ABO$500,E$2,0),"Л")</f>
        <v>0</v>
      </c>
      <c r="F1100" s="50">
        <f>SUMIFS(INDEX(Техника!$F$1:$ABM$500,F$2,0),Техника!$F$4:$ABM$4,"Часы",INDEX(Техника!$G$1:$ABN$500,F$2,0),$A$1096,INDEX(Техника!$H$1:$ABO$500,F$2,0),"Л")</f>
        <v>0</v>
      </c>
      <c r="G1100" s="50">
        <f>SUMIFS(INDEX(Техника!$F$1:$ABM$500,G$2,0),Техника!$F$4:$ABM$4,"Часы",INDEX(Техника!$G$1:$ABN$500,G$2,0),$A$1096,INDEX(Техника!$H$1:$ABO$500,G$2,0),"Л")</f>
        <v>0</v>
      </c>
      <c r="H1100" s="50">
        <f>SUMIFS(INDEX(Техника!$F$1:$ABM$500,H$2,0),Техника!$F$4:$ABM$4,"Часы",INDEX(Техника!$G$1:$ABN$500,H$2,0),$A$1096,INDEX(Техника!$H$1:$ABO$500,H$2,0),"Л")</f>
        <v>0</v>
      </c>
      <c r="I1100" s="50">
        <f>SUMIFS(INDEX(Техника!$F$1:$ABM$500,I$2,0),Техника!$F$4:$ABM$4,"Часы",INDEX(Техника!$G$1:$ABN$500,I$2,0),$A$1096,INDEX(Техника!$H$1:$ABO$500,I$2,0),"Л")</f>
        <v>0</v>
      </c>
      <c r="J1100" s="50">
        <f>SUMIFS(INDEX(Техника!$F$1:$ABM$500,J$2,0),Техника!$F$4:$ABM$4,"Часы",INDEX(Техника!$G$1:$ABN$500,J$2,0),$A$1096,INDEX(Техника!$H$1:$ABO$500,J$2,0),"Л")</f>
        <v>0</v>
      </c>
      <c r="K1100" s="50">
        <f>SUMIFS(INDEX(Техника!$F$1:$ABM$500,K$2,0),Техника!$F$4:$ABM$4,"Часы",INDEX(Техника!$G$1:$ABN$500,K$2,0),$A$1096,INDEX(Техника!$H$1:$ABO$500,K$2,0),"Л")</f>
        <v>0</v>
      </c>
      <c r="L1100" s="50">
        <f>SUMIFS(INDEX(Техника!$F$1:$ABM$500,L$2,0),Техника!$F$4:$ABM$4,"Часы",INDEX(Техника!$G$1:$ABN$500,L$2,0),$A$1096,INDEX(Техника!$H$1:$ABO$500,L$2,0),"Л")</f>
        <v>0</v>
      </c>
      <c r="M1100" s="50">
        <f>SUMIFS(INDEX(Техника!$F$1:$ABM$500,M$2,0),Техника!$F$4:$ABM$4,"Часы",INDEX(Техника!$G$1:$ABN$500,M$2,0),$A$1096,INDEX(Техника!$H$1:$ABO$500,M$2,0),"Л")</f>
        <v>0</v>
      </c>
      <c r="N1100" s="50">
        <f>SUMIFS(INDEX(Техника!$F$1:$ABM$500,N$2,0),Техника!$F$4:$ABM$4,"Часы",INDEX(Техника!$G$1:$ABN$500,N$2,0),$A$1096,INDEX(Техника!$H$1:$ABO$500,N$2,0),"Л")</f>
        <v>0</v>
      </c>
      <c r="O1100" s="50">
        <f>SUMIFS(INDEX(Техника!$F$1:$ABM$500,O$2,0),Техника!$F$4:$ABM$4,"Часы",INDEX(Техника!$G$1:$ABN$500,O$2,0),$A$1096,INDEX(Техника!$H$1:$ABO$500,O$2,0),"Л")</f>
        <v>0</v>
      </c>
      <c r="P1100" s="50">
        <f>SUMIFS(INDEX(Техника!$F$1:$ABM$500,P$2,0),Техника!$F$4:$ABM$4,"Часы",INDEX(Техника!$G$1:$ABN$500,P$2,0),$A$1096,INDEX(Техника!$H$1:$ABO$500,P$2,0),"Л")</f>
        <v>0</v>
      </c>
      <c r="Q1100" s="50">
        <f>SUMIFS(INDEX(Техника!$F$1:$ABM$500,Q$2,0),Техника!$F$4:$ABM$4,"Часы",INDEX(Техника!$G$1:$ABN$500,Q$2,0),$A$1096,INDEX(Техника!$H$1:$ABO$500,Q$2,0),"Л")</f>
        <v>0</v>
      </c>
      <c r="R1100" s="50">
        <f>SUMIFS(INDEX(Техника!$F$1:$ABM$500,R$2,0),Техника!$F$4:$ABM$4,"Часы",INDEX(Техника!$G$1:$ABN$500,R$2,0),$A$1096,INDEX(Техника!$H$1:$ABO$500,R$2,0),"Л")</f>
        <v>0</v>
      </c>
      <c r="S1100" s="50">
        <f>SUMIFS(INDEX(Техника!$F$1:$ABM$500,S$2,0),Техника!$F$4:$ABM$4,"Часы",INDEX(Техника!$G$1:$ABN$500,S$2,0),$A$1096,INDEX(Техника!$H$1:$ABO$500,S$2,0),"Л")</f>
        <v>0</v>
      </c>
      <c r="T1100" s="50">
        <f>SUMIFS(INDEX(Техника!$F$1:$ABM$500,T$2,0),Техника!$F$4:$ABM$4,"Часы",INDEX(Техника!$G$1:$ABN$500,T$2,0),$A$1096,INDEX(Техника!$H$1:$ABO$500,T$2,0),"Л")</f>
        <v>0</v>
      </c>
      <c r="U1100" s="50">
        <f>SUMIFS(INDEX(Техника!$F$1:$ABM$500,U$2,0),Техника!$F$4:$ABM$4,"Часы",INDEX(Техника!$G$1:$ABN$500,U$2,0),$A$1096,INDEX(Техника!$H$1:$ABO$500,U$2,0),"Л")</f>
        <v>0</v>
      </c>
      <c r="V1100" s="50">
        <f>SUMIFS(INDEX(Техника!$F$1:$ABM$500,V$2,0),Техника!$F$4:$ABM$4,"Часы",INDEX(Техника!$G$1:$ABN$500,V$2,0),$A$1096,INDEX(Техника!$H$1:$ABO$500,V$2,0),"Л")</f>
        <v>0</v>
      </c>
      <c r="W1100" s="50">
        <f>SUMIFS(INDEX(Техника!$F$1:$ABM$500,W$2,0),Техника!$F$4:$ABM$4,"Часы",INDEX(Техника!$G$1:$ABN$500,W$2,0),$A$1096,INDEX(Техника!$H$1:$ABO$500,W$2,0),"Л")</f>
        <v>0</v>
      </c>
      <c r="X1100" s="50">
        <f>SUMIFS(INDEX(Техника!$F$1:$ABM$500,X$2,0),Техника!$F$4:$ABM$4,"Часы",INDEX(Техника!$G$1:$ABN$500,X$2,0),$A$1096,INDEX(Техника!$H$1:$ABO$500,X$2,0),"Л")</f>
        <v>0</v>
      </c>
      <c r="Y1100" s="50">
        <f>SUMIFS(INDEX(Техника!$F$1:$ABM$500,Y$2,0),Техника!$F$4:$ABM$4,"Часы",INDEX(Техника!$G$1:$ABN$500,Y$2,0),$A$1096,INDEX(Техника!$H$1:$ABO$500,Y$2,0),"Л")</f>
        <v>0</v>
      </c>
      <c r="Z1100" s="50">
        <f>SUMIFS(INDEX(Техника!$F$1:$ABM$500,Z$2,0),Техника!$F$4:$ABM$4,"Часы",INDEX(Техника!$G$1:$ABN$500,Z$2,0),$A$1096,INDEX(Техника!$H$1:$ABO$500,Z$2,0),"Л")</f>
        <v>0</v>
      </c>
      <c r="AA1100" s="50">
        <f>SUMIFS(INDEX(Техника!$F$1:$ABM$500,AA$2,0),Техника!$F$4:$ABM$4,"Часы",INDEX(Техника!$G$1:$ABN$500,AA$2,0),$A$1096,INDEX(Техника!$H$1:$ABO$500,AA$2,0),"Л")</f>
        <v>0</v>
      </c>
      <c r="AB1100" s="50">
        <f>SUMIFS(INDEX(Техника!$F$1:$ABM$500,AB$2,0),Техника!$F$4:$ABM$4,"Часы",INDEX(Техника!$G$1:$ABN$500,AB$2,0),$A$1096,INDEX(Техника!$H$1:$ABO$500,AB$2,0),"Л")</f>
        <v>0</v>
      </c>
    </row>
    <row r="1101" spans="1:28" hidden="1" outlineLevel="1" x14ac:dyDescent="0.3">
      <c r="A1101" s="33" t="s">
        <v>245</v>
      </c>
      <c r="B1101" s="34" t="s">
        <v>279</v>
      </c>
      <c r="C1101" s="50">
        <f>SUMIFS(INDEX(Техника!$F$1:$ABM$500,C$2,0),Техника!$F$4:$ABM$4,"Часы",INDEX(Техника!$G$1:$ABN$500,C$2,0),$A$1096,INDEX(Техника!$H$1:$ABO$500,C$2,0),"З")</f>
        <v>0</v>
      </c>
      <c r="D1101" s="50">
        <f>SUMIFS(INDEX(Техника!$F$1:$ABM$500,D$2,0),Техника!$F$4:$ABM$4,"Часы",INDEX(Техника!$G$1:$ABN$500,D$2,0),$A$1096,INDEX(Техника!$H$1:$ABO$500,D$2,0),"З")</f>
        <v>0</v>
      </c>
      <c r="E1101" s="50">
        <f>SUMIFS(INDEX(Техника!$F$1:$ABM$500,E$2,0),Техника!$F$4:$ABM$4,"Часы",INDEX(Техника!$G$1:$ABN$500,E$2,0),$A$1096,INDEX(Техника!$H$1:$ABO$500,E$2,0),"З")</f>
        <v>0</v>
      </c>
      <c r="F1101" s="50">
        <f>SUMIFS(INDEX(Техника!$F$1:$ABM$500,F$2,0),Техника!$F$4:$ABM$4,"Часы",INDEX(Техника!$G$1:$ABN$500,F$2,0),$A$1096,INDEX(Техника!$H$1:$ABO$500,F$2,0),"З")</f>
        <v>0</v>
      </c>
      <c r="G1101" s="50">
        <f>SUMIFS(INDEX(Техника!$F$1:$ABM$500,G$2,0),Техника!$F$4:$ABM$4,"Часы",INDEX(Техника!$G$1:$ABN$500,G$2,0),$A$1096,INDEX(Техника!$H$1:$ABO$500,G$2,0),"З")</f>
        <v>0</v>
      </c>
      <c r="H1101" s="50">
        <f>SUMIFS(INDEX(Техника!$F$1:$ABM$500,H$2,0),Техника!$F$4:$ABM$4,"Часы",INDEX(Техника!$G$1:$ABN$500,H$2,0),$A$1096,INDEX(Техника!$H$1:$ABO$500,H$2,0),"З")</f>
        <v>0</v>
      </c>
      <c r="I1101" s="50">
        <f>SUMIFS(INDEX(Техника!$F$1:$ABM$500,I$2,0),Техника!$F$4:$ABM$4,"Часы",INDEX(Техника!$G$1:$ABN$500,I$2,0),$A$1096,INDEX(Техника!$H$1:$ABO$500,I$2,0),"З")</f>
        <v>0</v>
      </c>
      <c r="J1101" s="50">
        <f>SUMIFS(INDEX(Техника!$F$1:$ABM$500,J$2,0),Техника!$F$4:$ABM$4,"Часы",INDEX(Техника!$G$1:$ABN$500,J$2,0),$A$1096,INDEX(Техника!$H$1:$ABO$500,J$2,0),"З")</f>
        <v>0</v>
      </c>
      <c r="K1101" s="50">
        <f>SUMIFS(INDEX(Техника!$F$1:$ABM$500,K$2,0),Техника!$F$4:$ABM$4,"Часы",INDEX(Техника!$G$1:$ABN$500,K$2,0),$A$1096,INDEX(Техника!$H$1:$ABO$500,K$2,0),"З")</f>
        <v>0</v>
      </c>
      <c r="L1101" s="50">
        <f>SUMIFS(INDEX(Техника!$F$1:$ABM$500,L$2,0),Техника!$F$4:$ABM$4,"Часы",INDEX(Техника!$G$1:$ABN$500,L$2,0),$A$1096,INDEX(Техника!$H$1:$ABO$500,L$2,0),"З")</f>
        <v>0</v>
      </c>
      <c r="M1101" s="50">
        <f>SUMIFS(INDEX(Техника!$F$1:$ABM$500,M$2,0),Техника!$F$4:$ABM$4,"Часы",INDEX(Техника!$G$1:$ABN$500,M$2,0),$A$1096,INDEX(Техника!$H$1:$ABO$500,M$2,0),"З")</f>
        <v>0</v>
      </c>
      <c r="N1101" s="50">
        <f>SUMIFS(INDEX(Техника!$F$1:$ABM$500,N$2,0),Техника!$F$4:$ABM$4,"Часы",INDEX(Техника!$G$1:$ABN$500,N$2,0),$A$1096,INDEX(Техника!$H$1:$ABO$500,N$2,0),"З")</f>
        <v>0</v>
      </c>
      <c r="O1101" s="50">
        <f>SUMIFS(INDEX(Техника!$F$1:$ABM$500,O$2,0),Техника!$F$4:$ABM$4,"Часы",INDEX(Техника!$G$1:$ABN$500,O$2,0),$A$1096,INDEX(Техника!$H$1:$ABO$500,O$2,0),"З")</f>
        <v>0</v>
      </c>
      <c r="P1101" s="50">
        <f>SUMIFS(INDEX(Техника!$F$1:$ABM$500,P$2,0),Техника!$F$4:$ABM$4,"Часы",INDEX(Техника!$G$1:$ABN$500,P$2,0),$A$1096,INDEX(Техника!$H$1:$ABO$500,P$2,0),"З")</f>
        <v>0</v>
      </c>
      <c r="Q1101" s="50">
        <f>SUMIFS(INDEX(Техника!$F$1:$ABM$500,Q$2,0),Техника!$F$4:$ABM$4,"Часы",INDEX(Техника!$G$1:$ABN$500,Q$2,0),$A$1096,INDEX(Техника!$H$1:$ABO$500,Q$2,0),"З")</f>
        <v>0</v>
      </c>
      <c r="R1101" s="50">
        <f>SUMIFS(INDEX(Техника!$F$1:$ABM$500,R$2,0),Техника!$F$4:$ABM$4,"Часы",INDEX(Техника!$G$1:$ABN$500,R$2,0),$A$1096,INDEX(Техника!$H$1:$ABO$500,R$2,0),"З")</f>
        <v>0</v>
      </c>
      <c r="S1101" s="50">
        <f>SUMIFS(INDEX(Техника!$F$1:$ABM$500,S$2,0),Техника!$F$4:$ABM$4,"Часы",INDEX(Техника!$G$1:$ABN$500,S$2,0),$A$1096,INDEX(Техника!$H$1:$ABO$500,S$2,0),"З")</f>
        <v>0</v>
      </c>
      <c r="T1101" s="50">
        <f>SUMIFS(INDEX(Техника!$F$1:$ABM$500,T$2,0),Техника!$F$4:$ABM$4,"Часы",INDEX(Техника!$G$1:$ABN$500,T$2,0),$A$1096,INDEX(Техника!$H$1:$ABO$500,T$2,0),"З")</f>
        <v>0</v>
      </c>
      <c r="U1101" s="50">
        <f>SUMIFS(INDEX(Техника!$F$1:$ABM$500,U$2,0),Техника!$F$4:$ABM$4,"Часы",INDEX(Техника!$G$1:$ABN$500,U$2,0),$A$1096,INDEX(Техника!$H$1:$ABO$500,U$2,0),"З")</f>
        <v>0</v>
      </c>
      <c r="V1101" s="50">
        <f>SUMIFS(INDEX(Техника!$F$1:$ABM$500,V$2,0),Техника!$F$4:$ABM$4,"Часы",INDEX(Техника!$G$1:$ABN$500,V$2,0),$A$1096,INDEX(Техника!$H$1:$ABO$500,V$2,0),"З")</f>
        <v>0</v>
      </c>
      <c r="W1101" s="50">
        <f>SUMIFS(INDEX(Техника!$F$1:$ABM$500,W$2,0),Техника!$F$4:$ABM$4,"Часы",INDEX(Техника!$G$1:$ABN$500,W$2,0),$A$1096,INDEX(Техника!$H$1:$ABO$500,W$2,0),"З")</f>
        <v>0</v>
      </c>
      <c r="X1101" s="50">
        <f>SUMIFS(INDEX(Техника!$F$1:$ABM$500,X$2,0),Техника!$F$4:$ABM$4,"Часы",INDEX(Техника!$G$1:$ABN$500,X$2,0),$A$1096,INDEX(Техника!$H$1:$ABO$500,X$2,0),"З")</f>
        <v>0</v>
      </c>
      <c r="Y1101" s="50">
        <f>SUMIFS(INDEX(Техника!$F$1:$ABM$500,Y$2,0),Техника!$F$4:$ABM$4,"Часы",INDEX(Техника!$G$1:$ABN$500,Y$2,0),$A$1096,INDEX(Техника!$H$1:$ABO$500,Y$2,0),"З")</f>
        <v>0</v>
      </c>
      <c r="Z1101" s="50">
        <f>SUMIFS(INDEX(Техника!$F$1:$ABM$500,Z$2,0),Техника!$F$4:$ABM$4,"Часы",INDEX(Техника!$G$1:$ABN$500,Z$2,0),$A$1096,INDEX(Техника!$H$1:$ABO$500,Z$2,0),"З")</f>
        <v>0</v>
      </c>
      <c r="AA1101" s="50">
        <f>SUMIFS(INDEX(Техника!$F$1:$ABM$500,AA$2,0),Техника!$F$4:$ABM$4,"Часы",INDEX(Техника!$G$1:$ABN$500,AA$2,0),$A$1096,INDEX(Техника!$H$1:$ABO$500,AA$2,0),"З")</f>
        <v>0</v>
      </c>
      <c r="AB1101" s="50">
        <f>SUMIFS(INDEX(Техника!$F$1:$ABM$500,AB$2,0),Техника!$F$4:$ABM$4,"Часы",INDEX(Техника!$G$1:$ABN$500,AB$2,0),$A$1096,INDEX(Техника!$H$1:$ABO$500,AB$2,0),"З")</f>
        <v>0</v>
      </c>
    </row>
    <row r="1102" spans="1:28" ht="7.95" customHeight="1" x14ac:dyDescent="0.3">
      <c r="A1102" s="38"/>
      <c r="B1102" s="39"/>
      <c r="C1102" s="51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</row>
    <row r="1103" spans="1:28" ht="25.05" customHeight="1" collapsed="1" x14ac:dyDescent="0.3">
      <c r="A1103" s="32">
        <v>158</v>
      </c>
      <c r="B1103" s="32" t="s">
        <v>159</v>
      </c>
      <c r="C1103" s="49">
        <f>SUM(C1104:C1108)</f>
        <v>0</v>
      </c>
      <c r="D1103" s="49">
        <f>SUM(D1104:D1108)</f>
        <v>0</v>
      </c>
      <c r="E1103" s="49">
        <f>SUM(E1104:E1108)</f>
        <v>0</v>
      </c>
      <c r="F1103" s="49">
        <f>SUM(F1104:F1108)</f>
        <v>0</v>
      </c>
      <c r="G1103" s="49">
        <f>SUM(G1104:G1108)</f>
        <v>0</v>
      </c>
      <c r="H1103" s="49">
        <f>SUM(H1104:H1108)</f>
        <v>0</v>
      </c>
      <c r="I1103" s="49">
        <f>SUM(I1104:I1108)</f>
        <v>0</v>
      </c>
      <c r="J1103" s="49">
        <f>SUM(J1104:J1108)</f>
        <v>0</v>
      </c>
      <c r="K1103" s="49">
        <f>SUM(K1104:K1108)</f>
        <v>0</v>
      </c>
      <c r="L1103" s="49">
        <f>SUM(L1104:L1108)</f>
        <v>0</v>
      </c>
      <c r="M1103" s="49">
        <f>SUM(M1104:M1108)</f>
        <v>0</v>
      </c>
      <c r="N1103" s="49">
        <f>SUM(N1104:N1108)</f>
        <v>0</v>
      </c>
      <c r="O1103" s="49">
        <f>SUM(O1104:O1108)</f>
        <v>0</v>
      </c>
      <c r="P1103" s="49">
        <f>SUM(P1104:P1108)</f>
        <v>0</v>
      </c>
      <c r="Q1103" s="49">
        <f>SUM(Q1104:Q1108)</f>
        <v>0</v>
      </c>
      <c r="R1103" s="49">
        <f>SUM(R1104:R1108)</f>
        <v>0</v>
      </c>
      <c r="S1103" s="49">
        <f>SUM(S1104:S1108)</f>
        <v>0</v>
      </c>
      <c r="T1103" s="49">
        <f>SUM(T1104:T1108)</f>
        <v>0</v>
      </c>
      <c r="U1103" s="49">
        <f>SUM(U1104:U1108)</f>
        <v>0</v>
      </c>
      <c r="V1103" s="49">
        <f>SUM(V1104:V1108)</f>
        <v>0</v>
      </c>
      <c r="W1103" s="49">
        <f>SUM(W1104:W1108)</f>
        <v>0</v>
      </c>
      <c r="X1103" s="49">
        <f>SUM(X1104:X1108)</f>
        <v>0</v>
      </c>
      <c r="Y1103" s="49">
        <f>SUM(Y1104:Y1108)</f>
        <v>0</v>
      </c>
      <c r="Z1103" s="49">
        <f>SUM(Z1104:Z1108)</f>
        <v>0</v>
      </c>
      <c r="AA1103" s="49">
        <f>SUM(AA1104:AA1108)</f>
        <v>0</v>
      </c>
      <c r="AB1103" s="49">
        <f>SUM(AB1104:AB1108)</f>
        <v>0</v>
      </c>
    </row>
    <row r="1104" spans="1:28" hidden="1" outlineLevel="1" x14ac:dyDescent="0.3">
      <c r="A1104" s="33" t="s">
        <v>246</v>
      </c>
      <c r="B1104" s="34" t="s">
        <v>274</v>
      </c>
      <c r="C1104" s="50">
        <f>SUMIFS(INDEX(Техника!$F$1:$ABM$500,C$2,0),Техника!$F$4:$ABM$4,"Часы",INDEX(Техника!$G$1:$ABN$500,C$2,0),$A$1103,INDEX(Техника!$H$1:$ABO$500,C$2,0),"М")</f>
        <v>0</v>
      </c>
      <c r="D1104" s="50">
        <f>SUMIFS(INDEX(Техника!$F$1:$ABM$500,D$2,0),Техника!$F$4:$ABM$4,"Часы",INDEX(Техника!$G$1:$ABN$500,D$2,0),$A$1103,INDEX(Техника!$H$1:$ABO$500,D$2,0),"М")</f>
        <v>0</v>
      </c>
      <c r="E1104" s="50">
        <f>SUMIFS(INDEX(Техника!$F$1:$ABM$500,E$2,0),Техника!$F$4:$ABM$4,"Часы",INDEX(Техника!$G$1:$ABN$500,E$2,0),$A$1103,INDEX(Техника!$H$1:$ABO$500,E$2,0),"М")</f>
        <v>0</v>
      </c>
      <c r="F1104" s="50">
        <f>SUMIFS(INDEX(Техника!$F$1:$ABM$500,F$2,0),Техника!$F$4:$ABM$4,"Часы",INDEX(Техника!$G$1:$ABN$500,F$2,0),$A$1103,INDEX(Техника!$H$1:$ABO$500,F$2,0),"М")</f>
        <v>0</v>
      </c>
      <c r="G1104" s="50">
        <f>SUMIFS(INDEX(Техника!$F$1:$ABM$500,G$2,0),Техника!$F$4:$ABM$4,"Часы",INDEX(Техника!$G$1:$ABN$500,G$2,0),$A$1103,INDEX(Техника!$H$1:$ABO$500,G$2,0),"М")</f>
        <v>0</v>
      </c>
      <c r="H1104" s="50">
        <f>SUMIFS(INDEX(Техника!$F$1:$ABM$500,H$2,0),Техника!$F$4:$ABM$4,"Часы",INDEX(Техника!$G$1:$ABN$500,H$2,0),$A$1103,INDEX(Техника!$H$1:$ABO$500,H$2,0),"М")</f>
        <v>0</v>
      </c>
      <c r="I1104" s="50">
        <f>SUMIFS(INDEX(Техника!$F$1:$ABM$500,I$2,0),Техника!$F$4:$ABM$4,"Часы",INDEX(Техника!$G$1:$ABN$500,I$2,0),$A$1103,INDEX(Техника!$H$1:$ABO$500,I$2,0),"М")</f>
        <v>0</v>
      </c>
      <c r="J1104" s="50">
        <f>SUMIFS(INDEX(Техника!$F$1:$ABM$500,J$2,0),Техника!$F$4:$ABM$4,"Часы",INDEX(Техника!$G$1:$ABN$500,J$2,0),$A$1103,INDEX(Техника!$H$1:$ABO$500,J$2,0),"М")</f>
        <v>0</v>
      </c>
      <c r="K1104" s="50">
        <f>SUMIFS(INDEX(Техника!$F$1:$ABM$500,K$2,0),Техника!$F$4:$ABM$4,"Часы",INDEX(Техника!$G$1:$ABN$500,K$2,0),$A$1103,INDEX(Техника!$H$1:$ABO$500,K$2,0),"М")</f>
        <v>0</v>
      </c>
      <c r="L1104" s="50">
        <f>SUMIFS(INDEX(Техника!$F$1:$ABM$500,L$2,0),Техника!$F$4:$ABM$4,"Часы",INDEX(Техника!$G$1:$ABN$500,L$2,0),$A$1103,INDEX(Техника!$H$1:$ABO$500,L$2,0),"М")</f>
        <v>0</v>
      </c>
      <c r="M1104" s="50">
        <f>SUMIFS(INDEX(Техника!$F$1:$ABM$500,M$2,0),Техника!$F$4:$ABM$4,"Часы",INDEX(Техника!$G$1:$ABN$500,M$2,0),$A$1103,INDEX(Техника!$H$1:$ABO$500,M$2,0),"М")</f>
        <v>0</v>
      </c>
      <c r="N1104" s="50">
        <f>SUMIFS(INDEX(Техника!$F$1:$ABM$500,N$2,0),Техника!$F$4:$ABM$4,"Часы",INDEX(Техника!$G$1:$ABN$500,N$2,0),$A$1103,INDEX(Техника!$H$1:$ABO$500,N$2,0),"М")</f>
        <v>0</v>
      </c>
      <c r="O1104" s="50">
        <f>SUMIFS(INDEX(Техника!$F$1:$ABM$500,O$2,0),Техника!$F$4:$ABM$4,"Часы",INDEX(Техника!$G$1:$ABN$500,O$2,0),$A$1103,INDEX(Техника!$H$1:$ABO$500,O$2,0),"М")</f>
        <v>0</v>
      </c>
      <c r="P1104" s="50">
        <f>SUMIFS(INDEX(Техника!$F$1:$ABM$500,P$2,0),Техника!$F$4:$ABM$4,"Часы",INDEX(Техника!$G$1:$ABN$500,P$2,0),$A$1103,INDEX(Техника!$H$1:$ABO$500,P$2,0),"М")</f>
        <v>0</v>
      </c>
      <c r="Q1104" s="50">
        <f>SUMIFS(INDEX(Техника!$F$1:$ABM$500,Q$2,0),Техника!$F$4:$ABM$4,"Часы",INDEX(Техника!$G$1:$ABN$500,Q$2,0),$A$1103,INDEX(Техника!$H$1:$ABO$500,Q$2,0),"М")</f>
        <v>0</v>
      </c>
      <c r="R1104" s="50">
        <f>SUMIFS(INDEX(Техника!$F$1:$ABM$500,R$2,0),Техника!$F$4:$ABM$4,"Часы",INDEX(Техника!$G$1:$ABN$500,R$2,0),$A$1103,INDEX(Техника!$H$1:$ABO$500,R$2,0),"М")</f>
        <v>0</v>
      </c>
      <c r="S1104" s="50">
        <f>SUMIFS(INDEX(Техника!$F$1:$ABM$500,S$2,0),Техника!$F$4:$ABM$4,"Часы",INDEX(Техника!$G$1:$ABN$500,S$2,0),$A$1103,INDEX(Техника!$H$1:$ABO$500,S$2,0),"М")</f>
        <v>0</v>
      </c>
      <c r="T1104" s="50">
        <f>SUMIFS(INDEX(Техника!$F$1:$ABM$500,T$2,0),Техника!$F$4:$ABM$4,"Часы",INDEX(Техника!$G$1:$ABN$500,T$2,0),$A$1103,INDEX(Техника!$H$1:$ABO$500,T$2,0),"М")</f>
        <v>0</v>
      </c>
      <c r="U1104" s="50">
        <f>SUMIFS(INDEX(Техника!$F$1:$ABM$500,U$2,0),Техника!$F$4:$ABM$4,"Часы",INDEX(Техника!$G$1:$ABN$500,U$2,0),$A$1103,INDEX(Техника!$H$1:$ABO$500,U$2,0),"М")</f>
        <v>0</v>
      </c>
      <c r="V1104" s="50">
        <f>SUMIFS(INDEX(Техника!$F$1:$ABM$500,V$2,0),Техника!$F$4:$ABM$4,"Часы",INDEX(Техника!$G$1:$ABN$500,V$2,0),$A$1103,INDEX(Техника!$H$1:$ABO$500,V$2,0),"М")</f>
        <v>0</v>
      </c>
      <c r="W1104" s="50">
        <f>SUMIFS(INDEX(Техника!$F$1:$ABM$500,W$2,0),Техника!$F$4:$ABM$4,"Часы",INDEX(Техника!$G$1:$ABN$500,W$2,0),$A$1103,INDEX(Техника!$H$1:$ABO$500,W$2,0),"М")</f>
        <v>0</v>
      </c>
      <c r="X1104" s="50">
        <f>SUMIFS(INDEX(Техника!$F$1:$ABM$500,X$2,0),Техника!$F$4:$ABM$4,"Часы",INDEX(Техника!$G$1:$ABN$500,X$2,0),$A$1103,INDEX(Техника!$H$1:$ABO$500,X$2,0),"М")</f>
        <v>0</v>
      </c>
      <c r="Y1104" s="50">
        <f>SUMIFS(INDEX(Техника!$F$1:$ABM$500,Y$2,0),Техника!$F$4:$ABM$4,"Часы",INDEX(Техника!$G$1:$ABN$500,Y$2,0),$A$1103,INDEX(Техника!$H$1:$ABO$500,Y$2,0),"М")</f>
        <v>0</v>
      </c>
      <c r="Z1104" s="50">
        <f>SUMIFS(INDEX(Техника!$F$1:$ABM$500,Z$2,0),Техника!$F$4:$ABM$4,"Часы",INDEX(Техника!$G$1:$ABN$500,Z$2,0),$A$1103,INDEX(Техника!$H$1:$ABO$500,Z$2,0),"М")</f>
        <v>0</v>
      </c>
      <c r="AA1104" s="50">
        <f>SUMIFS(INDEX(Техника!$F$1:$ABM$500,AA$2,0),Техника!$F$4:$ABM$4,"Часы",INDEX(Техника!$G$1:$ABN$500,AA$2,0),$A$1103,INDEX(Техника!$H$1:$ABO$500,AA$2,0),"М")</f>
        <v>0</v>
      </c>
      <c r="AB1104" s="50">
        <f>SUMIFS(INDEX(Техника!$F$1:$ABM$500,AB$2,0),Техника!$F$4:$ABM$4,"Часы",INDEX(Техника!$G$1:$ABN$500,AB$2,0),$A$1103,INDEX(Техника!$H$1:$ABO$500,AB$2,0),"М")</f>
        <v>0</v>
      </c>
    </row>
    <row r="1105" spans="1:28" hidden="1" outlineLevel="1" x14ac:dyDescent="0.3">
      <c r="A1105" s="33" t="s">
        <v>244</v>
      </c>
      <c r="B1105" s="34" t="s">
        <v>275</v>
      </c>
      <c r="C1105" s="50">
        <f>SUMIFS(INDEX(Техника!$F$1:$ABM$500,C$2,0),Техника!$F$4:$ABM$4,"Часы",INDEX(Техника!$G$1:$ABN$500,C$2,0),$A$1103,INDEX(Техника!$H$1:$ABO$500,C$2,0),"Д")</f>
        <v>0</v>
      </c>
      <c r="D1105" s="50">
        <f>SUMIFS(INDEX(Техника!$F$1:$ABM$500,D$2,0),Техника!$F$4:$ABM$4,"Часы",INDEX(Техника!$G$1:$ABN$500,D$2,0),$A$1103,INDEX(Техника!$H$1:$ABO$500,D$2,0),"Д")</f>
        <v>0</v>
      </c>
      <c r="E1105" s="50">
        <f>SUMIFS(INDEX(Техника!$F$1:$ABM$500,E$2,0),Техника!$F$4:$ABM$4,"Часы",INDEX(Техника!$G$1:$ABN$500,E$2,0),$A$1103,INDEX(Техника!$H$1:$ABO$500,E$2,0),"Д")</f>
        <v>0</v>
      </c>
      <c r="F1105" s="50">
        <f>SUMIFS(INDEX(Техника!$F$1:$ABM$500,F$2,0),Техника!$F$4:$ABM$4,"Часы",INDEX(Техника!$G$1:$ABN$500,F$2,0),$A$1103,INDEX(Техника!$H$1:$ABO$500,F$2,0),"Д")</f>
        <v>0</v>
      </c>
      <c r="G1105" s="50">
        <f>SUMIFS(INDEX(Техника!$F$1:$ABM$500,G$2,0),Техника!$F$4:$ABM$4,"Часы",INDEX(Техника!$G$1:$ABN$500,G$2,0),$A$1103,INDEX(Техника!$H$1:$ABO$500,G$2,0),"Д")</f>
        <v>0</v>
      </c>
      <c r="H1105" s="50">
        <f>SUMIFS(INDEX(Техника!$F$1:$ABM$500,H$2,0),Техника!$F$4:$ABM$4,"Часы",INDEX(Техника!$G$1:$ABN$500,H$2,0),$A$1103,INDEX(Техника!$H$1:$ABO$500,H$2,0),"Д")</f>
        <v>0</v>
      </c>
      <c r="I1105" s="50">
        <f>SUMIFS(INDEX(Техника!$F$1:$ABM$500,I$2,0),Техника!$F$4:$ABM$4,"Часы",INDEX(Техника!$G$1:$ABN$500,I$2,0),$A$1103,INDEX(Техника!$H$1:$ABO$500,I$2,0),"Д")</f>
        <v>0</v>
      </c>
      <c r="J1105" s="50">
        <f>SUMIFS(INDEX(Техника!$F$1:$ABM$500,J$2,0),Техника!$F$4:$ABM$4,"Часы",INDEX(Техника!$G$1:$ABN$500,J$2,0),$A$1103,INDEX(Техника!$H$1:$ABO$500,J$2,0),"Д")</f>
        <v>0</v>
      </c>
      <c r="K1105" s="50">
        <f>SUMIFS(INDEX(Техника!$F$1:$ABM$500,K$2,0),Техника!$F$4:$ABM$4,"Часы",INDEX(Техника!$G$1:$ABN$500,K$2,0),$A$1103,INDEX(Техника!$H$1:$ABO$500,K$2,0),"Д")</f>
        <v>0</v>
      </c>
      <c r="L1105" s="50">
        <f>SUMIFS(INDEX(Техника!$F$1:$ABM$500,L$2,0),Техника!$F$4:$ABM$4,"Часы",INDEX(Техника!$G$1:$ABN$500,L$2,0),$A$1103,INDEX(Техника!$H$1:$ABO$500,L$2,0),"Д")</f>
        <v>0</v>
      </c>
      <c r="M1105" s="50">
        <f>SUMIFS(INDEX(Техника!$F$1:$ABM$500,M$2,0),Техника!$F$4:$ABM$4,"Часы",INDEX(Техника!$G$1:$ABN$500,M$2,0),$A$1103,INDEX(Техника!$H$1:$ABO$500,M$2,0),"Д")</f>
        <v>0</v>
      </c>
      <c r="N1105" s="50">
        <f>SUMIFS(INDEX(Техника!$F$1:$ABM$500,N$2,0),Техника!$F$4:$ABM$4,"Часы",INDEX(Техника!$G$1:$ABN$500,N$2,0),$A$1103,INDEX(Техника!$H$1:$ABO$500,N$2,0),"Д")</f>
        <v>0</v>
      </c>
      <c r="O1105" s="50">
        <f>SUMIFS(INDEX(Техника!$F$1:$ABM$500,O$2,0),Техника!$F$4:$ABM$4,"Часы",INDEX(Техника!$G$1:$ABN$500,O$2,0),$A$1103,INDEX(Техника!$H$1:$ABO$500,O$2,0),"Д")</f>
        <v>0</v>
      </c>
      <c r="P1105" s="50">
        <f>SUMIFS(INDEX(Техника!$F$1:$ABM$500,P$2,0),Техника!$F$4:$ABM$4,"Часы",INDEX(Техника!$G$1:$ABN$500,P$2,0),$A$1103,INDEX(Техника!$H$1:$ABO$500,P$2,0),"Д")</f>
        <v>0</v>
      </c>
      <c r="Q1105" s="50">
        <f>SUMIFS(INDEX(Техника!$F$1:$ABM$500,Q$2,0),Техника!$F$4:$ABM$4,"Часы",INDEX(Техника!$G$1:$ABN$500,Q$2,0),$A$1103,INDEX(Техника!$H$1:$ABO$500,Q$2,0),"Д")</f>
        <v>0</v>
      </c>
      <c r="R1105" s="50">
        <f>SUMIFS(INDEX(Техника!$F$1:$ABM$500,R$2,0),Техника!$F$4:$ABM$4,"Часы",INDEX(Техника!$G$1:$ABN$500,R$2,0),$A$1103,INDEX(Техника!$H$1:$ABO$500,R$2,0),"Д")</f>
        <v>0</v>
      </c>
      <c r="S1105" s="50">
        <f>SUMIFS(INDEX(Техника!$F$1:$ABM$500,S$2,0),Техника!$F$4:$ABM$4,"Часы",INDEX(Техника!$G$1:$ABN$500,S$2,0),$A$1103,INDEX(Техника!$H$1:$ABO$500,S$2,0),"Д")</f>
        <v>0</v>
      </c>
      <c r="T1105" s="50">
        <f>SUMIFS(INDEX(Техника!$F$1:$ABM$500,T$2,0),Техника!$F$4:$ABM$4,"Часы",INDEX(Техника!$G$1:$ABN$500,T$2,0),$A$1103,INDEX(Техника!$H$1:$ABO$500,T$2,0),"Д")</f>
        <v>0</v>
      </c>
      <c r="U1105" s="50">
        <f>SUMIFS(INDEX(Техника!$F$1:$ABM$500,U$2,0),Техника!$F$4:$ABM$4,"Часы",INDEX(Техника!$G$1:$ABN$500,U$2,0),$A$1103,INDEX(Техника!$H$1:$ABO$500,U$2,0),"Д")</f>
        <v>0</v>
      </c>
      <c r="V1105" s="50">
        <f>SUMIFS(INDEX(Техника!$F$1:$ABM$500,V$2,0),Техника!$F$4:$ABM$4,"Часы",INDEX(Техника!$G$1:$ABN$500,V$2,0),$A$1103,INDEX(Техника!$H$1:$ABO$500,V$2,0),"Д")</f>
        <v>0</v>
      </c>
      <c r="W1105" s="50">
        <f>SUMIFS(INDEX(Техника!$F$1:$ABM$500,W$2,0),Техника!$F$4:$ABM$4,"Часы",INDEX(Техника!$G$1:$ABN$500,W$2,0),$A$1103,INDEX(Техника!$H$1:$ABO$500,W$2,0),"Д")</f>
        <v>0</v>
      </c>
      <c r="X1105" s="50">
        <f>SUMIFS(INDEX(Техника!$F$1:$ABM$500,X$2,0),Техника!$F$4:$ABM$4,"Часы",INDEX(Техника!$G$1:$ABN$500,X$2,0),$A$1103,INDEX(Техника!$H$1:$ABO$500,X$2,0),"Д")</f>
        <v>0</v>
      </c>
      <c r="Y1105" s="50">
        <f>SUMIFS(INDEX(Техника!$F$1:$ABM$500,Y$2,0),Техника!$F$4:$ABM$4,"Часы",INDEX(Техника!$G$1:$ABN$500,Y$2,0),$A$1103,INDEX(Техника!$H$1:$ABO$500,Y$2,0),"Д")</f>
        <v>0</v>
      </c>
      <c r="Z1105" s="50">
        <f>SUMIFS(INDEX(Техника!$F$1:$ABM$500,Z$2,0),Техника!$F$4:$ABM$4,"Часы",INDEX(Техника!$G$1:$ABN$500,Z$2,0),$A$1103,INDEX(Техника!$H$1:$ABO$500,Z$2,0),"Д")</f>
        <v>0</v>
      </c>
      <c r="AA1105" s="50">
        <f>SUMIFS(INDEX(Техника!$F$1:$ABM$500,AA$2,0),Техника!$F$4:$ABM$4,"Часы",INDEX(Техника!$G$1:$ABN$500,AA$2,0),$A$1103,INDEX(Техника!$H$1:$ABO$500,AA$2,0),"Д")</f>
        <v>0</v>
      </c>
      <c r="AB1105" s="50">
        <f>SUMIFS(INDEX(Техника!$F$1:$ABM$500,AB$2,0),Техника!$F$4:$ABM$4,"Часы",INDEX(Техника!$G$1:$ABN$500,AB$2,0),$A$1103,INDEX(Техника!$H$1:$ABO$500,AB$2,0),"Д")</f>
        <v>0</v>
      </c>
    </row>
    <row r="1106" spans="1:28" hidden="1" outlineLevel="1" x14ac:dyDescent="0.3">
      <c r="A1106" s="33" t="s">
        <v>276</v>
      </c>
      <c r="B1106" s="34" t="s">
        <v>277</v>
      </c>
      <c r="C1106" s="50">
        <f>SUMIFS(INDEX(Техника!$F$1:$ABM$500,C$2,0),Техника!$F$4:$ABM$4,"Часы",INDEX(Техника!$G$1:$ABN$500,C$2,0),$A$1103,INDEX(Техника!$H$1:$ABO$500,C$2,0),"П")</f>
        <v>0</v>
      </c>
      <c r="D1106" s="50">
        <f>SUMIFS(INDEX(Техника!$F$1:$ABM$500,D$2,0),Техника!$F$4:$ABM$4,"Часы",INDEX(Техника!$G$1:$ABN$500,D$2,0),$A$1103,INDEX(Техника!$H$1:$ABO$500,D$2,0),"П")</f>
        <v>0</v>
      </c>
      <c r="E1106" s="50">
        <f>SUMIFS(INDEX(Техника!$F$1:$ABM$500,E$2,0),Техника!$F$4:$ABM$4,"Часы",INDEX(Техника!$G$1:$ABN$500,E$2,0),$A$1103,INDEX(Техника!$H$1:$ABO$500,E$2,0),"П")</f>
        <v>0</v>
      </c>
      <c r="F1106" s="50">
        <f>SUMIFS(INDEX(Техника!$F$1:$ABM$500,F$2,0),Техника!$F$4:$ABM$4,"Часы",INDEX(Техника!$G$1:$ABN$500,F$2,0),$A$1103,INDEX(Техника!$H$1:$ABO$500,F$2,0),"П")</f>
        <v>0</v>
      </c>
      <c r="G1106" s="50">
        <f>SUMIFS(INDEX(Техника!$F$1:$ABM$500,G$2,0),Техника!$F$4:$ABM$4,"Часы",INDEX(Техника!$G$1:$ABN$500,G$2,0),$A$1103,INDEX(Техника!$H$1:$ABO$500,G$2,0),"П")</f>
        <v>0</v>
      </c>
      <c r="H1106" s="50">
        <f>SUMIFS(INDEX(Техника!$F$1:$ABM$500,H$2,0),Техника!$F$4:$ABM$4,"Часы",INDEX(Техника!$G$1:$ABN$500,H$2,0),$A$1103,INDEX(Техника!$H$1:$ABO$500,H$2,0),"П")</f>
        <v>0</v>
      </c>
      <c r="I1106" s="50">
        <f>SUMIFS(INDEX(Техника!$F$1:$ABM$500,I$2,0),Техника!$F$4:$ABM$4,"Часы",INDEX(Техника!$G$1:$ABN$500,I$2,0),$A$1103,INDEX(Техника!$H$1:$ABO$500,I$2,0),"П")</f>
        <v>0</v>
      </c>
      <c r="J1106" s="50">
        <f>SUMIFS(INDEX(Техника!$F$1:$ABM$500,J$2,0),Техника!$F$4:$ABM$4,"Часы",INDEX(Техника!$G$1:$ABN$500,J$2,0),$A$1103,INDEX(Техника!$H$1:$ABO$500,J$2,0),"П")</f>
        <v>0</v>
      </c>
      <c r="K1106" s="50">
        <f>SUMIFS(INDEX(Техника!$F$1:$ABM$500,K$2,0),Техника!$F$4:$ABM$4,"Часы",INDEX(Техника!$G$1:$ABN$500,K$2,0),$A$1103,INDEX(Техника!$H$1:$ABO$500,K$2,0),"П")</f>
        <v>0</v>
      </c>
      <c r="L1106" s="50">
        <f>SUMIFS(INDEX(Техника!$F$1:$ABM$500,L$2,0),Техника!$F$4:$ABM$4,"Часы",INDEX(Техника!$G$1:$ABN$500,L$2,0),$A$1103,INDEX(Техника!$H$1:$ABO$500,L$2,0),"П")</f>
        <v>0</v>
      </c>
      <c r="M1106" s="50">
        <f>SUMIFS(INDEX(Техника!$F$1:$ABM$500,M$2,0),Техника!$F$4:$ABM$4,"Часы",INDEX(Техника!$G$1:$ABN$500,M$2,0),$A$1103,INDEX(Техника!$H$1:$ABO$500,M$2,0),"П")</f>
        <v>0</v>
      </c>
      <c r="N1106" s="50">
        <f>SUMIFS(INDEX(Техника!$F$1:$ABM$500,N$2,0),Техника!$F$4:$ABM$4,"Часы",INDEX(Техника!$G$1:$ABN$500,N$2,0),$A$1103,INDEX(Техника!$H$1:$ABO$500,N$2,0),"П")</f>
        <v>0</v>
      </c>
      <c r="O1106" s="50">
        <f>SUMIFS(INDEX(Техника!$F$1:$ABM$500,O$2,0),Техника!$F$4:$ABM$4,"Часы",INDEX(Техника!$G$1:$ABN$500,O$2,0),$A$1103,INDEX(Техника!$H$1:$ABO$500,O$2,0),"П")</f>
        <v>0</v>
      </c>
      <c r="P1106" s="50">
        <f>SUMIFS(INDEX(Техника!$F$1:$ABM$500,P$2,0),Техника!$F$4:$ABM$4,"Часы",INDEX(Техника!$G$1:$ABN$500,P$2,0),$A$1103,INDEX(Техника!$H$1:$ABO$500,P$2,0),"П")</f>
        <v>0</v>
      </c>
      <c r="Q1106" s="50">
        <f>SUMIFS(INDEX(Техника!$F$1:$ABM$500,Q$2,0),Техника!$F$4:$ABM$4,"Часы",INDEX(Техника!$G$1:$ABN$500,Q$2,0),$A$1103,INDEX(Техника!$H$1:$ABO$500,Q$2,0),"П")</f>
        <v>0</v>
      </c>
      <c r="R1106" s="50">
        <f>SUMIFS(INDEX(Техника!$F$1:$ABM$500,R$2,0),Техника!$F$4:$ABM$4,"Часы",INDEX(Техника!$G$1:$ABN$500,R$2,0),$A$1103,INDEX(Техника!$H$1:$ABO$500,R$2,0),"П")</f>
        <v>0</v>
      </c>
      <c r="S1106" s="50">
        <f>SUMIFS(INDEX(Техника!$F$1:$ABM$500,S$2,0),Техника!$F$4:$ABM$4,"Часы",INDEX(Техника!$G$1:$ABN$500,S$2,0),$A$1103,INDEX(Техника!$H$1:$ABO$500,S$2,0),"П")</f>
        <v>0</v>
      </c>
      <c r="T1106" s="50">
        <f>SUMIFS(INDEX(Техника!$F$1:$ABM$500,T$2,0),Техника!$F$4:$ABM$4,"Часы",INDEX(Техника!$G$1:$ABN$500,T$2,0),$A$1103,INDEX(Техника!$H$1:$ABO$500,T$2,0),"П")</f>
        <v>0</v>
      </c>
      <c r="U1106" s="50">
        <f>SUMIFS(INDEX(Техника!$F$1:$ABM$500,U$2,0),Техника!$F$4:$ABM$4,"Часы",INDEX(Техника!$G$1:$ABN$500,U$2,0),$A$1103,INDEX(Техника!$H$1:$ABO$500,U$2,0),"П")</f>
        <v>0</v>
      </c>
      <c r="V1106" s="50">
        <f>SUMIFS(INDEX(Техника!$F$1:$ABM$500,V$2,0),Техника!$F$4:$ABM$4,"Часы",INDEX(Техника!$G$1:$ABN$500,V$2,0),$A$1103,INDEX(Техника!$H$1:$ABO$500,V$2,0),"П")</f>
        <v>0</v>
      </c>
      <c r="W1106" s="50">
        <f>SUMIFS(INDEX(Техника!$F$1:$ABM$500,W$2,0),Техника!$F$4:$ABM$4,"Часы",INDEX(Техника!$G$1:$ABN$500,W$2,0),$A$1103,INDEX(Техника!$H$1:$ABO$500,W$2,0),"П")</f>
        <v>0</v>
      </c>
      <c r="X1106" s="50">
        <f>SUMIFS(INDEX(Техника!$F$1:$ABM$500,X$2,0),Техника!$F$4:$ABM$4,"Часы",INDEX(Техника!$G$1:$ABN$500,X$2,0),$A$1103,INDEX(Техника!$H$1:$ABO$500,X$2,0),"П")</f>
        <v>0</v>
      </c>
      <c r="Y1106" s="50">
        <f>SUMIFS(INDEX(Техника!$F$1:$ABM$500,Y$2,0),Техника!$F$4:$ABM$4,"Часы",INDEX(Техника!$G$1:$ABN$500,Y$2,0),$A$1103,INDEX(Техника!$H$1:$ABO$500,Y$2,0),"П")</f>
        <v>0</v>
      </c>
      <c r="Z1106" s="50">
        <f>SUMIFS(INDEX(Техника!$F$1:$ABM$500,Z$2,0),Техника!$F$4:$ABM$4,"Часы",INDEX(Техника!$G$1:$ABN$500,Z$2,0),$A$1103,INDEX(Техника!$H$1:$ABO$500,Z$2,0),"П")</f>
        <v>0</v>
      </c>
      <c r="AA1106" s="50">
        <f>SUMIFS(INDEX(Техника!$F$1:$ABM$500,AA$2,0),Техника!$F$4:$ABM$4,"Часы",INDEX(Техника!$G$1:$ABN$500,AA$2,0),$A$1103,INDEX(Техника!$H$1:$ABO$500,AA$2,0),"П")</f>
        <v>0</v>
      </c>
      <c r="AB1106" s="50">
        <f>SUMIFS(INDEX(Техника!$F$1:$ABM$500,AB$2,0),Техника!$F$4:$ABM$4,"Часы",INDEX(Техника!$G$1:$ABN$500,AB$2,0),$A$1103,INDEX(Техника!$H$1:$ABO$500,AB$2,0),"П")</f>
        <v>0</v>
      </c>
    </row>
    <row r="1107" spans="1:28" hidden="1" outlineLevel="1" x14ac:dyDescent="0.3">
      <c r="A1107" s="33" t="s">
        <v>243</v>
      </c>
      <c r="B1107" s="34" t="s">
        <v>278</v>
      </c>
      <c r="C1107" s="50">
        <f>SUMIFS(INDEX(Техника!$F$1:$ABM$500,C$2,0),Техника!$F$4:$ABM$4,"Часы",INDEX(Техника!$G$1:$ABN$500,C$2,0),$A$1103,INDEX(Техника!$H$1:$ABO$500,C$2,0),"Л")</f>
        <v>0</v>
      </c>
      <c r="D1107" s="50">
        <f>SUMIFS(INDEX(Техника!$F$1:$ABM$500,D$2,0),Техника!$F$4:$ABM$4,"Часы",INDEX(Техника!$G$1:$ABN$500,D$2,0),$A$1103,INDEX(Техника!$H$1:$ABO$500,D$2,0),"Л")</f>
        <v>0</v>
      </c>
      <c r="E1107" s="50">
        <f>SUMIFS(INDEX(Техника!$F$1:$ABM$500,E$2,0),Техника!$F$4:$ABM$4,"Часы",INDEX(Техника!$G$1:$ABN$500,E$2,0),$A$1103,INDEX(Техника!$H$1:$ABO$500,E$2,0),"Л")</f>
        <v>0</v>
      </c>
      <c r="F1107" s="50">
        <f>SUMIFS(INDEX(Техника!$F$1:$ABM$500,F$2,0),Техника!$F$4:$ABM$4,"Часы",INDEX(Техника!$G$1:$ABN$500,F$2,0),$A$1103,INDEX(Техника!$H$1:$ABO$500,F$2,0),"Л")</f>
        <v>0</v>
      </c>
      <c r="G1107" s="50">
        <f>SUMIFS(INDEX(Техника!$F$1:$ABM$500,G$2,0),Техника!$F$4:$ABM$4,"Часы",INDEX(Техника!$G$1:$ABN$500,G$2,0),$A$1103,INDEX(Техника!$H$1:$ABO$500,G$2,0),"Л")</f>
        <v>0</v>
      </c>
      <c r="H1107" s="50">
        <f>SUMIFS(INDEX(Техника!$F$1:$ABM$500,H$2,0),Техника!$F$4:$ABM$4,"Часы",INDEX(Техника!$G$1:$ABN$500,H$2,0),$A$1103,INDEX(Техника!$H$1:$ABO$500,H$2,0),"Л")</f>
        <v>0</v>
      </c>
      <c r="I1107" s="50">
        <f>SUMIFS(INDEX(Техника!$F$1:$ABM$500,I$2,0),Техника!$F$4:$ABM$4,"Часы",INDEX(Техника!$G$1:$ABN$500,I$2,0),$A$1103,INDEX(Техника!$H$1:$ABO$500,I$2,0),"Л")</f>
        <v>0</v>
      </c>
      <c r="J1107" s="50">
        <f>SUMIFS(INDEX(Техника!$F$1:$ABM$500,J$2,0),Техника!$F$4:$ABM$4,"Часы",INDEX(Техника!$G$1:$ABN$500,J$2,0),$A$1103,INDEX(Техника!$H$1:$ABO$500,J$2,0),"Л")</f>
        <v>0</v>
      </c>
      <c r="K1107" s="50">
        <f>SUMIFS(INDEX(Техника!$F$1:$ABM$500,K$2,0),Техника!$F$4:$ABM$4,"Часы",INDEX(Техника!$G$1:$ABN$500,K$2,0),$A$1103,INDEX(Техника!$H$1:$ABO$500,K$2,0),"Л")</f>
        <v>0</v>
      </c>
      <c r="L1107" s="50">
        <f>SUMIFS(INDEX(Техника!$F$1:$ABM$500,L$2,0),Техника!$F$4:$ABM$4,"Часы",INDEX(Техника!$G$1:$ABN$500,L$2,0),$A$1103,INDEX(Техника!$H$1:$ABO$500,L$2,0),"Л")</f>
        <v>0</v>
      </c>
      <c r="M1107" s="50">
        <f>SUMIFS(INDEX(Техника!$F$1:$ABM$500,M$2,0),Техника!$F$4:$ABM$4,"Часы",INDEX(Техника!$G$1:$ABN$500,M$2,0),$A$1103,INDEX(Техника!$H$1:$ABO$500,M$2,0),"Л")</f>
        <v>0</v>
      </c>
      <c r="N1107" s="50">
        <f>SUMIFS(INDEX(Техника!$F$1:$ABM$500,N$2,0),Техника!$F$4:$ABM$4,"Часы",INDEX(Техника!$G$1:$ABN$500,N$2,0),$A$1103,INDEX(Техника!$H$1:$ABO$500,N$2,0),"Л")</f>
        <v>0</v>
      </c>
      <c r="O1107" s="50">
        <f>SUMIFS(INDEX(Техника!$F$1:$ABM$500,O$2,0),Техника!$F$4:$ABM$4,"Часы",INDEX(Техника!$G$1:$ABN$500,O$2,0),$A$1103,INDEX(Техника!$H$1:$ABO$500,O$2,0),"Л")</f>
        <v>0</v>
      </c>
      <c r="P1107" s="50">
        <f>SUMIFS(INDEX(Техника!$F$1:$ABM$500,P$2,0),Техника!$F$4:$ABM$4,"Часы",INDEX(Техника!$G$1:$ABN$500,P$2,0),$A$1103,INDEX(Техника!$H$1:$ABO$500,P$2,0),"Л")</f>
        <v>0</v>
      </c>
      <c r="Q1107" s="50">
        <f>SUMIFS(INDEX(Техника!$F$1:$ABM$500,Q$2,0),Техника!$F$4:$ABM$4,"Часы",INDEX(Техника!$G$1:$ABN$500,Q$2,0),$A$1103,INDEX(Техника!$H$1:$ABO$500,Q$2,0),"Л")</f>
        <v>0</v>
      </c>
      <c r="R1107" s="50">
        <f>SUMIFS(INDEX(Техника!$F$1:$ABM$500,R$2,0),Техника!$F$4:$ABM$4,"Часы",INDEX(Техника!$G$1:$ABN$500,R$2,0),$A$1103,INDEX(Техника!$H$1:$ABO$500,R$2,0),"Л")</f>
        <v>0</v>
      </c>
      <c r="S1107" s="50">
        <f>SUMIFS(INDEX(Техника!$F$1:$ABM$500,S$2,0),Техника!$F$4:$ABM$4,"Часы",INDEX(Техника!$G$1:$ABN$500,S$2,0),$A$1103,INDEX(Техника!$H$1:$ABO$500,S$2,0),"Л")</f>
        <v>0</v>
      </c>
      <c r="T1107" s="50">
        <f>SUMIFS(INDEX(Техника!$F$1:$ABM$500,T$2,0),Техника!$F$4:$ABM$4,"Часы",INDEX(Техника!$G$1:$ABN$500,T$2,0),$A$1103,INDEX(Техника!$H$1:$ABO$500,T$2,0),"Л")</f>
        <v>0</v>
      </c>
      <c r="U1107" s="50">
        <f>SUMIFS(INDEX(Техника!$F$1:$ABM$500,U$2,0),Техника!$F$4:$ABM$4,"Часы",INDEX(Техника!$G$1:$ABN$500,U$2,0),$A$1103,INDEX(Техника!$H$1:$ABO$500,U$2,0),"Л")</f>
        <v>0</v>
      </c>
      <c r="V1107" s="50">
        <f>SUMIFS(INDEX(Техника!$F$1:$ABM$500,V$2,0),Техника!$F$4:$ABM$4,"Часы",INDEX(Техника!$G$1:$ABN$500,V$2,0),$A$1103,INDEX(Техника!$H$1:$ABO$500,V$2,0),"Л")</f>
        <v>0</v>
      </c>
      <c r="W1107" s="50">
        <f>SUMIFS(INDEX(Техника!$F$1:$ABM$500,W$2,0),Техника!$F$4:$ABM$4,"Часы",INDEX(Техника!$G$1:$ABN$500,W$2,0),$A$1103,INDEX(Техника!$H$1:$ABO$500,W$2,0),"Л")</f>
        <v>0</v>
      </c>
      <c r="X1107" s="50">
        <f>SUMIFS(INDEX(Техника!$F$1:$ABM$500,X$2,0),Техника!$F$4:$ABM$4,"Часы",INDEX(Техника!$G$1:$ABN$500,X$2,0),$A$1103,INDEX(Техника!$H$1:$ABO$500,X$2,0),"Л")</f>
        <v>0</v>
      </c>
      <c r="Y1107" s="50">
        <f>SUMIFS(INDEX(Техника!$F$1:$ABM$500,Y$2,0),Техника!$F$4:$ABM$4,"Часы",INDEX(Техника!$G$1:$ABN$500,Y$2,0),$A$1103,INDEX(Техника!$H$1:$ABO$500,Y$2,0),"Л")</f>
        <v>0</v>
      </c>
      <c r="Z1107" s="50">
        <f>SUMIFS(INDEX(Техника!$F$1:$ABM$500,Z$2,0),Техника!$F$4:$ABM$4,"Часы",INDEX(Техника!$G$1:$ABN$500,Z$2,0),$A$1103,INDEX(Техника!$H$1:$ABO$500,Z$2,0),"Л")</f>
        <v>0</v>
      </c>
      <c r="AA1107" s="50">
        <f>SUMIFS(INDEX(Техника!$F$1:$ABM$500,AA$2,0),Техника!$F$4:$ABM$4,"Часы",INDEX(Техника!$G$1:$ABN$500,AA$2,0),$A$1103,INDEX(Техника!$H$1:$ABO$500,AA$2,0),"Л")</f>
        <v>0</v>
      </c>
      <c r="AB1107" s="50">
        <f>SUMIFS(INDEX(Техника!$F$1:$ABM$500,AB$2,0),Техника!$F$4:$ABM$4,"Часы",INDEX(Техника!$G$1:$ABN$500,AB$2,0),$A$1103,INDEX(Техника!$H$1:$ABO$500,AB$2,0),"Л")</f>
        <v>0</v>
      </c>
    </row>
    <row r="1108" spans="1:28" hidden="1" outlineLevel="1" x14ac:dyDescent="0.3">
      <c r="A1108" s="33" t="s">
        <v>245</v>
      </c>
      <c r="B1108" s="34" t="s">
        <v>279</v>
      </c>
      <c r="C1108" s="50">
        <f>SUMIFS(INDEX(Техника!$F$1:$ABM$500,C$2,0),Техника!$F$4:$ABM$4,"Часы",INDEX(Техника!$G$1:$ABN$500,C$2,0),$A$1103,INDEX(Техника!$H$1:$ABO$500,C$2,0),"З")</f>
        <v>0</v>
      </c>
      <c r="D1108" s="50">
        <f>SUMIFS(INDEX(Техника!$F$1:$ABM$500,D$2,0),Техника!$F$4:$ABM$4,"Часы",INDEX(Техника!$G$1:$ABN$500,D$2,0),$A$1103,INDEX(Техника!$H$1:$ABO$500,D$2,0),"З")</f>
        <v>0</v>
      </c>
      <c r="E1108" s="50">
        <f>SUMIFS(INDEX(Техника!$F$1:$ABM$500,E$2,0),Техника!$F$4:$ABM$4,"Часы",INDEX(Техника!$G$1:$ABN$500,E$2,0),$A$1103,INDEX(Техника!$H$1:$ABO$500,E$2,0),"З")</f>
        <v>0</v>
      </c>
      <c r="F1108" s="50">
        <f>SUMIFS(INDEX(Техника!$F$1:$ABM$500,F$2,0),Техника!$F$4:$ABM$4,"Часы",INDEX(Техника!$G$1:$ABN$500,F$2,0),$A$1103,INDEX(Техника!$H$1:$ABO$500,F$2,0),"З")</f>
        <v>0</v>
      </c>
      <c r="G1108" s="50">
        <f>SUMIFS(INDEX(Техника!$F$1:$ABM$500,G$2,0),Техника!$F$4:$ABM$4,"Часы",INDEX(Техника!$G$1:$ABN$500,G$2,0),$A$1103,INDEX(Техника!$H$1:$ABO$500,G$2,0),"З")</f>
        <v>0</v>
      </c>
      <c r="H1108" s="50">
        <f>SUMIFS(INDEX(Техника!$F$1:$ABM$500,H$2,0),Техника!$F$4:$ABM$4,"Часы",INDEX(Техника!$G$1:$ABN$500,H$2,0),$A$1103,INDEX(Техника!$H$1:$ABO$500,H$2,0),"З")</f>
        <v>0</v>
      </c>
      <c r="I1108" s="50">
        <f>SUMIFS(INDEX(Техника!$F$1:$ABM$500,I$2,0),Техника!$F$4:$ABM$4,"Часы",INDEX(Техника!$G$1:$ABN$500,I$2,0),$A$1103,INDEX(Техника!$H$1:$ABO$500,I$2,0),"З")</f>
        <v>0</v>
      </c>
      <c r="J1108" s="50">
        <f>SUMIFS(INDEX(Техника!$F$1:$ABM$500,J$2,0),Техника!$F$4:$ABM$4,"Часы",INDEX(Техника!$G$1:$ABN$500,J$2,0),$A$1103,INDEX(Техника!$H$1:$ABO$500,J$2,0),"З")</f>
        <v>0</v>
      </c>
      <c r="K1108" s="50">
        <f>SUMIFS(INDEX(Техника!$F$1:$ABM$500,K$2,0),Техника!$F$4:$ABM$4,"Часы",INDEX(Техника!$G$1:$ABN$500,K$2,0),$A$1103,INDEX(Техника!$H$1:$ABO$500,K$2,0),"З")</f>
        <v>0</v>
      </c>
      <c r="L1108" s="50">
        <f>SUMIFS(INDEX(Техника!$F$1:$ABM$500,L$2,0),Техника!$F$4:$ABM$4,"Часы",INDEX(Техника!$G$1:$ABN$500,L$2,0),$A$1103,INDEX(Техника!$H$1:$ABO$500,L$2,0),"З")</f>
        <v>0</v>
      </c>
      <c r="M1108" s="50">
        <f>SUMIFS(INDEX(Техника!$F$1:$ABM$500,M$2,0),Техника!$F$4:$ABM$4,"Часы",INDEX(Техника!$G$1:$ABN$500,M$2,0),$A$1103,INDEX(Техника!$H$1:$ABO$500,M$2,0),"З")</f>
        <v>0</v>
      </c>
      <c r="N1108" s="50">
        <f>SUMIFS(INDEX(Техника!$F$1:$ABM$500,N$2,0),Техника!$F$4:$ABM$4,"Часы",INDEX(Техника!$G$1:$ABN$500,N$2,0),$A$1103,INDEX(Техника!$H$1:$ABO$500,N$2,0),"З")</f>
        <v>0</v>
      </c>
      <c r="O1108" s="50">
        <f>SUMIFS(INDEX(Техника!$F$1:$ABM$500,O$2,0),Техника!$F$4:$ABM$4,"Часы",INDEX(Техника!$G$1:$ABN$500,O$2,0),$A$1103,INDEX(Техника!$H$1:$ABO$500,O$2,0),"З")</f>
        <v>0</v>
      </c>
      <c r="P1108" s="50">
        <f>SUMIFS(INDEX(Техника!$F$1:$ABM$500,P$2,0),Техника!$F$4:$ABM$4,"Часы",INDEX(Техника!$G$1:$ABN$500,P$2,0),$A$1103,INDEX(Техника!$H$1:$ABO$500,P$2,0),"З")</f>
        <v>0</v>
      </c>
      <c r="Q1108" s="50">
        <f>SUMIFS(INDEX(Техника!$F$1:$ABM$500,Q$2,0),Техника!$F$4:$ABM$4,"Часы",INDEX(Техника!$G$1:$ABN$500,Q$2,0),$A$1103,INDEX(Техника!$H$1:$ABO$500,Q$2,0),"З")</f>
        <v>0</v>
      </c>
      <c r="R1108" s="50">
        <f>SUMIFS(INDEX(Техника!$F$1:$ABM$500,R$2,0),Техника!$F$4:$ABM$4,"Часы",INDEX(Техника!$G$1:$ABN$500,R$2,0),$A$1103,INDEX(Техника!$H$1:$ABO$500,R$2,0),"З")</f>
        <v>0</v>
      </c>
      <c r="S1108" s="50">
        <f>SUMIFS(INDEX(Техника!$F$1:$ABM$500,S$2,0),Техника!$F$4:$ABM$4,"Часы",INDEX(Техника!$G$1:$ABN$500,S$2,0),$A$1103,INDEX(Техника!$H$1:$ABO$500,S$2,0),"З")</f>
        <v>0</v>
      </c>
      <c r="T1108" s="50">
        <f>SUMIFS(INDEX(Техника!$F$1:$ABM$500,T$2,0),Техника!$F$4:$ABM$4,"Часы",INDEX(Техника!$G$1:$ABN$500,T$2,0),$A$1103,INDEX(Техника!$H$1:$ABO$500,T$2,0),"З")</f>
        <v>0</v>
      </c>
      <c r="U1108" s="50">
        <f>SUMIFS(INDEX(Техника!$F$1:$ABM$500,U$2,0),Техника!$F$4:$ABM$4,"Часы",INDEX(Техника!$G$1:$ABN$500,U$2,0),$A$1103,INDEX(Техника!$H$1:$ABO$500,U$2,0),"З")</f>
        <v>0</v>
      </c>
      <c r="V1108" s="50">
        <f>SUMIFS(INDEX(Техника!$F$1:$ABM$500,V$2,0),Техника!$F$4:$ABM$4,"Часы",INDEX(Техника!$G$1:$ABN$500,V$2,0),$A$1103,INDEX(Техника!$H$1:$ABO$500,V$2,0),"З")</f>
        <v>0</v>
      </c>
      <c r="W1108" s="50">
        <f>SUMIFS(INDEX(Техника!$F$1:$ABM$500,W$2,0),Техника!$F$4:$ABM$4,"Часы",INDEX(Техника!$G$1:$ABN$500,W$2,0),$A$1103,INDEX(Техника!$H$1:$ABO$500,W$2,0),"З")</f>
        <v>0</v>
      </c>
      <c r="X1108" s="50">
        <f>SUMIFS(INDEX(Техника!$F$1:$ABM$500,X$2,0),Техника!$F$4:$ABM$4,"Часы",INDEX(Техника!$G$1:$ABN$500,X$2,0),$A$1103,INDEX(Техника!$H$1:$ABO$500,X$2,0),"З")</f>
        <v>0</v>
      </c>
      <c r="Y1108" s="50">
        <f>SUMIFS(INDEX(Техника!$F$1:$ABM$500,Y$2,0),Техника!$F$4:$ABM$4,"Часы",INDEX(Техника!$G$1:$ABN$500,Y$2,0),$A$1103,INDEX(Техника!$H$1:$ABO$500,Y$2,0),"З")</f>
        <v>0</v>
      </c>
      <c r="Z1108" s="50">
        <f>SUMIFS(INDEX(Техника!$F$1:$ABM$500,Z$2,0),Техника!$F$4:$ABM$4,"Часы",INDEX(Техника!$G$1:$ABN$500,Z$2,0),$A$1103,INDEX(Техника!$H$1:$ABO$500,Z$2,0),"З")</f>
        <v>0</v>
      </c>
      <c r="AA1108" s="50">
        <f>SUMIFS(INDEX(Техника!$F$1:$ABM$500,AA$2,0),Техника!$F$4:$ABM$4,"Часы",INDEX(Техника!$G$1:$ABN$500,AA$2,0),$A$1103,INDEX(Техника!$H$1:$ABO$500,AA$2,0),"З")</f>
        <v>0</v>
      </c>
      <c r="AB1108" s="50">
        <f>SUMIFS(INDEX(Техника!$F$1:$ABM$500,AB$2,0),Техника!$F$4:$ABM$4,"Часы",INDEX(Техника!$G$1:$ABN$500,AB$2,0),$A$1103,INDEX(Техника!$H$1:$ABO$500,AB$2,0),"З")</f>
        <v>0</v>
      </c>
    </row>
    <row r="1109" spans="1:28" ht="7.95" customHeight="1" x14ac:dyDescent="0.3">
      <c r="A1109" s="38"/>
      <c r="B1109" s="39"/>
      <c r="C1109" s="51"/>
      <c r="D1109" s="51"/>
      <c r="E1109" s="51"/>
      <c r="F1109" s="51"/>
      <c r="G1109" s="51"/>
      <c r="H1109" s="51"/>
      <c r="I1109" s="51"/>
      <c r="J1109" s="51"/>
      <c r="K1109" s="51"/>
      <c r="L1109" s="51"/>
      <c r="M1109" s="51"/>
      <c r="N1109" s="51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</row>
    <row r="1110" spans="1:28" ht="25.05" customHeight="1" collapsed="1" x14ac:dyDescent="0.3">
      <c r="A1110" s="32">
        <v>159</v>
      </c>
      <c r="B1110" s="32" t="s">
        <v>160</v>
      </c>
      <c r="C1110" s="49">
        <f>SUM(C1111:C1115)</f>
        <v>0</v>
      </c>
      <c r="D1110" s="49">
        <f>SUM(D1111:D1115)</f>
        <v>0</v>
      </c>
      <c r="E1110" s="49">
        <f>SUM(E1111:E1115)</f>
        <v>0</v>
      </c>
      <c r="F1110" s="49">
        <f>SUM(F1111:F1115)</f>
        <v>0</v>
      </c>
      <c r="G1110" s="49">
        <f>SUM(G1111:G1115)</f>
        <v>0</v>
      </c>
      <c r="H1110" s="49">
        <f>SUM(H1111:H1115)</f>
        <v>0</v>
      </c>
      <c r="I1110" s="49">
        <f>SUM(I1111:I1115)</f>
        <v>0</v>
      </c>
      <c r="J1110" s="49">
        <f>SUM(J1111:J1115)</f>
        <v>0</v>
      </c>
      <c r="K1110" s="49">
        <f>SUM(K1111:K1115)</f>
        <v>0</v>
      </c>
      <c r="L1110" s="49">
        <f>SUM(L1111:L1115)</f>
        <v>0</v>
      </c>
      <c r="M1110" s="49">
        <f>SUM(M1111:M1115)</f>
        <v>0</v>
      </c>
      <c r="N1110" s="49">
        <f>SUM(N1111:N1115)</f>
        <v>0</v>
      </c>
      <c r="O1110" s="49">
        <f>SUM(O1111:O1115)</f>
        <v>0</v>
      </c>
      <c r="P1110" s="49">
        <f>SUM(P1111:P1115)</f>
        <v>0</v>
      </c>
      <c r="Q1110" s="49">
        <f>SUM(Q1111:Q1115)</f>
        <v>0</v>
      </c>
      <c r="R1110" s="49">
        <f>SUM(R1111:R1115)</f>
        <v>0</v>
      </c>
      <c r="S1110" s="49">
        <f>SUM(S1111:S1115)</f>
        <v>0</v>
      </c>
      <c r="T1110" s="49">
        <f>SUM(T1111:T1115)</f>
        <v>0</v>
      </c>
      <c r="U1110" s="49">
        <f>SUM(U1111:U1115)</f>
        <v>0</v>
      </c>
      <c r="V1110" s="49">
        <f>SUM(V1111:V1115)</f>
        <v>0</v>
      </c>
      <c r="W1110" s="49">
        <f>SUM(W1111:W1115)</f>
        <v>0</v>
      </c>
      <c r="X1110" s="49">
        <f>SUM(X1111:X1115)</f>
        <v>0</v>
      </c>
      <c r="Y1110" s="49">
        <f>SUM(Y1111:Y1115)</f>
        <v>0</v>
      </c>
      <c r="Z1110" s="49">
        <f>SUM(Z1111:Z1115)</f>
        <v>0</v>
      </c>
      <c r="AA1110" s="49">
        <f>SUM(AA1111:AA1115)</f>
        <v>0</v>
      </c>
      <c r="AB1110" s="49">
        <f>SUM(AB1111:AB1115)</f>
        <v>0</v>
      </c>
    </row>
    <row r="1111" spans="1:28" hidden="1" outlineLevel="1" x14ac:dyDescent="0.3">
      <c r="A1111" s="33" t="s">
        <v>246</v>
      </c>
      <c r="B1111" s="34" t="s">
        <v>274</v>
      </c>
      <c r="C1111" s="50">
        <f>SUMIFS(INDEX(Техника!$F$1:$ABM$500,C$2,0),Техника!$F$4:$ABM$4,"Часы",INDEX(Техника!$G$1:$ABN$500,C$2,0),$A$1110,INDEX(Техника!$H$1:$ABO$500,C$2,0),"М")</f>
        <v>0</v>
      </c>
      <c r="D1111" s="50">
        <f>SUMIFS(INDEX(Техника!$F$1:$ABM$500,D$2,0),Техника!$F$4:$ABM$4,"Часы",INDEX(Техника!$G$1:$ABN$500,D$2,0),$A$1110,INDEX(Техника!$H$1:$ABO$500,D$2,0),"М")</f>
        <v>0</v>
      </c>
      <c r="E1111" s="50">
        <f>SUMIFS(INDEX(Техника!$F$1:$ABM$500,E$2,0),Техника!$F$4:$ABM$4,"Часы",INDEX(Техника!$G$1:$ABN$500,E$2,0),$A$1110,INDEX(Техника!$H$1:$ABO$500,E$2,0),"М")</f>
        <v>0</v>
      </c>
      <c r="F1111" s="50">
        <f>SUMIFS(INDEX(Техника!$F$1:$ABM$500,F$2,0),Техника!$F$4:$ABM$4,"Часы",INDEX(Техника!$G$1:$ABN$500,F$2,0),$A$1110,INDEX(Техника!$H$1:$ABO$500,F$2,0),"М")</f>
        <v>0</v>
      </c>
      <c r="G1111" s="50">
        <f>SUMIFS(INDEX(Техника!$F$1:$ABM$500,G$2,0),Техника!$F$4:$ABM$4,"Часы",INDEX(Техника!$G$1:$ABN$500,G$2,0),$A$1110,INDEX(Техника!$H$1:$ABO$500,G$2,0),"М")</f>
        <v>0</v>
      </c>
      <c r="H1111" s="50">
        <f>SUMIFS(INDEX(Техника!$F$1:$ABM$500,H$2,0),Техника!$F$4:$ABM$4,"Часы",INDEX(Техника!$G$1:$ABN$500,H$2,0),$A$1110,INDEX(Техника!$H$1:$ABO$500,H$2,0),"М")</f>
        <v>0</v>
      </c>
      <c r="I1111" s="50">
        <f>SUMIFS(INDEX(Техника!$F$1:$ABM$500,I$2,0),Техника!$F$4:$ABM$4,"Часы",INDEX(Техника!$G$1:$ABN$500,I$2,0),$A$1110,INDEX(Техника!$H$1:$ABO$500,I$2,0),"М")</f>
        <v>0</v>
      </c>
      <c r="J1111" s="50">
        <f>SUMIFS(INDEX(Техника!$F$1:$ABM$500,J$2,0),Техника!$F$4:$ABM$4,"Часы",INDEX(Техника!$G$1:$ABN$500,J$2,0),$A$1110,INDEX(Техника!$H$1:$ABO$500,J$2,0),"М")</f>
        <v>0</v>
      </c>
      <c r="K1111" s="50">
        <f>SUMIFS(INDEX(Техника!$F$1:$ABM$500,K$2,0),Техника!$F$4:$ABM$4,"Часы",INDEX(Техника!$G$1:$ABN$500,K$2,0),$A$1110,INDEX(Техника!$H$1:$ABO$500,K$2,0),"М")</f>
        <v>0</v>
      </c>
      <c r="L1111" s="50">
        <f>SUMIFS(INDEX(Техника!$F$1:$ABM$500,L$2,0),Техника!$F$4:$ABM$4,"Часы",INDEX(Техника!$G$1:$ABN$500,L$2,0),$A$1110,INDEX(Техника!$H$1:$ABO$500,L$2,0),"М")</f>
        <v>0</v>
      </c>
      <c r="M1111" s="50">
        <f>SUMIFS(INDEX(Техника!$F$1:$ABM$500,M$2,0),Техника!$F$4:$ABM$4,"Часы",INDEX(Техника!$G$1:$ABN$500,M$2,0),$A$1110,INDEX(Техника!$H$1:$ABO$500,M$2,0),"М")</f>
        <v>0</v>
      </c>
      <c r="N1111" s="50">
        <f>SUMIFS(INDEX(Техника!$F$1:$ABM$500,N$2,0),Техника!$F$4:$ABM$4,"Часы",INDEX(Техника!$G$1:$ABN$500,N$2,0),$A$1110,INDEX(Техника!$H$1:$ABO$500,N$2,0),"М")</f>
        <v>0</v>
      </c>
      <c r="O1111" s="50">
        <f>SUMIFS(INDEX(Техника!$F$1:$ABM$500,O$2,0),Техника!$F$4:$ABM$4,"Часы",INDEX(Техника!$G$1:$ABN$500,O$2,0),$A$1110,INDEX(Техника!$H$1:$ABO$500,O$2,0),"М")</f>
        <v>0</v>
      </c>
      <c r="P1111" s="50">
        <f>SUMIFS(INDEX(Техника!$F$1:$ABM$500,P$2,0),Техника!$F$4:$ABM$4,"Часы",INDEX(Техника!$G$1:$ABN$500,P$2,0),$A$1110,INDEX(Техника!$H$1:$ABO$500,P$2,0),"М")</f>
        <v>0</v>
      </c>
      <c r="Q1111" s="50">
        <f>SUMIFS(INDEX(Техника!$F$1:$ABM$500,Q$2,0),Техника!$F$4:$ABM$4,"Часы",INDEX(Техника!$G$1:$ABN$500,Q$2,0),$A$1110,INDEX(Техника!$H$1:$ABO$500,Q$2,0),"М")</f>
        <v>0</v>
      </c>
      <c r="R1111" s="50">
        <f>SUMIFS(INDEX(Техника!$F$1:$ABM$500,R$2,0),Техника!$F$4:$ABM$4,"Часы",INDEX(Техника!$G$1:$ABN$500,R$2,0),$A$1110,INDEX(Техника!$H$1:$ABO$500,R$2,0),"М")</f>
        <v>0</v>
      </c>
      <c r="S1111" s="50">
        <f>SUMIFS(INDEX(Техника!$F$1:$ABM$500,S$2,0),Техника!$F$4:$ABM$4,"Часы",INDEX(Техника!$G$1:$ABN$500,S$2,0),$A$1110,INDEX(Техника!$H$1:$ABO$500,S$2,0),"М")</f>
        <v>0</v>
      </c>
      <c r="T1111" s="50">
        <f>SUMIFS(INDEX(Техника!$F$1:$ABM$500,T$2,0),Техника!$F$4:$ABM$4,"Часы",INDEX(Техника!$G$1:$ABN$500,T$2,0),$A$1110,INDEX(Техника!$H$1:$ABO$500,T$2,0),"М")</f>
        <v>0</v>
      </c>
      <c r="U1111" s="50">
        <f>SUMIFS(INDEX(Техника!$F$1:$ABM$500,U$2,0),Техника!$F$4:$ABM$4,"Часы",INDEX(Техника!$G$1:$ABN$500,U$2,0),$A$1110,INDEX(Техника!$H$1:$ABO$500,U$2,0),"М")</f>
        <v>0</v>
      </c>
      <c r="V1111" s="50">
        <f>SUMIFS(INDEX(Техника!$F$1:$ABM$500,V$2,0),Техника!$F$4:$ABM$4,"Часы",INDEX(Техника!$G$1:$ABN$500,V$2,0),$A$1110,INDEX(Техника!$H$1:$ABO$500,V$2,0),"М")</f>
        <v>0</v>
      </c>
      <c r="W1111" s="50">
        <f>SUMIFS(INDEX(Техника!$F$1:$ABM$500,W$2,0),Техника!$F$4:$ABM$4,"Часы",INDEX(Техника!$G$1:$ABN$500,W$2,0),$A$1110,INDEX(Техника!$H$1:$ABO$500,W$2,0),"М")</f>
        <v>0</v>
      </c>
      <c r="X1111" s="50">
        <f>SUMIFS(INDEX(Техника!$F$1:$ABM$500,X$2,0),Техника!$F$4:$ABM$4,"Часы",INDEX(Техника!$G$1:$ABN$500,X$2,0),$A$1110,INDEX(Техника!$H$1:$ABO$500,X$2,0),"М")</f>
        <v>0</v>
      </c>
      <c r="Y1111" s="50">
        <f>SUMIFS(INDEX(Техника!$F$1:$ABM$500,Y$2,0),Техника!$F$4:$ABM$4,"Часы",INDEX(Техника!$G$1:$ABN$500,Y$2,0),$A$1110,INDEX(Техника!$H$1:$ABO$500,Y$2,0),"М")</f>
        <v>0</v>
      </c>
      <c r="Z1111" s="50">
        <f>SUMIFS(INDEX(Техника!$F$1:$ABM$500,Z$2,0),Техника!$F$4:$ABM$4,"Часы",INDEX(Техника!$G$1:$ABN$500,Z$2,0),$A$1110,INDEX(Техника!$H$1:$ABO$500,Z$2,0),"М")</f>
        <v>0</v>
      </c>
      <c r="AA1111" s="50">
        <f>SUMIFS(INDEX(Техника!$F$1:$ABM$500,AA$2,0),Техника!$F$4:$ABM$4,"Часы",INDEX(Техника!$G$1:$ABN$500,AA$2,0),$A$1110,INDEX(Техника!$H$1:$ABO$500,AA$2,0),"М")</f>
        <v>0</v>
      </c>
      <c r="AB1111" s="50">
        <f>SUMIFS(INDEX(Техника!$F$1:$ABM$500,AB$2,0),Техника!$F$4:$ABM$4,"Часы",INDEX(Техника!$G$1:$ABN$500,AB$2,0),$A$1110,INDEX(Техника!$H$1:$ABO$500,AB$2,0),"М")</f>
        <v>0</v>
      </c>
    </row>
    <row r="1112" spans="1:28" hidden="1" outlineLevel="1" x14ac:dyDescent="0.3">
      <c r="A1112" s="33" t="s">
        <v>244</v>
      </c>
      <c r="B1112" s="34" t="s">
        <v>275</v>
      </c>
      <c r="C1112" s="50">
        <f>SUMIFS(INDEX(Техника!$F$1:$ABM$500,C$2,0),Техника!$F$4:$ABM$4,"Часы",INDEX(Техника!$G$1:$ABN$500,C$2,0),$A$1110,INDEX(Техника!$H$1:$ABO$500,C$2,0),"Д")</f>
        <v>0</v>
      </c>
      <c r="D1112" s="50">
        <f>SUMIFS(INDEX(Техника!$F$1:$ABM$500,D$2,0),Техника!$F$4:$ABM$4,"Часы",INDEX(Техника!$G$1:$ABN$500,D$2,0),$A$1110,INDEX(Техника!$H$1:$ABO$500,D$2,0),"Д")</f>
        <v>0</v>
      </c>
      <c r="E1112" s="50">
        <f>SUMIFS(INDEX(Техника!$F$1:$ABM$500,E$2,0),Техника!$F$4:$ABM$4,"Часы",INDEX(Техника!$G$1:$ABN$500,E$2,0),$A$1110,INDEX(Техника!$H$1:$ABO$500,E$2,0),"Д")</f>
        <v>0</v>
      </c>
      <c r="F1112" s="50">
        <f>SUMIFS(INDEX(Техника!$F$1:$ABM$500,F$2,0),Техника!$F$4:$ABM$4,"Часы",INDEX(Техника!$G$1:$ABN$500,F$2,0),$A$1110,INDEX(Техника!$H$1:$ABO$500,F$2,0),"Д")</f>
        <v>0</v>
      </c>
      <c r="G1112" s="50">
        <f>SUMIFS(INDEX(Техника!$F$1:$ABM$500,G$2,0),Техника!$F$4:$ABM$4,"Часы",INDEX(Техника!$G$1:$ABN$500,G$2,0),$A$1110,INDEX(Техника!$H$1:$ABO$500,G$2,0),"Д")</f>
        <v>0</v>
      </c>
      <c r="H1112" s="50">
        <f>SUMIFS(INDEX(Техника!$F$1:$ABM$500,H$2,0),Техника!$F$4:$ABM$4,"Часы",INDEX(Техника!$G$1:$ABN$500,H$2,0),$A$1110,INDEX(Техника!$H$1:$ABO$500,H$2,0),"Д")</f>
        <v>0</v>
      </c>
      <c r="I1112" s="50">
        <f>SUMIFS(INDEX(Техника!$F$1:$ABM$500,I$2,0),Техника!$F$4:$ABM$4,"Часы",INDEX(Техника!$G$1:$ABN$500,I$2,0),$A$1110,INDEX(Техника!$H$1:$ABO$500,I$2,0),"Д")</f>
        <v>0</v>
      </c>
      <c r="J1112" s="50">
        <f>SUMIFS(INDEX(Техника!$F$1:$ABM$500,J$2,0),Техника!$F$4:$ABM$4,"Часы",INDEX(Техника!$G$1:$ABN$500,J$2,0),$A$1110,INDEX(Техника!$H$1:$ABO$500,J$2,0),"Д")</f>
        <v>0</v>
      </c>
      <c r="K1112" s="50">
        <f>SUMIFS(INDEX(Техника!$F$1:$ABM$500,K$2,0),Техника!$F$4:$ABM$4,"Часы",INDEX(Техника!$G$1:$ABN$500,K$2,0),$A$1110,INDEX(Техника!$H$1:$ABO$500,K$2,0),"Д")</f>
        <v>0</v>
      </c>
      <c r="L1112" s="50">
        <f>SUMIFS(INDEX(Техника!$F$1:$ABM$500,L$2,0),Техника!$F$4:$ABM$4,"Часы",INDEX(Техника!$G$1:$ABN$500,L$2,0),$A$1110,INDEX(Техника!$H$1:$ABO$500,L$2,0),"Д")</f>
        <v>0</v>
      </c>
      <c r="M1112" s="50">
        <f>SUMIFS(INDEX(Техника!$F$1:$ABM$500,M$2,0),Техника!$F$4:$ABM$4,"Часы",INDEX(Техника!$G$1:$ABN$500,M$2,0),$A$1110,INDEX(Техника!$H$1:$ABO$500,M$2,0),"Д")</f>
        <v>0</v>
      </c>
      <c r="N1112" s="50">
        <f>SUMIFS(INDEX(Техника!$F$1:$ABM$500,N$2,0),Техника!$F$4:$ABM$4,"Часы",INDEX(Техника!$G$1:$ABN$500,N$2,0),$A$1110,INDEX(Техника!$H$1:$ABO$500,N$2,0),"Д")</f>
        <v>0</v>
      </c>
      <c r="O1112" s="50">
        <f>SUMIFS(INDEX(Техника!$F$1:$ABM$500,O$2,0),Техника!$F$4:$ABM$4,"Часы",INDEX(Техника!$G$1:$ABN$500,O$2,0),$A$1110,INDEX(Техника!$H$1:$ABO$500,O$2,0),"Д")</f>
        <v>0</v>
      </c>
      <c r="P1112" s="50">
        <f>SUMIFS(INDEX(Техника!$F$1:$ABM$500,P$2,0),Техника!$F$4:$ABM$4,"Часы",INDEX(Техника!$G$1:$ABN$500,P$2,0),$A$1110,INDEX(Техника!$H$1:$ABO$500,P$2,0),"Д")</f>
        <v>0</v>
      </c>
      <c r="Q1112" s="50">
        <f>SUMIFS(INDEX(Техника!$F$1:$ABM$500,Q$2,0),Техника!$F$4:$ABM$4,"Часы",INDEX(Техника!$G$1:$ABN$500,Q$2,0),$A$1110,INDEX(Техника!$H$1:$ABO$500,Q$2,0),"Д")</f>
        <v>0</v>
      </c>
      <c r="R1112" s="50">
        <f>SUMIFS(INDEX(Техника!$F$1:$ABM$500,R$2,0),Техника!$F$4:$ABM$4,"Часы",INDEX(Техника!$G$1:$ABN$500,R$2,0),$A$1110,INDEX(Техника!$H$1:$ABO$500,R$2,0),"Д")</f>
        <v>0</v>
      </c>
      <c r="S1112" s="50">
        <f>SUMIFS(INDEX(Техника!$F$1:$ABM$500,S$2,0),Техника!$F$4:$ABM$4,"Часы",INDEX(Техника!$G$1:$ABN$500,S$2,0),$A$1110,INDEX(Техника!$H$1:$ABO$500,S$2,0),"Д")</f>
        <v>0</v>
      </c>
      <c r="T1112" s="50">
        <f>SUMIFS(INDEX(Техника!$F$1:$ABM$500,T$2,0),Техника!$F$4:$ABM$4,"Часы",INDEX(Техника!$G$1:$ABN$500,T$2,0),$A$1110,INDEX(Техника!$H$1:$ABO$500,T$2,0),"Д")</f>
        <v>0</v>
      </c>
      <c r="U1112" s="50">
        <f>SUMIFS(INDEX(Техника!$F$1:$ABM$500,U$2,0),Техника!$F$4:$ABM$4,"Часы",INDEX(Техника!$G$1:$ABN$500,U$2,0),$A$1110,INDEX(Техника!$H$1:$ABO$500,U$2,0),"Д")</f>
        <v>0</v>
      </c>
      <c r="V1112" s="50">
        <f>SUMIFS(INDEX(Техника!$F$1:$ABM$500,V$2,0),Техника!$F$4:$ABM$4,"Часы",INDEX(Техника!$G$1:$ABN$500,V$2,0),$A$1110,INDEX(Техника!$H$1:$ABO$500,V$2,0),"Д")</f>
        <v>0</v>
      </c>
      <c r="W1112" s="50">
        <f>SUMIFS(INDEX(Техника!$F$1:$ABM$500,W$2,0),Техника!$F$4:$ABM$4,"Часы",INDEX(Техника!$G$1:$ABN$500,W$2,0),$A$1110,INDEX(Техника!$H$1:$ABO$500,W$2,0),"Д")</f>
        <v>0</v>
      </c>
      <c r="X1112" s="50">
        <f>SUMIFS(INDEX(Техника!$F$1:$ABM$500,X$2,0),Техника!$F$4:$ABM$4,"Часы",INDEX(Техника!$G$1:$ABN$500,X$2,0),$A$1110,INDEX(Техника!$H$1:$ABO$500,X$2,0),"Д")</f>
        <v>0</v>
      </c>
      <c r="Y1112" s="50">
        <f>SUMIFS(INDEX(Техника!$F$1:$ABM$500,Y$2,0),Техника!$F$4:$ABM$4,"Часы",INDEX(Техника!$G$1:$ABN$500,Y$2,0),$A$1110,INDEX(Техника!$H$1:$ABO$500,Y$2,0),"Д")</f>
        <v>0</v>
      </c>
      <c r="Z1112" s="50">
        <f>SUMIFS(INDEX(Техника!$F$1:$ABM$500,Z$2,0),Техника!$F$4:$ABM$4,"Часы",INDEX(Техника!$G$1:$ABN$500,Z$2,0),$A$1110,INDEX(Техника!$H$1:$ABO$500,Z$2,0),"Д")</f>
        <v>0</v>
      </c>
      <c r="AA1112" s="50">
        <f>SUMIFS(INDEX(Техника!$F$1:$ABM$500,AA$2,0),Техника!$F$4:$ABM$4,"Часы",INDEX(Техника!$G$1:$ABN$500,AA$2,0),$A$1110,INDEX(Техника!$H$1:$ABO$500,AA$2,0),"Д")</f>
        <v>0</v>
      </c>
      <c r="AB1112" s="50">
        <f>SUMIFS(INDEX(Техника!$F$1:$ABM$500,AB$2,0),Техника!$F$4:$ABM$4,"Часы",INDEX(Техника!$G$1:$ABN$500,AB$2,0),$A$1110,INDEX(Техника!$H$1:$ABO$500,AB$2,0),"Д")</f>
        <v>0</v>
      </c>
    </row>
    <row r="1113" spans="1:28" hidden="1" outlineLevel="1" x14ac:dyDescent="0.3">
      <c r="A1113" s="33" t="s">
        <v>276</v>
      </c>
      <c r="B1113" s="34" t="s">
        <v>277</v>
      </c>
      <c r="C1113" s="50">
        <f>SUMIFS(INDEX(Техника!$F$1:$ABM$500,C$2,0),Техника!$F$4:$ABM$4,"Часы",INDEX(Техника!$G$1:$ABN$500,C$2,0),$A$1110,INDEX(Техника!$H$1:$ABO$500,C$2,0),"П")</f>
        <v>0</v>
      </c>
      <c r="D1113" s="50">
        <f>SUMIFS(INDEX(Техника!$F$1:$ABM$500,D$2,0),Техника!$F$4:$ABM$4,"Часы",INDEX(Техника!$G$1:$ABN$500,D$2,0),$A$1110,INDEX(Техника!$H$1:$ABO$500,D$2,0),"П")</f>
        <v>0</v>
      </c>
      <c r="E1113" s="50">
        <f>SUMIFS(INDEX(Техника!$F$1:$ABM$500,E$2,0),Техника!$F$4:$ABM$4,"Часы",INDEX(Техника!$G$1:$ABN$500,E$2,0),$A$1110,INDEX(Техника!$H$1:$ABO$500,E$2,0),"П")</f>
        <v>0</v>
      </c>
      <c r="F1113" s="50">
        <f>SUMIFS(INDEX(Техника!$F$1:$ABM$500,F$2,0),Техника!$F$4:$ABM$4,"Часы",INDEX(Техника!$G$1:$ABN$500,F$2,0),$A$1110,INDEX(Техника!$H$1:$ABO$500,F$2,0),"П")</f>
        <v>0</v>
      </c>
      <c r="G1113" s="50">
        <f>SUMIFS(INDEX(Техника!$F$1:$ABM$500,G$2,0),Техника!$F$4:$ABM$4,"Часы",INDEX(Техника!$G$1:$ABN$500,G$2,0),$A$1110,INDEX(Техника!$H$1:$ABO$500,G$2,0),"П")</f>
        <v>0</v>
      </c>
      <c r="H1113" s="50">
        <f>SUMIFS(INDEX(Техника!$F$1:$ABM$500,H$2,0),Техника!$F$4:$ABM$4,"Часы",INDEX(Техника!$G$1:$ABN$500,H$2,0),$A$1110,INDEX(Техника!$H$1:$ABO$500,H$2,0),"П")</f>
        <v>0</v>
      </c>
      <c r="I1113" s="50">
        <f>SUMIFS(INDEX(Техника!$F$1:$ABM$500,I$2,0),Техника!$F$4:$ABM$4,"Часы",INDEX(Техника!$G$1:$ABN$500,I$2,0),$A$1110,INDEX(Техника!$H$1:$ABO$500,I$2,0),"П")</f>
        <v>0</v>
      </c>
      <c r="J1113" s="50">
        <f>SUMIFS(INDEX(Техника!$F$1:$ABM$500,J$2,0),Техника!$F$4:$ABM$4,"Часы",INDEX(Техника!$G$1:$ABN$500,J$2,0),$A$1110,INDEX(Техника!$H$1:$ABO$500,J$2,0),"П")</f>
        <v>0</v>
      </c>
      <c r="K1113" s="50">
        <f>SUMIFS(INDEX(Техника!$F$1:$ABM$500,K$2,0),Техника!$F$4:$ABM$4,"Часы",INDEX(Техника!$G$1:$ABN$500,K$2,0),$A$1110,INDEX(Техника!$H$1:$ABO$500,K$2,0),"П")</f>
        <v>0</v>
      </c>
      <c r="L1113" s="50">
        <f>SUMIFS(INDEX(Техника!$F$1:$ABM$500,L$2,0),Техника!$F$4:$ABM$4,"Часы",INDEX(Техника!$G$1:$ABN$500,L$2,0),$A$1110,INDEX(Техника!$H$1:$ABO$500,L$2,0),"П")</f>
        <v>0</v>
      </c>
      <c r="M1113" s="50">
        <f>SUMIFS(INDEX(Техника!$F$1:$ABM$500,M$2,0),Техника!$F$4:$ABM$4,"Часы",INDEX(Техника!$G$1:$ABN$500,M$2,0),$A$1110,INDEX(Техника!$H$1:$ABO$500,M$2,0),"П")</f>
        <v>0</v>
      </c>
      <c r="N1113" s="50">
        <f>SUMIFS(INDEX(Техника!$F$1:$ABM$500,N$2,0),Техника!$F$4:$ABM$4,"Часы",INDEX(Техника!$G$1:$ABN$500,N$2,0),$A$1110,INDEX(Техника!$H$1:$ABO$500,N$2,0),"П")</f>
        <v>0</v>
      </c>
      <c r="O1113" s="50">
        <f>SUMIFS(INDEX(Техника!$F$1:$ABM$500,O$2,0),Техника!$F$4:$ABM$4,"Часы",INDEX(Техника!$G$1:$ABN$500,O$2,0),$A$1110,INDEX(Техника!$H$1:$ABO$500,O$2,0),"П")</f>
        <v>0</v>
      </c>
      <c r="P1113" s="50">
        <f>SUMIFS(INDEX(Техника!$F$1:$ABM$500,P$2,0),Техника!$F$4:$ABM$4,"Часы",INDEX(Техника!$G$1:$ABN$500,P$2,0),$A$1110,INDEX(Техника!$H$1:$ABO$500,P$2,0),"П")</f>
        <v>0</v>
      </c>
      <c r="Q1113" s="50">
        <f>SUMIFS(INDEX(Техника!$F$1:$ABM$500,Q$2,0),Техника!$F$4:$ABM$4,"Часы",INDEX(Техника!$G$1:$ABN$500,Q$2,0),$A$1110,INDEX(Техника!$H$1:$ABO$500,Q$2,0),"П")</f>
        <v>0</v>
      </c>
      <c r="R1113" s="50">
        <f>SUMIFS(INDEX(Техника!$F$1:$ABM$500,R$2,0),Техника!$F$4:$ABM$4,"Часы",INDEX(Техника!$G$1:$ABN$500,R$2,0),$A$1110,INDEX(Техника!$H$1:$ABO$500,R$2,0),"П")</f>
        <v>0</v>
      </c>
      <c r="S1113" s="50">
        <f>SUMIFS(INDEX(Техника!$F$1:$ABM$500,S$2,0),Техника!$F$4:$ABM$4,"Часы",INDEX(Техника!$G$1:$ABN$500,S$2,0),$A$1110,INDEX(Техника!$H$1:$ABO$500,S$2,0),"П")</f>
        <v>0</v>
      </c>
      <c r="T1113" s="50">
        <f>SUMIFS(INDEX(Техника!$F$1:$ABM$500,T$2,0),Техника!$F$4:$ABM$4,"Часы",INDEX(Техника!$G$1:$ABN$500,T$2,0),$A$1110,INDEX(Техника!$H$1:$ABO$500,T$2,0),"П")</f>
        <v>0</v>
      </c>
      <c r="U1113" s="50">
        <f>SUMIFS(INDEX(Техника!$F$1:$ABM$500,U$2,0),Техника!$F$4:$ABM$4,"Часы",INDEX(Техника!$G$1:$ABN$500,U$2,0),$A$1110,INDEX(Техника!$H$1:$ABO$500,U$2,0),"П")</f>
        <v>0</v>
      </c>
      <c r="V1113" s="50">
        <f>SUMIFS(INDEX(Техника!$F$1:$ABM$500,V$2,0),Техника!$F$4:$ABM$4,"Часы",INDEX(Техника!$G$1:$ABN$500,V$2,0),$A$1110,INDEX(Техника!$H$1:$ABO$500,V$2,0),"П")</f>
        <v>0</v>
      </c>
      <c r="W1113" s="50">
        <f>SUMIFS(INDEX(Техника!$F$1:$ABM$500,W$2,0),Техника!$F$4:$ABM$4,"Часы",INDEX(Техника!$G$1:$ABN$500,W$2,0),$A$1110,INDEX(Техника!$H$1:$ABO$500,W$2,0),"П")</f>
        <v>0</v>
      </c>
      <c r="X1113" s="50">
        <f>SUMIFS(INDEX(Техника!$F$1:$ABM$500,X$2,0),Техника!$F$4:$ABM$4,"Часы",INDEX(Техника!$G$1:$ABN$500,X$2,0),$A$1110,INDEX(Техника!$H$1:$ABO$500,X$2,0),"П")</f>
        <v>0</v>
      </c>
      <c r="Y1113" s="50">
        <f>SUMIFS(INDEX(Техника!$F$1:$ABM$500,Y$2,0),Техника!$F$4:$ABM$4,"Часы",INDEX(Техника!$G$1:$ABN$500,Y$2,0),$A$1110,INDEX(Техника!$H$1:$ABO$500,Y$2,0),"П")</f>
        <v>0</v>
      </c>
      <c r="Z1113" s="50">
        <f>SUMIFS(INDEX(Техника!$F$1:$ABM$500,Z$2,0),Техника!$F$4:$ABM$4,"Часы",INDEX(Техника!$G$1:$ABN$500,Z$2,0),$A$1110,INDEX(Техника!$H$1:$ABO$500,Z$2,0),"П")</f>
        <v>0</v>
      </c>
      <c r="AA1113" s="50">
        <f>SUMIFS(INDEX(Техника!$F$1:$ABM$500,AA$2,0),Техника!$F$4:$ABM$4,"Часы",INDEX(Техника!$G$1:$ABN$500,AA$2,0),$A$1110,INDEX(Техника!$H$1:$ABO$500,AA$2,0),"П")</f>
        <v>0</v>
      </c>
      <c r="AB1113" s="50">
        <f>SUMIFS(INDEX(Техника!$F$1:$ABM$500,AB$2,0),Техника!$F$4:$ABM$4,"Часы",INDEX(Техника!$G$1:$ABN$500,AB$2,0),$A$1110,INDEX(Техника!$H$1:$ABO$500,AB$2,0),"П")</f>
        <v>0</v>
      </c>
    </row>
    <row r="1114" spans="1:28" hidden="1" outlineLevel="1" x14ac:dyDescent="0.3">
      <c r="A1114" s="33" t="s">
        <v>243</v>
      </c>
      <c r="B1114" s="34" t="s">
        <v>278</v>
      </c>
      <c r="C1114" s="50">
        <f>SUMIFS(INDEX(Техника!$F$1:$ABM$500,C$2,0),Техника!$F$4:$ABM$4,"Часы",INDEX(Техника!$G$1:$ABN$500,C$2,0),$A$1110,INDEX(Техника!$H$1:$ABO$500,C$2,0),"Л")</f>
        <v>0</v>
      </c>
      <c r="D1114" s="50">
        <f>SUMIFS(INDEX(Техника!$F$1:$ABM$500,D$2,0),Техника!$F$4:$ABM$4,"Часы",INDEX(Техника!$G$1:$ABN$500,D$2,0),$A$1110,INDEX(Техника!$H$1:$ABO$500,D$2,0),"Л")</f>
        <v>0</v>
      </c>
      <c r="E1114" s="50">
        <f>SUMIFS(INDEX(Техника!$F$1:$ABM$500,E$2,0),Техника!$F$4:$ABM$4,"Часы",INDEX(Техника!$G$1:$ABN$500,E$2,0),$A$1110,INDEX(Техника!$H$1:$ABO$500,E$2,0),"Л")</f>
        <v>0</v>
      </c>
      <c r="F1114" s="50">
        <f>SUMIFS(INDEX(Техника!$F$1:$ABM$500,F$2,0),Техника!$F$4:$ABM$4,"Часы",INDEX(Техника!$G$1:$ABN$500,F$2,0),$A$1110,INDEX(Техника!$H$1:$ABO$500,F$2,0),"Л")</f>
        <v>0</v>
      </c>
      <c r="G1114" s="50">
        <f>SUMIFS(INDEX(Техника!$F$1:$ABM$500,G$2,0),Техника!$F$4:$ABM$4,"Часы",INDEX(Техника!$G$1:$ABN$500,G$2,0),$A$1110,INDEX(Техника!$H$1:$ABO$500,G$2,0),"Л")</f>
        <v>0</v>
      </c>
      <c r="H1114" s="50">
        <f>SUMIFS(INDEX(Техника!$F$1:$ABM$500,H$2,0),Техника!$F$4:$ABM$4,"Часы",INDEX(Техника!$G$1:$ABN$500,H$2,0),$A$1110,INDEX(Техника!$H$1:$ABO$500,H$2,0),"Л")</f>
        <v>0</v>
      </c>
      <c r="I1114" s="50">
        <f>SUMIFS(INDEX(Техника!$F$1:$ABM$500,I$2,0),Техника!$F$4:$ABM$4,"Часы",INDEX(Техника!$G$1:$ABN$500,I$2,0),$A$1110,INDEX(Техника!$H$1:$ABO$500,I$2,0),"Л")</f>
        <v>0</v>
      </c>
      <c r="J1114" s="50">
        <f>SUMIFS(INDEX(Техника!$F$1:$ABM$500,J$2,0),Техника!$F$4:$ABM$4,"Часы",INDEX(Техника!$G$1:$ABN$500,J$2,0),$A$1110,INDEX(Техника!$H$1:$ABO$500,J$2,0),"Л")</f>
        <v>0</v>
      </c>
      <c r="K1114" s="50">
        <f>SUMIFS(INDEX(Техника!$F$1:$ABM$500,K$2,0),Техника!$F$4:$ABM$4,"Часы",INDEX(Техника!$G$1:$ABN$500,K$2,0),$A$1110,INDEX(Техника!$H$1:$ABO$500,K$2,0),"Л")</f>
        <v>0</v>
      </c>
      <c r="L1114" s="50">
        <f>SUMIFS(INDEX(Техника!$F$1:$ABM$500,L$2,0),Техника!$F$4:$ABM$4,"Часы",INDEX(Техника!$G$1:$ABN$500,L$2,0),$A$1110,INDEX(Техника!$H$1:$ABO$500,L$2,0),"Л")</f>
        <v>0</v>
      </c>
      <c r="M1114" s="50">
        <f>SUMIFS(INDEX(Техника!$F$1:$ABM$500,M$2,0),Техника!$F$4:$ABM$4,"Часы",INDEX(Техника!$G$1:$ABN$500,M$2,0),$A$1110,INDEX(Техника!$H$1:$ABO$500,M$2,0),"Л")</f>
        <v>0</v>
      </c>
      <c r="N1114" s="50">
        <f>SUMIFS(INDEX(Техника!$F$1:$ABM$500,N$2,0),Техника!$F$4:$ABM$4,"Часы",INDEX(Техника!$G$1:$ABN$500,N$2,0),$A$1110,INDEX(Техника!$H$1:$ABO$500,N$2,0),"Л")</f>
        <v>0</v>
      </c>
      <c r="O1114" s="50">
        <f>SUMIFS(INDEX(Техника!$F$1:$ABM$500,O$2,0),Техника!$F$4:$ABM$4,"Часы",INDEX(Техника!$G$1:$ABN$500,O$2,0),$A$1110,INDEX(Техника!$H$1:$ABO$500,O$2,0),"Л")</f>
        <v>0</v>
      </c>
      <c r="P1114" s="50">
        <f>SUMIFS(INDEX(Техника!$F$1:$ABM$500,P$2,0),Техника!$F$4:$ABM$4,"Часы",INDEX(Техника!$G$1:$ABN$500,P$2,0),$A$1110,INDEX(Техника!$H$1:$ABO$500,P$2,0),"Л")</f>
        <v>0</v>
      </c>
      <c r="Q1114" s="50">
        <f>SUMIFS(INDEX(Техника!$F$1:$ABM$500,Q$2,0),Техника!$F$4:$ABM$4,"Часы",INDEX(Техника!$G$1:$ABN$500,Q$2,0),$A$1110,INDEX(Техника!$H$1:$ABO$500,Q$2,0),"Л")</f>
        <v>0</v>
      </c>
      <c r="R1114" s="50">
        <f>SUMIFS(INDEX(Техника!$F$1:$ABM$500,R$2,0),Техника!$F$4:$ABM$4,"Часы",INDEX(Техника!$G$1:$ABN$500,R$2,0),$A$1110,INDEX(Техника!$H$1:$ABO$500,R$2,0),"Л")</f>
        <v>0</v>
      </c>
      <c r="S1114" s="50">
        <f>SUMIFS(INDEX(Техника!$F$1:$ABM$500,S$2,0),Техника!$F$4:$ABM$4,"Часы",INDEX(Техника!$G$1:$ABN$500,S$2,0),$A$1110,INDEX(Техника!$H$1:$ABO$500,S$2,0),"Л")</f>
        <v>0</v>
      </c>
      <c r="T1114" s="50">
        <f>SUMIFS(INDEX(Техника!$F$1:$ABM$500,T$2,0),Техника!$F$4:$ABM$4,"Часы",INDEX(Техника!$G$1:$ABN$500,T$2,0),$A$1110,INDEX(Техника!$H$1:$ABO$500,T$2,0),"Л")</f>
        <v>0</v>
      </c>
      <c r="U1114" s="50">
        <f>SUMIFS(INDEX(Техника!$F$1:$ABM$500,U$2,0),Техника!$F$4:$ABM$4,"Часы",INDEX(Техника!$G$1:$ABN$500,U$2,0),$A$1110,INDEX(Техника!$H$1:$ABO$500,U$2,0),"Л")</f>
        <v>0</v>
      </c>
      <c r="V1114" s="50">
        <f>SUMIFS(INDEX(Техника!$F$1:$ABM$500,V$2,0),Техника!$F$4:$ABM$4,"Часы",INDEX(Техника!$G$1:$ABN$500,V$2,0),$A$1110,INDEX(Техника!$H$1:$ABO$500,V$2,0),"Л")</f>
        <v>0</v>
      </c>
      <c r="W1114" s="50">
        <f>SUMIFS(INDEX(Техника!$F$1:$ABM$500,W$2,0),Техника!$F$4:$ABM$4,"Часы",INDEX(Техника!$G$1:$ABN$500,W$2,0),$A$1110,INDEX(Техника!$H$1:$ABO$500,W$2,0),"Л")</f>
        <v>0</v>
      </c>
      <c r="X1114" s="50">
        <f>SUMIFS(INDEX(Техника!$F$1:$ABM$500,X$2,0),Техника!$F$4:$ABM$4,"Часы",INDEX(Техника!$G$1:$ABN$500,X$2,0),$A$1110,INDEX(Техника!$H$1:$ABO$500,X$2,0),"Л")</f>
        <v>0</v>
      </c>
      <c r="Y1114" s="50">
        <f>SUMIFS(INDEX(Техника!$F$1:$ABM$500,Y$2,0),Техника!$F$4:$ABM$4,"Часы",INDEX(Техника!$G$1:$ABN$500,Y$2,0),$A$1110,INDEX(Техника!$H$1:$ABO$500,Y$2,0),"Л")</f>
        <v>0</v>
      </c>
      <c r="Z1114" s="50">
        <f>SUMIFS(INDEX(Техника!$F$1:$ABM$500,Z$2,0),Техника!$F$4:$ABM$4,"Часы",INDEX(Техника!$G$1:$ABN$500,Z$2,0),$A$1110,INDEX(Техника!$H$1:$ABO$500,Z$2,0),"Л")</f>
        <v>0</v>
      </c>
      <c r="AA1114" s="50">
        <f>SUMIFS(INDEX(Техника!$F$1:$ABM$500,AA$2,0),Техника!$F$4:$ABM$4,"Часы",INDEX(Техника!$G$1:$ABN$500,AA$2,0),$A$1110,INDEX(Техника!$H$1:$ABO$500,AA$2,0),"Л")</f>
        <v>0</v>
      </c>
      <c r="AB1114" s="50">
        <f>SUMIFS(INDEX(Техника!$F$1:$ABM$500,AB$2,0),Техника!$F$4:$ABM$4,"Часы",INDEX(Техника!$G$1:$ABN$500,AB$2,0),$A$1110,INDEX(Техника!$H$1:$ABO$500,AB$2,0),"Л")</f>
        <v>0</v>
      </c>
    </row>
    <row r="1115" spans="1:28" hidden="1" outlineLevel="1" x14ac:dyDescent="0.3">
      <c r="A1115" s="33" t="s">
        <v>245</v>
      </c>
      <c r="B1115" s="34" t="s">
        <v>279</v>
      </c>
      <c r="C1115" s="50">
        <f>SUMIFS(INDEX(Техника!$F$1:$ABM$500,C$2,0),Техника!$F$4:$ABM$4,"Часы",INDEX(Техника!$G$1:$ABN$500,C$2,0),$A$1110,INDEX(Техника!$H$1:$ABO$500,C$2,0),"З")</f>
        <v>0</v>
      </c>
      <c r="D1115" s="50">
        <f>SUMIFS(INDEX(Техника!$F$1:$ABM$500,D$2,0),Техника!$F$4:$ABM$4,"Часы",INDEX(Техника!$G$1:$ABN$500,D$2,0),$A$1110,INDEX(Техника!$H$1:$ABO$500,D$2,0),"З")</f>
        <v>0</v>
      </c>
      <c r="E1115" s="50">
        <f>SUMIFS(INDEX(Техника!$F$1:$ABM$500,E$2,0),Техника!$F$4:$ABM$4,"Часы",INDEX(Техника!$G$1:$ABN$500,E$2,0),$A$1110,INDEX(Техника!$H$1:$ABO$500,E$2,0),"З")</f>
        <v>0</v>
      </c>
      <c r="F1115" s="50">
        <f>SUMIFS(INDEX(Техника!$F$1:$ABM$500,F$2,0),Техника!$F$4:$ABM$4,"Часы",INDEX(Техника!$G$1:$ABN$500,F$2,0),$A$1110,INDEX(Техника!$H$1:$ABO$500,F$2,0),"З")</f>
        <v>0</v>
      </c>
      <c r="G1115" s="50">
        <f>SUMIFS(INDEX(Техника!$F$1:$ABM$500,G$2,0),Техника!$F$4:$ABM$4,"Часы",INDEX(Техника!$G$1:$ABN$500,G$2,0),$A$1110,INDEX(Техника!$H$1:$ABO$500,G$2,0),"З")</f>
        <v>0</v>
      </c>
      <c r="H1115" s="50">
        <f>SUMIFS(INDEX(Техника!$F$1:$ABM$500,H$2,0),Техника!$F$4:$ABM$4,"Часы",INDEX(Техника!$G$1:$ABN$500,H$2,0),$A$1110,INDEX(Техника!$H$1:$ABO$500,H$2,0),"З")</f>
        <v>0</v>
      </c>
      <c r="I1115" s="50">
        <f>SUMIFS(INDEX(Техника!$F$1:$ABM$500,I$2,0),Техника!$F$4:$ABM$4,"Часы",INDEX(Техника!$G$1:$ABN$500,I$2,0),$A$1110,INDEX(Техника!$H$1:$ABO$500,I$2,0),"З")</f>
        <v>0</v>
      </c>
      <c r="J1115" s="50">
        <f>SUMIFS(INDEX(Техника!$F$1:$ABM$500,J$2,0),Техника!$F$4:$ABM$4,"Часы",INDEX(Техника!$G$1:$ABN$500,J$2,0),$A$1110,INDEX(Техника!$H$1:$ABO$500,J$2,0),"З")</f>
        <v>0</v>
      </c>
      <c r="K1115" s="50">
        <f>SUMIFS(INDEX(Техника!$F$1:$ABM$500,K$2,0),Техника!$F$4:$ABM$4,"Часы",INDEX(Техника!$G$1:$ABN$500,K$2,0),$A$1110,INDEX(Техника!$H$1:$ABO$500,K$2,0),"З")</f>
        <v>0</v>
      </c>
      <c r="L1115" s="50">
        <f>SUMIFS(INDEX(Техника!$F$1:$ABM$500,L$2,0),Техника!$F$4:$ABM$4,"Часы",INDEX(Техника!$G$1:$ABN$500,L$2,0),$A$1110,INDEX(Техника!$H$1:$ABO$500,L$2,0),"З")</f>
        <v>0</v>
      </c>
      <c r="M1115" s="50">
        <f>SUMIFS(INDEX(Техника!$F$1:$ABM$500,M$2,0),Техника!$F$4:$ABM$4,"Часы",INDEX(Техника!$G$1:$ABN$500,M$2,0),$A$1110,INDEX(Техника!$H$1:$ABO$500,M$2,0),"З")</f>
        <v>0</v>
      </c>
      <c r="N1115" s="50">
        <f>SUMIFS(INDEX(Техника!$F$1:$ABM$500,N$2,0),Техника!$F$4:$ABM$4,"Часы",INDEX(Техника!$G$1:$ABN$500,N$2,0),$A$1110,INDEX(Техника!$H$1:$ABO$500,N$2,0),"З")</f>
        <v>0</v>
      </c>
      <c r="O1115" s="50">
        <f>SUMIFS(INDEX(Техника!$F$1:$ABM$500,O$2,0),Техника!$F$4:$ABM$4,"Часы",INDEX(Техника!$G$1:$ABN$500,O$2,0),$A$1110,INDEX(Техника!$H$1:$ABO$500,O$2,0),"З")</f>
        <v>0</v>
      </c>
      <c r="P1115" s="50">
        <f>SUMIFS(INDEX(Техника!$F$1:$ABM$500,P$2,0),Техника!$F$4:$ABM$4,"Часы",INDEX(Техника!$G$1:$ABN$500,P$2,0),$A$1110,INDEX(Техника!$H$1:$ABO$500,P$2,0),"З")</f>
        <v>0</v>
      </c>
      <c r="Q1115" s="50">
        <f>SUMIFS(INDEX(Техника!$F$1:$ABM$500,Q$2,0),Техника!$F$4:$ABM$4,"Часы",INDEX(Техника!$G$1:$ABN$500,Q$2,0),$A$1110,INDEX(Техника!$H$1:$ABO$500,Q$2,0),"З")</f>
        <v>0</v>
      </c>
      <c r="R1115" s="50">
        <f>SUMIFS(INDEX(Техника!$F$1:$ABM$500,R$2,0),Техника!$F$4:$ABM$4,"Часы",INDEX(Техника!$G$1:$ABN$500,R$2,0),$A$1110,INDEX(Техника!$H$1:$ABO$500,R$2,0),"З")</f>
        <v>0</v>
      </c>
      <c r="S1115" s="50">
        <f>SUMIFS(INDEX(Техника!$F$1:$ABM$500,S$2,0),Техника!$F$4:$ABM$4,"Часы",INDEX(Техника!$G$1:$ABN$500,S$2,0),$A$1110,INDEX(Техника!$H$1:$ABO$500,S$2,0),"З")</f>
        <v>0</v>
      </c>
      <c r="T1115" s="50">
        <f>SUMIFS(INDEX(Техника!$F$1:$ABM$500,T$2,0),Техника!$F$4:$ABM$4,"Часы",INDEX(Техника!$G$1:$ABN$500,T$2,0),$A$1110,INDEX(Техника!$H$1:$ABO$500,T$2,0),"З")</f>
        <v>0</v>
      </c>
      <c r="U1115" s="50">
        <f>SUMIFS(INDEX(Техника!$F$1:$ABM$500,U$2,0),Техника!$F$4:$ABM$4,"Часы",INDEX(Техника!$G$1:$ABN$500,U$2,0),$A$1110,INDEX(Техника!$H$1:$ABO$500,U$2,0),"З")</f>
        <v>0</v>
      </c>
      <c r="V1115" s="50">
        <f>SUMIFS(INDEX(Техника!$F$1:$ABM$500,V$2,0),Техника!$F$4:$ABM$4,"Часы",INDEX(Техника!$G$1:$ABN$500,V$2,0),$A$1110,INDEX(Техника!$H$1:$ABO$500,V$2,0),"З")</f>
        <v>0</v>
      </c>
      <c r="W1115" s="50">
        <f>SUMIFS(INDEX(Техника!$F$1:$ABM$500,W$2,0),Техника!$F$4:$ABM$4,"Часы",INDEX(Техника!$G$1:$ABN$500,W$2,0),$A$1110,INDEX(Техника!$H$1:$ABO$500,W$2,0),"З")</f>
        <v>0</v>
      </c>
      <c r="X1115" s="50">
        <f>SUMIFS(INDEX(Техника!$F$1:$ABM$500,X$2,0),Техника!$F$4:$ABM$4,"Часы",INDEX(Техника!$G$1:$ABN$500,X$2,0),$A$1110,INDEX(Техника!$H$1:$ABO$500,X$2,0),"З")</f>
        <v>0</v>
      </c>
      <c r="Y1115" s="50">
        <f>SUMIFS(INDEX(Техника!$F$1:$ABM$500,Y$2,0),Техника!$F$4:$ABM$4,"Часы",INDEX(Техника!$G$1:$ABN$500,Y$2,0),$A$1110,INDEX(Техника!$H$1:$ABO$500,Y$2,0),"З")</f>
        <v>0</v>
      </c>
      <c r="Z1115" s="50">
        <f>SUMIFS(INDEX(Техника!$F$1:$ABM$500,Z$2,0),Техника!$F$4:$ABM$4,"Часы",INDEX(Техника!$G$1:$ABN$500,Z$2,0),$A$1110,INDEX(Техника!$H$1:$ABO$500,Z$2,0),"З")</f>
        <v>0</v>
      </c>
      <c r="AA1115" s="50">
        <f>SUMIFS(INDEX(Техника!$F$1:$ABM$500,AA$2,0),Техника!$F$4:$ABM$4,"Часы",INDEX(Техника!$G$1:$ABN$500,AA$2,0),$A$1110,INDEX(Техника!$H$1:$ABO$500,AA$2,0),"З")</f>
        <v>0</v>
      </c>
      <c r="AB1115" s="50">
        <f>SUMIFS(INDEX(Техника!$F$1:$ABM$500,AB$2,0),Техника!$F$4:$ABM$4,"Часы",INDEX(Техника!$G$1:$ABN$500,AB$2,0),$A$1110,INDEX(Техника!$H$1:$ABO$500,AB$2,0),"З")</f>
        <v>0</v>
      </c>
    </row>
    <row r="1116" spans="1:28" ht="7.95" customHeight="1" x14ac:dyDescent="0.3">
      <c r="A1116" s="38"/>
      <c r="B1116" s="39"/>
      <c r="C1116" s="51"/>
      <c r="D1116" s="51"/>
      <c r="E1116" s="51"/>
      <c r="F1116" s="51"/>
      <c r="G1116" s="51"/>
      <c r="H1116" s="51"/>
      <c r="I1116" s="51"/>
      <c r="J1116" s="51"/>
      <c r="K1116" s="51"/>
      <c r="L1116" s="51"/>
      <c r="M1116" s="51"/>
      <c r="N1116" s="51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</row>
    <row r="1117" spans="1:28" ht="25.05" customHeight="1" collapsed="1" x14ac:dyDescent="0.3">
      <c r="A1117" s="32">
        <v>160</v>
      </c>
      <c r="B1117" s="32" t="s">
        <v>161</v>
      </c>
      <c r="C1117" s="49">
        <f>SUM(C1118:C1122)</f>
        <v>0</v>
      </c>
      <c r="D1117" s="49">
        <f>SUM(D1118:D1122)</f>
        <v>0</v>
      </c>
      <c r="E1117" s="49">
        <f>SUM(E1118:E1122)</f>
        <v>0</v>
      </c>
      <c r="F1117" s="49">
        <f>SUM(F1118:F1122)</f>
        <v>0</v>
      </c>
      <c r="G1117" s="49">
        <f>SUM(G1118:G1122)</f>
        <v>0</v>
      </c>
      <c r="H1117" s="49">
        <f>SUM(H1118:H1122)</f>
        <v>0</v>
      </c>
      <c r="I1117" s="49">
        <f>SUM(I1118:I1122)</f>
        <v>0</v>
      </c>
      <c r="J1117" s="49">
        <f>SUM(J1118:J1122)</f>
        <v>0</v>
      </c>
      <c r="K1117" s="49">
        <f>SUM(K1118:K1122)</f>
        <v>0</v>
      </c>
      <c r="L1117" s="49">
        <f>SUM(L1118:L1122)</f>
        <v>0</v>
      </c>
      <c r="M1117" s="49">
        <f>SUM(M1118:M1122)</f>
        <v>0</v>
      </c>
      <c r="N1117" s="49">
        <f>SUM(N1118:N1122)</f>
        <v>0</v>
      </c>
      <c r="O1117" s="49">
        <f>SUM(O1118:O1122)</f>
        <v>0</v>
      </c>
      <c r="P1117" s="49">
        <f>SUM(P1118:P1122)</f>
        <v>0</v>
      </c>
      <c r="Q1117" s="49">
        <f>SUM(Q1118:Q1122)</f>
        <v>0</v>
      </c>
      <c r="R1117" s="49">
        <f>SUM(R1118:R1122)</f>
        <v>0</v>
      </c>
      <c r="S1117" s="49">
        <f>SUM(S1118:S1122)</f>
        <v>0</v>
      </c>
      <c r="T1117" s="49">
        <f>SUM(T1118:T1122)</f>
        <v>0</v>
      </c>
      <c r="U1117" s="49">
        <f>SUM(U1118:U1122)</f>
        <v>0</v>
      </c>
      <c r="V1117" s="49">
        <f>SUM(V1118:V1122)</f>
        <v>0</v>
      </c>
      <c r="W1117" s="49">
        <f>SUM(W1118:W1122)</f>
        <v>0</v>
      </c>
      <c r="X1117" s="49">
        <f>SUM(X1118:X1122)</f>
        <v>0</v>
      </c>
      <c r="Y1117" s="49">
        <f>SUM(Y1118:Y1122)</f>
        <v>0</v>
      </c>
      <c r="Z1117" s="49">
        <f>SUM(Z1118:Z1122)</f>
        <v>0</v>
      </c>
      <c r="AA1117" s="49">
        <f>SUM(AA1118:AA1122)</f>
        <v>0</v>
      </c>
      <c r="AB1117" s="49">
        <f>SUM(AB1118:AB1122)</f>
        <v>0</v>
      </c>
    </row>
    <row r="1118" spans="1:28" hidden="1" outlineLevel="1" x14ac:dyDescent="0.3">
      <c r="A1118" s="33" t="s">
        <v>246</v>
      </c>
      <c r="B1118" s="34" t="s">
        <v>274</v>
      </c>
      <c r="C1118" s="50">
        <f>SUMIFS(INDEX(Техника!$F$1:$ABM$500,C$2,0),Техника!$F$4:$ABM$4,"Часы",INDEX(Техника!$G$1:$ABN$500,C$2,0),$A$1117,INDEX(Техника!$H$1:$ABO$500,C$2,0),"М")</f>
        <v>0</v>
      </c>
      <c r="D1118" s="50">
        <f>SUMIFS(INDEX(Техника!$F$1:$ABM$500,D$2,0),Техника!$F$4:$ABM$4,"Часы",INDEX(Техника!$G$1:$ABN$500,D$2,0),$A$1117,INDEX(Техника!$H$1:$ABO$500,D$2,0),"М")</f>
        <v>0</v>
      </c>
      <c r="E1118" s="50">
        <f>SUMIFS(INDEX(Техника!$F$1:$ABM$500,E$2,0),Техника!$F$4:$ABM$4,"Часы",INDEX(Техника!$G$1:$ABN$500,E$2,0),$A$1117,INDEX(Техника!$H$1:$ABO$500,E$2,0),"М")</f>
        <v>0</v>
      </c>
      <c r="F1118" s="50">
        <f>SUMIFS(INDEX(Техника!$F$1:$ABM$500,F$2,0),Техника!$F$4:$ABM$4,"Часы",INDEX(Техника!$G$1:$ABN$500,F$2,0),$A$1117,INDEX(Техника!$H$1:$ABO$500,F$2,0),"М")</f>
        <v>0</v>
      </c>
      <c r="G1118" s="50">
        <f>SUMIFS(INDEX(Техника!$F$1:$ABM$500,G$2,0),Техника!$F$4:$ABM$4,"Часы",INDEX(Техника!$G$1:$ABN$500,G$2,0),$A$1117,INDEX(Техника!$H$1:$ABO$500,G$2,0),"М")</f>
        <v>0</v>
      </c>
      <c r="H1118" s="50">
        <f>SUMIFS(INDEX(Техника!$F$1:$ABM$500,H$2,0),Техника!$F$4:$ABM$4,"Часы",INDEX(Техника!$G$1:$ABN$500,H$2,0),$A$1117,INDEX(Техника!$H$1:$ABO$500,H$2,0),"М")</f>
        <v>0</v>
      </c>
      <c r="I1118" s="50">
        <f>SUMIFS(INDEX(Техника!$F$1:$ABM$500,I$2,0),Техника!$F$4:$ABM$4,"Часы",INDEX(Техника!$G$1:$ABN$500,I$2,0),$A$1117,INDEX(Техника!$H$1:$ABO$500,I$2,0),"М")</f>
        <v>0</v>
      </c>
      <c r="J1118" s="50">
        <f>SUMIFS(INDEX(Техника!$F$1:$ABM$500,J$2,0),Техника!$F$4:$ABM$4,"Часы",INDEX(Техника!$G$1:$ABN$500,J$2,0),$A$1117,INDEX(Техника!$H$1:$ABO$500,J$2,0),"М")</f>
        <v>0</v>
      </c>
      <c r="K1118" s="50">
        <f>SUMIFS(INDEX(Техника!$F$1:$ABM$500,K$2,0),Техника!$F$4:$ABM$4,"Часы",INDEX(Техника!$G$1:$ABN$500,K$2,0),$A$1117,INDEX(Техника!$H$1:$ABO$500,K$2,0),"М")</f>
        <v>0</v>
      </c>
      <c r="L1118" s="50">
        <f>SUMIFS(INDEX(Техника!$F$1:$ABM$500,L$2,0),Техника!$F$4:$ABM$4,"Часы",INDEX(Техника!$G$1:$ABN$500,L$2,0),$A$1117,INDEX(Техника!$H$1:$ABO$500,L$2,0),"М")</f>
        <v>0</v>
      </c>
      <c r="M1118" s="50">
        <f>SUMIFS(INDEX(Техника!$F$1:$ABM$500,M$2,0),Техника!$F$4:$ABM$4,"Часы",INDEX(Техника!$G$1:$ABN$500,M$2,0),$A$1117,INDEX(Техника!$H$1:$ABO$500,M$2,0),"М")</f>
        <v>0</v>
      </c>
      <c r="N1118" s="50">
        <f>SUMIFS(INDEX(Техника!$F$1:$ABM$500,N$2,0),Техника!$F$4:$ABM$4,"Часы",INDEX(Техника!$G$1:$ABN$500,N$2,0),$A$1117,INDEX(Техника!$H$1:$ABO$500,N$2,0),"М")</f>
        <v>0</v>
      </c>
      <c r="O1118" s="50">
        <f>SUMIFS(INDEX(Техника!$F$1:$ABM$500,O$2,0),Техника!$F$4:$ABM$4,"Часы",INDEX(Техника!$G$1:$ABN$500,O$2,0),$A$1117,INDEX(Техника!$H$1:$ABO$500,O$2,0),"М")</f>
        <v>0</v>
      </c>
      <c r="P1118" s="50">
        <f>SUMIFS(INDEX(Техника!$F$1:$ABM$500,P$2,0),Техника!$F$4:$ABM$4,"Часы",INDEX(Техника!$G$1:$ABN$500,P$2,0),$A$1117,INDEX(Техника!$H$1:$ABO$500,P$2,0),"М")</f>
        <v>0</v>
      </c>
      <c r="Q1118" s="50">
        <f>SUMIFS(INDEX(Техника!$F$1:$ABM$500,Q$2,0),Техника!$F$4:$ABM$4,"Часы",INDEX(Техника!$G$1:$ABN$500,Q$2,0),$A$1117,INDEX(Техника!$H$1:$ABO$500,Q$2,0),"М")</f>
        <v>0</v>
      </c>
      <c r="R1118" s="50">
        <f>SUMIFS(INDEX(Техника!$F$1:$ABM$500,R$2,0),Техника!$F$4:$ABM$4,"Часы",INDEX(Техника!$G$1:$ABN$500,R$2,0),$A$1117,INDEX(Техника!$H$1:$ABO$500,R$2,0),"М")</f>
        <v>0</v>
      </c>
      <c r="S1118" s="50">
        <f>SUMIFS(INDEX(Техника!$F$1:$ABM$500,S$2,0),Техника!$F$4:$ABM$4,"Часы",INDEX(Техника!$G$1:$ABN$500,S$2,0),$A$1117,INDEX(Техника!$H$1:$ABO$500,S$2,0),"М")</f>
        <v>0</v>
      </c>
      <c r="T1118" s="50">
        <f>SUMIFS(INDEX(Техника!$F$1:$ABM$500,T$2,0),Техника!$F$4:$ABM$4,"Часы",INDEX(Техника!$G$1:$ABN$500,T$2,0),$A$1117,INDEX(Техника!$H$1:$ABO$500,T$2,0),"М")</f>
        <v>0</v>
      </c>
      <c r="U1118" s="50">
        <f>SUMIFS(INDEX(Техника!$F$1:$ABM$500,U$2,0),Техника!$F$4:$ABM$4,"Часы",INDEX(Техника!$G$1:$ABN$500,U$2,0),$A$1117,INDEX(Техника!$H$1:$ABO$500,U$2,0),"М")</f>
        <v>0</v>
      </c>
      <c r="V1118" s="50">
        <f>SUMIFS(INDEX(Техника!$F$1:$ABM$500,V$2,0),Техника!$F$4:$ABM$4,"Часы",INDEX(Техника!$G$1:$ABN$500,V$2,0),$A$1117,INDEX(Техника!$H$1:$ABO$500,V$2,0),"М")</f>
        <v>0</v>
      </c>
      <c r="W1118" s="50">
        <f>SUMIFS(INDEX(Техника!$F$1:$ABM$500,W$2,0),Техника!$F$4:$ABM$4,"Часы",INDEX(Техника!$G$1:$ABN$500,W$2,0),$A$1117,INDEX(Техника!$H$1:$ABO$500,W$2,0),"М")</f>
        <v>0</v>
      </c>
      <c r="X1118" s="50">
        <f>SUMIFS(INDEX(Техника!$F$1:$ABM$500,X$2,0),Техника!$F$4:$ABM$4,"Часы",INDEX(Техника!$G$1:$ABN$500,X$2,0),$A$1117,INDEX(Техника!$H$1:$ABO$500,X$2,0),"М")</f>
        <v>0</v>
      </c>
      <c r="Y1118" s="50">
        <f>SUMIFS(INDEX(Техника!$F$1:$ABM$500,Y$2,0),Техника!$F$4:$ABM$4,"Часы",INDEX(Техника!$G$1:$ABN$500,Y$2,0),$A$1117,INDEX(Техника!$H$1:$ABO$500,Y$2,0),"М")</f>
        <v>0</v>
      </c>
      <c r="Z1118" s="50">
        <f>SUMIFS(INDEX(Техника!$F$1:$ABM$500,Z$2,0),Техника!$F$4:$ABM$4,"Часы",INDEX(Техника!$G$1:$ABN$500,Z$2,0),$A$1117,INDEX(Техника!$H$1:$ABO$500,Z$2,0),"М")</f>
        <v>0</v>
      </c>
      <c r="AA1118" s="50">
        <f>SUMIFS(INDEX(Техника!$F$1:$ABM$500,AA$2,0),Техника!$F$4:$ABM$4,"Часы",INDEX(Техника!$G$1:$ABN$500,AA$2,0),$A$1117,INDEX(Техника!$H$1:$ABO$500,AA$2,0),"М")</f>
        <v>0</v>
      </c>
      <c r="AB1118" s="50">
        <f>SUMIFS(INDEX(Техника!$F$1:$ABM$500,AB$2,0),Техника!$F$4:$ABM$4,"Часы",INDEX(Техника!$G$1:$ABN$500,AB$2,0),$A$1117,INDEX(Техника!$H$1:$ABO$500,AB$2,0),"М")</f>
        <v>0</v>
      </c>
    </row>
    <row r="1119" spans="1:28" hidden="1" outlineLevel="1" x14ac:dyDescent="0.3">
      <c r="A1119" s="33" t="s">
        <v>244</v>
      </c>
      <c r="B1119" s="34" t="s">
        <v>275</v>
      </c>
      <c r="C1119" s="50">
        <f>SUMIFS(INDEX(Техника!$F$1:$ABM$500,C$2,0),Техника!$F$4:$ABM$4,"Часы",INDEX(Техника!$G$1:$ABN$500,C$2,0),$A$1117,INDEX(Техника!$H$1:$ABO$500,C$2,0),"Д")</f>
        <v>0</v>
      </c>
      <c r="D1119" s="50">
        <f>SUMIFS(INDEX(Техника!$F$1:$ABM$500,D$2,0),Техника!$F$4:$ABM$4,"Часы",INDEX(Техника!$G$1:$ABN$500,D$2,0),$A$1117,INDEX(Техника!$H$1:$ABO$500,D$2,0),"Д")</f>
        <v>0</v>
      </c>
      <c r="E1119" s="50">
        <f>SUMIFS(INDEX(Техника!$F$1:$ABM$500,E$2,0),Техника!$F$4:$ABM$4,"Часы",INDEX(Техника!$G$1:$ABN$500,E$2,0),$A$1117,INDEX(Техника!$H$1:$ABO$500,E$2,0),"Д")</f>
        <v>0</v>
      </c>
      <c r="F1119" s="50">
        <f>SUMIFS(INDEX(Техника!$F$1:$ABM$500,F$2,0),Техника!$F$4:$ABM$4,"Часы",INDEX(Техника!$G$1:$ABN$500,F$2,0),$A$1117,INDEX(Техника!$H$1:$ABO$500,F$2,0),"Д")</f>
        <v>0</v>
      </c>
      <c r="G1119" s="50">
        <f>SUMIFS(INDEX(Техника!$F$1:$ABM$500,G$2,0),Техника!$F$4:$ABM$4,"Часы",INDEX(Техника!$G$1:$ABN$500,G$2,0),$A$1117,INDEX(Техника!$H$1:$ABO$500,G$2,0),"Д")</f>
        <v>0</v>
      </c>
      <c r="H1119" s="50">
        <f>SUMIFS(INDEX(Техника!$F$1:$ABM$500,H$2,0),Техника!$F$4:$ABM$4,"Часы",INDEX(Техника!$G$1:$ABN$500,H$2,0),$A$1117,INDEX(Техника!$H$1:$ABO$500,H$2,0),"Д")</f>
        <v>0</v>
      </c>
      <c r="I1119" s="50">
        <f>SUMIFS(INDEX(Техника!$F$1:$ABM$500,I$2,0),Техника!$F$4:$ABM$4,"Часы",INDEX(Техника!$G$1:$ABN$500,I$2,0),$A$1117,INDEX(Техника!$H$1:$ABO$500,I$2,0),"Д")</f>
        <v>0</v>
      </c>
      <c r="J1119" s="50">
        <f>SUMIFS(INDEX(Техника!$F$1:$ABM$500,J$2,0),Техника!$F$4:$ABM$4,"Часы",INDEX(Техника!$G$1:$ABN$500,J$2,0),$A$1117,INDEX(Техника!$H$1:$ABO$500,J$2,0),"Д")</f>
        <v>0</v>
      </c>
      <c r="K1119" s="50">
        <f>SUMIFS(INDEX(Техника!$F$1:$ABM$500,K$2,0),Техника!$F$4:$ABM$4,"Часы",INDEX(Техника!$G$1:$ABN$500,K$2,0),$A$1117,INDEX(Техника!$H$1:$ABO$500,K$2,0),"Д")</f>
        <v>0</v>
      </c>
      <c r="L1119" s="50">
        <f>SUMIFS(INDEX(Техника!$F$1:$ABM$500,L$2,0),Техника!$F$4:$ABM$4,"Часы",INDEX(Техника!$G$1:$ABN$500,L$2,0),$A$1117,INDEX(Техника!$H$1:$ABO$500,L$2,0),"Д")</f>
        <v>0</v>
      </c>
      <c r="M1119" s="50">
        <f>SUMIFS(INDEX(Техника!$F$1:$ABM$500,M$2,0),Техника!$F$4:$ABM$4,"Часы",INDEX(Техника!$G$1:$ABN$500,M$2,0),$A$1117,INDEX(Техника!$H$1:$ABO$500,M$2,0),"Д")</f>
        <v>0</v>
      </c>
      <c r="N1119" s="50">
        <f>SUMIFS(INDEX(Техника!$F$1:$ABM$500,N$2,0),Техника!$F$4:$ABM$4,"Часы",INDEX(Техника!$G$1:$ABN$500,N$2,0),$A$1117,INDEX(Техника!$H$1:$ABO$500,N$2,0),"Д")</f>
        <v>0</v>
      </c>
      <c r="O1119" s="50">
        <f>SUMIFS(INDEX(Техника!$F$1:$ABM$500,O$2,0),Техника!$F$4:$ABM$4,"Часы",INDEX(Техника!$G$1:$ABN$500,O$2,0),$A$1117,INDEX(Техника!$H$1:$ABO$500,O$2,0),"Д")</f>
        <v>0</v>
      </c>
      <c r="P1119" s="50">
        <f>SUMIFS(INDEX(Техника!$F$1:$ABM$500,P$2,0),Техника!$F$4:$ABM$4,"Часы",INDEX(Техника!$G$1:$ABN$500,P$2,0),$A$1117,INDEX(Техника!$H$1:$ABO$500,P$2,0),"Д")</f>
        <v>0</v>
      </c>
      <c r="Q1119" s="50">
        <f>SUMIFS(INDEX(Техника!$F$1:$ABM$500,Q$2,0),Техника!$F$4:$ABM$4,"Часы",INDEX(Техника!$G$1:$ABN$500,Q$2,0),$A$1117,INDEX(Техника!$H$1:$ABO$500,Q$2,0),"Д")</f>
        <v>0</v>
      </c>
      <c r="R1119" s="50">
        <f>SUMIFS(INDEX(Техника!$F$1:$ABM$500,R$2,0),Техника!$F$4:$ABM$4,"Часы",INDEX(Техника!$G$1:$ABN$500,R$2,0),$A$1117,INDEX(Техника!$H$1:$ABO$500,R$2,0),"Д")</f>
        <v>0</v>
      </c>
      <c r="S1119" s="50">
        <f>SUMIFS(INDEX(Техника!$F$1:$ABM$500,S$2,0),Техника!$F$4:$ABM$4,"Часы",INDEX(Техника!$G$1:$ABN$500,S$2,0),$A$1117,INDEX(Техника!$H$1:$ABO$500,S$2,0),"Д")</f>
        <v>0</v>
      </c>
      <c r="T1119" s="50">
        <f>SUMIFS(INDEX(Техника!$F$1:$ABM$500,T$2,0),Техника!$F$4:$ABM$4,"Часы",INDEX(Техника!$G$1:$ABN$500,T$2,0),$A$1117,INDEX(Техника!$H$1:$ABO$500,T$2,0),"Д")</f>
        <v>0</v>
      </c>
      <c r="U1119" s="50">
        <f>SUMIFS(INDEX(Техника!$F$1:$ABM$500,U$2,0),Техника!$F$4:$ABM$4,"Часы",INDEX(Техника!$G$1:$ABN$500,U$2,0),$A$1117,INDEX(Техника!$H$1:$ABO$500,U$2,0),"Д")</f>
        <v>0</v>
      </c>
      <c r="V1119" s="50">
        <f>SUMIFS(INDEX(Техника!$F$1:$ABM$500,V$2,0),Техника!$F$4:$ABM$4,"Часы",INDEX(Техника!$G$1:$ABN$500,V$2,0),$A$1117,INDEX(Техника!$H$1:$ABO$500,V$2,0),"Д")</f>
        <v>0</v>
      </c>
      <c r="W1119" s="50">
        <f>SUMIFS(INDEX(Техника!$F$1:$ABM$500,W$2,0),Техника!$F$4:$ABM$4,"Часы",INDEX(Техника!$G$1:$ABN$500,W$2,0),$A$1117,INDEX(Техника!$H$1:$ABO$500,W$2,0),"Д")</f>
        <v>0</v>
      </c>
      <c r="X1119" s="50">
        <f>SUMIFS(INDEX(Техника!$F$1:$ABM$500,X$2,0),Техника!$F$4:$ABM$4,"Часы",INDEX(Техника!$G$1:$ABN$500,X$2,0),$A$1117,INDEX(Техника!$H$1:$ABO$500,X$2,0),"Д")</f>
        <v>0</v>
      </c>
      <c r="Y1119" s="50">
        <f>SUMIFS(INDEX(Техника!$F$1:$ABM$500,Y$2,0),Техника!$F$4:$ABM$4,"Часы",INDEX(Техника!$G$1:$ABN$500,Y$2,0),$A$1117,INDEX(Техника!$H$1:$ABO$500,Y$2,0),"Д")</f>
        <v>0</v>
      </c>
      <c r="Z1119" s="50">
        <f>SUMIFS(INDEX(Техника!$F$1:$ABM$500,Z$2,0),Техника!$F$4:$ABM$4,"Часы",INDEX(Техника!$G$1:$ABN$500,Z$2,0),$A$1117,INDEX(Техника!$H$1:$ABO$500,Z$2,0),"Д")</f>
        <v>0</v>
      </c>
      <c r="AA1119" s="50">
        <f>SUMIFS(INDEX(Техника!$F$1:$ABM$500,AA$2,0),Техника!$F$4:$ABM$4,"Часы",INDEX(Техника!$G$1:$ABN$500,AA$2,0),$A$1117,INDEX(Техника!$H$1:$ABO$500,AA$2,0),"Д")</f>
        <v>0</v>
      </c>
      <c r="AB1119" s="50">
        <f>SUMIFS(INDEX(Техника!$F$1:$ABM$500,AB$2,0),Техника!$F$4:$ABM$4,"Часы",INDEX(Техника!$G$1:$ABN$500,AB$2,0),$A$1117,INDEX(Техника!$H$1:$ABO$500,AB$2,0),"Д")</f>
        <v>0</v>
      </c>
    </row>
    <row r="1120" spans="1:28" hidden="1" outlineLevel="1" x14ac:dyDescent="0.3">
      <c r="A1120" s="33" t="s">
        <v>276</v>
      </c>
      <c r="B1120" s="34" t="s">
        <v>277</v>
      </c>
      <c r="C1120" s="50">
        <f>SUMIFS(INDEX(Техника!$F$1:$ABM$500,C$2,0),Техника!$F$4:$ABM$4,"Часы",INDEX(Техника!$G$1:$ABN$500,C$2,0),$A$1117,INDEX(Техника!$H$1:$ABO$500,C$2,0),"П")</f>
        <v>0</v>
      </c>
      <c r="D1120" s="50">
        <f>SUMIFS(INDEX(Техника!$F$1:$ABM$500,D$2,0),Техника!$F$4:$ABM$4,"Часы",INDEX(Техника!$G$1:$ABN$500,D$2,0),$A$1117,INDEX(Техника!$H$1:$ABO$500,D$2,0),"П")</f>
        <v>0</v>
      </c>
      <c r="E1120" s="50">
        <f>SUMIFS(INDEX(Техника!$F$1:$ABM$500,E$2,0),Техника!$F$4:$ABM$4,"Часы",INDEX(Техника!$G$1:$ABN$500,E$2,0),$A$1117,INDEX(Техника!$H$1:$ABO$500,E$2,0),"П")</f>
        <v>0</v>
      </c>
      <c r="F1120" s="50">
        <f>SUMIFS(INDEX(Техника!$F$1:$ABM$500,F$2,0),Техника!$F$4:$ABM$4,"Часы",INDEX(Техника!$G$1:$ABN$500,F$2,0),$A$1117,INDEX(Техника!$H$1:$ABO$500,F$2,0),"П")</f>
        <v>0</v>
      </c>
      <c r="G1120" s="50">
        <f>SUMIFS(INDEX(Техника!$F$1:$ABM$500,G$2,0),Техника!$F$4:$ABM$4,"Часы",INDEX(Техника!$G$1:$ABN$500,G$2,0),$A$1117,INDEX(Техника!$H$1:$ABO$500,G$2,0),"П")</f>
        <v>0</v>
      </c>
      <c r="H1120" s="50">
        <f>SUMIFS(INDEX(Техника!$F$1:$ABM$500,H$2,0),Техника!$F$4:$ABM$4,"Часы",INDEX(Техника!$G$1:$ABN$500,H$2,0),$A$1117,INDEX(Техника!$H$1:$ABO$500,H$2,0),"П")</f>
        <v>0</v>
      </c>
      <c r="I1120" s="50">
        <f>SUMIFS(INDEX(Техника!$F$1:$ABM$500,I$2,0),Техника!$F$4:$ABM$4,"Часы",INDEX(Техника!$G$1:$ABN$500,I$2,0),$A$1117,INDEX(Техника!$H$1:$ABO$500,I$2,0),"П")</f>
        <v>0</v>
      </c>
      <c r="J1120" s="50">
        <f>SUMIFS(INDEX(Техника!$F$1:$ABM$500,J$2,0),Техника!$F$4:$ABM$4,"Часы",INDEX(Техника!$G$1:$ABN$500,J$2,0),$A$1117,INDEX(Техника!$H$1:$ABO$500,J$2,0),"П")</f>
        <v>0</v>
      </c>
      <c r="K1120" s="50">
        <f>SUMIFS(INDEX(Техника!$F$1:$ABM$500,K$2,0),Техника!$F$4:$ABM$4,"Часы",INDEX(Техника!$G$1:$ABN$500,K$2,0),$A$1117,INDEX(Техника!$H$1:$ABO$500,K$2,0),"П")</f>
        <v>0</v>
      </c>
      <c r="L1120" s="50">
        <f>SUMIFS(INDEX(Техника!$F$1:$ABM$500,L$2,0),Техника!$F$4:$ABM$4,"Часы",INDEX(Техника!$G$1:$ABN$500,L$2,0),$A$1117,INDEX(Техника!$H$1:$ABO$500,L$2,0),"П")</f>
        <v>0</v>
      </c>
      <c r="M1120" s="50">
        <f>SUMIFS(INDEX(Техника!$F$1:$ABM$500,M$2,0),Техника!$F$4:$ABM$4,"Часы",INDEX(Техника!$G$1:$ABN$500,M$2,0),$A$1117,INDEX(Техника!$H$1:$ABO$500,M$2,0),"П")</f>
        <v>0</v>
      </c>
      <c r="N1120" s="50">
        <f>SUMIFS(INDEX(Техника!$F$1:$ABM$500,N$2,0),Техника!$F$4:$ABM$4,"Часы",INDEX(Техника!$G$1:$ABN$500,N$2,0),$A$1117,INDEX(Техника!$H$1:$ABO$500,N$2,0),"П")</f>
        <v>0</v>
      </c>
      <c r="O1120" s="50">
        <f>SUMIFS(INDEX(Техника!$F$1:$ABM$500,O$2,0),Техника!$F$4:$ABM$4,"Часы",INDEX(Техника!$G$1:$ABN$500,O$2,0),$A$1117,INDEX(Техника!$H$1:$ABO$500,O$2,0),"П")</f>
        <v>0</v>
      </c>
      <c r="P1120" s="50">
        <f>SUMIFS(INDEX(Техника!$F$1:$ABM$500,P$2,0),Техника!$F$4:$ABM$4,"Часы",INDEX(Техника!$G$1:$ABN$500,P$2,0),$A$1117,INDEX(Техника!$H$1:$ABO$500,P$2,0),"П")</f>
        <v>0</v>
      </c>
      <c r="Q1120" s="50">
        <f>SUMIFS(INDEX(Техника!$F$1:$ABM$500,Q$2,0),Техника!$F$4:$ABM$4,"Часы",INDEX(Техника!$G$1:$ABN$500,Q$2,0),$A$1117,INDEX(Техника!$H$1:$ABO$500,Q$2,0),"П")</f>
        <v>0</v>
      </c>
      <c r="R1120" s="50">
        <f>SUMIFS(INDEX(Техника!$F$1:$ABM$500,R$2,0),Техника!$F$4:$ABM$4,"Часы",INDEX(Техника!$G$1:$ABN$500,R$2,0),$A$1117,INDEX(Техника!$H$1:$ABO$500,R$2,0),"П")</f>
        <v>0</v>
      </c>
      <c r="S1120" s="50">
        <f>SUMIFS(INDEX(Техника!$F$1:$ABM$500,S$2,0),Техника!$F$4:$ABM$4,"Часы",INDEX(Техника!$G$1:$ABN$500,S$2,0),$A$1117,INDEX(Техника!$H$1:$ABO$500,S$2,0),"П")</f>
        <v>0</v>
      </c>
      <c r="T1120" s="50">
        <f>SUMIFS(INDEX(Техника!$F$1:$ABM$500,T$2,0),Техника!$F$4:$ABM$4,"Часы",INDEX(Техника!$G$1:$ABN$500,T$2,0),$A$1117,INDEX(Техника!$H$1:$ABO$500,T$2,0),"П")</f>
        <v>0</v>
      </c>
      <c r="U1120" s="50">
        <f>SUMIFS(INDEX(Техника!$F$1:$ABM$500,U$2,0),Техника!$F$4:$ABM$4,"Часы",INDEX(Техника!$G$1:$ABN$500,U$2,0),$A$1117,INDEX(Техника!$H$1:$ABO$500,U$2,0),"П")</f>
        <v>0</v>
      </c>
      <c r="V1120" s="50">
        <f>SUMIFS(INDEX(Техника!$F$1:$ABM$500,V$2,0),Техника!$F$4:$ABM$4,"Часы",INDEX(Техника!$G$1:$ABN$500,V$2,0),$A$1117,INDEX(Техника!$H$1:$ABO$500,V$2,0),"П")</f>
        <v>0</v>
      </c>
      <c r="W1120" s="50">
        <f>SUMIFS(INDEX(Техника!$F$1:$ABM$500,W$2,0),Техника!$F$4:$ABM$4,"Часы",INDEX(Техника!$G$1:$ABN$500,W$2,0),$A$1117,INDEX(Техника!$H$1:$ABO$500,W$2,0),"П")</f>
        <v>0</v>
      </c>
      <c r="X1120" s="50">
        <f>SUMIFS(INDEX(Техника!$F$1:$ABM$500,X$2,0),Техника!$F$4:$ABM$4,"Часы",INDEX(Техника!$G$1:$ABN$500,X$2,0),$A$1117,INDEX(Техника!$H$1:$ABO$500,X$2,0),"П")</f>
        <v>0</v>
      </c>
      <c r="Y1120" s="50">
        <f>SUMIFS(INDEX(Техника!$F$1:$ABM$500,Y$2,0),Техника!$F$4:$ABM$4,"Часы",INDEX(Техника!$G$1:$ABN$500,Y$2,0),$A$1117,INDEX(Техника!$H$1:$ABO$500,Y$2,0),"П")</f>
        <v>0</v>
      </c>
      <c r="Z1120" s="50">
        <f>SUMIFS(INDEX(Техника!$F$1:$ABM$500,Z$2,0),Техника!$F$4:$ABM$4,"Часы",INDEX(Техника!$G$1:$ABN$500,Z$2,0),$A$1117,INDEX(Техника!$H$1:$ABO$500,Z$2,0),"П")</f>
        <v>0</v>
      </c>
      <c r="AA1120" s="50">
        <f>SUMIFS(INDEX(Техника!$F$1:$ABM$500,AA$2,0),Техника!$F$4:$ABM$4,"Часы",INDEX(Техника!$G$1:$ABN$500,AA$2,0),$A$1117,INDEX(Техника!$H$1:$ABO$500,AA$2,0),"П")</f>
        <v>0</v>
      </c>
      <c r="AB1120" s="50">
        <f>SUMIFS(INDEX(Техника!$F$1:$ABM$500,AB$2,0),Техника!$F$4:$ABM$4,"Часы",INDEX(Техника!$G$1:$ABN$500,AB$2,0),$A$1117,INDEX(Техника!$H$1:$ABO$500,AB$2,0),"П")</f>
        <v>0</v>
      </c>
    </row>
    <row r="1121" spans="1:28" hidden="1" outlineLevel="1" x14ac:dyDescent="0.3">
      <c r="A1121" s="33" t="s">
        <v>243</v>
      </c>
      <c r="B1121" s="34" t="s">
        <v>278</v>
      </c>
      <c r="C1121" s="50">
        <f>SUMIFS(INDEX(Техника!$F$1:$ABM$500,C$2,0),Техника!$F$4:$ABM$4,"Часы",INDEX(Техника!$G$1:$ABN$500,C$2,0),$A$1117,INDEX(Техника!$H$1:$ABO$500,C$2,0),"Л")</f>
        <v>0</v>
      </c>
      <c r="D1121" s="50">
        <f>SUMIFS(INDEX(Техника!$F$1:$ABM$500,D$2,0),Техника!$F$4:$ABM$4,"Часы",INDEX(Техника!$G$1:$ABN$500,D$2,0),$A$1117,INDEX(Техника!$H$1:$ABO$500,D$2,0),"Л")</f>
        <v>0</v>
      </c>
      <c r="E1121" s="50">
        <f>SUMIFS(INDEX(Техника!$F$1:$ABM$500,E$2,0),Техника!$F$4:$ABM$4,"Часы",INDEX(Техника!$G$1:$ABN$500,E$2,0),$A$1117,INDEX(Техника!$H$1:$ABO$500,E$2,0),"Л")</f>
        <v>0</v>
      </c>
      <c r="F1121" s="50">
        <f>SUMIFS(INDEX(Техника!$F$1:$ABM$500,F$2,0),Техника!$F$4:$ABM$4,"Часы",INDEX(Техника!$G$1:$ABN$500,F$2,0),$A$1117,INDEX(Техника!$H$1:$ABO$500,F$2,0),"Л")</f>
        <v>0</v>
      </c>
      <c r="G1121" s="50">
        <f>SUMIFS(INDEX(Техника!$F$1:$ABM$500,G$2,0),Техника!$F$4:$ABM$4,"Часы",INDEX(Техника!$G$1:$ABN$500,G$2,0),$A$1117,INDEX(Техника!$H$1:$ABO$500,G$2,0),"Л")</f>
        <v>0</v>
      </c>
      <c r="H1121" s="50">
        <f>SUMIFS(INDEX(Техника!$F$1:$ABM$500,H$2,0),Техника!$F$4:$ABM$4,"Часы",INDEX(Техника!$G$1:$ABN$500,H$2,0),$A$1117,INDEX(Техника!$H$1:$ABO$500,H$2,0),"Л")</f>
        <v>0</v>
      </c>
      <c r="I1121" s="50">
        <f>SUMIFS(INDEX(Техника!$F$1:$ABM$500,I$2,0),Техника!$F$4:$ABM$4,"Часы",INDEX(Техника!$G$1:$ABN$500,I$2,0),$A$1117,INDEX(Техника!$H$1:$ABO$500,I$2,0),"Л")</f>
        <v>0</v>
      </c>
      <c r="J1121" s="50">
        <f>SUMIFS(INDEX(Техника!$F$1:$ABM$500,J$2,0),Техника!$F$4:$ABM$4,"Часы",INDEX(Техника!$G$1:$ABN$500,J$2,0),$A$1117,INDEX(Техника!$H$1:$ABO$500,J$2,0),"Л")</f>
        <v>0</v>
      </c>
      <c r="K1121" s="50">
        <f>SUMIFS(INDEX(Техника!$F$1:$ABM$500,K$2,0),Техника!$F$4:$ABM$4,"Часы",INDEX(Техника!$G$1:$ABN$500,K$2,0),$A$1117,INDEX(Техника!$H$1:$ABO$500,K$2,0),"Л")</f>
        <v>0</v>
      </c>
      <c r="L1121" s="50">
        <f>SUMIFS(INDEX(Техника!$F$1:$ABM$500,L$2,0),Техника!$F$4:$ABM$4,"Часы",INDEX(Техника!$G$1:$ABN$500,L$2,0),$A$1117,INDEX(Техника!$H$1:$ABO$500,L$2,0),"Л")</f>
        <v>0</v>
      </c>
      <c r="M1121" s="50">
        <f>SUMIFS(INDEX(Техника!$F$1:$ABM$500,M$2,0),Техника!$F$4:$ABM$4,"Часы",INDEX(Техника!$G$1:$ABN$500,M$2,0),$A$1117,INDEX(Техника!$H$1:$ABO$500,M$2,0),"Л")</f>
        <v>0</v>
      </c>
      <c r="N1121" s="50">
        <f>SUMIFS(INDEX(Техника!$F$1:$ABM$500,N$2,0),Техника!$F$4:$ABM$4,"Часы",INDEX(Техника!$G$1:$ABN$500,N$2,0),$A$1117,INDEX(Техника!$H$1:$ABO$500,N$2,0),"Л")</f>
        <v>0</v>
      </c>
      <c r="O1121" s="50">
        <f>SUMIFS(INDEX(Техника!$F$1:$ABM$500,O$2,0),Техника!$F$4:$ABM$4,"Часы",INDEX(Техника!$G$1:$ABN$500,O$2,0),$A$1117,INDEX(Техника!$H$1:$ABO$500,O$2,0),"Л")</f>
        <v>0</v>
      </c>
      <c r="P1121" s="50">
        <f>SUMIFS(INDEX(Техника!$F$1:$ABM$500,P$2,0),Техника!$F$4:$ABM$4,"Часы",INDEX(Техника!$G$1:$ABN$500,P$2,0),$A$1117,INDEX(Техника!$H$1:$ABO$500,P$2,0),"Л")</f>
        <v>0</v>
      </c>
      <c r="Q1121" s="50">
        <f>SUMIFS(INDEX(Техника!$F$1:$ABM$500,Q$2,0),Техника!$F$4:$ABM$4,"Часы",INDEX(Техника!$G$1:$ABN$500,Q$2,0),$A$1117,INDEX(Техника!$H$1:$ABO$500,Q$2,0),"Л")</f>
        <v>0</v>
      </c>
      <c r="R1121" s="50">
        <f>SUMIFS(INDEX(Техника!$F$1:$ABM$500,R$2,0),Техника!$F$4:$ABM$4,"Часы",INDEX(Техника!$G$1:$ABN$500,R$2,0),$A$1117,INDEX(Техника!$H$1:$ABO$500,R$2,0),"Л")</f>
        <v>0</v>
      </c>
      <c r="S1121" s="50">
        <f>SUMIFS(INDEX(Техника!$F$1:$ABM$500,S$2,0),Техника!$F$4:$ABM$4,"Часы",INDEX(Техника!$G$1:$ABN$500,S$2,0),$A$1117,INDEX(Техника!$H$1:$ABO$500,S$2,0),"Л")</f>
        <v>0</v>
      </c>
      <c r="T1121" s="50">
        <f>SUMIFS(INDEX(Техника!$F$1:$ABM$500,T$2,0),Техника!$F$4:$ABM$4,"Часы",INDEX(Техника!$G$1:$ABN$500,T$2,0),$A$1117,INDEX(Техника!$H$1:$ABO$500,T$2,0),"Л")</f>
        <v>0</v>
      </c>
      <c r="U1121" s="50">
        <f>SUMIFS(INDEX(Техника!$F$1:$ABM$500,U$2,0),Техника!$F$4:$ABM$4,"Часы",INDEX(Техника!$G$1:$ABN$500,U$2,0),$A$1117,INDEX(Техника!$H$1:$ABO$500,U$2,0),"Л")</f>
        <v>0</v>
      </c>
      <c r="V1121" s="50">
        <f>SUMIFS(INDEX(Техника!$F$1:$ABM$500,V$2,0),Техника!$F$4:$ABM$4,"Часы",INDEX(Техника!$G$1:$ABN$500,V$2,0),$A$1117,INDEX(Техника!$H$1:$ABO$500,V$2,0),"Л")</f>
        <v>0</v>
      </c>
      <c r="W1121" s="50">
        <f>SUMIFS(INDEX(Техника!$F$1:$ABM$500,W$2,0),Техника!$F$4:$ABM$4,"Часы",INDEX(Техника!$G$1:$ABN$500,W$2,0),$A$1117,INDEX(Техника!$H$1:$ABO$500,W$2,0),"Л")</f>
        <v>0</v>
      </c>
      <c r="X1121" s="50">
        <f>SUMIFS(INDEX(Техника!$F$1:$ABM$500,X$2,0),Техника!$F$4:$ABM$4,"Часы",INDEX(Техника!$G$1:$ABN$500,X$2,0),$A$1117,INDEX(Техника!$H$1:$ABO$500,X$2,0),"Л")</f>
        <v>0</v>
      </c>
      <c r="Y1121" s="50">
        <f>SUMIFS(INDEX(Техника!$F$1:$ABM$500,Y$2,0),Техника!$F$4:$ABM$4,"Часы",INDEX(Техника!$G$1:$ABN$500,Y$2,0),$A$1117,INDEX(Техника!$H$1:$ABO$500,Y$2,0),"Л")</f>
        <v>0</v>
      </c>
      <c r="Z1121" s="50">
        <f>SUMIFS(INDEX(Техника!$F$1:$ABM$500,Z$2,0),Техника!$F$4:$ABM$4,"Часы",INDEX(Техника!$G$1:$ABN$500,Z$2,0),$A$1117,INDEX(Техника!$H$1:$ABO$500,Z$2,0),"Л")</f>
        <v>0</v>
      </c>
      <c r="AA1121" s="50">
        <f>SUMIFS(INDEX(Техника!$F$1:$ABM$500,AA$2,0),Техника!$F$4:$ABM$4,"Часы",INDEX(Техника!$G$1:$ABN$500,AA$2,0),$A$1117,INDEX(Техника!$H$1:$ABO$500,AA$2,0),"Л")</f>
        <v>0</v>
      </c>
      <c r="AB1121" s="50">
        <f>SUMIFS(INDEX(Техника!$F$1:$ABM$500,AB$2,0),Техника!$F$4:$ABM$4,"Часы",INDEX(Техника!$G$1:$ABN$500,AB$2,0),$A$1117,INDEX(Техника!$H$1:$ABO$500,AB$2,0),"Л")</f>
        <v>0</v>
      </c>
    </row>
    <row r="1122" spans="1:28" hidden="1" outlineLevel="1" x14ac:dyDescent="0.3">
      <c r="A1122" s="33" t="s">
        <v>245</v>
      </c>
      <c r="B1122" s="34" t="s">
        <v>279</v>
      </c>
      <c r="C1122" s="50">
        <f>SUMIFS(INDEX(Техника!$F$1:$ABM$500,C$2,0),Техника!$F$4:$ABM$4,"Часы",INDEX(Техника!$G$1:$ABN$500,C$2,0),$A$1117,INDEX(Техника!$H$1:$ABO$500,C$2,0),"З")</f>
        <v>0</v>
      </c>
      <c r="D1122" s="50">
        <f>SUMIFS(INDEX(Техника!$F$1:$ABM$500,D$2,0),Техника!$F$4:$ABM$4,"Часы",INDEX(Техника!$G$1:$ABN$500,D$2,0),$A$1117,INDEX(Техника!$H$1:$ABO$500,D$2,0),"З")</f>
        <v>0</v>
      </c>
      <c r="E1122" s="50">
        <f>SUMIFS(INDEX(Техника!$F$1:$ABM$500,E$2,0),Техника!$F$4:$ABM$4,"Часы",INDEX(Техника!$G$1:$ABN$500,E$2,0),$A$1117,INDEX(Техника!$H$1:$ABO$500,E$2,0),"З")</f>
        <v>0</v>
      </c>
      <c r="F1122" s="50">
        <f>SUMIFS(INDEX(Техника!$F$1:$ABM$500,F$2,0),Техника!$F$4:$ABM$4,"Часы",INDEX(Техника!$G$1:$ABN$500,F$2,0),$A$1117,INDEX(Техника!$H$1:$ABO$500,F$2,0),"З")</f>
        <v>0</v>
      </c>
      <c r="G1122" s="50">
        <f>SUMIFS(INDEX(Техника!$F$1:$ABM$500,G$2,0),Техника!$F$4:$ABM$4,"Часы",INDEX(Техника!$G$1:$ABN$500,G$2,0),$A$1117,INDEX(Техника!$H$1:$ABO$500,G$2,0),"З")</f>
        <v>0</v>
      </c>
      <c r="H1122" s="50">
        <f>SUMIFS(INDEX(Техника!$F$1:$ABM$500,H$2,0),Техника!$F$4:$ABM$4,"Часы",INDEX(Техника!$G$1:$ABN$500,H$2,0),$A$1117,INDEX(Техника!$H$1:$ABO$500,H$2,0),"З")</f>
        <v>0</v>
      </c>
      <c r="I1122" s="50">
        <f>SUMIFS(INDEX(Техника!$F$1:$ABM$500,I$2,0),Техника!$F$4:$ABM$4,"Часы",INDEX(Техника!$G$1:$ABN$500,I$2,0),$A$1117,INDEX(Техника!$H$1:$ABO$500,I$2,0),"З")</f>
        <v>0</v>
      </c>
      <c r="J1122" s="50">
        <f>SUMIFS(INDEX(Техника!$F$1:$ABM$500,J$2,0),Техника!$F$4:$ABM$4,"Часы",INDEX(Техника!$G$1:$ABN$500,J$2,0),$A$1117,INDEX(Техника!$H$1:$ABO$500,J$2,0),"З")</f>
        <v>0</v>
      </c>
      <c r="K1122" s="50">
        <f>SUMIFS(INDEX(Техника!$F$1:$ABM$500,K$2,0),Техника!$F$4:$ABM$4,"Часы",INDEX(Техника!$G$1:$ABN$500,K$2,0),$A$1117,INDEX(Техника!$H$1:$ABO$500,K$2,0),"З")</f>
        <v>0</v>
      </c>
      <c r="L1122" s="50">
        <f>SUMIFS(INDEX(Техника!$F$1:$ABM$500,L$2,0),Техника!$F$4:$ABM$4,"Часы",INDEX(Техника!$G$1:$ABN$500,L$2,0),$A$1117,INDEX(Техника!$H$1:$ABO$500,L$2,0),"З")</f>
        <v>0</v>
      </c>
      <c r="M1122" s="50">
        <f>SUMIFS(INDEX(Техника!$F$1:$ABM$500,M$2,0),Техника!$F$4:$ABM$4,"Часы",INDEX(Техника!$G$1:$ABN$500,M$2,0),$A$1117,INDEX(Техника!$H$1:$ABO$500,M$2,0),"З")</f>
        <v>0</v>
      </c>
      <c r="N1122" s="50">
        <f>SUMIFS(INDEX(Техника!$F$1:$ABM$500,N$2,0),Техника!$F$4:$ABM$4,"Часы",INDEX(Техника!$G$1:$ABN$500,N$2,0),$A$1117,INDEX(Техника!$H$1:$ABO$500,N$2,0),"З")</f>
        <v>0</v>
      </c>
      <c r="O1122" s="50">
        <f>SUMIFS(INDEX(Техника!$F$1:$ABM$500,O$2,0),Техника!$F$4:$ABM$4,"Часы",INDEX(Техника!$G$1:$ABN$500,O$2,0),$A$1117,INDEX(Техника!$H$1:$ABO$500,O$2,0),"З")</f>
        <v>0</v>
      </c>
      <c r="P1122" s="50">
        <f>SUMIFS(INDEX(Техника!$F$1:$ABM$500,P$2,0),Техника!$F$4:$ABM$4,"Часы",INDEX(Техника!$G$1:$ABN$500,P$2,0),$A$1117,INDEX(Техника!$H$1:$ABO$500,P$2,0),"З")</f>
        <v>0</v>
      </c>
      <c r="Q1122" s="50">
        <f>SUMIFS(INDEX(Техника!$F$1:$ABM$500,Q$2,0),Техника!$F$4:$ABM$4,"Часы",INDEX(Техника!$G$1:$ABN$500,Q$2,0),$A$1117,INDEX(Техника!$H$1:$ABO$500,Q$2,0),"З")</f>
        <v>0</v>
      </c>
      <c r="R1122" s="50">
        <f>SUMIFS(INDEX(Техника!$F$1:$ABM$500,R$2,0),Техника!$F$4:$ABM$4,"Часы",INDEX(Техника!$G$1:$ABN$500,R$2,0),$A$1117,INDEX(Техника!$H$1:$ABO$500,R$2,0),"З")</f>
        <v>0</v>
      </c>
      <c r="S1122" s="50">
        <f>SUMIFS(INDEX(Техника!$F$1:$ABM$500,S$2,0),Техника!$F$4:$ABM$4,"Часы",INDEX(Техника!$G$1:$ABN$500,S$2,0),$A$1117,INDEX(Техника!$H$1:$ABO$500,S$2,0),"З")</f>
        <v>0</v>
      </c>
      <c r="T1122" s="50">
        <f>SUMIFS(INDEX(Техника!$F$1:$ABM$500,T$2,0),Техника!$F$4:$ABM$4,"Часы",INDEX(Техника!$G$1:$ABN$500,T$2,0),$A$1117,INDEX(Техника!$H$1:$ABO$500,T$2,0),"З")</f>
        <v>0</v>
      </c>
      <c r="U1122" s="50">
        <f>SUMIFS(INDEX(Техника!$F$1:$ABM$500,U$2,0),Техника!$F$4:$ABM$4,"Часы",INDEX(Техника!$G$1:$ABN$500,U$2,0),$A$1117,INDEX(Техника!$H$1:$ABO$500,U$2,0),"З")</f>
        <v>0</v>
      </c>
      <c r="V1122" s="50">
        <f>SUMIFS(INDEX(Техника!$F$1:$ABM$500,V$2,0),Техника!$F$4:$ABM$4,"Часы",INDEX(Техника!$G$1:$ABN$500,V$2,0),$A$1117,INDEX(Техника!$H$1:$ABO$500,V$2,0),"З")</f>
        <v>0</v>
      </c>
      <c r="W1122" s="50">
        <f>SUMIFS(INDEX(Техника!$F$1:$ABM$500,W$2,0),Техника!$F$4:$ABM$4,"Часы",INDEX(Техника!$G$1:$ABN$500,W$2,0),$A$1117,INDEX(Техника!$H$1:$ABO$500,W$2,0),"З")</f>
        <v>0</v>
      </c>
      <c r="X1122" s="50">
        <f>SUMIFS(INDEX(Техника!$F$1:$ABM$500,X$2,0),Техника!$F$4:$ABM$4,"Часы",INDEX(Техника!$G$1:$ABN$500,X$2,0),$A$1117,INDEX(Техника!$H$1:$ABO$500,X$2,0),"З")</f>
        <v>0</v>
      </c>
      <c r="Y1122" s="50">
        <f>SUMIFS(INDEX(Техника!$F$1:$ABM$500,Y$2,0),Техника!$F$4:$ABM$4,"Часы",INDEX(Техника!$G$1:$ABN$500,Y$2,0),$A$1117,INDEX(Техника!$H$1:$ABO$500,Y$2,0),"З")</f>
        <v>0</v>
      </c>
      <c r="Z1122" s="50">
        <f>SUMIFS(INDEX(Техника!$F$1:$ABM$500,Z$2,0),Техника!$F$4:$ABM$4,"Часы",INDEX(Техника!$G$1:$ABN$500,Z$2,0),$A$1117,INDEX(Техника!$H$1:$ABO$500,Z$2,0),"З")</f>
        <v>0</v>
      </c>
      <c r="AA1122" s="50">
        <f>SUMIFS(INDEX(Техника!$F$1:$ABM$500,AA$2,0),Техника!$F$4:$ABM$4,"Часы",INDEX(Техника!$G$1:$ABN$500,AA$2,0),$A$1117,INDEX(Техника!$H$1:$ABO$500,AA$2,0),"З")</f>
        <v>0</v>
      </c>
      <c r="AB1122" s="50">
        <f>SUMIFS(INDEX(Техника!$F$1:$ABM$500,AB$2,0),Техника!$F$4:$ABM$4,"Часы",INDEX(Техника!$G$1:$ABN$500,AB$2,0),$A$1117,INDEX(Техника!$H$1:$ABO$500,AB$2,0),"З")</f>
        <v>0</v>
      </c>
    </row>
    <row r="1123" spans="1:28" ht="7.95" customHeight="1" x14ac:dyDescent="0.3">
      <c r="A1123" s="38"/>
      <c r="B1123" s="39"/>
      <c r="C1123" s="51"/>
      <c r="D1123" s="51"/>
      <c r="E1123" s="51"/>
      <c r="F1123" s="51"/>
      <c r="G1123" s="51"/>
      <c r="H1123" s="51"/>
      <c r="I1123" s="51"/>
      <c r="J1123" s="51"/>
      <c r="K1123" s="51"/>
      <c r="L1123" s="51"/>
      <c r="M1123" s="51"/>
      <c r="N1123" s="51"/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1"/>
    </row>
    <row r="1124" spans="1:28" ht="25.05" customHeight="1" collapsed="1" x14ac:dyDescent="0.3">
      <c r="A1124" s="32">
        <v>161</v>
      </c>
      <c r="B1124" s="32" t="s">
        <v>162</v>
      </c>
      <c r="C1124" s="49">
        <f>SUM(C1125:C1129)</f>
        <v>0</v>
      </c>
      <c r="D1124" s="49">
        <f>SUM(D1125:D1129)</f>
        <v>0</v>
      </c>
      <c r="E1124" s="49">
        <f>SUM(E1125:E1129)</f>
        <v>0</v>
      </c>
      <c r="F1124" s="49">
        <f>SUM(F1125:F1129)</f>
        <v>0</v>
      </c>
      <c r="G1124" s="49">
        <f>SUM(G1125:G1129)</f>
        <v>0</v>
      </c>
      <c r="H1124" s="49">
        <f>SUM(H1125:H1129)</f>
        <v>0</v>
      </c>
      <c r="I1124" s="49">
        <f>SUM(I1125:I1129)</f>
        <v>0</v>
      </c>
      <c r="J1124" s="49">
        <f>SUM(J1125:J1129)</f>
        <v>0</v>
      </c>
      <c r="K1124" s="49">
        <f>SUM(K1125:K1129)</f>
        <v>0</v>
      </c>
      <c r="L1124" s="49">
        <f>SUM(L1125:L1129)</f>
        <v>0</v>
      </c>
      <c r="M1124" s="49">
        <f>SUM(M1125:M1129)</f>
        <v>0</v>
      </c>
      <c r="N1124" s="49">
        <f>SUM(N1125:N1129)</f>
        <v>0</v>
      </c>
      <c r="O1124" s="49">
        <f>SUM(O1125:O1129)</f>
        <v>0</v>
      </c>
      <c r="P1124" s="49">
        <f>SUM(P1125:P1129)</f>
        <v>0</v>
      </c>
      <c r="Q1124" s="49">
        <f>SUM(Q1125:Q1129)</f>
        <v>0</v>
      </c>
      <c r="R1124" s="49">
        <f>SUM(R1125:R1129)</f>
        <v>0</v>
      </c>
      <c r="S1124" s="49">
        <f>SUM(S1125:S1129)</f>
        <v>0</v>
      </c>
      <c r="T1124" s="49">
        <f>SUM(T1125:T1129)</f>
        <v>0</v>
      </c>
      <c r="U1124" s="49">
        <f>SUM(U1125:U1129)</f>
        <v>0</v>
      </c>
      <c r="V1124" s="49">
        <f>SUM(V1125:V1129)</f>
        <v>0</v>
      </c>
      <c r="W1124" s="49">
        <f>SUM(W1125:W1129)</f>
        <v>0</v>
      </c>
      <c r="X1124" s="49">
        <f>SUM(X1125:X1129)</f>
        <v>0</v>
      </c>
      <c r="Y1124" s="49">
        <f>SUM(Y1125:Y1129)</f>
        <v>0</v>
      </c>
      <c r="Z1124" s="49">
        <f>SUM(Z1125:Z1129)</f>
        <v>0</v>
      </c>
      <c r="AA1124" s="49">
        <f>SUM(AA1125:AA1129)</f>
        <v>0</v>
      </c>
      <c r="AB1124" s="49">
        <f>SUM(AB1125:AB1129)</f>
        <v>0</v>
      </c>
    </row>
    <row r="1125" spans="1:28" hidden="1" outlineLevel="1" x14ac:dyDescent="0.3">
      <c r="A1125" s="33" t="s">
        <v>246</v>
      </c>
      <c r="B1125" s="34" t="s">
        <v>274</v>
      </c>
      <c r="C1125" s="50">
        <f>SUMIFS(INDEX(Техника!$F$1:$ABM$500,C$2,0),Техника!$F$4:$ABM$4,"Часы",INDEX(Техника!$G$1:$ABN$500,C$2,0),$A$1124,INDEX(Техника!$H$1:$ABO$500,C$2,0),"М")</f>
        <v>0</v>
      </c>
      <c r="D1125" s="50">
        <f>SUMIFS(INDEX(Техника!$F$1:$ABM$500,D$2,0),Техника!$F$4:$ABM$4,"Часы",INDEX(Техника!$G$1:$ABN$500,D$2,0),$A$1124,INDEX(Техника!$H$1:$ABO$500,D$2,0),"М")</f>
        <v>0</v>
      </c>
      <c r="E1125" s="50">
        <f>SUMIFS(INDEX(Техника!$F$1:$ABM$500,E$2,0),Техника!$F$4:$ABM$4,"Часы",INDEX(Техника!$G$1:$ABN$500,E$2,0),$A$1124,INDEX(Техника!$H$1:$ABO$500,E$2,0),"М")</f>
        <v>0</v>
      </c>
      <c r="F1125" s="50">
        <f>SUMIFS(INDEX(Техника!$F$1:$ABM$500,F$2,0),Техника!$F$4:$ABM$4,"Часы",INDEX(Техника!$G$1:$ABN$500,F$2,0),$A$1124,INDEX(Техника!$H$1:$ABO$500,F$2,0),"М")</f>
        <v>0</v>
      </c>
      <c r="G1125" s="50">
        <f>SUMIFS(INDEX(Техника!$F$1:$ABM$500,G$2,0),Техника!$F$4:$ABM$4,"Часы",INDEX(Техника!$G$1:$ABN$500,G$2,0),$A$1124,INDEX(Техника!$H$1:$ABO$500,G$2,0),"М")</f>
        <v>0</v>
      </c>
      <c r="H1125" s="50">
        <f>SUMIFS(INDEX(Техника!$F$1:$ABM$500,H$2,0),Техника!$F$4:$ABM$4,"Часы",INDEX(Техника!$G$1:$ABN$500,H$2,0),$A$1124,INDEX(Техника!$H$1:$ABO$500,H$2,0),"М")</f>
        <v>0</v>
      </c>
      <c r="I1125" s="50">
        <f>SUMIFS(INDEX(Техника!$F$1:$ABM$500,I$2,0),Техника!$F$4:$ABM$4,"Часы",INDEX(Техника!$G$1:$ABN$500,I$2,0),$A$1124,INDEX(Техника!$H$1:$ABO$500,I$2,0),"М")</f>
        <v>0</v>
      </c>
      <c r="J1125" s="50">
        <f>SUMIFS(INDEX(Техника!$F$1:$ABM$500,J$2,0),Техника!$F$4:$ABM$4,"Часы",INDEX(Техника!$G$1:$ABN$500,J$2,0),$A$1124,INDEX(Техника!$H$1:$ABO$500,J$2,0),"М")</f>
        <v>0</v>
      </c>
      <c r="K1125" s="50">
        <f>SUMIFS(INDEX(Техника!$F$1:$ABM$500,K$2,0),Техника!$F$4:$ABM$4,"Часы",INDEX(Техника!$G$1:$ABN$500,K$2,0),$A$1124,INDEX(Техника!$H$1:$ABO$500,K$2,0),"М")</f>
        <v>0</v>
      </c>
      <c r="L1125" s="50">
        <f>SUMIFS(INDEX(Техника!$F$1:$ABM$500,L$2,0),Техника!$F$4:$ABM$4,"Часы",INDEX(Техника!$G$1:$ABN$500,L$2,0),$A$1124,INDEX(Техника!$H$1:$ABO$500,L$2,0),"М")</f>
        <v>0</v>
      </c>
      <c r="M1125" s="50">
        <f>SUMIFS(INDEX(Техника!$F$1:$ABM$500,M$2,0),Техника!$F$4:$ABM$4,"Часы",INDEX(Техника!$G$1:$ABN$500,M$2,0),$A$1124,INDEX(Техника!$H$1:$ABO$500,M$2,0),"М")</f>
        <v>0</v>
      </c>
      <c r="N1125" s="50">
        <f>SUMIFS(INDEX(Техника!$F$1:$ABM$500,N$2,0),Техника!$F$4:$ABM$4,"Часы",INDEX(Техника!$G$1:$ABN$500,N$2,0),$A$1124,INDEX(Техника!$H$1:$ABO$500,N$2,0),"М")</f>
        <v>0</v>
      </c>
      <c r="O1125" s="50">
        <f>SUMIFS(INDEX(Техника!$F$1:$ABM$500,O$2,0),Техника!$F$4:$ABM$4,"Часы",INDEX(Техника!$G$1:$ABN$500,O$2,0),$A$1124,INDEX(Техника!$H$1:$ABO$500,O$2,0),"М")</f>
        <v>0</v>
      </c>
      <c r="P1125" s="50">
        <f>SUMIFS(INDEX(Техника!$F$1:$ABM$500,P$2,0),Техника!$F$4:$ABM$4,"Часы",INDEX(Техника!$G$1:$ABN$500,P$2,0),$A$1124,INDEX(Техника!$H$1:$ABO$500,P$2,0),"М")</f>
        <v>0</v>
      </c>
      <c r="Q1125" s="50">
        <f>SUMIFS(INDEX(Техника!$F$1:$ABM$500,Q$2,0),Техника!$F$4:$ABM$4,"Часы",INDEX(Техника!$G$1:$ABN$500,Q$2,0),$A$1124,INDEX(Техника!$H$1:$ABO$500,Q$2,0),"М")</f>
        <v>0</v>
      </c>
      <c r="R1125" s="50">
        <f>SUMIFS(INDEX(Техника!$F$1:$ABM$500,R$2,0),Техника!$F$4:$ABM$4,"Часы",INDEX(Техника!$G$1:$ABN$500,R$2,0),$A$1124,INDEX(Техника!$H$1:$ABO$500,R$2,0),"М")</f>
        <v>0</v>
      </c>
      <c r="S1125" s="50">
        <f>SUMIFS(INDEX(Техника!$F$1:$ABM$500,S$2,0),Техника!$F$4:$ABM$4,"Часы",INDEX(Техника!$G$1:$ABN$500,S$2,0),$A$1124,INDEX(Техника!$H$1:$ABO$500,S$2,0),"М")</f>
        <v>0</v>
      </c>
      <c r="T1125" s="50">
        <f>SUMIFS(INDEX(Техника!$F$1:$ABM$500,T$2,0),Техника!$F$4:$ABM$4,"Часы",INDEX(Техника!$G$1:$ABN$500,T$2,0),$A$1124,INDEX(Техника!$H$1:$ABO$500,T$2,0),"М")</f>
        <v>0</v>
      </c>
      <c r="U1125" s="50">
        <f>SUMIFS(INDEX(Техника!$F$1:$ABM$500,U$2,0),Техника!$F$4:$ABM$4,"Часы",INDEX(Техника!$G$1:$ABN$500,U$2,0),$A$1124,INDEX(Техника!$H$1:$ABO$500,U$2,0),"М")</f>
        <v>0</v>
      </c>
      <c r="V1125" s="50">
        <f>SUMIFS(INDEX(Техника!$F$1:$ABM$500,V$2,0),Техника!$F$4:$ABM$4,"Часы",INDEX(Техника!$G$1:$ABN$500,V$2,0),$A$1124,INDEX(Техника!$H$1:$ABO$500,V$2,0),"М")</f>
        <v>0</v>
      </c>
      <c r="W1125" s="50">
        <f>SUMIFS(INDEX(Техника!$F$1:$ABM$500,W$2,0),Техника!$F$4:$ABM$4,"Часы",INDEX(Техника!$G$1:$ABN$500,W$2,0),$A$1124,INDEX(Техника!$H$1:$ABO$500,W$2,0),"М")</f>
        <v>0</v>
      </c>
      <c r="X1125" s="50">
        <f>SUMIFS(INDEX(Техника!$F$1:$ABM$500,X$2,0),Техника!$F$4:$ABM$4,"Часы",INDEX(Техника!$G$1:$ABN$500,X$2,0),$A$1124,INDEX(Техника!$H$1:$ABO$500,X$2,0),"М")</f>
        <v>0</v>
      </c>
      <c r="Y1125" s="50">
        <f>SUMIFS(INDEX(Техника!$F$1:$ABM$500,Y$2,0),Техника!$F$4:$ABM$4,"Часы",INDEX(Техника!$G$1:$ABN$500,Y$2,0),$A$1124,INDEX(Техника!$H$1:$ABO$500,Y$2,0),"М")</f>
        <v>0</v>
      </c>
      <c r="Z1125" s="50">
        <f>SUMIFS(INDEX(Техника!$F$1:$ABM$500,Z$2,0),Техника!$F$4:$ABM$4,"Часы",INDEX(Техника!$G$1:$ABN$500,Z$2,0),$A$1124,INDEX(Техника!$H$1:$ABO$500,Z$2,0),"М")</f>
        <v>0</v>
      </c>
      <c r="AA1125" s="50">
        <f>SUMIFS(INDEX(Техника!$F$1:$ABM$500,AA$2,0),Техника!$F$4:$ABM$4,"Часы",INDEX(Техника!$G$1:$ABN$500,AA$2,0),$A$1124,INDEX(Техника!$H$1:$ABO$500,AA$2,0),"М")</f>
        <v>0</v>
      </c>
      <c r="AB1125" s="50">
        <f>SUMIFS(INDEX(Техника!$F$1:$ABM$500,AB$2,0),Техника!$F$4:$ABM$4,"Часы",INDEX(Техника!$G$1:$ABN$500,AB$2,0),$A$1124,INDEX(Техника!$H$1:$ABO$500,AB$2,0),"М")</f>
        <v>0</v>
      </c>
    </row>
    <row r="1126" spans="1:28" hidden="1" outlineLevel="1" x14ac:dyDescent="0.3">
      <c r="A1126" s="33" t="s">
        <v>244</v>
      </c>
      <c r="B1126" s="34" t="s">
        <v>275</v>
      </c>
      <c r="C1126" s="50">
        <f>SUMIFS(INDEX(Техника!$F$1:$ABM$500,C$2,0),Техника!$F$4:$ABM$4,"Часы",INDEX(Техника!$G$1:$ABN$500,C$2,0),$A$1124,INDEX(Техника!$H$1:$ABO$500,C$2,0),"Д")</f>
        <v>0</v>
      </c>
      <c r="D1126" s="50">
        <f>SUMIFS(INDEX(Техника!$F$1:$ABM$500,D$2,0),Техника!$F$4:$ABM$4,"Часы",INDEX(Техника!$G$1:$ABN$500,D$2,0),$A$1124,INDEX(Техника!$H$1:$ABO$500,D$2,0),"Д")</f>
        <v>0</v>
      </c>
      <c r="E1126" s="50">
        <f>SUMIFS(INDEX(Техника!$F$1:$ABM$500,E$2,0),Техника!$F$4:$ABM$4,"Часы",INDEX(Техника!$G$1:$ABN$500,E$2,0),$A$1124,INDEX(Техника!$H$1:$ABO$500,E$2,0),"Д")</f>
        <v>0</v>
      </c>
      <c r="F1126" s="50">
        <f>SUMIFS(INDEX(Техника!$F$1:$ABM$500,F$2,0),Техника!$F$4:$ABM$4,"Часы",INDEX(Техника!$G$1:$ABN$500,F$2,0),$A$1124,INDEX(Техника!$H$1:$ABO$500,F$2,0),"Д")</f>
        <v>0</v>
      </c>
      <c r="G1126" s="50">
        <f>SUMIFS(INDEX(Техника!$F$1:$ABM$500,G$2,0),Техника!$F$4:$ABM$4,"Часы",INDEX(Техника!$G$1:$ABN$500,G$2,0),$A$1124,INDEX(Техника!$H$1:$ABO$500,G$2,0),"Д")</f>
        <v>0</v>
      </c>
      <c r="H1126" s="50">
        <f>SUMIFS(INDEX(Техника!$F$1:$ABM$500,H$2,0),Техника!$F$4:$ABM$4,"Часы",INDEX(Техника!$G$1:$ABN$500,H$2,0),$A$1124,INDEX(Техника!$H$1:$ABO$500,H$2,0),"Д")</f>
        <v>0</v>
      </c>
      <c r="I1126" s="50">
        <f>SUMIFS(INDEX(Техника!$F$1:$ABM$500,I$2,0),Техника!$F$4:$ABM$4,"Часы",INDEX(Техника!$G$1:$ABN$500,I$2,0),$A$1124,INDEX(Техника!$H$1:$ABO$500,I$2,0),"Д")</f>
        <v>0</v>
      </c>
      <c r="J1126" s="50">
        <f>SUMIFS(INDEX(Техника!$F$1:$ABM$500,J$2,0),Техника!$F$4:$ABM$4,"Часы",INDEX(Техника!$G$1:$ABN$500,J$2,0),$A$1124,INDEX(Техника!$H$1:$ABO$500,J$2,0),"Д")</f>
        <v>0</v>
      </c>
      <c r="K1126" s="50">
        <f>SUMIFS(INDEX(Техника!$F$1:$ABM$500,K$2,0),Техника!$F$4:$ABM$4,"Часы",INDEX(Техника!$G$1:$ABN$500,K$2,0),$A$1124,INDEX(Техника!$H$1:$ABO$500,K$2,0),"Д")</f>
        <v>0</v>
      </c>
      <c r="L1126" s="50">
        <f>SUMIFS(INDEX(Техника!$F$1:$ABM$500,L$2,0),Техника!$F$4:$ABM$4,"Часы",INDEX(Техника!$G$1:$ABN$500,L$2,0),$A$1124,INDEX(Техника!$H$1:$ABO$500,L$2,0),"Д")</f>
        <v>0</v>
      </c>
      <c r="M1126" s="50">
        <f>SUMIFS(INDEX(Техника!$F$1:$ABM$500,M$2,0),Техника!$F$4:$ABM$4,"Часы",INDEX(Техника!$G$1:$ABN$500,M$2,0),$A$1124,INDEX(Техника!$H$1:$ABO$500,M$2,0),"Д")</f>
        <v>0</v>
      </c>
      <c r="N1126" s="50">
        <f>SUMIFS(INDEX(Техника!$F$1:$ABM$500,N$2,0),Техника!$F$4:$ABM$4,"Часы",INDEX(Техника!$G$1:$ABN$500,N$2,0),$A$1124,INDEX(Техника!$H$1:$ABO$500,N$2,0),"Д")</f>
        <v>0</v>
      </c>
      <c r="O1126" s="50">
        <f>SUMIFS(INDEX(Техника!$F$1:$ABM$500,O$2,0),Техника!$F$4:$ABM$4,"Часы",INDEX(Техника!$G$1:$ABN$500,O$2,0),$A$1124,INDEX(Техника!$H$1:$ABO$500,O$2,0),"Д")</f>
        <v>0</v>
      </c>
      <c r="P1126" s="50">
        <f>SUMIFS(INDEX(Техника!$F$1:$ABM$500,P$2,0),Техника!$F$4:$ABM$4,"Часы",INDEX(Техника!$G$1:$ABN$500,P$2,0),$A$1124,INDEX(Техника!$H$1:$ABO$500,P$2,0),"Д")</f>
        <v>0</v>
      </c>
      <c r="Q1126" s="50">
        <f>SUMIFS(INDEX(Техника!$F$1:$ABM$500,Q$2,0),Техника!$F$4:$ABM$4,"Часы",INDEX(Техника!$G$1:$ABN$500,Q$2,0),$A$1124,INDEX(Техника!$H$1:$ABO$500,Q$2,0),"Д")</f>
        <v>0</v>
      </c>
      <c r="R1126" s="50">
        <f>SUMIFS(INDEX(Техника!$F$1:$ABM$500,R$2,0),Техника!$F$4:$ABM$4,"Часы",INDEX(Техника!$G$1:$ABN$500,R$2,0),$A$1124,INDEX(Техника!$H$1:$ABO$500,R$2,0),"Д")</f>
        <v>0</v>
      </c>
      <c r="S1126" s="50">
        <f>SUMIFS(INDEX(Техника!$F$1:$ABM$500,S$2,0),Техника!$F$4:$ABM$4,"Часы",INDEX(Техника!$G$1:$ABN$500,S$2,0),$A$1124,INDEX(Техника!$H$1:$ABO$500,S$2,0),"Д")</f>
        <v>0</v>
      </c>
      <c r="T1126" s="50">
        <f>SUMIFS(INDEX(Техника!$F$1:$ABM$500,T$2,0),Техника!$F$4:$ABM$4,"Часы",INDEX(Техника!$G$1:$ABN$500,T$2,0),$A$1124,INDEX(Техника!$H$1:$ABO$500,T$2,0),"Д")</f>
        <v>0</v>
      </c>
      <c r="U1126" s="50">
        <f>SUMIFS(INDEX(Техника!$F$1:$ABM$500,U$2,0),Техника!$F$4:$ABM$4,"Часы",INDEX(Техника!$G$1:$ABN$500,U$2,0),$A$1124,INDEX(Техника!$H$1:$ABO$500,U$2,0),"Д")</f>
        <v>0</v>
      </c>
      <c r="V1126" s="50">
        <f>SUMIFS(INDEX(Техника!$F$1:$ABM$500,V$2,0),Техника!$F$4:$ABM$4,"Часы",INDEX(Техника!$G$1:$ABN$500,V$2,0),$A$1124,INDEX(Техника!$H$1:$ABO$500,V$2,0),"Д")</f>
        <v>0</v>
      </c>
      <c r="W1126" s="50">
        <f>SUMIFS(INDEX(Техника!$F$1:$ABM$500,W$2,0),Техника!$F$4:$ABM$4,"Часы",INDEX(Техника!$G$1:$ABN$500,W$2,0),$A$1124,INDEX(Техника!$H$1:$ABO$500,W$2,0),"Д")</f>
        <v>0</v>
      </c>
      <c r="X1126" s="50">
        <f>SUMIFS(INDEX(Техника!$F$1:$ABM$500,X$2,0),Техника!$F$4:$ABM$4,"Часы",INDEX(Техника!$G$1:$ABN$500,X$2,0),$A$1124,INDEX(Техника!$H$1:$ABO$500,X$2,0),"Д")</f>
        <v>0</v>
      </c>
      <c r="Y1126" s="50">
        <f>SUMIFS(INDEX(Техника!$F$1:$ABM$500,Y$2,0),Техника!$F$4:$ABM$4,"Часы",INDEX(Техника!$G$1:$ABN$500,Y$2,0),$A$1124,INDEX(Техника!$H$1:$ABO$500,Y$2,0),"Д")</f>
        <v>0</v>
      </c>
      <c r="Z1126" s="50">
        <f>SUMIFS(INDEX(Техника!$F$1:$ABM$500,Z$2,0),Техника!$F$4:$ABM$4,"Часы",INDEX(Техника!$G$1:$ABN$500,Z$2,0),$A$1124,INDEX(Техника!$H$1:$ABO$500,Z$2,0),"Д")</f>
        <v>0</v>
      </c>
      <c r="AA1126" s="50">
        <f>SUMIFS(INDEX(Техника!$F$1:$ABM$500,AA$2,0),Техника!$F$4:$ABM$4,"Часы",INDEX(Техника!$G$1:$ABN$500,AA$2,0),$A$1124,INDEX(Техника!$H$1:$ABO$500,AA$2,0),"Д")</f>
        <v>0</v>
      </c>
      <c r="AB1126" s="50">
        <f>SUMIFS(INDEX(Техника!$F$1:$ABM$500,AB$2,0),Техника!$F$4:$ABM$4,"Часы",INDEX(Техника!$G$1:$ABN$500,AB$2,0),$A$1124,INDEX(Техника!$H$1:$ABO$500,AB$2,0),"Д")</f>
        <v>0</v>
      </c>
    </row>
    <row r="1127" spans="1:28" hidden="1" outlineLevel="1" x14ac:dyDescent="0.3">
      <c r="A1127" s="33" t="s">
        <v>276</v>
      </c>
      <c r="B1127" s="34" t="s">
        <v>277</v>
      </c>
      <c r="C1127" s="50">
        <f>SUMIFS(INDEX(Техника!$F$1:$ABM$500,C$2,0),Техника!$F$4:$ABM$4,"Часы",INDEX(Техника!$G$1:$ABN$500,C$2,0),$A$1124,INDEX(Техника!$H$1:$ABO$500,C$2,0),"П")</f>
        <v>0</v>
      </c>
      <c r="D1127" s="50">
        <f>SUMIFS(INDEX(Техника!$F$1:$ABM$500,D$2,0),Техника!$F$4:$ABM$4,"Часы",INDEX(Техника!$G$1:$ABN$500,D$2,0),$A$1124,INDEX(Техника!$H$1:$ABO$500,D$2,0),"П")</f>
        <v>0</v>
      </c>
      <c r="E1127" s="50">
        <f>SUMIFS(INDEX(Техника!$F$1:$ABM$500,E$2,0),Техника!$F$4:$ABM$4,"Часы",INDEX(Техника!$G$1:$ABN$500,E$2,0),$A$1124,INDEX(Техника!$H$1:$ABO$500,E$2,0),"П")</f>
        <v>0</v>
      </c>
      <c r="F1127" s="50">
        <f>SUMIFS(INDEX(Техника!$F$1:$ABM$500,F$2,0),Техника!$F$4:$ABM$4,"Часы",INDEX(Техника!$G$1:$ABN$500,F$2,0),$A$1124,INDEX(Техника!$H$1:$ABO$500,F$2,0),"П")</f>
        <v>0</v>
      </c>
      <c r="G1127" s="50">
        <f>SUMIFS(INDEX(Техника!$F$1:$ABM$500,G$2,0),Техника!$F$4:$ABM$4,"Часы",INDEX(Техника!$G$1:$ABN$500,G$2,0),$A$1124,INDEX(Техника!$H$1:$ABO$500,G$2,0),"П")</f>
        <v>0</v>
      </c>
      <c r="H1127" s="50">
        <f>SUMIFS(INDEX(Техника!$F$1:$ABM$500,H$2,0),Техника!$F$4:$ABM$4,"Часы",INDEX(Техника!$G$1:$ABN$500,H$2,0),$A$1124,INDEX(Техника!$H$1:$ABO$500,H$2,0),"П")</f>
        <v>0</v>
      </c>
      <c r="I1127" s="50">
        <f>SUMIFS(INDEX(Техника!$F$1:$ABM$500,I$2,0),Техника!$F$4:$ABM$4,"Часы",INDEX(Техника!$G$1:$ABN$500,I$2,0),$A$1124,INDEX(Техника!$H$1:$ABO$500,I$2,0),"П")</f>
        <v>0</v>
      </c>
      <c r="J1127" s="50">
        <f>SUMIFS(INDEX(Техника!$F$1:$ABM$500,J$2,0),Техника!$F$4:$ABM$4,"Часы",INDEX(Техника!$G$1:$ABN$500,J$2,0),$A$1124,INDEX(Техника!$H$1:$ABO$500,J$2,0),"П")</f>
        <v>0</v>
      </c>
      <c r="K1127" s="50">
        <f>SUMIFS(INDEX(Техника!$F$1:$ABM$500,K$2,0),Техника!$F$4:$ABM$4,"Часы",INDEX(Техника!$G$1:$ABN$500,K$2,0),$A$1124,INDEX(Техника!$H$1:$ABO$500,K$2,0),"П")</f>
        <v>0</v>
      </c>
      <c r="L1127" s="50">
        <f>SUMIFS(INDEX(Техника!$F$1:$ABM$500,L$2,0),Техника!$F$4:$ABM$4,"Часы",INDEX(Техника!$G$1:$ABN$500,L$2,0),$A$1124,INDEX(Техника!$H$1:$ABO$500,L$2,0),"П")</f>
        <v>0</v>
      </c>
      <c r="M1127" s="50">
        <f>SUMIFS(INDEX(Техника!$F$1:$ABM$500,M$2,0),Техника!$F$4:$ABM$4,"Часы",INDEX(Техника!$G$1:$ABN$500,M$2,0),$A$1124,INDEX(Техника!$H$1:$ABO$500,M$2,0),"П")</f>
        <v>0</v>
      </c>
      <c r="N1127" s="50">
        <f>SUMIFS(INDEX(Техника!$F$1:$ABM$500,N$2,0),Техника!$F$4:$ABM$4,"Часы",INDEX(Техника!$G$1:$ABN$500,N$2,0),$A$1124,INDEX(Техника!$H$1:$ABO$500,N$2,0),"П")</f>
        <v>0</v>
      </c>
      <c r="O1127" s="50">
        <f>SUMIFS(INDEX(Техника!$F$1:$ABM$500,O$2,0),Техника!$F$4:$ABM$4,"Часы",INDEX(Техника!$G$1:$ABN$500,O$2,0),$A$1124,INDEX(Техника!$H$1:$ABO$500,O$2,0),"П")</f>
        <v>0</v>
      </c>
      <c r="P1127" s="50">
        <f>SUMIFS(INDEX(Техника!$F$1:$ABM$500,P$2,0),Техника!$F$4:$ABM$4,"Часы",INDEX(Техника!$G$1:$ABN$500,P$2,0),$A$1124,INDEX(Техника!$H$1:$ABO$500,P$2,0),"П")</f>
        <v>0</v>
      </c>
      <c r="Q1127" s="50">
        <f>SUMIFS(INDEX(Техника!$F$1:$ABM$500,Q$2,0),Техника!$F$4:$ABM$4,"Часы",INDEX(Техника!$G$1:$ABN$500,Q$2,0),$A$1124,INDEX(Техника!$H$1:$ABO$500,Q$2,0),"П")</f>
        <v>0</v>
      </c>
      <c r="R1127" s="50">
        <f>SUMIFS(INDEX(Техника!$F$1:$ABM$500,R$2,0),Техника!$F$4:$ABM$4,"Часы",INDEX(Техника!$G$1:$ABN$500,R$2,0),$A$1124,INDEX(Техника!$H$1:$ABO$500,R$2,0),"П")</f>
        <v>0</v>
      </c>
      <c r="S1127" s="50">
        <f>SUMIFS(INDEX(Техника!$F$1:$ABM$500,S$2,0),Техника!$F$4:$ABM$4,"Часы",INDEX(Техника!$G$1:$ABN$500,S$2,0),$A$1124,INDEX(Техника!$H$1:$ABO$500,S$2,0),"П")</f>
        <v>0</v>
      </c>
      <c r="T1127" s="50">
        <f>SUMIFS(INDEX(Техника!$F$1:$ABM$500,T$2,0),Техника!$F$4:$ABM$4,"Часы",INDEX(Техника!$G$1:$ABN$500,T$2,0),$A$1124,INDEX(Техника!$H$1:$ABO$500,T$2,0),"П")</f>
        <v>0</v>
      </c>
      <c r="U1127" s="50">
        <f>SUMIFS(INDEX(Техника!$F$1:$ABM$500,U$2,0),Техника!$F$4:$ABM$4,"Часы",INDEX(Техника!$G$1:$ABN$500,U$2,0),$A$1124,INDEX(Техника!$H$1:$ABO$500,U$2,0),"П")</f>
        <v>0</v>
      </c>
      <c r="V1127" s="50">
        <f>SUMIFS(INDEX(Техника!$F$1:$ABM$500,V$2,0),Техника!$F$4:$ABM$4,"Часы",INDEX(Техника!$G$1:$ABN$500,V$2,0),$A$1124,INDEX(Техника!$H$1:$ABO$500,V$2,0),"П")</f>
        <v>0</v>
      </c>
      <c r="W1127" s="50">
        <f>SUMIFS(INDEX(Техника!$F$1:$ABM$500,W$2,0),Техника!$F$4:$ABM$4,"Часы",INDEX(Техника!$G$1:$ABN$500,W$2,0),$A$1124,INDEX(Техника!$H$1:$ABO$500,W$2,0),"П")</f>
        <v>0</v>
      </c>
      <c r="X1127" s="50">
        <f>SUMIFS(INDEX(Техника!$F$1:$ABM$500,X$2,0),Техника!$F$4:$ABM$4,"Часы",INDEX(Техника!$G$1:$ABN$500,X$2,0),$A$1124,INDEX(Техника!$H$1:$ABO$500,X$2,0),"П")</f>
        <v>0</v>
      </c>
      <c r="Y1127" s="50">
        <f>SUMIFS(INDEX(Техника!$F$1:$ABM$500,Y$2,0),Техника!$F$4:$ABM$4,"Часы",INDEX(Техника!$G$1:$ABN$500,Y$2,0),$A$1124,INDEX(Техника!$H$1:$ABO$500,Y$2,0),"П")</f>
        <v>0</v>
      </c>
      <c r="Z1127" s="50">
        <f>SUMIFS(INDEX(Техника!$F$1:$ABM$500,Z$2,0),Техника!$F$4:$ABM$4,"Часы",INDEX(Техника!$G$1:$ABN$500,Z$2,0),$A$1124,INDEX(Техника!$H$1:$ABO$500,Z$2,0),"П")</f>
        <v>0</v>
      </c>
      <c r="AA1127" s="50">
        <f>SUMIFS(INDEX(Техника!$F$1:$ABM$500,AA$2,0),Техника!$F$4:$ABM$4,"Часы",INDEX(Техника!$G$1:$ABN$500,AA$2,0),$A$1124,INDEX(Техника!$H$1:$ABO$500,AA$2,0),"П")</f>
        <v>0</v>
      </c>
      <c r="AB1127" s="50">
        <f>SUMIFS(INDEX(Техника!$F$1:$ABM$500,AB$2,0),Техника!$F$4:$ABM$4,"Часы",INDEX(Техника!$G$1:$ABN$500,AB$2,0),$A$1124,INDEX(Техника!$H$1:$ABO$500,AB$2,0),"П")</f>
        <v>0</v>
      </c>
    </row>
    <row r="1128" spans="1:28" hidden="1" outlineLevel="1" x14ac:dyDescent="0.3">
      <c r="A1128" s="33" t="s">
        <v>243</v>
      </c>
      <c r="B1128" s="34" t="s">
        <v>278</v>
      </c>
      <c r="C1128" s="50">
        <f>SUMIFS(INDEX(Техника!$F$1:$ABM$500,C$2,0),Техника!$F$4:$ABM$4,"Часы",INDEX(Техника!$G$1:$ABN$500,C$2,0),$A$1124,INDEX(Техника!$H$1:$ABO$500,C$2,0),"Л")</f>
        <v>0</v>
      </c>
      <c r="D1128" s="50">
        <f>SUMIFS(INDEX(Техника!$F$1:$ABM$500,D$2,0),Техника!$F$4:$ABM$4,"Часы",INDEX(Техника!$G$1:$ABN$500,D$2,0),$A$1124,INDEX(Техника!$H$1:$ABO$500,D$2,0),"Л")</f>
        <v>0</v>
      </c>
      <c r="E1128" s="50">
        <f>SUMIFS(INDEX(Техника!$F$1:$ABM$500,E$2,0),Техника!$F$4:$ABM$4,"Часы",INDEX(Техника!$G$1:$ABN$500,E$2,0),$A$1124,INDEX(Техника!$H$1:$ABO$500,E$2,0),"Л")</f>
        <v>0</v>
      </c>
      <c r="F1128" s="50">
        <f>SUMIFS(INDEX(Техника!$F$1:$ABM$500,F$2,0),Техника!$F$4:$ABM$4,"Часы",INDEX(Техника!$G$1:$ABN$500,F$2,0),$A$1124,INDEX(Техника!$H$1:$ABO$500,F$2,0),"Л")</f>
        <v>0</v>
      </c>
      <c r="G1128" s="50">
        <f>SUMIFS(INDEX(Техника!$F$1:$ABM$500,G$2,0),Техника!$F$4:$ABM$4,"Часы",INDEX(Техника!$G$1:$ABN$500,G$2,0),$A$1124,INDEX(Техника!$H$1:$ABO$500,G$2,0),"Л")</f>
        <v>0</v>
      </c>
      <c r="H1128" s="50">
        <f>SUMIFS(INDEX(Техника!$F$1:$ABM$500,H$2,0),Техника!$F$4:$ABM$4,"Часы",INDEX(Техника!$G$1:$ABN$500,H$2,0),$A$1124,INDEX(Техника!$H$1:$ABO$500,H$2,0),"Л")</f>
        <v>0</v>
      </c>
      <c r="I1128" s="50">
        <f>SUMIFS(INDEX(Техника!$F$1:$ABM$500,I$2,0),Техника!$F$4:$ABM$4,"Часы",INDEX(Техника!$G$1:$ABN$500,I$2,0),$A$1124,INDEX(Техника!$H$1:$ABO$500,I$2,0),"Л")</f>
        <v>0</v>
      </c>
      <c r="J1128" s="50">
        <f>SUMIFS(INDEX(Техника!$F$1:$ABM$500,J$2,0),Техника!$F$4:$ABM$4,"Часы",INDEX(Техника!$G$1:$ABN$500,J$2,0),$A$1124,INDEX(Техника!$H$1:$ABO$500,J$2,0),"Л")</f>
        <v>0</v>
      </c>
      <c r="K1128" s="50">
        <f>SUMIFS(INDEX(Техника!$F$1:$ABM$500,K$2,0),Техника!$F$4:$ABM$4,"Часы",INDEX(Техника!$G$1:$ABN$500,K$2,0),$A$1124,INDEX(Техника!$H$1:$ABO$500,K$2,0),"Л")</f>
        <v>0</v>
      </c>
      <c r="L1128" s="50">
        <f>SUMIFS(INDEX(Техника!$F$1:$ABM$500,L$2,0),Техника!$F$4:$ABM$4,"Часы",INDEX(Техника!$G$1:$ABN$500,L$2,0),$A$1124,INDEX(Техника!$H$1:$ABO$500,L$2,0),"Л")</f>
        <v>0</v>
      </c>
      <c r="M1128" s="50">
        <f>SUMIFS(INDEX(Техника!$F$1:$ABM$500,M$2,0),Техника!$F$4:$ABM$4,"Часы",INDEX(Техника!$G$1:$ABN$500,M$2,0),$A$1124,INDEX(Техника!$H$1:$ABO$500,M$2,0),"Л")</f>
        <v>0</v>
      </c>
      <c r="N1128" s="50">
        <f>SUMIFS(INDEX(Техника!$F$1:$ABM$500,N$2,0),Техника!$F$4:$ABM$4,"Часы",INDEX(Техника!$G$1:$ABN$500,N$2,0),$A$1124,INDEX(Техника!$H$1:$ABO$500,N$2,0),"Л")</f>
        <v>0</v>
      </c>
      <c r="O1128" s="50">
        <f>SUMIFS(INDEX(Техника!$F$1:$ABM$500,O$2,0),Техника!$F$4:$ABM$4,"Часы",INDEX(Техника!$G$1:$ABN$500,O$2,0),$A$1124,INDEX(Техника!$H$1:$ABO$500,O$2,0),"Л")</f>
        <v>0</v>
      </c>
      <c r="P1128" s="50">
        <f>SUMIFS(INDEX(Техника!$F$1:$ABM$500,P$2,0),Техника!$F$4:$ABM$4,"Часы",INDEX(Техника!$G$1:$ABN$500,P$2,0),$A$1124,INDEX(Техника!$H$1:$ABO$500,P$2,0),"Л")</f>
        <v>0</v>
      </c>
      <c r="Q1128" s="50">
        <f>SUMIFS(INDEX(Техника!$F$1:$ABM$500,Q$2,0),Техника!$F$4:$ABM$4,"Часы",INDEX(Техника!$G$1:$ABN$500,Q$2,0),$A$1124,INDEX(Техника!$H$1:$ABO$500,Q$2,0),"Л")</f>
        <v>0</v>
      </c>
      <c r="R1128" s="50">
        <f>SUMIFS(INDEX(Техника!$F$1:$ABM$500,R$2,0),Техника!$F$4:$ABM$4,"Часы",INDEX(Техника!$G$1:$ABN$500,R$2,0),$A$1124,INDEX(Техника!$H$1:$ABO$500,R$2,0),"Л")</f>
        <v>0</v>
      </c>
      <c r="S1128" s="50">
        <f>SUMIFS(INDEX(Техника!$F$1:$ABM$500,S$2,0),Техника!$F$4:$ABM$4,"Часы",INDEX(Техника!$G$1:$ABN$500,S$2,0),$A$1124,INDEX(Техника!$H$1:$ABO$500,S$2,0),"Л")</f>
        <v>0</v>
      </c>
      <c r="T1128" s="50">
        <f>SUMIFS(INDEX(Техника!$F$1:$ABM$500,T$2,0),Техника!$F$4:$ABM$4,"Часы",INDEX(Техника!$G$1:$ABN$500,T$2,0),$A$1124,INDEX(Техника!$H$1:$ABO$500,T$2,0),"Л")</f>
        <v>0</v>
      </c>
      <c r="U1128" s="50">
        <f>SUMIFS(INDEX(Техника!$F$1:$ABM$500,U$2,0),Техника!$F$4:$ABM$4,"Часы",INDEX(Техника!$G$1:$ABN$500,U$2,0),$A$1124,INDEX(Техника!$H$1:$ABO$500,U$2,0),"Л")</f>
        <v>0</v>
      </c>
      <c r="V1128" s="50">
        <f>SUMIFS(INDEX(Техника!$F$1:$ABM$500,V$2,0),Техника!$F$4:$ABM$4,"Часы",INDEX(Техника!$G$1:$ABN$500,V$2,0),$A$1124,INDEX(Техника!$H$1:$ABO$500,V$2,0),"Л")</f>
        <v>0</v>
      </c>
      <c r="W1128" s="50">
        <f>SUMIFS(INDEX(Техника!$F$1:$ABM$500,W$2,0),Техника!$F$4:$ABM$4,"Часы",INDEX(Техника!$G$1:$ABN$500,W$2,0),$A$1124,INDEX(Техника!$H$1:$ABO$500,W$2,0),"Л")</f>
        <v>0</v>
      </c>
      <c r="X1128" s="50">
        <f>SUMIFS(INDEX(Техника!$F$1:$ABM$500,X$2,0),Техника!$F$4:$ABM$4,"Часы",INDEX(Техника!$G$1:$ABN$500,X$2,0),$A$1124,INDEX(Техника!$H$1:$ABO$500,X$2,0),"Л")</f>
        <v>0</v>
      </c>
      <c r="Y1128" s="50">
        <f>SUMIFS(INDEX(Техника!$F$1:$ABM$500,Y$2,0),Техника!$F$4:$ABM$4,"Часы",INDEX(Техника!$G$1:$ABN$500,Y$2,0),$A$1124,INDEX(Техника!$H$1:$ABO$500,Y$2,0),"Л")</f>
        <v>0</v>
      </c>
      <c r="Z1128" s="50">
        <f>SUMIFS(INDEX(Техника!$F$1:$ABM$500,Z$2,0),Техника!$F$4:$ABM$4,"Часы",INDEX(Техника!$G$1:$ABN$500,Z$2,0),$A$1124,INDEX(Техника!$H$1:$ABO$500,Z$2,0),"Л")</f>
        <v>0</v>
      </c>
      <c r="AA1128" s="50">
        <f>SUMIFS(INDEX(Техника!$F$1:$ABM$500,AA$2,0),Техника!$F$4:$ABM$4,"Часы",INDEX(Техника!$G$1:$ABN$500,AA$2,0),$A$1124,INDEX(Техника!$H$1:$ABO$500,AA$2,0),"Л")</f>
        <v>0</v>
      </c>
      <c r="AB1128" s="50">
        <f>SUMIFS(INDEX(Техника!$F$1:$ABM$500,AB$2,0),Техника!$F$4:$ABM$4,"Часы",INDEX(Техника!$G$1:$ABN$500,AB$2,0),$A$1124,INDEX(Техника!$H$1:$ABO$500,AB$2,0),"Л")</f>
        <v>0</v>
      </c>
    </row>
    <row r="1129" spans="1:28" hidden="1" outlineLevel="1" x14ac:dyDescent="0.3">
      <c r="A1129" s="33" t="s">
        <v>245</v>
      </c>
      <c r="B1129" s="34" t="s">
        <v>279</v>
      </c>
      <c r="C1129" s="50">
        <f>SUMIFS(INDEX(Техника!$F$1:$ABM$500,C$2,0),Техника!$F$4:$ABM$4,"Часы",INDEX(Техника!$G$1:$ABN$500,C$2,0),$A$1124,INDEX(Техника!$H$1:$ABO$500,C$2,0),"З")</f>
        <v>0</v>
      </c>
      <c r="D1129" s="50">
        <f>SUMIFS(INDEX(Техника!$F$1:$ABM$500,D$2,0),Техника!$F$4:$ABM$4,"Часы",INDEX(Техника!$G$1:$ABN$500,D$2,0),$A$1124,INDEX(Техника!$H$1:$ABO$500,D$2,0),"З")</f>
        <v>0</v>
      </c>
      <c r="E1129" s="50">
        <f>SUMIFS(INDEX(Техника!$F$1:$ABM$500,E$2,0),Техника!$F$4:$ABM$4,"Часы",INDEX(Техника!$G$1:$ABN$500,E$2,0),$A$1124,INDEX(Техника!$H$1:$ABO$500,E$2,0),"З")</f>
        <v>0</v>
      </c>
      <c r="F1129" s="50">
        <f>SUMIFS(INDEX(Техника!$F$1:$ABM$500,F$2,0),Техника!$F$4:$ABM$4,"Часы",INDEX(Техника!$G$1:$ABN$500,F$2,0),$A$1124,INDEX(Техника!$H$1:$ABO$500,F$2,0),"З")</f>
        <v>0</v>
      </c>
      <c r="G1129" s="50">
        <f>SUMIFS(INDEX(Техника!$F$1:$ABM$500,G$2,0),Техника!$F$4:$ABM$4,"Часы",INDEX(Техника!$G$1:$ABN$500,G$2,0),$A$1124,INDEX(Техника!$H$1:$ABO$500,G$2,0),"З")</f>
        <v>0</v>
      </c>
      <c r="H1129" s="50">
        <f>SUMIFS(INDEX(Техника!$F$1:$ABM$500,H$2,0),Техника!$F$4:$ABM$4,"Часы",INDEX(Техника!$G$1:$ABN$500,H$2,0),$A$1124,INDEX(Техника!$H$1:$ABO$500,H$2,0),"З")</f>
        <v>0</v>
      </c>
      <c r="I1129" s="50">
        <f>SUMIFS(INDEX(Техника!$F$1:$ABM$500,I$2,0),Техника!$F$4:$ABM$4,"Часы",INDEX(Техника!$G$1:$ABN$500,I$2,0),$A$1124,INDEX(Техника!$H$1:$ABO$500,I$2,0),"З")</f>
        <v>0</v>
      </c>
      <c r="J1129" s="50">
        <f>SUMIFS(INDEX(Техника!$F$1:$ABM$500,J$2,0),Техника!$F$4:$ABM$4,"Часы",INDEX(Техника!$G$1:$ABN$500,J$2,0),$A$1124,INDEX(Техника!$H$1:$ABO$500,J$2,0),"З")</f>
        <v>0</v>
      </c>
      <c r="K1129" s="50">
        <f>SUMIFS(INDEX(Техника!$F$1:$ABM$500,K$2,0),Техника!$F$4:$ABM$4,"Часы",INDEX(Техника!$G$1:$ABN$500,K$2,0),$A$1124,INDEX(Техника!$H$1:$ABO$500,K$2,0),"З")</f>
        <v>0</v>
      </c>
      <c r="L1129" s="50">
        <f>SUMIFS(INDEX(Техника!$F$1:$ABM$500,L$2,0),Техника!$F$4:$ABM$4,"Часы",INDEX(Техника!$G$1:$ABN$500,L$2,0),$A$1124,INDEX(Техника!$H$1:$ABO$500,L$2,0),"З")</f>
        <v>0</v>
      </c>
      <c r="M1129" s="50">
        <f>SUMIFS(INDEX(Техника!$F$1:$ABM$500,M$2,0),Техника!$F$4:$ABM$4,"Часы",INDEX(Техника!$G$1:$ABN$500,M$2,0),$A$1124,INDEX(Техника!$H$1:$ABO$500,M$2,0),"З")</f>
        <v>0</v>
      </c>
      <c r="N1129" s="50">
        <f>SUMIFS(INDEX(Техника!$F$1:$ABM$500,N$2,0),Техника!$F$4:$ABM$4,"Часы",INDEX(Техника!$G$1:$ABN$500,N$2,0),$A$1124,INDEX(Техника!$H$1:$ABO$500,N$2,0),"З")</f>
        <v>0</v>
      </c>
      <c r="O1129" s="50">
        <f>SUMIFS(INDEX(Техника!$F$1:$ABM$500,O$2,0),Техника!$F$4:$ABM$4,"Часы",INDEX(Техника!$G$1:$ABN$500,O$2,0),$A$1124,INDEX(Техника!$H$1:$ABO$500,O$2,0),"З")</f>
        <v>0</v>
      </c>
      <c r="P1129" s="50">
        <f>SUMIFS(INDEX(Техника!$F$1:$ABM$500,P$2,0),Техника!$F$4:$ABM$4,"Часы",INDEX(Техника!$G$1:$ABN$500,P$2,0),$A$1124,INDEX(Техника!$H$1:$ABO$500,P$2,0),"З")</f>
        <v>0</v>
      </c>
      <c r="Q1129" s="50">
        <f>SUMIFS(INDEX(Техника!$F$1:$ABM$500,Q$2,0),Техника!$F$4:$ABM$4,"Часы",INDEX(Техника!$G$1:$ABN$500,Q$2,0),$A$1124,INDEX(Техника!$H$1:$ABO$500,Q$2,0),"З")</f>
        <v>0</v>
      </c>
      <c r="R1129" s="50">
        <f>SUMIFS(INDEX(Техника!$F$1:$ABM$500,R$2,0),Техника!$F$4:$ABM$4,"Часы",INDEX(Техника!$G$1:$ABN$500,R$2,0),$A$1124,INDEX(Техника!$H$1:$ABO$500,R$2,0),"З")</f>
        <v>0</v>
      </c>
      <c r="S1129" s="50">
        <f>SUMIFS(INDEX(Техника!$F$1:$ABM$500,S$2,0),Техника!$F$4:$ABM$4,"Часы",INDEX(Техника!$G$1:$ABN$500,S$2,0),$A$1124,INDEX(Техника!$H$1:$ABO$500,S$2,0),"З")</f>
        <v>0</v>
      </c>
      <c r="T1129" s="50">
        <f>SUMIFS(INDEX(Техника!$F$1:$ABM$500,T$2,0),Техника!$F$4:$ABM$4,"Часы",INDEX(Техника!$G$1:$ABN$500,T$2,0),$A$1124,INDEX(Техника!$H$1:$ABO$500,T$2,0),"З")</f>
        <v>0</v>
      </c>
      <c r="U1129" s="50">
        <f>SUMIFS(INDEX(Техника!$F$1:$ABM$500,U$2,0),Техника!$F$4:$ABM$4,"Часы",INDEX(Техника!$G$1:$ABN$500,U$2,0),$A$1124,INDEX(Техника!$H$1:$ABO$500,U$2,0),"З")</f>
        <v>0</v>
      </c>
      <c r="V1129" s="50">
        <f>SUMIFS(INDEX(Техника!$F$1:$ABM$500,V$2,0),Техника!$F$4:$ABM$4,"Часы",INDEX(Техника!$G$1:$ABN$500,V$2,0),$A$1124,INDEX(Техника!$H$1:$ABO$500,V$2,0),"З")</f>
        <v>0</v>
      </c>
      <c r="W1129" s="50">
        <f>SUMIFS(INDEX(Техника!$F$1:$ABM$500,W$2,0),Техника!$F$4:$ABM$4,"Часы",INDEX(Техника!$G$1:$ABN$500,W$2,0),$A$1124,INDEX(Техника!$H$1:$ABO$500,W$2,0),"З")</f>
        <v>0</v>
      </c>
      <c r="X1129" s="50">
        <f>SUMIFS(INDEX(Техника!$F$1:$ABM$500,X$2,0),Техника!$F$4:$ABM$4,"Часы",INDEX(Техника!$G$1:$ABN$500,X$2,0),$A$1124,INDEX(Техника!$H$1:$ABO$500,X$2,0),"З")</f>
        <v>0</v>
      </c>
      <c r="Y1129" s="50">
        <f>SUMIFS(INDEX(Техника!$F$1:$ABM$500,Y$2,0),Техника!$F$4:$ABM$4,"Часы",INDEX(Техника!$G$1:$ABN$500,Y$2,0),$A$1124,INDEX(Техника!$H$1:$ABO$500,Y$2,0),"З")</f>
        <v>0</v>
      </c>
      <c r="Z1129" s="50">
        <f>SUMIFS(INDEX(Техника!$F$1:$ABM$500,Z$2,0),Техника!$F$4:$ABM$4,"Часы",INDEX(Техника!$G$1:$ABN$500,Z$2,0),$A$1124,INDEX(Техника!$H$1:$ABO$500,Z$2,0),"З")</f>
        <v>0</v>
      </c>
      <c r="AA1129" s="50">
        <f>SUMIFS(INDEX(Техника!$F$1:$ABM$500,AA$2,0),Техника!$F$4:$ABM$4,"Часы",INDEX(Техника!$G$1:$ABN$500,AA$2,0),$A$1124,INDEX(Техника!$H$1:$ABO$500,AA$2,0),"З")</f>
        <v>0</v>
      </c>
      <c r="AB1129" s="50">
        <f>SUMIFS(INDEX(Техника!$F$1:$ABM$500,AB$2,0),Техника!$F$4:$ABM$4,"Часы",INDEX(Техника!$G$1:$ABN$500,AB$2,0),$A$1124,INDEX(Техника!$H$1:$ABO$500,AB$2,0),"З")</f>
        <v>0</v>
      </c>
    </row>
    <row r="1130" spans="1:28" ht="7.95" customHeight="1" x14ac:dyDescent="0.3">
      <c r="A1130" s="38"/>
      <c r="B1130" s="39"/>
      <c r="C1130" s="51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/>
    </row>
    <row r="1131" spans="1:28" ht="25.05" customHeight="1" collapsed="1" x14ac:dyDescent="0.3">
      <c r="A1131" s="32">
        <v>162</v>
      </c>
      <c r="B1131" s="32" t="s">
        <v>163</v>
      </c>
      <c r="C1131" s="49">
        <f>SUM(C1132:C1136)</f>
        <v>0</v>
      </c>
      <c r="D1131" s="49">
        <f>SUM(D1132:D1136)</f>
        <v>0</v>
      </c>
      <c r="E1131" s="49">
        <f>SUM(E1132:E1136)</f>
        <v>0</v>
      </c>
      <c r="F1131" s="49">
        <f>SUM(F1132:F1136)</f>
        <v>0</v>
      </c>
      <c r="G1131" s="49">
        <f>SUM(G1132:G1136)</f>
        <v>0</v>
      </c>
      <c r="H1131" s="49">
        <f>SUM(H1132:H1136)</f>
        <v>0</v>
      </c>
      <c r="I1131" s="49">
        <f>SUM(I1132:I1136)</f>
        <v>0</v>
      </c>
      <c r="J1131" s="49">
        <f>SUM(J1132:J1136)</f>
        <v>0</v>
      </c>
      <c r="K1131" s="49">
        <f>SUM(K1132:K1136)</f>
        <v>0</v>
      </c>
      <c r="L1131" s="49">
        <f>SUM(L1132:L1136)</f>
        <v>0</v>
      </c>
      <c r="M1131" s="49">
        <f>SUM(M1132:M1136)</f>
        <v>0</v>
      </c>
      <c r="N1131" s="49">
        <f>SUM(N1132:N1136)</f>
        <v>0</v>
      </c>
      <c r="O1131" s="49">
        <f>SUM(O1132:O1136)</f>
        <v>0</v>
      </c>
      <c r="P1131" s="49">
        <f>SUM(P1132:P1136)</f>
        <v>0</v>
      </c>
      <c r="Q1131" s="49">
        <f>SUM(Q1132:Q1136)</f>
        <v>0</v>
      </c>
      <c r="R1131" s="49">
        <f>SUM(R1132:R1136)</f>
        <v>0</v>
      </c>
      <c r="S1131" s="49">
        <f>SUM(S1132:S1136)</f>
        <v>0</v>
      </c>
      <c r="T1131" s="49">
        <f>SUM(T1132:T1136)</f>
        <v>0</v>
      </c>
      <c r="U1131" s="49">
        <f>SUM(U1132:U1136)</f>
        <v>0</v>
      </c>
      <c r="V1131" s="49">
        <f>SUM(V1132:V1136)</f>
        <v>0</v>
      </c>
      <c r="W1131" s="49">
        <f>SUM(W1132:W1136)</f>
        <v>0</v>
      </c>
      <c r="X1131" s="49">
        <f>SUM(X1132:X1136)</f>
        <v>0</v>
      </c>
      <c r="Y1131" s="49">
        <f>SUM(Y1132:Y1136)</f>
        <v>0</v>
      </c>
      <c r="Z1131" s="49">
        <f>SUM(Z1132:Z1136)</f>
        <v>0</v>
      </c>
      <c r="AA1131" s="49">
        <f>SUM(AA1132:AA1136)</f>
        <v>0</v>
      </c>
      <c r="AB1131" s="49">
        <f>SUM(AB1132:AB1136)</f>
        <v>0</v>
      </c>
    </row>
    <row r="1132" spans="1:28" hidden="1" outlineLevel="1" x14ac:dyDescent="0.3">
      <c r="A1132" s="33" t="s">
        <v>246</v>
      </c>
      <c r="B1132" s="34" t="s">
        <v>274</v>
      </c>
      <c r="C1132" s="50">
        <f>SUMIFS(INDEX(Техника!$F$1:$ABM$500,C$2,0),Техника!$F$4:$ABM$4,"Часы",INDEX(Техника!$G$1:$ABN$500,C$2,0),$A$1131,INDEX(Техника!$H$1:$ABO$500,C$2,0),"М")</f>
        <v>0</v>
      </c>
      <c r="D1132" s="50">
        <f>SUMIFS(INDEX(Техника!$F$1:$ABM$500,D$2,0),Техника!$F$4:$ABM$4,"Часы",INDEX(Техника!$G$1:$ABN$500,D$2,0),$A$1131,INDEX(Техника!$H$1:$ABO$500,D$2,0),"М")</f>
        <v>0</v>
      </c>
      <c r="E1132" s="50">
        <f>SUMIFS(INDEX(Техника!$F$1:$ABM$500,E$2,0),Техника!$F$4:$ABM$4,"Часы",INDEX(Техника!$G$1:$ABN$500,E$2,0),$A$1131,INDEX(Техника!$H$1:$ABO$500,E$2,0),"М")</f>
        <v>0</v>
      </c>
      <c r="F1132" s="50">
        <f>SUMIFS(INDEX(Техника!$F$1:$ABM$500,F$2,0),Техника!$F$4:$ABM$4,"Часы",INDEX(Техника!$G$1:$ABN$500,F$2,0),$A$1131,INDEX(Техника!$H$1:$ABO$500,F$2,0),"М")</f>
        <v>0</v>
      </c>
      <c r="G1132" s="50">
        <f>SUMIFS(INDEX(Техника!$F$1:$ABM$500,G$2,0),Техника!$F$4:$ABM$4,"Часы",INDEX(Техника!$G$1:$ABN$500,G$2,0),$A$1131,INDEX(Техника!$H$1:$ABO$500,G$2,0),"М")</f>
        <v>0</v>
      </c>
      <c r="H1132" s="50">
        <f>SUMIFS(INDEX(Техника!$F$1:$ABM$500,H$2,0),Техника!$F$4:$ABM$4,"Часы",INDEX(Техника!$G$1:$ABN$500,H$2,0),$A$1131,INDEX(Техника!$H$1:$ABO$500,H$2,0),"М")</f>
        <v>0</v>
      </c>
      <c r="I1132" s="50">
        <f>SUMIFS(INDEX(Техника!$F$1:$ABM$500,I$2,0),Техника!$F$4:$ABM$4,"Часы",INDEX(Техника!$G$1:$ABN$500,I$2,0),$A$1131,INDEX(Техника!$H$1:$ABO$500,I$2,0),"М")</f>
        <v>0</v>
      </c>
      <c r="J1132" s="50">
        <f>SUMIFS(INDEX(Техника!$F$1:$ABM$500,J$2,0),Техника!$F$4:$ABM$4,"Часы",INDEX(Техника!$G$1:$ABN$500,J$2,0),$A$1131,INDEX(Техника!$H$1:$ABO$500,J$2,0),"М")</f>
        <v>0</v>
      </c>
      <c r="K1132" s="50">
        <f>SUMIFS(INDEX(Техника!$F$1:$ABM$500,K$2,0),Техника!$F$4:$ABM$4,"Часы",INDEX(Техника!$G$1:$ABN$500,K$2,0),$A$1131,INDEX(Техника!$H$1:$ABO$500,K$2,0),"М")</f>
        <v>0</v>
      </c>
      <c r="L1132" s="50">
        <f>SUMIFS(INDEX(Техника!$F$1:$ABM$500,L$2,0),Техника!$F$4:$ABM$4,"Часы",INDEX(Техника!$G$1:$ABN$500,L$2,0),$A$1131,INDEX(Техника!$H$1:$ABO$500,L$2,0),"М")</f>
        <v>0</v>
      </c>
      <c r="M1132" s="50">
        <f>SUMIFS(INDEX(Техника!$F$1:$ABM$500,M$2,0),Техника!$F$4:$ABM$4,"Часы",INDEX(Техника!$G$1:$ABN$500,M$2,0),$A$1131,INDEX(Техника!$H$1:$ABO$500,M$2,0),"М")</f>
        <v>0</v>
      </c>
      <c r="N1132" s="50">
        <f>SUMIFS(INDEX(Техника!$F$1:$ABM$500,N$2,0),Техника!$F$4:$ABM$4,"Часы",INDEX(Техника!$G$1:$ABN$500,N$2,0),$A$1131,INDEX(Техника!$H$1:$ABO$500,N$2,0),"М")</f>
        <v>0</v>
      </c>
      <c r="O1132" s="50">
        <f>SUMIFS(INDEX(Техника!$F$1:$ABM$500,O$2,0),Техника!$F$4:$ABM$4,"Часы",INDEX(Техника!$G$1:$ABN$500,O$2,0),$A$1131,INDEX(Техника!$H$1:$ABO$500,O$2,0),"М")</f>
        <v>0</v>
      </c>
      <c r="P1132" s="50">
        <f>SUMIFS(INDEX(Техника!$F$1:$ABM$500,P$2,0),Техника!$F$4:$ABM$4,"Часы",INDEX(Техника!$G$1:$ABN$500,P$2,0),$A$1131,INDEX(Техника!$H$1:$ABO$500,P$2,0),"М")</f>
        <v>0</v>
      </c>
      <c r="Q1132" s="50">
        <f>SUMIFS(INDEX(Техника!$F$1:$ABM$500,Q$2,0),Техника!$F$4:$ABM$4,"Часы",INDEX(Техника!$G$1:$ABN$500,Q$2,0),$A$1131,INDEX(Техника!$H$1:$ABO$500,Q$2,0),"М")</f>
        <v>0</v>
      </c>
      <c r="R1132" s="50">
        <f>SUMIFS(INDEX(Техника!$F$1:$ABM$500,R$2,0),Техника!$F$4:$ABM$4,"Часы",INDEX(Техника!$G$1:$ABN$500,R$2,0),$A$1131,INDEX(Техника!$H$1:$ABO$500,R$2,0),"М")</f>
        <v>0</v>
      </c>
      <c r="S1132" s="50">
        <f>SUMIFS(INDEX(Техника!$F$1:$ABM$500,S$2,0),Техника!$F$4:$ABM$4,"Часы",INDEX(Техника!$G$1:$ABN$500,S$2,0),$A$1131,INDEX(Техника!$H$1:$ABO$500,S$2,0),"М")</f>
        <v>0</v>
      </c>
      <c r="T1132" s="50">
        <f>SUMIFS(INDEX(Техника!$F$1:$ABM$500,T$2,0),Техника!$F$4:$ABM$4,"Часы",INDEX(Техника!$G$1:$ABN$500,T$2,0),$A$1131,INDEX(Техника!$H$1:$ABO$500,T$2,0),"М")</f>
        <v>0</v>
      </c>
      <c r="U1132" s="50">
        <f>SUMIFS(INDEX(Техника!$F$1:$ABM$500,U$2,0),Техника!$F$4:$ABM$4,"Часы",INDEX(Техника!$G$1:$ABN$500,U$2,0),$A$1131,INDEX(Техника!$H$1:$ABO$500,U$2,0),"М")</f>
        <v>0</v>
      </c>
      <c r="V1132" s="50">
        <f>SUMIFS(INDEX(Техника!$F$1:$ABM$500,V$2,0),Техника!$F$4:$ABM$4,"Часы",INDEX(Техника!$G$1:$ABN$500,V$2,0),$A$1131,INDEX(Техника!$H$1:$ABO$500,V$2,0),"М")</f>
        <v>0</v>
      </c>
      <c r="W1132" s="50">
        <f>SUMIFS(INDEX(Техника!$F$1:$ABM$500,W$2,0),Техника!$F$4:$ABM$4,"Часы",INDEX(Техника!$G$1:$ABN$500,W$2,0),$A$1131,INDEX(Техника!$H$1:$ABO$500,W$2,0),"М")</f>
        <v>0</v>
      </c>
      <c r="X1132" s="50">
        <f>SUMIFS(INDEX(Техника!$F$1:$ABM$500,X$2,0),Техника!$F$4:$ABM$4,"Часы",INDEX(Техника!$G$1:$ABN$500,X$2,0),$A$1131,INDEX(Техника!$H$1:$ABO$500,X$2,0),"М")</f>
        <v>0</v>
      </c>
      <c r="Y1132" s="50">
        <f>SUMIFS(INDEX(Техника!$F$1:$ABM$500,Y$2,0),Техника!$F$4:$ABM$4,"Часы",INDEX(Техника!$G$1:$ABN$500,Y$2,0),$A$1131,INDEX(Техника!$H$1:$ABO$500,Y$2,0),"М")</f>
        <v>0</v>
      </c>
      <c r="Z1132" s="50">
        <f>SUMIFS(INDEX(Техника!$F$1:$ABM$500,Z$2,0),Техника!$F$4:$ABM$4,"Часы",INDEX(Техника!$G$1:$ABN$500,Z$2,0),$A$1131,INDEX(Техника!$H$1:$ABO$500,Z$2,0),"М")</f>
        <v>0</v>
      </c>
      <c r="AA1132" s="50">
        <f>SUMIFS(INDEX(Техника!$F$1:$ABM$500,AA$2,0),Техника!$F$4:$ABM$4,"Часы",INDEX(Техника!$G$1:$ABN$500,AA$2,0),$A$1131,INDEX(Техника!$H$1:$ABO$500,AA$2,0),"М")</f>
        <v>0</v>
      </c>
      <c r="AB1132" s="50">
        <f>SUMIFS(INDEX(Техника!$F$1:$ABM$500,AB$2,0),Техника!$F$4:$ABM$4,"Часы",INDEX(Техника!$G$1:$ABN$500,AB$2,0),$A$1131,INDEX(Техника!$H$1:$ABO$500,AB$2,0),"М")</f>
        <v>0</v>
      </c>
    </row>
    <row r="1133" spans="1:28" hidden="1" outlineLevel="1" x14ac:dyDescent="0.3">
      <c r="A1133" s="33" t="s">
        <v>244</v>
      </c>
      <c r="B1133" s="34" t="s">
        <v>275</v>
      </c>
      <c r="C1133" s="50">
        <f>SUMIFS(INDEX(Техника!$F$1:$ABM$500,C$2,0),Техника!$F$4:$ABM$4,"Часы",INDEX(Техника!$G$1:$ABN$500,C$2,0),$A$1131,INDEX(Техника!$H$1:$ABO$500,C$2,0),"Д")</f>
        <v>0</v>
      </c>
      <c r="D1133" s="50">
        <f>SUMIFS(INDEX(Техника!$F$1:$ABM$500,D$2,0),Техника!$F$4:$ABM$4,"Часы",INDEX(Техника!$G$1:$ABN$500,D$2,0),$A$1131,INDEX(Техника!$H$1:$ABO$500,D$2,0),"Д")</f>
        <v>0</v>
      </c>
      <c r="E1133" s="50">
        <f>SUMIFS(INDEX(Техника!$F$1:$ABM$500,E$2,0),Техника!$F$4:$ABM$4,"Часы",INDEX(Техника!$G$1:$ABN$500,E$2,0),$A$1131,INDEX(Техника!$H$1:$ABO$500,E$2,0),"Д")</f>
        <v>0</v>
      </c>
      <c r="F1133" s="50">
        <f>SUMIFS(INDEX(Техника!$F$1:$ABM$500,F$2,0),Техника!$F$4:$ABM$4,"Часы",INDEX(Техника!$G$1:$ABN$500,F$2,0),$A$1131,INDEX(Техника!$H$1:$ABO$500,F$2,0),"Д")</f>
        <v>0</v>
      </c>
      <c r="G1133" s="50">
        <f>SUMIFS(INDEX(Техника!$F$1:$ABM$500,G$2,0),Техника!$F$4:$ABM$4,"Часы",INDEX(Техника!$G$1:$ABN$500,G$2,0),$A$1131,INDEX(Техника!$H$1:$ABO$500,G$2,0),"Д")</f>
        <v>0</v>
      </c>
      <c r="H1133" s="50">
        <f>SUMIFS(INDEX(Техника!$F$1:$ABM$500,H$2,0),Техника!$F$4:$ABM$4,"Часы",INDEX(Техника!$G$1:$ABN$500,H$2,0),$A$1131,INDEX(Техника!$H$1:$ABO$500,H$2,0),"Д")</f>
        <v>0</v>
      </c>
      <c r="I1133" s="50">
        <f>SUMIFS(INDEX(Техника!$F$1:$ABM$500,I$2,0),Техника!$F$4:$ABM$4,"Часы",INDEX(Техника!$G$1:$ABN$500,I$2,0),$A$1131,INDEX(Техника!$H$1:$ABO$500,I$2,0),"Д")</f>
        <v>0</v>
      </c>
      <c r="J1133" s="50">
        <f>SUMIFS(INDEX(Техника!$F$1:$ABM$500,J$2,0),Техника!$F$4:$ABM$4,"Часы",INDEX(Техника!$G$1:$ABN$500,J$2,0),$A$1131,INDEX(Техника!$H$1:$ABO$500,J$2,0),"Д")</f>
        <v>0</v>
      </c>
      <c r="K1133" s="50">
        <f>SUMIFS(INDEX(Техника!$F$1:$ABM$500,K$2,0),Техника!$F$4:$ABM$4,"Часы",INDEX(Техника!$G$1:$ABN$500,K$2,0),$A$1131,INDEX(Техника!$H$1:$ABO$500,K$2,0),"Д")</f>
        <v>0</v>
      </c>
      <c r="L1133" s="50">
        <f>SUMIFS(INDEX(Техника!$F$1:$ABM$500,L$2,0),Техника!$F$4:$ABM$4,"Часы",INDEX(Техника!$G$1:$ABN$500,L$2,0),$A$1131,INDEX(Техника!$H$1:$ABO$500,L$2,0),"Д")</f>
        <v>0</v>
      </c>
      <c r="M1133" s="50">
        <f>SUMIFS(INDEX(Техника!$F$1:$ABM$500,M$2,0),Техника!$F$4:$ABM$4,"Часы",INDEX(Техника!$G$1:$ABN$500,M$2,0),$A$1131,INDEX(Техника!$H$1:$ABO$500,M$2,0),"Д")</f>
        <v>0</v>
      </c>
      <c r="N1133" s="50">
        <f>SUMIFS(INDEX(Техника!$F$1:$ABM$500,N$2,0),Техника!$F$4:$ABM$4,"Часы",INDEX(Техника!$G$1:$ABN$500,N$2,0),$A$1131,INDEX(Техника!$H$1:$ABO$500,N$2,0),"Д")</f>
        <v>0</v>
      </c>
      <c r="O1133" s="50">
        <f>SUMIFS(INDEX(Техника!$F$1:$ABM$500,O$2,0),Техника!$F$4:$ABM$4,"Часы",INDEX(Техника!$G$1:$ABN$500,O$2,0),$A$1131,INDEX(Техника!$H$1:$ABO$500,O$2,0),"Д")</f>
        <v>0</v>
      </c>
      <c r="P1133" s="50">
        <f>SUMIFS(INDEX(Техника!$F$1:$ABM$500,P$2,0),Техника!$F$4:$ABM$4,"Часы",INDEX(Техника!$G$1:$ABN$500,P$2,0),$A$1131,INDEX(Техника!$H$1:$ABO$500,P$2,0),"Д")</f>
        <v>0</v>
      </c>
      <c r="Q1133" s="50">
        <f>SUMIFS(INDEX(Техника!$F$1:$ABM$500,Q$2,0),Техника!$F$4:$ABM$4,"Часы",INDEX(Техника!$G$1:$ABN$500,Q$2,0),$A$1131,INDEX(Техника!$H$1:$ABO$500,Q$2,0),"Д")</f>
        <v>0</v>
      </c>
      <c r="R1133" s="50">
        <f>SUMIFS(INDEX(Техника!$F$1:$ABM$500,R$2,0),Техника!$F$4:$ABM$4,"Часы",INDEX(Техника!$G$1:$ABN$500,R$2,0),$A$1131,INDEX(Техника!$H$1:$ABO$500,R$2,0),"Д")</f>
        <v>0</v>
      </c>
      <c r="S1133" s="50">
        <f>SUMIFS(INDEX(Техника!$F$1:$ABM$500,S$2,0),Техника!$F$4:$ABM$4,"Часы",INDEX(Техника!$G$1:$ABN$500,S$2,0),$A$1131,INDEX(Техника!$H$1:$ABO$500,S$2,0),"Д")</f>
        <v>0</v>
      </c>
      <c r="T1133" s="50">
        <f>SUMIFS(INDEX(Техника!$F$1:$ABM$500,T$2,0),Техника!$F$4:$ABM$4,"Часы",INDEX(Техника!$G$1:$ABN$500,T$2,0),$A$1131,INDEX(Техника!$H$1:$ABO$500,T$2,0),"Д")</f>
        <v>0</v>
      </c>
      <c r="U1133" s="50">
        <f>SUMIFS(INDEX(Техника!$F$1:$ABM$500,U$2,0),Техника!$F$4:$ABM$4,"Часы",INDEX(Техника!$G$1:$ABN$500,U$2,0),$A$1131,INDEX(Техника!$H$1:$ABO$500,U$2,0),"Д")</f>
        <v>0</v>
      </c>
      <c r="V1133" s="50">
        <f>SUMIFS(INDEX(Техника!$F$1:$ABM$500,V$2,0),Техника!$F$4:$ABM$4,"Часы",INDEX(Техника!$G$1:$ABN$500,V$2,0),$A$1131,INDEX(Техника!$H$1:$ABO$500,V$2,0),"Д")</f>
        <v>0</v>
      </c>
      <c r="W1133" s="50">
        <f>SUMIFS(INDEX(Техника!$F$1:$ABM$500,W$2,0),Техника!$F$4:$ABM$4,"Часы",INDEX(Техника!$G$1:$ABN$500,W$2,0),$A$1131,INDEX(Техника!$H$1:$ABO$500,W$2,0),"Д")</f>
        <v>0</v>
      </c>
      <c r="X1133" s="50">
        <f>SUMIFS(INDEX(Техника!$F$1:$ABM$500,X$2,0),Техника!$F$4:$ABM$4,"Часы",INDEX(Техника!$G$1:$ABN$500,X$2,0),$A$1131,INDEX(Техника!$H$1:$ABO$500,X$2,0),"Д")</f>
        <v>0</v>
      </c>
      <c r="Y1133" s="50">
        <f>SUMIFS(INDEX(Техника!$F$1:$ABM$500,Y$2,0),Техника!$F$4:$ABM$4,"Часы",INDEX(Техника!$G$1:$ABN$500,Y$2,0),$A$1131,INDEX(Техника!$H$1:$ABO$500,Y$2,0),"Д")</f>
        <v>0</v>
      </c>
      <c r="Z1133" s="50">
        <f>SUMIFS(INDEX(Техника!$F$1:$ABM$500,Z$2,0),Техника!$F$4:$ABM$4,"Часы",INDEX(Техника!$G$1:$ABN$500,Z$2,0),$A$1131,INDEX(Техника!$H$1:$ABO$500,Z$2,0),"Д")</f>
        <v>0</v>
      </c>
      <c r="AA1133" s="50">
        <f>SUMIFS(INDEX(Техника!$F$1:$ABM$500,AA$2,0),Техника!$F$4:$ABM$4,"Часы",INDEX(Техника!$G$1:$ABN$500,AA$2,0),$A$1131,INDEX(Техника!$H$1:$ABO$500,AA$2,0),"Д")</f>
        <v>0</v>
      </c>
      <c r="AB1133" s="50">
        <f>SUMIFS(INDEX(Техника!$F$1:$ABM$500,AB$2,0),Техника!$F$4:$ABM$4,"Часы",INDEX(Техника!$G$1:$ABN$500,AB$2,0),$A$1131,INDEX(Техника!$H$1:$ABO$500,AB$2,0),"Д")</f>
        <v>0</v>
      </c>
    </row>
    <row r="1134" spans="1:28" hidden="1" outlineLevel="1" x14ac:dyDescent="0.3">
      <c r="A1134" s="33" t="s">
        <v>276</v>
      </c>
      <c r="B1134" s="34" t="s">
        <v>277</v>
      </c>
      <c r="C1134" s="50">
        <f>SUMIFS(INDEX(Техника!$F$1:$ABM$500,C$2,0),Техника!$F$4:$ABM$4,"Часы",INDEX(Техника!$G$1:$ABN$500,C$2,0),$A$1131,INDEX(Техника!$H$1:$ABO$500,C$2,0),"П")</f>
        <v>0</v>
      </c>
      <c r="D1134" s="50">
        <f>SUMIFS(INDEX(Техника!$F$1:$ABM$500,D$2,0),Техника!$F$4:$ABM$4,"Часы",INDEX(Техника!$G$1:$ABN$500,D$2,0),$A$1131,INDEX(Техника!$H$1:$ABO$500,D$2,0),"П")</f>
        <v>0</v>
      </c>
      <c r="E1134" s="50">
        <f>SUMIFS(INDEX(Техника!$F$1:$ABM$500,E$2,0),Техника!$F$4:$ABM$4,"Часы",INDEX(Техника!$G$1:$ABN$500,E$2,0),$A$1131,INDEX(Техника!$H$1:$ABO$500,E$2,0),"П")</f>
        <v>0</v>
      </c>
      <c r="F1134" s="50">
        <f>SUMIFS(INDEX(Техника!$F$1:$ABM$500,F$2,0),Техника!$F$4:$ABM$4,"Часы",INDEX(Техника!$G$1:$ABN$500,F$2,0),$A$1131,INDEX(Техника!$H$1:$ABO$500,F$2,0),"П")</f>
        <v>0</v>
      </c>
      <c r="G1134" s="50">
        <f>SUMIFS(INDEX(Техника!$F$1:$ABM$500,G$2,0),Техника!$F$4:$ABM$4,"Часы",INDEX(Техника!$G$1:$ABN$500,G$2,0),$A$1131,INDEX(Техника!$H$1:$ABO$500,G$2,0),"П")</f>
        <v>0</v>
      </c>
      <c r="H1134" s="50">
        <f>SUMIFS(INDEX(Техника!$F$1:$ABM$500,H$2,0),Техника!$F$4:$ABM$4,"Часы",INDEX(Техника!$G$1:$ABN$500,H$2,0),$A$1131,INDEX(Техника!$H$1:$ABO$500,H$2,0),"П")</f>
        <v>0</v>
      </c>
      <c r="I1134" s="50">
        <f>SUMIFS(INDEX(Техника!$F$1:$ABM$500,I$2,0),Техника!$F$4:$ABM$4,"Часы",INDEX(Техника!$G$1:$ABN$500,I$2,0),$A$1131,INDEX(Техника!$H$1:$ABO$500,I$2,0),"П")</f>
        <v>0</v>
      </c>
      <c r="J1134" s="50">
        <f>SUMIFS(INDEX(Техника!$F$1:$ABM$500,J$2,0),Техника!$F$4:$ABM$4,"Часы",INDEX(Техника!$G$1:$ABN$500,J$2,0),$A$1131,INDEX(Техника!$H$1:$ABO$500,J$2,0),"П")</f>
        <v>0</v>
      </c>
      <c r="K1134" s="50">
        <f>SUMIFS(INDEX(Техника!$F$1:$ABM$500,K$2,0),Техника!$F$4:$ABM$4,"Часы",INDEX(Техника!$G$1:$ABN$500,K$2,0),$A$1131,INDEX(Техника!$H$1:$ABO$500,K$2,0),"П")</f>
        <v>0</v>
      </c>
      <c r="L1134" s="50">
        <f>SUMIFS(INDEX(Техника!$F$1:$ABM$500,L$2,0),Техника!$F$4:$ABM$4,"Часы",INDEX(Техника!$G$1:$ABN$500,L$2,0),$A$1131,INDEX(Техника!$H$1:$ABO$500,L$2,0),"П")</f>
        <v>0</v>
      </c>
      <c r="M1134" s="50">
        <f>SUMIFS(INDEX(Техника!$F$1:$ABM$500,M$2,0),Техника!$F$4:$ABM$4,"Часы",INDEX(Техника!$G$1:$ABN$500,M$2,0),$A$1131,INDEX(Техника!$H$1:$ABO$500,M$2,0),"П")</f>
        <v>0</v>
      </c>
      <c r="N1134" s="50">
        <f>SUMIFS(INDEX(Техника!$F$1:$ABM$500,N$2,0),Техника!$F$4:$ABM$4,"Часы",INDEX(Техника!$G$1:$ABN$500,N$2,0),$A$1131,INDEX(Техника!$H$1:$ABO$500,N$2,0),"П")</f>
        <v>0</v>
      </c>
      <c r="O1134" s="50">
        <f>SUMIFS(INDEX(Техника!$F$1:$ABM$500,O$2,0),Техника!$F$4:$ABM$4,"Часы",INDEX(Техника!$G$1:$ABN$500,O$2,0),$A$1131,INDEX(Техника!$H$1:$ABO$500,O$2,0),"П")</f>
        <v>0</v>
      </c>
      <c r="P1134" s="50">
        <f>SUMIFS(INDEX(Техника!$F$1:$ABM$500,P$2,0),Техника!$F$4:$ABM$4,"Часы",INDEX(Техника!$G$1:$ABN$500,P$2,0),$A$1131,INDEX(Техника!$H$1:$ABO$500,P$2,0),"П")</f>
        <v>0</v>
      </c>
      <c r="Q1134" s="50">
        <f>SUMIFS(INDEX(Техника!$F$1:$ABM$500,Q$2,0),Техника!$F$4:$ABM$4,"Часы",INDEX(Техника!$G$1:$ABN$500,Q$2,0),$A$1131,INDEX(Техника!$H$1:$ABO$500,Q$2,0),"П")</f>
        <v>0</v>
      </c>
      <c r="R1134" s="50">
        <f>SUMIFS(INDEX(Техника!$F$1:$ABM$500,R$2,0),Техника!$F$4:$ABM$4,"Часы",INDEX(Техника!$G$1:$ABN$500,R$2,0),$A$1131,INDEX(Техника!$H$1:$ABO$500,R$2,0),"П")</f>
        <v>0</v>
      </c>
      <c r="S1134" s="50">
        <f>SUMIFS(INDEX(Техника!$F$1:$ABM$500,S$2,0),Техника!$F$4:$ABM$4,"Часы",INDEX(Техника!$G$1:$ABN$500,S$2,0),$A$1131,INDEX(Техника!$H$1:$ABO$500,S$2,0),"П")</f>
        <v>0</v>
      </c>
      <c r="T1134" s="50">
        <f>SUMIFS(INDEX(Техника!$F$1:$ABM$500,T$2,0),Техника!$F$4:$ABM$4,"Часы",INDEX(Техника!$G$1:$ABN$500,T$2,0),$A$1131,INDEX(Техника!$H$1:$ABO$500,T$2,0),"П")</f>
        <v>0</v>
      </c>
      <c r="U1134" s="50">
        <f>SUMIFS(INDEX(Техника!$F$1:$ABM$500,U$2,0),Техника!$F$4:$ABM$4,"Часы",INDEX(Техника!$G$1:$ABN$500,U$2,0),$A$1131,INDEX(Техника!$H$1:$ABO$500,U$2,0),"П")</f>
        <v>0</v>
      </c>
      <c r="V1134" s="50">
        <f>SUMIFS(INDEX(Техника!$F$1:$ABM$500,V$2,0),Техника!$F$4:$ABM$4,"Часы",INDEX(Техника!$G$1:$ABN$500,V$2,0),$A$1131,INDEX(Техника!$H$1:$ABO$500,V$2,0),"П")</f>
        <v>0</v>
      </c>
      <c r="W1134" s="50">
        <f>SUMIFS(INDEX(Техника!$F$1:$ABM$500,W$2,0),Техника!$F$4:$ABM$4,"Часы",INDEX(Техника!$G$1:$ABN$500,W$2,0),$A$1131,INDEX(Техника!$H$1:$ABO$500,W$2,0),"П")</f>
        <v>0</v>
      </c>
      <c r="X1134" s="50">
        <f>SUMIFS(INDEX(Техника!$F$1:$ABM$500,X$2,0),Техника!$F$4:$ABM$4,"Часы",INDEX(Техника!$G$1:$ABN$500,X$2,0),$A$1131,INDEX(Техника!$H$1:$ABO$500,X$2,0),"П")</f>
        <v>0</v>
      </c>
      <c r="Y1134" s="50">
        <f>SUMIFS(INDEX(Техника!$F$1:$ABM$500,Y$2,0),Техника!$F$4:$ABM$4,"Часы",INDEX(Техника!$G$1:$ABN$500,Y$2,0),$A$1131,INDEX(Техника!$H$1:$ABO$500,Y$2,0),"П")</f>
        <v>0</v>
      </c>
      <c r="Z1134" s="50">
        <f>SUMIFS(INDEX(Техника!$F$1:$ABM$500,Z$2,0),Техника!$F$4:$ABM$4,"Часы",INDEX(Техника!$G$1:$ABN$500,Z$2,0),$A$1131,INDEX(Техника!$H$1:$ABO$500,Z$2,0),"П")</f>
        <v>0</v>
      </c>
      <c r="AA1134" s="50">
        <f>SUMIFS(INDEX(Техника!$F$1:$ABM$500,AA$2,0),Техника!$F$4:$ABM$4,"Часы",INDEX(Техника!$G$1:$ABN$500,AA$2,0),$A$1131,INDEX(Техника!$H$1:$ABO$500,AA$2,0),"П")</f>
        <v>0</v>
      </c>
      <c r="AB1134" s="50">
        <f>SUMIFS(INDEX(Техника!$F$1:$ABM$500,AB$2,0),Техника!$F$4:$ABM$4,"Часы",INDEX(Техника!$G$1:$ABN$500,AB$2,0),$A$1131,INDEX(Техника!$H$1:$ABO$500,AB$2,0),"П")</f>
        <v>0</v>
      </c>
    </row>
    <row r="1135" spans="1:28" hidden="1" outlineLevel="1" x14ac:dyDescent="0.3">
      <c r="A1135" s="33" t="s">
        <v>243</v>
      </c>
      <c r="B1135" s="34" t="s">
        <v>278</v>
      </c>
      <c r="C1135" s="50">
        <f>SUMIFS(INDEX(Техника!$F$1:$ABM$500,C$2,0),Техника!$F$4:$ABM$4,"Часы",INDEX(Техника!$G$1:$ABN$500,C$2,0),$A$1131,INDEX(Техника!$H$1:$ABO$500,C$2,0),"Л")</f>
        <v>0</v>
      </c>
      <c r="D1135" s="50">
        <f>SUMIFS(INDEX(Техника!$F$1:$ABM$500,D$2,0),Техника!$F$4:$ABM$4,"Часы",INDEX(Техника!$G$1:$ABN$500,D$2,0),$A$1131,INDEX(Техника!$H$1:$ABO$500,D$2,0),"Л")</f>
        <v>0</v>
      </c>
      <c r="E1135" s="50">
        <f>SUMIFS(INDEX(Техника!$F$1:$ABM$500,E$2,0),Техника!$F$4:$ABM$4,"Часы",INDEX(Техника!$G$1:$ABN$500,E$2,0),$A$1131,INDEX(Техника!$H$1:$ABO$500,E$2,0),"Л")</f>
        <v>0</v>
      </c>
      <c r="F1135" s="50">
        <f>SUMIFS(INDEX(Техника!$F$1:$ABM$500,F$2,0),Техника!$F$4:$ABM$4,"Часы",INDEX(Техника!$G$1:$ABN$500,F$2,0),$A$1131,INDEX(Техника!$H$1:$ABO$500,F$2,0),"Л")</f>
        <v>0</v>
      </c>
      <c r="G1135" s="50">
        <f>SUMIFS(INDEX(Техника!$F$1:$ABM$500,G$2,0),Техника!$F$4:$ABM$4,"Часы",INDEX(Техника!$G$1:$ABN$500,G$2,0),$A$1131,INDEX(Техника!$H$1:$ABO$500,G$2,0),"Л")</f>
        <v>0</v>
      </c>
      <c r="H1135" s="50">
        <f>SUMIFS(INDEX(Техника!$F$1:$ABM$500,H$2,0),Техника!$F$4:$ABM$4,"Часы",INDEX(Техника!$G$1:$ABN$500,H$2,0),$A$1131,INDEX(Техника!$H$1:$ABO$500,H$2,0),"Л")</f>
        <v>0</v>
      </c>
      <c r="I1135" s="50">
        <f>SUMIFS(INDEX(Техника!$F$1:$ABM$500,I$2,0),Техника!$F$4:$ABM$4,"Часы",INDEX(Техника!$G$1:$ABN$500,I$2,0),$A$1131,INDEX(Техника!$H$1:$ABO$500,I$2,0),"Л")</f>
        <v>0</v>
      </c>
      <c r="J1135" s="50">
        <f>SUMIFS(INDEX(Техника!$F$1:$ABM$500,J$2,0),Техника!$F$4:$ABM$4,"Часы",INDEX(Техника!$G$1:$ABN$500,J$2,0),$A$1131,INDEX(Техника!$H$1:$ABO$500,J$2,0),"Л")</f>
        <v>0</v>
      </c>
      <c r="K1135" s="50">
        <f>SUMIFS(INDEX(Техника!$F$1:$ABM$500,K$2,0),Техника!$F$4:$ABM$4,"Часы",INDEX(Техника!$G$1:$ABN$500,K$2,0),$A$1131,INDEX(Техника!$H$1:$ABO$500,K$2,0),"Л")</f>
        <v>0</v>
      </c>
      <c r="L1135" s="50">
        <f>SUMIFS(INDEX(Техника!$F$1:$ABM$500,L$2,0),Техника!$F$4:$ABM$4,"Часы",INDEX(Техника!$G$1:$ABN$500,L$2,0),$A$1131,INDEX(Техника!$H$1:$ABO$500,L$2,0),"Л")</f>
        <v>0</v>
      </c>
      <c r="M1135" s="50">
        <f>SUMIFS(INDEX(Техника!$F$1:$ABM$500,M$2,0),Техника!$F$4:$ABM$4,"Часы",INDEX(Техника!$G$1:$ABN$500,M$2,0),$A$1131,INDEX(Техника!$H$1:$ABO$500,M$2,0),"Л")</f>
        <v>0</v>
      </c>
      <c r="N1135" s="50">
        <f>SUMIFS(INDEX(Техника!$F$1:$ABM$500,N$2,0),Техника!$F$4:$ABM$4,"Часы",INDEX(Техника!$G$1:$ABN$500,N$2,0),$A$1131,INDEX(Техника!$H$1:$ABO$500,N$2,0),"Л")</f>
        <v>0</v>
      </c>
      <c r="O1135" s="50">
        <f>SUMIFS(INDEX(Техника!$F$1:$ABM$500,O$2,0),Техника!$F$4:$ABM$4,"Часы",INDEX(Техника!$G$1:$ABN$500,O$2,0),$A$1131,INDEX(Техника!$H$1:$ABO$500,O$2,0),"Л")</f>
        <v>0</v>
      </c>
      <c r="P1135" s="50">
        <f>SUMIFS(INDEX(Техника!$F$1:$ABM$500,P$2,0),Техника!$F$4:$ABM$4,"Часы",INDEX(Техника!$G$1:$ABN$500,P$2,0),$A$1131,INDEX(Техника!$H$1:$ABO$500,P$2,0),"Л")</f>
        <v>0</v>
      </c>
      <c r="Q1135" s="50">
        <f>SUMIFS(INDEX(Техника!$F$1:$ABM$500,Q$2,0),Техника!$F$4:$ABM$4,"Часы",INDEX(Техника!$G$1:$ABN$500,Q$2,0),$A$1131,INDEX(Техника!$H$1:$ABO$500,Q$2,0),"Л")</f>
        <v>0</v>
      </c>
      <c r="R1135" s="50">
        <f>SUMIFS(INDEX(Техника!$F$1:$ABM$500,R$2,0),Техника!$F$4:$ABM$4,"Часы",INDEX(Техника!$G$1:$ABN$500,R$2,0),$A$1131,INDEX(Техника!$H$1:$ABO$500,R$2,0),"Л")</f>
        <v>0</v>
      </c>
      <c r="S1135" s="50">
        <f>SUMIFS(INDEX(Техника!$F$1:$ABM$500,S$2,0),Техника!$F$4:$ABM$4,"Часы",INDEX(Техника!$G$1:$ABN$500,S$2,0),$A$1131,INDEX(Техника!$H$1:$ABO$500,S$2,0),"Л")</f>
        <v>0</v>
      </c>
      <c r="T1135" s="50">
        <f>SUMIFS(INDEX(Техника!$F$1:$ABM$500,T$2,0),Техника!$F$4:$ABM$4,"Часы",INDEX(Техника!$G$1:$ABN$500,T$2,0),$A$1131,INDEX(Техника!$H$1:$ABO$500,T$2,0),"Л")</f>
        <v>0</v>
      </c>
      <c r="U1135" s="50">
        <f>SUMIFS(INDEX(Техника!$F$1:$ABM$500,U$2,0),Техника!$F$4:$ABM$4,"Часы",INDEX(Техника!$G$1:$ABN$500,U$2,0),$A$1131,INDEX(Техника!$H$1:$ABO$500,U$2,0),"Л")</f>
        <v>0</v>
      </c>
      <c r="V1135" s="50">
        <f>SUMIFS(INDEX(Техника!$F$1:$ABM$500,V$2,0),Техника!$F$4:$ABM$4,"Часы",INDEX(Техника!$G$1:$ABN$500,V$2,0),$A$1131,INDEX(Техника!$H$1:$ABO$500,V$2,0),"Л")</f>
        <v>0</v>
      </c>
      <c r="W1135" s="50">
        <f>SUMIFS(INDEX(Техника!$F$1:$ABM$500,W$2,0),Техника!$F$4:$ABM$4,"Часы",INDEX(Техника!$G$1:$ABN$500,W$2,0),$A$1131,INDEX(Техника!$H$1:$ABO$500,W$2,0),"Л")</f>
        <v>0</v>
      </c>
      <c r="X1135" s="50">
        <f>SUMIFS(INDEX(Техника!$F$1:$ABM$500,X$2,0),Техника!$F$4:$ABM$4,"Часы",INDEX(Техника!$G$1:$ABN$500,X$2,0),$A$1131,INDEX(Техника!$H$1:$ABO$500,X$2,0),"Л")</f>
        <v>0</v>
      </c>
      <c r="Y1135" s="50">
        <f>SUMIFS(INDEX(Техника!$F$1:$ABM$500,Y$2,0),Техника!$F$4:$ABM$4,"Часы",INDEX(Техника!$G$1:$ABN$500,Y$2,0),$A$1131,INDEX(Техника!$H$1:$ABO$500,Y$2,0),"Л")</f>
        <v>0</v>
      </c>
      <c r="Z1135" s="50">
        <f>SUMIFS(INDEX(Техника!$F$1:$ABM$500,Z$2,0),Техника!$F$4:$ABM$4,"Часы",INDEX(Техника!$G$1:$ABN$500,Z$2,0),$A$1131,INDEX(Техника!$H$1:$ABO$500,Z$2,0),"Л")</f>
        <v>0</v>
      </c>
      <c r="AA1135" s="50">
        <f>SUMIFS(INDEX(Техника!$F$1:$ABM$500,AA$2,0),Техника!$F$4:$ABM$4,"Часы",INDEX(Техника!$G$1:$ABN$500,AA$2,0),$A$1131,INDEX(Техника!$H$1:$ABO$500,AA$2,0),"Л")</f>
        <v>0</v>
      </c>
      <c r="AB1135" s="50">
        <f>SUMIFS(INDEX(Техника!$F$1:$ABM$500,AB$2,0),Техника!$F$4:$ABM$4,"Часы",INDEX(Техника!$G$1:$ABN$500,AB$2,0),$A$1131,INDEX(Техника!$H$1:$ABO$500,AB$2,0),"Л")</f>
        <v>0</v>
      </c>
    </row>
    <row r="1136" spans="1:28" hidden="1" outlineLevel="1" x14ac:dyDescent="0.3">
      <c r="A1136" s="33" t="s">
        <v>245</v>
      </c>
      <c r="B1136" s="34" t="s">
        <v>279</v>
      </c>
      <c r="C1136" s="50">
        <f>SUMIFS(INDEX(Техника!$F$1:$ABM$500,C$2,0),Техника!$F$4:$ABM$4,"Часы",INDEX(Техника!$G$1:$ABN$500,C$2,0),$A$1131,INDEX(Техника!$H$1:$ABO$500,C$2,0),"З")</f>
        <v>0</v>
      </c>
      <c r="D1136" s="50">
        <f>SUMIFS(INDEX(Техника!$F$1:$ABM$500,D$2,0),Техника!$F$4:$ABM$4,"Часы",INDEX(Техника!$G$1:$ABN$500,D$2,0),$A$1131,INDEX(Техника!$H$1:$ABO$500,D$2,0),"З")</f>
        <v>0</v>
      </c>
      <c r="E1136" s="50">
        <f>SUMIFS(INDEX(Техника!$F$1:$ABM$500,E$2,0),Техника!$F$4:$ABM$4,"Часы",INDEX(Техника!$G$1:$ABN$500,E$2,0),$A$1131,INDEX(Техника!$H$1:$ABO$500,E$2,0),"З")</f>
        <v>0</v>
      </c>
      <c r="F1136" s="50">
        <f>SUMIFS(INDEX(Техника!$F$1:$ABM$500,F$2,0),Техника!$F$4:$ABM$4,"Часы",INDEX(Техника!$G$1:$ABN$500,F$2,0),$A$1131,INDEX(Техника!$H$1:$ABO$500,F$2,0),"З")</f>
        <v>0</v>
      </c>
      <c r="G1136" s="50">
        <f>SUMIFS(INDEX(Техника!$F$1:$ABM$500,G$2,0),Техника!$F$4:$ABM$4,"Часы",INDEX(Техника!$G$1:$ABN$500,G$2,0),$A$1131,INDEX(Техника!$H$1:$ABO$500,G$2,0),"З")</f>
        <v>0</v>
      </c>
      <c r="H1136" s="50">
        <f>SUMIFS(INDEX(Техника!$F$1:$ABM$500,H$2,0),Техника!$F$4:$ABM$4,"Часы",INDEX(Техника!$G$1:$ABN$500,H$2,0),$A$1131,INDEX(Техника!$H$1:$ABO$500,H$2,0),"З")</f>
        <v>0</v>
      </c>
      <c r="I1136" s="50">
        <f>SUMIFS(INDEX(Техника!$F$1:$ABM$500,I$2,0),Техника!$F$4:$ABM$4,"Часы",INDEX(Техника!$G$1:$ABN$500,I$2,0),$A$1131,INDEX(Техника!$H$1:$ABO$500,I$2,0),"З")</f>
        <v>0</v>
      </c>
      <c r="J1136" s="50">
        <f>SUMIFS(INDEX(Техника!$F$1:$ABM$500,J$2,0),Техника!$F$4:$ABM$4,"Часы",INDEX(Техника!$G$1:$ABN$500,J$2,0),$A$1131,INDEX(Техника!$H$1:$ABO$500,J$2,0),"З")</f>
        <v>0</v>
      </c>
      <c r="K1136" s="50">
        <f>SUMIFS(INDEX(Техника!$F$1:$ABM$500,K$2,0),Техника!$F$4:$ABM$4,"Часы",INDEX(Техника!$G$1:$ABN$500,K$2,0),$A$1131,INDEX(Техника!$H$1:$ABO$500,K$2,0),"З")</f>
        <v>0</v>
      </c>
      <c r="L1136" s="50">
        <f>SUMIFS(INDEX(Техника!$F$1:$ABM$500,L$2,0),Техника!$F$4:$ABM$4,"Часы",INDEX(Техника!$G$1:$ABN$500,L$2,0),$A$1131,INDEX(Техника!$H$1:$ABO$500,L$2,0),"З")</f>
        <v>0</v>
      </c>
      <c r="M1136" s="50">
        <f>SUMIFS(INDEX(Техника!$F$1:$ABM$500,M$2,0),Техника!$F$4:$ABM$4,"Часы",INDEX(Техника!$G$1:$ABN$500,M$2,0),$A$1131,INDEX(Техника!$H$1:$ABO$500,M$2,0),"З")</f>
        <v>0</v>
      </c>
      <c r="N1136" s="50">
        <f>SUMIFS(INDEX(Техника!$F$1:$ABM$500,N$2,0),Техника!$F$4:$ABM$4,"Часы",INDEX(Техника!$G$1:$ABN$500,N$2,0),$A$1131,INDEX(Техника!$H$1:$ABO$500,N$2,0),"З")</f>
        <v>0</v>
      </c>
      <c r="O1136" s="50">
        <f>SUMIFS(INDEX(Техника!$F$1:$ABM$500,O$2,0),Техника!$F$4:$ABM$4,"Часы",INDEX(Техника!$G$1:$ABN$500,O$2,0),$A$1131,INDEX(Техника!$H$1:$ABO$500,O$2,0),"З")</f>
        <v>0</v>
      </c>
      <c r="P1136" s="50">
        <f>SUMIFS(INDEX(Техника!$F$1:$ABM$500,P$2,0),Техника!$F$4:$ABM$4,"Часы",INDEX(Техника!$G$1:$ABN$500,P$2,0),$A$1131,INDEX(Техника!$H$1:$ABO$500,P$2,0),"З")</f>
        <v>0</v>
      </c>
      <c r="Q1136" s="50">
        <f>SUMIFS(INDEX(Техника!$F$1:$ABM$500,Q$2,0),Техника!$F$4:$ABM$4,"Часы",INDEX(Техника!$G$1:$ABN$500,Q$2,0),$A$1131,INDEX(Техника!$H$1:$ABO$500,Q$2,0),"З")</f>
        <v>0</v>
      </c>
      <c r="R1136" s="50">
        <f>SUMIFS(INDEX(Техника!$F$1:$ABM$500,R$2,0),Техника!$F$4:$ABM$4,"Часы",INDEX(Техника!$G$1:$ABN$500,R$2,0),$A$1131,INDEX(Техника!$H$1:$ABO$500,R$2,0),"З")</f>
        <v>0</v>
      </c>
      <c r="S1136" s="50">
        <f>SUMIFS(INDEX(Техника!$F$1:$ABM$500,S$2,0),Техника!$F$4:$ABM$4,"Часы",INDEX(Техника!$G$1:$ABN$500,S$2,0),$A$1131,INDEX(Техника!$H$1:$ABO$500,S$2,0),"З")</f>
        <v>0</v>
      </c>
      <c r="T1136" s="50">
        <f>SUMIFS(INDEX(Техника!$F$1:$ABM$500,T$2,0),Техника!$F$4:$ABM$4,"Часы",INDEX(Техника!$G$1:$ABN$500,T$2,0),$A$1131,INDEX(Техника!$H$1:$ABO$500,T$2,0),"З")</f>
        <v>0</v>
      </c>
      <c r="U1136" s="50">
        <f>SUMIFS(INDEX(Техника!$F$1:$ABM$500,U$2,0),Техника!$F$4:$ABM$4,"Часы",INDEX(Техника!$G$1:$ABN$500,U$2,0),$A$1131,INDEX(Техника!$H$1:$ABO$500,U$2,0),"З")</f>
        <v>0</v>
      </c>
      <c r="V1136" s="50">
        <f>SUMIFS(INDEX(Техника!$F$1:$ABM$500,V$2,0),Техника!$F$4:$ABM$4,"Часы",INDEX(Техника!$G$1:$ABN$500,V$2,0),$A$1131,INDEX(Техника!$H$1:$ABO$500,V$2,0),"З")</f>
        <v>0</v>
      </c>
      <c r="W1136" s="50">
        <f>SUMIFS(INDEX(Техника!$F$1:$ABM$500,W$2,0),Техника!$F$4:$ABM$4,"Часы",INDEX(Техника!$G$1:$ABN$500,W$2,0),$A$1131,INDEX(Техника!$H$1:$ABO$500,W$2,0),"З")</f>
        <v>0</v>
      </c>
      <c r="X1136" s="50">
        <f>SUMIFS(INDEX(Техника!$F$1:$ABM$500,X$2,0),Техника!$F$4:$ABM$4,"Часы",INDEX(Техника!$G$1:$ABN$500,X$2,0),$A$1131,INDEX(Техника!$H$1:$ABO$500,X$2,0),"З")</f>
        <v>0</v>
      </c>
      <c r="Y1136" s="50">
        <f>SUMIFS(INDEX(Техника!$F$1:$ABM$500,Y$2,0),Техника!$F$4:$ABM$4,"Часы",INDEX(Техника!$G$1:$ABN$500,Y$2,0),$A$1131,INDEX(Техника!$H$1:$ABO$500,Y$2,0),"З")</f>
        <v>0</v>
      </c>
      <c r="Z1136" s="50">
        <f>SUMIFS(INDEX(Техника!$F$1:$ABM$500,Z$2,0),Техника!$F$4:$ABM$4,"Часы",INDEX(Техника!$G$1:$ABN$500,Z$2,0),$A$1131,INDEX(Техника!$H$1:$ABO$500,Z$2,0),"З")</f>
        <v>0</v>
      </c>
      <c r="AA1136" s="50">
        <f>SUMIFS(INDEX(Техника!$F$1:$ABM$500,AA$2,0),Техника!$F$4:$ABM$4,"Часы",INDEX(Техника!$G$1:$ABN$500,AA$2,0),$A$1131,INDEX(Техника!$H$1:$ABO$500,AA$2,0),"З")</f>
        <v>0</v>
      </c>
      <c r="AB1136" s="50">
        <f>SUMIFS(INDEX(Техника!$F$1:$ABM$500,AB$2,0),Техника!$F$4:$ABM$4,"Часы",INDEX(Техника!$G$1:$ABN$500,AB$2,0),$A$1131,INDEX(Техника!$H$1:$ABO$500,AB$2,0),"З")</f>
        <v>0</v>
      </c>
    </row>
    <row r="1137" spans="1:28" ht="7.95" customHeight="1" x14ac:dyDescent="0.3">
      <c r="A1137" s="38"/>
      <c r="B1137" s="39"/>
      <c r="C1137" s="51"/>
      <c r="D1137" s="51"/>
      <c r="E1137" s="51"/>
      <c r="F1137" s="51"/>
      <c r="G1137" s="51"/>
      <c r="H1137" s="51"/>
      <c r="I1137" s="51"/>
      <c r="J1137" s="51"/>
      <c r="K1137" s="51"/>
      <c r="L1137" s="51"/>
      <c r="M1137" s="51"/>
      <c r="N1137" s="51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</row>
    <row r="1138" spans="1:28" ht="25.05" customHeight="1" collapsed="1" x14ac:dyDescent="0.3">
      <c r="A1138" s="32">
        <v>163</v>
      </c>
      <c r="B1138" s="32" t="s">
        <v>164</v>
      </c>
      <c r="C1138" s="49">
        <f>SUM(C1139:C1143)</f>
        <v>0</v>
      </c>
      <c r="D1138" s="49">
        <f>SUM(D1139:D1143)</f>
        <v>0</v>
      </c>
      <c r="E1138" s="49">
        <f>SUM(E1139:E1143)</f>
        <v>0</v>
      </c>
      <c r="F1138" s="49">
        <f>SUM(F1139:F1143)</f>
        <v>0</v>
      </c>
      <c r="G1138" s="49">
        <f>SUM(G1139:G1143)</f>
        <v>0</v>
      </c>
      <c r="H1138" s="49">
        <f>SUM(H1139:H1143)</f>
        <v>0</v>
      </c>
      <c r="I1138" s="49">
        <f>SUM(I1139:I1143)</f>
        <v>0</v>
      </c>
      <c r="J1138" s="49">
        <f>SUM(J1139:J1143)</f>
        <v>0</v>
      </c>
      <c r="K1138" s="49">
        <f>SUM(K1139:K1143)</f>
        <v>0</v>
      </c>
      <c r="L1138" s="49">
        <f>SUM(L1139:L1143)</f>
        <v>0</v>
      </c>
      <c r="M1138" s="49">
        <f>SUM(M1139:M1143)</f>
        <v>0</v>
      </c>
      <c r="N1138" s="49">
        <f>SUM(N1139:N1143)</f>
        <v>0</v>
      </c>
      <c r="O1138" s="49">
        <f>SUM(O1139:O1143)</f>
        <v>0</v>
      </c>
      <c r="P1138" s="49">
        <f>SUM(P1139:P1143)</f>
        <v>0</v>
      </c>
      <c r="Q1138" s="49">
        <f>SUM(Q1139:Q1143)</f>
        <v>0</v>
      </c>
      <c r="R1138" s="49">
        <f>SUM(R1139:R1143)</f>
        <v>0</v>
      </c>
      <c r="S1138" s="49">
        <f>SUM(S1139:S1143)</f>
        <v>0</v>
      </c>
      <c r="T1138" s="49">
        <f>SUM(T1139:T1143)</f>
        <v>0</v>
      </c>
      <c r="U1138" s="49">
        <f>SUM(U1139:U1143)</f>
        <v>0</v>
      </c>
      <c r="V1138" s="49">
        <f>SUM(V1139:V1143)</f>
        <v>0</v>
      </c>
      <c r="W1138" s="49">
        <f>SUM(W1139:W1143)</f>
        <v>0</v>
      </c>
      <c r="X1138" s="49">
        <f>SUM(X1139:X1143)</f>
        <v>0</v>
      </c>
      <c r="Y1138" s="49">
        <f>SUM(Y1139:Y1143)</f>
        <v>0</v>
      </c>
      <c r="Z1138" s="49">
        <f>SUM(Z1139:Z1143)</f>
        <v>0</v>
      </c>
      <c r="AA1138" s="49">
        <f>SUM(AA1139:AA1143)</f>
        <v>0</v>
      </c>
      <c r="AB1138" s="49">
        <f>SUM(AB1139:AB1143)</f>
        <v>0</v>
      </c>
    </row>
    <row r="1139" spans="1:28" hidden="1" outlineLevel="1" x14ac:dyDescent="0.3">
      <c r="A1139" s="33" t="s">
        <v>246</v>
      </c>
      <c r="B1139" s="34" t="s">
        <v>274</v>
      </c>
      <c r="C1139" s="50">
        <f>SUMIFS(INDEX(Техника!$F$1:$ABM$500,C$2,0),Техника!$F$4:$ABM$4,"Часы",INDEX(Техника!$G$1:$ABN$500,C$2,0),$A$1138,INDEX(Техника!$H$1:$ABO$500,C$2,0),"М")</f>
        <v>0</v>
      </c>
      <c r="D1139" s="50">
        <f>SUMIFS(INDEX(Техника!$F$1:$ABM$500,D$2,0),Техника!$F$4:$ABM$4,"Часы",INDEX(Техника!$G$1:$ABN$500,D$2,0),$A$1138,INDEX(Техника!$H$1:$ABO$500,D$2,0),"М")</f>
        <v>0</v>
      </c>
      <c r="E1139" s="50">
        <f>SUMIFS(INDEX(Техника!$F$1:$ABM$500,E$2,0),Техника!$F$4:$ABM$4,"Часы",INDEX(Техника!$G$1:$ABN$500,E$2,0),$A$1138,INDEX(Техника!$H$1:$ABO$500,E$2,0),"М")</f>
        <v>0</v>
      </c>
      <c r="F1139" s="50">
        <f>SUMIFS(INDEX(Техника!$F$1:$ABM$500,F$2,0),Техника!$F$4:$ABM$4,"Часы",INDEX(Техника!$G$1:$ABN$500,F$2,0),$A$1138,INDEX(Техника!$H$1:$ABO$500,F$2,0),"М")</f>
        <v>0</v>
      </c>
      <c r="G1139" s="50">
        <f>SUMIFS(INDEX(Техника!$F$1:$ABM$500,G$2,0),Техника!$F$4:$ABM$4,"Часы",INDEX(Техника!$G$1:$ABN$500,G$2,0),$A$1138,INDEX(Техника!$H$1:$ABO$500,G$2,0),"М")</f>
        <v>0</v>
      </c>
      <c r="H1139" s="50">
        <f>SUMIFS(INDEX(Техника!$F$1:$ABM$500,H$2,0),Техника!$F$4:$ABM$4,"Часы",INDEX(Техника!$G$1:$ABN$500,H$2,0),$A$1138,INDEX(Техника!$H$1:$ABO$500,H$2,0),"М")</f>
        <v>0</v>
      </c>
      <c r="I1139" s="50">
        <f>SUMIFS(INDEX(Техника!$F$1:$ABM$500,I$2,0),Техника!$F$4:$ABM$4,"Часы",INDEX(Техника!$G$1:$ABN$500,I$2,0),$A$1138,INDEX(Техника!$H$1:$ABO$500,I$2,0),"М")</f>
        <v>0</v>
      </c>
      <c r="J1139" s="50">
        <f>SUMIFS(INDEX(Техника!$F$1:$ABM$500,J$2,0),Техника!$F$4:$ABM$4,"Часы",INDEX(Техника!$G$1:$ABN$500,J$2,0),$A$1138,INDEX(Техника!$H$1:$ABO$500,J$2,0),"М")</f>
        <v>0</v>
      </c>
      <c r="K1139" s="50">
        <f>SUMIFS(INDEX(Техника!$F$1:$ABM$500,K$2,0),Техника!$F$4:$ABM$4,"Часы",INDEX(Техника!$G$1:$ABN$500,K$2,0),$A$1138,INDEX(Техника!$H$1:$ABO$500,K$2,0),"М")</f>
        <v>0</v>
      </c>
      <c r="L1139" s="50">
        <f>SUMIFS(INDEX(Техника!$F$1:$ABM$500,L$2,0),Техника!$F$4:$ABM$4,"Часы",INDEX(Техника!$G$1:$ABN$500,L$2,0),$A$1138,INDEX(Техника!$H$1:$ABO$500,L$2,0),"М")</f>
        <v>0</v>
      </c>
      <c r="M1139" s="50">
        <f>SUMIFS(INDEX(Техника!$F$1:$ABM$500,M$2,0),Техника!$F$4:$ABM$4,"Часы",INDEX(Техника!$G$1:$ABN$500,M$2,0),$A$1138,INDEX(Техника!$H$1:$ABO$500,M$2,0),"М")</f>
        <v>0</v>
      </c>
      <c r="N1139" s="50">
        <f>SUMIFS(INDEX(Техника!$F$1:$ABM$500,N$2,0),Техника!$F$4:$ABM$4,"Часы",INDEX(Техника!$G$1:$ABN$500,N$2,0),$A$1138,INDEX(Техника!$H$1:$ABO$500,N$2,0),"М")</f>
        <v>0</v>
      </c>
      <c r="O1139" s="50">
        <f>SUMIFS(INDEX(Техника!$F$1:$ABM$500,O$2,0),Техника!$F$4:$ABM$4,"Часы",INDEX(Техника!$G$1:$ABN$500,O$2,0),$A$1138,INDEX(Техника!$H$1:$ABO$500,O$2,0),"М")</f>
        <v>0</v>
      </c>
      <c r="P1139" s="50">
        <f>SUMIFS(INDEX(Техника!$F$1:$ABM$500,P$2,0),Техника!$F$4:$ABM$4,"Часы",INDEX(Техника!$G$1:$ABN$500,P$2,0),$A$1138,INDEX(Техника!$H$1:$ABO$500,P$2,0),"М")</f>
        <v>0</v>
      </c>
      <c r="Q1139" s="50">
        <f>SUMIFS(INDEX(Техника!$F$1:$ABM$500,Q$2,0),Техника!$F$4:$ABM$4,"Часы",INDEX(Техника!$G$1:$ABN$500,Q$2,0),$A$1138,INDEX(Техника!$H$1:$ABO$500,Q$2,0),"М")</f>
        <v>0</v>
      </c>
      <c r="R1139" s="50">
        <f>SUMIFS(INDEX(Техника!$F$1:$ABM$500,R$2,0),Техника!$F$4:$ABM$4,"Часы",INDEX(Техника!$G$1:$ABN$500,R$2,0),$A$1138,INDEX(Техника!$H$1:$ABO$500,R$2,0),"М")</f>
        <v>0</v>
      </c>
      <c r="S1139" s="50">
        <f>SUMIFS(INDEX(Техника!$F$1:$ABM$500,S$2,0),Техника!$F$4:$ABM$4,"Часы",INDEX(Техника!$G$1:$ABN$500,S$2,0),$A$1138,INDEX(Техника!$H$1:$ABO$500,S$2,0),"М")</f>
        <v>0</v>
      </c>
      <c r="T1139" s="50">
        <f>SUMIFS(INDEX(Техника!$F$1:$ABM$500,T$2,0),Техника!$F$4:$ABM$4,"Часы",INDEX(Техника!$G$1:$ABN$500,T$2,0),$A$1138,INDEX(Техника!$H$1:$ABO$500,T$2,0),"М")</f>
        <v>0</v>
      </c>
      <c r="U1139" s="50">
        <f>SUMIFS(INDEX(Техника!$F$1:$ABM$500,U$2,0),Техника!$F$4:$ABM$4,"Часы",INDEX(Техника!$G$1:$ABN$500,U$2,0),$A$1138,INDEX(Техника!$H$1:$ABO$500,U$2,0),"М")</f>
        <v>0</v>
      </c>
      <c r="V1139" s="50">
        <f>SUMIFS(INDEX(Техника!$F$1:$ABM$500,V$2,0),Техника!$F$4:$ABM$4,"Часы",INDEX(Техника!$G$1:$ABN$500,V$2,0),$A$1138,INDEX(Техника!$H$1:$ABO$500,V$2,0),"М")</f>
        <v>0</v>
      </c>
      <c r="W1139" s="50">
        <f>SUMIFS(INDEX(Техника!$F$1:$ABM$500,W$2,0),Техника!$F$4:$ABM$4,"Часы",INDEX(Техника!$G$1:$ABN$500,W$2,0),$A$1138,INDEX(Техника!$H$1:$ABO$500,W$2,0),"М")</f>
        <v>0</v>
      </c>
      <c r="X1139" s="50">
        <f>SUMIFS(INDEX(Техника!$F$1:$ABM$500,X$2,0),Техника!$F$4:$ABM$4,"Часы",INDEX(Техника!$G$1:$ABN$500,X$2,0),$A$1138,INDEX(Техника!$H$1:$ABO$500,X$2,0),"М")</f>
        <v>0</v>
      </c>
      <c r="Y1139" s="50">
        <f>SUMIFS(INDEX(Техника!$F$1:$ABM$500,Y$2,0),Техника!$F$4:$ABM$4,"Часы",INDEX(Техника!$G$1:$ABN$500,Y$2,0),$A$1138,INDEX(Техника!$H$1:$ABO$500,Y$2,0),"М")</f>
        <v>0</v>
      </c>
      <c r="Z1139" s="50">
        <f>SUMIFS(INDEX(Техника!$F$1:$ABM$500,Z$2,0),Техника!$F$4:$ABM$4,"Часы",INDEX(Техника!$G$1:$ABN$500,Z$2,0),$A$1138,INDEX(Техника!$H$1:$ABO$500,Z$2,0),"М")</f>
        <v>0</v>
      </c>
      <c r="AA1139" s="50">
        <f>SUMIFS(INDEX(Техника!$F$1:$ABM$500,AA$2,0),Техника!$F$4:$ABM$4,"Часы",INDEX(Техника!$G$1:$ABN$500,AA$2,0),$A$1138,INDEX(Техника!$H$1:$ABO$500,AA$2,0),"М")</f>
        <v>0</v>
      </c>
      <c r="AB1139" s="50">
        <f>SUMIFS(INDEX(Техника!$F$1:$ABM$500,AB$2,0),Техника!$F$4:$ABM$4,"Часы",INDEX(Техника!$G$1:$ABN$500,AB$2,0),$A$1138,INDEX(Техника!$H$1:$ABO$500,AB$2,0),"М")</f>
        <v>0</v>
      </c>
    </row>
    <row r="1140" spans="1:28" hidden="1" outlineLevel="1" x14ac:dyDescent="0.3">
      <c r="A1140" s="33" t="s">
        <v>244</v>
      </c>
      <c r="B1140" s="34" t="s">
        <v>275</v>
      </c>
      <c r="C1140" s="50">
        <f>SUMIFS(INDEX(Техника!$F$1:$ABM$500,C$2,0),Техника!$F$4:$ABM$4,"Часы",INDEX(Техника!$G$1:$ABN$500,C$2,0),$A$1138,INDEX(Техника!$H$1:$ABO$500,C$2,0),"Д")</f>
        <v>0</v>
      </c>
      <c r="D1140" s="50">
        <f>SUMIFS(INDEX(Техника!$F$1:$ABM$500,D$2,0),Техника!$F$4:$ABM$4,"Часы",INDEX(Техника!$G$1:$ABN$500,D$2,0),$A$1138,INDEX(Техника!$H$1:$ABO$500,D$2,0),"Д")</f>
        <v>0</v>
      </c>
      <c r="E1140" s="50">
        <f>SUMIFS(INDEX(Техника!$F$1:$ABM$500,E$2,0),Техника!$F$4:$ABM$4,"Часы",INDEX(Техника!$G$1:$ABN$500,E$2,0),$A$1138,INDEX(Техника!$H$1:$ABO$500,E$2,0),"Д")</f>
        <v>0</v>
      </c>
      <c r="F1140" s="50">
        <f>SUMIFS(INDEX(Техника!$F$1:$ABM$500,F$2,0),Техника!$F$4:$ABM$4,"Часы",INDEX(Техника!$G$1:$ABN$500,F$2,0),$A$1138,INDEX(Техника!$H$1:$ABO$500,F$2,0),"Д")</f>
        <v>0</v>
      </c>
      <c r="G1140" s="50">
        <f>SUMIFS(INDEX(Техника!$F$1:$ABM$500,G$2,0),Техника!$F$4:$ABM$4,"Часы",INDEX(Техника!$G$1:$ABN$500,G$2,0),$A$1138,INDEX(Техника!$H$1:$ABO$500,G$2,0),"Д")</f>
        <v>0</v>
      </c>
      <c r="H1140" s="50">
        <f>SUMIFS(INDEX(Техника!$F$1:$ABM$500,H$2,0),Техника!$F$4:$ABM$4,"Часы",INDEX(Техника!$G$1:$ABN$500,H$2,0),$A$1138,INDEX(Техника!$H$1:$ABO$500,H$2,0),"Д")</f>
        <v>0</v>
      </c>
      <c r="I1140" s="50">
        <f>SUMIFS(INDEX(Техника!$F$1:$ABM$500,I$2,0),Техника!$F$4:$ABM$4,"Часы",INDEX(Техника!$G$1:$ABN$500,I$2,0),$A$1138,INDEX(Техника!$H$1:$ABO$500,I$2,0),"Д")</f>
        <v>0</v>
      </c>
      <c r="J1140" s="50">
        <f>SUMIFS(INDEX(Техника!$F$1:$ABM$500,J$2,0),Техника!$F$4:$ABM$4,"Часы",INDEX(Техника!$G$1:$ABN$500,J$2,0),$A$1138,INDEX(Техника!$H$1:$ABO$500,J$2,0),"Д")</f>
        <v>0</v>
      </c>
      <c r="K1140" s="50">
        <f>SUMIFS(INDEX(Техника!$F$1:$ABM$500,K$2,0),Техника!$F$4:$ABM$4,"Часы",INDEX(Техника!$G$1:$ABN$500,K$2,0),$A$1138,INDEX(Техника!$H$1:$ABO$500,K$2,0),"Д")</f>
        <v>0</v>
      </c>
      <c r="L1140" s="50">
        <f>SUMIFS(INDEX(Техника!$F$1:$ABM$500,L$2,0),Техника!$F$4:$ABM$4,"Часы",INDEX(Техника!$G$1:$ABN$500,L$2,0),$A$1138,INDEX(Техника!$H$1:$ABO$500,L$2,0),"Д")</f>
        <v>0</v>
      </c>
      <c r="M1140" s="50">
        <f>SUMIFS(INDEX(Техника!$F$1:$ABM$500,M$2,0),Техника!$F$4:$ABM$4,"Часы",INDEX(Техника!$G$1:$ABN$500,M$2,0),$A$1138,INDEX(Техника!$H$1:$ABO$500,M$2,0),"Д")</f>
        <v>0</v>
      </c>
      <c r="N1140" s="50">
        <f>SUMIFS(INDEX(Техника!$F$1:$ABM$500,N$2,0),Техника!$F$4:$ABM$4,"Часы",INDEX(Техника!$G$1:$ABN$500,N$2,0),$A$1138,INDEX(Техника!$H$1:$ABO$500,N$2,0),"Д")</f>
        <v>0</v>
      </c>
      <c r="O1140" s="50">
        <f>SUMIFS(INDEX(Техника!$F$1:$ABM$500,O$2,0),Техника!$F$4:$ABM$4,"Часы",INDEX(Техника!$G$1:$ABN$500,O$2,0),$A$1138,INDEX(Техника!$H$1:$ABO$500,O$2,0),"Д")</f>
        <v>0</v>
      </c>
      <c r="P1140" s="50">
        <f>SUMIFS(INDEX(Техника!$F$1:$ABM$500,P$2,0),Техника!$F$4:$ABM$4,"Часы",INDEX(Техника!$G$1:$ABN$500,P$2,0),$A$1138,INDEX(Техника!$H$1:$ABO$500,P$2,0),"Д")</f>
        <v>0</v>
      </c>
      <c r="Q1140" s="50">
        <f>SUMIFS(INDEX(Техника!$F$1:$ABM$500,Q$2,0),Техника!$F$4:$ABM$4,"Часы",INDEX(Техника!$G$1:$ABN$500,Q$2,0),$A$1138,INDEX(Техника!$H$1:$ABO$500,Q$2,0),"Д")</f>
        <v>0</v>
      </c>
      <c r="R1140" s="50">
        <f>SUMIFS(INDEX(Техника!$F$1:$ABM$500,R$2,0),Техника!$F$4:$ABM$4,"Часы",INDEX(Техника!$G$1:$ABN$500,R$2,0),$A$1138,INDEX(Техника!$H$1:$ABO$500,R$2,0),"Д")</f>
        <v>0</v>
      </c>
      <c r="S1140" s="50">
        <f>SUMIFS(INDEX(Техника!$F$1:$ABM$500,S$2,0),Техника!$F$4:$ABM$4,"Часы",INDEX(Техника!$G$1:$ABN$500,S$2,0),$A$1138,INDEX(Техника!$H$1:$ABO$500,S$2,0),"Д")</f>
        <v>0</v>
      </c>
      <c r="T1140" s="50">
        <f>SUMIFS(INDEX(Техника!$F$1:$ABM$500,T$2,0),Техника!$F$4:$ABM$4,"Часы",INDEX(Техника!$G$1:$ABN$500,T$2,0),$A$1138,INDEX(Техника!$H$1:$ABO$500,T$2,0),"Д")</f>
        <v>0</v>
      </c>
      <c r="U1140" s="50">
        <f>SUMIFS(INDEX(Техника!$F$1:$ABM$500,U$2,0),Техника!$F$4:$ABM$4,"Часы",INDEX(Техника!$G$1:$ABN$500,U$2,0),$A$1138,INDEX(Техника!$H$1:$ABO$500,U$2,0),"Д")</f>
        <v>0</v>
      </c>
      <c r="V1140" s="50">
        <f>SUMIFS(INDEX(Техника!$F$1:$ABM$500,V$2,0),Техника!$F$4:$ABM$4,"Часы",INDEX(Техника!$G$1:$ABN$500,V$2,0),$A$1138,INDEX(Техника!$H$1:$ABO$500,V$2,0),"Д")</f>
        <v>0</v>
      </c>
      <c r="W1140" s="50">
        <f>SUMIFS(INDEX(Техника!$F$1:$ABM$500,W$2,0),Техника!$F$4:$ABM$4,"Часы",INDEX(Техника!$G$1:$ABN$500,W$2,0),$A$1138,INDEX(Техника!$H$1:$ABO$500,W$2,0),"Д")</f>
        <v>0</v>
      </c>
      <c r="X1140" s="50">
        <f>SUMIFS(INDEX(Техника!$F$1:$ABM$500,X$2,0),Техника!$F$4:$ABM$4,"Часы",INDEX(Техника!$G$1:$ABN$500,X$2,0),$A$1138,INDEX(Техника!$H$1:$ABO$500,X$2,0),"Д")</f>
        <v>0</v>
      </c>
      <c r="Y1140" s="50">
        <f>SUMIFS(INDEX(Техника!$F$1:$ABM$500,Y$2,0),Техника!$F$4:$ABM$4,"Часы",INDEX(Техника!$G$1:$ABN$500,Y$2,0),$A$1138,INDEX(Техника!$H$1:$ABO$500,Y$2,0),"Д")</f>
        <v>0</v>
      </c>
      <c r="Z1140" s="50">
        <f>SUMIFS(INDEX(Техника!$F$1:$ABM$500,Z$2,0),Техника!$F$4:$ABM$4,"Часы",INDEX(Техника!$G$1:$ABN$500,Z$2,0),$A$1138,INDEX(Техника!$H$1:$ABO$500,Z$2,0),"Д")</f>
        <v>0</v>
      </c>
      <c r="AA1140" s="50">
        <f>SUMIFS(INDEX(Техника!$F$1:$ABM$500,AA$2,0),Техника!$F$4:$ABM$4,"Часы",INDEX(Техника!$G$1:$ABN$500,AA$2,0),$A$1138,INDEX(Техника!$H$1:$ABO$500,AA$2,0),"Д")</f>
        <v>0</v>
      </c>
      <c r="AB1140" s="50">
        <f>SUMIFS(INDEX(Техника!$F$1:$ABM$500,AB$2,0),Техника!$F$4:$ABM$4,"Часы",INDEX(Техника!$G$1:$ABN$500,AB$2,0),$A$1138,INDEX(Техника!$H$1:$ABO$500,AB$2,0),"Д")</f>
        <v>0</v>
      </c>
    </row>
    <row r="1141" spans="1:28" hidden="1" outlineLevel="1" x14ac:dyDescent="0.3">
      <c r="A1141" s="33" t="s">
        <v>276</v>
      </c>
      <c r="B1141" s="34" t="s">
        <v>277</v>
      </c>
      <c r="C1141" s="50">
        <f>SUMIFS(INDEX(Техника!$F$1:$ABM$500,C$2,0),Техника!$F$4:$ABM$4,"Часы",INDEX(Техника!$G$1:$ABN$500,C$2,0),$A$1138,INDEX(Техника!$H$1:$ABO$500,C$2,0),"П")</f>
        <v>0</v>
      </c>
      <c r="D1141" s="50">
        <f>SUMIFS(INDEX(Техника!$F$1:$ABM$500,D$2,0),Техника!$F$4:$ABM$4,"Часы",INDEX(Техника!$G$1:$ABN$500,D$2,0),$A$1138,INDEX(Техника!$H$1:$ABO$500,D$2,0),"П")</f>
        <v>0</v>
      </c>
      <c r="E1141" s="50">
        <f>SUMIFS(INDEX(Техника!$F$1:$ABM$500,E$2,0),Техника!$F$4:$ABM$4,"Часы",INDEX(Техника!$G$1:$ABN$500,E$2,0),$A$1138,INDEX(Техника!$H$1:$ABO$500,E$2,0),"П")</f>
        <v>0</v>
      </c>
      <c r="F1141" s="50">
        <f>SUMIFS(INDEX(Техника!$F$1:$ABM$500,F$2,0),Техника!$F$4:$ABM$4,"Часы",INDEX(Техника!$G$1:$ABN$500,F$2,0),$A$1138,INDEX(Техника!$H$1:$ABO$500,F$2,0),"П")</f>
        <v>0</v>
      </c>
      <c r="G1141" s="50">
        <f>SUMIFS(INDEX(Техника!$F$1:$ABM$500,G$2,0),Техника!$F$4:$ABM$4,"Часы",INDEX(Техника!$G$1:$ABN$500,G$2,0),$A$1138,INDEX(Техника!$H$1:$ABO$500,G$2,0),"П")</f>
        <v>0</v>
      </c>
      <c r="H1141" s="50">
        <f>SUMIFS(INDEX(Техника!$F$1:$ABM$500,H$2,0),Техника!$F$4:$ABM$4,"Часы",INDEX(Техника!$G$1:$ABN$500,H$2,0),$A$1138,INDEX(Техника!$H$1:$ABO$500,H$2,0),"П")</f>
        <v>0</v>
      </c>
      <c r="I1141" s="50">
        <f>SUMIFS(INDEX(Техника!$F$1:$ABM$500,I$2,0),Техника!$F$4:$ABM$4,"Часы",INDEX(Техника!$G$1:$ABN$500,I$2,0),$A$1138,INDEX(Техника!$H$1:$ABO$500,I$2,0),"П")</f>
        <v>0</v>
      </c>
      <c r="J1141" s="50">
        <f>SUMIFS(INDEX(Техника!$F$1:$ABM$500,J$2,0),Техника!$F$4:$ABM$4,"Часы",INDEX(Техника!$G$1:$ABN$500,J$2,0),$A$1138,INDEX(Техника!$H$1:$ABO$500,J$2,0),"П")</f>
        <v>0</v>
      </c>
      <c r="K1141" s="50">
        <f>SUMIFS(INDEX(Техника!$F$1:$ABM$500,K$2,0),Техника!$F$4:$ABM$4,"Часы",INDEX(Техника!$G$1:$ABN$500,K$2,0),$A$1138,INDEX(Техника!$H$1:$ABO$500,K$2,0),"П")</f>
        <v>0</v>
      </c>
      <c r="L1141" s="50">
        <f>SUMIFS(INDEX(Техника!$F$1:$ABM$500,L$2,0),Техника!$F$4:$ABM$4,"Часы",INDEX(Техника!$G$1:$ABN$500,L$2,0),$A$1138,INDEX(Техника!$H$1:$ABO$500,L$2,0),"П")</f>
        <v>0</v>
      </c>
      <c r="M1141" s="50">
        <f>SUMIFS(INDEX(Техника!$F$1:$ABM$500,M$2,0),Техника!$F$4:$ABM$4,"Часы",INDEX(Техника!$G$1:$ABN$500,M$2,0),$A$1138,INDEX(Техника!$H$1:$ABO$500,M$2,0),"П")</f>
        <v>0</v>
      </c>
      <c r="N1141" s="50">
        <f>SUMIFS(INDEX(Техника!$F$1:$ABM$500,N$2,0),Техника!$F$4:$ABM$4,"Часы",INDEX(Техника!$G$1:$ABN$500,N$2,0),$A$1138,INDEX(Техника!$H$1:$ABO$500,N$2,0),"П")</f>
        <v>0</v>
      </c>
      <c r="O1141" s="50">
        <f>SUMIFS(INDEX(Техника!$F$1:$ABM$500,O$2,0),Техника!$F$4:$ABM$4,"Часы",INDEX(Техника!$G$1:$ABN$500,O$2,0),$A$1138,INDEX(Техника!$H$1:$ABO$500,O$2,0),"П")</f>
        <v>0</v>
      </c>
      <c r="P1141" s="50">
        <f>SUMIFS(INDEX(Техника!$F$1:$ABM$500,P$2,0),Техника!$F$4:$ABM$4,"Часы",INDEX(Техника!$G$1:$ABN$500,P$2,0),$A$1138,INDEX(Техника!$H$1:$ABO$500,P$2,0),"П")</f>
        <v>0</v>
      </c>
      <c r="Q1141" s="50">
        <f>SUMIFS(INDEX(Техника!$F$1:$ABM$500,Q$2,0),Техника!$F$4:$ABM$4,"Часы",INDEX(Техника!$G$1:$ABN$500,Q$2,0),$A$1138,INDEX(Техника!$H$1:$ABO$500,Q$2,0),"П")</f>
        <v>0</v>
      </c>
      <c r="R1141" s="50">
        <f>SUMIFS(INDEX(Техника!$F$1:$ABM$500,R$2,0),Техника!$F$4:$ABM$4,"Часы",INDEX(Техника!$G$1:$ABN$500,R$2,0),$A$1138,INDEX(Техника!$H$1:$ABO$500,R$2,0),"П")</f>
        <v>0</v>
      </c>
      <c r="S1141" s="50">
        <f>SUMIFS(INDEX(Техника!$F$1:$ABM$500,S$2,0),Техника!$F$4:$ABM$4,"Часы",INDEX(Техника!$G$1:$ABN$500,S$2,0),$A$1138,INDEX(Техника!$H$1:$ABO$500,S$2,0),"П")</f>
        <v>0</v>
      </c>
      <c r="T1141" s="50">
        <f>SUMIFS(INDEX(Техника!$F$1:$ABM$500,T$2,0),Техника!$F$4:$ABM$4,"Часы",INDEX(Техника!$G$1:$ABN$500,T$2,0),$A$1138,INDEX(Техника!$H$1:$ABO$500,T$2,0),"П")</f>
        <v>0</v>
      </c>
      <c r="U1141" s="50">
        <f>SUMIFS(INDEX(Техника!$F$1:$ABM$500,U$2,0),Техника!$F$4:$ABM$4,"Часы",INDEX(Техника!$G$1:$ABN$500,U$2,0),$A$1138,INDEX(Техника!$H$1:$ABO$500,U$2,0),"П")</f>
        <v>0</v>
      </c>
      <c r="V1141" s="50">
        <f>SUMIFS(INDEX(Техника!$F$1:$ABM$500,V$2,0),Техника!$F$4:$ABM$4,"Часы",INDEX(Техника!$G$1:$ABN$500,V$2,0),$A$1138,INDEX(Техника!$H$1:$ABO$500,V$2,0),"П")</f>
        <v>0</v>
      </c>
      <c r="W1141" s="50">
        <f>SUMIFS(INDEX(Техника!$F$1:$ABM$500,W$2,0),Техника!$F$4:$ABM$4,"Часы",INDEX(Техника!$G$1:$ABN$500,W$2,0),$A$1138,INDEX(Техника!$H$1:$ABO$500,W$2,0),"П")</f>
        <v>0</v>
      </c>
      <c r="X1141" s="50">
        <f>SUMIFS(INDEX(Техника!$F$1:$ABM$500,X$2,0),Техника!$F$4:$ABM$4,"Часы",INDEX(Техника!$G$1:$ABN$500,X$2,0),$A$1138,INDEX(Техника!$H$1:$ABO$500,X$2,0),"П")</f>
        <v>0</v>
      </c>
      <c r="Y1141" s="50">
        <f>SUMIFS(INDEX(Техника!$F$1:$ABM$500,Y$2,0),Техника!$F$4:$ABM$4,"Часы",INDEX(Техника!$G$1:$ABN$500,Y$2,0),$A$1138,INDEX(Техника!$H$1:$ABO$500,Y$2,0),"П")</f>
        <v>0</v>
      </c>
      <c r="Z1141" s="50">
        <f>SUMIFS(INDEX(Техника!$F$1:$ABM$500,Z$2,0),Техника!$F$4:$ABM$4,"Часы",INDEX(Техника!$G$1:$ABN$500,Z$2,0),$A$1138,INDEX(Техника!$H$1:$ABO$500,Z$2,0),"П")</f>
        <v>0</v>
      </c>
      <c r="AA1141" s="50">
        <f>SUMIFS(INDEX(Техника!$F$1:$ABM$500,AA$2,0),Техника!$F$4:$ABM$4,"Часы",INDEX(Техника!$G$1:$ABN$500,AA$2,0),$A$1138,INDEX(Техника!$H$1:$ABO$500,AA$2,0),"П")</f>
        <v>0</v>
      </c>
      <c r="AB1141" s="50">
        <f>SUMIFS(INDEX(Техника!$F$1:$ABM$500,AB$2,0),Техника!$F$4:$ABM$4,"Часы",INDEX(Техника!$G$1:$ABN$500,AB$2,0),$A$1138,INDEX(Техника!$H$1:$ABO$500,AB$2,0),"П")</f>
        <v>0</v>
      </c>
    </row>
    <row r="1142" spans="1:28" hidden="1" outlineLevel="1" x14ac:dyDescent="0.3">
      <c r="A1142" s="33" t="s">
        <v>243</v>
      </c>
      <c r="B1142" s="34" t="s">
        <v>278</v>
      </c>
      <c r="C1142" s="50">
        <f>SUMIFS(INDEX(Техника!$F$1:$ABM$500,C$2,0),Техника!$F$4:$ABM$4,"Часы",INDEX(Техника!$G$1:$ABN$500,C$2,0),$A$1138,INDEX(Техника!$H$1:$ABO$500,C$2,0),"Л")</f>
        <v>0</v>
      </c>
      <c r="D1142" s="50">
        <f>SUMIFS(INDEX(Техника!$F$1:$ABM$500,D$2,0),Техника!$F$4:$ABM$4,"Часы",INDEX(Техника!$G$1:$ABN$500,D$2,0),$A$1138,INDEX(Техника!$H$1:$ABO$500,D$2,0),"Л")</f>
        <v>0</v>
      </c>
      <c r="E1142" s="50">
        <f>SUMIFS(INDEX(Техника!$F$1:$ABM$500,E$2,0),Техника!$F$4:$ABM$4,"Часы",INDEX(Техника!$G$1:$ABN$500,E$2,0),$A$1138,INDEX(Техника!$H$1:$ABO$500,E$2,0),"Л")</f>
        <v>0</v>
      </c>
      <c r="F1142" s="50">
        <f>SUMIFS(INDEX(Техника!$F$1:$ABM$500,F$2,0),Техника!$F$4:$ABM$4,"Часы",INDEX(Техника!$G$1:$ABN$500,F$2,0),$A$1138,INDEX(Техника!$H$1:$ABO$500,F$2,0),"Л")</f>
        <v>0</v>
      </c>
      <c r="G1142" s="50">
        <f>SUMIFS(INDEX(Техника!$F$1:$ABM$500,G$2,0),Техника!$F$4:$ABM$4,"Часы",INDEX(Техника!$G$1:$ABN$500,G$2,0),$A$1138,INDEX(Техника!$H$1:$ABO$500,G$2,0),"Л")</f>
        <v>0</v>
      </c>
      <c r="H1142" s="50">
        <f>SUMIFS(INDEX(Техника!$F$1:$ABM$500,H$2,0),Техника!$F$4:$ABM$4,"Часы",INDEX(Техника!$G$1:$ABN$500,H$2,0),$A$1138,INDEX(Техника!$H$1:$ABO$500,H$2,0),"Л")</f>
        <v>0</v>
      </c>
      <c r="I1142" s="50">
        <f>SUMIFS(INDEX(Техника!$F$1:$ABM$500,I$2,0),Техника!$F$4:$ABM$4,"Часы",INDEX(Техника!$G$1:$ABN$500,I$2,0),$A$1138,INDEX(Техника!$H$1:$ABO$500,I$2,0),"Л")</f>
        <v>0</v>
      </c>
      <c r="J1142" s="50">
        <f>SUMIFS(INDEX(Техника!$F$1:$ABM$500,J$2,0),Техника!$F$4:$ABM$4,"Часы",INDEX(Техника!$G$1:$ABN$500,J$2,0),$A$1138,INDEX(Техника!$H$1:$ABO$500,J$2,0),"Л")</f>
        <v>0</v>
      </c>
      <c r="K1142" s="50">
        <f>SUMIFS(INDEX(Техника!$F$1:$ABM$500,K$2,0),Техника!$F$4:$ABM$4,"Часы",INDEX(Техника!$G$1:$ABN$500,K$2,0),$A$1138,INDEX(Техника!$H$1:$ABO$500,K$2,0),"Л")</f>
        <v>0</v>
      </c>
      <c r="L1142" s="50">
        <f>SUMIFS(INDEX(Техника!$F$1:$ABM$500,L$2,0),Техника!$F$4:$ABM$4,"Часы",INDEX(Техника!$G$1:$ABN$500,L$2,0),$A$1138,INDEX(Техника!$H$1:$ABO$500,L$2,0),"Л")</f>
        <v>0</v>
      </c>
      <c r="M1142" s="50">
        <f>SUMIFS(INDEX(Техника!$F$1:$ABM$500,M$2,0),Техника!$F$4:$ABM$4,"Часы",INDEX(Техника!$G$1:$ABN$500,M$2,0),$A$1138,INDEX(Техника!$H$1:$ABO$500,M$2,0),"Л")</f>
        <v>0</v>
      </c>
      <c r="N1142" s="50">
        <f>SUMIFS(INDEX(Техника!$F$1:$ABM$500,N$2,0),Техника!$F$4:$ABM$4,"Часы",INDEX(Техника!$G$1:$ABN$500,N$2,0),$A$1138,INDEX(Техника!$H$1:$ABO$500,N$2,0),"Л")</f>
        <v>0</v>
      </c>
      <c r="O1142" s="50">
        <f>SUMIFS(INDEX(Техника!$F$1:$ABM$500,O$2,0),Техника!$F$4:$ABM$4,"Часы",INDEX(Техника!$G$1:$ABN$500,O$2,0),$A$1138,INDEX(Техника!$H$1:$ABO$500,O$2,0),"Л")</f>
        <v>0</v>
      </c>
      <c r="P1142" s="50">
        <f>SUMIFS(INDEX(Техника!$F$1:$ABM$500,P$2,0),Техника!$F$4:$ABM$4,"Часы",INDEX(Техника!$G$1:$ABN$500,P$2,0),$A$1138,INDEX(Техника!$H$1:$ABO$500,P$2,0),"Л")</f>
        <v>0</v>
      </c>
      <c r="Q1142" s="50">
        <f>SUMIFS(INDEX(Техника!$F$1:$ABM$500,Q$2,0),Техника!$F$4:$ABM$4,"Часы",INDEX(Техника!$G$1:$ABN$500,Q$2,0),$A$1138,INDEX(Техника!$H$1:$ABO$500,Q$2,0),"Л")</f>
        <v>0</v>
      </c>
      <c r="R1142" s="50">
        <f>SUMIFS(INDEX(Техника!$F$1:$ABM$500,R$2,0),Техника!$F$4:$ABM$4,"Часы",INDEX(Техника!$G$1:$ABN$500,R$2,0),$A$1138,INDEX(Техника!$H$1:$ABO$500,R$2,0),"Л")</f>
        <v>0</v>
      </c>
      <c r="S1142" s="50">
        <f>SUMIFS(INDEX(Техника!$F$1:$ABM$500,S$2,0),Техника!$F$4:$ABM$4,"Часы",INDEX(Техника!$G$1:$ABN$500,S$2,0),$A$1138,INDEX(Техника!$H$1:$ABO$500,S$2,0),"Л")</f>
        <v>0</v>
      </c>
      <c r="T1142" s="50">
        <f>SUMIFS(INDEX(Техника!$F$1:$ABM$500,T$2,0),Техника!$F$4:$ABM$4,"Часы",INDEX(Техника!$G$1:$ABN$500,T$2,0),$A$1138,INDEX(Техника!$H$1:$ABO$500,T$2,0),"Л")</f>
        <v>0</v>
      </c>
      <c r="U1142" s="50">
        <f>SUMIFS(INDEX(Техника!$F$1:$ABM$500,U$2,0),Техника!$F$4:$ABM$4,"Часы",INDEX(Техника!$G$1:$ABN$500,U$2,0),$A$1138,INDEX(Техника!$H$1:$ABO$500,U$2,0),"Л")</f>
        <v>0</v>
      </c>
      <c r="V1142" s="50">
        <f>SUMIFS(INDEX(Техника!$F$1:$ABM$500,V$2,0),Техника!$F$4:$ABM$4,"Часы",INDEX(Техника!$G$1:$ABN$500,V$2,0),$A$1138,INDEX(Техника!$H$1:$ABO$500,V$2,0),"Л")</f>
        <v>0</v>
      </c>
      <c r="W1142" s="50">
        <f>SUMIFS(INDEX(Техника!$F$1:$ABM$500,W$2,0),Техника!$F$4:$ABM$4,"Часы",INDEX(Техника!$G$1:$ABN$500,W$2,0),$A$1138,INDEX(Техника!$H$1:$ABO$500,W$2,0),"Л")</f>
        <v>0</v>
      </c>
      <c r="X1142" s="50">
        <f>SUMIFS(INDEX(Техника!$F$1:$ABM$500,X$2,0),Техника!$F$4:$ABM$4,"Часы",INDEX(Техника!$G$1:$ABN$500,X$2,0),$A$1138,INDEX(Техника!$H$1:$ABO$500,X$2,0),"Л")</f>
        <v>0</v>
      </c>
      <c r="Y1142" s="50">
        <f>SUMIFS(INDEX(Техника!$F$1:$ABM$500,Y$2,0),Техника!$F$4:$ABM$4,"Часы",INDEX(Техника!$G$1:$ABN$500,Y$2,0),$A$1138,INDEX(Техника!$H$1:$ABO$500,Y$2,0),"Л")</f>
        <v>0</v>
      </c>
      <c r="Z1142" s="50">
        <f>SUMIFS(INDEX(Техника!$F$1:$ABM$500,Z$2,0),Техника!$F$4:$ABM$4,"Часы",INDEX(Техника!$G$1:$ABN$500,Z$2,0),$A$1138,INDEX(Техника!$H$1:$ABO$500,Z$2,0),"Л")</f>
        <v>0</v>
      </c>
      <c r="AA1142" s="50">
        <f>SUMIFS(INDEX(Техника!$F$1:$ABM$500,AA$2,0),Техника!$F$4:$ABM$4,"Часы",INDEX(Техника!$G$1:$ABN$500,AA$2,0),$A$1138,INDEX(Техника!$H$1:$ABO$500,AA$2,0),"Л")</f>
        <v>0</v>
      </c>
      <c r="AB1142" s="50">
        <f>SUMIFS(INDEX(Техника!$F$1:$ABM$500,AB$2,0),Техника!$F$4:$ABM$4,"Часы",INDEX(Техника!$G$1:$ABN$500,AB$2,0),$A$1138,INDEX(Техника!$H$1:$ABO$500,AB$2,0),"Л")</f>
        <v>0</v>
      </c>
    </row>
    <row r="1143" spans="1:28" hidden="1" outlineLevel="1" x14ac:dyDescent="0.3">
      <c r="A1143" s="33" t="s">
        <v>245</v>
      </c>
      <c r="B1143" s="34" t="s">
        <v>279</v>
      </c>
      <c r="C1143" s="50">
        <f>SUMIFS(INDEX(Техника!$F$1:$ABM$500,C$2,0),Техника!$F$4:$ABM$4,"Часы",INDEX(Техника!$G$1:$ABN$500,C$2,0),$A$1138,INDEX(Техника!$H$1:$ABO$500,C$2,0),"З")</f>
        <v>0</v>
      </c>
      <c r="D1143" s="50">
        <f>SUMIFS(INDEX(Техника!$F$1:$ABM$500,D$2,0),Техника!$F$4:$ABM$4,"Часы",INDEX(Техника!$G$1:$ABN$500,D$2,0),$A$1138,INDEX(Техника!$H$1:$ABO$500,D$2,0),"З")</f>
        <v>0</v>
      </c>
      <c r="E1143" s="50">
        <f>SUMIFS(INDEX(Техника!$F$1:$ABM$500,E$2,0),Техника!$F$4:$ABM$4,"Часы",INDEX(Техника!$G$1:$ABN$500,E$2,0),$A$1138,INDEX(Техника!$H$1:$ABO$500,E$2,0),"З")</f>
        <v>0</v>
      </c>
      <c r="F1143" s="50">
        <f>SUMIFS(INDEX(Техника!$F$1:$ABM$500,F$2,0),Техника!$F$4:$ABM$4,"Часы",INDEX(Техника!$G$1:$ABN$500,F$2,0),$A$1138,INDEX(Техника!$H$1:$ABO$500,F$2,0),"З")</f>
        <v>0</v>
      </c>
      <c r="G1143" s="50">
        <f>SUMIFS(INDEX(Техника!$F$1:$ABM$500,G$2,0),Техника!$F$4:$ABM$4,"Часы",INDEX(Техника!$G$1:$ABN$500,G$2,0),$A$1138,INDEX(Техника!$H$1:$ABO$500,G$2,0),"З")</f>
        <v>0</v>
      </c>
      <c r="H1143" s="50">
        <f>SUMIFS(INDEX(Техника!$F$1:$ABM$500,H$2,0),Техника!$F$4:$ABM$4,"Часы",INDEX(Техника!$G$1:$ABN$500,H$2,0),$A$1138,INDEX(Техника!$H$1:$ABO$500,H$2,0),"З")</f>
        <v>0</v>
      </c>
      <c r="I1143" s="50">
        <f>SUMIFS(INDEX(Техника!$F$1:$ABM$500,I$2,0),Техника!$F$4:$ABM$4,"Часы",INDEX(Техника!$G$1:$ABN$500,I$2,0),$A$1138,INDEX(Техника!$H$1:$ABO$500,I$2,0),"З")</f>
        <v>0</v>
      </c>
      <c r="J1143" s="50">
        <f>SUMIFS(INDEX(Техника!$F$1:$ABM$500,J$2,0),Техника!$F$4:$ABM$4,"Часы",INDEX(Техника!$G$1:$ABN$500,J$2,0),$A$1138,INDEX(Техника!$H$1:$ABO$500,J$2,0),"З")</f>
        <v>0</v>
      </c>
      <c r="K1143" s="50">
        <f>SUMIFS(INDEX(Техника!$F$1:$ABM$500,K$2,0),Техника!$F$4:$ABM$4,"Часы",INDEX(Техника!$G$1:$ABN$500,K$2,0),$A$1138,INDEX(Техника!$H$1:$ABO$500,K$2,0),"З")</f>
        <v>0</v>
      </c>
      <c r="L1143" s="50">
        <f>SUMIFS(INDEX(Техника!$F$1:$ABM$500,L$2,0),Техника!$F$4:$ABM$4,"Часы",INDEX(Техника!$G$1:$ABN$500,L$2,0),$A$1138,INDEX(Техника!$H$1:$ABO$500,L$2,0),"З")</f>
        <v>0</v>
      </c>
      <c r="M1143" s="50">
        <f>SUMIFS(INDEX(Техника!$F$1:$ABM$500,M$2,0),Техника!$F$4:$ABM$4,"Часы",INDEX(Техника!$G$1:$ABN$500,M$2,0),$A$1138,INDEX(Техника!$H$1:$ABO$500,M$2,0),"З")</f>
        <v>0</v>
      </c>
      <c r="N1143" s="50">
        <f>SUMIFS(INDEX(Техника!$F$1:$ABM$500,N$2,0),Техника!$F$4:$ABM$4,"Часы",INDEX(Техника!$G$1:$ABN$500,N$2,0),$A$1138,INDEX(Техника!$H$1:$ABO$500,N$2,0),"З")</f>
        <v>0</v>
      </c>
      <c r="O1143" s="50">
        <f>SUMIFS(INDEX(Техника!$F$1:$ABM$500,O$2,0),Техника!$F$4:$ABM$4,"Часы",INDEX(Техника!$G$1:$ABN$500,O$2,0),$A$1138,INDEX(Техника!$H$1:$ABO$500,O$2,0),"З")</f>
        <v>0</v>
      </c>
      <c r="P1143" s="50">
        <f>SUMIFS(INDEX(Техника!$F$1:$ABM$500,P$2,0),Техника!$F$4:$ABM$4,"Часы",INDEX(Техника!$G$1:$ABN$500,P$2,0),$A$1138,INDEX(Техника!$H$1:$ABO$500,P$2,0),"З")</f>
        <v>0</v>
      </c>
      <c r="Q1143" s="50">
        <f>SUMIFS(INDEX(Техника!$F$1:$ABM$500,Q$2,0),Техника!$F$4:$ABM$4,"Часы",INDEX(Техника!$G$1:$ABN$500,Q$2,0),$A$1138,INDEX(Техника!$H$1:$ABO$500,Q$2,0),"З")</f>
        <v>0</v>
      </c>
      <c r="R1143" s="50">
        <f>SUMIFS(INDEX(Техника!$F$1:$ABM$500,R$2,0),Техника!$F$4:$ABM$4,"Часы",INDEX(Техника!$G$1:$ABN$500,R$2,0),$A$1138,INDEX(Техника!$H$1:$ABO$500,R$2,0),"З")</f>
        <v>0</v>
      </c>
      <c r="S1143" s="50">
        <f>SUMIFS(INDEX(Техника!$F$1:$ABM$500,S$2,0),Техника!$F$4:$ABM$4,"Часы",INDEX(Техника!$G$1:$ABN$500,S$2,0),$A$1138,INDEX(Техника!$H$1:$ABO$500,S$2,0),"З")</f>
        <v>0</v>
      </c>
      <c r="T1143" s="50">
        <f>SUMIFS(INDEX(Техника!$F$1:$ABM$500,T$2,0),Техника!$F$4:$ABM$4,"Часы",INDEX(Техника!$G$1:$ABN$500,T$2,0),$A$1138,INDEX(Техника!$H$1:$ABO$500,T$2,0),"З")</f>
        <v>0</v>
      </c>
      <c r="U1143" s="50">
        <f>SUMIFS(INDEX(Техника!$F$1:$ABM$500,U$2,0),Техника!$F$4:$ABM$4,"Часы",INDEX(Техника!$G$1:$ABN$500,U$2,0),$A$1138,INDEX(Техника!$H$1:$ABO$500,U$2,0),"З")</f>
        <v>0</v>
      </c>
      <c r="V1143" s="50">
        <f>SUMIFS(INDEX(Техника!$F$1:$ABM$500,V$2,0),Техника!$F$4:$ABM$4,"Часы",INDEX(Техника!$G$1:$ABN$500,V$2,0),$A$1138,INDEX(Техника!$H$1:$ABO$500,V$2,0),"З")</f>
        <v>0</v>
      </c>
      <c r="W1143" s="50">
        <f>SUMIFS(INDEX(Техника!$F$1:$ABM$500,W$2,0),Техника!$F$4:$ABM$4,"Часы",INDEX(Техника!$G$1:$ABN$500,W$2,0),$A$1138,INDEX(Техника!$H$1:$ABO$500,W$2,0),"З")</f>
        <v>0</v>
      </c>
      <c r="X1143" s="50">
        <f>SUMIFS(INDEX(Техника!$F$1:$ABM$500,X$2,0),Техника!$F$4:$ABM$4,"Часы",INDEX(Техника!$G$1:$ABN$500,X$2,0),$A$1138,INDEX(Техника!$H$1:$ABO$500,X$2,0),"З")</f>
        <v>0</v>
      </c>
      <c r="Y1143" s="50">
        <f>SUMIFS(INDEX(Техника!$F$1:$ABM$500,Y$2,0),Техника!$F$4:$ABM$4,"Часы",INDEX(Техника!$G$1:$ABN$500,Y$2,0),$A$1138,INDEX(Техника!$H$1:$ABO$500,Y$2,0),"З")</f>
        <v>0</v>
      </c>
      <c r="Z1143" s="50">
        <f>SUMIFS(INDEX(Техника!$F$1:$ABM$500,Z$2,0),Техника!$F$4:$ABM$4,"Часы",INDEX(Техника!$G$1:$ABN$500,Z$2,0),$A$1138,INDEX(Техника!$H$1:$ABO$500,Z$2,0),"З")</f>
        <v>0</v>
      </c>
      <c r="AA1143" s="50">
        <f>SUMIFS(INDEX(Техника!$F$1:$ABM$500,AA$2,0),Техника!$F$4:$ABM$4,"Часы",INDEX(Техника!$G$1:$ABN$500,AA$2,0),$A$1138,INDEX(Техника!$H$1:$ABO$500,AA$2,0),"З")</f>
        <v>0</v>
      </c>
      <c r="AB1143" s="50">
        <f>SUMIFS(INDEX(Техника!$F$1:$ABM$500,AB$2,0),Техника!$F$4:$ABM$4,"Часы",INDEX(Техника!$G$1:$ABN$500,AB$2,0),$A$1138,INDEX(Техника!$H$1:$ABO$500,AB$2,0),"З")</f>
        <v>0</v>
      </c>
    </row>
    <row r="1144" spans="1:28" ht="7.95" customHeight="1" x14ac:dyDescent="0.3">
      <c r="A1144" s="38"/>
      <c r="B1144" s="39"/>
      <c r="C1144" s="51"/>
      <c r="D1144" s="51"/>
      <c r="E1144" s="51"/>
      <c r="F1144" s="51"/>
      <c r="G1144" s="51"/>
      <c r="H1144" s="51"/>
      <c r="I1144" s="51"/>
      <c r="J1144" s="51"/>
      <c r="K1144" s="51"/>
      <c r="L1144" s="51"/>
      <c r="M1144" s="51"/>
      <c r="N1144" s="51"/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  <c r="AA1144" s="51"/>
      <c r="AB1144" s="51"/>
    </row>
    <row r="1145" spans="1:28" ht="25.05" customHeight="1" collapsed="1" x14ac:dyDescent="0.3">
      <c r="A1145" s="32">
        <v>164</v>
      </c>
      <c r="B1145" s="32" t="s">
        <v>165</v>
      </c>
      <c r="C1145" s="49">
        <f>SUM(C1146:C1150)</f>
        <v>0</v>
      </c>
      <c r="D1145" s="49">
        <f>SUM(D1146:D1150)</f>
        <v>0</v>
      </c>
      <c r="E1145" s="49">
        <f>SUM(E1146:E1150)</f>
        <v>0</v>
      </c>
      <c r="F1145" s="49">
        <f>SUM(F1146:F1150)</f>
        <v>0</v>
      </c>
      <c r="G1145" s="49">
        <f>SUM(G1146:G1150)</f>
        <v>0</v>
      </c>
      <c r="H1145" s="49">
        <f>SUM(H1146:H1150)</f>
        <v>0</v>
      </c>
      <c r="I1145" s="49">
        <f>SUM(I1146:I1150)</f>
        <v>0</v>
      </c>
      <c r="J1145" s="49">
        <f>SUM(J1146:J1150)</f>
        <v>0</v>
      </c>
      <c r="K1145" s="49">
        <f>SUM(K1146:K1150)</f>
        <v>0</v>
      </c>
      <c r="L1145" s="49">
        <f>SUM(L1146:L1150)</f>
        <v>0</v>
      </c>
      <c r="M1145" s="49">
        <f>SUM(M1146:M1150)</f>
        <v>0</v>
      </c>
      <c r="N1145" s="49">
        <f>SUM(N1146:N1150)</f>
        <v>0</v>
      </c>
      <c r="O1145" s="49">
        <f>SUM(O1146:O1150)</f>
        <v>0</v>
      </c>
      <c r="P1145" s="49">
        <f>SUM(P1146:P1150)</f>
        <v>0</v>
      </c>
      <c r="Q1145" s="49">
        <f>SUM(Q1146:Q1150)</f>
        <v>0</v>
      </c>
      <c r="R1145" s="49">
        <f>SUM(R1146:R1150)</f>
        <v>0</v>
      </c>
      <c r="S1145" s="49">
        <f>SUM(S1146:S1150)</f>
        <v>0</v>
      </c>
      <c r="T1145" s="49">
        <f>SUM(T1146:T1150)</f>
        <v>0</v>
      </c>
      <c r="U1145" s="49">
        <f>SUM(U1146:U1150)</f>
        <v>0</v>
      </c>
      <c r="V1145" s="49">
        <f>SUM(V1146:V1150)</f>
        <v>0</v>
      </c>
      <c r="W1145" s="49">
        <f>SUM(W1146:W1150)</f>
        <v>0</v>
      </c>
      <c r="X1145" s="49">
        <f>SUM(X1146:X1150)</f>
        <v>0</v>
      </c>
      <c r="Y1145" s="49">
        <f>SUM(Y1146:Y1150)</f>
        <v>0</v>
      </c>
      <c r="Z1145" s="49">
        <f>SUM(Z1146:Z1150)</f>
        <v>0</v>
      </c>
      <c r="AA1145" s="49">
        <f>SUM(AA1146:AA1150)</f>
        <v>0</v>
      </c>
      <c r="AB1145" s="49">
        <f>SUM(AB1146:AB1150)</f>
        <v>0</v>
      </c>
    </row>
    <row r="1146" spans="1:28" hidden="1" outlineLevel="1" x14ac:dyDescent="0.3">
      <c r="A1146" s="33" t="s">
        <v>246</v>
      </c>
      <c r="B1146" s="34" t="s">
        <v>274</v>
      </c>
      <c r="C1146" s="50">
        <f>SUMIFS(INDEX(Техника!$F$1:$ABM$500,C$2,0),Техника!$F$4:$ABM$4,"Часы",INDEX(Техника!$G$1:$ABN$500,C$2,0),$A$1145,INDEX(Техника!$H$1:$ABO$500,C$2,0),"М")</f>
        <v>0</v>
      </c>
      <c r="D1146" s="50">
        <f>SUMIFS(INDEX(Техника!$F$1:$ABM$500,D$2,0),Техника!$F$4:$ABM$4,"Часы",INDEX(Техника!$G$1:$ABN$500,D$2,0),$A$1145,INDEX(Техника!$H$1:$ABO$500,D$2,0),"М")</f>
        <v>0</v>
      </c>
      <c r="E1146" s="50">
        <f>SUMIFS(INDEX(Техника!$F$1:$ABM$500,E$2,0),Техника!$F$4:$ABM$4,"Часы",INDEX(Техника!$G$1:$ABN$500,E$2,0),$A$1145,INDEX(Техника!$H$1:$ABO$500,E$2,0),"М")</f>
        <v>0</v>
      </c>
      <c r="F1146" s="50">
        <f>SUMIFS(INDEX(Техника!$F$1:$ABM$500,F$2,0),Техника!$F$4:$ABM$4,"Часы",INDEX(Техника!$G$1:$ABN$500,F$2,0),$A$1145,INDEX(Техника!$H$1:$ABO$500,F$2,0),"М")</f>
        <v>0</v>
      </c>
      <c r="G1146" s="50">
        <f>SUMIFS(INDEX(Техника!$F$1:$ABM$500,G$2,0),Техника!$F$4:$ABM$4,"Часы",INDEX(Техника!$G$1:$ABN$500,G$2,0),$A$1145,INDEX(Техника!$H$1:$ABO$500,G$2,0),"М")</f>
        <v>0</v>
      </c>
      <c r="H1146" s="50">
        <f>SUMIFS(INDEX(Техника!$F$1:$ABM$500,H$2,0),Техника!$F$4:$ABM$4,"Часы",INDEX(Техника!$G$1:$ABN$500,H$2,0),$A$1145,INDEX(Техника!$H$1:$ABO$500,H$2,0),"М")</f>
        <v>0</v>
      </c>
      <c r="I1146" s="50">
        <f>SUMIFS(INDEX(Техника!$F$1:$ABM$500,I$2,0),Техника!$F$4:$ABM$4,"Часы",INDEX(Техника!$G$1:$ABN$500,I$2,0),$A$1145,INDEX(Техника!$H$1:$ABO$500,I$2,0),"М")</f>
        <v>0</v>
      </c>
      <c r="J1146" s="50">
        <f>SUMIFS(INDEX(Техника!$F$1:$ABM$500,J$2,0),Техника!$F$4:$ABM$4,"Часы",INDEX(Техника!$G$1:$ABN$500,J$2,0),$A$1145,INDEX(Техника!$H$1:$ABO$500,J$2,0),"М")</f>
        <v>0</v>
      </c>
      <c r="K1146" s="50">
        <f>SUMIFS(INDEX(Техника!$F$1:$ABM$500,K$2,0),Техника!$F$4:$ABM$4,"Часы",INDEX(Техника!$G$1:$ABN$500,K$2,0),$A$1145,INDEX(Техника!$H$1:$ABO$500,K$2,0),"М")</f>
        <v>0</v>
      </c>
      <c r="L1146" s="50">
        <f>SUMIFS(INDEX(Техника!$F$1:$ABM$500,L$2,0),Техника!$F$4:$ABM$4,"Часы",INDEX(Техника!$G$1:$ABN$500,L$2,0),$A$1145,INDEX(Техника!$H$1:$ABO$500,L$2,0),"М")</f>
        <v>0</v>
      </c>
      <c r="M1146" s="50">
        <f>SUMIFS(INDEX(Техника!$F$1:$ABM$500,M$2,0),Техника!$F$4:$ABM$4,"Часы",INDEX(Техника!$G$1:$ABN$500,M$2,0),$A$1145,INDEX(Техника!$H$1:$ABO$500,M$2,0),"М")</f>
        <v>0</v>
      </c>
      <c r="N1146" s="50">
        <f>SUMIFS(INDEX(Техника!$F$1:$ABM$500,N$2,0),Техника!$F$4:$ABM$4,"Часы",INDEX(Техника!$G$1:$ABN$500,N$2,0),$A$1145,INDEX(Техника!$H$1:$ABO$500,N$2,0),"М")</f>
        <v>0</v>
      </c>
      <c r="O1146" s="50">
        <f>SUMIFS(INDEX(Техника!$F$1:$ABM$500,O$2,0),Техника!$F$4:$ABM$4,"Часы",INDEX(Техника!$G$1:$ABN$500,O$2,0),$A$1145,INDEX(Техника!$H$1:$ABO$500,O$2,0),"М")</f>
        <v>0</v>
      </c>
      <c r="P1146" s="50">
        <f>SUMIFS(INDEX(Техника!$F$1:$ABM$500,P$2,0),Техника!$F$4:$ABM$4,"Часы",INDEX(Техника!$G$1:$ABN$500,P$2,0),$A$1145,INDEX(Техника!$H$1:$ABO$500,P$2,0),"М")</f>
        <v>0</v>
      </c>
      <c r="Q1146" s="50">
        <f>SUMIFS(INDEX(Техника!$F$1:$ABM$500,Q$2,0),Техника!$F$4:$ABM$4,"Часы",INDEX(Техника!$G$1:$ABN$500,Q$2,0),$A$1145,INDEX(Техника!$H$1:$ABO$500,Q$2,0),"М")</f>
        <v>0</v>
      </c>
      <c r="R1146" s="50">
        <f>SUMIFS(INDEX(Техника!$F$1:$ABM$500,R$2,0),Техника!$F$4:$ABM$4,"Часы",INDEX(Техника!$G$1:$ABN$500,R$2,0),$A$1145,INDEX(Техника!$H$1:$ABO$500,R$2,0),"М")</f>
        <v>0</v>
      </c>
      <c r="S1146" s="50">
        <f>SUMIFS(INDEX(Техника!$F$1:$ABM$500,S$2,0),Техника!$F$4:$ABM$4,"Часы",INDEX(Техника!$G$1:$ABN$500,S$2,0),$A$1145,INDEX(Техника!$H$1:$ABO$500,S$2,0),"М")</f>
        <v>0</v>
      </c>
      <c r="T1146" s="50">
        <f>SUMIFS(INDEX(Техника!$F$1:$ABM$500,T$2,0),Техника!$F$4:$ABM$4,"Часы",INDEX(Техника!$G$1:$ABN$500,T$2,0),$A$1145,INDEX(Техника!$H$1:$ABO$500,T$2,0),"М")</f>
        <v>0</v>
      </c>
      <c r="U1146" s="50">
        <f>SUMIFS(INDEX(Техника!$F$1:$ABM$500,U$2,0),Техника!$F$4:$ABM$4,"Часы",INDEX(Техника!$G$1:$ABN$500,U$2,0),$A$1145,INDEX(Техника!$H$1:$ABO$500,U$2,0),"М")</f>
        <v>0</v>
      </c>
      <c r="V1146" s="50">
        <f>SUMIFS(INDEX(Техника!$F$1:$ABM$500,V$2,0),Техника!$F$4:$ABM$4,"Часы",INDEX(Техника!$G$1:$ABN$500,V$2,0),$A$1145,INDEX(Техника!$H$1:$ABO$500,V$2,0),"М")</f>
        <v>0</v>
      </c>
      <c r="W1146" s="50">
        <f>SUMIFS(INDEX(Техника!$F$1:$ABM$500,W$2,0),Техника!$F$4:$ABM$4,"Часы",INDEX(Техника!$G$1:$ABN$500,W$2,0),$A$1145,INDEX(Техника!$H$1:$ABO$500,W$2,0),"М")</f>
        <v>0</v>
      </c>
      <c r="X1146" s="50">
        <f>SUMIFS(INDEX(Техника!$F$1:$ABM$500,X$2,0),Техника!$F$4:$ABM$4,"Часы",INDEX(Техника!$G$1:$ABN$500,X$2,0),$A$1145,INDEX(Техника!$H$1:$ABO$500,X$2,0),"М")</f>
        <v>0</v>
      </c>
      <c r="Y1146" s="50">
        <f>SUMIFS(INDEX(Техника!$F$1:$ABM$500,Y$2,0),Техника!$F$4:$ABM$4,"Часы",INDEX(Техника!$G$1:$ABN$500,Y$2,0),$A$1145,INDEX(Техника!$H$1:$ABO$500,Y$2,0),"М")</f>
        <v>0</v>
      </c>
      <c r="Z1146" s="50">
        <f>SUMIFS(INDEX(Техника!$F$1:$ABM$500,Z$2,0),Техника!$F$4:$ABM$4,"Часы",INDEX(Техника!$G$1:$ABN$500,Z$2,0),$A$1145,INDEX(Техника!$H$1:$ABO$500,Z$2,0),"М")</f>
        <v>0</v>
      </c>
      <c r="AA1146" s="50">
        <f>SUMIFS(INDEX(Техника!$F$1:$ABM$500,AA$2,0),Техника!$F$4:$ABM$4,"Часы",INDEX(Техника!$G$1:$ABN$500,AA$2,0),$A$1145,INDEX(Техника!$H$1:$ABO$500,AA$2,0),"М")</f>
        <v>0</v>
      </c>
      <c r="AB1146" s="50">
        <f>SUMIFS(INDEX(Техника!$F$1:$ABM$500,AB$2,0),Техника!$F$4:$ABM$4,"Часы",INDEX(Техника!$G$1:$ABN$500,AB$2,0),$A$1145,INDEX(Техника!$H$1:$ABO$500,AB$2,0),"М")</f>
        <v>0</v>
      </c>
    </row>
    <row r="1147" spans="1:28" hidden="1" outlineLevel="1" x14ac:dyDescent="0.3">
      <c r="A1147" s="33" t="s">
        <v>244</v>
      </c>
      <c r="B1147" s="34" t="s">
        <v>275</v>
      </c>
      <c r="C1147" s="50">
        <f>SUMIFS(INDEX(Техника!$F$1:$ABM$500,C$2,0),Техника!$F$4:$ABM$4,"Часы",INDEX(Техника!$G$1:$ABN$500,C$2,0),$A$1145,INDEX(Техника!$H$1:$ABO$500,C$2,0),"Д")</f>
        <v>0</v>
      </c>
      <c r="D1147" s="50">
        <f>SUMIFS(INDEX(Техника!$F$1:$ABM$500,D$2,0),Техника!$F$4:$ABM$4,"Часы",INDEX(Техника!$G$1:$ABN$500,D$2,0),$A$1145,INDEX(Техника!$H$1:$ABO$500,D$2,0),"Д")</f>
        <v>0</v>
      </c>
      <c r="E1147" s="50">
        <f>SUMIFS(INDEX(Техника!$F$1:$ABM$500,E$2,0),Техника!$F$4:$ABM$4,"Часы",INDEX(Техника!$G$1:$ABN$500,E$2,0),$A$1145,INDEX(Техника!$H$1:$ABO$500,E$2,0),"Д")</f>
        <v>0</v>
      </c>
      <c r="F1147" s="50">
        <f>SUMIFS(INDEX(Техника!$F$1:$ABM$500,F$2,0),Техника!$F$4:$ABM$4,"Часы",INDEX(Техника!$G$1:$ABN$500,F$2,0),$A$1145,INDEX(Техника!$H$1:$ABO$500,F$2,0),"Д")</f>
        <v>0</v>
      </c>
      <c r="G1147" s="50">
        <f>SUMIFS(INDEX(Техника!$F$1:$ABM$500,G$2,0),Техника!$F$4:$ABM$4,"Часы",INDEX(Техника!$G$1:$ABN$500,G$2,0),$A$1145,INDEX(Техника!$H$1:$ABO$500,G$2,0),"Д")</f>
        <v>0</v>
      </c>
      <c r="H1147" s="50">
        <f>SUMIFS(INDEX(Техника!$F$1:$ABM$500,H$2,0),Техника!$F$4:$ABM$4,"Часы",INDEX(Техника!$G$1:$ABN$500,H$2,0),$A$1145,INDEX(Техника!$H$1:$ABO$500,H$2,0),"Д")</f>
        <v>0</v>
      </c>
      <c r="I1147" s="50">
        <f>SUMIFS(INDEX(Техника!$F$1:$ABM$500,I$2,0),Техника!$F$4:$ABM$4,"Часы",INDEX(Техника!$G$1:$ABN$500,I$2,0),$A$1145,INDEX(Техника!$H$1:$ABO$500,I$2,0),"Д")</f>
        <v>0</v>
      </c>
      <c r="J1147" s="50">
        <f>SUMIFS(INDEX(Техника!$F$1:$ABM$500,J$2,0),Техника!$F$4:$ABM$4,"Часы",INDEX(Техника!$G$1:$ABN$500,J$2,0),$A$1145,INDEX(Техника!$H$1:$ABO$500,J$2,0),"Д")</f>
        <v>0</v>
      </c>
      <c r="K1147" s="50">
        <f>SUMIFS(INDEX(Техника!$F$1:$ABM$500,K$2,0),Техника!$F$4:$ABM$4,"Часы",INDEX(Техника!$G$1:$ABN$500,K$2,0),$A$1145,INDEX(Техника!$H$1:$ABO$500,K$2,0),"Д")</f>
        <v>0</v>
      </c>
      <c r="L1147" s="50">
        <f>SUMIFS(INDEX(Техника!$F$1:$ABM$500,L$2,0),Техника!$F$4:$ABM$4,"Часы",INDEX(Техника!$G$1:$ABN$500,L$2,0),$A$1145,INDEX(Техника!$H$1:$ABO$500,L$2,0),"Д")</f>
        <v>0</v>
      </c>
      <c r="M1147" s="50">
        <f>SUMIFS(INDEX(Техника!$F$1:$ABM$500,M$2,0),Техника!$F$4:$ABM$4,"Часы",INDEX(Техника!$G$1:$ABN$500,M$2,0),$A$1145,INDEX(Техника!$H$1:$ABO$500,M$2,0),"Д")</f>
        <v>0</v>
      </c>
      <c r="N1147" s="50">
        <f>SUMIFS(INDEX(Техника!$F$1:$ABM$500,N$2,0),Техника!$F$4:$ABM$4,"Часы",INDEX(Техника!$G$1:$ABN$500,N$2,0),$A$1145,INDEX(Техника!$H$1:$ABO$500,N$2,0),"Д")</f>
        <v>0</v>
      </c>
      <c r="O1147" s="50">
        <f>SUMIFS(INDEX(Техника!$F$1:$ABM$500,O$2,0),Техника!$F$4:$ABM$4,"Часы",INDEX(Техника!$G$1:$ABN$500,O$2,0),$A$1145,INDEX(Техника!$H$1:$ABO$500,O$2,0),"Д")</f>
        <v>0</v>
      </c>
      <c r="P1147" s="50">
        <f>SUMIFS(INDEX(Техника!$F$1:$ABM$500,P$2,0),Техника!$F$4:$ABM$4,"Часы",INDEX(Техника!$G$1:$ABN$500,P$2,0),$A$1145,INDEX(Техника!$H$1:$ABO$500,P$2,0),"Д")</f>
        <v>0</v>
      </c>
      <c r="Q1147" s="50">
        <f>SUMIFS(INDEX(Техника!$F$1:$ABM$500,Q$2,0),Техника!$F$4:$ABM$4,"Часы",INDEX(Техника!$G$1:$ABN$500,Q$2,0),$A$1145,INDEX(Техника!$H$1:$ABO$500,Q$2,0),"Д")</f>
        <v>0</v>
      </c>
      <c r="R1147" s="50">
        <f>SUMIFS(INDEX(Техника!$F$1:$ABM$500,R$2,0),Техника!$F$4:$ABM$4,"Часы",INDEX(Техника!$G$1:$ABN$500,R$2,0),$A$1145,INDEX(Техника!$H$1:$ABO$500,R$2,0),"Д")</f>
        <v>0</v>
      </c>
      <c r="S1147" s="50">
        <f>SUMIFS(INDEX(Техника!$F$1:$ABM$500,S$2,0),Техника!$F$4:$ABM$4,"Часы",INDEX(Техника!$G$1:$ABN$500,S$2,0),$A$1145,INDEX(Техника!$H$1:$ABO$500,S$2,0),"Д")</f>
        <v>0</v>
      </c>
      <c r="T1147" s="50">
        <f>SUMIFS(INDEX(Техника!$F$1:$ABM$500,T$2,0),Техника!$F$4:$ABM$4,"Часы",INDEX(Техника!$G$1:$ABN$500,T$2,0),$A$1145,INDEX(Техника!$H$1:$ABO$500,T$2,0),"Д")</f>
        <v>0</v>
      </c>
      <c r="U1147" s="50">
        <f>SUMIFS(INDEX(Техника!$F$1:$ABM$500,U$2,0),Техника!$F$4:$ABM$4,"Часы",INDEX(Техника!$G$1:$ABN$500,U$2,0),$A$1145,INDEX(Техника!$H$1:$ABO$500,U$2,0),"Д")</f>
        <v>0</v>
      </c>
      <c r="V1147" s="50">
        <f>SUMIFS(INDEX(Техника!$F$1:$ABM$500,V$2,0),Техника!$F$4:$ABM$4,"Часы",INDEX(Техника!$G$1:$ABN$500,V$2,0),$A$1145,INDEX(Техника!$H$1:$ABO$500,V$2,0),"Д")</f>
        <v>0</v>
      </c>
      <c r="W1147" s="50">
        <f>SUMIFS(INDEX(Техника!$F$1:$ABM$500,W$2,0),Техника!$F$4:$ABM$4,"Часы",INDEX(Техника!$G$1:$ABN$500,W$2,0),$A$1145,INDEX(Техника!$H$1:$ABO$500,W$2,0),"Д")</f>
        <v>0</v>
      </c>
      <c r="X1147" s="50">
        <f>SUMIFS(INDEX(Техника!$F$1:$ABM$500,X$2,0),Техника!$F$4:$ABM$4,"Часы",INDEX(Техника!$G$1:$ABN$500,X$2,0),$A$1145,INDEX(Техника!$H$1:$ABO$500,X$2,0),"Д")</f>
        <v>0</v>
      </c>
      <c r="Y1147" s="50">
        <f>SUMIFS(INDEX(Техника!$F$1:$ABM$500,Y$2,0),Техника!$F$4:$ABM$4,"Часы",INDEX(Техника!$G$1:$ABN$500,Y$2,0),$A$1145,INDEX(Техника!$H$1:$ABO$500,Y$2,0),"Д")</f>
        <v>0</v>
      </c>
      <c r="Z1147" s="50">
        <f>SUMIFS(INDEX(Техника!$F$1:$ABM$500,Z$2,0),Техника!$F$4:$ABM$4,"Часы",INDEX(Техника!$G$1:$ABN$500,Z$2,0),$A$1145,INDEX(Техника!$H$1:$ABO$500,Z$2,0),"Д")</f>
        <v>0</v>
      </c>
      <c r="AA1147" s="50">
        <f>SUMIFS(INDEX(Техника!$F$1:$ABM$500,AA$2,0),Техника!$F$4:$ABM$4,"Часы",INDEX(Техника!$G$1:$ABN$500,AA$2,0),$A$1145,INDEX(Техника!$H$1:$ABO$500,AA$2,0),"Д")</f>
        <v>0</v>
      </c>
      <c r="AB1147" s="50">
        <f>SUMIFS(INDEX(Техника!$F$1:$ABM$500,AB$2,0),Техника!$F$4:$ABM$4,"Часы",INDEX(Техника!$G$1:$ABN$500,AB$2,0),$A$1145,INDEX(Техника!$H$1:$ABO$500,AB$2,0),"Д")</f>
        <v>0</v>
      </c>
    </row>
    <row r="1148" spans="1:28" hidden="1" outlineLevel="1" x14ac:dyDescent="0.3">
      <c r="A1148" s="33" t="s">
        <v>276</v>
      </c>
      <c r="B1148" s="34" t="s">
        <v>277</v>
      </c>
      <c r="C1148" s="50">
        <f>SUMIFS(INDEX(Техника!$F$1:$ABM$500,C$2,0),Техника!$F$4:$ABM$4,"Часы",INDEX(Техника!$G$1:$ABN$500,C$2,0),$A$1145,INDEX(Техника!$H$1:$ABO$500,C$2,0),"П")</f>
        <v>0</v>
      </c>
      <c r="D1148" s="50">
        <f>SUMIFS(INDEX(Техника!$F$1:$ABM$500,D$2,0),Техника!$F$4:$ABM$4,"Часы",INDEX(Техника!$G$1:$ABN$500,D$2,0),$A$1145,INDEX(Техника!$H$1:$ABO$500,D$2,0),"П")</f>
        <v>0</v>
      </c>
      <c r="E1148" s="50">
        <f>SUMIFS(INDEX(Техника!$F$1:$ABM$500,E$2,0),Техника!$F$4:$ABM$4,"Часы",INDEX(Техника!$G$1:$ABN$500,E$2,0),$A$1145,INDEX(Техника!$H$1:$ABO$500,E$2,0),"П")</f>
        <v>0</v>
      </c>
      <c r="F1148" s="50">
        <f>SUMIFS(INDEX(Техника!$F$1:$ABM$500,F$2,0),Техника!$F$4:$ABM$4,"Часы",INDEX(Техника!$G$1:$ABN$500,F$2,0),$A$1145,INDEX(Техника!$H$1:$ABO$500,F$2,0),"П")</f>
        <v>0</v>
      </c>
      <c r="G1148" s="50">
        <f>SUMIFS(INDEX(Техника!$F$1:$ABM$500,G$2,0),Техника!$F$4:$ABM$4,"Часы",INDEX(Техника!$G$1:$ABN$500,G$2,0),$A$1145,INDEX(Техника!$H$1:$ABO$500,G$2,0),"П")</f>
        <v>0</v>
      </c>
      <c r="H1148" s="50">
        <f>SUMIFS(INDEX(Техника!$F$1:$ABM$500,H$2,0),Техника!$F$4:$ABM$4,"Часы",INDEX(Техника!$G$1:$ABN$500,H$2,0),$A$1145,INDEX(Техника!$H$1:$ABO$500,H$2,0),"П")</f>
        <v>0</v>
      </c>
      <c r="I1148" s="50">
        <f>SUMIFS(INDEX(Техника!$F$1:$ABM$500,I$2,0),Техника!$F$4:$ABM$4,"Часы",INDEX(Техника!$G$1:$ABN$500,I$2,0),$A$1145,INDEX(Техника!$H$1:$ABO$500,I$2,0),"П")</f>
        <v>0</v>
      </c>
      <c r="J1148" s="50">
        <f>SUMIFS(INDEX(Техника!$F$1:$ABM$500,J$2,0),Техника!$F$4:$ABM$4,"Часы",INDEX(Техника!$G$1:$ABN$500,J$2,0),$A$1145,INDEX(Техника!$H$1:$ABO$500,J$2,0),"П")</f>
        <v>0</v>
      </c>
      <c r="K1148" s="50">
        <f>SUMIFS(INDEX(Техника!$F$1:$ABM$500,K$2,0),Техника!$F$4:$ABM$4,"Часы",INDEX(Техника!$G$1:$ABN$500,K$2,0),$A$1145,INDEX(Техника!$H$1:$ABO$500,K$2,0),"П")</f>
        <v>0</v>
      </c>
      <c r="L1148" s="50">
        <f>SUMIFS(INDEX(Техника!$F$1:$ABM$500,L$2,0),Техника!$F$4:$ABM$4,"Часы",INDEX(Техника!$G$1:$ABN$500,L$2,0),$A$1145,INDEX(Техника!$H$1:$ABO$500,L$2,0),"П")</f>
        <v>0</v>
      </c>
      <c r="M1148" s="50">
        <f>SUMIFS(INDEX(Техника!$F$1:$ABM$500,M$2,0),Техника!$F$4:$ABM$4,"Часы",INDEX(Техника!$G$1:$ABN$500,M$2,0),$A$1145,INDEX(Техника!$H$1:$ABO$500,M$2,0),"П")</f>
        <v>0</v>
      </c>
      <c r="N1148" s="50">
        <f>SUMIFS(INDEX(Техника!$F$1:$ABM$500,N$2,0),Техника!$F$4:$ABM$4,"Часы",INDEX(Техника!$G$1:$ABN$500,N$2,0),$A$1145,INDEX(Техника!$H$1:$ABO$500,N$2,0),"П")</f>
        <v>0</v>
      </c>
      <c r="O1148" s="50">
        <f>SUMIFS(INDEX(Техника!$F$1:$ABM$500,O$2,0),Техника!$F$4:$ABM$4,"Часы",INDEX(Техника!$G$1:$ABN$500,O$2,0),$A$1145,INDEX(Техника!$H$1:$ABO$500,O$2,0),"П")</f>
        <v>0</v>
      </c>
      <c r="P1148" s="50">
        <f>SUMIFS(INDEX(Техника!$F$1:$ABM$500,P$2,0),Техника!$F$4:$ABM$4,"Часы",INDEX(Техника!$G$1:$ABN$500,P$2,0),$A$1145,INDEX(Техника!$H$1:$ABO$500,P$2,0),"П")</f>
        <v>0</v>
      </c>
      <c r="Q1148" s="50">
        <f>SUMIFS(INDEX(Техника!$F$1:$ABM$500,Q$2,0),Техника!$F$4:$ABM$4,"Часы",INDEX(Техника!$G$1:$ABN$500,Q$2,0),$A$1145,INDEX(Техника!$H$1:$ABO$500,Q$2,0),"П")</f>
        <v>0</v>
      </c>
      <c r="R1148" s="50">
        <f>SUMIFS(INDEX(Техника!$F$1:$ABM$500,R$2,0),Техника!$F$4:$ABM$4,"Часы",INDEX(Техника!$G$1:$ABN$500,R$2,0),$A$1145,INDEX(Техника!$H$1:$ABO$500,R$2,0),"П")</f>
        <v>0</v>
      </c>
      <c r="S1148" s="50">
        <f>SUMIFS(INDEX(Техника!$F$1:$ABM$500,S$2,0),Техника!$F$4:$ABM$4,"Часы",INDEX(Техника!$G$1:$ABN$500,S$2,0),$A$1145,INDEX(Техника!$H$1:$ABO$500,S$2,0),"П")</f>
        <v>0</v>
      </c>
      <c r="T1148" s="50">
        <f>SUMIFS(INDEX(Техника!$F$1:$ABM$500,T$2,0),Техника!$F$4:$ABM$4,"Часы",INDEX(Техника!$G$1:$ABN$500,T$2,0),$A$1145,INDEX(Техника!$H$1:$ABO$500,T$2,0),"П")</f>
        <v>0</v>
      </c>
      <c r="U1148" s="50">
        <f>SUMIFS(INDEX(Техника!$F$1:$ABM$500,U$2,0),Техника!$F$4:$ABM$4,"Часы",INDEX(Техника!$G$1:$ABN$500,U$2,0),$A$1145,INDEX(Техника!$H$1:$ABO$500,U$2,0),"П")</f>
        <v>0</v>
      </c>
      <c r="V1148" s="50">
        <f>SUMIFS(INDEX(Техника!$F$1:$ABM$500,V$2,0),Техника!$F$4:$ABM$4,"Часы",INDEX(Техника!$G$1:$ABN$500,V$2,0),$A$1145,INDEX(Техника!$H$1:$ABO$500,V$2,0),"П")</f>
        <v>0</v>
      </c>
      <c r="W1148" s="50">
        <f>SUMIFS(INDEX(Техника!$F$1:$ABM$500,W$2,0),Техника!$F$4:$ABM$4,"Часы",INDEX(Техника!$G$1:$ABN$500,W$2,0),$A$1145,INDEX(Техника!$H$1:$ABO$500,W$2,0),"П")</f>
        <v>0</v>
      </c>
      <c r="X1148" s="50">
        <f>SUMIFS(INDEX(Техника!$F$1:$ABM$500,X$2,0),Техника!$F$4:$ABM$4,"Часы",INDEX(Техника!$G$1:$ABN$500,X$2,0),$A$1145,INDEX(Техника!$H$1:$ABO$500,X$2,0),"П")</f>
        <v>0</v>
      </c>
      <c r="Y1148" s="50">
        <f>SUMIFS(INDEX(Техника!$F$1:$ABM$500,Y$2,0),Техника!$F$4:$ABM$4,"Часы",INDEX(Техника!$G$1:$ABN$500,Y$2,0),$A$1145,INDEX(Техника!$H$1:$ABO$500,Y$2,0),"П")</f>
        <v>0</v>
      </c>
      <c r="Z1148" s="50">
        <f>SUMIFS(INDEX(Техника!$F$1:$ABM$500,Z$2,0),Техника!$F$4:$ABM$4,"Часы",INDEX(Техника!$G$1:$ABN$500,Z$2,0),$A$1145,INDEX(Техника!$H$1:$ABO$500,Z$2,0),"П")</f>
        <v>0</v>
      </c>
      <c r="AA1148" s="50">
        <f>SUMIFS(INDEX(Техника!$F$1:$ABM$500,AA$2,0),Техника!$F$4:$ABM$4,"Часы",INDEX(Техника!$G$1:$ABN$500,AA$2,0),$A$1145,INDEX(Техника!$H$1:$ABO$500,AA$2,0),"П")</f>
        <v>0</v>
      </c>
      <c r="AB1148" s="50">
        <f>SUMIFS(INDEX(Техника!$F$1:$ABM$500,AB$2,0),Техника!$F$4:$ABM$4,"Часы",INDEX(Техника!$G$1:$ABN$500,AB$2,0),$A$1145,INDEX(Техника!$H$1:$ABO$500,AB$2,0),"П")</f>
        <v>0</v>
      </c>
    </row>
    <row r="1149" spans="1:28" hidden="1" outlineLevel="1" x14ac:dyDescent="0.3">
      <c r="A1149" s="33" t="s">
        <v>243</v>
      </c>
      <c r="B1149" s="34" t="s">
        <v>278</v>
      </c>
      <c r="C1149" s="50">
        <f>SUMIFS(INDEX(Техника!$F$1:$ABM$500,C$2,0),Техника!$F$4:$ABM$4,"Часы",INDEX(Техника!$G$1:$ABN$500,C$2,0),$A$1145,INDEX(Техника!$H$1:$ABO$500,C$2,0),"Л")</f>
        <v>0</v>
      </c>
      <c r="D1149" s="50">
        <f>SUMIFS(INDEX(Техника!$F$1:$ABM$500,D$2,0),Техника!$F$4:$ABM$4,"Часы",INDEX(Техника!$G$1:$ABN$500,D$2,0),$A$1145,INDEX(Техника!$H$1:$ABO$500,D$2,0),"Л")</f>
        <v>0</v>
      </c>
      <c r="E1149" s="50">
        <f>SUMIFS(INDEX(Техника!$F$1:$ABM$500,E$2,0),Техника!$F$4:$ABM$4,"Часы",INDEX(Техника!$G$1:$ABN$500,E$2,0),$A$1145,INDEX(Техника!$H$1:$ABO$500,E$2,0),"Л")</f>
        <v>0</v>
      </c>
      <c r="F1149" s="50">
        <f>SUMIFS(INDEX(Техника!$F$1:$ABM$500,F$2,0),Техника!$F$4:$ABM$4,"Часы",INDEX(Техника!$G$1:$ABN$500,F$2,0),$A$1145,INDEX(Техника!$H$1:$ABO$500,F$2,0),"Л")</f>
        <v>0</v>
      </c>
      <c r="G1149" s="50">
        <f>SUMIFS(INDEX(Техника!$F$1:$ABM$500,G$2,0),Техника!$F$4:$ABM$4,"Часы",INDEX(Техника!$G$1:$ABN$500,G$2,0),$A$1145,INDEX(Техника!$H$1:$ABO$500,G$2,0),"Л")</f>
        <v>0</v>
      </c>
      <c r="H1149" s="50">
        <f>SUMIFS(INDEX(Техника!$F$1:$ABM$500,H$2,0),Техника!$F$4:$ABM$4,"Часы",INDEX(Техника!$G$1:$ABN$500,H$2,0),$A$1145,INDEX(Техника!$H$1:$ABO$500,H$2,0),"Л")</f>
        <v>0</v>
      </c>
      <c r="I1149" s="50">
        <f>SUMIFS(INDEX(Техника!$F$1:$ABM$500,I$2,0),Техника!$F$4:$ABM$4,"Часы",INDEX(Техника!$G$1:$ABN$500,I$2,0),$A$1145,INDEX(Техника!$H$1:$ABO$500,I$2,0),"Л")</f>
        <v>0</v>
      </c>
      <c r="J1149" s="50">
        <f>SUMIFS(INDEX(Техника!$F$1:$ABM$500,J$2,0),Техника!$F$4:$ABM$4,"Часы",INDEX(Техника!$G$1:$ABN$500,J$2,0),$A$1145,INDEX(Техника!$H$1:$ABO$500,J$2,0),"Л")</f>
        <v>0</v>
      </c>
      <c r="K1149" s="50">
        <f>SUMIFS(INDEX(Техника!$F$1:$ABM$500,K$2,0),Техника!$F$4:$ABM$4,"Часы",INDEX(Техника!$G$1:$ABN$500,K$2,0),$A$1145,INDEX(Техника!$H$1:$ABO$500,K$2,0),"Л")</f>
        <v>0</v>
      </c>
      <c r="L1149" s="50">
        <f>SUMIFS(INDEX(Техника!$F$1:$ABM$500,L$2,0),Техника!$F$4:$ABM$4,"Часы",INDEX(Техника!$G$1:$ABN$500,L$2,0),$A$1145,INDEX(Техника!$H$1:$ABO$500,L$2,0),"Л")</f>
        <v>0</v>
      </c>
      <c r="M1149" s="50">
        <f>SUMIFS(INDEX(Техника!$F$1:$ABM$500,M$2,0),Техника!$F$4:$ABM$4,"Часы",INDEX(Техника!$G$1:$ABN$500,M$2,0),$A$1145,INDEX(Техника!$H$1:$ABO$500,M$2,0),"Л")</f>
        <v>0</v>
      </c>
      <c r="N1149" s="50">
        <f>SUMIFS(INDEX(Техника!$F$1:$ABM$500,N$2,0),Техника!$F$4:$ABM$4,"Часы",INDEX(Техника!$G$1:$ABN$500,N$2,0),$A$1145,INDEX(Техника!$H$1:$ABO$500,N$2,0),"Л")</f>
        <v>0</v>
      </c>
      <c r="O1149" s="50">
        <f>SUMIFS(INDEX(Техника!$F$1:$ABM$500,O$2,0),Техника!$F$4:$ABM$4,"Часы",INDEX(Техника!$G$1:$ABN$500,O$2,0),$A$1145,INDEX(Техника!$H$1:$ABO$500,O$2,0),"Л")</f>
        <v>0</v>
      </c>
      <c r="P1149" s="50">
        <f>SUMIFS(INDEX(Техника!$F$1:$ABM$500,P$2,0),Техника!$F$4:$ABM$4,"Часы",INDEX(Техника!$G$1:$ABN$500,P$2,0),$A$1145,INDEX(Техника!$H$1:$ABO$500,P$2,0),"Л")</f>
        <v>0</v>
      </c>
      <c r="Q1149" s="50">
        <f>SUMIFS(INDEX(Техника!$F$1:$ABM$500,Q$2,0),Техника!$F$4:$ABM$4,"Часы",INDEX(Техника!$G$1:$ABN$500,Q$2,0),$A$1145,INDEX(Техника!$H$1:$ABO$500,Q$2,0),"Л")</f>
        <v>0</v>
      </c>
      <c r="R1149" s="50">
        <f>SUMIFS(INDEX(Техника!$F$1:$ABM$500,R$2,0),Техника!$F$4:$ABM$4,"Часы",INDEX(Техника!$G$1:$ABN$500,R$2,0),$A$1145,INDEX(Техника!$H$1:$ABO$500,R$2,0),"Л")</f>
        <v>0</v>
      </c>
      <c r="S1149" s="50">
        <f>SUMIFS(INDEX(Техника!$F$1:$ABM$500,S$2,0),Техника!$F$4:$ABM$4,"Часы",INDEX(Техника!$G$1:$ABN$500,S$2,0),$A$1145,INDEX(Техника!$H$1:$ABO$500,S$2,0),"Л")</f>
        <v>0</v>
      </c>
      <c r="T1149" s="50">
        <f>SUMIFS(INDEX(Техника!$F$1:$ABM$500,T$2,0),Техника!$F$4:$ABM$4,"Часы",INDEX(Техника!$G$1:$ABN$500,T$2,0),$A$1145,INDEX(Техника!$H$1:$ABO$500,T$2,0),"Л")</f>
        <v>0</v>
      </c>
      <c r="U1149" s="50">
        <f>SUMIFS(INDEX(Техника!$F$1:$ABM$500,U$2,0),Техника!$F$4:$ABM$4,"Часы",INDEX(Техника!$G$1:$ABN$500,U$2,0),$A$1145,INDEX(Техника!$H$1:$ABO$500,U$2,0),"Л")</f>
        <v>0</v>
      </c>
      <c r="V1149" s="50">
        <f>SUMIFS(INDEX(Техника!$F$1:$ABM$500,V$2,0),Техника!$F$4:$ABM$4,"Часы",INDEX(Техника!$G$1:$ABN$500,V$2,0),$A$1145,INDEX(Техника!$H$1:$ABO$500,V$2,0),"Л")</f>
        <v>0</v>
      </c>
      <c r="W1149" s="50">
        <f>SUMIFS(INDEX(Техника!$F$1:$ABM$500,W$2,0),Техника!$F$4:$ABM$4,"Часы",INDEX(Техника!$G$1:$ABN$500,W$2,0),$A$1145,INDEX(Техника!$H$1:$ABO$500,W$2,0),"Л")</f>
        <v>0</v>
      </c>
      <c r="X1149" s="50">
        <f>SUMIFS(INDEX(Техника!$F$1:$ABM$500,X$2,0),Техника!$F$4:$ABM$4,"Часы",INDEX(Техника!$G$1:$ABN$500,X$2,0),$A$1145,INDEX(Техника!$H$1:$ABO$500,X$2,0),"Л")</f>
        <v>0</v>
      </c>
      <c r="Y1149" s="50">
        <f>SUMIFS(INDEX(Техника!$F$1:$ABM$500,Y$2,0),Техника!$F$4:$ABM$4,"Часы",INDEX(Техника!$G$1:$ABN$500,Y$2,0),$A$1145,INDEX(Техника!$H$1:$ABO$500,Y$2,0),"Л")</f>
        <v>0</v>
      </c>
      <c r="Z1149" s="50">
        <f>SUMIFS(INDEX(Техника!$F$1:$ABM$500,Z$2,0),Техника!$F$4:$ABM$4,"Часы",INDEX(Техника!$G$1:$ABN$500,Z$2,0),$A$1145,INDEX(Техника!$H$1:$ABO$500,Z$2,0),"Л")</f>
        <v>0</v>
      </c>
      <c r="AA1149" s="50">
        <f>SUMIFS(INDEX(Техника!$F$1:$ABM$500,AA$2,0),Техника!$F$4:$ABM$4,"Часы",INDEX(Техника!$G$1:$ABN$500,AA$2,0),$A$1145,INDEX(Техника!$H$1:$ABO$500,AA$2,0),"Л")</f>
        <v>0</v>
      </c>
      <c r="AB1149" s="50">
        <f>SUMIFS(INDEX(Техника!$F$1:$ABM$500,AB$2,0),Техника!$F$4:$ABM$4,"Часы",INDEX(Техника!$G$1:$ABN$500,AB$2,0),$A$1145,INDEX(Техника!$H$1:$ABO$500,AB$2,0),"Л")</f>
        <v>0</v>
      </c>
    </row>
    <row r="1150" spans="1:28" hidden="1" outlineLevel="1" x14ac:dyDescent="0.3">
      <c r="A1150" s="33" t="s">
        <v>245</v>
      </c>
      <c r="B1150" s="34" t="s">
        <v>279</v>
      </c>
      <c r="C1150" s="50">
        <f>SUMIFS(INDEX(Техника!$F$1:$ABM$500,C$2,0),Техника!$F$4:$ABM$4,"Часы",INDEX(Техника!$G$1:$ABN$500,C$2,0),$A$1145,INDEX(Техника!$H$1:$ABO$500,C$2,0),"З")</f>
        <v>0</v>
      </c>
      <c r="D1150" s="50">
        <f>SUMIFS(INDEX(Техника!$F$1:$ABM$500,D$2,0),Техника!$F$4:$ABM$4,"Часы",INDEX(Техника!$G$1:$ABN$500,D$2,0),$A$1145,INDEX(Техника!$H$1:$ABO$500,D$2,0),"З")</f>
        <v>0</v>
      </c>
      <c r="E1150" s="50">
        <f>SUMIFS(INDEX(Техника!$F$1:$ABM$500,E$2,0),Техника!$F$4:$ABM$4,"Часы",INDEX(Техника!$G$1:$ABN$500,E$2,0),$A$1145,INDEX(Техника!$H$1:$ABO$500,E$2,0),"З")</f>
        <v>0</v>
      </c>
      <c r="F1150" s="50">
        <f>SUMIFS(INDEX(Техника!$F$1:$ABM$500,F$2,0),Техника!$F$4:$ABM$4,"Часы",INDEX(Техника!$G$1:$ABN$500,F$2,0),$A$1145,INDEX(Техника!$H$1:$ABO$500,F$2,0),"З")</f>
        <v>0</v>
      </c>
      <c r="G1150" s="50">
        <f>SUMIFS(INDEX(Техника!$F$1:$ABM$500,G$2,0),Техника!$F$4:$ABM$4,"Часы",INDEX(Техника!$G$1:$ABN$500,G$2,0),$A$1145,INDEX(Техника!$H$1:$ABO$500,G$2,0),"З")</f>
        <v>0</v>
      </c>
      <c r="H1150" s="50">
        <f>SUMIFS(INDEX(Техника!$F$1:$ABM$500,H$2,0),Техника!$F$4:$ABM$4,"Часы",INDEX(Техника!$G$1:$ABN$500,H$2,0),$A$1145,INDEX(Техника!$H$1:$ABO$500,H$2,0),"З")</f>
        <v>0</v>
      </c>
      <c r="I1150" s="50">
        <f>SUMIFS(INDEX(Техника!$F$1:$ABM$500,I$2,0),Техника!$F$4:$ABM$4,"Часы",INDEX(Техника!$G$1:$ABN$500,I$2,0),$A$1145,INDEX(Техника!$H$1:$ABO$500,I$2,0),"З")</f>
        <v>0</v>
      </c>
      <c r="J1150" s="50">
        <f>SUMIFS(INDEX(Техника!$F$1:$ABM$500,J$2,0),Техника!$F$4:$ABM$4,"Часы",INDEX(Техника!$G$1:$ABN$500,J$2,0),$A$1145,INDEX(Техника!$H$1:$ABO$500,J$2,0),"З")</f>
        <v>0</v>
      </c>
      <c r="K1150" s="50">
        <f>SUMIFS(INDEX(Техника!$F$1:$ABM$500,K$2,0),Техника!$F$4:$ABM$4,"Часы",INDEX(Техника!$G$1:$ABN$500,K$2,0),$A$1145,INDEX(Техника!$H$1:$ABO$500,K$2,0),"З")</f>
        <v>0</v>
      </c>
      <c r="L1150" s="50">
        <f>SUMIFS(INDEX(Техника!$F$1:$ABM$500,L$2,0),Техника!$F$4:$ABM$4,"Часы",INDEX(Техника!$G$1:$ABN$500,L$2,0),$A$1145,INDEX(Техника!$H$1:$ABO$500,L$2,0),"З")</f>
        <v>0</v>
      </c>
      <c r="M1150" s="50">
        <f>SUMIFS(INDEX(Техника!$F$1:$ABM$500,M$2,0),Техника!$F$4:$ABM$4,"Часы",INDEX(Техника!$G$1:$ABN$500,M$2,0),$A$1145,INDEX(Техника!$H$1:$ABO$500,M$2,0),"З")</f>
        <v>0</v>
      </c>
      <c r="N1150" s="50">
        <f>SUMIFS(INDEX(Техника!$F$1:$ABM$500,N$2,0),Техника!$F$4:$ABM$4,"Часы",INDEX(Техника!$G$1:$ABN$500,N$2,0),$A$1145,INDEX(Техника!$H$1:$ABO$500,N$2,0),"З")</f>
        <v>0</v>
      </c>
      <c r="O1150" s="50">
        <f>SUMIFS(INDEX(Техника!$F$1:$ABM$500,O$2,0),Техника!$F$4:$ABM$4,"Часы",INDEX(Техника!$G$1:$ABN$500,O$2,0),$A$1145,INDEX(Техника!$H$1:$ABO$500,O$2,0),"З")</f>
        <v>0</v>
      </c>
      <c r="P1150" s="50">
        <f>SUMIFS(INDEX(Техника!$F$1:$ABM$500,P$2,0),Техника!$F$4:$ABM$4,"Часы",INDEX(Техника!$G$1:$ABN$500,P$2,0),$A$1145,INDEX(Техника!$H$1:$ABO$500,P$2,0),"З")</f>
        <v>0</v>
      </c>
      <c r="Q1150" s="50">
        <f>SUMIFS(INDEX(Техника!$F$1:$ABM$500,Q$2,0),Техника!$F$4:$ABM$4,"Часы",INDEX(Техника!$G$1:$ABN$500,Q$2,0),$A$1145,INDEX(Техника!$H$1:$ABO$500,Q$2,0),"З")</f>
        <v>0</v>
      </c>
      <c r="R1150" s="50">
        <f>SUMIFS(INDEX(Техника!$F$1:$ABM$500,R$2,0),Техника!$F$4:$ABM$4,"Часы",INDEX(Техника!$G$1:$ABN$500,R$2,0),$A$1145,INDEX(Техника!$H$1:$ABO$500,R$2,0),"З")</f>
        <v>0</v>
      </c>
      <c r="S1150" s="50">
        <f>SUMIFS(INDEX(Техника!$F$1:$ABM$500,S$2,0),Техника!$F$4:$ABM$4,"Часы",INDEX(Техника!$G$1:$ABN$500,S$2,0),$A$1145,INDEX(Техника!$H$1:$ABO$500,S$2,0),"З")</f>
        <v>0</v>
      </c>
      <c r="T1150" s="50">
        <f>SUMIFS(INDEX(Техника!$F$1:$ABM$500,T$2,0),Техника!$F$4:$ABM$4,"Часы",INDEX(Техника!$G$1:$ABN$500,T$2,0),$A$1145,INDEX(Техника!$H$1:$ABO$500,T$2,0),"З")</f>
        <v>0</v>
      </c>
      <c r="U1150" s="50">
        <f>SUMIFS(INDEX(Техника!$F$1:$ABM$500,U$2,0),Техника!$F$4:$ABM$4,"Часы",INDEX(Техника!$G$1:$ABN$500,U$2,0),$A$1145,INDEX(Техника!$H$1:$ABO$500,U$2,0),"З")</f>
        <v>0</v>
      </c>
      <c r="V1150" s="50">
        <f>SUMIFS(INDEX(Техника!$F$1:$ABM$500,V$2,0),Техника!$F$4:$ABM$4,"Часы",INDEX(Техника!$G$1:$ABN$500,V$2,0),$A$1145,INDEX(Техника!$H$1:$ABO$500,V$2,0),"З")</f>
        <v>0</v>
      </c>
      <c r="W1150" s="50">
        <f>SUMIFS(INDEX(Техника!$F$1:$ABM$500,W$2,0),Техника!$F$4:$ABM$4,"Часы",INDEX(Техника!$G$1:$ABN$500,W$2,0),$A$1145,INDEX(Техника!$H$1:$ABO$500,W$2,0),"З")</f>
        <v>0</v>
      </c>
      <c r="X1150" s="50">
        <f>SUMIFS(INDEX(Техника!$F$1:$ABM$500,X$2,0),Техника!$F$4:$ABM$4,"Часы",INDEX(Техника!$G$1:$ABN$500,X$2,0),$A$1145,INDEX(Техника!$H$1:$ABO$500,X$2,0),"З")</f>
        <v>0</v>
      </c>
      <c r="Y1150" s="50">
        <f>SUMIFS(INDEX(Техника!$F$1:$ABM$500,Y$2,0),Техника!$F$4:$ABM$4,"Часы",INDEX(Техника!$G$1:$ABN$500,Y$2,0),$A$1145,INDEX(Техника!$H$1:$ABO$500,Y$2,0),"З")</f>
        <v>0</v>
      </c>
      <c r="Z1150" s="50">
        <f>SUMIFS(INDEX(Техника!$F$1:$ABM$500,Z$2,0),Техника!$F$4:$ABM$4,"Часы",INDEX(Техника!$G$1:$ABN$500,Z$2,0),$A$1145,INDEX(Техника!$H$1:$ABO$500,Z$2,0),"З")</f>
        <v>0</v>
      </c>
      <c r="AA1150" s="50">
        <f>SUMIFS(INDEX(Техника!$F$1:$ABM$500,AA$2,0),Техника!$F$4:$ABM$4,"Часы",INDEX(Техника!$G$1:$ABN$500,AA$2,0),$A$1145,INDEX(Техника!$H$1:$ABO$500,AA$2,0),"З")</f>
        <v>0</v>
      </c>
      <c r="AB1150" s="50">
        <f>SUMIFS(INDEX(Техника!$F$1:$ABM$500,AB$2,0),Техника!$F$4:$ABM$4,"Часы",INDEX(Техника!$G$1:$ABN$500,AB$2,0),$A$1145,INDEX(Техника!$H$1:$ABO$500,AB$2,0),"З")</f>
        <v>0</v>
      </c>
    </row>
    <row r="1151" spans="1:28" ht="7.95" customHeight="1" x14ac:dyDescent="0.3">
      <c r="A1151" s="38"/>
      <c r="B1151" s="39"/>
      <c r="C1151" s="51"/>
      <c r="D1151" s="51"/>
      <c r="E1151" s="51"/>
      <c r="F1151" s="51"/>
      <c r="G1151" s="51"/>
      <c r="H1151" s="51"/>
      <c r="I1151" s="51"/>
      <c r="J1151" s="51"/>
      <c r="K1151" s="51"/>
      <c r="L1151" s="51"/>
      <c r="M1151" s="51"/>
      <c r="N1151" s="51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</row>
    <row r="1152" spans="1:28" ht="25.05" customHeight="1" collapsed="1" x14ac:dyDescent="0.3">
      <c r="A1152" s="32">
        <v>165</v>
      </c>
      <c r="B1152" s="32" t="s">
        <v>166</v>
      </c>
      <c r="C1152" s="49">
        <f>SUM(C1153:C1157)</f>
        <v>0</v>
      </c>
      <c r="D1152" s="49">
        <f>SUM(D1153:D1157)</f>
        <v>0</v>
      </c>
      <c r="E1152" s="49">
        <f>SUM(E1153:E1157)</f>
        <v>0</v>
      </c>
      <c r="F1152" s="49">
        <f>SUM(F1153:F1157)</f>
        <v>0</v>
      </c>
      <c r="G1152" s="49">
        <f>SUM(G1153:G1157)</f>
        <v>0</v>
      </c>
      <c r="H1152" s="49">
        <f>SUM(H1153:H1157)</f>
        <v>0</v>
      </c>
      <c r="I1152" s="49">
        <f>SUM(I1153:I1157)</f>
        <v>0</v>
      </c>
      <c r="J1152" s="49">
        <f>SUM(J1153:J1157)</f>
        <v>0</v>
      </c>
      <c r="K1152" s="49">
        <f>SUM(K1153:K1157)</f>
        <v>0</v>
      </c>
      <c r="L1152" s="49">
        <f>SUM(L1153:L1157)</f>
        <v>0</v>
      </c>
      <c r="M1152" s="49">
        <f>SUM(M1153:M1157)</f>
        <v>0</v>
      </c>
      <c r="N1152" s="49">
        <f>SUM(N1153:N1157)</f>
        <v>0</v>
      </c>
      <c r="O1152" s="49">
        <f>SUM(O1153:O1157)</f>
        <v>0</v>
      </c>
      <c r="P1152" s="49">
        <f>SUM(P1153:P1157)</f>
        <v>0</v>
      </c>
      <c r="Q1152" s="49">
        <f>SUM(Q1153:Q1157)</f>
        <v>0</v>
      </c>
      <c r="R1152" s="49">
        <f>SUM(R1153:R1157)</f>
        <v>0</v>
      </c>
      <c r="S1152" s="49">
        <f>SUM(S1153:S1157)</f>
        <v>0</v>
      </c>
      <c r="T1152" s="49">
        <f>SUM(T1153:T1157)</f>
        <v>0</v>
      </c>
      <c r="U1152" s="49">
        <f>SUM(U1153:U1157)</f>
        <v>0</v>
      </c>
      <c r="V1152" s="49">
        <f>SUM(V1153:V1157)</f>
        <v>0</v>
      </c>
      <c r="W1152" s="49">
        <f>SUM(W1153:W1157)</f>
        <v>0</v>
      </c>
      <c r="X1152" s="49">
        <f>SUM(X1153:X1157)</f>
        <v>0</v>
      </c>
      <c r="Y1152" s="49">
        <f>SUM(Y1153:Y1157)</f>
        <v>0</v>
      </c>
      <c r="Z1152" s="49">
        <f>SUM(Z1153:Z1157)</f>
        <v>0</v>
      </c>
      <c r="AA1152" s="49">
        <f>SUM(AA1153:AA1157)</f>
        <v>0</v>
      </c>
      <c r="AB1152" s="49">
        <f>SUM(AB1153:AB1157)</f>
        <v>0</v>
      </c>
    </row>
    <row r="1153" spans="1:28" hidden="1" outlineLevel="1" x14ac:dyDescent="0.3">
      <c r="A1153" s="33" t="s">
        <v>246</v>
      </c>
      <c r="B1153" s="34" t="s">
        <v>274</v>
      </c>
      <c r="C1153" s="50">
        <f>SUMIFS(INDEX(Техника!$F$1:$ABM$500,C$2,0),Техника!$F$4:$ABM$4,"Часы",INDEX(Техника!$G$1:$ABN$500,C$2,0),$A$1152,INDEX(Техника!$H$1:$ABO$500,C$2,0),"М")</f>
        <v>0</v>
      </c>
      <c r="D1153" s="50">
        <f>SUMIFS(INDEX(Техника!$F$1:$ABM$500,D$2,0),Техника!$F$4:$ABM$4,"Часы",INDEX(Техника!$G$1:$ABN$500,D$2,0),$A$1152,INDEX(Техника!$H$1:$ABO$500,D$2,0),"М")</f>
        <v>0</v>
      </c>
      <c r="E1153" s="50">
        <f>SUMIFS(INDEX(Техника!$F$1:$ABM$500,E$2,0),Техника!$F$4:$ABM$4,"Часы",INDEX(Техника!$G$1:$ABN$500,E$2,0),$A$1152,INDEX(Техника!$H$1:$ABO$500,E$2,0),"М")</f>
        <v>0</v>
      </c>
      <c r="F1153" s="50">
        <f>SUMIFS(INDEX(Техника!$F$1:$ABM$500,F$2,0),Техника!$F$4:$ABM$4,"Часы",INDEX(Техника!$G$1:$ABN$500,F$2,0),$A$1152,INDEX(Техника!$H$1:$ABO$500,F$2,0),"М")</f>
        <v>0</v>
      </c>
      <c r="G1153" s="50">
        <f>SUMIFS(INDEX(Техника!$F$1:$ABM$500,G$2,0),Техника!$F$4:$ABM$4,"Часы",INDEX(Техника!$G$1:$ABN$500,G$2,0),$A$1152,INDEX(Техника!$H$1:$ABO$500,G$2,0),"М")</f>
        <v>0</v>
      </c>
      <c r="H1153" s="50">
        <f>SUMIFS(INDEX(Техника!$F$1:$ABM$500,H$2,0),Техника!$F$4:$ABM$4,"Часы",INDEX(Техника!$G$1:$ABN$500,H$2,0),$A$1152,INDEX(Техника!$H$1:$ABO$500,H$2,0),"М")</f>
        <v>0</v>
      </c>
      <c r="I1153" s="50">
        <f>SUMIFS(INDEX(Техника!$F$1:$ABM$500,I$2,0),Техника!$F$4:$ABM$4,"Часы",INDEX(Техника!$G$1:$ABN$500,I$2,0),$A$1152,INDEX(Техника!$H$1:$ABO$500,I$2,0),"М")</f>
        <v>0</v>
      </c>
      <c r="J1153" s="50">
        <f>SUMIFS(INDEX(Техника!$F$1:$ABM$500,J$2,0),Техника!$F$4:$ABM$4,"Часы",INDEX(Техника!$G$1:$ABN$500,J$2,0),$A$1152,INDEX(Техника!$H$1:$ABO$500,J$2,0),"М")</f>
        <v>0</v>
      </c>
      <c r="K1153" s="50">
        <f>SUMIFS(INDEX(Техника!$F$1:$ABM$500,K$2,0),Техника!$F$4:$ABM$4,"Часы",INDEX(Техника!$G$1:$ABN$500,K$2,0),$A$1152,INDEX(Техника!$H$1:$ABO$500,K$2,0),"М")</f>
        <v>0</v>
      </c>
      <c r="L1153" s="50">
        <f>SUMIFS(INDEX(Техника!$F$1:$ABM$500,L$2,0),Техника!$F$4:$ABM$4,"Часы",INDEX(Техника!$G$1:$ABN$500,L$2,0),$A$1152,INDEX(Техника!$H$1:$ABO$500,L$2,0),"М")</f>
        <v>0</v>
      </c>
      <c r="M1153" s="50">
        <f>SUMIFS(INDEX(Техника!$F$1:$ABM$500,M$2,0),Техника!$F$4:$ABM$4,"Часы",INDEX(Техника!$G$1:$ABN$500,M$2,0),$A$1152,INDEX(Техника!$H$1:$ABO$500,M$2,0),"М")</f>
        <v>0</v>
      </c>
      <c r="N1153" s="50">
        <f>SUMIFS(INDEX(Техника!$F$1:$ABM$500,N$2,0),Техника!$F$4:$ABM$4,"Часы",INDEX(Техника!$G$1:$ABN$500,N$2,0),$A$1152,INDEX(Техника!$H$1:$ABO$500,N$2,0),"М")</f>
        <v>0</v>
      </c>
      <c r="O1153" s="50">
        <f>SUMIFS(INDEX(Техника!$F$1:$ABM$500,O$2,0),Техника!$F$4:$ABM$4,"Часы",INDEX(Техника!$G$1:$ABN$500,O$2,0),$A$1152,INDEX(Техника!$H$1:$ABO$500,O$2,0),"М")</f>
        <v>0</v>
      </c>
      <c r="P1153" s="50">
        <f>SUMIFS(INDEX(Техника!$F$1:$ABM$500,P$2,0),Техника!$F$4:$ABM$4,"Часы",INDEX(Техника!$G$1:$ABN$500,P$2,0),$A$1152,INDEX(Техника!$H$1:$ABO$500,P$2,0),"М")</f>
        <v>0</v>
      </c>
      <c r="Q1153" s="50">
        <f>SUMIFS(INDEX(Техника!$F$1:$ABM$500,Q$2,0),Техника!$F$4:$ABM$4,"Часы",INDEX(Техника!$G$1:$ABN$500,Q$2,0),$A$1152,INDEX(Техника!$H$1:$ABO$500,Q$2,0),"М")</f>
        <v>0</v>
      </c>
      <c r="R1153" s="50">
        <f>SUMIFS(INDEX(Техника!$F$1:$ABM$500,R$2,0),Техника!$F$4:$ABM$4,"Часы",INDEX(Техника!$G$1:$ABN$500,R$2,0),$A$1152,INDEX(Техника!$H$1:$ABO$500,R$2,0),"М")</f>
        <v>0</v>
      </c>
      <c r="S1153" s="50">
        <f>SUMIFS(INDEX(Техника!$F$1:$ABM$500,S$2,0),Техника!$F$4:$ABM$4,"Часы",INDEX(Техника!$G$1:$ABN$500,S$2,0),$A$1152,INDEX(Техника!$H$1:$ABO$500,S$2,0),"М")</f>
        <v>0</v>
      </c>
      <c r="T1153" s="50">
        <f>SUMIFS(INDEX(Техника!$F$1:$ABM$500,T$2,0),Техника!$F$4:$ABM$4,"Часы",INDEX(Техника!$G$1:$ABN$500,T$2,0),$A$1152,INDEX(Техника!$H$1:$ABO$500,T$2,0),"М")</f>
        <v>0</v>
      </c>
      <c r="U1153" s="50">
        <f>SUMIFS(INDEX(Техника!$F$1:$ABM$500,U$2,0),Техника!$F$4:$ABM$4,"Часы",INDEX(Техника!$G$1:$ABN$500,U$2,0),$A$1152,INDEX(Техника!$H$1:$ABO$500,U$2,0),"М")</f>
        <v>0</v>
      </c>
      <c r="V1153" s="50">
        <f>SUMIFS(INDEX(Техника!$F$1:$ABM$500,V$2,0),Техника!$F$4:$ABM$4,"Часы",INDEX(Техника!$G$1:$ABN$500,V$2,0),$A$1152,INDEX(Техника!$H$1:$ABO$500,V$2,0),"М")</f>
        <v>0</v>
      </c>
      <c r="W1153" s="50">
        <f>SUMIFS(INDEX(Техника!$F$1:$ABM$500,W$2,0),Техника!$F$4:$ABM$4,"Часы",INDEX(Техника!$G$1:$ABN$500,W$2,0),$A$1152,INDEX(Техника!$H$1:$ABO$500,W$2,0),"М")</f>
        <v>0</v>
      </c>
      <c r="X1153" s="50">
        <f>SUMIFS(INDEX(Техника!$F$1:$ABM$500,X$2,0),Техника!$F$4:$ABM$4,"Часы",INDEX(Техника!$G$1:$ABN$500,X$2,0),$A$1152,INDEX(Техника!$H$1:$ABO$500,X$2,0),"М")</f>
        <v>0</v>
      </c>
      <c r="Y1153" s="50">
        <f>SUMIFS(INDEX(Техника!$F$1:$ABM$500,Y$2,0),Техника!$F$4:$ABM$4,"Часы",INDEX(Техника!$G$1:$ABN$500,Y$2,0),$A$1152,INDEX(Техника!$H$1:$ABO$500,Y$2,0),"М")</f>
        <v>0</v>
      </c>
      <c r="Z1153" s="50">
        <f>SUMIFS(INDEX(Техника!$F$1:$ABM$500,Z$2,0),Техника!$F$4:$ABM$4,"Часы",INDEX(Техника!$G$1:$ABN$500,Z$2,0),$A$1152,INDEX(Техника!$H$1:$ABO$500,Z$2,0),"М")</f>
        <v>0</v>
      </c>
      <c r="AA1153" s="50">
        <f>SUMIFS(INDEX(Техника!$F$1:$ABM$500,AA$2,0),Техника!$F$4:$ABM$4,"Часы",INDEX(Техника!$G$1:$ABN$500,AA$2,0),$A$1152,INDEX(Техника!$H$1:$ABO$500,AA$2,0),"М")</f>
        <v>0</v>
      </c>
      <c r="AB1153" s="50">
        <f>SUMIFS(INDEX(Техника!$F$1:$ABM$500,AB$2,0),Техника!$F$4:$ABM$4,"Часы",INDEX(Техника!$G$1:$ABN$500,AB$2,0),$A$1152,INDEX(Техника!$H$1:$ABO$500,AB$2,0),"М")</f>
        <v>0</v>
      </c>
    </row>
    <row r="1154" spans="1:28" hidden="1" outlineLevel="1" x14ac:dyDescent="0.3">
      <c r="A1154" s="33" t="s">
        <v>244</v>
      </c>
      <c r="B1154" s="34" t="s">
        <v>275</v>
      </c>
      <c r="C1154" s="50">
        <f>SUMIFS(INDEX(Техника!$F$1:$ABM$500,C$2,0),Техника!$F$4:$ABM$4,"Часы",INDEX(Техника!$G$1:$ABN$500,C$2,0),$A$1152,INDEX(Техника!$H$1:$ABO$500,C$2,0),"Д")</f>
        <v>0</v>
      </c>
      <c r="D1154" s="50">
        <f>SUMIFS(INDEX(Техника!$F$1:$ABM$500,D$2,0),Техника!$F$4:$ABM$4,"Часы",INDEX(Техника!$G$1:$ABN$500,D$2,0),$A$1152,INDEX(Техника!$H$1:$ABO$500,D$2,0),"Д")</f>
        <v>0</v>
      </c>
      <c r="E1154" s="50">
        <f>SUMIFS(INDEX(Техника!$F$1:$ABM$500,E$2,0),Техника!$F$4:$ABM$4,"Часы",INDEX(Техника!$G$1:$ABN$500,E$2,0),$A$1152,INDEX(Техника!$H$1:$ABO$500,E$2,0),"Д")</f>
        <v>0</v>
      </c>
      <c r="F1154" s="50">
        <f>SUMIFS(INDEX(Техника!$F$1:$ABM$500,F$2,0),Техника!$F$4:$ABM$4,"Часы",INDEX(Техника!$G$1:$ABN$500,F$2,0),$A$1152,INDEX(Техника!$H$1:$ABO$500,F$2,0),"Д")</f>
        <v>0</v>
      </c>
      <c r="G1154" s="50">
        <f>SUMIFS(INDEX(Техника!$F$1:$ABM$500,G$2,0),Техника!$F$4:$ABM$4,"Часы",INDEX(Техника!$G$1:$ABN$500,G$2,0),$A$1152,INDEX(Техника!$H$1:$ABO$500,G$2,0),"Д")</f>
        <v>0</v>
      </c>
      <c r="H1154" s="50">
        <f>SUMIFS(INDEX(Техника!$F$1:$ABM$500,H$2,0),Техника!$F$4:$ABM$4,"Часы",INDEX(Техника!$G$1:$ABN$500,H$2,0),$A$1152,INDEX(Техника!$H$1:$ABO$500,H$2,0),"Д")</f>
        <v>0</v>
      </c>
      <c r="I1154" s="50">
        <f>SUMIFS(INDEX(Техника!$F$1:$ABM$500,I$2,0),Техника!$F$4:$ABM$4,"Часы",INDEX(Техника!$G$1:$ABN$500,I$2,0),$A$1152,INDEX(Техника!$H$1:$ABO$500,I$2,0),"Д")</f>
        <v>0</v>
      </c>
      <c r="J1154" s="50">
        <f>SUMIFS(INDEX(Техника!$F$1:$ABM$500,J$2,0),Техника!$F$4:$ABM$4,"Часы",INDEX(Техника!$G$1:$ABN$500,J$2,0),$A$1152,INDEX(Техника!$H$1:$ABO$500,J$2,0),"Д")</f>
        <v>0</v>
      </c>
      <c r="K1154" s="50">
        <f>SUMIFS(INDEX(Техника!$F$1:$ABM$500,K$2,0),Техника!$F$4:$ABM$4,"Часы",INDEX(Техника!$G$1:$ABN$500,K$2,0),$A$1152,INDEX(Техника!$H$1:$ABO$500,K$2,0),"Д")</f>
        <v>0</v>
      </c>
      <c r="L1154" s="50">
        <f>SUMIFS(INDEX(Техника!$F$1:$ABM$500,L$2,0),Техника!$F$4:$ABM$4,"Часы",INDEX(Техника!$G$1:$ABN$500,L$2,0),$A$1152,INDEX(Техника!$H$1:$ABO$500,L$2,0),"Д")</f>
        <v>0</v>
      </c>
      <c r="M1154" s="50">
        <f>SUMIFS(INDEX(Техника!$F$1:$ABM$500,M$2,0),Техника!$F$4:$ABM$4,"Часы",INDEX(Техника!$G$1:$ABN$500,M$2,0),$A$1152,INDEX(Техника!$H$1:$ABO$500,M$2,0),"Д")</f>
        <v>0</v>
      </c>
      <c r="N1154" s="50">
        <f>SUMIFS(INDEX(Техника!$F$1:$ABM$500,N$2,0),Техника!$F$4:$ABM$4,"Часы",INDEX(Техника!$G$1:$ABN$500,N$2,0),$A$1152,INDEX(Техника!$H$1:$ABO$500,N$2,0),"Д")</f>
        <v>0</v>
      </c>
      <c r="O1154" s="50">
        <f>SUMIFS(INDEX(Техника!$F$1:$ABM$500,O$2,0),Техника!$F$4:$ABM$4,"Часы",INDEX(Техника!$G$1:$ABN$500,O$2,0),$A$1152,INDEX(Техника!$H$1:$ABO$500,O$2,0),"Д")</f>
        <v>0</v>
      </c>
      <c r="P1154" s="50">
        <f>SUMIFS(INDEX(Техника!$F$1:$ABM$500,P$2,0),Техника!$F$4:$ABM$4,"Часы",INDEX(Техника!$G$1:$ABN$500,P$2,0),$A$1152,INDEX(Техника!$H$1:$ABO$500,P$2,0),"Д")</f>
        <v>0</v>
      </c>
      <c r="Q1154" s="50">
        <f>SUMIFS(INDEX(Техника!$F$1:$ABM$500,Q$2,0),Техника!$F$4:$ABM$4,"Часы",INDEX(Техника!$G$1:$ABN$500,Q$2,0),$A$1152,INDEX(Техника!$H$1:$ABO$500,Q$2,0),"Д")</f>
        <v>0</v>
      </c>
      <c r="R1154" s="50">
        <f>SUMIFS(INDEX(Техника!$F$1:$ABM$500,R$2,0),Техника!$F$4:$ABM$4,"Часы",INDEX(Техника!$G$1:$ABN$500,R$2,0),$A$1152,INDEX(Техника!$H$1:$ABO$500,R$2,0),"Д")</f>
        <v>0</v>
      </c>
      <c r="S1154" s="50">
        <f>SUMIFS(INDEX(Техника!$F$1:$ABM$500,S$2,0),Техника!$F$4:$ABM$4,"Часы",INDEX(Техника!$G$1:$ABN$500,S$2,0),$A$1152,INDEX(Техника!$H$1:$ABO$500,S$2,0),"Д")</f>
        <v>0</v>
      </c>
      <c r="T1154" s="50">
        <f>SUMIFS(INDEX(Техника!$F$1:$ABM$500,T$2,0),Техника!$F$4:$ABM$4,"Часы",INDEX(Техника!$G$1:$ABN$500,T$2,0),$A$1152,INDEX(Техника!$H$1:$ABO$500,T$2,0),"Д")</f>
        <v>0</v>
      </c>
      <c r="U1154" s="50">
        <f>SUMIFS(INDEX(Техника!$F$1:$ABM$500,U$2,0),Техника!$F$4:$ABM$4,"Часы",INDEX(Техника!$G$1:$ABN$500,U$2,0),$A$1152,INDEX(Техника!$H$1:$ABO$500,U$2,0),"Д")</f>
        <v>0</v>
      </c>
      <c r="V1154" s="50">
        <f>SUMIFS(INDEX(Техника!$F$1:$ABM$500,V$2,0),Техника!$F$4:$ABM$4,"Часы",INDEX(Техника!$G$1:$ABN$500,V$2,0),$A$1152,INDEX(Техника!$H$1:$ABO$500,V$2,0),"Д")</f>
        <v>0</v>
      </c>
      <c r="W1154" s="50">
        <f>SUMIFS(INDEX(Техника!$F$1:$ABM$500,W$2,0),Техника!$F$4:$ABM$4,"Часы",INDEX(Техника!$G$1:$ABN$500,W$2,0),$A$1152,INDEX(Техника!$H$1:$ABO$500,W$2,0),"Д")</f>
        <v>0</v>
      </c>
      <c r="X1154" s="50">
        <f>SUMIFS(INDEX(Техника!$F$1:$ABM$500,X$2,0),Техника!$F$4:$ABM$4,"Часы",INDEX(Техника!$G$1:$ABN$500,X$2,0),$A$1152,INDEX(Техника!$H$1:$ABO$500,X$2,0),"Д")</f>
        <v>0</v>
      </c>
      <c r="Y1154" s="50">
        <f>SUMIFS(INDEX(Техника!$F$1:$ABM$500,Y$2,0),Техника!$F$4:$ABM$4,"Часы",INDEX(Техника!$G$1:$ABN$500,Y$2,0),$A$1152,INDEX(Техника!$H$1:$ABO$500,Y$2,0),"Д")</f>
        <v>0</v>
      </c>
      <c r="Z1154" s="50">
        <f>SUMIFS(INDEX(Техника!$F$1:$ABM$500,Z$2,0),Техника!$F$4:$ABM$4,"Часы",INDEX(Техника!$G$1:$ABN$500,Z$2,0),$A$1152,INDEX(Техника!$H$1:$ABO$500,Z$2,0),"Д")</f>
        <v>0</v>
      </c>
      <c r="AA1154" s="50">
        <f>SUMIFS(INDEX(Техника!$F$1:$ABM$500,AA$2,0),Техника!$F$4:$ABM$4,"Часы",INDEX(Техника!$G$1:$ABN$500,AA$2,0),$A$1152,INDEX(Техника!$H$1:$ABO$500,AA$2,0),"Д")</f>
        <v>0</v>
      </c>
      <c r="AB1154" s="50">
        <f>SUMIFS(INDEX(Техника!$F$1:$ABM$500,AB$2,0),Техника!$F$4:$ABM$4,"Часы",INDEX(Техника!$G$1:$ABN$500,AB$2,0),$A$1152,INDEX(Техника!$H$1:$ABO$500,AB$2,0),"Д")</f>
        <v>0</v>
      </c>
    </row>
    <row r="1155" spans="1:28" hidden="1" outlineLevel="1" x14ac:dyDescent="0.3">
      <c r="A1155" s="33" t="s">
        <v>276</v>
      </c>
      <c r="B1155" s="34" t="s">
        <v>277</v>
      </c>
      <c r="C1155" s="50">
        <f>SUMIFS(INDEX(Техника!$F$1:$ABM$500,C$2,0),Техника!$F$4:$ABM$4,"Часы",INDEX(Техника!$G$1:$ABN$500,C$2,0),$A$1152,INDEX(Техника!$H$1:$ABO$500,C$2,0),"П")</f>
        <v>0</v>
      </c>
      <c r="D1155" s="50">
        <f>SUMIFS(INDEX(Техника!$F$1:$ABM$500,D$2,0),Техника!$F$4:$ABM$4,"Часы",INDEX(Техника!$G$1:$ABN$500,D$2,0),$A$1152,INDEX(Техника!$H$1:$ABO$500,D$2,0),"П")</f>
        <v>0</v>
      </c>
      <c r="E1155" s="50">
        <f>SUMIFS(INDEX(Техника!$F$1:$ABM$500,E$2,0),Техника!$F$4:$ABM$4,"Часы",INDEX(Техника!$G$1:$ABN$500,E$2,0),$A$1152,INDEX(Техника!$H$1:$ABO$500,E$2,0),"П")</f>
        <v>0</v>
      </c>
      <c r="F1155" s="50">
        <f>SUMIFS(INDEX(Техника!$F$1:$ABM$500,F$2,0),Техника!$F$4:$ABM$4,"Часы",INDEX(Техника!$G$1:$ABN$500,F$2,0),$A$1152,INDEX(Техника!$H$1:$ABO$500,F$2,0),"П")</f>
        <v>0</v>
      </c>
      <c r="G1155" s="50">
        <f>SUMIFS(INDEX(Техника!$F$1:$ABM$500,G$2,0),Техника!$F$4:$ABM$4,"Часы",INDEX(Техника!$G$1:$ABN$500,G$2,0),$A$1152,INDEX(Техника!$H$1:$ABO$500,G$2,0),"П")</f>
        <v>0</v>
      </c>
      <c r="H1155" s="50">
        <f>SUMIFS(INDEX(Техника!$F$1:$ABM$500,H$2,0),Техника!$F$4:$ABM$4,"Часы",INDEX(Техника!$G$1:$ABN$500,H$2,0),$A$1152,INDEX(Техника!$H$1:$ABO$500,H$2,0),"П")</f>
        <v>0</v>
      </c>
      <c r="I1155" s="50">
        <f>SUMIFS(INDEX(Техника!$F$1:$ABM$500,I$2,0),Техника!$F$4:$ABM$4,"Часы",INDEX(Техника!$G$1:$ABN$500,I$2,0),$A$1152,INDEX(Техника!$H$1:$ABO$500,I$2,0),"П")</f>
        <v>0</v>
      </c>
      <c r="J1155" s="50">
        <f>SUMIFS(INDEX(Техника!$F$1:$ABM$500,J$2,0),Техника!$F$4:$ABM$4,"Часы",INDEX(Техника!$G$1:$ABN$500,J$2,0),$A$1152,INDEX(Техника!$H$1:$ABO$500,J$2,0),"П")</f>
        <v>0</v>
      </c>
      <c r="K1155" s="50">
        <f>SUMIFS(INDEX(Техника!$F$1:$ABM$500,K$2,0),Техника!$F$4:$ABM$4,"Часы",INDEX(Техника!$G$1:$ABN$500,K$2,0),$A$1152,INDEX(Техника!$H$1:$ABO$500,K$2,0),"П")</f>
        <v>0</v>
      </c>
      <c r="L1155" s="50">
        <f>SUMIFS(INDEX(Техника!$F$1:$ABM$500,L$2,0),Техника!$F$4:$ABM$4,"Часы",INDEX(Техника!$G$1:$ABN$500,L$2,0),$A$1152,INDEX(Техника!$H$1:$ABO$500,L$2,0),"П")</f>
        <v>0</v>
      </c>
      <c r="M1155" s="50">
        <f>SUMIFS(INDEX(Техника!$F$1:$ABM$500,M$2,0),Техника!$F$4:$ABM$4,"Часы",INDEX(Техника!$G$1:$ABN$500,M$2,0),$A$1152,INDEX(Техника!$H$1:$ABO$500,M$2,0),"П")</f>
        <v>0</v>
      </c>
      <c r="N1155" s="50">
        <f>SUMIFS(INDEX(Техника!$F$1:$ABM$500,N$2,0),Техника!$F$4:$ABM$4,"Часы",INDEX(Техника!$G$1:$ABN$500,N$2,0),$A$1152,INDEX(Техника!$H$1:$ABO$500,N$2,0),"П")</f>
        <v>0</v>
      </c>
      <c r="O1155" s="50">
        <f>SUMIFS(INDEX(Техника!$F$1:$ABM$500,O$2,0),Техника!$F$4:$ABM$4,"Часы",INDEX(Техника!$G$1:$ABN$500,O$2,0),$A$1152,INDEX(Техника!$H$1:$ABO$500,O$2,0),"П")</f>
        <v>0</v>
      </c>
      <c r="P1155" s="50">
        <f>SUMIFS(INDEX(Техника!$F$1:$ABM$500,P$2,0),Техника!$F$4:$ABM$4,"Часы",INDEX(Техника!$G$1:$ABN$500,P$2,0),$A$1152,INDEX(Техника!$H$1:$ABO$500,P$2,0),"П")</f>
        <v>0</v>
      </c>
      <c r="Q1155" s="50">
        <f>SUMIFS(INDEX(Техника!$F$1:$ABM$500,Q$2,0),Техника!$F$4:$ABM$4,"Часы",INDEX(Техника!$G$1:$ABN$500,Q$2,0),$A$1152,INDEX(Техника!$H$1:$ABO$500,Q$2,0),"П")</f>
        <v>0</v>
      </c>
      <c r="R1155" s="50">
        <f>SUMIFS(INDEX(Техника!$F$1:$ABM$500,R$2,0),Техника!$F$4:$ABM$4,"Часы",INDEX(Техника!$G$1:$ABN$500,R$2,0),$A$1152,INDEX(Техника!$H$1:$ABO$500,R$2,0),"П")</f>
        <v>0</v>
      </c>
      <c r="S1155" s="50">
        <f>SUMIFS(INDEX(Техника!$F$1:$ABM$500,S$2,0),Техника!$F$4:$ABM$4,"Часы",INDEX(Техника!$G$1:$ABN$500,S$2,0),$A$1152,INDEX(Техника!$H$1:$ABO$500,S$2,0),"П")</f>
        <v>0</v>
      </c>
      <c r="T1155" s="50">
        <f>SUMIFS(INDEX(Техника!$F$1:$ABM$500,T$2,0),Техника!$F$4:$ABM$4,"Часы",INDEX(Техника!$G$1:$ABN$500,T$2,0),$A$1152,INDEX(Техника!$H$1:$ABO$500,T$2,0),"П")</f>
        <v>0</v>
      </c>
      <c r="U1155" s="50">
        <f>SUMIFS(INDEX(Техника!$F$1:$ABM$500,U$2,0),Техника!$F$4:$ABM$4,"Часы",INDEX(Техника!$G$1:$ABN$500,U$2,0),$A$1152,INDEX(Техника!$H$1:$ABO$500,U$2,0),"П")</f>
        <v>0</v>
      </c>
      <c r="V1155" s="50">
        <f>SUMIFS(INDEX(Техника!$F$1:$ABM$500,V$2,0),Техника!$F$4:$ABM$4,"Часы",INDEX(Техника!$G$1:$ABN$500,V$2,0),$A$1152,INDEX(Техника!$H$1:$ABO$500,V$2,0),"П")</f>
        <v>0</v>
      </c>
      <c r="W1155" s="50">
        <f>SUMIFS(INDEX(Техника!$F$1:$ABM$500,W$2,0),Техника!$F$4:$ABM$4,"Часы",INDEX(Техника!$G$1:$ABN$500,W$2,0),$A$1152,INDEX(Техника!$H$1:$ABO$500,W$2,0),"П")</f>
        <v>0</v>
      </c>
      <c r="X1155" s="50">
        <f>SUMIFS(INDEX(Техника!$F$1:$ABM$500,X$2,0),Техника!$F$4:$ABM$4,"Часы",INDEX(Техника!$G$1:$ABN$500,X$2,0),$A$1152,INDEX(Техника!$H$1:$ABO$500,X$2,0),"П")</f>
        <v>0</v>
      </c>
      <c r="Y1155" s="50">
        <f>SUMIFS(INDEX(Техника!$F$1:$ABM$500,Y$2,0),Техника!$F$4:$ABM$4,"Часы",INDEX(Техника!$G$1:$ABN$500,Y$2,0),$A$1152,INDEX(Техника!$H$1:$ABO$500,Y$2,0),"П")</f>
        <v>0</v>
      </c>
      <c r="Z1155" s="50">
        <f>SUMIFS(INDEX(Техника!$F$1:$ABM$500,Z$2,0),Техника!$F$4:$ABM$4,"Часы",INDEX(Техника!$G$1:$ABN$500,Z$2,0),$A$1152,INDEX(Техника!$H$1:$ABO$500,Z$2,0),"П")</f>
        <v>0</v>
      </c>
      <c r="AA1155" s="50">
        <f>SUMIFS(INDEX(Техника!$F$1:$ABM$500,AA$2,0),Техника!$F$4:$ABM$4,"Часы",INDEX(Техника!$G$1:$ABN$500,AA$2,0),$A$1152,INDEX(Техника!$H$1:$ABO$500,AA$2,0),"П")</f>
        <v>0</v>
      </c>
      <c r="AB1155" s="50">
        <f>SUMIFS(INDEX(Техника!$F$1:$ABM$500,AB$2,0),Техника!$F$4:$ABM$4,"Часы",INDEX(Техника!$G$1:$ABN$500,AB$2,0),$A$1152,INDEX(Техника!$H$1:$ABO$500,AB$2,0),"П")</f>
        <v>0</v>
      </c>
    </row>
    <row r="1156" spans="1:28" hidden="1" outlineLevel="1" x14ac:dyDescent="0.3">
      <c r="A1156" s="33" t="s">
        <v>243</v>
      </c>
      <c r="B1156" s="34" t="s">
        <v>278</v>
      </c>
      <c r="C1156" s="50">
        <f>SUMIFS(INDEX(Техника!$F$1:$ABM$500,C$2,0),Техника!$F$4:$ABM$4,"Часы",INDEX(Техника!$G$1:$ABN$500,C$2,0),$A$1152,INDEX(Техника!$H$1:$ABO$500,C$2,0),"Л")</f>
        <v>0</v>
      </c>
      <c r="D1156" s="50">
        <f>SUMIFS(INDEX(Техника!$F$1:$ABM$500,D$2,0),Техника!$F$4:$ABM$4,"Часы",INDEX(Техника!$G$1:$ABN$500,D$2,0),$A$1152,INDEX(Техника!$H$1:$ABO$500,D$2,0),"Л")</f>
        <v>0</v>
      </c>
      <c r="E1156" s="50">
        <f>SUMIFS(INDEX(Техника!$F$1:$ABM$500,E$2,0),Техника!$F$4:$ABM$4,"Часы",INDEX(Техника!$G$1:$ABN$500,E$2,0),$A$1152,INDEX(Техника!$H$1:$ABO$500,E$2,0),"Л")</f>
        <v>0</v>
      </c>
      <c r="F1156" s="50">
        <f>SUMIFS(INDEX(Техника!$F$1:$ABM$500,F$2,0),Техника!$F$4:$ABM$4,"Часы",INDEX(Техника!$G$1:$ABN$500,F$2,0),$A$1152,INDEX(Техника!$H$1:$ABO$500,F$2,0),"Л")</f>
        <v>0</v>
      </c>
      <c r="G1156" s="50">
        <f>SUMIFS(INDEX(Техника!$F$1:$ABM$500,G$2,0),Техника!$F$4:$ABM$4,"Часы",INDEX(Техника!$G$1:$ABN$500,G$2,0),$A$1152,INDEX(Техника!$H$1:$ABO$500,G$2,0),"Л")</f>
        <v>0</v>
      </c>
      <c r="H1156" s="50">
        <f>SUMIFS(INDEX(Техника!$F$1:$ABM$500,H$2,0),Техника!$F$4:$ABM$4,"Часы",INDEX(Техника!$G$1:$ABN$500,H$2,0),$A$1152,INDEX(Техника!$H$1:$ABO$500,H$2,0),"Л")</f>
        <v>0</v>
      </c>
      <c r="I1156" s="50">
        <f>SUMIFS(INDEX(Техника!$F$1:$ABM$500,I$2,0),Техника!$F$4:$ABM$4,"Часы",INDEX(Техника!$G$1:$ABN$500,I$2,0),$A$1152,INDEX(Техника!$H$1:$ABO$500,I$2,0),"Л")</f>
        <v>0</v>
      </c>
      <c r="J1156" s="50">
        <f>SUMIFS(INDEX(Техника!$F$1:$ABM$500,J$2,0),Техника!$F$4:$ABM$4,"Часы",INDEX(Техника!$G$1:$ABN$500,J$2,0),$A$1152,INDEX(Техника!$H$1:$ABO$500,J$2,0),"Л")</f>
        <v>0</v>
      </c>
      <c r="K1156" s="50">
        <f>SUMIFS(INDEX(Техника!$F$1:$ABM$500,K$2,0),Техника!$F$4:$ABM$4,"Часы",INDEX(Техника!$G$1:$ABN$500,K$2,0),$A$1152,INDEX(Техника!$H$1:$ABO$500,K$2,0),"Л")</f>
        <v>0</v>
      </c>
      <c r="L1156" s="50">
        <f>SUMIFS(INDEX(Техника!$F$1:$ABM$500,L$2,0),Техника!$F$4:$ABM$4,"Часы",INDEX(Техника!$G$1:$ABN$500,L$2,0),$A$1152,INDEX(Техника!$H$1:$ABO$500,L$2,0),"Л")</f>
        <v>0</v>
      </c>
      <c r="M1156" s="50">
        <f>SUMIFS(INDEX(Техника!$F$1:$ABM$500,M$2,0),Техника!$F$4:$ABM$4,"Часы",INDEX(Техника!$G$1:$ABN$500,M$2,0),$A$1152,INDEX(Техника!$H$1:$ABO$500,M$2,0),"Л")</f>
        <v>0</v>
      </c>
      <c r="N1156" s="50">
        <f>SUMIFS(INDEX(Техника!$F$1:$ABM$500,N$2,0),Техника!$F$4:$ABM$4,"Часы",INDEX(Техника!$G$1:$ABN$500,N$2,0),$A$1152,INDEX(Техника!$H$1:$ABO$500,N$2,0),"Л")</f>
        <v>0</v>
      </c>
      <c r="O1156" s="50">
        <f>SUMIFS(INDEX(Техника!$F$1:$ABM$500,O$2,0),Техника!$F$4:$ABM$4,"Часы",INDEX(Техника!$G$1:$ABN$500,O$2,0),$A$1152,INDEX(Техника!$H$1:$ABO$500,O$2,0),"Л")</f>
        <v>0</v>
      </c>
      <c r="P1156" s="50">
        <f>SUMIFS(INDEX(Техника!$F$1:$ABM$500,P$2,0),Техника!$F$4:$ABM$4,"Часы",INDEX(Техника!$G$1:$ABN$500,P$2,0),$A$1152,INDEX(Техника!$H$1:$ABO$500,P$2,0),"Л")</f>
        <v>0</v>
      </c>
      <c r="Q1156" s="50">
        <f>SUMIFS(INDEX(Техника!$F$1:$ABM$500,Q$2,0),Техника!$F$4:$ABM$4,"Часы",INDEX(Техника!$G$1:$ABN$500,Q$2,0),$A$1152,INDEX(Техника!$H$1:$ABO$500,Q$2,0),"Л")</f>
        <v>0</v>
      </c>
      <c r="R1156" s="50">
        <f>SUMIFS(INDEX(Техника!$F$1:$ABM$500,R$2,0),Техника!$F$4:$ABM$4,"Часы",INDEX(Техника!$G$1:$ABN$500,R$2,0),$A$1152,INDEX(Техника!$H$1:$ABO$500,R$2,0),"Л")</f>
        <v>0</v>
      </c>
      <c r="S1156" s="50">
        <f>SUMIFS(INDEX(Техника!$F$1:$ABM$500,S$2,0),Техника!$F$4:$ABM$4,"Часы",INDEX(Техника!$G$1:$ABN$500,S$2,0),$A$1152,INDEX(Техника!$H$1:$ABO$500,S$2,0),"Л")</f>
        <v>0</v>
      </c>
      <c r="T1156" s="50">
        <f>SUMIFS(INDEX(Техника!$F$1:$ABM$500,T$2,0),Техника!$F$4:$ABM$4,"Часы",INDEX(Техника!$G$1:$ABN$500,T$2,0),$A$1152,INDEX(Техника!$H$1:$ABO$500,T$2,0),"Л")</f>
        <v>0</v>
      </c>
      <c r="U1156" s="50">
        <f>SUMIFS(INDEX(Техника!$F$1:$ABM$500,U$2,0),Техника!$F$4:$ABM$4,"Часы",INDEX(Техника!$G$1:$ABN$500,U$2,0),$A$1152,INDEX(Техника!$H$1:$ABO$500,U$2,0),"Л")</f>
        <v>0</v>
      </c>
      <c r="V1156" s="50">
        <f>SUMIFS(INDEX(Техника!$F$1:$ABM$500,V$2,0),Техника!$F$4:$ABM$4,"Часы",INDEX(Техника!$G$1:$ABN$500,V$2,0),$A$1152,INDEX(Техника!$H$1:$ABO$500,V$2,0),"Л")</f>
        <v>0</v>
      </c>
      <c r="W1156" s="50">
        <f>SUMIFS(INDEX(Техника!$F$1:$ABM$500,W$2,0),Техника!$F$4:$ABM$4,"Часы",INDEX(Техника!$G$1:$ABN$500,W$2,0),$A$1152,INDEX(Техника!$H$1:$ABO$500,W$2,0),"Л")</f>
        <v>0</v>
      </c>
      <c r="X1156" s="50">
        <f>SUMIFS(INDEX(Техника!$F$1:$ABM$500,X$2,0),Техника!$F$4:$ABM$4,"Часы",INDEX(Техника!$G$1:$ABN$500,X$2,0),$A$1152,INDEX(Техника!$H$1:$ABO$500,X$2,0),"Л")</f>
        <v>0</v>
      </c>
      <c r="Y1156" s="50">
        <f>SUMIFS(INDEX(Техника!$F$1:$ABM$500,Y$2,0),Техника!$F$4:$ABM$4,"Часы",INDEX(Техника!$G$1:$ABN$500,Y$2,0),$A$1152,INDEX(Техника!$H$1:$ABO$500,Y$2,0),"Л")</f>
        <v>0</v>
      </c>
      <c r="Z1156" s="50">
        <f>SUMIFS(INDEX(Техника!$F$1:$ABM$500,Z$2,0),Техника!$F$4:$ABM$4,"Часы",INDEX(Техника!$G$1:$ABN$500,Z$2,0),$A$1152,INDEX(Техника!$H$1:$ABO$500,Z$2,0),"Л")</f>
        <v>0</v>
      </c>
      <c r="AA1156" s="50">
        <f>SUMIFS(INDEX(Техника!$F$1:$ABM$500,AA$2,0),Техника!$F$4:$ABM$4,"Часы",INDEX(Техника!$G$1:$ABN$500,AA$2,0),$A$1152,INDEX(Техника!$H$1:$ABO$500,AA$2,0),"Л")</f>
        <v>0</v>
      </c>
      <c r="AB1156" s="50">
        <f>SUMIFS(INDEX(Техника!$F$1:$ABM$500,AB$2,0),Техника!$F$4:$ABM$4,"Часы",INDEX(Техника!$G$1:$ABN$500,AB$2,0),$A$1152,INDEX(Техника!$H$1:$ABO$500,AB$2,0),"Л")</f>
        <v>0</v>
      </c>
    </row>
    <row r="1157" spans="1:28" hidden="1" outlineLevel="1" x14ac:dyDescent="0.3">
      <c r="A1157" s="33" t="s">
        <v>245</v>
      </c>
      <c r="B1157" s="34" t="s">
        <v>279</v>
      </c>
      <c r="C1157" s="50">
        <f>SUMIFS(INDEX(Техника!$F$1:$ABM$500,C$2,0),Техника!$F$4:$ABM$4,"Часы",INDEX(Техника!$G$1:$ABN$500,C$2,0),$A$1152,INDEX(Техника!$H$1:$ABO$500,C$2,0),"З")</f>
        <v>0</v>
      </c>
      <c r="D1157" s="50">
        <f>SUMIFS(INDEX(Техника!$F$1:$ABM$500,D$2,0),Техника!$F$4:$ABM$4,"Часы",INDEX(Техника!$G$1:$ABN$500,D$2,0),$A$1152,INDEX(Техника!$H$1:$ABO$500,D$2,0),"З")</f>
        <v>0</v>
      </c>
      <c r="E1157" s="50">
        <f>SUMIFS(INDEX(Техника!$F$1:$ABM$500,E$2,0),Техника!$F$4:$ABM$4,"Часы",INDEX(Техника!$G$1:$ABN$500,E$2,0),$A$1152,INDEX(Техника!$H$1:$ABO$500,E$2,0),"З")</f>
        <v>0</v>
      </c>
      <c r="F1157" s="50">
        <f>SUMIFS(INDEX(Техника!$F$1:$ABM$500,F$2,0),Техника!$F$4:$ABM$4,"Часы",INDEX(Техника!$G$1:$ABN$500,F$2,0),$A$1152,INDEX(Техника!$H$1:$ABO$500,F$2,0),"З")</f>
        <v>0</v>
      </c>
      <c r="G1157" s="50">
        <f>SUMIFS(INDEX(Техника!$F$1:$ABM$500,G$2,0),Техника!$F$4:$ABM$4,"Часы",INDEX(Техника!$G$1:$ABN$500,G$2,0),$A$1152,INDEX(Техника!$H$1:$ABO$500,G$2,0),"З")</f>
        <v>0</v>
      </c>
      <c r="H1157" s="50">
        <f>SUMIFS(INDEX(Техника!$F$1:$ABM$500,H$2,0),Техника!$F$4:$ABM$4,"Часы",INDEX(Техника!$G$1:$ABN$500,H$2,0),$A$1152,INDEX(Техника!$H$1:$ABO$500,H$2,0),"З")</f>
        <v>0</v>
      </c>
      <c r="I1157" s="50">
        <f>SUMIFS(INDEX(Техника!$F$1:$ABM$500,I$2,0),Техника!$F$4:$ABM$4,"Часы",INDEX(Техника!$G$1:$ABN$500,I$2,0),$A$1152,INDEX(Техника!$H$1:$ABO$500,I$2,0),"З")</f>
        <v>0</v>
      </c>
      <c r="J1157" s="50">
        <f>SUMIFS(INDEX(Техника!$F$1:$ABM$500,J$2,0),Техника!$F$4:$ABM$4,"Часы",INDEX(Техника!$G$1:$ABN$500,J$2,0),$A$1152,INDEX(Техника!$H$1:$ABO$500,J$2,0),"З")</f>
        <v>0</v>
      </c>
      <c r="K1157" s="50">
        <f>SUMIFS(INDEX(Техника!$F$1:$ABM$500,K$2,0),Техника!$F$4:$ABM$4,"Часы",INDEX(Техника!$G$1:$ABN$500,K$2,0),$A$1152,INDEX(Техника!$H$1:$ABO$500,K$2,0),"З")</f>
        <v>0</v>
      </c>
      <c r="L1157" s="50">
        <f>SUMIFS(INDEX(Техника!$F$1:$ABM$500,L$2,0),Техника!$F$4:$ABM$4,"Часы",INDEX(Техника!$G$1:$ABN$500,L$2,0),$A$1152,INDEX(Техника!$H$1:$ABO$500,L$2,0),"З")</f>
        <v>0</v>
      </c>
      <c r="M1157" s="50">
        <f>SUMIFS(INDEX(Техника!$F$1:$ABM$500,M$2,0),Техника!$F$4:$ABM$4,"Часы",INDEX(Техника!$G$1:$ABN$500,M$2,0),$A$1152,INDEX(Техника!$H$1:$ABO$500,M$2,0),"З")</f>
        <v>0</v>
      </c>
      <c r="N1157" s="50">
        <f>SUMIFS(INDEX(Техника!$F$1:$ABM$500,N$2,0),Техника!$F$4:$ABM$4,"Часы",INDEX(Техника!$G$1:$ABN$500,N$2,0),$A$1152,INDEX(Техника!$H$1:$ABO$500,N$2,0),"З")</f>
        <v>0</v>
      </c>
      <c r="O1157" s="50">
        <f>SUMIFS(INDEX(Техника!$F$1:$ABM$500,O$2,0),Техника!$F$4:$ABM$4,"Часы",INDEX(Техника!$G$1:$ABN$500,O$2,0),$A$1152,INDEX(Техника!$H$1:$ABO$500,O$2,0),"З")</f>
        <v>0</v>
      </c>
      <c r="P1157" s="50">
        <f>SUMIFS(INDEX(Техника!$F$1:$ABM$500,P$2,0),Техника!$F$4:$ABM$4,"Часы",INDEX(Техника!$G$1:$ABN$500,P$2,0),$A$1152,INDEX(Техника!$H$1:$ABO$500,P$2,0),"З")</f>
        <v>0</v>
      </c>
      <c r="Q1157" s="50">
        <f>SUMIFS(INDEX(Техника!$F$1:$ABM$500,Q$2,0),Техника!$F$4:$ABM$4,"Часы",INDEX(Техника!$G$1:$ABN$500,Q$2,0),$A$1152,INDEX(Техника!$H$1:$ABO$500,Q$2,0),"З")</f>
        <v>0</v>
      </c>
      <c r="R1157" s="50">
        <f>SUMIFS(INDEX(Техника!$F$1:$ABM$500,R$2,0),Техника!$F$4:$ABM$4,"Часы",INDEX(Техника!$G$1:$ABN$500,R$2,0),$A$1152,INDEX(Техника!$H$1:$ABO$500,R$2,0),"З")</f>
        <v>0</v>
      </c>
      <c r="S1157" s="50">
        <f>SUMIFS(INDEX(Техника!$F$1:$ABM$500,S$2,0),Техника!$F$4:$ABM$4,"Часы",INDEX(Техника!$G$1:$ABN$500,S$2,0),$A$1152,INDEX(Техника!$H$1:$ABO$500,S$2,0),"З")</f>
        <v>0</v>
      </c>
      <c r="T1157" s="50">
        <f>SUMIFS(INDEX(Техника!$F$1:$ABM$500,T$2,0),Техника!$F$4:$ABM$4,"Часы",INDEX(Техника!$G$1:$ABN$500,T$2,0),$A$1152,INDEX(Техника!$H$1:$ABO$500,T$2,0),"З")</f>
        <v>0</v>
      </c>
      <c r="U1157" s="50">
        <f>SUMIFS(INDEX(Техника!$F$1:$ABM$500,U$2,0),Техника!$F$4:$ABM$4,"Часы",INDEX(Техника!$G$1:$ABN$500,U$2,0),$A$1152,INDEX(Техника!$H$1:$ABO$500,U$2,0),"З")</f>
        <v>0</v>
      </c>
      <c r="V1157" s="50">
        <f>SUMIFS(INDEX(Техника!$F$1:$ABM$500,V$2,0),Техника!$F$4:$ABM$4,"Часы",INDEX(Техника!$G$1:$ABN$500,V$2,0),$A$1152,INDEX(Техника!$H$1:$ABO$500,V$2,0),"З")</f>
        <v>0</v>
      </c>
      <c r="W1157" s="50">
        <f>SUMIFS(INDEX(Техника!$F$1:$ABM$500,W$2,0),Техника!$F$4:$ABM$4,"Часы",INDEX(Техника!$G$1:$ABN$500,W$2,0),$A$1152,INDEX(Техника!$H$1:$ABO$500,W$2,0),"З")</f>
        <v>0</v>
      </c>
      <c r="X1157" s="50">
        <f>SUMIFS(INDEX(Техника!$F$1:$ABM$500,X$2,0),Техника!$F$4:$ABM$4,"Часы",INDEX(Техника!$G$1:$ABN$500,X$2,0),$A$1152,INDEX(Техника!$H$1:$ABO$500,X$2,0),"З")</f>
        <v>0</v>
      </c>
      <c r="Y1157" s="50">
        <f>SUMIFS(INDEX(Техника!$F$1:$ABM$500,Y$2,0),Техника!$F$4:$ABM$4,"Часы",INDEX(Техника!$G$1:$ABN$500,Y$2,0),$A$1152,INDEX(Техника!$H$1:$ABO$500,Y$2,0),"З")</f>
        <v>0</v>
      </c>
      <c r="Z1157" s="50">
        <f>SUMIFS(INDEX(Техника!$F$1:$ABM$500,Z$2,0),Техника!$F$4:$ABM$4,"Часы",INDEX(Техника!$G$1:$ABN$500,Z$2,0),$A$1152,INDEX(Техника!$H$1:$ABO$500,Z$2,0),"З")</f>
        <v>0</v>
      </c>
      <c r="AA1157" s="50">
        <f>SUMIFS(INDEX(Техника!$F$1:$ABM$500,AA$2,0),Техника!$F$4:$ABM$4,"Часы",INDEX(Техника!$G$1:$ABN$500,AA$2,0),$A$1152,INDEX(Техника!$H$1:$ABO$500,AA$2,0),"З")</f>
        <v>0</v>
      </c>
      <c r="AB1157" s="50">
        <f>SUMIFS(INDEX(Техника!$F$1:$ABM$500,AB$2,0),Техника!$F$4:$ABM$4,"Часы",INDEX(Техника!$G$1:$ABN$500,AB$2,0),$A$1152,INDEX(Техника!$H$1:$ABO$500,AB$2,0),"З")</f>
        <v>0</v>
      </c>
    </row>
    <row r="1158" spans="1:28" ht="7.95" customHeight="1" x14ac:dyDescent="0.3">
      <c r="A1158" s="38"/>
      <c r="B1158" s="39"/>
      <c r="C1158" s="51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</row>
    <row r="1159" spans="1:28" ht="25.05" customHeight="1" collapsed="1" x14ac:dyDescent="0.3">
      <c r="A1159" s="32">
        <v>166</v>
      </c>
      <c r="B1159" s="32" t="s">
        <v>167</v>
      </c>
      <c r="C1159" s="49">
        <f>SUM(C1160:C1164)</f>
        <v>0</v>
      </c>
      <c r="D1159" s="49">
        <f>SUM(D1160:D1164)</f>
        <v>0</v>
      </c>
      <c r="E1159" s="49">
        <f>SUM(E1160:E1164)</f>
        <v>0</v>
      </c>
      <c r="F1159" s="49">
        <f>SUM(F1160:F1164)</f>
        <v>0</v>
      </c>
      <c r="G1159" s="49">
        <f>SUM(G1160:G1164)</f>
        <v>0</v>
      </c>
      <c r="H1159" s="49">
        <f>SUM(H1160:H1164)</f>
        <v>0</v>
      </c>
      <c r="I1159" s="49">
        <f>SUM(I1160:I1164)</f>
        <v>0</v>
      </c>
      <c r="J1159" s="49">
        <f>SUM(J1160:J1164)</f>
        <v>0</v>
      </c>
      <c r="K1159" s="49">
        <f>SUM(K1160:K1164)</f>
        <v>0</v>
      </c>
      <c r="L1159" s="49">
        <f>SUM(L1160:L1164)</f>
        <v>0</v>
      </c>
      <c r="M1159" s="49">
        <f>SUM(M1160:M1164)</f>
        <v>0</v>
      </c>
      <c r="N1159" s="49">
        <f>SUM(N1160:N1164)</f>
        <v>0</v>
      </c>
      <c r="O1159" s="49">
        <f>SUM(O1160:O1164)</f>
        <v>0</v>
      </c>
      <c r="P1159" s="49">
        <f>SUM(P1160:P1164)</f>
        <v>0</v>
      </c>
      <c r="Q1159" s="49">
        <f>SUM(Q1160:Q1164)</f>
        <v>0</v>
      </c>
      <c r="R1159" s="49">
        <f>SUM(R1160:R1164)</f>
        <v>0</v>
      </c>
      <c r="S1159" s="49">
        <f>SUM(S1160:S1164)</f>
        <v>0</v>
      </c>
      <c r="T1159" s="49">
        <f>SUM(T1160:T1164)</f>
        <v>0</v>
      </c>
      <c r="U1159" s="49">
        <f>SUM(U1160:U1164)</f>
        <v>0</v>
      </c>
      <c r="V1159" s="49">
        <f>SUM(V1160:V1164)</f>
        <v>0</v>
      </c>
      <c r="W1159" s="49">
        <f>SUM(W1160:W1164)</f>
        <v>0</v>
      </c>
      <c r="X1159" s="49">
        <f>SUM(X1160:X1164)</f>
        <v>0</v>
      </c>
      <c r="Y1159" s="49">
        <f>SUM(Y1160:Y1164)</f>
        <v>0</v>
      </c>
      <c r="Z1159" s="49">
        <f>SUM(Z1160:Z1164)</f>
        <v>0</v>
      </c>
      <c r="AA1159" s="49">
        <f>SUM(AA1160:AA1164)</f>
        <v>0</v>
      </c>
      <c r="AB1159" s="49">
        <f>SUM(AB1160:AB1164)</f>
        <v>0</v>
      </c>
    </row>
    <row r="1160" spans="1:28" hidden="1" outlineLevel="1" x14ac:dyDescent="0.3">
      <c r="A1160" s="33" t="s">
        <v>246</v>
      </c>
      <c r="B1160" s="34" t="s">
        <v>274</v>
      </c>
      <c r="C1160" s="50">
        <f>SUMIFS(INDEX(Техника!$F$1:$ABM$500,C$2,0),Техника!$F$4:$ABM$4,"Часы",INDEX(Техника!$G$1:$ABN$500,C$2,0),$A$1159,INDEX(Техника!$H$1:$ABO$500,C$2,0),"М")</f>
        <v>0</v>
      </c>
      <c r="D1160" s="50">
        <f>SUMIFS(INDEX(Техника!$F$1:$ABM$500,D$2,0),Техника!$F$4:$ABM$4,"Часы",INDEX(Техника!$G$1:$ABN$500,D$2,0),$A$1159,INDEX(Техника!$H$1:$ABO$500,D$2,0),"М")</f>
        <v>0</v>
      </c>
      <c r="E1160" s="50">
        <f>SUMIFS(INDEX(Техника!$F$1:$ABM$500,E$2,0),Техника!$F$4:$ABM$4,"Часы",INDEX(Техника!$G$1:$ABN$500,E$2,0),$A$1159,INDEX(Техника!$H$1:$ABO$500,E$2,0),"М")</f>
        <v>0</v>
      </c>
      <c r="F1160" s="50">
        <f>SUMIFS(INDEX(Техника!$F$1:$ABM$500,F$2,0),Техника!$F$4:$ABM$4,"Часы",INDEX(Техника!$G$1:$ABN$500,F$2,0),$A$1159,INDEX(Техника!$H$1:$ABO$500,F$2,0),"М")</f>
        <v>0</v>
      </c>
      <c r="G1160" s="50">
        <f>SUMIFS(INDEX(Техника!$F$1:$ABM$500,G$2,0),Техника!$F$4:$ABM$4,"Часы",INDEX(Техника!$G$1:$ABN$500,G$2,0),$A$1159,INDEX(Техника!$H$1:$ABO$500,G$2,0),"М")</f>
        <v>0</v>
      </c>
      <c r="H1160" s="50">
        <f>SUMIFS(INDEX(Техника!$F$1:$ABM$500,H$2,0),Техника!$F$4:$ABM$4,"Часы",INDEX(Техника!$G$1:$ABN$500,H$2,0),$A$1159,INDEX(Техника!$H$1:$ABO$500,H$2,0),"М")</f>
        <v>0</v>
      </c>
      <c r="I1160" s="50">
        <f>SUMIFS(INDEX(Техника!$F$1:$ABM$500,I$2,0),Техника!$F$4:$ABM$4,"Часы",INDEX(Техника!$G$1:$ABN$500,I$2,0),$A$1159,INDEX(Техника!$H$1:$ABO$500,I$2,0),"М")</f>
        <v>0</v>
      </c>
      <c r="J1160" s="50">
        <f>SUMIFS(INDEX(Техника!$F$1:$ABM$500,J$2,0),Техника!$F$4:$ABM$4,"Часы",INDEX(Техника!$G$1:$ABN$500,J$2,0),$A$1159,INDEX(Техника!$H$1:$ABO$500,J$2,0),"М")</f>
        <v>0</v>
      </c>
      <c r="K1160" s="50">
        <f>SUMIFS(INDEX(Техника!$F$1:$ABM$500,K$2,0),Техника!$F$4:$ABM$4,"Часы",INDEX(Техника!$G$1:$ABN$500,K$2,0),$A$1159,INDEX(Техника!$H$1:$ABO$500,K$2,0),"М")</f>
        <v>0</v>
      </c>
      <c r="L1160" s="50">
        <f>SUMIFS(INDEX(Техника!$F$1:$ABM$500,L$2,0),Техника!$F$4:$ABM$4,"Часы",INDEX(Техника!$G$1:$ABN$500,L$2,0),$A$1159,INDEX(Техника!$H$1:$ABO$500,L$2,0),"М")</f>
        <v>0</v>
      </c>
      <c r="M1160" s="50">
        <f>SUMIFS(INDEX(Техника!$F$1:$ABM$500,M$2,0),Техника!$F$4:$ABM$4,"Часы",INDEX(Техника!$G$1:$ABN$500,M$2,0),$A$1159,INDEX(Техника!$H$1:$ABO$500,M$2,0),"М")</f>
        <v>0</v>
      </c>
      <c r="N1160" s="50">
        <f>SUMIFS(INDEX(Техника!$F$1:$ABM$500,N$2,0),Техника!$F$4:$ABM$4,"Часы",INDEX(Техника!$G$1:$ABN$500,N$2,0),$A$1159,INDEX(Техника!$H$1:$ABO$500,N$2,0),"М")</f>
        <v>0</v>
      </c>
      <c r="O1160" s="50">
        <f>SUMIFS(INDEX(Техника!$F$1:$ABM$500,O$2,0),Техника!$F$4:$ABM$4,"Часы",INDEX(Техника!$G$1:$ABN$500,O$2,0),$A$1159,INDEX(Техника!$H$1:$ABO$500,O$2,0),"М")</f>
        <v>0</v>
      </c>
      <c r="P1160" s="50">
        <f>SUMIFS(INDEX(Техника!$F$1:$ABM$500,P$2,0),Техника!$F$4:$ABM$4,"Часы",INDEX(Техника!$G$1:$ABN$500,P$2,0),$A$1159,INDEX(Техника!$H$1:$ABO$500,P$2,0),"М")</f>
        <v>0</v>
      </c>
      <c r="Q1160" s="50">
        <f>SUMIFS(INDEX(Техника!$F$1:$ABM$500,Q$2,0),Техника!$F$4:$ABM$4,"Часы",INDEX(Техника!$G$1:$ABN$500,Q$2,0),$A$1159,INDEX(Техника!$H$1:$ABO$500,Q$2,0),"М")</f>
        <v>0</v>
      </c>
      <c r="R1160" s="50">
        <f>SUMIFS(INDEX(Техника!$F$1:$ABM$500,R$2,0),Техника!$F$4:$ABM$4,"Часы",INDEX(Техника!$G$1:$ABN$500,R$2,0),$A$1159,INDEX(Техника!$H$1:$ABO$500,R$2,0),"М")</f>
        <v>0</v>
      </c>
      <c r="S1160" s="50">
        <f>SUMIFS(INDEX(Техника!$F$1:$ABM$500,S$2,0),Техника!$F$4:$ABM$4,"Часы",INDEX(Техника!$G$1:$ABN$500,S$2,0),$A$1159,INDEX(Техника!$H$1:$ABO$500,S$2,0),"М")</f>
        <v>0</v>
      </c>
      <c r="T1160" s="50">
        <f>SUMIFS(INDEX(Техника!$F$1:$ABM$500,T$2,0),Техника!$F$4:$ABM$4,"Часы",INDEX(Техника!$G$1:$ABN$500,T$2,0),$A$1159,INDEX(Техника!$H$1:$ABO$500,T$2,0),"М")</f>
        <v>0</v>
      </c>
      <c r="U1160" s="50">
        <f>SUMIFS(INDEX(Техника!$F$1:$ABM$500,U$2,0),Техника!$F$4:$ABM$4,"Часы",INDEX(Техника!$G$1:$ABN$500,U$2,0),$A$1159,INDEX(Техника!$H$1:$ABO$500,U$2,0),"М")</f>
        <v>0</v>
      </c>
      <c r="V1160" s="50">
        <f>SUMIFS(INDEX(Техника!$F$1:$ABM$500,V$2,0),Техника!$F$4:$ABM$4,"Часы",INDEX(Техника!$G$1:$ABN$500,V$2,0),$A$1159,INDEX(Техника!$H$1:$ABO$500,V$2,0),"М")</f>
        <v>0</v>
      </c>
      <c r="W1160" s="50">
        <f>SUMIFS(INDEX(Техника!$F$1:$ABM$500,W$2,0),Техника!$F$4:$ABM$4,"Часы",INDEX(Техника!$G$1:$ABN$500,W$2,0),$A$1159,INDEX(Техника!$H$1:$ABO$500,W$2,0),"М")</f>
        <v>0</v>
      </c>
      <c r="X1160" s="50">
        <f>SUMIFS(INDEX(Техника!$F$1:$ABM$500,X$2,0),Техника!$F$4:$ABM$4,"Часы",INDEX(Техника!$G$1:$ABN$500,X$2,0),$A$1159,INDEX(Техника!$H$1:$ABO$500,X$2,0),"М")</f>
        <v>0</v>
      </c>
      <c r="Y1160" s="50">
        <f>SUMIFS(INDEX(Техника!$F$1:$ABM$500,Y$2,0),Техника!$F$4:$ABM$4,"Часы",INDEX(Техника!$G$1:$ABN$500,Y$2,0),$A$1159,INDEX(Техника!$H$1:$ABO$500,Y$2,0),"М")</f>
        <v>0</v>
      </c>
      <c r="Z1160" s="50">
        <f>SUMIFS(INDEX(Техника!$F$1:$ABM$500,Z$2,0),Техника!$F$4:$ABM$4,"Часы",INDEX(Техника!$G$1:$ABN$500,Z$2,0),$A$1159,INDEX(Техника!$H$1:$ABO$500,Z$2,0),"М")</f>
        <v>0</v>
      </c>
      <c r="AA1160" s="50">
        <f>SUMIFS(INDEX(Техника!$F$1:$ABM$500,AA$2,0),Техника!$F$4:$ABM$4,"Часы",INDEX(Техника!$G$1:$ABN$500,AA$2,0),$A$1159,INDEX(Техника!$H$1:$ABO$500,AA$2,0),"М")</f>
        <v>0</v>
      </c>
      <c r="AB1160" s="50">
        <f>SUMIFS(INDEX(Техника!$F$1:$ABM$500,AB$2,0),Техника!$F$4:$ABM$4,"Часы",INDEX(Техника!$G$1:$ABN$500,AB$2,0),$A$1159,INDEX(Техника!$H$1:$ABO$500,AB$2,0),"М")</f>
        <v>0</v>
      </c>
    </row>
    <row r="1161" spans="1:28" hidden="1" outlineLevel="1" x14ac:dyDescent="0.3">
      <c r="A1161" s="33" t="s">
        <v>244</v>
      </c>
      <c r="B1161" s="34" t="s">
        <v>275</v>
      </c>
      <c r="C1161" s="50">
        <f>SUMIFS(INDEX(Техника!$F$1:$ABM$500,C$2,0),Техника!$F$4:$ABM$4,"Часы",INDEX(Техника!$G$1:$ABN$500,C$2,0),$A$1159,INDEX(Техника!$H$1:$ABO$500,C$2,0),"Д")</f>
        <v>0</v>
      </c>
      <c r="D1161" s="50">
        <f>SUMIFS(INDEX(Техника!$F$1:$ABM$500,D$2,0),Техника!$F$4:$ABM$4,"Часы",INDEX(Техника!$G$1:$ABN$500,D$2,0),$A$1159,INDEX(Техника!$H$1:$ABO$500,D$2,0),"Д")</f>
        <v>0</v>
      </c>
      <c r="E1161" s="50">
        <f>SUMIFS(INDEX(Техника!$F$1:$ABM$500,E$2,0),Техника!$F$4:$ABM$4,"Часы",INDEX(Техника!$G$1:$ABN$500,E$2,0),$A$1159,INDEX(Техника!$H$1:$ABO$500,E$2,0),"Д")</f>
        <v>0</v>
      </c>
      <c r="F1161" s="50">
        <f>SUMIFS(INDEX(Техника!$F$1:$ABM$500,F$2,0),Техника!$F$4:$ABM$4,"Часы",INDEX(Техника!$G$1:$ABN$500,F$2,0),$A$1159,INDEX(Техника!$H$1:$ABO$500,F$2,0),"Д")</f>
        <v>0</v>
      </c>
      <c r="G1161" s="50">
        <f>SUMIFS(INDEX(Техника!$F$1:$ABM$500,G$2,0),Техника!$F$4:$ABM$4,"Часы",INDEX(Техника!$G$1:$ABN$500,G$2,0),$A$1159,INDEX(Техника!$H$1:$ABO$500,G$2,0),"Д")</f>
        <v>0</v>
      </c>
      <c r="H1161" s="50">
        <f>SUMIFS(INDEX(Техника!$F$1:$ABM$500,H$2,0),Техника!$F$4:$ABM$4,"Часы",INDEX(Техника!$G$1:$ABN$500,H$2,0),$A$1159,INDEX(Техника!$H$1:$ABO$500,H$2,0),"Д")</f>
        <v>0</v>
      </c>
      <c r="I1161" s="50">
        <f>SUMIFS(INDEX(Техника!$F$1:$ABM$500,I$2,0),Техника!$F$4:$ABM$4,"Часы",INDEX(Техника!$G$1:$ABN$500,I$2,0),$A$1159,INDEX(Техника!$H$1:$ABO$500,I$2,0),"Д")</f>
        <v>0</v>
      </c>
      <c r="J1161" s="50">
        <f>SUMIFS(INDEX(Техника!$F$1:$ABM$500,J$2,0),Техника!$F$4:$ABM$4,"Часы",INDEX(Техника!$G$1:$ABN$500,J$2,0),$A$1159,INDEX(Техника!$H$1:$ABO$500,J$2,0),"Д")</f>
        <v>0</v>
      </c>
      <c r="K1161" s="50">
        <f>SUMIFS(INDEX(Техника!$F$1:$ABM$500,K$2,0),Техника!$F$4:$ABM$4,"Часы",INDEX(Техника!$G$1:$ABN$500,K$2,0),$A$1159,INDEX(Техника!$H$1:$ABO$500,K$2,0),"Д")</f>
        <v>0</v>
      </c>
      <c r="L1161" s="50">
        <f>SUMIFS(INDEX(Техника!$F$1:$ABM$500,L$2,0),Техника!$F$4:$ABM$4,"Часы",INDEX(Техника!$G$1:$ABN$500,L$2,0),$A$1159,INDEX(Техника!$H$1:$ABO$500,L$2,0),"Д")</f>
        <v>0</v>
      </c>
      <c r="M1161" s="50">
        <f>SUMIFS(INDEX(Техника!$F$1:$ABM$500,M$2,0),Техника!$F$4:$ABM$4,"Часы",INDEX(Техника!$G$1:$ABN$500,M$2,0),$A$1159,INDEX(Техника!$H$1:$ABO$500,M$2,0),"Д")</f>
        <v>0</v>
      </c>
      <c r="N1161" s="50">
        <f>SUMIFS(INDEX(Техника!$F$1:$ABM$500,N$2,0),Техника!$F$4:$ABM$4,"Часы",INDEX(Техника!$G$1:$ABN$500,N$2,0),$A$1159,INDEX(Техника!$H$1:$ABO$500,N$2,0),"Д")</f>
        <v>0</v>
      </c>
      <c r="O1161" s="50">
        <f>SUMIFS(INDEX(Техника!$F$1:$ABM$500,O$2,0),Техника!$F$4:$ABM$4,"Часы",INDEX(Техника!$G$1:$ABN$500,O$2,0),$A$1159,INDEX(Техника!$H$1:$ABO$500,O$2,0),"Д")</f>
        <v>0</v>
      </c>
      <c r="P1161" s="50">
        <f>SUMIFS(INDEX(Техника!$F$1:$ABM$500,P$2,0),Техника!$F$4:$ABM$4,"Часы",INDEX(Техника!$G$1:$ABN$500,P$2,0),$A$1159,INDEX(Техника!$H$1:$ABO$500,P$2,0),"Д")</f>
        <v>0</v>
      </c>
      <c r="Q1161" s="50">
        <f>SUMIFS(INDEX(Техника!$F$1:$ABM$500,Q$2,0),Техника!$F$4:$ABM$4,"Часы",INDEX(Техника!$G$1:$ABN$500,Q$2,0),$A$1159,INDEX(Техника!$H$1:$ABO$500,Q$2,0),"Д")</f>
        <v>0</v>
      </c>
      <c r="R1161" s="50">
        <f>SUMIFS(INDEX(Техника!$F$1:$ABM$500,R$2,0),Техника!$F$4:$ABM$4,"Часы",INDEX(Техника!$G$1:$ABN$500,R$2,0),$A$1159,INDEX(Техника!$H$1:$ABO$500,R$2,0),"Д")</f>
        <v>0</v>
      </c>
      <c r="S1161" s="50">
        <f>SUMIFS(INDEX(Техника!$F$1:$ABM$500,S$2,0),Техника!$F$4:$ABM$4,"Часы",INDEX(Техника!$G$1:$ABN$500,S$2,0),$A$1159,INDEX(Техника!$H$1:$ABO$500,S$2,0),"Д")</f>
        <v>0</v>
      </c>
      <c r="T1161" s="50">
        <f>SUMIFS(INDEX(Техника!$F$1:$ABM$500,T$2,0),Техника!$F$4:$ABM$4,"Часы",INDEX(Техника!$G$1:$ABN$500,T$2,0),$A$1159,INDEX(Техника!$H$1:$ABO$500,T$2,0),"Д")</f>
        <v>0</v>
      </c>
      <c r="U1161" s="50">
        <f>SUMIFS(INDEX(Техника!$F$1:$ABM$500,U$2,0),Техника!$F$4:$ABM$4,"Часы",INDEX(Техника!$G$1:$ABN$500,U$2,0),$A$1159,INDEX(Техника!$H$1:$ABO$500,U$2,0),"Д")</f>
        <v>0</v>
      </c>
      <c r="V1161" s="50">
        <f>SUMIFS(INDEX(Техника!$F$1:$ABM$500,V$2,0),Техника!$F$4:$ABM$4,"Часы",INDEX(Техника!$G$1:$ABN$500,V$2,0),$A$1159,INDEX(Техника!$H$1:$ABO$500,V$2,0),"Д")</f>
        <v>0</v>
      </c>
      <c r="W1161" s="50">
        <f>SUMIFS(INDEX(Техника!$F$1:$ABM$500,W$2,0),Техника!$F$4:$ABM$4,"Часы",INDEX(Техника!$G$1:$ABN$500,W$2,0),$A$1159,INDEX(Техника!$H$1:$ABO$500,W$2,0),"Д")</f>
        <v>0</v>
      </c>
      <c r="X1161" s="50">
        <f>SUMIFS(INDEX(Техника!$F$1:$ABM$500,X$2,0),Техника!$F$4:$ABM$4,"Часы",INDEX(Техника!$G$1:$ABN$500,X$2,0),$A$1159,INDEX(Техника!$H$1:$ABO$500,X$2,0),"Д")</f>
        <v>0</v>
      </c>
      <c r="Y1161" s="50">
        <f>SUMIFS(INDEX(Техника!$F$1:$ABM$500,Y$2,0),Техника!$F$4:$ABM$4,"Часы",INDEX(Техника!$G$1:$ABN$500,Y$2,0),$A$1159,INDEX(Техника!$H$1:$ABO$500,Y$2,0),"Д")</f>
        <v>0</v>
      </c>
      <c r="Z1161" s="50">
        <f>SUMIFS(INDEX(Техника!$F$1:$ABM$500,Z$2,0),Техника!$F$4:$ABM$4,"Часы",INDEX(Техника!$G$1:$ABN$500,Z$2,0),$A$1159,INDEX(Техника!$H$1:$ABO$500,Z$2,0),"Д")</f>
        <v>0</v>
      </c>
      <c r="AA1161" s="50">
        <f>SUMIFS(INDEX(Техника!$F$1:$ABM$500,AA$2,0),Техника!$F$4:$ABM$4,"Часы",INDEX(Техника!$G$1:$ABN$500,AA$2,0),$A$1159,INDEX(Техника!$H$1:$ABO$500,AA$2,0),"Д")</f>
        <v>0</v>
      </c>
      <c r="AB1161" s="50">
        <f>SUMIFS(INDEX(Техника!$F$1:$ABM$500,AB$2,0),Техника!$F$4:$ABM$4,"Часы",INDEX(Техника!$G$1:$ABN$500,AB$2,0),$A$1159,INDEX(Техника!$H$1:$ABO$500,AB$2,0),"Д")</f>
        <v>0</v>
      </c>
    </row>
    <row r="1162" spans="1:28" hidden="1" outlineLevel="1" x14ac:dyDescent="0.3">
      <c r="A1162" s="33" t="s">
        <v>276</v>
      </c>
      <c r="B1162" s="34" t="s">
        <v>277</v>
      </c>
      <c r="C1162" s="50">
        <f>SUMIFS(INDEX(Техника!$F$1:$ABM$500,C$2,0),Техника!$F$4:$ABM$4,"Часы",INDEX(Техника!$G$1:$ABN$500,C$2,0),$A$1159,INDEX(Техника!$H$1:$ABO$500,C$2,0),"П")</f>
        <v>0</v>
      </c>
      <c r="D1162" s="50">
        <f>SUMIFS(INDEX(Техника!$F$1:$ABM$500,D$2,0),Техника!$F$4:$ABM$4,"Часы",INDEX(Техника!$G$1:$ABN$500,D$2,0),$A$1159,INDEX(Техника!$H$1:$ABO$500,D$2,0),"П")</f>
        <v>0</v>
      </c>
      <c r="E1162" s="50">
        <f>SUMIFS(INDEX(Техника!$F$1:$ABM$500,E$2,0),Техника!$F$4:$ABM$4,"Часы",INDEX(Техника!$G$1:$ABN$500,E$2,0),$A$1159,INDEX(Техника!$H$1:$ABO$500,E$2,0),"П")</f>
        <v>0</v>
      </c>
      <c r="F1162" s="50">
        <f>SUMIFS(INDEX(Техника!$F$1:$ABM$500,F$2,0),Техника!$F$4:$ABM$4,"Часы",INDEX(Техника!$G$1:$ABN$500,F$2,0),$A$1159,INDEX(Техника!$H$1:$ABO$500,F$2,0),"П")</f>
        <v>0</v>
      </c>
      <c r="G1162" s="50">
        <f>SUMIFS(INDEX(Техника!$F$1:$ABM$500,G$2,0),Техника!$F$4:$ABM$4,"Часы",INDEX(Техника!$G$1:$ABN$500,G$2,0),$A$1159,INDEX(Техника!$H$1:$ABO$500,G$2,0),"П")</f>
        <v>0</v>
      </c>
      <c r="H1162" s="50">
        <f>SUMIFS(INDEX(Техника!$F$1:$ABM$500,H$2,0),Техника!$F$4:$ABM$4,"Часы",INDEX(Техника!$G$1:$ABN$500,H$2,0),$A$1159,INDEX(Техника!$H$1:$ABO$500,H$2,0),"П")</f>
        <v>0</v>
      </c>
      <c r="I1162" s="50">
        <f>SUMIFS(INDEX(Техника!$F$1:$ABM$500,I$2,0),Техника!$F$4:$ABM$4,"Часы",INDEX(Техника!$G$1:$ABN$500,I$2,0),$A$1159,INDEX(Техника!$H$1:$ABO$500,I$2,0),"П")</f>
        <v>0</v>
      </c>
      <c r="J1162" s="50">
        <f>SUMIFS(INDEX(Техника!$F$1:$ABM$500,J$2,0),Техника!$F$4:$ABM$4,"Часы",INDEX(Техника!$G$1:$ABN$500,J$2,0),$A$1159,INDEX(Техника!$H$1:$ABO$500,J$2,0),"П")</f>
        <v>0</v>
      </c>
      <c r="K1162" s="50">
        <f>SUMIFS(INDEX(Техника!$F$1:$ABM$500,K$2,0),Техника!$F$4:$ABM$4,"Часы",INDEX(Техника!$G$1:$ABN$500,K$2,0),$A$1159,INDEX(Техника!$H$1:$ABO$500,K$2,0),"П")</f>
        <v>0</v>
      </c>
      <c r="L1162" s="50">
        <f>SUMIFS(INDEX(Техника!$F$1:$ABM$500,L$2,0),Техника!$F$4:$ABM$4,"Часы",INDEX(Техника!$G$1:$ABN$500,L$2,0),$A$1159,INDEX(Техника!$H$1:$ABO$500,L$2,0),"П")</f>
        <v>0</v>
      </c>
      <c r="M1162" s="50">
        <f>SUMIFS(INDEX(Техника!$F$1:$ABM$500,M$2,0),Техника!$F$4:$ABM$4,"Часы",INDEX(Техника!$G$1:$ABN$500,M$2,0),$A$1159,INDEX(Техника!$H$1:$ABO$500,M$2,0),"П")</f>
        <v>0</v>
      </c>
      <c r="N1162" s="50">
        <f>SUMIFS(INDEX(Техника!$F$1:$ABM$500,N$2,0),Техника!$F$4:$ABM$4,"Часы",INDEX(Техника!$G$1:$ABN$500,N$2,0),$A$1159,INDEX(Техника!$H$1:$ABO$500,N$2,0),"П")</f>
        <v>0</v>
      </c>
      <c r="O1162" s="50">
        <f>SUMIFS(INDEX(Техника!$F$1:$ABM$500,O$2,0),Техника!$F$4:$ABM$4,"Часы",INDEX(Техника!$G$1:$ABN$500,O$2,0),$A$1159,INDEX(Техника!$H$1:$ABO$500,O$2,0),"П")</f>
        <v>0</v>
      </c>
      <c r="P1162" s="50">
        <f>SUMIFS(INDEX(Техника!$F$1:$ABM$500,P$2,0),Техника!$F$4:$ABM$4,"Часы",INDEX(Техника!$G$1:$ABN$500,P$2,0),$A$1159,INDEX(Техника!$H$1:$ABO$500,P$2,0),"П")</f>
        <v>0</v>
      </c>
      <c r="Q1162" s="50">
        <f>SUMIFS(INDEX(Техника!$F$1:$ABM$500,Q$2,0),Техника!$F$4:$ABM$4,"Часы",INDEX(Техника!$G$1:$ABN$500,Q$2,0),$A$1159,INDEX(Техника!$H$1:$ABO$500,Q$2,0),"П")</f>
        <v>0</v>
      </c>
      <c r="R1162" s="50">
        <f>SUMIFS(INDEX(Техника!$F$1:$ABM$500,R$2,0),Техника!$F$4:$ABM$4,"Часы",INDEX(Техника!$G$1:$ABN$500,R$2,0),$A$1159,INDEX(Техника!$H$1:$ABO$500,R$2,0),"П")</f>
        <v>0</v>
      </c>
      <c r="S1162" s="50">
        <f>SUMIFS(INDEX(Техника!$F$1:$ABM$500,S$2,0),Техника!$F$4:$ABM$4,"Часы",INDEX(Техника!$G$1:$ABN$500,S$2,0),$A$1159,INDEX(Техника!$H$1:$ABO$500,S$2,0),"П")</f>
        <v>0</v>
      </c>
      <c r="T1162" s="50">
        <f>SUMIFS(INDEX(Техника!$F$1:$ABM$500,T$2,0),Техника!$F$4:$ABM$4,"Часы",INDEX(Техника!$G$1:$ABN$500,T$2,0),$A$1159,INDEX(Техника!$H$1:$ABO$500,T$2,0),"П")</f>
        <v>0</v>
      </c>
      <c r="U1162" s="50">
        <f>SUMIFS(INDEX(Техника!$F$1:$ABM$500,U$2,0),Техника!$F$4:$ABM$4,"Часы",INDEX(Техника!$G$1:$ABN$500,U$2,0),$A$1159,INDEX(Техника!$H$1:$ABO$500,U$2,0),"П")</f>
        <v>0</v>
      </c>
      <c r="V1162" s="50">
        <f>SUMIFS(INDEX(Техника!$F$1:$ABM$500,V$2,0),Техника!$F$4:$ABM$4,"Часы",INDEX(Техника!$G$1:$ABN$500,V$2,0),$A$1159,INDEX(Техника!$H$1:$ABO$500,V$2,0),"П")</f>
        <v>0</v>
      </c>
      <c r="W1162" s="50">
        <f>SUMIFS(INDEX(Техника!$F$1:$ABM$500,W$2,0),Техника!$F$4:$ABM$4,"Часы",INDEX(Техника!$G$1:$ABN$500,W$2,0),$A$1159,INDEX(Техника!$H$1:$ABO$500,W$2,0),"П")</f>
        <v>0</v>
      </c>
      <c r="X1162" s="50">
        <f>SUMIFS(INDEX(Техника!$F$1:$ABM$500,X$2,0),Техника!$F$4:$ABM$4,"Часы",INDEX(Техника!$G$1:$ABN$500,X$2,0),$A$1159,INDEX(Техника!$H$1:$ABO$500,X$2,0),"П")</f>
        <v>0</v>
      </c>
      <c r="Y1162" s="50">
        <f>SUMIFS(INDEX(Техника!$F$1:$ABM$500,Y$2,0),Техника!$F$4:$ABM$4,"Часы",INDEX(Техника!$G$1:$ABN$500,Y$2,0),$A$1159,INDEX(Техника!$H$1:$ABO$500,Y$2,0),"П")</f>
        <v>0</v>
      </c>
      <c r="Z1162" s="50">
        <f>SUMIFS(INDEX(Техника!$F$1:$ABM$500,Z$2,0),Техника!$F$4:$ABM$4,"Часы",INDEX(Техника!$G$1:$ABN$500,Z$2,0),$A$1159,INDEX(Техника!$H$1:$ABO$500,Z$2,0),"П")</f>
        <v>0</v>
      </c>
      <c r="AA1162" s="50">
        <f>SUMIFS(INDEX(Техника!$F$1:$ABM$500,AA$2,0),Техника!$F$4:$ABM$4,"Часы",INDEX(Техника!$G$1:$ABN$500,AA$2,0),$A$1159,INDEX(Техника!$H$1:$ABO$500,AA$2,0),"П")</f>
        <v>0</v>
      </c>
      <c r="AB1162" s="50">
        <f>SUMIFS(INDEX(Техника!$F$1:$ABM$500,AB$2,0),Техника!$F$4:$ABM$4,"Часы",INDEX(Техника!$G$1:$ABN$500,AB$2,0),$A$1159,INDEX(Техника!$H$1:$ABO$500,AB$2,0),"П")</f>
        <v>0</v>
      </c>
    </row>
    <row r="1163" spans="1:28" hidden="1" outlineLevel="1" x14ac:dyDescent="0.3">
      <c r="A1163" s="33" t="s">
        <v>243</v>
      </c>
      <c r="B1163" s="34" t="s">
        <v>278</v>
      </c>
      <c r="C1163" s="50">
        <f>SUMIFS(INDEX(Техника!$F$1:$ABM$500,C$2,0),Техника!$F$4:$ABM$4,"Часы",INDEX(Техника!$G$1:$ABN$500,C$2,0),$A$1159,INDEX(Техника!$H$1:$ABO$500,C$2,0),"Л")</f>
        <v>0</v>
      </c>
      <c r="D1163" s="50">
        <f>SUMIFS(INDEX(Техника!$F$1:$ABM$500,D$2,0),Техника!$F$4:$ABM$4,"Часы",INDEX(Техника!$G$1:$ABN$500,D$2,0),$A$1159,INDEX(Техника!$H$1:$ABO$500,D$2,0),"Л")</f>
        <v>0</v>
      </c>
      <c r="E1163" s="50">
        <f>SUMIFS(INDEX(Техника!$F$1:$ABM$500,E$2,0),Техника!$F$4:$ABM$4,"Часы",INDEX(Техника!$G$1:$ABN$500,E$2,0),$A$1159,INDEX(Техника!$H$1:$ABO$500,E$2,0),"Л")</f>
        <v>0</v>
      </c>
      <c r="F1163" s="50">
        <f>SUMIFS(INDEX(Техника!$F$1:$ABM$500,F$2,0),Техника!$F$4:$ABM$4,"Часы",INDEX(Техника!$G$1:$ABN$500,F$2,0),$A$1159,INDEX(Техника!$H$1:$ABO$500,F$2,0),"Л")</f>
        <v>0</v>
      </c>
      <c r="G1163" s="50">
        <f>SUMIFS(INDEX(Техника!$F$1:$ABM$500,G$2,0),Техника!$F$4:$ABM$4,"Часы",INDEX(Техника!$G$1:$ABN$500,G$2,0),$A$1159,INDEX(Техника!$H$1:$ABO$500,G$2,0),"Л")</f>
        <v>0</v>
      </c>
      <c r="H1163" s="50">
        <f>SUMIFS(INDEX(Техника!$F$1:$ABM$500,H$2,0),Техника!$F$4:$ABM$4,"Часы",INDEX(Техника!$G$1:$ABN$500,H$2,0),$A$1159,INDEX(Техника!$H$1:$ABO$500,H$2,0),"Л")</f>
        <v>0</v>
      </c>
      <c r="I1163" s="50">
        <f>SUMIFS(INDEX(Техника!$F$1:$ABM$500,I$2,0),Техника!$F$4:$ABM$4,"Часы",INDEX(Техника!$G$1:$ABN$500,I$2,0),$A$1159,INDEX(Техника!$H$1:$ABO$500,I$2,0),"Л")</f>
        <v>0</v>
      </c>
      <c r="J1163" s="50">
        <f>SUMIFS(INDEX(Техника!$F$1:$ABM$500,J$2,0),Техника!$F$4:$ABM$4,"Часы",INDEX(Техника!$G$1:$ABN$500,J$2,0),$A$1159,INDEX(Техника!$H$1:$ABO$500,J$2,0),"Л")</f>
        <v>0</v>
      </c>
      <c r="K1163" s="50">
        <f>SUMIFS(INDEX(Техника!$F$1:$ABM$500,K$2,0),Техника!$F$4:$ABM$4,"Часы",INDEX(Техника!$G$1:$ABN$500,K$2,0),$A$1159,INDEX(Техника!$H$1:$ABO$500,K$2,0),"Л")</f>
        <v>0</v>
      </c>
      <c r="L1163" s="50">
        <f>SUMIFS(INDEX(Техника!$F$1:$ABM$500,L$2,0),Техника!$F$4:$ABM$4,"Часы",INDEX(Техника!$G$1:$ABN$500,L$2,0),$A$1159,INDEX(Техника!$H$1:$ABO$500,L$2,0),"Л")</f>
        <v>0</v>
      </c>
      <c r="M1163" s="50">
        <f>SUMIFS(INDEX(Техника!$F$1:$ABM$500,M$2,0),Техника!$F$4:$ABM$4,"Часы",INDEX(Техника!$G$1:$ABN$500,M$2,0),$A$1159,INDEX(Техника!$H$1:$ABO$500,M$2,0),"Л")</f>
        <v>0</v>
      </c>
      <c r="N1163" s="50">
        <f>SUMIFS(INDEX(Техника!$F$1:$ABM$500,N$2,0),Техника!$F$4:$ABM$4,"Часы",INDEX(Техника!$G$1:$ABN$500,N$2,0),$A$1159,INDEX(Техника!$H$1:$ABO$500,N$2,0),"Л")</f>
        <v>0</v>
      </c>
      <c r="O1163" s="50">
        <f>SUMIFS(INDEX(Техника!$F$1:$ABM$500,O$2,0),Техника!$F$4:$ABM$4,"Часы",INDEX(Техника!$G$1:$ABN$500,O$2,0),$A$1159,INDEX(Техника!$H$1:$ABO$500,O$2,0),"Л")</f>
        <v>0</v>
      </c>
      <c r="P1163" s="50">
        <f>SUMIFS(INDEX(Техника!$F$1:$ABM$500,P$2,0),Техника!$F$4:$ABM$4,"Часы",INDEX(Техника!$G$1:$ABN$500,P$2,0),$A$1159,INDEX(Техника!$H$1:$ABO$500,P$2,0),"Л")</f>
        <v>0</v>
      </c>
      <c r="Q1163" s="50">
        <f>SUMIFS(INDEX(Техника!$F$1:$ABM$500,Q$2,0),Техника!$F$4:$ABM$4,"Часы",INDEX(Техника!$G$1:$ABN$500,Q$2,0),$A$1159,INDEX(Техника!$H$1:$ABO$500,Q$2,0),"Л")</f>
        <v>0</v>
      </c>
      <c r="R1163" s="50">
        <f>SUMIFS(INDEX(Техника!$F$1:$ABM$500,R$2,0),Техника!$F$4:$ABM$4,"Часы",INDEX(Техника!$G$1:$ABN$500,R$2,0),$A$1159,INDEX(Техника!$H$1:$ABO$500,R$2,0),"Л")</f>
        <v>0</v>
      </c>
      <c r="S1163" s="50">
        <f>SUMIFS(INDEX(Техника!$F$1:$ABM$500,S$2,0),Техника!$F$4:$ABM$4,"Часы",INDEX(Техника!$G$1:$ABN$500,S$2,0),$A$1159,INDEX(Техника!$H$1:$ABO$500,S$2,0),"Л")</f>
        <v>0</v>
      </c>
      <c r="T1163" s="50">
        <f>SUMIFS(INDEX(Техника!$F$1:$ABM$500,T$2,0),Техника!$F$4:$ABM$4,"Часы",INDEX(Техника!$G$1:$ABN$500,T$2,0),$A$1159,INDEX(Техника!$H$1:$ABO$500,T$2,0),"Л")</f>
        <v>0</v>
      </c>
      <c r="U1163" s="50">
        <f>SUMIFS(INDEX(Техника!$F$1:$ABM$500,U$2,0),Техника!$F$4:$ABM$4,"Часы",INDEX(Техника!$G$1:$ABN$500,U$2,0),$A$1159,INDEX(Техника!$H$1:$ABO$500,U$2,0),"Л")</f>
        <v>0</v>
      </c>
      <c r="V1163" s="50">
        <f>SUMIFS(INDEX(Техника!$F$1:$ABM$500,V$2,0),Техника!$F$4:$ABM$4,"Часы",INDEX(Техника!$G$1:$ABN$500,V$2,0),$A$1159,INDEX(Техника!$H$1:$ABO$500,V$2,0),"Л")</f>
        <v>0</v>
      </c>
      <c r="W1163" s="50">
        <f>SUMIFS(INDEX(Техника!$F$1:$ABM$500,W$2,0),Техника!$F$4:$ABM$4,"Часы",INDEX(Техника!$G$1:$ABN$500,W$2,0),$A$1159,INDEX(Техника!$H$1:$ABO$500,W$2,0),"Л")</f>
        <v>0</v>
      </c>
      <c r="X1163" s="50">
        <f>SUMIFS(INDEX(Техника!$F$1:$ABM$500,X$2,0),Техника!$F$4:$ABM$4,"Часы",INDEX(Техника!$G$1:$ABN$500,X$2,0),$A$1159,INDEX(Техника!$H$1:$ABO$500,X$2,0),"Л")</f>
        <v>0</v>
      </c>
      <c r="Y1163" s="50">
        <f>SUMIFS(INDEX(Техника!$F$1:$ABM$500,Y$2,0),Техника!$F$4:$ABM$4,"Часы",INDEX(Техника!$G$1:$ABN$500,Y$2,0),$A$1159,INDEX(Техника!$H$1:$ABO$500,Y$2,0),"Л")</f>
        <v>0</v>
      </c>
      <c r="Z1163" s="50">
        <f>SUMIFS(INDEX(Техника!$F$1:$ABM$500,Z$2,0),Техника!$F$4:$ABM$4,"Часы",INDEX(Техника!$G$1:$ABN$500,Z$2,0),$A$1159,INDEX(Техника!$H$1:$ABO$500,Z$2,0),"Л")</f>
        <v>0</v>
      </c>
      <c r="AA1163" s="50">
        <f>SUMIFS(INDEX(Техника!$F$1:$ABM$500,AA$2,0),Техника!$F$4:$ABM$4,"Часы",INDEX(Техника!$G$1:$ABN$500,AA$2,0),$A$1159,INDEX(Техника!$H$1:$ABO$500,AA$2,0),"Л")</f>
        <v>0</v>
      </c>
      <c r="AB1163" s="50">
        <f>SUMIFS(INDEX(Техника!$F$1:$ABM$500,AB$2,0),Техника!$F$4:$ABM$4,"Часы",INDEX(Техника!$G$1:$ABN$500,AB$2,0),$A$1159,INDEX(Техника!$H$1:$ABO$500,AB$2,0),"Л")</f>
        <v>0</v>
      </c>
    </row>
    <row r="1164" spans="1:28" hidden="1" outlineLevel="1" x14ac:dyDescent="0.3">
      <c r="A1164" s="33" t="s">
        <v>245</v>
      </c>
      <c r="B1164" s="34" t="s">
        <v>279</v>
      </c>
      <c r="C1164" s="50">
        <f>SUMIFS(INDEX(Техника!$F$1:$ABM$500,C$2,0),Техника!$F$4:$ABM$4,"Часы",INDEX(Техника!$G$1:$ABN$500,C$2,0),$A$1159,INDEX(Техника!$H$1:$ABO$500,C$2,0),"З")</f>
        <v>0</v>
      </c>
      <c r="D1164" s="50">
        <f>SUMIFS(INDEX(Техника!$F$1:$ABM$500,D$2,0),Техника!$F$4:$ABM$4,"Часы",INDEX(Техника!$G$1:$ABN$500,D$2,0),$A$1159,INDEX(Техника!$H$1:$ABO$500,D$2,0),"З")</f>
        <v>0</v>
      </c>
      <c r="E1164" s="50">
        <f>SUMIFS(INDEX(Техника!$F$1:$ABM$500,E$2,0),Техника!$F$4:$ABM$4,"Часы",INDEX(Техника!$G$1:$ABN$500,E$2,0),$A$1159,INDEX(Техника!$H$1:$ABO$500,E$2,0),"З")</f>
        <v>0</v>
      </c>
      <c r="F1164" s="50">
        <f>SUMIFS(INDEX(Техника!$F$1:$ABM$500,F$2,0),Техника!$F$4:$ABM$4,"Часы",INDEX(Техника!$G$1:$ABN$500,F$2,0),$A$1159,INDEX(Техника!$H$1:$ABO$500,F$2,0),"З")</f>
        <v>0</v>
      </c>
      <c r="G1164" s="50">
        <f>SUMIFS(INDEX(Техника!$F$1:$ABM$500,G$2,0),Техника!$F$4:$ABM$4,"Часы",INDEX(Техника!$G$1:$ABN$500,G$2,0),$A$1159,INDEX(Техника!$H$1:$ABO$500,G$2,0),"З")</f>
        <v>0</v>
      </c>
      <c r="H1164" s="50">
        <f>SUMIFS(INDEX(Техника!$F$1:$ABM$500,H$2,0),Техника!$F$4:$ABM$4,"Часы",INDEX(Техника!$G$1:$ABN$500,H$2,0),$A$1159,INDEX(Техника!$H$1:$ABO$500,H$2,0),"З")</f>
        <v>0</v>
      </c>
      <c r="I1164" s="50">
        <f>SUMIFS(INDEX(Техника!$F$1:$ABM$500,I$2,0),Техника!$F$4:$ABM$4,"Часы",INDEX(Техника!$G$1:$ABN$500,I$2,0),$A$1159,INDEX(Техника!$H$1:$ABO$500,I$2,0),"З")</f>
        <v>0</v>
      </c>
      <c r="J1164" s="50">
        <f>SUMIFS(INDEX(Техника!$F$1:$ABM$500,J$2,0),Техника!$F$4:$ABM$4,"Часы",INDEX(Техника!$G$1:$ABN$500,J$2,0),$A$1159,INDEX(Техника!$H$1:$ABO$500,J$2,0),"З")</f>
        <v>0</v>
      </c>
      <c r="K1164" s="50">
        <f>SUMIFS(INDEX(Техника!$F$1:$ABM$500,K$2,0),Техника!$F$4:$ABM$4,"Часы",INDEX(Техника!$G$1:$ABN$500,K$2,0),$A$1159,INDEX(Техника!$H$1:$ABO$500,K$2,0),"З")</f>
        <v>0</v>
      </c>
      <c r="L1164" s="50">
        <f>SUMIFS(INDEX(Техника!$F$1:$ABM$500,L$2,0),Техника!$F$4:$ABM$4,"Часы",INDEX(Техника!$G$1:$ABN$500,L$2,0),$A$1159,INDEX(Техника!$H$1:$ABO$500,L$2,0),"З")</f>
        <v>0</v>
      </c>
      <c r="M1164" s="50">
        <f>SUMIFS(INDEX(Техника!$F$1:$ABM$500,M$2,0),Техника!$F$4:$ABM$4,"Часы",INDEX(Техника!$G$1:$ABN$500,M$2,0),$A$1159,INDEX(Техника!$H$1:$ABO$500,M$2,0),"З")</f>
        <v>0</v>
      </c>
      <c r="N1164" s="50">
        <f>SUMIFS(INDEX(Техника!$F$1:$ABM$500,N$2,0),Техника!$F$4:$ABM$4,"Часы",INDEX(Техника!$G$1:$ABN$500,N$2,0),$A$1159,INDEX(Техника!$H$1:$ABO$500,N$2,0),"З")</f>
        <v>0</v>
      </c>
      <c r="O1164" s="50">
        <f>SUMIFS(INDEX(Техника!$F$1:$ABM$500,O$2,0),Техника!$F$4:$ABM$4,"Часы",INDEX(Техника!$G$1:$ABN$500,O$2,0),$A$1159,INDEX(Техника!$H$1:$ABO$500,O$2,0),"З")</f>
        <v>0</v>
      </c>
      <c r="P1164" s="50">
        <f>SUMIFS(INDEX(Техника!$F$1:$ABM$500,P$2,0),Техника!$F$4:$ABM$4,"Часы",INDEX(Техника!$G$1:$ABN$500,P$2,0),$A$1159,INDEX(Техника!$H$1:$ABO$500,P$2,0),"З")</f>
        <v>0</v>
      </c>
      <c r="Q1164" s="50">
        <f>SUMIFS(INDEX(Техника!$F$1:$ABM$500,Q$2,0),Техника!$F$4:$ABM$4,"Часы",INDEX(Техника!$G$1:$ABN$500,Q$2,0),$A$1159,INDEX(Техника!$H$1:$ABO$500,Q$2,0),"З")</f>
        <v>0</v>
      </c>
      <c r="R1164" s="50">
        <f>SUMIFS(INDEX(Техника!$F$1:$ABM$500,R$2,0),Техника!$F$4:$ABM$4,"Часы",INDEX(Техника!$G$1:$ABN$500,R$2,0),$A$1159,INDEX(Техника!$H$1:$ABO$500,R$2,0),"З")</f>
        <v>0</v>
      </c>
      <c r="S1164" s="50">
        <f>SUMIFS(INDEX(Техника!$F$1:$ABM$500,S$2,0),Техника!$F$4:$ABM$4,"Часы",INDEX(Техника!$G$1:$ABN$500,S$2,0),$A$1159,INDEX(Техника!$H$1:$ABO$500,S$2,0),"З")</f>
        <v>0</v>
      </c>
      <c r="T1164" s="50">
        <f>SUMIFS(INDEX(Техника!$F$1:$ABM$500,T$2,0),Техника!$F$4:$ABM$4,"Часы",INDEX(Техника!$G$1:$ABN$500,T$2,0),$A$1159,INDEX(Техника!$H$1:$ABO$500,T$2,0),"З")</f>
        <v>0</v>
      </c>
      <c r="U1164" s="50">
        <f>SUMIFS(INDEX(Техника!$F$1:$ABM$500,U$2,0),Техника!$F$4:$ABM$4,"Часы",INDEX(Техника!$G$1:$ABN$500,U$2,0),$A$1159,INDEX(Техника!$H$1:$ABO$500,U$2,0),"З")</f>
        <v>0</v>
      </c>
      <c r="V1164" s="50">
        <f>SUMIFS(INDEX(Техника!$F$1:$ABM$500,V$2,0),Техника!$F$4:$ABM$4,"Часы",INDEX(Техника!$G$1:$ABN$500,V$2,0),$A$1159,INDEX(Техника!$H$1:$ABO$500,V$2,0),"З")</f>
        <v>0</v>
      </c>
      <c r="W1164" s="50">
        <f>SUMIFS(INDEX(Техника!$F$1:$ABM$500,W$2,0),Техника!$F$4:$ABM$4,"Часы",INDEX(Техника!$G$1:$ABN$500,W$2,0),$A$1159,INDEX(Техника!$H$1:$ABO$500,W$2,0),"З")</f>
        <v>0</v>
      </c>
      <c r="X1164" s="50">
        <f>SUMIFS(INDEX(Техника!$F$1:$ABM$500,X$2,0),Техника!$F$4:$ABM$4,"Часы",INDEX(Техника!$G$1:$ABN$500,X$2,0),$A$1159,INDEX(Техника!$H$1:$ABO$500,X$2,0),"З")</f>
        <v>0</v>
      </c>
      <c r="Y1164" s="50">
        <f>SUMIFS(INDEX(Техника!$F$1:$ABM$500,Y$2,0),Техника!$F$4:$ABM$4,"Часы",INDEX(Техника!$G$1:$ABN$500,Y$2,0),$A$1159,INDEX(Техника!$H$1:$ABO$500,Y$2,0),"З")</f>
        <v>0</v>
      </c>
      <c r="Z1164" s="50">
        <f>SUMIFS(INDEX(Техника!$F$1:$ABM$500,Z$2,0),Техника!$F$4:$ABM$4,"Часы",INDEX(Техника!$G$1:$ABN$500,Z$2,0),$A$1159,INDEX(Техника!$H$1:$ABO$500,Z$2,0),"З")</f>
        <v>0</v>
      </c>
      <c r="AA1164" s="50">
        <f>SUMIFS(INDEX(Техника!$F$1:$ABM$500,AA$2,0),Техника!$F$4:$ABM$4,"Часы",INDEX(Техника!$G$1:$ABN$500,AA$2,0),$A$1159,INDEX(Техника!$H$1:$ABO$500,AA$2,0),"З")</f>
        <v>0</v>
      </c>
      <c r="AB1164" s="50">
        <f>SUMIFS(INDEX(Техника!$F$1:$ABM$500,AB$2,0),Техника!$F$4:$ABM$4,"Часы",INDEX(Техника!$G$1:$ABN$500,AB$2,0),$A$1159,INDEX(Техника!$H$1:$ABO$500,AB$2,0),"З")</f>
        <v>0</v>
      </c>
    </row>
    <row r="1165" spans="1:28" ht="7.95" customHeight="1" x14ac:dyDescent="0.3">
      <c r="A1165" s="38"/>
      <c r="B1165" s="39"/>
      <c r="C1165" s="51"/>
      <c r="D1165" s="51"/>
      <c r="E1165" s="51"/>
      <c r="F1165" s="51"/>
      <c r="G1165" s="51"/>
      <c r="H1165" s="51"/>
      <c r="I1165" s="51"/>
      <c r="J1165" s="51"/>
      <c r="K1165" s="51"/>
      <c r="L1165" s="51"/>
      <c r="M1165" s="51"/>
      <c r="N1165" s="51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</row>
    <row r="1166" spans="1:28" ht="25.05" customHeight="1" collapsed="1" x14ac:dyDescent="0.3">
      <c r="A1166" s="32">
        <v>167</v>
      </c>
      <c r="B1166" s="32" t="s">
        <v>168</v>
      </c>
      <c r="C1166" s="49">
        <f>SUM(C1167:C1171)</f>
        <v>0</v>
      </c>
      <c r="D1166" s="49">
        <f>SUM(D1167:D1171)</f>
        <v>0</v>
      </c>
      <c r="E1166" s="49">
        <f>SUM(E1167:E1171)</f>
        <v>0</v>
      </c>
      <c r="F1166" s="49">
        <f>SUM(F1167:F1171)</f>
        <v>0</v>
      </c>
      <c r="G1166" s="49">
        <f>SUM(G1167:G1171)</f>
        <v>0</v>
      </c>
      <c r="H1166" s="49">
        <f>SUM(H1167:H1171)</f>
        <v>0</v>
      </c>
      <c r="I1166" s="49">
        <f>SUM(I1167:I1171)</f>
        <v>0</v>
      </c>
      <c r="J1166" s="49">
        <f>SUM(J1167:J1171)</f>
        <v>0</v>
      </c>
      <c r="K1166" s="49">
        <f>SUM(K1167:K1171)</f>
        <v>0</v>
      </c>
      <c r="L1166" s="49">
        <f>SUM(L1167:L1171)</f>
        <v>0</v>
      </c>
      <c r="M1166" s="49">
        <f>SUM(M1167:M1171)</f>
        <v>0</v>
      </c>
      <c r="N1166" s="49">
        <f>SUM(N1167:N1171)</f>
        <v>0</v>
      </c>
      <c r="O1166" s="49">
        <f>SUM(O1167:O1171)</f>
        <v>0</v>
      </c>
      <c r="P1166" s="49">
        <f>SUM(P1167:P1171)</f>
        <v>0</v>
      </c>
      <c r="Q1166" s="49">
        <f>SUM(Q1167:Q1171)</f>
        <v>0</v>
      </c>
      <c r="R1166" s="49">
        <f>SUM(R1167:R1171)</f>
        <v>0</v>
      </c>
      <c r="S1166" s="49">
        <f>SUM(S1167:S1171)</f>
        <v>0</v>
      </c>
      <c r="T1166" s="49">
        <f>SUM(T1167:T1171)</f>
        <v>0</v>
      </c>
      <c r="U1166" s="49">
        <f>SUM(U1167:U1171)</f>
        <v>0</v>
      </c>
      <c r="V1166" s="49">
        <f>SUM(V1167:V1171)</f>
        <v>0</v>
      </c>
      <c r="W1166" s="49">
        <f>SUM(W1167:W1171)</f>
        <v>0</v>
      </c>
      <c r="X1166" s="49">
        <f>SUM(X1167:X1171)</f>
        <v>0</v>
      </c>
      <c r="Y1166" s="49">
        <f>SUM(Y1167:Y1171)</f>
        <v>0</v>
      </c>
      <c r="Z1166" s="49">
        <f>SUM(Z1167:Z1171)</f>
        <v>0</v>
      </c>
      <c r="AA1166" s="49">
        <f>SUM(AA1167:AA1171)</f>
        <v>0</v>
      </c>
      <c r="AB1166" s="49">
        <f>SUM(AB1167:AB1171)</f>
        <v>0</v>
      </c>
    </row>
    <row r="1167" spans="1:28" hidden="1" outlineLevel="1" x14ac:dyDescent="0.3">
      <c r="A1167" s="33" t="s">
        <v>246</v>
      </c>
      <c r="B1167" s="34" t="s">
        <v>274</v>
      </c>
      <c r="C1167" s="50">
        <f>SUMIFS(INDEX(Техника!$F$1:$ABM$500,C$2,0),Техника!$F$4:$ABM$4,"Часы",INDEX(Техника!$G$1:$ABN$500,C$2,0),$A$1166,INDEX(Техника!$H$1:$ABO$500,C$2,0),"М")</f>
        <v>0</v>
      </c>
      <c r="D1167" s="50">
        <f>SUMIFS(INDEX(Техника!$F$1:$ABM$500,D$2,0),Техника!$F$4:$ABM$4,"Часы",INDEX(Техника!$G$1:$ABN$500,D$2,0),$A$1166,INDEX(Техника!$H$1:$ABO$500,D$2,0),"М")</f>
        <v>0</v>
      </c>
      <c r="E1167" s="50">
        <f>SUMIFS(INDEX(Техника!$F$1:$ABM$500,E$2,0),Техника!$F$4:$ABM$4,"Часы",INDEX(Техника!$G$1:$ABN$500,E$2,0),$A$1166,INDEX(Техника!$H$1:$ABO$500,E$2,0),"М")</f>
        <v>0</v>
      </c>
      <c r="F1167" s="50">
        <f>SUMIFS(INDEX(Техника!$F$1:$ABM$500,F$2,0),Техника!$F$4:$ABM$4,"Часы",INDEX(Техника!$G$1:$ABN$500,F$2,0),$A$1166,INDEX(Техника!$H$1:$ABO$500,F$2,0),"М")</f>
        <v>0</v>
      </c>
      <c r="G1167" s="50">
        <f>SUMIFS(INDEX(Техника!$F$1:$ABM$500,G$2,0),Техника!$F$4:$ABM$4,"Часы",INDEX(Техника!$G$1:$ABN$500,G$2,0),$A$1166,INDEX(Техника!$H$1:$ABO$500,G$2,0),"М")</f>
        <v>0</v>
      </c>
      <c r="H1167" s="50">
        <f>SUMIFS(INDEX(Техника!$F$1:$ABM$500,H$2,0),Техника!$F$4:$ABM$4,"Часы",INDEX(Техника!$G$1:$ABN$500,H$2,0),$A$1166,INDEX(Техника!$H$1:$ABO$500,H$2,0),"М")</f>
        <v>0</v>
      </c>
      <c r="I1167" s="50">
        <f>SUMIFS(INDEX(Техника!$F$1:$ABM$500,I$2,0),Техника!$F$4:$ABM$4,"Часы",INDEX(Техника!$G$1:$ABN$500,I$2,0),$A$1166,INDEX(Техника!$H$1:$ABO$500,I$2,0),"М")</f>
        <v>0</v>
      </c>
      <c r="J1167" s="50">
        <f>SUMIFS(INDEX(Техника!$F$1:$ABM$500,J$2,0),Техника!$F$4:$ABM$4,"Часы",INDEX(Техника!$G$1:$ABN$500,J$2,0),$A$1166,INDEX(Техника!$H$1:$ABO$500,J$2,0),"М")</f>
        <v>0</v>
      </c>
      <c r="K1167" s="50">
        <f>SUMIFS(INDEX(Техника!$F$1:$ABM$500,K$2,0),Техника!$F$4:$ABM$4,"Часы",INDEX(Техника!$G$1:$ABN$500,K$2,0),$A$1166,INDEX(Техника!$H$1:$ABO$500,K$2,0),"М")</f>
        <v>0</v>
      </c>
      <c r="L1167" s="50">
        <f>SUMIFS(INDEX(Техника!$F$1:$ABM$500,L$2,0),Техника!$F$4:$ABM$4,"Часы",INDEX(Техника!$G$1:$ABN$500,L$2,0),$A$1166,INDEX(Техника!$H$1:$ABO$500,L$2,0),"М")</f>
        <v>0</v>
      </c>
      <c r="M1167" s="50">
        <f>SUMIFS(INDEX(Техника!$F$1:$ABM$500,M$2,0),Техника!$F$4:$ABM$4,"Часы",INDEX(Техника!$G$1:$ABN$500,M$2,0),$A$1166,INDEX(Техника!$H$1:$ABO$500,M$2,0),"М")</f>
        <v>0</v>
      </c>
      <c r="N1167" s="50">
        <f>SUMIFS(INDEX(Техника!$F$1:$ABM$500,N$2,0),Техника!$F$4:$ABM$4,"Часы",INDEX(Техника!$G$1:$ABN$500,N$2,0),$A$1166,INDEX(Техника!$H$1:$ABO$500,N$2,0),"М")</f>
        <v>0</v>
      </c>
      <c r="O1167" s="50">
        <f>SUMIFS(INDEX(Техника!$F$1:$ABM$500,O$2,0),Техника!$F$4:$ABM$4,"Часы",INDEX(Техника!$G$1:$ABN$500,O$2,0),$A$1166,INDEX(Техника!$H$1:$ABO$500,O$2,0),"М")</f>
        <v>0</v>
      </c>
      <c r="P1167" s="50">
        <f>SUMIFS(INDEX(Техника!$F$1:$ABM$500,P$2,0),Техника!$F$4:$ABM$4,"Часы",INDEX(Техника!$G$1:$ABN$500,P$2,0),$A$1166,INDEX(Техника!$H$1:$ABO$500,P$2,0),"М")</f>
        <v>0</v>
      </c>
      <c r="Q1167" s="50">
        <f>SUMIFS(INDEX(Техника!$F$1:$ABM$500,Q$2,0),Техника!$F$4:$ABM$4,"Часы",INDEX(Техника!$G$1:$ABN$500,Q$2,0),$A$1166,INDEX(Техника!$H$1:$ABO$500,Q$2,0),"М")</f>
        <v>0</v>
      </c>
      <c r="R1167" s="50">
        <f>SUMIFS(INDEX(Техника!$F$1:$ABM$500,R$2,0),Техника!$F$4:$ABM$4,"Часы",INDEX(Техника!$G$1:$ABN$500,R$2,0),$A$1166,INDEX(Техника!$H$1:$ABO$500,R$2,0),"М")</f>
        <v>0</v>
      </c>
      <c r="S1167" s="50">
        <f>SUMIFS(INDEX(Техника!$F$1:$ABM$500,S$2,0),Техника!$F$4:$ABM$4,"Часы",INDEX(Техника!$G$1:$ABN$500,S$2,0),$A$1166,INDEX(Техника!$H$1:$ABO$500,S$2,0),"М")</f>
        <v>0</v>
      </c>
      <c r="T1167" s="50">
        <f>SUMIFS(INDEX(Техника!$F$1:$ABM$500,T$2,0),Техника!$F$4:$ABM$4,"Часы",INDEX(Техника!$G$1:$ABN$500,T$2,0),$A$1166,INDEX(Техника!$H$1:$ABO$500,T$2,0),"М")</f>
        <v>0</v>
      </c>
      <c r="U1167" s="50">
        <f>SUMIFS(INDEX(Техника!$F$1:$ABM$500,U$2,0),Техника!$F$4:$ABM$4,"Часы",INDEX(Техника!$G$1:$ABN$500,U$2,0),$A$1166,INDEX(Техника!$H$1:$ABO$500,U$2,0),"М")</f>
        <v>0</v>
      </c>
      <c r="V1167" s="50">
        <f>SUMIFS(INDEX(Техника!$F$1:$ABM$500,V$2,0),Техника!$F$4:$ABM$4,"Часы",INDEX(Техника!$G$1:$ABN$500,V$2,0),$A$1166,INDEX(Техника!$H$1:$ABO$500,V$2,0),"М")</f>
        <v>0</v>
      </c>
      <c r="W1167" s="50">
        <f>SUMIFS(INDEX(Техника!$F$1:$ABM$500,W$2,0),Техника!$F$4:$ABM$4,"Часы",INDEX(Техника!$G$1:$ABN$500,W$2,0),$A$1166,INDEX(Техника!$H$1:$ABO$500,W$2,0),"М")</f>
        <v>0</v>
      </c>
      <c r="X1167" s="50">
        <f>SUMIFS(INDEX(Техника!$F$1:$ABM$500,X$2,0),Техника!$F$4:$ABM$4,"Часы",INDEX(Техника!$G$1:$ABN$500,X$2,0),$A$1166,INDEX(Техника!$H$1:$ABO$500,X$2,0),"М")</f>
        <v>0</v>
      </c>
      <c r="Y1167" s="50">
        <f>SUMIFS(INDEX(Техника!$F$1:$ABM$500,Y$2,0),Техника!$F$4:$ABM$4,"Часы",INDEX(Техника!$G$1:$ABN$500,Y$2,0),$A$1166,INDEX(Техника!$H$1:$ABO$500,Y$2,0),"М")</f>
        <v>0</v>
      </c>
      <c r="Z1167" s="50">
        <f>SUMIFS(INDEX(Техника!$F$1:$ABM$500,Z$2,0),Техника!$F$4:$ABM$4,"Часы",INDEX(Техника!$G$1:$ABN$500,Z$2,0),$A$1166,INDEX(Техника!$H$1:$ABO$500,Z$2,0),"М")</f>
        <v>0</v>
      </c>
      <c r="AA1167" s="50">
        <f>SUMIFS(INDEX(Техника!$F$1:$ABM$500,AA$2,0),Техника!$F$4:$ABM$4,"Часы",INDEX(Техника!$G$1:$ABN$500,AA$2,0),$A$1166,INDEX(Техника!$H$1:$ABO$500,AA$2,0),"М")</f>
        <v>0</v>
      </c>
      <c r="AB1167" s="50">
        <f>SUMIFS(INDEX(Техника!$F$1:$ABM$500,AB$2,0),Техника!$F$4:$ABM$4,"Часы",INDEX(Техника!$G$1:$ABN$500,AB$2,0),$A$1166,INDEX(Техника!$H$1:$ABO$500,AB$2,0),"М")</f>
        <v>0</v>
      </c>
    </row>
    <row r="1168" spans="1:28" hidden="1" outlineLevel="1" x14ac:dyDescent="0.3">
      <c r="A1168" s="33" t="s">
        <v>244</v>
      </c>
      <c r="B1168" s="34" t="s">
        <v>275</v>
      </c>
      <c r="C1168" s="50">
        <f>SUMIFS(INDEX(Техника!$F$1:$ABM$500,C$2,0),Техника!$F$4:$ABM$4,"Часы",INDEX(Техника!$G$1:$ABN$500,C$2,0),$A$1166,INDEX(Техника!$H$1:$ABO$500,C$2,0),"Д")</f>
        <v>0</v>
      </c>
      <c r="D1168" s="50">
        <f>SUMIFS(INDEX(Техника!$F$1:$ABM$500,D$2,0),Техника!$F$4:$ABM$4,"Часы",INDEX(Техника!$G$1:$ABN$500,D$2,0),$A$1166,INDEX(Техника!$H$1:$ABO$500,D$2,0),"Д")</f>
        <v>0</v>
      </c>
      <c r="E1168" s="50">
        <f>SUMIFS(INDEX(Техника!$F$1:$ABM$500,E$2,0),Техника!$F$4:$ABM$4,"Часы",INDEX(Техника!$G$1:$ABN$500,E$2,0),$A$1166,INDEX(Техника!$H$1:$ABO$500,E$2,0),"Д")</f>
        <v>0</v>
      </c>
      <c r="F1168" s="50">
        <f>SUMIFS(INDEX(Техника!$F$1:$ABM$500,F$2,0),Техника!$F$4:$ABM$4,"Часы",INDEX(Техника!$G$1:$ABN$500,F$2,0),$A$1166,INDEX(Техника!$H$1:$ABO$500,F$2,0),"Д")</f>
        <v>0</v>
      </c>
      <c r="G1168" s="50">
        <f>SUMIFS(INDEX(Техника!$F$1:$ABM$500,G$2,0),Техника!$F$4:$ABM$4,"Часы",INDEX(Техника!$G$1:$ABN$500,G$2,0),$A$1166,INDEX(Техника!$H$1:$ABO$500,G$2,0),"Д")</f>
        <v>0</v>
      </c>
      <c r="H1168" s="50">
        <f>SUMIFS(INDEX(Техника!$F$1:$ABM$500,H$2,0),Техника!$F$4:$ABM$4,"Часы",INDEX(Техника!$G$1:$ABN$500,H$2,0),$A$1166,INDEX(Техника!$H$1:$ABO$500,H$2,0),"Д")</f>
        <v>0</v>
      </c>
      <c r="I1168" s="50">
        <f>SUMIFS(INDEX(Техника!$F$1:$ABM$500,I$2,0),Техника!$F$4:$ABM$4,"Часы",INDEX(Техника!$G$1:$ABN$500,I$2,0),$A$1166,INDEX(Техника!$H$1:$ABO$500,I$2,0),"Д")</f>
        <v>0</v>
      </c>
      <c r="J1168" s="50">
        <f>SUMIFS(INDEX(Техника!$F$1:$ABM$500,J$2,0),Техника!$F$4:$ABM$4,"Часы",INDEX(Техника!$G$1:$ABN$500,J$2,0),$A$1166,INDEX(Техника!$H$1:$ABO$500,J$2,0),"Д")</f>
        <v>0</v>
      </c>
      <c r="K1168" s="50">
        <f>SUMIFS(INDEX(Техника!$F$1:$ABM$500,K$2,0),Техника!$F$4:$ABM$4,"Часы",INDEX(Техника!$G$1:$ABN$500,K$2,0),$A$1166,INDEX(Техника!$H$1:$ABO$500,K$2,0),"Д")</f>
        <v>0</v>
      </c>
      <c r="L1168" s="50">
        <f>SUMIFS(INDEX(Техника!$F$1:$ABM$500,L$2,0),Техника!$F$4:$ABM$4,"Часы",INDEX(Техника!$G$1:$ABN$500,L$2,0),$A$1166,INDEX(Техника!$H$1:$ABO$500,L$2,0),"Д")</f>
        <v>0</v>
      </c>
      <c r="M1168" s="50">
        <f>SUMIFS(INDEX(Техника!$F$1:$ABM$500,M$2,0),Техника!$F$4:$ABM$4,"Часы",INDEX(Техника!$G$1:$ABN$500,M$2,0),$A$1166,INDEX(Техника!$H$1:$ABO$500,M$2,0),"Д")</f>
        <v>0</v>
      </c>
      <c r="N1168" s="50">
        <f>SUMIFS(INDEX(Техника!$F$1:$ABM$500,N$2,0),Техника!$F$4:$ABM$4,"Часы",INDEX(Техника!$G$1:$ABN$500,N$2,0),$A$1166,INDEX(Техника!$H$1:$ABO$500,N$2,0),"Д")</f>
        <v>0</v>
      </c>
      <c r="O1168" s="50">
        <f>SUMIFS(INDEX(Техника!$F$1:$ABM$500,O$2,0),Техника!$F$4:$ABM$4,"Часы",INDEX(Техника!$G$1:$ABN$500,O$2,0),$A$1166,INDEX(Техника!$H$1:$ABO$500,O$2,0),"Д")</f>
        <v>0</v>
      </c>
      <c r="P1168" s="50">
        <f>SUMIFS(INDEX(Техника!$F$1:$ABM$500,P$2,0),Техника!$F$4:$ABM$4,"Часы",INDEX(Техника!$G$1:$ABN$500,P$2,0),$A$1166,INDEX(Техника!$H$1:$ABO$500,P$2,0),"Д")</f>
        <v>0</v>
      </c>
      <c r="Q1168" s="50">
        <f>SUMIFS(INDEX(Техника!$F$1:$ABM$500,Q$2,0),Техника!$F$4:$ABM$4,"Часы",INDEX(Техника!$G$1:$ABN$500,Q$2,0),$A$1166,INDEX(Техника!$H$1:$ABO$500,Q$2,0),"Д")</f>
        <v>0</v>
      </c>
      <c r="R1168" s="50">
        <f>SUMIFS(INDEX(Техника!$F$1:$ABM$500,R$2,0),Техника!$F$4:$ABM$4,"Часы",INDEX(Техника!$G$1:$ABN$500,R$2,0),$A$1166,INDEX(Техника!$H$1:$ABO$500,R$2,0),"Д")</f>
        <v>0</v>
      </c>
      <c r="S1168" s="50">
        <f>SUMIFS(INDEX(Техника!$F$1:$ABM$500,S$2,0),Техника!$F$4:$ABM$4,"Часы",INDEX(Техника!$G$1:$ABN$500,S$2,0),$A$1166,INDEX(Техника!$H$1:$ABO$500,S$2,0),"Д")</f>
        <v>0</v>
      </c>
      <c r="T1168" s="50">
        <f>SUMIFS(INDEX(Техника!$F$1:$ABM$500,T$2,0),Техника!$F$4:$ABM$4,"Часы",INDEX(Техника!$G$1:$ABN$500,T$2,0),$A$1166,INDEX(Техника!$H$1:$ABO$500,T$2,0),"Д")</f>
        <v>0</v>
      </c>
      <c r="U1168" s="50">
        <f>SUMIFS(INDEX(Техника!$F$1:$ABM$500,U$2,0),Техника!$F$4:$ABM$4,"Часы",INDEX(Техника!$G$1:$ABN$500,U$2,0),$A$1166,INDEX(Техника!$H$1:$ABO$500,U$2,0),"Д")</f>
        <v>0</v>
      </c>
      <c r="V1168" s="50">
        <f>SUMIFS(INDEX(Техника!$F$1:$ABM$500,V$2,0),Техника!$F$4:$ABM$4,"Часы",INDEX(Техника!$G$1:$ABN$500,V$2,0),$A$1166,INDEX(Техника!$H$1:$ABO$500,V$2,0),"Д")</f>
        <v>0</v>
      </c>
      <c r="W1168" s="50">
        <f>SUMIFS(INDEX(Техника!$F$1:$ABM$500,W$2,0),Техника!$F$4:$ABM$4,"Часы",INDEX(Техника!$G$1:$ABN$500,W$2,0),$A$1166,INDEX(Техника!$H$1:$ABO$500,W$2,0),"Д")</f>
        <v>0</v>
      </c>
      <c r="X1168" s="50">
        <f>SUMIFS(INDEX(Техника!$F$1:$ABM$500,X$2,0),Техника!$F$4:$ABM$4,"Часы",INDEX(Техника!$G$1:$ABN$500,X$2,0),$A$1166,INDEX(Техника!$H$1:$ABO$500,X$2,0),"Д")</f>
        <v>0</v>
      </c>
      <c r="Y1168" s="50">
        <f>SUMIFS(INDEX(Техника!$F$1:$ABM$500,Y$2,0),Техника!$F$4:$ABM$4,"Часы",INDEX(Техника!$G$1:$ABN$500,Y$2,0),$A$1166,INDEX(Техника!$H$1:$ABO$500,Y$2,0),"Д")</f>
        <v>0</v>
      </c>
      <c r="Z1168" s="50">
        <f>SUMIFS(INDEX(Техника!$F$1:$ABM$500,Z$2,0),Техника!$F$4:$ABM$4,"Часы",INDEX(Техника!$G$1:$ABN$500,Z$2,0),$A$1166,INDEX(Техника!$H$1:$ABO$500,Z$2,0),"Д")</f>
        <v>0</v>
      </c>
      <c r="AA1168" s="50">
        <f>SUMIFS(INDEX(Техника!$F$1:$ABM$500,AA$2,0),Техника!$F$4:$ABM$4,"Часы",INDEX(Техника!$G$1:$ABN$500,AA$2,0),$A$1166,INDEX(Техника!$H$1:$ABO$500,AA$2,0),"Д")</f>
        <v>0</v>
      </c>
      <c r="AB1168" s="50">
        <f>SUMIFS(INDEX(Техника!$F$1:$ABM$500,AB$2,0),Техника!$F$4:$ABM$4,"Часы",INDEX(Техника!$G$1:$ABN$500,AB$2,0),$A$1166,INDEX(Техника!$H$1:$ABO$500,AB$2,0),"Д")</f>
        <v>0</v>
      </c>
    </row>
    <row r="1169" spans="1:28" hidden="1" outlineLevel="1" x14ac:dyDescent="0.3">
      <c r="A1169" s="33" t="s">
        <v>276</v>
      </c>
      <c r="B1169" s="34" t="s">
        <v>277</v>
      </c>
      <c r="C1169" s="50">
        <f>SUMIFS(INDEX(Техника!$F$1:$ABM$500,C$2,0),Техника!$F$4:$ABM$4,"Часы",INDEX(Техника!$G$1:$ABN$500,C$2,0),$A$1166,INDEX(Техника!$H$1:$ABO$500,C$2,0),"П")</f>
        <v>0</v>
      </c>
      <c r="D1169" s="50">
        <f>SUMIFS(INDEX(Техника!$F$1:$ABM$500,D$2,0),Техника!$F$4:$ABM$4,"Часы",INDEX(Техника!$G$1:$ABN$500,D$2,0),$A$1166,INDEX(Техника!$H$1:$ABO$500,D$2,0),"П")</f>
        <v>0</v>
      </c>
      <c r="E1169" s="50">
        <f>SUMIFS(INDEX(Техника!$F$1:$ABM$500,E$2,0),Техника!$F$4:$ABM$4,"Часы",INDEX(Техника!$G$1:$ABN$500,E$2,0),$A$1166,INDEX(Техника!$H$1:$ABO$500,E$2,0),"П")</f>
        <v>0</v>
      </c>
      <c r="F1169" s="50">
        <f>SUMIFS(INDEX(Техника!$F$1:$ABM$500,F$2,0),Техника!$F$4:$ABM$4,"Часы",INDEX(Техника!$G$1:$ABN$500,F$2,0),$A$1166,INDEX(Техника!$H$1:$ABO$500,F$2,0),"П")</f>
        <v>0</v>
      </c>
      <c r="G1169" s="50">
        <f>SUMIFS(INDEX(Техника!$F$1:$ABM$500,G$2,0),Техника!$F$4:$ABM$4,"Часы",INDEX(Техника!$G$1:$ABN$500,G$2,0),$A$1166,INDEX(Техника!$H$1:$ABO$500,G$2,0),"П")</f>
        <v>0</v>
      </c>
      <c r="H1169" s="50">
        <f>SUMIFS(INDEX(Техника!$F$1:$ABM$500,H$2,0),Техника!$F$4:$ABM$4,"Часы",INDEX(Техника!$G$1:$ABN$500,H$2,0),$A$1166,INDEX(Техника!$H$1:$ABO$500,H$2,0),"П")</f>
        <v>0</v>
      </c>
      <c r="I1169" s="50">
        <f>SUMIFS(INDEX(Техника!$F$1:$ABM$500,I$2,0),Техника!$F$4:$ABM$4,"Часы",INDEX(Техника!$G$1:$ABN$500,I$2,0),$A$1166,INDEX(Техника!$H$1:$ABO$500,I$2,0),"П")</f>
        <v>0</v>
      </c>
      <c r="J1169" s="50">
        <f>SUMIFS(INDEX(Техника!$F$1:$ABM$500,J$2,0),Техника!$F$4:$ABM$4,"Часы",INDEX(Техника!$G$1:$ABN$500,J$2,0),$A$1166,INDEX(Техника!$H$1:$ABO$500,J$2,0),"П")</f>
        <v>0</v>
      </c>
      <c r="K1169" s="50">
        <f>SUMIFS(INDEX(Техника!$F$1:$ABM$500,K$2,0),Техника!$F$4:$ABM$4,"Часы",INDEX(Техника!$G$1:$ABN$500,K$2,0),$A$1166,INDEX(Техника!$H$1:$ABO$500,K$2,0),"П")</f>
        <v>0</v>
      </c>
      <c r="L1169" s="50">
        <f>SUMIFS(INDEX(Техника!$F$1:$ABM$500,L$2,0),Техника!$F$4:$ABM$4,"Часы",INDEX(Техника!$G$1:$ABN$500,L$2,0),$A$1166,INDEX(Техника!$H$1:$ABO$500,L$2,0),"П")</f>
        <v>0</v>
      </c>
      <c r="M1169" s="50">
        <f>SUMIFS(INDEX(Техника!$F$1:$ABM$500,M$2,0),Техника!$F$4:$ABM$4,"Часы",INDEX(Техника!$G$1:$ABN$500,M$2,0),$A$1166,INDEX(Техника!$H$1:$ABO$500,M$2,0),"П")</f>
        <v>0</v>
      </c>
      <c r="N1169" s="50">
        <f>SUMIFS(INDEX(Техника!$F$1:$ABM$500,N$2,0),Техника!$F$4:$ABM$4,"Часы",INDEX(Техника!$G$1:$ABN$500,N$2,0),$A$1166,INDEX(Техника!$H$1:$ABO$500,N$2,0),"П")</f>
        <v>0</v>
      </c>
      <c r="O1169" s="50">
        <f>SUMIFS(INDEX(Техника!$F$1:$ABM$500,O$2,0),Техника!$F$4:$ABM$4,"Часы",INDEX(Техника!$G$1:$ABN$500,O$2,0),$A$1166,INDEX(Техника!$H$1:$ABO$500,O$2,0),"П")</f>
        <v>0</v>
      </c>
      <c r="P1169" s="50">
        <f>SUMIFS(INDEX(Техника!$F$1:$ABM$500,P$2,0),Техника!$F$4:$ABM$4,"Часы",INDEX(Техника!$G$1:$ABN$500,P$2,0),$A$1166,INDEX(Техника!$H$1:$ABO$500,P$2,0),"П")</f>
        <v>0</v>
      </c>
      <c r="Q1169" s="50">
        <f>SUMIFS(INDEX(Техника!$F$1:$ABM$500,Q$2,0),Техника!$F$4:$ABM$4,"Часы",INDEX(Техника!$G$1:$ABN$500,Q$2,0),$A$1166,INDEX(Техника!$H$1:$ABO$500,Q$2,0),"П")</f>
        <v>0</v>
      </c>
      <c r="R1169" s="50">
        <f>SUMIFS(INDEX(Техника!$F$1:$ABM$500,R$2,0),Техника!$F$4:$ABM$4,"Часы",INDEX(Техника!$G$1:$ABN$500,R$2,0),$A$1166,INDEX(Техника!$H$1:$ABO$500,R$2,0),"П")</f>
        <v>0</v>
      </c>
      <c r="S1169" s="50">
        <f>SUMIFS(INDEX(Техника!$F$1:$ABM$500,S$2,0),Техника!$F$4:$ABM$4,"Часы",INDEX(Техника!$G$1:$ABN$500,S$2,0),$A$1166,INDEX(Техника!$H$1:$ABO$500,S$2,0),"П")</f>
        <v>0</v>
      </c>
      <c r="T1169" s="50">
        <f>SUMIFS(INDEX(Техника!$F$1:$ABM$500,T$2,0),Техника!$F$4:$ABM$4,"Часы",INDEX(Техника!$G$1:$ABN$500,T$2,0),$A$1166,INDEX(Техника!$H$1:$ABO$500,T$2,0),"П")</f>
        <v>0</v>
      </c>
      <c r="U1169" s="50">
        <f>SUMIFS(INDEX(Техника!$F$1:$ABM$500,U$2,0),Техника!$F$4:$ABM$4,"Часы",INDEX(Техника!$G$1:$ABN$500,U$2,0),$A$1166,INDEX(Техника!$H$1:$ABO$500,U$2,0),"П")</f>
        <v>0</v>
      </c>
      <c r="V1169" s="50">
        <f>SUMIFS(INDEX(Техника!$F$1:$ABM$500,V$2,0),Техника!$F$4:$ABM$4,"Часы",INDEX(Техника!$G$1:$ABN$500,V$2,0),$A$1166,INDEX(Техника!$H$1:$ABO$500,V$2,0),"П")</f>
        <v>0</v>
      </c>
      <c r="W1169" s="50">
        <f>SUMIFS(INDEX(Техника!$F$1:$ABM$500,W$2,0),Техника!$F$4:$ABM$4,"Часы",INDEX(Техника!$G$1:$ABN$500,W$2,0),$A$1166,INDEX(Техника!$H$1:$ABO$500,W$2,0),"П")</f>
        <v>0</v>
      </c>
      <c r="X1169" s="50">
        <f>SUMIFS(INDEX(Техника!$F$1:$ABM$500,X$2,0),Техника!$F$4:$ABM$4,"Часы",INDEX(Техника!$G$1:$ABN$500,X$2,0),$A$1166,INDEX(Техника!$H$1:$ABO$500,X$2,0),"П")</f>
        <v>0</v>
      </c>
      <c r="Y1169" s="50">
        <f>SUMIFS(INDEX(Техника!$F$1:$ABM$500,Y$2,0),Техника!$F$4:$ABM$4,"Часы",INDEX(Техника!$G$1:$ABN$500,Y$2,0),$A$1166,INDEX(Техника!$H$1:$ABO$500,Y$2,0),"П")</f>
        <v>0</v>
      </c>
      <c r="Z1169" s="50">
        <f>SUMIFS(INDEX(Техника!$F$1:$ABM$500,Z$2,0),Техника!$F$4:$ABM$4,"Часы",INDEX(Техника!$G$1:$ABN$500,Z$2,0),$A$1166,INDEX(Техника!$H$1:$ABO$500,Z$2,0),"П")</f>
        <v>0</v>
      </c>
      <c r="AA1169" s="50">
        <f>SUMIFS(INDEX(Техника!$F$1:$ABM$500,AA$2,0),Техника!$F$4:$ABM$4,"Часы",INDEX(Техника!$G$1:$ABN$500,AA$2,0),$A$1166,INDEX(Техника!$H$1:$ABO$500,AA$2,0),"П")</f>
        <v>0</v>
      </c>
      <c r="AB1169" s="50">
        <f>SUMIFS(INDEX(Техника!$F$1:$ABM$500,AB$2,0),Техника!$F$4:$ABM$4,"Часы",INDEX(Техника!$G$1:$ABN$500,AB$2,0),$A$1166,INDEX(Техника!$H$1:$ABO$500,AB$2,0),"П")</f>
        <v>0</v>
      </c>
    </row>
    <row r="1170" spans="1:28" hidden="1" outlineLevel="1" x14ac:dyDescent="0.3">
      <c r="A1170" s="33" t="s">
        <v>243</v>
      </c>
      <c r="B1170" s="34" t="s">
        <v>278</v>
      </c>
      <c r="C1170" s="50">
        <f>SUMIFS(INDEX(Техника!$F$1:$ABM$500,C$2,0),Техника!$F$4:$ABM$4,"Часы",INDEX(Техника!$G$1:$ABN$500,C$2,0),$A$1166,INDEX(Техника!$H$1:$ABO$500,C$2,0),"Л")</f>
        <v>0</v>
      </c>
      <c r="D1170" s="50">
        <f>SUMIFS(INDEX(Техника!$F$1:$ABM$500,D$2,0),Техника!$F$4:$ABM$4,"Часы",INDEX(Техника!$G$1:$ABN$500,D$2,0),$A$1166,INDEX(Техника!$H$1:$ABO$500,D$2,0),"Л")</f>
        <v>0</v>
      </c>
      <c r="E1170" s="50">
        <f>SUMIFS(INDEX(Техника!$F$1:$ABM$500,E$2,0),Техника!$F$4:$ABM$4,"Часы",INDEX(Техника!$G$1:$ABN$500,E$2,0),$A$1166,INDEX(Техника!$H$1:$ABO$500,E$2,0),"Л")</f>
        <v>0</v>
      </c>
      <c r="F1170" s="50">
        <f>SUMIFS(INDEX(Техника!$F$1:$ABM$500,F$2,0),Техника!$F$4:$ABM$4,"Часы",INDEX(Техника!$G$1:$ABN$500,F$2,0),$A$1166,INDEX(Техника!$H$1:$ABO$500,F$2,0),"Л")</f>
        <v>0</v>
      </c>
      <c r="G1170" s="50">
        <f>SUMIFS(INDEX(Техника!$F$1:$ABM$500,G$2,0),Техника!$F$4:$ABM$4,"Часы",INDEX(Техника!$G$1:$ABN$500,G$2,0),$A$1166,INDEX(Техника!$H$1:$ABO$500,G$2,0),"Л")</f>
        <v>0</v>
      </c>
      <c r="H1170" s="50">
        <f>SUMIFS(INDEX(Техника!$F$1:$ABM$500,H$2,0),Техника!$F$4:$ABM$4,"Часы",INDEX(Техника!$G$1:$ABN$500,H$2,0),$A$1166,INDEX(Техника!$H$1:$ABO$500,H$2,0),"Л")</f>
        <v>0</v>
      </c>
      <c r="I1170" s="50">
        <f>SUMIFS(INDEX(Техника!$F$1:$ABM$500,I$2,0),Техника!$F$4:$ABM$4,"Часы",INDEX(Техника!$G$1:$ABN$500,I$2,0),$A$1166,INDEX(Техника!$H$1:$ABO$500,I$2,0),"Л")</f>
        <v>0</v>
      </c>
      <c r="J1170" s="50">
        <f>SUMIFS(INDEX(Техника!$F$1:$ABM$500,J$2,0),Техника!$F$4:$ABM$4,"Часы",INDEX(Техника!$G$1:$ABN$500,J$2,0),$A$1166,INDEX(Техника!$H$1:$ABO$500,J$2,0),"Л")</f>
        <v>0</v>
      </c>
      <c r="K1170" s="50">
        <f>SUMIFS(INDEX(Техника!$F$1:$ABM$500,K$2,0),Техника!$F$4:$ABM$4,"Часы",INDEX(Техника!$G$1:$ABN$500,K$2,0),$A$1166,INDEX(Техника!$H$1:$ABO$500,K$2,0),"Л")</f>
        <v>0</v>
      </c>
      <c r="L1170" s="50">
        <f>SUMIFS(INDEX(Техника!$F$1:$ABM$500,L$2,0),Техника!$F$4:$ABM$4,"Часы",INDEX(Техника!$G$1:$ABN$500,L$2,0),$A$1166,INDEX(Техника!$H$1:$ABO$500,L$2,0),"Л")</f>
        <v>0</v>
      </c>
      <c r="M1170" s="50">
        <f>SUMIFS(INDEX(Техника!$F$1:$ABM$500,M$2,0),Техника!$F$4:$ABM$4,"Часы",INDEX(Техника!$G$1:$ABN$500,M$2,0),$A$1166,INDEX(Техника!$H$1:$ABO$500,M$2,0),"Л")</f>
        <v>0</v>
      </c>
      <c r="N1170" s="50">
        <f>SUMIFS(INDEX(Техника!$F$1:$ABM$500,N$2,0),Техника!$F$4:$ABM$4,"Часы",INDEX(Техника!$G$1:$ABN$500,N$2,0),$A$1166,INDEX(Техника!$H$1:$ABO$500,N$2,0),"Л")</f>
        <v>0</v>
      </c>
      <c r="O1170" s="50">
        <f>SUMIFS(INDEX(Техника!$F$1:$ABM$500,O$2,0),Техника!$F$4:$ABM$4,"Часы",INDEX(Техника!$G$1:$ABN$500,O$2,0),$A$1166,INDEX(Техника!$H$1:$ABO$500,O$2,0),"Л")</f>
        <v>0</v>
      </c>
      <c r="P1170" s="50">
        <f>SUMIFS(INDEX(Техника!$F$1:$ABM$500,P$2,0),Техника!$F$4:$ABM$4,"Часы",INDEX(Техника!$G$1:$ABN$500,P$2,0),$A$1166,INDEX(Техника!$H$1:$ABO$500,P$2,0),"Л")</f>
        <v>0</v>
      </c>
      <c r="Q1170" s="50">
        <f>SUMIFS(INDEX(Техника!$F$1:$ABM$500,Q$2,0),Техника!$F$4:$ABM$4,"Часы",INDEX(Техника!$G$1:$ABN$500,Q$2,0),$A$1166,INDEX(Техника!$H$1:$ABO$500,Q$2,0),"Л")</f>
        <v>0</v>
      </c>
      <c r="R1170" s="50">
        <f>SUMIFS(INDEX(Техника!$F$1:$ABM$500,R$2,0),Техника!$F$4:$ABM$4,"Часы",INDEX(Техника!$G$1:$ABN$500,R$2,0),$A$1166,INDEX(Техника!$H$1:$ABO$500,R$2,0),"Л")</f>
        <v>0</v>
      </c>
      <c r="S1170" s="50">
        <f>SUMIFS(INDEX(Техника!$F$1:$ABM$500,S$2,0),Техника!$F$4:$ABM$4,"Часы",INDEX(Техника!$G$1:$ABN$500,S$2,0),$A$1166,INDEX(Техника!$H$1:$ABO$500,S$2,0),"Л")</f>
        <v>0</v>
      </c>
      <c r="T1170" s="50">
        <f>SUMIFS(INDEX(Техника!$F$1:$ABM$500,T$2,0),Техника!$F$4:$ABM$4,"Часы",INDEX(Техника!$G$1:$ABN$500,T$2,0),$A$1166,INDEX(Техника!$H$1:$ABO$500,T$2,0),"Л")</f>
        <v>0</v>
      </c>
      <c r="U1170" s="50">
        <f>SUMIFS(INDEX(Техника!$F$1:$ABM$500,U$2,0),Техника!$F$4:$ABM$4,"Часы",INDEX(Техника!$G$1:$ABN$500,U$2,0),$A$1166,INDEX(Техника!$H$1:$ABO$500,U$2,0),"Л")</f>
        <v>0</v>
      </c>
      <c r="V1170" s="50">
        <f>SUMIFS(INDEX(Техника!$F$1:$ABM$500,V$2,0),Техника!$F$4:$ABM$4,"Часы",INDEX(Техника!$G$1:$ABN$500,V$2,0),$A$1166,INDEX(Техника!$H$1:$ABO$500,V$2,0),"Л")</f>
        <v>0</v>
      </c>
      <c r="W1170" s="50">
        <f>SUMIFS(INDEX(Техника!$F$1:$ABM$500,W$2,0),Техника!$F$4:$ABM$4,"Часы",INDEX(Техника!$G$1:$ABN$500,W$2,0),$A$1166,INDEX(Техника!$H$1:$ABO$500,W$2,0),"Л")</f>
        <v>0</v>
      </c>
      <c r="X1170" s="50">
        <f>SUMIFS(INDEX(Техника!$F$1:$ABM$500,X$2,0),Техника!$F$4:$ABM$4,"Часы",INDEX(Техника!$G$1:$ABN$500,X$2,0),$A$1166,INDEX(Техника!$H$1:$ABO$500,X$2,0),"Л")</f>
        <v>0</v>
      </c>
      <c r="Y1170" s="50">
        <f>SUMIFS(INDEX(Техника!$F$1:$ABM$500,Y$2,0),Техника!$F$4:$ABM$4,"Часы",INDEX(Техника!$G$1:$ABN$500,Y$2,0),$A$1166,INDEX(Техника!$H$1:$ABO$500,Y$2,0),"Л")</f>
        <v>0</v>
      </c>
      <c r="Z1170" s="50">
        <f>SUMIFS(INDEX(Техника!$F$1:$ABM$500,Z$2,0),Техника!$F$4:$ABM$4,"Часы",INDEX(Техника!$G$1:$ABN$500,Z$2,0),$A$1166,INDEX(Техника!$H$1:$ABO$500,Z$2,0),"Л")</f>
        <v>0</v>
      </c>
      <c r="AA1170" s="50">
        <f>SUMIFS(INDEX(Техника!$F$1:$ABM$500,AA$2,0),Техника!$F$4:$ABM$4,"Часы",INDEX(Техника!$G$1:$ABN$500,AA$2,0),$A$1166,INDEX(Техника!$H$1:$ABO$500,AA$2,0),"Л")</f>
        <v>0</v>
      </c>
      <c r="AB1170" s="50">
        <f>SUMIFS(INDEX(Техника!$F$1:$ABM$500,AB$2,0),Техника!$F$4:$ABM$4,"Часы",INDEX(Техника!$G$1:$ABN$500,AB$2,0),$A$1166,INDEX(Техника!$H$1:$ABO$500,AB$2,0),"Л")</f>
        <v>0</v>
      </c>
    </row>
    <row r="1171" spans="1:28" hidden="1" outlineLevel="1" x14ac:dyDescent="0.3">
      <c r="A1171" s="33" t="s">
        <v>245</v>
      </c>
      <c r="B1171" s="34" t="s">
        <v>279</v>
      </c>
      <c r="C1171" s="50">
        <f>SUMIFS(INDEX(Техника!$F$1:$ABM$500,C$2,0),Техника!$F$4:$ABM$4,"Часы",INDEX(Техника!$G$1:$ABN$500,C$2,0),$A$1166,INDEX(Техника!$H$1:$ABO$500,C$2,0),"З")</f>
        <v>0</v>
      </c>
      <c r="D1171" s="50">
        <f>SUMIFS(INDEX(Техника!$F$1:$ABM$500,D$2,0),Техника!$F$4:$ABM$4,"Часы",INDEX(Техника!$G$1:$ABN$500,D$2,0),$A$1166,INDEX(Техника!$H$1:$ABO$500,D$2,0),"З")</f>
        <v>0</v>
      </c>
      <c r="E1171" s="50">
        <f>SUMIFS(INDEX(Техника!$F$1:$ABM$500,E$2,0),Техника!$F$4:$ABM$4,"Часы",INDEX(Техника!$G$1:$ABN$500,E$2,0),$A$1166,INDEX(Техника!$H$1:$ABO$500,E$2,0),"З")</f>
        <v>0</v>
      </c>
      <c r="F1171" s="50">
        <f>SUMIFS(INDEX(Техника!$F$1:$ABM$500,F$2,0),Техника!$F$4:$ABM$4,"Часы",INDEX(Техника!$G$1:$ABN$500,F$2,0),$A$1166,INDEX(Техника!$H$1:$ABO$500,F$2,0),"З")</f>
        <v>0</v>
      </c>
      <c r="G1171" s="50">
        <f>SUMIFS(INDEX(Техника!$F$1:$ABM$500,G$2,0),Техника!$F$4:$ABM$4,"Часы",INDEX(Техника!$G$1:$ABN$500,G$2,0),$A$1166,INDEX(Техника!$H$1:$ABO$500,G$2,0),"З")</f>
        <v>0</v>
      </c>
      <c r="H1171" s="50">
        <f>SUMIFS(INDEX(Техника!$F$1:$ABM$500,H$2,0),Техника!$F$4:$ABM$4,"Часы",INDEX(Техника!$G$1:$ABN$500,H$2,0),$A$1166,INDEX(Техника!$H$1:$ABO$500,H$2,0),"З")</f>
        <v>0</v>
      </c>
      <c r="I1171" s="50">
        <f>SUMIFS(INDEX(Техника!$F$1:$ABM$500,I$2,0),Техника!$F$4:$ABM$4,"Часы",INDEX(Техника!$G$1:$ABN$500,I$2,0),$A$1166,INDEX(Техника!$H$1:$ABO$500,I$2,0),"З")</f>
        <v>0</v>
      </c>
      <c r="J1171" s="50">
        <f>SUMIFS(INDEX(Техника!$F$1:$ABM$500,J$2,0),Техника!$F$4:$ABM$4,"Часы",INDEX(Техника!$G$1:$ABN$500,J$2,0),$A$1166,INDEX(Техника!$H$1:$ABO$500,J$2,0),"З")</f>
        <v>0</v>
      </c>
      <c r="K1171" s="50">
        <f>SUMIFS(INDEX(Техника!$F$1:$ABM$500,K$2,0),Техника!$F$4:$ABM$4,"Часы",INDEX(Техника!$G$1:$ABN$500,K$2,0),$A$1166,INDEX(Техника!$H$1:$ABO$500,K$2,0),"З")</f>
        <v>0</v>
      </c>
      <c r="L1171" s="50">
        <f>SUMIFS(INDEX(Техника!$F$1:$ABM$500,L$2,0),Техника!$F$4:$ABM$4,"Часы",INDEX(Техника!$G$1:$ABN$500,L$2,0),$A$1166,INDEX(Техника!$H$1:$ABO$500,L$2,0),"З")</f>
        <v>0</v>
      </c>
      <c r="M1171" s="50">
        <f>SUMIFS(INDEX(Техника!$F$1:$ABM$500,M$2,0),Техника!$F$4:$ABM$4,"Часы",INDEX(Техника!$G$1:$ABN$500,M$2,0),$A$1166,INDEX(Техника!$H$1:$ABO$500,M$2,0),"З")</f>
        <v>0</v>
      </c>
      <c r="N1171" s="50">
        <f>SUMIFS(INDEX(Техника!$F$1:$ABM$500,N$2,0),Техника!$F$4:$ABM$4,"Часы",INDEX(Техника!$G$1:$ABN$500,N$2,0),$A$1166,INDEX(Техника!$H$1:$ABO$500,N$2,0),"З")</f>
        <v>0</v>
      </c>
      <c r="O1171" s="50">
        <f>SUMIFS(INDEX(Техника!$F$1:$ABM$500,O$2,0),Техника!$F$4:$ABM$4,"Часы",INDEX(Техника!$G$1:$ABN$500,O$2,0),$A$1166,INDEX(Техника!$H$1:$ABO$500,O$2,0),"З")</f>
        <v>0</v>
      </c>
      <c r="P1171" s="50">
        <f>SUMIFS(INDEX(Техника!$F$1:$ABM$500,P$2,0),Техника!$F$4:$ABM$4,"Часы",INDEX(Техника!$G$1:$ABN$500,P$2,0),$A$1166,INDEX(Техника!$H$1:$ABO$500,P$2,0),"З")</f>
        <v>0</v>
      </c>
      <c r="Q1171" s="50">
        <f>SUMIFS(INDEX(Техника!$F$1:$ABM$500,Q$2,0),Техника!$F$4:$ABM$4,"Часы",INDEX(Техника!$G$1:$ABN$500,Q$2,0),$A$1166,INDEX(Техника!$H$1:$ABO$500,Q$2,0),"З")</f>
        <v>0</v>
      </c>
      <c r="R1171" s="50">
        <f>SUMIFS(INDEX(Техника!$F$1:$ABM$500,R$2,0),Техника!$F$4:$ABM$4,"Часы",INDEX(Техника!$G$1:$ABN$500,R$2,0),$A$1166,INDEX(Техника!$H$1:$ABO$500,R$2,0),"З")</f>
        <v>0</v>
      </c>
      <c r="S1171" s="50">
        <f>SUMIFS(INDEX(Техника!$F$1:$ABM$500,S$2,0),Техника!$F$4:$ABM$4,"Часы",INDEX(Техника!$G$1:$ABN$500,S$2,0),$A$1166,INDEX(Техника!$H$1:$ABO$500,S$2,0),"З")</f>
        <v>0</v>
      </c>
      <c r="T1171" s="50">
        <f>SUMIFS(INDEX(Техника!$F$1:$ABM$500,T$2,0),Техника!$F$4:$ABM$4,"Часы",INDEX(Техника!$G$1:$ABN$500,T$2,0),$A$1166,INDEX(Техника!$H$1:$ABO$500,T$2,0),"З")</f>
        <v>0</v>
      </c>
      <c r="U1171" s="50">
        <f>SUMIFS(INDEX(Техника!$F$1:$ABM$500,U$2,0),Техника!$F$4:$ABM$4,"Часы",INDEX(Техника!$G$1:$ABN$500,U$2,0),$A$1166,INDEX(Техника!$H$1:$ABO$500,U$2,0),"З")</f>
        <v>0</v>
      </c>
      <c r="V1171" s="50">
        <f>SUMIFS(INDEX(Техника!$F$1:$ABM$500,V$2,0),Техника!$F$4:$ABM$4,"Часы",INDEX(Техника!$G$1:$ABN$500,V$2,0),$A$1166,INDEX(Техника!$H$1:$ABO$500,V$2,0),"З")</f>
        <v>0</v>
      </c>
      <c r="W1171" s="50">
        <f>SUMIFS(INDEX(Техника!$F$1:$ABM$500,W$2,0),Техника!$F$4:$ABM$4,"Часы",INDEX(Техника!$G$1:$ABN$500,W$2,0),$A$1166,INDEX(Техника!$H$1:$ABO$500,W$2,0),"З")</f>
        <v>0</v>
      </c>
      <c r="X1171" s="50">
        <f>SUMIFS(INDEX(Техника!$F$1:$ABM$500,X$2,0),Техника!$F$4:$ABM$4,"Часы",INDEX(Техника!$G$1:$ABN$500,X$2,0),$A$1166,INDEX(Техника!$H$1:$ABO$500,X$2,0),"З")</f>
        <v>0</v>
      </c>
      <c r="Y1171" s="50">
        <f>SUMIFS(INDEX(Техника!$F$1:$ABM$500,Y$2,0),Техника!$F$4:$ABM$4,"Часы",INDEX(Техника!$G$1:$ABN$500,Y$2,0),$A$1166,INDEX(Техника!$H$1:$ABO$500,Y$2,0),"З")</f>
        <v>0</v>
      </c>
      <c r="Z1171" s="50">
        <f>SUMIFS(INDEX(Техника!$F$1:$ABM$500,Z$2,0),Техника!$F$4:$ABM$4,"Часы",INDEX(Техника!$G$1:$ABN$500,Z$2,0),$A$1166,INDEX(Техника!$H$1:$ABO$500,Z$2,0),"З")</f>
        <v>0</v>
      </c>
      <c r="AA1171" s="50">
        <f>SUMIFS(INDEX(Техника!$F$1:$ABM$500,AA$2,0),Техника!$F$4:$ABM$4,"Часы",INDEX(Техника!$G$1:$ABN$500,AA$2,0),$A$1166,INDEX(Техника!$H$1:$ABO$500,AA$2,0),"З")</f>
        <v>0</v>
      </c>
      <c r="AB1171" s="50">
        <f>SUMIFS(INDEX(Техника!$F$1:$ABM$500,AB$2,0),Техника!$F$4:$ABM$4,"Часы",INDEX(Техника!$G$1:$ABN$500,AB$2,0),$A$1166,INDEX(Техника!$H$1:$ABO$500,AB$2,0),"З")</f>
        <v>0</v>
      </c>
    </row>
    <row r="1172" spans="1:28" ht="7.95" customHeight="1" x14ac:dyDescent="0.3">
      <c r="A1172" s="38"/>
      <c r="B1172" s="39"/>
      <c r="C1172" s="51"/>
      <c r="D1172" s="51"/>
      <c r="E1172" s="51"/>
      <c r="F1172" s="51"/>
      <c r="G1172" s="51"/>
      <c r="H1172" s="51"/>
      <c r="I1172" s="51"/>
      <c r="J1172" s="51"/>
      <c r="K1172" s="51"/>
      <c r="L1172" s="51"/>
      <c r="M1172" s="51"/>
      <c r="N1172" s="51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</row>
    <row r="1173" spans="1:28" ht="25.05" customHeight="1" collapsed="1" x14ac:dyDescent="0.3">
      <c r="A1173" s="32">
        <v>168</v>
      </c>
      <c r="B1173" s="32" t="s">
        <v>169</v>
      </c>
      <c r="C1173" s="49">
        <f>SUM(C1174:C1178)</f>
        <v>0</v>
      </c>
      <c r="D1173" s="49">
        <f>SUM(D1174:D1178)</f>
        <v>0</v>
      </c>
      <c r="E1173" s="49">
        <f>SUM(E1174:E1178)</f>
        <v>0</v>
      </c>
      <c r="F1173" s="49">
        <f>SUM(F1174:F1178)</f>
        <v>0</v>
      </c>
      <c r="G1173" s="49">
        <f>SUM(G1174:G1178)</f>
        <v>0</v>
      </c>
      <c r="H1173" s="49">
        <f>SUM(H1174:H1178)</f>
        <v>0</v>
      </c>
      <c r="I1173" s="49">
        <f>SUM(I1174:I1178)</f>
        <v>0</v>
      </c>
      <c r="J1173" s="49">
        <f>SUM(J1174:J1178)</f>
        <v>0</v>
      </c>
      <c r="K1173" s="49">
        <f>SUM(K1174:K1178)</f>
        <v>0</v>
      </c>
      <c r="L1173" s="49">
        <f>SUM(L1174:L1178)</f>
        <v>0</v>
      </c>
      <c r="M1173" s="49">
        <f>SUM(M1174:M1178)</f>
        <v>0</v>
      </c>
      <c r="N1173" s="49">
        <f>SUM(N1174:N1178)</f>
        <v>0</v>
      </c>
      <c r="O1173" s="49">
        <f>SUM(O1174:O1178)</f>
        <v>0</v>
      </c>
      <c r="P1173" s="49">
        <f>SUM(P1174:P1178)</f>
        <v>0</v>
      </c>
      <c r="Q1173" s="49">
        <f>SUM(Q1174:Q1178)</f>
        <v>0</v>
      </c>
      <c r="R1173" s="49">
        <f>SUM(R1174:R1178)</f>
        <v>0</v>
      </c>
      <c r="S1173" s="49">
        <f>SUM(S1174:S1178)</f>
        <v>0</v>
      </c>
      <c r="T1173" s="49">
        <f>SUM(T1174:T1178)</f>
        <v>0</v>
      </c>
      <c r="U1173" s="49">
        <f>SUM(U1174:U1178)</f>
        <v>0</v>
      </c>
      <c r="V1173" s="49">
        <f>SUM(V1174:V1178)</f>
        <v>0</v>
      </c>
      <c r="W1173" s="49">
        <f>SUM(W1174:W1178)</f>
        <v>0</v>
      </c>
      <c r="X1173" s="49">
        <f>SUM(X1174:X1178)</f>
        <v>0</v>
      </c>
      <c r="Y1173" s="49">
        <f>SUM(Y1174:Y1178)</f>
        <v>0</v>
      </c>
      <c r="Z1173" s="49">
        <f>SUM(Z1174:Z1178)</f>
        <v>0</v>
      </c>
      <c r="AA1173" s="49">
        <f>SUM(AA1174:AA1178)</f>
        <v>0</v>
      </c>
      <c r="AB1173" s="49">
        <f>SUM(AB1174:AB1178)</f>
        <v>0</v>
      </c>
    </row>
    <row r="1174" spans="1:28" hidden="1" outlineLevel="1" x14ac:dyDescent="0.3">
      <c r="A1174" s="33" t="s">
        <v>246</v>
      </c>
      <c r="B1174" s="34" t="s">
        <v>274</v>
      </c>
      <c r="C1174" s="50">
        <f>SUMIFS(INDEX(Техника!$F$1:$ABM$500,C$2,0),Техника!$F$4:$ABM$4,"Часы",INDEX(Техника!$G$1:$ABN$500,C$2,0),$A$1173,INDEX(Техника!$H$1:$ABO$500,C$2,0),"М")</f>
        <v>0</v>
      </c>
      <c r="D1174" s="50">
        <f>SUMIFS(INDEX(Техника!$F$1:$ABM$500,D$2,0),Техника!$F$4:$ABM$4,"Часы",INDEX(Техника!$G$1:$ABN$500,D$2,0),$A$1173,INDEX(Техника!$H$1:$ABO$500,D$2,0),"М")</f>
        <v>0</v>
      </c>
      <c r="E1174" s="50">
        <f>SUMIFS(INDEX(Техника!$F$1:$ABM$500,E$2,0),Техника!$F$4:$ABM$4,"Часы",INDEX(Техника!$G$1:$ABN$500,E$2,0),$A$1173,INDEX(Техника!$H$1:$ABO$500,E$2,0),"М")</f>
        <v>0</v>
      </c>
      <c r="F1174" s="50">
        <f>SUMIFS(INDEX(Техника!$F$1:$ABM$500,F$2,0),Техника!$F$4:$ABM$4,"Часы",INDEX(Техника!$G$1:$ABN$500,F$2,0),$A$1173,INDEX(Техника!$H$1:$ABO$500,F$2,0),"М")</f>
        <v>0</v>
      </c>
      <c r="G1174" s="50">
        <f>SUMIFS(INDEX(Техника!$F$1:$ABM$500,G$2,0),Техника!$F$4:$ABM$4,"Часы",INDEX(Техника!$G$1:$ABN$500,G$2,0),$A$1173,INDEX(Техника!$H$1:$ABO$500,G$2,0),"М")</f>
        <v>0</v>
      </c>
      <c r="H1174" s="50">
        <f>SUMIFS(INDEX(Техника!$F$1:$ABM$500,H$2,0),Техника!$F$4:$ABM$4,"Часы",INDEX(Техника!$G$1:$ABN$500,H$2,0),$A$1173,INDEX(Техника!$H$1:$ABO$500,H$2,0),"М")</f>
        <v>0</v>
      </c>
      <c r="I1174" s="50">
        <f>SUMIFS(INDEX(Техника!$F$1:$ABM$500,I$2,0),Техника!$F$4:$ABM$4,"Часы",INDEX(Техника!$G$1:$ABN$500,I$2,0),$A$1173,INDEX(Техника!$H$1:$ABO$500,I$2,0),"М")</f>
        <v>0</v>
      </c>
      <c r="J1174" s="50">
        <f>SUMIFS(INDEX(Техника!$F$1:$ABM$500,J$2,0),Техника!$F$4:$ABM$4,"Часы",INDEX(Техника!$G$1:$ABN$500,J$2,0),$A$1173,INDEX(Техника!$H$1:$ABO$500,J$2,0),"М")</f>
        <v>0</v>
      </c>
      <c r="K1174" s="50">
        <f>SUMIFS(INDEX(Техника!$F$1:$ABM$500,K$2,0),Техника!$F$4:$ABM$4,"Часы",INDEX(Техника!$G$1:$ABN$500,K$2,0),$A$1173,INDEX(Техника!$H$1:$ABO$500,K$2,0),"М")</f>
        <v>0</v>
      </c>
      <c r="L1174" s="50">
        <f>SUMIFS(INDEX(Техника!$F$1:$ABM$500,L$2,0),Техника!$F$4:$ABM$4,"Часы",INDEX(Техника!$G$1:$ABN$500,L$2,0),$A$1173,INDEX(Техника!$H$1:$ABO$500,L$2,0),"М")</f>
        <v>0</v>
      </c>
      <c r="M1174" s="50">
        <f>SUMIFS(INDEX(Техника!$F$1:$ABM$500,M$2,0),Техника!$F$4:$ABM$4,"Часы",INDEX(Техника!$G$1:$ABN$500,M$2,0),$A$1173,INDEX(Техника!$H$1:$ABO$500,M$2,0),"М")</f>
        <v>0</v>
      </c>
      <c r="N1174" s="50">
        <f>SUMIFS(INDEX(Техника!$F$1:$ABM$500,N$2,0),Техника!$F$4:$ABM$4,"Часы",INDEX(Техника!$G$1:$ABN$500,N$2,0),$A$1173,INDEX(Техника!$H$1:$ABO$500,N$2,0),"М")</f>
        <v>0</v>
      </c>
      <c r="O1174" s="50">
        <f>SUMIFS(INDEX(Техника!$F$1:$ABM$500,O$2,0),Техника!$F$4:$ABM$4,"Часы",INDEX(Техника!$G$1:$ABN$500,O$2,0),$A$1173,INDEX(Техника!$H$1:$ABO$500,O$2,0),"М")</f>
        <v>0</v>
      </c>
      <c r="P1174" s="50">
        <f>SUMIFS(INDEX(Техника!$F$1:$ABM$500,P$2,0),Техника!$F$4:$ABM$4,"Часы",INDEX(Техника!$G$1:$ABN$500,P$2,0),$A$1173,INDEX(Техника!$H$1:$ABO$500,P$2,0),"М")</f>
        <v>0</v>
      </c>
      <c r="Q1174" s="50">
        <f>SUMIFS(INDEX(Техника!$F$1:$ABM$500,Q$2,0),Техника!$F$4:$ABM$4,"Часы",INDEX(Техника!$G$1:$ABN$500,Q$2,0),$A$1173,INDEX(Техника!$H$1:$ABO$500,Q$2,0),"М")</f>
        <v>0</v>
      </c>
      <c r="R1174" s="50">
        <f>SUMIFS(INDEX(Техника!$F$1:$ABM$500,R$2,0),Техника!$F$4:$ABM$4,"Часы",INDEX(Техника!$G$1:$ABN$500,R$2,0),$A$1173,INDEX(Техника!$H$1:$ABO$500,R$2,0),"М")</f>
        <v>0</v>
      </c>
      <c r="S1174" s="50">
        <f>SUMIFS(INDEX(Техника!$F$1:$ABM$500,S$2,0),Техника!$F$4:$ABM$4,"Часы",INDEX(Техника!$G$1:$ABN$500,S$2,0),$A$1173,INDEX(Техника!$H$1:$ABO$500,S$2,0),"М")</f>
        <v>0</v>
      </c>
      <c r="T1174" s="50">
        <f>SUMIFS(INDEX(Техника!$F$1:$ABM$500,T$2,0),Техника!$F$4:$ABM$4,"Часы",INDEX(Техника!$G$1:$ABN$500,T$2,0),$A$1173,INDEX(Техника!$H$1:$ABO$500,T$2,0),"М")</f>
        <v>0</v>
      </c>
      <c r="U1174" s="50">
        <f>SUMIFS(INDEX(Техника!$F$1:$ABM$500,U$2,0),Техника!$F$4:$ABM$4,"Часы",INDEX(Техника!$G$1:$ABN$500,U$2,0),$A$1173,INDEX(Техника!$H$1:$ABO$500,U$2,0),"М")</f>
        <v>0</v>
      </c>
      <c r="V1174" s="50">
        <f>SUMIFS(INDEX(Техника!$F$1:$ABM$500,V$2,0),Техника!$F$4:$ABM$4,"Часы",INDEX(Техника!$G$1:$ABN$500,V$2,0),$A$1173,INDEX(Техника!$H$1:$ABO$500,V$2,0),"М")</f>
        <v>0</v>
      </c>
      <c r="W1174" s="50">
        <f>SUMIFS(INDEX(Техника!$F$1:$ABM$500,W$2,0),Техника!$F$4:$ABM$4,"Часы",INDEX(Техника!$G$1:$ABN$500,W$2,0),$A$1173,INDEX(Техника!$H$1:$ABO$500,W$2,0),"М")</f>
        <v>0</v>
      </c>
      <c r="X1174" s="50">
        <f>SUMIFS(INDEX(Техника!$F$1:$ABM$500,X$2,0),Техника!$F$4:$ABM$4,"Часы",INDEX(Техника!$G$1:$ABN$500,X$2,0),$A$1173,INDEX(Техника!$H$1:$ABO$500,X$2,0),"М")</f>
        <v>0</v>
      </c>
      <c r="Y1174" s="50">
        <f>SUMIFS(INDEX(Техника!$F$1:$ABM$500,Y$2,0),Техника!$F$4:$ABM$4,"Часы",INDEX(Техника!$G$1:$ABN$500,Y$2,0),$A$1173,INDEX(Техника!$H$1:$ABO$500,Y$2,0),"М")</f>
        <v>0</v>
      </c>
      <c r="Z1174" s="50">
        <f>SUMIFS(INDEX(Техника!$F$1:$ABM$500,Z$2,0),Техника!$F$4:$ABM$4,"Часы",INDEX(Техника!$G$1:$ABN$500,Z$2,0),$A$1173,INDEX(Техника!$H$1:$ABO$500,Z$2,0),"М")</f>
        <v>0</v>
      </c>
      <c r="AA1174" s="50">
        <f>SUMIFS(INDEX(Техника!$F$1:$ABM$500,AA$2,0),Техника!$F$4:$ABM$4,"Часы",INDEX(Техника!$G$1:$ABN$500,AA$2,0),$A$1173,INDEX(Техника!$H$1:$ABO$500,AA$2,0),"М")</f>
        <v>0</v>
      </c>
      <c r="AB1174" s="50">
        <f>SUMIFS(INDEX(Техника!$F$1:$ABM$500,AB$2,0),Техника!$F$4:$ABM$4,"Часы",INDEX(Техника!$G$1:$ABN$500,AB$2,0),$A$1173,INDEX(Техника!$H$1:$ABO$500,AB$2,0),"М")</f>
        <v>0</v>
      </c>
    </row>
    <row r="1175" spans="1:28" hidden="1" outlineLevel="1" x14ac:dyDescent="0.3">
      <c r="A1175" s="33" t="s">
        <v>244</v>
      </c>
      <c r="B1175" s="34" t="s">
        <v>275</v>
      </c>
      <c r="C1175" s="50">
        <f>SUMIFS(INDEX(Техника!$F$1:$ABM$500,C$2,0),Техника!$F$4:$ABM$4,"Часы",INDEX(Техника!$G$1:$ABN$500,C$2,0),$A$1173,INDEX(Техника!$H$1:$ABO$500,C$2,0),"Д")</f>
        <v>0</v>
      </c>
      <c r="D1175" s="50">
        <f>SUMIFS(INDEX(Техника!$F$1:$ABM$500,D$2,0),Техника!$F$4:$ABM$4,"Часы",INDEX(Техника!$G$1:$ABN$500,D$2,0),$A$1173,INDEX(Техника!$H$1:$ABO$500,D$2,0),"Д")</f>
        <v>0</v>
      </c>
      <c r="E1175" s="50">
        <f>SUMIFS(INDEX(Техника!$F$1:$ABM$500,E$2,0),Техника!$F$4:$ABM$4,"Часы",INDEX(Техника!$G$1:$ABN$500,E$2,0),$A$1173,INDEX(Техника!$H$1:$ABO$500,E$2,0),"Д")</f>
        <v>0</v>
      </c>
      <c r="F1175" s="50">
        <f>SUMIFS(INDEX(Техника!$F$1:$ABM$500,F$2,0),Техника!$F$4:$ABM$4,"Часы",INDEX(Техника!$G$1:$ABN$500,F$2,0),$A$1173,INDEX(Техника!$H$1:$ABO$500,F$2,0),"Д")</f>
        <v>0</v>
      </c>
      <c r="G1175" s="50">
        <f>SUMIFS(INDEX(Техника!$F$1:$ABM$500,G$2,0),Техника!$F$4:$ABM$4,"Часы",INDEX(Техника!$G$1:$ABN$500,G$2,0),$A$1173,INDEX(Техника!$H$1:$ABO$500,G$2,0),"Д")</f>
        <v>0</v>
      </c>
      <c r="H1175" s="50">
        <f>SUMIFS(INDEX(Техника!$F$1:$ABM$500,H$2,0),Техника!$F$4:$ABM$4,"Часы",INDEX(Техника!$G$1:$ABN$500,H$2,0),$A$1173,INDEX(Техника!$H$1:$ABO$500,H$2,0),"Д")</f>
        <v>0</v>
      </c>
      <c r="I1175" s="50">
        <f>SUMIFS(INDEX(Техника!$F$1:$ABM$500,I$2,0),Техника!$F$4:$ABM$4,"Часы",INDEX(Техника!$G$1:$ABN$500,I$2,0),$A$1173,INDEX(Техника!$H$1:$ABO$500,I$2,0),"Д")</f>
        <v>0</v>
      </c>
      <c r="J1175" s="50">
        <f>SUMIFS(INDEX(Техника!$F$1:$ABM$500,J$2,0),Техника!$F$4:$ABM$4,"Часы",INDEX(Техника!$G$1:$ABN$500,J$2,0),$A$1173,INDEX(Техника!$H$1:$ABO$500,J$2,0),"Д")</f>
        <v>0</v>
      </c>
      <c r="K1175" s="50">
        <f>SUMIFS(INDEX(Техника!$F$1:$ABM$500,K$2,0),Техника!$F$4:$ABM$4,"Часы",INDEX(Техника!$G$1:$ABN$500,K$2,0),$A$1173,INDEX(Техника!$H$1:$ABO$500,K$2,0),"Д")</f>
        <v>0</v>
      </c>
      <c r="L1175" s="50">
        <f>SUMIFS(INDEX(Техника!$F$1:$ABM$500,L$2,0),Техника!$F$4:$ABM$4,"Часы",INDEX(Техника!$G$1:$ABN$500,L$2,0),$A$1173,INDEX(Техника!$H$1:$ABO$500,L$2,0),"Д")</f>
        <v>0</v>
      </c>
      <c r="M1175" s="50">
        <f>SUMIFS(INDEX(Техника!$F$1:$ABM$500,M$2,0),Техника!$F$4:$ABM$4,"Часы",INDEX(Техника!$G$1:$ABN$500,M$2,0),$A$1173,INDEX(Техника!$H$1:$ABO$500,M$2,0),"Д")</f>
        <v>0</v>
      </c>
      <c r="N1175" s="50">
        <f>SUMIFS(INDEX(Техника!$F$1:$ABM$500,N$2,0),Техника!$F$4:$ABM$4,"Часы",INDEX(Техника!$G$1:$ABN$500,N$2,0),$A$1173,INDEX(Техника!$H$1:$ABO$500,N$2,0),"Д")</f>
        <v>0</v>
      </c>
      <c r="O1175" s="50">
        <f>SUMIFS(INDEX(Техника!$F$1:$ABM$500,O$2,0),Техника!$F$4:$ABM$4,"Часы",INDEX(Техника!$G$1:$ABN$500,O$2,0),$A$1173,INDEX(Техника!$H$1:$ABO$500,O$2,0),"Д")</f>
        <v>0</v>
      </c>
      <c r="P1175" s="50">
        <f>SUMIFS(INDEX(Техника!$F$1:$ABM$500,P$2,0),Техника!$F$4:$ABM$4,"Часы",INDEX(Техника!$G$1:$ABN$500,P$2,0),$A$1173,INDEX(Техника!$H$1:$ABO$500,P$2,0),"Д")</f>
        <v>0</v>
      </c>
      <c r="Q1175" s="50">
        <f>SUMIFS(INDEX(Техника!$F$1:$ABM$500,Q$2,0),Техника!$F$4:$ABM$4,"Часы",INDEX(Техника!$G$1:$ABN$500,Q$2,0),$A$1173,INDEX(Техника!$H$1:$ABO$500,Q$2,0),"Д")</f>
        <v>0</v>
      </c>
      <c r="R1175" s="50">
        <f>SUMIFS(INDEX(Техника!$F$1:$ABM$500,R$2,0),Техника!$F$4:$ABM$4,"Часы",INDEX(Техника!$G$1:$ABN$500,R$2,0),$A$1173,INDEX(Техника!$H$1:$ABO$500,R$2,0),"Д")</f>
        <v>0</v>
      </c>
      <c r="S1175" s="50">
        <f>SUMIFS(INDEX(Техника!$F$1:$ABM$500,S$2,0),Техника!$F$4:$ABM$4,"Часы",INDEX(Техника!$G$1:$ABN$500,S$2,0),$A$1173,INDEX(Техника!$H$1:$ABO$500,S$2,0),"Д")</f>
        <v>0</v>
      </c>
      <c r="T1175" s="50">
        <f>SUMIFS(INDEX(Техника!$F$1:$ABM$500,T$2,0),Техника!$F$4:$ABM$4,"Часы",INDEX(Техника!$G$1:$ABN$500,T$2,0),$A$1173,INDEX(Техника!$H$1:$ABO$500,T$2,0),"Д")</f>
        <v>0</v>
      </c>
      <c r="U1175" s="50">
        <f>SUMIFS(INDEX(Техника!$F$1:$ABM$500,U$2,0),Техника!$F$4:$ABM$4,"Часы",INDEX(Техника!$G$1:$ABN$500,U$2,0),$A$1173,INDEX(Техника!$H$1:$ABO$500,U$2,0),"Д")</f>
        <v>0</v>
      </c>
      <c r="V1175" s="50">
        <f>SUMIFS(INDEX(Техника!$F$1:$ABM$500,V$2,0),Техника!$F$4:$ABM$4,"Часы",INDEX(Техника!$G$1:$ABN$500,V$2,0),$A$1173,INDEX(Техника!$H$1:$ABO$500,V$2,0),"Д")</f>
        <v>0</v>
      </c>
      <c r="W1175" s="50">
        <f>SUMIFS(INDEX(Техника!$F$1:$ABM$500,W$2,0),Техника!$F$4:$ABM$4,"Часы",INDEX(Техника!$G$1:$ABN$500,W$2,0),$A$1173,INDEX(Техника!$H$1:$ABO$500,W$2,0),"Д")</f>
        <v>0</v>
      </c>
      <c r="X1175" s="50">
        <f>SUMIFS(INDEX(Техника!$F$1:$ABM$500,X$2,0),Техника!$F$4:$ABM$4,"Часы",INDEX(Техника!$G$1:$ABN$500,X$2,0),$A$1173,INDEX(Техника!$H$1:$ABO$500,X$2,0),"Д")</f>
        <v>0</v>
      </c>
      <c r="Y1175" s="50">
        <f>SUMIFS(INDEX(Техника!$F$1:$ABM$500,Y$2,0),Техника!$F$4:$ABM$4,"Часы",INDEX(Техника!$G$1:$ABN$500,Y$2,0),$A$1173,INDEX(Техника!$H$1:$ABO$500,Y$2,0),"Д")</f>
        <v>0</v>
      </c>
      <c r="Z1175" s="50">
        <f>SUMIFS(INDEX(Техника!$F$1:$ABM$500,Z$2,0),Техника!$F$4:$ABM$4,"Часы",INDEX(Техника!$G$1:$ABN$500,Z$2,0),$A$1173,INDEX(Техника!$H$1:$ABO$500,Z$2,0),"Д")</f>
        <v>0</v>
      </c>
      <c r="AA1175" s="50">
        <f>SUMIFS(INDEX(Техника!$F$1:$ABM$500,AA$2,0),Техника!$F$4:$ABM$4,"Часы",INDEX(Техника!$G$1:$ABN$500,AA$2,0),$A$1173,INDEX(Техника!$H$1:$ABO$500,AA$2,0),"Д")</f>
        <v>0</v>
      </c>
      <c r="AB1175" s="50">
        <f>SUMIFS(INDEX(Техника!$F$1:$ABM$500,AB$2,0),Техника!$F$4:$ABM$4,"Часы",INDEX(Техника!$G$1:$ABN$500,AB$2,0),$A$1173,INDEX(Техника!$H$1:$ABO$500,AB$2,0),"Д")</f>
        <v>0</v>
      </c>
    </row>
    <row r="1176" spans="1:28" hidden="1" outlineLevel="1" x14ac:dyDescent="0.3">
      <c r="A1176" s="33" t="s">
        <v>276</v>
      </c>
      <c r="B1176" s="34" t="s">
        <v>277</v>
      </c>
      <c r="C1176" s="50">
        <f>SUMIFS(INDEX(Техника!$F$1:$ABM$500,C$2,0),Техника!$F$4:$ABM$4,"Часы",INDEX(Техника!$G$1:$ABN$500,C$2,0),$A$1173,INDEX(Техника!$H$1:$ABO$500,C$2,0),"П")</f>
        <v>0</v>
      </c>
      <c r="D1176" s="50">
        <f>SUMIFS(INDEX(Техника!$F$1:$ABM$500,D$2,0),Техника!$F$4:$ABM$4,"Часы",INDEX(Техника!$G$1:$ABN$500,D$2,0),$A$1173,INDEX(Техника!$H$1:$ABO$500,D$2,0),"П")</f>
        <v>0</v>
      </c>
      <c r="E1176" s="50">
        <f>SUMIFS(INDEX(Техника!$F$1:$ABM$500,E$2,0),Техника!$F$4:$ABM$4,"Часы",INDEX(Техника!$G$1:$ABN$500,E$2,0),$A$1173,INDEX(Техника!$H$1:$ABO$500,E$2,0),"П")</f>
        <v>0</v>
      </c>
      <c r="F1176" s="50">
        <f>SUMIFS(INDEX(Техника!$F$1:$ABM$500,F$2,0),Техника!$F$4:$ABM$4,"Часы",INDEX(Техника!$G$1:$ABN$500,F$2,0),$A$1173,INDEX(Техника!$H$1:$ABO$500,F$2,0),"П")</f>
        <v>0</v>
      </c>
      <c r="G1176" s="50">
        <f>SUMIFS(INDEX(Техника!$F$1:$ABM$500,G$2,0),Техника!$F$4:$ABM$4,"Часы",INDEX(Техника!$G$1:$ABN$500,G$2,0),$A$1173,INDEX(Техника!$H$1:$ABO$500,G$2,0),"П")</f>
        <v>0</v>
      </c>
      <c r="H1176" s="50">
        <f>SUMIFS(INDEX(Техника!$F$1:$ABM$500,H$2,0),Техника!$F$4:$ABM$4,"Часы",INDEX(Техника!$G$1:$ABN$500,H$2,0),$A$1173,INDEX(Техника!$H$1:$ABO$500,H$2,0),"П")</f>
        <v>0</v>
      </c>
      <c r="I1176" s="50">
        <f>SUMIFS(INDEX(Техника!$F$1:$ABM$500,I$2,0),Техника!$F$4:$ABM$4,"Часы",INDEX(Техника!$G$1:$ABN$500,I$2,0),$A$1173,INDEX(Техника!$H$1:$ABO$500,I$2,0),"П")</f>
        <v>0</v>
      </c>
      <c r="J1176" s="50">
        <f>SUMIFS(INDEX(Техника!$F$1:$ABM$500,J$2,0),Техника!$F$4:$ABM$4,"Часы",INDEX(Техника!$G$1:$ABN$500,J$2,0),$A$1173,INDEX(Техника!$H$1:$ABO$500,J$2,0),"П")</f>
        <v>0</v>
      </c>
      <c r="K1176" s="50">
        <f>SUMIFS(INDEX(Техника!$F$1:$ABM$500,K$2,0),Техника!$F$4:$ABM$4,"Часы",INDEX(Техника!$G$1:$ABN$500,K$2,0),$A$1173,INDEX(Техника!$H$1:$ABO$500,K$2,0),"П")</f>
        <v>0</v>
      </c>
      <c r="L1176" s="50">
        <f>SUMIFS(INDEX(Техника!$F$1:$ABM$500,L$2,0),Техника!$F$4:$ABM$4,"Часы",INDEX(Техника!$G$1:$ABN$500,L$2,0),$A$1173,INDEX(Техника!$H$1:$ABO$500,L$2,0),"П")</f>
        <v>0</v>
      </c>
      <c r="M1176" s="50">
        <f>SUMIFS(INDEX(Техника!$F$1:$ABM$500,M$2,0),Техника!$F$4:$ABM$4,"Часы",INDEX(Техника!$G$1:$ABN$500,M$2,0),$A$1173,INDEX(Техника!$H$1:$ABO$500,M$2,0),"П")</f>
        <v>0</v>
      </c>
      <c r="N1176" s="50">
        <f>SUMIFS(INDEX(Техника!$F$1:$ABM$500,N$2,0),Техника!$F$4:$ABM$4,"Часы",INDEX(Техника!$G$1:$ABN$500,N$2,0),$A$1173,INDEX(Техника!$H$1:$ABO$500,N$2,0),"П")</f>
        <v>0</v>
      </c>
      <c r="O1176" s="50">
        <f>SUMIFS(INDEX(Техника!$F$1:$ABM$500,O$2,0),Техника!$F$4:$ABM$4,"Часы",INDEX(Техника!$G$1:$ABN$500,O$2,0),$A$1173,INDEX(Техника!$H$1:$ABO$500,O$2,0),"П")</f>
        <v>0</v>
      </c>
      <c r="P1176" s="50">
        <f>SUMIFS(INDEX(Техника!$F$1:$ABM$500,P$2,0),Техника!$F$4:$ABM$4,"Часы",INDEX(Техника!$G$1:$ABN$500,P$2,0),$A$1173,INDEX(Техника!$H$1:$ABO$500,P$2,0),"П")</f>
        <v>0</v>
      </c>
      <c r="Q1176" s="50">
        <f>SUMIFS(INDEX(Техника!$F$1:$ABM$500,Q$2,0),Техника!$F$4:$ABM$4,"Часы",INDEX(Техника!$G$1:$ABN$500,Q$2,0),$A$1173,INDEX(Техника!$H$1:$ABO$500,Q$2,0),"П")</f>
        <v>0</v>
      </c>
      <c r="R1176" s="50">
        <f>SUMIFS(INDEX(Техника!$F$1:$ABM$500,R$2,0),Техника!$F$4:$ABM$4,"Часы",INDEX(Техника!$G$1:$ABN$500,R$2,0),$A$1173,INDEX(Техника!$H$1:$ABO$500,R$2,0),"П")</f>
        <v>0</v>
      </c>
      <c r="S1176" s="50">
        <f>SUMIFS(INDEX(Техника!$F$1:$ABM$500,S$2,0),Техника!$F$4:$ABM$4,"Часы",INDEX(Техника!$G$1:$ABN$500,S$2,0),$A$1173,INDEX(Техника!$H$1:$ABO$500,S$2,0),"П")</f>
        <v>0</v>
      </c>
      <c r="T1176" s="50">
        <f>SUMIFS(INDEX(Техника!$F$1:$ABM$500,T$2,0),Техника!$F$4:$ABM$4,"Часы",INDEX(Техника!$G$1:$ABN$500,T$2,0),$A$1173,INDEX(Техника!$H$1:$ABO$500,T$2,0),"П")</f>
        <v>0</v>
      </c>
      <c r="U1176" s="50">
        <f>SUMIFS(INDEX(Техника!$F$1:$ABM$500,U$2,0),Техника!$F$4:$ABM$4,"Часы",INDEX(Техника!$G$1:$ABN$500,U$2,0),$A$1173,INDEX(Техника!$H$1:$ABO$500,U$2,0),"П")</f>
        <v>0</v>
      </c>
      <c r="V1176" s="50">
        <f>SUMIFS(INDEX(Техника!$F$1:$ABM$500,V$2,0),Техника!$F$4:$ABM$4,"Часы",INDEX(Техника!$G$1:$ABN$500,V$2,0),$A$1173,INDEX(Техника!$H$1:$ABO$500,V$2,0),"П")</f>
        <v>0</v>
      </c>
      <c r="W1176" s="50">
        <f>SUMIFS(INDEX(Техника!$F$1:$ABM$500,W$2,0),Техника!$F$4:$ABM$4,"Часы",INDEX(Техника!$G$1:$ABN$500,W$2,0),$A$1173,INDEX(Техника!$H$1:$ABO$500,W$2,0),"П")</f>
        <v>0</v>
      </c>
      <c r="X1176" s="50">
        <f>SUMIFS(INDEX(Техника!$F$1:$ABM$500,X$2,0),Техника!$F$4:$ABM$4,"Часы",INDEX(Техника!$G$1:$ABN$500,X$2,0),$A$1173,INDEX(Техника!$H$1:$ABO$500,X$2,0),"П")</f>
        <v>0</v>
      </c>
      <c r="Y1176" s="50">
        <f>SUMIFS(INDEX(Техника!$F$1:$ABM$500,Y$2,0),Техника!$F$4:$ABM$4,"Часы",INDEX(Техника!$G$1:$ABN$500,Y$2,0),$A$1173,INDEX(Техника!$H$1:$ABO$500,Y$2,0),"П")</f>
        <v>0</v>
      </c>
      <c r="Z1176" s="50">
        <f>SUMIFS(INDEX(Техника!$F$1:$ABM$500,Z$2,0),Техника!$F$4:$ABM$4,"Часы",INDEX(Техника!$G$1:$ABN$500,Z$2,0),$A$1173,INDEX(Техника!$H$1:$ABO$500,Z$2,0),"П")</f>
        <v>0</v>
      </c>
      <c r="AA1176" s="50">
        <f>SUMIFS(INDEX(Техника!$F$1:$ABM$500,AA$2,0),Техника!$F$4:$ABM$4,"Часы",INDEX(Техника!$G$1:$ABN$500,AA$2,0),$A$1173,INDEX(Техника!$H$1:$ABO$500,AA$2,0),"П")</f>
        <v>0</v>
      </c>
      <c r="AB1176" s="50">
        <f>SUMIFS(INDEX(Техника!$F$1:$ABM$500,AB$2,0),Техника!$F$4:$ABM$4,"Часы",INDEX(Техника!$G$1:$ABN$500,AB$2,0),$A$1173,INDEX(Техника!$H$1:$ABO$500,AB$2,0),"П")</f>
        <v>0</v>
      </c>
    </row>
    <row r="1177" spans="1:28" hidden="1" outlineLevel="1" x14ac:dyDescent="0.3">
      <c r="A1177" s="33" t="s">
        <v>243</v>
      </c>
      <c r="B1177" s="34" t="s">
        <v>278</v>
      </c>
      <c r="C1177" s="50">
        <f>SUMIFS(INDEX(Техника!$F$1:$ABM$500,C$2,0),Техника!$F$4:$ABM$4,"Часы",INDEX(Техника!$G$1:$ABN$500,C$2,0),$A$1173,INDEX(Техника!$H$1:$ABO$500,C$2,0),"Л")</f>
        <v>0</v>
      </c>
      <c r="D1177" s="50">
        <f>SUMIFS(INDEX(Техника!$F$1:$ABM$500,D$2,0),Техника!$F$4:$ABM$4,"Часы",INDEX(Техника!$G$1:$ABN$500,D$2,0),$A$1173,INDEX(Техника!$H$1:$ABO$500,D$2,0),"Л")</f>
        <v>0</v>
      </c>
      <c r="E1177" s="50">
        <f>SUMIFS(INDEX(Техника!$F$1:$ABM$500,E$2,0),Техника!$F$4:$ABM$4,"Часы",INDEX(Техника!$G$1:$ABN$500,E$2,0),$A$1173,INDEX(Техника!$H$1:$ABO$500,E$2,0),"Л")</f>
        <v>0</v>
      </c>
      <c r="F1177" s="50">
        <f>SUMIFS(INDEX(Техника!$F$1:$ABM$500,F$2,0),Техника!$F$4:$ABM$4,"Часы",INDEX(Техника!$G$1:$ABN$500,F$2,0),$A$1173,INDEX(Техника!$H$1:$ABO$500,F$2,0),"Л")</f>
        <v>0</v>
      </c>
      <c r="G1177" s="50">
        <f>SUMIFS(INDEX(Техника!$F$1:$ABM$500,G$2,0),Техника!$F$4:$ABM$4,"Часы",INDEX(Техника!$G$1:$ABN$500,G$2,0),$A$1173,INDEX(Техника!$H$1:$ABO$500,G$2,0),"Л")</f>
        <v>0</v>
      </c>
      <c r="H1177" s="50">
        <f>SUMIFS(INDEX(Техника!$F$1:$ABM$500,H$2,0),Техника!$F$4:$ABM$4,"Часы",INDEX(Техника!$G$1:$ABN$500,H$2,0),$A$1173,INDEX(Техника!$H$1:$ABO$500,H$2,0),"Л")</f>
        <v>0</v>
      </c>
      <c r="I1177" s="50">
        <f>SUMIFS(INDEX(Техника!$F$1:$ABM$500,I$2,0),Техника!$F$4:$ABM$4,"Часы",INDEX(Техника!$G$1:$ABN$500,I$2,0),$A$1173,INDEX(Техника!$H$1:$ABO$500,I$2,0),"Л")</f>
        <v>0</v>
      </c>
      <c r="J1177" s="50">
        <f>SUMIFS(INDEX(Техника!$F$1:$ABM$500,J$2,0),Техника!$F$4:$ABM$4,"Часы",INDEX(Техника!$G$1:$ABN$500,J$2,0),$A$1173,INDEX(Техника!$H$1:$ABO$500,J$2,0),"Л")</f>
        <v>0</v>
      </c>
      <c r="K1177" s="50">
        <f>SUMIFS(INDEX(Техника!$F$1:$ABM$500,K$2,0),Техника!$F$4:$ABM$4,"Часы",INDEX(Техника!$G$1:$ABN$500,K$2,0),$A$1173,INDEX(Техника!$H$1:$ABO$500,K$2,0),"Л")</f>
        <v>0</v>
      </c>
      <c r="L1177" s="50">
        <f>SUMIFS(INDEX(Техника!$F$1:$ABM$500,L$2,0),Техника!$F$4:$ABM$4,"Часы",INDEX(Техника!$G$1:$ABN$500,L$2,0),$A$1173,INDEX(Техника!$H$1:$ABO$500,L$2,0),"Л")</f>
        <v>0</v>
      </c>
      <c r="M1177" s="50">
        <f>SUMIFS(INDEX(Техника!$F$1:$ABM$500,M$2,0),Техника!$F$4:$ABM$4,"Часы",INDEX(Техника!$G$1:$ABN$500,M$2,0),$A$1173,INDEX(Техника!$H$1:$ABO$500,M$2,0),"Л")</f>
        <v>0</v>
      </c>
      <c r="N1177" s="50">
        <f>SUMIFS(INDEX(Техника!$F$1:$ABM$500,N$2,0),Техника!$F$4:$ABM$4,"Часы",INDEX(Техника!$G$1:$ABN$500,N$2,0),$A$1173,INDEX(Техника!$H$1:$ABO$500,N$2,0),"Л")</f>
        <v>0</v>
      </c>
      <c r="O1177" s="50">
        <f>SUMIFS(INDEX(Техника!$F$1:$ABM$500,O$2,0),Техника!$F$4:$ABM$4,"Часы",INDEX(Техника!$G$1:$ABN$500,O$2,0),$A$1173,INDEX(Техника!$H$1:$ABO$500,O$2,0),"Л")</f>
        <v>0</v>
      </c>
      <c r="P1177" s="50">
        <f>SUMIFS(INDEX(Техника!$F$1:$ABM$500,P$2,0),Техника!$F$4:$ABM$4,"Часы",INDEX(Техника!$G$1:$ABN$500,P$2,0),$A$1173,INDEX(Техника!$H$1:$ABO$500,P$2,0),"Л")</f>
        <v>0</v>
      </c>
      <c r="Q1177" s="50">
        <f>SUMIFS(INDEX(Техника!$F$1:$ABM$500,Q$2,0),Техника!$F$4:$ABM$4,"Часы",INDEX(Техника!$G$1:$ABN$500,Q$2,0),$A$1173,INDEX(Техника!$H$1:$ABO$500,Q$2,0),"Л")</f>
        <v>0</v>
      </c>
      <c r="R1177" s="50">
        <f>SUMIFS(INDEX(Техника!$F$1:$ABM$500,R$2,0),Техника!$F$4:$ABM$4,"Часы",INDEX(Техника!$G$1:$ABN$500,R$2,0),$A$1173,INDEX(Техника!$H$1:$ABO$500,R$2,0),"Л")</f>
        <v>0</v>
      </c>
      <c r="S1177" s="50">
        <f>SUMIFS(INDEX(Техника!$F$1:$ABM$500,S$2,0),Техника!$F$4:$ABM$4,"Часы",INDEX(Техника!$G$1:$ABN$500,S$2,0),$A$1173,INDEX(Техника!$H$1:$ABO$500,S$2,0),"Л")</f>
        <v>0</v>
      </c>
      <c r="T1177" s="50">
        <f>SUMIFS(INDEX(Техника!$F$1:$ABM$500,T$2,0),Техника!$F$4:$ABM$4,"Часы",INDEX(Техника!$G$1:$ABN$500,T$2,0),$A$1173,INDEX(Техника!$H$1:$ABO$500,T$2,0),"Л")</f>
        <v>0</v>
      </c>
      <c r="U1177" s="50">
        <f>SUMIFS(INDEX(Техника!$F$1:$ABM$500,U$2,0),Техника!$F$4:$ABM$4,"Часы",INDEX(Техника!$G$1:$ABN$500,U$2,0),$A$1173,INDEX(Техника!$H$1:$ABO$500,U$2,0),"Л")</f>
        <v>0</v>
      </c>
      <c r="V1177" s="50">
        <f>SUMIFS(INDEX(Техника!$F$1:$ABM$500,V$2,0),Техника!$F$4:$ABM$4,"Часы",INDEX(Техника!$G$1:$ABN$500,V$2,0),$A$1173,INDEX(Техника!$H$1:$ABO$500,V$2,0),"Л")</f>
        <v>0</v>
      </c>
      <c r="W1177" s="50">
        <f>SUMIFS(INDEX(Техника!$F$1:$ABM$500,W$2,0),Техника!$F$4:$ABM$4,"Часы",INDEX(Техника!$G$1:$ABN$500,W$2,0),$A$1173,INDEX(Техника!$H$1:$ABO$500,W$2,0),"Л")</f>
        <v>0</v>
      </c>
      <c r="X1177" s="50">
        <f>SUMIFS(INDEX(Техника!$F$1:$ABM$500,X$2,0),Техника!$F$4:$ABM$4,"Часы",INDEX(Техника!$G$1:$ABN$500,X$2,0),$A$1173,INDEX(Техника!$H$1:$ABO$500,X$2,0),"Л")</f>
        <v>0</v>
      </c>
      <c r="Y1177" s="50">
        <f>SUMIFS(INDEX(Техника!$F$1:$ABM$500,Y$2,0),Техника!$F$4:$ABM$4,"Часы",INDEX(Техника!$G$1:$ABN$500,Y$2,0),$A$1173,INDEX(Техника!$H$1:$ABO$500,Y$2,0),"Л")</f>
        <v>0</v>
      </c>
      <c r="Z1177" s="50">
        <f>SUMIFS(INDEX(Техника!$F$1:$ABM$500,Z$2,0),Техника!$F$4:$ABM$4,"Часы",INDEX(Техника!$G$1:$ABN$500,Z$2,0),$A$1173,INDEX(Техника!$H$1:$ABO$500,Z$2,0),"Л")</f>
        <v>0</v>
      </c>
      <c r="AA1177" s="50">
        <f>SUMIFS(INDEX(Техника!$F$1:$ABM$500,AA$2,0),Техника!$F$4:$ABM$4,"Часы",INDEX(Техника!$G$1:$ABN$500,AA$2,0),$A$1173,INDEX(Техника!$H$1:$ABO$500,AA$2,0),"Л")</f>
        <v>0</v>
      </c>
      <c r="AB1177" s="50">
        <f>SUMIFS(INDEX(Техника!$F$1:$ABM$500,AB$2,0),Техника!$F$4:$ABM$4,"Часы",INDEX(Техника!$G$1:$ABN$500,AB$2,0),$A$1173,INDEX(Техника!$H$1:$ABO$500,AB$2,0),"Л")</f>
        <v>0</v>
      </c>
    </row>
    <row r="1178" spans="1:28" hidden="1" outlineLevel="1" x14ac:dyDescent="0.3">
      <c r="A1178" s="33" t="s">
        <v>245</v>
      </c>
      <c r="B1178" s="34" t="s">
        <v>279</v>
      </c>
      <c r="C1178" s="50">
        <f>SUMIFS(INDEX(Техника!$F$1:$ABM$500,C$2,0),Техника!$F$4:$ABM$4,"Часы",INDEX(Техника!$G$1:$ABN$500,C$2,0),$A$1173,INDEX(Техника!$H$1:$ABO$500,C$2,0),"З")</f>
        <v>0</v>
      </c>
      <c r="D1178" s="50">
        <f>SUMIFS(INDEX(Техника!$F$1:$ABM$500,D$2,0),Техника!$F$4:$ABM$4,"Часы",INDEX(Техника!$G$1:$ABN$500,D$2,0),$A$1173,INDEX(Техника!$H$1:$ABO$500,D$2,0),"З")</f>
        <v>0</v>
      </c>
      <c r="E1178" s="50">
        <f>SUMIFS(INDEX(Техника!$F$1:$ABM$500,E$2,0),Техника!$F$4:$ABM$4,"Часы",INDEX(Техника!$G$1:$ABN$500,E$2,0),$A$1173,INDEX(Техника!$H$1:$ABO$500,E$2,0),"З")</f>
        <v>0</v>
      </c>
      <c r="F1178" s="50">
        <f>SUMIFS(INDEX(Техника!$F$1:$ABM$500,F$2,0),Техника!$F$4:$ABM$4,"Часы",INDEX(Техника!$G$1:$ABN$500,F$2,0),$A$1173,INDEX(Техника!$H$1:$ABO$500,F$2,0),"З")</f>
        <v>0</v>
      </c>
      <c r="G1178" s="50">
        <f>SUMIFS(INDEX(Техника!$F$1:$ABM$500,G$2,0),Техника!$F$4:$ABM$4,"Часы",INDEX(Техника!$G$1:$ABN$500,G$2,0),$A$1173,INDEX(Техника!$H$1:$ABO$500,G$2,0),"З")</f>
        <v>0</v>
      </c>
      <c r="H1178" s="50">
        <f>SUMIFS(INDEX(Техника!$F$1:$ABM$500,H$2,0),Техника!$F$4:$ABM$4,"Часы",INDEX(Техника!$G$1:$ABN$500,H$2,0),$A$1173,INDEX(Техника!$H$1:$ABO$500,H$2,0),"З")</f>
        <v>0</v>
      </c>
      <c r="I1178" s="50">
        <f>SUMIFS(INDEX(Техника!$F$1:$ABM$500,I$2,0),Техника!$F$4:$ABM$4,"Часы",INDEX(Техника!$G$1:$ABN$500,I$2,0),$A$1173,INDEX(Техника!$H$1:$ABO$500,I$2,0),"З")</f>
        <v>0</v>
      </c>
      <c r="J1178" s="50">
        <f>SUMIFS(INDEX(Техника!$F$1:$ABM$500,J$2,0),Техника!$F$4:$ABM$4,"Часы",INDEX(Техника!$G$1:$ABN$500,J$2,0),$A$1173,INDEX(Техника!$H$1:$ABO$500,J$2,0),"З")</f>
        <v>0</v>
      </c>
      <c r="K1178" s="50">
        <f>SUMIFS(INDEX(Техника!$F$1:$ABM$500,K$2,0),Техника!$F$4:$ABM$4,"Часы",INDEX(Техника!$G$1:$ABN$500,K$2,0),$A$1173,INDEX(Техника!$H$1:$ABO$500,K$2,0),"З")</f>
        <v>0</v>
      </c>
      <c r="L1178" s="50">
        <f>SUMIFS(INDEX(Техника!$F$1:$ABM$500,L$2,0),Техника!$F$4:$ABM$4,"Часы",INDEX(Техника!$G$1:$ABN$500,L$2,0),$A$1173,INDEX(Техника!$H$1:$ABO$500,L$2,0),"З")</f>
        <v>0</v>
      </c>
      <c r="M1178" s="50">
        <f>SUMIFS(INDEX(Техника!$F$1:$ABM$500,M$2,0),Техника!$F$4:$ABM$4,"Часы",INDEX(Техника!$G$1:$ABN$500,M$2,0),$A$1173,INDEX(Техника!$H$1:$ABO$500,M$2,0),"З")</f>
        <v>0</v>
      </c>
      <c r="N1178" s="50">
        <f>SUMIFS(INDEX(Техника!$F$1:$ABM$500,N$2,0),Техника!$F$4:$ABM$4,"Часы",INDEX(Техника!$G$1:$ABN$500,N$2,0),$A$1173,INDEX(Техника!$H$1:$ABO$500,N$2,0),"З")</f>
        <v>0</v>
      </c>
      <c r="O1178" s="50">
        <f>SUMIFS(INDEX(Техника!$F$1:$ABM$500,O$2,0),Техника!$F$4:$ABM$4,"Часы",INDEX(Техника!$G$1:$ABN$500,O$2,0),$A$1173,INDEX(Техника!$H$1:$ABO$500,O$2,0),"З")</f>
        <v>0</v>
      </c>
      <c r="P1178" s="50">
        <f>SUMIFS(INDEX(Техника!$F$1:$ABM$500,P$2,0),Техника!$F$4:$ABM$4,"Часы",INDEX(Техника!$G$1:$ABN$500,P$2,0),$A$1173,INDEX(Техника!$H$1:$ABO$500,P$2,0),"З")</f>
        <v>0</v>
      </c>
      <c r="Q1178" s="50">
        <f>SUMIFS(INDEX(Техника!$F$1:$ABM$500,Q$2,0),Техника!$F$4:$ABM$4,"Часы",INDEX(Техника!$G$1:$ABN$500,Q$2,0),$A$1173,INDEX(Техника!$H$1:$ABO$500,Q$2,0),"З")</f>
        <v>0</v>
      </c>
      <c r="R1178" s="50">
        <f>SUMIFS(INDEX(Техника!$F$1:$ABM$500,R$2,0),Техника!$F$4:$ABM$4,"Часы",INDEX(Техника!$G$1:$ABN$500,R$2,0),$A$1173,INDEX(Техника!$H$1:$ABO$500,R$2,0),"З")</f>
        <v>0</v>
      </c>
      <c r="S1178" s="50">
        <f>SUMIFS(INDEX(Техника!$F$1:$ABM$500,S$2,0),Техника!$F$4:$ABM$4,"Часы",INDEX(Техника!$G$1:$ABN$500,S$2,0),$A$1173,INDEX(Техника!$H$1:$ABO$500,S$2,0),"З")</f>
        <v>0</v>
      </c>
      <c r="T1178" s="50">
        <f>SUMIFS(INDEX(Техника!$F$1:$ABM$500,T$2,0),Техника!$F$4:$ABM$4,"Часы",INDEX(Техника!$G$1:$ABN$500,T$2,0),$A$1173,INDEX(Техника!$H$1:$ABO$500,T$2,0),"З")</f>
        <v>0</v>
      </c>
      <c r="U1178" s="50">
        <f>SUMIFS(INDEX(Техника!$F$1:$ABM$500,U$2,0),Техника!$F$4:$ABM$4,"Часы",INDEX(Техника!$G$1:$ABN$500,U$2,0),$A$1173,INDEX(Техника!$H$1:$ABO$500,U$2,0),"З")</f>
        <v>0</v>
      </c>
      <c r="V1178" s="50">
        <f>SUMIFS(INDEX(Техника!$F$1:$ABM$500,V$2,0),Техника!$F$4:$ABM$4,"Часы",INDEX(Техника!$G$1:$ABN$500,V$2,0),$A$1173,INDEX(Техника!$H$1:$ABO$500,V$2,0),"З")</f>
        <v>0</v>
      </c>
      <c r="W1178" s="50">
        <f>SUMIFS(INDEX(Техника!$F$1:$ABM$500,W$2,0),Техника!$F$4:$ABM$4,"Часы",INDEX(Техника!$G$1:$ABN$500,W$2,0),$A$1173,INDEX(Техника!$H$1:$ABO$500,W$2,0),"З")</f>
        <v>0</v>
      </c>
      <c r="X1178" s="50">
        <f>SUMIFS(INDEX(Техника!$F$1:$ABM$500,X$2,0),Техника!$F$4:$ABM$4,"Часы",INDEX(Техника!$G$1:$ABN$500,X$2,0),$A$1173,INDEX(Техника!$H$1:$ABO$500,X$2,0),"З")</f>
        <v>0</v>
      </c>
      <c r="Y1178" s="50">
        <f>SUMIFS(INDEX(Техника!$F$1:$ABM$500,Y$2,0),Техника!$F$4:$ABM$4,"Часы",INDEX(Техника!$G$1:$ABN$500,Y$2,0),$A$1173,INDEX(Техника!$H$1:$ABO$500,Y$2,0),"З")</f>
        <v>0</v>
      </c>
      <c r="Z1178" s="50">
        <f>SUMIFS(INDEX(Техника!$F$1:$ABM$500,Z$2,0),Техника!$F$4:$ABM$4,"Часы",INDEX(Техника!$G$1:$ABN$500,Z$2,0),$A$1173,INDEX(Техника!$H$1:$ABO$500,Z$2,0),"З")</f>
        <v>0</v>
      </c>
      <c r="AA1178" s="50">
        <f>SUMIFS(INDEX(Техника!$F$1:$ABM$500,AA$2,0),Техника!$F$4:$ABM$4,"Часы",INDEX(Техника!$G$1:$ABN$500,AA$2,0),$A$1173,INDEX(Техника!$H$1:$ABO$500,AA$2,0),"З")</f>
        <v>0</v>
      </c>
      <c r="AB1178" s="50">
        <f>SUMIFS(INDEX(Техника!$F$1:$ABM$500,AB$2,0),Техника!$F$4:$ABM$4,"Часы",INDEX(Техника!$G$1:$ABN$500,AB$2,0),$A$1173,INDEX(Техника!$H$1:$ABO$500,AB$2,0),"З")</f>
        <v>0</v>
      </c>
    </row>
    <row r="1179" spans="1:28" ht="7.95" customHeight="1" x14ac:dyDescent="0.3">
      <c r="A1179" s="38"/>
      <c r="B1179" s="39"/>
      <c r="C1179" s="51"/>
      <c r="D1179" s="51"/>
      <c r="E1179" s="51"/>
      <c r="F1179" s="51"/>
      <c r="G1179" s="51"/>
      <c r="H1179" s="51"/>
      <c r="I1179" s="51"/>
      <c r="J1179" s="51"/>
      <c r="K1179" s="51"/>
      <c r="L1179" s="51"/>
      <c r="M1179" s="51"/>
      <c r="N1179" s="51"/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  <c r="AA1179" s="51"/>
      <c r="AB1179" s="51"/>
    </row>
    <row r="1180" spans="1:28" ht="25.05" customHeight="1" collapsed="1" x14ac:dyDescent="0.3">
      <c r="A1180" s="32">
        <v>169</v>
      </c>
      <c r="B1180" s="32" t="s">
        <v>170</v>
      </c>
      <c r="C1180" s="49">
        <f>SUM(C1181:C1185)</f>
        <v>0</v>
      </c>
      <c r="D1180" s="49">
        <f>SUM(D1181:D1185)</f>
        <v>0</v>
      </c>
      <c r="E1180" s="49">
        <f>SUM(E1181:E1185)</f>
        <v>0</v>
      </c>
      <c r="F1180" s="49">
        <f>SUM(F1181:F1185)</f>
        <v>0</v>
      </c>
      <c r="G1180" s="49">
        <f>SUM(G1181:G1185)</f>
        <v>0</v>
      </c>
      <c r="H1180" s="49">
        <f>SUM(H1181:H1185)</f>
        <v>0</v>
      </c>
      <c r="I1180" s="49">
        <f>SUM(I1181:I1185)</f>
        <v>0</v>
      </c>
      <c r="J1180" s="49">
        <f>SUM(J1181:J1185)</f>
        <v>0</v>
      </c>
      <c r="K1180" s="49">
        <f>SUM(K1181:K1185)</f>
        <v>0</v>
      </c>
      <c r="L1180" s="49">
        <f>SUM(L1181:L1185)</f>
        <v>0</v>
      </c>
      <c r="M1180" s="49">
        <f>SUM(M1181:M1185)</f>
        <v>0</v>
      </c>
      <c r="N1180" s="49">
        <f>SUM(N1181:N1185)</f>
        <v>0</v>
      </c>
      <c r="O1180" s="49">
        <f>SUM(O1181:O1185)</f>
        <v>0</v>
      </c>
      <c r="P1180" s="49">
        <f>SUM(P1181:P1185)</f>
        <v>0</v>
      </c>
      <c r="Q1180" s="49">
        <f>SUM(Q1181:Q1185)</f>
        <v>0</v>
      </c>
      <c r="R1180" s="49">
        <f>SUM(R1181:R1185)</f>
        <v>0</v>
      </c>
      <c r="S1180" s="49">
        <f>SUM(S1181:S1185)</f>
        <v>0</v>
      </c>
      <c r="T1180" s="49">
        <f>SUM(T1181:T1185)</f>
        <v>0</v>
      </c>
      <c r="U1180" s="49">
        <f>SUM(U1181:U1185)</f>
        <v>0</v>
      </c>
      <c r="V1180" s="49">
        <f>SUM(V1181:V1185)</f>
        <v>0</v>
      </c>
      <c r="W1180" s="49">
        <f>SUM(W1181:W1185)</f>
        <v>0</v>
      </c>
      <c r="X1180" s="49">
        <f>SUM(X1181:X1185)</f>
        <v>0</v>
      </c>
      <c r="Y1180" s="49">
        <f>SUM(Y1181:Y1185)</f>
        <v>0</v>
      </c>
      <c r="Z1180" s="49">
        <f>SUM(Z1181:Z1185)</f>
        <v>0</v>
      </c>
      <c r="AA1180" s="49">
        <f>SUM(AA1181:AA1185)</f>
        <v>0</v>
      </c>
      <c r="AB1180" s="49">
        <f>SUM(AB1181:AB1185)</f>
        <v>0</v>
      </c>
    </row>
    <row r="1181" spans="1:28" hidden="1" outlineLevel="1" x14ac:dyDescent="0.3">
      <c r="A1181" s="33" t="s">
        <v>246</v>
      </c>
      <c r="B1181" s="34" t="s">
        <v>274</v>
      </c>
      <c r="C1181" s="50">
        <f>SUMIFS(INDEX(Техника!$F$1:$ABM$500,C$2,0),Техника!$F$4:$ABM$4,"Часы",INDEX(Техника!$G$1:$ABN$500,C$2,0),$A$1180,INDEX(Техника!$H$1:$ABO$500,C$2,0),"М")</f>
        <v>0</v>
      </c>
      <c r="D1181" s="50">
        <f>SUMIFS(INDEX(Техника!$F$1:$ABM$500,D$2,0),Техника!$F$4:$ABM$4,"Часы",INDEX(Техника!$G$1:$ABN$500,D$2,0),$A$1180,INDEX(Техника!$H$1:$ABO$500,D$2,0),"М")</f>
        <v>0</v>
      </c>
      <c r="E1181" s="50">
        <f>SUMIFS(INDEX(Техника!$F$1:$ABM$500,E$2,0),Техника!$F$4:$ABM$4,"Часы",INDEX(Техника!$G$1:$ABN$500,E$2,0),$A$1180,INDEX(Техника!$H$1:$ABO$500,E$2,0),"М")</f>
        <v>0</v>
      </c>
      <c r="F1181" s="50">
        <f>SUMIFS(INDEX(Техника!$F$1:$ABM$500,F$2,0),Техника!$F$4:$ABM$4,"Часы",INDEX(Техника!$G$1:$ABN$500,F$2,0),$A$1180,INDEX(Техника!$H$1:$ABO$500,F$2,0),"М")</f>
        <v>0</v>
      </c>
      <c r="G1181" s="50">
        <f>SUMIFS(INDEX(Техника!$F$1:$ABM$500,G$2,0),Техника!$F$4:$ABM$4,"Часы",INDEX(Техника!$G$1:$ABN$500,G$2,0),$A$1180,INDEX(Техника!$H$1:$ABO$500,G$2,0),"М")</f>
        <v>0</v>
      </c>
      <c r="H1181" s="50">
        <f>SUMIFS(INDEX(Техника!$F$1:$ABM$500,H$2,0),Техника!$F$4:$ABM$4,"Часы",INDEX(Техника!$G$1:$ABN$500,H$2,0),$A$1180,INDEX(Техника!$H$1:$ABO$500,H$2,0),"М")</f>
        <v>0</v>
      </c>
      <c r="I1181" s="50">
        <f>SUMIFS(INDEX(Техника!$F$1:$ABM$500,I$2,0),Техника!$F$4:$ABM$4,"Часы",INDEX(Техника!$G$1:$ABN$500,I$2,0),$A$1180,INDEX(Техника!$H$1:$ABO$500,I$2,0),"М")</f>
        <v>0</v>
      </c>
      <c r="J1181" s="50">
        <f>SUMIFS(INDEX(Техника!$F$1:$ABM$500,J$2,0),Техника!$F$4:$ABM$4,"Часы",INDEX(Техника!$G$1:$ABN$500,J$2,0),$A$1180,INDEX(Техника!$H$1:$ABO$500,J$2,0),"М")</f>
        <v>0</v>
      </c>
      <c r="K1181" s="50">
        <f>SUMIFS(INDEX(Техника!$F$1:$ABM$500,K$2,0),Техника!$F$4:$ABM$4,"Часы",INDEX(Техника!$G$1:$ABN$500,K$2,0),$A$1180,INDEX(Техника!$H$1:$ABO$500,K$2,0),"М")</f>
        <v>0</v>
      </c>
      <c r="L1181" s="50">
        <f>SUMIFS(INDEX(Техника!$F$1:$ABM$500,L$2,0),Техника!$F$4:$ABM$4,"Часы",INDEX(Техника!$G$1:$ABN$500,L$2,0),$A$1180,INDEX(Техника!$H$1:$ABO$500,L$2,0),"М")</f>
        <v>0</v>
      </c>
      <c r="M1181" s="50">
        <f>SUMIFS(INDEX(Техника!$F$1:$ABM$500,M$2,0),Техника!$F$4:$ABM$4,"Часы",INDEX(Техника!$G$1:$ABN$500,M$2,0),$A$1180,INDEX(Техника!$H$1:$ABO$500,M$2,0),"М")</f>
        <v>0</v>
      </c>
      <c r="N1181" s="50">
        <f>SUMIFS(INDEX(Техника!$F$1:$ABM$500,N$2,0),Техника!$F$4:$ABM$4,"Часы",INDEX(Техника!$G$1:$ABN$500,N$2,0),$A$1180,INDEX(Техника!$H$1:$ABO$500,N$2,0),"М")</f>
        <v>0</v>
      </c>
      <c r="O1181" s="50">
        <f>SUMIFS(INDEX(Техника!$F$1:$ABM$500,O$2,0),Техника!$F$4:$ABM$4,"Часы",INDEX(Техника!$G$1:$ABN$500,O$2,0),$A$1180,INDEX(Техника!$H$1:$ABO$500,O$2,0),"М")</f>
        <v>0</v>
      </c>
      <c r="P1181" s="50">
        <f>SUMIFS(INDEX(Техника!$F$1:$ABM$500,P$2,0),Техника!$F$4:$ABM$4,"Часы",INDEX(Техника!$G$1:$ABN$500,P$2,0),$A$1180,INDEX(Техника!$H$1:$ABO$500,P$2,0),"М")</f>
        <v>0</v>
      </c>
      <c r="Q1181" s="50">
        <f>SUMIFS(INDEX(Техника!$F$1:$ABM$500,Q$2,0),Техника!$F$4:$ABM$4,"Часы",INDEX(Техника!$G$1:$ABN$500,Q$2,0),$A$1180,INDEX(Техника!$H$1:$ABO$500,Q$2,0),"М")</f>
        <v>0</v>
      </c>
      <c r="R1181" s="50">
        <f>SUMIFS(INDEX(Техника!$F$1:$ABM$500,R$2,0),Техника!$F$4:$ABM$4,"Часы",INDEX(Техника!$G$1:$ABN$500,R$2,0),$A$1180,INDEX(Техника!$H$1:$ABO$500,R$2,0),"М")</f>
        <v>0</v>
      </c>
      <c r="S1181" s="50">
        <f>SUMIFS(INDEX(Техника!$F$1:$ABM$500,S$2,0),Техника!$F$4:$ABM$4,"Часы",INDEX(Техника!$G$1:$ABN$500,S$2,0),$A$1180,INDEX(Техника!$H$1:$ABO$500,S$2,0),"М")</f>
        <v>0</v>
      </c>
      <c r="T1181" s="50">
        <f>SUMIFS(INDEX(Техника!$F$1:$ABM$500,T$2,0),Техника!$F$4:$ABM$4,"Часы",INDEX(Техника!$G$1:$ABN$500,T$2,0),$A$1180,INDEX(Техника!$H$1:$ABO$500,T$2,0),"М")</f>
        <v>0</v>
      </c>
      <c r="U1181" s="50">
        <f>SUMIFS(INDEX(Техника!$F$1:$ABM$500,U$2,0),Техника!$F$4:$ABM$4,"Часы",INDEX(Техника!$G$1:$ABN$500,U$2,0),$A$1180,INDEX(Техника!$H$1:$ABO$500,U$2,0),"М")</f>
        <v>0</v>
      </c>
      <c r="V1181" s="50">
        <f>SUMIFS(INDEX(Техника!$F$1:$ABM$500,V$2,0),Техника!$F$4:$ABM$4,"Часы",INDEX(Техника!$G$1:$ABN$500,V$2,0),$A$1180,INDEX(Техника!$H$1:$ABO$500,V$2,0),"М")</f>
        <v>0</v>
      </c>
      <c r="W1181" s="50">
        <f>SUMIFS(INDEX(Техника!$F$1:$ABM$500,W$2,0),Техника!$F$4:$ABM$4,"Часы",INDEX(Техника!$G$1:$ABN$500,W$2,0),$A$1180,INDEX(Техника!$H$1:$ABO$500,W$2,0),"М")</f>
        <v>0</v>
      </c>
      <c r="X1181" s="50">
        <f>SUMIFS(INDEX(Техника!$F$1:$ABM$500,X$2,0),Техника!$F$4:$ABM$4,"Часы",INDEX(Техника!$G$1:$ABN$500,X$2,0),$A$1180,INDEX(Техника!$H$1:$ABO$500,X$2,0),"М")</f>
        <v>0</v>
      </c>
      <c r="Y1181" s="50">
        <f>SUMIFS(INDEX(Техника!$F$1:$ABM$500,Y$2,0),Техника!$F$4:$ABM$4,"Часы",INDEX(Техника!$G$1:$ABN$500,Y$2,0),$A$1180,INDEX(Техника!$H$1:$ABO$500,Y$2,0),"М")</f>
        <v>0</v>
      </c>
      <c r="Z1181" s="50">
        <f>SUMIFS(INDEX(Техника!$F$1:$ABM$500,Z$2,0),Техника!$F$4:$ABM$4,"Часы",INDEX(Техника!$G$1:$ABN$500,Z$2,0),$A$1180,INDEX(Техника!$H$1:$ABO$500,Z$2,0),"М")</f>
        <v>0</v>
      </c>
      <c r="AA1181" s="50">
        <f>SUMIFS(INDEX(Техника!$F$1:$ABM$500,AA$2,0),Техника!$F$4:$ABM$4,"Часы",INDEX(Техника!$G$1:$ABN$500,AA$2,0),$A$1180,INDEX(Техника!$H$1:$ABO$500,AA$2,0),"М")</f>
        <v>0</v>
      </c>
      <c r="AB1181" s="50">
        <f>SUMIFS(INDEX(Техника!$F$1:$ABM$500,AB$2,0),Техника!$F$4:$ABM$4,"Часы",INDEX(Техника!$G$1:$ABN$500,AB$2,0),$A$1180,INDEX(Техника!$H$1:$ABO$500,AB$2,0),"М")</f>
        <v>0</v>
      </c>
    </row>
    <row r="1182" spans="1:28" hidden="1" outlineLevel="1" x14ac:dyDescent="0.3">
      <c r="A1182" s="33" t="s">
        <v>244</v>
      </c>
      <c r="B1182" s="34" t="s">
        <v>275</v>
      </c>
      <c r="C1182" s="50">
        <f>SUMIFS(INDEX(Техника!$F$1:$ABM$500,C$2,0),Техника!$F$4:$ABM$4,"Часы",INDEX(Техника!$G$1:$ABN$500,C$2,0),$A$1180,INDEX(Техника!$H$1:$ABO$500,C$2,0),"Д")</f>
        <v>0</v>
      </c>
      <c r="D1182" s="50">
        <f>SUMIFS(INDEX(Техника!$F$1:$ABM$500,D$2,0),Техника!$F$4:$ABM$4,"Часы",INDEX(Техника!$G$1:$ABN$500,D$2,0),$A$1180,INDEX(Техника!$H$1:$ABO$500,D$2,0),"Д")</f>
        <v>0</v>
      </c>
      <c r="E1182" s="50">
        <f>SUMIFS(INDEX(Техника!$F$1:$ABM$500,E$2,0),Техника!$F$4:$ABM$4,"Часы",INDEX(Техника!$G$1:$ABN$500,E$2,0),$A$1180,INDEX(Техника!$H$1:$ABO$500,E$2,0),"Д")</f>
        <v>0</v>
      </c>
      <c r="F1182" s="50">
        <f>SUMIFS(INDEX(Техника!$F$1:$ABM$500,F$2,0),Техника!$F$4:$ABM$4,"Часы",INDEX(Техника!$G$1:$ABN$500,F$2,0),$A$1180,INDEX(Техника!$H$1:$ABO$500,F$2,0),"Д")</f>
        <v>0</v>
      </c>
      <c r="G1182" s="50">
        <f>SUMIFS(INDEX(Техника!$F$1:$ABM$500,G$2,0),Техника!$F$4:$ABM$4,"Часы",INDEX(Техника!$G$1:$ABN$500,G$2,0),$A$1180,INDEX(Техника!$H$1:$ABO$500,G$2,0),"Д")</f>
        <v>0</v>
      </c>
      <c r="H1182" s="50">
        <f>SUMIFS(INDEX(Техника!$F$1:$ABM$500,H$2,0),Техника!$F$4:$ABM$4,"Часы",INDEX(Техника!$G$1:$ABN$500,H$2,0),$A$1180,INDEX(Техника!$H$1:$ABO$500,H$2,0),"Д")</f>
        <v>0</v>
      </c>
      <c r="I1182" s="50">
        <f>SUMIFS(INDEX(Техника!$F$1:$ABM$500,I$2,0),Техника!$F$4:$ABM$4,"Часы",INDEX(Техника!$G$1:$ABN$500,I$2,0),$A$1180,INDEX(Техника!$H$1:$ABO$500,I$2,0),"Д")</f>
        <v>0</v>
      </c>
      <c r="J1182" s="50">
        <f>SUMIFS(INDEX(Техника!$F$1:$ABM$500,J$2,0),Техника!$F$4:$ABM$4,"Часы",INDEX(Техника!$G$1:$ABN$500,J$2,0),$A$1180,INDEX(Техника!$H$1:$ABO$500,J$2,0),"Д")</f>
        <v>0</v>
      </c>
      <c r="K1182" s="50">
        <f>SUMIFS(INDEX(Техника!$F$1:$ABM$500,K$2,0),Техника!$F$4:$ABM$4,"Часы",INDEX(Техника!$G$1:$ABN$500,K$2,0),$A$1180,INDEX(Техника!$H$1:$ABO$500,K$2,0),"Д")</f>
        <v>0</v>
      </c>
      <c r="L1182" s="50">
        <f>SUMIFS(INDEX(Техника!$F$1:$ABM$500,L$2,0),Техника!$F$4:$ABM$4,"Часы",INDEX(Техника!$G$1:$ABN$500,L$2,0),$A$1180,INDEX(Техника!$H$1:$ABO$500,L$2,0),"Д")</f>
        <v>0</v>
      </c>
      <c r="M1182" s="50">
        <f>SUMIFS(INDEX(Техника!$F$1:$ABM$500,M$2,0),Техника!$F$4:$ABM$4,"Часы",INDEX(Техника!$G$1:$ABN$500,M$2,0),$A$1180,INDEX(Техника!$H$1:$ABO$500,M$2,0),"Д")</f>
        <v>0</v>
      </c>
      <c r="N1182" s="50">
        <f>SUMIFS(INDEX(Техника!$F$1:$ABM$500,N$2,0),Техника!$F$4:$ABM$4,"Часы",INDEX(Техника!$G$1:$ABN$500,N$2,0),$A$1180,INDEX(Техника!$H$1:$ABO$500,N$2,0),"Д")</f>
        <v>0</v>
      </c>
      <c r="O1182" s="50">
        <f>SUMIFS(INDEX(Техника!$F$1:$ABM$500,O$2,0),Техника!$F$4:$ABM$4,"Часы",INDEX(Техника!$G$1:$ABN$500,O$2,0),$A$1180,INDEX(Техника!$H$1:$ABO$500,O$2,0),"Д")</f>
        <v>0</v>
      </c>
      <c r="P1182" s="50">
        <f>SUMIFS(INDEX(Техника!$F$1:$ABM$500,P$2,0),Техника!$F$4:$ABM$4,"Часы",INDEX(Техника!$G$1:$ABN$500,P$2,0),$A$1180,INDEX(Техника!$H$1:$ABO$500,P$2,0),"Д")</f>
        <v>0</v>
      </c>
      <c r="Q1182" s="50">
        <f>SUMIFS(INDEX(Техника!$F$1:$ABM$500,Q$2,0),Техника!$F$4:$ABM$4,"Часы",INDEX(Техника!$G$1:$ABN$500,Q$2,0),$A$1180,INDEX(Техника!$H$1:$ABO$500,Q$2,0),"Д")</f>
        <v>0</v>
      </c>
      <c r="R1182" s="50">
        <f>SUMIFS(INDEX(Техника!$F$1:$ABM$500,R$2,0),Техника!$F$4:$ABM$4,"Часы",INDEX(Техника!$G$1:$ABN$500,R$2,0),$A$1180,INDEX(Техника!$H$1:$ABO$500,R$2,0),"Д")</f>
        <v>0</v>
      </c>
      <c r="S1182" s="50">
        <f>SUMIFS(INDEX(Техника!$F$1:$ABM$500,S$2,0),Техника!$F$4:$ABM$4,"Часы",INDEX(Техника!$G$1:$ABN$500,S$2,0),$A$1180,INDEX(Техника!$H$1:$ABO$500,S$2,0),"Д")</f>
        <v>0</v>
      </c>
      <c r="T1182" s="50">
        <f>SUMIFS(INDEX(Техника!$F$1:$ABM$500,T$2,0),Техника!$F$4:$ABM$4,"Часы",INDEX(Техника!$G$1:$ABN$500,T$2,0),$A$1180,INDEX(Техника!$H$1:$ABO$500,T$2,0),"Д")</f>
        <v>0</v>
      </c>
      <c r="U1182" s="50">
        <f>SUMIFS(INDEX(Техника!$F$1:$ABM$500,U$2,0),Техника!$F$4:$ABM$4,"Часы",INDEX(Техника!$G$1:$ABN$500,U$2,0),$A$1180,INDEX(Техника!$H$1:$ABO$500,U$2,0),"Д")</f>
        <v>0</v>
      </c>
      <c r="V1182" s="50">
        <f>SUMIFS(INDEX(Техника!$F$1:$ABM$500,V$2,0),Техника!$F$4:$ABM$4,"Часы",INDEX(Техника!$G$1:$ABN$500,V$2,0),$A$1180,INDEX(Техника!$H$1:$ABO$500,V$2,0),"Д")</f>
        <v>0</v>
      </c>
      <c r="W1182" s="50">
        <f>SUMIFS(INDEX(Техника!$F$1:$ABM$500,W$2,0),Техника!$F$4:$ABM$4,"Часы",INDEX(Техника!$G$1:$ABN$500,W$2,0),$A$1180,INDEX(Техника!$H$1:$ABO$500,W$2,0),"Д")</f>
        <v>0</v>
      </c>
      <c r="X1182" s="50">
        <f>SUMIFS(INDEX(Техника!$F$1:$ABM$500,X$2,0),Техника!$F$4:$ABM$4,"Часы",INDEX(Техника!$G$1:$ABN$500,X$2,0),$A$1180,INDEX(Техника!$H$1:$ABO$500,X$2,0),"Д")</f>
        <v>0</v>
      </c>
      <c r="Y1182" s="50">
        <f>SUMIFS(INDEX(Техника!$F$1:$ABM$500,Y$2,0),Техника!$F$4:$ABM$4,"Часы",INDEX(Техника!$G$1:$ABN$500,Y$2,0),$A$1180,INDEX(Техника!$H$1:$ABO$500,Y$2,0),"Д")</f>
        <v>0</v>
      </c>
      <c r="Z1182" s="50">
        <f>SUMIFS(INDEX(Техника!$F$1:$ABM$500,Z$2,0),Техника!$F$4:$ABM$4,"Часы",INDEX(Техника!$G$1:$ABN$500,Z$2,0),$A$1180,INDEX(Техника!$H$1:$ABO$500,Z$2,0),"Д")</f>
        <v>0</v>
      </c>
      <c r="AA1182" s="50">
        <f>SUMIFS(INDEX(Техника!$F$1:$ABM$500,AA$2,0),Техника!$F$4:$ABM$4,"Часы",INDEX(Техника!$G$1:$ABN$500,AA$2,0),$A$1180,INDEX(Техника!$H$1:$ABO$500,AA$2,0),"Д")</f>
        <v>0</v>
      </c>
      <c r="AB1182" s="50">
        <f>SUMIFS(INDEX(Техника!$F$1:$ABM$500,AB$2,0),Техника!$F$4:$ABM$4,"Часы",INDEX(Техника!$G$1:$ABN$500,AB$2,0),$A$1180,INDEX(Техника!$H$1:$ABO$500,AB$2,0),"Д")</f>
        <v>0</v>
      </c>
    </row>
    <row r="1183" spans="1:28" hidden="1" outlineLevel="1" x14ac:dyDescent="0.3">
      <c r="A1183" s="33" t="s">
        <v>276</v>
      </c>
      <c r="B1183" s="34" t="s">
        <v>277</v>
      </c>
      <c r="C1183" s="50">
        <f>SUMIFS(INDEX(Техника!$F$1:$ABM$500,C$2,0),Техника!$F$4:$ABM$4,"Часы",INDEX(Техника!$G$1:$ABN$500,C$2,0),$A$1180,INDEX(Техника!$H$1:$ABO$500,C$2,0),"П")</f>
        <v>0</v>
      </c>
      <c r="D1183" s="50">
        <f>SUMIFS(INDEX(Техника!$F$1:$ABM$500,D$2,0),Техника!$F$4:$ABM$4,"Часы",INDEX(Техника!$G$1:$ABN$500,D$2,0),$A$1180,INDEX(Техника!$H$1:$ABO$500,D$2,0),"П")</f>
        <v>0</v>
      </c>
      <c r="E1183" s="50">
        <f>SUMIFS(INDEX(Техника!$F$1:$ABM$500,E$2,0),Техника!$F$4:$ABM$4,"Часы",INDEX(Техника!$G$1:$ABN$500,E$2,0),$A$1180,INDEX(Техника!$H$1:$ABO$500,E$2,0),"П")</f>
        <v>0</v>
      </c>
      <c r="F1183" s="50">
        <f>SUMIFS(INDEX(Техника!$F$1:$ABM$500,F$2,0),Техника!$F$4:$ABM$4,"Часы",INDEX(Техника!$G$1:$ABN$500,F$2,0),$A$1180,INDEX(Техника!$H$1:$ABO$500,F$2,0),"П")</f>
        <v>0</v>
      </c>
      <c r="G1183" s="50">
        <f>SUMIFS(INDEX(Техника!$F$1:$ABM$500,G$2,0),Техника!$F$4:$ABM$4,"Часы",INDEX(Техника!$G$1:$ABN$500,G$2,0),$A$1180,INDEX(Техника!$H$1:$ABO$500,G$2,0),"П")</f>
        <v>0</v>
      </c>
      <c r="H1183" s="50">
        <f>SUMIFS(INDEX(Техника!$F$1:$ABM$500,H$2,0),Техника!$F$4:$ABM$4,"Часы",INDEX(Техника!$G$1:$ABN$500,H$2,0),$A$1180,INDEX(Техника!$H$1:$ABO$500,H$2,0),"П")</f>
        <v>0</v>
      </c>
      <c r="I1183" s="50">
        <f>SUMIFS(INDEX(Техника!$F$1:$ABM$500,I$2,0),Техника!$F$4:$ABM$4,"Часы",INDEX(Техника!$G$1:$ABN$500,I$2,0),$A$1180,INDEX(Техника!$H$1:$ABO$500,I$2,0),"П")</f>
        <v>0</v>
      </c>
      <c r="J1183" s="50">
        <f>SUMIFS(INDEX(Техника!$F$1:$ABM$500,J$2,0),Техника!$F$4:$ABM$4,"Часы",INDEX(Техника!$G$1:$ABN$500,J$2,0),$A$1180,INDEX(Техника!$H$1:$ABO$500,J$2,0),"П")</f>
        <v>0</v>
      </c>
      <c r="K1183" s="50">
        <f>SUMIFS(INDEX(Техника!$F$1:$ABM$500,K$2,0),Техника!$F$4:$ABM$4,"Часы",INDEX(Техника!$G$1:$ABN$500,K$2,0),$A$1180,INDEX(Техника!$H$1:$ABO$500,K$2,0),"П")</f>
        <v>0</v>
      </c>
      <c r="L1183" s="50">
        <f>SUMIFS(INDEX(Техника!$F$1:$ABM$500,L$2,0),Техника!$F$4:$ABM$4,"Часы",INDEX(Техника!$G$1:$ABN$500,L$2,0),$A$1180,INDEX(Техника!$H$1:$ABO$500,L$2,0),"П")</f>
        <v>0</v>
      </c>
      <c r="M1183" s="50">
        <f>SUMIFS(INDEX(Техника!$F$1:$ABM$500,M$2,0),Техника!$F$4:$ABM$4,"Часы",INDEX(Техника!$G$1:$ABN$500,M$2,0),$A$1180,INDEX(Техника!$H$1:$ABO$500,M$2,0),"П")</f>
        <v>0</v>
      </c>
      <c r="N1183" s="50">
        <f>SUMIFS(INDEX(Техника!$F$1:$ABM$500,N$2,0),Техника!$F$4:$ABM$4,"Часы",INDEX(Техника!$G$1:$ABN$500,N$2,0),$A$1180,INDEX(Техника!$H$1:$ABO$500,N$2,0),"П")</f>
        <v>0</v>
      </c>
      <c r="O1183" s="50">
        <f>SUMIFS(INDEX(Техника!$F$1:$ABM$500,O$2,0),Техника!$F$4:$ABM$4,"Часы",INDEX(Техника!$G$1:$ABN$500,O$2,0),$A$1180,INDEX(Техника!$H$1:$ABO$500,O$2,0),"П")</f>
        <v>0</v>
      </c>
      <c r="P1183" s="50">
        <f>SUMIFS(INDEX(Техника!$F$1:$ABM$500,P$2,0),Техника!$F$4:$ABM$4,"Часы",INDEX(Техника!$G$1:$ABN$500,P$2,0),$A$1180,INDEX(Техника!$H$1:$ABO$500,P$2,0),"П")</f>
        <v>0</v>
      </c>
      <c r="Q1183" s="50">
        <f>SUMIFS(INDEX(Техника!$F$1:$ABM$500,Q$2,0),Техника!$F$4:$ABM$4,"Часы",INDEX(Техника!$G$1:$ABN$500,Q$2,0),$A$1180,INDEX(Техника!$H$1:$ABO$500,Q$2,0),"П")</f>
        <v>0</v>
      </c>
      <c r="R1183" s="50">
        <f>SUMIFS(INDEX(Техника!$F$1:$ABM$500,R$2,0),Техника!$F$4:$ABM$4,"Часы",INDEX(Техника!$G$1:$ABN$500,R$2,0),$A$1180,INDEX(Техника!$H$1:$ABO$500,R$2,0),"П")</f>
        <v>0</v>
      </c>
      <c r="S1183" s="50">
        <f>SUMIFS(INDEX(Техника!$F$1:$ABM$500,S$2,0),Техника!$F$4:$ABM$4,"Часы",INDEX(Техника!$G$1:$ABN$500,S$2,0),$A$1180,INDEX(Техника!$H$1:$ABO$500,S$2,0),"П")</f>
        <v>0</v>
      </c>
      <c r="T1183" s="50">
        <f>SUMIFS(INDEX(Техника!$F$1:$ABM$500,T$2,0),Техника!$F$4:$ABM$4,"Часы",INDEX(Техника!$G$1:$ABN$500,T$2,0),$A$1180,INDEX(Техника!$H$1:$ABO$500,T$2,0),"П")</f>
        <v>0</v>
      </c>
      <c r="U1183" s="50">
        <f>SUMIFS(INDEX(Техника!$F$1:$ABM$500,U$2,0),Техника!$F$4:$ABM$4,"Часы",INDEX(Техника!$G$1:$ABN$500,U$2,0),$A$1180,INDEX(Техника!$H$1:$ABO$500,U$2,0),"П")</f>
        <v>0</v>
      </c>
      <c r="V1183" s="50">
        <f>SUMIFS(INDEX(Техника!$F$1:$ABM$500,V$2,0),Техника!$F$4:$ABM$4,"Часы",INDEX(Техника!$G$1:$ABN$500,V$2,0),$A$1180,INDEX(Техника!$H$1:$ABO$500,V$2,0),"П")</f>
        <v>0</v>
      </c>
      <c r="W1183" s="50">
        <f>SUMIFS(INDEX(Техника!$F$1:$ABM$500,W$2,0),Техника!$F$4:$ABM$4,"Часы",INDEX(Техника!$G$1:$ABN$500,W$2,0),$A$1180,INDEX(Техника!$H$1:$ABO$500,W$2,0),"П")</f>
        <v>0</v>
      </c>
      <c r="X1183" s="50">
        <f>SUMIFS(INDEX(Техника!$F$1:$ABM$500,X$2,0),Техника!$F$4:$ABM$4,"Часы",INDEX(Техника!$G$1:$ABN$500,X$2,0),$A$1180,INDEX(Техника!$H$1:$ABO$500,X$2,0),"П")</f>
        <v>0</v>
      </c>
      <c r="Y1183" s="50">
        <f>SUMIFS(INDEX(Техника!$F$1:$ABM$500,Y$2,0),Техника!$F$4:$ABM$4,"Часы",INDEX(Техника!$G$1:$ABN$500,Y$2,0),$A$1180,INDEX(Техника!$H$1:$ABO$500,Y$2,0),"П")</f>
        <v>0</v>
      </c>
      <c r="Z1183" s="50">
        <f>SUMIFS(INDEX(Техника!$F$1:$ABM$500,Z$2,0),Техника!$F$4:$ABM$4,"Часы",INDEX(Техника!$G$1:$ABN$500,Z$2,0),$A$1180,INDEX(Техника!$H$1:$ABO$500,Z$2,0),"П")</f>
        <v>0</v>
      </c>
      <c r="AA1183" s="50">
        <f>SUMIFS(INDEX(Техника!$F$1:$ABM$500,AA$2,0),Техника!$F$4:$ABM$4,"Часы",INDEX(Техника!$G$1:$ABN$500,AA$2,0),$A$1180,INDEX(Техника!$H$1:$ABO$500,AA$2,0),"П")</f>
        <v>0</v>
      </c>
      <c r="AB1183" s="50">
        <f>SUMIFS(INDEX(Техника!$F$1:$ABM$500,AB$2,0),Техника!$F$4:$ABM$4,"Часы",INDEX(Техника!$G$1:$ABN$500,AB$2,0),$A$1180,INDEX(Техника!$H$1:$ABO$500,AB$2,0),"П")</f>
        <v>0</v>
      </c>
    </row>
    <row r="1184" spans="1:28" hidden="1" outlineLevel="1" x14ac:dyDescent="0.3">
      <c r="A1184" s="33" t="s">
        <v>243</v>
      </c>
      <c r="B1184" s="34" t="s">
        <v>278</v>
      </c>
      <c r="C1184" s="50">
        <f>SUMIFS(INDEX(Техника!$F$1:$ABM$500,C$2,0),Техника!$F$4:$ABM$4,"Часы",INDEX(Техника!$G$1:$ABN$500,C$2,0),$A$1180,INDEX(Техника!$H$1:$ABO$500,C$2,0),"Л")</f>
        <v>0</v>
      </c>
      <c r="D1184" s="50">
        <f>SUMIFS(INDEX(Техника!$F$1:$ABM$500,D$2,0),Техника!$F$4:$ABM$4,"Часы",INDEX(Техника!$G$1:$ABN$500,D$2,0),$A$1180,INDEX(Техника!$H$1:$ABO$500,D$2,0),"Л")</f>
        <v>0</v>
      </c>
      <c r="E1184" s="50">
        <f>SUMIFS(INDEX(Техника!$F$1:$ABM$500,E$2,0),Техника!$F$4:$ABM$4,"Часы",INDEX(Техника!$G$1:$ABN$500,E$2,0),$A$1180,INDEX(Техника!$H$1:$ABO$500,E$2,0),"Л")</f>
        <v>0</v>
      </c>
      <c r="F1184" s="50">
        <f>SUMIFS(INDEX(Техника!$F$1:$ABM$500,F$2,0),Техника!$F$4:$ABM$4,"Часы",INDEX(Техника!$G$1:$ABN$500,F$2,0),$A$1180,INDEX(Техника!$H$1:$ABO$500,F$2,0),"Л")</f>
        <v>0</v>
      </c>
      <c r="G1184" s="50">
        <f>SUMIFS(INDEX(Техника!$F$1:$ABM$500,G$2,0),Техника!$F$4:$ABM$4,"Часы",INDEX(Техника!$G$1:$ABN$500,G$2,0),$A$1180,INDEX(Техника!$H$1:$ABO$500,G$2,0),"Л")</f>
        <v>0</v>
      </c>
      <c r="H1184" s="50">
        <f>SUMIFS(INDEX(Техника!$F$1:$ABM$500,H$2,0),Техника!$F$4:$ABM$4,"Часы",INDEX(Техника!$G$1:$ABN$500,H$2,0),$A$1180,INDEX(Техника!$H$1:$ABO$500,H$2,0),"Л")</f>
        <v>0</v>
      </c>
      <c r="I1184" s="50">
        <f>SUMIFS(INDEX(Техника!$F$1:$ABM$500,I$2,0),Техника!$F$4:$ABM$4,"Часы",INDEX(Техника!$G$1:$ABN$500,I$2,0),$A$1180,INDEX(Техника!$H$1:$ABO$500,I$2,0),"Л")</f>
        <v>0</v>
      </c>
      <c r="J1184" s="50">
        <f>SUMIFS(INDEX(Техника!$F$1:$ABM$500,J$2,0),Техника!$F$4:$ABM$4,"Часы",INDEX(Техника!$G$1:$ABN$500,J$2,0),$A$1180,INDEX(Техника!$H$1:$ABO$500,J$2,0),"Л")</f>
        <v>0</v>
      </c>
      <c r="K1184" s="50">
        <f>SUMIFS(INDEX(Техника!$F$1:$ABM$500,K$2,0),Техника!$F$4:$ABM$4,"Часы",INDEX(Техника!$G$1:$ABN$500,K$2,0),$A$1180,INDEX(Техника!$H$1:$ABO$500,K$2,0),"Л")</f>
        <v>0</v>
      </c>
      <c r="L1184" s="50">
        <f>SUMIFS(INDEX(Техника!$F$1:$ABM$500,L$2,0),Техника!$F$4:$ABM$4,"Часы",INDEX(Техника!$G$1:$ABN$500,L$2,0),$A$1180,INDEX(Техника!$H$1:$ABO$500,L$2,0),"Л")</f>
        <v>0</v>
      </c>
      <c r="M1184" s="50">
        <f>SUMIFS(INDEX(Техника!$F$1:$ABM$500,M$2,0),Техника!$F$4:$ABM$4,"Часы",INDEX(Техника!$G$1:$ABN$500,M$2,0),$A$1180,INDEX(Техника!$H$1:$ABO$500,M$2,0),"Л")</f>
        <v>0</v>
      </c>
      <c r="N1184" s="50">
        <f>SUMIFS(INDEX(Техника!$F$1:$ABM$500,N$2,0),Техника!$F$4:$ABM$4,"Часы",INDEX(Техника!$G$1:$ABN$500,N$2,0),$A$1180,INDEX(Техника!$H$1:$ABO$500,N$2,0),"Л")</f>
        <v>0</v>
      </c>
      <c r="O1184" s="50">
        <f>SUMIFS(INDEX(Техника!$F$1:$ABM$500,O$2,0),Техника!$F$4:$ABM$4,"Часы",INDEX(Техника!$G$1:$ABN$500,O$2,0),$A$1180,INDEX(Техника!$H$1:$ABO$500,O$2,0),"Л")</f>
        <v>0</v>
      </c>
      <c r="P1184" s="50">
        <f>SUMIFS(INDEX(Техника!$F$1:$ABM$500,P$2,0),Техника!$F$4:$ABM$4,"Часы",INDEX(Техника!$G$1:$ABN$500,P$2,0),$A$1180,INDEX(Техника!$H$1:$ABO$500,P$2,0),"Л")</f>
        <v>0</v>
      </c>
      <c r="Q1184" s="50">
        <f>SUMIFS(INDEX(Техника!$F$1:$ABM$500,Q$2,0),Техника!$F$4:$ABM$4,"Часы",INDEX(Техника!$G$1:$ABN$500,Q$2,0),$A$1180,INDEX(Техника!$H$1:$ABO$500,Q$2,0),"Л")</f>
        <v>0</v>
      </c>
      <c r="R1184" s="50">
        <f>SUMIFS(INDEX(Техника!$F$1:$ABM$500,R$2,0),Техника!$F$4:$ABM$4,"Часы",INDEX(Техника!$G$1:$ABN$500,R$2,0),$A$1180,INDEX(Техника!$H$1:$ABO$500,R$2,0),"Л")</f>
        <v>0</v>
      </c>
      <c r="S1184" s="50">
        <f>SUMIFS(INDEX(Техника!$F$1:$ABM$500,S$2,0),Техника!$F$4:$ABM$4,"Часы",INDEX(Техника!$G$1:$ABN$500,S$2,0),$A$1180,INDEX(Техника!$H$1:$ABO$500,S$2,0),"Л")</f>
        <v>0</v>
      </c>
      <c r="T1184" s="50">
        <f>SUMIFS(INDEX(Техника!$F$1:$ABM$500,T$2,0),Техника!$F$4:$ABM$4,"Часы",INDEX(Техника!$G$1:$ABN$500,T$2,0),$A$1180,INDEX(Техника!$H$1:$ABO$500,T$2,0),"Л")</f>
        <v>0</v>
      </c>
      <c r="U1184" s="50">
        <f>SUMIFS(INDEX(Техника!$F$1:$ABM$500,U$2,0),Техника!$F$4:$ABM$4,"Часы",INDEX(Техника!$G$1:$ABN$500,U$2,0),$A$1180,INDEX(Техника!$H$1:$ABO$500,U$2,0),"Л")</f>
        <v>0</v>
      </c>
      <c r="V1184" s="50">
        <f>SUMIFS(INDEX(Техника!$F$1:$ABM$500,V$2,0),Техника!$F$4:$ABM$4,"Часы",INDEX(Техника!$G$1:$ABN$500,V$2,0),$A$1180,INDEX(Техника!$H$1:$ABO$500,V$2,0),"Л")</f>
        <v>0</v>
      </c>
      <c r="W1184" s="50">
        <f>SUMIFS(INDEX(Техника!$F$1:$ABM$500,W$2,0),Техника!$F$4:$ABM$4,"Часы",INDEX(Техника!$G$1:$ABN$500,W$2,0),$A$1180,INDEX(Техника!$H$1:$ABO$500,W$2,0),"Л")</f>
        <v>0</v>
      </c>
      <c r="X1184" s="50">
        <f>SUMIFS(INDEX(Техника!$F$1:$ABM$500,X$2,0),Техника!$F$4:$ABM$4,"Часы",INDEX(Техника!$G$1:$ABN$500,X$2,0),$A$1180,INDEX(Техника!$H$1:$ABO$500,X$2,0),"Л")</f>
        <v>0</v>
      </c>
      <c r="Y1184" s="50">
        <f>SUMIFS(INDEX(Техника!$F$1:$ABM$500,Y$2,0),Техника!$F$4:$ABM$4,"Часы",INDEX(Техника!$G$1:$ABN$500,Y$2,0),$A$1180,INDEX(Техника!$H$1:$ABO$500,Y$2,0),"Л")</f>
        <v>0</v>
      </c>
      <c r="Z1184" s="50">
        <f>SUMIFS(INDEX(Техника!$F$1:$ABM$500,Z$2,0),Техника!$F$4:$ABM$4,"Часы",INDEX(Техника!$G$1:$ABN$500,Z$2,0),$A$1180,INDEX(Техника!$H$1:$ABO$500,Z$2,0),"Л")</f>
        <v>0</v>
      </c>
      <c r="AA1184" s="50">
        <f>SUMIFS(INDEX(Техника!$F$1:$ABM$500,AA$2,0),Техника!$F$4:$ABM$4,"Часы",INDEX(Техника!$G$1:$ABN$500,AA$2,0),$A$1180,INDEX(Техника!$H$1:$ABO$500,AA$2,0),"Л")</f>
        <v>0</v>
      </c>
      <c r="AB1184" s="50">
        <f>SUMIFS(INDEX(Техника!$F$1:$ABM$500,AB$2,0),Техника!$F$4:$ABM$4,"Часы",INDEX(Техника!$G$1:$ABN$500,AB$2,0),$A$1180,INDEX(Техника!$H$1:$ABO$500,AB$2,0),"Л")</f>
        <v>0</v>
      </c>
    </row>
    <row r="1185" spans="1:28" hidden="1" outlineLevel="1" x14ac:dyDescent="0.3">
      <c r="A1185" s="33" t="s">
        <v>245</v>
      </c>
      <c r="B1185" s="34" t="s">
        <v>279</v>
      </c>
      <c r="C1185" s="50">
        <f>SUMIFS(INDEX(Техника!$F$1:$ABM$500,C$2,0),Техника!$F$4:$ABM$4,"Часы",INDEX(Техника!$G$1:$ABN$500,C$2,0),$A$1180,INDEX(Техника!$H$1:$ABO$500,C$2,0),"З")</f>
        <v>0</v>
      </c>
      <c r="D1185" s="50">
        <f>SUMIFS(INDEX(Техника!$F$1:$ABM$500,D$2,0),Техника!$F$4:$ABM$4,"Часы",INDEX(Техника!$G$1:$ABN$500,D$2,0),$A$1180,INDEX(Техника!$H$1:$ABO$500,D$2,0),"З")</f>
        <v>0</v>
      </c>
      <c r="E1185" s="50">
        <f>SUMIFS(INDEX(Техника!$F$1:$ABM$500,E$2,0),Техника!$F$4:$ABM$4,"Часы",INDEX(Техника!$G$1:$ABN$500,E$2,0),$A$1180,INDEX(Техника!$H$1:$ABO$500,E$2,0),"З")</f>
        <v>0</v>
      </c>
      <c r="F1185" s="50">
        <f>SUMIFS(INDEX(Техника!$F$1:$ABM$500,F$2,0),Техника!$F$4:$ABM$4,"Часы",INDEX(Техника!$G$1:$ABN$500,F$2,0),$A$1180,INDEX(Техника!$H$1:$ABO$500,F$2,0),"З")</f>
        <v>0</v>
      </c>
      <c r="G1185" s="50">
        <f>SUMIFS(INDEX(Техника!$F$1:$ABM$500,G$2,0),Техника!$F$4:$ABM$4,"Часы",INDEX(Техника!$G$1:$ABN$500,G$2,0),$A$1180,INDEX(Техника!$H$1:$ABO$500,G$2,0),"З")</f>
        <v>0</v>
      </c>
      <c r="H1185" s="50">
        <f>SUMIFS(INDEX(Техника!$F$1:$ABM$500,H$2,0),Техника!$F$4:$ABM$4,"Часы",INDEX(Техника!$G$1:$ABN$500,H$2,0),$A$1180,INDEX(Техника!$H$1:$ABO$500,H$2,0),"З")</f>
        <v>0</v>
      </c>
      <c r="I1185" s="50">
        <f>SUMIFS(INDEX(Техника!$F$1:$ABM$500,I$2,0),Техника!$F$4:$ABM$4,"Часы",INDEX(Техника!$G$1:$ABN$500,I$2,0),$A$1180,INDEX(Техника!$H$1:$ABO$500,I$2,0),"З")</f>
        <v>0</v>
      </c>
      <c r="J1185" s="50">
        <f>SUMIFS(INDEX(Техника!$F$1:$ABM$500,J$2,0),Техника!$F$4:$ABM$4,"Часы",INDEX(Техника!$G$1:$ABN$500,J$2,0),$A$1180,INDEX(Техника!$H$1:$ABO$500,J$2,0),"З")</f>
        <v>0</v>
      </c>
      <c r="K1185" s="50">
        <f>SUMIFS(INDEX(Техника!$F$1:$ABM$500,K$2,0),Техника!$F$4:$ABM$4,"Часы",INDEX(Техника!$G$1:$ABN$500,K$2,0),$A$1180,INDEX(Техника!$H$1:$ABO$500,K$2,0),"З")</f>
        <v>0</v>
      </c>
      <c r="L1185" s="50">
        <f>SUMIFS(INDEX(Техника!$F$1:$ABM$500,L$2,0),Техника!$F$4:$ABM$4,"Часы",INDEX(Техника!$G$1:$ABN$500,L$2,0),$A$1180,INDEX(Техника!$H$1:$ABO$500,L$2,0),"З")</f>
        <v>0</v>
      </c>
      <c r="M1185" s="50">
        <f>SUMIFS(INDEX(Техника!$F$1:$ABM$500,M$2,0),Техника!$F$4:$ABM$4,"Часы",INDEX(Техника!$G$1:$ABN$500,M$2,0),$A$1180,INDEX(Техника!$H$1:$ABO$500,M$2,0),"З")</f>
        <v>0</v>
      </c>
      <c r="N1185" s="50">
        <f>SUMIFS(INDEX(Техника!$F$1:$ABM$500,N$2,0),Техника!$F$4:$ABM$4,"Часы",INDEX(Техника!$G$1:$ABN$500,N$2,0),$A$1180,INDEX(Техника!$H$1:$ABO$500,N$2,0),"З")</f>
        <v>0</v>
      </c>
      <c r="O1185" s="50">
        <f>SUMIFS(INDEX(Техника!$F$1:$ABM$500,O$2,0),Техника!$F$4:$ABM$4,"Часы",INDEX(Техника!$G$1:$ABN$500,O$2,0),$A$1180,INDEX(Техника!$H$1:$ABO$500,O$2,0),"З")</f>
        <v>0</v>
      </c>
      <c r="P1185" s="50">
        <f>SUMIFS(INDEX(Техника!$F$1:$ABM$500,P$2,0),Техника!$F$4:$ABM$4,"Часы",INDEX(Техника!$G$1:$ABN$500,P$2,0),$A$1180,INDEX(Техника!$H$1:$ABO$500,P$2,0),"З")</f>
        <v>0</v>
      </c>
      <c r="Q1185" s="50">
        <f>SUMIFS(INDEX(Техника!$F$1:$ABM$500,Q$2,0),Техника!$F$4:$ABM$4,"Часы",INDEX(Техника!$G$1:$ABN$500,Q$2,0),$A$1180,INDEX(Техника!$H$1:$ABO$500,Q$2,0),"З")</f>
        <v>0</v>
      </c>
      <c r="R1185" s="50">
        <f>SUMIFS(INDEX(Техника!$F$1:$ABM$500,R$2,0),Техника!$F$4:$ABM$4,"Часы",INDEX(Техника!$G$1:$ABN$500,R$2,0),$A$1180,INDEX(Техника!$H$1:$ABO$500,R$2,0),"З")</f>
        <v>0</v>
      </c>
      <c r="S1185" s="50">
        <f>SUMIFS(INDEX(Техника!$F$1:$ABM$500,S$2,0),Техника!$F$4:$ABM$4,"Часы",INDEX(Техника!$G$1:$ABN$500,S$2,0),$A$1180,INDEX(Техника!$H$1:$ABO$500,S$2,0),"З")</f>
        <v>0</v>
      </c>
      <c r="T1185" s="50">
        <f>SUMIFS(INDEX(Техника!$F$1:$ABM$500,T$2,0),Техника!$F$4:$ABM$4,"Часы",INDEX(Техника!$G$1:$ABN$500,T$2,0),$A$1180,INDEX(Техника!$H$1:$ABO$500,T$2,0),"З")</f>
        <v>0</v>
      </c>
      <c r="U1185" s="50">
        <f>SUMIFS(INDEX(Техника!$F$1:$ABM$500,U$2,0),Техника!$F$4:$ABM$4,"Часы",INDEX(Техника!$G$1:$ABN$500,U$2,0),$A$1180,INDEX(Техника!$H$1:$ABO$500,U$2,0),"З")</f>
        <v>0</v>
      </c>
      <c r="V1185" s="50">
        <f>SUMIFS(INDEX(Техника!$F$1:$ABM$500,V$2,0),Техника!$F$4:$ABM$4,"Часы",INDEX(Техника!$G$1:$ABN$500,V$2,0),$A$1180,INDEX(Техника!$H$1:$ABO$500,V$2,0),"З")</f>
        <v>0</v>
      </c>
      <c r="W1185" s="50">
        <f>SUMIFS(INDEX(Техника!$F$1:$ABM$500,W$2,0),Техника!$F$4:$ABM$4,"Часы",INDEX(Техника!$G$1:$ABN$500,W$2,0),$A$1180,INDEX(Техника!$H$1:$ABO$500,W$2,0),"З")</f>
        <v>0</v>
      </c>
      <c r="X1185" s="50">
        <f>SUMIFS(INDEX(Техника!$F$1:$ABM$500,X$2,0),Техника!$F$4:$ABM$4,"Часы",INDEX(Техника!$G$1:$ABN$500,X$2,0),$A$1180,INDEX(Техника!$H$1:$ABO$500,X$2,0),"З")</f>
        <v>0</v>
      </c>
      <c r="Y1185" s="50">
        <f>SUMIFS(INDEX(Техника!$F$1:$ABM$500,Y$2,0),Техника!$F$4:$ABM$4,"Часы",INDEX(Техника!$G$1:$ABN$500,Y$2,0),$A$1180,INDEX(Техника!$H$1:$ABO$500,Y$2,0),"З")</f>
        <v>0</v>
      </c>
      <c r="Z1185" s="50">
        <f>SUMIFS(INDEX(Техника!$F$1:$ABM$500,Z$2,0),Техника!$F$4:$ABM$4,"Часы",INDEX(Техника!$G$1:$ABN$500,Z$2,0),$A$1180,INDEX(Техника!$H$1:$ABO$500,Z$2,0),"З")</f>
        <v>0</v>
      </c>
      <c r="AA1185" s="50">
        <f>SUMIFS(INDEX(Техника!$F$1:$ABM$500,AA$2,0),Техника!$F$4:$ABM$4,"Часы",INDEX(Техника!$G$1:$ABN$500,AA$2,0),$A$1180,INDEX(Техника!$H$1:$ABO$500,AA$2,0),"З")</f>
        <v>0</v>
      </c>
      <c r="AB1185" s="50">
        <f>SUMIFS(INDEX(Техника!$F$1:$ABM$500,AB$2,0),Техника!$F$4:$ABM$4,"Часы",INDEX(Техника!$G$1:$ABN$500,AB$2,0),$A$1180,INDEX(Техника!$H$1:$ABO$500,AB$2,0),"З")</f>
        <v>0</v>
      </c>
    </row>
    <row r="1186" spans="1:28" ht="7.95" customHeight="1" x14ac:dyDescent="0.3">
      <c r="A1186" s="38"/>
      <c r="B1186" s="39"/>
      <c r="C1186" s="51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</row>
    <row r="1187" spans="1:28" ht="25.05" customHeight="1" collapsed="1" x14ac:dyDescent="0.3">
      <c r="A1187" s="32">
        <v>170</v>
      </c>
      <c r="B1187" s="32" t="s">
        <v>171</v>
      </c>
      <c r="C1187" s="49">
        <f>SUM(C1188:C1192)</f>
        <v>0</v>
      </c>
      <c r="D1187" s="49">
        <f>SUM(D1188:D1192)</f>
        <v>0</v>
      </c>
      <c r="E1187" s="49">
        <f>SUM(E1188:E1192)</f>
        <v>0</v>
      </c>
      <c r="F1187" s="49">
        <f>SUM(F1188:F1192)</f>
        <v>0</v>
      </c>
      <c r="G1187" s="49">
        <f>SUM(G1188:G1192)</f>
        <v>0</v>
      </c>
      <c r="H1187" s="49">
        <f>SUM(H1188:H1192)</f>
        <v>0</v>
      </c>
      <c r="I1187" s="49">
        <f>SUM(I1188:I1192)</f>
        <v>0</v>
      </c>
      <c r="J1187" s="49">
        <f>SUM(J1188:J1192)</f>
        <v>0</v>
      </c>
      <c r="K1187" s="49">
        <f>SUM(K1188:K1192)</f>
        <v>0</v>
      </c>
      <c r="L1187" s="49">
        <f>SUM(L1188:L1192)</f>
        <v>0</v>
      </c>
      <c r="M1187" s="49">
        <f>SUM(M1188:M1192)</f>
        <v>0</v>
      </c>
      <c r="N1187" s="49">
        <f>SUM(N1188:N1192)</f>
        <v>0</v>
      </c>
      <c r="O1187" s="49">
        <f>SUM(O1188:O1192)</f>
        <v>0</v>
      </c>
      <c r="P1187" s="49">
        <f>SUM(P1188:P1192)</f>
        <v>0</v>
      </c>
      <c r="Q1187" s="49">
        <f>SUM(Q1188:Q1192)</f>
        <v>0</v>
      </c>
      <c r="R1187" s="49">
        <f>SUM(R1188:R1192)</f>
        <v>0</v>
      </c>
      <c r="S1187" s="49">
        <f>SUM(S1188:S1192)</f>
        <v>0</v>
      </c>
      <c r="T1187" s="49">
        <f>SUM(T1188:T1192)</f>
        <v>0</v>
      </c>
      <c r="U1187" s="49">
        <f>SUM(U1188:U1192)</f>
        <v>0</v>
      </c>
      <c r="V1187" s="49">
        <f>SUM(V1188:V1192)</f>
        <v>0</v>
      </c>
      <c r="W1187" s="49">
        <f>SUM(W1188:W1192)</f>
        <v>0</v>
      </c>
      <c r="X1187" s="49">
        <f>SUM(X1188:X1192)</f>
        <v>0</v>
      </c>
      <c r="Y1187" s="49">
        <f>SUM(Y1188:Y1192)</f>
        <v>0</v>
      </c>
      <c r="Z1187" s="49">
        <f>SUM(Z1188:Z1192)</f>
        <v>0</v>
      </c>
      <c r="AA1187" s="49">
        <f>SUM(AA1188:AA1192)</f>
        <v>0</v>
      </c>
      <c r="AB1187" s="49">
        <f>SUM(AB1188:AB1192)</f>
        <v>0</v>
      </c>
    </row>
    <row r="1188" spans="1:28" hidden="1" outlineLevel="1" x14ac:dyDescent="0.3">
      <c r="A1188" s="33" t="s">
        <v>246</v>
      </c>
      <c r="B1188" s="34" t="s">
        <v>274</v>
      </c>
      <c r="C1188" s="50">
        <f>SUMIFS(INDEX(Техника!$F$1:$ABM$500,C$2,0),Техника!$F$4:$ABM$4,"Часы",INDEX(Техника!$G$1:$ABN$500,C$2,0),$A$1187,INDEX(Техника!$H$1:$ABO$500,C$2,0),"М")</f>
        <v>0</v>
      </c>
      <c r="D1188" s="50">
        <f>SUMIFS(INDEX(Техника!$F$1:$ABM$500,D$2,0),Техника!$F$4:$ABM$4,"Часы",INDEX(Техника!$G$1:$ABN$500,D$2,0),$A$1187,INDEX(Техника!$H$1:$ABO$500,D$2,0),"М")</f>
        <v>0</v>
      </c>
      <c r="E1188" s="50">
        <f>SUMIFS(INDEX(Техника!$F$1:$ABM$500,E$2,0),Техника!$F$4:$ABM$4,"Часы",INDEX(Техника!$G$1:$ABN$500,E$2,0),$A$1187,INDEX(Техника!$H$1:$ABO$500,E$2,0),"М")</f>
        <v>0</v>
      </c>
      <c r="F1188" s="50">
        <f>SUMIFS(INDEX(Техника!$F$1:$ABM$500,F$2,0),Техника!$F$4:$ABM$4,"Часы",INDEX(Техника!$G$1:$ABN$500,F$2,0),$A$1187,INDEX(Техника!$H$1:$ABO$500,F$2,0),"М")</f>
        <v>0</v>
      </c>
      <c r="G1188" s="50">
        <f>SUMIFS(INDEX(Техника!$F$1:$ABM$500,G$2,0),Техника!$F$4:$ABM$4,"Часы",INDEX(Техника!$G$1:$ABN$500,G$2,0),$A$1187,INDEX(Техника!$H$1:$ABO$500,G$2,0),"М")</f>
        <v>0</v>
      </c>
      <c r="H1188" s="50">
        <f>SUMIFS(INDEX(Техника!$F$1:$ABM$500,H$2,0),Техника!$F$4:$ABM$4,"Часы",INDEX(Техника!$G$1:$ABN$500,H$2,0),$A$1187,INDEX(Техника!$H$1:$ABO$500,H$2,0),"М")</f>
        <v>0</v>
      </c>
      <c r="I1188" s="50">
        <f>SUMIFS(INDEX(Техника!$F$1:$ABM$500,I$2,0),Техника!$F$4:$ABM$4,"Часы",INDEX(Техника!$G$1:$ABN$500,I$2,0),$A$1187,INDEX(Техника!$H$1:$ABO$500,I$2,0),"М")</f>
        <v>0</v>
      </c>
      <c r="J1188" s="50">
        <f>SUMIFS(INDEX(Техника!$F$1:$ABM$500,J$2,0),Техника!$F$4:$ABM$4,"Часы",INDEX(Техника!$G$1:$ABN$500,J$2,0),$A$1187,INDEX(Техника!$H$1:$ABO$500,J$2,0),"М")</f>
        <v>0</v>
      </c>
      <c r="K1188" s="50">
        <f>SUMIFS(INDEX(Техника!$F$1:$ABM$500,K$2,0),Техника!$F$4:$ABM$4,"Часы",INDEX(Техника!$G$1:$ABN$500,K$2,0),$A$1187,INDEX(Техника!$H$1:$ABO$500,K$2,0),"М")</f>
        <v>0</v>
      </c>
      <c r="L1188" s="50">
        <f>SUMIFS(INDEX(Техника!$F$1:$ABM$500,L$2,0),Техника!$F$4:$ABM$4,"Часы",INDEX(Техника!$G$1:$ABN$500,L$2,0),$A$1187,INDEX(Техника!$H$1:$ABO$500,L$2,0),"М")</f>
        <v>0</v>
      </c>
      <c r="M1188" s="50">
        <f>SUMIFS(INDEX(Техника!$F$1:$ABM$500,M$2,0),Техника!$F$4:$ABM$4,"Часы",INDEX(Техника!$G$1:$ABN$500,M$2,0),$A$1187,INDEX(Техника!$H$1:$ABO$500,M$2,0),"М")</f>
        <v>0</v>
      </c>
      <c r="N1188" s="50">
        <f>SUMIFS(INDEX(Техника!$F$1:$ABM$500,N$2,0),Техника!$F$4:$ABM$4,"Часы",INDEX(Техника!$G$1:$ABN$500,N$2,0),$A$1187,INDEX(Техника!$H$1:$ABO$500,N$2,0),"М")</f>
        <v>0</v>
      </c>
      <c r="O1188" s="50">
        <f>SUMIFS(INDEX(Техника!$F$1:$ABM$500,O$2,0),Техника!$F$4:$ABM$4,"Часы",INDEX(Техника!$G$1:$ABN$500,O$2,0),$A$1187,INDEX(Техника!$H$1:$ABO$500,O$2,0),"М")</f>
        <v>0</v>
      </c>
      <c r="P1188" s="50">
        <f>SUMIFS(INDEX(Техника!$F$1:$ABM$500,P$2,0),Техника!$F$4:$ABM$4,"Часы",INDEX(Техника!$G$1:$ABN$500,P$2,0),$A$1187,INDEX(Техника!$H$1:$ABO$500,P$2,0),"М")</f>
        <v>0</v>
      </c>
      <c r="Q1188" s="50">
        <f>SUMIFS(INDEX(Техника!$F$1:$ABM$500,Q$2,0),Техника!$F$4:$ABM$4,"Часы",INDEX(Техника!$G$1:$ABN$500,Q$2,0),$A$1187,INDEX(Техника!$H$1:$ABO$500,Q$2,0),"М")</f>
        <v>0</v>
      </c>
      <c r="R1188" s="50">
        <f>SUMIFS(INDEX(Техника!$F$1:$ABM$500,R$2,0),Техника!$F$4:$ABM$4,"Часы",INDEX(Техника!$G$1:$ABN$500,R$2,0),$A$1187,INDEX(Техника!$H$1:$ABO$500,R$2,0),"М")</f>
        <v>0</v>
      </c>
      <c r="S1188" s="50">
        <f>SUMIFS(INDEX(Техника!$F$1:$ABM$500,S$2,0),Техника!$F$4:$ABM$4,"Часы",INDEX(Техника!$G$1:$ABN$500,S$2,0),$A$1187,INDEX(Техника!$H$1:$ABO$500,S$2,0),"М")</f>
        <v>0</v>
      </c>
      <c r="T1188" s="50">
        <f>SUMIFS(INDEX(Техника!$F$1:$ABM$500,T$2,0),Техника!$F$4:$ABM$4,"Часы",INDEX(Техника!$G$1:$ABN$500,T$2,0),$A$1187,INDEX(Техника!$H$1:$ABO$500,T$2,0),"М")</f>
        <v>0</v>
      </c>
      <c r="U1188" s="50">
        <f>SUMIFS(INDEX(Техника!$F$1:$ABM$500,U$2,0),Техника!$F$4:$ABM$4,"Часы",INDEX(Техника!$G$1:$ABN$500,U$2,0),$A$1187,INDEX(Техника!$H$1:$ABO$500,U$2,0),"М")</f>
        <v>0</v>
      </c>
      <c r="V1188" s="50">
        <f>SUMIFS(INDEX(Техника!$F$1:$ABM$500,V$2,0),Техника!$F$4:$ABM$4,"Часы",INDEX(Техника!$G$1:$ABN$500,V$2,0),$A$1187,INDEX(Техника!$H$1:$ABO$500,V$2,0),"М")</f>
        <v>0</v>
      </c>
      <c r="W1188" s="50">
        <f>SUMIFS(INDEX(Техника!$F$1:$ABM$500,W$2,0),Техника!$F$4:$ABM$4,"Часы",INDEX(Техника!$G$1:$ABN$500,W$2,0),$A$1187,INDEX(Техника!$H$1:$ABO$500,W$2,0),"М")</f>
        <v>0</v>
      </c>
      <c r="X1188" s="50">
        <f>SUMIFS(INDEX(Техника!$F$1:$ABM$500,X$2,0),Техника!$F$4:$ABM$4,"Часы",INDEX(Техника!$G$1:$ABN$500,X$2,0),$A$1187,INDEX(Техника!$H$1:$ABO$500,X$2,0),"М")</f>
        <v>0</v>
      </c>
      <c r="Y1188" s="50">
        <f>SUMIFS(INDEX(Техника!$F$1:$ABM$500,Y$2,0),Техника!$F$4:$ABM$4,"Часы",INDEX(Техника!$G$1:$ABN$500,Y$2,0),$A$1187,INDEX(Техника!$H$1:$ABO$500,Y$2,0),"М")</f>
        <v>0</v>
      </c>
      <c r="Z1188" s="50">
        <f>SUMIFS(INDEX(Техника!$F$1:$ABM$500,Z$2,0),Техника!$F$4:$ABM$4,"Часы",INDEX(Техника!$G$1:$ABN$500,Z$2,0),$A$1187,INDEX(Техника!$H$1:$ABO$500,Z$2,0),"М")</f>
        <v>0</v>
      </c>
      <c r="AA1188" s="50">
        <f>SUMIFS(INDEX(Техника!$F$1:$ABM$500,AA$2,0),Техника!$F$4:$ABM$4,"Часы",INDEX(Техника!$G$1:$ABN$500,AA$2,0),$A$1187,INDEX(Техника!$H$1:$ABO$500,AA$2,0),"М")</f>
        <v>0</v>
      </c>
      <c r="AB1188" s="50">
        <f>SUMIFS(INDEX(Техника!$F$1:$ABM$500,AB$2,0),Техника!$F$4:$ABM$4,"Часы",INDEX(Техника!$G$1:$ABN$500,AB$2,0),$A$1187,INDEX(Техника!$H$1:$ABO$500,AB$2,0),"М")</f>
        <v>0</v>
      </c>
    </row>
    <row r="1189" spans="1:28" hidden="1" outlineLevel="1" x14ac:dyDescent="0.3">
      <c r="A1189" s="33" t="s">
        <v>244</v>
      </c>
      <c r="B1189" s="34" t="s">
        <v>275</v>
      </c>
      <c r="C1189" s="50">
        <f>SUMIFS(INDEX(Техника!$F$1:$ABM$500,C$2,0),Техника!$F$4:$ABM$4,"Часы",INDEX(Техника!$G$1:$ABN$500,C$2,0),$A$1187,INDEX(Техника!$H$1:$ABO$500,C$2,0),"Д")</f>
        <v>0</v>
      </c>
      <c r="D1189" s="50">
        <f>SUMIFS(INDEX(Техника!$F$1:$ABM$500,D$2,0),Техника!$F$4:$ABM$4,"Часы",INDEX(Техника!$G$1:$ABN$500,D$2,0),$A$1187,INDEX(Техника!$H$1:$ABO$500,D$2,0),"Д")</f>
        <v>0</v>
      </c>
      <c r="E1189" s="50">
        <f>SUMIFS(INDEX(Техника!$F$1:$ABM$500,E$2,0),Техника!$F$4:$ABM$4,"Часы",INDEX(Техника!$G$1:$ABN$500,E$2,0),$A$1187,INDEX(Техника!$H$1:$ABO$500,E$2,0),"Д")</f>
        <v>0</v>
      </c>
      <c r="F1189" s="50">
        <f>SUMIFS(INDEX(Техника!$F$1:$ABM$500,F$2,0),Техника!$F$4:$ABM$4,"Часы",INDEX(Техника!$G$1:$ABN$500,F$2,0),$A$1187,INDEX(Техника!$H$1:$ABO$500,F$2,0),"Д")</f>
        <v>0</v>
      </c>
      <c r="G1189" s="50">
        <f>SUMIFS(INDEX(Техника!$F$1:$ABM$500,G$2,0),Техника!$F$4:$ABM$4,"Часы",INDEX(Техника!$G$1:$ABN$500,G$2,0),$A$1187,INDEX(Техника!$H$1:$ABO$500,G$2,0),"Д")</f>
        <v>0</v>
      </c>
      <c r="H1189" s="50">
        <f>SUMIFS(INDEX(Техника!$F$1:$ABM$500,H$2,0),Техника!$F$4:$ABM$4,"Часы",INDEX(Техника!$G$1:$ABN$500,H$2,0),$A$1187,INDEX(Техника!$H$1:$ABO$500,H$2,0),"Д")</f>
        <v>0</v>
      </c>
      <c r="I1189" s="50">
        <f>SUMIFS(INDEX(Техника!$F$1:$ABM$500,I$2,0),Техника!$F$4:$ABM$4,"Часы",INDEX(Техника!$G$1:$ABN$500,I$2,0),$A$1187,INDEX(Техника!$H$1:$ABO$500,I$2,0),"Д")</f>
        <v>0</v>
      </c>
      <c r="J1189" s="50">
        <f>SUMIFS(INDEX(Техника!$F$1:$ABM$500,J$2,0),Техника!$F$4:$ABM$4,"Часы",INDEX(Техника!$G$1:$ABN$500,J$2,0),$A$1187,INDEX(Техника!$H$1:$ABO$500,J$2,0),"Д")</f>
        <v>0</v>
      </c>
      <c r="K1189" s="50">
        <f>SUMIFS(INDEX(Техника!$F$1:$ABM$500,K$2,0),Техника!$F$4:$ABM$4,"Часы",INDEX(Техника!$G$1:$ABN$500,K$2,0),$A$1187,INDEX(Техника!$H$1:$ABO$500,K$2,0),"Д")</f>
        <v>0</v>
      </c>
      <c r="L1189" s="50">
        <f>SUMIFS(INDEX(Техника!$F$1:$ABM$500,L$2,0),Техника!$F$4:$ABM$4,"Часы",INDEX(Техника!$G$1:$ABN$500,L$2,0),$A$1187,INDEX(Техника!$H$1:$ABO$500,L$2,0),"Д")</f>
        <v>0</v>
      </c>
      <c r="M1189" s="50">
        <f>SUMIFS(INDEX(Техника!$F$1:$ABM$500,M$2,0),Техника!$F$4:$ABM$4,"Часы",INDEX(Техника!$G$1:$ABN$500,M$2,0),$A$1187,INDEX(Техника!$H$1:$ABO$500,M$2,0),"Д")</f>
        <v>0</v>
      </c>
      <c r="N1189" s="50">
        <f>SUMIFS(INDEX(Техника!$F$1:$ABM$500,N$2,0),Техника!$F$4:$ABM$4,"Часы",INDEX(Техника!$G$1:$ABN$500,N$2,0),$A$1187,INDEX(Техника!$H$1:$ABO$500,N$2,0),"Д")</f>
        <v>0</v>
      </c>
      <c r="O1189" s="50">
        <f>SUMIFS(INDEX(Техника!$F$1:$ABM$500,O$2,0),Техника!$F$4:$ABM$4,"Часы",INDEX(Техника!$G$1:$ABN$500,O$2,0),$A$1187,INDEX(Техника!$H$1:$ABO$500,O$2,0),"Д")</f>
        <v>0</v>
      </c>
      <c r="P1189" s="50">
        <f>SUMIFS(INDEX(Техника!$F$1:$ABM$500,P$2,0),Техника!$F$4:$ABM$4,"Часы",INDEX(Техника!$G$1:$ABN$500,P$2,0),$A$1187,INDEX(Техника!$H$1:$ABO$500,P$2,0),"Д")</f>
        <v>0</v>
      </c>
      <c r="Q1189" s="50">
        <f>SUMIFS(INDEX(Техника!$F$1:$ABM$500,Q$2,0),Техника!$F$4:$ABM$4,"Часы",INDEX(Техника!$G$1:$ABN$500,Q$2,0),$A$1187,INDEX(Техника!$H$1:$ABO$500,Q$2,0),"Д")</f>
        <v>0</v>
      </c>
      <c r="R1189" s="50">
        <f>SUMIFS(INDEX(Техника!$F$1:$ABM$500,R$2,0),Техника!$F$4:$ABM$4,"Часы",INDEX(Техника!$G$1:$ABN$500,R$2,0),$A$1187,INDEX(Техника!$H$1:$ABO$500,R$2,0),"Д")</f>
        <v>0</v>
      </c>
      <c r="S1189" s="50">
        <f>SUMIFS(INDEX(Техника!$F$1:$ABM$500,S$2,0),Техника!$F$4:$ABM$4,"Часы",INDEX(Техника!$G$1:$ABN$500,S$2,0),$A$1187,INDEX(Техника!$H$1:$ABO$500,S$2,0),"Д")</f>
        <v>0</v>
      </c>
      <c r="T1189" s="50">
        <f>SUMIFS(INDEX(Техника!$F$1:$ABM$500,T$2,0),Техника!$F$4:$ABM$4,"Часы",INDEX(Техника!$G$1:$ABN$500,T$2,0),$A$1187,INDEX(Техника!$H$1:$ABO$500,T$2,0),"Д")</f>
        <v>0</v>
      </c>
      <c r="U1189" s="50">
        <f>SUMIFS(INDEX(Техника!$F$1:$ABM$500,U$2,0),Техника!$F$4:$ABM$4,"Часы",INDEX(Техника!$G$1:$ABN$500,U$2,0),$A$1187,INDEX(Техника!$H$1:$ABO$500,U$2,0),"Д")</f>
        <v>0</v>
      </c>
      <c r="V1189" s="50">
        <f>SUMIFS(INDEX(Техника!$F$1:$ABM$500,V$2,0),Техника!$F$4:$ABM$4,"Часы",INDEX(Техника!$G$1:$ABN$500,V$2,0),$A$1187,INDEX(Техника!$H$1:$ABO$500,V$2,0),"Д")</f>
        <v>0</v>
      </c>
      <c r="W1189" s="50">
        <f>SUMIFS(INDEX(Техника!$F$1:$ABM$500,W$2,0),Техника!$F$4:$ABM$4,"Часы",INDEX(Техника!$G$1:$ABN$500,W$2,0),$A$1187,INDEX(Техника!$H$1:$ABO$500,W$2,0),"Д")</f>
        <v>0</v>
      </c>
      <c r="X1189" s="50">
        <f>SUMIFS(INDEX(Техника!$F$1:$ABM$500,X$2,0),Техника!$F$4:$ABM$4,"Часы",INDEX(Техника!$G$1:$ABN$500,X$2,0),$A$1187,INDEX(Техника!$H$1:$ABO$500,X$2,0),"Д")</f>
        <v>0</v>
      </c>
      <c r="Y1189" s="50">
        <f>SUMIFS(INDEX(Техника!$F$1:$ABM$500,Y$2,0),Техника!$F$4:$ABM$4,"Часы",INDEX(Техника!$G$1:$ABN$500,Y$2,0),$A$1187,INDEX(Техника!$H$1:$ABO$500,Y$2,0),"Д")</f>
        <v>0</v>
      </c>
      <c r="Z1189" s="50">
        <f>SUMIFS(INDEX(Техника!$F$1:$ABM$500,Z$2,0),Техника!$F$4:$ABM$4,"Часы",INDEX(Техника!$G$1:$ABN$500,Z$2,0),$A$1187,INDEX(Техника!$H$1:$ABO$500,Z$2,0),"Д")</f>
        <v>0</v>
      </c>
      <c r="AA1189" s="50">
        <f>SUMIFS(INDEX(Техника!$F$1:$ABM$500,AA$2,0),Техника!$F$4:$ABM$4,"Часы",INDEX(Техника!$G$1:$ABN$500,AA$2,0),$A$1187,INDEX(Техника!$H$1:$ABO$500,AA$2,0),"Д")</f>
        <v>0</v>
      </c>
      <c r="AB1189" s="50">
        <f>SUMIFS(INDEX(Техника!$F$1:$ABM$500,AB$2,0),Техника!$F$4:$ABM$4,"Часы",INDEX(Техника!$G$1:$ABN$500,AB$2,0),$A$1187,INDEX(Техника!$H$1:$ABO$500,AB$2,0),"Д")</f>
        <v>0</v>
      </c>
    </row>
    <row r="1190" spans="1:28" hidden="1" outlineLevel="1" x14ac:dyDescent="0.3">
      <c r="A1190" s="33" t="s">
        <v>276</v>
      </c>
      <c r="B1190" s="34" t="s">
        <v>277</v>
      </c>
      <c r="C1190" s="50">
        <f>SUMIFS(INDEX(Техника!$F$1:$ABM$500,C$2,0),Техника!$F$4:$ABM$4,"Часы",INDEX(Техника!$G$1:$ABN$500,C$2,0),$A$1187,INDEX(Техника!$H$1:$ABO$500,C$2,0),"П")</f>
        <v>0</v>
      </c>
      <c r="D1190" s="50">
        <f>SUMIFS(INDEX(Техника!$F$1:$ABM$500,D$2,0),Техника!$F$4:$ABM$4,"Часы",INDEX(Техника!$G$1:$ABN$500,D$2,0),$A$1187,INDEX(Техника!$H$1:$ABO$500,D$2,0),"П")</f>
        <v>0</v>
      </c>
      <c r="E1190" s="50">
        <f>SUMIFS(INDEX(Техника!$F$1:$ABM$500,E$2,0),Техника!$F$4:$ABM$4,"Часы",INDEX(Техника!$G$1:$ABN$500,E$2,0),$A$1187,INDEX(Техника!$H$1:$ABO$500,E$2,0),"П")</f>
        <v>0</v>
      </c>
      <c r="F1190" s="50">
        <f>SUMIFS(INDEX(Техника!$F$1:$ABM$500,F$2,0),Техника!$F$4:$ABM$4,"Часы",INDEX(Техника!$G$1:$ABN$500,F$2,0),$A$1187,INDEX(Техника!$H$1:$ABO$500,F$2,0),"П")</f>
        <v>0</v>
      </c>
      <c r="G1190" s="50">
        <f>SUMIFS(INDEX(Техника!$F$1:$ABM$500,G$2,0),Техника!$F$4:$ABM$4,"Часы",INDEX(Техника!$G$1:$ABN$500,G$2,0),$A$1187,INDEX(Техника!$H$1:$ABO$500,G$2,0),"П")</f>
        <v>0</v>
      </c>
      <c r="H1190" s="50">
        <f>SUMIFS(INDEX(Техника!$F$1:$ABM$500,H$2,0),Техника!$F$4:$ABM$4,"Часы",INDEX(Техника!$G$1:$ABN$500,H$2,0),$A$1187,INDEX(Техника!$H$1:$ABO$500,H$2,0),"П")</f>
        <v>0</v>
      </c>
      <c r="I1190" s="50">
        <f>SUMIFS(INDEX(Техника!$F$1:$ABM$500,I$2,0),Техника!$F$4:$ABM$4,"Часы",INDEX(Техника!$G$1:$ABN$500,I$2,0),$A$1187,INDEX(Техника!$H$1:$ABO$500,I$2,0),"П")</f>
        <v>0</v>
      </c>
      <c r="J1190" s="50">
        <f>SUMIFS(INDEX(Техника!$F$1:$ABM$500,J$2,0),Техника!$F$4:$ABM$4,"Часы",INDEX(Техника!$G$1:$ABN$500,J$2,0),$A$1187,INDEX(Техника!$H$1:$ABO$500,J$2,0),"П")</f>
        <v>0</v>
      </c>
      <c r="K1190" s="50">
        <f>SUMIFS(INDEX(Техника!$F$1:$ABM$500,K$2,0),Техника!$F$4:$ABM$4,"Часы",INDEX(Техника!$G$1:$ABN$500,K$2,0),$A$1187,INDEX(Техника!$H$1:$ABO$500,K$2,0),"П")</f>
        <v>0</v>
      </c>
      <c r="L1190" s="50">
        <f>SUMIFS(INDEX(Техника!$F$1:$ABM$500,L$2,0),Техника!$F$4:$ABM$4,"Часы",INDEX(Техника!$G$1:$ABN$500,L$2,0),$A$1187,INDEX(Техника!$H$1:$ABO$500,L$2,0),"П")</f>
        <v>0</v>
      </c>
      <c r="M1190" s="50">
        <f>SUMIFS(INDEX(Техника!$F$1:$ABM$500,M$2,0),Техника!$F$4:$ABM$4,"Часы",INDEX(Техника!$G$1:$ABN$500,M$2,0),$A$1187,INDEX(Техника!$H$1:$ABO$500,M$2,0),"П")</f>
        <v>0</v>
      </c>
      <c r="N1190" s="50">
        <f>SUMIFS(INDEX(Техника!$F$1:$ABM$500,N$2,0),Техника!$F$4:$ABM$4,"Часы",INDEX(Техника!$G$1:$ABN$500,N$2,0),$A$1187,INDEX(Техника!$H$1:$ABO$500,N$2,0),"П")</f>
        <v>0</v>
      </c>
      <c r="O1190" s="50">
        <f>SUMIFS(INDEX(Техника!$F$1:$ABM$500,O$2,0),Техника!$F$4:$ABM$4,"Часы",INDEX(Техника!$G$1:$ABN$500,O$2,0),$A$1187,INDEX(Техника!$H$1:$ABO$500,O$2,0),"П")</f>
        <v>0</v>
      </c>
      <c r="P1190" s="50">
        <f>SUMIFS(INDEX(Техника!$F$1:$ABM$500,P$2,0),Техника!$F$4:$ABM$4,"Часы",INDEX(Техника!$G$1:$ABN$500,P$2,0),$A$1187,INDEX(Техника!$H$1:$ABO$500,P$2,0),"П")</f>
        <v>0</v>
      </c>
      <c r="Q1190" s="50">
        <f>SUMIFS(INDEX(Техника!$F$1:$ABM$500,Q$2,0),Техника!$F$4:$ABM$4,"Часы",INDEX(Техника!$G$1:$ABN$500,Q$2,0),$A$1187,INDEX(Техника!$H$1:$ABO$500,Q$2,0),"П")</f>
        <v>0</v>
      </c>
      <c r="R1190" s="50">
        <f>SUMIFS(INDEX(Техника!$F$1:$ABM$500,R$2,0),Техника!$F$4:$ABM$4,"Часы",INDEX(Техника!$G$1:$ABN$500,R$2,0),$A$1187,INDEX(Техника!$H$1:$ABO$500,R$2,0),"П")</f>
        <v>0</v>
      </c>
      <c r="S1190" s="50">
        <f>SUMIFS(INDEX(Техника!$F$1:$ABM$500,S$2,0),Техника!$F$4:$ABM$4,"Часы",INDEX(Техника!$G$1:$ABN$500,S$2,0),$A$1187,INDEX(Техника!$H$1:$ABO$500,S$2,0),"П")</f>
        <v>0</v>
      </c>
      <c r="T1190" s="50">
        <f>SUMIFS(INDEX(Техника!$F$1:$ABM$500,T$2,0),Техника!$F$4:$ABM$4,"Часы",INDEX(Техника!$G$1:$ABN$500,T$2,0),$A$1187,INDEX(Техника!$H$1:$ABO$500,T$2,0),"П")</f>
        <v>0</v>
      </c>
      <c r="U1190" s="50">
        <f>SUMIFS(INDEX(Техника!$F$1:$ABM$500,U$2,0),Техника!$F$4:$ABM$4,"Часы",INDEX(Техника!$G$1:$ABN$500,U$2,0),$A$1187,INDEX(Техника!$H$1:$ABO$500,U$2,0),"П")</f>
        <v>0</v>
      </c>
      <c r="V1190" s="50">
        <f>SUMIFS(INDEX(Техника!$F$1:$ABM$500,V$2,0),Техника!$F$4:$ABM$4,"Часы",INDEX(Техника!$G$1:$ABN$500,V$2,0),$A$1187,INDEX(Техника!$H$1:$ABO$500,V$2,0),"П")</f>
        <v>0</v>
      </c>
      <c r="W1190" s="50">
        <f>SUMIFS(INDEX(Техника!$F$1:$ABM$500,W$2,0),Техника!$F$4:$ABM$4,"Часы",INDEX(Техника!$G$1:$ABN$500,W$2,0),$A$1187,INDEX(Техника!$H$1:$ABO$500,W$2,0),"П")</f>
        <v>0</v>
      </c>
      <c r="X1190" s="50">
        <f>SUMIFS(INDEX(Техника!$F$1:$ABM$500,X$2,0),Техника!$F$4:$ABM$4,"Часы",INDEX(Техника!$G$1:$ABN$500,X$2,0),$A$1187,INDEX(Техника!$H$1:$ABO$500,X$2,0),"П")</f>
        <v>0</v>
      </c>
      <c r="Y1190" s="50">
        <f>SUMIFS(INDEX(Техника!$F$1:$ABM$500,Y$2,0),Техника!$F$4:$ABM$4,"Часы",INDEX(Техника!$G$1:$ABN$500,Y$2,0),$A$1187,INDEX(Техника!$H$1:$ABO$500,Y$2,0),"П")</f>
        <v>0</v>
      </c>
      <c r="Z1190" s="50">
        <f>SUMIFS(INDEX(Техника!$F$1:$ABM$500,Z$2,0),Техника!$F$4:$ABM$4,"Часы",INDEX(Техника!$G$1:$ABN$500,Z$2,0),$A$1187,INDEX(Техника!$H$1:$ABO$500,Z$2,0),"П")</f>
        <v>0</v>
      </c>
      <c r="AA1190" s="50">
        <f>SUMIFS(INDEX(Техника!$F$1:$ABM$500,AA$2,0),Техника!$F$4:$ABM$4,"Часы",INDEX(Техника!$G$1:$ABN$500,AA$2,0),$A$1187,INDEX(Техника!$H$1:$ABO$500,AA$2,0),"П")</f>
        <v>0</v>
      </c>
      <c r="AB1190" s="50">
        <f>SUMIFS(INDEX(Техника!$F$1:$ABM$500,AB$2,0),Техника!$F$4:$ABM$4,"Часы",INDEX(Техника!$G$1:$ABN$500,AB$2,0),$A$1187,INDEX(Техника!$H$1:$ABO$500,AB$2,0),"П")</f>
        <v>0</v>
      </c>
    </row>
    <row r="1191" spans="1:28" hidden="1" outlineLevel="1" x14ac:dyDescent="0.3">
      <c r="A1191" s="33" t="s">
        <v>243</v>
      </c>
      <c r="B1191" s="34" t="s">
        <v>278</v>
      </c>
      <c r="C1191" s="50">
        <f>SUMIFS(INDEX(Техника!$F$1:$ABM$500,C$2,0),Техника!$F$4:$ABM$4,"Часы",INDEX(Техника!$G$1:$ABN$500,C$2,0),$A$1187,INDEX(Техника!$H$1:$ABO$500,C$2,0),"Л")</f>
        <v>0</v>
      </c>
      <c r="D1191" s="50">
        <f>SUMIFS(INDEX(Техника!$F$1:$ABM$500,D$2,0),Техника!$F$4:$ABM$4,"Часы",INDEX(Техника!$G$1:$ABN$500,D$2,0),$A$1187,INDEX(Техника!$H$1:$ABO$500,D$2,0),"Л")</f>
        <v>0</v>
      </c>
      <c r="E1191" s="50">
        <f>SUMIFS(INDEX(Техника!$F$1:$ABM$500,E$2,0),Техника!$F$4:$ABM$4,"Часы",INDEX(Техника!$G$1:$ABN$500,E$2,0),$A$1187,INDEX(Техника!$H$1:$ABO$500,E$2,0),"Л")</f>
        <v>0</v>
      </c>
      <c r="F1191" s="50">
        <f>SUMIFS(INDEX(Техника!$F$1:$ABM$500,F$2,0),Техника!$F$4:$ABM$4,"Часы",INDEX(Техника!$G$1:$ABN$500,F$2,0),$A$1187,INDEX(Техника!$H$1:$ABO$500,F$2,0),"Л")</f>
        <v>0</v>
      </c>
      <c r="G1191" s="50">
        <f>SUMIFS(INDEX(Техника!$F$1:$ABM$500,G$2,0),Техника!$F$4:$ABM$4,"Часы",INDEX(Техника!$G$1:$ABN$500,G$2,0),$A$1187,INDEX(Техника!$H$1:$ABO$500,G$2,0),"Л")</f>
        <v>0</v>
      </c>
      <c r="H1191" s="50">
        <f>SUMIFS(INDEX(Техника!$F$1:$ABM$500,H$2,0),Техника!$F$4:$ABM$4,"Часы",INDEX(Техника!$G$1:$ABN$500,H$2,0),$A$1187,INDEX(Техника!$H$1:$ABO$500,H$2,0),"Л")</f>
        <v>0</v>
      </c>
      <c r="I1191" s="50">
        <f>SUMIFS(INDEX(Техника!$F$1:$ABM$500,I$2,0),Техника!$F$4:$ABM$4,"Часы",INDEX(Техника!$G$1:$ABN$500,I$2,0),$A$1187,INDEX(Техника!$H$1:$ABO$500,I$2,0),"Л")</f>
        <v>0</v>
      </c>
      <c r="J1191" s="50">
        <f>SUMIFS(INDEX(Техника!$F$1:$ABM$500,J$2,0),Техника!$F$4:$ABM$4,"Часы",INDEX(Техника!$G$1:$ABN$500,J$2,0),$A$1187,INDEX(Техника!$H$1:$ABO$500,J$2,0),"Л")</f>
        <v>0</v>
      </c>
      <c r="K1191" s="50">
        <f>SUMIFS(INDEX(Техника!$F$1:$ABM$500,K$2,0),Техника!$F$4:$ABM$4,"Часы",INDEX(Техника!$G$1:$ABN$500,K$2,0),$A$1187,INDEX(Техника!$H$1:$ABO$500,K$2,0),"Л")</f>
        <v>0</v>
      </c>
      <c r="L1191" s="50">
        <f>SUMIFS(INDEX(Техника!$F$1:$ABM$500,L$2,0),Техника!$F$4:$ABM$4,"Часы",INDEX(Техника!$G$1:$ABN$500,L$2,0),$A$1187,INDEX(Техника!$H$1:$ABO$500,L$2,0),"Л")</f>
        <v>0</v>
      </c>
      <c r="M1191" s="50">
        <f>SUMIFS(INDEX(Техника!$F$1:$ABM$500,M$2,0),Техника!$F$4:$ABM$4,"Часы",INDEX(Техника!$G$1:$ABN$500,M$2,0),$A$1187,INDEX(Техника!$H$1:$ABO$500,M$2,0),"Л")</f>
        <v>0</v>
      </c>
      <c r="N1191" s="50">
        <f>SUMIFS(INDEX(Техника!$F$1:$ABM$500,N$2,0),Техника!$F$4:$ABM$4,"Часы",INDEX(Техника!$G$1:$ABN$500,N$2,0),$A$1187,INDEX(Техника!$H$1:$ABO$500,N$2,0),"Л")</f>
        <v>0</v>
      </c>
      <c r="O1191" s="50">
        <f>SUMIFS(INDEX(Техника!$F$1:$ABM$500,O$2,0),Техника!$F$4:$ABM$4,"Часы",INDEX(Техника!$G$1:$ABN$500,O$2,0),$A$1187,INDEX(Техника!$H$1:$ABO$500,O$2,0),"Л")</f>
        <v>0</v>
      </c>
      <c r="P1191" s="50">
        <f>SUMIFS(INDEX(Техника!$F$1:$ABM$500,P$2,0),Техника!$F$4:$ABM$4,"Часы",INDEX(Техника!$G$1:$ABN$500,P$2,0),$A$1187,INDEX(Техника!$H$1:$ABO$500,P$2,0),"Л")</f>
        <v>0</v>
      </c>
      <c r="Q1191" s="50">
        <f>SUMIFS(INDEX(Техника!$F$1:$ABM$500,Q$2,0),Техника!$F$4:$ABM$4,"Часы",INDEX(Техника!$G$1:$ABN$500,Q$2,0),$A$1187,INDEX(Техника!$H$1:$ABO$500,Q$2,0),"Л")</f>
        <v>0</v>
      </c>
      <c r="R1191" s="50">
        <f>SUMIFS(INDEX(Техника!$F$1:$ABM$500,R$2,0),Техника!$F$4:$ABM$4,"Часы",INDEX(Техника!$G$1:$ABN$500,R$2,0),$A$1187,INDEX(Техника!$H$1:$ABO$500,R$2,0),"Л")</f>
        <v>0</v>
      </c>
      <c r="S1191" s="50">
        <f>SUMIFS(INDEX(Техника!$F$1:$ABM$500,S$2,0),Техника!$F$4:$ABM$4,"Часы",INDEX(Техника!$G$1:$ABN$500,S$2,0),$A$1187,INDEX(Техника!$H$1:$ABO$500,S$2,0),"Л")</f>
        <v>0</v>
      </c>
      <c r="T1191" s="50">
        <f>SUMIFS(INDEX(Техника!$F$1:$ABM$500,T$2,0),Техника!$F$4:$ABM$4,"Часы",INDEX(Техника!$G$1:$ABN$500,T$2,0),$A$1187,INDEX(Техника!$H$1:$ABO$500,T$2,0),"Л")</f>
        <v>0</v>
      </c>
      <c r="U1191" s="50">
        <f>SUMIFS(INDEX(Техника!$F$1:$ABM$500,U$2,0),Техника!$F$4:$ABM$4,"Часы",INDEX(Техника!$G$1:$ABN$500,U$2,0),$A$1187,INDEX(Техника!$H$1:$ABO$500,U$2,0),"Л")</f>
        <v>0</v>
      </c>
      <c r="V1191" s="50">
        <f>SUMIFS(INDEX(Техника!$F$1:$ABM$500,V$2,0),Техника!$F$4:$ABM$4,"Часы",INDEX(Техника!$G$1:$ABN$500,V$2,0),$A$1187,INDEX(Техника!$H$1:$ABO$500,V$2,0),"Л")</f>
        <v>0</v>
      </c>
      <c r="W1191" s="50">
        <f>SUMIFS(INDEX(Техника!$F$1:$ABM$500,W$2,0),Техника!$F$4:$ABM$4,"Часы",INDEX(Техника!$G$1:$ABN$500,W$2,0),$A$1187,INDEX(Техника!$H$1:$ABO$500,W$2,0),"Л")</f>
        <v>0</v>
      </c>
      <c r="X1191" s="50">
        <f>SUMIFS(INDEX(Техника!$F$1:$ABM$500,X$2,0),Техника!$F$4:$ABM$4,"Часы",INDEX(Техника!$G$1:$ABN$500,X$2,0),$A$1187,INDEX(Техника!$H$1:$ABO$500,X$2,0),"Л")</f>
        <v>0</v>
      </c>
      <c r="Y1191" s="50">
        <f>SUMIFS(INDEX(Техника!$F$1:$ABM$500,Y$2,0),Техника!$F$4:$ABM$4,"Часы",INDEX(Техника!$G$1:$ABN$500,Y$2,0),$A$1187,INDEX(Техника!$H$1:$ABO$500,Y$2,0),"Л")</f>
        <v>0</v>
      </c>
      <c r="Z1191" s="50">
        <f>SUMIFS(INDEX(Техника!$F$1:$ABM$500,Z$2,0),Техника!$F$4:$ABM$4,"Часы",INDEX(Техника!$G$1:$ABN$500,Z$2,0),$A$1187,INDEX(Техника!$H$1:$ABO$500,Z$2,0),"Л")</f>
        <v>0</v>
      </c>
      <c r="AA1191" s="50">
        <f>SUMIFS(INDEX(Техника!$F$1:$ABM$500,AA$2,0),Техника!$F$4:$ABM$4,"Часы",INDEX(Техника!$G$1:$ABN$500,AA$2,0),$A$1187,INDEX(Техника!$H$1:$ABO$500,AA$2,0),"Л")</f>
        <v>0</v>
      </c>
      <c r="AB1191" s="50">
        <f>SUMIFS(INDEX(Техника!$F$1:$ABM$500,AB$2,0),Техника!$F$4:$ABM$4,"Часы",INDEX(Техника!$G$1:$ABN$500,AB$2,0),$A$1187,INDEX(Техника!$H$1:$ABO$500,AB$2,0),"Л")</f>
        <v>0</v>
      </c>
    </row>
    <row r="1192" spans="1:28" hidden="1" outlineLevel="1" x14ac:dyDescent="0.3">
      <c r="A1192" s="33" t="s">
        <v>245</v>
      </c>
      <c r="B1192" s="34" t="s">
        <v>279</v>
      </c>
      <c r="C1192" s="50">
        <f>SUMIFS(INDEX(Техника!$F$1:$ABM$500,C$2,0),Техника!$F$4:$ABM$4,"Часы",INDEX(Техника!$G$1:$ABN$500,C$2,0),$A$1187,INDEX(Техника!$H$1:$ABO$500,C$2,0),"З")</f>
        <v>0</v>
      </c>
      <c r="D1192" s="50">
        <f>SUMIFS(INDEX(Техника!$F$1:$ABM$500,D$2,0),Техника!$F$4:$ABM$4,"Часы",INDEX(Техника!$G$1:$ABN$500,D$2,0),$A$1187,INDEX(Техника!$H$1:$ABO$500,D$2,0),"З")</f>
        <v>0</v>
      </c>
      <c r="E1192" s="50">
        <f>SUMIFS(INDEX(Техника!$F$1:$ABM$500,E$2,0),Техника!$F$4:$ABM$4,"Часы",INDEX(Техника!$G$1:$ABN$500,E$2,0),$A$1187,INDEX(Техника!$H$1:$ABO$500,E$2,0),"З")</f>
        <v>0</v>
      </c>
      <c r="F1192" s="50">
        <f>SUMIFS(INDEX(Техника!$F$1:$ABM$500,F$2,0),Техника!$F$4:$ABM$4,"Часы",INDEX(Техника!$G$1:$ABN$500,F$2,0),$A$1187,INDEX(Техника!$H$1:$ABO$500,F$2,0),"З")</f>
        <v>0</v>
      </c>
      <c r="G1192" s="50">
        <f>SUMIFS(INDEX(Техника!$F$1:$ABM$500,G$2,0),Техника!$F$4:$ABM$4,"Часы",INDEX(Техника!$G$1:$ABN$500,G$2,0),$A$1187,INDEX(Техника!$H$1:$ABO$500,G$2,0),"З")</f>
        <v>0</v>
      </c>
      <c r="H1192" s="50">
        <f>SUMIFS(INDEX(Техника!$F$1:$ABM$500,H$2,0),Техника!$F$4:$ABM$4,"Часы",INDEX(Техника!$G$1:$ABN$500,H$2,0),$A$1187,INDEX(Техника!$H$1:$ABO$500,H$2,0),"З")</f>
        <v>0</v>
      </c>
      <c r="I1192" s="50">
        <f>SUMIFS(INDEX(Техника!$F$1:$ABM$500,I$2,0),Техника!$F$4:$ABM$4,"Часы",INDEX(Техника!$G$1:$ABN$500,I$2,0),$A$1187,INDEX(Техника!$H$1:$ABO$500,I$2,0),"З")</f>
        <v>0</v>
      </c>
      <c r="J1192" s="50">
        <f>SUMIFS(INDEX(Техника!$F$1:$ABM$500,J$2,0),Техника!$F$4:$ABM$4,"Часы",INDEX(Техника!$G$1:$ABN$500,J$2,0),$A$1187,INDEX(Техника!$H$1:$ABO$500,J$2,0),"З")</f>
        <v>0</v>
      </c>
      <c r="K1192" s="50">
        <f>SUMIFS(INDEX(Техника!$F$1:$ABM$500,K$2,0),Техника!$F$4:$ABM$4,"Часы",INDEX(Техника!$G$1:$ABN$500,K$2,0),$A$1187,INDEX(Техника!$H$1:$ABO$500,K$2,0),"З")</f>
        <v>0</v>
      </c>
      <c r="L1192" s="50">
        <f>SUMIFS(INDEX(Техника!$F$1:$ABM$500,L$2,0),Техника!$F$4:$ABM$4,"Часы",INDEX(Техника!$G$1:$ABN$500,L$2,0),$A$1187,INDEX(Техника!$H$1:$ABO$500,L$2,0),"З")</f>
        <v>0</v>
      </c>
      <c r="M1192" s="50">
        <f>SUMIFS(INDEX(Техника!$F$1:$ABM$500,M$2,0),Техника!$F$4:$ABM$4,"Часы",INDEX(Техника!$G$1:$ABN$500,M$2,0),$A$1187,INDEX(Техника!$H$1:$ABO$500,M$2,0),"З")</f>
        <v>0</v>
      </c>
      <c r="N1192" s="50">
        <f>SUMIFS(INDEX(Техника!$F$1:$ABM$500,N$2,0),Техника!$F$4:$ABM$4,"Часы",INDEX(Техника!$G$1:$ABN$500,N$2,0),$A$1187,INDEX(Техника!$H$1:$ABO$500,N$2,0),"З")</f>
        <v>0</v>
      </c>
      <c r="O1192" s="50">
        <f>SUMIFS(INDEX(Техника!$F$1:$ABM$500,O$2,0),Техника!$F$4:$ABM$4,"Часы",INDEX(Техника!$G$1:$ABN$500,O$2,0),$A$1187,INDEX(Техника!$H$1:$ABO$500,O$2,0),"З")</f>
        <v>0</v>
      </c>
      <c r="P1192" s="50">
        <f>SUMIFS(INDEX(Техника!$F$1:$ABM$500,P$2,0),Техника!$F$4:$ABM$4,"Часы",INDEX(Техника!$G$1:$ABN$500,P$2,0),$A$1187,INDEX(Техника!$H$1:$ABO$500,P$2,0),"З")</f>
        <v>0</v>
      </c>
      <c r="Q1192" s="50">
        <f>SUMIFS(INDEX(Техника!$F$1:$ABM$500,Q$2,0),Техника!$F$4:$ABM$4,"Часы",INDEX(Техника!$G$1:$ABN$500,Q$2,0),$A$1187,INDEX(Техника!$H$1:$ABO$500,Q$2,0),"З")</f>
        <v>0</v>
      </c>
      <c r="R1192" s="50">
        <f>SUMIFS(INDEX(Техника!$F$1:$ABM$500,R$2,0),Техника!$F$4:$ABM$4,"Часы",INDEX(Техника!$G$1:$ABN$500,R$2,0),$A$1187,INDEX(Техника!$H$1:$ABO$500,R$2,0),"З")</f>
        <v>0</v>
      </c>
      <c r="S1192" s="50">
        <f>SUMIFS(INDEX(Техника!$F$1:$ABM$500,S$2,0),Техника!$F$4:$ABM$4,"Часы",INDEX(Техника!$G$1:$ABN$500,S$2,0),$A$1187,INDEX(Техника!$H$1:$ABO$500,S$2,0),"З")</f>
        <v>0</v>
      </c>
      <c r="T1192" s="50">
        <f>SUMIFS(INDEX(Техника!$F$1:$ABM$500,T$2,0),Техника!$F$4:$ABM$4,"Часы",INDEX(Техника!$G$1:$ABN$500,T$2,0),$A$1187,INDEX(Техника!$H$1:$ABO$500,T$2,0),"З")</f>
        <v>0</v>
      </c>
      <c r="U1192" s="50">
        <f>SUMIFS(INDEX(Техника!$F$1:$ABM$500,U$2,0),Техника!$F$4:$ABM$4,"Часы",INDEX(Техника!$G$1:$ABN$500,U$2,0),$A$1187,INDEX(Техника!$H$1:$ABO$500,U$2,0),"З")</f>
        <v>0</v>
      </c>
      <c r="V1192" s="50">
        <f>SUMIFS(INDEX(Техника!$F$1:$ABM$500,V$2,0),Техника!$F$4:$ABM$4,"Часы",INDEX(Техника!$G$1:$ABN$500,V$2,0),$A$1187,INDEX(Техника!$H$1:$ABO$500,V$2,0),"З")</f>
        <v>0</v>
      </c>
      <c r="W1192" s="50">
        <f>SUMIFS(INDEX(Техника!$F$1:$ABM$500,W$2,0),Техника!$F$4:$ABM$4,"Часы",INDEX(Техника!$G$1:$ABN$500,W$2,0),$A$1187,INDEX(Техника!$H$1:$ABO$500,W$2,0),"З")</f>
        <v>0</v>
      </c>
      <c r="X1192" s="50">
        <f>SUMIFS(INDEX(Техника!$F$1:$ABM$500,X$2,0),Техника!$F$4:$ABM$4,"Часы",INDEX(Техника!$G$1:$ABN$500,X$2,0),$A$1187,INDEX(Техника!$H$1:$ABO$500,X$2,0),"З")</f>
        <v>0</v>
      </c>
      <c r="Y1192" s="50">
        <f>SUMIFS(INDEX(Техника!$F$1:$ABM$500,Y$2,0),Техника!$F$4:$ABM$4,"Часы",INDEX(Техника!$G$1:$ABN$500,Y$2,0),$A$1187,INDEX(Техника!$H$1:$ABO$500,Y$2,0),"З")</f>
        <v>0</v>
      </c>
      <c r="Z1192" s="50">
        <f>SUMIFS(INDEX(Техника!$F$1:$ABM$500,Z$2,0),Техника!$F$4:$ABM$4,"Часы",INDEX(Техника!$G$1:$ABN$500,Z$2,0),$A$1187,INDEX(Техника!$H$1:$ABO$500,Z$2,0),"З")</f>
        <v>0</v>
      </c>
      <c r="AA1192" s="50">
        <f>SUMIFS(INDEX(Техника!$F$1:$ABM$500,AA$2,0),Техника!$F$4:$ABM$4,"Часы",INDEX(Техника!$G$1:$ABN$500,AA$2,0),$A$1187,INDEX(Техника!$H$1:$ABO$500,AA$2,0),"З")</f>
        <v>0</v>
      </c>
      <c r="AB1192" s="50">
        <f>SUMIFS(INDEX(Техника!$F$1:$ABM$500,AB$2,0),Техника!$F$4:$ABM$4,"Часы",INDEX(Техника!$G$1:$ABN$500,AB$2,0),$A$1187,INDEX(Техника!$H$1:$ABO$500,AB$2,0),"З")</f>
        <v>0</v>
      </c>
    </row>
    <row r="1193" spans="1:28" ht="7.95" customHeight="1" x14ac:dyDescent="0.3">
      <c r="A1193" s="38"/>
      <c r="B1193" s="39"/>
      <c r="C1193" s="51"/>
      <c r="D1193" s="51"/>
      <c r="E1193" s="51"/>
      <c r="F1193" s="51"/>
      <c r="G1193" s="51"/>
      <c r="H1193" s="51"/>
      <c r="I1193" s="51"/>
      <c r="J1193" s="51"/>
      <c r="K1193" s="51"/>
      <c r="L1193" s="51"/>
      <c r="M1193" s="51"/>
      <c r="N1193" s="51"/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/>
    </row>
    <row r="1194" spans="1:28" ht="25.05" customHeight="1" collapsed="1" x14ac:dyDescent="0.3">
      <c r="A1194" s="32">
        <v>171</v>
      </c>
      <c r="B1194" s="32" t="s">
        <v>172</v>
      </c>
      <c r="C1194" s="49">
        <f>SUM(C1195:C1199)</f>
        <v>0</v>
      </c>
      <c r="D1194" s="49">
        <f>SUM(D1195:D1199)</f>
        <v>0</v>
      </c>
      <c r="E1194" s="49">
        <f>SUM(E1195:E1199)</f>
        <v>0</v>
      </c>
      <c r="F1194" s="49">
        <f>SUM(F1195:F1199)</f>
        <v>0</v>
      </c>
      <c r="G1194" s="49">
        <f>SUM(G1195:G1199)</f>
        <v>0</v>
      </c>
      <c r="H1194" s="49">
        <f>SUM(H1195:H1199)</f>
        <v>0</v>
      </c>
      <c r="I1194" s="49">
        <f>SUM(I1195:I1199)</f>
        <v>0</v>
      </c>
      <c r="J1194" s="49">
        <f>SUM(J1195:J1199)</f>
        <v>0</v>
      </c>
      <c r="K1194" s="49">
        <f>SUM(K1195:K1199)</f>
        <v>0</v>
      </c>
      <c r="L1194" s="49">
        <f>SUM(L1195:L1199)</f>
        <v>0</v>
      </c>
      <c r="M1194" s="49">
        <f>SUM(M1195:M1199)</f>
        <v>0</v>
      </c>
      <c r="N1194" s="49">
        <f>SUM(N1195:N1199)</f>
        <v>0</v>
      </c>
      <c r="O1194" s="49">
        <f>SUM(O1195:O1199)</f>
        <v>0</v>
      </c>
      <c r="P1194" s="49">
        <f>SUM(P1195:P1199)</f>
        <v>0</v>
      </c>
      <c r="Q1194" s="49">
        <f>SUM(Q1195:Q1199)</f>
        <v>0</v>
      </c>
      <c r="R1194" s="49">
        <f>SUM(R1195:R1199)</f>
        <v>0</v>
      </c>
      <c r="S1194" s="49">
        <f>SUM(S1195:S1199)</f>
        <v>0</v>
      </c>
      <c r="T1194" s="49">
        <f>SUM(T1195:T1199)</f>
        <v>0</v>
      </c>
      <c r="U1194" s="49">
        <f>SUM(U1195:U1199)</f>
        <v>0</v>
      </c>
      <c r="V1194" s="49">
        <f>SUM(V1195:V1199)</f>
        <v>0</v>
      </c>
      <c r="W1194" s="49">
        <f>SUM(W1195:W1199)</f>
        <v>0</v>
      </c>
      <c r="X1194" s="49">
        <f>SUM(X1195:X1199)</f>
        <v>0</v>
      </c>
      <c r="Y1194" s="49">
        <f>SUM(Y1195:Y1199)</f>
        <v>0</v>
      </c>
      <c r="Z1194" s="49">
        <f>SUM(Z1195:Z1199)</f>
        <v>0</v>
      </c>
      <c r="AA1194" s="49">
        <f>SUM(AA1195:AA1199)</f>
        <v>0</v>
      </c>
      <c r="AB1194" s="49">
        <f>SUM(AB1195:AB1199)</f>
        <v>0</v>
      </c>
    </row>
    <row r="1195" spans="1:28" hidden="1" outlineLevel="1" x14ac:dyDescent="0.3">
      <c r="A1195" s="33" t="s">
        <v>246</v>
      </c>
      <c r="B1195" s="34" t="s">
        <v>274</v>
      </c>
      <c r="C1195" s="50">
        <f>SUMIFS(INDEX(Техника!$F$1:$ABM$500,C$2,0),Техника!$F$4:$ABM$4,"Часы",INDEX(Техника!$G$1:$ABN$500,C$2,0),$A$1194,INDEX(Техника!$H$1:$ABO$500,C$2,0),"М")</f>
        <v>0</v>
      </c>
      <c r="D1195" s="50">
        <f>SUMIFS(INDEX(Техника!$F$1:$ABM$500,D$2,0),Техника!$F$4:$ABM$4,"Часы",INDEX(Техника!$G$1:$ABN$500,D$2,0),$A$1194,INDEX(Техника!$H$1:$ABO$500,D$2,0),"М")</f>
        <v>0</v>
      </c>
      <c r="E1195" s="50">
        <f>SUMIFS(INDEX(Техника!$F$1:$ABM$500,E$2,0),Техника!$F$4:$ABM$4,"Часы",INDEX(Техника!$G$1:$ABN$500,E$2,0),$A$1194,INDEX(Техника!$H$1:$ABO$500,E$2,0),"М")</f>
        <v>0</v>
      </c>
      <c r="F1195" s="50">
        <f>SUMIFS(INDEX(Техника!$F$1:$ABM$500,F$2,0),Техника!$F$4:$ABM$4,"Часы",INDEX(Техника!$G$1:$ABN$500,F$2,0),$A$1194,INDEX(Техника!$H$1:$ABO$500,F$2,0),"М")</f>
        <v>0</v>
      </c>
      <c r="G1195" s="50">
        <f>SUMIFS(INDEX(Техника!$F$1:$ABM$500,G$2,0),Техника!$F$4:$ABM$4,"Часы",INDEX(Техника!$G$1:$ABN$500,G$2,0),$A$1194,INDEX(Техника!$H$1:$ABO$500,G$2,0),"М")</f>
        <v>0</v>
      </c>
      <c r="H1195" s="50">
        <f>SUMIFS(INDEX(Техника!$F$1:$ABM$500,H$2,0),Техника!$F$4:$ABM$4,"Часы",INDEX(Техника!$G$1:$ABN$500,H$2,0),$A$1194,INDEX(Техника!$H$1:$ABO$500,H$2,0),"М")</f>
        <v>0</v>
      </c>
      <c r="I1195" s="50">
        <f>SUMIFS(INDEX(Техника!$F$1:$ABM$500,I$2,0),Техника!$F$4:$ABM$4,"Часы",INDEX(Техника!$G$1:$ABN$500,I$2,0),$A$1194,INDEX(Техника!$H$1:$ABO$500,I$2,0),"М")</f>
        <v>0</v>
      </c>
      <c r="J1195" s="50">
        <f>SUMIFS(INDEX(Техника!$F$1:$ABM$500,J$2,0),Техника!$F$4:$ABM$4,"Часы",INDEX(Техника!$G$1:$ABN$500,J$2,0),$A$1194,INDEX(Техника!$H$1:$ABO$500,J$2,0),"М")</f>
        <v>0</v>
      </c>
      <c r="K1195" s="50">
        <f>SUMIFS(INDEX(Техника!$F$1:$ABM$500,K$2,0),Техника!$F$4:$ABM$4,"Часы",INDEX(Техника!$G$1:$ABN$500,K$2,0),$A$1194,INDEX(Техника!$H$1:$ABO$500,K$2,0),"М")</f>
        <v>0</v>
      </c>
      <c r="L1195" s="50">
        <f>SUMIFS(INDEX(Техника!$F$1:$ABM$500,L$2,0),Техника!$F$4:$ABM$4,"Часы",INDEX(Техника!$G$1:$ABN$500,L$2,0),$A$1194,INDEX(Техника!$H$1:$ABO$500,L$2,0),"М")</f>
        <v>0</v>
      </c>
      <c r="M1195" s="50">
        <f>SUMIFS(INDEX(Техника!$F$1:$ABM$500,M$2,0),Техника!$F$4:$ABM$4,"Часы",INDEX(Техника!$G$1:$ABN$500,M$2,0),$A$1194,INDEX(Техника!$H$1:$ABO$500,M$2,0),"М")</f>
        <v>0</v>
      </c>
      <c r="N1195" s="50">
        <f>SUMIFS(INDEX(Техника!$F$1:$ABM$500,N$2,0),Техника!$F$4:$ABM$4,"Часы",INDEX(Техника!$G$1:$ABN$500,N$2,0),$A$1194,INDEX(Техника!$H$1:$ABO$500,N$2,0),"М")</f>
        <v>0</v>
      </c>
      <c r="O1195" s="50">
        <f>SUMIFS(INDEX(Техника!$F$1:$ABM$500,O$2,0),Техника!$F$4:$ABM$4,"Часы",INDEX(Техника!$G$1:$ABN$500,O$2,0),$A$1194,INDEX(Техника!$H$1:$ABO$500,O$2,0),"М")</f>
        <v>0</v>
      </c>
      <c r="P1195" s="50">
        <f>SUMIFS(INDEX(Техника!$F$1:$ABM$500,P$2,0),Техника!$F$4:$ABM$4,"Часы",INDEX(Техника!$G$1:$ABN$500,P$2,0),$A$1194,INDEX(Техника!$H$1:$ABO$500,P$2,0),"М")</f>
        <v>0</v>
      </c>
      <c r="Q1195" s="50">
        <f>SUMIFS(INDEX(Техника!$F$1:$ABM$500,Q$2,0),Техника!$F$4:$ABM$4,"Часы",INDEX(Техника!$G$1:$ABN$500,Q$2,0),$A$1194,INDEX(Техника!$H$1:$ABO$500,Q$2,0),"М")</f>
        <v>0</v>
      </c>
      <c r="R1195" s="50">
        <f>SUMIFS(INDEX(Техника!$F$1:$ABM$500,R$2,0),Техника!$F$4:$ABM$4,"Часы",INDEX(Техника!$G$1:$ABN$500,R$2,0),$A$1194,INDEX(Техника!$H$1:$ABO$500,R$2,0),"М")</f>
        <v>0</v>
      </c>
      <c r="S1195" s="50">
        <f>SUMIFS(INDEX(Техника!$F$1:$ABM$500,S$2,0),Техника!$F$4:$ABM$4,"Часы",INDEX(Техника!$G$1:$ABN$500,S$2,0),$A$1194,INDEX(Техника!$H$1:$ABO$500,S$2,0),"М")</f>
        <v>0</v>
      </c>
      <c r="T1195" s="50">
        <f>SUMIFS(INDEX(Техника!$F$1:$ABM$500,T$2,0),Техника!$F$4:$ABM$4,"Часы",INDEX(Техника!$G$1:$ABN$500,T$2,0),$A$1194,INDEX(Техника!$H$1:$ABO$500,T$2,0),"М")</f>
        <v>0</v>
      </c>
      <c r="U1195" s="50">
        <f>SUMIFS(INDEX(Техника!$F$1:$ABM$500,U$2,0),Техника!$F$4:$ABM$4,"Часы",INDEX(Техника!$G$1:$ABN$500,U$2,0),$A$1194,INDEX(Техника!$H$1:$ABO$500,U$2,0),"М")</f>
        <v>0</v>
      </c>
      <c r="V1195" s="50">
        <f>SUMIFS(INDEX(Техника!$F$1:$ABM$500,V$2,0),Техника!$F$4:$ABM$4,"Часы",INDEX(Техника!$G$1:$ABN$500,V$2,0),$A$1194,INDEX(Техника!$H$1:$ABO$500,V$2,0),"М")</f>
        <v>0</v>
      </c>
      <c r="W1195" s="50">
        <f>SUMIFS(INDEX(Техника!$F$1:$ABM$500,W$2,0),Техника!$F$4:$ABM$4,"Часы",INDEX(Техника!$G$1:$ABN$500,W$2,0),$A$1194,INDEX(Техника!$H$1:$ABO$500,W$2,0),"М")</f>
        <v>0</v>
      </c>
      <c r="X1195" s="50">
        <f>SUMIFS(INDEX(Техника!$F$1:$ABM$500,X$2,0),Техника!$F$4:$ABM$4,"Часы",INDEX(Техника!$G$1:$ABN$500,X$2,0),$A$1194,INDEX(Техника!$H$1:$ABO$500,X$2,0),"М")</f>
        <v>0</v>
      </c>
      <c r="Y1195" s="50">
        <f>SUMIFS(INDEX(Техника!$F$1:$ABM$500,Y$2,0),Техника!$F$4:$ABM$4,"Часы",INDEX(Техника!$G$1:$ABN$500,Y$2,0),$A$1194,INDEX(Техника!$H$1:$ABO$500,Y$2,0),"М")</f>
        <v>0</v>
      </c>
      <c r="Z1195" s="50">
        <f>SUMIFS(INDEX(Техника!$F$1:$ABM$500,Z$2,0),Техника!$F$4:$ABM$4,"Часы",INDEX(Техника!$G$1:$ABN$500,Z$2,0),$A$1194,INDEX(Техника!$H$1:$ABO$500,Z$2,0),"М")</f>
        <v>0</v>
      </c>
      <c r="AA1195" s="50">
        <f>SUMIFS(INDEX(Техника!$F$1:$ABM$500,AA$2,0),Техника!$F$4:$ABM$4,"Часы",INDEX(Техника!$G$1:$ABN$500,AA$2,0),$A$1194,INDEX(Техника!$H$1:$ABO$500,AA$2,0),"М")</f>
        <v>0</v>
      </c>
      <c r="AB1195" s="50">
        <f>SUMIFS(INDEX(Техника!$F$1:$ABM$500,AB$2,0),Техника!$F$4:$ABM$4,"Часы",INDEX(Техника!$G$1:$ABN$500,AB$2,0),$A$1194,INDEX(Техника!$H$1:$ABO$500,AB$2,0),"М")</f>
        <v>0</v>
      </c>
    </row>
    <row r="1196" spans="1:28" hidden="1" outlineLevel="1" x14ac:dyDescent="0.3">
      <c r="A1196" s="33" t="s">
        <v>244</v>
      </c>
      <c r="B1196" s="34" t="s">
        <v>275</v>
      </c>
      <c r="C1196" s="50">
        <f>SUMIFS(INDEX(Техника!$F$1:$ABM$500,C$2,0),Техника!$F$4:$ABM$4,"Часы",INDEX(Техника!$G$1:$ABN$500,C$2,0),$A$1194,INDEX(Техника!$H$1:$ABO$500,C$2,0),"Д")</f>
        <v>0</v>
      </c>
      <c r="D1196" s="50">
        <f>SUMIFS(INDEX(Техника!$F$1:$ABM$500,D$2,0),Техника!$F$4:$ABM$4,"Часы",INDEX(Техника!$G$1:$ABN$500,D$2,0),$A$1194,INDEX(Техника!$H$1:$ABO$500,D$2,0),"Д")</f>
        <v>0</v>
      </c>
      <c r="E1196" s="50">
        <f>SUMIFS(INDEX(Техника!$F$1:$ABM$500,E$2,0),Техника!$F$4:$ABM$4,"Часы",INDEX(Техника!$G$1:$ABN$500,E$2,0),$A$1194,INDEX(Техника!$H$1:$ABO$500,E$2,0),"Д")</f>
        <v>0</v>
      </c>
      <c r="F1196" s="50">
        <f>SUMIFS(INDEX(Техника!$F$1:$ABM$500,F$2,0),Техника!$F$4:$ABM$4,"Часы",INDEX(Техника!$G$1:$ABN$500,F$2,0),$A$1194,INDEX(Техника!$H$1:$ABO$500,F$2,0),"Д")</f>
        <v>0</v>
      </c>
      <c r="G1196" s="50">
        <f>SUMIFS(INDEX(Техника!$F$1:$ABM$500,G$2,0),Техника!$F$4:$ABM$4,"Часы",INDEX(Техника!$G$1:$ABN$500,G$2,0),$A$1194,INDEX(Техника!$H$1:$ABO$500,G$2,0),"Д")</f>
        <v>0</v>
      </c>
      <c r="H1196" s="50">
        <f>SUMIFS(INDEX(Техника!$F$1:$ABM$500,H$2,0),Техника!$F$4:$ABM$4,"Часы",INDEX(Техника!$G$1:$ABN$500,H$2,0),$A$1194,INDEX(Техника!$H$1:$ABO$500,H$2,0),"Д")</f>
        <v>0</v>
      </c>
      <c r="I1196" s="50">
        <f>SUMIFS(INDEX(Техника!$F$1:$ABM$500,I$2,0),Техника!$F$4:$ABM$4,"Часы",INDEX(Техника!$G$1:$ABN$500,I$2,0),$A$1194,INDEX(Техника!$H$1:$ABO$500,I$2,0),"Д")</f>
        <v>0</v>
      </c>
      <c r="J1196" s="50">
        <f>SUMIFS(INDEX(Техника!$F$1:$ABM$500,J$2,0),Техника!$F$4:$ABM$4,"Часы",INDEX(Техника!$G$1:$ABN$500,J$2,0),$A$1194,INDEX(Техника!$H$1:$ABO$500,J$2,0),"Д")</f>
        <v>0</v>
      </c>
      <c r="K1196" s="50">
        <f>SUMIFS(INDEX(Техника!$F$1:$ABM$500,K$2,0),Техника!$F$4:$ABM$4,"Часы",INDEX(Техника!$G$1:$ABN$500,K$2,0),$A$1194,INDEX(Техника!$H$1:$ABO$500,K$2,0),"Д")</f>
        <v>0</v>
      </c>
      <c r="L1196" s="50">
        <f>SUMIFS(INDEX(Техника!$F$1:$ABM$500,L$2,0),Техника!$F$4:$ABM$4,"Часы",INDEX(Техника!$G$1:$ABN$500,L$2,0),$A$1194,INDEX(Техника!$H$1:$ABO$500,L$2,0),"Д")</f>
        <v>0</v>
      </c>
      <c r="M1196" s="50">
        <f>SUMIFS(INDEX(Техника!$F$1:$ABM$500,M$2,0),Техника!$F$4:$ABM$4,"Часы",INDEX(Техника!$G$1:$ABN$500,M$2,0),$A$1194,INDEX(Техника!$H$1:$ABO$500,M$2,0),"Д")</f>
        <v>0</v>
      </c>
      <c r="N1196" s="50">
        <f>SUMIFS(INDEX(Техника!$F$1:$ABM$500,N$2,0),Техника!$F$4:$ABM$4,"Часы",INDEX(Техника!$G$1:$ABN$500,N$2,0),$A$1194,INDEX(Техника!$H$1:$ABO$500,N$2,0),"Д")</f>
        <v>0</v>
      </c>
      <c r="O1196" s="50">
        <f>SUMIFS(INDEX(Техника!$F$1:$ABM$500,O$2,0),Техника!$F$4:$ABM$4,"Часы",INDEX(Техника!$G$1:$ABN$500,O$2,0),$A$1194,INDEX(Техника!$H$1:$ABO$500,O$2,0),"Д")</f>
        <v>0</v>
      </c>
      <c r="P1196" s="50">
        <f>SUMIFS(INDEX(Техника!$F$1:$ABM$500,P$2,0),Техника!$F$4:$ABM$4,"Часы",INDEX(Техника!$G$1:$ABN$500,P$2,0),$A$1194,INDEX(Техника!$H$1:$ABO$500,P$2,0),"Д")</f>
        <v>0</v>
      </c>
      <c r="Q1196" s="50">
        <f>SUMIFS(INDEX(Техника!$F$1:$ABM$500,Q$2,0),Техника!$F$4:$ABM$4,"Часы",INDEX(Техника!$G$1:$ABN$500,Q$2,0),$A$1194,INDEX(Техника!$H$1:$ABO$500,Q$2,0),"Д")</f>
        <v>0</v>
      </c>
      <c r="R1196" s="50">
        <f>SUMIFS(INDEX(Техника!$F$1:$ABM$500,R$2,0),Техника!$F$4:$ABM$4,"Часы",INDEX(Техника!$G$1:$ABN$500,R$2,0),$A$1194,INDEX(Техника!$H$1:$ABO$500,R$2,0),"Д")</f>
        <v>0</v>
      </c>
      <c r="S1196" s="50">
        <f>SUMIFS(INDEX(Техника!$F$1:$ABM$500,S$2,0),Техника!$F$4:$ABM$4,"Часы",INDEX(Техника!$G$1:$ABN$500,S$2,0),$A$1194,INDEX(Техника!$H$1:$ABO$500,S$2,0),"Д")</f>
        <v>0</v>
      </c>
      <c r="T1196" s="50">
        <f>SUMIFS(INDEX(Техника!$F$1:$ABM$500,T$2,0),Техника!$F$4:$ABM$4,"Часы",INDEX(Техника!$G$1:$ABN$500,T$2,0),$A$1194,INDEX(Техника!$H$1:$ABO$500,T$2,0),"Д")</f>
        <v>0</v>
      </c>
      <c r="U1196" s="50">
        <f>SUMIFS(INDEX(Техника!$F$1:$ABM$500,U$2,0),Техника!$F$4:$ABM$4,"Часы",INDEX(Техника!$G$1:$ABN$500,U$2,0),$A$1194,INDEX(Техника!$H$1:$ABO$500,U$2,0),"Д")</f>
        <v>0</v>
      </c>
      <c r="V1196" s="50">
        <f>SUMIFS(INDEX(Техника!$F$1:$ABM$500,V$2,0),Техника!$F$4:$ABM$4,"Часы",INDEX(Техника!$G$1:$ABN$500,V$2,0),$A$1194,INDEX(Техника!$H$1:$ABO$500,V$2,0),"Д")</f>
        <v>0</v>
      </c>
      <c r="W1196" s="50">
        <f>SUMIFS(INDEX(Техника!$F$1:$ABM$500,W$2,0),Техника!$F$4:$ABM$4,"Часы",INDEX(Техника!$G$1:$ABN$500,W$2,0),$A$1194,INDEX(Техника!$H$1:$ABO$500,W$2,0),"Д")</f>
        <v>0</v>
      </c>
      <c r="X1196" s="50">
        <f>SUMIFS(INDEX(Техника!$F$1:$ABM$500,X$2,0),Техника!$F$4:$ABM$4,"Часы",INDEX(Техника!$G$1:$ABN$500,X$2,0),$A$1194,INDEX(Техника!$H$1:$ABO$500,X$2,0),"Д")</f>
        <v>0</v>
      </c>
      <c r="Y1196" s="50">
        <f>SUMIFS(INDEX(Техника!$F$1:$ABM$500,Y$2,0),Техника!$F$4:$ABM$4,"Часы",INDEX(Техника!$G$1:$ABN$500,Y$2,0),$A$1194,INDEX(Техника!$H$1:$ABO$500,Y$2,0),"Д")</f>
        <v>0</v>
      </c>
      <c r="Z1196" s="50">
        <f>SUMIFS(INDEX(Техника!$F$1:$ABM$500,Z$2,0),Техника!$F$4:$ABM$4,"Часы",INDEX(Техника!$G$1:$ABN$500,Z$2,0),$A$1194,INDEX(Техника!$H$1:$ABO$500,Z$2,0),"Д")</f>
        <v>0</v>
      </c>
      <c r="AA1196" s="50">
        <f>SUMIFS(INDEX(Техника!$F$1:$ABM$500,AA$2,0),Техника!$F$4:$ABM$4,"Часы",INDEX(Техника!$G$1:$ABN$500,AA$2,0),$A$1194,INDEX(Техника!$H$1:$ABO$500,AA$2,0),"Д")</f>
        <v>0</v>
      </c>
      <c r="AB1196" s="50">
        <f>SUMIFS(INDEX(Техника!$F$1:$ABM$500,AB$2,0),Техника!$F$4:$ABM$4,"Часы",INDEX(Техника!$G$1:$ABN$500,AB$2,0),$A$1194,INDEX(Техника!$H$1:$ABO$500,AB$2,0),"Д")</f>
        <v>0</v>
      </c>
    </row>
    <row r="1197" spans="1:28" hidden="1" outlineLevel="1" x14ac:dyDescent="0.3">
      <c r="A1197" s="33" t="s">
        <v>276</v>
      </c>
      <c r="B1197" s="34" t="s">
        <v>277</v>
      </c>
      <c r="C1197" s="50">
        <f>SUMIFS(INDEX(Техника!$F$1:$ABM$500,C$2,0),Техника!$F$4:$ABM$4,"Часы",INDEX(Техника!$G$1:$ABN$500,C$2,0),$A$1194,INDEX(Техника!$H$1:$ABO$500,C$2,0),"П")</f>
        <v>0</v>
      </c>
      <c r="D1197" s="50">
        <f>SUMIFS(INDEX(Техника!$F$1:$ABM$500,D$2,0),Техника!$F$4:$ABM$4,"Часы",INDEX(Техника!$G$1:$ABN$500,D$2,0),$A$1194,INDEX(Техника!$H$1:$ABO$500,D$2,0),"П")</f>
        <v>0</v>
      </c>
      <c r="E1197" s="50">
        <f>SUMIFS(INDEX(Техника!$F$1:$ABM$500,E$2,0),Техника!$F$4:$ABM$4,"Часы",INDEX(Техника!$G$1:$ABN$500,E$2,0),$A$1194,INDEX(Техника!$H$1:$ABO$500,E$2,0),"П")</f>
        <v>0</v>
      </c>
      <c r="F1197" s="50">
        <f>SUMIFS(INDEX(Техника!$F$1:$ABM$500,F$2,0),Техника!$F$4:$ABM$4,"Часы",INDEX(Техника!$G$1:$ABN$500,F$2,0),$A$1194,INDEX(Техника!$H$1:$ABO$500,F$2,0),"П")</f>
        <v>0</v>
      </c>
      <c r="G1197" s="50">
        <f>SUMIFS(INDEX(Техника!$F$1:$ABM$500,G$2,0),Техника!$F$4:$ABM$4,"Часы",INDEX(Техника!$G$1:$ABN$500,G$2,0),$A$1194,INDEX(Техника!$H$1:$ABO$500,G$2,0),"П")</f>
        <v>0</v>
      </c>
      <c r="H1197" s="50">
        <f>SUMIFS(INDEX(Техника!$F$1:$ABM$500,H$2,0),Техника!$F$4:$ABM$4,"Часы",INDEX(Техника!$G$1:$ABN$500,H$2,0),$A$1194,INDEX(Техника!$H$1:$ABO$500,H$2,0),"П")</f>
        <v>0</v>
      </c>
      <c r="I1197" s="50">
        <f>SUMIFS(INDEX(Техника!$F$1:$ABM$500,I$2,0),Техника!$F$4:$ABM$4,"Часы",INDEX(Техника!$G$1:$ABN$500,I$2,0),$A$1194,INDEX(Техника!$H$1:$ABO$500,I$2,0),"П")</f>
        <v>0</v>
      </c>
      <c r="J1197" s="50">
        <f>SUMIFS(INDEX(Техника!$F$1:$ABM$500,J$2,0),Техника!$F$4:$ABM$4,"Часы",INDEX(Техника!$G$1:$ABN$500,J$2,0),$A$1194,INDEX(Техника!$H$1:$ABO$500,J$2,0),"П")</f>
        <v>0</v>
      </c>
      <c r="K1197" s="50">
        <f>SUMIFS(INDEX(Техника!$F$1:$ABM$500,K$2,0),Техника!$F$4:$ABM$4,"Часы",INDEX(Техника!$G$1:$ABN$500,K$2,0),$A$1194,INDEX(Техника!$H$1:$ABO$500,K$2,0),"П")</f>
        <v>0</v>
      </c>
      <c r="L1197" s="50">
        <f>SUMIFS(INDEX(Техника!$F$1:$ABM$500,L$2,0),Техника!$F$4:$ABM$4,"Часы",INDEX(Техника!$G$1:$ABN$500,L$2,0),$A$1194,INDEX(Техника!$H$1:$ABO$500,L$2,0),"П")</f>
        <v>0</v>
      </c>
      <c r="M1197" s="50">
        <f>SUMIFS(INDEX(Техника!$F$1:$ABM$500,M$2,0),Техника!$F$4:$ABM$4,"Часы",INDEX(Техника!$G$1:$ABN$500,M$2,0),$A$1194,INDEX(Техника!$H$1:$ABO$500,M$2,0),"П")</f>
        <v>0</v>
      </c>
      <c r="N1197" s="50">
        <f>SUMIFS(INDEX(Техника!$F$1:$ABM$500,N$2,0),Техника!$F$4:$ABM$4,"Часы",INDEX(Техника!$G$1:$ABN$500,N$2,0),$A$1194,INDEX(Техника!$H$1:$ABO$500,N$2,0),"П")</f>
        <v>0</v>
      </c>
      <c r="O1197" s="50">
        <f>SUMIFS(INDEX(Техника!$F$1:$ABM$500,O$2,0),Техника!$F$4:$ABM$4,"Часы",INDEX(Техника!$G$1:$ABN$500,O$2,0),$A$1194,INDEX(Техника!$H$1:$ABO$500,O$2,0),"П")</f>
        <v>0</v>
      </c>
      <c r="P1197" s="50">
        <f>SUMIFS(INDEX(Техника!$F$1:$ABM$500,P$2,0),Техника!$F$4:$ABM$4,"Часы",INDEX(Техника!$G$1:$ABN$500,P$2,0),$A$1194,INDEX(Техника!$H$1:$ABO$500,P$2,0),"П")</f>
        <v>0</v>
      </c>
      <c r="Q1197" s="50">
        <f>SUMIFS(INDEX(Техника!$F$1:$ABM$500,Q$2,0),Техника!$F$4:$ABM$4,"Часы",INDEX(Техника!$G$1:$ABN$500,Q$2,0),$A$1194,INDEX(Техника!$H$1:$ABO$500,Q$2,0),"П")</f>
        <v>0</v>
      </c>
      <c r="R1197" s="50">
        <f>SUMIFS(INDEX(Техника!$F$1:$ABM$500,R$2,0),Техника!$F$4:$ABM$4,"Часы",INDEX(Техника!$G$1:$ABN$500,R$2,0),$A$1194,INDEX(Техника!$H$1:$ABO$500,R$2,0),"П")</f>
        <v>0</v>
      </c>
      <c r="S1197" s="50">
        <f>SUMIFS(INDEX(Техника!$F$1:$ABM$500,S$2,0),Техника!$F$4:$ABM$4,"Часы",INDEX(Техника!$G$1:$ABN$500,S$2,0),$A$1194,INDEX(Техника!$H$1:$ABO$500,S$2,0),"П")</f>
        <v>0</v>
      </c>
      <c r="T1197" s="50">
        <f>SUMIFS(INDEX(Техника!$F$1:$ABM$500,T$2,0),Техника!$F$4:$ABM$4,"Часы",INDEX(Техника!$G$1:$ABN$500,T$2,0),$A$1194,INDEX(Техника!$H$1:$ABO$500,T$2,0),"П")</f>
        <v>0</v>
      </c>
      <c r="U1197" s="50">
        <f>SUMIFS(INDEX(Техника!$F$1:$ABM$500,U$2,0),Техника!$F$4:$ABM$4,"Часы",INDEX(Техника!$G$1:$ABN$500,U$2,0),$A$1194,INDEX(Техника!$H$1:$ABO$500,U$2,0),"П")</f>
        <v>0</v>
      </c>
      <c r="V1197" s="50">
        <f>SUMIFS(INDEX(Техника!$F$1:$ABM$500,V$2,0),Техника!$F$4:$ABM$4,"Часы",INDEX(Техника!$G$1:$ABN$500,V$2,0),$A$1194,INDEX(Техника!$H$1:$ABO$500,V$2,0),"П")</f>
        <v>0</v>
      </c>
      <c r="W1197" s="50">
        <f>SUMIFS(INDEX(Техника!$F$1:$ABM$500,W$2,0),Техника!$F$4:$ABM$4,"Часы",INDEX(Техника!$G$1:$ABN$500,W$2,0),$A$1194,INDEX(Техника!$H$1:$ABO$500,W$2,0),"П")</f>
        <v>0</v>
      </c>
      <c r="X1197" s="50">
        <f>SUMIFS(INDEX(Техника!$F$1:$ABM$500,X$2,0),Техника!$F$4:$ABM$4,"Часы",INDEX(Техника!$G$1:$ABN$500,X$2,0),$A$1194,INDEX(Техника!$H$1:$ABO$500,X$2,0),"П")</f>
        <v>0</v>
      </c>
      <c r="Y1197" s="50">
        <f>SUMIFS(INDEX(Техника!$F$1:$ABM$500,Y$2,0),Техника!$F$4:$ABM$4,"Часы",INDEX(Техника!$G$1:$ABN$500,Y$2,0),$A$1194,INDEX(Техника!$H$1:$ABO$500,Y$2,0),"П")</f>
        <v>0</v>
      </c>
      <c r="Z1197" s="50">
        <f>SUMIFS(INDEX(Техника!$F$1:$ABM$500,Z$2,0),Техника!$F$4:$ABM$4,"Часы",INDEX(Техника!$G$1:$ABN$500,Z$2,0),$A$1194,INDEX(Техника!$H$1:$ABO$500,Z$2,0),"П")</f>
        <v>0</v>
      </c>
      <c r="AA1197" s="50">
        <f>SUMIFS(INDEX(Техника!$F$1:$ABM$500,AA$2,0),Техника!$F$4:$ABM$4,"Часы",INDEX(Техника!$G$1:$ABN$500,AA$2,0),$A$1194,INDEX(Техника!$H$1:$ABO$500,AA$2,0),"П")</f>
        <v>0</v>
      </c>
      <c r="AB1197" s="50">
        <f>SUMIFS(INDEX(Техника!$F$1:$ABM$500,AB$2,0),Техника!$F$4:$ABM$4,"Часы",INDEX(Техника!$G$1:$ABN$500,AB$2,0),$A$1194,INDEX(Техника!$H$1:$ABO$500,AB$2,0),"П")</f>
        <v>0</v>
      </c>
    </row>
    <row r="1198" spans="1:28" hidden="1" outlineLevel="1" x14ac:dyDescent="0.3">
      <c r="A1198" s="33" t="s">
        <v>243</v>
      </c>
      <c r="B1198" s="34" t="s">
        <v>278</v>
      </c>
      <c r="C1198" s="50">
        <f>SUMIFS(INDEX(Техника!$F$1:$ABM$500,C$2,0),Техника!$F$4:$ABM$4,"Часы",INDEX(Техника!$G$1:$ABN$500,C$2,0),$A$1194,INDEX(Техника!$H$1:$ABO$500,C$2,0),"Л")</f>
        <v>0</v>
      </c>
      <c r="D1198" s="50">
        <f>SUMIFS(INDEX(Техника!$F$1:$ABM$500,D$2,0),Техника!$F$4:$ABM$4,"Часы",INDEX(Техника!$G$1:$ABN$500,D$2,0),$A$1194,INDEX(Техника!$H$1:$ABO$500,D$2,0),"Л")</f>
        <v>0</v>
      </c>
      <c r="E1198" s="50">
        <f>SUMIFS(INDEX(Техника!$F$1:$ABM$500,E$2,0),Техника!$F$4:$ABM$4,"Часы",INDEX(Техника!$G$1:$ABN$500,E$2,0),$A$1194,INDEX(Техника!$H$1:$ABO$500,E$2,0),"Л")</f>
        <v>0</v>
      </c>
      <c r="F1198" s="50">
        <f>SUMIFS(INDEX(Техника!$F$1:$ABM$500,F$2,0),Техника!$F$4:$ABM$4,"Часы",INDEX(Техника!$G$1:$ABN$500,F$2,0),$A$1194,INDEX(Техника!$H$1:$ABO$500,F$2,0),"Л")</f>
        <v>0</v>
      </c>
      <c r="G1198" s="50">
        <f>SUMIFS(INDEX(Техника!$F$1:$ABM$500,G$2,0),Техника!$F$4:$ABM$4,"Часы",INDEX(Техника!$G$1:$ABN$500,G$2,0),$A$1194,INDEX(Техника!$H$1:$ABO$500,G$2,0),"Л")</f>
        <v>0</v>
      </c>
      <c r="H1198" s="50">
        <f>SUMIFS(INDEX(Техника!$F$1:$ABM$500,H$2,0),Техника!$F$4:$ABM$4,"Часы",INDEX(Техника!$G$1:$ABN$500,H$2,0),$A$1194,INDEX(Техника!$H$1:$ABO$500,H$2,0),"Л")</f>
        <v>0</v>
      </c>
      <c r="I1198" s="50">
        <f>SUMIFS(INDEX(Техника!$F$1:$ABM$500,I$2,0),Техника!$F$4:$ABM$4,"Часы",INDEX(Техника!$G$1:$ABN$500,I$2,0),$A$1194,INDEX(Техника!$H$1:$ABO$500,I$2,0),"Л")</f>
        <v>0</v>
      </c>
      <c r="J1198" s="50">
        <f>SUMIFS(INDEX(Техника!$F$1:$ABM$500,J$2,0),Техника!$F$4:$ABM$4,"Часы",INDEX(Техника!$G$1:$ABN$500,J$2,0),$A$1194,INDEX(Техника!$H$1:$ABO$500,J$2,0),"Л")</f>
        <v>0</v>
      </c>
      <c r="K1198" s="50">
        <f>SUMIFS(INDEX(Техника!$F$1:$ABM$500,K$2,0),Техника!$F$4:$ABM$4,"Часы",INDEX(Техника!$G$1:$ABN$500,K$2,0),$A$1194,INDEX(Техника!$H$1:$ABO$500,K$2,0),"Л")</f>
        <v>0</v>
      </c>
      <c r="L1198" s="50">
        <f>SUMIFS(INDEX(Техника!$F$1:$ABM$500,L$2,0),Техника!$F$4:$ABM$4,"Часы",INDEX(Техника!$G$1:$ABN$500,L$2,0),$A$1194,INDEX(Техника!$H$1:$ABO$500,L$2,0),"Л")</f>
        <v>0</v>
      </c>
      <c r="M1198" s="50">
        <f>SUMIFS(INDEX(Техника!$F$1:$ABM$500,M$2,0),Техника!$F$4:$ABM$4,"Часы",INDEX(Техника!$G$1:$ABN$500,M$2,0),$A$1194,INDEX(Техника!$H$1:$ABO$500,M$2,0),"Л")</f>
        <v>0</v>
      </c>
      <c r="N1198" s="50">
        <f>SUMIFS(INDEX(Техника!$F$1:$ABM$500,N$2,0),Техника!$F$4:$ABM$4,"Часы",INDEX(Техника!$G$1:$ABN$500,N$2,0),$A$1194,INDEX(Техника!$H$1:$ABO$500,N$2,0),"Л")</f>
        <v>0</v>
      </c>
      <c r="O1198" s="50">
        <f>SUMIFS(INDEX(Техника!$F$1:$ABM$500,O$2,0),Техника!$F$4:$ABM$4,"Часы",INDEX(Техника!$G$1:$ABN$500,O$2,0),$A$1194,INDEX(Техника!$H$1:$ABO$500,O$2,0),"Л")</f>
        <v>0</v>
      </c>
      <c r="P1198" s="50">
        <f>SUMIFS(INDEX(Техника!$F$1:$ABM$500,P$2,0),Техника!$F$4:$ABM$4,"Часы",INDEX(Техника!$G$1:$ABN$500,P$2,0),$A$1194,INDEX(Техника!$H$1:$ABO$500,P$2,0),"Л")</f>
        <v>0</v>
      </c>
      <c r="Q1198" s="50">
        <f>SUMIFS(INDEX(Техника!$F$1:$ABM$500,Q$2,0),Техника!$F$4:$ABM$4,"Часы",INDEX(Техника!$G$1:$ABN$500,Q$2,0),$A$1194,INDEX(Техника!$H$1:$ABO$500,Q$2,0),"Л")</f>
        <v>0</v>
      </c>
      <c r="R1198" s="50">
        <f>SUMIFS(INDEX(Техника!$F$1:$ABM$500,R$2,0),Техника!$F$4:$ABM$4,"Часы",INDEX(Техника!$G$1:$ABN$500,R$2,0),$A$1194,INDEX(Техника!$H$1:$ABO$500,R$2,0),"Л")</f>
        <v>0</v>
      </c>
      <c r="S1198" s="50">
        <f>SUMIFS(INDEX(Техника!$F$1:$ABM$500,S$2,0),Техника!$F$4:$ABM$4,"Часы",INDEX(Техника!$G$1:$ABN$500,S$2,0),$A$1194,INDEX(Техника!$H$1:$ABO$500,S$2,0),"Л")</f>
        <v>0</v>
      </c>
      <c r="T1198" s="50">
        <f>SUMIFS(INDEX(Техника!$F$1:$ABM$500,T$2,0),Техника!$F$4:$ABM$4,"Часы",INDEX(Техника!$G$1:$ABN$500,T$2,0),$A$1194,INDEX(Техника!$H$1:$ABO$500,T$2,0),"Л")</f>
        <v>0</v>
      </c>
      <c r="U1198" s="50">
        <f>SUMIFS(INDEX(Техника!$F$1:$ABM$500,U$2,0),Техника!$F$4:$ABM$4,"Часы",INDEX(Техника!$G$1:$ABN$500,U$2,0),$A$1194,INDEX(Техника!$H$1:$ABO$500,U$2,0),"Л")</f>
        <v>0</v>
      </c>
      <c r="V1198" s="50">
        <f>SUMIFS(INDEX(Техника!$F$1:$ABM$500,V$2,0),Техника!$F$4:$ABM$4,"Часы",INDEX(Техника!$G$1:$ABN$500,V$2,0),$A$1194,INDEX(Техника!$H$1:$ABO$500,V$2,0),"Л")</f>
        <v>0</v>
      </c>
      <c r="W1198" s="50">
        <f>SUMIFS(INDEX(Техника!$F$1:$ABM$500,W$2,0),Техника!$F$4:$ABM$4,"Часы",INDEX(Техника!$G$1:$ABN$500,W$2,0),$A$1194,INDEX(Техника!$H$1:$ABO$500,W$2,0),"Л")</f>
        <v>0</v>
      </c>
      <c r="X1198" s="50">
        <f>SUMIFS(INDEX(Техника!$F$1:$ABM$500,X$2,0),Техника!$F$4:$ABM$4,"Часы",INDEX(Техника!$G$1:$ABN$500,X$2,0),$A$1194,INDEX(Техника!$H$1:$ABO$500,X$2,0),"Л")</f>
        <v>0</v>
      </c>
      <c r="Y1198" s="50">
        <f>SUMIFS(INDEX(Техника!$F$1:$ABM$500,Y$2,0),Техника!$F$4:$ABM$4,"Часы",INDEX(Техника!$G$1:$ABN$500,Y$2,0),$A$1194,INDEX(Техника!$H$1:$ABO$500,Y$2,0),"Л")</f>
        <v>0</v>
      </c>
      <c r="Z1198" s="50">
        <f>SUMIFS(INDEX(Техника!$F$1:$ABM$500,Z$2,0),Техника!$F$4:$ABM$4,"Часы",INDEX(Техника!$G$1:$ABN$500,Z$2,0),$A$1194,INDEX(Техника!$H$1:$ABO$500,Z$2,0),"Л")</f>
        <v>0</v>
      </c>
      <c r="AA1198" s="50">
        <f>SUMIFS(INDEX(Техника!$F$1:$ABM$500,AA$2,0),Техника!$F$4:$ABM$4,"Часы",INDEX(Техника!$G$1:$ABN$500,AA$2,0),$A$1194,INDEX(Техника!$H$1:$ABO$500,AA$2,0),"Л")</f>
        <v>0</v>
      </c>
      <c r="AB1198" s="50">
        <f>SUMIFS(INDEX(Техника!$F$1:$ABM$500,AB$2,0),Техника!$F$4:$ABM$4,"Часы",INDEX(Техника!$G$1:$ABN$500,AB$2,0),$A$1194,INDEX(Техника!$H$1:$ABO$500,AB$2,0),"Л")</f>
        <v>0</v>
      </c>
    </row>
    <row r="1199" spans="1:28" hidden="1" outlineLevel="1" x14ac:dyDescent="0.3">
      <c r="A1199" s="33" t="s">
        <v>245</v>
      </c>
      <c r="B1199" s="34" t="s">
        <v>279</v>
      </c>
      <c r="C1199" s="50">
        <f>SUMIFS(INDEX(Техника!$F$1:$ABM$500,C$2,0),Техника!$F$4:$ABM$4,"Часы",INDEX(Техника!$G$1:$ABN$500,C$2,0),$A$1194,INDEX(Техника!$H$1:$ABO$500,C$2,0),"З")</f>
        <v>0</v>
      </c>
      <c r="D1199" s="50">
        <f>SUMIFS(INDEX(Техника!$F$1:$ABM$500,D$2,0),Техника!$F$4:$ABM$4,"Часы",INDEX(Техника!$G$1:$ABN$500,D$2,0),$A$1194,INDEX(Техника!$H$1:$ABO$500,D$2,0),"З")</f>
        <v>0</v>
      </c>
      <c r="E1199" s="50">
        <f>SUMIFS(INDEX(Техника!$F$1:$ABM$500,E$2,0),Техника!$F$4:$ABM$4,"Часы",INDEX(Техника!$G$1:$ABN$500,E$2,0),$A$1194,INDEX(Техника!$H$1:$ABO$500,E$2,0),"З")</f>
        <v>0</v>
      </c>
      <c r="F1199" s="50">
        <f>SUMIFS(INDEX(Техника!$F$1:$ABM$500,F$2,0),Техника!$F$4:$ABM$4,"Часы",INDEX(Техника!$G$1:$ABN$500,F$2,0),$A$1194,INDEX(Техника!$H$1:$ABO$500,F$2,0),"З")</f>
        <v>0</v>
      </c>
      <c r="G1199" s="50">
        <f>SUMIFS(INDEX(Техника!$F$1:$ABM$500,G$2,0),Техника!$F$4:$ABM$4,"Часы",INDEX(Техника!$G$1:$ABN$500,G$2,0),$A$1194,INDEX(Техника!$H$1:$ABO$500,G$2,0),"З")</f>
        <v>0</v>
      </c>
      <c r="H1199" s="50">
        <f>SUMIFS(INDEX(Техника!$F$1:$ABM$500,H$2,0),Техника!$F$4:$ABM$4,"Часы",INDEX(Техника!$G$1:$ABN$500,H$2,0),$A$1194,INDEX(Техника!$H$1:$ABO$500,H$2,0),"З")</f>
        <v>0</v>
      </c>
      <c r="I1199" s="50">
        <f>SUMIFS(INDEX(Техника!$F$1:$ABM$500,I$2,0),Техника!$F$4:$ABM$4,"Часы",INDEX(Техника!$G$1:$ABN$500,I$2,0),$A$1194,INDEX(Техника!$H$1:$ABO$500,I$2,0),"З")</f>
        <v>0</v>
      </c>
      <c r="J1199" s="50">
        <f>SUMIFS(INDEX(Техника!$F$1:$ABM$500,J$2,0),Техника!$F$4:$ABM$4,"Часы",INDEX(Техника!$G$1:$ABN$500,J$2,0),$A$1194,INDEX(Техника!$H$1:$ABO$500,J$2,0),"З")</f>
        <v>0</v>
      </c>
      <c r="K1199" s="50">
        <f>SUMIFS(INDEX(Техника!$F$1:$ABM$500,K$2,0),Техника!$F$4:$ABM$4,"Часы",INDEX(Техника!$G$1:$ABN$500,K$2,0),$A$1194,INDEX(Техника!$H$1:$ABO$500,K$2,0),"З")</f>
        <v>0</v>
      </c>
      <c r="L1199" s="50">
        <f>SUMIFS(INDEX(Техника!$F$1:$ABM$500,L$2,0),Техника!$F$4:$ABM$4,"Часы",INDEX(Техника!$G$1:$ABN$500,L$2,0),$A$1194,INDEX(Техника!$H$1:$ABO$500,L$2,0),"З")</f>
        <v>0</v>
      </c>
      <c r="M1199" s="50">
        <f>SUMIFS(INDEX(Техника!$F$1:$ABM$500,M$2,0),Техника!$F$4:$ABM$4,"Часы",INDEX(Техника!$G$1:$ABN$500,M$2,0),$A$1194,INDEX(Техника!$H$1:$ABO$500,M$2,0),"З")</f>
        <v>0</v>
      </c>
      <c r="N1199" s="50">
        <f>SUMIFS(INDEX(Техника!$F$1:$ABM$500,N$2,0),Техника!$F$4:$ABM$4,"Часы",INDEX(Техника!$G$1:$ABN$500,N$2,0),$A$1194,INDEX(Техника!$H$1:$ABO$500,N$2,0),"З")</f>
        <v>0</v>
      </c>
      <c r="O1199" s="50">
        <f>SUMIFS(INDEX(Техника!$F$1:$ABM$500,O$2,0),Техника!$F$4:$ABM$4,"Часы",INDEX(Техника!$G$1:$ABN$500,O$2,0),$A$1194,INDEX(Техника!$H$1:$ABO$500,O$2,0),"З")</f>
        <v>0</v>
      </c>
      <c r="P1199" s="50">
        <f>SUMIFS(INDEX(Техника!$F$1:$ABM$500,P$2,0),Техника!$F$4:$ABM$4,"Часы",INDEX(Техника!$G$1:$ABN$500,P$2,0),$A$1194,INDEX(Техника!$H$1:$ABO$500,P$2,0),"З")</f>
        <v>0</v>
      </c>
      <c r="Q1199" s="50">
        <f>SUMIFS(INDEX(Техника!$F$1:$ABM$500,Q$2,0),Техника!$F$4:$ABM$4,"Часы",INDEX(Техника!$G$1:$ABN$500,Q$2,0),$A$1194,INDEX(Техника!$H$1:$ABO$500,Q$2,0),"З")</f>
        <v>0</v>
      </c>
      <c r="R1199" s="50">
        <f>SUMIFS(INDEX(Техника!$F$1:$ABM$500,R$2,0),Техника!$F$4:$ABM$4,"Часы",INDEX(Техника!$G$1:$ABN$500,R$2,0),$A$1194,INDEX(Техника!$H$1:$ABO$500,R$2,0),"З")</f>
        <v>0</v>
      </c>
      <c r="S1199" s="50">
        <f>SUMIFS(INDEX(Техника!$F$1:$ABM$500,S$2,0),Техника!$F$4:$ABM$4,"Часы",INDEX(Техника!$G$1:$ABN$500,S$2,0),$A$1194,INDEX(Техника!$H$1:$ABO$500,S$2,0),"З")</f>
        <v>0</v>
      </c>
      <c r="T1199" s="50">
        <f>SUMIFS(INDEX(Техника!$F$1:$ABM$500,T$2,0),Техника!$F$4:$ABM$4,"Часы",INDEX(Техника!$G$1:$ABN$500,T$2,0),$A$1194,INDEX(Техника!$H$1:$ABO$500,T$2,0),"З")</f>
        <v>0</v>
      </c>
      <c r="U1199" s="50">
        <f>SUMIFS(INDEX(Техника!$F$1:$ABM$500,U$2,0),Техника!$F$4:$ABM$4,"Часы",INDEX(Техника!$G$1:$ABN$500,U$2,0),$A$1194,INDEX(Техника!$H$1:$ABO$500,U$2,0),"З")</f>
        <v>0</v>
      </c>
      <c r="V1199" s="50">
        <f>SUMIFS(INDEX(Техника!$F$1:$ABM$500,V$2,0),Техника!$F$4:$ABM$4,"Часы",INDEX(Техника!$G$1:$ABN$500,V$2,0),$A$1194,INDEX(Техника!$H$1:$ABO$500,V$2,0),"З")</f>
        <v>0</v>
      </c>
      <c r="W1199" s="50">
        <f>SUMIFS(INDEX(Техника!$F$1:$ABM$500,W$2,0),Техника!$F$4:$ABM$4,"Часы",INDEX(Техника!$G$1:$ABN$500,W$2,0),$A$1194,INDEX(Техника!$H$1:$ABO$500,W$2,0),"З")</f>
        <v>0</v>
      </c>
      <c r="X1199" s="50">
        <f>SUMIFS(INDEX(Техника!$F$1:$ABM$500,X$2,0),Техника!$F$4:$ABM$4,"Часы",INDEX(Техника!$G$1:$ABN$500,X$2,0),$A$1194,INDEX(Техника!$H$1:$ABO$500,X$2,0),"З")</f>
        <v>0</v>
      </c>
      <c r="Y1199" s="50">
        <f>SUMIFS(INDEX(Техника!$F$1:$ABM$500,Y$2,0),Техника!$F$4:$ABM$4,"Часы",INDEX(Техника!$G$1:$ABN$500,Y$2,0),$A$1194,INDEX(Техника!$H$1:$ABO$500,Y$2,0),"З")</f>
        <v>0</v>
      </c>
      <c r="Z1199" s="50">
        <f>SUMIFS(INDEX(Техника!$F$1:$ABM$500,Z$2,0),Техника!$F$4:$ABM$4,"Часы",INDEX(Техника!$G$1:$ABN$500,Z$2,0),$A$1194,INDEX(Техника!$H$1:$ABO$500,Z$2,0),"З")</f>
        <v>0</v>
      </c>
      <c r="AA1199" s="50">
        <f>SUMIFS(INDEX(Техника!$F$1:$ABM$500,AA$2,0),Техника!$F$4:$ABM$4,"Часы",INDEX(Техника!$G$1:$ABN$500,AA$2,0),$A$1194,INDEX(Техника!$H$1:$ABO$500,AA$2,0),"З")</f>
        <v>0</v>
      </c>
      <c r="AB1199" s="50">
        <f>SUMIFS(INDEX(Техника!$F$1:$ABM$500,AB$2,0),Техника!$F$4:$ABM$4,"Часы",INDEX(Техника!$G$1:$ABN$500,AB$2,0),$A$1194,INDEX(Техника!$H$1:$ABO$500,AB$2,0),"З")</f>
        <v>0</v>
      </c>
    </row>
    <row r="1200" spans="1:28" ht="7.95" customHeight="1" x14ac:dyDescent="0.3">
      <c r="A1200" s="38"/>
      <c r="B1200" s="39"/>
      <c r="C1200" s="51"/>
      <c r="D1200" s="51"/>
      <c r="E1200" s="51"/>
      <c r="F1200" s="51"/>
      <c r="G1200" s="51"/>
      <c r="H1200" s="51"/>
      <c r="I1200" s="51"/>
      <c r="J1200" s="51"/>
      <c r="K1200" s="51"/>
      <c r="L1200" s="51"/>
      <c r="M1200" s="51"/>
      <c r="N1200" s="51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</row>
    <row r="1201" spans="1:28" ht="25.05" customHeight="1" collapsed="1" x14ac:dyDescent="0.3">
      <c r="A1201" s="32">
        <v>172</v>
      </c>
      <c r="B1201" s="32" t="s">
        <v>173</v>
      </c>
      <c r="C1201" s="49">
        <f>SUM(C1202:C1206)</f>
        <v>0</v>
      </c>
      <c r="D1201" s="49">
        <f>SUM(D1202:D1206)</f>
        <v>0</v>
      </c>
      <c r="E1201" s="49">
        <f>SUM(E1202:E1206)</f>
        <v>0</v>
      </c>
      <c r="F1201" s="49">
        <f>SUM(F1202:F1206)</f>
        <v>0</v>
      </c>
      <c r="G1201" s="49">
        <f>SUM(G1202:G1206)</f>
        <v>0</v>
      </c>
      <c r="H1201" s="49">
        <f>SUM(H1202:H1206)</f>
        <v>0</v>
      </c>
      <c r="I1201" s="49">
        <f>SUM(I1202:I1206)</f>
        <v>0</v>
      </c>
      <c r="J1201" s="49">
        <f>SUM(J1202:J1206)</f>
        <v>0</v>
      </c>
      <c r="K1201" s="49">
        <f>SUM(K1202:K1206)</f>
        <v>0</v>
      </c>
      <c r="L1201" s="49">
        <f>SUM(L1202:L1206)</f>
        <v>0</v>
      </c>
      <c r="M1201" s="49">
        <f>SUM(M1202:M1206)</f>
        <v>0</v>
      </c>
      <c r="N1201" s="49">
        <f>SUM(N1202:N1206)</f>
        <v>0</v>
      </c>
      <c r="O1201" s="49">
        <f>SUM(O1202:O1206)</f>
        <v>0</v>
      </c>
      <c r="P1201" s="49">
        <f>SUM(P1202:P1206)</f>
        <v>0</v>
      </c>
      <c r="Q1201" s="49">
        <f>SUM(Q1202:Q1206)</f>
        <v>0</v>
      </c>
      <c r="R1201" s="49">
        <f>SUM(R1202:R1206)</f>
        <v>0</v>
      </c>
      <c r="S1201" s="49">
        <f>SUM(S1202:S1206)</f>
        <v>0</v>
      </c>
      <c r="T1201" s="49">
        <f>SUM(T1202:T1206)</f>
        <v>0</v>
      </c>
      <c r="U1201" s="49">
        <f>SUM(U1202:U1206)</f>
        <v>0</v>
      </c>
      <c r="V1201" s="49">
        <f>SUM(V1202:V1206)</f>
        <v>0</v>
      </c>
      <c r="W1201" s="49">
        <f>SUM(W1202:W1206)</f>
        <v>0</v>
      </c>
      <c r="X1201" s="49">
        <f>SUM(X1202:X1206)</f>
        <v>0</v>
      </c>
      <c r="Y1201" s="49">
        <f>SUM(Y1202:Y1206)</f>
        <v>0</v>
      </c>
      <c r="Z1201" s="49">
        <f>SUM(Z1202:Z1206)</f>
        <v>0</v>
      </c>
      <c r="AA1201" s="49">
        <f>SUM(AA1202:AA1206)</f>
        <v>0</v>
      </c>
      <c r="AB1201" s="49">
        <f>SUM(AB1202:AB1206)</f>
        <v>0</v>
      </c>
    </row>
    <row r="1202" spans="1:28" hidden="1" outlineLevel="1" x14ac:dyDescent="0.3">
      <c r="A1202" s="33" t="s">
        <v>246</v>
      </c>
      <c r="B1202" s="34" t="s">
        <v>274</v>
      </c>
      <c r="C1202" s="50">
        <f>SUMIFS(INDEX(Техника!$F$1:$ABM$500,C$2,0),Техника!$F$4:$ABM$4,"Часы",INDEX(Техника!$G$1:$ABN$500,C$2,0),$A$1201,INDEX(Техника!$H$1:$ABO$500,C$2,0),"М")</f>
        <v>0</v>
      </c>
      <c r="D1202" s="50">
        <f>SUMIFS(INDEX(Техника!$F$1:$ABM$500,D$2,0),Техника!$F$4:$ABM$4,"Часы",INDEX(Техника!$G$1:$ABN$500,D$2,0),$A$1201,INDEX(Техника!$H$1:$ABO$500,D$2,0),"М")</f>
        <v>0</v>
      </c>
      <c r="E1202" s="50">
        <f>SUMIFS(INDEX(Техника!$F$1:$ABM$500,E$2,0),Техника!$F$4:$ABM$4,"Часы",INDEX(Техника!$G$1:$ABN$500,E$2,0),$A$1201,INDEX(Техника!$H$1:$ABO$500,E$2,0),"М")</f>
        <v>0</v>
      </c>
      <c r="F1202" s="50">
        <f>SUMIFS(INDEX(Техника!$F$1:$ABM$500,F$2,0),Техника!$F$4:$ABM$4,"Часы",INDEX(Техника!$G$1:$ABN$500,F$2,0),$A$1201,INDEX(Техника!$H$1:$ABO$500,F$2,0),"М")</f>
        <v>0</v>
      </c>
      <c r="G1202" s="50">
        <f>SUMIFS(INDEX(Техника!$F$1:$ABM$500,G$2,0),Техника!$F$4:$ABM$4,"Часы",INDEX(Техника!$G$1:$ABN$500,G$2,0),$A$1201,INDEX(Техника!$H$1:$ABO$500,G$2,0),"М")</f>
        <v>0</v>
      </c>
      <c r="H1202" s="50">
        <f>SUMIFS(INDEX(Техника!$F$1:$ABM$500,H$2,0),Техника!$F$4:$ABM$4,"Часы",INDEX(Техника!$G$1:$ABN$500,H$2,0),$A$1201,INDEX(Техника!$H$1:$ABO$500,H$2,0),"М")</f>
        <v>0</v>
      </c>
      <c r="I1202" s="50">
        <f>SUMIFS(INDEX(Техника!$F$1:$ABM$500,I$2,0),Техника!$F$4:$ABM$4,"Часы",INDEX(Техника!$G$1:$ABN$500,I$2,0),$A$1201,INDEX(Техника!$H$1:$ABO$500,I$2,0),"М")</f>
        <v>0</v>
      </c>
      <c r="J1202" s="50">
        <f>SUMIFS(INDEX(Техника!$F$1:$ABM$500,J$2,0),Техника!$F$4:$ABM$4,"Часы",INDEX(Техника!$G$1:$ABN$500,J$2,0),$A$1201,INDEX(Техника!$H$1:$ABO$500,J$2,0),"М")</f>
        <v>0</v>
      </c>
      <c r="K1202" s="50">
        <f>SUMIFS(INDEX(Техника!$F$1:$ABM$500,K$2,0),Техника!$F$4:$ABM$4,"Часы",INDEX(Техника!$G$1:$ABN$500,K$2,0),$A$1201,INDEX(Техника!$H$1:$ABO$500,K$2,0),"М")</f>
        <v>0</v>
      </c>
      <c r="L1202" s="50">
        <f>SUMIFS(INDEX(Техника!$F$1:$ABM$500,L$2,0),Техника!$F$4:$ABM$4,"Часы",INDEX(Техника!$G$1:$ABN$500,L$2,0),$A$1201,INDEX(Техника!$H$1:$ABO$500,L$2,0),"М")</f>
        <v>0</v>
      </c>
      <c r="M1202" s="50">
        <f>SUMIFS(INDEX(Техника!$F$1:$ABM$500,M$2,0),Техника!$F$4:$ABM$4,"Часы",INDEX(Техника!$G$1:$ABN$500,M$2,0),$A$1201,INDEX(Техника!$H$1:$ABO$500,M$2,0),"М")</f>
        <v>0</v>
      </c>
      <c r="N1202" s="50">
        <f>SUMIFS(INDEX(Техника!$F$1:$ABM$500,N$2,0),Техника!$F$4:$ABM$4,"Часы",INDEX(Техника!$G$1:$ABN$500,N$2,0),$A$1201,INDEX(Техника!$H$1:$ABO$500,N$2,0),"М")</f>
        <v>0</v>
      </c>
      <c r="O1202" s="50">
        <f>SUMIFS(INDEX(Техника!$F$1:$ABM$500,O$2,0),Техника!$F$4:$ABM$4,"Часы",INDEX(Техника!$G$1:$ABN$500,O$2,0),$A$1201,INDEX(Техника!$H$1:$ABO$500,O$2,0),"М")</f>
        <v>0</v>
      </c>
      <c r="P1202" s="50">
        <f>SUMIFS(INDEX(Техника!$F$1:$ABM$500,P$2,0),Техника!$F$4:$ABM$4,"Часы",INDEX(Техника!$G$1:$ABN$500,P$2,0),$A$1201,INDEX(Техника!$H$1:$ABO$500,P$2,0),"М")</f>
        <v>0</v>
      </c>
      <c r="Q1202" s="50">
        <f>SUMIFS(INDEX(Техника!$F$1:$ABM$500,Q$2,0),Техника!$F$4:$ABM$4,"Часы",INDEX(Техника!$G$1:$ABN$500,Q$2,0),$A$1201,INDEX(Техника!$H$1:$ABO$500,Q$2,0),"М")</f>
        <v>0</v>
      </c>
      <c r="R1202" s="50">
        <f>SUMIFS(INDEX(Техника!$F$1:$ABM$500,R$2,0),Техника!$F$4:$ABM$4,"Часы",INDEX(Техника!$G$1:$ABN$500,R$2,0),$A$1201,INDEX(Техника!$H$1:$ABO$500,R$2,0),"М")</f>
        <v>0</v>
      </c>
      <c r="S1202" s="50">
        <f>SUMIFS(INDEX(Техника!$F$1:$ABM$500,S$2,0),Техника!$F$4:$ABM$4,"Часы",INDEX(Техника!$G$1:$ABN$500,S$2,0),$A$1201,INDEX(Техника!$H$1:$ABO$500,S$2,0),"М")</f>
        <v>0</v>
      </c>
      <c r="T1202" s="50">
        <f>SUMIFS(INDEX(Техника!$F$1:$ABM$500,T$2,0),Техника!$F$4:$ABM$4,"Часы",INDEX(Техника!$G$1:$ABN$500,T$2,0),$A$1201,INDEX(Техника!$H$1:$ABO$500,T$2,0),"М")</f>
        <v>0</v>
      </c>
      <c r="U1202" s="50">
        <f>SUMIFS(INDEX(Техника!$F$1:$ABM$500,U$2,0),Техника!$F$4:$ABM$4,"Часы",INDEX(Техника!$G$1:$ABN$500,U$2,0),$A$1201,INDEX(Техника!$H$1:$ABO$500,U$2,0),"М")</f>
        <v>0</v>
      </c>
      <c r="V1202" s="50">
        <f>SUMIFS(INDEX(Техника!$F$1:$ABM$500,V$2,0),Техника!$F$4:$ABM$4,"Часы",INDEX(Техника!$G$1:$ABN$500,V$2,0),$A$1201,INDEX(Техника!$H$1:$ABO$500,V$2,0),"М")</f>
        <v>0</v>
      </c>
      <c r="W1202" s="50">
        <f>SUMIFS(INDEX(Техника!$F$1:$ABM$500,W$2,0),Техника!$F$4:$ABM$4,"Часы",INDEX(Техника!$G$1:$ABN$500,W$2,0),$A$1201,INDEX(Техника!$H$1:$ABO$500,W$2,0),"М")</f>
        <v>0</v>
      </c>
      <c r="X1202" s="50">
        <f>SUMIFS(INDEX(Техника!$F$1:$ABM$500,X$2,0),Техника!$F$4:$ABM$4,"Часы",INDEX(Техника!$G$1:$ABN$500,X$2,0),$A$1201,INDEX(Техника!$H$1:$ABO$500,X$2,0),"М")</f>
        <v>0</v>
      </c>
      <c r="Y1202" s="50">
        <f>SUMIFS(INDEX(Техника!$F$1:$ABM$500,Y$2,0),Техника!$F$4:$ABM$4,"Часы",INDEX(Техника!$G$1:$ABN$500,Y$2,0),$A$1201,INDEX(Техника!$H$1:$ABO$500,Y$2,0),"М")</f>
        <v>0</v>
      </c>
      <c r="Z1202" s="50">
        <f>SUMIFS(INDEX(Техника!$F$1:$ABM$500,Z$2,0),Техника!$F$4:$ABM$4,"Часы",INDEX(Техника!$G$1:$ABN$500,Z$2,0),$A$1201,INDEX(Техника!$H$1:$ABO$500,Z$2,0),"М")</f>
        <v>0</v>
      </c>
      <c r="AA1202" s="50">
        <f>SUMIFS(INDEX(Техника!$F$1:$ABM$500,AA$2,0),Техника!$F$4:$ABM$4,"Часы",INDEX(Техника!$G$1:$ABN$500,AA$2,0),$A$1201,INDEX(Техника!$H$1:$ABO$500,AA$2,0),"М")</f>
        <v>0</v>
      </c>
      <c r="AB1202" s="50">
        <f>SUMIFS(INDEX(Техника!$F$1:$ABM$500,AB$2,0),Техника!$F$4:$ABM$4,"Часы",INDEX(Техника!$G$1:$ABN$500,AB$2,0),$A$1201,INDEX(Техника!$H$1:$ABO$500,AB$2,0),"М")</f>
        <v>0</v>
      </c>
    </row>
    <row r="1203" spans="1:28" hidden="1" outlineLevel="1" x14ac:dyDescent="0.3">
      <c r="A1203" s="33" t="s">
        <v>244</v>
      </c>
      <c r="B1203" s="34" t="s">
        <v>275</v>
      </c>
      <c r="C1203" s="50">
        <f>SUMIFS(INDEX(Техника!$F$1:$ABM$500,C$2,0),Техника!$F$4:$ABM$4,"Часы",INDEX(Техника!$G$1:$ABN$500,C$2,0),$A$1201,INDEX(Техника!$H$1:$ABO$500,C$2,0),"Д")</f>
        <v>0</v>
      </c>
      <c r="D1203" s="50">
        <f>SUMIFS(INDEX(Техника!$F$1:$ABM$500,D$2,0),Техника!$F$4:$ABM$4,"Часы",INDEX(Техника!$G$1:$ABN$500,D$2,0),$A$1201,INDEX(Техника!$H$1:$ABO$500,D$2,0),"Д")</f>
        <v>0</v>
      </c>
      <c r="E1203" s="50">
        <f>SUMIFS(INDEX(Техника!$F$1:$ABM$500,E$2,0),Техника!$F$4:$ABM$4,"Часы",INDEX(Техника!$G$1:$ABN$500,E$2,0),$A$1201,INDEX(Техника!$H$1:$ABO$500,E$2,0),"Д")</f>
        <v>0</v>
      </c>
      <c r="F1203" s="50">
        <f>SUMIFS(INDEX(Техника!$F$1:$ABM$500,F$2,0),Техника!$F$4:$ABM$4,"Часы",INDEX(Техника!$G$1:$ABN$500,F$2,0),$A$1201,INDEX(Техника!$H$1:$ABO$500,F$2,0),"Д")</f>
        <v>0</v>
      </c>
      <c r="G1203" s="50">
        <f>SUMIFS(INDEX(Техника!$F$1:$ABM$500,G$2,0),Техника!$F$4:$ABM$4,"Часы",INDEX(Техника!$G$1:$ABN$500,G$2,0),$A$1201,INDEX(Техника!$H$1:$ABO$500,G$2,0),"Д")</f>
        <v>0</v>
      </c>
      <c r="H1203" s="50">
        <f>SUMIFS(INDEX(Техника!$F$1:$ABM$500,H$2,0),Техника!$F$4:$ABM$4,"Часы",INDEX(Техника!$G$1:$ABN$500,H$2,0),$A$1201,INDEX(Техника!$H$1:$ABO$500,H$2,0),"Д")</f>
        <v>0</v>
      </c>
      <c r="I1203" s="50">
        <f>SUMIFS(INDEX(Техника!$F$1:$ABM$500,I$2,0),Техника!$F$4:$ABM$4,"Часы",INDEX(Техника!$G$1:$ABN$500,I$2,0),$A$1201,INDEX(Техника!$H$1:$ABO$500,I$2,0),"Д")</f>
        <v>0</v>
      </c>
      <c r="J1203" s="50">
        <f>SUMIFS(INDEX(Техника!$F$1:$ABM$500,J$2,0),Техника!$F$4:$ABM$4,"Часы",INDEX(Техника!$G$1:$ABN$500,J$2,0),$A$1201,INDEX(Техника!$H$1:$ABO$500,J$2,0),"Д")</f>
        <v>0</v>
      </c>
      <c r="K1203" s="50">
        <f>SUMIFS(INDEX(Техника!$F$1:$ABM$500,K$2,0),Техника!$F$4:$ABM$4,"Часы",INDEX(Техника!$G$1:$ABN$500,K$2,0),$A$1201,INDEX(Техника!$H$1:$ABO$500,K$2,0),"Д")</f>
        <v>0</v>
      </c>
      <c r="L1203" s="50">
        <f>SUMIFS(INDEX(Техника!$F$1:$ABM$500,L$2,0),Техника!$F$4:$ABM$4,"Часы",INDEX(Техника!$G$1:$ABN$500,L$2,0),$A$1201,INDEX(Техника!$H$1:$ABO$500,L$2,0),"Д")</f>
        <v>0</v>
      </c>
      <c r="M1203" s="50">
        <f>SUMIFS(INDEX(Техника!$F$1:$ABM$500,M$2,0),Техника!$F$4:$ABM$4,"Часы",INDEX(Техника!$G$1:$ABN$500,M$2,0),$A$1201,INDEX(Техника!$H$1:$ABO$500,M$2,0),"Д")</f>
        <v>0</v>
      </c>
      <c r="N1203" s="50">
        <f>SUMIFS(INDEX(Техника!$F$1:$ABM$500,N$2,0),Техника!$F$4:$ABM$4,"Часы",INDEX(Техника!$G$1:$ABN$500,N$2,0),$A$1201,INDEX(Техника!$H$1:$ABO$500,N$2,0),"Д")</f>
        <v>0</v>
      </c>
      <c r="O1203" s="50">
        <f>SUMIFS(INDEX(Техника!$F$1:$ABM$500,O$2,0),Техника!$F$4:$ABM$4,"Часы",INDEX(Техника!$G$1:$ABN$500,O$2,0),$A$1201,INDEX(Техника!$H$1:$ABO$500,O$2,0),"Д")</f>
        <v>0</v>
      </c>
      <c r="P1203" s="50">
        <f>SUMIFS(INDEX(Техника!$F$1:$ABM$500,P$2,0),Техника!$F$4:$ABM$4,"Часы",INDEX(Техника!$G$1:$ABN$500,P$2,0),$A$1201,INDEX(Техника!$H$1:$ABO$500,P$2,0),"Д")</f>
        <v>0</v>
      </c>
      <c r="Q1203" s="50">
        <f>SUMIFS(INDEX(Техника!$F$1:$ABM$500,Q$2,0),Техника!$F$4:$ABM$4,"Часы",INDEX(Техника!$G$1:$ABN$500,Q$2,0),$A$1201,INDEX(Техника!$H$1:$ABO$500,Q$2,0),"Д")</f>
        <v>0</v>
      </c>
      <c r="R1203" s="50">
        <f>SUMIFS(INDEX(Техника!$F$1:$ABM$500,R$2,0),Техника!$F$4:$ABM$4,"Часы",INDEX(Техника!$G$1:$ABN$500,R$2,0),$A$1201,INDEX(Техника!$H$1:$ABO$500,R$2,0),"Д")</f>
        <v>0</v>
      </c>
      <c r="S1203" s="50">
        <f>SUMIFS(INDEX(Техника!$F$1:$ABM$500,S$2,0),Техника!$F$4:$ABM$4,"Часы",INDEX(Техника!$G$1:$ABN$500,S$2,0),$A$1201,INDEX(Техника!$H$1:$ABO$500,S$2,0),"Д")</f>
        <v>0</v>
      </c>
      <c r="T1203" s="50">
        <f>SUMIFS(INDEX(Техника!$F$1:$ABM$500,T$2,0),Техника!$F$4:$ABM$4,"Часы",INDEX(Техника!$G$1:$ABN$500,T$2,0),$A$1201,INDEX(Техника!$H$1:$ABO$500,T$2,0),"Д")</f>
        <v>0</v>
      </c>
      <c r="U1203" s="50">
        <f>SUMIFS(INDEX(Техника!$F$1:$ABM$500,U$2,0),Техника!$F$4:$ABM$4,"Часы",INDEX(Техника!$G$1:$ABN$500,U$2,0),$A$1201,INDEX(Техника!$H$1:$ABO$500,U$2,0),"Д")</f>
        <v>0</v>
      </c>
      <c r="V1203" s="50">
        <f>SUMIFS(INDEX(Техника!$F$1:$ABM$500,V$2,0),Техника!$F$4:$ABM$4,"Часы",INDEX(Техника!$G$1:$ABN$500,V$2,0),$A$1201,INDEX(Техника!$H$1:$ABO$500,V$2,0),"Д")</f>
        <v>0</v>
      </c>
      <c r="W1203" s="50">
        <f>SUMIFS(INDEX(Техника!$F$1:$ABM$500,W$2,0),Техника!$F$4:$ABM$4,"Часы",INDEX(Техника!$G$1:$ABN$500,W$2,0),$A$1201,INDEX(Техника!$H$1:$ABO$500,W$2,0),"Д")</f>
        <v>0</v>
      </c>
      <c r="X1203" s="50">
        <f>SUMIFS(INDEX(Техника!$F$1:$ABM$500,X$2,0),Техника!$F$4:$ABM$4,"Часы",INDEX(Техника!$G$1:$ABN$500,X$2,0),$A$1201,INDEX(Техника!$H$1:$ABO$500,X$2,0),"Д")</f>
        <v>0</v>
      </c>
      <c r="Y1203" s="50">
        <f>SUMIFS(INDEX(Техника!$F$1:$ABM$500,Y$2,0),Техника!$F$4:$ABM$4,"Часы",INDEX(Техника!$G$1:$ABN$500,Y$2,0),$A$1201,INDEX(Техника!$H$1:$ABO$500,Y$2,0),"Д")</f>
        <v>0</v>
      </c>
      <c r="Z1203" s="50">
        <f>SUMIFS(INDEX(Техника!$F$1:$ABM$500,Z$2,0),Техника!$F$4:$ABM$4,"Часы",INDEX(Техника!$G$1:$ABN$500,Z$2,0),$A$1201,INDEX(Техника!$H$1:$ABO$500,Z$2,0),"Д")</f>
        <v>0</v>
      </c>
      <c r="AA1203" s="50">
        <f>SUMIFS(INDEX(Техника!$F$1:$ABM$500,AA$2,0),Техника!$F$4:$ABM$4,"Часы",INDEX(Техника!$G$1:$ABN$500,AA$2,0),$A$1201,INDEX(Техника!$H$1:$ABO$500,AA$2,0),"Д")</f>
        <v>0</v>
      </c>
      <c r="AB1203" s="50">
        <f>SUMIFS(INDEX(Техника!$F$1:$ABM$500,AB$2,0),Техника!$F$4:$ABM$4,"Часы",INDEX(Техника!$G$1:$ABN$500,AB$2,0),$A$1201,INDEX(Техника!$H$1:$ABO$500,AB$2,0),"Д")</f>
        <v>0</v>
      </c>
    </row>
    <row r="1204" spans="1:28" hidden="1" outlineLevel="1" x14ac:dyDescent="0.3">
      <c r="A1204" s="33" t="s">
        <v>276</v>
      </c>
      <c r="B1204" s="34" t="s">
        <v>277</v>
      </c>
      <c r="C1204" s="50">
        <f>SUMIFS(INDEX(Техника!$F$1:$ABM$500,C$2,0),Техника!$F$4:$ABM$4,"Часы",INDEX(Техника!$G$1:$ABN$500,C$2,0),$A$1201,INDEX(Техника!$H$1:$ABO$500,C$2,0),"П")</f>
        <v>0</v>
      </c>
      <c r="D1204" s="50">
        <f>SUMIFS(INDEX(Техника!$F$1:$ABM$500,D$2,0),Техника!$F$4:$ABM$4,"Часы",INDEX(Техника!$G$1:$ABN$500,D$2,0),$A$1201,INDEX(Техника!$H$1:$ABO$500,D$2,0),"П")</f>
        <v>0</v>
      </c>
      <c r="E1204" s="50">
        <f>SUMIFS(INDEX(Техника!$F$1:$ABM$500,E$2,0),Техника!$F$4:$ABM$4,"Часы",INDEX(Техника!$G$1:$ABN$500,E$2,0),$A$1201,INDEX(Техника!$H$1:$ABO$500,E$2,0),"П")</f>
        <v>0</v>
      </c>
      <c r="F1204" s="50">
        <f>SUMIFS(INDEX(Техника!$F$1:$ABM$500,F$2,0),Техника!$F$4:$ABM$4,"Часы",INDEX(Техника!$G$1:$ABN$500,F$2,0),$A$1201,INDEX(Техника!$H$1:$ABO$500,F$2,0),"П")</f>
        <v>0</v>
      </c>
      <c r="G1204" s="50">
        <f>SUMIFS(INDEX(Техника!$F$1:$ABM$500,G$2,0),Техника!$F$4:$ABM$4,"Часы",INDEX(Техника!$G$1:$ABN$500,G$2,0),$A$1201,INDEX(Техника!$H$1:$ABO$500,G$2,0),"П")</f>
        <v>0</v>
      </c>
      <c r="H1204" s="50">
        <f>SUMIFS(INDEX(Техника!$F$1:$ABM$500,H$2,0),Техника!$F$4:$ABM$4,"Часы",INDEX(Техника!$G$1:$ABN$500,H$2,0),$A$1201,INDEX(Техника!$H$1:$ABO$500,H$2,0),"П")</f>
        <v>0</v>
      </c>
      <c r="I1204" s="50">
        <f>SUMIFS(INDEX(Техника!$F$1:$ABM$500,I$2,0),Техника!$F$4:$ABM$4,"Часы",INDEX(Техника!$G$1:$ABN$500,I$2,0),$A$1201,INDEX(Техника!$H$1:$ABO$500,I$2,0),"П")</f>
        <v>0</v>
      </c>
      <c r="J1204" s="50">
        <f>SUMIFS(INDEX(Техника!$F$1:$ABM$500,J$2,0),Техника!$F$4:$ABM$4,"Часы",INDEX(Техника!$G$1:$ABN$500,J$2,0),$A$1201,INDEX(Техника!$H$1:$ABO$500,J$2,0),"П")</f>
        <v>0</v>
      </c>
      <c r="K1204" s="50">
        <f>SUMIFS(INDEX(Техника!$F$1:$ABM$500,K$2,0),Техника!$F$4:$ABM$4,"Часы",INDEX(Техника!$G$1:$ABN$500,K$2,0),$A$1201,INDEX(Техника!$H$1:$ABO$500,K$2,0),"П")</f>
        <v>0</v>
      </c>
      <c r="L1204" s="50">
        <f>SUMIFS(INDEX(Техника!$F$1:$ABM$500,L$2,0),Техника!$F$4:$ABM$4,"Часы",INDEX(Техника!$G$1:$ABN$500,L$2,0),$A$1201,INDEX(Техника!$H$1:$ABO$500,L$2,0),"П")</f>
        <v>0</v>
      </c>
      <c r="M1204" s="50">
        <f>SUMIFS(INDEX(Техника!$F$1:$ABM$500,M$2,0),Техника!$F$4:$ABM$4,"Часы",INDEX(Техника!$G$1:$ABN$500,M$2,0),$A$1201,INDEX(Техника!$H$1:$ABO$500,M$2,0),"П")</f>
        <v>0</v>
      </c>
      <c r="N1204" s="50">
        <f>SUMIFS(INDEX(Техника!$F$1:$ABM$500,N$2,0),Техника!$F$4:$ABM$4,"Часы",INDEX(Техника!$G$1:$ABN$500,N$2,0),$A$1201,INDEX(Техника!$H$1:$ABO$500,N$2,0),"П")</f>
        <v>0</v>
      </c>
      <c r="O1204" s="50">
        <f>SUMIFS(INDEX(Техника!$F$1:$ABM$500,O$2,0),Техника!$F$4:$ABM$4,"Часы",INDEX(Техника!$G$1:$ABN$500,O$2,0),$A$1201,INDEX(Техника!$H$1:$ABO$500,O$2,0),"П")</f>
        <v>0</v>
      </c>
      <c r="P1204" s="50">
        <f>SUMIFS(INDEX(Техника!$F$1:$ABM$500,P$2,0),Техника!$F$4:$ABM$4,"Часы",INDEX(Техника!$G$1:$ABN$500,P$2,0),$A$1201,INDEX(Техника!$H$1:$ABO$500,P$2,0),"П")</f>
        <v>0</v>
      </c>
      <c r="Q1204" s="50">
        <f>SUMIFS(INDEX(Техника!$F$1:$ABM$500,Q$2,0),Техника!$F$4:$ABM$4,"Часы",INDEX(Техника!$G$1:$ABN$500,Q$2,0),$A$1201,INDEX(Техника!$H$1:$ABO$500,Q$2,0),"П")</f>
        <v>0</v>
      </c>
      <c r="R1204" s="50">
        <f>SUMIFS(INDEX(Техника!$F$1:$ABM$500,R$2,0),Техника!$F$4:$ABM$4,"Часы",INDEX(Техника!$G$1:$ABN$500,R$2,0),$A$1201,INDEX(Техника!$H$1:$ABO$500,R$2,0),"П")</f>
        <v>0</v>
      </c>
      <c r="S1204" s="50">
        <f>SUMIFS(INDEX(Техника!$F$1:$ABM$500,S$2,0),Техника!$F$4:$ABM$4,"Часы",INDEX(Техника!$G$1:$ABN$500,S$2,0),$A$1201,INDEX(Техника!$H$1:$ABO$500,S$2,0),"П")</f>
        <v>0</v>
      </c>
      <c r="T1204" s="50">
        <f>SUMIFS(INDEX(Техника!$F$1:$ABM$500,T$2,0),Техника!$F$4:$ABM$4,"Часы",INDEX(Техника!$G$1:$ABN$500,T$2,0),$A$1201,INDEX(Техника!$H$1:$ABO$500,T$2,0),"П")</f>
        <v>0</v>
      </c>
      <c r="U1204" s="50">
        <f>SUMIFS(INDEX(Техника!$F$1:$ABM$500,U$2,0),Техника!$F$4:$ABM$4,"Часы",INDEX(Техника!$G$1:$ABN$500,U$2,0),$A$1201,INDEX(Техника!$H$1:$ABO$500,U$2,0),"П")</f>
        <v>0</v>
      </c>
      <c r="V1204" s="50">
        <f>SUMIFS(INDEX(Техника!$F$1:$ABM$500,V$2,0),Техника!$F$4:$ABM$4,"Часы",INDEX(Техника!$G$1:$ABN$500,V$2,0),$A$1201,INDEX(Техника!$H$1:$ABO$500,V$2,0),"П")</f>
        <v>0</v>
      </c>
      <c r="W1204" s="50">
        <f>SUMIFS(INDEX(Техника!$F$1:$ABM$500,W$2,0),Техника!$F$4:$ABM$4,"Часы",INDEX(Техника!$G$1:$ABN$500,W$2,0),$A$1201,INDEX(Техника!$H$1:$ABO$500,W$2,0),"П")</f>
        <v>0</v>
      </c>
      <c r="X1204" s="50">
        <f>SUMIFS(INDEX(Техника!$F$1:$ABM$500,X$2,0),Техника!$F$4:$ABM$4,"Часы",INDEX(Техника!$G$1:$ABN$500,X$2,0),$A$1201,INDEX(Техника!$H$1:$ABO$500,X$2,0),"П")</f>
        <v>0</v>
      </c>
      <c r="Y1204" s="50">
        <f>SUMIFS(INDEX(Техника!$F$1:$ABM$500,Y$2,0),Техника!$F$4:$ABM$4,"Часы",INDEX(Техника!$G$1:$ABN$500,Y$2,0),$A$1201,INDEX(Техника!$H$1:$ABO$500,Y$2,0),"П")</f>
        <v>0</v>
      </c>
      <c r="Z1204" s="50">
        <f>SUMIFS(INDEX(Техника!$F$1:$ABM$500,Z$2,0),Техника!$F$4:$ABM$4,"Часы",INDEX(Техника!$G$1:$ABN$500,Z$2,0),$A$1201,INDEX(Техника!$H$1:$ABO$500,Z$2,0),"П")</f>
        <v>0</v>
      </c>
      <c r="AA1204" s="50">
        <f>SUMIFS(INDEX(Техника!$F$1:$ABM$500,AA$2,0),Техника!$F$4:$ABM$4,"Часы",INDEX(Техника!$G$1:$ABN$500,AA$2,0),$A$1201,INDEX(Техника!$H$1:$ABO$500,AA$2,0),"П")</f>
        <v>0</v>
      </c>
      <c r="AB1204" s="50">
        <f>SUMIFS(INDEX(Техника!$F$1:$ABM$500,AB$2,0),Техника!$F$4:$ABM$4,"Часы",INDEX(Техника!$G$1:$ABN$500,AB$2,0),$A$1201,INDEX(Техника!$H$1:$ABO$500,AB$2,0),"П")</f>
        <v>0</v>
      </c>
    </row>
    <row r="1205" spans="1:28" hidden="1" outlineLevel="1" x14ac:dyDescent="0.3">
      <c r="A1205" s="33" t="s">
        <v>243</v>
      </c>
      <c r="B1205" s="34" t="s">
        <v>278</v>
      </c>
      <c r="C1205" s="50">
        <f>SUMIFS(INDEX(Техника!$F$1:$ABM$500,C$2,0),Техника!$F$4:$ABM$4,"Часы",INDEX(Техника!$G$1:$ABN$500,C$2,0),$A$1201,INDEX(Техника!$H$1:$ABO$500,C$2,0),"Л")</f>
        <v>0</v>
      </c>
      <c r="D1205" s="50">
        <f>SUMIFS(INDEX(Техника!$F$1:$ABM$500,D$2,0),Техника!$F$4:$ABM$4,"Часы",INDEX(Техника!$G$1:$ABN$500,D$2,0),$A$1201,INDEX(Техника!$H$1:$ABO$500,D$2,0),"Л")</f>
        <v>0</v>
      </c>
      <c r="E1205" s="50">
        <f>SUMIFS(INDEX(Техника!$F$1:$ABM$500,E$2,0),Техника!$F$4:$ABM$4,"Часы",INDEX(Техника!$G$1:$ABN$500,E$2,0),$A$1201,INDEX(Техника!$H$1:$ABO$500,E$2,0),"Л")</f>
        <v>0</v>
      </c>
      <c r="F1205" s="50">
        <f>SUMIFS(INDEX(Техника!$F$1:$ABM$500,F$2,0),Техника!$F$4:$ABM$4,"Часы",INDEX(Техника!$G$1:$ABN$500,F$2,0),$A$1201,INDEX(Техника!$H$1:$ABO$500,F$2,0),"Л")</f>
        <v>0</v>
      </c>
      <c r="G1205" s="50">
        <f>SUMIFS(INDEX(Техника!$F$1:$ABM$500,G$2,0),Техника!$F$4:$ABM$4,"Часы",INDEX(Техника!$G$1:$ABN$500,G$2,0),$A$1201,INDEX(Техника!$H$1:$ABO$500,G$2,0),"Л")</f>
        <v>0</v>
      </c>
      <c r="H1205" s="50">
        <f>SUMIFS(INDEX(Техника!$F$1:$ABM$500,H$2,0),Техника!$F$4:$ABM$4,"Часы",INDEX(Техника!$G$1:$ABN$500,H$2,0),$A$1201,INDEX(Техника!$H$1:$ABO$500,H$2,0),"Л")</f>
        <v>0</v>
      </c>
      <c r="I1205" s="50">
        <f>SUMIFS(INDEX(Техника!$F$1:$ABM$500,I$2,0),Техника!$F$4:$ABM$4,"Часы",INDEX(Техника!$G$1:$ABN$500,I$2,0),$A$1201,INDEX(Техника!$H$1:$ABO$500,I$2,0),"Л")</f>
        <v>0</v>
      </c>
      <c r="J1205" s="50">
        <f>SUMIFS(INDEX(Техника!$F$1:$ABM$500,J$2,0),Техника!$F$4:$ABM$4,"Часы",INDEX(Техника!$G$1:$ABN$500,J$2,0),$A$1201,INDEX(Техника!$H$1:$ABO$500,J$2,0),"Л")</f>
        <v>0</v>
      </c>
      <c r="K1205" s="50">
        <f>SUMIFS(INDEX(Техника!$F$1:$ABM$500,K$2,0),Техника!$F$4:$ABM$4,"Часы",INDEX(Техника!$G$1:$ABN$500,K$2,0),$A$1201,INDEX(Техника!$H$1:$ABO$500,K$2,0),"Л")</f>
        <v>0</v>
      </c>
      <c r="L1205" s="50">
        <f>SUMIFS(INDEX(Техника!$F$1:$ABM$500,L$2,0),Техника!$F$4:$ABM$4,"Часы",INDEX(Техника!$G$1:$ABN$500,L$2,0),$A$1201,INDEX(Техника!$H$1:$ABO$500,L$2,0),"Л")</f>
        <v>0</v>
      </c>
      <c r="M1205" s="50">
        <f>SUMIFS(INDEX(Техника!$F$1:$ABM$500,M$2,0),Техника!$F$4:$ABM$4,"Часы",INDEX(Техника!$G$1:$ABN$500,M$2,0),$A$1201,INDEX(Техника!$H$1:$ABO$500,M$2,0),"Л")</f>
        <v>0</v>
      </c>
      <c r="N1205" s="50">
        <f>SUMIFS(INDEX(Техника!$F$1:$ABM$500,N$2,0),Техника!$F$4:$ABM$4,"Часы",INDEX(Техника!$G$1:$ABN$500,N$2,0),$A$1201,INDEX(Техника!$H$1:$ABO$500,N$2,0),"Л")</f>
        <v>0</v>
      </c>
      <c r="O1205" s="50">
        <f>SUMIFS(INDEX(Техника!$F$1:$ABM$500,O$2,0),Техника!$F$4:$ABM$4,"Часы",INDEX(Техника!$G$1:$ABN$500,O$2,0),$A$1201,INDEX(Техника!$H$1:$ABO$500,O$2,0),"Л")</f>
        <v>0</v>
      </c>
      <c r="P1205" s="50">
        <f>SUMIFS(INDEX(Техника!$F$1:$ABM$500,P$2,0),Техника!$F$4:$ABM$4,"Часы",INDEX(Техника!$G$1:$ABN$500,P$2,0),$A$1201,INDEX(Техника!$H$1:$ABO$500,P$2,0),"Л")</f>
        <v>0</v>
      </c>
      <c r="Q1205" s="50">
        <f>SUMIFS(INDEX(Техника!$F$1:$ABM$500,Q$2,0),Техника!$F$4:$ABM$4,"Часы",INDEX(Техника!$G$1:$ABN$500,Q$2,0),$A$1201,INDEX(Техника!$H$1:$ABO$500,Q$2,0),"Л")</f>
        <v>0</v>
      </c>
      <c r="R1205" s="50">
        <f>SUMIFS(INDEX(Техника!$F$1:$ABM$500,R$2,0),Техника!$F$4:$ABM$4,"Часы",INDEX(Техника!$G$1:$ABN$500,R$2,0),$A$1201,INDEX(Техника!$H$1:$ABO$500,R$2,0),"Л")</f>
        <v>0</v>
      </c>
      <c r="S1205" s="50">
        <f>SUMIFS(INDEX(Техника!$F$1:$ABM$500,S$2,0),Техника!$F$4:$ABM$4,"Часы",INDEX(Техника!$G$1:$ABN$500,S$2,0),$A$1201,INDEX(Техника!$H$1:$ABO$500,S$2,0),"Л")</f>
        <v>0</v>
      </c>
      <c r="T1205" s="50">
        <f>SUMIFS(INDEX(Техника!$F$1:$ABM$500,T$2,0),Техника!$F$4:$ABM$4,"Часы",INDEX(Техника!$G$1:$ABN$500,T$2,0),$A$1201,INDEX(Техника!$H$1:$ABO$500,T$2,0),"Л")</f>
        <v>0</v>
      </c>
      <c r="U1205" s="50">
        <f>SUMIFS(INDEX(Техника!$F$1:$ABM$500,U$2,0),Техника!$F$4:$ABM$4,"Часы",INDEX(Техника!$G$1:$ABN$500,U$2,0),$A$1201,INDEX(Техника!$H$1:$ABO$500,U$2,0),"Л")</f>
        <v>0</v>
      </c>
      <c r="V1205" s="50">
        <f>SUMIFS(INDEX(Техника!$F$1:$ABM$500,V$2,0),Техника!$F$4:$ABM$4,"Часы",INDEX(Техника!$G$1:$ABN$500,V$2,0),$A$1201,INDEX(Техника!$H$1:$ABO$500,V$2,0),"Л")</f>
        <v>0</v>
      </c>
      <c r="W1205" s="50">
        <f>SUMIFS(INDEX(Техника!$F$1:$ABM$500,W$2,0),Техника!$F$4:$ABM$4,"Часы",INDEX(Техника!$G$1:$ABN$500,W$2,0),$A$1201,INDEX(Техника!$H$1:$ABO$500,W$2,0),"Л")</f>
        <v>0</v>
      </c>
      <c r="X1205" s="50">
        <f>SUMIFS(INDEX(Техника!$F$1:$ABM$500,X$2,0),Техника!$F$4:$ABM$4,"Часы",INDEX(Техника!$G$1:$ABN$500,X$2,0),$A$1201,INDEX(Техника!$H$1:$ABO$500,X$2,0),"Л")</f>
        <v>0</v>
      </c>
      <c r="Y1205" s="50">
        <f>SUMIFS(INDEX(Техника!$F$1:$ABM$500,Y$2,0),Техника!$F$4:$ABM$4,"Часы",INDEX(Техника!$G$1:$ABN$500,Y$2,0),$A$1201,INDEX(Техника!$H$1:$ABO$500,Y$2,0),"Л")</f>
        <v>0</v>
      </c>
      <c r="Z1205" s="50">
        <f>SUMIFS(INDEX(Техника!$F$1:$ABM$500,Z$2,0),Техника!$F$4:$ABM$4,"Часы",INDEX(Техника!$G$1:$ABN$500,Z$2,0),$A$1201,INDEX(Техника!$H$1:$ABO$500,Z$2,0),"Л")</f>
        <v>0</v>
      </c>
      <c r="AA1205" s="50">
        <f>SUMIFS(INDEX(Техника!$F$1:$ABM$500,AA$2,0),Техника!$F$4:$ABM$4,"Часы",INDEX(Техника!$G$1:$ABN$500,AA$2,0),$A$1201,INDEX(Техника!$H$1:$ABO$500,AA$2,0),"Л")</f>
        <v>0</v>
      </c>
      <c r="AB1205" s="50">
        <f>SUMIFS(INDEX(Техника!$F$1:$ABM$500,AB$2,0),Техника!$F$4:$ABM$4,"Часы",INDEX(Техника!$G$1:$ABN$500,AB$2,0),$A$1201,INDEX(Техника!$H$1:$ABO$500,AB$2,0),"Л")</f>
        <v>0</v>
      </c>
    </row>
    <row r="1206" spans="1:28" hidden="1" outlineLevel="1" x14ac:dyDescent="0.3">
      <c r="A1206" s="33" t="s">
        <v>245</v>
      </c>
      <c r="B1206" s="34" t="s">
        <v>279</v>
      </c>
      <c r="C1206" s="50">
        <f>SUMIFS(INDEX(Техника!$F$1:$ABM$500,C$2,0),Техника!$F$4:$ABM$4,"Часы",INDEX(Техника!$G$1:$ABN$500,C$2,0),$A$1201,INDEX(Техника!$H$1:$ABO$500,C$2,0),"З")</f>
        <v>0</v>
      </c>
      <c r="D1206" s="50">
        <f>SUMIFS(INDEX(Техника!$F$1:$ABM$500,D$2,0),Техника!$F$4:$ABM$4,"Часы",INDEX(Техника!$G$1:$ABN$500,D$2,0),$A$1201,INDEX(Техника!$H$1:$ABO$500,D$2,0),"З")</f>
        <v>0</v>
      </c>
      <c r="E1206" s="50">
        <f>SUMIFS(INDEX(Техника!$F$1:$ABM$500,E$2,0),Техника!$F$4:$ABM$4,"Часы",INDEX(Техника!$G$1:$ABN$500,E$2,0),$A$1201,INDEX(Техника!$H$1:$ABO$500,E$2,0),"З")</f>
        <v>0</v>
      </c>
      <c r="F1206" s="50">
        <f>SUMIFS(INDEX(Техника!$F$1:$ABM$500,F$2,0),Техника!$F$4:$ABM$4,"Часы",INDEX(Техника!$G$1:$ABN$500,F$2,0),$A$1201,INDEX(Техника!$H$1:$ABO$500,F$2,0),"З")</f>
        <v>0</v>
      </c>
      <c r="G1206" s="50">
        <f>SUMIFS(INDEX(Техника!$F$1:$ABM$500,G$2,0),Техника!$F$4:$ABM$4,"Часы",INDEX(Техника!$G$1:$ABN$500,G$2,0),$A$1201,INDEX(Техника!$H$1:$ABO$500,G$2,0),"З")</f>
        <v>0</v>
      </c>
      <c r="H1206" s="50">
        <f>SUMIFS(INDEX(Техника!$F$1:$ABM$500,H$2,0),Техника!$F$4:$ABM$4,"Часы",INDEX(Техника!$G$1:$ABN$500,H$2,0),$A$1201,INDEX(Техника!$H$1:$ABO$500,H$2,0),"З")</f>
        <v>0</v>
      </c>
      <c r="I1206" s="50">
        <f>SUMIFS(INDEX(Техника!$F$1:$ABM$500,I$2,0),Техника!$F$4:$ABM$4,"Часы",INDEX(Техника!$G$1:$ABN$500,I$2,0),$A$1201,INDEX(Техника!$H$1:$ABO$500,I$2,0),"З")</f>
        <v>0</v>
      </c>
      <c r="J1206" s="50">
        <f>SUMIFS(INDEX(Техника!$F$1:$ABM$500,J$2,0),Техника!$F$4:$ABM$4,"Часы",INDEX(Техника!$G$1:$ABN$500,J$2,0),$A$1201,INDEX(Техника!$H$1:$ABO$500,J$2,0),"З")</f>
        <v>0</v>
      </c>
      <c r="K1206" s="50">
        <f>SUMIFS(INDEX(Техника!$F$1:$ABM$500,K$2,0),Техника!$F$4:$ABM$4,"Часы",INDEX(Техника!$G$1:$ABN$500,K$2,0),$A$1201,INDEX(Техника!$H$1:$ABO$500,K$2,0),"З")</f>
        <v>0</v>
      </c>
      <c r="L1206" s="50">
        <f>SUMIFS(INDEX(Техника!$F$1:$ABM$500,L$2,0),Техника!$F$4:$ABM$4,"Часы",INDEX(Техника!$G$1:$ABN$500,L$2,0),$A$1201,INDEX(Техника!$H$1:$ABO$500,L$2,0),"З")</f>
        <v>0</v>
      </c>
      <c r="M1206" s="50">
        <f>SUMIFS(INDEX(Техника!$F$1:$ABM$500,M$2,0),Техника!$F$4:$ABM$4,"Часы",INDEX(Техника!$G$1:$ABN$500,M$2,0),$A$1201,INDEX(Техника!$H$1:$ABO$500,M$2,0),"З")</f>
        <v>0</v>
      </c>
      <c r="N1206" s="50">
        <f>SUMIFS(INDEX(Техника!$F$1:$ABM$500,N$2,0),Техника!$F$4:$ABM$4,"Часы",INDEX(Техника!$G$1:$ABN$500,N$2,0),$A$1201,INDEX(Техника!$H$1:$ABO$500,N$2,0),"З")</f>
        <v>0</v>
      </c>
      <c r="O1206" s="50">
        <f>SUMIFS(INDEX(Техника!$F$1:$ABM$500,O$2,0),Техника!$F$4:$ABM$4,"Часы",INDEX(Техника!$G$1:$ABN$500,O$2,0),$A$1201,INDEX(Техника!$H$1:$ABO$500,O$2,0),"З")</f>
        <v>0</v>
      </c>
      <c r="P1206" s="50">
        <f>SUMIFS(INDEX(Техника!$F$1:$ABM$500,P$2,0),Техника!$F$4:$ABM$4,"Часы",INDEX(Техника!$G$1:$ABN$500,P$2,0),$A$1201,INDEX(Техника!$H$1:$ABO$500,P$2,0),"З")</f>
        <v>0</v>
      </c>
      <c r="Q1206" s="50">
        <f>SUMIFS(INDEX(Техника!$F$1:$ABM$500,Q$2,0),Техника!$F$4:$ABM$4,"Часы",INDEX(Техника!$G$1:$ABN$500,Q$2,0),$A$1201,INDEX(Техника!$H$1:$ABO$500,Q$2,0),"З")</f>
        <v>0</v>
      </c>
      <c r="R1206" s="50">
        <f>SUMIFS(INDEX(Техника!$F$1:$ABM$500,R$2,0),Техника!$F$4:$ABM$4,"Часы",INDEX(Техника!$G$1:$ABN$500,R$2,0),$A$1201,INDEX(Техника!$H$1:$ABO$500,R$2,0),"З")</f>
        <v>0</v>
      </c>
      <c r="S1206" s="50">
        <f>SUMIFS(INDEX(Техника!$F$1:$ABM$500,S$2,0),Техника!$F$4:$ABM$4,"Часы",INDEX(Техника!$G$1:$ABN$500,S$2,0),$A$1201,INDEX(Техника!$H$1:$ABO$500,S$2,0),"З")</f>
        <v>0</v>
      </c>
      <c r="T1206" s="50">
        <f>SUMIFS(INDEX(Техника!$F$1:$ABM$500,T$2,0),Техника!$F$4:$ABM$4,"Часы",INDEX(Техника!$G$1:$ABN$500,T$2,0),$A$1201,INDEX(Техника!$H$1:$ABO$500,T$2,0),"З")</f>
        <v>0</v>
      </c>
      <c r="U1206" s="50">
        <f>SUMIFS(INDEX(Техника!$F$1:$ABM$500,U$2,0),Техника!$F$4:$ABM$4,"Часы",INDEX(Техника!$G$1:$ABN$500,U$2,0),$A$1201,INDEX(Техника!$H$1:$ABO$500,U$2,0),"З")</f>
        <v>0</v>
      </c>
      <c r="V1206" s="50">
        <f>SUMIFS(INDEX(Техника!$F$1:$ABM$500,V$2,0),Техника!$F$4:$ABM$4,"Часы",INDEX(Техника!$G$1:$ABN$500,V$2,0),$A$1201,INDEX(Техника!$H$1:$ABO$500,V$2,0),"З")</f>
        <v>0</v>
      </c>
      <c r="W1206" s="50">
        <f>SUMIFS(INDEX(Техника!$F$1:$ABM$500,W$2,0),Техника!$F$4:$ABM$4,"Часы",INDEX(Техника!$G$1:$ABN$500,W$2,0),$A$1201,INDEX(Техника!$H$1:$ABO$500,W$2,0),"З")</f>
        <v>0</v>
      </c>
      <c r="X1206" s="50">
        <f>SUMIFS(INDEX(Техника!$F$1:$ABM$500,X$2,0),Техника!$F$4:$ABM$4,"Часы",INDEX(Техника!$G$1:$ABN$500,X$2,0),$A$1201,INDEX(Техника!$H$1:$ABO$500,X$2,0),"З")</f>
        <v>0</v>
      </c>
      <c r="Y1206" s="50">
        <f>SUMIFS(INDEX(Техника!$F$1:$ABM$500,Y$2,0),Техника!$F$4:$ABM$4,"Часы",INDEX(Техника!$G$1:$ABN$500,Y$2,0),$A$1201,INDEX(Техника!$H$1:$ABO$500,Y$2,0),"З")</f>
        <v>0</v>
      </c>
      <c r="Z1206" s="50">
        <f>SUMIFS(INDEX(Техника!$F$1:$ABM$500,Z$2,0),Техника!$F$4:$ABM$4,"Часы",INDEX(Техника!$G$1:$ABN$500,Z$2,0),$A$1201,INDEX(Техника!$H$1:$ABO$500,Z$2,0),"З")</f>
        <v>0</v>
      </c>
      <c r="AA1206" s="50">
        <f>SUMIFS(INDEX(Техника!$F$1:$ABM$500,AA$2,0),Техника!$F$4:$ABM$4,"Часы",INDEX(Техника!$G$1:$ABN$500,AA$2,0),$A$1201,INDEX(Техника!$H$1:$ABO$500,AA$2,0),"З")</f>
        <v>0</v>
      </c>
      <c r="AB1206" s="50">
        <f>SUMIFS(INDEX(Техника!$F$1:$ABM$500,AB$2,0),Техника!$F$4:$ABM$4,"Часы",INDEX(Техника!$G$1:$ABN$500,AB$2,0),$A$1201,INDEX(Техника!$H$1:$ABO$500,AB$2,0),"З")</f>
        <v>0</v>
      </c>
    </row>
    <row r="1207" spans="1:28" ht="7.95" customHeight="1" x14ac:dyDescent="0.3">
      <c r="A1207" s="38"/>
      <c r="B1207" s="39"/>
      <c r="C1207" s="51"/>
      <c r="D1207" s="51"/>
      <c r="E1207" s="51"/>
      <c r="F1207" s="51"/>
      <c r="G1207" s="51"/>
      <c r="H1207" s="51"/>
      <c r="I1207" s="51"/>
      <c r="J1207" s="51"/>
      <c r="K1207" s="51"/>
      <c r="L1207" s="51"/>
      <c r="M1207" s="51"/>
      <c r="N1207" s="51"/>
      <c r="O1207" s="51"/>
      <c r="P1207" s="51"/>
      <c r="Q1207" s="51"/>
      <c r="R1207" s="51"/>
      <c r="S1207" s="51"/>
      <c r="T1207" s="51"/>
      <c r="U1207" s="51"/>
      <c r="V1207" s="51"/>
      <c r="W1207" s="51"/>
      <c r="X1207" s="51"/>
      <c r="Y1207" s="51"/>
      <c r="Z1207" s="51"/>
      <c r="AA1207" s="51"/>
      <c r="AB1207" s="51"/>
    </row>
    <row r="1208" spans="1:28" ht="25.05" customHeight="1" collapsed="1" x14ac:dyDescent="0.3">
      <c r="A1208" s="32">
        <v>173</v>
      </c>
      <c r="B1208" s="32" t="s">
        <v>174</v>
      </c>
      <c r="C1208" s="49">
        <f>SUM(C1209:C1213)</f>
        <v>0</v>
      </c>
      <c r="D1208" s="49">
        <f>SUM(D1209:D1213)</f>
        <v>0</v>
      </c>
      <c r="E1208" s="49">
        <f>SUM(E1209:E1213)</f>
        <v>0</v>
      </c>
      <c r="F1208" s="49">
        <f>SUM(F1209:F1213)</f>
        <v>0</v>
      </c>
      <c r="G1208" s="49">
        <f>SUM(G1209:G1213)</f>
        <v>0</v>
      </c>
      <c r="H1208" s="49">
        <f>SUM(H1209:H1213)</f>
        <v>0</v>
      </c>
      <c r="I1208" s="49">
        <f>SUM(I1209:I1213)</f>
        <v>0</v>
      </c>
      <c r="J1208" s="49">
        <f>SUM(J1209:J1213)</f>
        <v>0</v>
      </c>
      <c r="K1208" s="49">
        <f>SUM(K1209:K1213)</f>
        <v>0</v>
      </c>
      <c r="L1208" s="49">
        <f>SUM(L1209:L1213)</f>
        <v>0</v>
      </c>
      <c r="M1208" s="49">
        <f>SUM(M1209:M1213)</f>
        <v>0</v>
      </c>
      <c r="N1208" s="49">
        <f>SUM(N1209:N1213)</f>
        <v>0</v>
      </c>
      <c r="O1208" s="49">
        <f>SUM(O1209:O1213)</f>
        <v>0</v>
      </c>
      <c r="P1208" s="49">
        <f>SUM(P1209:P1213)</f>
        <v>0</v>
      </c>
      <c r="Q1208" s="49">
        <f>SUM(Q1209:Q1213)</f>
        <v>0</v>
      </c>
      <c r="R1208" s="49">
        <f>SUM(R1209:R1213)</f>
        <v>0</v>
      </c>
      <c r="S1208" s="49">
        <f>SUM(S1209:S1213)</f>
        <v>0</v>
      </c>
      <c r="T1208" s="49">
        <f>SUM(T1209:T1213)</f>
        <v>0</v>
      </c>
      <c r="U1208" s="49">
        <f>SUM(U1209:U1213)</f>
        <v>0</v>
      </c>
      <c r="V1208" s="49">
        <f>SUM(V1209:V1213)</f>
        <v>0</v>
      </c>
      <c r="W1208" s="49">
        <f>SUM(W1209:W1213)</f>
        <v>0</v>
      </c>
      <c r="X1208" s="49">
        <f>SUM(X1209:X1213)</f>
        <v>0</v>
      </c>
      <c r="Y1208" s="49">
        <f>SUM(Y1209:Y1213)</f>
        <v>0</v>
      </c>
      <c r="Z1208" s="49">
        <f>SUM(Z1209:Z1213)</f>
        <v>0</v>
      </c>
      <c r="AA1208" s="49">
        <f>SUM(AA1209:AA1213)</f>
        <v>0</v>
      </c>
      <c r="AB1208" s="49">
        <f>SUM(AB1209:AB1213)</f>
        <v>0</v>
      </c>
    </row>
    <row r="1209" spans="1:28" hidden="1" outlineLevel="1" x14ac:dyDescent="0.3">
      <c r="A1209" s="33" t="s">
        <v>246</v>
      </c>
      <c r="B1209" s="34" t="s">
        <v>274</v>
      </c>
      <c r="C1209" s="50">
        <f>SUMIFS(INDEX(Техника!$F$1:$ABM$500,C$2,0),Техника!$F$4:$ABM$4,"Часы",INDEX(Техника!$G$1:$ABN$500,C$2,0),$A$1208,INDEX(Техника!$H$1:$ABO$500,C$2,0),"М")</f>
        <v>0</v>
      </c>
      <c r="D1209" s="50">
        <f>SUMIFS(INDEX(Техника!$F$1:$ABM$500,D$2,0),Техника!$F$4:$ABM$4,"Часы",INDEX(Техника!$G$1:$ABN$500,D$2,0),$A$1208,INDEX(Техника!$H$1:$ABO$500,D$2,0),"М")</f>
        <v>0</v>
      </c>
      <c r="E1209" s="50">
        <f>SUMIFS(INDEX(Техника!$F$1:$ABM$500,E$2,0),Техника!$F$4:$ABM$4,"Часы",INDEX(Техника!$G$1:$ABN$500,E$2,0),$A$1208,INDEX(Техника!$H$1:$ABO$500,E$2,0),"М")</f>
        <v>0</v>
      </c>
      <c r="F1209" s="50">
        <f>SUMIFS(INDEX(Техника!$F$1:$ABM$500,F$2,0),Техника!$F$4:$ABM$4,"Часы",INDEX(Техника!$G$1:$ABN$500,F$2,0),$A$1208,INDEX(Техника!$H$1:$ABO$500,F$2,0),"М")</f>
        <v>0</v>
      </c>
      <c r="G1209" s="50">
        <f>SUMIFS(INDEX(Техника!$F$1:$ABM$500,G$2,0),Техника!$F$4:$ABM$4,"Часы",INDEX(Техника!$G$1:$ABN$500,G$2,0),$A$1208,INDEX(Техника!$H$1:$ABO$500,G$2,0),"М")</f>
        <v>0</v>
      </c>
      <c r="H1209" s="50">
        <f>SUMIFS(INDEX(Техника!$F$1:$ABM$500,H$2,0),Техника!$F$4:$ABM$4,"Часы",INDEX(Техника!$G$1:$ABN$500,H$2,0),$A$1208,INDEX(Техника!$H$1:$ABO$500,H$2,0),"М")</f>
        <v>0</v>
      </c>
      <c r="I1209" s="50">
        <f>SUMIFS(INDEX(Техника!$F$1:$ABM$500,I$2,0),Техника!$F$4:$ABM$4,"Часы",INDEX(Техника!$G$1:$ABN$500,I$2,0),$A$1208,INDEX(Техника!$H$1:$ABO$500,I$2,0),"М")</f>
        <v>0</v>
      </c>
      <c r="J1209" s="50">
        <f>SUMIFS(INDEX(Техника!$F$1:$ABM$500,J$2,0),Техника!$F$4:$ABM$4,"Часы",INDEX(Техника!$G$1:$ABN$500,J$2,0),$A$1208,INDEX(Техника!$H$1:$ABO$500,J$2,0),"М")</f>
        <v>0</v>
      </c>
      <c r="K1209" s="50">
        <f>SUMIFS(INDEX(Техника!$F$1:$ABM$500,K$2,0),Техника!$F$4:$ABM$4,"Часы",INDEX(Техника!$G$1:$ABN$500,K$2,0),$A$1208,INDEX(Техника!$H$1:$ABO$500,K$2,0),"М")</f>
        <v>0</v>
      </c>
      <c r="L1209" s="50">
        <f>SUMIFS(INDEX(Техника!$F$1:$ABM$500,L$2,0),Техника!$F$4:$ABM$4,"Часы",INDEX(Техника!$G$1:$ABN$500,L$2,0),$A$1208,INDEX(Техника!$H$1:$ABO$500,L$2,0),"М")</f>
        <v>0</v>
      </c>
      <c r="M1209" s="50">
        <f>SUMIFS(INDEX(Техника!$F$1:$ABM$500,M$2,0),Техника!$F$4:$ABM$4,"Часы",INDEX(Техника!$G$1:$ABN$500,M$2,0),$A$1208,INDEX(Техника!$H$1:$ABO$500,M$2,0),"М")</f>
        <v>0</v>
      </c>
      <c r="N1209" s="50">
        <f>SUMIFS(INDEX(Техника!$F$1:$ABM$500,N$2,0),Техника!$F$4:$ABM$4,"Часы",INDEX(Техника!$G$1:$ABN$500,N$2,0),$A$1208,INDEX(Техника!$H$1:$ABO$500,N$2,0),"М")</f>
        <v>0</v>
      </c>
      <c r="O1209" s="50">
        <f>SUMIFS(INDEX(Техника!$F$1:$ABM$500,O$2,0),Техника!$F$4:$ABM$4,"Часы",INDEX(Техника!$G$1:$ABN$500,O$2,0),$A$1208,INDEX(Техника!$H$1:$ABO$500,O$2,0),"М")</f>
        <v>0</v>
      </c>
      <c r="P1209" s="50">
        <f>SUMIFS(INDEX(Техника!$F$1:$ABM$500,P$2,0),Техника!$F$4:$ABM$4,"Часы",INDEX(Техника!$G$1:$ABN$500,P$2,0),$A$1208,INDEX(Техника!$H$1:$ABO$500,P$2,0),"М")</f>
        <v>0</v>
      </c>
      <c r="Q1209" s="50">
        <f>SUMIFS(INDEX(Техника!$F$1:$ABM$500,Q$2,0),Техника!$F$4:$ABM$4,"Часы",INDEX(Техника!$G$1:$ABN$500,Q$2,0),$A$1208,INDEX(Техника!$H$1:$ABO$500,Q$2,0),"М")</f>
        <v>0</v>
      </c>
      <c r="R1209" s="50">
        <f>SUMIFS(INDEX(Техника!$F$1:$ABM$500,R$2,0),Техника!$F$4:$ABM$4,"Часы",INDEX(Техника!$G$1:$ABN$500,R$2,0),$A$1208,INDEX(Техника!$H$1:$ABO$500,R$2,0),"М")</f>
        <v>0</v>
      </c>
      <c r="S1209" s="50">
        <f>SUMIFS(INDEX(Техника!$F$1:$ABM$500,S$2,0),Техника!$F$4:$ABM$4,"Часы",INDEX(Техника!$G$1:$ABN$500,S$2,0),$A$1208,INDEX(Техника!$H$1:$ABO$500,S$2,0),"М")</f>
        <v>0</v>
      </c>
      <c r="T1209" s="50">
        <f>SUMIFS(INDEX(Техника!$F$1:$ABM$500,T$2,0),Техника!$F$4:$ABM$4,"Часы",INDEX(Техника!$G$1:$ABN$500,T$2,0),$A$1208,INDEX(Техника!$H$1:$ABO$500,T$2,0),"М")</f>
        <v>0</v>
      </c>
      <c r="U1209" s="50">
        <f>SUMIFS(INDEX(Техника!$F$1:$ABM$500,U$2,0),Техника!$F$4:$ABM$4,"Часы",INDEX(Техника!$G$1:$ABN$500,U$2,0),$A$1208,INDEX(Техника!$H$1:$ABO$500,U$2,0),"М")</f>
        <v>0</v>
      </c>
      <c r="V1209" s="50">
        <f>SUMIFS(INDEX(Техника!$F$1:$ABM$500,V$2,0),Техника!$F$4:$ABM$4,"Часы",INDEX(Техника!$G$1:$ABN$500,V$2,0),$A$1208,INDEX(Техника!$H$1:$ABO$500,V$2,0),"М")</f>
        <v>0</v>
      </c>
      <c r="W1209" s="50">
        <f>SUMIFS(INDEX(Техника!$F$1:$ABM$500,W$2,0),Техника!$F$4:$ABM$4,"Часы",INDEX(Техника!$G$1:$ABN$500,W$2,0),$A$1208,INDEX(Техника!$H$1:$ABO$500,W$2,0),"М")</f>
        <v>0</v>
      </c>
      <c r="X1209" s="50">
        <f>SUMIFS(INDEX(Техника!$F$1:$ABM$500,X$2,0),Техника!$F$4:$ABM$4,"Часы",INDEX(Техника!$G$1:$ABN$500,X$2,0),$A$1208,INDEX(Техника!$H$1:$ABO$500,X$2,0),"М")</f>
        <v>0</v>
      </c>
      <c r="Y1209" s="50">
        <f>SUMIFS(INDEX(Техника!$F$1:$ABM$500,Y$2,0),Техника!$F$4:$ABM$4,"Часы",INDEX(Техника!$G$1:$ABN$500,Y$2,0),$A$1208,INDEX(Техника!$H$1:$ABO$500,Y$2,0),"М")</f>
        <v>0</v>
      </c>
      <c r="Z1209" s="50">
        <f>SUMIFS(INDEX(Техника!$F$1:$ABM$500,Z$2,0),Техника!$F$4:$ABM$4,"Часы",INDEX(Техника!$G$1:$ABN$500,Z$2,0),$A$1208,INDEX(Техника!$H$1:$ABO$500,Z$2,0),"М")</f>
        <v>0</v>
      </c>
      <c r="AA1209" s="50">
        <f>SUMIFS(INDEX(Техника!$F$1:$ABM$500,AA$2,0),Техника!$F$4:$ABM$4,"Часы",INDEX(Техника!$G$1:$ABN$500,AA$2,0),$A$1208,INDEX(Техника!$H$1:$ABO$500,AA$2,0),"М")</f>
        <v>0</v>
      </c>
      <c r="AB1209" s="50">
        <f>SUMIFS(INDEX(Техника!$F$1:$ABM$500,AB$2,0),Техника!$F$4:$ABM$4,"Часы",INDEX(Техника!$G$1:$ABN$500,AB$2,0),$A$1208,INDEX(Техника!$H$1:$ABO$500,AB$2,0),"М")</f>
        <v>0</v>
      </c>
    </row>
    <row r="1210" spans="1:28" hidden="1" outlineLevel="1" x14ac:dyDescent="0.3">
      <c r="A1210" s="33" t="s">
        <v>244</v>
      </c>
      <c r="B1210" s="34" t="s">
        <v>275</v>
      </c>
      <c r="C1210" s="50">
        <f>SUMIFS(INDEX(Техника!$F$1:$ABM$500,C$2,0),Техника!$F$4:$ABM$4,"Часы",INDEX(Техника!$G$1:$ABN$500,C$2,0),$A$1208,INDEX(Техника!$H$1:$ABO$500,C$2,0),"Д")</f>
        <v>0</v>
      </c>
      <c r="D1210" s="50">
        <f>SUMIFS(INDEX(Техника!$F$1:$ABM$500,D$2,0),Техника!$F$4:$ABM$4,"Часы",INDEX(Техника!$G$1:$ABN$500,D$2,0),$A$1208,INDEX(Техника!$H$1:$ABO$500,D$2,0),"Д")</f>
        <v>0</v>
      </c>
      <c r="E1210" s="50">
        <f>SUMIFS(INDEX(Техника!$F$1:$ABM$500,E$2,0),Техника!$F$4:$ABM$4,"Часы",INDEX(Техника!$G$1:$ABN$500,E$2,0),$A$1208,INDEX(Техника!$H$1:$ABO$500,E$2,0),"Д")</f>
        <v>0</v>
      </c>
      <c r="F1210" s="50">
        <f>SUMIFS(INDEX(Техника!$F$1:$ABM$500,F$2,0),Техника!$F$4:$ABM$4,"Часы",INDEX(Техника!$G$1:$ABN$500,F$2,0),$A$1208,INDEX(Техника!$H$1:$ABO$500,F$2,0),"Д")</f>
        <v>0</v>
      </c>
      <c r="G1210" s="50">
        <f>SUMIFS(INDEX(Техника!$F$1:$ABM$500,G$2,0),Техника!$F$4:$ABM$4,"Часы",INDEX(Техника!$G$1:$ABN$500,G$2,0),$A$1208,INDEX(Техника!$H$1:$ABO$500,G$2,0),"Д")</f>
        <v>0</v>
      </c>
      <c r="H1210" s="50">
        <f>SUMIFS(INDEX(Техника!$F$1:$ABM$500,H$2,0),Техника!$F$4:$ABM$4,"Часы",INDEX(Техника!$G$1:$ABN$500,H$2,0),$A$1208,INDEX(Техника!$H$1:$ABO$500,H$2,0),"Д")</f>
        <v>0</v>
      </c>
      <c r="I1210" s="50">
        <f>SUMIFS(INDEX(Техника!$F$1:$ABM$500,I$2,0),Техника!$F$4:$ABM$4,"Часы",INDEX(Техника!$G$1:$ABN$500,I$2,0),$A$1208,INDEX(Техника!$H$1:$ABO$500,I$2,0),"Д")</f>
        <v>0</v>
      </c>
      <c r="J1210" s="50">
        <f>SUMIFS(INDEX(Техника!$F$1:$ABM$500,J$2,0),Техника!$F$4:$ABM$4,"Часы",INDEX(Техника!$G$1:$ABN$500,J$2,0),$A$1208,INDEX(Техника!$H$1:$ABO$500,J$2,0),"Д")</f>
        <v>0</v>
      </c>
      <c r="K1210" s="50">
        <f>SUMIFS(INDEX(Техника!$F$1:$ABM$500,K$2,0),Техника!$F$4:$ABM$4,"Часы",INDEX(Техника!$G$1:$ABN$500,K$2,0),$A$1208,INDEX(Техника!$H$1:$ABO$500,K$2,0),"Д")</f>
        <v>0</v>
      </c>
      <c r="L1210" s="50">
        <f>SUMIFS(INDEX(Техника!$F$1:$ABM$500,L$2,0),Техника!$F$4:$ABM$4,"Часы",INDEX(Техника!$G$1:$ABN$500,L$2,0),$A$1208,INDEX(Техника!$H$1:$ABO$500,L$2,0),"Д")</f>
        <v>0</v>
      </c>
      <c r="M1210" s="50">
        <f>SUMIFS(INDEX(Техника!$F$1:$ABM$500,M$2,0),Техника!$F$4:$ABM$4,"Часы",INDEX(Техника!$G$1:$ABN$500,M$2,0),$A$1208,INDEX(Техника!$H$1:$ABO$500,M$2,0),"Д")</f>
        <v>0</v>
      </c>
      <c r="N1210" s="50">
        <f>SUMIFS(INDEX(Техника!$F$1:$ABM$500,N$2,0),Техника!$F$4:$ABM$4,"Часы",INDEX(Техника!$G$1:$ABN$500,N$2,0),$A$1208,INDEX(Техника!$H$1:$ABO$500,N$2,0),"Д")</f>
        <v>0</v>
      </c>
      <c r="O1210" s="50">
        <f>SUMIFS(INDEX(Техника!$F$1:$ABM$500,O$2,0),Техника!$F$4:$ABM$4,"Часы",INDEX(Техника!$G$1:$ABN$500,O$2,0),$A$1208,INDEX(Техника!$H$1:$ABO$500,O$2,0),"Д")</f>
        <v>0</v>
      </c>
      <c r="P1210" s="50">
        <f>SUMIFS(INDEX(Техника!$F$1:$ABM$500,P$2,0),Техника!$F$4:$ABM$4,"Часы",INDEX(Техника!$G$1:$ABN$500,P$2,0),$A$1208,INDEX(Техника!$H$1:$ABO$500,P$2,0),"Д")</f>
        <v>0</v>
      </c>
      <c r="Q1210" s="50">
        <f>SUMIFS(INDEX(Техника!$F$1:$ABM$500,Q$2,0),Техника!$F$4:$ABM$4,"Часы",INDEX(Техника!$G$1:$ABN$500,Q$2,0),$A$1208,INDEX(Техника!$H$1:$ABO$500,Q$2,0),"Д")</f>
        <v>0</v>
      </c>
      <c r="R1210" s="50">
        <f>SUMIFS(INDEX(Техника!$F$1:$ABM$500,R$2,0),Техника!$F$4:$ABM$4,"Часы",INDEX(Техника!$G$1:$ABN$500,R$2,0),$A$1208,INDEX(Техника!$H$1:$ABO$500,R$2,0),"Д")</f>
        <v>0</v>
      </c>
      <c r="S1210" s="50">
        <f>SUMIFS(INDEX(Техника!$F$1:$ABM$500,S$2,0),Техника!$F$4:$ABM$4,"Часы",INDEX(Техника!$G$1:$ABN$500,S$2,0),$A$1208,INDEX(Техника!$H$1:$ABO$500,S$2,0),"Д")</f>
        <v>0</v>
      </c>
      <c r="T1210" s="50">
        <f>SUMIFS(INDEX(Техника!$F$1:$ABM$500,T$2,0),Техника!$F$4:$ABM$4,"Часы",INDEX(Техника!$G$1:$ABN$500,T$2,0),$A$1208,INDEX(Техника!$H$1:$ABO$500,T$2,0),"Д")</f>
        <v>0</v>
      </c>
      <c r="U1210" s="50">
        <f>SUMIFS(INDEX(Техника!$F$1:$ABM$500,U$2,0),Техника!$F$4:$ABM$4,"Часы",INDEX(Техника!$G$1:$ABN$500,U$2,0),$A$1208,INDEX(Техника!$H$1:$ABO$500,U$2,0),"Д")</f>
        <v>0</v>
      </c>
      <c r="V1210" s="50">
        <f>SUMIFS(INDEX(Техника!$F$1:$ABM$500,V$2,0),Техника!$F$4:$ABM$4,"Часы",INDEX(Техника!$G$1:$ABN$500,V$2,0),$A$1208,INDEX(Техника!$H$1:$ABO$500,V$2,0),"Д")</f>
        <v>0</v>
      </c>
      <c r="W1210" s="50">
        <f>SUMIFS(INDEX(Техника!$F$1:$ABM$500,W$2,0),Техника!$F$4:$ABM$4,"Часы",INDEX(Техника!$G$1:$ABN$500,W$2,0),$A$1208,INDEX(Техника!$H$1:$ABO$500,W$2,0),"Д")</f>
        <v>0</v>
      </c>
      <c r="X1210" s="50">
        <f>SUMIFS(INDEX(Техника!$F$1:$ABM$500,X$2,0),Техника!$F$4:$ABM$4,"Часы",INDEX(Техника!$G$1:$ABN$500,X$2,0),$A$1208,INDEX(Техника!$H$1:$ABO$500,X$2,0),"Д")</f>
        <v>0</v>
      </c>
      <c r="Y1210" s="50">
        <f>SUMIFS(INDEX(Техника!$F$1:$ABM$500,Y$2,0),Техника!$F$4:$ABM$4,"Часы",INDEX(Техника!$G$1:$ABN$500,Y$2,0),$A$1208,INDEX(Техника!$H$1:$ABO$500,Y$2,0),"Д")</f>
        <v>0</v>
      </c>
      <c r="Z1210" s="50">
        <f>SUMIFS(INDEX(Техника!$F$1:$ABM$500,Z$2,0),Техника!$F$4:$ABM$4,"Часы",INDEX(Техника!$G$1:$ABN$500,Z$2,0),$A$1208,INDEX(Техника!$H$1:$ABO$500,Z$2,0),"Д")</f>
        <v>0</v>
      </c>
      <c r="AA1210" s="50">
        <f>SUMIFS(INDEX(Техника!$F$1:$ABM$500,AA$2,0),Техника!$F$4:$ABM$4,"Часы",INDEX(Техника!$G$1:$ABN$500,AA$2,0),$A$1208,INDEX(Техника!$H$1:$ABO$500,AA$2,0),"Д")</f>
        <v>0</v>
      </c>
      <c r="AB1210" s="50">
        <f>SUMIFS(INDEX(Техника!$F$1:$ABM$500,AB$2,0),Техника!$F$4:$ABM$4,"Часы",INDEX(Техника!$G$1:$ABN$500,AB$2,0),$A$1208,INDEX(Техника!$H$1:$ABO$500,AB$2,0),"Д")</f>
        <v>0</v>
      </c>
    </row>
    <row r="1211" spans="1:28" hidden="1" outlineLevel="1" x14ac:dyDescent="0.3">
      <c r="A1211" s="33" t="s">
        <v>276</v>
      </c>
      <c r="B1211" s="34" t="s">
        <v>277</v>
      </c>
      <c r="C1211" s="50">
        <f>SUMIFS(INDEX(Техника!$F$1:$ABM$500,C$2,0),Техника!$F$4:$ABM$4,"Часы",INDEX(Техника!$G$1:$ABN$500,C$2,0),$A$1208,INDEX(Техника!$H$1:$ABO$500,C$2,0),"П")</f>
        <v>0</v>
      </c>
      <c r="D1211" s="50">
        <f>SUMIFS(INDEX(Техника!$F$1:$ABM$500,D$2,0),Техника!$F$4:$ABM$4,"Часы",INDEX(Техника!$G$1:$ABN$500,D$2,0),$A$1208,INDEX(Техника!$H$1:$ABO$500,D$2,0),"П")</f>
        <v>0</v>
      </c>
      <c r="E1211" s="50">
        <f>SUMIFS(INDEX(Техника!$F$1:$ABM$500,E$2,0),Техника!$F$4:$ABM$4,"Часы",INDEX(Техника!$G$1:$ABN$500,E$2,0),$A$1208,INDEX(Техника!$H$1:$ABO$500,E$2,0),"П")</f>
        <v>0</v>
      </c>
      <c r="F1211" s="50">
        <f>SUMIFS(INDEX(Техника!$F$1:$ABM$500,F$2,0),Техника!$F$4:$ABM$4,"Часы",INDEX(Техника!$G$1:$ABN$500,F$2,0),$A$1208,INDEX(Техника!$H$1:$ABO$500,F$2,0),"П")</f>
        <v>0</v>
      </c>
      <c r="G1211" s="50">
        <f>SUMIFS(INDEX(Техника!$F$1:$ABM$500,G$2,0),Техника!$F$4:$ABM$4,"Часы",INDEX(Техника!$G$1:$ABN$500,G$2,0),$A$1208,INDEX(Техника!$H$1:$ABO$500,G$2,0),"П")</f>
        <v>0</v>
      </c>
      <c r="H1211" s="50">
        <f>SUMIFS(INDEX(Техника!$F$1:$ABM$500,H$2,0),Техника!$F$4:$ABM$4,"Часы",INDEX(Техника!$G$1:$ABN$500,H$2,0),$A$1208,INDEX(Техника!$H$1:$ABO$500,H$2,0),"П")</f>
        <v>0</v>
      </c>
      <c r="I1211" s="50">
        <f>SUMIFS(INDEX(Техника!$F$1:$ABM$500,I$2,0),Техника!$F$4:$ABM$4,"Часы",INDEX(Техника!$G$1:$ABN$500,I$2,0),$A$1208,INDEX(Техника!$H$1:$ABO$500,I$2,0),"П")</f>
        <v>0</v>
      </c>
      <c r="J1211" s="50">
        <f>SUMIFS(INDEX(Техника!$F$1:$ABM$500,J$2,0),Техника!$F$4:$ABM$4,"Часы",INDEX(Техника!$G$1:$ABN$500,J$2,0),$A$1208,INDEX(Техника!$H$1:$ABO$500,J$2,0),"П")</f>
        <v>0</v>
      </c>
      <c r="K1211" s="50">
        <f>SUMIFS(INDEX(Техника!$F$1:$ABM$500,K$2,0),Техника!$F$4:$ABM$4,"Часы",INDEX(Техника!$G$1:$ABN$500,K$2,0),$A$1208,INDEX(Техника!$H$1:$ABO$500,K$2,0),"П")</f>
        <v>0</v>
      </c>
      <c r="L1211" s="50">
        <f>SUMIFS(INDEX(Техника!$F$1:$ABM$500,L$2,0),Техника!$F$4:$ABM$4,"Часы",INDEX(Техника!$G$1:$ABN$500,L$2,0),$A$1208,INDEX(Техника!$H$1:$ABO$500,L$2,0),"П")</f>
        <v>0</v>
      </c>
      <c r="M1211" s="50">
        <f>SUMIFS(INDEX(Техника!$F$1:$ABM$500,M$2,0),Техника!$F$4:$ABM$4,"Часы",INDEX(Техника!$G$1:$ABN$500,M$2,0),$A$1208,INDEX(Техника!$H$1:$ABO$500,M$2,0),"П")</f>
        <v>0</v>
      </c>
      <c r="N1211" s="50">
        <f>SUMIFS(INDEX(Техника!$F$1:$ABM$500,N$2,0),Техника!$F$4:$ABM$4,"Часы",INDEX(Техника!$G$1:$ABN$500,N$2,0),$A$1208,INDEX(Техника!$H$1:$ABO$500,N$2,0),"П")</f>
        <v>0</v>
      </c>
      <c r="O1211" s="50">
        <f>SUMIFS(INDEX(Техника!$F$1:$ABM$500,O$2,0),Техника!$F$4:$ABM$4,"Часы",INDEX(Техника!$G$1:$ABN$500,O$2,0),$A$1208,INDEX(Техника!$H$1:$ABO$500,O$2,0),"П")</f>
        <v>0</v>
      </c>
      <c r="P1211" s="50">
        <f>SUMIFS(INDEX(Техника!$F$1:$ABM$500,P$2,0),Техника!$F$4:$ABM$4,"Часы",INDEX(Техника!$G$1:$ABN$500,P$2,0),$A$1208,INDEX(Техника!$H$1:$ABO$500,P$2,0),"П")</f>
        <v>0</v>
      </c>
      <c r="Q1211" s="50">
        <f>SUMIFS(INDEX(Техника!$F$1:$ABM$500,Q$2,0),Техника!$F$4:$ABM$4,"Часы",INDEX(Техника!$G$1:$ABN$500,Q$2,0),$A$1208,INDEX(Техника!$H$1:$ABO$500,Q$2,0),"П")</f>
        <v>0</v>
      </c>
      <c r="R1211" s="50">
        <f>SUMIFS(INDEX(Техника!$F$1:$ABM$500,R$2,0),Техника!$F$4:$ABM$4,"Часы",INDEX(Техника!$G$1:$ABN$500,R$2,0),$A$1208,INDEX(Техника!$H$1:$ABO$500,R$2,0),"П")</f>
        <v>0</v>
      </c>
      <c r="S1211" s="50">
        <f>SUMIFS(INDEX(Техника!$F$1:$ABM$500,S$2,0),Техника!$F$4:$ABM$4,"Часы",INDEX(Техника!$G$1:$ABN$500,S$2,0),$A$1208,INDEX(Техника!$H$1:$ABO$500,S$2,0),"П")</f>
        <v>0</v>
      </c>
      <c r="T1211" s="50">
        <f>SUMIFS(INDEX(Техника!$F$1:$ABM$500,T$2,0),Техника!$F$4:$ABM$4,"Часы",INDEX(Техника!$G$1:$ABN$500,T$2,0),$A$1208,INDEX(Техника!$H$1:$ABO$500,T$2,0),"П")</f>
        <v>0</v>
      </c>
      <c r="U1211" s="50">
        <f>SUMIFS(INDEX(Техника!$F$1:$ABM$500,U$2,0),Техника!$F$4:$ABM$4,"Часы",INDEX(Техника!$G$1:$ABN$500,U$2,0),$A$1208,INDEX(Техника!$H$1:$ABO$500,U$2,0),"П")</f>
        <v>0</v>
      </c>
      <c r="V1211" s="50">
        <f>SUMIFS(INDEX(Техника!$F$1:$ABM$500,V$2,0),Техника!$F$4:$ABM$4,"Часы",INDEX(Техника!$G$1:$ABN$500,V$2,0),$A$1208,INDEX(Техника!$H$1:$ABO$500,V$2,0),"П")</f>
        <v>0</v>
      </c>
      <c r="W1211" s="50">
        <f>SUMIFS(INDEX(Техника!$F$1:$ABM$500,W$2,0),Техника!$F$4:$ABM$4,"Часы",INDEX(Техника!$G$1:$ABN$500,W$2,0),$A$1208,INDEX(Техника!$H$1:$ABO$500,W$2,0),"П")</f>
        <v>0</v>
      </c>
      <c r="X1211" s="50">
        <f>SUMIFS(INDEX(Техника!$F$1:$ABM$500,X$2,0),Техника!$F$4:$ABM$4,"Часы",INDEX(Техника!$G$1:$ABN$500,X$2,0),$A$1208,INDEX(Техника!$H$1:$ABO$500,X$2,0),"П")</f>
        <v>0</v>
      </c>
      <c r="Y1211" s="50">
        <f>SUMIFS(INDEX(Техника!$F$1:$ABM$500,Y$2,0),Техника!$F$4:$ABM$4,"Часы",INDEX(Техника!$G$1:$ABN$500,Y$2,0),$A$1208,INDEX(Техника!$H$1:$ABO$500,Y$2,0),"П")</f>
        <v>0</v>
      </c>
      <c r="Z1211" s="50">
        <f>SUMIFS(INDEX(Техника!$F$1:$ABM$500,Z$2,0),Техника!$F$4:$ABM$4,"Часы",INDEX(Техника!$G$1:$ABN$500,Z$2,0),$A$1208,INDEX(Техника!$H$1:$ABO$500,Z$2,0),"П")</f>
        <v>0</v>
      </c>
      <c r="AA1211" s="50">
        <f>SUMIFS(INDEX(Техника!$F$1:$ABM$500,AA$2,0),Техника!$F$4:$ABM$4,"Часы",INDEX(Техника!$G$1:$ABN$500,AA$2,0),$A$1208,INDEX(Техника!$H$1:$ABO$500,AA$2,0),"П")</f>
        <v>0</v>
      </c>
      <c r="AB1211" s="50">
        <f>SUMIFS(INDEX(Техника!$F$1:$ABM$500,AB$2,0),Техника!$F$4:$ABM$4,"Часы",INDEX(Техника!$G$1:$ABN$500,AB$2,0),$A$1208,INDEX(Техника!$H$1:$ABO$500,AB$2,0),"П")</f>
        <v>0</v>
      </c>
    </row>
    <row r="1212" spans="1:28" hidden="1" outlineLevel="1" x14ac:dyDescent="0.3">
      <c r="A1212" s="33" t="s">
        <v>243</v>
      </c>
      <c r="B1212" s="34" t="s">
        <v>278</v>
      </c>
      <c r="C1212" s="50">
        <f>SUMIFS(INDEX(Техника!$F$1:$ABM$500,C$2,0),Техника!$F$4:$ABM$4,"Часы",INDEX(Техника!$G$1:$ABN$500,C$2,0),$A$1208,INDEX(Техника!$H$1:$ABO$500,C$2,0),"Л")</f>
        <v>0</v>
      </c>
      <c r="D1212" s="50">
        <f>SUMIFS(INDEX(Техника!$F$1:$ABM$500,D$2,0),Техника!$F$4:$ABM$4,"Часы",INDEX(Техника!$G$1:$ABN$500,D$2,0),$A$1208,INDEX(Техника!$H$1:$ABO$500,D$2,0),"Л")</f>
        <v>0</v>
      </c>
      <c r="E1212" s="50">
        <f>SUMIFS(INDEX(Техника!$F$1:$ABM$500,E$2,0),Техника!$F$4:$ABM$4,"Часы",INDEX(Техника!$G$1:$ABN$500,E$2,0),$A$1208,INDEX(Техника!$H$1:$ABO$500,E$2,0),"Л")</f>
        <v>0</v>
      </c>
      <c r="F1212" s="50">
        <f>SUMIFS(INDEX(Техника!$F$1:$ABM$500,F$2,0),Техника!$F$4:$ABM$4,"Часы",INDEX(Техника!$G$1:$ABN$500,F$2,0),$A$1208,INDEX(Техника!$H$1:$ABO$500,F$2,0),"Л")</f>
        <v>0</v>
      </c>
      <c r="G1212" s="50">
        <f>SUMIFS(INDEX(Техника!$F$1:$ABM$500,G$2,0),Техника!$F$4:$ABM$4,"Часы",INDEX(Техника!$G$1:$ABN$500,G$2,0),$A$1208,INDEX(Техника!$H$1:$ABO$500,G$2,0),"Л")</f>
        <v>0</v>
      </c>
      <c r="H1212" s="50">
        <f>SUMIFS(INDEX(Техника!$F$1:$ABM$500,H$2,0),Техника!$F$4:$ABM$4,"Часы",INDEX(Техника!$G$1:$ABN$500,H$2,0),$A$1208,INDEX(Техника!$H$1:$ABO$500,H$2,0),"Л")</f>
        <v>0</v>
      </c>
      <c r="I1212" s="50">
        <f>SUMIFS(INDEX(Техника!$F$1:$ABM$500,I$2,0),Техника!$F$4:$ABM$4,"Часы",INDEX(Техника!$G$1:$ABN$500,I$2,0),$A$1208,INDEX(Техника!$H$1:$ABO$500,I$2,0),"Л")</f>
        <v>0</v>
      </c>
      <c r="J1212" s="50">
        <f>SUMIFS(INDEX(Техника!$F$1:$ABM$500,J$2,0),Техника!$F$4:$ABM$4,"Часы",INDEX(Техника!$G$1:$ABN$500,J$2,0),$A$1208,INDEX(Техника!$H$1:$ABO$500,J$2,0),"Л")</f>
        <v>0</v>
      </c>
      <c r="K1212" s="50">
        <f>SUMIFS(INDEX(Техника!$F$1:$ABM$500,K$2,0),Техника!$F$4:$ABM$4,"Часы",INDEX(Техника!$G$1:$ABN$500,K$2,0),$A$1208,INDEX(Техника!$H$1:$ABO$500,K$2,0),"Л")</f>
        <v>0</v>
      </c>
      <c r="L1212" s="50">
        <f>SUMIFS(INDEX(Техника!$F$1:$ABM$500,L$2,0),Техника!$F$4:$ABM$4,"Часы",INDEX(Техника!$G$1:$ABN$500,L$2,0),$A$1208,INDEX(Техника!$H$1:$ABO$500,L$2,0),"Л")</f>
        <v>0</v>
      </c>
      <c r="M1212" s="50">
        <f>SUMIFS(INDEX(Техника!$F$1:$ABM$500,M$2,0),Техника!$F$4:$ABM$4,"Часы",INDEX(Техника!$G$1:$ABN$500,M$2,0),$A$1208,INDEX(Техника!$H$1:$ABO$500,M$2,0),"Л")</f>
        <v>0</v>
      </c>
      <c r="N1212" s="50">
        <f>SUMIFS(INDEX(Техника!$F$1:$ABM$500,N$2,0),Техника!$F$4:$ABM$4,"Часы",INDEX(Техника!$G$1:$ABN$500,N$2,0),$A$1208,INDEX(Техника!$H$1:$ABO$500,N$2,0),"Л")</f>
        <v>0</v>
      </c>
      <c r="O1212" s="50">
        <f>SUMIFS(INDEX(Техника!$F$1:$ABM$500,O$2,0),Техника!$F$4:$ABM$4,"Часы",INDEX(Техника!$G$1:$ABN$500,O$2,0),$A$1208,INDEX(Техника!$H$1:$ABO$500,O$2,0),"Л")</f>
        <v>0</v>
      </c>
      <c r="P1212" s="50">
        <f>SUMIFS(INDEX(Техника!$F$1:$ABM$500,P$2,0),Техника!$F$4:$ABM$4,"Часы",INDEX(Техника!$G$1:$ABN$500,P$2,0),$A$1208,INDEX(Техника!$H$1:$ABO$500,P$2,0),"Л")</f>
        <v>0</v>
      </c>
      <c r="Q1212" s="50">
        <f>SUMIFS(INDEX(Техника!$F$1:$ABM$500,Q$2,0),Техника!$F$4:$ABM$4,"Часы",INDEX(Техника!$G$1:$ABN$500,Q$2,0),$A$1208,INDEX(Техника!$H$1:$ABO$500,Q$2,0),"Л")</f>
        <v>0</v>
      </c>
      <c r="R1212" s="50">
        <f>SUMIFS(INDEX(Техника!$F$1:$ABM$500,R$2,0),Техника!$F$4:$ABM$4,"Часы",INDEX(Техника!$G$1:$ABN$500,R$2,0),$A$1208,INDEX(Техника!$H$1:$ABO$500,R$2,0),"Л")</f>
        <v>0</v>
      </c>
      <c r="S1212" s="50">
        <f>SUMIFS(INDEX(Техника!$F$1:$ABM$500,S$2,0),Техника!$F$4:$ABM$4,"Часы",INDEX(Техника!$G$1:$ABN$500,S$2,0),$A$1208,INDEX(Техника!$H$1:$ABO$500,S$2,0),"Л")</f>
        <v>0</v>
      </c>
      <c r="T1212" s="50">
        <f>SUMIFS(INDEX(Техника!$F$1:$ABM$500,T$2,0),Техника!$F$4:$ABM$4,"Часы",INDEX(Техника!$G$1:$ABN$500,T$2,0),$A$1208,INDEX(Техника!$H$1:$ABO$500,T$2,0),"Л")</f>
        <v>0</v>
      </c>
      <c r="U1212" s="50">
        <f>SUMIFS(INDEX(Техника!$F$1:$ABM$500,U$2,0),Техника!$F$4:$ABM$4,"Часы",INDEX(Техника!$G$1:$ABN$500,U$2,0),$A$1208,INDEX(Техника!$H$1:$ABO$500,U$2,0),"Л")</f>
        <v>0</v>
      </c>
      <c r="V1212" s="50">
        <f>SUMIFS(INDEX(Техника!$F$1:$ABM$500,V$2,0),Техника!$F$4:$ABM$4,"Часы",INDEX(Техника!$G$1:$ABN$500,V$2,0),$A$1208,INDEX(Техника!$H$1:$ABO$500,V$2,0),"Л")</f>
        <v>0</v>
      </c>
      <c r="W1212" s="50">
        <f>SUMIFS(INDEX(Техника!$F$1:$ABM$500,W$2,0),Техника!$F$4:$ABM$4,"Часы",INDEX(Техника!$G$1:$ABN$500,W$2,0),$A$1208,INDEX(Техника!$H$1:$ABO$500,W$2,0),"Л")</f>
        <v>0</v>
      </c>
      <c r="X1212" s="50">
        <f>SUMIFS(INDEX(Техника!$F$1:$ABM$500,X$2,0),Техника!$F$4:$ABM$4,"Часы",INDEX(Техника!$G$1:$ABN$500,X$2,0),$A$1208,INDEX(Техника!$H$1:$ABO$500,X$2,0),"Л")</f>
        <v>0</v>
      </c>
      <c r="Y1212" s="50">
        <f>SUMIFS(INDEX(Техника!$F$1:$ABM$500,Y$2,0),Техника!$F$4:$ABM$4,"Часы",INDEX(Техника!$G$1:$ABN$500,Y$2,0),$A$1208,INDEX(Техника!$H$1:$ABO$500,Y$2,0),"Л")</f>
        <v>0</v>
      </c>
      <c r="Z1212" s="50">
        <f>SUMIFS(INDEX(Техника!$F$1:$ABM$500,Z$2,0),Техника!$F$4:$ABM$4,"Часы",INDEX(Техника!$G$1:$ABN$500,Z$2,0),$A$1208,INDEX(Техника!$H$1:$ABO$500,Z$2,0),"Л")</f>
        <v>0</v>
      </c>
      <c r="AA1212" s="50">
        <f>SUMIFS(INDEX(Техника!$F$1:$ABM$500,AA$2,0),Техника!$F$4:$ABM$4,"Часы",INDEX(Техника!$G$1:$ABN$500,AA$2,0),$A$1208,INDEX(Техника!$H$1:$ABO$500,AA$2,0),"Л")</f>
        <v>0</v>
      </c>
      <c r="AB1212" s="50">
        <f>SUMIFS(INDEX(Техника!$F$1:$ABM$500,AB$2,0),Техника!$F$4:$ABM$4,"Часы",INDEX(Техника!$G$1:$ABN$500,AB$2,0),$A$1208,INDEX(Техника!$H$1:$ABO$500,AB$2,0),"Л")</f>
        <v>0</v>
      </c>
    </row>
    <row r="1213" spans="1:28" hidden="1" outlineLevel="1" x14ac:dyDescent="0.3">
      <c r="A1213" s="33" t="s">
        <v>245</v>
      </c>
      <c r="B1213" s="34" t="s">
        <v>279</v>
      </c>
      <c r="C1213" s="50">
        <f>SUMIFS(INDEX(Техника!$F$1:$ABM$500,C$2,0),Техника!$F$4:$ABM$4,"Часы",INDEX(Техника!$G$1:$ABN$500,C$2,0),$A$1208,INDEX(Техника!$H$1:$ABO$500,C$2,0),"З")</f>
        <v>0</v>
      </c>
      <c r="D1213" s="50">
        <f>SUMIFS(INDEX(Техника!$F$1:$ABM$500,D$2,0),Техника!$F$4:$ABM$4,"Часы",INDEX(Техника!$G$1:$ABN$500,D$2,0),$A$1208,INDEX(Техника!$H$1:$ABO$500,D$2,0),"З")</f>
        <v>0</v>
      </c>
      <c r="E1213" s="50">
        <f>SUMIFS(INDEX(Техника!$F$1:$ABM$500,E$2,0),Техника!$F$4:$ABM$4,"Часы",INDEX(Техника!$G$1:$ABN$500,E$2,0),$A$1208,INDEX(Техника!$H$1:$ABO$500,E$2,0),"З")</f>
        <v>0</v>
      </c>
      <c r="F1213" s="50">
        <f>SUMIFS(INDEX(Техника!$F$1:$ABM$500,F$2,0),Техника!$F$4:$ABM$4,"Часы",INDEX(Техника!$G$1:$ABN$500,F$2,0),$A$1208,INDEX(Техника!$H$1:$ABO$500,F$2,0),"З")</f>
        <v>0</v>
      </c>
      <c r="G1213" s="50">
        <f>SUMIFS(INDEX(Техника!$F$1:$ABM$500,G$2,0),Техника!$F$4:$ABM$4,"Часы",INDEX(Техника!$G$1:$ABN$500,G$2,0),$A$1208,INDEX(Техника!$H$1:$ABO$500,G$2,0),"З")</f>
        <v>0</v>
      </c>
      <c r="H1213" s="50">
        <f>SUMIFS(INDEX(Техника!$F$1:$ABM$500,H$2,0),Техника!$F$4:$ABM$4,"Часы",INDEX(Техника!$G$1:$ABN$500,H$2,0),$A$1208,INDEX(Техника!$H$1:$ABO$500,H$2,0),"З")</f>
        <v>0</v>
      </c>
      <c r="I1213" s="50">
        <f>SUMIFS(INDEX(Техника!$F$1:$ABM$500,I$2,0),Техника!$F$4:$ABM$4,"Часы",INDEX(Техника!$G$1:$ABN$500,I$2,0),$A$1208,INDEX(Техника!$H$1:$ABO$500,I$2,0),"З")</f>
        <v>0</v>
      </c>
      <c r="J1213" s="50">
        <f>SUMIFS(INDEX(Техника!$F$1:$ABM$500,J$2,0),Техника!$F$4:$ABM$4,"Часы",INDEX(Техника!$G$1:$ABN$500,J$2,0),$A$1208,INDEX(Техника!$H$1:$ABO$500,J$2,0),"З")</f>
        <v>0</v>
      </c>
      <c r="K1213" s="50">
        <f>SUMIFS(INDEX(Техника!$F$1:$ABM$500,K$2,0),Техника!$F$4:$ABM$4,"Часы",INDEX(Техника!$G$1:$ABN$500,K$2,0),$A$1208,INDEX(Техника!$H$1:$ABO$500,K$2,0),"З")</f>
        <v>0</v>
      </c>
      <c r="L1213" s="50">
        <f>SUMIFS(INDEX(Техника!$F$1:$ABM$500,L$2,0),Техника!$F$4:$ABM$4,"Часы",INDEX(Техника!$G$1:$ABN$500,L$2,0),$A$1208,INDEX(Техника!$H$1:$ABO$500,L$2,0),"З")</f>
        <v>0</v>
      </c>
      <c r="M1213" s="50">
        <f>SUMIFS(INDEX(Техника!$F$1:$ABM$500,M$2,0),Техника!$F$4:$ABM$4,"Часы",INDEX(Техника!$G$1:$ABN$500,M$2,0),$A$1208,INDEX(Техника!$H$1:$ABO$500,M$2,0),"З")</f>
        <v>0</v>
      </c>
      <c r="N1213" s="50">
        <f>SUMIFS(INDEX(Техника!$F$1:$ABM$500,N$2,0),Техника!$F$4:$ABM$4,"Часы",INDEX(Техника!$G$1:$ABN$500,N$2,0),$A$1208,INDEX(Техника!$H$1:$ABO$500,N$2,0),"З")</f>
        <v>0</v>
      </c>
      <c r="O1213" s="50">
        <f>SUMIFS(INDEX(Техника!$F$1:$ABM$500,O$2,0),Техника!$F$4:$ABM$4,"Часы",INDEX(Техника!$G$1:$ABN$500,O$2,0),$A$1208,INDEX(Техника!$H$1:$ABO$500,O$2,0),"З")</f>
        <v>0</v>
      </c>
      <c r="P1213" s="50">
        <f>SUMIFS(INDEX(Техника!$F$1:$ABM$500,P$2,0),Техника!$F$4:$ABM$4,"Часы",INDEX(Техника!$G$1:$ABN$500,P$2,0),$A$1208,INDEX(Техника!$H$1:$ABO$500,P$2,0),"З")</f>
        <v>0</v>
      </c>
      <c r="Q1213" s="50">
        <f>SUMIFS(INDEX(Техника!$F$1:$ABM$500,Q$2,0),Техника!$F$4:$ABM$4,"Часы",INDEX(Техника!$G$1:$ABN$500,Q$2,0),$A$1208,INDEX(Техника!$H$1:$ABO$500,Q$2,0),"З")</f>
        <v>0</v>
      </c>
      <c r="R1213" s="50">
        <f>SUMIFS(INDEX(Техника!$F$1:$ABM$500,R$2,0),Техника!$F$4:$ABM$4,"Часы",INDEX(Техника!$G$1:$ABN$500,R$2,0),$A$1208,INDEX(Техника!$H$1:$ABO$500,R$2,0),"З")</f>
        <v>0</v>
      </c>
      <c r="S1213" s="50">
        <f>SUMIFS(INDEX(Техника!$F$1:$ABM$500,S$2,0),Техника!$F$4:$ABM$4,"Часы",INDEX(Техника!$G$1:$ABN$500,S$2,0),$A$1208,INDEX(Техника!$H$1:$ABO$500,S$2,0),"З")</f>
        <v>0</v>
      </c>
      <c r="T1213" s="50">
        <f>SUMIFS(INDEX(Техника!$F$1:$ABM$500,T$2,0),Техника!$F$4:$ABM$4,"Часы",INDEX(Техника!$G$1:$ABN$500,T$2,0),$A$1208,INDEX(Техника!$H$1:$ABO$500,T$2,0),"З")</f>
        <v>0</v>
      </c>
      <c r="U1213" s="50">
        <f>SUMIFS(INDEX(Техника!$F$1:$ABM$500,U$2,0),Техника!$F$4:$ABM$4,"Часы",INDEX(Техника!$G$1:$ABN$500,U$2,0),$A$1208,INDEX(Техника!$H$1:$ABO$500,U$2,0),"З")</f>
        <v>0</v>
      </c>
      <c r="V1213" s="50">
        <f>SUMIFS(INDEX(Техника!$F$1:$ABM$500,V$2,0),Техника!$F$4:$ABM$4,"Часы",INDEX(Техника!$G$1:$ABN$500,V$2,0),$A$1208,INDEX(Техника!$H$1:$ABO$500,V$2,0),"З")</f>
        <v>0</v>
      </c>
      <c r="W1213" s="50">
        <f>SUMIFS(INDEX(Техника!$F$1:$ABM$500,W$2,0),Техника!$F$4:$ABM$4,"Часы",INDEX(Техника!$G$1:$ABN$500,W$2,0),$A$1208,INDEX(Техника!$H$1:$ABO$500,W$2,0),"З")</f>
        <v>0</v>
      </c>
      <c r="X1213" s="50">
        <f>SUMIFS(INDEX(Техника!$F$1:$ABM$500,X$2,0),Техника!$F$4:$ABM$4,"Часы",INDEX(Техника!$G$1:$ABN$500,X$2,0),$A$1208,INDEX(Техника!$H$1:$ABO$500,X$2,0),"З")</f>
        <v>0</v>
      </c>
      <c r="Y1213" s="50">
        <f>SUMIFS(INDEX(Техника!$F$1:$ABM$500,Y$2,0),Техника!$F$4:$ABM$4,"Часы",INDEX(Техника!$G$1:$ABN$500,Y$2,0),$A$1208,INDEX(Техника!$H$1:$ABO$500,Y$2,0),"З")</f>
        <v>0</v>
      </c>
      <c r="Z1213" s="50">
        <f>SUMIFS(INDEX(Техника!$F$1:$ABM$500,Z$2,0),Техника!$F$4:$ABM$4,"Часы",INDEX(Техника!$G$1:$ABN$500,Z$2,0),$A$1208,INDEX(Техника!$H$1:$ABO$500,Z$2,0),"З")</f>
        <v>0</v>
      </c>
      <c r="AA1213" s="50">
        <f>SUMIFS(INDEX(Техника!$F$1:$ABM$500,AA$2,0),Техника!$F$4:$ABM$4,"Часы",INDEX(Техника!$G$1:$ABN$500,AA$2,0),$A$1208,INDEX(Техника!$H$1:$ABO$500,AA$2,0),"З")</f>
        <v>0</v>
      </c>
      <c r="AB1213" s="50">
        <f>SUMIFS(INDEX(Техника!$F$1:$ABM$500,AB$2,0),Техника!$F$4:$ABM$4,"Часы",INDEX(Техника!$G$1:$ABN$500,AB$2,0),$A$1208,INDEX(Техника!$H$1:$ABO$500,AB$2,0),"З")</f>
        <v>0</v>
      </c>
    </row>
    <row r="1214" spans="1:28" ht="7.95" customHeight="1" x14ac:dyDescent="0.3">
      <c r="A1214" s="38"/>
      <c r="B1214" s="39"/>
      <c r="C1214" s="51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1"/>
      <c r="Z1214" s="51"/>
      <c r="AA1214" s="51"/>
      <c r="AB1214" s="51"/>
    </row>
    <row r="1215" spans="1:28" ht="25.05" customHeight="1" collapsed="1" x14ac:dyDescent="0.3">
      <c r="A1215" s="32">
        <v>174</v>
      </c>
      <c r="B1215" s="32" t="s">
        <v>175</v>
      </c>
      <c r="C1215" s="49">
        <f>SUM(C1216:C1220)</f>
        <v>0</v>
      </c>
      <c r="D1215" s="49">
        <f>SUM(D1216:D1220)</f>
        <v>0</v>
      </c>
      <c r="E1215" s="49">
        <f>SUM(E1216:E1220)</f>
        <v>0</v>
      </c>
      <c r="F1215" s="49">
        <f>SUM(F1216:F1220)</f>
        <v>0</v>
      </c>
      <c r="G1215" s="49">
        <f>SUM(G1216:G1220)</f>
        <v>0</v>
      </c>
      <c r="H1215" s="49">
        <f>SUM(H1216:H1220)</f>
        <v>0</v>
      </c>
      <c r="I1215" s="49">
        <f>SUM(I1216:I1220)</f>
        <v>0</v>
      </c>
      <c r="J1215" s="49">
        <f>SUM(J1216:J1220)</f>
        <v>0</v>
      </c>
      <c r="K1215" s="49">
        <f>SUM(K1216:K1220)</f>
        <v>0</v>
      </c>
      <c r="L1215" s="49">
        <f>SUM(L1216:L1220)</f>
        <v>0</v>
      </c>
      <c r="M1215" s="49">
        <f>SUM(M1216:M1220)</f>
        <v>0</v>
      </c>
      <c r="N1215" s="49">
        <f>SUM(N1216:N1220)</f>
        <v>0</v>
      </c>
      <c r="O1215" s="49">
        <f>SUM(O1216:O1220)</f>
        <v>0</v>
      </c>
      <c r="P1215" s="49">
        <f>SUM(P1216:P1220)</f>
        <v>0</v>
      </c>
      <c r="Q1215" s="49">
        <f>SUM(Q1216:Q1220)</f>
        <v>0</v>
      </c>
      <c r="R1215" s="49">
        <f>SUM(R1216:R1220)</f>
        <v>0</v>
      </c>
      <c r="S1215" s="49">
        <f>SUM(S1216:S1220)</f>
        <v>0</v>
      </c>
      <c r="T1215" s="49">
        <f>SUM(T1216:T1220)</f>
        <v>0</v>
      </c>
      <c r="U1215" s="49">
        <f>SUM(U1216:U1220)</f>
        <v>0</v>
      </c>
      <c r="V1215" s="49">
        <f>SUM(V1216:V1220)</f>
        <v>0</v>
      </c>
      <c r="W1215" s="49">
        <f>SUM(W1216:W1220)</f>
        <v>0</v>
      </c>
      <c r="X1215" s="49">
        <f>SUM(X1216:X1220)</f>
        <v>0</v>
      </c>
      <c r="Y1215" s="49">
        <f>SUM(Y1216:Y1220)</f>
        <v>0</v>
      </c>
      <c r="Z1215" s="49">
        <f>SUM(Z1216:Z1220)</f>
        <v>0</v>
      </c>
      <c r="AA1215" s="49">
        <f>SUM(AA1216:AA1220)</f>
        <v>0</v>
      </c>
      <c r="AB1215" s="49">
        <f>SUM(AB1216:AB1220)</f>
        <v>0</v>
      </c>
    </row>
    <row r="1216" spans="1:28" hidden="1" outlineLevel="1" x14ac:dyDescent="0.3">
      <c r="A1216" s="33" t="s">
        <v>246</v>
      </c>
      <c r="B1216" s="34" t="s">
        <v>274</v>
      </c>
      <c r="C1216" s="50">
        <f>SUMIFS(INDEX(Техника!$F$1:$ABM$500,C$2,0),Техника!$F$4:$ABM$4,"Часы",INDEX(Техника!$G$1:$ABN$500,C$2,0),$A$1215,INDEX(Техника!$H$1:$ABO$500,C$2,0),"М")</f>
        <v>0</v>
      </c>
      <c r="D1216" s="50">
        <f>SUMIFS(INDEX(Техника!$F$1:$ABM$500,D$2,0),Техника!$F$4:$ABM$4,"Часы",INDEX(Техника!$G$1:$ABN$500,D$2,0),$A$1215,INDEX(Техника!$H$1:$ABO$500,D$2,0),"М")</f>
        <v>0</v>
      </c>
      <c r="E1216" s="50">
        <f>SUMIFS(INDEX(Техника!$F$1:$ABM$500,E$2,0),Техника!$F$4:$ABM$4,"Часы",INDEX(Техника!$G$1:$ABN$500,E$2,0),$A$1215,INDEX(Техника!$H$1:$ABO$500,E$2,0),"М")</f>
        <v>0</v>
      </c>
      <c r="F1216" s="50">
        <f>SUMIFS(INDEX(Техника!$F$1:$ABM$500,F$2,0),Техника!$F$4:$ABM$4,"Часы",INDEX(Техника!$G$1:$ABN$500,F$2,0),$A$1215,INDEX(Техника!$H$1:$ABO$500,F$2,0),"М")</f>
        <v>0</v>
      </c>
      <c r="G1216" s="50">
        <f>SUMIFS(INDEX(Техника!$F$1:$ABM$500,G$2,0),Техника!$F$4:$ABM$4,"Часы",INDEX(Техника!$G$1:$ABN$500,G$2,0),$A$1215,INDEX(Техника!$H$1:$ABO$500,G$2,0),"М")</f>
        <v>0</v>
      </c>
      <c r="H1216" s="50">
        <f>SUMIFS(INDEX(Техника!$F$1:$ABM$500,H$2,0),Техника!$F$4:$ABM$4,"Часы",INDEX(Техника!$G$1:$ABN$500,H$2,0),$A$1215,INDEX(Техника!$H$1:$ABO$500,H$2,0),"М")</f>
        <v>0</v>
      </c>
      <c r="I1216" s="50">
        <f>SUMIFS(INDEX(Техника!$F$1:$ABM$500,I$2,0),Техника!$F$4:$ABM$4,"Часы",INDEX(Техника!$G$1:$ABN$500,I$2,0),$A$1215,INDEX(Техника!$H$1:$ABO$500,I$2,0),"М")</f>
        <v>0</v>
      </c>
      <c r="J1216" s="50">
        <f>SUMIFS(INDEX(Техника!$F$1:$ABM$500,J$2,0),Техника!$F$4:$ABM$4,"Часы",INDEX(Техника!$G$1:$ABN$500,J$2,0),$A$1215,INDEX(Техника!$H$1:$ABO$500,J$2,0),"М")</f>
        <v>0</v>
      </c>
      <c r="K1216" s="50">
        <f>SUMIFS(INDEX(Техника!$F$1:$ABM$500,K$2,0),Техника!$F$4:$ABM$4,"Часы",INDEX(Техника!$G$1:$ABN$500,K$2,0),$A$1215,INDEX(Техника!$H$1:$ABO$500,K$2,0),"М")</f>
        <v>0</v>
      </c>
      <c r="L1216" s="50">
        <f>SUMIFS(INDEX(Техника!$F$1:$ABM$500,L$2,0),Техника!$F$4:$ABM$4,"Часы",INDEX(Техника!$G$1:$ABN$500,L$2,0),$A$1215,INDEX(Техника!$H$1:$ABO$500,L$2,0),"М")</f>
        <v>0</v>
      </c>
      <c r="M1216" s="50">
        <f>SUMIFS(INDEX(Техника!$F$1:$ABM$500,M$2,0),Техника!$F$4:$ABM$4,"Часы",INDEX(Техника!$G$1:$ABN$500,M$2,0),$A$1215,INDEX(Техника!$H$1:$ABO$500,M$2,0),"М")</f>
        <v>0</v>
      </c>
      <c r="N1216" s="50">
        <f>SUMIFS(INDEX(Техника!$F$1:$ABM$500,N$2,0),Техника!$F$4:$ABM$4,"Часы",INDEX(Техника!$G$1:$ABN$500,N$2,0),$A$1215,INDEX(Техника!$H$1:$ABO$500,N$2,0),"М")</f>
        <v>0</v>
      </c>
      <c r="O1216" s="50">
        <f>SUMIFS(INDEX(Техника!$F$1:$ABM$500,O$2,0),Техника!$F$4:$ABM$4,"Часы",INDEX(Техника!$G$1:$ABN$500,O$2,0),$A$1215,INDEX(Техника!$H$1:$ABO$500,O$2,0),"М")</f>
        <v>0</v>
      </c>
      <c r="P1216" s="50">
        <f>SUMIFS(INDEX(Техника!$F$1:$ABM$500,P$2,0),Техника!$F$4:$ABM$4,"Часы",INDEX(Техника!$G$1:$ABN$500,P$2,0),$A$1215,INDEX(Техника!$H$1:$ABO$500,P$2,0),"М")</f>
        <v>0</v>
      </c>
      <c r="Q1216" s="50">
        <f>SUMIFS(INDEX(Техника!$F$1:$ABM$500,Q$2,0),Техника!$F$4:$ABM$4,"Часы",INDEX(Техника!$G$1:$ABN$500,Q$2,0),$A$1215,INDEX(Техника!$H$1:$ABO$500,Q$2,0),"М")</f>
        <v>0</v>
      </c>
      <c r="R1216" s="50">
        <f>SUMIFS(INDEX(Техника!$F$1:$ABM$500,R$2,0),Техника!$F$4:$ABM$4,"Часы",INDEX(Техника!$G$1:$ABN$500,R$2,0),$A$1215,INDEX(Техника!$H$1:$ABO$500,R$2,0),"М")</f>
        <v>0</v>
      </c>
      <c r="S1216" s="50">
        <f>SUMIFS(INDEX(Техника!$F$1:$ABM$500,S$2,0),Техника!$F$4:$ABM$4,"Часы",INDEX(Техника!$G$1:$ABN$500,S$2,0),$A$1215,INDEX(Техника!$H$1:$ABO$500,S$2,0),"М")</f>
        <v>0</v>
      </c>
      <c r="T1216" s="50">
        <f>SUMIFS(INDEX(Техника!$F$1:$ABM$500,T$2,0),Техника!$F$4:$ABM$4,"Часы",INDEX(Техника!$G$1:$ABN$500,T$2,0),$A$1215,INDEX(Техника!$H$1:$ABO$500,T$2,0),"М")</f>
        <v>0</v>
      </c>
      <c r="U1216" s="50">
        <f>SUMIFS(INDEX(Техника!$F$1:$ABM$500,U$2,0),Техника!$F$4:$ABM$4,"Часы",INDEX(Техника!$G$1:$ABN$500,U$2,0),$A$1215,INDEX(Техника!$H$1:$ABO$500,U$2,0),"М")</f>
        <v>0</v>
      </c>
      <c r="V1216" s="50">
        <f>SUMIFS(INDEX(Техника!$F$1:$ABM$500,V$2,0),Техника!$F$4:$ABM$4,"Часы",INDEX(Техника!$G$1:$ABN$500,V$2,0),$A$1215,INDEX(Техника!$H$1:$ABO$500,V$2,0),"М")</f>
        <v>0</v>
      </c>
      <c r="W1216" s="50">
        <f>SUMIFS(INDEX(Техника!$F$1:$ABM$500,W$2,0),Техника!$F$4:$ABM$4,"Часы",INDEX(Техника!$G$1:$ABN$500,W$2,0),$A$1215,INDEX(Техника!$H$1:$ABO$500,W$2,0),"М")</f>
        <v>0</v>
      </c>
      <c r="X1216" s="50">
        <f>SUMIFS(INDEX(Техника!$F$1:$ABM$500,X$2,0),Техника!$F$4:$ABM$4,"Часы",INDEX(Техника!$G$1:$ABN$500,X$2,0),$A$1215,INDEX(Техника!$H$1:$ABO$500,X$2,0),"М")</f>
        <v>0</v>
      </c>
      <c r="Y1216" s="50">
        <f>SUMIFS(INDEX(Техника!$F$1:$ABM$500,Y$2,0),Техника!$F$4:$ABM$4,"Часы",INDEX(Техника!$G$1:$ABN$500,Y$2,0),$A$1215,INDEX(Техника!$H$1:$ABO$500,Y$2,0),"М")</f>
        <v>0</v>
      </c>
      <c r="Z1216" s="50">
        <f>SUMIFS(INDEX(Техника!$F$1:$ABM$500,Z$2,0),Техника!$F$4:$ABM$4,"Часы",INDEX(Техника!$G$1:$ABN$500,Z$2,0),$A$1215,INDEX(Техника!$H$1:$ABO$500,Z$2,0),"М")</f>
        <v>0</v>
      </c>
      <c r="AA1216" s="50">
        <f>SUMIFS(INDEX(Техника!$F$1:$ABM$500,AA$2,0),Техника!$F$4:$ABM$4,"Часы",INDEX(Техника!$G$1:$ABN$500,AA$2,0),$A$1215,INDEX(Техника!$H$1:$ABO$500,AA$2,0),"М")</f>
        <v>0</v>
      </c>
      <c r="AB1216" s="50">
        <f>SUMIFS(INDEX(Техника!$F$1:$ABM$500,AB$2,0),Техника!$F$4:$ABM$4,"Часы",INDEX(Техника!$G$1:$ABN$500,AB$2,0),$A$1215,INDEX(Техника!$H$1:$ABO$500,AB$2,0),"М")</f>
        <v>0</v>
      </c>
    </row>
    <row r="1217" spans="1:28" hidden="1" outlineLevel="1" x14ac:dyDescent="0.3">
      <c r="A1217" s="33" t="s">
        <v>244</v>
      </c>
      <c r="B1217" s="34" t="s">
        <v>275</v>
      </c>
      <c r="C1217" s="50">
        <f>SUMIFS(INDEX(Техника!$F$1:$ABM$500,C$2,0),Техника!$F$4:$ABM$4,"Часы",INDEX(Техника!$G$1:$ABN$500,C$2,0),$A$1215,INDEX(Техника!$H$1:$ABO$500,C$2,0),"Д")</f>
        <v>0</v>
      </c>
      <c r="D1217" s="50">
        <f>SUMIFS(INDEX(Техника!$F$1:$ABM$500,D$2,0),Техника!$F$4:$ABM$4,"Часы",INDEX(Техника!$G$1:$ABN$500,D$2,0),$A$1215,INDEX(Техника!$H$1:$ABO$500,D$2,0),"Д")</f>
        <v>0</v>
      </c>
      <c r="E1217" s="50">
        <f>SUMIFS(INDEX(Техника!$F$1:$ABM$500,E$2,0),Техника!$F$4:$ABM$4,"Часы",INDEX(Техника!$G$1:$ABN$500,E$2,0),$A$1215,INDEX(Техника!$H$1:$ABO$500,E$2,0),"Д")</f>
        <v>0</v>
      </c>
      <c r="F1217" s="50">
        <f>SUMIFS(INDEX(Техника!$F$1:$ABM$500,F$2,0),Техника!$F$4:$ABM$4,"Часы",INDEX(Техника!$G$1:$ABN$500,F$2,0),$A$1215,INDEX(Техника!$H$1:$ABO$500,F$2,0),"Д")</f>
        <v>0</v>
      </c>
      <c r="G1217" s="50">
        <f>SUMIFS(INDEX(Техника!$F$1:$ABM$500,G$2,0),Техника!$F$4:$ABM$4,"Часы",INDEX(Техника!$G$1:$ABN$500,G$2,0),$A$1215,INDEX(Техника!$H$1:$ABO$500,G$2,0),"Д")</f>
        <v>0</v>
      </c>
      <c r="H1217" s="50">
        <f>SUMIFS(INDEX(Техника!$F$1:$ABM$500,H$2,0),Техника!$F$4:$ABM$4,"Часы",INDEX(Техника!$G$1:$ABN$500,H$2,0),$A$1215,INDEX(Техника!$H$1:$ABO$500,H$2,0),"Д")</f>
        <v>0</v>
      </c>
      <c r="I1217" s="50">
        <f>SUMIFS(INDEX(Техника!$F$1:$ABM$500,I$2,0),Техника!$F$4:$ABM$4,"Часы",INDEX(Техника!$G$1:$ABN$500,I$2,0),$A$1215,INDEX(Техника!$H$1:$ABO$500,I$2,0),"Д")</f>
        <v>0</v>
      </c>
      <c r="J1217" s="50">
        <f>SUMIFS(INDEX(Техника!$F$1:$ABM$500,J$2,0),Техника!$F$4:$ABM$4,"Часы",INDEX(Техника!$G$1:$ABN$500,J$2,0),$A$1215,INDEX(Техника!$H$1:$ABO$500,J$2,0),"Д")</f>
        <v>0</v>
      </c>
      <c r="K1217" s="50">
        <f>SUMIFS(INDEX(Техника!$F$1:$ABM$500,K$2,0),Техника!$F$4:$ABM$4,"Часы",INDEX(Техника!$G$1:$ABN$500,K$2,0),$A$1215,INDEX(Техника!$H$1:$ABO$500,K$2,0),"Д")</f>
        <v>0</v>
      </c>
      <c r="L1217" s="50">
        <f>SUMIFS(INDEX(Техника!$F$1:$ABM$500,L$2,0),Техника!$F$4:$ABM$4,"Часы",INDEX(Техника!$G$1:$ABN$500,L$2,0),$A$1215,INDEX(Техника!$H$1:$ABO$500,L$2,0),"Д")</f>
        <v>0</v>
      </c>
      <c r="M1217" s="50">
        <f>SUMIFS(INDEX(Техника!$F$1:$ABM$500,M$2,0),Техника!$F$4:$ABM$4,"Часы",INDEX(Техника!$G$1:$ABN$500,M$2,0),$A$1215,INDEX(Техника!$H$1:$ABO$500,M$2,0),"Д")</f>
        <v>0</v>
      </c>
      <c r="N1217" s="50">
        <f>SUMIFS(INDEX(Техника!$F$1:$ABM$500,N$2,0),Техника!$F$4:$ABM$4,"Часы",INDEX(Техника!$G$1:$ABN$500,N$2,0),$A$1215,INDEX(Техника!$H$1:$ABO$500,N$2,0),"Д")</f>
        <v>0</v>
      </c>
      <c r="O1217" s="50">
        <f>SUMIFS(INDEX(Техника!$F$1:$ABM$500,O$2,0),Техника!$F$4:$ABM$4,"Часы",INDEX(Техника!$G$1:$ABN$500,O$2,0),$A$1215,INDEX(Техника!$H$1:$ABO$500,O$2,0),"Д")</f>
        <v>0</v>
      </c>
      <c r="P1217" s="50">
        <f>SUMIFS(INDEX(Техника!$F$1:$ABM$500,P$2,0),Техника!$F$4:$ABM$4,"Часы",INDEX(Техника!$G$1:$ABN$500,P$2,0),$A$1215,INDEX(Техника!$H$1:$ABO$500,P$2,0),"Д")</f>
        <v>0</v>
      </c>
      <c r="Q1217" s="50">
        <f>SUMIFS(INDEX(Техника!$F$1:$ABM$500,Q$2,0),Техника!$F$4:$ABM$4,"Часы",INDEX(Техника!$G$1:$ABN$500,Q$2,0),$A$1215,INDEX(Техника!$H$1:$ABO$500,Q$2,0),"Д")</f>
        <v>0</v>
      </c>
      <c r="R1217" s="50">
        <f>SUMIFS(INDEX(Техника!$F$1:$ABM$500,R$2,0),Техника!$F$4:$ABM$4,"Часы",INDEX(Техника!$G$1:$ABN$500,R$2,0),$A$1215,INDEX(Техника!$H$1:$ABO$500,R$2,0),"Д")</f>
        <v>0</v>
      </c>
      <c r="S1217" s="50">
        <f>SUMIFS(INDEX(Техника!$F$1:$ABM$500,S$2,0),Техника!$F$4:$ABM$4,"Часы",INDEX(Техника!$G$1:$ABN$500,S$2,0),$A$1215,INDEX(Техника!$H$1:$ABO$500,S$2,0),"Д")</f>
        <v>0</v>
      </c>
      <c r="T1217" s="50">
        <f>SUMIFS(INDEX(Техника!$F$1:$ABM$500,T$2,0),Техника!$F$4:$ABM$4,"Часы",INDEX(Техника!$G$1:$ABN$500,T$2,0),$A$1215,INDEX(Техника!$H$1:$ABO$500,T$2,0),"Д")</f>
        <v>0</v>
      </c>
      <c r="U1217" s="50">
        <f>SUMIFS(INDEX(Техника!$F$1:$ABM$500,U$2,0),Техника!$F$4:$ABM$4,"Часы",INDEX(Техника!$G$1:$ABN$500,U$2,0),$A$1215,INDEX(Техника!$H$1:$ABO$500,U$2,0),"Д")</f>
        <v>0</v>
      </c>
      <c r="V1217" s="50">
        <f>SUMIFS(INDEX(Техника!$F$1:$ABM$500,V$2,0),Техника!$F$4:$ABM$4,"Часы",INDEX(Техника!$G$1:$ABN$500,V$2,0),$A$1215,INDEX(Техника!$H$1:$ABO$500,V$2,0),"Д")</f>
        <v>0</v>
      </c>
      <c r="W1217" s="50">
        <f>SUMIFS(INDEX(Техника!$F$1:$ABM$500,W$2,0),Техника!$F$4:$ABM$4,"Часы",INDEX(Техника!$G$1:$ABN$500,W$2,0),$A$1215,INDEX(Техника!$H$1:$ABO$500,W$2,0),"Д")</f>
        <v>0</v>
      </c>
      <c r="X1217" s="50">
        <f>SUMIFS(INDEX(Техника!$F$1:$ABM$500,X$2,0),Техника!$F$4:$ABM$4,"Часы",INDEX(Техника!$G$1:$ABN$500,X$2,0),$A$1215,INDEX(Техника!$H$1:$ABO$500,X$2,0),"Д")</f>
        <v>0</v>
      </c>
      <c r="Y1217" s="50">
        <f>SUMIFS(INDEX(Техника!$F$1:$ABM$500,Y$2,0),Техника!$F$4:$ABM$4,"Часы",INDEX(Техника!$G$1:$ABN$500,Y$2,0),$A$1215,INDEX(Техника!$H$1:$ABO$500,Y$2,0),"Д")</f>
        <v>0</v>
      </c>
      <c r="Z1217" s="50">
        <f>SUMIFS(INDEX(Техника!$F$1:$ABM$500,Z$2,0),Техника!$F$4:$ABM$4,"Часы",INDEX(Техника!$G$1:$ABN$500,Z$2,0),$A$1215,INDEX(Техника!$H$1:$ABO$500,Z$2,0),"Д")</f>
        <v>0</v>
      </c>
      <c r="AA1217" s="50">
        <f>SUMIFS(INDEX(Техника!$F$1:$ABM$500,AA$2,0),Техника!$F$4:$ABM$4,"Часы",INDEX(Техника!$G$1:$ABN$500,AA$2,0),$A$1215,INDEX(Техника!$H$1:$ABO$500,AA$2,0),"Д")</f>
        <v>0</v>
      </c>
      <c r="AB1217" s="50">
        <f>SUMIFS(INDEX(Техника!$F$1:$ABM$500,AB$2,0),Техника!$F$4:$ABM$4,"Часы",INDEX(Техника!$G$1:$ABN$500,AB$2,0),$A$1215,INDEX(Техника!$H$1:$ABO$500,AB$2,0),"Д")</f>
        <v>0</v>
      </c>
    </row>
    <row r="1218" spans="1:28" hidden="1" outlineLevel="1" x14ac:dyDescent="0.3">
      <c r="A1218" s="33" t="s">
        <v>276</v>
      </c>
      <c r="B1218" s="34" t="s">
        <v>277</v>
      </c>
      <c r="C1218" s="50">
        <f>SUMIFS(INDEX(Техника!$F$1:$ABM$500,C$2,0),Техника!$F$4:$ABM$4,"Часы",INDEX(Техника!$G$1:$ABN$500,C$2,0),$A$1215,INDEX(Техника!$H$1:$ABO$500,C$2,0),"П")</f>
        <v>0</v>
      </c>
      <c r="D1218" s="50">
        <f>SUMIFS(INDEX(Техника!$F$1:$ABM$500,D$2,0),Техника!$F$4:$ABM$4,"Часы",INDEX(Техника!$G$1:$ABN$500,D$2,0),$A$1215,INDEX(Техника!$H$1:$ABO$500,D$2,0),"П")</f>
        <v>0</v>
      </c>
      <c r="E1218" s="50">
        <f>SUMIFS(INDEX(Техника!$F$1:$ABM$500,E$2,0),Техника!$F$4:$ABM$4,"Часы",INDEX(Техника!$G$1:$ABN$500,E$2,0),$A$1215,INDEX(Техника!$H$1:$ABO$500,E$2,0),"П")</f>
        <v>0</v>
      </c>
      <c r="F1218" s="50">
        <f>SUMIFS(INDEX(Техника!$F$1:$ABM$500,F$2,0),Техника!$F$4:$ABM$4,"Часы",INDEX(Техника!$G$1:$ABN$500,F$2,0),$A$1215,INDEX(Техника!$H$1:$ABO$500,F$2,0),"П")</f>
        <v>0</v>
      </c>
      <c r="G1218" s="50">
        <f>SUMIFS(INDEX(Техника!$F$1:$ABM$500,G$2,0),Техника!$F$4:$ABM$4,"Часы",INDEX(Техника!$G$1:$ABN$500,G$2,0),$A$1215,INDEX(Техника!$H$1:$ABO$500,G$2,0),"П")</f>
        <v>0</v>
      </c>
      <c r="H1218" s="50">
        <f>SUMIFS(INDEX(Техника!$F$1:$ABM$500,H$2,0),Техника!$F$4:$ABM$4,"Часы",INDEX(Техника!$G$1:$ABN$500,H$2,0),$A$1215,INDEX(Техника!$H$1:$ABO$500,H$2,0),"П")</f>
        <v>0</v>
      </c>
      <c r="I1218" s="50">
        <f>SUMIFS(INDEX(Техника!$F$1:$ABM$500,I$2,0),Техника!$F$4:$ABM$4,"Часы",INDEX(Техника!$G$1:$ABN$500,I$2,0),$A$1215,INDEX(Техника!$H$1:$ABO$500,I$2,0),"П")</f>
        <v>0</v>
      </c>
      <c r="J1218" s="50">
        <f>SUMIFS(INDEX(Техника!$F$1:$ABM$500,J$2,0),Техника!$F$4:$ABM$4,"Часы",INDEX(Техника!$G$1:$ABN$500,J$2,0),$A$1215,INDEX(Техника!$H$1:$ABO$500,J$2,0),"П")</f>
        <v>0</v>
      </c>
      <c r="K1218" s="50">
        <f>SUMIFS(INDEX(Техника!$F$1:$ABM$500,K$2,0),Техника!$F$4:$ABM$4,"Часы",INDEX(Техника!$G$1:$ABN$500,K$2,0),$A$1215,INDEX(Техника!$H$1:$ABO$500,K$2,0),"П")</f>
        <v>0</v>
      </c>
      <c r="L1218" s="50">
        <f>SUMIFS(INDEX(Техника!$F$1:$ABM$500,L$2,0),Техника!$F$4:$ABM$4,"Часы",INDEX(Техника!$G$1:$ABN$500,L$2,0),$A$1215,INDEX(Техника!$H$1:$ABO$500,L$2,0),"П")</f>
        <v>0</v>
      </c>
      <c r="M1218" s="50">
        <f>SUMIFS(INDEX(Техника!$F$1:$ABM$500,M$2,0),Техника!$F$4:$ABM$4,"Часы",INDEX(Техника!$G$1:$ABN$500,M$2,0),$A$1215,INDEX(Техника!$H$1:$ABO$500,M$2,0),"П")</f>
        <v>0</v>
      </c>
      <c r="N1218" s="50">
        <f>SUMIFS(INDEX(Техника!$F$1:$ABM$500,N$2,0),Техника!$F$4:$ABM$4,"Часы",INDEX(Техника!$G$1:$ABN$500,N$2,0),$A$1215,INDEX(Техника!$H$1:$ABO$500,N$2,0),"П")</f>
        <v>0</v>
      </c>
      <c r="O1218" s="50">
        <f>SUMIFS(INDEX(Техника!$F$1:$ABM$500,O$2,0),Техника!$F$4:$ABM$4,"Часы",INDEX(Техника!$G$1:$ABN$500,O$2,0),$A$1215,INDEX(Техника!$H$1:$ABO$500,O$2,0),"П")</f>
        <v>0</v>
      </c>
      <c r="P1218" s="50">
        <f>SUMIFS(INDEX(Техника!$F$1:$ABM$500,P$2,0),Техника!$F$4:$ABM$4,"Часы",INDEX(Техника!$G$1:$ABN$500,P$2,0),$A$1215,INDEX(Техника!$H$1:$ABO$500,P$2,0),"П")</f>
        <v>0</v>
      </c>
      <c r="Q1218" s="50">
        <f>SUMIFS(INDEX(Техника!$F$1:$ABM$500,Q$2,0),Техника!$F$4:$ABM$4,"Часы",INDEX(Техника!$G$1:$ABN$500,Q$2,0),$A$1215,INDEX(Техника!$H$1:$ABO$500,Q$2,0),"П")</f>
        <v>0</v>
      </c>
      <c r="R1218" s="50">
        <f>SUMIFS(INDEX(Техника!$F$1:$ABM$500,R$2,0),Техника!$F$4:$ABM$4,"Часы",INDEX(Техника!$G$1:$ABN$500,R$2,0),$A$1215,INDEX(Техника!$H$1:$ABO$500,R$2,0),"П")</f>
        <v>0</v>
      </c>
      <c r="S1218" s="50">
        <f>SUMIFS(INDEX(Техника!$F$1:$ABM$500,S$2,0),Техника!$F$4:$ABM$4,"Часы",INDEX(Техника!$G$1:$ABN$500,S$2,0),$A$1215,INDEX(Техника!$H$1:$ABO$500,S$2,0),"П")</f>
        <v>0</v>
      </c>
      <c r="T1218" s="50">
        <f>SUMIFS(INDEX(Техника!$F$1:$ABM$500,T$2,0),Техника!$F$4:$ABM$4,"Часы",INDEX(Техника!$G$1:$ABN$500,T$2,0),$A$1215,INDEX(Техника!$H$1:$ABO$500,T$2,0),"П")</f>
        <v>0</v>
      </c>
      <c r="U1218" s="50">
        <f>SUMIFS(INDEX(Техника!$F$1:$ABM$500,U$2,0),Техника!$F$4:$ABM$4,"Часы",INDEX(Техника!$G$1:$ABN$500,U$2,0),$A$1215,INDEX(Техника!$H$1:$ABO$500,U$2,0),"П")</f>
        <v>0</v>
      </c>
      <c r="V1218" s="50">
        <f>SUMIFS(INDEX(Техника!$F$1:$ABM$500,V$2,0),Техника!$F$4:$ABM$4,"Часы",INDEX(Техника!$G$1:$ABN$500,V$2,0),$A$1215,INDEX(Техника!$H$1:$ABO$500,V$2,0),"П")</f>
        <v>0</v>
      </c>
      <c r="W1218" s="50">
        <f>SUMIFS(INDEX(Техника!$F$1:$ABM$500,W$2,0),Техника!$F$4:$ABM$4,"Часы",INDEX(Техника!$G$1:$ABN$500,W$2,0),$A$1215,INDEX(Техника!$H$1:$ABO$500,W$2,0),"П")</f>
        <v>0</v>
      </c>
      <c r="X1218" s="50">
        <f>SUMIFS(INDEX(Техника!$F$1:$ABM$500,X$2,0),Техника!$F$4:$ABM$4,"Часы",INDEX(Техника!$G$1:$ABN$500,X$2,0),$A$1215,INDEX(Техника!$H$1:$ABO$500,X$2,0),"П")</f>
        <v>0</v>
      </c>
      <c r="Y1218" s="50">
        <f>SUMIFS(INDEX(Техника!$F$1:$ABM$500,Y$2,0),Техника!$F$4:$ABM$4,"Часы",INDEX(Техника!$G$1:$ABN$500,Y$2,0),$A$1215,INDEX(Техника!$H$1:$ABO$500,Y$2,0),"П")</f>
        <v>0</v>
      </c>
      <c r="Z1218" s="50">
        <f>SUMIFS(INDEX(Техника!$F$1:$ABM$500,Z$2,0),Техника!$F$4:$ABM$4,"Часы",INDEX(Техника!$G$1:$ABN$500,Z$2,0),$A$1215,INDEX(Техника!$H$1:$ABO$500,Z$2,0),"П")</f>
        <v>0</v>
      </c>
      <c r="AA1218" s="50">
        <f>SUMIFS(INDEX(Техника!$F$1:$ABM$500,AA$2,0),Техника!$F$4:$ABM$4,"Часы",INDEX(Техника!$G$1:$ABN$500,AA$2,0),$A$1215,INDEX(Техника!$H$1:$ABO$500,AA$2,0),"П")</f>
        <v>0</v>
      </c>
      <c r="AB1218" s="50">
        <f>SUMIFS(INDEX(Техника!$F$1:$ABM$500,AB$2,0),Техника!$F$4:$ABM$4,"Часы",INDEX(Техника!$G$1:$ABN$500,AB$2,0),$A$1215,INDEX(Техника!$H$1:$ABO$500,AB$2,0),"П")</f>
        <v>0</v>
      </c>
    </row>
    <row r="1219" spans="1:28" hidden="1" outlineLevel="1" x14ac:dyDescent="0.3">
      <c r="A1219" s="33" t="s">
        <v>243</v>
      </c>
      <c r="B1219" s="34" t="s">
        <v>278</v>
      </c>
      <c r="C1219" s="50">
        <f>SUMIFS(INDEX(Техника!$F$1:$ABM$500,C$2,0),Техника!$F$4:$ABM$4,"Часы",INDEX(Техника!$G$1:$ABN$500,C$2,0),$A$1215,INDEX(Техника!$H$1:$ABO$500,C$2,0),"Л")</f>
        <v>0</v>
      </c>
      <c r="D1219" s="50">
        <f>SUMIFS(INDEX(Техника!$F$1:$ABM$500,D$2,0),Техника!$F$4:$ABM$4,"Часы",INDEX(Техника!$G$1:$ABN$500,D$2,0),$A$1215,INDEX(Техника!$H$1:$ABO$500,D$2,0),"Л")</f>
        <v>0</v>
      </c>
      <c r="E1219" s="50">
        <f>SUMIFS(INDEX(Техника!$F$1:$ABM$500,E$2,0),Техника!$F$4:$ABM$4,"Часы",INDEX(Техника!$G$1:$ABN$500,E$2,0),$A$1215,INDEX(Техника!$H$1:$ABO$500,E$2,0),"Л")</f>
        <v>0</v>
      </c>
      <c r="F1219" s="50">
        <f>SUMIFS(INDEX(Техника!$F$1:$ABM$500,F$2,0),Техника!$F$4:$ABM$4,"Часы",INDEX(Техника!$G$1:$ABN$500,F$2,0),$A$1215,INDEX(Техника!$H$1:$ABO$500,F$2,0),"Л")</f>
        <v>0</v>
      </c>
      <c r="G1219" s="50">
        <f>SUMIFS(INDEX(Техника!$F$1:$ABM$500,G$2,0),Техника!$F$4:$ABM$4,"Часы",INDEX(Техника!$G$1:$ABN$500,G$2,0),$A$1215,INDEX(Техника!$H$1:$ABO$500,G$2,0),"Л")</f>
        <v>0</v>
      </c>
      <c r="H1219" s="50">
        <f>SUMIFS(INDEX(Техника!$F$1:$ABM$500,H$2,0),Техника!$F$4:$ABM$4,"Часы",INDEX(Техника!$G$1:$ABN$500,H$2,0),$A$1215,INDEX(Техника!$H$1:$ABO$500,H$2,0),"Л")</f>
        <v>0</v>
      </c>
      <c r="I1219" s="50">
        <f>SUMIFS(INDEX(Техника!$F$1:$ABM$500,I$2,0),Техника!$F$4:$ABM$4,"Часы",INDEX(Техника!$G$1:$ABN$500,I$2,0),$A$1215,INDEX(Техника!$H$1:$ABO$500,I$2,0),"Л")</f>
        <v>0</v>
      </c>
      <c r="J1219" s="50">
        <f>SUMIFS(INDEX(Техника!$F$1:$ABM$500,J$2,0),Техника!$F$4:$ABM$4,"Часы",INDEX(Техника!$G$1:$ABN$500,J$2,0),$A$1215,INDEX(Техника!$H$1:$ABO$500,J$2,0),"Л")</f>
        <v>0</v>
      </c>
      <c r="K1219" s="50">
        <f>SUMIFS(INDEX(Техника!$F$1:$ABM$500,K$2,0),Техника!$F$4:$ABM$4,"Часы",INDEX(Техника!$G$1:$ABN$500,K$2,0),$A$1215,INDEX(Техника!$H$1:$ABO$500,K$2,0),"Л")</f>
        <v>0</v>
      </c>
      <c r="L1219" s="50">
        <f>SUMIFS(INDEX(Техника!$F$1:$ABM$500,L$2,0),Техника!$F$4:$ABM$4,"Часы",INDEX(Техника!$G$1:$ABN$500,L$2,0),$A$1215,INDEX(Техника!$H$1:$ABO$500,L$2,0),"Л")</f>
        <v>0</v>
      </c>
      <c r="M1219" s="50">
        <f>SUMIFS(INDEX(Техника!$F$1:$ABM$500,M$2,0),Техника!$F$4:$ABM$4,"Часы",INDEX(Техника!$G$1:$ABN$500,M$2,0),$A$1215,INDEX(Техника!$H$1:$ABO$500,M$2,0),"Л")</f>
        <v>0</v>
      </c>
      <c r="N1219" s="50">
        <f>SUMIFS(INDEX(Техника!$F$1:$ABM$500,N$2,0),Техника!$F$4:$ABM$4,"Часы",INDEX(Техника!$G$1:$ABN$500,N$2,0),$A$1215,INDEX(Техника!$H$1:$ABO$500,N$2,0),"Л")</f>
        <v>0</v>
      </c>
      <c r="O1219" s="50">
        <f>SUMIFS(INDEX(Техника!$F$1:$ABM$500,O$2,0),Техника!$F$4:$ABM$4,"Часы",INDEX(Техника!$G$1:$ABN$500,O$2,0),$A$1215,INDEX(Техника!$H$1:$ABO$500,O$2,0),"Л")</f>
        <v>0</v>
      </c>
      <c r="P1219" s="50">
        <f>SUMIFS(INDEX(Техника!$F$1:$ABM$500,P$2,0),Техника!$F$4:$ABM$4,"Часы",INDEX(Техника!$G$1:$ABN$500,P$2,0),$A$1215,INDEX(Техника!$H$1:$ABO$500,P$2,0),"Л")</f>
        <v>0</v>
      </c>
      <c r="Q1219" s="50">
        <f>SUMIFS(INDEX(Техника!$F$1:$ABM$500,Q$2,0),Техника!$F$4:$ABM$4,"Часы",INDEX(Техника!$G$1:$ABN$500,Q$2,0),$A$1215,INDEX(Техника!$H$1:$ABO$500,Q$2,0),"Л")</f>
        <v>0</v>
      </c>
      <c r="R1219" s="50">
        <f>SUMIFS(INDEX(Техника!$F$1:$ABM$500,R$2,0),Техника!$F$4:$ABM$4,"Часы",INDEX(Техника!$G$1:$ABN$500,R$2,0),$A$1215,INDEX(Техника!$H$1:$ABO$500,R$2,0),"Л")</f>
        <v>0</v>
      </c>
      <c r="S1219" s="50">
        <f>SUMIFS(INDEX(Техника!$F$1:$ABM$500,S$2,0),Техника!$F$4:$ABM$4,"Часы",INDEX(Техника!$G$1:$ABN$500,S$2,0),$A$1215,INDEX(Техника!$H$1:$ABO$500,S$2,0),"Л")</f>
        <v>0</v>
      </c>
      <c r="T1219" s="50">
        <f>SUMIFS(INDEX(Техника!$F$1:$ABM$500,T$2,0),Техника!$F$4:$ABM$4,"Часы",INDEX(Техника!$G$1:$ABN$500,T$2,0),$A$1215,INDEX(Техника!$H$1:$ABO$500,T$2,0),"Л")</f>
        <v>0</v>
      </c>
      <c r="U1219" s="50">
        <f>SUMIFS(INDEX(Техника!$F$1:$ABM$500,U$2,0),Техника!$F$4:$ABM$4,"Часы",INDEX(Техника!$G$1:$ABN$500,U$2,0),$A$1215,INDEX(Техника!$H$1:$ABO$500,U$2,0),"Л")</f>
        <v>0</v>
      </c>
      <c r="V1219" s="50">
        <f>SUMIFS(INDEX(Техника!$F$1:$ABM$500,V$2,0),Техника!$F$4:$ABM$4,"Часы",INDEX(Техника!$G$1:$ABN$500,V$2,0),$A$1215,INDEX(Техника!$H$1:$ABO$500,V$2,0),"Л")</f>
        <v>0</v>
      </c>
      <c r="W1219" s="50">
        <f>SUMIFS(INDEX(Техника!$F$1:$ABM$500,W$2,0),Техника!$F$4:$ABM$4,"Часы",INDEX(Техника!$G$1:$ABN$500,W$2,0),$A$1215,INDEX(Техника!$H$1:$ABO$500,W$2,0),"Л")</f>
        <v>0</v>
      </c>
      <c r="X1219" s="50">
        <f>SUMIFS(INDEX(Техника!$F$1:$ABM$500,X$2,0),Техника!$F$4:$ABM$4,"Часы",INDEX(Техника!$G$1:$ABN$500,X$2,0),$A$1215,INDEX(Техника!$H$1:$ABO$500,X$2,0),"Л")</f>
        <v>0</v>
      </c>
      <c r="Y1219" s="50">
        <f>SUMIFS(INDEX(Техника!$F$1:$ABM$500,Y$2,0),Техника!$F$4:$ABM$4,"Часы",INDEX(Техника!$G$1:$ABN$500,Y$2,0),$A$1215,INDEX(Техника!$H$1:$ABO$500,Y$2,0),"Л")</f>
        <v>0</v>
      </c>
      <c r="Z1219" s="50">
        <f>SUMIFS(INDEX(Техника!$F$1:$ABM$500,Z$2,0),Техника!$F$4:$ABM$4,"Часы",INDEX(Техника!$G$1:$ABN$500,Z$2,0),$A$1215,INDEX(Техника!$H$1:$ABO$500,Z$2,0),"Л")</f>
        <v>0</v>
      </c>
      <c r="AA1219" s="50">
        <f>SUMIFS(INDEX(Техника!$F$1:$ABM$500,AA$2,0),Техника!$F$4:$ABM$4,"Часы",INDEX(Техника!$G$1:$ABN$500,AA$2,0),$A$1215,INDEX(Техника!$H$1:$ABO$500,AA$2,0),"Л")</f>
        <v>0</v>
      </c>
      <c r="AB1219" s="50">
        <f>SUMIFS(INDEX(Техника!$F$1:$ABM$500,AB$2,0),Техника!$F$4:$ABM$4,"Часы",INDEX(Техника!$G$1:$ABN$500,AB$2,0),$A$1215,INDEX(Техника!$H$1:$ABO$500,AB$2,0),"Л")</f>
        <v>0</v>
      </c>
    </row>
    <row r="1220" spans="1:28" hidden="1" outlineLevel="1" x14ac:dyDescent="0.3">
      <c r="A1220" s="33" t="s">
        <v>245</v>
      </c>
      <c r="B1220" s="34" t="s">
        <v>279</v>
      </c>
      <c r="C1220" s="50">
        <f>SUMIFS(INDEX(Техника!$F$1:$ABM$500,C$2,0),Техника!$F$4:$ABM$4,"Часы",INDEX(Техника!$G$1:$ABN$500,C$2,0),$A$1215,INDEX(Техника!$H$1:$ABO$500,C$2,0),"З")</f>
        <v>0</v>
      </c>
      <c r="D1220" s="50">
        <f>SUMIFS(INDEX(Техника!$F$1:$ABM$500,D$2,0),Техника!$F$4:$ABM$4,"Часы",INDEX(Техника!$G$1:$ABN$500,D$2,0),$A$1215,INDEX(Техника!$H$1:$ABO$500,D$2,0),"З")</f>
        <v>0</v>
      </c>
      <c r="E1220" s="50">
        <f>SUMIFS(INDEX(Техника!$F$1:$ABM$500,E$2,0),Техника!$F$4:$ABM$4,"Часы",INDEX(Техника!$G$1:$ABN$500,E$2,0),$A$1215,INDEX(Техника!$H$1:$ABO$500,E$2,0),"З")</f>
        <v>0</v>
      </c>
      <c r="F1220" s="50">
        <f>SUMIFS(INDEX(Техника!$F$1:$ABM$500,F$2,0),Техника!$F$4:$ABM$4,"Часы",INDEX(Техника!$G$1:$ABN$500,F$2,0),$A$1215,INDEX(Техника!$H$1:$ABO$500,F$2,0),"З")</f>
        <v>0</v>
      </c>
      <c r="G1220" s="50">
        <f>SUMIFS(INDEX(Техника!$F$1:$ABM$500,G$2,0),Техника!$F$4:$ABM$4,"Часы",INDEX(Техника!$G$1:$ABN$500,G$2,0),$A$1215,INDEX(Техника!$H$1:$ABO$500,G$2,0),"З")</f>
        <v>0</v>
      </c>
      <c r="H1220" s="50">
        <f>SUMIFS(INDEX(Техника!$F$1:$ABM$500,H$2,0),Техника!$F$4:$ABM$4,"Часы",INDEX(Техника!$G$1:$ABN$500,H$2,0),$A$1215,INDEX(Техника!$H$1:$ABO$500,H$2,0),"З")</f>
        <v>0</v>
      </c>
      <c r="I1220" s="50">
        <f>SUMIFS(INDEX(Техника!$F$1:$ABM$500,I$2,0),Техника!$F$4:$ABM$4,"Часы",INDEX(Техника!$G$1:$ABN$500,I$2,0),$A$1215,INDEX(Техника!$H$1:$ABO$500,I$2,0),"З")</f>
        <v>0</v>
      </c>
      <c r="J1220" s="50">
        <f>SUMIFS(INDEX(Техника!$F$1:$ABM$500,J$2,0),Техника!$F$4:$ABM$4,"Часы",INDEX(Техника!$G$1:$ABN$500,J$2,0),$A$1215,INDEX(Техника!$H$1:$ABO$500,J$2,0),"З")</f>
        <v>0</v>
      </c>
      <c r="K1220" s="50">
        <f>SUMIFS(INDEX(Техника!$F$1:$ABM$500,K$2,0),Техника!$F$4:$ABM$4,"Часы",INDEX(Техника!$G$1:$ABN$500,K$2,0),$A$1215,INDEX(Техника!$H$1:$ABO$500,K$2,0),"З")</f>
        <v>0</v>
      </c>
      <c r="L1220" s="50">
        <f>SUMIFS(INDEX(Техника!$F$1:$ABM$500,L$2,0),Техника!$F$4:$ABM$4,"Часы",INDEX(Техника!$G$1:$ABN$500,L$2,0),$A$1215,INDEX(Техника!$H$1:$ABO$500,L$2,0),"З")</f>
        <v>0</v>
      </c>
      <c r="M1220" s="50">
        <f>SUMIFS(INDEX(Техника!$F$1:$ABM$500,M$2,0),Техника!$F$4:$ABM$4,"Часы",INDEX(Техника!$G$1:$ABN$500,M$2,0),$A$1215,INDEX(Техника!$H$1:$ABO$500,M$2,0),"З")</f>
        <v>0</v>
      </c>
      <c r="N1220" s="50">
        <f>SUMIFS(INDEX(Техника!$F$1:$ABM$500,N$2,0),Техника!$F$4:$ABM$4,"Часы",INDEX(Техника!$G$1:$ABN$500,N$2,0),$A$1215,INDEX(Техника!$H$1:$ABO$500,N$2,0),"З")</f>
        <v>0</v>
      </c>
      <c r="O1220" s="50">
        <f>SUMIFS(INDEX(Техника!$F$1:$ABM$500,O$2,0),Техника!$F$4:$ABM$4,"Часы",INDEX(Техника!$G$1:$ABN$500,O$2,0),$A$1215,INDEX(Техника!$H$1:$ABO$500,O$2,0),"З")</f>
        <v>0</v>
      </c>
      <c r="P1220" s="50">
        <f>SUMIFS(INDEX(Техника!$F$1:$ABM$500,P$2,0),Техника!$F$4:$ABM$4,"Часы",INDEX(Техника!$G$1:$ABN$500,P$2,0),$A$1215,INDEX(Техника!$H$1:$ABO$500,P$2,0),"З")</f>
        <v>0</v>
      </c>
      <c r="Q1220" s="50">
        <f>SUMIFS(INDEX(Техника!$F$1:$ABM$500,Q$2,0),Техника!$F$4:$ABM$4,"Часы",INDEX(Техника!$G$1:$ABN$500,Q$2,0),$A$1215,INDEX(Техника!$H$1:$ABO$500,Q$2,0),"З")</f>
        <v>0</v>
      </c>
      <c r="R1220" s="50">
        <f>SUMIFS(INDEX(Техника!$F$1:$ABM$500,R$2,0),Техника!$F$4:$ABM$4,"Часы",INDEX(Техника!$G$1:$ABN$500,R$2,0),$A$1215,INDEX(Техника!$H$1:$ABO$500,R$2,0),"З")</f>
        <v>0</v>
      </c>
      <c r="S1220" s="50">
        <f>SUMIFS(INDEX(Техника!$F$1:$ABM$500,S$2,0),Техника!$F$4:$ABM$4,"Часы",INDEX(Техника!$G$1:$ABN$500,S$2,0),$A$1215,INDEX(Техника!$H$1:$ABO$500,S$2,0),"З")</f>
        <v>0</v>
      </c>
      <c r="T1220" s="50">
        <f>SUMIFS(INDEX(Техника!$F$1:$ABM$500,T$2,0),Техника!$F$4:$ABM$4,"Часы",INDEX(Техника!$G$1:$ABN$500,T$2,0),$A$1215,INDEX(Техника!$H$1:$ABO$500,T$2,0),"З")</f>
        <v>0</v>
      </c>
      <c r="U1220" s="50">
        <f>SUMIFS(INDEX(Техника!$F$1:$ABM$500,U$2,0),Техника!$F$4:$ABM$4,"Часы",INDEX(Техника!$G$1:$ABN$500,U$2,0),$A$1215,INDEX(Техника!$H$1:$ABO$500,U$2,0),"З")</f>
        <v>0</v>
      </c>
      <c r="V1220" s="50">
        <f>SUMIFS(INDEX(Техника!$F$1:$ABM$500,V$2,0),Техника!$F$4:$ABM$4,"Часы",INDEX(Техника!$G$1:$ABN$500,V$2,0),$A$1215,INDEX(Техника!$H$1:$ABO$500,V$2,0),"З")</f>
        <v>0</v>
      </c>
      <c r="W1220" s="50">
        <f>SUMIFS(INDEX(Техника!$F$1:$ABM$500,W$2,0),Техника!$F$4:$ABM$4,"Часы",INDEX(Техника!$G$1:$ABN$500,W$2,0),$A$1215,INDEX(Техника!$H$1:$ABO$500,W$2,0),"З")</f>
        <v>0</v>
      </c>
      <c r="X1220" s="50">
        <f>SUMIFS(INDEX(Техника!$F$1:$ABM$500,X$2,0),Техника!$F$4:$ABM$4,"Часы",INDEX(Техника!$G$1:$ABN$500,X$2,0),$A$1215,INDEX(Техника!$H$1:$ABO$500,X$2,0),"З")</f>
        <v>0</v>
      </c>
      <c r="Y1220" s="50">
        <f>SUMIFS(INDEX(Техника!$F$1:$ABM$500,Y$2,0),Техника!$F$4:$ABM$4,"Часы",INDEX(Техника!$G$1:$ABN$500,Y$2,0),$A$1215,INDEX(Техника!$H$1:$ABO$500,Y$2,0),"З")</f>
        <v>0</v>
      </c>
      <c r="Z1220" s="50">
        <f>SUMIFS(INDEX(Техника!$F$1:$ABM$500,Z$2,0),Техника!$F$4:$ABM$4,"Часы",INDEX(Техника!$G$1:$ABN$500,Z$2,0),$A$1215,INDEX(Техника!$H$1:$ABO$500,Z$2,0),"З")</f>
        <v>0</v>
      </c>
      <c r="AA1220" s="50">
        <f>SUMIFS(INDEX(Техника!$F$1:$ABM$500,AA$2,0),Техника!$F$4:$ABM$4,"Часы",INDEX(Техника!$G$1:$ABN$500,AA$2,0),$A$1215,INDEX(Техника!$H$1:$ABO$500,AA$2,0),"З")</f>
        <v>0</v>
      </c>
      <c r="AB1220" s="50">
        <f>SUMIFS(INDEX(Техника!$F$1:$ABM$500,AB$2,0),Техника!$F$4:$ABM$4,"Часы",INDEX(Техника!$G$1:$ABN$500,AB$2,0),$A$1215,INDEX(Техника!$H$1:$ABO$500,AB$2,0),"З")</f>
        <v>0</v>
      </c>
    </row>
    <row r="1221" spans="1:28" ht="7.95" customHeight="1" x14ac:dyDescent="0.3">
      <c r="A1221" s="38"/>
      <c r="B1221" s="39"/>
      <c r="C1221" s="51"/>
      <c r="D1221" s="51"/>
      <c r="E1221" s="51"/>
      <c r="F1221" s="51"/>
      <c r="G1221" s="51"/>
      <c r="H1221" s="51"/>
      <c r="I1221" s="51"/>
      <c r="J1221" s="51"/>
      <c r="K1221" s="51"/>
      <c r="L1221" s="51"/>
      <c r="M1221" s="51"/>
      <c r="N1221" s="51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51"/>
      <c r="AA1221" s="51"/>
      <c r="AB1221" s="51"/>
    </row>
    <row r="1222" spans="1:28" ht="25.05" customHeight="1" collapsed="1" x14ac:dyDescent="0.3">
      <c r="A1222" s="32">
        <v>175</v>
      </c>
      <c r="B1222" s="32" t="s">
        <v>176</v>
      </c>
      <c r="C1222" s="49">
        <f>SUM(C1223:C1227)</f>
        <v>0</v>
      </c>
      <c r="D1222" s="49">
        <f>SUM(D1223:D1227)</f>
        <v>0</v>
      </c>
      <c r="E1222" s="49">
        <f>SUM(E1223:E1227)</f>
        <v>0</v>
      </c>
      <c r="F1222" s="49">
        <f>SUM(F1223:F1227)</f>
        <v>0</v>
      </c>
      <c r="G1222" s="49">
        <f>SUM(G1223:G1227)</f>
        <v>0</v>
      </c>
      <c r="H1222" s="49">
        <f>SUM(H1223:H1227)</f>
        <v>0</v>
      </c>
      <c r="I1222" s="49">
        <f>SUM(I1223:I1227)</f>
        <v>0</v>
      </c>
      <c r="J1222" s="49">
        <f>SUM(J1223:J1227)</f>
        <v>0</v>
      </c>
      <c r="K1222" s="49">
        <f>SUM(K1223:K1227)</f>
        <v>0</v>
      </c>
      <c r="L1222" s="49">
        <f>SUM(L1223:L1227)</f>
        <v>0</v>
      </c>
      <c r="M1222" s="49">
        <f>SUM(M1223:M1227)</f>
        <v>0</v>
      </c>
      <c r="N1222" s="49">
        <f>SUM(N1223:N1227)</f>
        <v>0</v>
      </c>
      <c r="O1222" s="49">
        <f>SUM(O1223:O1227)</f>
        <v>0</v>
      </c>
      <c r="P1222" s="49">
        <f>SUM(P1223:P1227)</f>
        <v>0</v>
      </c>
      <c r="Q1222" s="49">
        <f>SUM(Q1223:Q1227)</f>
        <v>0</v>
      </c>
      <c r="R1222" s="49">
        <f>SUM(R1223:R1227)</f>
        <v>0</v>
      </c>
      <c r="S1222" s="49">
        <f>SUM(S1223:S1227)</f>
        <v>0</v>
      </c>
      <c r="T1222" s="49">
        <f>SUM(T1223:T1227)</f>
        <v>0</v>
      </c>
      <c r="U1222" s="49">
        <f>SUM(U1223:U1227)</f>
        <v>0</v>
      </c>
      <c r="V1222" s="49">
        <f>SUM(V1223:V1227)</f>
        <v>0</v>
      </c>
      <c r="W1222" s="49">
        <f>SUM(W1223:W1227)</f>
        <v>0</v>
      </c>
      <c r="X1222" s="49">
        <f>SUM(X1223:X1227)</f>
        <v>0</v>
      </c>
      <c r="Y1222" s="49">
        <f>SUM(Y1223:Y1227)</f>
        <v>0</v>
      </c>
      <c r="Z1222" s="49">
        <f>SUM(Z1223:Z1227)</f>
        <v>0</v>
      </c>
      <c r="AA1222" s="49">
        <f>SUM(AA1223:AA1227)</f>
        <v>0</v>
      </c>
      <c r="AB1222" s="49">
        <f>SUM(AB1223:AB1227)</f>
        <v>0</v>
      </c>
    </row>
    <row r="1223" spans="1:28" hidden="1" outlineLevel="1" x14ac:dyDescent="0.3">
      <c r="A1223" s="33" t="s">
        <v>246</v>
      </c>
      <c r="B1223" s="34" t="s">
        <v>274</v>
      </c>
      <c r="C1223" s="50">
        <f>SUMIFS(INDEX(Техника!$F$1:$ABM$500,C$2,0),Техника!$F$4:$ABM$4,"Часы",INDEX(Техника!$G$1:$ABN$500,C$2,0),$A$1222,INDEX(Техника!$H$1:$ABO$500,C$2,0),"М")</f>
        <v>0</v>
      </c>
      <c r="D1223" s="50">
        <f>SUMIFS(INDEX(Техника!$F$1:$ABM$500,D$2,0),Техника!$F$4:$ABM$4,"Часы",INDEX(Техника!$G$1:$ABN$500,D$2,0),$A$1222,INDEX(Техника!$H$1:$ABO$500,D$2,0),"М")</f>
        <v>0</v>
      </c>
      <c r="E1223" s="50">
        <f>SUMIFS(INDEX(Техника!$F$1:$ABM$500,E$2,0),Техника!$F$4:$ABM$4,"Часы",INDEX(Техника!$G$1:$ABN$500,E$2,0),$A$1222,INDEX(Техника!$H$1:$ABO$500,E$2,0),"М")</f>
        <v>0</v>
      </c>
      <c r="F1223" s="50">
        <f>SUMIFS(INDEX(Техника!$F$1:$ABM$500,F$2,0),Техника!$F$4:$ABM$4,"Часы",INDEX(Техника!$G$1:$ABN$500,F$2,0),$A$1222,INDEX(Техника!$H$1:$ABO$500,F$2,0),"М")</f>
        <v>0</v>
      </c>
      <c r="G1223" s="50">
        <f>SUMIFS(INDEX(Техника!$F$1:$ABM$500,G$2,0),Техника!$F$4:$ABM$4,"Часы",INDEX(Техника!$G$1:$ABN$500,G$2,0),$A$1222,INDEX(Техника!$H$1:$ABO$500,G$2,0),"М")</f>
        <v>0</v>
      </c>
      <c r="H1223" s="50">
        <f>SUMIFS(INDEX(Техника!$F$1:$ABM$500,H$2,0),Техника!$F$4:$ABM$4,"Часы",INDEX(Техника!$G$1:$ABN$500,H$2,0),$A$1222,INDEX(Техника!$H$1:$ABO$500,H$2,0),"М")</f>
        <v>0</v>
      </c>
      <c r="I1223" s="50">
        <f>SUMIFS(INDEX(Техника!$F$1:$ABM$500,I$2,0),Техника!$F$4:$ABM$4,"Часы",INDEX(Техника!$G$1:$ABN$500,I$2,0),$A$1222,INDEX(Техника!$H$1:$ABO$500,I$2,0),"М")</f>
        <v>0</v>
      </c>
      <c r="J1223" s="50">
        <f>SUMIFS(INDEX(Техника!$F$1:$ABM$500,J$2,0),Техника!$F$4:$ABM$4,"Часы",INDEX(Техника!$G$1:$ABN$500,J$2,0),$A$1222,INDEX(Техника!$H$1:$ABO$500,J$2,0),"М")</f>
        <v>0</v>
      </c>
      <c r="K1223" s="50">
        <f>SUMIFS(INDEX(Техника!$F$1:$ABM$500,K$2,0),Техника!$F$4:$ABM$4,"Часы",INDEX(Техника!$G$1:$ABN$500,K$2,0),$A$1222,INDEX(Техника!$H$1:$ABO$500,K$2,0),"М")</f>
        <v>0</v>
      </c>
      <c r="L1223" s="50">
        <f>SUMIFS(INDEX(Техника!$F$1:$ABM$500,L$2,0),Техника!$F$4:$ABM$4,"Часы",INDEX(Техника!$G$1:$ABN$500,L$2,0),$A$1222,INDEX(Техника!$H$1:$ABO$500,L$2,0),"М")</f>
        <v>0</v>
      </c>
      <c r="M1223" s="50">
        <f>SUMIFS(INDEX(Техника!$F$1:$ABM$500,M$2,0),Техника!$F$4:$ABM$4,"Часы",INDEX(Техника!$G$1:$ABN$500,M$2,0),$A$1222,INDEX(Техника!$H$1:$ABO$500,M$2,0),"М")</f>
        <v>0</v>
      </c>
      <c r="N1223" s="50">
        <f>SUMIFS(INDEX(Техника!$F$1:$ABM$500,N$2,0),Техника!$F$4:$ABM$4,"Часы",INDEX(Техника!$G$1:$ABN$500,N$2,0),$A$1222,INDEX(Техника!$H$1:$ABO$500,N$2,0),"М")</f>
        <v>0</v>
      </c>
      <c r="O1223" s="50">
        <f>SUMIFS(INDEX(Техника!$F$1:$ABM$500,O$2,0),Техника!$F$4:$ABM$4,"Часы",INDEX(Техника!$G$1:$ABN$500,O$2,0),$A$1222,INDEX(Техника!$H$1:$ABO$500,O$2,0),"М")</f>
        <v>0</v>
      </c>
      <c r="P1223" s="50">
        <f>SUMIFS(INDEX(Техника!$F$1:$ABM$500,P$2,0),Техника!$F$4:$ABM$4,"Часы",INDEX(Техника!$G$1:$ABN$500,P$2,0),$A$1222,INDEX(Техника!$H$1:$ABO$500,P$2,0),"М")</f>
        <v>0</v>
      </c>
      <c r="Q1223" s="50">
        <f>SUMIFS(INDEX(Техника!$F$1:$ABM$500,Q$2,0),Техника!$F$4:$ABM$4,"Часы",INDEX(Техника!$G$1:$ABN$500,Q$2,0),$A$1222,INDEX(Техника!$H$1:$ABO$500,Q$2,0),"М")</f>
        <v>0</v>
      </c>
      <c r="R1223" s="50">
        <f>SUMIFS(INDEX(Техника!$F$1:$ABM$500,R$2,0),Техника!$F$4:$ABM$4,"Часы",INDEX(Техника!$G$1:$ABN$500,R$2,0),$A$1222,INDEX(Техника!$H$1:$ABO$500,R$2,0),"М")</f>
        <v>0</v>
      </c>
      <c r="S1223" s="50">
        <f>SUMIFS(INDEX(Техника!$F$1:$ABM$500,S$2,0),Техника!$F$4:$ABM$4,"Часы",INDEX(Техника!$G$1:$ABN$500,S$2,0),$A$1222,INDEX(Техника!$H$1:$ABO$500,S$2,0),"М")</f>
        <v>0</v>
      </c>
      <c r="T1223" s="50">
        <f>SUMIFS(INDEX(Техника!$F$1:$ABM$500,T$2,0),Техника!$F$4:$ABM$4,"Часы",INDEX(Техника!$G$1:$ABN$500,T$2,0),$A$1222,INDEX(Техника!$H$1:$ABO$500,T$2,0),"М")</f>
        <v>0</v>
      </c>
      <c r="U1223" s="50">
        <f>SUMIFS(INDEX(Техника!$F$1:$ABM$500,U$2,0),Техника!$F$4:$ABM$4,"Часы",INDEX(Техника!$G$1:$ABN$500,U$2,0),$A$1222,INDEX(Техника!$H$1:$ABO$500,U$2,0),"М")</f>
        <v>0</v>
      </c>
      <c r="V1223" s="50">
        <f>SUMIFS(INDEX(Техника!$F$1:$ABM$500,V$2,0),Техника!$F$4:$ABM$4,"Часы",INDEX(Техника!$G$1:$ABN$500,V$2,0),$A$1222,INDEX(Техника!$H$1:$ABO$500,V$2,0),"М")</f>
        <v>0</v>
      </c>
      <c r="W1223" s="50">
        <f>SUMIFS(INDEX(Техника!$F$1:$ABM$500,W$2,0),Техника!$F$4:$ABM$4,"Часы",INDEX(Техника!$G$1:$ABN$500,W$2,0),$A$1222,INDEX(Техника!$H$1:$ABO$500,W$2,0),"М")</f>
        <v>0</v>
      </c>
      <c r="X1223" s="50">
        <f>SUMIFS(INDEX(Техника!$F$1:$ABM$500,X$2,0),Техника!$F$4:$ABM$4,"Часы",INDEX(Техника!$G$1:$ABN$500,X$2,0),$A$1222,INDEX(Техника!$H$1:$ABO$500,X$2,0),"М")</f>
        <v>0</v>
      </c>
      <c r="Y1223" s="50">
        <f>SUMIFS(INDEX(Техника!$F$1:$ABM$500,Y$2,0),Техника!$F$4:$ABM$4,"Часы",INDEX(Техника!$G$1:$ABN$500,Y$2,0),$A$1222,INDEX(Техника!$H$1:$ABO$500,Y$2,0),"М")</f>
        <v>0</v>
      </c>
      <c r="Z1223" s="50">
        <f>SUMIFS(INDEX(Техника!$F$1:$ABM$500,Z$2,0),Техника!$F$4:$ABM$4,"Часы",INDEX(Техника!$G$1:$ABN$500,Z$2,0),$A$1222,INDEX(Техника!$H$1:$ABO$500,Z$2,0),"М")</f>
        <v>0</v>
      </c>
      <c r="AA1223" s="50">
        <f>SUMIFS(INDEX(Техника!$F$1:$ABM$500,AA$2,0),Техника!$F$4:$ABM$4,"Часы",INDEX(Техника!$G$1:$ABN$500,AA$2,0),$A$1222,INDEX(Техника!$H$1:$ABO$500,AA$2,0),"М")</f>
        <v>0</v>
      </c>
      <c r="AB1223" s="50">
        <f>SUMIFS(INDEX(Техника!$F$1:$ABM$500,AB$2,0),Техника!$F$4:$ABM$4,"Часы",INDEX(Техника!$G$1:$ABN$500,AB$2,0),$A$1222,INDEX(Техника!$H$1:$ABO$500,AB$2,0),"М")</f>
        <v>0</v>
      </c>
    </row>
    <row r="1224" spans="1:28" hidden="1" outlineLevel="1" x14ac:dyDescent="0.3">
      <c r="A1224" s="33" t="s">
        <v>244</v>
      </c>
      <c r="B1224" s="34" t="s">
        <v>275</v>
      </c>
      <c r="C1224" s="50">
        <f>SUMIFS(INDEX(Техника!$F$1:$ABM$500,C$2,0),Техника!$F$4:$ABM$4,"Часы",INDEX(Техника!$G$1:$ABN$500,C$2,0),$A$1222,INDEX(Техника!$H$1:$ABO$500,C$2,0),"Д")</f>
        <v>0</v>
      </c>
      <c r="D1224" s="50">
        <f>SUMIFS(INDEX(Техника!$F$1:$ABM$500,D$2,0),Техника!$F$4:$ABM$4,"Часы",INDEX(Техника!$G$1:$ABN$500,D$2,0),$A$1222,INDEX(Техника!$H$1:$ABO$500,D$2,0),"Д")</f>
        <v>0</v>
      </c>
      <c r="E1224" s="50">
        <f>SUMIFS(INDEX(Техника!$F$1:$ABM$500,E$2,0),Техника!$F$4:$ABM$4,"Часы",INDEX(Техника!$G$1:$ABN$500,E$2,0),$A$1222,INDEX(Техника!$H$1:$ABO$500,E$2,0),"Д")</f>
        <v>0</v>
      </c>
      <c r="F1224" s="50">
        <f>SUMIFS(INDEX(Техника!$F$1:$ABM$500,F$2,0),Техника!$F$4:$ABM$4,"Часы",INDEX(Техника!$G$1:$ABN$500,F$2,0),$A$1222,INDEX(Техника!$H$1:$ABO$500,F$2,0),"Д")</f>
        <v>0</v>
      </c>
      <c r="G1224" s="50">
        <f>SUMIFS(INDEX(Техника!$F$1:$ABM$500,G$2,0),Техника!$F$4:$ABM$4,"Часы",INDEX(Техника!$G$1:$ABN$500,G$2,0),$A$1222,INDEX(Техника!$H$1:$ABO$500,G$2,0),"Д")</f>
        <v>0</v>
      </c>
      <c r="H1224" s="50">
        <f>SUMIFS(INDEX(Техника!$F$1:$ABM$500,H$2,0),Техника!$F$4:$ABM$4,"Часы",INDEX(Техника!$G$1:$ABN$500,H$2,0),$A$1222,INDEX(Техника!$H$1:$ABO$500,H$2,0),"Д")</f>
        <v>0</v>
      </c>
      <c r="I1224" s="50">
        <f>SUMIFS(INDEX(Техника!$F$1:$ABM$500,I$2,0),Техника!$F$4:$ABM$4,"Часы",INDEX(Техника!$G$1:$ABN$500,I$2,0),$A$1222,INDEX(Техника!$H$1:$ABO$500,I$2,0),"Д")</f>
        <v>0</v>
      </c>
      <c r="J1224" s="50">
        <f>SUMIFS(INDEX(Техника!$F$1:$ABM$500,J$2,0),Техника!$F$4:$ABM$4,"Часы",INDEX(Техника!$G$1:$ABN$500,J$2,0),$A$1222,INDEX(Техника!$H$1:$ABO$500,J$2,0),"Д")</f>
        <v>0</v>
      </c>
      <c r="K1224" s="50">
        <f>SUMIFS(INDEX(Техника!$F$1:$ABM$500,K$2,0),Техника!$F$4:$ABM$4,"Часы",INDEX(Техника!$G$1:$ABN$500,K$2,0),$A$1222,INDEX(Техника!$H$1:$ABO$500,K$2,0),"Д")</f>
        <v>0</v>
      </c>
      <c r="L1224" s="50">
        <f>SUMIFS(INDEX(Техника!$F$1:$ABM$500,L$2,0),Техника!$F$4:$ABM$4,"Часы",INDEX(Техника!$G$1:$ABN$500,L$2,0),$A$1222,INDEX(Техника!$H$1:$ABO$500,L$2,0),"Д")</f>
        <v>0</v>
      </c>
      <c r="M1224" s="50">
        <f>SUMIFS(INDEX(Техника!$F$1:$ABM$500,M$2,0),Техника!$F$4:$ABM$4,"Часы",INDEX(Техника!$G$1:$ABN$500,M$2,0),$A$1222,INDEX(Техника!$H$1:$ABO$500,M$2,0),"Д")</f>
        <v>0</v>
      </c>
      <c r="N1224" s="50">
        <f>SUMIFS(INDEX(Техника!$F$1:$ABM$500,N$2,0),Техника!$F$4:$ABM$4,"Часы",INDEX(Техника!$G$1:$ABN$500,N$2,0),$A$1222,INDEX(Техника!$H$1:$ABO$500,N$2,0),"Д")</f>
        <v>0</v>
      </c>
      <c r="O1224" s="50">
        <f>SUMIFS(INDEX(Техника!$F$1:$ABM$500,O$2,0),Техника!$F$4:$ABM$4,"Часы",INDEX(Техника!$G$1:$ABN$500,O$2,0),$A$1222,INDEX(Техника!$H$1:$ABO$500,O$2,0),"Д")</f>
        <v>0</v>
      </c>
      <c r="P1224" s="50">
        <f>SUMIFS(INDEX(Техника!$F$1:$ABM$500,P$2,0),Техника!$F$4:$ABM$4,"Часы",INDEX(Техника!$G$1:$ABN$500,P$2,0),$A$1222,INDEX(Техника!$H$1:$ABO$500,P$2,0),"Д")</f>
        <v>0</v>
      </c>
      <c r="Q1224" s="50">
        <f>SUMIFS(INDEX(Техника!$F$1:$ABM$500,Q$2,0),Техника!$F$4:$ABM$4,"Часы",INDEX(Техника!$G$1:$ABN$500,Q$2,0),$A$1222,INDEX(Техника!$H$1:$ABO$500,Q$2,0),"Д")</f>
        <v>0</v>
      </c>
      <c r="R1224" s="50">
        <f>SUMIFS(INDEX(Техника!$F$1:$ABM$500,R$2,0),Техника!$F$4:$ABM$4,"Часы",INDEX(Техника!$G$1:$ABN$500,R$2,0),$A$1222,INDEX(Техника!$H$1:$ABO$500,R$2,0),"Д")</f>
        <v>0</v>
      </c>
      <c r="S1224" s="50">
        <f>SUMIFS(INDEX(Техника!$F$1:$ABM$500,S$2,0),Техника!$F$4:$ABM$4,"Часы",INDEX(Техника!$G$1:$ABN$500,S$2,0),$A$1222,INDEX(Техника!$H$1:$ABO$500,S$2,0),"Д")</f>
        <v>0</v>
      </c>
      <c r="T1224" s="50">
        <f>SUMIFS(INDEX(Техника!$F$1:$ABM$500,T$2,0),Техника!$F$4:$ABM$4,"Часы",INDEX(Техника!$G$1:$ABN$500,T$2,0),$A$1222,INDEX(Техника!$H$1:$ABO$500,T$2,0),"Д")</f>
        <v>0</v>
      </c>
      <c r="U1224" s="50">
        <f>SUMIFS(INDEX(Техника!$F$1:$ABM$500,U$2,0),Техника!$F$4:$ABM$4,"Часы",INDEX(Техника!$G$1:$ABN$500,U$2,0),$A$1222,INDEX(Техника!$H$1:$ABO$500,U$2,0),"Д")</f>
        <v>0</v>
      </c>
      <c r="V1224" s="50">
        <f>SUMIFS(INDEX(Техника!$F$1:$ABM$500,V$2,0),Техника!$F$4:$ABM$4,"Часы",INDEX(Техника!$G$1:$ABN$500,V$2,0),$A$1222,INDEX(Техника!$H$1:$ABO$500,V$2,0),"Д")</f>
        <v>0</v>
      </c>
      <c r="W1224" s="50">
        <f>SUMIFS(INDEX(Техника!$F$1:$ABM$500,W$2,0),Техника!$F$4:$ABM$4,"Часы",INDEX(Техника!$G$1:$ABN$500,W$2,0),$A$1222,INDEX(Техника!$H$1:$ABO$500,W$2,0),"Д")</f>
        <v>0</v>
      </c>
      <c r="X1224" s="50">
        <f>SUMIFS(INDEX(Техника!$F$1:$ABM$500,X$2,0),Техника!$F$4:$ABM$4,"Часы",INDEX(Техника!$G$1:$ABN$500,X$2,0),$A$1222,INDEX(Техника!$H$1:$ABO$500,X$2,0),"Д")</f>
        <v>0</v>
      </c>
      <c r="Y1224" s="50">
        <f>SUMIFS(INDEX(Техника!$F$1:$ABM$500,Y$2,0),Техника!$F$4:$ABM$4,"Часы",INDEX(Техника!$G$1:$ABN$500,Y$2,0),$A$1222,INDEX(Техника!$H$1:$ABO$500,Y$2,0),"Д")</f>
        <v>0</v>
      </c>
      <c r="Z1224" s="50">
        <f>SUMIFS(INDEX(Техника!$F$1:$ABM$500,Z$2,0),Техника!$F$4:$ABM$4,"Часы",INDEX(Техника!$G$1:$ABN$500,Z$2,0),$A$1222,INDEX(Техника!$H$1:$ABO$500,Z$2,0),"Д")</f>
        <v>0</v>
      </c>
      <c r="AA1224" s="50">
        <f>SUMIFS(INDEX(Техника!$F$1:$ABM$500,AA$2,0),Техника!$F$4:$ABM$4,"Часы",INDEX(Техника!$G$1:$ABN$500,AA$2,0),$A$1222,INDEX(Техника!$H$1:$ABO$500,AA$2,0),"Д")</f>
        <v>0</v>
      </c>
      <c r="AB1224" s="50">
        <f>SUMIFS(INDEX(Техника!$F$1:$ABM$500,AB$2,0),Техника!$F$4:$ABM$4,"Часы",INDEX(Техника!$G$1:$ABN$500,AB$2,0),$A$1222,INDEX(Техника!$H$1:$ABO$500,AB$2,0),"Д")</f>
        <v>0</v>
      </c>
    </row>
    <row r="1225" spans="1:28" hidden="1" outlineLevel="1" x14ac:dyDescent="0.3">
      <c r="A1225" s="33" t="s">
        <v>276</v>
      </c>
      <c r="B1225" s="34" t="s">
        <v>277</v>
      </c>
      <c r="C1225" s="50">
        <f>SUMIFS(INDEX(Техника!$F$1:$ABM$500,C$2,0),Техника!$F$4:$ABM$4,"Часы",INDEX(Техника!$G$1:$ABN$500,C$2,0),$A$1222,INDEX(Техника!$H$1:$ABO$500,C$2,0),"П")</f>
        <v>0</v>
      </c>
      <c r="D1225" s="50">
        <f>SUMIFS(INDEX(Техника!$F$1:$ABM$500,D$2,0),Техника!$F$4:$ABM$4,"Часы",INDEX(Техника!$G$1:$ABN$500,D$2,0),$A$1222,INDEX(Техника!$H$1:$ABO$500,D$2,0),"П")</f>
        <v>0</v>
      </c>
      <c r="E1225" s="50">
        <f>SUMIFS(INDEX(Техника!$F$1:$ABM$500,E$2,0),Техника!$F$4:$ABM$4,"Часы",INDEX(Техника!$G$1:$ABN$500,E$2,0),$A$1222,INDEX(Техника!$H$1:$ABO$500,E$2,0),"П")</f>
        <v>0</v>
      </c>
      <c r="F1225" s="50">
        <f>SUMIFS(INDEX(Техника!$F$1:$ABM$500,F$2,0),Техника!$F$4:$ABM$4,"Часы",INDEX(Техника!$G$1:$ABN$500,F$2,0),$A$1222,INDEX(Техника!$H$1:$ABO$500,F$2,0),"П")</f>
        <v>0</v>
      </c>
      <c r="G1225" s="50">
        <f>SUMIFS(INDEX(Техника!$F$1:$ABM$500,G$2,0),Техника!$F$4:$ABM$4,"Часы",INDEX(Техника!$G$1:$ABN$500,G$2,0),$A$1222,INDEX(Техника!$H$1:$ABO$500,G$2,0),"П")</f>
        <v>0</v>
      </c>
      <c r="H1225" s="50">
        <f>SUMIFS(INDEX(Техника!$F$1:$ABM$500,H$2,0),Техника!$F$4:$ABM$4,"Часы",INDEX(Техника!$G$1:$ABN$500,H$2,0),$A$1222,INDEX(Техника!$H$1:$ABO$500,H$2,0),"П")</f>
        <v>0</v>
      </c>
      <c r="I1225" s="50">
        <f>SUMIFS(INDEX(Техника!$F$1:$ABM$500,I$2,0),Техника!$F$4:$ABM$4,"Часы",INDEX(Техника!$G$1:$ABN$500,I$2,0),$A$1222,INDEX(Техника!$H$1:$ABO$500,I$2,0),"П")</f>
        <v>0</v>
      </c>
      <c r="J1225" s="50">
        <f>SUMIFS(INDEX(Техника!$F$1:$ABM$500,J$2,0),Техника!$F$4:$ABM$4,"Часы",INDEX(Техника!$G$1:$ABN$500,J$2,0),$A$1222,INDEX(Техника!$H$1:$ABO$500,J$2,0),"П")</f>
        <v>0</v>
      </c>
      <c r="K1225" s="50">
        <f>SUMIFS(INDEX(Техника!$F$1:$ABM$500,K$2,0),Техника!$F$4:$ABM$4,"Часы",INDEX(Техника!$G$1:$ABN$500,K$2,0),$A$1222,INDEX(Техника!$H$1:$ABO$500,K$2,0),"П")</f>
        <v>0</v>
      </c>
      <c r="L1225" s="50">
        <f>SUMIFS(INDEX(Техника!$F$1:$ABM$500,L$2,0),Техника!$F$4:$ABM$4,"Часы",INDEX(Техника!$G$1:$ABN$500,L$2,0),$A$1222,INDEX(Техника!$H$1:$ABO$500,L$2,0),"П")</f>
        <v>0</v>
      </c>
      <c r="M1225" s="50">
        <f>SUMIFS(INDEX(Техника!$F$1:$ABM$500,M$2,0),Техника!$F$4:$ABM$4,"Часы",INDEX(Техника!$G$1:$ABN$500,M$2,0),$A$1222,INDEX(Техника!$H$1:$ABO$500,M$2,0),"П")</f>
        <v>0</v>
      </c>
      <c r="N1225" s="50">
        <f>SUMIFS(INDEX(Техника!$F$1:$ABM$500,N$2,0),Техника!$F$4:$ABM$4,"Часы",INDEX(Техника!$G$1:$ABN$500,N$2,0),$A$1222,INDEX(Техника!$H$1:$ABO$500,N$2,0),"П")</f>
        <v>0</v>
      </c>
      <c r="O1225" s="50">
        <f>SUMIFS(INDEX(Техника!$F$1:$ABM$500,O$2,0),Техника!$F$4:$ABM$4,"Часы",INDEX(Техника!$G$1:$ABN$500,O$2,0),$A$1222,INDEX(Техника!$H$1:$ABO$500,O$2,0),"П")</f>
        <v>0</v>
      </c>
      <c r="P1225" s="50">
        <f>SUMIFS(INDEX(Техника!$F$1:$ABM$500,P$2,0),Техника!$F$4:$ABM$4,"Часы",INDEX(Техника!$G$1:$ABN$500,P$2,0),$A$1222,INDEX(Техника!$H$1:$ABO$500,P$2,0),"П")</f>
        <v>0</v>
      </c>
      <c r="Q1225" s="50">
        <f>SUMIFS(INDEX(Техника!$F$1:$ABM$500,Q$2,0),Техника!$F$4:$ABM$4,"Часы",INDEX(Техника!$G$1:$ABN$500,Q$2,0),$A$1222,INDEX(Техника!$H$1:$ABO$500,Q$2,0),"П")</f>
        <v>0</v>
      </c>
      <c r="R1225" s="50">
        <f>SUMIFS(INDEX(Техника!$F$1:$ABM$500,R$2,0),Техника!$F$4:$ABM$4,"Часы",INDEX(Техника!$G$1:$ABN$500,R$2,0),$A$1222,INDEX(Техника!$H$1:$ABO$500,R$2,0),"П")</f>
        <v>0</v>
      </c>
      <c r="S1225" s="50">
        <f>SUMIFS(INDEX(Техника!$F$1:$ABM$500,S$2,0),Техника!$F$4:$ABM$4,"Часы",INDEX(Техника!$G$1:$ABN$500,S$2,0),$A$1222,INDEX(Техника!$H$1:$ABO$500,S$2,0),"П")</f>
        <v>0</v>
      </c>
      <c r="T1225" s="50">
        <f>SUMIFS(INDEX(Техника!$F$1:$ABM$500,T$2,0),Техника!$F$4:$ABM$4,"Часы",INDEX(Техника!$G$1:$ABN$500,T$2,0),$A$1222,INDEX(Техника!$H$1:$ABO$500,T$2,0),"П")</f>
        <v>0</v>
      </c>
      <c r="U1225" s="50">
        <f>SUMIFS(INDEX(Техника!$F$1:$ABM$500,U$2,0),Техника!$F$4:$ABM$4,"Часы",INDEX(Техника!$G$1:$ABN$500,U$2,0),$A$1222,INDEX(Техника!$H$1:$ABO$500,U$2,0),"П")</f>
        <v>0</v>
      </c>
      <c r="V1225" s="50">
        <f>SUMIFS(INDEX(Техника!$F$1:$ABM$500,V$2,0),Техника!$F$4:$ABM$4,"Часы",INDEX(Техника!$G$1:$ABN$500,V$2,0),$A$1222,INDEX(Техника!$H$1:$ABO$500,V$2,0),"П")</f>
        <v>0</v>
      </c>
      <c r="W1225" s="50">
        <f>SUMIFS(INDEX(Техника!$F$1:$ABM$500,W$2,0),Техника!$F$4:$ABM$4,"Часы",INDEX(Техника!$G$1:$ABN$500,W$2,0),$A$1222,INDEX(Техника!$H$1:$ABO$500,W$2,0),"П")</f>
        <v>0</v>
      </c>
      <c r="X1225" s="50">
        <f>SUMIFS(INDEX(Техника!$F$1:$ABM$500,X$2,0),Техника!$F$4:$ABM$4,"Часы",INDEX(Техника!$G$1:$ABN$500,X$2,0),$A$1222,INDEX(Техника!$H$1:$ABO$500,X$2,0),"П")</f>
        <v>0</v>
      </c>
      <c r="Y1225" s="50">
        <f>SUMIFS(INDEX(Техника!$F$1:$ABM$500,Y$2,0),Техника!$F$4:$ABM$4,"Часы",INDEX(Техника!$G$1:$ABN$500,Y$2,0),$A$1222,INDEX(Техника!$H$1:$ABO$500,Y$2,0),"П")</f>
        <v>0</v>
      </c>
      <c r="Z1225" s="50">
        <f>SUMIFS(INDEX(Техника!$F$1:$ABM$500,Z$2,0),Техника!$F$4:$ABM$4,"Часы",INDEX(Техника!$G$1:$ABN$500,Z$2,0),$A$1222,INDEX(Техника!$H$1:$ABO$500,Z$2,0),"П")</f>
        <v>0</v>
      </c>
      <c r="AA1225" s="50">
        <f>SUMIFS(INDEX(Техника!$F$1:$ABM$500,AA$2,0),Техника!$F$4:$ABM$4,"Часы",INDEX(Техника!$G$1:$ABN$500,AA$2,0),$A$1222,INDEX(Техника!$H$1:$ABO$500,AA$2,0),"П")</f>
        <v>0</v>
      </c>
      <c r="AB1225" s="50">
        <f>SUMIFS(INDEX(Техника!$F$1:$ABM$500,AB$2,0),Техника!$F$4:$ABM$4,"Часы",INDEX(Техника!$G$1:$ABN$500,AB$2,0),$A$1222,INDEX(Техника!$H$1:$ABO$500,AB$2,0),"П")</f>
        <v>0</v>
      </c>
    </row>
    <row r="1226" spans="1:28" hidden="1" outlineLevel="1" x14ac:dyDescent="0.3">
      <c r="A1226" s="33" t="s">
        <v>243</v>
      </c>
      <c r="B1226" s="34" t="s">
        <v>278</v>
      </c>
      <c r="C1226" s="50">
        <f>SUMIFS(INDEX(Техника!$F$1:$ABM$500,C$2,0),Техника!$F$4:$ABM$4,"Часы",INDEX(Техника!$G$1:$ABN$500,C$2,0),$A$1222,INDEX(Техника!$H$1:$ABO$500,C$2,0),"Л")</f>
        <v>0</v>
      </c>
      <c r="D1226" s="50">
        <f>SUMIFS(INDEX(Техника!$F$1:$ABM$500,D$2,0),Техника!$F$4:$ABM$4,"Часы",INDEX(Техника!$G$1:$ABN$500,D$2,0),$A$1222,INDEX(Техника!$H$1:$ABO$500,D$2,0),"Л")</f>
        <v>0</v>
      </c>
      <c r="E1226" s="50">
        <f>SUMIFS(INDEX(Техника!$F$1:$ABM$500,E$2,0),Техника!$F$4:$ABM$4,"Часы",INDEX(Техника!$G$1:$ABN$500,E$2,0),$A$1222,INDEX(Техника!$H$1:$ABO$500,E$2,0),"Л")</f>
        <v>0</v>
      </c>
      <c r="F1226" s="50">
        <f>SUMIFS(INDEX(Техника!$F$1:$ABM$500,F$2,0),Техника!$F$4:$ABM$4,"Часы",INDEX(Техника!$G$1:$ABN$500,F$2,0),$A$1222,INDEX(Техника!$H$1:$ABO$500,F$2,0),"Л")</f>
        <v>0</v>
      </c>
      <c r="G1226" s="50">
        <f>SUMIFS(INDEX(Техника!$F$1:$ABM$500,G$2,0),Техника!$F$4:$ABM$4,"Часы",INDEX(Техника!$G$1:$ABN$500,G$2,0),$A$1222,INDEX(Техника!$H$1:$ABO$500,G$2,0),"Л")</f>
        <v>0</v>
      </c>
      <c r="H1226" s="50">
        <f>SUMIFS(INDEX(Техника!$F$1:$ABM$500,H$2,0),Техника!$F$4:$ABM$4,"Часы",INDEX(Техника!$G$1:$ABN$500,H$2,0),$A$1222,INDEX(Техника!$H$1:$ABO$500,H$2,0),"Л")</f>
        <v>0</v>
      </c>
      <c r="I1226" s="50">
        <f>SUMIFS(INDEX(Техника!$F$1:$ABM$500,I$2,0),Техника!$F$4:$ABM$4,"Часы",INDEX(Техника!$G$1:$ABN$500,I$2,0),$A$1222,INDEX(Техника!$H$1:$ABO$500,I$2,0),"Л")</f>
        <v>0</v>
      </c>
      <c r="J1226" s="50">
        <f>SUMIFS(INDEX(Техника!$F$1:$ABM$500,J$2,0),Техника!$F$4:$ABM$4,"Часы",INDEX(Техника!$G$1:$ABN$500,J$2,0),$A$1222,INDEX(Техника!$H$1:$ABO$500,J$2,0),"Л")</f>
        <v>0</v>
      </c>
      <c r="K1226" s="50">
        <f>SUMIFS(INDEX(Техника!$F$1:$ABM$500,K$2,0),Техника!$F$4:$ABM$4,"Часы",INDEX(Техника!$G$1:$ABN$500,K$2,0),$A$1222,INDEX(Техника!$H$1:$ABO$500,K$2,0),"Л")</f>
        <v>0</v>
      </c>
      <c r="L1226" s="50">
        <f>SUMIFS(INDEX(Техника!$F$1:$ABM$500,L$2,0),Техника!$F$4:$ABM$4,"Часы",INDEX(Техника!$G$1:$ABN$500,L$2,0),$A$1222,INDEX(Техника!$H$1:$ABO$500,L$2,0),"Л")</f>
        <v>0</v>
      </c>
      <c r="M1226" s="50">
        <f>SUMIFS(INDEX(Техника!$F$1:$ABM$500,M$2,0),Техника!$F$4:$ABM$4,"Часы",INDEX(Техника!$G$1:$ABN$500,M$2,0),$A$1222,INDEX(Техника!$H$1:$ABO$500,M$2,0),"Л")</f>
        <v>0</v>
      </c>
      <c r="N1226" s="50">
        <f>SUMIFS(INDEX(Техника!$F$1:$ABM$500,N$2,0),Техника!$F$4:$ABM$4,"Часы",INDEX(Техника!$G$1:$ABN$500,N$2,0),$A$1222,INDEX(Техника!$H$1:$ABO$500,N$2,0),"Л")</f>
        <v>0</v>
      </c>
      <c r="O1226" s="50">
        <f>SUMIFS(INDEX(Техника!$F$1:$ABM$500,O$2,0),Техника!$F$4:$ABM$4,"Часы",INDEX(Техника!$G$1:$ABN$500,O$2,0),$A$1222,INDEX(Техника!$H$1:$ABO$500,O$2,0),"Л")</f>
        <v>0</v>
      </c>
      <c r="P1226" s="50">
        <f>SUMIFS(INDEX(Техника!$F$1:$ABM$500,P$2,0),Техника!$F$4:$ABM$4,"Часы",INDEX(Техника!$G$1:$ABN$500,P$2,0),$A$1222,INDEX(Техника!$H$1:$ABO$500,P$2,0),"Л")</f>
        <v>0</v>
      </c>
      <c r="Q1226" s="50">
        <f>SUMIFS(INDEX(Техника!$F$1:$ABM$500,Q$2,0),Техника!$F$4:$ABM$4,"Часы",INDEX(Техника!$G$1:$ABN$500,Q$2,0),$A$1222,INDEX(Техника!$H$1:$ABO$500,Q$2,0),"Л")</f>
        <v>0</v>
      </c>
      <c r="R1226" s="50">
        <f>SUMIFS(INDEX(Техника!$F$1:$ABM$500,R$2,0),Техника!$F$4:$ABM$4,"Часы",INDEX(Техника!$G$1:$ABN$500,R$2,0),$A$1222,INDEX(Техника!$H$1:$ABO$500,R$2,0),"Л")</f>
        <v>0</v>
      </c>
      <c r="S1226" s="50">
        <f>SUMIFS(INDEX(Техника!$F$1:$ABM$500,S$2,0),Техника!$F$4:$ABM$4,"Часы",INDEX(Техника!$G$1:$ABN$500,S$2,0),$A$1222,INDEX(Техника!$H$1:$ABO$500,S$2,0),"Л")</f>
        <v>0</v>
      </c>
      <c r="T1226" s="50">
        <f>SUMIFS(INDEX(Техника!$F$1:$ABM$500,T$2,0),Техника!$F$4:$ABM$4,"Часы",INDEX(Техника!$G$1:$ABN$500,T$2,0),$A$1222,INDEX(Техника!$H$1:$ABO$500,T$2,0),"Л")</f>
        <v>0</v>
      </c>
      <c r="U1226" s="50">
        <f>SUMIFS(INDEX(Техника!$F$1:$ABM$500,U$2,0),Техника!$F$4:$ABM$4,"Часы",INDEX(Техника!$G$1:$ABN$500,U$2,0),$A$1222,INDEX(Техника!$H$1:$ABO$500,U$2,0),"Л")</f>
        <v>0</v>
      </c>
      <c r="V1226" s="50">
        <f>SUMIFS(INDEX(Техника!$F$1:$ABM$500,V$2,0),Техника!$F$4:$ABM$4,"Часы",INDEX(Техника!$G$1:$ABN$500,V$2,0),$A$1222,INDEX(Техника!$H$1:$ABO$500,V$2,0),"Л")</f>
        <v>0</v>
      </c>
      <c r="W1226" s="50">
        <f>SUMIFS(INDEX(Техника!$F$1:$ABM$500,W$2,0),Техника!$F$4:$ABM$4,"Часы",INDEX(Техника!$G$1:$ABN$500,W$2,0),$A$1222,INDEX(Техника!$H$1:$ABO$500,W$2,0),"Л")</f>
        <v>0</v>
      </c>
      <c r="X1226" s="50">
        <f>SUMIFS(INDEX(Техника!$F$1:$ABM$500,X$2,0),Техника!$F$4:$ABM$4,"Часы",INDEX(Техника!$G$1:$ABN$500,X$2,0),$A$1222,INDEX(Техника!$H$1:$ABO$500,X$2,0),"Л")</f>
        <v>0</v>
      </c>
      <c r="Y1226" s="50">
        <f>SUMIFS(INDEX(Техника!$F$1:$ABM$500,Y$2,0),Техника!$F$4:$ABM$4,"Часы",INDEX(Техника!$G$1:$ABN$500,Y$2,0),$A$1222,INDEX(Техника!$H$1:$ABO$500,Y$2,0),"Л")</f>
        <v>0</v>
      </c>
      <c r="Z1226" s="50">
        <f>SUMIFS(INDEX(Техника!$F$1:$ABM$500,Z$2,0),Техника!$F$4:$ABM$4,"Часы",INDEX(Техника!$G$1:$ABN$500,Z$2,0),$A$1222,INDEX(Техника!$H$1:$ABO$500,Z$2,0),"Л")</f>
        <v>0</v>
      </c>
      <c r="AA1226" s="50">
        <f>SUMIFS(INDEX(Техника!$F$1:$ABM$500,AA$2,0),Техника!$F$4:$ABM$4,"Часы",INDEX(Техника!$G$1:$ABN$500,AA$2,0),$A$1222,INDEX(Техника!$H$1:$ABO$500,AA$2,0),"Л")</f>
        <v>0</v>
      </c>
      <c r="AB1226" s="50">
        <f>SUMIFS(INDEX(Техника!$F$1:$ABM$500,AB$2,0),Техника!$F$4:$ABM$4,"Часы",INDEX(Техника!$G$1:$ABN$500,AB$2,0),$A$1222,INDEX(Техника!$H$1:$ABO$500,AB$2,0),"Л")</f>
        <v>0</v>
      </c>
    </row>
    <row r="1227" spans="1:28" hidden="1" outlineLevel="1" x14ac:dyDescent="0.3">
      <c r="A1227" s="33" t="s">
        <v>245</v>
      </c>
      <c r="B1227" s="34" t="s">
        <v>279</v>
      </c>
      <c r="C1227" s="50">
        <f>SUMIFS(INDEX(Техника!$F$1:$ABM$500,C$2,0),Техника!$F$4:$ABM$4,"Часы",INDEX(Техника!$G$1:$ABN$500,C$2,0),$A$1222,INDEX(Техника!$H$1:$ABO$500,C$2,0),"З")</f>
        <v>0</v>
      </c>
      <c r="D1227" s="50">
        <f>SUMIFS(INDEX(Техника!$F$1:$ABM$500,D$2,0),Техника!$F$4:$ABM$4,"Часы",INDEX(Техника!$G$1:$ABN$500,D$2,0),$A$1222,INDEX(Техника!$H$1:$ABO$500,D$2,0),"З")</f>
        <v>0</v>
      </c>
      <c r="E1227" s="50">
        <f>SUMIFS(INDEX(Техника!$F$1:$ABM$500,E$2,0),Техника!$F$4:$ABM$4,"Часы",INDEX(Техника!$G$1:$ABN$500,E$2,0),$A$1222,INDEX(Техника!$H$1:$ABO$500,E$2,0),"З")</f>
        <v>0</v>
      </c>
      <c r="F1227" s="50">
        <f>SUMIFS(INDEX(Техника!$F$1:$ABM$500,F$2,0),Техника!$F$4:$ABM$4,"Часы",INDEX(Техника!$G$1:$ABN$500,F$2,0),$A$1222,INDEX(Техника!$H$1:$ABO$500,F$2,0),"З")</f>
        <v>0</v>
      </c>
      <c r="G1227" s="50">
        <f>SUMIFS(INDEX(Техника!$F$1:$ABM$500,G$2,0),Техника!$F$4:$ABM$4,"Часы",INDEX(Техника!$G$1:$ABN$500,G$2,0),$A$1222,INDEX(Техника!$H$1:$ABO$500,G$2,0),"З")</f>
        <v>0</v>
      </c>
      <c r="H1227" s="50">
        <f>SUMIFS(INDEX(Техника!$F$1:$ABM$500,H$2,0),Техника!$F$4:$ABM$4,"Часы",INDEX(Техника!$G$1:$ABN$500,H$2,0),$A$1222,INDEX(Техника!$H$1:$ABO$500,H$2,0),"З")</f>
        <v>0</v>
      </c>
      <c r="I1227" s="50">
        <f>SUMIFS(INDEX(Техника!$F$1:$ABM$500,I$2,0),Техника!$F$4:$ABM$4,"Часы",INDEX(Техника!$G$1:$ABN$500,I$2,0),$A$1222,INDEX(Техника!$H$1:$ABO$500,I$2,0),"З")</f>
        <v>0</v>
      </c>
      <c r="J1227" s="50">
        <f>SUMIFS(INDEX(Техника!$F$1:$ABM$500,J$2,0),Техника!$F$4:$ABM$4,"Часы",INDEX(Техника!$G$1:$ABN$500,J$2,0),$A$1222,INDEX(Техника!$H$1:$ABO$500,J$2,0),"З")</f>
        <v>0</v>
      </c>
      <c r="K1227" s="50">
        <f>SUMIFS(INDEX(Техника!$F$1:$ABM$500,K$2,0),Техника!$F$4:$ABM$4,"Часы",INDEX(Техника!$G$1:$ABN$500,K$2,0),$A$1222,INDEX(Техника!$H$1:$ABO$500,K$2,0),"З")</f>
        <v>0</v>
      </c>
      <c r="L1227" s="50">
        <f>SUMIFS(INDEX(Техника!$F$1:$ABM$500,L$2,0),Техника!$F$4:$ABM$4,"Часы",INDEX(Техника!$G$1:$ABN$500,L$2,0),$A$1222,INDEX(Техника!$H$1:$ABO$500,L$2,0),"З")</f>
        <v>0</v>
      </c>
      <c r="M1227" s="50">
        <f>SUMIFS(INDEX(Техника!$F$1:$ABM$500,M$2,0),Техника!$F$4:$ABM$4,"Часы",INDEX(Техника!$G$1:$ABN$500,M$2,0),$A$1222,INDEX(Техника!$H$1:$ABO$500,M$2,0),"З")</f>
        <v>0</v>
      </c>
      <c r="N1227" s="50">
        <f>SUMIFS(INDEX(Техника!$F$1:$ABM$500,N$2,0),Техника!$F$4:$ABM$4,"Часы",INDEX(Техника!$G$1:$ABN$500,N$2,0),$A$1222,INDEX(Техника!$H$1:$ABO$500,N$2,0),"З")</f>
        <v>0</v>
      </c>
      <c r="O1227" s="50">
        <f>SUMIFS(INDEX(Техника!$F$1:$ABM$500,O$2,0),Техника!$F$4:$ABM$4,"Часы",INDEX(Техника!$G$1:$ABN$500,O$2,0),$A$1222,INDEX(Техника!$H$1:$ABO$500,O$2,0),"З")</f>
        <v>0</v>
      </c>
      <c r="P1227" s="50">
        <f>SUMIFS(INDEX(Техника!$F$1:$ABM$500,P$2,0),Техника!$F$4:$ABM$4,"Часы",INDEX(Техника!$G$1:$ABN$500,P$2,0),$A$1222,INDEX(Техника!$H$1:$ABO$500,P$2,0),"З")</f>
        <v>0</v>
      </c>
      <c r="Q1227" s="50">
        <f>SUMIFS(INDEX(Техника!$F$1:$ABM$500,Q$2,0),Техника!$F$4:$ABM$4,"Часы",INDEX(Техника!$G$1:$ABN$500,Q$2,0),$A$1222,INDEX(Техника!$H$1:$ABO$500,Q$2,0),"З")</f>
        <v>0</v>
      </c>
      <c r="R1227" s="50">
        <f>SUMIFS(INDEX(Техника!$F$1:$ABM$500,R$2,0),Техника!$F$4:$ABM$4,"Часы",INDEX(Техника!$G$1:$ABN$500,R$2,0),$A$1222,INDEX(Техника!$H$1:$ABO$500,R$2,0),"З")</f>
        <v>0</v>
      </c>
      <c r="S1227" s="50">
        <f>SUMIFS(INDEX(Техника!$F$1:$ABM$500,S$2,0),Техника!$F$4:$ABM$4,"Часы",INDEX(Техника!$G$1:$ABN$500,S$2,0),$A$1222,INDEX(Техника!$H$1:$ABO$500,S$2,0),"З")</f>
        <v>0</v>
      </c>
      <c r="T1227" s="50">
        <f>SUMIFS(INDEX(Техника!$F$1:$ABM$500,T$2,0),Техника!$F$4:$ABM$4,"Часы",INDEX(Техника!$G$1:$ABN$500,T$2,0),$A$1222,INDEX(Техника!$H$1:$ABO$500,T$2,0),"З")</f>
        <v>0</v>
      </c>
      <c r="U1227" s="50">
        <f>SUMIFS(INDEX(Техника!$F$1:$ABM$500,U$2,0),Техника!$F$4:$ABM$4,"Часы",INDEX(Техника!$G$1:$ABN$500,U$2,0),$A$1222,INDEX(Техника!$H$1:$ABO$500,U$2,0),"З")</f>
        <v>0</v>
      </c>
      <c r="V1227" s="50">
        <f>SUMIFS(INDEX(Техника!$F$1:$ABM$500,V$2,0),Техника!$F$4:$ABM$4,"Часы",INDEX(Техника!$G$1:$ABN$500,V$2,0),$A$1222,INDEX(Техника!$H$1:$ABO$500,V$2,0),"З")</f>
        <v>0</v>
      </c>
      <c r="W1227" s="50">
        <f>SUMIFS(INDEX(Техника!$F$1:$ABM$500,W$2,0),Техника!$F$4:$ABM$4,"Часы",INDEX(Техника!$G$1:$ABN$500,W$2,0),$A$1222,INDEX(Техника!$H$1:$ABO$500,W$2,0),"З")</f>
        <v>0</v>
      </c>
      <c r="X1227" s="50">
        <f>SUMIFS(INDEX(Техника!$F$1:$ABM$500,X$2,0),Техника!$F$4:$ABM$4,"Часы",INDEX(Техника!$G$1:$ABN$500,X$2,0),$A$1222,INDEX(Техника!$H$1:$ABO$500,X$2,0),"З")</f>
        <v>0</v>
      </c>
      <c r="Y1227" s="50">
        <f>SUMIFS(INDEX(Техника!$F$1:$ABM$500,Y$2,0),Техника!$F$4:$ABM$4,"Часы",INDEX(Техника!$G$1:$ABN$500,Y$2,0),$A$1222,INDEX(Техника!$H$1:$ABO$500,Y$2,0),"З")</f>
        <v>0</v>
      </c>
      <c r="Z1227" s="50">
        <f>SUMIFS(INDEX(Техника!$F$1:$ABM$500,Z$2,0),Техника!$F$4:$ABM$4,"Часы",INDEX(Техника!$G$1:$ABN$500,Z$2,0),$A$1222,INDEX(Техника!$H$1:$ABO$500,Z$2,0),"З")</f>
        <v>0</v>
      </c>
      <c r="AA1227" s="50">
        <f>SUMIFS(INDEX(Техника!$F$1:$ABM$500,AA$2,0),Техника!$F$4:$ABM$4,"Часы",INDEX(Техника!$G$1:$ABN$500,AA$2,0),$A$1222,INDEX(Техника!$H$1:$ABO$500,AA$2,0),"З")</f>
        <v>0</v>
      </c>
      <c r="AB1227" s="50">
        <f>SUMIFS(INDEX(Техника!$F$1:$ABM$500,AB$2,0),Техника!$F$4:$ABM$4,"Часы",INDEX(Техника!$G$1:$ABN$500,AB$2,0),$A$1222,INDEX(Техника!$H$1:$ABO$500,AB$2,0),"З")</f>
        <v>0</v>
      </c>
    </row>
    <row r="1228" spans="1:28" ht="7.95" customHeight="1" x14ac:dyDescent="0.3">
      <c r="A1228" s="38"/>
      <c r="B1228" s="39"/>
      <c r="C1228" s="51"/>
      <c r="D1228" s="51"/>
      <c r="E1228" s="51"/>
      <c r="F1228" s="51"/>
      <c r="G1228" s="51"/>
      <c r="H1228" s="51"/>
      <c r="I1228" s="51"/>
      <c r="J1228" s="51"/>
      <c r="K1228" s="51"/>
      <c r="L1228" s="51"/>
      <c r="M1228" s="51"/>
      <c r="N1228" s="51"/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  <c r="AA1228" s="51"/>
      <c r="AB1228" s="51"/>
    </row>
    <row r="1229" spans="1:28" ht="25.05" customHeight="1" collapsed="1" x14ac:dyDescent="0.3">
      <c r="A1229" s="32">
        <v>176</v>
      </c>
      <c r="B1229" s="32" t="s">
        <v>177</v>
      </c>
      <c r="C1229" s="49">
        <f>SUM(C1230:C1234)</f>
        <v>0</v>
      </c>
      <c r="D1229" s="49">
        <f>SUM(D1230:D1234)</f>
        <v>0</v>
      </c>
      <c r="E1229" s="49">
        <f>SUM(E1230:E1234)</f>
        <v>0</v>
      </c>
      <c r="F1229" s="49">
        <f>SUM(F1230:F1234)</f>
        <v>0</v>
      </c>
      <c r="G1229" s="49">
        <f>SUM(G1230:G1234)</f>
        <v>0</v>
      </c>
      <c r="H1229" s="49">
        <f>SUM(H1230:H1234)</f>
        <v>0</v>
      </c>
      <c r="I1229" s="49">
        <f>SUM(I1230:I1234)</f>
        <v>0</v>
      </c>
      <c r="J1229" s="49">
        <f>SUM(J1230:J1234)</f>
        <v>0</v>
      </c>
      <c r="K1229" s="49">
        <f>SUM(K1230:K1234)</f>
        <v>0</v>
      </c>
      <c r="L1229" s="49">
        <f>SUM(L1230:L1234)</f>
        <v>0</v>
      </c>
      <c r="M1229" s="49">
        <f>SUM(M1230:M1234)</f>
        <v>0</v>
      </c>
      <c r="N1229" s="49">
        <f>SUM(N1230:N1234)</f>
        <v>0</v>
      </c>
      <c r="O1229" s="49">
        <f>SUM(O1230:O1234)</f>
        <v>0</v>
      </c>
      <c r="P1229" s="49">
        <f>SUM(P1230:P1234)</f>
        <v>0</v>
      </c>
      <c r="Q1229" s="49">
        <f>SUM(Q1230:Q1234)</f>
        <v>0</v>
      </c>
      <c r="R1229" s="49">
        <f>SUM(R1230:R1234)</f>
        <v>0</v>
      </c>
      <c r="S1229" s="49">
        <f>SUM(S1230:S1234)</f>
        <v>0</v>
      </c>
      <c r="T1229" s="49">
        <f>SUM(T1230:T1234)</f>
        <v>0</v>
      </c>
      <c r="U1229" s="49">
        <f>SUM(U1230:U1234)</f>
        <v>0</v>
      </c>
      <c r="V1229" s="49">
        <f>SUM(V1230:V1234)</f>
        <v>0</v>
      </c>
      <c r="W1229" s="49">
        <f>SUM(W1230:W1234)</f>
        <v>0</v>
      </c>
      <c r="X1229" s="49">
        <f>SUM(X1230:X1234)</f>
        <v>0</v>
      </c>
      <c r="Y1229" s="49">
        <f>SUM(Y1230:Y1234)</f>
        <v>0</v>
      </c>
      <c r="Z1229" s="49">
        <f>SUM(Z1230:Z1234)</f>
        <v>0</v>
      </c>
      <c r="AA1229" s="49">
        <f>SUM(AA1230:AA1234)</f>
        <v>0</v>
      </c>
      <c r="AB1229" s="49">
        <f>SUM(AB1230:AB1234)</f>
        <v>0</v>
      </c>
    </row>
    <row r="1230" spans="1:28" hidden="1" outlineLevel="1" x14ac:dyDescent="0.3">
      <c r="A1230" s="33" t="s">
        <v>246</v>
      </c>
      <c r="B1230" s="34" t="s">
        <v>274</v>
      </c>
      <c r="C1230" s="50">
        <f>SUMIFS(INDEX(Техника!$F$1:$ABM$500,C$2,0),Техника!$F$4:$ABM$4,"Часы",INDEX(Техника!$G$1:$ABN$500,C$2,0),$A$1229,INDEX(Техника!$H$1:$ABO$500,C$2,0),"М")</f>
        <v>0</v>
      </c>
      <c r="D1230" s="50">
        <f>SUMIFS(INDEX(Техника!$F$1:$ABM$500,D$2,0),Техника!$F$4:$ABM$4,"Часы",INDEX(Техника!$G$1:$ABN$500,D$2,0),$A$1229,INDEX(Техника!$H$1:$ABO$500,D$2,0),"М")</f>
        <v>0</v>
      </c>
      <c r="E1230" s="50">
        <f>SUMIFS(INDEX(Техника!$F$1:$ABM$500,E$2,0),Техника!$F$4:$ABM$4,"Часы",INDEX(Техника!$G$1:$ABN$500,E$2,0),$A$1229,INDEX(Техника!$H$1:$ABO$500,E$2,0),"М")</f>
        <v>0</v>
      </c>
      <c r="F1230" s="50">
        <f>SUMIFS(INDEX(Техника!$F$1:$ABM$500,F$2,0),Техника!$F$4:$ABM$4,"Часы",INDEX(Техника!$G$1:$ABN$500,F$2,0),$A$1229,INDEX(Техника!$H$1:$ABO$500,F$2,0),"М")</f>
        <v>0</v>
      </c>
      <c r="G1230" s="50">
        <f>SUMIFS(INDEX(Техника!$F$1:$ABM$500,G$2,0),Техника!$F$4:$ABM$4,"Часы",INDEX(Техника!$G$1:$ABN$500,G$2,0),$A$1229,INDEX(Техника!$H$1:$ABO$500,G$2,0),"М")</f>
        <v>0</v>
      </c>
      <c r="H1230" s="50">
        <f>SUMIFS(INDEX(Техника!$F$1:$ABM$500,H$2,0),Техника!$F$4:$ABM$4,"Часы",INDEX(Техника!$G$1:$ABN$500,H$2,0),$A$1229,INDEX(Техника!$H$1:$ABO$500,H$2,0),"М")</f>
        <v>0</v>
      </c>
      <c r="I1230" s="50">
        <f>SUMIFS(INDEX(Техника!$F$1:$ABM$500,I$2,0),Техника!$F$4:$ABM$4,"Часы",INDEX(Техника!$G$1:$ABN$500,I$2,0),$A$1229,INDEX(Техника!$H$1:$ABO$500,I$2,0),"М")</f>
        <v>0</v>
      </c>
      <c r="J1230" s="50">
        <f>SUMIFS(INDEX(Техника!$F$1:$ABM$500,J$2,0),Техника!$F$4:$ABM$4,"Часы",INDEX(Техника!$G$1:$ABN$500,J$2,0),$A$1229,INDEX(Техника!$H$1:$ABO$500,J$2,0),"М")</f>
        <v>0</v>
      </c>
      <c r="K1230" s="50">
        <f>SUMIFS(INDEX(Техника!$F$1:$ABM$500,K$2,0),Техника!$F$4:$ABM$4,"Часы",INDEX(Техника!$G$1:$ABN$500,K$2,0),$A$1229,INDEX(Техника!$H$1:$ABO$500,K$2,0),"М")</f>
        <v>0</v>
      </c>
      <c r="L1230" s="50">
        <f>SUMIFS(INDEX(Техника!$F$1:$ABM$500,L$2,0),Техника!$F$4:$ABM$4,"Часы",INDEX(Техника!$G$1:$ABN$500,L$2,0),$A$1229,INDEX(Техника!$H$1:$ABO$500,L$2,0),"М")</f>
        <v>0</v>
      </c>
      <c r="M1230" s="50">
        <f>SUMIFS(INDEX(Техника!$F$1:$ABM$500,M$2,0),Техника!$F$4:$ABM$4,"Часы",INDEX(Техника!$G$1:$ABN$500,M$2,0),$A$1229,INDEX(Техника!$H$1:$ABO$500,M$2,0),"М")</f>
        <v>0</v>
      </c>
      <c r="N1230" s="50">
        <f>SUMIFS(INDEX(Техника!$F$1:$ABM$500,N$2,0),Техника!$F$4:$ABM$4,"Часы",INDEX(Техника!$G$1:$ABN$500,N$2,0),$A$1229,INDEX(Техника!$H$1:$ABO$500,N$2,0),"М")</f>
        <v>0</v>
      </c>
      <c r="O1230" s="50">
        <f>SUMIFS(INDEX(Техника!$F$1:$ABM$500,O$2,0),Техника!$F$4:$ABM$4,"Часы",INDEX(Техника!$G$1:$ABN$500,O$2,0),$A$1229,INDEX(Техника!$H$1:$ABO$500,O$2,0),"М")</f>
        <v>0</v>
      </c>
      <c r="P1230" s="50">
        <f>SUMIFS(INDEX(Техника!$F$1:$ABM$500,P$2,0),Техника!$F$4:$ABM$4,"Часы",INDEX(Техника!$G$1:$ABN$500,P$2,0),$A$1229,INDEX(Техника!$H$1:$ABO$500,P$2,0),"М")</f>
        <v>0</v>
      </c>
      <c r="Q1230" s="50">
        <f>SUMIFS(INDEX(Техника!$F$1:$ABM$500,Q$2,0),Техника!$F$4:$ABM$4,"Часы",INDEX(Техника!$G$1:$ABN$500,Q$2,0),$A$1229,INDEX(Техника!$H$1:$ABO$500,Q$2,0),"М")</f>
        <v>0</v>
      </c>
      <c r="R1230" s="50">
        <f>SUMIFS(INDEX(Техника!$F$1:$ABM$500,R$2,0),Техника!$F$4:$ABM$4,"Часы",INDEX(Техника!$G$1:$ABN$500,R$2,0),$A$1229,INDEX(Техника!$H$1:$ABO$500,R$2,0),"М")</f>
        <v>0</v>
      </c>
      <c r="S1230" s="50">
        <f>SUMIFS(INDEX(Техника!$F$1:$ABM$500,S$2,0),Техника!$F$4:$ABM$4,"Часы",INDEX(Техника!$G$1:$ABN$500,S$2,0),$A$1229,INDEX(Техника!$H$1:$ABO$500,S$2,0),"М")</f>
        <v>0</v>
      </c>
      <c r="T1230" s="50">
        <f>SUMIFS(INDEX(Техника!$F$1:$ABM$500,T$2,0),Техника!$F$4:$ABM$4,"Часы",INDEX(Техника!$G$1:$ABN$500,T$2,0),$A$1229,INDEX(Техника!$H$1:$ABO$500,T$2,0),"М")</f>
        <v>0</v>
      </c>
      <c r="U1230" s="50">
        <f>SUMIFS(INDEX(Техника!$F$1:$ABM$500,U$2,0),Техника!$F$4:$ABM$4,"Часы",INDEX(Техника!$G$1:$ABN$500,U$2,0),$A$1229,INDEX(Техника!$H$1:$ABO$500,U$2,0),"М")</f>
        <v>0</v>
      </c>
      <c r="V1230" s="50">
        <f>SUMIFS(INDEX(Техника!$F$1:$ABM$500,V$2,0),Техника!$F$4:$ABM$4,"Часы",INDEX(Техника!$G$1:$ABN$500,V$2,0),$A$1229,INDEX(Техника!$H$1:$ABO$500,V$2,0),"М")</f>
        <v>0</v>
      </c>
      <c r="W1230" s="50">
        <f>SUMIFS(INDEX(Техника!$F$1:$ABM$500,W$2,0),Техника!$F$4:$ABM$4,"Часы",INDEX(Техника!$G$1:$ABN$500,W$2,0),$A$1229,INDEX(Техника!$H$1:$ABO$500,W$2,0),"М")</f>
        <v>0</v>
      </c>
      <c r="X1230" s="50">
        <f>SUMIFS(INDEX(Техника!$F$1:$ABM$500,X$2,0),Техника!$F$4:$ABM$4,"Часы",INDEX(Техника!$G$1:$ABN$500,X$2,0),$A$1229,INDEX(Техника!$H$1:$ABO$500,X$2,0),"М")</f>
        <v>0</v>
      </c>
      <c r="Y1230" s="50">
        <f>SUMIFS(INDEX(Техника!$F$1:$ABM$500,Y$2,0),Техника!$F$4:$ABM$4,"Часы",INDEX(Техника!$G$1:$ABN$500,Y$2,0),$A$1229,INDEX(Техника!$H$1:$ABO$500,Y$2,0),"М")</f>
        <v>0</v>
      </c>
      <c r="Z1230" s="50">
        <f>SUMIFS(INDEX(Техника!$F$1:$ABM$500,Z$2,0),Техника!$F$4:$ABM$4,"Часы",INDEX(Техника!$G$1:$ABN$500,Z$2,0),$A$1229,INDEX(Техника!$H$1:$ABO$500,Z$2,0),"М")</f>
        <v>0</v>
      </c>
      <c r="AA1230" s="50">
        <f>SUMIFS(INDEX(Техника!$F$1:$ABM$500,AA$2,0),Техника!$F$4:$ABM$4,"Часы",INDEX(Техника!$G$1:$ABN$500,AA$2,0),$A$1229,INDEX(Техника!$H$1:$ABO$500,AA$2,0),"М")</f>
        <v>0</v>
      </c>
      <c r="AB1230" s="50">
        <f>SUMIFS(INDEX(Техника!$F$1:$ABM$500,AB$2,0),Техника!$F$4:$ABM$4,"Часы",INDEX(Техника!$G$1:$ABN$500,AB$2,0),$A$1229,INDEX(Техника!$H$1:$ABO$500,AB$2,0),"М")</f>
        <v>0</v>
      </c>
    </row>
    <row r="1231" spans="1:28" hidden="1" outlineLevel="1" x14ac:dyDescent="0.3">
      <c r="A1231" s="33" t="s">
        <v>244</v>
      </c>
      <c r="B1231" s="34" t="s">
        <v>275</v>
      </c>
      <c r="C1231" s="50">
        <f>SUMIFS(INDEX(Техника!$F$1:$ABM$500,C$2,0),Техника!$F$4:$ABM$4,"Часы",INDEX(Техника!$G$1:$ABN$500,C$2,0),$A$1229,INDEX(Техника!$H$1:$ABO$500,C$2,0),"Д")</f>
        <v>0</v>
      </c>
      <c r="D1231" s="50">
        <f>SUMIFS(INDEX(Техника!$F$1:$ABM$500,D$2,0),Техника!$F$4:$ABM$4,"Часы",INDEX(Техника!$G$1:$ABN$500,D$2,0),$A$1229,INDEX(Техника!$H$1:$ABO$500,D$2,0),"Д")</f>
        <v>0</v>
      </c>
      <c r="E1231" s="50">
        <f>SUMIFS(INDEX(Техника!$F$1:$ABM$500,E$2,0),Техника!$F$4:$ABM$4,"Часы",INDEX(Техника!$G$1:$ABN$500,E$2,0),$A$1229,INDEX(Техника!$H$1:$ABO$500,E$2,0),"Д")</f>
        <v>0</v>
      </c>
      <c r="F1231" s="50">
        <f>SUMIFS(INDEX(Техника!$F$1:$ABM$500,F$2,0),Техника!$F$4:$ABM$4,"Часы",INDEX(Техника!$G$1:$ABN$500,F$2,0),$A$1229,INDEX(Техника!$H$1:$ABO$500,F$2,0),"Д")</f>
        <v>0</v>
      </c>
      <c r="G1231" s="50">
        <f>SUMIFS(INDEX(Техника!$F$1:$ABM$500,G$2,0),Техника!$F$4:$ABM$4,"Часы",INDEX(Техника!$G$1:$ABN$500,G$2,0),$A$1229,INDEX(Техника!$H$1:$ABO$500,G$2,0),"Д")</f>
        <v>0</v>
      </c>
      <c r="H1231" s="50">
        <f>SUMIFS(INDEX(Техника!$F$1:$ABM$500,H$2,0),Техника!$F$4:$ABM$4,"Часы",INDEX(Техника!$G$1:$ABN$500,H$2,0),$A$1229,INDEX(Техника!$H$1:$ABO$500,H$2,0),"Д")</f>
        <v>0</v>
      </c>
      <c r="I1231" s="50">
        <f>SUMIFS(INDEX(Техника!$F$1:$ABM$500,I$2,0),Техника!$F$4:$ABM$4,"Часы",INDEX(Техника!$G$1:$ABN$500,I$2,0),$A$1229,INDEX(Техника!$H$1:$ABO$500,I$2,0),"Д")</f>
        <v>0</v>
      </c>
      <c r="J1231" s="50">
        <f>SUMIFS(INDEX(Техника!$F$1:$ABM$500,J$2,0),Техника!$F$4:$ABM$4,"Часы",INDEX(Техника!$G$1:$ABN$500,J$2,0),$A$1229,INDEX(Техника!$H$1:$ABO$500,J$2,0),"Д")</f>
        <v>0</v>
      </c>
      <c r="K1231" s="50">
        <f>SUMIFS(INDEX(Техника!$F$1:$ABM$500,K$2,0),Техника!$F$4:$ABM$4,"Часы",INDEX(Техника!$G$1:$ABN$500,K$2,0),$A$1229,INDEX(Техника!$H$1:$ABO$500,K$2,0),"Д")</f>
        <v>0</v>
      </c>
      <c r="L1231" s="50">
        <f>SUMIFS(INDEX(Техника!$F$1:$ABM$500,L$2,0),Техника!$F$4:$ABM$4,"Часы",INDEX(Техника!$G$1:$ABN$500,L$2,0),$A$1229,INDEX(Техника!$H$1:$ABO$500,L$2,0),"Д")</f>
        <v>0</v>
      </c>
      <c r="M1231" s="50">
        <f>SUMIFS(INDEX(Техника!$F$1:$ABM$500,M$2,0),Техника!$F$4:$ABM$4,"Часы",INDEX(Техника!$G$1:$ABN$500,M$2,0),$A$1229,INDEX(Техника!$H$1:$ABO$500,M$2,0),"Д")</f>
        <v>0</v>
      </c>
      <c r="N1231" s="50">
        <f>SUMIFS(INDEX(Техника!$F$1:$ABM$500,N$2,0),Техника!$F$4:$ABM$4,"Часы",INDEX(Техника!$G$1:$ABN$500,N$2,0),$A$1229,INDEX(Техника!$H$1:$ABO$500,N$2,0),"Д")</f>
        <v>0</v>
      </c>
      <c r="O1231" s="50">
        <f>SUMIFS(INDEX(Техника!$F$1:$ABM$500,O$2,0),Техника!$F$4:$ABM$4,"Часы",INDEX(Техника!$G$1:$ABN$500,O$2,0),$A$1229,INDEX(Техника!$H$1:$ABO$500,O$2,0),"Д")</f>
        <v>0</v>
      </c>
      <c r="P1231" s="50">
        <f>SUMIFS(INDEX(Техника!$F$1:$ABM$500,P$2,0),Техника!$F$4:$ABM$4,"Часы",INDEX(Техника!$G$1:$ABN$500,P$2,0),$A$1229,INDEX(Техника!$H$1:$ABO$500,P$2,0),"Д")</f>
        <v>0</v>
      </c>
      <c r="Q1231" s="50">
        <f>SUMIFS(INDEX(Техника!$F$1:$ABM$500,Q$2,0),Техника!$F$4:$ABM$4,"Часы",INDEX(Техника!$G$1:$ABN$500,Q$2,0),$A$1229,INDEX(Техника!$H$1:$ABO$500,Q$2,0),"Д")</f>
        <v>0</v>
      </c>
      <c r="R1231" s="50">
        <f>SUMIFS(INDEX(Техника!$F$1:$ABM$500,R$2,0),Техника!$F$4:$ABM$4,"Часы",INDEX(Техника!$G$1:$ABN$500,R$2,0),$A$1229,INDEX(Техника!$H$1:$ABO$500,R$2,0),"Д")</f>
        <v>0</v>
      </c>
      <c r="S1231" s="50">
        <f>SUMIFS(INDEX(Техника!$F$1:$ABM$500,S$2,0),Техника!$F$4:$ABM$4,"Часы",INDEX(Техника!$G$1:$ABN$500,S$2,0),$A$1229,INDEX(Техника!$H$1:$ABO$500,S$2,0),"Д")</f>
        <v>0</v>
      </c>
      <c r="T1231" s="50">
        <f>SUMIFS(INDEX(Техника!$F$1:$ABM$500,T$2,0),Техника!$F$4:$ABM$4,"Часы",INDEX(Техника!$G$1:$ABN$500,T$2,0),$A$1229,INDEX(Техника!$H$1:$ABO$500,T$2,0),"Д")</f>
        <v>0</v>
      </c>
      <c r="U1231" s="50">
        <f>SUMIFS(INDEX(Техника!$F$1:$ABM$500,U$2,0),Техника!$F$4:$ABM$4,"Часы",INDEX(Техника!$G$1:$ABN$500,U$2,0),$A$1229,INDEX(Техника!$H$1:$ABO$500,U$2,0),"Д")</f>
        <v>0</v>
      </c>
      <c r="V1231" s="50">
        <f>SUMIFS(INDEX(Техника!$F$1:$ABM$500,V$2,0),Техника!$F$4:$ABM$4,"Часы",INDEX(Техника!$G$1:$ABN$500,V$2,0),$A$1229,INDEX(Техника!$H$1:$ABO$500,V$2,0),"Д")</f>
        <v>0</v>
      </c>
      <c r="W1231" s="50">
        <f>SUMIFS(INDEX(Техника!$F$1:$ABM$500,W$2,0),Техника!$F$4:$ABM$4,"Часы",INDEX(Техника!$G$1:$ABN$500,W$2,0),$A$1229,INDEX(Техника!$H$1:$ABO$500,W$2,0),"Д")</f>
        <v>0</v>
      </c>
      <c r="X1231" s="50">
        <f>SUMIFS(INDEX(Техника!$F$1:$ABM$500,X$2,0),Техника!$F$4:$ABM$4,"Часы",INDEX(Техника!$G$1:$ABN$500,X$2,0),$A$1229,INDEX(Техника!$H$1:$ABO$500,X$2,0),"Д")</f>
        <v>0</v>
      </c>
      <c r="Y1231" s="50">
        <f>SUMIFS(INDEX(Техника!$F$1:$ABM$500,Y$2,0),Техника!$F$4:$ABM$4,"Часы",INDEX(Техника!$G$1:$ABN$500,Y$2,0),$A$1229,INDEX(Техника!$H$1:$ABO$500,Y$2,0),"Д")</f>
        <v>0</v>
      </c>
      <c r="Z1231" s="50">
        <f>SUMIFS(INDEX(Техника!$F$1:$ABM$500,Z$2,0),Техника!$F$4:$ABM$4,"Часы",INDEX(Техника!$G$1:$ABN$500,Z$2,0),$A$1229,INDEX(Техника!$H$1:$ABO$500,Z$2,0),"Д")</f>
        <v>0</v>
      </c>
      <c r="AA1231" s="50">
        <f>SUMIFS(INDEX(Техника!$F$1:$ABM$500,AA$2,0),Техника!$F$4:$ABM$4,"Часы",INDEX(Техника!$G$1:$ABN$500,AA$2,0),$A$1229,INDEX(Техника!$H$1:$ABO$500,AA$2,0),"Д")</f>
        <v>0</v>
      </c>
      <c r="AB1231" s="50">
        <f>SUMIFS(INDEX(Техника!$F$1:$ABM$500,AB$2,0),Техника!$F$4:$ABM$4,"Часы",INDEX(Техника!$G$1:$ABN$500,AB$2,0),$A$1229,INDEX(Техника!$H$1:$ABO$500,AB$2,0),"Д")</f>
        <v>0</v>
      </c>
    </row>
    <row r="1232" spans="1:28" hidden="1" outlineLevel="1" x14ac:dyDescent="0.3">
      <c r="A1232" s="33" t="s">
        <v>276</v>
      </c>
      <c r="B1232" s="34" t="s">
        <v>277</v>
      </c>
      <c r="C1232" s="50">
        <f>SUMIFS(INDEX(Техника!$F$1:$ABM$500,C$2,0),Техника!$F$4:$ABM$4,"Часы",INDEX(Техника!$G$1:$ABN$500,C$2,0),$A$1229,INDEX(Техника!$H$1:$ABO$500,C$2,0),"П")</f>
        <v>0</v>
      </c>
      <c r="D1232" s="50">
        <f>SUMIFS(INDEX(Техника!$F$1:$ABM$500,D$2,0),Техника!$F$4:$ABM$4,"Часы",INDEX(Техника!$G$1:$ABN$500,D$2,0),$A$1229,INDEX(Техника!$H$1:$ABO$500,D$2,0),"П")</f>
        <v>0</v>
      </c>
      <c r="E1232" s="50">
        <f>SUMIFS(INDEX(Техника!$F$1:$ABM$500,E$2,0),Техника!$F$4:$ABM$4,"Часы",INDEX(Техника!$G$1:$ABN$500,E$2,0),$A$1229,INDEX(Техника!$H$1:$ABO$500,E$2,0),"П")</f>
        <v>0</v>
      </c>
      <c r="F1232" s="50">
        <f>SUMIFS(INDEX(Техника!$F$1:$ABM$500,F$2,0),Техника!$F$4:$ABM$4,"Часы",INDEX(Техника!$G$1:$ABN$500,F$2,0),$A$1229,INDEX(Техника!$H$1:$ABO$500,F$2,0),"П")</f>
        <v>0</v>
      </c>
      <c r="G1232" s="50">
        <f>SUMIFS(INDEX(Техника!$F$1:$ABM$500,G$2,0),Техника!$F$4:$ABM$4,"Часы",INDEX(Техника!$G$1:$ABN$500,G$2,0),$A$1229,INDEX(Техника!$H$1:$ABO$500,G$2,0),"П")</f>
        <v>0</v>
      </c>
      <c r="H1232" s="50">
        <f>SUMIFS(INDEX(Техника!$F$1:$ABM$500,H$2,0),Техника!$F$4:$ABM$4,"Часы",INDEX(Техника!$G$1:$ABN$500,H$2,0),$A$1229,INDEX(Техника!$H$1:$ABO$500,H$2,0),"П")</f>
        <v>0</v>
      </c>
      <c r="I1232" s="50">
        <f>SUMIFS(INDEX(Техника!$F$1:$ABM$500,I$2,0),Техника!$F$4:$ABM$4,"Часы",INDEX(Техника!$G$1:$ABN$500,I$2,0),$A$1229,INDEX(Техника!$H$1:$ABO$500,I$2,0),"П")</f>
        <v>0</v>
      </c>
      <c r="J1232" s="50">
        <f>SUMIFS(INDEX(Техника!$F$1:$ABM$500,J$2,0),Техника!$F$4:$ABM$4,"Часы",INDEX(Техника!$G$1:$ABN$500,J$2,0),$A$1229,INDEX(Техника!$H$1:$ABO$500,J$2,0),"П")</f>
        <v>0</v>
      </c>
      <c r="K1232" s="50">
        <f>SUMIFS(INDEX(Техника!$F$1:$ABM$500,K$2,0),Техника!$F$4:$ABM$4,"Часы",INDEX(Техника!$G$1:$ABN$500,K$2,0),$A$1229,INDEX(Техника!$H$1:$ABO$500,K$2,0),"П")</f>
        <v>0</v>
      </c>
      <c r="L1232" s="50">
        <f>SUMIFS(INDEX(Техника!$F$1:$ABM$500,L$2,0),Техника!$F$4:$ABM$4,"Часы",INDEX(Техника!$G$1:$ABN$500,L$2,0),$A$1229,INDEX(Техника!$H$1:$ABO$500,L$2,0),"П")</f>
        <v>0</v>
      </c>
      <c r="M1232" s="50">
        <f>SUMIFS(INDEX(Техника!$F$1:$ABM$500,M$2,0),Техника!$F$4:$ABM$4,"Часы",INDEX(Техника!$G$1:$ABN$500,M$2,0),$A$1229,INDEX(Техника!$H$1:$ABO$500,M$2,0),"П")</f>
        <v>0</v>
      </c>
      <c r="N1232" s="50">
        <f>SUMIFS(INDEX(Техника!$F$1:$ABM$500,N$2,0),Техника!$F$4:$ABM$4,"Часы",INDEX(Техника!$G$1:$ABN$500,N$2,0),$A$1229,INDEX(Техника!$H$1:$ABO$500,N$2,0),"П")</f>
        <v>0</v>
      </c>
      <c r="O1232" s="50">
        <f>SUMIFS(INDEX(Техника!$F$1:$ABM$500,O$2,0),Техника!$F$4:$ABM$4,"Часы",INDEX(Техника!$G$1:$ABN$500,O$2,0),$A$1229,INDEX(Техника!$H$1:$ABO$500,O$2,0),"П")</f>
        <v>0</v>
      </c>
      <c r="P1232" s="50">
        <f>SUMIFS(INDEX(Техника!$F$1:$ABM$500,P$2,0),Техника!$F$4:$ABM$4,"Часы",INDEX(Техника!$G$1:$ABN$500,P$2,0),$A$1229,INDEX(Техника!$H$1:$ABO$500,P$2,0),"П")</f>
        <v>0</v>
      </c>
      <c r="Q1232" s="50">
        <f>SUMIFS(INDEX(Техника!$F$1:$ABM$500,Q$2,0),Техника!$F$4:$ABM$4,"Часы",INDEX(Техника!$G$1:$ABN$500,Q$2,0),$A$1229,INDEX(Техника!$H$1:$ABO$500,Q$2,0),"П")</f>
        <v>0</v>
      </c>
      <c r="R1232" s="50">
        <f>SUMIFS(INDEX(Техника!$F$1:$ABM$500,R$2,0),Техника!$F$4:$ABM$4,"Часы",INDEX(Техника!$G$1:$ABN$500,R$2,0),$A$1229,INDEX(Техника!$H$1:$ABO$500,R$2,0),"П")</f>
        <v>0</v>
      </c>
      <c r="S1232" s="50">
        <f>SUMIFS(INDEX(Техника!$F$1:$ABM$500,S$2,0),Техника!$F$4:$ABM$4,"Часы",INDEX(Техника!$G$1:$ABN$500,S$2,0),$A$1229,INDEX(Техника!$H$1:$ABO$500,S$2,0),"П")</f>
        <v>0</v>
      </c>
      <c r="T1232" s="50">
        <f>SUMIFS(INDEX(Техника!$F$1:$ABM$500,T$2,0),Техника!$F$4:$ABM$4,"Часы",INDEX(Техника!$G$1:$ABN$500,T$2,0),$A$1229,INDEX(Техника!$H$1:$ABO$500,T$2,0),"П")</f>
        <v>0</v>
      </c>
      <c r="U1232" s="50">
        <f>SUMIFS(INDEX(Техника!$F$1:$ABM$500,U$2,0),Техника!$F$4:$ABM$4,"Часы",INDEX(Техника!$G$1:$ABN$500,U$2,0),$A$1229,INDEX(Техника!$H$1:$ABO$500,U$2,0),"П")</f>
        <v>0</v>
      </c>
      <c r="V1232" s="50">
        <f>SUMIFS(INDEX(Техника!$F$1:$ABM$500,V$2,0),Техника!$F$4:$ABM$4,"Часы",INDEX(Техника!$G$1:$ABN$500,V$2,0),$A$1229,INDEX(Техника!$H$1:$ABO$500,V$2,0),"П")</f>
        <v>0</v>
      </c>
      <c r="W1232" s="50">
        <f>SUMIFS(INDEX(Техника!$F$1:$ABM$500,W$2,0),Техника!$F$4:$ABM$4,"Часы",INDEX(Техника!$G$1:$ABN$500,W$2,0),$A$1229,INDEX(Техника!$H$1:$ABO$500,W$2,0),"П")</f>
        <v>0</v>
      </c>
      <c r="X1232" s="50">
        <f>SUMIFS(INDEX(Техника!$F$1:$ABM$500,X$2,0),Техника!$F$4:$ABM$4,"Часы",INDEX(Техника!$G$1:$ABN$500,X$2,0),$A$1229,INDEX(Техника!$H$1:$ABO$500,X$2,0),"П")</f>
        <v>0</v>
      </c>
      <c r="Y1232" s="50">
        <f>SUMIFS(INDEX(Техника!$F$1:$ABM$500,Y$2,0),Техника!$F$4:$ABM$4,"Часы",INDEX(Техника!$G$1:$ABN$500,Y$2,0),$A$1229,INDEX(Техника!$H$1:$ABO$500,Y$2,0),"П")</f>
        <v>0</v>
      </c>
      <c r="Z1232" s="50">
        <f>SUMIFS(INDEX(Техника!$F$1:$ABM$500,Z$2,0),Техника!$F$4:$ABM$4,"Часы",INDEX(Техника!$G$1:$ABN$500,Z$2,0),$A$1229,INDEX(Техника!$H$1:$ABO$500,Z$2,0),"П")</f>
        <v>0</v>
      </c>
      <c r="AA1232" s="50">
        <f>SUMIFS(INDEX(Техника!$F$1:$ABM$500,AA$2,0),Техника!$F$4:$ABM$4,"Часы",INDEX(Техника!$G$1:$ABN$500,AA$2,0),$A$1229,INDEX(Техника!$H$1:$ABO$500,AA$2,0),"П")</f>
        <v>0</v>
      </c>
      <c r="AB1232" s="50">
        <f>SUMIFS(INDEX(Техника!$F$1:$ABM$500,AB$2,0),Техника!$F$4:$ABM$4,"Часы",INDEX(Техника!$G$1:$ABN$500,AB$2,0),$A$1229,INDEX(Техника!$H$1:$ABO$500,AB$2,0),"П")</f>
        <v>0</v>
      </c>
    </row>
    <row r="1233" spans="1:28" hidden="1" outlineLevel="1" x14ac:dyDescent="0.3">
      <c r="A1233" s="33" t="s">
        <v>243</v>
      </c>
      <c r="B1233" s="34" t="s">
        <v>278</v>
      </c>
      <c r="C1233" s="50">
        <f>SUMIFS(INDEX(Техника!$F$1:$ABM$500,C$2,0),Техника!$F$4:$ABM$4,"Часы",INDEX(Техника!$G$1:$ABN$500,C$2,0),$A$1229,INDEX(Техника!$H$1:$ABO$500,C$2,0),"Л")</f>
        <v>0</v>
      </c>
      <c r="D1233" s="50">
        <f>SUMIFS(INDEX(Техника!$F$1:$ABM$500,D$2,0),Техника!$F$4:$ABM$4,"Часы",INDEX(Техника!$G$1:$ABN$500,D$2,0),$A$1229,INDEX(Техника!$H$1:$ABO$500,D$2,0),"Л")</f>
        <v>0</v>
      </c>
      <c r="E1233" s="50">
        <f>SUMIFS(INDEX(Техника!$F$1:$ABM$500,E$2,0),Техника!$F$4:$ABM$4,"Часы",INDEX(Техника!$G$1:$ABN$500,E$2,0),$A$1229,INDEX(Техника!$H$1:$ABO$500,E$2,0),"Л")</f>
        <v>0</v>
      </c>
      <c r="F1233" s="50">
        <f>SUMIFS(INDEX(Техника!$F$1:$ABM$500,F$2,0),Техника!$F$4:$ABM$4,"Часы",INDEX(Техника!$G$1:$ABN$500,F$2,0),$A$1229,INDEX(Техника!$H$1:$ABO$500,F$2,0),"Л")</f>
        <v>0</v>
      </c>
      <c r="G1233" s="50">
        <f>SUMIFS(INDEX(Техника!$F$1:$ABM$500,G$2,0),Техника!$F$4:$ABM$4,"Часы",INDEX(Техника!$G$1:$ABN$500,G$2,0),$A$1229,INDEX(Техника!$H$1:$ABO$500,G$2,0),"Л")</f>
        <v>0</v>
      </c>
      <c r="H1233" s="50">
        <f>SUMIFS(INDEX(Техника!$F$1:$ABM$500,H$2,0),Техника!$F$4:$ABM$4,"Часы",INDEX(Техника!$G$1:$ABN$500,H$2,0),$A$1229,INDEX(Техника!$H$1:$ABO$500,H$2,0),"Л")</f>
        <v>0</v>
      </c>
      <c r="I1233" s="50">
        <f>SUMIFS(INDEX(Техника!$F$1:$ABM$500,I$2,0),Техника!$F$4:$ABM$4,"Часы",INDEX(Техника!$G$1:$ABN$500,I$2,0),$A$1229,INDEX(Техника!$H$1:$ABO$500,I$2,0),"Л")</f>
        <v>0</v>
      </c>
      <c r="J1233" s="50">
        <f>SUMIFS(INDEX(Техника!$F$1:$ABM$500,J$2,0),Техника!$F$4:$ABM$4,"Часы",INDEX(Техника!$G$1:$ABN$500,J$2,0),$A$1229,INDEX(Техника!$H$1:$ABO$500,J$2,0),"Л")</f>
        <v>0</v>
      </c>
      <c r="K1233" s="50">
        <f>SUMIFS(INDEX(Техника!$F$1:$ABM$500,K$2,0),Техника!$F$4:$ABM$4,"Часы",INDEX(Техника!$G$1:$ABN$500,K$2,0),$A$1229,INDEX(Техника!$H$1:$ABO$500,K$2,0),"Л")</f>
        <v>0</v>
      </c>
      <c r="L1233" s="50">
        <f>SUMIFS(INDEX(Техника!$F$1:$ABM$500,L$2,0),Техника!$F$4:$ABM$4,"Часы",INDEX(Техника!$G$1:$ABN$500,L$2,0),$A$1229,INDEX(Техника!$H$1:$ABO$500,L$2,0),"Л")</f>
        <v>0</v>
      </c>
      <c r="M1233" s="50">
        <f>SUMIFS(INDEX(Техника!$F$1:$ABM$500,M$2,0),Техника!$F$4:$ABM$4,"Часы",INDEX(Техника!$G$1:$ABN$500,M$2,0),$A$1229,INDEX(Техника!$H$1:$ABO$500,M$2,0),"Л")</f>
        <v>0</v>
      </c>
      <c r="N1233" s="50">
        <f>SUMIFS(INDEX(Техника!$F$1:$ABM$500,N$2,0),Техника!$F$4:$ABM$4,"Часы",INDEX(Техника!$G$1:$ABN$500,N$2,0),$A$1229,INDEX(Техника!$H$1:$ABO$500,N$2,0),"Л")</f>
        <v>0</v>
      </c>
      <c r="O1233" s="50">
        <f>SUMIFS(INDEX(Техника!$F$1:$ABM$500,O$2,0),Техника!$F$4:$ABM$4,"Часы",INDEX(Техника!$G$1:$ABN$500,O$2,0),$A$1229,INDEX(Техника!$H$1:$ABO$500,O$2,0),"Л")</f>
        <v>0</v>
      </c>
      <c r="P1233" s="50">
        <f>SUMIFS(INDEX(Техника!$F$1:$ABM$500,P$2,0),Техника!$F$4:$ABM$4,"Часы",INDEX(Техника!$G$1:$ABN$500,P$2,0),$A$1229,INDEX(Техника!$H$1:$ABO$500,P$2,0),"Л")</f>
        <v>0</v>
      </c>
      <c r="Q1233" s="50">
        <f>SUMIFS(INDEX(Техника!$F$1:$ABM$500,Q$2,0),Техника!$F$4:$ABM$4,"Часы",INDEX(Техника!$G$1:$ABN$500,Q$2,0),$A$1229,INDEX(Техника!$H$1:$ABO$500,Q$2,0),"Л")</f>
        <v>0</v>
      </c>
      <c r="R1233" s="50">
        <f>SUMIFS(INDEX(Техника!$F$1:$ABM$500,R$2,0),Техника!$F$4:$ABM$4,"Часы",INDEX(Техника!$G$1:$ABN$500,R$2,0),$A$1229,INDEX(Техника!$H$1:$ABO$500,R$2,0),"Л")</f>
        <v>0</v>
      </c>
      <c r="S1233" s="50">
        <f>SUMIFS(INDEX(Техника!$F$1:$ABM$500,S$2,0),Техника!$F$4:$ABM$4,"Часы",INDEX(Техника!$G$1:$ABN$500,S$2,0),$A$1229,INDEX(Техника!$H$1:$ABO$500,S$2,0),"Л")</f>
        <v>0</v>
      </c>
      <c r="T1233" s="50">
        <f>SUMIFS(INDEX(Техника!$F$1:$ABM$500,T$2,0),Техника!$F$4:$ABM$4,"Часы",INDEX(Техника!$G$1:$ABN$500,T$2,0),$A$1229,INDEX(Техника!$H$1:$ABO$500,T$2,0),"Л")</f>
        <v>0</v>
      </c>
      <c r="U1233" s="50">
        <f>SUMIFS(INDEX(Техника!$F$1:$ABM$500,U$2,0),Техника!$F$4:$ABM$4,"Часы",INDEX(Техника!$G$1:$ABN$500,U$2,0),$A$1229,INDEX(Техника!$H$1:$ABO$500,U$2,0),"Л")</f>
        <v>0</v>
      </c>
      <c r="V1233" s="50">
        <f>SUMIFS(INDEX(Техника!$F$1:$ABM$500,V$2,0),Техника!$F$4:$ABM$4,"Часы",INDEX(Техника!$G$1:$ABN$500,V$2,0),$A$1229,INDEX(Техника!$H$1:$ABO$500,V$2,0),"Л")</f>
        <v>0</v>
      </c>
      <c r="W1233" s="50">
        <f>SUMIFS(INDEX(Техника!$F$1:$ABM$500,W$2,0),Техника!$F$4:$ABM$4,"Часы",INDEX(Техника!$G$1:$ABN$500,W$2,0),$A$1229,INDEX(Техника!$H$1:$ABO$500,W$2,0),"Л")</f>
        <v>0</v>
      </c>
      <c r="X1233" s="50">
        <f>SUMIFS(INDEX(Техника!$F$1:$ABM$500,X$2,0),Техника!$F$4:$ABM$4,"Часы",INDEX(Техника!$G$1:$ABN$500,X$2,0),$A$1229,INDEX(Техника!$H$1:$ABO$500,X$2,0),"Л")</f>
        <v>0</v>
      </c>
      <c r="Y1233" s="50">
        <f>SUMIFS(INDEX(Техника!$F$1:$ABM$500,Y$2,0),Техника!$F$4:$ABM$4,"Часы",INDEX(Техника!$G$1:$ABN$500,Y$2,0),$A$1229,INDEX(Техника!$H$1:$ABO$500,Y$2,0),"Л")</f>
        <v>0</v>
      </c>
      <c r="Z1233" s="50">
        <f>SUMIFS(INDEX(Техника!$F$1:$ABM$500,Z$2,0),Техника!$F$4:$ABM$4,"Часы",INDEX(Техника!$G$1:$ABN$500,Z$2,0),$A$1229,INDEX(Техника!$H$1:$ABO$500,Z$2,0),"Л")</f>
        <v>0</v>
      </c>
      <c r="AA1233" s="50">
        <f>SUMIFS(INDEX(Техника!$F$1:$ABM$500,AA$2,0),Техника!$F$4:$ABM$4,"Часы",INDEX(Техника!$G$1:$ABN$500,AA$2,0),$A$1229,INDEX(Техника!$H$1:$ABO$500,AA$2,0),"Л")</f>
        <v>0</v>
      </c>
      <c r="AB1233" s="50">
        <f>SUMIFS(INDEX(Техника!$F$1:$ABM$500,AB$2,0),Техника!$F$4:$ABM$4,"Часы",INDEX(Техника!$G$1:$ABN$500,AB$2,0),$A$1229,INDEX(Техника!$H$1:$ABO$500,AB$2,0),"Л")</f>
        <v>0</v>
      </c>
    </row>
    <row r="1234" spans="1:28" hidden="1" outlineLevel="1" x14ac:dyDescent="0.3">
      <c r="A1234" s="33" t="s">
        <v>245</v>
      </c>
      <c r="B1234" s="34" t="s">
        <v>279</v>
      </c>
      <c r="C1234" s="50">
        <f>SUMIFS(INDEX(Техника!$F$1:$ABM$500,C$2,0),Техника!$F$4:$ABM$4,"Часы",INDEX(Техника!$G$1:$ABN$500,C$2,0),$A$1229,INDEX(Техника!$H$1:$ABO$500,C$2,0),"З")</f>
        <v>0</v>
      </c>
      <c r="D1234" s="50">
        <f>SUMIFS(INDEX(Техника!$F$1:$ABM$500,D$2,0),Техника!$F$4:$ABM$4,"Часы",INDEX(Техника!$G$1:$ABN$500,D$2,0),$A$1229,INDEX(Техника!$H$1:$ABO$500,D$2,0),"З")</f>
        <v>0</v>
      </c>
      <c r="E1234" s="50">
        <f>SUMIFS(INDEX(Техника!$F$1:$ABM$500,E$2,0),Техника!$F$4:$ABM$4,"Часы",INDEX(Техника!$G$1:$ABN$500,E$2,0),$A$1229,INDEX(Техника!$H$1:$ABO$500,E$2,0),"З")</f>
        <v>0</v>
      </c>
      <c r="F1234" s="50">
        <f>SUMIFS(INDEX(Техника!$F$1:$ABM$500,F$2,0),Техника!$F$4:$ABM$4,"Часы",INDEX(Техника!$G$1:$ABN$500,F$2,0),$A$1229,INDEX(Техника!$H$1:$ABO$500,F$2,0),"З")</f>
        <v>0</v>
      </c>
      <c r="G1234" s="50">
        <f>SUMIFS(INDEX(Техника!$F$1:$ABM$500,G$2,0),Техника!$F$4:$ABM$4,"Часы",INDEX(Техника!$G$1:$ABN$500,G$2,0),$A$1229,INDEX(Техника!$H$1:$ABO$500,G$2,0),"З")</f>
        <v>0</v>
      </c>
      <c r="H1234" s="50">
        <f>SUMIFS(INDEX(Техника!$F$1:$ABM$500,H$2,0),Техника!$F$4:$ABM$4,"Часы",INDEX(Техника!$G$1:$ABN$500,H$2,0),$A$1229,INDEX(Техника!$H$1:$ABO$500,H$2,0),"З")</f>
        <v>0</v>
      </c>
      <c r="I1234" s="50">
        <f>SUMIFS(INDEX(Техника!$F$1:$ABM$500,I$2,0),Техника!$F$4:$ABM$4,"Часы",INDEX(Техника!$G$1:$ABN$500,I$2,0),$A$1229,INDEX(Техника!$H$1:$ABO$500,I$2,0),"З")</f>
        <v>0</v>
      </c>
      <c r="J1234" s="50">
        <f>SUMIFS(INDEX(Техника!$F$1:$ABM$500,J$2,0),Техника!$F$4:$ABM$4,"Часы",INDEX(Техника!$G$1:$ABN$500,J$2,0),$A$1229,INDEX(Техника!$H$1:$ABO$500,J$2,0),"З")</f>
        <v>0</v>
      </c>
      <c r="K1234" s="50">
        <f>SUMIFS(INDEX(Техника!$F$1:$ABM$500,K$2,0),Техника!$F$4:$ABM$4,"Часы",INDEX(Техника!$G$1:$ABN$500,K$2,0),$A$1229,INDEX(Техника!$H$1:$ABO$500,K$2,0),"З")</f>
        <v>0</v>
      </c>
      <c r="L1234" s="50">
        <f>SUMIFS(INDEX(Техника!$F$1:$ABM$500,L$2,0),Техника!$F$4:$ABM$4,"Часы",INDEX(Техника!$G$1:$ABN$500,L$2,0),$A$1229,INDEX(Техника!$H$1:$ABO$500,L$2,0),"З")</f>
        <v>0</v>
      </c>
      <c r="M1234" s="50">
        <f>SUMIFS(INDEX(Техника!$F$1:$ABM$500,M$2,0),Техника!$F$4:$ABM$4,"Часы",INDEX(Техника!$G$1:$ABN$500,M$2,0),$A$1229,INDEX(Техника!$H$1:$ABO$500,M$2,0),"З")</f>
        <v>0</v>
      </c>
      <c r="N1234" s="50">
        <f>SUMIFS(INDEX(Техника!$F$1:$ABM$500,N$2,0),Техника!$F$4:$ABM$4,"Часы",INDEX(Техника!$G$1:$ABN$500,N$2,0),$A$1229,INDEX(Техника!$H$1:$ABO$500,N$2,0),"З")</f>
        <v>0</v>
      </c>
      <c r="O1234" s="50">
        <f>SUMIFS(INDEX(Техника!$F$1:$ABM$500,O$2,0),Техника!$F$4:$ABM$4,"Часы",INDEX(Техника!$G$1:$ABN$500,O$2,0),$A$1229,INDEX(Техника!$H$1:$ABO$500,O$2,0),"З")</f>
        <v>0</v>
      </c>
      <c r="P1234" s="50">
        <f>SUMIFS(INDEX(Техника!$F$1:$ABM$500,P$2,0),Техника!$F$4:$ABM$4,"Часы",INDEX(Техника!$G$1:$ABN$500,P$2,0),$A$1229,INDEX(Техника!$H$1:$ABO$500,P$2,0),"З")</f>
        <v>0</v>
      </c>
      <c r="Q1234" s="50">
        <f>SUMIFS(INDEX(Техника!$F$1:$ABM$500,Q$2,0),Техника!$F$4:$ABM$4,"Часы",INDEX(Техника!$G$1:$ABN$500,Q$2,0),$A$1229,INDEX(Техника!$H$1:$ABO$500,Q$2,0),"З")</f>
        <v>0</v>
      </c>
      <c r="R1234" s="50">
        <f>SUMIFS(INDEX(Техника!$F$1:$ABM$500,R$2,0),Техника!$F$4:$ABM$4,"Часы",INDEX(Техника!$G$1:$ABN$500,R$2,0),$A$1229,INDEX(Техника!$H$1:$ABO$500,R$2,0),"З")</f>
        <v>0</v>
      </c>
      <c r="S1234" s="50">
        <f>SUMIFS(INDEX(Техника!$F$1:$ABM$500,S$2,0),Техника!$F$4:$ABM$4,"Часы",INDEX(Техника!$G$1:$ABN$500,S$2,0),$A$1229,INDEX(Техника!$H$1:$ABO$500,S$2,0),"З")</f>
        <v>0</v>
      </c>
      <c r="T1234" s="50">
        <f>SUMIFS(INDEX(Техника!$F$1:$ABM$500,T$2,0),Техника!$F$4:$ABM$4,"Часы",INDEX(Техника!$G$1:$ABN$500,T$2,0),$A$1229,INDEX(Техника!$H$1:$ABO$500,T$2,0),"З")</f>
        <v>0</v>
      </c>
      <c r="U1234" s="50">
        <f>SUMIFS(INDEX(Техника!$F$1:$ABM$500,U$2,0),Техника!$F$4:$ABM$4,"Часы",INDEX(Техника!$G$1:$ABN$500,U$2,0),$A$1229,INDEX(Техника!$H$1:$ABO$500,U$2,0),"З")</f>
        <v>0</v>
      </c>
      <c r="V1234" s="50">
        <f>SUMIFS(INDEX(Техника!$F$1:$ABM$500,V$2,0),Техника!$F$4:$ABM$4,"Часы",INDEX(Техника!$G$1:$ABN$500,V$2,0),$A$1229,INDEX(Техника!$H$1:$ABO$500,V$2,0),"З")</f>
        <v>0</v>
      </c>
      <c r="W1234" s="50">
        <f>SUMIFS(INDEX(Техника!$F$1:$ABM$500,W$2,0),Техника!$F$4:$ABM$4,"Часы",INDEX(Техника!$G$1:$ABN$500,W$2,0),$A$1229,INDEX(Техника!$H$1:$ABO$500,W$2,0),"З")</f>
        <v>0</v>
      </c>
      <c r="X1234" s="50">
        <f>SUMIFS(INDEX(Техника!$F$1:$ABM$500,X$2,0),Техника!$F$4:$ABM$4,"Часы",INDEX(Техника!$G$1:$ABN$500,X$2,0),$A$1229,INDEX(Техника!$H$1:$ABO$500,X$2,0),"З")</f>
        <v>0</v>
      </c>
      <c r="Y1234" s="50">
        <f>SUMIFS(INDEX(Техника!$F$1:$ABM$500,Y$2,0),Техника!$F$4:$ABM$4,"Часы",INDEX(Техника!$G$1:$ABN$500,Y$2,0),$A$1229,INDEX(Техника!$H$1:$ABO$500,Y$2,0),"З")</f>
        <v>0</v>
      </c>
      <c r="Z1234" s="50">
        <f>SUMIFS(INDEX(Техника!$F$1:$ABM$500,Z$2,0),Техника!$F$4:$ABM$4,"Часы",INDEX(Техника!$G$1:$ABN$500,Z$2,0),$A$1229,INDEX(Техника!$H$1:$ABO$500,Z$2,0),"З")</f>
        <v>0</v>
      </c>
      <c r="AA1234" s="50">
        <f>SUMIFS(INDEX(Техника!$F$1:$ABM$500,AA$2,0),Техника!$F$4:$ABM$4,"Часы",INDEX(Техника!$G$1:$ABN$500,AA$2,0),$A$1229,INDEX(Техника!$H$1:$ABO$500,AA$2,0),"З")</f>
        <v>0</v>
      </c>
      <c r="AB1234" s="50">
        <f>SUMIFS(INDEX(Техника!$F$1:$ABM$500,AB$2,0),Техника!$F$4:$ABM$4,"Часы",INDEX(Техника!$G$1:$ABN$500,AB$2,0),$A$1229,INDEX(Техника!$H$1:$ABO$500,AB$2,0),"З")</f>
        <v>0</v>
      </c>
    </row>
    <row r="1235" spans="1:28" ht="7.95" customHeight="1" x14ac:dyDescent="0.3">
      <c r="A1235" s="38"/>
      <c r="B1235" s="39"/>
      <c r="C1235" s="51"/>
      <c r="D1235" s="51"/>
      <c r="E1235" s="51"/>
      <c r="F1235" s="51"/>
      <c r="G1235" s="51"/>
      <c r="H1235" s="51"/>
      <c r="I1235" s="51"/>
      <c r="J1235" s="51"/>
      <c r="K1235" s="51"/>
      <c r="L1235" s="51"/>
      <c r="M1235" s="51"/>
      <c r="N1235" s="51"/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  <c r="AA1235" s="51"/>
      <c r="AB1235" s="51"/>
    </row>
    <row r="1236" spans="1:28" ht="25.05" customHeight="1" collapsed="1" x14ac:dyDescent="0.3">
      <c r="A1236" s="32">
        <v>177</v>
      </c>
      <c r="B1236" s="32" t="s">
        <v>178</v>
      </c>
      <c r="C1236" s="49">
        <f>SUM(C1237:C1241)</f>
        <v>0</v>
      </c>
      <c r="D1236" s="49">
        <f>SUM(D1237:D1241)</f>
        <v>0</v>
      </c>
      <c r="E1236" s="49">
        <f>SUM(E1237:E1241)</f>
        <v>0</v>
      </c>
      <c r="F1236" s="49">
        <f>SUM(F1237:F1241)</f>
        <v>0</v>
      </c>
      <c r="G1236" s="49">
        <f>SUM(G1237:G1241)</f>
        <v>0</v>
      </c>
      <c r="H1236" s="49">
        <f>SUM(H1237:H1241)</f>
        <v>0</v>
      </c>
      <c r="I1236" s="49">
        <f>SUM(I1237:I1241)</f>
        <v>0</v>
      </c>
      <c r="J1236" s="49">
        <f>SUM(J1237:J1241)</f>
        <v>0</v>
      </c>
      <c r="K1236" s="49">
        <f>SUM(K1237:K1241)</f>
        <v>0</v>
      </c>
      <c r="L1236" s="49">
        <f>SUM(L1237:L1241)</f>
        <v>0</v>
      </c>
      <c r="M1236" s="49">
        <f>SUM(M1237:M1241)</f>
        <v>0</v>
      </c>
      <c r="N1236" s="49">
        <f>SUM(N1237:N1241)</f>
        <v>0</v>
      </c>
      <c r="O1236" s="49">
        <f>SUM(O1237:O1241)</f>
        <v>0</v>
      </c>
      <c r="P1236" s="49">
        <f>SUM(P1237:P1241)</f>
        <v>0</v>
      </c>
      <c r="Q1236" s="49">
        <f>SUM(Q1237:Q1241)</f>
        <v>0</v>
      </c>
      <c r="R1236" s="49">
        <f>SUM(R1237:R1241)</f>
        <v>0</v>
      </c>
      <c r="S1236" s="49">
        <f>SUM(S1237:S1241)</f>
        <v>0</v>
      </c>
      <c r="T1236" s="49">
        <f>SUM(T1237:T1241)</f>
        <v>0</v>
      </c>
      <c r="U1236" s="49">
        <f>SUM(U1237:U1241)</f>
        <v>0</v>
      </c>
      <c r="V1236" s="49">
        <f>SUM(V1237:V1241)</f>
        <v>0</v>
      </c>
      <c r="W1236" s="49">
        <f>SUM(W1237:W1241)</f>
        <v>0</v>
      </c>
      <c r="X1236" s="49">
        <f>SUM(X1237:X1241)</f>
        <v>0</v>
      </c>
      <c r="Y1236" s="49">
        <f>SUM(Y1237:Y1241)</f>
        <v>0</v>
      </c>
      <c r="Z1236" s="49">
        <f>SUM(Z1237:Z1241)</f>
        <v>0</v>
      </c>
      <c r="AA1236" s="49">
        <f>SUM(AA1237:AA1241)</f>
        <v>0</v>
      </c>
      <c r="AB1236" s="49">
        <f>SUM(AB1237:AB1241)</f>
        <v>0</v>
      </c>
    </row>
    <row r="1237" spans="1:28" hidden="1" outlineLevel="1" x14ac:dyDescent="0.3">
      <c r="A1237" s="33" t="s">
        <v>246</v>
      </c>
      <c r="B1237" s="34" t="s">
        <v>274</v>
      </c>
      <c r="C1237" s="50">
        <f>SUMIFS(INDEX(Техника!$F$1:$ABM$500,C$2,0),Техника!$F$4:$ABM$4,"Часы",INDEX(Техника!$G$1:$ABN$500,C$2,0),$A$1236,INDEX(Техника!$H$1:$ABO$500,C$2,0),"М")</f>
        <v>0</v>
      </c>
      <c r="D1237" s="50">
        <f>SUMIFS(INDEX(Техника!$F$1:$ABM$500,D$2,0),Техника!$F$4:$ABM$4,"Часы",INDEX(Техника!$G$1:$ABN$500,D$2,0),$A$1236,INDEX(Техника!$H$1:$ABO$500,D$2,0),"М")</f>
        <v>0</v>
      </c>
      <c r="E1237" s="50">
        <f>SUMIFS(INDEX(Техника!$F$1:$ABM$500,E$2,0),Техника!$F$4:$ABM$4,"Часы",INDEX(Техника!$G$1:$ABN$500,E$2,0),$A$1236,INDEX(Техника!$H$1:$ABO$500,E$2,0),"М")</f>
        <v>0</v>
      </c>
      <c r="F1237" s="50">
        <f>SUMIFS(INDEX(Техника!$F$1:$ABM$500,F$2,0),Техника!$F$4:$ABM$4,"Часы",INDEX(Техника!$G$1:$ABN$500,F$2,0),$A$1236,INDEX(Техника!$H$1:$ABO$500,F$2,0),"М")</f>
        <v>0</v>
      </c>
      <c r="G1237" s="50">
        <f>SUMIFS(INDEX(Техника!$F$1:$ABM$500,G$2,0),Техника!$F$4:$ABM$4,"Часы",INDEX(Техника!$G$1:$ABN$500,G$2,0),$A$1236,INDEX(Техника!$H$1:$ABO$500,G$2,0),"М")</f>
        <v>0</v>
      </c>
      <c r="H1237" s="50">
        <f>SUMIFS(INDEX(Техника!$F$1:$ABM$500,H$2,0),Техника!$F$4:$ABM$4,"Часы",INDEX(Техника!$G$1:$ABN$500,H$2,0),$A$1236,INDEX(Техника!$H$1:$ABO$500,H$2,0),"М")</f>
        <v>0</v>
      </c>
      <c r="I1237" s="50">
        <f>SUMIFS(INDEX(Техника!$F$1:$ABM$500,I$2,0),Техника!$F$4:$ABM$4,"Часы",INDEX(Техника!$G$1:$ABN$500,I$2,0),$A$1236,INDEX(Техника!$H$1:$ABO$500,I$2,0),"М")</f>
        <v>0</v>
      </c>
      <c r="J1237" s="50">
        <f>SUMIFS(INDEX(Техника!$F$1:$ABM$500,J$2,0),Техника!$F$4:$ABM$4,"Часы",INDEX(Техника!$G$1:$ABN$500,J$2,0),$A$1236,INDEX(Техника!$H$1:$ABO$500,J$2,0),"М")</f>
        <v>0</v>
      </c>
      <c r="K1237" s="50">
        <f>SUMIFS(INDEX(Техника!$F$1:$ABM$500,K$2,0),Техника!$F$4:$ABM$4,"Часы",INDEX(Техника!$G$1:$ABN$500,K$2,0),$A$1236,INDEX(Техника!$H$1:$ABO$500,K$2,0),"М")</f>
        <v>0</v>
      </c>
      <c r="L1237" s="50">
        <f>SUMIFS(INDEX(Техника!$F$1:$ABM$500,L$2,0),Техника!$F$4:$ABM$4,"Часы",INDEX(Техника!$G$1:$ABN$500,L$2,0),$A$1236,INDEX(Техника!$H$1:$ABO$500,L$2,0),"М")</f>
        <v>0</v>
      </c>
      <c r="M1237" s="50">
        <f>SUMIFS(INDEX(Техника!$F$1:$ABM$500,M$2,0),Техника!$F$4:$ABM$4,"Часы",INDEX(Техника!$G$1:$ABN$500,M$2,0),$A$1236,INDEX(Техника!$H$1:$ABO$500,M$2,0),"М")</f>
        <v>0</v>
      </c>
      <c r="N1237" s="50">
        <f>SUMIFS(INDEX(Техника!$F$1:$ABM$500,N$2,0),Техника!$F$4:$ABM$4,"Часы",INDEX(Техника!$G$1:$ABN$500,N$2,0),$A$1236,INDEX(Техника!$H$1:$ABO$500,N$2,0),"М")</f>
        <v>0</v>
      </c>
      <c r="O1237" s="50">
        <f>SUMIFS(INDEX(Техника!$F$1:$ABM$500,O$2,0),Техника!$F$4:$ABM$4,"Часы",INDEX(Техника!$G$1:$ABN$500,O$2,0),$A$1236,INDEX(Техника!$H$1:$ABO$500,O$2,0),"М")</f>
        <v>0</v>
      </c>
      <c r="P1237" s="50">
        <f>SUMIFS(INDEX(Техника!$F$1:$ABM$500,P$2,0),Техника!$F$4:$ABM$4,"Часы",INDEX(Техника!$G$1:$ABN$500,P$2,0),$A$1236,INDEX(Техника!$H$1:$ABO$500,P$2,0),"М")</f>
        <v>0</v>
      </c>
      <c r="Q1237" s="50">
        <f>SUMIFS(INDEX(Техника!$F$1:$ABM$500,Q$2,0),Техника!$F$4:$ABM$4,"Часы",INDEX(Техника!$G$1:$ABN$500,Q$2,0),$A$1236,INDEX(Техника!$H$1:$ABO$500,Q$2,0),"М")</f>
        <v>0</v>
      </c>
      <c r="R1237" s="50">
        <f>SUMIFS(INDEX(Техника!$F$1:$ABM$500,R$2,0),Техника!$F$4:$ABM$4,"Часы",INDEX(Техника!$G$1:$ABN$500,R$2,0),$A$1236,INDEX(Техника!$H$1:$ABO$500,R$2,0),"М")</f>
        <v>0</v>
      </c>
      <c r="S1237" s="50">
        <f>SUMIFS(INDEX(Техника!$F$1:$ABM$500,S$2,0),Техника!$F$4:$ABM$4,"Часы",INDEX(Техника!$G$1:$ABN$500,S$2,0),$A$1236,INDEX(Техника!$H$1:$ABO$500,S$2,0),"М")</f>
        <v>0</v>
      </c>
      <c r="T1237" s="50">
        <f>SUMIFS(INDEX(Техника!$F$1:$ABM$500,T$2,0),Техника!$F$4:$ABM$4,"Часы",INDEX(Техника!$G$1:$ABN$500,T$2,0),$A$1236,INDEX(Техника!$H$1:$ABO$500,T$2,0),"М")</f>
        <v>0</v>
      </c>
      <c r="U1237" s="50">
        <f>SUMIFS(INDEX(Техника!$F$1:$ABM$500,U$2,0),Техника!$F$4:$ABM$4,"Часы",INDEX(Техника!$G$1:$ABN$500,U$2,0),$A$1236,INDEX(Техника!$H$1:$ABO$500,U$2,0),"М")</f>
        <v>0</v>
      </c>
      <c r="V1237" s="50">
        <f>SUMIFS(INDEX(Техника!$F$1:$ABM$500,V$2,0),Техника!$F$4:$ABM$4,"Часы",INDEX(Техника!$G$1:$ABN$500,V$2,0),$A$1236,INDEX(Техника!$H$1:$ABO$500,V$2,0),"М")</f>
        <v>0</v>
      </c>
      <c r="W1237" s="50">
        <f>SUMIFS(INDEX(Техника!$F$1:$ABM$500,W$2,0),Техника!$F$4:$ABM$4,"Часы",INDEX(Техника!$G$1:$ABN$500,W$2,0),$A$1236,INDEX(Техника!$H$1:$ABO$500,W$2,0),"М")</f>
        <v>0</v>
      </c>
      <c r="X1237" s="50">
        <f>SUMIFS(INDEX(Техника!$F$1:$ABM$500,X$2,0),Техника!$F$4:$ABM$4,"Часы",INDEX(Техника!$G$1:$ABN$500,X$2,0),$A$1236,INDEX(Техника!$H$1:$ABO$500,X$2,0),"М")</f>
        <v>0</v>
      </c>
      <c r="Y1237" s="50">
        <f>SUMIFS(INDEX(Техника!$F$1:$ABM$500,Y$2,0),Техника!$F$4:$ABM$4,"Часы",INDEX(Техника!$G$1:$ABN$500,Y$2,0),$A$1236,INDEX(Техника!$H$1:$ABO$500,Y$2,0),"М")</f>
        <v>0</v>
      </c>
      <c r="Z1237" s="50">
        <f>SUMIFS(INDEX(Техника!$F$1:$ABM$500,Z$2,0),Техника!$F$4:$ABM$4,"Часы",INDEX(Техника!$G$1:$ABN$500,Z$2,0),$A$1236,INDEX(Техника!$H$1:$ABO$500,Z$2,0),"М")</f>
        <v>0</v>
      </c>
      <c r="AA1237" s="50">
        <f>SUMIFS(INDEX(Техника!$F$1:$ABM$500,AA$2,0),Техника!$F$4:$ABM$4,"Часы",INDEX(Техника!$G$1:$ABN$500,AA$2,0),$A$1236,INDEX(Техника!$H$1:$ABO$500,AA$2,0),"М")</f>
        <v>0</v>
      </c>
      <c r="AB1237" s="50">
        <f>SUMIFS(INDEX(Техника!$F$1:$ABM$500,AB$2,0),Техника!$F$4:$ABM$4,"Часы",INDEX(Техника!$G$1:$ABN$500,AB$2,0),$A$1236,INDEX(Техника!$H$1:$ABO$500,AB$2,0),"М")</f>
        <v>0</v>
      </c>
    </row>
    <row r="1238" spans="1:28" hidden="1" outlineLevel="1" x14ac:dyDescent="0.3">
      <c r="A1238" s="33" t="s">
        <v>244</v>
      </c>
      <c r="B1238" s="34" t="s">
        <v>275</v>
      </c>
      <c r="C1238" s="50">
        <f>SUMIFS(INDEX(Техника!$F$1:$ABM$500,C$2,0),Техника!$F$4:$ABM$4,"Часы",INDEX(Техника!$G$1:$ABN$500,C$2,0),$A$1236,INDEX(Техника!$H$1:$ABO$500,C$2,0),"Д")</f>
        <v>0</v>
      </c>
      <c r="D1238" s="50">
        <f>SUMIFS(INDEX(Техника!$F$1:$ABM$500,D$2,0),Техника!$F$4:$ABM$4,"Часы",INDEX(Техника!$G$1:$ABN$500,D$2,0),$A$1236,INDEX(Техника!$H$1:$ABO$500,D$2,0),"Д")</f>
        <v>0</v>
      </c>
      <c r="E1238" s="50">
        <f>SUMIFS(INDEX(Техника!$F$1:$ABM$500,E$2,0),Техника!$F$4:$ABM$4,"Часы",INDEX(Техника!$G$1:$ABN$500,E$2,0),$A$1236,INDEX(Техника!$H$1:$ABO$500,E$2,0),"Д")</f>
        <v>0</v>
      </c>
      <c r="F1238" s="50">
        <f>SUMIFS(INDEX(Техника!$F$1:$ABM$500,F$2,0),Техника!$F$4:$ABM$4,"Часы",INDEX(Техника!$G$1:$ABN$500,F$2,0),$A$1236,INDEX(Техника!$H$1:$ABO$500,F$2,0),"Д")</f>
        <v>0</v>
      </c>
      <c r="G1238" s="50">
        <f>SUMIFS(INDEX(Техника!$F$1:$ABM$500,G$2,0),Техника!$F$4:$ABM$4,"Часы",INDEX(Техника!$G$1:$ABN$500,G$2,0),$A$1236,INDEX(Техника!$H$1:$ABO$500,G$2,0),"Д")</f>
        <v>0</v>
      </c>
      <c r="H1238" s="50">
        <f>SUMIFS(INDEX(Техника!$F$1:$ABM$500,H$2,0),Техника!$F$4:$ABM$4,"Часы",INDEX(Техника!$G$1:$ABN$500,H$2,0),$A$1236,INDEX(Техника!$H$1:$ABO$500,H$2,0),"Д")</f>
        <v>0</v>
      </c>
      <c r="I1238" s="50">
        <f>SUMIFS(INDEX(Техника!$F$1:$ABM$500,I$2,0),Техника!$F$4:$ABM$4,"Часы",INDEX(Техника!$G$1:$ABN$500,I$2,0),$A$1236,INDEX(Техника!$H$1:$ABO$500,I$2,0),"Д")</f>
        <v>0</v>
      </c>
      <c r="J1238" s="50">
        <f>SUMIFS(INDEX(Техника!$F$1:$ABM$500,J$2,0),Техника!$F$4:$ABM$4,"Часы",INDEX(Техника!$G$1:$ABN$500,J$2,0),$A$1236,INDEX(Техника!$H$1:$ABO$500,J$2,0),"Д")</f>
        <v>0</v>
      </c>
      <c r="K1238" s="50">
        <f>SUMIFS(INDEX(Техника!$F$1:$ABM$500,K$2,0),Техника!$F$4:$ABM$4,"Часы",INDEX(Техника!$G$1:$ABN$500,K$2,0),$A$1236,INDEX(Техника!$H$1:$ABO$500,K$2,0),"Д")</f>
        <v>0</v>
      </c>
      <c r="L1238" s="50">
        <f>SUMIFS(INDEX(Техника!$F$1:$ABM$500,L$2,0),Техника!$F$4:$ABM$4,"Часы",INDEX(Техника!$G$1:$ABN$500,L$2,0),$A$1236,INDEX(Техника!$H$1:$ABO$500,L$2,0),"Д")</f>
        <v>0</v>
      </c>
      <c r="M1238" s="50">
        <f>SUMIFS(INDEX(Техника!$F$1:$ABM$500,M$2,0),Техника!$F$4:$ABM$4,"Часы",INDEX(Техника!$G$1:$ABN$500,M$2,0),$A$1236,INDEX(Техника!$H$1:$ABO$500,M$2,0),"Д")</f>
        <v>0</v>
      </c>
      <c r="N1238" s="50">
        <f>SUMIFS(INDEX(Техника!$F$1:$ABM$500,N$2,0),Техника!$F$4:$ABM$4,"Часы",INDEX(Техника!$G$1:$ABN$500,N$2,0),$A$1236,INDEX(Техника!$H$1:$ABO$500,N$2,0),"Д")</f>
        <v>0</v>
      </c>
      <c r="O1238" s="50">
        <f>SUMIFS(INDEX(Техника!$F$1:$ABM$500,O$2,0),Техника!$F$4:$ABM$4,"Часы",INDEX(Техника!$G$1:$ABN$500,O$2,0),$A$1236,INDEX(Техника!$H$1:$ABO$500,O$2,0),"Д")</f>
        <v>0</v>
      </c>
      <c r="P1238" s="50">
        <f>SUMIFS(INDEX(Техника!$F$1:$ABM$500,P$2,0),Техника!$F$4:$ABM$4,"Часы",INDEX(Техника!$G$1:$ABN$500,P$2,0),$A$1236,INDEX(Техника!$H$1:$ABO$500,P$2,0),"Д")</f>
        <v>0</v>
      </c>
      <c r="Q1238" s="50">
        <f>SUMIFS(INDEX(Техника!$F$1:$ABM$500,Q$2,0),Техника!$F$4:$ABM$4,"Часы",INDEX(Техника!$G$1:$ABN$500,Q$2,0),$A$1236,INDEX(Техника!$H$1:$ABO$500,Q$2,0),"Д")</f>
        <v>0</v>
      </c>
      <c r="R1238" s="50">
        <f>SUMIFS(INDEX(Техника!$F$1:$ABM$500,R$2,0),Техника!$F$4:$ABM$4,"Часы",INDEX(Техника!$G$1:$ABN$500,R$2,0),$A$1236,INDEX(Техника!$H$1:$ABO$500,R$2,0),"Д")</f>
        <v>0</v>
      </c>
      <c r="S1238" s="50">
        <f>SUMIFS(INDEX(Техника!$F$1:$ABM$500,S$2,0),Техника!$F$4:$ABM$4,"Часы",INDEX(Техника!$G$1:$ABN$500,S$2,0),$A$1236,INDEX(Техника!$H$1:$ABO$500,S$2,0),"Д")</f>
        <v>0</v>
      </c>
      <c r="T1238" s="50">
        <f>SUMIFS(INDEX(Техника!$F$1:$ABM$500,T$2,0),Техника!$F$4:$ABM$4,"Часы",INDEX(Техника!$G$1:$ABN$500,T$2,0),$A$1236,INDEX(Техника!$H$1:$ABO$500,T$2,0),"Д")</f>
        <v>0</v>
      </c>
      <c r="U1238" s="50">
        <f>SUMIFS(INDEX(Техника!$F$1:$ABM$500,U$2,0),Техника!$F$4:$ABM$4,"Часы",INDEX(Техника!$G$1:$ABN$500,U$2,0),$A$1236,INDEX(Техника!$H$1:$ABO$500,U$2,0),"Д")</f>
        <v>0</v>
      </c>
      <c r="V1238" s="50">
        <f>SUMIFS(INDEX(Техника!$F$1:$ABM$500,V$2,0),Техника!$F$4:$ABM$4,"Часы",INDEX(Техника!$G$1:$ABN$500,V$2,0),$A$1236,INDEX(Техника!$H$1:$ABO$500,V$2,0),"Д")</f>
        <v>0</v>
      </c>
      <c r="W1238" s="50">
        <f>SUMIFS(INDEX(Техника!$F$1:$ABM$500,W$2,0),Техника!$F$4:$ABM$4,"Часы",INDEX(Техника!$G$1:$ABN$500,W$2,0),$A$1236,INDEX(Техника!$H$1:$ABO$500,W$2,0),"Д")</f>
        <v>0</v>
      </c>
      <c r="X1238" s="50">
        <f>SUMIFS(INDEX(Техника!$F$1:$ABM$500,X$2,0),Техника!$F$4:$ABM$4,"Часы",INDEX(Техника!$G$1:$ABN$500,X$2,0),$A$1236,INDEX(Техника!$H$1:$ABO$500,X$2,0),"Д")</f>
        <v>0</v>
      </c>
      <c r="Y1238" s="50">
        <f>SUMIFS(INDEX(Техника!$F$1:$ABM$500,Y$2,0),Техника!$F$4:$ABM$4,"Часы",INDEX(Техника!$G$1:$ABN$500,Y$2,0),$A$1236,INDEX(Техника!$H$1:$ABO$500,Y$2,0),"Д")</f>
        <v>0</v>
      </c>
      <c r="Z1238" s="50">
        <f>SUMIFS(INDEX(Техника!$F$1:$ABM$500,Z$2,0),Техника!$F$4:$ABM$4,"Часы",INDEX(Техника!$G$1:$ABN$500,Z$2,0),$A$1236,INDEX(Техника!$H$1:$ABO$500,Z$2,0),"Д")</f>
        <v>0</v>
      </c>
      <c r="AA1238" s="50">
        <f>SUMIFS(INDEX(Техника!$F$1:$ABM$500,AA$2,0),Техника!$F$4:$ABM$4,"Часы",INDEX(Техника!$G$1:$ABN$500,AA$2,0),$A$1236,INDEX(Техника!$H$1:$ABO$500,AA$2,0),"Д")</f>
        <v>0</v>
      </c>
      <c r="AB1238" s="50">
        <f>SUMIFS(INDEX(Техника!$F$1:$ABM$500,AB$2,0),Техника!$F$4:$ABM$4,"Часы",INDEX(Техника!$G$1:$ABN$500,AB$2,0),$A$1236,INDEX(Техника!$H$1:$ABO$500,AB$2,0),"Д")</f>
        <v>0</v>
      </c>
    </row>
    <row r="1239" spans="1:28" hidden="1" outlineLevel="1" x14ac:dyDescent="0.3">
      <c r="A1239" s="33" t="s">
        <v>276</v>
      </c>
      <c r="B1239" s="34" t="s">
        <v>277</v>
      </c>
      <c r="C1239" s="50">
        <f>SUMIFS(INDEX(Техника!$F$1:$ABM$500,C$2,0),Техника!$F$4:$ABM$4,"Часы",INDEX(Техника!$G$1:$ABN$500,C$2,0),$A$1236,INDEX(Техника!$H$1:$ABO$500,C$2,0),"П")</f>
        <v>0</v>
      </c>
      <c r="D1239" s="50">
        <f>SUMIFS(INDEX(Техника!$F$1:$ABM$500,D$2,0),Техника!$F$4:$ABM$4,"Часы",INDEX(Техника!$G$1:$ABN$500,D$2,0),$A$1236,INDEX(Техника!$H$1:$ABO$500,D$2,0),"П")</f>
        <v>0</v>
      </c>
      <c r="E1239" s="50">
        <f>SUMIFS(INDEX(Техника!$F$1:$ABM$500,E$2,0),Техника!$F$4:$ABM$4,"Часы",INDEX(Техника!$G$1:$ABN$500,E$2,0),$A$1236,INDEX(Техника!$H$1:$ABO$500,E$2,0),"П")</f>
        <v>0</v>
      </c>
      <c r="F1239" s="50">
        <f>SUMIFS(INDEX(Техника!$F$1:$ABM$500,F$2,0),Техника!$F$4:$ABM$4,"Часы",INDEX(Техника!$G$1:$ABN$500,F$2,0),$A$1236,INDEX(Техника!$H$1:$ABO$500,F$2,0),"П")</f>
        <v>0</v>
      </c>
      <c r="G1239" s="50">
        <f>SUMIFS(INDEX(Техника!$F$1:$ABM$500,G$2,0),Техника!$F$4:$ABM$4,"Часы",INDEX(Техника!$G$1:$ABN$500,G$2,0),$A$1236,INDEX(Техника!$H$1:$ABO$500,G$2,0),"П")</f>
        <v>0</v>
      </c>
      <c r="H1239" s="50">
        <f>SUMIFS(INDEX(Техника!$F$1:$ABM$500,H$2,0),Техника!$F$4:$ABM$4,"Часы",INDEX(Техника!$G$1:$ABN$500,H$2,0),$A$1236,INDEX(Техника!$H$1:$ABO$500,H$2,0),"П")</f>
        <v>0</v>
      </c>
      <c r="I1239" s="50">
        <f>SUMIFS(INDEX(Техника!$F$1:$ABM$500,I$2,0),Техника!$F$4:$ABM$4,"Часы",INDEX(Техника!$G$1:$ABN$500,I$2,0),$A$1236,INDEX(Техника!$H$1:$ABO$500,I$2,0),"П")</f>
        <v>0</v>
      </c>
      <c r="J1239" s="50">
        <f>SUMIFS(INDEX(Техника!$F$1:$ABM$500,J$2,0),Техника!$F$4:$ABM$4,"Часы",INDEX(Техника!$G$1:$ABN$500,J$2,0),$A$1236,INDEX(Техника!$H$1:$ABO$500,J$2,0),"П")</f>
        <v>0</v>
      </c>
      <c r="K1239" s="50">
        <f>SUMIFS(INDEX(Техника!$F$1:$ABM$500,K$2,0),Техника!$F$4:$ABM$4,"Часы",INDEX(Техника!$G$1:$ABN$500,K$2,0),$A$1236,INDEX(Техника!$H$1:$ABO$500,K$2,0),"П")</f>
        <v>0</v>
      </c>
      <c r="L1239" s="50">
        <f>SUMIFS(INDEX(Техника!$F$1:$ABM$500,L$2,0),Техника!$F$4:$ABM$4,"Часы",INDEX(Техника!$G$1:$ABN$500,L$2,0),$A$1236,INDEX(Техника!$H$1:$ABO$500,L$2,0),"П")</f>
        <v>0</v>
      </c>
      <c r="M1239" s="50">
        <f>SUMIFS(INDEX(Техника!$F$1:$ABM$500,M$2,0),Техника!$F$4:$ABM$4,"Часы",INDEX(Техника!$G$1:$ABN$500,M$2,0),$A$1236,INDEX(Техника!$H$1:$ABO$500,M$2,0),"П")</f>
        <v>0</v>
      </c>
      <c r="N1239" s="50">
        <f>SUMIFS(INDEX(Техника!$F$1:$ABM$500,N$2,0),Техника!$F$4:$ABM$4,"Часы",INDEX(Техника!$G$1:$ABN$500,N$2,0),$A$1236,INDEX(Техника!$H$1:$ABO$500,N$2,0),"П")</f>
        <v>0</v>
      </c>
      <c r="O1239" s="50">
        <f>SUMIFS(INDEX(Техника!$F$1:$ABM$500,O$2,0),Техника!$F$4:$ABM$4,"Часы",INDEX(Техника!$G$1:$ABN$500,O$2,0),$A$1236,INDEX(Техника!$H$1:$ABO$500,O$2,0),"П")</f>
        <v>0</v>
      </c>
      <c r="P1239" s="50">
        <f>SUMIFS(INDEX(Техника!$F$1:$ABM$500,P$2,0),Техника!$F$4:$ABM$4,"Часы",INDEX(Техника!$G$1:$ABN$500,P$2,0),$A$1236,INDEX(Техника!$H$1:$ABO$500,P$2,0),"П")</f>
        <v>0</v>
      </c>
      <c r="Q1239" s="50">
        <f>SUMIFS(INDEX(Техника!$F$1:$ABM$500,Q$2,0),Техника!$F$4:$ABM$4,"Часы",INDEX(Техника!$G$1:$ABN$500,Q$2,0),$A$1236,INDEX(Техника!$H$1:$ABO$500,Q$2,0),"П")</f>
        <v>0</v>
      </c>
      <c r="R1239" s="50">
        <f>SUMIFS(INDEX(Техника!$F$1:$ABM$500,R$2,0),Техника!$F$4:$ABM$4,"Часы",INDEX(Техника!$G$1:$ABN$500,R$2,0),$A$1236,INDEX(Техника!$H$1:$ABO$500,R$2,0),"П")</f>
        <v>0</v>
      </c>
      <c r="S1239" s="50">
        <f>SUMIFS(INDEX(Техника!$F$1:$ABM$500,S$2,0),Техника!$F$4:$ABM$4,"Часы",INDEX(Техника!$G$1:$ABN$500,S$2,0),$A$1236,INDEX(Техника!$H$1:$ABO$500,S$2,0),"П")</f>
        <v>0</v>
      </c>
      <c r="T1239" s="50">
        <f>SUMIFS(INDEX(Техника!$F$1:$ABM$500,T$2,0),Техника!$F$4:$ABM$4,"Часы",INDEX(Техника!$G$1:$ABN$500,T$2,0),$A$1236,INDEX(Техника!$H$1:$ABO$500,T$2,0),"П")</f>
        <v>0</v>
      </c>
      <c r="U1239" s="50">
        <f>SUMIFS(INDEX(Техника!$F$1:$ABM$500,U$2,0),Техника!$F$4:$ABM$4,"Часы",INDEX(Техника!$G$1:$ABN$500,U$2,0),$A$1236,INDEX(Техника!$H$1:$ABO$500,U$2,0),"П")</f>
        <v>0</v>
      </c>
      <c r="V1239" s="50">
        <f>SUMIFS(INDEX(Техника!$F$1:$ABM$500,V$2,0),Техника!$F$4:$ABM$4,"Часы",INDEX(Техника!$G$1:$ABN$500,V$2,0),$A$1236,INDEX(Техника!$H$1:$ABO$500,V$2,0),"П")</f>
        <v>0</v>
      </c>
      <c r="W1239" s="50">
        <f>SUMIFS(INDEX(Техника!$F$1:$ABM$500,W$2,0),Техника!$F$4:$ABM$4,"Часы",INDEX(Техника!$G$1:$ABN$500,W$2,0),$A$1236,INDEX(Техника!$H$1:$ABO$500,W$2,0),"П")</f>
        <v>0</v>
      </c>
      <c r="X1239" s="50">
        <f>SUMIFS(INDEX(Техника!$F$1:$ABM$500,X$2,0),Техника!$F$4:$ABM$4,"Часы",INDEX(Техника!$G$1:$ABN$500,X$2,0),$A$1236,INDEX(Техника!$H$1:$ABO$500,X$2,0),"П")</f>
        <v>0</v>
      </c>
      <c r="Y1239" s="50">
        <f>SUMIFS(INDEX(Техника!$F$1:$ABM$500,Y$2,0),Техника!$F$4:$ABM$4,"Часы",INDEX(Техника!$G$1:$ABN$500,Y$2,0),$A$1236,INDEX(Техника!$H$1:$ABO$500,Y$2,0),"П")</f>
        <v>0</v>
      </c>
      <c r="Z1239" s="50">
        <f>SUMIFS(INDEX(Техника!$F$1:$ABM$500,Z$2,0),Техника!$F$4:$ABM$4,"Часы",INDEX(Техника!$G$1:$ABN$500,Z$2,0),$A$1236,INDEX(Техника!$H$1:$ABO$500,Z$2,0),"П")</f>
        <v>0</v>
      </c>
      <c r="AA1239" s="50">
        <f>SUMIFS(INDEX(Техника!$F$1:$ABM$500,AA$2,0),Техника!$F$4:$ABM$4,"Часы",INDEX(Техника!$G$1:$ABN$500,AA$2,0),$A$1236,INDEX(Техника!$H$1:$ABO$500,AA$2,0),"П")</f>
        <v>0</v>
      </c>
      <c r="AB1239" s="50">
        <f>SUMIFS(INDEX(Техника!$F$1:$ABM$500,AB$2,0),Техника!$F$4:$ABM$4,"Часы",INDEX(Техника!$G$1:$ABN$500,AB$2,0),$A$1236,INDEX(Техника!$H$1:$ABO$500,AB$2,0),"П")</f>
        <v>0</v>
      </c>
    </row>
    <row r="1240" spans="1:28" hidden="1" outlineLevel="1" x14ac:dyDescent="0.3">
      <c r="A1240" s="33" t="s">
        <v>243</v>
      </c>
      <c r="B1240" s="34" t="s">
        <v>278</v>
      </c>
      <c r="C1240" s="50">
        <f>SUMIFS(INDEX(Техника!$F$1:$ABM$500,C$2,0),Техника!$F$4:$ABM$4,"Часы",INDEX(Техника!$G$1:$ABN$500,C$2,0),$A$1236,INDEX(Техника!$H$1:$ABO$500,C$2,0),"Л")</f>
        <v>0</v>
      </c>
      <c r="D1240" s="50">
        <f>SUMIFS(INDEX(Техника!$F$1:$ABM$500,D$2,0),Техника!$F$4:$ABM$4,"Часы",INDEX(Техника!$G$1:$ABN$500,D$2,0),$A$1236,INDEX(Техника!$H$1:$ABO$500,D$2,0),"Л")</f>
        <v>0</v>
      </c>
      <c r="E1240" s="50">
        <f>SUMIFS(INDEX(Техника!$F$1:$ABM$500,E$2,0),Техника!$F$4:$ABM$4,"Часы",INDEX(Техника!$G$1:$ABN$500,E$2,0),$A$1236,INDEX(Техника!$H$1:$ABO$500,E$2,0),"Л")</f>
        <v>0</v>
      </c>
      <c r="F1240" s="50">
        <f>SUMIFS(INDEX(Техника!$F$1:$ABM$500,F$2,0),Техника!$F$4:$ABM$4,"Часы",INDEX(Техника!$G$1:$ABN$500,F$2,0),$A$1236,INDEX(Техника!$H$1:$ABO$500,F$2,0),"Л")</f>
        <v>0</v>
      </c>
      <c r="G1240" s="50">
        <f>SUMIFS(INDEX(Техника!$F$1:$ABM$500,G$2,0),Техника!$F$4:$ABM$4,"Часы",INDEX(Техника!$G$1:$ABN$500,G$2,0),$A$1236,INDEX(Техника!$H$1:$ABO$500,G$2,0),"Л")</f>
        <v>0</v>
      </c>
      <c r="H1240" s="50">
        <f>SUMIFS(INDEX(Техника!$F$1:$ABM$500,H$2,0),Техника!$F$4:$ABM$4,"Часы",INDEX(Техника!$G$1:$ABN$500,H$2,0),$A$1236,INDEX(Техника!$H$1:$ABO$500,H$2,0),"Л")</f>
        <v>0</v>
      </c>
      <c r="I1240" s="50">
        <f>SUMIFS(INDEX(Техника!$F$1:$ABM$500,I$2,0),Техника!$F$4:$ABM$4,"Часы",INDEX(Техника!$G$1:$ABN$500,I$2,0),$A$1236,INDEX(Техника!$H$1:$ABO$500,I$2,0),"Л")</f>
        <v>0</v>
      </c>
      <c r="J1240" s="50">
        <f>SUMIFS(INDEX(Техника!$F$1:$ABM$500,J$2,0),Техника!$F$4:$ABM$4,"Часы",INDEX(Техника!$G$1:$ABN$500,J$2,0),$A$1236,INDEX(Техника!$H$1:$ABO$500,J$2,0),"Л")</f>
        <v>0</v>
      </c>
      <c r="K1240" s="50">
        <f>SUMIFS(INDEX(Техника!$F$1:$ABM$500,K$2,0),Техника!$F$4:$ABM$4,"Часы",INDEX(Техника!$G$1:$ABN$500,K$2,0),$A$1236,INDEX(Техника!$H$1:$ABO$500,K$2,0),"Л")</f>
        <v>0</v>
      </c>
      <c r="L1240" s="50">
        <f>SUMIFS(INDEX(Техника!$F$1:$ABM$500,L$2,0),Техника!$F$4:$ABM$4,"Часы",INDEX(Техника!$G$1:$ABN$500,L$2,0),$A$1236,INDEX(Техника!$H$1:$ABO$500,L$2,0),"Л")</f>
        <v>0</v>
      </c>
      <c r="M1240" s="50">
        <f>SUMIFS(INDEX(Техника!$F$1:$ABM$500,M$2,0),Техника!$F$4:$ABM$4,"Часы",INDEX(Техника!$G$1:$ABN$500,M$2,0),$A$1236,INDEX(Техника!$H$1:$ABO$500,M$2,0),"Л")</f>
        <v>0</v>
      </c>
      <c r="N1240" s="50">
        <f>SUMIFS(INDEX(Техника!$F$1:$ABM$500,N$2,0),Техника!$F$4:$ABM$4,"Часы",INDEX(Техника!$G$1:$ABN$500,N$2,0),$A$1236,INDEX(Техника!$H$1:$ABO$500,N$2,0),"Л")</f>
        <v>0</v>
      </c>
      <c r="O1240" s="50">
        <f>SUMIFS(INDEX(Техника!$F$1:$ABM$500,O$2,0),Техника!$F$4:$ABM$4,"Часы",INDEX(Техника!$G$1:$ABN$500,O$2,0),$A$1236,INDEX(Техника!$H$1:$ABO$500,O$2,0),"Л")</f>
        <v>0</v>
      </c>
      <c r="P1240" s="50">
        <f>SUMIFS(INDEX(Техника!$F$1:$ABM$500,P$2,0),Техника!$F$4:$ABM$4,"Часы",INDEX(Техника!$G$1:$ABN$500,P$2,0),$A$1236,INDEX(Техника!$H$1:$ABO$500,P$2,0),"Л")</f>
        <v>0</v>
      </c>
      <c r="Q1240" s="50">
        <f>SUMIFS(INDEX(Техника!$F$1:$ABM$500,Q$2,0),Техника!$F$4:$ABM$4,"Часы",INDEX(Техника!$G$1:$ABN$500,Q$2,0),$A$1236,INDEX(Техника!$H$1:$ABO$500,Q$2,0),"Л")</f>
        <v>0</v>
      </c>
      <c r="R1240" s="50">
        <f>SUMIFS(INDEX(Техника!$F$1:$ABM$500,R$2,0),Техника!$F$4:$ABM$4,"Часы",INDEX(Техника!$G$1:$ABN$500,R$2,0),$A$1236,INDEX(Техника!$H$1:$ABO$500,R$2,0),"Л")</f>
        <v>0</v>
      </c>
      <c r="S1240" s="50">
        <f>SUMIFS(INDEX(Техника!$F$1:$ABM$500,S$2,0),Техника!$F$4:$ABM$4,"Часы",INDEX(Техника!$G$1:$ABN$500,S$2,0),$A$1236,INDEX(Техника!$H$1:$ABO$500,S$2,0),"Л")</f>
        <v>0</v>
      </c>
      <c r="T1240" s="50">
        <f>SUMIFS(INDEX(Техника!$F$1:$ABM$500,T$2,0),Техника!$F$4:$ABM$4,"Часы",INDEX(Техника!$G$1:$ABN$500,T$2,0),$A$1236,INDEX(Техника!$H$1:$ABO$500,T$2,0),"Л")</f>
        <v>0</v>
      </c>
      <c r="U1240" s="50">
        <f>SUMIFS(INDEX(Техника!$F$1:$ABM$500,U$2,0),Техника!$F$4:$ABM$4,"Часы",INDEX(Техника!$G$1:$ABN$500,U$2,0),$A$1236,INDEX(Техника!$H$1:$ABO$500,U$2,0),"Л")</f>
        <v>0</v>
      </c>
      <c r="V1240" s="50">
        <f>SUMIFS(INDEX(Техника!$F$1:$ABM$500,V$2,0),Техника!$F$4:$ABM$4,"Часы",INDEX(Техника!$G$1:$ABN$500,V$2,0),$A$1236,INDEX(Техника!$H$1:$ABO$500,V$2,0),"Л")</f>
        <v>0</v>
      </c>
      <c r="W1240" s="50">
        <f>SUMIFS(INDEX(Техника!$F$1:$ABM$500,W$2,0),Техника!$F$4:$ABM$4,"Часы",INDEX(Техника!$G$1:$ABN$500,W$2,0),$A$1236,INDEX(Техника!$H$1:$ABO$500,W$2,0),"Л")</f>
        <v>0</v>
      </c>
      <c r="X1240" s="50">
        <f>SUMIFS(INDEX(Техника!$F$1:$ABM$500,X$2,0),Техника!$F$4:$ABM$4,"Часы",INDEX(Техника!$G$1:$ABN$500,X$2,0),$A$1236,INDEX(Техника!$H$1:$ABO$500,X$2,0),"Л")</f>
        <v>0</v>
      </c>
      <c r="Y1240" s="50">
        <f>SUMIFS(INDEX(Техника!$F$1:$ABM$500,Y$2,0),Техника!$F$4:$ABM$4,"Часы",INDEX(Техника!$G$1:$ABN$500,Y$2,0),$A$1236,INDEX(Техника!$H$1:$ABO$500,Y$2,0),"Л")</f>
        <v>0</v>
      </c>
      <c r="Z1240" s="50">
        <f>SUMIFS(INDEX(Техника!$F$1:$ABM$500,Z$2,0),Техника!$F$4:$ABM$4,"Часы",INDEX(Техника!$G$1:$ABN$500,Z$2,0),$A$1236,INDEX(Техника!$H$1:$ABO$500,Z$2,0),"Л")</f>
        <v>0</v>
      </c>
      <c r="AA1240" s="50">
        <f>SUMIFS(INDEX(Техника!$F$1:$ABM$500,AA$2,0),Техника!$F$4:$ABM$4,"Часы",INDEX(Техника!$G$1:$ABN$500,AA$2,0),$A$1236,INDEX(Техника!$H$1:$ABO$500,AA$2,0),"Л")</f>
        <v>0</v>
      </c>
      <c r="AB1240" s="50">
        <f>SUMIFS(INDEX(Техника!$F$1:$ABM$500,AB$2,0),Техника!$F$4:$ABM$4,"Часы",INDEX(Техника!$G$1:$ABN$500,AB$2,0),$A$1236,INDEX(Техника!$H$1:$ABO$500,AB$2,0),"Л")</f>
        <v>0</v>
      </c>
    </row>
    <row r="1241" spans="1:28" hidden="1" outlineLevel="1" x14ac:dyDescent="0.3">
      <c r="A1241" s="33" t="s">
        <v>245</v>
      </c>
      <c r="B1241" s="34" t="s">
        <v>279</v>
      </c>
      <c r="C1241" s="50">
        <f>SUMIFS(INDEX(Техника!$F$1:$ABM$500,C$2,0),Техника!$F$4:$ABM$4,"Часы",INDEX(Техника!$G$1:$ABN$500,C$2,0),$A$1236,INDEX(Техника!$H$1:$ABO$500,C$2,0),"З")</f>
        <v>0</v>
      </c>
      <c r="D1241" s="50">
        <f>SUMIFS(INDEX(Техника!$F$1:$ABM$500,D$2,0),Техника!$F$4:$ABM$4,"Часы",INDEX(Техника!$G$1:$ABN$500,D$2,0),$A$1236,INDEX(Техника!$H$1:$ABO$500,D$2,0),"З")</f>
        <v>0</v>
      </c>
      <c r="E1241" s="50">
        <f>SUMIFS(INDEX(Техника!$F$1:$ABM$500,E$2,0),Техника!$F$4:$ABM$4,"Часы",INDEX(Техника!$G$1:$ABN$500,E$2,0),$A$1236,INDEX(Техника!$H$1:$ABO$500,E$2,0),"З")</f>
        <v>0</v>
      </c>
      <c r="F1241" s="50">
        <f>SUMIFS(INDEX(Техника!$F$1:$ABM$500,F$2,0),Техника!$F$4:$ABM$4,"Часы",INDEX(Техника!$G$1:$ABN$500,F$2,0),$A$1236,INDEX(Техника!$H$1:$ABO$500,F$2,0),"З")</f>
        <v>0</v>
      </c>
      <c r="G1241" s="50">
        <f>SUMIFS(INDEX(Техника!$F$1:$ABM$500,G$2,0),Техника!$F$4:$ABM$4,"Часы",INDEX(Техника!$G$1:$ABN$500,G$2,0),$A$1236,INDEX(Техника!$H$1:$ABO$500,G$2,0),"З")</f>
        <v>0</v>
      </c>
      <c r="H1241" s="50">
        <f>SUMIFS(INDEX(Техника!$F$1:$ABM$500,H$2,0),Техника!$F$4:$ABM$4,"Часы",INDEX(Техника!$G$1:$ABN$500,H$2,0),$A$1236,INDEX(Техника!$H$1:$ABO$500,H$2,0),"З")</f>
        <v>0</v>
      </c>
      <c r="I1241" s="50">
        <f>SUMIFS(INDEX(Техника!$F$1:$ABM$500,I$2,0),Техника!$F$4:$ABM$4,"Часы",INDEX(Техника!$G$1:$ABN$500,I$2,0),$A$1236,INDEX(Техника!$H$1:$ABO$500,I$2,0),"З")</f>
        <v>0</v>
      </c>
      <c r="J1241" s="50">
        <f>SUMIFS(INDEX(Техника!$F$1:$ABM$500,J$2,0),Техника!$F$4:$ABM$4,"Часы",INDEX(Техника!$G$1:$ABN$500,J$2,0),$A$1236,INDEX(Техника!$H$1:$ABO$500,J$2,0),"З")</f>
        <v>0</v>
      </c>
      <c r="K1241" s="50">
        <f>SUMIFS(INDEX(Техника!$F$1:$ABM$500,K$2,0),Техника!$F$4:$ABM$4,"Часы",INDEX(Техника!$G$1:$ABN$500,K$2,0),$A$1236,INDEX(Техника!$H$1:$ABO$500,K$2,0),"З")</f>
        <v>0</v>
      </c>
      <c r="L1241" s="50">
        <f>SUMIFS(INDEX(Техника!$F$1:$ABM$500,L$2,0),Техника!$F$4:$ABM$4,"Часы",INDEX(Техника!$G$1:$ABN$500,L$2,0),$A$1236,INDEX(Техника!$H$1:$ABO$500,L$2,0),"З")</f>
        <v>0</v>
      </c>
      <c r="M1241" s="50">
        <f>SUMIFS(INDEX(Техника!$F$1:$ABM$500,M$2,0),Техника!$F$4:$ABM$4,"Часы",INDEX(Техника!$G$1:$ABN$500,M$2,0),$A$1236,INDEX(Техника!$H$1:$ABO$500,M$2,0),"З")</f>
        <v>0</v>
      </c>
      <c r="N1241" s="50">
        <f>SUMIFS(INDEX(Техника!$F$1:$ABM$500,N$2,0),Техника!$F$4:$ABM$4,"Часы",INDEX(Техника!$G$1:$ABN$500,N$2,0),$A$1236,INDEX(Техника!$H$1:$ABO$500,N$2,0),"З")</f>
        <v>0</v>
      </c>
      <c r="O1241" s="50">
        <f>SUMIFS(INDEX(Техника!$F$1:$ABM$500,O$2,0),Техника!$F$4:$ABM$4,"Часы",INDEX(Техника!$G$1:$ABN$500,O$2,0),$A$1236,INDEX(Техника!$H$1:$ABO$500,O$2,0),"З")</f>
        <v>0</v>
      </c>
      <c r="P1241" s="50">
        <f>SUMIFS(INDEX(Техника!$F$1:$ABM$500,P$2,0),Техника!$F$4:$ABM$4,"Часы",INDEX(Техника!$G$1:$ABN$500,P$2,0),$A$1236,INDEX(Техника!$H$1:$ABO$500,P$2,0),"З")</f>
        <v>0</v>
      </c>
      <c r="Q1241" s="50">
        <f>SUMIFS(INDEX(Техника!$F$1:$ABM$500,Q$2,0),Техника!$F$4:$ABM$4,"Часы",INDEX(Техника!$G$1:$ABN$500,Q$2,0),$A$1236,INDEX(Техника!$H$1:$ABO$500,Q$2,0),"З")</f>
        <v>0</v>
      </c>
      <c r="R1241" s="50">
        <f>SUMIFS(INDEX(Техника!$F$1:$ABM$500,R$2,0),Техника!$F$4:$ABM$4,"Часы",INDEX(Техника!$G$1:$ABN$500,R$2,0),$A$1236,INDEX(Техника!$H$1:$ABO$500,R$2,0),"З")</f>
        <v>0</v>
      </c>
      <c r="S1241" s="50">
        <f>SUMIFS(INDEX(Техника!$F$1:$ABM$500,S$2,0),Техника!$F$4:$ABM$4,"Часы",INDEX(Техника!$G$1:$ABN$500,S$2,0),$A$1236,INDEX(Техника!$H$1:$ABO$500,S$2,0),"З")</f>
        <v>0</v>
      </c>
      <c r="T1241" s="50">
        <f>SUMIFS(INDEX(Техника!$F$1:$ABM$500,T$2,0),Техника!$F$4:$ABM$4,"Часы",INDEX(Техника!$G$1:$ABN$500,T$2,0),$A$1236,INDEX(Техника!$H$1:$ABO$500,T$2,0),"З")</f>
        <v>0</v>
      </c>
      <c r="U1241" s="50">
        <f>SUMIFS(INDEX(Техника!$F$1:$ABM$500,U$2,0),Техника!$F$4:$ABM$4,"Часы",INDEX(Техника!$G$1:$ABN$500,U$2,0),$A$1236,INDEX(Техника!$H$1:$ABO$500,U$2,0),"З")</f>
        <v>0</v>
      </c>
      <c r="V1241" s="50">
        <f>SUMIFS(INDEX(Техника!$F$1:$ABM$500,V$2,0),Техника!$F$4:$ABM$4,"Часы",INDEX(Техника!$G$1:$ABN$500,V$2,0),$A$1236,INDEX(Техника!$H$1:$ABO$500,V$2,0),"З")</f>
        <v>0</v>
      </c>
      <c r="W1241" s="50">
        <f>SUMIFS(INDEX(Техника!$F$1:$ABM$500,W$2,0),Техника!$F$4:$ABM$4,"Часы",INDEX(Техника!$G$1:$ABN$500,W$2,0),$A$1236,INDEX(Техника!$H$1:$ABO$500,W$2,0),"З")</f>
        <v>0</v>
      </c>
      <c r="X1241" s="50">
        <f>SUMIFS(INDEX(Техника!$F$1:$ABM$500,X$2,0),Техника!$F$4:$ABM$4,"Часы",INDEX(Техника!$G$1:$ABN$500,X$2,0),$A$1236,INDEX(Техника!$H$1:$ABO$500,X$2,0),"З")</f>
        <v>0</v>
      </c>
      <c r="Y1241" s="50">
        <f>SUMIFS(INDEX(Техника!$F$1:$ABM$500,Y$2,0),Техника!$F$4:$ABM$4,"Часы",INDEX(Техника!$G$1:$ABN$500,Y$2,0),$A$1236,INDEX(Техника!$H$1:$ABO$500,Y$2,0),"З")</f>
        <v>0</v>
      </c>
      <c r="Z1241" s="50">
        <f>SUMIFS(INDEX(Техника!$F$1:$ABM$500,Z$2,0),Техника!$F$4:$ABM$4,"Часы",INDEX(Техника!$G$1:$ABN$500,Z$2,0),$A$1236,INDEX(Техника!$H$1:$ABO$500,Z$2,0),"З")</f>
        <v>0</v>
      </c>
      <c r="AA1241" s="50">
        <f>SUMIFS(INDEX(Техника!$F$1:$ABM$500,AA$2,0),Техника!$F$4:$ABM$4,"Часы",INDEX(Техника!$G$1:$ABN$500,AA$2,0),$A$1236,INDEX(Техника!$H$1:$ABO$500,AA$2,0),"З")</f>
        <v>0</v>
      </c>
      <c r="AB1241" s="50">
        <f>SUMIFS(INDEX(Техника!$F$1:$ABM$500,AB$2,0),Техника!$F$4:$ABM$4,"Часы",INDEX(Техника!$G$1:$ABN$500,AB$2,0),$A$1236,INDEX(Техника!$H$1:$ABO$500,AB$2,0),"З")</f>
        <v>0</v>
      </c>
    </row>
    <row r="1242" spans="1:28" ht="7.95" customHeight="1" x14ac:dyDescent="0.3">
      <c r="A1242" s="38"/>
      <c r="B1242" s="39"/>
      <c r="C1242" s="51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  <c r="S1242" s="51"/>
      <c r="T1242" s="51"/>
      <c r="U1242" s="51"/>
      <c r="V1242" s="51"/>
      <c r="W1242" s="51"/>
      <c r="X1242" s="51"/>
      <c r="Y1242" s="51"/>
      <c r="Z1242" s="51"/>
      <c r="AA1242" s="51"/>
      <c r="AB1242" s="51"/>
    </row>
    <row r="1243" spans="1:28" ht="25.05" customHeight="1" collapsed="1" x14ac:dyDescent="0.3">
      <c r="A1243" s="32">
        <v>178</v>
      </c>
      <c r="B1243" s="32" t="s">
        <v>179</v>
      </c>
      <c r="C1243" s="49">
        <f>SUM(C1244:C1248)</f>
        <v>0</v>
      </c>
      <c r="D1243" s="49">
        <f>SUM(D1244:D1248)</f>
        <v>0</v>
      </c>
      <c r="E1243" s="49">
        <f>SUM(E1244:E1248)</f>
        <v>0</v>
      </c>
      <c r="F1243" s="49">
        <f>SUM(F1244:F1248)</f>
        <v>0</v>
      </c>
      <c r="G1243" s="49">
        <f>SUM(G1244:G1248)</f>
        <v>0</v>
      </c>
      <c r="H1243" s="49">
        <f>SUM(H1244:H1248)</f>
        <v>0</v>
      </c>
      <c r="I1243" s="49">
        <f>SUM(I1244:I1248)</f>
        <v>0</v>
      </c>
      <c r="J1243" s="49">
        <f>SUM(J1244:J1248)</f>
        <v>0</v>
      </c>
      <c r="K1243" s="49">
        <f>SUM(K1244:K1248)</f>
        <v>0</v>
      </c>
      <c r="L1243" s="49">
        <f>SUM(L1244:L1248)</f>
        <v>0</v>
      </c>
      <c r="M1243" s="49">
        <f>SUM(M1244:M1248)</f>
        <v>0</v>
      </c>
      <c r="N1243" s="49">
        <f>SUM(N1244:N1248)</f>
        <v>0</v>
      </c>
      <c r="O1243" s="49">
        <f>SUM(O1244:O1248)</f>
        <v>0</v>
      </c>
      <c r="P1243" s="49">
        <f>SUM(P1244:P1248)</f>
        <v>0</v>
      </c>
      <c r="Q1243" s="49">
        <f>SUM(Q1244:Q1248)</f>
        <v>0</v>
      </c>
      <c r="R1243" s="49">
        <f>SUM(R1244:R1248)</f>
        <v>0</v>
      </c>
      <c r="S1243" s="49">
        <f>SUM(S1244:S1248)</f>
        <v>0</v>
      </c>
      <c r="T1243" s="49">
        <f>SUM(T1244:T1248)</f>
        <v>0</v>
      </c>
      <c r="U1243" s="49">
        <f>SUM(U1244:U1248)</f>
        <v>0</v>
      </c>
      <c r="V1243" s="49">
        <f>SUM(V1244:V1248)</f>
        <v>0</v>
      </c>
      <c r="W1243" s="49">
        <f>SUM(W1244:W1248)</f>
        <v>0</v>
      </c>
      <c r="X1243" s="49">
        <f>SUM(X1244:X1248)</f>
        <v>0</v>
      </c>
      <c r="Y1243" s="49">
        <f>SUM(Y1244:Y1248)</f>
        <v>0</v>
      </c>
      <c r="Z1243" s="49">
        <f>SUM(Z1244:Z1248)</f>
        <v>0</v>
      </c>
      <c r="AA1243" s="49">
        <f>SUM(AA1244:AA1248)</f>
        <v>0</v>
      </c>
      <c r="AB1243" s="49">
        <f>SUM(AB1244:AB1248)</f>
        <v>0</v>
      </c>
    </row>
    <row r="1244" spans="1:28" hidden="1" outlineLevel="1" x14ac:dyDescent="0.3">
      <c r="A1244" s="33" t="s">
        <v>246</v>
      </c>
      <c r="B1244" s="34" t="s">
        <v>274</v>
      </c>
      <c r="C1244" s="50">
        <f>SUMIFS(INDEX(Техника!$F$1:$ABM$500,C$2,0),Техника!$F$4:$ABM$4,"Часы",INDEX(Техника!$G$1:$ABN$500,C$2,0),$A$1243,INDEX(Техника!$H$1:$ABO$500,C$2,0),"М")</f>
        <v>0</v>
      </c>
      <c r="D1244" s="50">
        <f>SUMIFS(INDEX(Техника!$F$1:$ABM$500,D$2,0),Техника!$F$4:$ABM$4,"Часы",INDEX(Техника!$G$1:$ABN$500,D$2,0),$A$1243,INDEX(Техника!$H$1:$ABO$500,D$2,0),"М")</f>
        <v>0</v>
      </c>
      <c r="E1244" s="50">
        <f>SUMIFS(INDEX(Техника!$F$1:$ABM$500,E$2,0),Техника!$F$4:$ABM$4,"Часы",INDEX(Техника!$G$1:$ABN$500,E$2,0),$A$1243,INDEX(Техника!$H$1:$ABO$500,E$2,0),"М")</f>
        <v>0</v>
      </c>
      <c r="F1244" s="50">
        <f>SUMIFS(INDEX(Техника!$F$1:$ABM$500,F$2,0),Техника!$F$4:$ABM$4,"Часы",INDEX(Техника!$G$1:$ABN$500,F$2,0),$A$1243,INDEX(Техника!$H$1:$ABO$500,F$2,0),"М")</f>
        <v>0</v>
      </c>
      <c r="G1244" s="50">
        <f>SUMIFS(INDEX(Техника!$F$1:$ABM$500,G$2,0),Техника!$F$4:$ABM$4,"Часы",INDEX(Техника!$G$1:$ABN$500,G$2,0),$A$1243,INDEX(Техника!$H$1:$ABO$500,G$2,0),"М")</f>
        <v>0</v>
      </c>
      <c r="H1244" s="50">
        <f>SUMIFS(INDEX(Техника!$F$1:$ABM$500,H$2,0),Техника!$F$4:$ABM$4,"Часы",INDEX(Техника!$G$1:$ABN$500,H$2,0),$A$1243,INDEX(Техника!$H$1:$ABO$500,H$2,0),"М")</f>
        <v>0</v>
      </c>
      <c r="I1244" s="50">
        <f>SUMIFS(INDEX(Техника!$F$1:$ABM$500,I$2,0),Техника!$F$4:$ABM$4,"Часы",INDEX(Техника!$G$1:$ABN$500,I$2,0),$A$1243,INDEX(Техника!$H$1:$ABO$500,I$2,0),"М")</f>
        <v>0</v>
      </c>
      <c r="J1244" s="50">
        <f>SUMIFS(INDEX(Техника!$F$1:$ABM$500,J$2,0),Техника!$F$4:$ABM$4,"Часы",INDEX(Техника!$G$1:$ABN$500,J$2,0),$A$1243,INDEX(Техника!$H$1:$ABO$500,J$2,0),"М")</f>
        <v>0</v>
      </c>
      <c r="K1244" s="50">
        <f>SUMIFS(INDEX(Техника!$F$1:$ABM$500,K$2,0),Техника!$F$4:$ABM$4,"Часы",INDEX(Техника!$G$1:$ABN$500,K$2,0),$A$1243,INDEX(Техника!$H$1:$ABO$500,K$2,0),"М")</f>
        <v>0</v>
      </c>
      <c r="L1244" s="50">
        <f>SUMIFS(INDEX(Техника!$F$1:$ABM$500,L$2,0),Техника!$F$4:$ABM$4,"Часы",INDEX(Техника!$G$1:$ABN$500,L$2,0),$A$1243,INDEX(Техника!$H$1:$ABO$500,L$2,0),"М")</f>
        <v>0</v>
      </c>
      <c r="M1244" s="50">
        <f>SUMIFS(INDEX(Техника!$F$1:$ABM$500,M$2,0),Техника!$F$4:$ABM$4,"Часы",INDEX(Техника!$G$1:$ABN$500,M$2,0),$A$1243,INDEX(Техника!$H$1:$ABO$500,M$2,0),"М")</f>
        <v>0</v>
      </c>
      <c r="N1244" s="50">
        <f>SUMIFS(INDEX(Техника!$F$1:$ABM$500,N$2,0),Техника!$F$4:$ABM$4,"Часы",INDEX(Техника!$G$1:$ABN$500,N$2,0),$A$1243,INDEX(Техника!$H$1:$ABO$500,N$2,0),"М")</f>
        <v>0</v>
      </c>
      <c r="O1244" s="50">
        <f>SUMIFS(INDEX(Техника!$F$1:$ABM$500,O$2,0),Техника!$F$4:$ABM$4,"Часы",INDEX(Техника!$G$1:$ABN$500,O$2,0),$A$1243,INDEX(Техника!$H$1:$ABO$500,O$2,0),"М")</f>
        <v>0</v>
      </c>
      <c r="P1244" s="50">
        <f>SUMIFS(INDEX(Техника!$F$1:$ABM$500,P$2,0),Техника!$F$4:$ABM$4,"Часы",INDEX(Техника!$G$1:$ABN$500,P$2,0),$A$1243,INDEX(Техника!$H$1:$ABO$500,P$2,0),"М")</f>
        <v>0</v>
      </c>
      <c r="Q1244" s="50">
        <f>SUMIFS(INDEX(Техника!$F$1:$ABM$500,Q$2,0),Техника!$F$4:$ABM$4,"Часы",INDEX(Техника!$G$1:$ABN$500,Q$2,0),$A$1243,INDEX(Техника!$H$1:$ABO$500,Q$2,0),"М")</f>
        <v>0</v>
      </c>
      <c r="R1244" s="50">
        <f>SUMIFS(INDEX(Техника!$F$1:$ABM$500,R$2,0),Техника!$F$4:$ABM$4,"Часы",INDEX(Техника!$G$1:$ABN$500,R$2,0),$A$1243,INDEX(Техника!$H$1:$ABO$500,R$2,0),"М")</f>
        <v>0</v>
      </c>
      <c r="S1244" s="50">
        <f>SUMIFS(INDEX(Техника!$F$1:$ABM$500,S$2,0),Техника!$F$4:$ABM$4,"Часы",INDEX(Техника!$G$1:$ABN$500,S$2,0),$A$1243,INDEX(Техника!$H$1:$ABO$500,S$2,0),"М")</f>
        <v>0</v>
      </c>
      <c r="T1244" s="50">
        <f>SUMIFS(INDEX(Техника!$F$1:$ABM$500,T$2,0),Техника!$F$4:$ABM$4,"Часы",INDEX(Техника!$G$1:$ABN$500,T$2,0),$A$1243,INDEX(Техника!$H$1:$ABO$500,T$2,0),"М")</f>
        <v>0</v>
      </c>
      <c r="U1244" s="50">
        <f>SUMIFS(INDEX(Техника!$F$1:$ABM$500,U$2,0),Техника!$F$4:$ABM$4,"Часы",INDEX(Техника!$G$1:$ABN$500,U$2,0),$A$1243,INDEX(Техника!$H$1:$ABO$500,U$2,0),"М")</f>
        <v>0</v>
      </c>
      <c r="V1244" s="50">
        <f>SUMIFS(INDEX(Техника!$F$1:$ABM$500,V$2,0),Техника!$F$4:$ABM$4,"Часы",INDEX(Техника!$G$1:$ABN$500,V$2,0),$A$1243,INDEX(Техника!$H$1:$ABO$500,V$2,0),"М")</f>
        <v>0</v>
      </c>
      <c r="W1244" s="50">
        <f>SUMIFS(INDEX(Техника!$F$1:$ABM$500,W$2,0),Техника!$F$4:$ABM$4,"Часы",INDEX(Техника!$G$1:$ABN$500,W$2,0),$A$1243,INDEX(Техника!$H$1:$ABO$500,W$2,0),"М")</f>
        <v>0</v>
      </c>
      <c r="X1244" s="50">
        <f>SUMIFS(INDEX(Техника!$F$1:$ABM$500,X$2,0),Техника!$F$4:$ABM$4,"Часы",INDEX(Техника!$G$1:$ABN$500,X$2,0),$A$1243,INDEX(Техника!$H$1:$ABO$500,X$2,0),"М")</f>
        <v>0</v>
      </c>
      <c r="Y1244" s="50">
        <f>SUMIFS(INDEX(Техника!$F$1:$ABM$500,Y$2,0),Техника!$F$4:$ABM$4,"Часы",INDEX(Техника!$G$1:$ABN$500,Y$2,0),$A$1243,INDEX(Техника!$H$1:$ABO$500,Y$2,0),"М")</f>
        <v>0</v>
      </c>
      <c r="Z1244" s="50">
        <f>SUMIFS(INDEX(Техника!$F$1:$ABM$500,Z$2,0),Техника!$F$4:$ABM$4,"Часы",INDEX(Техника!$G$1:$ABN$500,Z$2,0),$A$1243,INDEX(Техника!$H$1:$ABO$500,Z$2,0),"М")</f>
        <v>0</v>
      </c>
      <c r="AA1244" s="50">
        <f>SUMIFS(INDEX(Техника!$F$1:$ABM$500,AA$2,0),Техника!$F$4:$ABM$4,"Часы",INDEX(Техника!$G$1:$ABN$500,AA$2,0),$A$1243,INDEX(Техника!$H$1:$ABO$500,AA$2,0),"М")</f>
        <v>0</v>
      </c>
      <c r="AB1244" s="50">
        <f>SUMIFS(INDEX(Техника!$F$1:$ABM$500,AB$2,0),Техника!$F$4:$ABM$4,"Часы",INDEX(Техника!$G$1:$ABN$500,AB$2,0),$A$1243,INDEX(Техника!$H$1:$ABO$500,AB$2,0),"М")</f>
        <v>0</v>
      </c>
    </row>
    <row r="1245" spans="1:28" hidden="1" outlineLevel="1" x14ac:dyDescent="0.3">
      <c r="A1245" s="33" t="s">
        <v>244</v>
      </c>
      <c r="B1245" s="34" t="s">
        <v>275</v>
      </c>
      <c r="C1245" s="50">
        <f>SUMIFS(INDEX(Техника!$F$1:$ABM$500,C$2,0),Техника!$F$4:$ABM$4,"Часы",INDEX(Техника!$G$1:$ABN$500,C$2,0),$A$1243,INDEX(Техника!$H$1:$ABO$500,C$2,0),"Д")</f>
        <v>0</v>
      </c>
      <c r="D1245" s="50">
        <f>SUMIFS(INDEX(Техника!$F$1:$ABM$500,D$2,0),Техника!$F$4:$ABM$4,"Часы",INDEX(Техника!$G$1:$ABN$500,D$2,0),$A$1243,INDEX(Техника!$H$1:$ABO$500,D$2,0),"Д")</f>
        <v>0</v>
      </c>
      <c r="E1245" s="50">
        <f>SUMIFS(INDEX(Техника!$F$1:$ABM$500,E$2,0),Техника!$F$4:$ABM$4,"Часы",INDEX(Техника!$G$1:$ABN$500,E$2,0),$A$1243,INDEX(Техника!$H$1:$ABO$500,E$2,0),"Д")</f>
        <v>0</v>
      </c>
      <c r="F1245" s="50">
        <f>SUMIFS(INDEX(Техника!$F$1:$ABM$500,F$2,0),Техника!$F$4:$ABM$4,"Часы",INDEX(Техника!$G$1:$ABN$500,F$2,0),$A$1243,INDEX(Техника!$H$1:$ABO$500,F$2,0),"Д")</f>
        <v>0</v>
      </c>
      <c r="G1245" s="50">
        <f>SUMIFS(INDEX(Техника!$F$1:$ABM$500,G$2,0),Техника!$F$4:$ABM$4,"Часы",INDEX(Техника!$G$1:$ABN$500,G$2,0),$A$1243,INDEX(Техника!$H$1:$ABO$500,G$2,0),"Д")</f>
        <v>0</v>
      </c>
      <c r="H1245" s="50">
        <f>SUMIFS(INDEX(Техника!$F$1:$ABM$500,H$2,0),Техника!$F$4:$ABM$4,"Часы",INDEX(Техника!$G$1:$ABN$500,H$2,0),$A$1243,INDEX(Техника!$H$1:$ABO$500,H$2,0),"Д")</f>
        <v>0</v>
      </c>
      <c r="I1245" s="50">
        <f>SUMIFS(INDEX(Техника!$F$1:$ABM$500,I$2,0),Техника!$F$4:$ABM$4,"Часы",INDEX(Техника!$G$1:$ABN$500,I$2,0),$A$1243,INDEX(Техника!$H$1:$ABO$500,I$2,0),"Д")</f>
        <v>0</v>
      </c>
      <c r="J1245" s="50">
        <f>SUMIFS(INDEX(Техника!$F$1:$ABM$500,J$2,0),Техника!$F$4:$ABM$4,"Часы",INDEX(Техника!$G$1:$ABN$500,J$2,0),$A$1243,INDEX(Техника!$H$1:$ABO$500,J$2,0),"Д")</f>
        <v>0</v>
      </c>
      <c r="K1245" s="50">
        <f>SUMIFS(INDEX(Техника!$F$1:$ABM$500,K$2,0),Техника!$F$4:$ABM$4,"Часы",INDEX(Техника!$G$1:$ABN$500,K$2,0),$A$1243,INDEX(Техника!$H$1:$ABO$500,K$2,0),"Д")</f>
        <v>0</v>
      </c>
      <c r="L1245" s="50">
        <f>SUMIFS(INDEX(Техника!$F$1:$ABM$500,L$2,0),Техника!$F$4:$ABM$4,"Часы",INDEX(Техника!$G$1:$ABN$500,L$2,0),$A$1243,INDEX(Техника!$H$1:$ABO$500,L$2,0),"Д")</f>
        <v>0</v>
      </c>
      <c r="M1245" s="50">
        <f>SUMIFS(INDEX(Техника!$F$1:$ABM$500,M$2,0),Техника!$F$4:$ABM$4,"Часы",INDEX(Техника!$G$1:$ABN$500,M$2,0),$A$1243,INDEX(Техника!$H$1:$ABO$500,M$2,0),"Д")</f>
        <v>0</v>
      </c>
      <c r="N1245" s="50">
        <f>SUMIFS(INDEX(Техника!$F$1:$ABM$500,N$2,0),Техника!$F$4:$ABM$4,"Часы",INDEX(Техника!$G$1:$ABN$500,N$2,0),$A$1243,INDEX(Техника!$H$1:$ABO$500,N$2,0),"Д")</f>
        <v>0</v>
      </c>
      <c r="O1245" s="50">
        <f>SUMIFS(INDEX(Техника!$F$1:$ABM$500,O$2,0),Техника!$F$4:$ABM$4,"Часы",INDEX(Техника!$G$1:$ABN$500,O$2,0),$A$1243,INDEX(Техника!$H$1:$ABO$500,O$2,0),"Д")</f>
        <v>0</v>
      </c>
      <c r="P1245" s="50">
        <f>SUMIFS(INDEX(Техника!$F$1:$ABM$500,P$2,0),Техника!$F$4:$ABM$4,"Часы",INDEX(Техника!$G$1:$ABN$500,P$2,0),$A$1243,INDEX(Техника!$H$1:$ABO$500,P$2,0),"Д")</f>
        <v>0</v>
      </c>
      <c r="Q1245" s="50">
        <f>SUMIFS(INDEX(Техника!$F$1:$ABM$500,Q$2,0),Техника!$F$4:$ABM$4,"Часы",INDEX(Техника!$G$1:$ABN$500,Q$2,0),$A$1243,INDEX(Техника!$H$1:$ABO$500,Q$2,0),"Д")</f>
        <v>0</v>
      </c>
      <c r="R1245" s="50">
        <f>SUMIFS(INDEX(Техника!$F$1:$ABM$500,R$2,0),Техника!$F$4:$ABM$4,"Часы",INDEX(Техника!$G$1:$ABN$500,R$2,0),$A$1243,INDEX(Техника!$H$1:$ABO$500,R$2,0),"Д")</f>
        <v>0</v>
      </c>
      <c r="S1245" s="50">
        <f>SUMIFS(INDEX(Техника!$F$1:$ABM$500,S$2,0),Техника!$F$4:$ABM$4,"Часы",INDEX(Техника!$G$1:$ABN$500,S$2,0),$A$1243,INDEX(Техника!$H$1:$ABO$500,S$2,0),"Д")</f>
        <v>0</v>
      </c>
      <c r="T1245" s="50">
        <f>SUMIFS(INDEX(Техника!$F$1:$ABM$500,T$2,0),Техника!$F$4:$ABM$4,"Часы",INDEX(Техника!$G$1:$ABN$500,T$2,0),$A$1243,INDEX(Техника!$H$1:$ABO$500,T$2,0),"Д")</f>
        <v>0</v>
      </c>
      <c r="U1245" s="50">
        <f>SUMIFS(INDEX(Техника!$F$1:$ABM$500,U$2,0),Техника!$F$4:$ABM$4,"Часы",INDEX(Техника!$G$1:$ABN$500,U$2,0),$A$1243,INDEX(Техника!$H$1:$ABO$500,U$2,0),"Д")</f>
        <v>0</v>
      </c>
      <c r="V1245" s="50">
        <f>SUMIFS(INDEX(Техника!$F$1:$ABM$500,V$2,0),Техника!$F$4:$ABM$4,"Часы",INDEX(Техника!$G$1:$ABN$500,V$2,0),$A$1243,INDEX(Техника!$H$1:$ABO$500,V$2,0),"Д")</f>
        <v>0</v>
      </c>
      <c r="W1245" s="50">
        <f>SUMIFS(INDEX(Техника!$F$1:$ABM$500,W$2,0),Техника!$F$4:$ABM$4,"Часы",INDEX(Техника!$G$1:$ABN$500,W$2,0),$A$1243,INDEX(Техника!$H$1:$ABO$500,W$2,0),"Д")</f>
        <v>0</v>
      </c>
      <c r="X1245" s="50">
        <f>SUMIFS(INDEX(Техника!$F$1:$ABM$500,X$2,0),Техника!$F$4:$ABM$4,"Часы",INDEX(Техника!$G$1:$ABN$500,X$2,0),$A$1243,INDEX(Техника!$H$1:$ABO$500,X$2,0),"Д")</f>
        <v>0</v>
      </c>
      <c r="Y1245" s="50">
        <f>SUMIFS(INDEX(Техника!$F$1:$ABM$500,Y$2,0),Техника!$F$4:$ABM$4,"Часы",INDEX(Техника!$G$1:$ABN$500,Y$2,0),$A$1243,INDEX(Техника!$H$1:$ABO$500,Y$2,0),"Д")</f>
        <v>0</v>
      </c>
      <c r="Z1245" s="50">
        <f>SUMIFS(INDEX(Техника!$F$1:$ABM$500,Z$2,0),Техника!$F$4:$ABM$4,"Часы",INDEX(Техника!$G$1:$ABN$500,Z$2,0),$A$1243,INDEX(Техника!$H$1:$ABO$500,Z$2,0),"Д")</f>
        <v>0</v>
      </c>
      <c r="AA1245" s="50">
        <f>SUMIFS(INDEX(Техника!$F$1:$ABM$500,AA$2,0),Техника!$F$4:$ABM$4,"Часы",INDEX(Техника!$G$1:$ABN$500,AA$2,0),$A$1243,INDEX(Техника!$H$1:$ABO$500,AA$2,0),"Д")</f>
        <v>0</v>
      </c>
      <c r="AB1245" s="50">
        <f>SUMIFS(INDEX(Техника!$F$1:$ABM$500,AB$2,0),Техника!$F$4:$ABM$4,"Часы",INDEX(Техника!$G$1:$ABN$500,AB$2,0),$A$1243,INDEX(Техника!$H$1:$ABO$500,AB$2,0),"Д")</f>
        <v>0</v>
      </c>
    </row>
    <row r="1246" spans="1:28" hidden="1" outlineLevel="1" x14ac:dyDescent="0.3">
      <c r="A1246" s="33" t="s">
        <v>276</v>
      </c>
      <c r="B1246" s="34" t="s">
        <v>277</v>
      </c>
      <c r="C1246" s="50">
        <f>SUMIFS(INDEX(Техника!$F$1:$ABM$500,C$2,0),Техника!$F$4:$ABM$4,"Часы",INDEX(Техника!$G$1:$ABN$500,C$2,0),$A$1243,INDEX(Техника!$H$1:$ABO$500,C$2,0),"П")</f>
        <v>0</v>
      </c>
      <c r="D1246" s="50">
        <f>SUMIFS(INDEX(Техника!$F$1:$ABM$500,D$2,0),Техника!$F$4:$ABM$4,"Часы",INDEX(Техника!$G$1:$ABN$500,D$2,0),$A$1243,INDEX(Техника!$H$1:$ABO$500,D$2,0),"П")</f>
        <v>0</v>
      </c>
      <c r="E1246" s="50">
        <f>SUMIFS(INDEX(Техника!$F$1:$ABM$500,E$2,0),Техника!$F$4:$ABM$4,"Часы",INDEX(Техника!$G$1:$ABN$500,E$2,0),$A$1243,INDEX(Техника!$H$1:$ABO$500,E$2,0),"П")</f>
        <v>0</v>
      </c>
      <c r="F1246" s="50">
        <f>SUMIFS(INDEX(Техника!$F$1:$ABM$500,F$2,0),Техника!$F$4:$ABM$4,"Часы",INDEX(Техника!$G$1:$ABN$500,F$2,0),$A$1243,INDEX(Техника!$H$1:$ABO$500,F$2,0),"П")</f>
        <v>0</v>
      </c>
      <c r="G1246" s="50">
        <f>SUMIFS(INDEX(Техника!$F$1:$ABM$500,G$2,0),Техника!$F$4:$ABM$4,"Часы",INDEX(Техника!$G$1:$ABN$500,G$2,0),$A$1243,INDEX(Техника!$H$1:$ABO$500,G$2,0),"П")</f>
        <v>0</v>
      </c>
      <c r="H1246" s="50">
        <f>SUMIFS(INDEX(Техника!$F$1:$ABM$500,H$2,0),Техника!$F$4:$ABM$4,"Часы",INDEX(Техника!$G$1:$ABN$500,H$2,0),$A$1243,INDEX(Техника!$H$1:$ABO$500,H$2,0),"П")</f>
        <v>0</v>
      </c>
      <c r="I1246" s="50">
        <f>SUMIFS(INDEX(Техника!$F$1:$ABM$500,I$2,0),Техника!$F$4:$ABM$4,"Часы",INDEX(Техника!$G$1:$ABN$500,I$2,0),$A$1243,INDEX(Техника!$H$1:$ABO$500,I$2,0),"П")</f>
        <v>0</v>
      </c>
      <c r="J1246" s="50">
        <f>SUMIFS(INDEX(Техника!$F$1:$ABM$500,J$2,0),Техника!$F$4:$ABM$4,"Часы",INDEX(Техника!$G$1:$ABN$500,J$2,0),$A$1243,INDEX(Техника!$H$1:$ABO$500,J$2,0),"П")</f>
        <v>0</v>
      </c>
      <c r="K1246" s="50">
        <f>SUMIFS(INDEX(Техника!$F$1:$ABM$500,K$2,0),Техника!$F$4:$ABM$4,"Часы",INDEX(Техника!$G$1:$ABN$500,K$2,0),$A$1243,INDEX(Техника!$H$1:$ABO$500,K$2,0),"П")</f>
        <v>0</v>
      </c>
      <c r="L1246" s="50">
        <f>SUMIFS(INDEX(Техника!$F$1:$ABM$500,L$2,0),Техника!$F$4:$ABM$4,"Часы",INDEX(Техника!$G$1:$ABN$500,L$2,0),$A$1243,INDEX(Техника!$H$1:$ABO$500,L$2,0),"П")</f>
        <v>0</v>
      </c>
      <c r="M1246" s="50">
        <f>SUMIFS(INDEX(Техника!$F$1:$ABM$500,M$2,0),Техника!$F$4:$ABM$4,"Часы",INDEX(Техника!$G$1:$ABN$500,M$2,0),$A$1243,INDEX(Техника!$H$1:$ABO$500,M$2,0),"П")</f>
        <v>0</v>
      </c>
      <c r="N1246" s="50">
        <f>SUMIFS(INDEX(Техника!$F$1:$ABM$500,N$2,0),Техника!$F$4:$ABM$4,"Часы",INDEX(Техника!$G$1:$ABN$500,N$2,0),$A$1243,INDEX(Техника!$H$1:$ABO$500,N$2,0),"П")</f>
        <v>0</v>
      </c>
      <c r="O1246" s="50">
        <f>SUMIFS(INDEX(Техника!$F$1:$ABM$500,O$2,0),Техника!$F$4:$ABM$4,"Часы",INDEX(Техника!$G$1:$ABN$500,O$2,0),$A$1243,INDEX(Техника!$H$1:$ABO$500,O$2,0),"П")</f>
        <v>0</v>
      </c>
      <c r="P1246" s="50">
        <f>SUMIFS(INDEX(Техника!$F$1:$ABM$500,P$2,0),Техника!$F$4:$ABM$4,"Часы",INDEX(Техника!$G$1:$ABN$500,P$2,0),$A$1243,INDEX(Техника!$H$1:$ABO$500,P$2,0),"П")</f>
        <v>0</v>
      </c>
      <c r="Q1246" s="50">
        <f>SUMIFS(INDEX(Техника!$F$1:$ABM$500,Q$2,0),Техника!$F$4:$ABM$4,"Часы",INDEX(Техника!$G$1:$ABN$500,Q$2,0),$A$1243,INDEX(Техника!$H$1:$ABO$500,Q$2,0),"П")</f>
        <v>0</v>
      </c>
      <c r="R1246" s="50">
        <f>SUMIFS(INDEX(Техника!$F$1:$ABM$500,R$2,0),Техника!$F$4:$ABM$4,"Часы",INDEX(Техника!$G$1:$ABN$500,R$2,0),$A$1243,INDEX(Техника!$H$1:$ABO$500,R$2,0),"П")</f>
        <v>0</v>
      </c>
      <c r="S1246" s="50">
        <f>SUMIFS(INDEX(Техника!$F$1:$ABM$500,S$2,0),Техника!$F$4:$ABM$4,"Часы",INDEX(Техника!$G$1:$ABN$500,S$2,0),$A$1243,INDEX(Техника!$H$1:$ABO$500,S$2,0),"П")</f>
        <v>0</v>
      </c>
      <c r="T1246" s="50">
        <f>SUMIFS(INDEX(Техника!$F$1:$ABM$500,T$2,0),Техника!$F$4:$ABM$4,"Часы",INDEX(Техника!$G$1:$ABN$500,T$2,0),$A$1243,INDEX(Техника!$H$1:$ABO$500,T$2,0),"П")</f>
        <v>0</v>
      </c>
      <c r="U1246" s="50">
        <f>SUMIFS(INDEX(Техника!$F$1:$ABM$500,U$2,0),Техника!$F$4:$ABM$4,"Часы",INDEX(Техника!$G$1:$ABN$500,U$2,0),$A$1243,INDEX(Техника!$H$1:$ABO$500,U$2,0),"П")</f>
        <v>0</v>
      </c>
      <c r="V1246" s="50">
        <f>SUMIFS(INDEX(Техника!$F$1:$ABM$500,V$2,0),Техника!$F$4:$ABM$4,"Часы",INDEX(Техника!$G$1:$ABN$500,V$2,0),$A$1243,INDEX(Техника!$H$1:$ABO$500,V$2,0),"П")</f>
        <v>0</v>
      </c>
      <c r="W1246" s="50">
        <f>SUMIFS(INDEX(Техника!$F$1:$ABM$500,W$2,0),Техника!$F$4:$ABM$4,"Часы",INDEX(Техника!$G$1:$ABN$500,W$2,0),$A$1243,INDEX(Техника!$H$1:$ABO$500,W$2,0),"П")</f>
        <v>0</v>
      </c>
      <c r="X1246" s="50">
        <f>SUMIFS(INDEX(Техника!$F$1:$ABM$500,X$2,0),Техника!$F$4:$ABM$4,"Часы",INDEX(Техника!$G$1:$ABN$500,X$2,0),$A$1243,INDEX(Техника!$H$1:$ABO$500,X$2,0),"П")</f>
        <v>0</v>
      </c>
      <c r="Y1246" s="50">
        <f>SUMIFS(INDEX(Техника!$F$1:$ABM$500,Y$2,0),Техника!$F$4:$ABM$4,"Часы",INDEX(Техника!$G$1:$ABN$500,Y$2,0),$A$1243,INDEX(Техника!$H$1:$ABO$500,Y$2,0),"П")</f>
        <v>0</v>
      </c>
      <c r="Z1246" s="50">
        <f>SUMIFS(INDEX(Техника!$F$1:$ABM$500,Z$2,0),Техника!$F$4:$ABM$4,"Часы",INDEX(Техника!$G$1:$ABN$500,Z$2,0),$A$1243,INDEX(Техника!$H$1:$ABO$500,Z$2,0),"П")</f>
        <v>0</v>
      </c>
      <c r="AA1246" s="50">
        <f>SUMIFS(INDEX(Техника!$F$1:$ABM$500,AA$2,0),Техника!$F$4:$ABM$4,"Часы",INDEX(Техника!$G$1:$ABN$500,AA$2,0),$A$1243,INDEX(Техника!$H$1:$ABO$500,AA$2,0),"П")</f>
        <v>0</v>
      </c>
      <c r="AB1246" s="50">
        <f>SUMIFS(INDEX(Техника!$F$1:$ABM$500,AB$2,0),Техника!$F$4:$ABM$4,"Часы",INDEX(Техника!$G$1:$ABN$500,AB$2,0),$A$1243,INDEX(Техника!$H$1:$ABO$500,AB$2,0),"П")</f>
        <v>0</v>
      </c>
    </row>
    <row r="1247" spans="1:28" hidden="1" outlineLevel="1" x14ac:dyDescent="0.3">
      <c r="A1247" s="33" t="s">
        <v>243</v>
      </c>
      <c r="B1247" s="34" t="s">
        <v>278</v>
      </c>
      <c r="C1247" s="50">
        <f>SUMIFS(INDEX(Техника!$F$1:$ABM$500,C$2,0),Техника!$F$4:$ABM$4,"Часы",INDEX(Техника!$G$1:$ABN$500,C$2,0),$A$1243,INDEX(Техника!$H$1:$ABO$500,C$2,0),"Л")</f>
        <v>0</v>
      </c>
      <c r="D1247" s="50">
        <f>SUMIFS(INDEX(Техника!$F$1:$ABM$500,D$2,0),Техника!$F$4:$ABM$4,"Часы",INDEX(Техника!$G$1:$ABN$500,D$2,0),$A$1243,INDEX(Техника!$H$1:$ABO$500,D$2,0),"Л")</f>
        <v>0</v>
      </c>
      <c r="E1247" s="50">
        <f>SUMIFS(INDEX(Техника!$F$1:$ABM$500,E$2,0),Техника!$F$4:$ABM$4,"Часы",INDEX(Техника!$G$1:$ABN$500,E$2,0),$A$1243,INDEX(Техника!$H$1:$ABO$500,E$2,0),"Л")</f>
        <v>0</v>
      </c>
      <c r="F1247" s="50">
        <f>SUMIFS(INDEX(Техника!$F$1:$ABM$500,F$2,0),Техника!$F$4:$ABM$4,"Часы",INDEX(Техника!$G$1:$ABN$500,F$2,0),$A$1243,INDEX(Техника!$H$1:$ABO$500,F$2,0),"Л")</f>
        <v>0</v>
      </c>
      <c r="G1247" s="50">
        <f>SUMIFS(INDEX(Техника!$F$1:$ABM$500,G$2,0),Техника!$F$4:$ABM$4,"Часы",INDEX(Техника!$G$1:$ABN$500,G$2,0),$A$1243,INDEX(Техника!$H$1:$ABO$500,G$2,0),"Л")</f>
        <v>0</v>
      </c>
      <c r="H1247" s="50">
        <f>SUMIFS(INDEX(Техника!$F$1:$ABM$500,H$2,0),Техника!$F$4:$ABM$4,"Часы",INDEX(Техника!$G$1:$ABN$500,H$2,0),$A$1243,INDEX(Техника!$H$1:$ABO$500,H$2,0),"Л")</f>
        <v>0</v>
      </c>
      <c r="I1247" s="50">
        <f>SUMIFS(INDEX(Техника!$F$1:$ABM$500,I$2,0),Техника!$F$4:$ABM$4,"Часы",INDEX(Техника!$G$1:$ABN$500,I$2,0),$A$1243,INDEX(Техника!$H$1:$ABO$500,I$2,0),"Л")</f>
        <v>0</v>
      </c>
      <c r="J1247" s="50">
        <f>SUMIFS(INDEX(Техника!$F$1:$ABM$500,J$2,0),Техника!$F$4:$ABM$4,"Часы",INDEX(Техника!$G$1:$ABN$500,J$2,0),$A$1243,INDEX(Техника!$H$1:$ABO$500,J$2,0),"Л")</f>
        <v>0</v>
      </c>
      <c r="K1247" s="50">
        <f>SUMIFS(INDEX(Техника!$F$1:$ABM$500,K$2,0),Техника!$F$4:$ABM$4,"Часы",INDEX(Техника!$G$1:$ABN$500,K$2,0),$A$1243,INDEX(Техника!$H$1:$ABO$500,K$2,0),"Л")</f>
        <v>0</v>
      </c>
      <c r="L1247" s="50">
        <f>SUMIFS(INDEX(Техника!$F$1:$ABM$500,L$2,0),Техника!$F$4:$ABM$4,"Часы",INDEX(Техника!$G$1:$ABN$500,L$2,0),$A$1243,INDEX(Техника!$H$1:$ABO$500,L$2,0),"Л")</f>
        <v>0</v>
      </c>
      <c r="M1247" s="50">
        <f>SUMIFS(INDEX(Техника!$F$1:$ABM$500,M$2,0),Техника!$F$4:$ABM$4,"Часы",INDEX(Техника!$G$1:$ABN$500,M$2,0),$A$1243,INDEX(Техника!$H$1:$ABO$500,M$2,0),"Л")</f>
        <v>0</v>
      </c>
      <c r="N1247" s="50">
        <f>SUMIFS(INDEX(Техника!$F$1:$ABM$500,N$2,0),Техника!$F$4:$ABM$4,"Часы",INDEX(Техника!$G$1:$ABN$500,N$2,0),$A$1243,INDEX(Техника!$H$1:$ABO$500,N$2,0),"Л")</f>
        <v>0</v>
      </c>
      <c r="O1247" s="50">
        <f>SUMIFS(INDEX(Техника!$F$1:$ABM$500,O$2,0),Техника!$F$4:$ABM$4,"Часы",INDEX(Техника!$G$1:$ABN$500,O$2,0),$A$1243,INDEX(Техника!$H$1:$ABO$500,O$2,0),"Л")</f>
        <v>0</v>
      </c>
      <c r="P1247" s="50">
        <f>SUMIFS(INDEX(Техника!$F$1:$ABM$500,P$2,0),Техника!$F$4:$ABM$4,"Часы",INDEX(Техника!$G$1:$ABN$500,P$2,0),$A$1243,INDEX(Техника!$H$1:$ABO$500,P$2,0),"Л")</f>
        <v>0</v>
      </c>
      <c r="Q1247" s="50">
        <f>SUMIFS(INDEX(Техника!$F$1:$ABM$500,Q$2,0),Техника!$F$4:$ABM$4,"Часы",INDEX(Техника!$G$1:$ABN$500,Q$2,0),$A$1243,INDEX(Техника!$H$1:$ABO$500,Q$2,0),"Л")</f>
        <v>0</v>
      </c>
      <c r="R1247" s="50">
        <f>SUMIFS(INDEX(Техника!$F$1:$ABM$500,R$2,0),Техника!$F$4:$ABM$4,"Часы",INDEX(Техника!$G$1:$ABN$500,R$2,0),$A$1243,INDEX(Техника!$H$1:$ABO$500,R$2,0),"Л")</f>
        <v>0</v>
      </c>
      <c r="S1247" s="50">
        <f>SUMIFS(INDEX(Техника!$F$1:$ABM$500,S$2,0),Техника!$F$4:$ABM$4,"Часы",INDEX(Техника!$G$1:$ABN$500,S$2,0),$A$1243,INDEX(Техника!$H$1:$ABO$500,S$2,0),"Л")</f>
        <v>0</v>
      </c>
      <c r="T1247" s="50">
        <f>SUMIFS(INDEX(Техника!$F$1:$ABM$500,T$2,0),Техника!$F$4:$ABM$4,"Часы",INDEX(Техника!$G$1:$ABN$500,T$2,0),$A$1243,INDEX(Техника!$H$1:$ABO$500,T$2,0),"Л")</f>
        <v>0</v>
      </c>
      <c r="U1247" s="50">
        <f>SUMIFS(INDEX(Техника!$F$1:$ABM$500,U$2,0),Техника!$F$4:$ABM$4,"Часы",INDEX(Техника!$G$1:$ABN$500,U$2,0),$A$1243,INDEX(Техника!$H$1:$ABO$500,U$2,0),"Л")</f>
        <v>0</v>
      </c>
      <c r="V1247" s="50">
        <f>SUMIFS(INDEX(Техника!$F$1:$ABM$500,V$2,0),Техника!$F$4:$ABM$4,"Часы",INDEX(Техника!$G$1:$ABN$500,V$2,0),$A$1243,INDEX(Техника!$H$1:$ABO$500,V$2,0),"Л")</f>
        <v>0</v>
      </c>
      <c r="W1247" s="50">
        <f>SUMIFS(INDEX(Техника!$F$1:$ABM$500,W$2,0),Техника!$F$4:$ABM$4,"Часы",INDEX(Техника!$G$1:$ABN$500,W$2,0),$A$1243,INDEX(Техника!$H$1:$ABO$500,W$2,0),"Л")</f>
        <v>0</v>
      </c>
      <c r="X1247" s="50">
        <f>SUMIFS(INDEX(Техника!$F$1:$ABM$500,X$2,0),Техника!$F$4:$ABM$4,"Часы",INDEX(Техника!$G$1:$ABN$500,X$2,0),$A$1243,INDEX(Техника!$H$1:$ABO$500,X$2,0),"Л")</f>
        <v>0</v>
      </c>
      <c r="Y1247" s="50">
        <f>SUMIFS(INDEX(Техника!$F$1:$ABM$500,Y$2,0),Техника!$F$4:$ABM$4,"Часы",INDEX(Техника!$G$1:$ABN$500,Y$2,0),$A$1243,INDEX(Техника!$H$1:$ABO$500,Y$2,0),"Л")</f>
        <v>0</v>
      </c>
      <c r="Z1247" s="50">
        <f>SUMIFS(INDEX(Техника!$F$1:$ABM$500,Z$2,0),Техника!$F$4:$ABM$4,"Часы",INDEX(Техника!$G$1:$ABN$500,Z$2,0),$A$1243,INDEX(Техника!$H$1:$ABO$500,Z$2,0),"Л")</f>
        <v>0</v>
      </c>
      <c r="AA1247" s="50">
        <f>SUMIFS(INDEX(Техника!$F$1:$ABM$500,AA$2,0),Техника!$F$4:$ABM$4,"Часы",INDEX(Техника!$G$1:$ABN$500,AA$2,0),$A$1243,INDEX(Техника!$H$1:$ABO$500,AA$2,0),"Л")</f>
        <v>0</v>
      </c>
      <c r="AB1247" s="50">
        <f>SUMIFS(INDEX(Техника!$F$1:$ABM$500,AB$2,0),Техника!$F$4:$ABM$4,"Часы",INDEX(Техника!$G$1:$ABN$500,AB$2,0),$A$1243,INDEX(Техника!$H$1:$ABO$500,AB$2,0),"Л")</f>
        <v>0</v>
      </c>
    </row>
    <row r="1248" spans="1:28" hidden="1" outlineLevel="1" x14ac:dyDescent="0.3">
      <c r="A1248" s="33" t="s">
        <v>245</v>
      </c>
      <c r="B1248" s="34" t="s">
        <v>279</v>
      </c>
      <c r="C1248" s="50">
        <f>SUMIFS(INDEX(Техника!$F$1:$ABM$500,C$2,0),Техника!$F$4:$ABM$4,"Часы",INDEX(Техника!$G$1:$ABN$500,C$2,0),$A$1243,INDEX(Техника!$H$1:$ABO$500,C$2,0),"З")</f>
        <v>0</v>
      </c>
      <c r="D1248" s="50">
        <f>SUMIFS(INDEX(Техника!$F$1:$ABM$500,D$2,0),Техника!$F$4:$ABM$4,"Часы",INDEX(Техника!$G$1:$ABN$500,D$2,0),$A$1243,INDEX(Техника!$H$1:$ABO$500,D$2,0),"З")</f>
        <v>0</v>
      </c>
      <c r="E1248" s="50">
        <f>SUMIFS(INDEX(Техника!$F$1:$ABM$500,E$2,0),Техника!$F$4:$ABM$4,"Часы",INDEX(Техника!$G$1:$ABN$500,E$2,0),$A$1243,INDEX(Техника!$H$1:$ABO$500,E$2,0),"З")</f>
        <v>0</v>
      </c>
      <c r="F1248" s="50">
        <f>SUMIFS(INDEX(Техника!$F$1:$ABM$500,F$2,0),Техника!$F$4:$ABM$4,"Часы",INDEX(Техника!$G$1:$ABN$500,F$2,0),$A$1243,INDEX(Техника!$H$1:$ABO$500,F$2,0),"З")</f>
        <v>0</v>
      </c>
      <c r="G1248" s="50">
        <f>SUMIFS(INDEX(Техника!$F$1:$ABM$500,G$2,0),Техника!$F$4:$ABM$4,"Часы",INDEX(Техника!$G$1:$ABN$500,G$2,0),$A$1243,INDEX(Техника!$H$1:$ABO$500,G$2,0),"З")</f>
        <v>0</v>
      </c>
      <c r="H1248" s="50">
        <f>SUMIFS(INDEX(Техника!$F$1:$ABM$500,H$2,0),Техника!$F$4:$ABM$4,"Часы",INDEX(Техника!$G$1:$ABN$500,H$2,0),$A$1243,INDEX(Техника!$H$1:$ABO$500,H$2,0),"З")</f>
        <v>0</v>
      </c>
      <c r="I1248" s="50">
        <f>SUMIFS(INDEX(Техника!$F$1:$ABM$500,I$2,0),Техника!$F$4:$ABM$4,"Часы",INDEX(Техника!$G$1:$ABN$500,I$2,0),$A$1243,INDEX(Техника!$H$1:$ABO$500,I$2,0),"З")</f>
        <v>0</v>
      </c>
      <c r="J1248" s="50">
        <f>SUMIFS(INDEX(Техника!$F$1:$ABM$500,J$2,0),Техника!$F$4:$ABM$4,"Часы",INDEX(Техника!$G$1:$ABN$500,J$2,0),$A$1243,INDEX(Техника!$H$1:$ABO$500,J$2,0),"З")</f>
        <v>0</v>
      </c>
      <c r="K1248" s="50">
        <f>SUMIFS(INDEX(Техника!$F$1:$ABM$500,K$2,0),Техника!$F$4:$ABM$4,"Часы",INDEX(Техника!$G$1:$ABN$500,K$2,0),$A$1243,INDEX(Техника!$H$1:$ABO$500,K$2,0),"З")</f>
        <v>0</v>
      </c>
      <c r="L1248" s="50">
        <f>SUMIFS(INDEX(Техника!$F$1:$ABM$500,L$2,0),Техника!$F$4:$ABM$4,"Часы",INDEX(Техника!$G$1:$ABN$500,L$2,0),$A$1243,INDEX(Техника!$H$1:$ABO$500,L$2,0),"З")</f>
        <v>0</v>
      </c>
      <c r="M1248" s="50">
        <f>SUMIFS(INDEX(Техника!$F$1:$ABM$500,M$2,0),Техника!$F$4:$ABM$4,"Часы",INDEX(Техника!$G$1:$ABN$500,M$2,0),$A$1243,INDEX(Техника!$H$1:$ABO$500,M$2,0),"З")</f>
        <v>0</v>
      </c>
      <c r="N1248" s="50">
        <f>SUMIFS(INDEX(Техника!$F$1:$ABM$500,N$2,0),Техника!$F$4:$ABM$4,"Часы",INDEX(Техника!$G$1:$ABN$500,N$2,0),$A$1243,INDEX(Техника!$H$1:$ABO$500,N$2,0),"З")</f>
        <v>0</v>
      </c>
      <c r="O1248" s="50">
        <f>SUMIFS(INDEX(Техника!$F$1:$ABM$500,O$2,0),Техника!$F$4:$ABM$4,"Часы",INDEX(Техника!$G$1:$ABN$500,O$2,0),$A$1243,INDEX(Техника!$H$1:$ABO$500,O$2,0),"З")</f>
        <v>0</v>
      </c>
      <c r="P1248" s="50">
        <f>SUMIFS(INDEX(Техника!$F$1:$ABM$500,P$2,0),Техника!$F$4:$ABM$4,"Часы",INDEX(Техника!$G$1:$ABN$500,P$2,0),$A$1243,INDEX(Техника!$H$1:$ABO$500,P$2,0),"З")</f>
        <v>0</v>
      </c>
      <c r="Q1248" s="50">
        <f>SUMIFS(INDEX(Техника!$F$1:$ABM$500,Q$2,0),Техника!$F$4:$ABM$4,"Часы",INDEX(Техника!$G$1:$ABN$500,Q$2,0),$A$1243,INDEX(Техника!$H$1:$ABO$500,Q$2,0),"З")</f>
        <v>0</v>
      </c>
      <c r="R1248" s="50">
        <f>SUMIFS(INDEX(Техника!$F$1:$ABM$500,R$2,0),Техника!$F$4:$ABM$4,"Часы",INDEX(Техника!$G$1:$ABN$500,R$2,0),$A$1243,INDEX(Техника!$H$1:$ABO$500,R$2,0),"З")</f>
        <v>0</v>
      </c>
      <c r="S1248" s="50">
        <f>SUMIFS(INDEX(Техника!$F$1:$ABM$500,S$2,0),Техника!$F$4:$ABM$4,"Часы",INDEX(Техника!$G$1:$ABN$500,S$2,0),$A$1243,INDEX(Техника!$H$1:$ABO$500,S$2,0),"З")</f>
        <v>0</v>
      </c>
      <c r="T1248" s="50">
        <f>SUMIFS(INDEX(Техника!$F$1:$ABM$500,T$2,0),Техника!$F$4:$ABM$4,"Часы",INDEX(Техника!$G$1:$ABN$500,T$2,0),$A$1243,INDEX(Техника!$H$1:$ABO$500,T$2,0),"З")</f>
        <v>0</v>
      </c>
      <c r="U1248" s="50">
        <f>SUMIFS(INDEX(Техника!$F$1:$ABM$500,U$2,0),Техника!$F$4:$ABM$4,"Часы",INDEX(Техника!$G$1:$ABN$500,U$2,0),$A$1243,INDEX(Техника!$H$1:$ABO$500,U$2,0),"З")</f>
        <v>0</v>
      </c>
      <c r="V1248" s="50">
        <f>SUMIFS(INDEX(Техника!$F$1:$ABM$500,V$2,0),Техника!$F$4:$ABM$4,"Часы",INDEX(Техника!$G$1:$ABN$500,V$2,0),$A$1243,INDEX(Техника!$H$1:$ABO$500,V$2,0),"З")</f>
        <v>0</v>
      </c>
      <c r="W1248" s="50">
        <f>SUMIFS(INDEX(Техника!$F$1:$ABM$500,W$2,0),Техника!$F$4:$ABM$4,"Часы",INDEX(Техника!$G$1:$ABN$500,W$2,0),$A$1243,INDEX(Техника!$H$1:$ABO$500,W$2,0),"З")</f>
        <v>0</v>
      </c>
      <c r="X1248" s="50">
        <f>SUMIFS(INDEX(Техника!$F$1:$ABM$500,X$2,0),Техника!$F$4:$ABM$4,"Часы",INDEX(Техника!$G$1:$ABN$500,X$2,0),$A$1243,INDEX(Техника!$H$1:$ABO$500,X$2,0),"З")</f>
        <v>0</v>
      </c>
      <c r="Y1248" s="50">
        <f>SUMIFS(INDEX(Техника!$F$1:$ABM$500,Y$2,0),Техника!$F$4:$ABM$4,"Часы",INDEX(Техника!$G$1:$ABN$500,Y$2,0),$A$1243,INDEX(Техника!$H$1:$ABO$500,Y$2,0),"З")</f>
        <v>0</v>
      </c>
      <c r="Z1248" s="50">
        <f>SUMIFS(INDEX(Техника!$F$1:$ABM$500,Z$2,0),Техника!$F$4:$ABM$4,"Часы",INDEX(Техника!$G$1:$ABN$500,Z$2,0),$A$1243,INDEX(Техника!$H$1:$ABO$500,Z$2,0),"З")</f>
        <v>0</v>
      </c>
      <c r="AA1248" s="50">
        <f>SUMIFS(INDEX(Техника!$F$1:$ABM$500,AA$2,0),Техника!$F$4:$ABM$4,"Часы",INDEX(Техника!$G$1:$ABN$500,AA$2,0),$A$1243,INDEX(Техника!$H$1:$ABO$500,AA$2,0),"З")</f>
        <v>0</v>
      </c>
      <c r="AB1248" s="50">
        <f>SUMIFS(INDEX(Техника!$F$1:$ABM$500,AB$2,0),Техника!$F$4:$ABM$4,"Часы",INDEX(Техника!$G$1:$ABN$500,AB$2,0),$A$1243,INDEX(Техника!$H$1:$ABO$500,AB$2,0),"З")</f>
        <v>0</v>
      </c>
    </row>
    <row r="1249" spans="1:28" ht="7.95" customHeight="1" x14ac:dyDescent="0.3">
      <c r="A1249" s="38"/>
      <c r="B1249" s="39"/>
      <c r="C1249" s="51"/>
      <c r="D1249" s="51"/>
      <c r="E1249" s="51"/>
      <c r="F1249" s="51"/>
      <c r="G1249" s="51"/>
      <c r="H1249" s="51"/>
      <c r="I1249" s="51"/>
      <c r="J1249" s="51"/>
      <c r="K1249" s="51"/>
      <c r="L1249" s="51"/>
      <c r="M1249" s="51"/>
      <c r="N1249" s="51"/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1"/>
      <c r="Z1249" s="51"/>
      <c r="AA1249" s="51"/>
      <c r="AB1249" s="51"/>
    </row>
    <row r="1250" spans="1:28" ht="25.05" customHeight="1" collapsed="1" x14ac:dyDescent="0.3">
      <c r="A1250" s="32">
        <v>179</v>
      </c>
      <c r="B1250" s="32" t="s">
        <v>180</v>
      </c>
      <c r="C1250" s="49">
        <f>SUM(C1251:C1255)</f>
        <v>0</v>
      </c>
      <c r="D1250" s="49">
        <f>SUM(D1251:D1255)</f>
        <v>0</v>
      </c>
      <c r="E1250" s="49">
        <f>SUM(E1251:E1255)</f>
        <v>0</v>
      </c>
      <c r="F1250" s="49">
        <f>SUM(F1251:F1255)</f>
        <v>0</v>
      </c>
      <c r="G1250" s="49">
        <f>SUM(G1251:G1255)</f>
        <v>0</v>
      </c>
      <c r="H1250" s="49">
        <f>SUM(H1251:H1255)</f>
        <v>0</v>
      </c>
      <c r="I1250" s="49">
        <f>SUM(I1251:I1255)</f>
        <v>0</v>
      </c>
      <c r="J1250" s="49">
        <f>SUM(J1251:J1255)</f>
        <v>0</v>
      </c>
      <c r="K1250" s="49">
        <f>SUM(K1251:K1255)</f>
        <v>0</v>
      </c>
      <c r="L1250" s="49">
        <f>SUM(L1251:L1255)</f>
        <v>0</v>
      </c>
      <c r="M1250" s="49">
        <f>SUM(M1251:M1255)</f>
        <v>0</v>
      </c>
      <c r="N1250" s="49">
        <f>SUM(N1251:N1255)</f>
        <v>0</v>
      </c>
      <c r="O1250" s="49">
        <f>SUM(O1251:O1255)</f>
        <v>0</v>
      </c>
      <c r="P1250" s="49">
        <f>SUM(P1251:P1255)</f>
        <v>0</v>
      </c>
      <c r="Q1250" s="49">
        <f>SUM(Q1251:Q1255)</f>
        <v>0</v>
      </c>
      <c r="R1250" s="49">
        <f>SUM(R1251:R1255)</f>
        <v>0</v>
      </c>
      <c r="S1250" s="49">
        <f>SUM(S1251:S1255)</f>
        <v>0</v>
      </c>
      <c r="T1250" s="49">
        <f>SUM(T1251:T1255)</f>
        <v>0</v>
      </c>
      <c r="U1250" s="49">
        <f>SUM(U1251:U1255)</f>
        <v>0</v>
      </c>
      <c r="V1250" s="49">
        <f>SUM(V1251:V1255)</f>
        <v>0</v>
      </c>
      <c r="W1250" s="49">
        <f>SUM(W1251:W1255)</f>
        <v>0</v>
      </c>
      <c r="X1250" s="49">
        <f>SUM(X1251:X1255)</f>
        <v>0</v>
      </c>
      <c r="Y1250" s="49">
        <f>SUM(Y1251:Y1255)</f>
        <v>0</v>
      </c>
      <c r="Z1250" s="49">
        <f>SUM(Z1251:Z1255)</f>
        <v>0</v>
      </c>
      <c r="AA1250" s="49">
        <f>SUM(AA1251:AA1255)</f>
        <v>0</v>
      </c>
      <c r="AB1250" s="49">
        <f>SUM(AB1251:AB1255)</f>
        <v>0</v>
      </c>
    </row>
    <row r="1251" spans="1:28" hidden="1" outlineLevel="1" x14ac:dyDescent="0.3">
      <c r="A1251" s="33" t="s">
        <v>246</v>
      </c>
      <c r="B1251" s="34" t="s">
        <v>274</v>
      </c>
      <c r="C1251" s="50">
        <f>SUMIFS(INDEX(Техника!$F$1:$ABM$500,C$2,0),Техника!$F$4:$ABM$4,"Часы",INDEX(Техника!$G$1:$ABN$500,C$2,0),$A$1250,INDEX(Техника!$H$1:$ABO$500,C$2,0),"М")</f>
        <v>0</v>
      </c>
      <c r="D1251" s="50">
        <f>SUMIFS(INDEX(Техника!$F$1:$ABM$500,D$2,0),Техника!$F$4:$ABM$4,"Часы",INDEX(Техника!$G$1:$ABN$500,D$2,0),$A$1250,INDEX(Техника!$H$1:$ABO$500,D$2,0),"М")</f>
        <v>0</v>
      </c>
      <c r="E1251" s="50">
        <f>SUMIFS(INDEX(Техника!$F$1:$ABM$500,E$2,0),Техника!$F$4:$ABM$4,"Часы",INDEX(Техника!$G$1:$ABN$500,E$2,0),$A$1250,INDEX(Техника!$H$1:$ABO$500,E$2,0),"М")</f>
        <v>0</v>
      </c>
      <c r="F1251" s="50">
        <f>SUMIFS(INDEX(Техника!$F$1:$ABM$500,F$2,0),Техника!$F$4:$ABM$4,"Часы",INDEX(Техника!$G$1:$ABN$500,F$2,0),$A$1250,INDEX(Техника!$H$1:$ABO$500,F$2,0),"М")</f>
        <v>0</v>
      </c>
      <c r="G1251" s="50">
        <f>SUMIFS(INDEX(Техника!$F$1:$ABM$500,G$2,0),Техника!$F$4:$ABM$4,"Часы",INDEX(Техника!$G$1:$ABN$500,G$2,0),$A$1250,INDEX(Техника!$H$1:$ABO$500,G$2,0),"М")</f>
        <v>0</v>
      </c>
      <c r="H1251" s="50">
        <f>SUMIFS(INDEX(Техника!$F$1:$ABM$500,H$2,0),Техника!$F$4:$ABM$4,"Часы",INDEX(Техника!$G$1:$ABN$500,H$2,0),$A$1250,INDEX(Техника!$H$1:$ABO$500,H$2,0),"М")</f>
        <v>0</v>
      </c>
      <c r="I1251" s="50">
        <f>SUMIFS(INDEX(Техника!$F$1:$ABM$500,I$2,0),Техника!$F$4:$ABM$4,"Часы",INDEX(Техника!$G$1:$ABN$500,I$2,0),$A$1250,INDEX(Техника!$H$1:$ABO$500,I$2,0),"М")</f>
        <v>0</v>
      </c>
      <c r="J1251" s="50">
        <f>SUMIFS(INDEX(Техника!$F$1:$ABM$500,J$2,0),Техника!$F$4:$ABM$4,"Часы",INDEX(Техника!$G$1:$ABN$500,J$2,0),$A$1250,INDEX(Техника!$H$1:$ABO$500,J$2,0),"М")</f>
        <v>0</v>
      </c>
      <c r="K1251" s="50">
        <f>SUMIFS(INDEX(Техника!$F$1:$ABM$500,K$2,0),Техника!$F$4:$ABM$4,"Часы",INDEX(Техника!$G$1:$ABN$500,K$2,0),$A$1250,INDEX(Техника!$H$1:$ABO$500,K$2,0),"М")</f>
        <v>0</v>
      </c>
      <c r="L1251" s="50">
        <f>SUMIFS(INDEX(Техника!$F$1:$ABM$500,L$2,0),Техника!$F$4:$ABM$4,"Часы",INDEX(Техника!$G$1:$ABN$500,L$2,0),$A$1250,INDEX(Техника!$H$1:$ABO$500,L$2,0),"М")</f>
        <v>0</v>
      </c>
      <c r="M1251" s="50">
        <f>SUMIFS(INDEX(Техника!$F$1:$ABM$500,M$2,0),Техника!$F$4:$ABM$4,"Часы",INDEX(Техника!$G$1:$ABN$500,M$2,0),$A$1250,INDEX(Техника!$H$1:$ABO$500,M$2,0),"М")</f>
        <v>0</v>
      </c>
      <c r="N1251" s="50">
        <f>SUMIFS(INDEX(Техника!$F$1:$ABM$500,N$2,0),Техника!$F$4:$ABM$4,"Часы",INDEX(Техника!$G$1:$ABN$500,N$2,0),$A$1250,INDEX(Техника!$H$1:$ABO$500,N$2,0),"М")</f>
        <v>0</v>
      </c>
      <c r="O1251" s="50">
        <f>SUMIFS(INDEX(Техника!$F$1:$ABM$500,O$2,0),Техника!$F$4:$ABM$4,"Часы",INDEX(Техника!$G$1:$ABN$500,O$2,0),$A$1250,INDEX(Техника!$H$1:$ABO$500,O$2,0),"М")</f>
        <v>0</v>
      </c>
      <c r="P1251" s="50">
        <f>SUMIFS(INDEX(Техника!$F$1:$ABM$500,P$2,0),Техника!$F$4:$ABM$4,"Часы",INDEX(Техника!$G$1:$ABN$500,P$2,0),$A$1250,INDEX(Техника!$H$1:$ABO$500,P$2,0),"М")</f>
        <v>0</v>
      </c>
      <c r="Q1251" s="50">
        <f>SUMIFS(INDEX(Техника!$F$1:$ABM$500,Q$2,0),Техника!$F$4:$ABM$4,"Часы",INDEX(Техника!$G$1:$ABN$500,Q$2,0),$A$1250,INDEX(Техника!$H$1:$ABO$500,Q$2,0),"М")</f>
        <v>0</v>
      </c>
      <c r="R1251" s="50">
        <f>SUMIFS(INDEX(Техника!$F$1:$ABM$500,R$2,0),Техника!$F$4:$ABM$4,"Часы",INDEX(Техника!$G$1:$ABN$500,R$2,0),$A$1250,INDEX(Техника!$H$1:$ABO$500,R$2,0),"М")</f>
        <v>0</v>
      </c>
      <c r="S1251" s="50">
        <f>SUMIFS(INDEX(Техника!$F$1:$ABM$500,S$2,0),Техника!$F$4:$ABM$4,"Часы",INDEX(Техника!$G$1:$ABN$500,S$2,0),$A$1250,INDEX(Техника!$H$1:$ABO$500,S$2,0),"М")</f>
        <v>0</v>
      </c>
      <c r="T1251" s="50">
        <f>SUMIFS(INDEX(Техника!$F$1:$ABM$500,T$2,0),Техника!$F$4:$ABM$4,"Часы",INDEX(Техника!$G$1:$ABN$500,T$2,0),$A$1250,INDEX(Техника!$H$1:$ABO$500,T$2,0),"М")</f>
        <v>0</v>
      </c>
      <c r="U1251" s="50">
        <f>SUMIFS(INDEX(Техника!$F$1:$ABM$500,U$2,0),Техника!$F$4:$ABM$4,"Часы",INDEX(Техника!$G$1:$ABN$500,U$2,0),$A$1250,INDEX(Техника!$H$1:$ABO$500,U$2,0),"М")</f>
        <v>0</v>
      </c>
      <c r="V1251" s="50">
        <f>SUMIFS(INDEX(Техника!$F$1:$ABM$500,V$2,0),Техника!$F$4:$ABM$4,"Часы",INDEX(Техника!$G$1:$ABN$500,V$2,0),$A$1250,INDEX(Техника!$H$1:$ABO$500,V$2,0),"М")</f>
        <v>0</v>
      </c>
      <c r="W1251" s="50">
        <f>SUMIFS(INDEX(Техника!$F$1:$ABM$500,W$2,0),Техника!$F$4:$ABM$4,"Часы",INDEX(Техника!$G$1:$ABN$500,W$2,0),$A$1250,INDEX(Техника!$H$1:$ABO$500,W$2,0),"М")</f>
        <v>0</v>
      </c>
      <c r="X1251" s="50">
        <f>SUMIFS(INDEX(Техника!$F$1:$ABM$500,X$2,0),Техника!$F$4:$ABM$4,"Часы",INDEX(Техника!$G$1:$ABN$500,X$2,0),$A$1250,INDEX(Техника!$H$1:$ABO$500,X$2,0),"М")</f>
        <v>0</v>
      </c>
      <c r="Y1251" s="50">
        <f>SUMIFS(INDEX(Техника!$F$1:$ABM$500,Y$2,0),Техника!$F$4:$ABM$4,"Часы",INDEX(Техника!$G$1:$ABN$500,Y$2,0),$A$1250,INDEX(Техника!$H$1:$ABO$500,Y$2,0),"М")</f>
        <v>0</v>
      </c>
      <c r="Z1251" s="50">
        <f>SUMIFS(INDEX(Техника!$F$1:$ABM$500,Z$2,0),Техника!$F$4:$ABM$4,"Часы",INDEX(Техника!$G$1:$ABN$500,Z$2,0),$A$1250,INDEX(Техника!$H$1:$ABO$500,Z$2,0),"М")</f>
        <v>0</v>
      </c>
      <c r="AA1251" s="50">
        <f>SUMIFS(INDEX(Техника!$F$1:$ABM$500,AA$2,0),Техника!$F$4:$ABM$4,"Часы",INDEX(Техника!$G$1:$ABN$500,AA$2,0),$A$1250,INDEX(Техника!$H$1:$ABO$500,AA$2,0),"М")</f>
        <v>0</v>
      </c>
      <c r="AB1251" s="50">
        <f>SUMIFS(INDEX(Техника!$F$1:$ABM$500,AB$2,0),Техника!$F$4:$ABM$4,"Часы",INDEX(Техника!$G$1:$ABN$500,AB$2,0),$A$1250,INDEX(Техника!$H$1:$ABO$500,AB$2,0),"М")</f>
        <v>0</v>
      </c>
    </row>
    <row r="1252" spans="1:28" hidden="1" outlineLevel="1" x14ac:dyDescent="0.3">
      <c r="A1252" s="33" t="s">
        <v>244</v>
      </c>
      <c r="B1252" s="34" t="s">
        <v>275</v>
      </c>
      <c r="C1252" s="50">
        <f>SUMIFS(INDEX(Техника!$F$1:$ABM$500,C$2,0),Техника!$F$4:$ABM$4,"Часы",INDEX(Техника!$G$1:$ABN$500,C$2,0),$A$1250,INDEX(Техника!$H$1:$ABO$500,C$2,0),"Д")</f>
        <v>0</v>
      </c>
      <c r="D1252" s="50">
        <f>SUMIFS(INDEX(Техника!$F$1:$ABM$500,D$2,0),Техника!$F$4:$ABM$4,"Часы",INDEX(Техника!$G$1:$ABN$500,D$2,0),$A$1250,INDEX(Техника!$H$1:$ABO$500,D$2,0),"Д")</f>
        <v>0</v>
      </c>
      <c r="E1252" s="50">
        <f>SUMIFS(INDEX(Техника!$F$1:$ABM$500,E$2,0),Техника!$F$4:$ABM$4,"Часы",INDEX(Техника!$G$1:$ABN$500,E$2,0),$A$1250,INDEX(Техника!$H$1:$ABO$500,E$2,0),"Д")</f>
        <v>0</v>
      </c>
      <c r="F1252" s="50">
        <f>SUMIFS(INDEX(Техника!$F$1:$ABM$500,F$2,0),Техника!$F$4:$ABM$4,"Часы",INDEX(Техника!$G$1:$ABN$500,F$2,0),$A$1250,INDEX(Техника!$H$1:$ABO$500,F$2,0),"Д")</f>
        <v>0</v>
      </c>
      <c r="G1252" s="50">
        <f>SUMIFS(INDEX(Техника!$F$1:$ABM$500,G$2,0),Техника!$F$4:$ABM$4,"Часы",INDEX(Техника!$G$1:$ABN$500,G$2,0),$A$1250,INDEX(Техника!$H$1:$ABO$500,G$2,0),"Д")</f>
        <v>0</v>
      </c>
      <c r="H1252" s="50">
        <f>SUMIFS(INDEX(Техника!$F$1:$ABM$500,H$2,0),Техника!$F$4:$ABM$4,"Часы",INDEX(Техника!$G$1:$ABN$500,H$2,0),$A$1250,INDEX(Техника!$H$1:$ABO$500,H$2,0),"Д")</f>
        <v>0</v>
      </c>
      <c r="I1252" s="50">
        <f>SUMIFS(INDEX(Техника!$F$1:$ABM$500,I$2,0),Техника!$F$4:$ABM$4,"Часы",INDEX(Техника!$G$1:$ABN$500,I$2,0),$A$1250,INDEX(Техника!$H$1:$ABO$500,I$2,0),"Д")</f>
        <v>0</v>
      </c>
      <c r="J1252" s="50">
        <f>SUMIFS(INDEX(Техника!$F$1:$ABM$500,J$2,0),Техника!$F$4:$ABM$4,"Часы",INDEX(Техника!$G$1:$ABN$500,J$2,0),$A$1250,INDEX(Техника!$H$1:$ABO$500,J$2,0),"Д")</f>
        <v>0</v>
      </c>
      <c r="K1252" s="50">
        <f>SUMIFS(INDEX(Техника!$F$1:$ABM$500,K$2,0),Техника!$F$4:$ABM$4,"Часы",INDEX(Техника!$G$1:$ABN$500,K$2,0),$A$1250,INDEX(Техника!$H$1:$ABO$500,K$2,0),"Д")</f>
        <v>0</v>
      </c>
      <c r="L1252" s="50">
        <f>SUMIFS(INDEX(Техника!$F$1:$ABM$500,L$2,0),Техника!$F$4:$ABM$4,"Часы",INDEX(Техника!$G$1:$ABN$500,L$2,0),$A$1250,INDEX(Техника!$H$1:$ABO$500,L$2,0),"Д")</f>
        <v>0</v>
      </c>
      <c r="M1252" s="50">
        <f>SUMIFS(INDEX(Техника!$F$1:$ABM$500,M$2,0),Техника!$F$4:$ABM$4,"Часы",INDEX(Техника!$G$1:$ABN$500,M$2,0),$A$1250,INDEX(Техника!$H$1:$ABO$500,M$2,0),"Д")</f>
        <v>0</v>
      </c>
      <c r="N1252" s="50">
        <f>SUMIFS(INDEX(Техника!$F$1:$ABM$500,N$2,0),Техника!$F$4:$ABM$4,"Часы",INDEX(Техника!$G$1:$ABN$500,N$2,0),$A$1250,INDEX(Техника!$H$1:$ABO$500,N$2,0),"Д")</f>
        <v>0</v>
      </c>
      <c r="O1252" s="50">
        <f>SUMIFS(INDEX(Техника!$F$1:$ABM$500,O$2,0),Техника!$F$4:$ABM$4,"Часы",INDEX(Техника!$G$1:$ABN$500,O$2,0),$A$1250,INDEX(Техника!$H$1:$ABO$500,O$2,0),"Д")</f>
        <v>0</v>
      </c>
      <c r="P1252" s="50">
        <f>SUMIFS(INDEX(Техника!$F$1:$ABM$500,P$2,0),Техника!$F$4:$ABM$4,"Часы",INDEX(Техника!$G$1:$ABN$500,P$2,0),$A$1250,INDEX(Техника!$H$1:$ABO$500,P$2,0),"Д")</f>
        <v>0</v>
      </c>
      <c r="Q1252" s="50">
        <f>SUMIFS(INDEX(Техника!$F$1:$ABM$500,Q$2,0),Техника!$F$4:$ABM$4,"Часы",INDEX(Техника!$G$1:$ABN$500,Q$2,0),$A$1250,INDEX(Техника!$H$1:$ABO$500,Q$2,0),"Д")</f>
        <v>0</v>
      </c>
      <c r="R1252" s="50">
        <f>SUMIFS(INDEX(Техника!$F$1:$ABM$500,R$2,0),Техника!$F$4:$ABM$4,"Часы",INDEX(Техника!$G$1:$ABN$500,R$2,0),$A$1250,INDEX(Техника!$H$1:$ABO$500,R$2,0),"Д")</f>
        <v>0</v>
      </c>
      <c r="S1252" s="50">
        <f>SUMIFS(INDEX(Техника!$F$1:$ABM$500,S$2,0),Техника!$F$4:$ABM$4,"Часы",INDEX(Техника!$G$1:$ABN$500,S$2,0),$A$1250,INDEX(Техника!$H$1:$ABO$500,S$2,0),"Д")</f>
        <v>0</v>
      </c>
      <c r="T1252" s="50">
        <f>SUMIFS(INDEX(Техника!$F$1:$ABM$500,T$2,0),Техника!$F$4:$ABM$4,"Часы",INDEX(Техника!$G$1:$ABN$500,T$2,0),$A$1250,INDEX(Техника!$H$1:$ABO$500,T$2,0),"Д")</f>
        <v>0</v>
      </c>
      <c r="U1252" s="50">
        <f>SUMIFS(INDEX(Техника!$F$1:$ABM$500,U$2,0),Техника!$F$4:$ABM$4,"Часы",INDEX(Техника!$G$1:$ABN$500,U$2,0),$A$1250,INDEX(Техника!$H$1:$ABO$500,U$2,0),"Д")</f>
        <v>0</v>
      </c>
      <c r="V1252" s="50">
        <f>SUMIFS(INDEX(Техника!$F$1:$ABM$500,V$2,0),Техника!$F$4:$ABM$4,"Часы",INDEX(Техника!$G$1:$ABN$500,V$2,0),$A$1250,INDEX(Техника!$H$1:$ABO$500,V$2,0),"Д")</f>
        <v>0</v>
      </c>
      <c r="W1252" s="50">
        <f>SUMIFS(INDEX(Техника!$F$1:$ABM$500,W$2,0),Техника!$F$4:$ABM$4,"Часы",INDEX(Техника!$G$1:$ABN$500,W$2,0),$A$1250,INDEX(Техника!$H$1:$ABO$500,W$2,0),"Д")</f>
        <v>0</v>
      </c>
      <c r="X1252" s="50">
        <f>SUMIFS(INDEX(Техника!$F$1:$ABM$500,X$2,0),Техника!$F$4:$ABM$4,"Часы",INDEX(Техника!$G$1:$ABN$500,X$2,0),$A$1250,INDEX(Техника!$H$1:$ABO$500,X$2,0),"Д")</f>
        <v>0</v>
      </c>
      <c r="Y1252" s="50">
        <f>SUMIFS(INDEX(Техника!$F$1:$ABM$500,Y$2,0),Техника!$F$4:$ABM$4,"Часы",INDEX(Техника!$G$1:$ABN$500,Y$2,0),$A$1250,INDEX(Техника!$H$1:$ABO$500,Y$2,0),"Д")</f>
        <v>0</v>
      </c>
      <c r="Z1252" s="50">
        <f>SUMIFS(INDEX(Техника!$F$1:$ABM$500,Z$2,0),Техника!$F$4:$ABM$4,"Часы",INDEX(Техника!$G$1:$ABN$500,Z$2,0),$A$1250,INDEX(Техника!$H$1:$ABO$500,Z$2,0),"Д")</f>
        <v>0</v>
      </c>
      <c r="AA1252" s="50">
        <f>SUMIFS(INDEX(Техника!$F$1:$ABM$500,AA$2,0),Техника!$F$4:$ABM$4,"Часы",INDEX(Техника!$G$1:$ABN$500,AA$2,0),$A$1250,INDEX(Техника!$H$1:$ABO$500,AA$2,0),"Д")</f>
        <v>0</v>
      </c>
      <c r="AB1252" s="50">
        <f>SUMIFS(INDEX(Техника!$F$1:$ABM$500,AB$2,0),Техника!$F$4:$ABM$4,"Часы",INDEX(Техника!$G$1:$ABN$500,AB$2,0),$A$1250,INDEX(Техника!$H$1:$ABO$500,AB$2,0),"Д")</f>
        <v>0</v>
      </c>
    </row>
    <row r="1253" spans="1:28" hidden="1" outlineLevel="1" x14ac:dyDescent="0.3">
      <c r="A1253" s="33" t="s">
        <v>276</v>
      </c>
      <c r="B1253" s="34" t="s">
        <v>277</v>
      </c>
      <c r="C1253" s="50">
        <f>SUMIFS(INDEX(Техника!$F$1:$ABM$500,C$2,0),Техника!$F$4:$ABM$4,"Часы",INDEX(Техника!$G$1:$ABN$500,C$2,0),$A$1250,INDEX(Техника!$H$1:$ABO$500,C$2,0),"П")</f>
        <v>0</v>
      </c>
      <c r="D1253" s="50">
        <f>SUMIFS(INDEX(Техника!$F$1:$ABM$500,D$2,0),Техника!$F$4:$ABM$4,"Часы",INDEX(Техника!$G$1:$ABN$500,D$2,0),$A$1250,INDEX(Техника!$H$1:$ABO$500,D$2,0),"П")</f>
        <v>0</v>
      </c>
      <c r="E1253" s="50">
        <f>SUMIFS(INDEX(Техника!$F$1:$ABM$500,E$2,0),Техника!$F$4:$ABM$4,"Часы",INDEX(Техника!$G$1:$ABN$500,E$2,0),$A$1250,INDEX(Техника!$H$1:$ABO$500,E$2,0),"П")</f>
        <v>0</v>
      </c>
      <c r="F1253" s="50">
        <f>SUMIFS(INDEX(Техника!$F$1:$ABM$500,F$2,0),Техника!$F$4:$ABM$4,"Часы",INDEX(Техника!$G$1:$ABN$500,F$2,0),$A$1250,INDEX(Техника!$H$1:$ABO$500,F$2,0),"П")</f>
        <v>0</v>
      </c>
      <c r="G1253" s="50">
        <f>SUMIFS(INDEX(Техника!$F$1:$ABM$500,G$2,0),Техника!$F$4:$ABM$4,"Часы",INDEX(Техника!$G$1:$ABN$500,G$2,0),$A$1250,INDEX(Техника!$H$1:$ABO$500,G$2,0),"П")</f>
        <v>0</v>
      </c>
      <c r="H1253" s="50">
        <f>SUMIFS(INDEX(Техника!$F$1:$ABM$500,H$2,0),Техника!$F$4:$ABM$4,"Часы",INDEX(Техника!$G$1:$ABN$500,H$2,0),$A$1250,INDEX(Техника!$H$1:$ABO$500,H$2,0),"П")</f>
        <v>0</v>
      </c>
      <c r="I1253" s="50">
        <f>SUMIFS(INDEX(Техника!$F$1:$ABM$500,I$2,0),Техника!$F$4:$ABM$4,"Часы",INDEX(Техника!$G$1:$ABN$500,I$2,0),$A$1250,INDEX(Техника!$H$1:$ABO$500,I$2,0),"П")</f>
        <v>0</v>
      </c>
      <c r="J1253" s="50">
        <f>SUMIFS(INDEX(Техника!$F$1:$ABM$500,J$2,0),Техника!$F$4:$ABM$4,"Часы",INDEX(Техника!$G$1:$ABN$500,J$2,0),$A$1250,INDEX(Техника!$H$1:$ABO$500,J$2,0),"П")</f>
        <v>0</v>
      </c>
      <c r="K1253" s="50">
        <f>SUMIFS(INDEX(Техника!$F$1:$ABM$500,K$2,0),Техника!$F$4:$ABM$4,"Часы",INDEX(Техника!$G$1:$ABN$500,K$2,0),$A$1250,INDEX(Техника!$H$1:$ABO$500,K$2,0),"П")</f>
        <v>0</v>
      </c>
      <c r="L1253" s="50">
        <f>SUMIFS(INDEX(Техника!$F$1:$ABM$500,L$2,0),Техника!$F$4:$ABM$4,"Часы",INDEX(Техника!$G$1:$ABN$500,L$2,0),$A$1250,INDEX(Техника!$H$1:$ABO$500,L$2,0),"П")</f>
        <v>0</v>
      </c>
      <c r="M1253" s="50">
        <f>SUMIFS(INDEX(Техника!$F$1:$ABM$500,M$2,0),Техника!$F$4:$ABM$4,"Часы",INDEX(Техника!$G$1:$ABN$500,M$2,0),$A$1250,INDEX(Техника!$H$1:$ABO$500,M$2,0),"П")</f>
        <v>0</v>
      </c>
      <c r="N1253" s="50">
        <f>SUMIFS(INDEX(Техника!$F$1:$ABM$500,N$2,0),Техника!$F$4:$ABM$4,"Часы",INDEX(Техника!$G$1:$ABN$500,N$2,0),$A$1250,INDEX(Техника!$H$1:$ABO$500,N$2,0),"П")</f>
        <v>0</v>
      </c>
      <c r="O1253" s="50">
        <f>SUMIFS(INDEX(Техника!$F$1:$ABM$500,O$2,0),Техника!$F$4:$ABM$4,"Часы",INDEX(Техника!$G$1:$ABN$500,O$2,0),$A$1250,INDEX(Техника!$H$1:$ABO$500,O$2,0),"П")</f>
        <v>0</v>
      </c>
      <c r="P1253" s="50">
        <f>SUMIFS(INDEX(Техника!$F$1:$ABM$500,P$2,0),Техника!$F$4:$ABM$4,"Часы",INDEX(Техника!$G$1:$ABN$500,P$2,0),$A$1250,INDEX(Техника!$H$1:$ABO$500,P$2,0),"П")</f>
        <v>0</v>
      </c>
      <c r="Q1253" s="50">
        <f>SUMIFS(INDEX(Техника!$F$1:$ABM$500,Q$2,0),Техника!$F$4:$ABM$4,"Часы",INDEX(Техника!$G$1:$ABN$500,Q$2,0),$A$1250,INDEX(Техника!$H$1:$ABO$500,Q$2,0),"П")</f>
        <v>0</v>
      </c>
      <c r="R1253" s="50">
        <f>SUMIFS(INDEX(Техника!$F$1:$ABM$500,R$2,0),Техника!$F$4:$ABM$4,"Часы",INDEX(Техника!$G$1:$ABN$500,R$2,0),$A$1250,INDEX(Техника!$H$1:$ABO$500,R$2,0),"П")</f>
        <v>0</v>
      </c>
      <c r="S1253" s="50">
        <f>SUMIFS(INDEX(Техника!$F$1:$ABM$500,S$2,0),Техника!$F$4:$ABM$4,"Часы",INDEX(Техника!$G$1:$ABN$500,S$2,0),$A$1250,INDEX(Техника!$H$1:$ABO$500,S$2,0),"П")</f>
        <v>0</v>
      </c>
      <c r="T1253" s="50">
        <f>SUMIFS(INDEX(Техника!$F$1:$ABM$500,T$2,0),Техника!$F$4:$ABM$4,"Часы",INDEX(Техника!$G$1:$ABN$500,T$2,0),$A$1250,INDEX(Техника!$H$1:$ABO$500,T$2,0),"П")</f>
        <v>0</v>
      </c>
      <c r="U1253" s="50">
        <f>SUMIFS(INDEX(Техника!$F$1:$ABM$500,U$2,0),Техника!$F$4:$ABM$4,"Часы",INDEX(Техника!$G$1:$ABN$500,U$2,0),$A$1250,INDEX(Техника!$H$1:$ABO$500,U$2,0),"П")</f>
        <v>0</v>
      </c>
      <c r="V1253" s="50">
        <f>SUMIFS(INDEX(Техника!$F$1:$ABM$500,V$2,0),Техника!$F$4:$ABM$4,"Часы",INDEX(Техника!$G$1:$ABN$500,V$2,0),$A$1250,INDEX(Техника!$H$1:$ABO$500,V$2,0),"П")</f>
        <v>0</v>
      </c>
      <c r="W1253" s="50">
        <f>SUMIFS(INDEX(Техника!$F$1:$ABM$500,W$2,0),Техника!$F$4:$ABM$4,"Часы",INDEX(Техника!$G$1:$ABN$500,W$2,0),$A$1250,INDEX(Техника!$H$1:$ABO$500,W$2,0),"П")</f>
        <v>0</v>
      </c>
      <c r="X1253" s="50">
        <f>SUMIFS(INDEX(Техника!$F$1:$ABM$500,X$2,0),Техника!$F$4:$ABM$4,"Часы",INDEX(Техника!$G$1:$ABN$500,X$2,0),$A$1250,INDEX(Техника!$H$1:$ABO$500,X$2,0),"П")</f>
        <v>0</v>
      </c>
      <c r="Y1253" s="50">
        <f>SUMIFS(INDEX(Техника!$F$1:$ABM$500,Y$2,0),Техника!$F$4:$ABM$4,"Часы",INDEX(Техника!$G$1:$ABN$500,Y$2,0),$A$1250,INDEX(Техника!$H$1:$ABO$500,Y$2,0),"П")</f>
        <v>0</v>
      </c>
      <c r="Z1253" s="50">
        <f>SUMIFS(INDEX(Техника!$F$1:$ABM$500,Z$2,0),Техника!$F$4:$ABM$4,"Часы",INDEX(Техника!$G$1:$ABN$500,Z$2,0),$A$1250,INDEX(Техника!$H$1:$ABO$500,Z$2,0),"П")</f>
        <v>0</v>
      </c>
      <c r="AA1253" s="50">
        <f>SUMIFS(INDEX(Техника!$F$1:$ABM$500,AA$2,0),Техника!$F$4:$ABM$4,"Часы",INDEX(Техника!$G$1:$ABN$500,AA$2,0),$A$1250,INDEX(Техника!$H$1:$ABO$500,AA$2,0),"П")</f>
        <v>0</v>
      </c>
      <c r="AB1253" s="50">
        <f>SUMIFS(INDEX(Техника!$F$1:$ABM$500,AB$2,0),Техника!$F$4:$ABM$4,"Часы",INDEX(Техника!$G$1:$ABN$500,AB$2,0),$A$1250,INDEX(Техника!$H$1:$ABO$500,AB$2,0),"П")</f>
        <v>0</v>
      </c>
    </row>
    <row r="1254" spans="1:28" hidden="1" outlineLevel="1" x14ac:dyDescent="0.3">
      <c r="A1254" s="33" t="s">
        <v>243</v>
      </c>
      <c r="B1254" s="34" t="s">
        <v>278</v>
      </c>
      <c r="C1254" s="50">
        <f>SUMIFS(INDEX(Техника!$F$1:$ABM$500,C$2,0),Техника!$F$4:$ABM$4,"Часы",INDEX(Техника!$G$1:$ABN$500,C$2,0),$A$1250,INDEX(Техника!$H$1:$ABO$500,C$2,0),"Л")</f>
        <v>0</v>
      </c>
      <c r="D1254" s="50">
        <f>SUMIFS(INDEX(Техника!$F$1:$ABM$500,D$2,0),Техника!$F$4:$ABM$4,"Часы",INDEX(Техника!$G$1:$ABN$500,D$2,0),$A$1250,INDEX(Техника!$H$1:$ABO$500,D$2,0),"Л")</f>
        <v>0</v>
      </c>
      <c r="E1254" s="50">
        <f>SUMIFS(INDEX(Техника!$F$1:$ABM$500,E$2,0),Техника!$F$4:$ABM$4,"Часы",INDEX(Техника!$G$1:$ABN$500,E$2,0),$A$1250,INDEX(Техника!$H$1:$ABO$500,E$2,0),"Л")</f>
        <v>0</v>
      </c>
      <c r="F1254" s="50">
        <f>SUMIFS(INDEX(Техника!$F$1:$ABM$500,F$2,0),Техника!$F$4:$ABM$4,"Часы",INDEX(Техника!$G$1:$ABN$500,F$2,0),$A$1250,INDEX(Техника!$H$1:$ABO$500,F$2,0),"Л")</f>
        <v>0</v>
      </c>
      <c r="G1254" s="50">
        <f>SUMIFS(INDEX(Техника!$F$1:$ABM$500,G$2,0),Техника!$F$4:$ABM$4,"Часы",INDEX(Техника!$G$1:$ABN$500,G$2,0),$A$1250,INDEX(Техника!$H$1:$ABO$500,G$2,0),"Л")</f>
        <v>0</v>
      </c>
      <c r="H1254" s="50">
        <f>SUMIFS(INDEX(Техника!$F$1:$ABM$500,H$2,0),Техника!$F$4:$ABM$4,"Часы",INDEX(Техника!$G$1:$ABN$500,H$2,0),$A$1250,INDEX(Техника!$H$1:$ABO$500,H$2,0),"Л")</f>
        <v>0</v>
      </c>
      <c r="I1254" s="50">
        <f>SUMIFS(INDEX(Техника!$F$1:$ABM$500,I$2,0),Техника!$F$4:$ABM$4,"Часы",INDEX(Техника!$G$1:$ABN$500,I$2,0),$A$1250,INDEX(Техника!$H$1:$ABO$500,I$2,0),"Л")</f>
        <v>0</v>
      </c>
      <c r="J1254" s="50">
        <f>SUMIFS(INDEX(Техника!$F$1:$ABM$500,J$2,0),Техника!$F$4:$ABM$4,"Часы",INDEX(Техника!$G$1:$ABN$500,J$2,0),$A$1250,INDEX(Техника!$H$1:$ABO$500,J$2,0),"Л")</f>
        <v>0</v>
      </c>
      <c r="K1254" s="50">
        <f>SUMIFS(INDEX(Техника!$F$1:$ABM$500,K$2,0),Техника!$F$4:$ABM$4,"Часы",INDEX(Техника!$G$1:$ABN$500,K$2,0),$A$1250,INDEX(Техника!$H$1:$ABO$500,K$2,0),"Л")</f>
        <v>0</v>
      </c>
      <c r="L1254" s="50">
        <f>SUMIFS(INDEX(Техника!$F$1:$ABM$500,L$2,0),Техника!$F$4:$ABM$4,"Часы",INDEX(Техника!$G$1:$ABN$500,L$2,0),$A$1250,INDEX(Техника!$H$1:$ABO$500,L$2,0),"Л")</f>
        <v>0</v>
      </c>
      <c r="M1254" s="50">
        <f>SUMIFS(INDEX(Техника!$F$1:$ABM$500,M$2,0),Техника!$F$4:$ABM$4,"Часы",INDEX(Техника!$G$1:$ABN$500,M$2,0),$A$1250,INDEX(Техника!$H$1:$ABO$500,M$2,0),"Л")</f>
        <v>0</v>
      </c>
      <c r="N1254" s="50">
        <f>SUMIFS(INDEX(Техника!$F$1:$ABM$500,N$2,0),Техника!$F$4:$ABM$4,"Часы",INDEX(Техника!$G$1:$ABN$500,N$2,0),$A$1250,INDEX(Техника!$H$1:$ABO$500,N$2,0),"Л")</f>
        <v>0</v>
      </c>
      <c r="O1254" s="50">
        <f>SUMIFS(INDEX(Техника!$F$1:$ABM$500,O$2,0),Техника!$F$4:$ABM$4,"Часы",INDEX(Техника!$G$1:$ABN$500,O$2,0),$A$1250,INDEX(Техника!$H$1:$ABO$500,O$2,0),"Л")</f>
        <v>0</v>
      </c>
      <c r="P1254" s="50">
        <f>SUMIFS(INDEX(Техника!$F$1:$ABM$500,P$2,0),Техника!$F$4:$ABM$4,"Часы",INDEX(Техника!$G$1:$ABN$500,P$2,0),$A$1250,INDEX(Техника!$H$1:$ABO$500,P$2,0),"Л")</f>
        <v>0</v>
      </c>
      <c r="Q1254" s="50">
        <f>SUMIFS(INDEX(Техника!$F$1:$ABM$500,Q$2,0),Техника!$F$4:$ABM$4,"Часы",INDEX(Техника!$G$1:$ABN$500,Q$2,0),$A$1250,INDEX(Техника!$H$1:$ABO$500,Q$2,0),"Л")</f>
        <v>0</v>
      </c>
      <c r="R1254" s="50">
        <f>SUMIFS(INDEX(Техника!$F$1:$ABM$500,R$2,0),Техника!$F$4:$ABM$4,"Часы",INDEX(Техника!$G$1:$ABN$500,R$2,0),$A$1250,INDEX(Техника!$H$1:$ABO$500,R$2,0),"Л")</f>
        <v>0</v>
      </c>
      <c r="S1254" s="50">
        <f>SUMIFS(INDEX(Техника!$F$1:$ABM$500,S$2,0),Техника!$F$4:$ABM$4,"Часы",INDEX(Техника!$G$1:$ABN$500,S$2,0),$A$1250,INDEX(Техника!$H$1:$ABO$500,S$2,0),"Л")</f>
        <v>0</v>
      </c>
      <c r="T1254" s="50">
        <f>SUMIFS(INDEX(Техника!$F$1:$ABM$500,T$2,0),Техника!$F$4:$ABM$4,"Часы",INDEX(Техника!$G$1:$ABN$500,T$2,0),$A$1250,INDEX(Техника!$H$1:$ABO$500,T$2,0),"Л")</f>
        <v>0</v>
      </c>
      <c r="U1254" s="50">
        <f>SUMIFS(INDEX(Техника!$F$1:$ABM$500,U$2,0),Техника!$F$4:$ABM$4,"Часы",INDEX(Техника!$G$1:$ABN$500,U$2,0),$A$1250,INDEX(Техника!$H$1:$ABO$500,U$2,0),"Л")</f>
        <v>0</v>
      </c>
      <c r="V1254" s="50">
        <f>SUMIFS(INDEX(Техника!$F$1:$ABM$500,V$2,0),Техника!$F$4:$ABM$4,"Часы",INDEX(Техника!$G$1:$ABN$500,V$2,0),$A$1250,INDEX(Техника!$H$1:$ABO$500,V$2,0),"Л")</f>
        <v>0</v>
      </c>
      <c r="W1254" s="50">
        <f>SUMIFS(INDEX(Техника!$F$1:$ABM$500,W$2,0),Техника!$F$4:$ABM$4,"Часы",INDEX(Техника!$G$1:$ABN$500,W$2,0),$A$1250,INDEX(Техника!$H$1:$ABO$500,W$2,0),"Л")</f>
        <v>0</v>
      </c>
      <c r="X1254" s="50">
        <f>SUMIFS(INDEX(Техника!$F$1:$ABM$500,X$2,0),Техника!$F$4:$ABM$4,"Часы",INDEX(Техника!$G$1:$ABN$500,X$2,0),$A$1250,INDEX(Техника!$H$1:$ABO$500,X$2,0),"Л")</f>
        <v>0</v>
      </c>
      <c r="Y1254" s="50">
        <f>SUMIFS(INDEX(Техника!$F$1:$ABM$500,Y$2,0),Техника!$F$4:$ABM$4,"Часы",INDEX(Техника!$G$1:$ABN$500,Y$2,0),$A$1250,INDEX(Техника!$H$1:$ABO$500,Y$2,0),"Л")</f>
        <v>0</v>
      </c>
      <c r="Z1254" s="50">
        <f>SUMIFS(INDEX(Техника!$F$1:$ABM$500,Z$2,0),Техника!$F$4:$ABM$4,"Часы",INDEX(Техника!$G$1:$ABN$500,Z$2,0),$A$1250,INDEX(Техника!$H$1:$ABO$500,Z$2,0),"Л")</f>
        <v>0</v>
      </c>
      <c r="AA1254" s="50">
        <f>SUMIFS(INDEX(Техника!$F$1:$ABM$500,AA$2,0),Техника!$F$4:$ABM$4,"Часы",INDEX(Техника!$G$1:$ABN$500,AA$2,0),$A$1250,INDEX(Техника!$H$1:$ABO$500,AA$2,0),"Л")</f>
        <v>0</v>
      </c>
      <c r="AB1254" s="50">
        <f>SUMIFS(INDEX(Техника!$F$1:$ABM$500,AB$2,0),Техника!$F$4:$ABM$4,"Часы",INDEX(Техника!$G$1:$ABN$500,AB$2,0),$A$1250,INDEX(Техника!$H$1:$ABO$500,AB$2,0),"Л")</f>
        <v>0</v>
      </c>
    </row>
    <row r="1255" spans="1:28" hidden="1" outlineLevel="1" x14ac:dyDescent="0.3">
      <c r="A1255" s="33" t="s">
        <v>245</v>
      </c>
      <c r="B1255" s="34" t="s">
        <v>279</v>
      </c>
      <c r="C1255" s="50">
        <f>SUMIFS(INDEX(Техника!$F$1:$ABM$500,C$2,0),Техника!$F$4:$ABM$4,"Часы",INDEX(Техника!$G$1:$ABN$500,C$2,0),$A$1250,INDEX(Техника!$H$1:$ABO$500,C$2,0),"З")</f>
        <v>0</v>
      </c>
      <c r="D1255" s="50">
        <f>SUMIFS(INDEX(Техника!$F$1:$ABM$500,D$2,0),Техника!$F$4:$ABM$4,"Часы",INDEX(Техника!$G$1:$ABN$500,D$2,0),$A$1250,INDEX(Техника!$H$1:$ABO$500,D$2,0),"З")</f>
        <v>0</v>
      </c>
      <c r="E1255" s="50">
        <f>SUMIFS(INDEX(Техника!$F$1:$ABM$500,E$2,0),Техника!$F$4:$ABM$4,"Часы",INDEX(Техника!$G$1:$ABN$500,E$2,0),$A$1250,INDEX(Техника!$H$1:$ABO$500,E$2,0),"З")</f>
        <v>0</v>
      </c>
      <c r="F1255" s="50">
        <f>SUMIFS(INDEX(Техника!$F$1:$ABM$500,F$2,0),Техника!$F$4:$ABM$4,"Часы",INDEX(Техника!$G$1:$ABN$500,F$2,0),$A$1250,INDEX(Техника!$H$1:$ABO$500,F$2,0),"З")</f>
        <v>0</v>
      </c>
      <c r="G1255" s="50">
        <f>SUMIFS(INDEX(Техника!$F$1:$ABM$500,G$2,0),Техника!$F$4:$ABM$4,"Часы",INDEX(Техника!$G$1:$ABN$500,G$2,0),$A$1250,INDEX(Техника!$H$1:$ABO$500,G$2,0),"З")</f>
        <v>0</v>
      </c>
      <c r="H1255" s="50">
        <f>SUMIFS(INDEX(Техника!$F$1:$ABM$500,H$2,0),Техника!$F$4:$ABM$4,"Часы",INDEX(Техника!$G$1:$ABN$500,H$2,0),$A$1250,INDEX(Техника!$H$1:$ABO$500,H$2,0),"З")</f>
        <v>0</v>
      </c>
      <c r="I1255" s="50">
        <f>SUMIFS(INDEX(Техника!$F$1:$ABM$500,I$2,0),Техника!$F$4:$ABM$4,"Часы",INDEX(Техника!$G$1:$ABN$500,I$2,0),$A$1250,INDEX(Техника!$H$1:$ABO$500,I$2,0),"З")</f>
        <v>0</v>
      </c>
      <c r="J1255" s="50">
        <f>SUMIFS(INDEX(Техника!$F$1:$ABM$500,J$2,0),Техника!$F$4:$ABM$4,"Часы",INDEX(Техника!$G$1:$ABN$500,J$2,0),$A$1250,INDEX(Техника!$H$1:$ABO$500,J$2,0),"З")</f>
        <v>0</v>
      </c>
      <c r="K1255" s="50">
        <f>SUMIFS(INDEX(Техника!$F$1:$ABM$500,K$2,0),Техника!$F$4:$ABM$4,"Часы",INDEX(Техника!$G$1:$ABN$500,K$2,0),$A$1250,INDEX(Техника!$H$1:$ABO$500,K$2,0),"З")</f>
        <v>0</v>
      </c>
      <c r="L1255" s="50">
        <f>SUMIFS(INDEX(Техника!$F$1:$ABM$500,L$2,0),Техника!$F$4:$ABM$4,"Часы",INDEX(Техника!$G$1:$ABN$500,L$2,0),$A$1250,INDEX(Техника!$H$1:$ABO$500,L$2,0),"З")</f>
        <v>0</v>
      </c>
      <c r="M1255" s="50">
        <f>SUMIFS(INDEX(Техника!$F$1:$ABM$500,M$2,0),Техника!$F$4:$ABM$4,"Часы",INDEX(Техника!$G$1:$ABN$500,M$2,0),$A$1250,INDEX(Техника!$H$1:$ABO$500,M$2,0),"З")</f>
        <v>0</v>
      </c>
      <c r="N1255" s="50">
        <f>SUMIFS(INDEX(Техника!$F$1:$ABM$500,N$2,0),Техника!$F$4:$ABM$4,"Часы",INDEX(Техника!$G$1:$ABN$500,N$2,0),$A$1250,INDEX(Техника!$H$1:$ABO$500,N$2,0),"З")</f>
        <v>0</v>
      </c>
      <c r="O1255" s="50">
        <f>SUMIFS(INDEX(Техника!$F$1:$ABM$500,O$2,0),Техника!$F$4:$ABM$4,"Часы",INDEX(Техника!$G$1:$ABN$500,O$2,0),$A$1250,INDEX(Техника!$H$1:$ABO$500,O$2,0),"З")</f>
        <v>0</v>
      </c>
      <c r="P1255" s="50">
        <f>SUMIFS(INDEX(Техника!$F$1:$ABM$500,P$2,0),Техника!$F$4:$ABM$4,"Часы",INDEX(Техника!$G$1:$ABN$500,P$2,0),$A$1250,INDEX(Техника!$H$1:$ABO$500,P$2,0),"З")</f>
        <v>0</v>
      </c>
      <c r="Q1255" s="50">
        <f>SUMIFS(INDEX(Техника!$F$1:$ABM$500,Q$2,0),Техника!$F$4:$ABM$4,"Часы",INDEX(Техника!$G$1:$ABN$500,Q$2,0),$A$1250,INDEX(Техника!$H$1:$ABO$500,Q$2,0),"З")</f>
        <v>0</v>
      </c>
      <c r="R1255" s="50">
        <f>SUMIFS(INDEX(Техника!$F$1:$ABM$500,R$2,0),Техника!$F$4:$ABM$4,"Часы",INDEX(Техника!$G$1:$ABN$500,R$2,0),$A$1250,INDEX(Техника!$H$1:$ABO$500,R$2,0),"З")</f>
        <v>0</v>
      </c>
      <c r="S1255" s="50">
        <f>SUMIFS(INDEX(Техника!$F$1:$ABM$500,S$2,0),Техника!$F$4:$ABM$4,"Часы",INDEX(Техника!$G$1:$ABN$500,S$2,0),$A$1250,INDEX(Техника!$H$1:$ABO$500,S$2,0),"З")</f>
        <v>0</v>
      </c>
      <c r="T1255" s="50">
        <f>SUMIFS(INDEX(Техника!$F$1:$ABM$500,T$2,0),Техника!$F$4:$ABM$4,"Часы",INDEX(Техника!$G$1:$ABN$500,T$2,0),$A$1250,INDEX(Техника!$H$1:$ABO$500,T$2,0),"З")</f>
        <v>0</v>
      </c>
      <c r="U1255" s="50">
        <f>SUMIFS(INDEX(Техника!$F$1:$ABM$500,U$2,0),Техника!$F$4:$ABM$4,"Часы",INDEX(Техника!$G$1:$ABN$500,U$2,0),$A$1250,INDEX(Техника!$H$1:$ABO$500,U$2,0),"З")</f>
        <v>0</v>
      </c>
      <c r="V1255" s="50">
        <f>SUMIFS(INDEX(Техника!$F$1:$ABM$500,V$2,0),Техника!$F$4:$ABM$4,"Часы",INDEX(Техника!$G$1:$ABN$500,V$2,0),$A$1250,INDEX(Техника!$H$1:$ABO$500,V$2,0),"З")</f>
        <v>0</v>
      </c>
      <c r="W1255" s="50">
        <f>SUMIFS(INDEX(Техника!$F$1:$ABM$500,W$2,0),Техника!$F$4:$ABM$4,"Часы",INDEX(Техника!$G$1:$ABN$500,W$2,0),$A$1250,INDEX(Техника!$H$1:$ABO$500,W$2,0),"З")</f>
        <v>0</v>
      </c>
      <c r="X1255" s="50">
        <f>SUMIFS(INDEX(Техника!$F$1:$ABM$500,X$2,0),Техника!$F$4:$ABM$4,"Часы",INDEX(Техника!$G$1:$ABN$500,X$2,0),$A$1250,INDEX(Техника!$H$1:$ABO$500,X$2,0),"З")</f>
        <v>0</v>
      </c>
      <c r="Y1255" s="50">
        <f>SUMIFS(INDEX(Техника!$F$1:$ABM$500,Y$2,0),Техника!$F$4:$ABM$4,"Часы",INDEX(Техника!$G$1:$ABN$500,Y$2,0),$A$1250,INDEX(Техника!$H$1:$ABO$500,Y$2,0),"З")</f>
        <v>0</v>
      </c>
      <c r="Z1255" s="50">
        <f>SUMIFS(INDEX(Техника!$F$1:$ABM$500,Z$2,0),Техника!$F$4:$ABM$4,"Часы",INDEX(Техника!$G$1:$ABN$500,Z$2,0),$A$1250,INDEX(Техника!$H$1:$ABO$500,Z$2,0),"З")</f>
        <v>0</v>
      </c>
      <c r="AA1255" s="50">
        <f>SUMIFS(INDEX(Техника!$F$1:$ABM$500,AA$2,0),Техника!$F$4:$ABM$4,"Часы",INDEX(Техника!$G$1:$ABN$500,AA$2,0),$A$1250,INDEX(Техника!$H$1:$ABO$500,AA$2,0),"З")</f>
        <v>0</v>
      </c>
      <c r="AB1255" s="50">
        <f>SUMIFS(INDEX(Техника!$F$1:$ABM$500,AB$2,0),Техника!$F$4:$ABM$4,"Часы",INDEX(Техника!$G$1:$ABN$500,AB$2,0),$A$1250,INDEX(Техника!$H$1:$ABO$500,AB$2,0),"З")</f>
        <v>0</v>
      </c>
    </row>
    <row r="1256" spans="1:28" ht="7.95" customHeight="1" x14ac:dyDescent="0.3">
      <c r="A1256" s="38"/>
      <c r="B1256" s="39"/>
      <c r="C1256" s="51"/>
      <c r="D1256" s="51"/>
      <c r="E1256" s="51"/>
      <c r="F1256" s="51"/>
      <c r="G1256" s="51"/>
      <c r="H1256" s="51"/>
      <c r="I1256" s="51"/>
      <c r="J1256" s="51"/>
      <c r="K1256" s="51"/>
      <c r="L1256" s="51"/>
      <c r="M1256" s="51"/>
      <c r="N1256" s="51"/>
      <c r="O1256" s="51"/>
      <c r="P1256" s="51"/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  <c r="AA1256" s="51"/>
      <c r="AB1256" s="51"/>
    </row>
    <row r="1257" spans="1:28" ht="25.05" customHeight="1" collapsed="1" x14ac:dyDescent="0.3">
      <c r="A1257" s="32">
        <v>180</v>
      </c>
      <c r="B1257" s="32" t="s">
        <v>181</v>
      </c>
      <c r="C1257" s="49">
        <f>SUM(C1258:C1262)</f>
        <v>0</v>
      </c>
      <c r="D1257" s="49">
        <f>SUM(D1258:D1262)</f>
        <v>0</v>
      </c>
      <c r="E1257" s="49">
        <f>SUM(E1258:E1262)</f>
        <v>0</v>
      </c>
      <c r="F1257" s="49">
        <f>SUM(F1258:F1262)</f>
        <v>0</v>
      </c>
      <c r="G1257" s="49">
        <f>SUM(G1258:G1262)</f>
        <v>0</v>
      </c>
      <c r="H1257" s="49">
        <f>SUM(H1258:H1262)</f>
        <v>0</v>
      </c>
      <c r="I1257" s="49">
        <f>SUM(I1258:I1262)</f>
        <v>0</v>
      </c>
      <c r="J1257" s="49">
        <f>SUM(J1258:J1262)</f>
        <v>0</v>
      </c>
      <c r="K1257" s="49">
        <f>SUM(K1258:K1262)</f>
        <v>0</v>
      </c>
      <c r="L1257" s="49">
        <f>SUM(L1258:L1262)</f>
        <v>0</v>
      </c>
      <c r="M1257" s="49">
        <f>SUM(M1258:M1262)</f>
        <v>0</v>
      </c>
      <c r="N1257" s="49">
        <f>SUM(N1258:N1262)</f>
        <v>0</v>
      </c>
      <c r="O1257" s="49">
        <f>SUM(O1258:O1262)</f>
        <v>0</v>
      </c>
      <c r="P1257" s="49">
        <f>SUM(P1258:P1262)</f>
        <v>0</v>
      </c>
      <c r="Q1257" s="49">
        <f>SUM(Q1258:Q1262)</f>
        <v>0</v>
      </c>
      <c r="R1257" s="49">
        <f>SUM(R1258:R1262)</f>
        <v>0</v>
      </c>
      <c r="S1257" s="49">
        <f>SUM(S1258:S1262)</f>
        <v>0</v>
      </c>
      <c r="T1257" s="49">
        <f>SUM(T1258:T1262)</f>
        <v>0</v>
      </c>
      <c r="U1257" s="49">
        <f>SUM(U1258:U1262)</f>
        <v>0</v>
      </c>
      <c r="V1257" s="49">
        <f>SUM(V1258:V1262)</f>
        <v>0</v>
      </c>
      <c r="W1257" s="49">
        <f>SUM(W1258:W1262)</f>
        <v>0</v>
      </c>
      <c r="X1257" s="49">
        <f>SUM(X1258:X1262)</f>
        <v>0</v>
      </c>
      <c r="Y1257" s="49">
        <f>SUM(Y1258:Y1262)</f>
        <v>0</v>
      </c>
      <c r="Z1257" s="49">
        <f>SUM(Z1258:Z1262)</f>
        <v>0</v>
      </c>
      <c r="AA1257" s="49">
        <f>SUM(AA1258:AA1262)</f>
        <v>0</v>
      </c>
      <c r="AB1257" s="49">
        <f>SUM(AB1258:AB1262)</f>
        <v>0</v>
      </c>
    </row>
    <row r="1258" spans="1:28" hidden="1" outlineLevel="1" x14ac:dyDescent="0.3">
      <c r="A1258" s="33" t="s">
        <v>246</v>
      </c>
      <c r="B1258" s="34" t="s">
        <v>274</v>
      </c>
      <c r="C1258" s="50">
        <f>SUMIFS(INDEX(Техника!$F$1:$ABM$500,C$2,0),Техника!$F$4:$ABM$4,"Часы",INDEX(Техника!$G$1:$ABN$500,C$2,0),$A$1257,INDEX(Техника!$H$1:$ABO$500,C$2,0),"М")</f>
        <v>0</v>
      </c>
      <c r="D1258" s="50">
        <f>SUMIFS(INDEX(Техника!$F$1:$ABM$500,D$2,0),Техника!$F$4:$ABM$4,"Часы",INDEX(Техника!$G$1:$ABN$500,D$2,0),$A$1257,INDEX(Техника!$H$1:$ABO$500,D$2,0),"М")</f>
        <v>0</v>
      </c>
      <c r="E1258" s="50">
        <f>SUMIFS(INDEX(Техника!$F$1:$ABM$500,E$2,0),Техника!$F$4:$ABM$4,"Часы",INDEX(Техника!$G$1:$ABN$500,E$2,0),$A$1257,INDEX(Техника!$H$1:$ABO$500,E$2,0),"М")</f>
        <v>0</v>
      </c>
      <c r="F1258" s="50">
        <f>SUMIFS(INDEX(Техника!$F$1:$ABM$500,F$2,0),Техника!$F$4:$ABM$4,"Часы",INDEX(Техника!$G$1:$ABN$500,F$2,0),$A$1257,INDEX(Техника!$H$1:$ABO$500,F$2,0),"М")</f>
        <v>0</v>
      </c>
      <c r="G1258" s="50">
        <f>SUMIFS(INDEX(Техника!$F$1:$ABM$500,G$2,0),Техника!$F$4:$ABM$4,"Часы",INDEX(Техника!$G$1:$ABN$500,G$2,0),$A$1257,INDEX(Техника!$H$1:$ABO$500,G$2,0),"М")</f>
        <v>0</v>
      </c>
      <c r="H1258" s="50">
        <f>SUMIFS(INDEX(Техника!$F$1:$ABM$500,H$2,0),Техника!$F$4:$ABM$4,"Часы",INDEX(Техника!$G$1:$ABN$500,H$2,0),$A$1257,INDEX(Техника!$H$1:$ABO$500,H$2,0),"М")</f>
        <v>0</v>
      </c>
      <c r="I1258" s="50">
        <f>SUMIFS(INDEX(Техника!$F$1:$ABM$500,I$2,0),Техника!$F$4:$ABM$4,"Часы",INDEX(Техника!$G$1:$ABN$500,I$2,0),$A$1257,INDEX(Техника!$H$1:$ABO$500,I$2,0),"М")</f>
        <v>0</v>
      </c>
      <c r="J1258" s="50">
        <f>SUMIFS(INDEX(Техника!$F$1:$ABM$500,J$2,0),Техника!$F$4:$ABM$4,"Часы",INDEX(Техника!$G$1:$ABN$500,J$2,0),$A$1257,INDEX(Техника!$H$1:$ABO$500,J$2,0),"М")</f>
        <v>0</v>
      </c>
      <c r="K1258" s="50">
        <f>SUMIFS(INDEX(Техника!$F$1:$ABM$500,K$2,0),Техника!$F$4:$ABM$4,"Часы",INDEX(Техника!$G$1:$ABN$500,K$2,0),$A$1257,INDEX(Техника!$H$1:$ABO$500,K$2,0),"М")</f>
        <v>0</v>
      </c>
      <c r="L1258" s="50">
        <f>SUMIFS(INDEX(Техника!$F$1:$ABM$500,L$2,0),Техника!$F$4:$ABM$4,"Часы",INDEX(Техника!$G$1:$ABN$500,L$2,0),$A$1257,INDEX(Техника!$H$1:$ABO$500,L$2,0),"М")</f>
        <v>0</v>
      </c>
      <c r="M1258" s="50">
        <f>SUMIFS(INDEX(Техника!$F$1:$ABM$500,M$2,0),Техника!$F$4:$ABM$4,"Часы",INDEX(Техника!$G$1:$ABN$500,M$2,0),$A$1257,INDEX(Техника!$H$1:$ABO$500,M$2,0),"М")</f>
        <v>0</v>
      </c>
      <c r="N1258" s="50">
        <f>SUMIFS(INDEX(Техника!$F$1:$ABM$500,N$2,0),Техника!$F$4:$ABM$4,"Часы",INDEX(Техника!$G$1:$ABN$500,N$2,0),$A$1257,INDEX(Техника!$H$1:$ABO$500,N$2,0),"М")</f>
        <v>0</v>
      </c>
      <c r="O1258" s="50">
        <f>SUMIFS(INDEX(Техника!$F$1:$ABM$500,O$2,0),Техника!$F$4:$ABM$4,"Часы",INDEX(Техника!$G$1:$ABN$500,O$2,0),$A$1257,INDEX(Техника!$H$1:$ABO$500,O$2,0),"М")</f>
        <v>0</v>
      </c>
      <c r="P1258" s="50">
        <f>SUMIFS(INDEX(Техника!$F$1:$ABM$500,P$2,0),Техника!$F$4:$ABM$4,"Часы",INDEX(Техника!$G$1:$ABN$500,P$2,0),$A$1257,INDEX(Техника!$H$1:$ABO$500,P$2,0),"М")</f>
        <v>0</v>
      </c>
      <c r="Q1258" s="50">
        <f>SUMIFS(INDEX(Техника!$F$1:$ABM$500,Q$2,0),Техника!$F$4:$ABM$4,"Часы",INDEX(Техника!$G$1:$ABN$500,Q$2,0),$A$1257,INDEX(Техника!$H$1:$ABO$500,Q$2,0),"М")</f>
        <v>0</v>
      </c>
      <c r="R1258" s="50">
        <f>SUMIFS(INDEX(Техника!$F$1:$ABM$500,R$2,0),Техника!$F$4:$ABM$4,"Часы",INDEX(Техника!$G$1:$ABN$500,R$2,0),$A$1257,INDEX(Техника!$H$1:$ABO$500,R$2,0),"М")</f>
        <v>0</v>
      </c>
      <c r="S1258" s="50">
        <f>SUMIFS(INDEX(Техника!$F$1:$ABM$500,S$2,0),Техника!$F$4:$ABM$4,"Часы",INDEX(Техника!$G$1:$ABN$500,S$2,0),$A$1257,INDEX(Техника!$H$1:$ABO$500,S$2,0),"М")</f>
        <v>0</v>
      </c>
      <c r="T1258" s="50">
        <f>SUMIFS(INDEX(Техника!$F$1:$ABM$500,T$2,0),Техника!$F$4:$ABM$4,"Часы",INDEX(Техника!$G$1:$ABN$500,T$2,0),$A$1257,INDEX(Техника!$H$1:$ABO$500,T$2,0),"М")</f>
        <v>0</v>
      </c>
      <c r="U1258" s="50">
        <f>SUMIFS(INDEX(Техника!$F$1:$ABM$500,U$2,0),Техника!$F$4:$ABM$4,"Часы",INDEX(Техника!$G$1:$ABN$500,U$2,0),$A$1257,INDEX(Техника!$H$1:$ABO$500,U$2,0),"М")</f>
        <v>0</v>
      </c>
      <c r="V1258" s="50">
        <f>SUMIFS(INDEX(Техника!$F$1:$ABM$500,V$2,0),Техника!$F$4:$ABM$4,"Часы",INDEX(Техника!$G$1:$ABN$500,V$2,0),$A$1257,INDEX(Техника!$H$1:$ABO$500,V$2,0),"М")</f>
        <v>0</v>
      </c>
      <c r="W1258" s="50">
        <f>SUMIFS(INDEX(Техника!$F$1:$ABM$500,W$2,0),Техника!$F$4:$ABM$4,"Часы",INDEX(Техника!$G$1:$ABN$500,W$2,0),$A$1257,INDEX(Техника!$H$1:$ABO$500,W$2,0),"М")</f>
        <v>0</v>
      </c>
      <c r="X1258" s="50">
        <f>SUMIFS(INDEX(Техника!$F$1:$ABM$500,X$2,0),Техника!$F$4:$ABM$4,"Часы",INDEX(Техника!$G$1:$ABN$500,X$2,0),$A$1257,INDEX(Техника!$H$1:$ABO$500,X$2,0),"М")</f>
        <v>0</v>
      </c>
      <c r="Y1258" s="50">
        <f>SUMIFS(INDEX(Техника!$F$1:$ABM$500,Y$2,0),Техника!$F$4:$ABM$4,"Часы",INDEX(Техника!$G$1:$ABN$500,Y$2,0),$A$1257,INDEX(Техника!$H$1:$ABO$500,Y$2,0),"М")</f>
        <v>0</v>
      </c>
      <c r="Z1258" s="50">
        <f>SUMIFS(INDEX(Техника!$F$1:$ABM$500,Z$2,0),Техника!$F$4:$ABM$4,"Часы",INDEX(Техника!$G$1:$ABN$500,Z$2,0),$A$1257,INDEX(Техника!$H$1:$ABO$500,Z$2,0),"М")</f>
        <v>0</v>
      </c>
      <c r="AA1258" s="50">
        <f>SUMIFS(INDEX(Техника!$F$1:$ABM$500,AA$2,0),Техника!$F$4:$ABM$4,"Часы",INDEX(Техника!$G$1:$ABN$500,AA$2,0),$A$1257,INDEX(Техника!$H$1:$ABO$500,AA$2,0),"М")</f>
        <v>0</v>
      </c>
      <c r="AB1258" s="50">
        <f>SUMIFS(INDEX(Техника!$F$1:$ABM$500,AB$2,0),Техника!$F$4:$ABM$4,"Часы",INDEX(Техника!$G$1:$ABN$500,AB$2,0),$A$1257,INDEX(Техника!$H$1:$ABO$500,AB$2,0),"М")</f>
        <v>0</v>
      </c>
    </row>
    <row r="1259" spans="1:28" hidden="1" outlineLevel="1" x14ac:dyDescent="0.3">
      <c r="A1259" s="33" t="s">
        <v>244</v>
      </c>
      <c r="B1259" s="34" t="s">
        <v>275</v>
      </c>
      <c r="C1259" s="50">
        <f>SUMIFS(INDEX(Техника!$F$1:$ABM$500,C$2,0),Техника!$F$4:$ABM$4,"Часы",INDEX(Техника!$G$1:$ABN$500,C$2,0),$A$1257,INDEX(Техника!$H$1:$ABO$500,C$2,0),"Д")</f>
        <v>0</v>
      </c>
      <c r="D1259" s="50">
        <f>SUMIFS(INDEX(Техника!$F$1:$ABM$500,D$2,0),Техника!$F$4:$ABM$4,"Часы",INDEX(Техника!$G$1:$ABN$500,D$2,0),$A$1257,INDEX(Техника!$H$1:$ABO$500,D$2,0),"Д")</f>
        <v>0</v>
      </c>
      <c r="E1259" s="50">
        <f>SUMIFS(INDEX(Техника!$F$1:$ABM$500,E$2,0),Техника!$F$4:$ABM$4,"Часы",INDEX(Техника!$G$1:$ABN$500,E$2,0),$A$1257,INDEX(Техника!$H$1:$ABO$500,E$2,0),"Д")</f>
        <v>0</v>
      </c>
      <c r="F1259" s="50">
        <f>SUMIFS(INDEX(Техника!$F$1:$ABM$500,F$2,0),Техника!$F$4:$ABM$4,"Часы",INDEX(Техника!$G$1:$ABN$500,F$2,0),$A$1257,INDEX(Техника!$H$1:$ABO$500,F$2,0),"Д")</f>
        <v>0</v>
      </c>
      <c r="G1259" s="50">
        <f>SUMIFS(INDEX(Техника!$F$1:$ABM$500,G$2,0),Техника!$F$4:$ABM$4,"Часы",INDEX(Техника!$G$1:$ABN$500,G$2,0),$A$1257,INDEX(Техника!$H$1:$ABO$500,G$2,0),"Д")</f>
        <v>0</v>
      </c>
      <c r="H1259" s="50">
        <f>SUMIFS(INDEX(Техника!$F$1:$ABM$500,H$2,0),Техника!$F$4:$ABM$4,"Часы",INDEX(Техника!$G$1:$ABN$500,H$2,0),$A$1257,INDEX(Техника!$H$1:$ABO$500,H$2,0),"Д")</f>
        <v>0</v>
      </c>
      <c r="I1259" s="50">
        <f>SUMIFS(INDEX(Техника!$F$1:$ABM$500,I$2,0),Техника!$F$4:$ABM$4,"Часы",INDEX(Техника!$G$1:$ABN$500,I$2,0),$A$1257,INDEX(Техника!$H$1:$ABO$500,I$2,0),"Д")</f>
        <v>0</v>
      </c>
      <c r="J1259" s="50">
        <f>SUMIFS(INDEX(Техника!$F$1:$ABM$500,J$2,0),Техника!$F$4:$ABM$4,"Часы",INDEX(Техника!$G$1:$ABN$500,J$2,0),$A$1257,INDEX(Техника!$H$1:$ABO$500,J$2,0),"Д")</f>
        <v>0</v>
      </c>
      <c r="K1259" s="50">
        <f>SUMIFS(INDEX(Техника!$F$1:$ABM$500,K$2,0),Техника!$F$4:$ABM$4,"Часы",INDEX(Техника!$G$1:$ABN$500,K$2,0),$A$1257,INDEX(Техника!$H$1:$ABO$500,K$2,0),"Д")</f>
        <v>0</v>
      </c>
      <c r="L1259" s="50">
        <f>SUMIFS(INDEX(Техника!$F$1:$ABM$500,L$2,0),Техника!$F$4:$ABM$4,"Часы",INDEX(Техника!$G$1:$ABN$500,L$2,0),$A$1257,INDEX(Техника!$H$1:$ABO$500,L$2,0),"Д")</f>
        <v>0</v>
      </c>
      <c r="M1259" s="50">
        <f>SUMIFS(INDEX(Техника!$F$1:$ABM$500,M$2,0),Техника!$F$4:$ABM$4,"Часы",INDEX(Техника!$G$1:$ABN$500,M$2,0),$A$1257,INDEX(Техника!$H$1:$ABO$500,M$2,0),"Д")</f>
        <v>0</v>
      </c>
      <c r="N1259" s="50">
        <f>SUMIFS(INDEX(Техника!$F$1:$ABM$500,N$2,0),Техника!$F$4:$ABM$4,"Часы",INDEX(Техника!$G$1:$ABN$500,N$2,0),$A$1257,INDEX(Техника!$H$1:$ABO$500,N$2,0),"Д")</f>
        <v>0</v>
      </c>
      <c r="O1259" s="50">
        <f>SUMIFS(INDEX(Техника!$F$1:$ABM$500,O$2,0),Техника!$F$4:$ABM$4,"Часы",INDEX(Техника!$G$1:$ABN$500,O$2,0),$A$1257,INDEX(Техника!$H$1:$ABO$500,O$2,0),"Д")</f>
        <v>0</v>
      </c>
      <c r="P1259" s="50">
        <f>SUMIFS(INDEX(Техника!$F$1:$ABM$500,P$2,0),Техника!$F$4:$ABM$4,"Часы",INDEX(Техника!$G$1:$ABN$500,P$2,0),$A$1257,INDEX(Техника!$H$1:$ABO$500,P$2,0),"Д")</f>
        <v>0</v>
      </c>
      <c r="Q1259" s="50">
        <f>SUMIFS(INDEX(Техника!$F$1:$ABM$500,Q$2,0),Техника!$F$4:$ABM$4,"Часы",INDEX(Техника!$G$1:$ABN$500,Q$2,0),$A$1257,INDEX(Техника!$H$1:$ABO$500,Q$2,0),"Д")</f>
        <v>0</v>
      </c>
      <c r="R1259" s="50">
        <f>SUMIFS(INDEX(Техника!$F$1:$ABM$500,R$2,0),Техника!$F$4:$ABM$4,"Часы",INDEX(Техника!$G$1:$ABN$500,R$2,0),$A$1257,INDEX(Техника!$H$1:$ABO$500,R$2,0),"Д")</f>
        <v>0</v>
      </c>
      <c r="S1259" s="50">
        <f>SUMIFS(INDEX(Техника!$F$1:$ABM$500,S$2,0),Техника!$F$4:$ABM$4,"Часы",INDEX(Техника!$G$1:$ABN$500,S$2,0),$A$1257,INDEX(Техника!$H$1:$ABO$500,S$2,0),"Д")</f>
        <v>0</v>
      </c>
      <c r="T1259" s="50">
        <f>SUMIFS(INDEX(Техника!$F$1:$ABM$500,T$2,0),Техника!$F$4:$ABM$4,"Часы",INDEX(Техника!$G$1:$ABN$500,T$2,0),$A$1257,INDEX(Техника!$H$1:$ABO$500,T$2,0),"Д")</f>
        <v>0</v>
      </c>
      <c r="U1259" s="50">
        <f>SUMIFS(INDEX(Техника!$F$1:$ABM$500,U$2,0),Техника!$F$4:$ABM$4,"Часы",INDEX(Техника!$G$1:$ABN$500,U$2,0),$A$1257,INDEX(Техника!$H$1:$ABO$500,U$2,0),"Д")</f>
        <v>0</v>
      </c>
      <c r="V1259" s="50">
        <f>SUMIFS(INDEX(Техника!$F$1:$ABM$500,V$2,0),Техника!$F$4:$ABM$4,"Часы",INDEX(Техника!$G$1:$ABN$500,V$2,0),$A$1257,INDEX(Техника!$H$1:$ABO$500,V$2,0),"Д")</f>
        <v>0</v>
      </c>
      <c r="W1259" s="50">
        <f>SUMIFS(INDEX(Техника!$F$1:$ABM$500,W$2,0),Техника!$F$4:$ABM$4,"Часы",INDEX(Техника!$G$1:$ABN$500,W$2,0),$A$1257,INDEX(Техника!$H$1:$ABO$500,W$2,0),"Д")</f>
        <v>0</v>
      </c>
      <c r="X1259" s="50">
        <f>SUMIFS(INDEX(Техника!$F$1:$ABM$500,X$2,0),Техника!$F$4:$ABM$4,"Часы",INDEX(Техника!$G$1:$ABN$500,X$2,0),$A$1257,INDEX(Техника!$H$1:$ABO$500,X$2,0),"Д")</f>
        <v>0</v>
      </c>
      <c r="Y1259" s="50">
        <f>SUMIFS(INDEX(Техника!$F$1:$ABM$500,Y$2,0),Техника!$F$4:$ABM$4,"Часы",INDEX(Техника!$G$1:$ABN$500,Y$2,0),$A$1257,INDEX(Техника!$H$1:$ABO$500,Y$2,0),"Д")</f>
        <v>0</v>
      </c>
      <c r="Z1259" s="50">
        <f>SUMIFS(INDEX(Техника!$F$1:$ABM$500,Z$2,0),Техника!$F$4:$ABM$4,"Часы",INDEX(Техника!$G$1:$ABN$500,Z$2,0),$A$1257,INDEX(Техника!$H$1:$ABO$500,Z$2,0),"Д")</f>
        <v>0</v>
      </c>
      <c r="AA1259" s="50">
        <f>SUMIFS(INDEX(Техника!$F$1:$ABM$500,AA$2,0),Техника!$F$4:$ABM$4,"Часы",INDEX(Техника!$G$1:$ABN$500,AA$2,0),$A$1257,INDEX(Техника!$H$1:$ABO$500,AA$2,0),"Д")</f>
        <v>0</v>
      </c>
      <c r="AB1259" s="50">
        <f>SUMIFS(INDEX(Техника!$F$1:$ABM$500,AB$2,0),Техника!$F$4:$ABM$4,"Часы",INDEX(Техника!$G$1:$ABN$500,AB$2,0),$A$1257,INDEX(Техника!$H$1:$ABO$500,AB$2,0),"Д")</f>
        <v>0</v>
      </c>
    </row>
    <row r="1260" spans="1:28" hidden="1" outlineLevel="1" x14ac:dyDescent="0.3">
      <c r="A1260" s="33" t="s">
        <v>276</v>
      </c>
      <c r="B1260" s="34" t="s">
        <v>277</v>
      </c>
      <c r="C1260" s="50">
        <f>SUMIFS(INDEX(Техника!$F$1:$ABM$500,C$2,0),Техника!$F$4:$ABM$4,"Часы",INDEX(Техника!$G$1:$ABN$500,C$2,0),$A$1257,INDEX(Техника!$H$1:$ABO$500,C$2,0),"П")</f>
        <v>0</v>
      </c>
      <c r="D1260" s="50">
        <f>SUMIFS(INDEX(Техника!$F$1:$ABM$500,D$2,0),Техника!$F$4:$ABM$4,"Часы",INDEX(Техника!$G$1:$ABN$500,D$2,0),$A$1257,INDEX(Техника!$H$1:$ABO$500,D$2,0),"П")</f>
        <v>0</v>
      </c>
      <c r="E1260" s="50">
        <f>SUMIFS(INDEX(Техника!$F$1:$ABM$500,E$2,0),Техника!$F$4:$ABM$4,"Часы",INDEX(Техника!$G$1:$ABN$500,E$2,0),$A$1257,INDEX(Техника!$H$1:$ABO$500,E$2,0),"П")</f>
        <v>0</v>
      </c>
      <c r="F1260" s="50">
        <f>SUMIFS(INDEX(Техника!$F$1:$ABM$500,F$2,0),Техника!$F$4:$ABM$4,"Часы",INDEX(Техника!$G$1:$ABN$500,F$2,0),$A$1257,INDEX(Техника!$H$1:$ABO$500,F$2,0),"П")</f>
        <v>0</v>
      </c>
      <c r="G1260" s="50">
        <f>SUMIFS(INDEX(Техника!$F$1:$ABM$500,G$2,0),Техника!$F$4:$ABM$4,"Часы",INDEX(Техника!$G$1:$ABN$500,G$2,0),$A$1257,INDEX(Техника!$H$1:$ABO$500,G$2,0),"П")</f>
        <v>0</v>
      </c>
      <c r="H1260" s="50">
        <f>SUMIFS(INDEX(Техника!$F$1:$ABM$500,H$2,0),Техника!$F$4:$ABM$4,"Часы",INDEX(Техника!$G$1:$ABN$500,H$2,0),$A$1257,INDEX(Техника!$H$1:$ABO$500,H$2,0),"П")</f>
        <v>0</v>
      </c>
      <c r="I1260" s="50">
        <f>SUMIFS(INDEX(Техника!$F$1:$ABM$500,I$2,0),Техника!$F$4:$ABM$4,"Часы",INDEX(Техника!$G$1:$ABN$500,I$2,0),$A$1257,INDEX(Техника!$H$1:$ABO$500,I$2,0),"П")</f>
        <v>0</v>
      </c>
      <c r="J1260" s="50">
        <f>SUMIFS(INDEX(Техника!$F$1:$ABM$500,J$2,0),Техника!$F$4:$ABM$4,"Часы",INDEX(Техника!$G$1:$ABN$500,J$2,0),$A$1257,INDEX(Техника!$H$1:$ABO$500,J$2,0),"П")</f>
        <v>0</v>
      </c>
      <c r="K1260" s="50">
        <f>SUMIFS(INDEX(Техника!$F$1:$ABM$500,K$2,0),Техника!$F$4:$ABM$4,"Часы",INDEX(Техника!$G$1:$ABN$500,K$2,0),$A$1257,INDEX(Техника!$H$1:$ABO$500,K$2,0),"П")</f>
        <v>0</v>
      </c>
      <c r="L1260" s="50">
        <f>SUMIFS(INDEX(Техника!$F$1:$ABM$500,L$2,0),Техника!$F$4:$ABM$4,"Часы",INDEX(Техника!$G$1:$ABN$500,L$2,0),$A$1257,INDEX(Техника!$H$1:$ABO$500,L$2,0),"П")</f>
        <v>0</v>
      </c>
      <c r="M1260" s="50">
        <f>SUMIFS(INDEX(Техника!$F$1:$ABM$500,M$2,0),Техника!$F$4:$ABM$4,"Часы",INDEX(Техника!$G$1:$ABN$500,M$2,0),$A$1257,INDEX(Техника!$H$1:$ABO$500,M$2,0),"П")</f>
        <v>0</v>
      </c>
      <c r="N1260" s="50">
        <f>SUMIFS(INDEX(Техника!$F$1:$ABM$500,N$2,0),Техника!$F$4:$ABM$4,"Часы",INDEX(Техника!$G$1:$ABN$500,N$2,0),$A$1257,INDEX(Техника!$H$1:$ABO$500,N$2,0),"П")</f>
        <v>0</v>
      </c>
      <c r="O1260" s="50">
        <f>SUMIFS(INDEX(Техника!$F$1:$ABM$500,O$2,0),Техника!$F$4:$ABM$4,"Часы",INDEX(Техника!$G$1:$ABN$500,O$2,0),$A$1257,INDEX(Техника!$H$1:$ABO$500,O$2,0),"П")</f>
        <v>0</v>
      </c>
      <c r="P1260" s="50">
        <f>SUMIFS(INDEX(Техника!$F$1:$ABM$500,P$2,0),Техника!$F$4:$ABM$4,"Часы",INDEX(Техника!$G$1:$ABN$500,P$2,0),$A$1257,INDEX(Техника!$H$1:$ABO$500,P$2,0),"П")</f>
        <v>0</v>
      </c>
      <c r="Q1260" s="50">
        <f>SUMIFS(INDEX(Техника!$F$1:$ABM$500,Q$2,0),Техника!$F$4:$ABM$4,"Часы",INDEX(Техника!$G$1:$ABN$500,Q$2,0),$A$1257,INDEX(Техника!$H$1:$ABO$500,Q$2,0),"П")</f>
        <v>0</v>
      </c>
      <c r="R1260" s="50">
        <f>SUMIFS(INDEX(Техника!$F$1:$ABM$500,R$2,0),Техника!$F$4:$ABM$4,"Часы",INDEX(Техника!$G$1:$ABN$500,R$2,0),$A$1257,INDEX(Техника!$H$1:$ABO$500,R$2,0),"П")</f>
        <v>0</v>
      </c>
      <c r="S1260" s="50">
        <f>SUMIFS(INDEX(Техника!$F$1:$ABM$500,S$2,0),Техника!$F$4:$ABM$4,"Часы",INDEX(Техника!$G$1:$ABN$500,S$2,0),$A$1257,INDEX(Техника!$H$1:$ABO$500,S$2,0),"П")</f>
        <v>0</v>
      </c>
      <c r="T1260" s="50">
        <f>SUMIFS(INDEX(Техника!$F$1:$ABM$500,T$2,0),Техника!$F$4:$ABM$4,"Часы",INDEX(Техника!$G$1:$ABN$500,T$2,0),$A$1257,INDEX(Техника!$H$1:$ABO$500,T$2,0),"П")</f>
        <v>0</v>
      </c>
      <c r="U1260" s="50">
        <f>SUMIFS(INDEX(Техника!$F$1:$ABM$500,U$2,0),Техника!$F$4:$ABM$4,"Часы",INDEX(Техника!$G$1:$ABN$500,U$2,0),$A$1257,INDEX(Техника!$H$1:$ABO$500,U$2,0),"П")</f>
        <v>0</v>
      </c>
      <c r="V1260" s="50">
        <f>SUMIFS(INDEX(Техника!$F$1:$ABM$500,V$2,0),Техника!$F$4:$ABM$4,"Часы",INDEX(Техника!$G$1:$ABN$500,V$2,0),$A$1257,INDEX(Техника!$H$1:$ABO$500,V$2,0),"П")</f>
        <v>0</v>
      </c>
      <c r="W1260" s="50">
        <f>SUMIFS(INDEX(Техника!$F$1:$ABM$500,W$2,0),Техника!$F$4:$ABM$4,"Часы",INDEX(Техника!$G$1:$ABN$500,W$2,0),$A$1257,INDEX(Техника!$H$1:$ABO$500,W$2,0),"П")</f>
        <v>0</v>
      </c>
      <c r="X1260" s="50">
        <f>SUMIFS(INDEX(Техника!$F$1:$ABM$500,X$2,0),Техника!$F$4:$ABM$4,"Часы",INDEX(Техника!$G$1:$ABN$500,X$2,0),$A$1257,INDEX(Техника!$H$1:$ABO$500,X$2,0),"П")</f>
        <v>0</v>
      </c>
      <c r="Y1260" s="50">
        <f>SUMIFS(INDEX(Техника!$F$1:$ABM$500,Y$2,0),Техника!$F$4:$ABM$4,"Часы",INDEX(Техника!$G$1:$ABN$500,Y$2,0),$A$1257,INDEX(Техника!$H$1:$ABO$500,Y$2,0),"П")</f>
        <v>0</v>
      </c>
      <c r="Z1260" s="50">
        <f>SUMIFS(INDEX(Техника!$F$1:$ABM$500,Z$2,0),Техника!$F$4:$ABM$4,"Часы",INDEX(Техника!$G$1:$ABN$500,Z$2,0),$A$1257,INDEX(Техника!$H$1:$ABO$500,Z$2,0),"П")</f>
        <v>0</v>
      </c>
      <c r="AA1260" s="50">
        <f>SUMIFS(INDEX(Техника!$F$1:$ABM$500,AA$2,0),Техника!$F$4:$ABM$4,"Часы",INDEX(Техника!$G$1:$ABN$500,AA$2,0),$A$1257,INDEX(Техника!$H$1:$ABO$500,AA$2,0),"П")</f>
        <v>0</v>
      </c>
      <c r="AB1260" s="50">
        <f>SUMIFS(INDEX(Техника!$F$1:$ABM$500,AB$2,0),Техника!$F$4:$ABM$4,"Часы",INDEX(Техника!$G$1:$ABN$500,AB$2,0),$A$1257,INDEX(Техника!$H$1:$ABO$500,AB$2,0),"П")</f>
        <v>0</v>
      </c>
    </row>
    <row r="1261" spans="1:28" hidden="1" outlineLevel="1" x14ac:dyDescent="0.3">
      <c r="A1261" s="33" t="s">
        <v>243</v>
      </c>
      <c r="B1261" s="34" t="s">
        <v>278</v>
      </c>
      <c r="C1261" s="50">
        <f>SUMIFS(INDEX(Техника!$F$1:$ABM$500,C$2,0),Техника!$F$4:$ABM$4,"Часы",INDEX(Техника!$G$1:$ABN$500,C$2,0),$A$1257,INDEX(Техника!$H$1:$ABO$500,C$2,0),"Л")</f>
        <v>0</v>
      </c>
      <c r="D1261" s="50">
        <f>SUMIFS(INDEX(Техника!$F$1:$ABM$500,D$2,0),Техника!$F$4:$ABM$4,"Часы",INDEX(Техника!$G$1:$ABN$500,D$2,0),$A$1257,INDEX(Техника!$H$1:$ABO$500,D$2,0),"Л")</f>
        <v>0</v>
      </c>
      <c r="E1261" s="50">
        <f>SUMIFS(INDEX(Техника!$F$1:$ABM$500,E$2,0),Техника!$F$4:$ABM$4,"Часы",INDEX(Техника!$G$1:$ABN$500,E$2,0),$A$1257,INDEX(Техника!$H$1:$ABO$500,E$2,0),"Л")</f>
        <v>0</v>
      </c>
      <c r="F1261" s="50">
        <f>SUMIFS(INDEX(Техника!$F$1:$ABM$500,F$2,0),Техника!$F$4:$ABM$4,"Часы",INDEX(Техника!$G$1:$ABN$500,F$2,0),$A$1257,INDEX(Техника!$H$1:$ABO$500,F$2,0),"Л")</f>
        <v>0</v>
      </c>
      <c r="G1261" s="50">
        <f>SUMIFS(INDEX(Техника!$F$1:$ABM$500,G$2,0),Техника!$F$4:$ABM$4,"Часы",INDEX(Техника!$G$1:$ABN$500,G$2,0),$A$1257,INDEX(Техника!$H$1:$ABO$500,G$2,0),"Л")</f>
        <v>0</v>
      </c>
      <c r="H1261" s="50">
        <f>SUMIFS(INDEX(Техника!$F$1:$ABM$500,H$2,0),Техника!$F$4:$ABM$4,"Часы",INDEX(Техника!$G$1:$ABN$500,H$2,0),$A$1257,INDEX(Техника!$H$1:$ABO$500,H$2,0),"Л")</f>
        <v>0</v>
      </c>
      <c r="I1261" s="50">
        <f>SUMIFS(INDEX(Техника!$F$1:$ABM$500,I$2,0),Техника!$F$4:$ABM$4,"Часы",INDEX(Техника!$G$1:$ABN$500,I$2,0),$A$1257,INDEX(Техника!$H$1:$ABO$500,I$2,0),"Л")</f>
        <v>0</v>
      </c>
      <c r="J1261" s="50">
        <f>SUMIFS(INDEX(Техника!$F$1:$ABM$500,J$2,0),Техника!$F$4:$ABM$4,"Часы",INDEX(Техника!$G$1:$ABN$500,J$2,0),$A$1257,INDEX(Техника!$H$1:$ABO$500,J$2,0),"Л")</f>
        <v>0</v>
      </c>
      <c r="K1261" s="50">
        <f>SUMIFS(INDEX(Техника!$F$1:$ABM$500,K$2,0),Техника!$F$4:$ABM$4,"Часы",INDEX(Техника!$G$1:$ABN$500,K$2,0),$A$1257,INDEX(Техника!$H$1:$ABO$500,K$2,0),"Л")</f>
        <v>0</v>
      </c>
      <c r="L1261" s="50">
        <f>SUMIFS(INDEX(Техника!$F$1:$ABM$500,L$2,0),Техника!$F$4:$ABM$4,"Часы",INDEX(Техника!$G$1:$ABN$500,L$2,0),$A$1257,INDEX(Техника!$H$1:$ABO$500,L$2,0),"Л")</f>
        <v>0</v>
      </c>
      <c r="M1261" s="50">
        <f>SUMIFS(INDEX(Техника!$F$1:$ABM$500,M$2,0),Техника!$F$4:$ABM$4,"Часы",INDEX(Техника!$G$1:$ABN$500,M$2,0),$A$1257,INDEX(Техника!$H$1:$ABO$500,M$2,0),"Л")</f>
        <v>0</v>
      </c>
      <c r="N1261" s="50">
        <f>SUMIFS(INDEX(Техника!$F$1:$ABM$500,N$2,0),Техника!$F$4:$ABM$4,"Часы",INDEX(Техника!$G$1:$ABN$500,N$2,0),$A$1257,INDEX(Техника!$H$1:$ABO$500,N$2,0),"Л")</f>
        <v>0</v>
      </c>
      <c r="O1261" s="50">
        <f>SUMIFS(INDEX(Техника!$F$1:$ABM$500,O$2,0),Техника!$F$4:$ABM$4,"Часы",INDEX(Техника!$G$1:$ABN$500,O$2,0),$A$1257,INDEX(Техника!$H$1:$ABO$500,O$2,0),"Л")</f>
        <v>0</v>
      </c>
      <c r="P1261" s="50">
        <f>SUMIFS(INDEX(Техника!$F$1:$ABM$500,P$2,0),Техника!$F$4:$ABM$4,"Часы",INDEX(Техника!$G$1:$ABN$500,P$2,0),$A$1257,INDEX(Техника!$H$1:$ABO$500,P$2,0),"Л")</f>
        <v>0</v>
      </c>
      <c r="Q1261" s="50">
        <f>SUMIFS(INDEX(Техника!$F$1:$ABM$500,Q$2,0),Техника!$F$4:$ABM$4,"Часы",INDEX(Техника!$G$1:$ABN$500,Q$2,0),$A$1257,INDEX(Техника!$H$1:$ABO$500,Q$2,0),"Л")</f>
        <v>0</v>
      </c>
      <c r="R1261" s="50">
        <f>SUMIFS(INDEX(Техника!$F$1:$ABM$500,R$2,0),Техника!$F$4:$ABM$4,"Часы",INDEX(Техника!$G$1:$ABN$500,R$2,0),$A$1257,INDEX(Техника!$H$1:$ABO$500,R$2,0),"Л")</f>
        <v>0</v>
      </c>
      <c r="S1261" s="50">
        <f>SUMIFS(INDEX(Техника!$F$1:$ABM$500,S$2,0),Техника!$F$4:$ABM$4,"Часы",INDEX(Техника!$G$1:$ABN$500,S$2,0),$A$1257,INDEX(Техника!$H$1:$ABO$500,S$2,0),"Л")</f>
        <v>0</v>
      </c>
      <c r="T1261" s="50">
        <f>SUMIFS(INDEX(Техника!$F$1:$ABM$500,T$2,0),Техника!$F$4:$ABM$4,"Часы",INDEX(Техника!$G$1:$ABN$500,T$2,0),$A$1257,INDEX(Техника!$H$1:$ABO$500,T$2,0),"Л")</f>
        <v>0</v>
      </c>
      <c r="U1261" s="50">
        <f>SUMIFS(INDEX(Техника!$F$1:$ABM$500,U$2,0),Техника!$F$4:$ABM$4,"Часы",INDEX(Техника!$G$1:$ABN$500,U$2,0),$A$1257,INDEX(Техника!$H$1:$ABO$500,U$2,0),"Л")</f>
        <v>0</v>
      </c>
      <c r="V1261" s="50">
        <f>SUMIFS(INDEX(Техника!$F$1:$ABM$500,V$2,0),Техника!$F$4:$ABM$4,"Часы",INDEX(Техника!$G$1:$ABN$500,V$2,0),$A$1257,INDEX(Техника!$H$1:$ABO$500,V$2,0),"Л")</f>
        <v>0</v>
      </c>
      <c r="W1261" s="50">
        <f>SUMIFS(INDEX(Техника!$F$1:$ABM$500,W$2,0),Техника!$F$4:$ABM$4,"Часы",INDEX(Техника!$G$1:$ABN$500,W$2,0),$A$1257,INDEX(Техника!$H$1:$ABO$500,W$2,0),"Л")</f>
        <v>0</v>
      </c>
      <c r="X1261" s="50">
        <f>SUMIFS(INDEX(Техника!$F$1:$ABM$500,X$2,0),Техника!$F$4:$ABM$4,"Часы",INDEX(Техника!$G$1:$ABN$500,X$2,0),$A$1257,INDEX(Техника!$H$1:$ABO$500,X$2,0),"Л")</f>
        <v>0</v>
      </c>
      <c r="Y1261" s="50">
        <f>SUMIFS(INDEX(Техника!$F$1:$ABM$500,Y$2,0),Техника!$F$4:$ABM$4,"Часы",INDEX(Техника!$G$1:$ABN$500,Y$2,0),$A$1257,INDEX(Техника!$H$1:$ABO$500,Y$2,0),"Л")</f>
        <v>0</v>
      </c>
      <c r="Z1261" s="50">
        <f>SUMIFS(INDEX(Техника!$F$1:$ABM$500,Z$2,0),Техника!$F$4:$ABM$4,"Часы",INDEX(Техника!$G$1:$ABN$500,Z$2,0),$A$1257,INDEX(Техника!$H$1:$ABO$500,Z$2,0),"Л")</f>
        <v>0</v>
      </c>
      <c r="AA1261" s="50">
        <f>SUMIFS(INDEX(Техника!$F$1:$ABM$500,AA$2,0),Техника!$F$4:$ABM$4,"Часы",INDEX(Техника!$G$1:$ABN$500,AA$2,0),$A$1257,INDEX(Техника!$H$1:$ABO$500,AA$2,0),"Л")</f>
        <v>0</v>
      </c>
      <c r="AB1261" s="50">
        <f>SUMIFS(INDEX(Техника!$F$1:$ABM$500,AB$2,0),Техника!$F$4:$ABM$4,"Часы",INDEX(Техника!$G$1:$ABN$500,AB$2,0),$A$1257,INDEX(Техника!$H$1:$ABO$500,AB$2,0),"Л")</f>
        <v>0</v>
      </c>
    </row>
    <row r="1262" spans="1:28" hidden="1" outlineLevel="1" x14ac:dyDescent="0.3">
      <c r="A1262" s="33" t="s">
        <v>245</v>
      </c>
      <c r="B1262" s="34" t="s">
        <v>279</v>
      </c>
      <c r="C1262" s="50">
        <f>SUMIFS(INDEX(Техника!$F$1:$ABM$500,C$2,0),Техника!$F$4:$ABM$4,"Часы",INDEX(Техника!$G$1:$ABN$500,C$2,0),$A$1257,INDEX(Техника!$H$1:$ABO$500,C$2,0),"З")</f>
        <v>0</v>
      </c>
      <c r="D1262" s="50">
        <f>SUMIFS(INDEX(Техника!$F$1:$ABM$500,D$2,0),Техника!$F$4:$ABM$4,"Часы",INDEX(Техника!$G$1:$ABN$500,D$2,0),$A$1257,INDEX(Техника!$H$1:$ABO$500,D$2,0),"З")</f>
        <v>0</v>
      </c>
      <c r="E1262" s="50">
        <f>SUMIFS(INDEX(Техника!$F$1:$ABM$500,E$2,0),Техника!$F$4:$ABM$4,"Часы",INDEX(Техника!$G$1:$ABN$500,E$2,0),$A$1257,INDEX(Техника!$H$1:$ABO$500,E$2,0),"З")</f>
        <v>0</v>
      </c>
      <c r="F1262" s="50">
        <f>SUMIFS(INDEX(Техника!$F$1:$ABM$500,F$2,0),Техника!$F$4:$ABM$4,"Часы",INDEX(Техника!$G$1:$ABN$500,F$2,0),$A$1257,INDEX(Техника!$H$1:$ABO$500,F$2,0),"З")</f>
        <v>0</v>
      </c>
      <c r="G1262" s="50">
        <f>SUMIFS(INDEX(Техника!$F$1:$ABM$500,G$2,0),Техника!$F$4:$ABM$4,"Часы",INDEX(Техника!$G$1:$ABN$500,G$2,0),$A$1257,INDEX(Техника!$H$1:$ABO$500,G$2,0),"З")</f>
        <v>0</v>
      </c>
      <c r="H1262" s="50">
        <f>SUMIFS(INDEX(Техника!$F$1:$ABM$500,H$2,0),Техника!$F$4:$ABM$4,"Часы",INDEX(Техника!$G$1:$ABN$500,H$2,0),$A$1257,INDEX(Техника!$H$1:$ABO$500,H$2,0),"З")</f>
        <v>0</v>
      </c>
      <c r="I1262" s="50">
        <f>SUMIFS(INDEX(Техника!$F$1:$ABM$500,I$2,0),Техника!$F$4:$ABM$4,"Часы",INDEX(Техника!$G$1:$ABN$500,I$2,0),$A$1257,INDEX(Техника!$H$1:$ABO$500,I$2,0),"З")</f>
        <v>0</v>
      </c>
      <c r="J1262" s="50">
        <f>SUMIFS(INDEX(Техника!$F$1:$ABM$500,J$2,0),Техника!$F$4:$ABM$4,"Часы",INDEX(Техника!$G$1:$ABN$500,J$2,0),$A$1257,INDEX(Техника!$H$1:$ABO$500,J$2,0),"З")</f>
        <v>0</v>
      </c>
      <c r="K1262" s="50">
        <f>SUMIFS(INDEX(Техника!$F$1:$ABM$500,K$2,0),Техника!$F$4:$ABM$4,"Часы",INDEX(Техника!$G$1:$ABN$500,K$2,0),$A$1257,INDEX(Техника!$H$1:$ABO$500,K$2,0),"З")</f>
        <v>0</v>
      </c>
      <c r="L1262" s="50">
        <f>SUMIFS(INDEX(Техника!$F$1:$ABM$500,L$2,0),Техника!$F$4:$ABM$4,"Часы",INDEX(Техника!$G$1:$ABN$500,L$2,0),$A$1257,INDEX(Техника!$H$1:$ABO$500,L$2,0),"З")</f>
        <v>0</v>
      </c>
      <c r="M1262" s="50">
        <f>SUMIFS(INDEX(Техника!$F$1:$ABM$500,M$2,0),Техника!$F$4:$ABM$4,"Часы",INDEX(Техника!$G$1:$ABN$500,M$2,0),$A$1257,INDEX(Техника!$H$1:$ABO$500,M$2,0),"З")</f>
        <v>0</v>
      </c>
      <c r="N1262" s="50">
        <f>SUMIFS(INDEX(Техника!$F$1:$ABM$500,N$2,0),Техника!$F$4:$ABM$4,"Часы",INDEX(Техника!$G$1:$ABN$500,N$2,0),$A$1257,INDEX(Техника!$H$1:$ABO$500,N$2,0),"З")</f>
        <v>0</v>
      </c>
      <c r="O1262" s="50">
        <f>SUMIFS(INDEX(Техника!$F$1:$ABM$500,O$2,0),Техника!$F$4:$ABM$4,"Часы",INDEX(Техника!$G$1:$ABN$500,O$2,0),$A$1257,INDEX(Техника!$H$1:$ABO$500,O$2,0),"З")</f>
        <v>0</v>
      </c>
      <c r="P1262" s="50">
        <f>SUMIFS(INDEX(Техника!$F$1:$ABM$500,P$2,0),Техника!$F$4:$ABM$4,"Часы",INDEX(Техника!$G$1:$ABN$500,P$2,0),$A$1257,INDEX(Техника!$H$1:$ABO$500,P$2,0),"З")</f>
        <v>0</v>
      </c>
      <c r="Q1262" s="50">
        <f>SUMIFS(INDEX(Техника!$F$1:$ABM$500,Q$2,0),Техника!$F$4:$ABM$4,"Часы",INDEX(Техника!$G$1:$ABN$500,Q$2,0),$A$1257,INDEX(Техника!$H$1:$ABO$500,Q$2,0),"З")</f>
        <v>0</v>
      </c>
      <c r="R1262" s="50">
        <f>SUMIFS(INDEX(Техника!$F$1:$ABM$500,R$2,0),Техника!$F$4:$ABM$4,"Часы",INDEX(Техника!$G$1:$ABN$500,R$2,0),$A$1257,INDEX(Техника!$H$1:$ABO$500,R$2,0),"З")</f>
        <v>0</v>
      </c>
      <c r="S1262" s="50">
        <f>SUMIFS(INDEX(Техника!$F$1:$ABM$500,S$2,0),Техника!$F$4:$ABM$4,"Часы",INDEX(Техника!$G$1:$ABN$500,S$2,0),$A$1257,INDEX(Техника!$H$1:$ABO$500,S$2,0),"З")</f>
        <v>0</v>
      </c>
      <c r="T1262" s="50">
        <f>SUMIFS(INDEX(Техника!$F$1:$ABM$500,T$2,0),Техника!$F$4:$ABM$4,"Часы",INDEX(Техника!$G$1:$ABN$500,T$2,0),$A$1257,INDEX(Техника!$H$1:$ABO$500,T$2,0),"З")</f>
        <v>0</v>
      </c>
      <c r="U1262" s="50">
        <f>SUMIFS(INDEX(Техника!$F$1:$ABM$500,U$2,0),Техника!$F$4:$ABM$4,"Часы",INDEX(Техника!$G$1:$ABN$500,U$2,0),$A$1257,INDEX(Техника!$H$1:$ABO$500,U$2,0),"З")</f>
        <v>0</v>
      </c>
      <c r="V1262" s="50">
        <f>SUMIFS(INDEX(Техника!$F$1:$ABM$500,V$2,0),Техника!$F$4:$ABM$4,"Часы",INDEX(Техника!$G$1:$ABN$500,V$2,0),$A$1257,INDEX(Техника!$H$1:$ABO$500,V$2,0),"З")</f>
        <v>0</v>
      </c>
      <c r="W1262" s="50">
        <f>SUMIFS(INDEX(Техника!$F$1:$ABM$500,W$2,0),Техника!$F$4:$ABM$4,"Часы",INDEX(Техника!$G$1:$ABN$500,W$2,0),$A$1257,INDEX(Техника!$H$1:$ABO$500,W$2,0),"З")</f>
        <v>0</v>
      </c>
      <c r="X1262" s="50">
        <f>SUMIFS(INDEX(Техника!$F$1:$ABM$500,X$2,0),Техника!$F$4:$ABM$4,"Часы",INDEX(Техника!$G$1:$ABN$500,X$2,0),$A$1257,INDEX(Техника!$H$1:$ABO$500,X$2,0),"З")</f>
        <v>0</v>
      </c>
      <c r="Y1262" s="50">
        <f>SUMIFS(INDEX(Техника!$F$1:$ABM$500,Y$2,0),Техника!$F$4:$ABM$4,"Часы",INDEX(Техника!$G$1:$ABN$500,Y$2,0),$A$1257,INDEX(Техника!$H$1:$ABO$500,Y$2,0),"З")</f>
        <v>0</v>
      </c>
      <c r="Z1262" s="50">
        <f>SUMIFS(INDEX(Техника!$F$1:$ABM$500,Z$2,0),Техника!$F$4:$ABM$4,"Часы",INDEX(Техника!$G$1:$ABN$500,Z$2,0),$A$1257,INDEX(Техника!$H$1:$ABO$500,Z$2,0),"З")</f>
        <v>0</v>
      </c>
      <c r="AA1262" s="50">
        <f>SUMIFS(INDEX(Техника!$F$1:$ABM$500,AA$2,0),Техника!$F$4:$ABM$4,"Часы",INDEX(Техника!$G$1:$ABN$500,AA$2,0),$A$1257,INDEX(Техника!$H$1:$ABO$500,AA$2,0),"З")</f>
        <v>0</v>
      </c>
      <c r="AB1262" s="50">
        <f>SUMIFS(INDEX(Техника!$F$1:$ABM$500,AB$2,0),Техника!$F$4:$ABM$4,"Часы",INDEX(Техника!$G$1:$ABN$500,AB$2,0),$A$1257,INDEX(Техника!$H$1:$ABO$500,AB$2,0),"З")</f>
        <v>0</v>
      </c>
    </row>
    <row r="1263" spans="1:28" ht="7.95" customHeight="1" x14ac:dyDescent="0.3">
      <c r="A1263" s="38"/>
      <c r="B1263" s="39"/>
      <c r="C1263" s="51"/>
      <c r="D1263" s="51"/>
      <c r="E1263" s="51"/>
      <c r="F1263" s="51"/>
      <c r="G1263" s="51"/>
      <c r="H1263" s="51"/>
      <c r="I1263" s="51"/>
      <c r="J1263" s="51"/>
      <c r="K1263" s="51"/>
      <c r="L1263" s="51"/>
      <c r="M1263" s="51"/>
      <c r="N1263" s="51"/>
      <c r="O1263" s="51"/>
      <c r="P1263" s="51"/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1"/>
    </row>
    <row r="1264" spans="1:28" ht="25.05" customHeight="1" collapsed="1" x14ac:dyDescent="0.3">
      <c r="A1264" s="32">
        <v>181</v>
      </c>
      <c r="B1264" s="32" t="s">
        <v>182</v>
      </c>
      <c r="C1264" s="49">
        <f>SUM(C1265:C1269)</f>
        <v>0</v>
      </c>
      <c r="D1264" s="49">
        <f>SUM(D1265:D1269)</f>
        <v>0</v>
      </c>
      <c r="E1264" s="49">
        <f>SUM(E1265:E1269)</f>
        <v>0</v>
      </c>
      <c r="F1264" s="49">
        <f>SUM(F1265:F1269)</f>
        <v>0</v>
      </c>
      <c r="G1264" s="49">
        <f>SUM(G1265:G1269)</f>
        <v>0</v>
      </c>
      <c r="H1264" s="49">
        <f>SUM(H1265:H1269)</f>
        <v>0</v>
      </c>
      <c r="I1264" s="49">
        <f>SUM(I1265:I1269)</f>
        <v>0</v>
      </c>
      <c r="J1264" s="49">
        <f>SUM(J1265:J1269)</f>
        <v>0</v>
      </c>
      <c r="K1264" s="49">
        <f>SUM(K1265:K1269)</f>
        <v>0</v>
      </c>
      <c r="L1264" s="49">
        <f>SUM(L1265:L1269)</f>
        <v>0</v>
      </c>
      <c r="M1264" s="49">
        <f>SUM(M1265:M1269)</f>
        <v>0</v>
      </c>
      <c r="N1264" s="49">
        <f>SUM(N1265:N1269)</f>
        <v>0</v>
      </c>
      <c r="O1264" s="49">
        <f>SUM(O1265:O1269)</f>
        <v>0</v>
      </c>
      <c r="P1264" s="49">
        <f>SUM(P1265:P1269)</f>
        <v>0</v>
      </c>
      <c r="Q1264" s="49">
        <f>SUM(Q1265:Q1269)</f>
        <v>0</v>
      </c>
      <c r="R1264" s="49">
        <f>SUM(R1265:R1269)</f>
        <v>0</v>
      </c>
      <c r="S1264" s="49">
        <f>SUM(S1265:S1269)</f>
        <v>0</v>
      </c>
      <c r="T1264" s="49">
        <f>SUM(T1265:T1269)</f>
        <v>0</v>
      </c>
      <c r="U1264" s="49">
        <f>SUM(U1265:U1269)</f>
        <v>0</v>
      </c>
      <c r="V1264" s="49">
        <f>SUM(V1265:V1269)</f>
        <v>0</v>
      </c>
      <c r="W1264" s="49">
        <f>SUM(W1265:W1269)</f>
        <v>0</v>
      </c>
      <c r="X1264" s="49">
        <f>SUM(X1265:X1269)</f>
        <v>0</v>
      </c>
      <c r="Y1264" s="49">
        <f>SUM(Y1265:Y1269)</f>
        <v>0</v>
      </c>
      <c r="Z1264" s="49">
        <f>SUM(Z1265:Z1269)</f>
        <v>0</v>
      </c>
      <c r="AA1264" s="49">
        <f>SUM(AA1265:AA1269)</f>
        <v>0</v>
      </c>
      <c r="AB1264" s="49">
        <f>SUM(AB1265:AB1269)</f>
        <v>0</v>
      </c>
    </row>
    <row r="1265" spans="1:28" hidden="1" outlineLevel="1" x14ac:dyDescent="0.3">
      <c r="A1265" s="33" t="s">
        <v>246</v>
      </c>
      <c r="B1265" s="34" t="s">
        <v>274</v>
      </c>
      <c r="C1265" s="50">
        <f>SUMIFS(INDEX(Техника!$F$1:$ABM$500,C$2,0),Техника!$F$4:$ABM$4,"Часы",INDEX(Техника!$G$1:$ABN$500,C$2,0),$A$1264,INDEX(Техника!$H$1:$ABO$500,C$2,0),"М")</f>
        <v>0</v>
      </c>
      <c r="D1265" s="50">
        <f>SUMIFS(INDEX(Техника!$F$1:$ABM$500,D$2,0),Техника!$F$4:$ABM$4,"Часы",INDEX(Техника!$G$1:$ABN$500,D$2,0),$A$1264,INDEX(Техника!$H$1:$ABO$500,D$2,0),"М")</f>
        <v>0</v>
      </c>
      <c r="E1265" s="50">
        <f>SUMIFS(INDEX(Техника!$F$1:$ABM$500,E$2,0),Техника!$F$4:$ABM$4,"Часы",INDEX(Техника!$G$1:$ABN$500,E$2,0),$A$1264,INDEX(Техника!$H$1:$ABO$500,E$2,0),"М")</f>
        <v>0</v>
      </c>
      <c r="F1265" s="50">
        <f>SUMIFS(INDEX(Техника!$F$1:$ABM$500,F$2,0),Техника!$F$4:$ABM$4,"Часы",INDEX(Техника!$G$1:$ABN$500,F$2,0),$A$1264,INDEX(Техника!$H$1:$ABO$500,F$2,0),"М")</f>
        <v>0</v>
      </c>
      <c r="G1265" s="50">
        <f>SUMIFS(INDEX(Техника!$F$1:$ABM$500,G$2,0),Техника!$F$4:$ABM$4,"Часы",INDEX(Техника!$G$1:$ABN$500,G$2,0),$A$1264,INDEX(Техника!$H$1:$ABO$500,G$2,0),"М")</f>
        <v>0</v>
      </c>
      <c r="H1265" s="50">
        <f>SUMIFS(INDEX(Техника!$F$1:$ABM$500,H$2,0),Техника!$F$4:$ABM$4,"Часы",INDEX(Техника!$G$1:$ABN$500,H$2,0),$A$1264,INDEX(Техника!$H$1:$ABO$500,H$2,0),"М")</f>
        <v>0</v>
      </c>
      <c r="I1265" s="50">
        <f>SUMIFS(INDEX(Техника!$F$1:$ABM$500,I$2,0),Техника!$F$4:$ABM$4,"Часы",INDEX(Техника!$G$1:$ABN$500,I$2,0),$A$1264,INDEX(Техника!$H$1:$ABO$500,I$2,0),"М")</f>
        <v>0</v>
      </c>
      <c r="J1265" s="50">
        <f>SUMIFS(INDEX(Техника!$F$1:$ABM$500,J$2,0),Техника!$F$4:$ABM$4,"Часы",INDEX(Техника!$G$1:$ABN$500,J$2,0),$A$1264,INDEX(Техника!$H$1:$ABO$500,J$2,0),"М")</f>
        <v>0</v>
      </c>
      <c r="K1265" s="50">
        <f>SUMIFS(INDEX(Техника!$F$1:$ABM$500,K$2,0),Техника!$F$4:$ABM$4,"Часы",INDEX(Техника!$G$1:$ABN$500,K$2,0),$A$1264,INDEX(Техника!$H$1:$ABO$500,K$2,0),"М")</f>
        <v>0</v>
      </c>
      <c r="L1265" s="50">
        <f>SUMIFS(INDEX(Техника!$F$1:$ABM$500,L$2,0),Техника!$F$4:$ABM$4,"Часы",INDEX(Техника!$G$1:$ABN$500,L$2,0),$A$1264,INDEX(Техника!$H$1:$ABO$500,L$2,0),"М")</f>
        <v>0</v>
      </c>
      <c r="M1265" s="50">
        <f>SUMIFS(INDEX(Техника!$F$1:$ABM$500,M$2,0),Техника!$F$4:$ABM$4,"Часы",INDEX(Техника!$G$1:$ABN$500,M$2,0),$A$1264,INDEX(Техника!$H$1:$ABO$500,M$2,0),"М")</f>
        <v>0</v>
      </c>
      <c r="N1265" s="50">
        <f>SUMIFS(INDEX(Техника!$F$1:$ABM$500,N$2,0),Техника!$F$4:$ABM$4,"Часы",INDEX(Техника!$G$1:$ABN$500,N$2,0),$A$1264,INDEX(Техника!$H$1:$ABO$500,N$2,0),"М")</f>
        <v>0</v>
      </c>
      <c r="O1265" s="50">
        <f>SUMIFS(INDEX(Техника!$F$1:$ABM$500,O$2,0),Техника!$F$4:$ABM$4,"Часы",INDEX(Техника!$G$1:$ABN$500,O$2,0),$A$1264,INDEX(Техника!$H$1:$ABO$500,O$2,0),"М")</f>
        <v>0</v>
      </c>
      <c r="P1265" s="50">
        <f>SUMIFS(INDEX(Техника!$F$1:$ABM$500,P$2,0),Техника!$F$4:$ABM$4,"Часы",INDEX(Техника!$G$1:$ABN$500,P$2,0),$A$1264,INDEX(Техника!$H$1:$ABO$500,P$2,0),"М")</f>
        <v>0</v>
      </c>
      <c r="Q1265" s="50">
        <f>SUMIFS(INDEX(Техника!$F$1:$ABM$500,Q$2,0),Техника!$F$4:$ABM$4,"Часы",INDEX(Техника!$G$1:$ABN$500,Q$2,0),$A$1264,INDEX(Техника!$H$1:$ABO$500,Q$2,0),"М")</f>
        <v>0</v>
      </c>
      <c r="R1265" s="50">
        <f>SUMIFS(INDEX(Техника!$F$1:$ABM$500,R$2,0),Техника!$F$4:$ABM$4,"Часы",INDEX(Техника!$G$1:$ABN$500,R$2,0),$A$1264,INDEX(Техника!$H$1:$ABO$500,R$2,0),"М")</f>
        <v>0</v>
      </c>
      <c r="S1265" s="50">
        <f>SUMIFS(INDEX(Техника!$F$1:$ABM$500,S$2,0),Техника!$F$4:$ABM$4,"Часы",INDEX(Техника!$G$1:$ABN$500,S$2,0),$A$1264,INDEX(Техника!$H$1:$ABO$500,S$2,0),"М")</f>
        <v>0</v>
      </c>
      <c r="T1265" s="50">
        <f>SUMIFS(INDEX(Техника!$F$1:$ABM$500,T$2,0),Техника!$F$4:$ABM$4,"Часы",INDEX(Техника!$G$1:$ABN$500,T$2,0),$A$1264,INDEX(Техника!$H$1:$ABO$500,T$2,0),"М")</f>
        <v>0</v>
      </c>
      <c r="U1265" s="50">
        <f>SUMIFS(INDEX(Техника!$F$1:$ABM$500,U$2,0),Техника!$F$4:$ABM$4,"Часы",INDEX(Техника!$G$1:$ABN$500,U$2,0),$A$1264,INDEX(Техника!$H$1:$ABO$500,U$2,0),"М")</f>
        <v>0</v>
      </c>
      <c r="V1265" s="50">
        <f>SUMIFS(INDEX(Техника!$F$1:$ABM$500,V$2,0),Техника!$F$4:$ABM$4,"Часы",INDEX(Техника!$G$1:$ABN$500,V$2,0),$A$1264,INDEX(Техника!$H$1:$ABO$500,V$2,0),"М")</f>
        <v>0</v>
      </c>
      <c r="W1265" s="50">
        <f>SUMIFS(INDEX(Техника!$F$1:$ABM$500,W$2,0),Техника!$F$4:$ABM$4,"Часы",INDEX(Техника!$G$1:$ABN$500,W$2,0),$A$1264,INDEX(Техника!$H$1:$ABO$500,W$2,0),"М")</f>
        <v>0</v>
      </c>
      <c r="X1265" s="50">
        <f>SUMIFS(INDEX(Техника!$F$1:$ABM$500,X$2,0),Техника!$F$4:$ABM$4,"Часы",INDEX(Техника!$G$1:$ABN$500,X$2,0),$A$1264,INDEX(Техника!$H$1:$ABO$500,X$2,0),"М")</f>
        <v>0</v>
      </c>
      <c r="Y1265" s="50">
        <f>SUMIFS(INDEX(Техника!$F$1:$ABM$500,Y$2,0),Техника!$F$4:$ABM$4,"Часы",INDEX(Техника!$G$1:$ABN$500,Y$2,0),$A$1264,INDEX(Техника!$H$1:$ABO$500,Y$2,0),"М")</f>
        <v>0</v>
      </c>
      <c r="Z1265" s="50">
        <f>SUMIFS(INDEX(Техника!$F$1:$ABM$500,Z$2,0),Техника!$F$4:$ABM$4,"Часы",INDEX(Техника!$G$1:$ABN$500,Z$2,0),$A$1264,INDEX(Техника!$H$1:$ABO$500,Z$2,0),"М")</f>
        <v>0</v>
      </c>
      <c r="AA1265" s="50">
        <f>SUMIFS(INDEX(Техника!$F$1:$ABM$500,AA$2,0),Техника!$F$4:$ABM$4,"Часы",INDEX(Техника!$G$1:$ABN$500,AA$2,0),$A$1264,INDEX(Техника!$H$1:$ABO$500,AA$2,0),"М")</f>
        <v>0</v>
      </c>
      <c r="AB1265" s="50">
        <f>SUMIFS(INDEX(Техника!$F$1:$ABM$500,AB$2,0),Техника!$F$4:$ABM$4,"Часы",INDEX(Техника!$G$1:$ABN$500,AB$2,0),$A$1264,INDEX(Техника!$H$1:$ABO$500,AB$2,0),"М")</f>
        <v>0</v>
      </c>
    </row>
    <row r="1266" spans="1:28" hidden="1" outlineLevel="1" x14ac:dyDescent="0.3">
      <c r="A1266" s="33" t="s">
        <v>244</v>
      </c>
      <c r="B1266" s="34" t="s">
        <v>275</v>
      </c>
      <c r="C1266" s="50">
        <f>SUMIFS(INDEX(Техника!$F$1:$ABM$500,C$2,0),Техника!$F$4:$ABM$4,"Часы",INDEX(Техника!$G$1:$ABN$500,C$2,0),$A$1264,INDEX(Техника!$H$1:$ABO$500,C$2,0),"Д")</f>
        <v>0</v>
      </c>
      <c r="D1266" s="50">
        <f>SUMIFS(INDEX(Техника!$F$1:$ABM$500,D$2,0),Техника!$F$4:$ABM$4,"Часы",INDEX(Техника!$G$1:$ABN$500,D$2,0),$A$1264,INDEX(Техника!$H$1:$ABO$500,D$2,0),"Д")</f>
        <v>0</v>
      </c>
      <c r="E1266" s="50">
        <f>SUMIFS(INDEX(Техника!$F$1:$ABM$500,E$2,0),Техника!$F$4:$ABM$4,"Часы",INDEX(Техника!$G$1:$ABN$500,E$2,0),$A$1264,INDEX(Техника!$H$1:$ABO$500,E$2,0),"Д")</f>
        <v>0</v>
      </c>
      <c r="F1266" s="50">
        <f>SUMIFS(INDEX(Техника!$F$1:$ABM$500,F$2,0),Техника!$F$4:$ABM$4,"Часы",INDEX(Техника!$G$1:$ABN$500,F$2,0),$A$1264,INDEX(Техника!$H$1:$ABO$500,F$2,0),"Д")</f>
        <v>0</v>
      </c>
      <c r="G1266" s="50">
        <f>SUMIFS(INDEX(Техника!$F$1:$ABM$500,G$2,0),Техника!$F$4:$ABM$4,"Часы",INDEX(Техника!$G$1:$ABN$500,G$2,0),$A$1264,INDEX(Техника!$H$1:$ABO$500,G$2,0),"Д")</f>
        <v>0</v>
      </c>
      <c r="H1266" s="50">
        <f>SUMIFS(INDEX(Техника!$F$1:$ABM$500,H$2,0),Техника!$F$4:$ABM$4,"Часы",INDEX(Техника!$G$1:$ABN$500,H$2,0),$A$1264,INDEX(Техника!$H$1:$ABO$500,H$2,0),"Д")</f>
        <v>0</v>
      </c>
      <c r="I1266" s="50">
        <f>SUMIFS(INDEX(Техника!$F$1:$ABM$500,I$2,0),Техника!$F$4:$ABM$4,"Часы",INDEX(Техника!$G$1:$ABN$500,I$2,0),$A$1264,INDEX(Техника!$H$1:$ABO$500,I$2,0),"Д")</f>
        <v>0</v>
      </c>
      <c r="J1266" s="50">
        <f>SUMIFS(INDEX(Техника!$F$1:$ABM$500,J$2,0),Техника!$F$4:$ABM$4,"Часы",INDEX(Техника!$G$1:$ABN$500,J$2,0),$A$1264,INDEX(Техника!$H$1:$ABO$500,J$2,0),"Д")</f>
        <v>0</v>
      </c>
      <c r="K1266" s="50">
        <f>SUMIFS(INDEX(Техника!$F$1:$ABM$500,K$2,0),Техника!$F$4:$ABM$4,"Часы",INDEX(Техника!$G$1:$ABN$500,K$2,0),$A$1264,INDEX(Техника!$H$1:$ABO$500,K$2,0),"Д")</f>
        <v>0</v>
      </c>
      <c r="L1266" s="50">
        <f>SUMIFS(INDEX(Техника!$F$1:$ABM$500,L$2,0),Техника!$F$4:$ABM$4,"Часы",INDEX(Техника!$G$1:$ABN$500,L$2,0),$A$1264,INDEX(Техника!$H$1:$ABO$500,L$2,0),"Д")</f>
        <v>0</v>
      </c>
      <c r="M1266" s="50">
        <f>SUMIFS(INDEX(Техника!$F$1:$ABM$500,M$2,0),Техника!$F$4:$ABM$4,"Часы",INDEX(Техника!$G$1:$ABN$500,M$2,0),$A$1264,INDEX(Техника!$H$1:$ABO$500,M$2,0),"Д")</f>
        <v>0</v>
      </c>
      <c r="N1266" s="50">
        <f>SUMIFS(INDEX(Техника!$F$1:$ABM$500,N$2,0),Техника!$F$4:$ABM$4,"Часы",INDEX(Техника!$G$1:$ABN$500,N$2,0),$A$1264,INDEX(Техника!$H$1:$ABO$500,N$2,0),"Д")</f>
        <v>0</v>
      </c>
      <c r="O1266" s="50">
        <f>SUMIFS(INDEX(Техника!$F$1:$ABM$500,O$2,0),Техника!$F$4:$ABM$4,"Часы",INDEX(Техника!$G$1:$ABN$500,O$2,0),$A$1264,INDEX(Техника!$H$1:$ABO$500,O$2,0),"Д")</f>
        <v>0</v>
      </c>
      <c r="P1266" s="50">
        <f>SUMIFS(INDEX(Техника!$F$1:$ABM$500,P$2,0),Техника!$F$4:$ABM$4,"Часы",INDEX(Техника!$G$1:$ABN$500,P$2,0),$A$1264,INDEX(Техника!$H$1:$ABO$500,P$2,0),"Д")</f>
        <v>0</v>
      </c>
      <c r="Q1266" s="50">
        <f>SUMIFS(INDEX(Техника!$F$1:$ABM$500,Q$2,0),Техника!$F$4:$ABM$4,"Часы",INDEX(Техника!$G$1:$ABN$500,Q$2,0),$A$1264,INDEX(Техника!$H$1:$ABO$500,Q$2,0),"Д")</f>
        <v>0</v>
      </c>
      <c r="R1266" s="50">
        <f>SUMIFS(INDEX(Техника!$F$1:$ABM$500,R$2,0),Техника!$F$4:$ABM$4,"Часы",INDEX(Техника!$G$1:$ABN$500,R$2,0),$A$1264,INDEX(Техника!$H$1:$ABO$500,R$2,0),"Д")</f>
        <v>0</v>
      </c>
      <c r="S1266" s="50">
        <f>SUMIFS(INDEX(Техника!$F$1:$ABM$500,S$2,0),Техника!$F$4:$ABM$4,"Часы",INDEX(Техника!$G$1:$ABN$500,S$2,0),$A$1264,INDEX(Техника!$H$1:$ABO$500,S$2,0),"Д")</f>
        <v>0</v>
      </c>
      <c r="T1266" s="50">
        <f>SUMIFS(INDEX(Техника!$F$1:$ABM$500,T$2,0),Техника!$F$4:$ABM$4,"Часы",INDEX(Техника!$G$1:$ABN$500,T$2,0),$A$1264,INDEX(Техника!$H$1:$ABO$500,T$2,0),"Д")</f>
        <v>0</v>
      </c>
      <c r="U1266" s="50">
        <f>SUMIFS(INDEX(Техника!$F$1:$ABM$500,U$2,0),Техника!$F$4:$ABM$4,"Часы",INDEX(Техника!$G$1:$ABN$500,U$2,0),$A$1264,INDEX(Техника!$H$1:$ABO$500,U$2,0),"Д")</f>
        <v>0</v>
      </c>
      <c r="V1266" s="50">
        <f>SUMIFS(INDEX(Техника!$F$1:$ABM$500,V$2,0),Техника!$F$4:$ABM$4,"Часы",INDEX(Техника!$G$1:$ABN$500,V$2,0),$A$1264,INDEX(Техника!$H$1:$ABO$500,V$2,0),"Д")</f>
        <v>0</v>
      </c>
      <c r="W1266" s="50">
        <f>SUMIFS(INDEX(Техника!$F$1:$ABM$500,W$2,0),Техника!$F$4:$ABM$4,"Часы",INDEX(Техника!$G$1:$ABN$500,W$2,0),$A$1264,INDEX(Техника!$H$1:$ABO$500,W$2,0),"Д")</f>
        <v>0</v>
      </c>
      <c r="X1266" s="50">
        <f>SUMIFS(INDEX(Техника!$F$1:$ABM$500,X$2,0),Техника!$F$4:$ABM$4,"Часы",INDEX(Техника!$G$1:$ABN$500,X$2,0),$A$1264,INDEX(Техника!$H$1:$ABO$500,X$2,0),"Д")</f>
        <v>0</v>
      </c>
      <c r="Y1266" s="50">
        <f>SUMIFS(INDEX(Техника!$F$1:$ABM$500,Y$2,0),Техника!$F$4:$ABM$4,"Часы",INDEX(Техника!$G$1:$ABN$500,Y$2,0),$A$1264,INDEX(Техника!$H$1:$ABO$500,Y$2,0),"Д")</f>
        <v>0</v>
      </c>
      <c r="Z1266" s="50">
        <f>SUMIFS(INDEX(Техника!$F$1:$ABM$500,Z$2,0),Техника!$F$4:$ABM$4,"Часы",INDEX(Техника!$G$1:$ABN$500,Z$2,0),$A$1264,INDEX(Техника!$H$1:$ABO$500,Z$2,0),"Д")</f>
        <v>0</v>
      </c>
      <c r="AA1266" s="50">
        <f>SUMIFS(INDEX(Техника!$F$1:$ABM$500,AA$2,0),Техника!$F$4:$ABM$4,"Часы",INDEX(Техника!$G$1:$ABN$500,AA$2,0),$A$1264,INDEX(Техника!$H$1:$ABO$500,AA$2,0),"Д")</f>
        <v>0</v>
      </c>
      <c r="AB1266" s="50">
        <f>SUMIFS(INDEX(Техника!$F$1:$ABM$500,AB$2,0),Техника!$F$4:$ABM$4,"Часы",INDEX(Техника!$G$1:$ABN$500,AB$2,0),$A$1264,INDEX(Техника!$H$1:$ABO$500,AB$2,0),"Д")</f>
        <v>0</v>
      </c>
    </row>
    <row r="1267" spans="1:28" hidden="1" outlineLevel="1" x14ac:dyDescent="0.3">
      <c r="A1267" s="33" t="s">
        <v>276</v>
      </c>
      <c r="B1267" s="34" t="s">
        <v>277</v>
      </c>
      <c r="C1267" s="50">
        <f>SUMIFS(INDEX(Техника!$F$1:$ABM$500,C$2,0),Техника!$F$4:$ABM$4,"Часы",INDEX(Техника!$G$1:$ABN$500,C$2,0),$A$1264,INDEX(Техника!$H$1:$ABO$500,C$2,0),"П")</f>
        <v>0</v>
      </c>
      <c r="D1267" s="50">
        <f>SUMIFS(INDEX(Техника!$F$1:$ABM$500,D$2,0),Техника!$F$4:$ABM$4,"Часы",INDEX(Техника!$G$1:$ABN$500,D$2,0),$A$1264,INDEX(Техника!$H$1:$ABO$500,D$2,0),"П")</f>
        <v>0</v>
      </c>
      <c r="E1267" s="50">
        <f>SUMIFS(INDEX(Техника!$F$1:$ABM$500,E$2,0),Техника!$F$4:$ABM$4,"Часы",INDEX(Техника!$G$1:$ABN$500,E$2,0),$A$1264,INDEX(Техника!$H$1:$ABO$500,E$2,0),"П")</f>
        <v>0</v>
      </c>
      <c r="F1267" s="50">
        <f>SUMIFS(INDEX(Техника!$F$1:$ABM$500,F$2,0),Техника!$F$4:$ABM$4,"Часы",INDEX(Техника!$G$1:$ABN$500,F$2,0),$A$1264,INDEX(Техника!$H$1:$ABO$500,F$2,0),"П")</f>
        <v>0</v>
      </c>
      <c r="G1267" s="50">
        <f>SUMIFS(INDEX(Техника!$F$1:$ABM$500,G$2,0),Техника!$F$4:$ABM$4,"Часы",INDEX(Техника!$G$1:$ABN$500,G$2,0),$A$1264,INDEX(Техника!$H$1:$ABO$500,G$2,0),"П")</f>
        <v>0</v>
      </c>
      <c r="H1267" s="50">
        <f>SUMIFS(INDEX(Техника!$F$1:$ABM$500,H$2,0),Техника!$F$4:$ABM$4,"Часы",INDEX(Техника!$G$1:$ABN$500,H$2,0),$A$1264,INDEX(Техника!$H$1:$ABO$500,H$2,0),"П")</f>
        <v>0</v>
      </c>
      <c r="I1267" s="50">
        <f>SUMIFS(INDEX(Техника!$F$1:$ABM$500,I$2,0),Техника!$F$4:$ABM$4,"Часы",INDEX(Техника!$G$1:$ABN$500,I$2,0),$A$1264,INDEX(Техника!$H$1:$ABO$500,I$2,0),"П")</f>
        <v>0</v>
      </c>
      <c r="J1267" s="50">
        <f>SUMIFS(INDEX(Техника!$F$1:$ABM$500,J$2,0),Техника!$F$4:$ABM$4,"Часы",INDEX(Техника!$G$1:$ABN$500,J$2,0),$A$1264,INDEX(Техника!$H$1:$ABO$500,J$2,0),"П")</f>
        <v>0</v>
      </c>
      <c r="K1267" s="50">
        <f>SUMIFS(INDEX(Техника!$F$1:$ABM$500,K$2,0),Техника!$F$4:$ABM$4,"Часы",INDEX(Техника!$G$1:$ABN$500,K$2,0),$A$1264,INDEX(Техника!$H$1:$ABO$500,K$2,0),"П")</f>
        <v>0</v>
      </c>
      <c r="L1267" s="50">
        <f>SUMIFS(INDEX(Техника!$F$1:$ABM$500,L$2,0),Техника!$F$4:$ABM$4,"Часы",INDEX(Техника!$G$1:$ABN$500,L$2,0),$A$1264,INDEX(Техника!$H$1:$ABO$500,L$2,0),"П")</f>
        <v>0</v>
      </c>
      <c r="M1267" s="50">
        <f>SUMIFS(INDEX(Техника!$F$1:$ABM$500,M$2,0),Техника!$F$4:$ABM$4,"Часы",INDEX(Техника!$G$1:$ABN$500,M$2,0),$A$1264,INDEX(Техника!$H$1:$ABO$500,M$2,0),"П")</f>
        <v>0</v>
      </c>
      <c r="N1267" s="50">
        <f>SUMIFS(INDEX(Техника!$F$1:$ABM$500,N$2,0),Техника!$F$4:$ABM$4,"Часы",INDEX(Техника!$G$1:$ABN$500,N$2,0),$A$1264,INDEX(Техника!$H$1:$ABO$500,N$2,0),"П")</f>
        <v>0</v>
      </c>
      <c r="O1267" s="50">
        <f>SUMIFS(INDEX(Техника!$F$1:$ABM$500,O$2,0),Техника!$F$4:$ABM$4,"Часы",INDEX(Техника!$G$1:$ABN$500,O$2,0),$A$1264,INDEX(Техника!$H$1:$ABO$500,O$2,0),"П")</f>
        <v>0</v>
      </c>
      <c r="P1267" s="50">
        <f>SUMIFS(INDEX(Техника!$F$1:$ABM$500,P$2,0),Техника!$F$4:$ABM$4,"Часы",INDEX(Техника!$G$1:$ABN$500,P$2,0),$A$1264,INDEX(Техника!$H$1:$ABO$500,P$2,0),"П")</f>
        <v>0</v>
      </c>
      <c r="Q1267" s="50">
        <f>SUMIFS(INDEX(Техника!$F$1:$ABM$500,Q$2,0),Техника!$F$4:$ABM$4,"Часы",INDEX(Техника!$G$1:$ABN$500,Q$2,0),$A$1264,INDEX(Техника!$H$1:$ABO$500,Q$2,0),"П")</f>
        <v>0</v>
      </c>
      <c r="R1267" s="50">
        <f>SUMIFS(INDEX(Техника!$F$1:$ABM$500,R$2,0),Техника!$F$4:$ABM$4,"Часы",INDEX(Техника!$G$1:$ABN$500,R$2,0),$A$1264,INDEX(Техника!$H$1:$ABO$500,R$2,0),"П")</f>
        <v>0</v>
      </c>
      <c r="S1267" s="50">
        <f>SUMIFS(INDEX(Техника!$F$1:$ABM$500,S$2,0),Техника!$F$4:$ABM$4,"Часы",INDEX(Техника!$G$1:$ABN$500,S$2,0),$A$1264,INDEX(Техника!$H$1:$ABO$500,S$2,0),"П")</f>
        <v>0</v>
      </c>
      <c r="T1267" s="50">
        <f>SUMIFS(INDEX(Техника!$F$1:$ABM$500,T$2,0),Техника!$F$4:$ABM$4,"Часы",INDEX(Техника!$G$1:$ABN$500,T$2,0),$A$1264,INDEX(Техника!$H$1:$ABO$500,T$2,0),"П")</f>
        <v>0</v>
      </c>
      <c r="U1267" s="50">
        <f>SUMIFS(INDEX(Техника!$F$1:$ABM$500,U$2,0),Техника!$F$4:$ABM$4,"Часы",INDEX(Техника!$G$1:$ABN$500,U$2,0),$A$1264,INDEX(Техника!$H$1:$ABO$500,U$2,0),"П")</f>
        <v>0</v>
      </c>
      <c r="V1267" s="50">
        <f>SUMIFS(INDEX(Техника!$F$1:$ABM$500,V$2,0),Техника!$F$4:$ABM$4,"Часы",INDEX(Техника!$G$1:$ABN$500,V$2,0),$A$1264,INDEX(Техника!$H$1:$ABO$500,V$2,0),"П")</f>
        <v>0</v>
      </c>
      <c r="W1267" s="50">
        <f>SUMIFS(INDEX(Техника!$F$1:$ABM$500,W$2,0),Техника!$F$4:$ABM$4,"Часы",INDEX(Техника!$G$1:$ABN$500,W$2,0),$A$1264,INDEX(Техника!$H$1:$ABO$500,W$2,0),"П")</f>
        <v>0</v>
      </c>
      <c r="X1267" s="50">
        <f>SUMIFS(INDEX(Техника!$F$1:$ABM$500,X$2,0),Техника!$F$4:$ABM$4,"Часы",INDEX(Техника!$G$1:$ABN$500,X$2,0),$A$1264,INDEX(Техника!$H$1:$ABO$500,X$2,0),"П")</f>
        <v>0</v>
      </c>
      <c r="Y1267" s="50">
        <f>SUMIFS(INDEX(Техника!$F$1:$ABM$500,Y$2,0),Техника!$F$4:$ABM$4,"Часы",INDEX(Техника!$G$1:$ABN$500,Y$2,0),$A$1264,INDEX(Техника!$H$1:$ABO$500,Y$2,0),"П")</f>
        <v>0</v>
      </c>
      <c r="Z1267" s="50">
        <f>SUMIFS(INDEX(Техника!$F$1:$ABM$500,Z$2,0),Техника!$F$4:$ABM$4,"Часы",INDEX(Техника!$G$1:$ABN$500,Z$2,0),$A$1264,INDEX(Техника!$H$1:$ABO$500,Z$2,0),"П")</f>
        <v>0</v>
      </c>
      <c r="AA1267" s="50">
        <f>SUMIFS(INDEX(Техника!$F$1:$ABM$500,AA$2,0),Техника!$F$4:$ABM$4,"Часы",INDEX(Техника!$G$1:$ABN$500,AA$2,0),$A$1264,INDEX(Техника!$H$1:$ABO$500,AA$2,0),"П")</f>
        <v>0</v>
      </c>
      <c r="AB1267" s="50">
        <f>SUMIFS(INDEX(Техника!$F$1:$ABM$500,AB$2,0),Техника!$F$4:$ABM$4,"Часы",INDEX(Техника!$G$1:$ABN$500,AB$2,0),$A$1264,INDEX(Техника!$H$1:$ABO$500,AB$2,0),"П")</f>
        <v>0</v>
      </c>
    </row>
    <row r="1268" spans="1:28" hidden="1" outlineLevel="1" x14ac:dyDescent="0.3">
      <c r="A1268" s="33" t="s">
        <v>243</v>
      </c>
      <c r="B1268" s="34" t="s">
        <v>278</v>
      </c>
      <c r="C1268" s="50">
        <f>SUMIFS(INDEX(Техника!$F$1:$ABM$500,C$2,0),Техника!$F$4:$ABM$4,"Часы",INDEX(Техника!$G$1:$ABN$500,C$2,0),$A$1264,INDEX(Техника!$H$1:$ABO$500,C$2,0),"Л")</f>
        <v>0</v>
      </c>
      <c r="D1268" s="50">
        <f>SUMIFS(INDEX(Техника!$F$1:$ABM$500,D$2,0),Техника!$F$4:$ABM$4,"Часы",INDEX(Техника!$G$1:$ABN$500,D$2,0),$A$1264,INDEX(Техника!$H$1:$ABO$500,D$2,0),"Л")</f>
        <v>0</v>
      </c>
      <c r="E1268" s="50">
        <f>SUMIFS(INDEX(Техника!$F$1:$ABM$500,E$2,0),Техника!$F$4:$ABM$4,"Часы",INDEX(Техника!$G$1:$ABN$500,E$2,0),$A$1264,INDEX(Техника!$H$1:$ABO$500,E$2,0),"Л")</f>
        <v>0</v>
      </c>
      <c r="F1268" s="50">
        <f>SUMIFS(INDEX(Техника!$F$1:$ABM$500,F$2,0),Техника!$F$4:$ABM$4,"Часы",INDEX(Техника!$G$1:$ABN$500,F$2,0),$A$1264,INDEX(Техника!$H$1:$ABO$500,F$2,0),"Л")</f>
        <v>0</v>
      </c>
      <c r="G1268" s="50">
        <f>SUMIFS(INDEX(Техника!$F$1:$ABM$500,G$2,0),Техника!$F$4:$ABM$4,"Часы",INDEX(Техника!$G$1:$ABN$500,G$2,0),$A$1264,INDEX(Техника!$H$1:$ABO$500,G$2,0),"Л")</f>
        <v>0</v>
      </c>
      <c r="H1268" s="50">
        <f>SUMIFS(INDEX(Техника!$F$1:$ABM$500,H$2,0),Техника!$F$4:$ABM$4,"Часы",INDEX(Техника!$G$1:$ABN$500,H$2,0),$A$1264,INDEX(Техника!$H$1:$ABO$500,H$2,0),"Л")</f>
        <v>0</v>
      </c>
      <c r="I1268" s="50">
        <f>SUMIFS(INDEX(Техника!$F$1:$ABM$500,I$2,0),Техника!$F$4:$ABM$4,"Часы",INDEX(Техника!$G$1:$ABN$500,I$2,0),$A$1264,INDEX(Техника!$H$1:$ABO$500,I$2,0),"Л")</f>
        <v>0</v>
      </c>
      <c r="J1268" s="50">
        <f>SUMIFS(INDEX(Техника!$F$1:$ABM$500,J$2,0),Техника!$F$4:$ABM$4,"Часы",INDEX(Техника!$G$1:$ABN$500,J$2,0),$A$1264,INDEX(Техника!$H$1:$ABO$500,J$2,0),"Л")</f>
        <v>0</v>
      </c>
      <c r="K1268" s="50">
        <f>SUMIFS(INDEX(Техника!$F$1:$ABM$500,K$2,0),Техника!$F$4:$ABM$4,"Часы",INDEX(Техника!$G$1:$ABN$500,K$2,0),$A$1264,INDEX(Техника!$H$1:$ABO$500,K$2,0),"Л")</f>
        <v>0</v>
      </c>
      <c r="L1268" s="50">
        <f>SUMIFS(INDEX(Техника!$F$1:$ABM$500,L$2,0),Техника!$F$4:$ABM$4,"Часы",INDEX(Техника!$G$1:$ABN$500,L$2,0),$A$1264,INDEX(Техника!$H$1:$ABO$500,L$2,0),"Л")</f>
        <v>0</v>
      </c>
      <c r="M1268" s="50">
        <f>SUMIFS(INDEX(Техника!$F$1:$ABM$500,M$2,0),Техника!$F$4:$ABM$4,"Часы",INDEX(Техника!$G$1:$ABN$500,M$2,0),$A$1264,INDEX(Техника!$H$1:$ABO$500,M$2,0),"Л")</f>
        <v>0</v>
      </c>
      <c r="N1268" s="50">
        <f>SUMIFS(INDEX(Техника!$F$1:$ABM$500,N$2,0),Техника!$F$4:$ABM$4,"Часы",INDEX(Техника!$G$1:$ABN$500,N$2,0),$A$1264,INDEX(Техника!$H$1:$ABO$500,N$2,0),"Л")</f>
        <v>0</v>
      </c>
      <c r="O1268" s="50">
        <f>SUMIFS(INDEX(Техника!$F$1:$ABM$500,O$2,0),Техника!$F$4:$ABM$4,"Часы",INDEX(Техника!$G$1:$ABN$500,O$2,0),$A$1264,INDEX(Техника!$H$1:$ABO$500,O$2,0),"Л")</f>
        <v>0</v>
      </c>
      <c r="P1268" s="50">
        <f>SUMIFS(INDEX(Техника!$F$1:$ABM$500,P$2,0),Техника!$F$4:$ABM$4,"Часы",INDEX(Техника!$G$1:$ABN$500,P$2,0),$A$1264,INDEX(Техника!$H$1:$ABO$500,P$2,0),"Л")</f>
        <v>0</v>
      </c>
      <c r="Q1268" s="50">
        <f>SUMIFS(INDEX(Техника!$F$1:$ABM$500,Q$2,0),Техника!$F$4:$ABM$4,"Часы",INDEX(Техника!$G$1:$ABN$500,Q$2,0),$A$1264,INDEX(Техника!$H$1:$ABO$500,Q$2,0),"Л")</f>
        <v>0</v>
      </c>
      <c r="R1268" s="50">
        <f>SUMIFS(INDEX(Техника!$F$1:$ABM$500,R$2,0),Техника!$F$4:$ABM$4,"Часы",INDEX(Техника!$G$1:$ABN$500,R$2,0),$A$1264,INDEX(Техника!$H$1:$ABO$500,R$2,0),"Л")</f>
        <v>0</v>
      </c>
      <c r="S1268" s="50">
        <f>SUMIFS(INDEX(Техника!$F$1:$ABM$500,S$2,0),Техника!$F$4:$ABM$4,"Часы",INDEX(Техника!$G$1:$ABN$500,S$2,0),$A$1264,INDEX(Техника!$H$1:$ABO$500,S$2,0),"Л")</f>
        <v>0</v>
      </c>
      <c r="T1268" s="50">
        <f>SUMIFS(INDEX(Техника!$F$1:$ABM$500,T$2,0),Техника!$F$4:$ABM$4,"Часы",INDEX(Техника!$G$1:$ABN$500,T$2,0),$A$1264,INDEX(Техника!$H$1:$ABO$500,T$2,0),"Л")</f>
        <v>0</v>
      </c>
      <c r="U1268" s="50">
        <f>SUMIFS(INDEX(Техника!$F$1:$ABM$500,U$2,0),Техника!$F$4:$ABM$4,"Часы",INDEX(Техника!$G$1:$ABN$500,U$2,0),$A$1264,INDEX(Техника!$H$1:$ABO$500,U$2,0),"Л")</f>
        <v>0</v>
      </c>
      <c r="V1268" s="50">
        <f>SUMIFS(INDEX(Техника!$F$1:$ABM$500,V$2,0),Техника!$F$4:$ABM$4,"Часы",INDEX(Техника!$G$1:$ABN$500,V$2,0),$A$1264,INDEX(Техника!$H$1:$ABO$500,V$2,0),"Л")</f>
        <v>0</v>
      </c>
      <c r="W1268" s="50">
        <f>SUMIFS(INDEX(Техника!$F$1:$ABM$500,W$2,0),Техника!$F$4:$ABM$4,"Часы",INDEX(Техника!$G$1:$ABN$500,W$2,0),$A$1264,INDEX(Техника!$H$1:$ABO$500,W$2,0),"Л")</f>
        <v>0</v>
      </c>
      <c r="X1268" s="50">
        <f>SUMIFS(INDEX(Техника!$F$1:$ABM$500,X$2,0),Техника!$F$4:$ABM$4,"Часы",INDEX(Техника!$G$1:$ABN$500,X$2,0),$A$1264,INDEX(Техника!$H$1:$ABO$500,X$2,0),"Л")</f>
        <v>0</v>
      </c>
      <c r="Y1268" s="50">
        <f>SUMIFS(INDEX(Техника!$F$1:$ABM$500,Y$2,0),Техника!$F$4:$ABM$4,"Часы",INDEX(Техника!$G$1:$ABN$500,Y$2,0),$A$1264,INDEX(Техника!$H$1:$ABO$500,Y$2,0),"Л")</f>
        <v>0</v>
      </c>
      <c r="Z1268" s="50">
        <f>SUMIFS(INDEX(Техника!$F$1:$ABM$500,Z$2,0),Техника!$F$4:$ABM$4,"Часы",INDEX(Техника!$G$1:$ABN$500,Z$2,0),$A$1264,INDEX(Техника!$H$1:$ABO$500,Z$2,0),"Л")</f>
        <v>0</v>
      </c>
      <c r="AA1268" s="50">
        <f>SUMIFS(INDEX(Техника!$F$1:$ABM$500,AA$2,0),Техника!$F$4:$ABM$4,"Часы",INDEX(Техника!$G$1:$ABN$500,AA$2,0),$A$1264,INDEX(Техника!$H$1:$ABO$500,AA$2,0),"Л")</f>
        <v>0</v>
      </c>
      <c r="AB1268" s="50">
        <f>SUMIFS(INDEX(Техника!$F$1:$ABM$500,AB$2,0),Техника!$F$4:$ABM$4,"Часы",INDEX(Техника!$G$1:$ABN$500,AB$2,0),$A$1264,INDEX(Техника!$H$1:$ABO$500,AB$2,0),"Л")</f>
        <v>0</v>
      </c>
    </row>
    <row r="1269" spans="1:28" hidden="1" outlineLevel="1" x14ac:dyDescent="0.3">
      <c r="A1269" s="33" t="s">
        <v>245</v>
      </c>
      <c r="B1269" s="34" t="s">
        <v>279</v>
      </c>
      <c r="C1269" s="50">
        <f>SUMIFS(INDEX(Техника!$F$1:$ABM$500,C$2,0),Техника!$F$4:$ABM$4,"Часы",INDEX(Техника!$G$1:$ABN$500,C$2,0),$A$1264,INDEX(Техника!$H$1:$ABO$500,C$2,0),"З")</f>
        <v>0</v>
      </c>
      <c r="D1269" s="50">
        <f>SUMIFS(INDEX(Техника!$F$1:$ABM$500,D$2,0),Техника!$F$4:$ABM$4,"Часы",INDEX(Техника!$G$1:$ABN$500,D$2,0),$A$1264,INDEX(Техника!$H$1:$ABO$500,D$2,0),"З")</f>
        <v>0</v>
      </c>
      <c r="E1269" s="50">
        <f>SUMIFS(INDEX(Техника!$F$1:$ABM$500,E$2,0),Техника!$F$4:$ABM$4,"Часы",INDEX(Техника!$G$1:$ABN$500,E$2,0),$A$1264,INDEX(Техника!$H$1:$ABO$500,E$2,0),"З")</f>
        <v>0</v>
      </c>
      <c r="F1269" s="50">
        <f>SUMIFS(INDEX(Техника!$F$1:$ABM$500,F$2,0),Техника!$F$4:$ABM$4,"Часы",INDEX(Техника!$G$1:$ABN$500,F$2,0),$A$1264,INDEX(Техника!$H$1:$ABO$500,F$2,0),"З")</f>
        <v>0</v>
      </c>
      <c r="G1269" s="50">
        <f>SUMIFS(INDEX(Техника!$F$1:$ABM$500,G$2,0),Техника!$F$4:$ABM$4,"Часы",INDEX(Техника!$G$1:$ABN$500,G$2,0),$A$1264,INDEX(Техника!$H$1:$ABO$500,G$2,0),"З")</f>
        <v>0</v>
      </c>
      <c r="H1269" s="50">
        <f>SUMIFS(INDEX(Техника!$F$1:$ABM$500,H$2,0),Техника!$F$4:$ABM$4,"Часы",INDEX(Техника!$G$1:$ABN$500,H$2,0),$A$1264,INDEX(Техника!$H$1:$ABO$500,H$2,0),"З")</f>
        <v>0</v>
      </c>
      <c r="I1269" s="50">
        <f>SUMIFS(INDEX(Техника!$F$1:$ABM$500,I$2,0),Техника!$F$4:$ABM$4,"Часы",INDEX(Техника!$G$1:$ABN$500,I$2,0),$A$1264,INDEX(Техника!$H$1:$ABO$500,I$2,0),"З")</f>
        <v>0</v>
      </c>
      <c r="J1269" s="50">
        <f>SUMIFS(INDEX(Техника!$F$1:$ABM$500,J$2,0),Техника!$F$4:$ABM$4,"Часы",INDEX(Техника!$G$1:$ABN$500,J$2,0),$A$1264,INDEX(Техника!$H$1:$ABO$500,J$2,0),"З")</f>
        <v>0</v>
      </c>
      <c r="K1269" s="50">
        <f>SUMIFS(INDEX(Техника!$F$1:$ABM$500,K$2,0),Техника!$F$4:$ABM$4,"Часы",INDEX(Техника!$G$1:$ABN$500,K$2,0),$A$1264,INDEX(Техника!$H$1:$ABO$500,K$2,0),"З")</f>
        <v>0</v>
      </c>
      <c r="L1269" s="50">
        <f>SUMIFS(INDEX(Техника!$F$1:$ABM$500,L$2,0),Техника!$F$4:$ABM$4,"Часы",INDEX(Техника!$G$1:$ABN$500,L$2,0),$A$1264,INDEX(Техника!$H$1:$ABO$500,L$2,0),"З")</f>
        <v>0</v>
      </c>
      <c r="M1269" s="50">
        <f>SUMIFS(INDEX(Техника!$F$1:$ABM$500,M$2,0),Техника!$F$4:$ABM$4,"Часы",INDEX(Техника!$G$1:$ABN$500,M$2,0),$A$1264,INDEX(Техника!$H$1:$ABO$500,M$2,0),"З")</f>
        <v>0</v>
      </c>
      <c r="N1269" s="50">
        <f>SUMIFS(INDEX(Техника!$F$1:$ABM$500,N$2,0),Техника!$F$4:$ABM$4,"Часы",INDEX(Техника!$G$1:$ABN$500,N$2,0),$A$1264,INDEX(Техника!$H$1:$ABO$500,N$2,0),"З")</f>
        <v>0</v>
      </c>
      <c r="O1269" s="50">
        <f>SUMIFS(INDEX(Техника!$F$1:$ABM$500,O$2,0),Техника!$F$4:$ABM$4,"Часы",INDEX(Техника!$G$1:$ABN$500,O$2,0),$A$1264,INDEX(Техника!$H$1:$ABO$500,O$2,0),"З")</f>
        <v>0</v>
      </c>
      <c r="P1269" s="50">
        <f>SUMIFS(INDEX(Техника!$F$1:$ABM$500,P$2,0),Техника!$F$4:$ABM$4,"Часы",INDEX(Техника!$G$1:$ABN$500,P$2,0),$A$1264,INDEX(Техника!$H$1:$ABO$500,P$2,0),"З")</f>
        <v>0</v>
      </c>
      <c r="Q1269" s="50">
        <f>SUMIFS(INDEX(Техника!$F$1:$ABM$500,Q$2,0),Техника!$F$4:$ABM$4,"Часы",INDEX(Техника!$G$1:$ABN$500,Q$2,0),$A$1264,INDEX(Техника!$H$1:$ABO$500,Q$2,0),"З")</f>
        <v>0</v>
      </c>
      <c r="R1269" s="50">
        <f>SUMIFS(INDEX(Техника!$F$1:$ABM$500,R$2,0),Техника!$F$4:$ABM$4,"Часы",INDEX(Техника!$G$1:$ABN$500,R$2,0),$A$1264,INDEX(Техника!$H$1:$ABO$500,R$2,0),"З")</f>
        <v>0</v>
      </c>
      <c r="S1269" s="50">
        <f>SUMIFS(INDEX(Техника!$F$1:$ABM$500,S$2,0),Техника!$F$4:$ABM$4,"Часы",INDEX(Техника!$G$1:$ABN$500,S$2,0),$A$1264,INDEX(Техника!$H$1:$ABO$500,S$2,0),"З")</f>
        <v>0</v>
      </c>
      <c r="T1269" s="50">
        <f>SUMIFS(INDEX(Техника!$F$1:$ABM$500,T$2,0),Техника!$F$4:$ABM$4,"Часы",INDEX(Техника!$G$1:$ABN$500,T$2,0),$A$1264,INDEX(Техника!$H$1:$ABO$500,T$2,0),"З")</f>
        <v>0</v>
      </c>
      <c r="U1269" s="50">
        <f>SUMIFS(INDEX(Техника!$F$1:$ABM$500,U$2,0),Техника!$F$4:$ABM$4,"Часы",INDEX(Техника!$G$1:$ABN$500,U$2,0),$A$1264,INDEX(Техника!$H$1:$ABO$500,U$2,0),"З")</f>
        <v>0</v>
      </c>
      <c r="V1269" s="50">
        <f>SUMIFS(INDEX(Техника!$F$1:$ABM$500,V$2,0),Техника!$F$4:$ABM$4,"Часы",INDEX(Техника!$G$1:$ABN$500,V$2,0),$A$1264,INDEX(Техника!$H$1:$ABO$500,V$2,0),"З")</f>
        <v>0</v>
      </c>
      <c r="W1269" s="50">
        <f>SUMIFS(INDEX(Техника!$F$1:$ABM$500,W$2,0),Техника!$F$4:$ABM$4,"Часы",INDEX(Техника!$G$1:$ABN$500,W$2,0),$A$1264,INDEX(Техника!$H$1:$ABO$500,W$2,0),"З")</f>
        <v>0</v>
      </c>
      <c r="X1269" s="50">
        <f>SUMIFS(INDEX(Техника!$F$1:$ABM$500,X$2,0),Техника!$F$4:$ABM$4,"Часы",INDEX(Техника!$G$1:$ABN$500,X$2,0),$A$1264,INDEX(Техника!$H$1:$ABO$500,X$2,0),"З")</f>
        <v>0</v>
      </c>
      <c r="Y1269" s="50">
        <f>SUMIFS(INDEX(Техника!$F$1:$ABM$500,Y$2,0),Техника!$F$4:$ABM$4,"Часы",INDEX(Техника!$G$1:$ABN$500,Y$2,0),$A$1264,INDEX(Техника!$H$1:$ABO$500,Y$2,0),"З")</f>
        <v>0</v>
      </c>
      <c r="Z1269" s="50">
        <f>SUMIFS(INDEX(Техника!$F$1:$ABM$500,Z$2,0),Техника!$F$4:$ABM$4,"Часы",INDEX(Техника!$G$1:$ABN$500,Z$2,0),$A$1264,INDEX(Техника!$H$1:$ABO$500,Z$2,0),"З")</f>
        <v>0</v>
      </c>
      <c r="AA1269" s="50">
        <f>SUMIFS(INDEX(Техника!$F$1:$ABM$500,AA$2,0),Техника!$F$4:$ABM$4,"Часы",INDEX(Техника!$G$1:$ABN$500,AA$2,0),$A$1264,INDEX(Техника!$H$1:$ABO$500,AA$2,0),"З")</f>
        <v>0</v>
      </c>
      <c r="AB1269" s="50">
        <f>SUMIFS(INDEX(Техника!$F$1:$ABM$500,AB$2,0),Техника!$F$4:$ABM$4,"Часы",INDEX(Техника!$G$1:$ABN$500,AB$2,0),$A$1264,INDEX(Техника!$H$1:$ABO$500,AB$2,0),"З")</f>
        <v>0</v>
      </c>
    </row>
    <row r="1270" spans="1:28" ht="7.95" customHeight="1" x14ac:dyDescent="0.3">
      <c r="A1270" s="38"/>
      <c r="B1270" s="39"/>
      <c r="C1270" s="51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</row>
    <row r="1271" spans="1:28" ht="25.05" customHeight="1" collapsed="1" x14ac:dyDescent="0.3">
      <c r="A1271" s="32">
        <v>182</v>
      </c>
      <c r="B1271" s="32" t="s">
        <v>183</v>
      </c>
      <c r="C1271" s="49">
        <f>SUM(C1272:C1276)</f>
        <v>0</v>
      </c>
      <c r="D1271" s="49">
        <f>SUM(D1272:D1276)</f>
        <v>0</v>
      </c>
      <c r="E1271" s="49">
        <f>SUM(E1272:E1276)</f>
        <v>0</v>
      </c>
      <c r="F1271" s="49">
        <f>SUM(F1272:F1276)</f>
        <v>0</v>
      </c>
      <c r="G1271" s="49">
        <f>SUM(G1272:G1276)</f>
        <v>0</v>
      </c>
      <c r="H1271" s="49">
        <f>SUM(H1272:H1276)</f>
        <v>0</v>
      </c>
      <c r="I1271" s="49">
        <f>SUM(I1272:I1276)</f>
        <v>0</v>
      </c>
      <c r="J1271" s="49">
        <f>SUM(J1272:J1276)</f>
        <v>0</v>
      </c>
      <c r="K1271" s="49">
        <f>SUM(K1272:K1276)</f>
        <v>0</v>
      </c>
      <c r="L1271" s="49">
        <f>SUM(L1272:L1276)</f>
        <v>0</v>
      </c>
      <c r="M1271" s="49">
        <f>SUM(M1272:M1276)</f>
        <v>0</v>
      </c>
      <c r="N1271" s="49">
        <f>SUM(N1272:N1276)</f>
        <v>0</v>
      </c>
      <c r="O1271" s="49">
        <f>SUM(O1272:O1276)</f>
        <v>0</v>
      </c>
      <c r="P1271" s="49">
        <f>SUM(P1272:P1276)</f>
        <v>0</v>
      </c>
      <c r="Q1271" s="49">
        <f>SUM(Q1272:Q1276)</f>
        <v>0</v>
      </c>
      <c r="R1271" s="49">
        <f>SUM(R1272:R1276)</f>
        <v>0</v>
      </c>
      <c r="S1271" s="49">
        <f>SUM(S1272:S1276)</f>
        <v>0</v>
      </c>
      <c r="T1271" s="49">
        <f>SUM(T1272:T1276)</f>
        <v>0</v>
      </c>
      <c r="U1271" s="49">
        <f>SUM(U1272:U1276)</f>
        <v>0</v>
      </c>
      <c r="V1271" s="49">
        <f>SUM(V1272:V1276)</f>
        <v>0</v>
      </c>
      <c r="W1271" s="49">
        <f>SUM(W1272:W1276)</f>
        <v>0</v>
      </c>
      <c r="X1271" s="49">
        <f>SUM(X1272:X1276)</f>
        <v>0</v>
      </c>
      <c r="Y1271" s="49">
        <f>SUM(Y1272:Y1276)</f>
        <v>0</v>
      </c>
      <c r="Z1271" s="49">
        <f>SUM(Z1272:Z1276)</f>
        <v>0</v>
      </c>
      <c r="AA1271" s="49">
        <f>SUM(AA1272:AA1276)</f>
        <v>0</v>
      </c>
      <c r="AB1271" s="49">
        <f>SUM(AB1272:AB1276)</f>
        <v>0</v>
      </c>
    </row>
    <row r="1272" spans="1:28" hidden="1" outlineLevel="1" x14ac:dyDescent="0.3">
      <c r="A1272" s="33" t="s">
        <v>246</v>
      </c>
      <c r="B1272" s="34" t="s">
        <v>274</v>
      </c>
      <c r="C1272" s="50">
        <f>SUMIFS(INDEX(Техника!$F$1:$ABM$500,C$2,0),Техника!$F$4:$ABM$4,"Часы",INDEX(Техника!$G$1:$ABN$500,C$2,0),$A$1271,INDEX(Техника!$H$1:$ABO$500,C$2,0),"М")</f>
        <v>0</v>
      </c>
      <c r="D1272" s="50">
        <f>SUMIFS(INDEX(Техника!$F$1:$ABM$500,D$2,0),Техника!$F$4:$ABM$4,"Часы",INDEX(Техника!$G$1:$ABN$500,D$2,0),$A$1271,INDEX(Техника!$H$1:$ABO$500,D$2,0),"М")</f>
        <v>0</v>
      </c>
      <c r="E1272" s="50">
        <f>SUMIFS(INDEX(Техника!$F$1:$ABM$500,E$2,0),Техника!$F$4:$ABM$4,"Часы",INDEX(Техника!$G$1:$ABN$500,E$2,0),$A$1271,INDEX(Техника!$H$1:$ABO$500,E$2,0),"М")</f>
        <v>0</v>
      </c>
      <c r="F1272" s="50">
        <f>SUMIFS(INDEX(Техника!$F$1:$ABM$500,F$2,0),Техника!$F$4:$ABM$4,"Часы",INDEX(Техника!$G$1:$ABN$500,F$2,0),$A$1271,INDEX(Техника!$H$1:$ABO$500,F$2,0),"М")</f>
        <v>0</v>
      </c>
      <c r="G1272" s="50">
        <f>SUMIFS(INDEX(Техника!$F$1:$ABM$500,G$2,0),Техника!$F$4:$ABM$4,"Часы",INDEX(Техника!$G$1:$ABN$500,G$2,0),$A$1271,INDEX(Техника!$H$1:$ABO$500,G$2,0),"М")</f>
        <v>0</v>
      </c>
      <c r="H1272" s="50">
        <f>SUMIFS(INDEX(Техника!$F$1:$ABM$500,H$2,0),Техника!$F$4:$ABM$4,"Часы",INDEX(Техника!$G$1:$ABN$500,H$2,0),$A$1271,INDEX(Техника!$H$1:$ABO$500,H$2,0),"М")</f>
        <v>0</v>
      </c>
      <c r="I1272" s="50">
        <f>SUMIFS(INDEX(Техника!$F$1:$ABM$500,I$2,0),Техника!$F$4:$ABM$4,"Часы",INDEX(Техника!$G$1:$ABN$500,I$2,0),$A$1271,INDEX(Техника!$H$1:$ABO$500,I$2,0),"М")</f>
        <v>0</v>
      </c>
      <c r="J1272" s="50">
        <f>SUMIFS(INDEX(Техника!$F$1:$ABM$500,J$2,0),Техника!$F$4:$ABM$4,"Часы",INDEX(Техника!$G$1:$ABN$500,J$2,0),$A$1271,INDEX(Техника!$H$1:$ABO$500,J$2,0),"М")</f>
        <v>0</v>
      </c>
      <c r="K1272" s="50">
        <f>SUMIFS(INDEX(Техника!$F$1:$ABM$500,K$2,0),Техника!$F$4:$ABM$4,"Часы",INDEX(Техника!$G$1:$ABN$500,K$2,0),$A$1271,INDEX(Техника!$H$1:$ABO$500,K$2,0),"М")</f>
        <v>0</v>
      </c>
      <c r="L1272" s="50">
        <f>SUMIFS(INDEX(Техника!$F$1:$ABM$500,L$2,0),Техника!$F$4:$ABM$4,"Часы",INDEX(Техника!$G$1:$ABN$500,L$2,0),$A$1271,INDEX(Техника!$H$1:$ABO$500,L$2,0),"М")</f>
        <v>0</v>
      </c>
      <c r="M1272" s="50">
        <f>SUMIFS(INDEX(Техника!$F$1:$ABM$500,M$2,0),Техника!$F$4:$ABM$4,"Часы",INDEX(Техника!$G$1:$ABN$500,M$2,0),$A$1271,INDEX(Техника!$H$1:$ABO$500,M$2,0),"М")</f>
        <v>0</v>
      </c>
      <c r="N1272" s="50">
        <f>SUMIFS(INDEX(Техника!$F$1:$ABM$500,N$2,0),Техника!$F$4:$ABM$4,"Часы",INDEX(Техника!$G$1:$ABN$500,N$2,0),$A$1271,INDEX(Техника!$H$1:$ABO$500,N$2,0),"М")</f>
        <v>0</v>
      </c>
      <c r="O1272" s="50">
        <f>SUMIFS(INDEX(Техника!$F$1:$ABM$500,O$2,0),Техника!$F$4:$ABM$4,"Часы",INDEX(Техника!$G$1:$ABN$500,O$2,0),$A$1271,INDEX(Техника!$H$1:$ABO$500,O$2,0),"М")</f>
        <v>0</v>
      </c>
      <c r="P1272" s="50">
        <f>SUMIFS(INDEX(Техника!$F$1:$ABM$500,P$2,0),Техника!$F$4:$ABM$4,"Часы",INDEX(Техника!$G$1:$ABN$500,P$2,0),$A$1271,INDEX(Техника!$H$1:$ABO$500,P$2,0),"М")</f>
        <v>0</v>
      </c>
      <c r="Q1272" s="50">
        <f>SUMIFS(INDEX(Техника!$F$1:$ABM$500,Q$2,0),Техника!$F$4:$ABM$4,"Часы",INDEX(Техника!$G$1:$ABN$500,Q$2,0),$A$1271,INDEX(Техника!$H$1:$ABO$500,Q$2,0),"М")</f>
        <v>0</v>
      </c>
      <c r="R1272" s="50">
        <f>SUMIFS(INDEX(Техника!$F$1:$ABM$500,R$2,0),Техника!$F$4:$ABM$4,"Часы",INDEX(Техника!$G$1:$ABN$500,R$2,0),$A$1271,INDEX(Техника!$H$1:$ABO$500,R$2,0),"М")</f>
        <v>0</v>
      </c>
      <c r="S1272" s="50">
        <f>SUMIFS(INDEX(Техника!$F$1:$ABM$500,S$2,0),Техника!$F$4:$ABM$4,"Часы",INDEX(Техника!$G$1:$ABN$500,S$2,0),$A$1271,INDEX(Техника!$H$1:$ABO$500,S$2,0),"М")</f>
        <v>0</v>
      </c>
      <c r="T1272" s="50">
        <f>SUMIFS(INDEX(Техника!$F$1:$ABM$500,T$2,0),Техника!$F$4:$ABM$4,"Часы",INDEX(Техника!$G$1:$ABN$500,T$2,0),$A$1271,INDEX(Техника!$H$1:$ABO$500,T$2,0),"М")</f>
        <v>0</v>
      </c>
      <c r="U1272" s="50">
        <f>SUMIFS(INDEX(Техника!$F$1:$ABM$500,U$2,0),Техника!$F$4:$ABM$4,"Часы",INDEX(Техника!$G$1:$ABN$500,U$2,0),$A$1271,INDEX(Техника!$H$1:$ABO$500,U$2,0),"М")</f>
        <v>0</v>
      </c>
      <c r="V1272" s="50">
        <f>SUMIFS(INDEX(Техника!$F$1:$ABM$500,V$2,0),Техника!$F$4:$ABM$4,"Часы",INDEX(Техника!$G$1:$ABN$500,V$2,0),$A$1271,INDEX(Техника!$H$1:$ABO$500,V$2,0),"М")</f>
        <v>0</v>
      </c>
      <c r="W1272" s="50">
        <f>SUMIFS(INDEX(Техника!$F$1:$ABM$500,W$2,0),Техника!$F$4:$ABM$4,"Часы",INDEX(Техника!$G$1:$ABN$500,W$2,0),$A$1271,INDEX(Техника!$H$1:$ABO$500,W$2,0),"М")</f>
        <v>0</v>
      </c>
      <c r="X1272" s="50">
        <f>SUMIFS(INDEX(Техника!$F$1:$ABM$500,X$2,0),Техника!$F$4:$ABM$4,"Часы",INDEX(Техника!$G$1:$ABN$500,X$2,0),$A$1271,INDEX(Техника!$H$1:$ABO$500,X$2,0),"М")</f>
        <v>0</v>
      </c>
      <c r="Y1272" s="50">
        <f>SUMIFS(INDEX(Техника!$F$1:$ABM$500,Y$2,0),Техника!$F$4:$ABM$4,"Часы",INDEX(Техника!$G$1:$ABN$500,Y$2,0),$A$1271,INDEX(Техника!$H$1:$ABO$500,Y$2,0),"М")</f>
        <v>0</v>
      </c>
      <c r="Z1272" s="50">
        <f>SUMIFS(INDEX(Техника!$F$1:$ABM$500,Z$2,0),Техника!$F$4:$ABM$4,"Часы",INDEX(Техника!$G$1:$ABN$500,Z$2,0),$A$1271,INDEX(Техника!$H$1:$ABO$500,Z$2,0),"М")</f>
        <v>0</v>
      </c>
      <c r="AA1272" s="50">
        <f>SUMIFS(INDEX(Техника!$F$1:$ABM$500,AA$2,0),Техника!$F$4:$ABM$4,"Часы",INDEX(Техника!$G$1:$ABN$500,AA$2,0),$A$1271,INDEX(Техника!$H$1:$ABO$500,AA$2,0),"М")</f>
        <v>0</v>
      </c>
      <c r="AB1272" s="50">
        <f>SUMIFS(INDEX(Техника!$F$1:$ABM$500,AB$2,0),Техника!$F$4:$ABM$4,"Часы",INDEX(Техника!$G$1:$ABN$500,AB$2,0),$A$1271,INDEX(Техника!$H$1:$ABO$500,AB$2,0),"М")</f>
        <v>0</v>
      </c>
    </row>
    <row r="1273" spans="1:28" hidden="1" outlineLevel="1" x14ac:dyDescent="0.3">
      <c r="A1273" s="33" t="s">
        <v>244</v>
      </c>
      <c r="B1273" s="34" t="s">
        <v>275</v>
      </c>
      <c r="C1273" s="50">
        <f>SUMIFS(INDEX(Техника!$F$1:$ABM$500,C$2,0),Техника!$F$4:$ABM$4,"Часы",INDEX(Техника!$G$1:$ABN$500,C$2,0),$A$1271,INDEX(Техника!$H$1:$ABO$500,C$2,0),"Д")</f>
        <v>0</v>
      </c>
      <c r="D1273" s="50">
        <f>SUMIFS(INDEX(Техника!$F$1:$ABM$500,D$2,0),Техника!$F$4:$ABM$4,"Часы",INDEX(Техника!$G$1:$ABN$500,D$2,0),$A$1271,INDEX(Техника!$H$1:$ABO$500,D$2,0),"Д")</f>
        <v>0</v>
      </c>
      <c r="E1273" s="50">
        <f>SUMIFS(INDEX(Техника!$F$1:$ABM$500,E$2,0),Техника!$F$4:$ABM$4,"Часы",INDEX(Техника!$G$1:$ABN$500,E$2,0),$A$1271,INDEX(Техника!$H$1:$ABO$500,E$2,0),"Д")</f>
        <v>0</v>
      </c>
      <c r="F1273" s="50">
        <f>SUMIFS(INDEX(Техника!$F$1:$ABM$500,F$2,0),Техника!$F$4:$ABM$4,"Часы",INDEX(Техника!$G$1:$ABN$500,F$2,0),$A$1271,INDEX(Техника!$H$1:$ABO$500,F$2,0),"Д")</f>
        <v>0</v>
      </c>
      <c r="G1273" s="50">
        <f>SUMIFS(INDEX(Техника!$F$1:$ABM$500,G$2,0),Техника!$F$4:$ABM$4,"Часы",INDEX(Техника!$G$1:$ABN$500,G$2,0),$A$1271,INDEX(Техника!$H$1:$ABO$500,G$2,0),"Д")</f>
        <v>0</v>
      </c>
      <c r="H1273" s="50">
        <f>SUMIFS(INDEX(Техника!$F$1:$ABM$500,H$2,0),Техника!$F$4:$ABM$4,"Часы",INDEX(Техника!$G$1:$ABN$500,H$2,0),$A$1271,INDEX(Техника!$H$1:$ABO$500,H$2,0),"Д")</f>
        <v>0</v>
      </c>
      <c r="I1273" s="50">
        <f>SUMIFS(INDEX(Техника!$F$1:$ABM$500,I$2,0),Техника!$F$4:$ABM$4,"Часы",INDEX(Техника!$G$1:$ABN$500,I$2,0),$A$1271,INDEX(Техника!$H$1:$ABO$500,I$2,0),"Д")</f>
        <v>0</v>
      </c>
      <c r="J1273" s="50">
        <f>SUMIFS(INDEX(Техника!$F$1:$ABM$500,J$2,0),Техника!$F$4:$ABM$4,"Часы",INDEX(Техника!$G$1:$ABN$500,J$2,0),$A$1271,INDEX(Техника!$H$1:$ABO$500,J$2,0),"Д")</f>
        <v>0</v>
      </c>
      <c r="K1273" s="50">
        <f>SUMIFS(INDEX(Техника!$F$1:$ABM$500,K$2,0),Техника!$F$4:$ABM$4,"Часы",INDEX(Техника!$G$1:$ABN$500,K$2,0),$A$1271,INDEX(Техника!$H$1:$ABO$500,K$2,0),"Д")</f>
        <v>0</v>
      </c>
      <c r="L1273" s="50">
        <f>SUMIFS(INDEX(Техника!$F$1:$ABM$500,L$2,0),Техника!$F$4:$ABM$4,"Часы",INDEX(Техника!$G$1:$ABN$500,L$2,0),$A$1271,INDEX(Техника!$H$1:$ABO$500,L$2,0),"Д")</f>
        <v>0</v>
      </c>
      <c r="M1273" s="50">
        <f>SUMIFS(INDEX(Техника!$F$1:$ABM$500,M$2,0),Техника!$F$4:$ABM$4,"Часы",INDEX(Техника!$G$1:$ABN$500,M$2,0),$A$1271,INDEX(Техника!$H$1:$ABO$500,M$2,0),"Д")</f>
        <v>0</v>
      </c>
      <c r="N1273" s="50">
        <f>SUMIFS(INDEX(Техника!$F$1:$ABM$500,N$2,0),Техника!$F$4:$ABM$4,"Часы",INDEX(Техника!$G$1:$ABN$500,N$2,0),$A$1271,INDEX(Техника!$H$1:$ABO$500,N$2,0),"Д")</f>
        <v>0</v>
      </c>
      <c r="O1273" s="50">
        <f>SUMIFS(INDEX(Техника!$F$1:$ABM$500,O$2,0),Техника!$F$4:$ABM$4,"Часы",INDEX(Техника!$G$1:$ABN$500,O$2,0),$A$1271,INDEX(Техника!$H$1:$ABO$500,O$2,0),"Д")</f>
        <v>0</v>
      </c>
      <c r="P1273" s="50">
        <f>SUMIFS(INDEX(Техника!$F$1:$ABM$500,P$2,0),Техника!$F$4:$ABM$4,"Часы",INDEX(Техника!$G$1:$ABN$500,P$2,0),$A$1271,INDEX(Техника!$H$1:$ABO$500,P$2,0),"Д")</f>
        <v>0</v>
      </c>
      <c r="Q1273" s="50">
        <f>SUMIFS(INDEX(Техника!$F$1:$ABM$500,Q$2,0),Техника!$F$4:$ABM$4,"Часы",INDEX(Техника!$G$1:$ABN$500,Q$2,0),$A$1271,INDEX(Техника!$H$1:$ABO$500,Q$2,0),"Д")</f>
        <v>0</v>
      </c>
      <c r="R1273" s="50">
        <f>SUMIFS(INDEX(Техника!$F$1:$ABM$500,R$2,0),Техника!$F$4:$ABM$4,"Часы",INDEX(Техника!$G$1:$ABN$500,R$2,0),$A$1271,INDEX(Техника!$H$1:$ABO$500,R$2,0),"Д")</f>
        <v>0</v>
      </c>
      <c r="S1273" s="50">
        <f>SUMIFS(INDEX(Техника!$F$1:$ABM$500,S$2,0),Техника!$F$4:$ABM$4,"Часы",INDEX(Техника!$G$1:$ABN$500,S$2,0),$A$1271,INDEX(Техника!$H$1:$ABO$500,S$2,0),"Д")</f>
        <v>0</v>
      </c>
      <c r="T1273" s="50">
        <f>SUMIFS(INDEX(Техника!$F$1:$ABM$500,T$2,0),Техника!$F$4:$ABM$4,"Часы",INDEX(Техника!$G$1:$ABN$500,T$2,0),$A$1271,INDEX(Техника!$H$1:$ABO$500,T$2,0),"Д")</f>
        <v>0</v>
      </c>
      <c r="U1273" s="50">
        <f>SUMIFS(INDEX(Техника!$F$1:$ABM$500,U$2,0),Техника!$F$4:$ABM$4,"Часы",INDEX(Техника!$G$1:$ABN$500,U$2,0),$A$1271,INDEX(Техника!$H$1:$ABO$500,U$2,0),"Д")</f>
        <v>0</v>
      </c>
      <c r="V1273" s="50">
        <f>SUMIFS(INDEX(Техника!$F$1:$ABM$500,V$2,0),Техника!$F$4:$ABM$4,"Часы",INDEX(Техника!$G$1:$ABN$500,V$2,0),$A$1271,INDEX(Техника!$H$1:$ABO$500,V$2,0),"Д")</f>
        <v>0</v>
      </c>
      <c r="W1273" s="50">
        <f>SUMIFS(INDEX(Техника!$F$1:$ABM$500,W$2,0),Техника!$F$4:$ABM$4,"Часы",INDEX(Техника!$G$1:$ABN$500,W$2,0),$A$1271,INDEX(Техника!$H$1:$ABO$500,W$2,0),"Д")</f>
        <v>0</v>
      </c>
      <c r="X1273" s="50">
        <f>SUMIFS(INDEX(Техника!$F$1:$ABM$500,X$2,0),Техника!$F$4:$ABM$4,"Часы",INDEX(Техника!$G$1:$ABN$500,X$2,0),$A$1271,INDEX(Техника!$H$1:$ABO$500,X$2,0),"Д")</f>
        <v>0</v>
      </c>
      <c r="Y1273" s="50">
        <f>SUMIFS(INDEX(Техника!$F$1:$ABM$500,Y$2,0),Техника!$F$4:$ABM$4,"Часы",INDEX(Техника!$G$1:$ABN$500,Y$2,0),$A$1271,INDEX(Техника!$H$1:$ABO$500,Y$2,0),"Д")</f>
        <v>0</v>
      </c>
      <c r="Z1273" s="50">
        <f>SUMIFS(INDEX(Техника!$F$1:$ABM$500,Z$2,0),Техника!$F$4:$ABM$4,"Часы",INDEX(Техника!$G$1:$ABN$500,Z$2,0),$A$1271,INDEX(Техника!$H$1:$ABO$500,Z$2,0),"Д")</f>
        <v>0</v>
      </c>
      <c r="AA1273" s="50">
        <f>SUMIFS(INDEX(Техника!$F$1:$ABM$500,AA$2,0),Техника!$F$4:$ABM$4,"Часы",INDEX(Техника!$G$1:$ABN$500,AA$2,0),$A$1271,INDEX(Техника!$H$1:$ABO$500,AA$2,0),"Д")</f>
        <v>0</v>
      </c>
      <c r="AB1273" s="50">
        <f>SUMIFS(INDEX(Техника!$F$1:$ABM$500,AB$2,0),Техника!$F$4:$ABM$4,"Часы",INDEX(Техника!$G$1:$ABN$500,AB$2,0),$A$1271,INDEX(Техника!$H$1:$ABO$500,AB$2,0),"Д")</f>
        <v>0</v>
      </c>
    </row>
    <row r="1274" spans="1:28" hidden="1" outlineLevel="1" x14ac:dyDescent="0.3">
      <c r="A1274" s="33" t="s">
        <v>276</v>
      </c>
      <c r="B1274" s="34" t="s">
        <v>277</v>
      </c>
      <c r="C1274" s="50">
        <f>SUMIFS(INDEX(Техника!$F$1:$ABM$500,C$2,0),Техника!$F$4:$ABM$4,"Часы",INDEX(Техника!$G$1:$ABN$500,C$2,0),$A$1271,INDEX(Техника!$H$1:$ABO$500,C$2,0),"П")</f>
        <v>0</v>
      </c>
      <c r="D1274" s="50">
        <f>SUMIFS(INDEX(Техника!$F$1:$ABM$500,D$2,0),Техника!$F$4:$ABM$4,"Часы",INDEX(Техника!$G$1:$ABN$500,D$2,0),$A$1271,INDEX(Техника!$H$1:$ABO$500,D$2,0),"П")</f>
        <v>0</v>
      </c>
      <c r="E1274" s="50">
        <f>SUMIFS(INDEX(Техника!$F$1:$ABM$500,E$2,0),Техника!$F$4:$ABM$4,"Часы",INDEX(Техника!$G$1:$ABN$500,E$2,0),$A$1271,INDEX(Техника!$H$1:$ABO$500,E$2,0),"П")</f>
        <v>0</v>
      </c>
      <c r="F1274" s="50">
        <f>SUMIFS(INDEX(Техника!$F$1:$ABM$500,F$2,0),Техника!$F$4:$ABM$4,"Часы",INDEX(Техника!$G$1:$ABN$500,F$2,0),$A$1271,INDEX(Техника!$H$1:$ABO$500,F$2,0),"П")</f>
        <v>0</v>
      </c>
      <c r="G1274" s="50">
        <f>SUMIFS(INDEX(Техника!$F$1:$ABM$500,G$2,0),Техника!$F$4:$ABM$4,"Часы",INDEX(Техника!$G$1:$ABN$500,G$2,0),$A$1271,INDEX(Техника!$H$1:$ABO$500,G$2,0),"П")</f>
        <v>0</v>
      </c>
      <c r="H1274" s="50">
        <f>SUMIFS(INDEX(Техника!$F$1:$ABM$500,H$2,0),Техника!$F$4:$ABM$4,"Часы",INDEX(Техника!$G$1:$ABN$500,H$2,0),$A$1271,INDEX(Техника!$H$1:$ABO$500,H$2,0),"П")</f>
        <v>0</v>
      </c>
      <c r="I1274" s="50">
        <f>SUMIFS(INDEX(Техника!$F$1:$ABM$500,I$2,0),Техника!$F$4:$ABM$4,"Часы",INDEX(Техника!$G$1:$ABN$500,I$2,0),$A$1271,INDEX(Техника!$H$1:$ABO$500,I$2,0),"П")</f>
        <v>0</v>
      </c>
      <c r="J1274" s="50">
        <f>SUMIFS(INDEX(Техника!$F$1:$ABM$500,J$2,0),Техника!$F$4:$ABM$4,"Часы",INDEX(Техника!$G$1:$ABN$500,J$2,0),$A$1271,INDEX(Техника!$H$1:$ABO$500,J$2,0),"П")</f>
        <v>0</v>
      </c>
      <c r="K1274" s="50">
        <f>SUMIFS(INDEX(Техника!$F$1:$ABM$500,K$2,0),Техника!$F$4:$ABM$4,"Часы",INDEX(Техника!$G$1:$ABN$500,K$2,0),$A$1271,INDEX(Техника!$H$1:$ABO$500,K$2,0),"П")</f>
        <v>0</v>
      </c>
      <c r="L1274" s="50">
        <f>SUMIFS(INDEX(Техника!$F$1:$ABM$500,L$2,0),Техника!$F$4:$ABM$4,"Часы",INDEX(Техника!$G$1:$ABN$500,L$2,0),$A$1271,INDEX(Техника!$H$1:$ABO$500,L$2,0),"П")</f>
        <v>0</v>
      </c>
      <c r="M1274" s="50">
        <f>SUMIFS(INDEX(Техника!$F$1:$ABM$500,M$2,0),Техника!$F$4:$ABM$4,"Часы",INDEX(Техника!$G$1:$ABN$500,M$2,0),$A$1271,INDEX(Техника!$H$1:$ABO$500,M$2,0),"П")</f>
        <v>0</v>
      </c>
      <c r="N1274" s="50">
        <f>SUMIFS(INDEX(Техника!$F$1:$ABM$500,N$2,0),Техника!$F$4:$ABM$4,"Часы",INDEX(Техника!$G$1:$ABN$500,N$2,0),$A$1271,INDEX(Техника!$H$1:$ABO$500,N$2,0),"П")</f>
        <v>0</v>
      </c>
      <c r="O1274" s="50">
        <f>SUMIFS(INDEX(Техника!$F$1:$ABM$500,O$2,0),Техника!$F$4:$ABM$4,"Часы",INDEX(Техника!$G$1:$ABN$500,O$2,0),$A$1271,INDEX(Техника!$H$1:$ABO$500,O$2,0),"П")</f>
        <v>0</v>
      </c>
      <c r="P1274" s="50">
        <f>SUMIFS(INDEX(Техника!$F$1:$ABM$500,P$2,0),Техника!$F$4:$ABM$4,"Часы",INDEX(Техника!$G$1:$ABN$500,P$2,0),$A$1271,INDEX(Техника!$H$1:$ABO$500,P$2,0),"П")</f>
        <v>0</v>
      </c>
      <c r="Q1274" s="50">
        <f>SUMIFS(INDEX(Техника!$F$1:$ABM$500,Q$2,0),Техника!$F$4:$ABM$4,"Часы",INDEX(Техника!$G$1:$ABN$500,Q$2,0),$A$1271,INDEX(Техника!$H$1:$ABO$500,Q$2,0),"П")</f>
        <v>0</v>
      </c>
      <c r="R1274" s="50">
        <f>SUMIFS(INDEX(Техника!$F$1:$ABM$500,R$2,0),Техника!$F$4:$ABM$4,"Часы",INDEX(Техника!$G$1:$ABN$500,R$2,0),$A$1271,INDEX(Техника!$H$1:$ABO$500,R$2,0),"П")</f>
        <v>0</v>
      </c>
      <c r="S1274" s="50">
        <f>SUMIFS(INDEX(Техника!$F$1:$ABM$500,S$2,0),Техника!$F$4:$ABM$4,"Часы",INDEX(Техника!$G$1:$ABN$500,S$2,0),$A$1271,INDEX(Техника!$H$1:$ABO$500,S$2,0),"П")</f>
        <v>0</v>
      </c>
      <c r="T1274" s="50">
        <f>SUMIFS(INDEX(Техника!$F$1:$ABM$500,T$2,0),Техника!$F$4:$ABM$4,"Часы",INDEX(Техника!$G$1:$ABN$500,T$2,0),$A$1271,INDEX(Техника!$H$1:$ABO$500,T$2,0),"П")</f>
        <v>0</v>
      </c>
      <c r="U1274" s="50">
        <f>SUMIFS(INDEX(Техника!$F$1:$ABM$500,U$2,0),Техника!$F$4:$ABM$4,"Часы",INDEX(Техника!$G$1:$ABN$500,U$2,0),$A$1271,INDEX(Техника!$H$1:$ABO$500,U$2,0),"П")</f>
        <v>0</v>
      </c>
      <c r="V1274" s="50">
        <f>SUMIFS(INDEX(Техника!$F$1:$ABM$500,V$2,0),Техника!$F$4:$ABM$4,"Часы",INDEX(Техника!$G$1:$ABN$500,V$2,0),$A$1271,INDEX(Техника!$H$1:$ABO$500,V$2,0),"П")</f>
        <v>0</v>
      </c>
      <c r="W1274" s="50">
        <f>SUMIFS(INDEX(Техника!$F$1:$ABM$500,W$2,0),Техника!$F$4:$ABM$4,"Часы",INDEX(Техника!$G$1:$ABN$500,W$2,0),$A$1271,INDEX(Техника!$H$1:$ABO$500,W$2,0),"П")</f>
        <v>0</v>
      </c>
      <c r="X1274" s="50">
        <f>SUMIFS(INDEX(Техника!$F$1:$ABM$500,X$2,0),Техника!$F$4:$ABM$4,"Часы",INDEX(Техника!$G$1:$ABN$500,X$2,0),$A$1271,INDEX(Техника!$H$1:$ABO$500,X$2,0),"П")</f>
        <v>0</v>
      </c>
      <c r="Y1274" s="50">
        <f>SUMIFS(INDEX(Техника!$F$1:$ABM$500,Y$2,0),Техника!$F$4:$ABM$4,"Часы",INDEX(Техника!$G$1:$ABN$500,Y$2,0),$A$1271,INDEX(Техника!$H$1:$ABO$500,Y$2,0),"П")</f>
        <v>0</v>
      </c>
      <c r="Z1274" s="50">
        <f>SUMIFS(INDEX(Техника!$F$1:$ABM$500,Z$2,0),Техника!$F$4:$ABM$4,"Часы",INDEX(Техника!$G$1:$ABN$500,Z$2,0),$A$1271,INDEX(Техника!$H$1:$ABO$500,Z$2,0),"П")</f>
        <v>0</v>
      </c>
      <c r="AA1274" s="50">
        <f>SUMIFS(INDEX(Техника!$F$1:$ABM$500,AA$2,0),Техника!$F$4:$ABM$4,"Часы",INDEX(Техника!$G$1:$ABN$500,AA$2,0),$A$1271,INDEX(Техника!$H$1:$ABO$500,AA$2,0),"П")</f>
        <v>0</v>
      </c>
      <c r="AB1274" s="50">
        <f>SUMIFS(INDEX(Техника!$F$1:$ABM$500,AB$2,0),Техника!$F$4:$ABM$4,"Часы",INDEX(Техника!$G$1:$ABN$500,AB$2,0),$A$1271,INDEX(Техника!$H$1:$ABO$500,AB$2,0),"П")</f>
        <v>0</v>
      </c>
    </row>
    <row r="1275" spans="1:28" hidden="1" outlineLevel="1" x14ac:dyDescent="0.3">
      <c r="A1275" s="33" t="s">
        <v>243</v>
      </c>
      <c r="B1275" s="34" t="s">
        <v>278</v>
      </c>
      <c r="C1275" s="50">
        <f>SUMIFS(INDEX(Техника!$F$1:$ABM$500,C$2,0),Техника!$F$4:$ABM$4,"Часы",INDEX(Техника!$G$1:$ABN$500,C$2,0),$A$1271,INDEX(Техника!$H$1:$ABO$500,C$2,0),"Л")</f>
        <v>0</v>
      </c>
      <c r="D1275" s="50">
        <f>SUMIFS(INDEX(Техника!$F$1:$ABM$500,D$2,0),Техника!$F$4:$ABM$4,"Часы",INDEX(Техника!$G$1:$ABN$500,D$2,0),$A$1271,INDEX(Техника!$H$1:$ABO$500,D$2,0),"Л")</f>
        <v>0</v>
      </c>
      <c r="E1275" s="50">
        <f>SUMIFS(INDEX(Техника!$F$1:$ABM$500,E$2,0),Техника!$F$4:$ABM$4,"Часы",INDEX(Техника!$G$1:$ABN$500,E$2,0),$A$1271,INDEX(Техника!$H$1:$ABO$500,E$2,0),"Л")</f>
        <v>0</v>
      </c>
      <c r="F1275" s="50">
        <f>SUMIFS(INDEX(Техника!$F$1:$ABM$500,F$2,0),Техника!$F$4:$ABM$4,"Часы",INDEX(Техника!$G$1:$ABN$500,F$2,0),$A$1271,INDEX(Техника!$H$1:$ABO$500,F$2,0),"Л")</f>
        <v>0</v>
      </c>
      <c r="G1275" s="50">
        <f>SUMIFS(INDEX(Техника!$F$1:$ABM$500,G$2,0),Техника!$F$4:$ABM$4,"Часы",INDEX(Техника!$G$1:$ABN$500,G$2,0),$A$1271,INDEX(Техника!$H$1:$ABO$500,G$2,0),"Л")</f>
        <v>0</v>
      </c>
      <c r="H1275" s="50">
        <f>SUMIFS(INDEX(Техника!$F$1:$ABM$500,H$2,0),Техника!$F$4:$ABM$4,"Часы",INDEX(Техника!$G$1:$ABN$500,H$2,0),$A$1271,INDEX(Техника!$H$1:$ABO$500,H$2,0),"Л")</f>
        <v>0</v>
      </c>
      <c r="I1275" s="50">
        <f>SUMIFS(INDEX(Техника!$F$1:$ABM$500,I$2,0),Техника!$F$4:$ABM$4,"Часы",INDEX(Техника!$G$1:$ABN$500,I$2,0),$A$1271,INDEX(Техника!$H$1:$ABO$500,I$2,0),"Л")</f>
        <v>0</v>
      </c>
      <c r="J1275" s="50">
        <f>SUMIFS(INDEX(Техника!$F$1:$ABM$500,J$2,0),Техника!$F$4:$ABM$4,"Часы",INDEX(Техника!$G$1:$ABN$500,J$2,0),$A$1271,INDEX(Техника!$H$1:$ABO$500,J$2,0),"Л")</f>
        <v>0</v>
      </c>
      <c r="K1275" s="50">
        <f>SUMIFS(INDEX(Техника!$F$1:$ABM$500,K$2,0),Техника!$F$4:$ABM$4,"Часы",INDEX(Техника!$G$1:$ABN$500,K$2,0),$A$1271,INDEX(Техника!$H$1:$ABO$500,K$2,0),"Л")</f>
        <v>0</v>
      </c>
      <c r="L1275" s="50">
        <f>SUMIFS(INDEX(Техника!$F$1:$ABM$500,L$2,0),Техника!$F$4:$ABM$4,"Часы",INDEX(Техника!$G$1:$ABN$500,L$2,0),$A$1271,INDEX(Техника!$H$1:$ABO$500,L$2,0),"Л")</f>
        <v>0</v>
      </c>
      <c r="M1275" s="50">
        <f>SUMIFS(INDEX(Техника!$F$1:$ABM$500,M$2,0),Техника!$F$4:$ABM$4,"Часы",INDEX(Техника!$G$1:$ABN$500,M$2,0),$A$1271,INDEX(Техника!$H$1:$ABO$500,M$2,0),"Л")</f>
        <v>0</v>
      </c>
      <c r="N1275" s="50">
        <f>SUMIFS(INDEX(Техника!$F$1:$ABM$500,N$2,0),Техника!$F$4:$ABM$4,"Часы",INDEX(Техника!$G$1:$ABN$500,N$2,0),$A$1271,INDEX(Техника!$H$1:$ABO$500,N$2,0),"Л")</f>
        <v>0</v>
      </c>
      <c r="O1275" s="50">
        <f>SUMIFS(INDEX(Техника!$F$1:$ABM$500,O$2,0),Техника!$F$4:$ABM$4,"Часы",INDEX(Техника!$G$1:$ABN$500,O$2,0),$A$1271,INDEX(Техника!$H$1:$ABO$500,O$2,0),"Л")</f>
        <v>0</v>
      </c>
      <c r="P1275" s="50">
        <f>SUMIFS(INDEX(Техника!$F$1:$ABM$500,P$2,0),Техника!$F$4:$ABM$4,"Часы",INDEX(Техника!$G$1:$ABN$500,P$2,0),$A$1271,INDEX(Техника!$H$1:$ABO$500,P$2,0),"Л")</f>
        <v>0</v>
      </c>
      <c r="Q1275" s="50">
        <f>SUMIFS(INDEX(Техника!$F$1:$ABM$500,Q$2,0),Техника!$F$4:$ABM$4,"Часы",INDEX(Техника!$G$1:$ABN$500,Q$2,0),$A$1271,INDEX(Техника!$H$1:$ABO$500,Q$2,0),"Л")</f>
        <v>0</v>
      </c>
      <c r="R1275" s="50">
        <f>SUMIFS(INDEX(Техника!$F$1:$ABM$500,R$2,0),Техника!$F$4:$ABM$4,"Часы",INDEX(Техника!$G$1:$ABN$500,R$2,0),$A$1271,INDEX(Техника!$H$1:$ABO$500,R$2,0),"Л")</f>
        <v>0</v>
      </c>
      <c r="S1275" s="50">
        <f>SUMIFS(INDEX(Техника!$F$1:$ABM$500,S$2,0),Техника!$F$4:$ABM$4,"Часы",INDEX(Техника!$G$1:$ABN$500,S$2,0),$A$1271,INDEX(Техника!$H$1:$ABO$500,S$2,0),"Л")</f>
        <v>0</v>
      </c>
      <c r="T1275" s="50">
        <f>SUMIFS(INDEX(Техника!$F$1:$ABM$500,T$2,0),Техника!$F$4:$ABM$4,"Часы",INDEX(Техника!$G$1:$ABN$500,T$2,0),$A$1271,INDEX(Техника!$H$1:$ABO$500,T$2,0),"Л")</f>
        <v>0</v>
      </c>
      <c r="U1275" s="50">
        <f>SUMIFS(INDEX(Техника!$F$1:$ABM$500,U$2,0),Техника!$F$4:$ABM$4,"Часы",INDEX(Техника!$G$1:$ABN$500,U$2,0),$A$1271,INDEX(Техника!$H$1:$ABO$500,U$2,0),"Л")</f>
        <v>0</v>
      </c>
      <c r="V1275" s="50">
        <f>SUMIFS(INDEX(Техника!$F$1:$ABM$500,V$2,0),Техника!$F$4:$ABM$4,"Часы",INDEX(Техника!$G$1:$ABN$500,V$2,0),$A$1271,INDEX(Техника!$H$1:$ABO$500,V$2,0),"Л")</f>
        <v>0</v>
      </c>
      <c r="W1275" s="50">
        <f>SUMIFS(INDEX(Техника!$F$1:$ABM$500,W$2,0),Техника!$F$4:$ABM$4,"Часы",INDEX(Техника!$G$1:$ABN$500,W$2,0),$A$1271,INDEX(Техника!$H$1:$ABO$500,W$2,0),"Л")</f>
        <v>0</v>
      </c>
      <c r="X1275" s="50">
        <f>SUMIFS(INDEX(Техника!$F$1:$ABM$500,X$2,0),Техника!$F$4:$ABM$4,"Часы",INDEX(Техника!$G$1:$ABN$500,X$2,0),$A$1271,INDEX(Техника!$H$1:$ABO$500,X$2,0),"Л")</f>
        <v>0</v>
      </c>
      <c r="Y1275" s="50">
        <f>SUMIFS(INDEX(Техника!$F$1:$ABM$500,Y$2,0),Техника!$F$4:$ABM$4,"Часы",INDEX(Техника!$G$1:$ABN$500,Y$2,0),$A$1271,INDEX(Техника!$H$1:$ABO$500,Y$2,0),"Л")</f>
        <v>0</v>
      </c>
      <c r="Z1275" s="50">
        <f>SUMIFS(INDEX(Техника!$F$1:$ABM$500,Z$2,0),Техника!$F$4:$ABM$4,"Часы",INDEX(Техника!$G$1:$ABN$500,Z$2,0),$A$1271,INDEX(Техника!$H$1:$ABO$500,Z$2,0),"Л")</f>
        <v>0</v>
      </c>
      <c r="AA1275" s="50">
        <f>SUMIFS(INDEX(Техника!$F$1:$ABM$500,AA$2,0),Техника!$F$4:$ABM$4,"Часы",INDEX(Техника!$G$1:$ABN$500,AA$2,0),$A$1271,INDEX(Техника!$H$1:$ABO$500,AA$2,0),"Л")</f>
        <v>0</v>
      </c>
      <c r="AB1275" s="50">
        <f>SUMIFS(INDEX(Техника!$F$1:$ABM$500,AB$2,0),Техника!$F$4:$ABM$4,"Часы",INDEX(Техника!$G$1:$ABN$500,AB$2,0),$A$1271,INDEX(Техника!$H$1:$ABO$500,AB$2,0),"Л")</f>
        <v>0</v>
      </c>
    </row>
    <row r="1276" spans="1:28" hidden="1" outlineLevel="1" x14ac:dyDescent="0.3">
      <c r="A1276" s="33" t="s">
        <v>245</v>
      </c>
      <c r="B1276" s="34" t="s">
        <v>279</v>
      </c>
      <c r="C1276" s="50">
        <f>SUMIFS(INDEX(Техника!$F$1:$ABM$500,C$2,0),Техника!$F$4:$ABM$4,"Часы",INDEX(Техника!$G$1:$ABN$500,C$2,0),$A$1271,INDEX(Техника!$H$1:$ABO$500,C$2,0),"З")</f>
        <v>0</v>
      </c>
      <c r="D1276" s="50">
        <f>SUMIFS(INDEX(Техника!$F$1:$ABM$500,D$2,0),Техника!$F$4:$ABM$4,"Часы",INDEX(Техника!$G$1:$ABN$500,D$2,0),$A$1271,INDEX(Техника!$H$1:$ABO$500,D$2,0),"З")</f>
        <v>0</v>
      </c>
      <c r="E1276" s="50">
        <f>SUMIFS(INDEX(Техника!$F$1:$ABM$500,E$2,0),Техника!$F$4:$ABM$4,"Часы",INDEX(Техника!$G$1:$ABN$500,E$2,0),$A$1271,INDEX(Техника!$H$1:$ABO$500,E$2,0),"З")</f>
        <v>0</v>
      </c>
      <c r="F1276" s="50">
        <f>SUMIFS(INDEX(Техника!$F$1:$ABM$500,F$2,0),Техника!$F$4:$ABM$4,"Часы",INDEX(Техника!$G$1:$ABN$500,F$2,0),$A$1271,INDEX(Техника!$H$1:$ABO$500,F$2,0),"З")</f>
        <v>0</v>
      </c>
      <c r="G1276" s="50">
        <f>SUMIFS(INDEX(Техника!$F$1:$ABM$500,G$2,0),Техника!$F$4:$ABM$4,"Часы",INDEX(Техника!$G$1:$ABN$500,G$2,0),$A$1271,INDEX(Техника!$H$1:$ABO$500,G$2,0),"З")</f>
        <v>0</v>
      </c>
      <c r="H1276" s="50">
        <f>SUMIFS(INDEX(Техника!$F$1:$ABM$500,H$2,0),Техника!$F$4:$ABM$4,"Часы",INDEX(Техника!$G$1:$ABN$500,H$2,0),$A$1271,INDEX(Техника!$H$1:$ABO$500,H$2,0),"З")</f>
        <v>0</v>
      </c>
      <c r="I1276" s="50">
        <f>SUMIFS(INDEX(Техника!$F$1:$ABM$500,I$2,0),Техника!$F$4:$ABM$4,"Часы",INDEX(Техника!$G$1:$ABN$500,I$2,0),$A$1271,INDEX(Техника!$H$1:$ABO$500,I$2,0),"З")</f>
        <v>0</v>
      </c>
      <c r="J1276" s="50">
        <f>SUMIFS(INDEX(Техника!$F$1:$ABM$500,J$2,0),Техника!$F$4:$ABM$4,"Часы",INDEX(Техника!$G$1:$ABN$500,J$2,0),$A$1271,INDEX(Техника!$H$1:$ABO$500,J$2,0),"З")</f>
        <v>0</v>
      </c>
      <c r="K1276" s="50">
        <f>SUMIFS(INDEX(Техника!$F$1:$ABM$500,K$2,0),Техника!$F$4:$ABM$4,"Часы",INDEX(Техника!$G$1:$ABN$500,K$2,0),$A$1271,INDEX(Техника!$H$1:$ABO$500,K$2,0),"З")</f>
        <v>0</v>
      </c>
      <c r="L1276" s="50">
        <f>SUMIFS(INDEX(Техника!$F$1:$ABM$500,L$2,0),Техника!$F$4:$ABM$4,"Часы",INDEX(Техника!$G$1:$ABN$500,L$2,0),$A$1271,INDEX(Техника!$H$1:$ABO$500,L$2,0),"З")</f>
        <v>0</v>
      </c>
      <c r="M1276" s="50">
        <f>SUMIFS(INDEX(Техника!$F$1:$ABM$500,M$2,0),Техника!$F$4:$ABM$4,"Часы",INDEX(Техника!$G$1:$ABN$500,M$2,0),$A$1271,INDEX(Техника!$H$1:$ABO$500,M$2,0),"З")</f>
        <v>0</v>
      </c>
      <c r="N1276" s="50">
        <f>SUMIFS(INDEX(Техника!$F$1:$ABM$500,N$2,0),Техника!$F$4:$ABM$4,"Часы",INDEX(Техника!$G$1:$ABN$500,N$2,0),$A$1271,INDEX(Техника!$H$1:$ABO$500,N$2,0),"З")</f>
        <v>0</v>
      </c>
      <c r="O1276" s="50">
        <f>SUMIFS(INDEX(Техника!$F$1:$ABM$500,O$2,0),Техника!$F$4:$ABM$4,"Часы",INDEX(Техника!$G$1:$ABN$500,O$2,0),$A$1271,INDEX(Техника!$H$1:$ABO$500,O$2,0),"З")</f>
        <v>0</v>
      </c>
      <c r="P1276" s="50">
        <f>SUMIFS(INDEX(Техника!$F$1:$ABM$500,P$2,0),Техника!$F$4:$ABM$4,"Часы",INDEX(Техника!$G$1:$ABN$500,P$2,0),$A$1271,INDEX(Техника!$H$1:$ABO$500,P$2,0),"З")</f>
        <v>0</v>
      </c>
      <c r="Q1276" s="50">
        <f>SUMIFS(INDEX(Техника!$F$1:$ABM$500,Q$2,0),Техника!$F$4:$ABM$4,"Часы",INDEX(Техника!$G$1:$ABN$500,Q$2,0),$A$1271,INDEX(Техника!$H$1:$ABO$500,Q$2,0),"З")</f>
        <v>0</v>
      </c>
      <c r="R1276" s="50">
        <f>SUMIFS(INDEX(Техника!$F$1:$ABM$500,R$2,0),Техника!$F$4:$ABM$4,"Часы",INDEX(Техника!$G$1:$ABN$500,R$2,0),$A$1271,INDEX(Техника!$H$1:$ABO$500,R$2,0),"З")</f>
        <v>0</v>
      </c>
      <c r="S1276" s="50">
        <f>SUMIFS(INDEX(Техника!$F$1:$ABM$500,S$2,0),Техника!$F$4:$ABM$4,"Часы",INDEX(Техника!$G$1:$ABN$500,S$2,0),$A$1271,INDEX(Техника!$H$1:$ABO$500,S$2,0),"З")</f>
        <v>0</v>
      </c>
      <c r="T1276" s="50">
        <f>SUMIFS(INDEX(Техника!$F$1:$ABM$500,T$2,0),Техника!$F$4:$ABM$4,"Часы",INDEX(Техника!$G$1:$ABN$500,T$2,0),$A$1271,INDEX(Техника!$H$1:$ABO$500,T$2,0),"З")</f>
        <v>0</v>
      </c>
      <c r="U1276" s="50">
        <f>SUMIFS(INDEX(Техника!$F$1:$ABM$500,U$2,0),Техника!$F$4:$ABM$4,"Часы",INDEX(Техника!$G$1:$ABN$500,U$2,0),$A$1271,INDEX(Техника!$H$1:$ABO$500,U$2,0),"З")</f>
        <v>0</v>
      </c>
      <c r="V1276" s="50">
        <f>SUMIFS(INDEX(Техника!$F$1:$ABM$500,V$2,0),Техника!$F$4:$ABM$4,"Часы",INDEX(Техника!$G$1:$ABN$500,V$2,0),$A$1271,INDEX(Техника!$H$1:$ABO$500,V$2,0),"З")</f>
        <v>0</v>
      </c>
      <c r="W1276" s="50">
        <f>SUMIFS(INDEX(Техника!$F$1:$ABM$500,W$2,0),Техника!$F$4:$ABM$4,"Часы",INDEX(Техника!$G$1:$ABN$500,W$2,0),$A$1271,INDEX(Техника!$H$1:$ABO$500,W$2,0),"З")</f>
        <v>0</v>
      </c>
      <c r="X1276" s="50">
        <f>SUMIFS(INDEX(Техника!$F$1:$ABM$500,X$2,0),Техника!$F$4:$ABM$4,"Часы",INDEX(Техника!$G$1:$ABN$500,X$2,0),$A$1271,INDEX(Техника!$H$1:$ABO$500,X$2,0),"З")</f>
        <v>0</v>
      </c>
      <c r="Y1276" s="50">
        <f>SUMIFS(INDEX(Техника!$F$1:$ABM$500,Y$2,0),Техника!$F$4:$ABM$4,"Часы",INDEX(Техника!$G$1:$ABN$500,Y$2,0),$A$1271,INDEX(Техника!$H$1:$ABO$500,Y$2,0),"З")</f>
        <v>0</v>
      </c>
      <c r="Z1276" s="50">
        <f>SUMIFS(INDEX(Техника!$F$1:$ABM$500,Z$2,0),Техника!$F$4:$ABM$4,"Часы",INDEX(Техника!$G$1:$ABN$500,Z$2,0),$A$1271,INDEX(Техника!$H$1:$ABO$500,Z$2,0),"З")</f>
        <v>0</v>
      </c>
      <c r="AA1276" s="50">
        <f>SUMIFS(INDEX(Техника!$F$1:$ABM$500,AA$2,0),Техника!$F$4:$ABM$4,"Часы",INDEX(Техника!$G$1:$ABN$500,AA$2,0),$A$1271,INDEX(Техника!$H$1:$ABO$500,AA$2,0),"З")</f>
        <v>0</v>
      </c>
      <c r="AB1276" s="50">
        <f>SUMIFS(INDEX(Техника!$F$1:$ABM$500,AB$2,0),Техника!$F$4:$ABM$4,"Часы",INDEX(Техника!$G$1:$ABN$500,AB$2,0),$A$1271,INDEX(Техника!$H$1:$ABO$500,AB$2,0),"З")</f>
        <v>0</v>
      </c>
    </row>
    <row r="1277" spans="1:28" ht="7.95" customHeight="1" x14ac:dyDescent="0.3">
      <c r="A1277" s="38"/>
      <c r="B1277" s="39"/>
      <c r="C1277" s="51"/>
      <c r="D1277" s="51"/>
      <c r="E1277" s="51"/>
      <c r="F1277" s="51"/>
      <c r="G1277" s="51"/>
      <c r="H1277" s="51"/>
      <c r="I1277" s="51"/>
      <c r="J1277" s="51"/>
      <c r="K1277" s="51"/>
      <c r="L1277" s="51"/>
      <c r="M1277" s="51"/>
      <c r="N1277" s="51"/>
      <c r="O1277" s="51"/>
      <c r="P1277" s="51"/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  <c r="AA1277" s="51"/>
      <c r="AB1277" s="51"/>
    </row>
    <row r="1278" spans="1:28" ht="25.05" customHeight="1" collapsed="1" x14ac:dyDescent="0.3">
      <c r="A1278" s="32">
        <v>183</v>
      </c>
      <c r="B1278" s="32" t="s">
        <v>184</v>
      </c>
      <c r="C1278" s="49">
        <f>SUM(C1279:C1283)</f>
        <v>0</v>
      </c>
      <c r="D1278" s="49">
        <f>SUM(D1279:D1283)</f>
        <v>0</v>
      </c>
      <c r="E1278" s="49">
        <f>SUM(E1279:E1283)</f>
        <v>0</v>
      </c>
      <c r="F1278" s="49">
        <f>SUM(F1279:F1283)</f>
        <v>0</v>
      </c>
      <c r="G1278" s="49">
        <f>SUM(G1279:G1283)</f>
        <v>0</v>
      </c>
      <c r="H1278" s="49">
        <f>SUM(H1279:H1283)</f>
        <v>0</v>
      </c>
      <c r="I1278" s="49">
        <f>SUM(I1279:I1283)</f>
        <v>0</v>
      </c>
      <c r="J1278" s="49">
        <f>SUM(J1279:J1283)</f>
        <v>0</v>
      </c>
      <c r="K1278" s="49">
        <f>SUM(K1279:K1283)</f>
        <v>0</v>
      </c>
      <c r="L1278" s="49">
        <f>SUM(L1279:L1283)</f>
        <v>0</v>
      </c>
      <c r="M1278" s="49">
        <f>SUM(M1279:M1283)</f>
        <v>0</v>
      </c>
      <c r="N1278" s="49">
        <f>SUM(N1279:N1283)</f>
        <v>0</v>
      </c>
      <c r="O1278" s="49">
        <f>SUM(O1279:O1283)</f>
        <v>0</v>
      </c>
      <c r="P1278" s="49">
        <f>SUM(P1279:P1283)</f>
        <v>0</v>
      </c>
      <c r="Q1278" s="49">
        <f>SUM(Q1279:Q1283)</f>
        <v>0</v>
      </c>
      <c r="R1278" s="49">
        <f>SUM(R1279:R1283)</f>
        <v>0</v>
      </c>
      <c r="S1278" s="49">
        <f>SUM(S1279:S1283)</f>
        <v>0</v>
      </c>
      <c r="T1278" s="49">
        <f>SUM(T1279:T1283)</f>
        <v>0</v>
      </c>
      <c r="U1278" s="49">
        <f>SUM(U1279:U1283)</f>
        <v>0</v>
      </c>
      <c r="V1278" s="49">
        <f>SUM(V1279:V1283)</f>
        <v>0</v>
      </c>
      <c r="W1278" s="49">
        <f>SUM(W1279:W1283)</f>
        <v>0</v>
      </c>
      <c r="X1278" s="49">
        <f>SUM(X1279:X1283)</f>
        <v>0</v>
      </c>
      <c r="Y1278" s="49">
        <f>SUM(Y1279:Y1283)</f>
        <v>0</v>
      </c>
      <c r="Z1278" s="49">
        <f>SUM(Z1279:Z1283)</f>
        <v>0</v>
      </c>
      <c r="AA1278" s="49">
        <f>SUM(AA1279:AA1283)</f>
        <v>0</v>
      </c>
      <c r="AB1278" s="49">
        <f>SUM(AB1279:AB1283)</f>
        <v>0</v>
      </c>
    </row>
    <row r="1279" spans="1:28" hidden="1" outlineLevel="1" x14ac:dyDescent="0.3">
      <c r="A1279" s="33" t="s">
        <v>246</v>
      </c>
      <c r="B1279" s="34" t="s">
        <v>274</v>
      </c>
      <c r="C1279" s="50">
        <f>SUMIFS(INDEX(Техника!$F$1:$ABM$500,C$2,0),Техника!$F$4:$ABM$4,"Часы",INDEX(Техника!$G$1:$ABN$500,C$2,0),$A$1278,INDEX(Техника!$H$1:$ABO$500,C$2,0),"М")</f>
        <v>0</v>
      </c>
      <c r="D1279" s="50">
        <f>SUMIFS(INDEX(Техника!$F$1:$ABM$500,D$2,0),Техника!$F$4:$ABM$4,"Часы",INDEX(Техника!$G$1:$ABN$500,D$2,0),$A$1278,INDEX(Техника!$H$1:$ABO$500,D$2,0),"М")</f>
        <v>0</v>
      </c>
      <c r="E1279" s="50">
        <f>SUMIFS(INDEX(Техника!$F$1:$ABM$500,E$2,0),Техника!$F$4:$ABM$4,"Часы",INDEX(Техника!$G$1:$ABN$500,E$2,0),$A$1278,INDEX(Техника!$H$1:$ABO$500,E$2,0),"М")</f>
        <v>0</v>
      </c>
      <c r="F1279" s="50">
        <f>SUMIFS(INDEX(Техника!$F$1:$ABM$500,F$2,0),Техника!$F$4:$ABM$4,"Часы",INDEX(Техника!$G$1:$ABN$500,F$2,0),$A$1278,INDEX(Техника!$H$1:$ABO$500,F$2,0),"М")</f>
        <v>0</v>
      </c>
      <c r="G1279" s="50">
        <f>SUMIFS(INDEX(Техника!$F$1:$ABM$500,G$2,0),Техника!$F$4:$ABM$4,"Часы",INDEX(Техника!$G$1:$ABN$500,G$2,0),$A$1278,INDEX(Техника!$H$1:$ABO$500,G$2,0),"М")</f>
        <v>0</v>
      </c>
      <c r="H1279" s="50">
        <f>SUMIFS(INDEX(Техника!$F$1:$ABM$500,H$2,0),Техника!$F$4:$ABM$4,"Часы",INDEX(Техника!$G$1:$ABN$500,H$2,0),$A$1278,INDEX(Техника!$H$1:$ABO$500,H$2,0),"М")</f>
        <v>0</v>
      </c>
      <c r="I1279" s="50">
        <f>SUMIFS(INDEX(Техника!$F$1:$ABM$500,I$2,0),Техника!$F$4:$ABM$4,"Часы",INDEX(Техника!$G$1:$ABN$500,I$2,0),$A$1278,INDEX(Техника!$H$1:$ABO$500,I$2,0),"М")</f>
        <v>0</v>
      </c>
      <c r="J1279" s="50">
        <f>SUMIFS(INDEX(Техника!$F$1:$ABM$500,J$2,0),Техника!$F$4:$ABM$4,"Часы",INDEX(Техника!$G$1:$ABN$500,J$2,0),$A$1278,INDEX(Техника!$H$1:$ABO$500,J$2,0),"М")</f>
        <v>0</v>
      </c>
      <c r="K1279" s="50">
        <f>SUMIFS(INDEX(Техника!$F$1:$ABM$500,K$2,0),Техника!$F$4:$ABM$4,"Часы",INDEX(Техника!$G$1:$ABN$500,K$2,0),$A$1278,INDEX(Техника!$H$1:$ABO$500,K$2,0),"М")</f>
        <v>0</v>
      </c>
      <c r="L1279" s="50">
        <f>SUMIFS(INDEX(Техника!$F$1:$ABM$500,L$2,0),Техника!$F$4:$ABM$4,"Часы",INDEX(Техника!$G$1:$ABN$500,L$2,0),$A$1278,INDEX(Техника!$H$1:$ABO$500,L$2,0),"М")</f>
        <v>0</v>
      </c>
      <c r="M1279" s="50">
        <f>SUMIFS(INDEX(Техника!$F$1:$ABM$500,M$2,0),Техника!$F$4:$ABM$4,"Часы",INDEX(Техника!$G$1:$ABN$500,M$2,0),$A$1278,INDEX(Техника!$H$1:$ABO$500,M$2,0),"М")</f>
        <v>0</v>
      </c>
      <c r="N1279" s="50">
        <f>SUMIFS(INDEX(Техника!$F$1:$ABM$500,N$2,0),Техника!$F$4:$ABM$4,"Часы",INDEX(Техника!$G$1:$ABN$500,N$2,0),$A$1278,INDEX(Техника!$H$1:$ABO$500,N$2,0),"М")</f>
        <v>0</v>
      </c>
      <c r="O1279" s="50">
        <f>SUMIFS(INDEX(Техника!$F$1:$ABM$500,O$2,0),Техника!$F$4:$ABM$4,"Часы",INDEX(Техника!$G$1:$ABN$500,O$2,0),$A$1278,INDEX(Техника!$H$1:$ABO$500,O$2,0),"М")</f>
        <v>0</v>
      </c>
      <c r="P1279" s="50">
        <f>SUMIFS(INDEX(Техника!$F$1:$ABM$500,P$2,0),Техника!$F$4:$ABM$4,"Часы",INDEX(Техника!$G$1:$ABN$500,P$2,0),$A$1278,INDEX(Техника!$H$1:$ABO$500,P$2,0),"М")</f>
        <v>0</v>
      </c>
      <c r="Q1279" s="50">
        <f>SUMIFS(INDEX(Техника!$F$1:$ABM$500,Q$2,0),Техника!$F$4:$ABM$4,"Часы",INDEX(Техника!$G$1:$ABN$500,Q$2,0),$A$1278,INDEX(Техника!$H$1:$ABO$500,Q$2,0),"М")</f>
        <v>0</v>
      </c>
      <c r="R1279" s="50">
        <f>SUMIFS(INDEX(Техника!$F$1:$ABM$500,R$2,0),Техника!$F$4:$ABM$4,"Часы",INDEX(Техника!$G$1:$ABN$500,R$2,0),$A$1278,INDEX(Техника!$H$1:$ABO$500,R$2,0),"М")</f>
        <v>0</v>
      </c>
      <c r="S1279" s="50">
        <f>SUMIFS(INDEX(Техника!$F$1:$ABM$500,S$2,0),Техника!$F$4:$ABM$4,"Часы",INDEX(Техника!$G$1:$ABN$500,S$2,0),$A$1278,INDEX(Техника!$H$1:$ABO$500,S$2,0),"М")</f>
        <v>0</v>
      </c>
      <c r="T1279" s="50">
        <f>SUMIFS(INDEX(Техника!$F$1:$ABM$500,T$2,0),Техника!$F$4:$ABM$4,"Часы",INDEX(Техника!$G$1:$ABN$500,T$2,0),$A$1278,INDEX(Техника!$H$1:$ABO$500,T$2,0),"М")</f>
        <v>0</v>
      </c>
      <c r="U1279" s="50">
        <f>SUMIFS(INDEX(Техника!$F$1:$ABM$500,U$2,0),Техника!$F$4:$ABM$4,"Часы",INDEX(Техника!$G$1:$ABN$500,U$2,0),$A$1278,INDEX(Техника!$H$1:$ABO$500,U$2,0),"М")</f>
        <v>0</v>
      </c>
      <c r="V1279" s="50">
        <f>SUMIFS(INDEX(Техника!$F$1:$ABM$500,V$2,0),Техника!$F$4:$ABM$4,"Часы",INDEX(Техника!$G$1:$ABN$500,V$2,0),$A$1278,INDEX(Техника!$H$1:$ABO$500,V$2,0),"М")</f>
        <v>0</v>
      </c>
      <c r="W1279" s="50">
        <f>SUMIFS(INDEX(Техника!$F$1:$ABM$500,W$2,0),Техника!$F$4:$ABM$4,"Часы",INDEX(Техника!$G$1:$ABN$500,W$2,0),$A$1278,INDEX(Техника!$H$1:$ABO$500,W$2,0),"М")</f>
        <v>0</v>
      </c>
      <c r="X1279" s="50">
        <f>SUMIFS(INDEX(Техника!$F$1:$ABM$500,X$2,0),Техника!$F$4:$ABM$4,"Часы",INDEX(Техника!$G$1:$ABN$500,X$2,0),$A$1278,INDEX(Техника!$H$1:$ABO$500,X$2,0),"М")</f>
        <v>0</v>
      </c>
      <c r="Y1279" s="50">
        <f>SUMIFS(INDEX(Техника!$F$1:$ABM$500,Y$2,0),Техника!$F$4:$ABM$4,"Часы",INDEX(Техника!$G$1:$ABN$500,Y$2,0),$A$1278,INDEX(Техника!$H$1:$ABO$500,Y$2,0),"М")</f>
        <v>0</v>
      </c>
      <c r="Z1279" s="50">
        <f>SUMIFS(INDEX(Техника!$F$1:$ABM$500,Z$2,0),Техника!$F$4:$ABM$4,"Часы",INDEX(Техника!$G$1:$ABN$500,Z$2,0),$A$1278,INDEX(Техника!$H$1:$ABO$500,Z$2,0),"М")</f>
        <v>0</v>
      </c>
      <c r="AA1279" s="50">
        <f>SUMIFS(INDEX(Техника!$F$1:$ABM$500,AA$2,0),Техника!$F$4:$ABM$4,"Часы",INDEX(Техника!$G$1:$ABN$500,AA$2,0),$A$1278,INDEX(Техника!$H$1:$ABO$500,AA$2,0),"М")</f>
        <v>0</v>
      </c>
      <c r="AB1279" s="50">
        <f>SUMIFS(INDEX(Техника!$F$1:$ABM$500,AB$2,0),Техника!$F$4:$ABM$4,"Часы",INDEX(Техника!$G$1:$ABN$500,AB$2,0),$A$1278,INDEX(Техника!$H$1:$ABO$500,AB$2,0),"М")</f>
        <v>0</v>
      </c>
    </row>
    <row r="1280" spans="1:28" hidden="1" outlineLevel="1" x14ac:dyDescent="0.3">
      <c r="A1280" s="33" t="s">
        <v>244</v>
      </c>
      <c r="B1280" s="34" t="s">
        <v>275</v>
      </c>
      <c r="C1280" s="50">
        <f>SUMIFS(INDEX(Техника!$F$1:$ABM$500,C$2,0),Техника!$F$4:$ABM$4,"Часы",INDEX(Техника!$G$1:$ABN$500,C$2,0),$A$1278,INDEX(Техника!$H$1:$ABO$500,C$2,0),"Д")</f>
        <v>0</v>
      </c>
      <c r="D1280" s="50">
        <f>SUMIFS(INDEX(Техника!$F$1:$ABM$500,D$2,0),Техника!$F$4:$ABM$4,"Часы",INDEX(Техника!$G$1:$ABN$500,D$2,0),$A$1278,INDEX(Техника!$H$1:$ABO$500,D$2,0),"Д")</f>
        <v>0</v>
      </c>
      <c r="E1280" s="50">
        <f>SUMIFS(INDEX(Техника!$F$1:$ABM$500,E$2,0),Техника!$F$4:$ABM$4,"Часы",INDEX(Техника!$G$1:$ABN$500,E$2,0),$A$1278,INDEX(Техника!$H$1:$ABO$500,E$2,0),"Д")</f>
        <v>0</v>
      </c>
      <c r="F1280" s="50">
        <f>SUMIFS(INDEX(Техника!$F$1:$ABM$500,F$2,0),Техника!$F$4:$ABM$4,"Часы",INDEX(Техника!$G$1:$ABN$500,F$2,0),$A$1278,INDEX(Техника!$H$1:$ABO$500,F$2,0),"Д")</f>
        <v>0</v>
      </c>
      <c r="G1280" s="50">
        <f>SUMIFS(INDEX(Техника!$F$1:$ABM$500,G$2,0),Техника!$F$4:$ABM$4,"Часы",INDEX(Техника!$G$1:$ABN$500,G$2,0),$A$1278,INDEX(Техника!$H$1:$ABO$500,G$2,0),"Д")</f>
        <v>0</v>
      </c>
      <c r="H1280" s="50">
        <f>SUMIFS(INDEX(Техника!$F$1:$ABM$500,H$2,0),Техника!$F$4:$ABM$4,"Часы",INDEX(Техника!$G$1:$ABN$500,H$2,0),$A$1278,INDEX(Техника!$H$1:$ABO$500,H$2,0),"Д")</f>
        <v>0</v>
      </c>
      <c r="I1280" s="50">
        <f>SUMIFS(INDEX(Техника!$F$1:$ABM$500,I$2,0),Техника!$F$4:$ABM$4,"Часы",INDEX(Техника!$G$1:$ABN$500,I$2,0),$A$1278,INDEX(Техника!$H$1:$ABO$500,I$2,0),"Д")</f>
        <v>0</v>
      </c>
      <c r="J1280" s="50">
        <f>SUMIFS(INDEX(Техника!$F$1:$ABM$500,J$2,0),Техника!$F$4:$ABM$4,"Часы",INDEX(Техника!$G$1:$ABN$500,J$2,0),$A$1278,INDEX(Техника!$H$1:$ABO$500,J$2,0),"Д")</f>
        <v>0</v>
      </c>
      <c r="K1280" s="50">
        <f>SUMIFS(INDEX(Техника!$F$1:$ABM$500,K$2,0),Техника!$F$4:$ABM$4,"Часы",INDEX(Техника!$G$1:$ABN$500,K$2,0),$A$1278,INDEX(Техника!$H$1:$ABO$500,K$2,0),"Д")</f>
        <v>0</v>
      </c>
      <c r="L1280" s="50">
        <f>SUMIFS(INDEX(Техника!$F$1:$ABM$500,L$2,0),Техника!$F$4:$ABM$4,"Часы",INDEX(Техника!$G$1:$ABN$500,L$2,0),$A$1278,INDEX(Техника!$H$1:$ABO$500,L$2,0),"Д")</f>
        <v>0</v>
      </c>
      <c r="M1280" s="50">
        <f>SUMIFS(INDEX(Техника!$F$1:$ABM$500,M$2,0),Техника!$F$4:$ABM$4,"Часы",INDEX(Техника!$G$1:$ABN$500,M$2,0),$A$1278,INDEX(Техника!$H$1:$ABO$500,M$2,0),"Д")</f>
        <v>0</v>
      </c>
      <c r="N1280" s="50">
        <f>SUMIFS(INDEX(Техника!$F$1:$ABM$500,N$2,0),Техника!$F$4:$ABM$4,"Часы",INDEX(Техника!$G$1:$ABN$500,N$2,0),$A$1278,INDEX(Техника!$H$1:$ABO$500,N$2,0),"Д")</f>
        <v>0</v>
      </c>
      <c r="O1280" s="50">
        <f>SUMIFS(INDEX(Техника!$F$1:$ABM$500,O$2,0),Техника!$F$4:$ABM$4,"Часы",INDEX(Техника!$G$1:$ABN$500,O$2,0),$A$1278,INDEX(Техника!$H$1:$ABO$500,O$2,0),"Д")</f>
        <v>0</v>
      </c>
      <c r="P1280" s="50">
        <f>SUMIFS(INDEX(Техника!$F$1:$ABM$500,P$2,0),Техника!$F$4:$ABM$4,"Часы",INDEX(Техника!$G$1:$ABN$500,P$2,0),$A$1278,INDEX(Техника!$H$1:$ABO$500,P$2,0),"Д")</f>
        <v>0</v>
      </c>
      <c r="Q1280" s="50">
        <f>SUMIFS(INDEX(Техника!$F$1:$ABM$500,Q$2,0),Техника!$F$4:$ABM$4,"Часы",INDEX(Техника!$G$1:$ABN$500,Q$2,0),$A$1278,INDEX(Техника!$H$1:$ABO$500,Q$2,0),"Д")</f>
        <v>0</v>
      </c>
      <c r="R1280" s="50">
        <f>SUMIFS(INDEX(Техника!$F$1:$ABM$500,R$2,0),Техника!$F$4:$ABM$4,"Часы",INDEX(Техника!$G$1:$ABN$500,R$2,0),$A$1278,INDEX(Техника!$H$1:$ABO$500,R$2,0),"Д")</f>
        <v>0</v>
      </c>
      <c r="S1280" s="50">
        <f>SUMIFS(INDEX(Техника!$F$1:$ABM$500,S$2,0),Техника!$F$4:$ABM$4,"Часы",INDEX(Техника!$G$1:$ABN$500,S$2,0),$A$1278,INDEX(Техника!$H$1:$ABO$500,S$2,0),"Д")</f>
        <v>0</v>
      </c>
      <c r="T1280" s="50">
        <f>SUMIFS(INDEX(Техника!$F$1:$ABM$500,T$2,0),Техника!$F$4:$ABM$4,"Часы",INDEX(Техника!$G$1:$ABN$500,T$2,0),$A$1278,INDEX(Техника!$H$1:$ABO$500,T$2,0),"Д")</f>
        <v>0</v>
      </c>
      <c r="U1280" s="50">
        <f>SUMIFS(INDEX(Техника!$F$1:$ABM$500,U$2,0),Техника!$F$4:$ABM$4,"Часы",INDEX(Техника!$G$1:$ABN$500,U$2,0),$A$1278,INDEX(Техника!$H$1:$ABO$500,U$2,0),"Д")</f>
        <v>0</v>
      </c>
      <c r="V1280" s="50">
        <f>SUMIFS(INDEX(Техника!$F$1:$ABM$500,V$2,0),Техника!$F$4:$ABM$4,"Часы",INDEX(Техника!$G$1:$ABN$500,V$2,0),$A$1278,INDEX(Техника!$H$1:$ABO$500,V$2,0),"Д")</f>
        <v>0</v>
      </c>
      <c r="W1280" s="50">
        <f>SUMIFS(INDEX(Техника!$F$1:$ABM$500,W$2,0),Техника!$F$4:$ABM$4,"Часы",INDEX(Техника!$G$1:$ABN$500,W$2,0),$A$1278,INDEX(Техника!$H$1:$ABO$500,W$2,0),"Д")</f>
        <v>0</v>
      </c>
      <c r="X1280" s="50">
        <f>SUMIFS(INDEX(Техника!$F$1:$ABM$500,X$2,0),Техника!$F$4:$ABM$4,"Часы",INDEX(Техника!$G$1:$ABN$500,X$2,0),$A$1278,INDEX(Техника!$H$1:$ABO$500,X$2,0),"Д")</f>
        <v>0</v>
      </c>
      <c r="Y1280" s="50">
        <f>SUMIFS(INDEX(Техника!$F$1:$ABM$500,Y$2,0),Техника!$F$4:$ABM$4,"Часы",INDEX(Техника!$G$1:$ABN$500,Y$2,0),$A$1278,INDEX(Техника!$H$1:$ABO$500,Y$2,0),"Д")</f>
        <v>0</v>
      </c>
      <c r="Z1280" s="50">
        <f>SUMIFS(INDEX(Техника!$F$1:$ABM$500,Z$2,0),Техника!$F$4:$ABM$4,"Часы",INDEX(Техника!$G$1:$ABN$500,Z$2,0),$A$1278,INDEX(Техника!$H$1:$ABO$500,Z$2,0),"Д")</f>
        <v>0</v>
      </c>
      <c r="AA1280" s="50">
        <f>SUMIFS(INDEX(Техника!$F$1:$ABM$500,AA$2,0),Техника!$F$4:$ABM$4,"Часы",INDEX(Техника!$G$1:$ABN$500,AA$2,0),$A$1278,INDEX(Техника!$H$1:$ABO$500,AA$2,0),"Д")</f>
        <v>0</v>
      </c>
      <c r="AB1280" s="50">
        <f>SUMIFS(INDEX(Техника!$F$1:$ABM$500,AB$2,0),Техника!$F$4:$ABM$4,"Часы",INDEX(Техника!$G$1:$ABN$500,AB$2,0),$A$1278,INDEX(Техника!$H$1:$ABO$500,AB$2,0),"Д")</f>
        <v>0</v>
      </c>
    </row>
    <row r="1281" spans="1:28" hidden="1" outlineLevel="1" x14ac:dyDescent="0.3">
      <c r="A1281" s="33" t="s">
        <v>276</v>
      </c>
      <c r="B1281" s="34" t="s">
        <v>277</v>
      </c>
      <c r="C1281" s="50">
        <f>SUMIFS(INDEX(Техника!$F$1:$ABM$500,C$2,0),Техника!$F$4:$ABM$4,"Часы",INDEX(Техника!$G$1:$ABN$500,C$2,0),$A$1278,INDEX(Техника!$H$1:$ABO$500,C$2,0),"П")</f>
        <v>0</v>
      </c>
      <c r="D1281" s="50">
        <f>SUMIFS(INDEX(Техника!$F$1:$ABM$500,D$2,0),Техника!$F$4:$ABM$4,"Часы",INDEX(Техника!$G$1:$ABN$500,D$2,0),$A$1278,INDEX(Техника!$H$1:$ABO$500,D$2,0),"П")</f>
        <v>0</v>
      </c>
      <c r="E1281" s="50">
        <f>SUMIFS(INDEX(Техника!$F$1:$ABM$500,E$2,0),Техника!$F$4:$ABM$4,"Часы",INDEX(Техника!$G$1:$ABN$500,E$2,0),$A$1278,INDEX(Техника!$H$1:$ABO$500,E$2,0),"П")</f>
        <v>0</v>
      </c>
      <c r="F1281" s="50">
        <f>SUMIFS(INDEX(Техника!$F$1:$ABM$500,F$2,0),Техника!$F$4:$ABM$4,"Часы",INDEX(Техника!$G$1:$ABN$500,F$2,0),$A$1278,INDEX(Техника!$H$1:$ABO$500,F$2,0),"П")</f>
        <v>0</v>
      </c>
      <c r="G1281" s="50">
        <f>SUMIFS(INDEX(Техника!$F$1:$ABM$500,G$2,0),Техника!$F$4:$ABM$4,"Часы",INDEX(Техника!$G$1:$ABN$500,G$2,0),$A$1278,INDEX(Техника!$H$1:$ABO$500,G$2,0),"П")</f>
        <v>0</v>
      </c>
      <c r="H1281" s="50">
        <f>SUMIFS(INDEX(Техника!$F$1:$ABM$500,H$2,0),Техника!$F$4:$ABM$4,"Часы",INDEX(Техника!$G$1:$ABN$500,H$2,0),$A$1278,INDEX(Техника!$H$1:$ABO$500,H$2,0),"П")</f>
        <v>0</v>
      </c>
      <c r="I1281" s="50">
        <f>SUMIFS(INDEX(Техника!$F$1:$ABM$500,I$2,0),Техника!$F$4:$ABM$4,"Часы",INDEX(Техника!$G$1:$ABN$500,I$2,0),$A$1278,INDEX(Техника!$H$1:$ABO$500,I$2,0),"П")</f>
        <v>0</v>
      </c>
      <c r="J1281" s="50">
        <f>SUMIFS(INDEX(Техника!$F$1:$ABM$500,J$2,0),Техника!$F$4:$ABM$4,"Часы",INDEX(Техника!$G$1:$ABN$500,J$2,0),$A$1278,INDEX(Техника!$H$1:$ABO$500,J$2,0),"П")</f>
        <v>0</v>
      </c>
      <c r="K1281" s="50">
        <f>SUMIFS(INDEX(Техника!$F$1:$ABM$500,K$2,0),Техника!$F$4:$ABM$4,"Часы",INDEX(Техника!$G$1:$ABN$500,K$2,0),$A$1278,INDEX(Техника!$H$1:$ABO$500,K$2,0),"П")</f>
        <v>0</v>
      </c>
      <c r="L1281" s="50">
        <f>SUMIFS(INDEX(Техника!$F$1:$ABM$500,L$2,0),Техника!$F$4:$ABM$4,"Часы",INDEX(Техника!$G$1:$ABN$500,L$2,0),$A$1278,INDEX(Техника!$H$1:$ABO$500,L$2,0),"П")</f>
        <v>0</v>
      </c>
      <c r="M1281" s="50">
        <f>SUMIFS(INDEX(Техника!$F$1:$ABM$500,M$2,0),Техника!$F$4:$ABM$4,"Часы",INDEX(Техника!$G$1:$ABN$500,M$2,0),$A$1278,INDEX(Техника!$H$1:$ABO$500,M$2,0),"П")</f>
        <v>0</v>
      </c>
      <c r="N1281" s="50">
        <f>SUMIFS(INDEX(Техника!$F$1:$ABM$500,N$2,0),Техника!$F$4:$ABM$4,"Часы",INDEX(Техника!$G$1:$ABN$500,N$2,0),$A$1278,INDEX(Техника!$H$1:$ABO$500,N$2,0),"П")</f>
        <v>0</v>
      </c>
      <c r="O1281" s="50">
        <f>SUMIFS(INDEX(Техника!$F$1:$ABM$500,O$2,0),Техника!$F$4:$ABM$4,"Часы",INDEX(Техника!$G$1:$ABN$500,O$2,0),$A$1278,INDEX(Техника!$H$1:$ABO$500,O$2,0),"П")</f>
        <v>0</v>
      </c>
      <c r="P1281" s="50">
        <f>SUMIFS(INDEX(Техника!$F$1:$ABM$500,P$2,0),Техника!$F$4:$ABM$4,"Часы",INDEX(Техника!$G$1:$ABN$500,P$2,0),$A$1278,INDEX(Техника!$H$1:$ABO$500,P$2,0),"П")</f>
        <v>0</v>
      </c>
      <c r="Q1281" s="50">
        <f>SUMIFS(INDEX(Техника!$F$1:$ABM$500,Q$2,0),Техника!$F$4:$ABM$4,"Часы",INDEX(Техника!$G$1:$ABN$500,Q$2,0),$A$1278,INDEX(Техника!$H$1:$ABO$500,Q$2,0),"П")</f>
        <v>0</v>
      </c>
      <c r="R1281" s="50">
        <f>SUMIFS(INDEX(Техника!$F$1:$ABM$500,R$2,0),Техника!$F$4:$ABM$4,"Часы",INDEX(Техника!$G$1:$ABN$500,R$2,0),$A$1278,INDEX(Техника!$H$1:$ABO$500,R$2,0),"П")</f>
        <v>0</v>
      </c>
      <c r="S1281" s="50">
        <f>SUMIFS(INDEX(Техника!$F$1:$ABM$500,S$2,0),Техника!$F$4:$ABM$4,"Часы",INDEX(Техника!$G$1:$ABN$500,S$2,0),$A$1278,INDEX(Техника!$H$1:$ABO$500,S$2,0),"П")</f>
        <v>0</v>
      </c>
      <c r="T1281" s="50">
        <f>SUMIFS(INDEX(Техника!$F$1:$ABM$500,T$2,0),Техника!$F$4:$ABM$4,"Часы",INDEX(Техника!$G$1:$ABN$500,T$2,0),$A$1278,INDEX(Техника!$H$1:$ABO$500,T$2,0),"П")</f>
        <v>0</v>
      </c>
      <c r="U1281" s="50">
        <f>SUMIFS(INDEX(Техника!$F$1:$ABM$500,U$2,0),Техника!$F$4:$ABM$4,"Часы",INDEX(Техника!$G$1:$ABN$500,U$2,0),$A$1278,INDEX(Техника!$H$1:$ABO$500,U$2,0),"П")</f>
        <v>0</v>
      </c>
      <c r="V1281" s="50">
        <f>SUMIFS(INDEX(Техника!$F$1:$ABM$500,V$2,0),Техника!$F$4:$ABM$4,"Часы",INDEX(Техника!$G$1:$ABN$500,V$2,0),$A$1278,INDEX(Техника!$H$1:$ABO$500,V$2,0),"П")</f>
        <v>0</v>
      </c>
      <c r="W1281" s="50">
        <f>SUMIFS(INDEX(Техника!$F$1:$ABM$500,W$2,0),Техника!$F$4:$ABM$4,"Часы",INDEX(Техника!$G$1:$ABN$500,W$2,0),$A$1278,INDEX(Техника!$H$1:$ABO$500,W$2,0),"П")</f>
        <v>0</v>
      </c>
      <c r="X1281" s="50">
        <f>SUMIFS(INDEX(Техника!$F$1:$ABM$500,X$2,0),Техника!$F$4:$ABM$4,"Часы",INDEX(Техника!$G$1:$ABN$500,X$2,0),$A$1278,INDEX(Техника!$H$1:$ABO$500,X$2,0),"П")</f>
        <v>0</v>
      </c>
      <c r="Y1281" s="50">
        <f>SUMIFS(INDEX(Техника!$F$1:$ABM$500,Y$2,0),Техника!$F$4:$ABM$4,"Часы",INDEX(Техника!$G$1:$ABN$500,Y$2,0),$A$1278,INDEX(Техника!$H$1:$ABO$500,Y$2,0),"П")</f>
        <v>0</v>
      </c>
      <c r="Z1281" s="50">
        <f>SUMIFS(INDEX(Техника!$F$1:$ABM$500,Z$2,0),Техника!$F$4:$ABM$4,"Часы",INDEX(Техника!$G$1:$ABN$500,Z$2,0),$A$1278,INDEX(Техника!$H$1:$ABO$500,Z$2,0),"П")</f>
        <v>0</v>
      </c>
      <c r="AA1281" s="50">
        <f>SUMIFS(INDEX(Техника!$F$1:$ABM$500,AA$2,0),Техника!$F$4:$ABM$4,"Часы",INDEX(Техника!$G$1:$ABN$500,AA$2,0),$A$1278,INDEX(Техника!$H$1:$ABO$500,AA$2,0),"П")</f>
        <v>0</v>
      </c>
      <c r="AB1281" s="50">
        <f>SUMIFS(INDEX(Техника!$F$1:$ABM$500,AB$2,0),Техника!$F$4:$ABM$4,"Часы",INDEX(Техника!$G$1:$ABN$500,AB$2,0),$A$1278,INDEX(Техника!$H$1:$ABO$500,AB$2,0),"П")</f>
        <v>0</v>
      </c>
    </row>
    <row r="1282" spans="1:28" hidden="1" outlineLevel="1" x14ac:dyDescent="0.3">
      <c r="A1282" s="33" t="s">
        <v>243</v>
      </c>
      <c r="B1282" s="34" t="s">
        <v>278</v>
      </c>
      <c r="C1282" s="50">
        <f>SUMIFS(INDEX(Техника!$F$1:$ABM$500,C$2,0),Техника!$F$4:$ABM$4,"Часы",INDEX(Техника!$G$1:$ABN$500,C$2,0),$A$1278,INDEX(Техника!$H$1:$ABO$500,C$2,0),"Л")</f>
        <v>0</v>
      </c>
      <c r="D1282" s="50">
        <f>SUMIFS(INDEX(Техника!$F$1:$ABM$500,D$2,0),Техника!$F$4:$ABM$4,"Часы",INDEX(Техника!$G$1:$ABN$500,D$2,0),$A$1278,INDEX(Техника!$H$1:$ABO$500,D$2,0),"Л")</f>
        <v>0</v>
      </c>
      <c r="E1282" s="50">
        <f>SUMIFS(INDEX(Техника!$F$1:$ABM$500,E$2,0),Техника!$F$4:$ABM$4,"Часы",INDEX(Техника!$G$1:$ABN$500,E$2,0),$A$1278,INDEX(Техника!$H$1:$ABO$500,E$2,0),"Л")</f>
        <v>0</v>
      </c>
      <c r="F1282" s="50">
        <f>SUMIFS(INDEX(Техника!$F$1:$ABM$500,F$2,0),Техника!$F$4:$ABM$4,"Часы",INDEX(Техника!$G$1:$ABN$500,F$2,0),$A$1278,INDEX(Техника!$H$1:$ABO$500,F$2,0),"Л")</f>
        <v>0</v>
      </c>
      <c r="G1282" s="50">
        <f>SUMIFS(INDEX(Техника!$F$1:$ABM$500,G$2,0),Техника!$F$4:$ABM$4,"Часы",INDEX(Техника!$G$1:$ABN$500,G$2,0),$A$1278,INDEX(Техника!$H$1:$ABO$500,G$2,0),"Л")</f>
        <v>0</v>
      </c>
      <c r="H1282" s="50">
        <f>SUMIFS(INDEX(Техника!$F$1:$ABM$500,H$2,0),Техника!$F$4:$ABM$4,"Часы",INDEX(Техника!$G$1:$ABN$500,H$2,0),$A$1278,INDEX(Техника!$H$1:$ABO$500,H$2,0),"Л")</f>
        <v>0</v>
      </c>
      <c r="I1282" s="50">
        <f>SUMIFS(INDEX(Техника!$F$1:$ABM$500,I$2,0),Техника!$F$4:$ABM$4,"Часы",INDEX(Техника!$G$1:$ABN$500,I$2,0),$A$1278,INDEX(Техника!$H$1:$ABO$500,I$2,0),"Л")</f>
        <v>0</v>
      </c>
      <c r="J1282" s="50">
        <f>SUMIFS(INDEX(Техника!$F$1:$ABM$500,J$2,0),Техника!$F$4:$ABM$4,"Часы",INDEX(Техника!$G$1:$ABN$500,J$2,0),$A$1278,INDEX(Техника!$H$1:$ABO$500,J$2,0),"Л")</f>
        <v>0</v>
      </c>
      <c r="K1282" s="50">
        <f>SUMIFS(INDEX(Техника!$F$1:$ABM$500,K$2,0),Техника!$F$4:$ABM$4,"Часы",INDEX(Техника!$G$1:$ABN$500,K$2,0),$A$1278,INDEX(Техника!$H$1:$ABO$500,K$2,0),"Л")</f>
        <v>0</v>
      </c>
      <c r="L1282" s="50">
        <f>SUMIFS(INDEX(Техника!$F$1:$ABM$500,L$2,0),Техника!$F$4:$ABM$4,"Часы",INDEX(Техника!$G$1:$ABN$500,L$2,0),$A$1278,INDEX(Техника!$H$1:$ABO$500,L$2,0),"Л")</f>
        <v>0</v>
      </c>
      <c r="M1282" s="50">
        <f>SUMIFS(INDEX(Техника!$F$1:$ABM$500,M$2,0),Техника!$F$4:$ABM$4,"Часы",INDEX(Техника!$G$1:$ABN$500,M$2,0),$A$1278,INDEX(Техника!$H$1:$ABO$500,M$2,0),"Л")</f>
        <v>0</v>
      </c>
      <c r="N1282" s="50">
        <f>SUMIFS(INDEX(Техника!$F$1:$ABM$500,N$2,0),Техника!$F$4:$ABM$4,"Часы",INDEX(Техника!$G$1:$ABN$500,N$2,0),$A$1278,INDEX(Техника!$H$1:$ABO$500,N$2,0),"Л")</f>
        <v>0</v>
      </c>
      <c r="O1282" s="50">
        <f>SUMIFS(INDEX(Техника!$F$1:$ABM$500,O$2,0),Техника!$F$4:$ABM$4,"Часы",INDEX(Техника!$G$1:$ABN$500,O$2,0),$A$1278,INDEX(Техника!$H$1:$ABO$500,O$2,0),"Л")</f>
        <v>0</v>
      </c>
      <c r="P1282" s="50">
        <f>SUMIFS(INDEX(Техника!$F$1:$ABM$500,P$2,0),Техника!$F$4:$ABM$4,"Часы",INDEX(Техника!$G$1:$ABN$500,P$2,0),$A$1278,INDEX(Техника!$H$1:$ABO$500,P$2,0),"Л")</f>
        <v>0</v>
      </c>
      <c r="Q1282" s="50">
        <f>SUMIFS(INDEX(Техника!$F$1:$ABM$500,Q$2,0),Техника!$F$4:$ABM$4,"Часы",INDEX(Техника!$G$1:$ABN$500,Q$2,0),$A$1278,INDEX(Техника!$H$1:$ABO$500,Q$2,0),"Л")</f>
        <v>0</v>
      </c>
      <c r="R1282" s="50">
        <f>SUMIFS(INDEX(Техника!$F$1:$ABM$500,R$2,0),Техника!$F$4:$ABM$4,"Часы",INDEX(Техника!$G$1:$ABN$500,R$2,0),$A$1278,INDEX(Техника!$H$1:$ABO$500,R$2,0),"Л")</f>
        <v>0</v>
      </c>
      <c r="S1282" s="50">
        <f>SUMIFS(INDEX(Техника!$F$1:$ABM$500,S$2,0),Техника!$F$4:$ABM$4,"Часы",INDEX(Техника!$G$1:$ABN$500,S$2,0),$A$1278,INDEX(Техника!$H$1:$ABO$500,S$2,0),"Л")</f>
        <v>0</v>
      </c>
      <c r="T1282" s="50">
        <f>SUMIFS(INDEX(Техника!$F$1:$ABM$500,T$2,0),Техника!$F$4:$ABM$4,"Часы",INDEX(Техника!$G$1:$ABN$500,T$2,0),$A$1278,INDEX(Техника!$H$1:$ABO$500,T$2,0),"Л")</f>
        <v>0</v>
      </c>
      <c r="U1282" s="50">
        <f>SUMIFS(INDEX(Техника!$F$1:$ABM$500,U$2,0),Техника!$F$4:$ABM$4,"Часы",INDEX(Техника!$G$1:$ABN$500,U$2,0),$A$1278,INDEX(Техника!$H$1:$ABO$500,U$2,0),"Л")</f>
        <v>0</v>
      </c>
      <c r="V1282" s="50">
        <f>SUMIFS(INDEX(Техника!$F$1:$ABM$500,V$2,0),Техника!$F$4:$ABM$4,"Часы",INDEX(Техника!$G$1:$ABN$500,V$2,0),$A$1278,INDEX(Техника!$H$1:$ABO$500,V$2,0),"Л")</f>
        <v>0</v>
      </c>
      <c r="W1282" s="50">
        <f>SUMIFS(INDEX(Техника!$F$1:$ABM$500,W$2,0),Техника!$F$4:$ABM$4,"Часы",INDEX(Техника!$G$1:$ABN$500,W$2,0),$A$1278,INDEX(Техника!$H$1:$ABO$500,W$2,0),"Л")</f>
        <v>0</v>
      </c>
      <c r="X1282" s="50">
        <f>SUMIFS(INDEX(Техника!$F$1:$ABM$500,X$2,0),Техника!$F$4:$ABM$4,"Часы",INDEX(Техника!$G$1:$ABN$500,X$2,0),$A$1278,INDEX(Техника!$H$1:$ABO$500,X$2,0),"Л")</f>
        <v>0</v>
      </c>
      <c r="Y1282" s="50">
        <f>SUMIFS(INDEX(Техника!$F$1:$ABM$500,Y$2,0),Техника!$F$4:$ABM$4,"Часы",INDEX(Техника!$G$1:$ABN$500,Y$2,0),$A$1278,INDEX(Техника!$H$1:$ABO$500,Y$2,0),"Л")</f>
        <v>0</v>
      </c>
      <c r="Z1282" s="50">
        <f>SUMIFS(INDEX(Техника!$F$1:$ABM$500,Z$2,0),Техника!$F$4:$ABM$4,"Часы",INDEX(Техника!$G$1:$ABN$500,Z$2,0),$A$1278,INDEX(Техника!$H$1:$ABO$500,Z$2,0),"Л")</f>
        <v>0</v>
      </c>
      <c r="AA1282" s="50">
        <f>SUMIFS(INDEX(Техника!$F$1:$ABM$500,AA$2,0),Техника!$F$4:$ABM$4,"Часы",INDEX(Техника!$G$1:$ABN$500,AA$2,0),$A$1278,INDEX(Техника!$H$1:$ABO$500,AA$2,0),"Л")</f>
        <v>0</v>
      </c>
      <c r="AB1282" s="50">
        <f>SUMIFS(INDEX(Техника!$F$1:$ABM$500,AB$2,0),Техника!$F$4:$ABM$4,"Часы",INDEX(Техника!$G$1:$ABN$500,AB$2,0),$A$1278,INDEX(Техника!$H$1:$ABO$500,AB$2,0),"Л")</f>
        <v>0</v>
      </c>
    </row>
    <row r="1283" spans="1:28" hidden="1" outlineLevel="1" x14ac:dyDescent="0.3">
      <c r="A1283" s="33" t="s">
        <v>245</v>
      </c>
      <c r="B1283" s="34" t="s">
        <v>279</v>
      </c>
      <c r="C1283" s="50">
        <f>SUMIFS(INDEX(Техника!$F$1:$ABM$500,C$2,0),Техника!$F$4:$ABM$4,"Часы",INDEX(Техника!$G$1:$ABN$500,C$2,0),$A$1278,INDEX(Техника!$H$1:$ABO$500,C$2,0),"З")</f>
        <v>0</v>
      </c>
      <c r="D1283" s="50">
        <f>SUMIFS(INDEX(Техника!$F$1:$ABM$500,D$2,0),Техника!$F$4:$ABM$4,"Часы",INDEX(Техника!$G$1:$ABN$500,D$2,0),$A$1278,INDEX(Техника!$H$1:$ABO$500,D$2,0),"З")</f>
        <v>0</v>
      </c>
      <c r="E1283" s="50">
        <f>SUMIFS(INDEX(Техника!$F$1:$ABM$500,E$2,0),Техника!$F$4:$ABM$4,"Часы",INDEX(Техника!$G$1:$ABN$500,E$2,0),$A$1278,INDEX(Техника!$H$1:$ABO$500,E$2,0),"З")</f>
        <v>0</v>
      </c>
      <c r="F1283" s="50">
        <f>SUMIFS(INDEX(Техника!$F$1:$ABM$500,F$2,0),Техника!$F$4:$ABM$4,"Часы",INDEX(Техника!$G$1:$ABN$500,F$2,0),$A$1278,INDEX(Техника!$H$1:$ABO$500,F$2,0),"З")</f>
        <v>0</v>
      </c>
      <c r="G1283" s="50">
        <f>SUMIFS(INDEX(Техника!$F$1:$ABM$500,G$2,0),Техника!$F$4:$ABM$4,"Часы",INDEX(Техника!$G$1:$ABN$500,G$2,0),$A$1278,INDEX(Техника!$H$1:$ABO$500,G$2,0),"З")</f>
        <v>0</v>
      </c>
      <c r="H1283" s="50">
        <f>SUMIFS(INDEX(Техника!$F$1:$ABM$500,H$2,0),Техника!$F$4:$ABM$4,"Часы",INDEX(Техника!$G$1:$ABN$500,H$2,0),$A$1278,INDEX(Техника!$H$1:$ABO$500,H$2,0),"З")</f>
        <v>0</v>
      </c>
      <c r="I1283" s="50">
        <f>SUMIFS(INDEX(Техника!$F$1:$ABM$500,I$2,0),Техника!$F$4:$ABM$4,"Часы",INDEX(Техника!$G$1:$ABN$500,I$2,0),$A$1278,INDEX(Техника!$H$1:$ABO$500,I$2,0),"З")</f>
        <v>0</v>
      </c>
      <c r="J1283" s="50">
        <f>SUMIFS(INDEX(Техника!$F$1:$ABM$500,J$2,0),Техника!$F$4:$ABM$4,"Часы",INDEX(Техника!$G$1:$ABN$500,J$2,0),$A$1278,INDEX(Техника!$H$1:$ABO$500,J$2,0),"З")</f>
        <v>0</v>
      </c>
      <c r="K1283" s="50">
        <f>SUMIFS(INDEX(Техника!$F$1:$ABM$500,K$2,0),Техника!$F$4:$ABM$4,"Часы",INDEX(Техника!$G$1:$ABN$500,K$2,0),$A$1278,INDEX(Техника!$H$1:$ABO$500,K$2,0),"З")</f>
        <v>0</v>
      </c>
      <c r="L1283" s="50">
        <f>SUMIFS(INDEX(Техника!$F$1:$ABM$500,L$2,0),Техника!$F$4:$ABM$4,"Часы",INDEX(Техника!$G$1:$ABN$500,L$2,0),$A$1278,INDEX(Техника!$H$1:$ABO$500,L$2,0),"З")</f>
        <v>0</v>
      </c>
      <c r="M1283" s="50">
        <f>SUMIFS(INDEX(Техника!$F$1:$ABM$500,M$2,0),Техника!$F$4:$ABM$4,"Часы",INDEX(Техника!$G$1:$ABN$500,M$2,0),$A$1278,INDEX(Техника!$H$1:$ABO$500,M$2,0),"З")</f>
        <v>0</v>
      </c>
      <c r="N1283" s="50">
        <f>SUMIFS(INDEX(Техника!$F$1:$ABM$500,N$2,0),Техника!$F$4:$ABM$4,"Часы",INDEX(Техника!$G$1:$ABN$500,N$2,0),$A$1278,INDEX(Техника!$H$1:$ABO$500,N$2,0),"З")</f>
        <v>0</v>
      </c>
      <c r="O1283" s="50">
        <f>SUMIFS(INDEX(Техника!$F$1:$ABM$500,O$2,0),Техника!$F$4:$ABM$4,"Часы",INDEX(Техника!$G$1:$ABN$500,O$2,0),$A$1278,INDEX(Техника!$H$1:$ABO$500,O$2,0),"З")</f>
        <v>0</v>
      </c>
      <c r="P1283" s="50">
        <f>SUMIFS(INDEX(Техника!$F$1:$ABM$500,P$2,0),Техника!$F$4:$ABM$4,"Часы",INDEX(Техника!$G$1:$ABN$500,P$2,0),$A$1278,INDEX(Техника!$H$1:$ABO$500,P$2,0),"З")</f>
        <v>0</v>
      </c>
      <c r="Q1283" s="50">
        <f>SUMIFS(INDEX(Техника!$F$1:$ABM$500,Q$2,0),Техника!$F$4:$ABM$4,"Часы",INDEX(Техника!$G$1:$ABN$500,Q$2,0),$A$1278,INDEX(Техника!$H$1:$ABO$500,Q$2,0),"З")</f>
        <v>0</v>
      </c>
      <c r="R1283" s="50">
        <f>SUMIFS(INDEX(Техника!$F$1:$ABM$500,R$2,0),Техника!$F$4:$ABM$4,"Часы",INDEX(Техника!$G$1:$ABN$500,R$2,0),$A$1278,INDEX(Техника!$H$1:$ABO$500,R$2,0),"З")</f>
        <v>0</v>
      </c>
      <c r="S1283" s="50">
        <f>SUMIFS(INDEX(Техника!$F$1:$ABM$500,S$2,0),Техника!$F$4:$ABM$4,"Часы",INDEX(Техника!$G$1:$ABN$500,S$2,0),$A$1278,INDEX(Техника!$H$1:$ABO$500,S$2,0),"З")</f>
        <v>0</v>
      </c>
      <c r="T1283" s="50">
        <f>SUMIFS(INDEX(Техника!$F$1:$ABM$500,T$2,0),Техника!$F$4:$ABM$4,"Часы",INDEX(Техника!$G$1:$ABN$500,T$2,0),$A$1278,INDEX(Техника!$H$1:$ABO$500,T$2,0),"З")</f>
        <v>0</v>
      </c>
      <c r="U1283" s="50">
        <f>SUMIFS(INDEX(Техника!$F$1:$ABM$500,U$2,0),Техника!$F$4:$ABM$4,"Часы",INDEX(Техника!$G$1:$ABN$500,U$2,0),$A$1278,INDEX(Техника!$H$1:$ABO$500,U$2,0),"З")</f>
        <v>0</v>
      </c>
      <c r="V1283" s="50">
        <f>SUMIFS(INDEX(Техника!$F$1:$ABM$500,V$2,0),Техника!$F$4:$ABM$4,"Часы",INDEX(Техника!$G$1:$ABN$500,V$2,0),$A$1278,INDEX(Техника!$H$1:$ABO$500,V$2,0),"З")</f>
        <v>0</v>
      </c>
      <c r="W1283" s="50">
        <f>SUMIFS(INDEX(Техника!$F$1:$ABM$500,W$2,0),Техника!$F$4:$ABM$4,"Часы",INDEX(Техника!$G$1:$ABN$500,W$2,0),$A$1278,INDEX(Техника!$H$1:$ABO$500,W$2,0),"З")</f>
        <v>0</v>
      </c>
      <c r="X1283" s="50">
        <f>SUMIFS(INDEX(Техника!$F$1:$ABM$500,X$2,0),Техника!$F$4:$ABM$4,"Часы",INDEX(Техника!$G$1:$ABN$500,X$2,0),$A$1278,INDEX(Техника!$H$1:$ABO$500,X$2,0),"З")</f>
        <v>0</v>
      </c>
      <c r="Y1283" s="50">
        <f>SUMIFS(INDEX(Техника!$F$1:$ABM$500,Y$2,0),Техника!$F$4:$ABM$4,"Часы",INDEX(Техника!$G$1:$ABN$500,Y$2,0),$A$1278,INDEX(Техника!$H$1:$ABO$500,Y$2,0),"З")</f>
        <v>0</v>
      </c>
      <c r="Z1283" s="50">
        <f>SUMIFS(INDEX(Техника!$F$1:$ABM$500,Z$2,0),Техника!$F$4:$ABM$4,"Часы",INDEX(Техника!$G$1:$ABN$500,Z$2,0),$A$1278,INDEX(Техника!$H$1:$ABO$500,Z$2,0),"З")</f>
        <v>0</v>
      </c>
      <c r="AA1283" s="50">
        <f>SUMIFS(INDEX(Техника!$F$1:$ABM$500,AA$2,0),Техника!$F$4:$ABM$4,"Часы",INDEX(Техника!$G$1:$ABN$500,AA$2,0),$A$1278,INDEX(Техника!$H$1:$ABO$500,AA$2,0),"З")</f>
        <v>0</v>
      </c>
      <c r="AB1283" s="50">
        <f>SUMIFS(INDEX(Техника!$F$1:$ABM$500,AB$2,0),Техника!$F$4:$ABM$4,"Часы",INDEX(Техника!$G$1:$ABN$500,AB$2,0),$A$1278,INDEX(Техника!$H$1:$ABO$500,AB$2,0),"З")</f>
        <v>0</v>
      </c>
    </row>
    <row r="1284" spans="1:28" ht="7.95" customHeight="1" x14ac:dyDescent="0.3">
      <c r="A1284" s="38"/>
      <c r="B1284" s="39"/>
      <c r="C1284" s="51"/>
      <c r="D1284" s="51"/>
      <c r="E1284" s="51"/>
      <c r="F1284" s="51"/>
      <c r="G1284" s="51"/>
      <c r="H1284" s="51"/>
      <c r="I1284" s="51"/>
      <c r="J1284" s="51"/>
      <c r="K1284" s="51"/>
      <c r="L1284" s="51"/>
      <c r="M1284" s="51"/>
      <c r="N1284" s="51"/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</row>
    <row r="1285" spans="1:28" ht="25.05" customHeight="1" collapsed="1" x14ac:dyDescent="0.3">
      <c r="A1285" s="32">
        <v>184</v>
      </c>
      <c r="B1285" s="32" t="s">
        <v>185</v>
      </c>
      <c r="C1285" s="49">
        <f>SUM(C1286:C1290)</f>
        <v>0</v>
      </c>
      <c r="D1285" s="49">
        <f>SUM(D1286:D1290)</f>
        <v>0</v>
      </c>
      <c r="E1285" s="49">
        <f>SUM(E1286:E1290)</f>
        <v>0</v>
      </c>
      <c r="F1285" s="49">
        <f>SUM(F1286:F1290)</f>
        <v>0</v>
      </c>
      <c r="G1285" s="49">
        <f>SUM(G1286:G1290)</f>
        <v>0</v>
      </c>
      <c r="H1285" s="49">
        <f>SUM(H1286:H1290)</f>
        <v>0</v>
      </c>
      <c r="I1285" s="49">
        <f>SUM(I1286:I1290)</f>
        <v>0</v>
      </c>
      <c r="J1285" s="49">
        <f>SUM(J1286:J1290)</f>
        <v>0</v>
      </c>
      <c r="K1285" s="49">
        <f>SUM(K1286:K1290)</f>
        <v>0</v>
      </c>
      <c r="L1285" s="49">
        <f>SUM(L1286:L1290)</f>
        <v>0</v>
      </c>
      <c r="M1285" s="49">
        <f>SUM(M1286:M1290)</f>
        <v>0</v>
      </c>
      <c r="N1285" s="49">
        <f>SUM(N1286:N1290)</f>
        <v>0</v>
      </c>
      <c r="O1285" s="49">
        <f>SUM(O1286:O1290)</f>
        <v>0</v>
      </c>
      <c r="P1285" s="49">
        <f>SUM(P1286:P1290)</f>
        <v>0</v>
      </c>
      <c r="Q1285" s="49">
        <f>SUM(Q1286:Q1290)</f>
        <v>0</v>
      </c>
      <c r="R1285" s="49">
        <f>SUM(R1286:R1290)</f>
        <v>0</v>
      </c>
      <c r="S1285" s="49">
        <f>SUM(S1286:S1290)</f>
        <v>0</v>
      </c>
      <c r="T1285" s="49">
        <f>SUM(T1286:T1290)</f>
        <v>0</v>
      </c>
      <c r="U1285" s="49">
        <f>SUM(U1286:U1290)</f>
        <v>0</v>
      </c>
      <c r="V1285" s="49">
        <f>SUM(V1286:V1290)</f>
        <v>0</v>
      </c>
      <c r="W1285" s="49">
        <f>SUM(W1286:W1290)</f>
        <v>0</v>
      </c>
      <c r="X1285" s="49">
        <f>SUM(X1286:X1290)</f>
        <v>0</v>
      </c>
      <c r="Y1285" s="49">
        <f>SUM(Y1286:Y1290)</f>
        <v>0</v>
      </c>
      <c r="Z1285" s="49">
        <f>SUM(Z1286:Z1290)</f>
        <v>0</v>
      </c>
      <c r="AA1285" s="49">
        <f>SUM(AA1286:AA1290)</f>
        <v>0</v>
      </c>
      <c r="AB1285" s="49">
        <f>SUM(AB1286:AB1290)</f>
        <v>0</v>
      </c>
    </row>
    <row r="1286" spans="1:28" hidden="1" outlineLevel="1" x14ac:dyDescent="0.3">
      <c r="A1286" s="33" t="s">
        <v>246</v>
      </c>
      <c r="B1286" s="34" t="s">
        <v>274</v>
      </c>
      <c r="C1286" s="50">
        <f>SUMIFS(INDEX(Техника!$F$1:$ABM$500,C$2,0),Техника!$F$4:$ABM$4,"Часы",INDEX(Техника!$G$1:$ABN$500,C$2,0),$A$1285,INDEX(Техника!$H$1:$ABO$500,C$2,0),"М")</f>
        <v>0</v>
      </c>
      <c r="D1286" s="50">
        <f>SUMIFS(INDEX(Техника!$F$1:$ABM$500,D$2,0),Техника!$F$4:$ABM$4,"Часы",INDEX(Техника!$G$1:$ABN$500,D$2,0),$A$1285,INDEX(Техника!$H$1:$ABO$500,D$2,0),"М")</f>
        <v>0</v>
      </c>
      <c r="E1286" s="50">
        <f>SUMIFS(INDEX(Техника!$F$1:$ABM$500,E$2,0),Техника!$F$4:$ABM$4,"Часы",INDEX(Техника!$G$1:$ABN$500,E$2,0),$A$1285,INDEX(Техника!$H$1:$ABO$500,E$2,0),"М")</f>
        <v>0</v>
      </c>
      <c r="F1286" s="50">
        <f>SUMIFS(INDEX(Техника!$F$1:$ABM$500,F$2,0),Техника!$F$4:$ABM$4,"Часы",INDEX(Техника!$G$1:$ABN$500,F$2,0),$A$1285,INDEX(Техника!$H$1:$ABO$500,F$2,0),"М")</f>
        <v>0</v>
      </c>
      <c r="G1286" s="50">
        <f>SUMIFS(INDEX(Техника!$F$1:$ABM$500,G$2,0),Техника!$F$4:$ABM$4,"Часы",INDEX(Техника!$G$1:$ABN$500,G$2,0),$A$1285,INDEX(Техника!$H$1:$ABO$500,G$2,0),"М")</f>
        <v>0</v>
      </c>
      <c r="H1286" s="50">
        <f>SUMIFS(INDEX(Техника!$F$1:$ABM$500,H$2,0),Техника!$F$4:$ABM$4,"Часы",INDEX(Техника!$G$1:$ABN$500,H$2,0),$A$1285,INDEX(Техника!$H$1:$ABO$500,H$2,0),"М")</f>
        <v>0</v>
      </c>
      <c r="I1286" s="50">
        <f>SUMIFS(INDEX(Техника!$F$1:$ABM$500,I$2,0),Техника!$F$4:$ABM$4,"Часы",INDEX(Техника!$G$1:$ABN$500,I$2,0),$A$1285,INDEX(Техника!$H$1:$ABO$500,I$2,0),"М")</f>
        <v>0</v>
      </c>
      <c r="J1286" s="50">
        <f>SUMIFS(INDEX(Техника!$F$1:$ABM$500,J$2,0),Техника!$F$4:$ABM$4,"Часы",INDEX(Техника!$G$1:$ABN$500,J$2,0),$A$1285,INDEX(Техника!$H$1:$ABO$500,J$2,0),"М")</f>
        <v>0</v>
      </c>
      <c r="K1286" s="50">
        <f>SUMIFS(INDEX(Техника!$F$1:$ABM$500,K$2,0),Техника!$F$4:$ABM$4,"Часы",INDEX(Техника!$G$1:$ABN$500,K$2,0),$A$1285,INDEX(Техника!$H$1:$ABO$500,K$2,0),"М")</f>
        <v>0</v>
      </c>
      <c r="L1286" s="50">
        <f>SUMIFS(INDEX(Техника!$F$1:$ABM$500,L$2,0),Техника!$F$4:$ABM$4,"Часы",INDEX(Техника!$G$1:$ABN$500,L$2,0),$A$1285,INDEX(Техника!$H$1:$ABO$500,L$2,0),"М")</f>
        <v>0</v>
      </c>
      <c r="M1286" s="50">
        <f>SUMIFS(INDEX(Техника!$F$1:$ABM$500,M$2,0),Техника!$F$4:$ABM$4,"Часы",INDEX(Техника!$G$1:$ABN$500,M$2,0),$A$1285,INDEX(Техника!$H$1:$ABO$500,M$2,0),"М")</f>
        <v>0</v>
      </c>
      <c r="N1286" s="50">
        <f>SUMIFS(INDEX(Техника!$F$1:$ABM$500,N$2,0),Техника!$F$4:$ABM$4,"Часы",INDEX(Техника!$G$1:$ABN$500,N$2,0),$A$1285,INDEX(Техника!$H$1:$ABO$500,N$2,0),"М")</f>
        <v>0</v>
      </c>
      <c r="O1286" s="50">
        <f>SUMIFS(INDEX(Техника!$F$1:$ABM$500,O$2,0),Техника!$F$4:$ABM$4,"Часы",INDEX(Техника!$G$1:$ABN$500,O$2,0),$A$1285,INDEX(Техника!$H$1:$ABO$500,O$2,0),"М")</f>
        <v>0</v>
      </c>
      <c r="P1286" s="50">
        <f>SUMIFS(INDEX(Техника!$F$1:$ABM$500,P$2,0),Техника!$F$4:$ABM$4,"Часы",INDEX(Техника!$G$1:$ABN$500,P$2,0),$A$1285,INDEX(Техника!$H$1:$ABO$500,P$2,0),"М")</f>
        <v>0</v>
      </c>
      <c r="Q1286" s="50">
        <f>SUMIFS(INDEX(Техника!$F$1:$ABM$500,Q$2,0),Техника!$F$4:$ABM$4,"Часы",INDEX(Техника!$G$1:$ABN$500,Q$2,0),$A$1285,INDEX(Техника!$H$1:$ABO$500,Q$2,0),"М")</f>
        <v>0</v>
      </c>
      <c r="R1286" s="50">
        <f>SUMIFS(INDEX(Техника!$F$1:$ABM$500,R$2,0),Техника!$F$4:$ABM$4,"Часы",INDEX(Техника!$G$1:$ABN$500,R$2,0),$A$1285,INDEX(Техника!$H$1:$ABO$500,R$2,0),"М")</f>
        <v>0</v>
      </c>
      <c r="S1286" s="50">
        <f>SUMIFS(INDEX(Техника!$F$1:$ABM$500,S$2,0),Техника!$F$4:$ABM$4,"Часы",INDEX(Техника!$G$1:$ABN$500,S$2,0),$A$1285,INDEX(Техника!$H$1:$ABO$500,S$2,0),"М")</f>
        <v>0</v>
      </c>
      <c r="T1286" s="50">
        <f>SUMIFS(INDEX(Техника!$F$1:$ABM$500,T$2,0),Техника!$F$4:$ABM$4,"Часы",INDEX(Техника!$G$1:$ABN$500,T$2,0),$A$1285,INDEX(Техника!$H$1:$ABO$500,T$2,0),"М")</f>
        <v>0</v>
      </c>
      <c r="U1286" s="50">
        <f>SUMIFS(INDEX(Техника!$F$1:$ABM$500,U$2,0),Техника!$F$4:$ABM$4,"Часы",INDEX(Техника!$G$1:$ABN$500,U$2,0),$A$1285,INDEX(Техника!$H$1:$ABO$500,U$2,0),"М")</f>
        <v>0</v>
      </c>
      <c r="V1286" s="50">
        <f>SUMIFS(INDEX(Техника!$F$1:$ABM$500,V$2,0),Техника!$F$4:$ABM$4,"Часы",INDEX(Техника!$G$1:$ABN$500,V$2,0),$A$1285,INDEX(Техника!$H$1:$ABO$500,V$2,0),"М")</f>
        <v>0</v>
      </c>
      <c r="W1286" s="50">
        <f>SUMIFS(INDEX(Техника!$F$1:$ABM$500,W$2,0),Техника!$F$4:$ABM$4,"Часы",INDEX(Техника!$G$1:$ABN$500,W$2,0),$A$1285,INDEX(Техника!$H$1:$ABO$500,W$2,0),"М")</f>
        <v>0</v>
      </c>
      <c r="X1286" s="50">
        <f>SUMIFS(INDEX(Техника!$F$1:$ABM$500,X$2,0),Техника!$F$4:$ABM$4,"Часы",INDEX(Техника!$G$1:$ABN$500,X$2,0),$A$1285,INDEX(Техника!$H$1:$ABO$500,X$2,0),"М")</f>
        <v>0</v>
      </c>
      <c r="Y1286" s="50">
        <f>SUMIFS(INDEX(Техника!$F$1:$ABM$500,Y$2,0),Техника!$F$4:$ABM$4,"Часы",INDEX(Техника!$G$1:$ABN$500,Y$2,0),$A$1285,INDEX(Техника!$H$1:$ABO$500,Y$2,0),"М")</f>
        <v>0</v>
      </c>
      <c r="Z1286" s="50">
        <f>SUMIFS(INDEX(Техника!$F$1:$ABM$500,Z$2,0),Техника!$F$4:$ABM$4,"Часы",INDEX(Техника!$G$1:$ABN$500,Z$2,0),$A$1285,INDEX(Техника!$H$1:$ABO$500,Z$2,0),"М")</f>
        <v>0</v>
      </c>
      <c r="AA1286" s="50">
        <f>SUMIFS(INDEX(Техника!$F$1:$ABM$500,AA$2,0),Техника!$F$4:$ABM$4,"Часы",INDEX(Техника!$G$1:$ABN$500,AA$2,0),$A$1285,INDEX(Техника!$H$1:$ABO$500,AA$2,0),"М")</f>
        <v>0</v>
      </c>
      <c r="AB1286" s="50">
        <f>SUMIFS(INDEX(Техника!$F$1:$ABM$500,AB$2,0),Техника!$F$4:$ABM$4,"Часы",INDEX(Техника!$G$1:$ABN$500,AB$2,0),$A$1285,INDEX(Техника!$H$1:$ABO$500,AB$2,0),"М")</f>
        <v>0</v>
      </c>
    </row>
    <row r="1287" spans="1:28" hidden="1" outlineLevel="1" x14ac:dyDescent="0.3">
      <c r="A1287" s="33" t="s">
        <v>244</v>
      </c>
      <c r="B1287" s="34" t="s">
        <v>275</v>
      </c>
      <c r="C1287" s="50">
        <f>SUMIFS(INDEX(Техника!$F$1:$ABM$500,C$2,0),Техника!$F$4:$ABM$4,"Часы",INDEX(Техника!$G$1:$ABN$500,C$2,0),$A$1285,INDEX(Техника!$H$1:$ABO$500,C$2,0),"Д")</f>
        <v>0</v>
      </c>
      <c r="D1287" s="50">
        <f>SUMIFS(INDEX(Техника!$F$1:$ABM$500,D$2,0),Техника!$F$4:$ABM$4,"Часы",INDEX(Техника!$G$1:$ABN$500,D$2,0),$A$1285,INDEX(Техника!$H$1:$ABO$500,D$2,0),"Д")</f>
        <v>0</v>
      </c>
      <c r="E1287" s="50">
        <f>SUMIFS(INDEX(Техника!$F$1:$ABM$500,E$2,0),Техника!$F$4:$ABM$4,"Часы",INDEX(Техника!$G$1:$ABN$500,E$2,0),$A$1285,INDEX(Техника!$H$1:$ABO$500,E$2,0),"Д")</f>
        <v>0</v>
      </c>
      <c r="F1287" s="50">
        <f>SUMIFS(INDEX(Техника!$F$1:$ABM$500,F$2,0),Техника!$F$4:$ABM$4,"Часы",INDEX(Техника!$G$1:$ABN$500,F$2,0),$A$1285,INDEX(Техника!$H$1:$ABO$500,F$2,0),"Д")</f>
        <v>0</v>
      </c>
      <c r="G1287" s="50">
        <f>SUMIFS(INDEX(Техника!$F$1:$ABM$500,G$2,0),Техника!$F$4:$ABM$4,"Часы",INDEX(Техника!$G$1:$ABN$500,G$2,0),$A$1285,INDEX(Техника!$H$1:$ABO$500,G$2,0),"Д")</f>
        <v>0</v>
      </c>
      <c r="H1287" s="50">
        <f>SUMIFS(INDEX(Техника!$F$1:$ABM$500,H$2,0),Техника!$F$4:$ABM$4,"Часы",INDEX(Техника!$G$1:$ABN$500,H$2,0),$A$1285,INDEX(Техника!$H$1:$ABO$500,H$2,0),"Д")</f>
        <v>0</v>
      </c>
      <c r="I1287" s="50">
        <f>SUMIFS(INDEX(Техника!$F$1:$ABM$500,I$2,0),Техника!$F$4:$ABM$4,"Часы",INDEX(Техника!$G$1:$ABN$500,I$2,0),$A$1285,INDEX(Техника!$H$1:$ABO$500,I$2,0),"Д")</f>
        <v>0</v>
      </c>
      <c r="J1287" s="50">
        <f>SUMIFS(INDEX(Техника!$F$1:$ABM$500,J$2,0),Техника!$F$4:$ABM$4,"Часы",INDEX(Техника!$G$1:$ABN$500,J$2,0),$A$1285,INDEX(Техника!$H$1:$ABO$500,J$2,0),"Д")</f>
        <v>0</v>
      </c>
      <c r="K1287" s="50">
        <f>SUMIFS(INDEX(Техника!$F$1:$ABM$500,K$2,0),Техника!$F$4:$ABM$4,"Часы",INDEX(Техника!$G$1:$ABN$500,K$2,0),$A$1285,INDEX(Техника!$H$1:$ABO$500,K$2,0),"Д")</f>
        <v>0</v>
      </c>
      <c r="L1287" s="50">
        <f>SUMIFS(INDEX(Техника!$F$1:$ABM$500,L$2,0),Техника!$F$4:$ABM$4,"Часы",INDEX(Техника!$G$1:$ABN$500,L$2,0),$A$1285,INDEX(Техника!$H$1:$ABO$500,L$2,0),"Д")</f>
        <v>0</v>
      </c>
      <c r="M1287" s="50">
        <f>SUMIFS(INDEX(Техника!$F$1:$ABM$500,M$2,0),Техника!$F$4:$ABM$4,"Часы",INDEX(Техника!$G$1:$ABN$500,M$2,0),$A$1285,INDEX(Техника!$H$1:$ABO$500,M$2,0),"Д")</f>
        <v>0</v>
      </c>
      <c r="N1287" s="50">
        <f>SUMIFS(INDEX(Техника!$F$1:$ABM$500,N$2,0),Техника!$F$4:$ABM$4,"Часы",INDEX(Техника!$G$1:$ABN$500,N$2,0),$A$1285,INDEX(Техника!$H$1:$ABO$500,N$2,0),"Д")</f>
        <v>0</v>
      </c>
      <c r="O1287" s="50">
        <f>SUMIFS(INDEX(Техника!$F$1:$ABM$500,O$2,0),Техника!$F$4:$ABM$4,"Часы",INDEX(Техника!$G$1:$ABN$500,O$2,0),$A$1285,INDEX(Техника!$H$1:$ABO$500,O$2,0),"Д")</f>
        <v>0</v>
      </c>
      <c r="P1287" s="50">
        <f>SUMIFS(INDEX(Техника!$F$1:$ABM$500,P$2,0),Техника!$F$4:$ABM$4,"Часы",INDEX(Техника!$G$1:$ABN$500,P$2,0),$A$1285,INDEX(Техника!$H$1:$ABO$500,P$2,0),"Д")</f>
        <v>0</v>
      </c>
      <c r="Q1287" s="50">
        <f>SUMIFS(INDEX(Техника!$F$1:$ABM$500,Q$2,0),Техника!$F$4:$ABM$4,"Часы",INDEX(Техника!$G$1:$ABN$500,Q$2,0),$A$1285,INDEX(Техника!$H$1:$ABO$500,Q$2,0),"Д")</f>
        <v>0</v>
      </c>
      <c r="R1287" s="50">
        <f>SUMIFS(INDEX(Техника!$F$1:$ABM$500,R$2,0),Техника!$F$4:$ABM$4,"Часы",INDEX(Техника!$G$1:$ABN$500,R$2,0),$A$1285,INDEX(Техника!$H$1:$ABO$500,R$2,0),"Д")</f>
        <v>0</v>
      </c>
      <c r="S1287" s="50">
        <f>SUMIFS(INDEX(Техника!$F$1:$ABM$500,S$2,0),Техника!$F$4:$ABM$4,"Часы",INDEX(Техника!$G$1:$ABN$500,S$2,0),$A$1285,INDEX(Техника!$H$1:$ABO$500,S$2,0),"Д")</f>
        <v>0</v>
      </c>
      <c r="T1287" s="50">
        <f>SUMIFS(INDEX(Техника!$F$1:$ABM$500,T$2,0),Техника!$F$4:$ABM$4,"Часы",INDEX(Техника!$G$1:$ABN$500,T$2,0),$A$1285,INDEX(Техника!$H$1:$ABO$500,T$2,0),"Д")</f>
        <v>0</v>
      </c>
      <c r="U1287" s="50">
        <f>SUMIFS(INDEX(Техника!$F$1:$ABM$500,U$2,0),Техника!$F$4:$ABM$4,"Часы",INDEX(Техника!$G$1:$ABN$500,U$2,0),$A$1285,INDEX(Техника!$H$1:$ABO$500,U$2,0),"Д")</f>
        <v>0</v>
      </c>
      <c r="V1287" s="50">
        <f>SUMIFS(INDEX(Техника!$F$1:$ABM$500,V$2,0),Техника!$F$4:$ABM$4,"Часы",INDEX(Техника!$G$1:$ABN$500,V$2,0),$A$1285,INDEX(Техника!$H$1:$ABO$500,V$2,0),"Д")</f>
        <v>0</v>
      </c>
      <c r="W1287" s="50">
        <f>SUMIFS(INDEX(Техника!$F$1:$ABM$500,W$2,0),Техника!$F$4:$ABM$4,"Часы",INDEX(Техника!$G$1:$ABN$500,W$2,0),$A$1285,INDEX(Техника!$H$1:$ABO$500,W$2,0),"Д")</f>
        <v>0</v>
      </c>
      <c r="X1287" s="50">
        <f>SUMIFS(INDEX(Техника!$F$1:$ABM$500,X$2,0),Техника!$F$4:$ABM$4,"Часы",INDEX(Техника!$G$1:$ABN$500,X$2,0),$A$1285,INDEX(Техника!$H$1:$ABO$500,X$2,0),"Д")</f>
        <v>0</v>
      </c>
      <c r="Y1287" s="50">
        <f>SUMIFS(INDEX(Техника!$F$1:$ABM$500,Y$2,0),Техника!$F$4:$ABM$4,"Часы",INDEX(Техника!$G$1:$ABN$500,Y$2,0),$A$1285,INDEX(Техника!$H$1:$ABO$500,Y$2,0),"Д")</f>
        <v>0</v>
      </c>
      <c r="Z1287" s="50">
        <f>SUMIFS(INDEX(Техника!$F$1:$ABM$500,Z$2,0),Техника!$F$4:$ABM$4,"Часы",INDEX(Техника!$G$1:$ABN$500,Z$2,0),$A$1285,INDEX(Техника!$H$1:$ABO$500,Z$2,0),"Д")</f>
        <v>0</v>
      </c>
      <c r="AA1287" s="50">
        <f>SUMIFS(INDEX(Техника!$F$1:$ABM$500,AA$2,0),Техника!$F$4:$ABM$4,"Часы",INDEX(Техника!$G$1:$ABN$500,AA$2,0),$A$1285,INDEX(Техника!$H$1:$ABO$500,AA$2,0),"Д")</f>
        <v>0</v>
      </c>
      <c r="AB1287" s="50">
        <f>SUMIFS(INDEX(Техника!$F$1:$ABM$500,AB$2,0),Техника!$F$4:$ABM$4,"Часы",INDEX(Техника!$G$1:$ABN$500,AB$2,0),$A$1285,INDEX(Техника!$H$1:$ABO$500,AB$2,0),"Д")</f>
        <v>0</v>
      </c>
    </row>
    <row r="1288" spans="1:28" hidden="1" outlineLevel="1" x14ac:dyDescent="0.3">
      <c r="A1288" s="33" t="s">
        <v>276</v>
      </c>
      <c r="B1288" s="34" t="s">
        <v>277</v>
      </c>
      <c r="C1288" s="50">
        <f>SUMIFS(INDEX(Техника!$F$1:$ABM$500,C$2,0),Техника!$F$4:$ABM$4,"Часы",INDEX(Техника!$G$1:$ABN$500,C$2,0),$A$1285,INDEX(Техника!$H$1:$ABO$500,C$2,0),"П")</f>
        <v>0</v>
      </c>
      <c r="D1288" s="50">
        <f>SUMIFS(INDEX(Техника!$F$1:$ABM$500,D$2,0),Техника!$F$4:$ABM$4,"Часы",INDEX(Техника!$G$1:$ABN$500,D$2,0),$A$1285,INDEX(Техника!$H$1:$ABO$500,D$2,0),"П")</f>
        <v>0</v>
      </c>
      <c r="E1288" s="50">
        <f>SUMIFS(INDEX(Техника!$F$1:$ABM$500,E$2,0),Техника!$F$4:$ABM$4,"Часы",INDEX(Техника!$G$1:$ABN$500,E$2,0),$A$1285,INDEX(Техника!$H$1:$ABO$500,E$2,0),"П")</f>
        <v>0</v>
      </c>
      <c r="F1288" s="50">
        <f>SUMIFS(INDEX(Техника!$F$1:$ABM$500,F$2,0),Техника!$F$4:$ABM$4,"Часы",INDEX(Техника!$G$1:$ABN$500,F$2,0),$A$1285,INDEX(Техника!$H$1:$ABO$500,F$2,0),"П")</f>
        <v>0</v>
      </c>
      <c r="G1288" s="50">
        <f>SUMIFS(INDEX(Техника!$F$1:$ABM$500,G$2,0),Техника!$F$4:$ABM$4,"Часы",INDEX(Техника!$G$1:$ABN$500,G$2,0),$A$1285,INDEX(Техника!$H$1:$ABO$500,G$2,0),"П")</f>
        <v>0</v>
      </c>
      <c r="H1288" s="50">
        <f>SUMIFS(INDEX(Техника!$F$1:$ABM$500,H$2,0),Техника!$F$4:$ABM$4,"Часы",INDEX(Техника!$G$1:$ABN$500,H$2,0),$A$1285,INDEX(Техника!$H$1:$ABO$500,H$2,0),"П")</f>
        <v>0</v>
      </c>
      <c r="I1288" s="50">
        <f>SUMIFS(INDEX(Техника!$F$1:$ABM$500,I$2,0),Техника!$F$4:$ABM$4,"Часы",INDEX(Техника!$G$1:$ABN$500,I$2,0),$A$1285,INDEX(Техника!$H$1:$ABO$500,I$2,0),"П")</f>
        <v>0</v>
      </c>
      <c r="J1288" s="50">
        <f>SUMIFS(INDEX(Техника!$F$1:$ABM$500,J$2,0),Техника!$F$4:$ABM$4,"Часы",INDEX(Техника!$G$1:$ABN$500,J$2,0),$A$1285,INDEX(Техника!$H$1:$ABO$500,J$2,0),"П")</f>
        <v>0</v>
      </c>
      <c r="K1288" s="50">
        <f>SUMIFS(INDEX(Техника!$F$1:$ABM$500,K$2,0),Техника!$F$4:$ABM$4,"Часы",INDEX(Техника!$G$1:$ABN$500,K$2,0),$A$1285,INDEX(Техника!$H$1:$ABO$500,K$2,0),"П")</f>
        <v>0</v>
      </c>
      <c r="L1288" s="50">
        <f>SUMIFS(INDEX(Техника!$F$1:$ABM$500,L$2,0),Техника!$F$4:$ABM$4,"Часы",INDEX(Техника!$G$1:$ABN$500,L$2,0),$A$1285,INDEX(Техника!$H$1:$ABO$500,L$2,0),"П")</f>
        <v>0</v>
      </c>
      <c r="M1288" s="50">
        <f>SUMIFS(INDEX(Техника!$F$1:$ABM$500,M$2,0),Техника!$F$4:$ABM$4,"Часы",INDEX(Техника!$G$1:$ABN$500,M$2,0),$A$1285,INDEX(Техника!$H$1:$ABO$500,M$2,0),"П")</f>
        <v>0</v>
      </c>
      <c r="N1288" s="50">
        <f>SUMIFS(INDEX(Техника!$F$1:$ABM$500,N$2,0),Техника!$F$4:$ABM$4,"Часы",INDEX(Техника!$G$1:$ABN$500,N$2,0),$A$1285,INDEX(Техника!$H$1:$ABO$500,N$2,0),"П")</f>
        <v>0</v>
      </c>
      <c r="O1288" s="50">
        <f>SUMIFS(INDEX(Техника!$F$1:$ABM$500,O$2,0),Техника!$F$4:$ABM$4,"Часы",INDEX(Техника!$G$1:$ABN$500,O$2,0),$A$1285,INDEX(Техника!$H$1:$ABO$500,O$2,0),"П")</f>
        <v>0</v>
      </c>
      <c r="P1288" s="50">
        <f>SUMIFS(INDEX(Техника!$F$1:$ABM$500,P$2,0),Техника!$F$4:$ABM$4,"Часы",INDEX(Техника!$G$1:$ABN$500,P$2,0),$A$1285,INDEX(Техника!$H$1:$ABO$500,P$2,0),"П")</f>
        <v>0</v>
      </c>
      <c r="Q1288" s="50">
        <f>SUMIFS(INDEX(Техника!$F$1:$ABM$500,Q$2,0),Техника!$F$4:$ABM$4,"Часы",INDEX(Техника!$G$1:$ABN$500,Q$2,0),$A$1285,INDEX(Техника!$H$1:$ABO$500,Q$2,0),"П")</f>
        <v>0</v>
      </c>
      <c r="R1288" s="50">
        <f>SUMIFS(INDEX(Техника!$F$1:$ABM$500,R$2,0),Техника!$F$4:$ABM$4,"Часы",INDEX(Техника!$G$1:$ABN$500,R$2,0),$A$1285,INDEX(Техника!$H$1:$ABO$500,R$2,0),"П")</f>
        <v>0</v>
      </c>
      <c r="S1288" s="50">
        <f>SUMIFS(INDEX(Техника!$F$1:$ABM$500,S$2,0),Техника!$F$4:$ABM$4,"Часы",INDEX(Техника!$G$1:$ABN$500,S$2,0),$A$1285,INDEX(Техника!$H$1:$ABO$500,S$2,0),"П")</f>
        <v>0</v>
      </c>
      <c r="T1288" s="50">
        <f>SUMIFS(INDEX(Техника!$F$1:$ABM$500,T$2,0),Техника!$F$4:$ABM$4,"Часы",INDEX(Техника!$G$1:$ABN$500,T$2,0),$A$1285,INDEX(Техника!$H$1:$ABO$500,T$2,0),"П")</f>
        <v>0</v>
      </c>
      <c r="U1288" s="50">
        <f>SUMIFS(INDEX(Техника!$F$1:$ABM$500,U$2,0),Техника!$F$4:$ABM$4,"Часы",INDEX(Техника!$G$1:$ABN$500,U$2,0),$A$1285,INDEX(Техника!$H$1:$ABO$500,U$2,0),"П")</f>
        <v>0</v>
      </c>
      <c r="V1288" s="50">
        <f>SUMIFS(INDEX(Техника!$F$1:$ABM$500,V$2,0),Техника!$F$4:$ABM$4,"Часы",INDEX(Техника!$G$1:$ABN$500,V$2,0),$A$1285,INDEX(Техника!$H$1:$ABO$500,V$2,0),"П")</f>
        <v>0</v>
      </c>
      <c r="W1288" s="50">
        <f>SUMIFS(INDEX(Техника!$F$1:$ABM$500,W$2,0),Техника!$F$4:$ABM$4,"Часы",INDEX(Техника!$G$1:$ABN$500,W$2,0),$A$1285,INDEX(Техника!$H$1:$ABO$500,W$2,0),"П")</f>
        <v>0</v>
      </c>
      <c r="X1288" s="50">
        <f>SUMIFS(INDEX(Техника!$F$1:$ABM$500,X$2,0),Техника!$F$4:$ABM$4,"Часы",INDEX(Техника!$G$1:$ABN$500,X$2,0),$A$1285,INDEX(Техника!$H$1:$ABO$500,X$2,0),"П")</f>
        <v>0</v>
      </c>
      <c r="Y1288" s="50">
        <f>SUMIFS(INDEX(Техника!$F$1:$ABM$500,Y$2,0),Техника!$F$4:$ABM$4,"Часы",INDEX(Техника!$G$1:$ABN$500,Y$2,0),$A$1285,INDEX(Техника!$H$1:$ABO$500,Y$2,0),"П")</f>
        <v>0</v>
      </c>
      <c r="Z1288" s="50">
        <f>SUMIFS(INDEX(Техника!$F$1:$ABM$500,Z$2,0),Техника!$F$4:$ABM$4,"Часы",INDEX(Техника!$G$1:$ABN$500,Z$2,0),$A$1285,INDEX(Техника!$H$1:$ABO$500,Z$2,0),"П")</f>
        <v>0</v>
      </c>
      <c r="AA1288" s="50">
        <f>SUMIFS(INDEX(Техника!$F$1:$ABM$500,AA$2,0),Техника!$F$4:$ABM$4,"Часы",INDEX(Техника!$G$1:$ABN$500,AA$2,0),$A$1285,INDEX(Техника!$H$1:$ABO$500,AA$2,0),"П")</f>
        <v>0</v>
      </c>
      <c r="AB1288" s="50">
        <f>SUMIFS(INDEX(Техника!$F$1:$ABM$500,AB$2,0),Техника!$F$4:$ABM$4,"Часы",INDEX(Техника!$G$1:$ABN$500,AB$2,0),$A$1285,INDEX(Техника!$H$1:$ABO$500,AB$2,0),"П")</f>
        <v>0</v>
      </c>
    </row>
    <row r="1289" spans="1:28" hidden="1" outlineLevel="1" x14ac:dyDescent="0.3">
      <c r="A1289" s="33" t="s">
        <v>243</v>
      </c>
      <c r="B1289" s="34" t="s">
        <v>278</v>
      </c>
      <c r="C1289" s="50">
        <f>SUMIFS(INDEX(Техника!$F$1:$ABM$500,C$2,0),Техника!$F$4:$ABM$4,"Часы",INDEX(Техника!$G$1:$ABN$500,C$2,0),$A$1285,INDEX(Техника!$H$1:$ABO$500,C$2,0),"Л")</f>
        <v>0</v>
      </c>
      <c r="D1289" s="50">
        <f>SUMIFS(INDEX(Техника!$F$1:$ABM$500,D$2,0),Техника!$F$4:$ABM$4,"Часы",INDEX(Техника!$G$1:$ABN$500,D$2,0),$A$1285,INDEX(Техника!$H$1:$ABO$500,D$2,0),"Л")</f>
        <v>0</v>
      </c>
      <c r="E1289" s="50">
        <f>SUMIFS(INDEX(Техника!$F$1:$ABM$500,E$2,0),Техника!$F$4:$ABM$4,"Часы",INDEX(Техника!$G$1:$ABN$500,E$2,0),$A$1285,INDEX(Техника!$H$1:$ABO$500,E$2,0),"Л")</f>
        <v>0</v>
      </c>
      <c r="F1289" s="50">
        <f>SUMIFS(INDEX(Техника!$F$1:$ABM$500,F$2,0),Техника!$F$4:$ABM$4,"Часы",INDEX(Техника!$G$1:$ABN$500,F$2,0),$A$1285,INDEX(Техника!$H$1:$ABO$500,F$2,0),"Л")</f>
        <v>0</v>
      </c>
      <c r="G1289" s="50">
        <f>SUMIFS(INDEX(Техника!$F$1:$ABM$500,G$2,0),Техника!$F$4:$ABM$4,"Часы",INDEX(Техника!$G$1:$ABN$500,G$2,0),$A$1285,INDEX(Техника!$H$1:$ABO$500,G$2,0),"Л")</f>
        <v>0</v>
      </c>
      <c r="H1289" s="50">
        <f>SUMIFS(INDEX(Техника!$F$1:$ABM$500,H$2,0),Техника!$F$4:$ABM$4,"Часы",INDEX(Техника!$G$1:$ABN$500,H$2,0),$A$1285,INDEX(Техника!$H$1:$ABO$500,H$2,0),"Л")</f>
        <v>0</v>
      </c>
      <c r="I1289" s="50">
        <f>SUMIFS(INDEX(Техника!$F$1:$ABM$500,I$2,0),Техника!$F$4:$ABM$4,"Часы",INDEX(Техника!$G$1:$ABN$500,I$2,0),$A$1285,INDEX(Техника!$H$1:$ABO$500,I$2,0),"Л")</f>
        <v>0</v>
      </c>
      <c r="J1289" s="50">
        <f>SUMIFS(INDEX(Техника!$F$1:$ABM$500,J$2,0),Техника!$F$4:$ABM$4,"Часы",INDEX(Техника!$G$1:$ABN$500,J$2,0),$A$1285,INDEX(Техника!$H$1:$ABO$500,J$2,0),"Л")</f>
        <v>0</v>
      </c>
      <c r="K1289" s="50">
        <f>SUMIFS(INDEX(Техника!$F$1:$ABM$500,K$2,0),Техника!$F$4:$ABM$4,"Часы",INDEX(Техника!$G$1:$ABN$500,K$2,0),$A$1285,INDEX(Техника!$H$1:$ABO$500,K$2,0),"Л")</f>
        <v>0</v>
      </c>
      <c r="L1289" s="50">
        <f>SUMIFS(INDEX(Техника!$F$1:$ABM$500,L$2,0),Техника!$F$4:$ABM$4,"Часы",INDEX(Техника!$G$1:$ABN$500,L$2,0),$A$1285,INDEX(Техника!$H$1:$ABO$500,L$2,0),"Л")</f>
        <v>0</v>
      </c>
      <c r="M1289" s="50">
        <f>SUMIFS(INDEX(Техника!$F$1:$ABM$500,M$2,0),Техника!$F$4:$ABM$4,"Часы",INDEX(Техника!$G$1:$ABN$500,M$2,0),$A$1285,INDEX(Техника!$H$1:$ABO$500,M$2,0),"Л")</f>
        <v>0</v>
      </c>
      <c r="N1289" s="50">
        <f>SUMIFS(INDEX(Техника!$F$1:$ABM$500,N$2,0),Техника!$F$4:$ABM$4,"Часы",INDEX(Техника!$G$1:$ABN$500,N$2,0),$A$1285,INDEX(Техника!$H$1:$ABO$500,N$2,0),"Л")</f>
        <v>0</v>
      </c>
      <c r="O1289" s="50">
        <f>SUMIFS(INDEX(Техника!$F$1:$ABM$500,O$2,0),Техника!$F$4:$ABM$4,"Часы",INDEX(Техника!$G$1:$ABN$500,O$2,0),$A$1285,INDEX(Техника!$H$1:$ABO$500,O$2,0),"Л")</f>
        <v>0</v>
      </c>
      <c r="P1289" s="50">
        <f>SUMIFS(INDEX(Техника!$F$1:$ABM$500,P$2,0),Техника!$F$4:$ABM$4,"Часы",INDEX(Техника!$G$1:$ABN$500,P$2,0),$A$1285,INDEX(Техника!$H$1:$ABO$500,P$2,0),"Л")</f>
        <v>0</v>
      </c>
      <c r="Q1289" s="50">
        <f>SUMIFS(INDEX(Техника!$F$1:$ABM$500,Q$2,0),Техника!$F$4:$ABM$4,"Часы",INDEX(Техника!$G$1:$ABN$500,Q$2,0),$A$1285,INDEX(Техника!$H$1:$ABO$500,Q$2,0),"Л")</f>
        <v>0</v>
      </c>
      <c r="R1289" s="50">
        <f>SUMIFS(INDEX(Техника!$F$1:$ABM$500,R$2,0),Техника!$F$4:$ABM$4,"Часы",INDEX(Техника!$G$1:$ABN$500,R$2,0),$A$1285,INDEX(Техника!$H$1:$ABO$500,R$2,0),"Л")</f>
        <v>0</v>
      </c>
      <c r="S1289" s="50">
        <f>SUMIFS(INDEX(Техника!$F$1:$ABM$500,S$2,0),Техника!$F$4:$ABM$4,"Часы",INDEX(Техника!$G$1:$ABN$500,S$2,0),$A$1285,INDEX(Техника!$H$1:$ABO$500,S$2,0),"Л")</f>
        <v>0</v>
      </c>
      <c r="T1289" s="50">
        <f>SUMIFS(INDEX(Техника!$F$1:$ABM$500,T$2,0),Техника!$F$4:$ABM$4,"Часы",INDEX(Техника!$G$1:$ABN$500,T$2,0),$A$1285,INDEX(Техника!$H$1:$ABO$500,T$2,0),"Л")</f>
        <v>0</v>
      </c>
      <c r="U1289" s="50">
        <f>SUMIFS(INDEX(Техника!$F$1:$ABM$500,U$2,0),Техника!$F$4:$ABM$4,"Часы",INDEX(Техника!$G$1:$ABN$500,U$2,0),$A$1285,INDEX(Техника!$H$1:$ABO$500,U$2,0),"Л")</f>
        <v>0</v>
      </c>
      <c r="V1289" s="50">
        <f>SUMIFS(INDEX(Техника!$F$1:$ABM$500,V$2,0),Техника!$F$4:$ABM$4,"Часы",INDEX(Техника!$G$1:$ABN$500,V$2,0),$A$1285,INDEX(Техника!$H$1:$ABO$500,V$2,0),"Л")</f>
        <v>0</v>
      </c>
      <c r="W1289" s="50">
        <f>SUMIFS(INDEX(Техника!$F$1:$ABM$500,W$2,0),Техника!$F$4:$ABM$4,"Часы",INDEX(Техника!$G$1:$ABN$500,W$2,0),$A$1285,INDEX(Техника!$H$1:$ABO$500,W$2,0),"Л")</f>
        <v>0</v>
      </c>
      <c r="X1289" s="50">
        <f>SUMIFS(INDEX(Техника!$F$1:$ABM$500,X$2,0),Техника!$F$4:$ABM$4,"Часы",INDEX(Техника!$G$1:$ABN$500,X$2,0),$A$1285,INDEX(Техника!$H$1:$ABO$500,X$2,0),"Л")</f>
        <v>0</v>
      </c>
      <c r="Y1289" s="50">
        <f>SUMIFS(INDEX(Техника!$F$1:$ABM$500,Y$2,0),Техника!$F$4:$ABM$4,"Часы",INDEX(Техника!$G$1:$ABN$500,Y$2,0),$A$1285,INDEX(Техника!$H$1:$ABO$500,Y$2,0),"Л")</f>
        <v>0</v>
      </c>
      <c r="Z1289" s="50">
        <f>SUMIFS(INDEX(Техника!$F$1:$ABM$500,Z$2,0),Техника!$F$4:$ABM$4,"Часы",INDEX(Техника!$G$1:$ABN$500,Z$2,0),$A$1285,INDEX(Техника!$H$1:$ABO$500,Z$2,0),"Л")</f>
        <v>0</v>
      </c>
      <c r="AA1289" s="50">
        <f>SUMIFS(INDEX(Техника!$F$1:$ABM$500,AA$2,0),Техника!$F$4:$ABM$4,"Часы",INDEX(Техника!$G$1:$ABN$500,AA$2,0),$A$1285,INDEX(Техника!$H$1:$ABO$500,AA$2,0),"Л")</f>
        <v>0</v>
      </c>
      <c r="AB1289" s="50">
        <f>SUMIFS(INDEX(Техника!$F$1:$ABM$500,AB$2,0),Техника!$F$4:$ABM$4,"Часы",INDEX(Техника!$G$1:$ABN$500,AB$2,0),$A$1285,INDEX(Техника!$H$1:$ABO$500,AB$2,0),"Л")</f>
        <v>0</v>
      </c>
    </row>
    <row r="1290" spans="1:28" hidden="1" outlineLevel="1" x14ac:dyDescent="0.3">
      <c r="A1290" s="33" t="s">
        <v>245</v>
      </c>
      <c r="B1290" s="34" t="s">
        <v>279</v>
      </c>
      <c r="C1290" s="50">
        <f>SUMIFS(INDEX(Техника!$F$1:$ABM$500,C$2,0),Техника!$F$4:$ABM$4,"Часы",INDEX(Техника!$G$1:$ABN$500,C$2,0),$A$1285,INDEX(Техника!$H$1:$ABO$500,C$2,0),"З")</f>
        <v>0</v>
      </c>
      <c r="D1290" s="50">
        <f>SUMIFS(INDEX(Техника!$F$1:$ABM$500,D$2,0),Техника!$F$4:$ABM$4,"Часы",INDEX(Техника!$G$1:$ABN$500,D$2,0),$A$1285,INDEX(Техника!$H$1:$ABO$500,D$2,0),"З")</f>
        <v>0</v>
      </c>
      <c r="E1290" s="50">
        <f>SUMIFS(INDEX(Техника!$F$1:$ABM$500,E$2,0),Техника!$F$4:$ABM$4,"Часы",INDEX(Техника!$G$1:$ABN$500,E$2,0),$A$1285,INDEX(Техника!$H$1:$ABO$500,E$2,0),"З")</f>
        <v>0</v>
      </c>
      <c r="F1290" s="50">
        <f>SUMIFS(INDEX(Техника!$F$1:$ABM$500,F$2,0),Техника!$F$4:$ABM$4,"Часы",INDEX(Техника!$G$1:$ABN$500,F$2,0),$A$1285,INDEX(Техника!$H$1:$ABO$500,F$2,0),"З")</f>
        <v>0</v>
      </c>
      <c r="G1290" s="50">
        <f>SUMIFS(INDEX(Техника!$F$1:$ABM$500,G$2,0),Техника!$F$4:$ABM$4,"Часы",INDEX(Техника!$G$1:$ABN$500,G$2,0),$A$1285,INDEX(Техника!$H$1:$ABO$500,G$2,0),"З")</f>
        <v>0</v>
      </c>
      <c r="H1290" s="50">
        <f>SUMIFS(INDEX(Техника!$F$1:$ABM$500,H$2,0),Техника!$F$4:$ABM$4,"Часы",INDEX(Техника!$G$1:$ABN$500,H$2,0),$A$1285,INDEX(Техника!$H$1:$ABO$500,H$2,0),"З")</f>
        <v>0</v>
      </c>
      <c r="I1290" s="50">
        <f>SUMIFS(INDEX(Техника!$F$1:$ABM$500,I$2,0),Техника!$F$4:$ABM$4,"Часы",INDEX(Техника!$G$1:$ABN$500,I$2,0),$A$1285,INDEX(Техника!$H$1:$ABO$500,I$2,0),"З")</f>
        <v>0</v>
      </c>
      <c r="J1290" s="50">
        <f>SUMIFS(INDEX(Техника!$F$1:$ABM$500,J$2,0),Техника!$F$4:$ABM$4,"Часы",INDEX(Техника!$G$1:$ABN$500,J$2,0),$A$1285,INDEX(Техника!$H$1:$ABO$500,J$2,0),"З")</f>
        <v>0</v>
      </c>
      <c r="K1290" s="50">
        <f>SUMIFS(INDEX(Техника!$F$1:$ABM$500,K$2,0),Техника!$F$4:$ABM$4,"Часы",INDEX(Техника!$G$1:$ABN$500,K$2,0),$A$1285,INDEX(Техника!$H$1:$ABO$500,K$2,0),"З")</f>
        <v>0</v>
      </c>
      <c r="L1290" s="50">
        <f>SUMIFS(INDEX(Техника!$F$1:$ABM$500,L$2,0),Техника!$F$4:$ABM$4,"Часы",INDEX(Техника!$G$1:$ABN$500,L$2,0),$A$1285,INDEX(Техника!$H$1:$ABO$500,L$2,0),"З")</f>
        <v>0</v>
      </c>
      <c r="M1290" s="50">
        <f>SUMIFS(INDEX(Техника!$F$1:$ABM$500,M$2,0),Техника!$F$4:$ABM$4,"Часы",INDEX(Техника!$G$1:$ABN$500,M$2,0),$A$1285,INDEX(Техника!$H$1:$ABO$500,M$2,0),"З")</f>
        <v>0</v>
      </c>
      <c r="N1290" s="50">
        <f>SUMIFS(INDEX(Техника!$F$1:$ABM$500,N$2,0),Техника!$F$4:$ABM$4,"Часы",INDEX(Техника!$G$1:$ABN$500,N$2,0),$A$1285,INDEX(Техника!$H$1:$ABO$500,N$2,0),"З")</f>
        <v>0</v>
      </c>
      <c r="O1290" s="50">
        <f>SUMIFS(INDEX(Техника!$F$1:$ABM$500,O$2,0),Техника!$F$4:$ABM$4,"Часы",INDEX(Техника!$G$1:$ABN$500,O$2,0),$A$1285,INDEX(Техника!$H$1:$ABO$500,O$2,0),"З")</f>
        <v>0</v>
      </c>
      <c r="P1290" s="50">
        <f>SUMIFS(INDEX(Техника!$F$1:$ABM$500,P$2,0),Техника!$F$4:$ABM$4,"Часы",INDEX(Техника!$G$1:$ABN$500,P$2,0),$A$1285,INDEX(Техника!$H$1:$ABO$500,P$2,0),"З")</f>
        <v>0</v>
      </c>
      <c r="Q1290" s="50">
        <f>SUMIFS(INDEX(Техника!$F$1:$ABM$500,Q$2,0),Техника!$F$4:$ABM$4,"Часы",INDEX(Техника!$G$1:$ABN$500,Q$2,0),$A$1285,INDEX(Техника!$H$1:$ABO$500,Q$2,0),"З")</f>
        <v>0</v>
      </c>
      <c r="R1290" s="50">
        <f>SUMIFS(INDEX(Техника!$F$1:$ABM$500,R$2,0),Техника!$F$4:$ABM$4,"Часы",INDEX(Техника!$G$1:$ABN$500,R$2,0),$A$1285,INDEX(Техника!$H$1:$ABO$500,R$2,0),"З")</f>
        <v>0</v>
      </c>
      <c r="S1290" s="50">
        <f>SUMIFS(INDEX(Техника!$F$1:$ABM$500,S$2,0),Техника!$F$4:$ABM$4,"Часы",INDEX(Техника!$G$1:$ABN$500,S$2,0),$A$1285,INDEX(Техника!$H$1:$ABO$500,S$2,0),"З")</f>
        <v>0</v>
      </c>
      <c r="T1290" s="50">
        <f>SUMIFS(INDEX(Техника!$F$1:$ABM$500,T$2,0),Техника!$F$4:$ABM$4,"Часы",INDEX(Техника!$G$1:$ABN$500,T$2,0),$A$1285,INDEX(Техника!$H$1:$ABO$500,T$2,0),"З")</f>
        <v>0</v>
      </c>
      <c r="U1290" s="50">
        <f>SUMIFS(INDEX(Техника!$F$1:$ABM$500,U$2,0),Техника!$F$4:$ABM$4,"Часы",INDEX(Техника!$G$1:$ABN$500,U$2,0),$A$1285,INDEX(Техника!$H$1:$ABO$500,U$2,0),"З")</f>
        <v>0</v>
      </c>
      <c r="V1290" s="50">
        <f>SUMIFS(INDEX(Техника!$F$1:$ABM$500,V$2,0),Техника!$F$4:$ABM$4,"Часы",INDEX(Техника!$G$1:$ABN$500,V$2,0),$A$1285,INDEX(Техника!$H$1:$ABO$500,V$2,0),"З")</f>
        <v>0</v>
      </c>
      <c r="W1290" s="50">
        <f>SUMIFS(INDEX(Техника!$F$1:$ABM$500,W$2,0),Техника!$F$4:$ABM$4,"Часы",INDEX(Техника!$G$1:$ABN$500,W$2,0),$A$1285,INDEX(Техника!$H$1:$ABO$500,W$2,0),"З")</f>
        <v>0</v>
      </c>
      <c r="X1290" s="50">
        <f>SUMIFS(INDEX(Техника!$F$1:$ABM$500,X$2,0),Техника!$F$4:$ABM$4,"Часы",INDEX(Техника!$G$1:$ABN$500,X$2,0),$A$1285,INDEX(Техника!$H$1:$ABO$500,X$2,0),"З")</f>
        <v>0</v>
      </c>
      <c r="Y1290" s="50">
        <f>SUMIFS(INDEX(Техника!$F$1:$ABM$500,Y$2,0),Техника!$F$4:$ABM$4,"Часы",INDEX(Техника!$G$1:$ABN$500,Y$2,0),$A$1285,INDEX(Техника!$H$1:$ABO$500,Y$2,0),"З")</f>
        <v>0</v>
      </c>
      <c r="Z1290" s="50">
        <f>SUMIFS(INDEX(Техника!$F$1:$ABM$500,Z$2,0),Техника!$F$4:$ABM$4,"Часы",INDEX(Техника!$G$1:$ABN$500,Z$2,0),$A$1285,INDEX(Техника!$H$1:$ABO$500,Z$2,0),"З")</f>
        <v>0</v>
      </c>
      <c r="AA1290" s="50">
        <f>SUMIFS(INDEX(Техника!$F$1:$ABM$500,AA$2,0),Техника!$F$4:$ABM$4,"Часы",INDEX(Техника!$G$1:$ABN$500,AA$2,0),$A$1285,INDEX(Техника!$H$1:$ABO$500,AA$2,0),"З")</f>
        <v>0</v>
      </c>
      <c r="AB1290" s="50">
        <f>SUMIFS(INDEX(Техника!$F$1:$ABM$500,AB$2,0),Техника!$F$4:$ABM$4,"Часы",INDEX(Техника!$G$1:$ABN$500,AB$2,0),$A$1285,INDEX(Техника!$H$1:$ABO$500,AB$2,0),"З")</f>
        <v>0</v>
      </c>
    </row>
    <row r="1291" spans="1:28" ht="7.95" customHeight="1" x14ac:dyDescent="0.3">
      <c r="A1291" s="38"/>
      <c r="B1291" s="39"/>
      <c r="C1291" s="51"/>
      <c r="D1291" s="51"/>
      <c r="E1291" s="51"/>
      <c r="F1291" s="51"/>
      <c r="G1291" s="51"/>
      <c r="H1291" s="51"/>
      <c r="I1291" s="51"/>
      <c r="J1291" s="51"/>
      <c r="K1291" s="51"/>
      <c r="L1291" s="51"/>
      <c r="M1291" s="51"/>
      <c r="N1291" s="51"/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</row>
    <row r="1292" spans="1:28" ht="25.05" customHeight="1" collapsed="1" x14ac:dyDescent="0.3">
      <c r="A1292" s="32">
        <v>185</v>
      </c>
      <c r="B1292" s="32" t="s">
        <v>186</v>
      </c>
      <c r="C1292" s="49">
        <f>SUM(C1293:C1297)</f>
        <v>0</v>
      </c>
      <c r="D1292" s="49">
        <f>SUM(D1293:D1297)</f>
        <v>0</v>
      </c>
      <c r="E1292" s="49">
        <f>SUM(E1293:E1297)</f>
        <v>0</v>
      </c>
      <c r="F1292" s="49">
        <f>SUM(F1293:F1297)</f>
        <v>0</v>
      </c>
      <c r="G1292" s="49">
        <f>SUM(G1293:G1297)</f>
        <v>0</v>
      </c>
      <c r="H1292" s="49">
        <f>SUM(H1293:H1297)</f>
        <v>0</v>
      </c>
      <c r="I1292" s="49">
        <f>SUM(I1293:I1297)</f>
        <v>0</v>
      </c>
      <c r="J1292" s="49">
        <f>SUM(J1293:J1297)</f>
        <v>0</v>
      </c>
      <c r="K1292" s="49">
        <f>SUM(K1293:K1297)</f>
        <v>0</v>
      </c>
      <c r="L1292" s="49">
        <f>SUM(L1293:L1297)</f>
        <v>0</v>
      </c>
      <c r="M1292" s="49">
        <f>SUM(M1293:M1297)</f>
        <v>0</v>
      </c>
      <c r="N1292" s="49">
        <f>SUM(N1293:N1297)</f>
        <v>0</v>
      </c>
      <c r="O1292" s="49">
        <f>SUM(O1293:O1297)</f>
        <v>0</v>
      </c>
      <c r="P1292" s="49">
        <f>SUM(P1293:P1297)</f>
        <v>0</v>
      </c>
      <c r="Q1292" s="49">
        <f>SUM(Q1293:Q1297)</f>
        <v>0</v>
      </c>
      <c r="R1292" s="49">
        <f>SUM(R1293:R1297)</f>
        <v>0</v>
      </c>
      <c r="S1292" s="49">
        <f>SUM(S1293:S1297)</f>
        <v>0</v>
      </c>
      <c r="T1292" s="49">
        <f>SUM(T1293:T1297)</f>
        <v>0</v>
      </c>
      <c r="U1292" s="49">
        <f>SUM(U1293:U1297)</f>
        <v>0</v>
      </c>
      <c r="V1292" s="49">
        <f>SUM(V1293:V1297)</f>
        <v>0</v>
      </c>
      <c r="W1292" s="49">
        <f>SUM(W1293:W1297)</f>
        <v>0</v>
      </c>
      <c r="X1292" s="49">
        <f>SUM(X1293:X1297)</f>
        <v>0</v>
      </c>
      <c r="Y1292" s="49">
        <f>SUM(Y1293:Y1297)</f>
        <v>0</v>
      </c>
      <c r="Z1292" s="49">
        <f>SUM(Z1293:Z1297)</f>
        <v>0</v>
      </c>
      <c r="AA1292" s="49">
        <f>SUM(AA1293:AA1297)</f>
        <v>0</v>
      </c>
      <c r="AB1292" s="49">
        <f>SUM(AB1293:AB1297)</f>
        <v>0</v>
      </c>
    </row>
    <row r="1293" spans="1:28" hidden="1" outlineLevel="1" x14ac:dyDescent="0.3">
      <c r="A1293" s="33" t="s">
        <v>246</v>
      </c>
      <c r="B1293" s="34" t="s">
        <v>274</v>
      </c>
      <c r="C1293" s="50">
        <f>SUMIFS(INDEX(Техника!$F$1:$ABM$500,C$2,0),Техника!$F$4:$ABM$4,"Часы",INDEX(Техника!$G$1:$ABN$500,C$2,0),$A$1292,INDEX(Техника!$H$1:$ABO$500,C$2,0),"М")</f>
        <v>0</v>
      </c>
      <c r="D1293" s="50">
        <f>SUMIFS(INDEX(Техника!$F$1:$ABM$500,D$2,0),Техника!$F$4:$ABM$4,"Часы",INDEX(Техника!$G$1:$ABN$500,D$2,0),$A$1292,INDEX(Техника!$H$1:$ABO$500,D$2,0),"М")</f>
        <v>0</v>
      </c>
      <c r="E1293" s="50">
        <f>SUMIFS(INDEX(Техника!$F$1:$ABM$500,E$2,0),Техника!$F$4:$ABM$4,"Часы",INDEX(Техника!$G$1:$ABN$500,E$2,0),$A$1292,INDEX(Техника!$H$1:$ABO$500,E$2,0),"М")</f>
        <v>0</v>
      </c>
      <c r="F1293" s="50">
        <f>SUMIFS(INDEX(Техника!$F$1:$ABM$500,F$2,0),Техника!$F$4:$ABM$4,"Часы",INDEX(Техника!$G$1:$ABN$500,F$2,0),$A$1292,INDEX(Техника!$H$1:$ABO$500,F$2,0),"М")</f>
        <v>0</v>
      </c>
      <c r="G1293" s="50">
        <f>SUMIFS(INDEX(Техника!$F$1:$ABM$500,G$2,0),Техника!$F$4:$ABM$4,"Часы",INDEX(Техника!$G$1:$ABN$500,G$2,0),$A$1292,INDEX(Техника!$H$1:$ABO$500,G$2,0),"М")</f>
        <v>0</v>
      </c>
      <c r="H1293" s="50">
        <f>SUMIFS(INDEX(Техника!$F$1:$ABM$500,H$2,0),Техника!$F$4:$ABM$4,"Часы",INDEX(Техника!$G$1:$ABN$500,H$2,0),$A$1292,INDEX(Техника!$H$1:$ABO$500,H$2,0),"М")</f>
        <v>0</v>
      </c>
      <c r="I1293" s="50">
        <f>SUMIFS(INDEX(Техника!$F$1:$ABM$500,I$2,0),Техника!$F$4:$ABM$4,"Часы",INDEX(Техника!$G$1:$ABN$500,I$2,0),$A$1292,INDEX(Техника!$H$1:$ABO$500,I$2,0),"М")</f>
        <v>0</v>
      </c>
      <c r="J1293" s="50">
        <f>SUMIFS(INDEX(Техника!$F$1:$ABM$500,J$2,0),Техника!$F$4:$ABM$4,"Часы",INDEX(Техника!$G$1:$ABN$500,J$2,0),$A$1292,INDEX(Техника!$H$1:$ABO$500,J$2,0),"М")</f>
        <v>0</v>
      </c>
      <c r="K1293" s="50">
        <f>SUMIFS(INDEX(Техника!$F$1:$ABM$500,K$2,0),Техника!$F$4:$ABM$4,"Часы",INDEX(Техника!$G$1:$ABN$500,K$2,0),$A$1292,INDEX(Техника!$H$1:$ABO$500,K$2,0),"М")</f>
        <v>0</v>
      </c>
      <c r="L1293" s="50">
        <f>SUMIFS(INDEX(Техника!$F$1:$ABM$500,L$2,0),Техника!$F$4:$ABM$4,"Часы",INDEX(Техника!$G$1:$ABN$500,L$2,0),$A$1292,INDEX(Техника!$H$1:$ABO$500,L$2,0),"М")</f>
        <v>0</v>
      </c>
      <c r="M1293" s="50">
        <f>SUMIFS(INDEX(Техника!$F$1:$ABM$500,M$2,0),Техника!$F$4:$ABM$4,"Часы",INDEX(Техника!$G$1:$ABN$500,M$2,0),$A$1292,INDEX(Техника!$H$1:$ABO$500,M$2,0),"М")</f>
        <v>0</v>
      </c>
      <c r="N1293" s="50">
        <f>SUMIFS(INDEX(Техника!$F$1:$ABM$500,N$2,0),Техника!$F$4:$ABM$4,"Часы",INDEX(Техника!$G$1:$ABN$500,N$2,0),$A$1292,INDEX(Техника!$H$1:$ABO$500,N$2,0),"М")</f>
        <v>0</v>
      </c>
      <c r="O1293" s="50">
        <f>SUMIFS(INDEX(Техника!$F$1:$ABM$500,O$2,0),Техника!$F$4:$ABM$4,"Часы",INDEX(Техника!$G$1:$ABN$500,O$2,0),$A$1292,INDEX(Техника!$H$1:$ABO$500,O$2,0),"М")</f>
        <v>0</v>
      </c>
      <c r="P1293" s="50">
        <f>SUMIFS(INDEX(Техника!$F$1:$ABM$500,P$2,0),Техника!$F$4:$ABM$4,"Часы",INDEX(Техника!$G$1:$ABN$500,P$2,0),$A$1292,INDEX(Техника!$H$1:$ABO$500,P$2,0),"М")</f>
        <v>0</v>
      </c>
      <c r="Q1293" s="50">
        <f>SUMIFS(INDEX(Техника!$F$1:$ABM$500,Q$2,0),Техника!$F$4:$ABM$4,"Часы",INDEX(Техника!$G$1:$ABN$500,Q$2,0),$A$1292,INDEX(Техника!$H$1:$ABO$500,Q$2,0),"М")</f>
        <v>0</v>
      </c>
      <c r="R1293" s="50">
        <f>SUMIFS(INDEX(Техника!$F$1:$ABM$500,R$2,0),Техника!$F$4:$ABM$4,"Часы",INDEX(Техника!$G$1:$ABN$500,R$2,0),$A$1292,INDEX(Техника!$H$1:$ABO$500,R$2,0),"М")</f>
        <v>0</v>
      </c>
      <c r="S1293" s="50">
        <f>SUMIFS(INDEX(Техника!$F$1:$ABM$500,S$2,0),Техника!$F$4:$ABM$4,"Часы",INDEX(Техника!$G$1:$ABN$500,S$2,0),$A$1292,INDEX(Техника!$H$1:$ABO$500,S$2,0),"М")</f>
        <v>0</v>
      </c>
      <c r="T1293" s="50">
        <f>SUMIFS(INDEX(Техника!$F$1:$ABM$500,T$2,0),Техника!$F$4:$ABM$4,"Часы",INDEX(Техника!$G$1:$ABN$500,T$2,0),$A$1292,INDEX(Техника!$H$1:$ABO$500,T$2,0),"М")</f>
        <v>0</v>
      </c>
      <c r="U1293" s="50">
        <f>SUMIFS(INDEX(Техника!$F$1:$ABM$500,U$2,0),Техника!$F$4:$ABM$4,"Часы",INDEX(Техника!$G$1:$ABN$500,U$2,0),$A$1292,INDEX(Техника!$H$1:$ABO$500,U$2,0),"М")</f>
        <v>0</v>
      </c>
      <c r="V1293" s="50">
        <f>SUMIFS(INDEX(Техника!$F$1:$ABM$500,V$2,0),Техника!$F$4:$ABM$4,"Часы",INDEX(Техника!$G$1:$ABN$500,V$2,0),$A$1292,INDEX(Техника!$H$1:$ABO$500,V$2,0),"М")</f>
        <v>0</v>
      </c>
      <c r="W1293" s="50">
        <f>SUMIFS(INDEX(Техника!$F$1:$ABM$500,W$2,0),Техника!$F$4:$ABM$4,"Часы",INDEX(Техника!$G$1:$ABN$500,W$2,0),$A$1292,INDEX(Техника!$H$1:$ABO$500,W$2,0),"М")</f>
        <v>0</v>
      </c>
      <c r="X1293" s="50">
        <f>SUMIFS(INDEX(Техника!$F$1:$ABM$500,X$2,0),Техника!$F$4:$ABM$4,"Часы",INDEX(Техника!$G$1:$ABN$500,X$2,0),$A$1292,INDEX(Техника!$H$1:$ABO$500,X$2,0),"М")</f>
        <v>0</v>
      </c>
      <c r="Y1293" s="50">
        <f>SUMIFS(INDEX(Техника!$F$1:$ABM$500,Y$2,0),Техника!$F$4:$ABM$4,"Часы",INDEX(Техника!$G$1:$ABN$500,Y$2,0),$A$1292,INDEX(Техника!$H$1:$ABO$500,Y$2,0),"М")</f>
        <v>0</v>
      </c>
      <c r="Z1293" s="50">
        <f>SUMIFS(INDEX(Техника!$F$1:$ABM$500,Z$2,0),Техника!$F$4:$ABM$4,"Часы",INDEX(Техника!$G$1:$ABN$500,Z$2,0),$A$1292,INDEX(Техника!$H$1:$ABO$500,Z$2,0),"М")</f>
        <v>0</v>
      </c>
      <c r="AA1293" s="50">
        <f>SUMIFS(INDEX(Техника!$F$1:$ABM$500,AA$2,0),Техника!$F$4:$ABM$4,"Часы",INDEX(Техника!$G$1:$ABN$500,AA$2,0),$A$1292,INDEX(Техника!$H$1:$ABO$500,AA$2,0),"М")</f>
        <v>0</v>
      </c>
      <c r="AB1293" s="50">
        <f>SUMIFS(INDEX(Техника!$F$1:$ABM$500,AB$2,0),Техника!$F$4:$ABM$4,"Часы",INDEX(Техника!$G$1:$ABN$500,AB$2,0),$A$1292,INDEX(Техника!$H$1:$ABO$500,AB$2,0),"М")</f>
        <v>0</v>
      </c>
    </row>
    <row r="1294" spans="1:28" hidden="1" outlineLevel="1" x14ac:dyDescent="0.3">
      <c r="A1294" s="33" t="s">
        <v>244</v>
      </c>
      <c r="B1294" s="34" t="s">
        <v>275</v>
      </c>
      <c r="C1294" s="50">
        <f>SUMIFS(INDEX(Техника!$F$1:$ABM$500,C$2,0),Техника!$F$4:$ABM$4,"Часы",INDEX(Техника!$G$1:$ABN$500,C$2,0),$A$1292,INDEX(Техника!$H$1:$ABO$500,C$2,0),"Д")</f>
        <v>0</v>
      </c>
      <c r="D1294" s="50">
        <f>SUMIFS(INDEX(Техника!$F$1:$ABM$500,D$2,0),Техника!$F$4:$ABM$4,"Часы",INDEX(Техника!$G$1:$ABN$500,D$2,0),$A$1292,INDEX(Техника!$H$1:$ABO$500,D$2,0),"Д")</f>
        <v>0</v>
      </c>
      <c r="E1294" s="50">
        <f>SUMIFS(INDEX(Техника!$F$1:$ABM$500,E$2,0),Техника!$F$4:$ABM$4,"Часы",INDEX(Техника!$G$1:$ABN$500,E$2,0),$A$1292,INDEX(Техника!$H$1:$ABO$500,E$2,0),"Д")</f>
        <v>0</v>
      </c>
      <c r="F1294" s="50">
        <f>SUMIFS(INDEX(Техника!$F$1:$ABM$500,F$2,0),Техника!$F$4:$ABM$4,"Часы",INDEX(Техника!$G$1:$ABN$500,F$2,0),$A$1292,INDEX(Техника!$H$1:$ABO$500,F$2,0),"Д")</f>
        <v>0</v>
      </c>
      <c r="G1294" s="50">
        <f>SUMIFS(INDEX(Техника!$F$1:$ABM$500,G$2,0),Техника!$F$4:$ABM$4,"Часы",INDEX(Техника!$G$1:$ABN$500,G$2,0),$A$1292,INDEX(Техника!$H$1:$ABO$500,G$2,0),"Д")</f>
        <v>0</v>
      </c>
      <c r="H1294" s="50">
        <f>SUMIFS(INDEX(Техника!$F$1:$ABM$500,H$2,0),Техника!$F$4:$ABM$4,"Часы",INDEX(Техника!$G$1:$ABN$500,H$2,0),$A$1292,INDEX(Техника!$H$1:$ABO$500,H$2,0),"Д")</f>
        <v>0</v>
      </c>
      <c r="I1294" s="50">
        <f>SUMIFS(INDEX(Техника!$F$1:$ABM$500,I$2,0),Техника!$F$4:$ABM$4,"Часы",INDEX(Техника!$G$1:$ABN$500,I$2,0),$A$1292,INDEX(Техника!$H$1:$ABO$500,I$2,0),"Д")</f>
        <v>0</v>
      </c>
      <c r="J1294" s="50">
        <f>SUMIFS(INDEX(Техника!$F$1:$ABM$500,J$2,0),Техника!$F$4:$ABM$4,"Часы",INDEX(Техника!$G$1:$ABN$500,J$2,0),$A$1292,INDEX(Техника!$H$1:$ABO$500,J$2,0),"Д")</f>
        <v>0</v>
      </c>
      <c r="K1294" s="50">
        <f>SUMIFS(INDEX(Техника!$F$1:$ABM$500,K$2,0),Техника!$F$4:$ABM$4,"Часы",INDEX(Техника!$G$1:$ABN$500,K$2,0),$A$1292,INDEX(Техника!$H$1:$ABO$500,K$2,0),"Д")</f>
        <v>0</v>
      </c>
      <c r="L1294" s="50">
        <f>SUMIFS(INDEX(Техника!$F$1:$ABM$500,L$2,0),Техника!$F$4:$ABM$4,"Часы",INDEX(Техника!$G$1:$ABN$500,L$2,0),$A$1292,INDEX(Техника!$H$1:$ABO$500,L$2,0),"Д")</f>
        <v>0</v>
      </c>
      <c r="M1294" s="50">
        <f>SUMIFS(INDEX(Техника!$F$1:$ABM$500,M$2,0),Техника!$F$4:$ABM$4,"Часы",INDEX(Техника!$G$1:$ABN$500,M$2,0),$A$1292,INDEX(Техника!$H$1:$ABO$500,M$2,0),"Д")</f>
        <v>0</v>
      </c>
      <c r="N1294" s="50">
        <f>SUMIFS(INDEX(Техника!$F$1:$ABM$500,N$2,0),Техника!$F$4:$ABM$4,"Часы",INDEX(Техника!$G$1:$ABN$500,N$2,0),$A$1292,INDEX(Техника!$H$1:$ABO$500,N$2,0),"Д")</f>
        <v>0</v>
      </c>
      <c r="O1294" s="50">
        <f>SUMIFS(INDEX(Техника!$F$1:$ABM$500,O$2,0),Техника!$F$4:$ABM$4,"Часы",INDEX(Техника!$G$1:$ABN$500,O$2,0),$A$1292,INDEX(Техника!$H$1:$ABO$500,O$2,0),"Д")</f>
        <v>0</v>
      </c>
      <c r="P1294" s="50">
        <f>SUMIFS(INDEX(Техника!$F$1:$ABM$500,P$2,0),Техника!$F$4:$ABM$4,"Часы",INDEX(Техника!$G$1:$ABN$500,P$2,0),$A$1292,INDEX(Техника!$H$1:$ABO$500,P$2,0),"Д")</f>
        <v>0</v>
      </c>
      <c r="Q1294" s="50">
        <f>SUMIFS(INDEX(Техника!$F$1:$ABM$500,Q$2,0),Техника!$F$4:$ABM$4,"Часы",INDEX(Техника!$G$1:$ABN$500,Q$2,0),$A$1292,INDEX(Техника!$H$1:$ABO$500,Q$2,0),"Д")</f>
        <v>0</v>
      </c>
      <c r="R1294" s="50">
        <f>SUMIFS(INDEX(Техника!$F$1:$ABM$500,R$2,0),Техника!$F$4:$ABM$4,"Часы",INDEX(Техника!$G$1:$ABN$500,R$2,0),$A$1292,INDEX(Техника!$H$1:$ABO$500,R$2,0),"Д")</f>
        <v>0</v>
      </c>
      <c r="S1294" s="50">
        <f>SUMIFS(INDEX(Техника!$F$1:$ABM$500,S$2,0),Техника!$F$4:$ABM$4,"Часы",INDEX(Техника!$G$1:$ABN$500,S$2,0),$A$1292,INDEX(Техника!$H$1:$ABO$500,S$2,0),"Д")</f>
        <v>0</v>
      </c>
      <c r="T1294" s="50">
        <f>SUMIFS(INDEX(Техника!$F$1:$ABM$500,T$2,0),Техника!$F$4:$ABM$4,"Часы",INDEX(Техника!$G$1:$ABN$500,T$2,0),$A$1292,INDEX(Техника!$H$1:$ABO$500,T$2,0),"Д")</f>
        <v>0</v>
      </c>
      <c r="U1294" s="50">
        <f>SUMIFS(INDEX(Техника!$F$1:$ABM$500,U$2,0),Техника!$F$4:$ABM$4,"Часы",INDEX(Техника!$G$1:$ABN$500,U$2,0),$A$1292,INDEX(Техника!$H$1:$ABO$500,U$2,0),"Д")</f>
        <v>0</v>
      </c>
      <c r="V1294" s="50">
        <f>SUMIFS(INDEX(Техника!$F$1:$ABM$500,V$2,0),Техника!$F$4:$ABM$4,"Часы",INDEX(Техника!$G$1:$ABN$500,V$2,0),$A$1292,INDEX(Техника!$H$1:$ABO$500,V$2,0),"Д")</f>
        <v>0</v>
      </c>
      <c r="W1294" s="50">
        <f>SUMIFS(INDEX(Техника!$F$1:$ABM$500,W$2,0),Техника!$F$4:$ABM$4,"Часы",INDEX(Техника!$G$1:$ABN$500,W$2,0),$A$1292,INDEX(Техника!$H$1:$ABO$500,W$2,0),"Д")</f>
        <v>0</v>
      </c>
      <c r="X1294" s="50">
        <f>SUMIFS(INDEX(Техника!$F$1:$ABM$500,X$2,0),Техника!$F$4:$ABM$4,"Часы",INDEX(Техника!$G$1:$ABN$500,X$2,0),$A$1292,INDEX(Техника!$H$1:$ABO$500,X$2,0),"Д")</f>
        <v>0</v>
      </c>
      <c r="Y1294" s="50">
        <f>SUMIFS(INDEX(Техника!$F$1:$ABM$500,Y$2,0),Техника!$F$4:$ABM$4,"Часы",INDEX(Техника!$G$1:$ABN$500,Y$2,0),$A$1292,INDEX(Техника!$H$1:$ABO$500,Y$2,0),"Д")</f>
        <v>0</v>
      </c>
      <c r="Z1294" s="50">
        <f>SUMIFS(INDEX(Техника!$F$1:$ABM$500,Z$2,0),Техника!$F$4:$ABM$4,"Часы",INDEX(Техника!$G$1:$ABN$500,Z$2,0),$A$1292,INDEX(Техника!$H$1:$ABO$500,Z$2,0),"Д")</f>
        <v>0</v>
      </c>
      <c r="AA1294" s="50">
        <f>SUMIFS(INDEX(Техника!$F$1:$ABM$500,AA$2,0),Техника!$F$4:$ABM$4,"Часы",INDEX(Техника!$G$1:$ABN$500,AA$2,0),$A$1292,INDEX(Техника!$H$1:$ABO$500,AA$2,0),"Д")</f>
        <v>0</v>
      </c>
      <c r="AB1294" s="50">
        <f>SUMIFS(INDEX(Техника!$F$1:$ABM$500,AB$2,0),Техника!$F$4:$ABM$4,"Часы",INDEX(Техника!$G$1:$ABN$500,AB$2,0),$A$1292,INDEX(Техника!$H$1:$ABO$500,AB$2,0),"Д")</f>
        <v>0</v>
      </c>
    </row>
    <row r="1295" spans="1:28" hidden="1" outlineLevel="1" x14ac:dyDescent="0.3">
      <c r="A1295" s="33" t="s">
        <v>276</v>
      </c>
      <c r="B1295" s="34" t="s">
        <v>277</v>
      </c>
      <c r="C1295" s="50">
        <f>SUMIFS(INDEX(Техника!$F$1:$ABM$500,C$2,0),Техника!$F$4:$ABM$4,"Часы",INDEX(Техника!$G$1:$ABN$500,C$2,0),$A$1292,INDEX(Техника!$H$1:$ABO$500,C$2,0),"П")</f>
        <v>0</v>
      </c>
      <c r="D1295" s="50">
        <f>SUMIFS(INDEX(Техника!$F$1:$ABM$500,D$2,0),Техника!$F$4:$ABM$4,"Часы",INDEX(Техника!$G$1:$ABN$500,D$2,0),$A$1292,INDEX(Техника!$H$1:$ABO$500,D$2,0),"П")</f>
        <v>0</v>
      </c>
      <c r="E1295" s="50">
        <f>SUMIFS(INDEX(Техника!$F$1:$ABM$500,E$2,0),Техника!$F$4:$ABM$4,"Часы",INDEX(Техника!$G$1:$ABN$500,E$2,0),$A$1292,INDEX(Техника!$H$1:$ABO$500,E$2,0),"П")</f>
        <v>0</v>
      </c>
      <c r="F1295" s="50">
        <f>SUMIFS(INDEX(Техника!$F$1:$ABM$500,F$2,0),Техника!$F$4:$ABM$4,"Часы",INDEX(Техника!$G$1:$ABN$500,F$2,0),$A$1292,INDEX(Техника!$H$1:$ABO$500,F$2,0),"П")</f>
        <v>0</v>
      </c>
      <c r="G1295" s="50">
        <f>SUMIFS(INDEX(Техника!$F$1:$ABM$500,G$2,0),Техника!$F$4:$ABM$4,"Часы",INDEX(Техника!$G$1:$ABN$500,G$2,0),$A$1292,INDEX(Техника!$H$1:$ABO$500,G$2,0),"П")</f>
        <v>0</v>
      </c>
      <c r="H1295" s="50">
        <f>SUMIFS(INDEX(Техника!$F$1:$ABM$500,H$2,0),Техника!$F$4:$ABM$4,"Часы",INDEX(Техника!$G$1:$ABN$500,H$2,0),$A$1292,INDEX(Техника!$H$1:$ABO$500,H$2,0),"П")</f>
        <v>0</v>
      </c>
      <c r="I1295" s="50">
        <f>SUMIFS(INDEX(Техника!$F$1:$ABM$500,I$2,0),Техника!$F$4:$ABM$4,"Часы",INDEX(Техника!$G$1:$ABN$500,I$2,0),$A$1292,INDEX(Техника!$H$1:$ABO$500,I$2,0),"П")</f>
        <v>0</v>
      </c>
      <c r="J1295" s="50">
        <f>SUMIFS(INDEX(Техника!$F$1:$ABM$500,J$2,0),Техника!$F$4:$ABM$4,"Часы",INDEX(Техника!$G$1:$ABN$500,J$2,0),$A$1292,INDEX(Техника!$H$1:$ABO$500,J$2,0),"П")</f>
        <v>0</v>
      </c>
      <c r="K1295" s="50">
        <f>SUMIFS(INDEX(Техника!$F$1:$ABM$500,K$2,0),Техника!$F$4:$ABM$4,"Часы",INDEX(Техника!$G$1:$ABN$500,K$2,0),$A$1292,INDEX(Техника!$H$1:$ABO$500,K$2,0),"П")</f>
        <v>0</v>
      </c>
      <c r="L1295" s="50">
        <f>SUMIFS(INDEX(Техника!$F$1:$ABM$500,L$2,0),Техника!$F$4:$ABM$4,"Часы",INDEX(Техника!$G$1:$ABN$500,L$2,0),$A$1292,INDEX(Техника!$H$1:$ABO$500,L$2,0),"П")</f>
        <v>0</v>
      </c>
      <c r="M1295" s="50">
        <f>SUMIFS(INDEX(Техника!$F$1:$ABM$500,M$2,0),Техника!$F$4:$ABM$4,"Часы",INDEX(Техника!$G$1:$ABN$500,M$2,0),$A$1292,INDEX(Техника!$H$1:$ABO$500,M$2,0),"П")</f>
        <v>0</v>
      </c>
      <c r="N1295" s="50">
        <f>SUMIFS(INDEX(Техника!$F$1:$ABM$500,N$2,0),Техника!$F$4:$ABM$4,"Часы",INDEX(Техника!$G$1:$ABN$500,N$2,0),$A$1292,INDEX(Техника!$H$1:$ABO$500,N$2,0),"П")</f>
        <v>0</v>
      </c>
      <c r="O1295" s="50">
        <f>SUMIFS(INDEX(Техника!$F$1:$ABM$500,O$2,0),Техника!$F$4:$ABM$4,"Часы",INDEX(Техника!$G$1:$ABN$500,O$2,0),$A$1292,INDEX(Техника!$H$1:$ABO$500,O$2,0),"П")</f>
        <v>0</v>
      </c>
      <c r="P1295" s="50">
        <f>SUMIFS(INDEX(Техника!$F$1:$ABM$500,P$2,0),Техника!$F$4:$ABM$4,"Часы",INDEX(Техника!$G$1:$ABN$500,P$2,0),$A$1292,INDEX(Техника!$H$1:$ABO$500,P$2,0),"П")</f>
        <v>0</v>
      </c>
      <c r="Q1295" s="50">
        <f>SUMIFS(INDEX(Техника!$F$1:$ABM$500,Q$2,0),Техника!$F$4:$ABM$4,"Часы",INDEX(Техника!$G$1:$ABN$500,Q$2,0),$A$1292,INDEX(Техника!$H$1:$ABO$500,Q$2,0),"П")</f>
        <v>0</v>
      </c>
      <c r="R1295" s="50">
        <f>SUMIFS(INDEX(Техника!$F$1:$ABM$500,R$2,0),Техника!$F$4:$ABM$4,"Часы",INDEX(Техника!$G$1:$ABN$500,R$2,0),$A$1292,INDEX(Техника!$H$1:$ABO$500,R$2,0),"П")</f>
        <v>0</v>
      </c>
      <c r="S1295" s="50">
        <f>SUMIFS(INDEX(Техника!$F$1:$ABM$500,S$2,0),Техника!$F$4:$ABM$4,"Часы",INDEX(Техника!$G$1:$ABN$500,S$2,0),$A$1292,INDEX(Техника!$H$1:$ABO$500,S$2,0),"П")</f>
        <v>0</v>
      </c>
      <c r="T1295" s="50">
        <f>SUMIFS(INDEX(Техника!$F$1:$ABM$500,T$2,0),Техника!$F$4:$ABM$4,"Часы",INDEX(Техника!$G$1:$ABN$500,T$2,0),$A$1292,INDEX(Техника!$H$1:$ABO$500,T$2,0),"П")</f>
        <v>0</v>
      </c>
      <c r="U1295" s="50">
        <f>SUMIFS(INDEX(Техника!$F$1:$ABM$500,U$2,0),Техника!$F$4:$ABM$4,"Часы",INDEX(Техника!$G$1:$ABN$500,U$2,0),$A$1292,INDEX(Техника!$H$1:$ABO$500,U$2,0),"П")</f>
        <v>0</v>
      </c>
      <c r="V1295" s="50">
        <f>SUMIFS(INDEX(Техника!$F$1:$ABM$500,V$2,0),Техника!$F$4:$ABM$4,"Часы",INDEX(Техника!$G$1:$ABN$500,V$2,0),$A$1292,INDEX(Техника!$H$1:$ABO$500,V$2,0),"П")</f>
        <v>0</v>
      </c>
      <c r="W1295" s="50">
        <f>SUMIFS(INDEX(Техника!$F$1:$ABM$500,W$2,0),Техника!$F$4:$ABM$4,"Часы",INDEX(Техника!$G$1:$ABN$500,W$2,0),$A$1292,INDEX(Техника!$H$1:$ABO$500,W$2,0),"П")</f>
        <v>0</v>
      </c>
      <c r="X1295" s="50">
        <f>SUMIFS(INDEX(Техника!$F$1:$ABM$500,X$2,0),Техника!$F$4:$ABM$4,"Часы",INDEX(Техника!$G$1:$ABN$500,X$2,0),$A$1292,INDEX(Техника!$H$1:$ABO$500,X$2,0),"П")</f>
        <v>0</v>
      </c>
      <c r="Y1295" s="50">
        <f>SUMIFS(INDEX(Техника!$F$1:$ABM$500,Y$2,0),Техника!$F$4:$ABM$4,"Часы",INDEX(Техника!$G$1:$ABN$500,Y$2,0),$A$1292,INDEX(Техника!$H$1:$ABO$500,Y$2,0),"П")</f>
        <v>0</v>
      </c>
      <c r="Z1295" s="50">
        <f>SUMIFS(INDEX(Техника!$F$1:$ABM$500,Z$2,0),Техника!$F$4:$ABM$4,"Часы",INDEX(Техника!$G$1:$ABN$500,Z$2,0),$A$1292,INDEX(Техника!$H$1:$ABO$500,Z$2,0),"П")</f>
        <v>0</v>
      </c>
      <c r="AA1295" s="50">
        <f>SUMIFS(INDEX(Техника!$F$1:$ABM$500,AA$2,0),Техника!$F$4:$ABM$4,"Часы",INDEX(Техника!$G$1:$ABN$500,AA$2,0),$A$1292,INDEX(Техника!$H$1:$ABO$500,AA$2,0),"П")</f>
        <v>0</v>
      </c>
      <c r="AB1295" s="50">
        <f>SUMIFS(INDEX(Техника!$F$1:$ABM$500,AB$2,0),Техника!$F$4:$ABM$4,"Часы",INDEX(Техника!$G$1:$ABN$500,AB$2,0),$A$1292,INDEX(Техника!$H$1:$ABO$500,AB$2,0),"П")</f>
        <v>0</v>
      </c>
    </row>
    <row r="1296" spans="1:28" hidden="1" outlineLevel="1" x14ac:dyDescent="0.3">
      <c r="A1296" s="33" t="s">
        <v>243</v>
      </c>
      <c r="B1296" s="34" t="s">
        <v>278</v>
      </c>
      <c r="C1296" s="50">
        <f>SUMIFS(INDEX(Техника!$F$1:$ABM$500,C$2,0),Техника!$F$4:$ABM$4,"Часы",INDEX(Техника!$G$1:$ABN$500,C$2,0),$A$1292,INDEX(Техника!$H$1:$ABO$500,C$2,0),"Л")</f>
        <v>0</v>
      </c>
      <c r="D1296" s="50">
        <f>SUMIFS(INDEX(Техника!$F$1:$ABM$500,D$2,0),Техника!$F$4:$ABM$4,"Часы",INDEX(Техника!$G$1:$ABN$500,D$2,0),$A$1292,INDEX(Техника!$H$1:$ABO$500,D$2,0),"Л")</f>
        <v>0</v>
      </c>
      <c r="E1296" s="50">
        <f>SUMIFS(INDEX(Техника!$F$1:$ABM$500,E$2,0),Техника!$F$4:$ABM$4,"Часы",INDEX(Техника!$G$1:$ABN$500,E$2,0),$A$1292,INDEX(Техника!$H$1:$ABO$500,E$2,0),"Л")</f>
        <v>0</v>
      </c>
      <c r="F1296" s="50">
        <f>SUMIFS(INDEX(Техника!$F$1:$ABM$500,F$2,0),Техника!$F$4:$ABM$4,"Часы",INDEX(Техника!$G$1:$ABN$500,F$2,0),$A$1292,INDEX(Техника!$H$1:$ABO$500,F$2,0),"Л")</f>
        <v>0</v>
      </c>
      <c r="G1296" s="50">
        <f>SUMIFS(INDEX(Техника!$F$1:$ABM$500,G$2,0),Техника!$F$4:$ABM$4,"Часы",INDEX(Техника!$G$1:$ABN$500,G$2,0),$A$1292,INDEX(Техника!$H$1:$ABO$500,G$2,0),"Л")</f>
        <v>0</v>
      </c>
      <c r="H1296" s="50">
        <f>SUMIFS(INDEX(Техника!$F$1:$ABM$500,H$2,0),Техника!$F$4:$ABM$4,"Часы",INDEX(Техника!$G$1:$ABN$500,H$2,0),$A$1292,INDEX(Техника!$H$1:$ABO$500,H$2,0),"Л")</f>
        <v>0</v>
      </c>
      <c r="I1296" s="50">
        <f>SUMIFS(INDEX(Техника!$F$1:$ABM$500,I$2,0),Техника!$F$4:$ABM$4,"Часы",INDEX(Техника!$G$1:$ABN$500,I$2,0),$A$1292,INDEX(Техника!$H$1:$ABO$500,I$2,0),"Л")</f>
        <v>0</v>
      </c>
      <c r="J1296" s="50">
        <f>SUMIFS(INDEX(Техника!$F$1:$ABM$500,J$2,0),Техника!$F$4:$ABM$4,"Часы",INDEX(Техника!$G$1:$ABN$500,J$2,0),$A$1292,INDEX(Техника!$H$1:$ABO$500,J$2,0),"Л")</f>
        <v>0</v>
      </c>
      <c r="K1296" s="50">
        <f>SUMIFS(INDEX(Техника!$F$1:$ABM$500,K$2,0),Техника!$F$4:$ABM$4,"Часы",INDEX(Техника!$G$1:$ABN$500,K$2,0),$A$1292,INDEX(Техника!$H$1:$ABO$500,K$2,0),"Л")</f>
        <v>0</v>
      </c>
      <c r="L1296" s="50">
        <f>SUMIFS(INDEX(Техника!$F$1:$ABM$500,L$2,0),Техника!$F$4:$ABM$4,"Часы",INDEX(Техника!$G$1:$ABN$500,L$2,0),$A$1292,INDEX(Техника!$H$1:$ABO$500,L$2,0),"Л")</f>
        <v>0</v>
      </c>
      <c r="M1296" s="50">
        <f>SUMIFS(INDEX(Техника!$F$1:$ABM$500,M$2,0),Техника!$F$4:$ABM$4,"Часы",INDEX(Техника!$G$1:$ABN$500,M$2,0),$A$1292,INDEX(Техника!$H$1:$ABO$500,M$2,0),"Л")</f>
        <v>0</v>
      </c>
      <c r="N1296" s="50">
        <f>SUMIFS(INDEX(Техника!$F$1:$ABM$500,N$2,0),Техника!$F$4:$ABM$4,"Часы",INDEX(Техника!$G$1:$ABN$500,N$2,0),$A$1292,INDEX(Техника!$H$1:$ABO$500,N$2,0),"Л")</f>
        <v>0</v>
      </c>
      <c r="O1296" s="50">
        <f>SUMIFS(INDEX(Техника!$F$1:$ABM$500,O$2,0),Техника!$F$4:$ABM$4,"Часы",INDEX(Техника!$G$1:$ABN$500,O$2,0),$A$1292,INDEX(Техника!$H$1:$ABO$500,O$2,0),"Л")</f>
        <v>0</v>
      </c>
      <c r="P1296" s="50">
        <f>SUMIFS(INDEX(Техника!$F$1:$ABM$500,P$2,0),Техника!$F$4:$ABM$4,"Часы",INDEX(Техника!$G$1:$ABN$500,P$2,0),$A$1292,INDEX(Техника!$H$1:$ABO$500,P$2,0),"Л")</f>
        <v>0</v>
      </c>
      <c r="Q1296" s="50">
        <f>SUMIFS(INDEX(Техника!$F$1:$ABM$500,Q$2,0),Техника!$F$4:$ABM$4,"Часы",INDEX(Техника!$G$1:$ABN$500,Q$2,0),$A$1292,INDEX(Техника!$H$1:$ABO$500,Q$2,0),"Л")</f>
        <v>0</v>
      </c>
      <c r="R1296" s="50">
        <f>SUMIFS(INDEX(Техника!$F$1:$ABM$500,R$2,0),Техника!$F$4:$ABM$4,"Часы",INDEX(Техника!$G$1:$ABN$500,R$2,0),$A$1292,INDEX(Техника!$H$1:$ABO$500,R$2,0),"Л")</f>
        <v>0</v>
      </c>
      <c r="S1296" s="50">
        <f>SUMIFS(INDEX(Техника!$F$1:$ABM$500,S$2,0),Техника!$F$4:$ABM$4,"Часы",INDEX(Техника!$G$1:$ABN$500,S$2,0),$A$1292,INDEX(Техника!$H$1:$ABO$500,S$2,0),"Л")</f>
        <v>0</v>
      </c>
      <c r="T1296" s="50">
        <f>SUMIFS(INDEX(Техника!$F$1:$ABM$500,T$2,0),Техника!$F$4:$ABM$4,"Часы",INDEX(Техника!$G$1:$ABN$500,T$2,0),$A$1292,INDEX(Техника!$H$1:$ABO$500,T$2,0),"Л")</f>
        <v>0</v>
      </c>
      <c r="U1296" s="50">
        <f>SUMIFS(INDEX(Техника!$F$1:$ABM$500,U$2,0),Техника!$F$4:$ABM$4,"Часы",INDEX(Техника!$G$1:$ABN$500,U$2,0),$A$1292,INDEX(Техника!$H$1:$ABO$500,U$2,0),"Л")</f>
        <v>0</v>
      </c>
      <c r="V1296" s="50">
        <f>SUMIFS(INDEX(Техника!$F$1:$ABM$500,V$2,0),Техника!$F$4:$ABM$4,"Часы",INDEX(Техника!$G$1:$ABN$500,V$2,0),$A$1292,INDEX(Техника!$H$1:$ABO$500,V$2,0),"Л")</f>
        <v>0</v>
      </c>
      <c r="W1296" s="50">
        <f>SUMIFS(INDEX(Техника!$F$1:$ABM$500,W$2,0),Техника!$F$4:$ABM$4,"Часы",INDEX(Техника!$G$1:$ABN$500,W$2,0),$A$1292,INDEX(Техника!$H$1:$ABO$500,W$2,0),"Л")</f>
        <v>0</v>
      </c>
      <c r="X1296" s="50">
        <f>SUMIFS(INDEX(Техника!$F$1:$ABM$500,X$2,0),Техника!$F$4:$ABM$4,"Часы",INDEX(Техника!$G$1:$ABN$500,X$2,0),$A$1292,INDEX(Техника!$H$1:$ABO$500,X$2,0),"Л")</f>
        <v>0</v>
      </c>
      <c r="Y1296" s="50">
        <f>SUMIFS(INDEX(Техника!$F$1:$ABM$500,Y$2,0),Техника!$F$4:$ABM$4,"Часы",INDEX(Техника!$G$1:$ABN$500,Y$2,0),$A$1292,INDEX(Техника!$H$1:$ABO$500,Y$2,0),"Л")</f>
        <v>0</v>
      </c>
      <c r="Z1296" s="50">
        <f>SUMIFS(INDEX(Техника!$F$1:$ABM$500,Z$2,0),Техника!$F$4:$ABM$4,"Часы",INDEX(Техника!$G$1:$ABN$500,Z$2,0),$A$1292,INDEX(Техника!$H$1:$ABO$500,Z$2,0),"Л")</f>
        <v>0</v>
      </c>
      <c r="AA1296" s="50">
        <f>SUMIFS(INDEX(Техника!$F$1:$ABM$500,AA$2,0),Техника!$F$4:$ABM$4,"Часы",INDEX(Техника!$G$1:$ABN$500,AA$2,0),$A$1292,INDEX(Техника!$H$1:$ABO$500,AA$2,0),"Л")</f>
        <v>0</v>
      </c>
      <c r="AB1296" s="50">
        <f>SUMIFS(INDEX(Техника!$F$1:$ABM$500,AB$2,0),Техника!$F$4:$ABM$4,"Часы",INDEX(Техника!$G$1:$ABN$500,AB$2,0),$A$1292,INDEX(Техника!$H$1:$ABO$500,AB$2,0),"Л")</f>
        <v>0</v>
      </c>
    </row>
    <row r="1297" spans="1:28" hidden="1" outlineLevel="1" x14ac:dyDescent="0.3">
      <c r="A1297" s="33" t="s">
        <v>245</v>
      </c>
      <c r="B1297" s="34" t="s">
        <v>279</v>
      </c>
      <c r="C1297" s="50">
        <f>SUMIFS(INDEX(Техника!$F$1:$ABM$500,C$2,0),Техника!$F$4:$ABM$4,"Часы",INDEX(Техника!$G$1:$ABN$500,C$2,0),$A$1292,INDEX(Техника!$H$1:$ABO$500,C$2,0),"З")</f>
        <v>0</v>
      </c>
      <c r="D1297" s="50">
        <f>SUMIFS(INDEX(Техника!$F$1:$ABM$500,D$2,0),Техника!$F$4:$ABM$4,"Часы",INDEX(Техника!$G$1:$ABN$500,D$2,0),$A$1292,INDEX(Техника!$H$1:$ABO$500,D$2,0),"З")</f>
        <v>0</v>
      </c>
      <c r="E1297" s="50">
        <f>SUMIFS(INDEX(Техника!$F$1:$ABM$500,E$2,0),Техника!$F$4:$ABM$4,"Часы",INDEX(Техника!$G$1:$ABN$500,E$2,0),$A$1292,INDEX(Техника!$H$1:$ABO$500,E$2,0),"З")</f>
        <v>0</v>
      </c>
      <c r="F1297" s="50">
        <f>SUMIFS(INDEX(Техника!$F$1:$ABM$500,F$2,0),Техника!$F$4:$ABM$4,"Часы",INDEX(Техника!$G$1:$ABN$500,F$2,0),$A$1292,INDEX(Техника!$H$1:$ABO$500,F$2,0),"З")</f>
        <v>0</v>
      </c>
      <c r="G1297" s="50">
        <f>SUMIFS(INDEX(Техника!$F$1:$ABM$500,G$2,0),Техника!$F$4:$ABM$4,"Часы",INDEX(Техника!$G$1:$ABN$500,G$2,0),$A$1292,INDEX(Техника!$H$1:$ABO$500,G$2,0),"З")</f>
        <v>0</v>
      </c>
      <c r="H1297" s="50">
        <f>SUMIFS(INDEX(Техника!$F$1:$ABM$500,H$2,0),Техника!$F$4:$ABM$4,"Часы",INDEX(Техника!$G$1:$ABN$500,H$2,0),$A$1292,INDEX(Техника!$H$1:$ABO$500,H$2,0),"З")</f>
        <v>0</v>
      </c>
      <c r="I1297" s="50">
        <f>SUMIFS(INDEX(Техника!$F$1:$ABM$500,I$2,0),Техника!$F$4:$ABM$4,"Часы",INDEX(Техника!$G$1:$ABN$500,I$2,0),$A$1292,INDEX(Техника!$H$1:$ABO$500,I$2,0),"З")</f>
        <v>0</v>
      </c>
      <c r="J1297" s="50">
        <f>SUMIFS(INDEX(Техника!$F$1:$ABM$500,J$2,0),Техника!$F$4:$ABM$4,"Часы",INDEX(Техника!$G$1:$ABN$500,J$2,0),$A$1292,INDEX(Техника!$H$1:$ABO$500,J$2,0),"З")</f>
        <v>0</v>
      </c>
      <c r="K1297" s="50">
        <f>SUMIFS(INDEX(Техника!$F$1:$ABM$500,K$2,0),Техника!$F$4:$ABM$4,"Часы",INDEX(Техника!$G$1:$ABN$500,K$2,0),$A$1292,INDEX(Техника!$H$1:$ABO$500,K$2,0),"З")</f>
        <v>0</v>
      </c>
      <c r="L1297" s="50">
        <f>SUMIFS(INDEX(Техника!$F$1:$ABM$500,L$2,0),Техника!$F$4:$ABM$4,"Часы",INDEX(Техника!$G$1:$ABN$500,L$2,0),$A$1292,INDEX(Техника!$H$1:$ABO$500,L$2,0),"З")</f>
        <v>0</v>
      </c>
      <c r="M1297" s="50">
        <f>SUMIFS(INDEX(Техника!$F$1:$ABM$500,M$2,0),Техника!$F$4:$ABM$4,"Часы",INDEX(Техника!$G$1:$ABN$500,M$2,0),$A$1292,INDEX(Техника!$H$1:$ABO$500,M$2,0),"З")</f>
        <v>0</v>
      </c>
      <c r="N1297" s="50">
        <f>SUMIFS(INDEX(Техника!$F$1:$ABM$500,N$2,0),Техника!$F$4:$ABM$4,"Часы",INDEX(Техника!$G$1:$ABN$500,N$2,0),$A$1292,INDEX(Техника!$H$1:$ABO$500,N$2,0),"З")</f>
        <v>0</v>
      </c>
      <c r="O1297" s="50">
        <f>SUMIFS(INDEX(Техника!$F$1:$ABM$500,O$2,0),Техника!$F$4:$ABM$4,"Часы",INDEX(Техника!$G$1:$ABN$500,O$2,0),$A$1292,INDEX(Техника!$H$1:$ABO$500,O$2,0),"З")</f>
        <v>0</v>
      </c>
      <c r="P1297" s="50">
        <f>SUMIFS(INDEX(Техника!$F$1:$ABM$500,P$2,0),Техника!$F$4:$ABM$4,"Часы",INDEX(Техника!$G$1:$ABN$500,P$2,0),$A$1292,INDEX(Техника!$H$1:$ABO$500,P$2,0),"З")</f>
        <v>0</v>
      </c>
      <c r="Q1297" s="50">
        <f>SUMIFS(INDEX(Техника!$F$1:$ABM$500,Q$2,0),Техника!$F$4:$ABM$4,"Часы",INDEX(Техника!$G$1:$ABN$500,Q$2,0),$A$1292,INDEX(Техника!$H$1:$ABO$500,Q$2,0),"З")</f>
        <v>0</v>
      </c>
      <c r="R1297" s="50">
        <f>SUMIFS(INDEX(Техника!$F$1:$ABM$500,R$2,0),Техника!$F$4:$ABM$4,"Часы",INDEX(Техника!$G$1:$ABN$500,R$2,0),$A$1292,INDEX(Техника!$H$1:$ABO$500,R$2,0),"З")</f>
        <v>0</v>
      </c>
      <c r="S1297" s="50">
        <f>SUMIFS(INDEX(Техника!$F$1:$ABM$500,S$2,0),Техника!$F$4:$ABM$4,"Часы",INDEX(Техника!$G$1:$ABN$500,S$2,0),$A$1292,INDEX(Техника!$H$1:$ABO$500,S$2,0),"З")</f>
        <v>0</v>
      </c>
      <c r="T1297" s="50">
        <f>SUMIFS(INDEX(Техника!$F$1:$ABM$500,T$2,0),Техника!$F$4:$ABM$4,"Часы",INDEX(Техника!$G$1:$ABN$500,T$2,0),$A$1292,INDEX(Техника!$H$1:$ABO$500,T$2,0),"З")</f>
        <v>0</v>
      </c>
      <c r="U1297" s="50">
        <f>SUMIFS(INDEX(Техника!$F$1:$ABM$500,U$2,0),Техника!$F$4:$ABM$4,"Часы",INDEX(Техника!$G$1:$ABN$500,U$2,0),$A$1292,INDEX(Техника!$H$1:$ABO$500,U$2,0),"З")</f>
        <v>0</v>
      </c>
      <c r="V1297" s="50">
        <f>SUMIFS(INDEX(Техника!$F$1:$ABM$500,V$2,0),Техника!$F$4:$ABM$4,"Часы",INDEX(Техника!$G$1:$ABN$500,V$2,0),$A$1292,INDEX(Техника!$H$1:$ABO$500,V$2,0),"З")</f>
        <v>0</v>
      </c>
      <c r="W1297" s="50">
        <f>SUMIFS(INDEX(Техника!$F$1:$ABM$500,W$2,0),Техника!$F$4:$ABM$4,"Часы",INDEX(Техника!$G$1:$ABN$500,W$2,0),$A$1292,INDEX(Техника!$H$1:$ABO$500,W$2,0),"З")</f>
        <v>0</v>
      </c>
      <c r="X1297" s="50">
        <f>SUMIFS(INDEX(Техника!$F$1:$ABM$500,X$2,0),Техника!$F$4:$ABM$4,"Часы",INDEX(Техника!$G$1:$ABN$500,X$2,0),$A$1292,INDEX(Техника!$H$1:$ABO$500,X$2,0),"З")</f>
        <v>0</v>
      </c>
      <c r="Y1297" s="50">
        <f>SUMIFS(INDEX(Техника!$F$1:$ABM$500,Y$2,0),Техника!$F$4:$ABM$4,"Часы",INDEX(Техника!$G$1:$ABN$500,Y$2,0),$A$1292,INDEX(Техника!$H$1:$ABO$500,Y$2,0),"З")</f>
        <v>0</v>
      </c>
      <c r="Z1297" s="50">
        <f>SUMIFS(INDEX(Техника!$F$1:$ABM$500,Z$2,0),Техника!$F$4:$ABM$4,"Часы",INDEX(Техника!$G$1:$ABN$500,Z$2,0),$A$1292,INDEX(Техника!$H$1:$ABO$500,Z$2,0),"З")</f>
        <v>0</v>
      </c>
      <c r="AA1297" s="50">
        <f>SUMIFS(INDEX(Техника!$F$1:$ABM$500,AA$2,0),Техника!$F$4:$ABM$4,"Часы",INDEX(Техника!$G$1:$ABN$500,AA$2,0),$A$1292,INDEX(Техника!$H$1:$ABO$500,AA$2,0),"З")</f>
        <v>0</v>
      </c>
      <c r="AB1297" s="50">
        <f>SUMIFS(INDEX(Техника!$F$1:$ABM$500,AB$2,0),Техника!$F$4:$ABM$4,"Часы",INDEX(Техника!$G$1:$ABN$500,AB$2,0),$A$1292,INDEX(Техника!$H$1:$ABO$500,AB$2,0),"З")</f>
        <v>0</v>
      </c>
    </row>
    <row r="1298" spans="1:28" ht="7.95" customHeight="1" x14ac:dyDescent="0.3">
      <c r="A1298" s="38"/>
      <c r="B1298" s="39"/>
      <c r="C1298" s="51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  <c r="S1298" s="51"/>
      <c r="T1298" s="51"/>
      <c r="U1298" s="51"/>
      <c r="V1298" s="51"/>
      <c r="W1298" s="51"/>
      <c r="X1298" s="51"/>
      <c r="Y1298" s="51"/>
      <c r="Z1298" s="51"/>
      <c r="AA1298" s="51"/>
      <c r="AB1298" s="51"/>
    </row>
    <row r="1299" spans="1:28" ht="25.05" customHeight="1" collapsed="1" x14ac:dyDescent="0.3">
      <c r="A1299" s="32">
        <v>186</v>
      </c>
      <c r="B1299" s="32" t="s">
        <v>187</v>
      </c>
      <c r="C1299" s="49">
        <f>SUM(C1300:C1304)</f>
        <v>0</v>
      </c>
      <c r="D1299" s="49">
        <f>SUM(D1300:D1304)</f>
        <v>0</v>
      </c>
      <c r="E1299" s="49">
        <f>SUM(E1300:E1304)</f>
        <v>0</v>
      </c>
      <c r="F1299" s="49">
        <f>SUM(F1300:F1304)</f>
        <v>0</v>
      </c>
      <c r="G1299" s="49">
        <f>SUM(G1300:G1304)</f>
        <v>0</v>
      </c>
      <c r="H1299" s="49">
        <f>SUM(H1300:H1304)</f>
        <v>0</v>
      </c>
      <c r="I1299" s="49">
        <f>SUM(I1300:I1304)</f>
        <v>0</v>
      </c>
      <c r="J1299" s="49">
        <f>SUM(J1300:J1304)</f>
        <v>0</v>
      </c>
      <c r="K1299" s="49">
        <f>SUM(K1300:K1304)</f>
        <v>0</v>
      </c>
      <c r="L1299" s="49">
        <f>SUM(L1300:L1304)</f>
        <v>0</v>
      </c>
      <c r="M1299" s="49">
        <f>SUM(M1300:M1304)</f>
        <v>0</v>
      </c>
      <c r="N1299" s="49">
        <f>SUM(N1300:N1304)</f>
        <v>0</v>
      </c>
      <c r="O1299" s="49">
        <f>SUM(O1300:O1304)</f>
        <v>0</v>
      </c>
      <c r="P1299" s="49">
        <f>SUM(P1300:P1304)</f>
        <v>0</v>
      </c>
      <c r="Q1299" s="49">
        <f>SUM(Q1300:Q1304)</f>
        <v>0</v>
      </c>
      <c r="R1299" s="49">
        <f>SUM(R1300:R1304)</f>
        <v>0</v>
      </c>
      <c r="S1299" s="49">
        <f>SUM(S1300:S1304)</f>
        <v>0</v>
      </c>
      <c r="T1299" s="49">
        <f>SUM(T1300:T1304)</f>
        <v>0</v>
      </c>
      <c r="U1299" s="49">
        <f>SUM(U1300:U1304)</f>
        <v>0</v>
      </c>
      <c r="V1299" s="49">
        <f>SUM(V1300:V1304)</f>
        <v>0</v>
      </c>
      <c r="W1299" s="49">
        <f>SUM(W1300:W1304)</f>
        <v>0</v>
      </c>
      <c r="X1299" s="49">
        <f>SUM(X1300:X1304)</f>
        <v>0</v>
      </c>
      <c r="Y1299" s="49">
        <f>SUM(Y1300:Y1304)</f>
        <v>0</v>
      </c>
      <c r="Z1299" s="49">
        <f>SUM(Z1300:Z1304)</f>
        <v>0</v>
      </c>
      <c r="AA1299" s="49">
        <f>SUM(AA1300:AA1304)</f>
        <v>0</v>
      </c>
      <c r="AB1299" s="49">
        <f>SUM(AB1300:AB1304)</f>
        <v>0</v>
      </c>
    </row>
    <row r="1300" spans="1:28" hidden="1" outlineLevel="1" x14ac:dyDescent="0.3">
      <c r="A1300" s="33" t="s">
        <v>246</v>
      </c>
      <c r="B1300" s="34" t="s">
        <v>274</v>
      </c>
      <c r="C1300" s="50">
        <f>SUMIFS(INDEX(Техника!$F$1:$ABM$500,C$2,0),Техника!$F$4:$ABM$4,"Часы",INDEX(Техника!$G$1:$ABN$500,C$2,0),$A$1299,INDEX(Техника!$H$1:$ABO$500,C$2,0),"М")</f>
        <v>0</v>
      </c>
      <c r="D1300" s="50">
        <f>SUMIFS(INDEX(Техника!$F$1:$ABM$500,D$2,0),Техника!$F$4:$ABM$4,"Часы",INDEX(Техника!$G$1:$ABN$500,D$2,0),$A$1299,INDEX(Техника!$H$1:$ABO$500,D$2,0),"М")</f>
        <v>0</v>
      </c>
      <c r="E1300" s="50">
        <f>SUMIFS(INDEX(Техника!$F$1:$ABM$500,E$2,0),Техника!$F$4:$ABM$4,"Часы",INDEX(Техника!$G$1:$ABN$500,E$2,0),$A$1299,INDEX(Техника!$H$1:$ABO$500,E$2,0),"М")</f>
        <v>0</v>
      </c>
      <c r="F1300" s="50">
        <f>SUMIFS(INDEX(Техника!$F$1:$ABM$500,F$2,0),Техника!$F$4:$ABM$4,"Часы",INDEX(Техника!$G$1:$ABN$500,F$2,0),$A$1299,INDEX(Техника!$H$1:$ABO$500,F$2,0),"М")</f>
        <v>0</v>
      </c>
      <c r="G1300" s="50">
        <f>SUMIFS(INDEX(Техника!$F$1:$ABM$500,G$2,0),Техника!$F$4:$ABM$4,"Часы",INDEX(Техника!$G$1:$ABN$500,G$2,0),$A$1299,INDEX(Техника!$H$1:$ABO$500,G$2,0),"М")</f>
        <v>0</v>
      </c>
      <c r="H1300" s="50">
        <f>SUMIFS(INDEX(Техника!$F$1:$ABM$500,H$2,0),Техника!$F$4:$ABM$4,"Часы",INDEX(Техника!$G$1:$ABN$500,H$2,0),$A$1299,INDEX(Техника!$H$1:$ABO$500,H$2,0),"М")</f>
        <v>0</v>
      </c>
      <c r="I1300" s="50">
        <f>SUMIFS(INDEX(Техника!$F$1:$ABM$500,I$2,0),Техника!$F$4:$ABM$4,"Часы",INDEX(Техника!$G$1:$ABN$500,I$2,0),$A$1299,INDEX(Техника!$H$1:$ABO$500,I$2,0),"М")</f>
        <v>0</v>
      </c>
      <c r="J1300" s="50">
        <f>SUMIFS(INDEX(Техника!$F$1:$ABM$500,J$2,0),Техника!$F$4:$ABM$4,"Часы",INDEX(Техника!$G$1:$ABN$500,J$2,0),$A$1299,INDEX(Техника!$H$1:$ABO$500,J$2,0),"М")</f>
        <v>0</v>
      </c>
      <c r="K1300" s="50">
        <f>SUMIFS(INDEX(Техника!$F$1:$ABM$500,K$2,0),Техника!$F$4:$ABM$4,"Часы",INDEX(Техника!$G$1:$ABN$500,K$2,0),$A$1299,INDEX(Техника!$H$1:$ABO$500,K$2,0),"М")</f>
        <v>0</v>
      </c>
      <c r="L1300" s="50">
        <f>SUMIFS(INDEX(Техника!$F$1:$ABM$500,L$2,0),Техника!$F$4:$ABM$4,"Часы",INDEX(Техника!$G$1:$ABN$500,L$2,0),$A$1299,INDEX(Техника!$H$1:$ABO$500,L$2,0),"М")</f>
        <v>0</v>
      </c>
      <c r="M1300" s="50">
        <f>SUMIFS(INDEX(Техника!$F$1:$ABM$500,M$2,0),Техника!$F$4:$ABM$4,"Часы",INDEX(Техника!$G$1:$ABN$500,M$2,0),$A$1299,INDEX(Техника!$H$1:$ABO$500,M$2,0),"М")</f>
        <v>0</v>
      </c>
      <c r="N1300" s="50">
        <f>SUMIFS(INDEX(Техника!$F$1:$ABM$500,N$2,0),Техника!$F$4:$ABM$4,"Часы",INDEX(Техника!$G$1:$ABN$500,N$2,0),$A$1299,INDEX(Техника!$H$1:$ABO$500,N$2,0),"М")</f>
        <v>0</v>
      </c>
      <c r="O1300" s="50">
        <f>SUMIFS(INDEX(Техника!$F$1:$ABM$500,O$2,0),Техника!$F$4:$ABM$4,"Часы",INDEX(Техника!$G$1:$ABN$500,O$2,0),$A$1299,INDEX(Техника!$H$1:$ABO$500,O$2,0),"М")</f>
        <v>0</v>
      </c>
      <c r="P1300" s="50">
        <f>SUMIFS(INDEX(Техника!$F$1:$ABM$500,P$2,0),Техника!$F$4:$ABM$4,"Часы",INDEX(Техника!$G$1:$ABN$500,P$2,0),$A$1299,INDEX(Техника!$H$1:$ABO$500,P$2,0),"М")</f>
        <v>0</v>
      </c>
      <c r="Q1300" s="50">
        <f>SUMIFS(INDEX(Техника!$F$1:$ABM$500,Q$2,0),Техника!$F$4:$ABM$4,"Часы",INDEX(Техника!$G$1:$ABN$500,Q$2,0),$A$1299,INDEX(Техника!$H$1:$ABO$500,Q$2,0),"М")</f>
        <v>0</v>
      </c>
      <c r="R1300" s="50">
        <f>SUMIFS(INDEX(Техника!$F$1:$ABM$500,R$2,0),Техника!$F$4:$ABM$4,"Часы",INDEX(Техника!$G$1:$ABN$500,R$2,0),$A$1299,INDEX(Техника!$H$1:$ABO$500,R$2,0),"М")</f>
        <v>0</v>
      </c>
      <c r="S1300" s="50">
        <f>SUMIFS(INDEX(Техника!$F$1:$ABM$500,S$2,0),Техника!$F$4:$ABM$4,"Часы",INDEX(Техника!$G$1:$ABN$500,S$2,0),$A$1299,INDEX(Техника!$H$1:$ABO$500,S$2,0),"М")</f>
        <v>0</v>
      </c>
      <c r="T1300" s="50">
        <f>SUMIFS(INDEX(Техника!$F$1:$ABM$500,T$2,0),Техника!$F$4:$ABM$4,"Часы",INDEX(Техника!$G$1:$ABN$500,T$2,0),$A$1299,INDEX(Техника!$H$1:$ABO$500,T$2,0),"М")</f>
        <v>0</v>
      </c>
      <c r="U1300" s="50">
        <f>SUMIFS(INDEX(Техника!$F$1:$ABM$500,U$2,0),Техника!$F$4:$ABM$4,"Часы",INDEX(Техника!$G$1:$ABN$500,U$2,0),$A$1299,INDEX(Техника!$H$1:$ABO$500,U$2,0),"М")</f>
        <v>0</v>
      </c>
      <c r="V1300" s="50">
        <f>SUMIFS(INDEX(Техника!$F$1:$ABM$500,V$2,0),Техника!$F$4:$ABM$4,"Часы",INDEX(Техника!$G$1:$ABN$500,V$2,0),$A$1299,INDEX(Техника!$H$1:$ABO$500,V$2,0),"М")</f>
        <v>0</v>
      </c>
      <c r="W1300" s="50">
        <f>SUMIFS(INDEX(Техника!$F$1:$ABM$500,W$2,0),Техника!$F$4:$ABM$4,"Часы",INDEX(Техника!$G$1:$ABN$500,W$2,0),$A$1299,INDEX(Техника!$H$1:$ABO$500,W$2,0),"М")</f>
        <v>0</v>
      </c>
      <c r="X1300" s="50">
        <f>SUMIFS(INDEX(Техника!$F$1:$ABM$500,X$2,0),Техника!$F$4:$ABM$4,"Часы",INDEX(Техника!$G$1:$ABN$500,X$2,0),$A$1299,INDEX(Техника!$H$1:$ABO$500,X$2,0),"М")</f>
        <v>0</v>
      </c>
      <c r="Y1300" s="50">
        <f>SUMIFS(INDEX(Техника!$F$1:$ABM$500,Y$2,0),Техника!$F$4:$ABM$4,"Часы",INDEX(Техника!$G$1:$ABN$500,Y$2,0),$A$1299,INDEX(Техника!$H$1:$ABO$500,Y$2,0),"М")</f>
        <v>0</v>
      </c>
      <c r="Z1300" s="50">
        <f>SUMIFS(INDEX(Техника!$F$1:$ABM$500,Z$2,0),Техника!$F$4:$ABM$4,"Часы",INDEX(Техника!$G$1:$ABN$500,Z$2,0),$A$1299,INDEX(Техника!$H$1:$ABO$500,Z$2,0),"М")</f>
        <v>0</v>
      </c>
      <c r="AA1300" s="50">
        <f>SUMIFS(INDEX(Техника!$F$1:$ABM$500,AA$2,0),Техника!$F$4:$ABM$4,"Часы",INDEX(Техника!$G$1:$ABN$500,AA$2,0),$A$1299,INDEX(Техника!$H$1:$ABO$500,AA$2,0),"М")</f>
        <v>0</v>
      </c>
      <c r="AB1300" s="50">
        <f>SUMIFS(INDEX(Техника!$F$1:$ABM$500,AB$2,0),Техника!$F$4:$ABM$4,"Часы",INDEX(Техника!$G$1:$ABN$500,AB$2,0),$A$1299,INDEX(Техника!$H$1:$ABO$500,AB$2,0),"М")</f>
        <v>0</v>
      </c>
    </row>
    <row r="1301" spans="1:28" hidden="1" outlineLevel="1" x14ac:dyDescent="0.3">
      <c r="A1301" s="33" t="s">
        <v>244</v>
      </c>
      <c r="B1301" s="34" t="s">
        <v>275</v>
      </c>
      <c r="C1301" s="50">
        <f>SUMIFS(INDEX(Техника!$F$1:$ABM$500,C$2,0),Техника!$F$4:$ABM$4,"Часы",INDEX(Техника!$G$1:$ABN$500,C$2,0),$A$1299,INDEX(Техника!$H$1:$ABO$500,C$2,0),"Д")</f>
        <v>0</v>
      </c>
      <c r="D1301" s="50">
        <f>SUMIFS(INDEX(Техника!$F$1:$ABM$500,D$2,0),Техника!$F$4:$ABM$4,"Часы",INDEX(Техника!$G$1:$ABN$500,D$2,0),$A$1299,INDEX(Техника!$H$1:$ABO$500,D$2,0),"Д")</f>
        <v>0</v>
      </c>
      <c r="E1301" s="50">
        <f>SUMIFS(INDEX(Техника!$F$1:$ABM$500,E$2,0),Техника!$F$4:$ABM$4,"Часы",INDEX(Техника!$G$1:$ABN$500,E$2,0),$A$1299,INDEX(Техника!$H$1:$ABO$500,E$2,0),"Д")</f>
        <v>0</v>
      </c>
      <c r="F1301" s="50">
        <f>SUMIFS(INDEX(Техника!$F$1:$ABM$500,F$2,0),Техника!$F$4:$ABM$4,"Часы",INDEX(Техника!$G$1:$ABN$500,F$2,0),$A$1299,INDEX(Техника!$H$1:$ABO$500,F$2,0),"Д")</f>
        <v>0</v>
      </c>
      <c r="G1301" s="50">
        <f>SUMIFS(INDEX(Техника!$F$1:$ABM$500,G$2,0),Техника!$F$4:$ABM$4,"Часы",INDEX(Техника!$G$1:$ABN$500,G$2,0),$A$1299,INDEX(Техника!$H$1:$ABO$500,G$2,0),"Д")</f>
        <v>0</v>
      </c>
      <c r="H1301" s="50">
        <f>SUMIFS(INDEX(Техника!$F$1:$ABM$500,H$2,0),Техника!$F$4:$ABM$4,"Часы",INDEX(Техника!$G$1:$ABN$500,H$2,0),$A$1299,INDEX(Техника!$H$1:$ABO$500,H$2,0),"Д")</f>
        <v>0</v>
      </c>
      <c r="I1301" s="50">
        <f>SUMIFS(INDEX(Техника!$F$1:$ABM$500,I$2,0),Техника!$F$4:$ABM$4,"Часы",INDEX(Техника!$G$1:$ABN$500,I$2,0),$A$1299,INDEX(Техника!$H$1:$ABO$500,I$2,0),"Д")</f>
        <v>0</v>
      </c>
      <c r="J1301" s="50">
        <f>SUMIFS(INDEX(Техника!$F$1:$ABM$500,J$2,0),Техника!$F$4:$ABM$4,"Часы",INDEX(Техника!$G$1:$ABN$500,J$2,0),$A$1299,INDEX(Техника!$H$1:$ABO$500,J$2,0),"Д")</f>
        <v>0</v>
      </c>
      <c r="K1301" s="50">
        <f>SUMIFS(INDEX(Техника!$F$1:$ABM$500,K$2,0),Техника!$F$4:$ABM$4,"Часы",INDEX(Техника!$G$1:$ABN$500,K$2,0),$A$1299,INDEX(Техника!$H$1:$ABO$500,K$2,0),"Д")</f>
        <v>0</v>
      </c>
      <c r="L1301" s="50">
        <f>SUMIFS(INDEX(Техника!$F$1:$ABM$500,L$2,0),Техника!$F$4:$ABM$4,"Часы",INDEX(Техника!$G$1:$ABN$500,L$2,0),$A$1299,INDEX(Техника!$H$1:$ABO$500,L$2,0),"Д")</f>
        <v>0</v>
      </c>
      <c r="M1301" s="50">
        <f>SUMIFS(INDEX(Техника!$F$1:$ABM$500,M$2,0),Техника!$F$4:$ABM$4,"Часы",INDEX(Техника!$G$1:$ABN$500,M$2,0),$A$1299,INDEX(Техника!$H$1:$ABO$500,M$2,0),"Д")</f>
        <v>0</v>
      </c>
      <c r="N1301" s="50">
        <f>SUMIFS(INDEX(Техника!$F$1:$ABM$500,N$2,0),Техника!$F$4:$ABM$4,"Часы",INDEX(Техника!$G$1:$ABN$500,N$2,0),$A$1299,INDEX(Техника!$H$1:$ABO$500,N$2,0),"Д")</f>
        <v>0</v>
      </c>
      <c r="O1301" s="50">
        <f>SUMIFS(INDEX(Техника!$F$1:$ABM$500,O$2,0),Техника!$F$4:$ABM$4,"Часы",INDEX(Техника!$G$1:$ABN$500,O$2,0),$A$1299,INDEX(Техника!$H$1:$ABO$500,O$2,0),"Д")</f>
        <v>0</v>
      </c>
      <c r="P1301" s="50">
        <f>SUMIFS(INDEX(Техника!$F$1:$ABM$500,P$2,0),Техника!$F$4:$ABM$4,"Часы",INDEX(Техника!$G$1:$ABN$500,P$2,0),$A$1299,INDEX(Техника!$H$1:$ABO$500,P$2,0),"Д")</f>
        <v>0</v>
      </c>
      <c r="Q1301" s="50">
        <f>SUMIFS(INDEX(Техника!$F$1:$ABM$500,Q$2,0),Техника!$F$4:$ABM$4,"Часы",INDEX(Техника!$G$1:$ABN$500,Q$2,0),$A$1299,INDEX(Техника!$H$1:$ABO$500,Q$2,0),"Д")</f>
        <v>0</v>
      </c>
      <c r="R1301" s="50">
        <f>SUMIFS(INDEX(Техника!$F$1:$ABM$500,R$2,0),Техника!$F$4:$ABM$4,"Часы",INDEX(Техника!$G$1:$ABN$500,R$2,0),$A$1299,INDEX(Техника!$H$1:$ABO$500,R$2,0),"Д")</f>
        <v>0</v>
      </c>
      <c r="S1301" s="50">
        <f>SUMIFS(INDEX(Техника!$F$1:$ABM$500,S$2,0),Техника!$F$4:$ABM$4,"Часы",INDEX(Техника!$G$1:$ABN$500,S$2,0),$A$1299,INDEX(Техника!$H$1:$ABO$500,S$2,0),"Д")</f>
        <v>0</v>
      </c>
      <c r="T1301" s="50">
        <f>SUMIFS(INDEX(Техника!$F$1:$ABM$500,T$2,0),Техника!$F$4:$ABM$4,"Часы",INDEX(Техника!$G$1:$ABN$500,T$2,0),$A$1299,INDEX(Техника!$H$1:$ABO$500,T$2,0),"Д")</f>
        <v>0</v>
      </c>
      <c r="U1301" s="50">
        <f>SUMIFS(INDEX(Техника!$F$1:$ABM$500,U$2,0),Техника!$F$4:$ABM$4,"Часы",INDEX(Техника!$G$1:$ABN$500,U$2,0),$A$1299,INDEX(Техника!$H$1:$ABO$500,U$2,0),"Д")</f>
        <v>0</v>
      </c>
      <c r="V1301" s="50">
        <f>SUMIFS(INDEX(Техника!$F$1:$ABM$500,V$2,0),Техника!$F$4:$ABM$4,"Часы",INDEX(Техника!$G$1:$ABN$500,V$2,0),$A$1299,INDEX(Техника!$H$1:$ABO$500,V$2,0),"Д")</f>
        <v>0</v>
      </c>
      <c r="W1301" s="50">
        <f>SUMIFS(INDEX(Техника!$F$1:$ABM$500,W$2,0),Техника!$F$4:$ABM$4,"Часы",INDEX(Техника!$G$1:$ABN$500,W$2,0),$A$1299,INDEX(Техника!$H$1:$ABO$500,W$2,0),"Д")</f>
        <v>0</v>
      </c>
      <c r="X1301" s="50">
        <f>SUMIFS(INDEX(Техника!$F$1:$ABM$500,X$2,0),Техника!$F$4:$ABM$4,"Часы",INDEX(Техника!$G$1:$ABN$500,X$2,0),$A$1299,INDEX(Техника!$H$1:$ABO$500,X$2,0),"Д")</f>
        <v>0</v>
      </c>
      <c r="Y1301" s="50">
        <f>SUMIFS(INDEX(Техника!$F$1:$ABM$500,Y$2,0),Техника!$F$4:$ABM$4,"Часы",INDEX(Техника!$G$1:$ABN$500,Y$2,0),$A$1299,INDEX(Техника!$H$1:$ABO$500,Y$2,0),"Д")</f>
        <v>0</v>
      </c>
      <c r="Z1301" s="50">
        <f>SUMIFS(INDEX(Техника!$F$1:$ABM$500,Z$2,0),Техника!$F$4:$ABM$4,"Часы",INDEX(Техника!$G$1:$ABN$500,Z$2,0),$A$1299,INDEX(Техника!$H$1:$ABO$500,Z$2,0),"Д")</f>
        <v>0</v>
      </c>
      <c r="AA1301" s="50">
        <f>SUMIFS(INDEX(Техника!$F$1:$ABM$500,AA$2,0),Техника!$F$4:$ABM$4,"Часы",INDEX(Техника!$G$1:$ABN$500,AA$2,0),$A$1299,INDEX(Техника!$H$1:$ABO$500,AA$2,0),"Д")</f>
        <v>0</v>
      </c>
      <c r="AB1301" s="50">
        <f>SUMIFS(INDEX(Техника!$F$1:$ABM$500,AB$2,0),Техника!$F$4:$ABM$4,"Часы",INDEX(Техника!$G$1:$ABN$500,AB$2,0),$A$1299,INDEX(Техника!$H$1:$ABO$500,AB$2,0),"Д")</f>
        <v>0</v>
      </c>
    </row>
    <row r="1302" spans="1:28" hidden="1" outlineLevel="1" x14ac:dyDescent="0.3">
      <c r="A1302" s="33" t="s">
        <v>276</v>
      </c>
      <c r="B1302" s="34" t="s">
        <v>277</v>
      </c>
      <c r="C1302" s="50">
        <f>SUMIFS(INDEX(Техника!$F$1:$ABM$500,C$2,0),Техника!$F$4:$ABM$4,"Часы",INDEX(Техника!$G$1:$ABN$500,C$2,0),$A$1299,INDEX(Техника!$H$1:$ABO$500,C$2,0),"П")</f>
        <v>0</v>
      </c>
      <c r="D1302" s="50">
        <f>SUMIFS(INDEX(Техника!$F$1:$ABM$500,D$2,0),Техника!$F$4:$ABM$4,"Часы",INDEX(Техника!$G$1:$ABN$500,D$2,0),$A$1299,INDEX(Техника!$H$1:$ABO$500,D$2,0),"П")</f>
        <v>0</v>
      </c>
      <c r="E1302" s="50">
        <f>SUMIFS(INDEX(Техника!$F$1:$ABM$500,E$2,0),Техника!$F$4:$ABM$4,"Часы",INDEX(Техника!$G$1:$ABN$500,E$2,0),$A$1299,INDEX(Техника!$H$1:$ABO$500,E$2,0),"П")</f>
        <v>0</v>
      </c>
      <c r="F1302" s="50">
        <f>SUMIFS(INDEX(Техника!$F$1:$ABM$500,F$2,0),Техника!$F$4:$ABM$4,"Часы",INDEX(Техника!$G$1:$ABN$500,F$2,0),$A$1299,INDEX(Техника!$H$1:$ABO$500,F$2,0),"П")</f>
        <v>0</v>
      </c>
      <c r="G1302" s="50">
        <f>SUMIFS(INDEX(Техника!$F$1:$ABM$500,G$2,0),Техника!$F$4:$ABM$4,"Часы",INDEX(Техника!$G$1:$ABN$500,G$2,0),$A$1299,INDEX(Техника!$H$1:$ABO$500,G$2,0),"П")</f>
        <v>0</v>
      </c>
      <c r="H1302" s="50">
        <f>SUMIFS(INDEX(Техника!$F$1:$ABM$500,H$2,0),Техника!$F$4:$ABM$4,"Часы",INDEX(Техника!$G$1:$ABN$500,H$2,0),$A$1299,INDEX(Техника!$H$1:$ABO$500,H$2,0),"П")</f>
        <v>0</v>
      </c>
      <c r="I1302" s="50">
        <f>SUMIFS(INDEX(Техника!$F$1:$ABM$500,I$2,0),Техника!$F$4:$ABM$4,"Часы",INDEX(Техника!$G$1:$ABN$500,I$2,0),$A$1299,INDEX(Техника!$H$1:$ABO$500,I$2,0),"П")</f>
        <v>0</v>
      </c>
      <c r="J1302" s="50">
        <f>SUMIFS(INDEX(Техника!$F$1:$ABM$500,J$2,0),Техника!$F$4:$ABM$4,"Часы",INDEX(Техника!$G$1:$ABN$500,J$2,0),$A$1299,INDEX(Техника!$H$1:$ABO$500,J$2,0),"П")</f>
        <v>0</v>
      </c>
      <c r="K1302" s="50">
        <f>SUMIFS(INDEX(Техника!$F$1:$ABM$500,K$2,0),Техника!$F$4:$ABM$4,"Часы",INDEX(Техника!$G$1:$ABN$500,K$2,0),$A$1299,INDEX(Техника!$H$1:$ABO$500,K$2,0),"П")</f>
        <v>0</v>
      </c>
      <c r="L1302" s="50">
        <f>SUMIFS(INDEX(Техника!$F$1:$ABM$500,L$2,0),Техника!$F$4:$ABM$4,"Часы",INDEX(Техника!$G$1:$ABN$500,L$2,0),$A$1299,INDEX(Техника!$H$1:$ABO$500,L$2,0),"П")</f>
        <v>0</v>
      </c>
      <c r="M1302" s="50">
        <f>SUMIFS(INDEX(Техника!$F$1:$ABM$500,M$2,0),Техника!$F$4:$ABM$4,"Часы",INDEX(Техника!$G$1:$ABN$500,M$2,0),$A$1299,INDEX(Техника!$H$1:$ABO$500,M$2,0),"П")</f>
        <v>0</v>
      </c>
      <c r="N1302" s="50">
        <f>SUMIFS(INDEX(Техника!$F$1:$ABM$500,N$2,0),Техника!$F$4:$ABM$4,"Часы",INDEX(Техника!$G$1:$ABN$500,N$2,0),$A$1299,INDEX(Техника!$H$1:$ABO$500,N$2,0),"П")</f>
        <v>0</v>
      </c>
      <c r="O1302" s="50">
        <f>SUMIFS(INDEX(Техника!$F$1:$ABM$500,O$2,0),Техника!$F$4:$ABM$4,"Часы",INDEX(Техника!$G$1:$ABN$500,O$2,0),$A$1299,INDEX(Техника!$H$1:$ABO$500,O$2,0),"П")</f>
        <v>0</v>
      </c>
      <c r="P1302" s="50">
        <f>SUMIFS(INDEX(Техника!$F$1:$ABM$500,P$2,0),Техника!$F$4:$ABM$4,"Часы",INDEX(Техника!$G$1:$ABN$500,P$2,0),$A$1299,INDEX(Техника!$H$1:$ABO$500,P$2,0),"П")</f>
        <v>0</v>
      </c>
      <c r="Q1302" s="50">
        <f>SUMIFS(INDEX(Техника!$F$1:$ABM$500,Q$2,0),Техника!$F$4:$ABM$4,"Часы",INDEX(Техника!$G$1:$ABN$500,Q$2,0),$A$1299,INDEX(Техника!$H$1:$ABO$500,Q$2,0),"П")</f>
        <v>0</v>
      </c>
      <c r="R1302" s="50">
        <f>SUMIFS(INDEX(Техника!$F$1:$ABM$500,R$2,0),Техника!$F$4:$ABM$4,"Часы",INDEX(Техника!$G$1:$ABN$500,R$2,0),$A$1299,INDEX(Техника!$H$1:$ABO$500,R$2,0),"П")</f>
        <v>0</v>
      </c>
      <c r="S1302" s="50">
        <f>SUMIFS(INDEX(Техника!$F$1:$ABM$500,S$2,0),Техника!$F$4:$ABM$4,"Часы",INDEX(Техника!$G$1:$ABN$500,S$2,0),$A$1299,INDEX(Техника!$H$1:$ABO$500,S$2,0),"П")</f>
        <v>0</v>
      </c>
      <c r="T1302" s="50">
        <f>SUMIFS(INDEX(Техника!$F$1:$ABM$500,T$2,0),Техника!$F$4:$ABM$4,"Часы",INDEX(Техника!$G$1:$ABN$500,T$2,0),$A$1299,INDEX(Техника!$H$1:$ABO$500,T$2,0),"П")</f>
        <v>0</v>
      </c>
      <c r="U1302" s="50">
        <f>SUMIFS(INDEX(Техника!$F$1:$ABM$500,U$2,0),Техника!$F$4:$ABM$4,"Часы",INDEX(Техника!$G$1:$ABN$500,U$2,0),$A$1299,INDEX(Техника!$H$1:$ABO$500,U$2,0),"П")</f>
        <v>0</v>
      </c>
      <c r="V1302" s="50">
        <f>SUMIFS(INDEX(Техника!$F$1:$ABM$500,V$2,0),Техника!$F$4:$ABM$4,"Часы",INDEX(Техника!$G$1:$ABN$500,V$2,0),$A$1299,INDEX(Техника!$H$1:$ABO$500,V$2,0),"П")</f>
        <v>0</v>
      </c>
      <c r="W1302" s="50">
        <f>SUMIFS(INDEX(Техника!$F$1:$ABM$500,W$2,0),Техника!$F$4:$ABM$4,"Часы",INDEX(Техника!$G$1:$ABN$500,W$2,0),$A$1299,INDEX(Техника!$H$1:$ABO$500,W$2,0),"П")</f>
        <v>0</v>
      </c>
      <c r="X1302" s="50">
        <f>SUMIFS(INDEX(Техника!$F$1:$ABM$500,X$2,0),Техника!$F$4:$ABM$4,"Часы",INDEX(Техника!$G$1:$ABN$500,X$2,0),$A$1299,INDEX(Техника!$H$1:$ABO$500,X$2,0),"П")</f>
        <v>0</v>
      </c>
      <c r="Y1302" s="50">
        <f>SUMIFS(INDEX(Техника!$F$1:$ABM$500,Y$2,0),Техника!$F$4:$ABM$4,"Часы",INDEX(Техника!$G$1:$ABN$500,Y$2,0),$A$1299,INDEX(Техника!$H$1:$ABO$500,Y$2,0),"П")</f>
        <v>0</v>
      </c>
      <c r="Z1302" s="50">
        <f>SUMIFS(INDEX(Техника!$F$1:$ABM$500,Z$2,0),Техника!$F$4:$ABM$4,"Часы",INDEX(Техника!$G$1:$ABN$500,Z$2,0),$A$1299,INDEX(Техника!$H$1:$ABO$500,Z$2,0),"П")</f>
        <v>0</v>
      </c>
      <c r="AA1302" s="50">
        <f>SUMIFS(INDEX(Техника!$F$1:$ABM$500,AA$2,0),Техника!$F$4:$ABM$4,"Часы",INDEX(Техника!$G$1:$ABN$500,AA$2,0),$A$1299,INDEX(Техника!$H$1:$ABO$500,AA$2,0),"П")</f>
        <v>0</v>
      </c>
      <c r="AB1302" s="50">
        <f>SUMIFS(INDEX(Техника!$F$1:$ABM$500,AB$2,0),Техника!$F$4:$ABM$4,"Часы",INDEX(Техника!$G$1:$ABN$500,AB$2,0),$A$1299,INDEX(Техника!$H$1:$ABO$500,AB$2,0),"П")</f>
        <v>0</v>
      </c>
    </row>
    <row r="1303" spans="1:28" hidden="1" outlineLevel="1" x14ac:dyDescent="0.3">
      <c r="A1303" s="33" t="s">
        <v>243</v>
      </c>
      <c r="B1303" s="34" t="s">
        <v>278</v>
      </c>
      <c r="C1303" s="50">
        <f>SUMIFS(INDEX(Техника!$F$1:$ABM$500,C$2,0),Техника!$F$4:$ABM$4,"Часы",INDEX(Техника!$G$1:$ABN$500,C$2,0),$A$1299,INDEX(Техника!$H$1:$ABO$500,C$2,0),"Л")</f>
        <v>0</v>
      </c>
      <c r="D1303" s="50">
        <f>SUMIFS(INDEX(Техника!$F$1:$ABM$500,D$2,0),Техника!$F$4:$ABM$4,"Часы",INDEX(Техника!$G$1:$ABN$500,D$2,0),$A$1299,INDEX(Техника!$H$1:$ABO$500,D$2,0),"Л")</f>
        <v>0</v>
      </c>
      <c r="E1303" s="50">
        <f>SUMIFS(INDEX(Техника!$F$1:$ABM$500,E$2,0),Техника!$F$4:$ABM$4,"Часы",INDEX(Техника!$G$1:$ABN$500,E$2,0),$A$1299,INDEX(Техника!$H$1:$ABO$500,E$2,0),"Л")</f>
        <v>0</v>
      </c>
      <c r="F1303" s="50">
        <f>SUMIFS(INDEX(Техника!$F$1:$ABM$500,F$2,0),Техника!$F$4:$ABM$4,"Часы",INDEX(Техника!$G$1:$ABN$500,F$2,0),$A$1299,INDEX(Техника!$H$1:$ABO$500,F$2,0),"Л")</f>
        <v>0</v>
      </c>
      <c r="G1303" s="50">
        <f>SUMIFS(INDEX(Техника!$F$1:$ABM$500,G$2,0),Техника!$F$4:$ABM$4,"Часы",INDEX(Техника!$G$1:$ABN$500,G$2,0),$A$1299,INDEX(Техника!$H$1:$ABO$500,G$2,0),"Л")</f>
        <v>0</v>
      </c>
      <c r="H1303" s="50">
        <f>SUMIFS(INDEX(Техника!$F$1:$ABM$500,H$2,0),Техника!$F$4:$ABM$4,"Часы",INDEX(Техника!$G$1:$ABN$500,H$2,0),$A$1299,INDEX(Техника!$H$1:$ABO$500,H$2,0),"Л")</f>
        <v>0</v>
      </c>
      <c r="I1303" s="50">
        <f>SUMIFS(INDEX(Техника!$F$1:$ABM$500,I$2,0),Техника!$F$4:$ABM$4,"Часы",INDEX(Техника!$G$1:$ABN$500,I$2,0),$A$1299,INDEX(Техника!$H$1:$ABO$500,I$2,0),"Л")</f>
        <v>0</v>
      </c>
      <c r="J1303" s="50">
        <f>SUMIFS(INDEX(Техника!$F$1:$ABM$500,J$2,0),Техника!$F$4:$ABM$4,"Часы",INDEX(Техника!$G$1:$ABN$500,J$2,0),$A$1299,INDEX(Техника!$H$1:$ABO$500,J$2,0),"Л")</f>
        <v>0</v>
      </c>
      <c r="K1303" s="50">
        <f>SUMIFS(INDEX(Техника!$F$1:$ABM$500,K$2,0),Техника!$F$4:$ABM$4,"Часы",INDEX(Техника!$G$1:$ABN$500,K$2,0),$A$1299,INDEX(Техника!$H$1:$ABO$500,K$2,0),"Л")</f>
        <v>0</v>
      </c>
      <c r="L1303" s="50">
        <f>SUMIFS(INDEX(Техника!$F$1:$ABM$500,L$2,0),Техника!$F$4:$ABM$4,"Часы",INDEX(Техника!$G$1:$ABN$500,L$2,0),$A$1299,INDEX(Техника!$H$1:$ABO$500,L$2,0),"Л")</f>
        <v>0</v>
      </c>
      <c r="M1303" s="50">
        <f>SUMIFS(INDEX(Техника!$F$1:$ABM$500,M$2,0),Техника!$F$4:$ABM$4,"Часы",INDEX(Техника!$G$1:$ABN$500,M$2,0),$A$1299,INDEX(Техника!$H$1:$ABO$500,M$2,0),"Л")</f>
        <v>0</v>
      </c>
      <c r="N1303" s="50">
        <f>SUMIFS(INDEX(Техника!$F$1:$ABM$500,N$2,0),Техника!$F$4:$ABM$4,"Часы",INDEX(Техника!$G$1:$ABN$500,N$2,0),$A$1299,INDEX(Техника!$H$1:$ABO$500,N$2,0),"Л")</f>
        <v>0</v>
      </c>
      <c r="O1303" s="50">
        <f>SUMIFS(INDEX(Техника!$F$1:$ABM$500,O$2,0),Техника!$F$4:$ABM$4,"Часы",INDEX(Техника!$G$1:$ABN$500,O$2,0),$A$1299,INDEX(Техника!$H$1:$ABO$500,O$2,0),"Л")</f>
        <v>0</v>
      </c>
      <c r="P1303" s="50">
        <f>SUMIFS(INDEX(Техника!$F$1:$ABM$500,P$2,0),Техника!$F$4:$ABM$4,"Часы",INDEX(Техника!$G$1:$ABN$500,P$2,0),$A$1299,INDEX(Техника!$H$1:$ABO$500,P$2,0),"Л")</f>
        <v>0</v>
      </c>
      <c r="Q1303" s="50">
        <f>SUMIFS(INDEX(Техника!$F$1:$ABM$500,Q$2,0),Техника!$F$4:$ABM$4,"Часы",INDEX(Техника!$G$1:$ABN$500,Q$2,0),$A$1299,INDEX(Техника!$H$1:$ABO$500,Q$2,0),"Л")</f>
        <v>0</v>
      </c>
      <c r="R1303" s="50">
        <f>SUMIFS(INDEX(Техника!$F$1:$ABM$500,R$2,0),Техника!$F$4:$ABM$4,"Часы",INDEX(Техника!$G$1:$ABN$500,R$2,0),$A$1299,INDEX(Техника!$H$1:$ABO$500,R$2,0),"Л")</f>
        <v>0</v>
      </c>
      <c r="S1303" s="50">
        <f>SUMIFS(INDEX(Техника!$F$1:$ABM$500,S$2,0),Техника!$F$4:$ABM$4,"Часы",INDEX(Техника!$G$1:$ABN$500,S$2,0),$A$1299,INDEX(Техника!$H$1:$ABO$500,S$2,0),"Л")</f>
        <v>0</v>
      </c>
      <c r="T1303" s="50">
        <f>SUMIFS(INDEX(Техника!$F$1:$ABM$500,T$2,0),Техника!$F$4:$ABM$4,"Часы",INDEX(Техника!$G$1:$ABN$500,T$2,0),$A$1299,INDEX(Техника!$H$1:$ABO$500,T$2,0),"Л")</f>
        <v>0</v>
      </c>
      <c r="U1303" s="50">
        <f>SUMIFS(INDEX(Техника!$F$1:$ABM$500,U$2,0),Техника!$F$4:$ABM$4,"Часы",INDEX(Техника!$G$1:$ABN$500,U$2,0),$A$1299,INDEX(Техника!$H$1:$ABO$500,U$2,0),"Л")</f>
        <v>0</v>
      </c>
      <c r="V1303" s="50">
        <f>SUMIFS(INDEX(Техника!$F$1:$ABM$500,V$2,0),Техника!$F$4:$ABM$4,"Часы",INDEX(Техника!$G$1:$ABN$500,V$2,0),$A$1299,INDEX(Техника!$H$1:$ABO$500,V$2,0),"Л")</f>
        <v>0</v>
      </c>
      <c r="W1303" s="50">
        <f>SUMIFS(INDEX(Техника!$F$1:$ABM$500,W$2,0),Техника!$F$4:$ABM$4,"Часы",INDEX(Техника!$G$1:$ABN$500,W$2,0),$A$1299,INDEX(Техника!$H$1:$ABO$500,W$2,0),"Л")</f>
        <v>0</v>
      </c>
      <c r="X1303" s="50">
        <f>SUMIFS(INDEX(Техника!$F$1:$ABM$500,X$2,0),Техника!$F$4:$ABM$4,"Часы",INDEX(Техника!$G$1:$ABN$500,X$2,0),$A$1299,INDEX(Техника!$H$1:$ABO$500,X$2,0),"Л")</f>
        <v>0</v>
      </c>
      <c r="Y1303" s="50">
        <f>SUMIFS(INDEX(Техника!$F$1:$ABM$500,Y$2,0),Техника!$F$4:$ABM$4,"Часы",INDEX(Техника!$G$1:$ABN$500,Y$2,0),$A$1299,INDEX(Техника!$H$1:$ABO$500,Y$2,0),"Л")</f>
        <v>0</v>
      </c>
      <c r="Z1303" s="50">
        <f>SUMIFS(INDEX(Техника!$F$1:$ABM$500,Z$2,0),Техника!$F$4:$ABM$4,"Часы",INDEX(Техника!$G$1:$ABN$500,Z$2,0),$A$1299,INDEX(Техника!$H$1:$ABO$500,Z$2,0),"Л")</f>
        <v>0</v>
      </c>
      <c r="AA1303" s="50">
        <f>SUMIFS(INDEX(Техника!$F$1:$ABM$500,AA$2,0),Техника!$F$4:$ABM$4,"Часы",INDEX(Техника!$G$1:$ABN$500,AA$2,0),$A$1299,INDEX(Техника!$H$1:$ABO$500,AA$2,0),"Л")</f>
        <v>0</v>
      </c>
      <c r="AB1303" s="50">
        <f>SUMIFS(INDEX(Техника!$F$1:$ABM$500,AB$2,0),Техника!$F$4:$ABM$4,"Часы",INDEX(Техника!$G$1:$ABN$500,AB$2,0),$A$1299,INDEX(Техника!$H$1:$ABO$500,AB$2,0),"Л")</f>
        <v>0</v>
      </c>
    </row>
    <row r="1304" spans="1:28" hidden="1" outlineLevel="1" x14ac:dyDescent="0.3">
      <c r="A1304" s="33" t="s">
        <v>245</v>
      </c>
      <c r="B1304" s="34" t="s">
        <v>279</v>
      </c>
      <c r="C1304" s="50">
        <f>SUMIFS(INDEX(Техника!$F$1:$ABM$500,C$2,0),Техника!$F$4:$ABM$4,"Часы",INDEX(Техника!$G$1:$ABN$500,C$2,0),$A$1299,INDEX(Техника!$H$1:$ABO$500,C$2,0),"З")</f>
        <v>0</v>
      </c>
      <c r="D1304" s="50">
        <f>SUMIFS(INDEX(Техника!$F$1:$ABM$500,D$2,0),Техника!$F$4:$ABM$4,"Часы",INDEX(Техника!$G$1:$ABN$500,D$2,0),$A$1299,INDEX(Техника!$H$1:$ABO$500,D$2,0),"З")</f>
        <v>0</v>
      </c>
      <c r="E1304" s="50">
        <f>SUMIFS(INDEX(Техника!$F$1:$ABM$500,E$2,0),Техника!$F$4:$ABM$4,"Часы",INDEX(Техника!$G$1:$ABN$500,E$2,0),$A$1299,INDEX(Техника!$H$1:$ABO$500,E$2,0),"З")</f>
        <v>0</v>
      </c>
      <c r="F1304" s="50">
        <f>SUMIFS(INDEX(Техника!$F$1:$ABM$500,F$2,0),Техника!$F$4:$ABM$4,"Часы",INDEX(Техника!$G$1:$ABN$500,F$2,0),$A$1299,INDEX(Техника!$H$1:$ABO$500,F$2,0),"З")</f>
        <v>0</v>
      </c>
      <c r="G1304" s="50">
        <f>SUMIFS(INDEX(Техника!$F$1:$ABM$500,G$2,0),Техника!$F$4:$ABM$4,"Часы",INDEX(Техника!$G$1:$ABN$500,G$2,0),$A$1299,INDEX(Техника!$H$1:$ABO$500,G$2,0),"З")</f>
        <v>0</v>
      </c>
      <c r="H1304" s="50">
        <f>SUMIFS(INDEX(Техника!$F$1:$ABM$500,H$2,0),Техника!$F$4:$ABM$4,"Часы",INDEX(Техника!$G$1:$ABN$500,H$2,0),$A$1299,INDEX(Техника!$H$1:$ABO$500,H$2,0),"З")</f>
        <v>0</v>
      </c>
      <c r="I1304" s="50">
        <f>SUMIFS(INDEX(Техника!$F$1:$ABM$500,I$2,0),Техника!$F$4:$ABM$4,"Часы",INDEX(Техника!$G$1:$ABN$500,I$2,0),$A$1299,INDEX(Техника!$H$1:$ABO$500,I$2,0),"З")</f>
        <v>0</v>
      </c>
      <c r="J1304" s="50">
        <f>SUMIFS(INDEX(Техника!$F$1:$ABM$500,J$2,0),Техника!$F$4:$ABM$4,"Часы",INDEX(Техника!$G$1:$ABN$500,J$2,0),$A$1299,INDEX(Техника!$H$1:$ABO$500,J$2,0),"З")</f>
        <v>0</v>
      </c>
      <c r="K1304" s="50">
        <f>SUMIFS(INDEX(Техника!$F$1:$ABM$500,K$2,0),Техника!$F$4:$ABM$4,"Часы",INDEX(Техника!$G$1:$ABN$500,K$2,0),$A$1299,INDEX(Техника!$H$1:$ABO$500,K$2,0),"З")</f>
        <v>0</v>
      </c>
      <c r="L1304" s="50">
        <f>SUMIFS(INDEX(Техника!$F$1:$ABM$500,L$2,0),Техника!$F$4:$ABM$4,"Часы",INDEX(Техника!$G$1:$ABN$500,L$2,0),$A$1299,INDEX(Техника!$H$1:$ABO$500,L$2,0),"З")</f>
        <v>0</v>
      </c>
      <c r="M1304" s="50">
        <f>SUMIFS(INDEX(Техника!$F$1:$ABM$500,M$2,0),Техника!$F$4:$ABM$4,"Часы",INDEX(Техника!$G$1:$ABN$500,M$2,0),$A$1299,INDEX(Техника!$H$1:$ABO$500,M$2,0),"З")</f>
        <v>0</v>
      </c>
      <c r="N1304" s="50">
        <f>SUMIFS(INDEX(Техника!$F$1:$ABM$500,N$2,0),Техника!$F$4:$ABM$4,"Часы",INDEX(Техника!$G$1:$ABN$500,N$2,0),$A$1299,INDEX(Техника!$H$1:$ABO$500,N$2,0),"З")</f>
        <v>0</v>
      </c>
      <c r="O1304" s="50">
        <f>SUMIFS(INDEX(Техника!$F$1:$ABM$500,O$2,0),Техника!$F$4:$ABM$4,"Часы",INDEX(Техника!$G$1:$ABN$500,O$2,0),$A$1299,INDEX(Техника!$H$1:$ABO$500,O$2,0),"З")</f>
        <v>0</v>
      </c>
      <c r="P1304" s="50">
        <f>SUMIFS(INDEX(Техника!$F$1:$ABM$500,P$2,0),Техника!$F$4:$ABM$4,"Часы",INDEX(Техника!$G$1:$ABN$500,P$2,0),$A$1299,INDEX(Техника!$H$1:$ABO$500,P$2,0),"З")</f>
        <v>0</v>
      </c>
      <c r="Q1304" s="50">
        <f>SUMIFS(INDEX(Техника!$F$1:$ABM$500,Q$2,0),Техника!$F$4:$ABM$4,"Часы",INDEX(Техника!$G$1:$ABN$500,Q$2,0),$A$1299,INDEX(Техника!$H$1:$ABO$500,Q$2,0),"З")</f>
        <v>0</v>
      </c>
      <c r="R1304" s="50">
        <f>SUMIFS(INDEX(Техника!$F$1:$ABM$500,R$2,0),Техника!$F$4:$ABM$4,"Часы",INDEX(Техника!$G$1:$ABN$500,R$2,0),$A$1299,INDEX(Техника!$H$1:$ABO$500,R$2,0),"З")</f>
        <v>0</v>
      </c>
      <c r="S1304" s="50">
        <f>SUMIFS(INDEX(Техника!$F$1:$ABM$500,S$2,0),Техника!$F$4:$ABM$4,"Часы",INDEX(Техника!$G$1:$ABN$500,S$2,0),$A$1299,INDEX(Техника!$H$1:$ABO$500,S$2,0),"З")</f>
        <v>0</v>
      </c>
      <c r="T1304" s="50">
        <f>SUMIFS(INDEX(Техника!$F$1:$ABM$500,T$2,0),Техника!$F$4:$ABM$4,"Часы",INDEX(Техника!$G$1:$ABN$500,T$2,0),$A$1299,INDEX(Техника!$H$1:$ABO$500,T$2,0),"З")</f>
        <v>0</v>
      </c>
      <c r="U1304" s="50">
        <f>SUMIFS(INDEX(Техника!$F$1:$ABM$500,U$2,0),Техника!$F$4:$ABM$4,"Часы",INDEX(Техника!$G$1:$ABN$500,U$2,0),$A$1299,INDEX(Техника!$H$1:$ABO$500,U$2,0),"З")</f>
        <v>0</v>
      </c>
      <c r="V1304" s="50">
        <f>SUMIFS(INDEX(Техника!$F$1:$ABM$500,V$2,0),Техника!$F$4:$ABM$4,"Часы",INDEX(Техника!$G$1:$ABN$500,V$2,0),$A$1299,INDEX(Техника!$H$1:$ABO$500,V$2,0),"З")</f>
        <v>0</v>
      </c>
      <c r="W1304" s="50">
        <f>SUMIFS(INDEX(Техника!$F$1:$ABM$500,W$2,0),Техника!$F$4:$ABM$4,"Часы",INDEX(Техника!$G$1:$ABN$500,W$2,0),$A$1299,INDEX(Техника!$H$1:$ABO$500,W$2,0),"З")</f>
        <v>0</v>
      </c>
      <c r="X1304" s="50">
        <f>SUMIFS(INDEX(Техника!$F$1:$ABM$500,X$2,0),Техника!$F$4:$ABM$4,"Часы",INDEX(Техника!$G$1:$ABN$500,X$2,0),$A$1299,INDEX(Техника!$H$1:$ABO$500,X$2,0),"З")</f>
        <v>0</v>
      </c>
      <c r="Y1304" s="50">
        <f>SUMIFS(INDEX(Техника!$F$1:$ABM$500,Y$2,0),Техника!$F$4:$ABM$4,"Часы",INDEX(Техника!$G$1:$ABN$500,Y$2,0),$A$1299,INDEX(Техника!$H$1:$ABO$500,Y$2,0),"З")</f>
        <v>0</v>
      </c>
      <c r="Z1304" s="50">
        <f>SUMIFS(INDEX(Техника!$F$1:$ABM$500,Z$2,0),Техника!$F$4:$ABM$4,"Часы",INDEX(Техника!$G$1:$ABN$500,Z$2,0),$A$1299,INDEX(Техника!$H$1:$ABO$500,Z$2,0),"З")</f>
        <v>0</v>
      </c>
      <c r="AA1304" s="50">
        <f>SUMIFS(INDEX(Техника!$F$1:$ABM$500,AA$2,0),Техника!$F$4:$ABM$4,"Часы",INDEX(Техника!$G$1:$ABN$500,AA$2,0),$A$1299,INDEX(Техника!$H$1:$ABO$500,AA$2,0),"З")</f>
        <v>0</v>
      </c>
      <c r="AB1304" s="50">
        <f>SUMIFS(INDEX(Техника!$F$1:$ABM$500,AB$2,0),Техника!$F$4:$ABM$4,"Часы",INDEX(Техника!$G$1:$ABN$500,AB$2,0),$A$1299,INDEX(Техника!$H$1:$ABO$500,AB$2,0),"З")</f>
        <v>0</v>
      </c>
    </row>
    <row r="1305" spans="1:28" ht="7.95" customHeight="1" x14ac:dyDescent="0.3">
      <c r="A1305" s="38"/>
      <c r="B1305" s="39"/>
      <c r="C1305" s="51"/>
      <c r="D1305" s="51"/>
      <c r="E1305" s="51"/>
      <c r="F1305" s="51"/>
      <c r="G1305" s="51"/>
      <c r="H1305" s="51"/>
      <c r="I1305" s="51"/>
      <c r="J1305" s="51"/>
      <c r="K1305" s="51"/>
      <c r="L1305" s="51"/>
      <c r="M1305" s="51"/>
      <c r="N1305" s="51"/>
      <c r="O1305" s="51"/>
      <c r="P1305" s="51"/>
      <c r="Q1305" s="51"/>
      <c r="R1305" s="51"/>
      <c r="S1305" s="51"/>
      <c r="T1305" s="51"/>
      <c r="U1305" s="51"/>
      <c r="V1305" s="51"/>
      <c r="W1305" s="51"/>
      <c r="X1305" s="51"/>
      <c r="Y1305" s="51"/>
      <c r="Z1305" s="51"/>
      <c r="AA1305" s="51"/>
      <c r="AB1305" s="51"/>
    </row>
    <row r="1306" spans="1:28" ht="25.05" customHeight="1" collapsed="1" x14ac:dyDescent="0.3">
      <c r="A1306" s="32">
        <v>187</v>
      </c>
      <c r="B1306" s="32" t="s">
        <v>188</v>
      </c>
      <c r="C1306" s="49">
        <f>SUM(C1307:C1311)</f>
        <v>0</v>
      </c>
      <c r="D1306" s="49">
        <f>SUM(D1307:D1311)</f>
        <v>0</v>
      </c>
      <c r="E1306" s="49">
        <f>SUM(E1307:E1311)</f>
        <v>0</v>
      </c>
      <c r="F1306" s="49">
        <f>SUM(F1307:F1311)</f>
        <v>0</v>
      </c>
      <c r="G1306" s="49">
        <f>SUM(G1307:G1311)</f>
        <v>0</v>
      </c>
      <c r="H1306" s="49">
        <f>SUM(H1307:H1311)</f>
        <v>0</v>
      </c>
      <c r="I1306" s="49">
        <f>SUM(I1307:I1311)</f>
        <v>0</v>
      </c>
      <c r="J1306" s="49">
        <f>SUM(J1307:J1311)</f>
        <v>0</v>
      </c>
      <c r="K1306" s="49">
        <f>SUM(K1307:K1311)</f>
        <v>0</v>
      </c>
      <c r="L1306" s="49">
        <f>SUM(L1307:L1311)</f>
        <v>0</v>
      </c>
      <c r="M1306" s="49">
        <f>SUM(M1307:M1311)</f>
        <v>0</v>
      </c>
      <c r="N1306" s="49">
        <f>SUM(N1307:N1311)</f>
        <v>0</v>
      </c>
      <c r="O1306" s="49">
        <f>SUM(O1307:O1311)</f>
        <v>0</v>
      </c>
      <c r="P1306" s="49">
        <f>SUM(P1307:P1311)</f>
        <v>0</v>
      </c>
      <c r="Q1306" s="49">
        <f>SUM(Q1307:Q1311)</f>
        <v>0</v>
      </c>
      <c r="R1306" s="49">
        <f>SUM(R1307:R1311)</f>
        <v>0</v>
      </c>
      <c r="S1306" s="49">
        <f>SUM(S1307:S1311)</f>
        <v>0</v>
      </c>
      <c r="T1306" s="49">
        <f>SUM(T1307:T1311)</f>
        <v>0</v>
      </c>
      <c r="U1306" s="49">
        <f>SUM(U1307:U1311)</f>
        <v>0</v>
      </c>
      <c r="V1306" s="49">
        <f>SUM(V1307:V1311)</f>
        <v>0</v>
      </c>
      <c r="W1306" s="49">
        <f>SUM(W1307:W1311)</f>
        <v>0</v>
      </c>
      <c r="X1306" s="49">
        <f>SUM(X1307:X1311)</f>
        <v>0</v>
      </c>
      <c r="Y1306" s="49">
        <f>SUM(Y1307:Y1311)</f>
        <v>0</v>
      </c>
      <c r="Z1306" s="49">
        <f>SUM(Z1307:Z1311)</f>
        <v>0</v>
      </c>
      <c r="AA1306" s="49">
        <f>SUM(AA1307:AA1311)</f>
        <v>0</v>
      </c>
      <c r="AB1306" s="49">
        <f>SUM(AB1307:AB1311)</f>
        <v>0</v>
      </c>
    </row>
    <row r="1307" spans="1:28" hidden="1" outlineLevel="1" x14ac:dyDescent="0.3">
      <c r="A1307" s="33" t="s">
        <v>246</v>
      </c>
      <c r="B1307" s="34" t="s">
        <v>274</v>
      </c>
      <c r="C1307" s="50">
        <f>SUMIFS(INDEX(Техника!$F$1:$ABM$500,C$2,0),Техника!$F$4:$ABM$4,"Часы",INDEX(Техника!$G$1:$ABN$500,C$2,0),$A$1306,INDEX(Техника!$H$1:$ABO$500,C$2,0),"М")</f>
        <v>0</v>
      </c>
      <c r="D1307" s="50">
        <f>SUMIFS(INDEX(Техника!$F$1:$ABM$500,D$2,0),Техника!$F$4:$ABM$4,"Часы",INDEX(Техника!$G$1:$ABN$500,D$2,0),$A$1306,INDEX(Техника!$H$1:$ABO$500,D$2,0),"М")</f>
        <v>0</v>
      </c>
      <c r="E1307" s="50">
        <f>SUMIFS(INDEX(Техника!$F$1:$ABM$500,E$2,0),Техника!$F$4:$ABM$4,"Часы",INDEX(Техника!$G$1:$ABN$500,E$2,0),$A$1306,INDEX(Техника!$H$1:$ABO$500,E$2,0),"М")</f>
        <v>0</v>
      </c>
      <c r="F1307" s="50">
        <f>SUMIFS(INDEX(Техника!$F$1:$ABM$500,F$2,0),Техника!$F$4:$ABM$4,"Часы",INDEX(Техника!$G$1:$ABN$500,F$2,0),$A$1306,INDEX(Техника!$H$1:$ABO$500,F$2,0),"М")</f>
        <v>0</v>
      </c>
      <c r="G1307" s="50">
        <f>SUMIFS(INDEX(Техника!$F$1:$ABM$500,G$2,0),Техника!$F$4:$ABM$4,"Часы",INDEX(Техника!$G$1:$ABN$500,G$2,0),$A$1306,INDEX(Техника!$H$1:$ABO$500,G$2,0),"М")</f>
        <v>0</v>
      </c>
      <c r="H1307" s="50">
        <f>SUMIFS(INDEX(Техника!$F$1:$ABM$500,H$2,0),Техника!$F$4:$ABM$4,"Часы",INDEX(Техника!$G$1:$ABN$500,H$2,0),$A$1306,INDEX(Техника!$H$1:$ABO$500,H$2,0),"М")</f>
        <v>0</v>
      </c>
      <c r="I1307" s="50">
        <f>SUMIFS(INDEX(Техника!$F$1:$ABM$500,I$2,0),Техника!$F$4:$ABM$4,"Часы",INDEX(Техника!$G$1:$ABN$500,I$2,0),$A$1306,INDEX(Техника!$H$1:$ABO$500,I$2,0),"М")</f>
        <v>0</v>
      </c>
      <c r="J1307" s="50">
        <f>SUMIFS(INDEX(Техника!$F$1:$ABM$500,J$2,0),Техника!$F$4:$ABM$4,"Часы",INDEX(Техника!$G$1:$ABN$500,J$2,0),$A$1306,INDEX(Техника!$H$1:$ABO$500,J$2,0),"М")</f>
        <v>0</v>
      </c>
      <c r="K1307" s="50">
        <f>SUMIFS(INDEX(Техника!$F$1:$ABM$500,K$2,0),Техника!$F$4:$ABM$4,"Часы",INDEX(Техника!$G$1:$ABN$500,K$2,0),$A$1306,INDEX(Техника!$H$1:$ABO$500,K$2,0),"М")</f>
        <v>0</v>
      </c>
      <c r="L1307" s="50">
        <f>SUMIFS(INDEX(Техника!$F$1:$ABM$500,L$2,0),Техника!$F$4:$ABM$4,"Часы",INDEX(Техника!$G$1:$ABN$500,L$2,0),$A$1306,INDEX(Техника!$H$1:$ABO$500,L$2,0),"М")</f>
        <v>0</v>
      </c>
      <c r="M1307" s="50">
        <f>SUMIFS(INDEX(Техника!$F$1:$ABM$500,M$2,0),Техника!$F$4:$ABM$4,"Часы",INDEX(Техника!$G$1:$ABN$500,M$2,0),$A$1306,INDEX(Техника!$H$1:$ABO$500,M$2,0),"М")</f>
        <v>0</v>
      </c>
      <c r="N1307" s="50">
        <f>SUMIFS(INDEX(Техника!$F$1:$ABM$500,N$2,0),Техника!$F$4:$ABM$4,"Часы",INDEX(Техника!$G$1:$ABN$500,N$2,0),$A$1306,INDEX(Техника!$H$1:$ABO$500,N$2,0),"М")</f>
        <v>0</v>
      </c>
      <c r="O1307" s="50">
        <f>SUMIFS(INDEX(Техника!$F$1:$ABM$500,O$2,0),Техника!$F$4:$ABM$4,"Часы",INDEX(Техника!$G$1:$ABN$500,O$2,0),$A$1306,INDEX(Техника!$H$1:$ABO$500,O$2,0),"М")</f>
        <v>0</v>
      </c>
      <c r="P1307" s="50">
        <f>SUMIFS(INDEX(Техника!$F$1:$ABM$500,P$2,0),Техника!$F$4:$ABM$4,"Часы",INDEX(Техника!$G$1:$ABN$500,P$2,0),$A$1306,INDEX(Техника!$H$1:$ABO$500,P$2,0),"М")</f>
        <v>0</v>
      </c>
      <c r="Q1307" s="50">
        <f>SUMIFS(INDEX(Техника!$F$1:$ABM$500,Q$2,0),Техника!$F$4:$ABM$4,"Часы",INDEX(Техника!$G$1:$ABN$500,Q$2,0),$A$1306,INDEX(Техника!$H$1:$ABO$500,Q$2,0),"М")</f>
        <v>0</v>
      </c>
      <c r="R1307" s="50">
        <f>SUMIFS(INDEX(Техника!$F$1:$ABM$500,R$2,0),Техника!$F$4:$ABM$4,"Часы",INDEX(Техника!$G$1:$ABN$500,R$2,0),$A$1306,INDEX(Техника!$H$1:$ABO$500,R$2,0),"М")</f>
        <v>0</v>
      </c>
      <c r="S1307" s="50">
        <f>SUMIFS(INDEX(Техника!$F$1:$ABM$500,S$2,0),Техника!$F$4:$ABM$4,"Часы",INDEX(Техника!$G$1:$ABN$500,S$2,0),$A$1306,INDEX(Техника!$H$1:$ABO$500,S$2,0),"М")</f>
        <v>0</v>
      </c>
      <c r="T1307" s="50">
        <f>SUMIFS(INDEX(Техника!$F$1:$ABM$500,T$2,0),Техника!$F$4:$ABM$4,"Часы",INDEX(Техника!$G$1:$ABN$500,T$2,0),$A$1306,INDEX(Техника!$H$1:$ABO$500,T$2,0),"М")</f>
        <v>0</v>
      </c>
      <c r="U1307" s="50">
        <f>SUMIFS(INDEX(Техника!$F$1:$ABM$500,U$2,0),Техника!$F$4:$ABM$4,"Часы",INDEX(Техника!$G$1:$ABN$500,U$2,0),$A$1306,INDEX(Техника!$H$1:$ABO$500,U$2,0),"М")</f>
        <v>0</v>
      </c>
      <c r="V1307" s="50">
        <f>SUMIFS(INDEX(Техника!$F$1:$ABM$500,V$2,0),Техника!$F$4:$ABM$4,"Часы",INDEX(Техника!$G$1:$ABN$500,V$2,0),$A$1306,INDEX(Техника!$H$1:$ABO$500,V$2,0),"М")</f>
        <v>0</v>
      </c>
      <c r="W1307" s="50">
        <f>SUMIFS(INDEX(Техника!$F$1:$ABM$500,W$2,0),Техника!$F$4:$ABM$4,"Часы",INDEX(Техника!$G$1:$ABN$500,W$2,0),$A$1306,INDEX(Техника!$H$1:$ABO$500,W$2,0),"М")</f>
        <v>0</v>
      </c>
      <c r="X1307" s="50">
        <f>SUMIFS(INDEX(Техника!$F$1:$ABM$500,X$2,0),Техника!$F$4:$ABM$4,"Часы",INDEX(Техника!$G$1:$ABN$500,X$2,0),$A$1306,INDEX(Техника!$H$1:$ABO$500,X$2,0),"М")</f>
        <v>0</v>
      </c>
      <c r="Y1307" s="50">
        <f>SUMIFS(INDEX(Техника!$F$1:$ABM$500,Y$2,0),Техника!$F$4:$ABM$4,"Часы",INDEX(Техника!$G$1:$ABN$500,Y$2,0),$A$1306,INDEX(Техника!$H$1:$ABO$500,Y$2,0),"М")</f>
        <v>0</v>
      </c>
      <c r="Z1307" s="50">
        <f>SUMIFS(INDEX(Техника!$F$1:$ABM$500,Z$2,0),Техника!$F$4:$ABM$4,"Часы",INDEX(Техника!$G$1:$ABN$500,Z$2,0),$A$1306,INDEX(Техника!$H$1:$ABO$500,Z$2,0),"М")</f>
        <v>0</v>
      </c>
      <c r="AA1307" s="50">
        <f>SUMIFS(INDEX(Техника!$F$1:$ABM$500,AA$2,0),Техника!$F$4:$ABM$4,"Часы",INDEX(Техника!$G$1:$ABN$500,AA$2,0),$A$1306,INDEX(Техника!$H$1:$ABO$500,AA$2,0),"М")</f>
        <v>0</v>
      </c>
      <c r="AB1307" s="50">
        <f>SUMIFS(INDEX(Техника!$F$1:$ABM$500,AB$2,0),Техника!$F$4:$ABM$4,"Часы",INDEX(Техника!$G$1:$ABN$500,AB$2,0),$A$1306,INDEX(Техника!$H$1:$ABO$500,AB$2,0),"М")</f>
        <v>0</v>
      </c>
    </row>
    <row r="1308" spans="1:28" hidden="1" outlineLevel="1" x14ac:dyDescent="0.3">
      <c r="A1308" s="33" t="s">
        <v>244</v>
      </c>
      <c r="B1308" s="34" t="s">
        <v>275</v>
      </c>
      <c r="C1308" s="50">
        <f>SUMIFS(INDEX(Техника!$F$1:$ABM$500,C$2,0),Техника!$F$4:$ABM$4,"Часы",INDEX(Техника!$G$1:$ABN$500,C$2,0),$A$1306,INDEX(Техника!$H$1:$ABO$500,C$2,0),"Д")</f>
        <v>0</v>
      </c>
      <c r="D1308" s="50">
        <f>SUMIFS(INDEX(Техника!$F$1:$ABM$500,D$2,0),Техника!$F$4:$ABM$4,"Часы",INDEX(Техника!$G$1:$ABN$500,D$2,0),$A$1306,INDEX(Техника!$H$1:$ABO$500,D$2,0),"Д")</f>
        <v>0</v>
      </c>
      <c r="E1308" s="50">
        <f>SUMIFS(INDEX(Техника!$F$1:$ABM$500,E$2,0),Техника!$F$4:$ABM$4,"Часы",INDEX(Техника!$G$1:$ABN$500,E$2,0),$A$1306,INDEX(Техника!$H$1:$ABO$500,E$2,0),"Д")</f>
        <v>0</v>
      </c>
      <c r="F1308" s="50">
        <f>SUMIFS(INDEX(Техника!$F$1:$ABM$500,F$2,0),Техника!$F$4:$ABM$4,"Часы",INDEX(Техника!$G$1:$ABN$500,F$2,0),$A$1306,INDEX(Техника!$H$1:$ABO$500,F$2,0),"Д")</f>
        <v>0</v>
      </c>
      <c r="G1308" s="50">
        <f>SUMIFS(INDEX(Техника!$F$1:$ABM$500,G$2,0),Техника!$F$4:$ABM$4,"Часы",INDEX(Техника!$G$1:$ABN$500,G$2,0),$A$1306,INDEX(Техника!$H$1:$ABO$500,G$2,0),"Д")</f>
        <v>0</v>
      </c>
      <c r="H1308" s="50">
        <f>SUMIFS(INDEX(Техника!$F$1:$ABM$500,H$2,0),Техника!$F$4:$ABM$4,"Часы",INDEX(Техника!$G$1:$ABN$500,H$2,0),$A$1306,INDEX(Техника!$H$1:$ABO$500,H$2,0),"Д")</f>
        <v>0</v>
      </c>
      <c r="I1308" s="50">
        <f>SUMIFS(INDEX(Техника!$F$1:$ABM$500,I$2,0),Техника!$F$4:$ABM$4,"Часы",INDEX(Техника!$G$1:$ABN$500,I$2,0),$A$1306,INDEX(Техника!$H$1:$ABO$500,I$2,0),"Д")</f>
        <v>0</v>
      </c>
      <c r="J1308" s="50">
        <f>SUMIFS(INDEX(Техника!$F$1:$ABM$500,J$2,0),Техника!$F$4:$ABM$4,"Часы",INDEX(Техника!$G$1:$ABN$500,J$2,0),$A$1306,INDEX(Техника!$H$1:$ABO$500,J$2,0),"Д")</f>
        <v>0</v>
      </c>
      <c r="K1308" s="50">
        <f>SUMIFS(INDEX(Техника!$F$1:$ABM$500,K$2,0),Техника!$F$4:$ABM$4,"Часы",INDEX(Техника!$G$1:$ABN$500,K$2,0),$A$1306,INDEX(Техника!$H$1:$ABO$500,K$2,0),"Д")</f>
        <v>0</v>
      </c>
      <c r="L1308" s="50">
        <f>SUMIFS(INDEX(Техника!$F$1:$ABM$500,L$2,0),Техника!$F$4:$ABM$4,"Часы",INDEX(Техника!$G$1:$ABN$500,L$2,0),$A$1306,INDEX(Техника!$H$1:$ABO$500,L$2,0),"Д")</f>
        <v>0</v>
      </c>
      <c r="M1308" s="50">
        <f>SUMIFS(INDEX(Техника!$F$1:$ABM$500,M$2,0),Техника!$F$4:$ABM$4,"Часы",INDEX(Техника!$G$1:$ABN$500,M$2,0),$A$1306,INDEX(Техника!$H$1:$ABO$500,M$2,0),"Д")</f>
        <v>0</v>
      </c>
      <c r="N1308" s="50">
        <f>SUMIFS(INDEX(Техника!$F$1:$ABM$500,N$2,0),Техника!$F$4:$ABM$4,"Часы",INDEX(Техника!$G$1:$ABN$500,N$2,0),$A$1306,INDEX(Техника!$H$1:$ABO$500,N$2,0),"Д")</f>
        <v>0</v>
      </c>
      <c r="O1308" s="50">
        <f>SUMIFS(INDEX(Техника!$F$1:$ABM$500,O$2,0),Техника!$F$4:$ABM$4,"Часы",INDEX(Техника!$G$1:$ABN$500,O$2,0),$A$1306,INDEX(Техника!$H$1:$ABO$500,O$2,0),"Д")</f>
        <v>0</v>
      </c>
      <c r="P1308" s="50">
        <f>SUMIFS(INDEX(Техника!$F$1:$ABM$500,P$2,0),Техника!$F$4:$ABM$4,"Часы",INDEX(Техника!$G$1:$ABN$500,P$2,0),$A$1306,INDEX(Техника!$H$1:$ABO$500,P$2,0),"Д")</f>
        <v>0</v>
      </c>
      <c r="Q1308" s="50">
        <f>SUMIFS(INDEX(Техника!$F$1:$ABM$500,Q$2,0),Техника!$F$4:$ABM$4,"Часы",INDEX(Техника!$G$1:$ABN$500,Q$2,0),$A$1306,INDEX(Техника!$H$1:$ABO$500,Q$2,0),"Д")</f>
        <v>0</v>
      </c>
      <c r="R1308" s="50">
        <f>SUMIFS(INDEX(Техника!$F$1:$ABM$500,R$2,0),Техника!$F$4:$ABM$4,"Часы",INDEX(Техника!$G$1:$ABN$500,R$2,0),$A$1306,INDEX(Техника!$H$1:$ABO$500,R$2,0),"Д")</f>
        <v>0</v>
      </c>
      <c r="S1308" s="50">
        <f>SUMIFS(INDEX(Техника!$F$1:$ABM$500,S$2,0),Техника!$F$4:$ABM$4,"Часы",INDEX(Техника!$G$1:$ABN$500,S$2,0),$A$1306,INDEX(Техника!$H$1:$ABO$500,S$2,0),"Д")</f>
        <v>0</v>
      </c>
      <c r="T1308" s="50">
        <f>SUMIFS(INDEX(Техника!$F$1:$ABM$500,T$2,0),Техника!$F$4:$ABM$4,"Часы",INDEX(Техника!$G$1:$ABN$500,T$2,0),$A$1306,INDEX(Техника!$H$1:$ABO$500,T$2,0),"Д")</f>
        <v>0</v>
      </c>
      <c r="U1308" s="50">
        <f>SUMIFS(INDEX(Техника!$F$1:$ABM$500,U$2,0),Техника!$F$4:$ABM$4,"Часы",INDEX(Техника!$G$1:$ABN$500,U$2,0),$A$1306,INDEX(Техника!$H$1:$ABO$500,U$2,0),"Д")</f>
        <v>0</v>
      </c>
      <c r="V1308" s="50">
        <f>SUMIFS(INDEX(Техника!$F$1:$ABM$500,V$2,0),Техника!$F$4:$ABM$4,"Часы",INDEX(Техника!$G$1:$ABN$500,V$2,0),$A$1306,INDEX(Техника!$H$1:$ABO$500,V$2,0),"Д")</f>
        <v>0</v>
      </c>
      <c r="W1308" s="50">
        <f>SUMIFS(INDEX(Техника!$F$1:$ABM$500,W$2,0),Техника!$F$4:$ABM$4,"Часы",INDEX(Техника!$G$1:$ABN$500,W$2,0),$A$1306,INDEX(Техника!$H$1:$ABO$500,W$2,0),"Д")</f>
        <v>0</v>
      </c>
      <c r="X1308" s="50">
        <f>SUMIFS(INDEX(Техника!$F$1:$ABM$500,X$2,0),Техника!$F$4:$ABM$4,"Часы",INDEX(Техника!$G$1:$ABN$500,X$2,0),$A$1306,INDEX(Техника!$H$1:$ABO$500,X$2,0),"Д")</f>
        <v>0</v>
      </c>
      <c r="Y1308" s="50">
        <f>SUMIFS(INDEX(Техника!$F$1:$ABM$500,Y$2,0),Техника!$F$4:$ABM$4,"Часы",INDEX(Техника!$G$1:$ABN$500,Y$2,0),$A$1306,INDEX(Техника!$H$1:$ABO$500,Y$2,0),"Д")</f>
        <v>0</v>
      </c>
      <c r="Z1308" s="50">
        <f>SUMIFS(INDEX(Техника!$F$1:$ABM$500,Z$2,0),Техника!$F$4:$ABM$4,"Часы",INDEX(Техника!$G$1:$ABN$500,Z$2,0),$A$1306,INDEX(Техника!$H$1:$ABO$500,Z$2,0),"Д")</f>
        <v>0</v>
      </c>
      <c r="AA1308" s="50">
        <f>SUMIFS(INDEX(Техника!$F$1:$ABM$500,AA$2,0),Техника!$F$4:$ABM$4,"Часы",INDEX(Техника!$G$1:$ABN$500,AA$2,0),$A$1306,INDEX(Техника!$H$1:$ABO$500,AA$2,0),"Д")</f>
        <v>0</v>
      </c>
      <c r="AB1308" s="50">
        <f>SUMIFS(INDEX(Техника!$F$1:$ABM$500,AB$2,0),Техника!$F$4:$ABM$4,"Часы",INDEX(Техника!$G$1:$ABN$500,AB$2,0),$A$1306,INDEX(Техника!$H$1:$ABO$500,AB$2,0),"Д")</f>
        <v>0</v>
      </c>
    </row>
    <row r="1309" spans="1:28" hidden="1" outlineLevel="1" x14ac:dyDescent="0.3">
      <c r="A1309" s="33" t="s">
        <v>276</v>
      </c>
      <c r="B1309" s="34" t="s">
        <v>277</v>
      </c>
      <c r="C1309" s="50">
        <f>SUMIFS(INDEX(Техника!$F$1:$ABM$500,C$2,0),Техника!$F$4:$ABM$4,"Часы",INDEX(Техника!$G$1:$ABN$500,C$2,0),$A$1306,INDEX(Техника!$H$1:$ABO$500,C$2,0),"П")</f>
        <v>0</v>
      </c>
      <c r="D1309" s="50">
        <f>SUMIFS(INDEX(Техника!$F$1:$ABM$500,D$2,0),Техника!$F$4:$ABM$4,"Часы",INDEX(Техника!$G$1:$ABN$500,D$2,0),$A$1306,INDEX(Техника!$H$1:$ABO$500,D$2,0),"П")</f>
        <v>0</v>
      </c>
      <c r="E1309" s="50">
        <f>SUMIFS(INDEX(Техника!$F$1:$ABM$500,E$2,0),Техника!$F$4:$ABM$4,"Часы",INDEX(Техника!$G$1:$ABN$500,E$2,0),$A$1306,INDEX(Техника!$H$1:$ABO$500,E$2,0),"П")</f>
        <v>0</v>
      </c>
      <c r="F1309" s="50">
        <f>SUMIFS(INDEX(Техника!$F$1:$ABM$500,F$2,0),Техника!$F$4:$ABM$4,"Часы",INDEX(Техника!$G$1:$ABN$500,F$2,0),$A$1306,INDEX(Техника!$H$1:$ABO$500,F$2,0),"П")</f>
        <v>0</v>
      </c>
      <c r="G1309" s="50">
        <f>SUMIFS(INDEX(Техника!$F$1:$ABM$500,G$2,0),Техника!$F$4:$ABM$4,"Часы",INDEX(Техника!$G$1:$ABN$500,G$2,0),$A$1306,INDEX(Техника!$H$1:$ABO$500,G$2,0),"П")</f>
        <v>0</v>
      </c>
      <c r="H1309" s="50">
        <f>SUMIFS(INDEX(Техника!$F$1:$ABM$500,H$2,0),Техника!$F$4:$ABM$4,"Часы",INDEX(Техника!$G$1:$ABN$500,H$2,0),$A$1306,INDEX(Техника!$H$1:$ABO$500,H$2,0),"П")</f>
        <v>0</v>
      </c>
      <c r="I1309" s="50">
        <f>SUMIFS(INDEX(Техника!$F$1:$ABM$500,I$2,0),Техника!$F$4:$ABM$4,"Часы",INDEX(Техника!$G$1:$ABN$500,I$2,0),$A$1306,INDEX(Техника!$H$1:$ABO$500,I$2,0),"П")</f>
        <v>0</v>
      </c>
      <c r="J1309" s="50">
        <f>SUMIFS(INDEX(Техника!$F$1:$ABM$500,J$2,0),Техника!$F$4:$ABM$4,"Часы",INDEX(Техника!$G$1:$ABN$500,J$2,0),$A$1306,INDEX(Техника!$H$1:$ABO$500,J$2,0),"П")</f>
        <v>0</v>
      </c>
      <c r="K1309" s="50">
        <f>SUMIFS(INDEX(Техника!$F$1:$ABM$500,K$2,0),Техника!$F$4:$ABM$4,"Часы",INDEX(Техника!$G$1:$ABN$500,K$2,0),$A$1306,INDEX(Техника!$H$1:$ABO$500,K$2,0),"П")</f>
        <v>0</v>
      </c>
      <c r="L1309" s="50">
        <f>SUMIFS(INDEX(Техника!$F$1:$ABM$500,L$2,0),Техника!$F$4:$ABM$4,"Часы",INDEX(Техника!$G$1:$ABN$500,L$2,0),$A$1306,INDEX(Техника!$H$1:$ABO$500,L$2,0),"П")</f>
        <v>0</v>
      </c>
      <c r="M1309" s="50">
        <f>SUMIFS(INDEX(Техника!$F$1:$ABM$500,M$2,0),Техника!$F$4:$ABM$4,"Часы",INDEX(Техника!$G$1:$ABN$500,M$2,0),$A$1306,INDEX(Техника!$H$1:$ABO$500,M$2,0),"П")</f>
        <v>0</v>
      </c>
      <c r="N1309" s="50">
        <f>SUMIFS(INDEX(Техника!$F$1:$ABM$500,N$2,0),Техника!$F$4:$ABM$4,"Часы",INDEX(Техника!$G$1:$ABN$500,N$2,0),$A$1306,INDEX(Техника!$H$1:$ABO$500,N$2,0),"П")</f>
        <v>0</v>
      </c>
      <c r="O1309" s="50">
        <f>SUMIFS(INDEX(Техника!$F$1:$ABM$500,O$2,0),Техника!$F$4:$ABM$4,"Часы",INDEX(Техника!$G$1:$ABN$500,O$2,0),$A$1306,INDEX(Техника!$H$1:$ABO$500,O$2,0),"П")</f>
        <v>0</v>
      </c>
      <c r="P1309" s="50">
        <f>SUMIFS(INDEX(Техника!$F$1:$ABM$500,P$2,0),Техника!$F$4:$ABM$4,"Часы",INDEX(Техника!$G$1:$ABN$500,P$2,0),$A$1306,INDEX(Техника!$H$1:$ABO$500,P$2,0),"П")</f>
        <v>0</v>
      </c>
      <c r="Q1309" s="50">
        <f>SUMIFS(INDEX(Техника!$F$1:$ABM$500,Q$2,0),Техника!$F$4:$ABM$4,"Часы",INDEX(Техника!$G$1:$ABN$500,Q$2,0),$A$1306,INDEX(Техника!$H$1:$ABO$500,Q$2,0),"П")</f>
        <v>0</v>
      </c>
      <c r="R1309" s="50">
        <f>SUMIFS(INDEX(Техника!$F$1:$ABM$500,R$2,0),Техника!$F$4:$ABM$4,"Часы",INDEX(Техника!$G$1:$ABN$500,R$2,0),$A$1306,INDEX(Техника!$H$1:$ABO$500,R$2,0),"П")</f>
        <v>0</v>
      </c>
      <c r="S1309" s="50">
        <f>SUMIFS(INDEX(Техника!$F$1:$ABM$500,S$2,0),Техника!$F$4:$ABM$4,"Часы",INDEX(Техника!$G$1:$ABN$500,S$2,0),$A$1306,INDEX(Техника!$H$1:$ABO$500,S$2,0),"П")</f>
        <v>0</v>
      </c>
      <c r="T1309" s="50">
        <f>SUMIFS(INDEX(Техника!$F$1:$ABM$500,T$2,0),Техника!$F$4:$ABM$4,"Часы",INDEX(Техника!$G$1:$ABN$500,T$2,0),$A$1306,INDEX(Техника!$H$1:$ABO$500,T$2,0),"П")</f>
        <v>0</v>
      </c>
      <c r="U1309" s="50">
        <f>SUMIFS(INDEX(Техника!$F$1:$ABM$500,U$2,0),Техника!$F$4:$ABM$4,"Часы",INDEX(Техника!$G$1:$ABN$500,U$2,0),$A$1306,INDEX(Техника!$H$1:$ABO$500,U$2,0),"П")</f>
        <v>0</v>
      </c>
      <c r="V1309" s="50">
        <f>SUMIFS(INDEX(Техника!$F$1:$ABM$500,V$2,0),Техника!$F$4:$ABM$4,"Часы",INDEX(Техника!$G$1:$ABN$500,V$2,0),$A$1306,INDEX(Техника!$H$1:$ABO$500,V$2,0),"П")</f>
        <v>0</v>
      </c>
      <c r="W1309" s="50">
        <f>SUMIFS(INDEX(Техника!$F$1:$ABM$500,W$2,0),Техника!$F$4:$ABM$4,"Часы",INDEX(Техника!$G$1:$ABN$500,W$2,0),$A$1306,INDEX(Техника!$H$1:$ABO$500,W$2,0),"П")</f>
        <v>0</v>
      </c>
      <c r="X1309" s="50">
        <f>SUMIFS(INDEX(Техника!$F$1:$ABM$500,X$2,0),Техника!$F$4:$ABM$4,"Часы",INDEX(Техника!$G$1:$ABN$500,X$2,0),$A$1306,INDEX(Техника!$H$1:$ABO$500,X$2,0),"П")</f>
        <v>0</v>
      </c>
      <c r="Y1309" s="50">
        <f>SUMIFS(INDEX(Техника!$F$1:$ABM$500,Y$2,0),Техника!$F$4:$ABM$4,"Часы",INDEX(Техника!$G$1:$ABN$500,Y$2,0),$A$1306,INDEX(Техника!$H$1:$ABO$500,Y$2,0),"П")</f>
        <v>0</v>
      </c>
      <c r="Z1309" s="50">
        <f>SUMIFS(INDEX(Техника!$F$1:$ABM$500,Z$2,0),Техника!$F$4:$ABM$4,"Часы",INDEX(Техника!$G$1:$ABN$500,Z$2,0),$A$1306,INDEX(Техника!$H$1:$ABO$500,Z$2,0),"П")</f>
        <v>0</v>
      </c>
      <c r="AA1309" s="50">
        <f>SUMIFS(INDEX(Техника!$F$1:$ABM$500,AA$2,0),Техника!$F$4:$ABM$4,"Часы",INDEX(Техника!$G$1:$ABN$500,AA$2,0),$A$1306,INDEX(Техника!$H$1:$ABO$500,AA$2,0),"П")</f>
        <v>0</v>
      </c>
      <c r="AB1309" s="50">
        <f>SUMIFS(INDEX(Техника!$F$1:$ABM$500,AB$2,0),Техника!$F$4:$ABM$4,"Часы",INDEX(Техника!$G$1:$ABN$500,AB$2,0),$A$1306,INDEX(Техника!$H$1:$ABO$500,AB$2,0),"П")</f>
        <v>0</v>
      </c>
    </row>
    <row r="1310" spans="1:28" hidden="1" outlineLevel="1" x14ac:dyDescent="0.3">
      <c r="A1310" s="33" t="s">
        <v>243</v>
      </c>
      <c r="B1310" s="34" t="s">
        <v>278</v>
      </c>
      <c r="C1310" s="50">
        <f>SUMIFS(INDEX(Техника!$F$1:$ABM$500,C$2,0),Техника!$F$4:$ABM$4,"Часы",INDEX(Техника!$G$1:$ABN$500,C$2,0),$A$1306,INDEX(Техника!$H$1:$ABO$500,C$2,0),"Л")</f>
        <v>0</v>
      </c>
      <c r="D1310" s="50">
        <f>SUMIFS(INDEX(Техника!$F$1:$ABM$500,D$2,0),Техника!$F$4:$ABM$4,"Часы",INDEX(Техника!$G$1:$ABN$500,D$2,0),$A$1306,INDEX(Техника!$H$1:$ABO$500,D$2,0),"Л")</f>
        <v>0</v>
      </c>
      <c r="E1310" s="50">
        <f>SUMIFS(INDEX(Техника!$F$1:$ABM$500,E$2,0),Техника!$F$4:$ABM$4,"Часы",INDEX(Техника!$G$1:$ABN$500,E$2,0),$A$1306,INDEX(Техника!$H$1:$ABO$500,E$2,0),"Л")</f>
        <v>0</v>
      </c>
      <c r="F1310" s="50">
        <f>SUMIFS(INDEX(Техника!$F$1:$ABM$500,F$2,0),Техника!$F$4:$ABM$4,"Часы",INDEX(Техника!$G$1:$ABN$500,F$2,0),$A$1306,INDEX(Техника!$H$1:$ABO$500,F$2,0),"Л")</f>
        <v>0</v>
      </c>
      <c r="G1310" s="50">
        <f>SUMIFS(INDEX(Техника!$F$1:$ABM$500,G$2,0),Техника!$F$4:$ABM$4,"Часы",INDEX(Техника!$G$1:$ABN$500,G$2,0),$A$1306,INDEX(Техника!$H$1:$ABO$500,G$2,0),"Л")</f>
        <v>0</v>
      </c>
      <c r="H1310" s="50">
        <f>SUMIFS(INDEX(Техника!$F$1:$ABM$500,H$2,0),Техника!$F$4:$ABM$4,"Часы",INDEX(Техника!$G$1:$ABN$500,H$2,0),$A$1306,INDEX(Техника!$H$1:$ABO$500,H$2,0),"Л")</f>
        <v>0</v>
      </c>
      <c r="I1310" s="50">
        <f>SUMIFS(INDEX(Техника!$F$1:$ABM$500,I$2,0),Техника!$F$4:$ABM$4,"Часы",INDEX(Техника!$G$1:$ABN$500,I$2,0),$A$1306,INDEX(Техника!$H$1:$ABO$500,I$2,0),"Л")</f>
        <v>0</v>
      </c>
      <c r="J1310" s="50">
        <f>SUMIFS(INDEX(Техника!$F$1:$ABM$500,J$2,0),Техника!$F$4:$ABM$4,"Часы",INDEX(Техника!$G$1:$ABN$500,J$2,0),$A$1306,INDEX(Техника!$H$1:$ABO$500,J$2,0),"Л")</f>
        <v>0</v>
      </c>
      <c r="K1310" s="50">
        <f>SUMIFS(INDEX(Техника!$F$1:$ABM$500,K$2,0),Техника!$F$4:$ABM$4,"Часы",INDEX(Техника!$G$1:$ABN$500,K$2,0),$A$1306,INDEX(Техника!$H$1:$ABO$500,K$2,0),"Л")</f>
        <v>0</v>
      </c>
      <c r="L1310" s="50">
        <f>SUMIFS(INDEX(Техника!$F$1:$ABM$500,L$2,0),Техника!$F$4:$ABM$4,"Часы",INDEX(Техника!$G$1:$ABN$500,L$2,0),$A$1306,INDEX(Техника!$H$1:$ABO$500,L$2,0),"Л")</f>
        <v>0</v>
      </c>
      <c r="M1310" s="50">
        <f>SUMIFS(INDEX(Техника!$F$1:$ABM$500,M$2,0),Техника!$F$4:$ABM$4,"Часы",INDEX(Техника!$G$1:$ABN$500,M$2,0),$A$1306,INDEX(Техника!$H$1:$ABO$500,M$2,0),"Л")</f>
        <v>0</v>
      </c>
      <c r="N1310" s="50">
        <f>SUMIFS(INDEX(Техника!$F$1:$ABM$500,N$2,0),Техника!$F$4:$ABM$4,"Часы",INDEX(Техника!$G$1:$ABN$500,N$2,0),$A$1306,INDEX(Техника!$H$1:$ABO$500,N$2,0),"Л")</f>
        <v>0</v>
      </c>
      <c r="O1310" s="50">
        <f>SUMIFS(INDEX(Техника!$F$1:$ABM$500,O$2,0),Техника!$F$4:$ABM$4,"Часы",INDEX(Техника!$G$1:$ABN$500,O$2,0),$A$1306,INDEX(Техника!$H$1:$ABO$500,O$2,0),"Л")</f>
        <v>0</v>
      </c>
      <c r="P1310" s="50">
        <f>SUMIFS(INDEX(Техника!$F$1:$ABM$500,P$2,0),Техника!$F$4:$ABM$4,"Часы",INDEX(Техника!$G$1:$ABN$500,P$2,0),$A$1306,INDEX(Техника!$H$1:$ABO$500,P$2,0),"Л")</f>
        <v>0</v>
      </c>
      <c r="Q1310" s="50">
        <f>SUMIFS(INDEX(Техника!$F$1:$ABM$500,Q$2,0),Техника!$F$4:$ABM$4,"Часы",INDEX(Техника!$G$1:$ABN$500,Q$2,0),$A$1306,INDEX(Техника!$H$1:$ABO$500,Q$2,0),"Л")</f>
        <v>0</v>
      </c>
      <c r="R1310" s="50">
        <f>SUMIFS(INDEX(Техника!$F$1:$ABM$500,R$2,0),Техника!$F$4:$ABM$4,"Часы",INDEX(Техника!$G$1:$ABN$500,R$2,0),$A$1306,INDEX(Техника!$H$1:$ABO$500,R$2,0),"Л")</f>
        <v>0</v>
      </c>
      <c r="S1310" s="50">
        <f>SUMIFS(INDEX(Техника!$F$1:$ABM$500,S$2,0),Техника!$F$4:$ABM$4,"Часы",INDEX(Техника!$G$1:$ABN$500,S$2,0),$A$1306,INDEX(Техника!$H$1:$ABO$500,S$2,0),"Л")</f>
        <v>0</v>
      </c>
      <c r="T1310" s="50">
        <f>SUMIFS(INDEX(Техника!$F$1:$ABM$500,T$2,0),Техника!$F$4:$ABM$4,"Часы",INDEX(Техника!$G$1:$ABN$500,T$2,0),$A$1306,INDEX(Техника!$H$1:$ABO$500,T$2,0),"Л")</f>
        <v>0</v>
      </c>
      <c r="U1310" s="50">
        <f>SUMIFS(INDEX(Техника!$F$1:$ABM$500,U$2,0),Техника!$F$4:$ABM$4,"Часы",INDEX(Техника!$G$1:$ABN$500,U$2,0),$A$1306,INDEX(Техника!$H$1:$ABO$500,U$2,0),"Л")</f>
        <v>0</v>
      </c>
      <c r="V1310" s="50">
        <f>SUMIFS(INDEX(Техника!$F$1:$ABM$500,V$2,0),Техника!$F$4:$ABM$4,"Часы",INDEX(Техника!$G$1:$ABN$500,V$2,0),$A$1306,INDEX(Техника!$H$1:$ABO$500,V$2,0),"Л")</f>
        <v>0</v>
      </c>
      <c r="W1310" s="50">
        <f>SUMIFS(INDEX(Техника!$F$1:$ABM$500,W$2,0),Техника!$F$4:$ABM$4,"Часы",INDEX(Техника!$G$1:$ABN$500,W$2,0),$A$1306,INDEX(Техника!$H$1:$ABO$500,W$2,0),"Л")</f>
        <v>0</v>
      </c>
      <c r="X1310" s="50">
        <f>SUMIFS(INDEX(Техника!$F$1:$ABM$500,X$2,0),Техника!$F$4:$ABM$4,"Часы",INDEX(Техника!$G$1:$ABN$500,X$2,0),$A$1306,INDEX(Техника!$H$1:$ABO$500,X$2,0),"Л")</f>
        <v>0</v>
      </c>
      <c r="Y1310" s="50">
        <f>SUMIFS(INDEX(Техника!$F$1:$ABM$500,Y$2,0),Техника!$F$4:$ABM$4,"Часы",INDEX(Техника!$G$1:$ABN$500,Y$2,0),$A$1306,INDEX(Техника!$H$1:$ABO$500,Y$2,0),"Л")</f>
        <v>0</v>
      </c>
      <c r="Z1310" s="50">
        <f>SUMIFS(INDEX(Техника!$F$1:$ABM$500,Z$2,0),Техника!$F$4:$ABM$4,"Часы",INDEX(Техника!$G$1:$ABN$500,Z$2,0),$A$1306,INDEX(Техника!$H$1:$ABO$500,Z$2,0),"Л")</f>
        <v>0</v>
      </c>
      <c r="AA1310" s="50">
        <f>SUMIFS(INDEX(Техника!$F$1:$ABM$500,AA$2,0),Техника!$F$4:$ABM$4,"Часы",INDEX(Техника!$G$1:$ABN$500,AA$2,0),$A$1306,INDEX(Техника!$H$1:$ABO$500,AA$2,0),"Л")</f>
        <v>0</v>
      </c>
      <c r="AB1310" s="50">
        <f>SUMIFS(INDEX(Техника!$F$1:$ABM$500,AB$2,0),Техника!$F$4:$ABM$4,"Часы",INDEX(Техника!$G$1:$ABN$500,AB$2,0),$A$1306,INDEX(Техника!$H$1:$ABO$500,AB$2,0),"Л")</f>
        <v>0</v>
      </c>
    </row>
    <row r="1311" spans="1:28" hidden="1" outlineLevel="1" x14ac:dyDescent="0.3">
      <c r="A1311" s="33" t="s">
        <v>245</v>
      </c>
      <c r="B1311" s="34" t="s">
        <v>279</v>
      </c>
      <c r="C1311" s="50">
        <f>SUMIFS(INDEX(Техника!$F$1:$ABM$500,C$2,0),Техника!$F$4:$ABM$4,"Часы",INDEX(Техника!$G$1:$ABN$500,C$2,0),$A$1306,INDEX(Техника!$H$1:$ABO$500,C$2,0),"З")</f>
        <v>0</v>
      </c>
      <c r="D1311" s="50">
        <f>SUMIFS(INDEX(Техника!$F$1:$ABM$500,D$2,0),Техника!$F$4:$ABM$4,"Часы",INDEX(Техника!$G$1:$ABN$500,D$2,0),$A$1306,INDEX(Техника!$H$1:$ABO$500,D$2,0),"З")</f>
        <v>0</v>
      </c>
      <c r="E1311" s="50">
        <f>SUMIFS(INDEX(Техника!$F$1:$ABM$500,E$2,0),Техника!$F$4:$ABM$4,"Часы",INDEX(Техника!$G$1:$ABN$500,E$2,0),$A$1306,INDEX(Техника!$H$1:$ABO$500,E$2,0),"З")</f>
        <v>0</v>
      </c>
      <c r="F1311" s="50">
        <f>SUMIFS(INDEX(Техника!$F$1:$ABM$500,F$2,0),Техника!$F$4:$ABM$4,"Часы",INDEX(Техника!$G$1:$ABN$500,F$2,0),$A$1306,INDEX(Техника!$H$1:$ABO$500,F$2,0),"З")</f>
        <v>0</v>
      </c>
      <c r="G1311" s="50">
        <f>SUMIFS(INDEX(Техника!$F$1:$ABM$500,G$2,0),Техника!$F$4:$ABM$4,"Часы",INDEX(Техника!$G$1:$ABN$500,G$2,0),$A$1306,INDEX(Техника!$H$1:$ABO$500,G$2,0),"З")</f>
        <v>0</v>
      </c>
      <c r="H1311" s="50">
        <f>SUMIFS(INDEX(Техника!$F$1:$ABM$500,H$2,0),Техника!$F$4:$ABM$4,"Часы",INDEX(Техника!$G$1:$ABN$500,H$2,0),$A$1306,INDEX(Техника!$H$1:$ABO$500,H$2,0),"З")</f>
        <v>0</v>
      </c>
      <c r="I1311" s="50">
        <f>SUMIFS(INDEX(Техника!$F$1:$ABM$500,I$2,0),Техника!$F$4:$ABM$4,"Часы",INDEX(Техника!$G$1:$ABN$500,I$2,0),$A$1306,INDEX(Техника!$H$1:$ABO$500,I$2,0),"З")</f>
        <v>0</v>
      </c>
      <c r="J1311" s="50">
        <f>SUMIFS(INDEX(Техника!$F$1:$ABM$500,J$2,0),Техника!$F$4:$ABM$4,"Часы",INDEX(Техника!$G$1:$ABN$500,J$2,0),$A$1306,INDEX(Техника!$H$1:$ABO$500,J$2,0),"З")</f>
        <v>0</v>
      </c>
      <c r="K1311" s="50">
        <f>SUMIFS(INDEX(Техника!$F$1:$ABM$500,K$2,0),Техника!$F$4:$ABM$4,"Часы",INDEX(Техника!$G$1:$ABN$500,K$2,0),$A$1306,INDEX(Техника!$H$1:$ABO$500,K$2,0),"З")</f>
        <v>0</v>
      </c>
      <c r="L1311" s="50">
        <f>SUMIFS(INDEX(Техника!$F$1:$ABM$500,L$2,0),Техника!$F$4:$ABM$4,"Часы",INDEX(Техника!$G$1:$ABN$500,L$2,0),$A$1306,INDEX(Техника!$H$1:$ABO$500,L$2,0),"З")</f>
        <v>0</v>
      </c>
      <c r="M1311" s="50">
        <f>SUMIFS(INDEX(Техника!$F$1:$ABM$500,M$2,0),Техника!$F$4:$ABM$4,"Часы",INDEX(Техника!$G$1:$ABN$500,M$2,0),$A$1306,INDEX(Техника!$H$1:$ABO$500,M$2,0),"З")</f>
        <v>0</v>
      </c>
      <c r="N1311" s="50">
        <f>SUMIFS(INDEX(Техника!$F$1:$ABM$500,N$2,0),Техника!$F$4:$ABM$4,"Часы",INDEX(Техника!$G$1:$ABN$500,N$2,0),$A$1306,INDEX(Техника!$H$1:$ABO$500,N$2,0),"З")</f>
        <v>0</v>
      </c>
      <c r="O1311" s="50">
        <f>SUMIFS(INDEX(Техника!$F$1:$ABM$500,O$2,0),Техника!$F$4:$ABM$4,"Часы",INDEX(Техника!$G$1:$ABN$500,O$2,0),$A$1306,INDEX(Техника!$H$1:$ABO$500,O$2,0),"З")</f>
        <v>0</v>
      </c>
      <c r="P1311" s="50">
        <f>SUMIFS(INDEX(Техника!$F$1:$ABM$500,P$2,0),Техника!$F$4:$ABM$4,"Часы",INDEX(Техника!$G$1:$ABN$500,P$2,0),$A$1306,INDEX(Техника!$H$1:$ABO$500,P$2,0),"З")</f>
        <v>0</v>
      </c>
      <c r="Q1311" s="50">
        <f>SUMIFS(INDEX(Техника!$F$1:$ABM$500,Q$2,0),Техника!$F$4:$ABM$4,"Часы",INDEX(Техника!$G$1:$ABN$500,Q$2,0),$A$1306,INDEX(Техника!$H$1:$ABO$500,Q$2,0),"З")</f>
        <v>0</v>
      </c>
      <c r="R1311" s="50">
        <f>SUMIFS(INDEX(Техника!$F$1:$ABM$500,R$2,0),Техника!$F$4:$ABM$4,"Часы",INDEX(Техника!$G$1:$ABN$500,R$2,0),$A$1306,INDEX(Техника!$H$1:$ABO$500,R$2,0),"З")</f>
        <v>0</v>
      </c>
      <c r="S1311" s="50">
        <f>SUMIFS(INDEX(Техника!$F$1:$ABM$500,S$2,0),Техника!$F$4:$ABM$4,"Часы",INDEX(Техника!$G$1:$ABN$500,S$2,0),$A$1306,INDEX(Техника!$H$1:$ABO$500,S$2,0),"З")</f>
        <v>0</v>
      </c>
      <c r="T1311" s="50">
        <f>SUMIFS(INDEX(Техника!$F$1:$ABM$500,T$2,0),Техника!$F$4:$ABM$4,"Часы",INDEX(Техника!$G$1:$ABN$500,T$2,0),$A$1306,INDEX(Техника!$H$1:$ABO$500,T$2,0),"З")</f>
        <v>0</v>
      </c>
      <c r="U1311" s="50">
        <f>SUMIFS(INDEX(Техника!$F$1:$ABM$500,U$2,0),Техника!$F$4:$ABM$4,"Часы",INDEX(Техника!$G$1:$ABN$500,U$2,0),$A$1306,INDEX(Техника!$H$1:$ABO$500,U$2,0),"З")</f>
        <v>0</v>
      </c>
      <c r="V1311" s="50">
        <f>SUMIFS(INDEX(Техника!$F$1:$ABM$500,V$2,0),Техника!$F$4:$ABM$4,"Часы",INDEX(Техника!$G$1:$ABN$500,V$2,0),$A$1306,INDEX(Техника!$H$1:$ABO$500,V$2,0),"З")</f>
        <v>0</v>
      </c>
      <c r="W1311" s="50">
        <f>SUMIFS(INDEX(Техника!$F$1:$ABM$500,W$2,0),Техника!$F$4:$ABM$4,"Часы",INDEX(Техника!$G$1:$ABN$500,W$2,0),$A$1306,INDEX(Техника!$H$1:$ABO$500,W$2,0),"З")</f>
        <v>0</v>
      </c>
      <c r="X1311" s="50">
        <f>SUMIFS(INDEX(Техника!$F$1:$ABM$500,X$2,0),Техника!$F$4:$ABM$4,"Часы",INDEX(Техника!$G$1:$ABN$500,X$2,0),$A$1306,INDEX(Техника!$H$1:$ABO$500,X$2,0),"З")</f>
        <v>0</v>
      </c>
      <c r="Y1311" s="50">
        <f>SUMIFS(INDEX(Техника!$F$1:$ABM$500,Y$2,0),Техника!$F$4:$ABM$4,"Часы",INDEX(Техника!$G$1:$ABN$500,Y$2,0),$A$1306,INDEX(Техника!$H$1:$ABO$500,Y$2,0),"З")</f>
        <v>0</v>
      </c>
      <c r="Z1311" s="50">
        <f>SUMIFS(INDEX(Техника!$F$1:$ABM$500,Z$2,0),Техника!$F$4:$ABM$4,"Часы",INDEX(Техника!$G$1:$ABN$500,Z$2,0),$A$1306,INDEX(Техника!$H$1:$ABO$500,Z$2,0),"З")</f>
        <v>0</v>
      </c>
      <c r="AA1311" s="50">
        <f>SUMIFS(INDEX(Техника!$F$1:$ABM$500,AA$2,0),Техника!$F$4:$ABM$4,"Часы",INDEX(Техника!$G$1:$ABN$500,AA$2,0),$A$1306,INDEX(Техника!$H$1:$ABO$500,AA$2,0),"З")</f>
        <v>0</v>
      </c>
      <c r="AB1311" s="50">
        <f>SUMIFS(INDEX(Техника!$F$1:$ABM$500,AB$2,0),Техника!$F$4:$ABM$4,"Часы",INDEX(Техника!$G$1:$ABN$500,AB$2,0),$A$1306,INDEX(Техника!$H$1:$ABO$500,AB$2,0),"З")</f>
        <v>0</v>
      </c>
    </row>
    <row r="1312" spans="1:28" ht="7.95" customHeight="1" x14ac:dyDescent="0.3">
      <c r="A1312" s="38"/>
      <c r="B1312" s="39"/>
      <c r="C1312" s="51"/>
      <c r="D1312" s="51"/>
      <c r="E1312" s="51"/>
      <c r="F1312" s="51"/>
      <c r="G1312" s="51"/>
      <c r="H1312" s="51"/>
      <c r="I1312" s="51"/>
      <c r="J1312" s="51"/>
      <c r="K1312" s="51"/>
      <c r="L1312" s="51"/>
      <c r="M1312" s="51"/>
      <c r="N1312" s="51"/>
      <c r="O1312" s="51"/>
      <c r="P1312" s="51"/>
      <c r="Q1312" s="51"/>
      <c r="R1312" s="51"/>
      <c r="S1312" s="51"/>
      <c r="T1312" s="51"/>
      <c r="U1312" s="51"/>
      <c r="V1312" s="51"/>
      <c r="W1312" s="51"/>
      <c r="X1312" s="51"/>
      <c r="Y1312" s="51"/>
      <c r="Z1312" s="51"/>
      <c r="AA1312" s="51"/>
      <c r="AB1312" s="51"/>
    </row>
    <row r="1313" spans="1:28" ht="25.05" customHeight="1" collapsed="1" x14ac:dyDescent="0.3">
      <c r="A1313" s="32">
        <v>188</v>
      </c>
      <c r="B1313" s="32" t="s">
        <v>189</v>
      </c>
      <c r="C1313" s="49">
        <f>SUM(C1314:C1318)</f>
        <v>0</v>
      </c>
      <c r="D1313" s="49">
        <f>SUM(D1314:D1318)</f>
        <v>0</v>
      </c>
      <c r="E1313" s="49">
        <f>SUM(E1314:E1318)</f>
        <v>0</v>
      </c>
      <c r="F1313" s="49">
        <f>SUM(F1314:F1318)</f>
        <v>0</v>
      </c>
      <c r="G1313" s="49">
        <f>SUM(G1314:G1318)</f>
        <v>0</v>
      </c>
      <c r="H1313" s="49">
        <f>SUM(H1314:H1318)</f>
        <v>0</v>
      </c>
      <c r="I1313" s="49">
        <f>SUM(I1314:I1318)</f>
        <v>0</v>
      </c>
      <c r="J1313" s="49">
        <f>SUM(J1314:J1318)</f>
        <v>0</v>
      </c>
      <c r="K1313" s="49">
        <f>SUM(K1314:K1318)</f>
        <v>0</v>
      </c>
      <c r="L1313" s="49">
        <f>SUM(L1314:L1318)</f>
        <v>0</v>
      </c>
      <c r="M1313" s="49">
        <f>SUM(M1314:M1318)</f>
        <v>0</v>
      </c>
      <c r="N1313" s="49">
        <f>SUM(N1314:N1318)</f>
        <v>0</v>
      </c>
      <c r="O1313" s="49">
        <f>SUM(O1314:O1318)</f>
        <v>0</v>
      </c>
      <c r="P1313" s="49">
        <f>SUM(P1314:P1318)</f>
        <v>0</v>
      </c>
      <c r="Q1313" s="49">
        <f>SUM(Q1314:Q1318)</f>
        <v>0</v>
      </c>
      <c r="R1313" s="49">
        <f>SUM(R1314:R1318)</f>
        <v>0</v>
      </c>
      <c r="S1313" s="49">
        <f>SUM(S1314:S1318)</f>
        <v>0</v>
      </c>
      <c r="T1313" s="49">
        <f>SUM(T1314:T1318)</f>
        <v>0</v>
      </c>
      <c r="U1313" s="49">
        <f>SUM(U1314:U1318)</f>
        <v>0</v>
      </c>
      <c r="V1313" s="49">
        <f>SUM(V1314:V1318)</f>
        <v>0</v>
      </c>
      <c r="W1313" s="49">
        <f>SUM(W1314:W1318)</f>
        <v>0</v>
      </c>
      <c r="X1313" s="49">
        <f>SUM(X1314:X1318)</f>
        <v>0</v>
      </c>
      <c r="Y1313" s="49">
        <f>SUM(Y1314:Y1318)</f>
        <v>0</v>
      </c>
      <c r="Z1313" s="49">
        <f>SUM(Z1314:Z1318)</f>
        <v>0</v>
      </c>
      <c r="AA1313" s="49">
        <f>SUM(AA1314:AA1318)</f>
        <v>0</v>
      </c>
      <c r="AB1313" s="49">
        <f>SUM(AB1314:AB1318)</f>
        <v>0</v>
      </c>
    </row>
    <row r="1314" spans="1:28" hidden="1" outlineLevel="1" x14ac:dyDescent="0.3">
      <c r="A1314" s="33" t="s">
        <v>246</v>
      </c>
      <c r="B1314" s="34" t="s">
        <v>274</v>
      </c>
      <c r="C1314" s="50">
        <f>SUMIFS(INDEX(Техника!$F$1:$ABM$500,C$2,0),Техника!$F$4:$ABM$4,"Часы",INDEX(Техника!$G$1:$ABN$500,C$2,0),$A$1313,INDEX(Техника!$H$1:$ABO$500,C$2,0),"М")</f>
        <v>0</v>
      </c>
      <c r="D1314" s="50">
        <f>SUMIFS(INDEX(Техника!$F$1:$ABM$500,D$2,0),Техника!$F$4:$ABM$4,"Часы",INDEX(Техника!$G$1:$ABN$500,D$2,0),$A$1313,INDEX(Техника!$H$1:$ABO$500,D$2,0),"М")</f>
        <v>0</v>
      </c>
      <c r="E1314" s="50">
        <f>SUMIFS(INDEX(Техника!$F$1:$ABM$500,E$2,0),Техника!$F$4:$ABM$4,"Часы",INDEX(Техника!$G$1:$ABN$500,E$2,0),$A$1313,INDEX(Техника!$H$1:$ABO$500,E$2,0),"М")</f>
        <v>0</v>
      </c>
      <c r="F1314" s="50">
        <f>SUMIFS(INDEX(Техника!$F$1:$ABM$500,F$2,0),Техника!$F$4:$ABM$4,"Часы",INDEX(Техника!$G$1:$ABN$500,F$2,0),$A$1313,INDEX(Техника!$H$1:$ABO$500,F$2,0),"М")</f>
        <v>0</v>
      </c>
      <c r="G1314" s="50">
        <f>SUMIFS(INDEX(Техника!$F$1:$ABM$500,G$2,0),Техника!$F$4:$ABM$4,"Часы",INDEX(Техника!$G$1:$ABN$500,G$2,0),$A$1313,INDEX(Техника!$H$1:$ABO$500,G$2,0),"М")</f>
        <v>0</v>
      </c>
      <c r="H1314" s="50">
        <f>SUMIFS(INDEX(Техника!$F$1:$ABM$500,H$2,0),Техника!$F$4:$ABM$4,"Часы",INDEX(Техника!$G$1:$ABN$500,H$2,0),$A$1313,INDEX(Техника!$H$1:$ABO$500,H$2,0),"М")</f>
        <v>0</v>
      </c>
      <c r="I1314" s="50">
        <f>SUMIFS(INDEX(Техника!$F$1:$ABM$500,I$2,0),Техника!$F$4:$ABM$4,"Часы",INDEX(Техника!$G$1:$ABN$500,I$2,0),$A$1313,INDEX(Техника!$H$1:$ABO$500,I$2,0),"М")</f>
        <v>0</v>
      </c>
      <c r="J1314" s="50">
        <f>SUMIFS(INDEX(Техника!$F$1:$ABM$500,J$2,0),Техника!$F$4:$ABM$4,"Часы",INDEX(Техника!$G$1:$ABN$500,J$2,0),$A$1313,INDEX(Техника!$H$1:$ABO$500,J$2,0),"М")</f>
        <v>0</v>
      </c>
      <c r="K1314" s="50">
        <f>SUMIFS(INDEX(Техника!$F$1:$ABM$500,K$2,0),Техника!$F$4:$ABM$4,"Часы",INDEX(Техника!$G$1:$ABN$500,K$2,0),$A$1313,INDEX(Техника!$H$1:$ABO$500,K$2,0),"М")</f>
        <v>0</v>
      </c>
      <c r="L1314" s="50">
        <f>SUMIFS(INDEX(Техника!$F$1:$ABM$500,L$2,0),Техника!$F$4:$ABM$4,"Часы",INDEX(Техника!$G$1:$ABN$500,L$2,0),$A$1313,INDEX(Техника!$H$1:$ABO$500,L$2,0),"М")</f>
        <v>0</v>
      </c>
      <c r="M1314" s="50">
        <f>SUMIFS(INDEX(Техника!$F$1:$ABM$500,M$2,0),Техника!$F$4:$ABM$4,"Часы",INDEX(Техника!$G$1:$ABN$500,M$2,0),$A$1313,INDEX(Техника!$H$1:$ABO$500,M$2,0),"М")</f>
        <v>0</v>
      </c>
      <c r="N1314" s="50">
        <f>SUMIFS(INDEX(Техника!$F$1:$ABM$500,N$2,0),Техника!$F$4:$ABM$4,"Часы",INDEX(Техника!$G$1:$ABN$500,N$2,0),$A$1313,INDEX(Техника!$H$1:$ABO$500,N$2,0),"М")</f>
        <v>0</v>
      </c>
      <c r="O1314" s="50">
        <f>SUMIFS(INDEX(Техника!$F$1:$ABM$500,O$2,0),Техника!$F$4:$ABM$4,"Часы",INDEX(Техника!$G$1:$ABN$500,O$2,0),$A$1313,INDEX(Техника!$H$1:$ABO$500,O$2,0),"М")</f>
        <v>0</v>
      </c>
      <c r="P1314" s="50">
        <f>SUMIFS(INDEX(Техника!$F$1:$ABM$500,P$2,0),Техника!$F$4:$ABM$4,"Часы",INDEX(Техника!$G$1:$ABN$500,P$2,0),$A$1313,INDEX(Техника!$H$1:$ABO$500,P$2,0),"М")</f>
        <v>0</v>
      </c>
      <c r="Q1314" s="50">
        <f>SUMIFS(INDEX(Техника!$F$1:$ABM$500,Q$2,0),Техника!$F$4:$ABM$4,"Часы",INDEX(Техника!$G$1:$ABN$500,Q$2,0),$A$1313,INDEX(Техника!$H$1:$ABO$500,Q$2,0),"М")</f>
        <v>0</v>
      </c>
      <c r="R1314" s="50">
        <f>SUMIFS(INDEX(Техника!$F$1:$ABM$500,R$2,0),Техника!$F$4:$ABM$4,"Часы",INDEX(Техника!$G$1:$ABN$500,R$2,0),$A$1313,INDEX(Техника!$H$1:$ABO$500,R$2,0),"М")</f>
        <v>0</v>
      </c>
      <c r="S1314" s="50">
        <f>SUMIFS(INDEX(Техника!$F$1:$ABM$500,S$2,0),Техника!$F$4:$ABM$4,"Часы",INDEX(Техника!$G$1:$ABN$500,S$2,0),$A$1313,INDEX(Техника!$H$1:$ABO$500,S$2,0),"М")</f>
        <v>0</v>
      </c>
      <c r="T1314" s="50">
        <f>SUMIFS(INDEX(Техника!$F$1:$ABM$500,T$2,0),Техника!$F$4:$ABM$4,"Часы",INDEX(Техника!$G$1:$ABN$500,T$2,0),$A$1313,INDEX(Техника!$H$1:$ABO$500,T$2,0),"М")</f>
        <v>0</v>
      </c>
      <c r="U1314" s="50">
        <f>SUMIFS(INDEX(Техника!$F$1:$ABM$500,U$2,0),Техника!$F$4:$ABM$4,"Часы",INDEX(Техника!$G$1:$ABN$500,U$2,0),$A$1313,INDEX(Техника!$H$1:$ABO$500,U$2,0),"М")</f>
        <v>0</v>
      </c>
      <c r="V1314" s="50">
        <f>SUMIFS(INDEX(Техника!$F$1:$ABM$500,V$2,0),Техника!$F$4:$ABM$4,"Часы",INDEX(Техника!$G$1:$ABN$500,V$2,0),$A$1313,INDEX(Техника!$H$1:$ABO$500,V$2,0),"М")</f>
        <v>0</v>
      </c>
      <c r="W1314" s="50">
        <f>SUMIFS(INDEX(Техника!$F$1:$ABM$500,W$2,0),Техника!$F$4:$ABM$4,"Часы",INDEX(Техника!$G$1:$ABN$500,W$2,0),$A$1313,INDEX(Техника!$H$1:$ABO$500,W$2,0),"М")</f>
        <v>0</v>
      </c>
      <c r="X1314" s="50">
        <f>SUMIFS(INDEX(Техника!$F$1:$ABM$500,X$2,0),Техника!$F$4:$ABM$4,"Часы",INDEX(Техника!$G$1:$ABN$500,X$2,0),$A$1313,INDEX(Техника!$H$1:$ABO$500,X$2,0),"М")</f>
        <v>0</v>
      </c>
      <c r="Y1314" s="50">
        <f>SUMIFS(INDEX(Техника!$F$1:$ABM$500,Y$2,0),Техника!$F$4:$ABM$4,"Часы",INDEX(Техника!$G$1:$ABN$500,Y$2,0),$A$1313,INDEX(Техника!$H$1:$ABO$500,Y$2,0),"М")</f>
        <v>0</v>
      </c>
      <c r="Z1314" s="50">
        <f>SUMIFS(INDEX(Техника!$F$1:$ABM$500,Z$2,0),Техника!$F$4:$ABM$4,"Часы",INDEX(Техника!$G$1:$ABN$500,Z$2,0),$A$1313,INDEX(Техника!$H$1:$ABO$500,Z$2,0),"М")</f>
        <v>0</v>
      </c>
      <c r="AA1314" s="50">
        <f>SUMIFS(INDEX(Техника!$F$1:$ABM$500,AA$2,0),Техника!$F$4:$ABM$4,"Часы",INDEX(Техника!$G$1:$ABN$500,AA$2,0),$A$1313,INDEX(Техника!$H$1:$ABO$500,AA$2,0),"М")</f>
        <v>0</v>
      </c>
      <c r="AB1314" s="50">
        <f>SUMIFS(INDEX(Техника!$F$1:$ABM$500,AB$2,0),Техника!$F$4:$ABM$4,"Часы",INDEX(Техника!$G$1:$ABN$500,AB$2,0),$A$1313,INDEX(Техника!$H$1:$ABO$500,AB$2,0),"М")</f>
        <v>0</v>
      </c>
    </row>
    <row r="1315" spans="1:28" hidden="1" outlineLevel="1" x14ac:dyDescent="0.3">
      <c r="A1315" s="33" t="s">
        <v>244</v>
      </c>
      <c r="B1315" s="34" t="s">
        <v>275</v>
      </c>
      <c r="C1315" s="50">
        <f>SUMIFS(INDEX(Техника!$F$1:$ABM$500,C$2,0),Техника!$F$4:$ABM$4,"Часы",INDEX(Техника!$G$1:$ABN$500,C$2,0),$A$1313,INDEX(Техника!$H$1:$ABO$500,C$2,0),"Д")</f>
        <v>0</v>
      </c>
      <c r="D1315" s="50">
        <f>SUMIFS(INDEX(Техника!$F$1:$ABM$500,D$2,0),Техника!$F$4:$ABM$4,"Часы",INDEX(Техника!$G$1:$ABN$500,D$2,0),$A$1313,INDEX(Техника!$H$1:$ABO$500,D$2,0),"Д")</f>
        <v>0</v>
      </c>
      <c r="E1315" s="50">
        <f>SUMIFS(INDEX(Техника!$F$1:$ABM$500,E$2,0),Техника!$F$4:$ABM$4,"Часы",INDEX(Техника!$G$1:$ABN$500,E$2,0),$A$1313,INDEX(Техника!$H$1:$ABO$500,E$2,0),"Д")</f>
        <v>0</v>
      </c>
      <c r="F1315" s="50">
        <f>SUMIFS(INDEX(Техника!$F$1:$ABM$500,F$2,0),Техника!$F$4:$ABM$4,"Часы",INDEX(Техника!$G$1:$ABN$500,F$2,0),$A$1313,INDEX(Техника!$H$1:$ABO$500,F$2,0),"Д")</f>
        <v>0</v>
      </c>
      <c r="G1315" s="50">
        <f>SUMIFS(INDEX(Техника!$F$1:$ABM$500,G$2,0),Техника!$F$4:$ABM$4,"Часы",INDEX(Техника!$G$1:$ABN$500,G$2,0),$A$1313,INDEX(Техника!$H$1:$ABO$500,G$2,0),"Д")</f>
        <v>0</v>
      </c>
      <c r="H1315" s="50">
        <f>SUMIFS(INDEX(Техника!$F$1:$ABM$500,H$2,0),Техника!$F$4:$ABM$4,"Часы",INDEX(Техника!$G$1:$ABN$500,H$2,0),$A$1313,INDEX(Техника!$H$1:$ABO$500,H$2,0),"Д")</f>
        <v>0</v>
      </c>
      <c r="I1315" s="50">
        <f>SUMIFS(INDEX(Техника!$F$1:$ABM$500,I$2,0),Техника!$F$4:$ABM$4,"Часы",INDEX(Техника!$G$1:$ABN$500,I$2,0),$A$1313,INDEX(Техника!$H$1:$ABO$500,I$2,0),"Д")</f>
        <v>0</v>
      </c>
      <c r="J1315" s="50">
        <f>SUMIFS(INDEX(Техника!$F$1:$ABM$500,J$2,0),Техника!$F$4:$ABM$4,"Часы",INDEX(Техника!$G$1:$ABN$500,J$2,0),$A$1313,INDEX(Техника!$H$1:$ABO$500,J$2,0),"Д")</f>
        <v>0</v>
      </c>
      <c r="K1315" s="50">
        <f>SUMIFS(INDEX(Техника!$F$1:$ABM$500,K$2,0),Техника!$F$4:$ABM$4,"Часы",INDEX(Техника!$G$1:$ABN$500,K$2,0),$A$1313,INDEX(Техника!$H$1:$ABO$500,K$2,0),"Д")</f>
        <v>0</v>
      </c>
      <c r="L1315" s="50">
        <f>SUMIFS(INDEX(Техника!$F$1:$ABM$500,L$2,0),Техника!$F$4:$ABM$4,"Часы",INDEX(Техника!$G$1:$ABN$500,L$2,0),$A$1313,INDEX(Техника!$H$1:$ABO$500,L$2,0),"Д")</f>
        <v>0</v>
      </c>
      <c r="M1315" s="50">
        <f>SUMIFS(INDEX(Техника!$F$1:$ABM$500,M$2,0),Техника!$F$4:$ABM$4,"Часы",INDEX(Техника!$G$1:$ABN$500,M$2,0),$A$1313,INDEX(Техника!$H$1:$ABO$500,M$2,0),"Д")</f>
        <v>0</v>
      </c>
      <c r="N1315" s="50">
        <f>SUMIFS(INDEX(Техника!$F$1:$ABM$500,N$2,0),Техника!$F$4:$ABM$4,"Часы",INDEX(Техника!$G$1:$ABN$500,N$2,0),$A$1313,INDEX(Техника!$H$1:$ABO$500,N$2,0),"Д")</f>
        <v>0</v>
      </c>
      <c r="O1315" s="50">
        <f>SUMIFS(INDEX(Техника!$F$1:$ABM$500,O$2,0),Техника!$F$4:$ABM$4,"Часы",INDEX(Техника!$G$1:$ABN$500,O$2,0),$A$1313,INDEX(Техника!$H$1:$ABO$500,O$2,0),"Д")</f>
        <v>0</v>
      </c>
      <c r="P1315" s="50">
        <f>SUMIFS(INDEX(Техника!$F$1:$ABM$500,P$2,0),Техника!$F$4:$ABM$4,"Часы",INDEX(Техника!$G$1:$ABN$500,P$2,0),$A$1313,INDEX(Техника!$H$1:$ABO$500,P$2,0),"Д")</f>
        <v>0</v>
      </c>
      <c r="Q1315" s="50">
        <f>SUMIFS(INDEX(Техника!$F$1:$ABM$500,Q$2,0),Техника!$F$4:$ABM$4,"Часы",INDEX(Техника!$G$1:$ABN$500,Q$2,0),$A$1313,INDEX(Техника!$H$1:$ABO$500,Q$2,0),"Д")</f>
        <v>0</v>
      </c>
      <c r="R1315" s="50">
        <f>SUMIFS(INDEX(Техника!$F$1:$ABM$500,R$2,0),Техника!$F$4:$ABM$4,"Часы",INDEX(Техника!$G$1:$ABN$500,R$2,0),$A$1313,INDEX(Техника!$H$1:$ABO$500,R$2,0),"Д")</f>
        <v>0</v>
      </c>
      <c r="S1315" s="50">
        <f>SUMIFS(INDEX(Техника!$F$1:$ABM$500,S$2,0),Техника!$F$4:$ABM$4,"Часы",INDEX(Техника!$G$1:$ABN$500,S$2,0),$A$1313,INDEX(Техника!$H$1:$ABO$500,S$2,0),"Д")</f>
        <v>0</v>
      </c>
      <c r="T1315" s="50">
        <f>SUMIFS(INDEX(Техника!$F$1:$ABM$500,T$2,0),Техника!$F$4:$ABM$4,"Часы",INDEX(Техника!$G$1:$ABN$500,T$2,0),$A$1313,INDEX(Техника!$H$1:$ABO$500,T$2,0),"Д")</f>
        <v>0</v>
      </c>
      <c r="U1315" s="50">
        <f>SUMIFS(INDEX(Техника!$F$1:$ABM$500,U$2,0),Техника!$F$4:$ABM$4,"Часы",INDEX(Техника!$G$1:$ABN$500,U$2,0),$A$1313,INDEX(Техника!$H$1:$ABO$500,U$2,0),"Д")</f>
        <v>0</v>
      </c>
      <c r="V1315" s="50">
        <f>SUMIFS(INDEX(Техника!$F$1:$ABM$500,V$2,0),Техника!$F$4:$ABM$4,"Часы",INDEX(Техника!$G$1:$ABN$500,V$2,0),$A$1313,INDEX(Техника!$H$1:$ABO$500,V$2,0),"Д")</f>
        <v>0</v>
      </c>
      <c r="W1315" s="50">
        <f>SUMIFS(INDEX(Техника!$F$1:$ABM$500,W$2,0),Техника!$F$4:$ABM$4,"Часы",INDEX(Техника!$G$1:$ABN$500,W$2,0),$A$1313,INDEX(Техника!$H$1:$ABO$500,W$2,0),"Д")</f>
        <v>0</v>
      </c>
      <c r="X1315" s="50">
        <f>SUMIFS(INDEX(Техника!$F$1:$ABM$500,X$2,0),Техника!$F$4:$ABM$4,"Часы",INDEX(Техника!$G$1:$ABN$500,X$2,0),$A$1313,INDEX(Техника!$H$1:$ABO$500,X$2,0),"Д")</f>
        <v>0</v>
      </c>
      <c r="Y1315" s="50">
        <f>SUMIFS(INDEX(Техника!$F$1:$ABM$500,Y$2,0),Техника!$F$4:$ABM$4,"Часы",INDEX(Техника!$G$1:$ABN$500,Y$2,0),$A$1313,INDEX(Техника!$H$1:$ABO$500,Y$2,0),"Д")</f>
        <v>0</v>
      </c>
      <c r="Z1315" s="50">
        <f>SUMIFS(INDEX(Техника!$F$1:$ABM$500,Z$2,0),Техника!$F$4:$ABM$4,"Часы",INDEX(Техника!$G$1:$ABN$500,Z$2,0),$A$1313,INDEX(Техника!$H$1:$ABO$500,Z$2,0),"Д")</f>
        <v>0</v>
      </c>
      <c r="AA1315" s="50">
        <f>SUMIFS(INDEX(Техника!$F$1:$ABM$500,AA$2,0),Техника!$F$4:$ABM$4,"Часы",INDEX(Техника!$G$1:$ABN$500,AA$2,0),$A$1313,INDEX(Техника!$H$1:$ABO$500,AA$2,0),"Д")</f>
        <v>0</v>
      </c>
      <c r="AB1315" s="50">
        <f>SUMIFS(INDEX(Техника!$F$1:$ABM$500,AB$2,0),Техника!$F$4:$ABM$4,"Часы",INDEX(Техника!$G$1:$ABN$500,AB$2,0),$A$1313,INDEX(Техника!$H$1:$ABO$500,AB$2,0),"Д")</f>
        <v>0</v>
      </c>
    </row>
    <row r="1316" spans="1:28" hidden="1" outlineLevel="1" x14ac:dyDescent="0.3">
      <c r="A1316" s="33" t="s">
        <v>276</v>
      </c>
      <c r="B1316" s="34" t="s">
        <v>277</v>
      </c>
      <c r="C1316" s="50">
        <f>SUMIFS(INDEX(Техника!$F$1:$ABM$500,C$2,0),Техника!$F$4:$ABM$4,"Часы",INDEX(Техника!$G$1:$ABN$500,C$2,0),$A$1313,INDEX(Техника!$H$1:$ABO$500,C$2,0),"П")</f>
        <v>0</v>
      </c>
      <c r="D1316" s="50">
        <f>SUMIFS(INDEX(Техника!$F$1:$ABM$500,D$2,0),Техника!$F$4:$ABM$4,"Часы",INDEX(Техника!$G$1:$ABN$500,D$2,0),$A$1313,INDEX(Техника!$H$1:$ABO$500,D$2,0),"П")</f>
        <v>0</v>
      </c>
      <c r="E1316" s="50">
        <f>SUMIFS(INDEX(Техника!$F$1:$ABM$500,E$2,0),Техника!$F$4:$ABM$4,"Часы",INDEX(Техника!$G$1:$ABN$500,E$2,0),$A$1313,INDEX(Техника!$H$1:$ABO$500,E$2,0),"П")</f>
        <v>0</v>
      </c>
      <c r="F1316" s="50">
        <f>SUMIFS(INDEX(Техника!$F$1:$ABM$500,F$2,0),Техника!$F$4:$ABM$4,"Часы",INDEX(Техника!$G$1:$ABN$500,F$2,0),$A$1313,INDEX(Техника!$H$1:$ABO$500,F$2,0),"П")</f>
        <v>0</v>
      </c>
      <c r="G1316" s="50">
        <f>SUMIFS(INDEX(Техника!$F$1:$ABM$500,G$2,0),Техника!$F$4:$ABM$4,"Часы",INDEX(Техника!$G$1:$ABN$500,G$2,0),$A$1313,INDEX(Техника!$H$1:$ABO$500,G$2,0),"П")</f>
        <v>0</v>
      </c>
      <c r="H1316" s="50">
        <f>SUMIFS(INDEX(Техника!$F$1:$ABM$500,H$2,0),Техника!$F$4:$ABM$4,"Часы",INDEX(Техника!$G$1:$ABN$500,H$2,0),$A$1313,INDEX(Техника!$H$1:$ABO$500,H$2,0),"П")</f>
        <v>0</v>
      </c>
      <c r="I1316" s="50">
        <f>SUMIFS(INDEX(Техника!$F$1:$ABM$500,I$2,0),Техника!$F$4:$ABM$4,"Часы",INDEX(Техника!$G$1:$ABN$500,I$2,0),$A$1313,INDEX(Техника!$H$1:$ABO$500,I$2,0),"П")</f>
        <v>0</v>
      </c>
      <c r="J1316" s="50">
        <f>SUMIFS(INDEX(Техника!$F$1:$ABM$500,J$2,0),Техника!$F$4:$ABM$4,"Часы",INDEX(Техника!$G$1:$ABN$500,J$2,0),$A$1313,INDEX(Техника!$H$1:$ABO$500,J$2,0),"П")</f>
        <v>0</v>
      </c>
      <c r="K1316" s="50">
        <f>SUMIFS(INDEX(Техника!$F$1:$ABM$500,K$2,0),Техника!$F$4:$ABM$4,"Часы",INDEX(Техника!$G$1:$ABN$500,K$2,0),$A$1313,INDEX(Техника!$H$1:$ABO$500,K$2,0),"П")</f>
        <v>0</v>
      </c>
      <c r="L1316" s="50">
        <f>SUMIFS(INDEX(Техника!$F$1:$ABM$500,L$2,0),Техника!$F$4:$ABM$4,"Часы",INDEX(Техника!$G$1:$ABN$500,L$2,0),$A$1313,INDEX(Техника!$H$1:$ABO$500,L$2,0),"П")</f>
        <v>0</v>
      </c>
      <c r="M1316" s="50">
        <f>SUMIFS(INDEX(Техника!$F$1:$ABM$500,M$2,0),Техника!$F$4:$ABM$4,"Часы",INDEX(Техника!$G$1:$ABN$500,M$2,0),$A$1313,INDEX(Техника!$H$1:$ABO$500,M$2,0),"П")</f>
        <v>0</v>
      </c>
      <c r="N1316" s="50">
        <f>SUMIFS(INDEX(Техника!$F$1:$ABM$500,N$2,0),Техника!$F$4:$ABM$4,"Часы",INDEX(Техника!$G$1:$ABN$500,N$2,0),$A$1313,INDEX(Техника!$H$1:$ABO$500,N$2,0),"П")</f>
        <v>0</v>
      </c>
      <c r="O1316" s="50">
        <f>SUMIFS(INDEX(Техника!$F$1:$ABM$500,O$2,0),Техника!$F$4:$ABM$4,"Часы",INDEX(Техника!$G$1:$ABN$500,O$2,0),$A$1313,INDEX(Техника!$H$1:$ABO$500,O$2,0),"П")</f>
        <v>0</v>
      </c>
      <c r="P1316" s="50">
        <f>SUMIFS(INDEX(Техника!$F$1:$ABM$500,P$2,0),Техника!$F$4:$ABM$4,"Часы",INDEX(Техника!$G$1:$ABN$500,P$2,0),$A$1313,INDEX(Техника!$H$1:$ABO$500,P$2,0),"П")</f>
        <v>0</v>
      </c>
      <c r="Q1316" s="50">
        <f>SUMIFS(INDEX(Техника!$F$1:$ABM$500,Q$2,0),Техника!$F$4:$ABM$4,"Часы",INDEX(Техника!$G$1:$ABN$500,Q$2,0),$A$1313,INDEX(Техника!$H$1:$ABO$500,Q$2,0),"П")</f>
        <v>0</v>
      </c>
      <c r="R1316" s="50">
        <f>SUMIFS(INDEX(Техника!$F$1:$ABM$500,R$2,0),Техника!$F$4:$ABM$4,"Часы",INDEX(Техника!$G$1:$ABN$500,R$2,0),$A$1313,INDEX(Техника!$H$1:$ABO$500,R$2,0),"П")</f>
        <v>0</v>
      </c>
      <c r="S1316" s="50">
        <f>SUMIFS(INDEX(Техника!$F$1:$ABM$500,S$2,0),Техника!$F$4:$ABM$4,"Часы",INDEX(Техника!$G$1:$ABN$500,S$2,0),$A$1313,INDEX(Техника!$H$1:$ABO$500,S$2,0),"П")</f>
        <v>0</v>
      </c>
      <c r="T1316" s="50">
        <f>SUMIFS(INDEX(Техника!$F$1:$ABM$500,T$2,0),Техника!$F$4:$ABM$4,"Часы",INDEX(Техника!$G$1:$ABN$500,T$2,0),$A$1313,INDEX(Техника!$H$1:$ABO$500,T$2,0),"П")</f>
        <v>0</v>
      </c>
      <c r="U1316" s="50">
        <f>SUMIFS(INDEX(Техника!$F$1:$ABM$500,U$2,0),Техника!$F$4:$ABM$4,"Часы",INDEX(Техника!$G$1:$ABN$500,U$2,0),$A$1313,INDEX(Техника!$H$1:$ABO$500,U$2,0),"П")</f>
        <v>0</v>
      </c>
      <c r="V1316" s="50">
        <f>SUMIFS(INDEX(Техника!$F$1:$ABM$500,V$2,0),Техника!$F$4:$ABM$4,"Часы",INDEX(Техника!$G$1:$ABN$500,V$2,0),$A$1313,INDEX(Техника!$H$1:$ABO$500,V$2,0),"П")</f>
        <v>0</v>
      </c>
      <c r="W1316" s="50">
        <f>SUMIFS(INDEX(Техника!$F$1:$ABM$500,W$2,0),Техника!$F$4:$ABM$4,"Часы",INDEX(Техника!$G$1:$ABN$500,W$2,0),$A$1313,INDEX(Техника!$H$1:$ABO$500,W$2,0),"П")</f>
        <v>0</v>
      </c>
      <c r="X1316" s="50">
        <f>SUMIFS(INDEX(Техника!$F$1:$ABM$500,X$2,0),Техника!$F$4:$ABM$4,"Часы",INDEX(Техника!$G$1:$ABN$500,X$2,0),$A$1313,INDEX(Техника!$H$1:$ABO$500,X$2,0),"П")</f>
        <v>0</v>
      </c>
      <c r="Y1316" s="50">
        <f>SUMIFS(INDEX(Техника!$F$1:$ABM$500,Y$2,0),Техника!$F$4:$ABM$4,"Часы",INDEX(Техника!$G$1:$ABN$500,Y$2,0),$A$1313,INDEX(Техника!$H$1:$ABO$500,Y$2,0),"П")</f>
        <v>0</v>
      </c>
      <c r="Z1316" s="50">
        <f>SUMIFS(INDEX(Техника!$F$1:$ABM$500,Z$2,0),Техника!$F$4:$ABM$4,"Часы",INDEX(Техника!$G$1:$ABN$500,Z$2,0),$A$1313,INDEX(Техника!$H$1:$ABO$500,Z$2,0),"П")</f>
        <v>0</v>
      </c>
      <c r="AA1316" s="50">
        <f>SUMIFS(INDEX(Техника!$F$1:$ABM$500,AA$2,0),Техника!$F$4:$ABM$4,"Часы",INDEX(Техника!$G$1:$ABN$500,AA$2,0),$A$1313,INDEX(Техника!$H$1:$ABO$500,AA$2,0),"П")</f>
        <v>0</v>
      </c>
      <c r="AB1316" s="50">
        <f>SUMIFS(INDEX(Техника!$F$1:$ABM$500,AB$2,0),Техника!$F$4:$ABM$4,"Часы",INDEX(Техника!$G$1:$ABN$500,AB$2,0),$A$1313,INDEX(Техника!$H$1:$ABO$500,AB$2,0),"П")</f>
        <v>0</v>
      </c>
    </row>
    <row r="1317" spans="1:28" hidden="1" outlineLevel="1" x14ac:dyDescent="0.3">
      <c r="A1317" s="33" t="s">
        <v>243</v>
      </c>
      <c r="B1317" s="34" t="s">
        <v>278</v>
      </c>
      <c r="C1317" s="50">
        <f>SUMIFS(INDEX(Техника!$F$1:$ABM$500,C$2,0),Техника!$F$4:$ABM$4,"Часы",INDEX(Техника!$G$1:$ABN$500,C$2,0),$A$1313,INDEX(Техника!$H$1:$ABO$500,C$2,0),"Л")</f>
        <v>0</v>
      </c>
      <c r="D1317" s="50">
        <f>SUMIFS(INDEX(Техника!$F$1:$ABM$500,D$2,0),Техника!$F$4:$ABM$4,"Часы",INDEX(Техника!$G$1:$ABN$500,D$2,0),$A$1313,INDEX(Техника!$H$1:$ABO$500,D$2,0),"Л")</f>
        <v>0</v>
      </c>
      <c r="E1317" s="50">
        <f>SUMIFS(INDEX(Техника!$F$1:$ABM$500,E$2,0),Техника!$F$4:$ABM$4,"Часы",INDEX(Техника!$G$1:$ABN$500,E$2,0),$A$1313,INDEX(Техника!$H$1:$ABO$500,E$2,0),"Л")</f>
        <v>0</v>
      </c>
      <c r="F1317" s="50">
        <f>SUMIFS(INDEX(Техника!$F$1:$ABM$500,F$2,0),Техника!$F$4:$ABM$4,"Часы",INDEX(Техника!$G$1:$ABN$500,F$2,0),$A$1313,INDEX(Техника!$H$1:$ABO$500,F$2,0),"Л")</f>
        <v>0</v>
      </c>
      <c r="G1317" s="50">
        <f>SUMIFS(INDEX(Техника!$F$1:$ABM$500,G$2,0),Техника!$F$4:$ABM$4,"Часы",INDEX(Техника!$G$1:$ABN$500,G$2,0),$A$1313,INDEX(Техника!$H$1:$ABO$500,G$2,0),"Л")</f>
        <v>0</v>
      </c>
      <c r="H1317" s="50">
        <f>SUMIFS(INDEX(Техника!$F$1:$ABM$500,H$2,0),Техника!$F$4:$ABM$4,"Часы",INDEX(Техника!$G$1:$ABN$500,H$2,0),$A$1313,INDEX(Техника!$H$1:$ABO$500,H$2,0),"Л")</f>
        <v>0</v>
      </c>
      <c r="I1317" s="50">
        <f>SUMIFS(INDEX(Техника!$F$1:$ABM$500,I$2,0),Техника!$F$4:$ABM$4,"Часы",INDEX(Техника!$G$1:$ABN$500,I$2,0),$A$1313,INDEX(Техника!$H$1:$ABO$500,I$2,0),"Л")</f>
        <v>0</v>
      </c>
      <c r="J1317" s="50">
        <f>SUMIFS(INDEX(Техника!$F$1:$ABM$500,J$2,0),Техника!$F$4:$ABM$4,"Часы",INDEX(Техника!$G$1:$ABN$500,J$2,0),$A$1313,INDEX(Техника!$H$1:$ABO$500,J$2,0),"Л")</f>
        <v>0</v>
      </c>
      <c r="K1317" s="50">
        <f>SUMIFS(INDEX(Техника!$F$1:$ABM$500,K$2,0),Техника!$F$4:$ABM$4,"Часы",INDEX(Техника!$G$1:$ABN$500,K$2,0),$A$1313,INDEX(Техника!$H$1:$ABO$500,K$2,0),"Л")</f>
        <v>0</v>
      </c>
      <c r="L1317" s="50">
        <f>SUMIFS(INDEX(Техника!$F$1:$ABM$500,L$2,0),Техника!$F$4:$ABM$4,"Часы",INDEX(Техника!$G$1:$ABN$500,L$2,0),$A$1313,INDEX(Техника!$H$1:$ABO$500,L$2,0),"Л")</f>
        <v>0</v>
      </c>
      <c r="M1317" s="50">
        <f>SUMIFS(INDEX(Техника!$F$1:$ABM$500,M$2,0),Техника!$F$4:$ABM$4,"Часы",INDEX(Техника!$G$1:$ABN$500,M$2,0),$A$1313,INDEX(Техника!$H$1:$ABO$500,M$2,0),"Л")</f>
        <v>0</v>
      </c>
      <c r="N1317" s="50">
        <f>SUMIFS(INDEX(Техника!$F$1:$ABM$500,N$2,0),Техника!$F$4:$ABM$4,"Часы",INDEX(Техника!$G$1:$ABN$500,N$2,0),$A$1313,INDEX(Техника!$H$1:$ABO$500,N$2,0),"Л")</f>
        <v>0</v>
      </c>
      <c r="O1317" s="50">
        <f>SUMIFS(INDEX(Техника!$F$1:$ABM$500,O$2,0),Техника!$F$4:$ABM$4,"Часы",INDEX(Техника!$G$1:$ABN$500,O$2,0),$A$1313,INDEX(Техника!$H$1:$ABO$500,O$2,0),"Л")</f>
        <v>0</v>
      </c>
      <c r="P1317" s="50">
        <f>SUMIFS(INDEX(Техника!$F$1:$ABM$500,P$2,0),Техника!$F$4:$ABM$4,"Часы",INDEX(Техника!$G$1:$ABN$500,P$2,0),$A$1313,INDEX(Техника!$H$1:$ABO$500,P$2,0),"Л")</f>
        <v>0</v>
      </c>
      <c r="Q1317" s="50">
        <f>SUMIFS(INDEX(Техника!$F$1:$ABM$500,Q$2,0),Техника!$F$4:$ABM$4,"Часы",INDEX(Техника!$G$1:$ABN$500,Q$2,0),$A$1313,INDEX(Техника!$H$1:$ABO$500,Q$2,0),"Л")</f>
        <v>0</v>
      </c>
      <c r="R1317" s="50">
        <f>SUMIFS(INDEX(Техника!$F$1:$ABM$500,R$2,0),Техника!$F$4:$ABM$4,"Часы",INDEX(Техника!$G$1:$ABN$500,R$2,0),$A$1313,INDEX(Техника!$H$1:$ABO$500,R$2,0),"Л")</f>
        <v>0</v>
      </c>
      <c r="S1317" s="50">
        <f>SUMIFS(INDEX(Техника!$F$1:$ABM$500,S$2,0),Техника!$F$4:$ABM$4,"Часы",INDEX(Техника!$G$1:$ABN$500,S$2,0),$A$1313,INDEX(Техника!$H$1:$ABO$500,S$2,0),"Л")</f>
        <v>0</v>
      </c>
      <c r="T1317" s="50">
        <f>SUMIFS(INDEX(Техника!$F$1:$ABM$500,T$2,0),Техника!$F$4:$ABM$4,"Часы",INDEX(Техника!$G$1:$ABN$500,T$2,0),$A$1313,INDEX(Техника!$H$1:$ABO$500,T$2,0),"Л")</f>
        <v>0</v>
      </c>
      <c r="U1317" s="50">
        <f>SUMIFS(INDEX(Техника!$F$1:$ABM$500,U$2,0),Техника!$F$4:$ABM$4,"Часы",INDEX(Техника!$G$1:$ABN$500,U$2,0),$A$1313,INDEX(Техника!$H$1:$ABO$500,U$2,0),"Л")</f>
        <v>0</v>
      </c>
      <c r="V1317" s="50">
        <f>SUMIFS(INDEX(Техника!$F$1:$ABM$500,V$2,0),Техника!$F$4:$ABM$4,"Часы",INDEX(Техника!$G$1:$ABN$500,V$2,0),$A$1313,INDEX(Техника!$H$1:$ABO$500,V$2,0),"Л")</f>
        <v>0</v>
      </c>
      <c r="W1317" s="50">
        <f>SUMIFS(INDEX(Техника!$F$1:$ABM$500,W$2,0),Техника!$F$4:$ABM$4,"Часы",INDEX(Техника!$G$1:$ABN$500,W$2,0),$A$1313,INDEX(Техника!$H$1:$ABO$500,W$2,0),"Л")</f>
        <v>0</v>
      </c>
      <c r="X1317" s="50">
        <f>SUMIFS(INDEX(Техника!$F$1:$ABM$500,X$2,0),Техника!$F$4:$ABM$4,"Часы",INDEX(Техника!$G$1:$ABN$500,X$2,0),$A$1313,INDEX(Техника!$H$1:$ABO$500,X$2,0),"Л")</f>
        <v>0</v>
      </c>
      <c r="Y1317" s="50">
        <f>SUMIFS(INDEX(Техника!$F$1:$ABM$500,Y$2,0),Техника!$F$4:$ABM$4,"Часы",INDEX(Техника!$G$1:$ABN$500,Y$2,0),$A$1313,INDEX(Техника!$H$1:$ABO$500,Y$2,0),"Л")</f>
        <v>0</v>
      </c>
      <c r="Z1317" s="50">
        <f>SUMIFS(INDEX(Техника!$F$1:$ABM$500,Z$2,0),Техника!$F$4:$ABM$4,"Часы",INDEX(Техника!$G$1:$ABN$500,Z$2,0),$A$1313,INDEX(Техника!$H$1:$ABO$500,Z$2,0),"Л")</f>
        <v>0</v>
      </c>
      <c r="AA1317" s="50">
        <f>SUMIFS(INDEX(Техника!$F$1:$ABM$500,AA$2,0),Техника!$F$4:$ABM$4,"Часы",INDEX(Техника!$G$1:$ABN$500,AA$2,0),$A$1313,INDEX(Техника!$H$1:$ABO$500,AA$2,0),"Л")</f>
        <v>0</v>
      </c>
      <c r="AB1317" s="50">
        <f>SUMIFS(INDEX(Техника!$F$1:$ABM$500,AB$2,0),Техника!$F$4:$ABM$4,"Часы",INDEX(Техника!$G$1:$ABN$500,AB$2,0),$A$1313,INDEX(Техника!$H$1:$ABO$500,AB$2,0),"Л")</f>
        <v>0</v>
      </c>
    </row>
    <row r="1318" spans="1:28" hidden="1" outlineLevel="1" x14ac:dyDescent="0.3">
      <c r="A1318" s="33" t="s">
        <v>245</v>
      </c>
      <c r="B1318" s="34" t="s">
        <v>279</v>
      </c>
      <c r="C1318" s="50">
        <f>SUMIFS(INDEX(Техника!$F$1:$ABM$500,C$2,0),Техника!$F$4:$ABM$4,"Часы",INDEX(Техника!$G$1:$ABN$500,C$2,0),$A$1313,INDEX(Техника!$H$1:$ABO$500,C$2,0),"З")</f>
        <v>0</v>
      </c>
      <c r="D1318" s="50">
        <f>SUMIFS(INDEX(Техника!$F$1:$ABM$500,D$2,0),Техника!$F$4:$ABM$4,"Часы",INDEX(Техника!$G$1:$ABN$500,D$2,0),$A$1313,INDEX(Техника!$H$1:$ABO$500,D$2,0),"З")</f>
        <v>0</v>
      </c>
      <c r="E1318" s="50">
        <f>SUMIFS(INDEX(Техника!$F$1:$ABM$500,E$2,0),Техника!$F$4:$ABM$4,"Часы",INDEX(Техника!$G$1:$ABN$500,E$2,0),$A$1313,INDEX(Техника!$H$1:$ABO$500,E$2,0),"З")</f>
        <v>0</v>
      </c>
      <c r="F1318" s="50">
        <f>SUMIFS(INDEX(Техника!$F$1:$ABM$500,F$2,0),Техника!$F$4:$ABM$4,"Часы",INDEX(Техника!$G$1:$ABN$500,F$2,0),$A$1313,INDEX(Техника!$H$1:$ABO$500,F$2,0),"З")</f>
        <v>0</v>
      </c>
      <c r="G1318" s="50">
        <f>SUMIFS(INDEX(Техника!$F$1:$ABM$500,G$2,0),Техника!$F$4:$ABM$4,"Часы",INDEX(Техника!$G$1:$ABN$500,G$2,0),$A$1313,INDEX(Техника!$H$1:$ABO$500,G$2,0),"З")</f>
        <v>0</v>
      </c>
      <c r="H1318" s="50">
        <f>SUMIFS(INDEX(Техника!$F$1:$ABM$500,H$2,0),Техника!$F$4:$ABM$4,"Часы",INDEX(Техника!$G$1:$ABN$500,H$2,0),$A$1313,INDEX(Техника!$H$1:$ABO$500,H$2,0),"З")</f>
        <v>0</v>
      </c>
      <c r="I1318" s="50">
        <f>SUMIFS(INDEX(Техника!$F$1:$ABM$500,I$2,0),Техника!$F$4:$ABM$4,"Часы",INDEX(Техника!$G$1:$ABN$500,I$2,0),$A$1313,INDEX(Техника!$H$1:$ABO$500,I$2,0),"З")</f>
        <v>0</v>
      </c>
      <c r="J1318" s="50">
        <f>SUMIFS(INDEX(Техника!$F$1:$ABM$500,J$2,0),Техника!$F$4:$ABM$4,"Часы",INDEX(Техника!$G$1:$ABN$500,J$2,0),$A$1313,INDEX(Техника!$H$1:$ABO$500,J$2,0),"З")</f>
        <v>0</v>
      </c>
      <c r="K1318" s="50">
        <f>SUMIFS(INDEX(Техника!$F$1:$ABM$500,K$2,0),Техника!$F$4:$ABM$4,"Часы",INDEX(Техника!$G$1:$ABN$500,K$2,0),$A$1313,INDEX(Техника!$H$1:$ABO$500,K$2,0),"З")</f>
        <v>0</v>
      </c>
      <c r="L1318" s="50">
        <f>SUMIFS(INDEX(Техника!$F$1:$ABM$500,L$2,0),Техника!$F$4:$ABM$4,"Часы",INDEX(Техника!$G$1:$ABN$500,L$2,0),$A$1313,INDEX(Техника!$H$1:$ABO$500,L$2,0),"З")</f>
        <v>0</v>
      </c>
      <c r="M1318" s="50">
        <f>SUMIFS(INDEX(Техника!$F$1:$ABM$500,M$2,0),Техника!$F$4:$ABM$4,"Часы",INDEX(Техника!$G$1:$ABN$500,M$2,0),$A$1313,INDEX(Техника!$H$1:$ABO$500,M$2,0),"З")</f>
        <v>0</v>
      </c>
      <c r="N1318" s="50">
        <f>SUMIFS(INDEX(Техника!$F$1:$ABM$500,N$2,0),Техника!$F$4:$ABM$4,"Часы",INDEX(Техника!$G$1:$ABN$500,N$2,0),$A$1313,INDEX(Техника!$H$1:$ABO$500,N$2,0),"З")</f>
        <v>0</v>
      </c>
      <c r="O1318" s="50">
        <f>SUMIFS(INDEX(Техника!$F$1:$ABM$500,O$2,0),Техника!$F$4:$ABM$4,"Часы",INDEX(Техника!$G$1:$ABN$500,O$2,0),$A$1313,INDEX(Техника!$H$1:$ABO$500,O$2,0),"З")</f>
        <v>0</v>
      </c>
      <c r="P1318" s="50">
        <f>SUMIFS(INDEX(Техника!$F$1:$ABM$500,P$2,0),Техника!$F$4:$ABM$4,"Часы",INDEX(Техника!$G$1:$ABN$500,P$2,0),$A$1313,INDEX(Техника!$H$1:$ABO$500,P$2,0),"З")</f>
        <v>0</v>
      </c>
      <c r="Q1318" s="50">
        <f>SUMIFS(INDEX(Техника!$F$1:$ABM$500,Q$2,0),Техника!$F$4:$ABM$4,"Часы",INDEX(Техника!$G$1:$ABN$500,Q$2,0),$A$1313,INDEX(Техника!$H$1:$ABO$500,Q$2,0),"З")</f>
        <v>0</v>
      </c>
      <c r="R1318" s="50">
        <f>SUMIFS(INDEX(Техника!$F$1:$ABM$500,R$2,0),Техника!$F$4:$ABM$4,"Часы",INDEX(Техника!$G$1:$ABN$500,R$2,0),$A$1313,INDEX(Техника!$H$1:$ABO$500,R$2,0),"З")</f>
        <v>0</v>
      </c>
      <c r="S1318" s="50">
        <f>SUMIFS(INDEX(Техника!$F$1:$ABM$500,S$2,0),Техника!$F$4:$ABM$4,"Часы",INDEX(Техника!$G$1:$ABN$500,S$2,0),$A$1313,INDEX(Техника!$H$1:$ABO$500,S$2,0),"З")</f>
        <v>0</v>
      </c>
      <c r="T1318" s="50">
        <f>SUMIFS(INDEX(Техника!$F$1:$ABM$500,T$2,0),Техника!$F$4:$ABM$4,"Часы",INDEX(Техника!$G$1:$ABN$500,T$2,0),$A$1313,INDEX(Техника!$H$1:$ABO$500,T$2,0),"З")</f>
        <v>0</v>
      </c>
      <c r="U1318" s="50">
        <f>SUMIFS(INDEX(Техника!$F$1:$ABM$500,U$2,0),Техника!$F$4:$ABM$4,"Часы",INDEX(Техника!$G$1:$ABN$500,U$2,0),$A$1313,INDEX(Техника!$H$1:$ABO$500,U$2,0),"З")</f>
        <v>0</v>
      </c>
      <c r="V1318" s="50">
        <f>SUMIFS(INDEX(Техника!$F$1:$ABM$500,V$2,0),Техника!$F$4:$ABM$4,"Часы",INDEX(Техника!$G$1:$ABN$500,V$2,0),$A$1313,INDEX(Техника!$H$1:$ABO$500,V$2,0),"З")</f>
        <v>0</v>
      </c>
      <c r="W1318" s="50">
        <f>SUMIFS(INDEX(Техника!$F$1:$ABM$500,W$2,0),Техника!$F$4:$ABM$4,"Часы",INDEX(Техника!$G$1:$ABN$500,W$2,0),$A$1313,INDEX(Техника!$H$1:$ABO$500,W$2,0),"З")</f>
        <v>0</v>
      </c>
      <c r="X1318" s="50">
        <f>SUMIFS(INDEX(Техника!$F$1:$ABM$500,X$2,0),Техника!$F$4:$ABM$4,"Часы",INDEX(Техника!$G$1:$ABN$500,X$2,0),$A$1313,INDEX(Техника!$H$1:$ABO$500,X$2,0),"З")</f>
        <v>0</v>
      </c>
      <c r="Y1318" s="50">
        <f>SUMIFS(INDEX(Техника!$F$1:$ABM$500,Y$2,0),Техника!$F$4:$ABM$4,"Часы",INDEX(Техника!$G$1:$ABN$500,Y$2,0),$A$1313,INDEX(Техника!$H$1:$ABO$500,Y$2,0),"З")</f>
        <v>0</v>
      </c>
      <c r="Z1318" s="50">
        <f>SUMIFS(INDEX(Техника!$F$1:$ABM$500,Z$2,0),Техника!$F$4:$ABM$4,"Часы",INDEX(Техника!$G$1:$ABN$500,Z$2,0),$A$1313,INDEX(Техника!$H$1:$ABO$500,Z$2,0),"З")</f>
        <v>0</v>
      </c>
      <c r="AA1318" s="50">
        <f>SUMIFS(INDEX(Техника!$F$1:$ABM$500,AA$2,0),Техника!$F$4:$ABM$4,"Часы",INDEX(Техника!$G$1:$ABN$500,AA$2,0),$A$1313,INDEX(Техника!$H$1:$ABO$500,AA$2,0),"З")</f>
        <v>0</v>
      </c>
      <c r="AB1318" s="50">
        <f>SUMIFS(INDEX(Техника!$F$1:$ABM$500,AB$2,0),Техника!$F$4:$ABM$4,"Часы",INDEX(Техника!$G$1:$ABN$500,AB$2,0),$A$1313,INDEX(Техника!$H$1:$ABO$500,AB$2,0),"З")</f>
        <v>0</v>
      </c>
    </row>
    <row r="1319" spans="1:28" ht="7.95" customHeight="1" x14ac:dyDescent="0.3">
      <c r="A1319" s="38"/>
      <c r="B1319" s="39"/>
      <c r="C1319" s="51"/>
      <c r="D1319" s="51"/>
      <c r="E1319" s="51"/>
      <c r="F1319" s="51"/>
      <c r="G1319" s="51"/>
      <c r="H1319" s="51"/>
      <c r="I1319" s="51"/>
      <c r="J1319" s="51"/>
      <c r="K1319" s="51"/>
      <c r="L1319" s="51"/>
      <c r="M1319" s="51"/>
      <c r="N1319" s="51"/>
      <c r="O1319" s="51"/>
      <c r="P1319" s="51"/>
      <c r="Q1319" s="51"/>
      <c r="R1319" s="51"/>
      <c r="S1319" s="51"/>
      <c r="T1319" s="51"/>
      <c r="U1319" s="51"/>
      <c r="V1319" s="51"/>
      <c r="W1319" s="51"/>
      <c r="X1319" s="51"/>
      <c r="Y1319" s="51"/>
      <c r="Z1319" s="51"/>
      <c r="AA1319" s="51"/>
      <c r="AB1319" s="51"/>
    </row>
    <row r="1320" spans="1:28" ht="25.05" customHeight="1" collapsed="1" x14ac:dyDescent="0.3">
      <c r="A1320" s="32">
        <v>189</v>
      </c>
      <c r="B1320" s="32" t="s">
        <v>190</v>
      </c>
      <c r="C1320" s="49">
        <f>SUM(C1321:C1325)</f>
        <v>0</v>
      </c>
      <c r="D1320" s="49">
        <f>SUM(D1321:D1325)</f>
        <v>0</v>
      </c>
      <c r="E1320" s="49">
        <f>SUM(E1321:E1325)</f>
        <v>0</v>
      </c>
      <c r="F1320" s="49">
        <f>SUM(F1321:F1325)</f>
        <v>0</v>
      </c>
      <c r="G1320" s="49">
        <f>SUM(G1321:G1325)</f>
        <v>0</v>
      </c>
      <c r="H1320" s="49">
        <f>SUM(H1321:H1325)</f>
        <v>0</v>
      </c>
      <c r="I1320" s="49">
        <f>SUM(I1321:I1325)</f>
        <v>0</v>
      </c>
      <c r="J1320" s="49">
        <f>SUM(J1321:J1325)</f>
        <v>0</v>
      </c>
      <c r="K1320" s="49">
        <f>SUM(K1321:K1325)</f>
        <v>0</v>
      </c>
      <c r="L1320" s="49">
        <f>SUM(L1321:L1325)</f>
        <v>0</v>
      </c>
      <c r="M1320" s="49">
        <f>SUM(M1321:M1325)</f>
        <v>0</v>
      </c>
      <c r="N1320" s="49">
        <f>SUM(N1321:N1325)</f>
        <v>0</v>
      </c>
      <c r="O1320" s="49">
        <f>SUM(O1321:O1325)</f>
        <v>0</v>
      </c>
      <c r="P1320" s="49">
        <f>SUM(P1321:P1325)</f>
        <v>0</v>
      </c>
      <c r="Q1320" s="49">
        <f>SUM(Q1321:Q1325)</f>
        <v>0</v>
      </c>
      <c r="R1320" s="49">
        <f>SUM(R1321:R1325)</f>
        <v>0</v>
      </c>
      <c r="S1320" s="49">
        <f>SUM(S1321:S1325)</f>
        <v>0</v>
      </c>
      <c r="T1320" s="49">
        <f>SUM(T1321:T1325)</f>
        <v>0</v>
      </c>
      <c r="U1320" s="49">
        <f>SUM(U1321:U1325)</f>
        <v>0</v>
      </c>
      <c r="V1320" s="49">
        <f>SUM(V1321:V1325)</f>
        <v>0</v>
      </c>
      <c r="W1320" s="49">
        <f>SUM(W1321:W1325)</f>
        <v>0</v>
      </c>
      <c r="X1320" s="49">
        <f>SUM(X1321:X1325)</f>
        <v>0</v>
      </c>
      <c r="Y1320" s="49">
        <f>SUM(Y1321:Y1325)</f>
        <v>0</v>
      </c>
      <c r="Z1320" s="49">
        <f>SUM(Z1321:Z1325)</f>
        <v>0</v>
      </c>
      <c r="AA1320" s="49">
        <f>SUM(AA1321:AA1325)</f>
        <v>0</v>
      </c>
      <c r="AB1320" s="49">
        <f>SUM(AB1321:AB1325)</f>
        <v>0</v>
      </c>
    </row>
    <row r="1321" spans="1:28" hidden="1" outlineLevel="1" x14ac:dyDescent="0.3">
      <c r="A1321" s="33" t="s">
        <v>246</v>
      </c>
      <c r="B1321" s="34" t="s">
        <v>274</v>
      </c>
      <c r="C1321" s="50">
        <f>SUMIFS(INDEX(Техника!$F$1:$ABM$500,C$2,0),Техника!$F$4:$ABM$4,"Часы",INDEX(Техника!$G$1:$ABN$500,C$2,0),$A$1320,INDEX(Техника!$H$1:$ABO$500,C$2,0),"М")</f>
        <v>0</v>
      </c>
      <c r="D1321" s="50">
        <f>SUMIFS(INDEX(Техника!$F$1:$ABM$500,D$2,0),Техника!$F$4:$ABM$4,"Часы",INDEX(Техника!$G$1:$ABN$500,D$2,0),$A$1320,INDEX(Техника!$H$1:$ABO$500,D$2,0),"М")</f>
        <v>0</v>
      </c>
      <c r="E1321" s="50">
        <f>SUMIFS(INDEX(Техника!$F$1:$ABM$500,E$2,0),Техника!$F$4:$ABM$4,"Часы",INDEX(Техника!$G$1:$ABN$500,E$2,0),$A$1320,INDEX(Техника!$H$1:$ABO$500,E$2,0),"М")</f>
        <v>0</v>
      </c>
      <c r="F1321" s="50">
        <f>SUMIFS(INDEX(Техника!$F$1:$ABM$500,F$2,0),Техника!$F$4:$ABM$4,"Часы",INDEX(Техника!$G$1:$ABN$500,F$2,0),$A$1320,INDEX(Техника!$H$1:$ABO$500,F$2,0),"М")</f>
        <v>0</v>
      </c>
      <c r="G1321" s="50">
        <f>SUMIFS(INDEX(Техника!$F$1:$ABM$500,G$2,0),Техника!$F$4:$ABM$4,"Часы",INDEX(Техника!$G$1:$ABN$500,G$2,0),$A$1320,INDEX(Техника!$H$1:$ABO$500,G$2,0),"М")</f>
        <v>0</v>
      </c>
      <c r="H1321" s="50">
        <f>SUMIFS(INDEX(Техника!$F$1:$ABM$500,H$2,0),Техника!$F$4:$ABM$4,"Часы",INDEX(Техника!$G$1:$ABN$500,H$2,0),$A$1320,INDEX(Техника!$H$1:$ABO$500,H$2,0),"М")</f>
        <v>0</v>
      </c>
      <c r="I1321" s="50">
        <f>SUMIFS(INDEX(Техника!$F$1:$ABM$500,I$2,0),Техника!$F$4:$ABM$4,"Часы",INDEX(Техника!$G$1:$ABN$500,I$2,0),$A$1320,INDEX(Техника!$H$1:$ABO$500,I$2,0),"М")</f>
        <v>0</v>
      </c>
      <c r="J1321" s="50">
        <f>SUMIFS(INDEX(Техника!$F$1:$ABM$500,J$2,0),Техника!$F$4:$ABM$4,"Часы",INDEX(Техника!$G$1:$ABN$500,J$2,0),$A$1320,INDEX(Техника!$H$1:$ABO$500,J$2,0),"М")</f>
        <v>0</v>
      </c>
      <c r="K1321" s="50">
        <f>SUMIFS(INDEX(Техника!$F$1:$ABM$500,K$2,0),Техника!$F$4:$ABM$4,"Часы",INDEX(Техника!$G$1:$ABN$500,K$2,0),$A$1320,INDEX(Техника!$H$1:$ABO$500,K$2,0),"М")</f>
        <v>0</v>
      </c>
      <c r="L1321" s="50">
        <f>SUMIFS(INDEX(Техника!$F$1:$ABM$500,L$2,0),Техника!$F$4:$ABM$4,"Часы",INDEX(Техника!$G$1:$ABN$500,L$2,0),$A$1320,INDEX(Техника!$H$1:$ABO$500,L$2,0),"М")</f>
        <v>0</v>
      </c>
      <c r="M1321" s="50">
        <f>SUMIFS(INDEX(Техника!$F$1:$ABM$500,M$2,0),Техника!$F$4:$ABM$4,"Часы",INDEX(Техника!$G$1:$ABN$500,M$2,0),$A$1320,INDEX(Техника!$H$1:$ABO$500,M$2,0),"М")</f>
        <v>0</v>
      </c>
      <c r="N1321" s="50">
        <f>SUMIFS(INDEX(Техника!$F$1:$ABM$500,N$2,0),Техника!$F$4:$ABM$4,"Часы",INDEX(Техника!$G$1:$ABN$500,N$2,0),$A$1320,INDEX(Техника!$H$1:$ABO$500,N$2,0),"М")</f>
        <v>0</v>
      </c>
      <c r="O1321" s="50">
        <f>SUMIFS(INDEX(Техника!$F$1:$ABM$500,O$2,0),Техника!$F$4:$ABM$4,"Часы",INDEX(Техника!$G$1:$ABN$500,O$2,0),$A$1320,INDEX(Техника!$H$1:$ABO$500,O$2,0),"М")</f>
        <v>0</v>
      </c>
      <c r="P1321" s="50">
        <f>SUMIFS(INDEX(Техника!$F$1:$ABM$500,P$2,0),Техника!$F$4:$ABM$4,"Часы",INDEX(Техника!$G$1:$ABN$500,P$2,0),$A$1320,INDEX(Техника!$H$1:$ABO$500,P$2,0),"М")</f>
        <v>0</v>
      </c>
      <c r="Q1321" s="50">
        <f>SUMIFS(INDEX(Техника!$F$1:$ABM$500,Q$2,0),Техника!$F$4:$ABM$4,"Часы",INDEX(Техника!$G$1:$ABN$500,Q$2,0),$A$1320,INDEX(Техника!$H$1:$ABO$500,Q$2,0),"М")</f>
        <v>0</v>
      </c>
      <c r="R1321" s="50">
        <f>SUMIFS(INDEX(Техника!$F$1:$ABM$500,R$2,0),Техника!$F$4:$ABM$4,"Часы",INDEX(Техника!$G$1:$ABN$500,R$2,0),$A$1320,INDEX(Техника!$H$1:$ABO$500,R$2,0),"М")</f>
        <v>0</v>
      </c>
      <c r="S1321" s="50">
        <f>SUMIFS(INDEX(Техника!$F$1:$ABM$500,S$2,0),Техника!$F$4:$ABM$4,"Часы",INDEX(Техника!$G$1:$ABN$500,S$2,0),$A$1320,INDEX(Техника!$H$1:$ABO$500,S$2,0),"М")</f>
        <v>0</v>
      </c>
      <c r="T1321" s="50">
        <f>SUMIFS(INDEX(Техника!$F$1:$ABM$500,T$2,0),Техника!$F$4:$ABM$4,"Часы",INDEX(Техника!$G$1:$ABN$500,T$2,0),$A$1320,INDEX(Техника!$H$1:$ABO$500,T$2,0),"М")</f>
        <v>0</v>
      </c>
      <c r="U1321" s="50">
        <f>SUMIFS(INDEX(Техника!$F$1:$ABM$500,U$2,0),Техника!$F$4:$ABM$4,"Часы",INDEX(Техника!$G$1:$ABN$500,U$2,0),$A$1320,INDEX(Техника!$H$1:$ABO$500,U$2,0),"М")</f>
        <v>0</v>
      </c>
      <c r="V1321" s="50">
        <f>SUMIFS(INDEX(Техника!$F$1:$ABM$500,V$2,0),Техника!$F$4:$ABM$4,"Часы",INDEX(Техника!$G$1:$ABN$500,V$2,0),$A$1320,INDEX(Техника!$H$1:$ABO$500,V$2,0),"М")</f>
        <v>0</v>
      </c>
      <c r="W1321" s="50">
        <f>SUMIFS(INDEX(Техника!$F$1:$ABM$500,W$2,0),Техника!$F$4:$ABM$4,"Часы",INDEX(Техника!$G$1:$ABN$500,W$2,0),$A$1320,INDEX(Техника!$H$1:$ABO$500,W$2,0),"М")</f>
        <v>0</v>
      </c>
      <c r="X1321" s="50">
        <f>SUMIFS(INDEX(Техника!$F$1:$ABM$500,X$2,0),Техника!$F$4:$ABM$4,"Часы",INDEX(Техника!$G$1:$ABN$500,X$2,0),$A$1320,INDEX(Техника!$H$1:$ABO$500,X$2,0),"М")</f>
        <v>0</v>
      </c>
      <c r="Y1321" s="50">
        <f>SUMIFS(INDEX(Техника!$F$1:$ABM$500,Y$2,0),Техника!$F$4:$ABM$4,"Часы",INDEX(Техника!$G$1:$ABN$500,Y$2,0),$A$1320,INDEX(Техника!$H$1:$ABO$500,Y$2,0),"М")</f>
        <v>0</v>
      </c>
      <c r="Z1321" s="50">
        <f>SUMIFS(INDEX(Техника!$F$1:$ABM$500,Z$2,0),Техника!$F$4:$ABM$4,"Часы",INDEX(Техника!$G$1:$ABN$500,Z$2,0),$A$1320,INDEX(Техника!$H$1:$ABO$500,Z$2,0),"М")</f>
        <v>0</v>
      </c>
      <c r="AA1321" s="50">
        <f>SUMIFS(INDEX(Техника!$F$1:$ABM$500,AA$2,0),Техника!$F$4:$ABM$4,"Часы",INDEX(Техника!$G$1:$ABN$500,AA$2,0),$A$1320,INDEX(Техника!$H$1:$ABO$500,AA$2,0),"М")</f>
        <v>0</v>
      </c>
      <c r="AB1321" s="50">
        <f>SUMIFS(INDEX(Техника!$F$1:$ABM$500,AB$2,0),Техника!$F$4:$ABM$4,"Часы",INDEX(Техника!$G$1:$ABN$500,AB$2,0),$A$1320,INDEX(Техника!$H$1:$ABO$500,AB$2,0),"М")</f>
        <v>0</v>
      </c>
    </row>
    <row r="1322" spans="1:28" hidden="1" outlineLevel="1" x14ac:dyDescent="0.3">
      <c r="A1322" s="33" t="s">
        <v>244</v>
      </c>
      <c r="B1322" s="34" t="s">
        <v>275</v>
      </c>
      <c r="C1322" s="50">
        <f>SUMIFS(INDEX(Техника!$F$1:$ABM$500,C$2,0),Техника!$F$4:$ABM$4,"Часы",INDEX(Техника!$G$1:$ABN$500,C$2,0),$A$1320,INDEX(Техника!$H$1:$ABO$500,C$2,0),"Д")</f>
        <v>0</v>
      </c>
      <c r="D1322" s="50">
        <f>SUMIFS(INDEX(Техника!$F$1:$ABM$500,D$2,0),Техника!$F$4:$ABM$4,"Часы",INDEX(Техника!$G$1:$ABN$500,D$2,0),$A$1320,INDEX(Техника!$H$1:$ABO$500,D$2,0),"Д")</f>
        <v>0</v>
      </c>
      <c r="E1322" s="50">
        <f>SUMIFS(INDEX(Техника!$F$1:$ABM$500,E$2,0),Техника!$F$4:$ABM$4,"Часы",INDEX(Техника!$G$1:$ABN$500,E$2,0),$A$1320,INDEX(Техника!$H$1:$ABO$500,E$2,0),"Д")</f>
        <v>0</v>
      </c>
      <c r="F1322" s="50">
        <f>SUMIFS(INDEX(Техника!$F$1:$ABM$500,F$2,0),Техника!$F$4:$ABM$4,"Часы",INDEX(Техника!$G$1:$ABN$500,F$2,0),$A$1320,INDEX(Техника!$H$1:$ABO$500,F$2,0),"Д")</f>
        <v>0</v>
      </c>
      <c r="G1322" s="50">
        <f>SUMIFS(INDEX(Техника!$F$1:$ABM$500,G$2,0),Техника!$F$4:$ABM$4,"Часы",INDEX(Техника!$G$1:$ABN$500,G$2,0),$A$1320,INDEX(Техника!$H$1:$ABO$500,G$2,0),"Д")</f>
        <v>0</v>
      </c>
      <c r="H1322" s="50">
        <f>SUMIFS(INDEX(Техника!$F$1:$ABM$500,H$2,0),Техника!$F$4:$ABM$4,"Часы",INDEX(Техника!$G$1:$ABN$500,H$2,0),$A$1320,INDEX(Техника!$H$1:$ABO$500,H$2,0),"Д")</f>
        <v>0</v>
      </c>
      <c r="I1322" s="50">
        <f>SUMIFS(INDEX(Техника!$F$1:$ABM$500,I$2,0),Техника!$F$4:$ABM$4,"Часы",INDEX(Техника!$G$1:$ABN$500,I$2,0),$A$1320,INDEX(Техника!$H$1:$ABO$500,I$2,0),"Д")</f>
        <v>0</v>
      </c>
      <c r="J1322" s="50">
        <f>SUMIFS(INDEX(Техника!$F$1:$ABM$500,J$2,0),Техника!$F$4:$ABM$4,"Часы",INDEX(Техника!$G$1:$ABN$500,J$2,0),$A$1320,INDEX(Техника!$H$1:$ABO$500,J$2,0),"Д")</f>
        <v>0</v>
      </c>
      <c r="K1322" s="50">
        <f>SUMIFS(INDEX(Техника!$F$1:$ABM$500,K$2,0),Техника!$F$4:$ABM$4,"Часы",INDEX(Техника!$G$1:$ABN$500,K$2,0),$A$1320,INDEX(Техника!$H$1:$ABO$500,K$2,0),"Д")</f>
        <v>0</v>
      </c>
      <c r="L1322" s="50">
        <f>SUMIFS(INDEX(Техника!$F$1:$ABM$500,L$2,0),Техника!$F$4:$ABM$4,"Часы",INDEX(Техника!$G$1:$ABN$500,L$2,0),$A$1320,INDEX(Техника!$H$1:$ABO$500,L$2,0),"Д")</f>
        <v>0</v>
      </c>
      <c r="M1322" s="50">
        <f>SUMIFS(INDEX(Техника!$F$1:$ABM$500,M$2,0),Техника!$F$4:$ABM$4,"Часы",INDEX(Техника!$G$1:$ABN$500,M$2,0),$A$1320,INDEX(Техника!$H$1:$ABO$500,M$2,0),"Д")</f>
        <v>0</v>
      </c>
      <c r="N1322" s="50">
        <f>SUMIFS(INDEX(Техника!$F$1:$ABM$500,N$2,0),Техника!$F$4:$ABM$4,"Часы",INDEX(Техника!$G$1:$ABN$500,N$2,0),$A$1320,INDEX(Техника!$H$1:$ABO$500,N$2,0),"Д")</f>
        <v>0</v>
      </c>
      <c r="O1322" s="50">
        <f>SUMIFS(INDEX(Техника!$F$1:$ABM$500,O$2,0),Техника!$F$4:$ABM$4,"Часы",INDEX(Техника!$G$1:$ABN$500,O$2,0),$A$1320,INDEX(Техника!$H$1:$ABO$500,O$2,0),"Д")</f>
        <v>0</v>
      </c>
      <c r="P1322" s="50">
        <f>SUMIFS(INDEX(Техника!$F$1:$ABM$500,P$2,0),Техника!$F$4:$ABM$4,"Часы",INDEX(Техника!$G$1:$ABN$500,P$2,0),$A$1320,INDEX(Техника!$H$1:$ABO$500,P$2,0),"Д")</f>
        <v>0</v>
      </c>
      <c r="Q1322" s="50">
        <f>SUMIFS(INDEX(Техника!$F$1:$ABM$500,Q$2,0),Техника!$F$4:$ABM$4,"Часы",INDEX(Техника!$G$1:$ABN$500,Q$2,0),$A$1320,INDEX(Техника!$H$1:$ABO$500,Q$2,0),"Д")</f>
        <v>0</v>
      </c>
      <c r="R1322" s="50">
        <f>SUMIFS(INDEX(Техника!$F$1:$ABM$500,R$2,0),Техника!$F$4:$ABM$4,"Часы",INDEX(Техника!$G$1:$ABN$500,R$2,0),$A$1320,INDEX(Техника!$H$1:$ABO$500,R$2,0),"Д")</f>
        <v>0</v>
      </c>
      <c r="S1322" s="50">
        <f>SUMIFS(INDEX(Техника!$F$1:$ABM$500,S$2,0),Техника!$F$4:$ABM$4,"Часы",INDEX(Техника!$G$1:$ABN$500,S$2,0),$A$1320,INDEX(Техника!$H$1:$ABO$500,S$2,0),"Д")</f>
        <v>0</v>
      </c>
      <c r="T1322" s="50">
        <f>SUMIFS(INDEX(Техника!$F$1:$ABM$500,T$2,0),Техника!$F$4:$ABM$4,"Часы",INDEX(Техника!$G$1:$ABN$500,T$2,0),$A$1320,INDEX(Техника!$H$1:$ABO$500,T$2,0),"Д")</f>
        <v>0</v>
      </c>
      <c r="U1322" s="50">
        <f>SUMIFS(INDEX(Техника!$F$1:$ABM$500,U$2,0),Техника!$F$4:$ABM$4,"Часы",INDEX(Техника!$G$1:$ABN$500,U$2,0),$A$1320,INDEX(Техника!$H$1:$ABO$500,U$2,0),"Д")</f>
        <v>0</v>
      </c>
      <c r="V1322" s="50">
        <f>SUMIFS(INDEX(Техника!$F$1:$ABM$500,V$2,0),Техника!$F$4:$ABM$4,"Часы",INDEX(Техника!$G$1:$ABN$500,V$2,0),$A$1320,INDEX(Техника!$H$1:$ABO$500,V$2,0),"Д")</f>
        <v>0</v>
      </c>
      <c r="W1322" s="50">
        <f>SUMIFS(INDEX(Техника!$F$1:$ABM$500,W$2,0),Техника!$F$4:$ABM$4,"Часы",INDEX(Техника!$G$1:$ABN$500,W$2,0),$A$1320,INDEX(Техника!$H$1:$ABO$500,W$2,0),"Д")</f>
        <v>0</v>
      </c>
      <c r="X1322" s="50">
        <f>SUMIFS(INDEX(Техника!$F$1:$ABM$500,X$2,0),Техника!$F$4:$ABM$4,"Часы",INDEX(Техника!$G$1:$ABN$500,X$2,0),$A$1320,INDEX(Техника!$H$1:$ABO$500,X$2,0),"Д")</f>
        <v>0</v>
      </c>
      <c r="Y1322" s="50">
        <f>SUMIFS(INDEX(Техника!$F$1:$ABM$500,Y$2,0),Техника!$F$4:$ABM$4,"Часы",INDEX(Техника!$G$1:$ABN$500,Y$2,0),$A$1320,INDEX(Техника!$H$1:$ABO$500,Y$2,0),"Д")</f>
        <v>0</v>
      </c>
      <c r="Z1322" s="50">
        <f>SUMIFS(INDEX(Техника!$F$1:$ABM$500,Z$2,0),Техника!$F$4:$ABM$4,"Часы",INDEX(Техника!$G$1:$ABN$500,Z$2,0),$A$1320,INDEX(Техника!$H$1:$ABO$500,Z$2,0),"Д")</f>
        <v>0</v>
      </c>
      <c r="AA1322" s="50">
        <f>SUMIFS(INDEX(Техника!$F$1:$ABM$500,AA$2,0),Техника!$F$4:$ABM$4,"Часы",INDEX(Техника!$G$1:$ABN$500,AA$2,0),$A$1320,INDEX(Техника!$H$1:$ABO$500,AA$2,0),"Д")</f>
        <v>0</v>
      </c>
      <c r="AB1322" s="50">
        <f>SUMIFS(INDEX(Техника!$F$1:$ABM$500,AB$2,0),Техника!$F$4:$ABM$4,"Часы",INDEX(Техника!$G$1:$ABN$500,AB$2,0),$A$1320,INDEX(Техника!$H$1:$ABO$500,AB$2,0),"Д")</f>
        <v>0</v>
      </c>
    </row>
    <row r="1323" spans="1:28" hidden="1" outlineLevel="1" x14ac:dyDescent="0.3">
      <c r="A1323" s="33" t="s">
        <v>276</v>
      </c>
      <c r="B1323" s="34" t="s">
        <v>277</v>
      </c>
      <c r="C1323" s="50">
        <f>SUMIFS(INDEX(Техника!$F$1:$ABM$500,C$2,0),Техника!$F$4:$ABM$4,"Часы",INDEX(Техника!$G$1:$ABN$500,C$2,0),$A$1320,INDEX(Техника!$H$1:$ABO$500,C$2,0),"П")</f>
        <v>0</v>
      </c>
      <c r="D1323" s="50">
        <f>SUMIFS(INDEX(Техника!$F$1:$ABM$500,D$2,0),Техника!$F$4:$ABM$4,"Часы",INDEX(Техника!$G$1:$ABN$500,D$2,0),$A$1320,INDEX(Техника!$H$1:$ABO$500,D$2,0),"П")</f>
        <v>0</v>
      </c>
      <c r="E1323" s="50">
        <f>SUMIFS(INDEX(Техника!$F$1:$ABM$500,E$2,0),Техника!$F$4:$ABM$4,"Часы",INDEX(Техника!$G$1:$ABN$500,E$2,0),$A$1320,INDEX(Техника!$H$1:$ABO$500,E$2,0),"П")</f>
        <v>0</v>
      </c>
      <c r="F1323" s="50">
        <f>SUMIFS(INDEX(Техника!$F$1:$ABM$500,F$2,0),Техника!$F$4:$ABM$4,"Часы",INDEX(Техника!$G$1:$ABN$500,F$2,0),$A$1320,INDEX(Техника!$H$1:$ABO$500,F$2,0),"П")</f>
        <v>0</v>
      </c>
      <c r="G1323" s="50">
        <f>SUMIFS(INDEX(Техника!$F$1:$ABM$500,G$2,0),Техника!$F$4:$ABM$4,"Часы",INDEX(Техника!$G$1:$ABN$500,G$2,0),$A$1320,INDEX(Техника!$H$1:$ABO$500,G$2,0),"П")</f>
        <v>0</v>
      </c>
      <c r="H1323" s="50">
        <f>SUMIFS(INDEX(Техника!$F$1:$ABM$500,H$2,0),Техника!$F$4:$ABM$4,"Часы",INDEX(Техника!$G$1:$ABN$500,H$2,0),$A$1320,INDEX(Техника!$H$1:$ABO$500,H$2,0),"П")</f>
        <v>0</v>
      </c>
      <c r="I1323" s="50">
        <f>SUMIFS(INDEX(Техника!$F$1:$ABM$500,I$2,0),Техника!$F$4:$ABM$4,"Часы",INDEX(Техника!$G$1:$ABN$500,I$2,0),$A$1320,INDEX(Техника!$H$1:$ABO$500,I$2,0),"П")</f>
        <v>0</v>
      </c>
      <c r="J1323" s="50">
        <f>SUMIFS(INDEX(Техника!$F$1:$ABM$500,J$2,0),Техника!$F$4:$ABM$4,"Часы",INDEX(Техника!$G$1:$ABN$500,J$2,0),$A$1320,INDEX(Техника!$H$1:$ABO$500,J$2,0),"П")</f>
        <v>0</v>
      </c>
      <c r="K1323" s="50">
        <f>SUMIFS(INDEX(Техника!$F$1:$ABM$500,K$2,0),Техника!$F$4:$ABM$4,"Часы",INDEX(Техника!$G$1:$ABN$500,K$2,0),$A$1320,INDEX(Техника!$H$1:$ABO$500,K$2,0),"П")</f>
        <v>0</v>
      </c>
      <c r="L1323" s="50">
        <f>SUMIFS(INDEX(Техника!$F$1:$ABM$500,L$2,0),Техника!$F$4:$ABM$4,"Часы",INDEX(Техника!$G$1:$ABN$500,L$2,0),$A$1320,INDEX(Техника!$H$1:$ABO$500,L$2,0),"П")</f>
        <v>0</v>
      </c>
      <c r="M1323" s="50">
        <f>SUMIFS(INDEX(Техника!$F$1:$ABM$500,M$2,0),Техника!$F$4:$ABM$4,"Часы",INDEX(Техника!$G$1:$ABN$500,M$2,0),$A$1320,INDEX(Техника!$H$1:$ABO$500,M$2,0),"П")</f>
        <v>0</v>
      </c>
      <c r="N1323" s="50">
        <f>SUMIFS(INDEX(Техника!$F$1:$ABM$500,N$2,0),Техника!$F$4:$ABM$4,"Часы",INDEX(Техника!$G$1:$ABN$500,N$2,0),$A$1320,INDEX(Техника!$H$1:$ABO$500,N$2,0),"П")</f>
        <v>0</v>
      </c>
      <c r="O1323" s="50">
        <f>SUMIFS(INDEX(Техника!$F$1:$ABM$500,O$2,0),Техника!$F$4:$ABM$4,"Часы",INDEX(Техника!$G$1:$ABN$500,O$2,0),$A$1320,INDEX(Техника!$H$1:$ABO$500,O$2,0),"П")</f>
        <v>0</v>
      </c>
      <c r="P1323" s="50">
        <f>SUMIFS(INDEX(Техника!$F$1:$ABM$500,P$2,0),Техника!$F$4:$ABM$4,"Часы",INDEX(Техника!$G$1:$ABN$500,P$2,0),$A$1320,INDEX(Техника!$H$1:$ABO$500,P$2,0),"П")</f>
        <v>0</v>
      </c>
      <c r="Q1323" s="50">
        <f>SUMIFS(INDEX(Техника!$F$1:$ABM$500,Q$2,0),Техника!$F$4:$ABM$4,"Часы",INDEX(Техника!$G$1:$ABN$500,Q$2,0),$A$1320,INDEX(Техника!$H$1:$ABO$500,Q$2,0),"П")</f>
        <v>0</v>
      </c>
      <c r="R1323" s="50">
        <f>SUMIFS(INDEX(Техника!$F$1:$ABM$500,R$2,0),Техника!$F$4:$ABM$4,"Часы",INDEX(Техника!$G$1:$ABN$500,R$2,0),$A$1320,INDEX(Техника!$H$1:$ABO$500,R$2,0),"П")</f>
        <v>0</v>
      </c>
      <c r="S1323" s="50">
        <f>SUMIFS(INDEX(Техника!$F$1:$ABM$500,S$2,0),Техника!$F$4:$ABM$4,"Часы",INDEX(Техника!$G$1:$ABN$500,S$2,0),$A$1320,INDEX(Техника!$H$1:$ABO$500,S$2,0),"П")</f>
        <v>0</v>
      </c>
      <c r="T1323" s="50">
        <f>SUMIFS(INDEX(Техника!$F$1:$ABM$500,T$2,0),Техника!$F$4:$ABM$4,"Часы",INDEX(Техника!$G$1:$ABN$500,T$2,0),$A$1320,INDEX(Техника!$H$1:$ABO$500,T$2,0),"П")</f>
        <v>0</v>
      </c>
      <c r="U1323" s="50">
        <f>SUMIFS(INDEX(Техника!$F$1:$ABM$500,U$2,0),Техника!$F$4:$ABM$4,"Часы",INDEX(Техника!$G$1:$ABN$500,U$2,0),$A$1320,INDEX(Техника!$H$1:$ABO$500,U$2,0),"П")</f>
        <v>0</v>
      </c>
      <c r="V1323" s="50">
        <f>SUMIFS(INDEX(Техника!$F$1:$ABM$500,V$2,0),Техника!$F$4:$ABM$4,"Часы",INDEX(Техника!$G$1:$ABN$500,V$2,0),$A$1320,INDEX(Техника!$H$1:$ABO$500,V$2,0),"П")</f>
        <v>0</v>
      </c>
      <c r="W1323" s="50">
        <f>SUMIFS(INDEX(Техника!$F$1:$ABM$500,W$2,0),Техника!$F$4:$ABM$4,"Часы",INDEX(Техника!$G$1:$ABN$500,W$2,0),$A$1320,INDEX(Техника!$H$1:$ABO$500,W$2,0),"П")</f>
        <v>0</v>
      </c>
      <c r="X1323" s="50">
        <f>SUMIFS(INDEX(Техника!$F$1:$ABM$500,X$2,0),Техника!$F$4:$ABM$4,"Часы",INDEX(Техника!$G$1:$ABN$500,X$2,0),$A$1320,INDEX(Техника!$H$1:$ABO$500,X$2,0),"П")</f>
        <v>0</v>
      </c>
      <c r="Y1323" s="50">
        <f>SUMIFS(INDEX(Техника!$F$1:$ABM$500,Y$2,0),Техника!$F$4:$ABM$4,"Часы",INDEX(Техника!$G$1:$ABN$500,Y$2,0),$A$1320,INDEX(Техника!$H$1:$ABO$500,Y$2,0),"П")</f>
        <v>0</v>
      </c>
      <c r="Z1323" s="50">
        <f>SUMIFS(INDEX(Техника!$F$1:$ABM$500,Z$2,0),Техника!$F$4:$ABM$4,"Часы",INDEX(Техника!$G$1:$ABN$500,Z$2,0),$A$1320,INDEX(Техника!$H$1:$ABO$500,Z$2,0),"П")</f>
        <v>0</v>
      </c>
      <c r="AA1323" s="50">
        <f>SUMIFS(INDEX(Техника!$F$1:$ABM$500,AA$2,0),Техника!$F$4:$ABM$4,"Часы",INDEX(Техника!$G$1:$ABN$500,AA$2,0),$A$1320,INDEX(Техника!$H$1:$ABO$500,AA$2,0),"П")</f>
        <v>0</v>
      </c>
      <c r="AB1323" s="50">
        <f>SUMIFS(INDEX(Техника!$F$1:$ABM$500,AB$2,0),Техника!$F$4:$ABM$4,"Часы",INDEX(Техника!$G$1:$ABN$500,AB$2,0),$A$1320,INDEX(Техника!$H$1:$ABO$500,AB$2,0),"П")</f>
        <v>0</v>
      </c>
    </row>
    <row r="1324" spans="1:28" hidden="1" outlineLevel="1" x14ac:dyDescent="0.3">
      <c r="A1324" s="33" t="s">
        <v>243</v>
      </c>
      <c r="B1324" s="34" t="s">
        <v>278</v>
      </c>
      <c r="C1324" s="50">
        <f>SUMIFS(INDEX(Техника!$F$1:$ABM$500,C$2,0),Техника!$F$4:$ABM$4,"Часы",INDEX(Техника!$G$1:$ABN$500,C$2,0),$A$1320,INDEX(Техника!$H$1:$ABO$500,C$2,0),"Л")</f>
        <v>0</v>
      </c>
      <c r="D1324" s="50">
        <f>SUMIFS(INDEX(Техника!$F$1:$ABM$500,D$2,0),Техника!$F$4:$ABM$4,"Часы",INDEX(Техника!$G$1:$ABN$500,D$2,0),$A$1320,INDEX(Техника!$H$1:$ABO$500,D$2,0),"Л")</f>
        <v>0</v>
      </c>
      <c r="E1324" s="50">
        <f>SUMIFS(INDEX(Техника!$F$1:$ABM$500,E$2,0),Техника!$F$4:$ABM$4,"Часы",INDEX(Техника!$G$1:$ABN$500,E$2,0),$A$1320,INDEX(Техника!$H$1:$ABO$500,E$2,0),"Л")</f>
        <v>0</v>
      </c>
      <c r="F1324" s="50">
        <f>SUMIFS(INDEX(Техника!$F$1:$ABM$500,F$2,0),Техника!$F$4:$ABM$4,"Часы",INDEX(Техника!$G$1:$ABN$500,F$2,0),$A$1320,INDEX(Техника!$H$1:$ABO$500,F$2,0),"Л")</f>
        <v>0</v>
      </c>
      <c r="G1324" s="50">
        <f>SUMIFS(INDEX(Техника!$F$1:$ABM$500,G$2,0),Техника!$F$4:$ABM$4,"Часы",INDEX(Техника!$G$1:$ABN$500,G$2,0),$A$1320,INDEX(Техника!$H$1:$ABO$500,G$2,0),"Л")</f>
        <v>0</v>
      </c>
      <c r="H1324" s="50">
        <f>SUMIFS(INDEX(Техника!$F$1:$ABM$500,H$2,0),Техника!$F$4:$ABM$4,"Часы",INDEX(Техника!$G$1:$ABN$500,H$2,0),$A$1320,INDEX(Техника!$H$1:$ABO$500,H$2,0),"Л")</f>
        <v>0</v>
      </c>
      <c r="I1324" s="50">
        <f>SUMIFS(INDEX(Техника!$F$1:$ABM$500,I$2,0),Техника!$F$4:$ABM$4,"Часы",INDEX(Техника!$G$1:$ABN$500,I$2,0),$A$1320,INDEX(Техника!$H$1:$ABO$500,I$2,0),"Л")</f>
        <v>0</v>
      </c>
      <c r="J1324" s="50">
        <f>SUMIFS(INDEX(Техника!$F$1:$ABM$500,J$2,0),Техника!$F$4:$ABM$4,"Часы",INDEX(Техника!$G$1:$ABN$500,J$2,0),$A$1320,INDEX(Техника!$H$1:$ABO$500,J$2,0),"Л")</f>
        <v>0</v>
      </c>
      <c r="K1324" s="50">
        <f>SUMIFS(INDEX(Техника!$F$1:$ABM$500,K$2,0),Техника!$F$4:$ABM$4,"Часы",INDEX(Техника!$G$1:$ABN$500,K$2,0),$A$1320,INDEX(Техника!$H$1:$ABO$500,K$2,0),"Л")</f>
        <v>0</v>
      </c>
      <c r="L1324" s="50">
        <f>SUMIFS(INDEX(Техника!$F$1:$ABM$500,L$2,0),Техника!$F$4:$ABM$4,"Часы",INDEX(Техника!$G$1:$ABN$500,L$2,0),$A$1320,INDEX(Техника!$H$1:$ABO$500,L$2,0),"Л")</f>
        <v>0</v>
      </c>
      <c r="M1324" s="50">
        <f>SUMIFS(INDEX(Техника!$F$1:$ABM$500,M$2,0),Техника!$F$4:$ABM$4,"Часы",INDEX(Техника!$G$1:$ABN$500,M$2,0),$A$1320,INDEX(Техника!$H$1:$ABO$500,M$2,0),"Л")</f>
        <v>0</v>
      </c>
      <c r="N1324" s="50">
        <f>SUMIFS(INDEX(Техника!$F$1:$ABM$500,N$2,0),Техника!$F$4:$ABM$4,"Часы",INDEX(Техника!$G$1:$ABN$500,N$2,0),$A$1320,INDEX(Техника!$H$1:$ABO$500,N$2,0),"Л")</f>
        <v>0</v>
      </c>
      <c r="O1324" s="50">
        <f>SUMIFS(INDEX(Техника!$F$1:$ABM$500,O$2,0),Техника!$F$4:$ABM$4,"Часы",INDEX(Техника!$G$1:$ABN$500,O$2,0),$A$1320,INDEX(Техника!$H$1:$ABO$500,O$2,0),"Л")</f>
        <v>0</v>
      </c>
      <c r="P1324" s="50">
        <f>SUMIFS(INDEX(Техника!$F$1:$ABM$500,P$2,0),Техника!$F$4:$ABM$4,"Часы",INDEX(Техника!$G$1:$ABN$500,P$2,0),$A$1320,INDEX(Техника!$H$1:$ABO$500,P$2,0),"Л")</f>
        <v>0</v>
      </c>
      <c r="Q1324" s="50">
        <f>SUMIFS(INDEX(Техника!$F$1:$ABM$500,Q$2,0),Техника!$F$4:$ABM$4,"Часы",INDEX(Техника!$G$1:$ABN$500,Q$2,0),$A$1320,INDEX(Техника!$H$1:$ABO$500,Q$2,0),"Л")</f>
        <v>0</v>
      </c>
      <c r="R1324" s="50">
        <f>SUMIFS(INDEX(Техника!$F$1:$ABM$500,R$2,0),Техника!$F$4:$ABM$4,"Часы",INDEX(Техника!$G$1:$ABN$500,R$2,0),$A$1320,INDEX(Техника!$H$1:$ABO$500,R$2,0),"Л")</f>
        <v>0</v>
      </c>
      <c r="S1324" s="50">
        <f>SUMIFS(INDEX(Техника!$F$1:$ABM$500,S$2,0),Техника!$F$4:$ABM$4,"Часы",INDEX(Техника!$G$1:$ABN$500,S$2,0),$A$1320,INDEX(Техника!$H$1:$ABO$500,S$2,0),"Л")</f>
        <v>0</v>
      </c>
      <c r="T1324" s="50">
        <f>SUMIFS(INDEX(Техника!$F$1:$ABM$500,T$2,0),Техника!$F$4:$ABM$4,"Часы",INDEX(Техника!$G$1:$ABN$500,T$2,0),$A$1320,INDEX(Техника!$H$1:$ABO$500,T$2,0),"Л")</f>
        <v>0</v>
      </c>
      <c r="U1324" s="50">
        <f>SUMIFS(INDEX(Техника!$F$1:$ABM$500,U$2,0),Техника!$F$4:$ABM$4,"Часы",INDEX(Техника!$G$1:$ABN$500,U$2,0),$A$1320,INDEX(Техника!$H$1:$ABO$500,U$2,0),"Л")</f>
        <v>0</v>
      </c>
      <c r="V1324" s="50">
        <f>SUMIFS(INDEX(Техника!$F$1:$ABM$500,V$2,0),Техника!$F$4:$ABM$4,"Часы",INDEX(Техника!$G$1:$ABN$500,V$2,0),$A$1320,INDEX(Техника!$H$1:$ABO$500,V$2,0),"Л")</f>
        <v>0</v>
      </c>
      <c r="W1324" s="50">
        <f>SUMIFS(INDEX(Техника!$F$1:$ABM$500,W$2,0),Техника!$F$4:$ABM$4,"Часы",INDEX(Техника!$G$1:$ABN$500,W$2,0),$A$1320,INDEX(Техника!$H$1:$ABO$500,W$2,0),"Л")</f>
        <v>0</v>
      </c>
      <c r="X1324" s="50">
        <f>SUMIFS(INDEX(Техника!$F$1:$ABM$500,X$2,0),Техника!$F$4:$ABM$4,"Часы",INDEX(Техника!$G$1:$ABN$500,X$2,0),$A$1320,INDEX(Техника!$H$1:$ABO$500,X$2,0),"Л")</f>
        <v>0</v>
      </c>
      <c r="Y1324" s="50">
        <f>SUMIFS(INDEX(Техника!$F$1:$ABM$500,Y$2,0),Техника!$F$4:$ABM$4,"Часы",INDEX(Техника!$G$1:$ABN$500,Y$2,0),$A$1320,INDEX(Техника!$H$1:$ABO$500,Y$2,0),"Л")</f>
        <v>0</v>
      </c>
      <c r="Z1324" s="50">
        <f>SUMIFS(INDEX(Техника!$F$1:$ABM$500,Z$2,0),Техника!$F$4:$ABM$4,"Часы",INDEX(Техника!$G$1:$ABN$500,Z$2,0),$A$1320,INDEX(Техника!$H$1:$ABO$500,Z$2,0),"Л")</f>
        <v>0</v>
      </c>
      <c r="AA1324" s="50">
        <f>SUMIFS(INDEX(Техника!$F$1:$ABM$500,AA$2,0),Техника!$F$4:$ABM$4,"Часы",INDEX(Техника!$G$1:$ABN$500,AA$2,0),$A$1320,INDEX(Техника!$H$1:$ABO$500,AA$2,0),"Л")</f>
        <v>0</v>
      </c>
      <c r="AB1324" s="50">
        <f>SUMIFS(INDEX(Техника!$F$1:$ABM$500,AB$2,0),Техника!$F$4:$ABM$4,"Часы",INDEX(Техника!$G$1:$ABN$500,AB$2,0),$A$1320,INDEX(Техника!$H$1:$ABO$500,AB$2,0),"Л")</f>
        <v>0</v>
      </c>
    </row>
    <row r="1325" spans="1:28" hidden="1" outlineLevel="1" x14ac:dyDescent="0.3">
      <c r="A1325" s="33" t="s">
        <v>245</v>
      </c>
      <c r="B1325" s="34" t="s">
        <v>279</v>
      </c>
      <c r="C1325" s="50">
        <f>SUMIFS(INDEX(Техника!$F$1:$ABM$500,C$2,0),Техника!$F$4:$ABM$4,"Часы",INDEX(Техника!$G$1:$ABN$500,C$2,0),$A$1320,INDEX(Техника!$H$1:$ABO$500,C$2,0),"З")</f>
        <v>0</v>
      </c>
      <c r="D1325" s="50">
        <f>SUMIFS(INDEX(Техника!$F$1:$ABM$500,D$2,0),Техника!$F$4:$ABM$4,"Часы",INDEX(Техника!$G$1:$ABN$500,D$2,0),$A$1320,INDEX(Техника!$H$1:$ABO$500,D$2,0),"З")</f>
        <v>0</v>
      </c>
      <c r="E1325" s="50">
        <f>SUMIFS(INDEX(Техника!$F$1:$ABM$500,E$2,0),Техника!$F$4:$ABM$4,"Часы",INDEX(Техника!$G$1:$ABN$500,E$2,0),$A$1320,INDEX(Техника!$H$1:$ABO$500,E$2,0),"З")</f>
        <v>0</v>
      </c>
      <c r="F1325" s="50">
        <f>SUMIFS(INDEX(Техника!$F$1:$ABM$500,F$2,0),Техника!$F$4:$ABM$4,"Часы",INDEX(Техника!$G$1:$ABN$500,F$2,0),$A$1320,INDEX(Техника!$H$1:$ABO$500,F$2,0),"З")</f>
        <v>0</v>
      </c>
      <c r="G1325" s="50">
        <f>SUMIFS(INDEX(Техника!$F$1:$ABM$500,G$2,0),Техника!$F$4:$ABM$4,"Часы",INDEX(Техника!$G$1:$ABN$500,G$2,0),$A$1320,INDEX(Техника!$H$1:$ABO$500,G$2,0),"З")</f>
        <v>0</v>
      </c>
      <c r="H1325" s="50">
        <f>SUMIFS(INDEX(Техника!$F$1:$ABM$500,H$2,0),Техника!$F$4:$ABM$4,"Часы",INDEX(Техника!$G$1:$ABN$500,H$2,0),$A$1320,INDEX(Техника!$H$1:$ABO$500,H$2,0),"З")</f>
        <v>0</v>
      </c>
      <c r="I1325" s="50">
        <f>SUMIFS(INDEX(Техника!$F$1:$ABM$500,I$2,0),Техника!$F$4:$ABM$4,"Часы",INDEX(Техника!$G$1:$ABN$500,I$2,0),$A$1320,INDEX(Техника!$H$1:$ABO$500,I$2,0),"З")</f>
        <v>0</v>
      </c>
      <c r="J1325" s="50">
        <f>SUMIFS(INDEX(Техника!$F$1:$ABM$500,J$2,0),Техника!$F$4:$ABM$4,"Часы",INDEX(Техника!$G$1:$ABN$500,J$2,0),$A$1320,INDEX(Техника!$H$1:$ABO$500,J$2,0),"З")</f>
        <v>0</v>
      </c>
      <c r="K1325" s="50">
        <f>SUMIFS(INDEX(Техника!$F$1:$ABM$500,K$2,0),Техника!$F$4:$ABM$4,"Часы",INDEX(Техника!$G$1:$ABN$500,K$2,0),$A$1320,INDEX(Техника!$H$1:$ABO$500,K$2,0),"З")</f>
        <v>0</v>
      </c>
      <c r="L1325" s="50">
        <f>SUMIFS(INDEX(Техника!$F$1:$ABM$500,L$2,0),Техника!$F$4:$ABM$4,"Часы",INDEX(Техника!$G$1:$ABN$500,L$2,0),$A$1320,INDEX(Техника!$H$1:$ABO$500,L$2,0),"З")</f>
        <v>0</v>
      </c>
      <c r="M1325" s="50">
        <f>SUMIFS(INDEX(Техника!$F$1:$ABM$500,M$2,0),Техника!$F$4:$ABM$4,"Часы",INDEX(Техника!$G$1:$ABN$500,M$2,0),$A$1320,INDEX(Техника!$H$1:$ABO$500,M$2,0),"З")</f>
        <v>0</v>
      </c>
      <c r="N1325" s="50">
        <f>SUMIFS(INDEX(Техника!$F$1:$ABM$500,N$2,0),Техника!$F$4:$ABM$4,"Часы",INDEX(Техника!$G$1:$ABN$500,N$2,0),$A$1320,INDEX(Техника!$H$1:$ABO$500,N$2,0),"З")</f>
        <v>0</v>
      </c>
      <c r="O1325" s="50">
        <f>SUMIFS(INDEX(Техника!$F$1:$ABM$500,O$2,0),Техника!$F$4:$ABM$4,"Часы",INDEX(Техника!$G$1:$ABN$500,O$2,0),$A$1320,INDEX(Техника!$H$1:$ABO$500,O$2,0),"З")</f>
        <v>0</v>
      </c>
      <c r="P1325" s="50">
        <f>SUMIFS(INDEX(Техника!$F$1:$ABM$500,P$2,0),Техника!$F$4:$ABM$4,"Часы",INDEX(Техника!$G$1:$ABN$500,P$2,0),$A$1320,INDEX(Техника!$H$1:$ABO$500,P$2,0),"З")</f>
        <v>0</v>
      </c>
      <c r="Q1325" s="50">
        <f>SUMIFS(INDEX(Техника!$F$1:$ABM$500,Q$2,0),Техника!$F$4:$ABM$4,"Часы",INDEX(Техника!$G$1:$ABN$500,Q$2,0),$A$1320,INDEX(Техника!$H$1:$ABO$500,Q$2,0),"З")</f>
        <v>0</v>
      </c>
      <c r="R1325" s="50">
        <f>SUMIFS(INDEX(Техника!$F$1:$ABM$500,R$2,0),Техника!$F$4:$ABM$4,"Часы",INDEX(Техника!$G$1:$ABN$500,R$2,0),$A$1320,INDEX(Техника!$H$1:$ABO$500,R$2,0),"З")</f>
        <v>0</v>
      </c>
      <c r="S1325" s="50">
        <f>SUMIFS(INDEX(Техника!$F$1:$ABM$500,S$2,0),Техника!$F$4:$ABM$4,"Часы",INDEX(Техника!$G$1:$ABN$500,S$2,0),$A$1320,INDEX(Техника!$H$1:$ABO$500,S$2,0),"З")</f>
        <v>0</v>
      </c>
      <c r="T1325" s="50">
        <f>SUMIFS(INDEX(Техника!$F$1:$ABM$500,T$2,0),Техника!$F$4:$ABM$4,"Часы",INDEX(Техника!$G$1:$ABN$500,T$2,0),$A$1320,INDEX(Техника!$H$1:$ABO$500,T$2,0),"З")</f>
        <v>0</v>
      </c>
      <c r="U1325" s="50">
        <f>SUMIFS(INDEX(Техника!$F$1:$ABM$500,U$2,0),Техника!$F$4:$ABM$4,"Часы",INDEX(Техника!$G$1:$ABN$500,U$2,0),$A$1320,INDEX(Техника!$H$1:$ABO$500,U$2,0),"З")</f>
        <v>0</v>
      </c>
      <c r="V1325" s="50">
        <f>SUMIFS(INDEX(Техника!$F$1:$ABM$500,V$2,0),Техника!$F$4:$ABM$4,"Часы",INDEX(Техника!$G$1:$ABN$500,V$2,0),$A$1320,INDEX(Техника!$H$1:$ABO$500,V$2,0),"З")</f>
        <v>0</v>
      </c>
      <c r="W1325" s="50">
        <f>SUMIFS(INDEX(Техника!$F$1:$ABM$500,W$2,0),Техника!$F$4:$ABM$4,"Часы",INDEX(Техника!$G$1:$ABN$500,W$2,0),$A$1320,INDEX(Техника!$H$1:$ABO$500,W$2,0),"З")</f>
        <v>0</v>
      </c>
      <c r="X1325" s="50">
        <f>SUMIFS(INDEX(Техника!$F$1:$ABM$500,X$2,0),Техника!$F$4:$ABM$4,"Часы",INDEX(Техника!$G$1:$ABN$500,X$2,0),$A$1320,INDEX(Техника!$H$1:$ABO$500,X$2,0),"З")</f>
        <v>0</v>
      </c>
      <c r="Y1325" s="50">
        <f>SUMIFS(INDEX(Техника!$F$1:$ABM$500,Y$2,0),Техника!$F$4:$ABM$4,"Часы",INDEX(Техника!$G$1:$ABN$500,Y$2,0),$A$1320,INDEX(Техника!$H$1:$ABO$500,Y$2,0),"З")</f>
        <v>0</v>
      </c>
      <c r="Z1325" s="50">
        <f>SUMIFS(INDEX(Техника!$F$1:$ABM$500,Z$2,0),Техника!$F$4:$ABM$4,"Часы",INDEX(Техника!$G$1:$ABN$500,Z$2,0),$A$1320,INDEX(Техника!$H$1:$ABO$500,Z$2,0),"З")</f>
        <v>0</v>
      </c>
      <c r="AA1325" s="50">
        <f>SUMIFS(INDEX(Техника!$F$1:$ABM$500,AA$2,0),Техника!$F$4:$ABM$4,"Часы",INDEX(Техника!$G$1:$ABN$500,AA$2,0),$A$1320,INDEX(Техника!$H$1:$ABO$500,AA$2,0),"З")</f>
        <v>0</v>
      </c>
      <c r="AB1325" s="50">
        <f>SUMIFS(INDEX(Техника!$F$1:$ABM$500,AB$2,0),Техника!$F$4:$ABM$4,"Часы",INDEX(Техника!$G$1:$ABN$500,AB$2,0),$A$1320,INDEX(Техника!$H$1:$ABO$500,AB$2,0),"З")</f>
        <v>0</v>
      </c>
    </row>
    <row r="1326" spans="1:28" ht="7.95" customHeight="1" x14ac:dyDescent="0.3">
      <c r="A1326" s="38"/>
      <c r="B1326" s="39"/>
      <c r="C1326" s="51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1"/>
      <c r="Z1326" s="51"/>
      <c r="AA1326" s="51"/>
      <c r="AB1326" s="51"/>
    </row>
    <row r="1327" spans="1:28" ht="25.05" customHeight="1" collapsed="1" x14ac:dyDescent="0.3">
      <c r="A1327" s="32">
        <v>190</v>
      </c>
      <c r="B1327" s="32" t="s">
        <v>191</v>
      </c>
      <c r="C1327" s="49">
        <f>SUM(C1328:C1332)</f>
        <v>0</v>
      </c>
      <c r="D1327" s="49">
        <f>SUM(D1328:D1332)</f>
        <v>0</v>
      </c>
      <c r="E1327" s="49">
        <f>SUM(E1328:E1332)</f>
        <v>0</v>
      </c>
      <c r="F1327" s="49">
        <f>SUM(F1328:F1332)</f>
        <v>0</v>
      </c>
      <c r="G1327" s="49">
        <f>SUM(G1328:G1332)</f>
        <v>0</v>
      </c>
      <c r="H1327" s="49">
        <f>SUM(H1328:H1332)</f>
        <v>0</v>
      </c>
      <c r="I1327" s="49">
        <f>SUM(I1328:I1332)</f>
        <v>0</v>
      </c>
      <c r="J1327" s="49">
        <f>SUM(J1328:J1332)</f>
        <v>0</v>
      </c>
      <c r="K1327" s="49">
        <f>SUM(K1328:K1332)</f>
        <v>0</v>
      </c>
      <c r="L1327" s="49">
        <f>SUM(L1328:L1332)</f>
        <v>0</v>
      </c>
      <c r="M1327" s="49">
        <f>SUM(M1328:M1332)</f>
        <v>0</v>
      </c>
      <c r="N1327" s="49">
        <f>SUM(N1328:N1332)</f>
        <v>0</v>
      </c>
      <c r="O1327" s="49">
        <f>SUM(O1328:O1332)</f>
        <v>0</v>
      </c>
      <c r="P1327" s="49">
        <f>SUM(P1328:P1332)</f>
        <v>0</v>
      </c>
      <c r="Q1327" s="49">
        <f>SUM(Q1328:Q1332)</f>
        <v>0</v>
      </c>
      <c r="R1327" s="49">
        <f>SUM(R1328:R1332)</f>
        <v>0</v>
      </c>
      <c r="S1327" s="49">
        <f>SUM(S1328:S1332)</f>
        <v>0</v>
      </c>
      <c r="T1327" s="49">
        <f>SUM(T1328:T1332)</f>
        <v>0</v>
      </c>
      <c r="U1327" s="49">
        <f>SUM(U1328:U1332)</f>
        <v>0</v>
      </c>
      <c r="V1327" s="49">
        <f>SUM(V1328:V1332)</f>
        <v>0</v>
      </c>
      <c r="W1327" s="49">
        <f>SUM(W1328:W1332)</f>
        <v>0</v>
      </c>
      <c r="X1327" s="49">
        <f>SUM(X1328:X1332)</f>
        <v>0</v>
      </c>
      <c r="Y1327" s="49">
        <f>SUM(Y1328:Y1332)</f>
        <v>0</v>
      </c>
      <c r="Z1327" s="49">
        <f>SUM(Z1328:Z1332)</f>
        <v>0</v>
      </c>
      <c r="AA1327" s="49">
        <f>SUM(AA1328:AA1332)</f>
        <v>0</v>
      </c>
      <c r="AB1327" s="49">
        <f>SUM(AB1328:AB1332)</f>
        <v>0</v>
      </c>
    </row>
    <row r="1328" spans="1:28" hidden="1" outlineLevel="1" x14ac:dyDescent="0.3">
      <c r="A1328" s="33" t="s">
        <v>246</v>
      </c>
      <c r="B1328" s="34" t="s">
        <v>274</v>
      </c>
      <c r="C1328" s="50">
        <f>SUMIFS(INDEX(Техника!$F$1:$ABM$500,C$2,0),Техника!$F$4:$ABM$4,"Часы",INDEX(Техника!$G$1:$ABN$500,C$2,0),$A$1327,INDEX(Техника!$H$1:$ABO$500,C$2,0),"М")</f>
        <v>0</v>
      </c>
      <c r="D1328" s="50">
        <f>SUMIFS(INDEX(Техника!$F$1:$ABM$500,D$2,0),Техника!$F$4:$ABM$4,"Часы",INDEX(Техника!$G$1:$ABN$500,D$2,0),$A$1327,INDEX(Техника!$H$1:$ABO$500,D$2,0),"М")</f>
        <v>0</v>
      </c>
      <c r="E1328" s="50">
        <f>SUMIFS(INDEX(Техника!$F$1:$ABM$500,E$2,0),Техника!$F$4:$ABM$4,"Часы",INDEX(Техника!$G$1:$ABN$500,E$2,0),$A$1327,INDEX(Техника!$H$1:$ABO$500,E$2,0),"М")</f>
        <v>0</v>
      </c>
      <c r="F1328" s="50">
        <f>SUMIFS(INDEX(Техника!$F$1:$ABM$500,F$2,0),Техника!$F$4:$ABM$4,"Часы",INDEX(Техника!$G$1:$ABN$500,F$2,0),$A$1327,INDEX(Техника!$H$1:$ABO$500,F$2,0),"М")</f>
        <v>0</v>
      </c>
      <c r="G1328" s="50">
        <f>SUMIFS(INDEX(Техника!$F$1:$ABM$500,G$2,0),Техника!$F$4:$ABM$4,"Часы",INDEX(Техника!$G$1:$ABN$500,G$2,0),$A$1327,INDEX(Техника!$H$1:$ABO$500,G$2,0),"М")</f>
        <v>0</v>
      </c>
      <c r="H1328" s="50">
        <f>SUMIFS(INDEX(Техника!$F$1:$ABM$500,H$2,0),Техника!$F$4:$ABM$4,"Часы",INDEX(Техника!$G$1:$ABN$500,H$2,0),$A$1327,INDEX(Техника!$H$1:$ABO$500,H$2,0),"М")</f>
        <v>0</v>
      </c>
      <c r="I1328" s="50">
        <f>SUMIFS(INDEX(Техника!$F$1:$ABM$500,I$2,0),Техника!$F$4:$ABM$4,"Часы",INDEX(Техника!$G$1:$ABN$500,I$2,0),$A$1327,INDEX(Техника!$H$1:$ABO$500,I$2,0),"М")</f>
        <v>0</v>
      </c>
      <c r="J1328" s="50">
        <f>SUMIFS(INDEX(Техника!$F$1:$ABM$500,J$2,0),Техника!$F$4:$ABM$4,"Часы",INDEX(Техника!$G$1:$ABN$500,J$2,0),$A$1327,INDEX(Техника!$H$1:$ABO$500,J$2,0),"М")</f>
        <v>0</v>
      </c>
      <c r="K1328" s="50">
        <f>SUMIFS(INDEX(Техника!$F$1:$ABM$500,K$2,0),Техника!$F$4:$ABM$4,"Часы",INDEX(Техника!$G$1:$ABN$500,K$2,0),$A$1327,INDEX(Техника!$H$1:$ABO$500,K$2,0),"М")</f>
        <v>0</v>
      </c>
      <c r="L1328" s="50">
        <f>SUMIFS(INDEX(Техника!$F$1:$ABM$500,L$2,0),Техника!$F$4:$ABM$4,"Часы",INDEX(Техника!$G$1:$ABN$500,L$2,0),$A$1327,INDEX(Техника!$H$1:$ABO$500,L$2,0),"М")</f>
        <v>0</v>
      </c>
      <c r="M1328" s="50">
        <f>SUMIFS(INDEX(Техника!$F$1:$ABM$500,M$2,0),Техника!$F$4:$ABM$4,"Часы",INDEX(Техника!$G$1:$ABN$500,M$2,0),$A$1327,INDEX(Техника!$H$1:$ABO$500,M$2,0),"М")</f>
        <v>0</v>
      </c>
      <c r="N1328" s="50">
        <f>SUMIFS(INDEX(Техника!$F$1:$ABM$500,N$2,0),Техника!$F$4:$ABM$4,"Часы",INDEX(Техника!$G$1:$ABN$500,N$2,0),$A$1327,INDEX(Техника!$H$1:$ABO$500,N$2,0),"М")</f>
        <v>0</v>
      </c>
      <c r="O1328" s="50">
        <f>SUMIFS(INDEX(Техника!$F$1:$ABM$500,O$2,0),Техника!$F$4:$ABM$4,"Часы",INDEX(Техника!$G$1:$ABN$500,O$2,0),$A$1327,INDEX(Техника!$H$1:$ABO$500,O$2,0),"М")</f>
        <v>0</v>
      </c>
      <c r="P1328" s="50">
        <f>SUMIFS(INDEX(Техника!$F$1:$ABM$500,P$2,0),Техника!$F$4:$ABM$4,"Часы",INDEX(Техника!$G$1:$ABN$500,P$2,0),$A$1327,INDEX(Техника!$H$1:$ABO$500,P$2,0),"М")</f>
        <v>0</v>
      </c>
      <c r="Q1328" s="50">
        <f>SUMIFS(INDEX(Техника!$F$1:$ABM$500,Q$2,0),Техника!$F$4:$ABM$4,"Часы",INDEX(Техника!$G$1:$ABN$500,Q$2,0),$A$1327,INDEX(Техника!$H$1:$ABO$500,Q$2,0),"М")</f>
        <v>0</v>
      </c>
      <c r="R1328" s="50">
        <f>SUMIFS(INDEX(Техника!$F$1:$ABM$500,R$2,0),Техника!$F$4:$ABM$4,"Часы",INDEX(Техника!$G$1:$ABN$500,R$2,0),$A$1327,INDEX(Техника!$H$1:$ABO$500,R$2,0),"М")</f>
        <v>0</v>
      </c>
      <c r="S1328" s="50">
        <f>SUMIFS(INDEX(Техника!$F$1:$ABM$500,S$2,0),Техника!$F$4:$ABM$4,"Часы",INDEX(Техника!$G$1:$ABN$500,S$2,0),$A$1327,INDEX(Техника!$H$1:$ABO$500,S$2,0),"М")</f>
        <v>0</v>
      </c>
      <c r="T1328" s="50">
        <f>SUMIFS(INDEX(Техника!$F$1:$ABM$500,T$2,0),Техника!$F$4:$ABM$4,"Часы",INDEX(Техника!$G$1:$ABN$500,T$2,0),$A$1327,INDEX(Техника!$H$1:$ABO$500,T$2,0),"М")</f>
        <v>0</v>
      </c>
      <c r="U1328" s="50">
        <f>SUMIFS(INDEX(Техника!$F$1:$ABM$500,U$2,0),Техника!$F$4:$ABM$4,"Часы",INDEX(Техника!$G$1:$ABN$500,U$2,0),$A$1327,INDEX(Техника!$H$1:$ABO$500,U$2,0),"М")</f>
        <v>0</v>
      </c>
      <c r="V1328" s="50">
        <f>SUMIFS(INDEX(Техника!$F$1:$ABM$500,V$2,0),Техника!$F$4:$ABM$4,"Часы",INDEX(Техника!$G$1:$ABN$500,V$2,0),$A$1327,INDEX(Техника!$H$1:$ABO$500,V$2,0),"М")</f>
        <v>0</v>
      </c>
      <c r="W1328" s="50">
        <f>SUMIFS(INDEX(Техника!$F$1:$ABM$500,W$2,0),Техника!$F$4:$ABM$4,"Часы",INDEX(Техника!$G$1:$ABN$500,W$2,0),$A$1327,INDEX(Техника!$H$1:$ABO$500,W$2,0),"М")</f>
        <v>0</v>
      </c>
      <c r="X1328" s="50">
        <f>SUMIFS(INDEX(Техника!$F$1:$ABM$500,X$2,0),Техника!$F$4:$ABM$4,"Часы",INDEX(Техника!$G$1:$ABN$500,X$2,0),$A$1327,INDEX(Техника!$H$1:$ABO$500,X$2,0),"М")</f>
        <v>0</v>
      </c>
      <c r="Y1328" s="50">
        <f>SUMIFS(INDEX(Техника!$F$1:$ABM$500,Y$2,0),Техника!$F$4:$ABM$4,"Часы",INDEX(Техника!$G$1:$ABN$500,Y$2,0),$A$1327,INDEX(Техника!$H$1:$ABO$500,Y$2,0),"М")</f>
        <v>0</v>
      </c>
      <c r="Z1328" s="50">
        <f>SUMIFS(INDEX(Техника!$F$1:$ABM$500,Z$2,0),Техника!$F$4:$ABM$4,"Часы",INDEX(Техника!$G$1:$ABN$500,Z$2,0),$A$1327,INDEX(Техника!$H$1:$ABO$500,Z$2,0),"М")</f>
        <v>0</v>
      </c>
      <c r="AA1328" s="50">
        <f>SUMIFS(INDEX(Техника!$F$1:$ABM$500,AA$2,0),Техника!$F$4:$ABM$4,"Часы",INDEX(Техника!$G$1:$ABN$500,AA$2,0),$A$1327,INDEX(Техника!$H$1:$ABO$500,AA$2,0),"М")</f>
        <v>0</v>
      </c>
      <c r="AB1328" s="50">
        <f>SUMIFS(INDEX(Техника!$F$1:$ABM$500,AB$2,0),Техника!$F$4:$ABM$4,"Часы",INDEX(Техника!$G$1:$ABN$500,AB$2,0),$A$1327,INDEX(Техника!$H$1:$ABO$500,AB$2,0),"М")</f>
        <v>0</v>
      </c>
    </row>
    <row r="1329" spans="1:28" hidden="1" outlineLevel="1" x14ac:dyDescent="0.3">
      <c r="A1329" s="33" t="s">
        <v>244</v>
      </c>
      <c r="B1329" s="34" t="s">
        <v>275</v>
      </c>
      <c r="C1329" s="50">
        <f>SUMIFS(INDEX(Техника!$F$1:$ABM$500,C$2,0),Техника!$F$4:$ABM$4,"Часы",INDEX(Техника!$G$1:$ABN$500,C$2,0),$A$1327,INDEX(Техника!$H$1:$ABO$500,C$2,0),"Д")</f>
        <v>0</v>
      </c>
      <c r="D1329" s="50">
        <f>SUMIFS(INDEX(Техника!$F$1:$ABM$500,D$2,0),Техника!$F$4:$ABM$4,"Часы",INDEX(Техника!$G$1:$ABN$500,D$2,0),$A$1327,INDEX(Техника!$H$1:$ABO$500,D$2,0),"Д")</f>
        <v>0</v>
      </c>
      <c r="E1329" s="50">
        <f>SUMIFS(INDEX(Техника!$F$1:$ABM$500,E$2,0),Техника!$F$4:$ABM$4,"Часы",INDEX(Техника!$G$1:$ABN$500,E$2,0),$A$1327,INDEX(Техника!$H$1:$ABO$500,E$2,0),"Д")</f>
        <v>0</v>
      </c>
      <c r="F1329" s="50">
        <f>SUMIFS(INDEX(Техника!$F$1:$ABM$500,F$2,0),Техника!$F$4:$ABM$4,"Часы",INDEX(Техника!$G$1:$ABN$500,F$2,0),$A$1327,INDEX(Техника!$H$1:$ABO$500,F$2,0),"Д")</f>
        <v>0</v>
      </c>
      <c r="G1329" s="50">
        <f>SUMIFS(INDEX(Техника!$F$1:$ABM$500,G$2,0),Техника!$F$4:$ABM$4,"Часы",INDEX(Техника!$G$1:$ABN$500,G$2,0),$A$1327,INDEX(Техника!$H$1:$ABO$500,G$2,0),"Д")</f>
        <v>0</v>
      </c>
      <c r="H1329" s="50">
        <f>SUMIFS(INDEX(Техника!$F$1:$ABM$500,H$2,0),Техника!$F$4:$ABM$4,"Часы",INDEX(Техника!$G$1:$ABN$500,H$2,0),$A$1327,INDEX(Техника!$H$1:$ABO$500,H$2,0),"Д")</f>
        <v>0</v>
      </c>
      <c r="I1329" s="50">
        <f>SUMIFS(INDEX(Техника!$F$1:$ABM$500,I$2,0),Техника!$F$4:$ABM$4,"Часы",INDEX(Техника!$G$1:$ABN$500,I$2,0),$A$1327,INDEX(Техника!$H$1:$ABO$500,I$2,0),"Д")</f>
        <v>0</v>
      </c>
      <c r="J1329" s="50">
        <f>SUMIFS(INDEX(Техника!$F$1:$ABM$500,J$2,0),Техника!$F$4:$ABM$4,"Часы",INDEX(Техника!$G$1:$ABN$500,J$2,0),$A$1327,INDEX(Техника!$H$1:$ABO$500,J$2,0),"Д")</f>
        <v>0</v>
      </c>
      <c r="K1329" s="50">
        <f>SUMIFS(INDEX(Техника!$F$1:$ABM$500,K$2,0),Техника!$F$4:$ABM$4,"Часы",INDEX(Техника!$G$1:$ABN$500,K$2,0),$A$1327,INDEX(Техника!$H$1:$ABO$500,K$2,0),"Д")</f>
        <v>0</v>
      </c>
      <c r="L1329" s="50">
        <f>SUMIFS(INDEX(Техника!$F$1:$ABM$500,L$2,0),Техника!$F$4:$ABM$4,"Часы",INDEX(Техника!$G$1:$ABN$500,L$2,0),$A$1327,INDEX(Техника!$H$1:$ABO$500,L$2,0),"Д")</f>
        <v>0</v>
      </c>
      <c r="M1329" s="50">
        <f>SUMIFS(INDEX(Техника!$F$1:$ABM$500,M$2,0),Техника!$F$4:$ABM$4,"Часы",INDEX(Техника!$G$1:$ABN$500,M$2,0),$A$1327,INDEX(Техника!$H$1:$ABO$500,M$2,0),"Д")</f>
        <v>0</v>
      </c>
      <c r="N1329" s="50">
        <f>SUMIFS(INDEX(Техника!$F$1:$ABM$500,N$2,0),Техника!$F$4:$ABM$4,"Часы",INDEX(Техника!$G$1:$ABN$500,N$2,0),$A$1327,INDEX(Техника!$H$1:$ABO$500,N$2,0),"Д")</f>
        <v>0</v>
      </c>
      <c r="O1329" s="50">
        <f>SUMIFS(INDEX(Техника!$F$1:$ABM$500,O$2,0),Техника!$F$4:$ABM$4,"Часы",INDEX(Техника!$G$1:$ABN$500,O$2,0),$A$1327,INDEX(Техника!$H$1:$ABO$500,O$2,0),"Д")</f>
        <v>0</v>
      </c>
      <c r="P1329" s="50">
        <f>SUMIFS(INDEX(Техника!$F$1:$ABM$500,P$2,0),Техника!$F$4:$ABM$4,"Часы",INDEX(Техника!$G$1:$ABN$500,P$2,0),$A$1327,INDEX(Техника!$H$1:$ABO$500,P$2,0),"Д")</f>
        <v>0</v>
      </c>
      <c r="Q1329" s="50">
        <f>SUMIFS(INDEX(Техника!$F$1:$ABM$500,Q$2,0),Техника!$F$4:$ABM$4,"Часы",INDEX(Техника!$G$1:$ABN$500,Q$2,0),$A$1327,INDEX(Техника!$H$1:$ABO$500,Q$2,0),"Д")</f>
        <v>0</v>
      </c>
      <c r="R1329" s="50">
        <f>SUMIFS(INDEX(Техника!$F$1:$ABM$500,R$2,0),Техника!$F$4:$ABM$4,"Часы",INDEX(Техника!$G$1:$ABN$500,R$2,0),$A$1327,INDEX(Техника!$H$1:$ABO$500,R$2,0),"Д")</f>
        <v>0</v>
      </c>
      <c r="S1329" s="50">
        <f>SUMIFS(INDEX(Техника!$F$1:$ABM$500,S$2,0),Техника!$F$4:$ABM$4,"Часы",INDEX(Техника!$G$1:$ABN$500,S$2,0),$A$1327,INDEX(Техника!$H$1:$ABO$500,S$2,0),"Д")</f>
        <v>0</v>
      </c>
      <c r="T1329" s="50">
        <f>SUMIFS(INDEX(Техника!$F$1:$ABM$500,T$2,0),Техника!$F$4:$ABM$4,"Часы",INDEX(Техника!$G$1:$ABN$500,T$2,0),$A$1327,INDEX(Техника!$H$1:$ABO$500,T$2,0),"Д")</f>
        <v>0</v>
      </c>
      <c r="U1329" s="50">
        <f>SUMIFS(INDEX(Техника!$F$1:$ABM$500,U$2,0),Техника!$F$4:$ABM$4,"Часы",INDEX(Техника!$G$1:$ABN$500,U$2,0),$A$1327,INDEX(Техника!$H$1:$ABO$500,U$2,0),"Д")</f>
        <v>0</v>
      </c>
      <c r="V1329" s="50">
        <f>SUMIFS(INDEX(Техника!$F$1:$ABM$500,V$2,0),Техника!$F$4:$ABM$4,"Часы",INDEX(Техника!$G$1:$ABN$500,V$2,0),$A$1327,INDEX(Техника!$H$1:$ABO$500,V$2,0),"Д")</f>
        <v>0</v>
      </c>
      <c r="W1329" s="50">
        <f>SUMIFS(INDEX(Техника!$F$1:$ABM$500,W$2,0),Техника!$F$4:$ABM$4,"Часы",INDEX(Техника!$G$1:$ABN$500,W$2,0),$A$1327,INDEX(Техника!$H$1:$ABO$500,W$2,0),"Д")</f>
        <v>0</v>
      </c>
      <c r="X1329" s="50">
        <f>SUMIFS(INDEX(Техника!$F$1:$ABM$500,X$2,0),Техника!$F$4:$ABM$4,"Часы",INDEX(Техника!$G$1:$ABN$500,X$2,0),$A$1327,INDEX(Техника!$H$1:$ABO$500,X$2,0),"Д")</f>
        <v>0</v>
      </c>
      <c r="Y1329" s="50">
        <f>SUMIFS(INDEX(Техника!$F$1:$ABM$500,Y$2,0),Техника!$F$4:$ABM$4,"Часы",INDEX(Техника!$G$1:$ABN$500,Y$2,0),$A$1327,INDEX(Техника!$H$1:$ABO$500,Y$2,0),"Д")</f>
        <v>0</v>
      </c>
      <c r="Z1329" s="50">
        <f>SUMIFS(INDEX(Техника!$F$1:$ABM$500,Z$2,0),Техника!$F$4:$ABM$4,"Часы",INDEX(Техника!$G$1:$ABN$500,Z$2,0),$A$1327,INDEX(Техника!$H$1:$ABO$500,Z$2,0),"Д")</f>
        <v>0</v>
      </c>
      <c r="AA1329" s="50">
        <f>SUMIFS(INDEX(Техника!$F$1:$ABM$500,AA$2,0),Техника!$F$4:$ABM$4,"Часы",INDEX(Техника!$G$1:$ABN$500,AA$2,0),$A$1327,INDEX(Техника!$H$1:$ABO$500,AA$2,0),"Д")</f>
        <v>0</v>
      </c>
      <c r="AB1329" s="50">
        <f>SUMIFS(INDEX(Техника!$F$1:$ABM$500,AB$2,0),Техника!$F$4:$ABM$4,"Часы",INDEX(Техника!$G$1:$ABN$500,AB$2,0),$A$1327,INDEX(Техника!$H$1:$ABO$500,AB$2,0),"Д")</f>
        <v>0</v>
      </c>
    </row>
    <row r="1330" spans="1:28" hidden="1" outlineLevel="1" x14ac:dyDescent="0.3">
      <c r="A1330" s="33" t="s">
        <v>276</v>
      </c>
      <c r="B1330" s="34" t="s">
        <v>277</v>
      </c>
      <c r="C1330" s="50">
        <f>SUMIFS(INDEX(Техника!$F$1:$ABM$500,C$2,0),Техника!$F$4:$ABM$4,"Часы",INDEX(Техника!$G$1:$ABN$500,C$2,0),$A$1327,INDEX(Техника!$H$1:$ABO$500,C$2,0),"П")</f>
        <v>0</v>
      </c>
      <c r="D1330" s="50">
        <f>SUMIFS(INDEX(Техника!$F$1:$ABM$500,D$2,0),Техника!$F$4:$ABM$4,"Часы",INDEX(Техника!$G$1:$ABN$500,D$2,0),$A$1327,INDEX(Техника!$H$1:$ABO$500,D$2,0),"П")</f>
        <v>0</v>
      </c>
      <c r="E1330" s="50">
        <f>SUMIFS(INDEX(Техника!$F$1:$ABM$500,E$2,0),Техника!$F$4:$ABM$4,"Часы",INDEX(Техника!$G$1:$ABN$500,E$2,0),$A$1327,INDEX(Техника!$H$1:$ABO$500,E$2,0),"П")</f>
        <v>0</v>
      </c>
      <c r="F1330" s="50">
        <f>SUMIFS(INDEX(Техника!$F$1:$ABM$500,F$2,0),Техника!$F$4:$ABM$4,"Часы",INDEX(Техника!$G$1:$ABN$500,F$2,0),$A$1327,INDEX(Техника!$H$1:$ABO$500,F$2,0),"П")</f>
        <v>0</v>
      </c>
      <c r="G1330" s="50">
        <f>SUMIFS(INDEX(Техника!$F$1:$ABM$500,G$2,0),Техника!$F$4:$ABM$4,"Часы",INDEX(Техника!$G$1:$ABN$500,G$2,0),$A$1327,INDEX(Техника!$H$1:$ABO$500,G$2,0),"П")</f>
        <v>0</v>
      </c>
      <c r="H1330" s="50">
        <f>SUMIFS(INDEX(Техника!$F$1:$ABM$500,H$2,0),Техника!$F$4:$ABM$4,"Часы",INDEX(Техника!$G$1:$ABN$500,H$2,0),$A$1327,INDEX(Техника!$H$1:$ABO$500,H$2,0),"П")</f>
        <v>0</v>
      </c>
      <c r="I1330" s="50">
        <f>SUMIFS(INDEX(Техника!$F$1:$ABM$500,I$2,0),Техника!$F$4:$ABM$4,"Часы",INDEX(Техника!$G$1:$ABN$500,I$2,0),$A$1327,INDEX(Техника!$H$1:$ABO$500,I$2,0),"П")</f>
        <v>0</v>
      </c>
      <c r="J1330" s="50">
        <f>SUMIFS(INDEX(Техника!$F$1:$ABM$500,J$2,0),Техника!$F$4:$ABM$4,"Часы",INDEX(Техника!$G$1:$ABN$500,J$2,0),$A$1327,INDEX(Техника!$H$1:$ABO$500,J$2,0),"П")</f>
        <v>0</v>
      </c>
      <c r="K1330" s="50">
        <f>SUMIFS(INDEX(Техника!$F$1:$ABM$500,K$2,0),Техника!$F$4:$ABM$4,"Часы",INDEX(Техника!$G$1:$ABN$500,K$2,0),$A$1327,INDEX(Техника!$H$1:$ABO$500,K$2,0),"П")</f>
        <v>0</v>
      </c>
      <c r="L1330" s="50">
        <f>SUMIFS(INDEX(Техника!$F$1:$ABM$500,L$2,0),Техника!$F$4:$ABM$4,"Часы",INDEX(Техника!$G$1:$ABN$500,L$2,0),$A$1327,INDEX(Техника!$H$1:$ABO$500,L$2,0),"П")</f>
        <v>0</v>
      </c>
      <c r="M1330" s="50">
        <f>SUMIFS(INDEX(Техника!$F$1:$ABM$500,M$2,0),Техника!$F$4:$ABM$4,"Часы",INDEX(Техника!$G$1:$ABN$500,M$2,0),$A$1327,INDEX(Техника!$H$1:$ABO$500,M$2,0),"П")</f>
        <v>0</v>
      </c>
      <c r="N1330" s="50">
        <f>SUMIFS(INDEX(Техника!$F$1:$ABM$500,N$2,0),Техника!$F$4:$ABM$4,"Часы",INDEX(Техника!$G$1:$ABN$500,N$2,0),$A$1327,INDEX(Техника!$H$1:$ABO$500,N$2,0),"П")</f>
        <v>0</v>
      </c>
      <c r="O1330" s="50">
        <f>SUMIFS(INDEX(Техника!$F$1:$ABM$500,O$2,0),Техника!$F$4:$ABM$4,"Часы",INDEX(Техника!$G$1:$ABN$500,O$2,0),$A$1327,INDEX(Техника!$H$1:$ABO$500,O$2,0),"П")</f>
        <v>0</v>
      </c>
      <c r="P1330" s="50">
        <f>SUMIFS(INDEX(Техника!$F$1:$ABM$500,P$2,0),Техника!$F$4:$ABM$4,"Часы",INDEX(Техника!$G$1:$ABN$500,P$2,0),$A$1327,INDEX(Техника!$H$1:$ABO$500,P$2,0),"П")</f>
        <v>0</v>
      </c>
      <c r="Q1330" s="50">
        <f>SUMIFS(INDEX(Техника!$F$1:$ABM$500,Q$2,0),Техника!$F$4:$ABM$4,"Часы",INDEX(Техника!$G$1:$ABN$500,Q$2,0),$A$1327,INDEX(Техника!$H$1:$ABO$500,Q$2,0),"П")</f>
        <v>0</v>
      </c>
      <c r="R1330" s="50">
        <f>SUMIFS(INDEX(Техника!$F$1:$ABM$500,R$2,0),Техника!$F$4:$ABM$4,"Часы",INDEX(Техника!$G$1:$ABN$500,R$2,0),$A$1327,INDEX(Техника!$H$1:$ABO$500,R$2,0),"П")</f>
        <v>0</v>
      </c>
      <c r="S1330" s="50">
        <f>SUMIFS(INDEX(Техника!$F$1:$ABM$500,S$2,0),Техника!$F$4:$ABM$4,"Часы",INDEX(Техника!$G$1:$ABN$500,S$2,0),$A$1327,INDEX(Техника!$H$1:$ABO$500,S$2,0),"П")</f>
        <v>0</v>
      </c>
      <c r="T1330" s="50">
        <f>SUMIFS(INDEX(Техника!$F$1:$ABM$500,T$2,0),Техника!$F$4:$ABM$4,"Часы",INDEX(Техника!$G$1:$ABN$500,T$2,0),$A$1327,INDEX(Техника!$H$1:$ABO$500,T$2,0),"П")</f>
        <v>0</v>
      </c>
      <c r="U1330" s="50">
        <f>SUMIFS(INDEX(Техника!$F$1:$ABM$500,U$2,0),Техника!$F$4:$ABM$4,"Часы",INDEX(Техника!$G$1:$ABN$500,U$2,0),$A$1327,INDEX(Техника!$H$1:$ABO$500,U$2,0),"П")</f>
        <v>0</v>
      </c>
      <c r="V1330" s="50">
        <f>SUMIFS(INDEX(Техника!$F$1:$ABM$500,V$2,0),Техника!$F$4:$ABM$4,"Часы",INDEX(Техника!$G$1:$ABN$500,V$2,0),$A$1327,INDEX(Техника!$H$1:$ABO$500,V$2,0),"П")</f>
        <v>0</v>
      </c>
      <c r="W1330" s="50">
        <f>SUMIFS(INDEX(Техника!$F$1:$ABM$500,W$2,0),Техника!$F$4:$ABM$4,"Часы",INDEX(Техника!$G$1:$ABN$500,W$2,0),$A$1327,INDEX(Техника!$H$1:$ABO$500,W$2,0),"П")</f>
        <v>0</v>
      </c>
      <c r="X1330" s="50">
        <f>SUMIFS(INDEX(Техника!$F$1:$ABM$500,X$2,0),Техника!$F$4:$ABM$4,"Часы",INDEX(Техника!$G$1:$ABN$500,X$2,0),$A$1327,INDEX(Техника!$H$1:$ABO$500,X$2,0),"П")</f>
        <v>0</v>
      </c>
      <c r="Y1330" s="50">
        <f>SUMIFS(INDEX(Техника!$F$1:$ABM$500,Y$2,0),Техника!$F$4:$ABM$4,"Часы",INDEX(Техника!$G$1:$ABN$500,Y$2,0),$A$1327,INDEX(Техника!$H$1:$ABO$500,Y$2,0),"П")</f>
        <v>0</v>
      </c>
      <c r="Z1330" s="50">
        <f>SUMIFS(INDEX(Техника!$F$1:$ABM$500,Z$2,0),Техника!$F$4:$ABM$4,"Часы",INDEX(Техника!$G$1:$ABN$500,Z$2,0),$A$1327,INDEX(Техника!$H$1:$ABO$500,Z$2,0),"П")</f>
        <v>0</v>
      </c>
      <c r="AA1330" s="50">
        <f>SUMIFS(INDEX(Техника!$F$1:$ABM$500,AA$2,0),Техника!$F$4:$ABM$4,"Часы",INDEX(Техника!$G$1:$ABN$500,AA$2,0),$A$1327,INDEX(Техника!$H$1:$ABO$500,AA$2,0),"П")</f>
        <v>0</v>
      </c>
      <c r="AB1330" s="50">
        <f>SUMIFS(INDEX(Техника!$F$1:$ABM$500,AB$2,0),Техника!$F$4:$ABM$4,"Часы",INDEX(Техника!$G$1:$ABN$500,AB$2,0),$A$1327,INDEX(Техника!$H$1:$ABO$500,AB$2,0),"П")</f>
        <v>0</v>
      </c>
    </row>
    <row r="1331" spans="1:28" hidden="1" outlineLevel="1" x14ac:dyDescent="0.3">
      <c r="A1331" s="33" t="s">
        <v>243</v>
      </c>
      <c r="B1331" s="34" t="s">
        <v>278</v>
      </c>
      <c r="C1331" s="50">
        <f>SUMIFS(INDEX(Техника!$F$1:$ABM$500,C$2,0),Техника!$F$4:$ABM$4,"Часы",INDEX(Техника!$G$1:$ABN$500,C$2,0),$A$1327,INDEX(Техника!$H$1:$ABO$500,C$2,0),"Л")</f>
        <v>0</v>
      </c>
      <c r="D1331" s="50">
        <f>SUMIFS(INDEX(Техника!$F$1:$ABM$500,D$2,0),Техника!$F$4:$ABM$4,"Часы",INDEX(Техника!$G$1:$ABN$500,D$2,0),$A$1327,INDEX(Техника!$H$1:$ABO$500,D$2,0),"Л")</f>
        <v>0</v>
      </c>
      <c r="E1331" s="50">
        <f>SUMIFS(INDEX(Техника!$F$1:$ABM$500,E$2,0),Техника!$F$4:$ABM$4,"Часы",INDEX(Техника!$G$1:$ABN$500,E$2,0),$A$1327,INDEX(Техника!$H$1:$ABO$500,E$2,0),"Л")</f>
        <v>0</v>
      </c>
      <c r="F1331" s="50">
        <f>SUMIFS(INDEX(Техника!$F$1:$ABM$500,F$2,0),Техника!$F$4:$ABM$4,"Часы",INDEX(Техника!$G$1:$ABN$500,F$2,0),$A$1327,INDEX(Техника!$H$1:$ABO$500,F$2,0),"Л")</f>
        <v>0</v>
      </c>
      <c r="G1331" s="50">
        <f>SUMIFS(INDEX(Техника!$F$1:$ABM$500,G$2,0),Техника!$F$4:$ABM$4,"Часы",INDEX(Техника!$G$1:$ABN$500,G$2,0),$A$1327,INDEX(Техника!$H$1:$ABO$500,G$2,0),"Л")</f>
        <v>0</v>
      </c>
      <c r="H1331" s="50">
        <f>SUMIFS(INDEX(Техника!$F$1:$ABM$500,H$2,0),Техника!$F$4:$ABM$4,"Часы",INDEX(Техника!$G$1:$ABN$500,H$2,0),$A$1327,INDEX(Техника!$H$1:$ABO$500,H$2,0),"Л")</f>
        <v>0</v>
      </c>
      <c r="I1331" s="50">
        <f>SUMIFS(INDEX(Техника!$F$1:$ABM$500,I$2,0),Техника!$F$4:$ABM$4,"Часы",INDEX(Техника!$G$1:$ABN$500,I$2,0),$A$1327,INDEX(Техника!$H$1:$ABO$500,I$2,0),"Л")</f>
        <v>0</v>
      </c>
      <c r="J1331" s="50">
        <f>SUMIFS(INDEX(Техника!$F$1:$ABM$500,J$2,0),Техника!$F$4:$ABM$4,"Часы",INDEX(Техника!$G$1:$ABN$500,J$2,0),$A$1327,INDEX(Техника!$H$1:$ABO$500,J$2,0),"Л")</f>
        <v>0</v>
      </c>
      <c r="K1331" s="50">
        <f>SUMIFS(INDEX(Техника!$F$1:$ABM$500,K$2,0),Техника!$F$4:$ABM$4,"Часы",INDEX(Техника!$G$1:$ABN$500,K$2,0),$A$1327,INDEX(Техника!$H$1:$ABO$500,K$2,0),"Л")</f>
        <v>0</v>
      </c>
      <c r="L1331" s="50">
        <f>SUMIFS(INDEX(Техника!$F$1:$ABM$500,L$2,0),Техника!$F$4:$ABM$4,"Часы",INDEX(Техника!$G$1:$ABN$500,L$2,0),$A$1327,INDEX(Техника!$H$1:$ABO$500,L$2,0),"Л")</f>
        <v>0</v>
      </c>
      <c r="M1331" s="50">
        <f>SUMIFS(INDEX(Техника!$F$1:$ABM$500,M$2,0),Техника!$F$4:$ABM$4,"Часы",INDEX(Техника!$G$1:$ABN$500,M$2,0),$A$1327,INDEX(Техника!$H$1:$ABO$500,M$2,0),"Л")</f>
        <v>0</v>
      </c>
      <c r="N1331" s="50">
        <f>SUMIFS(INDEX(Техника!$F$1:$ABM$500,N$2,0),Техника!$F$4:$ABM$4,"Часы",INDEX(Техника!$G$1:$ABN$500,N$2,0),$A$1327,INDEX(Техника!$H$1:$ABO$500,N$2,0),"Л")</f>
        <v>0</v>
      </c>
      <c r="O1331" s="50">
        <f>SUMIFS(INDEX(Техника!$F$1:$ABM$500,O$2,0),Техника!$F$4:$ABM$4,"Часы",INDEX(Техника!$G$1:$ABN$500,O$2,0),$A$1327,INDEX(Техника!$H$1:$ABO$500,O$2,0),"Л")</f>
        <v>0</v>
      </c>
      <c r="P1331" s="50">
        <f>SUMIFS(INDEX(Техника!$F$1:$ABM$500,P$2,0),Техника!$F$4:$ABM$4,"Часы",INDEX(Техника!$G$1:$ABN$500,P$2,0),$A$1327,INDEX(Техника!$H$1:$ABO$500,P$2,0),"Л")</f>
        <v>0</v>
      </c>
      <c r="Q1331" s="50">
        <f>SUMIFS(INDEX(Техника!$F$1:$ABM$500,Q$2,0),Техника!$F$4:$ABM$4,"Часы",INDEX(Техника!$G$1:$ABN$500,Q$2,0),$A$1327,INDEX(Техника!$H$1:$ABO$500,Q$2,0),"Л")</f>
        <v>0</v>
      </c>
      <c r="R1331" s="50">
        <f>SUMIFS(INDEX(Техника!$F$1:$ABM$500,R$2,0),Техника!$F$4:$ABM$4,"Часы",INDEX(Техника!$G$1:$ABN$500,R$2,0),$A$1327,INDEX(Техника!$H$1:$ABO$500,R$2,0),"Л")</f>
        <v>0</v>
      </c>
      <c r="S1331" s="50">
        <f>SUMIFS(INDEX(Техника!$F$1:$ABM$500,S$2,0),Техника!$F$4:$ABM$4,"Часы",INDEX(Техника!$G$1:$ABN$500,S$2,0),$A$1327,INDEX(Техника!$H$1:$ABO$500,S$2,0),"Л")</f>
        <v>0</v>
      </c>
      <c r="T1331" s="50">
        <f>SUMIFS(INDEX(Техника!$F$1:$ABM$500,T$2,0),Техника!$F$4:$ABM$4,"Часы",INDEX(Техника!$G$1:$ABN$500,T$2,0),$A$1327,INDEX(Техника!$H$1:$ABO$500,T$2,0),"Л")</f>
        <v>0</v>
      </c>
      <c r="U1331" s="50">
        <f>SUMIFS(INDEX(Техника!$F$1:$ABM$500,U$2,0),Техника!$F$4:$ABM$4,"Часы",INDEX(Техника!$G$1:$ABN$500,U$2,0),$A$1327,INDEX(Техника!$H$1:$ABO$500,U$2,0),"Л")</f>
        <v>0</v>
      </c>
      <c r="V1331" s="50">
        <f>SUMIFS(INDEX(Техника!$F$1:$ABM$500,V$2,0),Техника!$F$4:$ABM$4,"Часы",INDEX(Техника!$G$1:$ABN$500,V$2,0),$A$1327,INDEX(Техника!$H$1:$ABO$500,V$2,0),"Л")</f>
        <v>0</v>
      </c>
      <c r="W1331" s="50">
        <f>SUMIFS(INDEX(Техника!$F$1:$ABM$500,W$2,0),Техника!$F$4:$ABM$4,"Часы",INDEX(Техника!$G$1:$ABN$500,W$2,0),$A$1327,INDEX(Техника!$H$1:$ABO$500,W$2,0),"Л")</f>
        <v>0</v>
      </c>
      <c r="X1331" s="50">
        <f>SUMIFS(INDEX(Техника!$F$1:$ABM$500,X$2,0),Техника!$F$4:$ABM$4,"Часы",INDEX(Техника!$G$1:$ABN$500,X$2,0),$A$1327,INDEX(Техника!$H$1:$ABO$500,X$2,0),"Л")</f>
        <v>0</v>
      </c>
      <c r="Y1331" s="50">
        <f>SUMIFS(INDEX(Техника!$F$1:$ABM$500,Y$2,0),Техника!$F$4:$ABM$4,"Часы",INDEX(Техника!$G$1:$ABN$500,Y$2,0),$A$1327,INDEX(Техника!$H$1:$ABO$500,Y$2,0),"Л")</f>
        <v>0</v>
      </c>
      <c r="Z1331" s="50">
        <f>SUMIFS(INDEX(Техника!$F$1:$ABM$500,Z$2,0),Техника!$F$4:$ABM$4,"Часы",INDEX(Техника!$G$1:$ABN$500,Z$2,0),$A$1327,INDEX(Техника!$H$1:$ABO$500,Z$2,0),"Л")</f>
        <v>0</v>
      </c>
      <c r="AA1331" s="50">
        <f>SUMIFS(INDEX(Техника!$F$1:$ABM$500,AA$2,0),Техника!$F$4:$ABM$4,"Часы",INDEX(Техника!$G$1:$ABN$500,AA$2,0),$A$1327,INDEX(Техника!$H$1:$ABO$500,AA$2,0),"Л")</f>
        <v>0</v>
      </c>
      <c r="AB1331" s="50">
        <f>SUMIFS(INDEX(Техника!$F$1:$ABM$500,AB$2,0),Техника!$F$4:$ABM$4,"Часы",INDEX(Техника!$G$1:$ABN$500,AB$2,0),$A$1327,INDEX(Техника!$H$1:$ABO$500,AB$2,0),"Л")</f>
        <v>0</v>
      </c>
    </row>
    <row r="1332" spans="1:28" hidden="1" outlineLevel="1" x14ac:dyDescent="0.3">
      <c r="A1332" s="33" t="s">
        <v>245</v>
      </c>
      <c r="B1332" s="34" t="s">
        <v>279</v>
      </c>
      <c r="C1332" s="50">
        <f>SUMIFS(INDEX(Техника!$F$1:$ABM$500,C$2,0),Техника!$F$4:$ABM$4,"Часы",INDEX(Техника!$G$1:$ABN$500,C$2,0),$A$1327,INDEX(Техника!$H$1:$ABO$500,C$2,0),"З")</f>
        <v>0</v>
      </c>
      <c r="D1332" s="50">
        <f>SUMIFS(INDEX(Техника!$F$1:$ABM$500,D$2,0),Техника!$F$4:$ABM$4,"Часы",INDEX(Техника!$G$1:$ABN$500,D$2,0),$A$1327,INDEX(Техника!$H$1:$ABO$500,D$2,0),"З")</f>
        <v>0</v>
      </c>
      <c r="E1332" s="50">
        <f>SUMIFS(INDEX(Техника!$F$1:$ABM$500,E$2,0),Техника!$F$4:$ABM$4,"Часы",INDEX(Техника!$G$1:$ABN$500,E$2,0),$A$1327,INDEX(Техника!$H$1:$ABO$500,E$2,0),"З")</f>
        <v>0</v>
      </c>
      <c r="F1332" s="50">
        <f>SUMIFS(INDEX(Техника!$F$1:$ABM$500,F$2,0),Техника!$F$4:$ABM$4,"Часы",INDEX(Техника!$G$1:$ABN$500,F$2,0),$A$1327,INDEX(Техника!$H$1:$ABO$500,F$2,0),"З")</f>
        <v>0</v>
      </c>
      <c r="G1332" s="50">
        <f>SUMIFS(INDEX(Техника!$F$1:$ABM$500,G$2,0),Техника!$F$4:$ABM$4,"Часы",INDEX(Техника!$G$1:$ABN$500,G$2,0),$A$1327,INDEX(Техника!$H$1:$ABO$500,G$2,0),"З")</f>
        <v>0</v>
      </c>
      <c r="H1332" s="50">
        <f>SUMIFS(INDEX(Техника!$F$1:$ABM$500,H$2,0),Техника!$F$4:$ABM$4,"Часы",INDEX(Техника!$G$1:$ABN$500,H$2,0),$A$1327,INDEX(Техника!$H$1:$ABO$500,H$2,0),"З")</f>
        <v>0</v>
      </c>
      <c r="I1332" s="50">
        <f>SUMIFS(INDEX(Техника!$F$1:$ABM$500,I$2,0),Техника!$F$4:$ABM$4,"Часы",INDEX(Техника!$G$1:$ABN$500,I$2,0),$A$1327,INDEX(Техника!$H$1:$ABO$500,I$2,0),"З")</f>
        <v>0</v>
      </c>
      <c r="J1332" s="50">
        <f>SUMIFS(INDEX(Техника!$F$1:$ABM$500,J$2,0),Техника!$F$4:$ABM$4,"Часы",INDEX(Техника!$G$1:$ABN$500,J$2,0),$A$1327,INDEX(Техника!$H$1:$ABO$500,J$2,0),"З")</f>
        <v>0</v>
      </c>
      <c r="K1332" s="50">
        <f>SUMIFS(INDEX(Техника!$F$1:$ABM$500,K$2,0),Техника!$F$4:$ABM$4,"Часы",INDEX(Техника!$G$1:$ABN$500,K$2,0),$A$1327,INDEX(Техника!$H$1:$ABO$500,K$2,0),"З")</f>
        <v>0</v>
      </c>
      <c r="L1332" s="50">
        <f>SUMIFS(INDEX(Техника!$F$1:$ABM$500,L$2,0),Техника!$F$4:$ABM$4,"Часы",INDEX(Техника!$G$1:$ABN$500,L$2,0),$A$1327,INDEX(Техника!$H$1:$ABO$500,L$2,0),"З")</f>
        <v>0</v>
      </c>
      <c r="M1332" s="50">
        <f>SUMIFS(INDEX(Техника!$F$1:$ABM$500,M$2,0),Техника!$F$4:$ABM$4,"Часы",INDEX(Техника!$G$1:$ABN$500,M$2,0),$A$1327,INDEX(Техника!$H$1:$ABO$500,M$2,0),"З")</f>
        <v>0</v>
      </c>
      <c r="N1332" s="50">
        <f>SUMIFS(INDEX(Техника!$F$1:$ABM$500,N$2,0),Техника!$F$4:$ABM$4,"Часы",INDEX(Техника!$G$1:$ABN$500,N$2,0),$A$1327,INDEX(Техника!$H$1:$ABO$500,N$2,0),"З")</f>
        <v>0</v>
      </c>
      <c r="O1332" s="50">
        <f>SUMIFS(INDEX(Техника!$F$1:$ABM$500,O$2,0),Техника!$F$4:$ABM$4,"Часы",INDEX(Техника!$G$1:$ABN$500,O$2,0),$A$1327,INDEX(Техника!$H$1:$ABO$500,O$2,0),"З")</f>
        <v>0</v>
      </c>
      <c r="P1332" s="50">
        <f>SUMIFS(INDEX(Техника!$F$1:$ABM$500,P$2,0),Техника!$F$4:$ABM$4,"Часы",INDEX(Техника!$G$1:$ABN$500,P$2,0),$A$1327,INDEX(Техника!$H$1:$ABO$500,P$2,0),"З")</f>
        <v>0</v>
      </c>
      <c r="Q1332" s="50">
        <f>SUMIFS(INDEX(Техника!$F$1:$ABM$500,Q$2,0),Техника!$F$4:$ABM$4,"Часы",INDEX(Техника!$G$1:$ABN$500,Q$2,0),$A$1327,INDEX(Техника!$H$1:$ABO$500,Q$2,0),"З")</f>
        <v>0</v>
      </c>
      <c r="R1332" s="50">
        <f>SUMIFS(INDEX(Техника!$F$1:$ABM$500,R$2,0),Техника!$F$4:$ABM$4,"Часы",INDEX(Техника!$G$1:$ABN$500,R$2,0),$A$1327,INDEX(Техника!$H$1:$ABO$500,R$2,0),"З")</f>
        <v>0</v>
      </c>
      <c r="S1332" s="50">
        <f>SUMIFS(INDEX(Техника!$F$1:$ABM$500,S$2,0),Техника!$F$4:$ABM$4,"Часы",INDEX(Техника!$G$1:$ABN$500,S$2,0),$A$1327,INDEX(Техника!$H$1:$ABO$500,S$2,0),"З")</f>
        <v>0</v>
      </c>
      <c r="T1332" s="50">
        <f>SUMIFS(INDEX(Техника!$F$1:$ABM$500,T$2,0),Техника!$F$4:$ABM$4,"Часы",INDEX(Техника!$G$1:$ABN$500,T$2,0),$A$1327,INDEX(Техника!$H$1:$ABO$500,T$2,0),"З")</f>
        <v>0</v>
      </c>
      <c r="U1332" s="50">
        <f>SUMIFS(INDEX(Техника!$F$1:$ABM$500,U$2,0),Техника!$F$4:$ABM$4,"Часы",INDEX(Техника!$G$1:$ABN$500,U$2,0),$A$1327,INDEX(Техника!$H$1:$ABO$500,U$2,0),"З")</f>
        <v>0</v>
      </c>
      <c r="V1332" s="50">
        <f>SUMIFS(INDEX(Техника!$F$1:$ABM$500,V$2,0),Техника!$F$4:$ABM$4,"Часы",INDEX(Техника!$G$1:$ABN$500,V$2,0),$A$1327,INDEX(Техника!$H$1:$ABO$500,V$2,0),"З")</f>
        <v>0</v>
      </c>
      <c r="W1332" s="50">
        <f>SUMIFS(INDEX(Техника!$F$1:$ABM$500,W$2,0),Техника!$F$4:$ABM$4,"Часы",INDEX(Техника!$G$1:$ABN$500,W$2,0),$A$1327,INDEX(Техника!$H$1:$ABO$500,W$2,0),"З")</f>
        <v>0</v>
      </c>
      <c r="X1332" s="50">
        <f>SUMIFS(INDEX(Техника!$F$1:$ABM$500,X$2,0),Техника!$F$4:$ABM$4,"Часы",INDEX(Техника!$G$1:$ABN$500,X$2,0),$A$1327,INDEX(Техника!$H$1:$ABO$500,X$2,0),"З")</f>
        <v>0</v>
      </c>
      <c r="Y1332" s="50">
        <f>SUMIFS(INDEX(Техника!$F$1:$ABM$500,Y$2,0),Техника!$F$4:$ABM$4,"Часы",INDEX(Техника!$G$1:$ABN$500,Y$2,0),$A$1327,INDEX(Техника!$H$1:$ABO$500,Y$2,0),"З")</f>
        <v>0</v>
      </c>
      <c r="Z1332" s="50">
        <f>SUMIFS(INDEX(Техника!$F$1:$ABM$500,Z$2,0),Техника!$F$4:$ABM$4,"Часы",INDEX(Техника!$G$1:$ABN$500,Z$2,0),$A$1327,INDEX(Техника!$H$1:$ABO$500,Z$2,0),"З")</f>
        <v>0</v>
      </c>
      <c r="AA1332" s="50">
        <f>SUMIFS(INDEX(Техника!$F$1:$ABM$500,AA$2,0),Техника!$F$4:$ABM$4,"Часы",INDEX(Техника!$G$1:$ABN$500,AA$2,0),$A$1327,INDEX(Техника!$H$1:$ABO$500,AA$2,0),"З")</f>
        <v>0</v>
      </c>
      <c r="AB1332" s="50">
        <f>SUMIFS(INDEX(Техника!$F$1:$ABM$500,AB$2,0),Техника!$F$4:$ABM$4,"Часы",INDEX(Техника!$G$1:$ABN$500,AB$2,0),$A$1327,INDEX(Техника!$H$1:$ABO$500,AB$2,0),"З")</f>
        <v>0</v>
      </c>
    </row>
    <row r="1333" spans="1:28" ht="7.95" customHeight="1" x14ac:dyDescent="0.3">
      <c r="A1333" s="38"/>
      <c r="B1333" s="39"/>
      <c r="C1333" s="51"/>
      <c r="D1333" s="51"/>
      <c r="E1333" s="51"/>
      <c r="F1333" s="51"/>
      <c r="G1333" s="51"/>
      <c r="H1333" s="51"/>
      <c r="I1333" s="51"/>
      <c r="J1333" s="51"/>
      <c r="K1333" s="51"/>
      <c r="L1333" s="51"/>
      <c r="M1333" s="51"/>
      <c r="N1333" s="51"/>
      <c r="O1333" s="51"/>
      <c r="P1333" s="51"/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1"/>
    </row>
    <row r="1334" spans="1:28" ht="25.05" customHeight="1" collapsed="1" x14ac:dyDescent="0.3">
      <c r="A1334" s="32">
        <v>191</v>
      </c>
      <c r="B1334" s="32" t="s">
        <v>192</v>
      </c>
      <c r="C1334" s="49">
        <f>SUM(C1335:C1339)</f>
        <v>0</v>
      </c>
      <c r="D1334" s="49">
        <f>SUM(D1335:D1339)</f>
        <v>0</v>
      </c>
      <c r="E1334" s="49">
        <f>SUM(E1335:E1339)</f>
        <v>0</v>
      </c>
      <c r="F1334" s="49">
        <f>SUM(F1335:F1339)</f>
        <v>0</v>
      </c>
      <c r="G1334" s="49">
        <f>SUM(G1335:G1339)</f>
        <v>0</v>
      </c>
      <c r="H1334" s="49">
        <f>SUM(H1335:H1339)</f>
        <v>0</v>
      </c>
      <c r="I1334" s="49">
        <f>SUM(I1335:I1339)</f>
        <v>0</v>
      </c>
      <c r="J1334" s="49">
        <f>SUM(J1335:J1339)</f>
        <v>0</v>
      </c>
      <c r="K1334" s="49">
        <f>SUM(K1335:K1339)</f>
        <v>0</v>
      </c>
      <c r="L1334" s="49">
        <f>SUM(L1335:L1339)</f>
        <v>0</v>
      </c>
      <c r="M1334" s="49">
        <f>SUM(M1335:M1339)</f>
        <v>0</v>
      </c>
      <c r="N1334" s="49">
        <f>SUM(N1335:N1339)</f>
        <v>0</v>
      </c>
      <c r="O1334" s="49">
        <f>SUM(O1335:O1339)</f>
        <v>0</v>
      </c>
      <c r="P1334" s="49">
        <f>SUM(P1335:P1339)</f>
        <v>0</v>
      </c>
      <c r="Q1334" s="49">
        <f>SUM(Q1335:Q1339)</f>
        <v>0</v>
      </c>
      <c r="R1334" s="49">
        <f>SUM(R1335:R1339)</f>
        <v>0</v>
      </c>
      <c r="S1334" s="49">
        <f>SUM(S1335:S1339)</f>
        <v>0</v>
      </c>
      <c r="T1334" s="49">
        <f>SUM(T1335:T1339)</f>
        <v>0</v>
      </c>
      <c r="U1334" s="49">
        <f>SUM(U1335:U1339)</f>
        <v>0</v>
      </c>
      <c r="V1334" s="49">
        <f>SUM(V1335:V1339)</f>
        <v>0</v>
      </c>
      <c r="W1334" s="49">
        <f>SUM(W1335:W1339)</f>
        <v>0</v>
      </c>
      <c r="X1334" s="49">
        <f>SUM(X1335:X1339)</f>
        <v>0</v>
      </c>
      <c r="Y1334" s="49">
        <f>SUM(Y1335:Y1339)</f>
        <v>0</v>
      </c>
      <c r="Z1334" s="49">
        <f>SUM(Z1335:Z1339)</f>
        <v>0</v>
      </c>
      <c r="AA1334" s="49">
        <f>SUM(AA1335:AA1339)</f>
        <v>0</v>
      </c>
      <c r="AB1334" s="49">
        <f>SUM(AB1335:AB1339)</f>
        <v>0</v>
      </c>
    </row>
    <row r="1335" spans="1:28" hidden="1" outlineLevel="1" x14ac:dyDescent="0.3">
      <c r="A1335" s="33" t="s">
        <v>246</v>
      </c>
      <c r="B1335" s="34" t="s">
        <v>274</v>
      </c>
      <c r="C1335" s="50">
        <f>SUMIFS(INDEX(Техника!$F$1:$ABM$500,C$2,0),Техника!$F$4:$ABM$4,"Часы",INDEX(Техника!$G$1:$ABN$500,C$2,0),$A$1334,INDEX(Техника!$H$1:$ABO$500,C$2,0),"М")</f>
        <v>0</v>
      </c>
      <c r="D1335" s="50">
        <f>SUMIFS(INDEX(Техника!$F$1:$ABM$500,D$2,0),Техника!$F$4:$ABM$4,"Часы",INDEX(Техника!$G$1:$ABN$500,D$2,0),$A$1334,INDEX(Техника!$H$1:$ABO$500,D$2,0),"М")</f>
        <v>0</v>
      </c>
      <c r="E1335" s="50">
        <f>SUMIFS(INDEX(Техника!$F$1:$ABM$500,E$2,0),Техника!$F$4:$ABM$4,"Часы",INDEX(Техника!$G$1:$ABN$500,E$2,0),$A$1334,INDEX(Техника!$H$1:$ABO$500,E$2,0),"М")</f>
        <v>0</v>
      </c>
      <c r="F1335" s="50">
        <f>SUMIFS(INDEX(Техника!$F$1:$ABM$500,F$2,0),Техника!$F$4:$ABM$4,"Часы",INDEX(Техника!$G$1:$ABN$500,F$2,0),$A$1334,INDEX(Техника!$H$1:$ABO$500,F$2,0),"М")</f>
        <v>0</v>
      </c>
      <c r="G1335" s="50">
        <f>SUMIFS(INDEX(Техника!$F$1:$ABM$500,G$2,0),Техника!$F$4:$ABM$4,"Часы",INDEX(Техника!$G$1:$ABN$500,G$2,0),$A$1334,INDEX(Техника!$H$1:$ABO$500,G$2,0),"М")</f>
        <v>0</v>
      </c>
      <c r="H1335" s="50">
        <f>SUMIFS(INDEX(Техника!$F$1:$ABM$500,H$2,0),Техника!$F$4:$ABM$4,"Часы",INDEX(Техника!$G$1:$ABN$500,H$2,0),$A$1334,INDEX(Техника!$H$1:$ABO$500,H$2,0),"М")</f>
        <v>0</v>
      </c>
      <c r="I1335" s="50">
        <f>SUMIFS(INDEX(Техника!$F$1:$ABM$500,I$2,0),Техника!$F$4:$ABM$4,"Часы",INDEX(Техника!$G$1:$ABN$500,I$2,0),$A$1334,INDEX(Техника!$H$1:$ABO$500,I$2,0),"М")</f>
        <v>0</v>
      </c>
      <c r="J1335" s="50">
        <f>SUMIFS(INDEX(Техника!$F$1:$ABM$500,J$2,0),Техника!$F$4:$ABM$4,"Часы",INDEX(Техника!$G$1:$ABN$500,J$2,0),$A$1334,INDEX(Техника!$H$1:$ABO$500,J$2,0),"М")</f>
        <v>0</v>
      </c>
      <c r="K1335" s="50">
        <f>SUMIFS(INDEX(Техника!$F$1:$ABM$500,K$2,0),Техника!$F$4:$ABM$4,"Часы",INDEX(Техника!$G$1:$ABN$500,K$2,0),$A$1334,INDEX(Техника!$H$1:$ABO$500,K$2,0),"М")</f>
        <v>0</v>
      </c>
      <c r="L1335" s="50">
        <f>SUMIFS(INDEX(Техника!$F$1:$ABM$500,L$2,0),Техника!$F$4:$ABM$4,"Часы",INDEX(Техника!$G$1:$ABN$500,L$2,0),$A$1334,INDEX(Техника!$H$1:$ABO$500,L$2,0),"М")</f>
        <v>0</v>
      </c>
      <c r="M1335" s="50">
        <f>SUMIFS(INDEX(Техника!$F$1:$ABM$500,M$2,0),Техника!$F$4:$ABM$4,"Часы",INDEX(Техника!$G$1:$ABN$500,M$2,0),$A$1334,INDEX(Техника!$H$1:$ABO$500,M$2,0),"М")</f>
        <v>0</v>
      </c>
      <c r="N1335" s="50">
        <f>SUMIFS(INDEX(Техника!$F$1:$ABM$500,N$2,0),Техника!$F$4:$ABM$4,"Часы",INDEX(Техника!$G$1:$ABN$500,N$2,0),$A$1334,INDEX(Техника!$H$1:$ABO$500,N$2,0),"М")</f>
        <v>0</v>
      </c>
      <c r="O1335" s="50">
        <f>SUMIFS(INDEX(Техника!$F$1:$ABM$500,O$2,0),Техника!$F$4:$ABM$4,"Часы",INDEX(Техника!$G$1:$ABN$500,O$2,0),$A$1334,INDEX(Техника!$H$1:$ABO$500,O$2,0),"М")</f>
        <v>0</v>
      </c>
      <c r="P1335" s="50">
        <f>SUMIFS(INDEX(Техника!$F$1:$ABM$500,P$2,0),Техника!$F$4:$ABM$4,"Часы",INDEX(Техника!$G$1:$ABN$500,P$2,0),$A$1334,INDEX(Техника!$H$1:$ABO$500,P$2,0),"М")</f>
        <v>0</v>
      </c>
      <c r="Q1335" s="50">
        <f>SUMIFS(INDEX(Техника!$F$1:$ABM$500,Q$2,0),Техника!$F$4:$ABM$4,"Часы",INDEX(Техника!$G$1:$ABN$500,Q$2,0),$A$1334,INDEX(Техника!$H$1:$ABO$500,Q$2,0),"М")</f>
        <v>0</v>
      </c>
      <c r="R1335" s="50">
        <f>SUMIFS(INDEX(Техника!$F$1:$ABM$500,R$2,0),Техника!$F$4:$ABM$4,"Часы",INDEX(Техника!$G$1:$ABN$500,R$2,0),$A$1334,INDEX(Техника!$H$1:$ABO$500,R$2,0),"М")</f>
        <v>0</v>
      </c>
      <c r="S1335" s="50">
        <f>SUMIFS(INDEX(Техника!$F$1:$ABM$500,S$2,0),Техника!$F$4:$ABM$4,"Часы",INDEX(Техника!$G$1:$ABN$500,S$2,0),$A$1334,INDEX(Техника!$H$1:$ABO$500,S$2,0),"М")</f>
        <v>0</v>
      </c>
      <c r="T1335" s="50">
        <f>SUMIFS(INDEX(Техника!$F$1:$ABM$500,T$2,0),Техника!$F$4:$ABM$4,"Часы",INDEX(Техника!$G$1:$ABN$500,T$2,0),$A$1334,INDEX(Техника!$H$1:$ABO$500,T$2,0),"М")</f>
        <v>0</v>
      </c>
      <c r="U1335" s="50">
        <f>SUMIFS(INDEX(Техника!$F$1:$ABM$500,U$2,0),Техника!$F$4:$ABM$4,"Часы",INDEX(Техника!$G$1:$ABN$500,U$2,0),$A$1334,INDEX(Техника!$H$1:$ABO$500,U$2,0),"М")</f>
        <v>0</v>
      </c>
      <c r="V1335" s="50">
        <f>SUMIFS(INDEX(Техника!$F$1:$ABM$500,V$2,0),Техника!$F$4:$ABM$4,"Часы",INDEX(Техника!$G$1:$ABN$500,V$2,0),$A$1334,INDEX(Техника!$H$1:$ABO$500,V$2,0),"М")</f>
        <v>0</v>
      </c>
      <c r="W1335" s="50">
        <f>SUMIFS(INDEX(Техника!$F$1:$ABM$500,W$2,0),Техника!$F$4:$ABM$4,"Часы",INDEX(Техника!$G$1:$ABN$500,W$2,0),$A$1334,INDEX(Техника!$H$1:$ABO$500,W$2,0),"М")</f>
        <v>0</v>
      </c>
      <c r="X1335" s="50">
        <f>SUMIFS(INDEX(Техника!$F$1:$ABM$500,X$2,0),Техника!$F$4:$ABM$4,"Часы",INDEX(Техника!$G$1:$ABN$500,X$2,0),$A$1334,INDEX(Техника!$H$1:$ABO$500,X$2,0),"М")</f>
        <v>0</v>
      </c>
      <c r="Y1335" s="50">
        <f>SUMIFS(INDEX(Техника!$F$1:$ABM$500,Y$2,0),Техника!$F$4:$ABM$4,"Часы",INDEX(Техника!$G$1:$ABN$500,Y$2,0),$A$1334,INDEX(Техника!$H$1:$ABO$500,Y$2,0),"М")</f>
        <v>0</v>
      </c>
      <c r="Z1335" s="50">
        <f>SUMIFS(INDEX(Техника!$F$1:$ABM$500,Z$2,0),Техника!$F$4:$ABM$4,"Часы",INDEX(Техника!$G$1:$ABN$500,Z$2,0),$A$1334,INDEX(Техника!$H$1:$ABO$500,Z$2,0),"М")</f>
        <v>0</v>
      </c>
      <c r="AA1335" s="50">
        <f>SUMIFS(INDEX(Техника!$F$1:$ABM$500,AA$2,0),Техника!$F$4:$ABM$4,"Часы",INDEX(Техника!$G$1:$ABN$500,AA$2,0),$A$1334,INDEX(Техника!$H$1:$ABO$500,AA$2,0),"М")</f>
        <v>0</v>
      </c>
      <c r="AB1335" s="50">
        <f>SUMIFS(INDEX(Техника!$F$1:$ABM$500,AB$2,0),Техника!$F$4:$ABM$4,"Часы",INDEX(Техника!$G$1:$ABN$500,AB$2,0),$A$1334,INDEX(Техника!$H$1:$ABO$500,AB$2,0),"М")</f>
        <v>0</v>
      </c>
    </row>
    <row r="1336" spans="1:28" hidden="1" outlineLevel="1" x14ac:dyDescent="0.3">
      <c r="A1336" s="33" t="s">
        <v>244</v>
      </c>
      <c r="B1336" s="34" t="s">
        <v>275</v>
      </c>
      <c r="C1336" s="50">
        <f>SUMIFS(INDEX(Техника!$F$1:$ABM$500,C$2,0),Техника!$F$4:$ABM$4,"Часы",INDEX(Техника!$G$1:$ABN$500,C$2,0),$A$1334,INDEX(Техника!$H$1:$ABO$500,C$2,0),"Д")</f>
        <v>0</v>
      </c>
      <c r="D1336" s="50">
        <f>SUMIFS(INDEX(Техника!$F$1:$ABM$500,D$2,0),Техника!$F$4:$ABM$4,"Часы",INDEX(Техника!$G$1:$ABN$500,D$2,0),$A$1334,INDEX(Техника!$H$1:$ABO$500,D$2,0),"Д")</f>
        <v>0</v>
      </c>
      <c r="E1336" s="50">
        <f>SUMIFS(INDEX(Техника!$F$1:$ABM$500,E$2,0),Техника!$F$4:$ABM$4,"Часы",INDEX(Техника!$G$1:$ABN$500,E$2,0),$A$1334,INDEX(Техника!$H$1:$ABO$500,E$2,0),"Д")</f>
        <v>0</v>
      </c>
      <c r="F1336" s="50">
        <f>SUMIFS(INDEX(Техника!$F$1:$ABM$500,F$2,0),Техника!$F$4:$ABM$4,"Часы",INDEX(Техника!$G$1:$ABN$500,F$2,0),$A$1334,INDEX(Техника!$H$1:$ABO$500,F$2,0),"Д")</f>
        <v>0</v>
      </c>
      <c r="G1336" s="50">
        <f>SUMIFS(INDEX(Техника!$F$1:$ABM$500,G$2,0),Техника!$F$4:$ABM$4,"Часы",INDEX(Техника!$G$1:$ABN$500,G$2,0),$A$1334,INDEX(Техника!$H$1:$ABO$500,G$2,0),"Д")</f>
        <v>0</v>
      </c>
      <c r="H1336" s="50">
        <f>SUMIFS(INDEX(Техника!$F$1:$ABM$500,H$2,0),Техника!$F$4:$ABM$4,"Часы",INDEX(Техника!$G$1:$ABN$500,H$2,0),$A$1334,INDEX(Техника!$H$1:$ABO$500,H$2,0),"Д")</f>
        <v>0</v>
      </c>
      <c r="I1336" s="50">
        <f>SUMIFS(INDEX(Техника!$F$1:$ABM$500,I$2,0),Техника!$F$4:$ABM$4,"Часы",INDEX(Техника!$G$1:$ABN$500,I$2,0),$A$1334,INDEX(Техника!$H$1:$ABO$500,I$2,0),"Д")</f>
        <v>0</v>
      </c>
      <c r="J1336" s="50">
        <f>SUMIFS(INDEX(Техника!$F$1:$ABM$500,J$2,0),Техника!$F$4:$ABM$4,"Часы",INDEX(Техника!$G$1:$ABN$500,J$2,0),$A$1334,INDEX(Техника!$H$1:$ABO$500,J$2,0),"Д")</f>
        <v>0</v>
      </c>
      <c r="K1336" s="50">
        <f>SUMIFS(INDEX(Техника!$F$1:$ABM$500,K$2,0),Техника!$F$4:$ABM$4,"Часы",INDEX(Техника!$G$1:$ABN$500,K$2,0),$A$1334,INDEX(Техника!$H$1:$ABO$500,K$2,0),"Д")</f>
        <v>0</v>
      </c>
      <c r="L1336" s="50">
        <f>SUMIFS(INDEX(Техника!$F$1:$ABM$500,L$2,0),Техника!$F$4:$ABM$4,"Часы",INDEX(Техника!$G$1:$ABN$500,L$2,0),$A$1334,INDEX(Техника!$H$1:$ABO$500,L$2,0),"Д")</f>
        <v>0</v>
      </c>
      <c r="M1336" s="50">
        <f>SUMIFS(INDEX(Техника!$F$1:$ABM$500,M$2,0),Техника!$F$4:$ABM$4,"Часы",INDEX(Техника!$G$1:$ABN$500,M$2,0),$A$1334,INDEX(Техника!$H$1:$ABO$500,M$2,0),"Д")</f>
        <v>0</v>
      </c>
      <c r="N1336" s="50">
        <f>SUMIFS(INDEX(Техника!$F$1:$ABM$500,N$2,0),Техника!$F$4:$ABM$4,"Часы",INDEX(Техника!$G$1:$ABN$500,N$2,0),$A$1334,INDEX(Техника!$H$1:$ABO$500,N$2,0),"Д")</f>
        <v>0</v>
      </c>
      <c r="O1336" s="50">
        <f>SUMIFS(INDEX(Техника!$F$1:$ABM$500,O$2,0),Техника!$F$4:$ABM$4,"Часы",INDEX(Техника!$G$1:$ABN$500,O$2,0),$A$1334,INDEX(Техника!$H$1:$ABO$500,O$2,0),"Д")</f>
        <v>0</v>
      </c>
      <c r="P1336" s="50">
        <f>SUMIFS(INDEX(Техника!$F$1:$ABM$500,P$2,0),Техника!$F$4:$ABM$4,"Часы",INDEX(Техника!$G$1:$ABN$500,P$2,0),$A$1334,INDEX(Техника!$H$1:$ABO$500,P$2,0),"Д")</f>
        <v>0</v>
      </c>
      <c r="Q1336" s="50">
        <f>SUMIFS(INDEX(Техника!$F$1:$ABM$500,Q$2,0),Техника!$F$4:$ABM$4,"Часы",INDEX(Техника!$G$1:$ABN$500,Q$2,0),$A$1334,INDEX(Техника!$H$1:$ABO$500,Q$2,0),"Д")</f>
        <v>0</v>
      </c>
      <c r="R1336" s="50">
        <f>SUMIFS(INDEX(Техника!$F$1:$ABM$500,R$2,0),Техника!$F$4:$ABM$4,"Часы",INDEX(Техника!$G$1:$ABN$500,R$2,0),$A$1334,INDEX(Техника!$H$1:$ABO$500,R$2,0),"Д")</f>
        <v>0</v>
      </c>
      <c r="S1336" s="50">
        <f>SUMIFS(INDEX(Техника!$F$1:$ABM$500,S$2,0),Техника!$F$4:$ABM$4,"Часы",INDEX(Техника!$G$1:$ABN$500,S$2,0),$A$1334,INDEX(Техника!$H$1:$ABO$500,S$2,0),"Д")</f>
        <v>0</v>
      </c>
      <c r="T1336" s="50">
        <f>SUMIFS(INDEX(Техника!$F$1:$ABM$500,T$2,0),Техника!$F$4:$ABM$4,"Часы",INDEX(Техника!$G$1:$ABN$500,T$2,0),$A$1334,INDEX(Техника!$H$1:$ABO$500,T$2,0),"Д")</f>
        <v>0</v>
      </c>
      <c r="U1336" s="50">
        <f>SUMIFS(INDEX(Техника!$F$1:$ABM$500,U$2,0),Техника!$F$4:$ABM$4,"Часы",INDEX(Техника!$G$1:$ABN$500,U$2,0),$A$1334,INDEX(Техника!$H$1:$ABO$500,U$2,0),"Д")</f>
        <v>0</v>
      </c>
      <c r="V1336" s="50">
        <f>SUMIFS(INDEX(Техника!$F$1:$ABM$500,V$2,0),Техника!$F$4:$ABM$4,"Часы",INDEX(Техника!$G$1:$ABN$500,V$2,0),$A$1334,INDEX(Техника!$H$1:$ABO$500,V$2,0),"Д")</f>
        <v>0</v>
      </c>
      <c r="W1336" s="50">
        <f>SUMIFS(INDEX(Техника!$F$1:$ABM$500,W$2,0),Техника!$F$4:$ABM$4,"Часы",INDEX(Техника!$G$1:$ABN$500,W$2,0),$A$1334,INDEX(Техника!$H$1:$ABO$500,W$2,0),"Д")</f>
        <v>0</v>
      </c>
      <c r="X1336" s="50">
        <f>SUMIFS(INDEX(Техника!$F$1:$ABM$500,X$2,0),Техника!$F$4:$ABM$4,"Часы",INDEX(Техника!$G$1:$ABN$500,X$2,0),$A$1334,INDEX(Техника!$H$1:$ABO$500,X$2,0),"Д")</f>
        <v>0</v>
      </c>
      <c r="Y1336" s="50">
        <f>SUMIFS(INDEX(Техника!$F$1:$ABM$500,Y$2,0),Техника!$F$4:$ABM$4,"Часы",INDEX(Техника!$G$1:$ABN$500,Y$2,0),$A$1334,INDEX(Техника!$H$1:$ABO$500,Y$2,0),"Д")</f>
        <v>0</v>
      </c>
      <c r="Z1336" s="50">
        <f>SUMIFS(INDEX(Техника!$F$1:$ABM$500,Z$2,0),Техника!$F$4:$ABM$4,"Часы",INDEX(Техника!$G$1:$ABN$500,Z$2,0),$A$1334,INDEX(Техника!$H$1:$ABO$500,Z$2,0),"Д")</f>
        <v>0</v>
      </c>
      <c r="AA1336" s="50">
        <f>SUMIFS(INDEX(Техника!$F$1:$ABM$500,AA$2,0),Техника!$F$4:$ABM$4,"Часы",INDEX(Техника!$G$1:$ABN$500,AA$2,0),$A$1334,INDEX(Техника!$H$1:$ABO$500,AA$2,0),"Д")</f>
        <v>0</v>
      </c>
      <c r="AB1336" s="50">
        <f>SUMIFS(INDEX(Техника!$F$1:$ABM$500,AB$2,0),Техника!$F$4:$ABM$4,"Часы",INDEX(Техника!$G$1:$ABN$500,AB$2,0),$A$1334,INDEX(Техника!$H$1:$ABO$500,AB$2,0),"Д")</f>
        <v>0</v>
      </c>
    </row>
    <row r="1337" spans="1:28" hidden="1" outlineLevel="1" x14ac:dyDescent="0.3">
      <c r="A1337" s="33" t="s">
        <v>276</v>
      </c>
      <c r="B1337" s="34" t="s">
        <v>277</v>
      </c>
      <c r="C1337" s="50">
        <f>SUMIFS(INDEX(Техника!$F$1:$ABM$500,C$2,0),Техника!$F$4:$ABM$4,"Часы",INDEX(Техника!$G$1:$ABN$500,C$2,0),$A$1334,INDEX(Техника!$H$1:$ABO$500,C$2,0),"П")</f>
        <v>0</v>
      </c>
      <c r="D1337" s="50">
        <f>SUMIFS(INDEX(Техника!$F$1:$ABM$500,D$2,0),Техника!$F$4:$ABM$4,"Часы",INDEX(Техника!$G$1:$ABN$500,D$2,0),$A$1334,INDEX(Техника!$H$1:$ABO$500,D$2,0),"П")</f>
        <v>0</v>
      </c>
      <c r="E1337" s="50">
        <f>SUMIFS(INDEX(Техника!$F$1:$ABM$500,E$2,0),Техника!$F$4:$ABM$4,"Часы",INDEX(Техника!$G$1:$ABN$500,E$2,0),$A$1334,INDEX(Техника!$H$1:$ABO$500,E$2,0),"П")</f>
        <v>0</v>
      </c>
      <c r="F1337" s="50">
        <f>SUMIFS(INDEX(Техника!$F$1:$ABM$500,F$2,0),Техника!$F$4:$ABM$4,"Часы",INDEX(Техника!$G$1:$ABN$500,F$2,0),$A$1334,INDEX(Техника!$H$1:$ABO$500,F$2,0),"П")</f>
        <v>0</v>
      </c>
      <c r="G1337" s="50">
        <f>SUMIFS(INDEX(Техника!$F$1:$ABM$500,G$2,0),Техника!$F$4:$ABM$4,"Часы",INDEX(Техника!$G$1:$ABN$500,G$2,0),$A$1334,INDEX(Техника!$H$1:$ABO$500,G$2,0),"П")</f>
        <v>0</v>
      </c>
      <c r="H1337" s="50">
        <f>SUMIFS(INDEX(Техника!$F$1:$ABM$500,H$2,0),Техника!$F$4:$ABM$4,"Часы",INDEX(Техника!$G$1:$ABN$500,H$2,0),$A$1334,INDEX(Техника!$H$1:$ABO$500,H$2,0),"П")</f>
        <v>0</v>
      </c>
      <c r="I1337" s="50">
        <f>SUMIFS(INDEX(Техника!$F$1:$ABM$500,I$2,0),Техника!$F$4:$ABM$4,"Часы",INDEX(Техника!$G$1:$ABN$500,I$2,0),$A$1334,INDEX(Техника!$H$1:$ABO$500,I$2,0),"П")</f>
        <v>0</v>
      </c>
      <c r="J1337" s="50">
        <f>SUMIFS(INDEX(Техника!$F$1:$ABM$500,J$2,0),Техника!$F$4:$ABM$4,"Часы",INDEX(Техника!$G$1:$ABN$500,J$2,0),$A$1334,INDEX(Техника!$H$1:$ABO$500,J$2,0),"П")</f>
        <v>0</v>
      </c>
      <c r="K1337" s="50">
        <f>SUMIFS(INDEX(Техника!$F$1:$ABM$500,K$2,0),Техника!$F$4:$ABM$4,"Часы",INDEX(Техника!$G$1:$ABN$500,K$2,0),$A$1334,INDEX(Техника!$H$1:$ABO$500,K$2,0),"П")</f>
        <v>0</v>
      </c>
      <c r="L1337" s="50">
        <f>SUMIFS(INDEX(Техника!$F$1:$ABM$500,L$2,0),Техника!$F$4:$ABM$4,"Часы",INDEX(Техника!$G$1:$ABN$500,L$2,0),$A$1334,INDEX(Техника!$H$1:$ABO$500,L$2,0),"П")</f>
        <v>0</v>
      </c>
      <c r="M1337" s="50">
        <f>SUMIFS(INDEX(Техника!$F$1:$ABM$500,M$2,0),Техника!$F$4:$ABM$4,"Часы",INDEX(Техника!$G$1:$ABN$500,M$2,0),$A$1334,INDEX(Техника!$H$1:$ABO$500,M$2,0),"П")</f>
        <v>0</v>
      </c>
      <c r="N1337" s="50">
        <f>SUMIFS(INDEX(Техника!$F$1:$ABM$500,N$2,0),Техника!$F$4:$ABM$4,"Часы",INDEX(Техника!$G$1:$ABN$500,N$2,0),$A$1334,INDEX(Техника!$H$1:$ABO$500,N$2,0),"П")</f>
        <v>0</v>
      </c>
      <c r="O1337" s="50">
        <f>SUMIFS(INDEX(Техника!$F$1:$ABM$500,O$2,0),Техника!$F$4:$ABM$4,"Часы",INDEX(Техника!$G$1:$ABN$500,O$2,0),$A$1334,INDEX(Техника!$H$1:$ABO$500,O$2,0),"П")</f>
        <v>0</v>
      </c>
      <c r="P1337" s="50">
        <f>SUMIFS(INDEX(Техника!$F$1:$ABM$500,P$2,0),Техника!$F$4:$ABM$4,"Часы",INDEX(Техника!$G$1:$ABN$500,P$2,0),$A$1334,INDEX(Техника!$H$1:$ABO$500,P$2,0),"П")</f>
        <v>0</v>
      </c>
      <c r="Q1337" s="50">
        <f>SUMIFS(INDEX(Техника!$F$1:$ABM$500,Q$2,0),Техника!$F$4:$ABM$4,"Часы",INDEX(Техника!$G$1:$ABN$500,Q$2,0),$A$1334,INDEX(Техника!$H$1:$ABO$500,Q$2,0),"П")</f>
        <v>0</v>
      </c>
      <c r="R1337" s="50">
        <f>SUMIFS(INDEX(Техника!$F$1:$ABM$500,R$2,0),Техника!$F$4:$ABM$4,"Часы",INDEX(Техника!$G$1:$ABN$500,R$2,0),$A$1334,INDEX(Техника!$H$1:$ABO$500,R$2,0),"П")</f>
        <v>0</v>
      </c>
      <c r="S1337" s="50">
        <f>SUMIFS(INDEX(Техника!$F$1:$ABM$500,S$2,0),Техника!$F$4:$ABM$4,"Часы",INDEX(Техника!$G$1:$ABN$500,S$2,0),$A$1334,INDEX(Техника!$H$1:$ABO$500,S$2,0),"П")</f>
        <v>0</v>
      </c>
      <c r="T1337" s="50">
        <f>SUMIFS(INDEX(Техника!$F$1:$ABM$500,T$2,0),Техника!$F$4:$ABM$4,"Часы",INDEX(Техника!$G$1:$ABN$500,T$2,0),$A$1334,INDEX(Техника!$H$1:$ABO$500,T$2,0),"П")</f>
        <v>0</v>
      </c>
      <c r="U1337" s="50">
        <f>SUMIFS(INDEX(Техника!$F$1:$ABM$500,U$2,0),Техника!$F$4:$ABM$4,"Часы",INDEX(Техника!$G$1:$ABN$500,U$2,0),$A$1334,INDEX(Техника!$H$1:$ABO$500,U$2,0),"П")</f>
        <v>0</v>
      </c>
      <c r="V1337" s="50">
        <f>SUMIFS(INDEX(Техника!$F$1:$ABM$500,V$2,0),Техника!$F$4:$ABM$4,"Часы",INDEX(Техника!$G$1:$ABN$500,V$2,0),$A$1334,INDEX(Техника!$H$1:$ABO$500,V$2,0),"П")</f>
        <v>0</v>
      </c>
      <c r="W1337" s="50">
        <f>SUMIFS(INDEX(Техника!$F$1:$ABM$500,W$2,0),Техника!$F$4:$ABM$4,"Часы",INDEX(Техника!$G$1:$ABN$500,W$2,0),$A$1334,INDEX(Техника!$H$1:$ABO$500,W$2,0),"П")</f>
        <v>0</v>
      </c>
      <c r="X1337" s="50">
        <f>SUMIFS(INDEX(Техника!$F$1:$ABM$500,X$2,0),Техника!$F$4:$ABM$4,"Часы",INDEX(Техника!$G$1:$ABN$500,X$2,0),$A$1334,INDEX(Техника!$H$1:$ABO$500,X$2,0),"П")</f>
        <v>0</v>
      </c>
      <c r="Y1337" s="50">
        <f>SUMIFS(INDEX(Техника!$F$1:$ABM$500,Y$2,0),Техника!$F$4:$ABM$4,"Часы",INDEX(Техника!$G$1:$ABN$500,Y$2,0),$A$1334,INDEX(Техника!$H$1:$ABO$500,Y$2,0),"П")</f>
        <v>0</v>
      </c>
      <c r="Z1337" s="50">
        <f>SUMIFS(INDEX(Техника!$F$1:$ABM$500,Z$2,0),Техника!$F$4:$ABM$4,"Часы",INDEX(Техника!$G$1:$ABN$500,Z$2,0),$A$1334,INDEX(Техника!$H$1:$ABO$500,Z$2,0),"П")</f>
        <v>0</v>
      </c>
      <c r="AA1337" s="50">
        <f>SUMIFS(INDEX(Техника!$F$1:$ABM$500,AA$2,0),Техника!$F$4:$ABM$4,"Часы",INDEX(Техника!$G$1:$ABN$500,AA$2,0),$A$1334,INDEX(Техника!$H$1:$ABO$500,AA$2,0),"П")</f>
        <v>0</v>
      </c>
      <c r="AB1337" s="50">
        <f>SUMIFS(INDEX(Техника!$F$1:$ABM$500,AB$2,0),Техника!$F$4:$ABM$4,"Часы",INDEX(Техника!$G$1:$ABN$500,AB$2,0),$A$1334,INDEX(Техника!$H$1:$ABO$500,AB$2,0),"П")</f>
        <v>0</v>
      </c>
    </row>
    <row r="1338" spans="1:28" hidden="1" outlineLevel="1" x14ac:dyDescent="0.3">
      <c r="A1338" s="33" t="s">
        <v>243</v>
      </c>
      <c r="B1338" s="34" t="s">
        <v>278</v>
      </c>
      <c r="C1338" s="50">
        <f>SUMIFS(INDEX(Техника!$F$1:$ABM$500,C$2,0),Техника!$F$4:$ABM$4,"Часы",INDEX(Техника!$G$1:$ABN$500,C$2,0),$A$1334,INDEX(Техника!$H$1:$ABO$500,C$2,0),"Л")</f>
        <v>0</v>
      </c>
      <c r="D1338" s="50">
        <f>SUMIFS(INDEX(Техника!$F$1:$ABM$500,D$2,0),Техника!$F$4:$ABM$4,"Часы",INDEX(Техника!$G$1:$ABN$500,D$2,0),$A$1334,INDEX(Техника!$H$1:$ABO$500,D$2,0),"Л")</f>
        <v>0</v>
      </c>
      <c r="E1338" s="50">
        <f>SUMIFS(INDEX(Техника!$F$1:$ABM$500,E$2,0),Техника!$F$4:$ABM$4,"Часы",INDEX(Техника!$G$1:$ABN$500,E$2,0),$A$1334,INDEX(Техника!$H$1:$ABO$500,E$2,0),"Л")</f>
        <v>0</v>
      </c>
      <c r="F1338" s="50">
        <f>SUMIFS(INDEX(Техника!$F$1:$ABM$500,F$2,0),Техника!$F$4:$ABM$4,"Часы",INDEX(Техника!$G$1:$ABN$500,F$2,0),$A$1334,INDEX(Техника!$H$1:$ABO$500,F$2,0),"Л")</f>
        <v>0</v>
      </c>
      <c r="G1338" s="50">
        <f>SUMIFS(INDEX(Техника!$F$1:$ABM$500,G$2,0),Техника!$F$4:$ABM$4,"Часы",INDEX(Техника!$G$1:$ABN$500,G$2,0),$A$1334,INDEX(Техника!$H$1:$ABO$500,G$2,0),"Л")</f>
        <v>0</v>
      </c>
      <c r="H1338" s="50">
        <f>SUMIFS(INDEX(Техника!$F$1:$ABM$500,H$2,0),Техника!$F$4:$ABM$4,"Часы",INDEX(Техника!$G$1:$ABN$500,H$2,0),$A$1334,INDEX(Техника!$H$1:$ABO$500,H$2,0),"Л")</f>
        <v>0</v>
      </c>
      <c r="I1338" s="50">
        <f>SUMIFS(INDEX(Техника!$F$1:$ABM$500,I$2,0),Техника!$F$4:$ABM$4,"Часы",INDEX(Техника!$G$1:$ABN$500,I$2,0),$A$1334,INDEX(Техника!$H$1:$ABO$500,I$2,0),"Л")</f>
        <v>0</v>
      </c>
      <c r="J1338" s="50">
        <f>SUMIFS(INDEX(Техника!$F$1:$ABM$500,J$2,0),Техника!$F$4:$ABM$4,"Часы",INDEX(Техника!$G$1:$ABN$500,J$2,0),$A$1334,INDEX(Техника!$H$1:$ABO$500,J$2,0),"Л")</f>
        <v>0</v>
      </c>
      <c r="K1338" s="50">
        <f>SUMIFS(INDEX(Техника!$F$1:$ABM$500,K$2,0),Техника!$F$4:$ABM$4,"Часы",INDEX(Техника!$G$1:$ABN$500,K$2,0),$A$1334,INDEX(Техника!$H$1:$ABO$500,K$2,0),"Л")</f>
        <v>0</v>
      </c>
      <c r="L1338" s="50">
        <f>SUMIFS(INDEX(Техника!$F$1:$ABM$500,L$2,0),Техника!$F$4:$ABM$4,"Часы",INDEX(Техника!$G$1:$ABN$500,L$2,0),$A$1334,INDEX(Техника!$H$1:$ABO$500,L$2,0),"Л")</f>
        <v>0</v>
      </c>
      <c r="M1338" s="50">
        <f>SUMIFS(INDEX(Техника!$F$1:$ABM$500,M$2,0),Техника!$F$4:$ABM$4,"Часы",INDEX(Техника!$G$1:$ABN$500,M$2,0),$A$1334,INDEX(Техника!$H$1:$ABO$500,M$2,0),"Л")</f>
        <v>0</v>
      </c>
      <c r="N1338" s="50">
        <f>SUMIFS(INDEX(Техника!$F$1:$ABM$500,N$2,0),Техника!$F$4:$ABM$4,"Часы",INDEX(Техника!$G$1:$ABN$500,N$2,0),$A$1334,INDEX(Техника!$H$1:$ABO$500,N$2,0),"Л")</f>
        <v>0</v>
      </c>
      <c r="O1338" s="50">
        <f>SUMIFS(INDEX(Техника!$F$1:$ABM$500,O$2,0),Техника!$F$4:$ABM$4,"Часы",INDEX(Техника!$G$1:$ABN$500,O$2,0),$A$1334,INDEX(Техника!$H$1:$ABO$500,O$2,0),"Л")</f>
        <v>0</v>
      </c>
      <c r="P1338" s="50">
        <f>SUMIFS(INDEX(Техника!$F$1:$ABM$500,P$2,0),Техника!$F$4:$ABM$4,"Часы",INDEX(Техника!$G$1:$ABN$500,P$2,0),$A$1334,INDEX(Техника!$H$1:$ABO$500,P$2,0),"Л")</f>
        <v>0</v>
      </c>
      <c r="Q1338" s="50">
        <f>SUMIFS(INDEX(Техника!$F$1:$ABM$500,Q$2,0),Техника!$F$4:$ABM$4,"Часы",INDEX(Техника!$G$1:$ABN$500,Q$2,0),$A$1334,INDEX(Техника!$H$1:$ABO$500,Q$2,0),"Л")</f>
        <v>0</v>
      </c>
      <c r="R1338" s="50">
        <f>SUMIFS(INDEX(Техника!$F$1:$ABM$500,R$2,0),Техника!$F$4:$ABM$4,"Часы",INDEX(Техника!$G$1:$ABN$500,R$2,0),$A$1334,INDEX(Техника!$H$1:$ABO$500,R$2,0),"Л")</f>
        <v>0</v>
      </c>
      <c r="S1338" s="50">
        <f>SUMIFS(INDEX(Техника!$F$1:$ABM$500,S$2,0),Техника!$F$4:$ABM$4,"Часы",INDEX(Техника!$G$1:$ABN$500,S$2,0),$A$1334,INDEX(Техника!$H$1:$ABO$500,S$2,0),"Л")</f>
        <v>0</v>
      </c>
      <c r="T1338" s="50">
        <f>SUMIFS(INDEX(Техника!$F$1:$ABM$500,T$2,0),Техника!$F$4:$ABM$4,"Часы",INDEX(Техника!$G$1:$ABN$500,T$2,0),$A$1334,INDEX(Техника!$H$1:$ABO$500,T$2,0),"Л")</f>
        <v>0</v>
      </c>
      <c r="U1338" s="50">
        <f>SUMIFS(INDEX(Техника!$F$1:$ABM$500,U$2,0),Техника!$F$4:$ABM$4,"Часы",INDEX(Техника!$G$1:$ABN$500,U$2,0),$A$1334,INDEX(Техника!$H$1:$ABO$500,U$2,0),"Л")</f>
        <v>0</v>
      </c>
      <c r="V1338" s="50">
        <f>SUMIFS(INDEX(Техника!$F$1:$ABM$500,V$2,0),Техника!$F$4:$ABM$4,"Часы",INDEX(Техника!$G$1:$ABN$500,V$2,0),$A$1334,INDEX(Техника!$H$1:$ABO$500,V$2,0),"Л")</f>
        <v>0</v>
      </c>
      <c r="W1338" s="50">
        <f>SUMIFS(INDEX(Техника!$F$1:$ABM$500,W$2,0),Техника!$F$4:$ABM$4,"Часы",INDEX(Техника!$G$1:$ABN$500,W$2,0),$A$1334,INDEX(Техника!$H$1:$ABO$500,W$2,0),"Л")</f>
        <v>0</v>
      </c>
      <c r="X1338" s="50">
        <f>SUMIFS(INDEX(Техника!$F$1:$ABM$500,X$2,0),Техника!$F$4:$ABM$4,"Часы",INDEX(Техника!$G$1:$ABN$500,X$2,0),$A$1334,INDEX(Техника!$H$1:$ABO$500,X$2,0),"Л")</f>
        <v>0</v>
      </c>
      <c r="Y1338" s="50">
        <f>SUMIFS(INDEX(Техника!$F$1:$ABM$500,Y$2,0),Техника!$F$4:$ABM$4,"Часы",INDEX(Техника!$G$1:$ABN$500,Y$2,0),$A$1334,INDEX(Техника!$H$1:$ABO$500,Y$2,0),"Л")</f>
        <v>0</v>
      </c>
      <c r="Z1338" s="50">
        <f>SUMIFS(INDEX(Техника!$F$1:$ABM$500,Z$2,0),Техника!$F$4:$ABM$4,"Часы",INDEX(Техника!$G$1:$ABN$500,Z$2,0),$A$1334,INDEX(Техника!$H$1:$ABO$500,Z$2,0),"Л")</f>
        <v>0</v>
      </c>
      <c r="AA1338" s="50">
        <f>SUMIFS(INDEX(Техника!$F$1:$ABM$500,AA$2,0),Техника!$F$4:$ABM$4,"Часы",INDEX(Техника!$G$1:$ABN$500,AA$2,0),$A$1334,INDEX(Техника!$H$1:$ABO$500,AA$2,0),"Л")</f>
        <v>0</v>
      </c>
      <c r="AB1338" s="50">
        <f>SUMIFS(INDEX(Техника!$F$1:$ABM$500,AB$2,0),Техника!$F$4:$ABM$4,"Часы",INDEX(Техника!$G$1:$ABN$500,AB$2,0),$A$1334,INDEX(Техника!$H$1:$ABO$500,AB$2,0),"Л")</f>
        <v>0</v>
      </c>
    </row>
    <row r="1339" spans="1:28" hidden="1" outlineLevel="1" x14ac:dyDescent="0.3">
      <c r="A1339" s="33" t="s">
        <v>245</v>
      </c>
      <c r="B1339" s="34" t="s">
        <v>279</v>
      </c>
      <c r="C1339" s="50">
        <f>SUMIFS(INDEX(Техника!$F$1:$ABM$500,C$2,0),Техника!$F$4:$ABM$4,"Часы",INDEX(Техника!$G$1:$ABN$500,C$2,0),$A$1334,INDEX(Техника!$H$1:$ABO$500,C$2,0),"З")</f>
        <v>0</v>
      </c>
      <c r="D1339" s="50">
        <f>SUMIFS(INDEX(Техника!$F$1:$ABM$500,D$2,0),Техника!$F$4:$ABM$4,"Часы",INDEX(Техника!$G$1:$ABN$500,D$2,0),$A$1334,INDEX(Техника!$H$1:$ABO$500,D$2,0),"З")</f>
        <v>0</v>
      </c>
      <c r="E1339" s="50">
        <f>SUMIFS(INDEX(Техника!$F$1:$ABM$500,E$2,0),Техника!$F$4:$ABM$4,"Часы",INDEX(Техника!$G$1:$ABN$500,E$2,0),$A$1334,INDEX(Техника!$H$1:$ABO$500,E$2,0),"З")</f>
        <v>0</v>
      </c>
      <c r="F1339" s="50">
        <f>SUMIFS(INDEX(Техника!$F$1:$ABM$500,F$2,0),Техника!$F$4:$ABM$4,"Часы",INDEX(Техника!$G$1:$ABN$500,F$2,0),$A$1334,INDEX(Техника!$H$1:$ABO$500,F$2,0),"З")</f>
        <v>0</v>
      </c>
      <c r="G1339" s="50">
        <f>SUMIFS(INDEX(Техника!$F$1:$ABM$500,G$2,0),Техника!$F$4:$ABM$4,"Часы",INDEX(Техника!$G$1:$ABN$500,G$2,0),$A$1334,INDEX(Техника!$H$1:$ABO$500,G$2,0),"З")</f>
        <v>0</v>
      </c>
      <c r="H1339" s="50">
        <f>SUMIFS(INDEX(Техника!$F$1:$ABM$500,H$2,0),Техника!$F$4:$ABM$4,"Часы",INDEX(Техника!$G$1:$ABN$500,H$2,0),$A$1334,INDEX(Техника!$H$1:$ABO$500,H$2,0),"З")</f>
        <v>0</v>
      </c>
      <c r="I1339" s="50">
        <f>SUMIFS(INDEX(Техника!$F$1:$ABM$500,I$2,0),Техника!$F$4:$ABM$4,"Часы",INDEX(Техника!$G$1:$ABN$500,I$2,0),$A$1334,INDEX(Техника!$H$1:$ABO$500,I$2,0),"З")</f>
        <v>0</v>
      </c>
      <c r="J1339" s="50">
        <f>SUMIFS(INDEX(Техника!$F$1:$ABM$500,J$2,0),Техника!$F$4:$ABM$4,"Часы",INDEX(Техника!$G$1:$ABN$500,J$2,0),$A$1334,INDEX(Техника!$H$1:$ABO$500,J$2,0),"З")</f>
        <v>0</v>
      </c>
      <c r="K1339" s="50">
        <f>SUMIFS(INDEX(Техника!$F$1:$ABM$500,K$2,0),Техника!$F$4:$ABM$4,"Часы",INDEX(Техника!$G$1:$ABN$500,K$2,0),$A$1334,INDEX(Техника!$H$1:$ABO$500,K$2,0),"З")</f>
        <v>0</v>
      </c>
      <c r="L1339" s="50">
        <f>SUMIFS(INDEX(Техника!$F$1:$ABM$500,L$2,0),Техника!$F$4:$ABM$4,"Часы",INDEX(Техника!$G$1:$ABN$500,L$2,0),$A$1334,INDEX(Техника!$H$1:$ABO$500,L$2,0),"З")</f>
        <v>0</v>
      </c>
      <c r="M1339" s="50">
        <f>SUMIFS(INDEX(Техника!$F$1:$ABM$500,M$2,0),Техника!$F$4:$ABM$4,"Часы",INDEX(Техника!$G$1:$ABN$500,M$2,0),$A$1334,INDEX(Техника!$H$1:$ABO$500,M$2,0),"З")</f>
        <v>0</v>
      </c>
      <c r="N1339" s="50">
        <f>SUMIFS(INDEX(Техника!$F$1:$ABM$500,N$2,0),Техника!$F$4:$ABM$4,"Часы",INDEX(Техника!$G$1:$ABN$500,N$2,0),$A$1334,INDEX(Техника!$H$1:$ABO$500,N$2,0),"З")</f>
        <v>0</v>
      </c>
      <c r="O1339" s="50">
        <f>SUMIFS(INDEX(Техника!$F$1:$ABM$500,O$2,0),Техника!$F$4:$ABM$4,"Часы",INDEX(Техника!$G$1:$ABN$500,O$2,0),$A$1334,INDEX(Техника!$H$1:$ABO$500,O$2,0),"З")</f>
        <v>0</v>
      </c>
      <c r="P1339" s="50">
        <f>SUMIFS(INDEX(Техника!$F$1:$ABM$500,P$2,0),Техника!$F$4:$ABM$4,"Часы",INDEX(Техника!$G$1:$ABN$500,P$2,0),$A$1334,INDEX(Техника!$H$1:$ABO$500,P$2,0),"З")</f>
        <v>0</v>
      </c>
      <c r="Q1339" s="50">
        <f>SUMIFS(INDEX(Техника!$F$1:$ABM$500,Q$2,0),Техника!$F$4:$ABM$4,"Часы",INDEX(Техника!$G$1:$ABN$500,Q$2,0),$A$1334,INDEX(Техника!$H$1:$ABO$500,Q$2,0),"З")</f>
        <v>0</v>
      </c>
      <c r="R1339" s="50">
        <f>SUMIFS(INDEX(Техника!$F$1:$ABM$500,R$2,0),Техника!$F$4:$ABM$4,"Часы",INDEX(Техника!$G$1:$ABN$500,R$2,0),$A$1334,INDEX(Техника!$H$1:$ABO$500,R$2,0),"З")</f>
        <v>0</v>
      </c>
      <c r="S1339" s="50">
        <f>SUMIFS(INDEX(Техника!$F$1:$ABM$500,S$2,0),Техника!$F$4:$ABM$4,"Часы",INDEX(Техника!$G$1:$ABN$500,S$2,0),$A$1334,INDEX(Техника!$H$1:$ABO$500,S$2,0),"З")</f>
        <v>0</v>
      </c>
      <c r="T1339" s="50">
        <f>SUMIFS(INDEX(Техника!$F$1:$ABM$500,T$2,0),Техника!$F$4:$ABM$4,"Часы",INDEX(Техника!$G$1:$ABN$500,T$2,0),$A$1334,INDEX(Техника!$H$1:$ABO$500,T$2,0),"З")</f>
        <v>0</v>
      </c>
      <c r="U1339" s="50">
        <f>SUMIFS(INDEX(Техника!$F$1:$ABM$500,U$2,0),Техника!$F$4:$ABM$4,"Часы",INDEX(Техника!$G$1:$ABN$500,U$2,0),$A$1334,INDEX(Техника!$H$1:$ABO$500,U$2,0),"З")</f>
        <v>0</v>
      </c>
      <c r="V1339" s="50">
        <f>SUMIFS(INDEX(Техника!$F$1:$ABM$500,V$2,0),Техника!$F$4:$ABM$4,"Часы",INDEX(Техника!$G$1:$ABN$500,V$2,0),$A$1334,INDEX(Техника!$H$1:$ABO$500,V$2,0),"З")</f>
        <v>0</v>
      </c>
      <c r="W1339" s="50">
        <f>SUMIFS(INDEX(Техника!$F$1:$ABM$500,W$2,0),Техника!$F$4:$ABM$4,"Часы",INDEX(Техника!$G$1:$ABN$500,W$2,0),$A$1334,INDEX(Техника!$H$1:$ABO$500,W$2,0),"З")</f>
        <v>0</v>
      </c>
      <c r="X1339" s="50">
        <f>SUMIFS(INDEX(Техника!$F$1:$ABM$500,X$2,0),Техника!$F$4:$ABM$4,"Часы",INDEX(Техника!$G$1:$ABN$500,X$2,0),$A$1334,INDEX(Техника!$H$1:$ABO$500,X$2,0),"З")</f>
        <v>0</v>
      </c>
      <c r="Y1339" s="50">
        <f>SUMIFS(INDEX(Техника!$F$1:$ABM$500,Y$2,0),Техника!$F$4:$ABM$4,"Часы",INDEX(Техника!$G$1:$ABN$500,Y$2,0),$A$1334,INDEX(Техника!$H$1:$ABO$500,Y$2,0),"З")</f>
        <v>0</v>
      </c>
      <c r="Z1339" s="50">
        <f>SUMIFS(INDEX(Техника!$F$1:$ABM$500,Z$2,0),Техника!$F$4:$ABM$4,"Часы",INDEX(Техника!$G$1:$ABN$500,Z$2,0),$A$1334,INDEX(Техника!$H$1:$ABO$500,Z$2,0),"З")</f>
        <v>0</v>
      </c>
      <c r="AA1339" s="50">
        <f>SUMIFS(INDEX(Техника!$F$1:$ABM$500,AA$2,0),Техника!$F$4:$ABM$4,"Часы",INDEX(Техника!$G$1:$ABN$500,AA$2,0),$A$1334,INDEX(Техника!$H$1:$ABO$500,AA$2,0),"З")</f>
        <v>0</v>
      </c>
      <c r="AB1339" s="50">
        <f>SUMIFS(INDEX(Техника!$F$1:$ABM$500,AB$2,0),Техника!$F$4:$ABM$4,"Часы",INDEX(Техника!$G$1:$ABN$500,AB$2,0),$A$1334,INDEX(Техника!$H$1:$ABO$500,AB$2,0),"З")</f>
        <v>0</v>
      </c>
    </row>
    <row r="1340" spans="1:28" ht="7.95" customHeight="1" x14ac:dyDescent="0.3">
      <c r="A1340" s="38"/>
      <c r="B1340" s="39"/>
      <c r="C1340" s="51"/>
      <c r="D1340" s="51"/>
      <c r="E1340" s="51"/>
      <c r="F1340" s="51"/>
      <c r="G1340" s="51"/>
      <c r="H1340" s="51"/>
      <c r="I1340" s="51"/>
      <c r="J1340" s="51"/>
      <c r="K1340" s="51"/>
      <c r="L1340" s="51"/>
      <c r="M1340" s="51"/>
      <c r="N1340" s="51"/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</row>
    <row r="1341" spans="1:28" ht="25.05" customHeight="1" collapsed="1" x14ac:dyDescent="0.3">
      <c r="A1341" s="32">
        <v>192</v>
      </c>
      <c r="B1341" s="32" t="s">
        <v>193</v>
      </c>
      <c r="C1341" s="49">
        <f>SUM(C1342:C1346)</f>
        <v>0</v>
      </c>
      <c r="D1341" s="49">
        <f>SUM(D1342:D1346)</f>
        <v>0</v>
      </c>
      <c r="E1341" s="49">
        <f>SUM(E1342:E1346)</f>
        <v>0</v>
      </c>
      <c r="F1341" s="49">
        <f>SUM(F1342:F1346)</f>
        <v>0</v>
      </c>
      <c r="G1341" s="49">
        <f>SUM(G1342:G1346)</f>
        <v>0</v>
      </c>
      <c r="H1341" s="49">
        <f>SUM(H1342:H1346)</f>
        <v>0</v>
      </c>
      <c r="I1341" s="49">
        <f>SUM(I1342:I1346)</f>
        <v>0</v>
      </c>
      <c r="J1341" s="49">
        <f>SUM(J1342:J1346)</f>
        <v>0</v>
      </c>
      <c r="K1341" s="49">
        <f>SUM(K1342:K1346)</f>
        <v>0</v>
      </c>
      <c r="L1341" s="49">
        <f>SUM(L1342:L1346)</f>
        <v>0</v>
      </c>
      <c r="M1341" s="49">
        <f>SUM(M1342:M1346)</f>
        <v>0</v>
      </c>
      <c r="N1341" s="49">
        <f>SUM(N1342:N1346)</f>
        <v>0</v>
      </c>
      <c r="O1341" s="49">
        <f>SUM(O1342:O1346)</f>
        <v>0</v>
      </c>
      <c r="P1341" s="49">
        <f>SUM(P1342:P1346)</f>
        <v>0</v>
      </c>
      <c r="Q1341" s="49">
        <f>SUM(Q1342:Q1346)</f>
        <v>0</v>
      </c>
      <c r="R1341" s="49">
        <f>SUM(R1342:R1346)</f>
        <v>0</v>
      </c>
      <c r="S1341" s="49">
        <f>SUM(S1342:S1346)</f>
        <v>0</v>
      </c>
      <c r="T1341" s="49">
        <f>SUM(T1342:T1346)</f>
        <v>0</v>
      </c>
      <c r="U1341" s="49">
        <f>SUM(U1342:U1346)</f>
        <v>0</v>
      </c>
      <c r="V1341" s="49">
        <f>SUM(V1342:V1346)</f>
        <v>0</v>
      </c>
      <c r="W1341" s="49">
        <f>SUM(W1342:W1346)</f>
        <v>0</v>
      </c>
      <c r="X1341" s="49">
        <f>SUM(X1342:X1346)</f>
        <v>0</v>
      </c>
      <c r="Y1341" s="49">
        <f>SUM(Y1342:Y1346)</f>
        <v>0</v>
      </c>
      <c r="Z1341" s="49">
        <f>SUM(Z1342:Z1346)</f>
        <v>0</v>
      </c>
      <c r="AA1341" s="49">
        <f>SUM(AA1342:AA1346)</f>
        <v>0</v>
      </c>
      <c r="AB1341" s="49">
        <f>SUM(AB1342:AB1346)</f>
        <v>0</v>
      </c>
    </row>
    <row r="1342" spans="1:28" hidden="1" outlineLevel="1" x14ac:dyDescent="0.3">
      <c r="A1342" s="33" t="s">
        <v>246</v>
      </c>
      <c r="B1342" s="34" t="s">
        <v>274</v>
      </c>
      <c r="C1342" s="50">
        <f>SUMIFS(INDEX(Техника!$F$1:$ABM$500,C$2,0),Техника!$F$4:$ABM$4,"Часы",INDEX(Техника!$G$1:$ABN$500,C$2,0),$A$1341,INDEX(Техника!$H$1:$ABO$500,C$2,0),"М")</f>
        <v>0</v>
      </c>
      <c r="D1342" s="50">
        <f>SUMIFS(INDEX(Техника!$F$1:$ABM$500,D$2,0),Техника!$F$4:$ABM$4,"Часы",INDEX(Техника!$G$1:$ABN$500,D$2,0),$A$1341,INDEX(Техника!$H$1:$ABO$500,D$2,0),"М")</f>
        <v>0</v>
      </c>
      <c r="E1342" s="50">
        <f>SUMIFS(INDEX(Техника!$F$1:$ABM$500,E$2,0),Техника!$F$4:$ABM$4,"Часы",INDEX(Техника!$G$1:$ABN$500,E$2,0),$A$1341,INDEX(Техника!$H$1:$ABO$500,E$2,0),"М")</f>
        <v>0</v>
      </c>
      <c r="F1342" s="50">
        <f>SUMIFS(INDEX(Техника!$F$1:$ABM$500,F$2,0),Техника!$F$4:$ABM$4,"Часы",INDEX(Техника!$G$1:$ABN$500,F$2,0),$A$1341,INDEX(Техника!$H$1:$ABO$500,F$2,0),"М")</f>
        <v>0</v>
      </c>
      <c r="G1342" s="50">
        <f>SUMIFS(INDEX(Техника!$F$1:$ABM$500,G$2,0),Техника!$F$4:$ABM$4,"Часы",INDEX(Техника!$G$1:$ABN$500,G$2,0),$A$1341,INDEX(Техника!$H$1:$ABO$500,G$2,0),"М")</f>
        <v>0</v>
      </c>
      <c r="H1342" s="50">
        <f>SUMIFS(INDEX(Техника!$F$1:$ABM$500,H$2,0),Техника!$F$4:$ABM$4,"Часы",INDEX(Техника!$G$1:$ABN$500,H$2,0),$A$1341,INDEX(Техника!$H$1:$ABO$500,H$2,0),"М")</f>
        <v>0</v>
      </c>
      <c r="I1342" s="50">
        <f>SUMIFS(INDEX(Техника!$F$1:$ABM$500,I$2,0),Техника!$F$4:$ABM$4,"Часы",INDEX(Техника!$G$1:$ABN$500,I$2,0),$A$1341,INDEX(Техника!$H$1:$ABO$500,I$2,0),"М")</f>
        <v>0</v>
      </c>
      <c r="J1342" s="50">
        <f>SUMIFS(INDEX(Техника!$F$1:$ABM$500,J$2,0),Техника!$F$4:$ABM$4,"Часы",INDEX(Техника!$G$1:$ABN$500,J$2,0),$A$1341,INDEX(Техника!$H$1:$ABO$500,J$2,0),"М")</f>
        <v>0</v>
      </c>
      <c r="K1342" s="50">
        <f>SUMIFS(INDEX(Техника!$F$1:$ABM$500,K$2,0),Техника!$F$4:$ABM$4,"Часы",INDEX(Техника!$G$1:$ABN$500,K$2,0),$A$1341,INDEX(Техника!$H$1:$ABO$500,K$2,0),"М")</f>
        <v>0</v>
      </c>
      <c r="L1342" s="50">
        <f>SUMIFS(INDEX(Техника!$F$1:$ABM$500,L$2,0),Техника!$F$4:$ABM$4,"Часы",INDEX(Техника!$G$1:$ABN$500,L$2,0),$A$1341,INDEX(Техника!$H$1:$ABO$500,L$2,0),"М")</f>
        <v>0</v>
      </c>
      <c r="M1342" s="50">
        <f>SUMIFS(INDEX(Техника!$F$1:$ABM$500,M$2,0),Техника!$F$4:$ABM$4,"Часы",INDEX(Техника!$G$1:$ABN$500,M$2,0),$A$1341,INDEX(Техника!$H$1:$ABO$500,M$2,0),"М")</f>
        <v>0</v>
      </c>
      <c r="N1342" s="50">
        <f>SUMIFS(INDEX(Техника!$F$1:$ABM$500,N$2,0),Техника!$F$4:$ABM$4,"Часы",INDEX(Техника!$G$1:$ABN$500,N$2,0),$A$1341,INDEX(Техника!$H$1:$ABO$500,N$2,0),"М")</f>
        <v>0</v>
      </c>
      <c r="O1342" s="50">
        <f>SUMIFS(INDEX(Техника!$F$1:$ABM$500,O$2,0),Техника!$F$4:$ABM$4,"Часы",INDEX(Техника!$G$1:$ABN$500,O$2,0),$A$1341,INDEX(Техника!$H$1:$ABO$500,O$2,0),"М")</f>
        <v>0</v>
      </c>
      <c r="P1342" s="50">
        <f>SUMIFS(INDEX(Техника!$F$1:$ABM$500,P$2,0),Техника!$F$4:$ABM$4,"Часы",INDEX(Техника!$G$1:$ABN$500,P$2,0),$A$1341,INDEX(Техника!$H$1:$ABO$500,P$2,0),"М")</f>
        <v>0</v>
      </c>
      <c r="Q1342" s="50">
        <f>SUMIFS(INDEX(Техника!$F$1:$ABM$500,Q$2,0),Техника!$F$4:$ABM$4,"Часы",INDEX(Техника!$G$1:$ABN$500,Q$2,0),$A$1341,INDEX(Техника!$H$1:$ABO$500,Q$2,0),"М")</f>
        <v>0</v>
      </c>
      <c r="R1342" s="50">
        <f>SUMIFS(INDEX(Техника!$F$1:$ABM$500,R$2,0),Техника!$F$4:$ABM$4,"Часы",INDEX(Техника!$G$1:$ABN$500,R$2,0),$A$1341,INDEX(Техника!$H$1:$ABO$500,R$2,0),"М")</f>
        <v>0</v>
      </c>
      <c r="S1342" s="50">
        <f>SUMIFS(INDEX(Техника!$F$1:$ABM$500,S$2,0),Техника!$F$4:$ABM$4,"Часы",INDEX(Техника!$G$1:$ABN$500,S$2,0),$A$1341,INDEX(Техника!$H$1:$ABO$500,S$2,0),"М")</f>
        <v>0</v>
      </c>
      <c r="T1342" s="50">
        <f>SUMIFS(INDEX(Техника!$F$1:$ABM$500,T$2,0),Техника!$F$4:$ABM$4,"Часы",INDEX(Техника!$G$1:$ABN$500,T$2,0),$A$1341,INDEX(Техника!$H$1:$ABO$500,T$2,0),"М")</f>
        <v>0</v>
      </c>
      <c r="U1342" s="50">
        <f>SUMIFS(INDEX(Техника!$F$1:$ABM$500,U$2,0),Техника!$F$4:$ABM$4,"Часы",INDEX(Техника!$G$1:$ABN$500,U$2,0),$A$1341,INDEX(Техника!$H$1:$ABO$500,U$2,0),"М")</f>
        <v>0</v>
      </c>
      <c r="V1342" s="50">
        <f>SUMIFS(INDEX(Техника!$F$1:$ABM$500,V$2,0),Техника!$F$4:$ABM$4,"Часы",INDEX(Техника!$G$1:$ABN$500,V$2,0),$A$1341,INDEX(Техника!$H$1:$ABO$500,V$2,0),"М")</f>
        <v>0</v>
      </c>
      <c r="W1342" s="50">
        <f>SUMIFS(INDEX(Техника!$F$1:$ABM$500,W$2,0),Техника!$F$4:$ABM$4,"Часы",INDEX(Техника!$G$1:$ABN$500,W$2,0),$A$1341,INDEX(Техника!$H$1:$ABO$500,W$2,0),"М")</f>
        <v>0</v>
      </c>
      <c r="X1342" s="50">
        <f>SUMIFS(INDEX(Техника!$F$1:$ABM$500,X$2,0),Техника!$F$4:$ABM$4,"Часы",INDEX(Техника!$G$1:$ABN$500,X$2,0),$A$1341,INDEX(Техника!$H$1:$ABO$500,X$2,0),"М")</f>
        <v>0</v>
      </c>
      <c r="Y1342" s="50">
        <f>SUMIFS(INDEX(Техника!$F$1:$ABM$500,Y$2,0),Техника!$F$4:$ABM$4,"Часы",INDEX(Техника!$G$1:$ABN$500,Y$2,0),$A$1341,INDEX(Техника!$H$1:$ABO$500,Y$2,0),"М")</f>
        <v>0</v>
      </c>
      <c r="Z1342" s="50">
        <f>SUMIFS(INDEX(Техника!$F$1:$ABM$500,Z$2,0),Техника!$F$4:$ABM$4,"Часы",INDEX(Техника!$G$1:$ABN$500,Z$2,0),$A$1341,INDEX(Техника!$H$1:$ABO$500,Z$2,0),"М")</f>
        <v>0</v>
      </c>
      <c r="AA1342" s="50">
        <f>SUMIFS(INDEX(Техника!$F$1:$ABM$500,AA$2,0),Техника!$F$4:$ABM$4,"Часы",INDEX(Техника!$G$1:$ABN$500,AA$2,0),$A$1341,INDEX(Техника!$H$1:$ABO$500,AA$2,0),"М")</f>
        <v>0</v>
      </c>
      <c r="AB1342" s="50">
        <f>SUMIFS(INDEX(Техника!$F$1:$ABM$500,AB$2,0),Техника!$F$4:$ABM$4,"Часы",INDEX(Техника!$G$1:$ABN$500,AB$2,0),$A$1341,INDEX(Техника!$H$1:$ABO$500,AB$2,0),"М")</f>
        <v>0</v>
      </c>
    </row>
    <row r="1343" spans="1:28" hidden="1" outlineLevel="1" x14ac:dyDescent="0.3">
      <c r="A1343" s="33" t="s">
        <v>244</v>
      </c>
      <c r="B1343" s="34" t="s">
        <v>275</v>
      </c>
      <c r="C1343" s="50">
        <f>SUMIFS(INDEX(Техника!$F$1:$ABM$500,C$2,0),Техника!$F$4:$ABM$4,"Часы",INDEX(Техника!$G$1:$ABN$500,C$2,0),$A$1341,INDEX(Техника!$H$1:$ABO$500,C$2,0),"Д")</f>
        <v>0</v>
      </c>
      <c r="D1343" s="50">
        <f>SUMIFS(INDEX(Техника!$F$1:$ABM$500,D$2,0),Техника!$F$4:$ABM$4,"Часы",INDEX(Техника!$G$1:$ABN$500,D$2,0),$A$1341,INDEX(Техника!$H$1:$ABO$500,D$2,0),"Д")</f>
        <v>0</v>
      </c>
      <c r="E1343" s="50">
        <f>SUMIFS(INDEX(Техника!$F$1:$ABM$500,E$2,0),Техника!$F$4:$ABM$4,"Часы",INDEX(Техника!$G$1:$ABN$500,E$2,0),$A$1341,INDEX(Техника!$H$1:$ABO$500,E$2,0),"Д")</f>
        <v>0</v>
      </c>
      <c r="F1343" s="50">
        <f>SUMIFS(INDEX(Техника!$F$1:$ABM$500,F$2,0),Техника!$F$4:$ABM$4,"Часы",INDEX(Техника!$G$1:$ABN$500,F$2,0),$A$1341,INDEX(Техника!$H$1:$ABO$500,F$2,0),"Д")</f>
        <v>0</v>
      </c>
      <c r="G1343" s="50">
        <f>SUMIFS(INDEX(Техника!$F$1:$ABM$500,G$2,0),Техника!$F$4:$ABM$4,"Часы",INDEX(Техника!$G$1:$ABN$500,G$2,0),$A$1341,INDEX(Техника!$H$1:$ABO$500,G$2,0),"Д")</f>
        <v>0</v>
      </c>
      <c r="H1343" s="50">
        <f>SUMIFS(INDEX(Техника!$F$1:$ABM$500,H$2,0),Техника!$F$4:$ABM$4,"Часы",INDEX(Техника!$G$1:$ABN$500,H$2,0),$A$1341,INDEX(Техника!$H$1:$ABO$500,H$2,0),"Д")</f>
        <v>0</v>
      </c>
      <c r="I1343" s="50">
        <f>SUMIFS(INDEX(Техника!$F$1:$ABM$500,I$2,0),Техника!$F$4:$ABM$4,"Часы",INDEX(Техника!$G$1:$ABN$500,I$2,0),$A$1341,INDEX(Техника!$H$1:$ABO$500,I$2,0),"Д")</f>
        <v>0</v>
      </c>
      <c r="J1343" s="50">
        <f>SUMIFS(INDEX(Техника!$F$1:$ABM$500,J$2,0),Техника!$F$4:$ABM$4,"Часы",INDEX(Техника!$G$1:$ABN$500,J$2,0),$A$1341,INDEX(Техника!$H$1:$ABO$500,J$2,0),"Д")</f>
        <v>0</v>
      </c>
      <c r="K1343" s="50">
        <f>SUMIFS(INDEX(Техника!$F$1:$ABM$500,K$2,0),Техника!$F$4:$ABM$4,"Часы",INDEX(Техника!$G$1:$ABN$500,K$2,0),$A$1341,INDEX(Техника!$H$1:$ABO$500,K$2,0),"Д")</f>
        <v>0</v>
      </c>
      <c r="L1343" s="50">
        <f>SUMIFS(INDEX(Техника!$F$1:$ABM$500,L$2,0),Техника!$F$4:$ABM$4,"Часы",INDEX(Техника!$G$1:$ABN$500,L$2,0),$A$1341,INDEX(Техника!$H$1:$ABO$500,L$2,0),"Д")</f>
        <v>0</v>
      </c>
      <c r="M1343" s="50">
        <f>SUMIFS(INDEX(Техника!$F$1:$ABM$500,M$2,0),Техника!$F$4:$ABM$4,"Часы",INDEX(Техника!$G$1:$ABN$500,M$2,0),$A$1341,INDEX(Техника!$H$1:$ABO$500,M$2,0),"Д")</f>
        <v>0</v>
      </c>
      <c r="N1343" s="50">
        <f>SUMIFS(INDEX(Техника!$F$1:$ABM$500,N$2,0),Техника!$F$4:$ABM$4,"Часы",INDEX(Техника!$G$1:$ABN$500,N$2,0),$A$1341,INDEX(Техника!$H$1:$ABO$500,N$2,0),"Д")</f>
        <v>0</v>
      </c>
      <c r="O1343" s="50">
        <f>SUMIFS(INDEX(Техника!$F$1:$ABM$500,O$2,0),Техника!$F$4:$ABM$4,"Часы",INDEX(Техника!$G$1:$ABN$500,O$2,0),$A$1341,INDEX(Техника!$H$1:$ABO$500,O$2,0),"Д")</f>
        <v>0</v>
      </c>
      <c r="P1343" s="50">
        <f>SUMIFS(INDEX(Техника!$F$1:$ABM$500,P$2,0),Техника!$F$4:$ABM$4,"Часы",INDEX(Техника!$G$1:$ABN$500,P$2,0),$A$1341,INDEX(Техника!$H$1:$ABO$500,P$2,0),"Д")</f>
        <v>0</v>
      </c>
      <c r="Q1343" s="50">
        <f>SUMIFS(INDEX(Техника!$F$1:$ABM$500,Q$2,0),Техника!$F$4:$ABM$4,"Часы",INDEX(Техника!$G$1:$ABN$500,Q$2,0),$A$1341,INDEX(Техника!$H$1:$ABO$500,Q$2,0),"Д")</f>
        <v>0</v>
      </c>
      <c r="R1343" s="50">
        <f>SUMIFS(INDEX(Техника!$F$1:$ABM$500,R$2,0),Техника!$F$4:$ABM$4,"Часы",INDEX(Техника!$G$1:$ABN$500,R$2,0),$A$1341,INDEX(Техника!$H$1:$ABO$500,R$2,0),"Д")</f>
        <v>0</v>
      </c>
      <c r="S1343" s="50">
        <f>SUMIFS(INDEX(Техника!$F$1:$ABM$500,S$2,0),Техника!$F$4:$ABM$4,"Часы",INDEX(Техника!$G$1:$ABN$500,S$2,0),$A$1341,INDEX(Техника!$H$1:$ABO$500,S$2,0),"Д")</f>
        <v>0</v>
      </c>
      <c r="T1343" s="50">
        <f>SUMIFS(INDEX(Техника!$F$1:$ABM$500,T$2,0),Техника!$F$4:$ABM$4,"Часы",INDEX(Техника!$G$1:$ABN$500,T$2,0),$A$1341,INDEX(Техника!$H$1:$ABO$500,T$2,0),"Д")</f>
        <v>0</v>
      </c>
      <c r="U1343" s="50">
        <f>SUMIFS(INDEX(Техника!$F$1:$ABM$500,U$2,0),Техника!$F$4:$ABM$4,"Часы",INDEX(Техника!$G$1:$ABN$500,U$2,0),$A$1341,INDEX(Техника!$H$1:$ABO$500,U$2,0),"Д")</f>
        <v>0</v>
      </c>
      <c r="V1343" s="50">
        <f>SUMIFS(INDEX(Техника!$F$1:$ABM$500,V$2,0),Техника!$F$4:$ABM$4,"Часы",INDEX(Техника!$G$1:$ABN$500,V$2,0),$A$1341,INDEX(Техника!$H$1:$ABO$500,V$2,0),"Д")</f>
        <v>0</v>
      </c>
      <c r="W1343" s="50">
        <f>SUMIFS(INDEX(Техника!$F$1:$ABM$500,W$2,0),Техника!$F$4:$ABM$4,"Часы",INDEX(Техника!$G$1:$ABN$500,W$2,0),$A$1341,INDEX(Техника!$H$1:$ABO$500,W$2,0),"Д")</f>
        <v>0</v>
      </c>
      <c r="X1343" s="50">
        <f>SUMIFS(INDEX(Техника!$F$1:$ABM$500,X$2,0),Техника!$F$4:$ABM$4,"Часы",INDEX(Техника!$G$1:$ABN$500,X$2,0),$A$1341,INDEX(Техника!$H$1:$ABO$500,X$2,0),"Д")</f>
        <v>0</v>
      </c>
      <c r="Y1343" s="50">
        <f>SUMIFS(INDEX(Техника!$F$1:$ABM$500,Y$2,0),Техника!$F$4:$ABM$4,"Часы",INDEX(Техника!$G$1:$ABN$500,Y$2,0),$A$1341,INDEX(Техника!$H$1:$ABO$500,Y$2,0),"Д")</f>
        <v>0</v>
      </c>
      <c r="Z1343" s="50">
        <f>SUMIFS(INDEX(Техника!$F$1:$ABM$500,Z$2,0),Техника!$F$4:$ABM$4,"Часы",INDEX(Техника!$G$1:$ABN$500,Z$2,0),$A$1341,INDEX(Техника!$H$1:$ABO$500,Z$2,0),"Д")</f>
        <v>0</v>
      </c>
      <c r="AA1343" s="50">
        <f>SUMIFS(INDEX(Техника!$F$1:$ABM$500,AA$2,0),Техника!$F$4:$ABM$4,"Часы",INDEX(Техника!$G$1:$ABN$500,AA$2,0),$A$1341,INDEX(Техника!$H$1:$ABO$500,AA$2,0),"Д")</f>
        <v>0</v>
      </c>
      <c r="AB1343" s="50">
        <f>SUMIFS(INDEX(Техника!$F$1:$ABM$500,AB$2,0),Техника!$F$4:$ABM$4,"Часы",INDEX(Техника!$G$1:$ABN$500,AB$2,0),$A$1341,INDEX(Техника!$H$1:$ABO$500,AB$2,0),"Д")</f>
        <v>0</v>
      </c>
    </row>
    <row r="1344" spans="1:28" hidden="1" outlineLevel="1" x14ac:dyDescent="0.3">
      <c r="A1344" s="33" t="s">
        <v>276</v>
      </c>
      <c r="B1344" s="34" t="s">
        <v>277</v>
      </c>
      <c r="C1344" s="50">
        <f>SUMIFS(INDEX(Техника!$F$1:$ABM$500,C$2,0),Техника!$F$4:$ABM$4,"Часы",INDEX(Техника!$G$1:$ABN$500,C$2,0),$A$1341,INDEX(Техника!$H$1:$ABO$500,C$2,0),"П")</f>
        <v>0</v>
      </c>
      <c r="D1344" s="50">
        <f>SUMIFS(INDEX(Техника!$F$1:$ABM$500,D$2,0),Техника!$F$4:$ABM$4,"Часы",INDEX(Техника!$G$1:$ABN$500,D$2,0),$A$1341,INDEX(Техника!$H$1:$ABO$500,D$2,0),"П")</f>
        <v>0</v>
      </c>
      <c r="E1344" s="50">
        <f>SUMIFS(INDEX(Техника!$F$1:$ABM$500,E$2,0),Техника!$F$4:$ABM$4,"Часы",INDEX(Техника!$G$1:$ABN$500,E$2,0),$A$1341,INDEX(Техника!$H$1:$ABO$500,E$2,0),"П")</f>
        <v>0</v>
      </c>
      <c r="F1344" s="50">
        <f>SUMIFS(INDEX(Техника!$F$1:$ABM$500,F$2,0),Техника!$F$4:$ABM$4,"Часы",INDEX(Техника!$G$1:$ABN$500,F$2,0),$A$1341,INDEX(Техника!$H$1:$ABO$500,F$2,0),"П")</f>
        <v>0</v>
      </c>
      <c r="G1344" s="50">
        <f>SUMIFS(INDEX(Техника!$F$1:$ABM$500,G$2,0),Техника!$F$4:$ABM$4,"Часы",INDEX(Техника!$G$1:$ABN$500,G$2,0),$A$1341,INDEX(Техника!$H$1:$ABO$500,G$2,0),"П")</f>
        <v>0</v>
      </c>
      <c r="H1344" s="50">
        <f>SUMIFS(INDEX(Техника!$F$1:$ABM$500,H$2,0),Техника!$F$4:$ABM$4,"Часы",INDEX(Техника!$G$1:$ABN$500,H$2,0),$A$1341,INDEX(Техника!$H$1:$ABO$500,H$2,0),"П")</f>
        <v>0</v>
      </c>
      <c r="I1344" s="50">
        <f>SUMIFS(INDEX(Техника!$F$1:$ABM$500,I$2,0),Техника!$F$4:$ABM$4,"Часы",INDEX(Техника!$G$1:$ABN$500,I$2,0),$A$1341,INDEX(Техника!$H$1:$ABO$500,I$2,0),"П")</f>
        <v>0</v>
      </c>
      <c r="J1344" s="50">
        <f>SUMIFS(INDEX(Техника!$F$1:$ABM$500,J$2,0),Техника!$F$4:$ABM$4,"Часы",INDEX(Техника!$G$1:$ABN$500,J$2,0),$A$1341,INDEX(Техника!$H$1:$ABO$500,J$2,0),"П")</f>
        <v>0</v>
      </c>
      <c r="K1344" s="50">
        <f>SUMIFS(INDEX(Техника!$F$1:$ABM$500,K$2,0),Техника!$F$4:$ABM$4,"Часы",INDEX(Техника!$G$1:$ABN$500,K$2,0),$A$1341,INDEX(Техника!$H$1:$ABO$500,K$2,0),"П")</f>
        <v>0</v>
      </c>
      <c r="L1344" s="50">
        <f>SUMIFS(INDEX(Техника!$F$1:$ABM$500,L$2,0),Техника!$F$4:$ABM$4,"Часы",INDEX(Техника!$G$1:$ABN$500,L$2,0),$A$1341,INDEX(Техника!$H$1:$ABO$500,L$2,0),"П")</f>
        <v>0</v>
      </c>
      <c r="M1344" s="50">
        <f>SUMIFS(INDEX(Техника!$F$1:$ABM$500,M$2,0),Техника!$F$4:$ABM$4,"Часы",INDEX(Техника!$G$1:$ABN$500,M$2,0),$A$1341,INDEX(Техника!$H$1:$ABO$500,M$2,0),"П")</f>
        <v>0</v>
      </c>
      <c r="N1344" s="50">
        <f>SUMIFS(INDEX(Техника!$F$1:$ABM$500,N$2,0),Техника!$F$4:$ABM$4,"Часы",INDEX(Техника!$G$1:$ABN$500,N$2,0),$A$1341,INDEX(Техника!$H$1:$ABO$500,N$2,0),"П")</f>
        <v>0</v>
      </c>
      <c r="O1344" s="50">
        <f>SUMIFS(INDEX(Техника!$F$1:$ABM$500,O$2,0),Техника!$F$4:$ABM$4,"Часы",INDEX(Техника!$G$1:$ABN$500,O$2,0),$A$1341,INDEX(Техника!$H$1:$ABO$500,O$2,0),"П")</f>
        <v>0</v>
      </c>
      <c r="P1344" s="50">
        <f>SUMIFS(INDEX(Техника!$F$1:$ABM$500,P$2,0),Техника!$F$4:$ABM$4,"Часы",INDEX(Техника!$G$1:$ABN$500,P$2,0),$A$1341,INDEX(Техника!$H$1:$ABO$500,P$2,0),"П")</f>
        <v>0</v>
      </c>
      <c r="Q1344" s="50">
        <f>SUMIFS(INDEX(Техника!$F$1:$ABM$500,Q$2,0),Техника!$F$4:$ABM$4,"Часы",INDEX(Техника!$G$1:$ABN$500,Q$2,0),$A$1341,INDEX(Техника!$H$1:$ABO$500,Q$2,0),"П")</f>
        <v>0</v>
      </c>
      <c r="R1344" s="50">
        <f>SUMIFS(INDEX(Техника!$F$1:$ABM$500,R$2,0),Техника!$F$4:$ABM$4,"Часы",INDEX(Техника!$G$1:$ABN$500,R$2,0),$A$1341,INDEX(Техника!$H$1:$ABO$500,R$2,0),"П")</f>
        <v>0</v>
      </c>
      <c r="S1344" s="50">
        <f>SUMIFS(INDEX(Техника!$F$1:$ABM$500,S$2,0),Техника!$F$4:$ABM$4,"Часы",INDEX(Техника!$G$1:$ABN$500,S$2,0),$A$1341,INDEX(Техника!$H$1:$ABO$500,S$2,0),"П")</f>
        <v>0</v>
      </c>
      <c r="T1344" s="50">
        <f>SUMIFS(INDEX(Техника!$F$1:$ABM$500,T$2,0),Техника!$F$4:$ABM$4,"Часы",INDEX(Техника!$G$1:$ABN$500,T$2,0),$A$1341,INDEX(Техника!$H$1:$ABO$500,T$2,0),"П")</f>
        <v>0</v>
      </c>
      <c r="U1344" s="50">
        <f>SUMIFS(INDEX(Техника!$F$1:$ABM$500,U$2,0),Техника!$F$4:$ABM$4,"Часы",INDEX(Техника!$G$1:$ABN$500,U$2,0),$A$1341,INDEX(Техника!$H$1:$ABO$500,U$2,0),"П")</f>
        <v>0</v>
      </c>
      <c r="V1344" s="50">
        <f>SUMIFS(INDEX(Техника!$F$1:$ABM$500,V$2,0),Техника!$F$4:$ABM$4,"Часы",INDEX(Техника!$G$1:$ABN$500,V$2,0),$A$1341,INDEX(Техника!$H$1:$ABO$500,V$2,0),"П")</f>
        <v>0</v>
      </c>
      <c r="W1344" s="50">
        <f>SUMIFS(INDEX(Техника!$F$1:$ABM$500,W$2,0),Техника!$F$4:$ABM$4,"Часы",INDEX(Техника!$G$1:$ABN$500,W$2,0),$A$1341,INDEX(Техника!$H$1:$ABO$500,W$2,0),"П")</f>
        <v>0</v>
      </c>
      <c r="X1344" s="50">
        <f>SUMIFS(INDEX(Техника!$F$1:$ABM$500,X$2,0),Техника!$F$4:$ABM$4,"Часы",INDEX(Техника!$G$1:$ABN$500,X$2,0),$A$1341,INDEX(Техника!$H$1:$ABO$500,X$2,0),"П")</f>
        <v>0</v>
      </c>
      <c r="Y1344" s="50">
        <f>SUMIFS(INDEX(Техника!$F$1:$ABM$500,Y$2,0),Техника!$F$4:$ABM$4,"Часы",INDEX(Техника!$G$1:$ABN$500,Y$2,0),$A$1341,INDEX(Техника!$H$1:$ABO$500,Y$2,0),"П")</f>
        <v>0</v>
      </c>
      <c r="Z1344" s="50">
        <f>SUMIFS(INDEX(Техника!$F$1:$ABM$500,Z$2,0),Техника!$F$4:$ABM$4,"Часы",INDEX(Техника!$G$1:$ABN$500,Z$2,0),$A$1341,INDEX(Техника!$H$1:$ABO$500,Z$2,0),"П")</f>
        <v>0</v>
      </c>
      <c r="AA1344" s="50">
        <f>SUMIFS(INDEX(Техника!$F$1:$ABM$500,AA$2,0),Техника!$F$4:$ABM$4,"Часы",INDEX(Техника!$G$1:$ABN$500,AA$2,0),$A$1341,INDEX(Техника!$H$1:$ABO$500,AA$2,0),"П")</f>
        <v>0</v>
      </c>
      <c r="AB1344" s="50">
        <f>SUMIFS(INDEX(Техника!$F$1:$ABM$500,AB$2,0),Техника!$F$4:$ABM$4,"Часы",INDEX(Техника!$G$1:$ABN$500,AB$2,0),$A$1341,INDEX(Техника!$H$1:$ABO$500,AB$2,0),"П")</f>
        <v>0</v>
      </c>
    </row>
    <row r="1345" spans="1:28" hidden="1" outlineLevel="1" x14ac:dyDescent="0.3">
      <c r="A1345" s="33" t="s">
        <v>243</v>
      </c>
      <c r="B1345" s="34" t="s">
        <v>278</v>
      </c>
      <c r="C1345" s="50">
        <f>SUMIFS(INDEX(Техника!$F$1:$ABM$500,C$2,0),Техника!$F$4:$ABM$4,"Часы",INDEX(Техника!$G$1:$ABN$500,C$2,0),$A$1341,INDEX(Техника!$H$1:$ABO$500,C$2,0),"Л")</f>
        <v>0</v>
      </c>
      <c r="D1345" s="50">
        <f>SUMIFS(INDEX(Техника!$F$1:$ABM$500,D$2,0),Техника!$F$4:$ABM$4,"Часы",INDEX(Техника!$G$1:$ABN$500,D$2,0),$A$1341,INDEX(Техника!$H$1:$ABO$500,D$2,0),"Л")</f>
        <v>0</v>
      </c>
      <c r="E1345" s="50">
        <f>SUMIFS(INDEX(Техника!$F$1:$ABM$500,E$2,0),Техника!$F$4:$ABM$4,"Часы",INDEX(Техника!$G$1:$ABN$500,E$2,0),$A$1341,INDEX(Техника!$H$1:$ABO$500,E$2,0),"Л")</f>
        <v>0</v>
      </c>
      <c r="F1345" s="50">
        <f>SUMIFS(INDEX(Техника!$F$1:$ABM$500,F$2,0),Техника!$F$4:$ABM$4,"Часы",INDEX(Техника!$G$1:$ABN$500,F$2,0),$A$1341,INDEX(Техника!$H$1:$ABO$500,F$2,0),"Л")</f>
        <v>0</v>
      </c>
      <c r="G1345" s="50">
        <f>SUMIFS(INDEX(Техника!$F$1:$ABM$500,G$2,0),Техника!$F$4:$ABM$4,"Часы",INDEX(Техника!$G$1:$ABN$500,G$2,0),$A$1341,INDEX(Техника!$H$1:$ABO$500,G$2,0),"Л")</f>
        <v>0</v>
      </c>
      <c r="H1345" s="50">
        <f>SUMIFS(INDEX(Техника!$F$1:$ABM$500,H$2,0),Техника!$F$4:$ABM$4,"Часы",INDEX(Техника!$G$1:$ABN$500,H$2,0),$A$1341,INDEX(Техника!$H$1:$ABO$500,H$2,0),"Л")</f>
        <v>0</v>
      </c>
      <c r="I1345" s="50">
        <f>SUMIFS(INDEX(Техника!$F$1:$ABM$500,I$2,0),Техника!$F$4:$ABM$4,"Часы",INDEX(Техника!$G$1:$ABN$500,I$2,0),$A$1341,INDEX(Техника!$H$1:$ABO$500,I$2,0),"Л")</f>
        <v>0</v>
      </c>
      <c r="J1345" s="50">
        <f>SUMIFS(INDEX(Техника!$F$1:$ABM$500,J$2,0),Техника!$F$4:$ABM$4,"Часы",INDEX(Техника!$G$1:$ABN$500,J$2,0),$A$1341,INDEX(Техника!$H$1:$ABO$500,J$2,0),"Л")</f>
        <v>0</v>
      </c>
      <c r="K1345" s="50">
        <f>SUMIFS(INDEX(Техника!$F$1:$ABM$500,K$2,0),Техника!$F$4:$ABM$4,"Часы",INDEX(Техника!$G$1:$ABN$500,K$2,0),$A$1341,INDEX(Техника!$H$1:$ABO$500,K$2,0),"Л")</f>
        <v>0</v>
      </c>
      <c r="L1345" s="50">
        <f>SUMIFS(INDEX(Техника!$F$1:$ABM$500,L$2,0),Техника!$F$4:$ABM$4,"Часы",INDEX(Техника!$G$1:$ABN$500,L$2,0),$A$1341,INDEX(Техника!$H$1:$ABO$500,L$2,0),"Л")</f>
        <v>0</v>
      </c>
      <c r="M1345" s="50">
        <f>SUMIFS(INDEX(Техника!$F$1:$ABM$500,M$2,0),Техника!$F$4:$ABM$4,"Часы",INDEX(Техника!$G$1:$ABN$500,M$2,0),$A$1341,INDEX(Техника!$H$1:$ABO$500,M$2,0),"Л")</f>
        <v>0</v>
      </c>
      <c r="N1345" s="50">
        <f>SUMIFS(INDEX(Техника!$F$1:$ABM$500,N$2,0),Техника!$F$4:$ABM$4,"Часы",INDEX(Техника!$G$1:$ABN$500,N$2,0),$A$1341,INDEX(Техника!$H$1:$ABO$500,N$2,0),"Л")</f>
        <v>0</v>
      </c>
      <c r="O1345" s="50">
        <f>SUMIFS(INDEX(Техника!$F$1:$ABM$500,O$2,0),Техника!$F$4:$ABM$4,"Часы",INDEX(Техника!$G$1:$ABN$500,O$2,0),$A$1341,INDEX(Техника!$H$1:$ABO$500,O$2,0),"Л")</f>
        <v>0</v>
      </c>
      <c r="P1345" s="50">
        <f>SUMIFS(INDEX(Техника!$F$1:$ABM$500,P$2,0),Техника!$F$4:$ABM$4,"Часы",INDEX(Техника!$G$1:$ABN$500,P$2,0),$A$1341,INDEX(Техника!$H$1:$ABO$500,P$2,0),"Л")</f>
        <v>0</v>
      </c>
      <c r="Q1345" s="50">
        <f>SUMIFS(INDEX(Техника!$F$1:$ABM$500,Q$2,0),Техника!$F$4:$ABM$4,"Часы",INDEX(Техника!$G$1:$ABN$500,Q$2,0),$A$1341,INDEX(Техника!$H$1:$ABO$500,Q$2,0),"Л")</f>
        <v>0</v>
      </c>
      <c r="R1345" s="50">
        <f>SUMIFS(INDEX(Техника!$F$1:$ABM$500,R$2,0),Техника!$F$4:$ABM$4,"Часы",INDEX(Техника!$G$1:$ABN$500,R$2,0),$A$1341,INDEX(Техника!$H$1:$ABO$500,R$2,0),"Л")</f>
        <v>0</v>
      </c>
      <c r="S1345" s="50">
        <f>SUMIFS(INDEX(Техника!$F$1:$ABM$500,S$2,0),Техника!$F$4:$ABM$4,"Часы",INDEX(Техника!$G$1:$ABN$500,S$2,0),$A$1341,INDEX(Техника!$H$1:$ABO$500,S$2,0),"Л")</f>
        <v>0</v>
      </c>
      <c r="T1345" s="50">
        <f>SUMIFS(INDEX(Техника!$F$1:$ABM$500,T$2,0),Техника!$F$4:$ABM$4,"Часы",INDEX(Техника!$G$1:$ABN$500,T$2,0),$A$1341,INDEX(Техника!$H$1:$ABO$500,T$2,0),"Л")</f>
        <v>0</v>
      </c>
      <c r="U1345" s="50">
        <f>SUMIFS(INDEX(Техника!$F$1:$ABM$500,U$2,0),Техника!$F$4:$ABM$4,"Часы",INDEX(Техника!$G$1:$ABN$500,U$2,0),$A$1341,INDEX(Техника!$H$1:$ABO$500,U$2,0),"Л")</f>
        <v>0</v>
      </c>
      <c r="V1345" s="50">
        <f>SUMIFS(INDEX(Техника!$F$1:$ABM$500,V$2,0),Техника!$F$4:$ABM$4,"Часы",INDEX(Техника!$G$1:$ABN$500,V$2,0),$A$1341,INDEX(Техника!$H$1:$ABO$500,V$2,0),"Л")</f>
        <v>0</v>
      </c>
      <c r="W1345" s="50">
        <f>SUMIFS(INDEX(Техника!$F$1:$ABM$500,W$2,0),Техника!$F$4:$ABM$4,"Часы",INDEX(Техника!$G$1:$ABN$500,W$2,0),$A$1341,INDEX(Техника!$H$1:$ABO$500,W$2,0),"Л")</f>
        <v>0</v>
      </c>
      <c r="X1345" s="50">
        <f>SUMIFS(INDEX(Техника!$F$1:$ABM$500,X$2,0),Техника!$F$4:$ABM$4,"Часы",INDEX(Техника!$G$1:$ABN$500,X$2,0),$A$1341,INDEX(Техника!$H$1:$ABO$500,X$2,0),"Л")</f>
        <v>0</v>
      </c>
      <c r="Y1345" s="50">
        <f>SUMIFS(INDEX(Техника!$F$1:$ABM$500,Y$2,0),Техника!$F$4:$ABM$4,"Часы",INDEX(Техника!$G$1:$ABN$500,Y$2,0),$A$1341,INDEX(Техника!$H$1:$ABO$500,Y$2,0),"Л")</f>
        <v>0</v>
      </c>
      <c r="Z1345" s="50">
        <f>SUMIFS(INDEX(Техника!$F$1:$ABM$500,Z$2,0),Техника!$F$4:$ABM$4,"Часы",INDEX(Техника!$G$1:$ABN$500,Z$2,0),$A$1341,INDEX(Техника!$H$1:$ABO$500,Z$2,0),"Л")</f>
        <v>0</v>
      </c>
      <c r="AA1345" s="50">
        <f>SUMIFS(INDEX(Техника!$F$1:$ABM$500,AA$2,0),Техника!$F$4:$ABM$4,"Часы",INDEX(Техника!$G$1:$ABN$500,AA$2,0),$A$1341,INDEX(Техника!$H$1:$ABO$500,AA$2,0),"Л")</f>
        <v>0</v>
      </c>
      <c r="AB1345" s="50">
        <f>SUMIFS(INDEX(Техника!$F$1:$ABM$500,AB$2,0),Техника!$F$4:$ABM$4,"Часы",INDEX(Техника!$G$1:$ABN$500,AB$2,0),$A$1341,INDEX(Техника!$H$1:$ABO$500,AB$2,0),"Л")</f>
        <v>0</v>
      </c>
    </row>
    <row r="1346" spans="1:28" hidden="1" outlineLevel="1" x14ac:dyDescent="0.3">
      <c r="A1346" s="33" t="s">
        <v>245</v>
      </c>
      <c r="B1346" s="34" t="s">
        <v>279</v>
      </c>
      <c r="C1346" s="50">
        <f>SUMIFS(INDEX(Техника!$F$1:$ABM$500,C$2,0),Техника!$F$4:$ABM$4,"Часы",INDEX(Техника!$G$1:$ABN$500,C$2,0),$A$1341,INDEX(Техника!$H$1:$ABO$500,C$2,0),"З")</f>
        <v>0</v>
      </c>
      <c r="D1346" s="50">
        <f>SUMIFS(INDEX(Техника!$F$1:$ABM$500,D$2,0),Техника!$F$4:$ABM$4,"Часы",INDEX(Техника!$G$1:$ABN$500,D$2,0),$A$1341,INDEX(Техника!$H$1:$ABO$500,D$2,0),"З")</f>
        <v>0</v>
      </c>
      <c r="E1346" s="50">
        <f>SUMIFS(INDEX(Техника!$F$1:$ABM$500,E$2,0),Техника!$F$4:$ABM$4,"Часы",INDEX(Техника!$G$1:$ABN$500,E$2,0),$A$1341,INDEX(Техника!$H$1:$ABO$500,E$2,0),"З")</f>
        <v>0</v>
      </c>
      <c r="F1346" s="50">
        <f>SUMIFS(INDEX(Техника!$F$1:$ABM$500,F$2,0),Техника!$F$4:$ABM$4,"Часы",INDEX(Техника!$G$1:$ABN$500,F$2,0),$A$1341,INDEX(Техника!$H$1:$ABO$500,F$2,0),"З")</f>
        <v>0</v>
      </c>
      <c r="G1346" s="50">
        <f>SUMIFS(INDEX(Техника!$F$1:$ABM$500,G$2,0),Техника!$F$4:$ABM$4,"Часы",INDEX(Техника!$G$1:$ABN$500,G$2,0),$A$1341,INDEX(Техника!$H$1:$ABO$500,G$2,0),"З")</f>
        <v>0</v>
      </c>
      <c r="H1346" s="50">
        <f>SUMIFS(INDEX(Техника!$F$1:$ABM$500,H$2,0),Техника!$F$4:$ABM$4,"Часы",INDEX(Техника!$G$1:$ABN$500,H$2,0),$A$1341,INDEX(Техника!$H$1:$ABO$500,H$2,0),"З")</f>
        <v>0</v>
      </c>
      <c r="I1346" s="50">
        <f>SUMIFS(INDEX(Техника!$F$1:$ABM$500,I$2,0),Техника!$F$4:$ABM$4,"Часы",INDEX(Техника!$G$1:$ABN$500,I$2,0),$A$1341,INDEX(Техника!$H$1:$ABO$500,I$2,0),"З")</f>
        <v>0</v>
      </c>
      <c r="J1346" s="50">
        <f>SUMIFS(INDEX(Техника!$F$1:$ABM$500,J$2,0),Техника!$F$4:$ABM$4,"Часы",INDEX(Техника!$G$1:$ABN$500,J$2,0),$A$1341,INDEX(Техника!$H$1:$ABO$500,J$2,0),"З")</f>
        <v>0</v>
      </c>
      <c r="K1346" s="50">
        <f>SUMIFS(INDEX(Техника!$F$1:$ABM$500,K$2,0),Техника!$F$4:$ABM$4,"Часы",INDEX(Техника!$G$1:$ABN$500,K$2,0),$A$1341,INDEX(Техника!$H$1:$ABO$500,K$2,0),"З")</f>
        <v>0</v>
      </c>
      <c r="L1346" s="50">
        <f>SUMIFS(INDEX(Техника!$F$1:$ABM$500,L$2,0),Техника!$F$4:$ABM$4,"Часы",INDEX(Техника!$G$1:$ABN$500,L$2,0),$A$1341,INDEX(Техника!$H$1:$ABO$500,L$2,0),"З")</f>
        <v>0</v>
      </c>
      <c r="M1346" s="50">
        <f>SUMIFS(INDEX(Техника!$F$1:$ABM$500,M$2,0),Техника!$F$4:$ABM$4,"Часы",INDEX(Техника!$G$1:$ABN$500,M$2,0),$A$1341,INDEX(Техника!$H$1:$ABO$500,M$2,0),"З")</f>
        <v>0</v>
      </c>
      <c r="N1346" s="50">
        <f>SUMIFS(INDEX(Техника!$F$1:$ABM$500,N$2,0),Техника!$F$4:$ABM$4,"Часы",INDEX(Техника!$G$1:$ABN$500,N$2,0),$A$1341,INDEX(Техника!$H$1:$ABO$500,N$2,0),"З")</f>
        <v>0</v>
      </c>
      <c r="O1346" s="50">
        <f>SUMIFS(INDEX(Техника!$F$1:$ABM$500,O$2,0),Техника!$F$4:$ABM$4,"Часы",INDEX(Техника!$G$1:$ABN$500,O$2,0),$A$1341,INDEX(Техника!$H$1:$ABO$500,O$2,0),"З")</f>
        <v>0</v>
      </c>
      <c r="P1346" s="50">
        <f>SUMIFS(INDEX(Техника!$F$1:$ABM$500,P$2,0),Техника!$F$4:$ABM$4,"Часы",INDEX(Техника!$G$1:$ABN$500,P$2,0),$A$1341,INDEX(Техника!$H$1:$ABO$500,P$2,0),"З")</f>
        <v>0</v>
      </c>
      <c r="Q1346" s="50">
        <f>SUMIFS(INDEX(Техника!$F$1:$ABM$500,Q$2,0),Техника!$F$4:$ABM$4,"Часы",INDEX(Техника!$G$1:$ABN$500,Q$2,0),$A$1341,INDEX(Техника!$H$1:$ABO$500,Q$2,0),"З")</f>
        <v>0</v>
      </c>
      <c r="R1346" s="50">
        <f>SUMIFS(INDEX(Техника!$F$1:$ABM$500,R$2,0),Техника!$F$4:$ABM$4,"Часы",INDEX(Техника!$G$1:$ABN$500,R$2,0),$A$1341,INDEX(Техника!$H$1:$ABO$500,R$2,0),"З")</f>
        <v>0</v>
      </c>
      <c r="S1346" s="50">
        <f>SUMIFS(INDEX(Техника!$F$1:$ABM$500,S$2,0),Техника!$F$4:$ABM$4,"Часы",INDEX(Техника!$G$1:$ABN$500,S$2,0),$A$1341,INDEX(Техника!$H$1:$ABO$500,S$2,0),"З")</f>
        <v>0</v>
      </c>
      <c r="T1346" s="50">
        <f>SUMIFS(INDEX(Техника!$F$1:$ABM$500,T$2,0),Техника!$F$4:$ABM$4,"Часы",INDEX(Техника!$G$1:$ABN$500,T$2,0),$A$1341,INDEX(Техника!$H$1:$ABO$500,T$2,0),"З")</f>
        <v>0</v>
      </c>
      <c r="U1346" s="50">
        <f>SUMIFS(INDEX(Техника!$F$1:$ABM$500,U$2,0),Техника!$F$4:$ABM$4,"Часы",INDEX(Техника!$G$1:$ABN$500,U$2,0),$A$1341,INDEX(Техника!$H$1:$ABO$500,U$2,0),"З")</f>
        <v>0</v>
      </c>
      <c r="V1346" s="50">
        <f>SUMIFS(INDEX(Техника!$F$1:$ABM$500,V$2,0),Техника!$F$4:$ABM$4,"Часы",INDEX(Техника!$G$1:$ABN$500,V$2,0),$A$1341,INDEX(Техника!$H$1:$ABO$500,V$2,0),"З")</f>
        <v>0</v>
      </c>
      <c r="W1346" s="50">
        <f>SUMIFS(INDEX(Техника!$F$1:$ABM$500,W$2,0),Техника!$F$4:$ABM$4,"Часы",INDEX(Техника!$G$1:$ABN$500,W$2,0),$A$1341,INDEX(Техника!$H$1:$ABO$500,W$2,0),"З")</f>
        <v>0</v>
      </c>
      <c r="X1346" s="50">
        <f>SUMIFS(INDEX(Техника!$F$1:$ABM$500,X$2,0),Техника!$F$4:$ABM$4,"Часы",INDEX(Техника!$G$1:$ABN$500,X$2,0),$A$1341,INDEX(Техника!$H$1:$ABO$500,X$2,0),"З")</f>
        <v>0</v>
      </c>
      <c r="Y1346" s="50">
        <f>SUMIFS(INDEX(Техника!$F$1:$ABM$500,Y$2,0),Техника!$F$4:$ABM$4,"Часы",INDEX(Техника!$G$1:$ABN$500,Y$2,0),$A$1341,INDEX(Техника!$H$1:$ABO$500,Y$2,0),"З")</f>
        <v>0</v>
      </c>
      <c r="Z1346" s="50">
        <f>SUMIFS(INDEX(Техника!$F$1:$ABM$500,Z$2,0),Техника!$F$4:$ABM$4,"Часы",INDEX(Техника!$G$1:$ABN$500,Z$2,0),$A$1341,INDEX(Техника!$H$1:$ABO$500,Z$2,0),"З")</f>
        <v>0</v>
      </c>
      <c r="AA1346" s="50">
        <f>SUMIFS(INDEX(Техника!$F$1:$ABM$500,AA$2,0),Техника!$F$4:$ABM$4,"Часы",INDEX(Техника!$G$1:$ABN$500,AA$2,0),$A$1341,INDEX(Техника!$H$1:$ABO$500,AA$2,0),"З")</f>
        <v>0</v>
      </c>
      <c r="AB1346" s="50">
        <f>SUMIFS(INDEX(Техника!$F$1:$ABM$500,AB$2,0),Техника!$F$4:$ABM$4,"Часы",INDEX(Техника!$G$1:$ABN$500,AB$2,0),$A$1341,INDEX(Техника!$H$1:$ABO$500,AB$2,0),"З")</f>
        <v>0</v>
      </c>
    </row>
    <row r="1347" spans="1:28" ht="7.95" customHeight="1" x14ac:dyDescent="0.3">
      <c r="A1347" s="38"/>
      <c r="B1347" s="39"/>
      <c r="C1347" s="51"/>
      <c r="D1347" s="51"/>
      <c r="E1347" s="51"/>
      <c r="F1347" s="51"/>
      <c r="G1347" s="51"/>
      <c r="H1347" s="51"/>
      <c r="I1347" s="51"/>
      <c r="J1347" s="51"/>
      <c r="K1347" s="51"/>
      <c r="L1347" s="51"/>
      <c r="M1347" s="51"/>
      <c r="N1347" s="51"/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</row>
    <row r="1348" spans="1:28" ht="25.05" customHeight="1" collapsed="1" x14ac:dyDescent="0.3">
      <c r="A1348" s="32">
        <v>193</v>
      </c>
      <c r="B1348" s="32" t="s">
        <v>194</v>
      </c>
      <c r="C1348" s="49">
        <f>SUM(C1349:C1353)</f>
        <v>0</v>
      </c>
      <c r="D1348" s="49">
        <f>SUM(D1349:D1353)</f>
        <v>0</v>
      </c>
      <c r="E1348" s="49">
        <f>SUM(E1349:E1353)</f>
        <v>0</v>
      </c>
      <c r="F1348" s="49">
        <f>SUM(F1349:F1353)</f>
        <v>0</v>
      </c>
      <c r="G1348" s="49">
        <f>SUM(G1349:G1353)</f>
        <v>0</v>
      </c>
      <c r="H1348" s="49">
        <f>SUM(H1349:H1353)</f>
        <v>0</v>
      </c>
      <c r="I1348" s="49">
        <f>SUM(I1349:I1353)</f>
        <v>0</v>
      </c>
      <c r="J1348" s="49">
        <f>SUM(J1349:J1353)</f>
        <v>0</v>
      </c>
      <c r="K1348" s="49">
        <f>SUM(K1349:K1353)</f>
        <v>0</v>
      </c>
      <c r="L1348" s="49">
        <f>SUM(L1349:L1353)</f>
        <v>0</v>
      </c>
      <c r="M1348" s="49">
        <f>SUM(M1349:M1353)</f>
        <v>0</v>
      </c>
      <c r="N1348" s="49">
        <f>SUM(N1349:N1353)</f>
        <v>0</v>
      </c>
      <c r="O1348" s="49">
        <f>SUM(O1349:O1353)</f>
        <v>0</v>
      </c>
      <c r="P1348" s="49">
        <f>SUM(P1349:P1353)</f>
        <v>0</v>
      </c>
      <c r="Q1348" s="49">
        <f>SUM(Q1349:Q1353)</f>
        <v>0</v>
      </c>
      <c r="R1348" s="49">
        <f>SUM(R1349:R1353)</f>
        <v>0</v>
      </c>
      <c r="S1348" s="49">
        <f>SUM(S1349:S1353)</f>
        <v>0</v>
      </c>
      <c r="T1348" s="49">
        <f>SUM(T1349:T1353)</f>
        <v>0</v>
      </c>
      <c r="U1348" s="49">
        <f>SUM(U1349:U1353)</f>
        <v>0</v>
      </c>
      <c r="V1348" s="49">
        <f>SUM(V1349:V1353)</f>
        <v>0</v>
      </c>
      <c r="W1348" s="49">
        <f>SUM(W1349:W1353)</f>
        <v>0</v>
      </c>
      <c r="X1348" s="49">
        <f>SUM(X1349:X1353)</f>
        <v>0</v>
      </c>
      <c r="Y1348" s="49">
        <f>SUM(Y1349:Y1353)</f>
        <v>0</v>
      </c>
      <c r="Z1348" s="49">
        <f>SUM(Z1349:Z1353)</f>
        <v>0</v>
      </c>
      <c r="AA1348" s="49">
        <f>SUM(AA1349:AA1353)</f>
        <v>0</v>
      </c>
      <c r="AB1348" s="49">
        <f>SUM(AB1349:AB1353)</f>
        <v>0</v>
      </c>
    </row>
    <row r="1349" spans="1:28" hidden="1" outlineLevel="1" x14ac:dyDescent="0.3">
      <c r="A1349" s="33" t="s">
        <v>246</v>
      </c>
      <c r="B1349" s="34" t="s">
        <v>274</v>
      </c>
      <c r="C1349" s="50">
        <f>SUMIFS(INDEX(Техника!$F$1:$ABM$500,C$2,0),Техника!$F$4:$ABM$4,"Часы",INDEX(Техника!$G$1:$ABN$500,C$2,0),$A$1348,INDEX(Техника!$H$1:$ABO$500,C$2,0),"М")</f>
        <v>0</v>
      </c>
      <c r="D1349" s="50">
        <f>SUMIFS(INDEX(Техника!$F$1:$ABM$500,D$2,0),Техника!$F$4:$ABM$4,"Часы",INDEX(Техника!$G$1:$ABN$500,D$2,0),$A$1348,INDEX(Техника!$H$1:$ABO$500,D$2,0),"М")</f>
        <v>0</v>
      </c>
      <c r="E1349" s="50">
        <f>SUMIFS(INDEX(Техника!$F$1:$ABM$500,E$2,0),Техника!$F$4:$ABM$4,"Часы",INDEX(Техника!$G$1:$ABN$500,E$2,0),$A$1348,INDEX(Техника!$H$1:$ABO$500,E$2,0),"М")</f>
        <v>0</v>
      </c>
      <c r="F1349" s="50">
        <f>SUMIFS(INDEX(Техника!$F$1:$ABM$500,F$2,0),Техника!$F$4:$ABM$4,"Часы",INDEX(Техника!$G$1:$ABN$500,F$2,0),$A$1348,INDEX(Техника!$H$1:$ABO$500,F$2,0),"М")</f>
        <v>0</v>
      </c>
      <c r="G1349" s="50">
        <f>SUMIFS(INDEX(Техника!$F$1:$ABM$500,G$2,0),Техника!$F$4:$ABM$4,"Часы",INDEX(Техника!$G$1:$ABN$500,G$2,0),$A$1348,INDEX(Техника!$H$1:$ABO$500,G$2,0),"М")</f>
        <v>0</v>
      </c>
      <c r="H1349" s="50">
        <f>SUMIFS(INDEX(Техника!$F$1:$ABM$500,H$2,0),Техника!$F$4:$ABM$4,"Часы",INDEX(Техника!$G$1:$ABN$500,H$2,0),$A$1348,INDEX(Техника!$H$1:$ABO$500,H$2,0),"М")</f>
        <v>0</v>
      </c>
      <c r="I1349" s="50">
        <f>SUMIFS(INDEX(Техника!$F$1:$ABM$500,I$2,0),Техника!$F$4:$ABM$4,"Часы",INDEX(Техника!$G$1:$ABN$500,I$2,0),$A$1348,INDEX(Техника!$H$1:$ABO$500,I$2,0),"М")</f>
        <v>0</v>
      </c>
      <c r="J1349" s="50">
        <f>SUMIFS(INDEX(Техника!$F$1:$ABM$500,J$2,0),Техника!$F$4:$ABM$4,"Часы",INDEX(Техника!$G$1:$ABN$500,J$2,0),$A$1348,INDEX(Техника!$H$1:$ABO$500,J$2,0),"М")</f>
        <v>0</v>
      </c>
      <c r="K1349" s="50">
        <f>SUMIFS(INDEX(Техника!$F$1:$ABM$500,K$2,0),Техника!$F$4:$ABM$4,"Часы",INDEX(Техника!$G$1:$ABN$500,K$2,0),$A$1348,INDEX(Техника!$H$1:$ABO$500,K$2,0),"М")</f>
        <v>0</v>
      </c>
      <c r="L1349" s="50">
        <f>SUMIFS(INDEX(Техника!$F$1:$ABM$500,L$2,0),Техника!$F$4:$ABM$4,"Часы",INDEX(Техника!$G$1:$ABN$500,L$2,0),$A$1348,INDEX(Техника!$H$1:$ABO$500,L$2,0),"М")</f>
        <v>0</v>
      </c>
      <c r="M1349" s="50">
        <f>SUMIFS(INDEX(Техника!$F$1:$ABM$500,M$2,0),Техника!$F$4:$ABM$4,"Часы",INDEX(Техника!$G$1:$ABN$500,M$2,0),$A$1348,INDEX(Техника!$H$1:$ABO$500,M$2,0),"М")</f>
        <v>0</v>
      </c>
      <c r="N1349" s="50">
        <f>SUMIFS(INDEX(Техника!$F$1:$ABM$500,N$2,0),Техника!$F$4:$ABM$4,"Часы",INDEX(Техника!$G$1:$ABN$500,N$2,0),$A$1348,INDEX(Техника!$H$1:$ABO$500,N$2,0),"М")</f>
        <v>0</v>
      </c>
      <c r="O1349" s="50">
        <f>SUMIFS(INDEX(Техника!$F$1:$ABM$500,O$2,0),Техника!$F$4:$ABM$4,"Часы",INDEX(Техника!$G$1:$ABN$500,O$2,0),$A$1348,INDEX(Техника!$H$1:$ABO$500,O$2,0),"М")</f>
        <v>0</v>
      </c>
      <c r="P1349" s="50">
        <f>SUMIFS(INDEX(Техника!$F$1:$ABM$500,P$2,0),Техника!$F$4:$ABM$4,"Часы",INDEX(Техника!$G$1:$ABN$500,P$2,0),$A$1348,INDEX(Техника!$H$1:$ABO$500,P$2,0),"М")</f>
        <v>0</v>
      </c>
      <c r="Q1349" s="50">
        <f>SUMIFS(INDEX(Техника!$F$1:$ABM$500,Q$2,0),Техника!$F$4:$ABM$4,"Часы",INDEX(Техника!$G$1:$ABN$500,Q$2,0),$A$1348,INDEX(Техника!$H$1:$ABO$500,Q$2,0),"М")</f>
        <v>0</v>
      </c>
      <c r="R1349" s="50">
        <f>SUMIFS(INDEX(Техника!$F$1:$ABM$500,R$2,0),Техника!$F$4:$ABM$4,"Часы",INDEX(Техника!$G$1:$ABN$500,R$2,0),$A$1348,INDEX(Техника!$H$1:$ABO$500,R$2,0),"М")</f>
        <v>0</v>
      </c>
      <c r="S1349" s="50">
        <f>SUMIFS(INDEX(Техника!$F$1:$ABM$500,S$2,0),Техника!$F$4:$ABM$4,"Часы",INDEX(Техника!$G$1:$ABN$500,S$2,0),$A$1348,INDEX(Техника!$H$1:$ABO$500,S$2,0),"М")</f>
        <v>0</v>
      </c>
      <c r="T1349" s="50">
        <f>SUMIFS(INDEX(Техника!$F$1:$ABM$500,T$2,0),Техника!$F$4:$ABM$4,"Часы",INDEX(Техника!$G$1:$ABN$500,T$2,0),$A$1348,INDEX(Техника!$H$1:$ABO$500,T$2,0),"М")</f>
        <v>0</v>
      </c>
      <c r="U1349" s="50">
        <f>SUMIFS(INDEX(Техника!$F$1:$ABM$500,U$2,0),Техника!$F$4:$ABM$4,"Часы",INDEX(Техника!$G$1:$ABN$500,U$2,0),$A$1348,INDEX(Техника!$H$1:$ABO$500,U$2,0),"М")</f>
        <v>0</v>
      </c>
      <c r="V1349" s="50">
        <f>SUMIFS(INDEX(Техника!$F$1:$ABM$500,V$2,0),Техника!$F$4:$ABM$4,"Часы",INDEX(Техника!$G$1:$ABN$500,V$2,0),$A$1348,INDEX(Техника!$H$1:$ABO$500,V$2,0),"М")</f>
        <v>0</v>
      </c>
      <c r="W1349" s="50">
        <f>SUMIFS(INDEX(Техника!$F$1:$ABM$500,W$2,0),Техника!$F$4:$ABM$4,"Часы",INDEX(Техника!$G$1:$ABN$500,W$2,0),$A$1348,INDEX(Техника!$H$1:$ABO$500,W$2,0),"М")</f>
        <v>0</v>
      </c>
      <c r="X1349" s="50">
        <f>SUMIFS(INDEX(Техника!$F$1:$ABM$500,X$2,0),Техника!$F$4:$ABM$4,"Часы",INDEX(Техника!$G$1:$ABN$500,X$2,0),$A$1348,INDEX(Техника!$H$1:$ABO$500,X$2,0),"М")</f>
        <v>0</v>
      </c>
      <c r="Y1349" s="50">
        <f>SUMIFS(INDEX(Техника!$F$1:$ABM$500,Y$2,0),Техника!$F$4:$ABM$4,"Часы",INDEX(Техника!$G$1:$ABN$500,Y$2,0),$A$1348,INDEX(Техника!$H$1:$ABO$500,Y$2,0),"М")</f>
        <v>0</v>
      </c>
      <c r="Z1349" s="50">
        <f>SUMIFS(INDEX(Техника!$F$1:$ABM$500,Z$2,0),Техника!$F$4:$ABM$4,"Часы",INDEX(Техника!$G$1:$ABN$500,Z$2,0),$A$1348,INDEX(Техника!$H$1:$ABO$500,Z$2,0),"М")</f>
        <v>0</v>
      </c>
      <c r="AA1349" s="50">
        <f>SUMIFS(INDEX(Техника!$F$1:$ABM$500,AA$2,0),Техника!$F$4:$ABM$4,"Часы",INDEX(Техника!$G$1:$ABN$500,AA$2,0),$A$1348,INDEX(Техника!$H$1:$ABO$500,AA$2,0),"М")</f>
        <v>0</v>
      </c>
      <c r="AB1349" s="50">
        <f>SUMIFS(INDEX(Техника!$F$1:$ABM$500,AB$2,0),Техника!$F$4:$ABM$4,"Часы",INDEX(Техника!$G$1:$ABN$500,AB$2,0),$A$1348,INDEX(Техника!$H$1:$ABO$500,AB$2,0),"М")</f>
        <v>0</v>
      </c>
    </row>
    <row r="1350" spans="1:28" hidden="1" outlineLevel="1" x14ac:dyDescent="0.3">
      <c r="A1350" s="33" t="s">
        <v>244</v>
      </c>
      <c r="B1350" s="34" t="s">
        <v>275</v>
      </c>
      <c r="C1350" s="50">
        <f>SUMIFS(INDEX(Техника!$F$1:$ABM$500,C$2,0),Техника!$F$4:$ABM$4,"Часы",INDEX(Техника!$G$1:$ABN$500,C$2,0),$A$1348,INDEX(Техника!$H$1:$ABO$500,C$2,0),"Д")</f>
        <v>0</v>
      </c>
      <c r="D1350" s="50">
        <f>SUMIFS(INDEX(Техника!$F$1:$ABM$500,D$2,0),Техника!$F$4:$ABM$4,"Часы",INDEX(Техника!$G$1:$ABN$500,D$2,0),$A$1348,INDEX(Техника!$H$1:$ABO$500,D$2,0),"Д")</f>
        <v>0</v>
      </c>
      <c r="E1350" s="50">
        <f>SUMIFS(INDEX(Техника!$F$1:$ABM$500,E$2,0),Техника!$F$4:$ABM$4,"Часы",INDEX(Техника!$G$1:$ABN$500,E$2,0),$A$1348,INDEX(Техника!$H$1:$ABO$500,E$2,0),"Д")</f>
        <v>0</v>
      </c>
      <c r="F1350" s="50">
        <f>SUMIFS(INDEX(Техника!$F$1:$ABM$500,F$2,0),Техника!$F$4:$ABM$4,"Часы",INDEX(Техника!$G$1:$ABN$500,F$2,0),$A$1348,INDEX(Техника!$H$1:$ABO$500,F$2,0),"Д")</f>
        <v>0</v>
      </c>
      <c r="G1350" s="50">
        <f>SUMIFS(INDEX(Техника!$F$1:$ABM$500,G$2,0),Техника!$F$4:$ABM$4,"Часы",INDEX(Техника!$G$1:$ABN$500,G$2,0),$A$1348,INDEX(Техника!$H$1:$ABO$500,G$2,0),"Д")</f>
        <v>0</v>
      </c>
      <c r="H1350" s="50">
        <f>SUMIFS(INDEX(Техника!$F$1:$ABM$500,H$2,0),Техника!$F$4:$ABM$4,"Часы",INDEX(Техника!$G$1:$ABN$500,H$2,0),$A$1348,INDEX(Техника!$H$1:$ABO$500,H$2,0),"Д")</f>
        <v>0</v>
      </c>
      <c r="I1350" s="50">
        <f>SUMIFS(INDEX(Техника!$F$1:$ABM$500,I$2,0),Техника!$F$4:$ABM$4,"Часы",INDEX(Техника!$G$1:$ABN$500,I$2,0),$A$1348,INDEX(Техника!$H$1:$ABO$500,I$2,0),"Д")</f>
        <v>0</v>
      </c>
      <c r="J1350" s="50">
        <f>SUMIFS(INDEX(Техника!$F$1:$ABM$500,J$2,0),Техника!$F$4:$ABM$4,"Часы",INDEX(Техника!$G$1:$ABN$500,J$2,0),$A$1348,INDEX(Техника!$H$1:$ABO$500,J$2,0),"Д")</f>
        <v>0</v>
      </c>
      <c r="K1350" s="50">
        <f>SUMIFS(INDEX(Техника!$F$1:$ABM$500,K$2,0),Техника!$F$4:$ABM$4,"Часы",INDEX(Техника!$G$1:$ABN$500,K$2,0),$A$1348,INDEX(Техника!$H$1:$ABO$500,K$2,0),"Д")</f>
        <v>0</v>
      </c>
      <c r="L1350" s="50">
        <f>SUMIFS(INDEX(Техника!$F$1:$ABM$500,L$2,0),Техника!$F$4:$ABM$4,"Часы",INDEX(Техника!$G$1:$ABN$500,L$2,0),$A$1348,INDEX(Техника!$H$1:$ABO$500,L$2,0),"Д")</f>
        <v>0</v>
      </c>
      <c r="M1350" s="50">
        <f>SUMIFS(INDEX(Техника!$F$1:$ABM$500,M$2,0),Техника!$F$4:$ABM$4,"Часы",INDEX(Техника!$G$1:$ABN$500,M$2,0),$A$1348,INDEX(Техника!$H$1:$ABO$500,M$2,0),"Д")</f>
        <v>0</v>
      </c>
      <c r="N1350" s="50">
        <f>SUMIFS(INDEX(Техника!$F$1:$ABM$500,N$2,0),Техника!$F$4:$ABM$4,"Часы",INDEX(Техника!$G$1:$ABN$500,N$2,0),$A$1348,INDEX(Техника!$H$1:$ABO$500,N$2,0),"Д")</f>
        <v>0</v>
      </c>
      <c r="O1350" s="50">
        <f>SUMIFS(INDEX(Техника!$F$1:$ABM$500,O$2,0),Техника!$F$4:$ABM$4,"Часы",INDEX(Техника!$G$1:$ABN$500,O$2,0),$A$1348,INDEX(Техника!$H$1:$ABO$500,O$2,0),"Д")</f>
        <v>0</v>
      </c>
      <c r="P1350" s="50">
        <f>SUMIFS(INDEX(Техника!$F$1:$ABM$500,P$2,0),Техника!$F$4:$ABM$4,"Часы",INDEX(Техника!$G$1:$ABN$500,P$2,0),$A$1348,INDEX(Техника!$H$1:$ABO$500,P$2,0),"Д")</f>
        <v>0</v>
      </c>
      <c r="Q1350" s="50">
        <f>SUMIFS(INDEX(Техника!$F$1:$ABM$500,Q$2,0),Техника!$F$4:$ABM$4,"Часы",INDEX(Техника!$G$1:$ABN$500,Q$2,0),$A$1348,INDEX(Техника!$H$1:$ABO$500,Q$2,0),"Д")</f>
        <v>0</v>
      </c>
      <c r="R1350" s="50">
        <f>SUMIFS(INDEX(Техника!$F$1:$ABM$500,R$2,0),Техника!$F$4:$ABM$4,"Часы",INDEX(Техника!$G$1:$ABN$500,R$2,0),$A$1348,INDEX(Техника!$H$1:$ABO$500,R$2,0),"Д")</f>
        <v>0</v>
      </c>
      <c r="S1350" s="50">
        <f>SUMIFS(INDEX(Техника!$F$1:$ABM$500,S$2,0),Техника!$F$4:$ABM$4,"Часы",INDEX(Техника!$G$1:$ABN$500,S$2,0),$A$1348,INDEX(Техника!$H$1:$ABO$500,S$2,0),"Д")</f>
        <v>0</v>
      </c>
      <c r="T1350" s="50">
        <f>SUMIFS(INDEX(Техника!$F$1:$ABM$500,T$2,0),Техника!$F$4:$ABM$4,"Часы",INDEX(Техника!$G$1:$ABN$500,T$2,0),$A$1348,INDEX(Техника!$H$1:$ABO$500,T$2,0),"Д")</f>
        <v>0</v>
      </c>
      <c r="U1350" s="50">
        <f>SUMIFS(INDEX(Техника!$F$1:$ABM$500,U$2,0),Техника!$F$4:$ABM$4,"Часы",INDEX(Техника!$G$1:$ABN$500,U$2,0),$A$1348,INDEX(Техника!$H$1:$ABO$500,U$2,0),"Д")</f>
        <v>0</v>
      </c>
      <c r="V1350" s="50">
        <f>SUMIFS(INDEX(Техника!$F$1:$ABM$500,V$2,0),Техника!$F$4:$ABM$4,"Часы",INDEX(Техника!$G$1:$ABN$500,V$2,0),$A$1348,INDEX(Техника!$H$1:$ABO$500,V$2,0),"Д")</f>
        <v>0</v>
      </c>
      <c r="W1350" s="50">
        <f>SUMIFS(INDEX(Техника!$F$1:$ABM$500,W$2,0),Техника!$F$4:$ABM$4,"Часы",INDEX(Техника!$G$1:$ABN$500,W$2,0),$A$1348,INDEX(Техника!$H$1:$ABO$500,W$2,0),"Д")</f>
        <v>0</v>
      </c>
      <c r="X1350" s="50">
        <f>SUMIFS(INDEX(Техника!$F$1:$ABM$500,X$2,0),Техника!$F$4:$ABM$4,"Часы",INDEX(Техника!$G$1:$ABN$500,X$2,0),$A$1348,INDEX(Техника!$H$1:$ABO$500,X$2,0),"Д")</f>
        <v>0</v>
      </c>
      <c r="Y1350" s="50">
        <f>SUMIFS(INDEX(Техника!$F$1:$ABM$500,Y$2,0),Техника!$F$4:$ABM$4,"Часы",INDEX(Техника!$G$1:$ABN$500,Y$2,0),$A$1348,INDEX(Техника!$H$1:$ABO$500,Y$2,0),"Д")</f>
        <v>0</v>
      </c>
      <c r="Z1350" s="50">
        <f>SUMIFS(INDEX(Техника!$F$1:$ABM$500,Z$2,0),Техника!$F$4:$ABM$4,"Часы",INDEX(Техника!$G$1:$ABN$500,Z$2,0),$A$1348,INDEX(Техника!$H$1:$ABO$500,Z$2,0),"Д")</f>
        <v>0</v>
      </c>
      <c r="AA1350" s="50">
        <f>SUMIFS(INDEX(Техника!$F$1:$ABM$500,AA$2,0),Техника!$F$4:$ABM$4,"Часы",INDEX(Техника!$G$1:$ABN$500,AA$2,0),$A$1348,INDEX(Техника!$H$1:$ABO$500,AA$2,0),"Д")</f>
        <v>0</v>
      </c>
      <c r="AB1350" s="50">
        <f>SUMIFS(INDEX(Техника!$F$1:$ABM$500,AB$2,0),Техника!$F$4:$ABM$4,"Часы",INDEX(Техника!$G$1:$ABN$500,AB$2,0),$A$1348,INDEX(Техника!$H$1:$ABO$500,AB$2,0),"Д")</f>
        <v>0</v>
      </c>
    </row>
    <row r="1351" spans="1:28" hidden="1" outlineLevel="1" x14ac:dyDescent="0.3">
      <c r="A1351" s="33" t="s">
        <v>276</v>
      </c>
      <c r="B1351" s="34" t="s">
        <v>277</v>
      </c>
      <c r="C1351" s="50">
        <f>SUMIFS(INDEX(Техника!$F$1:$ABM$500,C$2,0),Техника!$F$4:$ABM$4,"Часы",INDEX(Техника!$G$1:$ABN$500,C$2,0),$A$1348,INDEX(Техника!$H$1:$ABO$500,C$2,0),"П")</f>
        <v>0</v>
      </c>
      <c r="D1351" s="50">
        <f>SUMIFS(INDEX(Техника!$F$1:$ABM$500,D$2,0),Техника!$F$4:$ABM$4,"Часы",INDEX(Техника!$G$1:$ABN$500,D$2,0),$A$1348,INDEX(Техника!$H$1:$ABO$500,D$2,0),"П")</f>
        <v>0</v>
      </c>
      <c r="E1351" s="50">
        <f>SUMIFS(INDEX(Техника!$F$1:$ABM$500,E$2,0),Техника!$F$4:$ABM$4,"Часы",INDEX(Техника!$G$1:$ABN$500,E$2,0),$A$1348,INDEX(Техника!$H$1:$ABO$500,E$2,0),"П")</f>
        <v>0</v>
      </c>
      <c r="F1351" s="50">
        <f>SUMIFS(INDEX(Техника!$F$1:$ABM$500,F$2,0),Техника!$F$4:$ABM$4,"Часы",INDEX(Техника!$G$1:$ABN$500,F$2,0),$A$1348,INDEX(Техника!$H$1:$ABO$500,F$2,0),"П")</f>
        <v>0</v>
      </c>
      <c r="G1351" s="50">
        <f>SUMIFS(INDEX(Техника!$F$1:$ABM$500,G$2,0),Техника!$F$4:$ABM$4,"Часы",INDEX(Техника!$G$1:$ABN$500,G$2,0),$A$1348,INDEX(Техника!$H$1:$ABO$500,G$2,0),"П")</f>
        <v>0</v>
      </c>
      <c r="H1351" s="50">
        <f>SUMIFS(INDEX(Техника!$F$1:$ABM$500,H$2,0),Техника!$F$4:$ABM$4,"Часы",INDEX(Техника!$G$1:$ABN$500,H$2,0),$A$1348,INDEX(Техника!$H$1:$ABO$500,H$2,0),"П")</f>
        <v>0</v>
      </c>
      <c r="I1351" s="50">
        <f>SUMIFS(INDEX(Техника!$F$1:$ABM$500,I$2,0),Техника!$F$4:$ABM$4,"Часы",INDEX(Техника!$G$1:$ABN$500,I$2,0),$A$1348,INDEX(Техника!$H$1:$ABO$500,I$2,0),"П")</f>
        <v>0</v>
      </c>
      <c r="J1351" s="50">
        <f>SUMIFS(INDEX(Техника!$F$1:$ABM$500,J$2,0),Техника!$F$4:$ABM$4,"Часы",INDEX(Техника!$G$1:$ABN$500,J$2,0),$A$1348,INDEX(Техника!$H$1:$ABO$500,J$2,0),"П")</f>
        <v>0</v>
      </c>
      <c r="K1351" s="50">
        <f>SUMIFS(INDEX(Техника!$F$1:$ABM$500,K$2,0),Техника!$F$4:$ABM$4,"Часы",INDEX(Техника!$G$1:$ABN$500,K$2,0),$A$1348,INDEX(Техника!$H$1:$ABO$500,K$2,0),"П")</f>
        <v>0</v>
      </c>
      <c r="L1351" s="50">
        <f>SUMIFS(INDEX(Техника!$F$1:$ABM$500,L$2,0),Техника!$F$4:$ABM$4,"Часы",INDEX(Техника!$G$1:$ABN$500,L$2,0),$A$1348,INDEX(Техника!$H$1:$ABO$500,L$2,0),"П")</f>
        <v>0</v>
      </c>
      <c r="M1351" s="50">
        <f>SUMIFS(INDEX(Техника!$F$1:$ABM$500,M$2,0),Техника!$F$4:$ABM$4,"Часы",INDEX(Техника!$G$1:$ABN$500,M$2,0),$A$1348,INDEX(Техника!$H$1:$ABO$500,M$2,0),"П")</f>
        <v>0</v>
      </c>
      <c r="N1351" s="50">
        <f>SUMIFS(INDEX(Техника!$F$1:$ABM$500,N$2,0),Техника!$F$4:$ABM$4,"Часы",INDEX(Техника!$G$1:$ABN$500,N$2,0),$A$1348,INDEX(Техника!$H$1:$ABO$500,N$2,0),"П")</f>
        <v>0</v>
      </c>
      <c r="O1351" s="50">
        <f>SUMIFS(INDEX(Техника!$F$1:$ABM$500,O$2,0),Техника!$F$4:$ABM$4,"Часы",INDEX(Техника!$G$1:$ABN$500,O$2,0),$A$1348,INDEX(Техника!$H$1:$ABO$500,O$2,0),"П")</f>
        <v>0</v>
      </c>
      <c r="P1351" s="50">
        <f>SUMIFS(INDEX(Техника!$F$1:$ABM$500,P$2,0),Техника!$F$4:$ABM$4,"Часы",INDEX(Техника!$G$1:$ABN$500,P$2,0),$A$1348,INDEX(Техника!$H$1:$ABO$500,P$2,0),"П")</f>
        <v>0</v>
      </c>
      <c r="Q1351" s="50">
        <f>SUMIFS(INDEX(Техника!$F$1:$ABM$500,Q$2,0),Техника!$F$4:$ABM$4,"Часы",INDEX(Техника!$G$1:$ABN$500,Q$2,0),$A$1348,INDEX(Техника!$H$1:$ABO$500,Q$2,0),"П")</f>
        <v>0</v>
      </c>
      <c r="R1351" s="50">
        <f>SUMIFS(INDEX(Техника!$F$1:$ABM$500,R$2,0),Техника!$F$4:$ABM$4,"Часы",INDEX(Техника!$G$1:$ABN$500,R$2,0),$A$1348,INDEX(Техника!$H$1:$ABO$500,R$2,0),"П")</f>
        <v>0</v>
      </c>
      <c r="S1351" s="50">
        <f>SUMIFS(INDEX(Техника!$F$1:$ABM$500,S$2,0),Техника!$F$4:$ABM$4,"Часы",INDEX(Техника!$G$1:$ABN$500,S$2,0),$A$1348,INDEX(Техника!$H$1:$ABO$500,S$2,0),"П")</f>
        <v>0</v>
      </c>
      <c r="T1351" s="50">
        <f>SUMIFS(INDEX(Техника!$F$1:$ABM$500,T$2,0),Техника!$F$4:$ABM$4,"Часы",INDEX(Техника!$G$1:$ABN$500,T$2,0),$A$1348,INDEX(Техника!$H$1:$ABO$500,T$2,0),"П")</f>
        <v>0</v>
      </c>
      <c r="U1351" s="50">
        <f>SUMIFS(INDEX(Техника!$F$1:$ABM$500,U$2,0),Техника!$F$4:$ABM$4,"Часы",INDEX(Техника!$G$1:$ABN$500,U$2,0),$A$1348,INDEX(Техника!$H$1:$ABO$500,U$2,0),"П")</f>
        <v>0</v>
      </c>
      <c r="V1351" s="50">
        <f>SUMIFS(INDEX(Техника!$F$1:$ABM$500,V$2,0),Техника!$F$4:$ABM$4,"Часы",INDEX(Техника!$G$1:$ABN$500,V$2,0),$A$1348,INDEX(Техника!$H$1:$ABO$500,V$2,0),"П")</f>
        <v>0</v>
      </c>
      <c r="W1351" s="50">
        <f>SUMIFS(INDEX(Техника!$F$1:$ABM$500,W$2,0),Техника!$F$4:$ABM$4,"Часы",INDEX(Техника!$G$1:$ABN$500,W$2,0),$A$1348,INDEX(Техника!$H$1:$ABO$500,W$2,0),"П")</f>
        <v>0</v>
      </c>
      <c r="X1351" s="50">
        <f>SUMIFS(INDEX(Техника!$F$1:$ABM$500,X$2,0),Техника!$F$4:$ABM$4,"Часы",INDEX(Техника!$G$1:$ABN$500,X$2,0),$A$1348,INDEX(Техника!$H$1:$ABO$500,X$2,0),"П")</f>
        <v>0</v>
      </c>
      <c r="Y1351" s="50">
        <f>SUMIFS(INDEX(Техника!$F$1:$ABM$500,Y$2,0),Техника!$F$4:$ABM$4,"Часы",INDEX(Техника!$G$1:$ABN$500,Y$2,0),$A$1348,INDEX(Техника!$H$1:$ABO$500,Y$2,0),"П")</f>
        <v>0</v>
      </c>
      <c r="Z1351" s="50">
        <f>SUMIFS(INDEX(Техника!$F$1:$ABM$500,Z$2,0),Техника!$F$4:$ABM$4,"Часы",INDEX(Техника!$G$1:$ABN$500,Z$2,0),$A$1348,INDEX(Техника!$H$1:$ABO$500,Z$2,0),"П")</f>
        <v>0</v>
      </c>
      <c r="AA1351" s="50">
        <f>SUMIFS(INDEX(Техника!$F$1:$ABM$500,AA$2,0),Техника!$F$4:$ABM$4,"Часы",INDEX(Техника!$G$1:$ABN$500,AA$2,0),$A$1348,INDEX(Техника!$H$1:$ABO$500,AA$2,0),"П")</f>
        <v>0</v>
      </c>
      <c r="AB1351" s="50">
        <f>SUMIFS(INDEX(Техника!$F$1:$ABM$500,AB$2,0),Техника!$F$4:$ABM$4,"Часы",INDEX(Техника!$G$1:$ABN$500,AB$2,0),$A$1348,INDEX(Техника!$H$1:$ABO$500,AB$2,0),"П")</f>
        <v>0</v>
      </c>
    </row>
    <row r="1352" spans="1:28" hidden="1" outlineLevel="1" x14ac:dyDescent="0.3">
      <c r="A1352" s="33" t="s">
        <v>243</v>
      </c>
      <c r="B1352" s="34" t="s">
        <v>278</v>
      </c>
      <c r="C1352" s="50">
        <f>SUMIFS(INDEX(Техника!$F$1:$ABM$500,C$2,0),Техника!$F$4:$ABM$4,"Часы",INDEX(Техника!$G$1:$ABN$500,C$2,0),$A$1348,INDEX(Техника!$H$1:$ABO$500,C$2,0),"Л")</f>
        <v>0</v>
      </c>
      <c r="D1352" s="50">
        <f>SUMIFS(INDEX(Техника!$F$1:$ABM$500,D$2,0),Техника!$F$4:$ABM$4,"Часы",INDEX(Техника!$G$1:$ABN$500,D$2,0),$A$1348,INDEX(Техника!$H$1:$ABO$500,D$2,0),"Л")</f>
        <v>0</v>
      </c>
      <c r="E1352" s="50">
        <f>SUMIFS(INDEX(Техника!$F$1:$ABM$500,E$2,0),Техника!$F$4:$ABM$4,"Часы",INDEX(Техника!$G$1:$ABN$500,E$2,0),$A$1348,INDEX(Техника!$H$1:$ABO$500,E$2,0),"Л")</f>
        <v>0</v>
      </c>
      <c r="F1352" s="50">
        <f>SUMIFS(INDEX(Техника!$F$1:$ABM$500,F$2,0),Техника!$F$4:$ABM$4,"Часы",INDEX(Техника!$G$1:$ABN$500,F$2,0),$A$1348,INDEX(Техника!$H$1:$ABO$500,F$2,0),"Л")</f>
        <v>0</v>
      </c>
      <c r="G1352" s="50">
        <f>SUMIFS(INDEX(Техника!$F$1:$ABM$500,G$2,0),Техника!$F$4:$ABM$4,"Часы",INDEX(Техника!$G$1:$ABN$500,G$2,0),$A$1348,INDEX(Техника!$H$1:$ABO$500,G$2,0),"Л")</f>
        <v>0</v>
      </c>
      <c r="H1352" s="50">
        <f>SUMIFS(INDEX(Техника!$F$1:$ABM$500,H$2,0),Техника!$F$4:$ABM$4,"Часы",INDEX(Техника!$G$1:$ABN$500,H$2,0),$A$1348,INDEX(Техника!$H$1:$ABO$500,H$2,0),"Л")</f>
        <v>0</v>
      </c>
      <c r="I1352" s="50">
        <f>SUMIFS(INDEX(Техника!$F$1:$ABM$500,I$2,0),Техника!$F$4:$ABM$4,"Часы",INDEX(Техника!$G$1:$ABN$500,I$2,0),$A$1348,INDEX(Техника!$H$1:$ABO$500,I$2,0),"Л")</f>
        <v>0</v>
      </c>
      <c r="J1352" s="50">
        <f>SUMIFS(INDEX(Техника!$F$1:$ABM$500,J$2,0),Техника!$F$4:$ABM$4,"Часы",INDEX(Техника!$G$1:$ABN$500,J$2,0),$A$1348,INDEX(Техника!$H$1:$ABO$500,J$2,0),"Л")</f>
        <v>0</v>
      </c>
      <c r="K1352" s="50">
        <f>SUMIFS(INDEX(Техника!$F$1:$ABM$500,K$2,0),Техника!$F$4:$ABM$4,"Часы",INDEX(Техника!$G$1:$ABN$500,K$2,0),$A$1348,INDEX(Техника!$H$1:$ABO$500,K$2,0),"Л")</f>
        <v>0</v>
      </c>
      <c r="L1352" s="50">
        <f>SUMIFS(INDEX(Техника!$F$1:$ABM$500,L$2,0),Техника!$F$4:$ABM$4,"Часы",INDEX(Техника!$G$1:$ABN$500,L$2,0),$A$1348,INDEX(Техника!$H$1:$ABO$500,L$2,0),"Л")</f>
        <v>0</v>
      </c>
      <c r="M1352" s="50">
        <f>SUMIFS(INDEX(Техника!$F$1:$ABM$500,M$2,0),Техника!$F$4:$ABM$4,"Часы",INDEX(Техника!$G$1:$ABN$500,M$2,0),$A$1348,INDEX(Техника!$H$1:$ABO$500,M$2,0),"Л")</f>
        <v>0</v>
      </c>
      <c r="N1352" s="50">
        <f>SUMIFS(INDEX(Техника!$F$1:$ABM$500,N$2,0),Техника!$F$4:$ABM$4,"Часы",INDEX(Техника!$G$1:$ABN$500,N$2,0),$A$1348,INDEX(Техника!$H$1:$ABO$500,N$2,0),"Л")</f>
        <v>0</v>
      </c>
      <c r="O1352" s="50">
        <f>SUMIFS(INDEX(Техника!$F$1:$ABM$500,O$2,0),Техника!$F$4:$ABM$4,"Часы",INDEX(Техника!$G$1:$ABN$500,O$2,0),$A$1348,INDEX(Техника!$H$1:$ABO$500,O$2,0),"Л")</f>
        <v>0</v>
      </c>
      <c r="P1352" s="50">
        <f>SUMIFS(INDEX(Техника!$F$1:$ABM$500,P$2,0),Техника!$F$4:$ABM$4,"Часы",INDEX(Техника!$G$1:$ABN$500,P$2,0),$A$1348,INDEX(Техника!$H$1:$ABO$500,P$2,0),"Л")</f>
        <v>0</v>
      </c>
      <c r="Q1352" s="50">
        <f>SUMIFS(INDEX(Техника!$F$1:$ABM$500,Q$2,0),Техника!$F$4:$ABM$4,"Часы",INDEX(Техника!$G$1:$ABN$500,Q$2,0),$A$1348,INDEX(Техника!$H$1:$ABO$500,Q$2,0),"Л")</f>
        <v>0</v>
      </c>
      <c r="R1352" s="50">
        <f>SUMIFS(INDEX(Техника!$F$1:$ABM$500,R$2,0),Техника!$F$4:$ABM$4,"Часы",INDEX(Техника!$G$1:$ABN$500,R$2,0),$A$1348,INDEX(Техника!$H$1:$ABO$500,R$2,0),"Л")</f>
        <v>0</v>
      </c>
      <c r="S1352" s="50">
        <f>SUMIFS(INDEX(Техника!$F$1:$ABM$500,S$2,0),Техника!$F$4:$ABM$4,"Часы",INDEX(Техника!$G$1:$ABN$500,S$2,0),$A$1348,INDEX(Техника!$H$1:$ABO$500,S$2,0),"Л")</f>
        <v>0</v>
      </c>
      <c r="T1352" s="50">
        <f>SUMIFS(INDEX(Техника!$F$1:$ABM$500,T$2,0),Техника!$F$4:$ABM$4,"Часы",INDEX(Техника!$G$1:$ABN$500,T$2,0),$A$1348,INDEX(Техника!$H$1:$ABO$500,T$2,0),"Л")</f>
        <v>0</v>
      </c>
      <c r="U1352" s="50">
        <f>SUMIFS(INDEX(Техника!$F$1:$ABM$500,U$2,0),Техника!$F$4:$ABM$4,"Часы",INDEX(Техника!$G$1:$ABN$500,U$2,0),$A$1348,INDEX(Техника!$H$1:$ABO$500,U$2,0),"Л")</f>
        <v>0</v>
      </c>
      <c r="V1352" s="50">
        <f>SUMIFS(INDEX(Техника!$F$1:$ABM$500,V$2,0),Техника!$F$4:$ABM$4,"Часы",INDEX(Техника!$G$1:$ABN$500,V$2,0),$A$1348,INDEX(Техника!$H$1:$ABO$500,V$2,0),"Л")</f>
        <v>0</v>
      </c>
      <c r="W1352" s="50">
        <f>SUMIFS(INDEX(Техника!$F$1:$ABM$500,W$2,0),Техника!$F$4:$ABM$4,"Часы",INDEX(Техника!$G$1:$ABN$500,W$2,0),$A$1348,INDEX(Техника!$H$1:$ABO$500,W$2,0),"Л")</f>
        <v>0</v>
      </c>
      <c r="X1352" s="50">
        <f>SUMIFS(INDEX(Техника!$F$1:$ABM$500,X$2,0),Техника!$F$4:$ABM$4,"Часы",INDEX(Техника!$G$1:$ABN$500,X$2,0),$A$1348,INDEX(Техника!$H$1:$ABO$500,X$2,0),"Л")</f>
        <v>0</v>
      </c>
      <c r="Y1352" s="50">
        <f>SUMIFS(INDEX(Техника!$F$1:$ABM$500,Y$2,0),Техника!$F$4:$ABM$4,"Часы",INDEX(Техника!$G$1:$ABN$500,Y$2,0),$A$1348,INDEX(Техника!$H$1:$ABO$500,Y$2,0),"Л")</f>
        <v>0</v>
      </c>
      <c r="Z1352" s="50">
        <f>SUMIFS(INDEX(Техника!$F$1:$ABM$500,Z$2,0),Техника!$F$4:$ABM$4,"Часы",INDEX(Техника!$G$1:$ABN$500,Z$2,0),$A$1348,INDEX(Техника!$H$1:$ABO$500,Z$2,0),"Л")</f>
        <v>0</v>
      </c>
      <c r="AA1352" s="50">
        <f>SUMIFS(INDEX(Техника!$F$1:$ABM$500,AA$2,0),Техника!$F$4:$ABM$4,"Часы",INDEX(Техника!$G$1:$ABN$500,AA$2,0),$A$1348,INDEX(Техника!$H$1:$ABO$500,AA$2,0),"Л")</f>
        <v>0</v>
      </c>
      <c r="AB1352" s="50">
        <f>SUMIFS(INDEX(Техника!$F$1:$ABM$500,AB$2,0),Техника!$F$4:$ABM$4,"Часы",INDEX(Техника!$G$1:$ABN$500,AB$2,0),$A$1348,INDEX(Техника!$H$1:$ABO$500,AB$2,0),"Л")</f>
        <v>0</v>
      </c>
    </row>
    <row r="1353" spans="1:28" hidden="1" outlineLevel="1" x14ac:dyDescent="0.3">
      <c r="A1353" s="33" t="s">
        <v>245</v>
      </c>
      <c r="B1353" s="34" t="s">
        <v>279</v>
      </c>
      <c r="C1353" s="50">
        <f>SUMIFS(INDEX(Техника!$F$1:$ABM$500,C$2,0),Техника!$F$4:$ABM$4,"Часы",INDEX(Техника!$G$1:$ABN$500,C$2,0),$A$1348,INDEX(Техника!$H$1:$ABO$500,C$2,0),"З")</f>
        <v>0</v>
      </c>
      <c r="D1353" s="50">
        <f>SUMIFS(INDEX(Техника!$F$1:$ABM$500,D$2,0),Техника!$F$4:$ABM$4,"Часы",INDEX(Техника!$G$1:$ABN$500,D$2,0),$A$1348,INDEX(Техника!$H$1:$ABO$500,D$2,0),"З")</f>
        <v>0</v>
      </c>
      <c r="E1353" s="50">
        <f>SUMIFS(INDEX(Техника!$F$1:$ABM$500,E$2,0),Техника!$F$4:$ABM$4,"Часы",INDEX(Техника!$G$1:$ABN$500,E$2,0),$A$1348,INDEX(Техника!$H$1:$ABO$500,E$2,0),"З")</f>
        <v>0</v>
      </c>
      <c r="F1353" s="50">
        <f>SUMIFS(INDEX(Техника!$F$1:$ABM$500,F$2,0),Техника!$F$4:$ABM$4,"Часы",INDEX(Техника!$G$1:$ABN$500,F$2,0),$A$1348,INDEX(Техника!$H$1:$ABO$500,F$2,0),"З")</f>
        <v>0</v>
      </c>
      <c r="G1353" s="50">
        <f>SUMIFS(INDEX(Техника!$F$1:$ABM$500,G$2,0),Техника!$F$4:$ABM$4,"Часы",INDEX(Техника!$G$1:$ABN$500,G$2,0),$A$1348,INDEX(Техника!$H$1:$ABO$500,G$2,0),"З")</f>
        <v>0</v>
      </c>
      <c r="H1353" s="50">
        <f>SUMIFS(INDEX(Техника!$F$1:$ABM$500,H$2,0),Техника!$F$4:$ABM$4,"Часы",INDEX(Техника!$G$1:$ABN$500,H$2,0),$A$1348,INDEX(Техника!$H$1:$ABO$500,H$2,0),"З")</f>
        <v>0</v>
      </c>
      <c r="I1353" s="50">
        <f>SUMIFS(INDEX(Техника!$F$1:$ABM$500,I$2,0),Техника!$F$4:$ABM$4,"Часы",INDEX(Техника!$G$1:$ABN$500,I$2,0),$A$1348,INDEX(Техника!$H$1:$ABO$500,I$2,0),"З")</f>
        <v>0</v>
      </c>
      <c r="J1353" s="50">
        <f>SUMIFS(INDEX(Техника!$F$1:$ABM$500,J$2,0),Техника!$F$4:$ABM$4,"Часы",INDEX(Техника!$G$1:$ABN$500,J$2,0),$A$1348,INDEX(Техника!$H$1:$ABO$500,J$2,0),"З")</f>
        <v>0</v>
      </c>
      <c r="K1353" s="50">
        <f>SUMIFS(INDEX(Техника!$F$1:$ABM$500,K$2,0),Техника!$F$4:$ABM$4,"Часы",INDEX(Техника!$G$1:$ABN$500,K$2,0),$A$1348,INDEX(Техника!$H$1:$ABO$500,K$2,0),"З")</f>
        <v>0</v>
      </c>
      <c r="L1353" s="50">
        <f>SUMIFS(INDEX(Техника!$F$1:$ABM$500,L$2,0),Техника!$F$4:$ABM$4,"Часы",INDEX(Техника!$G$1:$ABN$500,L$2,0),$A$1348,INDEX(Техника!$H$1:$ABO$500,L$2,0),"З")</f>
        <v>0</v>
      </c>
      <c r="M1353" s="50">
        <f>SUMIFS(INDEX(Техника!$F$1:$ABM$500,M$2,0),Техника!$F$4:$ABM$4,"Часы",INDEX(Техника!$G$1:$ABN$500,M$2,0),$A$1348,INDEX(Техника!$H$1:$ABO$500,M$2,0),"З")</f>
        <v>0</v>
      </c>
      <c r="N1353" s="50">
        <f>SUMIFS(INDEX(Техника!$F$1:$ABM$500,N$2,0),Техника!$F$4:$ABM$4,"Часы",INDEX(Техника!$G$1:$ABN$500,N$2,0),$A$1348,INDEX(Техника!$H$1:$ABO$500,N$2,0),"З")</f>
        <v>0</v>
      </c>
      <c r="O1353" s="50">
        <f>SUMIFS(INDEX(Техника!$F$1:$ABM$500,O$2,0),Техника!$F$4:$ABM$4,"Часы",INDEX(Техника!$G$1:$ABN$500,O$2,0),$A$1348,INDEX(Техника!$H$1:$ABO$500,O$2,0),"З")</f>
        <v>0</v>
      </c>
      <c r="P1353" s="50">
        <f>SUMIFS(INDEX(Техника!$F$1:$ABM$500,P$2,0),Техника!$F$4:$ABM$4,"Часы",INDEX(Техника!$G$1:$ABN$500,P$2,0),$A$1348,INDEX(Техника!$H$1:$ABO$500,P$2,0),"З")</f>
        <v>0</v>
      </c>
      <c r="Q1353" s="50">
        <f>SUMIFS(INDEX(Техника!$F$1:$ABM$500,Q$2,0),Техника!$F$4:$ABM$4,"Часы",INDEX(Техника!$G$1:$ABN$500,Q$2,0),$A$1348,INDEX(Техника!$H$1:$ABO$500,Q$2,0),"З")</f>
        <v>0</v>
      </c>
      <c r="R1353" s="50">
        <f>SUMIFS(INDEX(Техника!$F$1:$ABM$500,R$2,0),Техника!$F$4:$ABM$4,"Часы",INDEX(Техника!$G$1:$ABN$500,R$2,0),$A$1348,INDEX(Техника!$H$1:$ABO$500,R$2,0),"З")</f>
        <v>0</v>
      </c>
      <c r="S1353" s="50">
        <f>SUMIFS(INDEX(Техника!$F$1:$ABM$500,S$2,0),Техника!$F$4:$ABM$4,"Часы",INDEX(Техника!$G$1:$ABN$500,S$2,0),$A$1348,INDEX(Техника!$H$1:$ABO$500,S$2,0),"З")</f>
        <v>0</v>
      </c>
      <c r="T1353" s="50">
        <f>SUMIFS(INDEX(Техника!$F$1:$ABM$500,T$2,0),Техника!$F$4:$ABM$4,"Часы",INDEX(Техника!$G$1:$ABN$500,T$2,0),$A$1348,INDEX(Техника!$H$1:$ABO$500,T$2,0),"З")</f>
        <v>0</v>
      </c>
      <c r="U1353" s="50">
        <f>SUMIFS(INDEX(Техника!$F$1:$ABM$500,U$2,0),Техника!$F$4:$ABM$4,"Часы",INDEX(Техника!$G$1:$ABN$500,U$2,0),$A$1348,INDEX(Техника!$H$1:$ABO$500,U$2,0),"З")</f>
        <v>0</v>
      </c>
      <c r="V1353" s="50">
        <f>SUMIFS(INDEX(Техника!$F$1:$ABM$500,V$2,0),Техника!$F$4:$ABM$4,"Часы",INDEX(Техника!$G$1:$ABN$500,V$2,0),$A$1348,INDEX(Техника!$H$1:$ABO$500,V$2,0),"З")</f>
        <v>0</v>
      </c>
      <c r="W1353" s="50">
        <f>SUMIFS(INDEX(Техника!$F$1:$ABM$500,W$2,0),Техника!$F$4:$ABM$4,"Часы",INDEX(Техника!$G$1:$ABN$500,W$2,0),$A$1348,INDEX(Техника!$H$1:$ABO$500,W$2,0),"З")</f>
        <v>0</v>
      </c>
      <c r="X1353" s="50">
        <f>SUMIFS(INDEX(Техника!$F$1:$ABM$500,X$2,0),Техника!$F$4:$ABM$4,"Часы",INDEX(Техника!$G$1:$ABN$500,X$2,0),$A$1348,INDEX(Техника!$H$1:$ABO$500,X$2,0),"З")</f>
        <v>0</v>
      </c>
      <c r="Y1353" s="50">
        <f>SUMIFS(INDEX(Техника!$F$1:$ABM$500,Y$2,0),Техника!$F$4:$ABM$4,"Часы",INDEX(Техника!$G$1:$ABN$500,Y$2,0),$A$1348,INDEX(Техника!$H$1:$ABO$500,Y$2,0),"З")</f>
        <v>0</v>
      </c>
      <c r="Z1353" s="50">
        <f>SUMIFS(INDEX(Техника!$F$1:$ABM$500,Z$2,0),Техника!$F$4:$ABM$4,"Часы",INDEX(Техника!$G$1:$ABN$500,Z$2,0),$A$1348,INDEX(Техника!$H$1:$ABO$500,Z$2,0),"З")</f>
        <v>0</v>
      </c>
      <c r="AA1353" s="50">
        <f>SUMIFS(INDEX(Техника!$F$1:$ABM$500,AA$2,0),Техника!$F$4:$ABM$4,"Часы",INDEX(Техника!$G$1:$ABN$500,AA$2,0),$A$1348,INDEX(Техника!$H$1:$ABO$500,AA$2,0),"З")</f>
        <v>0</v>
      </c>
      <c r="AB1353" s="50">
        <f>SUMIFS(INDEX(Техника!$F$1:$ABM$500,AB$2,0),Техника!$F$4:$ABM$4,"Часы",INDEX(Техника!$G$1:$ABN$500,AB$2,0),$A$1348,INDEX(Техника!$H$1:$ABO$500,AB$2,0),"З")</f>
        <v>0</v>
      </c>
    </row>
    <row r="1354" spans="1:28" ht="7.95" customHeight="1" x14ac:dyDescent="0.3">
      <c r="A1354" s="38"/>
      <c r="B1354" s="39"/>
      <c r="C1354" s="51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1"/>
      <c r="AB1354" s="51"/>
    </row>
    <row r="1355" spans="1:28" ht="25.05" customHeight="1" collapsed="1" x14ac:dyDescent="0.3">
      <c r="A1355" s="32">
        <v>194</v>
      </c>
      <c r="B1355" s="32" t="s">
        <v>195</v>
      </c>
      <c r="C1355" s="49">
        <f>SUM(C1356:C1360)</f>
        <v>0</v>
      </c>
      <c r="D1355" s="49">
        <f>SUM(D1356:D1360)</f>
        <v>0</v>
      </c>
      <c r="E1355" s="49">
        <f>SUM(E1356:E1360)</f>
        <v>0</v>
      </c>
      <c r="F1355" s="49">
        <f>SUM(F1356:F1360)</f>
        <v>0</v>
      </c>
      <c r="G1355" s="49">
        <f>SUM(G1356:G1360)</f>
        <v>0</v>
      </c>
      <c r="H1355" s="49">
        <f>SUM(H1356:H1360)</f>
        <v>0</v>
      </c>
      <c r="I1355" s="49">
        <f>SUM(I1356:I1360)</f>
        <v>0</v>
      </c>
      <c r="J1355" s="49">
        <f>SUM(J1356:J1360)</f>
        <v>0</v>
      </c>
      <c r="K1355" s="49">
        <f>SUM(K1356:K1360)</f>
        <v>0</v>
      </c>
      <c r="L1355" s="49">
        <f>SUM(L1356:L1360)</f>
        <v>0</v>
      </c>
      <c r="M1355" s="49">
        <f>SUM(M1356:M1360)</f>
        <v>0</v>
      </c>
      <c r="N1355" s="49">
        <f>SUM(N1356:N1360)</f>
        <v>0</v>
      </c>
      <c r="O1355" s="49">
        <f>SUM(O1356:O1360)</f>
        <v>0</v>
      </c>
      <c r="P1355" s="49">
        <f>SUM(P1356:P1360)</f>
        <v>0</v>
      </c>
      <c r="Q1355" s="49">
        <f>SUM(Q1356:Q1360)</f>
        <v>0</v>
      </c>
      <c r="R1355" s="49">
        <f>SUM(R1356:R1360)</f>
        <v>0</v>
      </c>
      <c r="S1355" s="49">
        <f>SUM(S1356:S1360)</f>
        <v>0</v>
      </c>
      <c r="T1355" s="49">
        <f>SUM(T1356:T1360)</f>
        <v>0</v>
      </c>
      <c r="U1355" s="49">
        <f>SUM(U1356:U1360)</f>
        <v>0</v>
      </c>
      <c r="V1355" s="49">
        <f>SUM(V1356:V1360)</f>
        <v>0</v>
      </c>
      <c r="W1355" s="49">
        <f>SUM(W1356:W1360)</f>
        <v>0</v>
      </c>
      <c r="X1355" s="49">
        <f>SUM(X1356:X1360)</f>
        <v>0</v>
      </c>
      <c r="Y1355" s="49">
        <f>SUM(Y1356:Y1360)</f>
        <v>0</v>
      </c>
      <c r="Z1355" s="49">
        <f>SUM(Z1356:Z1360)</f>
        <v>0</v>
      </c>
      <c r="AA1355" s="49">
        <f>SUM(AA1356:AA1360)</f>
        <v>0</v>
      </c>
      <c r="AB1355" s="49">
        <f>SUM(AB1356:AB1360)</f>
        <v>0</v>
      </c>
    </row>
    <row r="1356" spans="1:28" hidden="1" outlineLevel="1" x14ac:dyDescent="0.3">
      <c r="A1356" s="33" t="s">
        <v>246</v>
      </c>
      <c r="B1356" s="34" t="s">
        <v>274</v>
      </c>
      <c r="C1356" s="50">
        <f>SUMIFS(INDEX(Техника!$F$1:$ABM$500,C$2,0),Техника!$F$4:$ABM$4,"Часы",INDEX(Техника!$G$1:$ABN$500,C$2,0),$A$1355,INDEX(Техника!$H$1:$ABO$500,C$2,0),"М")</f>
        <v>0</v>
      </c>
      <c r="D1356" s="50">
        <f>SUMIFS(INDEX(Техника!$F$1:$ABM$500,D$2,0),Техника!$F$4:$ABM$4,"Часы",INDEX(Техника!$G$1:$ABN$500,D$2,0),$A$1355,INDEX(Техника!$H$1:$ABO$500,D$2,0),"М")</f>
        <v>0</v>
      </c>
      <c r="E1356" s="50">
        <f>SUMIFS(INDEX(Техника!$F$1:$ABM$500,E$2,0),Техника!$F$4:$ABM$4,"Часы",INDEX(Техника!$G$1:$ABN$500,E$2,0),$A$1355,INDEX(Техника!$H$1:$ABO$500,E$2,0),"М")</f>
        <v>0</v>
      </c>
      <c r="F1356" s="50">
        <f>SUMIFS(INDEX(Техника!$F$1:$ABM$500,F$2,0),Техника!$F$4:$ABM$4,"Часы",INDEX(Техника!$G$1:$ABN$500,F$2,0),$A$1355,INDEX(Техника!$H$1:$ABO$500,F$2,0),"М")</f>
        <v>0</v>
      </c>
      <c r="G1356" s="50">
        <f>SUMIFS(INDEX(Техника!$F$1:$ABM$500,G$2,0),Техника!$F$4:$ABM$4,"Часы",INDEX(Техника!$G$1:$ABN$500,G$2,0),$A$1355,INDEX(Техника!$H$1:$ABO$500,G$2,0),"М")</f>
        <v>0</v>
      </c>
      <c r="H1356" s="50">
        <f>SUMIFS(INDEX(Техника!$F$1:$ABM$500,H$2,0),Техника!$F$4:$ABM$4,"Часы",INDEX(Техника!$G$1:$ABN$500,H$2,0),$A$1355,INDEX(Техника!$H$1:$ABO$500,H$2,0),"М")</f>
        <v>0</v>
      </c>
      <c r="I1356" s="50">
        <f>SUMIFS(INDEX(Техника!$F$1:$ABM$500,I$2,0),Техника!$F$4:$ABM$4,"Часы",INDEX(Техника!$G$1:$ABN$500,I$2,0),$A$1355,INDEX(Техника!$H$1:$ABO$500,I$2,0),"М")</f>
        <v>0</v>
      </c>
      <c r="J1356" s="50">
        <f>SUMIFS(INDEX(Техника!$F$1:$ABM$500,J$2,0),Техника!$F$4:$ABM$4,"Часы",INDEX(Техника!$G$1:$ABN$500,J$2,0),$A$1355,INDEX(Техника!$H$1:$ABO$500,J$2,0),"М")</f>
        <v>0</v>
      </c>
      <c r="K1356" s="50">
        <f>SUMIFS(INDEX(Техника!$F$1:$ABM$500,K$2,0),Техника!$F$4:$ABM$4,"Часы",INDEX(Техника!$G$1:$ABN$500,K$2,0),$A$1355,INDEX(Техника!$H$1:$ABO$500,K$2,0),"М")</f>
        <v>0</v>
      </c>
      <c r="L1356" s="50">
        <f>SUMIFS(INDEX(Техника!$F$1:$ABM$500,L$2,0),Техника!$F$4:$ABM$4,"Часы",INDEX(Техника!$G$1:$ABN$500,L$2,0),$A$1355,INDEX(Техника!$H$1:$ABO$500,L$2,0),"М")</f>
        <v>0</v>
      </c>
      <c r="M1356" s="50">
        <f>SUMIFS(INDEX(Техника!$F$1:$ABM$500,M$2,0),Техника!$F$4:$ABM$4,"Часы",INDEX(Техника!$G$1:$ABN$500,M$2,0),$A$1355,INDEX(Техника!$H$1:$ABO$500,M$2,0),"М")</f>
        <v>0</v>
      </c>
      <c r="N1356" s="50">
        <f>SUMIFS(INDEX(Техника!$F$1:$ABM$500,N$2,0),Техника!$F$4:$ABM$4,"Часы",INDEX(Техника!$G$1:$ABN$500,N$2,0),$A$1355,INDEX(Техника!$H$1:$ABO$500,N$2,0),"М")</f>
        <v>0</v>
      </c>
      <c r="O1356" s="50">
        <f>SUMIFS(INDEX(Техника!$F$1:$ABM$500,O$2,0),Техника!$F$4:$ABM$4,"Часы",INDEX(Техника!$G$1:$ABN$500,O$2,0),$A$1355,INDEX(Техника!$H$1:$ABO$500,O$2,0),"М")</f>
        <v>0</v>
      </c>
      <c r="P1356" s="50">
        <f>SUMIFS(INDEX(Техника!$F$1:$ABM$500,P$2,0),Техника!$F$4:$ABM$4,"Часы",INDEX(Техника!$G$1:$ABN$500,P$2,0),$A$1355,INDEX(Техника!$H$1:$ABO$500,P$2,0),"М")</f>
        <v>0</v>
      </c>
      <c r="Q1356" s="50">
        <f>SUMIFS(INDEX(Техника!$F$1:$ABM$500,Q$2,0),Техника!$F$4:$ABM$4,"Часы",INDEX(Техника!$G$1:$ABN$500,Q$2,0),$A$1355,INDEX(Техника!$H$1:$ABO$500,Q$2,0),"М")</f>
        <v>0</v>
      </c>
      <c r="R1356" s="50">
        <f>SUMIFS(INDEX(Техника!$F$1:$ABM$500,R$2,0),Техника!$F$4:$ABM$4,"Часы",INDEX(Техника!$G$1:$ABN$500,R$2,0),$A$1355,INDEX(Техника!$H$1:$ABO$500,R$2,0),"М")</f>
        <v>0</v>
      </c>
      <c r="S1356" s="50">
        <f>SUMIFS(INDEX(Техника!$F$1:$ABM$500,S$2,0),Техника!$F$4:$ABM$4,"Часы",INDEX(Техника!$G$1:$ABN$500,S$2,0),$A$1355,INDEX(Техника!$H$1:$ABO$500,S$2,0),"М")</f>
        <v>0</v>
      </c>
      <c r="T1356" s="50">
        <f>SUMIFS(INDEX(Техника!$F$1:$ABM$500,T$2,0),Техника!$F$4:$ABM$4,"Часы",INDEX(Техника!$G$1:$ABN$500,T$2,0),$A$1355,INDEX(Техника!$H$1:$ABO$500,T$2,0),"М")</f>
        <v>0</v>
      </c>
      <c r="U1356" s="50">
        <f>SUMIFS(INDEX(Техника!$F$1:$ABM$500,U$2,0),Техника!$F$4:$ABM$4,"Часы",INDEX(Техника!$G$1:$ABN$500,U$2,0),$A$1355,INDEX(Техника!$H$1:$ABO$500,U$2,0),"М")</f>
        <v>0</v>
      </c>
      <c r="V1356" s="50">
        <f>SUMIFS(INDEX(Техника!$F$1:$ABM$500,V$2,0),Техника!$F$4:$ABM$4,"Часы",INDEX(Техника!$G$1:$ABN$500,V$2,0),$A$1355,INDEX(Техника!$H$1:$ABO$500,V$2,0),"М")</f>
        <v>0</v>
      </c>
      <c r="W1356" s="50">
        <f>SUMIFS(INDEX(Техника!$F$1:$ABM$500,W$2,0),Техника!$F$4:$ABM$4,"Часы",INDEX(Техника!$G$1:$ABN$500,W$2,0),$A$1355,INDEX(Техника!$H$1:$ABO$500,W$2,0),"М")</f>
        <v>0</v>
      </c>
      <c r="X1356" s="50">
        <f>SUMIFS(INDEX(Техника!$F$1:$ABM$500,X$2,0),Техника!$F$4:$ABM$4,"Часы",INDEX(Техника!$G$1:$ABN$500,X$2,0),$A$1355,INDEX(Техника!$H$1:$ABO$500,X$2,0),"М")</f>
        <v>0</v>
      </c>
      <c r="Y1356" s="50">
        <f>SUMIFS(INDEX(Техника!$F$1:$ABM$500,Y$2,0),Техника!$F$4:$ABM$4,"Часы",INDEX(Техника!$G$1:$ABN$500,Y$2,0),$A$1355,INDEX(Техника!$H$1:$ABO$500,Y$2,0),"М")</f>
        <v>0</v>
      </c>
      <c r="Z1356" s="50">
        <f>SUMIFS(INDEX(Техника!$F$1:$ABM$500,Z$2,0),Техника!$F$4:$ABM$4,"Часы",INDEX(Техника!$G$1:$ABN$500,Z$2,0),$A$1355,INDEX(Техника!$H$1:$ABO$500,Z$2,0),"М")</f>
        <v>0</v>
      </c>
      <c r="AA1356" s="50">
        <f>SUMIFS(INDEX(Техника!$F$1:$ABM$500,AA$2,0),Техника!$F$4:$ABM$4,"Часы",INDEX(Техника!$G$1:$ABN$500,AA$2,0),$A$1355,INDEX(Техника!$H$1:$ABO$500,AA$2,0),"М")</f>
        <v>0</v>
      </c>
      <c r="AB1356" s="50">
        <f>SUMIFS(INDEX(Техника!$F$1:$ABM$500,AB$2,0),Техника!$F$4:$ABM$4,"Часы",INDEX(Техника!$G$1:$ABN$500,AB$2,0),$A$1355,INDEX(Техника!$H$1:$ABO$500,AB$2,0),"М")</f>
        <v>0</v>
      </c>
    </row>
    <row r="1357" spans="1:28" hidden="1" outlineLevel="1" x14ac:dyDescent="0.3">
      <c r="A1357" s="33" t="s">
        <v>244</v>
      </c>
      <c r="B1357" s="34" t="s">
        <v>275</v>
      </c>
      <c r="C1357" s="50">
        <f>SUMIFS(INDEX(Техника!$F$1:$ABM$500,C$2,0),Техника!$F$4:$ABM$4,"Часы",INDEX(Техника!$G$1:$ABN$500,C$2,0),$A$1355,INDEX(Техника!$H$1:$ABO$500,C$2,0),"Д")</f>
        <v>0</v>
      </c>
      <c r="D1357" s="50">
        <f>SUMIFS(INDEX(Техника!$F$1:$ABM$500,D$2,0),Техника!$F$4:$ABM$4,"Часы",INDEX(Техника!$G$1:$ABN$500,D$2,0),$A$1355,INDEX(Техника!$H$1:$ABO$500,D$2,0),"Д")</f>
        <v>0</v>
      </c>
      <c r="E1357" s="50">
        <f>SUMIFS(INDEX(Техника!$F$1:$ABM$500,E$2,0),Техника!$F$4:$ABM$4,"Часы",INDEX(Техника!$G$1:$ABN$500,E$2,0),$A$1355,INDEX(Техника!$H$1:$ABO$500,E$2,0),"Д")</f>
        <v>0</v>
      </c>
      <c r="F1357" s="50">
        <f>SUMIFS(INDEX(Техника!$F$1:$ABM$500,F$2,0),Техника!$F$4:$ABM$4,"Часы",INDEX(Техника!$G$1:$ABN$500,F$2,0),$A$1355,INDEX(Техника!$H$1:$ABO$500,F$2,0),"Д")</f>
        <v>0</v>
      </c>
      <c r="G1357" s="50">
        <f>SUMIFS(INDEX(Техника!$F$1:$ABM$500,G$2,0),Техника!$F$4:$ABM$4,"Часы",INDEX(Техника!$G$1:$ABN$500,G$2,0),$A$1355,INDEX(Техника!$H$1:$ABO$500,G$2,0),"Д")</f>
        <v>0</v>
      </c>
      <c r="H1357" s="50">
        <f>SUMIFS(INDEX(Техника!$F$1:$ABM$500,H$2,0),Техника!$F$4:$ABM$4,"Часы",INDEX(Техника!$G$1:$ABN$500,H$2,0),$A$1355,INDEX(Техника!$H$1:$ABO$500,H$2,0),"Д")</f>
        <v>0</v>
      </c>
      <c r="I1357" s="50">
        <f>SUMIFS(INDEX(Техника!$F$1:$ABM$500,I$2,0),Техника!$F$4:$ABM$4,"Часы",INDEX(Техника!$G$1:$ABN$500,I$2,0),$A$1355,INDEX(Техника!$H$1:$ABO$500,I$2,0),"Д")</f>
        <v>0</v>
      </c>
      <c r="J1357" s="50">
        <f>SUMIFS(INDEX(Техника!$F$1:$ABM$500,J$2,0),Техника!$F$4:$ABM$4,"Часы",INDEX(Техника!$G$1:$ABN$500,J$2,0),$A$1355,INDEX(Техника!$H$1:$ABO$500,J$2,0),"Д")</f>
        <v>0</v>
      </c>
      <c r="K1357" s="50">
        <f>SUMIFS(INDEX(Техника!$F$1:$ABM$500,K$2,0),Техника!$F$4:$ABM$4,"Часы",INDEX(Техника!$G$1:$ABN$500,K$2,0),$A$1355,INDEX(Техника!$H$1:$ABO$500,K$2,0),"Д")</f>
        <v>0</v>
      </c>
      <c r="L1357" s="50">
        <f>SUMIFS(INDEX(Техника!$F$1:$ABM$500,L$2,0),Техника!$F$4:$ABM$4,"Часы",INDEX(Техника!$G$1:$ABN$500,L$2,0),$A$1355,INDEX(Техника!$H$1:$ABO$500,L$2,0),"Д")</f>
        <v>0</v>
      </c>
      <c r="M1357" s="50">
        <f>SUMIFS(INDEX(Техника!$F$1:$ABM$500,M$2,0),Техника!$F$4:$ABM$4,"Часы",INDEX(Техника!$G$1:$ABN$500,M$2,0),$A$1355,INDEX(Техника!$H$1:$ABO$500,M$2,0),"Д")</f>
        <v>0</v>
      </c>
      <c r="N1357" s="50">
        <f>SUMIFS(INDEX(Техника!$F$1:$ABM$500,N$2,0),Техника!$F$4:$ABM$4,"Часы",INDEX(Техника!$G$1:$ABN$500,N$2,0),$A$1355,INDEX(Техника!$H$1:$ABO$500,N$2,0),"Д")</f>
        <v>0</v>
      </c>
      <c r="O1357" s="50">
        <f>SUMIFS(INDEX(Техника!$F$1:$ABM$500,O$2,0),Техника!$F$4:$ABM$4,"Часы",INDEX(Техника!$G$1:$ABN$500,O$2,0),$A$1355,INDEX(Техника!$H$1:$ABO$500,O$2,0),"Д")</f>
        <v>0</v>
      </c>
      <c r="P1357" s="50">
        <f>SUMIFS(INDEX(Техника!$F$1:$ABM$500,P$2,0),Техника!$F$4:$ABM$4,"Часы",INDEX(Техника!$G$1:$ABN$500,P$2,0),$A$1355,INDEX(Техника!$H$1:$ABO$500,P$2,0),"Д")</f>
        <v>0</v>
      </c>
      <c r="Q1357" s="50">
        <f>SUMIFS(INDEX(Техника!$F$1:$ABM$500,Q$2,0),Техника!$F$4:$ABM$4,"Часы",INDEX(Техника!$G$1:$ABN$500,Q$2,0),$A$1355,INDEX(Техника!$H$1:$ABO$500,Q$2,0),"Д")</f>
        <v>0</v>
      </c>
      <c r="R1357" s="50">
        <f>SUMIFS(INDEX(Техника!$F$1:$ABM$500,R$2,0),Техника!$F$4:$ABM$4,"Часы",INDEX(Техника!$G$1:$ABN$500,R$2,0),$A$1355,INDEX(Техника!$H$1:$ABO$500,R$2,0),"Д")</f>
        <v>0</v>
      </c>
      <c r="S1357" s="50">
        <f>SUMIFS(INDEX(Техника!$F$1:$ABM$500,S$2,0),Техника!$F$4:$ABM$4,"Часы",INDEX(Техника!$G$1:$ABN$500,S$2,0),$A$1355,INDEX(Техника!$H$1:$ABO$500,S$2,0),"Д")</f>
        <v>0</v>
      </c>
      <c r="T1357" s="50">
        <f>SUMIFS(INDEX(Техника!$F$1:$ABM$500,T$2,0),Техника!$F$4:$ABM$4,"Часы",INDEX(Техника!$G$1:$ABN$500,T$2,0),$A$1355,INDEX(Техника!$H$1:$ABO$500,T$2,0),"Д")</f>
        <v>0</v>
      </c>
      <c r="U1357" s="50">
        <f>SUMIFS(INDEX(Техника!$F$1:$ABM$500,U$2,0),Техника!$F$4:$ABM$4,"Часы",INDEX(Техника!$G$1:$ABN$500,U$2,0),$A$1355,INDEX(Техника!$H$1:$ABO$500,U$2,0),"Д")</f>
        <v>0</v>
      </c>
      <c r="V1357" s="50">
        <f>SUMIFS(INDEX(Техника!$F$1:$ABM$500,V$2,0),Техника!$F$4:$ABM$4,"Часы",INDEX(Техника!$G$1:$ABN$500,V$2,0),$A$1355,INDEX(Техника!$H$1:$ABO$500,V$2,0),"Д")</f>
        <v>0</v>
      </c>
      <c r="W1357" s="50">
        <f>SUMIFS(INDEX(Техника!$F$1:$ABM$500,W$2,0),Техника!$F$4:$ABM$4,"Часы",INDEX(Техника!$G$1:$ABN$500,W$2,0),$A$1355,INDEX(Техника!$H$1:$ABO$500,W$2,0),"Д")</f>
        <v>0</v>
      </c>
      <c r="X1357" s="50">
        <f>SUMIFS(INDEX(Техника!$F$1:$ABM$500,X$2,0),Техника!$F$4:$ABM$4,"Часы",INDEX(Техника!$G$1:$ABN$500,X$2,0),$A$1355,INDEX(Техника!$H$1:$ABO$500,X$2,0),"Д")</f>
        <v>0</v>
      </c>
      <c r="Y1357" s="50">
        <f>SUMIFS(INDEX(Техника!$F$1:$ABM$500,Y$2,0),Техника!$F$4:$ABM$4,"Часы",INDEX(Техника!$G$1:$ABN$500,Y$2,0),$A$1355,INDEX(Техника!$H$1:$ABO$500,Y$2,0),"Д")</f>
        <v>0</v>
      </c>
      <c r="Z1357" s="50">
        <f>SUMIFS(INDEX(Техника!$F$1:$ABM$500,Z$2,0),Техника!$F$4:$ABM$4,"Часы",INDEX(Техника!$G$1:$ABN$500,Z$2,0),$A$1355,INDEX(Техника!$H$1:$ABO$500,Z$2,0),"Д")</f>
        <v>0</v>
      </c>
      <c r="AA1357" s="50">
        <f>SUMIFS(INDEX(Техника!$F$1:$ABM$500,AA$2,0),Техника!$F$4:$ABM$4,"Часы",INDEX(Техника!$G$1:$ABN$500,AA$2,0),$A$1355,INDEX(Техника!$H$1:$ABO$500,AA$2,0),"Д")</f>
        <v>0</v>
      </c>
      <c r="AB1357" s="50">
        <f>SUMIFS(INDEX(Техника!$F$1:$ABM$500,AB$2,0),Техника!$F$4:$ABM$4,"Часы",INDEX(Техника!$G$1:$ABN$500,AB$2,0),$A$1355,INDEX(Техника!$H$1:$ABO$500,AB$2,0),"Д")</f>
        <v>0</v>
      </c>
    </row>
    <row r="1358" spans="1:28" hidden="1" outlineLevel="1" x14ac:dyDescent="0.3">
      <c r="A1358" s="33" t="s">
        <v>276</v>
      </c>
      <c r="B1358" s="34" t="s">
        <v>277</v>
      </c>
      <c r="C1358" s="50">
        <f>SUMIFS(INDEX(Техника!$F$1:$ABM$500,C$2,0),Техника!$F$4:$ABM$4,"Часы",INDEX(Техника!$G$1:$ABN$500,C$2,0),$A$1355,INDEX(Техника!$H$1:$ABO$500,C$2,0),"П")</f>
        <v>0</v>
      </c>
      <c r="D1358" s="50">
        <f>SUMIFS(INDEX(Техника!$F$1:$ABM$500,D$2,0),Техника!$F$4:$ABM$4,"Часы",INDEX(Техника!$G$1:$ABN$500,D$2,0),$A$1355,INDEX(Техника!$H$1:$ABO$500,D$2,0),"П")</f>
        <v>0</v>
      </c>
      <c r="E1358" s="50">
        <f>SUMIFS(INDEX(Техника!$F$1:$ABM$500,E$2,0),Техника!$F$4:$ABM$4,"Часы",INDEX(Техника!$G$1:$ABN$500,E$2,0),$A$1355,INDEX(Техника!$H$1:$ABO$500,E$2,0),"П")</f>
        <v>0</v>
      </c>
      <c r="F1358" s="50">
        <f>SUMIFS(INDEX(Техника!$F$1:$ABM$500,F$2,0),Техника!$F$4:$ABM$4,"Часы",INDEX(Техника!$G$1:$ABN$500,F$2,0),$A$1355,INDEX(Техника!$H$1:$ABO$500,F$2,0),"П")</f>
        <v>0</v>
      </c>
      <c r="G1358" s="50">
        <f>SUMIFS(INDEX(Техника!$F$1:$ABM$500,G$2,0),Техника!$F$4:$ABM$4,"Часы",INDEX(Техника!$G$1:$ABN$500,G$2,0),$A$1355,INDEX(Техника!$H$1:$ABO$500,G$2,0),"П")</f>
        <v>0</v>
      </c>
      <c r="H1358" s="50">
        <f>SUMIFS(INDEX(Техника!$F$1:$ABM$500,H$2,0),Техника!$F$4:$ABM$4,"Часы",INDEX(Техника!$G$1:$ABN$500,H$2,0),$A$1355,INDEX(Техника!$H$1:$ABO$500,H$2,0),"П")</f>
        <v>0</v>
      </c>
      <c r="I1358" s="50">
        <f>SUMIFS(INDEX(Техника!$F$1:$ABM$500,I$2,0),Техника!$F$4:$ABM$4,"Часы",INDEX(Техника!$G$1:$ABN$500,I$2,0),$A$1355,INDEX(Техника!$H$1:$ABO$500,I$2,0),"П")</f>
        <v>0</v>
      </c>
      <c r="J1358" s="50">
        <f>SUMIFS(INDEX(Техника!$F$1:$ABM$500,J$2,0),Техника!$F$4:$ABM$4,"Часы",INDEX(Техника!$G$1:$ABN$500,J$2,0),$A$1355,INDEX(Техника!$H$1:$ABO$500,J$2,0),"П")</f>
        <v>0</v>
      </c>
      <c r="K1358" s="50">
        <f>SUMIFS(INDEX(Техника!$F$1:$ABM$500,K$2,0),Техника!$F$4:$ABM$4,"Часы",INDEX(Техника!$G$1:$ABN$500,K$2,0),$A$1355,INDEX(Техника!$H$1:$ABO$500,K$2,0),"П")</f>
        <v>0</v>
      </c>
      <c r="L1358" s="50">
        <f>SUMIFS(INDEX(Техника!$F$1:$ABM$500,L$2,0),Техника!$F$4:$ABM$4,"Часы",INDEX(Техника!$G$1:$ABN$500,L$2,0),$A$1355,INDEX(Техника!$H$1:$ABO$500,L$2,0),"П")</f>
        <v>0</v>
      </c>
      <c r="M1358" s="50">
        <f>SUMIFS(INDEX(Техника!$F$1:$ABM$500,M$2,0),Техника!$F$4:$ABM$4,"Часы",INDEX(Техника!$G$1:$ABN$500,M$2,0),$A$1355,INDEX(Техника!$H$1:$ABO$500,M$2,0),"П")</f>
        <v>0</v>
      </c>
      <c r="N1358" s="50">
        <f>SUMIFS(INDEX(Техника!$F$1:$ABM$500,N$2,0),Техника!$F$4:$ABM$4,"Часы",INDEX(Техника!$G$1:$ABN$500,N$2,0),$A$1355,INDEX(Техника!$H$1:$ABO$500,N$2,0),"П")</f>
        <v>0</v>
      </c>
      <c r="O1358" s="50">
        <f>SUMIFS(INDEX(Техника!$F$1:$ABM$500,O$2,0),Техника!$F$4:$ABM$4,"Часы",INDEX(Техника!$G$1:$ABN$500,O$2,0),$A$1355,INDEX(Техника!$H$1:$ABO$500,O$2,0),"П")</f>
        <v>0</v>
      </c>
      <c r="P1358" s="50">
        <f>SUMIFS(INDEX(Техника!$F$1:$ABM$500,P$2,0),Техника!$F$4:$ABM$4,"Часы",INDEX(Техника!$G$1:$ABN$500,P$2,0),$A$1355,INDEX(Техника!$H$1:$ABO$500,P$2,0),"П")</f>
        <v>0</v>
      </c>
      <c r="Q1358" s="50">
        <f>SUMIFS(INDEX(Техника!$F$1:$ABM$500,Q$2,0),Техника!$F$4:$ABM$4,"Часы",INDEX(Техника!$G$1:$ABN$500,Q$2,0),$A$1355,INDEX(Техника!$H$1:$ABO$500,Q$2,0),"П")</f>
        <v>0</v>
      </c>
      <c r="R1358" s="50">
        <f>SUMIFS(INDEX(Техника!$F$1:$ABM$500,R$2,0),Техника!$F$4:$ABM$4,"Часы",INDEX(Техника!$G$1:$ABN$500,R$2,0),$A$1355,INDEX(Техника!$H$1:$ABO$500,R$2,0),"П")</f>
        <v>0</v>
      </c>
      <c r="S1358" s="50">
        <f>SUMIFS(INDEX(Техника!$F$1:$ABM$500,S$2,0),Техника!$F$4:$ABM$4,"Часы",INDEX(Техника!$G$1:$ABN$500,S$2,0),$A$1355,INDEX(Техника!$H$1:$ABO$500,S$2,0),"П")</f>
        <v>0</v>
      </c>
      <c r="T1358" s="50">
        <f>SUMIFS(INDEX(Техника!$F$1:$ABM$500,T$2,0),Техника!$F$4:$ABM$4,"Часы",INDEX(Техника!$G$1:$ABN$500,T$2,0),$A$1355,INDEX(Техника!$H$1:$ABO$500,T$2,0),"П")</f>
        <v>0</v>
      </c>
      <c r="U1358" s="50">
        <f>SUMIFS(INDEX(Техника!$F$1:$ABM$500,U$2,0),Техника!$F$4:$ABM$4,"Часы",INDEX(Техника!$G$1:$ABN$500,U$2,0),$A$1355,INDEX(Техника!$H$1:$ABO$500,U$2,0),"П")</f>
        <v>0</v>
      </c>
      <c r="V1358" s="50">
        <f>SUMIFS(INDEX(Техника!$F$1:$ABM$500,V$2,0),Техника!$F$4:$ABM$4,"Часы",INDEX(Техника!$G$1:$ABN$500,V$2,0),$A$1355,INDEX(Техника!$H$1:$ABO$500,V$2,0),"П")</f>
        <v>0</v>
      </c>
      <c r="W1358" s="50">
        <f>SUMIFS(INDEX(Техника!$F$1:$ABM$500,W$2,0),Техника!$F$4:$ABM$4,"Часы",INDEX(Техника!$G$1:$ABN$500,W$2,0),$A$1355,INDEX(Техника!$H$1:$ABO$500,W$2,0),"П")</f>
        <v>0</v>
      </c>
      <c r="X1358" s="50">
        <f>SUMIFS(INDEX(Техника!$F$1:$ABM$500,X$2,0),Техника!$F$4:$ABM$4,"Часы",INDEX(Техника!$G$1:$ABN$500,X$2,0),$A$1355,INDEX(Техника!$H$1:$ABO$500,X$2,0),"П")</f>
        <v>0</v>
      </c>
      <c r="Y1358" s="50">
        <f>SUMIFS(INDEX(Техника!$F$1:$ABM$500,Y$2,0),Техника!$F$4:$ABM$4,"Часы",INDEX(Техника!$G$1:$ABN$500,Y$2,0),$A$1355,INDEX(Техника!$H$1:$ABO$500,Y$2,0),"П")</f>
        <v>0</v>
      </c>
      <c r="Z1358" s="50">
        <f>SUMIFS(INDEX(Техника!$F$1:$ABM$500,Z$2,0),Техника!$F$4:$ABM$4,"Часы",INDEX(Техника!$G$1:$ABN$500,Z$2,0),$A$1355,INDEX(Техника!$H$1:$ABO$500,Z$2,0),"П")</f>
        <v>0</v>
      </c>
      <c r="AA1358" s="50">
        <f>SUMIFS(INDEX(Техника!$F$1:$ABM$500,AA$2,0),Техника!$F$4:$ABM$4,"Часы",INDEX(Техника!$G$1:$ABN$500,AA$2,0),$A$1355,INDEX(Техника!$H$1:$ABO$500,AA$2,0),"П")</f>
        <v>0</v>
      </c>
      <c r="AB1358" s="50">
        <f>SUMIFS(INDEX(Техника!$F$1:$ABM$500,AB$2,0),Техника!$F$4:$ABM$4,"Часы",INDEX(Техника!$G$1:$ABN$500,AB$2,0),$A$1355,INDEX(Техника!$H$1:$ABO$500,AB$2,0),"П")</f>
        <v>0</v>
      </c>
    </row>
    <row r="1359" spans="1:28" hidden="1" outlineLevel="1" x14ac:dyDescent="0.3">
      <c r="A1359" s="33" t="s">
        <v>243</v>
      </c>
      <c r="B1359" s="34" t="s">
        <v>278</v>
      </c>
      <c r="C1359" s="50">
        <f>SUMIFS(INDEX(Техника!$F$1:$ABM$500,C$2,0),Техника!$F$4:$ABM$4,"Часы",INDEX(Техника!$G$1:$ABN$500,C$2,0),$A$1355,INDEX(Техника!$H$1:$ABO$500,C$2,0),"Л")</f>
        <v>0</v>
      </c>
      <c r="D1359" s="50">
        <f>SUMIFS(INDEX(Техника!$F$1:$ABM$500,D$2,0),Техника!$F$4:$ABM$4,"Часы",INDEX(Техника!$G$1:$ABN$500,D$2,0),$A$1355,INDEX(Техника!$H$1:$ABO$500,D$2,0),"Л")</f>
        <v>0</v>
      </c>
      <c r="E1359" s="50">
        <f>SUMIFS(INDEX(Техника!$F$1:$ABM$500,E$2,0),Техника!$F$4:$ABM$4,"Часы",INDEX(Техника!$G$1:$ABN$500,E$2,0),$A$1355,INDEX(Техника!$H$1:$ABO$500,E$2,0),"Л")</f>
        <v>0</v>
      </c>
      <c r="F1359" s="50">
        <f>SUMIFS(INDEX(Техника!$F$1:$ABM$500,F$2,0),Техника!$F$4:$ABM$4,"Часы",INDEX(Техника!$G$1:$ABN$500,F$2,0),$A$1355,INDEX(Техника!$H$1:$ABO$500,F$2,0),"Л")</f>
        <v>0</v>
      </c>
      <c r="G1359" s="50">
        <f>SUMIFS(INDEX(Техника!$F$1:$ABM$500,G$2,0),Техника!$F$4:$ABM$4,"Часы",INDEX(Техника!$G$1:$ABN$500,G$2,0),$A$1355,INDEX(Техника!$H$1:$ABO$500,G$2,0),"Л")</f>
        <v>0</v>
      </c>
      <c r="H1359" s="50">
        <f>SUMIFS(INDEX(Техника!$F$1:$ABM$500,H$2,0),Техника!$F$4:$ABM$4,"Часы",INDEX(Техника!$G$1:$ABN$500,H$2,0),$A$1355,INDEX(Техника!$H$1:$ABO$500,H$2,0),"Л")</f>
        <v>0</v>
      </c>
      <c r="I1359" s="50">
        <f>SUMIFS(INDEX(Техника!$F$1:$ABM$500,I$2,0),Техника!$F$4:$ABM$4,"Часы",INDEX(Техника!$G$1:$ABN$500,I$2,0),$A$1355,INDEX(Техника!$H$1:$ABO$500,I$2,0),"Л")</f>
        <v>0</v>
      </c>
      <c r="J1359" s="50">
        <f>SUMIFS(INDEX(Техника!$F$1:$ABM$500,J$2,0),Техника!$F$4:$ABM$4,"Часы",INDEX(Техника!$G$1:$ABN$500,J$2,0),$A$1355,INDEX(Техника!$H$1:$ABO$500,J$2,0),"Л")</f>
        <v>0</v>
      </c>
      <c r="K1359" s="50">
        <f>SUMIFS(INDEX(Техника!$F$1:$ABM$500,K$2,0),Техника!$F$4:$ABM$4,"Часы",INDEX(Техника!$G$1:$ABN$500,K$2,0),$A$1355,INDEX(Техника!$H$1:$ABO$500,K$2,0),"Л")</f>
        <v>0</v>
      </c>
      <c r="L1359" s="50">
        <f>SUMIFS(INDEX(Техника!$F$1:$ABM$500,L$2,0),Техника!$F$4:$ABM$4,"Часы",INDEX(Техника!$G$1:$ABN$500,L$2,0),$A$1355,INDEX(Техника!$H$1:$ABO$500,L$2,0),"Л")</f>
        <v>0</v>
      </c>
      <c r="M1359" s="50">
        <f>SUMIFS(INDEX(Техника!$F$1:$ABM$500,M$2,0),Техника!$F$4:$ABM$4,"Часы",INDEX(Техника!$G$1:$ABN$500,M$2,0),$A$1355,INDEX(Техника!$H$1:$ABO$500,M$2,0),"Л")</f>
        <v>0</v>
      </c>
      <c r="N1359" s="50">
        <f>SUMIFS(INDEX(Техника!$F$1:$ABM$500,N$2,0),Техника!$F$4:$ABM$4,"Часы",INDEX(Техника!$G$1:$ABN$500,N$2,0),$A$1355,INDEX(Техника!$H$1:$ABO$500,N$2,0),"Л")</f>
        <v>0</v>
      </c>
      <c r="O1359" s="50">
        <f>SUMIFS(INDEX(Техника!$F$1:$ABM$500,O$2,0),Техника!$F$4:$ABM$4,"Часы",INDEX(Техника!$G$1:$ABN$500,O$2,0),$A$1355,INDEX(Техника!$H$1:$ABO$500,O$2,0),"Л")</f>
        <v>0</v>
      </c>
      <c r="P1359" s="50">
        <f>SUMIFS(INDEX(Техника!$F$1:$ABM$500,P$2,0),Техника!$F$4:$ABM$4,"Часы",INDEX(Техника!$G$1:$ABN$500,P$2,0),$A$1355,INDEX(Техника!$H$1:$ABO$500,P$2,0),"Л")</f>
        <v>0</v>
      </c>
      <c r="Q1359" s="50">
        <f>SUMIFS(INDEX(Техника!$F$1:$ABM$500,Q$2,0),Техника!$F$4:$ABM$4,"Часы",INDEX(Техника!$G$1:$ABN$500,Q$2,0),$A$1355,INDEX(Техника!$H$1:$ABO$500,Q$2,0),"Л")</f>
        <v>0</v>
      </c>
      <c r="R1359" s="50">
        <f>SUMIFS(INDEX(Техника!$F$1:$ABM$500,R$2,0),Техника!$F$4:$ABM$4,"Часы",INDEX(Техника!$G$1:$ABN$500,R$2,0),$A$1355,INDEX(Техника!$H$1:$ABO$500,R$2,0),"Л")</f>
        <v>0</v>
      </c>
      <c r="S1359" s="50">
        <f>SUMIFS(INDEX(Техника!$F$1:$ABM$500,S$2,0),Техника!$F$4:$ABM$4,"Часы",INDEX(Техника!$G$1:$ABN$500,S$2,0),$A$1355,INDEX(Техника!$H$1:$ABO$500,S$2,0),"Л")</f>
        <v>0</v>
      </c>
      <c r="T1359" s="50">
        <f>SUMIFS(INDEX(Техника!$F$1:$ABM$500,T$2,0),Техника!$F$4:$ABM$4,"Часы",INDEX(Техника!$G$1:$ABN$500,T$2,0),$A$1355,INDEX(Техника!$H$1:$ABO$500,T$2,0),"Л")</f>
        <v>0</v>
      </c>
      <c r="U1359" s="50">
        <f>SUMIFS(INDEX(Техника!$F$1:$ABM$500,U$2,0),Техника!$F$4:$ABM$4,"Часы",INDEX(Техника!$G$1:$ABN$500,U$2,0),$A$1355,INDEX(Техника!$H$1:$ABO$500,U$2,0),"Л")</f>
        <v>0</v>
      </c>
      <c r="V1359" s="50">
        <f>SUMIFS(INDEX(Техника!$F$1:$ABM$500,V$2,0),Техника!$F$4:$ABM$4,"Часы",INDEX(Техника!$G$1:$ABN$500,V$2,0),$A$1355,INDEX(Техника!$H$1:$ABO$500,V$2,0),"Л")</f>
        <v>0</v>
      </c>
      <c r="W1359" s="50">
        <f>SUMIFS(INDEX(Техника!$F$1:$ABM$500,W$2,0),Техника!$F$4:$ABM$4,"Часы",INDEX(Техника!$G$1:$ABN$500,W$2,0),$A$1355,INDEX(Техника!$H$1:$ABO$500,W$2,0),"Л")</f>
        <v>0</v>
      </c>
      <c r="X1359" s="50">
        <f>SUMIFS(INDEX(Техника!$F$1:$ABM$500,X$2,0),Техника!$F$4:$ABM$4,"Часы",INDEX(Техника!$G$1:$ABN$500,X$2,0),$A$1355,INDEX(Техника!$H$1:$ABO$500,X$2,0),"Л")</f>
        <v>0</v>
      </c>
      <c r="Y1359" s="50">
        <f>SUMIFS(INDEX(Техника!$F$1:$ABM$500,Y$2,0),Техника!$F$4:$ABM$4,"Часы",INDEX(Техника!$G$1:$ABN$500,Y$2,0),$A$1355,INDEX(Техника!$H$1:$ABO$500,Y$2,0),"Л")</f>
        <v>0</v>
      </c>
      <c r="Z1359" s="50">
        <f>SUMIFS(INDEX(Техника!$F$1:$ABM$500,Z$2,0),Техника!$F$4:$ABM$4,"Часы",INDEX(Техника!$G$1:$ABN$500,Z$2,0),$A$1355,INDEX(Техника!$H$1:$ABO$500,Z$2,0),"Л")</f>
        <v>0</v>
      </c>
      <c r="AA1359" s="50">
        <f>SUMIFS(INDEX(Техника!$F$1:$ABM$500,AA$2,0),Техника!$F$4:$ABM$4,"Часы",INDEX(Техника!$G$1:$ABN$500,AA$2,0),$A$1355,INDEX(Техника!$H$1:$ABO$500,AA$2,0),"Л")</f>
        <v>0</v>
      </c>
      <c r="AB1359" s="50">
        <f>SUMIFS(INDEX(Техника!$F$1:$ABM$500,AB$2,0),Техника!$F$4:$ABM$4,"Часы",INDEX(Техника!$G$1:$ABN$500,AB$2,0),$A$1355,INDEX(Техника!$H$1:$ABO$500,AB$2,0),"Л")</f>
        <v>0</v>
      </c>
    </row>
    <row r="1360" spans="1:28" hidden="1" outlineLevel="1" x14ac:dyDescent="0.3">
      <c r="A1360" s="33" t="s">
        <v>245</v>
      </c>
      <c r="B1360" s="34" t="s">
        <v>279</v>
      </c>
      <c r="C1360" s="50">
        <f>SUMIFS(INDEX(Техника!$F$1:$ABM$500,C$2,0),Техника!$F$4:$ABM$4,"Часы",INDEX(Техника!$G$1:$ABN$500,C$2,0),$A$1355,INDEX(Техника!$H$1:$ABO$500,C$2,0),"З")</f>
        <v>0</v>
      </c>
      <c r="D1360" s="50">
        <f>SUMIFS(INDEX(Техника!$F$1:$ABM$500,D$2,0),Техника!$F$4:$ABM$4,"Часы",INDEX(Техника!$G$1:$ABN$500,D$2,0),$A$1355,INDEX(Техника!$H$1:$ABO$500,D$2,0),"З")</f>
        <v>0</v>
      </c>
      <c r="E1360" s="50">
        <f>SUMIFS(INDEX(Техника!$F$1:$ABM$500,E$2,0),Техника!$F$4:$ABM$4,"Часы",INDEX(Техника!$G$1:$ABN$500,E$2,0),$A$1355,INDEX(Техника!$H$1:$ABO$500,E$2,0),"З")</f>
        <v>0</v>
      </c>
      <c r="F1360" s="50">
        <f>SUMIFS(INDEX(Техника!$F$1:$ABM$500,F$2,0),Техника!$F$4:$ABM$4,"Часы",INDEX(Техника!$G$1:$ABN$500,F$2,0),$A$1355,INDEX(Техника!$H$1:$ABO$500,F$2,0),"З")</f>
        <v>0</v>
      </c>
      <c r="G1360" s="50">
        <f>SUMIFS(INDEX(Техника!$F$1:$ABM$500,G$2,0),Техника!$F$4:$ABM$4,"Часы",INDEX(Техника!$G$1:$ABN$500,G$2,0),$A$1355,INDEX(Техника!$H$1:$ABO$500,G$2,0),"З")</f>
        <v>0</v>
      </c>
      <c r="H1360" s="50">
        <f>SUMIFS(INDEX(Техника!$F$1:$ABM$500,H$2,0),Техника!$F$4:$ABM$4,"Часы",INDEX(Техника!$G$1:$ABN$500,H$2,0),$A$1355,INDEX(Техника!$H$1:$ABO$500,H$2,0),"З")</f>
        <v>0</v>
      </c>
      <c r="I1360" s="50">
        <f>SUMIFS(INDEX(Техника!$F$1:$ABM$500,I$2,0),Техника!$F$4:$ABM$4,"Часы",INDEX(Техника!$G$1:$ABN$500,I$2,0),$A$1355,INDEX(Техника!$H$1:$ABO$500,I$2,0),"З")</f>
        <v>0</v>
      </c>
      <c r="J1360" s="50">
        <f>SUMIFS(INDEX(Техника!$F$1:$ABM$500,J$2,0),Техника!$F$4:$ABM$4,"Часы",INDEX(Техника!$G$1:$ABN$500,J$2,0),$A$1355,INDEX(Техника!$H$1:$ABO$500,J$2,0),"З")</f>
        <v>0</v>
      </c>
      <c r="K1360" s="50">
        <f>SUMIFS(INDEX(Техника!$F$1:$ABM$500,K$2,0),Техника!$F$4:$ABM$4,"Часы",INDEX(Техника!$G$1:$ABN$500,K$2,0),$A$1355,INDEX(Техника!$H$1:$ABO$500,K$2,0),"З")</f>
        <v>0</v>
      </c>
      <c r="L1360" s="50">
        <f>SUMIFS(INDEX(Техника!$F$1:$ABM$500,L$2,0),Техника!$F$4:$ABM$4,"Часы",INDEX(Техника!$G$1:$ABN$500,L$2,0),$A$1355,INDEX(Техника!$H$1:$ABO$500,L$2,0),"З")</f>
        <v>0</v>
      </c>
      <c r="M1360" s="50">
        <f>SUMIFS(INDEX(Техника!$F$1:$ABM$500,M$2,0),Техника!$F$4:$ABM$4,"Часы",INDEX(Техника!$G$1:$ABN$500,M$2,0),$A$1355,INDEX(Техника!$H$1:$ABO$500,M$2,0),"З")</f>
        <v>0</v>
      </c>
      <c r="N1360" s="50">
        <f>SUMIFS(INDEX(Техника!$F$1:$ABM$500,N$2,0),Техника!$F$4:$ABM$4,"Часы",INDEX(Техника!$G$1:$ABN$500,N$2,0),$A$1355,INDEX(Техника!$H$1:$ABO$500,N$2,0),"З")</f>
        <v>0</v>
      </c>
      <c r="O1360" s="50">
        <f>SUMIFS(INDEX(Техника!$F$1:$ABM$500,O$2,0),Техника!$F$4:$ABM$4,"Часы",INDEX(Техника!$G$1:$ABN$500,O$2,0),$A$1355,INDEX(Техника!$H$1:$ABO$500,O$2,0),"З")</f>
        <v>0</v>
      </c>
      <c r="P1360" s="50">
        <f>SUMIFS(INDEX(Техника!$F$1:$ABM$500,P$2,0),Техника!$F$4:$ABM$4,"Часы",INDEX(Техника!$G$1:$ABN$500,P$2,0),$A$1355,INDEX(Техника!$H$1:$ABO$500,P$2,0),"З")</f>
        <v>0</v>
      </c>
      <c r="Q1360" s="50">
        <f>SUMIFS(INDEX(Техника!$F$1:$ABM$500,Q$2,0),Техника!$F$4:$ABM$4,"Часы",INDEX(Техника!$G$1:$ABN$500,Q$2,0),$A$1355,INDEX(Техника!$H$1:$ABO$500,Q$2,0),"З")</f>
        <v>0</v>
      </c>
      <c r="R1360" s="50">
        <f>SUMIFS(INDEX(Техника!$F$1:$ABM$500,R$2,0),Техника!$F$4:$ABM$4,"Часы",INDEX(Техника!$G$1:$ABN$500,R$2,0),$A$1355,INDEX(Техника!$H$1:$ABO$500,R$2,0),"З")</f>
        <v>0</v>
      </c>
      <c r="S1360" s="50">
        <f>SUMIFS(INDEX(Техника!$F$1:$ABM$500,S$2,0),Техника!$F$4:$ABM$4,"Часы",INDEX(Техника!$G$1:$ABN$500,S$2,0),$A$1355,INDEX(Техника!$H$1:$ABO$500,S$2,0),"З")</f>
        <v>0</v>
      </c>
      <c r="T1360" s="50">
        <f>SUMIFS(INDEX(Техника!$F$1:$ABM$500,T$2,0),Техника!$F$4:$ABM$4,"Часы",INDEX(Техника!$G$1:$ABN$500,T$2,0),$A$1355,INDEX(Техника!$H$1:$ABO$500,T$2,0),"З")</f>
        <v>0</v>
      </c>
      <c r="U1360" s="50">
        <f>SUMIFS(INDEX(Техника!$F$1:$ABM$500,U$2,0),Техника!$F$4:$ABM$4,"Часы",INDEX(Техника!$G$1:$ABN$500,U$2,0),$A$1355,INDEX(Техника!$H$1:$ABO$500,U$2,0),"З")</f>
        <v>0</v>
      </c>
      <c r="V1360" s="50">
        <f>SUMIFS(INDEX(Техника!$F$1:$ABM$500,V$2,0),Техника!$F$4:$ABM$4,"Часы",INDEX(Техника!$G$1:$ABN$500,V$2,0),$A$1355,INDEX(Техника!$H$1:$ABO$500,V$2,0),"З")</f>
        <v>0</v>
      </c>
      <c r="W1360" s="50">
        <f>SUMIFS(INDEX(Техника!$F$1:$ABM$500,W$2,0),Техника!$F$4:$ABM$4,"Часы",INDEX(Техника!$G$1:$ABN$500,W$2,0),$A$1355,INDEX(Техника!$H$1:$ABO$500,W$2,0),"З")</f>
        <v>0</v>
      </c>
      <c r="X1360" s="50">
        <f>SUMIFS(INDEX(Техника!$F$1:$ABM$500,X$2,0),Техника!$F$4:$ABM$4,"Часы",INDEX(Техника!$G$1:$ABN$500,X$2,0),$A$1355,INDEX(Техника!$H$1:$ABO$500,X$2,0),"З")</f>
        <v>0</v>
      </c>
      <c r="Y1360" s="50">
        <f>SUMIFS(INDEX(Техника!$F$1:$ABM$500,Y$2,0),Техника!$F$4:$ABM$4,"Часы",INDEX(Техника!$G$1:$ABN$500,Y$2,0),$A$1355,INDEX(Техника!$H$1:$ABO$500,Y$2,0),"З")</f>
        <v>0</v>
      </c>
      <c r="Z1360" s="50">
        <f>SUMIFS(INDEX(Техника!$F$1:$ABM$500,Z$2,0),Техника!$F$4:$ABM$4,"Часы",INDEX(Техника!$G$1:$ABN$500,Z$2,0),$A$1355,INDEX(Техника!$H$1:$ABO$500,Z$2,0),"З")</f>
        <v>0</v>
      </c>
      <c r="AA1360" s="50">
        <f>SUMIFS(INDEX(Техника!$F$1:$ABM$500,AA$2,0),Техника!$F$4:$ABM$4,"Часы",INDEX(Техника!$G$1:$ABN$500,AA$2,0),$A$1355,INDEX(Техника!$H$1:$ABO$500,AA$2,0),"З")</f>
        <v>0</v>
      </c>
      <c r="AB1360" s="50">
        <f>SUMIFS(INDEX(Техника!$F$1:$ABM$500,AB$2,0),Техника!$F$4:$ABM$4,"Часы",INDEX(Техника!$G$1:$ABN$500,AB$2,0),$A$1355,INDEX(Техника!$H$1:$ABO$500,AB$2,0),"З")</f>
        <v>0</v>
      </c>
    </row>
    <row r="1361" spans="1:28" ht="7.95" customHeight="1" x14ac:dyDescent="0.3">
      <c r="A1361" s="38"/>
      <c r="B1361" s="39"/>
      <c r="C1361" s="51"/>
      <c r="D1361" s="51"/>
      <c r="E1361" s="51"/>
      <c r="F1361" s="51"/>
      <c r="G1361" s="51"/>
      <c r="H1361" s="51"/>
      <c r="I1361" s="51"/>
      <c r="J1361" s="51"/>
      <c r="K1361" s="51"/>
      <c r="L1361" s="51"/>
      <c r="M1361" s="51"/>
      <c r="N1361" s="51"/>
      <c r="O1361" s="51"/>
      <c r="P1361" s="51"/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  <c r="AA1361" s="51"/>
      <c r="AB1361" s="51"/>
    </row>
    <row r="1362" spans="1:28" ht="25.05" customHeight="1" collapsed="1" x14ac:dyDescent="0.3">
      <c r="A1362" s="32">
        <v>195</v>
      </c>
      <c r="B1362" s="32" t="s">
        <v>196</v>
      </c>
      <c r="C1362" s="49">
        <f>SUM(C1363:C1367)</f>
        <v>0</v>
      </c>
      <c r="D1362" s="49">
        <f>SUM(D1363:D1367)</f>
        <v>0</v>
      </c>
      <c r="E1362" s="49">
        <f>SUM(E1363:E1367)</f>
        <v>0</v>
      </c>
      <c r="F1362" s="49">
        <f>SUM(F1363:F1367)</f>
        <v>0</v>
      </c>
      <c r="G1362" s="49">
        <f>SUM(G1363:G1367)</f>
        <v>0</v>
      </c>
      <c r="H1362" s="49">
        <f>SUM(H1363:H1367)</f>
        <v>0</v>
      </c>
      <c r="I1362" s="49">
        <f>SUM(I1363:I1367)</f>
        <v>0</v>
      </c>
      <c r="J1362" s="49">
        <f>SUM(J1363:J1367)</f>
        <v>0</v>
      </c>
      <c r="K1362" s="49">
        <f>SUM(K1363:K1367)</f>
        <v>0</v>
      </c>
      <c r="L1362" s="49">
        <f>SUM(L1363:L1367)</f>
        <v>0</v>
      </c>
      <c r="M1362" s="49">
        <f>SUM(M1363:M1367)</f>
        <v>0</v>
      </c>
      <c r="N1362" s="49">
        <f>SUM(N1363:N1367)</f>
        <v>0</v>
      </c>
      <c r="O1362" s="49">
        <f>SUM(O1363:O1367)</f>
        <v>0</v>
      </c>
      <c r="P1362" s="49">
        <f>SUM(P1363:P1367)</f>
        <v>0</v>
      </c>
      <c r="Q1362" s="49">
        <f>SUM(Q1363:Q1367)</f>
        <v>0</v>
      </c>
      <c r="R1362" s="49">
        <f>SUM(R1363:R1367)</f>
        <v>0</v>
      </c>
      <c r="S1362" s="49">
        <f>SUM(S1363:S1367)</f>
        <v>0</v>
      </c>
      <c r="T1362" s="49">
        <f>SUM(T1363:T1367)</f>
        <v>0</v>
      </c>
      <c r="U1362" s="49">
        <f>SUM(U1363:U1367)</f>
        <v>0</v>
      </c>
      <c r="V1362" s="49">
        <f>SUM(V1363:V1367)</f>
        <v>0</v>
      </c>
      <c r="W1362" s="49">
        <f>SUM(W1363:W1367)</f>
        <v>0</v>
      </c>
      <c r="X1362" s="49">
        <f>SUM(X1363:X1367)</f>
        <v>0</v>
      </c>
      <c r="Y1362" s="49">
        <f>SUM(Y1363:Y1367)</f>
        <v>0</v>
      </c>
      <c r="Z1362" s="49">
        <f>SUM(Z1363:Z1367)</f>
        <v>0</v>
      </c>
      <c r="AA1362" s="49">
        <f>SUM(AA1363:AA1367)</f>
        <v>0</v>
      </c>
      <c r="AB1362" s="49">
        <f>SUM(AB1363:AB1367)</f>
        <v>0</v>
      </c>
    </row>
    <row r="1363" spans="1:28" hidden="1" outlineLevel="1" x14ac:dyDescent="0.3">
      <c r="A1363" s="33" t="s">
        <v>246</v>
      </c>
      <c r="B1363" s="34" t="s">
        <v>274</v>
      </c>
      <c r="C1363" s="50">
        <f>SUMIFS(INDEX(Техника!$F$1:$ABM$500,C$2,0),Техника!$F$4:$ABM$4,"Часы",INDEX(Техника!$G$1:$ABN$500,C$2,0),$A$1362,INDEX(Техника!$H$1:$ABO$500,C$2,0),"М")</f>
        <v>0</v>
      </c>
      <c r="D1363" s="50">
        <f>SUMIFS(INDEX(Техника!$F$1:$ABM$500,D$2,0),Техника!$F$4:$ABM$4,"Часы",INDEX(Техника!$G$1:$ABN$500,D$2,0),$A$1362,INDEX(Техника!$H$1:$ABO$500,D$2,0),"М")</f>
        <v>0</v>
      </c>
      <c r="E1363" s="50">
        <f>SUMIFS(INDEX(Техника!$F$1:$ABM$500,E$2,0),Техника!$F$4:$ABM$4,"Часы",INDEX(Техника!$G$1:$ABN$500,E$2,0),$A$1362,INDEX(Техника!$H$1:$ABO$500,E$2,0),"М")</f>
        <v>0</v>
      </c>
      <c r="F1363" s="50">
        <f>SUMIFS(INDEX(Техника!$F$1:$ABM$500,F$2,0),Техника!$F$4:$ABM$4,"Часы",INDEX(Техника!$G$1:$ABN$500,F$2,0),$A$1362,INDEX(Техника!$H$1:$ABO$500,F$2,0),"М")</f>
        <v>0</v>
      </c>
      <c r="G1363" s="50">
        <f>SUMIFS(INDEX(Техника!$F$1:$ABM$500,G$2,0),Техника!$F$4:$ABM$4,"Часы",INDEX(Техника!$G$1:$ABN$500,G$2,0),$A$1362,INDEX(Техника!$H$1:$ABO$500,G$2,0),"М")</f>
        <v>0</v>
      </c>
      <c r="H1363" s="50">
        <f>SUMIFS(INDEX(Техника!$F$1:$ABM$500,H$2,0),Техника!$F$4:$ABM$4,"Часы",INDEX(Техника!$G$1:$ABN$500,H$2,0),$A$1362,INDEX(Техника!$H$1:$ABO$500,H$2,0),"М")</f>
        <v>0</v>
      </c>
      <c r="I1363" s="50">
        <f>SUMIFS(INDEX(Техника!$F$1:$ABM$500,I$2,0),Техника!$F$4:$ABM$4,"Часы",INDEX(Техника!$G$1:$ABN$500,I$2,0),$A$1362,INDEX(Техника!$H$1:$ABO$500,I$2,0),"М")</f>
        <v>0</v>
      </c>
      <c r="J1363" s="50">
        <f>SUMIFS(INDEX(Техника!$F$1:$ABM$500,J$2,0),Техника!$F$4:$ABM$4,"Часы",INDEX(Техника!$G$1:$ABN$500,J$2,0),$A$1362,INDEX(Техника!$H$1:$ABO$500,J$2,0),"М")</f>
        <v>0</v>
      </c>
      <c r="K1363" s="50">
        <f>SUMIFS(INDEX(Техника!$F$1:$ABM$500,K$2,0),Техника!$F$4:$ABM$4,"Часы",INDEX(Техника!$G$1:$ABN$500,K$2,0),$A$1362,INDEX(Техника!$H$1:$ABO$500,K$2,0),"М")</f>
        <v>0</v>
      </c>
      <c r="L1363" s="50">
        <f>SUMIFS(INDEX(Техника!$F$1:$ABM$500,L$2,0),Техника!$F$4:$ABM$4,"Часы",INDEX(Техника!$G$1:$ABN$500,L$2,0),$A$1362,INDEX(Техника!$H$1:$ABO$500,L$2,0),"М")</f>
        <v>0</v>
      </c>
      <c r="M1363" s="50">
        <f>SUMIFS(INDEX(Техника!$F$1:$ABM$500,M$2,0),Техника!$F$4:$ABM$4,"Часы",INDEX(Техника!$G$1:$ABN$500,M$2,0),$A$1362,INDEX(Техника!$H$1:$ABO$500,M$2,0),"М")</f>
        <v>0</v>
      </c>
      <c r="N1363" s="50">
        <f>SUMIFS(INDEX(Техника!$F$1:$ABM$500,N$2,0),Техника!$F$4:$ABM$4,"Часы",INDEX(Техника!$G$1:$ABN$500,N$2,0),$A$1362,INDEX(Техника!$H$1:$ABO$500,N$2,0),"М")</f>
        <v>0</v>
      </c>
      <c r="O1363" s="50">
        <f>SUMIFS(INDEX(Техника!$F$1:$ABM$500,O$2,0),Техника!$F$4:$ABM$4,"Часы",INDEX(Техника!$G$1:$ABN$500,O$2,0),$A$1362,INDEX(Техника!$H$1:$ABO$500,O$2,0),"М")</f>
        <v>0</v>
      </c>
      <c r="P1363" s="50">
        <f>SUMIFS(INDEX(Техника!$F$1:$ABM$500,P$2,0),Техника!$F$4:$ABM$4,"Часы",INDEX(Техника!$G$1:$ABN$500,P$2,0),$A$1362,INDEX(Техника!$H$1:$ABO$500,P$2,0),"М")</f>
        <v>0</v>
      </c>
      <c r="Q1363" s="50">
        <f>SUMIFS(INDEX(Техника!$F$1:$ABM$500,Q$2,0),Техника!$F$4:$ABM$4,"Часы",INDEX(Техника!$G$1:$ABN$500,Q$2,0),$A$1362,INDEX(Техника!$H$1:$ABO$500,Q$2,0),"М")</f>
        <v>0</v>
      </c>
      <c r="R1363" s="50">
        <f>SUMIFS(INDEX(Техника!$F$1:$ABM$500,R$2,0),Техника!$F$4:$ABM$4,"Часы",INDEX(Техника!$G$1:$ABN$500,R$2,0),$A$1362,INDEX(Техника!$H$1:$ABO$500,R$2,0),"М")</f>
        <v>0</v>
      </c>
      <c r="S1363" s="50">
        <f>SUMIFS(INDEX(Техника!$F$1:$ABM$500,S$2,0),Техника!$F$4:$ABM$4,"Часы",INDEX(Техника!$G$1:$ABN$500,S$2,0),$A$1362,INDEX(Техника!$H$1:$ABO$500,S$2,0),"М")</f>
        <v>0</v>
      </c>
      <c r="T1363" s="50">
        <f>SUMIFS(INDEX(Техника!$F$1:$ABM$500,T$2,0),Техника!$F$4:$ABM$4,"Часы",INDEX(Техника!$G$1:$ABN$500,T$2,0),$A$1362,INDEX(Техника!$H$1:$ABO$500,T$2,0),"М")</f>
        <v>0</v>
      </c>
      <c r="U1363" s="50">
        <f>SUMIFS(INDEX(Техника!$F$1:$ABM$500,U$2,0),Техника!$F$4:$ABM$4,"Часы",INDEX(Техника!$G$1:$ABN$500,U$2,0),$A$1362,INDEX(Техника!$H$1:$ABO$500,U$2,0),"М")</f>
        <v>0</v>
      </c>
      <c r="V1363" s="50">
        <f>SUMIFS(INDEX(Техника!$F$1:$ABM$500,V$2,0),Техника!$F$4:$ABM$4,"Часы",INDEX(Техника!$G$1:$ABN$500,V$2,0),$A$1362,INDEX(Техника!$H$1:$ABO$500,V$2,0),"М")</f>
        <v>0</v>
      </c>
      <c r="W1363" s="50">
        <f>SUMIFS(INDEX(Техника!$F$1:$ABM$500,W$2,0),Техника!$F$4:$ABM$4,"Часы",INDEX(Техника!$G$1:$ABN$500,W$2,0),$A$1362,INDEX(Техника!$H$1:$ABO$500,W$2,0),"М")</f>
        <v>0</v>
      </c>
      <c r="X1363" s="50">
        <f>SUMIFS(INDEX(Техника!$F$1:$ABM$500,X$2,0),Техника!$F$4:$ABM$4,"Часы",INDEX(Техника!$G$1:$ABN$500,X$2,0),$A$1362,INDEX(Техника!$H$1:$ABO$500,X$2,0),"М")</f>
        <v>0</v>
      </c>
      <c r="Y1363" s="50">
        <f>SUMIFS(INDEX(Техника!$F$1:$ABM$500,Y$2,0),Техника!$F$4:$ABM$4,"Часы",INDEX(Техника!$G$1:$ABN$500,Y$2,0),$A$1362,INDEX(Техника!$H$1:$ABO$500,Y$2,0),"М")</f>
        <v>0</v>
      </c>
      <c r="Z1363" s="50">
        <f>SUMIFS(INDEX(Техника!$F$1:$ABM$500,Z$2,0),Техника!$F$4:$ABM$4,"Часы",INDEX(Техника!$G$1:$ABN$500,Z$2,0),$A$1362,INDEX(Техника!$H$1:$ABO$500,Z$2,0),"М")</f>
        <v>0</v>
      </c>
      <c r="AA1363" s="50">
        <f>SUMIFS(INDEX(Техника!$F$1:$ABM$500,AA$2,0),Техника!$F$4:$ABM$4,"Часы",INDEX(Техника!$G$1:$ABN$500,AA$2,0),$A$1362,INDEX(Техника!$H$1:$ABO$500,AA$2,0),"М")</f>
        <v>0</v>
      </c>
      <c r="AB1363" s="50">
        <f>SUMIFS(INDEX(Техника!$F$1:$ABM$500,AB$2,0),Техника!$F$4:$ABM$4,"Часы",INDEX(Техника!$G$1:$ABN$500,AB$2,0),$A$1362,INDEX(Техника!$H$1:$ABO$500,AB$2,0),"М")</f>
        <v>0</v>
      </c>
    </row>
    <row r="1364" spans="1:28" hidden="1" outlineLevel="1" x14ac:dyDescent="0.3">
      <c r="A1364" s="33" t="s">
        <v>244</v>
      </c>
      <c r="B1364" s="34" t="s">
        <v>275</v>
      </c>
      <c r="C1364" s="50">
        <f>SUMIFS(INDEX(Техника!$F$1:$ABM$500,C$2,0),Техника!$F$4:$ABM$4,"Часы",INDEX(Техника!$G$1:$ABN$500,C$2,0),$A$1362,INDEX(Техника!$H$1:$ABO$500,C$2,0),"Д")</f>
        <v>0</v>
      </c>
      <c r="D1364" s="50">
        <f>SUMIFS(INDEX(Техника!$F$1:$ABM$500,D$2,0),Техника!$F$4:$ABM$4,"Часы",INDEX(Техника!$G$1:$ABN$500,D$2,0),$A$1362,INDEX(Техника!$H$1:$ABO$500,D$2,0),"Д")</f>
        <v>0</v>
      </c>
      <c r="E1364" s="50">
        <f>SUMIFS(INDEX(Техника!$F$1:$ABM$500,E$2,0),Техника!$F$4:$ABM$4,"Часы",INDEX(Техника!$G$1:$ABN$500,E$2,0),$A$1362,INDEX(Техника!$H$1:$ABO$500,E$2,0),"Д")</f>
        <v>0</v>
      </c>
      <c r="F1364" s="50">
        <f>SUMIFS(INDEX(Техника!$F$1:$ABM$500,F$2,0),Техника!$F$4:$ABM$4,"Часы",INDEX(Техника!$G$1:$ABN$500,F$2,0),$A$1362,INDEX(Техника!$H$1:$ABO$500,F$2,0),"Д")</f>
        <v>0</v>
      </c>
      <c r="G1364" s="50">
        <f>SUMIFS(INDEX(Техника!$F$1:$ABM$500,G$2,0),Техника!$F$4:$ABM$4,"Часы",INDEX(Техника!$G$1:$ABN$500,G$2,0),$A$1362,INDEX(Техника!$H$1:$ABO$500,G$2,0),"Д")</f>
        <v>0</v>
      </c>
      <c r="H1364" s="50">
        <f>SUMIFS(INDEX(Техника!$F$1:$ABM$500,H$2,0),Техника!$F$4:$ABM$4,"Часы",INDEX(Техника!$G$1:$ABN$500,H$2,0),$A$1362,INDEX(Техника!$H$1:$ABO$500,H$2,0),"Д")</f>
        <v>0</v>
      </c>
      <c r="I1364" s="50">
        <f>SUMIFS(INDEX(Техника!$F$1:$ABM$500,I$2,0),Техника!$F$4:$ABM$4,"Часы",INDEX(Техника!$G$1:$ABN$500,I$2,0),$A$1362,INDEX(Техника!$H$1:$ABO$500,I$2,0),"Д")</f>
        <v>0</v>
      </c>
      <c r="J1364" s="50">
        <f>SUMIFS(INDEX(Техника!$F$1:$ABM$500,J$2,0),Техника!$F$4:$ABM$4,"Часы",INDEX(Техника!$G$1:$ABN$500,J$2,0),$A$1362,INDEX(Техника!$H$1:$ABO$500,J$2,0),"Д")</f>
        <v>0</v>
      </c>
      <c r="K1364" s="50">
        <f>SUMIFS(INDEX(Техника!$F$1:$ABM$500,K$2,0),Техника!$F$4:$ABM$4,"Часы",INDEX(Техника!$G$1:$ABN$500,K$2,0),$A$1362,INDEX(Техника!$H$1:$ABO$500,K$2,0),"Д")</f>
        <v>0</v>
      </c>
      <c r="L1364" s="50">
        <f>SUMIFS(INDEX(Техника!$F$1:$ABM$500,L$2,0),Техника!$F$4:$ABM$4,"Часы",INDEX(Техника!$G$1:$ABN$500,L$2,0),$A$1362,INDEX(Техника!$H$1:$ABO$500,L$2,0),"Д")</f>
        <v>0</v>
      </c>
      <c r="M1364" s="50">
        <f>SUMIFS(INDEX(Техника!$F$1:$ABM$500,M$2,0),Техника!$F$4:$ABM$4,"Часы",INDEX(Техника!$G$1:$ABN$500,M$2,0),$A$1362,INDEX(Техника!$H$1:$ABO$500,M$2,0),"Д")</f>
        <v>0</v>
      </c>
      <c r="N1364" s="50">
        <f>SUMIFS(INDEX(Техника!$F$1:$ABM$500,N$2,0),Техника!$F$4:$ABM$4,"Часы",INDEX(Техника!$G$1:$ABN$500,N$2,0),$A$1362,INDEX(Техника!$H$1:$ABO$500,N$2,0),"Д")</f>
        <v>0</v>
      </c>
      <c r="O1364" s="50">
        <f>SUMIFS(INDEX(Техника!$F$1:$ABM$500,O$2,0),Техника!$F$4:$ABM$4,"Часы",INDEX(Техника!$G$1:$ABN$500,O$2,0),$A$1362,INDEX(Техника!$H$1:$ABO$500,O$2,0),"Д")</f>
        <v>0</v>
      </c>
      <c r="P1364" s="50">
        <f>SUMIFS(INDEX(Техника!$F$1:$ABM$500,P$2,0),Техника!$F$4:$ABM$4,"Часы",INDEX(Техника!$G$1:$ABN$500,P$2,0),$A$1362,INDEX(Техника!$H$1:$ABO$500,P$2,0),"Д")</f>
        <v>0</v>
      </c>
      <c r="Q1364" s="50">
        <f>SUMIFS(INDEX(Техника!$F$1:$ABM$500,Q$2,0),Техника!$F$4:$ABM$4,"Часы",INDEX(Техника!$G$1:$ABN$500,Q$2,0),$A$1362,INDEX(Техника!$H$1:$ABO$500,Q$2,0),"Д")</f>
        <v>0</v>
      </c>
      <c r="R1364" s="50">
        <f>SUMIFS(INDEX(Техника!$F$1:$ABM$500,R$2,0),Техника!$F$4:$ABM$4,"Часы",INDEX(Техника!$G$1:$ABN$500,R$2,0),$A$1362,INDEX(Техника!$H$1:$ABO$500,R$2,0),"Д")</f>
        <v>0</v>
      </c>
      <c r="S1364" s="50">
        <f>SUMIFS(INDEX(Техника!$F$1:$ABM$500,S$2,0),Техника!$F$4:$ABM$4,"Часы",INDEX(Техника!$G$1:$ABN$500,S$2,0),$A$1362,INDEX(Техника!$H$1:$ABO$500,S$2,0),"Д")</f>
        <v>0</v>
      </c>
      <c r="T1364" s="50">
        <f>SUMIFS(INDEX(Техника!$F$1:$ABM$500,T$2,0),Техника!$F$4:$ABM$4,"Часы",INDEX(Техника!$G$1:$ABN$500,T$2,0),$A$1362,INDEX(Техника!$H$1:$ABO$500,T$2,0),"Д")</f>
        <v>0</v>
      </c>
      <c r="U1364" s="50">
        <f>SUMIFS(INDEX(Техника!$F$1:$ABM$500,U$2,0),Техника!$F$4:$ABM$4,"Часы",INDEX(Техника!$G$1:$ABN$500,U$2,0),$A$1362,INDEX(Техника!$H$1:$ABO$500,U$2,0),"Д")</f>
        <v>0</v>
      </c>
      <c r="V1364" s="50">
        <f>SUMIFS(INDEX(Техника!$F$1:$ABM$500,V$2,0),Техника!$F$4:$ABM$4,"Часы",INDEX(Техника!$G$1:$ABN$500,V$2,0),$A$1362,INDEX(Техника!$H$1:$ABO$500,V$2,0),"Д")</f>
        <v>0</v>
      </c>
      <c r="W1364" s="50">
        <f>SUMIFS(INDEX(Техника!$F$1:$ABM$500,W$2,0),Техника!$F$4:$ABM$4,"Часы",INDEX(Техника!$G$1:$ABN$500,W$2,0),$A$1362,INDEX(Техника!$H$1:$ABO$500,W$2,0),"Д")</f>
        <v>0</v>
      </c>
      <c r="X1364" s="50">
        <f>SUMIFS(INDEX(Техника!$F$1:$ABM$500,X$2,0),Техника!$F$4:$ABM$4,"Часы",INDEX(Техника!$G$1:$ABN$500,X$2,0),$A$1362,INDEX(Техника!$H$1:$ABO$500,X$2,0),"Д")</f>
        <v>0</v>
      </c>
      <c r="Y1364" s="50">
        <f>SUMIFS(INDEX(Техника!$F$1:$ABM$500,Y$2,0),Техника!$F$4:$ABM$4,"Часы",INDEX(Техника!$G$1:$ABN$500,Y$2,0),$A$1362,INDEX(Техника!$H$1:$ABO$500,Y$2,0),"Д")</f>
        <v>0</v>
      </c>
      <c r="Z1364" s="50">
        <f>SUMIFS(INDEX(Техника!$F$1:$ABM$500,Z$2,0),Техника!$F$4:$ABM$4,"Часы",INDEX(Техника!$G$1:$ABN$500,Z$2,0),$A$1362,INDEX(Техника!$H$1:$ABO$500,Z$2,0),"Д")</f>
        <v>0</v>
      </c>
      <c r="AA1364" s="50">
        <f>SUMIFS(INDEX(Техника!$F$1:$ABM$500,AA$2,0),Техника!$F$4:$ABM$4,"Часы",INDEX(Техника!$G$1:$ABN$500,AA$2,0),$A$1362,INDEX(Техника!$H$1:$ABO$500,AA$2,0),"Д")</f>
        <v>0</v>
      </c>
      <c r="AB1364" s="50">
        <f>SUMIFS(INDEX(Техника!$F$1:$ABM$500,AB$2,0),Техника!$F$4:$ABM$4,"Часы",INDEX(Техника!$G$1:$ABN$500,AB$2,0),$A$1362,INDEX(Техника!$H$1:$ABO$500,AB$2,0),"Д")</f>
        <v>0</v>
      </c>
    </row>
    <row r="1365" spans="1:28" hidden="1" outlineLevel="1" x14ac:dyDescent="0.3">
      <c r="A1365" s="33" t="s">
        <v>276</v>
      </c>
      <c r="B1365" s="34" t="s">
        <v>277</v>
      </c>
      <c r="C1365" s="50">
        <f>SUMIFS(INDEX(Техника!$F$1:$ABM$500,C$2,0),Техника!$F$4:$ABM$4,"Часы",INDEX(Техника!$G$1:$ABN$500,C$2,0),$A$1362,INDEX(Техника!$H$1:$ABO$500,C$2,0),"П")</f>
        <v>0</v>
      </c>
      <c r="D1365" s="50">
        <f>SUMIFS(INDEX(Техника!$F$1:$ABM$500,D$2,0),Техника!$F$4:$ABM$4,"Часы",INDEX(Техника!$G$1:$ABN$500,D$2,0),$A$1362,INDEX(Техника!$H$1:$ABO$500,D$2,0),"П")</f>
        <v>0</v>
      </c>
      <c r="E1365" s="50">
        <f>SUMIFS(INDEX(Техника!$F$1:$ABM$500,E$2,0),Техника!$F$4:$ABM$4,"Часы",INDEX(Техника!$G$1:$ABN$500,E$2,0),$A$1362,INDEX(Техника!$H$1:$ABO$500,E$2,0),"П")</f>
        <v>0</v>
      </c>
      <c r="F1365" s="50">
        <f>SUMIFS(INDEX(Техника!$F$1:$ABM$500,F$2,0),Техника!$F$4:$ABM$4,"Часы",INDEX(Техника!$G$1:$ABN$500,F$2,0),$A$1362,INDEX(Техника!$H$1:$ABO$500,F$2,0),"П")</f>
        <v>0</v>
      </c>
      <c r="G1365" s="50">
        <f>SUMIFS(INDEX(Техника!$F$1:$ABM$500,G$2,0),Техника!$F$4:$ABM$4,"Часы",INDEX(Техника!$G$1:$ABN$500,G$2,0),$A$1362,INDEX(Техника!$H$1:$ABO$500,G$2,0),"П")</f>
        <v>0</v>
      </c>
      <c r="H1365" s="50">
        <f>SUMIFS(INDEX(Техника!$F$1:$ABM$500,H$2,0),Техника!$F$4:$ABM$4,"Часы",INDEX(Техника!$G$1:$ABN$500,H$2,0),$A$1362,INDEX(Техника!$H$1:$ABO$500,H$2,0),"П")</f>
        <v>0</v>
      </c>
      <c r="I1365" s="50">
        <f>SUMIFS(INDEX(Техника!$F$1:$ABM$500,I$2,0),Техника!$F$4:$ABM$4,"Часы",INDEX(Техника!$G$1:$ABN$500,I$2,0),$A$1362,INDEX(Техника!$H$1:$ABO$500,I$2,0),"П")</f>
        <v>0</v>
      </c>
      <c r="J1365" s="50">
        <f>SUMIFS(INDEX(Техника!$F$1:$ABM$500,J$2,0),Техника!$F$4:$ABM$4,"Часы",INDEX(Техника!$G$1:$ABN$500,J$2,0),$A$1362,INDEX(Техника!$H$1:$ABO$500,J$2,0),"П")</f>
        <v>0</v>
      </c>
      <c r="K1365" s="50">
        <f>SUMIFS(INDEX(Техника!$F$1:$ABM$500,K$2,0),Техника!$F$4:$ABM$4,"Часы",INDEX(Техника!$G$1:$ABN$500,K$2,0),$A$1362,INDEX(Техника!$H$1:$ABO$500,K$2,0),"П")</f>
        <v>0</v>
      </c>
      <c r="L1365" s="50">
        <f>SUMIFS(INDEX(Техника!$F$1:$ABM$500,L$2,0),Техника!$F$4:$ABM$4,"Часы",INDEX(Техника!$G$1:$ABN$500,L$2,0),$A$1362,INDEX(Техника!$H$1:$ABO$500,L$2,0),"П")</f>
        <v>0</v>
      </c>
      <c r="M1365" s="50">
        <f>SUMIFS(INDEX(Техника!$F$1:$ABM$500,M$2,0),Техника!$F$4:$ABM$4,"Часы",INDEX(Техника!$G$1:$ABN$500,M$2,0),$A$1362,INDEX(Техника!$H$1:$ABO$500,M$2,0),"П")</f>
        <v>0</v>
      </c>
      <c r="N1365" s="50">
        <f>SUMIFS(INDEX(Техника!$F$1:$ABM$500,N$2,0),Техника!$F$4:$ABM$4,"Часы",INDEX(Техника!$G$1:$ABN$500,N$2,0),$A$1362,INDEX(Техника!$H$1:$ABO$500,N$2,0),"П")</f>
        <v>0</v>
      </c>
      <c r="O1365" s="50">
        <f>SUMIFS(INDEX(Техника!$F$1:$ABM$500,O$2,0),Техника!$F$4:$ABM$4,"Часы",INDEX(Техника!$G$1:$ABN$500,O$2,0),$A$1362,INDEX(Техника!$H$1:$ABO$500,O$2,0),"П")</f>
        <v>0</v>
      </c>
      <c r="P1365" s="50">
        <f>SUMIFS(INDEX(Техника!$F$1:$ABM$500,P$2,0),Техника!$F$4:$ABM$4,"Часы",INDEX(Техника!$G$1:$ABN$500,P$2,0),$A$1362,INDEX(Техника!$H$1:$ABO$500,P$2,0),"П")</f>
        <v>0</v>
      </c>
      <c r="Q1365" s="50">
        <f>SUMIFS(INDEX(Техника!$F$1:$ABM$500,Q$2,0),Техника!$F$4:$ABM$4,"Часы",INDEX(Техника!$G$1:$ABN$500,Q$2,0),$A$1362,INDEX(Техника!$H$1:$ABO$500,Q$2,0),"П")</f>
        <v>0</v>
      </c>
      <c r="R1365" s="50">
        <f>SUMIFS(INDEX(Техника!$F$1:$ABM$500,R$2,0),Техника!$F$4:$ABM$4,"Часы",INDEX(Техника!$G$1:$ABN$500,R$2,0),$A$1362,INDEX(Техника!$H$1:$ABO$500,R$2,0),"П")</f>
        <v>0</v>
      </c>
      <c r="S1365" s="50">
        <f>SUMIFS(INDEX(Техника!$F$1:$ABM$500,S$2,0),Техника!$F$4:$ABM$4,"Часы",INDEX(Техника!$G$1:$ABN$500,S$2,0),$A$1362,INDEX(Техника!$H$1:$ABO$500,S$2,0),"П")</f>
        <v>0</v>
      </c>
      <c r="T1365" s="50">
        <f>SUMIFS(INDEX(Техника!$F$1:$ABM$500,T$2,0),Техника!$F$4:$ABM$4,"Часы",INDEX(Техника!$G$1:$ABN$500,T$2,0),$A$1362,INDEX(Техника!$H$1:$ABO$500,T$2,0),"П")</f>
        <v>0</v>
      </c>
      <c r="U1365" s="50">
        <f>SUMIFS(INDEX(Техника!$F$1:$ABM$500,U$2,0),Техника!$F$4:$ABM$4,"Часы",INDEX(Техника!$G$1:$ABN$500,U$2,0),$A$1362,INDEX(Техника!$H$1:$ABO$500,U$2,0),"П")</f>
        <v>0</v>
      </c>
      <c r="V1365" s="50">
        <f>SUMIFS(INDEX(Техника!$F$1:$ABM$500,V$2,0),Техника!$F$4:$ABM$4,"Часы",INDEX(Техника!$G$1:$ABN$500,V$2,0),$A$1362,INDEX(Техника!$H$1:$ABO$500,V$2,0),"П")</f>
        <v>0</v>
      </c>
      <c r="W1365" s="50">
        <f>SUMIFS(INDEX(Техника!$F$1:$ABM$500,W$2,0),Техника!$F$4:$ABM$4,"Часы",INDEX(Техника!$G$1:$ABN$500,W$2,0),$A$1362,INDEX(Техника!$H$1:$ABO$500,W$2,0),"П")</f>
        <v>0</v>
      </c>
      <c r="X1365" s="50">
        <f>SUMIFS(INDEX(Техника!$F$1:$ABM$500,X$2,0),Техника!$F$4:$ABM$4,"Часы",INDEX(Техника!$G$1:$ABN$500,X$2,0),$A$1362,INDEX(Техника!$H$1:$ABO$500,X$2,0),"П")</f>
        <v>0</v>
      </c>
      <c r="Y1365" s="50">
        <f>SUMIFS(INDEX(Техника!$F$1:$ABM$500,Y$2,0),Техника!$F$4:$ABM$4,"Часы",INDEX(Техника!$G$1:$ABN$500,Y$2,0),$A$1362,INDEX(Техника!$H$1:$ABO$500,Y$2,0),"П")</f>
        <v>0</v>
      </c>
      <c r="Z1365" s="50">
        <f>SUMIFS(INDEX(Техника!$F$1:$ABM$500,Z$2,0),Техника!$F$4:$ABM$4,"Часы",INDEX(Техника!$G$1:$ABN$500,Z$2,0),$A$1362,INDEX(Техника!$H$1:$ABO$500,Z$2,0),"П")</f>
        <v>0</v>
      </c>
      <c r="AA1365" s="50">
        <f>SUMIFS(INDEX(Техника!$F$1:$ABM$500,AA$2,0),Техника!$F$4:$ABM$4,"Часы",INDEX(Техника!$G$1:$ABN$500,AA$2,0),$A$1362,INDEX(Техника!$H$1:$ABO$500,AA$2,0),"П")</f>
        <v>0</v>
      </c>
      <c r="AB1365" s="50">
        <f>SUMIFS(INDEX(Техника!$F$1:$ABM$500,AB$2,0),Техника!$F$4:$ABM$4,"Часы",INDEX(Техника!$G$1:$ABN$500,AB$2,0),$A$1362,INDEX(Техника!$H$1:$ABO$500,AB$2,0),"П")</f>
        <v>0</v>
      </c>
    </row>
    <row r="1366" spans="1:28" hidden="1" outlineLevel="1" x14ac:dyDescent="0.3">
      <c r="A1366" s="33" t="s">
        <v>243</v>
      </c>
      <c r="B1366" s="34" t="s">
        <v>278</v>
      </c>
      <c r="C1366" s="50">
        <f>SUMIFS(INDEX(Техника!$F$1:$ABM$500,C$2,0),Техника!$F$4:$ABM$4,"Часы",INDEX(Техника!$G$1:$ABN$500,C$2,0),$A$1362,INDEX(Техника!$H$1:$ABO$500,C$2,0),"Л")</f>
        <v>0</v>
      </c>
      <c r="D1366" s="50">
        <f>SUMIFS(INDEX(Техника!$F$1:$ABM$500,D$2,0),Техника!$F$4:$ABM$4,"Часы",INDEX(Техника!$G$1:$ABN$500,D$2,0),$A$1362,INDEX(Техника!$H$1:$ABO$500,D$2,0),"Л")</f>
        <v>0</v>
      </c>
      <c r="E1366" s="50">
        <f>SUMIFS(INDEX(Техника!$F$1:$ABM$500,E$2,0),Техника!$F$4:$ABM$4,"Часы",INDEX(Техника!$G$1:$ABN$500,E$2,0),$A$1362,INDEX(Техника!$H$1:$ABO$500,E$2,0),"Л")</f>
        <v>0</v>
      </c>
      <c r="F1366" s="50">
        <f>SUMIFS(INDEX(Техника!$F$1:$ABM$500,F$2,0),Техника!$F$4:$ABM$4,"Часы",INDEX(Техника!$G$1:$ABN$500,F$2,0),$A$1362,INDEX(Техника!$H$1:$ABO$500,F$2,0),"Л")</f>
        <v>0</v>
      </c>
      <c r="G1366" s="50">
        <f>SUMIFS(INDEX(Техника!$F$1:$ABM$500,G$2,0),Техника!$F$4:$ABM$4,"Часы",INDEX(Техника!$G$1:$ABN$500,G$2,0),$A$1362,INDEX(Техника!$H$1:$ABO$500,G$2,0),"Л")</f>
        <v>0</v>
      </c>
      <c r="H1366" s="50">
        <f>SUMIFS(INDEX(Техника!$F$1:$ABM$500,H$2,0),Техника!$F$4:$ABM$4,"Часы",INDEX(Техника!$G$1:$ABN$500,H$2,0),$A$1362,INDEX(Техника!$H$1:$ABO$500,H$2,0),"Л")</f>
        <v>0</v>
      </c>
      <c r="I1366" s="50">
        <f>SUMIFS(INDEX(Техника!$F$1:$ABM$500,I$2,0),Техника!$F$4:$ABM$4,"Часы",INDEX(Техника!$G$1:$ABN$500,I$2,0),$A$1362,INDEX(Техника!$H$1:$ABO$500,I$2,0),"Л")</f>
        <v>0</v>
      </c>
      <c r="J1366" s="50">
        <f>SUMIFS(INDEX(Техника!$F$1:$ABM$500,J$2,0),Техника!$F$4:$ABM$4,"Часы",INDEX(Техника!$G$1:$ABN$500,J$2,0),$A$1362,INDEX(Техника!$H$1:$ABO$500,J$2,0),"Л")</f>
        <v>0</v>
      </c>
      <c r="K1366" s="50">
        <f>SUMIFS(INDEX(Техника!$F$1:$ABM$500,K$2,0),Техника!$F$4:$ABM$4,"Часы",INDEX(Техника!$G$1:$ABN$500,K$2,0),$A$1362,INDEX(Техника!$H$1:$ABO$500,K$2,0),"Л")</f>
        <v>0</v>
      </c>
      <c r="L1366" s="50">
        <f>SUMIFS(INDEX(Техника!$F$1:$ABM$500,L$2,0),Техника!$F$4:$ABM$4,"Часы",INDEX(Техника!$G$1:$ABN$500,L$2,0),$A$1362,INDEX(Техника!$H$1:$ABO$500,L$2,0),"Л")</f>
        <v>0</v>
      </c>
      <c r="M1366" s="50">
        <f>SUMIFS(INDEX(Техника!$F$1:$ABM$500,M$2,0),Техника!$F$4:$ABM$4,"Часы",INDEX(Техника!$G$1:$ABN$500,M$2,0),$A$1362,INDEX(Техника!$H$1:$ABO$500,M$2,0),"Л")</f>
        <v>0</v>
      </c>
      <c r="N1366" s="50">
        <f>SUMIFS(INDEX(Техника!$F$1:$ABM$500,N$2,0),Техника!$F$4:$ABM$4,"Часы",INDEX(Техника!$G$1:$ABN$500,N$2,0),$A$1362,INDEX(Техника!$H$1:$ABO$500,N$2,0),"Л")</f>
        <v>0</v>
      </c>
      <c r="O1366" s="50">
        <f>SUMIFS(INDEX(Техника!$F$1:$ABM$500,O$2,0),Техника!$F$4:$ABM$4,"Часы",INDEX(Техника!$G$1:$ABN$500,O$2,0),$A$1362,INDEX(Техника!$H$1:$ABO$500,O$2,0),"Л")</f>
        <v>0</v>
      </c>
      <c r="P1366" s="50">
        <f>SUMIFS(INDEX(Техника!$F$1:$ABM$500,P$2,0),Техника!$F$4:$ABM$4,"Часы",INDEX(Техника!$G$1:$ABN$500,P$2,0),$A$1362,INDEX(Техника!$H$1:$ABO$500,P$2,0),"Л")</f>
        <v>0</v>
      </c>
      <c r="Q1366" s="50">
        <f>SUMIFS(INDEX(Техника!$F$1:$ABM$500,Q$2,0),Техника!$F$4:$ABM$4,"Часы",INDEX(Техника!$G$1:$ABN$500,Q$2,0),$A$1362,INDEX(Техника!$H$1:$ABO$500,Q$2,0),"Л")</f>
        <v>0</v>
      </c>
      <c r="R1366" s="50">
        <f>SUMIFS(INDEX(Техника!$F$1:$ABM$500,R$2,0),Техника!$F$4:$ABM$4,"Часы",INDEX(Техника!$G$1:$ABN$500,R$2,0),$A$1362,INDEX(Техника!$H$1:$ABO$500,R$2,0),"Л")</f>
        <v>0</v>
      </c>
      <c r="S1366" s="50">
        <f>SUMIFS(INDEX(Техника!$F$1:$ABM$500,S$2,0),Техника!$F$4:$ABM$4,"Часы",INDEX(Техника!$G$1:$ABN$500,S$2,0),$A$1362,INDEX(Техника!$H$1:$ABO$500,S$2,0),"Л")</f>
        <v>0</v>
      </c>
      <c r="T1366" s="50">
        <f>SUMIFS(INDEX(Техника!$F$1:$ABM$500,T$2,0),Техника!$F$4:$ABM$4,"Часы",INDEX(Техника!$G$1:$ABN$500,T$2,0),$A$1362,INDEX(Техника!$H$1:$ABO$500,T$2,0),"Л")</f>
        <v>0</v>
      </c>
      <c r="U1366" s="50">
        <f>SUMIFS(INDEX(Техника!$F$1:$ABM$500,U$2,0),Техника!$F$4:$ABM$4,"Часы",INDEX(Техника!$G$1:$ABN$500,U$2,0),$A$1362,INDEX(Техника!$H$1:$ABO$500,U$2,0),"Л")</f>
        <v>0</v>
      </c>
      <c r="V1366" s="50">
        <f>SUMIFS(INDEX(Техника!$F$1:$ABM$500,V$2,0),Техника!$F$4:$ABM$4,"Часы",INDEX(Техника!$G$1:$ABN$500,V$2,0),$A$1362,INDEX(Техника!$H$1:$ABO$500,V$2,0),"Л")</f>
        <v>0</v>
      </c>
      <c r="W1366" s="50">
        <f>SUMIFS(INDEX(Техника!$F$1:$ABM$500,W$2,0),Техника!$F$4:$ABM$4,"Часы",INDEX(Техника!$G$1:$ABN$500,W$2,0),$A$1362,INDEX(Техника!$H$1:$ABO$500,W$2,0),"Л")</f>
        <v>0</v>
      </c>
      <c r="X1366" s="50">
        <f>SUMIFS(INDEX(Техника!$F$1:$ABM$500,X$2,0),Техника!$F$4:$ABM$4,"Часы",INDEX(Техника!$G$1:$ABN$500,X$2,0),$A$1362,INDEX(Техника!$H$1:$ABO$500,X$2,0),"Л")</f>
        <v>0</v>
      </c>
      <c r="Y1366" s="50">
        <f>SUMIFS(INDEX(Техника!$F$1:$ABM$500,Y$2,0),Техника!$F$4:$ABM$4,"Часы",INDEX(Техника!$G$1:$ABN$500,Y$2,0),$A$1362,INDEX(Техника!$H$1:$ABO$500,Y$2,0),"Л")</f>
        <v>0</v>
      </c>
      <c r="Z1366" s="50">
        <f>SUMIFS(INDEX(Техника!$F$1:$ABM$500,Z$2,0),Техника!$F$4:$ABM$4,"Часы",INDEX(Техника!$G$1:$ABN$500,Z$2,0),$A$1362,INDEX(Техника!$H$1:$ABO$500,Z$2,0),"Л")</f>
        <v>0</v>
      </c>
      <c r="AA1366" s="50">
        <f>SUMIFS(INDEX(Техника!$F$1:$ABM$500,AA$2,0),Техника!$F$4:$ABM$4,"Часы",INDEX(Техника!$G$1:$ABN$500,AA$2,0),$A$1362,INDEX(Техника!$H$1:$ABO$500,AA$2,0),"Л")</f>
        <v>0</v>
      </c>
      <c r="AB1366" s="50">
        <f>SUMIFS(INDEX(Техника!$F$1:$ABM$500,AB$2,0),Техника!$F$4:$ABM$4,"Часы",INDEX(Техника!$G$1:$ABN$500,AB$2,0),$A$1362,INDEX(Техника!$H$1:$ABO$500,AB$2,0),"Л")</f>
        <v>0</v>
      </c>
    </row>
    <row r="1367" spans="1:28" hidden="1" outlineLevel="1" x14ac:dyDescent="0.3">
      <c r="A1367" s="33" t="s">
        <v>245</v>
      </c>
      <c r="B1367" s="34" t="s">
        <v>279</v>
      </c>
      <c r="C1367" s="50">
        <f>SUMIFS(INDEX(Техника!$F$1:$ABM$500,C$2,0),Техника!$F$4:$ABM$4,"Часы",INDEX(Техника!$G$1:$ABN$500,C$2,0),$A$1362,INDEX(Техника!$H$1:$ABO$500,C$2,0),"З")</f>
        <v>0</v>
      </c>
      <c r="D1367" s="50">
        <f>SUMIFS(INDEX(Техника!$F$1:$ABM$500,D$2,0),Техника!$F$4:$ABM$4,"Часы",INDEX(Техника!$G$1:$ABN$500,D$2,0),$A$1362,INDEX(Техника!$H$1:$ABO$500,D$2,0),"З")</f>
        <v>0</v>
      </c>
      <c r="E1367" s="50">
        <f>SUMIFS(INDEX(Техника!$F$1:$ABM$500,E$2,0),Техника!$F$4:$ABM$4,"Часы",INDEX(Техника!$G$1:$ABN$500,E$2,0),$A$1362,INDEX(Техника!$H$1:$ABO$500,E$2,0),"З")</f>
        <v>0</v>
      </c>
      <c r="F1367" s="50">
        <f>SUMIFS(INDEX(Техника!$F$1:$ABM$500,F$2,0),Техника!$F$4:$ABM$4,"Часы",INDEX(Техника!$G$1:$ABN$500,F$2,0),$A$1362,INDEX(Техника!$H$1:$ABO$500,F$2,0),"З")</f>
        <v>0</v>
      </c>
      <c r="G1367" s="50">
        <f>SUMIFS(INDEX(Техника!$F$1:$ABM$500,G$2,0),Техника!$F$4:$ABM$4,"Часы",INDEX(Техника!$G$1:$ABN$500,G$2,0),$A$1362,INDEX(Техника!$H$1:$ABO$500,G$2,0),"З")</f>
        <v>0</v>
      </c>
      <c r="H1367" s="50">
        <f>SUMIFS(INDEX(Техника!$F$1:$ABM$500,H$2,0),Техника!$F$4:$ABM$4,"Часы",INDEX(Техника!$G$1:$ABN$500,H$2,0),$A$1362,INDEX(Техника!$H$1:$ABO$500,H$2,0),"З")</f>
        <v>0</v>
      </c>
      <c r="I1367" s="50">
        <f>SUMIFS(INDEX(Техника!$F$1:$ABM$500,I$2,0),Техника!$F$4:$ABM$4,"Часы",INDEX(Техника!$G$1:$ABN$500,I$2,0),$A$1362,INDEX(Техника!$H$1:$ABO$500,I$2,0),"З")</f>
        <v>0</v>
      </c>
      <c r="J1367" s="50">
        <f>SUMIFS(INDEX(Техника!$F$1:$ABM$500,J$2,0),Техника!$F$4:$ABM$4,"Часы",INDEX(Техника!$G$1:$ABN$500,J$2,0),$A$1362,INDEX(Техника!$H$1:$ABO$500,J$2,0),"З")</f>
        <v>0</v>
      </c>
      <c r="K1367" s="50">
        <f>SUMIFS(INDEX(Техника!$F$1:$ABM$500,K$2,0),Техника!$F$4:$ABM$4,"Часы",INDEX(Техника!$G$1:$ABN$500,K$2,0),$A$1362,INDEX(Техника!$H$1:$ABO$500,K$2,0),"З")</f>
        <v>0</v>
      </c>
      <c r="L1367" s="50">
        <f>SUMIFS(INDEX(Техника!$F$1:$ABM$500,L$2,0),Техника!$F$4:$ABM$4,"Часы",INDEX(Техника!$G$1:$ABN$500,L$2,0),$A$1362,INDEX(Техника!$H$1:$ABO$500,L$2,0),"З")</f>
        <v>0</v>
      </c>
      <c r="M1367" s="50">
        <f>SUMIFS(INDEX(Техника!$F$1:$ABM$500,M$2,0),Техника!$F$4:$ABM$4,"Часы",INDEX(Техника!$G$1:$ABN$500,M$2,0),$A$1362,INDEX(Техника!$H$1:$ABO$500,M$2,0),"З")</f>
        <v>0</v>
      </c>
      <c r="N1367" s="50">
        <f>SUMIFS(INDEX(Техника!$F$1:$ABM$500,N$2,0),Техника!$F$4:$ABM$4,"Часы",INDEX(Техника!$G$1:$ABN$500,N$2,0),$A$1362,INDEX(Техника!$H$1:$ABO$500,N$2,0),"З")</f>
        <v>0</v>
      </c>
      <c r="O1367" s="50">
        <f>SUMIFS(INDEX(Техника!$F$1:$ABM$500,O$2,0),Техника!$F$4:$ABM$4,"Часы",INDEX(Техника!$G$1:$ABN$500,O$2,0),$A$1362,INDEX(Техника!$H$1:$ABO$500,O$2,0),"З")</f>
        <v>0</v>
      </c>
      <c r="P1367" s="50">
        <f>SUMIFS(INDEX(Техника!$F$1:$ABM$500,P$2,0),Техника!$F$4:$ABM$4,"Часы",INDEX(Техника!$G$1:$ABN$500,P$2,0),$A$1362,INDEX(Техника!$H$1:$ABO$500,P$2,0),"З")</f>
        <v>0</v>
      </c>
      <c r="Q1367" s="50">
        <f>SUMIFS(INDEX(Техника!$F$1:$ABM$500,Q$2,0),Техника!$F$4:$ABM$4,"Часы",INDEX(Техника!$G$1:$ABN$500,Q$2,0),$A$1362,INDEX(Техника!$H$1:$ABO$500,Q$2,0),"З")</f>
        <v>0</v>
      </c>
      <c r="R1367" s="50">
        <f>SUMIFS(INDEX(Техника!$F$1:$ABM$500,R$2,0),Техника!$F$4:$ABM$4,"Часы",INDEX(Техника!$G$1:$ABN$500,R$2,0),$A$1362,INDEX(Техника!$H$1:$ABO$500,R$2,0),"З")</f>
        <v>0</v>
      </c>
      <c r="S1367" s="50">
        <f>SUMIFS(INDEX(Техника!$F$1:$ABM$500,S$2,0),Техника!$F$4:$ABM$4,"Часы",INDEX(Техника!$G$1:$ABN$500,S$2,0),$A$1362,INDEX(Техника!$H$1:$ABO$500,S$2,0),"З")</f>
        <v>0</v>
      </c>
      <c r="T1367" s="50">
        <f>SUMIFS(INDEX(Техника!$F$1:$ABM$500,T$2,0),Техника!$F$4:$ABM$4,"Часы",INDEX(Техника!$G$1:$ABN$500,T$2,0),$A$1362,INDEX(Техника!$H$1:$ABO$500,T$2,0),"З")</f>
        <v>0</v>
      </c>
      <c r="U1367" s="50">
        <f>SUMIFS(INDEX(Техника!$F$1:$ABM$500,U$2,0),Техника!$F$4:$ABM$4,"Часы",INDEX(Техника!$G$1:$ABN$500,U$2,0),$A$1362,INDEX(Техника!$H$1:$ABO$500,U$2,0),"З")</f>
        <v>0</v>
      </c>
      <c r="V1367" s="50">
        <f>SUMIFS(INDEX(Техника!$F$1:$ABM$500,V$2,0),Техника!$F$4:$ABM$4,"Часы",INDEX(Техника!$G$1:$ABN$500,V$2,0),$A$1362,INDEX(Техника!$H$1:$ABO$500,V$2,0),"З")</f>
        <v>0</v>
      </c>
      <c r="W1367" s="50">
        <f>SUMIFS(INDEX(Техника!$F$1:$ABM$500,W$2,0),Техника!$F$4:$ABM$4,"Часы",INDEX(Техника!$G$1:$ABN$500,W$2,0),$A$1362,INDEX(Техника!$H$1:$ABO$500,W$2,0),"З")</f>
        <v>0</v>
      </c>
      <c r="X1367" s="50">
        <f>SUMIFS(INDEX(Техника!$F$1:$ABM$500,X$2,0),Техника!$F$4:$ABM$4,"Часы",INDEX(Техника!$G$1:$ABN$500,X$2,0),$A$1362,INDEX(Техника!$H$1:$ABO$500,X$2,0),"З")</f>
        <v>0</v>
      </c>
      <c r="Y1367" s="50">
        <f>SUMIFS(INDEX(Техника!$F$1:$ABM$500,Y$2,0),Техника!$F$4:$ABM$4,"Часы",INDEX(Техника!$G$1:$ABN$500,Y$2,0),$A$1362,INDEX(Техника!$H$1:$ABO$500,Y$2,0),"З")</f>
        <v>0</v>
      </c>
      <c r="Z1367" s="50">
        <f>SUMIFS(INDEX(Техника!$F$1:$ABM$500,Z$2,0),Техника!$F$4:$ABM$4,"Часы",INDEX(Техника!$G$1:$ABN$500,Z$2,0),$A$1362,INDEX(Техника!$H$1:$ABO$500,Z$2,0),"З")</f>
        <v>0</v>
      </c>
      <c r="AA1367" s="50">
        <f>SUMIFS(INDEX(Техника!$F$1:$ABM$500,AA$2,0),Техника!$F$4:$ABM$4,"Часы",INDEX(Техника!$G$1:$ABN$500,AA$2,0),$A$1362,INDEX(Техника!$H$1:$ABO$500,AA$2,0),"З")</f>
        <v>0</v>
      </c>
      <c r="AB1367" s="50">
        <f>SUMIFS(INDEX(Техника!$F$1:$ABM$500,AB$2,0),Техника!$F$4:$ABM$4,"Часы",INDEX(Техника!$G$1:$ABN$500,AB$2,0),$A$1362,INDEX(Техника!$H$1:$ABO$500,AB$2,0),"З")</f>
        <v>0</v>
      </c>
    </row>
    <row r="1368" spans="1:28" ht="7.95" customHeight="1" x14ac:dyDescent="0.3">
      <c r="A1368" s="38"/>
      <c r="B1368" s="39"/>
      <c r="C1368" s="51"/>
      <c r="D1368" s="51"/>
      <c r="E1368" s="51"/>
      <c r="F1368" s="51"/>
      <c r="G1368" s="51"/>
      <c r="H1368" s="51"/>
      <c r="I1368" s="51"/>
      <c r="J1368" s="51"/>
      <c r="K1368" s="51"/>
      <c r="L1368" s="51"/>
      <c r="M1368" s="51"/>
      <c r="N1368" s="51"/>
      <c r="O1368" s="51"/>
      <c r="P1368" s="51"/>
      <c r="Q1368" s="51"/>
      <c r="R1368" s="51"/>
      <c r="S1368" s="51"/>
      <c r="T1368" s="51"/>
      <c r="U1368" s="51"/>
      <c r="V1368" s="51"/>
      <c r="W1368" s="51"/>
      <c r="X1368" s="51"/>
      <c r="Y1368" s="51"/>
      <c r="Z1368" s="51"/>
      <c r="AA1368" s="51"/>
      <c r="AB1368" s="51"/>
    </row>
    <row r="1369" spans="1:28" ht="25.05" customHeight="1" collapsed="1" x14ac:dyDescent="0.3">
      <c r="A1369" s="32">
        <v>196</v>
      </c>
      <c r="B1369" s="32" t="s">
        <v>197</v>
      </c>
      <c r="C1369" s="49">
        <f>SUM(C1370:C1374)</f>
        <v>0</v>
      </c>
      <c r="D1369" s="49">
        <f>SUM(D1370:D1374)</f>
        <v>0</v>
      </c>
      <c r="E1369" s="49">
        <f>SUM(E1370:E1374)</f>
        <v>0</v>
      </c>
      <c r="F1369" s="49">
        <f>SUM(F1370:F1374)</f>
        <v>0</v>
      </c>
      <c r="G1369" s="49">
        <f>SUM(G1370:G1374)</f>
        <v>0</v>
      </c>
      <c r="H1369" s="49">
        <f>SUM(H1370:H1374)</f>
        <v>0</v>
      </c>
      <c r="I1369" s="49">
        <f>SUM(I1370:I1374)</f>
        <v>0</v>
      </c>
      <c r="J1369" s="49">
        <f>SUM(J1370:J1374)</f>
        <v>0</v>
      </c>
      <c r="K1369" s="49">
        <f>SUM(K1370:K1374)</f>
        <v>0</v>
      </c>
      <c r="L1369" s="49">
        <f>SUM(L1370:L1374)</f>
        <v>0</v>
      </c>
      <c r="M1369" s="49">
        <f>SUM(M1370:M1374)</f>
        <v>0</v>
      </c>
      <c r="N1369" s="49">
        <f>SUM(N1370:N1374)</f>
        <v>0</v>
      </c>
      <c r="O1369" s="49">
        <f>SUM(O1370:O1374)</f>
        <v>0</v>
      </c>
      <c r="P1369" s="49">
        <f>SUM(P1370:P1374)</f>
        <v>0</v>
      </c>
      <c r="Q1369" s="49">
        <f>SUM(Q1370:Q1374)</f>
        <v>0</v>
      </c>
      <c r="R1369" s="49">
        <f>SUM(R1370:R1374)</f>
        <v>0</v>
      </c>
      <c r="S1369" s="49">
        <f>SUM(S1370:S1374)</f>
        <v>0</v>
      </c>
      <c r="T1369" s="49">
        <f>SUM(T1370:T1374)</f>
        <v>0</v>
      </c>
      <c r="U1369" s="49">
        <f>SUM(U1370:U1374)</f>
        <v>0</v>
      </c>
      <c r="V1369" s="49">
        <f>SUM(V1370:V1374)</f>
        <v>0</v>
      </c>
      <c r="W1369" s="49">
        <f>SUM(W1370:W1374)</f>
        <v>0</v>
      </c>
      <c r="X1369" s="49">
        <f>SUM(X1370:X1374)</f>
        <v>0</v>
      </c>
      <c r="Y1369" s="49">
        <f>SUM(Y1370:Y1374)</f>
        <v>0</v>
      </c>
      <c r="Z1369" s="49">
        <f>SUM(Z1370:Z1374)</f>
        <v>0</v>
      </c>
      <c r="AA1369" s="49">
        <f>SUM(AA1370:AA1374)</f>
        <v>0</v>
      </c>
      <c r="AB1369" s="49">
        <f>SUM(AB1370:AB1374)</f>
        <v>0</v>
      </c>
    </row>
    <row r="1370" spans="1:28" hidden="1" outlineLevel="1" x14ac:dyDescent="0.3">
      <c r="A1370" s="33" t="s">
        <v>246</v>
      </c>
      <c r="B1370" s="34" t="s">
        <v>274</v>
      </c>
      <c r="C1370" s="50">
        <f>SUMIFS(INDEX(Техника!$F$1:$ABM$500,C$2,0),Техника!$F$4:$ABM$4,"Часы",INDEX(Техника!$G$1:$ABN$500,C$2,0),$A$1369,INDEX(Техника!$H$1:$ABO$500,C$2,0),"М")</f>
        <v>0</v>
      </c>
      <c r="D1370" s="50">
        <f>SUMIFS(INDEX(Техника!$F$1:$ABM$500,D$2,0),Техника!$F$4:$ABM$4,"Часы",INDEX(Техника!$G$1:$ABN$500,D$2,0),$A$1369,INDEX(Техника!$H$1:$ABO$500,D$2,0),"М")</f>
        <v>0</v>
      </c>
      <c r="E1370" s="50">
        <f>SUMIFS(INDEX(Техника!$F$1:$ABM$500,E$2,0),Техника!$F$4:$ABM$4,"Часы",INDEX(Техника!$G$1:$ABN$500,E$2,0),$A$1369,INDEX(Техника!$H$1:$ABO$500,E$2,0),"М")</f>
        <v>0</v>
      </c>
      <c r="F1370" s="50">
        <f>SUMIFS(INDEX(Техника!$F$1:$ABM$500,F$2,0),Техника!$F$4:$ABM$4,"Часы",INDEX(Техника!$G$1:$ABN$500,F$2,0),$A$1369,INDEX(Техника!$H$1:$ABO$500,F$2,0),"М")</f>
        <v>0</v>
      </c>
      <c r="G1370" s="50">
        <f>SUMIFS(INDEX(Техника!$F$1:$ABM$500,G$2,0),Техника!$F$4:$ABM$4,"Часы",INDEX(Техника!$G$1:$ABN$500,G$2,0),$A$1369,INDEX(Техника!$H$1:$ABO$500,G$2,0),"М")</f>
        <v>0</v>
      </c>
      <c r="H1370" s="50">
        <f>SUMIFS(INDEX(Техника!$F$1:$ABM$500,H$2,0),Техника!$F$4:$ABM$4,"Часы",INDEX(Техника!$G$1:$ABN$500,H$2,0),$A$1369,INDEX(Техника!$H$1:$ABO$500,H$2,0),"М")</f>
        <v>0</v>
      </c>
      <c r="I1370" s="50">
        <f>SUMIFS(INDEX(Техника!$F$1:$ABM$500,I$2,0),Техника!$F$4:$ABM$4,"Часы",INDEX(Техника!$G$1:$ABN$500,I$2,0),$A$1369,INDEX(Техника!$H$1:$ABO$500,I$2,0),"М")</f>
        <v>0</v>
      </c>
      <c r="J1370" s="50">
        <f>SUMIFS(INDEX(Техника!$F$1:$ABM$500,J$2,0),Техника!$F$4:$ABM$4,"Часы",INDEX(Техника!$G$1:$ABN$500,J$2,0),$A$1369,INDEX(Техника!$H$1:$ABO$500,J$2,0),"М")</f>
        <v>0</v>
      </c>
      <c r="K1370" s="50">
        <f>SUMIFS(INDEX(Техника!$F$1:$ABM$500,K$2,0),Техника!$F$4:$ABM$4,"Часы",INDEX(Техника!$G$1:$ABN$500,K$2,0),$A$1369,INDEX(Техника!$H$1:$ABO$500,K$2,0),"М")</f>
        <v>0</v>
      </c>
      <c r="L1370" s="50">
        <f>SUMIFS(INDEX(Техника!$F$1:$ABM$500,L$2,0),Техника!$F$4:$ABM$4,"Часы",INDEX(Техника!$G$1:$ABN$500,L$2,0),$A$1369,INDEX(Техника!$H$1:$ABO$500,L$2,0),"М")</f>
        <v>0</v>
      </c>
      <c r="M1370" s="50">
        <f>SUMIFS(INDEX(Техника!$F$1:$ABM$500,M$2,0),Техника!$F$4:$ABM$4,"Часы",INDEX(Техника!$G$1:$ABN$500,M$2,0),$A$1369,INDEX(Техника!$H$1:$ABO$500,M$2,0),"М")</f>
        <v>0</v>
      </c>
      <c r="N1370" s="50">
        <f>SUMIFS(INDEX(Техника!$F$1:$ABM$500,N$2,0),Техника!$F$4:$ABM$4,"Часы",INDEX(Техника!$G$1:$ABN$500,N$2,0),$A$1369,INDEX(Техника!$H$1:$ABO$500,N$2,0),"М")</f>
        <v>0</v>
      </c>
      <c r="O1370" s="50">
        <f>SUMIFS(INDEX(Техника!$F$1:$ABM$500,O$2,0),Техника!$F$4:$ABM$4,"Часы",INDEX(Техника!$G$1:$ABN$500,O$2,0),$A$1369,INDEX(Техника!$H$1:$ABO$500,O$2,0),"М")</f>
        <v>0</v>
      </c>
      <c r="P1370" s="50">
        <f>SUMIFS(INDEX(Техника!$F$1:$ABM$500,P$2,0),Техника!$F$4:$ABM$4,"Часы",INDEX(Техника!$G$1:$ABN$500,P$2,0),$A$1369,INDEX(Техника!$H$1:$ABO$500,P$2,0),"М")</f>
        <v>0</v>
      </c>
      <c r="Q1370" s="50">
        <f>SUMIFS(INDEX(Техника!$F$1:$ABM$500,Q$2,0),Техника!$F$4:$ABM$4,"Часы",INDEX(Техника!$G$1:$ABN$500,Q$2,0),$A$1369,INDEX(Техника!$H$1:$ABO$500,Q$2,0),"М")</f>
        <v>0</v>
      </c>
      <c r="R1370" s="50">
        <f>SUMIFS(INDEX(Техника!$F$1:$ABM$500,R$2,0),Техника!$F$4:$ABM$4,"Часы",INDEX(Техника!$G$1:$ABN$500,R$2,0),$A$1369,INDEX(Техника!$H$1:$ABO$500,R$2,0),"М")</f>
        <v>0</v>
      </c>
      <c r="S1370" s="50">
        <f>SUMIFS(INDEX(Техника!$F$1:$ABM$500,S$2,0),Техника!$F$4:$ABM$4,"Часы",INDEX(Техника!$G$1:$ABN$500,S$2,0),$A$1369,INDEX(Техника!$H$1:$ABO$500,S$2,0),"М")</f>
        <v>0</v>
      </c>
      <c r="T1370" s="50">
        <f>SUMIFS(INDEX(Техника!$F$1:$ABM$500,T$2,0),Техника!$F$4:$ABM$4,"Часы",INDEX(Техника!$G$1:$ABN$500,T$2,0),$A$1369,INDEX(Техника!$H$1:$ABO$500,T$2,0),"М")</f>
        <v>0</v>
      </c>
      <c r="U1370" s="50">
        <f>SUMIFS(INDEX(Техника!$F$1:$ABM$500,U$2,0),Техника!$F$4:$ABM$4,"Часы",INDEX(Техника!$G$1:$ABN$500,U$2,0),$A$1369,INDEX(Техника!$H$1:$ABO$500,U$2,0),"М")</f>
        <v>0</v>
      </c>
      <c r="V1370" s="50">
        <f>SUMIFS(INDEX(Техника!$F$1:$ABM$500,V$2,0),Техника!$F$4:$ABM$4,"Часы",INDEX(Техника!$G$1:$ABN$500,V$2,0),$A$1369,INDEX(Техника!$H$1:$ABO$500,V$2,0),"М")</f>
        <v>0</v>
      </c>
      <c r="W1370" s="50">
        <f>SUMIFS(INDEX(Техника!$F$1:$ABM$500,W$2,0),Техника!$F$4:$ABM$4,"Часы",INDEX(Техника!$G$1:$ABN$500,W$2,0),$A$1369,INDEX(Техника!$H$1:$ABO$500,W$2,0),"М")</f>
        <v>0</v>
      </c>
      <c r="X1370" s="50">
        <f>SUMIFS(INDEX(Техника!$F$1:$ABM$500,X$2,0),Техника!$F$4:$ABM$4,"Часы",INDEX(Техника!$G$1:$ABN$500,X$2,0),$A$1369,INDEX(Техника!$H$1:$ABO$500,X$2,0),"М")</f>
        <v>0</v>
      </c>
      <c r="Y1370" s="50">
        <f>SUMIFS(INDEX(Техника!$F$1:$ABM$500,Y$2,0),Техника!$F$4:$ABM$4,"Часы",INDEX(Техника!$G$1:$ABN$500,Y$2,0),$A$1369,INDEX(Техника!$H$1:$ABO$500,Y$2,0),"М")</f>
        <v>0</v>
      </c>
      <c r="Z1370" s="50">
        <f>SUMIFS(INDEX(Техника!$F$1:$ABM$500,Z$2,0),Техника!$F$4:$ABM$4,"Часы",INDEX(Техника!$G$1:$ABN$500,Z$2,0),$A$1369,INDEX(Техника!$H$1:$ABO$500,Z$2,0),"М")</f>
        <v>0</v>
      </c>
      <c r="AA1370" s="50">
        <f>SUMIFS(INDEX(Техника!$F$1:$ABM$500,AA$2,0),Техника!$F$4:$ABM$4,"Часы",INDEX(Техника!$G$1:$ABN$500,AA$2,0),$A$1369,INDEX(Техника!$H$1:$ABO$500,AA$2,0),"М")</f>
        <v>0</v>
      </c>
      <c r="AB1370" s="50">
        <f>SUMIFS(INDEX(Техника!$F$1:$ABM$500,AB$2,0),Техника!$F$4:$ABM$4,"Часы",INDEX(Техника!$G$1:$ABN$500,AB$2,0),$A$1369,INDEX(Техника!$H$1:$ABO$500,AB$2,0),"М")</f>
        <v>0</v>
      </c>
    </row>
    <row r="1371" spans="1:28" hidden="1" outlineLevel="1" x14ac:dyDescent="0.3">
      <c r="A1371" s="33" t="s">
        <v>244</v>
      </c>
      <c r="B1371" s="34" t="s">
        <v>275</v>
      </c>
      <c r="C1371" s="50">
        <f>SUMIFS(INDEX(Техника!$F$1:$ABM$500,C$2,0),Техника!$F$4:$ABM$4,"Часы",INDEX(Техника!$G$1:$ABN$500,C$2,0),$A$1369,INDEX(Техника!$H$1:$ABO$500,C$2,0),"Д")</f>
        <v>0</v>
      </c>
      <c r="D1371" s="50">
        <f>SUMIFS(INDEX(Техника!$F$1:$ABM$500,D$2,0),Техника!$F$4:$ABM$4,"Часы",INDEX(Техника!$G$1:$ABN$500,D$2,0),$A$1369,INDEX(Техника!$H$1:$ABO$500,D$2,0),"Д")</f>
        <v>0</v>
      </c>
      <c r="E1371" s="50">
        <f>SUMIFS(INDEX(Техника!$F$1:$ABM$500,E$2,0),Техника!$F$4:$ABM$4,"Часы",INDEX(Техника!$G$1:$ABN$500,E$2,0),$A$1369,INDEX(Техника!$H$1:$ABO$500,E$2,0),"Д")</f>
        <v>0</v>
      </c>
      <c r="F1371" s="50">
        <f>SUMIFS(INDEX(Техника!$F$1:$ABM$500,F$2,0),Техника!$F$4:$ABM$4,"Часы",INDEX(Техника!$G$1:$ABN$500,F$2,0),$A$1369,INDEX(Техника!$H$1:$ABO$500,F$2,0),"Д")</f>
        <v>0</v>
      </c>
      <c r="G1371" s="50">
        <f>SUMIFS(INDEX(Техника!$F$1:$ABM$500,G$2,0),Техника!$F$4:$ABM$4,"Часы",INDEX(Техника!$G$1:$ABN$500,G$2,0),$A$1369,INDEX(Техника!$H$1:$ABO$500,G$2,0),"Д")</f>
        <v>0</v>
      </c>
      <c r="H1371" s="50">
        <f>SUMIFS(INDEX(Техника!$F$1:$ABM$500,H$2,0),Техника!$F$4:$ABM$4,"Часы",INDEX(Техника!$G$1:$ABN$500,H$2,0),$A$1369,INDEX(Техника!$H$1:$ABO$500,H$2,0),"Д")</f>
        <v>0</v>
      </c>
      <c r="I1371" s="50">
        <f>SUMIFS(INDEX(Техника!$F$1:$ABM$500,I$2,0),Техника!$F$4:$ABM$4,"Часы",INDEX(Техника!$G$1:$ABN$500,I$2,0),$A$1369,INDEX(Техника!$H$1:$ABO$500,I$2,0),"Д")</f>
        <v>0</v>
      </c>
      <c r="J1371" s="50">
        <f>SUMIFS(INDEX(Техника!$F$1:$ABM$500,J$2,0),Техника!$F$4:$ABM$4,"Часы",INDEX(Техника!$G$1:$ABN$500,J$2,0),$A$1369,INDEX(Техника!$H$1:$ABO$500,J$2,0),"Д")</f>
        <v>0</v>
      </c>
      <c r="K1371" s="50">
        <f>SUMIFS(INDEX(Техника!$F$1:$ABM$500,K$2,0),Техника!$F$4:$ABM$4,"Часы",INDEX(Техника!$G$1:$ABN$500,K$2,0),$A$1369,INDEX(Техника!$H$1:$ABO$500,K$2,0),"Д")</f>
        <v>0</v>
      </c>
      <c r="L1371" s="50">
        <f>SUMIFS(INDEX(Техника!$F$1:$ABM$500,L$2,0),Техника!$F$4:$ABM$4,"Часы",INDEX(Техника!$G$1:$ABN$500,L$2,0),$A$1369,INDEX(Техника!$H$1:$ABO$500,L$2,0),"Д")</f>
        <v>0</v>
      </c>
      <c r="M1371" s="50">
        <f>SUMIFS(INDEX(Техника!$F$1:$ABM$500,M$2,0),Техника!$F$4:$ABM$4,"Часы",INDEX(Техника!$G$1:$ABN$500,M$2,0),$A$1369,INDEX(Техника!$H$1:$ABO$500,M$2,0),"Д")</f>
        <v>0</v>
      </c>
      <c r="N1371" s="50">
        <f>SUMIFS(INDEX(Техника!$F$1:$ABM$500,N$2,0),Техника!$F$4:$ABM$4,"Часы",INDEX(Техника!$G$1:$ABN$500,N$2,0),$A$1369,INDEX(Техника!$H$1:$ABO$500,N$2,0),"Д")</f>
        <v>0</v>
      </c>
      <c r="O1371" s="50">
        <f>SUMIFS(INDEX(Техника!$F$1:$ABM$500,O$2,0),Техника!$F$4:$ABM$4,"Часы",INDEX(Техника!$G$1:$ABN$500,O$2,0),$A$1369,INDEX(Техника!$H$1:$ABO$500,O$2,0),"Д")</f>
        <v>0</v>
      </c>
      <c r="P1371" s="50">
        <f>SUMIFS(INDEX(Техника!$F$1:$ABM$500,P$2,0),Техника!$F$4:$ABM$4,"Часы",INDEX(Техника!$G$1:$ABN$500,P$2,0),$A$1369,INDEX(Техника!$H$1:$ABO$500,P$2,0),"Д")</f>
        <v>0</v>
      </c>
      <c r="Q1371" s="50">
        <f>SUMIFS(INDEX(Техника!$F$1:$ABM$500,Q$2,0),Техника!$F$4:$ABM$4,"Часы",INDEX(Техника!$G$1:$ABN$500,Q$2,0),$A$1369,INDEX(Техника!$H$1:$ABO$500,Q$2,0),"Д")</f>
        <v>0</v>
      </c>
      <c r="R1371" s="50">
        <f>SUMIFS(INDEX(Техника!$F$1:$ABM$500,R$2,0),Техника!$F$4:$ABM$4,"Часы",INDEX(Техника!$G$1:$ABN$500,R$2,0),$A$1369,INDEX(Техника!$H$1:$ABO$500,R$2,0),"Д")</f>
        <v>0</v>
      </c>
      <c r="S1371" s="50">
        <f>SUMIFS(INDEX(Техника!$F$1:$ABM$500,S$2,0),Техника!$F$4:$ABM$4,"Часы",INDEX(Техника!$G$1:$ABN$500,S$2,0),$A$1369,INDEX(Техника!$H$1:$ABO$500,S$2,0),"Д")</f>
        <v>0</v>
      </c>
      <c r="T1371" s="50">
        <f>SUMIFS(INDEX(Техника!$F$1:$ABM$500,T$2,0),Техника!$F$4:$ABM$4,"Часы",INDEX(Техника!$G$1:$ABN$500,T$2,0),$A$1369,INDEX(Техника!$H$1:$ABO$500,T$2,0),"Д")</f>
        <v>0</v>
      </c>
      <c r="U1371" s="50">
        <f>SUMIFS(INDEX(Техника!$F$1:$ABM$500,U$2,0),Техника!$F$4:$ABM$4,"Часы",INDEX(Техника!$G$1:$ABN$500,U$2,0),$A$1369,INDEX(Техника!$H$1:$ABO$500,U$2,0),"Д")</f>
        <v>0</v>
      </c>
      <c r="V1371" s="50">
        <f>SUMIFS(INDEX(Техника!$F$1:$ABM$500,V$2,0),Техника!$F$4:$ABM$4,"Часы",INDEX(Техника!$G$1:$ABN$500,V$2,0),$A$1369,INDEX(Техника!$H$1:$ABO$500,V$2,0),"Д")</f>
        <v>0</v>
      </c>
      <c r="W1371" s="50">
        <f>SUMIFS(INDEX(Техника!$F$1:$ABM$500,W$2,0),Техника!$F$4:$ABM$4,"Часы",INDEX(Техника!$G$1:$ABN$500,W$2,0),$A$1369,INDEX(Техника!$H$1:$ABO$500,W$2,0),"Д")</f>
        <v>0</v>
      </c>
      <c r="X1371" s="50">
        <f>SUMIFS(INDEX(Техника!$F$1:$ABM$500,X$2,0),Техника!$F$4:$ABM$4,"Часы",INDEX(Техника!$G$1:$ABN$500,X$2,0),$A$1369,INDEX(Техника!$H$1:$ABO$500,X$2,0),"Д")</f>
        <v>0</v>
      </c>
      <c r="Y1371" s="50">
        <f>SUMIFS(INDEX(Техника!$F$1:$ABM$500,Y$2,0),Техника!$F$4:$ABM$4,"Часы",INDEX(Техника!$G$1:$ABN$500,Y$2,0),$A$1369,INDEX(Техника!$H$1:$ABO$500,Y$2,0),"Д")</f>
        <v>0</v>
      </c>
      <c r="Z1371" s="50">
        <f>SUMIFS(INDEX(Техника!$F$1:$ABM$500,Z$2,0),Техника!$F$4:$ABM$4,"Часы",INDEX(Техника!$G$1:$ABN$500,Z$2,0),$A$1369,INDEX(Техника!$H$1:$ABO$500,Z$2,0),"Д")</f>
        <v>0</v>
      </c>
      <c r="AA1371" s="50">
        <f>SUMIFS(INDEX(Техника!$F$1:$ABM$500,AA$2,0),Техника!$F$4:$ABM$4,"Часы",INDEX(Техника!$G$1:$ABN$500,AA$2,0),$A$1369,INDEX(Техника!$H$1:$ABO$500,AA$2,0),"Д")</f>
        <v>0</v>
      </c>
      <c r="AB1371" s="50">
        <f>SUMIFS(INDEX(Техника!$F$1:$ABM$500,AB$2,0),Техника!$F$4:$ABM$4,"Часы",INDEX(Техника!$G$1:$ABN$500,AB$2,0),$A$1369,INDEX(Техника!$H$1:$ABO$500,AB$2,0),"Д")</f>
        <v>0</v>
      </c>
    </row>
    <row r="1372" spans="1:28" hidden="1" outlineLevel="1" x14ac:dyDescent="0.3">
      <c r="A1372" s="33" t="s">
        <v>276</v>
      </c>
      <c r="B1372" s="34" t="s">
        <v>277</v>
      </c>
      <c r="C1372" s="50">
        <f>SUMIFS(INDEX(Техника!$F$1:$ABM$500,C$2,0),Техника!$F$4:$ABM$4,"Часы",INDEX(Техника!$G$1:$ABN$500,C$2,0),$A$1369,INDEX(Техника!$H$1:$ABO$500,C$2,0),"П")</f>
        <v>0</v>
      </c>
      <c r="D1372" s="50">
        <f>SUMIFS(INDEX(Техника!$F$1:$ABM$500,D$2,0),Техника!$F$4:$ABM$4,"Часы",INDEX(Техника!$G$1:$ABN$500,D$2,0),$A$1369,INDEX(Техника!$H$1:$ABO$500,D$2,0),"П")</f>
        <v>0</v>
      </c>
      <c r="E1372" s="50">
        <f>SUMIFS(INDEX(Техника!$F$1:$ABM$500,E$2,0),Техника!$F$4:$ABM$4,"Часы",INDEX(Техника!$G$1:$ABN$500,E$2,0),$A$1369,INDEX(Техника!$H$1:$ABO$500,E$2,0),"П")</f>
        <v>0</v>
      </c>
      <c r="F1372" s="50">
        <f>SUMIFS(INDEX(Техника!$F$1:$ABM$500,F$2,0),Техника!$F$4:$ABM$4,"Часы",INDEX(Техника!$G$1:$ABN$500,F$2,0),$A$1369,INDEX(Техника!$H$1:$ABO$500,F$2,0),"П")</f>
        <v>0</v>
      </c>
      <c r="G1372" s="50">
        <f>SUMIFS(INDEX(Техника!$F$1:$ABM$500,G$2,0),Техника!$F$4:$ABM$4,"Часы",INDEX(Техника!$G$1:$ABN$500,G$2,0),$A$1369,INDEX(Техника!$H$1:$ABO$500,G$2,0),"П")</f>
        <v>0</v>
      </c>
      <c r="H1372" s="50">
        <f>SUMIFS(INDEX(Техника!$F$1:$ABM$500,H$2,0),Техника!$F$4:$ABM$4,"Часы",INDEX(Техника!$G$1:$ABN$500,H$2,0),$A$1369,INDEX(Техника!$H$1:$ABO$500,H$2,0),"П")</f>
        <v>0</v>
      </c>
      <c r="I1372" s="50">
        <f>SUMIFS(INDEX(Техника!$F$1:$ABM$500,I$2,0),Техника!$F$4:$ABM$4,"Часы",INDEX(Техника!$G$1:$ABN$500,I$2,0),$A$1369,INDEX(Техника!$H$1:$ABO$500,I$2,0),"П")</f>
        <v>0</v>
      </c>
      <c r="J1372" s="50">
        <f>SUMIFS(INDEX(Техника!$F$1:$ABM$500,J$2,0),Техника!$F$4:$ABM$4,"Часы",INDEX(Техника!$G$1:$ABN$500,J$2,0),$A$1369,INDEX(Техника!$H$1:$ABO$500,J$2,0),"П")</f>
        <v>0</v>
      </c>
      <c r="K1372" s="50">
        <f>SUMIFS(INDEX(Техника!$F$1:$ABM$500,K$2,0),Техника!$F$4:$ABM$4,"Часы",INDEX(Техника!$G$1:$ABN$500,K$2,0),$A$1369,INDEX(Техника!$H$1:$ABO$500,K$2,0),"П")</f>
        <v>0</v>
      </c>
      <c r="L1372" s="50">
        <f>SUMIFS(INDEX(Техника!$F$1:$ABM$500,L$2,0),Техника!$F$4:$ABM$4,"Часы",INDEX(Техника!$G$1:$ABN$500,L$2,0),$A$1369,INDEX(Техника!$H$1:$ABO$500,L$2,0),"П")</f>
        <v>0</v>
      </c>
      <c r="M1372" s="50">
        <f>SUMIFS(INDEX(Техника!$F$1:$ABM$500,M$2,0),Техника!$F$4:$ABM$4,"Часы",INDEX(Техника!$G$1:$ABN$500,M$2,0),$A$1369,INDEX(Техника!$H$1:$ABO$500,M$2,0),"П")</f>
        <v>0</v>
      </c>
      <c r="N1372" s="50">
        <f>SUMIFS(INDEX(Техника!$F$1:$ABM$500,N$2,0),Техника!$F$4:$ABM$4,"Часы",INDEX(Техника!$G$1:$ABN$500,N$2,0),$A$1369,INDEX(Техника!$H$1:$ABO$500,N$2,0),"П")</f>
        <v>0</v>
      </c>
      <c r="O1372" s="50">
        <f>SUMIFS(INDEX(Техника!$F$1:$ABM$500,O$2,0),Техника!$F$4:$ABM$4,"Часы",INDEX(Техника!$G$1:$ABN$500,O$2,0),$A$1369,INDEX(Техника!$H$1:$ABO$500,O$2,0),"П")</f>
        <v>0</v>
      </c>
      <c r="P1372" s="50">
        <f>SUMIFS(INDEX(Техника!$F$1:$ABM$500,P$2,0),Техника!$F$4:$ABM$4,"Часы",INDEX(Техника!$G$1:$ABN$500,P$2,0),$A$1369,INDEX(Техника!$H$1:$ABO$500,P$2,0),"П")</f>
        <v>0</v>
      </c>
      <c r="Q1372" s="50">
        <f>SUMIFS(INDEX(Техника!$F$1:$ABM$500,Q$2,0),Техника!$F$4:$ABM$4,"Часы",INDEX(Техника!$G$1:$ABN$500,Q$2,0),$A$1369,INDEX(Техника!$H$1:$ABO$500,Q$2,0),"П")</f>
        <v>0</v>
      </c>
      <c r="R1372" s="50">
        <f>SUMIFS(INDEX(Техника!$F$1:$ABM$500,R$2,0),Техника!$F$4:$ABM$4,"Часы",INDEX(Техника!$G$1:$ABN$500,R$2,0),$A$1369,INDEX(Техника!$H$1:$ABO$500,R$2,0),"П")</f>
        <v>0</v>
      </c>
      <c r="S1372" s="50">
        <f>SUMIFS(INDEX(Техника!$F$1:$ABM$500,S$2,0),Техника!$F$4:$ABM$4,"Часы",INDEX(Техника!$G$1:$ABN$500,S$2,0),$A$1369,INDEX(Техника!$H$1:$ABO$500,S$2,0),"П")</f>
        <v>0</v>
      </c>
      <c r="T1372" s="50">
        <f>SUMIFS(INDEX(Техника!$F$1:$ABM$500,T$2,0),Техника!$F$4:$ABM$4,"Часы",INDEX(Техника!$G$1:$ABN$500,T$2,0),$A$1369,INDEX(Техника!$H$1:$ABO$500,T$2,0),"П")</f>
        <v>0</v>
      </c>
      <c r="U1372" s="50">
        <f>SUMIFS(INDEX(Техника!$F$1:$ABM$500,U$2,0),Техника!$F$4:$ABM$4,"Часы",INDEX(Техника!$G$1:$ABN$500,U$2,0),$A$1369,INDEX(Техника!$H$1:$ABO$500,U$2,0),"П")</f>
        <v>0</v>
      </c>
      <c r="V1372" s="50">
        <f>SUMIFS(INDEX(Техника!$F$1:$ABM$500,V$2,0),Техника!$F$4:$ABM$4,"Часы",INDEX(Техника!$G$1:$ABN$500,V$2,0),$A$1369,INDEX(Техника!$H$1:$ABO$500,V$2,0),"П")</f>
        <v>0</v>
      </c>
      <c r="W1372" s="50">
        <f>SUMIFS(INDEX(Техника!$F$1:$ABM$500,W$2,0),Техника!$F$4:$ABM$4,"Часы",INDEX(Техника!$G$1:$ABN$500,W$2,0),$A$1369,INDEX(Техника!$H$1:$ABO$500,W$2,0),"П")</f>
        <v>0</v>
      </c>
      <c r="X1372" s="50">
        <f>SUMIFS(INDEX(Техника!$F$1:$ABM$500,X$2,0),Техника!$F$4:$ABM$4,"Часы",INDEX(Техника!$G$1:$ABN$500,X$2,0),$A$1369,INDEX(Техника!$H$1:$ABO$500,X$2,0),"П")</f>
        <v>0</v>
      </c>
      <c r="Y1372" s="50">
        <f>SUMIFS(INDEX(Техника!$F$1:$ABM$500,Y$2,0),Техника!$F$4:$ABM$4,"Часы",INDEX(Техника!$G$1:$ABN$500,Y$2,0),$A$1369,INDEX(Техника!$H$1:$ABO$500,Y$2,0),"П")</f>
        <v>0</v>
      </c>
      <c r="Z1372" s="50">
        <f>SUMIFS(INDEX(Техника!$F$1:$ABM$500,Z$2,0),Техника!$F$4:$ABM$4,"Часы",INDEX(Техника!$G$1:$ABN$500,Z$2,0),$A$1369,INDEX(Техника!$H$1:$ABO$500,Z$2,0),"П")</f>
        <v>0</v>
      </c>
      <c r="AA1372" s="50">
        <f>SUMIFS(INDEX(Техника!$F$1:$ABM$500,AA$2,0),Техника!$F$4:$ABM$4,"Часы",INDEX(Техника!$G$1:$ABN$500,AA$2,0),$A$1369,INDEX(Техника!$H$1:$ABO$500,AA$2,0),"П")</f>
        <v>0</v>
      </c>
      <c r="AB1372" s="50">
        <f>SUMIFS(INDEX(Техника!$F$1:$ABM$500,AB$2,0),Техника!$F$4:$ABM$4,"Часы",INDEX(Техника!$G$1:$ABN$500,AB$2,0),$A$1369,INDEX(Техника!$H$1:$ABO$500,AB$2,0),"П")</f>
        <v>0</v>
      </c>
    </row>
    <row r="1373" spans="1:28" hidden="1" outlineLevel="1" x14ac:dyDescent="0.3">
      <c r="A1373" s="33" t="s">
        <v>243</v>
      </c>
      <c r="B1373" s="34" t="s">
        <v>278</v>
      </c>
      <c r="C1373" s="50">
        <f>SUMIFS(INDEX(Техника!$F$1:$ABM$500,C$2,0),Техника!$F$4:$ABM$4,"Часы",INDEX(Техника!$G$1:$ABN$500,C$2,0),$A$1369,INDEX(Техника!$H$1:$ABO$500,C$2,0),"Л")</f>
        <v>0</v>
      </c>
      <c r="D1373" s="50">
        <f>SUMIFS(INDEX(Техника!$F$1:$ABM$500,D$2,0),Техника!$F$4:$ABM$4,"Часы",INDEX(Техника!$G$1:$ABN$500,D$2,0),$A$1369,INDEX(Техника!$H$1:$ABO$500,D$2,0),"Л")</f>
        <v>0</v>
      </c>
      <c r="E1373" s="50">
        <f>SUMIFS(INDEX(Техника!$F$1:$ABM$500,E$2,0),Техника!$F$4:$ABM$4,"Часы",INDEX(Техника!$G$1:$ABN$500,E$2,0),$A$1369,INDEX(Техника!$H$1:$ABO$500,E$2,0),"Л")</f>
        <v>0</v>
      </c>
      <c r="F1373" s="50">
        <f>SUMIFS(INDEX(Техника!$F$1:$ABM$500,F$2,0),Техника!$F$4:$ABM$4,"Часы",INDEX(Техника!$G$1:$ABN$500,F$2,0),$A$1369,INDEX(Техника!$H$1:$ABO$500,F$2,0),"Л")</f>
        <v>0</v>
      </c>
      <c r="G1373" s="50">
        <f>SUMIFS(INDEX(Техника!$F$1:$ABM$500,G$2,0),Техника!$F$4:$ABM$4,"Часы",INDEX(Техника!$G$1:$ABN$500,G$2,0),$A$1369,INDEX(Техника!$H$1:$ABO$500,G$2,0),"Л")</f>
        <v>0</v>
      </c>
      <c r="H1373" s="50">
        <f>SUMIFS(INDEX(Техника!$F$1:$ABM$500,H$2,0),Техника!$F$4:$ABM$4,"Часы",INDEX(Техника!$G$1:$ABN$500,H$2,0),$A$1369,INDEX(Техника!$H$1:$ABO$500,H$2,0),"Л")</f>
        <v>0</v>
      </c>
      <c r="I1373" s="50">
        <f>SUMIFS(INDEX(Техника!$F$1:$ABM$500,I$2,0),Техника!$F$4:$ABM$4,"Часы",INDEX(Техника!$G$1:$ABN$500,I$2,0),$A$1369,INDEX(Техника!$H$1:$ABO$500,I$2,0),"Л")</f>
        <v>0</v>
      </c>
      <c r="J1373" s="50">
        <f>SUMIFS(INDEX(Техника!$F$1:$ABM$500,J$2,0),Техника!$F$4:$ABM$4,"Часы",INDEX(Техника!$G$1:$ABN$500,J$2,0),$A$1369,INDEX(Техника!$H$1:$ABO$500,J$2,0),"Л")</f>
        <v>0</v>
      </c>
      <c r="K1373" s="50">
        <f>SUMIFS(INDEX(Техника!$F$1:$ABM$500,K$2,0),Техника!$F$4:$ABM$4,"Часы",INDEX(Техника!$G$1:$ABN$500,K$2,0),$A$1369,INDEX(Техника!$H$1:$ABO$500,K$2,0),"Л")</f>
        <v>0</v>
      </c>
      <c r="L1373" s="50">
        <f>SUMIFS(INDEX(Техника!$F$1:$ABM$500,L$2,0),Техника!$F$4:$ABM$4,"Часы",INDEX(Техника!$G$1:$ABN$500,L$2,0),$A$1369,INDEX(Техника!$H$1:$ABO$500,L$2,0),"Л")</f>
        <v>0</v>
      </c>
      <c r="M1373" s="50">
        <f>SUMIFS(INDEX(Техника!$F$1:$ABM$500,M$2,0),Техника!$F$4:$ABM$4,"Часы",INDEX(Техника!$G$1:$ABN$500,M$2,0),$A$1369,INDEX(Техника!$H$1:$ABO$500,M$2,0),"Л")</f>
        <v>0</v>
      </c>
      <c r="N1373" s="50">
        <f>SUMIFS(INDEX(Техника!$F$1:$ABM$500,N$2,0),Техника!$F$4:$ABM$4,"Часы",INDEX(Техника!$G$1:$ABN$500,N$2,0),$A$1369,INDEX(Техника!$H$1:$ABO$500,N$2,0),"Л")</f>
        <v>0</v>
      </c>
      <c r="O1373" s="50">
        <f>SUMIFS(INDEX(Техника!$F$1:$ABM$500,O$2,0),Техника!$F$4:$ABM$4,"Часы",INDEX(Техника!$G$1:$ABN$500,O$2,0),$A$1369,INDEX(Техника!$H$1:$ABO$500,O$2,0),"Л")</f>
        <v>0</v>
      </c>
      <c r="P1373" s="50">
        <f>SUMIFS(INDEX(Техника!$F$1:$ABM$500,P$2,0),Техника!$F$4:$ABM$4,"Часы",INDEX(Техника!$G$1:$ABN$500,P$2,0),$A$1369,INDEX(Техника!$H$1:$ABO$500,P$2,0),"Л")</f>
        <v>0</v>
      </c>
      <c r="Q1373" s="50">
        <f>SUMIFS(INDEX(Техника!$F$1:$ABM$500,Q$2,0),Техника!$F$4:$ABM$4,"Часы",INDEX(Техника!$G$1:$ABN$500,Q$2,0),$A$1369,INDEX(Техника!$H$1:$ABO$500,Q$2,0),"Л")</f>
        <v>0</v>
      </c>
      <c r="R1373" s="50">
        <f>SUMIFS(INDEX(Техника!$F$1:$ABM$500,R$2,0),Техника!$F$4:$ABM$4,"Часы",INDEX(Техника!$G$1:$ABN$500,R$2,0),$A$1369,INDEX(Техника!$H$1:$ABO$500,R$2,0),"Л")</f>
        <v>0</v>
      </c>
      <c r="S1373" s="50">
        <f>SUMIFS(INDEX(Техника!$F$1:$ABM$500,S$2,0),Техника!$F$4:$ABM$4,"Часы",INDEX(Техника!$G$1:$ABN$500,S$2,0),$A$1369,INDEX(Техника!$H$1:$ABO$500,S$2,0),"Л")</f>
        <v>0</v>
      </c>
      <c r="T1373" s="50">
        <f>SUMIFS(INDEX(Техника!$F$1:$ABM$500,T$2,0),Техника!$F$4:$ABM$4,"Часы",INDEX(Техника!$G$1:$ABN$500,T$2,0),$A$1369,INDEX(Техника!$H$1:$ABO$500,T$2,0),"Л")</f>
        <v>0</v>
      </c>
      <c r="U1373" s="50">
        <f>SUMIFS(INDEX(Техника!$F$1:$ABM$500,U$2,0),Техника!$F$4:$ABM$4,"Часы",INDEX(Техника!$G$1:$ABN$500,U$2,0),$A$1369,INDEX(Техника!$H$1:$ABO$500,U$2,0),"Л")</f>
        <v>0</v>
      </c>
      <c r="V1373" s="50">
        <f>SUMIFS(INDEX(Техника!$F$1:$ABM$500,V$2,0),Техника!$F$4:$ABM$4,"Часы",INDEX(Техника!$G$1:$ABN$500,V$2,0),$A$1369,INDEX(Техника!$H$1:$ABO$500,V$2,0),"Л")</f>
        <v>0</v>
      </c>
      <c r="W1373" s="50">
        <f>SUMIFS(INDEX(Техника!$F$1:$ABM$500,W$2,0),Техника!$F$4:$ABM$4,"Часы",INDEX(Техника!$G$1:$ABN$500,W$2,0),$A$1369,INDEX(Техника!$H$1:$ABO$500,W$2,0),"Л")</f>
        <v>0</v>
      </c>
      <c r="X1373" s="50">
        <f>SUMIFS(INDEX(Техника!$F$1:$ABM$500,X$2,0),Техника!$F$4:$ABM$4,"Часы",INDEX(Техника!$G$1:$ABN$500,X$2,0),$A$1369,INDEX(Техника!$H$1:$ABO$500,X$2,0),"Л")</f>
        <v>0</v>
      </c>
      <c r="Y1373" s="50">
        <f>SUMIFS(INDEX(Техника!$F$1:$ABM$500,Y$2,0),Техника!$F$4:$ABM$4,"Часы",INDEX(Техника!$G$1:$ABN$500,Y$2,0),$A$1369,INDEX(Техника!$H$1:$ABO$500,Y$2,0),"Л")</f>
        <v>0</v>
      </c>
      <c r="Z1373" s="50">
        <f>SUMIFS(INDEX(Техника!$F$1:$ABM$500,Z$2,0),Техника!$F$4:$ABM$4,"Часы",INDEX(Техника!$G$1:$ABN$500,Z$2,0),$A$1369,INDEX(Техника!$H$1:$ABO$500,Z$2,0),"Л")</f>
        <v>0</v>
      </c>
      <c r="AA1373" s="50">
        <f>SUMIFS(INDEX(Техника!$F$1:$ABM$500,AA$2,0),Техника!$F$4:$ABM$4,"Часы",INDEX(Техника!$G$1:$ABN$500,AA$2,0),$A$1369,INDEX(Техника!$H$1:$ABO$500,AA$2,0),"Л")</f>
        <v>0</v>
      </c>
      <c r="AB1373" s="50">
        <f>SUMIFS(INDEX(Техника!$F$1:$ABM$500,AB$2,0),Техника!$F$4:$ABM$4,"Часы",INDEX(Техника!$G$1:$ABN$500,AB$2,0),$A$1369,INDEX(Техника!$H$1:$ABO$500,AB$2,0),"Л")</f>
        <v>0</v>
      </c>
    </row>
    <row r="1374" spans="1:28" hidden="1" outlineLevel="1" x14ac:dyDescent="0.3">
      <c r="A1374" s="33" t="s">
        <v>245</v>
      </c>
      <c r="B1374" s="34" t="s">
        <v>279</v>
      </c>
      <c r="C1374" s="50">
        <f>SUMIFS(INDEX(Техника!$F$1:$ABM$500,C$2,0),Техника!$F$4:$ABM$4,"Часы",INDEX(Техника!$G$1:$ABN$500,C$2,0),$A$1369,INDEX(Техника!$H$1:$ABO$500,C$2,0),"З")</f>
        <v>0</v>
      </c>
      <c r="D1374" s="50">
        <f>SUMIFS(INDEX(Техника!$F$1:$ABM$500,D$2,0),Техника!$F$4:$ABM$4,"Часы",INDEX(Техника!$G$1:$ABN$500,D$2,0),$A$1369,INDEX(Техника!$H$1:$ABO$500,D$2,0),"З")</f>
        <v>0</v>
      </c>
      <c r="E1374" s="50">
        <f>SUMIFS(INDEX(Техника!$F$1:$ABM$500,E$2,0),Техника!$F$4:$ABM$4,"Часы",INDEX(Техника!$G$1:$ABN$500,E$2,0),$A$1369,INDEX(Техника!$H$1:$ABO$500,E$2,0),"З")</f>
        <v>0</v>
      </c>
      <c r="F1374" s="50">
        <f>SUMIFS(INDEX(Техника!$F$1:$ABM$500,F$2,0),Техника!$F$4:$ABM$4,"Часы",INDEX(Техника!$G$1:$ABN$500,F$2,0),$A$1369,INDEX(Техника!$H$1:$ABO$500,F$2,0),"З")</f>
        <v>0</v>
      </c>
      <c r="G1374" s="50">
        <f>SUMIFS(INDEX(Техника!$F$1:$ABM$500,G$2,0),Техника!$F$4:$ABM$4,"Часы",INDEX(Техника!$G$1:$ABN$500,G$2,0),$A$1369,INDEX(Техника!$H$1:$ABO$500,G$2,0),"З")</f>
        <v>0</v>
      </c>
      <c r="H1374" s="50">
        <f>SUMIFS(INDEX(Техника!$F$1:$ABM$500,H$2,0),Техника!$F$4:$ABM$4,"Часы",INDEX(Техника!$G$1:$ABN$500,H$2,0),$A$1369,INDEX(Техника!$H$1:$ABO$500,H$2,0),"З")</f>
        <v>0</v>
      </c>
      <c r="I1374" s="50">
        <f>SUMIFS(INDEX(Техника!$F$1:$ABM$500,I$2,0),Техника!$F$4:$ABM$4,"Часы",INDEX(Техника!$G$1:$ABN$500,I$2,0),$A$1369,INDEX(Техника!$H$1:$ABO$500,I$2,0),"З")</f>
        <v>0</v>
      </c>
      <c r="J1374" s="50">
        <f>SUMIFS(INDEX(Техника!$F$1:$ABM$500,J$2,0),Техника!$F$4:$ABM$4,"Часы",INDEX(Техника!$G$1:$ABN$500,J$2,0),$A$1369,INDEX(Техника!$H$1:$ABO$500,J$2,0),"З")</f>
        <v>0</v>
      </c>
      <c r="K1374" s="50">
        <f>SUMIFS(INDEX(Техника!$F$1:$ABM$500,K$2,0),Техника!$F$4:$ABM$4,"Часы",INDEX(Техника!$G$1:$ABN$500,K$2,0),$A$1369,INDEX(Техника!$H$1:$ABO$500,K$2,0),"З")</f>
        <v>0</v>
      </c>
      <c r="L1374" s="50">
        <f>SUMIFS(INDEX(Техника!$F$1:$ABM$500,L$2,0),Техника!$F$4:$ABM$4,"Часы",INDEX(Техника!$G$1:$ABN$500,L$2,0),$A$1369,INDEX(Техника!$H$1:$ABO$500,L$2,0),"З")</f>
        <v>0</v>
      </c>
      <c r="M1374" s="50">
        <f>SUMIFS(INDEX(Техника!$F$1:$ABM$500,M$2,0),Техника!$F$4:$ABM$4,"Часы",INDEX(Техника!$G$1:$ABN$500,M$2,0),$A$1369,INDEX(Техника!$H$1:$ABO$500,M$2,0),"З")</f>
        <v>0</v>
      </c>
      <c r="N1374" s="50">
        <f>SUMIFS(INDEX(Техника!$F$1:$ABM$500,N$2,0),Техника!$F$4:$ABM$4,"Часы",INDEX(Техника!$G$1:$ABN$500,N$2,0),$A$1369,INDEX(Техника!$H$1:$ABO$500,N$2,0),"З")</f>
        <v>0</v>
      </c>
      <c r="O1374" s="50">
        <f>SUMIFS(INDEX(Техника!$F$1:$ABM$500,O$2,0),Техника!$F$4:$ABM$4,"Часы",INDEX(Техника!$G$1:$ABN$500,O$2,0),$A$1369,INDEX(Техника!$H$1:$ABO$500,O$2,0),"З")</f>
        <v>0</v>
      </c>
      <c r="P1374" s="50">
        <f>SUMIFS(INDEX(Техника!$F$1:$ABM$500,P$2,0),Техника!$F$4:$ABM$4,"Часы",INDEX(Техника!$G$1:$ABN$500,P$2,0),$A$1369,INDEX(Техника!$H$1:$ABO$500,P$2,0),"З")</f>
        <v>0</v>
      </c>
      <c r="Q1374" s="50">
        <f>SUMIFS(INDEX(Техника!$F$1:$ABM$500,Q$2,0),Техника!$F$4:$ABM$4,"Часы",INDEX(Техника!$G$1:$ABN$500,Q$2,0),$A$1369,INDEX(Техника!$H$1:$ABO$500,Q$2,0),"З")</f>
        <v>0</v>
      </c>
      <c r="R1374" s="50">
        <f>SUMIFS(INDEX(Техника!$F$1:$ABM$500,R$2,0),Техника!$F$4:$ABM$4,"Часы",INDEX(Техника!$G$1:$ABN$500,R$2,0),$A$1369,INDEX(Техника!$H$1:$ABO$500,R$2,0),"З")</f>
        <v>0</v>
      </c>
      <c r="S1374" s="50">
        <f>SUMIFS(INDEX(Техника!$F$1:$ABM$500,S$2,0),Техника!$F$4:$ABM$4,"Часы",INDEX(Техника!$G$1:$ABN$500,S$2,0),$A$1369,INDEX(Техника!$H$1:$ABO$500,S$2,0),"З")</f>
        <v>0</v>
      </c>
      <c r="T1374" s="50">
        <f>SUMIFS(INDEX(Техника!$F$1:$ABM$500,T$2,0),Техника!$F$4:$ABM$4,"Часы",INDEX(Техника!$G$1:$ABN$500,T$2,0),$A$1369,INDEX(Техника!$H$1:$ABO$500,T$2,0),"З")</f>
        <v>0</v>
      </c>
      <c r="U1374" s="50">
        <f>SUMIFS(INDEX(Техника!$F$1:$ABM$500,U$2,0),Техника!$F$4:$ABM$4,"Часы",INDEX(Техника!$G$1:$ABN$500,U$2,0),$A$1369,INDEX(Техника!$H$1:$ABO$500,U$2,0),"З")</f>
        <v>0</v>
      </c>
      <c r="V1374" s="50">
        <f>SUMIFS(INDEX(Техника!$F$1:$ABM$500,V$2,0),Техника!$F$4:$ABM$4,"Часы",INDEX(Техника!$G$1:$ABN$500,V$2,0),$A$1369,INDEX(Техника!$H$1:$ABO$500,V$2,0),"З")</f>
        <v>0</v>
      </c>
      <c r="W1374" s="50">
        <f>SUMIFS(INDEX(Техника!$F$1:$ABM$500,W$2,0),Техника!$F$4:$ABM$4,"Часы",INDEX(Техника!$G$1:$ABN$500,W$2,0),$A$1369,INDEX(Техника!$H$1:$ABO$500,W$2,0),"З")</f>
        <v>0</v>
      </c>
      <c r="X1374" s="50">
        <f>SUMIFS(INDEX(Техника!$F$1:$ABM$500,X$2,0),Техника!$F$4:$ABM$4,"Часы",INDEX(Техника!$G$1:$ABN$500,X$2,0),$A$1369,INDEX(Техника!$H$1:$ABO$500,X$2,0),"З")</f>
        <v>0</v>
      </c>
      <c r="Y1374" s="50">
        <f>SUMIFS(INDEX(Техника!$F$1:$ABM$500,Y$2,0),Техника!$F$4:$ABM$4,"Часы",INDEX(Техника!$G$1:$ABN$500,Y$2,0),$A$1369,INDEX(Техника!$H$1:$ABO$500,Y$2,0),"З")</f>
        <v>0</v>
      </c>
      <c r="Z1374" s="50">
        <f>SUMIFS(INDEX(Техника!$F$1:$ABM$500,Z$2,0),Техника!$F$4:$ABM$4,"Часы",INDEX(Техника!$G$1:$ABN$500,Z$2,0),$A$1369,INDEX(Техника!$H$1:$ABO$500,Z$2,0),"З")</f>
        <v>0</v>
      </c>
      <c r="AA1374" s="50">
        <f>SUMIFS(INDEX(Техника!$F$1:$ABM$500,AA$2,0),Техника!$F$4:$ABM$4,"Часы",INDEX(Техника!$G$1:$ABN$500,AA$2,0),$A$1369,INDEX(Техника!$H$1:$ABO$500,AA$2,0),"З")</f>
        <v>0</v>
      </c>
      <c r="AB1374" s="50">
        <f>SUMIFS(INDEX(Техника!$F$1:$ABM$500,AB$2,0),Техника!$F$4:$ABM$4,"Часы",INDEX(Техника!$G$1:$ABN$500,AB$2,0),$A$1369,INDEX(Техника!$H$1:$ABO$500,AB$2,0),"З")</f>
        <v>0</v>
      </c>
    </row>
    <row r="1375" spans="1:28" ht="7.95" customHeight="1" x14ac:dyDescent="0.3">
      <c r="A1375" s="38"/>
      <c r="B1375" s="39"/>
      <c r="C1375" s="51"/>
      <c r="D1375" s="51"/>
      <c r="E1375" s="51"/>
      <c r="F1375" s="51"/>
      <c r="G1375" s="51"/>
      <c r="H1375" s="51"/>
      <c r="I1375" s="51"/>
      <c r="J1375" s="51"/>
      <c r="K1375" s="51"/>
      <c r="L1375" s="51"/>
      <c r="M1375" s="51"/>
      <c r="N1375" s="51"/>
      <c r="O1375" s="51"/>
      <c r="P1375" s="51"/>
      <c r="Q1375" s="51"/>
      <c r="R1375" s="51"/>
      <c r="S1375" s="51"/>
      <c r="T1375" s="51"/>
      <c r="U1375" s="51"/>
      <c r="V1375" s="51"/>
      <c r="W1375" s="51"/>
      <c r="X1375" s="51"/>
      <c r="Y1375" s="51"/>
      <c r="Z1375" s="51"/>
      <c r="AA1375" s="51"/>
      <c r="AB1375" s="51"/>
    </row>
    <row r="1376" spans="1:28" ht="25.05" customHeight="1" collapsed="1" x14ac:dyDescent="0.3">
      <c r="A1376" s="32">
        <v>197</v>
      </c>
      <c r="B1376" s="32" t="s">
        <v>198</v>
      </c>
      <c r="C1376" s="49">
        <f>SUM(C1377:C1381)</f>
        <v>0</v>
      </c>
      <c r="D1376" s="49">
        <f>SUM(D1377:D1381)</f>
        <v>0</v>
      </c>
      <c r="E1376" s="49">
        <f>SUM(E1377:E1381)</f>
        <v>0</v>
      </c>
      <c r="F1376" s="49">
        <f>SUM(F1377:F1381)</f>
        <v>0</v>
      </c>
      <c r="G1376" s="49">
        <f>SUM(G1377:G1381)</f>
        <v>0</v>
      </c>
      <c r="H1376" s="49">
        <f>SUM(H1377:H1381)</f>
        <v>0</v>
      </c>
      <c r="I1376" s="49">
        <f>SUM(I1377:I1381)</f>
        <v>0</v>
      </c>
      <c r="J1376" s="49">
        <f>SUM(J1377:J1381)</f>
        <v>0</v>
      </c>
      <c r="K1376" s="49">
        <f>SUM(K1377:K1381)</f>
        <v>0</v>
      </c>
      <c r="L1376" s="49">
        <f>SUM(L1377:L1381)</f>
        <v>0</v>
      </c>
      <c r="M1376" s="49">
        <f>SUM(M1377:M1381)</f>
        <v>0</v>
      </c>
      <c r="N1376" s="49">
        <f>SUM(N1377:N1381)</f>
        <v>0</v>
      </c>
      <c r="O1376" s="49">
        <f>SUM(O1377:O1381)</f>
        <v>0</v>
      </c>
      <c r="P1376" s="49">
        <f>SUM(P1377:P1381)</f>
        <v>0</v>
      </c>
      <c r="Q1376" s="49">
        <f>SUM(Q1377:Q1381)</f>
        <v>0</v>
      </c>
      <c r="R1376" s="49">
        <f>SUM(R1377:R1381)</f>
        <v>0</v>
      </c>
      <c r="S1376" s="49">
        <f>SUM(S1377:S1381)</f>
        <v>0</v>
      </c>
      <c r="T1376" s="49">
        <f>SUM(T1377:T1381)</f>
        <v>0</v>
      </c>
      <c r="U1376" s="49">
        <f>SUM(U1377:U1381)</f>
        <v>0</v>
      </c>
      <c r="V1376" s="49">
        <f>SUM(V1377:V1381)</f>
        <v>0</v>
      </c>
      <c r="W1376" s="49">
        <f>SUM(W1377:W1381)</f>
        <v>0</v>
      </c>
      <c r="X1376" s="49">
        <f>SUM(X1377:X1381)</f>
        <v>0</v>
      </c>
      <c r="Y1376" s="49">
        <f>SUM(Y1377:Y1381)</f>
        <v>0</v>
      </c>
      <c r="Z1376" s="49">
        <f>SUM(Z1377:Z1381)</f>
        <v>0</v>
      </c>
      <c r="AA1376" s="49">
        <f>SUM(AA1377:AA1381)</f>
        <v>0</v>
      </c>
      <c r="AB1376" s="49">
        <f>SUM(AB1377:AB1381)</f>
        <v>0</v>
      </c>
    </row>
    <row r="1377" spans="1:28" hidden="1" outlineLevel="1" x14ac:dyDescent="0.3">
      <c r="A1377" s="33" t="s">
        <v>246</v>
      </c>
      <c r="B1377" s="34" t="s">
        <v>274</v>
      </c>
      <c r="C1377" s="50">
        <f>SUMIFS(INDEX(Техника!$F$1:$ABM$500,C$2,0),Техника!$F$4:$ABM$4,"Часы",INDEX(Техника!$G$1:$ABN$500,C$2,0),$A$1376,INDEX(Техника!$H$1:$ABO$500,C$2,0),"М")</f>
        <v>0</v>
      </c>
      <c r="D1377" s="50">
        <f>SUMIFS(INDEX(Техника!$F$1:$ABM$500,D$2,0),Техника!$F$4:$ABM$4,"Часы",INDEX(Техника!$G$1:$ABN$500,D$2,0),$A$1376,INDEX(Техника!$H$1:$ABO$500,D$2,0),"М")</f>
        <v>0</v>
      </c>
      <c r="E1377" s="50">
        <f>SUMIFS(INDEX(Техника!$F$1:$ABM$500,E$2,0),Техника!$F$4:$ABM$4,"Часы",INDEX(Техника!$G$1:$ABN$500,E$2,0),$A$1376,INDEX(Техника!$H$1:$ABO$500,E$2,0),"М")</f>
        <v>0</v>
      </c>
      <c r="F1377" s="50">
        <f>SUMIFS(INDEX(Техника!$F$1:$ABM$500,F$2,0),Техника!$F$4:$ABM$4,"Часы",INDEX(Техника!$G$1:$ABN$500,F$2,0),$A$1376,INDEX(Техника!$H$1:$ABO$500,F$2,0),"М")</f>
        <v>0</v>
      </c>
      <c r="G1377" s="50">
        <f>SUMIFS(INDEX(Техника!$F$1:$ABM$500,G$2,0),Техника!$F$4:$ABM$4,"Часы",INDEX(Техника!$G$1:$ABN$500,G$2,0),$A$1376,INDEX(Техника!$H$1:$ABO$500,G$2,0),"М")</f>
        <v>0</v>
      </c>
      <c r="H1377" s="50">
        <f>SUMIFS(INDEX(Техника!$F$1:$ABM$500,H$2,0),Техника!$F$4:$ABM$4,"Часы",INDEX(Техника!$G$1:$ABN$500,H$2,0),$A$1376,INDEX(Техника!$H$1:$ABO$500,H$2,0),"М")</f>
        <v>0</v>
      </c>
      <c r="I1377" s="50">
        <f>SUMIFS(INDEX(Техника!$F$1:$ABM$500,I$2,0),Техника!$F$4:$ABM$4,"Часы",INDEX(Техника!$G$1:$ABN$500,I$2,0),$A$1376,INDEX(Техника!$H$1:$ABO$500,I$2,0),"М")</f>
        <v>0</v>
      </c>
      <c r="J1377" s="50">
        <f>SUMIFS(INDEX(Техника!$F$1:$ABM$500,J$2,0),Техника!$F$4:$ABM$4,"Часы",INDEX(Техника!$G$1:$ABN$500,J$2,0),$A$1376,INDEX(Техника!$H$1:$ABO$500,J$2,0),"М")</f>
        <v>0</v>
      </c>
      <c r="K1377" s="50">
        <f>SUMIFS(INDEX(Техника!$F$1:$ABM$500,K$2,0),Техника!$F$4:$ABM$4,"Часы",INDEX(Техника!$G$1:$ABN$500,K$2,0),$A$1376,INDEX(Техника!$H$1:$ABO$500,K$2,0),"М")</f>
        <v>0</v>
      </c>
      <c r="L1377" s="50">
        <f>SUMIFS(INDEX(Техника!$F$1:$ABM$500,L$2,0),Техника!$F$4:$ABM$4,"Часы",INDEX(Техника!$G$1:$ABN$500,L$2,0),$A$1376,INDEX(Техника!$H$1:$ABO$500,L$2,0),"М")</f>
        <v>0</v>
      </c>
      <c r="M1377" s="50">
        <f>SUMIFS(INDEX(Техника!$F$1:$ABM$500,M$2,0),Техника!$F$4:$ABM$4,"Часы",INDEX(Техника!$G$1:$ABN$500,M$2,0),$A$1376,INDEX(Техника!$H$1:$ABO$500,M$2,0),"М")</f>
        <v>0</v>
      </c>
      <c r="N1377" s="50">
        <f>SUMIFS(INDEX(Техника!$F$1:$ABM$500,N$2,0),Техника!$F$4:$ABM$4,"Часы",INDEX(Техника!$G$1:$ABN$500,N$2,0),$A$1376,INDEX(Техника!$H$1:$ABO$500,N$2,0),"М")</f>
        <v>0</v>
      </c>
      <c r="O1377" s="50">
        <f>SUMIFS(INDEX(Техника!$F$1:$ABM$500,O$2,0),Техника!$F$4:$ABM$4,"Часы",INDEX(Техника!$G$1:$ABN$500,O$2,0),$A$1376,INDEX(Техника!$H$1:$ABO$500,O$2,0),"М")</f>
        <v>0</v>
      </c>
      <c r="P1377" s="50">
        <f>SUMIFS(INDEX(Техника!$F$1:$ABM$500,P$2,0),Техника!$F$4:$ABM$4,"Часы",INDEX(Техника!$G$1:$ABN$500,P$2,0),$A$1376,INDEX(Техника!$H$1:$ABO$500,P$2,0),"М")</f>
        <v>0</v>
      </c>
      <c r="Q1377" s="50">
        <f>SUMIFS(INDEX(Техника!$F$1:$ABM$500,Q$2,0),Техника!$F$4:$ABM$4,"Часы",INDEX(Техника!$G$1:$ABN$500,Q$2,0),$A$1376,INDEX(Техника!$H$1:$ABO$500,Q$2,0),"М")</f>
        <v>0</v>
      </c>
      <c r="R1377" s="50">
        <f>SUMIFS(INDEX(Техника!$F$1:$ABM$500,R$2,0),Техника!$F$4:$ABM$4,"Часы",INDEX(Техника!$G$1:$ABN$500,R$2,0),$A$1376,INDEX(Техника!$H$1:$ABO$500,R$2,0),"М")</f>
        <v>0</v>
      </c>
      <c r="S1377" s="50">
        <f>SUMIFS(INDEX(Техника!$F$1:$ABM$500,S$2,0),Техника!$F$4:$ABM$4,"Часы",INDEX(Техника!$G$1:$ABN$500,S$2,0),$A$1376,INDEX(Техника!$H$1:$ABO$500,S$2,0),"М")</f>
        <v>0</v>
      </c>
      <c r="T1377" s="50">
        <f>SUMIFS(INDEX(Техника!$F$1:$ABM$500,T$2,0),Техника!$F$4:$ABM$4,"Часы",INDEX(Техника!$G$1:$ABN$500,T$2,0),$A$1376,INDEX(Техника!$H$1:$ABO$500,T$2,0),"М")</f>
        <v>0</v>
      </c>
      <c r="U1377" s="50">
        <f>SUMIFS(INDEX(Техника!$F$1:$ABM$500,U$2,0),Техника!$F$4:$ABM$4,"Часы",INDEX(Техника!$G$1:$ABN$500,U$2,0),$A$1376,INDEX(Техника!$H$1:$ABO$500,U$2,0),"М")</f>
        <v>0</v>
      </c>
      <c r="V1377" s="50">
        <f>SUMIFS(INDEX(Техника!$F$1:$ABM$500,V$2,0),Техника!$F$4:$ABM$4,"Часы",INDEX(Техника!$G$1:$ABN$500,V$2,0),$A$1376,INDEX(Техника!$H$1:$ABO$500,V$2,0),"М")</f>
        <v>0</v>
      </c>
      <c r="W1377" s="50">
        <f>SUMIFS(INDEX(Техника!$F$1:$ABM$500,W$2,0),Техника!$F$4:$ABM$4,"Часы",INDEX(Техника!$G$1:$ABN$500,W$2,0),$A$1376,INDEX(Техника!$H$1:$ABO$500,W$2,0),"М")</f>
        <v>0</v>
      </c>
      <c r="X1377" s="50">
        <f>SUMIFS(INDEX(Техника!$F$1:$ABM$500,X$2,0),Техника!$F$4:$ABM$4,"Часы",INDEX(Техника!$G$1:$ABN$500,X$2,0),$A$1376,INDEX(Техника!$H$1:$ABO$500,X$2,0),"М")</f>
        <v>0</v>
      </c>
      <c r="Y1377" s="50">
        <f>SUMIFS(INDEX(Техника!$F$1:$ABM$500,Y$2,0),Техника!$F$4:$ABM$4,"Часы",INDEX(Техника!$G$1:$ABN$500,Y$2,0),$A$1376,INDEX(Техника!$H$1:$ABO$500,Y$2,0),"М")</f>
        <v>0</v>
      </c>
      <c r="Z1377" s="50">
        <f>SUMIFS(INDEX(Техника!$F$1:$ABM$500,Z$2,0),Техника!$F$4:$ABM$4,"Часы",INDEX(Техника!$G$1:$ABN$500,Z$2,0),$A$1376,INDEX(Техника!$H$1:$ABO$500,Z$2,0),"М")</f>
        <v>0</v>
      </c>
      <c r="AA1377" s="50">
        <f>SUMIFS(INDEX(Техника!$F$1:$ABM$500,AA$2,0),Техника!$F$4:$ABM$4,"Часы",INDEX(Техника!$G$1:$ABN$500,AA$2,0),$A$1376,INDEX(Техника!$H$1:$ABO$500,AA$2,0),"М")</f>
        <v>0</v>
      </c>
      <c r="AB1377" s="50">
        <f>SUMIFS(INDEX(Техника!$F$1:$ABM$500,AB$2,0),Техника!$F$4:$ABM$4,"Часы",INDEX(Техника!$G$1:$ABN$500,AB$2,0),$A$1376,INDEX(Техника!$H$1:$ABO$500,AB$2,0),"М")</f>
        <v>0</v>
      </c>
    </row>
    <row r="1378" spans="1:28" hidden="1" outlineLevel="1" x14ac:dyDescent="0.3">
      <c r="A1378" s="33" t="s">
        <v>244</v>
      </c>
      <c r="B1378" s="34" t="s">
        <v>275</v>
      </c>
      <c r="C1378" s="50">
        <f>SUMIFS(INDEX(Техника!$F$1:$ABM$500,C$2,0),Техника!$F$4:$ABM$4,"Часы",INDEX(Техника!$G$1:$ABN$500,C$2,0),$A$1376,INDEX(Техника!$H$1:$ABO$500,C$2,0),"Д")</f>
        <v>0</v>
      </c>
      <c r="D1378" s="50">
        <f>SUMIFS(INDEX(Техника!$F$1:$ABM$500,D$2,0),Техника!$F$4:$ABM$4,"Часы",INDEX(Техника!$G$1:$ABN$500,D$2,0),$A$1376,INDEX(Техника!$H$1:$ABO$500,D$2,0),"Д")</f>
        <v>0</v>
      </c>
      <c r="E1378" s="50">
        <f>SUMIFS(INDEX(Техника!$F$1:$ABM$500,E$2,0),Техника!$F$4:$ABM$4,"Часы",INDEX(Техника!$G$1:$ABN$500,E$2,0),$A$1376,INDEX(Техника!$H$1:$ABO$500,E$2,0),"Д")</f>
        <v>0</v>
      </c>
      <c r="F1378" s="50">
        <f>SUMIFS(INDEX(Техника!$F$1:$ABM$500,F$2,0),Техника!$F$4:$ABM$4,"Часы",INDEX(Техника!$G$1:$ABN$500,F$2,0),$A$1376,INDEX(Техника!$H$1:$ABO$500,F$2,0),"Д")</f>
        <v>0</v>
      </c>
      <c r="G1378" s="50">
        <f>SUMIFS(INDEX(Техника!$F$1:$ABM$500,G$2,0),Техника!$F$4:$ABM$4,"Часы",INDEX(Техника!$G$1:$ABN$500,G$2,0),$A$1376,INDEX(Техника!$H$1:$ABO$500,G$2,0),"Д")</f>
        <v>0</v>
      </c>
      <c r="H1378" s="50">
        <f>SUMIFS(INDEX(Техника!$F$1:$ABM$500,H$2,0),Техника!$F$4:$ABM$4,"Часы",INDEX(Техника!$G$1:$ABN$500,H$2,0),$A$1376,INDEX(Техника!$H$1:$ABO$500,H$2,0),"Д")</f>
        <v>0</v>
      </c>
      <c r="I1378" s="50">
        <f>SUMIFS(INDEX(Техника!$F$1:$ABM$500,I$2,0),Техника!$F$4:$ABM$4,"Часы",INDEX(Техника!$G$1:$ABN$500,I$2,0),$A$1376,INDEX(Техника!$H$1:$ABO$500,I$2,0),"Д")</f>
        <v>0</v>
      </c>
      <c r="J1378" s="50">
        <f>SUMIFS(INDEX(Техника!$F$1:$ABM$500,J$2,0),Техника!$F$4:$ABM$4,"Часы",INDEX(Техника!$G$1:$ABN$500,J$2,0),$A$1376,INDEX(Техника!$H$1:$ABO$500,J$2,0),"Д")</f>
        <v>0</v>
      </c>
      <c r="K1378" s="50">
        <f>SUMIFS(INDEX(Техника!$F$1:$ABM$500,K$2,0),Техника!$F$4:$ABM$4,"Часы",INDEX(Техника!$G$1:$ABN$500,K$2,0),$A$1376,INDEX(Техника!$H$1:$ABO$500,K$2,0),"Д")</f>
        <v>0</v>
      </c>
      <c r="L1378" s="50">
        <f>SUMIFS(INDEX(Техника!$F$1:$ABM$500,L$2,0),Техника!$F$4:$ABM$4,"Часы",INDEX(Техника!$G$1:$ABN$500,L$2,0),$A$1376,INDEX(Техника!$H$1:$ABO$500,L$2,0),"Д")</f>
        <v>0</v>
      </c>
      <c r="M1378" s="50">
        <f>SUMIFS(INDEX(Техника!$F$1:$ABM$500,M$2,0),Техника!$F$4:$ABM$4,"Часы",INDEX(Техника!$G$1:$ABN$500,M$2,0),$A$1376,INDEX(Техника!$H$1:$ABO$500,M$2,0),"Д")</f>
        <v>0</v>
      </c>
      <c r="N1378" s="50">
        <f>SUMIFS(INDEX(Техника!$F$1:$ABM$500,N$2,0),Техника!$F$4:$ABM$4,"Часы",INDEX(Техника!$G$1:$ABN$500,N$2,0),$A$1376,INDEX(Техника!$H$1:$ABO$500,N$2,0),"Д")</f>
        <v>0</v>
      </c>
      <c r="O1378" s="50">
        <f>SUMIFS(INDEX(Техника!$F$1:$ABM$500,O$2,0),Техника!$F$4:$ABM$4,"Часы",INDEX(Техника!$G$1:$ABN$500,O$2,0),$A$1376,INDEX(Техника!$H$1:$ABO$500,O$2,0),"Д")</f>
        <v>0</v>
      </c>
      <c r="P1378" s="50">
        <f>SUMIFS(INDEX(Техника!$F$1:$ABM$500,P$2,0),Техника!$F$4:$ABM$4,"Часы",INDEX(Техника!$G$1:$ABN$500,P$2,0),$A$1376,INDEX(Техника!$H$1:$ABO$500,P$2,0),"Д")</f>
        <v>0</v>
      </c>
      <c r="Q1378" s="50">
        <f>SUMIFS(INDEX(Техника!$F$1:$ABM$500,Q$2,0),Техника!$F$4:$ABM$4,"Часы",INDEX(Техника!$G$1:$ABN$500,Q$2,0),$A$1376,INDEX(Техника!$H$1:$ABO$500,Q$2,0),"Д")</f>
        <v>0</v>
      </c>
      <c r="R1378" s="50">
        <f>SUMIFS(INDEX(Техника!$F$1:$ABM$500,R$2,0),Техника!$F$4:$ABM$4,"Часы",INDEX(Техника!$G$1:$ABN$500,R$2,0),$A$1376,INDEX(Техника!$H$1:$ABO$500,R$2,0),"Д")</f>
        <v>0</v>
      </c>
      <c r="S1378" s="50">
        <f>SUMIFS(INDEX(Техника!$F$1:$ABM$500,S$2,0),Техника!$F$4:$ABM$4,"Часы",INDEX(Техника!$G$1:$ABN$500,S$2,0),$A$1376,INDEX(Техника!$H$1:$ABO$500,S$2,0),"Д")</f>
        <v>0</v>
      </c>
      <c r="T1378" s="50">
        <f>SUMIFS(INDEX(Техника!$F$1:$ABM$500,T$2,0),Техника!$F$4:$ABM$4,"Часы",INDEX(Техника!$G$1:$ABN$500,T$2,0),$A$1376,INDEX(Техника!$H$1:$ABO$500,T$2,0),"Д")</f>
        <v>0</v>
      </c>
      <c r="U1378" s="50">
        <f>SUMIFS(INDEX(Техника!$F$1:$ABM$500,U$2,0),Техника!$F$4:$ABM$4,"Часы",INDEX(Техника!$G$1:$ABN$500,U$2,0),$A$1376,INDEX(Техника!$H$1:$ABO$500,U$2,0),"Д")</f>
        <v>0</v>
      </c>
      <c r="V1378" s="50">
        <f>SUMIFS(INDEX(Техника!$F$1:$ABM$500,V$2,0),Техника!$F$4:$ABM$4,"Часы",INDEX(Техника!$G$1:$ABN$500,V$2,0),$A$1376,INDEX(Техника!$H$1:$ABO$500,V$2,0),"Д")</f>
        <v>0</v>
      </c>
      <c r="W1378" s="50">
        <f>SUMIFS(INDEX(Техника!$F$1:$ABM$500,W$2,0),Техника!$F$4:$ABM$4,"Часы",INDEX(Техника!$G$1:$ABN$500,W$2,0),$A$1376,INDEX(Техника!$H$1:$ABO$500,W$2,0),"Д")</f>
        <v>0</v>
      </c>
      <c r="X1378" s="50">
        <f>SUMIFS(INDEX(Техника!$F$1:$ABM$500,X$2,0),Техника!$F$4:$ABM$4,"Часы",INDEX(Техника!$G$1:$ABN$500,X$2,0),$A$1376,INDEX(Техника!$H$1:$ABO$500,X$2,0),"Д")</f>
        <v>0</v>
      </c>
      <c r="Y1378" s="50">
        <f>SUMIFS(INDEX(Техника!$F$1:$ABM$500,Y$2,0),Техника!$F$4:$ABM$4,"Часы",INDEX(Техника!$G$1:$ABN$500,Y$2,0),$A$1376,INDEX(Техника!$H$1:$ABO$500,Y$2,0),"Д")</f>
        <v>0</v>
      </c>
      <c r="Z1378" s="50">
        <f>SUMIFS(INDEX(Техника!$F$1:$ABM$500,Z$2,0),Техника!$F$4:$ABM$4,"Часы",INDEX(Техника!$G$1:$ABN$500,Z$2,0),$A$1376,INDEX(Техника!$H$1:$ABO$500,Z$2,0),"Д")</f>
        <v>0</v>
      </c>
      <c r="AA1378" s="50">
        <f>SUMIFS(INDEX(Техника!$F$1:$ABM$500,AA$2,0),Техника!$F$4:$ABM$4,"Часы",INDEX(Техника!$G$1:$ABN$500,AA$2,0),$A$1376,INDEX(Техника!$H$1:$ABO$500,AA$2,0),"Д")</f>
        <v>0</v>
      </c>
      <c r="AB1378" s="50">
        <f>SUMIFS(INDEX(Техника!$F$1:$ABM$500,AB$2,0),Техника!$F$4:$ABM$4,"Часы",INDEX(Техника!$G$1:$ABN$500,AB$2,0),$A$1376,INDEX(Техника!$H$1:$ABO$500,AB$2,0),"Д")</f>
        <v>0</v>
      </c>
    </row>
    <row r="1379" spans="1:28" hidden="1" outlineLevel="1" x14ac:dyDescent="0.3">
      <c r="A1379" s="33" t="s">
        <v>276</v>
      </c>
      <c r="B1379" s="34" t="s">
        <v>277</v>
      </c>
      <c r="C1379" s="50">
        <f>SUMIFS(INDEX(Техника!$F$1:$ABM$500,C$2,0),Техника!$F$4:$ABM$4,"Часы",INDEX(Техника!$G$1:$ABN$500,C$2,0),$A$1376,INDEX(Техника!$H$1:$ABO$500,C$2,0),"П")</f>
        <v>0</v>
      </c>
      <c r="D1379" s="50">
        <f>SUMIFS(INDEX(Техника!$F$1:$ABM$500,D$2,0),Техника!$F$4:$ABM$4,"Часы",INDEX(Техника!$G$1:$ABN$500,D$2,0),$A$1376,INDEX(Техника!$H$1:$ABO$500,D$2,0),"П")</f>
        <v>0</v>
      </c>
      <c r="E1379" s="50">
        <f>SUMIFS(INDEX(Техника!$F$1:$ABM$500,E$2,0),Техника!$F$4:$ABM$4,"Часы",INDEX(Техника!$G$1:$ABN$500,E$2,0),$A$1376,INDEX(Техника!$H$1:$ABO$500,E$2,0),"П")</f>
        <v>0</v>
      </c>
      <c r="F1379" s="50">
        <f>SUMIFS(INDEX(Техника!$F$1:$ABM$500,F$2,0),Техника!$F$4:$ABM$4,"Часы",INDEX(Техника!$G$1:$ABN$500,F$2,0),$A$1376,INDEX(Техника!$H$1:$ABO$500,F$2,0),"П")</f>
        <v>0</v>
      </c>
      <c r="G1379" s="50">
        <f>SUMIFS(INDEX(Техника!$F$1:$ABM$500,G$2,0),Техника!$F$4:$ABM$4,"Часы",INDEX(Техника!$G$1:$ABN$500,G$2,0),$A$1376,INDEX(Техника!$H$1:$ABO$500,G$2,0),"П")</f>
        <v>0</v>
      </c>
      <c r="H1379" s="50">
        <f>SUMIFS(INDEX(Техника!$F$1:$ABM$500,H$2,0),Техника!$F$4:$ABM$4,"Часы",INDEX(Техника!$G$1:$ABN$500,H$2,0),$A$1376,INDEX(Техника!$H$1:$ABO$500,H$2,0),"П")</f>
        <v>0</v>
      </c>
      <c r="I1379" s="50">
        <f>SUMIFS(INDEX(Техника!$F$1:$ABM$500,I$2,0),Техника!$F$4:$ABM$4,"Часы",INDEX(Техника!$G$1:$ABN$500,I$2,0),$A$1376,INDEX(Техника!$H$1:$ABO$500,I$2,0),"П")</f>
        <v>0</v>
      </c>
      <c r="J1379" s="50">
        <f>SUMIFS(INDEX(Техника!$F$1:$ABM$500,J$2,0),Техника!$F$4:$ABM$4,"Часы",INDEX(Техника!$G$1:$ABN$500,J$2,0),$A$1376,INDEX(Техника!$H$1:$ABO$500,J$2,0),"П")</f>
        <v>0</v>
      </c>
      <c r="K1379" s="50">
        <f>SUMIFS(INDEX(Техника!$F$1:$ABM$500,K$2,0),Техника!$F$4:$ABM$4,"Часы",INDEX(Техника!$G$1:$ABN$500,K$2,0),$A$1376,INDEX(Техника!$H$1:$ABO$500,K$2,0),"П")</f>
        <v>0</v>
      </c>
      <c r="L1379" s="50">
        <f>SUMIFS(INDEX(Техника!$F$1:$ABM$500,L$2,0),Техника!$F$4:$ABM$4,"Часы",INDEX(Техника!$G$1:$ABN$500,L$2,0),$A$1376,INDEX(Техника!$H$1:$ABO$500,L$2,0),"П")</f>
        <v>0</v>
      </c>
      <c r="M1379" s="50">
        <f>SUMIFS(INDEX(Техника!$F$1:$ABM$500,M$2,0),Техника!$F$4:$ABM$4,"Часы",INDEX(Техника!$G$1:$ABN$500,M$2,0),$A$1376,INDEX(Техника!$H$1:$ABO$500,M$2,0),"П")</f>
        <v>0</v>
      </c>
      <c r="N1379" s="50">
        <f>SUMIFS(INDEX(Техника!$F$1:$ABM$500,N$2,0),Техника!$F$4:$ABM$4,"Часы",INDEX(Техника!$G$1:$ABN$500,N$2,0),$A$1376,INDEX(Техника!$H$1:$ABO$500,N$2,0),"П")</f>
        <v>0</v>
      </c>
      <c r="O1379" s="50">
        <f>SUMIFS(INDEX(Техника!$F$1:$ABM$500,O$2,0),Техника!$F$4:$ABM$4,"Часы",INDEX(Техника!$G$1:$ABN$500,O$2,0),$A$1376,INDEX(Техника!$H$1:$ABO$500,O$2,0),"П")</f>
        <v>0</v>
      </c>
      <c r="P1379" s="50">
        <f>SUMIFS(INDEX(Техника!$F$1:$ABM$500,P$2,0),Техника!$F$4:$ABM$4,"Часы",INDEX(Техника!$G$1:$ABN$500,P$2,0),$A$1376,INDEX(Техника!$H$1:$ABO$500,P$2,0),"П")</f>
        <v>0</v>
      </c>
      <c r="Q1379" s="50">
        <f>SUMIFS(INDEX(Техника!$F$1:$ABM$500,Q$2,0),Техника!$F$4:$ABM$4,"Часы",INDEX(Техника!$G$1:$ABN$500,Q$2,0),$A$1376,INDEX(Техника!$H$1:$ABO$500,Q$2,0),"П")</f>
        <v>0</v>
      </c>
      <c r="R1379" s="50">
        <f>SUMIFS(INDEX(Техника!$F$1:$ABM$500,R$2,0),Техника!$F$4:$ABM$4,"Часы",INDEX(Техника!$G$1:$ABN$500,R$2,0),$A$1376,INDEX(Техника!$H$1:$ABO$500,R$2,0),"П")</f>
        <v>0</v>
      </c>
      <c r="S1379" s="50">
        <f>SUMIFS(INDEX(Техника!$F$1:$ABM$500,S$2,0),Техника!$F$4:$ABM$4,"Часы",INDEX(Техника!$G$1:$ABN$500,S$2,0),$A$1376,INDEX(Техника!$H$1:$ABO$500,S$2,0),"П")</f>
        <v>0</v>
      </c>
      <c r="T1379" s="50">
        <f>SUMIFS(INDEX(Техника!$F$1:$ABM$500,T$2,0),Техника!$F$4:$ABM$4,"Часы",INDEX(Техника!$G$1:$ABN$500,T$2,0),$A$1376,INDEX(Техника!$H$1:$ABO$500,T$2,0),"П")</f>
        <v>0</v>
      </c>
      <c r="U1379" s="50">
        <f>SUMIFS(INDEX(Техника!$F$1:$ABM$500,U$2,0),Техника!$F$4:$ABM$4,"Часы",INDEX(Техника!$G$1:$ABN$500,U$2,0),$A$1376,INDEX(Техника!$H$1:$ABO$500,U$2,0),"П")</f>
        <v>0</v>
      </c>
      <c r="V1379" s="50">
        <f>SUMIFS(INDEX(Техника!$F$1:$ABM$500,V$2,0),Техника!$F$4:$ABM$4,"Часы",INDEX(Техника!$G$1:$ABN$500,V$2,0),$A$1376,INDEX(Техника!$H$1:$ABO$500,V$2,0),"П")</f>
        <v>0</v>
      </c>
      <c r="W1379" s="50">
        <f>SUMIFS(INDEX(Техника!$F$1:$ABM$500,W$2,0),Техника!$F$4:$ABM$4,"Часы",INDEX(Техника!$G$1:$ABN$500,W$2,0),$A$1376,INDEX(Техника!$H$1:$ABO$500,W$2,0),"П")</f>
        <v>0</v>
      </c>
      <c r="X1379" s="50">
        <f>SUMIFS(INDEX(Техника!$F$1:$ABM$500,X$2,0),Техника!$F$4:$ABM$4,"Часы",INDEX(Техника!$G$1:$ABN$500,X$2,0),$A$1376,INDEX(Техника!$H$1:$ABO$500,X$2,0),"П")</f>
        <v>0</v>
      </c>
      <c r="Y1379" s="50">
        <f>SUMIFS(INDEX(Техника!$F$1:$ABM$500,Y$2,0),Техника!$F$4:$ABM$4,"Часы",INDEX(Техника!$G$1:$ABN$500,Y$2,0),$A$1376,INDEX(Техника!$H$1:$ABO$500,Y$2,0),"П")</f>
        <v>0</v>
      </c>
      <c r="Z1379" s="50">
        <f>SUMIFS(INDEX(Техника!$F$1:$ABM$500,Z$2,0),Техника!$F$4:$ABM$4,"Часы",INDEX(Техника!$G$1:$ABN$500,Z$2,0),$A$1376,INDEX(Техника!$H$1:$ABO$500,Z$2,0),"П")</f>
        <v>0</v>
      </c>
      <c r="AA1379" s="50">
        <f>SUMIFS(INDEX(Техника!$F$1:$ABM$500,AA$2,0),Техника!$F$4:$ABM$4,"Часы",INDEX(Техника!$G$1:$ABN$500,AA$2,0),$A$1376,INDEX(Техника!$H$1:$ABO$500,AA$2,0),"П")</f>
        <v>0</v>
      </c>
      <c r="AB1379" s="50">
        <f>SUMIFS(INDEX(Техника!$F$1:$ABM$500,AB$2,0),Техника!$F$4:$ABM$4,"Часы",INDEX(Техника!$G$1:$ABN$500,AB$2,0),$A$1376,INDEX(Техника!$H$1:$ABO$500,AB$2,0),"П")</f>
        <v>0</v>
      </c>
    </row>
    <row r="1380" spans="1:28" hidden="1" outlineLevel="1" x14ac:dyDescent="0.3">
      <c r="A1380" s="33" t="s">
        <v>243</v>
      </c>
      <c r="B1380" s="34" t="s">
        <v>278</v>
      </c>
      <c r="C1380" s="50">
        <f>SUMIFS(INDEX(Техника!$F$1:$ABM$500,C$2,0),Техника!$F$4:$ABM$4,"Часы",INDEX(Техника!$G$1:$ABN$500,C$2,0),$A$1376,INDEX(Техника!$H$1:$ABO$500,C$2,0),"Л")</f>
        <v>0</v>
      </c>
      <c r="D1380" s="50">
        <f>SUMIFS(INDEX(Техника!$F$1:$ABM$500,D$2,0),Техника!$F$4:$ABM$4,"Часы",INDEX(Техника!$G$1:$ABN$500,D$2,0),$A$1376,INDEX(Техника!$H$1:$ABO$500,D$2,0),"Л")</f>
        <v>0</v>
      </c>
      <c r="E1380" s="50">
        <f>SUMIFS(INDEX(Техника!$F$1:$ABM$500,E$2,0),Техника!$F$4:$ABM$4,"Часы",INDEX(Техника!$G$1:$ABN$500,E$2,0),$A$1376,INDEX(Техника!$H$1:$ABO$500,E$2,0),"Л")</f>
        <v>0</v>
      </c>
      <c r="F1380" s="50">
        <f>SUMIFS(INDEX(Техника!$F$1:$ABM$500,F$2,0),Техника!$F$4:$ABM$4,"Часы",INDEX(Техника!$G$1:$ABN$500,F$2,0),$A$1376,INDEX(Техника!$H$1:$ABO$500,F$2,0),"Л")</f>
        <v>0</v>
      </c>
      <c r="G1380" s="50">
        <f>SUMIFS(INDEX(Техника!$F$1:$ABM$500,G$2,0),Техника!$F$4:$ABM$4,"Часы",INDEX(Техника!$G$1:$ABN$500,G$2,0),$A$1376,INDEX(Техника!$H$1:$ABO$500,G$2,0),"Л")</f>
        <v>0</v>
      </c>
      <c r="H1380" s="50">
        <f>SUMIFS(INDEX(Техника!$F$1:$ABM$500,H$2,0),Техника!$F$4:$ABM$4,"Часы",INDEX(Техника!$G$1:$ABN$500,H$2,0),$A$1376,INDEX(Техника!$H$1:$ABO$500,H$2,0),"Л")</f>
        <v>0</v>
      </c>
      <c r="I1380" s="50">
        <f>SUMIFS(INDEX(Техника!$F$1:$ABM$500,I$2,0),Техника!$F$4:$ABM$4,"Часы",INDEX(Техника!$G$1:$ABN$500,I$2,0),$A$1376,INDEX(Техника!$H$1:$ABO$500,I$2,0),"Л")</f>
        <v>0</v>
      </c>
      <c r="J1380" s="50">
        <f>SUMIFS(INDEX(Техника!$F$1:$ABM$500,J$2,0),Техника!$F$4:$ABM$4,"Часы",INDEX(Техника!$G$1:$ABN$500,J$2,0),$A$1376,INDEX(Техника!$H$1:$ABO$500,J$2,0),"Л")</f>
        <v>0</v>
      </c>
      <c r="K1380" s="50">
        <f>SUMIFS(INDEX(Техника!$F$1:$ABM$500,K$2,0),Техника!$F$4:$ABM$4,"Часы",INDEX(Техника!$G$1:$ABN$500,K$2,0),$A$1376,INDEX(Техника!$H$1:$ABO$500,K$2,0),"Л")</f>
        <v>0</v>
      </c>
      <c r="L1380" s="50">
        <f>SUMIFS(INDEX(Техника!$F$1:$ABM$500,L$2,0),Техника!$F$4:$ABM$4,"Часы",INDEX(Техника!$G$1:$ABN$500,L$2,0),$A$1376,INDEX(Техника!$H$1:$ABO$500,L$2,0),"Л")</f>
        <v>0</v>
      </c>
      <c r="M1380" s="50">
        <f>SUMIFS(INDEX(Техника!$F$1:$ABM$500,M$2,0),Техника!$F$4:$ABM$4,"Часы",INDEX(Техника!$G$1:$ABN$500,M$2,0),$A$1376,INDEX(Техника!$H$1:$ABO$500,M$2,0),"Л")</f>
        <v>0</v>
      </c>
      <c r="N1380" s="50">
        <f>SUMIFS(INDEX(Техника!$F$1:$ABM$500,N$2,0),Техника!$F$4:$ABM$4,"Часы",INDEX(Техника!$G$1:$ABN$500,N$2,0),$A$1376,INDEX(Техника!$H$1:$ABO$500,N$2,0),"Л")</f>
        <v>0</v>
      </c>
      <c r="O1380" s="50">
        <f>SUMIFS(INDEX(Техника!$F$1:$ABM$500,O$2,0),Техника!$F$4:$ABM$4,"Часы",INDEX(Техника!$G$1:$ABN$500,O$2,0),$A$1376,INDEX(Техника!$H$1:$ABO$500,O$2,0),"Л")</f>
        <v>0</v>
      </c>
      <c r="P1380" s="50">
        <f>SUMIFS(INDEX(Техника!$F$1:$ABM$500,P$2,0),Техника!$F$4:$ABM$4,"Часы",INDEX(Техника!$G$1:$ABN$500,P$2,0),$A$1376,INDEX(Техника!$H$1:$ABO$500,P$2,0),"Л")</f>
        <v>0</v>
      </c>
      <c r="Q1380" s="50">
        <f>SUMIFS(INDEX(Техника!$F$1:$ABM$500,Q$2,0),Техника!$F$4:$ABM$4,"Часы",INDEX(Техника!$G$1:$ABN$500,Q$2,0),$A$1376,INDEX(Техника!$H$1:$ABO$500,Q$2,0),"Л")</f>
        <v>0</v>
      </c>
      <c r="R1380" s="50">
        <f>SUMIFS(INDEX(Техника!$F$1:$ABM$500,R$2,0),Техника!$F$4:$ABM$4,"Часы",INDEX(Техника!$G$1:$ABN$500,R$2,0),$A$1376,INDEX(Техника!$H$1:$ABO$500,R$2,0),"Л")</f>
        <v>0</v>
      </c>
      <c r="S1380" s="50">
        <f>SUMIFS(INDEX(Техника!$F$1:$ABM$500,S$2,0),Техника!$F$4:$ABM$4,"Часы",INDEX(Техника!$G$1:$ABN$500,S$2,0),$A$1376,INDEX(Техника!$H$1:$ABO$500,S$2,0),"Л")</f>
        <v>0</v>
      </c>
      <c r="T1380" s="50">
        <f>SUMIFS(INDEX(Техника!$F$1:$ABM$500,T$2,0),Техника!$F$4:$ABM$4,"Часы",INDEX(Техника!$G$1:$ABN$500,T$2,0),$A$1376,INDEX(Техника!$H$1:$ABO$500,T$2,0),"Л")</f>
        <v>0</v>
      </c>
      <c r="U1380" s="50">
        <f>SUMIFS(INDEX(Техника!$F$1:$ABM$500,U$2,0),Техника!$F$4:$ABM$4,"Часы",INDEX(Техника!$G$1:$ABN$500,U$2,0),$A$1376,INDEX(Техника!$H$1:$ABO$500,U$2,0),"Л")</f>
        <v>0</v>
      </c>
      <c r="V1380" s="50">
        <f>SUMIFS(INDEX(Техника!$F$1:$ABM$500,V$2,0),Техника!$F$4:$ABM$4,"Часы",INDEX(Техника!$G$1:$ABN$500,V$2,0),$A$1376,INDEX(Техника!$H$1:$ABO$500,V$2,0),"Л")</f>
        <v>0</v>
      </c>
      <c r="W1380" s="50">
        <f>SUMIFS(INDEX(Техника!$F$1:$ABM$500,W$2,0),Техника!$F$4:$ABM$4,"Часы",INDEX(Техника!$G$1:$ABN$500,W$2,0),$A$1376,INDEX(Техника!$H$1:$ABO$500,W$2,0),"Л")</f>
        <v>0</v>
      </c>
      <c r="X1380" s="50">
        <f>SUMIFS(INDEX(Техника!$F$1:$ABM$500,X$2,0),Техника!$F$4:$ABM$4,"Часы",INDEX(Техника!$G$1:$ABN$500,X$2,0),$A$1376,INDEX(Техника!$H$1:$ABO$500,X$2,0),"Л")</f>
        <v>0</v>
      </c>
      <c r="Y1380" s="50">
        <f>SUMIFS(INDEX(Техника!$F$1:$ABM$500,Y$2,0),Техника!$F$4:$ABM$4,"Часы",INDEX(Техника!$G$1:$ABN$500,Y$2,0),$A$1376,INDEX(Техника!$H$1:$ABO$500,Y$2,0),"Л")</f>
        <v>0</v>
      </c>
      <c r="Z1380" s="50">
        <f>SUMIFS(INDEX(Техника!$F$1:$ABM$500,Z$2,0),Техника!$F$4:$ABM$4,"Часы",INDEX(Техника!$G$1:$ABN$500,Z$2,0),$A$1376,INDEX(Техника!$H$1:$ABO$500,Z$2,0),"Л")</f>
        <v>0</v>
      </c>
      <c r="AA1380" s="50">
        <f>SUMIFS(INDEX(Техника!$F$1:$ABM$500,AA$2,0),Техника!$F$4:$ABM$4,"Часы",INDEX(Техника!$G$1:$ABN$500,AA$2,0),$A$1376,INDEX(Техника!$H$1:$ABO$500,AA$2,0),"Л")</f>
        <v>0</v>
      </c>
      <c r="AB1380" s="50">
        <f>SUMIFS(INDEX(Техника!$F$1:$ABM$500,AB$2,0),Техника!$F$4:$ABM$4,"Часы",INDEX(Техника!$G$1:$ABN$500,AB$2,0),$A$1376,INDEX(Техника!$H$1:$ABO$500,AB$2,0),"Л")</f>
        <v>0</v>
      </c>
    </row>
    <row r="1381" spans="1:28" hidden="1" outlineLevel="1" x14ac:dyDescent="0.3">
      <c r="A1381" s="33" t="s">
        <v>245</v>
      </c>
      <c r="B1381" s="34" t="s">
        <v>279</v>
      </c>
      <c r="C1381" s="50">
        <f>SUMIFS(INDEX(Техника!$F$1:$ABM$500,C$2,0),Техника!$F$4:$ABM$4,"Часы",INDEX(Техника!$G$1:$ABN$500,C$2,0),$A$1376,INDEX(Техника!$H$1:$ABO$500,C$2,0),"З")</f>
        <v>0</v>
      </c>
      <c r="D1381" s="50">
        <f>SUMIFS(INDEX(Техника!$F$1:$ABM$500,D$2,0),Техника!$F$4:$ABM$4,"Часы",INDEX(Техника!$G$1:$ABN$500,D$2,0),$A$1376,INDEX(Техника!$H$1:$ABO$500,D$2,0),"З")</f>
        <v>0</v>
      </c>
      <c r="E1381" s="50">
        <f>SUMIFS(INDEX(Техника!$F$1:$ABM$500,E$2,0),Техника!$F$4:$ABM$4,"Часы",INDEX(Техника!$G$1:$ABN$500,E$2,0),$A$1376,INDEX(Техника!$H$1:$ABO$500,E$2,0),"З")</f>
        <v>0</v>
      </c>
      <c r="F1381" s="50">
        <f>SUMIFS(INDEX(Техника!$F$1:$ABM$500,F$2,0),Техника!$F$4:$ABM$4,"Часы",INDEX(Техника!$G$1:$ABN$500,F$2,0),$A$1376,INDEX(Техника!$H$1:$ABO$500,F$2,0),"З")</f>
        <v>0</v>
      </c>
      <c r="G1381" s="50">
        <f>SUMIFS(INDEX(Техника!$F$1:$ABM$500,G$2,0),Техника!$F$4:$ABM$4,"Часы",INDEX(Техника!$G$1:$ABN$500,G$2,0),$A$1376,INDEX(Техника!$H$1:$ABO$500,G$2,0),"З")</f>
        <v>0</v>
      </c>
      <c r="H1381" s="50">
        <f>SUMIFS(INDEX(Техника!$F$1:$ABM$500,H$2,0),Техника!$F$4:$ABM$4,"Часы",INDEX(Техника!$G$1:$ABN$500,H$2,0),$A$1376,INDEX(Техника!$H$1:$ABO$500,H$2,0),"З")</f>
        <v>0</v>
      </c>
      <c r="I1381" s="50">
        <f>SUMIFS(INDEX(Техника!$F$1:$ABM$500,I$2,0),Техника!$F$4:$ABM$4,"Часы",INDEX(Техника!$G$1:$ABN$500,I$2,0),$A$1376,INDEX(Техника!$H$1:$ABO$500,I$2,0),"З")</f>
        <v>0</v>
      </c>
      <c r="J1381" s="50">
        <f>SUMIFS(INDEX(Техника!$F$1:$ABM$500,J$2,0),Техника!$F$4:$ABM$4,"Часы",INDEX(Техника!$G$1:$ABN$500,J$2,0),$A$1376,INDEX(Техника!$H$1:$ABO$500,J$2,0),"З")</f>
        <v>0</v>
      </c>
      <c r="K1381" s="50">
        <f>SUMIFS(INDEX(Техника!$F$1:$ABM$500,K$2,0),Техника!$F$4:$ABM$4,"Часы",INDEX(Техника!$G$1:$ABN$500,K$2,0),$A$1376,INDEX(Техника!$H$1:$ABO$500,K$2,0),"З")</f>
        <v>0</v>
      </c>
      <c r="L1381" s="50">
        <f>SUMIFS(INDEX(Техника!$F$1:$ABM$500,L$2,0),Техника!$F$4:$ABM$4,"Часы",INDEX(Техника!$G$1:$ABN$500,L$2,0),$A$1376,INDEX(Техника!$H$1:$ABO$500,L$2,0),"З")</f>
        <v>0</v>
      </c>
      <c r="M1381" s="50">
        <f>SUMIFS(INDEX(Техника!$F$1:$ABM$500,M$2,0),Техника!$F$4:$ABM$4,"Часы",INDEX(Техника!$G$1:$ABN$500,M$2,0),$A$1376,INDEX(Техника!$H$1:$ABO$500,M$2,0),"З")</f>
        <v>0</v>
      </c>
      <c r="N1381" s="50">
        <f>SUMIFS(INDEX(Техника!$F$1:$ABM$500,N$2,0),Техника!$F$4:$ABM$4,"Часы",INDEX(Техника!$G$1:$ABN$500,N$2,0),$A$1376,INDEX(Техника!$H$1:$ABO$500,N$2,0),"З")</f>
        <v>0</v>
      </c>
      <c r="O1381" s="50">
        <f>SUMIFS(INDEX(Техника!$F$1:$ABM$500,O$2,0),Техника!$F$4:$ABM$4,"Часы",INDEX(Техника!$G$1:$ABN$500,O$2,0),$A$1376,INDEX(Техника!$H$1:$ABO$500,O$2,0),"З")</f>
        <v>0</v>
      </c>
      <c r="P1381" s="50">
        <f>SUMIFS(INDEX(Техника!$F$1:$ABM$500,P$2,0),Техника!$F$4:$ABM$4,"Часы",INDEX(Техника!$G$1:$ABN$500,P$2,0),$A$1376,INDEX(Техника!$H$1:$ABO$500,P$2,0),"З")</f>
        <v>0</v>
      </c>
      <c r="Q1381" s="50">
        <f>SUMIFS(INDEX(Техника!$F$1:$ABM$500,Q$2,0),Техника!$F$4:$ABM$4,"Часы",INDEX(Техника!$G$1:$ABN$500,Q$2,0),$A$1376,INDEX(Техника!$H$1:$ABO$500,Q$2,0),"З")</f>
        <v>0</v>
      </c>
      <c r="R1381" s="50">
        <f>SUMIFS(INDEX(Техника!$F$1:$ABM$500,R$2,0),Техника!$F$4:$ABM$4,"Часы",INDEX(Техника!$G$1:$ABN$500,R$2,0),$A$1376,INDEX(Техника!$H$1:$ABO$500,R$2,0),"З")</f>
        <v>0</v>
      </c>
      <c r="S1381" s="50">
        <f>SUMIFS(INDEX(Техника!$F$1:$ABM$500,S$2,0),Техника!$F$4:$ABM$4,"Часы",INDEX(Техника!$G$1:$ABN$500,S$2,0),$A$1376,INDEX(Техника!$H$1:$ABO$500,S$2,0),"З")</f>
        <v>0</v>
      </c>
      <c r="T1381" s="50">
        <f>SUMIFS(INDEX(Техника!$F$1:$ABM$500,T$2,0),Техника!$F$4:$ABM$4,"Часы",INDEX(Техника!$G$1:$ABN$500,T$2,0),$A$1376,INDEX(Техника!$H$1:$ABO$500,T$2,0),"З")</f>
        <v>0</v>
      </c>
      <c r="U1381" s="50">
        <f>SUMIFS(INDEX(Техника!$F$1:$ABM$500,U$2,0),Техника!$F$4:$ABM$4,"Часы",INDEX(Техника!$G$1:$ABN$500,U$2,0),$A$1376,INDEX(Техника!$H$1:$ABO$500,U$2,0),"З")</f>
        <v>0</v>
      </c>
      <c r="V1381" s="50">
        <f>SUMIFS(INDEX(Техника!$F$1:$ABM$500,V$2,0),Техника!$F$4:$ABM$4,"Часы",INDEX(Техника!$G$1:$ABN$500,V$2,0),$A$1376,INDEX(Техника!$H$1:$ABO$500,V$2,0),"З")</f>
        <v>0</v>
      </c>
      <c r="W1381" s="50">
        <f>SUMIFS(INDEX(Техника!$F$1:$ABM$500,W$2,0),Техника!$F$4:$ABM$4,"Часы",INDEX(Техника!$G$1:$ABN$500,W$2,0),$A$1376,INDEX(Техника!$H$1:$ABO$500,W$2,0),"З")</f>
        <v>0</v>
      </c>
      <c r="X1381" s="50">
        <f>SUMIFS(INDEX(Техника!$F$1:$ABM$500,X$2,0),Техника!$F$4:$ABM$4,"Часы",INDEX(Техника!$G$1:$ABN$500,X$2,0),$A$1376,INDEX(Техника!$H$1:$ABO$500,X$2,0),"З")</f>
        <v>0</v>
      </c>
      <c r="Y1381" s="50">
        <f>SUMIFS(INDEX(Техника!$F$1:$ABM$500,Y$2,0),Техника!$F$4:$ABM$4,"Часы",INDEX(Техника!$G$1:$ABN$500,Y$2,0),$A$1376,INDEX(Техника!$H$1:$ABO$500,Y$2,0),"З")</f>
        <v>0</v>
      </c>
      <c r="Z1381" s="50">
        <f>SUMIFS(INDEX(Техника!$F$1:$ABM$500,Z$2,0),Техника!$F$4:$ABM$4,"Часы",INDEX(Техника!$G$1:$ABN$500,Z$2,0),$A$1376,INDEX(Техника!$H$1:$ABO$500,Z$2,0),"З")</f>
        <v>0</v>
      </c>
      <c r="AA1381" s="50">
        <f>SUMIFS(INDEX(Техника!$F$1:$ABM$500,AA$2,0),Техника!$F$4:$ABM$4,"Часы",INDEX(Техника!$G$1:$ABN$500,AA$2,0),$A$1376,INDEX(Техника!$H$1:$ABO$500,AA$2,0),"З")</f>
        <v>0</v>
      </c>
      <c r="AB1381" s="50">
        <f>SUMIFS(INDEX(Техника!$F$1:$ABM$500,AB$2,0),Техника!$F$4:$ABM$4,"Часы",INDEX(Техника!$G$1:$ABN$500,AB$2,0),$A$1376,INDEX(Техника!$H$1:$ABO$500,AB$2,0),"З")</f>
        <v>0</v>
      </c>
    </row>
    <row r="1382" spans="1:28" ht="7.95" customHeight="1" x14ac:dyDescent="0.3">
      <c r="A1382" s="38"/>
      <c r="B1382" s="39"/>
      <c r="C1382" s="51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  <c r="AA1382" s="51"/>
      <c r="AB1382" s="51"/>
    </row>
    <row r="1383" spans="1:28" ht="25.05" customHeight="1" collapsed="1" x14ac:dyDescent="0.3">
      <c r="A1383" s="32">
        <v>198</v>
      </c>
      <c r="B1383" s="32" t="s">
        <v>199</v>
      </c>
      <c r="C1383" s="49">
        <f>SUM(C1384:C1388)</f>
        <v>0</v>
      </c>
      <c r="D1383" s="49">
        <f>SUM(D1384:D1388)</f>
        <v>0</v>
      </c>
      <c r="E1383" s="49">
        <f>SUM(E1384:E1388)</f>
        <v>0</v>
      </c>
      <c r="F1383" s="49">
        <f>SUM(F1384:F1388)</f>
        <v>0</v>
      </c>
      <c r="G1383" s="49">
        <f>SUM(G1384:G1388)</f>
        <v>0</v>
      </c>
      <c r="H1383" s="49">
        <f>SUM(H1384:H1388)</f>
        <v>0</v>
      </c>
      <c r="I1383" s="49">
        <f>SUM(I1384:I1388)</f>
        <v>0</v>
      </c>
      <c r="J1383" s="49">
        <f>SUM(J1384:J1388)</f>
        <v>0</v>
      </c>
      <c r="K1383" s="49">
        <f>SUM(K1384:K1388)</f>
        <v>0</v>
      </c>
      <c r="L1383" s="49">
        <f>SUM(L1384:L1388)</f>
        <v>0</v>
      </c>
      <c r="M1383" s="49">
        <f>SUM(M1384:M1388)</f>
        <v>0</v>
      </c>
      <c r="N1383" s="49">
        <f>SUM(N1384:N1388)</f>
        <v>0</v>
      </c>
      <c r="O1383" s="49">
        <f>SUM(O1384:O1388)</f>
        <v>0</v>
      </c>
      <c r="P1383" s="49">
        <f>SUM(P1384:P1388)</f>
        <v>0</v>
      </c>
      <c r="Q1383" s="49">
        <f>SUM(Q1384:Q1388)</f>
        <v>0</v>
      </c>
      <c r="R1383" s="49">
        <f>SUM(R1384:R1388)</f>
        <v>0</v>
      </c>
      <c r="S1383" s="49">
        <f>SUM(S1384:S1388)</f>
        <v>0</v>
      </c>
      <c r="T1383" s="49">
        <f>SUM(T1384:T1388)</f>
        <v>0</v>
      </c>
      <c r="U1383" s="49">
        <f>SUM(U1384:U1388)</f>
        <v>0</v>
      </c>
      <c r="V1383" s="49">
        <f>SUM(V1384:V1388)</f>
        <v>0</v>
      </c>
      <c r="W1383" s="49">
        <f>SUM(W1384:W1388)</f>
        <v>0</v>
      </c>
      <c r="X1383" s="49">
        <f>SUM(X1384:X1388)</f>
        <v>0</v>
      </c>
      <c r="Y1383" s="49">
        <f>SUM(Y1384:Y1388)</f>
        <v>0</v>
      </c>
      <c r="Z1383" s="49">
        <f>SUM(Z1384:Z1388)</f>
        <v>0</v>
      </c>
      <c r="AA1383" s="49">
        <f>SUM(AA1384:AA1388)</f>
        <v>0</v>
      </c>
      <c r="AB1383" s="49">
        <f>SUM(AB1384:AB1388)</f>
        <v>0</v>
      </c>
    </row>
    <row r="1384" spans="1:28" hidden="1" outlineLevel="1" x14ac:dyDescent="0.3">
      <c r="A1384" s="33" t="s">
        <v>246</v>
      </c>
      <c r="B1384" s="34" t="s">
        <v>274</v>
      </c>
      <c r="C1384" s="50">
        <f>SUMIFS(INDEX(Техника!$F$1:$ABM$500,C$2,0),Техника!$F$4:$ABM$4,"Часы",INDEX(Техника!$G$1:$ABN$500,C$2,0),$A$1383,INDEX(Техника!$H$1:$ABO$500,C$2,0),"М")</f>
        <v>0</v>
      </c>
      <c r="D1384" s="50">
        <f>SUMIFS(INDEX(Техника!$F$1:$ABM$500,D$2,0),Техника!$F$4:$ABM$4,"Часы",INDEX(Техника!$G$1:$ABN$500,D$2,0),$A$1383,INDEX(Техника!$H$1:$ABO$500,D$2,0),"М")</f>
        <v>0</v>
      </c>
      <c r="E1384" s="50">
        <f>SUMIFS(INDEX(Техника!$F$1:$ABM$500,E$2,0),Техника!$F$4:$ABM$4,"Часы",INDEX(Техника!$G$1:$ABN$500,E$2,0),$A$1383,INDEX(Техника!$H$1:$ABO$500,E$2,0),"М")</f>
        <v>0</v>
      </c>
      <c r="F1384" s="50">
        <f>SUMIFS(INDEX(Техника!$F$1:$ABM$500,F$2,0),Техника!$F$4:$ABM$4,"Часы",INDEX(Техника!$G$1:$ABN$500,F$2,0),$A$1383,INDEX(Техника!$H$1:$ABO$500,F$2,0),"М")</f>
        <v>0</v>
      </c>
      <c r="G1384" s="50">
        <f>SUMIFS(INDEX(Техника!$F$1:$ABM$500,G$2,0),Техника!$F$4:$ABM$4,"Часы",INDEX(Техника!$G$1:$ABN$500,G$2,0),$A$1383,INDEX(Техника!$H$1:$ABO$500,G$2,0),"М")</f>
        <v>0</v>
      </c>
      <c r="H1384" s="50">
        <f>SUMIFS(INDEX(Техника!$F$1:$ABM$500,H$2,0),Техника!$F$4:$ABM$4,"Часы",INDEX(Техника!$G$1:$ABN$500,H$2,0),$A$1383,INDEX(Техника!$H$1:$ABO$500,H$2,0),"М")</f>
        <v>0</v>
      </c>
      <c r="I1384" s="50">
        <f>SUMIFS(INDEX(Техника!$F$1:$ABM$500,I$2,0),Техника!$F$4:$ABM$4,"Часы",INDEX(Техника!$G$1:$ABN$500,I$2,0),$A$1383,INDEX(Техника!$H$1:$ABO$500,I$2,0),"М")</f>
        <v>0</v>
      </c>
      <c r="J1384" s="50">
        <f>SUMIFS(INDEX(Техника!$F$1:$ABM$500,J$2,0),Техника!$F$4:$ABM$4,"Часы",INDEX(Техника!$G$1:$ABN$500,J$2,0),$A$1383,INDEX(Техника!$H$1:$ABO$500,J$2,0),"М")</f>
        <v>0</v>
      </c>
      <c r="K1384" s="50">
        <f>SUMIFS(INDEX(Техника!$F$1:$ABM$500,K$2,0),Техника!$F$4:$ABM$4,"Часы",INDEX(Техника!$G$1:$ABN$500,K$2,0),$A$1383,INDEX(Техника!$H$1:$ABO$500,K$2,0),"М")</f>
        <v>0</v>
      </c>
      <c r="L1384" s="50">
        <f>SUMIFS(INDEX(Техника!$F$1:$ABM$500,L$2,0),Техника!$F$4:$ABM$4,"Часы",INDEX(Техника!$G$1:$ABN$500,L$2,0),$A$1383,INDEX(Техника!$H$1:$ABO$500,L$2,0),"М")</f>
        <v>0</v>
      </c>
      <c r="M1384" s="50">
        <f>SUMIFS(INDEX(Техника!$F$1:$ABM$500,M$2,0),Техника!$F$4:$ABM$4,"Часы",INDEX(Техника!$G$1:$ABN$500,M$2,0),$A$1383,INDEX(Техника!$H$1:$ABO$500,M$2,0),"М")</f>
        <v>0</v>
      </c>
      <c r="N1384" s="50">
        <f>SUMIFS(INDEX(Техника!$F$1:$ABM$500,N$2,0),Техника!$F$4:$ABM$4,"Часы",INDEX(Техника!$G$1:$ABN$500,N$2,0),$A$1383,INDEX(Техника!$H$1:$ABO$500,N$2,0),"М")</f>
        <v>0</v>
      </c>
      <c r="O1384" s="50">
        <f>SUMIFS(INDEX(Техника!$F$1:$ABM$500,O$2,0),Техника!$F$4:$ABM$4,"Часы",INDEX(Техника!$G$1:$ABN$500,O$2,0),$A$1383,INDEX(Техника!$H$1:$ABO$500,O$2,0),"М")</f>
        <v>0</v>
      </c>
      <c r="P1384" s="50">
        <f>SUMIFS(INDEX(Техника!$F$1:$ABM$500,P$2,0),Техника!$F$4:$ABM$4,"Часы",INDEX(Техника!$G$1:$ABN$500,P$2,0),$A$1383,INDEX(Техника!$H$1:$ABO$500,P$2,0),"М")</f>
        <v>0</v>
      </c>
      <c r="Q1384" s="50">
        <f>SUMIFS(INDEX(Техника!$F$1:$ABM$500,Q$2,0),Техника!$F$4:$ABM$4,"Часы",INDEX(Техника!$G$1:$ABN$500,Q$2,0),$A$1383,INDEX(Техника!$H$1:$ABO$500,Q$2,0),"М")</f>
        <v>0</v>
      </c>
      <c r="R1384" s="50">
        <f>SUMIFS(INDEX(Техника!$F$1:$ABM$500,R$2,0),Техника!$F$4:$ABM$4,"Часы",INDEX(Техника!$G$1:$ABN$500,R$2,0),$A$1383,INDEX(Техника!$H$1:$ABO$500,R$2,0),"М")</f>
        <v>0</v>
      </c>
      <c r="S1384" s="50">
        <f>SUMIFS(INDEX(Техника!$F$1:$ABM$500,S$2,0),Техника!$F$4:$ABM$4,"Часы",INDEX(Техника!$G$1:$ABN$500,S$2,0),$A$1383,INDEX(Техника!$H$1:$ABO$500,S$2,0),"М")</f>
        <v>0</v>
      </c>
      <c r="T1384" s="50">
        <f>SUMIFS(INDEX(Техника!$F$1:$ABM$500,T$2,0),Техника!$F$4:$ABM$4,"Часы",INDEX(Техника!$G$1:$ABN$500,T$2,0),$A$1383,INDEX(Техника!$H$1:$ABO$500,T$2,0),"М")</f>
        <v>0</v>
      </c>
      <c r="U1384" s="50">
        <f>SUMIFS(INDEX(Техника!$F$1:$ABM$500,U$2,0),Техника!$F$4:$ABM$4,"Часы",INDEX(Техника!$G$1:$ABN$500,U$2,0),$A$1383,INDEX(Техника!$H$1:$ABO$500,U$2,0),"М")</f>
        <v>0</v>
      </c>
      <c r="V1384" s="50">
        <f>SUMIFS(INDEX(Техника!$F$1:$ABM$500,V$2,0),Техника!$F$4:$ABM$4,"Часы",INDEX(Техника!$G$1:$ABN$500,V$2,0),$A$1383,INDEX(Техника!$H$1:$ABO$500,V$2,0),"М")</f>
        <v>0</v>
      </c>
      <c r="W1384" s="50">
        <f>SUMIFS(INDEX(Техника!$F$1:$ABM$500,W$2,0),Техника!$F$4:$ABM$4,"Часы",INDEX(Техника!$G$1:$ABN$500,W$2,0),$A$1383,INDEX(Техника!$H$1:$ABO$500,W$2,0),"М")</f>
        <v>0</v>
      </c>
      <c r="X1384" s="50">
        <f>SUMIFS(INDEX(Техника!$F$1:$ABM$500,X$2,0),Техника!$F$4:$ABM$4,"Часы",INDEX(Техника!$G$1:$ABN$500,X$2,0),$A$1383,INDEX(Техника!$H$1:$ABO$500,X$2,0),"М")</f>
        <v>0</v>
      </c>
      <c r="Y1384" s="50">
        <f>SUMIFS(INDEX(Техника!$F$1:$ABM$500,Y$2,0),Техника!$F$4:$ABM$4,"Часы",INDEX(Техника!$G$1:$ABN$500,Y$2,0),$A$1383,INDEX(Техника!$H$1:$ABO$500,Y$2,0),"М")</f>
        <v>0</v>
      </c>
      <c r="Z1384" s="50">
        <f>SUMIFS(INDEX(Техника!$F$1:$ABM$500,Z$2,0),Техника!$F$4:$ABM$4,"Часы",INDEX(Техника!$G$1:$ABN$500,Z$2,0),$A$1383,INDEX(Техника!$H$1:$ABO$500,Z$2,0),"М")</f>
        <v>0</v>
      </c>
      <c r="AA1384" s="50">
        <f>SUMIFS(INDEX(Техника!$F$1:$ABM$500,AA$2,0),Техника!$F$4:$ABM$4,"Часы",INDEX(Техника!$G$1:$ABN$500,AA$2,0),$A$1383,INDEX(Техника!$H$1:$ABO$500,AA$2,0),"М")</f>
        <v>0</v>
      </c>
      <c r="AB1384" s="50">
        <f>SUMIFS(INDEX(Техника!$F$1:$ABM$500,AB$2,0),Техника!$F$4:$ABM$4,"Часы",INDEX(Техника!$G$1:$ABN$500,AB$2,0),$A$1383,INDEX(Техника!$H$1:$ABO$500,AB$2,0),"М")</f>
        <v>0</v>
      </c>
    </row>
    <row r="1385" spans="1:28" hidden="1" outlineLevel="1" x14ac:dyDescent="0.3">
      <c r="A1385" s="33" t="s">
        <v>244</v>
      </c>
      <c r="B1385" s="34" t="s">
        <v>275</v>
      </c>
      <c r="C1385" s="50">
        <f>SUMIFS(INDEX(Техника!$F$1:$ABM$500,C$2,0),Техника!$F$4:$ABM$4,"Часы",INDEX(Техника!$G$1:$ABN$500,C$2,0),$A$1383,INDEX(Техника!$H$1:$ABO$500,C$2,0),"Д")</f>
        <v>0</v>
      </c>
      <c r="D1385" s="50">
        <f>SUMIFS(INDEX(Техника!$F$1:$ABM$500,D$2,0),Техника!$F$4:$ABM$4,"Часы",INDEX(Техника!$G$1:$ABN$500,D$2,0),$A$1383,INDEX(Техника!$H$1:$ABO$500,D$2,0),"Д")</f>
        <v>0</v>
      </c>
      <c r="E1385" s="50">
        <f>SUMIFS(INDEX(Техника!$F$1:$ABM$500,E$2,0),Техника!$F$4:$ABM$4,"Часы",INDEX(Техника!$G$1:$ABN$500,E$2,0),$A$1383,INDEX(Техника!$H$1:$ABO$500,E$2,0),"Д")</f>
        <v>0</v>
      </c>
      <c r="F1385" s="50">
        <f>SUMIFS(INDEX(Техника!$F$1:$ABM$500,F$2,0),Техника!$F$4:$ABM$4,"Часы",INDEX(Техника!$G$1:$ABN$500,F$2,0),$A$1383,INDEX(Техника!$H$1:$ABO$500,F$2,0),"Д")</f>
        <v>0</v>
      </c>
      <c r="G1385" s="50">
        <f>SUMIFS(INDEX(Техника!$F$1:$ABM$500,G$2,0),Техника!$F$4:$ABM$4,"Часы",INDEX(Техника!$G$1:$ABN$500,G$2,0),$A$1383,INDEX(Техника!$H$1:$ABO$500,G$2,0),"Д")</f>
        <v>0</v>
      </c>
      <c r="H1385" s="50">
        <f>SUMIFS(INDEX(Техника!$F$1:$ABM$500,H$2,0),Техника!$F$4:$ABM$4,"Часы",INDEX(Техника!$G$1:$ABN$500,H$2,0),$A$1383,INDEX(Техника!$H$1:$ABO$500,H$2,0),"Д")</f>
        <v>0</v>
      </c>
      <c r="I1385" s="50">
        <f>SUMIFS(INDEX(Техника!$F$1:$ABM$500,I$2,0),Техника!$F$4:$ABM$4,"Часы",INDEX(Техника!$G$1:$ABN$500,I$2,0),$A$1383,INDEX(Техника!$H$1:$ABO$500,I$2,0),"Д")</f>
        <v>0</v>
      </c>
      <c r="J1385" s="50">
        <f>SUMIFS(INDEX(Техника!$F$1:$ABM$500,J$2,0),Техника!$F$4:$ABM$4,"Часы",INDEX(Техника!$G$1:$ABN$500,J$2,0),$A$1383,INDEX(Техника!$H$1:$ABO$500,J$2,0),"Д")</f>
        <v>0</v>
      </c>
      <c r="K1385" s="50">
        <f>SUMIFS(INDEX(Техника!$F$1:$ABM$500,K$2,0),Техника!$F$4:$ABM$4,"Часы",INDEX(Техника!$G$1:$ABN$500,K$2,0),$A$1383,INDEX(Техника!$H$1:$ABO$500,K$2,0),"Д")</f>
        <v>0</v>
      </c>
      <c r="L1385" s="50">
        <f>SUMIFS(INDEX(Техника!$F$1:$ABM$500,L$2,0),Техника!$F$4:$ABM$4,"Часы",INDEX(Техника!$G$1:$ABN$500,L$2,0),$A$1383,INDEX(Техника!$H$1:$ABO$500,L$2,0),"Д")</f>
        <v>0</v>
      </c>
      <c r="M1385" s="50">
        <f>SUMIFS(INDEX(Техника!$F$1:$ABM$500,M$2,0),Техника!$F$4:$ABM$4,"Часы",INDEX(Техника!$G$1:$ABN$500,M$2,0),$A$1383,INDEX(Техника!$H$1:$ABO$500,M$2,0),"Д")</f>
        <v>0</v>
      </c>
      <c r="N1385" s="50">
        <f>SUMIFS(INDEX(Техника!$F$1:$ABM$500,N$2,0),Техника!$F$4:$ABM$4,"Часы",INDEX(Техника!$G$1:$ABN$500,N$2,0),$A$1383,INDEX(Техника!$H$1:$ABO$500,N$2,0),"Д")</f>
        <v>0</v>
      </c>
      <c r="O1385" s="50">
        <f>SUMIFS(INDEX(Техника!$F$1:$ABM$500,O$2,0),Техника!$F$4:$ABM$4,"Часы",INDEX(Техника!$G$1:$ABN$500,O$2,0),$A$1383,INDEX(Техника!$H$1:$ABO$500,O$2,0),"Д")</f>
        <v>0</v>
      </c>
      <c r="P1385" s="50">
        <f>SUMIFS(INDEX(Техника!$F$1:$ABM$500,P$2,0),Техника!$F$4:$ABM$4,"Часы",INDEX(Техника!$G$1:$ABN$500,P$2,0),$A$1383,INDEX(Техника!$H$1:$ABO$500,P$2,0),"Д")</f>
        <v>0</v>
      </c>
      <c r="Q1385" s="50">
        <f>SUMIFS(INDEX(Техника!$F$1:$ABM$500,Q$2,0),Техника!$F$4:$ABM$4,"Часы",INDEX(Техника!$G$1:$ABN$500,Q$2,0),$A$1383,INDEX(Техника!$H$1:$ABO$500,Q$2,0),"Д")</f>
        <v>0</v>
      </c>
      <c r="R1385" s="50">
        <f>SUMIFS(INDEX(Техника!$F$1:$ABM$500,R$2,0),Техника!$F$4:$ABM$4,"Часы",INDEX(Техника!$G$1:$ABN$500,R$2,0),$A$1383,INDEX(Техника!$H$1:$ABO$500,R$2,0),"Д")</f>
        <v>0</v>
      </c>
      <c r="S1385" s="50">
        <f>SUMIFS(INDEX(Техника!$F$1:$ABM$500,S$2,0),Техника!$F$4:$ABM$4,"Часы",INDEX(Техника!$G$1:$ABN$500,S$2,0),$A$1383,INDEX(Техника!$H$1:$ABO$500,S$2,0),"Д")</f>
        <v>0</v>
      </c>
      <c r="T1385" s="50">
        <f>SUMIFS(INDEX(Техника!$F$1:$ABM$500,T$2,0),Техника!$F$4:$ABM$4,"Часы",INDEX(Техника!$G$1:$ABN$500,T$2,0),$A$1383,INDEX(Техника!$H$1:$ABO$500,T$2,0),"Д")</f>
        <v>0</v>
      </c>
      <c r="U1385" s="50">
        <f>SUMIFS(INDEX(Техника!$F$1:$ABM$500,U$2,0),Техника!$F$4:$ABM$4,"Часы",INDEX(Техника!$G$1:$ABN$500,U$2,0),$A$1383,INDEX(Техника!$H$1:$ABO$500,U$2,0),"Д")</f>
        <v>0</v>
      </c>
      <c r="V1385" s="50">
        <f>SUMIFS(INDEX(Техника!$F$1:$ABM$500,V$2,0),Техника!$F$4:$ABM$4,"Часы",INDEX(Техника!$G$1:$ABN$500,V$2,0),$A$1383,INDEX(Техника!$H$1:$ABO$500,V$2,0),"Д")</f>
        <v>0</v>
      </c>
      <c r="W1385" s="50">
        <f>SUMIFS(INDEX(Техника!$F$1:$ABM$500,W$2,0),Техника!$F$4:$ABM$4,"Часы",INDEX(Техника!$G$1:$ABN$500,W$2,0),$A$1383,INDEX(Техника!$H$1:$ABO$500,W$2,0),"Д")</f>
        <v>0</v>
      </c>
      <c r="X1385" s="50">
        <f>SUMIFS(INDEX(Техника!$F$1:$ABM$500,X$2,0),Техника!$F$4:$ABM$4,"Часы",INDEX(Техника!$G$1:$ABN$500,X$2,0),$A$1383,INDEX(Техника!$H$1:$ABO$500,X$2,0),"Д")</f>
        <v>0</v>
      </c>
      <c r="Y1385" s="50">
        <f>SUMIFS(INDEX(Техника!$F$1:$ABM$500,Y$2,0),Техника!$F$4:$ABM$4,"Часы",INDEX(Техника!$G$1:$ABN$500,Y$2,0),$A$1383,INDEX(Техника!$H$1:$ABO$500,Y$2,0),"Д")</f>
        <v>0</v>
      </c>
      <c r="Z1385" s="50">
        <f>SUMIFS(INDEX(Техника!$F$1:$ABM$500,Z$2,0),Техника!$F$4:$ABM$4,"Часы",INDEX(Техника!$G$1:$ABN$500,Z$2,0),$A$1383,INDEX(Техника!$H$1:$ABO$500,Z$2,0),"Д")</f>
        <v>0</v>
      </c>
      <c r="AA1385" s="50">
        <f>SUMIFS(INDEX(Техника!$F$1:$ABM$500,AA$2,0),Техника!$F$4:$ABM$4,"Часы",INDEX(Техника!$G$1:$ABN$500,AA$2,0),$A$1383,INDEX(Техника!$H$1:$ABO$500,AA$2,0),"Д")</f>
        <v>0</v>
      </c>
      <c r="AB1385" s="50">
        <f>SUMIFS(INDEX(Техника!$F$1:$ABM$500,AB$2,0),Техника!$F$4:$ABM$4,"Часы",INDEX(Техника!$G$1:$ABN$500,AB$2,0),$A$1383,INDEX(Техника!$H$1:$ABO$500,AB$2,0),"Д")</f>
        <v>0</v>
      </c>
    </row>
    <row r="1386" spans="1:28" hidden="1" outlineLevel="1" x14ac:dyDescent="0.3">
      <c r="A1386" s="33" t="s">
        <v>276</v>
      </c>
      <c r="B1386" s="34" t="s">
        <v>277</v>
      </c>
      <c r="C1386" s="50">
        <f>SUMIFS(INDEX(Техника!$F$1:$ABM$500,C$2,0),Техника!$F$4:$ABM$4,"Часы",INDEX(Техника!$G$1:$ABN$500,C$2,0),$A$1383,INDEX(Техника!$H$1:$ABO$500,C$2,0),"П")</f>
        <v>0</v>
      </c>
      <c r="D1386" s="50">
        <f>SUMIFS(INDEX(Техника!$F$1:$ABM$500,D$2,0),Техника!$F$4:$ABM$4,"Часы",INDEX(Техника!$G$1:$ABN$500,D$2,0),$A$1383,INDEX(Техника!$H$1:$ABO$500,D$2,0),"П")</f>
        <v>0</v>
      </c>
      <c r="E1386" s="50">
        <f>SUMIFS(INDEX(Техника!$F$1:$ABM$500,E$2,0),Техника!$F$4:$ABM$4,"Часы",INDEX(Техника!$G$1:$ABN$500,E$2,0),$A$1383,INDEX(Техника!$H$1:$ABO$500,E$2,0),"П")</f>
        <v>0</v>
      </c>
      <c r="F1386" s="50">
        <f>SUMIFS(INDEX(Техника!$F$1:$ABM$500,F$2,0),Техника!$F$4:$ABM$4,"Часы",INDEX(Техника!$G$1:$ABN$500,F$2,0),$A$1383,INDEX(Техника!$H$1:$ABO$500,F$2,0),"П")</f>
        <v>0</v>
      </c>
      <c r="G1386" s="50">
        <f>SUMIFS(INDEX(Техника!$F$1:$ABM$500,G$2,0),Техника!$F$4:$ABM$4,"Часы",INDEX(Техника!$G$1:$ABN$500,G$2,0),$A$1383,INDEX(Техника!$H$1:$ABO$500,G$2,0),"П")</f>
        <v>0</v>
      </c>
      <c r="H1386" s="50">
        <f>SUMIFS(INDEX(Техника!$F$1:$ABM$500,H$2,0),Техника!$F$4:$ABM$4,"Часы",INDEX(Техника!$G$1:$ABN$500,H$2,0),$A$1383,INDEX(Техника!$H$1:$ABO$500,H$2,0),"П")</f>
        <v>0</v>
      </c>
      <c r="I1386" s="50">
        <f>SUMIFS(INDEX(Техника!$F$1:$ABM$500,I$2,0),Техника!$F$4:$ABM$4,"Часы",INDEX(Техника!$G$1:$ABN$500,I$2,0),$A$1383,INDEX(Техника!$H$1:$ABO$500,I$2,0),"П")</f>
        <v>0</v>
      </c>
      <c r="J1386" s="50">
        <f>SUMIFS(INDEX(Техника!$F$1:$ABM$500,J$2,0),Техника!$F$4:$ABM$4,"Часы",INDEX(Техника!$G$1:$ABN$500,J$2,0),$A$1383,INDEX(Техника!$H$1:$ABO$500,J$2,0),"П")</f>
        <v>0</v>
      </c>
      <c r="K1386" s="50">
        <f>SUMIFS(INDEX(Техника!$F$1:$ABM$500,K$2,0),Техника!$F$4:$ABM$4,"Часы",INDEX(Техника!$G$1:$ABN$500,K$2,0),$A$1383,INDEX(Техника!$H$1:$ABO$500,K$2,0),"П")</f>
        <v>0</v>
      </c>
      <c r="L1386" s="50">
        <f>SUMIFS(INDEX(Техника!$F$1:$ABM$500,L$2,0),Техника!$F$4:$ABM$4,"Часы",INDEX(Техника!$G$1:$ABN$500,L$2,0),$A$1383,INDEX(Техника!$H$1:$ABO$500,L$2,0),"П")</f>
        <v>0</v>
      </c>
      <c r="M1386" s="50">
        <f>SUMIFS(INDEX(Техника!$F$1:$ABM$500,M$2,0),Техника!$F$4:$ABM$4,"Часы",INDEX(Техника!$G$1:$ABN$500,M$2,0),$A$1383,INDEX(Техника!$H$1:$ABO$500,M$2,0),"П")</f>
        <v>0</v>
      </c>
      <c r="N1386" s="50">
        <f>SUMIFS(INDEX(Техника!$F$1:$ABM$500,N$2,0),Техника!$F$4:$ABM$4,"Часы",INDEX(Техника!$G$1:$ABN$500,N$2,0),$A$1383,INDEX(Техника!$H$1:$ABO$500,N$2,0),"П")</f>
        <v>0</v>
      </c>
      <c r="O1386" s="50">
        <f>SUMIFS(INDEX(Техника!$F$1:$ABM$500,O$2,0),Техника!$F$4:$ABM$4,"Часы",INDEX(Техника!$G$1:$ABN$500,O$2,0),$A$1383,INDEX(Техника!$H$1:$ABO$500,O$2,0),"П")</f>
        <v>0</v>
      </c>
      <c r="P1386" s="50">
        <f>SUMIFS(INDEX(Техника!$F$1:$ABM$500,P$2,0),Техника!$F$4:$ABM$4,"Часы",INDEX(Техника!$G$1:$ABN$500,P$2,0),$A$1383,INDEX(Техника!$H$1:$ABO$500,P$2,0),"П")</f>
        <v>0</v>
      </c>
      <c r="Q1386" s="50">
        <f>SUMIFS(INDEX(Техника!$F$1:$ABM$500,Q$2,0),Техника!$F$4:$ABM$4,"Часы",INDEX(Техника!$G$1:$ABN$500,Q$2,0),$A$1383,INDEX(Техника!$H$1:$ABO$500,Q$2,0),"П")</f>
        <v>0</v>
      </c>
      <c r="R1386" s="50">
        <f>SUMIFS(INDEX(Техника!$F$1:$ABM$500,R$2,0),Техника!$F$4:$ABM$4,"Часы",INDEX(Техника!$G$1:$ABN$500,R$2,0),$A$1383,INDEX(Техника!$H$1:$ABO$500,R$2,0),"П")</f>
        <v>0</v>
      </c>
      <c r="S1386" s="50">
        <f>SUMIFS(INDEX(Техника!$F$1:$ABM$500,S$2,0),Техника!$F$4:$ABM$4,"Часы",INDEX(Техника!$G$1:$ABN$500,S$2,0),$A$1383,INDEX(Техника!$H$1:$ABO$500,S$2,0),"П")</f>
        <v>0</v>
      </c>
      <c r="T1386" s="50">
        <f>SUMIFS(INDEX(Техника!$F$1:$ABM$500,T$2,0),Техника!$F$4:$ABM$4,"Часы",INDEX(Техника!$G$1:$ABN$500,T$2,0),$A$1383,INDEX(Техника!$H$1:$ABO$500,T$2,0),"П")</f>
        <v>0</v>
      </c>
      <c r="U1386" s="50">
        <f>SUMIFS(INDEX(Техника!$F$1:$ABM$500,U$2,0),Техника!$F$4:$ABM$4,"Часы",INDEX(Техника!$G$1:$ABN$500,U$2,0),$A$1383,INDEX(Техника!$H$1:$ABO$500,U$2,0),"П")</f>
        <v>0</v>
      </c>
      <c r="V1386" s="50">
        <f>SUMIFS(INDEX(Техника!$F$1:$ABM$500,V$2,0),Техника!$F$4:$ABM$4,"Часы",INDEX(Техника!$G$1:$ABN$500,V$2,0),$A$1383,INDEX(Техника!$H$1:$ABO$500,V$2,0),"П")</f>
        <v>0</v>
      </c>
      <c r="W1386" s="50">
        <f>SUMIFS(INDEX(Техника!$F$1:$ABM$500,W$2,0),Техника!$F$4:$ABM$4,"Часы",INDEX(Техника!$G$1:$ABN$500,W$2,0),$A$1383,INDEX(Техника!$H$1:$ABO$500,W$2,0),"П")</f>
        <v>0</v>
      </c>
      <c r="X1386" s="50">
        <f>SUMIFS(INDEX(Техника!$F$1:$ABM$500,X$2,0),Техника!$F$4:$ABM$4,"Часы",INDEX(Техника!$G$1:$ABN$500,X$2,0),$A$1383,INDEX(Техника!$H$1:$ABO$500,X$2,0),"П")</f>
        <v>0</v>
      </c>
      <c r="Y1386" s="50">
        <f>SUMIFS(INDEX(Техника!$F$1:$ABM$500,Y$2,0),Техника!$F$4:$ABM$4,"Часы",INDEX(Техника!$G$1:$ABN$500,Y$2,0),$A$1383,INDEX(Техника!$H$1:$ABO$500,Y$2,0),"П")</f>
        <v>0</v>
      </c>
      <c r="Z1386" s="50">
        <f>SUMIFS(INDEX(Техника!$F$1:$ABM$500,Z$2,0),Техника!$F$4:$ABM$4,"Часы",INDEX(Техника!$G$1:$ABN$500,Z$2,0),$A$1383,INDEX(Техника!$H$1:$ABO$500,Z$2,0),"П")</f>
        <v>0</v>
      </c>
      <c r="AA1386" s="50">
        <f>SUMIFS(INDEX(Техника!$F$1:$ABM$500,AA$2,0),Техника!$F$4:$ABM$4,"Часы",INDEX(Техника!$G$1:$ABN$500,AA$2,0),$A$1383,INDEX(Техника!$H$1:$ABO$500,AA$2,0),"П")</f>
        <v>0</v>
      </c>
      <c r="AB1386" s="50">
        <f>SUMIFS(INDEX(Техника!$F$1:$ABM$500,AB$2,0),Техника!$F$4:$ABM$4,"Часы",INDEX(Техника!$G$1:$ABN$500,AB$2,0),$A$1383,INDEX(Техника!$H$1:$ABO$500,AB$2,0),"П")</f>
        <v>0</v>
      </c>
    </row>
    <row r="1387" spans="1:28" hidden="1" outlineLevel="1" x14ac:dyDescent="0.3">
      <c r="A1387" s="33" t="s">
        <v>243</v>
      </c>
      <c r="B1387" s="34" t="s">
        <v>278</v>
      </c>
      <c r="C1387" s="50">
        <f>SUMIFS(INDEX(Техника!$F$1:$ABM$500,C$2,0),Техника!$F$4:$ABM$4,"Часы",INDEX(Техника!$G$1:$ABN$500,C$2,0),$A$1383,INDEX(Техника!$H$1:$ABO$500,C$2,0),"Л")</f>
        <v>0</v>
      </c>
      <c r="D1387" s="50">
        <f>SUMIFS(INDEX(Техника!$F$1:$ABM$500,D$2,0),Техника!$F$4:$ABM$4,"Часы",INDEX(Техника!$G$1:$ABN$500,D$2,0),$A$1383,INDEX(Техника!$H$1:$ABO$500,D$2,0),"Л")</f>
        <v>0</v>
      </c>
      <c r="E1387" s="50">
        <f>SUMIFS(INDEX(Техника!$F$1:$ABM$500,E$2,0),Техника!$F$4:$ABM$4,"Часы",INDEX(Техника!$G$1:$ABN$500,E$2,0),$A$1383,INDEX(Техника!$H$1:$ABO$500,E$2,0),"Л")</f>
        <v>0</v>
      </c>
      <c r="F1387" s="50">
        <f>SUMIFS(INDEX(Техника!$F$1:$ABM$500,F$2,0),Техника!$F$4:$ABM$4,"Часы",INDEX(Техника!$G$1:$ABN$500,F$2,0),$A$1383,INDEX(Техника!$H$1:$ABO$500,F$2,0),"Л")</f>
        <v>0</v>
      </c>
      <c r="G1387" s="50">
        <f>SUMIFS(INDEX(Техника!$F$1:$ABM$500,G$2,0),Техника!$F$4:$ABM$4,"Часы",INDEX(Техника!$G$1:$ABN$500,G$2,0),$A$1383,INDEX(Техника!$H$1:$ABO$500,G$2,0),"Л")</f>
        <v>0</v>
      </c>
      <c r="H1387" s="50">
        <f>SUMIFS(INDEX(Техника!$F$1:$ABM$500,H$2,0),Техника!$F$4:$ABM$4,"Часы",INDEX(Техника!$G$1:$ABN$500,H$2,0),$A$1383,INDEX(Техника!$H$1:$ABO$500,H$2,0),"Л")</f>
        <v>0</v>
      </c>
      <c r="I1387" s="50">
        <f>SUMIFS(INDEX(Техника!$F$1:$ABM$500,I$2,0),Техника!$F$4:$ABM$4,"Часы",INDEX(Техника!$G$1:$ABN$500,I$2,0),$A$1383,INDEX(Техника!$H$1:$ABO$500,I$2,0),"Л")</f>
        <v>0</v>
      </c>
      <c r="J1387" s="50">
        <f>SUMIFS(INDEX(Техника!$F$1:$ABM$500,J$2,0),Техника!$F$4:$ABM$4,"Часы",INDEX(Техника!$G$1:$ABN$500,J$2,0),$A$1383,INDEX(Техника!$H$1:$ABO$500,J$2,0),"Л")</f>
        <v>0</v>
      </c>
      <c r="K1387" s="50">
        <f>SUMIFS(INDEX(Техника!$F$1:$ABM$500,K$2,0),Техника!$F$4:$ABM$4,"Часы",INDEX(Техника!$G$1:$ABN$500,K$2,0),$A$1383,INDEX(Техника!$H$1:$ABO$500,K$2,0),"Л")</f>
        <v>0</v>
      </c>
      <c r="L1387" s="50">
        <f>SUMIFS(INDEX(Техника!$F$1:$ABM$500,L$2,0),Техника!$F$4:$ABM$4,"Часы",INDEX(Техника!$G$1:$ABN$500,L$2,0),$A$1383,INDEX(Техника!$H$1:$ABO$500,L$2,0),"Л")</f>
        <v>0</v>
      </c>
      <c r="M1387" s="50">
        <f>SUMIFS(INDEX(Техника!$F$1:$ABM$500,M$2,0),Техника!$F$4:$ABM$4,"Часы",INDEX(Техника!$G$1:$ABN$500,M$2,0),$A$1383,INDEX(Техника!$H$1:$ABO$500,M$2,0),"Л")</f>
        <v>0</v>
      </c>
      <c r="N1387" s="50">
        <f>SUMIFS(INDEX(Техника!$F$1:$ABM$500,N$2,0),Техника!$F$4:$ABM$4,"Часы",INDEX(Техника!$G$1:$ABN$500,N$2,0),$A$1383,INDEX(Техника!$H$1:$ABO$500,N$2,0),"Л")</f>
        <v>0</v>
      </c>
      <c r="O1387" s="50">
        <f>SUMIFS(INDEX(Техника!$F$1:$ABM$500,O$2,0),Техника!$F$4:$ABM$4,"Часы",INDEX(Техника!$G$1:$ABN$500,O$2,0),$A$1383,INDEX(Техника!$H$1:$ABO$500,O$2,0),"Л")</f>
        <v>0</v>
      </c>
      <c r="P1387" s="50">
        <f>SUMIFS(INDEX(Техника!$F$1:$ABM$500,P$2,0),Техника!$F$4:$ABM$4,"Часы",INDEX(Техника!$G$1:$ABN$500,P$2,0),$A$1383,INDEX(Техника!$H$1:$ABO$500,P$2,0),"Л")</f>
        <v>0</v>
      </c>
      <c r="Q1387" s="50">
        <f>SUMIFS(INDEX(Техника!$F$1:$ABM$500,Q$2,0),Техника!$F$4:$ABM$4,"Часы",INDEX(Техника!$G$1:$ABN$500,Q$2,0),$A$1383,INDEX(Техника!$H$1:$ABO$500,Q$2,0),"Л")</f>
        <v>0</v>
      </c>
      <c r="R1387" s="50">
        <f>SUMIFS(INDEX(Техника!$F$1:$ABM$500,R$2,0),Техника!$F$4:$ABM$4,"Часы",INDEX(Техника!$G$1:$ABN$500,R$2,0),$A$1383,INDEX(Техника!$H$1:$ABO$500,R$2,0),"Л")</f>
        <v>0</v>
      </c>
      <c r="S1387" s="50">
        <f>SUMIFS(INDEX(Техника!$F$1:$ABM$500,S$2,0),Техника!$F$4:$ABM$4,"Часы",INDEX(Техника!$G$1:$ABN$500,S$2,0),$A$1383,INDEX(Техника!$H$1:$ABO$500,S$2,0),"Л")</f>
        <v>0</v>
      </c>
      <c r="T1387" s="50">
        <f>SUMIFS(INDEX(Техника!$F$1:$ABM$500,T$2,0),Техника!$F$4:$ABM$4,"Часы",INDEX(Техника!$G$1:$ABN$500,T$2,0),$A$1383,INDEX(Техника!$H$1:$ABO$500,T$2,0),"Л")</f>
        <v>0</v>
      </c>
      <c r="U1387" s="50">
        <f>SUMIFS(INDEX(Техника!$F$1:$ABM$500,U$2,0),Техника!$F$4:$ABM$4,"Часы",INDEX(Техника!$G$1:$ABN$500,U$2,0),$A$1383,INDEX(Техника!$H$1:$ABO$500,U$2,0),"Л")</f>
        <v>0</v>
      </c>
      <c r="V1387" s="50">
        <f>SUMIFS(INDEX(Техника!$F$1:$ABM$500,V$2,0),Техника!$F$4:$ABM$4,"Часы",INDEX(Техника!$G$1:$ABN$500,V$2,0),$A$1383,INDEX(Техника!$H$1:$ABO$500,V$2,0),"Л")</f>
        <v>0</v>
      </c>
      <c r="W1387" s="50">
        <f>SUMIFS(INDEX(Техника!$F$1:$ABM$500,W$2,0),Техника!$F$4:$ABM$4,"Часы",INDEX(Техника!$G$1:$ABN$500,W$2,0),$A$1383,INDEX(Техника!$H$1:$ABO$500,W$2,0),"Л")</f>
        <v>0</v>
      </c>
      <c r="X1387" s="50">
        <f>SUMIFS(INDEX(Техника!$F$1:$ABM$500,X$2,0),Техника!$F$4:$ABM$4,"Часы",INDEX(Техника!$G$1:$ABN$500,X$2,0),$A$1383,INDEX(Техника!$H$1:$ABO$500,X$2,0),"Л")</f>
        <v>0</v>
      </c>
      <c r="Y1387" s="50">
        <f>SUMIFS(INDEX(Техника!$F$1:$ABM$500,Y$2,0),Техника!$F$4:$ABM$4,"Часы",INDEX(Техника!$G$1:$ABN$500,Y$2,0),$A$1383,INDEX(Техника!$H$1:$ABO$500,Y$2,0),"Л")</f>
        <v>0</v>
      </c>
      <c r="Z1387" s="50">
        <f>SUMIFS(INDEX(Техника!$F$1:$ABM$500,Z$2,0),Техника!$F$4:$ABM$4,"Часы",INDEX(Техника!$G$1:$ABN$500,Z$2,0),$A$1383,INDEX(Техника!$H$1:$ABO$500,Z$2,0),"Л")</f>
        <v>0</v>
      </c>
      <c r="AA1387" s="50">
        <f>SUMIFS(INDEX(Техника!$F$1:$ABM$500,AA$2,0),Техника!$F$4:$ABM$4,"Часы",INDEX(Техника!$G$1:$ABN$500,AA$2,0),$A$1383,INDEX(Техника!$H$1:$ABO$500,AA$2,0),"Л")</f>
        <v>0</v>
      </c>
      <c r="AB1387" s="50">
        <f>SUMIFS(INDEX(Техника!$F$1:$ABM$500,AB$2,0),Техника!$F$4:$ABM$4,"Часы",INDEX(Техника!$G$1:$ABN$500,AB$2,0),$A$1383,INDEX(Техника!$H$1:$ABO$500,AB$2,0),"Л")</f>
        <v>0</v>
      </c>
    </row>
    <row r="1388" spans="1:28" hidden="1" outlineLevel="1" x14ac:dyDescent="0.3">
      <c r="A1388" s="33" t="s">
        <v>245</v>
      </c>
      <c r="B1388" s="34" t="s">
        <v>279</v>
      </c>
      <c r="C1388" s="50">
        <f>SUMIFS(INDEX(Техника!$F$1:$ABM$500,C$2,0),Техника!$F$4:$ABM$4,"Часы",INDEX(Техника!$G$1:$ABN$500,C$2,0),$A$1383,INDEX(Техника!$H$1:$ABO$500,C$2,0),"З")</f>
        <v>0</v>
      </c>
      <c r="D1388" s="50">
        <f>SUMIFS(INDEX(Техника!$F$1:$ABM$500,D$2,0),Техника!$F$4:$ABM$4,"Часы",INDEX(Техника!$G$1:$ABN$500,D$2,0),$A$1383,INDEX(Техника!$H$1:$ABO$500,D$2,0),"З")</f>
        <v>0</v>
      </c>
      <c r="E1388" s="50">
        <f>SUMIFS(INDEX(Техника!$F$1:$ABM$500,E$2,0),Техника!$F$4:$ABM$4,"Часы",INDEX(Техника!$G$1:$ABN$500,E$2,0),$A$1383,INDEX(Техника!$H$1:$ABO$500,E$2,0),"З")</f>
        <v>0</v>
      </c>
      <c r="F1388" s="50">
        <f>SUMIFS(INDEX(Техника!$F$1:$ABM$500,F$2,0),Техника!$F$4:$ABM$4,"Часы",INDEX(Техника!$G$1:$ABN$500,F$2,0),$A$1383,INDEX(Техника!$H$1:$ABO$500,F$2,0),"З")</f>
        <v>0</v>
      </c>
      <c r="G1388" s="50">
        <f>SUMIFS(INDEX(Техника!$F$1:$ABM$500,G$2,0),Техника!$F$4:$ABM$4,"Часы",INDEX(Техника!$G$1:$ABN$500,G$2,0),$A$1383,INDEX(Техника!$H$1:$ABO$500,G$2,0),"З")</f>
        <v>0</v>
      </c>
      <c r="H1388" s="50">
        <f>SUMIFS(INDEX(Техника!$F$1:$ABM$500,H$2,0),Техника!$F$4:$ABM$4,"Часы",INDEX(Техника!$G$1:$ABN$500,H$2,0),$A$1383,INDEX(Техника!$H$1:$ABO$500,H$2,0),"З")</f>
        <v>0</v>
      </c>
      <c r="I1388" s="50">
        <f>SUMIFS(INDEX(Техника!$F$1:$ABM$500,I$2,0),Техника!$F$4:$ABM$4,"Часы",INDEX(Техника!$G$1:$ABN$500,I$2,0),$A$1383,INDEX(Техника!$H$1:$ABO$500,I$2,0),"З")</f>
        <v>0</v>
      </c>
      <c r="J1388" s="50">
        <f>SUMIFS(INDEX(Техника!$F$1:$ABM$500,J$2,0),Техника!$F$4:$ABM$4,"Часы",INDEX(Техника!$G$1:$ABN$500,J$2,0),$A$1383,INDEX(Техника!$H$1:$ABO$500,J$2,0),"З")</f>
        <v>0</v>
      </c>
      <c r="K1388" s="50">
        <f>SUMIFS(INDEX(Техника!$F$1:$ABM$500,K$2,0),Техника!$F$4:$ABM$4,"Часы",INDEX(Техника!$G$1:$ABN$500,K$2,0),$A$1383,INDEX(Техника!$H$1:$ABO$500,K$2,0),"З")</f>
        <v>0</v>
      </c>
      <c r="L1388" s="50">
        <f>SUMIFS(INDEX(Техника!$F$1:$ABM$500,L$2,0),Техника!$F$4:$ABM$4,"Часы",INDEX(Техника!$G$1:$ABN$500,L$2,0),$A$1383,INDEX(Техника!$H$1:$ABO$500,L$2,0),"З")</f>
        <v>0</v>
      </c>
      <c r="M1388" s="50">
        <f>SUMIFS(INDEX(Техника!$F$1:$ABM$500,M$2,0),Техника!$F$4:$ABM$4,"Часы",INDEX(Техника!$G$1:$ABN$500,M$2,0),$A$1383,INDEX(Техника!$H$1:$ABO$500,M$2,0),"З")</f>
        <v>0</v>
      </c>
      <c r="N1388" s="50">
        <f>SUMIFS(INDEX(Техника!$F$1:$ABM$500,N$2,0),Техника!$F$4:$ABM$4,"Часы",INDEX(Техника!$G$1:$ABN$500,N$2,0),$A$1383,INDEX(Техника!$H$1:$ABO$500,N$2,0),"З")</f>
        <v>0</v>
      </c>
      <c r="O1388" s="50">
        <f>SUMIFS(INDEX(Техника!$F$1:$ABM$500,O$2,0),Техника!$F$4:$ABM$4,"Часы",INDEX(Техника!$G$1:$ABN$500,O$2,0),$A$1383,INDEX(Техника!$H$1:$ABO$500,O$2,0),"З")</f>
        <v>0</v>
      </c>
      <c r="P1388" s="50">
        <f>SUMIFS(INDEX(Техника!$F$1:$ABM$500,P$2,0),Техника!$F$4:$ABM$4,"Часы",INDEX(Техника!$G$1:$ABN$500,P$2,0),$A$1383,INDEX(Техника!$H$1:$ABO$500,P$2,0),"З")</f>
        <v>0</v>
      </c>
      <c r="Q1388" s="50">
        <f>SUMIFS(INDEX(Техника!$F$1:$ABM$500,Q$2,0),Техника!$F$4:$ABM$4,"Часы",INDEX(Техника!$G$1:$ABN$500,Q$2,0),$A$1383,INDEX(Техника!$H$1:$ABO$500,Q$2,0),"З")</f>
        <v>0</v>
      </c>
      <c r="R1388" s="50">
        <f>SUMIFS(INDEX(Техника!$F$1:$ABM$500,R$2,0),Техника!$F$4:$ABM$4,"Часы",INDEX(Техника!$G$1:$ABN$500,R$2,0),$A$1383,INDEX(Техника!$H$1:$ABO$500,R$2,0),"З")</f>
        <v>0</v>
      </c>
      <c r="S1388" s="50">
        <f>SUMIFS(INDEX(Техника!$F$1:$ABM$500,S$2,0),Техника!$F$4:$ABM$4,"Часы",INDEX(Техника!$G$1:$ABN$500,S$2,0),$A$1383,INDEX(Техника!$H$1:$ABO$500,S$2,0),"З")</f>
        <v>0</v>
      </c>
      <c r="T1388" s="50">
        <f>SUMIFS(INDEX(Техника!$F$1:$ABM$500,T$2,0),Техника!$F$4:$ABM$4,"Часы",INDEX(Техника!$G$1:$ABN$500,T$2,0),$A$1383,INDEX(Техника!$H$1:$ABO$500,T$2,0),"З")</f>
        <v>0</v>
      </c>
      <c r="U1388" s="50">
        <f>SUMIFS(INDEX(Техника!$F$1:$ABM$500,U$2,0),Техника!$F$4:$ABM$4,"Часы",INDEX(Техника!$G$1:$ABN$500,U$2,0),$A$1383,INDEX(Техника!$H$1:$ABO$500,U$2,0),"З")</f>
        <v>0</v>
      </c>
      <c r="V1388" s="50">
        <f>SUMIFS(INDEX(Техника!$F$1:$ABM$500,V$2,0),Техника!$F$4:$ABM$4,"Часы",INDEX(Техника!$G$1:$ABN$500,V$2,0),$A$1383,INDEX(Техника!$H$1:$ABO$500,V$2,0),"З")</f>
        <v>0</v>
      </c>
      <c r="W1388" s="50">
        <f>SUMIFS(INDEX(Техника!$F$1:$ABM$500,W$2,0),Техника!$F$4:$ABM$4,"Часы",INDEX(Техника!$G$1:$ABN$500,W$2,0),$A$1383,INDEX(Техника!$H$1:$ABO$500,W$2,0),"З")</f>
        <v>0</v>
      </c>
      <c r="X1388" s="50">
        <f>SUMIFS(INDEX(Техника!$F$1:$ABM$500,X$2,0),Техника!$F$4:$ABM$4,"Часы",INDEX(Техника!$G$1:$ABN$500,X$2,0),$A$1383,INDEX(Техника!$H$1:$ABO$500,X$2,0),"З")</f>
        <v>0</v>
      </c>
      <c r="Y1388" s="50">
        <f>SUMIFS(INDEX(Техника!$F$1:$ABM$500,Y$2,0),Техника!$F$4:$ABM$4,"Часы",INDEX(Техника!$G$1:$ABN$500,Y$2,0),$A$1383,INDEX(Техника!$H$1:$ABO$500,Y$2,0),"З")</f>
        <v>0</v>
      </c>
      <c r="Z1388" s="50">
        <f>SUMIFS(INDEX(Техника!$F$1:$ABM$500,Z$2,0),Техника!$F$4:$ABM$4,"Часы",INDEX(Техника!$G$1:$ABN$500,Z$2,0),$A$1383,INDEX(Техника!$H$1:$ABO$500,Z$2,0),"З")</f>
        <v>0</v>
      </c>
      <c r="AA1388" s="50">
        <f>SUMIFS(INDEX(Техника!$F$1:$ABM$500,AA$2,0),Техника!$F$4:$ABM$4,"Часы",INDEX(Техника!$G$1:$ABN$500,AA$2,0),$A$1383,INDEX(Техника!$H$1:$ABO$500,AA$2,0),"З")</f>
        <v>0</v>
      </c>
      <c r="AB1388" s="50">
        <f>SUMIFS(INDEX(Техника!$F$1:$ABM$500,AB$2,0),Техника!$F$4:$ABM$4,"Часы",INDEX(Техника!$G$1:$ABN$500,AB$2,0),$A$1383,INDEX(Техника!$H$1:$ABO$500,AB$2,0),"З")</f>
        <v>0</v>
      </c>
    </row>
    <row r="1389" spans="1:28" ht="7.95" customHeight="1" x14ac:dyDescent="0.3">
      <c r="A1389" s="38"/>
      <c r="B1389" s="39"/>
      <c r="C1389" s="51"/>
      <c r="D1389" s="51"/>
      <c r="E1389" s="51"/>
      <c r="F1389" s="51"/>
      <c r="G1389" s="51"/>
      <c r="H1389" s="51"/>
      <c r="I1389" s="51"/>
      <c r="J1389" s="51"/>
      <c r="K1389" s="51"/>
      <c r="L1389" s="51"/>
      <c r="M1389" s="51"/>
      <c r="N1389" s="51"/>
      <c r="O1389" s="51"/>
      <c r="P1389" s="51"/>
      <c r="Q1389" s="51"/>
      <c r="R1389" s="51"/>
      <c r="S1389" s="51"/>
      <c r="T1389" s="51"/>
      <c r="U1389" s="51"/>
      <c r="V1389" s="51"/>
      <c r="W1389" s="51"/>
      <c r="X1389" s="51"/>
      <c r="Y1389" s="51"/>
      <c r="Z1389" s="51"/>
      <c r="AA1389" s="51"/>
      <c r="AB1389" s="51"/>
    </row>
    <row r="1390" spans="1:28" ht="25.05" customHeight="1" collapsed="1" x14ac:dyDescent="0.3">
      <c r="A1390" s="32">
        <v>199</v>
      </c>
      <c r="B1390" s="32" t="s">
        <v>200</v>
      </c>
      <c r="C1390" s="49">
        <f>SUM(C1391:C1395)</f>
        <v>0</v>
      </c>
      <c r="D1390" s="49">
        <f>SUM(D1391:D1395)</f>
        <v>0</v>
      </c>
      <c r="E1390" s="49">
        <f>SUM(E1391:E1395)</f>
        <v>0</v>
      </c>
      <c r="F1390" s="49">
        <f>SUM(F1391:F1395)</f>
        <v>0</v>
      </c>
      <c r="G1390" s="49">
        <f>SUM(G1391:G1395)</f>
        <v>0</v>
      </c>
      <c r="H1390" s="49">
        <f>SUM(H1391:H1395)</f>
        <v>0</v>
      </c>
      <c r="I1390" s="49">
        <f>SUM(I1391:I1395)</f>
        <v>0</v>
      </c>
      <c r="J1390" s="49">
        <f>SUM(J1391:J1395)</f>
        <v>0</v>
      </c>
      <c r="K1390" s="49">
        <f>SUM(K1391:K1395)</f>
        <v>0</v>
      </c>
      <c r="L1390" s="49">
        <f>SUM(L1391:L1395)</f>
        <v>0</v>
      </c>
      <c r="M1390" s="49">
        <f>SUM(M1391:M1395)</f>
        <v>0</v>
      </c>
      <c r="N1390" s="49">
        <f>SUM(N1391:N1395)</f>
        <v>0</v>
      </c>
      <c r="O1390" s="49">
        <f>SUM(O1391:O1395)</f>
        <v>0</v>
      </c>
      <c r="P1390" s="49">
        <f>SUM(P1391:P1395)</f>
        <v>0</v>
      </c>
      <c r="Q1390" s="49">
        <f>SUM(Q1391:Q1395)</f>
        <v>0</v>
      </c>
      <c r="R1390" s="49">
        <f>SUM(R1391:R1395)</f>
        <v>0</v>
      </c>
      <c r="S1390" s="49">
        <f>SUM(S1391:S1395)</f>
        <v>0</v>
      </c>
      <c r="T1390" s="49">
        <f>SUM(T1391:T1395)</f>
        <v>0</v>
      </c>
      <c r="U1390" s="49">
        <f>SUM(U1391:U1395)</f>
        <v>0</v>
      </c>
      <c r="V1390" s="49">
        <f>SUM(V1391:V1395)</f>
        <v>0</v>
      </c>
      <c r="W1390" s="49">
        <f>SUM(W1391:W1395)</f>
        <v>0</v>
      </c>
      <c r="X1390" s="49">
        <f>SUM(X1391:X1395)</f>
        <v>0</v>
      </c>
      <c r="Y1390" s="49">
        <f>SUM(Y1391:Y1395)</f>
        <v>0</v>
      </c>
      <c r="Z1390" s="49">
        <f>SUM(Z1391:Z1395)</f>
        <v>0</v>
      </c>
      <c r="AA1390" s="49">
        <f>SUM(AA1391:AA1395)</f>
        <v>0</v>
      </c>
      <c r="AB1390" s="49">
        <f>SUM(AB1391:AB1395)</f>
        <v>0</v>
      </c>
    </row>
    <row r="1391" spans="1:28" hidden="1" outlineLevel="1" x14ac:dyDescent="0.3">
      <c r="A1391" s="33" t="s">
        <v>246</v>
      </c>
      <c r="B1391" s="34" t="s">
        <v>274</v>
      </c>
      <c r="C1391" s="50">
        <f>SUMIFS(INDEX(Техника!$F$1:$ABM$500,C$2,0),Техника!$F$4:$ABM$4,"Часы",INDEX(Техника!$G$1:$ABN$500,C$2,0),$A$1390,INDEX(Техника!$H$1:$ABO$500,C$2,0),"М")</f>
        <v>0</v>
      </c>
      <c r="D1391" s="50">
        <f>SUMIFS(INDEX(Техника!$F$1:$ABM$500,D$2,0),Техника!$F$4:$ABM$4,"Часы",INDEX(Техника!$G$1:$ABN$500,D$2,0),$A$1390,INDEX(Техника!$H$1:$ABO$500,D$2,0),"М")</f>
        <v>0</v>
      </c>
      <c r="E1391" s="50">
        <f>SUMIFS(INDEX(Техника!$F$1:$ABM$500,E$2,0),Техника!$F$4:$ABM$4,"Часы",INDEX(Техника!$G$1:$ABN$500,E$2,0),$A$1390,INDEX(Техника!$H$1:$ABO$500,E$2,0),"М")</f>
        <v>0</v>
      </c>
      <c r="F1391" s="50">
        <f>SUMIFS(INDEX(Техника!$F$1:$ABM$500,F$2,0),Техника!$F$4:$ABM$4,"Часы",INDEX(Техника!$G$1:$ABN$500,F$2,0),$A$1390,INDEX(Техника!$H$1:$ABO$500,F$2,0),"М")</f>
        <v>0</v>
      </c>
      <c r="G1391" s="50">
        <f>SUMIFS(INDEX(Техника!$F$1:$ABM$500,G$2,0),Техника!$F$4:$ABM$4,"Часы",INDEX(Техника!$G$1:$ABN$500,G$2,0),$A$1390,INDEX(Техника!$H$1:$ABO$500,G$2,0),"М")</f>
        <v>0</v>
      </c>
      <c r="H1391" s="50">
        <f>SUMIFS(INDEX(Техника!$F$1:$ABM$500,H$2,0),Техника!$F$4:$ABM$4,"Часы",INDEX(Техника!$G$1:$ABN$500,H$2,0),$A$1390,INDEX(Техника!$H$1:$ABO$500,H$2,0),"М")</f>
        <v>0</v>
      </c>
      <c r="I1391" s="50">
        <f>SUMIFS(INDEX(Техника!$F$1:$ABM$500,I$2,0),Техника!$F$4:$ABM$4,"Часы",INDEX(Техника!$G$1:$ABN$500,I$2,0),$A$1390,INDEX(Техника!$H$1:$ABO$500,I$2,0),"М")</f>
        <v>0</v>
      </c>
      <c r="J1391" s="50">
        <f>SUMIFS(INDEX(Техника!$F$1:$ABM$500,J$2,0),Техника!$F$4:$ABM$4,"Часы",INDEX(Техника!$G$1:$ABN$500,J$2,0),$A$1390,INDEX(Техника!$H$1:$ABO$500,J$2,0),"М")</f>
        <v>0</v>
      </c>
      <c r="K1391" s="50">
        <f>SUMIFS(INDEX(Техника!$F$1:$ABM$500,K$2,0),Техника!$F$4:$ABM$4,"Часы",INDEX(Техника!$G$1:$ABN$500,K$2,0),$A$1390,INDEX(Техника!$H$1:$ABO$500,K$2,0),"М")</f>
        <v>0</v>
      </c>
      <c r="L1391" s="50">
        <f>SUMIFS(INDEX(Техника!$F$1:$ABM$500,L$2,0),Техника!$F$4:$ABM$4,"Часы",INDEX(Техника!$G$1:$ABN$500,L$2,0),$A$1390,INDEX(Техника!$H$1:$ABO$500,L$2,0),"М")</f>
        <v>0</v>
      </c>
      <c r="M1391" s="50">
        <f>SUMIFS(INDEX(Техника!$F$1:$ABM$500,M$2,0),Техника!$F$4:$ABM$4,"Часы",INDEX(Техника!$G$1:$ABN$500,M$2,0),$A$1390,INDEX(Техника!$H$1:$ABO$500,M$2,0),"М")</f>
        <v>0</v>
      </c>
      <c r="N1391" s="50">
        <f>SUMIFS(INDEX(Техника!$F$1:$ABM$500,N$2,0),Техника!$F$4:$ABM$4,"Часы",INDEX(Техника!$G$1:$ABN$500,N$2,0),$A$1390,INDEX(Техника!$H$1:$ABO$500,N$2,0),"М")</f>
        <v>0</v>
      </c>
      <c r="O1391" s="50">
        <f>SUMIFS(INDEX(Техника!$F$1:$ABM$500,O$2,0),Техника!$F$4:$ABM$4,"Часы",INDEX(Техника!$G$1:$ABN$500,O$2,0),$A$1390,INDEX(Техника!$H$1:$ABO$500,O$2,0),"М")</f>
        <v>0</v>
      </c>
      <c r="P1391" s="50">
        <f>SUMIFS(INDEX(Техника!$F$1:$ABM$500,P$2,0),Техника!$F$4:$ABM$4,"Часы",INDEX(Техника!$G$1:$ABN$500,P$2,0),$A$1390,INDEX(Техника!$H$1:$ABO$500,P$2,0),"М")</f>
        <v>0</v>
      </c>
      <c r="Q1391" s="50">
        <f>SUMIFS(INDEX(Техника!$F$1:$ABM$500,Q$2,0),Техника!$F$4:$ABM$4,"Часы",INDEX(Техника!$G$1:$ABN$500,Q$2,0),$A$1390,INDEX(Техника!$H$1:$ABO$500,Q$2,0),"М")</f>
        <v>0</v>
      </c>
      <c r="R1391" s="50">
        <f>SUMIFS(INDEX(Техника!$F$1:$ABM$500,R$2,0),Техника!$F$4:$ABM$4,"Часы",INDEX(Техника!$G$1:$ABN$500,R$2,0),$A$1390,INDEX(Техника!$H$1:$ABO$500,R$2,0),"М")</f>
        <v>0</v>
      </c>
      <c r="S1391" s="50">
        <f>SUMIFS(INDEX(Техника!$F$1:$ABM$500,S$2,0),Техника!$F$4:$ABM$4,"Часы",INDEX(Техника!$G$1:$ABN$500,S$2,0),$A$1390,INDEX(Техника!$H$1:$ABO$500,S$2,0),"М")</f>
        <v>0</v>
      </c>
      <c r="T1391" s="50">
        <f>SUMIFS(INDEX(Техника!$F$1:$ABM$500,T$2,0),Техника!$F$4:$ABM$4,"Часы",INDEX(Техника!$G$1:$ABN$500,T$2,0),$A$1390,INDEX(Техника!$H$1:$ABO$500,T$2,0),"М")</f>
        <v>0</v>
      </c>
      <c r="U1391" s="50">
        <f>SUMIFS(INDEX(Техника!$F$1:$ABM$500,U$2,0),Техника!$F$4:$ABM$4,"Часы",INDEX(Техника!$G$1:$ABN$500,U$2,0),$A$1390,INDEX(Техника!$H$1:$ABO$500,U$2,0),"М")</f>
        <v>0</v>
      </c>
      <c r="V1391" s="50">
        <f>SUMIFS(INDEX(Техника!$F$1:$ABM$500,V$2,0),Техника!$F$4:$ABM$4,"Часы",INDEX(Техника!$G$1:$ABN$500,V$2,0),$A$1390,INDEX(Техника!$H$1:$ABO$500,V$2,0),"М")</f>
        <v>0</v>
      </c>
      <c r="W1391" s="50">
        <f>SUMIFS(INDEX(Техника!$F$1:$ABM$500,W$2,0),Техника!$F$4:$ABM$4,"Часы",INDEX(Техника!$G$1:$ABN$500,W$2,0),$A$1390,INDEX(Техника!$H$1:$ABO$500,W$2,0),"М")</f>
        <v>0</v>
      </c>
      <c r="X1391" s="50">
        <f>SUMIFS(INDEX(Техника!$F$1:$ABM$500,X$2,0),Техника!$F$4:$ABM$4,"Часы",INDEX(Техника!$G$1:$ABN$500,X$2,0),$A$1390,INDEX(Техника!$H$1:$ABO$500,X$2,0),"М")</f>
        <v>0</v>
      </c>
      <c r="Y1391" s="50">
        <f>SUMIFS(INDEX(Техника!$F$1:$ABM$500,Y$2,0),Техника!$F$4:$ABM$4,"Часы",INDEX(Техника!$G$1:$ABN$500,Y$2,0),$A$1390,INDEX(Техника!$H$1:$ABO$500,Y$2,0),"М")</f>
        <v>0</v>
      </c>
      <c r="Z1391" s="50">
        <f>SUMIFS(INDEX(Техника!$F$1:$ABM$500,Z$2,0),Техника!$F$4:$ABM$4,"Часы",INDEX(Техника!$G$1:$ABN$500,Z$2,0),$A$1390,INDEX(Техника!$H$1:$ABO$500,Z$2,0),"М")</f>
        <v>0</v>
      </c>
      <c r="AA1391" s="50">
        <f>SUMIFS(INDEX(Техника!$F$1:$ABM$500,AA$2,0),Техника!$F$4:$ABM$4,"Часы",INDEX(Техника!$G$1:$ABN$500,AA$2,0),$A$1390,INDEX(Техника!$H$1:$ABO$500,AA$2,0),"М")</f>
        <v>0</v>
      </c>
      <c r="AB1391" s="50">
        <f>SUMIFS(INDEX(Техника!$F$1:$ABM$500,AB$2,0),Техника!$F$4:$ABM$4,"Часы",INDEX(Техника!$G$1:$ABN$500,AB$2,0),$A$1390,INDEX(Техника!$H$1:$ABO$500,AB$2,0),"М")</f>
        <v>0</v>
      </c>
    </row>
    <row r="1392" spans="1:28" hidden="1" outlineLevel="1" x14ac:dyDescent="0.3">
      <c r="A1392" s="33" t="s">
        <v>244</v>
      </c>
      <c r="B1392" s="34" t="s">
        <v>275</v>
      </c>
      <c r="C1392" s="50">
        <f>SUMIFS(INDEX(Техника!$F$1:$ABM$500,C$2,0),Техника!$F$4:$ABM$4,"Часы",INDEX(Техника!$G$1:$ABN$500,C$2,0),$A$1390,INDEX(Техника!$H$1:$ABO$500,C$2,0),"Д")</f>
        <v>0</v>
      </c>
      <c r="D1392" s="50">
        <f>SUMIFS(INDEX(Техника!$F$1:$ABM$500,D$2,0),Техника!$F$4:$ABM$4,"Часы",INDEX(Техника!$G$1:$ABN$500,D$2,0),$A$1390,INDEX(Техника!$H$1:$ABO$500,D$2,0),"Д")</f>
        <v>0</v>
      </c>
      <c r="E1392" s="50">
        <f>SUMIFS(INDEX(Техника!$F$1:$ABM$500,E$2,0),Техника!$F$4:$ABM$4,"Часы",INDEX(Техника!$G$1:$ABN$500,E$2,0),$A$1390,INDEX(Техника!$H$1:$ABO$500,E$2,0),"Д")</f>
        <v>0</v>
      </c>
      <c r="F1392" s="50">
        <f>SUMIFS(INDEX(Техника!$F$1:$ABM$500,F$2,0),Техника!$F$4:$ABM$4,"Часы",INDEX(Техника!$G$1:$ABN$500,F$2,0),$A$1390,INDEX(Техника!$H$1:$ABO$500,F$2,0),"Д")</f>
        <v>0</v>
      </c>
      <c r="G1392" s="50">
        <f>SUMIFS(INDEX(Техника!$F$1:$ABM$500,G$2,0),Техника!$F$4:$ABM$4,"Часы",INDEX(Техника!$G$1:$ABN$500,G$2,0),$A$1390,INDEX(Техника!$H$1:$ABO$500,G$2,0),"Д")</f>
        <v>0</v>
      </c>
      <c r="H1392" s="50">
        <f>SUMIFS(INDEX(Техника!$F$1:$ABM$500,H$2,0),Техника!$F$4:$ABM$4,"Часы",INDEX(Техника!$G$1:$ABN$500,H$2,0),$A$1390,INDEX(Техника!$H$1:$ABO$500,H$2,0),"Д")</f>
        <v>0</v>
      </c>
      <c r="I1392" s="50">
        <f>SUMIFS(INDEX(Техника!$F$1:$ABM$500,I$2,0),Техника!$F$4:$ABM$4,"Часы",INDEX(Техника!$G$1:$ABN$500,I$2,0),$A$1390,INDEX(Техника!$H$1:$ABO$500,I$2,0),"Д")</f>
        <v>0</v>
      </c>
      <c r="J1392" s="50">
        <f>SUMIFS(INDEX(Техника!$F$1:$ABM$500,J$2,0),Техника!$F$4:$ABM$4,"Часы",INDEX(Техника!$G$1:$ABN$500,J$2,0),$A$1390,INDEX(Техника!$H$1:$ABO$500,J$2,0),"Д")</f>
        <v>0</v>
      </c>
      <c r="K1392" s="50">
        <f>SUMIFS(INDEX(Техника!$F$1:$ABM$500,K$2,0),Техника!$F$4:$ABM$4,"Часы",INDEX(Техника!$G$1:$ABN$500,K$2,0),$A$1390,INDEX(Техника!$H$1:$ABO$500,K$2,0),"Д")</f>
        <v>0</v>
      </c>
      <c r="L1392" s="50">
        <f>SUMIFS(INDEX(Техника!$F$1:$ABM$500,L$2,0),Техника!$F$4:$ABM$4,"Часы",INDEX(Техника!$G$1:$ABN$500,L$2,0),$A$1390,INDEX(Техника!$H$1:$ABO$500,L$2,0),"Д")</f>
        <v>0</v>
      </c>
      <c r="M1392" s="50">
        <f>SUMIFS(INDEX(Техника!$F$1:$ABM$500,M$2,0),Техника!$F$4:$ABM$4,"Часы",INDEX(Техника!$G$1:$ABN$500,M$2,0),$A$1390,INDEX(Техника!$H$1:$ABO$500,M$2,0),"Д")</f>
        <v>0</v>
      </c>
      <c r="N1392" s="50">
        <f>SUMIFS(INDEX(Техника!$F$1:$ABM$500,N$2,0),Техника!$F$4:$ABM$4,"Часы",INDEX(Техника!$G$1:$ABN$500,N$2,0),$A$1390,INDEX(Техника!$H$1:$ABO$500,N$2,0),"Д")</f>
        <v>0</v>
      </c>
      <c r="O1392" s="50">
        <f>SUMIFS(INDEX(Техника!$F$1:$ABM$500,O$2,0),Техника!$F$4:$ABM$4,"Часы",INDEX(Техника!$G$1:$ABN$500,O$2,0),$A$1390,INDEX(Техника!$H$1:$ABO$500,O$2,0),"Д")</f>
        <v>0</v>
      </c>
      <c r="P1392" s="50">
        <f>SUMIFS(INDEX(Техника!$F$1:$ABM$500,P$2,0),Техника!$F$4:$ABM$4,"Часы",INDEX(Техника!$G$1:$ABN$500,P$2,0),$A$1390,INDEX(Техника!$H$1:$ABO$500,P$2,0),"Д")</f>
        <v>0</v>
      </c>
      <c r="Q1392" s="50">
        <f>SUMIFS(INDEX(Техника!$F$1:$ABM$500,Q$2,0),Техника!$F$4:$ABM$4,"Часы",INDEX(Техника!$G$1:$ABN$500,Q$2,0),$A$1390,INDEX(Техника!$H$1:$ABO$500,Q$2,0),"Д")</f>
        <v>0</v>
      </c>
      <c r="R1392" s="50">
        <f>SUMIFS(INDEX(Техника!$F$1:$ABM$500,R$2,0),Техника!$F$4:$ABM$4,"Часы",INDEX(Техника!$G$1:$ABN$500,R$2,0),$A$1390,INDEX(Техника!$H$1:$ABO$500,R$2,0),"Д")</f>
        <v>0</v>
      </c>
      <c r="S1392" s="50">
        <f>SUMIFS(INDEX(Техника!$F$1:$ABM$500,S$2,0),Техника!$F$4:$ABM$4,"Часы",INDEX(Техника!$G$1:$ABN$500,S$2,0),$A$1390,INDEX(Техника!$H$1:$ABO$500,S$2,0),"Д")</f>
        <v>0</v>
      </c>
      <c r="T1392" s="50">
        <f>SUMIFS(INDEX(Техника!$F$1:$ABM$500,T$2,0),Техника!$F$4:$ABM$4,"Часы",INDEX(Техника!$G$1:$ABN$500,T$2,0),$A$1390,INDEX(Техника!$H$1:$ABO$500,T$2,0),"Д")</f>
        <v>0</v>
      </c>
      <c r="U1392" s="50">
        <f>SUMIFS(INDEX(Техника!$F$1:$ABM$500,U$2,0),Техника!$F$4:$ABM$4,"Часы",INDEX(Техника!$G$1:$ABN$500,U$2,0),$A$1390,INDEX(Техника!$H$1:$ABO$500,U$2,0),"Д")</f>
        <v>0</v>
      </c>
      <c r="V1392" s="50">
        <f>SUMIFS(INDEX(Техника!$F$1:$ABM$500,V$2,0),Техника!$F$4:$ABM$4,"Часы",INDEX(Техника!$G$1:$ABN$500,V$2,0),$A$1390,INDEX(Техника!$H$1:$ABO$500,V$2,0),"Д")</f>
        <v>0</v>
      </c>
      <c r="W1392" s="50">
        <f>SUMIFS(INDEX(Техника!$F$1:$ABM$500,W$2,0),Техника!$F$4:$ABM$4,"Часы",INDEX(Техника!$G$1:$ABN$500,W$2,0),$A$1390,INDEX(Техника!$H$1:$ABO$500,W$2,0),"Д")</f>
        <v>0</v>
      </c>
      <c r="X1392" s="50">
        <f>SUMIFS(INDEX(Техника!$F$1:$ABM$500,X$2,0),Техника!$F$4:$ABM$4,"Часы",INDEX(Техника!$G$1:$ABN$500,X$2,0),$A$1390,INDEX(Техника!$H$1:$ABO$500,X$2,0),"Д")</f>
        <v>0</v>
      </c>
      <c r="Y1392" s="50">
        <f>SUMIFS(INDEX(Техника!$F$1:$ABM$500,Y$2,0),Техника!$F$4:$ABM$4,"Часы",INDEX(Техника!$G$1:$ABN$500,Y$2,0),$A$1390,INDEX(Техника!$H$1:$ABO$500,Y$2,0),"Д")</f>
        <v>0</v>
      </c>
      <c r="Z1392" s="50">
        <f>SUMIFS(INDEX(Техника!$F$1:$ABM$500,Z$2,0),Техника!$F$4:$ABM$4,"Часы",INDEX(Техника!$G$1:$ABN$500,Z$2,0),$A$1390,INDEX(Техника!$H$1:$ABO$500,Z$2,0),"Д")</f>
        <v>0</v>
      </c>
      <c r="AA1392" s="50">
        <f>SUMIFS(INDEX(Техника!$F$1:$ABM$500,AA$2,0),Техника!$F$4:$ABM$4,"Часы",INDEX(Техника!$G$1:$ABN$500,AA$2,0),$A$1390,INDEX(Техника!$H$1:$ABO$500,AA$2,0),"Д")</f>
        <v>0</v>
      </c>
      <c r="AB1392" s="50">
        <f>SUMIFS(INDEX(Техника!$F$1:$ABM$500,AB$2,0),Техника!$F$4:$ABM$4,"Часы",INDEX(Техника!$G$1:$ABN$500,AB$2,0),$A$1390,INDEX(Техника!$H$1:$ABO$500,AB$2,0),"Д")</f>
        <v>0</v>
      </c>
    </row>
    <row r="1393" spans="1:28" hidden="1" outlineLevel="1" x14ac:dyDescent="0.3">
      <c r="A1393" s="33" t="s">
        <v>276</v>
      </c>
      <c r="B1393" s="34" t="s">
        <v>277</v>
      </c>
      <c r="C1393" s="50">
        <f>SUMIFS(INDEX(Техника!$F$1:$ABM$500,C$2,0),Техника!$F$4:$ABM$4,"Часы",INDEX(Техника!$G$1:$ABN$500,C$2,0),$A$1390,INDEX(Техника!$H$1:$ABO$500,C$2,0),"П")</f>
        <v>0</v>
      </c>
      <c r="D1393" s="50">
        <f>SUMIFS(INDEX(Техника!$F$1:$ABM$500,D$2,0),Техника!$F$4:$ABM$4,"Часы",INDEX(Техника!$G$1:$ABN$500,D$2,0),$A$1390,INDEX(Техника!$H$1:$ABO$500,D$2,0),"П")</f>
        <v>0</v>
      </c>
      <c r="E1393" s="50">
        <f>SUMIFS(INDEX(Техника!$F$1:$ABM$500,E$2,0),Техника!$F$4:$ABM$4,"Часы",INDEX(Техника!$G$1:$ABN$500,E$2,0),$A$1390,INDEX(Техника!$H$1:$ABO$500,E$2,0),"П")</f>
        <v>0</v>
      </c>
      <c r="F1393" s="50">
        <f>SUMIFS(INDEX(Техника!$F$1:$ABM$500,F$2,0),Техника!$F$4:$ABM$4,"Часы",INDEX(Техника!$G$1:$ABN$500,F$2,0),$A$1390,INDEX(Техника!$H$1:$ABO$500,F$2,0),"П")</f>
        <v>0</v>
      </c>
      <c r="G1393" s="50">
        <f>SUMIFS(INDEX(Техника!$F$1:$ABM$500,G$2,0),Техника!$F$4:$ABM$4,"Часы",INDEX(Техника!$G$1:$ABN$500,G$2,0),$A$1390,INDEX(Техника!$H$1:$ABO$500,G$2,0),"П")</f>
        <v>0</v>
      </c>
      <c r="H1393" s="50">
        <f>SUMIFS(INDEX(Техника!$F$1:$ABM$500,H$2,0),Техника!$F$4:$ABM$4,"Часы",INDEX(Техника!$G$1:$ABN$500,H$2,0),$A$1390,INDEX(Техника!$H$1:$ABO$500,H$2,0),"П")</f>
        <v>0</v>
      </c>
      <c r="I1393" s="50">
        <f>SUMIFS(INDEX(Техника!$F$1:$ABM$500,I$2,0),Техника!$F$4:$ABM$4,"Часы",INDEX(Техника!$G$1:$ABN$500,I$2,0),$A$1390,INDEX(Техника!$H$1:$ABO$500,I$2,0),"П")</f>
        <v>0</v>
      </c>
      <c r="J1393" s="50">
        <f>SUMIFS(INDEX(Техника!$F$1:$ABM$500,J$2,0),Техника!$F$4:$ABM$4,"Часы",INDEX(Техника!$G$1:$ABN$500,J$2,0),$A$1390,INDEX(Техника!$H$1:$ABO$500,J$2,0),"П")</f>
        <v>0</v>
      </c>
      <c r="K1393" s="50">
        <f>SUMIFS(INDEX(Техника!$F$1:$ABM$500,K$2,0),Техника!$F$4:$ABM$4,"Часы",INDEX(Техника!$G$1:$ABN$500,K$2,0),$A$1390,INDEX(Техника!$H$1:$ABO$500,K$2,0),"П")</f>
        <v>0</v>
      </c>
      <c r="L1393" s="50">
        <f>SUMIFS(INDEX(Техника!$F$1:$ABM$500,L$2,0),Техника!$F$4:$ABM$4,"Часы",INDEX(Техника!$G$1:$ABN$500,L$2,0),$A$1390,INDEX(Техника!$H$1:$ABO$500,L$2,0),"П")</f>
        <v>0</v>
      </c>
      <c r="M1393" s="50">
        <f>SUMIFS(INDEX(Техника!$F$1:$ABM$500,M$2,0),Техника!$F$4:$ABM$4,"Часы",INDEX(Техника!$G$1:$ABN$500,M$2,0),$A$1390,INDEX(Техника!$H$1:$ABO$500,M$2,0),"П")</f>
        <v>0</v>
      </c>
      <c r="N1393" s="50">
        <f>SUMIFS(INDEX(Техника!$F$1:$ABM$500,N$2,0),Техника!$F$4:$ABM$4,"Часы",INDEX(Техника!$G$1:$ABN$500,N$2,0),$A$1390,INDEX(Техника!$H$1:$ABO$500,N$2,0),"П")</f>
        <v>0</v>
      </c>
      <c r="O1393" s="50">
        <f>SUMIFS(INDEX(Техника!$F$1:$ABM$500,O$2,0),Техника!$F$4:$ABM$4,"Часы",INDEX(Техника!$G$1:$ABN$500,O$2,0),$A$1390,INDEX(Техника!$H$1:$ABO$500,O$2,0),"П")</f>
        <v>0</v>
      </c>
      <c r="P1393" s="50">
        <f>SUMIFS(INDEX(Техника!$F$1:$ABM$500,P$2,0),Техника!$F$4:$ABM$4,"Часы",INDEX(Техника!$G$1:$ABN$500,P$2,0),$A$1390,INDEX(Техника!$H$1:$ABO$500,P$2,0),"П")</f>
        <v>0</v>
      </c>
      <c r="Q1393" s="50">
        <f>SUMIFS(INDEX(Техника!$F$1:$ABM$500,Q$2,0),Техника!$F$4:$ABM$4,"Часы",INDEX(Техника!$G$1:$ABN$500,Q$2,0),$A$1390,INDEX(Техника!$H$1:$ABO$500,Q$2,0),"П")</f>
        <v>0</v>
      </c>
      <c r="R1393" s="50">
        <f>SUMIFS(INDEX(Техника!$F$1:$ABM$500,R$2,0),Техника!$F$4:$ABM$4,"Часы",INDEX(Техника!$G$1:$ABN$500,R$2,0),$A$1390,INDEX(Техника!$H$1:$ABO$500,R$2,0),"П")</f>
        <v>0</v>
      </c>
      <c r="S1393" s="50">
        <f>SUMIFS(INDEX(Техника!$F$1:$ABM$500,S$2,0),Техника!$F$4:$ABM$4,"Часы",INDEX(Техника!$G$1:$ABN$500,S$2,0),$A$1390,INDEX(Техника!$H$1:$ABO$500,S$2,0),"П")</f>
        <v>0</v>
      </c>
      <c r="T1393" s="50">
        <f>SUMIFS(INDEX(Техника!$F$1:$ABM$500,T$2,0),Техника!$F$4:$ABM$4,"Часы",INDEX(Техника!$G$1:$ABN$500,T$2,0),$A$1390,INDEX(Техника!$H$1:$ABO$500,T$2,0),"П")</f>
        <v>0</v>
      </c>
      <c r="U1393" s="50">
        <f>SUMIFS(INDEX(Техника!$F$1:$ABM$500,U$2,0),Техника!$F$4:$ABM$4,"Часы",INDEX(Техника!$G$1:$ABN$500,U$2,0),$A$1390,INDEX(Техника!$H$1:$ABO$500,U$2,0),"П")</f>
        <v>0</v>
      </c>
      <c r="V1393" s="50">
        <f>SUMIFS(INDEX(Техника!$F$1:$ABM$500,V$2,0),Техника!$F$4:$ABM$4,"Часы",INDEX(Техника!$G$1:$ABN$500,V$2,0),$A$1390,INDEX(Техника!$H$1:$ABO$500,V$2,0),"П")</f>
        <v>0</v>
      </c>
      <c r="W1393" s="50">
        <f>SUMIFS(INDEX(Техника!$F$1:$ABM$500,W$2,0),Техника!$F$4:$ABM$4,"Часы",INDEX(Техника!$G$1:$ABN$500,W$2,0),$A$1390,INDEX(Техника!$H$1:$ABO$500,W$2,0),"П")</f>
        <v>0</v>
      </c>
      <c r="X1393" s="50">
        <f>SUMIFS(INDEX(Техника!$F$1:$ABM$500,X$2,0),Техника!$F$4:$ABM$4,"Часы",INDEX(Техника!$G$1:$ABN$500,X$2,0),$A$1390,INDEX(Техника!$H$1:$ABO$500,X$2,0),"П")</f>
        <v>0</v>
      </c>
      <c r="Y1393" s="50">
        <f>SUMIFS(INDEX(Техника!$F$1:$ABM$500,Y$2,0),Техника!$F$4:$ABM$4,"Часы",INDEX(Техника!$G$1:$ABN$500,Y$2,0),$A$1390,INDEX(Техника!$H$1:$ABO$500,Y$2,0),"П")</f>
        <v>0</v>
      </c>
      <c r="Z1393" s="50">
        <f>SUMIFS(INDEX(Техника!$F$1:$ABM$500,Z$2,0),Техника!$F$4:$ABM$4,"Часы",INDEX(Техника!$G$1:$ABN$500,Z$2,0),$A$1390,INDEX(Техника!$H$1:$ABO$500,Z$2,0),"П")</f>
        <v>0</v>
      </c>
      <c r="AA1393" s="50">
        <f>SUMIFS(INDEX(Техника!$F$1:$ABM$500,AA$2,0),Техника!$F$4:$ABM$4,"Часы",INDEX(Техника!$G$1:$ABN$500,AA$2,0),$A$1390,INDEX(Техника!$H$1:$ABO$500,AA$2,0),"П")</f>
        <v>0</v>
      </c>
      <c r="AB1393" s="50">
        <f>SUMIFS(INDEX(Техника!$F$1:$ABM$500,AB$2,0),Техника!$F$4:$ABM$4,"Часы",INDEX(Техника!$G$1:$ABN$500,AB$2,0),$A$1390,INDEX(Техника!$H$1:$ABO$500,AB$2,0),"П")</f>
        <v>0</v>
      </c>
    </row>
    <row r="1394" spans="1:28" hidden="1" outlineLevel="1" x14ac:dyDescent="0.3">
      <c r="A1394" s="33" t="s">
        <v>243</v>
      </c>
      <c r="B1394" s="34" t="s">
        <v>278</v>
      </c>
      <c r="C1394" s="50">
        <f>SUMIFS(INDEX(Техника!$F$1:$ABM$500,C$2,0),Техника!$F$4:$ABM$4,"Часы",INDEX(Техника!$G$1:$ABN$500,C$2,0),$A$1390,INDEX(Техника!$H$1:$ABO$500,C$2,0),"Л")</f>
        <v>0</v>
      </c>
      <c r="D1394" s="50">
        <f>SUMIFS(INDEX(Техника!$F$1:$ABM$500,D$2,0),Техника!$F$4:$ABM$4,"Часы",INDEX(Техника!$G$1:$ABN$500,D$2,0),$A$1390,INDEX(Техника!$H$1:$ABO$500,D$2,0),"Л")</f>
        <v>0</v>
      </c>
      <c r="E1394" s="50">
        <f>SUMIFS(INDEX(Техника!$F$1:$ABM$500,E$2,0),Техника!$F$4:$ABM$4,"Часы",INDEX(Техника!$G$1:$ABN$500,E$2,0),$A$1390,INDEX(Техника!$H$1:$ABO$500,E$2,0),"Л")</f>
        <v>0</v>
      </c>
      <c r="F1394" s="50">
        <f>SUMIFS(INDEX(Техника!$F$1:$ABM$500,F$2,0),Техника!$F$4:$ABM$4,"Часы",INDEX(Техника!$G$1:$ABN$500,F$2,0),$A$1390,INDEX(Техника!$H$1:$ABO$500,F$2,0),"Л")</f>
        <v>0</v>
      </c>
      <c r="G1394" s="50">
        <f>SUMIFS(INDEX(Техника!$F$1:$ABM$500,G$2,0),Техника!$F$4:$ABM$4,"Часы",INDEX(Техника!$G$1:$ABN$500,G$2,0),$A$1390,INDEX(Техника!$H$1:$ABO$500,G$2,0),"Л")</f>
        <v>0</v>
      </c>
      <c r="H1394" s="50">
        <f>SUMIFS(INDEX(Техника!$F$1:$ABM$500,H$2,0),Техника!$F$4:$ABM$4,"Часы",INDEX(Техника!$G$1:$ABN$500,H$2,0),$A$1390,INDEX(Техника!$H$1:$ABO$500,H$2,0),"Л")</f>
        <v>0</v>
      </c>
      <c r="I1394" s="50">
        <f>SUMIFS(INDEX(Техника!$F$1:$ABM$500,I$2,0),Техника!$F$4:$ABM$4,"Часы",INDEX(Техника!$G$1:$ABN$500,I$2,0),$A$1390,INDEX(Техника!$H$1:$ABO$500,I$2,0),"Л")</f>
        <v>0</v>
      </c>
      <c r="J1394" s="50">
        <f>SUMIFS(INDEX(Техника!$F$1:$ABM$500,J$2,0),Техника!$F$4:$ABM$4,"Часы",INDEX(Техника!$G$1:$ABN$500,J$2,0),$A$1390,INDEX(Техника!$H$1:$ABO$500,J$2,0),"Л")</f>
        <v>0</v>
      </c>
      <c r="K1394" s="50">
        <f>SUMIFS(INDEX(Техника!$F$1:$ABM$500,K$2,0),Техника!$F$4:$ABM$4,"Часы",INDEX(Техника!$G$1:$ABN$500,K$2,0),$A$1390,INDEX(Техника!$H$1:$ABO$500,K$2,0),"Л")</f>
        <v>0</v>
      </c>
      <c r="L1394" s="50">
        <f>SUMIFS(INDEX(Техника!$F$1:$ABM$500,L$2,0),Техника!$F$4:$ABM$4,"Часы",INDEX(Техника!$G$1:$ABN$500,L$2,0),$A$1390,INDEX(Техника!$H$1:$ABO$500,L$2,0),"Л")</f>
        <v>0</v>
      </c>
      <c r="M1394" s="50">
        <f>SUMIFS(INDEX(Техника!$F$1:$ABM$500,M$2,0),Техника!$F$4:$ABM$4,"Часы",INDEX(Техника!$G$1:$ABN$500,M$2,0),$A$1390,INDEX(Техника!$H$1:$ABO$500,M$2,0),"Л")</f>
        <v>0</v>
      </c>
      <c r="N1394" s="50">
        <f>SUMIFS(INDEX(Техника!$F$1:$ABM$500,N$2,0),Техника!$F$4:$ABM$4,"Часы",INDEX(Техника!$G$1:$ABN$500,N$2,0),$A$1390,INDEX(Техника!$H$1:$ABO$500,N$2,0),"Л")</f>
        <v>0</v>
      </c>
      <c r="O1394" s="50">
        <f>SUMIFS(INDEX(Техника!$F$1:$ABM$500,O$2,0),Техника!$F$4:$ABM$4,"Часы",INDEX(Техника!$G$1:$ABN$500,O$2,0),$A$1390,INDEX(Техника!$H$1:$ABO$500,O$2,0),"Л")</f>
        <v>0</v>
      </c>
      <c r="P1394" s="50">
        <f>SUMIFS(INDEX(Техника!$F$1:$ABM$500,P$2,0),Техника!$F$4:$ABM$4,"Часы",INDEX(Техника!$G$1:$ABN$500,P$2,0),$A$1390,INDEX(Техника!$H$1:$ABO$500,P$2,0),"Л")</f>
        <v>0</v>
      </c>
      <c r="Q1394" s="50">
        <f>SUMIFS(INDEX(Техника!$F$1:$ABM$500,Q$2,0),Техника!$F$4:$ABM$4,"Часы",INDEX(Техника!$G$1:$ABN$500,Q$2,0),$A$1390,INDEX(Техника!$H$1:$ABO$500,Q$2,0),"Л")</f>
        <v>0</v>
      </c>
      <c r="R1394" s="50">
        <f>SUMIFS(INDEX(Техника!$F$1:$ABM$500,R$2,0),Техника!$F$4:$ABM$4,"Часы",INDEX(Техника!$G$1:$ABN$500,R$2,0),$A$1390,INDEX(Техника!$H$1:$ABO$500,R$2,0),"Л")</f>
        <v>0</v>
      </c>
      <c r="S1394" s="50">
        <f>SUMIFS(INDEX(Техника!$F$1:$ABM$500,S$2,0),Техника!$F$4:$ABM$4,"Часы",INDEX(Техника!$G$1:$ABN$500,S$2,0),$A$1390,INDEX(Техника!$H$1:$ABO$500,S$2,0),"Л")</f>
        <v>0</v>
      </c>
      <c r="T1394" s="50">
        <f>SUMIFS(INDEX(Техника!$F$1:$ABM$500,T$2,0),Техника!$F$4:$ABM$4,"Часы",INDEX(Техника!$G$1:$ABN$500,T$2,0),$A$1390,INDEX(Техника!$H$1:$ABO$500,T$2,0),"Л")</f>
        <v>0</v>
      </c>
      <c r="U1394" s="50">
        <f>SUMIFS(INDEX(Техника!$F$1:$ABM$500,U$2,0),Техника!$F$4:$ABM$4,"Часы",INDEX(Техника!$G$1:$ABN$500,U$2,0),$A$1390,INDEX(Техника!$H$1:$ABO$500,U$2,0),"Л")</f>
        <v>0</v>
      </c>
      <c r="V1394" s="50">
        <f>SUMIFS(INDEX(Техника!$F$1:$ABM$500,V$2,0),Техника!$F$4:$ABM$4,"Часы",INDEX(Техника!$G$1:$ABN$500,V$2,0),$A$1390,INDEX(Техника!$H$1:$ABO$500,V$2,0),"Л")</f>
        <v>0</v>
      </c>
      <c r="W1394" s="50">
        <f>SUMIFS(INDEX(Техника!$F$1:$ABM$500,W$2,0),Техника!$F$4:$ABM$4,"Часы",INDEX(Техника!$G$1:$ABN$500,W$2,0),$A$1390,INDEX(Техника!$H$1:$ABO$500,W$2,0),"Л")</f>
        <v>0</v>
      </c>
      <c r="X1394" s="50">
        <f>SUMIFS(INDEX(Техника!$F$1:$ABM$500,X$2,0),Техника!$F$4:$ABM$4,"Часы",INDEX(Техника!$G$1:$ABN$500,X$2,0),$A$1390,INDEX(Техника!$H$1:$ABO$500,X$2,0),"Л")</f>
        <v>0</v>
      </c>
      <c r="Y1394" s="50">
        <f>SUMIFS(INDEX(Техника!$F$1:$ABM$500,Y$2,0),Техника!$F$4:$ABM$4,"Часы",INDEX(Техника!$G$1:$ABN$500,Y$2,0),$A$1390,INDEX(Техника!$H$1:$ABO$500,Y$2,0),"Л")</f>
        <v>0</v>
      </c>
      <c r="Z1394" s="50">
        <f>SUMIFS(INDEX(Техника!$F$1:$ABM$500,Z$2,0),Техника!$F$4:$ABM$4,"Часы",INDEX(Техника!$G$1:$ABN$500,Z$2,0),$A$1390,INDEX(Техника!$H$1:$ABO$500,Z$2,0),"Л")</f>
        <v>0</v>
      </c>
      <c r="AA1394" s="50">
        <f>SUMIFS(INDEX(Техника!$F$1:$ABM$500,AA$2,0),Техника!$F$4:$ABM$4,"Часы",INDEX(Техника!$G$1:$ABN$500,AA$2,0),$A$1390,INDEX(Техника!$H$1:$ABO$500,AA$2,0),"Л")</f>
        <v>0</v>
      </c>
      <c r="AB1394" s="50">
        <f>SUMIFS(INDEX(Техника!$F$1:$ABM$500,AB$2,0),Техника!$F$4:$ABM$4,"Часы",INDEX(Техника!$G$1:$ABN$500,AB$2,0),$A$1390,INDEX(Техника!$H$1:$ABO$500,AB$2,0),"Л")</f>
        <v>0</v>
      </c>
    </row>
    <row r="1395" spans="1:28" hidden="1" outlineLevel="1" x14ac:dyDescent="0.3">
      <c r="A1395" s="33" t="s">
        <v>245</v>
      </c>
      <c r="B1395" s="34" t="s">
        <v>279</v>
      </c>
      <c r="C1395" s="50">
        <f>SUMIFS(INDEX(Техника!$F$1:$ABM$500,C$2,0),Техника!$F$4:$ABM$4,"Часы",INDEX(Техника!$G$1:$ABN$500,C$2,0),$A$1390,INDEX(Техника!$H$1:$ABO$500,C$2,0),"З")</f>
        <v>0</v>
      </c>
      <c r="D1395" s="50">
        <f>SUMIFS(INDEX(Техника!$F$1:$ABM$500,D$2,0),Техника!$F$4:$ABM$4,"Часы",INDEX(Техника!$G$1:$ABN$500,D$2,0),$A$1390,INDEX(Техника!$H$1:$ABO$500,D$2,0),"З")</f>
        <v>0</v>
      </c>
      <c r="E1395" s="50">
        <f>SUMIFS(INDEX(Техника!$F$1:$ABM$500,E$2,0),Техника!$F$4:$ABM$4,"Часы",INDEX(Техника!$G$1:$ABN$500,E$2,0),$A$1390,INDEX(Техника!$H$1:$ABO$500,E$2,0),"З")</f>
        <v>0</v>
      </c>
      <c r="F1395" s="50">
        <f>SUMIFS(INDEX(Техника!$F$1:$ABM$500,F$2,0),Техника!$F$4:$ABM$4,"Часы",INDEX(Техника!$G$1:$ABN$500,F$2,0),$A$1390,INDEX(Техника!$H$1:$ABO$500,F$2,0),"З")</f>
        <v>0</v>
      </c>
      <c r="G1395" s="50">
        <f>SUMIFS(INDEX(Техника!$F$1:$ABM$500,G$2,0),Техника!$F$4:$ABM$4,"Часы",INDEX(Техника!$G$1:$ABN$500,G$2,0),$A$1390,INDEX(Техника!$H$1:$ABO$500,G$2,0),"З")</f>
        <v>0</v>
      </c>
      <c r="H1395" s="50">
        <f>SUMIFS(INDEX(Техника!$F$1:$ABM$500,H$2,0),Техника!$F$4:$ABM$4,"Часы",INDEX(Техника!$G$1:$ABN$500,H$2,0),$A$1390,INDEX(Техника!$H$1:$ABO$500,H$2,0),"З")</f>
        <v>0</v>
      </c>
      <c r="I1395" s="50">
        <f>SUMIFS(INDEX(Техника!$F$1:$ABM$500,I$2,0),Техника!$F$4:$ABM$4,"Часы",INDEX(Техника!$G$1:$ABN$500,I$2,0),$A$1390,INDEX(Техника!$H$1:$ABO$500,I$2,0),"З")</f>
        <v>0</v>
      </c>
      <c r="J1395" s="50">
        <f>SUMIFS(INDEX(Техника!$F$1:$ABM$500,J$2,0),Техника!$F$4:$ABM$4,"Часы",INDEX(Техника!$G$1:$ABN$500,J$2,0),$A$1390,INDEX(Техника!$H$1:$ABO$500,J$2,0),"З")</f>
        <v>0</v>
      </c>
      <c r="K1395" s="50">
        <f>SUMIFS(INDEX(Техника!$F$1:$ABM$500,K$2,0),Техника!$F$4:$ABM$4,"Часы",INDEX(Техника!$G$1:$ABN$500,K$2,0),$A$1390,INDEX(Техника!$H$1:$ABO$500,K$2,0),"З")</f>
        <v>0</v>
      </c>
      <c r="L1395" s="50">
        <f>SUMIFS(INDEX(Техника!$F$1:$ABM$500,L$2,0),Техника!$F$4:$ABM$4,"Часы",INDEX(Техника!$G$1:$ABN$500,L$2,0),$A$1390,INDEX(Техника!$H$1:$ABO$500,L$2,0),"З")</f>
        <v>0</v>
      </c>
      <c r="M1395" s="50">
        <f>SUMIFS(INDEX(Техника!$F$1:$ABM$500,M$2,0),Техника!$F$4:$ABM$4,"Часы",INDEX(Техника!$G$1:$ABN$500,M$2,0),$A$1390,INDEX(Техника!$H$1:$ABO$500,M$2,0),"З")</f>
        <v>0</v>
      </c>
      <c r="N1395" s="50">
        <f>SUMIFS(INDEX(Техника!$F$1:$ABM$500,N$2,0),Техника!$F$4:$ABM$4,"Часы",INDEX(Техника!$G$1:$ABN$500,N$2,0),$A$1390,INDEX(Техника!$H$1:$ABO$500,N$2,0),"З")</f>
        <v>0</v>
      </c>
      <c r="O1395" s="50">
        <f>SUMIFS(INDEX(Техника!$F$1:$ABM$500,O$2,0),Техника!$F$4:$ABM$4,"Часы",INDEX(Техника!$G$1:$ABN$500,O$2,0),$A$1390,INDEX(Техника!$H$1:$ABO$500,O$2,0),"З")</f>
        <v>0</v>
      </c>
      <c r="P1395" s="50">
        <f>SUMIFS(INDEX(Техника!$F$1:$ABM$500,P$2,0),Техника!$F$4:$ABM$4,"Часы",INDEX(Техника!$G$1:$ABN$500,P$2,0),$A$1390,INDEX(Техника!$H$1:$ABO$500,P$2,0),"З")</f>
        <v>0</v>
      </c>
      <c r="Q1395" s="50">
        <f>SUMIFS(INDEX(Техника!$F$1:$ABM$500,Q$2,0),Техника!$F$4:$ABM$4,"Часы",INDEX(Техника!$G$1:$ABN$500,Q$2,0),$A$1390,INDEX(Техника!$H$1:$ABO$500,Q$2,0),"З")</f>
        <v>0</v>
      </c>
      <c r="R1395" s="50">
        <f>SUMIFS(INDEX(Техника!$F$1:$ABM$500,R$2,0),Техника!$F$4:$ABM$4,"Часы",INDEX(Техника!$G$1:$ABN$500,R$2,0),$A$1390,INDEX(Техника!$H$1:$ABO$500,R$2,0),"З")</f>
        <v>0</v>
      </c>
      <c r="S1395" s="50">
        <f>SUMIFS(INDEX(Техника!$F$1:$ABM$500,S$2,0),Техника!$F$4:$ABM$4,"Часы",INDEX(Техника!$G$1:$ABN$500,S$2,0),$A$1390,INDEX(Техника!$H$1:$ABO$500,S$2,0),"З")</f>
        <v>0</v>
      </c>
      <c r="T1395" s="50">
        <f>SUMIFS(INDEX(Техника!$F$1:$ABM$500,T$2,0),Техника!$F$4:$ABM$4,"Часы",INDEX(Техника!$G$1:$ABN$500,T$2,0),$A$1390,INDEX(Техника!$H$1:$ABO$500,T$2,0),"З")</f>
        <v>0</v>
      </c>
      <c r="U1395" s="50">
        <f>SUMIFS(INDEX(Техника!$F$1:$ABM$500,U$2,0),Техника!$F$4:$ABM$4,"Часы",INDEX(Техника!$G$1:$ABN$500,U$2,0),$A$1390,INDEX(Техника!$H$1:$ABO$500,U$2,0),"З")</f>
        <v>0</v>
      </c>
      <c r="V1395" s="50">
        <f>SUMIFS(INDEX(Техника!$F$1:$ABM$500,V$2,0),Техника!$F$4:$ABM$4,"Часы",INDEX(Техника!$G$1:$ABN$500,V$2,0),$A$1390,INDEX(Техника!$H$1:$ABO$500,V$2,0),"З")</f>
        <v>0</v>
      </c>
      <c r="W1395" s="50">
        <f>SUMIFS(INDEX(Техника!$F$1:$ABM$500,W$2,0),Техника!$F$4:$ABM$4,"Часы",INDEX(Техника!$G$1:$ABN$500,W$2,0),$A$1390,INDEX(Техника!$H$1:$ABO$500,W$2,0),"З")</f>
        <v>0</v>
      </c>
      <c r="X1395" s="50">
        <f>SUMIFS(INDEX(Техника!$F$1:$ABM$500,X$2,0),Техника!$F$4:$ABM$4,"Часы",INDEX(Техника!$G$1:$ABN$500,X$2,0),$A$1390,INDEX(Техника!$H$1:$ABO$500,X$2,0),"З")</f>
        <v>0</v>
      </c>
      <c r="Y1395" s="50">
        <f>SUMIFS(INDEX(Техника!$F$1:$ABM$500,Y$2,0),Техника!$F$4:$ABM$4,"Часы",INDEX(Техника!$G$1:$ABN$500,Y$2,0),$A$1390,INDEX(Техника!$H$1:$ABO$500,Y$2,0),"З")</f>
        <v>0</v>
      </c>
      <c r="Z1395" s="50">
        <f>SUMIFS(INDEX(Техника!$F$1:$ABM$500,Z$2,0),Техника!$F$4:$ABM$4,"Часы",INDEX(Техника!$G$1:$ABN$500,Z$2,0),$A$1390,INDEX(Техника!$H$1:$ABO$500,Z$2,0),"З")</f>
        <v>0</v>
      </c>
      <c r="AA1395" s="50">
        <f>SUMIFS(INDEX(Техника!$F$1:$ABM$500,AA$2,0),Техника!$F$4:$ABM$4,"Часы",INDEX(Техника!$G$1:$ABN$500,AA$2,0),$A$1390,INDEX(Техника!$H$1:$ABO$500,AA$2,0),"З")</f>
        <v>0</v>
      </c>
      <c r="AB1395" s="50">
        <f>SUMIFS(INDEX(Техника!$F$1:$ABM$500,AB$2,0),Техника!$F$4:$ABM$4,"Часы",INDEX(Техника!$G$1:$ABN$500,AB$2,0),$A$1390,INDEX(Техника!$H$1:$ABO$500,AB$2,0),"З")</f>
        <v>0</v>
      </c>
    </row>
    <row r="1396" spans="1:28" ht="7.95" customHeight="1" x14ac:dyDescent="0.3">
      <c r="A1396" s="38"/>
      <c r="B1396" s="39"/>
      <c r="C1396" s="51"/>
      <c r="D1396" s="51"/>
      <c r="E1396" s="51"/>
      <c r="F1396" s="51"/>
      <c r="G1396" s="51"/>
      <c r="H1396" s="51"/>
      <c r="I1396" s="51"/>
      <c r="J1396" s="51"/>
      <c r="K1396" s="51"/>
      <c r="L1396" s="51"/>
      <c r="M1396" s="51"/>
      <c r="N1396" s="51"/>
      <c r="O1396" s="51"/>
      <c r="P1396" s="51"/>
      <c r="Q1396" s="51"/>
      <c r="R1396" s="51"/>
      <c r="S1396" s="51"/>
      <c r="T1396" s="51"/>
      <c r="U1396" s="51"/>
      <c r="V1396" s="51"/>
      <c r="W1396" s="51"/>
      <c r="X1396" s="51"/>
      <c r="Y1396" s="51"/>
      <c r="Z1396" s="51"/>
      <c r="AA1396" s="51"/>
      <c r="AB1396" s="51"/>
    </row>
    <row r="1397" spans="1:28" ht="25.05" customHeight="1" collapsed="1" x14ac:dyDescent="0.3">
      <c r="A1397" s="32">
        <v>200</v>
      </c>
      <c r="B1397" s="32" t="s">
        <v>201</v>
      </c>
      <c r="C1397" s="49">
        <f>SUM(C1398:C1402)</f>
        <v>0</v>
      </c>
      <c r="D1397" s="49">
        <f>SUM(D1398:D1402)</f>
        <v>0</v>
      </c>
      <c r="E1397" s="49">
        <f>SUM(E1398:E1402)</f>
        <v>0</v>
      </c>
      <c r="F1397" s="49">
        <f>SUM(F1398:F1402)</f>
        <v>0</v>
      </c>
      <c r="G1397" s="49">
        <f>SUM(G1398:G1402)</f>
        <v>0</v>
      </c>
      <c r="H1397" s="49">
        <f>SUM(H1398:H1402)</f>
        <v>0</v>
      </c>
      <c r="I1397" s="49">
        <f>SUM(I1398:I1402)</f>
        <v>0</v>
      </c>
      <c r="J1397" s="49">
        <f>SUM(J1398:J1402)</f>
        <v>0</v>
      </c>
      <c r="K1397" s="49">
        <f>SUM(K1398:K1402)</f>
        <v>0</v>
      </c>
      <c r="L1397" s="49">
        <f>SUM(L1398:L1402)</f>
        <v>0</v>
      </c>
      <c r="M1397" s="49">
        <f>SUM(M1398:M1402)</f>
        <v>0</v>
      </c>
      <c r="N1397" s="49">
        <f>SUM(N1398:N1402)</f>
        <v>0</v>
      </c>
      <c r="O1397" s="49">
        <f>SUM(O1398:O1402)</f>
        <v>0</v>
      </c>
      <c r="P1397" s="49">
        <f>SUM(P1398:P1402)</f>
        <v>0</v>
      </c>
      <c r="Q1397" s="49">
        <f>SUM(Q1398:Q1402)</f>
        <v>0</v>
      </c>
      <c r="R1397" s="49">
        <f>SUM(R1398:R1402)</f>
        <v>0</v>
      </c>
      <c r="S1397" s="49">
        <f>SUM(S1398:S1402)</f>
        <v>0</v>
      </c>
      <c r="T1397" s="49">
        <f>SUM(T1398:T1402)</f>
        <v>0</v>
      </c>
      <c r="U1397" s="49">
        <f>SUM(U1398:U1402)</f>
        <v>0</v>
      </c>
      <c r="V1397" s="49">
        <f>SUM(V1398:V1402)</f>
        <v>0</v>
      </c>
      <c r="W1397" s="49">
        <f>SUM(W1398:W1402)</f>
        <v>0</v>
      </c>
      <c r="X1397" s="49">
        <f>SUM(X1398:X1402)</f>
        <v>0</v>
      </c>
      <c r="Y1397" s="49">
        <f>SUM(Y1398:Y1402)</f>
        <v>0</v>
      </c>
      <c r="Z1397" s="49">
        <f>SUM(Z1398:Z1402)</f>
        <v>0</v>
      </c>
      <c r="AA1397" s="49">
        <f>SUM(AA1398:AA1402)</f>
        <v>0</v>
      </c>
      <c r="AB1397" s="49">
        <f>SUM(AB1398:AB1402)</f>
        <v>0</v>
      </c>
    </row>
    <row r="1398" spans="1:28" hidden="1" outlineLevel="1" x14ac:dyDescent="0.3">
      <c r="A1398" s="33" t="s">
        <v>246</v>
      </c>
      <c r="B1398" s="34" t="s">
        <v>274</v>
      </c>
      <c r="C1398" s="50">
        <f>SUMIFS(INDEX(Техника!$F$1:$ABM$500,C$2,0),Техника!$F$4:$ABM$4,"Часы",INDEX(Техника!$G$1:$ABN$500,C$2,0),$A$1397,INDEX(Техника!$H$1:$ABO$500,C$2,0),"М")</f>
        <v>0</v>
      </c>
      <c r="D1398" s="50">
        <f>SUMIFS(INDEX(Техника!$F$1:$ABM$500,D$2,0),Техника!$F$4:$ABM$4,"Часы",INDEX(Техника!$G$1:$ABN$500,D$2,0),$A$1397,INDEX(Техника!$H$1:$ABO$500,D$2,0),"М")</f>
        <v>0</v>
      </c>
      <c r="E1398" s="50">
        <f>SUMIFS(INDEX(Техника!$F$1:$ABM$500,E$2,0),Техника!$F$4:$ABM$4,"Часы",INDEX(Техника!$G$1:$ABN$500,E$2,0),$A$1397,INDEX(Техника!$H$1:$ABO$500,E$2,0),"М")</f>
        <v>0</v>
      </c>
      <c r="F1398" s="50">
        <f>SUMIFS(INDEX(Техника!$F$1:$ABM$500,F$2,0),Техника!$F$4:$ABM$4,"Часы",INDEX(Техника!$G$1:$ABN$500,F$2,0),$A$1397,INDEX(Техника!$H$1:$ABO$500,F$2,0),"М")</f>
        <v>0</v>
      </c>
      <c r="G1398" s="50">
        <f>SUMIFS(INDEX(Техника!$F$1:$ABM$500,G$2,0),Техника!$F$4:$ABM$4,"Часы",INDEX(Техника!$G$1:$ABN$500,G$2,0),$A$1397,INDEX(Техника!$H$1:$ABO$500,G$2,0),"М")</f>
        <v>0</v>
      </c>
      <c r="H1398" s="50">
        <f>SUMIFS(INDEX(Техника!$F$1:$ABM$500,H$2,0),Техника!$F$4:$ABM$4,"Часы",INDEX(Техника!$G$1:$ABN$500,H$2,0),$A$1397,INDEX(Техника!$H$1:$ABO$500,H$2,0),"М")</f>
        <v>0</v>
      </c>
      <c r="I1398" s="50">
        <f>SUMIFS(INDEX(Техника!$F$1:$ABM$500,I$2,0),Техника!$F$4:$ABM$4,"Часы",INDEX(Техника!$G$1:$ABN$500,I$2,0),$A$1397,INDEX(Техника!$H$1:$ABO$500,I$2,0),"М")</f>
        <v>0</v>
      </c>
      <c r="J1398" s="50">
        <f>SUMIFS(INDEX(Техника!$F$1:$ABM$500,J$2,0),Техника!$F$4:$ABM$4,"Часы",INDEX(Техника!$G$1:$ABN$500,J$2,0),$A$1397,INDEX(Техника!$H$1:$ABO$500,J$2,0),"М")</f>
        <v>0</v>
      </c>
      <c r="K1398" s="50">
        <f>SUMIFS(INDEX(Техника!$F$1:$ABM$500,K$2,0),Техника!$F$4:$ABM$4,"Часы",INDEX(Техника!$G$1:$ABN$500,K$2,0),$A$1397,INDEX(Техника!$H$1:$ABO$500,K$2,0),"М")</f>
        <v>0</v>
      </c>
      <c r="L1398" s="50">
        <f>SUMIFS(INDEX(Техника!$F$1:$ABM$500,L$2,0),Техника!$F$4:$ABM$4,"Часы",INDEX(Техника!$G$1:$ABN$500,L$2,0),$A$1397,INDEX(Техника!$H$1:$ABO$500,L$2,0),"М")</f>
        <v>0</v>
      </c>
      <c r="M1398" s="50">
        <f>SUMIFS(INDEX(Техника!$F$1:$ABM$500,M$2,0),Техника!$F$4:$ABM$4,"Часы",INDEX(Техника!$G$1:$ABN$500,M$2,0),$A$1397,INDEX(Техника!$H$1:$ABO$500,M$2,0),"М")</f>
        <v>0</v>
      </c>
      <c r="N1398" s="50">
        <f>SUMIFS(INDEX(Техника!$F$1:$ABM$500,N$2,0),Техника!$F$4:$ABM$4,"Часы",INDEX(Техника!$G$1:$ABN$500,N$2,0),$A$1397,INDEX(Техника!$H$1:$ABO$500,N$2,0),"М")</f>
        <v>0</v>
      </c>
      <c r="O1398" s="50">
        <f>SUMIFS(INDEX(Техника!$F$1:$ABM$500,O$2,0),Техника!$F$4:$ABM$4,"Часы",INDEX(Техника!$G$1:$ABN$500,O$2,0),$A$1397,INDEX(Техника!$H$1:$ABO$500,O$2,0),"М")</f>
        <v>0</v>
      </c>
      <c r="P1398" s="50">
        <f>SUMIFS(INDEX(Техника!$F$1:$ABM$500,P$2,0),Техника!$F$4:$ABM$4,"Часы",INDEX(Техника!$G$1:$ABN$500,P$2,0),$A$1397,INDEX(Техника!$H$1:$ABO$500,P$2,0),"М")</f>
        <v>0</v>
      </c>
      <c r="Q1398" s="50">
        <f>SUMIFS(INDEX(Техника!$F$1:$ABM$500,Q$2,0),Техника!$F$4:$ABM$4,"Часы",INDEX(Техника!$G$1:$ABN$500,Q$2,0),$A$1397,INDEX(Техника!$H$1:$ABO$500,Q$2,0),"М")</f>
        <v>0</v>
      </c>
      <c r="R1398" s="50">
        <f>SUMIFS(INDEX(Техника!$F$1:$ABM$500,R$2,0),Техника!$F$4:$ABM$4,"Часы",INDEX(Техника!$G$1:$ABN$500,R$2,0),$A$1397,INDEX(Техника!$H$1:$ABO$500,R$2,0),"М")</f>
        <v>0</v>
      </c>
      <c r="S1398" s="50">
        <f>SUMIFS(INDEX(Техника!$F$1:$ABM$500,S$2,0),Техника!$F$4:$ABM$4,"Часы",INDEX(Техника!$G$1:$ABN$500,S$2,0),$A$1397,INDEX(Техника!$H$1:$ABO$500,S$2,0),"М")</f>
        <v>0</v>
      </c>
      <c r="T1398" s="50">
        <f>SUMIFS(INDEX(Техника!$F$1:$ABM$500,T$2,0),Техника!$F$4:$ABM$4,"Часы",INDEX(Техника!$G$1:$ABN$500,T$2,0),$A$1397,INDEX(Техника!$H$1:$ABO$500,T$2,0),"М")</f>
        <v>0</v>
      </c>
      <c r="U1398" s="50">
        <f>SUMIFS(INDEX(Техника!$F$1:$ABM$500,U$2,0),Техника!$F$4:$ABM$4,"Часы",INDEX(Техника!$G$1:$ABN$500,U$2,0),$A$1397,INDEX(Техника!$H$1:$ABO$500,U$2,0),"М")</f>
        <v>0</v>
      </c>
      <c r="V1398" s="50">
        <f>SUMIFS(INDEX(Техника!$F$1:$ABM$500,V$2,0),Техника!$F$4:$ABM$4,"Часы",INDEX(Техника!$G$1:$ABN$500,V$2,0),$A$1397,INDEX(Техника!$H$1:$ABO$500,V$2,0),"М")</f>
        <v>0</v>
      </c>
      <c r="W1398" s="50">
        <f>SUMIFS(INDEX(Техника!$F$1:$ABM$500,W$2,0),Техника!$F$4:$ABM$4,"Часы",INDEX(Техника!$G$1:$ABN$500,W$2,0),$A$1397,INDEX(Техника!$H$1:$ABO$500,W$2,0),"М")</f>
        <v>0</v>
      </c>
      <c r="X1398" s="50">
        <f>SUMIFS(INDEX(Техника!$F$1:$ABM$500,X$2,0),Техника!$F$4:$ABM$4,"Часы",INDEX(Техника!$G$1:$ABN$500,X$2,0),$A$1397,INDEX(Техника!$H$1:$ABO$500,X$2,0),"М")</f>
        <v>0</v>
      </c>
      <c r="Y1398" s="50">
        <f>SUMIFS(INDEX(Техника!$F$1:$ABM$500,Y$2,0),Техника!$F$4:$ABM$4,"Часы",INDEX(Техника!$G$1:$ABN$500,Y$2,0),$A$1397,INDEX(Техника!$H$1:$ABO$500,Y$2,0),"М")</f>
        <v>0</v>
      </c>
      <c r="Z1398" s="50">
        <f>SUMIFS(INDEX(Техника!$F$1:$ABM$500,Z$2,0),Техника!$F$4:$ABM$4,"Часы",INDEX(Техника!$G$1:$ABN$500,Z$2,0),$A$1397,INDEX(Техника!$H$1:$ABO$500,Z$2,0),"М")</f>
        <v>0</v>
      </c>
      <c r="AA1398" s="50">
        <f>SUMIFS(INDEX(Техника!$F$1:$ABM$500,AA$2,0),Техника!$F$4:$ABM$4,"Часы",INDEX(Техника!$G$1:$ABN$500,AA$2,0),$A$1397,INDEX(Техника!$H$1:$ABO$500,AA$2,0),"М")</f>
        <v>0</v>
      </c>
      <c r="AB1398" s="50">
        <f>SUMIFS(INDEX(Техника!$F$1:$ABM$500,AB$2,0),Техника!$F$4:$ABM$4,"Часы",INDEX(Техника!$G$1:$ABN$500,AB$2,0),$A$1397,INDEX(Техника!$H$1:$ABO$500,AB$2,0),"М")</f>
        <v>0</v>
      </c>
    </row>
    <row r="1399" spans="1:28" hidden="1" outlineLevel="1" x14ac:dyDescent="0.3">
      <c r="A1399" s="33" t="s">
        <v>244</v>
      </c>
      <c r="B1399" s="34" t="s">
        <v>275</v>
      </c>
      <c r="C1399" s="50">
        <f>SUMIFS(INDEX(Техника!$F$1:$ABM$500,C$2,0),Техника!$F$4:$ABM$4,"Часы",INDEX(Техника!$G$1:$ABN$500,C$2,0),$A$1397,INDEX(Техника!$H$1:$ABO$500,C$2,0),"Д")</f>
        <v>0</v>
      </c>
      <c r="D1399" s="50">
        <f>SUMIFS(INDEX(Техника!$F$1:$ABM$500,D$2,0),Техника!$F$4:$ABM$4,"Часы",INDEX(Техника!$G$1:$ABN$500,D$2,0),$A$1397,INDEX(Техника!$H$1:$ABO$500,D$2,0),"Д")</f>
        <v>0</v>
      </c>
      <c r="E1399" s="50">
        <f>SUMIFS(INDEX(Техника!$F$1:$ABM$500,E$2,0),Техника!$F$4:$ABM$4,"Часы",INDEX(Техника!$G$1:$ABN$500,E$2,0),$A$1397,INDEX(Техника!$H$1:$ABO$500,E$2,0),"Д")</f>
        <v>0</v>
      </c>
      <c r="F1399" s="50">
        <f>SUMIFS(INDEX(Техника!$F$1:$ABM$500,F$2,0),Техника!$F$4:$ABM$4,"Часы",INDEX(Техника!$G$1:$ABN$500,F$2,0),$A$1397,INDEX(Техника!$H$1:$ABO$500,F$2,0),"Д")</f>
        <v>0</v>
      </c>
      <c r="G1399" s="50">
        <f>SUMIFS(INDEX(Техника!$F$1:$ABM$500,G$2,0),Техника!$F$4:$ABM$4,"Часы",INDEX(Техника!$G$1:$ABN$500,G$2,0),$A$1397,INDEX(Техника!$H$1:$ABO$500,G$2,0),"Д")</f>
        <v>0</v>
      </c>
      <c r="H1399" s="50">
        <f>SUMIFS(INDEX(Техника!$F$1:$ABM$500,H$2,0),Техника!$F$4:$ABM$4,"Часы",INDEX(Техника!$G$1:$ABN$500,H$2,0),$A$1397,INDEX(Техника!$H$1:$ABO$500,H$2,0),"Д")</f>
        <v>0</v>
      </c>
      <c r="I1399" s="50">
        <f>SUMIFS(INDEX(Техника!$F$1:$ABM$500,I$2,0),Техника!$F$4:$ABM$4,"Часы",INDEX(Техника!$G$1:$ABN$500,I$2,0),$A$1397,INDEX(Техника!$H$1:$ABO$500,I$2,0),"Д")</f>
        <v>0</v>
      </c>
      <c r="J1399" s="50">
        <f>SUMIFS(INDEX(Техника!$F$1:$ABM$500,J$2,0),Техника!$F$4:$ABM$4,"Часы",INDEX(Техника!$G$1:$ABN$500,J$2,0),$A$1397,INDEX(Техника!$H$1:$ABO$500,J$2,0),"Д")</f>
        <v>0</v>
      </c>
      <c r="K1399" s="50">
        <f>SUMIFS(INDEX(Техника!$F$1:$ABM$500,K$2,0),Техника!$F$4:$ABM$4,"Часы",INDEX(Техника!$G$1:$ABN$500,K$2,0),$A$1397,INDEX(Техника!$H$1:$ABO$500,K$2,0),"Д")</f>
        <v>0</v>
      </c>
      <c r="L1399" s="50">
        <f>SUMIFS(INDEX(Техника!$F$1:$ABM$500,L$2,0),Техника!$F$4:$ABM$4,"Часы",INDEX(Техника!$G$1:$ABN$500,L$2,0),$A$1397,INDEX(Техника!$H$1:$ABO$500,L$2,0),"Д")</f>
        <v>0</v>
      </c>
      <c r="M1399" s="50">
        <f>SUMIFS(INDEX(Техника!$F$1:$ABM$500,M$2,0),Техника!$F$4:$ABM$4,"Часы",INDEX(Техника!$G$1:$ABN$500,M$2,0),$A$1397,INDEX(Техника!$H$1:$ABO$500,M$2,0),"Д")</f>
        <v>0</v>
      </c>
      <c r="N1399" s="50">
        <f>SUMIFS(INDEX(Техника!$F$1:$ABM$500,N$2,0),Техника!$F$4:$ABM$4,"Часы",INDEX(Техника!$G$1:$ABN$500,N$2,0),$A$1397,INDEX(Техника!$H$1:$ABO$500,N$2,0),"Д")</f>
        <v>0</v>
      </c>
      <c r="O1399" s="50">
        <f>SUMIFS(INDEX(Техника!$F$1:$ABM$500,O$2,0),Техника!$F$4:$ABM$4,"Часы",INDEX(Техника!$G$1:$ABN$500,O$2,0),$A$1397,INDEX(Техника!$H$1:$ABO$500,O$2,0),"Д")</f>
        <v>0</v>
      </c>
      <c r="P1399" s="50">
        <f>SUMIFS(INDEX(Техника!$F$1:$ABM$500,P$2,0),Техника!$F$4:$ABM$4,"Часы",INDEX(Техника!$G$1:$ABN$500,P$2,0),$A$1397,INDEX(Техника!$H$1:$ABO$500,P$2,0),"Д")</f>
        <v>0</v>
      </c>
      <c r="Q1399" s="50">
        <f>SUMIFS(INDEX(Техника!$F$1:$ABM$500,Q$2,0),Техника!$F$4:$ABM$4,"Часы",INDEX(Техника!$G$1:$ABN$500,Q$2,0),$A$1397,INDEX(Техника!$H$1:$ABO$500,Q$2,0),"Д")</f>
        <v>0</v>
      </c>
      <c r="R1399" s="50">
        <f>SUMIFS(INDEX(Техника!$F$1:$ABM$500,R$2,0),Техника!$F$4:$ABM$4,"Часы",INDEX(Техника!$G$1:$ABN$500,R$2,0),$A$1397,INDEX(Техника!$H$1:$ABO$500,R$2,0),"Д")</f>
        <v>0</v>
      </c>
      <c r="S1399" s="50">
        <f>SUMIFS(INDEX(Техника!$F$1:$ABM$500,S$2,0),Техника!$F$4:$ABM$4,"Часы",INDEX(Техника!$G$1:$ABN$500,S$2,0),$A$1397,INDEX(Техника!$H$1:$ABO$500,S$2,0),"Д")</f>
        <v>0</v>
      </c>
      <c r="T1399" s="50">
        <f>SUMIFS(INDEX(Техника!$F$1:$ABM$500,T$2,0),Техника!$F$4:$ABM$4,"Часы",INDEX(Техника!$G$1:$ABN$500,T$2,0),$A$1397,INDEX(Техника!$H$1:$ABO$500,T$2,0),"Д")</f>
        <v>0</v>
      </c>
      <c r="U1399" s="50">
        <f>SUMIFS(INDEX(Техника!$F$1:$ABM$500,U$2,0),Техника!$F$4:$ABM$4,"Часы",INDEX(Техника!$G$1:$ABN$500,U$2,0),$A$1397,INDEX(Техника!$H$1:$ABO$500,U$2,0),"Д")</f>
        <v>0</v>
      </c>
      <c r="V1399" s="50">
        <f>SUMIFS(INDEX(Техника!$F$1:$ABM$500,V$2,0),Техника!$F$4:$ABM$4,"Часы",INDEX(Техника!$G$1:$ABN$500,V$2,0),$A$1397,INDEX(Техника!$H$1:$ABO$500,V$2,0),"Д")</f>
        <v>0</v>
      </c>
      <c r="W1399" s="50">
        <f>SUMIFS(INDEX(Техника!$F$1:$ABM$500,W$2,0),Техника!$F$4:$ABM$4,"Часы",INDEX(Техника!$G$1:$ABN$500,W$2,0),$A$1397,INDEX(Техника!$H$1:$ABO$500,W$2,0),"Д")</f>
        <v>0</v>
      </c>
      <c r="X1399" s="50">
        <f>SUMIFS(INDEX(Техника!$F$1:$ABM$500,X$2,0),Техника!$F$4:$ABM$4,"Часы",INDEX(Техника!$G$1:$ABN$500,X$2,0),$A$1397,INDEX(Техника!$H$1:$ABO$500,X$2,0),"Д")</f>
        <v>0</v>
      </c>
      <c r="Y1399" s="50">
        <f>SUMIFS(INDEX(Техника!$F$1:$ABM$500,Y$2,0),Техника!$F$4:$ABM$4,"Часы",INDEX(Техника!$G$1:$ABN$500,Y$2,0),$A$1397,INDEX(Техника!$H$1:$ABO$500,Y$2,0),"Д")</f>
        <v>0</v>
      </c>
      <c r="Z1399" s="50">
        <f>SUMIFS(INDEX(Техника!$F$1:$ABM$500,Z$2,0),Техника!$F$4:$ABM$4,"Часы",INDEX(Техника!$G$1:$ABN$500,Z$2,0),$A$1397,INDEX(Техника!$H$1:$ABO$500,Z$2,0),"Д")</f>
        <v>0</v>
      </c>
      <c r="AA1399" s="50">
        <f>SUMIFS(INDEX(Техника!$F$1:$ABM$500,AA$2,0),Техника!$F$4:$ABM$4,"Часы",INDEX(Техника!$G$1:$ABN$500,AA$2,0),$A$1397,INDEX(Техника!$H$1:$ABO$500,AA$2,0),"Д")</f>
        <v>0</v>
      </c>
      <c r="AB1399" s="50">
        <f>SUMIFS(INDEX(Техника!$F$1:$ABM$500,AB$2,0),Техника!$F$4:$ABM$4,"Часы",INDEX(Техника!$G$1:$ABN$500,AB$2,0),$A$1397,INDEX(Техника!$H$1:$ABO$500,AB$2,0),"Д")</f>
        <v>0</v>
      </c>
    </row>
    <row r="1400" spans="1:28" hidden="1" outlineLevel="1" x14ac:dyDescent="0.3">
      <c r="A1400" s="33" t="s">
        <v>276</v>
      </c>
      <c r="B1400" s="34" t="s">
        <v>277</v>
      </c>
      <c r="C1400" s="50">
        <f>SUMIFS(INDEX(Техника!$F$1:$ABM$500,C$2,0),Техника!$F$4:$ABM$4,"Часы",INDEX(Техника!$G$1:$ABN$500,C$2,0),$A$1397,INDEX(Техника!$H$1:$ABO$500,C$2,0),"П")</f>
        <v>0</v>
      </c>
      <c r="D1400" s="50">
        <f>SUMIFS(INDEX(Техника!$F$1:$ABM$500,D$2,0),Техника!$F$4:$ABM$4,"Часы",INDEX(Техника!$G$1:$ABN$500,D$2,0),$A$1397,INDEX(Техника!$H$1:$ABO$500,D$2,0),"П")</f>
        <v>0</v>
      </c>
      <c r="E1400" s="50">
        <f>SUMIFS(INDEX(Техника!$F$1:$ABM$500,E$2,0),Техника!$F$4:$ABM$4,"Часы",INDEX(Техника!$G$1:$ABN$500,E$2,0),$A$1397,INDEX(Техника!$H$1:$ABO$500,E$2,0),"П")</f>
        <v>0</v>
      </c>
      <c r="F1400" s="50">
        <f>SUMIFS(INDEX(Техника!$F$1:$ABM$500,F$2,0),Техника!$F$4:$ABM$4,"Часы",INDEX(Техника!$G$1:$ABN$500,F$2,0),$A$1397,INDEX(Техника!$H$1:$ABO$500,F$2,0),"П")</f>
        <v>0</v>
      </c>
      <c r="G1400" s="50">
        <f>SUMIFS(INDEX(Техника!$F$1:$ABM$500,G$2,0),Техника!$F$4:$ABM$4,"Часы",INDEX(Техника!$G$1:$ABN$500,G$2,0),$A$1397,INDEX(Техника!$H$1:$ABO$500,G$2,0),"П")</f>
        <v>0</v>
      </c>
      <c r="H1400" s="50">
        <f>SUMIFS(INDEX(Техника!$F$1:$ABM$500,H$2,0),Техника!$F$4:$ABM$4,"Часы",INDEX(Техника!$G$1:$ABN$500,H$2,0),$A$1397,INDEX(Техника!$H$1:$ABO$500,H$2,0),"П")</f>
        <v>0</v>
      </c>
      <c r="I1400" s="50">
        <f>SUMIFS(INDEX(Техника!$F$1:$ABM$500,I$2,0),Техника!$F$4:$ABM$4,"Часы",INDEX(Техника!$G$1:$ABN$500,I$2,0),$A$1397,INDEX(Техника!$H$1:$ABO$500,I$2,0),"П")</f>
        <v>0</v>
      </c>
      <c r="J1400" s="50">
        <f>SUMIFS(INDEX(Техника!$F$1:$ABM$500,J$2,0),Техника!$F$4:$ABM$4,"Часы",INDEX(Техника!$G$1:$ABN$500,J$2,0),$A$1397,INDEX(Техника!$H$1:$ABO$500,J$2,0),"П")</f>
        <v>0</v>
      </c>
      <c r="K1400" s="50">
        <f>SUMIFS(INDEX(Техника!$F$1:$ABM$500,K$2,0),Техника!$F$4:$ABM$4,"Часы",INDEX(Техника!$G$1:$ABN$500,K$2,0),$A$1397,INDEX(Техника!$H$1:$ABO$500,K$2,0),"П")</f>
        <v>0</v>
      </c>
      <c r="L1400" s="50">
        <f>SUMIFS(INDEX(Техника!$F$1:$ABM$500,L$2,0),Техника!$F$4:$ABM$4,"Часы",INDEX(Техника!$G$1:$ABN$500,L$2,0),$A$1397,INDEX(Техника!$H$1:$ABO$500,L$2,0),"П")</f>
        <v>0</v>
      </c>
      <c r="M1400" s="50">
        <f>SUMIFS(INDEX(Техника!$F$1:$ABM$500,M$2,0),Техника!$F$4:$ABM$4,"Часы",INDEX(Техника!$G$1:$ABN$500,M$2,0),$A$1397,INDEX(Техника!$H$1:$ABO$500,M$2,0),"П")</f>
        <v>0</v>
      </c>
      <c r="N1400" s="50">
        <f>SUMIFS(INDEX(Техника!$F$1:$ABM$500,N$2,0),Техника!$F$4:$ABM$4,"Часы",INDEX(Техника!$G$1:$ABN$500,N$2,0),$A$1397,INDEX(Техника!$H$1:$ABO$500,N$2,0),"П")</f>
        <v>0</v>
      </c>
      <c r="O1400" s="50">
        <f>SUMIFS(INDEX(Техника!$F$1:$ABM$500,O$2,0),Техника!$F$4:$ABM$4,"Часы",INDEX(Техника!$G$1:$ABN$500,O$2,0),$A$1397,INDEX(Техника!$H$1:$ABO$500,O$2,0),"П")</f>
        <v>0</v>
      </c>
      <c r="P1400" s="50">
        <f>SUMIFS(INDEX(Техника!$F$1:$ABM$500,P$2,0),Техника!$F$4:$ABM$4,"Часы",INDEX(Техника!$G$1:$ABN$500,P$2,0),$A$1397,INDEX(Техника!$H$1:$ABO$500,P$2,0),"П")</f>
        <v>0</v>
      </c>
      <c r="Q1400" s="50">
        <f>SUMIFS(INDEX(Техника!$F$1:$ABM$500,Q$2,0),Техника!$F$4:$ABM$4,"Часы",INDEX(Техника!$G$1:$ABN$500,Q$2,0),$A$1397,INDEX(Техника!$H$1:$ABO$500,Q$2,0),"П")</f>
        <v>0</v>
      </c>
      <c r="R1400" s="50">
        <f>SUMIFS(INDEX(Техника!$F$1:$ABM$500,R$2,0),Техника!$F$4:$ABM$4,"Часы",INDEX(Техника!$G$1:$ABN$500,R$2,0),$A$1397,INDEX(Техника!$H$1:$ABO$500,R$2,0),"П")</f>
        <v>0</v>
      </c>
      <c r="S1400" s="50">
        <f>SUMIFS(INDEX(Техника!$F$1:$ABM$500,S$2,0),Техника!$F$4:$ABM$4,"Часы",INDEX(Техника!$G$1:$ABN$500,S$2,0),$A$1397,INDEX(Техника!$H$1:$ABO$500,S$2,0),"П")</f>
        <v>0</v>
      </c>
      <c r="T1400" s="50">
        <f>SUMIFS(INDEX(Техника!$F$1:$ABM$500,T$2,0),Техника!$F$4:$ABM$4,"Часы",INDEX(Техника!$G$1:$ABN$500,T$2,0),$A$1397,INDEX(Техника!$H$1:$ABO$500,T$2,0),"П")</f>
        <v>0</v>
      </c>
      <c r="U1400" s="50">
        <f>SUMIFS(INDEX(Техника!$F$1:$ABM$500,U$2,0),Техника!$F$4:$ABM$4,"Часы",INDEX(Техника!$G$1:$ABN$500,U$2,0),$A$1397,INDEX(Техника!$H$1:$ABO$500,U$2,0),"П")</f>
        <v>0</v>
      </c>
      <c r="V1400" s="50">
        <f>SUMIFS(INDEX(Техника!$F$1:$ABM$500,V$2,0),Техника!$F$4:$ABM$4,"Часы",INDEX(Техника!$G$1:$ABN$500,V$2,0),$A$1397,INDEX(Техника!$H$1:$ABO$500,V$2,0),"П")</f>
        <v>0</v>
      </c>
      <c r="W1400" s="50">
        <f>SUMIFS(INDEX(Техника!$F$1:$ABM$500,W$2,0),Техника!$F$4:$ABM$4,"Часы",INDEX(Техника!$G$1:$ABN$500,W$2,0),$A$1397,INDEX(Техника!$H$1:$ABO$500,W$2,0),"П")</f>
        <v>0</v>
      </c>
      <c r="X1400" s="50">
        <f>SUMIFS(INDEX(Техника!$F$1:$ABM$500,X$2,0),Техника!$F$4:$ABM$4,"Часы",INDEX(Техника!$G$1:$ABN$500,X$2,0),$A$1397,INDEX(Техника!$H$1:$ABO$500,X$2,0),"П")</f>
        <v>0</v>
      </c>
      <c r="Y1400" s="50">
        <f>SUMIFS(INDEX(Техника!$F$1:$ABM$500,Y$2,0),Техника!$F$4:$ABM$4,"Часы",INDEX(Техника!$G$1:$ABN$500,Y$2,0),$A$1397,INDEX(Техника!$H$1:$ABO$500,Y$2,0),"П")</f>
        <v>0</v>
      </c>
      <c r="Z1400" s="50">
        <f>SUMIFS(INDEX(Техника!$F$1:$ABM$500,Z$2,0),Техника!$F$4:$ABM$4,"Часы",INDEX(Техника!$G$1:$ABN$500,Z$2,0),$A$1397,INDEX(Техника!$H$1:$ABO$500,Z$2,0),"П")</f>
        <v>0</v>
      </c>
      <c r="AA1400" s="50">
        <f>SUMIFS(INDEX(Техника!$F$1:$ABM$500,AA$2,0),Техника!$F$4:$ABM$4,"Часы",INDEX(Техника!$G$1:$ABN$500,AA$2,0),$A$1397,INDEX(Техника!$H$1:$ABO$500,AA$2,0),"П")</f>
        <v>0</v>
      </c>
      <c r="AB1400" s="50">
        <f>SUMIFS(INDEX(Техника!$F$1:$ABM$500,AB$2,0),Техника!$F$4:$ABM$4,"Часы",INDEX(Техника!$G$1:$ABN$500,AB$2,0),$A$1397,INDEX(Техника!$H$1:$ABO$500,AB$2,0),"П")</f>
        <v>0</v>
      </c>
    </row>
    <row r="1401" spans="1:28" hidden="1" outlineLevel="1" x14ac:dyDescent="0.3">
      <c r="A1401" s="33" t="s">
        <v>243</v>
      </c>
      <c r="B1401" s="34" t="s">
        <v>278</v>
      </c>
      <c r="C1401" s="50">
        <f>SUMIFS(INDEX(Техника!$F$1:$ABM$500,C$2,0),Техника!$F$4:$ABM$4,"Часы",INDEX(Техника!$G$1:$ABN$500,C$2,0),$A$1397,INDEX(Техника!$H$1:$ABO$500,C$2,0),"Л")</f>
        <v>0</v>
      </c>
      <c r="D1401" s="50">
        <f>SUMIFS(INDEX(Техника!$F$1:$ABM$500,D$2,0),Техника!$F$4:$ABM$4,"Часы",INDEX(Техника!$G$1:$ABN$500,D$2,0),$A$1397,INDEX(Техника!$H$1:$ABO$500,D$2,0),"Л")</f>
        <v>0</v>
      </c>
      <c r="E1401" s="50">
        <f>SUMIFS(INDEX(Техника!$F$1:$ABM$500,E$2,0),Техника!$F$4:$ABM$4,"Часы",INDEX(Техника!$G$1:$ABN$500,E$2,0),$A$1397,INDEX(Техника!$H$1:$ABO$500,E$2,0),"Л")</f>
        <v>0</v>
      </c>
      <c r="F1401" s="50">
        <f>SUMIFS(INDEX(Техника!$F$1:$ABM$500,F$2,0),Техника!$F$4:$ABM$4,"Часы",INDEX(Техника!$G$1:$ABN$500,F$2,0),$A$1397,INDEX(Техника!$H$1:$ABO$500,F$2,0),"Л")</f>
        <v>0</v>
      </c>
      <c r="G1401" s="50">
        <f>SUMIFS(INDEX(Техника!$F$1:$ABM$500,G$2,0),Техника!$F$4:$ABM$4,"Часы",INDEX(Техника!$G$1:$ABN$500,G$2,0),$A$1397,INDEX(Техника!$H$1:$ABO$500,G$2,0),"Л")</f>
        <v>0</v>
      </c>
      <c r="H1401" s="50">
        <f>SUMIFS(INDEX(Техника!$F$1:$ABM$500,H$2,0),Техника!$F$4:$ABM$4,"Часы",INDEX(Техника!$G$1:$ABN$500,H$2,0),$A$1397,INDEX(Техника!$H$1:$ABO$500,H$2,0),"Л")</f>
        <v>0</v>
      </c>
      <c r="I1401" s="50">
        <f>SUMIFS(INDEX(Техника!$F$1:$ABM$500,I$2,0),Техника!$F$4:$ABM$4,"Часы",INDEX(Техника!$G$1:$ABN$500,I$2,0),$A$1397,INDEX(Техника!$H$1:$ABO$500,I$2,0),"Л")</f>
        <v>0</v>
      </c>
      <c r="J1401" s="50">
        <f>SUMIFS(INDEX(Техника!$F$1:$ABM$500,J$2,0),Техника!$F$4:$ABM$4,"Часы",INDEX(Техника!$G$1:$ABN$500,J$2,0),$A$1397,INDEX(Техника!$H$1:$ABO$500,J$2,0),"Л")</f>
        <v>0</v>
      </c>
      <c r="K1401" s="50">
        <f>SUMIFS(INDEX(Техника!$F$1:$ABM$500,K$2,0),Техника!$F$4:$ABM$4,"Часы",INDEX(Техника!$G$1:$ABN$500,K$2,0),$A$1397,INDEX(Техника!$H$1:$ABO$500,K$2,0),"Л")</f>
        <v>0</v>
      </c>
      <c r="L1401" s="50">
        <f>SUMIFS(INDEX(Техника!$F$1:$ABM$500,L$2,0),Техника!$F$4:$ABM$4,"Часы",INDEX(Техника!$G$1:$ABN$500,L$2,0),$A$1397,INDEX(Техника!$H$1:$ABO$500,L$2,0),"Л")</f>
        <v>0</v>
      </c>
      <c r="M1401" s="50">
        <f>SUMIFS(INDEX(Техника!$F$1:$ABM$500,M$2,0),Техника!$F$4:$ABM$4,"Часы",INDEX(Техника!$G$1:$ABN$500,M$2,0),$A$1397,INDEX(Техника!$H$1:$ABO$500,M$2,0),"Л")</f>
        <v>0</v>
      </c>
      <c r="N1401" s="50">
        <f>SUMIFS(INDEX(Техника!$F$1:$ABM$500,N$2,0),Техника!$F$4:$ABM$4,"Часы",INDEX(Техника!$G$1:$ABN$500,N$2,0),$A$1397,INDEX(Техника!$H$1:$ABO$500,N$2,0),"Л")</f>
        <v>0</v>
      </c>
      <c r="O1401" s="50">
        <f>SUMIFS(INDEX(Техника!$F$1:$ABM$500,O$2,0),Техника!$F$4:$ABM$4,"Часы",INDEX(Техника!$G$1:$ABN$500,O$2,0),$A$1397,INDEX(Техника!$H$1:$ABO$500,O$2,0),"Л")</f>
        <v>0</v>
      </c>
      <c r="P1401" s="50">
        <f>SUMIFS(INDEX(Техника!$F$1:$ABM$500,P$2,0),Техника!$F$4:$ABM$4,"Часы",INDEX(Техника!$G$1:$ABN$500,P$2,0),$A$1397,INDEX(Техника!$H$1:$ABO$500,P$2,0),"Л")</f>
        <v>0</v>
      </c>
      <c r="Q1401" s="50">
        <f>SUMIFS(INDEX(Техника!$F$1:$ABM$500,Q$2,0),Техника!$F$4:$ABM$4,"Часы",INDEX(Техника!$G$1:$ABN$500,Q$2,0),$A$1397,INDEX(Техника!$H$1:$ABO$500,Q$2,0),"Л")</f>
        <v>0</v>
      </c>
      <c r="R1401" s="50">
        <f>SUMIFS(INDEX(Техника!$F$1:$ABM$500,R$2,0),Техника!$F$4:$ABM$4,"Часы",INDEX(Техника!$G$1:$ABN$500,R$2,0),$A$1397,INDEX(Техника!$H$1:$ABO$500,R$2,0),"Л")</f>
        <v>0</v>
      </c>
      <c r="S1401" s="50">
        <f>SUMIFS(INDEX(Техника!$F$1:$ABM$500,S$2,0),Техника!$F$4:$ABM$4,"Часы",INDEX(Техника!$G$1:$ABN$500,S$2,0),$A$1397,INDEX(Техника!$H$1:$ABO$500,S$2,0),"Л")</f>
        <v>0</v>
      </c>
      <c r="T1401" s="50">
        <f>SUMIFS(INDEX(Техника!$F$1:$ABM$500,T$2,0),Техника!$F$4:$ABM$4,"Часы",INDEX(Техника!$G$1:$ABN$500,T$2,0),$A$1397,INDEX(Техника!$H$1:$ABO$500,T$2,0),"Л")</f>
        <v>0</v>
      </c>
      <c r="U1401" s="50">
        <f>SUMIFS(INDEX(Техника!$F$1:$ABM$500,U$2,0),Техника!$F$4:$ABM$4,"Часы",INDEX(Техника!$G$1:$ABN$500,U$2,0),$A$1397,INDEX(Техника!$H$1:$ABO$500,U$2,0),"Л")</f>
        <v>0</v>
      </c>
      <c r="V1401" s="50">
        <f>SUMIFS(INDEX(Техника!$F$1:$ABM$500,V$2,0),Техника!$F$4:$ABM$4,"Часы",INDEX(Техника!$G$1:$ABN$500,V$2,0),$A$1397,INDEX(Техника!$H$1:$ABO$500,V$2,0),"Л")</f>
        <v>0</v>
      </c>
      <c r="W1401" s="50">
        <f>SUMIFS(INDEX(Техника!$F$1:$ABM$500,W$2,0),Техника!$F$4:$ABM$4,"Часы",INDEX(Техника!$G$1:$ABN$500,W$2,0),$A$1397,INDEX(Техника!$H$1:$ABO$500,W$2,0),"Л")</f>
        <v>0</v>
      </c>
      <c r="X1401" s="50">
        <f>SUMIFS(INDEX(Техника!$F$1:$ABM$500,X$2,0),Техника!$F$4:$ABM$4,"Часы",INDEX(Техника!$G$1:$ABN$500,X$2,0),$A$1397,INDEX(Техника!$H$1:$ABO$500,X$2,0),"Л")</f>
        <v>0</v>
      </c>
      <c r="Y1401" s="50">
        <f>SUMIFS(INDEX(Техника!$F$1:$ABM$500,Y$2,0),Техника!$F$4:$ABM$4,"Часы",INDEX(Техника!$G$1:$ABN$500,Y$2,0),$A$1397,INDEX(Техника!$H$1:$ABO$500,Y$2,0),"Л")</f>
        <v>0</v>
      </c>
      <c r="Z1401" s="50">
        <f>SUMIFS(INDEX(Техника!$F$1:$ABM$500,Z$2,0),Техника!$F$4:$ABM$4,"Часы",INDEX(Техника!$G$1:$ABN$500,Z$2,0),$A$1397,INDEX(Техника!$H$1:$ABO$500,Z$2,0),"Л")</f>
        <v>0</v>
      </c>
      <c r="AA1401" s="50">
        <f>SUMIFS(INDEX(Техника!$F$1:$ABM$500,AA$2,0),Техника!$F$4:$ABM$4,"Часы",INDEX(Техника!$G$1:$ABN$500,AA$2,0),$A$1397,INDEX(Техника!$H$1:$ABO$500,AA$2,0),"Л")</f>
        <v>0</v>
      </c>
      <c r="AB1401" s="50">
        <f>SUMIFS(INDEX(Техника!$F$1:$ABM$500,AB$2,0),Техника!$F$4:$ABM$4,"Часы",INDEX(Техника!$G$1:$ABN$500,AB$2,0),$A$1397,INDEX(Техника!$H$1:$ABO$500,AB$2,0),"Л")</f>
        <v>0</v>
      </c>
    </row>
    <row r="1402" spans="1:28" hidden="1" outlineLevel="1" x14ac:dyDescent="0.3">
      <c r="A1402" s="33" t="s">
        <v>245</v>
      </c>
      <c r="B1402" s="34" t="s">
        <v>279</v>
      </c>
      <c r="C1402" s="50">
        <f>SUMIFS(INDEX(Техника!$F$1:$ABM$500,C$2,0),Техника!$F$4:$ABM$4,"Часы",INDEX(Техника!$G$1:$ABN$500,C$2,0),$A$1397,INDEX(Техника!$H$1:$ABO$500,C$2,0),"З")</f>
        <v>0</v>
      </c>
      <c r="D1402" s="50">
        <f>SUMIFS(INDEX(Техника!$F$1:$ABM$500,D$2,0),Техника!$F$4:$ABM$4,"Часы",INDEX(Техника!$G$1:$ABN$500,D$2,0),$A$1397,INDEX(Техника!$H$1:$ABO$500,D$2,0),"З")</f>
        <v>0</v>
      </c>
      <c r="E1402" s="50">
        <f>SUMIFS(INDEX(Техника!$F$1:$ABM$500,E$2,0),Техника!$F$4:$ABM$4,"Часы",INDEX(Техника!$G$1:$ABN$500,E$2,0),$A$1397,INDEX(Техника!$H$1:$ABO$500,E$2,0),"З")</f>
        <v>0</v>
      </c>
      <c r="F1402" s="50">
        <f>SUMIFS(INDEX(Техника!$F$1:$ABM$500,F$2,0),Техника!$F$4:$ABM$4,"Часы",INDEX(Техника!$G$1:$ABN$500,F$2,0),$A$1397,INDEX(Техника!$H$1:$ABO$500,F$2,0),"З")</f>
        <v>0</v>
      </c>
      <c r="G1402" s="50">
        <f>SUMIFS(INDEX(Техника!$F$1:$ABM$500,G$2,0),Техника!$F$4:$ABM$4,"Часы",INDEX(Техника!$G$1:$ABN$500,G$2,0),$A$1397,INDEX(Техника!$H$1:$ABO$500,G$2,0),"З")</f>
        <v>0</v>
      </c>
      <c r="H1402" s="50">
        <f>SUMIFS(INDEX(Техника!$F$1:$ABM$500,H$2,0),Техника!$F$4:$ABM$4,"Часы",INDEX(Техника!$G$1:$ABN$500,H$2,0),$A$1397,INDEX(Техника!$H$1:$ABO$500,H$2,0),"З")</f>
        <v>0</v>
      </c>
      <c r="I1402" s="50">
        <f>SUMIFS(INDEX(Техника!$F$1:$ABM$500,I$2,0),Техника!$F$4:$ABM$4,"Часы",INDEX(Техника!$G$1:$ABN$500,I$2,0),$A$1397,INDEX(Техника!$H$1:$ABO$500,I$2,0),"З")</f>
        <v>0</v>
      </c>
      <c r="J1402" s="50">
        <f>SUMIFS(INDEX(Техника!$F$1:$ABM$500,J$2,0),Техника!$F$4:$ABM$4,"Часы",INDEX(Техника!$G$1:$ABN$500,J$2,0),$A$1397,INDEX(Техника!$H$1:$ABO$500,J$2,0),"З")</f>
        <v>0</v>
      </c>
      <c r="K1402" s="50">
        <f>SUMIFS(INDEX(Техника!$F$1:$ABM$500,K$2,0),Техника!$F$4:$ABM$4,"Часы",INDEX(Техника!$G$1:$ABN$500,K$2,0),$A$1397,INDEX(Техника!$H$1:$ABO$500,K$2,0),"З")</f>
        <v>0</v>
      </c>
      <c r="L1402" s="50">
        <f>SUMIFS(INDEX(Техника!$F$1:$ABM$500,L$2,0),Техника!$F$4:$ABM$4,"Часы",INDEX(Техника!$G$1:$ABN$500,L$2,0),$A$1397,INDEX(Техника!$H$1:$ABO$500,L$2,0),"З")</f>
        <v>0</v>
      </c>
      <c r="M1402" s="50">
        <f>SUMIFS(INDEX(Техника!$F$1:$ABM$500,M$2,0),Техника!$F$4:$ABM$4,"Часы",INDEX(Техника!$G$1:$ABN$500,M$2,0),$A$1397,INDEX(Техника!$H$1:$ABO$500,M$2,0),"З")</f>
        <v>0</v>
      </c>
      <c r="N1402" s="50">
        <f>SUMIFS(INDEX(Техника!$F$1:$ABM$500,N$2,0),Техника!$F$4:$ABM$4,"Часы",INDEX(Техника!$G$1:$ABN$500,N$2,0),$A$1397,INDEX(Техника!$H$1:$ABO$500,N$2,0),"З")</f>
        <v>0</v>
      </c>
      <c r="O1402" s="50">
        <f>SUMIFS(INDEX(Техника!$F$1:$ABM$500,O$2,0),Техника!$F$4:$ABM$4,"Часы",INDEX(Техника!$G$1:$ABN$500,O$2,0),$A$1397,INDEX(Техника!$H$1:$ABO$500,O$2,0),"З")</f>
        <v>0</v>
      </c>
      <c r="P1402" s="50">
        <f>SUMIFS(INDEX(Техника!$F$1:$ABM$500,P$2,0),Техника!$F$4:$ABM$4,"Часы",INDEX(Техника!$G$1:$ABN$500,P$2,0),$A$1397,INDEX(Техника!$H$1:$ABO$500,P$2,0),"З")</f>
        <v>0</v>
      </c>
      <c r="Q1402" s="50">
        <f>SUMIFS(INDEX(Техника!$F$1:$ABM$500,Q$2,0),Техника!$F$4:$ABM$4,"Часы",INDEX(Техника!$G$1:$ABN$500,Q$2,0),$A$1397,INDEX(Техника!$H$1:$ABO$500,Q$2,0),"З")</f>
        <v>0</v>
      </c>
      <c r="R1402" s="50">
        <f>SUMIFS(INDEX(Техника!$F$1:$ABM$500,R$2,0),Техника!$F$4:$ABM$4,"Часы",INDEX(Техника!$G$1:$ABN$500,R$2,0),$A$1397,INDEX(Техника!$H$1:$ABO$500,R$2,0),"З")</f>
        <v>0</v>
      </c>
      <c r="S1402" s="50">
        <f>SUMIFS(INDEX(Техника!$F$1:$ABM$500,S$2,0),Техника!$F$4:$ABM$4,"Часы",INDEX(Техника!$G$1:$ABN$500,S$2,0),$A$1397,INDEX(Техника!$H$1:$ABO$500,S$2,0),"З")</f>
        <v>0</v>
      </c>
      <c r="T1402" s="50">
        <f>SUMIFS(INDEX(Техника!$F$1:$ABM$500,T$2,0),Техника!$F$4:$ABM$4,"Часы",INDEX(Техника!$G$1:$ABN$500,T$2,0),$A$1397,INDEX(Техника!$H$1:$ABO$500,T$2,0),"З")</f>
        <v>0</v>
      </c>
      <c r="U1402" s="50">
        <f>SUMIFS(INDEX(Техника!$F$1:$ABM$500,U$2,0),Техника!$F$4:$ABM$4,"Часы",INDEX(Техника!$G$1:$ABN$500,U$2,0),$A$1397,INDEX(Техника!$H$1:$ABO$500,U$2,0),"З")</f>
        <v>0</v>
      </c>
      <c r="V1402" s="50">
        <f>SUMIFS(INDEX(Техника!$F$1:$ABM$500,V$2,0),Техника!$F$4:$ABM$4,"Часы",INDEX(Техника!$G$1:$ABN$500,V$2,0),$A$1397,INDEX(Техника!$H$1:$ABO$500,V$2,0),"З")</f>
        <v>0</v>
      </c>
      <c r="W1402" s="50">
        <f>SUMIFS(INDEX(Техника!$F$1:$ABM$500,W$2,0),Техника!$F$4:$ABM$4,"Часы",INDEX(Техника!$G$1:$ABN$500,W$2,0),$A$1397,INDEX(Техника!$H$1:$ABO$500,W$2,0),"З")</f>
        <v>0</v>
      </c>
      <c r="X1402" s="50">
        <f>SUMIFS(INDEX(Техника!$F$1:$ABM$500,X$2,0),Техника!$F$4:$ABM$4,"Часы",INDEX(Техника!$G$1:$ABN$500,X$2,0),$A$1397,INDEX(Техника!$H$1:$ABO$500,X$2,0),"З")</f>
        <v>0</v>
      </c>
      <c r="Y1402" s="50">
        <f>SUMIFS(INDEX(Техника!$F$1:$ABM$500,Y$2,0),Техника!$F$4:$ABM$4,"Часы",INDEX(Техника!$G$1:$ABN$500,Y$2,0),$A$1397,INDEX(Техника!$H$1:$ABO$500,Y$2,0),"З")</f>
        <v>0</v>
      </c>
      <c r="Z1402" s="50">
        <f>SUMIFS(INDEX(Техника!$F$1:$ABM$500,Z$2,0),Техника!$F$4:$ABM$4,"Часы",INDEX(Техника!$G$1:$ABN$500,Z$2,0),$A$1397,INDEX(Техника!$H$1:$ABO$500,Z$2,0),"З")</f>
        <v>0</v>
      </c>
      <c r="AA1402" s="50">
        <f>SUMIFS(INDEX(Техника!$F$1:$ABM$500,AA$2,0),Техника!$F$4:$ABM$4,"Часы",INDEX(Техника!$G$1:$ABN$500,AA$2,0),$A$1397,INDEX(Техника!$H$1:$ABO$500,AA$2,0),"З")</f>
        <v>0</v>
      </c>
      <c r="AB1402" s="50">
        <f>SUMIFS(INDEX(Техника!$F$1:$ABM$500,AB$2,0),Техника!$F$4:$ABM$4,"Часы",INDEX(Техника!$G$1:$ABN$500,AB$2,0),$A$1397,INDEX(Техника!$H$1:$ABO$500,AB$2,0),"З")</f>
        <v>0</v>
      </c>
    </row>
    <row r="1403" spans="1:28" ht="7.95" customHeight="1" x14ac:dyDescent="0.3">
      <c r="A1403" s="38"/>
      <c r="B1403" s="39"/>
      <c r="C1403" s="51"/>
      <c r="D1403" s="51"/>
      <c r="E1403" s="51"/>
      <c r="F1403" s="51"/>
      <c r="G1403" s="51"/>
      <c r="H1403" s="51"/>
      <c r="I1403" s="51"/>
      <c r="J1403" s="51"/>
      <c r="K1403" s="51"/>
      <c r="L1403" s="51"/>
      <c r="M1403" s="51"/>
      <c r="N1403" s="51"/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1"/>
    </row>
    <row r="1404" spans="1:28" ht="25.05" customHeight="1" collapsed="1" x14ac:dyDescent="0.3">
      <c r="A1404" s="32">
        <v>201</v>
      </c>
      <c r="B1404" s="32" t="s">
        <v>202</v>
      </c>
      <c r="C1404" s="49">
        <f>SUM(C1405:C1409)</f>
        <v>0</v>
      </c>
      <c r="D1404" s="49">
        <f>SUM(D1405:D1409)</f>
        <v>0</v>
      </c>
      <c r="E1404" s="49">
        <f>SUM(E1405:E1409)</f>
        <v>0</v>
      </c>
      <c r="F1404" s="49">
        <f>SUM(F1405:F1409)</f>
        <v>0</v>
      </c>
      <c r="G1404" s="49">
        <f>SUM(G1405:G1409)</f>
        <v>0</v>
      </c>
      <c r="H1404" s="49">
        <f>SUM(H1405:H1409)</f>
        <v>0</v>
      </c>
      <c r="I1404" s="49">
        <f>SUM(I1405:I1409)</f>
        <v>0</v>
      </c>
      <c r="J1404" s="49">
        <f>SUM(J1405:J1409)</f>
        <v>0</v>
      </c>
      <c r="K1404" s="49">
        <f>SUM(K1405:K1409)</f>
        <v>0</v>
      </c>
      <c r="L1404" s="49">
        <f>SUM(L1405:L1409)</f>
        <v>0</v>
      </c>
      <c r="M1404" s="49">
        <f>SUM(M1405:M1409)</f>
        <v>0</v>
      </c>
      <c r="N1404" s="49">
        <f>SUM(N1405:N1409)</f>
        <v>0</v>
      </c>
      <c r="O1404" s="49">
        <f>SUM(O1405:O1409)</f>
        <v>0</v>
      </c>
      <c r="P1404" s="49">
        <f>SUM(P1405:P1409)</f>
        <v>0</v>
      </c>
      <c r="Q1404" s="49">
        <f>SUM(Q1405:Q1409)</f>
        <v>0</v>
      </c>
      <c r="R1404" s="49">
        <f>SUM(R1405:R1409)</f>
        <v>0</v>
      </c>
      <c r="S1404" s="49">
        <f>SUM(S1405:S1409)</f>
        <v>0</v>
      </c>
      <c r="T1404" s="49">
        <f>SUM(T1405:T1409)</f>
        <v>0</v>
      </c>
      <c r="U1404" s="49">
        <f>SUM(U1405:U1409)</f>
        <v>0</v>
      </c>
      <c r="V1404" s="49">
        <f>SUM(V1405:V1409)</f>
        <v>0</v>
      </c>
      <c r="W1404" s="49">
        <f>SUM(W1405:W1409)</f>
        <v>0</v>
      </c>
      <c r="X1404" s="49">
        <f>SUM(X1405:X1409)</f>
        <v>0</v>
      </c>
      <c r="Y1404" s="49">
        <f>SUM(Y1405:Y1409)</f>
        <v>0</v>
      </c>
      <c r="Z1404" s="49">
        <f>SUM(Z1405:Z1409)</f>
        <v>0</v>
      </c>
      <c r="AA1404" s="49">
        <f>SUM(AA1405:AA1409)</f>
        <v>0</v>
      </c>
      <c r="AB1404" s="49">
        <f>SUM(AB1405:AB1409)</f>
        <v>0</v>
      </c>
    </row>
    <row r="1405" spans="1:28" hidden="1" outlineLevel="1" x14ac:dyDescent="0.3">
      <c r="A1405" s="33" t="s">
        <v>246</v>
      </c>
      <c r="B1405" s="34" t="s">
        <v>274</v>
      </c>
      <c r="C1405" s="50">
        <f>SUMIFS(INDEX(Техника!$F$1:$ABM$500,C$2,0),Техника!$F$4:$ABM$4,"Часы",INDEX(Техника!$G$1:$ABN$500,C$2,0),$A$1404,INDEX(Техника!$H$1:$ABO$500,C$2,0),"М")</f>
        <v>0</v>
      </c>
      <c r="D1405" s="50">
        <f>SUMIFS(INDEX(Техника!$F$1:$ABM$500,D$2,0),Техника!$F$4:$ABM$4,"Часы",INDEX(Техника!$G$1:$ABN$500,D$2,0),$A$1404,INDEX(Техника!$H$1:$ABO$500,D$2,0),"М")</f>
        <v>0</v>
      </c>
      <c r="E1405" s="50">
        <f>SUMIFS(INDEX(Техника!$F$1:$ABM$500,E$2,0),Техника!$F$4:$ABM$4,"Часы",INDEX(Техника!$G$1:$ABN$500,E$2,0),$A$1404,INDEX(Техника!$H$1:$ABO$500,E$2,0),"М")</f>
        <v>0</v>
      </c>
      <c r="F1405" s="50">
        <f>SUMIFS(INDEX(Техника!$F$1:$ABM$500,F$2,0),Техника!$F$4:$ABM$4,"Часы",INDEX(Техника!$G$1:$ABN$500,F$2,0),$A$1404,INDEX(Техника!$H$1:$ABO$500,F$2,0),"М")</f>
        <v>0</v>
      </c>
      <c r="G1405" s="50">
        <f>SUMIFS(INDEX(Техника!$F$1:$ABM$500,G$2,0),Техника!$F$4:$ABM$4,"Часы",INDEX(Техника!$G$1:$ABN$500,G$2,0),$A$1404,INDEX(Техника!$H$1:$ABO$500,G$2,0),"М")</f>
        <v>0</v>
      </c>
      <c r="H1405" s="50">
        <f>SUMIFS(INDEX(Техника!$F$1:$ABM$500,H$2,0),Техника!$F$4:$ABM$4,"Часы",INDEX(Техника!$G$1:$ABN$500,H$2,0),$A$1404,INDEX(Техника!$H$1:$ABO$500,H$2,0),"М")</f>
        <v>0</v>
      </c>
      <c r="I1405" s="50">
        <f>SUMIFS(INDEX(Техника!$F$1:$ABM$500,I$2,0),Техника!$F$4:$ABM$4,"Часы",INDEX(Техника!$G$1:$ABN$500,I$2,0),$A$1404,INDEX(Техника!$H$1:$ABO$500,I$2,0),"М")</f>
        <v>0</v>
      </c>
      <c r="J1405" s="50">
        <f>SUMIFS(INDEX(Техника!$F$1:$ABM$500,J$2,0),Техника!$F$4:$ABM$4,"Часы",INDEX(Техника!$G$1:$ABN$500,J$2,0),$A$1404,INDEX(Техника!$H$1:$ABO$500,J$2,0),"М")</f>
        <v>0</v>
      </c>
      <c r="K1405" s="50">
        <f>SUMIFS(INDEX(Техника!$F$1:$ABM$500,K$2,0),Техника!$F$4:$ABM$4,"Часы",INDEX(Техника!$G$1:$ABN$500,K$2,0),$A$1404,INDEX(Техника!$H$1:$ABO$500,K$2,0),"М")</f>
        <v>0</v>
      </c>
      <c r="L1405" s="50">
        <f>SUMIFS(INDEX(Техника!$F$1:$ABM$500,L$2,0),Техника!$F$4:$ABM$4,"Часы",INDEX(Техника!$G$1:$ABN$500,L$2,0),$A$1404,INDEX(Техника!$H$1:$ABO$500,L$2,0),"М")</f>
        <v>0</v>
      </c>
      <c r="M1405" s="50">
        <f>SUMIFS(INDEX(Техника!$F$1:$ABM$500,M$2,0),Техника!$F$4:$ABM$4,"Часы",INDEX(Техника!$G$1:$ABN$500,M$2,0),$A$1404,INDEX(Техника!$H$1:$ABO$500,M$2,0),"М")</f>
        <v>0</v>
      </c>
      <c r="N1405" s="50">
        <f>SUMIFS(INDEX(Техника!$F$1:$ABM$500,N$2,0),Техника!$F$4:$ABM$4,"Часы",INDEX(Техника!$G$1:$ABN$500,N$2,0),$A$1404,INDEX(Техника!$H$1:$ABO$500,N$2,0),"М")</f>
        <v>0</v>
      </c>
      <c r="O1405" s="50">
        <f>SUMIFS(INDEX(Техника!$F$1:$ABM$500,O$2,0),Техника!$F$4:$ABM$4,"Часы",INDEX(Техника!$G$1:$ABN$500,O$2,0),$A$1404,INDEX(Техника!$H$1:$ABO$500,O$2,0),"М")</f>
        <v>0</v>
      </c>
      <c r="P1405" s="50">
        <f>SUMIFS(INDEX(Техника!$F$1:$ABM$500,P$2,0),Техника!$F$4:$ABM$4,"Часы",INDEX(Техника!$G$1:$ABN$500,P$2,0),$A$1404,INDEX(Техника!$H$1:$ABO$500,P$2,0),"М")</f>
        <v>0</v>
      </c>
      <c r="Q1405" s="50">
        <f>SUMIFS(INDEX(Техника!$F$1:$ABM$500,Q$2,0),Техника!$F$4:$ABM$4,"Часы",INDEX(Техника!$G$1:$ABN$500,Q$2,0),$A$1404,INDEX(Техника!$H$1:$ABO$500,Q$2,0),"М")</f>
        <v>0</v>
      </c>
      <c r="R1405" s="50">
        <f>SUMIFS(INDEX(Техника!$F$1:$ABM$500,R$2,0),Техника!$F$4:$ABM$4,"Часы",INDEX(Техника!$G$1:$ABN$500,R$2,0),$A$1404,INDEX(Техника!$H$1:$ABO$500,R$2,0),"М")</f>
        <v>0</v>
      </c>
      <c r="S1405" s="50">
        <f>SUMIFS(INDEX(Техника!$F$1:$ABM$500,S$2,0),Техника!$F$4:$ABM$4,"Часы",INDEX(Техника!$G$1:$ABN$500,S$2,0),$A$1404,INDEX(Техника!$H$1:$ABO$500,S$2,0),"М")</f>
        <v>0</v>
      </c>
      <c r="T1405" s="50">
        <f>SUMIFS(INDEX(Техника!$F$1:$ABM$500,T$2,0),Техника!$F$4:$ABM$4,"Часы",INDEX(Техника!$G$1:$ABN$500,T$2,0),$A$1404,INDEX(Техника!$H$1:$ABO$500,T$2,0),"М")</f>
        <v>0</v>
      </c>
      <c r="U1405" s="50">
        <f>SUMIFS(INDEX(Техника!$F$1:$ABM$500,U$2,0),Техника!$F$4:$ABM$4,"Часы",INDEX(Техника!$G$1:$ABN$500,U$2,0),$A$1404,INDEX(Техника!$H$1:$ABO$500,U$2,0),"М")</f>
        <v>0</v>
      </c>
      <c r="V1405" s="50">
        <f>SUMIFS(INDEX(Техника!$F$1:$ABM$500,V$2,0),Техника!$F$4:$ABM$4,"Часы",INDEX(Техника!$G$1:$ABN$500,V$2,0),$A$1404,INDEX(Техника!$H$1:$ABO$500,V$2,0),"М")</f>
        <v>0</v>
      </c>
      <c r="W1405" s="50">
        <f>SUMIFS(INDEX(Техника!$F$1:$ABM$500,W$2,0),Техника!$F$4:$ABM$4,"Часы",INDEX(Техника!$G$1:$ABN$500,W$2,0),$A$1404,INDEX(Техника!$H$1:$ABO$500,W$2,0),"М")</f>
        <v>0</v>
      </c>
      <c r="X1405" s="50">
        <f>SUMIFS(INDEX(Техника!$F$1:$ABM$500,X$2,0),Техника!$F$4:$ABM$4,"Часы",INDEX(Техника!$G$1:$ABN$500,X$2,0),$A$1404,INDEX(Техника!$H$1:$ABO$500,X$2,0),"М")</f>
        <v>0</v>
      </c>
      <c r="Y1405" s="50">
        <f>SUMIFS(INDEX(Техника!$F$1:$ABM$500,Y$2,0),Техника!$F$4:$ABM$4,"Часы",INDEX(Техника!$G$1:$ABN$500,Y$2,0),$A$1404,INDEX(Техника!$H$1:$ABO$500,Y$2,0),"М")</f>
        <v>0</v>
      </c>
      <c r="Z1405" s="50">
        <f>SUMIFS(INDEX(Техника!$F$1:$ABM$500,Z$2,0),Техника!$F$4:$ABM$4,"Часы",INDEX(Техника!$G$1:$ABN$500,Z$2,0),$A$1404,INDEX(Техника!$H$1:$ABO$500,Z$2,0),"М")</f>
        <v>0</v>
      </c>
      <c r="AA1405" s="50">
        <f>SUMIFS(INDEX(Техника!$F$1:$ABM$500,AA$2,0),Техника!$F$4:$ABM$4,"Часы",INDEX(Техника!$G$1:$ABN$500,AA$2,0),$A$1404,INDEX(Техника!$H$1:$ABO$500,AA$2,0),"М")</f>
        <v>0</v>
      </c>
      <c r="AB1405" s="50">
        <f>SUMIFS(INDEX(Техника!$F$1:$ABM$500,AB$2,0),Техника!$F$4:$ABM$4,"Часы",INDEX(Техника!$G$1:$ABN$500,AB$2,0),$A$1404,INDEX(Техника!$H$1:$ABO$500,AB$2,0),"М")</f>
        <v>0</v>
      </c>
    </row>
    <row r="1406" spans="1:28" hidden="1" outlineLevel="1" x14ac:dyDescent="0.3">
      <c r="A1406" s="33" t="s">
        <v>244</v>
      </c>
      <c r="B1406" s="34" t="s">
        <v>275</v>
      </c>
      <c r="C1406" s="50">
        <f>SUMIFS(INDEX(Техника!$F$1:$ABM$500,C$2,0),Техника!$F$4:$ABM$4,"Часы",INDEX(Техника!$G$1:$ABN$500,C$2,0),$A$1404,INDEX(Техника!$H$1:$ABO$500,C$2,0),"Д")</f>
        <v>0</v>
      </c>
      <c r="D1406" s="50">
        <f>SUMIFS(INDEX(Техника!$F$1:$ABM$500,D$2,0),Техника!$F$4:$ABM$4,"Часы",INDEX(Техника!$G$1:$ABN$500,D$2,0),$A$1404,INDEX(Техника!$H$1:$ABO$500,D$2,0),"Д")</f>
        <v>0</v>
      </c>
      <c r="E1406" s="50">
        <f>SUMIFS(INDEX(Техника!$F$1:$ABM$500,E$2,0),Техника!$F$4:$ABM$4,"Часы",INDEX(Техника!$G$1:$ABN$500,E$2,0),$A$1404,INDEX(Техника!$H$1:$ABO$500,E$2,0),"Д")</f>
        <v>0</v>
      </c>
      <c r="F1406" s="50">
        <f>SUMIFS(INDEX(Техника!$F$1:$ABM$500,F$2,0),Техника!$F$4:$ABM$4,"Часы",INDEX(Техника!$G$1:$ABN$500,F$2,0),$A$1404,INDEX(Техника!$H$1:$ABO$500,F$2,0),"Д")</f>
        <v>0</v>
      </c>
      <c r="G1406" s="50">
        <f>SUMIFS(INDEX(Техника!$F$1:$ABM$500,G$2,0),Техника!$F$4:$ABM$4,"Часы",INDEX(Техника!$G$1:$ABN$500,G$2,0),$A$1404,INDEX(Техника!$H$1:$ABO$500,G$2,0),"Д")</f>
        <v>0</v>
      </c>
      <c r="H1406" s="50">
        <f>SUMIFS(INDEX(Техника!$F$1:$ABM$500,H$2,0),Техника!$F$4:$ABM$4,"Часы",INDEX(Техника!$G$1:$ABN$500,H$2,0),$A$1404,INDEX(Техника!$H$1:$ABO$500,H$2,0),"Д")</f>
        <v>0</v>
      </c>
      <c r="I1406" s="50">
        <f>SUMIFS(INDEX(Техника!$F$1:$ABM$500,I$2,0),Техника!$F$4:$ABM$4,"Часы",INDEX(Техника!$G$1:$ABN$500,I$2,0),$A$1404,INDEX(Техника!$H$1:$ABO$500,I$2,0),"Д")</f>
        <v>0</v>
      </c>
      <c r="J1406" s="50">
        <f>SUMIFS(INDEX(Техника!$F$1:$ABM$500,J$2,0),Техника!$F$4:$ABM$4,"Часы",INDEX(Техника!$G$1:$ABN$500,J$2,0),$A$1404,INDEX(Техника!$H$1:$ABO$500,J$2,0),"Д")</f>
        <v>0</v>
      </c>
      <c r="K1406" s="50">
        <f>SUMIFS(INDEX(Техника!$F$1:$ABM$500,K$2,0),Техника!$F$4:$ABM$4,"Часы",INDEX(Техника!$G$1:$ABN$500,K$2,0),$A$1404,INDEX(Техника!$H$1:$ABO$500,K$2,0),"Д")</f>
        <v>0</v>
      </c>
      <c r="L1406" s="50">
        <f>SUMIFS(INDEX(Техника!$F$1:$ABM$500,L$2,0),Техника!$F$4:$ABM$4,"Часы",INDEX(Техника!$G$1:$ABN$500,L$2,0),$A$1404,INDEX(Техника!$H$1:$ABO$500,L$2,0),"Д")</f>
        <v>0</v>
      </c>
      <c r="M1406" s="50">
        <f>SUMIFS(INDEX(Техника!$F$1:$ABM$500,M$2,0),Техника!$F$4:$ABM$4,"Часы",INDEX(Техника!$G$1:$ABN$500,M$2,0),$A$1404,INDEX(Техника!$H$1:$ABO$500,M$2,0),"Д")</f>
        <v>0</v>
      </c>
      <c r="N1406" s="50">
        <f>SUMIFS(INDEX(Техника!$F$1:$ABM$500,N$2,0),Техника!$F$4:$ABM$4,"Часы",INDEX(Техника!$G$1:$ABN$500,N$2,0),$A$1404,INDEX(Техника!$H$1:$ABO$500,N$2,0),"Д")</f>
        <v>0</v>
      </c>
      <c r="O1406" s="50">
        <f>SUMIFS(INDEX(Техника!$F$1:$ABM$500,O$2,0),Техника!$F$4:$ABM$4,"Часы",INDEX(Техника!$G$1:$ABN$500,O$2,0),$A$1404,INDEX(Техника!$H$1:$ABO$500,O$2,0),"Д")</f>
        <v>0</v>
      </c>
      <c r="P1406" s="50">
        <f>SUMIFS(INDEX(Техника!$F$1:$ABM$500,P$2,0),Техника!$F$4:$ABM$4,"Часы",INDEX(Техника!$G$1:$ABN$500,P$2,0),$A$1404,INDEX(Техника!$H$1:$ABO$500,P$2,0),"Д")</f>
        <v>0</v>
      </c>
      <c r="Q1406" s="50">
        <f>SUMIFS(INDEX(Техника!$F$1:$ABM$500,Q$2,0),Техника!$F$4:$ABM$4,"Часы",INDEX(Техника!$G$1:$ABN$500,Q$2,0),$A$1404,INDEX(Техника!$H$1:$ABO$500,Q$2,0),"Д")</f>
        <v>0</v>
      </c>
      <c r="R1406" s="50">
        <f>SUMIFS(INDEX(Техника!$F$1:$ABM$500,R$2,0),Техника!$F$4:$ABM$4,"Часы",INDEX(Техника!$G$1:$ABN$500,R$2,0),$A$1404,INDEX(Техника!$H$1:$ABO$500,R$2,0),"Д")</f>
        <v>0</v>
      </c>
      <c r="S1406" s="50">
        <f>SUMIFS(INDEX(Техника!$F$1:$ABM$500,S$2,0),Техника!$F$4:$ABM$4,"Часы",INDEX(Техника!$G$1:$ABN$500,S$2,0),$A$1404,INDEX(Техника!$H$1:$ABO$500,S$2,0),"Д")</f>
        <v>0</v>
      </c>
      <c r="T1406" s="50">
        <f>SUMIFS(INDEX(Техника!$F$1:$ABM$500,T$2,0),Техника!$F$4:$ABM$4,"Часы",INDEX(Техника!$G$1:$ABN$500,T$2,0),$A$1404,INDEX(Техника!$H$1:$ABO$500,T$2,0),"Д")</f>
        <v>0</v>
      </c>
      <c r="U1406" s="50">
        <f>SUMIFS(INDEX(Техника!$F$1:$ABM$500,U$2,0),Техника!$F$4:$ABM$4,"Часы",INDEX(Техника!$G$1:$ABN$500,U$2,0),$A$1404,INDEX(Техника!$H$1:$ABO$500,U$2,0),"Д")</f>
        <v>0</v>
      </c>
      <c r="V1406" s="50">
        <f>SUMIFS(INDEX(Техника!$F$1:$ABM$500,V$2,0),Техника!$F$4:$ABM$4,"Часы",INDEX(Техника!$G$1:$ABN$500,V$2,0),$A$1404,INDEX(Техника!$H$1:$ABO$500,V$2,0),"Д")</f>
        <v>0</v>
      </c>
      <c r="W1406" s="50">
        <f>SUMIFS(INDEX(Техника!$F$1:$ABM$500,W$2,0),Техника!$F$4:$ABM$4,"Часы",INDEX(Техника!$G$1:$ABN$500,W$2,0),$A$1404,INDEX(Техника!$H$1:$ABO$500,W$2,0),"Д")</f>
        <v>0</v>
      </c>
      <c r="X1406" s="50">
        <f>SUMIFS(INDEX(Техника!$F$1:$ABM$500,X$2,0),Техника!$F$4:$ABM$4,"Часы",INDEX(Техника!$G$1:$ABN$500,X$2,0),$A$1404,INDEX(Техника!$H$1:$ABO$500,X$2,0),"Д")</f>
        <v>0</v>
      </c>
      <c r="Y1406" s="50">
        <f>SUMIFS(INDEX(Техника!$F$1:$ABM$500,Y$2,0),Техника!$F$4:$ABM$4,"Часы",INDEX(Техника!$G$1:$ABN$500,Y$2,0),$A$1404,INDEX(Техника!$H$1:$ABO$500,Y$2,0),"Д")</f>
        <v>0</v>
      </c>
      <c r="Z1406" s="50">
        <f>SUMIFS(INDEX(Техника!$F$1:$ABM$500,Z$2,0),Техника!$F$4:$ABM$4,"Часы",INDEX(Техника!$G$1:$ABN$500,Z$2,0),$A$1404,INDEX(Техника!$H$1:$ABO$500,Z$2,0),"Д")</f>
        <v>0</v>
      </c>
      <c r="AA1406" s="50">
        <f>SUMIFS(INDEX(Техника!$F$1:$ABM$500,AA$2,0),Техника!$F$4:$ABM$4,"Часы",INDEX(Техника!$G$1:$ABN$500,AA$2,0),$A$1404,INDEX(Техника!$H$1:$ABO$500,AA$2,0),"Д")</f>
        <v>0</v>
      </c>
      <c r="AB1406" s="50">
        <f>SUMIFS(INDEX(Техника!$F$1:$ABM$500,AB$2,0),Техника!$F$4:$ABM$4,"Часы",INDEX(Техника!$G$1:$ABN$500,AB$2,0),$A$1404,INDEX(Техника!$H$1:$ABO$500,AB$2,0),"Д")</f>
        <v>0</v>
      </c>
    </row>
    <row r="1407" spans="1:28" hidden="1" outlineLevel="1" x14ac:dyDescent="0.3">
      <c r="A1407" s="33" t="s">
        <v>276</v>
      </c>
      <c r="B1407" s="34" t="s">
        <v>277</v>
      </c>
      <c r="C1407" s="50">
        <f>SUMIFS(INDEX(Техника!$F$1:$ABM$500,C$2,0),Техника!$F$4:$ABM$4,"Часы",INDEX(Техника!$G$1:$ABN$500,C$2,0),$A$1404,INDEX(Техника!$H$1:$ABO$500,C$2,0),"П")</f>
        <v>0</v>
      </c>
      <c r="D1407" s="50">
        <f>SUMIFS(INDEX(Техника!$F$1:$ABM$500,D$2,0),Техника!$F$4:$ABM$4,"Часы",INDEX(Техника!$G$1:$ABN$500,D$2,0),$A$1404,INDEX(Техника!$H$1:$ABO$500,D$2,0),"П")</f>
        <v>0</v>
      </c>
      <c r="E1407" s="50">
        <f>SUMIFS(INDEX(Техника!$F$1:$ABM$500,E$2,0),Техника!$F$4:$ABM$4,"Часы",INDEX(Техника!$G$1:$ABN$500,E$2,0),$A$1404,INDEX(Техника!$H$1:$ABO$500,E$2,0),"П")</f>
        <v>0</v>
      </c>
      <c r="F1407" s="50">
        <f>SUMIFS(INDEX(Техника!$F$1:$ABM$500,F$2,0),Техника!$F$4:$ABM$4,"Часы",INDEX(Техника!$G$1:$ABN$500,F$2,0),$A$1404,INDEX(Техника!$H$1:$ABO$500,F$2,0),"П")</f>
        <v>0</v>
      </c>
      <c r="G1407" s="50">
        <f>SUMIFS(INDEX(Техника!$F$1:$ABM$500,G$2,0),Техника!$F$4:$ABM$4,"Часы",INDEX(Техника!$G$1:$ABN$500,G$2,0),$A$1404,INDEX(Техника!$H$1:$ABO$500,G$2,0),"П")</f>
        <v>0</v>
      </c>
      <c r="H1407" s="50">
        <f>SUMIFS(INDEX(Техника!$F$1:$ABM$500,H$2,0),Техника!$F$4:$ABM$4,"Часы",INDEX(Техника!$G$1:$ABN$500,H$2,0),$A$1404,INDEX(Техника!$H$1:$ABO$500,H$2,0),"П")</f>
        <v>0</v>
      </c>
      <c r="I1407" s="50">
        <f>SUMIFS(INDEX(Техника!$F$1:$ABM$500,I$2,0),Техника!$F$4:$ABM$4,"Часы",INDEX(Техника!$G$1:$ABN$500,I$2,0),$A$1404,INDEX(Техника!$H$1:$ABO$500,I$2,0),"П")</f>
        <v>0</v>
      </c>
      <c r="J1407" s="50">
        <f>SUMIFS(INDEX(Техника!$F$1:$ABM$500,J$2,0),Техника!$F$4:$ABM$4,"Часы",INDEX(Техника!$G$1:$ABN$500,J$2,0),$A$1404,INDEX(Техника!$H$1:$ABO$500,J$2,0),"П")</f>
        <v>0</v>
      </c>
      <c r="K1407" s="50">
        <f>SUMIFS(INDEX(Техника!$F$1:$ABM$500,K$2,0),Техника!$F$4:$ABM$4,"Часы",INDEX(Техника!$G$1:$ABN$500,K$2,0),$A$1404,INDEX(Техника!$H$1:$ABO$500,K$2,0),"П")</f>
        <v>0</v>
      </c>
      <c r="L1407" s="50">
        <f>SUMIFS(INDEX(Техника!$F$1:$ABM$500,L$2,0),Техника!$F$4:$ABM$4,"Часы",INDEX(Техника!$G$1:$ABN$500,L$2,0),$A$1404,INDEX(Техника!$H$1:$ABO$500,L$2,0),"П")</f>
        <v>0</v>
      </c>
      <c r="M1407" s="50">
        <f>SUMIFS(INDEX(Техника!$F$1:$ABM$500,M$2,0),Техника!$F$4:$ABM$4,"Часы",INDEX(Техника!$G$1:$ABN$500,M$2,0),$A$1404,INDEX(Техника!$H$1:$ABO$500,M$2,0),"П")</f>
        <v>0</v>
      </c>
      <c r="N1407" s="50">
        <f>SUMIFS(INDEX(Техника!$F$1:$ABM$500,N$2,0),Техника!$F$4:$ABM$4,"Часы",INDEX(Техника!$G$1:$ABN$500,N$2,0),$A$1404,INDEX(Техника!$H$1:$ABO$500,N$2,0),"П")</f>
        <v>0</v>
      </c>
      <c r="O1407" s="50">
        <f>SUMIFS(INDEX(Техника!$F$1:$ABM$500,O$2,0),Техника!$F$4:$ABM$4,"Часы",INDEX(Техника!$G$1:$ABN$500,O$2,0),$A$1404,INDEX(Техника!$H$1:$ABO$500,O$2,0),"П")</f>
        <v>0</v>
      </c>
      <c r="P1407" s="50">
        <f>SUMIFS(INDEX(Техника!$F$1:$ABM$500,P$2,0),Техника!$F$4:$ABM$4,"Часы",INDEX(Техника!$G$1:$ABN$500,P$2,0),$A$1404,INDEX(Техника!$H$1:$ABO$500,P$2,0),"П")</f>
        <v>0</v>
      </c>
      <c r="Q1407" s="50">
        <f>SUMIFS(INDEX(Техника!$F$1:$ABM$500,Q$2,0),Техника!$F$4:$ABM$4,"Часы",INDEX(Техника!$G$1:$ABN$500,Q$2,0),$A$1404,INDEX(Техника!$H$1:$ABO$500,Q$2,0),"П")</f>
        <v>0</v>
      </c>
      <c r="R1407" s="50">
        <f>SUMIFS(INDEX(Техника!$F$1:$ABM$500,R$2,0),Техника!$F$4:$ABM$4,"Часы",INDEX(Техника!$G$1:$ABN$500,R$2,0),$A$1404,INDEX(Техника!$H$1:$ABO$500,R$2,0),"П")</f>
        <v>0</v>
      </c>
      <c r="S1407" s="50">
        <f>SUMIFS(INDEX(Техника!$F$1:$ABM$500,S$2,0),Техника!$F$4:$ABM$4,"Часы",INDEX(Техника!$G$1:$ABN$500,S$2,0),$A$1404,INDEX(Техника!$H$1:$ABO$500,S$2,0),"П")</f>
        <v>0</v>
      </c>
      <c r="T1407" s="50">
        <f>SUMIFS(INDEX(Техника!$F$1:$ABM$500,T$2,0),Техника!$F$4:$ABM$4,"Часы",INDEX(Техника!$G$1:$ABN$500,T$2,0),$A$1404,INDEX(Техника!$H$1:$ABO$500,T$2,0),"П")</f>
        <v>0</v>
      </c>
      <c r="U1407" s="50">
        <f>SUMIFS(INDEX(Техника!$F$1:$ABM$500,U$2,0),Техника!$F$4:$ABM$4,"Часы",INDEX(Техника!$G$1:$ABN$500,U$2,0),$A$1404,INDEX(Техника!$H$1:$ABO$500,U$2,0),"П")</f>
        <v>0</v>
      </c>
      <c r="V1407" s="50">
        <f>SUMIFS(INDEX(Техника!$F$1:$ABM$500,V$2,0),Техника!$F$4:$ABM$4,"Часы",INDEX(Техника!$G$1:$ABN$500,V$2,0),$A$1404,INDEX(Техника!$H$1:$ABO$500,V$2,0),"П")</f>
        <v>0</v>
      </c>
      <c r="W1407" s="50">
        <f>SUMIFS(INDEX(Техника!$F$1:$ABM$500,W$2,0),Техника!$F$4:$ABM$4,"Часы",INDEX(Техника!$G$1:$ABN$500,W$2,0),$A$1404,INDEX(Техника!$H$1:$ABO$500,W$2,0),"П")</f>
        <v>0</v>
      </c>
      <c r="X1407" s="50">
        <f>SUMIFS(INDEX(Техника!$F$1:$ABM$500,X$2,0),Техника!$F$4:$ABM$4,"Часы",INDEX(Техника!$G$1:$ABN$500,X$2,0),$A$1404,INDEX(Техника!$H$1:$ABO$500,X$2,0),"П")</f>
        <v>0</v>
      </c>
      <c r="Y1407" s="50">
        <f>SUMIFS(INDEX(Техника!$F$1:$ABM$500,Y$2,0),Техника!$F$4:$ABM$4,"Часы",INDEX(Техника!$G$1:$ABN$500,Y$2,0),$A$1404,INDEX(Техника!$H$1:$ABO$500,Y$2,0),"П")</f>
        <v>0</v>
      </c>
      <c r="Z1407" s="50">
        <f>SUMIFS(INDEX(Техника!$F$1:$ABM$500,Z$2,0),Техника!$F$4:$ABM$4,"Часы",INDEX(Техника!$G$1:$ABN$500,Z$2,0),$A$1404,INDEX(Техника!$H$1:$ABO$500,Z$2,0),"П")</f>
        <v>0</v>
      </c>
      <c r="AA1407" s="50">
        <f>SUMIFS(INDEX(Техника!$F$1:$ABM$500,AA$2,0),Техника!$F$4:$ABM$4,"Часы",INDEX(Техника!$G$1:$ABN$500,AA$2,0),$A$1404,INDEX(Техника!$H$1:$ABO$500,AA$2,0),"П")</f>
        <v>0</v>
      </c>
      <c r="AB1407" s="50">
        <f>SUMIFS(INDEX(Техника!$F$1:$ABM$500,AB$2,0),Техника!$F$4:$ABM$4,"Часы",INDEX(Техника!$G$1:$ABN$500,AB$2,0),$A$1404,INDEX(Техника!$H$1:$ABO$500,AB$2,0),"П")</f>
        <v>0</v>
      </c>
    </row>
    <row r="1408" spans="1:28" hidden="1" outlineLevel="1" x14ac:dyDescent="0.3">
      <c r="A1408" s="33" t="s">
        <v>243</v>
      </c>
      <c r="B1408" s="34" t="s">
        <v>278</v>
      </c>
      <c r="C1408" s="50">
        <f>SUMIFS(INDEX(Техника!$F$1:$ABM$500,C$2,0),Техника!$F$4:$ABM$4,"Часы",INDEX(Техника!$G$1:$ABN$500,C$2,0),$A$1404,INDEX(Техника!$H$1:$ABO$500,C$2,0),"Л")</f>
        <v>0</v>
      </c>
      <c r="D1408" s="50">
        <f>SUMIFS(INDEX(Техника!$F$1:$ABM$500,D$2,0),Техника!$F$4:$ABM$4,"Часы",INDEX(Техника!$G$1:$ABN$500,D$2,0),$A$1404,INDEX(Техника!$H$1:$ABO$500,D$2,0),"Л")</f>
        <v>0</v>
      </c>
      <c r="E1408" s="50">
        <f>SUMIFS(INDEX(Техника!$F$1:$ABM$500,E$2,0),Техника!$F$4:$ABM$4,"Часы",INDEX(Техника!$G$1:$ABN$500,E$2,0),$A$1404,INDEX(Техника!$H$1:$ABO$500,E$2,0),"Л")</f>
        <v>0</v>
      </c>
      <c r="F1408" s="50">
        <f>SUMIFS(INDEX(Техника!$F$1:$ABM$500,F$2,0),Техника!$F$4:$ABM$4,"Часы",INDEX(Техника!$G$1:$ABN$500,F$2,0),$A$1404,INDEX(Техника!$H$1:$ABO$500,F$2,0),"Л")</f>
        <v>0</v>
      </c>
      <c r="G1408" s="50">
        <f>SUMIFS(INDEX(Техника!$F$1:$ABM$500,G$2,0),Техника!$F$4:$ABM$4,"Часы",INDEX(Техника!$G$1:$ABN$500,G$2,0),$A$1404,INDEX(Техника!$H$1:$ABO$500,G$2,0),"Л")</f>
        <v>0</v>
      </c>
      <c r="H1408" s="50">
        <f>SUMIFS(INDEX(Техника!$F$1:$ABM$500,H$2,0),Техника!$F$4:$ABM$4,"Часы",INDEX(Техника!$G$1:$ABN$500,H$2,0),$A$1404,INDEX(Техника!$H$1:$ABO$500,H$2,0),"Л")</f>
        <v>0</v>
      </c>
      <c r="I1408" s="50">
        <f>SUMIFS(INDEX(Техника!$F$1:$ABM$500,I$2,0),Техника!$F$4:$ABM$4,"Часы",INDEX(Техника!$G$1:$ABN$500,I$2,0),$A$1404,INDEX(Техника!$H$1:$ABO$500,I$2,0),"Л")</f>
        <v>0</v>
      </c>
      <c r="J1408" s="50">
        <f>SUMIFS(INDEX(Техника!$F$1:$ABM$500,J$2,0),Техника!$F$4:$ABM$4,"Часы",INDEX(Техника!$G$1:$ABN$500,J$2,0),$A$1404,INDEX(Техника!$H$1:$ABO$500,J$2,0),"Л")</f>
        <v>0</v>
      </c>
      <c r="K1408" s="50">
        <f>SUMIFS(INDEX(Техника!$F$1:$ABM$500,K$2,0),Техника!$F$4:$ABM$4,"Часы",INDEX(Техника!$G$1:$ABN$500,K$2,0),$A$1404,INDEX(Техника!$H$1:$ABO$500,K$2,0),"Л")</f>
        <v>0</v>
      </c>
      <c r="L1408" s="50">
        <f>SUMIFS(INDEX(Техника!$F$1:$ABM$500,L$2,0),Техника!$F$4:$ABM$4,"Часы",INDEX(Техника!$G$1:$ABN$500,L$2,0),$A$1404,INDEX(Техника!$H$1:$ABO$500,L$2,0),"Л")</f>
        <v>0</v>
      </c>
      <c r="M1408" s="50">
        <f>SUMIFS(INDEX(Техника!$F$1:$ABM$500,M$2,0),Техника!$F$4:$ABM$4,"Часы",INDEX(Техника!$G$1:$ABN$500,M$2,0),$A$1404,INDEX(Техника!$H$1:$ABO$500,M$2,0),"Л")</f>
        <v>0</v>
      </c>
      <c r="N1408" s="50">
        <f>SUMIFS(INDEX(Техника!$F$1:$ABM$500,N$2,0),Техника!$F$4:$ABM$4,"Часы",INDEX(Техника!$G$1:$ABN$500,N$2,0),$A$1404,INDEX(Техника!$H$1:$ABO$500,N$2,0),"Л")</f>
        <v>0</v>
      </c>
      <c r="O1408" s="50">
        <f>SUMIFS(INDEX(Техника!$F$1:$ABM$500,O$2,0),Техника!$F$4:$ABM$4,"Часы",INDEX(Техника!$G$1:$ABN$500,O$2,0),$A$1404,INDEX(Техника!$H$1:$ABO$500,O$2,0),"Л")</f>
        <v>0</v>
      </c>
      <c r="P1408" s="50">
        <f>SUMIFS(INDEX(Техника!$F$1:$ABM$500,P$2,0),Техника!$F$4:$ABM$4,"Часы",INDEX(Техника!$G$1:$ABN$500,P$2,0),$A$1404,INDEX(Техника!$H$1:$ABO$500,P$2,0),"Л")</f>
        <v>0</v>
      </c>
      <c r="Q1408" s="50">
        <f>SUMIFS(INDEX(Техника!$F$1:$ABM$500,Q$2,0),Техника!$F$4:$ABM$4,"Часы",INDEX(Техника!$G$1:$ABN$500,Q$2,0),$A$1404,INDEX(Техника!$H$1:$ABO$500,Q$2,0),"Л")</f>
        <v>0</v>
      </c>
      <c r="R1408" s="50">
        <f>SUMIFS(INDEX(Техника!$F$1:$ABM$500,R$2,0),Техника!$F$4:$ABM$4,"Часы",INDEX(Техника!$G$1:$ABN$500,R$2,0),$A$1404,INDEX(Техника!$H$1:$ABO$500,R$2,0),"Л")</f>
        <v>0</v>
      </c>
      <c r="S1408" s="50">
        <f>SUMIFS(INDEX(Техника!$F$1:$ABM$500,S$2,0),Техника!$F$4:$ABM$4,"Часы",INDEX(Техника!$G$1:$ABN$500,S$2,0),$A$1404,INDEX(Техника!$H$1:$ABO$500,S$2,0),"Л")</f>
        <v>0</v>
      </c>
      <c r="T1408" s="50">
        <f>SUMIFS(INDEX(Техника!$F$1:$ABM$500,T$2,0),Техника!$F$4:$ABM$4,"Часы",INDEX(Техника!$G$1:$ABN$500,T$2,0),$A$1404,INDEX(Техника!$H$1:$ABO$500,T$2,0),"Л")</f>
        <v>0</v>
      </c>
      <c r="U1408" s="50">
        <f>SUMIFS(INDEX(Техника!$F$1:$ABM$500,U$2,0),Техника!$F$4:$ABM$4,"Часы",INDEX(Техника!$G$1:$ABN$500,U$2,0),$A$1404,INDEX(Техника!$H$1:$ABO$500,U$2,0),"Л")</f>
        <v>0</v>
      </c>
      <c r="V1408" s="50">
        <f>SUMIFS(INDEX(Техника!$F$1:$ABM$500,V$2,0),Техника!$F$4:$ABM$4,"Часы",INDEX(Техника!$G$1:$ABN$500,V$2,0),$A$1404,INDEX(Техника!$H$1:$ABO$500,V$2,0),"Л")</f>
        <v>0</v>
      </c>
      <c r="W1408" s="50">
        <f>SUMIFS(INDEX(Техника!$F$1:$ABM$500,W$2,0),Техника!$F$4:$ABM$4,"Часы",INDEX(Техника!$G$1:$ABN$500,W$2,0),$A$1404,INDEX(Техника!$H$1:$ABO$500,W$2,0),"Л")</f>
        <v>0</v>
      </c>
      <c r="X1408" s="50">
        <f>SUMIFS(INDEX(Техника!$F$1:$ABM$500,X$2,0),Техника!$F$4:$ABM$4,"Часы",INDEX(Техника!$G$1:$ABN$500,X$2,0),$A$1404,INDEX(Техника!$H$1:$ABO$500,X$2,0),"Л")</f>
        <v>0</v>
      </c>
      <c r="Y1408" s="50">
        <f>SUMIFS(INDEX(Техника!$F$1:$ABM$500,Y$2,0),Техника!$F$4:$ABM$4,"Часы",INDEX(Техника!$G$1:$ABN$500,Y$2,0),$A$1404,INDEX(Техника!$H$1:$ABO$500,Y$2,0),"Л")</f>
        <v>0</v>
      </c>
      <c r="Z1408" s="50">
        <f>SUMIFS(INDEX(Техника!$F$1:$ABM$500,Z$2,0),Техника!$F$4:$ABM$4,"Часы",INDEX(Техника!$G$1:$ABN$500,Z$2,0),$A$1404,INDEX(Техника!$H$1:$ABO$500,Z$2,0),"Л")</f>
        <v>0</v>
      </c>
      <c r="AA1408" s="50">
        <f>SUMIFS(INDEX(Техника!$F$1:$ABM$500,AA$2,0),Техника!$F$4:$ABM$4,"Часы",INDEX(Техника!$G$1:$ABN$500,AA$2,0),$A$1404,INDEX(Техника!$H$1:$ABO$500,AA$2,0),"Л")</f>
        <v>0</v>
      </c>
      <c r="AB1408" s="50">
        <f>SUMIFS(INDEX(Техника!$F$1:$ABM$500,AB$2,0),Техника!$F$4:$ABM$4,"Часы",INDEX(Техника!$G$1:$ABN$500,AB$2,0),$A$1404,INDEX(Техника!$H$1:$ABO$500,AB$2,0),"Л")</f>
        <v>0</v>
      </c>
    </row>
    <row r="1409" spans="1:28" hidden="1" outlineLevel="1" x14ac:dyDescent="0.3">
      <c r="A1409" s="33" t="s">
        <v>245</v>
      </c>
      <c r="B1409" s="34" t="s">
        <v>279</v>
      </c>
      <c r="C1409" s="50">
        <f>SUMIFS(INDEX(Техника!$F$1:$ABM$500,C$2,0),Техника!$F$4:$ABM$4,"Часы",INDEX(Техника!$G$1:$ABN$500,C$2,0),$A$1404,INDEX(Техника!$H$1:$ABO$500,C$2,0),"З")</f>
        <v>0</v>
      </c>
      <c r="D1409" s="50">
        <f>SUMIFS(INDEX(Техника!$F$1:$ABM$500,D$2,0),Техника!$F$4:$ABM$4,"Часы",INDEX(Техника!$G$1:$ABN$500,D$2,0),$A$1404,INDEX(Техника!$H$1:$ABO$500,D$2,0),"З")</f>
        <v>0</v>
      </c>
      <c r="E1409" s="50">
        <f>SUMIFS(INDEX(Техника!$F$1:$ABM$500,E$2,0),Техника!$F$4:$ABM$4,"Часы",INDEX(Техника!$G$1:$ABN$500,E$2,0),$A$1404,INDEX(Техника!$H$1:$ABO$500,E$2,0),"З")</f>
        <v>0</v>
      </c>
      <c r="F1409" s="50">
        <f>SUMIFS(INDEX(Техника!$F$1:$ABM$500,F$2,0),Техника!$F$4:$ABM$4,"Часы",INDEX(Техника!$G$1:$ABN$500,F$2,0),$A$1404,INDEX(Техника!$H$1:$ABO$500,F$2,0),"З")</f>
        <v>0</v>
      </c>
      <c r="G1409" s="50">
        <f>SUMIFS(INDEX(Техника!$F$1:$ABM$500,G$2,0),Техника!$F$4:$ABM$4,"Часы",INDEX(Техника!$G$1:$ABN$500,G$2,0),$A$1404,INDEX(Техника!$H$1:$ABO$500,G$2,0),"З")</f>
        <v>0</v>
      </c>
      <c r="H1409" s="50">
        <f>SUMIFS(INDEX(Техника!$F$1:$ABM$500,H$2,0),Техника!$F$4:$ABM$4,"Часы",INDEX(Техника!$G$1:$ABN$500,H$2,0),$A$1404,INDEX(Техника!$H$1:$ABO$500,H$2,0),"З")</f>
        <v>0</v>
      </c>
      <c r="I1409" s="50">
        <f>SUMIFS(INDEX(Техника!$F$1:$ABM$500,I$2,0),Техника!$F$4:$ABM$4,"Часы",INDEX(Техника!$G$1:$ABN$500,I$2,0),$A$1404,INDEX(Техника!$H$1:$ABO$500,I$2,0),"З")</f>
        <v>0</v>
      </c>
      <c r="J1409" s="50">
        <f>SUMIFS(INDEX(Техника!$F$1:$ABM$500,J$2,0),Техника!$F$4:$ABM$4,"Часы",INDEX(Техника!$G$1:$ABN$500,J$2,0),$A$1404,INDEX(Техника!$H$1:$ABO$500,J$2,0),"З")</f>
        <v>0</v>
      </c>
      <c r="K1409" s="50">
        <f>SUMIFS(INDEX(Техника!$F$1:$ABM$500,K$2,0),Техника!$F$4:$ABM$4,"Часы",INDEX(Техника!$G$1:$ABN$500,K$2,0),$A$1404,INDEX(Техника!$H$1:$ABO$500,K$2,0),"З")</f>
        <v>0</v>
      </c>
      <c r="L1409" s="50">
        <f>SUMIFS(INDEX(Техника!$F$1:$ABM$500,L$2,0),Техника!$F$4:$ABM$4,"Часы",INDEX(Техника!$G$1:$ABN$500,L$2,0),$A$1404,INDEX(Техника!$H$1:$ABO$500,L$2,0),"З")</f>
        <v>0</v>
      </c>
      <c r="M1409" s="50">
        <f>SUMIFS(INDEX(Техника!$F$1:$ABM$500,M$2,0),Техника!$F$4:$ABM$4,"Часы",INDEX(Техника!$G$1:$ABN$500,M$2,0),$A$1404,INDEX(Техника!$H$1:$ABO$500,M$2,0),"З")</f>
        <v>0</v>
      </c>
      <c r="N1409" s="50">
        <f>SUMIFS(INDEX(Техника!$F$1:$ABM$500,N$2,0),Техника!$F$4:$ABM$4,"Часы",INDEX(Техника!$G$1:$ABN$500,N$2,0),$A$1404,INDEX(Техника!$H$1:$ABO$500,N$2,0),"З")</f>
        <v>0</v>
      </c>
      <c r="O1409" s="50">
        <f>SUMIFS(INDEX(Техника!$F$1:$ABM$500,O$2,0),Техника!$F$4:$ABM$4,"Часы",INDEX(Техника!$G$1:$ABN$500,O$2,0),$A$1404,INDEX(Техника!$H$1:$ABO$500,O$2,0),"З")</f>
        <v>0</v>
      </c>
      <c r="P1409" s="50">
        <f>SUMIFS(INDEX(Техника!$F$1:$ABM$500,P$2,0),Техника!$F$4:$ABM$4,"Часы",INDEX(Техника!$G$1:$ABN$500,P$2,0),$A$1404,INDEX(Техника!$H$1:$ABO$500,P$2,0),"З")</f>
        <v>0</v>
      </c>
      <c r="Q1409" s="50">
        <f>SUMIFS(INDEX(Техника!$F$1:$ABM$500,Q$2,0),Техника!$F$4:$ABM$4,"Часы",INDEX(Техника!$G$1:$ABN$500,Q$2,0),$A$1404,INDEX(Техника!$H$1:$ABO$500,Q$2,0),"З")</f>
        <v>0</v>
      </c>
      <c r="R1409" s="50">
        <f>SUMIFS(INDEX(Техника!$F$1:$ABM$500,R$2,0),Техника!$F$4:$ABM$4,"Часы",INDEX(Техника!$G$1:$ABN$500,R$2,0),$A$1404,INDEX(Техника!$H$1:$ABO$500,R$2,0),"З")</f>
        <v>0</v>
      </c>
      <c r="S1409" s="50">
        <f>SUMIFS(INDEX(Техника!$F$1:$ABM$500,S$2,0),Техника!$F$4:$ABM$4,"Часы",INDEX(Техника!$G$1:$ABN$500,S$2,0),$A$1404,INDEX(Техника!$H$1:$ABO$500,S$2,0),"З")</f>
        <v>0</v>
      </c>
      <c r="T1409" s="50">
        <f>SUMIFS(INDEX(Техника!$F$1:$ABM$500,T$2,0),Техника!$F$4:$ABM$4,"Часы",INDEX(Техника!$G$1:$ABN$500,T$2,0),$A$1404,INDEX(Техника!$H$1:$ABO$500,T$2,0),"З")</f>
        <v>0</v>
      </c>
      <c r="U1409" s="50">
        <f>SUMIFS(INDEX(Техника!$F$1:$ABM$500,U$2,0),Техника!$F$4:$ABM$4,"Часы",INDEX(Техника!$G$1:$ABN$500,U$2,0),$A$1404,INDEX(Техника!$H$1:$ABO$500,U$2,0),"З")</f>
        <v>0</v>
      </c>
      <c r="V1409" s="50">
        <f>SUMIFS(INDEX(Техника!$F$1:$ABM$500,V$2,0),Техника!$F$4:$ABM$4,"Часы",INDEX(Техника!$G$1:$ABN$500,V$2,0),$A$1404,INDEX(Техника!$H$1:$ABO$500,V$2,0),"З")</f>
        <v>0</v>
      </c>
      <c r="W1409" s="50">
        <f>SUMIFS(INDEX(Техника!$F$1:$ABM$500,W$2,0),Техника!$F$4:$ABM$4,"Часы",INDEX(Техника!$G$1:$ABN$500,W$2,0),$A$1404,INDEX(Техника!$H$1:$ABO$500,W$2,0),"З")</f>
        <v>0</v>
      </c>
      <c r="X1409" s="50">
        <f>SUMIFS(INDEX(Техника!$F$1:$ABM$500,X$2,0),Техника!$F$4:$ABM$4,"Часы",INDEX(Техника!$G$1:$ABN$500,X$2,0),$A$1404,INDEX(Техника!$H$1:$ABO$500,X$2,0),"З")</f>
        <v>0</v>
      </c>
      <c r="Y1409" s="50">
        <f>SUMIFS(INDEX(Техника!$F$1:$ABM$500,Y$2,0),Техника!$F$4:$ABM$4,"Часы",INDEX(Техника!$G$1:$ABN$500,Y$2,0),$A$1404,INDEX(Техника!$H$1:$ABO$500,Y$2,0),"З")</f>
        <v>0</v>
      </c>
      <c r="Z1409" s="50">
        <f>SUMIFS(INDEX(Техника!$F$1:$ABM$500,Z$2,0),Техника!$F$4:$ABM$4,"Часы",INDEX(Техника!$G$1:$ABN$500,Z$2,0),$A$1404,INDEX(Техника!$H$1:$ABO$500,Z$2,0),"З")</f>
        <v>0</v>
      </c>
      <c r="AA1409" s="50">
        <f>SUMIFS(INDEX(Техника!$F$1:$ABM$500,AA$2,0),Техника!$F$4:$ABM$4,"Часы",INDEX(Техника!$G$1:$ABN$500,AA$2,0),$A$1404,INDEX(Техника!$H$1:$ABO$500,AA$2,0),"З")</f>
        <v>0</v>
      </c>
      <c r="AB1409" s="50">
        <f>SUMIFS(INDEX(Техника!$F$1:$ABM$500,AB$2,0),Техника!$F$4:$ABM$4,"Часы",INDEX(Техника!$G$1:$ABN$500,AB$2,0),$A$1404,INDEX(Техника!$H$1:$ABO$500,AB$2,0),"З")</f>
        <v>0</v>
      </c>
    </row>
    <row r="1410" spans="1:28" ht="7.95" customHeight="1" x14ac:dyDescent="0.3">
      <c r="A1410" s="38"/>
      <c r="B1410" s="39"/>
      <c r="C1410" s="51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</row>
    <row r="1411" spans="1:28" ht="25.05" customHeight="1" collapsed="1" x14ac:dyDescent="0.3">
      <c r="A1411" s="32">
        <v>202</v>
      </c>
      <c r="B1411" s="32" t="s">
        <v>203</v>
      </c>
      <c r="C1411" s="49">
        <f>SUM(C1412:C1416)</f>
        <v>0</v>
      </c>
      <c r="D1411" s="49">
        <f>SUM(D1412:D1416)</f>
        <v>0</v>
      </c>
      <c r="E1411" s="49">
        <f>SUM(E1412:E1416)</f>
        <v>0</v>
      </c>
      <c r="F1411" s="49">
        <f>SUM(F1412:F1416)</f>
        <v>0</v>
      </c>
      <c r="G1411" s="49">
        <f>SUM(G1412:G1416)</f>
        <v>0</v>
      </c>
      <c r="H1411" s="49">
        <f>SUM(H1412:H1416)</f>
        <v>0</v>
      </c>
      <c r="I1411" s="49">
        <f>SUM(I1412:I1416)</f>
        <v>0</v>
      </c>
      <c r="J1411" s="49">
        <f>SUM(J1412:J1416)</f>
        <v>0</v>
      </c>
      <c r="K1411" s="49">
        <f>SUM(K1412:K1416)</f>
        <v>0</v>
      </c>
      <c r="L1411" s="49">
        <f>SUM(L1412:L1416)</f>
        <v>0</v>
      </c>
      <c r="M1411" s="49">
        <f>SUM(M1412:M1416)</f>
        <v>0</v>
      </c>
      <c r="N1411" s="49">
        <f>SUM(N1412:N1416)</f>
        <v>0</v>
      </c>
      <c r="O1411" s="49">
        <f>SUM(O1412:O1416)</f>
        <v>0</v>
      </c>
      <c r="P1411" s="49">
        <f>SUM(P1412:P1416)</f>
        <v>0</v>
      </c>
      <c r="Q1411" s="49">
        <f>SUM(Q1412:Q1416)</f>
        <v>0</v>
      </c>
      <c r="R1411" s="49">
        <f>SUM(R1412:R1416)</f>
        <v>0</v>
      </c>
      <c r="S1411" s="49">
        <f>SUM(S1412:S1416)</f>
        <v>0</v>
      </c>
      <c r="T1411" s="49">
        <f>SUM(T1412:T1416)</f>
        <v>0</v>
      </c>
      <c r="U1411" s="49">
        <f>SUM(U1412:U1416)</f>
        <v>0</v>
      </c>
      <c r="V1411" s="49">
        <f>SUM(V1412:V1416)</f>
        <v>0</v>
      </c>
      <c r="W1411" s="49">
        <f>SUM(W1412:W1416)</f>
        <v>0</v>
      </c>
      <c r="X1411" s="49">
        <f>SUM(X1412:X1416)</f>
        <v>0</v>
      </c>
      <c r="Y1411" s="49">
        <f>SUM(Y1412:Y1416)</f>
        <v>0</v>
      </c>
      <c r="Z1411" s="49">
        <f>SUM(Z1412:Z1416)</f>
        <v>0</v>
      </c>
      <c r="AA1411" s="49">
        <f>SUM(AA1412:AA1416)</f>
        <v>0</v>
      </c>
      <c r="AB1411" s="49">
        <f>SUM(AB1412:AB1416)</f>
        <v>0</v>
      </c>
    </row>
    <row r="1412" spans="1:28" hidden="1" outlineLevel="1" x14ac:dyDescent="0.3">
      <c r="A1412" s="33" t="s">
        <v>246</v>
      </c>
      <c r="B1412" s="34" t="s">
        <v>274</v>
      </c>
      <c r="C1412" s="50">
        <f>SUMIFS(INDEX(Техника!$F$1:$ABM$500,C$2,0),Техника!$F$4:$ABM$4,"Часы",INDEX(Техника!$G$1:$ABN$500,C$2,0),$A$1411,INDEX(Техника!$H$1:$ABO$500,C$2,0),"М")</f>
        <v>0</v>
      </c>
      <c r="D1412" s="50">
        <f>SUMIFS(INDEX(Техника!$F$1:$ABM$500,D$2,0),Техника!$F$4:$ABM$4,"Часы",INDEX(Техника!$G$1:$ABN$500,D$2,0),$A$1411,INDEX(Техника!$H$1:$ABO$500,D$2,0),"М")</f>
        <v>0</v>
      </c>
      <c r="E1412" s="50">
        <f>SUMIFS(INDEX(Техника!$F$1:$ABM$500,E$2,0),Техника!$F$4:$ABM$4,"Часы",INDEX(Техника!$G$1:$ABN$500,E$2,0),$A$1411,INDEX(Техника!$H$1:$ABO$500,E$2,0),"М")</f>
        <v>0</v>
      </c>
      <c r="F1412" s="50">
        <f>SUMIFS(INDEX(Техника!$F$1:$ABM$500,F$2,0),Техника!$F$4:$ABM$4,"Часы",INDEX(Техника!$G$1:$ABN$500,F$2,0),$A$1411,INDEX(Техника!$H$1:$ABO$500,F$2,0),"М")</f>
        <v>0</v>
      </c>
      <c r="G1412" s="50">
        <f>SUMIFS(INDEX(Техника!$F$1:$ABM$500,G$2,0),Техника!$F$4:$ABM$4,"Часы",INDEX(Техника!$G$1:$ABN$500,G$2,0),$A$1411,INDEX(Техника!$H$1:$ABO$500,G$2,0),"М")</f>
        <v>0</v>
      </c>
      <c r="H1412" s="50">
        <f>SUMIFS(INDEX(Техника!$F$1:$ABM$500,H$2,0),Техника!$F$4:$ABM$4,"Часы",INDEX(Техника!$G$1:$ABN$500,H$2,0),$A$1411,INDEX(Техника!$H$1:$ABO$500,H$2,0),"М")</f>
        <v>0</v>
      </c>
      <c r="I1412" s="50">
        <f>SUMIFS(INDEX(Техника!$F$1:$ABM$500,I$2,0),Техника!$F$4:$ABM$4,"Часы",INDEX(Техника!$G$1:$ABN$500,I$2,0),$A$1411,INDEX(Техника!$H$1:$ABO$500,I$2,0),"М")</f>
        <v>0</v>
      </c>
      <c r="J1412" s="50">
        <f>SUMIFS(INDEX(Техника!$F$1:$ABM$500,J$2,0),Техника!$F$4:$ABM$4,"Часы",INDEX(Техника!$G$1:$ABN$500,J$2,0),$A$1411,INDEX(Техника!$H$1:$ABO$500,J$2,0),"М")</f>
        <v>0</v>
      </c>
      <c r="K1412" s="50">
        <f>SUMIFS(INDEX(Техника!$F$1:$ABM$500,K$2,0),Техника!$F$4:$ABM$4,"Часы",INDEX(Техника!$G$1:$ABN$500,K$2,0),$A$1411,INDEX(Техника!$H$1:$ABO$500,K$2,0),"М")</f>
        <v>0</v>
      </c>
      <c r="L1412" s="50">
        <f>SUMIFS(INDEX(Техника!$F$1:$ABM$500,L$2,0),Техника!$F$4:$ABM$4,"Часы",INDEX(Техника!$G$1:$ABN$500,L$2,0),$A$1411,INDEX(Техника!$H$1:$ABO$500,L$2,0),"М")</f>
        <v>0</v>
      </c>
      <c r="M1412" s="50">
        <f>SUMIFS(INDEX(Техника!$F$1:$ABM$500,M$2,0),Техника!$F$4:$ABM$4,"Часы",INDEX(Техника!$G$1:$ABN$500,M$2,0),$A$1411,INDEX(Техника!$H$1:$ABO$500,M$2,0),"М")</f>
        <v>0</v>
      </c>
      <c r="N1412" s="50">
        <f>SUMIFS(INDEX(Техника!$F$1:$ABM$500,N$2,0),Техника!$F$4:$ABM$4,"Часы",INDEX(Техника!$G$1:$ABN$500,N$2,0),$A$1411,INDEX(Техника!$H$1:$ABO$500,N$2,0),"М")</f>
        <v>0</v>
      </c>
      <c r="O1412" s="50">
        <f>SUMIFS(INDEX(Техника!$F$1:$ABM$500,O$2,0),Техника!$F$4:$ABM$4,"Часы",INDEX(Техника!$G$1:$ABN$500,O$2,0),$A$1411,INDEX(Техника!$H$1:$ABO$500,O$2,0),"М")</f>
        <v>0</v>
      </c>
      <c r="P1412" s="50">
        <f>SUMIFS(INDEX(Техника!$F$1:$ABM$500,P$2,0),Техника!$F$4:$ABM$4,"Часы",INDEX(Техника!$G$1:$ABN$500,P$2,0),$A$1411,INDEX(Техника!$H$1:$ABO$500,P$2,0),"М")</f>
        <v>0</v>
      </c>
      <c r="Q1412" s="50">
        <f>SUMIFS(INDEX(Техника!$F$1:$ABM$500,Q$2,0),Техника!$F$4:$ABM$4,"Часы",INDEX(Техника!$G$1:$ABN$500,Q$2,0),$A$1411,INDEX(Техника!$H$1:$ABO$500,Q$2,0),"М")</f>
        <v>0</v>
      </c>
      <c r="R1412" s="50">
        <f>SUMIFS(INDEX(Техника!$F$1:$ABM$500,R$2,0),Техника!$F$4:$ABM$4,"Часы",INDEX(Техника!$G$1:$ABN$500,R$2,0),$A$1411,INDEX(Техника!$H$1:$ABO$500,R$2,0),"М")</f>
        <v>0</v>
      </c>
      <c r="S1412" s="50">
        <f>SUMIFS(INDEX(Техника!$F$1:$ABM$500,S$2,0),Техника!$F$4:$ABM$4,"Часы",INDEX(Техника!$G$1:$ABN$500,S$2,0),$A$1411,INDEX(Техника!$H$1:$ABO$500,S$2,0),"М")</f>
        <v>0</v>
      </c>
      <c r="T1412" s="50">
        <f>SUMIFS(INDEX(Техника!$F$1:$ABM$500,T$2,0),Техника!$F$4:$ABM$4,"Часы",INDEX(Техника!$G$1:$ABN$500,T$2,0),$A$1411,INDEX(Техника!$H$1:$ABO$500,T$2,0),"М")</f>
        <v>0</v>
      </c>
      <c r="U1412" s="50">
        <f>SUMIFS(INDEX(Техника!$F$1:$ABM$500,U$2,0),Техника!$F$4:$ABM$4,"Часы",INDEX(Техника!$G$1:$ABN$500,U$2,0),$A$1411,INDEX(Техника!$H$1:$ABO$500,U$2,0),"М")</f>
        <v>0</v>
      </c>
      <c r="V1412" s="50">
        <f>SUMIFS(INDEX(Техника!$F$1:$ABM$500,V$2,0),Техника!$F$4:$ABM$4,"Часы",INDEX(Техника!$G$1:$ABN$500,V$2,0),$A$1411,INDEX(Техника!$H$1:$ABO$500,V$2,0),"М")</f>
        <v>0</v>
      </c>
      <c r="W1412" s="50">
        <f>SUMIFS(INDEX(Техника!$F$1:$ABM$500,W$2,0),Техника!$F$4:$ABM$4,"Часы",INDEX(Техника!$G$1:$ABN$500,W$2,0),$A$1411,INDEX(Техника!$H$1:$ABO$500,W$2,0),"М")</f>
        <v>0</v>
      </c>
      <c r="X1412" s="50">
        <f>SUMIFS(INDEX(Техника!$F$1:$ABM$500,X$2,0),Техника!$F$4:$ABM$4,"Часы",INDEX(Техника!$G$1:$ABN$500,X$2,0),$A$1411,INDEX(Техника!$H$1:$ABO$500,X$2,0),"М")</f>
        <v>0</v>
      </c>
      <c r="Y1412" s="50">
        <f>SUMIFS(INDEX(Техника!$F$1:$ABM$500,Y$2,0),Техника!$F$4:$ABM$4,"Часы",INDEX(Техника!$G$1:$ABN$500,Y$2,0),$A$1411,INDEX(Техника!$H$1:$ABO$500,Y$2,0),"М")</f>
        <v>0</v>
      </c>
      <c r="Z1412" s="50">
        <f>SUMIFS(INDEX(Техника!$F$1:$ABM$500,Z$2,0),Техника!$F$4:$ABM$4,"Часы",INDEX(Техника!$G$1:$ABN$500,Z$2,0),$A$1411,INDEX(Техника!$H$1:$ABO$500,Z$2,0),"М")</f>
        <v>0</v>
      </c>
      <c r="AA1412" s="50">
        <f>SUMIFS(INDEX(Техника!$F$1:$ABM$500,AA$2,0),Техника!$F$4:$ABM$4,"Часы",INDEX(Техника!$G$1:$ABN$500,AA$2,0),$A$1411,INDEX(Техника!$H$1:$ABO$500,AA$2,0),"М")</f>
        <v>0</v>
      </c>
      <c r="AB1412" s="50">
        <f>SUMIFS(INDEX(Техника!$F$1:$ABM$500,AB$2,0),Техника!$F$4:$ABM$4,"Часы",INDEX(Техника!$G$1:$ABN$500,AB$2,0),$A$1411,INDEX(Техника!$H$1:$ABO$500,AB$2,0),"М")</f>
        <v>0</v>
      </c>
    </row>
    <row r="1413" spans="1:28" hidden="1" outlineLevel="1" x14ac:dyDescent="0.3">
      <c r="A1413" s="33" t="s">
        <v>244</v>
      </c>
      <c r="B1413" s="34" t="s">
        <v>275</v>
      </c>
      <c r="C1413" s="50">
        <f>SUMIFS(INDEX(Техника!$F$1:$ABM$500,C$2,0),Техника!$F$4:$ABM$4,"Часы",INDEX(Техника!$G$1:$ABN$500,C$2,0),$A$1411,INDEX(Техника!$H$1:$ABO$500,C$2,0),"Д")</f>
        <v>0</v>
      </c>
      <c r="D1413" s="50">
        <f>SUMIFS(INDEX(Техника!$F$1:$ABM$500,D$2,0),Техника!$F$4:$ABM$4,"Часы",INDEX(Техника!$G$1:$ABN$500,D$2,0),$A$1411,INDEX(Техника!$H$1:$ABO$500,D$2,0),"Д")</f>
        <v>0</v>
      </c>
      <c r="E1413" s="50">
        <f>SUMIFS(INDEX(Техника!$F$1:$ABM$500,E$2,0),Техника!$F$4:$ABM$4,"Часы",INDEX(Техника!$G$1:$ABN$500,E$2,0),$A$1411,INDEX(Техника!$H$1:$ABO$500,E$2,0),"Д")</f>
        <v>0</v>
      </c>
      <c r="F1413" s="50">
        <f>SUMIFS(INDEX(Техника!$F$1:$ABM$500,F$2,0),Техника!$F$4:$ABM$4,"Часы",INDEX(Техника!$G$1:$ABN$500,F$2,0),$A$1411,INDEX(Техника!$H$1:$ABO$500,F$2,0),"Д")</f>
        <v>0</v>
      </c>
      <c r="G1413" s="50">
        <f>SUMIFS(INDEX(Техника!$F$1:$ABM$500,G$2,0),Техника!$F$4:$ABM$4,"Часы",INDEX(Техника!$G$1:$ABN$500,G$2,0),$A$1411,INDEX(Техника!$H$1:$ABO$500,G$2,0),"Д")</f>
        <v>0</v>
      </c>
      <c r="H1413" s="50">
        <f>SUMIFS(INDEX(Техника!$F$1:$ABM$500,H$2,0),Техника!$F$4:$ABM$4,"Часы",INDEX(Техника!$G$1:$ABN$500,H$2,0),$A$1411,INDEX(Техника!$H$1:$ABO$500,H$2,0),"Д")</f>
        <v>0</v>
      </c>
      <c r="I1413" s="50">
        <f>SUMIFS(INDEX(Техника!$F$1:$ABM$500,I$2,0),Техника!$F$4:$ABM$4,"Часы",INDEX(Техника!$G$1:$ABN$500,I$2,0),$A$1411,INDEX(Техника!$H$1:$ABO$500,I$2,0),"Д")</f>
        <v>0</v>
      </c>
      <c r="J1413" s="50">
        <f>SUMIFS(INDEX(Техника!$F$1:$ABM$500,J$2,0),Техника!$F$4:$ABM$4,"Часы",INDEX(Техника!$G$1:$ABN$500,J$2,0),$A$1411,INDEX(Техника!$H$1:$ABO$500,J$2,0),"Д")</f>
        <v>0</v>
      </c>
      <c r="K1413" s="50">
        <f>SUMIFS(INDEX(Техника!$F$1:$ABM$500,K$2,0),Техника!$F$4:$ABM$4,"Часы",INDEX(Техника!$G$1:$ABN$500,K$2,0),$A$1411,INDEX(Техника!$H$1:$ABO$500,K$2,0),"Д")</f>
        <v>0</v>
      </c>
      <c r="L1413" s="50">
        <f>SUMIFS(INDEX(Техника!$F$1:$ABM$500,L$2,0),Техника!$F$4:$ABM$4,"Часы",INDEX(Техника!$G$1:$ABN$500,L$2,0),$A$1411,INDEX(Техника!$H$1:$ABO$500,L$2,0),"Д")</f>
        <v>0</v>
      </c>
      <c r="M1413" s="50">
        <f>SUMIFS(INDEX(Техника!$F$1:$ABM$500,M$2,0),Техника!$F$4:$ABM$4,"Часы",INDEX(Техника!$G$1:$ABN$500,M$2,0),$A$1411,INDEX(Техника!$H$1:$ABO$500,M$2,0),"Д")</f>
        <v>0</v>
      </c>
      <c r="N1413" s="50">
        <f>SUMIFS(INDEX(Техника!$F$1:$ABM$500,N$2,0),Техника!$F$4:$ABM$4,"Часы",INDEX(Техника!$G$1:$ABN$500,N$2,0),$A$1411,INDEX(Техника!$H$1:$ABO$500,N$2,0),"Д")</f>
        <v>0</v>
      </c>
      <c r="O1413" s="50">
        <f>SUMIFS(INDEX(Техника!$F$1:$ABM$500,O$2,0),Техника!$F$4:$ABM$4,"Часы",INDEX(Техника!$G$1:$ABN$500,O$2,0),$A$1411,INDEX(Техника!$H$1:$ABO$500,O$2,0),"Д")</f>
        <v>0</v>
      </c>
      <c r="P1413" s="50">
        <f>SUMIFS(INDEX(Техника!$F$1:$ABM$500,P$2,0),Техника!$F$4:$ABM$4,"Часы",INDEX(Техника!$G$1:$ABN$500,P$2,0),$A$1411,INDEX(Техника!$H$1:$ABO$500,P$2,0),"Д")</f>
        <v>0</v>
      </c>
      <c r="Q1413" s="50">
        <f>SUMIFS(INDEX(Техника!$F$1:$ABM$500,Q$2,0),Техника!$F$4:$ABM$4,"Часы",INDEX(Техника!$G$1:$ABN$500,Q$2,0),$A$1411,INDEX(Техника!$H$1:$ABO$500,Q$2,0),"Д")</f>
        <v>0</v>
      </c>
      <c r="R1413" s="50">
        <f>SUMIFS(INDEX(Техника!$F$1:$ABM$500,R$2,0),Техника!$F$4:$ABM$4,"Часы",INDEX(Техника!$G$1:$ABN$500,R$2,0),$A$1411,INDEX(Техника!$H$1:$ABO$500,R$2,0),"Д")</f>
        <v>0</v>
      </c>
      <c r="S1413" s="50">
        <f>SUMIFS(INDEX(Техника!$F$1:$ABM$500,S$2,0),Техника!$F$4:$ABM$4,"Часы",INDEX(Техника!$G$1:$ABN$500,S$2,0),$A$1411,INDEX(Техника!$H$1:$ABO$500,S$2,0),"Д")</f>
        <v>0</v>
      </c>
      <c r="T1413" s="50">
        <f>SUMIFS(INDEX(Техника!$F$1:$ABM$500,T$2,0),Техника!$F$4:$ABM$4,"Часы",INDEX(Техника!$G$1:$ABN$500,T$2,0),$A$1411,INDEX(Техника!$H$1:$ABO$500,T$2,0),"Д")</f>
        <v>0</v>
      </c>
      <c r="U1413" s="50">
        <f>SUMIFS(INDEX(Техника!$F$1:$ABM$500,U$2,0),Техника!$F$4:$ABM$4,"Часы",INDEX(Техника!$G$1:$ABN$500,U$2,0),$A$1411,INDEX(Техника!$H$1:$ABO$500,U$2,0),"Д")</f>
        <v>0</v>
      </c>
      <c r="V1413" s="50">
        <f>SUMIFS(INDEX(Техника!$F$1:$ABM$500,V$2,0),Техника!$F$4:$ABM$4,"Часы",INDEX(Техника!$G$1:$ABN$500,V$2,0),$A$1411,INDEX(Техника!$H$1:$ABO$500,V$2,0),"Д")</f>
        <v>0</v>
      </c>
      <c r="W1413" s="50">
        <f>SUMIFS(INDEX(Техника!$F$1:$ABM$500,W$2,0),Техника!$F$4:$ABM$4,"Часы",INDEX(Техника!$G$1:$ABN$500,W$2,0),$A$1411,INDEX(Техника!$H$1:$ABO$500,W$2,0),"Д")</f>
        <v>0</v>
      </c>
      <c r="X1413" s="50">
        <f>SUMIFS(INDEX(Техника!$F$1:$ABM$500,X$2,0),Техника!$F$4:$ABM$4,"Часы",INDEX(Техника!$G$1:$ABN$500,X$2,0),$A$1411,INDEX(Техника!$H$1:$ABO$500,X$2,0),"Д")</f>
        <v>0</v>
      </c>
      <c r="Y1413" s="50">
        <f>SUMIFS(INDEX(Техника!$F$1:$ABM$500,Y$2,0),Техника!$F$4:$ABM$4,"Часы",INDEX(Техника!$G$1:$ABN$500,Y$2,0),$A$1411,INDEX(Техника!$H$1:$ABO$500,Y$2,0),"Д")</f>
        <v>0</v>
      </c>
      <c r="Z1413" s="50">
        <f>SUMIFS(INDEX(Техника!$F$1:$ABM$500,Z$2,0),Техника!$F$4:$ABM$4,"Часы",INDEX(Техника!$G$1:$ABN$500,Z$2,0),$A$1411,INDEX(Техника!$H$1:$ABO$500,Z$2,0),"Д")</f>
        <v>0</v>
      </c>
      <c r="AA1413" s="50">
        <f>SUMIFS(INDEX(Техника!$F$1:$ABM$500,AA$2,0),Техника!$F$4:$ABM$4,"Часы",INDEX(Техника!$G$1:$ABN$500,AA$2,0),$A$1411,INDEX(Техника!$H$1:$ABO$500,AA$2,0),"Д")</f>
        <v>0</v>
      </c>
      <c r="AB1413" s="50">
        <f>SUMIFS(INDEX(Техника!$F$1:$ABM$500,AB$2,0),Техника!$F$4:$ABM$4,"Часы",INDEX(Техника!$G$1:$ABN$500,AB$2,0),$A$1411,INDEX(Техника!$H$1:$ABO$500,AB$2,0),"Д")</f>
        <v>0</v>
      </c>
    </row>
    <row r="1414" spans="1:28" hidden="1" outlineLevel="1" x14ac:dyDescent="0.3">
      <c r="A1414" s="33" t="s">
        <v>276</v>
      </c>
      <c r="B1414" s="34" t="s">
        <v>277</v>
      </c>
      <c r="C1414" s="50">
        <f>SUMIFS(INDEX(Техника!$F$1:$ABM$500,C$2,0),Техника!$F$4:$ABM$4,"Часы",INDEX(Техника!$G$1:$ABN$500,C$2,0),$A$1411,INDEX(Техника!$H$1:$ABO$500,C$2,0),"П")</f>
        <v>0</v>
      </c>
      <c r="D1414" s="50">
        <f>SUMIFS(INDEX(Техника!$F$1:$ABM$500,D$2,0),Техника!$F$4:$ABM$4,"Часы",INDEX(Техника!$G$1:$ABN$500,D$2,0),$A$1411,INDEX(Техника!$H$1:$ABO$500,D$2,0),"П")</f>
        <v>0</v>
      </c>
      <c r="E1414" s="50">
        <f>SUMIFS(INDEX(Техника!$F$1:$ABM$500,E$2,0),Техника!$F$4:$ABM$4,"Часы",INDEX(Техника!$G$1:$ABN$500,E$2,0),$A$1411,INDEX(Техника!$H$1:$ABO$500,E$2,0),"П")</f>
        <v>0</v>
      </c>
      <c r="F1414" s="50">
        <f>SUMIFS(INDEX(Техника!$F$1:$ABM$500,F$2,0),Техника!$F$4:$ABM$4,"Часы",INDEX(Техника!$G$1:$ABN$500,F$2,0),$A$1411,INDEX(Техника!$H$1:$ABO$500,F$2,0),"П")</f>
        <v>0</v>
      </c>
      <c r="G1414" s="50">
        <f>SUMIFS(INDEX(Техника!$F$1:$ABM$500,G$2,0),Техника!$F$4:$ABM$4,"Часы",INDEX(Техника!$G$1:$ABN$500,G$2,0),$A$1411,INDEX(Техника!$H$1:$ABO$500,G$2,0),"П")</f>
        <v>0</v>
      </c>
      <c r="H1414" s="50">
        <f>SUMIFS(INDEX(Техника!$F$1:$ABM$500,H$2,0),Техника!$F$4:$ABM$4,"Часы",INDEX(Техника!$G$1:$ABN$500,H$2,0),$A$1411,INDEX(Техника!$H$1:$ABO$500,H$2,0),"П")</f>
        <v>0</v>
      </c>
      <c r="I1414" s="50">
        <f>SUMIFS(INDEX(Техника!$F$1:$ABM$500,I$2,0),Техника!$F$4:$ABM$4,"Часы",INDEX(Техника!$G$1:$ABN$500,I$2,0),$A$1411,INDEX(Техника!$H$1:$ABO$500,I$2,0),"П")</f>
        <v>0</v>
      </c>
      <c r="J1414" s="50">
        <f>SUMIFS(INDEX(Техника!$F$1:$ABM$500,J$2,0),Техника!$F$4:$ABM$4,"Часы",INDEX(Техника!$G$1:$ABN$500,J$2,0),$A$1411,INDEX(Техника!$H$1:$ABO$500,J$2,0),"П")</f>
        <v>0</v>
      </c>
      <c r="K1414" s="50">
        <f>SUMIFS(INDEX(Техника!$F$1:$ABM$500,K$2,0),Техника!$F$4:$ABM$4,"Часы",INDEX(Техника!$G$1:$ABN$500,K$2,0),$A$1411,INDEX(Техника!$H$1:$ABO$500,K$2,0),"П")</f>
        <v>0</v>
      </c>
      <c r="L1414" s="50">
        <f>SUMIFS(INDEX(Техника!$F$1:$ABM$500,L$2,0),Техника!$F$4:$ABM$4,"Часы",INDEX(Техника!$G$1:$ABN$500,L$2,0),$A$1411,INDEX(Техника!$H$1:$ABO$500,L$2,0),"П")</f>
        <v>0</v>
      </c>
      <c r="M1414" s="50">
        <f>SUMIFS(INDEX(Техника!$F$1:$ABM$500,M$2,0),Техника!$F$4:$ABM$4,"Часы",INDEX(Техника!$G$1:$ABN$500,M$2,0),$A$1411,INDEX(Техника!$H$1:$ABO$500,M$2,0),"П")</f>
        <v>0</v>
      </c>
      <c r="N1414" s="50">
        <f>SUMIFS(INDEX(Техника!$F$1:$ABM$500,N$2,0),Техника!$F$4:$ABM$4,"Часы",INDEX(Техника!$G$1:$ABN$500,N$2,0),$A$1411,INDEX(Техника!$H$1:$ABO$500,N$2,0),"П")</f>
        <v>0</v>
      </c>
      <c r="O1414" s="50">
        <f>SUMIFS(INDEX(Техника!$F$1:$ABM$500,O$2,0),Техника!$F$4:$ABM$4,"Часы",INDEX(Техника!$G$1:$ABN$500,O$2,0),$A$1411,INDEX(Техника!$H$1:$ABO$500,O$2,0),"П")</f>
        <v>0</v>
      </c>
      <c r="P1414" s="50">
        <f>SUMIFS(INDEX(Техника!$F$1:$ABM$500,P$2,0),Техника!$F$4:$ABM$4,"Часы",INDEX(Техника!$G$1:$ABN$500,P$2,0),$A$1411,INDEX(Техника!$H$1:$ABO$500,P$2,0),"П")</f>
        <v>0</v>
      </c>
      <c r="Q1414" s="50">
        <f>SUMIFS(INDEX(Техника!$F$1:$ABM$500,Q$2,0),Техника!$F$4:$ABM$4,"Часы",INDEX(Техника!$G$1:$ABN$500,Q$2,0),$A$1411,INDEX(Техника!$H$1:$ABO$500,Q$2,0),"П")</f>
        <v>0</v>
      </c>
      <c r="R1414" s="50">
        <f>SUMIFS(INDEX(Техника!$F$1:$ABM$500,R$2,0),Техника!$F$4:$ABM$4,"Часы",INDEX(Техника!$G$1:$ABN$500,R$2,0),$A$1411,INDEX(Техника!$H$1:$ABO$500,R$2,0),"П")</f>
        <v>0</v>
      </c>
      <c r="S1414" s="50">
        <f>SUMIFS(INDEX(Техника!$F$1:$ABM$500,S$2,0),Техника!$F$4:$ABM$4,"Часы",INDEX(Техника!$G$1:$ABN$500,S$2,0),$A$1411,INDEX(Техника!$H$1:$ABO$500,S$2,0),"П")</f>
        <v>0</v>
      </c>
      <c r="T1414" s="50">
        <f>SUMIFS(INDEX(Техника!$F$1:$ABM$500,T$2,0),Техника!$F$4:$ABM$4,"Часы",INDEX(Техника!$G$1:$ABN$500,T$2,0),$A$1411,INDEX(Техника!$H$1:$ABO$500,T$2,0),"П")</f>
        <v>0</v>
      </c>
      <c r="U1414" s="50">
        <f>SUMIFS(INDEX(Техника!$F$1:$ABM$500,U$2,0),Техника!$F$4:$ABM$4,"Часы",INDEX(Техника!$G$1:$ABN$500,U$2,0),$A$1411,INDEX(Техника!$H$1:$ABO$500,U$2,0),"П")</f>
        <v>0</v>
      </c>
      <c r="V1414" s="50">
        <f>SUMIFS(INDEX(Техника!$F$1:$ABM$500,V$2,0),Техника!$F$4:$ABM$4,"Часы",INDEX(Техника!$G$1:$ABN$500,V$2,0),$A$1411,INDEX(Техника!$H$1:$ABO$500,V$2,0),"П")</f>
        <v>0</v>
      </c>
      <c r="W1414" s="50">
        <f>SUMIFS(INDEX(Техника!$F$1:$ABM$500,W$2,0),Техника!$F$4:$ABM$4,"Часы",INDEX(Техника!$G$1:$ABN$500,W$2,0),$A$1411,INDEX(Техника!$H$1:$ABO$500,W$2,0),"П")</f>
        <v>0</v>
      </c>
      <c r="X1414" s="50">
        <f>SUMIFS(INDEX(Техника!$F$1:$ABM$500,X$2,0),Техника!$F$4:$ABM$4,"Часы",INDEX(Техника!$G$1:$ABN$500,X$2,0),$A$1411,INDEX(Техника!$H$1:$ABO$500,X$2,0),"П")</f>
        <v>0</v>
      </c>
      <c r="Y1414" s="50">
        <f>SUMIFS(INDEX(Техника!$F$1:$ABM$500,Y$2,0),Техника!$F$4:$ABM$4,"Часы",INDEX(Техника!$G$1:$ABN$500,Y$2,0),$A$1411,INDEX(Техника!$H$1:$ABO$500,Y$2,0),"П")</f>
        <v>0</v>
      </c>
      <c r="Z1414" s="50">
        <f>SUMIFS(INDEX(Техника!$F$1:$ABM$500,Z$2,0),Техника!$F$4:$ABM$4,"Часы",INDEX(Техника!$G$1:$ABN$500,Z$2,0),$A$1411,INDEX(Техника!$H$1:$ABO$500,Z$2,0),"П")</f>
        <v>0</v>
      </c>
      <c r="AA1414" s="50">
        <f>SUMIFS(INDEX(Техника!$F$1:$ABM$500,AA$2,0),Техника!$F$4:$ABM$4,"Часы",INDEX(Техника!$G$1:$ABN$500,AA$2,0),$A$1411,INDEX(Техника!$H$1:$ABO$500,AA$2,0),"П")</f>
        <v>0</v>
      </c>
      <c r="AB1414" s="50">
        <f>SUMIFS(INDEX(Техника!$F$1:$ABM$500,AB$2,0),Техника!$F$4:$ABM$4,"Часы",INDEX(Техника!$G$1:$ABN$500,AB$2,0),$A$1411,INDEX(Техника!$H$1:$ABO$500,AB$2,0),"П")</f>
        <v>0</v>
      </c>
    </row>
    <row r="1415" spans="1:28" hidden="1" outlineLevel="1" x14ac:dyDescent="0.3">
      <c r="A1415" s="33" t="s">
        <v>243</v>
      </c>
      <c r="B1415" s="34" t="s">
        <v>278</v>
      </c>
      <c r="C1415" s="50">
        <f>SUMIFS(INDEX(Техника!$F$1:$ABM$500,C$2,0),Техника!$F$4:$ABM$4,"Часы",INDEX(Техника!$G$1:$ABN$500,C$2,0),$A$1411,INDEX(Техника!$H$1:$ABO$500,C$2,0),"Л")</f>
        <v>0</v>
      </c>
      <c r="D1415" s="50">
        <f>SUMIFS(INDEX(Техника!$F$1:$ABM$500,D$2,0),Техника!$F$4:$ABM$4,"Часы",INDEX(Техника!$G$1:$ABN$500,D$2,0),$A$1411,INDEX(Техника!$H$1:$ABO$500,D$2,0),"Л")</f>
        <v>0</v>
      </c>
      <c r="E1415" s="50">
        <f>SUMIFS(INDEX(Техника!$F$1:$ABM$500,E$2,0),Техника!$F$4:$ABM$4,"Часы",INDEX(Техника!$G$1:$ABN$500,E$2,0),$A$1411,INDEX(Техника!$H$1:$ABO$500,E$2,0),"Л")</f>
        <v>0</v>
      </c>
      <c r="F1415" s="50">
        <f>SUMIFS(INDEX(Техника!$F$1:$ABM$500,F$2,0),Техника!$F$4:$ABM$4,"Часы",INDEX(Техника!$G$1:$ABN$500,F$2,0),$A$1411,INDEX(Техника!$H$1:$ABO$500,F$2,0),"Л")</f>
        <v>0</v>
      </c>
      <c r="G1415" s="50">
        <f>SUMIFS(INDEX(Техника!$F$1:$ABM$500,G$2,0),Техника!$F$4:$ABM$4,"Часы",INDEX(Техника!$G$1:$ABN$500,G$2,0),$A$1411,INDEX(Техника!$H$1:$ABO$500,G$2,0),"Л")</f>
        <v>0</v>
      </c>
      <c r="H1415" s="50">
        <f>SUMIFS(INDEX(Техника!$F$1:$ABM$500,H$2,0),Техника!$F$4:$ABM$4,"Часы",INDEX(Техника!$G$1:$ABN$500,H$2,0),$A$1411,INDEX(Техника!$H$1:$ABO$500,H$2,0),"Л")</f>
        <v>0</v>
      </c>
      <c r="I1415" s="50">
        <f>SUMIFS(INDEX(Техника!$F$1:$ABM$500,I$2,0),Техника!$F$4:$ABM$4,"Часы",INDEX(Техника!$G$1:$ABN$500,I$2,0),$A$1411,INDEX(Техника!$H$1:$ABO$500,I$2,0),"Л")</f>
        <v>0</v>
      </c>
      <c r="J1415" s="50">
        <f>SUMIFS(INDEX(Техника!$F$1:$ABM$500,J$2,0),Техника!$F$4:$ABM$4,"Часы",INDEX(Техника!$G$1:$ABN$500,J$2,0),$A$1411,INDEX(Техника!$H$1:$ABO$500,J$2,0),"Л")</f>
        <v>0</v>
      </c>
      <c r="K1415" s="50">
        <f>SUMIFS(INDEX(Техника!$F$1:$ABM$500,K$2,0),Техника!$F$4:$ABM$4,"Часы",INDEX(Техника!$G$1:$ABN$500,K$2,0),$A$1411,INDEX(Техника!$H$1:$ABO$500,K$2,0),"Л")</f>
        <v>0</v>
      </c>
      <c r="L1415" s="50">
        <f>SUMIFS(INDEX(Техника!$F$1:$ABM$500,L$2,0),Техника!$F$4:$ABM$4,"Часы",INDEX(Техника!$G$1:$ABN$500,L$2,0),$A$1411,INDEX(Техника!$H$1:$ABO$500,L$2,0),"Л")</f>
        <v>0</v>
      </c>
      <c r="M1415" s="50">
        <f>SUMIFS(INDEX(Техника!$F$1:$ABM$500,M$2,0),Техника!$F$4:$ABM$4,"Часы",INDEX(Техника!$G$1:$ABN$500,M$2,0),$A$1411,INDEX(Техника!$H$1:$ABO$500,M$2,0),"Л")</f>
        <v>0</v>
      </c>
      <c r="N1415" s="50">
        <f>SUMIFS(INDEX(Техника!$F$1:$ABM$500,N$2,0),Техника!$F$4:$ABM$4,"Часы",INDEX(Техника!$G$1:$ABN$500,N$2,0),$A$1411,INDEX(Техника!$H$1:$ABO$500,N$2,0),"Л")</f>
        <v>0</v>
      </c>
      <c r="O1415" s="50">
        <f>SUMIFS(INDEX(Техника!$F$1:$ABM$500,O$2,0),Техника!$F$4:$ABM$4,"Часы",INDEX(Техника!$G$1:$ABN$500,O$2,0),$A$1411,INDEX(Техника!$H$1:$ABO$500,O$2,0),"Л")</f>
        <v>0</v>
      </c>
      <c r="P1415" s="50">
        <f>SUMIFS(INDEX(Техника!$F$1:$ABM$500,P$2,0),Техника!$F$4:$ABM$4,"Часы",INDEX(Техника!$G$1:$ABN$500,P$2,0),$A$1411,INDEX(Техника!$H$1:$ABO$500,P$2,0),"Л")</f>
        <v>0</v>
      </c>
      <c r="Q1415" s="50">
        <f>SUMIFS(INDEX(Техника!$F$1:$ABM$500,Q$2,0),Техника!$F$4:$ABM$4,"Часы",INDEX(Техника!$G$1:$ABN$500,Q$2,0),$A$1411,INDEX(Техника!$H$1:$ABO$500,Q$2,0),"Л")</f>
        <v>0</v>
      </c>
      <c r="R1415" s="50">
        <f>SUMIFS(INDEX(Техника!$F$1:$ABM$500,R$2,0),Техника!$F$4:$ABM$4,"Часы",INDEX(Техника!$G$1:$ABN$500,R$2,0),$A$1411,INDEX(Техника!$H$1:$ABO$500,R$2,0),"Л")</f>
        <v>0</v>
      </c>
      <c r="S1415" s="50">
        <f>SUMIFS(INDEX(Техника!$F$1:$ABM$500,S$2,0),Техника!$F$4:$ABM$4,"Часы",INDEX(Техника!$G$1:$ABN$500,S$2,0),$A$1411,INDEX(Техника!$H$1:$ABO$500,S$2,0),"Л")</f>
        <v>0</v>
      </c>
      <c r="T1415" s="50">
        <f>SUMIFS(INDEX(Техника!$F$1:$ABM$500,T$2,0),Техника!$F$4:$ABM$4,"Часы",INDEX(Техника!$G$1:$ABN$500,T$2,0),$A$1411,INDEX(Техника!$H$1:$ABO$500,T$2,0),"Л")</f>
        <v>0</v>
      </c>
      <c r="U1415" s="50">
        <f>SUMIFS(INDEX(Техника!$F$1:$ABM$500,U$2,0),Техника!$F$4:$ABM$4,"Часы",INDEX(Техника!$G$1:$ABN$500,U$2,0),$A$1411,INDEX(Техника!$H$1:$ABO$500,U$2,0),"Л")</f>
        <v>0</v>
      </c>
      <c r="V1415" s="50">
        <f>SUMIFS(INDEX(Техника!$F$1:$ABM$500,V$2,0),Техника!$F$4:$ABM$4,"Часы",INDEX(Техника!$G$1:$ABN$500,V$2,0),$A$1411,INDEX(Техника!$H$1:$ABO$500,V$2,0),"Л")</f>
        <v>0</v>
      </c>
      <c r="W1415" s="50">
        <f>SUMIFS(INDEX(Техника!$F$1:$ABM$500,W$2,0),Техника!$F$4:$ABM$4,"Часы",INDEX(Техника!$G$1:$ABN$500,W$2,0),$A$1411,INDEX(Техника!$H$1:$ABO$500,W$2,0),"Л")</f>
        <v>0</v>
      </c>
      <c r="X1415" s="50">
        <f>SUMIFS(INDEX(Техника!$F$1:$ABM$500,X$2,0),Техника!$F$4:$ABM$4,"Часы",INDEX(Техника!$G$1:$ABN$500,X$2,0),$A$1411,INDEX(Техника!$H$1:$ABO$500,X$2,0),"Л")</f>
        <v>0</v>
      </c>
      <c r="Y1415" s="50">
        <f>SUMIFS(INDEX(Техника!$F$1:$ABM$500,Y$2,0),Техника!$F$4:$ABM$4,"Часы",INDEX(Техника!$G$1:$ABN$500,Y$2,0),$A$1411,INDEX(Техника!$H$1:$ABO$500,Y$2,0),"Л")</f>
        <v>0</v>
      </c>
      <c r="Z1415" s="50">
        <f>SUMIFS(INDEX(Техника!$F$1:$ABM$500,Z$2,0),Техника!$F$4:$ABM$4,"Часы",INDEX(Техника!$G$1:$ABN$500,Z$2,0),$A$1411,INDEX(Техника!$H$1:$ABO$500,Z$2,0),"Л")</f>
        <v>0</v>
      </c>
      <c r="AA1415" s="50">
        <f>SUMIFS(INDEX(Техника!$F$1:$ABM$500,AA$2,0),Техника!$F$4:$ABM$4,"Часы",INDEX(Техника!$G$1:$ABN$500,AA$2,0),$A$1411,INDEX(Техника!$H$1:$ABO$500,AA$2,0),"Л")</f>
        <v>0</v>
      </c>
      <c r="AB1415" s="50">
        <f>SUMIFS(INDEX(Техника!$F$1:$ABM$500,AB$2,0),Техника!$F$4:$ABM$4,"Часы",INDEX(Техника!$G$1:$ABN$500,AB$2,0),$A$1411,INDEX(Техника!$H$1:$ABO$500,AB$2,0),"Л")</f>
        <v>0</v>
      </c>
    </row>
    <row r="1416" spans="1:28" hidden="1" outlineLevel="1" x14ac:dyDescent="0.3">
      <c r="A1416" s="33" t="s">
        <v>245</v>
      </c>
      <c r="B1416" s="34" t="s">
        <v>279</v>
      </c>
      <c r="C1416" s="50">
        <f>SUMIFS(INDEX(Техника!$F$1:$ABM$500,C$2,0),Техника!$F$4:$ABM$4,"Часы",INDEX(Техника!$G$1:$ABN$500,C$2,0),$A$1411,INDEX(Техника!$H$1:$ABO$500,C$2,0),"З")</f>
        <v>0</v>
      </c>
      <c r="D1416" s="50">
        <f>SUMIFS(INDEX(Техника!$F$1:$ABM$500,D$2,0),Техника!$F$4:$ABM$4,"Часы",INDEX(Техника!$G$1:$ABN$500,D$2,0),$A$1411,INDEX(Техника!$H$1:$ABO$500,D$2,0),"З")</f>
        <v>0</v>
      </c>
      <c r="E1416" s="50">
        <f>SUMIFS(INDEX(Техника!$F$1:$ABM$500,E$2,0),Техника!$F$4:$ABM$4,"Часы",INDEX(Техника!$G$1:$ABN$500,E$2,0),$A$1411,INDEX(Техника!$H$1:$ABO$500,E$2,0),"З")</f>
        <v>0</v>
      </c>
      <c r="F1416" s="50">
        <f>SUMIFS(INDEX(Техника!$F$1:$ABM$500,F$2,0),Техника!$F$4:$ABM$4,"Часы",INDEX(Техника!$G$1:$ABN$500,F$2,0),$A$1411,INDEX(Техника!$H$1:$ABO$500,F$2,0),"З")</f>
        <v>0</v>
      </c>
      <c r="G1416" s="50">
        <f>SUMIFS(INDEX(Техника!$F$1:$ABM$500,G$2,0),Техника!$F$4:$ABM$4,"Часы",INDEX(Техника!$G$1:$ABN$500,G$2,0),$A$1411,INDEX(Техника!$H$1:$ABO$500,G$2,0),"З")</f>
        <v>0</v>
      </c>
      <c r="H1416" s="50">
        <f>SUMIFS(INDEX(Техника!$F$1:$ABM$500,H$2,0),Техника!$F$4:$ABM$4,"Часы",INDEX(Техника!$G$1:$ABN$500,H$2,0),$A$1411,INDEX(Техника!$H$1:$ABO$500,H$2,0),"З")</f>
        <v>0</v>
      </c>
      <c r="I1416" s="50">
        <f>SUMIFS(INDEX(Техника!$F$1:$ABM$500,I$2,0),Техника!$F$4:$ABM$4,"Часы",INDEX(Техника!$G$1:$ABN$500,I$2,0),$A$1411,INDEX(Техника!$H$1:$ABO$500,I$2,0),"З")</f>
        <v>0</v>
      </c>
      <c r="J1416" s="50">
        <f>SUMIFS(INDEX(Техника!$F$1:$ABM$500,J$2,0),Техника!$F$4:$ABM$4,"Часы",INDEX(Техника!$G$1:$ABN$500,J$2,0),$A$1411,INDEX(Техника!$H$1:$ABO$500,J$2,0),"З")</f>
        <v>0</v>
      </c>
      <c r="K1416" s="50">
        <f>SUMIFS(INDEX(Техника!$F$1:$ABM$500,K$2,0),Техника!$F$4:$ABM$4,"Часы",INDEX(Техника!$G$1:$ABN$500,K$2,0),$A$1411,INDEX(Техника!$H$1:$ABO$500,K$2,0),"З")</f>
        <v>0</v>
      </c>
      <c r="L1416" s="50">
        <f>SUMIFS(INDEX(Техника!$F$1:$ABM$500,L$2,0),Техника!$F$4:$ABM$4,"Часы",INDEX(Техника!$G$1:$ABN$500,L$2,0),$A$1411,INDEX(Техника!$H$1:$ABO$500,L$2,0),"З")</f>
        <v>0</v>
      </c>
      <c r="M1416" s="50">
        <f>SUMIFS(INDEX(Техника!$F$1:$ABM$500,M$2,0),Техника!$F$4:$ABM$4,"Часы",INDEX(Техника!$G$1:$ABN$500,M$2,0),$A$1411,INDEX(Техника!$H$1:$ABO$500,M$2,0),"З")</f>
        <v>0</v>
      </c>
      <c r="N1416" s="50">
        <f>SUMIFS(INDEX(Техника!$F$1:$ABM$500,N$2,0),Техника!$F$4:$ABM$4,"Часы",INDEX(Техника!$G$1:$ABN$500,N$2,0),$A$1411,INDEX(Техника!$H$1:$ABO$500,N$2,0),"З")</f>
        <v>0</v>
      </c>
      <c r="O1416" s="50">
        <f>SUMIFS(INDEX(Техника!$F$1:$ABM$500,O$2,0),Техника!$F$4:$ABM$4,"Часы",INDEX(Техника!$G$1:$ABN$500,O$2,0),$A$1411,INDEX(Техника!$H$1:$ABO$500,O$2,0),"З")</f>
        <v>0</v>
      </c>
      <c r="P1416" s="50">
        <f>SUMIFS(INDEX(Техника!$F$1:$ABM$500,P$2,0),Техника!$F$4:$ABM$4,"Часы",INDEX(Техника!$G$1:$ABN$500,P$2,0),$A$1411,INDEX(Техника!$H$1:$ABO$500,P$2,0),"З")</f>
        <v>0</v>
      </c>
      <c r="Q1416" s="50">
        <f>SUMIFS(INDEX(Техника!$F$1:$ABM$500,Q$2,0),Техника!$F$4:$ABM$4,"Часы",INDEX(Техника!$G$1:$ABN$500,Q$2,0),$A$1411,INDEX(Техника!$H$1:$ABO$500,Q$2,0),"З")</f>
        <v>0</v>
      </c>
      <c r="R1416" s="50">
        <f>SUMIFS(INDEX(Техника!$F$1:$ABM$500,R$2,0),Техника!$F$4:$ABM$4,"Часы",INDEX(Техника!$G$1:$ABN$500,R$2,0),$A$1411,INDEX(Техника!$H$1:$ABO$500,R$2,0),"З")</f>
        <v>0</v>
      </c>
      <c r="S1416" s="50">
        <f>SUMIFS(INDEX(Техника!$F$1:$ABM$500,S$2,0),Техника!$F$4:$ABM$4,"Часы",INDEX(Техника!$G$1:$ABN$500,S$2,0),$A$1411,INDEX(Техника!$H$1:$ABO$500,S$2,0),"З")</f>
        <v>0</v>
      </c>
      <c r="T1416" s="50">
        <f>SUMIFS(INDEX(Техника!$F$1:$ABM$500,T$2,0),Техника!$F$4:$ABM$4,"Часы",INDEX(Техника!$G$1:$ABN$500,T$2,0),$A$1411,INDEX(Техника!$H$1:$ABO$500,T$2,0),"З")</f>
        <v>0</v>
      </c>
      <c r="U1416" s="50">
        <f>SUMIFS(INDEX(Техника!$F$1:$ABM$500,U$2,0),Техника!$F$4:$ABM$4,"Часы",INDEX(Техника!$G$1:$ABN$500,U$2,0),$A$1411,INDEX(Техника!$H$1:$ABO$500,U$2,0),"З")</f>
        <v>0</v>
      </c>
      <c r="V1416" s="50">
        <f>SUMIFS(INDEX(Техника!$F$1:$ABM$500,V$2,0),Техника!$F$4:$ABM$4,"Часы",INDEX(Техника!$G$1:$ABN$500,V$2,0),$A$1411,INDEX(Техника!$H$1:$ABO$500,V$2,0),"З")</f>
        <v>0</v>
      </c>
      <c r="W1416" s="50">
        <f>SUMIFS(INDEX(Техника!$F$1:$ABM$500,W$2,0),Техника!$F$4:$ABM$4,"Часы",INDEX(Техника!$G$1:$ABN$500,W$2,0),$A$1411,INDEX(Техника!$H$1:$ABO$500,W$2,0),"З")</f>
        <v>0</v>
      </c>
      <c r="X1416" s="50">
        <f>SUMIFS(INDEX(Техника!$F$1:$ABM$500,X$2,0),Техника!$F$4:$ABM$4,"Часы",INDEX(Техника!$G$1:$ABN$500,X$2,0),$A$1411,INDEX(Техника!$H$1:$ABO$500,X$2,0),"З")</f>
        <v>0</v>
      </c>
      <c r="Y1416" s="50">
        <f>SUMIFS(INDEX(Техника!$F$1:$ABM$500,Y$2,0),Техника!$F$4:$ABM$4,"Часы",INDEX(Техника!$G$1:$ABN$500,Y$2,0),$A$1411,INDEX(Техника!$H$1:$ABO$500,Y$2,0),"З")</f>
        <v>0</v>
      </c>
      <c r="Z1416" s="50">
        <f>SUMIFS(INDEX(Техника!$F$1:$ABM$500,Z$2,0),Техника!$F$4:$ABM$4,"Часы",INDEX(Техника!$G$1:$ABN$500,Z$2,0),$A$1411,INDEX(Техника!$H$1:$ABO$500,Z$2,0),"З")</f>
        <v>0</v>
      </c>
      <c r="AA1416" s="50">
        <f>SUMIFS(INDEX(Техника!$F$1:$ABM$500,AA$2,0),Техника!$F$4:$ABM$4,"Часы",INDEX(Техника!$G$1:$ABN$500,AA$2,0),$A$1411,INDEX(Техника!$H$1:$ABO$500,AA$2,0),"З")</f>
        <v>0</v>
      </c>
      <c r="AB1416" s="50">
        <f>SUMIFS(INDEX(Техника!$F$1:$ABM$500,AB$2,0),Техника!$F$4:$ABM$4,"Часы",INDEX(Техника!$G$1:$ABN$500,AB$2,0),$A$1411,INDEX(Техника!$H$1:$ABO$500,AB$2,0),"З")</f>
        <v>0</v>
      </c>
    </row>
    <row r="1417" spans="1:28" ht="7.95" customHeight="1" x14ac:dyDescent="0.3">
      <c r="A1417" s="38"/>
      <c r="B1417" s="39"/>
      <c r="C1417" s="51"/>
      <c r="D1417" s="51"/>
      <c r="E1417" s="51"/>
      <c r="F1417" s="51"/>
      <c r="G1417" s="51"/>
      <c r="H1417" s="51"/>
      <c r="I1417" s="51"/>
      <c r="J1417" s="51"/>
      <c r="K1417" s="51"/>
      <c r="L1417" s="51"/>
      <c r="M1417" s="51"/>
      <c r="N1417" s="51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</row>
    <row r="1418" spans="1:28" ht="25.05" customHeight="1" collapsed="1" x14ac:dyDescent="0.3">
      <c r="A1418" s="32">
        <v>203</v>
      </c>
      <c r="B1418" s="32" t="s">
        <v>204</v>
      </c>
      <c r="C1418" s="49">
        <f>SUM(C1419:C1423)</f>
        <v>0</v>
      </c>
      <c r="D1418" s="49">
        <f>SUM(D1419:D1423)</f>
        <v>0</v>
      </c>
      <c r="E1418" s="49">
        <f>SUM(E1419:E1423)</f>
        <v>0</v>
      </c>
      <c r="F1418" s="49">
        <f>SUM(F1419:F1423)</f>
        <v>0</v>
      </c>
      <c r="G1418" s="49">
        <f>SUM(G1419:G1423)</f>
        <v>0</v>
      </c>
      <c r="H1418" s="49">
        <f>SUM(H1419:H1423)</f>
        <v>0</v>
      </c>
      <c r="I1418" s="49">
        <f>SUM(I1419:I1423)</f>
        <v>0</v>
      </c>
      <c r="J1418" s="49">
        <f>SUM(J1419:J1423)</f>
        <v>0</v>
      </c>
      <c r="K1418" s="49">
        <f>SUM(K1419:K1423)</f>
        <v>0</v>
      </c>
      <c r="L1418" s="49">
        <f>SUM(L1419:L1423)</f>
        <v>0</v>
      </c>
      <c r="M1418" s="49">
        <f>SUM(M1419:M1423)</f>
        <v>0</v>
      </c>
      <c r="N1418" s="49">
        <f>SUM(N1419:N1423)</f>
        <v>0</v>
      </c>
      <c r="O1418" s="49">
        <f>SUM(O1419:O1423)</f>
        <v>0</v>
      </c>
      <c r="P1418" s="49">
        <f>SUM(P1419:P1423)</f>
        <v>0</v>
      </c>
      <c r="Q1418" s="49">
        <f>SUM(Q1419:Q1423)</f>
        <v>0</v>
      </c>
      <c r="R1418" s="49">
        <f>SUM(R1419:R1423)</f>
        <v>0</v>
      </c>
      <c r="S1418" s="49">
        <f>SUM(S1419:S1423)</f>
        <v>0</v>
      </c>
      <c r="T1418" s="49">
        <f>SUM(T1419:T1423)</f>
        <v>0</v>
      </c>
      <c r="U1418" s="49">
        <f>SUM(U1419:U1423)</f>
        <v>0</v>
      </c>
      <c r="V1418" s="49">
        <f>SUM(V1419:V1423)</f>
        <v>0</v>
      </c>
      <c r="W1418" s="49">
        <f>SUM(W1419:W1423)</f>
        <v>0</v>
      </c>
      <c r="X1418" s="49">
        <f>SUM(X1419:X1423)</f>
        <v>0</v>
      </c>
      <c r="Y1418" s="49">
        <f>SUM(Y1419:Y1423)</f>
        <v>0</v>
      </c>
      <c r="Z1418" s="49">
        <f>SUM(Z1419:Z1423)</f>
        <v>0</v>
      </c>
      <c r="AA1418" s="49">
        <f>SUM(AA1419:AA1423)</f>
        <v>0</v>
      </c>
      <c r="AB1418" s="49">
        <f>SUM(AB1419:AB1423)</f>
        <v>0</v>
      </c>
    </row>
    <row r="1419" spans="1:28" hidden="1" outlineLevel="1" x14ac:dyDescent="0.3">
      <c r="A1419" s="33" t="s">
        <v>246</v>
      </c>
      <c r="B1419" s="34" t="s">
        <v>274</v>
      </c>
      <c r="C1419" s="50">
        <f>SUMIFS(INDEX(Техника!$F$1:$ABM$500,C$2,0),Техника!$F$4:$ABM$4,"Часы",INDEX(Техника!$G$1:$ABN$500,C$2,0),$A$1418,INDEX(Техника!$H$1:$ABO$500,C$2,0),"М")</f>
        <v>0</v>
      </c>
      <c r="D1419" s="50">
        <f>SUMIFS(INDEX(Техника!$F$1:$ABM$500,D$2,0),Техника!$F$4:$ABM$4,"Часы",INDEX(Техника!$G$1:$ABN$500,D$2,0),$A$1418,INDEX(Техника!$H$1:$ABO$500,D$2,0),"М")</f>
        <v>0</v>
      </c>
      <c r="E1419" s="50">
        <f>SUMIFS(INDEX(Техника!$F$1:$ABM$500,E$2,0),Техника!$F$4:$ABM$4,"Часы",INDEX(Техника!$G$1:$ABN$500,E$2,0),$A$1418,INDEX(Техника!$H$1:$ABO$500,E$2,0),"М")</f>
        <v>0</v>
      </c>
      <c r="F1419" s="50">
        <f>SUMIFS(INDEX(Техника!$F$1:$ABM$500,F$2,0),Техника!$F$4:$ABM$4,"Часы",INDEX(Техника!$G$1:$ABN$500,F$2,0),$A$1418,INDEX(Техника!$H$1:$ABO$500,F$2,0),"М")</f>
        <v>0</v>
      </c>
      <c r="G1419" s="50">
        <f>SUMIFS(INDEX(Техника!$F$1:$ABM$500,G$2,0),Техника!$F$4:$ABM$4,"Часы",INDEX(Техника!$G$1:$ABN$500,G$2,0),$A$1418,INDEX(Техника!$H$1:$ABO$500,G$2,0),"М")</f>
        <v>0</v>
      </c>
      <c r="H1419" s="50">
        <f>SUMIFS(INDEX(Техника!$F$1:$ABM$500,H$2,0),Техника!$F$4:$ABM$4,"Часы",INDEX(Техника!$G$1:$ABN$500,H$2,0),$A$1418,INDEX(Техника!$H$1:$ABO$500,H$2,0),"М")</f>
        <v>0</v>
      </c>
      <c r="I1419" s="50">
        <f>SUMIFS(INDEX(Техника!$F$1:$ABM$500,I$2,0),Техника!$F$4:$ABM$4,"Часы",INDEX(Техника!$G$1:$ABN$500,I$2,0),$A$1418,INDEX(Техника!$H$1:$ABO$500,I$2,0),"М")</f>
        <v>0</v>
      </c>
      <c r="J1419" s="50">
        <f>SUMIFS(INDEX(Техника!$F$1:$ABM$500,J$2,0),Техника!$F$4:$ABM$4,"Часы",INDEX(Техника!$G$1:$ABN$500,J$2,0),$A$1418,INDEX(Техника!$H$1:$ABO$500,J$2,0),"М")</f>
        <v>0</v>
      </c>
      <c r="K1419" s="50">
        <f>SUMIFS(INDEX(Техника!$F$1:$ABM$500,K$2,0),Техника!$F$4:$ABM$4,"Часы",INDEX(Техника!$G$1:$ABN$500,K$2,0),$A$1418,INDEX(Техника!$H$1:$ABO$500,K$2,0),"М")</f>
        <v>0</v>
      </c>
      <c r="L1419" s="50">
        <f>SUMIFS(INDEX(Техника!$F$1:$ABM$500,L$2,0),Техника!$F$4:$ABM$4,"Часы",INDEX(Техника!$G$1:$ABN$500,L$2,0),$A$1418,INDEX(Техника!$H$1:$ABO$500,L$2,0),"М")</f>
        <v>0</v>
      </c>
      <c r="M1419" s="50">
        <f>SUMIFS(INDEX(Техника!$F$1:$ABM$500,M$2,0),Техника!$F$4:$ABM$4,"Часы",INDEX(Техника!$G$1:$ABN$500,M$2,0),$A$1418,INDEX(Техника!$H$1:$ABO$500,M$2,0),"М")</f>
        <v>0</v>
      </c>
      <c r="N1419" s="50">
        <f>SUMIFS(INDEX(Техника!$F$1:$ABM$500,N$2,0),Техника!$F$4:$ABM$4,"Часы",INDEX(Техника!$G$1:$ABN$500,N$2,0),$A$1418,INDEX(Техника!$H$1:$ABO$500,N$2,0),"М")</f>
        <v>0</v>
      </c>
      <c r="O1419" s="50">
        <f>SUMIFS(INDEX(Техника!$F$1:$ABM$500,O$2,0),Техника!$F$4:$ABM$4,"Часы",INDEX(Техника!$G$1:$ABN$500,O$2,0),$A$1418,INDEX(Техника!$H$1:$ABO$500,O$2,0),"М")</f>
        <v>0</v>
      </c>
      <c r="P1419" s="50">
        <f>SUMIFS(INDEX(Техника!$F$1:$ABM$500,P$2,0),Техника!$F$4:$ABM$4,"Часы",INDEX(Техника!$G$1:$ABN$500,P$2,0),$A$1418,INDEX(Техника!$H$1:$ABO$500,P$2,0),"М")</f>
        <v>0</v>
      </c>
      <c r="Q1419" s="50">
        <f>SUMIFS(INDEX(Техника!$F$1:$ABM$500,Q$2,0),Техника!$F$4:$ABM$4,"Часы",INDEX(Техника!$G$1:$ABN$500,Q$2,0),$A$1418,INDEX(Техника!$H$1:$ABO$500,Q$2,0),"М")</f>
        <v>0</v>
      </c>
      <c r="R1419" s="50">
        <f>SUMIFS(INDEX(Техника!$F$1:$ABM$500,R$2,0),Техника!$F$4:$ABM$4,"Часы",INDEX(Техника!$G$1:$ABN$500,R$2,0),$A$1418,INDEX(Техника!$H$1:$ABO$500,R$2,0),"М")</f>
        <v>0</v>
      </c>
      <c r="S1419" s="50">
        <f>SUMIFS(INDEX(Техника!$F$1:$ABM$500,S$2,0),Техника!$F$4:$ABM$4,"Часы",INDEX(Техника!$G$1:$ABN$500,S$2,0),$A$1418,INDEX(Техника!$H$1:$ABO$500,S$2,0),"М")</f>
        <v>0</v>
      </c>
      <c r="T1419" s="50">
        <f>SUMIFS(INDEX(Техника!$F$1:$ABM$500,T$2,0),Техника!$F$4:$ABM$4,"Часы",INDEX(Техника!$G$1:$ABN$500,T$2,0),$A$1418,INDEX(Техника!$H$1:$ABO$500,T$2,0),"М")</f>
        <v>0</v>
      </c>
      <c r="U1419" s="50">
        <f>SUMIFS(INDEX(Техника!$F$1:$ABM$500,U$2,0),Техника!$F$4:$ABM$4,"Часы",INDEX(Техника!$G$1:$ABN$500,U$2,0),$A$1418,INDEX(Техника!$H$1:$ABO$500,U$2,0),"М")</f>
        <v>0</v>
      </c>
      <c r="V1419" s="50">
        <f>SUMIFS(INDEX(Техника!$F$1:$ABM$500,V$2,0),Техника!$F$4:$ABM$4,"Часы",INDEX(Техника!$G$1:$ABN$500,V$2,0),$A$1418,INDEX(Техника!$H$1:$ABO$500,V$2,0),"М")</f>
        <v>0</v>
      </c>
      <c r="W1419" s="50">
        <f>SUMIFS(INDEX(Техника!$F$1:$ABM$500,W$2,0),Техника!$F$4:$ABM$4,"Часы",INDEX(Техника!$G$1:$ABN$500,W$2,0),$A$1418,INDEX(Техника!$H$1:$ABO$500,W$2,0),"М")</f>
        <v>0</v>
      </c>
      <c r="X1419" s="50">
        <f>SUMIFS(INDEX(Техника!$F$1:$ABM$500,X$2,0),Техника!$F$4:$ABM$4,"Часы",INDEX(Техника!$G$1:$ABN$500,X$2,0),$A$1418,INDEX(Техника!$H$1:$ABO$500,X$2,0),"М")</f>
        <v>0</v>
      </c>
      <c r="Y1419" s="50">
        <f>SUMIFS(INDEX(Техника!$F$1:$ABM$500,Y$2,0),Техника!$F$4:$ABM$4,"Часы",INDEX(Техника!$G$1:$ABN$500,Y$2,0),$A$1418,INDEX(Техника!$H$1:$ABO$500,Y$2,0),"М")</f>
        <v>0</v>
      </c>
      <c r="Z1419" s="50">
        <f>SUMIFS(INDEX(Техника!$F$1:$ABM$500,Z$2,0),Техника!$F$4:$ABM$4,"Часы",INDEX(Техника!$G$1:$ABN$500,Z$2,0),$A$1418,INDEX(Техника!$H$1:$ABO$500,Z$2,0),"М")</f>
        <v>0</v>
      </c>
      <c r="AA1419" s="50">
        <f>SUMIFS(INDEX(Техника!$F$1:$ABM$500,AA$2,0),Техника!$F$4:$ABM$4,"Часы",INDEX(Техника!$G$1:$ABN$500,AA$2,0),$A$1418,INDEX(Техника!$H$1:$ABO$500,AA$2,0),"М")</f>
        <v>0</v>
      </c>
      <c r="AB1419" s="50">
        <f>SUMIFS(INDEX(Техника!$F$1:$ABM$500,AB$2,0),Техника!$F$4:$ABM$4,"Часы",INDEX(Техника!$G$1:$ABN$500,AB$2,0),$A$1418,INDEX(Техника!$H$1:$ABO$500,AB$2,0),"М")</f>
        <v>0</v>
      </c>
    </row>
    <row r="1420" spans="1:28" hidden="1" outlineLevel="1" x14ac:dyDescent="0.3">
      <c r="A1420" s="33" t="s">
        <v>244</v>
      </c>
      <c r="B1420" s="34" t="s">
        <v>275</v>
      </c>
      <c r="C1420" s="50">
        <f>SUMIFS(INDEX(Техника!$F$1:$ABM$500,C$2,0),Техника!$F$4:$ABM$4,"Часы",INDEX(Техника!$G$1:$ABN$500,C$2,0),$A$1418,INDEX(Техника!$H$1:$ABO$500,C$2,0),"Д")</f>
        <v>0</v>
      </c>
      <c r="D1420" s="50">
        <f>SUMIFS(INDEX(Техника!$F$1:$ABM$500,D$2,0),Техника!$F$4:$ABM$4,"Часы",INDEX(Техника!$G$1:$ABN$500,D$2,0),$A$1418,INDEX(Техника!$H$1:$ABO$500,D$2,0),"Д")</f>
        <v>0</v>
      </c>
      <c r="E1420" s="50">
        <f>SUMIFS(INDEX(Техника!$F$1:$ABM$500,E$2,0),Техника!$F$4:$ABM$4,"Часы",INDEX(Техника!$G$1:$ABN$500,E$2,0),$A$1418,INDEX(Техника!$H$1:$ABO$500,E$2,0),"Д")</f>
        <v>0</v>
      </c>
      <c r="F1420" s="50">
        <f>SUMIFS(INDEX(Техника!$F$1:$ABM$500,F$2,0),Техника!$F$4:$ABM$4,"Часы",INDEX(Техника!$G$1:$ABN$500,F$2,0),$A$1418,INDEX(Техника!$H$1:$ABO$500,F$2,0),"Д")</f>
        <v>0</v>
      </c>
      <c r="G1420" s="50">
        <f>SUMIFS(INDEX(Техника!$F$1:$ABM$500,G$2,0),Техника!$F$4:$ABM$4,"Часы",INDEX(Техника!$G$1:$ABN$500,G$2,0),$A$1418,INDEX(Техника!$H$1:$ABO$500,G$2,0),"Д")</f>
        <v>0</v>
      </c>
      <c r="H1420" s="50">
        <f>SUMIFS(INDEX(Техника!$F$1:$ABM$500,H$2,0),Техника!$F$4:$ABM$4,"Часы",INDEX(Техника!$G$1:$ABN$500,H$2,0),$A$1418,INDEX(Техника!$H$1:$ABO$500,H$2,0),"Д")</f>
        <v>0</v>
      </c>
      <c r="I1420" s="50">
        <f>SUMIFS(INDEX(Техника!$F$1:$ABM$500,I$2,0),Техника!$F$4:$ABM$4,"Часы",INDEX(Техника!$G$1:$ABN$500,I$2,0),$A$1418,INDEX(Техника!$H$1:$ABO$500,I$2,0),"Д")</f>
        <v>0</v>
      </c>
      <c r="J1420" s="50">
        <f>SUMIFS(INDEX(Техника!$F$1:$ABM$500,J$2,0),Техника!$F$4:$ABM$4,"Часы",INDEX(Техника!$G$1:$ABN$500,J$2,0),$A$1418,INDEX(Техника!$H$1:$ABO$500,J$2,0),"Д")</f>
        <v>0</v>
      </c>
      <c r="K1420" s="50">
        <f>SUMIFS(INDEX(Техника!$F$1:$ABM$500,K$2,0),Техника!$F$4:$ABM$4,"Часы",INDEX(Техника!$G$1:$ABN$500,K$2,0),$A$1418,INDEX(Техника!$H$1:$ABO$500,K$2,0),"Д")</f>
        <v>0</v>
      </c>
      <c r="L1420" s="50">
        <f>SUMIFS(INDEX(Техника!$F$1:$ABM$500,L$2,0),Техника!$F$4:$ABM$4,"Часы",INDEX(Техника!$G$1:$ABN$500,L$2,0),$A$1418,INDEX(Техника!$H$1:$ABO$500,L$2,0),"Д")</f>
        <v>0</v>
      </c>
      <c r="M1420" s="50">
        <f>SUMIFS(INDEX(Техника!$F$1:$ABM$500,M$2,0),Техника!$F$4:$ABM$4,"Часы",INDEX(Техника!$G$1:$ABN$500,M$2,0),$A$1418,INDEX(Техника!$H$1:$ABO$500,M$2,0),"Д")</f>
        <v>0</v>
      </c>
      <c r="N1420" s="50">
        <f>SUMIFS(INDEX(Техника!$F$1:$ABM$500,N$2,0),Техника!$F$4:$ABM$4,"Часы",INDEX(Техника!$G$1:$ABN$500,N$2,0),$A$1418,INDEX(Техника!$H$1:$ABO$500,N$2,0),"Д")</f>
        <v>0</v>
      </c>
      <c r="O1420" s="50">
        <f>SUMIFS(INDEX(Техника!$F$1:$ABM$500,O$2,0),Техника!$F$4:$ABM$4,"Часы",INDEX(Техника!$G$1:$ABN$500,O$2,0),$A$1418,INDEX(Техника!$H$1:$ABO$500,O$2,0),"Д")</f>
        <v>0</v>
      </c>
      <c r="P1420" s="50">
        <f>SUMIFS(INDEX(Техника!$F$1:$ABM$500,P$2,0),Техника!$F$4:$ABM$4,"Часы",INDEX(Техника!$G$1:$ABN$500,P$2,0),$A$1418,INDEX(Техника!$H$1:$ABO$500,P$2,0),"Д")</f>
        <v>0</v>
      </c>
      <c r="Q1420" s="50">
        <f>SUMIFS(INDEX(Техника!$F$1:$ABM$500,Q$2,0),Техника!$F$4:$ABM$4,"Часы",INDEX(Техника!$G$1:$ABN$500,Q$2,0),$A$1418,INDEX(Техника!$H$1:$ABO$500,Q$2,0),"Д")</f>
        <v>0</v>
      </c>
      <c r="R1420" s="50">
        <f>SUMIFS(INDEX(Техника!$F$1:$ABM$500,R$2,0),Техника!$F$4:$ABM$4,"Часы",INDEX(Техника!$G$1:$ABN$500,R$2,0),$A$1418,INDEX(Техника!$H$1:$ABO$500,R$2,0),"Д")</f>
        <v>0</v>
      </c>
      <c r="S1420" s="50">
        <f>SUMIFS(INDEX(Техника!$F$1:$ABM$500,S$2,0),Техника!$F$4:$ABM$4,"Часы",INDEX(Техника!$G$1:$ABN$500,S$2,0),$A$1418,INDEX(Техника!$H$1:$ABO$500,S$2,0),"Д")</f>
        <v>0</v>
      </c>
      <c r="T1420" s="50">
        <f>SUMIFS(INDEX(Техника!$F$1:$ABM$500,T$2,0),Техника!$F$4:$ABM$4,"Часы",INDEX(Техника!$G$1:$ABN$500,T$2,0),$A$1418,INDEX(Техника!$H$1:$ABO$500,T$2,0),"Д")</f>
        <v>0</v>
      </c>
      <c r="U1420" s="50">
        <f>SUMIFS(INDEX(Техника!$F$1:$ABM$500,U$2,0),Техника!$F$4:$ABM$4,"Часы",INDEX(Техника!$G$1:$ABN$500,U$2,0),$A$1418,INDEX(Техника!$H$1:$ABO$500,U$2,0),"Д")</f>
        <v>0</v>
      </c>
      <c r="V1420" s="50">
        <f>SUMIFS(INDEX(Техника!$F$1:$ABM$500,V$2,0),Техника!$F$4:$ABM$4,"Часы",INDEX(Техника!$G$1:$ABN$500,V$2,0),$A$1418,INDEX(Техника!$H$1:$ABO$500,V$2,0),"Д")</f>
        <v>0</v>
      </c>
      <c r="W1420" s="50">
        <f>SUMIFS(INDEX(Техника!$F$1:$ABM$500,W$2,0),Техника!$F$4:$ABM$4,"Часы",INDEX(Техника!$G$1:$ABN$500,W$2,0),$A$1418,INDEX(Техника!$H$1:$ABO$500,W$2,0),"Д")</f>
        <v>0</v>
      </c>
      <c r="X1420" s="50">
        <f>SUMIFS(INDEX(Техника!$F$1:$ABM$500,X$2,0),Техника!$F$4:$ABM$4,"Часы",INDEX(Техника!$G$1:$ABN$500,X$2,0),$A$1418,INDEX(Техника!$H$1:$ABO$500,X$2,0),"Д")</f>
        <v>0</v>
      </c>
      <c r="Y1420" s="50">
        <f>SUMIFS(INDEX(Техника!$F$1:$ABM$500,Y$2,0),Техника!$F$4:$ABM$4,"Часы",INDEX(Техника!$G$1:$ABN$500,Y$2,0),$A$1418,INDEX(Техника!$H$1:$ABO$500,Y$2,0),"Д")</f>
        <v>0</v>
      </c>
      <c r="Z1420" s="50">
        <f>SUMIFS(INDEX(Техника!$F$1:$ABM$500,Z$2,0),Техника!$F$4:$ABM$4,"Часы",INDEX(Техника!$G$1:$ABN$500,Z$2,0),$A$1418,INDEX(Техника!$H$1:$ABO$500,Z$2,0),"Д")</f>
        <v>0</v>
      </c>
      <c r="AA1420" s="50">
        <f>SUMIFS(INDEX(Техника!$F$1:$ABM$500,AA$2,0),Техника!$F$4:$ABM$4,"Часы",INDEX(Техника!$G$1:$ABN$500,AA$2,0),$A$1418,INDEX(Техника!$H$1:$ABO$500,AA$2,0),"Д")</f>
        <v>0</v>
      </c>
      <c r="AB1420" s="50">
        <f>SUMIFS(INDEX(Техника!$F$1:$ABM$500,AB$2,0),Техника!$F$4:$ABM$4,"Часы",INDEX(Техника!$G$1:$ABN$500,AB$2,0),$A$1418,INDEX(Техника!$H$1:$ABO$500,AB$2,0),"Д")</f>
        <v>0</v>
      </c>
    </row>
    <row r="1421" spans="1:28" hidden="1" outlineLevel="1" x14ac:dyDescent="0.3">
      <c r="A1421" s="33" t="s">
        <v>276</v>
      </c>
      <c r="B1421" s="34" t="s">
        <v>277</v>
      </c>
      <c r="C1421" s="50">
        <f>SUMIFS(INDEX(Техника!$F$1:$ABM$500,C$2,0),Техника!$F$4:$ABM$4,"Часы",INDEX(Техника!$G$1:$ABN$500,C$2,0),$A$1418,INDEX(Техника!$H$1:$ABO$500,C$2,0),"П")</f>
        <v>0</v>
      </c>
      <c r="D1421" s="50">
        <f>SUMIFS(INDEX(Техника!$F$1:$ABM$500,D$2,0),Техника!$F$4:$ABM$4,"Часы",INDEX(Техника!$G$1:$ABN$500,D$2,0),$A$1418,INDEX(Техника!$H$1:$ABO$500,D$2,0),"П")</f>
        <v>0</v>
      </c>
      <c r="E1421" s="50">
        <f>SUMIFS(INDEX(Техника!$F$1:$ABM$500,E$2,0),Техника!$F$4:$ABM$4,"Часы",INDEX(Техника!$G$1:$ABN$500,E$2,0),$A$1418,INDEX(Техника!$H$1:$ABO$500,E$2,0),"П")</f>
        <v>0</v>
      </c>
      <c r="F1421" s="50">
        <f>SUMIFS(INDEX(Техника!$F$1:$ABM$500,F$2,0),Техника!$F$4:$ABM$4,"Часы",INDEX(Техника!$G$1:$ABN$500,F$2,0),$A$1418,INDEX(Техника!$H$1:$ABO$500,F$2,0),"П")</f>
        <v>0</v>
      </c>
      <c r="G1421" s="50">
        <f>SUMIFS(INDEX(Техника!$F$1:$ABM$500,G$2,0),Техника!$F$4:$ABM$4,"Часы",INDEX(Техника!$G$1:$ABN$500,G$2,0),$A$1418,INDEX(Техника!$H$1:$ABO$500,G$2,0),"П")</f>
        <v>0</v>
      </c>
      <c r="H1421" s="50">
        <f>SUMIFS(INDEX(Техника!$F$1:$ABM$500,H$2,0),Техника!$F$4:$ABM$4,"Часы",INDEX(Техника!$G$1:$ABN$500,H$2,0),$A$1418,INDEX(Техника!$H$1:$ABO$500,H$2,0),"П")</f>
        <v>0</v>
      </c>
      <c r="I1421" s="50">
        <f>SUMIFS(INDEX(Техника!$F$1:$ABM$500,I$2,0),Техника!$F$4:$ABM$4,"Часы",INDEX(Техника!$G$1:$ABN$500,I$2,0),$A$1418,INDEX(Техника!$H$1:$ABO$500,I$2,0),"П")</f>
        <v>0</v>
      </c>
      <c r="J1421" s="50">
        <f>SUMIFS(INDEX(Техника!$F$1:$ABM$500,J$2,0),Техника!$F$4:$ABM$4,"Часы",INDEX(Техника!$G$1:$ABN$500,J$2,0),$A$1418,INDEX(Техника!$H$1:$ABO$500,J$2,0),"П")</f>
        <v>0</v>
      </c>
      <c r="K1421" s="50">
        <f>SUMIFS(INDEX(Техника!$F$1:$ABM$500,K$2,0),Техника!$F$4:$ABM$4,"Часы",INDEX(Техника!$G$1:$ABN$500,K$2,0),$A$1418,INDEX(Техника!$H$1:$ABO$500,K$2,0),"П")</f>
        <v>0</v>
      </c>
      <c r="L1421" s="50">
        <f>SUMIFS(INDEX(Техника!$F$1:$ABM$500,L$2,0),Техника!$F$4:$ABM$4,"Часы",INDEX(Техника!$G$1:$ABN$500,L$2,0),$A$1418,INDEX(Техника!$H$1:$ABO$500,L$2,0),"П")</f>
        <v>0</v>
      </c>
      <c r="M1421" s="50">
        <f>SUMIFS(INDEX(Техника!$F$1:$ABM$500,M$2,0),Техника!$F$4:$ABM$4,"Часы",INDEX(Техника!$G$1:$ABN$500,M$2,0),$A$1418,INDEX(Техника!$H$1:$ABO$500,M$2,0),"П")</f>
        <v>0</v>
      </c>
      <c r="N1421" s="50">
        <f>SUMIFS(INDEX(Техника!$F$1:$ABM$500,N$2,0),Техника!$F$4:$ABM$4,"Часы",INDEX(Техника!$G$1:$ABN$500,N$2,0),$A$1418,INDEX(Техника!$H$1:$ABO$500,N$2,0),"П")</f>
        <v>0</v>
      </c>
      <c r="O1421" s="50">
        <f>SUMIFS(INDEX(Техника!$F$1:$ABM$500,O$2,0),Техника!$F$4:$ABM$4,"Часы",INDEX(Техника!$G$1:$ABN$500,O$2,0),$A$1418,INDEX(Техника!$H$1:$ABO$500,O$2,0),"П")</f>
        <v>0</v>
      </c>
      <c r="P1421" s="50">
        <f>SUMIFS(INDEX(Техника!$F$1:$ABM$500,P$2,0),Техника!$F$4:$ABM$4,"Часы",INDEX(Техника!$G$1:$ABN$500,P$2,0),$A$1418,INDEX(Техника!$H$1:$ABO$500,P$2,0),"П")</f>
        <v>0</v>
      </c>
      <c r="Q1421" s="50">
        <f>SUMIFS(INDEX(Техника!$F$1:$ABM$500,Q$2,0),Техника!$F$4:$ABM$4,"Часы",INDEX(Техника!$G$1:$ABN$500,Q$2,0),$A$1418,INDEX(Техника!$H$1:$ABO$500,Q$2,0),"П")</f>
        <v>0</v>
      </c>
      <c r="R1421" s="50">
        <f>SUMIFS(INDEX(Техника!$F$1:$ABM$500,R$2,0),Техника!$F$4:$ABM$4,"Часы",INDEX(Техника!$G$1:$ABN$500,R$2,0),$A$1418,INDEX(Техника!$H$1:$ABO$500,R$2,0),"П")</f>
        <v>0</v>
      </c>
      <c r="S1421" s="50">
        <f>SUMIFS(INDEX(Техника!$F$1:$ABM$500,S$2,0),Техника!$F$4:$ABM$4,"Часы",INDEX(Техника!$G$1:$ABN$500,S$2,0),$A$1418,INDEX(Техника!$H$1:$ABO$500,S$2,0),"П")</f>
        <v>0</v>
      </c>
      <c r="T1421" s="50">
        <f>SUMIFS(INDEX(Техника!$F$1:$ABM$500,T$2,0),Техника!$F$4:$ABM$4,"Часы",INDEX(Техника!$G$1:$ABN$500,T$2,0),$A$1418,INDEX(Техника!$H$1:$ABO$500,T$2,0),"П")</f>
        <v>0</v>
      </c>
      <c r="U1421" s="50">
        <f>SUMIFS(INDEX(Техника!$F$1:$ABM$500,U$2,0),Техника!$F$4:$ABM$4,"Часы",INDEX(Техника!$G$1:$ABN$500,U$2,0),$A$1418,INDEX(Техника!$H$1:$ABO$500,U$2,0),"П")</f>
        <v>0</v>
      </c>
      <c r="V1421" s="50">
        <f>SUMIFS(INDEX(Техника!$F$1:$ABM$500,V$2,0),Техника!$F$4:$ABM$4,"Часы",INDEX(Техника!$G$1:$ABN$500,V$2,0),$A$1418,INDEX(Техника!$H$1:$ABO$500,V$2,0),"П")</f>
        <v>0</v>
      </c>
      <c r="W1421" s="50">
        <f>SUMIFS(INDEX(Техника!$F$1:$ABM$500,W$2,0),Техника!$F$4:$ABM$4,"Часы",INDEX(Техника!$G$1:$ABN$500,W$2,0),$A$1418,INDEX(Техника!$H$1:$ABO$500,W$2,0),"П")</f>
        <v>0</v>
      </c>
      <c r="X1421" s="50">
        <f>SUMIFS(INDEX(Техника!$F$1:$ABM$500,X$2,0),Техника!$F$4:$ABM$4,"Часы",INDEX(Техника!$G$1:$ABN$500,X$2,0),$A$1418,INDEX(Техника!$H$1:$ABO$500,X$2,0),"П")</f>
        <v>0</v>
      </c>
      <c r="Y1421" s="50">
        <f>SUMIFS(INDEX(Техника!$F$1:$ABM$500,Y$2,0),Техника!$F$4:$ABM$4,"Часы",INDEX(Техника!$G$1:$ABN$500,Y$2,0),$A$1418,INDEX(Техника!$H$1:$ABO$500,Y$2,0),"П")</f>
        <v>0</v>
      </c>
      <c r="Z1421" s="50">
        <f>SUMIFS(INDEX(Техника!$F$1:$ABM$500,Z$2,0),Техника!$F$4:$ABM$4,"Часы",INDEX(Техника!$G$1:$ABN$500,Z$2,0),$A$1418,INDEX(Техника!$H$1:$ABO$500,Z$2,0),"П")</f>
        <v>0</v>
      </c>
      <c r="AA1421" s="50">
        <f>SUMIFS(INDEX(Техника!$F$1:$ABM$500,AA$2,0),Техника!$F$4:$ABM$4,"Часы",INDEX(Техника!$G$1:$ABN$500,AA$2,0),$A$1418,INDEX(Техника!$H$1:$ABO$500,AA$2,0),"П")</f>
        <v>0</v>
      </c>
      <c r="AB1421" s="50">
        <f>SUMIFS(INDEX(Техника!$F$1:$ABM$500,AB$2,0),Техника!$F$4:$ABM$4,"Часы",INDEX(Техника!$G$1:$ABN$500,AB$2,0),$A$1418,INDEX(Техника!$H$1:$ABO$500,AB$2,0),"П")</f>
        <v>0</v>
      </c>
    </row>
    <row r="1422" spans="1:28" hidden="1" outlineLevel="1" x14ac:dyDescent="0.3">
      <c r="A1422" s="33" t="s">
        <v>243</v>
      </c>
      <c r="B1422" s="34" t="s">
        <v>278</v>
      </c>
      <c r="C1422" s="50">
        <f>SUMIFS(INDEX(Техника!$F$1:$ABM$500,C$2,0),Техника!$F$4:$ABM$4,"Часы",INDEX(Техника!$G$1:$ABN$500,C$2,0),$A$1418,INDEX(Техника!$H$1:$ABO$500,C$2,0),"Л")</f>
        <v>0</v>
      </c>
      <c r="D1422" s="50">
        <f>SUMIFS(INDEX(Техника!$F$1:$ABM$500,D$2,0),Техника!$F$4:$ABM$4,"Часы",INDEX(Техника!$G$1:$ABN$500,D$2,0),$A$1418,INDEX(Техника!$H$1:$ABO$500,D$2,0),"Л")</f>
        <v>0</v>
      </c>
      <c r="E1422" s="50">
        <f>SUMIFS(INDEX(Техника!$F$1:$ABM$500,E$2,0),Техника!$F$4:$ABM$4,"Часы",INDEX(Техника!$G$1:$ABN$500,E$2,0),$A$1418,INDEX(Техника!$H$1:$ABO$500,E$2,0),"Л")</f>
        <v>0</v>
      </c>
      <c r="F1422" s="50">
        <f>SUMIFS(INDEX(Техника!$F$1:$ABM$500,F$2,0),Техника!$F$4:$ABM$4,"Часы",INDEX(Техника!$G$1:$ABN$500,F$2,0),$A$1418,INDEX(Техника!$H$1:$ABO$500,F$2,0),"Л")</f>
        <v>0</v>
      </c>
      <c r="G1422" s="50">
        <f>SUMIFS(INDEX(Техника!$F$1:$ABM$500,G$2,0),Техника!$F$4:$ABM$4,"Часы",INDEX(Техника!$G$1:$ABN$500,G$2,0),$A$1418,INDEX(Техника!$H$1:$ABO$500,G$2,0),"Л")</f>
        <v>0</v>
      </c>
      <c r="H1422" s="50">
        <f>SUMIFS(INDEX(Техника!$F$1:$ABM$500,H$2,0),Техника!$F$4:$ABM$4,"Часы",INDEX(Техника!$G$1:$ABN$500,H$2,0),$A$1418,INDEX(Техника!$H$1:$ABO$500,H$2,0),"Л")</f>
        <v>0</v>
      </c>
      <c r="I1422" s="50">
        <f>SUMIFS(INDEX(Техника!$F$1:$ABM$500,I$2,0),Техника!$F$4:$ABM$4,"Часы",INDEX(Техника!$G$1:$ABN$500,I$2,0),$A$1418,INDEX(Техника!$H$1:$ABO$500,I$2,0),"Л")</f>
        <v>0</v>
      </c>
      <c r="J1422" s="50">
        <f>SUMIFS(INDEX(Техника!$F$1:$ABM$500,J$2,0),Техника!$F$4:$ABM$4,"Часы",INDEX(Техника!$G$1:$ABN$500,J$2,0),$A$1418,INDEX(Техника!$H$1:$ABO$500,J$2,0),"Л")</f>
        <v>0</v>
      </c>
      <c r="K1422" s="50">
        <f>SUMIFS(INDEX(Техника!$F$1:$ABM$500,K$2,0),Техника!$F$4:$ABM$4,"Часы",INDEX(Техника!$G$1:$ABN$500,K$2,0),$A$1418,INDEX(Техника!$H$1:$ABO$500,K$2,0),"Л")</f>
        <v>0</v>
      </c>
      <c r="L1422" s="50">
        <f>SUMIFS(INDEX(Техника!$F$1:$ABM$500,L$2,0),Техника!$F$4:$ABM$4,"Часы",INDEX(Техника!$G$1:$ABN$500,L$2,0),$A$1418,INDEX(Техника!$H$1:$ABO$500,L$2,0),"Л")</f>
        <v>0</v>
      </c>
      <c r="M1422" s="50">
        <f>SUMIFS(INDEX(Техника!$F$1:$ABM$500,M$2,0),Техника!$F$4:$ABM$4,"Часы",INDEX(Техника!$G$1:$ABN$500,M$2,0),$A$1418,INDEX(Техника!$H$1:$ABO$500,M$2,0),"Л")</f>
        <v>0</v>
      </c>
      <c r="N1422" s="50">
        <f>SUMIFS(INDEX(Техника!$F$1:$ABM$500,N$2,0),Техника!$F$4:$ABM$4,"Часы",INDEX(Техника!$G$1:$ABN$500,N$2,0),$A$1418,INDEX(Техника!$H$1:$ABO$500,N$2,0),"Л")</f>
        <v>0</v>
      </c>
      <c r="O1422" s="50">
        <f>SUMIFS(INDEX(Техника!$F$1:$ABM$500,O$2,0),Техника!$F$4:$ABM$4,"Часы",INDEX(Техника!$G$1:$ABN$500,O$2,0),$A$1418,INDEX(Техника!$H$1:$ABO$500,O$2,0),"Л")</f>
        <v>0</v>
      </c>
      <c r="P1422" s="50">
        <f>SUMIFS(INDEX(Техника!$F$1:$ABM$500,P$2,0),Техника!$F$4:$ABM$4,"Часы",INDEX(Техника!$G$1:$ABN$500,P$2,0),$A$1418,INDEX(Техника!$H$1:$ABO$500,P$2,0),"Л")</f>
        <v>0</v>
      </c>
      <c r="Q1422" s="50">
        <f>SUMIFS(INDEX(Техника!$F$1:$ABM$500,Q$2,0),Техника!$F$4:$ABM$4,"Часы",INDEX(Техника!$G$1:$ABN$500,Q$2,0),$A$1418,INDEX(Техника!$H$1:$ABO$500,Q$2,0),"Л")</f>
        <v>0</v>
      </c>
      <c r="R1422" s="50">
        <f>SUMIFS(INDEX(Техника!$F$1:$ABM$500,R$2,0),Техника!$F$4:$ABM$4,"Часы",INDEX(Техника!$G$1:$ABN$500,R$2,0),$A$1418,INDEX(Техника!$H$1:$ABO$500,R$2,0),"Л")</f>
        <v>0</v>
      </c>
      <c r="S1422" s="50">
        <f>SUMIFS(INDEX(Техника!$F$1:$ABM$500,S$2,0),Техника!$F$4:$ABM$4,"Часы",INDEX(Техника!$G$1:$ABN$500,S$2,0),$A$1418,INDEX(Техника!$H$1:$ABO$500,S$2,0),"Л")</f>
        <v>0</v>
      </c>
      <c r="T1422" s="50">
        <f>SUMIFS(INDEX(Техника!$F$1:$ABM$500,T$2,0),Техника!$F$4:$ABM$4,"Часы",INDEX(Техника!$G$1:$ABN$500,T$2,0),$A$1418,INDEX(Техника!$H$1:$ABO$500,T$2,0),"Л")</f>
        <v>0</v>
      </c>
      <c r="U1422" s="50">
        <f>SUMIFS(INDEX(Техника!$F$1:$ABM$500,U$2,0),Техника!$F$4:$ABM$4,"Часы",INDEX(Техника!$G$1:$ABN$500,U$2,0),$A$1418,INDEX(Техника!$H$1:$ABO$500,U$2,0),"Л")</f>
        <v>0</v>
      </c>
      <c r="V1422" s="50">
        <f>SUMIFS(INDEX(Техника!$F$1:$ABM$500,V$2,0),Техника!$F$4:$ABM$4,"Часы",INDEX(Техника!$G$1:$ABN$500,V$2,0),$A$1418,INDEX(Техника!$H$1:$ABO$500,V$2,0),"Л")</f>
        <v>0</v>
      </c>
      <c r="W1422" s="50">
        <f>SUMIFS(INDEX(Техника!$F$1:$ABM$500,W$2,0),Техника!$F$4:$ABM$4,"Часы",INDEX(Техника!$G$1:$ABN$500,W$2,0),$A$1418,INDEX(Техника!$H$1:$ABO$500,W$2,0),"Л")</f>
        <v>0</v>
      </c>
      <c r="X1422" s="50">
        <f>SUMIFS(INDEX(Техника!$F$1:$ABM$500,X$2,0),Техника!$F$4:$ABM$4,"Часы",INDEX(Техника!$G$1:$ABN$500,X$2,0),$A$1418,INDEX(Техника!$H$1:$ABO$500,X$2,0),"Л")</f>
        <v>0</v>
      </c>
      <c r="Y1422" s="50">
        <f>SUMIFS(INDEX(Техника!$F$1:$ABM$500,Y$2,0),Техника!$F$4:$ABM$4,"Часы",INDEX(Техника!$G$1:$ABN$500,Y$2,0),$A$1418,INDEX(Техника!$H$1:$ABO$500,Y$2,0),"Л")</f>
        <v>0</v>
      </c>
      <c r="Z1422" s="50">
        <f>SUMIFS(INDEX(Техника!$F$1:$ABM$500,Z$2,0),Техника!$F$4:$ABM$4,"Часы",INDEX(Техника!$G$1:$ABN$500,Z$2,0),$A$1418,INDEX(Техника!$H$1:$ABO$500,Z$2,0),"Л")</f>
        <v>0</v>
      </c>
      <c r="AA1422" s="50">
        <f>SUMIFS(INDEX(Техника!$F$1:$ABM$500,AA$2,0),Техника!$F$4:$ABM$4,"Часы",INDEX(Техника!$G$1:$ABN$500,AA$2,0),$A$1418,INDEX(Техника!$H$1:$ABO$500,AA$2,0),"Л")</f>
        <v>0</v>
      </c>
      <c r="AB1422" s="50">
        <f>SUMIFS(INDEX(Техника!$F$1:$ABM$500,AB$2,0),Техника!$F$4:$ABM$4,"Часы",INDEX(Техника!$G$1:$ABN$500,AB$2,0),$A$1418,INDEX(Техника!$H$1:$ABO$500,AB$2,0),"Л")</f>
        <v>0</v>
      </c>
    </row>
    <row r="1423" spans="1:28" hidden="1" outlineLevel="1" x14ac:dyDescent="0.3">
      <c r="A1423" s="33" t="s">
        <v>245</v>
      </c>
      <c r="B1423" s="34" t="s">
        <v>279</v>
      </c>
      <c r="C1423" s="50">
        <f>SUMIFS(INDEX(Техника!$F$1:$ABM$500,C$2,0),Техника!$F$4:$ABM$4,"Часы",INDEX(Техника!$G$1:$ABN$500,C$2,0),$A$1418,INDEX(Техника!$H$1:$ABO$500,C$2,0),"З")</f>
        <v>0</v>
      </c>
      <c r="D1423" s="50">
        <f>SUMIFS(INDEX(Техника!$F$1:$ABM$500,D$2,0),Техника!$F$4:$ABM$4,"Часы",INDEX(Техника!$G$1:$ABN$500,D$2,0),$A$1418,INDEX(Техника!$H$1:$ABO$500,D$2,0),"З")</f>
        <v>0</v>
      </c>
      <c r="E1423" s="50">
        <f>SUMIFS(INDEX(Техника!$F$1:$ABM$500,E$2,0),Техника!$F$4:$ABM$4,"Часы",INDEX(Техника!$G$1:$ABN$500,E$2,0),$A$1418,INDEX(Техника!$H$1:$ABO$500,E$2,0),"З")</f>
        <v>0</v>
      </c>
      <c r="F1423" s="50">
        <f>SUMIFS(INDEX(Техника!$F$1:$ABM$500,F$2,0),Техника!$F$4:$ABM$4,"Часы",INDEX(Техника!$G$1:$ABN$500,F$2,0),$A$1418,INDEX(Техника!$H$1:$ABO$500,F$2,0),"З")</f>
        <v>0</v>
      </c>
      <c r="G1423" s="50">
        <f>SUMIFS(INDEX(Техника!$F$1:$ABM$500,G$2,0),Техника!$F$4:$ABM$4,"Часы",INDEX(Техника!$G$1:$ABN$500,G$2,0),$A$1418,INDEX(Техника!$H$1:$ABO$500,G$2,0),"З")</f>
        <v>0</v>
      </c>
      <c r="H1423" s="50">
        <f>SUMIFS(INDEX(Техника!$F$1:$ABM$500,H$2,0),Техника!$F$4:$ABM$4,"Часы",INDEX(Техника!$G$1:$ABN$500,H$2,0),$A$1418,INDEX(Техника!$H$1:$ABO$500,H$2,0),"З")</f>
        <v>0</v>
      </c>
      <c r="I1423" s="50">
        <f>SUMIFS(INDEX(Техника!$F$1:$ABM$500,I$2,0),Техника!$F$4:$ABM$4,"Часы",INDEX(Техника!$G$1:$ABN$500,I$2,0),$A$1418,INDEX(Техника!$H$1:$ABO$500,I$2,0),"З")</f>
        <v>0</v>
      </c>
      <c r="J1423" s="50">
        <f>SUMIFS(INDEX(Техника!$F$1:$ABM$500,J$2,0),Техника!$F$4:$ABM$4,"Часы",INDEX(Техника!$G$1:$ABN$500,J$2,0),$A$1418,INDEX(Техника!$H$1:$ABO$500,J$2,0),"З")</f>
        <v>0</v>
      </c>
      <c r="K1423" s="50">
        <f>SUMIFS(INDEX(Техника!$F$1:$ABM$500,K$2,0),Техника!$F$4:$ABM$4,"Часы",INDEX(Техника!$G$1:$ABN$500,K$2,0),$A$1418,INDEX(Техника!$H$1:$ABO$500,K$2,0),"З")</f>
        <v>0</v>
      </c>
      <c r="L1423" s="50">
        <f>SUMIFS(INDEX(Техника!$F$1:$ABM$500,L$2,0),Техника!$F$4:$ABM$4,"Часы",INDEX(Техника!$G$1:$ABN$500,L$2,0),$A$1418,INDEX(Техника!$H$1:$ABO$500,L$2,0),"З")</f>
        <v>0</v>
      </c>
      <c r="M1423" s="50">
        <f>SUMIFS(INDEX(Техника!$F$1:$ABM$500,M$2,0),Техника!$F$4:$ABM$4,"Часы",INDEX(Техника!$G$1:$ABN$500,M$2,0),$A$1418,INDEX(Техника!$H$1:$ABO$500,M$2,0),"З")</f>
        <v>0</v>
      </c>
      <c r="N1423" s="50">
        <f>SUMIFS(INDEX(Техника!$F$1:$ABM$500,N$2,0),Техника!$F$4:$ABM$4,"Часы",INDEX(Техника!$G$1:$ABN$500,N$2,0),$A$1418,INDEX(Техника!$H$1:$ABO$500,N$2,0),"З")</f>
        <v>0</v>
      </c>
      <c r="O1423" s="50">
        <f>SUMIFS(INDEX(Техника!$F$1:$ABM$500,O$2,0),Техника!$F$4:$ABM$4,"Часы",INDEX(Техника!$G$1:$ABN$500,O$2,0),$A$1418,INDEX(Техника!$H$1:$ABO$500,O$2,0),"З")</f>
        <v>0</v>
      </c>
      <c r="P1423" s="50">
        <f>SUMIFS(INDEX(Техника!$F$1:$ABM$500,P$2,0),Техника!$F$4:$ABM$4,"Часы",INDEX(Техника!$G$1:$ABN$500,P$2,0),$A$1418,INDEX(Техника!$H$1:$ABO$500,P$2,0),"З")</f>
        <v>0</v>
      </c>
      <c r="Q1423" s="50">
        <f>SUMIFS(INDEX(Техника!$F$1:$ABM$500,Q$2,0),Техника!$F$4:$ABM$4,"Часы",INDEX(Техника!$G$1:$ABN$500,Q$2,0),$A$1418,INDEX(Техника!$H$1:$ABO$500,Q$2,0),"З")</f>
        <v>0</v>
      </c>
      <c r="R1423" s="50">
        <f>SUMIFS(INDEX(Техника!$F$1:$ABM$500,R$2,0),Техника!$F$4:$ABM$4,"Часы",INDEX(Техника!$G$1:$ABN$500,R$2,0),$A$1418,INDEX(Техника!$H$1:$ABO$500,R$2,0),"З")</f>
        <v>0</v>
      </c>
      <c r="S1423" s="50">
        <f>SUMIFS(INDEX(Техника!$F$1:$ABM$500,S$2,0),Техника!$F$4:$ABM$4,"Часы",INDEX(Техника!$G$1:$ABN$500,S$2,0),$A$1418,INDEX(Техника!$H$1:$ABO$500,S$2,0),"З")</f>
        <v>0</v>
      </c>
      <c r="T1423" s="50">
        <f>SUMIFS(INDEX(Техника!$F$1:$ABM$500,T$2,0),Техника!$F$4:$ABM$4,"Часы",INDEX(Техника!$G$1:$ABN$500,T$2,0),$A$1418,INDEX(Техника!$H$1:$ABO$500,T$2,0),"З")</f>
        <v>0</v>
      </c>
      <c r="U1423" s="50">
        <f>SUMIFS(INDEX(Техника!$F$1:$ABM$500,U$2,0),Техника!$F$4:$ABM$4,"Часы",INDEX(Техника!$G$1:$ABN$500,U$2,0),$A$1418,INDEX(Техника!$H$1:$ABO$500,U$2,0),"З")</f>
        <v>0</v>
      </c>
      <c r="V1423" s="50">
        <f>SUMIFS(INDEX(Техника!$F$1:$ABM$500,V$2,0),Техника!$F$4:$ABM$4,"Часы",INDEX(Техника!$G$1:$ABN$500,V$2,0),$A$1418,INDEX(Техника!$H$1:$ABO$500,V$2,0),"З")</f>
        <v>0</v>
      </c>
      <c r="W1423" s="50">
        <f>SUMIFS(INDEX(Техника!$F$1:$ABM$500,W$2,0),Техника!$F$4:$ABM$4,"Часы",INDEX(Техника!$G$1:$ABN$500,W$2,0),$A$1418,INDEX(Техника!$H$1:$ABO$500,W$2,0),"З")</f>
        <v>0</v>
      </c>
      <c r="X1423" s="50">
        <f>SUMIFS(INDEX(Техника!$F$1:$ABM$500,X$2,0),Техника!$F$4:$ABM$4,"Часы",INDEX(Техника!$G$1:$ABN$500,X$2,0),$A$1418,INDEX(Техника!$H$1:$ABO$500,X$2,0),"З")</f>
        <v>0</v>
      </c>
      <c r="Y1423" s="50">
        <f>SUMIFS(INDEX(Техника!$F$1:$ABM$500,Y$2,0),Техника!$F$4:$ABM$4,"Часы",INDEX(Техника!$G$1:$ABN$500,Y$2,0),$A$1418,INDEX(Техника!$H$1:$ABO$500,Y$2,0),"З")</f>
        <v>0</v>
      </c>
      <c r="Z1423" s="50">
        <f>SUMIFS(INDEX(Техника!$F$1:$ABM$500,Z$2,0),Техника!$F$4:$ABM$4,"Часы",INDEX(Техника!$G$1:$ABN$500,Z$2,0),$A$1418,INDEX(Техника!$H$1:$ABO$500,Z$2,0),"З")</f>
        <v>0</v>
      </c>
      <c r="AA1423" s="50">
        <f>SUMIFS(INDEX(Техника!$F$1:$ABM$500,AA$2,0),Техника!$F$4:$ABM$4,"Часы",INDEX(Техника!$G$1:$ABN$500,AA$2,0),$A$1418,INDEX(Техника!$H$1:$ABO$500,AA$2,0),"З")</f>
        <v>0</v>
      </c>
      <c r="AB1423" s="50">
        <f>SUMIFS(INDEX(Техника!$F$1:$ABM$500,AB$2,0),Техника!$F$4:$ABM$4,"Часы",INDEX(Техника!$G$1:$ABN$500,AB$2,0),$A$1418,INDEX(Техника!$H$1:$ABO$500,AB$2,0),"З")</f>
        <v>0</v>
      </c>
    </row>
    <row r="1424" spans="1:28" ht="7.95" customHeight="1" x14ac:dyDescent="0.3">
      <c r="A1424" s="38"/>
      <c r="B1424" s="39"/>
      <c r="C1424" s="51"/>
      <c r="D1424" s="51"/>
      <c r="E1424" s="51"/>
      <c r="F1424" s="51"/>
      <c r="G1424" s="51"/>
      <c r="H1424" s="51"/>
      <c r="I1424" s="51"/>
      <c r="J1424" s="51"/>
      <c r="K1424" s="51"/>
      <c r="L1424" s="51"/>
      <c r="M1424" s="51"/>
      <c r="N1424" s="51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</row>
    <row r="1425" spans="1:28" ht="25.05" customHeight="1" collapsed="1" x14ac:dyDescent="0.3">
      <c r="A1425" s="32">
        <v>204</v>
      </c>
      <c r="B1425" s="32" t="s">
        <v>205</v>
      </c>
      <c r="C1425" s="49">
        <f>SUM(C1426:C1430)</f>
        <v>0</v>
      </c>
      <c r="D1425" s="49">
        <f>SUM(D1426:D1430)</f>
        <v>0</v>
      </c>
      <c r="E1425" s="49">
        <f>SUM(E1426:E1430)</f>
        <v>0</v>
      </c>
      <c r="F1425" s="49">
        <f>SUM(F1426:F1430)</f>
        <v>0</v>
      </c>
      <c r="G1425" s="49">
        <f>SUM(G1426:G1430)</f>
        <v>0</v>
      </c>
      <c r="H1425" s="49">
        <f>SUM(H1426:H1430)</f>
        <v>0</v>
      </c>
      <c r="I1425" s="49">
        <f>SUM(I1426:I1430)</f>
        <v>0</v>
      </c>
      <c r="J1425" s="49">
        <f>SUM(J1426:J1430)</f>
        <v>0</v>
      </c>
      <c r="K1425" s="49">
        <f>SUM(K1426:K1430)</f>
        <v>0</v>
      </c>
      <c r="L1425" s="49">
        <f>SUM(L1426:L1430)</f>
        <v>0</v>
      </c>
      <c r="M1425" s="49">
        <f>SUM(M1426:M1430)</f>
        <v>0</v>
      </c>
      <c r="N1425" s="49">
        <f>SUM(N1426:N1430)</f>
        <v>0</v>
      </c>
      <c r="O1425" s="49">
        <f>SUM(O1426:O1430)</f>
        <v>0</v>
      </c>
      <c r="P1425" s="49">
        <f>SUM(P1426:P1430)</f>
        <v>0</v>
      </c>
      <c r="Q1425" s="49">
        <f>SUM(Q1426:Q1430)</f>
        <v>0</v>
      </c>
      <c r="R1425" s="49">
        <f>SUM(R1426:R1430)</f>
        <v>0</v>
      </c>
      <c r="S1425" s="49">
        <f>SUM(S1426:S1430)</f>
        <v>0</v>
      </c>
      <c r="T1425" s="49">
        <f>SUM(T1426:T1430)</f>
        <v>0</v>
      </c>
      <c r="U1425" s="49">
        <f>SUM(U1426:U1430)</f>
        <v>0</v>
      </c>
      <c r="V1425" s="49">
        <f>SUM(V1426:V1430)</f>
        <v>0</v>
      </c>
      <c r="W1425" s="49">
        <f>SUM(W1426:W1430)</f>
        <v>0</v>
      </c>
      <c r="X1425" s="49">
        <f>SUM(X1426:X1430)</f>
        <v>0</v>
      </c>
      <c r="Y1425" s="49">
        <f>SUM(Y1426:Y1430)</f>
        <v>0</v>
      </c>
      <c r="Z1425" s="49">
        <f>SUM(Z1426:Z1430)</f>
        <v>0</v>
      </c>
      <c r="AA1425" s="49">
        <f>SUM(AA1426:AA1430)</f>
        <v>0</v>
      </c>
      <c r="AB1425" s="49">
        <f>SUM(AB1426:AB1430)</f>
        <v>0</v>
      </c>
    </row>
    <row r="1426" spans="1:28" hidden="1" outlineLevel="1" x14ac:dyDescent="0.3">
      <c r="A1426" s="33" t="s">
        <v>246</v>
      </c>
      <c r="B1426" s="34" t="s">
        <v>274</v>
      </c>
      <c r="C1426" s="50">
        <f>SUMIFS(INDEX(Техника!$F$1:$ABM$500,C$2,0),Техника!$F$4:$ABM$4,"Часы",INDEX(Техника!$G$1:$ABN$500,C$2,0),$A$1425,INDEX(Техника!$H$1:$ABO$500,C$2,0),"М")</f>
        <v>0</v>
      </c>
      <c r="D1426" s="50">
        <f>SUMIFS(INDEX(Техника!$F$1:$ABM$500,D$2,0),Техника!$F$4:$ABM$4,"Часы",INDEX(Техника!$G$1:$ABN$500,D$2,0),$A$1425,INDEX(Техника!$H$1:$ABO$500,D$2,0),"М")</f>
        <v>0</v>
      </c>
      <c r="E1426" s="50">
        <f>SUMIFS(INDEX(Техника!$F$1:$ABM$500,E$2,0),Техника!$F$4:$ABM$4,"Часы",INDEX(Техника!$G$1:$ABN$500,E$2,0),$A$1425,INDEX(Техника!$H$1:$ABO$500,E$2,0),"М")</f>
        <v>0</v>
      </c>
      <c r="F1426" s="50">
        <f>SUMIFS(INDEX(Техника!$F$1:$ABM$500,F$2,0),Техника!$F$4:$ABM$4,"Часы",INDEX(Техника!$G$1:$ABN$500,F$2,0),$A$1425,INDEX(Техника!$H$1:$ABO$500,F$2,0),"М")</f>
        <v>0</v>
      </c>
      <c r="G1426" s="50">
        <f>SUMIFS(INDEX(Техника!$F$1:$ABM$500,G$2,0),Техника!$F$4:$ABM$4,"Часы",INDEX(Техника!$G$1:$ABN$500,G$2,0),$A$1425,INDEX(Техника!$H$1:$ABO$500,G$2,0),"М")</f>
        <v>0</v>
      </c>
      <c r="H1426" s="50">
        <f>SUMIFS(INDEX(Техника!$F$1:$ABM$500,H$2,0),Техника!$F$4:$ABM$4,"Часы",INDEX(Техника!$G$1:$ABN$500,H$2,0),$A$1425,INDEX(Техника!$H$1:$ABO$500,H$2,0),"М")</f>
        <v>0</v>
      </c>
      <c r="I1426" s="50">
        <f>SUMIFS(INDEX(Техника!$F$1:$ABM$500,I$2,0),Техника!$F$4:$ABM$4,"Часы",INDEX(Техника!$G$1:$ABN$500,I$2,0),$A$1425,INDEX(Техника!$H$1:$ABO$500,I$2,0),"М")</f>
        <v>0</v>
      </c>
      <c r="J1426" s="50">
        <f>SUMIFS(INDEX(Техника!$F$1:$ABM$500,J$2,0),Техника!$F$4:$ABM$4,"Часы",INDEX(Техника!$G$1:$ABN$500,J$2,0),$A$1425,INDEX(Техника!$H$1:$ABO$500,J$2,0),"М")</f>
        <v>0</v>
      </c>
      <c r="K1426" s="50">
        <f>SUMIFS(INDEX(Техника!$F$1:$ABM$500,K$2,0),Техника!$F$4:$ABM$4,"Часы",INDEX(Техника!$G$1:$ABN$500,K$2,0),$A$1425,INDEX(Техника!$H$1:$ABO$500,K$2,0),"М")</f>
        <v>0</v>
      </c>
      <c r="L1426" s="50">
        <f>SUMIFS(INDEX(Техника!$F$1:$ABM$500,L$2,0),Техника!$F$4:$ABM$4,"Часы",INDEX(Техника!$G$1:$ABN$500,L$2,0),$A$1425,INDEX(Техника!$H$1:$ABO$500,L$2,0),"М")</f>
        <v>0</v>
      </c>
      <c r="M1426" s="50">
        <f>SUMIFS(INDEX(Техника!$F$1:$ABM$500,M$2,0),Техника!$F$4:$ABM$4,"Часы",INDEX(Техника!$G$1:$ABN$500,M$2,0),$A$1425,INDEX(Техника!$H$1:$ABO$500,M$2,0),"М")</f>
        <v>0</v>
      </c>
      <c r="N1426" s="50">
        <f>SUMIFS(INDEX(Техника!$F$1:$ABM$500,N$2,0),Техника!$F$4:$ABM$4,"Часы",INDEX(Техника!$G$1:$ABN$500,N$2,0),$A$1425,INDEX(Техника!$H$1:$ABO$500,N$2,0),"М")</f>
        <v>0</v>
      </c>
      <c r="O1426" s="50">
        <f>SUMIFS(INDEX(Техника!$F$1:$ABM$500,O$2,0),Техника!$F$4:$ABM$4,"Часы",INDEX(Техника!$G$1:$ABN$500,O$2,0),$A$1425,INDEX(Техника!$H$1:$ABO$500,O$2,0),"М")</f>
        <v>0</v>
      </c>
      <c r="P1426" s="50">
        <f>SUMIFS(INDEX(Техника!$F$1:$ABM$500,P$2,0),Техника!$F$4:$ABM$4,"Часы",INDEX(Техника!$G$1:$ABN$500,P$2,0),$A$1425,INDEX(Техника!$H$1:$ABO$500,P$2,0),"М")</f>
        <v>0</v>
      </c>
      <c r="Q1426" s="50">
        <f>SUMIFS(INDEX(Техника!$F$1:$ABM$500,Q$2,0),Техника!$F$4:$ABM$4,"Часы",INDEX(Техника!$G$1:$ABN$500,Q$2,0),$A$1425,INDEX(Техника!$H$1:$ABO$500,Q$2,0),"М")</f>
        <v>0</v>
      </c>
      <c r="R1426" s="50">
        <f>SUMIFS(INDEX(Техника!$F$1:$ABM$500,R$2,0),Техника!$F$4:$ABM$4,"Часы",INDEX(Техника!$G$1:$ABN$500,R$2,0),$A$1425,INDEX(Техника!$H$1:$ABO$500,R$2,0),"М")</f>
        <v>0</v>
      </c>
      <c r="S1426" s="50">
        <f>SUMIFS(INDEX(Техника!$F$1:$ABM$500,S$2,0),Техника!$F$4:$ABM$4,"Часы",INDEX(Техника!$G$1:$ABN$500,S$2,0),$A$1425,INDEX(Техника!$H$1:$ABO$500,S$2,0),"М")</f>
        <v>0</v>
      </c>
      <c r="T1426" s="50">
        <f>SUMIFS(INDEX(Техника!$F$1:$ABM$500,T$2,0),Техника!$F$4:$ABM$4,"Часы",INDEX(Техника!$G$1:$ABN$500,T$2,0),$A$1425,INDEX(Техника!$H$1:$ABO$500,T$2,0),"М")</f>
        <v>0</v>
      </c>
      <c r="U1426" s="50">
        <f>SUMIFS(INDEX(Техника!$F$1:$ABM$500,U$2,0),Техника!$F$4:$ABM$4,"Часы",INDEX(Техника!$G$1:$ABN$500,U$2,0),$A$1425,INDEX(Техника!$H$1:$ABO$500,U$2,0),"М")</f>
        <v>0</v>
      </c>
      <c r="V1426" s="50">
        <f>SUMIFS(INDEX(Техника!$F$1:$ABM$500,V$2,0),Техника!$F$4:$ABM$4,"Часы",INDEX(Техника!$G$1:$ABN$500,V$2,0),$A$1425,INDEX(Техника!$H$1:$ABO$500,V$2,0),"М")</f>
        <v>0</v>
      </c>
      <c r="W1426" s="50">
        <f>SUMIFS(INDEX(Техника!$F$1:$ABM$500,W$2,0),Техника!$F$4:$ABM$4,"Часы",INDEX(Техника!$G$1:$ABN$500,W$2,0),$A$1425,INDEX(Техника!$H$1:$ABO$500,W$2,0),"М")</f>
        <v>0</v>
      </c>
      <c r="X1426" s="50">
        <f>SUMIFS(INDEX(Техника!$F$1:$ABM$500,X$2,0),Техника!$F$4:$ABM$4,"Часы",INDEX(Техника!$G$1:$ABN$500,X$2,0),$A$1425,INDEX(Техника!$H$1:$ABO$500,X$2,0),"М")</f>
        <v>0</v>
      </c>
      <c r="Y1426" s="50">
        <f>SUMIFS(INDEX(Техника!$F$1:$ABM$500,Y$2,0),Техника!$F$4:$ABM$4,"Часы",INDEX(Техника!$G$1:$ABN$500,Y$2,0),$A$1425,INDEX(Техника!$H$1:$ABO$500,Y$2,0),"М")</f>
        <v>0</v>
      </c>
      <c r="Z1426" s="50">
        <f>SUMIFS(INDEX(Техника!$F$1:$ABM$500,Z$2,0),Техника!$F$4:$ABM$4,"Часы",INDEX(Техника!$G$1:$ABN$500,Z$2,0),$A$1425,INDEX(Техника!$H$1:$ABO$500,Z$2,0),"М")</f>
        <v>0</v>
      </c>
      <c r="AA1426" s="50">
        <f>SUMIFS(INDEX(Техника!$F$1:$ABM$500,AA$2,0),Техника!$F$4:$ABM$4,"Часы",INDEX(Техника!$G$1:$ABN$500,AA$2,0),$A$1425,INDEX(Техника!$H$1:$ABO$500,AA$2,0),"М")</f>
        <v>0</v>
      </c>
      <c r="AB1426" s="50">
        <f>SUMIFS(INDEX(Техника!$F$1:$ABM$500,AB$2,0),Техника!$F$4:$ABM$4,"Часы",INDEX(Техника!$G$1:$ABN$500,AB$2,0),$A$1425,INDEX(Техника!$H$1:$ABO$500,AB$2,0),"М")</f>
        <v>0</v>
      </c>
    </row>
    <row r="1427" spans="1:28" hidden="1" outlineLevel="1" x14ac:dyDescent="0.3">
      <c r="A1427" s="33" t="s">
        <v>244</v>
      </c>
      <c r="B1427" s="34" t="s">
        <v>275</v>
      </c>
      <c r="C1427" s="50">
        <f>SUMIFS(INDEX(Техника!$F$1:$ABM$500,C$2,0),Техника!$F$4:$ABM$4,"Часы",INDEX(Техника!$G$1:$ABN$500,C$2,0),$A$1425,INDEX(Техника!$H$1:$ABO$500,C$2,0),"Д")</f>
        <v>0</v>
      </c>
      <c r="D1427" s="50">
        <f>SUMIFS(INDEX(Техника!$F$1:$ABM$500,D$2,0),Техника!$F$4:$ABM$4,"Часы",INDEX(Техника!$G$1:$ABN$500,D$2,0),$A$1425,INDEX(Техника!$H$1:$ABO$500,D$2,0),"Д")</f>
        <v>0</v>
      </c>
      <c r="E1427" s="50">
        <f>SUMIFS(INDEX(Техника!$F$1:$ABM$500,E$2,0),Техника!$F$4:$ABM$4,"Часы",INDEX(Техника!$G$1:$ABN$500,E$2,0),$A$1425,INDEX(Техника!$H$1:$ABO$500,E$2,0),"Д")</f>
        <v>0</v>
      </c>
      <c r="F1427" s="50">
        <f>SUMIFS(INDEX(Техника!$F$1:$ABM$500,F$2,0),Техника!$F$4:$ABM$4,"Часы",INDEX(Техника!$G$1:$ABN$500,F$2,0),$A$1425,INDEX(Техника!$H$1:$ABO$500,F$2,0),"Д")</f>
        <v>0</v>
      </c>
      <c r="G1427" s="50">
        <f>SUMIFS(INDEX(Техника!$F$1:$ABM$500,G$2,0),Техника!$F$4:$ABM$4,"Часы",INDEX(Техника!$G$1:$ABN$500,G$2,0),$A$1425,INDEX(Техника!$H$1:$ABO$500,G$2,0),"Д")</f>
        <v>0</v>
      </c>
      <c r="H1427" s="50">
        <f>SUMIFS(INDEX(Техника!$F$1:$ABM$500,H$2,0),Техника!$F$4:$ABM$4,"Часы",INDEX(Техника!$G$1:$ABN$500,H$2,0),$A$1425,INDEX(Техника!$H$1:$ABO$500,H$2,0),"Д")</f>
        <v>0</v>
      </c>
      <c r="I1427" s="50">
        <f>SUMIFS(INDEX(Техника!$F$1:$ABM$500,I$2,0),Техника!$F$4:$ABM$4,"Часы",INDEX(Техника!$G$1:$ABN$500,I$2,0),$A$1425,INDEX(Техника!$H$1:$ABO$500,I$2,0),"Д")</f>
        <v>0</v>
      </c>
      <c r="J1427" s="50">
        <f>SUMIFS(INDEX(Техника!$F$1:$ABM$500,J$2,0),Техника!$F$4:$ABM$4,"Часы",INDEX(Техника!$G$1:$ABN$500,J$2,0),$A$1425,INDEX(Техника!$H$1:$ABO$500,J$2,0),"Д")</f>
        <v>0</v>
      </c>
      <c r="K1427" s="50">
        <f>SUMIFS(INDEX(Техника!$F$1:$ABM$500,K$2,0),Техника!$F$4:$ABM$4,"Часы",INDEX(Техника!$G$1:$ABN$500,K$2,0),$A$1425,INDEX(Техника!$H$1:$ABO$500,K$2,0),"Д")</f>
        <v>0</v>
      </c>
      <c r="L1427" s="50">
        <f>SUMIFS(INDEX(Техника!$F$1:$ABM$500,L$2,0),Техника!$F$4:$ABM$4,"Часы",INDEX(Техника!$G$1:$ABN$500,L$2,0),$A$1425,INDEX(Техника!$H$1:$ABO$500,L$2,0),"Д")</f>
        <v>0</v>
      </c>
      <c r="M1427" s="50">
        <f>SUMIFS(INDEX(Техника!$F$1:$ABM$500,M$2,0),Техника!$F$4:$ABM$4,"Часы",INDEX(Техника!$G$1:$ABN$500,M$2,0),$A$1425,INDEX(Техника!$H$1:$ABO$500,M$2,0),"Д")</f>
        <v>0</v>
      </c>
      <c r="N1427" s="50">
        <f>SUMIFS(INDEX(Техника!$F$1:$ABM$500,N$2,0),Техника!$F$4:$ABM$4,"Часы",INDEX(Техника!$G$1:$ABN$500,N$2,0),$A$1425,INDEX(Техника!$H$1:$ABO$500,N$2,0),"Д")</f>
        <v>0</v>
      </c>
      <c r="O1427" s="50">
        <f>SUMIFS(INDEX(Техника!$F$1:$ABM$500,O$2,0),Техника!$F$4:$ABM$4,"Часы",INDEX(Техника!$G$1:$ABN$500,O$2,0),$A$1425,INDEX(Техника!$H$1:$ABO$500,O$2,0),"Д")</f>
        <v>0</v>
      </c>
      <c r="P1427" s="50">
        <f>SUMIFS(INDEX(Техника!$F$1:$ABM$500,P$2,0),Техника!$F$4:$ABM$4,"Часы",INDEX(Техника!$G$1:$ABN$500,P$2,0),$A$1425,INDEX(Техника!$H$1:$ABO$500,P$2,0),"Д")</f>
        <v>0</v>
      </c>
      <c r="Q1427" s="50">
        <f>SUMIFS(INDEX(Техника!$F$1:$ABM$500,Q$2,0),Техника!$F$4:$ABM$4,"Часы",INDEX(Техника!$G$1:$ABN$500,Q$2,0),$A$1425,INDEX(Техника!$H$1:$ABO$500,Q$2,0),"Д")</f>
        <v>0</v>
      </c>
      <c r="R1427" s="50">
        <f>SUMIFS(INDEX(Техника!$F$1:$ABM$500,R$2,0),Техника!$F$4:$ABM$4,"Часы",INDEX(Техника!$G$1:$ABN$500,R$2,0),$A$1425,INDEX(Техника!$H$1:$ABO$500,R$2,0),"Д")</f>
        <v>0</v>
      </c>
      <c r="S1427" s="50">
        <f>SUMIFS(INDEX(Техника!$F$1:$ABM$500,S$2,0),Техника!$F$4:$ABM$4,"Часы",INDEX(Техника!$G$1:$ABN$500,S$2,0),$A$1425,INDEX(Техника!$H$1:$ABO$500,S$2,0),"Д")</f>
        <v>0</v>
      </c>
      <c r="T1427" s="50">
        <f>SUMIFS(INDEX(Техника!$F$1:$ABM$500,T$2,0),Техника!$F$4:$ABM$4,"Часы",INDEX(Техника!$G$1:$ABN$500,T$2,0),$A$1425,INDEX(Техника!$H$1:$ABO$500,T$2,0),"Д")</f>
        <v>0</v>
      </c>
      <c r="U1427" s="50">
        <f>SUMIFS(INDEX(Техника!$F$1:$ABM$500,U$2,0),Техника!$F$4:$ABM$4,"Часы",INDEX(Техника!$G$1:$ABN$500,U$2,0),$A$1425,INDEX(Техника!$H$1:$ABO$500,U$2,0),"Д")</f>
        <v>0</v>
      </c>
      <c r="V1427" s="50">
        <f>SUMIFS(INDEX(Техника!$F$1:$ABM$500,V$2,0),Техника!$F$4:$ABM$4,"Часы",INDEX(Техника!$G$1:$ABN$500,V$2,0),$A$1425,INDEX(Техника!$H$1:$ABO$500,V$2,0),"Д")</f>
        <v>0</v>
      </c>
      <c r="W1427" s="50">
        <f>SUMIFS(INDEX(Техника!$F$1:$ABM$500,W$2,0),Техника!$F$4:$ABM$4,"Часы",INDEX(Техника!$G$1:$ABN$500,W$2,0),$A$1425,INDEX(Техника!$H$1:$ABO$500,W$2,0),"Д")</f>
        <v>0</v>
      </c>
      <c r="X1427" s="50">
        <f>SUMIFS(INDEX(Техника!$F$1:$ABM$500,X$2,0),Техника!$F$4:$ABM$4,"Часы",INDEX(Техника!$G$1:$ABN$500,X$2,0),$A$1425,INDEX(Техника!$H$1:$ABO$500,X$2,0),"Д")</f>
        <v>0</v>
      </c>
      <c r="Y1427" s="50">
        <f>SUMIFS(INDEX(Техника!$F$1:$ABM$500,Y$2,0),Техника!$F$4:$ABM$4,"Часы",INDEX(Техника!$G$1:$ABN$500,Y$2,0),$A$1425,INDEX(Техника!$H$1:$ABO$500,Y$2,0),"Д")</f>
        <v>0</v>
      </c>
      <c r="Z1427" s="50">
        <f>SUMIFS(INDEX(Техника!$F$1:$ABM$500,Z$2,0),Техника!$F$4:$ABM$4,"Часы",INDEX(Техника!$G$1:$ABN$500,Z$2,0),$A$1425,INDEX(Техника!$H$1:$ABO$500,Z$2,0),"Д")</f>
        <v>0</v>
      </c>
      <c r="AA1427" s="50">
        <f>SUMIFS(INDEX(Техника!$F$1:$ABM$500,AA$2,0),Техника!$F$4:$ABM$4,"Часы",INDEX(Техника!$G$1:$ABN$500,AA$2,0),$A$1425,INDEX(Техника!$H$1:$ABO$500,AA$2,0),"Д")</f>
        <v>0</v>
      </c>
      <c r="AB1427" s="50">
        <f>SUMIFS(INDEX(Техника!$F$1:$ABM$500,AB$2,0),Техника!$F$4:$ABM$4,"Часы",INDEX(Техника!$G$1:$ABN$500,AB$2,0),$A$1425,INDEX(Техника!$H$1:$ABO$500,AB$2,0),"Д")</f>
        <v>0</v>
      </c>
    </row>
    <row r="1428" spans="1:28" hidden="1" outlineLevel="1" x14ac:dyDescent="0.3">
      <c r="A1428" s="33" t="s">
        <v>276</v>
      </c>
      <c r="B1428" s="34" t="s">
        <v>277</v>
      </c>
      <c r="C1428" s="50">
        <f>SUMIFS(INDEX(Техника!$F$1:$ABM$500,C$2,0),Техника!$F$4:$ABM$4,"Часы",INDEX(Техника!$G$1:$ABN$500,C$2,0),$A$1425,INDEX(Техника!$H$1:$ABO$500,C$2,0),"П")</f>
        <v>0</v>
      </c>
      <c r="D1428" s="50">
        <f>SUMIFS(INDEX(Техника!$F$1:$ABM$500,D$2,0),Техника!$F$4:$ABM$4,"Часы",INDEX(Техника!$G$1:$ABN$500,D$2,0),$A$1425,INDEX(Техника!$H$1:$ABO$500,D$2,0),"П")</f>
        <v>0</v>
      </c>
      <c r="E1428" s="50">
        <f>SUMIFS(INDEX(Техника!$F$1:$ABM$500,E$2,0),Техника!$F$4:$ABM$4,"Часы",INDEX(Техника!$G$1:$ABN$500,E$2,0),$A$1425,INDEX(Техника!$H$1:$ABO$500,E$2,0),"П")</f>
        <v>0</v>
      </c>
      <c r="F1428" s="50">
        <f>SUMIFS(INDEX(Техника!$F$1:$ABM$500,F$2,0),Техника!$F$4:$ABM$4,"Часы",INDEX(Техника!$G$1:$ABN$500,F$2,0),$A$1425,INDEX(Техника!$H$1:$ABO$500,F$2,0),"П")</f>
        <v>0</v>
      </c>
      <c r="G1428" s="50">
        <f>SUMIFS(INDEX(Техника!$F$1:$ABM$500,G$2,0),Техника!$F$4:$ABM$4,"Часы",INDEX(Техника!$G$1:$ABN$500,G$2,0),$A$1425,INDEX(Техника!$H$1:$ABO$500,G$2,0),"П")</f>
        <v>0</v>
      </c>
      <c r="H1428" s="50">
        <f>SUMIFS(INDEX(Техника!$F$1:$ABM$500,H$2,0),Техника!$F$4:$ABM$4,"Часы",INDEX(Техника!$G$1:$ABN$500,H$2,0),$A$1425,INDEX(Техника!$H$1:$ABO$500,H$2,0),"П")</f>
        <v>0</v>
      </c>
      <c r="I1428" s="50">
        <f>SUMIFS(INDEX(Техника!$F$1:$ABM$500,I$2,0),Техника!$F$4:$ABM$4,"Часы",INDEX(Техника!$G$1:$ABN$500,I$2,0),$A$1425,INDEX(Техника!$H$1:$ABO$500,I$2,0),"П")</f>
        <v>0</v>
      </c>
      <c r="J1428" s="50">
        <f>SUMIFS(INDEX(Техника!$F$1:$ABM$500,J$2,0),Техника!$F$4:$ABM$4,"Часы",INDEX(Техника!$G$1:$ABN$500,J$2,0),$A$1425,INDEX(Техника!$H$1:$ABO$500,J$2,0),"П")</f>
        <v>0</v>
      </c>
      <c r="K1428" s="50">
        <f>SUMIFS(INDEX(Техника!$F$1:$ABM$500,K$2,0),Техника!$F$4:$ABM$4,"Часы",INDEX(Техника!$G$1:$ABN$500,K$2,0),$A$1425,INDEX(Техника!$H$1:$ABO$500,K$2,0),"П")</f>
        <v>0</v>
      </c>
      <c r="L1428" s="50">
        <f>SUMIFS(INDEX(Техника!$F$1:$ABM$500,L$2,0),Техника!$F$4:$ABM$4,"Часы",INDEX(Техника!$G$1:$ABN$500,L$2,0),$A$1425,INDEX(Техника!$H$1:$ABO$500,L$2,0),"П")</f>
        <v>0</v>
      </c>
      <c r="M1428" s="50">
        <f>SUMIFS(INDEX(Техника!$F$1:$ABM$500,M$2,0),Техника!$F$4:$ABM$4,"Часы",INDEX(Техника!$G$1:$ABN$500,M$2,0),$A$1425,INDEX(Техника!$H$1:$ABO$500,M$2,0),"П")</f>
        <v>0</v>
      </c>
      <c r="N1428" s="50">
        <f>SUMIFS(INDEX(Техника!$F$1:$ABM$500,N$2,0),Техника!$F$4:$ABM$4,"Часы",INDEX(Техника!$G$1:$ABN$500,N$2,0),$A$1425,INDEX(Техника!$H$1:$ABO$500,N$2,0),"П")</f>
        <v>0</v>
      </c>
      <c r="O1428" s="50">
        <f>SUMIFS(INDEX(Техника!$F$1:$ABM$500,O$2,0),Техника!$F$4:$ABM$4,"Часы",INDEX(Техника!$G$1:$ABN$500,O$2,0),$A$1425,INDEX(Техника!$H$1:$ABO$500,O$2,0),"П")</f>
        <v>0</v>
      </c>
      <c r="P1428" s="50">
        <f>SUMIFS(INDEX(Техника!$F$1:$ABM$500,P$2,0),Техника!$F$4:$ABM$4,"Часы",INDEX(Техника!$G$1:$ABN$500,P$2,0),$A$1425,INDEX(Техника!$H$1:$ABO$500,P$2,0),"П")</f>
        <v>0</v>
      </c>
      <c r="Q1428" s="50">
        <f>SUMIFS(INDEX(Техника!$F$1:$ABM$500,Q$2,0),Техника!$F$4:$ABM$4,"Часы",INDEX(Техника!$G$1:$ABN$500,Q$2,0),$A$1425,INDEX(Техника!$H$1:$ABO$500,Q$2,0),"П")</f>
        <v>0</v>
      </c>
      <c r="R1428" s="50">
        <f>SUMIFS(INDEX(Техника!$F$1:$ABM$500,R$2,0),Техника!$F$4:$ABM$4,"Часы",INDEX(Техника!$G$1:$ABN$500,R$2,0),$A$1425,INDEX(Техника!$H$1:$ABO$500,R$2,0),"П")</f>
        <v>0</v>
      </c>
      <c r="S1428" s="50">
        <f>SUMIFS(INDEX(Техника!$F$1:$ABM$500,S$2,0),Техника!$F$4:$ABM$4,"Часы",INDEX(Техника!$G$1:$ABN$500,S$2,0),$A$1425,INDEX(Техника!$H$1:$ABO$500,S$2,0),"П")</f>
        <v>0</v>
      </c>
      <c r="T1428" s="50">
        <f>SUMIFS(INDEX(Техника!$F$1:$ABM$500,T$2,0),Техника!$F$4:$ABM$4,"Часы",INDEX(Техника!$G$1:$ABN$500,T$2,0),$A$1425,INDEX(Техника!$H$1:$ABO$500,T$2,0),"П")</f>
        <v>0</v>
      </c>
      <c r="U1428" s="50">
        <f>SUMIFS(INDEX(Техника!$F$1:$ABM$500,U$2,0),Техника!$F$4:$ABM$4,"Часы",INDEX(Техника!$G$1:$ABN$500,U$2,0),$A$1425,INDEX(Техника!$H$1:$ABO$500,U$2,0),"П")</f>
        <v>0</v>
      </c>
      <c r="V1428" s="50">
        <f>SUMIFS(INDEX(Техника!$F$1:$ABM$500,V$2,0),Техника!$F$4:$ABM$4,"Часы",INDEX(Техника!$G$1:$ABN$500,V$2,0),$A$1425,INDEX(Техника!$H$1:$ABO$500,V$2,0),"П")</f>
        <v>0</v>
      </c>
      <c r="W1428" s="50">
        <f>SUMIFS(INDEX(Техника!$F$1:$ABM$500,W$2,0),Техника!$F$4:$ABM$4,"Часы",INDEX(Техника!$G$1:$ABN$500,W$2,0),$A$1425,INDEX(Техника!$H$1:$ABO$500,W$2,0),"П")</f>
        <v>0</v>
      </c>
      <c r="X1428" s="50">
        <f>SUMIFS(INDEX(Техника!$F$1:$ABM$500,X$2,0),Техника!$F$4:$ABM$4,"Часы",INDEX(Техника!$G$1:$ABN$500,X$2,0),$A$1425,INDEX(Техника!$H$1:$ABO$500,X$2,0),"П")</f>
        <v>0</v>
      </c>
      <c r="Y1428" s="50">
        <f>SUMIFS(INDEX(Техника!$F$1:$ABM$500,Y$2,0),Техника!$F$4:$ABM$4,"Часы",INDEX(Техника!$G$1:$ABN$500,Y$2,0),$A$1425,INDEX(Техника!$H$1:$ABO$500,Y$2,0),"П")</f>
        <v>0</v>
      </c>
      <c r="Z1428" s="50">
        <f>SUMIFS(INDEX(Техника!$F$1:$ABM$500,Z$2,0),Техника!$F$4:$ABM$4,"Часы",INDEX(Техника!$G$1:$ABN$500,Z$2,0),$A$1425,INDEX(Техника!$H$1:$ABO$500,Z$2,0),"П")</f>
        <v>0</v>
      </c>
      <c r="AA1428" s="50">
        <f>SUMIFS(INDEX(Техника!$F$1:$ABM$500,AA$2,0),Техника!$F$4:$ABM$4,"Часы",INDEX(Техника!$G$1:$ABN$500,AA$2,0),$A$1425,INDEX(Техника!$H$1:$ABO$500,AA$2,0),"П")</f>
        <v>0</v>
      </c>
      <c r="AB1428" s="50">
        <f>SUMIFS(INDEX(Техника!$F$1:$ABM$500,AB$2,0),Техника!$F$4:$ABM$4,"Часы",INDEX(Техника!$G$1:$ABN$500,AB$2,0),$A$1425,INDEX(Техника!$H$1:$ABO$500,AB$2,0),"П")</f>
        <v>0</v>
      </c>
    </row>
    <row r="1429" spans="1:28" hidden="1" outlineLevel="1" x14ac:dyDescent="0.3">
      <c r="A1429" s="33" t="s">
        <v>243</v>
      </c>
      <c r="B1429" s="34" t="s">
        <v>278</v>
      </c>
      <c r="C1429" s="50">
        <f>SUMIFS(INDEX(Техника!$F$1:$ABM$500,C$2,0),Техника!$F$4:$ABM$4,"Часы",INDEX(Техника!$G$1:$ABN$500,C$2,0),$A$1425,INDEX(Техника!$H$1:$ABO$500,C$2,0),"Л")</f>
        <v>0</v>
      </c>
      <c r="D1429" s="50">
        <f>SUMIFS(INDEX(Техника!$F$1:$ABM$500,D$2,0),Техника!$F$4:$ABM$4,"Часы",INDEX(Техника!$G$1:$ABN$500,D$2,0),$A$1425,INDEX(Техника!$H$1:$ABO$500,D$2,0),"Л")</f>
        <v>0</v>
      </c>
      <c r="E1429" s="50">
        <f>SUMIFS(INDEX(Техника!$F$1:$ABM$500,E$2,0),Техника!$F$4:$ABM$4,"Часы",INDEX(Техника!$G$1:$ABN$500,E$2,0),$A$1425,INDEX(Техника!$H$1:$ABO$500,E$2,0),"Л")</f>
        <v>0</v>
      </c>
      <c r="F1429" s="50">
        <f>SUMIFS(INDEX(Техника!$F$1:$ABM$500,F$2,0),Техника!$F$4:$ABM$4,"Часы",INDEX(Техника!$G$1:$ABN$500,F$2,0),$A$1425,INDEX(Техника!$H$1:$ABO$500,F$2,0),"Л")</f>
        <v>0</v>
      </c>
      <c r="G1429" s="50">
        <f>SUMIFS(INDEX(Техника!$F$1:$ABM$500,G$2,0),Техника!$F$4:$ABM$4,"Часы",INDEX(Техника!$G$1:$ABN$500,G$2,0),$A$1425,INDEX(Техника!$H$1:$ABO$500,G$2,0),"Л")</f>
        <v>0</v>
      </c>
      <c r="H1429" s="50">
        <f>SUMIFS(INDEX(Техника!$F$1:$ABM$500,H$2,0),Техника!$F$4:$ABM$4,"Часы",INDEX(Техника!$G$1:$ABN$500,H$2,0),$A$1425,INDEX(Техника!$H$1:$ABO$500,H$2,0),"Л")</f>
        <v>0</v>
      </c>
      <c r="I1429" s="50">
        <f>SUMIFS(INDEX(Техника!$F$1:$ABM$500,I$2,0),Техника!$F$4:$ABM$4,"Часы",INDEX(Техника!$G$1:$ABN$500,I$2,0),$A$1425,INDEX(Техника!$H$1:$ABO$500,I$2,0),"Л")</f>
        <v>0</v>
      </c>
      <c r="J1429" s="50">
        <f>SUMIFS(INDEX(Техника!$F$1:$ABM$500,J$2,0),Техника!$F$4:$ABM$4,"Часы",INDEX(Техника!$G$1:$ABN$500,J$2,0),$A$1425,INDEX(Техника!$H$1:$ABO$500,J$2,0),"Л")</f>
        <v>0</v>
      </c>
      <c r="K1429" s="50">
        <f>SUMIFS(INDEX(Техника!$F$1:$ABM$500,K$2,0),Техника!$F$4:$ABM$4,"Часы",INDEX(Техника!$G$1:$ABN$500,K$2,0),$A$1425,INDEX(Техника!$H$1:$ABO$500,K$2,0),"Л")</f>
        <v>0</v>
      </c>
      <c r="L1429" s="50">
        <f>SUMIFS(INDEX(Техника!$F$1:$ABM$500,L$2,0),Техника!$F$4:$ABM$4,"Часы",INDEX(Техника!$G$1:$ABN$500,L$2,0),$A$1425,INDEX(Техника!$H$1:$ABO$500,L$2,0),"Л")</f>
        <v>0</v>
      </c>
      <c r="M1429" s="50">
        <f>SUMIFS(INDEX(Техника!$F$1:$ABM$500,M$2,0),Техника!$F$4:$ABM$4,"Часы",INDEX(Техника!$G$1:$ABN$500,M$2,0),$A$1425,INDEX(Техника!$H$1:$ABO$500,M$2,0),"Л")</f>
        <v>0</v>
      </c>
      <c r="N1429" s="50">
        <f>SUMIFS(INDEX(Техника!$F$1:$ABM$500,N$2,0),Техника!$F$4:$ABM$4,"Часы",INDEX(Техника!$G$1:$ABN$500,N$2,0),$A$1425,INDEX(Техника!$H$1:$ABO$500,N$2,0),"Л")</f>
        <v>0</v>
      </c>
      <c r="O1429" s="50">
        <f>SUMIFS(INDEX(Техника!$F$1:$ABM$500,O$2,0),Техника!$F$4:$ABM$4,"Часы",INDEX(Техника!$G$1:$ABN$500,O$2,0),$A$1425,INDEX(Техника!$H$1:$ABO$500,O$2,0),"Л")</f>
        <v>0</v>
      </c>
      <c r="P1429" s="50">
        <f>SUMIFS(INDEX(Техника!$F$1:$ABM$500,P$2,0),Техника!$F$4:$ABM$4,"Часы",INDEX(Техника!$G$1:$ABN$500,P$2,0),$A$1425,INDEX(Техника!$H$1:$ABO$500,P$2,0),"Л")</f>
        <v>0</v>
      </c>
      <c r="Q1429" s="50">
        <f>SUMIFS(INDEX(Техника!$F$1:$ABM$500,Q$2,0),Техника!$F$4:$ABM$4,"Часы",INDEX(Техника!$G$1:$ABN$500,Q$2,0),$A$1425,INDEX(Техника!$H$1:$ABO$500,Q$2,0),"Л")</f>
        <v>0</v>
      </c>
      <c r="R1429" s="50">
        <f>SUMIFS(INDEX(Техника!$F$1:$ABM$500,R$2,0),Техника!$F$4:$ABM$4,"Часы",INDEX(Техника!$G$1:$ABN$500,R$2,0),$A$1425,INDEX(Техника!$H$1:$ABO$500,R$2,0),"Л")</f>
        <v>0</v>
      </c>
      <c r="S1429" s="50">
        <f>SUMIFS(INDEX(Техника!$F$1:$ABM$500,S$2,0),Техника!$F$4:$ABM$4,"Часы",INDEX(Техника!$G$1:$ABN$500,S$2,0),$A$1425,INDEX(Техника!$H$1:$ABO$500,S$2,0),"Л")</f>
        <v>0</v>
      </c>
      <c r="T1429" s="50">
        <f>SUMIFS(INDEX(Техника!$F$1:$ABM$500,T$2,0),Техника!$F$4:$ABM$4,"Часы",INDEX(Техника!$G$1:$ABN$500,T$2,0),$A$1425,INDEX(Техника!$H$1:$ABO$500,T$2,0),"Л")</f>
        <v>0</v>
      </c>
      <c r="U1429" s="50">
        <f>SUMIFS(INDEX(Техника!$F$1:$ABM$500,U$2,0),Техника!$F$4:$ABM$4,"Часы",INDEX(Техника!$G$1:$ABN$500,U$2,0),$A$1425,INDEX(Техника!$H$1:$ABO$500,U$2,0),"Л")</f>
        <v>0</v>
      </c>
      <c r="V1429" s="50">
        <f>SUMIFS(INDEX(Техника!$F$1:$ABM$500,V$2,0),Техника!$F$4:$ABM$4,"Часы",INDEX(Техника!$G$1:$ABN$500,V$2,0),$A$1425,INDEX(Техника!$H$1:$ABO$500,V$2,0),"Л")</f>
        <v>0</v>
      </c>
      <c r="W1429" s="50">
        <f>SUMIFS(INDEX(Техника!$F$1:$ABM$500,W$2,0),Техника!$F$4:$ABM$4,"Часы",INDEX(Техника!$G$1:$ABN$500,W$2,0),$A$1425,INDEX(Техника!$H$1:$ABO$500,W$2,0),"Л")</f>
        <v>0</v>
      </c>
      <c r="X1429" s="50">
        <f>SUMIFS(INDEX(Техника!$F$1:$ABM$500,X$2,0),Техника!$F$4:$ABM$4,"Часы",INDEX(Техника!$G$1:$ABN$500,X$2,0),$A$1425,INDEX(Техника!$H$1:$ABO$500,X$2,0),"Л")</f>
        <v>0</v>
      </c>
      <c r="Y1429" s="50">
        <f>SUMIFS(INDEX(Техника!$F$1:$ABM$500,Y$2,0),Техника!$F$4:$ABM$4,"Часы",INDEX(Техника!$G$1:$ABN$500,Y$2,0),$A$1425,INDEX(Техника!$H$1:$ABO$500,Y$2,0),"Л")</f>
        <v>0</v>
      </c>
      <c r="Z1429" s="50">
        <f>SUMIFS(INDEX(Техника!$F$1:$ABM$500,Z$2,0),Техника!$F$4:$ABM$4,"Часы",INDEX(Техника!$G$1:$ABN$500,Z$2,0),$A$1425,INDEX(Техника!$H$1:$ABO$500,Z$2,0),"Л")</f>
        <v>0</v>
      </c>
      <c r="AA1429" s="50">
        <f>SUMIFS(INDEX(Техника!$F$1:$ABM$500,AA$2,0),Техника!$F$4:$ABM$4,"Часы",INDEX(Техника!$G$1:$ABN$500,AA$2,0),$A$1425,INDEX(Техника!$H$1:$ABO$500,AA$2,0),"Л")</f>
        <v>0</v>
      </c>
      <c r="AB1429" s="50">
        <f>SUMIFS(INDEX(Техника!$F$1:$ABM$500,AB$2,0),Техника!$F$4:$ABM$4,"Часы",INDEX(Техника!$G$1:$ABN$500,AB$2,0),$A$1425,INDEX(Техника!$H$1:$ABO$500,AB$2,0),"Л")</f>
        <v>0</v>
      </c>
    </row>
    <row r="1430" spans="1:28" hidden="1" outlineLevel="1" x14ac:dyDescent="0.3">
      <c r="A1430" s="33" t="s">
        <v>245</v>
      </c>
      <c r="B1430" s="34" t="s">
        <v>279</v>
      </c>
      <c r="C1430" s="50">
        <f>SUMIFS(INDEX(Техника!$F$1:$ABM$500,C$2,0),Техника!$F$4:$ABM$4,"Часы",INDEX(Техника!$G$1:$ABN$500,C$2,0),$A$1425,INDEX(Техника!$H$1:$ABO$500,C$2,0),"З")</f>
        <v>0</v>
      </c>
      <c r="D1430" s="50">
        <f>SUMIFS(INDEX(Техника!$F$1:$ABM$500,D$2,0),Техника!$F$4:$ABM$4,"Часы",INDEX(Техника!$G$1:$ABN$500,D$2,0),$A$1425,INDEX(Техника!$H$1:$ABO$500,D$2,0),"З")</f>
        <v>0</v>
      </c>
      <c r="E1430" s="50">
        <f>SUMIFS(INDEX(Техника!$F$1:$ABM$500,E$2,0),Техника!$F$4:$ABM$4,"Часы",INDEX(Техника!$G$1:$ABN$500,E$2,0),$A$1425,INDEX(Техника!$H$1:$ABO$500,E$2,0),"З")</f>
        <v>0</v>
      </c>
      <c r="F1430" s="50">
        <f>SUMIFS(INDEX(Техника!$F$1:$ABM$500,F$2,0),Техника!$F$4:$ABM$4,"Часы",INDEX(Техника!$G$1:$ABN$500,F$2,0),$A$1425,INDEX(Техника!$H$1:$ABO$500,F$2,0),"З")</f>
        <v>0</v>
      </c>
      <c r="G1430" s="50">
        <f>SUMIFS(INDEX(Техника!$F$1:$ABM$500,G$2,0),Техника!$F$4:$ABM$4,"Часы",INDEX(Техника!$G$1:$ABN$500,G$2,0),$A$1425,INDEX(Техника!$H$1:$ABO$500,G$2,0),"З")</f>
        <v>0</v>
      </c>
      <c r="H1430" s="50">
        <f>SUMIFS(INDEX(Техника!$F$1:$ABM$500,H$2,0),Техника!$F$4:$ABM$4,"Часы",INDEX(Техника!$G$1:$ABN$500,H$2,0),$A$1425,INDEX(Техника!$H$1:$ABO$500,H$2,0),"З")</f>
        <v>0</v>
      </c>
      <c r="I1430" s="50">
        <f>SUMIFS(INDEX(Техника!$F$1:$ABM$500,I$2,0),Техника!$F$4:$ABM$4,"Часы",INDEX(Техника!$G$1:$ABN$500,I$2,0),$A$1425,INDEX(Техника!$H$1:$ABO$500,I$2,0),"З")</f>
        <v>0</v>
      </c>
      <c r="J1430" s="50">
        <f>SUMIFS(INDEX(Техника!$F$1:$ABM$500,J$2,0),Техника!$F$4:$ABM$4,"Часы",INDEX(Техника!$G$1:$ABN$500,J$2,0),$A$1425,INDEX(Техника!$H$1:$ABO$500,J$2,0),"З")</f>
        <v>0</v>
      </c>
      <c r="K1430" s="50">
        <f>SUMIFS(INDEX(Техника!$F$1:$ABM$500,K$2,0),Техника!$F$4:$ABM$4,"Часы",INDEX(Техника!$G$1:$ABN$500,K$2,0),$A$1425,INDEX(Техника!$H$1:$ABO$500,K$2,0),"З")</f>
        <v>0</v>
      </c>
      <c r="L1430" s="50">
        <f>SUMIFS(INDEX(Техника!$F$1:$ABM$500,L$2,0),Техника!$F$4:$ABM$4,"Часы",INDEX(Техника!$G$1:$ABN$500,L$2,0),$A$1425,INDEX(Техника!$H$1:$ABO$500,L$2,0),"З")</f>
        <v>0</v>
      </c>
      <c r="M1430" s="50">
        <f>SUMIFS(INDEX(Техника!$F$1:$ABM$500,M$2,0),Техника!$F$4:$ABM$4,"Часы",INDEX(Техника!$G$1:$ABN$500,M$2,0),$A$1425,INDEX(Техника!$H$1:$ABO$500,M$2,0),"З")</f>
        <v>0</v>
      </c>
      <c r="N1430" s="50">
        <f>SUMIFS(INDEX(Техника!$F$1:$ABM$500,N$2,0),Техника!$F$4:$ABM$4,"Часы",INDEX(Техника!$G$1:$ABN$500,N$2,0),$A$1425,INDEX(Техника!$H$1:$ABO$500,N$2,0),"З")</f>
        <v>0</v>
      </c>
      <c r="O1430" s="50">
        <f>SUMIFS(INDEX(Техника!$F$1:$ABM$500,O$2,0),Техника!$F$4:$ABM$4,"Часы",INDEX(Техника!$G$1:$ABN$500,O$2,0),$A$1425,INDEX(Техника!$H$1:$ABO$500,O$2,0),"З")</f>
        <v>0</v>
      </c>
      <c r="P1430" s="50">
        <f>SUMIFS(INDEX(Техника!$F$1:$ABM$500,P$2,0),Техника!$F$4:$ABM$4,"Часы",INDEX(Техника!$G$1:$ABN$500,P$2,0),$A$1425,INDEX(Техника!$H$1:$ABO$500,P$2,0),"З")</f>
        <v>0</v>
      </c>
      <c r="Q1430" s="50">
        <f>SUMIFS(INDEX(Техника!$F$1:$ABM$500,Q$2,0),Техника!$F$4:$ABM$4,"Часы",INDEX(Техника!$G$1:$ABN$500,Q$2,0),$A$1425,INDEX(Техника!$H$1:$ABO$500,Q$2,0),"З")</f>
        <v>0</v>
      </c>
      <c r="R1430" s="50">
        <f>SUMIFS(INDEX(Техника!$F$1:$ABM$500,R$2,0),Техника!$F$4:$ABM$4,"Часы",INDEX(Техника!$G$1:$ABN$500,R$2,0),$A$1425,INDEX(Техника!$H$1:$ABO$500,R$2,0),"З")</f>
        <v>0</v>
      </c>
      <c r="S1430" s="50">
        <f>SUMIFS(INDEX(Техника!$F$1:$ABM$500,S$2,0),Техника!$F$4:$ABM$4,"Часы",INDEX(Техника!$G$1:$ABN$500,S$2,0),$A$1425,INDEX(Техника!$H$1:$ABO$500,S$2,0),"З")</f>
        <v>0</v>
      </c>
      <c r="T1430" s="50">
        <f>SUMIFS(INDEX(Техника!$F$1:$ABM$500,T$2,0),Техника!$F$4:$ABM$4,"Часы",INDEX(Техника!$G$1:$ABN$500,T$2,0),$A$1425,INDEX(Техника!$H$1:$ABO$500,T$2,0),"З")</f>
        <v>0</v>
      </c>
      <c r="U1430" s="50">
        <f>SUMIFS(INDEX(Техника!$F$1:$ABM$500,U$2,0),Техника!$F$4:$ABM$4,"Часы",INDEX(Техника!$G$1:$ABN$500,U$2,0),$A$1425,INDEX(Техника!$H$1:$ABO$500,U$2,0),"З")</f>
        <v>0</v>
      </c>
      <c r="V1430" s="50">
        <f>SUMIFS(INDEX(Техника!$F$1:$ABM$500,V$2,0),Техника!$F$4:$ABM$4,"Часы",INDEX(Техника!$G$1:$ABN$500,V$2,0),$A$1425,INDEX(Техника!$H$1:$ABO$500,V$2,0),"З")</f>
        <v>0</v>
      </c>
      <c r="W1430" s="50">
        <f>SUMIFS(INDEX(Техника!$F$1:$ABM$500,W$2,0),Техника!$F$4:$ABM$4,"Часы",INDEX(Техника!$G$1:$ABN$500,W$2,0),$A$1425,INDEX(Техника!$H$1:$ABO$500,W$2,0),"З")</f>
        <v>0</v>
      </c>
      <c r="X1430" s="50">
        <f>SUMIFS(INDEX(Техника!$F$1:$ABM$500,X$2,0),Техника!$F$4:$ABM$4,"Часы",INDEX(Техника!$G$1:$ABN$500,X$2,0),$A$1425,INDEX(Техника!$H$1:$ABO$500,X$2,0),"З")</f>
        <v>0</v>
      </c>
      <c r="Y1430" s="50">
        <f>SUMIFS(INDEX(Техника!$F$1:$ABM$500,Y$2,0),Техника!$F$4:$ABM$4,"Часы",INDEX(Техника!$G$1:$ABN$500,Y$2,0),$A$1425,INDEX(Техника!$H$1:$ABO$500,Y$2,0),"З")</f>
        <v>0</v>
      </c>
      <c r="Z1430" s="50">
        <f>SUMIFS(INDEX(Техника!$F$1:$ABM$500,Z$2,0),Техника!$F$4:$ABM$4,"Часы",INDEX(Техника!$G$1:$ABN$500,Z$2,0),$A$1425,INDEX(Техника!$H$1:$ABO$500,Z$2,0),"З")</f>
        <v>0</v>
      </c>
      <c r="AA1430" s="50">
        <f>SUMIFS(INDEX(Техника!$F$1:$ABM$500,AA$2,0),Техника!$F$4:$ABM$4,"Часы",INDEX(Техника!$G$1:$ABN$500,AA$2,0),$A$1425,INDEX(Техника!$H$1:$ABO$500,AA$2,0),"З")</f>
        <v>0</v>
      </c>
      <c r="AB1430" s="50">
        <f>SUMIFS(INDEX(Техника!$F$1:$ABM$500,AB$2,0),Техника!$F$4:$ABM$4,"Часы",INDEX(Техника!$G$1:$ABN$500,AB$2,0),$A$1425,INDEX(Техника!$H$1:$ABO$500,AB$2,0),"З")</f>
        <v>0</v>
      </c>
    </row>
    <row r="1431" spans="1:28" ht="7.95" customHeight="1" x14ac:dyDescent="0.3">
      <c r="A1431" s="38"/>
      <c r="B1431" s="39"/>
      <c r="C1431" s="51"/>
      <c r="D1431" s="51"/>
      <c r="E1431" s="51"/>
      <c r="F1431" s="51"/>
      <c r="G1431" s="51"/>
      <c r="H1431" s="51"/>
      <c r="I1431" s="51"/>
      <c r="J1431" s="51"/>
      <c r="K1431" s="51"/>
      <c r="L1431" s="51"/>
      <c r="M1431" s="51"/>
      <c r="N1431" s="51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</row>
    <row r="1432" spans="1:28" ht="25.05" customHeight="1" collapsed="1" x14ac:dyDescent="0.3">
      <c r="A1432" s="32">
        <v>205</v>
      </c>
      <c r="B1432" s="32" t="s">
        <v>206</v>
      </c>
      <c r="C1432" s="49">
        <f>SUM(C1433:C1437)</f>
        <v>0</v>
      </c>
      <c r="D1432" s="49">
        <f>SUM(D1433:D1437)</f>
        <v>0</v>
      </c>
      <c r="E1432" s="49">
        <f>SUM(E1433:E1437)</f>
        <v>0</v>
      </c>
      <c r="F1432" s="49">
        <f>SUM(F1433:F1437)</f>
        <v>0</v>
      </c>
      <c r="G1432" s="49">
        <f>SUM(G1433:G1437)</f>
        <v>0</v>
      </c>
      <c r="H1432" s="49">
        <f>SUM(H1433:H1437)</f>
        <v>0</v>
      </c>
      <c r="I1432" s="49">
        <f>SUM(I1433:I1437)</f>
        <v>0</v>
      </c>
      <c r="J1432" s="49">
        <f>SUM(J1433:J1437)</f>
        <v>0</v>
      </c>
      <c r="K1432" s="49">
        <f>SUM(K1433:K1437)</f>
        <v>0</v>
      </c>
      <c r="L1432" s="49">
        <f>SUM(L1433:L1437)</f>
        <v>0</v>
      </c>
      <c r="M1432" s="49">
        <f>SUM(M1433:M1437)</f>
        <v>0</v>
      </c>
      <c r="N1432" s="49">
        <f>SUM(N1433:N1437)</f>
        <v>0</v>
      </c>
      <c r="O1432" s="49">
        <f>SUM(O1433:O1437)</f>
        <v>0</v>
      </c>
      <c r="P1432" s="49">
        <f>SUM(P1433:P1437)</f>
        <v>0</v>
      </c>
      <c r="Q1432" s="49">
        <f>SUM(Q1433:Q1437)</f>
        <v>0</v>
      </c>
      <c r="R1432" s="49">
        <f>SUM(R1433:R1437)</f>
        <v>0</v>
      </c>
      <c r="S1432" s="49">
        <f>SUM(S1433:S1437)</f>
        <v>0</v>
      </c>
      <c r="T1432" s="49">
        <f>SUM(T1433:T1437)</f>
        <v>0</v>
      </c>
      <c r="U1432" s="49">
        <f>SUM(U1433:U1437)</f>
        <v>0</v>
      </c>
      <c r="V1432" s="49">
        <f>SUM(V1433:V1437)</f>
        <v>0</v>
      </c>
      <c r="W1432" s="49">
        <f>SUM(W1433:W1437)</f>
        <v>0</v>
      </c>
      <c r="X1432" s="49">
        <f>SUM(X1433:X1437)</f>
        <v>0</v>
      </c>
      <c r="Y1432" s="49">
        <f>SUM(Y1433:Y1437)</f>
        <v>0</v>
      </c>
      <c r="Z1432" s="49">
        <f>SUM(Z1433:Z1437)</f>
        <v>0</v>
      </c>
      <c r="AA1432" s="49">
        <f>SUM(AA1433:AA1437)</f>
        <v>0</v>
      </c>
      <c r="AB1432" s="49">
        <f>SUM(AB1433:AB1437)</f>
        <v>0</v>
      </c>
    </row>
    <row r="1433" spans="1:28" hidden="1" outlineLevel="1" x14ac:dyDescent="0.3">
      <c r="A1433" s="33" t="s">
        <v>246</v>
      </c>
      <c r="B1433" s="34" t="s">
        <v>274</v>
      </c>
      <c r="C1433" s="50">
        <f>SUMIFS(INDEX(Техника!$F$1:$ABM$500,C$2,0),Техника!$F$4:$ABM$4,"Часы",INDEX(Техника!$G$1:$ABN$500,C$2,0),$A$1432,INDEX(Техника!$H$1:$ABO$500,C$2,0),"М")</f>
        <v>0</v>
      </c>
      <c r="D1433" s="50">
        <f>SUMIFS(INDEX(Техника!$F$1:$ABM$500,D$2,0),Техника!$F$4:$ABM$4,"Часы",INDEX(Техника!$G$1:$ABN$500,D$2,0),$A$1432,INDEX(Техника!$H$1:$ABO$500,D$2,0),"М")</f>
        <v>0</v>
      </c>
      <c r="E1433" s="50">
        <f>SUMIFS(INDEX(Техника!$F$1:$ABM$500,E$2,0),Техника!$F$4:$ABM$4,"Часы",INDEX(Техника!$G$1:$ABN$500,E$2,0),$A$1432,INDEX(Техника!$H$1:$ABO$500,E$2,0),"М")</f>
        <v>0</v>
      </c>
      <c r="F1433" s="50">
        <f>SUMIFS(INDEX(Техника!$F$1:$ABM$500,F$2,0),Техника!$F$4:$ABM$4,"Часы",INDEX(Техника!$G$1:$ABN$500,F$2,0),$A$1432,INDEX(Техника!$H$1:$ABO$500,F$2,0),"М")</f>
        <v>0</v>
      </c>
      <c r="G1433" s="50">
        <f>SUMIFS(INDEX(Техника!$F$1:$ABM$500,G$2,0),Техника!$F$4:$ABM$4,"Часы",INDEX(Техника!$G$1:$ABN$500,G$2,0),$A$1432,INDEX(Техника!$H$1:$ABO$500,G$2,0),"М")</f>
        <v>0</v>
      </c>
      <c r="H1433" s="50">
        <f>SUMIFS(INDEX(Техника!$F$1:$ABM$500,H$2,0),Техника!$F$4:$ABM$4,"Часы",INDEX(Техника!$G$1:$ABN$500,H$2,0),$A$1432,INDEX(Техника!$H$1:$ABO$500,H$2,0),"М")</f>
        <v>0</v>
      </c>
      <c r="I1433" s="50">
        <f>SUMIFS(INDEX(Техника!$F$1:$ABM$500,I$2,0),Техника!$F$4:$ABM$4,"Часы",INDEX(Техника!$G$1:$ABN$500,I$2,0),$A$1432,INDEX(Техника!$H$1:$ABO$500,I$2,0),"М")</f>
        <v>0</v>
      </c>
      <c r="J1433" s="50">
        <f>SUMIFS(INDEX(Техника!$F$1:$ABM$500,J$2,0),Техника!$F$4:$ABM$4,"Часы",INDEX(Техника!$G$1:$ABN$500,J$2,0),$A$1432,INDEX(Техника!$H$1:$ABO$500,J$2,0),"М")</f>
        <v>0</v>
      </c>
      <c r="K1433" s="50">
        <f>SUMIFS(INDEX(Техника!$F$1:$ABM$500,K$2,0),Техника!$F$4:$ABM$4,"Часы",INDEX(Техника!$G$1:$ABN$500,K$2,0),$A$1432,INDEX(Техника!$H$1:$ABO$500,K$2,0),"М")</f>
        <v>0</v>
      </c>
      <c r="L1433" s="50">
        <f>SUMIFS(INDEX(Техника!$F$1:$ABM$500,L$2,0),Техника!$F$4:$ABM$4,"Часы",INDEX(Техника!$G$1:$ABN$500,L$2,0),$A$1432,INDEX(Техника!$H$1:$ABO$500,L$2,0),"М")</f>
        <v>0</v>
      </c>
      <c r="M1433" s="50">
        <f>SUMIFS(INDEX(Техника!$F$1:$ABM$500,M$2,0),Техника!$F$4:$ABM$4,"Часы",INDEX(Техника!$G$1:$ABN$500,M$2,0),$A$1432,INDEX(Техника!$H$1:$ABO$500,M$2,0),"М")</f>
        <v>0</v>
      </c>
      <c r="N1433" s="50">
        <f>SUMIFS(INDEX(Техника!$F$1:$ABM$500,N$2,0),Техника!$F$4:$ABM$4,"Часы",INDEX(Техника!$G$1:$ABN$500,N$2,0),$A$1432,INDEX(Техника!$H$1:$ABO$500,N$2,0),"М")</f>
        <v>0</v>
      </c>
      <c r="O1433" s="50">
        <f>SUMIFS(INDEX(Техника!$F$1:$ABM$500,O$2,0),Техника!$F$4:$ABM$4,"Часы",INDEX(Техника!$G$1:$ABN$500,O$2,0),$A$1432,INDEX(Техника!$H$1:$ABO$500,O$2,0),"М")</f>
        <v>0</v>
      </c>
      <c r="P1433" s="50">
        <f>SUMIFS(INDEX(Техника!$F$1:$ABM$500,P$2,0),Техника!$F$4:$ABM$4,"Часы",INDEX(Техника!$G$1:$ABN$500,P$2,0),$A$1432,INDEX(Техника!$H$1:$ABO$500,P$2,0),"М")</f>
        <v>0</v>
      </c>
      <c r="Q1433" s="50">
        <f>SUMIFS(INDEX(Техника!$F$1:$ABM$500,Q$2,0),Техника!$F$4:$ABM$4,"Часы",INDEX(Техника!$G$1:$ABN$500,Q$2,0),$A$1432,INDEX(Техника!$H$1:$ABO$500,Q$2,0),"М")</f>
        <v>0</v>
      </c>
      <c r="R1433" s="50">
        <f>SUMIFS(INDEX(Техника!$F$1:$ABM$500,R$2,0),Техника!$F$4:$ABM$4,"Часы",INDEX(Техника!$G$1:$ABN$500,R$2,0),$A$1432,INDEX(Техника!$H$1:$ABO$500,R$2,0),"М")</f>
        <v>0</v>
      </c>
      <c r="S1433" s="50">
        <f>SUMIFS(INDEX(Техника!$F$1:$ABM$500,S$2,0),Техника!$F$4:$ABM$4,"Часы",INDEX(Техника!$G$1:$ABN$500,S$2,0),$A$1432,INDEX(Техника!$H$1:$ABO$500,S$2,0),"М")</f>
        <v>0</v>
      </c>
      <c r="T1433" s="50">
        <f>SUMIFS(INDEX(Техника!$F$1:$ABM$500,T$2,0),Техника!$F$4:$ABM$4,"Часы",INDEX(Техника!$G$1:$ABN$500,T$2,0),$A$1432,INDEX(Техника!$H$1:$ABO$500,T$2,0),"М")</f>
        <v>0</v>
      </c>
      <c r="U1433" s="50">
        <f>SUMIFS(INDEX(Техника!$F$1:$ABM$500,U$2,0),Техника!$F$4:$ABM$4,"Часы",INDEX(Техника!$G$1:$ABN$500,U$2,0),$A$1432,INDEX(Техника!$H$1:$ABO$500,U$2,0),"М")</f>
        <v>0</v>
      </c>
      <c r="V1433" s="50">
        <f>SUMIFS(INDEX(Техника!$F$1:$ABM$500,V$2,0),Техника!$F$4:$ABM$4,"Часы",INDEX(Техника!$G$1:$ABN$500,V$2,0),$A$1432,INDEX(Техника!$H$1:$ABO$500,V$2,0),"М")</f>
        <v>0</v>
      </c>
      <c r="W1433" s="50">
        <f>SUMIFS(INDEX(Техника!$F$1:$ABM$500,W$2,0),Техника!$F$4:$ABM$4,"Часы",INDEX(Техника!$G$1:$ABN$500,W$2,0),$A$1432,INDEX(Техника!$H$1:$ABO$500,W$2,0),"М")</f>
        <v>0</v>
      </c>
      <c r="X1433" s="50">
        <f>SUMIFS(INDEX(Техника!$F$1:$ABM$500,X$2,0),Техника!$F$4:$ABM$4,"Часы",INDEX(Техника!$G$1:$ABN$500,X$2,0),$A$1432,INDEX(Техника!$H$1:$ABO$500,X$2,0),"М")</f>
        <v>0</v>
      </c>
      <c r="Y1433" s="50">
        <f>SUMIFS(INDEX(Техника!$F$1:$ABM$500,Y$2,0),Техника!$F$4:$ABM$4,"Часы",INDEX(Техника!$G$1:$ABN$500,Y$2,0),$A$1432,INDEX(Техника!$H$1:$ABO$500,Y$2,0),"М")</f>
        <v>0</v>
      </c>
      <c r="Z1433" s="50">
        <f>SUMIFS(INDEX(Техника!$F$1:$ABM$500,Z$2,0),Техника!$F$4:$ABM$4,"Часы",INDEX(Техника!$G$1:$ABN$500,Z$2,0),$A$1432,INDEX(Техника!$H$1:$ABO$500,Z$2,0),"М")</f>
        <v>0</v>
      </c>
      <c r="AA1433" s="50">
        <f>SUMIFS(INDEX(Техника!$F$1:$ABM$500,AA$2,0),Техника!$F$4:$ABM$4,"Часы",INDEX(Техника!$G$1:$ABN$500,AA$2,0),$A$1432,INDEX(Техника!$H$1:$ABO$500,AA$2,0),"М")</f>
        <v>0</v>
      </c>
      <c r="AB1433" s="50">
        <f>SUMIFS(INDEX(Техника!$F$1:$ABM$500,AB$2,0),Техника!$F$4:$ABM$4,"Часы",INDEX(Техника!$G$1:$ABN$500,AB$2,0),$A$1432,INDEX(Техника!$H$1:$ABO$500,AB$2,0),"М")</f>
        <v>0</v>
      </c>
    </row>
    <row r="1434" spans="1:28" hidden="1" outlineLevel="1" x14ac:dyDescent="0.3">
      <c r="A1434" s="33" t="s">
        <v>244</v>
      </c>
      <c r="B1434" s="34" t="s">
        <v>275</v>
      </c>
      <c r="C1434" s="50">
        <f>SUMIFS(INDEX(Техника!$F$1:$ABM$500,C$2,0),Техника!$F$4:$ABM$4,"Часы",INDEX(Техника!$G$1:$ABN$500,C$2,0),$A$1432,INDEX(Техника!$H$1:$ABO$500,C$2,0),"Д")</f>
        <v>0</v>
      </c>
      <c r="D1434" s="50">
        <f>SUMIFS(INDEX(Техника!$F$1:$ABM$500,D$2,0),Техника!$F$4:$ABM$4,"Часы",INDEX(Техника!$G$1:$ABN$500,D$2,0),$A$1432,INDEX(Техника!$H$1:$ABO$500,D$2,0),"Д")</f>
        <v>0</v>
      </c>
      <c r="E1434" s="50">
        <f>SUMIFS(INDEX(Техника!$F$1:$ABM$500,E$2,0),Техника!$F$4:$ABM$4,"Часы",INDEX(Техника!$G$1:$ABN$500,E$2,0),$A$1432,INDEX(Техника!$H$1:$ABO$500,E$2,0),"Д")</f>
        <v>0</v>
      </c>
      <c r="F1434" s="50">
        <f>SUMIFS(INDEX(Техника!$F$1:$ABM$500,F$2,0),Техника!$F$4:$ABM$4,"Часы",INDEX(Техника!$G$1:$ABN$500,F$2,0),$A$1432,INDEX(Техника!$H$1:$ABO$500,F$2,0),"Д")</f>
        <v>0</v>
      </c>
      <c r="G1434" s="50">
        <f>SUMIFS(INDEX(Техника!$F$1:$ABM$500,G$2,0),Техника!$F$4:$ABM$4,"Часы",INDEX(Техника!$G$1:$ABN$500,G$2,0),$A$1432,INDEX(Техника!$H$1:$ABO$500,G$2,0),"Д")</f>
        <v>0</v>
      </c>
      <c r="H1434" s="50">
        <f>SUMIFS(INDEX(Техника!$F$1:$ABM$500,H$2,0),Техника!$F$4:$ABM$4,"Часы",INDEX(Техника!$G$1:$ABN$500,H$2,0),$A$1432,INDEX(Техника!$H$1:$ABO$500,H$2,0),"Д")</f>
        <v>0</v>
      </c>
      <c r="I1434" s="50">
        <f>SUMIFS(INDEX(Техника!$F$1:$ABM$500,I$2,0),Техника!$F$4:$ABM$4,"Часы",INDEX(Техника!$G$1:$ABN$500,I$2,0),$A$1432,INDEX(Техника!$H$1:$ABO$500,I$2,0),"Д")</f>
        <v>0</v>
      </c>
      <c r="J1434" s="50">
        <f>SUMIFS(INDEX(Техника!$F$1:$ABM$500,J$2,0),Техника!$F$4:$ABM$4,"Часы",INDEX(Техника!$G$1:$ABN$500,J$2,0),$A$1432,INDEX(Техника!$H$1:$ABO$500,J$2,0),"Д")</f>
        <v>0</v>
      </c>
      <c r="K1434" s="50">
        <f>SUMIFS(INDEX(Техника!$F$1:$ABM$500,K$2,0),Техника!$F$4:$ABM$4,"Часы",INDEX(Техника!$G$1:$ABN$500,K$2,0),$A$1432,INDEX(Техника!$H$1:$ABO$500,K$2,0),"Д")</f>
        <v>0</v>
      </c>
      <c r="L1434" s="50">
        <f>SUMIFS(INDEX(Техника!$F$1:$ABM$500,L$2,0),Техника!$F$4:$ABM$4,"Часы",INDEX(Техника!$G$1:$ABN$500,L$2,0),$A$1432,INDEX(Техника!$H$1:$ABO$500,L$2,0),"Д")</f>
        <v>0</v>
      </c>
      <c r="M1434" s="50">
        <f>SUMIFS(INDEX(Техника!$F$1:$ABM$500,M$2,0),Техника!$F$4:$ABM$4,"Часы",INDEX(Техника!$G$1:$ABN$500,M$2,0),$A$1432,INDEX(Техника!$H$1:$ABO$500,M$2,0),"Д")</f>
        <v>0</v>
      </c>
      <c r="N1434" s="50">
        <f>SUMIFS(INDEX(Техника!$F$1:$ABM$500,N$2,0),Техника!$F$4:$ABM$4,"Часы",INDEX(Техника!$G$1:$ABN$500,N$2,0),$A$1432,INDEX(Техника!$H$1:$ABO$500,N$2,0),"Д")</f>
        <v>0</v>
      </c>
      <c r="O1434" s="50">
        <f>SUMIFS(INDEX(Техника!$F$1:$ABM$500,O$2,0),Техника!$F$4:$ABM$4,"Часы",INDEX(Техника!$G$1:$ABN$500,O$2,0),$A$1432,INDEX(Техника!$H$1:$ABO$500,O$2,0),"Д")</f>
        <v>0</v>
      </c>
      <c r="P1434" s="50">
        <f>SUMIFS(INDEX(Техника!$F$1:$ABM$500,P$2,0),Техника!$F$4:$ABM$4,"Часы",INDEX(Техника!$G$1:$ABN$500,P$2,0),$A$1432,INDEX(Техника!$H$1:$ABO$500,P$2,0),"Д")</f>
        <v>0</v>
      </c>
      <c r="Q1434" s="50">
        <f>SUMIFS(INDEX(Техника!$F$1:$ABM$500,Q$2,0),Техника!$F$4:$ABM$4,"Часы",INDEX(Техника!$G$1:$ABN$500,Q$2,0),$A$1432,INDEX(Техника!$H$1:$ABO$500,Q$2,0),"Д")</f>
        <v>0</v>
      </c>
      <c r="R1434" s="50">
        <f>SUMIFS(INDEX(Техника!$F$1:$ABM$500,R$2,0),Техника!$F$4:$ABM$4,"Часы",INDEX(Техника!$G$1:$ABN$500,R$2,0),$A$1432,INDEX(Техника!$H$1:$ABO$500,R$2,0),"Д")</f>
        <v>0</v>
      </c>
      <c r="S1434" s="50">
        <f>SUMIFS(INDEX(Техника!$F$1:$ABM$500,S$2,0),Техника!$F$4:$ABM$4,"Часы",INDEX(Техника!$G$1:$ABN$500,S$2,0),$A$1432,INDEX(Техника!$H$1:$ABO$500,S$2,0),"Д")</f>
        <v>0</v>
      </c>
      <c r="T1434" s="50">
        <f>SUMIFS(INDEX(Техника!$F$1:$ABM$500,T$2,0),Техника!$F$4:$ABM$4,"Часы",INDEX(Техника!$G$1:$ABN$500,T$2,0),$A$1432,INDEX(Техника!$H$1:$ABO$500,T$2,0),"Д")</f>
        <v>0</v>
      </c>
      <c r="U1434" s="50">
        <f>SUMIFS(INDEX(Техника!$F$1:$ABM$500,U$2,0),Техника!$F$4:$ABM$4,"Часы",INDEX(Техника!$G$1:$ABN$500,U$2,0),$A$1432,INDEX(Техника!$H$1:$ABO$500,U$2,0),"Д")</f>
        <v>0</v>
      </c>
      <c r="V1434" s="50">
        <f>SUMIFS(INDEX(Техника!$F$1:$ABM$500,V$2,0),Техника!$F$4:$ABM$4,"Часы",INDEX(Техника!$G$1:$ABN$500,V$2,0),$A$1432,INDEX(Техника!$H$1:$ABO$500,V$2,0),"Д")</f>
        <v>0</v>
      </c>
      <c r="W1434" s="50">
        <f>SUMIFS(INDEX(Техника!$F$1:$ABM$500,W$2,0),Техника!$F$4:$ABM$4,"Часы",INDEX(Техника!$G$1:$ABN$500,W$2,0),$A$1432,INDEX(Техника!$H$1:$ABO$500,W$2,0),"Д")</f>
        <v>0</v>
      </c>
      <c r="X1434" s="50">
        <f>SUMIFS(INDEX(Техника!$F$1:$ABM$500,X$2,0),Техника!$F$4:$ABM$4,"Часы",INDEX(Техника!$G$1:$ABN$500,X$2,0),$A$1432,INDEX(Техника!$H$1:$ABO$500,X$2,0),"Д")</f>
        <v>0</v>
      </c>
      <c r="Y1434" s="50">
        <f>SUMIFS(INDEX(Техника!$F$1:$ABM$500,Y$2,0),Техника!$F$4:$ABM$4,"Часы",INDEX(Техника!$G$1:$ABN$500,Y$2,0),$A$1432,INDEX(Техника!$H$1:$ABO$500,Y$2,0),"Д")</f>
        <v>0</v>
      </c>
      <c r="Z1434" s="50">
        <f>SUMIFS(INDEX(Техника!$F$1:$ABM$500,Z$2,0),Техника!$F$4:$ABM$4,"Часы",INDEX(Техника!$G$1:$ABN$500,Z$2,0),$A$1432,INDEX(Техника!$H$1:$ABO$500,Z$2,0),"Д")</f>
        <v>0</v>
      </c>
      <c r="AA1434" s="50">
        <f>SUMIFS(INDEX(Техника!$F$1:$ABM$500,AA$2,0),Техника!$F$4:$ABM$4,"Часы",INDEX(Техника!$G$1:$ABN$500,AA$2,0),$A$1432,INDEX(Техника!$H$1:$ABO$500,AA$2,0),"Д")</f>
        <v>0</v>
      </c>
      <c r="AB1434" s="50">
        <f>SUMIFS(INDEX(Техника!$F$1:$ABM$500,AB$2,0),Техника!$F$4:$ABM$4,"Часы",INDEX(Техника!$G$1:$ABN$500,AB$2,0),$A$1432,INDEX(Техника!$H$1:$ABO$500,AB$2,0),"Д")</f>
        <v>0</v>
      </c>
    </row>
    <row r="1435" spans="1:28" hidden="1" outlineLevel="1" x14ac:dyDescent="0.3">
      <c r="A1435" s="33" t="s">
        <v>276</v>
      </c>
      <c r="B1435" s="34" t="s">
        <v>277</v>
      </c>
      <c r="C1435" s="50">
        <f>SUMIFS(INDEX(Техника!$F$1:$ABM$500,C$2,0),Техника!$F$4:$ABM$4,"Часы",INDEX(Техника!$G$1:$ABN$500,C$2,0),$A$1432,INDEX(Техника!$H$1:$ABO$500,C$2,0),"П")</f>
        <v>0</v>
      </c>
      <c r="D1435" s="50">
        <f>SUMIFS(INDEX(Техника!$F$1:$ABM$500,D$2,0),Техника!$F$4:$ABM$4,"Часы",INDEX(Техника!$G$1:$ABN$500,D$2,0),$A$1432,INDEX(Техника!$H$1:$ABO$500,D$2,0),"П")</f>
        <v>0</v>
      </c>
      <c r="E1435" s="50">
        <f>SUMIFS(INDEX(Техника!$F$1:$ABM$500,E$2,0),Техника!$F$4:$ABM$4,"Часы",INDEX(Техника!$G$1:$ABN$500,E$2,0),$A$1432,INDEX(Техника!$H$1:$ABO$500,E$2,0),"П")</f>
        <v>0</v>
      </c>
      <c r="F1435" s="50">
        <f>SUMIFS(INDEX(Техника!$F$1:$ABM$500,F$2,0),Техника!$F$4:$ABM$4,"Часы",INDEX(Техника!$G$1:$ABN$500,F$2,0),$A$1432,INDEX(Техника!$H$1:$ABO$500,F$2,0),"П")</f>
        <v>0</v>
      </c>
      <c r="G1435" s="50">
        <f>SUMIFS(INDEX(Техника!$F$1:$ABM$500,G$2,0),Техника!$F$4:$ABM$4,"Часы",INDEX(Техника!$G$1:$ABN$500,G$2,0),$A$1432,INDEX(Техника!$H$1:$ABO$500,G$2,0),"П")</f>
        <v>0</v>
      </c>
      <c r="H1435" s="50">
        <f>SUMIFS(INDEX(Техника!$F$1:$ABM$500,H$2,0),Техника!$F$4:$ABM$4,"Часы",INDEX(Техника!$G$1:$ABN$500,H$2,0),$A$1432,INDEX(Техника!$H$1:$ABO$500,H$2,0),"П")</f>
        <v>0</v>
      </c>
      <c r="I1435" s="50">
        <f>SUMIFS(INDEX(Техника!$F$1:$ABM$500,I$2,0),Техника!$F$4:$ABM$4,"Часы",INDEX(Техника!$G$1:$ABN$500,I$2,0),$A$1432,INDEX(Техника!$H$1:$ABO$500,I$2,0),"П")</f>
        <v>0</v>
      </c>
      <c r="J1435" s="50">
        <f>SUMIFS(INDEX(Техника!$F$1:$ABM$500,J$2,0),Техника!$F$4:$ABM$4,"Часы",INDEX(Техника!$G$1:$ABN$500,J$2,0),$A$1432,INDEX(Техника!$H$1:$ABO$500,J$2,0),"П")</f>
        <v>0</v>
      </c>
      <c r="K1435" s="50">
        <f>SUMIFS(INDEX(Техника!$F$1:$ABM$500,K$2,0),Техника!$F$4:$ABM$4,"Часы",INDEX(Техника!$G$1:$ABN$500,K$2,0),$A$1432,INDEX(Техника!$H$1:$ABO$500,K$2,0),"П")</f>
        <v>0</v>
      </c>
      <c r="L1435" s="50">
        <f>SUMIFS(INDEX(Техника!$F$1:$ABM$500,L$2,0),Техника!$F$4:$ABM$4,"Часы",INDEX(Техника!$G$1:$ABN$500,L$2,0),$A$1432,INDEX(Техника!$H$1:$ABO$500,L$2,0),"П")</f>
        <v>0</v>
      </c>
      <c r="M1435" s="50">
        <f>SUMIFS(INDEX(Техника!$F$1:$ABM$500,M$2,0),Техника!$F$4:$ABM$4,"Часы",INDEX(Техника!$G$1:$ABN$500,M$2,0),$A$1432,INDEX(Техника!$H$1:$ABO$500,M$2,0),"П")</f>
        <v>0</v>
      </c>
      <c r="N1435" s="50">
        <f>SUMIFS(INDEX(Техника!$F$1:$ABM$500,N$2,0),Техника!$F$4:$ABM$4,"Часы",INDEX(Техника!$G$1:$ABN$500,N$2,0),$A$1432,INDEX(Техника!$H$1:$ABO$500,N$2,0),"П")</f>
        <v>0</v>
      </c>
      <c r="O1435" s="50">
        <f>SUMIFS(INDEX(Техника!$F$1:$ABM$500,O$2,0),Техника!$F$4:$ABM$4,"Часы",INDEX(Техника!$G$1:$ABN$500,O$2,0),$A$1432,INDEX(Техника!$H$1:$ABO$500,O$2,0),"П")</f>
        <v>0</v>
      </c>
      <c r="P1435" s="50">
        <f>SUMIFS(INDEX(Техника!$F$1:$ABM$500,P$2,0),Техника!$F$4:$ABM$4,"Часы",INDEX(Техника!$G$1:$ABN$500,P$2,0),$A$1432,INDEX(Техника!$H$1:$ABO$500,P$2,0),"П")</f>
        <v>0</v>
      </c>
      <c r="Q1435" s="50">
        <f>SUMIFS(INDEX(Техника!$F$1:$ABM$500,Q$2,0),Техника!$F$4:$ABM$4,"Часы",INDEX(Техника!$G$1:$ABN$500,Q$2,0),$A$1432,INDEX(Техника!$H$1:$ABO$500,Q$2,0),"П")</f>
        <v>0</v>
      </c>
      <c r="R1435" s="50">
        <f>SUMIFS(INDEX(Техника!$F$1:$ABM$500,R$2,0),Техника!$F$4:$ABM$4,"Часы",INDEX(Техника!$G$1:$ABN$500,R$2,0),$A$1432,INDEX(Техника!$H$1:$ABO$500,R$2,0),"П")</f>
        <v>0</v>
      </c>
      <c r="S1435" s="50">
        <f>SUMIFS(INDEX(Техника!$F$1:$ABM$500,S$2,0),Техника!$F$4:$ABM$4,"Часы",INDEX(Техника!$G$1:$ABN$500,S$2,0),$A$1432,INDEX(Техника!$H$1:$ABO$500,S$2,0),"П")</f>
        <v>0</v>
      </c>
      <c r="T1435" s="50">
        <f>SUMIFS(INDEX(Техника!$F$1:$ABM$500,T$2,0),Техника!$F$4:$ABM$4,"Часы",INDEX(Техника!$G$1:$ABN$500,T$2,0),$A$1432,INDEX(Техника!$H$1:$ABO$500,T$2,0),"П")</f>
        <v>0</v>
      </c>
      <c r="U1435" s="50">
        <f>SUMIFS(INDEX(Техника!$F$1:$ABM$500,U$2,0),Техника!$F$4:$ABM$4,"Часы",INDEX(Техника!$G$1:$ABN$500,U$2,0),$A$1432,INDEX(Техника!$H$1:$ABO$500,U$2,0),"П")</f>
        <v>0</v>
      </c>
      <c r="V1435" s="50">
        <f>SUMIFS(INDEX(Техника!$F$1:$ABM$500,V$2,0),Техника!$F$4:$ABM$4,"Часы",INDEX(Техника!$G$1:$ABN$500,V$2,0),$A$1432,INDEX(Техника!$H$1:$ABO$500,V$2,0),"П")</f>
        <v>0</v>
      </c>
      <c r="W1435" s="50">
        <f>SUMIFS(INDEX(Техника!$F$1:$ABM$500,W$2,0),Техника!$F$4:$ABM$4,"Часы",INDEX(Техника!$G$1:$ABN$500,W$2,0),$A$1432,INDEX(Техника!$H$1:$ABO$500,W$2,0),"П")</f>
        <v>0</v>
      </c>
      <c r="X1435" s="50">
        <f>SUMIFS(INDEX(Техника!$F$1:$ABM$500,X$2,0),Техника!$F$4:$ABM$4,"Часы",INDEX(Техника!$G$1:$ABN$500,X$2,0),$A$1432,INDEX(Техника!$H$1:$ABO$500,X$2,0),"П")</f>
        <v>0</v>
      </c>
      <c r="Y1435" s="50">
        <f>SUMIFS(INDEX(Техника!$F$1:$ABM$500,Y$2,0),Техника!$F$4:$ABM$4,"Часы",INDEX(Техника!$G$1:$ABN$500,Y$2,0),$A$1432,INDEX(Техника!$H$1:$ABO$500,Y$2,0),"П")</f>
        <v>0</v>
      </c>
      <c r="Z1435" s="50">
        <f>SUMIFS(INDEX(Техника!$F$1:$ABM$500,Z$2,0),Техника!$F$4:$ABM$4,"Часы",INDEX(Техника!$G$1:$ABN$500,Z$2,0),$A$1432,INDEX(Техника!$H$1:$ABO$500,Z$2,0),"П")</f>
        <v>0</v>
      </c>
      <c r="AA1435" s="50">
        <f>SUMIFS(INDEX(Техника!$F$1:$ABM$500,AA$2,0),Техника!$F$4:$ABM$4,"Часы",INDEX(Техника!$G$1:$ABN$500,AA$2,0),$A$1432,INDEX(Техника!$H$1:$ABO$500,AA$2,0),"П")</f>
        <v>0</v>
      </c>
      <c r="AB1435" s="50">
        <f>SUMIFS(INDEX(Техника!$F$1:$ABM$500,AB$2,0),Техника!$F$4:$ABM$4,"Часы",INDEX(Техника!$G$1:$ABN$500,AB$2,0),$A$1432,INDEX(Техника!$H$1:$ABO$500,AB$2,0),"П")</f>
        <v>0</v>
      </c>
    </row>
    <row r="1436" spans="1:28" hidden="1" outlineLevel="1" x14ac:dyDescent="0.3">
      <c r="A1436" s="33" t="s">
        <v>243</v>
      </c>
      <c r="B1436" s="34" t="s">
        <v>278</v>
      </c>
      <c r="C1436" s="50">
        <f>SUMIFS(INDEX(Техника!$F$1:$ABM$500,C$2,0),Техника!$F$4:$ABM$4,"Часы",INDEX(Техника!$G$1:$ABN$500,C$2,0),$A$1432,INDEX(Техника!$H$1:$ABO$500,C$2,0),"Л")</f>
        <v>0</v>
      </c>
      <c r="D1436" s="50">
        <f>SUMIFS(INDEX(Техника!$F$1:$ABM$500,D$2,0),Техника!$F$4:$ABM$4,"Часы",INDEX(Техника!$G$1:$ABN$500,D$2,0),$A$1432,INDEX(Техника!$H$1:$ABO$500,D$2,0),"Л")</f>
        <v>0</v>
      </c>
      <c r="E1436" s="50">
        <f>SUMIFS(INDEX(Техника!$F$1:$ABM$500,E$2,0),Техника!$F$4:$ABM$4,"Часы",INDEX(Техника!$G$1:$ABN$500,E$2,0),$A$1432,INDEX(Техника!$H$1:$ABO$500,E$2,0),"Л")</f>
        <v>0</v>
      </c>
      <c r="F1436" s="50">
        <f>SUMIFS(INDEX(Техника!$F$1:$ABM$500,F$2,0),Техника!$F$4:$ABM$4,"Часы",INDEX(Техника!$G$1:$ABN$500,F$2,0),$A$1432,INDEX(Техника!$H$1:$ABO$500,F$2,0),"Л")</f>
        <v>0</v>
      </c>
      <c r="G1436" s="50">
        <f>SUMIFS(INDEX(Техника!$F$1:$ABM$500,G$2,0),Техника!$F$4:$ABM$4,"Часы",INDEX(Техника!$G$1:$ABN$500,G$2,0),$A$1432,INDEX(Техника!$H$1:$ABO$500,G$2,0),"Л")</f>
        <v>0</v>
      </c>
      <c r="H1436" s="50">
        <f>SUMIFS(INDEX(Техника!$F$1:$ABM$500,H$2,0),Техника!$F$4:$ABM$4,"Часы",INDEX(Техника!$G$1:$ABN$500,H$2,0),$A$1432,INDEX(Техника!$H$1:$ABO$500,H$2,0),"Л")</f>
        <v>0</v>
      </c>
      <c r="I1436" s="50">
        <f>SUMIFS(INDEX(Техника!$F$1:$ABM$500,I$2,0),Техника!$F$4:$ABM$4,"Часы",INDEX(Техника!$G$1:$ABN$500,I$2,0),$A$1432,INDEX(Техника!$H$1:$ABO$500,I$2,0),"Л")</f>
        <v>0</v>
      </c>
      <c r="J1436" s="50">
        <f>SUMIFS(INDEX(Техника!$F$1:$ABM$500,J$2,0),Техника!$F$4:$ABM$4,"Часы",INDEX(Техника!$G$1:$ABN$500,J$2,0),$A$1432,INDEX(Техника!$H$1:$ABO$500,J$2,0),"Л")</f>
        <v>0</v>
      </c>
      <c r="K1436" s="50">
        <f>SUMIFS(INDEX(Техника!$F$1:$ABM$500,K$2,0),Техника!$F$4:$ABM$4,"Часы",INDEX(Техника!$G$1:$ABN$500,K$2,0),$A$1432,INDEX(Техника!$H$1:$ABO$500,K$2,0),"Л")</f>
        <v>0</v>
      </c>
      <c r="L1436" s="50">
        <f>SUMIFS(INDEX(Техника!$F$1:$ABM$500,L$2,0),Техника!$F$4:$ABM$4,"Часы",INDEX(Техника!$G$1:$ABN$500,L$2,0),$A$1432,INDEX(Техника!$H$1:$ABO$500,L$2,0),"Л")</f>
        <v>0</v>
      </c>
      <c r="M1436" s="50">
        <f>SUMIFS(INDEX(Техника!$F$1:$ABM$500,M$2,0),Техника!$F$4:$ABM$4,"Часы",INDEX(Техника!$G$1:$ABN$500,M$2,0),$A$1432,INDEX(Техника!$H$1:$ABO$500,M$2,0),"Л")</f>
        <v>0</v>
      </c>
      <c r="N1436" s="50">
        <f>SUMIFS(INDEX(Техника!$F$1:$ABM$500,N$2,0),Техника!$F$4:$ABM$4,"Часы",INDEX(Техника!$G$1:$ABN$500,N$2,0),$A$1432,INDEX(Техника!$H$1:$ABO$500,N$2,0),"Л")</f>
        <v>0</v>
      </c>
      <c r="O1436" s="50">
        <f>SUMIFS(INDEX(Техника!$F$1:$ABM$500,O$2,0),Техника!$F$4:$ABM$4,"Часы",INDEX(Техника!$G$1:$ABN$500,O$2,0),$A$1432,INDEX(Техника!$H$1:$ABO$500,O$2,0),"Л")</f>
        <v>0</v>
      </c>
      <c r="P1436" s="50">
        <f>SUMIFS(INDEX(Техника!$F$1:$ABM$500,P$2,0),Техника!$F$4:$ABM$4,"Часы",INDEX(Техника!$G$1:$ABN$500,P$2,0),$A$1432,INDEX(Техника!$H$1:$ABO$500,P$2,0),"Л")</f>
        <v>0</v>
      </c>
      <c r="Q1436" s="50">
        <f>SUMIFS(INDEX(Техника!$F$1:$ABM$500,Q$2,0),Техника!$F$4:$ABM$4,"Часы",INDEX(Техника!$G$1:$ABN$500,Q$2,0),$A$1432,INDEX(Техника!$H$1:$ABO$500,Q$2,0),"Л")</f>
        <v>0</v>
      </c>
      <c r="R1436" s="50">
        <f>SUMIFS(INDEX(Техника!$F$1:$ABM$500,R$2,0),Техника!$F$4:$ABM$4,"Часы",INDEX(Техника!$G$1:$ABN$500,R$2,0),$A$1432,INDEX(Техника!$H$1:$ABO$500,R$2,0),"Л")</f>
        <v>0</v>
      </c>
      <c r="S1436" s="50">
        <f>SUMIFS(INDEX(Техника!$F$1:$ABM$500,S$2,0),Техника!$F$4:$ABM$4,"Часы",INDEX(Техника!$G$1:$ABN$500,S$2,0),$A$1432,INDEX(Техника!$H$1:$ABO$500,S$2,0),"Л")</f>
        <v>0</v>
      </c>
      <c r="T1436" s="50">
        <f>SUMIFS(INDEX(Техника!$F$1:$ABM$500,T$2,0),Техника!$F$4:$ABM$4,"Часы",INDEX(Техника!$G$1:$ABN$500,T$2,0),$A$1432,INDEX(Техника!$H$1:$ABO$500,T$2,0),"Л")</f>
        <v>0</v>
      </c>
      <c r="U1436" s="50">
        <f>SUMIFS(INDEX(Техника!$F$1:$ABM$500,U$2,0),Техника!$F$4:$ABM$4,"Часы",INDEX(Техника!$G$1:$ABN$500,U$2,0),$A$1432,INDEX(Техника!$H$1:$ABO$500,U$2,0),"Л")</f>
        <v>0</v>
      </c>
      <c r="V1436" s="50">
        <f>SUMIFS(INDEX(Техника!$F$1:$ABM$500,V$2,0),Техника!$F$4:$ABM$4,"Часы",INDEX(Техника!$G$1:$ABN$500,V$2,0),$A$1432,INDEX(Техника!$H$1:$ABO$500,V$2,0),"Л")</f>
        <v>0</v>
      </c>
      <c r="W1436" s="50">
        <f>SUMIFS(INDEX(Техника!$F$1:$ABM$500,W$2,0),Техника!$F$4:$ABM$4,"Часы",INDEX(Техника!$G$1:$ABN$500,W$2,0),$A$1432,INDEX(Техника!$H$1:$ABO$500,W$2,0),"Л")</f>
        <v>0</v>
      </c>
      <c r="X1436" s="50">
        <f>SUMIFS(INDEX(Техника!$F$1:$ABM$500,X$2,0),Техника!$F$4:$ABM$4,"Часы",INDEX(Техника!$G$1:$ABN$500,X$2,0),$A$1432,INDEX(Техника!$H$1:$ABO$500,X$2,0),"Л")</f>
        <v>0</v>
      </c>
      <c r="Y1436" s="50">
        <f>SUMIFS(INDEX(Техника!$F$1:$ABM$500,Y$2,0),Техника!$F$4:$ABM$4,"Часы",INDEX(Техника!$G$1:$ABN$500,Y$2,0),$A$1432,INDEX(Техника!$H$1:$ABO$500,Y$2,0),"Л")</f>
        <v>0</v>
      </c>
      <c r="Z1436" s="50">
        <f>SUMIFS(INDEX(Техника!$F$1:$ABM$500,Z$2,0),Техника!$F$4:$ABM$4,"Часы",INDEX(Техника!$G$1:$ABN$500,Z$2,0),$A$1432,INDEX(Техника!$H$1:$ABO$500,Z$2,0),"Л")</f>
        <v>0</v>
      </c>
      <c r="AA1436" s="50">
        <f>SUMIFS(INDEX(Техника!$F$1:$ABM$500,AA$2,0),Техника!$F$4:$ABM$4,"Часы",INDEX(Техника!$G$1:$ABN$500,AA$2,0),$A$1432,INDEX(Техника!$H$1:$ABO$500,AA$2,0),"Л")</f>
        <v>0</v>
      </c>
      <c r="AB1436" s="50">
        <f>SUMIFS(INDEX(Техника!$F$1:$ABM$500,AB$2,0),Техника!$F$4:$ABM$4,"Часы",INDEX(Техника!$G$1:$ABN$500,AB$2,0),$A$1432,INDEX(Техника!$H$1:$ABO$500,AB$2,0),"Л")</f>
        <v>0</v>
      </c>
    </row>
    <row r="1437" spans="1:28" hidden="1" outlineLevel="1" x14ac:dyDescent="0.3">
      <c r="A1437" s="33" t="s">
        <v>245</v>
      </c>
      <c r="B1437" s="34" t="s">
        <v>279</v>
      </c>
      <c r="C1437" s="50">
        <f>SUMIFS(INDEX(Техника!$F$1:$ABM$500,C$2,0),Техника!$F$4:$ABM$4,"Часы",INDEX(Техника!$G$1:$ABN$500,C$2,0),$A$1432,INDEX(Техника!$H$1:$ABO$500,C$2,0),"З")</f>
        <v>0</v>
      </c>
      <c r="D1437" s="50">
        <f>SUMIFS(INDEX(Техника!$F$1:$ABM$500,D$2,0),Техника!$F$4:$ABM$4,"Часы",INDEX(Техника!$G$1:$ABN$500,D$2,0),$A$1432,INDEX(Техника!$H$1:$ABO$500,D$2,0),"З")</f>
        <v>0</v>
      </c>
      <c r="E1437" s="50">
        <f>SUMIFS(INDEX(Техника!$F$1:$ABM$500,E$2,0),Техника!$F$4:$ABM$4,"Часы",INDEX(Техника!$G$1:$ABN$500,E$2,0),$A$1432,INDEX(Техника!$H$1:$ABO$500,E$2,0),"З")</f>
        <v>0</v>
      </c>
      <c r="F1437" s="50">
        <f>SUMIFS(INDEX(Техника!$F$1:$ABM$500,F$2,0),Техника!$F$4:$ABM$4,"Часы",INDEX(Техника!$G$1:$ABN$500,F$2,0),$A$1432,INDEX(Техника!$H$1:$ABO$500,F$2,0),"З")</f>
        <v>0</v>
      </c>
      <c r="G1437" s="50">
        <f>SUMIFS(INDEX(Техника!$F$1:$ABM$500,G$2,0),Техника!$F$4:$ABM$4,"Часы",INDEX(Техника!$G$1:$ABN$500,G$2,0),$A$1432,INDEX(Техника!$H$1:$ABO$500,G$2,0),"З")</f>
        <v>0</v>
      </c>
      <c r="H1437" s="50">
        <f>SUMIFS(INDEX(Техника!$F$1:$ABM$500,H$2,0),Техника!$F$4:$ABM$4,"Часы",INDEX(Техника!$G$1:$ABN$500,H$2,0),$A$1432,INDEX(Техника!$H$1:$ABO$500,H$2,0),"З")</f>
        <v>0</v>
      </c>
      <c r="I1437" s="50">
        <f>SUMIFS(INDEX(Техника!$F$1:$ABM$500,I$2,0),Техника!$F$4:$ABM$4,"Часы",INDEX(Техника!$G$1:$ABN$500,I$2,0),$A$1432,INDEX(Техника!$H$1:$ABO$500,I$2,0),"З")</f>
        <v>0</v>
      </c>
      <c r="J1437" s="50">
        <f>SUMIFS(INDEX(Техника!$F$1:$ABM$500,J$2,0),Техника!$F$4:$ABM$4,"Часы",INDEX(Техника!$G$1:$ABN$500,J$2,0),$A$1432,INDEX(Техника!$H$1:$ABO$500,J$2,0),"З")</f>
        <v>0</v>
      </c>
      <c r="K1437" s="50">
        <f>SUMIFS(INDEX(Техника!$F$1:$ABM$500,K$2,0),Техника!$F$4:$ABM$4,"Часы",INDEX(Техника!$G$1:$ABN$500,K$2,0),$A$1432,INDEX(Техника!$H$1:$ABO$500,K$2,0),"З")</f>
        <v>0</v>
      </c>
      <c r="L1437" s="50">
        <f>SUMIFS(INDEX(Техника!$F$1:$ABM$500,L$2,0),Техника!$F$4:$ABM$4,"Часы",INDEX(Техника!$G$1:$ABN$500,L$2,0),$A$1432,INDEX(Техника!$H$1:$ABO$500,L$2,0),"З")</f>
        <v>0</v>
      </c>
      <c r="M1437" s="50">
        <f>SUMIFS(INDEX(Техника!$F$1:$ABM$500,M$2,0),Техника!$F$4:$ABM$4,"Часы",INDEX(Техника!$G$1:$ABN$500,M$2,0),$A$1432,INDEX(Техника!$H$1:$ABO$500,M$2,0),"З")</f>
        <v>0</v>
      </c>
      <c r="N1437" s="50">
        <f>SUMIFS(INDEX(Техника!$F$1:$ABM$500,N$2,0),Техника!$F$4:$ABM$4,"Часы",INDEX(Техника!$G$1:$ABN$500,N$2,0),$A$1432,INDEX(Техника!$H$1:$ABO$500,N$2,0),"З")</f>
        <v>0</v>
      </c>
      <c r="O1437" s="50">
        <f>SUMIFS(INDEX(Техника!$F$1:$ABM$500,O$2,0),Техника!$F$4:$ABM$4,"Часы",INDEX(Техника!$G$1:$ABN$500,O$2,0),$A$1432,INDEX(Техника!$H$1:$ABO$500,O$2,0),"З")</f>
        <v>0</v>
      </c>
      <c r="P1437" s="50">
        <f>SUMIFS(INDEX(Техника!$F$1:$ABM$500,P$2,0),Техника!$F$4:$ABM$4,"Часы",INDEX(Техника!$G$1:$ABN$500,P$2,0),$A$1432,INDEX(Техника!$H$1:$ABO$500,P$2,0),"З")</f>
        <v>0</v>
      </c>
      <c r="Q1437" s="50">
        <f>SUMIFS(INDEX(Техника!$F$1:$ABM$500,Q$2,0),Техника!$F$4:$ABM$4,"Часы",INDEX(Техника!$G$1:$ABN$500,Q$2,0),$A$1432,INDEX(Техника!$H$1:$ABO$500,Q$2,0),"З")</f>
        <v>0</v>
      </c>
      <c r="R1437" s="50">
        <f>SUMIFS(INDEX(Техника!$F$1:$ABM$500,R$2,0),Техника!$F$4:$ABM$4,"Часы",INDEX(Техника!$G$1:$ABN$500,R$2,0),$A$1432,INDEX(Техника!$H$1:$ABO$500,R$2,0),"З")</f>
        <v>0</v>
      </c>
      <c r="S1437" s="50">
        <f>SUMIFS(INDEX(Техника!$F$1:$ABM$500,S$2,0),Техника!$F$4:$ABM$4,"Часы",INDEX(Техника!$G$1:$ABN$500,S$2,0),$A$1432,INDEX(Техника!$H$1:$ABO$500,S$2,0),"З")</f>
        <v>0</v>
      </c>
      <c r="T1437" s="50">
        <f>SUMIFS(INDEX(Техника!$F$1:$ABM$500,T$2,0),Техника!$F$4:$ABM$4,"Часы",INDEX(Техника!$G$1:$ABN$500,T$2,0),$A$1432,INDEX(Техника!$H$1:$ABO$500,T$2,0),"З")</f>
        <v>0</v>
      </c>
      <c r="U1437" s="50">
        <f>SUMIFS(INDEX(Техника!$F$1:$ABM$500,U$2,0),Техника!$F$4:$ABM$4,"Часы",INDEX(Техника!$G$1:$ABN$500,U$2,0),$A$1432,INDEX(Техника!$H$1:$ABO$500,U$2,0),"З")</f>
        <v>0</v>
      </c>
      <c r="V1437" s="50">
        <f>SUMIFS(INDEX(Техника!$F$1:$ABM$500,V$2,0),Техника!$F$4:$ABM$4,"Часы",INDEX(Техника!$G$1:$ABN$500,V$2,0),$A$1432,INDEX(Техника!$H$1:$ABO$500,V$2,0),"З")</f>
        <v>0</v>
      </c>
      <c r="W1437" s="50">
        <f>SUMIFS(INDEX(Техника!$F$1:$ABM$500,W$2,0),Техника!$F$4:$ABM$4,"Часы",INDEX(Техника!$G$1:$ABN$500,W$2,0),$A$1432,INDEX(Техника!$H$1:$ABO$500,W$2,0),"З")</f>
        <v>0</v>
      </c>
      <c r="X1437" s="50">
        <f>SUMIFS(INDEX(Техника!$F$1:$ABM$500,X$2,0),Техника!$F$4:$ABM$4,"Часы",INDEX(Техника!$G$1:$ABN$500,X$2,0),$A$1432,INDEX(Техника!$H$1:$ABO$500,X$2,0),"З")</f>
        <v>0</v>
      </c>
      <c r="Y1437" s="50">
        <f>SUMIFS(INDEX(Техника!$F$1:$ABM$500,Y$2,0),Техника!$F$4:$ABM$4,"Часы",INDEX(Техника!$G$1:$ABN$500,Y$2,0),$A$1432,INDEX(Техника!$H$1:$ABO$500,Y$2,0),"З")</f>
        <v>0</v>
      </c>
      <c r="Z1437" s="50">
        <f>SUMIFS(INDEX(Техника!$F$1:$ABM$500,Z$2,0),Техника!$F$4:$ABM$4,"Часы",INDEX(Техника!$G$1:$ABN$500,Z$2,0),$A$1432,INDEX(Техника!$H$1:$ABO$500,Z$2,0),"З")</f>
        <v>0</v>
      </c>
      <c r="AA1437" s="50">
        <f>SUMIFS(INDEX(Техника!$F$1:$ABM$500,AA$2,0),Техника!$F$4:$ABM$4,"Часы",INDEX(Техника!$G$1:$ABN$500,AA$2,0),$A$1432,INDEX(Техника!$H$1:$ABO$500,AA$2,0),"З")</f>
        <v>0</v>
      </c>
      <c r="AB1437" s="50">
        <f>SUMIFS(INDEX(Техника!$F$1:$ABM$500,AB$2,0),Техника!$F$4:$ABM$4,"Часы",INDEX(Техника!$G$1:$ABN$500,AB$2,0),$A$1432,INDEX(Техника!$H$1:$ABO$500,AB$2,0),"З")</f>
        <v>0</v>
      </c>
    </row>
    <row r="1438" spans="1:28" ht="7.95" customHeight="1" x14ac:dyDescent="0.3">
      <c r="A1438" s="38"/>
      <c r="B1438" s="39"/>
      <c r="C1438" s="51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</row>
    <row r="1439" spans="1:28" ht="25.05" customHeight="1" collapsed="1" x14ac:dyDescent="0.3">
      <c r="A1439" s="32">
        <v>206</v>
      </c>
      <c r="B1439" s="32" t="s">
        <v>207</v>
      </c>
      <c r="C1439" s="49">
        <f>SUM(C1440:C1444)</f>
        <v>0</v>
      </c>
      <c r="D1439" s="49">
        <f>SUM(D1440:D1444)</f>
        <v>0</v>
      </c>
      <c r="E1439" s="49">
        <f>SUM(E1440:E1444)</f>
        <v>0</v>
      </c>
      <c r="F1439" s="49">
        <f>SUM(F1440:F1444)</f>
        <v>0</v>
      </c>
      <c r="G1439" s="49">
        <f>SUM(G1440:G1444)</f>
        <v>0</v>
      </c>
      <c r="H1439" s="49">
        <f>SUM(H1440:H1444)</f>
        <v>0</v>
      </c>
      <c r="I1439" s="49">
        <f>SUM(I1440:I1444)</f>
        <v>0</v>
      </c>
      <c r="J1439" s="49">
        <f>SUM(J1440:J1444)</f>
        <v>0</v>
      </c>
      <c r="K1439" s="49">
        <f>SUM(K1440:K1444)</f>
        <v>0</v>
      </c>
      <c r="L1439" s="49">
        <f>SUM(L1440:L1444)</f>
        <v>0</v>
      </c>
      <c r="M1439" s="49">
        <f>SUM(M1440:M1444)</f>
        <v>0</v>
      </c>
      <c r="N1439" s="49">
        <f>SUM(N1440:N1444)</f>
        <v>0</v>
      </c>
      <c r="O1439" s="49">
        <f>SUM(O1440:O1444)</f>
        <v>0</v>
      </c>
      <c r="P1439" s="49">
        <f>SUM(P1440:P1444)</f>
        <v>0</v>
      </c>
      <c r="Q1439" s="49">
        <f>SUM(Q1440:Q1444)</f>
        <v>0</v>
      </c>
      <c r="R1439" s="49">
        <f>SUM(R1440:R1444)</f>
        <v>0</v>
      </c>
      <c r="S1439" s="49">
        <f>SUM(S1440:S1444)</f>
        <v>0</v>
      </c>
      <c r="T1439" s="49">
        <f>SUM(T1440:T1444)</f>
        <v>0</v>
      </c>
      <c r="U1439" s="49">
        <f>SUM(U1440:U1444)</f>
        <v>0</v>
      </c>
      <c r="V1439" s="49">
        <f>SUM(V1440:V1444)</f>
        <v>0</v>
      </c>
      <c r="W1439" s="49">
        <f>SUM(W1440:W1444)</f>
        <v>0</v>
      </c>
      <c r="X1439" s="49">
        <f>SUM(X1440:X1444)</f>
        <v>0</v>
      </c>
      <c r="Y1439" s="49">
        <f>SUM(Y1440:Y1444)</f>
        <v>0</v>
      </c>
      <c r="Z1439" s="49">
        <f>SUM(Z1440:Z1444)</f>
        <v>0</v>
      </c>
      <c r="AA1439" s="49">
        <f>SUM(AA1440:AA1444)</f>
        <v>0</v>
      </c>
      <c r="AB1439" s="49">
        <f>SUM(AB1440:AB1444)</f>
        <v>0</v>
      </c>
    </row>
    <row r="1440" spans="1:28" hidden="1" outlineLevel="1" x14ac:dyDescent="0.3">
      <c r="A1440" s="33" t="s">
        <v>246</v>
      </c>
      <c r="B1440" s="34" t="s">
        <v>274</v>
      </c>
      <c r="C1440" s="50">
        <f>SUMIFS(INDEX(Техника!$F$1:$ABM$500,C$2,0),Техника!$F$4:$ABM$4,"Часы",INDEX(Техника!$G$1:$ABN$500,C$2,0),$A$1439,INDEX(Техника!$H$1:$ABO$500,C$2,0),"М")</f>
        <v>0</v>
      </c>
      <c r="D1440" s="50">
        <f>SUMIFS(INDEX(Техника!$F$1:$ABM$500,D$2,0),Техника!$F$4:$ABM$4,"Часы",INDEX(Техника!$G$1:$ABN$500,D$2,0),$A$1439,INDEX(Техника!$H$1:$ABO$500,D$2,0),"М")</f>
        <v>0</v>
      </c>
      <c r="E1440" s="50">
        <f>SUMIFS(INDEX(Техника!$F$1:$ABM$500,E$2,0),Техника!$F$4:$ABM$4,"Часы",INDEX(Техника!$G$1:$ABN$500,E$2,0),$A$1439,INDEX(Техника!$H$1:$ABO$500,E$2,0),"М")</f>
        <v>0</v>
      </c>
      <c r="F1440" s="50">
        <f>SUMIFS(INDEX(Техника!$F$1:$ABM$500,F$2,0),Техника!$F$4:$ABM$4,"Часы",INDEX(Техника!$G$1:$ABN$500,F$2,0),$A$1439,INDEX(Техника!$H$1:$ABO$500,F$2,0),"М")</f>
        <v>0</v>
      </c>
      <c r="G1440" s="50">
        <f>SUMIFS(INDEX(Техника!$F$1:$ABM$500,G$2,0),Техника!$F$4:$ABM$4,"Часы",INDEX(Техника!$G$1:$ABN$500,G$2,0),$A$1439,INDEX(Техника!$H$1:$ABO$500,G$2,0),"М")</f>
        <v>0</v>
      </c>
      <c r="H1440" s="50">
        <f>SUMIFS(INDEX(Техника!$F$1:$ABM$500,H$2,0),Техника!$F$4:$ABM$4,"Часы",INDEX(Техника!$G$1:$ABN$500,H$2,0),$A$1439,INDEX(Техника!$H$1:$ABO$500,H$2,0),"М")</f>
        <v>0</v>
      </c>
      <c r="I1440" s="50">
        <f>SUMIFS(INDEX(Техника!$F$1:$ABM$500,I$2,0),Техника!$F$4:$ABM$4,"Часы",INDEX(Техника!$G$1:$ABN$500,I$2,0),$A$1439,INDEX(Техника!$H$1:$ABO$500,I$2,0),"М")</f>
        <v>0</v>
      </c>
      <c r="J1440" s="50">
        <f>SUMIFS(INDEX(Техника!$F$1:$ABM$500,J$2,0),Техника!$F$4:$ABM$4,"Часы",INDEX(Техника!$G$1:$ABN$500,J$2,0),$A$1439,INDEX(Техника!$H$1:$ABO$500,J$2,0),"М")</f>
        <v>0</v>
      </c>
      <c r="K1440" s="50">
        <f>SUMIFS(INDEX(Техника!$F$1:$ABM$500,K$2,0),Техника!$F$4:$ABM$4,"Часы",INDEX(Техника!$G$1:$ABN$500,K$2,0),$A$1439,INDEX(Техника!$H$1:$ABO$500,K$2,0),"М")</f>
        <v>0</v>
      </c>
      <c r="L1440" s="50">
        <f>SUMIFS(INDEX(Техника!$F$1:$ABM$500,L$2,0),Техника!$F$4:$ABM$4,"Часы",INDEX(Техника!$G$1:$ABN$500,L$2,0),$A$1439,INDEX(Техника!$H$1:$ABO$500,L$2,0),"М")</f>
        <v>0</v>
      </c>
      <c r="M1440" s="50">
        <f>SUMIFS(INDEX(Техника!$F$1:$ABM$500,M$2,0),Техника!$F$4:$ABM$4,"Часы",INDEX(Техника!$G$1:$ABN$500,M$2,0),$A$1439,INDEX(Техника!$H$1:$ABO$500,M$2,0),"М")</f>
        <v>0</v>
      </c>
      <c r="N1440" s="50">
        <f>SUMIFS(INDEX(Техника!$F$1:$ABM$500,N$2,0),Техника!$F$4:$ABM$4,"Часы",INDEX(Техника!$G$1:$ABN$500,N$2,0),$A$1439,INDEX(Техника!$H$1:$ABO$500,N$2,0),"М")</f>
        <v>0</v>
      </c>
      <c r="O1440" s="50">
        <f>SUMIFS(INDEX(Техника!$F$1:$ABM$500,O$2,0),Техника!$F$4:$ABM$4,"Часы",INDEX(Техника!$G$1:$ABN$500,O$2,0),$A$1439,INDEX(Техника!$H$1:$ABO$500,O$2,0),"М")</f>
        <v>0</v>
      </c>
      <c r="P1440" s="50">
        <f>SUMIFS(INDEX(Техника!$F$1:$ABM$500,P$2,0),Техника!$F$4:$ABM$4,"Часы",INDEX(Техника!$G$1:$ABN$500,P$2,0),$A$1439,INDEX(Техника!$H$1:$ABO$500,P$2,0),"М")</f>
        <v>0</v>
      </c>
      <c r="Q1440" s="50">
        <f>SUMIFS(INDEX(Техника!$F$1:$ABM$500,Q$2,0),Техника!$F$4:$ABM$4,"Часы",INDEX(Техника!$G$1:$ABN$500,Q$2,0),$A$1439,INDEX(Техника!$H$1:$ABO$500,Q$2,0),"М")</f>
        <v>0</v>
      </c>
      <c r="R1440" s="50">
        <f>SUMIFS(INDEX(Техника!$F$1:$ABM$500,R$2,0),Техника!$F$4:$ABM$4,"Часы",INDEX(Техника!$G$1:$ABN$500,R$2,0),$A$1439,INDEX(Техника!$H$1:$ABO$500,R$2,0),"М")</f>
        <v>0</v>
      </c>
      <c r="S1440" s="50">
        <f>SUMIFS(INDEX(Техника!$F$1:$ABM$500,S$2,0),Техника!$F$4:$ABM$4,"Часы",INDEX(Техника!$G$1:$ABN$500,S$2,0),$A$1439,INDEX(Техника!$H$1:$ABO$500,S$2,0),"М")</f>
        <v>0</v>
      </c>
      <c r="T1440" s="50">
        <f>SUMIFS(INDEX(Техника!$F$1:$ABM$500,T$2,0),Техника!$F$4:$ABM$4,"Часы",INDEX(Техника!$G$1:$ABN$500,T$2,0),$A$1439,INDEX(Техника!$H$1:$ABO$500,T$2,0),"М")</f>
        <v>0</v>
      </c>
      <c r="U1440" s="50">
        <f>SUMIFS(INDEX(Техника!$F$1:$ABM$500,U$2,0),Техника!$F$4:$ABM$4,"Часы",INDEX(Техника!$G$1:$ABN$500,U$2,0),$A$1439,INDEX(Техника!$H$1:$ABO$500,U$2,0),"М")</f>
        <v>0</v>
      </c>
      <c r="V1440" s="50">
        <f>SUMIFS(INDEX(Техника!$F$1:$ABM$500,V$2,0),Техника!$F$4:$ABM$4,"Часы",INDEX(Техника!$G$1:$ABN$500,V$2,0),$A$1439,INDEX(Техника!$H$1:$ABO$500,V$2,0),"М")</f>
        <v>0</v>
      </c>
      <c r="W1440" s="50">
        <f>SUMIFS(INDEX(Техника!$F$1:$ABM$500,W$2,0),Техника!$F$4:$ABM$4,"Часы",INDEX(Техника!$G$1:$ABN$500,W$2,0),$A$1439,INDEX(Техника!$H$1:$ABO$500,W$2,0),"М")</f>
        <v>0</v>
      </c>
      <c r="X1440" s="50">
        <f>SUMIFS(INDEX(Техника!$F$1:$ABM$500,X$2,0),Техника!$F$4:$ABM$4,"Часы",INDEX(Техника!$G$1:$ABN$500,X$2,0),$A$1439,INDEX(Техника!$H$1:$ABO$500,X$2,0),"М")</f>
        <v>0</v>
      </c>
      <c r="Y1440" s="50">
        <f>SUMIFS(INDEX(Техника!$F$1:$ABM$500,Y$2,0),Техника!$F$4:$ABM$4,"Часы",INDEX(Техника!$G$1:$ABN$500,Y$2,0),$A$1439,INDEX(Техника!$H$1:$ABO$500,Y$2,0),"М")</f>
        <v>0</v>
      </c>
      <c r="Z1440" s="50">
        <f>SUMIFS(INDEX(Техника!$F$1:$ABM$500,Z$2,0),Техника!$F$4:$ABM$4,"Часы",INDEX(Техника!$G$1:$ABN$500,Z$2,0),$A$1439,INDEX(Техника!$H$1:$ABO$500,Z$2,0),"М")</f>
        <v>0</v>
      </c>
      <c r="AA1440" s="50">
        <f>SUMIFS(INDEX(Техника!$F$1:$ABM$500,AA$2,0),Техника!$F$4:$ABM$4,"Часы",INDEX(Техника!$G$1:$ABN$500,AA$2,0),$A$1439,INDEX(Техника!$H$1:$ABO$500,AA$2,0),"М")</f>
        <v>0</v>
      </c>
      <c r="AB1440" s="50">
        <f>SUMIFS(INDEX(Техника!$F$1:$ABM$500,AB$2,0),Техника!$F$4:$ABM$4,"Часы",INDEX(Техника!$G$1:$ABN$500,AB$2,0),$A$1439,INDEX(Техника!$H$1:$ABO$500,AB$2,0),"М")</f>
        <v>0</v>
      </c>
    </row>
    <row r="1441" spans="1:28" hidden="1" outlineLevel="1" x14ac:dyDescent="0.3">
      <c r="A1441" s="33" t="s">
        <v>244</v>
      </c>
      <c r="B1441" s="34" t="s">
        <v>275</v>
      </c>
      <c r="C1441" s="50">
        <f>SUMIFS(INDEX(Техника!$F$1:$ABM$500,C$2,0),Техника!$F$4:$ABM$4,"Часы",INDEX(Техника!$G$1:$ABN$500,C$2,0),$A$1439,INDEX(Техника!$H$1:$ABO$500,C$2,0),"Д")</f>
        <v>0</v>
      </c>
      <c r="D1441" s="50">
        <f>SUMIFS(INDEX(Техника!$F$1:$ABM$500,D$2,0),Техника!$F$4:$ABM$4,"Часы",INDEX(Техника!$G$1:$ABN$500,D$2,0),$A$1439,INDEX(Техника!$H$1:$ABO$500,D$2,0),"Д")</f>
        <v>0</v>
      </c>
      <c r="E1441" s="50">
        <f>SUMIFS(INDEX(Техника!$F$1:$ABM$500,E$2,0),Техника!$F$4:$ABM$4,"Часы",INDEX(Техника!$G$1:$ABN$500,E$2,0),$A$1439,INDEX(Техника!$H$1:$ABO$500,E$2,0),"Д")</f>
        <v>0</v>
      </c>
      <c r="F1441" s="50">
        <f>SUMIFS(INDEX(Техника!$F$1:$ABM$500,F$2,0),Техника!$F$4:$ABM$4,"Часы",INDEX(Техника!$G$1:$ABN$500,F$2,0),$A$1439,INDEX(Техника!$H$1:$ABO$500,F$2,0),"Д")</f>
        <v>0</v>
      </c>
      <c r="G1441" s="50">
        <f>SUMIFS(INDEX(Техника!$F$1:$ABM$500,G$2,0),Техника!$F$4:$ABM$4,"Часы",INDEX(Техника!$G$1:$ABN$500,G$2,0),$A$1439,INDEX(Техника!$H$1:$ABO$500,G$2,0),"Д")</f>
        <v>0</v>
      </c>
      <c r="H1441" s="50">
        <f>SUMIFS(INDEX(Техника!$F$1:$ABM$500,H$2,0),Техника!$F$4:$ABM$4,"Часы",INDEX(Техника!$G$1:$ABN$500,H$2,0),$A$1439,INDEX(Техника!$H$1:$ABO$500,H$2,0),"Д")</f>
        <v>0</v>
      </c>
      <c r="I1441" s="50">
        <f>SUMIFS(INDEX(Техника!$F$1:$ABM$500,I$2,0),Техника!$F$4:$ABM$4,"Часы",INDEX(Техника!$G$1:$ABN$500,I$2,0),$A$1439,INDEX(Техника!$H$1:$ABO$500,I$2,0),"Д")</f>
        <v>0</v>
      </c>
      <c r="J1441" s="50">
        <f>SUMIFS(INDEX(Техника!$F$1:$ABM$500,J$2,0),Техника!$F$4:$ABM$4,"Часы",INDEX(Техника!$G$1:$ABN$500,J$2,0),$A$1439,INDEX(Техника!$H$1:$ABO$500,J$2,0),"Д")</f>
        <v>0</v>
      </c>
      <c r="K1441" s="50">
        <f>SUMIFS(INDEX(Техника!$F$1:$ABM$500,K$2,0),Техника!$F$4:$ABM$4,"Часы",INDEX(Техника!$G$1:$ABN$500,K$2,0),$A$1439,INDEX(Техника!$H$1:$ABO$500,K$2,0),"Д")</f>
        <v>0</v>
      </c>
      <c r="L1441" s="50">
        <f>SUMIFS(INDEX(Техника!$F$1:$ABM$500,L$2,0),Техника!$F$4:$ABM$4,"Часы",INDEX(Техника!$G$1:$ABN$500,L$2,0),$A$1439,INDEX(Техника!$H$1:$ABO$500,L$2,0),"Д")</f>
        <v>0</v>
      </c>
      <c r="M1441" s="50">
        <f>SUMIFS(INDEX(Техника!$F$1:$ABM$500,M$2,0),Техника!$F$4:$ABM$4,"Часы",INDEX(Техника!$G$1:$ABN$500,M$2,0),$A$1439,INDEX(Техника!$H$1:$ABO$500,M$2,0),"Д")</f>
        <v>0</v>
      </c>
      <c r="N1441" s="50">
        <f>SUMIFS(INDEX(Техника!$F$1:$ABM$500,N$2,0),Техника!$F$4:$ABM$4,"Часы",INDEX(Техника!$G$1:$ABN$500,N$2,0),$A$1439,INDEX(Техника!$H$1:$ABO$500,N$2,0),"Д")</f>
        <v>0</v>
      </c>
      <c r="O1441" s="50">
        <f>SUMIFS(INDEX(Техника!$F$1:$ABM$500,O$2,0),Техника!$F$4:$ABM$4,"Часы",INDEX(Техника!$G$1:$ABN$500,O$2,0),$A$1439,INDEX(Техника!$H$1:$ABO$500,O$2,0),"Д")</f>
        <v>0</v>
      </c>
      <c r="P1441" s="50">
        <f>SUMIFS(INDEX(Техника!$F$1:$ABM$500,P$2,0),Техника!$F$4:$ABM$4,"Часы",INDEX(Техника!$G$1:$ABN$500,P$2,0),$A$1439,INDEX(Техника!$H$1:$ABO$500,P$2,0),"Д")</f>
        <v>0</v>
      </c>
      <c r="Q1441" s="50">
        <f>SUMIFS(INDEX(Техника!$F$1:$ABM$500,Q$2,0),Техника!$F$4:$ABM$4,"Часы",INDEX(Техника!$G$1:$ABN$500,Q$2,0),$A$1439,INDEX(Техника!$H$1:$ABO$500,Q$2,0),"Д")</f>
        <v>0</v>
      </c>
      <c r="R1441" s="50">
        <f>SUMIFS(INDEX(Техника!$F$1:$ABM$500,R$2,0),Техника!$F$4:$ABM$4,"Часы",INDEX(Техника!$G$1:$ABN$500,R$2,0),$A$1439,INDEX(Техника!$H$1:$ABO$500,R$2,0),"Д")</f>
        <v>0</v>
      </c>
      <c r="S1441" s="50">
        <f>SUMIFS(INDEX(Техника!$F$1:$ABM$500,S$2,0),Техника!$F$4:$ABM$4,"Часы",INDEX(Техника!$G$1:$ABN$500,S$2,0),$A$1439,INDEX(Техника!$H$1:$ABO$500,S$2,0),"Д")</f>
        <v>0</v>
      </c>
      <c r="T1441" s="50">
        <f>SUMIFS(INDEX(Техника!$F$1:$ABM$500,T$2,0),Техника!$F$4:$ABM$4,"Часы",INDEX(Техника!$G$1:$ABN$500,T$2,0),$A$1439,INDEX(Техника!$H$1:$ABO$500,T$2,0),"Д")</f>
        <v>0</v>
      </c>
      <c r="U1441" s="50">
        <f>SUMIFS(INDEX(Техника!$F$1:$ABM$500,U$2,0),Техника!$F$4:$ABM$4,"Часы",INDEX(Техника!$G$1:$ABN$500,U$2,0),$A$1439,INDEX(Техника!$H$1:$ABO$500,U$2,0),"Д")</f>
        <v>0</v>
      </c>
      <c r="V1441" s="50">
        <f>SUMIFS(INDEX(Техника!$F$1:$ABM$500,V$2,0),Техника!$F$4:$ABM$4,"Часы",INDEX(Техника!$G$1:$ABN$500,V$2,0),$A$1439,INDEX(Техника!$H$1:$ABO$500,V$2,0),"Д")</f>
        <v>0</v>
      </c>
      <c r="W1441" s="50">
        <f>SUMIFS(INDEX(Техника!$F$1:$ABM$500,W$2,0),Техника!$F$4:$ABM$4,"Часы",INDEX(Техника!$G$1:$ABN$500,W$2,0),$A$1439,INDEX(Техника!$H$1:$ABO$500,W$2,0),"Д")</f>
        <v>0</v>
      </c>
      <c r="X1441" s="50">
        <f>SUMIFS(INDEX(Техника!$F$1:$ABM$500,X$2,0),Техника!$F$4:$ABM$4,"Часы",INDEX(Техника!$G$1:$ABN$500,X$2,0),$A$1439,INDEX(Техника!$H$1:$ABO$500,X$2,0),"Д")</f>
        <v>0</v>
      </c>
      <c r="Y1441" s="50">
        <f>SUMIFS(INDEX(Техника!$F$1:$ABM$500,Y$2,0),Техника!$F$4:$ABM$4,"Часы",INDEX(Техника!$G$1:$ABN$500,Y$2,0),$A$1439,INDEX(Техника!$H$1:$ABO$500,Y$2,0),"Д")</f>
        <v>0</v>
      </c>
      <c r="Z1441" s="50">
        <f>SUMIFS(INDEX(Техника!$F$1:$ABM$500,Z$2,0),Техника!$F$4:$ABM$4,"Часы",INDEX(Техника!$G$1:$ABN$500,Z$2,0),$A$1439,INDEX(Техника!$H$1:$ABO$500,Z$2,0),"Д")</f>
        <v>0</v>
      </c>
      <c r="AA1441" s="50">
        <f>SUMIFS(INDEX(Техника!$F$1:$ABM$500,AA$2,0),Техника!$F$4:$ABM$4,"Часы",INDEX(Техника!$G$1:$ABN$500,AA$2,0),$A$1439,INDEX(Техника!$H$1:$ABO$500,AA$2,0),"Д")</f>
        <v>0</v>
      </c>
      <c r="AB1441" s="50">
        <f>SUMIFS(INDEX(Техника!$F$1:$ABM$500,AB$2,0),Техника!$F$4:$ABM$4,"Часы",INDEX(Техника!$G$1:$ABN$500,AB$2,0),$A$1439,INDEX(Техника!$H$1:$ABO$500,AB$2,0),"Д")</f>
        <v>0</v>
      </c>
    </row>
    <row r="1442" spans="1:28" hidden="1" outlineLevel="1" x14ac:dyDescent="0.3">
      <c r="A1442" s="33" t="s">
        <v>276</v>
      </c>
      <c r="B1442" s="34" t="s">
        <v>277</v>
      </c>
      <c r="C1442" s="50">
        <f>SUMIFS(INDEX(Техника!$F$1:$ABM$500,C$2,0),Техника!$F$4:$ABM$4,"Часы",INDEX(Техника!$G$1:$ABN$500,C$2,0),$A$1439,INDEX(Техника!$H$1:$ABO$500,C$2,0),"П")</f>
        <v>0</v>
      </c>
      <c r="D1442" s="50">
        <f>SUMIFS(INDEX(Техника!$F$1:$ABM$500,D$2,0),Техника!$F$4:$ABM$4,"Часы",INDEX(Техника!$G$1:$ABN$500,D$2,0),$A$1439,INDEX(Техника!$H$1:$ABO$500,D$2,0),"П")</f>
        <v>0</v>
      </c>
      <c r="E1442" s="50">
        <f>SUMIFS(INDEX(Техника!$F$1:$ABM$500,E$2,0),Техника!$F$4:$ABM$4,"Часы",INDEX(Техника!$G$1:$ABN$500,E$2,0),$A$1439,INDEX(Техника!$H$1:$ABO$500,E$2,0),"П")</f>
        <v>0</v>
      </c>
      <c r="F1442" s="50">
        <f>SUMIFS(INDEX(Техника!$F$1:$ABM$500,F$2,0),Техника!$F$4:$ABM$4,"Часы",INDEX(Техника!$G$1:$ABN$500,F$2,0),$A$1439,INDEX(Техника!$H$1:$ABO$500,F$2,0),"П")</f>
        <v>0</v>
      </c>
      <c r="G1442" s="50">
        <f>SUMIFS(INDEX(Техника!$F$1:$ABM$500,G$2,0),Техника!$F$4:$ABM$4,"Часы",INDEX(Техника!$G$1:$ABN$500,G$2,0),$A$1439,INDEX(Техника!$H$1:$ABO$500,G$2,0),"П")</f>
        <v>0</v>
      </c>
      <c r="H1442" s="50">
        <f>SUMIFS(INDEX(Техника!$F$1:$ABM$500,H$2,0),Техника!$F$4:$ABM$4,"Часы",INDEX(Техника!$G$1:$ABN$500,H$2,0),$A$1439,INDEX(Техника!$H$1:$ABO$500,H$2,0),"П")</f>
        <v>0</v>
      </c>
      <c r="I1442" s="50">
        <f>SUMIFS(INDEX(Техника!$F$1:$ABM$500,I$2,0),Техника!$F$4:$ABM$4,"Часы",INDEX(Техника!$G$1:$ABN$500,I$2,0),$A$1439,INDEX(Техника!$H$1:$ABO$500,I$2,0),"П")</f>
        <v>0</v>
      </c>
      <c r="J1442" s="50">
        <f>SUMIFS(INDEX(Техника!$F$1:$ABM$500,J$2,0),Техника!$F$4:$ABM$4,"Часы",INDEX(Техника!$G$1:$ABN$500,J$2,0),$A$1439,INDEX(Техника!$H$1:$ABO$500,J$2,0),"П")</f>
        <v>0</v>
      </c>
      <c r="K1442" s="50">
        <f>SUMIFS(INDEX(Техника!$F$1:$ABM$500,K$2,0),Техника!$F$4:$ABM$4,"Часы",INDEX(Техника!$G$1:$ABN$500,K$2,0),$A$1439,INDEX(Техника!$H$1:$ABO$500,K$2,0),"П")</f>
        <v>0</v>
      </c>
      <c r="L1442" s="50">
        <f>SUMIFS(INDEX(Техника!$F$1:$ABM$500,L$2,0),Техника!$F$4:$ABM$4,"Часы",INDEX(Техника!$G$1:$ABN$500,L$2,0),$A$1439,INDEX(Техника!$H$1:$ABO$500,L$2,0),"П")</f>
        <v>0</v>
      </c>
      <c r="M1442" s="50">
        <f>SUMIFS(INDEX(Техника!$F$1:$ABM$500,M$2,0),Техника!$F$4:$ABM$4,"Часы",INDEX(Техника!$G$1:$ABN$500,M$2,0),$A$1439,INDEX(Техника!$H$1:$ABO$500,M$2,0),"П")</f>
        <v>0</v>
      </c>
      <c r="N1442" s="50">
        <f>SUMIFS(INDEX(Техника!$F$1:$ABM$500,N$2,0),Техника!$F$4:$ABM$4,"Часы",INDEX(Техника!$G$1:$ABN$500,N$2,0),$A$1439,INDEX(Техника!$H$1:$ABO$500,N$2,0),"П")</f>
        <v>0</v>
      </c>
      <c r="O1442" s="50">
        <f>SUMIFS(INDEX(Техника!$F$1:$ABM$500,O$2,0),Техника!$F$4:$ABM$4,"Часы",INDEX(Техника!$G$1:$ABN$500,O$2,0),$A$1439,INDEX(Техника!$H$1:$ABO$500,O$2,0),"П")</f>
        <v>0</v>
      </c>
      <c r="P1442" s="50">
        <f>SUMIFS(INDEX(Техника!$F$1:$ABM$500,P$2,0),Техника!$F$4:$ABM$4,"Часы",INDEX(Техника!$G$1:$ABN$500,P$2,0),$A$1439,INDEX(Техника!$H$1:$ABO$500,P$2,0),"П")</f>
        <v>0</v>
      </c>
      <c r="Q1442" s="50">
        <f>SUMIFS(INDEX(Техника!$F$1:$ABM$500,Q$2,0),Техника!$F$4:$ABM$4,"Часы",INDEX(Техника!$G$1:$ABN$500,Q$2,0),$A$1439,INDEX(Техника!$H$1:$ABO$500,Q$2,0),"П")</f>
        <v>0</v>
      </c>
      <c r="R1442" s="50">
        <f>SUMIFS(INDEX(Техника!$F$1:$ABM$500,R$2,0),Техника!$F$4:$ABM$4,"Часы",INDEX(Техника!$G$1:$ABN$500,R$2,0),$A$1439,INDEX(Техника!$H$1:$ABO$500,R$2,0),"П")</f>
        <v>0</v>
      </c>
      <c r="S1442" s="50">
        <f>SUMIFS(INDEX(Техника!$F$1:$ABM$500,S$2,0),Техника!$F$4:$ABM$4,"Часы",INDEX(Техника!$G$1:$ABN$500,S$2,0),$A$1439,INDEX(Техника!$H$1:$ABO$500,S$2,0),"П")</f>
        <v>0</v>
      </c>
      <c r="T1442" s="50">
        <f>SUMIFS(INDEX(Техника!$F$1:$ABM$500,T$2,0),Техника!$F$4:$ABM$4,"Часы",INDEX(Техника!$G$1:$ABN$500,T$2,0),$A$1439,INDEX(Техника!$H$1:$ABO$500,T$2,0),"П")</f>
        <v>0</v>
      </c>
      <c r="U1442" s="50">
        <f>SUMIFS(INDEX(Техника!$F$1:$ABM$500,U$2,0),Техника!$F$4:$ABM$4,"Часы",INDEX(Техника!$G$1:$ABN$500,U$2,0),$A$1439,INDEX(Техника!$H$1:$ABO$500,U$2,0),"П")</f>
        <v>0</v>
      </c>
      <c r="V1442" s="50">
        <f>SUMIFS(INDEX(Техника!$F$1:$ABM$500,V$2,0),Техника!$F$4:$ABM$4,"Часы",INDEX(Техника!$G$1:$ABN$500,V$2,0),$A$1439,INDEX(Техника!$H$1:$ABO$500,V$2,0),"П")</f>
        <v>0</v>
      </c>
      <c r="W1442" s="50">
        <f>SUMIFS(INDEX(Техника!$F$1:$ABM$500,W$2,0),Техника!$F$4:$ABM$4,"Часы",INDEX(Техника!$G$1:$ABN$500,W$2,0),$A$1439,INDEX(Техника!$H$1:$ABO$500,W$2,0),"П")</f>
        <v>0</v>
      </c>
      <c r="X1442" s="50">
        <f>SUMIFS(INDEX(Техника!$F$1:$ABM$500,X$2,0),Техника!$F$4:$ABM$4,"Часы",INDEX(Техника!$G$1:$ABN$500,X$2,0),$A$1439,INDEX(Техника!$H$1:$ABO$500,X$2,0),"П")</f>
        <v>0</v>
      </c>
      <c r="Y1442" s="50">
        <f>SUMIFS(INDEX(Техника!$F$1:$ABM$500,Y$2,0),Техника!$F$4:$ABM$4,"Часы",INDEX(Техника!$G$1:$ABN$500,Y$2,0),$A$1439,INDEX(Техника!$H$1:$ABO$500,Y$2,0),"П")</f>
        <v>0</v>
      </c>
      <c r="Z1442" s="50">
        <f>SUMIFS(INDEX(Техника!$F$1:$ABM$500,Z$2,0),Техника!$F$4:$ABM$4,"Часы",INDEX(Техника!$G$1:$ABN$500,Z$2,0),$A$1439,INDEX(Техника!$H$1:$ABO$500,Z$2,0),"П")</f>
        <v>0</v>
      </c>
      <c r="AA1442" s="50">
        <f>SUMIFS(INDEX(Техника!$F$1:$ABM$500,AA$2,0),Техника!$F$4:$ABM$4,"Часы",INDEX(Техника!$G$1:$ABN$500,AA$2,0),$A$1439,INDEX(Техника!$H$1:$ABO$500,AA$2,0),"П")</f>
        <v>0</v>
      </c>
      <c r="AB1442" s="50">
        <f>SUMIFS(INDEX(Техника!$F$1:$ABM$500,AB$2,0),Техника!$F$4:$ABM$4,"Часы",INDEX(Техника!$G$1:$ABN$500,AB$2,0),$A$1439,INDEX(Техника!$H$1:$ABO$500,AB$2,0),"П")</f>
        <v>0</v>
      </c>
    </row>
    <row r="1443" spans="1:28" hidden="1" outlineLevel="1" x14ac:dyDescent="0.3">
      <c r="A1443" s="33" t="s">
        <v>243</v>
      </c>
      <c r="B1443" s="34" t="s">
        <v>278</v>
      </c>
      <c r="C1443" s="50">
        <f>SUMIFS(INDEX(Техника!$F$1:$ABM$500,C$2,0),Техника!$F$4:$ABM$4,"Часы",INDEX(Техника!$G$1:$ABN$500,C$2,0),$A$1439,INDEX(Техника!$H$1:$ABO$500,C$2,0),"Л")</f>
        <v>0</v>
      </c>
      <c r="D1443" s="50">
        <f>SUMIFS(INDEX(Техника!$F$1:$ABM$500,D$2,0),Техника!$F$4:$ABM$4,"Часы",INDEX(Техника!$G$1:$ABN$500,D$2,0),$A$1439,INDEX(Техника!$H$1:$ABO$500,D$2,0),"Л")</f>
        <v>0</v>
      </c>
      <c r="E1443" s="50">
        <f>SUMIFS(INDEX(Техника!$F$1:$ABM$500,E$2,0),Техника!$F$4:$ABM$4,"Часы",INDEX(Техника!$G$1:$ABN$500,E$2,0),$A$1439,INDEX(Техника!$H$1:$ABO$500,E$2,0),"Л")</f>
        <v>0</v>
      </c>
      <c r="F1443" s="50">
        <f>SUMIFS(INDEX(Техника!$F$1:$ABM$500,F$2,0),Техника!$F$4:$ABM$4,"Часы",INDEX(Техника!$G$1:$ABN$500,F$2,0),$A$1439,INDEX(Техника!$H$1:$ABO$500,F$2,0),"Л")</f>
        <v>0</v>
      </c>
      <c r="G1443" s="50">
        <f>SUMIFS(INDEX(Техника!$F$1:$ABM$500,G$2,0),Техника!$F$4:$ABM$4,"Часы",INDEX(Техника!$G$1:$ABN$500,G$2,0),$A$1439,INDEX(Техника!$H$1:$ABO$500,G$2,0),"Л")</f>
        <v>0</v>
      </c>
      <c r="H1443" s="50">
        <f>SUMIFS(INDEX(Техника!$F$1:$ABM$500,H$2,0),Техника!$F$4:$ABM$4,"Часы",INDEX(Техника!$G$1:$ABN$500,H$2,0),$A$1439,INDEX(Техника!$H$1:$ABO$500,H$2,0),"Л")</f>
        <v>0</v>
      </c>
      <c r="I1443" s="50">
        <f>SUMIFS(INDEX(Техника!$F$1:$ABM$500,I$2,0),Техника!$F$4:$ABM$4,"Часы",INDEX(Техника!$G$1:$ABN$500,I$2,0),$A$1439,INDEX(Техника!$H$1:$ABO$500,I$2,0),"Л")</f>
        <v>0</v>
      </c>
      <c r="J1443" s="50">
        <f>SUMIFS(INDEX(Техника!$F$1:$ABM$500,J$2,0),Техника!$F$4:$ABM$4,"Часы",INDEX(Техника!$G$1:$ABN$500,J$2,0),$A$1439,INDEX(Техника!$H$1:$ABO$500,J$2,0),"Л")</f>
        <v>0</v>
      </c>
      <c r="K1443" s="50">
        <f>SUMIFS(INDEX(Техника!$F$1:$ABM$500,K$2,0),Техника!$F$4:$ABM$4,"Часы",INDEX(Техника!$G$1:$ABN$500,K$2,0),$A$1439,INDEX(Техника!$H$1:$ABO$500,K$2,0),"Л")</f>
        <v>0</v>
      </c>
      <c r="L1443" s="50">
        <f>SUMIFS(INDEX(Техника!$F$1:$ABM$500,L$2,0),Техника!$F$4:$ABM$4,"Часы",INDEX(Техника!$G$1:$ABN$500,L$2,0),$A$1439,INDEX(Техника!$H$1:$ABO$500,L$2,0),"Л")</f>
        <v>0</v>
      </c>
      <c r="M1443" s="50">
        <f>SUMIFS(INDEX(Техника!$F$1:$ABM$500,M$2,0),Техника!$F$4:$ABM$4,"Часы",INDEX(Техника!$G$1:$ABN$500,M$2,0),$A$1439,INDEX(Техника!$H$1:$ABO$500,M$2,0),"Л")</f>
        <v>0</v>
      </c>
      <c r="N1443" s="50">
        <f>SUMIFS(INDEX(Техника!$F$1:$ABM$500,N$2,0),Техника!$F$4:$ABM$4,"Часы",INDEX(Техника!$G$1:$ABN$500,N$2,0),$A$1439,INDEX(Техника!$H$1:$ABO$500,N$2,0),"Л")</f>
        <v>0</v>
      </c>
      <c r="O1443" s="50">
        <f>SUMIFS(INDEX(Техника!$F$1:$ABM$500,O$2,0),Техника!$F$4:$ABM$4,"Часы",INDEX(Техника!$G$1:$ABN$500,O$2,0),$A$1439,INDEX(Техника!$H$1:$ABO$500,O$2,0),"Л")</f>
        <v>0</v>
      </c>
      <c r="P1443" s="50">
        <f>SUMIFS(INDEX(Техника!$F$1:$ABM$500,P$2,0),Техника!$F$4:$ABM$4,"Часы",INDEX(Техника!$G$1:$ABN$500,P$2,0),$A$1439,INDEX(Техника!$H$1:$ABO$500,P$2,0),"Л")</f>
        <v>0</v>
      </c>
      <c r="Q1443" s="50">
        <f>SUMIFS(INDEX(Техника!$F$1:$ABM$500,Q$2,0),Техника!$F$4:$ABM$4,"Часы",INDEX(Техника!$G$1:$ABN$500,Q$2,0),$A$1439,INDEX(Техника!$H$1:$ABO$500,Q$2,0),"Л")</f>
        <v>0</v>
      </c>
      <c r="R1443" s="50">
        <f>SUMIFS(INDEX(Техника!$F$1:$ABM$500,R$2,0),Техника!$F$4:$ABM$4,"Часы",INDEX(Техника!$G$1:$ABN$500,R$2,0),$A$1439,INDEX(Техника!$H$1:$ABO$500,R$2,0),"Л")</f>
        <v>0</v>
      </c>
      <c r="S1443" s="50">
        <f>SUMIFS(INDEX(Техника!$F$1:$ABM$500,S$2,0),Техника!$F$4:$ABM$4,"Часы",INDEX(Техника!$G$1:$ABN$500,S$2,0),$A$1439,INDEX(Техника!$H$1:$ABO$500,S$2,0),"Л")</f>
        <v>0</v>
      </c>
      <c r="T1443" s="50">
        <f>SUMIFS(INDEX(Техника!$F$1:$ABM$500,T$2,0),Техника!$F$4:$ABM$4,"Часы",INDEX(Техника!$G$1:$ABN$500,T$2,0),$A$1439,INDEX(Техника!$H$1:$ABO$500,T$2,0),"Л")</f>
        <v>0</v>
      </c>
      <c r="U1443" s="50">
        <f>SUMIFS(INDEX(Техника!$F$1:$ABM$500,U$2,0),Техника!$F$4:$ABM$4,"Часы",INDEX(Техника!$G$1:$ABN$500,U$2,0),$A$1439,INDEX(Техника!$H$1:$ABO$500,U$2,0),"Л")</f>
        <v>0</v>
      </c>
      <c r="V1443" s="50">
        <f>SUMIFS(INDEX(Техника!$F$1:$ABM$500,V$2,0),Техника!$F$4:$ABM$4,"Часы",INDEX(Техника!$G$1:$ABN$500,V$2,0),$A$1439,INDEX(Техника!$H$1:$ABO$500,V$2,0),"Л")</f>
        <v>0</v>
      </c>
      <c r="W1443" s="50">
        <f>SUMIFS(INDEX(Техника!$F$1:$ABM$500,W$2,0),Техника!$F$4:$ABM$4,"Часы",INDEX(Техника!$G$1:$ABN$500,W$2,0),$A$1439,INDEX(Техника!$H$1:$ABO$500,W$2,0),"Л")</f>
        <v>0</v>
      </c>
      <c r="X1443" s="50">
        <f>SUMIFS(INDEX(Техника!$F$1:$ABM$500,X$2,0),Техника!$F$4:$ABM$4,"Часы",INDEX(Техника!$G$1:$ABN$500,X$2,0),$A$1439,INDEX(Техника!$H$1:$ABO$500,X$2,0),"Л")</f>
        <v>0</v>
      </c>
      <c r="Y1443" s="50">
        <f>SUMIFS(INDEX(Техника!$F$1:$ABM$500,Y$2,0),Техника!$F$4:$ABM$4,"Часы",INDEX(Техника!$G$1:$ABN$500,Y$2,0),$A$1439,INDEX(Техника!$H$1:$ABO$500,Y$2,0),"Л")</f>
        <v>0</v>
      </c>
      <c r="Z1443" s="50">
        <f>SUMIFS(INDEX(Техника!$F$1:$ABM$500,Z$2,0),Техника!$F$4:$ABM$4,"Часы",INDEX(Техника!$G$1:$ABN$500,Z$2,0),$A$1439,INDEX(Техника!$H$1:$ABO$500,Z$2,0),"Л")</f>
        <v>0</v>
      </c>
      <c r="AA1443" s="50">
        <f>SUMIFS(INDEX(Техника!$F$1:$ABM$500,AA$2,0),Техника!$F$4:$ABM$4,"Часы",INDEX(Техника!$G$1:$ABN$500,AA$2,0),$A$1439,INDEX(Техника!$H$1:$ABO$500,AA$2,0),"Л")</f>
        <v>0</v>
      </c>
      <c r="AB1443" s="50">
        <f>SUMIFS(INDEX(Техника!$F$1:$ABM$500,AB$2,0),Техника!$F$4:$ABM$4,"Часы",INDEX(Техника!$G$1:$ABN$500,AB$2,0),$A$1439,INDEX(Техника!$H$1:$ABO$500,AB$2,0),"Л")</f>
        <v>0</v>
      </c>
    </row>
    <row r="1444" spans="1:28" hidden="1" outlineLevel="1" x14ac:dyDescent="0.3">
      <c r="A1444" s="33" t="s">
        <v>245</v>
      </c>
      <c r="B1444" s="34" t="s">
        <v>279</v>
      </c>
      <c r="C1444" s="50">
        <f>SUMIFS(INDEX(Техника!$F$1:$ABM$500,C$2,0),Техника!$F$4:$ABM$4,"Часы",INDEX(Техника!$G$1:$ABN$500,C$2,0),$A$1439,INDEX(Техника!$H$1:$ABO$500,C$2,0),"З")</f>
        <v>0</v>
      </c>
      <c r="D1444" s="50">
        <f>SUMIFS(INDEX(Техника!$F$1:$ABM$500,D$2,0),Техника!$F$4:$ABM$4,"Часы",INDEX(Техника!$G$1:$ABN$500,D$2,0),$A$1439,INDEX(Техника!$H$1:$ABO$500,D$2,0),"З")</f>
        <v>0</v>
      </c>
      <c r="E1444" s="50">
        <f>SUMIFS(INDEX(Техника!$F$1:$ABM$500,E$2,0),Техника!$F$4:$ABM$4,"Часы",INDEX(Техника!$G$1:$ABN$500,E$2,0),$A$1439,INDEX(Техника!$H$1:$ABO$500,E$2,0),"З")</f>
        <v>0</v>
      </c>
      <c r="F1444" s="50">
        <f>SUMIFS(INDEX(Техника!$F$1:$ABM$500,F$2,0),Техника!$F$4:$ABM$4,"Часы",INDEX(Техника!$G$1:$ABN$500,F$2,0),$A$1439,INDEX(Техника!$H$1:$ABO$500,F$2,0),"З")</f>
        <v>0</v>
      </c>
      <c r="G1444" s="50">
        <f>SUMIFS(INDEX(Техника!$F$1:$ABM$500,G$2,0),Техника!$F$4:$ABM$4,"Часы",INDEX(Техника!$G$1:$ABN$500,G$2,0),$A$1439,INDEX(Техника!$H$1:$ABO$500,G$2,0),"З")</f>
        <v>0</v>
      </c>
      <c r="H1444" s="50">
        <f>SUMIFS(INDEX(Техника!$F$1:$ABM$500,H$2,0),Техника!$F$4:$ABM$4,"Часы",INDEX(Техника!$G$1:$ABN$500,H$2,0),$A$1439,INDEX(Техника!$H$1:$ABO$500,H$2,0),"З")</f>
        <v>0</v>
      </c>
      <c r="I1444" s="50">
        <f>SUMIFS(INDEX(Техника!$F$1:$ABM$500,I$2,0),Техника!$F$4:$ABM$4,"Часы",INDEX(Техника!$G$1:$ABN$500,I$2,0),$A$1439,INDEX(Техника!$H$1:$ABO$500,I$2,0),"З")</f>
        <v>0</v>
      </c>
      <c r="J1444" s="50">
        <f>SUMIFS(INDEX(Техника!$F$1:$ABM$500,J$2,0),Техника!$F$4:$ABM$4,"Часы",INDEX(Техника!$G$1:$ABN$500,J$2,0),$A$1439,INDEX(Техника!$H$1:$ABO$500,J$2,0),"З")</f>
        <v>0</v>
      </c>
      <c r="K1444" s="50">
        <f>SUMIFS(INDEX(Техника!$F$1:$ABM$500,K$2,0),Техника!$F$4:$ABM$4,"Часы",INDEX(Техника!$G$1:$ABN$500,K$2,0),$A$1439,INDEX(Техника!$H$1:$ABO$500,K$2,0),"З")</f>
        <v>0</v>
      </c>
      <c r="L1444" s="50">
        <f>SUMIFS(INDEX(Техника!$F$1:$ABM$500,L$2,0),Техника!$F$4:$ABM$4,"Часы",INDEX(Техника!$G$1:$ABN$500,L$2,0),$A$1439,INDEX(Техника!$H$1:$ABO$500,L$2,0),"З")</f>
        <v>0</v>
      </c>
      <c r="M1444" s="50">
        <f>SUMIFS(INDEX(Техника!$F$1:$ABM$500,M$2,0),Техника!$F$4:$ABM$4,"Часы",INDEX(Техника!$G$1:$ABN$500,M$2,0),$A$1439,INDEX(Техника!$H$1:$ABO$500,M$2,0),"З")</f>
        <v>0</v>
      </c>
      <c r="N1444" s="50">
        <f>SUMIFS(INDEX(Техника!$F$1:$ABM$500,N$2,0),Техника!$F$4:$ABM$4,"Часы",INDEX(Техника!$G$1:$ABN$500,N$2,0),$A$1439,INDEX(Техника!$H$1:$ABO$500,N$2,0),"З")</f>
        <v>0</v>
      </c>
      <c r="O1444" s="50">
        <f>SUMIFS(INDEX(Техника!$F$1:$ABM$500,O$2,0),Техника!$F$4:$ABM$4,"Часы",INDEX(Техника!$G$1:$ABN$500,O$2,0),$A$1439,INDEX(Техника!$H$1:$ABO$500,O$2,0),"З")</f>
        <v>0</v>
      </c>
      <c r="P1444" s="50">
        <f>SUMIFS(INDEX(Техника!$F$1:$ABM$500,P$2,0),Техника!$F$4:$ABM$4,"Часы",INDEX(Техника!$G$1:$ABN$500,P$2,0),$A$1439,INDEX(Техника!$H$1:$ABO$500,P$2,0),"З")</f>
        <v>0</v>
      </c>
      <c r="Q1444" s="50">
        <f>SUMIFS(INDEX(Техника!$F$1:$ABM$500,Q$2,0),Техника!$F$4:$ABM$4,"Часы",INDEX(Техника!$G$1:$ABN$500,Q$2,0),$A$1439,INDEX(Техника!$H$1:$ABO$500,Q$2,0),"З")</f>
        <v>0</v>
      </c>
      <c r="R1444" s="50">
        <f>SUMIFS(INDEX(Техника!$F$1:$ABM$500,R$2,0),Техника!$F$4:$ABM$4,"Часы",INDEX(Техника!$G$1:$ABN$500,R$2,0),$A$1439,INDEX(Техника!$H$1:$ABO$500,R$2,0),"З")</f>
        <v>0</v>
      </c>
      <c r="S1444" s="50">
        <f>SUMIFS(INDEX(Техника!$F$1:$ABM$500,S$2,0),Техника!$F$4:$ABM$4,"Часы",INDEX(Техника!$G$1:$ABN$500,S$2,0),$A$1439,INDEX(Техника!$H$1:$ABO$500,S$2,0),"З")</f>
        <v>0</v>
      </c>
      <c r="T1444" s="50">
        <f>SUMIFS(INDEX(Техника!$F$1:$ABM$500,T$2,0),Техника!$F$4:$ABM$4,"Часы",INDEX(Техника!$G$1:$ABN$500,T$2,0),$A$1439,INDEX(Техника!$H$1:$ABO$500,T$2,0),"З")</f>
        <v>0</v>
      </c>
      <c r="U1444" s="50">
        <f>SUMIFS(INDEX(Техника!$F$1:$ABM$500,U$2,0),Техника!$F$4:$ABM$4,"Часы",INDEX(Техника!$G$1:$ABN$500,U$2,0),$A$1439,INDEX(Техника!$H$1:$ABO$500,U$2,0),"З")</f>
        <v>0</v>
      </c>
      <c r="V1444" s="50">
        <f>SUMIFS(INDEX(Техника!$F$1:$ABM$500,V$2,0),Техника!$F$4:$ABM$4,"Часы",INDEX(Техника!$G$1:$ABN$500,V$2,0),$A$1439,INDEX(Техника!$H$1:$ABO$500,V$2,0),"З")</f>
        <v>0</v>
      </c>
      <c r="W1444" s="50">
        <f>SUMIFS(INDEX(Техника!$F$1:$ABM$500,W$2,0),Техника!$F$4:$ABM$4,"Часы",INDEX(Техника!$G$1:$ABN$500,W$2,0),$A$1439,INDEX(Техника!$H$1:$ABO$500,W$2,0),"З")</f>
        <v>0</v>
      </c>
      <c r="X1444" s="50">
        <f>SUMIFS(INDEX(Техника!$F$1:$ABM$500,X$2,0),Техника!$F$4:$ABM$4,"Часы",INDEX(Техника!$G$1:$ABN$500,X$2,0),$A$1439,INDEX(Техника!$H$1:$ABO$500,X$2,0),"З")</f>
        <v>0</v>
      </c>
      <c r="Y1444" s="50">
        <f>SUMIFS(INDEX(Техника!$F$1:$ABM$500,Y$2,0),Техника!$F$4:$ABM$4,"Часы",INDEX(Техника!$G$1:$ABN$500,Y$2,0),$A$1439,INDEX(Техника!$H$1:$ABO$500,Y$2,0),"З")</f>
        <v>0</v>
      </c>
      <c r="Z1444" s="50">
        <f>SUMIFS(INDEX(Техника!$F$1:$ABM$500,Z$2,0),Техника!$F$4:$ABM$4,"Часы",INDEX(Техника!$G$1:$ABN$500,Z$2,0),$A$1439,INDEX(Техника!$H$1:$ABO$500,Z$2,0),"З")</f>
        <v>0</v>
      </c>
      <c r="AA1444" s="50">
        <f>SUMIFS(INDEX(Техника!$F$1:$ABM$500,AA$2,0),Техника!$F$4:$ABM$4,"Часы",INDEX(Техника!$G$1:$ABN$500,AA$2,0),$A$1439,INDEX(Техника!$H$1:$ABO$500,AA$2,0),"З")</f>
        <v>0</v>
      </c>
      <c r="AB1444" s="50">
        <f>SUMIFS(INDEX(Техника!$F$1:$ABM$500,AB$2,0),Техника!$F$4:$ABM$4,"Часы",INDEX(Техника!$G$1:$ABN$500,AB$2,0),$A$1439,INDEX(Техника!$H$1:$ABO$500,AB$2,0),"З")</f>
        <v>0</v>
      </c>
    </row>
    <row r="1445" spans="1:28" ht="7.95" customHeight="1" x14ac:dyDescent="0.3">
      <c r="A1445" s="38"/>
      <c r="B1445" s="39"/>
      <c r="C1445" s="51"/>
      <c r="D1445" s="51"/>
      <c r="E1445" s="51"/>
      <c r="F1445" s="51"/>
      <c r="G1445" s="51"/>
      <c r="H1445" s="51"/>
      <c r="I1445" s="51"/>
      <c r="J1445" s="51"/>
      <c r="K1445" s="51"/>
      <c r="L1445" s="51"/>
      <c r="M1445" s="51"/>
      <c r="N1445" s="51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</row>
    <row r="1446" spans="1:28" ht="25.05" customHeight="1" collapsed="1" x14ac:dyDescent="0.3">
      <c r="A1446" s="32">
        <v>207</v>
      </c>
      <c r="B1446" s="32" t="s">
        <v>208</v>
      </c>
      <c r="C1446" s="49">
        <f>SUM(C1447:C1451)</f>
        <v>0</v>
      </c>
      <c r="D1446" s="49">
        <f>SUM(D1447:D1451)</f>
        <v>0</v>
      </c>
      <c r="E1446" s="49">
        <f>SUM(E1447:E1451)</f>
        <v>0</v>
      </c>
      <c r="F1446" s="49">
        <f>SUM(F1447:F1451)</f>
        <v>0</v>
      </c>
      <c r="G1446" s="49">
        <f>SUM(G1447:G1451)</f>
        <v>0</v>
      </c>
      <c r="H1446" s="49">
        <f>SUM(H1447:H1451)</f>
        <v>0</v>
      </c>
      <c r="I1446" s="49">
        <f>SUM(I1447:I1451)</f>
        <v>0</v>
      </c>
      <c r="J1446" s="49">
        <f>SUM(J1447:J1451)</f>
        <v>0</v>
      </c>
      <c r="K1446" s="49">
        <f>SUM(K1447:K1451)</f>
        <v>0</v>
      </c>
      <c r="L1446" s="49">
        <f>SUM(L1447:L1451)</f>
        <v>0</v>
      </c>
      <c r="M1446" s="49">
        <f>SUM(M1447:M1451)</f>
        <v>0</v>
      </c>
      <c r="N1446" s="49">
        <f>SUM(N1447:N1451)</f>
        <v>0</v>
      </c>
      <c r="O1446" s="49">
        <f>SUM(O1447:O1451)</f>
        <v>0</v>
      </c>
      <c r="P1446" s="49">
        <f>SUM(P1447:P1451)</f>
        <v>0</v>
      </c>
      <c r="Q1446" s="49">
        <f>SUM(Q1447:Q1451)</f>
        <v>0</v>
      </c>
      <c r="R1446" s="49">
        <f>SUM(R1447:R1451)</f>
        <v>0</v>
      </c>
      <c r="S1446" s="49">
        <f>SUM(S1447:S1451)</f>
        <v>0</v>
      </c>
      <c r="T1446" s="49">
        <f>SUM(T1447:T1451)</f>
        <v>0</v>
      </c>
      <c r="U1446" s="49">
        <f>SUM(U1447:U1451)</f>
        <v>0</v>
      </c>
      <c r="V1446" s="49">
        <f>SUM(V1447:V1451)</f>
        <v>0</v>
      </c>
      <c r="W1446" s="49">
        <f>SUM(W1447:W1451)</f>
        <v>0</v>
      </c>
      <c r="X1446" s="49">
        <f>SUM(X1447:X1451)</f>
        <v>0</v>
      </c>
      <c r="Y1446" s="49">
        <f>SUM(Y1447:Y1451)</f>
        <v>0</v>
      </c>
      <c r="Z1446" s="49">
        <f>SUM(Z1447:Z1451)</f>
        <v>0</v>
      </c>
      <c r="AA1446" s="49">
        <f>SUM(AA1447:AA1451)</f>
        <v>0</v>
      </c>
      <c r="AB1446" s="49">
        <f>SUM(AB1447:AB1451)</f>
        <v>0</v>
      </c>
    </row>
    <row r="1447" spans="1:28" hidden="1" outlineLevel="1" x14ac:dyDescent="0.3">
      <c r="A1447" s="33" t="s">
        <v>246</v>
      </c>
      <c r="B1447" s="34" t="s">
        <v>274</v>
      </c>
      <c r="C1447" s="50">
        <f>SUMIFS(INDEX(Техника!$F$1:$ABM$500,C$2,0),Техника!$F$4:$ABM$4,"Часы",INDEX(Техника!$G$1:$ABN$500,C$2,0),$A$1446,INDEX(Техника!$H$1:$ABO$500,C$2,0),"М")</f>
        <v>0</v>
      </c>
      <c r="D1447" s="50">
        <f>SUMIFS(INDEX(Техника!$F$1:$ABM$500,D$2,0),Техника!$F$4:$ABM$4,"Часы",INDEX(Техника!$G$1:$ABN$500,D$2,0),$A$1446,INDEX(Техника!$H$1:$ABO$500,D$2,0),"М")</f>
        <v>0</v>
      </c>
      <c r="E1447" s="50">
        <f>SUMIFS(INDEX(Техника!$F$1:$ABM$500,E$2,0),Техника!$F$4:$ABM$4,"Часы",INDEX(Техника!$G$1:$ABN$500,E$2,0),$A$1446,INDEX(Техника!$H$1:$ABO$500,E$2,0),"М")</f>
        <v>0</v>
      </c>
      <c r="F1447" s="50">
        <f>SUMIFS(INDEX(Техника!$F$1:$ABM$500,F$2,0),Техника!$F$4:$ABM$4,"Часы",INDEX(Техника!$G$1:$ABN$500,F$2,0),$A$1446,INDEX(Техника!$H$1:$ABO$500,F$2,0),"М")</f>
        <v>0</v>
      </c>
      <c r="G1447" s="50">
        <f>SUMIFS(INDEX(Техника!$F$1:$ABM$500,G$2,0),Техника!$F$4:$ABM$4,"Часы",INDEX(Техника!$G$1:$ABN$500,G$2,0),$A$1446,INDEX(Техника!$H$1:$ABO$500,G$2,0),"М")</f>
        <v>0</v>
      </c>
      <c r="H1447" s="50">
        <f>SUMIFS(INDEX(Техника!$F$1:$ABM$500,H$2,0),Техника!$F$4:$ABM$4,"Часы",INDEX(Техника!$G$1:$ABN$500,H$2,0),$A$1446,INDEX(Техника!$H$1:$ABO$500,H$2,0),"М")</f>
        <v>0</v>
      </c>
      <c r="I1447" s="50">
        <f>SUMIFS(INDEX(Техника!$F$1:$ABM$500,I$2,0),Техника!$F$4:$ABM$4,"Часы",INDEX(Техника!$G$1:$ABN$500,I$2,0),$A$1446,INDEX(Техника!$H$1:$ABO$500,I$2,0),"М")</f>
        <v>0</v>
      </c>
      <c r="J1447" s="50">
        <f>SUMIFS(INDEX(Техника!$F$1:$ABM$500,J$2,0),Техника!$F$4:$ABM$4,"Часы",INDEX(Техника!$G$1:$ABN$500,J$2,0),$A$1446,INDEX(Техника!$H$1:$ABO$500,J$2,0),"М")</f>
        <v>0</v>
      </c>
      <c r="K1447" s="50">
        <f>SUMIFS(INDEX(Техника!$F$1:$ABM$500,K$2,0),Техника!$F$4:$ABM$4,"Часы",INDEX(Техника!$G$1:$ABN$500,K$2,0),$A$1446,INDEX(Техника!$H$1:$ABO$500,K$2,0),"М")</f>
        <v>0</v>
      </c>
      <c r="L1447" s="50">
        <f>SUMIFS(INDEX(Техника!$F$1:$ABM$500,L$2,0),Техника!$F$4:$ABM$4,"Часы",INDEX(Техника!$G$1:$ABN$500,L$2,0),$A$1446,INDEX(Техника!$H$1:$ABO$500,L$2,0),"М")</f>
        <v>0</v>
      </c>
      <c r="M1447" s="50">
        <f>SUMIFS(INDEX(Техника!$F$1:$ABM$500,M$2,0),Техника!$F$4:$ABM$4,"Часы",INDEX(Техника!$G$1:$ABN$500,M$2,0),$A$1446,INDEX(Техника!$H$1:$ABO$500,M$2,0),"М")</f>
        <v>0</v>
      </c>
      <c r="N1447" s="50">
        <f>SUMIFS(INDEX(Техника!$F$1:$ABM$500,N$2,0),Техника!$F$4:$ABM$4,"Часы",INDEX(Техника!$G$1:$ABN$500,N$2,0),$A$1446,INDEX(Техника!$H$1:$ABO$500,N$2,0),"М")</f>
        <v>0</v>
      </c>
      <c r="O1447" s="50">
        <f>SUMIFS(INDEX(Техника!$F$1:$ABM$500,O$2,0),Техника!$F$4:$ABM$4,"Часы",INDEX(Техника!$G$1:$ABN$500,O$2,0),$A$1446,INDEX(Техника!$H$1:$ABO$500,O$2,0),"М")</f>
        <v>0</v>
      </c>
      <c r="P1447" s="50">
        <f>SUMIFS(INDEX(Техника!$F$1:$ABM$500,P$2,0),Техника!$F$4:$ABM$4,"Часы",INDEX(Техника!$G$1:$ABN$500,P$2,0),$A$1446,INDEX(Техника!$H$1:$ABO$500,P$2,0),"М")</f>
        <v>0</v>
      </c>
      <c r="Q1447" s="50">
        <f>SUMIFS(INDEX(Техника!$F$1:$ABM$500,Q$2,0),Техника!$F$4:$ABM$4,"Часы",INDEX(Техника!$G$1:$ABN$500,Q$2,0),$A$1446,INDEX(Техника!$H$1:$ABO$500,Q$2,0),"М")</f>
        <v>0</v>
      </c>
      <c r="R1447" s="50">
        <f>SUMIFS(INDEX(Техника!$F$1:$ABM$500,R$2,0),Техника!$F$4:$ABM$4,"Часы",INDEX(Техника!$G$1:$ABN$500,R$2,0),$A$1446,INDEX(Техника!$H$1:$ABO$500,R$2,0),"М")</f>
        <v>0</v>
      </c>
      <c r="S1447" s="50">
        <f>SUMIFS(INDEX(Техника!$F$1:$ABM$500,S$2,0),Техника!$F$4:$ABM$4,"Часы",INDEX(Техника!$G$1:$ABN$500,S$2,0),$A$1446,INDEX(Техника!$H$1:$ABO$500,S$2,0),"М")</f>
        <v>0</v>
      </c>
      <c r="T1447" s="50">
        <f>SUMIFS(INDEX(Техника!$F$1:$ABM$500,T$2,0),Техника!$F$4:$ABM$4,"Часы",INDEX(Техника!$G$1:$ABN$500,T$2,0),$A$1446,INDEX(Техника!$H$1:$ABO$500,T$2,0),"М")</f>
        <v>0</v>
      </c>
      <c r="U1447" s="50">
        <f>SUMIFS(INDEX(Техника!$F$1:$ABM$500,U$2,0),Техника!$F$4:$ABM$4,"Часы",INDEX(Техника!$G$1:$ABN$500,U$2,0),$A$1446,INDEX(Техника!$H$1:$ABO$500,U$2,0),"М")</f>
        <v>0</v>
      </c>
      <c r="V1447" s="50">
        <f>SUMIFS(INDEX(Техника!$F$1:$ABM$500,V$2,0),Техника!$F$4:$ABM$4,"Часы",INDEX(Техника!$G$1:$ABN$500,V$2,0),$A$1446,INDEX(Техника!$H$1:$ABO$500,V$2,0),"М")</f>
        <v>0</v>
      </c>
      <c r="W1447" s="50">
        <f>SUMIFS(INDEX(Техника!$F$1:$ABM$500,W$2,0),Техника!$F$4:$ABM$4,"Часы",INDEX(Техника!$G$1:$ABN$500,W$2,0),$A$1446,INDEX(Техника!$H$1:$ABO$500,W$2,0),"М")</f>
        <v>0</v>
      </c>
      <c r="X1447" s="50">
        <f>SUMIFS(INDEX(Техника!$F$1:$ABM$500,X$2,0),Техника!$F$4:$ABM$4,"Часы",INDEX(Техника!$G$1:$ABN$500,X$2,0),$A$1446,INDEX(Техника!$H$1:$ABO$500,X$2,0),"М")</f>
        <v>0</v>
      </c>
      <c r="Y1447" s="50">
        <f>SUMIFS(INDEX(Техника!$F$1:$ABM$500,Y$2,0),Техника!$F$4:$ABM$4,"Часы",INDEX(Техника!$G$1:$ABN$500,Y$2,0),$A$1446,INDEX(Техника!$H$1:$ABO$500,Y$2,0),"М")</f>
        <v>0</v>
      </c>
      <c r="Z1447" s="50">
        <f>SUMIFS(INDEX(Техника!$F$1:$ABM$500,Z$2,0),Техника!$F$4:$ABM$4,"Часы",INDEX(Техника!$G$1:$ABN$500,Z$2,0),$A$1446,INDEX(Техника!$H$1:$ABO$500,Z$2,0),"М")</f>
        <v>0</v>
      </c>
      <c r="AA1447" s="50">
        <f>SUMIFS(INDEX(Техника!$F$1:$ABM$500,AA$2,0),Техника!$F$4:$ABM$4,"Часы",INDEX(Техника!$G$1:$ABN$500,AA$2,0),$A$1446,INDEX(Техника!$H$1:$ABO$500,AA$2,0),"М")</f>
        <v>0</v>
      </c>
      <c r="AB1447" s="50">
        <f>SUMIFS(INDEX(Техника!$F$1:$ABM$500,AB$2,0),Техника!$F$4:$ABM$4,"Часы",INDEX(Техника!$G$1:$ABN$500,AB$2,0),$A$1446,INDEX(Техника!$H$1:$ABO$500,AB$2,0),"М")</f>
        <v>0</v>
      </c>
    </row>
    <row r="1448" spans="1:28" hidden="1" outlineLevel="1" x14ac:dyDescent="0.3">
      <c r="A1448" s="33" t="s">
        <v>244</v>
      </c>
      <c r="B1448" s="34" t="s">
        <v>275</v>
      </c>
      <c r="C1448" s="50">
        <f>SUMIFS(INDEX(Техника!$F$1:$ABM$500,C$2,0),Техника!$F$4:$ABM$4,"Часы",INDEX(Техника!$G$1:$ABN$500,C$2,0),$A$1446,INDEX(Техника!$H$1:$ABO$500,C$2,0),"Д")</f>
        <v>0</v>
      </c>
      <c r="D1448" s="50">
        <f>SUMIFS(INDEX(Техника!$F$1:$ABM$500,D$2,0),Техника!$F$4:$ABM$4,"Часы",INDEX(Техника!$G$1:$ABN$500,D$2,0),$A$1446,INDEX(Техника!$H$1:$ABO$500,D$2,0),"Д")</f>
        <v>0</v>
      </c>
      <c r="E1448" s="50">
        <f>SUMIFS(INDEX(Техника!$F$1:$ABM$500,E$2,0),Техника!$F$4:$ABM$4,"Часы",INDEX(Техника!$G$1:$ABN$500,E$2,0),$A$1446,INDEX(Техника!$H$1:$ABO$500,E$2,0),"Д")</f>
        <v>0</v>
      </c>
      <c r="F1448" s="50">
        <f>SUMIFS(INDEX(Техника!$F$1:$ABM$500,F$2,0),Техника!$F$4:$ABM$4,"Часы",INDEX(Техника!$G$1:$ABN$500,F$2,0),$A$1446,INDEX(Техника!$H$1:$ABO$500,F$2,0),"Д")</f>
        <v>0</v>
      </c>
      <c r="G1448" s="50">
        <f>SUMIFS(INDEX(Техника!$F$1:$ABM$500,G$2,0),Техника!$F$4:$ABM$4,"Часы",INDEX(Техника!$G$1:$ABN$500,G$2,0),$A$1446,INDEX(Техника!$H$1:$ABO$500,G$2,0),"Д")</f>
        <v>0</v>
      </c>
      <c r="H1448" s="50">
        <f>SUMIFS(INDEX(Техника!$F$1:$ABM$500,H$2,0),Техника!$F$4:$ABM$4,"Часы",INDEX(Техника!$G$1:$ABN$500,H$2,0),$A$1446,INDEX(Техника!$H$1:$ABO$500,H$2,0),"Д")</f>
        <v>0</v>
      </c>
      <c r="I1448" s="50">
        <f>SUMIFS(INDEX(Техника!$F$1:$ABM$500,I$2,0),Техника!$F$4:$ABM$4,"Часы",INDEX(Техника!$G$1:$ABN$500,I$2,0),$A$1446,INDEX(Техника!$H$1:$ABO$500,I$2,0),"Д")</f>
        <v>0</v>
      </c>
      <c r="J1448" s="50">
        <f>SUMIFS(INDEX(Техника!$F$1:$ABM$500,J$2,0),Техника!$F$4:$ABM$4,"Часы",INDEX(Техника!$G$1:$ABN$500,J$2,0),$A$1446,INDEX(Техника!$H$1:$ABO$500,J$2,0),"Д")</f>
        <v>0</v>
      </c>
      <c r="K1448" s="50">
        <f>SUMIFS(INDEX(Техника!$F$1:$ABM$500,K$2,0),Техника!$F$4:$ABM$4,"Часы",INDEX(Техника!$G$1:$ABN$500,K$2,0),$A$1446,INDEX(Техника!$H$1:$ABO$500,K$2,0),"Д")</f>
        <v>0</v>
      </c>
      <c r="L1448" s="50">
        <f>SUMIFS(INDEX(Техника!$F$1:$ABM$500,L$2,0),Техника!$F$4:$ABM$4,"Часы",INDEX(Техника!$G$1:$ABN$500,L$2,0),$A$1446,INDEX(Техника!$H$1:$ABO$500,L$2,0),"Д")</f>
        <v>0</v>
      </c>
      <c r="M1448" s="50">
        <f>SUMIFS(INDEX(Техника!$F$1:$ABM$500,M$2,0),Техника!$F$4:$ABM$4,"Часы",INDEX(Техника!$G$1:$ABN$500,M$2,0),$A$1446,INDEX(Техника!$H$1:$ABO$500,M$2,0),"Д")</f>
        <v>0</v>
      </c>
      <c r="N1448" s="50">
        <f>SUMIFS(INDEX(Техника!$F$1:$ABM$500,N$2,0),Техника!$F$4:$ABM$4,"Часы",INDEX(Техника!$G$1:$ABN$500,N$2,0),$A$1446,INDEX(Техника!$H$1:$ABO$500,N$2,0),"Д")</f>
        <v>0</v>
      </c>
      <c r="O1448" s="50">
        <f>SUMIFS(INDEX(Техника!$F$1:$ABM$500,O$2,0),Техника!$F$4:$ABM$4,"Часы",INDEX(Техника!$G$1:$ABN$500,O$2,0),$A$1446,INDEX(Техника!$H$1:$ABO$500,O$2,0),"Д")</f>
        <v>0</v>
      </c>
      <c r="P1448" s="50">
        <f>SUMIFS(INDEX(Техника!$F$1:$ABM$500,P$2,0),Техника!$F$4:$ABM$4,"Часы",INDEX(Техника!$G$1:$ABN$500,P$2,0),$A$1446,INDEX(Техника!$H$1:$ABO$500,P$2,0),"Д")</f>
        <v>0</v>
      </c>
      <c r="Q1448" s="50">
        <f>SUMIFS(INDEX(Техника!$F$1:$ABM$500,Q$2,0),Техника!$F$4:$ABM$4,"Часы",INDEX(Техника!$G$1:$ABN$500,Q$2,0),$A$1446,INDEX(Техника!$H$1:$ABO$500,Q$2,0),"Д")</f>
        <v>0</v>
      </c>
      <c r="R1448" s="50">
        <f>SUMIFS(INDEX(Техника!$F$1:$ABM$500,R$2,0),Техника!$F$4:$ABM$4,"Часы",INDEX(Техника!$G$1:$ABN$500,R$2,0),$A$1446,INDEX(Техника!$H$1:$ABO$500,R$2,0),"Д")</f>
        <v>0</v>
      </c>
      <c r="S1448" s="50">
        <f>SUMIFS(INDEX(Техника!$F$1:$ABM$500,S$2,0),Техника!$F$4:$ABM$4,"Часы",INDEX(Техника!$G$1:$ABN$500,S$2,0),$A$1446,INDEX(Техника!$H$1:$ABO$500,S$2,0),"Д")</f>
        <v>0</v>
      </c>
      <c r="T1448" s="50">
        <f>SUMIFS(INDEX(Техника!$F$1:$ABM$500,T$2,0),Техника!$F$4:$ABM$4,"Часы",INDEX(Техника!$G$1:$ABN$500,T$2,0),$A$1446,INDEX(Техника!$H$1:$ABO$500,T$2,0),"Д")</f>
        <v>0</v>
      </c>
      <c r="U1448" s="50">
        <f>SUMIFS(INDEX(Техника!$F$1:$ABM$500,U$2,0),Техника!$F$4:$ABM$4,"Часы",INDEX(Техника!$G$1:$ABN$500,U$2,0),$A$1446,INDEX(Техника!$H$1:$ABO$500,U$2,0),"Д")</f>
        <v>0</v>
      </c>
      <c r="V1448" s="50">
        <f>SUMIFS(INDEX(Техника!$F$1:$ABM$500,V$2,0),Техника!$F$4:$ABM$4,"Часы",INDEX(Техника!$G$1:$ABN$500,V$2,0),$A$1446,INDEX(Техника!$H$1:$ABO$500,V$2,0),"Д")</f>
        <v>0</v>
      </c>
      <c r="W1448" s="50">
        <f>SUMIFS(INDEX(Техника!$F$1:$ABM$500,W$2,0),Техника!$F$4:$ABM$4,"Часы",INDEX(Техника!$G$1:$ABN$500,W$2,0),$A$1446,INDEX(Техника!$H$1:$ABO$500,W$2,0),"Д")</f>
        <v>0</v>
      </c>
      <c r="X1448" s="50">
        <f>SUMIFS(INDEX(Техника!$F$1:$ABM$500,X$2,0),Техника!$F$4:$ABM$4,"Часы",INDEX(Техника!$G$1:$ABN$500,X$2,0),$A$1446,INDEX(Техника!$H$1:$ABO$500,X$2,0),"Д")</f>
        <v>0</v>
      </c>
      <c r="Y1448" s="50">
        <f>SUMIFS(INDEX(Техника!$F$1:$ABM$500,Y$2,0),Техника!$F$4:$ABM$4,"Часы",INDEX(Техника!$G$1:$ABN$500,Y$2,0),$A$1446,INDEX(Техника!$H$1:$ABO$500,Y$2,0),"Д")</f>
        <v>0</v>
      </c>
      <c r="Z1448" s="50">
        <f>SUMIFS(INDEX(Техника!$F$1:$ABM$500,Z$2,0),Техника!$F$4:$ABM$4,"Часы",INDEX(Техника!$G$1:$ABN$500,Z$2,0),$A$1446,INDEX(Техника!$H$1:$ABO$500,Z$2,0),"Д")</f>
        <v>0</v>
      </c>
      <c r="AA1448" s="50">
        <f>SUMIFS(INDEX(Техника!$F$1:$ABM$500,AA$2,0),Техника!$F$4:$ABM$4,"Часы",INDEX(Техника!$G$1:$ABN$500,AA$2,0),$A$1446,INDEX(Техника!$H$1:$ABO$500,AA$2,0),"Д")</f>
        <v>0</v>
      </c>
      <c r="AB1448" s="50">
        <f>SUMIFS(INDEX(Техника!$F$1:$ABM$500,AB$2,0),Техника!$F$4:$ABM$4,"Часы",INDEX(Техника!$G$1:$ABN$500,AB$2,0),$A$1446,INDEX(Техника!$H$1:$ABO$500,AB$2,0),"Д")</f>
        <v>0</v>
      </c>
    </row>
    <row r="1449" spans="1:28" hidden="1" outlineLevel="1" x14ac:dyDescent="0.3">
      <c r="A1449" s="33" t="s">
        <v>276</v>
      </c>
      <c r="B1449" s="34" t="s">
        <v>277</v>
      </c>
      <c r="C1449" s="50">
        <f>SUMIFS(INDEX(Техника!$F$1:$ABM$500,C$2,0),Техника!$F$4:$ABM$4,"Часы",INDEX(Техника!$G$1:$ABN$500,C$2,0),$A$1446,INDEX(Техника!$H$1:$ABO$500,C$2,0),"П")</f>
        <v>0</v>
      </c>
      <c r="D1449" s="50">
        <f>SUMIFS(INDEX(Техника!$F$1:$ABM$500,D$2,0),Техника!$F$4:$ABM$4,"Часы",INDEX(Техника!$G$1:$ABN$500,D$2,0),$A$1446,INDEX(Техника!$H$1:$ABO$500,D$2,0),"П")</f>
        <v>0</v>
      </c>
      <c r="E1449" s="50">
        <f>SUMIFS(INDEX(Техника!$F$1:$ABM$500,E$2,0),Техника!$F$4:$ABM$4,"Часы",INDEX(Техника!$G$1:$ABN$500,E$2,0),$A$1446,INDEX(Техника!$H$1:$ABO$500,E$2,0),"П")</f>
        <v>0</v>
      </c>
      <c r="F1449" s="50">
        <f>SUMIFS(INDEX(Техника!$F$1:$ABM$500,F$2,0),Техника!$F$4:$ABM$4,"Часы",INDEX(Техника!$G$1:$ABN$500,F$2,0),$A$1446,INDEX(Техника!$H$1:$ABO$500,F$2,0),"П")</f>
        <v>0</v>
      </c>
      <c r="G1449" s="50">
        <f>SUMIFS(INDEX(Техника!$F$1:$ABM$500,G$2,0),Техника!$F$4:$ABM$4,"Часы",INDEX(Техника!$G$1:$ABN$500,G$2,0),$A$1446,INDEX(Техника!$H$1:$ABO$500,G$2,0),"П")</f>
        <v>0</v>
      </c>
      <c r="H1449" s="50">
        <f>SUMIFS(INDEX(Техника!$F$1:$ABM$500,H$2,0),Техника!$F$4:$ABM$4,"Часы",INDEX(Техника!$G$1:$ABN$500,H$2,0),$A$1446,INDEX(Техника!$H$1:$ABO$500,H$2,0),"П")</f>
        <v>0</v>
      </c>
      <c r="I1449" s="50">
        <f>SUMIFS(INDEX(Техника!$F$1:$ABM$500,I$2,0),Техника!$F$4:$ABM$4,"Часы",INDEX(Техника!$G$1:$ABN$500,I$2,0),$A$1446,INDEX(Техника!$H$1:$ABO$500,I$2,0),"П")</f>
        <v>0</v>
      </c>
      <c r="J1449" s="50">
        <f>SUMIFS(INDEX(Техника!$F$1:$ABM$500,J$2,0),Техника!$F$4:$ABM$4,"Часы",INDEX(Техника!$G$1:$ABN$500,J$2,0),$A$1446,INDEX(Техника!$H$1:$ABO$500,J$2,0),"П")</f>
        <v>0</v>
      </c>
      <c r="K1449" s="50">
        <f>SUMIFS(INDEX(Техника!$F$1:$ABM$500,K$2,0),Техника!$F$4:$ABM$4,"Часы",INDEX(Техника!$G$1:$ABN$500,K$2,0),$A$1446,INDEX(Техника!$H$1:$ABO$500,K$2,0),"П")</f>
        <v>0</v>
      </c>
      <c r="L1449" s="50">
        <f>SUMIFS(INDEX(Техника!$F$1:$ABM$500,L$2,0),Техника!$F$4:$ABM$4,"Часы",INDEX(Техника!$G$1:$ABN$500,L$2,0),$A$1446,INDEX(Техника!$H$1:$ABO$500,L$2,0),"П")</f>
        <v>0</v>
      </c>
      <c r="M1449" s="50">
        <f>SUMIFS(INDEX(Техника!$F$1:$ABM$500,M$2,0),Техника!$F$4:$ABM$4,"Часы",INDEX(Техника!$G$1:$ABN$500,M$2,0),$A$1446,INDEX(Техника!$H$1:$ABO$500,M$2,0),"П")</f>
        <v>0</v>
      </c>
      <c r="N1449" s="50">
        <f>SUMIFS(INDEX(Техника!$F$1:$ABM$500,N$2,0),Техника!$F$4:$ABM$4,"Часы",INDEX(Техника!$G$1:$ABN$500,N$2,0),$A$1446,INDEX(Техника!$H$1:$ABO$500,N$2,0),"П")</f>
        <v>0</v>
      </c>
      <c r="O1449" s="50">
        <f>SUMIFS(INDEX(Техника!$F$1:$ABM$500,O$2,0),Техника!$F$4:$ABM$4,"Часы",INDEX(Техника!$G$1:$ABN$500,O$2,0),$A$1446,INDEX(Техника!$H$1:$ABO$500,O$2,0),"П")</f>
        <v>0</v>
      </c>
      <c r="P1449" s="50">
        <f>SUMIFS(INDEX(Техника!$F$1:$ABM$500,P$2,0),Техника!$F$4:$ABM$4,"Часы",INDEX(Техника!$G$1:$ABN$500,P$2,0),$A$1446,INDEX(Техника!$H$1:$ABO$500,P$2,0),"П")</f>
        <v>0</v>
      </c>
      <c r="Q1449" s="50">
        <f>SUMIFS(INDEX(Техника!$F$1:$ABM$500,Q$2,0),Техника!$F$4:$ABM$4,"Часы",INDEX(Техника!$G$1:$ABN$500,Q$2,0),$A$1446,INDEX(Техника!$H$1:$ABO$500,Q$2,0),"П")</f>
        <v>0</v>
      </c>
      <c r="R1449" s="50">
        <f>SUMIFS(INDEX(Техника!$F$1:$ABM$500,R$2,0),Техника!$F$4:$ABM$4,"Часы",INDEX(Техника!$G$1:$ABN$500,R$2,0),$A$1446,INDEX(Техника!$H$1:$ABO$500,R$2,0),"П")</f>
        <v>0</v>
      </c>
      <c r="S1449" s="50">
        <f>SUMIFS(INDEX(Техника!$F$1:$ABM$500,S$2,0),Техника!$F$4:$ABM$4,"Часы",INDEX(Техника!$G$1:$ABN$500,S$2,0),$A$1446,INDEX(Техника!$H$1:$ABO$500,S$2,0),"П")</f>
        <v>0</v>
      </c>
      <c r="T1449" s="50">
        <f>SUMIFS(INDEX(Техника!$F$1:$ABM$500,T$2,0),Техника!$F$4:$ABM$4,"Часы",INDEX(Техника!$G$1:$ABN$500,T$2,0),$A$1446,INDEX(Техника!$H$1:$ABO$500,T$2,0),"П")</f>
        <v>0</v>
      </c>
      <c r="U1449" s="50">
        <f>SUMIFS(INDEX(Техника!$F$1:$ABM$500,U$2,0),Техника!$F$4:$ABM$4,"Часы",INDEX(Техника!$G$1:$ABN$500,U$2,0),$A$1446,INDEX(Техника!$H$1:$ABO$500,U$2,0),"П")</f>
        <v>0</v>
      </c>
      <c r="V1449" s="50">
        <f>SUMIFS(INDEX(Техника!$F$1:$ABM$500,V$2,0),Техника!$F$4:$ABM$4,"Часы",INDEX(Техника!$G$1:$ABN$500,V$2,0),$A$1446,INDEX(Техника!$H$1:$ABO$500,V$2,0),"П")</f>
        <v>0</v>
      </c>
      <c r="W1449" s="50">
        <f>SUMIFS(INDEX(Техника!$F$1:$ABM$500,W$2,0),Техника!$F$4:$ABM$4,"Часы",INDEX(Техника!$G$1:$ABN$500,W$2,0),$A$1446,INDEX(Техника!$H$1:$ABO$500,W$2,0),"П")</f>
        <v>0</v>
      </c>
      <c r="X1449" s="50">
        <f>SUMIFS(INDEX(Техника!$F$1:$ABM$500,X$2,0),Техника!$F$4:$ABM$4,"Часы",INDEX(Техника!$G$1:$ABN$500,X$2,0),$A$1446,INDEX(Техника!$H$1:$ABO$500,X$2,0),"П")</f>
        <v>0</v>
      </c>
      <c r="Y1449" s="50">
        <f>SUMIFS(INDEX(Техника!$F$1:$ABM$500,Y$2,0),Техника!$F$4:$ABM$4,"Часы",INDEX(Техника!$G$1:$ABN$500,Y$2,0),$A$1446,INDEX(Техника!$H$1:$ABO$500,Y$2,0),"П")</f>
        <v>0</v>
      </c>
      <c r="Z1449" s="50">
        <f>SUMIFS(INDEX(Техника!$F$1:$ABM$500,Z$2,0),Техника!$F$4:$ABM$4,"Часы",INDEX(Техника!$G$1:$ABN$500,Z$2,0),$A$1446,INDEX(Техника!$H$1:$ABO$500,Z$2,0),"П")</f>
        <v>0</v>
      </c>
      <c r="AA1449" s="50">
        <f>SUMIFS(INDEX(Техника!$F$1:$ABM$500,AA$2,0),Техника!$F$4:$ABM$4,"Часы",INDEX(Техника!$G$1:$ABN$500,AA$2,0),$A$1446,INDEX(Техника!$H$1:$ABO$500,AA$2,0),"П")</f>
        <v>0</v>
      </c>
      <c r="AB1449" s="50">
        <f>SUMIFS(INDEX(Техника!$F$1:$ABM$500,AB$2,0),Техника!$F$4:$ABM$4,"Часы",INDEX(Техника!$G$1:$ABN$500,AB$2,0),$A$1446,INDEX(Техника!$H$1:$ABO$500,AB$2,0),"П")</f>
        <v>0</v>
      </c>
    </row>
    <row r="1450" spans="1:28" hidden="1" outlineLevel="1" x14ac:dyDescent="0.3">
      <c r="A1450" s="33" t="s">
        <v>243</v>
      </c>
      <c r="B1450" s="34" t="s">
        <v>278</v>
      </c>
      <c r="C1450" s="50">
        <f>SUMIFS(INDEX(Техника!$F$1:$ABM$500,C$2,0),Техника!$F$4:$ABM$4,"Часы",INDEX(Техника!$G$1:$ABN$500,C$2,0),$A$1446,INDEX(Техника!$H$1:$ABO$500,C$2,0),"Л")</f>
        <v>0</v>
      </c>
      <c r="D1450" s="50">
        <f>SUMIFS(INDEX(Техника!$F$1:$ABM$500,D$2,0),Техника!$F$4:$ABM$4,"Часы",INDEX(Техника!$G$1:$ABN$500,D$2,0),$A$1446,INDEX(Техника!$H$1:$ABO$500,D$2,0),"Л")</f>
        <v>0</v>
      </c>
      <c r="E1450" s="50">
        <f>SUMIFS(INDEX(Техника!$F$1:$ABM$500,E$2,0),Техника!$F$4:$ABM$4,"Часы",INDEX(Техника!$G$1:$ABN$500,E$2,0),$A$1446,INDEX(Техника!$H$1:$ABO$500,E$2,0),"Л")</f>
        <v>0</v>
      </c>
      <c r="F1450" s="50">
        <f>SUMIFS(INDEX(Техника!$F$1:$ABM$500,F$2,0),Техника!$F$4:$ABM$4,"Часы",INDEX(Техника!$G$1:$ABN$500,F$2,0),$A$1446,INDEX(Техника!$H$1:$ABO$500,F$2,0),"Л")</f>
        <v>0</v>
      </c>
      <c r="G1450" s="50">
        <f>SUMIFS(INDEX(Техника!$F$1:$ABM$500,G$2,0),Техника!$F$4:$ABM$4,"Часы",INDEX(Техника!$G$1:$ABN$500,G$2,0),$A$1446,INDEX(Техника!$H$1:$ABO$500,G$2,0),"Л")</f>
        <v>0</v>
      </c>
      <c r="H1450" s="50">
        <f>SUMIFS(INDEX(Техника!$F$1:$ABM$500,H$2,0),Техника!$F$4:$ABM$4,"Часы",INDEX(Техника!$G$1:$ABN$500,H$2,0),$A$1446,INDEX(Техника!$H$1:$ABO$500,H$2,0),"Л")</f>
        <v>0</v>
      </c>
      <c r="I1450" s="50">
        <f>SUMIFS(INDEX(Техника!$F$1:$ABM$500,I$2,0),Техника!$F$4:$ABM$4,"Часы",INDEX(Техника!$G$1:$ABN$500,I$2,0),$A$1446,INDEX(Техника!$H$1:$ABO$500,I$2,0),"Л")</f>
        <v>0</v>
      </c>
      <c r="J1450" s="50">
        <f>SUMIFS(INDEX(Техника!$F$1:$ABM$500,J$2,0),Техника!$F$4:$ABM$4,"Часы",INDEX(Техника!$G$1:$ABN$500,J$2,0),$A$1446,INDEX(Техника!$H$1:$ABO$500,J$2,0),"Л")</f>
        <v>0</v>
      </c>
      <c r="K1450" s="50">
        <f>SUMIFS(INDEX(Техника!$F$1:$ABM$500,K$2,0),Техника!$F$4:$ABM$4,"Часы",INDEX(Техника!$G$1:$ABN$500,K$2,0),$A$1446,INDEX(Техника!$H$1:$ABO$500,K$2,0),"Л")</f>
        <v>0</v>
      </c>
      <c r="L1450" s="50">
        <f>SUMIFS(INDEX(Техника!$F$1:$ABM$500,L$2,0),Техника!$F$4:$ABM$4,"Часы",INDEX(Техника!$G$1:$ABN$500,L$2,0),$A$1446,INDEX(Техника!$H$1:$ABO$500,L$2,0),"Л")</f>
        <v>0</v>
      </c>
      <c r="M1450" s="50">
        <f>SUMIFS(INDEX(Техника!$F$1:$ABM$500,M$2,0),Техника!$F$4:$ABM$4,"Часы",INDEX(Техника!$G$1:$ABN$500,M$2,0),$A$1446,INDEX(Техника!$H$1:$ABO$500,M$2,0),"Л")</f>
        <v>0</v>
      </c>
      <c r="N1450" s="50">
        <f>SUMIFS(INDEX(Техника!$F$1:$ABM$500,N$2,0),Техника!$F$4:$ABM$4,"Часы",INDEX(Техника!$G$1:$ABN$500,N$2,0),$A$1446,INDEX(Техника!$H$1:$ABO$500,N$2,0),"Л")</f>
        <v>0</v>
      </c>
      <c r="O1450" s="50">
        <f>SUMIFS(INDEX(Техника!$F$1:$ABM$500,O$2,0),Техника!$F$4:$ABM$4,"Часы",INDEX(Техника!$G$1:$ABN$500,O$2,0),$A$1446,INDEX(Техника!$H$1:$ABO$500,O$2,0),"Л")</f>
        <v>0</v>
      </c>
      <c r="P1450" s="50">
        <f>SUMIFS(INDEX(Техника!$F$1:$ABM$500,P$2,0),Техника!$F$4:$ABM$4,"Часы",INDEX(Техника!$G$1:$ABN$500,P$2,0),$A$1446,INDEX(Техника!$H$1:$ABO$500,P$2,0),"Л")</f>
        <v>0</v>
      </c>
      <c r="Q1450" s="50">
        <f>SUMIFS(INDEX(Техника!$F$1:$ABM$500,Q$2,0),Техника!$F$4:$ABM$4,"Часы",INDEX(Техника!$G$1:$ABN$500,Q$2,0),$A$1446,INDEX(Техника!$H$1:$ABO$500,Q$2,0),"Л")</f>
        <v>0</v>
      </c>
      <c r="R1450" s="50">
        <f>SUMIFS(INDEX(Техника!$F$1:$ABM$500,R$2,0),Техника!$F$4:$ABM$4,"Часы",INDEX(Техника!$G$1:$ABN$500,R$2,0),$A$1446,INDEX(Техника!$H$1:$ABO$500,R$2,0),"Л")</f>
        <v>0</v>
      </c>
      <c r="S1450" s="50">
        <f>SUMIFS(INDEX(Техника!$F$1:$ABM$500,S$2,0),Техника!$F$4:$ABM$4,"Часы",INDEX(Техника!$G$1:$ABN$500,S$2,0),$A$1446,INDEX(Техника!$H$1:$ABO$500,S$2,0),"Л")</f>
        <v>0</v>
      </c>
      <c r="T1450" s="50">
        <f>SUMIFS(INDEX(Техника!$F$1:$ABM$500,T$2,0),Техника!$F$4:$ABM$4,"Часы",INDEX(Техника!$G$1:$ABN$500,T$2,0),$A$1446,INDEX(Техника!$H$1:$ABO$500,T$2,0),"Л")</f>
        <v>0</v>
      </c>
      <c r="U1450" s="50">
        <f>SUMIFS(INDEX(Техника!$F$1:$ABM$500,U$2,0),Техника!$F$4:$ABM$4,"Часы",INDEX(Техника!$G$1:$ABN$500,U$2,0),$A$1446,INDEX(Техника!$H$1:$ABO$500,U$2,0),"Л")</f>
        <v>0</v>
      </c>
      <c r="V1450" s="50">
        <f>SUMIFS(INDEX(Техника!$F$1:$ABM$500,V$2,0),Техника!$F$4:$ABM$4,"Часы",INDEX(Техника!$G$1:$ABN$500,V$2,0),$A$1446,INDEX(Техника!$H$1:$ABO$500,V$2,0),"Л")</f>
        <v>0</v>
      </c>
      <c r="W1450" s="50">
        <f>SUMIFS(INDEX(Техника!$F$1:$ABM$500,W$2,0),Техника!$F$4:$ABM$4,"Часы",INDEX(Техника!$G$1:$ABN$500,W$2,0),$A$1446,INDEX(Техника!$H$1:$ABO$500,W$2,0),"Л")</f>
        <v>0</v>
      </c>
      <c r="X1450" s="50">
        <f>SUMIFS(INDEX(Техника!$F$1:$ABM$500,X$2,0),Техника!$F$4:$ABM$4,"Часы",INDEX(Техника!$G$1:$ABN$500,X$2,0),$A$1446,INDEX(Техника!$H$1:$ABO$500,X$2,0),"Л")</f>
        <v>0</v>
      </c>
      <c r="Y1450" s="50">
        <f>SUMIFS(INDEX(Техника!$F$1:$ABM$500,Y$2,0),Техника!$F$4:$ABM$4,"Часы",INDEX(Техника!$G$1:$ABN$500,Y$2,0),$A$1446,INDEX(Техника!$H$1:$ABO$500,Y$2,0),"Л")</f>
        <v>0</v>
      </c>
      <c r="Z1450" s="50">
        <f>SUMIFS(INDEX(Техника!$F$1:$ABM$500,Z$2,0),Техника!$F$4:$ABM$4,"Часы",INDEX(Техника!$G$1:$ABN$500,Z$2,0),$A$1446,INDEX(Техника!$H$1:$ABO$500,Z$2,0),"Л")</f>
        <v>0</v>
      </c>
      <c r="AA1450" s="50">
        <f>SUMIFS(INDEX(Техника!$F$1:$ABM$500,AA$2,0),Техника!$F$4:$ABM$4,"Часы",INDEX(Техника!$G$1:$ABN$500,AA$2,0),$A$1446,INDEX(Техника!$H$1:$ABO$500,AA$2,0),"Л")</f>
        <v>0</v>
      </c>
      <c r="AB1450" s="50">
        <f>SUMIFS(INDEX(Техника!$F$1:$ABM$500,AB$2,0),Техника!$F$4:$ABM$4,"Часы",INDEX(Техника!$G$1:$ABN$500,AB$2,0),$A$1446,INDEX(Техника!$H$1:$ABO$500,AB$2,0),"Л")</f>
        <v>0</v>
      </c>
    </row>
    <row r="1451" spans="1:28" hidden="1" outlineLevel="1" x14ac:dyDescent="0.3">
      <c r="A1451" s="33" t="s">
        <v>245</v>
      </c>
      <c r="B1451" s="34" t="s">
        <v>279</v>
      </c>
      <c r="C1451" s="50">
        <f>SUMIFS(INDEX(Техника!$F$1:$ABM$500,C$2,0),Техника!$F$4:$ABM$4,"Часы",INDEX(Техника!$G$1:$ABN$500,C$2,0),$A$1446,INDEX(Техника!$H$1:$ABO$500,C$2,0),"З")</f>
        <v>0</v>
      </c>
      <c r="D1451" s="50">
        <f>SUMIFS(INDEX(Техника!$F$1:$ABM$500,D$2,0),Техника!$F$4:$ABM$4,"Часы",INDEX(Техника!$G$1:$ABN$500,D$2,0),$A$1446,INDEX(Техника!$H$1:$ABO$500,D$2,0),"З")</f>
        <v>0</v>
      </c>
      <c r="E1451" s="50">
        <f>SUMIFS(INDEX(Техника!$F$1:$ABM$500,E$2,0),Техника!$F$4:$ABM$4,"Часы",INDEX(Техника!$G$1:$ABN$500,E$2,0),$A$1446,INDEX(Техника!$H$1:$ABO$500,E$2,0),"З")</f>
        <v>0</v>
      </c>
      <c r="F1451" s="50">
        <f>SUMIFS(INDEX(Техника!$F$1:$ABM$500,F$2,0),Техника!$F$4:$ABM$4,"Часы",INDEX(Техника!$G$1:$ABN$500,F$2,0),$A$1446,INDEX(Техника!$H$1:$ABO$500,F$2,0),"З")</f>
        <v>0</v>
      </c>
      <c r="G1451" s="50">
        <f>SUMIFS(INDEX(Техника!$F$1:$ABM$500,G$2,0),Техника!$F$4:$ABM$4,"Часы",INDEX(Техника!$G$1:$ABN$500,G$2,0),$A$1446,INDEX(Техника!$H$1:$ABO$500,G$2,0),"З")</f>
        <v>0</v>
      </c>
      <c r="H1451" s="50">
        <f>SUMIFS(INDEX(Техника!$F$1:$ABM$500,H$2,0),Техника!$F$4:$ABM$4,"Часы",INDEX(Техника!$G$1:$ABN$500,H$2,0),$A$1446,INDEX(Техника!$H$1:$ABO$500,H$2,0),"З")</f>
        <v>0</v>
      </c>
      <c r="I1451" s="50">
        <f>SUMIFS(INDEX(Техника!$F$1:$ABM$500,I$2,0),Техника!$F$4:$ABM$4,"Часы",INDEX(Техника!$G$1:$ABN$500,I$2,0),$A$1446,INDEX(Техника!$H$1:$ABO$500,I$2,0),"З")</f>
        <v>0</v>
      </c>
      <c r="J1451" s="50">
        <f>SUMIFS(INDEX(Техника!$F$1:$ABM$500,J$2,0),Техника!$F$4:$ABM$4,"Часы",INDEX(Техника!$G$1:$ABN$500,J$2,0),$A$1446,INDEX(Техника!$H$1:$ABO$500,J$2,0),"З")</f>
        <v>0</v>
      </c>
      <c r="K1451" s="50">
        <f>SUMIFS(INDEX(Техника!$F$1:$ABM$500,K$2,0),Техника!$F$4:$ABM$4,"Часы",INDEX(Техника!$G$1:$ABN$500,K$2,0),$A$1446,INDEX(Техника!$H$1:$ABO$500,K$2,0),"З")</f>
        <v>0</v>
      </c>
      <c r="L1451" s="50">
        <f>SUMIFS(INDEX(Техника!$F$1:$ABM$500,L$2,0),Техника!$F$4:$ABM$4,"Часы",INDEX(Техника!$G$1:$ABN$500,L$2,0),$A$1446,INDEX(Техника!$H$1:$ABO$500,L$2,0),"З")</f>
        <v>0</v>
      </c>
      <c r="M1451" s="50">
        <f>SUMIFS(INDEX(Техника!$F$1:$ABM$500,M$2,0),Техника!$F$4:$ABM$4,"Часы",INDEX(Техника!$G$1:$ABN$500,M$2,0),$A$1446,INDEX(Техника!$H$1:$ABO$500,M$2,0),"З")</f>
        <v>0</v>
      </c>
      <c r="N1451" s="50">
        <f>SUMIFS(INDEX(Техника!$F$1:$ABM$500,N$2,0),Техника!$F$4:$ABM$4,"Часы",INDEX(Техника!$G$1:$ABN$500,N$2,0),$A$1446,INDEX(Техника!$H$1:$ABO$500,N$2,0),"З")</f>
        <v>0</v>
      </c>
      <c r="O1451" s="50">
        <f>SUMIFS(INDEX(Техника!$F$1:$ABM$500,O$2,0),Техника!$F$4:$ABM$4,"Часы",INDEX(Техника!$G$1:$ABN$500,O$2,0),$A$1446,INDEX(Техника!$H$1:$ABO$500,O$2,0),"З")</f>
        <v>0</v>
      </c>
      <c r="P1451" s="50">
        <f>SUMIFS(INDEX(Техника!$F$1:$ABM$500,P$2,0),Техника!$F$4:$ABM$4,"Часы",INDEX(Техника!$G$1:$ABN$500,P$2,0),$A$1446,INDEX(Техника!$H$1:$ABO$500,P$2,0),"З")</f>
        <v>0</v>
      </c>
      <c r="Q1451" s="50">
        <f>SUMIFS(INDEX(Техника!$F$1:$ABM$500,Q$2,0),Техника!$F$4:$ABM$4,"Часы",INDEX(Техника!$G$1:$ABN$500,Q$2,0),$A$1446,INDEX(Техника!$H$1:$ABO$500,Q$2,0),"З")</f>
        <v>0</v>
      </c>
      <c r="R1451" s="50">
        <f>SUMIFS(INDEX(Техника!$F$1:$ABM$500,R$2,0),Техника!$F$4:$ABM$4,"Часы",INDEX(Техника!$G$1:$ABN$500,R$2,0),$A$1446,INDEX(Техника!$H$1:$ABO$500,R$2,0),"З")</f>
        <v>0</v>
      </c>
      <c r="S1451" s="50">
        <f>SUMIFS(INDEX(Техника!$F$1:$ABM$500,S$2,0),Техника!$F$4:$ABM$4,"Часы",INDEX(Техника!$G$1:$ABN$500,S$2,0),$A$1446,INDEX(Техника!$H$1:$ABO$500,S$2,0),"З")</f>
        <v>0</v>
      </c>
      <c r="T1451" s="50">
        <f>SUMIFS(INDEX(Техника!$F$1:$ABM$500,T$2,0),Техника!$F$4:$ABM$4,"Часы",INDEX(Техника!$G$1:$ABN$500,T$2,0),$A$1446,INDEX(Техника!$H$1:$ABO$500,T$2,0),"З")</f>
        <v>0</v>
      </c>
      <c r="U1451" s="50">
        <f>SUMIFS(INDEX(Техника!$F$1:$ABM$500,U$2,0),Техника!$F$4:$ABM$4,"Часы",INDEX(Техника!$G$1:$ABN$500,U$2,0),$A$1446,INDEX(Техника!$H$1:$ABO$500,U$2,0),"З")</f>
        <v>0</v>
      </c>
      <c r="V1451" s="50">
        <f>SUMIFS(INDEX(Техника!$F$1:$ABM$500,V$2,0),Техника!$F$4:$ABM$4,"Часы",INDEX(Техника!$G$1:$ABN$500,V$2,0),$A$1446,INDEX(Техника!$H$1:$ABO$500,V$2,0),"З")</f>
        <v>0</v>
      </c>
      <c r="W1451" s="50">
        <f>SUMIFS(INDEX(Техника!$F$1:$ABM$500,W$2,0),Техника!$F$4:$ABM$4,"Часы",INDEX(Техника!$G$1:$ABN$500,W$2,0),$A$1446,INDEX(Техника!$H$1:$ABO$500,W$2,0),"З")</f>
        <v>0</v>
      </c>
      <c r="X1451" s="50">
        <f>SUMIFS(INDEX(Техника!$F$1:$ABM$500,X$2,0),Техника!$F$4:$ABM$4,"Часы",INDEX(Техника!$G$1:$ABN$500,X$2,0),$A$1446,INDEX(Техника!$H$1:$ABO$500,X$2,0),"З")</f>
        <v>0</v>
      </c>
      <c r="Y1451" s="50">
        <f>SUMIFS(INDEX(Техника!$F$1:$ABM$500,Y$2,0),Техника!$F$4:$ABM$4,"Часы",INDEX(Техника!$G$1:$ABN$500,Y$2,0),$A$1446,INDEX(Техника!$H$1:$ABO$500,Y$2,0),"З")</f>
        <v>0</v>
      </c>
      <c r="Z1451" s="50">
        <f>SUMIFS(INDEX(Техника!$F$1:$ABM$500,Z$2,0),Техника!$F$4:$ABM$4,"Часы",INDEX(Техника!$G$1:$ABN$500,Z$2,0),$A$1446,INDEX(Техника!$H$1:$ABO$500,Z$2,0),"З")</f>
        <v>0</v>
      </c>
      <c r="AA1451" s="50">
        <f>SUMIFS(INDEX(Техника!$F$1:$ABM$500,AA$2,0),Техника!$F$4:$ABM$4,"Часы",INDEX(Техника!$G$1:$ABN$500,AA$2,0),$A$1446,INDEX(Техника!$H$1:$ABO$500,AA$2,0),"З")</f>
        <v>0</v>
      </c>
      <c r="AB1451" s="50">
        <f>SUMIFS(INDEX(Техника!$F$1:$ABM$500,AB$2,0),Техника!$F$4:$ABM$4,"Часы",INDEX(Техника!$G$1:$ABN$500,AB$2,0),$A$1446,INDEX(Техника!$H$1:$ABO$500,AB$2,0),"З")</f>
        <v>0</v>
      </c>
    </row>
    <row r="1452" spans="1:28" ht="7.95" customHeight="1" x14ac:dyDescent="0.3">
      <c r="A1452" s="38"/>
      <c r="B1452" s="39"/>
      <c r="C1452" s="51"/>
      <c r="D1452" s="51"/>
      <c r="E1452" s="51"/>
      <c r="F1452" s="51"/>
      <c r="G1452" s="51"/>
      <c r="H1452" s="51"/>
      <c r="I1452" s="51"/>
      <c r="J1452" s="51"/>
      <c r="K1452" s="51"/>
      <c r="L1452" s="51"/>
      <c r="M1452" s="51"/>
      <c r="N1452" s="51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</row>
    <row r="1453" spans="1:28" ht="25.05" customHeight="1" collapsed="1" x14ac:dyDescent="0.3">
      <c r="A1453" s="32">
        <v>208</v>
      </c>
      <c r="B1453" s="32" t="s">
        <v>209</v>
      </c>
      <c r="C1453" s="49">
        <f>SUM(C1454:C1458)</f>
        <v>0</v>
      </c>
      <c r="D1453" s="49">
        <f>SUM(D1454:D1458)</f>
        <v>0</v>
      </c>
      <c r="E1453" s="49">
        <f>SUM(E1454:E1458)</f>
        <v>0</v>
      </c>
      <c r="F1453" s="49">
        <f>SUM(F1454:F1458)</f>
        <v>0</v>
      </c>
      <c r="G1453" s="49">
        <f>SUM(G1454:G1458)</f>
        <v>0</v>
      </c>
      <c r="H1453" s="49">
        <f>SUM(H1454:H1458)</f>
        <v>0</v>
      </c>
      <c r="I1453" s="49">
        <f>SUM(I1454:I1458)</f>
        <v>0</v>
      </c>
      <c r="J1453" s="49">
        <f>SUM(J1454:J1458)</f>
        <v>0</v>
      </c>
      <c r="K1453" s="49">
        <f>SUM(K1454:K1458)</f>
        <v>0</v>
      </c>
      <c r="L1453" s="49">
        <f>SUM(L1454:L1458)</f>
        <v>0</v>
      </c>
      <c r="M1453" s="49">
        <f>SUM(M1454:M1458)</f>
        <v>0</v>
      </c>
      <c r="N1453" s="49">
        <f>SUM(N1454:N1458)</f>
        <v>0</v>
      </c>
      <c r="O1453" s="49">
        <f>SUM(O1454:O1458)</f>
        <v>0</v>
      </c>
      <c r="P1453" s="49">
        <f>SUM(P1454:P1458)</f>
        <v>0</v>
      </c>
      <c r="Q1453" s="49">
        <f>SUM(Q1454:Q1458)</f>
        <v>0</v>
      </c>
      <c r="R1453" s="49">
        <f>SUM(R1454:R1458)</f>
        <v>0</v>
      </c>
      <c r="S1453" s="49">
        <f>SUM(S1454:S1458)</f>
        <v>0</v>
      </c>
      <c r="T1453" s="49">
        <f>SUM(T1454:T1458)</f>
        <v>0</v>
      </c>
      <c r="U1453" s="49">
        <f>SUM(U1454:U1458)</f>
        <v>0</v>
      </c>
      <c r="V1453" s="49">
        <f>SUM(V1454:V1458)</f>
        <v>0</v>
      </c>
      <c r="W1453" s="49">
        <f>SUM(W1454:W1458)</f>
        <v>0</v>
      </c>
      <c r="X1453" s="49">
        <f>SUM(X1454:X1458)</f>
        <v>0</v>
      </c>
      <c r="Y1453" s="49">
        <f>SUM(Y1454:Y1458)</f>
        <v>0</v>
      </c>
      <c r="Z1453" s="49">
        <f>SUM(Z1454:Z1458)</f>
        <v>0</v>
      </c>
      <c r="AA1453" s="49">
        <f>SUM(AA1454:AA1458)</f>
        <v>0</v>
      </c>
      <c r="AB1453" s="49">
        <f>SUM(AB1454:AB1458)</f>
        <v>0</v>
      </c>
    </row>
    <row r="1454" spans="1:28" hidden="1" outlineLevel="1" x14ac:dyDescent="0.3">
      <c r="A1454" s="33" t="s">
        <v>246</v>
      </c>
      <c r="B1454" s="34" t="s">
        <v>274</v>
      </c>
      <c r="C1454" s="50">
        <f>SUMIFS(INDEX(Техника!$F$1:$ABM$500,C$2,0),Техника!$F$4:$ABM$4,"Часы",INDEX(Техника!$G$1:$ABN$500,C$2,0),$A$1453,INDEX(Техника!$H$1:$ABO$500,C$2,0),"М")</f>
        <v>0</v>
      </c>
      <c r="D1454" s="50">
        <f>SUMIFS(INDEX(Техника!$F$1:$ABM$500,D$2,0),Техника!$F$4:$ABM$4,"Часы",INDEX(Техника!$G$1:$ABN$500,D$2,0),$A$1453,INDEX(Техника!$H$1:$ABO$500,D$2,0),"М")</f>
        <v>0</v>
      </c>
      <c r="E1454" s="50">
        <f>SUMIFS(INDEX(Техника!$F$1:$ABM$500,E$2,0),Техника!$F$4:$ABM$4,"Часы",INDEX(Техника!$G$1:$ABN$500,E$2,0),$A$1453,INDEX(Техника!$H$1:$ABO$500,E$2,0),"М")</f>
        <v>0</v>
      </c>
      <c r="F1454" s="50">
        <f>SUMIFS(INDEX(Техника!$F$1:$ABM$500,F$2,0),Техника!$F$4:$ABM$4,"Часы",INDEX(Техника!$G$1:$ABN$500,F$2,0),$A$1453,INDEX(Техника!$H$1:$ABO$500,F$2,0),"М")</f>
        <v>0</v>
      </c>
      <c r="G1454" s="50">
        <f>SUMIFS(INDEX(Техника!$F$1:$ABM$500,G$2,0),Техника!$F$4:$ABM$4,"Часы",INDEX(Техника!$G$1:$ABN$500,G$2,0),$A$1453,INDEX(Техника!$H$1:$ABO$500,G$2,0),"М")</f>
        <v>0</v>
      </c>
      <c r="H1454" s="50">
        <f>SUMIFS(INDEX(Техника!$F$1:$ABM$500,H$2,0),Техника!$F$4:$ABM$4,"Часы",INDEX(Техника!$G$1:$ABN$500,H$2,0),$A$1453,INDEX(Техника!$H$1:$ABO$500,H$2,0),"М")</f>
        <v>0</v>
      </c>
      <c r="I1454" s="50">
        <f>SUMIFS(INDEX(Техника!$F$1:$ABM$500,I$2,0),Техника!$F$4:$ABM$4,"Часы",INDEX(Техника!$G$1:$ABN$500,I$2,0),$A$1453,INDEX(Техника!$H$1:$ABO$500,I$2,0),"М")</f>
        <v>0</v>
      </c>
      <c r="J1454" s="50">
        <f>SUMIFS(INDEX(Техника!$F$1:$ABM$500,J$2,0),Техника!$F$4:$ABM$4,"Часы",INDEX(Техника!$G$1:$ABN$500,J$2,0),$A$1453,INDEX(Техника!$H$1:$ABO$500,J$2,0),"М")</f>
        <v>0</v>
      </c>
      <c r="K1454" s="50">
        <f>SUMIFS(INDEX(Техника!$F$1:$ABM$500,K$2,0),Техника!$F$4:$ABM$4,"Часы",INDEX(Техника!$G$1:$ABN$500,K$2,0),$A$1453,INDEX(Техника!$H$1:$ABO$500,K$2,0),"М")</f>
        <v>0</v>
      </c>
      <c r="L1454" s="50">
        <f>SUMIFS(INDEX(Техника!$F$1:$ABM$500,L$2,0),Техника!$F$4:$ABM$4,"Часы",INDEX(Техника!$G$1:$ABN$500,L$2,0),$A$1453,INDEX(Техника!$H$1:$ABO$500,L$2,0),"М")</f>
        <v>0</v>
      </c>
      <c r="M1454" s="50">
        <f>SUMIFS(INDEX(Техника!$F$1:$ABM$500,M$2,0),Техника!$F$4:$ABM$4,"Часы",INDEX(Техника!$G$1:$ABN$500,M$2,0),$A$1453,INDEX(Техника!$H$1:$ABO$500,M$2,0),"М")</f>
        <v>0</v>
      </c>
      <c r="N1454" s="50">
        <f>SUMIFS(INDEX(Техника!$F$1:$ABM$500,N$2,0),Техника!$F$4:$ABM$4,"Часы",INDEX(Техника!$G$1:$ABN$500,N$2,0),$A$1453,INDEX(Техника!$H$1:$ABO$500,N$2,0),"М")</f>
        <v>0</v>
      </c>
      <c r="O1454" s="50">
        <f>SUMIFS(INDEX(Техника!$F$1:$ABM$500,O$2,0),Техника!$F$4:$ABM$4,"Часы",INDEX(Техника!$G$1:$ABN$500,O$2,0),$A$1453,INDEX(Техника!$H$1:$ABO$500,O$2,0),"М")</f>
        <v>0</v>
      </c>
      <c r="P1454" s="50">
        <f>SUMIFS(INDEX(Техника!$F$1:$ABM$500,P$2,0),Техника!$F$4:$ABM$4,"Часы",INDEX(Техника!$G$1:$ABN$500,P$2,0),$A$1453,INDEX(Техника!$H$1:$ABO$500,P$2,0),"М")</f>
        <v>0</v>
      </c>
      <c r="Q1454" s="50">
        <f>SUMIFS(INDEX(Техника!$F$1:$ABM$500,Q$2,0),Техника!$F$4:$ABM$4,"Часы",INDEX(Техника!$G$1:$ABN$500,Q$2,0),$A$1453,INDEX(Техника!$H$1:$ABO$500,Q$2,0),"М")</f>
        <v>0</v>
      </c>
      <c r="R1454" s="50">
        <f>SUMIFS(INDEX(Техника!$F$1:$ABM$500,R$2,0),Техника!$F$4:$ABM$4,"Часы",INDEX(Техника!$G$1:$ABN$500,R$2,0),$A$1453,INDEX(Техника!$H$1:$ABO$500,R$2,0),"М")</f>
        <v>0</v>
      </c>
      <c r="S1454" s="50">
        <f>SUMIFS(INDEX(Техника!$F$1:$ABM$500,S$2,0),Техника!$F$4:$ABM$4,"Часы",INDEX(Техника!$G$1:$ABN$500,S$2,0),$A$1453,INDEX(Техника!$H$1:$ABO$500,S$2,0),"М")</f>
        <v>0</v>
      </c>
      <c r="T1454" s="50">
        <f>SUMIFS(INDEX(Техника!$F$1:$ABM$500,T$2,0),Техника!$F$4:$ABM$4,"Часы",INDEX(Техника!$G$1:$ABN$500,T$2,0),$A$1453,INDEX(Техника!$H$1:$ABO$500,T$2,0),"М")</f>
        <v>0</v>
      </c>
      <c r="U1454" s="50">
        <f>SUMIFS(INDEX(Техника!$F$1:$ABM$500,U$2,0),Техника!$F$4:$ABM$4,"Часы",INDEX(Техника!$G$1:$ABN$500,U$2,0),$A$1453,INDEX(Техника!$H$1:$ABO$500,U$2,0),"М")</f>
        <v>0</v>
      </c>
      <c r="V1454" s="50">
        <f>SUMIFS(INDEX(Техника!$F$1:$ABM$500,V$2,0),Техника!$F$4:$ABM$4,"Часы",INDEX(Техника!$G$1:$ABN$500,V$2,0),$A$1453,INDEX(Техника!$H$1:$ABO$500,V$2,0),"М")</f>
        <v>0</v>
      </c>
      <c r="W1454" s="50">
        <f>SUMIFS(INDEX(Техника!$F$1:$ABM$500,W$2,0),Техника!$F$4:$ABM$4,"Часы",INDEX(Техника!$G$1:$ABN$500,W$2,0),$A$1453,INDEX(Техника!$H$1:$ABO$500,W$2,0),"М")</f>
        <v>0</v>
      </c>
      <c r="X1454" s="50">
        <f>SUMIFS(INDEX(Техника!$F$1:$ABM$500,X$2,0),Техника!$F$4:$ABM$4,"Часы",INDEX(Техника!$G$1:$ABN$500,X$2,0),$A$1453,INDEX(Техника!$H$1:$ABO$500,X$2,0),"М")</f>
        <v>0</v>
      </c>
      <c r="Y1454" s="50">
        <f>SUMIFS(INDEX(Техника!$F$1:$ABM$500,Y$2,0),Техника!$F$4:$ABM$4,"Часы",INDEX(Техника!$G$1:$ABN$500,Y$2,0),$A$1453,INDEX(Техника!$H$1:$ABO$500,Y$2,0),"М")</f>
        <v>0</v>
      </c>
      <c r="Z1454" s="50">
        <f>SUMIFS(INDEX(Техника!$F$1:$ABM$500,Z$2,0),Техника!$F$4:$ABM$4,"Часы",INDEX(Техника!$G$1:$ABN$500,Z$2,0),$A$1453,INDEX(Техника!$H$1:$ABO$500,Z$2,0),"М")</f>
        <v>0</v>
      </c>
      <c r="AA1454" s="50">
        <f>SUMIFS(INDEX(Техника!$F$1:$ABM$500,AA$2,0),Техника!$F$4:$ABM$4,"Часы",INDEX(Техника!$G$1:$ABN$500,AA$2,0),$A$1453,INDEX(Техника!$H$1:$ABO$500,AA$2,0),"М")</f>
        <v>0</v>
      </c>
      <c r="AB1454" s="50">
        <f>SUMIFS(INDEX(Техника!$F$1:$ABM$500,AB$2,0),Техника!$F$4:$ABM$4,"Часы",INDEX(Техника!$G$1:$ABN$500,AB$2,0),$A$1453,INDEX(Техника!$H$1:$ABO$500,AB$2,0),"М")</f>
        <v>0</v>
      </c>
    </row>
    <row r="1455" spans="1:28" hidden="1" outlineLevel="1" x14ac:dyDescent="0.3">
      <c r="A1455" s="33" t="s">
        <v>244</v>
      </c>
      <c r="B1455" s="34" t="s">
        <v>275</v>
      </c>
      <c r="C1455" s="50">
        <f>SUMIFS(INDEX(Техника!$F$1:$ABM$500,C$2,0),Техника!$F$4:$ABM$4,"Часы",INDEX(Техника!$G$1:$ABN$500,C$2,0),$A$1453,INDEX(Техника!$H$1:$ABO$500,C$2,0),"Д")</f>
        <v>0</v>
      </c>
      <c r="D1455" s="50">
        <f>SUMIFS(INDEX(Техника!$F$1:$ABM$500,D$2,0),Техника!$F$4:$ABM$4,"Часы",INDEX(Техника!$G$1:$ABN$500,D$2,0),$A$1453,INDEX(Техника!$H$1:$ABO$500,D$2,0),"Д")</f>
        <v>0</v>
      </c>
      <c r="E1455" s="50">
        <f>SUMIFS(INDEX(Техника!$F$1:$ABM$500,E$2,0),Техника!$F$4:$ABM$4,"Часы",INDEX(Техника!$G$1:$ABN$500,E$2,0),$A$1453,INDEX(Техника!$H$1:$ABO$500,E$2,0),"Д")</f>
        <v>0</v>
      </c>
      <c r="F1455" s="50">
        <f>SUMIFS(INDEX(Техника!$F$1:$ABM$500,F$2,0),Техника!$F$4:$ABM$4,"Часы",INDEX(Техника!$G$1:$ABN$500,F$2,0),$A$1453,INDEX(Техника!$H$1:$ABO$500,F$2,0),"Д")</f>
        <v>0</v>
      </c>
      <c r="G1455" s="50">
        <f>SUMIFS(INDEX(Техника!$F$1:$ABM$500,G$2,0),Техника!$F$4:$ABM$4,"Часы",INDEX(Техника!$G$1:$ABN$500,G$2,0),$A$1453,INDEX(Техника!$H$1:$ABO$500,G$2,0),"Д")</f>
        <v>0</v>
      </c>
      <c r="H1455" s="50">
        <f>SUMIFS(INDEX(Техника!$F$1:$ABM$500,H$2,0),Техника!$F$4:$ABM$4,"Часы",INDEX(Техника!$G$1:$ABN$500,H$2,0),$A$1453,INDEX(Техника!$H$1:$ABO$500,H$2,0),"Д")</f>
        <v>0</v>
      </c>
      <c r="I1455" s="50">
        <f>SUMIFS(INDEX(Техника!$F$1:$ABM$500,I$2,0),Техника!$F$4:$ABM$4,"Часы",INDEX(Техника!$G$1:$ABN$500,I$2,0),$A$1453,INDEX(Техника!$H$1:$ABO$500,I$2,0),"Д")</f>
        <v>0</v>
      </c>
      <c r="J1455" s="50">
        <f>SUMIFS(INDEX(Техника!$F$1:$ABM$500,J$2,0),Техника!$F$4:$ABM$4,"Часы",INDEX(Техника!$G$1:$ABN$500,J$2,0),$A$1453,INDEX(Техника!$H$1:$ABO$500,J$2,0),"Д")</f>
        <v>0</v>
      </c>
      <c r="K1455" s="50">
        <f>SUMIFS(INDEX(Техника!$F$1:$ABM$500,K$2,0),Техника!$F$4:$ABM$4,"Часы",INDEX(Техника!$G$1:$ABN$500,K$2,0),$A$1453,INDEX(Техника!$H$1:$ABO$500,K$2,0),"Д")</f>
        <v>0</v>
      </c>
      <c r="L1455" s="50">
        <f>SUMIFS(INDEX(Техника!$F$1:$ABM$500,L$2,0),Техника!$F$4:$ABM$4,"Часы",INDEX(Техника!$G$1:$ABN$500,L$2,0),$A$1453,INDEX(Техника!$H$1:$ABO$500,L$2,0),"Д")</f>
        <v>0</v>
      </c>
      <c r="M1455" s="50">
        <f>SUMIFS(INDEX(Техника!$F$1:$ABM$500,M$2,0),Техника!$F$4:$ABM$4,"Часы",INDEX(Техника!$G$1:$ABN$500,M$2,0),$A$1453,INDEX(Техника!$H$1:$ABO$500,M$2,0),"Д")</f>
        <v>0</v>
      </c>
      <c r="N1455" s="50">
        <f>SUMIFS(INDEX(Техника!$F$1:$ABM$500,N$2,0),Техника!$F$4:$ABM$4,"Часы",INDEX(Техника!$G$1:$ABN$500,N$2,0),$A$1453,INDEX(Техника!$H$1:$ABO$500,N$2,0),"Д")</f>
        <v>0</v>
      </c>
      <c r="O1455" s="50">
        <f>SUMIFS(INDEX(Техника!$F$1:$ABM$500,O$2,0),Техника!$F$4:$ABM$4,"Часы",INDEX(Техника!$G$1:$ABN$500,O$2,0),$A$1453,INDEX(Техника!$H$1:$ABO$500,O$2,0),"Д")</f>
        <v>0</v>
      </c>
      <c r="P1455" s="50">
        <f>SUMIFS(INDEX(Техника!$F$1:$ABM$500,P$2,0),Техника!$F$4:$ABM$4,"Часы",INDEX(Техника!$G$1:$ABN$500,P$2,0),$A$1453,INDEX(Техника!$H$1:$ABO$500,P$2,0),"Д")</f>
        <v>0</v>
      </c>
      <c r="Q1455" s="50">
        <f>SUMIFS(INDEX(Техника!$F$1:$ABM$500,Q$2,0),Техника!$F$4:$ABM$4,"Часы",INDEX(Техника!$G$1:$ABN$500,Q$2,0),$A$1453,INDEX(Техника!$H$1:$ABO$500,Q$2,0),"Д")</f>
        <v>0</v>
      </c>
      <c r="R1455" s="50">
        <f>SUMIFS(INDEX(Техника!$F$1:$ABM$500,R$2,0),Техника!$F$4:$ABM$4,"Часы",INDEX(Техника!$G$1:$ABN$500,R$2,0),$A$1453,INDEX(Техника!$H$1:$ABO$500,R$2,0),"Д")</f>
        <v>0</v>
      </c>
      <c r="S1455" s="50">
        <f>SUMIFS(INDEX(Техника!$F$1:$ABM$500,S$2,0),Техника!$F$4:$ABM$4,"Часы",INDEX(Техника!$G$1:$ABN$500,S$2,0),$A$1453,INDEX(Техника!$H$1:$ABO$500,S$2,0),"Д")</f>
        <v>0</v>
      </c>
      <c r="T1455" s="50">
        <f>SUMIFS(INDEX(Техника!$F$1:$ABM$500,T$2,0),Техника!$F$4:$ABM$4,"Часы",INDEX(Техника!$G$1:$ABN$500,T$2,0),$A$1453,INDEX(Техника!$H$1:$ABO$500,T$2,0),"Д")</f>
        <v>0</v>
      </c>
      <c r="U1455" s="50">
        <f>SUMIFS(INDEX(Техника!$F$1:$ABM$500,U$2,0),Техника!$F$4:$ABM$4,"Часы",INDEX(Техника!$G$1:$ABN$500,U$2,0),$A$1453,INDEX(Техника!$H$1:$ABO$500,U$2,0),"Д")</f>
        <v>0</v>
      </c>
      <c r="V1455" s="50">
        <f>SUMIFS(INDEX(Техника!$F$1:$ABM$500,V$2,0),Техника!$F$4:$ABM$4,"Часы",INDEX(Техника!$G$1:$ABN$500,V$2,0),$A$1453,INDEX(Техника!$H$1:$ABO$500,V$2,0),"Д")</f>
        <v>0</v>
      </c>
      <c r="W1455" s="50">
        <f>SUMIFS(INDEX(Техника!$F$1:$ABM$500,W$2,0),Техника!$F$4:$ABM$4,"Часы",INDEX(Техника!$G$1:$ABN$500,W$2,0),$A$1453,INDEX(Техника!$H$1:$ABO$500,W$2,0),"Д")</f>
        <v>0</v>
      </c>
      <c r="X1455" s="50">
        <f>SUMIFS(INDEX(Техника!$F$1:$ABM$500,X$2,0),Техника!$F$4:$ABM$4,"Часы",INDEX(Техника!$G$1:$ABN$500,X$2,0),$A$1453,INDEX(Техника!$H$1:$ABO$500,X$2,0),"Д")</f>
        <v>0</v>
      </c>
      <c r="Y1455" s="50">
        <f>SUMIFS(INDEX(Техника!$F$1:$ABM$500,Y$2,0),Техника!$F$4:$ABM$4,"Часы",INDEX(Техника!$G$1:$ABN$500,Y$2,0),$A$1453,INDEX(Техника!$H$1:$ABO$500,Y$2,0),"Д")</f>
        <v>0</v>
      </c>
      <c r="Z1455" s="50">
        <f>SUMIFS(INDEX(Техника!$F$1:$ABM$500,Z$2,0),Техника!$F$4:$ABM$4,"Часы",INDEX(Техника!$G$1:$ABN$500,Z$2,0),$A$1453,INDEX(Техника!$H$1:$ABO$500,Z$2,0),"Д")</f>
        <v>0</v>
      </c>
      <c r="AA1455" s="50">
        <f>SUMIFS(INDEX(Техника!$F$1:$ABM$500,AA$2,0),Техника!$F$4:$ABM$4,"Часы",INDEX(Техника!$G$1:$ABN$500,AA$2,0),$A$1453,INDEX(Техника!$H$1:$ABO$500,AA$2,0),"Д")</f>
        <v>0</v>
      </c>
      <c r="AB1455" s="50">
        <f>SUMIFS(INDEX(Техника!$F$1:$ABM$500,AB$2,0),Техника!$F$4:$ABM$4,"Часы",INDEX(Техника!$G$1:$ABN$500,AB$2,0),$A$1453,INDEX(Техника!$H$1:$ABO$500,AB$2,0),"Д")</f>
        <v>0</v>
      </c>
    </row>
    <row r="1456" spans="1:28" hidden="1" outlineLevel="1" x14ac:dyDescent="0.3">
      <c r="A1456" s="33" t="s">
        <v>276</v>
      </c>
      <c r="B1456" s="34" t="s">
        <v>277</v>
      </c>
      <c r="C1456" s="50">
        <f>SUMIFS(INDEX(Техника!$F$1:$ABM$500,C$2,0),Техника!$F$4:$ABM$4,"Часы",INDEX(Техника!$G$1:$ABN$500,C$2,0),$A$1453,INDEX(Техника!$H$1:$ABO$500,C$2,0),"П")</f>
        <v>0</v>
      </c>
      <c r="D1456" s="50">
        <f>SUMIFS(INDEX(Техника!$F$1:$ABM$500,D$2,0),Техника!$F$4:$ABM$4,"Часы",INDEX(Техника!$G$1:$ABN$500,D$2,0),$A$1453,INDEX(Техника!$H$1:$ABO$500,D$2,0),"П")</f>
        <v>0</v>
      </c>
      <c r="E1456" s="50">
        <f>SUMIFS(INDEX(Техника!$F$1:$ABM$500,E$2,0),Техника!$F$4:$ABM$4,"Часы",INDEX(Техника!$G$1:$ABN$500,E$2,0),$A$1453,INDEX(Техника!$H$1:$ABO$500,E$2,0),"П")</f>
        <v>0</v>
      </c>
      <c r="F1456" s="50">
        <f>SUMIFS(INDEX(Техника!$F$1:$ABM$500,F$2,0),Техника!$F$4:$ABM$4,"Часы",INDEX(Техника!$G$1:$ABN$500,F$2,0),$A$1453,INDEX(Техника!$H$1:$ABO$500,F$2,0),"П")</f>
        <v>0</v>
      </c>
      <c r="G1456" s="50">
        <f>SUMIFS(INDEX(Техника!$F$1:$ABM$500,G$2,0),Техника!$F$4:$ABM$4,"Часы",INDEX(Техника!$G$1:$ABN$500,G$2,0),$A$1453,INDEX(Техника!$H$1:$ABO$500,G$2,0),"П")</f>
        <v>0</v>
      </c>
      <c r="H1456" s="50">
        <f>SUMIFS(INDEX(Техника!$F$1:$ABM$500,H$2,0),Техника!$F$4:$ABM$4,"Часы",INDEX(Техника!$G$1:$ABN$500,H$2,0),$A$1453,INDEX(Техника!$H$1:$ABO$500,H$2,0),"П")</f>
        <v>0</v>
      </c>
      <c r="I1456" s="50">
        <f>SUMIFS(INDEX(Техника!$F$1:$ABM$500,I$2,0),Техника!$F$4:$ABM$4,"Часы",INDEX(Техника!$G$1:$ABN$500,I$2,0),$A$1453,INDEX(Техника!$H$1:$ABO$500,I$2,0),"П")</f>
        <v>0</v>
      </c>
      <c r="J1456" s="50">
        <f>SUMIFS(INDEX(Техника!$F$1:$ABM$500,J$2,0),Техника!$F$4:$ABM$4,"Часы",INDEX(Техника!$G$1:$ABN$500,J$2,0),$A$1453,INDEX(Техника!$H$1:$ABO$500,J$2,0),"П")</f>
        <v>0</v>
      </c>
      <c r="K1456" s="50">
        <f>SUMIFS(INDEX(Техника!$F$1:$ABM$500,K$2,0),Техника!$F$4:$ABM$4,"Часы",INDEX(Техника!$G$1:$ABN$500,K$2,0),$A$1453,INDEX(Техника!$H$1:$ABO$500,K$2,0),"П")</f>
        <v>0</v>
      </c>
      <c r="L1456" s="50">
        <f>SUMIFS(INDEX(Техника!$F$1:$ABM$500,L$2,0),Техника!$F$4:$ABM$4,"Часы",INDEX(Техника!$G$1:$ABN$500,L$2,0),$A$1453,INDEX(Техника!$H$1:$ABO$500,L$2,0),"П")</f>
        <v>0</v>
      </c>
      <c r="M1456" s="50">
        <f>SUMIFS(INDEX(Техника!$F$1:$ABM$500,M$2,0),Техника!$F$4:$ABM$4,"Часы",INDEX(Техника!$G$1:$ABN$500,M$2,0),$A$1453,INDEX(Техника!$H$1:$ABO$500,M$2,0),"П")</f>
        <v>0</v>
      </c>
      <c r="N1456" s="50">
        <f>SUMIFS(INDEX(Техника!$F$1:$ABM$500,N$2,0),Техника!$F$4:$ABM$4,"Часы",INDEX(Техника!$G$1:$ABN$500,N$2,0),$A$1453,INDEX(Техника!$H$1:$ABO$500,N$2,0),"П")</f>
        <v>0</v>
      </c>
      <c r="O1456" s="50">
        <f>SUMIFS(INDEX(Техника!$F$1:$ABM$500,O$2,0),Техника!$F$4:$ABM$4,"Часы",INDEX(Техника!$G$1:$ABN$500,O$2,0),$A$1453,INDEX(Техника!$H$1:$ABO$500,O$2,0),"П")</f>
        <v>0</v>
      </c>
      <c r="P1456" s="50">
        <f>SUMIFS(INDEX(Техника!$F$1:$ABM$500,P$2,0),Техника!$F$4:$ABM$4,"Часы",INDEX(Техника!$G$1:$ABN$500,P$2,0),$A$1453,INDEX(Техника!$H$1:$ABO$500,P$2,0),"П")</f>
        <v>0</v>
      </c>
      <c r="Q1456" s="50">
        <f>SUMIFS(INDEX(Техника!$F$1:$ABM$500,Q$2,0),Техника!$F$4:$ABM$4,"Часы",INDEX(Техника!$G$1:$ABN$500,Q$2,0),$A$1453,INDEX(Техника!$H$1:$ABO$500,Q$2,0),"П")</f>
        <v>0</v>
      </c>
      <c r="R1456" s="50">
        <f>SUMIFS(INDEX(Техника!$F$1:$ABM$500,R$2,0),Техника!$F$4:$ABM$4,"Часы",INDEX(Техника!$G$1:$ABN$500,R$2,0),$A$1453,INDEX(Техника!$H$1:$ABO$500,R$2,0),"П")</f>
        <v>0</v>
      </c>
      <c r="S1456" s="50">
        <f>SUMIFS(INDEX(Техника!$F$1:$ABM$500,S$2,0),Техника!$F$4:$ABM$4,"Часы",INDEX(Техника!$G$1:$ABN$500,S$2,0),$A$1453,INDEX(Техника!$H$1:$ABO$500,S$2,0),"П")</f>
        <v>0</v>
      </c>
      <c r="T1456" s="50">
        <f>SUMIFS(INDEX(Техника!$F$1:$ABM$500,T$2,0),Техника!$F$4:$ABM$4,"Часы",INDEX(Техника!$G$1:$ABN$500,T$2,0),$A$1453,INDEX(Техника!$H$1:$ABO$500,T$2,0),"П")</f>
        <v>0</v>
      </c>
      <c r="U1456" s="50">
        <f>SUMIFS(INDEX(Техника!$F$1:$ABM$500,U$2,0),Техника!$F$4:$ABM$4,"Часы",INDEX(Техника!$G$1:$ABN$500,U$2,0),$A$1453,INDEX(Техника!$H$1:$ABO$500,U$2,0),"П")</f>
        <v>0</v>
      </c>
      <c r="V1456" s="50">
        <f>SUMIFS(INDEX(Техника!$F$1:$ABM$500,V$2,0),Техника!$F$4:$ABM$4,"Часы",INDEX(Техника!$G$1:$ABN$500,V$2,0),$A$1453,INDEX(Техника!$H$1:$ABO$500,V$2,0),"П")</f>
        <v>0</v>
      </c>
      <c r="W1456" s="50">
        <f>SUMIFS(INDEX(Техника!$F$1:$ABM$500,W$2,0),Техника!$F$4:$ABM$4,"Часы",INDEX(Техника!$G$1:$ABN$500,W$2,0),$A$1453,INDEX(Техника!$H$1:$ABO$500,W$2,0),"П")</f>
        <v>0</v>
      </c>
      <c r="X1456" s="50">
        <f>SUMIFS(INDEX(Техника!$F$1:$ABM$500,X$2,0),Техника!$F$4:$ABM$4,"Часы",INDEX(Техника!$G$1:$ABN$500,X$2,0),$A$1453,INDEX(Техника!$H$1:$ABO$500,X$2,0),"П")</f>
        <v>0</v>
      </c>
      <c r="Y1456" s="50">
        <f>SUMIFS(INDEX(Техника!$F$1:$ABM$500,Y$2,0),Техника!$F$4:$ABM$4,"Часы",INDEX(Техника!$G$1:$ABN$500,Y$2,0),$A$1453,INDEX(Техника!$H$1:$ABO$500,Y$2,0),"П")</f>
        <v>0</v>
      </c>
      <c r="Z1456" s="50">
        <f>SUMIFS(INDEX(Техника!$F$1:$ABM$500,Z$2,0),Техника!$F$4:$ABM$4,"Часы",INDEX(Техника!$G$1:$ABN$500,Z$2,0),$A$1453,INDEX(Техника!$H$1:$ABO$500,Z$2,0),"П")</f>
        <v>0</v>
      </c>
      <c r="AA1456" s="50">
        <f>SUMIFS(INDEX(Техника!$F$1:$ABM$500,AA$2,0),Техника!$F$4:$ABM$4,"Часы",INDEX(Техника!$G$1:$ABN$500,AA$2,0),$A$1453,INDEX(Техника!$H$1:$ABO$500,AA$2,0),"П")</f>
        <v>0</v>
      </c>
      <c r="AB1456" s="50">
        <f>SUMIFS(INDEX(Техника!$F$1:$ABM$500,AB$2,0),Техника!$F$4:$ABM$4,"Часы",INDEX(Техника!$G$1:$ABN$500,AB$2,0),$A$1453,INDEX(Техника!$H$1:$ABO$500,AB$2,0),"П")</f>
        <v>0</v>
      </c>
    </row>
    <row r="1457" spans="1:28" hidden="1" outlineLevel="1" x14ac:dyDescent="0.3">
      <c r="A1457" s="33" t="s">
        <v>243</v>
      </c>
      <c r="B1457" s="34" t="s">
        <v>278</v>
      </c>
      <c r="C1457" s="50">
        <f>SUMIFS(INDEX(Техника!$F$1:$ABM$500,C$2,0),Техника!$F$4:$ABM$4,"Часы",INDEX(Техника!$G$1:$ABN$500,C$2,0),$A$1453,INDEX(Техника!$H$1:$ABO$500,C$2,0),"Л")</f>
        <v>0</v>
      </c>
      <c r="D1457" s="50">
        <f>SUMIFS(INDEX(Техника!$F$1:$ABM$500,D$2,0),Техника!$F$4:$ABM$4,"Часы",INDEX(Техника!$G$1:$ABN$500,D$2,0),$A$1453,INDEX(Техника!$H$1:$ABO$500,D$2,0),"Л")</f>
        <v>0</v>
      </c>
      <c r="E1457" s="50">
        <f>SUMIFS(INDEX(Техника!$F$1:$ABM$500,E$2,0),Техника!$F$4:$ABM$4,"Часы",INDEX(Техника!$G$1:$ABN$500,E$2,0),$A$1453,INDEX(Техника!$H$1:$ABO$500,E$2,0),"Л")</f>
        <v>0</v>
      </c>
      <c r="F1457" s="50">
        <f>SUMIFS(INDEX(Техника!$F$1:$ABM$500,F$2,0),Техника!$F$4:$ABM$4,"Часы",INDEX(Техника!$G$1:$ABN$500,F$2,0),$A$1453,INDEX(Техника!$H$1:$ABO$500,F$2,0),"Л")</f>
        <v>0</v>
      </c>
      <c r="G1457" s="50">
        <f>SUMIFS(INDEX(Техника!$F$1:$ABM$500,G$2,0),Техника!$F$4:$ABM$4,"Часы",INDEX(Техника!$G$1:$ABN$500,G$2,0),$A$1453,INDEX(Техника!$H$1:$ABO$500,G$2,0),"Л")</f>
        <v>0</v>
      </c>
      <c r="H1457" s="50">
        <f>SUMIFS(INDEX(Техника!$F$1:$ABM$500,H$2,0),Техника!$F$4:$ABM$4,"Часы",INDEX(Техника!$G$1:$ABN$500,H$2,0),$A$1453,INDEX(Техника!$H$1:$ABO$500,H$2,0),"Л")</f>
        <v>0</v>
      </c>
      <c r="I1457" s="50">
        <f>SUMIFS(INDEX(Техника!$F$1:$ABM$500,I$2,0),Техника!$F$4:$ABM$4,"Часы",INDEX(Техника!$G$1:$ABN$500,I$2,0),$A$1453,INDEX(Техника!$H$1:$ABO$500,I$2,0),"Л")</f>
        <v>0</v>
      </c>
      <c r="J1457" s="50">
        <f>SUMIFS(INDEX(Техника!$F$1:$ABM$500,J$2,0),Техника!$F$4:$ABM$4,"Часы",INDEX(Техника!$G$1:$ABN$500,J$2,0),$A$1453,INDEX(Техника!$H$1:$ABO$500,J$2,0),"Л")</f>
        <v>0</v>
      </c>
      <c r="K1457" s="50">
        <f>SUMIFS(INDEX(Техника!$F$1:$ABM$500,K$2,0),Техника!$F$4:$ABM$4,"Часы",INDEX(Техника!$G$1:$ABN$500,K$2,0),$A$1453,INDEX(Техника!$H$1:$ABO$500,K$2,0),"Л")</f>
        <v>0</v>
      </c>
      <c r="L1457" s="50">
        <f>SUMIFS(INDEX(Техника!$F$1:$ABM$500,L$2,0),Техника!$F$4:$ABM$4,"Часы",INDEX(Техника!$G$1:$ABN$500,L$2,0),$A$1453,INDEX(Техника!$H$1:$ABO$500,L$2,0),"Л")</f>
        <v>0</v>
      </c>
      <c r="M1457" s="50">
        <f>SUMIFS(INDEX(Техника!$F$1:$ABM$500,M$2,0),Техника!$F$4:$ABM$4,"Часы",INDEX(Техника!$G$1:$ABN$500,M$2,0),$A$1453,INDEX(Техника!$H$1:$ABO$500,M$2,0),"Л")</f>
        <v>0</v>
      </c>
      <c r="N1457" s="50">
        <f>SUMIFS(INDEX(Техника!$F$1:$ABM$500,N$2,0),Техника!$F$4:$ABM$4,"Часы",INDEX(Техника!$G$1:$ABN$500,N$2,0),$A$1453,INDEX(Техника!$H$1:$ABO$500,N$2,0),"Л")</f>
        <v>0</v>
      </c>
      <c r="O1457" s="50">
        <f>SUMIFS(INDEX(Техника!$F$1:$ABM$500,O$2,0),Техника!$F$4:$ABM$4,"Часы",INDEX(Техника!$G$1:$ABN$500,O$2,0),$A$1453,INDEX(Техника!$H$1:$ABO$500,O$2,0),"Л")</f>
        <v>0</v>
      </c>
      <c r="P1457" s="50">
        <f>SUMIFS(INDEX(Техника!$F$1:$ABM$500,P$2,0),Техника!$F$4:$ABM$4,"Часы",INDEX(Техника!$G$1:$ABN$500,P$2,0),$A$1453,INDEX(Техника!$H$1:$ABO$500,P$2,0),"Л")</f>
        <v>0</v>
      </c>
      <c r="Q1457" s="50">
        <f>SUMIFS(INDEX(Техника!$F$1:$ABM$500,Q$2,0),Техника!$F$4:$ABM$4,"Часы",INDEX(Техника!$G$1:$ABN$500,Q$2,0),$A$1453,INDEX(Техника!$H$1:$ABO$500,Q$2,0),"Л")</f>
        <v>0</v>
      </c>
      <c r="R1457" s="50">
        <f>SUMIFS(INDEX(Техника!$F$1:$ABM$500,R$2,0),Техника!$F$4:$ABM$4,"Часы",INDEX(Техника!$G$1:$ABN$500,R$2,0),$A$1453,INDEX(Техника!$H$1:$ABO$500,R$2,0),"Л")</f>
        <v>0</v>
      </c>
      <c r="S1457" s="50">
        <f>SUMIFS(INDEX(Техника!$F$1:$ABM$500,S$2,0),Техника!$F$4:$ABM$4,"Часы",INDEX(Техника!$G$1:$ABN$500,S$2,0),$A$1453,INDEX(Техника!$H$1:$ABO$500,S$2,0),"Л")</f>
        <v>0</v>
      </c>
      <c r="T1457" s="50">
        <f>SUMIFS(INDEX(Техника!$F$1:$ABM$500,T$2,0),Техника!$F$4:$ABM$4,"Часы",INDEX(Техника!$G$1:$ABN$500,T$2,0),$A$1453,INDEX(Техника!$H$1:$ABO$500,T$2,0),"Л")</f>
        <v>0</v>
      </c>
      <c r="U1457" s="50">
        <f>SUMIFS(INDEX(Техника!$F$1:$ABM$500,U$2,0),Техника!$F$4:$ABM$4,"Часы",INDEX(Техника!$G$1:$ABN$500,U$2,0),$A$1453,INDEX(Техника!$H$1:$ABO$500,U$2,0),"Л")</f>
        <v>0</v>
      </c>
      <c r="V1457" s="50">
        <f>SUMIFS(INDEX(Техника!$F$1:$ABM$500,V$2,0),Техника!$F$4:$ABM$4,"Часы",INDEX(Техника!$G$1:$ABN$500,V$2,0),$A$1453,INDEX(Техника!$H$1:$ABO$500,V$2,0),"Л")</f>
        <v>0</v>
      </c>
      <c r="W1457" s="50">
        <f>SUMIFS(INDEX(Техника!$F$1:$ABM$500,W$2,0),Техника!$F$4:$ABM$4,"Часы",INDEX(Техника!$G$1:$ABN$500,W$2,0),$A$1453,INDEX(Техника!$H$1:$ABO$500,W$2,0),"Л")</f>
        <v>0</v>
      </c>
      <c r="X1457" s="50">
        <f>SUMIFS(INDEX(Техника!$F$1:$ABM$500,X$2,0),Техника!$F$4:$ABM$4,"Часы",INDEX(Техника!$G$1:$ABN$500,X$2,0),$A$1453,INDEX(Техника!$H$1:$ABO$500,X$2,0),"Л")</f>
        <v>0</v>
      </c>
      <c r="Y1457" s="50">
        <f>SUMIFS(INDEX(Техника!$F$1:$ABM$500,Y$2,0),Техника!$F$4:$ABM$4,"Часы",INDEX(Техника!$G$1:$ABN$500,Y$2,0),$A$1453,INDEX(Техника!$H$1:$ABO$500,Y$2,0),"Л")</f>
        <v>0</v>
      </c>
      <c r="Z1457" s="50">
        <f>SUMIFS(INDEX(Техника!$F$1:$ABM$500,Z$2,0),Техника!$F$4:$ABM$4,"Часы",INDEX(Техника!$G$1:$ABN$500,Z$2,0),$A$1453,INDEX(Техника!$H$1:$ABO$500,Z$2,0),"Л")</f>
        <v>0</v>
      </c>
      <c r="AA1457" s="50">
        <f>SUMIFS(INDEX(Техника!$F$1:$ABM$500,AA$2,0),Техника!$F$4:$ABM$4,"Часы",INDEX(Техника!$G$1:$ABN$500,AA$2,0),$A$1453,INDEX(Техника!$H$1:$ABO$500,AA$2,0),"Л")</f>
        <v>0</v>
      </c>
      <c r="AB1457" s="50">
        <f>SUMIFS(INDEX(Техника!$F$1:$ABM$500,AB$2,0),Техника!$F$4:$ABM$4,"Часы",INDEX(Техника!$G$1:$ABN$500,AB$2,0),$A$1453,INDEX(Техника!$H$1:$ABO$500,AB$2,0),"Л")</f>
        <v>0</v>
      </c>
    </row>
    <row r="1458" spans="1:28" hidden="1" outlineLevel="1" x14ac:dyDescent="0.3">
      <c r="A1458" s="33" t="s">
        <v>245</v>
      </c>
      <c r="B1458" s="34" t="s">
        <v>279</v>
      </c>
      <c r="C1458" s="50">
        <f>SUMIFS(INDEX(Техника!$F$1:$ABM$500,C$2,0),Техника!$F$4:$ABM$4,"Часы",INDEX(Техника!$G$1:$ABN$500,C$2,0),$A$1453,INDEX(Техника!$H$1:$ABO$500,C$2,0),"З")</f>
        <v>0</v>
      </c>
      <c r="D1458" s="50">
        <f>SUMIFS(INDEX(Техника!$F$1:$ABM$500,D$2,0),Техника!$F$4:$ABM$4,"Часы",INDEX(Техника!$G$1:$ABN$500,D$2,0),$A$1453,INDEX(Техника!$H$1:$ABO$500,D$2,0),"З")</f>
        <v>0</v>
      </c>
      <c r="E1458" s="50">
        <f>SUMIFS(INDEX(Техника!$F$1:$ABM$500,E$2,0),Техника!$F$4:$ABM$4,"Часы",INDEX(Техника!$G$1:$ABN$500,E$2,0),$A$1453,INDEX(Техника!$H$1:$ABO$500,E$2,0),"З")</f>
        <v>0</v>
      </c>
      <c r="F1458" s="50">
        <f>SUMIFS(INDEX(Техника!$F$1:$ABM$500,F$2,0),Техника!$F$4:$ABM$4,"Часы",INDEX(Техника!$G$1:$ABN$500,F$2,0),$A$1453,INDEX(Техника!$H$1:$ABO$500,F$2,0),"З")</f>
        <v>0</v>
      </c>
      <c r="G1458" s="50">
        <f>SUMIFS(INDEX(Техника!$F$1:$ABM$500,G$2,0),Техника!$F$4:$ABM$4,"Часы",INDEX(Техника!$G$1:$ABN$500,G$2,0),$A$1453,INDEX(Техника!$H$1:$ABO$500,G$2,0),"З")</f>
        <v>0</v>
      </c>
      <c r="H1458" s="50">
        <f>SUMIFS(INDEX(Техника!$F$1:$ABM$500,H$2,0),Техника!$F$4:$ABM$4,"Часы",INDEX(Техника!$G$1:$ABN$500,H$2,0),$A$1453,INDEX(Техника!$H$1:$ABO$500,H$2,0),"З")</f>
        <v>0</v>
      </c>
      <c r="I1458" s="50">
        <f>SUMIFS(INDEX(Техника!$F$1:$ABM$500,I$2,0),Техника!$F$4:$ABM$4,"Часы",INDEX(Техника!$G$1:$ABN$500,I$2,0),$A$1453,INDEX(Техника!$H$1:$ABO$500,I$2,0),"З")</f>
        <v>0</v>
      </c>
      <c r="J1458" s="50">
        <f>SUMIFS(INDEX(Техника!$F$1:$ABM$500,J$2,0),Техника!$F$4:$ABM$4,"Часы",INDEX(Техника!$G$1:$ABN$500,J$2,0),$A$1453,INDEX(Техника!$H$1:$ABO$500,J$2,0),"З")</f>
        <v>0</v>
      </c>
      <c r="K1458" s="50">
        <f>SUMIFS(INDEX(Техника!$F$1:$ABM$500,K$2,0),Техника!$F$4:$ABM$4,"Часы",INDEX(Техника!$G$1:$ABN$500,K$2,0),$A$1453,INDEX(Техника!$H$1:$ABO$500,K$2,0),"З")</f>
        <v>0</v>
      </c>
      <c r="L1458" s="50">
        <f>SUMIFS(INDEX(Техника!$F$1:$ABM$500,L$2,0),Техника!$F$4:$ABM$4,"Часы",INDEX(Техника!$G$1:$ABN$500,L$2,0),$A$1453,INDEX(Техника!$H$1:$ABO$500,L$2,0),"З")</f>
        <v>0</v>
      </c>
      <c r="M1458" s="50">
        <f>SUMIFS(INDEX(Техника!$F$1:$ABM$500,M$2,0),Техника!$F$4:$ABM$4,"Часы",INDEX(Техника!$G$1:$ABN$500,M$2,0),$A$1453,INDEX(Техника!$H$1:$ABO$500,M$2,0),"З")</f>
        <v>0</v>
      </c>
      <c r="N1458" s="50">
        <f>SUMIFS(INDEX(Техника!$F$1:$ABM$500,N$2,0),Техника!$F$4:$ABM$4,"Часы",INDEX(Техника!$G$1:$ABN$500,N$2,0),$A$1453,INDEX(Техника!$H$1:$ABO$500,N$2,0),"З")</f>
        <v>0</v>
      </c>
      <c r="O1458" s="50">
        <f>SUMIFS(INDEX(Техника!$F$1:$ABM$500,O$2,0),Техника!$F$4:$ABM$4,"Часы",INDEX(Техника!$G$1:$ABN$500,O$2,0),$A$1453,INDEX(Техника!$H$1:$ABO$500,O$2,0),"З")</f>
        <v>0</v>
      </c>
      <c r="P1458" s="50">
        <f>SUMIFS(INDEX(Техника!$F$1:$ABM$500,P$2,0),Техника!$F$4:$ABM$4,"Часы",INDEX(Техника!$G$1:$ABN$500,P$2,0),$A$1453,INDEX(Техника!$H$1:$ABO$500,P$2,0),"З")</f>
        <v>0</v>
      </c>
      <c r="Q1458" s="50">
        <f>SUMIFS(INDEX(Техника!$F$1:$ABM$500,Q$2,0),Техника!$F$4:$ABM$4,"Часы",INDEX(Техника!$G$1:$ABN$500,Q$2,0),$A$1453,INDEX(Техника!$H$1:$ABO$500,Q$2,0),"З")</f>
        <v>0</v>
      </c>
      <c r="R1458" s="50">
        <f>SUMIFS(INDEX(Техника!$F$1:$ABM$500,R$2,0),Техника!$F$4:$ABM$4,"Часы",INDEX(Техника!$G$1:$ABN$500,R$2,0),$A$1453,INDEX(Техника!$H$1:$ABO$500,R$2,0),"З")</f>
        <v>0</v>
      </c>
      <c r="S1458" s="50">
        <f>SUMIFS(INDEX(Техника!$F$1:$ABM$500,S$2,0),Техника!$F$4:$ABM$4,"Часы",INDEX(Техника!$G$1:$ABN$500,S$2,0),$A$1453,INDEX(Техника!$H$1:$ABO$500,S$2,0),"З")</f>
        <v>0</v>
      </c>
      <c r="T1458" s="50">
        <f>SUMIFS(INDEX(Техника!$F$1:$ABM$500,T$2,0),Техника!$F$4:$ABM$4,"Часы",INDEX(Техника!$G$1:$ABN$500,T$2,0),$A$1453,INDEX(Техника!$H$1:$ABO$500,T$2,0),"З")</f>
        <v>0</v>
      </c>
      <c r="U1458" s="50">
        <f>SUMIFS(INDEX(Техника!$F$1:$ABM$500,U$2,0),Техника!$F$4:$ABM$4,"Часы",INDEX(Техника!$G$1:$ABN$500,U$2,0),$A$1453,INDEX(Техника!$H$1:$ABO$500,U$2,0),"З")</f>
        <v>0</v>
      </c>
      <c r="V1458" s="50">
        <f>SUMIFS(INDEX(Техника!$F$1:$ABM$500,V$2,0),Техника!$F$4:$ABM$4,"Часы",INDEX(Техника!$G$1:$ABN$500,V$2,0),$A$1453,INDEX(Техника!$H$1:$ABO$500,V$2,0),"З")</f>
        <v>0</v>
      </c>
      <c r="W1458" s="50">
        <f>SUMIFS(INDEX(Техника!$F$1:$ABM$500,W$2,0),Техника!$F$4:$ABM$4,"Часы",INDEX(Техника!$G$1:$ABN$500,W$2,0),$A$1453,INDEX(Техника!$H$1:$ABO$500,W$2,0),"З")</f>
        <v>0</v>
      </c>
      <c r="X1458" s="50">
        <f>SUMIFS(INDEX(Техника!$F$1:$ABM$500,X$2,0),Техника!$F$4:$ABM$4,"Часы",INDEX(Техника!$G$1:$ABN$500,X$2,0),$A$1453,INDEX(Техника!$H$1:$ABO$500,X$2,0),"З")</f>
        <v>0</v>
      </c>
      <c r="Y1458" s="50">
        <f>SUMIFS(INDEX(Техника!$F$1:$ABM$500,Y$2,0),Техника!$F$4:$ABM$4,"Часы",INDEX(Техника!$G$1:$ABN$500,Y$2,0),$A$1453,INDEX(Техника!$H$1:$ABO$500,Y$2,0),"З")</f>
        <v>0</v>
      </c>
      <c r="Z1458" s="50">
        <f>SUMIFS(INDEX(Техника!$F$1:$ABM$500,Z$2,0),Техника!$F$4:$ABM$4,"Часы",INDEX(Техника!$G$1:$ABN$500,Z$2,0),$A$1453,INDEX(Техника!$H$1:$ABO$500,Z$2,0),"З")</f>
        <v>0</v>
      </c>
      <c r="AA1458" s="50">
        <f>SUMIFS(INDEX(Техника!$F$1:$ABM$500,AA$2,0),Техника!$F$4:$ABM$4,"Часы",INDEX(Техника!$G$1:$ABN$500,AA$2,0),$A$1453,INDEX(Техника!$H$1:$ABO$500,AA$2,0),"З")</f>
        <v>0</v>
      </c>
      <c r="AB1458" s="50">
        <f>SUMIFS(INDEX(Техника!$F$1:$ABM$500,AB$2,0),Техника!$F$4:$ABM$4,"Часы",INDEX(Техника!$G$1:$ABN$500,AB$2,0),$A$1453,INDEX(Техника!$H$1:$ABO$500,AB$2,0),"З")</f>
        <v>0</v>
      </c>
    </row>
    <row r="1459" spans="1:28" ht="7.95" customHeight="1" x14ac:dyDescent="0.3">
      <c r="A1459" s="38"/>
      <c r="B1459" s="39"/>
      <c r="C1459" s="51"/>
      <c r="D1459" s="51"/>
      <c r="E1459" s="51"/>
      <c r="F1459" s="51"/>
      <c r="G1459" s="51"/>
      <c r="H1459" s="51"/>
      <c r="I1459" s="51"/>
      <c r="J1459" s="51"/>
      <c r="K1459" s="51"/>
      <c r="L1459" s="51"/>
      <c r="M1459" s="51"/>
      <c r="N1459" s="51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</row>
    <row r="1460" spans="1:28" ht="25.05" customHeight="1" collapsed="1" x14ac:dyDescent="0.3">
      <c r="A1460" s="32">
        <v>209</v>
      </c>
      <c r="B1460" s="32" t="s">
        <v>210</v>
      </c>
      <c r="C1460" s="49">
        <f>SUM(C1461:C1465)</f>
        <v>0</v>
      </c>
      <c r="D1460" s="49">
        <f>SUM(D1461:D1465)</f>
        <v>0</v>
      </c>
      <c r="E1460" s="49">
        <f>SUM(E1461:E1465)</f>
        <v>0</v>
      </c>
      <c r="F1460" s="49">
        <f>SUM(F1461:F1465)</f>
        <v>0</v>
      </c>
      <c r="G1460" s="49">
        <f>SUM(G1461:G1465)</f>
        <v>0</v>
      </c>
      <c r="H1460" s="49">
        <f>SUM(H1461:H1465)</f>
        <v>0</v>
      </c>
      <c r="I1460" s="49">
        <f>SUM(I1461:I1465)</f>
        <v>0</v>
      </c>
      <c r="J1460" s="49">
        <f>SUM(J1461:J1465)</f>
        <v>0</v>
      </c>
      <c r="K1460" s="49">
        <f>SUM(K1461:K1465)</f>
        <v>0</v>
      </c>
      <c r="L1460" s="49">
        <f>SUM(L1461:L1465)</f>
        <v>0</v>
      </c>
      <c r="M1460" s="49">
        <f>SUM(M1461:M1465)</f>
        <v>0</v>
      </c>
      <c r="N1460" s="49">
        <f>SUM(N1461:N1465)</f>
        <v>0</v>
      </c>
      <c r="O1460" s="49">
        <f>SUM(O1461:O1465)</f>
        <v>0</v>
      </c>
      <c r="P1460" s="49">
        <f>SUM(P1461:P1465)</f>
        <v>0</v>
      </c>
      <c r="Q1460" s="49">
        <f>SUM(Q1461:Q1465)</f>
        <v>0</v>
      </c>
      <c r="R1460" s="49">
        <f>SUM(R1461:R1465)</f>
        <v>0</v>
      </c>
      <c r="S1460" s="49">
        <f>SUM(S1461:S1465)</f>
        <v>0</v>
      </c>
      <c r="T1460" s="49">
        <f>SUM(T1461:T1465)</f>
        <v>0</v>
      </c>
      <c r="U1460" s="49">
        <f>SUM(U1461:U1465)</f>
        <v>0</v>
      </c>
      <c r="V1460" s="49">
        <f>SUM(V1461:V1465)</f>
        <v>0</v>
      </c>
      <c r="W1460" s="49">
        <f>SUM(W1461:W1465)</f>
        <v>0</v>
      </c>
      <c r="X1460" s="49">
        <f>SUM(X1461:X1465)</f>
        <v>0</v>
      </c>
      <c r="Y1460" s="49">
        <f>SUM(Y1461:Y1465)</f>
        <v>0</v>
      </c>
      <c r="Z1460" s="49">
        <f>SUM(Z1461:Z1465)</f>
        <v>0</v>
      </c>
      <c r="AA1460" s="49">
        <f>SUM(AA1461:AA1465)</f>
        <v>0</v>
      </c>
      <c r="AB1460" s="49">
        <f>SUM(AB1461:AB1465)</f>
        <v>0</v>
      </c>
    </row>
    <row r="1461" spans="1:28" hidden="1" outlineLevel="1" x14ac:dyDescent="0.3">
      <c r="A1461" s="33" t="s">
        <v>246</v>
      </c>
      <c r="B1461" s="34" t="s">
        <v>274</v>
      </c>
      <c r="C1461" s="50">
        <f>SUMIFS(INDEX(Техника!$F$1:$ABM$500,C$2,0),Техника!$F$4:$ABM$4,"Часы",INDEX(Техника!$G$1:$ABN$500,C$2,0),$A$1460,INDEX(Техника!$H$1:$ABO$500,C$2,0),"М")</f>
        <v>0</v>
      </c>
      <c r="D1461" s="50">
        <f>SUMIFS(INDEX(Техника!$F$1:$ABM$500,D$2,0),Техника!$F$4:$ABM$4,"Часы",INDEX(Техника!$G$1:$ABN$500,D$2,0),$A$1460,INDEX(Техника!$H$1:$ABO$500,D$2,0),"М")</f>
        <v>0</v>
      </c>
      <c r="E1461" s="50">
        <f>SUMIFS(INDEX(Техника!$F$1:$ABM$500,E$2,0),Техника!$F$4:$ABM$4,"Часы",INDEX(Техника!$G$1:$ABN$500,E$2,0),$A$1460,INDEX(Техника!$H$1:$ABO$500,E$2,0),"М")</f>
        <v>0</v>
      </c>
      <c r="F1461" s="50">
        <f>SUMIFS(INDEX(Техника!$F$1:$ABM$500,F$2,0),Техника!$F$4:$ABM$4,"Часы",INDEX(Техника!$G$1:$ABN$500,F$2,0),$A$1460,INDEX(Техника!$H$1:$ABO$500,F$2,0),"М")</f>
        <v>0</v>
      </c>
      <c r="G1461" s="50">
        <f>SUMIFS(INDEX(Техника!$F$1:$ABM$500,G$2,0),Техника!$F$4:$ABM$4,"Часы",INDEX(Техника!$G$1:$ABN$500,G$2,0),$A$1460,INDEX(Техника!$H$1:$ABO$500,G$2,0),"М")</f>
        <v>0</v>
      </c>
      <c r="H1461" s="50">
        <f>SUMIFS(INDEX(Техника!$F$1:$ABM$500,H$2,0),Техника!$F$4:$ABM$4,"Часы",INDEX(Техника!$G$1:$ABN$500,H$2,0),$A$1460,INDEX(Техника!$H$1:$ABO$500,H$2,0),"М")</f>
        <v>0</v>
      </c>
      <c r="I1461" s="50">
        <f>SUMIFS(INDEX(Техника!$F$1:$ABM$500,I$2,0),Техника!$F$4:$ABM$4,"Часы",INDEX(Техника!$G$1:$ABN$500,I$2,0),$A$1460,INDEX(Техника!$H$1:$ABO$500,I$2,0),"М")</f>
        <v>0</v>
      </c>
      <c r="J1461" s="50">
        <f>SUMIFS(INDEX(Техника!$F$1:$ABM$500,J$2,0),Техника!$F$4:$ABM$4,"Часы",INDEX(Техника!$G$1:$ABN$500,J$2,0),$A$1460,INDEX(Техника!$H$1:$ABO$500,J$2,0),"М")</f>
        <v>0</v>
      </c>
      <c r="K1461" s="50">
        <f>SUMIFS(INDEX(Техника!$F$1:$ABM$500,K$2,0),Техника!$F$4:$ABM$4,"Часы",INDEX(Техника!$G$1:$ABN$500,K$2,0),$A$1460,INDEX(Техника!$H$1:$ABO$500,K$2,0),"М")</f>
        <v>0</v>
      </c>
      <c r="L1461" s="50">
        <f>SUMIFS(INDEX(Техника!$F$1:$ABM$500,L$2,0),Техника!$F$4:$ABM$4,"Часы",INDEX(Техника!$G$1:$ABN$500,L$2,0),$A$1460,INDEX(Техника!$H$1:$ABO$500,L$2,0),"М")</f>
        <v>0</v>
      </c>
      <c r="M1461" s="50">
        <f>SUMIFS(INDEX(Техника!$F$1:$ABM$500,M$2,0),Техника!$F$4:$ABM$4,"Часы",INDEX(Техника!$G$1:$ABN$500,M$2,0),$A$1460,INDEX(Техника!$H$1:$ABO$500,M$2,0),"М")</f>
        <v>0</v>
      </c>
      <c r="N1461" s="50">
        <f>SUMIFS(INDEX(Техника!$F$1:$ABM$500,N$2,0),Техника!$F$4:$ABM$4,"Часы",INDEX(Техника!$G$1:$ABN$500,N$2,0),$A$1460,INDEX(Техника!$H$1:$ABO$500,N$2,0),"М")</f>
        <v>0</v>
      </c>
      <c r="O1461" s="50">
        <f>SUMIFS(INDEX(Техника!$F$1:$ABM$500,O$2,0),Техника!$F$4:$ABM$4,"Часы",INDEX(Техника!$G$1:$ABN$500,O$2,0),$A$1460,INDEX(Техника!$H$1:$ABO$500,O$2,0),"М")</f>
        <v>0</v>
      </c>
      <c r="P1461" s="50">
        <f>SUMIFS(INDEX(Техника!$F$1:$ABM$500,P$2,0),Техника!$F$4:$ABM$4,"Часы",INDEX(Техника!$G$1:$ABN$500,P$2,0),$A$1460,INDEX(Техника!$H$1:$ABO$500,P$2,0),"М")</f>
        <v>0</v>
      </c>
      <c r="Q1461" s="50">
        <f>SUMIFS(INDEX(Техника!$F$1:$ABM$500,Q$2,0),Техника!$F$4:$ABM$4,"Часы",INDEX(Техника!$G$1:$ABN$500,Q$2,0),$A$1460,INDEX(Техника!$H$1:$ABO$500,Q$2,0),"М")</f>
        <v>0</v>
      </c>
      <c r="R1461" s="50">
        <f>SUMIFS(INDEX(Техника!$F$1:$ABM$500,R$2,0),Техника!$F$4:$ABM$4,"Часы",INDEX(Техника!$G$1:$ABN$500,R$2,0),$A$1460,INDEX(Техника!$H$1:$ABO$500,R$2,0),"М")</f>
        <v>0</v>
      </c>
      <c r="S1461" s="50">
        <f>SUMIFS(INDEX(Техника!$F$1:$ABM$500,S$2,0),Техника!$F$4:$ABM$4,"Часы",INDEX(Техника!$G$1:$ABN$500,S$2,0),$A$1460,INDEX(Техника!$H$1:$ABO$500,S$2,0),"М")</f>
        <v>0</v>
      </c>
      <c r="T1461" s="50">
        <f>SUMIFS(INDEX(Техника!$F$1:$ABM$500,T$2,0),Техника!$F$4:$ABM$4,"Часы",INDEX(Техника!$G$1:$ABN$500,T$2,0),$A$1460,INDEX(Техника!$H$1:$ABO$500,T$2,0),"М")</f>
        <v>0</v>
      </c>
      <c r="U1461" s="50">
        <f>SUMIFS(INDEX(Техника!$F$1:$ABM$500,U$2,0),Техника!$F$4:$ABM$4,"Часы",INDEX(Техника!$G$1:$ABN$500,U$2,0),$A$1460,INDEX(Техника!$H$1:$ABO$500,U$2,0),"М")</f>
        <v>0</v>
      </c>
      <c r="V1461" s="50">
        <f>SUMIFS(INDEX(Техника!$F$1:$ABM$500,V$2,0),Техника!$F$4:$ABM$4,"Часы",INDEX(Техника!$G$1:$ABN$500,V$2,0),$A$1460,INDEX(Техника!$H$1:$ABO$500,V$2,0),"М")</f>
        <v>0</v>
      </c>
      <c r="W1461" s="50">
        <f>SUMIFS(INDEX(Техника!$F$1:$ABM$500,W$2,0),Техника!$F$4:$ABM$4,"Часы",INDEX(Техника!$G$1:$ABN$500,W$2,0),$A$1460,INDEX(Техника!$H$1:$ABO$500,W$2,0),"М")</f>
        <v>0</v>
      </c>
      <c r="X1461" s="50">
        <f>SUMIFS(INDEX(Техника!$F$1:$ABM$500,X$2,0),Техника!$F$4:$ABM$4,"Часы",INDEX(Техника!$G$1:$ABN$500,X$2,0),$A$1460,INDEX(Техника!$H$1:$ABO$500,X$2,0),"М")</f>
        <v>0</v>
      </c>
      <c r="Y1461" s="50">
        <f>SUMIFS(INDEX(Техника!$F$1:$ABM$500,Y$2,0),Техника!$F$4:$ABM$4,"Часы",INDEX(Техника!$G$1:$ABN$500,Y$2,0),$A$1460,INDEX(Техника!$H$1:$ABO$500,Y$2,0),"М")</f>
        <v>0</v>
      </c>
      <c r="Z1461" s="50">
        <f>SUMIFS(INDEX(Техника!$F$1:$ABM$500,Z$2,0),Техника!$F$4:$ABM$4,"Часы",INDEX(Техника!$G$1:$ABN$500,Z$2,0),$A$1460,INDEX(Техника!$H$1:$ABO$500,Z$2,0),"М")</f>
        <v>0</v>
      </c>
      <c r="AA1461" s="50">
        <f>SUMIFS(INDEX(Техника!$F$1:$ABM$500,AA$2,0),Техника!$F$4:$ABM$4,"Часы",INDEX(Техника!$G$1:$ABN$500,AA$2,0),$A$1460,INDEX(Техника!$H$1:$ABO$500,AA$2,0),"М")</f>
        <v>0</v>
      </c>
      <c r="AB1461" s="50">
        <f>SUMIFS(INDEX(Техника!$F$1:$ABM$500,AB$2,0),Техника!$F$4:$ABM$4,"Часы",INDEX(Техника!$G$1:$ABN$500,AB$2,0),$A$1460,INDEX(Техника!$H$1:$ABO$500,AB$2,0),"М")</f>
        <v>0</v>
      </c>
    </row>
    <row r="1462" spans="1:28" hidden="1" outlineLevel="1" x14ac:dyDescent="0.3">
      <c r="A1462" s="33" t="s">
        <v>244</v>
      </c>
      <c r="B1462" s="34" t="s">
        <v>275</v>
      </c>
      <c r="C1462" s="50">
        <f>SUMIFS(INDEX(Техника!$F$1:$ABM$500,C$2,0),Техника!$F$4:$ABM$4,"Часы",INDEX(Техника!$G$1:$ABN$500,C$2,0),$A$1460,INDEX(Техника!$H$1:$ABO$500,C$2,0),"Д")</f>
        <v>0</v>
      </c>
      <c r="D1462" s="50">
        <f>SUMIFS(INDEX(Техника!$F$1:$ABM$500,D$2,0),Техника!$F$4:$ABM$4,"Часы",INDEX(Техника!$G$1:$ABN$500,D$2,0),$A$1460,INDEX(Техника!$H$1:$ABO$500,D$2,0),"Д")</f>
        <v>0</v>
      </c>
      <c r="E1462" s="50">
        <f>SUMIFS(INDEX(Техника!$F$1:$ABM$500,E$2,0),Техника!$F$4:$ABM$4,"Часы",INDEX(Техника!$G$1:$ABN$500,E$2,0),$A$1460,INDEX(Техника!$H$1:$ABO$500,E$2,0),"Д")</f>
        <v>0</v>
      </c>
      <c r="F1462" s="50">
        <f>SUMIFS(INDEX(Техника!$F$1:$ABM$500,F$2,0),Техника!$F$4:$ABM$4,"Часы",INDEX(Техника!$G$1:$ABN$500,F$2,0),$A$1460,INDEX(Техника!$H$1:$ABO$500,F$2,0),"Д")</f>
        <v>0</v>
      </c>
      <c r="G1462" s="50">
        <f>SUMIFS(INDEX(Техника!$F$1:$ABM$500,G$2,0),Техника!$F$4:$ABM$4,"Часы",INDEX(Техника!$G$1:$ABN$500,G$2,0),$A$1460,INDEX(Техника!$H$1:$ABO$500,G$2,0),"Д")</f>
        <v>0</v>
      </c>
      <c r="H1462" s="50">
        <f>SUMIFS(INDEX(Техника!$F$1:$ABM$500,H$2,0),Техника!$F$4:$ABM$4,"Часы",INDEX(Техника!$G$1:$ABN$500,H$2,0),$A$1460,INDEX(Техника!$H$1:$ABO$500,H$2,0),"Д")</f>
        <v>0</v>
      </c>
      <c r="I1462" s="50">
        <f>SUMIFS(INDEX(Техника!$F$1:$ABM$500,I$2,0),Техника!$F$4:$ABM$4,"Часы",INDEX(Техника!$G$1:$ABN$500,I$2,0),$A$1460,INDEX(Техника!$H$1:$ABO$500,I$2,0),"Д")</f>
        <v>0</v>
      </c>
      <c r="J1462" s="50">
        <f>SUMIFS(INDEX(Техника!$F$1:$ABM$500,J$2,0),Техника!$F$4:$ABM$4,"Часы",INDEX(Техника!$G$1:$ABN$500,J$2,0),$A$1460,INDEX(Техника!$H$1:$ABO$500,J$2,0),"Д")</f>
        <v>0</v>
      </c>
      <c r="K1462" s="50">
        <f>SUMIFS(INDEX(Техника!$F$1:$ABM$500,K$2,0),Техника!$F$4:$ABM$4,"Часы",INDEX(Техника!$G$1:$ABN$500,K$2,0),$A$1460,INDEX(Техника!$H$1:$ABO$500,K$2,0),"Д")</f>
        <v>0</v>
      </c>
      <c r="L1462" s="50">
        <f>SUMIFS(INDEX(Техника!$F$1:$ABM$500,L$2,0),Техника!$F$4:$ABM$4,"Часы",INDEX(Техника!$G$1:$ABN$500,L$2,0),$A$1460,INDEX(Техника!$H$1:$ABO$500,L$2,0),"Д")</f>
        <v>0</v>
      </c>
      <c r="M1462" s="50">
        <f>SUMIFS(INDEX(Техника!$F$1:$ABM$500,M$2,0),Техника!$F$4:$ABM$4,"Часы",INDEX(Техника!$G$1:$ABN$500,M$2,0),$A$1460,INDEX(Техника!$H$1:$ABO$500,M$2,0),"Д")</f>
        <v>0</v>
      </c>
      <c r="N1462" s="50">
        <f>SUMIFS(INDEX(Техника!$F$1:$ABM$500,N$2,0),Техника!$F$4:$ABM$4,"Часы",INDEX(Техника!$G$1:$ABN$500,N$2,0),$A$1460,INDEX(Техника!$H$1:$ABO$500,N$2,0),"Д")</f>
        <v>0</v>
      </c>
      <c r="O1462" s="50">
        <f>SUMIFS(INDEX(Техника!$F$1:$ABM$500,O$2,0),Техника!$F$4:$ABM$4,"Часы",INDEX(Техника!$G$1:$ABN$500,O$2,0),$A$1460,INDEX(Техника!$H$1:$ABO$500,O$2,0),"Д")</f>
        <v>0</v>
      </c>
      <c r="P1462" s="50">
        <f>SUMIFS(INDEX(Техника!$F$1:$ABM$500,P$2,0),Техника!$F$4:$ABM$4,"Часы",INDEX(Техника!$G$1:$ABN$500,P$2,0),$A$1460,INDEX(Техника!$H$1:$ABO$500,P$2,0),"Д")</f>
        <v>0</v>
      </c>
      <c r="Q1462" s="50">
        <f>SUMIFS(INDEX(Техника!$F$1:$ABM$500,Q$2,0),Техника!$F$4:$ABM$4,"Часы",INDEX(Техника!$G$1:$ABN$500,Q$2,0),$A$1460,INDEX(Техника!$H$1:$ABO$500,Q$2,0),"Д")</f>
        <v>0</v>
      </c>
      <c r="R1462" s="50">
        <f>SUMIFS(INDEX(Техника!$F$1:$ABM$500,R$2,0),Техника!$F$4:$ABM$4,"Часы",INDEX(Техника!$G$1:$ABN$500,R$2,0),$A$1460,INDEX(Техника!$H$1:$ABO$500,R$2,0),"Д")</f>
        <v>0</v>
      </c>
      <c r="S1462" s="50">
        <f>SUMIFS(INDEX(Техника!$F$1:$ABM$500,S$2,0),Техника!$F$4:$ABM$4,"Часы",INDEX(Техника!$G$1:$ABN$500,S$2,0),$A$1460,INDEX(Техника!$H$1:$ABO$500,S$2,0),"Д")</f>
        <v>0</v>
      </c>
      <c r="T1462" s="50">
        <f>SUMIFS(INDEX(Техника!$F$1:$ABM$500,T$2,0),Техника!$F$4:$ABM$4,"Часы",INDEX(Техника!$G$1:$ABN$500,T$2,0),$A$1460,INDEX(Техника!$H$1:$ABO$500,T$2,0),"Д")</f>
        <v>0</v>
      </c>
      <c r="U1462" s="50">
        <f>SUMIFS(INDEX(Техника!$F$1:$ABM$500,U$2,0),Техника!$F$4:$ABM$4,"Часы",INDEX(Техника!$G$1:$ABN$500,U$2,0),$A$1460,INDEX(Техника!$H$1:$ABO$500,U$2,0),"Д")</f>
        <v>0</v>
      </c>
      <c r="V1462" s="50">
        <f>SUMIFS(INDEX(Техника!$F$1:$ABM$500,V$2,0),Техника!$F$4:$ABM$4,"Часы",INDEX(Техника!$G$1:$ABN$500,V$2,0),$A$1460,INDEX(Техника!$H$1:$ABO$500,V$2,0),"Д")</f>
        <v>0</v>
      </c>
      <c r="W1462" s="50">
        <f>SUMIFS(INDEX(Техника!$F$1:$ABM$500,W$2,0),Техника!$F$4:$ABM$4,"Часы",INDEX(Техника!$G$1:$ABN$500,W$2,0),$A$1460,INDEX(Техника!$H$1:$ABO$500,W$2,0),"Д")</f>
        <v>0</v>
      </c>
      <c r="X1462" s="50">
        <f>SUMIFS(INDEX(Техника!$F$1:$ABM$500,X$2,0),Техника!$F$4:$ABM$4,"Часы",INDEX(Техника!$G$1:$ABN$500,X$2,0),$A$1460,INDEX(Техника!$H$1:$ABO$500,X$2,0),"Д")</f>
        <v>0</v>
      </c>
      <c r="Y1462" s="50">
        <f>SUMIFS(INDEX(Техника!$F$1:$ABM$500,Y$2,0),Техника!$F$4:$ABM$4,"Часы",INDEX(Техника!$G$1:$ABN$500,Y$2,0),$A$1460,INDEX(Техника!$H$1:$ABO$500,Y$2,0),"Д")</f>
        <v>0</v>
      </c>
      <c r="Z1462" s="50">
        <f>SUMIFS(INDEX(Техника!$F$1:$ABM$500,Z$2,0),Техника!$F$4:$ABM$4,"Часы",INDEX(Техника!$G$1:$ABN$500,Z$2,0),$A$1460,INDEX(Техника!$H$1:$ABO$500,Z$2,0),"Д")</f>
        <v>0</v>
      </c>
      <c r="AA1462" s="50">
        <f>SUMIFS(INDEX(Техника!$F$1:$ABM$500,AA$2,0),Техника!$F$4:$ABM$4,"Часы",INDEX(Техника!$G$1:$ABN$500,AA$2,0),$A$1460,INDEX(Техника!$H$1:$ABO$500,AA$2,0),"Д")</f>
        <v>0</v>
      </c>
      <c r="AB1462" s="50">
        <f>SUMIFS(INDEX(Техника!$F$1:$ABM$500,AB$2,0),Техника!$F$4:$ABM$4,"Часы",INDEX(Техника!$G$1:$ABN$500,AB$2,0),$A$1460,INDEX(Техника!$H$1:$ABO$500,AB$2,0),"Д")</f>
        <v>0</v>
      </c>
    </row>
    <row r="1463" spans="1:28" hidden="1" outlineLevel="1" x14ac:dyDescent="0.3">
      <c r="A1463" s="33" t="s">
        <v>276</v>
      </c>
      <c r="B1463" s="34" t="s">
        <v>277</v>
      </c>
      <c r="C1463" s="50">
        <f>SUMIFS(INDEX(Техника!$F$1:$ABM$500,C$2,0),Техника!$F$4:$ABM$4,"Часы",INDEX(Техника!$G$1:$ABN$500,C$2,0),$A$1460,INDEX(Техника!$H$1:$ABO$500,C$2,0),"П")</f>
        <v>0</v>
      </c>
      <c r="D1463" s="50">
        <f>SUMIFS(INDEX(Техника!$F$1:$ABM$500,D$2,0),Техника!$F$4:$ABM$4,"Часы",INDEX(Техника!$G$1:$ABN$500,D$2,0),$A$1460,INDEX(Техника!$H$1:$ABO$500,D$2,0),"П")</f>
        <v>0</v>
      </c>
      <c r="E1463" s="50">
        <f>SUMIFS(INDEX(Техника!$F$1:$ABM$500,E$2,0),Техника!$F$4:$ABM$4,"Часы",INDEX(Техника!$G$1:$ABN$500,E$2,0),$A$1460,INDEX(Техника!$H$1:$ABO$500,E$2,0),"П")</f>
        <v>0</v>
      </c>
      <c r="F1463" s="50">
        <f>SUMIFS(INDEX(Техника!$F$1:$ABM$500,F$2,0),Техника!$F$4:$ABM$4,"Часы",INDEX(Техника!$G$1:$ABN$500,F$2,0),$A$1460,INDEX(Техника!$H$1:$ABO$500,F$2,0),"П")</f>
        <v>0</v>
      </c>
      <c r="G1463" s="50">
        <f>SUMIFS(INDEX(Техника!$F$1:$ABM$500,G$2,0),Техника!$F$4:$ABM$4,"Часы",INDEX(Техника!$G$1:$ABN$500,G$2,0),$A$1460,INDEX(Техника!$H$1:$ABO$500,G$2,0),"П")</f>
        <v>0</v>
      </c>
      <c r="H1463" s="50">
        <f>SUMIFS(INDEX(Техника!$F$1:$ABM$500,H$2,0),Техника!$F$4:$ABM$4,"Часы",INDEX(Техника!$G$1:$ABN$500,H$2,0),$A$1460,INDEX(Техника!$H$1:$ABO$500,H$2,0),"П")</f>
        <v>0</v>
      </c>
      <c r="I1463" s="50">
        <f>SUMIFS(INDEX(Техника!$F$1:$ABM$500,I$2,0),Техника!$F$4:$ABM$4,"Часы",INDEX(Техника!$G$1:$ABN$500,I$2,0),$A$1460,INDEX(Техника!$H$1:$ABO$500,I$2,0),"П")</f>
        <v>0</v>
      </c>
      <c r="J1463" s="50">
        <f>SUMIFS(INDEX(Техника!$F$1:$ABM$500,J$2,0),Техника!$F$4:$ABM$4,"Часы",INDEX(Техника!$G$1:$ABN$500,J$2,0),$A$1460,INDEX(Техника!$H$1:$ABO$500,J$2,0),"П")</f>
        <v>0</v>
      </c>
      <c r="K1463" s="50">
        <f>SUMIFS(INDEX(Техника!$F$1:$ABM$500,K$2,0),Техника!$F$4:$ABM$4,"Часы",INDEX(Техника!$G$1:$ABN$500,K$2,0),$A$1460,INDEX(Техника!$H$1:$ABO$500,K$2,0),"П")</f>
        <v>0</v>
      </c>
      <c r="L1463" s="50">
        <f>SUMIFS(INDEX(Техника!$F$1:$ABM$500,L$2,0),Техника!$F$4:$ABM$4,"Часы",INDEX(Техника!$G$1:$ABN$500,L$2,0),$A$1460,INDEX(Техника!$H$1:$ABO$500,L$2,0),"П")</f>
        <v>0</v>
      </c>
      <c r="M1463" s="50">
        <f>SUMIFS(INDEX(Техника!$F$1:$ABM$500,M$2,0),Техника!$F$4:$ABM$4,"Часы",INDEX(Техника!$G$1:$ABN$500,M$2,0),$A$1460,INDEX(Техника!$H$1:$ABO$500,M$2,0),"П")</f>
        <v>0</v>
      </c>
      <c r="N1463" s="50">
        <f>SUMIFS(INDEX(Техника!$F$1:$ABM$500,N$2,0),Техника!$F$4:$ABM$4,"Часы",INDEX(Техника!$G$1:$ABN$500,N$2,0),$A$1460,INDEX(Техника!$H$1:$ABO$500,N$2,0),"П")</f>
        <v>0</v>
      </c>
      <c r="O1463" s="50">
        <f>SUMIFS(INDEX(Техника!$F$1:$ABM$500,O$2,0),Техника!$F$4:$ABM$4,"Часы",INDEX(Техника!$G$1:$ABN$500,O$2,0),$A$1460,INDEX(Техника!$H$1:$ABO$500,O$2,0),"П")</f>
        <v>0</v>
      </c>
      <c r="P1463" s="50">
        <f>SUMIFS(INDEX(Техника!$F$1:$ABM$500,P$2,0),Техника!$F$4:$ABM$4,"Часы",INDEX(Техника!$G$1:$ABN$500,P$2,0),$A$1460,INDEX(Техника!$H$1:$ABO$500,P$2,0),"П")</f>
        <v>0</v>
      </c>
      <c r="Q1463" s="50">
        <f>SUMIFS(INDEX(Техника!$F$1:$ABM$500,Q$2,0),Техника!$F$4:$ABM$4,"Часы",INDEX(Техника!$G$1:$ABN$500,Q$2,0),$A$1460,INDEX(Техника!$H$1:$ABO$500,Q$2,0),"П")</f>
        <v>0</v>
      </c>
      <c r="R1463" s="50">
        <f>SUMIFS(INDEX(Техника!$F$1:$ABM$500,R$2,0),Техника!$F$4:$ABM$4,"Часы",INDEX(Техника!$G$1:$ABN$500,R$2,0),$A$1460,INDEX(Техника!$H$1:$ABO$500,R$2,0),"П")</f>
        <v>0</v>
      </c>
      <c r="S1463" s="50">
        <f>SUMIFS(INDEX(Техника!$F$1:$ABM$500,S$2,0),Техника!$F$4:$ABM$4,"Часы",INDEX(Техника!$G$1:$ABN$500,S$2,0),$A$1460,INDEX(Техника!$H$1:$ABO$500,S$2,0),"П")</f>
        <v>0</v>
      </c>
      <c r="T1463" s="50">
        <f>SUMIFS(INDEX(Техника!$F$1:$ABM$500,T$2,0),Техника!$F$4:$ABM$4,"Часы",INDEX(Техника!$G$1:$ABN$500,T$2,0),$A$1460,INDEX(Техника!$H$1:$ABO$500,T$2,0),"П")</f>
        <v>0</v>
      </c>
      <c r="U1463" s="50">
        <f>SUMIFS(INDEX(Техника!$F$1:$ABM$500,U$2,0),Техника!$F$4:$ABM$4,"Часы",INDEX(Техника!$G$1:$ABN$500,U$2,0),$A$1460,INDEX(Техника!$H$1:$ABO$500,U$2,0),"П")</f>
        <v>0</v>
      </c>
      <c r="V1463" s="50">
        <f>SUMIFS(INDEX(Техника!$F$1:$ABM$500,V$2,0),Техника!$F$4:$ABM$4,"Часы",INDEX(Техника!$G$1:$ABN$500,V$2,0),$A$1460,INDEX(Техника!$H$1:$ABO$500,V$2,0),"П")</f>
        <v>0</v>
      </c>
      <c r="W1463" s="50">
        <f>SUMIFS(INDEX(Техника!$F$1:$ABM$500,W$2,0),Техника!$F$4:$ABM$4,"Часы",INDEX(Техника!$G$1:$ABN$500,W$2,0),$A$1460,INDEX(Техника!$H$1:$ABO$500,W$2,0),"П")</f>
        <v>0</v>
      </c>
      <c r="X1463" s="50">
        <f>SUMIFS(INDEX(Техника!$F$1:$ABM$500,X$2,0),Техника!$F$4:$ABM$4,"Часы",INDEX(Техника!$G$1:$ABN$500,X$2,0),$A$1460,INDEX(Техника!$H$1:$ABO$500,X$2,0),"П")</f>
        <v>0</v>
      </c>
      <c r="Y1463" s="50">
        <f>SUMIFS(INDEX(Техника!$F$1:$ABM$500,Y$2,0),Техника!$F$4:$ABM$4,"Часы",INDEX(Техника!$G$1:$ABN$500,Y$2,0),$A$1460,INDEX(Техника!$H$1:$ABO$500,Y$2,0),"П")</f>
        <v>0</v>
      </c>
      <c r="Z1463" s="50">
        <f>SUMIFS(INDEX(Техника!$F$1:$ABM$500,Z$2,0),Техника!$F$4:$ABM$4,"Часы",INDEX(Техника!$G$1:$ABN$500,Z$2,0),$A$1460,INDEX(Техника!$H$1:$ABO$500,Z$2,0),"П")</f>
        <v>0</v>
      </c>
      <c r="AA1463" s="50">
        <f>SUMIFS(INDEX(Техника!$F$1:$ABM$500,AA$2,0),Техника!$F$4:$ABM$4,"Часы",INDEX(Техника!$G$1:$ABN$500,AA$2,0),$A$1460,INDEX(Техника!$H$1:$ABO$500,AA$2,0),"П")</f>
        <v>0</v>
      </c>
      <c r="AB1463" s="50">
        <f>SUMIFS(INDEX(Техника!$F$1:$ABM$500,AB$2,0),Техника!$F$4:$ABM$4,"Часы",INDEX(Техника!$G$1:$ABN$500,AB$2,0),$A$1460,INDEX(Техника!$H$1:$ABO$500,AB$2,0),"П")</f>
        <v>0</v>
      </c>
    </row>
    <row r="1464" spans="1:28" hidden="1" outlineLevel="1" x14ac:dyDescent="0.3">
      <c r="A1464" s="33" t="s">
        <v>243</v>
      </c>
      <c r="B1464" s="34" t="s">
        <v>278</v>
      </c>
      <c r="C1464" s="50">
        <f>SUMIFS(INDEX(Техника!$F$1:$ABM$500,C$2,0),Техника!$F$4:$ABM$4,"Часы",INDEX(Техника!$G$1:$ABN$500,C$2,0),$A$1460,INDEX(Техника!$H$1:$ABO$500,C$2,0),"Л")</f>
        <v>0</v>
      </c>
      <c r="D1464" s="50">
        <f>SUMIFS(INDEX(Техника!$F$1:$ABM$500,D$2,0),Техника!$F$4:$ABM$4,"Часы",INDEX(Техника!$G$1:$ABN$500,D$2,0),$A$1460,INDEX(Техника!$H$1:$ABO$500,D$2,0),"Л")</f>
        <v>0</v>
      </c>
      <c r="E1464" s="50">
        <f>SUMIFS(INDEX(Техника!$F$1:$ABM$500,E$2,0),Техника!$F$4:$ABM$4,"Часы",INDEX(Техника!$G$1:$ABN$500,E$2,0),$A$1460,INDEX(Техника!$H$1:$ABO$500,E$2,0),"Л")</f>
        <v>0</v>
      </c>
      <c r="F1464" s="50">
        <f>SUMIFS(INDEX(Техника!$F$1:$ABM$500,F$2,0),Техника!$F$4:$ABM$4,"Часы",INDEX(Техника!$G$1:$ABN$500,F$2,0),$A$1460,INDEX(Техника!$H$1:$ABO$500,F$2,0),"Л")</f>
        <v>0</v>
      </c>
      <c r="G1464" s="50">
        <f>SUMIFS(INDEX(Техника!$F$1:$ABM$500,G$2,0),Техника!$F$4:$ABM$4,"Часы",INDEX(Техника!$G$1:$ABN$500,G$2,0),$A$1460,INDEX(Техника!$H$1:$ABO$500,G$2,0),"Л")</f>
        <v>0</v>
      </c>
      <c r="H1464" s="50">
        <f>SUMIFS(INDEX(Техника!$F$1:$ABM$500,H$2,0),Техника!$F$4:$ABM$4,"Часы",INDEX(Техника!$G$1:$ABN$500,H$2,0),$A$1460,INDEX(Техника!$H$1:$ABO$500,H$2,0),"Л")</f>
        <v>0</v>
      </c>
      <c r="I1464" s="50">
        <f>SUMIFS(INDEX(Техника!$F$1:$ABM$500,I$2,0),Техника!$F$4:$ABM$4,"Часы",INDEX(Техника!$G$1:$ABN$500,I$2,0),$A$1460,INDEX(Техника!$H$1:$ABO$500,I$2,0),"Л")</f>
        <v>0</v>
      </c>
      <c r="J1464" s="50">
        <f>SUMIFS(INDEX(Техника!$F$1:$ABM$500,J$2,0),Техника!$F$4:$ABM$4,"Часы",INDEX(Техника!$G$1:$ABN$500,J$2,0),$A$1460,INDEX(Техника!$H$1:$ABO$500,J$2,0),"Л")</f>
        <v>0</v>
      </c>
      <c r="K1464" s="50">
        <f>SUMIFS(INDEX(Техника!$F$1:$ABM$500,K$2,0),Техника!$F$4:$ABM$4,"Часы",INDEX(Техника!$G$1:$ABN$500,K$2,0),$A$1460,INDEX(Техника!$H$1:$ABO$500,K$2,0),"Л")</f>
        <v>0</v>
      </c>
      <c r="L1464" s="50">
        <f>SUMIFS(INDEX(Техника!$F$1:$ABM$500,L$2,0),Техника!$F$4:$ABM$4,"Часы",INDEX(Техника!$G$1:$ABN$500,L$2,0),$A$1460,INDEX(Техника!$H$1:$ABO$500,L$2,0),"Л")</f>
        <v>0</v>
      </c>
      <c r="M1464" s="50">
        <f>SUMIFS(INDEX(Техника!$F$1:$ABM$500,M$2,0),Техника!$F$4:$ABM$4,"Часы",INDEX(Техника!$G$1:$ABN$500,M$2,0),$A$1460,INDEX(Техника!$H$1:$ABO$500,M$2,0),"Л")</f>
        <v>0</v>
      </c>
      <c r="N1464" s="50">
        <f>SUMIFS(INDEX(Техника!$F$1:$ABM$500,N$2,0),Техника!$F$4:$ABM$4,"Часы",INDEX(Техника!$G$1:$ABN$500,N$2,0),$A$1460,INDEX(Техника!$H$1:$ABO$500,N$2,0),"Л")</f>
        <v>0</v>
      </c>
      <c r="O1464" s="50">
        <f>SUMIFS(INDEX(Техника!$F$1:$ABM$500,O$2,0),Техника!$F$4:$ABM$4,"Часы",INDEX(Техника!$G$1:$ABN$500,O$2,0),$A$1460,INDEX(Техника!$H$1:$ABO$500,O$2,0),"Л")</f>
        <v>0</v>
      </c>
      <c r="P1464" s="50">
        <f>SUMIFS(INDEX(Техника!$F$1:$ABM$500,P$2,0),Техника!$F$4:$ABM$4,"Часы",INDEX(Техника!$G$1:$ABN$500,P$2,0),$A$1460,INDEX(Техника!$H$1:$ABO$500,P$2,0),"Л")</f>
        <v>0</v>
      </c>
      <c r="Q1464" s="50">
        <f>SUMIFS(INDEX(Техника!$F$1:$ABM$500,Q$2,0),Техника!$F$4:$ABM$4,"Часы",INDEX(Техника!$G$1:$ABN$500,Q$2,0),$A$1460,INDEX(Техника!$H$1:$ABO$500,Q$2,0),"Л")</f>
        <v>0</v>
      </c>
      <c r="R1464" s="50">
        <f>SUMIFS(INDEX(Техника!$F$1:$ABM$500,R$2,0),Техника!$F$4:$ABM$4,"Часы",INDEX(Техника!$G$1:$ABN$500,R$2,0),$A$1460,INDEX(Техника!$H$1:$ABO$500,R$2,0),"Л")</f>
        <v>0</v>
      </c>
      <c r="S1464" s="50">
        <f>SUMIFS(INDEX(Техника!$F$1:$ABM$500,S$2,0),Техника!$F$4:$ABM$4,"Часы",INDEX(Техника!$G$1:$ABN$500,S$2,0),$A$1460,INDEX(Техника!$H$1:$ABO$500,S$2,0),"Л")</f>
        <v>0</v>
      </c>
      <c r="T1464" s="50">
        <f>SUMIFS(INDEX(Техника!$F$1:$ABM$500,T$2,0),Техника!$F$4:$ABM$4,"Часы",INDEX(Техника!$G$1:$ABN$500,T$2,0),$A$1460,INDEX(Техника!$H$1:$ABO$500,T$2,0),"Л")</f>
        <v>0</v>
      </c>
      <c r="U1464" s="50">
        <f>SUMIFS(INDEX(Техника!$F$1:$ABM$500,U$2,0),Техника!$F$4:$ABM$4,"Часы",INDEX(Техника!$G$1:$ABN$500,U$2,0),$A$1460,INDEX(Техника!$H$1:$ABO$500,U$2,0),"Л")</f>
        <v>0</v>
      </c>
      <c r="V1464" s="50">
        <f>SUMIFS(INDEX(Техника!$F$1:$ABM$500,V$2,0),Техника!$F$4:$ABM$4,"Часы",INDEX(Техника!$G$1:$ABN$500,V$2,0),$A$1460,INDEX(Техника!$H$1:$ABO$500,V$2,0),"Л")</f>
        <v>0</v>
      </c>
      <c r="W1464" s="50">
        <f>SUMIFS(INDEX(Техника!$F$1:$ABM$500,W$2,0),Техника!$F$4:$ABM$4,"Часы",INDEX(Техника!$G$1:$ABN$500,W$2,0),$A$1460,INDEX(Техника!$H$1:$ABO$500,W$2,0),"Л")</f>
        <v>0</v>
      </c>
      <c r="X1464" s="50">
        <f>SUMIFS(INDEX(Техника!$F$1:$ABM$500,X$2,0),Техника!$F$4:$ABM$4,"Часы",INDEX(Техника!$G$1:$ABN$500,X$2,0),$A$1460,INDEX(Техника!$H$1:$ABO$500,X$2,0),"Л")</f>
        <v>0</v>
      </c>
      <c r="Y1464" s="50">
        <f>SUMIFS(INDEX(Техника!$F$1:$ABM$500,Y$2,0),Техника!$F$4:$ABM$4,"Часы",INDEX(Техника!$G$1:$ABN$500,Y$2,0),$A$1460,INDEX(Техника!$H$1:$ABO$500,Y$2,0),"Л")</f>
        <v>0</v>
      </c>
      <c r="Z1464" s="50">
        <f>SUMIFS(INDEX(Техника!$F$1:$ABM$500,Z$2,0),Техника!$F$4:$ABM$4,"Часы",INDEX(Техника!$G$1:$ABN$500,Z$2,0),$A$1460,INDEX(Техника!$H$1:$ABO$500,Z$2,0),"Л")</f>
        <v>0</v>
      </c>
      <c r="AA1464" s="50">
        <f>SUMIFS(INDEX(Техника!$F$1:$ABM$500,AA$2,0),Техника!$F$4:$ABM$4,"Часы",INDEX(Техника!$G$1:$ABN$500,AA$2,0),$A$1460,INDEX(Техника!$H$1:$ABO$500,AA$2,0),"Л")</f>
        <v>0</v>
      </c>
      <c r="AB1464" s="50">
        <f>SUMIFS(INDEX(Техника!$F$1:$ABM$500,AB$2,0),Техника!$F$4:$ABM$4,"Часы",INDEX(Техника!$G$1:$ABN$500,AB$2,0),$A$1460,INDEX(Техника!$H$1:$ABO$500,AB$2,0),"Л")</f>
        <v>0</v>
      </c>
    </row>
    <row r="1465" spans="1:28" hidden="1" outlineLevel="1" x14ac:dyDescent="0.3">
      <c r="A1465" s="33" t="s">
        <v>245</v>
      </c>
      <c r="B1465" s="34" t="s">
        <v>279</v>
      </c>
      <c r="C1465" s="50">
        <f>SUMIFS(INDEX(Техника!$F$1:$ABM$500,C$2,0),Техника!$F$4:$ABM$4,"Часы",INDEX(Техника!$G$1:$ABN$500,C$2,0),$A$1460,INDEX(Техника!$H$1:$ABO$500,C$2,0),"З")</f>
        <v>0</v>
      </c>
      <c r="D1465" s="50">
        <f>SUMIFS(INDEX(Техника!$F$1:$ABM$500,D$2,0),Техника!$F$4:$ABM$4,"Часы",INDEX(Техника!$G$1:$ABN$500,D$2,0),$A$1460,INDEX(Техника!$H$1:$ABO$500,D$2,0),"З")</f>
        <v>0</v>
      </c>
      <c r="E1465" s="50">
        <f>SUMIFS(INDEX(Техника!$F$1:$ABM$500,E$2,0),Техника!$F$4:$ABM$4,"Часы",INDEX(Техника!$G$1:$ABN$500,E$2,0),$A$1460,INDEX(Техника!$H$1:$ABO$500,E$2,0),"З")</f>
        <v>0</v>
      </c>
      <c r="F1465" s="50">
        <f>SUMIFS(INDEX(Техника!$F$1:$ABM$500,F$2,0),Техника!$F$4:$ABM$4,"Часы",INDEX(Техника!$G$1:$ABN$500,F$2,0),$A$1460,INDEX(Техника!$H$1:$ABO$500,F$2,0),"З")</f>
        <v>0</v>
      </c>
      <c r="G1465" s="50">
        <f>SUMIFS(INDEX(Техника!$F$1:$ABM$500,G$2,0),Техника!$F$4:$ABM$4,"Часы",INDEX(Техника!$G$1:$ABN$500,G$2,0),$A$1460,INDEX(Техника!$H$1:$ABO$500,G$2,0),"З")</f>
        <v>0</v>
      </c>
      <c r="H1465" s="50">
        <f>SUMIFS(INDEX(Техника!$F$1:$ABM$500,H$2,0),Техника!$F$4:$ABM$4,"Часы",INDEX(Техника!$G$1:$ABN$500,H$2,0),$A$1460,INDEX(Техника!$H$1:$ABO$500,H$2,0),"З")</f>
        <v>0</v>
      </c>
      <c r="I1465" s="50">
        <f>SUMIFS(INDEX(Техника!$F$1:$ABM$500,I$2,0),Техника!$F$4:$ABM$4,"Часы",INDEX(Техника!$G$1:$ABN$500,I$2,0),$A$1460,INDEX(Техника!$H$1:$ABO$500,I$2,0),"З")</f>
        <v>0</v>
      </c>
      <c r="J1465" s="50">
        <f>SUMIFS(INDEX(Техника!$F$1:$ABM$500,J$2,0),Техника!$F$4:$ABM$4,"Часы",INDEX(Техника!$G$1:$ABN$500,J$2,0),$A$1460,INDEX(Техника!$H$1:$ABO$500,J$2,0),"З")</f>
        <v>0</v>
      </c>
      <c r="K1465" s="50">
        <f>SUMIFS(INDEX(Техника!$F$1:$ABM$500,K$2,0),Техника!$F$4:$ABM$4,"Часы",INDEX(Техника!$G$1:$ABN$500,K$2,0),$A$1460,INDEX(Техника!$H$1:$ABO$500,K$2,0),"З")</f>
        <v>0</v>
      </c>
      <c r="L1465" s="50">
        <f>SUMIFS(INDEX(Техника!$F$1:$ABM$500,L$2,0),Техника!$F$4:$ABM$4,"Часы",INDEX(Техника!$G$1:$ABN$500,L$2,0),$A$1460,INDEX(Техника!$H$1:$ABO$500,L$2,0),"З")</f>
        <v>0</v>
      </c>
      <c r="M1465" s="50">
        <f>SUMIFS(INDEX(Техника!$F$1:$ABM$500,M$2,0),Техника!$F$4:$ABM$4,"Часы",INDEX(Техника!$G$1:$ABN$500,M$2,0),$A$1460,INDEX(Техника!$H$1:$ABO$500,M$2,0),"З")</f>
        <v>0</v>
      </c>
      <c r="N1465" s="50">
        <f>SUMIFS(INDEX(Техника!$F$1:$ABM$500,N$2,0),Техника!$F$4:$ABM$4,"Часы",INDEX(Техника!$G$1:$ABN$500,N$2,0),$A$1460,INDEX(Техника!$H$1:$ABO$500,N$2,0),"З")</f>
        <v>0</v>
      </c>
      <c r="O1465" s="50">
        <f>SUMIFS(INDEX(Техника!$F$1:$ABM$500,O$2,0),Техника!$F$4:$ABM$4,"Часы",INDEX(Техника!$G$1:$ABN$500,O$2,0),$A$1460,INDEX(Техника!$H$1:$ABO$500,O$2,0),"З")</f>
        <v>0</v>
      </c>
      <c r="P1465" s="50">
        <f>SUMIFS(INDEX(Техника!$F$1:$ABM$500,P$2,0),Техника!$F$4:$ABM$4,"Часы",INDEX(Техника!$G$1:$ABN$500,P$2,0),$A$1460,INDEX(Техника!$H$1:$ABO$500,P$2,0),"З")</f>
        <v>0</v>
      </c>
      <c r="Q1465" s="50">
        <f>SUMIFS(INDEX(Техника!$F$1:$ABM$500,Q$2,0),Техника!$F$4:$ABM$4,"Часы",INDEX(Техника!$G$1:$ABN$500,Q$2,0),$A$1460,INDEX(Техника!$H$1:$ABO$500,Q$2,0),"З")</f>
        <v>0</v>
      </c>
      <c r="R1465" s="50">
        <f>SUMIFS(INDEX(Техника!$F$1:$ABM$500,R$2,0),Техника!$F$4:$ABM$4,"Часы",INDEX(Техника!$G$1:$ABN$500,R$2,0),$A$1460,INDEX(Техника!$H$1:$ABO$500,R$2,0),"З")</f>
        <v>0</v>
      </c>
      <c r="S1465" s="50">
        <f>SUMIFS(INDEX(Техника!$F$1:$ABM$500,S$2,0),Техника!$F$4:$ABM$4,"Часы",INDEX(Техника!$G$1:$ABN$500,S$2,0),$A$1460,INDEX(Техника!$H$1:$ABO$500,S$2,0),"З")</f>
        <v>0</v>
      </c>
      <c r="T1465" s="50">
        <f>SUMIFS(INDEX(Техника!$F$1:$ABM$500,T$2,0),Техника!$F$4:$ABM$4,"Часы",INDEX(Техника!$G$1:$ABN$500,T$2,0),$A$1460,INDEX(Техника!$H$1:$ABO$500,T$2,0),"З")</f>
        <v>0</v>
      </c>
      <c r="U1465" s="50">
        <f>SUMIFS(INDEX(Техника!$F$1:$ABM$500,U$2,0),Техника!$F$4:$ABM$4,"Часы",INDEX(Техника!$G$1:$ABN$500,U$2,0),$A$1460,INDEX(Техника!$H$1:$ABO$500,U$2,0),"З")</f>
        <v>0</v>
      </c>
      <c r="V1465" s="50">
        <f>SUMIFS(INDEX(Техника!$F$1:$ABM$500,V$2,0),Техника!$F$4:$ABM$4,"Часы",INDEX(Техника!$G$1:$ABN$500,V$2,0),$A$1460,INDEX(Техника!$H$1:$ABO$500,V$2,0),"З")</f>
        <v>0</v>
      </c>
      <c r="W1465" s="50">
        <f>SUMIFS(INDEX(Техника!$F$1:$ABM$500,W$2,0),Техника!$F$4:$ABM$4,"Часы",INDEX(Техника!$G$1:$ABN$500,W$2,0),$A$1460,INDEX(Техника!$H$1:$ABO$500,W$2,0),"З")</f>
        <v>0</v>
      </c>
      <c r="X1465" s="50">
        <f>SUMIFS(INDEX(Техника!$F$1:$ABM$500,X$2,0),Техника!$F$4:$ABM$4,"Часы",INDEX(Техника!$G$1:$ABN$500,X$2,0),$A$1460,INDEX(Техника!$H$1:$ABO$500,X$2,0),"З")</f>
        <v>0</v>
      </c>
      <c r="Y1465" s="50">
        <f>SUMIFS(INDEX(Техника!$F$1:$ABM$500,Y$2,0),Техника!$F$4:$ABM$4,"Часы",INDEX(Техника!$G$1:$ABN$500,Y$2,0),$A$1460,INDEX(Техника!$H$1:$ABO$500,Y$2,0),"З")</f>
        <v>0</v>
      </c>
      <c r="Z1465" s="50">
        <f>SUMIFS(INDEX(Техника!$F$1:$ABM$500,Z$2,0),Техника!$F$4:$ABM$4,"Часы",INDEX(Техника!$G$1:$ABN$500,Z$2,0),$A$1460,INDEX(Техника!$H$1:$ABO$500,Z$2,0),"З")</f>
        <v>0</v>
      </c>
      <c r="AA1465" s="50">
        <f>SUMIFS(INDEX(Техника!$F$1:$ABM$500,AA$2,0),Техника!$F$4:$ABM$4,"Часы",INDEX(Техника!$G$1:$ABN$500,AA$2,0),$A$1460,INDEX(Техника!$H$1:$ABO$500,AA$2,0),"З")</f>
        <v>0</v>
      </c>
      <c r="AB1465" s="50">
        <f>SUMIFS(INDEX(Техника!$F$1:$ABM$500,AB$2,0),Техника!$F$4:$ABM$4,"Часы",INDEX(Техника!$G$1:$ABN$500,AB$2,0),$A$1460,INDEX(Техника!$H$1:$ABO$500,AB$2,0),"З")</f>
        <v>0</v>
      </c>
    </row>
    <row r="1466" spans="1:28" ht="7.95" customHeight="1" x14ac:dyDescent="0.3">
      <c r="A1466" s="38"/>
      <c r="B1466" s="39"/>
      <c r="C1466" s="51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</row>
    <row r="1467" spans="1:28" ht="25.05" customHeight="1" collapsed="1" x14ac:dyDescent="0.3">
      <c r="A1467" s="32">
        <v>210</v>
      </c>
      <c r="B1467" s="32" t="s">
        <v>211</v>
      </c>
      <c r="C1467" s="49">
        <f>SUM(C1468:C1472)</f>
        <v>0</v>
      </c>
      <c r="D1467" s="49">
        <f>SUM(D1468:D1472)</f>
        <v>0</v>
      </c>
      <c r="E1467" s="49">
        <f>SUM(E1468:E1472)</f>
        <v>0</v>
      </c>
      <c r="F1467" s="49">
        <f>SUM(F1468:F1472)</f>
        <v>0</v>
      </c>
      <c r="G1467" s="49">
        <f>SUM(G1468:G1472)</f>
        <v>0</v>
      </c>
      <c r="H1467" s="49">
        <f>SUM(H1468:H1472)</f>
        <v>0</v>
      </c>
      <c r="I1467" s="49">
        <f>SUM(I1468:I1472)</f>
        <v>0</v>
      </c>
      <c r="J1467" s="49">
        <f>SUM(J1468:J1472)</f>
        <v>0</v>
      </c>
      <c r="K1467" s="49">
        <f>SUM(K1468:K1472)</f>
        <v>0</v>
      </c>
      <c r="L1467" s="49">
        <f>SUM(L1468:L1472)</f>
        <v>0</v>
      </c>
      <c r="M1467" s="49">
        <f>SUM(M1468:M1472)</f>
        <v>0</v>
      </c>
      <c r="N1467" s="49">
        <f>SUM(N1468:N1472)</f>
        <v>0</v>
      </c>
      <c r="O1467" s="49">
        <f>SUM(O1468:O1472)</f>
        <v>0</v>
      </c>
      <c r="P1467" s="49">
        <f>SUM(P1468:P1472)</f>
        <v>0</v>
      </c>
      <c r="Q1467" s="49">
        <f>SUM(Q1468:Q1472)</f>
        <v>0</v>
      </c>
      <c r="R1467" s="49">
        <f>SUM(R1468:R1472)</f>
        <v>0</v>
      </c>
      <c r="S1467" s="49">
        <f>SUM(S1468:S1472)</f>
        <v>0</v>
      </c>
      <c r="T1467" s="49">
        <f>SUM(T1468:T1472)</f>
        <v>0</v>
      </c>
      <c r="U1467" s="49">
        <f>SUM(U1468:U1472)</f>
        <v>0</v>
      </c>
      <c r="V1467" s="49">
        <f>SUM(V1468:V1472)</f>
        <v>0</v>
      </c>
      <c r="W1467" s="49">
        <f>SUM(W1468:W1472)</f>
        <v>0</v>
      </c>
      <c r="X1467" s="49">
        <f>SUM(X1468:X1472)</f>
        <v>0</v>
      </c>
      <c r="Y1467" s="49">
        <f>SUM(Y1468:Y1472)</f>
        <v>0</v>
      </c>
      <c r="Z1467" s="49">
        <f>SUM(Z1468:Z1472)</f>
        <v>0</v>
      </c>
      <c r="AA1467" s="49">
        <f>SUM(AA1468:AA1472)</f>
        <v>0</v>
      </c>
      <c r="AB1467" s="49">
        <f>SUM(AB1468:AB1472)</f>
        <v>0</v>
      </c>
    </row>
    <row r="1468" spans="1:28" hidden="1" outlineLevel="1" x14ac:dyDescent="0.3">
      <c r="A1468" s="33" t="s">
        <v>246</v>
      </c>
      <c r="B1468" s="34" t="s">
        <v>274</v>
      </c>
      <c r="C1468" s="50">
        <f>SUMIFS(INDEX(Техника!$F$1:$ABM$500,C$2,0),Техника!$F$4:$ABM$4,"Часы",INDEX(Техника!$G$1:$ABN$500,C$2,0),$A$1467,INDEX(Техника!$H$1:$ABO$500,C$2,0),"М")</f>
        <v>0</v>
      </c>
      <c r="D1468" s="50">
        <f>SUMIFS(INDEX(Техника!$F$1:$ABM$500,D$2,0),Техника!$F$4:$ABM$4,"Часы",INDEX(Техника!$G$1:$ABN$500,D$2,0),$A$1467,INDEX(Техника!$H$1:$ABO$500,D$2,0),"М")</f>
        <v>0</v>
      </c>
      <c r="E1468" s="50">
        <f>SUMIFS(INDEX(Техника!$F$1:$ABM$500,E$2,0),Техника!$F$4:$ABM$4,"Часы",INDEX(Техника!$G$1:$ABN$500,E$2,0),$A$1467,INDEX(Техника!$H$1:$ABO$500,E$2,0),"М")</f>
        <v>0</v>
      </c>
      <c r="F1468" s="50">
        <f>SUMIFS(INDEX(Техника!$F$1:$ABM$500,F$2,0),Техника!$F$4:$ABM$4,"Часы",INDEX(Техника!$G$1:$ABN$500,F$2,0),$A$1467,INDEX(Техника!$H$1:$ABO$500,F$2,0),"М")</f>
        <v>0</v>
      </c>
      <c r="G1468" s="50">
        <f>SUMIFS(INDEX(Техника!$F$1:$ABM$500,G$2,0),Техника!$F$4:$ABM$4,"Часы",INDEX(Техника!$G$1:$ABN$500,G$2,0),$A$1467,INDEX(Техника!$H$1:$ABO$500,G$2,0),"М")</f>
        <v>0</v>
      </c>
      <c r="H1468" s="50">
        <f>SUMIFS(INDEX(Техника!$F$1:$ABM$500,H$2,0),Техника!$F$4:$ABM$4,"Часы",INDEX(Техника!$G$1:$ABN$500,H$2,0),$A$1467,INDEX(Техника!$H$1:$ABO$500,H$2,0),"М")</f>
        <v>0</v>
      </c>
      <c r="I1468" s="50">
        <f>SUMIFS(INDEX(Техника!$F$1:$ABM$500,I$2,0),Техника!$F$4:$ABM$4,"Часы",INDEX(Техника!$G$1:$ABN$500,I$2,0),$A$1467,INDEX(Техника!$H$1:$ABO$500,I$2,0),"М")</f>
        <v>0</v>
      </c>
      <c r="J1468" s="50">
        <f>SUMIFS(INDEX(Техника!$F$1:$ABM$500,J$2,0),Техника!$F$4:$ABM$4,"Часы",INDEX(Техника!$G$1:$ABN$500,J$2,0),$A$1467,INDEX(Техника!$H$1:$ABO$500,J$2,0),"М")</f>
        <v>0</v>
      </c>
      <c r="K1468" s="50">
        <f>SUMIFS(INDEX(Техника!$F$1:$ABM$500,K$2,0),Техника!$F$4:$ABM$4,"Часы",INDEX(Техника!$G$1:$ABN$500,K$2,0),$A$1467,INDEX(Техника!$H$1:$ABO$500,K$2,0),"М")</f>
        <v>0</v>
      </c>
      <c r="L1468" s="50">
        <f>SUMIFS(INDEX(Техника!$F$1:$ABM$500,L$2,0),Техника!$F$4:$ABM$4,"Часы",INDEX(Техника!$G$1:$ABN$500,L$2,0),$A$1467,INDEX(Техника!$H$1:$ABO$500,L$2,0),"М")</f>
        <v>0</v>
      </c>
      <c r="M1468" s="50">
        <f>SUMIFS(INDEX(Техника!$F$1:$ABM$500,M$2,0),Техника!$F$4:$ABM$4,"Часы",INDEX(Техника!$G$1:$ABN$500,M$2,0),$A$1467,INDEX(Техника!$H$1:$ABO$500,M$2,0),"М")</f>
        <v>0</v>
      </c>
      <c r="N1468" s="50">
        <f>SUMIFS(INDEX(Техника!$F$1:$ABM$500,N$2,0),Техника!$F$4:$ABM$4,"Часы",INDEX(Техника!$G$1:$ABN$500,N$2,0),$A$1467,INDEX(Техника!$H$1:$ABO$500,N$2,0),"М")</f>
        <v>0</v>
      </c>
      <c r="O1468" s="50">
        <f>SUMIFS(INDEX(Техника!$F$1:$ABM$500,O$2,0),Техника!$F$4:$ABM$4,"Часы",INDEX(Техника!$G$1:$ABN$500,O$2,0),$A$1467,INDEX(Техника!$H$1:$ABO$500,O$2,0),"М")</f>
        <v>0</v>
      </c>
      <c r="P1468" s="50">
        <f>SUMIFS(INDEX(Техника!$F$1:$ABM$500,P$2,0),Техника!$F$4:$ABM$4,"Часы",INDEX(Техника!$G$1:$ABN$500,P$2,0),$A$1467,INDEX(Техника!$H$1:$ABO$500,P$2,0),"М")</f>
        <v>0</v>
      </c>
      <c r="Q1468" s="50">
        <f>SUMIFS(INDEX(Техника!$F$1:$ABM$500,Q$2,0),Техника!$F$4:$ABM$4,"Часы",INDEX(Техника!$G$1:$ABN$500,Q$2,0),$A$1467,INDEX(Техника!$H$1:$ABO$500,Q$2,0),"М")</f>
        <v>0</v>
      </c>
      <c r="R1468" s="50">
        <f>SUMIFS(INDEX(Техника!$F$1:$ABM$500,R$2,0),Техника!$F$4:$ABM$4,"Часы",INDEX(Техника!$G$1:$ABN$500,R$2,0),$A$1467,INDEX(Техника!$H$1:$ABO$500,R$2,0),"М")</f>
        <v>0</v>
      </c>
      <c r="S1468" s="50">
        <f>SUMIFS(INDEX(Техника!$F$1:$ABM$500,S$2,0),Техника!$F$4:$ABM$4,"Часы",INDEX(Техника!$G$1:$ABN$500,S$2,0),$A$1467,INDEX(Техника!$H$1:$ABO$500,S$2,0),"М")</f>
        <v>0</v>
      </c>
      <c r="T1468" s="50">
        <f>SUMIFS(INDEX(Техника!$F$1:$ABM$500,T$2,0),Техника!$F$4:$ABM$4,"Часы",INDEX(Техника!$G$1:$ABN$500,T$2,0),$A$1467,INDEX(Техника!$H$1:$ABO$500,T$2,0),"М")</f>
        <v>0</v>
      </c>
      <c r="U1468" s="50">
        <f>SUMIFS(INDEX(Техника!$F$1:$ABM$500,U$2,0),Техника!$F$4:$ABM$4,"Часы",INDEX(Техника!$G$1:$ABN$500,U$2,0),$A$1467,INDEX(Техника!$H$1:$ABO$500,U$2,0),"М")</f>
        <v>0</v>
      </c>
      <c r="V1468" s="50">
        <f>SUMIFS(INDEX(Техника!$F$1:$ABM$500,V$2,0),Техника!$F$4:$ABM$4,"Часы",INDEX(Техника!$G$1:$ABN$500,V$2,0),$A$1467,INDEX(Техника!$H$1:$ABO$500,V$2,0),"М")</f>
        <v>0</v>
      </c>
      <c r="W1468" s="50">
        <f>SUMIFS(INDEX(Техника!$F$1:$ABM$500,W$2,0),Техника!$F$4:$ABM$4,"Часы",INDEX(Техника!$G$1:$ABN$500,W$2,0),$A$1467,INDEX(Техника!$H$1:$ABO$500,W$2,0),"М")</f>
        <v>0</v>
      </c>
      <c r="X1468" s="50">
        <f>SUMIFS(INDEX(Техника!$F$1:$ABM$500,X$2,0),Техника!$F$4:$ABM$4,"Часы",INDEX(Техника!$G$1:$ABN$500,X$2,0),$A$1467,INDEX(Техника!$H$1:$ABO$500,X$2,0),"М")</f>
        <v>0</v>
      </c>
      <c r="Y1468" s="50">
        <f>SUMIFS(INDEX(Техника!$F$1:$ABM$500,Y$2,0),Техника!$F$4:$ABM$4,"Часы",INDEX(Техника!$G$1:$ABN$500,Y$2,0),$A$1467,INDEX(Техника!$H$1:$ABO$500,Y$2,0),"М")</f>
        <v>0</v>
      </c>
      <c r="Z1468" s="50">
        <f>SUMIFS(INDEX(Техника!$F$1:$ABM$500,Z$2,0),Техника!$F$4:$ABM$4,"Часы",INDEX(Техника!$G$1:$ABN$500,Z$2,0),$A$1467,INDEX(Техника!$H$1:$ABO$500,Z$2,0),"М")</f>
        <v>0</v>
      </c>
      <c r="AA1468" s="50">
        <f>SUMIFS(INDEX(Техника!$F$1:$ABM$500,AA$2,0),Техника!$F$4:$ABM$4,"Часы",INDEX(Техника!$G$1:$ABN$500,AA$2,0),$A$1467,INDEX(Техника!$H$1:$ABO$500,AA$2,0),"М")</f>
        <v>0</v>
      </c>
      <c r="AB1468" s="50">
        <f>SUMIFS(INDEX(Техника!$F$1:$ABM$500,AB$2,0),Техника!$F$4:$ABM$4,"Часы",INDEX(Техника!$G$1:$ABN$500,AB$2,0),$A$1467,INDEX(Техника!$H$1:$ABO$500,AB$2,0),"М")</f>
        <v>0</v>
      </c>
    </row>
    <row r="1469" spans="1:28" hidden="1" outlineLevel="1" x14ac:dyDescent="0.3">
      <c r="A1469" s="33" t="s">
        <v>244</v>
      </c>
      <c r="B1469" s="34" t="s">
        <v>275</v>
      </c>
      <c r="C1469" s="50">
        <f>SUMIFS(INDEX(Техника!$F$1:$ABM$500,C$2,0),Техника!$F$4:$ABM$4,"Часы",INDEX(Техника!$G$1:$ABN$500,C$2,0),$A$1467,INDEX(Техника!$H$1:$ABO$500,C$2,0),"Д")</f>
        <v>0</v>
      </c>
      <c r="D1469" s="50">
        <f>SUMIFS(INDEX(Техника!$F$1:$ABM$500,D$2,0),Техника!$F$4:$ABM$4,"Часы",INDEX(Техника!$G$1:$ABN$500,D$2,0),$A$1467,INDEX(Техника!$H$1:$ABO$500,D$2,0),"Д")</f>
        <v>0</v>
      </c>
      <c r="E1469" s="50">
        <f>SUMIFS(INDEX(Техника!$F$1:$ABM$500,E$2,0),Техника!$F$4:$ABM$4,"Часы",INDEX(Техника!$G$1:$ABN$500,E$2,0),$A$1467,INDEX(Техника!$H$1:$ABO$500,E$2,0),"Д")</f>
        <v>0</v>
      </c>
      <c r="F1469" s="50">
        <f>SUMIFS(INDEX(Техника!$F$1:$ABM$500,F$2,0),Техника!$F$4:$ABM$4,"Часы",INDEX(Техника!$G$1:$ABN$500,F$2,0),$A$1467,INDEX(Техника!$H$1:$ABO$500,F$2,0),"Д")</f>
        <v>0</v>
      </c>
      <c r="G1469" s="50">
        <f>SUMIFS(INDEX(Техника!$F$1:$ABM$500,G$2,0),Техника!$F$4:$ABM$4,"Часы",INDEX(Техника!$G$1:$ABN$500,G$2,0),$A$1467,INDEX(Техника!$H$1:$ABO$500,G$2,0),"Д")</f>
        <v>0</v>
      </c>
      <c r="H1469" s="50">
        <f>SUMIFS(INDEX(Техника!$F$1:$ABM$500,H$2,0),Техника!$F$4:$ABM$4,"Часы",INDEX(Техника!$G$1:$ABN$500,H$2,0),$A$1467,INDEX(Техника!$H$1:$ABO$500,H$2,0),"Д")</f>
        <v>0</v>
      </c>
      <c r="I1469" s="50">
        <f>SUMIFS(INDEX(Техника!$F$1:$ABM$500,I$2,0),Техника!$F$4:$ABM$4,"Часы",INDEX(Техника!$G$1:$ABN$500,I$2,0),$A$1467,INDEX(Техника!$H$1:$ABO$500,I$2,0),"Д")</f>
        <v>0</v>
      </c>
      <c r="J1469" s="50">
        <f>SUMIFS(INDEX(Техника!$F$1:$ABM$500,J$2,0),Техника!$F$4:$ABM$4,"Часы",INDEX(Техника!$G$1:$ABN$500,J$2,0),$A$1467,INDEX(Техника!$H$1:$ABO$500,J$2,0),"Д")</f>
        <v>0</v>
      </c>
      <c r="K1469" s="50">
        <f>SUMIFS(INDEX(Техника!$F$1:$ABM$500,K$2,0),Техника!$F$4:$ABM$4,"Часы",INDEX(Техника!$G$1:$ABN$500,K$2,0),$A$1467,INDEX(Техника!$H$1:$ABO$500,K$2,0),"Д")</f>
        <v>0</v>
      </c>
      <c r="L1469" s="50">
        <f>SUMIFS(INDEX(Техника!$F$1:$ABM$500,L$2,0),Техника!$F$4:$ABM$4,"Часы",INDEX(Техника!$G$1:$ABN$500,L$2,0),$A$1467,INDEX(Техника!$H$1:$ABO$500,L$2,0),"Д")</f>
        <v>0</v>
      </c>
      <c r="M1469" s="50">
        <f>SUMIFS(INDEX(Техника!$F$1:$ABM$500,M$2,0),Техника!$F$4:$ABM$4,"Часы",INDEX(Техника!$G$1:$ABN$500,M$2,0),$A$1467,INDEX(Техника!$H$1:$ABO$500,M$2,0),"Д")</f>
        <v>0</v>
      </c>
      <c r="N1469" s="50">
        <f>SUMIFS(INDEX(Техника!$F$1:$ABM$500,N$2,0),Техника!$F$4:$ABM$4,"Часы",INDEX(Техника!$G$1:$ABN$500,N$2,0),$A$1467,INDEX(Техника!$H$1:$ABO$500,N$2,0),"Д")</f>
        <v>0</v>
      </c>
      <c r="O1469" s="50">
        <f>SUMIFS(INDEX(Техника!$F$1:$ABM$500,O$2,0),Техника!$F$4:$ABM$4,"Часы",INDEX(Техника!$G$1:$ABN$500,O$2,0),$A$1467,INDEX(Техника!$H$1:$ABO$500,O$2,0),"Д")</f>
        <v>0</v>
      </c>
      <c r="P1469" s="50">
        <f>SUMIFS(INDEX(Техника!$F$1:$ABM$500,P$2,0),Техника!$F$4:$ABM$4,"Часы",INDEX(Техника!$G$1:$ABN$500,P$2,0),$A$1467,INDEX(Техника!$H$1:$ABO$500,P$2,0),"Д")</f>
        <v>0</v>
      </c>
      <c r="Q1469" s="50">
        <f>SUMIFS(INDEX(Техника!$F$1:$ABM$500,Q$2,0),Техника!$F$4:$ABM$4,"Часы",INDEX(Техника!$G$1:$ABN$500,Q$2,0),$A$1467,INDEX(Техника!$H$1:$ABO$500,Q$2,0),"Д")</f>
        <v>0</v>
      </c>
      <c r="R1469" s="50">
        <f>SUMIFS(INDEX(Техника!$F$1:$ABM$500,R$2,0),Техника!$F$4:$ABM$4,"Часы",INDEX(Техника!$G$1:$ABN$500,R$2,0),$A$1467,INDEX(Техника!$H$1:$ABO$500,R$2,0),"Д")</f>
        <v>0</v>
      </c>
      <c r="S1469" s="50">
        <f>SUMIFS(INDEX(Техника!$F$1:$ABM$500,S$2,0),Техника!$F$4:$ABM$4,"Часы",INDEX(Техника!$G$1:$ABN$500,S$2,0),$A$1467,INDEX(Техника!$H$1:$ABO$500,S$2,0),"Д")</f>
        <v>0</v>
      </c>
      <c r="T1469" s="50">
        <f>SUMIFS(INDEX(Техника!$F$1:$ABM$500,T$2,0),Техника!$F$4:$ABM$4,"Часы",INDEX(Техника!$G$1:$ABN$500,T$2,0),$A$1467,INDEX(Техника!$H$1:$ABO$500,T$2,0),"Д")</f>
        <v>0</v>
      </c>
      <c r="U1469" s="50">
        <f>SUMIFS(INDEX(Техника!$F$1:$ABM$500,U$2,0),Техника!$F$4:$ABM$4,"Часы",INDEX(Техника!$G$1:$ABN$500,U$2,0),$A$1467,INDEX(Техника!$H$1:$ABO$500,U$2,0),"Д")</f>
        <v>0</v>
      </c>
      <c r="V1469" s="50">
        <f>SUMIFS(INDEX(Техника!$F$1:$ABM$500,V$2,0),Техника!$F$4:$ABM$4,"Часы",INDEX(Техника!$G$1:$ABN$500,V$2,0),$A$1467,INDEX(Техника!$H$1:$ABO$500,V$2,0),"Д")</f>
        <v>0</v>
      </c>
      <c r="W1469" s="50">
        <f>SUMIFS(INDEX(Техника!$F$1:$ABM$500,W$2,0),Техника!$F$4:$ABM$4,"Часы",INDEX(Техника!$G$1:$ABN$500,W$2,0),$A$1467,INDEX(Техника!$H$1:$ABO$500,W$2,0),"Д")</f>
        <v>0</v>
      </c>
      <c r="X1469" s="50">
        <f>SUMIFS(INDEX(Техника!$F$1:$ABM$500,X$2,0),Техника!$F$4:$ABM$4,"Часы",INDEX(Техника!$G$1:$ABN$500,X$2,0),$A$1467,INDEX(Техника!$H$1:$ABO$500,X$2,0),"Д")</f>
        <v>0</v>
      </c>
      <c r="Y1469" s="50">
        <f>SUMIFS(INDEX(Техника!$F$1:$ABM$500,Y$2,0),Техника!$F$4:$ABM$4,"Часы",INDEX(Техника!$G$1:$ABN$500,Y$2,0),$A$1467,INDEX(Техника!$H$1:$ABO$500,Y$2,0),"Д")</f>
        <v>0</v>
      </c>
      <c r="Z1469" s="50">
        <f>SUMIFS(INDEX(Техника!$F$1:$ABM$500,Z$2,0),Техника!$F$4:$ABM$4,"Часы",INDEX(Техника!$G$1:$ABN$500,Z$2,0),$A$1467,INDEX(Техника!$H$1:$ABO$500,Z$2,0),"Д")</f>
        <v>0</v>
      </c>
      <c r="AA1469" s="50">
        <f>SUMIFS(INDEX(Техника!$F$1:$ABM$500,AA$2,0),Техника!$F$4:$ABM$4,"Часы",INDEX(Техника!$G$1:$ABN$500,AA$2,0),$A$1467,INDEX(Техника!$H$1:$ABO$500,AA$2,0),"Д")</f>
        <v>0</v>
      </c>
      <c r="AB1469" s="50">
        <f>SUMIFS(INDEX(Техника!$F$1:$ABM$500,AB$2,0),Техника!$F$4:$ABM$4,"Часы",INDEX(Техника!$G$1:$ABN$500,AB$2,0),$A$1467,INDEX(Техника!$H$1:$ABO$500,AB$2,0),"Д")</f>
        <v>0</v>
      </c>
    </row>
    <row r="1470" spans="1:28" hidden="1" outlineLevel="1" x14ac:dyDescent="0.3">
      <c r="A1470" s="33" t="s">
        <v>276</v>
      </c>
      <c r="B1470" s="34" t="s">
        <v>277</v>
      </c>
      <c r="C1470" s="50">
        <f>SUMIFS(INDEX(Техника!$F$1:$ABM$500,C$2,0),Техника!$F$4:$ABM$4,"Часы",INDEX(Техника!$G$1:$ABN$500,C$2,0),$A$1467,INDEX(Техника!$H$1:$ABO$500,C$2,0),"П")</f>
        <v>0</v>
      </c>
      <c r="D1470" s="50">
        <f>SUMIFS(INDEX(Техника!$F$1:$ABM$500,D$2,0),Техника!$F$4:$ABM$4,"Часы",INDEX(Техника!$G$1:$ABN$500,D$2,0),$A$1467,INDEX(Техника!$H$1:$ABO$500,D$2,0),"П")</f>
        <v>0</v>
      </c>
      <c r="E1470" s="50">
        <f>SUMIFS(INDEX(Техника!$F$1:$ABM$500,E$2,0),Техника!$F$4:$ABM$4,"Часы",INDEX(Техника!$G$1:$ABN$500,E$2,0),$A$1467,INDEX(Техника!$H$1:$ABO$500,E$2,0),"П")</f>
        <v>0</v>
      </c>
      <c r="F1470" s="50">
        <f>SUMIFS(INDEX(Техника!$F$1:$ABM$500,F$2,0),Техника!$F$4:$ABM$4,"Часы",INDEX(Техника!$G$1:$ABN$500,F$2,0),$A$1467,INDEX(Техника!$H$1:$ABO$500,F$2,0),"П")</f>
        <v>0</v>
      </c>
      <c r="G1470" s="50">
        <f>SUMIFS(INDEX(Техника!$F$1:$ABM$500,G$2,0),Техника!$F$4:$ABM$4,"Часы",INDEX(Техника!$G$1:$ABN$500,G$2,0),$A$1467,INDEX(Техника!$H$1:$ABO$500,G$2,0),"П")</f>
        <v>0</v>
      </c>
      <c r="H1470" s="50">
        <f>SUMIFS(INDEX(Техника!$F$1:$ABM$500,H$2,0),Техника!$F$4:$ABM$4,"Часы",INDEX(Техника!$G$1:$ABN$500,H$2,0),$A$1467,INDEX(Техника!$H$1:$ABO$500,H$2,0),"П")</f>
        <v>0</v>
      </c>
      <c r="I1470" s="50">
        <f>SUMIFS(INDEX(Техника!$F$1:$ABM$500,I$2,0),Техника!$F$4:$ABM$4,"Часы",INDEX(Техника!$G$1:$ABN$500,I$2,0),$A$1467,INDEX(Техника!$H$1:$ABO$500,I$2,0),"П")</f>
        <v>0</v>
      </c>
      <c r="J1470" s="50">
        <f>SUMIFS(INDEX(Техника!$F$1:$ABM$500,J$2,0),Техника!$F$4:$ABM$4,"Часы",INDEX(Техника!$G$1:$ABN$500,J$2,0),$A$1467,INDEX(Техника!$H$1:$ABO$500,J$2,0),"П")</f>
        <v>0</v>
      </c>
      <c r="K1470" s="50">
        <f>SUMIFS(INDEX(Техника!$F$1:$ABM$500,K$2,0),Техника!$F$4:$ABM$4,"Часы",INDEX(Техника!$G$1:$ABN$500,K$2,0),$A$1467,INDEX(Техника!$H$1:$ABO$500,K$2,0),"П")</f>
        <v>0</v>
      </c>
      <c r="L1470" s="50">
        <f>SUMIFS(INDEX(Техника!$F$1:$ABM$500,L$2,0),Техника!$F$4:$ABM$4,"Часы",INDEX(Техника!$G$1:$ABN$500,L$2,0),$A$1467,INDEX(Техника!$H$1:$ABO$500,L$2,0),"П")</f>
        <v>0</v>
      </c>
      <c r="M1470" s="50">
        <f>SUMIFS(INDEX(Техника!$F$1:$ABM$500,M$2,0),Техника!$F$4:$ABM$4,"Часы",INDEX(Техника!$G$1:$ABN$500,M$2,0),$A$1467,INDEX(Техника!$H$1:$ABO$500,M$2,0),"П")</f>
        <v>0</v>
      </c>
      <c r="N1470" s="50">
        <f>SUMIFS(INDEX(Техника!$F$1:$ABM$500,N$2,0),Техника!$F$4:$ABM$4,"Часы",INDEX(Техника!$G$1:$ABN$500,N$2,0),$A$1467,INDEX(Техника!$H$1:$ABO$500,N$2,0),"П")</f>
        <v>0</v>
      </c>
      <c r="O1470" s="50">
        <f>SUMIFS(INDEX(Техника!$F$1:$ABM$500,O$2,0),Техника!$F$4:$ABM$4,"Часы",INDEX(Техника!$G$1:$ABN$500,O$2,0),$A$1467,INDEX(Техника!$H$1:$ABO$500,O$2,0),"П")</f>
        <v>0</v>
      </c>
      <c r="P1470" s="50">
        <f>SUMIFS(INDEX(Техника!$F$1:$ABM$500,P$2,0),Техника!$F$4:$ABM$4,"Часы",INDEX(Техника!$G$1:$ABN$500,P$2,0),$A$1467,INDEX(Техника!$H$1:$ABO$500,P$2,0),"П")</f>
        <v>0</v>
      </c>
      <c r="Q1470" s="50">
        <f>SUMIFS(INDEX(Техника!$F$1:$ABM$500,Q$2,0),Техника!$F$4:$ABM$4,"Часы",INDEX(Техника!$G$1:$ABN$500,Q$2,0),$A$1467,INDEX(Техника!$H$1:$ABO$500,Q$2,0),"П")</f>
        <v>0</v>
      </c>
      <c r="R1470" s="50">
        <f>SUMIFS(INDEX(Техника!$F$1:$ABM$500,R$2,0),Техника!$F$4:$ABM$4,"Часы",INDEX(Техника!$G$1:$ABN$500,R$2,0),$A$1467,INDEX(Техника!$H$1:$ABO$500,R$2,0),"П")</f>
        <v>0</v>
      </c>
      <c r="S1470" s="50">
        <f>SUMIFS(INDEX(Техника!$F$1:$ABM$500,S$2,0),Техника!$F$4:$ABM$4,"Часы",INDEX(Техника!$G$1:$ABN$500,S$2,0),$A$1467,INDEX(Техника!$H$1:$ABO$500,S$2,0),"П")</f>
        <v>0</v>
      </c>
      <c r="T1470" s="50">
        <f>SUMIFS(INDEX(Техника!$F$1:$ABM$500,T$2,0),Техника!$F$4:$ABM$4,"Часы",INDEX(Техника!$G$1:$ABN$500,T$2,0),$A$1467,INDEX(Техника!$H$1:$ABO$500,T$2,0),"П")</f>
        <v>0</v>
      </c>
      <c r="U1470" s="50">
        <f>SUMIFS(INDEX(Техника!$F$1:$ABM$500,U$2,0),Техника!$F$4:$ABM$4,"Часы",INDEX(Техника!$G$1:$ABN$500,U$2,0),$A$1467,INDEX(Техника!$H$1:$ABO$500,U$2,0),"П")</f>
        <v>0</v>
      </c>
      <c r="V1470" s="50">
        <f>SUMIFS(INDEX(Техника!$F$1:$ABM$500,V$2,0),Техника!$F$4:$ABM$4,"Часы",INDEX(Техника!$G$1:$ABN$500,V$2,0),$A$1467,INDEX(Техника!$H$1:$ABO$500,V$2,0),"П")</f>
        <v>0</v>
      </c>
      <c r="W1470" s="50">
        <f>SUMIFS(INDEX(Техника!$F$1:$ABM$500,W$2,0),Техника!$F$4:$ABM$4,"Часы",INDEX(Техника!$G$1:$ABN$500,W$2,0),$A$1467,INDEX(Техника!$H$1:$ABO$500,W$2,0),"П")</f>
        <v>0</v>
      </c>
      <c r="X1470" s="50">
        <f>SUMIFS(INDEX(Техника!$F$1:$ABM$500,X$2,0),Техника!$F$4:$ABM$4,"Часы",INDEX(Техника!$G$1:$ABN$500,X$2,0),$A$1467,INDEX(Техника!$H$1:$ABO$500,X$2,0),"П")</f>
        <v>0</v>
      </c>
      <c r="Y1470" s="50">
        <f>SUMIFS(INDEX(Техника!$F$1:$ABM$500,Y$2,0),Техника!$F$4:$ABM$4,"Часы",INDEX(Техника!$G$1:$ABN$500,Y$2,0),$A$1467,INDEX(Техника!$H$1:$ABO$500,Y$2,0),"П")</f>
        <v>0</v>
      </c>
      <c r="Z1470" s="50">
        <f>SUMIFS(INDEX(Техника!$F$1:$ABM$500,Z$2,0),Техника!$F$4:$ABM$4,"Часы",INDEX(Техника!$G$1:$ABN$500,Z$2,0),$A$1467,INDEX(Техника!$H$1:$ABO$500,Z$2,0),"П")</f>
        <v>0</v>
      </c>
      <c r="AA1470" s="50">
        <f>SUMIFS(INDEX(Техника!$F$1:$ABM$500,AA$2,0),Техника!$F$4:$ABM$4,"Часы",INDEX(Техника!$G$1:$ABN$500,AA$2,0),$A$1467,INDEX(Техника!$H$1:$ABO$500,AA$2,0),"П")</f>
        <v>0</v>
      </c>
      <c r="AB1470" s="50">
        <f>SUMIFS(INDEX(Техника!$F$1:$ABM$500,AB$2,0),Техника!$F$4:$ABM$4,"Часы",INDEX(Техника!$G$1:$ABN$500,AB$2,0),$A$1467,INDEX(Техника!$H$1:$ABO$500,AB$2,0),"П")</f>
        <v>0</v>
      </c>
    </row>
    <row r="1471" spans="1:28" hidden="1" outlineLevel="1" x14ac:dyDescent="0.3">
      <c r="A1471" s="33" t="s">
        <v>243</v>
      </c>
      <c r="B1471" s="34" t="s">
        <v>278</v>
      </c>
      <c r="C1471" s="50">
        <f>SUMIFS(INDEX(Техника!$F$1:$ABM$500,C$2,0),Техника!$F$4:$ABM$4,"Часы",INDEX(Техника!$G$1:$ABN$500,C$2,0),$A$1467,INDEX(Техника!$H$1:$ABO$500,C$2,0),"Л")</f>
        <v>0</v>
      </c>
      <c r="D1471" s="50">
        <f>SUMIFS(INDEX(Техника!$F$1:$ABM$500,D$2,0),Техника!$F$4:$ABM$4,"Часы",INDEX(Техника!$G$1:$ABN$500,D$2,0),$A$1467,INDEX(Техника!$H$1:$ABO$500,D$2,0),"Л")</f>
        <v>0</v>
      </c>
      <c r="E1471" s="50">
        <f>SUMIFS(INDEX(Техника!$F$1:$ABM$500,E$2,0),Техника!$F$4:$ABM$4,"Часы",INDEX(Техника!$G$1:$ABN$500,E$2,0),$A$1467,INDEX(Техника!$H$1:$ABO$500,E$2,0),"Л")</f>
        <v>0</v>
      </c>
      <c r="F1471" s="50">
        <f>SUMIFS(INDEX(Техника!$F$1:$ABM$500,F$2,0),Техника!$F$4:$ABM$4,"Часы",INDEX(Техника!$G$1:$ABN$500,F$2,0),$A$1467,INDEX(Техника!$H$1:$ABO$500,F$2,0),"Л")</f>
        <v>0</v>
      </c>
      <c r="G1471" s="50">
        <f>SUMIFS(INDEX(Техника!$F$1:$ABM$500,G$2,0),Техника!$F$4:$ABM$4,"Часы",INDEX(Техника!$G$1:$ABN$500,G$2,0),$A$1467,INDEX(Техника!$H$1:$ABO$500,G$2,0),"Л")</f>
        <v>0</v>
      </c>
      <c r="H1471" s="50">
        <f>SUMIFS(INDEX(Техника!$F$1:$ABM$500,H$2,0),Техника!$F$4:$ABM$4,"Часы",INDEX(Техника!$G$1:$ABN$500,H$2,0),$A$1467,INDEX(Техника!$H$1:$ABO$500,H$2,0),"Л")</f>
        <v>0</v>
      </c>
      <c r="I1471" s="50">
        <f>SUMIFS(INDEX(Техника!$F$1:$ABM$500,I$2,0),Техника!$F$4:$ABM$4,"Часы",INDEX(Техника!$G$1:$ABN$500,I$2,0),$A$1467,INDEX(Техника!$H$1:$ABO$500,I$2,0),"Л")</f>
        <v>0</v>
      </c>
      <c r="J1471" s="50">
        <f>SUMIFS(INDEX(Техника!$F$1:$ABM$500,J$2,0),Техника!$F$4:$ABM$4,"Часы",INDEX(Техника!$G$1:$ABN$500,J$2,0),$A$1467,INDEX(Техника!$H$1:$ABO$500,J$2,0),"Л")</f>
        <v>0</v>
      </c>
      <c r="K1471" s="50">
        <f>SUMIFS(INDEX(Техника!$F$1:$ABM$500,K$2,0),Техника!$F$4:$ABM$4,"Часы",INDEX(Техника!$G$1:$ABN$500,K$2,0),$A$1467,INDEX(Техника!$H$1:$ABO$500,K$2,0),"Л")</f>
        <v>0</v>
      </c>
      <c r="L1471" s="50">
        <f>SUMIFS(INDEX(Техника!$F$1:$ABM$500,L$2,0),Техника!$F$4:$ABM$4,"Часы",INDEX(Техника!$G$1:$ABN$500,L$2,0),$A$1467,INDEX(Техника!$H$1:$ABO$500,L$2,0),"Л")</f>
        <v>0</v>
      </c>
      <c r="M1471" s="50">
        <f>SUMIFS(INDEX(Техника!$F$1:$ABM$500,M$2,0),Техника!$F$4:$ABM$4,"Часы",INDEX(Техника!$G$1:$ABN$500,M$2,0),$A$1467,INDEX(Техника!$H$1:$ABO$500,M$2,0),"Л")</f>
        <v>0</v>
      </c>
      <c r="N1471" s="50">
        <f>SUMIFS(INDEX(Техника!$F$1:$ABM$500,N$2,0),Техника!$F$4:$ABM$4,"Часы",INDEX(Техника!$G$1:$ABN$500,N$2,0),$A$1467,INDEX(Техника!$H$1:$ABO$500,N$2,0),"Л")</f>
        <v>0</v>
      </c>
      <c r="O1471" s="50">
        <f>SUMIFS(INDEX(Техника!$F$1:$ABM$500,O$2,0),Техника!$F$4:$ABM$4,"Часы",INDEX(Техника!$G$1:$ABN$500,O$2,0),$A$1467,INDEX(Техника!$H$1:$ABO$500,O$2,0),"Л")</f>
        <v>0</v>
      </c>
      <c r="P1471" s="50">
        <f>SUMIFS(INDEX(Техника!$F$1:$ABM$500,P$2,0),Техника!$F$4:$ABM$4,"Часы",INDEX(Техника!$G$1:$ABN$500,P$2,0),$A$1467,INDEX(Техника!$H$1:$ABO$500,P$2,0),"Л")</f>
        <v>0</v>
      </c>
      <c r="Q1471" s="50">
        <f>SUMIFS(INDEX(Техника!$F$1:$ABM$500,Q$2,0),Техника!$F$4:$ABM$4,"Часы",INDEX(Техника!$G$1:$ABN$500,Q$2,0),$A$1467,INDEX(Техника!$H$1:$ABO$500,Q$2,0),"Л")</f>
        <v>0</v>
      </c>
      <c r="R1471" s="50">
        <f>SUMIFS(INDEX(Техника!$F$1:$ABM$500,R$2,0),Техника!$F$4:$ABM$4,"Часы",INDEX(Техника!$G$1:$ABN$500,R$2,0),$A$1467,INDEX(Техника!$H$1:$ABO$500,R$2,0),"Л")</f>
        <v>0</v>
      </c>
      <c r="S1471" s="50">
        <f>SUMIFS(INDEX(Техника!$F$1:$ABM$500,S$2,0),Техника!$F$4:$ABM$4,"Часы",INDEX(Техника!$G$1:$ABN$500,S$2,0),$A$1467,INDEX(Техника!$H$1:$ABO$500,S$2,0),"Л")</f>
        <v>0</v>
      </c>
      <c r="T1471" s="50">
        <f>SUMIFS(INDEX(Техника!$F$1:$ABM$500,T$2,0),Техника!$F$4:$ABM$4,"Часы",INDEX(Техника!$G$1:$ABN$500,T$2,0),$A$1467,INDEX(Техника!$H$1:$ABO$500,T$2,0),"Л")</f>
        <v>0</v>
      </c>
      <c r="U1471" s="50">
        <f>SUMIFS(INDEX(Техника!$F$1:$ABM$500,U$2,0),Техника!$F$4:$ABM$4,"Часы",INDEX(Техника!$G$1:$ABN$500,U$2,0),$A$1467,INDEX(Техника!$H$1:$ABO$500,U$2,0),"Л")</f>
        <v>0</v>
      </c>
      <c r="V1471" s="50">
        <f>SUMIFS(INDEX(Техника!$F$1:$ABM$500,V$2,0),Техника!$F$4:$ABM$4,"Часы",INDEX(Техника!$G$1:$ABN$500,V$2,0),$A$1467,INDEX(Техника!$H$1:$ABO$500,V$2,0),"Л")</f>
        <v>0</v>
      </c>
      <c r="W1471" s="50">
        <f>SUMIFS(INDEX(Техника!$F$1:$ABM$500,W$2,0),Техника!$F$4:$ABM$4,"Часы",INDEX(Техника!$G$1:$ABN$500,W$2,0),$A$1467,INDEX(Техника!$H$1:$ABO$500,W$2,0),"Л")</f>
        <v>0</v>
      </c>
      <c r="X1471" s="50">
        <f>SUMIFS(INDEX(Техника!$F$1:$ABM$500,X$2,0),Техника!$F$4:$ABM$4,"Часы",INDEX(Техника!$G$1:$ABN$500,X$2,0),$A$1467,INDEX(Техника!$H$1:$ABO$500,X$2,0),"Л")</f>
        <v>0</v>
      </c>
      <c r="Y1471" s="50">
        <f>SUMIFS(INDEX(Техника!$F$1:$ABM$500,Y$2,0),Техника!$F$4:$ABM$4,"Часы",INDEX(Техника!$G$1:$ABN$500,Y$2,0),$A$1467,INDEX(Техника!$H$1:$ABO$500,Y$2,0),"Л")</f>
        <v>0</v>
      </c>
      <c r="Z1471" s="50">
        <f>SUMIFS(INDEX(Техника!$F$1:$ABM$500,Z$2,0),Техника!$F$4:$ABM$4,"Часы",INDEX(Техника!$G$1:$ABN$500,Z$2,0),$A$1467,INDEX(Техника!$H$1:$ABO$500,Z$2,0),"Л")</f>
        <v>0</v>
      </c>
      <c r="AA1471" s="50">
        <f>SUMIFS(INDEX(Техника!$F$1:$ABM$500,AA$2,0),Техника!$F$4:$ABM$4,"Часы",INDEX(Техника!$G$1:$ABN$500,AA$2,0),$A$1467,INDEX(Техника!$H$1:$ABO$500,AA$2,0),"Л")</f>
        <v>0</v>
      </c>
      <c r="AB1471" s="50">
        <f>SUMIFS(INDEX(Техника!$F$1:$ABM$500,AB$2,0),Техника!$F$4:$ABM$4,"Часы",INDEX(Техника!$G$1:$ABN$500,AB$2,0),$A$1467,INDEX(Техника!$H$1:$ABO$500,AB$2,0),"Л")</f>
        <v>0</v>
      </c>
    </row>
    <row r="1472" spans="1:28" hidden="1" outlineLevel="1" x14ac:dyDescent="0.3">
      <c r="A1472" s="33" t="s">
        <v>245</v>
      </c>
      <c r="B1472" s="34" t="s">
        <v>279</v>
      </c>
      <c r="C1472" s="50">
        <f>SUMIFS(INDEX(Техника!$F$1:$ABM$500,C$2,0),Техника!$F$4:$ABM$4,"Часы",INDEX(Техника!$G$1:$ABN$500,C$2,0),$A$1467,INDEX(Техника!$H$1:$ABO$500,C$2,0),"З")</f>
        <v>0</v>
      </c>
      <c r="D1472" s="50">
        <f>SUMIFS(INDEX(Техника!$F$1:$ABM$500,D$2,0),Техника!$F$4:$ABM$4,"Часы",INDEX(Техника!$G$1:$ABN$500,D$2,0),$A$1467,INDEX(Техника!$H$1:$ABO$500,D$2,0),"З")</f>
        <v>0</v>
      </c>
      <c r="E1472" s="50">
        <f>SUMIFS(INDEX(Техника!$F$1:$ABM$500,E$2,0),Техника!$F$4:$ABM$4,"Часы",INDEX(Техника!$G$1:$ABN$500,E$2,0),$A$1467,INDEX(Техника!$H$1:$ABO$500,E$2,0),"З")</f>
        <v>0</v>
      </c>
      <c r="F1472" s="50">
        <f>SUMIFS(INDEX(Техника!$F$1:$ABM$500,F$2,0),Техника!$F$4:$ABM$4,"Часы",INDEX(Техника!$G$1:$ABN$500,F$2,0),$A$1467,INDEX(Техника!$H$1:$ABO$500,F$2,0),"З")</f>
        <v>0</v>
      </c>
      <c r="G1472" s="50">
        <f>SUMIFS(INDEX(Техника!$F$1:$ABM$500,G$2,0),Техника!$F$4:$ABM$4,"Часы",INDEX(Техника!$G$1:$ABN$500,G$2,0),$A$1467,INDEX(Техника!$H$1:$ABO$500,G$2,0),"З")</f>
        <v>0</v>
      </c>
      <c r="H1472" s="50">
        <f>SUMIFS(INDEX(Техника!$F$1:$ABM$500,H$2,0),Техника!$F$4:$ABM$4,"Часы",INDEX(Техника!$G$1:$ABN$500,H$2,0),$A$1467,INDEX(Техника!$H$1:$ABO$500,H$2,0),"З")</f>
        <v>0</v>
      </c>
      <c r="I1472" s="50">
        <f>SUMIFS(INDEX(Техника!$F$1:$ABM$500,I$2,0),Техника!$F$4:$ABM$4,"Часы",INDEX(Техника!$G$1:$ABN$500,I$2,0),$A$1467,INDEX(Техника!$H$1:$ABO$500,I$2,0),"З")</f>
        <v>0</v>
      </c>
      <c r="J1472" s="50">
        <f>SUMIFS(INDEX(Техника!$F$1:$ABM$500,J$2,0),Техника!$F$4:$ABM$4,"Часы",INDEX(Техника!$G$1:$ABN$500,J$2,0),$A$1467,INDEX(Техника!$H$1:$ABO$500,J$2,0),"З")</f>
        <v>0</v>
      </c>
      <c r="K1472" s="50">
        <f>SUMIFS(INDEX(Техника!$F$1:$ABM$500,K$2,0),Техника!$F$4:$ABM$4,"Часы",INDEX(Техника!$G$1:$ABN$500,K$2,0),$A$1467,INDEX(Техника!$H$1:$ABO$500,K$2,0),"З")</f>
        <v>0</v>
      </c>
      <c r="L1472" s="50">
        <f>SUMIFS(INDEX(Техника!$F$1:$ABM$500,L$2,0),Техника!$F$4:$ABM$4,"Часы",INDEX(Техника!$G$1:$ABN$500,L$2,0),$A$1467,INDEX(Техника!$H$1:$ABO$500,L$2,0),"З")</f>
        <v>0</v>
      </c>
      <c r="M1472" s="50">
        <f>SUMIFS(INDEX(Техника!$F$1:$ABM$500,M$2,0),Техника!$F$4:$ABM$4,"Часы",INDEX(Техника!$G$1:$ABN$500,M$2,0),$A$1467,INDEX(Техника!$H$1:$ABO$500,M$2,0),"З")</f>
        <v>0</v>
      </c>
      <c r="N1472" s="50">
        <f>SUMIFS(INDEX(Техника!$F$1:$ABM$500,N$2,0),Техника!$F$4:$ABM$4,"Часы",INDEX(Техника!$G$1:$ABN$500,N$2,0),$A$1467,INDEX(Техника!$H$1:$ABO$500,N$2,0),"З")</f>
        <v>0</v>
      </c>
      <c r="O1472" s="50">
        <f>SUMIFS(INDEX(Техника!$F$1:$ABM$500,O$2,0),Техника!$F$4:$ABM$4,"Часы",INDEX(Техника!$G$1:$ABN$500,O$2,0),$A$1467,INDEX(Техника!$H$1:$ABO$500,O$2,0),"З")</f>
        <v>0</v>
      </c>
      <c r="P1472" s="50">
        <f>SUMIFS(INDEX(Техника!$F$1:$ABM$500,P$2,0),Техника!$F$4:$ABM$4,"Часы",INDEX(Техника!$G$1:$ABN$500,P$2,0),$A$1467,INDEX(Техника!$H$1:$ABO$500,P$2,0),"З")</f>
        <v>0</v>
      </c>
      <c r="Q1472" s="50">
        <f>SUMIFS(INDEX(Техника!$F$1:$ABM$500,Q$2,0),Техника!$F$4:$ABM$4,"Часы",INDEX(Техника!$G$1:$ABN$500,Q$2,0),$A$1467,INDEX(Техника!$H$1:$ABO$500,Q$2,0),"З")</f>
        <v>0</v>
      </c>
      <c r="R1472" s="50">
        <f>SUMIFS(INDEX(Техника!$F$1:$ABM$500,R$2,0),Техника!$F$4:$ABM$4,"Часы",INDEX(Техника!$G$1:$ABN$500,R$2,0),$A$1467,INDEX(Техника!$H$1:$ABO$500,R$2,0),"З")</f>
        <v>0</v>
      </c>
      <c r="S1472" s="50">
        <f>SUMIFS(INDEX(Техника!$F$1:$ABM$500,S$2,0),Техника!$F$4:$ABM$4,"Часы",INDEX(Техника!$G$1:$ABN$500,S$2,0),$A$1467,INDEX(Техника!$H$1:$ABO$500,S$2,0),"З")</f>
        <v>0</v>
      </c>
      <c r="T1472" s="50">
        <f>SUMIFS(INDEX(Техника!$F$1:$ABM$500,T$2,0),Техника!$F$4:$ABM$4,"Часы",INDEX(Техника!$G$1:$ABN$500,T$2,0),$A$1467,INDEX(Техника!$H$1:$ABO$500,T$2,0),"З")</f>
        <v>0</v>
      </c>
      <c r="U1472" s="50">
        <f>SUMIFS(INDEX(Техника!$F$1:$ABM$500,U$2,0),Техника!$F$4:$ABM$4,"Часы",INDEX(Техника!$G$1:$ABN$500,U$2,0),$A$1467,INDEX(Техника!$H$1:$ABO$500,U$2,0),"З")</f>
        <v>0</v>
      </c>
      <c r="V1472" s="50">
        <f>SUMIFS(INDEX(Техника!$F$1:$ABM$500,V$2,0),Техника!$F$4:$ABM$4,"Часы",INDEX(Техника!$G$1:$ABN$500,V$2,0),$A$1467,INDEX(Техника!$H$1:$ABO$500,V$2,0),"З")</f>
        <v>0</v>
      </c>
      <c r="W1472" s="50">
        <f>SUMIFS(INDEX(Техника!$F$1:$ABM$500,W$2,0),Техника!$F$4:$ABM$4,"Часы",INDEX(Техника!$G$1:$ABN$500,W$2,0),$A$1467,INDEX(Техника!$H$1:$ABO$500,W$2,0),"З")</f>
        <v>0</v>
      </c>
      <c r="X1472" s="50">
        <f>SUMIFS(INDEX(Техника!$F$1:$ABM$500,X$2,0),Техника!$F$4:$ABM$4,"Часы",INDEX(Техника!$G$1:$ABN$500,X$2,0),$A$1467,INDEX(Техника!$H$1:$ABO$500,X$2,0),"З")</f>
        <v>0</v>
      </c>
      <c r="Y1472" s="50">
        <f>SUMIFS(INDEX(Техника!$F$1:$ABM$500,Y$2,0),Техника!$F$4:$ABM$4,"Часы",INDEX(Техника!$G$1:$ABN$500,Y$2,0),$A$1467,INDEX(Техника!$H$1:$ABO$500,Y$2,0),"З")</f>
        <v>0</v>
      </c>
      <c r="Z1472" s="50">
        <f>SUMIFS(INDEX(Техника!$F$1:$ABM$500,Z$2,0),Техника!$F$4:$ABM$4,"Часы",INDEX(Техника!$G$1:$ABN$500,Z$2,0),$A$1467,INDEX(Техника!$H$1:$ABO$500,Z$2,0),"З")</f>
        <v>0</v>
      </c>
      <c r="AA1472" s="50">
        <f>SUMIFS(INDEX(Техника!$F$1:$ABM$500,AA$2,0),Техника!$F$4:$ABM$4,"Часы",INDEX(Техника!$G$1:$ABN$500,AA$2,0),$A$1467,INDEX(Техника!$H$1:$ABO$500,AA$2,0),"З")</f>
        <v>0</v>
      </c>
      <c r="AB1472" s="50">
        <f>SUMIFS(INDEX(Техника!$F$1:$ABM$500,AB$2,0),Техника!$F$4:$ABM$4,"Часы",INDEX(Техника!$G$1:$ABN$500,AB$2,0),$A$1467,INDEX(Техника!$H$1:$ABO$500,AB$2,0),"З")</f>
        <v>0</v>
      </c>
    </row>
    <row r="1473" spans="1:28" ht="7.95" customHeight="1" x14ac:dyDescent="0.3">
      <c r="A1473" s="38"/>
      <c r="B1473" s="39"/>
      <c r="C1473" s="51"/>
      <c r="D1473" s="51"/>
      <c r="E1473" s="51"/>
      <c r="F1473" s="51"/>
      <c r="G1473" s="51"/>
      <c r="H1473" s="51"/>
      <c r="I1473" s="51"/>
      <c r="J1473" s="51"/>
      <c r="K1473" s="51"/>
      <c r="L1473" s="51"/>
      <c r="M1473" s="51"/>
      <c r="N1473" s="51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</row>
    <row r="1474" spans="1:28" ht="25.05" customHeight="1" collapsed="1" x14ac:dyDescent="0.3">
      <c r="A1474" s="32">
        <v>211</v>
      </c>
      <c r="B1474" s="32" t="s">
        <v>212</v>
      </c>
      <c r="C1474" s="49">
        <f>SUM(C1475:C1479)</f>
        <v>0</v>
      </c>
      <c r="D1474" s="49">
        <f>SUM(D1475:D1479)</f>
        <v>0</v>
      </c>
      <c r="E1474" s="49">
        <f>SUM(E1475:E1479)</f>
        <v>0</v>
      </c>
      <c r="F1474" s="49">
        <f>SUM(F1475:F1479)</f>
        <v>0</v>
      </c>
      <c r="G1474" s="49">
        <f>SUM(G1475:G1479)</f>
        <v>0</v>
      </c>
      <c r="H1474" s="49">
        <f>SUM(H1475:H1479)</f>
        <v>0</v>
      </c>
      <c r="I1474" s="49">
        <f>SUM(I1475:I1479)</f>
        <v>0</v>
      </c>
      <c r="J1474" s="49">
        <f>SUM(J1475:J1479)</f>
        <v>0</v>
      </c>
      <c r="K1474" s="49">
        <f>SUM(K1475:K1479)</f>
        <v>0</v>
      </c>
      <c r="L1474" s="49">
        <f>SUM(L1475:L1479)</f>
        <v>0</v>
      </c>
      <c r="M1474" s="49">
        <f>SUM(M1475:M1479)</f>
        <v>0</v>
      </c>
      <c r="N1474" s="49">
        <f>SUM(N1475:N1479)</f>
        <v>0</v>
      </c>
      <c r="O1474" s="49">
        <f>SUM(O1475:O1479)</f>
        <v>0</v>
      </c>
      <c r="P1474" s="49">
        <f>SUM(P1475:P1479)</f>
        <v>0</v>
      </c>
      <c r="Q1474" s="49">
        <f>SUM(Q1475:Q1479)</f>
        <v>0</v>
      </c>
      <c r="R1474" s="49">
        <f>SUM(R1475:R1479)</f>
        <v>0</v>
      </c>
      <c r="S1474" s="49">
        <f>SUM(S1475:S1479)</f>
        <v>0</v>
      </c>
      <c r="T1474" s="49">
        <f>SUM(T1475:T1479)</f>
        <v>0</v>
      </c>
      <c r="U1474" s="49">
        <f>SUM(U1475:U1479)</f>
        <v>0</v>
      </c>
      <c r="V1474" s="49">
        <f>SUM(V1475:V1479)</f>
        <v>0</v>
      </c>
      <c r="W1474" s="49">
        <f>SUM(W1475:W1479)</f>
        <v>0</v>
      </c>
      <c r="X1474" s="49">
        <f>SUM(X1475:X1479)</f>
        <v>0</v>
      </c>
      <c r="Y1474" s="49">
        <f>SUM(Y1475:Y1479)</f>
        <v>0</v>
      </c>
      <c r="Z1474" s="49">
        <f>SUM(Z1475:Z1479)</f>
        <v>0</v>
      </c>
      <c r="AA1474" s="49">
        <f>SUM(AA1475:AA1479)</f>
        <v>0</v>
      </c>
      <c r="AB1474" s="49">
        <f>SUM(AB1475:AB1479)</f>
        <v>0</v>
      </c>
    </row>
    <row r="1475" spans="1:28" hidden="1" outlineLevel="1" x14ac:dyDescent="0.3">
      <c r="A1475" s="33" t="s">
        <v>246</v>
      </c>
      <c r="B1475" s="34" t="s">
        <v>274</v>
      </c>
      <c r="C1475" s="50">
        <f>SUMIFS(INDEX(Техника!$F$1:$ABM$500,C$2,0),Техника!$F$4:$ABM$4,"Часы",INDEX(Техника!$G$1:$ABN$500,C$2,0),$A$1474,INDEX(Техника!$H$1:$ABO$500,C$2,0),"М")</f>
        <v>0</v>
      </c>
      <c r="D1475" s="50">
        <f>SUMIFS(INDEX(Техника!$F$1:$ABM$500,D$2,0),Техника!$F$4:$ABM$4,"Часы",INDEX(Техника!$G$1:$ABN$500,D$2,0),$A$1474,INDEX(Техника!$H$1:$ABO$500,D$2,0),"М")</f>
        <v>0</v>
      </c>
      <c r="E1475" s="50">
        <f>SUMIFS(INDEX(Техника!$F$1:$ABM$500,E$2,0),Техника!$F$4:$ABM$4,"Часы",INDEX(Техника!$G$1:$ABN$500,E$2,0),$A$1474,INDEX(Техника!$H$1:$ABO$500,E$2,0),"М")</f>
        <v>0</v>
      </c>
      <c r="F1475" s="50">
        <f>SUMIFS(INDEX(Техника!$F$1:$ABM$500,F$2,0),Техника!$F$4:$ABM$4,"Часы",INDEX(Техника!$G$1:$ABN$500,F$2,0),$A$1474,INDEX(Техника!$H$1:$ABO$500,F$2,0),"М")</f>
        <v>0</v>
      </c>
      <c r="G1475" s="50">
        <f>SUMIFS(INDEX(Техника!$F$1:$ABM$500,G$2,0),Техника!$F$4:$ABM$4,"Часы",INDEX(Техника!$G$1:$ABN$500,G$2,0),$A$1474,INDEX(Техника!$H$1:$ABO$500,G$2,0),"М")</f>
        <v>0</v>
      </c>
      <c r="H1475" s="50">
        <f>SUMIFS(INDEX(Техника!$F$1:$ABM$500,H$2,0),Техника!$F$4:$ABM$4,"Часы",INDEX(Техника!$G$1:$ABN$500,H$2,0),$A$1474,INDEX(Техника!$H$1:$ABO$500,H$2,0),"М")</f>
        <v>0</v>
      </c>
      <c r="I1475" s="50">
        <f>SUMIFS(INDEX(Техника!$F$1:$ABM$500,I$2,0),Техника!$F$4:$ABM$4,"Часы",INDEX(Техника!$G$1:$ABN$500,I$2,0),$A$1474,INDEX(Техника!$H$1:$ABO$500,I$2,0),"М")</f>
        <v>0</v>
      </c>
      <c r="J1475" s="50">
        <f>SUMIFS(INDEX(Техника!$F$1:$ABM$500,J$2,0),Техника!$F$4:$ABM$4,"Часы",INDEX(Техника!$G$1:$ABN$500,J$2,0),$A$1474,INDEX(Техника!$H$1:$ABO$500,J$2,0),"М")</f>
        <v>0</v>
      </c>
      <c r="K1475" s="50">
        <f>SUMIFS(INDEX(Техника!$F$1:$ABM$500,K$2,0),Техника!$F$4:$ABM$4,"Часы",INDEX(Техника!$G$1:$ABN$500,K$2,0),$A$1474,INDEX(Техника!$H$1:$ABO$500,K$2,0),"М")</f>
        <v>0</v>
      </c>
      <c r="L1475" s="50">
        <f>SUMIFS(INDEX(Техника!$F$1:$ABM$500,L$2,0),Техника!$F$4:$ABM$4,"Часы",INDEX(Техника!$G$1:$ABN$500,L$2,0),$A$1474,INDEX(Техника!$H$1:$ABO$500,L$2,0),"М")</f>
        <v>0</v>
      </c>
      <c r="M1475" s="50">
        <f>SUMIFS(INDEX(Техника!$F$1:$ABM$500,M$2,0),Техника!$F$4:$ABM$4,"Часы",INDEX(Техника!$G$1:$ABN$500,M$2,0),$A$1474,INDEX(Техника!$H$1:$ABO$500,M$2,0),"М")</f>
        <v>0</v>
      </c>
      <c r="N1475" s="50">
        <f>SUMIFS(INDEX(Техника!$F$1:$ABM$500,N$2,0),Техника!$F$4:$ABM$4,"Часы",INDEX(Техника!$G$1:$ABN$500,N$2,0),$A$1474,INDEX(Техника!$H$1:$ABO$500,N$2,0),"М")</f>
        <v>0</v>
      </c>
      <c r="O1475" s="50">
        <f>SUMIFS(INDEX(Техника!$F$1:$ABM$500,O$2,0),Техника!$F$4:$ABM$4,"Часы",INDEX(Техника!$G$1:$ABN$500,O$2,0),$A$1474,INDEX(Техника!$H$1:$ABO$500,O$2,0),"М")</f>
        <v>0</v>
      </c>
      <c r="P1475" s="50">
        <f>SUMIFS(INDEX(Техника!$F$1:$ABM$500,P$2,0),Техника!$F$4:$ABM$4,"Часы",INDEX(Техника!$G$1:$ABN$500,P$2,0),$A$1474,INDEX(Техника!$H$1:$ABO$500,P$2,0),"М")</f>
        <v>0</v>
      </c>
      <c r="Q1475" s="50">
        <f>SUMIFS(INDEX(Техника!$F$1:$ABM$500,Q$2,0),Техника!$F$4:$ABM$4,"Часы",INDEX(Техника!$G$1:$ABN$500,Q$2,0),$A$1474,INDEX(Техника!$H$1:$ABO$500,Q$2,0),"М")</f>
        <v>0</v>
      </c>
      <c r="R1475" s="50">
        <f>SUMIFS(INDEX(Техника!$F$1:$ABM$500,R$2,0),Техника!$F$4:$ABM$4,"Часы",INDEX(Техника!$G$1:$ABN$500,R$2,0),$A$1474,INDEX(Техника!$H$1:$ABO$500,R$2,0),"М")</f>
        <v>0</v>
      </c>
      <c r="S1475" s="50">
        <f>SUMIFS(INDEX(Техника!$F$1:$ABM$500,S$2,0),Техника!$F$4:$ABM$4,"Часы",INDEX(Техника!$G$1:$ABN$500,S$2,0),$A$1474,INDEX(Техника!$H$1:$ABO$500,S$2,0),"М")</f>
        <v>0</v>
      </c>
      <c r="T1475" s="50">
        <f>SUMIFS(INDEX(Техника!$F$1:$ABM$500,T$2,0),Техника!$F$4:$ABM$4,"Часы",INDEX(Техника!$G$1:$ABN$500,T$2,0),$A$1474,INDEX(Техника!$H$1:$ABO$500,T$2,0),"М")</f>
        <v>0</v>
      </c>
      <c r="U1475" s="50">
        <f>SUMIFS(INDEX(Техника!$F$1:$ABM$500,U$2,0),Техника!$F$4:$ABM$4,"Часы",INDEX(Техника!$G$1:$ABN$500,U$2,0),$A$1474,INDEX(Техника!$H$1:$ABO$500,U$2,0),"М")</f>
        <v>0</v>
      </c>
      <c r="V1475" s="50">
        <f>SUMIFS(INDEX(Техника!$F$1:$ABM$500,V$2,0),Техника!$F$4:$ABM$4,"Часы",INDEX(Техника!$G$1:$ABN$500,V$2,0),$A$1474,INDEX(Техника!$H$1:$ABO$500,V$2,0),"М")</f>
        <v>0</v>
      </c>
      <c r="W1475" s="50">
        <f>SUMIFS(INDEX(Техника!$F$1:$ABM$500,W$2,0),Техника!$F$4:$ABM$4,"Часы",INDEX(Техника!$G$1:$ABN$500,W$2,0),$A$1474,INDEX(Техника!$H$1:$ABO$500,W$2,0),"М")</f>
        <v>0</v>
      </c>
      <c r="X1475" s="50">
        <f>SUMIFS(INDEX(Техника!$F$1:$ABM$500,X$2,0),Техника!$F$4:$ABM$4,"Часы",INDEX(Техника!$G$1:$ABN$500,X$2,0),$A$1474,INDEX(Техника!$H$1:$ABO$500,X$2,0),"М")</f>
        <v>0</v>
      </c>
      <c r="Y1475" s="50">
        <f>SUMIFS(INDEX(Техника!$F$1:$ABM$500,Y$2,0),Техника!$F$4:$ABM$4,"Часы",INDEX(Техника!$G$1:$ABN$500,Y$2,0),$A$1474,INDEX(Техника!$H$1:$ABO$500,Y$2,0),"М")</f>
        <v>0</v>
      </c>
      <c r="Z1475" s="50">
        <f>SUMIFS(INDEX(Техника!$F$1:$ABM$500,Z$2,0),Техника!$F$4:$ABM$4,"Часы",INDEX(Техника!$G$1:$ABN$500,Z$2,0),$A$1474,INDEX(Техника!$H$1:$ABO$500,Z$2,0),"М")</f>
        <v>0</v>
      </c>
      <c r="AA1475" s="50">
        <f>SUMIFS(INDEX(Техника!$F$1:$ABM$500,AA$2,0),Техника!$F$4:$ABM$4,"Часы",INDEX(Техника!$G$1:$ABN$500,AA$2,0),$A$1474,INDEX(Техника!$H$1:$ABO$500,AA$2,0),"М")</f>
        <v>0</v>
      </c>
      <c r="AB1475" s="50">
        <f>SUMIFS(INDEX(Техника!$F$1:$ABM$500,AB$2,0),Техника!$F$4:$ABM$4,"Часы",INDEX(Техника!$G$1:$ABN$500,AB$2,0),$A$1474,INDEX(Техника!$H$1:$ABO$500,AB$2,0),"М")</f>
        <v>0</v>
      </c>
    </row>
    <row r="1476" spans="1:28" hidden="1" outlineLevel="1" x14ac:dyDescent="0.3">
      <c r="A1476" s="33" t="s">
        <v>244</v>
      </c>
      <c r="B1476" s="34" t="s">
        <v>275</v>
      </c>
      <c r="C1476" s="50">
        <f>SUMIFS(INDEX(Техника!$F$1:$ABM$500,C$2,0),Техника!$F$4:$ABM$4,"Часы",INDEX(Техника!$G$1:$ABN$500,C$2,0),$A$1474,INDEX(Техника!$H$1:$ABO$500,C$2,0),"Д")</f>
        <v>0</v>
      </c>
      <c r="D1476" s="50">
        <f>SUMIFS(INDEX(Техника!$F$1:$ABM$500,D$2,0),Техника!$F$4:$ABM$4,"Часы",INDEX(Техника!$G$1:$ABN$500,D$2,0),$A$1474,INDEX(Техника!$H$1:$ABO$500,D$2,0),"Д")</f>
        <v>0</v>
      </c>
      <c r="E1476" s="50">
        <f>SUMIFS(INDEX(Техника!$F$1:$ABM$500,E$2,0),Техника!$F$4:$ABM$4,"Часы",INDEX(Техника!$G$1:$ABN$500,E$2,0),$A$1474,INDEX(Техника!$H$1:$ABO$500,E$2,0),"Д")</f>
        <v>0</v>
      </c>
      <c r="F1476" s="50">
        <f>SUMIFS(INDEX(Техника!$F$1:$ABM$500,F$2,0),Техника!$F$4:$ABM$4,"Часы",INDEX(Техника!$G$1:$ABN$500,F$2,0),$A$1474,INDEX(Техника!$H$1:$ABO$500,F$2,0),"Д")</f>
        <v>0</v>
      </c>
      <c r="G1476" s="50">
        <f>SUMIFS(INDEX(Техника!$F$1:$ABM$500,G$2,0),Техника!$F$4:$ABM$4,"Часы",INDEX(Техника!$G$1:$ABN$500,G$2,0),$A$1474,INDEX(Техника!$H$1:$ABO$500,G$2,0),"Д")</f>
        <v>0</v>
      </c>
      <c r="H1476" s="50">
        <f>SUMIFS(INDEX(Техника!$F$1:$ABM$500,H$2,0),Техника!$F$4:$ABM$4,"Часы",INDEX(Техника!$G$1:$ABN$500,H$2,0),$A$1474,INDEX(Техника!$H$1:$ABO$500,H$2,0),"Д")</f>
        <v>0</v>
      </c>
      <c r="I1476" s="50">
        <f>SUMIFS(INDEX(Техника!$F$1:$ABM$500,I$2,0),Техника!$F$4:$ABM$4,"Часы",INDEX(Техника!$G$1:$ABN$500,I$2,0),$A$1474,INDEX(Техника!$H$1:$ABO$500,I$2,0),"Д")</f>
        <v>0</v>
      </c>
      <c r="J1476" s="50">
        <f>SUMIFS(INDEX(Техника!$F$1:$ABM$500,J$2,0),Техника!$F$4:$ABM$4,"Часы",INDEX(Техника!$G$1:$ABN$500,J$2,0),$A$1474,INDEX(Техника!$H$1:$ABO$500,J$2,0),"Д")</f>
        <v>0</v>
      </c>
      <c r="K1476" s="50">
        <f>SUMIFS(INDEX(Техника!$F$1:$ABM$500,K$2,0),Техника!$F$4:$ABM$4,"Часы",INDEX(Техника!$G$1:$ABN$500,K$2,0),$A$1474,INDEX(Техника!$H$1:$ABO$500,K$2,0),"Д")</f>
        <v>0</v>
      </c>
      <c r="L1476" s="50">
        <f>SUMIFS(INDEX(Техника!$F$1:$ABM$500,L$2,0),Техника!$F$4:$ABM$4,"Часы",INDEX(Техника!$G$1:$ABN$500,L$2,0),$A$1474,INDEX(Техника!$H$1:$ABO$500,L$2,0),"Д")</f>
        <v>0</v>
      </c>
      <c r="M1476" s="50">
        <f>SUMIFS(INDEX(Техника!$F$1:$ABM$500,M$2,0),Техника!$F$4:$ABM$4,"Часы",INDEX(Техника!$G$1:$ABN$500,M$2,0),$A$1474,INDEX(Техника!$H$1:$ABO$500,M$2,0),"Д")</f>
        <v>0</v>
      </c>
      <c r="N1476" s="50">
        <f>SUMIFS(INDEX(Техника!$F$1:$ABM$500,N$2,0),Техника!$F$4:$ABM$4,"Часы",INDEX(Техника!$G$1:$ABN$500,N$2,0),$A$1474,INDEX(Техника!$H$1:$ABO$500,N$2,0),"Д")</f>
        <v>0</v>
      </c>
      <c r="O1476" s="50">
        <f>SUMIFS(INDEX(Техника!$F$1:$ABM$500,O$2,0),Техника!$F$4:$ABM$4,"Часы",INDEX(Техника!$G$1:$ABN$500,O$2,0),$A$1474,INDEX(Техника!$H$1:$ABO$500,O$2,0),"Д")</f>
        <v>0</v>
      </c>
      <c r="P1476" s="50">
        <f>SUMIFS(INDEX(Техника!$F$1:$ABM$500,P$2,0),Техника!$F$4:$ABM$4,"Часы",INDEX(Техника!$G$1:$ABN$500,P$2,0),$A$1474,INDEX(Техника!$H$1:$ABO$500,P$2,0),"Д")</f>
        <v>0</v>
      </c>
      <c r="Q1476" s="50">
        <f>SUMIFS(INDEX(Техника!$F$1:$ABM$500,Q$2,0),Техника!$F$4:$ABM$4,"Часы",INDEX(Техника!$G$1:$ABN$500,Q$2,0),$A$1474,INDEX(Техника!$H$1:$ABO$500,Q$2,0),"Д")</f>
        <v>0</v>
      </c>
      <c r="R1476" s="50">
        <f>SUMIFS(INDEX(Техника!$F$1:$ABM$500,R$2,0),Техника!$F$4:$ABM$4,"Часы",INDEX(Техника!$G$1:$ABN$500,R$2,0),$A$1474,INDEX(Техника!$H$1:$ABO$500,R$2,0),"Д")</f>
        <v>0</v>
      </c>
      <c r="S1476" s="50">
        <f>SUMIFS(INDEX(Техника!$F$1:$ABM$500,S$2,0),Техника!$F$4:$ABM$4,"Часы",INDEX(Техника!$G$1:$ABN$500,S$2,0),$A$1474,INDEX(Техника!$H$1:$ABO$500,S$2,0),"Д")</f>
        <v>0</v>
      </c>
      <c r="T1476" s="50">
        <f>SUMIFS(INDEX(Техника!$F$1:$ABM$500,T$2,0),Техника!$F$4:$ABM$4,"Часы",INDEX(Техника!$G$1:$ABN$500,T$2,0),$A$1474,INDEX(Техника!$H$1:$ABO$500,T$2,0),"Д")</f>
        <v>0</v>
      </c>
      <c r="U1476" s="50">
        <f>SUMIFS(INDEX(Техника!$F$1:$ABM$500,U$2,0),Техника!$F$4:$ABM$4,"Часы",INDEX(Техника!$G$1:$ABN$500,U$2,0),$A$1474,INDEX(Техника!$H$1:$ABO$500,U$2,0),"Д")</f>
        <v>0</v>
      </c>
      <c r="V1476" s="50">
        <f>SUMIFS(INDEX(Техника!$F$1:$ABM$500,V$2,0),Техника!$F$4:$ABM$4,"Часы",INDEX(Техника!$G$1:$ABN$500,V$2,0),$A$1474,INDEX(Техника!$H$1:$ABO$500,V$2,0),"Д")</f>
        <v>0</v>
      </c>
      <c r="W1476" s="50">
        <f>SUMIFS(INDEX(Техника!$F$1:$ABM$500,W$2,0),Техника!$F$4:$ABM$4,"Часы",INDEX(Техника!$G$1:$ABN$500,W$2,0),$A$1474,INDEX(Техника!$H$1:$ABO$500,W$2,0),"Д")</f>
        <v>0</v>
      </c>
      <c r="X1476" s="50">
        <f>SUMIFS(INDEX(Техника!$F$1:$ABM$500,X$2,0),Техника!$F$4:$ABM$4,"Часы",INDEX(Техника!$G$1:$ABN$500,X$2,0),$A$1474,INDEX(Техника!$H$1:$ABO$500,X$2,0),"Д")</f>
        <v>0</v>
      </c>
      <c r="Y1476" s="50">
        <f>SUMIFS(INDEX(Техника!$F$1:$ABM$500,Y$2,0),Техника!$F$4:$ABM$4,"Часы",INDEX(Техника!$G$1:$ABN$500,Y$2,0),$A$1474,INDEX(Техника!$H$1:$ABO$500,Y$2,0),"Д")</f>
        <v>0</v>
      </c>
      <c r="Z1476" s="50">
        <f>SUMIFS(INDEX(Техника!$F$1:$ABM$500,Z$2,0),Техника!$F$4:$ABM$4,"Часы",INDEX(Техника!$G$1:$ABN$500,Z$2,0),$A$1474,INDEX(Техника!$H$1:$ABO$500,Z$2,0),"Д")</f>
        <v>0</v>
      </c>
      <c r="AA1476" s="50">
        <f>SUMIFS(INDEX(Техника!$F$1:$ABM$500,AA$2,0),Техника!$F$4:$ABM$4,"Часы",INDEX(Техника!$G$1:$ABN$500,AA$2,0),$A$1474,INDEX(Техника!$H$1:$ABO$500,AA$2,0),"Д")</f>
        <v>0</v>
      </c>
      <c r="AB1476" s="50">
        <f>SUMIFS(INDEX(Техника!$F$1:$ABM$500,AB$2,0),Техника!$F$4:$ABM$4,"Часы",INDEX(Техника!$G$1:$ABN$500,AB$2,0),$A$1474,INDEX(Техника!$H$1:$ABO$500,AB$2,0),"Д")</f>
        <v>0</v>
      </c>
    </row>
    <row r="1477" spans="1:28" hidden="1" outlineLevel="1" x14ac:dyDescent="0.3">
      <c r="A1477" s="33" t="s">
        <v>276</v>
      </c>
      <c r="B1477" s="34" t="s">
        <v>277</v>
      </c>
      <c r="C1477" s="50">
        <f>SUMIFS(INDEX(Техника!$F$1:$ABM$500,C$2,0),Техника!$F$4:$ABM$4,"Часы",INDEX(Техника!$G$1:$ABN$500,C$2,0),$A$1474,INDEX(Техника!$H$1:$ABO$500,C$2,0),"П")</f>
        <v>0</v>
      </c>
      <c r="D1477" s="50">
        <f>SUMIFS(INDEX(Техника!$F$1:$ABM$500,D$2,0),Техника!$F$4:$ABM$4,"Часы",INDEX(Техника!$G$1:$ABN$500,D$2,0),$A$1474,INDEX(Техника!$H$1:$ABO$500,D$2,0),"П")</f>
        <v>0</v>
      </c>
      <c r="E1477" s="50">
        <f>SUMIFS(INDEX(Техника!$F$1:$ABM$500,E$2,0),Техника!$F$4:$ABM$4,"Часы",INDEX(Техника!$G$1:$ABN$500,E$2,0),$A$1474,INDEX(Техника!$H$1:$ABO$500,E$2,0),"П")</f>
        <v>0</v>
      </c>
      <c r="F1477" s="50">
        <f>SUMIFS(INDEX(Техника!$F$1:$ABM$500,F$2,0),Техника!$F$4:$ABM$4,"Часы",INDEX(Техника!$G$1:$ABN$500,F$2,0),$A$1474,INDEX(Техника!$H$1:$ABO$500,F$2,0),"П")</f>
        <v>0</v>
      </c>
      <c r="G1477" s="50">
        <f>SUMIFS(INDEX(Техника!$F$1:$ABM$500,G$2,0),Техника!$F$4:$ABM$4,"Часы",INDEX(Техника!$G$1:$ABN$500,G$2,0),$A$1474,INDEX(Техника!$H$1:$ABO$500,G$2,0),"П")</f>
        <v>0</v>
      </c>
      <c r="H1477" s="50">
        <f>SUMIFS(INDEX(Техника!$F$1:$ABM$500,H$2,0),Техника!$F$4:$ABM$4,"Часы",INDEX(Техника!$G$1:$ABN$500,H$2,0),$A$1474,INDEX(Техника!$H$1:$ABO$500,H$2,0),"П")</f>
        <v>0</v>
      </c>
      <c r="I1477" s="50">
        <f>SUMIFS(INDEX(Техника!$F$1:$ABM$500,I$2,0),Техника!$F$4:$ABM$4,"Часы",INDEX(Техника!$G$1:$ABN$500,I$2,0),$A$1474,INDEX(Техника!$H$1:$ABO$500,I$2,0),"П")</f>
        <v>0</v>
      </c>
      <c r="J1477" s="50">
        <f>SUMIFS(INDEX(Техника!$F$1:$ABM$500,J$2,0),Техника!$F$4:$ABM$4,"Часы",INDEX(Техника!$G$1:$ABN$500,J$2,0),$A$1474,INDEX(Техника!$H$1:$ABO$500,J$2,0),"П")</f>
        <v>0</v>
      </c>
      <c r="K1477" s="50">
        <f>SUMIFS(INDEX(Техника!$F$1:$ABM$500,K$2,0),Техника!$F$4:$ABM$4,"Часы",INDEX(Техника!$G$1:$ABN$500,K$2,0),$A$1474,INDEX(Техника!$H$1:$ABO$500,K$2,0),"П")</f>
        <v>0</v>
      </c>
      <c r="L1477" s="50">
        <f>SUMIFS(INDEX(Техника!$F$1:$ABM$500,L$2,0),Техника!$F$4:$ABM$4,"Часы",INDEX(Техника!$G$1:$ABN$500,L$2,0),$A$1474,INDEX(Техника!$H$1:$ABO$500,L$2,0),"П")</f>
        <v>0</v>
      </c>
      <c r="M1477" s="50">
        <f>SUMIFS(INDEX(Техника!$F$1:$ABM$500,M$2,0),Техника!$F$4:$ABM$4,"Часы",INDEX(Техника!$G$1:$ABN$500,M$2,0),$A$1474,INDEX(Техника!$H$1:$ABO$500,M$2,0),"П")</f>
        <v>0</v>
      </c>
      <c r="N1477" s="50">
        <f>SUMIFS(INDEX(Техника!$F$1:$ABM$500,N$2,0),Техника!$F$4:$ABM$4,"Часы",INDEX(Техника!$G$1:$ABN$500,N$2,0),$A$1474,INDEX(Техника!$H$1:$ABO$500,N$2,0),"П")</f>
        <v>0</v>
      </c>
      <c r="O1477" s="50">
        <f>SUMIFS(INDEX(Техника!$F$1:$ABM$500,O$2,0),Техника!$F$4:$ABM$4,"Часы",INDEX(Техника!$G$1:$ABN$500,O$2,0),$A$1474,INDEX(Техника!$H$1:$ABO$500,O$2,0),"П")</f>
        <v>0</v>
      </c>
      <c r="P1477" s="50">
        <f>SUMIFS(INDEX(Техника!$F$1:$ABM$500,P$2,0),Техника!$F$4:$ABM$4,"Часы",INDEX(Техника!$G$1:$ABN$500,P$2,0),$A$1474,INDEX(Техника!$H$1:$ABO$500,P$2,0),"П")</f>
        <v>0</v>
      </c>
      <c r="Q1477" s="50">
        <f>SUMIFS(INDEX(Техника!$F$1:$ABM$500,Q$2,0),Техника!$F$4:$ABM$4,"Часы",INDEX(Техника!$G$1:$ABN$500,Q$2,0),$A$1474,INDEX(Техника!$H$1:$ABO$500,Q$2,0),"П")</f>
        <v>0</v>
      </c>
      <c r="R1477" s="50">
        <f>SUMIFS(INDEX(Техника!$F$1:$ABM$500,R$2,0),Техника!$F$4:$ABM$4,"Часы",INDEX(Техника!$G$1:$ABN$500,R$2,0),$A$1474,INDEX(Техника!$H$1:$ABO$500,R$2,0),"П")</f>
        <v>0</v>
      </c>
      <c r="S1477" s="50">
        <f>SUMIFS(INDEX(Техника!$F$1:$ABM$500,S$2,0),Техника!$F$4:$ABM$4,"Часы",INDEX(Техника!$G$1:$ABN$500,S$2,0),$A$1474,INDEX(Техника!$H$1:$ABO$500,S$2,0),"П")</f>
        <v>0</v>
      </c>
      <c r="T1477" s="50">
        <f>SUMIFS(INDEX(Техника!$F$1:$ABM$500,T$2,0),Техника!$F$4:$ABM$4,"Часы",INDEX(Техника!$G$1:$ABN$500,T$2,0),$A$1474,INDEX(Техника!$H$1:$ABO$500,T$2,0),"П")</f>
        <v>0</v>
      </c>
      <c r="U1477" s="50">
        <f>SUMIFS(INDEX(Техника!$F$1:$ABM$500,U$2,0),Техника!$F$4:$ABM$4,"Часы",INDEX(Техника!$G$1:$ABN$500,U$2,0),$A$1474,INDEX(Техника!$H$1:$ABO$500,U$2,0),"П")</f>
        <v>0</v>
      </c>
      <c r="V1477" s="50">
        <f>SUMIFS(INDEX(Техника!$F$1:$ABM$500,V$2,0),Техника!$F$4:$ABM$4,"Часы",INDEX(Техника!$G$1:$ABN$500,V$2,0),$A$1474,INDEX(Техника!$H$1:$ABO$500,V$2,0),"П")</f>
        <v>0</v>
      </c>
      <c r="W1477" s="50">
        <f>SUMIFS(INDEX(Техника!$F$1:$ABM$500,W$2,0),Техника!$F$4:$ABM$4,"Часы",INDEX(Техника!$G$1:$ABN$500,W$2,0),$A$1474,INDEX(Техника!$H$1:$ABO$500,W$2,0),"П")</f>
        <v>0</v>
      </c>
      <c r="X1477" s="50">
        <f>SUMIFS(INDEX(Техника!$F$1:$ABM$500,X$2,0),Техника!$F$4:$ABM$4,"Часы",INDEX(Техника!$G$1:$ABN$500,X$2,0),$A$1474,INDEX(Техника!$H$1:$ABO$500,X$2,0),"П")</f>
        <v>0</v>
      </c>
      <c r="Y1477" s="50">
        <f>SUMIFS(INDEX(Техника!$F$1:$ABM$500,Y$2,0),Техника!$F$4:$ABM$4,"Часы",INDEX(Техника!$G$1:$ABN$500,Y$2,0),$A$1474,INDEX(Техника!$H$1:$ABO$500,Y$2,0),"П")</f>
        <v>0</v>
      </c>
      <c r="Z1477" s="50">
        <f>SUMIFS(INDEX(Техника!$F$1:$ABM$500,Z$2,0),Техника!$F$4:$ABM$4,"Часы",INDEX(Техника!$G$1:$ABN$500,Z$2,0),$A$1474,INDEX(Техника!$H$1:$ABO$500,Z$2,0),"П")</f>
        <v>0</v>
      </c>
      <c r="AA1477" s="50">
        <f>SUMIFS(INDEX(Техника!$F$1:$ABM$500,AA$2,0),Техника!$F$4:$ABM$4,"Часы",INDEX(Техника!$G$1:$ABN$500,AA$2,0),$A$1474,INDEX(Техника!$H$1:$ABO$500,AA$2,0),"П")</f>
        <v>0</v>
      </c>
      <c r="AB1477" s="50">
        <f>SUMIFS(INDEX(Техника!$F$1:$ABM$500,AB$2,0),Техника!$F$4:$ABM$4,"Часы",INDEX(Техника!$G$1:$ABN$500,AB$2,0),$A$1474,INDEX(Техника!$H$1:$ABO$500,AB$2,0),"П")</f>
        <v>0</v>
      </c>
    </row>
    <row r="1478" spans="1:28" hidden="1" outlineLevel="1" x14ac:dyDescent="0.3">
      <c r="A1478" s="33" t="s">
        <v>243</v>
      </c>
      <c r="B1478" s="34" t="s">
        <v>278</v>
      </c>
      <c r="C1478" s="50">
        <f>SUMIFS(INDEX(Техника!$F$1:$ABM$500,C$2,0),Техника!$F$4:$ABM$4,"Часы",INDEX(Техника!$G$1:$ABN$500,C$2,0),$A$1474,INDEX(Техника!$H$1:$ABO$500,C$2,0),"Л")</f>
        <v>0</v>
      </c>
      <c r="D1478" s="50">
        <f>SUMIFS(INDEX(Техника!$F$1:$ABM$500,D$2,0),Техника!$F$4:$ABM$4,"Часы",INDEX(Техника!$G$1:$ABN$500,D$2,0),$A$1474,INDEX(Техника!$H$1:$ABO$500,D$2,0),"Л")</f>
        <v>0</v>
      </c>
      <c r="E1478" s="50">
        <f>SUMIFS(INDEX(Техника!$F$1:$ABM$500,E$2,0),Техника!$F$4:$ABM$4,"Часы",INDEX(Техника!$G$1:$ABN$500,E$2,0),$A$1474,INDEX(Техника!$H$1:$ABO$500,E$2,0),"Л")</f>
        <v>0</v>
      </c>
      <c r="F1478" s="50">
        <f>SUMIFS(INDEX(Техника!$F$1:$ABM$500,F$2,0),Техника!$F$4:$ABM$4,"Часы",INDEX(Техника!$G$1:$ABN$500,F$2,0),$A$1474,INDEX(Техника!$H$1:$ABO$500,F$2,0),"Л")</f>
        <v>0</v>
      </c>
      <c r="G1478" s="50">
        <f>SUMIFS(INDEX(Техника!$F$1:$ABM$500,G$2,0),Техника!$F$4:$ABM$4,"Часы",INDEX(Техника!$G$1:$ABN$500,G$2,0),$A$1474,INDEX(Техника!$H$1:$ABO$500,G$2,0),"Л")</f>
        <v>0</v>
      </c>
      <c r="H1478" s="50">
        <f>SUMIFS(INDEX(Техника!$F$1:$ABM$500,H$2,0),Техника!$F$4:$ABM$4,"Часы",INDEX(Техника!$G$1:$ABN$500,H$2,0),$A$1474,INDEX(Техника!$H$1:$ABO$500,H$2,0),"Л")</f>
        <v>0</v>
      </c>
      <c r="I1478" s="50">
        <f>SUMIFS(INDEX(Техника!$F$1:$ABM$500,I$2,0),Техника!$F$4:$ABM$4,"Часы",INDEX(Техника!$G$1:$ABN$500,I$2,0),$A$1474,INDEX(Техника!$H$1:$ABO$500,I$2,0),"Л")</f>
        <v>0</v>
      </c>
      <c r="J1478" s="50">
        <f>SUMIFS(INDEX(Техника!$F$1:$ABM$500,J$2,0),Техника!$F$4:$ABM$4,"Часы",INDEX(Техника!$G$1:$ABN$500,J$2,0),$A$1474,INDEX(Техника!$H$1:$ABO$500,J$2,0),"Л")</f>
        <v>0</v>
      </c>
      <c r="K1478" s="50">
        <f>SUMIFS(INDEX(Техника!$F$1:$ABM$500,K$2,0),Техника!$F$4:$ABM$4,"Часы",INDEX(Техника!$G$1:$ABN$500,K$2,0),$A$1474,INDEX(Техника!$H$1:$ABO$500,K$2,0),"Л")</f>
        <v>0</v>
      </c>
      <c r="L1478" s="50">
        <f>SUMIFS(INDEX(Техника!$F$1:$ABM$500,L$2,0),Техника!$F$4:$ABM$4,"Часы",INDEX(Техника!$G$1:$ABN$500,L$2,0),$A$1474,INDEX(Техника!$H$1:$ABO$500,L$2,0),"Л")</f>
        <v>0</v>
      </c>
      <c r="M1478" s="50">
        <f>SUMIFS(INDEX(Техника!$F$1:$ABM$500,M$2,0),Техника!$F$4:$ABM$4,"Часы",INDEX(Техника!$G$1:$ABN$500,M$2,0),$A$1474,INDEX(Техника!$H$1:$ABO$500,M$2,0),"Л")</f>
        <v>0</v>
      </c>
      <c r="N1478" s="50">
        <f>SUMIFS(INDEX(Техника!$F$1:$ABM$500,N$2,0),Техника!$F$4:$ABM$4,"Часы",INDEX(Техника!$G$1:$ABN$500,N$2,0),$A$1474,INDEX(Техника!$H$1:$ABO$500,N$2,0),"Л")</f>
        <v>0</v>
      </c>
      <c r="O1478" s="50">
        <f>SUMIFS(INDEX(Техника!$F$1:$ABM$500,O$2,0),Техника!$F$4:$ABM$4,"Часы",INDEX(Техника!$G$1:$ABN$500,O$2,0),$A$1474,INDEX(Техника!$H$1:$ABO$500,O$2,0),"Л")</f>
        <v>0</v>
      </c>
      <c r="P1478" s="50">
        <f>SUMIFS(INDEX(Техника!$F$1:$ABM$500,P$2,0),Техника!$F$4:$ABM$4,"Часы",INDEX(Техника!$G$1:$ABN$500,P$2,0),$A$1474,INDEX(Техника!$H$1:$ABO$500,P$2,0),"Л")</f>
        <v>0</v>
      </c>
      <c r="Q1478" s="50">
        <f>SUMIFS(INDEX(Техника!$F$1:$ABM$500,Q$2,0),Техника!$F$4:$ABM$4,"Часы",INDEX(Техника!$G$1:$ABN$500,Q$2,0),$A$1474,INDEX(Техника!$H$1:$ABO$500,Q$2,0),"Л")</f>
        <v>0</v>
      </c>
      <c r="R1478" s="50">
        <f>SUMIFS(INDEX(Техника!$F$1:$ABM$500,R$2,0),Техника!$F$4:$ABM$4,"Часы",INDEX(Техника!$G$1:$ABN$500,R$2,0),$A$1474,INDEX(Техника!$H$1:$ABO$500,R$2,0),"Л")</f>
        <v>0</v>
      </c>
      <c r="S1478" s="50">
        <f>SUMIFS(INDEX(Техника!$F$1:$ABM$500,S$2,0),Техника!$F$4:$ABM$4,"Часы",INDEX(Техника!$G$1:$ABN$500,S$2,0),$A$1474,INDEX(Техника!$H$1:$ABO$500,S$2,0),"Л")</f>
        <v>0</v>
      </c>
      <c r="T1478" s="50">
        <f>SUMIFS(INDEX(Техника!$F$1:$ABM$500,T$2,0),Техника!$F$4:$ABM$4,"Часы",INDEX(Техника!$G$1:$ABN$500,T$2,0),$A$1474,INDEX(Техника!$H$1:$ABO$500,T$2,0),"Л")</f>
        <v>0</v>
      </c>
      <c r="U1478" s="50">
        <f>SUMIFS(INDEX(Техника!$F$1:$ABM$500,U$2,0),Техника!$F$4:$ABM$4,"Часы",INDEX(Техника!$G$1:$ABN$500,U$2,0),$A$1474,INDEX(Техника!$H$1:$ABO$500,U$2,0),"Л")</f>
        <v>0</v>
      </c>
      <c r="V1478" s="50">
        <f>SUMIFS(INDEX(Техника!$F$1:$ABM$500,V$2,0),Техника!$F$4:$ABM$4,"Часы",INDEX(Техника!$G$1:$ABN$500,V$2,0),$A$1474,INDEX(Техника!$H$1:$ABO$500,V$2,0),"Л")</f>
        <v>0</v>
      </c>
      <c r="W1478" s="50">
        <f>SUMIFS(INDEX(Техника!$F$1:$ABM$500,W$2,0),Техника!$F$4:$ABM$4,"Часы",INDEX(Техника!$G$1:$ABN$500,W$2,0),$A$1474,INDEX(Техника!$H$1:$ABO$500,W$2,0),"Л")</f>
        <v>0</v>
      </c>
      <c r="X1478" s="50">
        <f>SUMIFS(INDEX(Техника!$F$1:$ABM$500,X$2,0),Техника!$F$4:$ABM$4,"Часы",INDEX(Техника!$G$1:$ABN$500,X$2,0),$A$1474,INDEX(Техника!$H$1:$ABO$500,X$2,0),"Л")</f>
        <v>0</v>
      </c>
      <c r="Y1478" s="50">
        <f>SUMIFS(INDEX(Техника!$F$1:$ABM$500,Y$2,0),Техника!$F$4:$ABM$4,"Часы",INDEX(Техника!$G$1:$ABN$500,Y$2,0),$A$1474,INDEX(Техника!$H$1:$ABO$500,Y$2,0),"Л")</f>
        <v>0</v>
      </c>
      <c r="Z1478" s="50">
        <f>SUMIFS(INDEX(Техника!$F$1:$ABM$500,Z$2,0),Техника!$F$4:$ABM$4,"Часы",INDEX(Техника!$G$1:$ABN$500,Z$2,0),$A$1474,INDEX(Техника!$H$1:$ABO$500,Z$2,0),"Л")</f>
        <v>0</v>
      </c>
      <c r="AA1478" s="50">
        <f>SUMIFS(INDEX(Техника!$F$1:$ABM$500,AA$2,0),Техника!$F$4:$ABM$4,"Часы",INDEX(Техника!$G$1:$ABN$500,AA$2,0),$A$1474,INDEX(Техника!$H$1:$ABO$500,AA$2,0),"Л")</f>
        <v>0</v>
      </c>
      <c r="AB1478" s="50">
        <f>SUMIFS(INDEX(Техника!$F$1:$ABM$500,AB$2,0),Техника!$F$4:$ABM$4,"Часы",INDEX(Техника!$G$1:$ABN$500,AB$2,0),$A$1474,INDEX(Техника!$H$1:$ABO$500,AB$2,0),"Л")</f>
        <v>0</v>
      </c>
    </row>
    <row r="1479" spans="1:28" hidden="1" outlineLevel="1" x14ac:dyDescent="0.3">
      <c r="A1479" s="33" t="s">
        <v>245</v>
      </c>
      <c r="B1479" s="34" t="s">
        <v>279</v>
      </c>
      <c r="C1479" s="50">
        <f>SUMIFS(INDEX(Техника!$F$1:$ABM$500,C$2,0),Техника!$F$4:$ABM$4,"Часы",INDEX(Техника!$G$1:$ABN$500,C$2,0),$A$1474,INDEX(Техника!$H$1:$ABO$500,C$2,0),"З")</f>
        <v>0</v>
      </c>
      <c r="D1479" s="50">
        <f>SUMIFS(INDEX(Техника!$F$1:$ABM$500,D$2,0),Техника!$F$4:$ABM$4,"Часы",INDEX(Техника!$G$1:$ABN$500,D$2,0),$A$1474,INDEX(Техника!$H$1:$ABO$500,D$2,0),"З")</f>
        <v>0</v>
      </c>
      <c r="E1479" s="50">
        <f>SUMIFS(INDEX(Техника!$F$1:$ABM$500,E$2,0),Техника!$F$4:$ABM$4,"Часы",INDEX(Техника!$G$1:$ABN$500,E$2,0),$A$1474,INDEX(Техника!$H$1:$ABO$500,E$2,0),"З")</f>
        <v>0</v>
      </c>
      <c r="F1479" s="50">
        <f>SUMIFS(INDEX(Техника!$F$1:$ABM$500,F$2,0),Техника!$F$4:$ABM$4,"Часы",INDEX(Техника!$G$1:$ABN$500,F$2,0),$A$1474,INDEX(Техника!$H$1:$ABO$500,F$2,0),"З")</f>
        <v>0</v>
      </c>
      <c r="G1479" s="50">
        <f>SUMIFS(INDEX(Техника!$F$1:$ABM$500,G$2,0),Техника!$F$4:$ABM$4,"Часы",INDEX(Техника!$G$1:$ABN$500,G$2,0),$A$1474,INDEX(Техника!$H$1:$ABO$500,G$2,0),"З")</f>
        <v>0</v>
      </c>
      <c r="H1479" s="50">
        <f>SUMIFS(INDEX(Техника!$F$1:$ABM$500,H$2,0),Техника!$F$4:$ABM$4,"Часы",INDEX(Техника!$G$1:$ABN$500,H$2,0),$A$1474,INDEX(Техника!$H$1:$ABO$500,H$2,0),"З")</f>
        <v>0</v>
      </c>
      <c r="I1479" s="50">
        <f>SUMIFS(INDEX(Техника!$F$1:$ABM$500,I$2,0),Техника!$F$4:$ABM$4,"Часы",INDEX(Техника!$G$1:$ABN$500,I$2,0),$A$1474,INDEX(Техника!$H$1:$ABO$500,I$2,0),"З")</f>
        <v>0</v>
      </c>
      <c r="J1479" s="50">
        <f>SUMIFS(INDEX(Техника!$F$1:$ABM$500,J$2,0),Техника!$F$4:$ABM$4,"Часы",INDEX(Техника!$G$1:$ABN$500,J$2,0),$A$1474,INDEX(Техника!$H$1:$ABO$500,J$2,0),"З")</f>
        <v>0</v>
      </c>
      <c r="K1479" s="50">
        <f>SUMIFS(INDEX(Техника!$F$1:$ABM$500,K$2,0),Техника!$F$4:$ABM$4,"Часы",INDEX(Техника!$G$1:$ABN$500,K$2,0),$A$1474,INDEX(Техника!$H$1:$ABO$500,K$2,0),"З")</f>
        <v>0</v>
      </c>
      <c r="L1479" s="50">
        <f>SUMIFS(INDEX(Техника!$F$1:$ABM$500,L$2,0),Техника!$F$4:$ABM$4,"Часы",INDEX(Техника!$G$1:$ABN$500,L$2,0),$A$1474,INDEX(Техника!$H$1:$ABO$500,L$2,0),"З")</f>
        <v>0</v>
      </c>
      <c r="M1479" s="50">
        <f>SUMIFS(INDEX(Техника!$F$1:$ABM$500,M$2,0),Техника!$F$4:$ABM$4,"Часы",INDEX(Техника!$G$1:$ABN$500,M$2,0),$A$1474,INDEX(Техника!$H$1:$ABO$500,M$2,0),"З")</f>
        <v>0</v>
      </c>
      <c r="N1479" s="50">
        <f>SUMIFS(INDEX(Техника!$F$1:$ABM$500,N$2,0),Техника!$F$4:$ABM$4,"Часы",INDEX(Техника!$G$1:$ABN$500,N$2,0),$A$1474,INDEX(Техника!$H$1:$ABO$500,N$2,0),"З")</f>
        <v>0</v>
      </c>
      <c r="O1479" s="50">
        <f>SUMIFS(INDEX(Техника!$F$1:$ABM$500,O$2,0),Техника!$F$4:$ABM$4,"Часы",INDEX(Техника!$G$1:$ABN$500,O$2,0),$A$1474,INDEX(Техника!$H$1:$ABO$500,O$2,0),"З")</f>
        <v>0</v>
      </c>
      <c r="P1479" s="50">
        <f>SUMIFS(INDEX(Техника!$F$1:$ABM$500,P$2,0),Техника!$F$4:$ABM$4,"Часы",INDEX(Техника!$G$1:$ABN$500,P$2,0),$A$1474,INDEX(Техника!$H$1:$ABO$500,P$2,0),"З")</f>
        <v>0</v>
      </c>
      <c r="Q1479" s="50">
        <f>SUMIFS(INDEX(Техника!$F$1:$ABM$500,Q$2,0),Техника!$F$4:$ABM$4,"Часы",INDEX(Техника!$G$1:$ABN$500,Q$2,0),$A$1474,INDEX(Техника!$H$1:$ABO$500,Q$2,0),"З")</f>
        <v>0</v>
      </c>
      <c r="R1479" s="50">
        <f>SUMIFS(INDEX(Техника!$F$1:$ABM$500,R$2,0),Техника!$F$4:$ABM$4,"Часы",INDEX(Техника!$G$1:$ABN$500,R$2,0),$A$1474,INDEX(Техника!$H$1:$ABO$500,R$2,0),"З")</f>
        <v>0</v>
      </c>
      <c r="S1479" s="50">
        <f>SUMIFS(INDEX(Техника!$F$1:$ABM$500,S$2,0),Техника!$F$4:$ABM$4,"Часы",INDEX(Техника!$G$1:$ABN$500,S$2,0),$A$1474,INDEX(Техника!$H$1:$ABO$500,S$2,0),"З")</f>
        <v>0</v>
      </c>
      <c r="T1479" s="50">
        <f>SUMIFS(INDEX(Техника!$F$1:$ABM$500,T$2,0),Техника!$F$4:$ABM$4,"Часы",INDEX(Техника!$G$1:$ABN$500,T$2,0),$A$1474,INDEX(Техника!$H$1:$ABO$500,T$2,0),"З")</f>
        <v>0</v>
      </c>
      <c r="U1479" s="50">
        <f>SUMIFS(INDEX(Техника!$F$1:$ABM$500,U$2,0),Техника!$F$4:$ABM$4,"Часы",INDEX(Техника!$G$1:$ABN$500,U$2,0),$A$1474,INDEX(Техника!$H$1:$ABO$500,U$2,0),"З")</f>
        <v>0</v>
      </c>
      <c r="V1479" s="50">
        <f>SUMIFS(INDEX(Техника!$F$1:$ABM$500,V$2,0),Техника!$F$4:$ABM$4,"Часы",INDEX(Техника!$G$1:$ABN$500,V$2,0),$A$1474,INDEX(Техника!$H$1:$ABO$500,V$2,0),"З")</f>
        <v>0</v>
      </c>
      <c r="W1479" s="50">
        <f>SUMIFS(INDEX(Техника!$F$1:$ABM$500,W$2,0),Техника!$F$4:$ABM$4,"Часы",INDEX(Техника!$G$1:$ABN$500,W$2,0),$A$1474,INDEX(Техника!$H$1:$ABO$500,W$2,0),"З")</f>
        <v>0</v>
      </c>
      <c r="X1479" s="50">
        <f>SUMIFS(INDEX(Техника!$F$1:$ABM$500,X$2,0),Техника!$F$4:$ABM$4,"Часы",INDEX(Техника!$G$1:$ABN$500,X$2,0),$A$1474,INDEX(Техника!$H$1:$ABO$500,X$2,0),"З")</f>
        <v>0</v>
      </c>
      <c r="Y1479" s="50">
        <f>SUMIFS(INDEX(Техника!$F$1:$ABM$500,Y$2,0),Техника!$F$4:$ABM$4,"Часы",INDEX(Техника!$G$1:$ABN$500,Y$2,0),$A$1474,INDEX(Техника!$H$1:$ABO$500,Y$2,0),"З")</f>
        <v>0</v>
      </c>
      <c r="Z1479" s="50">
        <f>SUMIFS(INDEX(Техника!$F$1:$ABM$500,Z$2,0),Техника!$F$4:$ABM$4,"Часы",INDEX(Техника!$G$1:$ABN$500,Z$2,0),$A$1474,INDEX(Техника!$H$1:$ABO$500,Z$2,0),"З")</f>
        <v>0</v>
      </c>
      <c r="AA1479" s="50">
        <f>SUMIFS(INDEX(Техника!$F$1:$ABM$500,AA$2,0),Техника!$F$4:$ABM$4,"Часы",INDEX(Техника!$G$1:$ABN$500,AA$2,0),$A$1474,INDEX(Техника!$H$1:$ABO$500,AA$2,0),"З")</f>
        <v>0</v>
      </c>
      <c r="AB1479" s="50">
        <f>SUMIFS(INDEX(Техника!$F$1:$ABM$500,AB$2,0),Техника!$F$4:$ABM$4,"Часы",INDEX(Техника!$G$1:$ABN$500,AB$2,0),$A$1474,INDEX(Техника!$H$1:$ABO$500,AB$2,0),"З")</f>
        <v>0</v>
      </c>
    </row>
    <row r="1480" spans="1:28" ht="7.95" customHeight="1" x14ac:dyDescent="0.3">
      <c r="A1480" s="38"/>
      <c r="B1480" s="39"/>
      <c r="C1480" s="51"/>
      <c r="D1480" s="51"/>
      <c r="E1480" s="51"/>
      <c r="F1480" s="51"/>
      <c r="G1480" s="51"/>
      <c r="H1480" s="51"/>
      <c r="I1480" s="51"/>
      <c r="J1480" s="51"/>
      <c r="K1480" s="51"/>
      <c r="L1480" s="51"/>
      <c r="M1480" s="51"/>
      <c r="N1480" s="51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</row>
    <row r="1481" spans="1:28" ht="25.05" customHeight="1" collapsed="1" x14ac:dyDescent="0.3">
      <c r="A1481" s="32">
        <v>212</v>
      </c>
      <c r="B1481" s="32" t="s">
        <v>213</v>
      </c>
      <c r="C1481" s="49">
        <f>SUM(C1482:C1486)</f>
        <v>0</v>
      </c>
      <c r="D1481" s="49">
        <f>SUM(D1482:D1486)</f>
        <v>0</v>
      </c>
      <c r="E1481" s="49">
        <f>SUM(E1482:E1486)</f>
        <v>0</v>
      </c>
      <c r="F1481" s="49">
        <f>SUM(F1482:F1486)</f>
        <v>0</v>
      </c>
      <c r="G1481" s="49">
        <f>SUM(G1482:G1486)</f>
        <v>0</v>
      </c>
      <c r="H1481" s="49">
        <f>SUM(H1482:H1486)</f>
        <v>0</v>
      </c>
      <c r="I1481" s="49">
        <f>SUM(I1482:I1486)</f>
        <v>0</v>
      </c>
      <c r="J1481" s="49">
        <f>SUM(J1482:J1486)</f>
        <v>0</v>
      </c>
      <c r="K1481" s="49">
        <f>SUM(K1482:K1486)</f>
        <v>0</v>
      </c>
      <c r="L1481" s="49">
        <f>SUM(L1482:L1486)</f>
        <v>0</v>
      </c>
      <c r="M1481" s="49">
        <f>SUM(M1482:M1486)</f>
        <v>0</v>
      </c>
      <c r="N1481" s="49">
        <f>SUM(N1482:N1486)</f>
        <v>0</v>
      </c>
      <c r="O1481" s="49">
        <f>SUM(O1482:O1486)</f>
        <v>0</v>
      </c>
      <c r="P1481" s="49">
        <f>SUM(P1482:P1486)</f>
        <v>0</v>
      </c>
      <c r="Q1481" s="49">
        <f>SUM(Q1482:Q1486)</f>
        <v>0</v>
      </c>
      <c r="R1481" s="49">
        <f>SUM(R1482:R1486)</f>
        <v>0</v>
      </c>
      <c r="S1481" s="49">
        <f>SUM(S1482:S1486)</f>
        <v>0</v>
      </c>
      <c r="T1481" s="49">
        <f>SUM(T1482:T1486)</f>
        <v>0</v>
      </c>
      <c r="U1481" s="49">
        <f>SUM(U1482:U1486)</f>
        <v>0</v>
      </c>
      <c r="V1481" s="49">
        <f>SUM(V1482:V1486)</f>
        <v>0</v>
      </c>
      <c r="W1481" s="49">
        <f>SUM(W1482:W1486)</f>
        <v>0</v>
      </c>
      <c r="X1481" s="49">
        <f>SUM(X1482:X1486)</f>
        <v>0</v>
      </c>
      <c r="Y1481" s="49">
        <f>SUM(Y1482:Y1486)</f>
        <v>0</v>
      </c>
      <c r="Z1481" s="49">
        <f>SUM(Z1482:Z1486)</f>
        <v>0</v>
      </c>
      <c r="AA1481" s="49">
        <f>SUM(AA1482:AA1486)</f>
        <v>0</v>
      </c>
      <c r="AB1481" s="49">
        <f>SUM(AB1482:AB1486)</f>
        <v>0</v>
      </c>
    </row>
    <row r="1482" spans="1:28" hidden="1" outlineLevel="1" x14ac:dyDescent="0.3">
      <c r="A1482" s="33" t="s">
        <v>246</v>
      </c>
      <c r="B1482" s="34" t="s">
        <v>274</v>
      </c>
      <c r="C1482" s="50">
        <f>SUMIFS(INDEX(Техника!$F$1:$ABM$500,C$2,0),Техника!$F$4:$ABM$4,"Часы",INDEX(Техника!$G$1:$ABN$500,C$2,0),$A$1481,INDEX(Техника!$H$1:$ABO$500,C$2,0),"М")</f>
        <v>0</v>
      </c>
      <c r="D1482" s="50">
        <f>SUMIFS(INDEX(Техника!$F$1:$ABM$500,D$2,0),Техника!$F$4:$ABM$4,"Часы",INDEX(Техника!$G$1:$ABN$500,D$2,0),$A$1481,INDEX(Техника!$H$1:$ABO$500,D$2,0),"М")</f>
        <v>0</v>
      </c>
      <c r="E1482" s="50">
        <f>SUMIFS(INDEX(Техника!$F$1:$ABM$500,E$2,0),Техника!$F$4:$ABM$4,"Часы",INDEX(Техника!$G$1:$ABN$500,E$2,0),$A$1481,INDEX(Техника!$H$1:$ABO$500,E$2,0),"М")</f>
        <v>0</v>
      </c>
      <c r="F1482" s="50">
        <f>SUMIFS(INDEX(Техника!$F$1:$ABM$500,F$2,0),Техника!$F$4:$ABM$4,"Часы",INDEX(Техника!$G$1:$ABN$500,F$2,0),$A$1481,INDEX(Техника!$H$1:$ABO$500,F$2,0),"М")</f>
        <v>0</v>
      </c>
      <c r="G1482" s="50">
        <f>SUMIFS(INDEX(Техника!$F$1:$ABM$500,G$2,0),Техника!$F$4:$ABM$4,"Часы",INDEX(Техника!$G$1:$ABN$500,G$2,0),$A$1481,INDEX(Техника!$H$1:$ABO$500,G$2,0),"М")</f>
        <v>0</v>
      </c>
      <c r="H1482" s="50">
        <f>SUMIFS(INDEX(Техника!$F$1:$ABM$500,H$2,0),Техника!$F$4:$ABM$4,"Часы",INDEX(Техника!$G$1:$ABN$500,H$2,0),$A$1481,INDEX(Техника!$H$1:$ABO$500,H$2,0),"М")</f>
        <v>0</v>
      </c>
      <c r="I1482" s="50">
        <f>SUMIFS(INDEX(Техника!$F$1:$ABM$500,I$2,0),Техника!$F$4:$ABM$4,"Часы",INDEX(Техника!$G$1:$ABN$500,I$2,0),$A$1481,INDEX(Техника!$H$1:$ABO$500,I$2,0),"М")</f>
        <v>0</v>
      </c>
      <c r="J1482" s="50">
        <f>SUMIFS(INDEX(Техника!$F$1:$ABM$500,J$2,0),Техника!$F$4:$ABM$4,"Часы",INDEX(Техника!$G$1:$ABN$500,J$2,0),$A$1481,INDEX(Техника!$H$1:$ABO$500,J$2,0),"М")</f>
        <v>0</v>
      </c>
      <c r="K1482" s="50">
        <f>SUMIFS(INDEX(Техника!$F$1:$ABM$500,K$2,0),Техника!$F$4:$ABM$4,"Часы",INDEX(Техника!$G$1:$ABN$500,K$2,0),$A$1481,INDEX(Техника!$H$1:$ABO$500,K$2,0),"М")</f>
        <v>0</v>
      </c>
      <c r="L1482" s="50">
        <f>SUMIFS(INDEX(Техника!$F$1:$ABM$500,L$2,0),Техника!$F$4:$ABM$4,"Часы",INDEX(Техника!$G$1:$ABN$500,L$2,0),$A$1481,INDEX(Техника!$H$1:$ABO$500,L$2,0),"М")</f>
        <v>0</v>
      </c>
      <c r="M1482" s="50">
        <f>SUMIFS(INDEX(Техника!$F$1:$ABM$500,M$2,0),Техника!$F$4:$ABM$4,"Часы",INDEX(Техника!$G$1:$ABN$500,M$2,0),$A$1481,INDEX(Техника!$H$1:$ABO$500,M$2,0),"М")</f>
        <v>0</v>
      </c>
      <c r="N1482" s="50">
        <f>SUMIFS(INDEX(Техника!$F$1:$ABM$500,N$2,0),Техника!$F$4:$ABM$4,"Часы",INDEX(Техника!$G$1:$ABN$500,N$2,0),$A$1481,INDEX(Техника!$H$1:$ABO$500,N$2,0),"М")</f>
        <v>0</v>
      </c>
      <c r="O1482" s="50">
        <f>SUMIFS(INDEX(Техника!$F$1:$ABM$500,O$2,0),Техника!$F$4:$ABM$4,"Часы",INDEX(Техника!$G$1:$ABN$500,O$2,0),$A$1481,INDEX(Техника!$H$1:$ABO$500,O$2,0),"М")</f>
        <v>0</v>
      </c>
      <c r="P1482" s="50">
        <f>SUMIFS(INDEX(Техника!$F$1:$ABM$500,P$2,0),Техника!$F$4:$ABM$4,"Часы",INDEX(Техника!$G$1:$ABN$500,P$2,0),$A$1481,INDEX(Техника!$H$1:$ABO$500,P$2,0),"М")</f>
        <v>0</v>
      </c>
      <c r="Q1482" s="50">
        <f>SUMIFS(INDEX(Техника!$F$1:$ABM$500,Q$2,0),Техника!$F$4:$ABM$4,"Часы",INDEX(Техника!$G$1:$ABN$500,Q$2,0),$A$1481,INDEX(Техника!$H$1:$ABO$500,Q$2,0),"М")</f>
        <v>0</v>
      </c>
      <c r="R1482" s="50">
        <f>SUMIFS(INDEX(Техника!$F$1:$ABM$500,R$2,0),Техника!$F$4:$ABM$4,"Часы",INDEX(Техника!$G$1:$ABN$500,R$2,0),$A$1481,INDEX(Техника!$H$1:$ABO$500,R$2,0),"М")</f>
        <v>0</v>
      </c>
      <c r="S1482" s="50">
        <f>SUMIFS(INDEX(Техника!$F$1:$ABM$500,S$2,0),Техника!$F$4:$ABM$4,"Часы",INDEX(Техника!$G$1:$ABN$500,S$2,0),$A$1481,INDEX(Техника!$H$1:$ABO$500,S$2,0),"М")</f>
        <v>0</v>
      </c>
      <c r="T1482" s="50">
        <f>SUMIFS(INDEX(Техника!$F$1:$ABM$500,T$2,0),Техника!$F$4:$ABM$4,"Часы",INDEX(Техника!$G$1:$ABN$500,T$2,0),$A$1481,INDEX(Техника!$H$1:$ABO$500,T$2,0),"М")</f>
        <v>0</v>
      </c>
      <c r="U1482" s="50">
        <f>SUMIFS(INDEX(Техника!$F$1:$ABM$500,U$2,0),Техника!$F$4:$ABM$4,"Часы",INDEX(Техника!$G$1:$ABN$500,U$2,0),$A$1481,INDEX(Техника!$H$1:$ABO$500,U$2,0),"М")</f>
        <v>0</v>
      </c>
      <c r="V1482" s="50">
        <f>SUMIFS(INDEX(Техника!$F$1:$ABM$500,V$2,0),Техника!$F$4:$ABM$4,"Часы",INDEX(Техника!$G$1:$ABN$500,V$2,0),$A$1481,INDEX(Техника!$H$1:$ABO$500,V$2,0),"М")</f>
        <v>0</v>
      </c>
      <c r="W1482" s="50">
        <f>SUMIFS(INDEX(Техника!$F$1:$ABM$500,W$2,0),Техника!$F$4:$ABM$4,"Часы",INDEX(Техника!$G$1:$ABN$500,W$2,0),$A$1481,INDEX(Техника!$H$1:$ABO$500,W$2,0),"М")</f>
        <v>0</v>
      </c>
      <c r="X1482" s="50">
        <f>SUMIFS(INDEX(Техника!$F$1:$ABM$500,X$2,0),Техника!$F$4:$ABM$4,"Часы",INDEX(Техника!$G$1:$ABN$500,X$2,0),$A$1481,INDEX(Техника!$H$1:$ABO$500,X$2,0),"М")</f>
        <v>0</v>
      </c>
      <c r="Y1482" s="50">
        <f>SUMIFS(INDEX(Техника!$F$1:$ABM$500,Y$2,0),Техника!$F$4:$ABM$4,"Часы",INDEX(Техника!$G$1:$ABN$500,Y$2,0),$A$1481,INDEX(Техника!$H$1:$ABO$500,Y$2,0),"М")</f>
        <v>0</v>
      </c>
      <c r="Z1482" s="50">
        <f>SUMIFS(INDEX(Техника!$F$1:$ABM$500,Z$2,0),Техника!$F$4:$ABM$4,"Часы",INDEX(Техника!$G$1:$ABN$500,Z$2,0),$A$1481,INDEX(Техника!$H$1:$ABO$500,Z$2,0),"М")</f>
        <v>0</v>
      </c>
      <c r="AA1482" s="50">
        <f>SUMIFS(INDEX(Техника!$F$1:$ABM$500,AA$2,0),Техника!$F$4:$ABM$4,"Часы",INDEX(Техника!$G$1:$ABN$500,AA$2,0),$A$1481,INDEX(Техника!$H$1:$ABO$500,AA$2,0),"М")</f>
        <v>0</v>
      </c>
      <c r="AB1482" s="50">
        <f>SUMIFS(INDEX(Техника!$F$1:$ABM$500,AB$2,0),Техника!$F$4:$ABM$4,"Часы",INDEX(Техника!$G$1:$ABN$500,AB$2,0),$A$1481,INDEX(Техника!$H$1:$ABO$500,AB$2,0),"М")</f>
        <v>0</v>
      </c>
    </row>
    <row r="1483" spans="1:28" hidden="1" outlineLevel="1" x14ac:dyDescent="0.3">
      <c r="A1483" s="33" t="s">
        <v>244</v>
      </c>
      <c r="B1483" s="34" t="s">
        <v>275</v>
      </c>
      <c r="C1483" s="50">
        <f>SUMIFS(INDEX(Техника!$F$1:$ABM$500,C$2,0),Техника!$F$4:$ABM$4,"Часы",INDEX(Техника!$G$1:$ABN$500,C$2,0),$A$1481,INDEX(Техника!$H$1:$ABO$500,C$2,0),"Д")</f>
        <v>0</v>
      </c>
      <c r="D1483" s="50">
        <f>SUMIFS(INDEX(Техника!$F$1:$ABM$500,D$2,0),Техника!$F$4:$ABM$4,"Часы",INDEX(Техника!$G$1:$ABN$500,D$2,0),$A$1481,INDEX(Техника!$H$1:$ABO$500,D$2,0),"Д")</f>
        <v>0</v>
      </c>
      <c r="E1483" s="50">
        <f>SUMIFS(INDEX(Техника!$F$1:$ABM$500,E$2,0),Техника!$F$4:$ABM$4,"Часы",INDEX(Техника!$G$1:$ABN$500,E$2,0),$A$1481,INDEX(Техника!$H$1:$ABO$500,E$2,0),"Д")</f>
        <v>0</v>
      </c>
      <c r="F1483" s="50">
        <f>SUMIFS(INDEX(Техника!$F$1:$ABM$500,F$2,0),Техника!$F$4:$ABM$4,"Часы",INDEX(Техника!$G$1:$ABN$500,F$2,0),$A$1481,INDEX(Техника!$H$1:$ABO$500,F$2,0),"Д")</f>
        <v>0</v>
      </c>
      <c r="G1483" s="50">
        <f>SUMIFS(INDEX(Техника!$F$1:$ABM$500,G$2,0),Техника!$F$4:$ABM$4,"Часы",INDEX(Техника!$G$1:$ABN$500,G$2,0),$A$1481,INDEX(Техника!$H$1:$ABO$500,G$2,0),"Д")</f>
        <v>0</v>
      </c>
      <c r="H1483" s="50">
        <f>SUMIFS(INDEX(Техника!$F$1:$ABM$500,H$2,0),Техника!$F$4:$ABM$4,"Часы",INDEX(Техника!$G$1:$ABN$500,H$2,0),$A$1481,INDEX(Техника!$H$1:$ABO$500,H$2,0),"Д")</f>
        <v>0</v>
      </c>
      <c r="I1483" s="50">
        <f>SUMIFS(INDEX(Техника!$F$1:$ABM$500,I$2,0),Техника!$F$4:$ABM$4,"Часы",INDEX(Техника!$G$1:$ABN$500,I$2,0),$A$1481,INDEX(Техника!$H$1:$ABO$500,I$2,0),"Д")</f>
        <v>0</v>
      </c>
      <c r="J1483" s="50">
        <f>SUMIFS(INDEX(Техника!$F$1:$ABM$500,J$2,0),Техника!$F$4:$ABM$4,"Часы",INDEX(Техника!$G$1:$ABN$500,J$2,0),$A$1481,INDEX(Техника!$H$1:$ABO$500,J$2,0),"Д")</f>
        <v>0</v>
      </c>
      <c r="K1483" s="50">
        <f>SUMIFS(INDEX(Техника!$F$1:$ABM$500,K$2,0),Техника!$F$4:$ABM$4,"Часы",INDEX(Техника!$G$1:$ABN$500,K$2,0),$A$1481,INDEX(Техника!$H$1:$ABO$500,K$2,0),"Д")</f>
        <v>0</v>
      </c>
      <c r="L1483" s="50">
        <f>SUMIFS(INDEX(Техника!$F$1:$ABM$500,L$2,0),Техника!$F$4:$ABM$4,"Часы",INDEX(Техника!$G$1:$ABN$500,L$2,0),$A$1481,INDEX(Техника!$H$1:$ABO$500,L$2,0),"Д")</f>
        <v>0</v>
      </c>
      <c r="M1483" s="50">
        <f>SUMIFS(INDEX(Техника!$F$1:$ABM$500,M$2,0),Техника!$F$4:$ABM$4,"Часы",INDEX(Техника!$G$1:$ABN$500,M$2,0),$A$1481,INDEX(Техника!$H$1:$ABO$500,M$2,0),"Д")</f>
        <v>0</v>
      </c>
      <c r="N1483" s="50">
        <f>SUMIFS(INDEX(Техника!$F$1:$ABM$500,N$2,0),Техника!$F$4:$ABM$4,"Часы",INDEX(Техника!$G$1:$ABN$500,N$2,0),$A$1481,INDEX(Техника!$H$1:$ABO$500,N$2,0),"Д")</f>
        <v>0</v>
      </c>
      <c r="O1483" s="50">
        <f>SUMIFS(INDEX(Техника!$F$1:$ABM$500,O$2,0),Техника!$F$4:$ABM$4,"Часы",INDEX(Техника!$G$1:$ABN$500,O$2,0),$A$1481,INDEX(Техника!$H$1:$ABO$500,O$2,0),"Д")</f>
        <v>0</v>
      </c>
      <c r="P1483" s="50">
        <f>SUMIFS(INDEX(Техника!$F$1:$ABM$500,P$2,0),Техника!$F$4:$ABM$4,"Часы",INDEX(Техника!$G$1:$ABN$500,P$2,0),$A$1481,INDEX(Техника!$H$1:$ABO$500,P$2,0),"Д")</f>
        <v>0</v>
      </c>
      <c r="Q1483" s="50">
        <f>SUMIFS(INDEX(Техника!$F$1:$ABM$500,Q$2,0),Техника!$F$4:$ABM$4,"Часы",INDEX(Техника!$G$1:$ABN$500,Q$2,0),$A$1481,INDEX(Техника!$H$1:$ABO$500,Q$2,0),"Д")</f>
        <v>0</v>
      </c>
      <c r="R1483" s="50">
        <f>SUMIFS(INDEX(Техника!$F$1:$ABM$500,R$2,0),Техника!$F$4:$ABM$4,"Часы",INDEX(Техника!$G$1:$ABN$500,R$2,0),$A$1481,INDEX(Техника!$H$1:$ABO$500,R$2,0),"Д")</f>
        <v>0</v>
      </c>
      <c r="S1483" s="50">
        <f>SUMIFS(INDEX(Техника!$F$1:$ABM$500,S$2,0),Техника!$F$4:$ABM$4,"Часы",INDEX(Техника!$G$1:$ABN$500,S$2,0),$A$1481,INDEX(Техника!$H$1:$ABO$500,S$2,0),"Д")</f>
        <v>0</v>
      </c>
      <c r="T1483" s="50">
        <f>SUMIFS(INDEX(Техника!$F$1:$ABM$500,T$2,0),Техника!$F$4:$ABM$4,"Часы",INDEX(Техника!$G$1:$ABN$500,T$2,0),$A$1481,INDEX(Техника!$H$1:$ABO$500,T$2,0),"Д")</f>
        <v>0</v>
      </c>
      <c r="U1483" s="50">
        <f>SUMIFS(INDEX(Техника!$F$1:$ABM$500,U$2,0),Техника!$F$4:$ABM$4,"Часы",INDEX(Техника!$G$1:$ABN$500,U$2,0),$A$1481,INDEX(Техника!$H$1:$ABO$500,U$2,0),"Д")</f>
        <v>0</v>
      </c>
      <c r="V1483" s="50">
        <f>SUMIFS(INDEX(Техника!$F$1:$ABM$500,V$2,0),Техника!$F$4:$ABM$4,"Часы",INDEX(Техника!$G$1:$ABN$500,V$2,0),$A$1481,INDEX(Техника!$H$1:$ABO$500,V$2,0),"Д")</f>
        <v>0</v>
      </c>
      <c r="W1483" s="50">
        <f>SUMIFS(INDEX(Техника!$F$1:$ABM$500,W$2,0),Техника!$F$4:$ABM$4,"Часы",INDEX(Техника!$G$1:$ABN$500,W$2,0),$A$1481,INDEX(Техника!$H$1:$ABO$500,W$2,0),"Д")</f>
        <v>0</v>
      </c>
      <c r="X1483" s="50">
        <f>SUMIFS(INDEX(Техника!$F$1:$ABM$500,X$2,0),Техника!$F$4:$ABM$4,"Часы",INDEX(Техника!$G$1:$ABN$500,X$2,0),$A$1481,INDEX(Техника!$H$1:$ABO$500,X$2,0),"Д")</f>
        <v>0</v>
      </c>
      <c r="Y1483" s="50">
        <f>SUMIFS(INDEX(Техника!$F$1:$ABM$500,Y$2,0),Техника!$F$4:$ABM$4,"Часы",INDEX(Техника!$G$1:$ABN$500,Y$2,0),$A$1481,INDEX(Техника!$H$1:$ABO$500,Y$2,0),"Д")</f>
        <v>0</v>
      </c>
      <c r="Z1483" s="50">
        <f>SUMIFS(INDEX(Техника!$F$1:$ABM$500,Z$2,0),Техника!$F$4:$ABM$4,"Часы",INDEX(Техника!$G$1:$ABN$500,Z$2,0),$A$1481,INDEX(Техника!$H$1:$ABO$500,Z$2,0),"Д")</f>
        <v>0</v>
      </c>
      <c r="AA1483" s="50">
        <f>SUMIFS(INDEX(Техника!$F$1:$ABM$500,AA$2,0),Техника!$F$4:$ABM$4,"Часы",INDEX(Техника!$G$1:$ABN$500,AA$2,0),$A$1481,INDEX(Техника!$H$1:$ABO$500,AA$2,0),"Д")</f>
        <v>0</v>
      </c>
      <c r="AB1483" s="50">
        <f>SUMIFS(INDEX(Техника!$F$1:$ABM$500,AB$2,0),Техника!$F$4:$ABM$4,"Часы",INDEX(Техника!$G$1:$ABN$500,AB$2,0),$A$1481,INDEX(Техника!$H$1:$ABO$500,AB$2,0),"Д")</f>
        <v>0</v>
      </c>
    </row>
    <row r="1484" spans="1:28" hidden="1" outlineLevel="1" x14ac:dyDescent="0.3">
      <c r="A1484" s="33" t="s">
        <v>276</v>
      </c>
      <c r="B1484" s="34" t="s">
        <v>277</v>
      </c>
      <c r="C1484" s="50">
        <f>SUMIFS(INDEX(Техника!$F$1:$ABM$500,C$2,0),Техника!$F$4:$ABM$4,"Часы",INDEX(Техника!$G$1:$ABN$500,C$2,0),$A$1481,INDEX(Техника!$H$1:$ABO$500,C$2,0),"П")</f>
        <v>0</v>
      </c>
      <c r="D1484" s="50">
        <f>SUMIFS(INDEX(Техника!$F$1:$ABM$500,D$2,0),Техника!$F$4:$ABM$4,"Часы",INDEX(Техника!$G$1:$ABN$500,D$2,0),$A$1481,INDEX(Техника!$H$1:$ABO$500,D$2,0),"П")</f>
        <v>0</v>
      </c>
      <c r="E1484" s="50">
        <f>SUMIFS(INDEX(Техника!$F$1:$ABM$500,E$2,0),Техника!$F$4:$ABM$4,"Часы",INDEX(Техника!$G$1:$ABN$500,E$2,0),$A$1481,INDEX(Техника!$H$1:$ABO$500,E$2,0),"П")</f>
        <v>0</v>
      </c>
      <c r="F1484" s="50">
        <f>SUMIFS(INDEX(Техника!$F$1:$ABM$500,F$2,0),Техника!$F$4:$ABM$4,"Часы",INDEX(Техника!$G$1:$ABN$500,F$2,0),$A$1481,INDEX(Техника!$H$1:$ABO$500,F$2,0),"П")</f>
        <v>0</v>
      </c>
      <c r="G1484" s="50">
        <f>SUMIFS(INDEX(Техника!$F$1:$ABM$500,G$2,0),Техника!$F$4:$ABM$4,"Часы",INDEX(Техника!$G$1:$ABN$500,G$2,0),$A$1481,INDEX(Техника!$H$1:$ABO$500,G$2,0),"П")</f>
        <v>0</v>
      </c>
      <c r="H1484" s="50">
        <f>SUMIFS(INDEX(Техника!$F$1:$ABM$500,H$2,0),Техника!$F$4:$ABM$4,"Часы",INDEX(Техника!$G$1:$ABN$500,H$2,0),$A$1481,INDEX(Техника!$H$1:$ABO$500,H$2,0),"П")</f>
        <v>0</v>
      </c>
      <c r="I1484" s="50">
        <f>SUMIFS(INDEX(Техника!$F$1:$ABM$500,I$2,0),Техника!$F$4:$ABM$4,"Часы",INDEX(Техника!$G$1:$ABN$500,I$2,0),$A$1481,INDEX(Техника!$H$1:$ABO$500,I$2,0),"П")</f>
        <v>0</v>
      </c>
      <c r="J1484" s="50">
        <f>SUMIFS(INDEX(Техника!$F$1:$ABM$500,J$2,0),Техника!$F$4:$ABM$4,"Часы",INDEX(Техника!$G$1:$ABN$500,J$2,0),$A$1481,INDEX(Техника!$H$1:$ABO$500,J$2,0),"П")</f>
        <v>0</v>
      </c>
      <c r="K1484" s="50">
        <f>SUMIFS(INDEX(Техника!$F$1:$ABM$500,K$2,0),Техника!$F$4:$ABM$4,"Часы",INDEX(Техника!$G$1:$ABN$500,K$2,0),$A$1481,INDEX(Техника!$H$1:$ABO$500,K$2,0),"П")</f>
        <v>0</v>
      </c>
      <c r="L1484" s="50">
        <f>SUMIFS(INDEX(Техника!$F$1:$ABM$500,L$2,0),Техника!$F$4:$ABM$4,"Часы",INDEX(Техника!$G$1:$ABN$500,L$2,0),$A$1481,INDEX(Техника!$H$1:$ABO$500,L$2,0),"П")</f>
        <v>0</v>
      </c>
      <c r="M1484" s="50">
        <f>SUMIFS(INDEX(Техника!$F$1:$ABM$500,M$2,0),Техника!$F$4:$ABM$4,"Часы",INDEX(Техника!$G$1:$ABN$500,M$2,0),$A$1481,INDEX(Техника!$H$1:$ABO$500,M$2,0),"П")</f>
        <v>0</v>
      </c>
      <c r="N1484" s="50">
        <f>SUMIFS(INDEX(Техника!$F$1:$ABM$500,N$2,0),Техника!$F$4:$ABM$4,"Часы",INDEX(Техника!$G$1:$ABN$500,N$2,0),$A$1481,INDEX(Техника!$H$1:$ABO$500,N$2,0),"П")</f>
        <v>0</v>
      </c>
      <c r="O1484" s="50">
        <f>SUMIFS(INDEX(Техника!$F$1:$ABM$500,O$2,0),Техника!$F$4:$ABM$4,"Часы",INDEX(Техника!$G$1:$ABN$500,O$2,0),$A$1481,INDEX(Техника!$H$1:$ABO$500,O$2,0),"П")</f>
        <v>0</v>
      </c>
      <c r="P1484" s="50">
        <f>SUMIFS(INDEX(Техника!$F$1:$ABM$500,P$2,0),Техника!$F$4:$ABM$4,"Часы",INDEX(Техника!$G$1:$ABN$500,P$2,0),$A$1481,INDEX(Техника!$H$1:$ABO$500,P$2,0),"П")</f>
        <v>0</v>
      </c>
      <c r="Q1484" s="50">
        <f>SUMIFS(INDEX(Техника!$F$1:$ABM$500,Q$2,0),Техника!$F$4:$ABM$4,"Часы",INDEX(Техника!$G$1:$ABN$500,Q$2,0),$A$1481,INDEX(Техника!$H$1:$ABO$500,Q$2,0),"П")</f>
        <v>0</v>
      </c>
      <c r="R1484" s="50">
        <f>SUMIFS(INDEX(Техника!$F$1:$ABM$500,R$2,0),Техника!$F$4:$ABM$4,"Часы",INDEX(Техника!$G$1:$ABN$500,R$2,0),$A$1481,INDEX(Техника!$H$1:$ABO$500,R$2,0),"П")</f>
        <v>0</v>
      </c>
      <c r="S1484" s="50">
        <f>SUMIFS(INDEX(Техника!$F$1:$ABM$500,S$2,0),Техника!$F$4:$ABM$4,"Часы",INDEX(Техника!$G$1:$ABN$500,S$2,0),$A$1481,INDEX(Техника!$H$1:$ABO$500,S$2,0),"П")</f>
        <v>0</v>
      </c>
      <c r="T1484" s="50">
        <f>SUMIFS(INDEX(Техника!$F$1:$ABM$500,T$2,0),Техника!$F$4:$ABM$4,"Часы",INDEX(Техника!$G$1:$ABN$500,T$2,0),$A$1481,INDEX(Техника!$H$1:$ABO$500,T$2,0),"П")</f>
        <v>0</v>
      </c>
      <c r="U1484" s="50">
        <f>SUMIFS(INDEX(Техника!$F$1:$ABM$500,U$2,0),Техника!$F$4:$ABM$4,"Часы",INDEX(Техника!$G$1:$ABN$500,U$2,0),$A$1481,INDEX(Техника!$H$1:$ABO$500,U$2,0),"П")</f>
        <v>0</v>
      </c>
      <c r="V1484" s="50">
        <f>SUMIFS(INDEX(Техника!$F$1:$ABM$500,V$2,0),Техника!$F$4:$ABM$4,"Часы",INDEX(Техника!$G$1:$ABN$500,V$2,0),$A$1481,INDEX(Техника!$H$1:$ABO$500,V$2,0),"П")</f>
        <v>0</v>
      </c>
      <c r="W1484" s="50">
        <f>SUMIFS(INDEX(Техника!$F$1:$ABM$500,W$2,0),Техника!$F$4:$ABM$4,"Часы",INDEX(Техника!$G$1:$ABN$500,W$2,0),$A$1481,INDEX(Техника!$H$1:$ABO$500,W$2,0),"П")</f>
        <v>0</v>
      </c>
      <c r="X1484" s="50">
        <f>SUMIFS(INDEX(Техника!$F$1:$ABM$500,X$2,0),Техника!$F$4:$ABM$4,"Часы",INDEX(Техника!$G$1:$ABN$500,X$2,0),$A$1481,INDEX(Техника!$H$1:$ABO$500,X$2,0),"П")</f>
        <v>0</v>
      </c>
      <c r="Y1484" s="50">
        <f>SUMIFS(INDEX(Техника!$F$1:$ABM$500,Y$2,0),Техника!$F$4:$ABM$4,"Часы",INDEX(Техника!$G$1:$ABN$500,Y$2,0),$A$1481,INDEX(Техника!$H$1:$ABO$500,Y$2,0),"П")</f>
        <v>0</v>
      </c>
      <c r="Z1484" s="50">
        <f>SUMIFS(INDEX(Техника!$F$1:$ABM$500,Z$2,0),Техника!$F$4:$ABM$4,"Часы",INDEX(Техника!$G$1:$ABN$500,Z$2,0),$A$1481,INDEX(Техника!$H$1:$ABO$500,Z$2,0),"П")</f>
        <v>0</v>
      </c>
      <c r="AA1484" s="50">
        <f>SUMIFS(INDEX(Техника!$F$1:$ABM$500,AA$2,0),Техника!$F$4:$ABM$4,"Часы",INDEX(Техника!$G$1:$ABN$500,AA$2,0),$A$1481,INDEX(Техника!$H$1:$ABO$500,AA$2,0),"П")</f>
        <v>0</v>
      </c>
      <c r="AB1484" s="50">
        <f>SUMIFS(INDEX(Техника!$F$1:$ABM$500,AB$2,0),Техника!$F$4:$ABM$4,"Часы",INDEX(Техника!$G$1:$ABN$500,AB$2,0),$A$1481,INDEX(Техника!$H$1:$ABO$500,AB$2,0),"П")</f>
        <v>0</v>
      </c>
    </row>
    <row r="1485" spans="1:28" hidden="1" outlineLevel="1" x14ac:dyDescent="0.3">
      <c r="A1485" s="33" t="s">
        <v>243</v>
      </c>
      <c r="B1485" s="34" t="s">
        <v>278</v>
      </c>
      <c r="C1485" s="50">
        <f>SUMIFS(INDEX(Техника!$F$1:$ABM$500,C$2,0),Техника!$F$4:$ABM$4,"Часы",INDEX(Техника!$G$1:$ABN$500,C$2,0),$A$1481,INDEX(Техника!$H$1:$ABO$500,C$2,0),"Л")</f>
        <v>0</v>
      </c>
      <c r="D1485" s="50">
        <f>SUMIFS(INDEX(Техника!$F$1:$ABM$500,D$2,0),Техника!$F$4:$ABM$4,"Часы",INDEX(Техника!$G$1:$ABN$500,D$2,0),$A$1481,INDEX(Техника!$H$1:$ABO$500,D$2,0),"Л")</f>
        <v>0</v>
      </c>
      <c r="E1485" s="50">
        <f>SUMIFS(INDEX(Техника!$F$1:$ABM$500,E$2,0),Техника!$F$4:$ABM$4,"Часы",INDEX(Техника!$G$1:$ABN$500,E$2,0),$A$1481,INDEX(Техника!$H$1:$ABO$500,E$2,0),"Л")</f>
        <v>0</v>
      </c>
      <c r="F1485" s="50">
        <f>SUMIFS(INDEX(Техника!$F$1:$ABM$500,F$2,0),Техника!$F$4:$ABM$4,"Часы",INDEX(Техника!$G$1:$ABN$500,F$2,0),$A$1481,INDEX(Техника!$H$1:$ABO$500,F$2,0),"Л")</f>
        <v>0</v>
      </c>
      <c r="G1485" s="50">
        <f>SUMIFS(INDEX(Техника!$F$1:$ABM$500,G$2,0),Техника!$F$4:$ABM$4,"Часы",INDEX(Техника!$G$1:$ABN$500,G$2,0),$A$1481,INDEX(Техника!$H$1:$ABO$500,G$2,0),"Л")</f>
        <v>0</v>
      </c>
      <c r="H1485" s="50">
        <f>SUMIFS(INDEX(Техника!$F$1:$ABM$500,H$2,0),Техника!$F$4:$ABM$4,"Часы",INDEX(Техника!$G$1:$ABN$500,H$2,0),$A$1481,INDEX(Техника!$H$1:$ABO$500,H$2,0),"Л")</f>
        <v>0</v>
      </c>
      <c r="I1485" s="50">
        <f>SUMIFS(INDEX(Техника!$F$1:$ABM$500,I$2,0),Техника!$F$4:$ABM$4,"Часы",INDEX(Техника!$G$1:$ABN$500,I$2,0),$A$1481,INDEX(Техника!$H$1:$ABO$500,I$2,0),"Л")</f>
        <v>0</v>
      </c>
      <c r="J1485" s="50">
        <f>SUMIFS(INDEX(Техника!$F$1:$ABM$500,J$2,0),Техника!$F$4:$ABM$4,"Часы",INDEX(Техника!$G$1:$ABN$500,J$2,0),$A$1481,INDEX(Техника!$H$1:$ABO$500,J$2,0),"Л")</f>
        <v>0</v>
      </c>
      <c r="K1485" s="50">
        <f>SUMIFS(INDEX(Техника!$F$1:$ABM$500,K$2,0),Техника!$F$4:$ABM$4,"Часы",INDEX(Техника!$G$1:$ABN$500,K$2,0),$A$1481,INDEX(Техника!$H$1:$ABO$500,K$2,0),"Л")</f>
        <v>0</v>
      </c>
      <c r="L1485" s="50">
        <f>SUMIFS(INDEX(Техника!$F$1:$ABM$500,L$2,0),Техника!$F$4:$ABM$4,"Часы",INDEX(Техника!$G$1:$ABN$500,L$2,0),$A$1481,INDEX(Техника!$H$1:$ABO$500,L$2,0),"Л")</f>
        <v>0</v>
      </c>
      <c r="M1485" s="50">
        <f>SUMIFS(INDEX(Техника!$F$1:$ABM$500,M$2,0),Техника!$F$4:$ABM$4,"Часы",INDEX(Техника!$G$1:$ABN$500,M$2,0),$A$1481,INDEX(Техника!$H$1:$ABO$500,M$2,0),"Л")</f>
        <v>0</v>
      </c>
      <c r="N1485" s="50">
        <f>SUMIFS(INDEX(Техника!$F$1:$ABM$500,N$2,0),Техника!$F$4:$ABM$4,"Часы",INDEX(Техника!$G$1:$ABN$500,N$2,0),$A$1481,INDEX(Техника!$H$1:$ABO$500,N$2,0),"Л")</f>
        <v>0</v>
      </c>
      <c r="O1485" s="50">
        <f>SUMIFS(INDEX(Техника!$F$1:$ABM$500,O$2,0),Техника!$F$4:$ABM$4,"Часы",INDEX(Техника!$G$1:$ABN$500,O$2,0),$A$1481,INDEX(Техника!$H$1:$ABO$500,O$2,0),"Л")</f>
        <v>0</v>
      </c>
      <c r="P1485" s="50">
        <f>SUMIFS(INDEX(Техника!$F$1:$ABM$500,P$2,0),Техника!$F$4:$ABM$4,"Часы",INDEX(Техника!$G$1:$ABN$500,P$2,0),$A$1481,INDEX(Техника!$H$1:$ABO$500,P$2,0),"Л")</f>
        <v>0</v>
      </c>
      <c r="Q1485" s="50">
        <f>SUMIFS(INDEX(Техника!$F$1:$ABM$500,Q$2,0),Техника!$F$4:$ABM$4,"Часы",INDEX(Техника!$G$1:$ABN$500,Q$2,0),$A$1481,INDEX(Техника!$H$1:$ABO$500,Q$2,0),"Л")</f>
        <v>0</v>
      </c>
      <c r="R1485" s="50">
        <f>SUMIFS(INDEX(Техника!$F$1:$ABM$500,R$2,0),Техника!$F$4:$ABM$4,"Часы",INDEX(Техника!$G$1:$ABN$500,R$2,0),$A$1481,INDEX(Техника!$H$1:$ABO$500,R$2,0),"Л")</f>
        <v>0</v>
      </c>
      <c r="S1485" s="50">
        <f>SUMIFS(INDEX(Техника!$F$1:$ABM$500,S$2,0),Техника!$F$4:$ABM$4,"Часы",INDEX(Техника!$G$1:$ABN$500,S$2,0),$A$1481,INDEX(Техника!$H$1:$ABO$500,S$2,0),"Л")</f>
        <v>0</v>
      </c>
      <c r="T1485" s="50">
        <f>SUMIFS(INDEX(Техника!$F$1:$ABM$500,T$2,0),Техника!$F$4:$ABM$4,"Часы",INDEX(Техника!$G$1:$ABN$500,T$2,0),$A$1481,INDEX(Техника!$H$1:$ABO$500,T$2,0),"Л")</f>
        <v>0</v>
      </c>
      <c r="U1485" s="50">
        <f>SUMIFS(INDEX(Техника!$F$1:$ABM$500,U$2,0),Техника!$F$4:$ABM$4,"Часы",INDEX(Техника!$G$1:$ABN$500,U$2,0),$A$1481,INDEX(Техника!$H$1:$ABO$500,U$2,0),"Л")</f>
        <v>0</v>
      </c>
      <c r="V1485" s="50">
        <f>SUMIFS(INDEX(Техника!$F$1:$ABM$500,V$2,0),Техника!$F$4:$ABM$4,"Часы",INDEX(Техника!$G$1:$ABN$500,V$2,0),$A$1481,INDEX(Техника!$H$1:$ABO$500,V$2,0),"Л")</f>
        <v>0</v>
      </c>
      <c r="W1485" s="50">
        <f>SUMIFS(INDEX(Техника!$F$1:$ABM$500,W$2,0),Техника!$F$4:$ABM$4,"Часы",INDEX(Техника!$G$1:$ABN$500,W$2,0),$A$1481,INDEX(Техника!$H$1:$ABO$500,W$2,0),"Л")</f>
        <v>0</v>
      </c>
      <c r="X1485" s="50">
        <f>SUMIFS(INDEX(Техника!$F$1:$ABM$500,X$2,0),Техника!$F$4:$ABM$4,"Часы",INDEX(Техника!$G$1:$ABN$500,X$2,0),$A$1481,INDEX(Техника!$H$1:$ABO$500,X$2,0),"Л")</f>
        <v>0</v>
      </c>
      <c r="Y1485" s="50">
        <f>SUMIFS(INDEX(Техника!$F$1:$ABM$500,Y$2,0),Техника!$F$4:$ABM$4,"Часы",INDEX(Техника!$G$1:$ABN$500,Y$2,0),$A$1481,INDEX(Техника!$H$1:$ABO$500,Y$2,0),"Л")</f>
        <v>0</v>
      </c>
      <c r="Z1485" s="50">
        <f>SUMIFS(INDEX(Техника!$F$1:$ABM$500,Z$2,0),Техника!$F$4:$ABM$4,"Часы",INDEX(Техника!$G$1:$ABN$500,Z$2,0),$A$1481,INDEX(Техника!$H$1:$ABO$500,Z$2,0),"Л")</f>
        <v>0</v>
      </c>
      <c r="AA1485" s="50">
        <f>SUMIFS(INDEX(Техника!$F$1:$ABM$500,AA$2,0),Техника!$F$4:$ABM$4,"Часы",INDEX(Техника!$G$1:$ABN$500,AA$2,0),$A$1481,INDEX(Техника!$H$1:$ABO$500,AA$2,0),"Л")</f>
        <v>0</v>
      </c>
      <c r="AB1485" s="50">
        <f>SUMIFS(INDEX(Техника!$F$1:$ABM$500,AB$2,0),Техника!$F$4:$ABM$4,"Часы",INDEX(Техника!$G$1:$ABN$500,AB$2,0),$A$1481,INDEX(Техника!$H$1:$ABO$500,AB$2,0),"Л")</f>
        <v>0</v>
      </c>
    </row>
    <row r="1486" spans="1:28" hidden="1" outlineLevel="1" x14ac:dyDescent="0.3">
      <c r="A1486" s="33" t="s">
        <v>245</v>
      </c>
      <c r="B1486" s="34" t="s">
        <v>279</v>
      </c>
      <c r="C1486" s="50">
        <f>SUMIFS(INDEX(Техника!$F$1:$ABM$500,C$2,0),Техника!$F$4:$ABM$4,"Часы",INDEX(Техника!$G$1:$ABN$500,C$2,0),$A$1481,INDEX(Техника!$H$1:$ABO$500,C$2,0),"З")</f>
        <v>0</v>
      </c>
      <c r="D1486" s="50">
        <f>SUMIFS(INDEX(Техника!$F$1:$ABM$500,D$2,0),Техника!$F$4:$ABM$4,"Часы",INDEX(Техника!$G$1:$ABN$500,D$2,0),$A$1481,INDEX(Техника!$H$1:$ABO$500,D$2,0),"З")</f>
        <v>0</v>
      </c>
      <c r="E1486" s="50">
        <f>SUMIFS(INDEX(Техника!$F$1:$ABM$500,E$2,0),Техника!$F$4:$ABM$4,"Часы",INDEX(Техника!$G$1:$ABN$500,E$2,0),$A$1481,INDEX(Техника!$H$1:$ABO$500,E$2,0),"З")</f>
        <v>0</v>
      </c>
      <c r="F1486" s="50">
        <f>SUMIFS(INDEX(Техника!$F$1:$ABM$500,F$2,0),Техника!$F$4:$ABM$4,"Часы",INDEX(Техника!$G$1:$ABN$500,F$2,0),$A$1481,INDEX(Техника!$H$1:$ABO$500,F$2,0),"З")</f>
        <v>0</v>
      </c>
      <c r="G1486" s="50">
        <f>SUMIFS(INDEX(Техника!$F$1:$ABM$500,G$2,0),Техника!$F$4:$ABM$4,"Часы",INDEX(Техника!$G$1:$ABN$500,G$2,0),$A$1481,INDEX(Техника!$H$1:$ABO$500,G$2,0),"З")</f>
        <v>0</v>
      </c>
      <c r="H1486" s="50">
        <f>SUMIFS(INDEX(Техника!$F$1:$ABM$500,H$2,0),Техника!$F$4:$ABM$4,"Часы",INDEX(Техника!$G$1:$ABN$500,H$2,0),$A$1481,INDEX(Техника!$H$1:$ABO$500,H$2,0),"З")</f>
        <v>0</v>
      </c>
      <c r="I1486" s="50">
        <f>SUMIFS(INDEX(Техника!$F$1:$ABM$500,I$2,0),Техника!$F$4:$ABM$4,"Часы",INDEX(Техника!$G$1:$ABN$500,I$2,0),$A$1481,INDEX(Техника!$H$1:$ABO$500,I$2,0),"З")</f>
        <v>0</v>
      </c>
      <c r="J1486" s="50">
        <f>SUMIFS(INDEX(Техника!$F$1:$ABM$500,J$2,0),Техника!$F$4:$ABM$4,"Часы",INDEX(Техника!$G$1:$ABN$500,J$2,0),$A$1481,INDEX(Техника!$H$1:$ABO$500,J$2,0),"З")</f>
        <v>0</v>
      </c>
      <c r="K1486" s="50">
        <f>SUMIFS(INDEX(Техника!$F$1:$ABM$500,K$2,0),Техника!$F$4:$ABM$4,"Часы",INDEX(Техника!$G$1:$ABN$500,K$2,0),$A$1481,INDEX(Техника!$H$1:$ABO$500,K$2,0),"З")</f>
        <v>0</v>
      </c>
      <c r="L1486" s="50">
        <f>SUMIFS(INDEX(Техника!$F$1:$ABM$500,L$2,0),Техника!$F$4:$ABM$4,"Часы",INDEX(Техника!$G$1:$ABN$500,L$2,0),$A$1481,INDEX(Техника!$H$1:$ABO$500,L$2,0),"З")</f>
        <v>0</v>
      </c>
      <c r="M1486" s="50">
        <f>SUMIFS(INDEX(Техника!$F$1:$ABM$500,M$2,0),Техника!$F$4:$ABM$4,"Часы",INDEX(Техника!$G$1:$ABN$500,M$2,0),$A$1481,INDEX(Техника!$H$1:$ABO$500,M$2,0),"З")</f>
        <v>0</v>
      </c>
      <c r="N1486" s="50">
        <f>SUMIFS(INDEX(Техника!$F$1:$ABM$500,N$2,0),Техника!$F$4:$ABM$4,"Часы",INDEX(Техника!$G$1:$ABN$500,N$2,0),$A$1481,INDEX(Техника!$H$1:$ABO$500,N$2,0),"З")</f>
        <v>0</v>
      </c>
      <c r="O1486" s="50">
        <f>SUMIFS(INDEX(Техника!$F$1:$ABM$500,O$2,0),Техника!$F$4:$ABM$4,"Часы",INDEX(Техника!$G$1:$ABN$500,O$2,0),$A$1481,INDEX(Техника!$H$1:$ABO$500,O$2,0),"З")</f>
        <v>0</v>
      </c>
      <c r="P1486" s="50">
        <f>SUMIFS(INDEX(Техника!$F$1:$ABM$500,P$2,0),Техника!$F$4:$ABM$4,"Часы",INDEX(Техника!$G$1:$ABN$500,P$2,0),$A$1481,INDEX(Техника!$H$1:$ABO$500,P$2,0),"З")</f>
        <v>0</v>
      </c>
      <c r="Q1486" s="50">
        <f>SUMIFS(INDEX(Техника!$F$1:$ABM$500,Q$2,0),Техника!$F$4:$ABM$4,"Часы",INDEX(Техника!$G$1:$ABN$500,Q$2,0),$A$1481,INDEX(Техника!$H$1:$ABO$500,Q$2,0),"З")</f>
        <v>0</v>
      </c>
      <c r="R1486" s="50">
        <f>SUMIFS(INDEX(Техника!$F$1:$ABM$500,R$2,0),Техника!$F$4:$ABM$4,"Часы",INDEX(Техника!$G$1:$ABN$500,R$2,0),$A$1481,INDEX(Техника!$H$1:$ABO$500,R$2,0),"З")</f>
        <v>0</v>
      </c>
      <c r="S1486" s="50">
        <f>SUMIFS(INDEX(Техника!$F$1:$ABM$500,S$2,0),Техника!$F$4:$ABM$4,"Часы",INDEX(Техника!$G$1:$ABN$500,S$2,0),$A$1481,INDEX(Техника!$H$1:$ABO$500,S$2,0),"З")</f>
        <v>0</v>
      </c>
      <c r="T1486" s="50">
        <f>SUMIFS(INDEX(Техника!$F$1:$ABM$500,T$2,0),Техника!$F$4:$ABM$4,"Часы",INDEX(Техника!$G$1:$ABN$500,T$2,0),$A$1481,INDEX(Техника!$H$1:$ABO$500,T$2,0),"З")</f>
        <v>0</v>
      </c>
      <c r="U1486" s="50">
        <f>SUMIFS(INDEX(Техника!$F$1:$ABM$500,U$2,0),Техника!$F$4:$ABM$4,"Часы",INDEX(Техника!$G$1:$ABN$500,U$2,0),$A$1481,INDEX(Техника!$H$1:$ABO$500,U$2,0),"З")</f>
        <v>0</v>
      </c>
      <c r="V1486" s="50">
        <f>SUMIFS(INDEX(Техника!$F$1:$ABM$500,V$2,0),Техника!$F$4:$ABM$4,"Часы",INDEX(Техника!$G$1:$ABN$500,V$2,0),$A$1481,INDEX(Техника!$H$1:$ABO$500,V$2,0),"З")</f>
        <v>0</v>
      </c>
      <c r="W1486" s="50">
        <f>SUMIFS(INDEX(Техника!$F$1:$ABM$500,W$2,0),Техника!$F$4:$ABM$4,"Часы",INDEX(Техника!$G$1:$ABN$500,W$2,0),$A$1481,INDEX(Техника!$H$1:$ABO$500,W$2,0),"З")</f>
        <v>0</v>
      </c>
      <c r="X1486" s="50">
        <f>SUMIFS(INDEX(Техника!$F$1:$ABM$500,X$2,0),Техника!$F$4:$ABM$4,"Часы",INDEX(Техника!$G$1:$ABN$500,X$2,0),$A$1481,INDEX(Техника!$H$1:$ABO$500,X$2,0),"З")</f>
        <v>0</v>
      </c>
      <c r="Y1486" s="50">
        <f>SUMIFS(INDEX(Техника!$F$1:$ABM$500,Y$2,0),Техника!$F$4:$ABM$4,"Часы",INDEX(Техника!$G$1:$ABN$500,Y$2,0),$A$1481,INDEX(Техника!$H$1:$ABO$500,Y$2,0),"З")</f>
        <v>0</v>
      </c>
      <c r="Z1486" s="50">
        <f>SUMIFS(INDEX(Техника!$F$1:$ABM$500,Z$2,0),Техника!$F$4:$ABM$4,"Часы",INDEX(Техника!$G$1:$ABN$500,Z$2,0),$A$1481,INDEX(Техника!$H$1:$ABO$500,Z$2,0),"З")</f>
        <v>0</v>
      </c>
      <c r="AA1486" s="50">
        <f>SUMIFS(INDEX(Техника!$F$1:$ABM$500,AA$2,0),Техника!$F$4:$ABM$4,"Часы",INDEX(Техника!$G$1:$ABN$500,AA$2,0),$A$1481,INDEX(Техника!$H$1:$ABO$500,AA$2,0),"З")</f>
        <v>0</v>
      </c>
      <c r="AB1486" s="50">
        <f>SUMIFS(INDEX(Техника!$F$1:$ABM$500,AB$2,0),Техника!$F$4:$ABM$4,"Часы",INDEX(Техника!$G$1:$ABN$500,AB$2,0),$A$1481,INDEX(Техника!$H$1:$ABO$500,AB$2,0),"З")</f>
        <v>0</v>
      </c>
    </row>
    <row r="1487" spans="1:28" ht="7.95" customHeight="1" x14ac:dyDescent="0.3">
      <c r="A1487" s="38"/>
      <c r="B1487" s="39"/>
      <c r="C1487" s="51"/>
      <c r="D1487" s="51"/>
      <c r="E1487" s="51"/>
      <c r="F1487" s="51"/>
      <c r="G1487" s="51"/>
      <c r="H1487" s="51"/>
      <c r="I1487" s="51"/>
      <c r="J1487" s="51"/>
      <c r="K1487" s="51"/>
      <c r="L1487" s="51"/>
      <c r="M1487" s="51"/>
      <c r="N1487" s="51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</row>
    <row r="1488" spans="1:28" ht="25.05" customHeight="1" collapsed="1" x14ac:dyDescent="0.3">
      <c r="A1488" s="32">
        <v>213</v>
      </c>
      <c r="B1488" s="32" t="s">
        <v>214</v>
      </c>
      <c r="C1488" s="49">
        <f>SUM(C1489:C1493)</f>
        <v>0</v>
      </c>
      <c r="D1488" s="49">
        <f>SUM(D1489:D1493)</f>
        <v>0</v>
      </c>
      <c r="E1488" s="49">
        <f>SUM(E1489:E1493)</f>
        <v>0</v>
      </c>
      <c r="F1488" s="49">
        <f>SUM(F1489:F1493)</f>
        <v>0</v>
      </c>
      <c r="G1488" s="49">
        <f>SUM(G1489:G1493)</f>
        <v>0</v>
      </c>
      <c r="H1488" s="49">
        <f>SUM(H1489:H1493)</f>
        <v>0</v>
      </c>
      <c r="I1488" s="49">
        <f>SUM(I1489:I1493)</f>
        <v>0</v>
      </c>
      <c r="J1488" s="49">
        <f>SUM(J1489:J1493)</f>
        <v>0</v>
      </c>
      <c r="K1488" s="49">
        <f>SUM(K1489:K1493)</f>
        <v>0</v>
      </c>
      <c r="L1488" s="49">
        <f>SUM(L1489:L1493)</f>
        <v>0</v>
      </c>
      <c r="M1488" s="49">
        <f>SUM(M1489:M1493)</f>
        <v>0</v>
      </c>
      <c r="N1488" s="49">
        <f>SUM(N1489:N1493)</f>
        <v>0</v>
      </c>
      <c r="O1488" s="49">
        <f>SUM(O1489:O1493)</f>
        <v>0</v>
      </c>
      <c r="P1488" s="49">
        <f>SUM(P1489:P1493)</f>
        <v>0</v>
      </c>
      <c r="Q1488" s="49">
        <f>SUM(Q1489:Q1493)</f>
        <v>0</v>
      </c>
      <c r="R1488" s="49">
        <f>SUM(R1489:R1493)</f>
        <v>0</v>
      </c>
      <c r="S1488" s="49">
        <f>SUM(S1489:S1493)</f>
        <v>0</v>
      </c>
      <c r="T1488" s="49">
        <f>SUM(T1489:T1493)</f>
        <v>0</v>
      </c>
      <c r="U1488" s="49">
        <f>SUM(U1489:U1493)</f>
        <v>0</v>
      </c>
      <c r="V1488" s="49">
        <f>SUM(V1489:V1493)</f>
        <v>0</v>
      </c>
      <c r="W1488" s="49">
        <f>SUM(W1489:W1493)</f>
        <v>0</v>
      </c>
      <c r="X1488" s="49">
        <f>SUM(X1489:X1493)</f>
        <v>0</v>
      </c>
      <c r="Y1488" s="49">
        <f>SUM(Y1489:Y1493)</f>
        <v>0</v>
      </c>
      <c r="Z1488" s="49">
        <f>SUM(Z1489:Z1493)</f>
        <v>0</v>
      </c>
      <c r="AA1488" s="49">
        <f>SUM(AA1489:AA1493)</f>
        <v>0</v>
      </c>
      <c r="AB1488" s="49">
        <f>SUM(AB1489:AB1493)</f>
        <v>0</v>
      </c>
    </row>
    <row r="1489" spans="1:28" hidden="1" outlineLevel="1" x14ac:dyDescent="0.3">
      <c r="A1489" s="33" t="s">
        <v>246</v>
      </c>
      <c r="B1489" s="34" t="s">
        <v>274</v>
      </c>
      <c r="C1489" s="50">
        <f>SUMIFS(INDEX(Техника!$F$1:$ABM$500,C$2,0),Техника!$F$4:$ABM$4,"Часы",INDEX(Техника!$G$1:$ABN$500,C$2,0),$A$1488,INDEX(Техника!$H$1:$ABO$500,C$2,0),"М")</f>
        <v>0</v>
      </c>
      <c r="D1489" s="50">
        <f>SUMIFS(INDEX(Техника!$F$1:$ABM$500,D$2,0),Техника!$F$4:$ABM$4,"Часы",INDEX(Техника!$G$1:$ABN$500,D$2,0),$A$1488,INDEX(Техника!$H$1:$ABO$500,D$2,0),"М")</f>
        <v>0</v>
      </c>
      <c r="E1489" s="50">
        <f>SUMIFS(INDEX(Техника!$F$1:$ABM$500,E$2,0),Техника!$F$4:$ABM$4,"Часы",INDEX(Техника!$G$1:$ABN$500,E$2,0),$A$1488,INDEX(Техника!$H$1:$ABO$500,E$2,0),"М")</f>
        <v>0</v>
      </c>
      <c r="F1489" s="50">
        <f>SUMIFS(INDEX(Техника!$F$1:$ABM$500,F$2,0),Техника!$F$4:$ABM$4,"Часы",INDEX(Техника!$G$1:$ABN$500,F$2,0),$A$1488,INDEX(Техника!$H$1:$ABO$500,F$2,0),"М")</f>
        <v>0</v>
      </c>
      <c r="G1489" s="50">
        <f>SUMIFS(INDEX(Техника!$F$1:$ABM$500,G$2,0),Техника!$F$4:$ABM$4,"Часы",INDEX(Техника!$G$1:$ABN$500,G$2,0),$A$1488,INDEX(Техника!$H$1:$ABO$500,G$2,0),"М")</f>
        <v>0</v>
      </c>
      <c r="H1489" s="50">
        <f>SUMIFS(INDEX(Техника!$F$1:$ABM$500,H$2,0),Техника!$F$4:$ABM$4,"Часы",INDEX(Техника!$G$1:$ABN$500,H$2,0),$A$1488,INDEX(Техника!$H$1:$ABO$500,H$2,0),"М")</f>
        <v>0</v>
      </c>
      <c r="I1489" s="50">
        <f>SUMIFS(INDEX(Техника!$F$1:$ABM$500,I$2,0),Техника!$F$4:$ABM$4,"Часы",INDEX(Техника!$G$1:$ABN$500,I$2,0),$A$1488,INDEX(Техника!$H$1:$ABO$500,I$2,0),"М")</f>
        <v>0</v>
      </c>
      <c r="J1489" s="50">
        <f>SUMIFS(INDEX(Техника!$F$1:$ABM$500,J$2,0),Техника!$F$4:$ABM$4,"Часы",INDEX(Техника!$G$1:$ABN$500,J$2,0),$A$1488,INDEX(Техника!$H$1:$ABO$500,J$2,0),"М")</f>
        <v>0</v>
      </c>
      <c r="K1489" s="50">
        <f>SUMIFS(INDEX(Техника!$F$1:$ABM$500,K$2,0),Техника!$F$4:$ABM$4,"Часы",INDEX(Техника!$G$1:$ABN$500,K$2,0),$A$1488,INDEX(Техника!$H$1:$ABO$500,K$2,0),"М")</f>
        <v>0</v>
      </c>
      <c r="L1489" s="50">
        <f>SUMIFS(INDEX(Техника!$F$1:$ABM$500,L$2,0),Техника!$F$4:$ABM$4,"Часы",INDEX(Техника!$G$1:$ABN$500,L$2,0),$A$1488,INDEX(Техника!$H$1:$ABO$500,L$2,0),"М")</f>
        <v>0</v>
      </c>
      <c r="M1489" s="50">
        <f>SUMIFS(INDEX(Техника!$F$1:$ABM$500,M$2,0),Техника!$F$4:$ABM$4,"Часы",INDEX(Техника!$G$1:$ABN$500,M$2,0),$A$1488,INDEX(Техника!$H$1:$ABO$500,M$2,0),"М")</f>
        <v>0</v>
      </c>
      <c r="N1489" s="50">
        <f>SUMIFS(INDEX(Техника!$F$1:$ABM$500,N$2,0),Техника!$F$4:$ABM$4,"Часы",INDEX(Техника!$G$1:$ABN$500,N$2,0),$A$1488,INDEX(Техника!$H$1:$ABO$500,N$2,0),"М")</f>
        <v>0</v>
      </c>
      <c r="O1489" s="50">
        <f>SUMIFS(INDEX(Техника!$F$1:$ABM$500,O$2,0),Техника!$F$4:$ABM$4,"Часы",INDEX(Техника!$G$1:$ABN$500,O$2,0),$A$1488,INDEX(Техника!$H$1:$ABO$500,O$2,0),"М")</f>
        <v>0</v>
      </c>
      <c r="P1489" s="50">
        <f>SUMIFS(INDEX(Техника!$F$1:$ABM$500,P$2,0),Техника!$F$4:$ABM$4,"Часы",INDEX(Техника!$G$1:$ABN$500,P$2,0),$A$1488,INDEX(Техника!$H$1:$ABO$500,P$2,0),"М")</f>
        <v>0</v>
      </c>
      <c r="Q1489" s="50">
        <f>SUMIFS(INDEX(Техника!$F$1:$ABM$500,Q$2,0),Техника!$F$4:$ABM$4,"Часы",INDEX(Техника!$G$1:$ABN$500,Q$2,0),$A$1488,INDEX(Техника!$H$1:$ABO$500,Q$2,0),"М")</f>
        <v>0</v>
      </c>
      <c r="R1489" s="50">
        <f>SUMIFS(INDEX(Техника!$F$1:$ABM$500,R$2,0),Техника!$F$4:$ABM$4,"Часы",INDEX(Техника!$G$1:$ABN$500,R$2,0),$A$1488,INDEX(Техника!$H$1:$ABO$500,R$2,0),"М")</f>
        <v>0</v>
      </c>
      <c r="S1489" s="50">
        <f>SUMIFS(INDEX(Техника!$F$1:$ABM$500,S$2,0),Техника!$F$4:$ABM$4,"Часы",INDEX(Техника!$G$1:$ABN$500,S$2,0),$A$1488,INDEX(Техника!$H$1:$ABO$500,S$2,0),"М")</f>
        <v>0</v>
      </c>
      <c r="T1489" s="50">
        <f>SUMIFS(INDEX(Техника!$F$1:$ABM$500,T$2,0),Техника!$F$4:$ABM$4,"Часы",INDEX(Техника!$G$1:$ABN$500,T$2,0),$A$1488,INDEX(Техника!$H$1:$ABO$500,T$2,0),"М")</f>
        <v>0</v>
      </c>
      <c r="U1489" s="50">
        <f>SUMIFS(INDEX(Техника!$F$1:$ABM$500,U$2,0),Техника!$F$4:$ABM$4,"Часы",INDEX(Техника!$G$1:$ABN$500,U$2,0),$A$1488,INDEX(Техника!$H$1:$ABO$500,U$2,0),"М")</f>
        <v>0</v>
      </c>
      <c r="V1489" s="50">
        <f>SUMIFS(INDEX(Техника!$F$1:$ABM$500,V$2,0),Техника!$F$4:$ABM$4,"Часы",INDEX(Техника!$G$1:$ABN$500,V$2,0),$A$1488,INDEX(Техника!$H$1:$ABO$500,V$2,0),"М")</f>
        <v>0</v>
      </c>
      <c r="W1489" s="50">
        <f>SUMIFS(INDEX(Техника!$F$1:$ABM$500,W$2,0),Техника!$F$4:$ABM$4,"Часы",INDEX(Техника!$G$1:$ABN$500,W$2,0),$A$1488,INDEX(Техника!$H$1:$ABO$500,W$2,0),"М")</f>
        <v>0</v>
      </c>
      <c r="X1489" s="50">
        <f>SUMIFS(INDEX(Техника!$F$1:$ABM$500,X$2,0),Техника!$F$4:$ABM$4,"Часы",INDEX(Техника!$G$1:$ABN$500,X$2,0),$A$1488,INDEX(Техника!$H$1:$ABO$500,X$2,0),"М")</f>
        <v>0</v>
      </c>
      <c r="Y1489" s="50">
        <f>SUMIFS(INDEX(Техника!$F$1:$ABM$500,Y$2,0),Техника!$F$4:$ABM$4,"Часы",INDEX(Техника!$G$1:$ABN$500,Y$2,0),$A$1488,INDEX(Техника!$H$1:$ABO$500,Y$2,0),"М")</f>
        <v>0</v>
      </c>
      <c r="Z1489" s="50">
        <f>SUMIFS(INDEX(Техника!$F$1:$ABM$500,Z$2,0),Техника!$F$4:$ABM$4,"Часы",INDEX(Техника!$G$1:$ABN$500,Z$2,0),$A$1488,INDEX(Техника!$H$1:$ABO$500,Z$2,0),"М")</f>
        <v>0</v>
      </c>
      <c r="AA1489" s="50">
        <f>SUMIFS(INDEX(Техника!$F$1:$ABM$500,AA$2,0),Техника!$F$4:$ABM$4,"Часы",INDEX(Техника!$G$1:$ABN$500,AA$2,0),$A$1488,INDEX(Техника!$H$1:$ABO$500,AA$2,0),"М")</f>
        <v>0</v>
      </c>
      <c r="AB1489" s="50">
        <f>SUMIFS(INDEX(Техника!$F$1:$ABM$500,AB$2,0),Техника!$F$4:$ABM$4,"Часы",INDEX(Техника!$G$1:$ABN$500,AB$2,0),$A$1488,INDEX(Техника!$H$1:$ABO$500,AB$2,0),"М")</f>
        <v>0</v>
      </c>
    </row>
    <row r="1490" spans="1:28" hidden="1" outlineLevel="1" x14ac:dyDescent="0.3">
      <c r="A1490" s="33" t="s">
        <v>244</v>
      </c>
      <c r="B1490" s="34" t="s">
        <v>275</v>
      </c>
      <c r="C1490" s="50">
        <f>SUMIFS(INDEX(Техника!$F$1:$ABM$500,C$2,0),Техника!$F$4:$ABM$4,"Часы",INDEX(Техника!$G$1:$ABN$500,C$2,0),$A$1488,INDEX(Техника!$H$1:$ABO$500,C$2,0),"Д")</f>
        <v>0</v>
      </c>
      <c r="D1490" s="50">
        <f>SUMIFS(INDEX(Техника!$F$1:$ABM$500,D$2,0),Техника!$F$4:$ABM$4,"Часы",INDEX(Техника!$G$1:$ABN$500,D$2,0),$A$1488,INDEX(Техника!$H$1:$ABO$500,D$2,0),"Д")</f>
        <v>0</v>
      </c>
      <c r="E1490" s="50">
        <f>SUMIFS(INDEX(Техника!$F$1:$ABM$500,E$2,0),Техника!$F$4:$ABM$4,"Часы",INDEX(Техника!$G$1:$ABN$500,E$2,0),$A$1488,INDEX(Техника!$H$1:$ABO$500,E$2,0),"Д")</f>
        <v>0</v>
      </c>
      <c r="F1490" s="50">
        <f>SUMIFS(INDEX(Техника!$F$1:$ABM$500,F$2,0),Техника!$F$4:$ABM$4,"Часы",INDEX(Техника!$G$1:$ABN$500,F$2,0),$A$1488,INDEX(Техника!$H$1:$ABO$500,F$2,0),"Д")</f>
        <v>0</v>
      </c>
      <c r="G1490" s="50">
        <f>SUMIFS(INDEX(Техника!$F$1:$ABM$500,G$2,0),Техника!$F$4:$ABM$4,"Часы",INDEX(Техника!$G$1:$ABN$500,G$2,0),$A$1488,INDEX(Техника!$H$1:$ABO$500,G$2,0),"Д")</f>
        <v>0</v>
      </c>
      <c r="H1490" s="50">
        <f>SUMIFS(INDEX(Техника!$F$1:$ABM$500,H$2,0),Техника!$F$4:$ABM$4,"Часы",INDEX(Техника!$G$1:$ABN$500,H$2,0),$A$1488,INDEX(Техника!$H$1:$ABO$500,H$2,0),"Д")</f>
        <v>0</v>
      </c>
      <c r="I1490" s="50">
        <f>SUMIFS(INDEX(Техника!$F$1:$ABM$500,I$2,0),Техника!$F$4:$ABM$4,"Часы",INDEX(Техника!$G$1:$ABN$500,I$2,0),$A$1488,INDEX(Техника!$H$1:$ABO$500,I$2,0),"Д")</f>
        <v>0</v>
      </c>
      <c r="J1490" s="50">
        <f>SUMIFS(INDEX(Техника!$F$1:$ABM$500,J$2,0),Техника!$F$4:$ABM$4,"Часы",INDEX(Техника!$G$1:$ABN$500,J$2,0),$A$1488,INDEX(Техника!$H$1:$ABO$500,J$2,0),"Д")</f>
        <v>0</v>
      </c>
      <c r="K1490" s="50">
        <f>SUMIFS(INDEX(Техника!$F$1:$ABM$500,K$2,0),Техника!$F$4:$ABM$4,"Часы",INDEX(Техника!$G$1:$ABN$500,K$2,0),$A$1488,INDEX(Техника!$H$1:$ABO$500,K$2,0),"Д")</f>
        <v>0</v>
      </c>
      <c r="L1490" s="50">
        <f>SUMIFS(INDEX(Техника!$F$1:$ABM$500,L$2,0),Техника!$F$4:$ABM$4,"Часы",INDEX(Техника!$G$1:$ABN$500,L$2,0),$A$1488,INDEX(Техника!$H$1:$ABO$500,L$2,0),"Д")</f>
        <v>0</v>
      </c>
      <c r="M1490" s="50">
        <f>SUMIFS(INDEX(Техника!$F$1:$ABM$500,M$2,0),Техника!$F$4:$ABM$4,"Часы",INDEX(Техника!$G$1:$ABN$500,M$2,0),$A$1488,INDEX(Техника!$H$1:$ABO$500,M$2,0),"Д")</f>
        <v>0</v>
      </c>
      <c r="N1490" s="50">
        <f>SUMIFS(INDEX(Техника!$F$1:$ABM$500,N$2,0),Техника!$F$4:$ABM$4,"Часы",INDEX(Техника!$G$1:$ABN$500,N$2,0),$A$1488,INDEX(Техника!$H$1:$ABO$500,N$2,0),"Д")</f>
        <v>0</v>
      </c>
      <c r="O1490" s="50">
        <f>SUMIFS(INDEX(Техника!$F$1:$ABM$500,O$2,0),Техника!$F$4:$ABM$4,"Часы",INDEX(Техника!$G$1:$ABN$500,O$2,0),$A$1488,INDEX(Техника!$H$1:$ABO$500,O$2,0),"Д")</f>
        <v>0</v>
      </c>
      <c r="P1490" s="50">
        <f>SUMIFS(INDEX(Техника!$F$1:$ABM$500,P$2,0),Техника!$F$4:$ABM$4,"Часы",INDEX(Техника!$G$1:$ABN$500,P$2,0),$A$1488,INDEX(Техника!$H$1:$ABO$500,P$2,0),"Д")</f>
        <v>0</v>
      </c>
      <c r="Q1490" s="50">
        <f>SUMIFS(INDEX(Техника!$F$1:$ABM$500,Q$2,0),Техника!$F$4:$ABM$4,"Часы",INDEX(Техника!$G$1:$ABN$500,Q$2,0),$A$1488,INDEX(Техника!$H$1:$ABO$500,Q$2,0),"Д")</f>
        <v>0</v>
      </c>
      <c r="R1490" s="50">
        <f>SUMIFS(INDEX(Техника!$F$1:$ABM$500,R$2,0),Техника!$F$4:$ABM$4,"Часы",INDEX(Техника!$G$1:$ABN$500,R$2,0),$A$1488,INDEX(Техника!$H$1:$ABO$500,R$2,0),"Д")</f>
        <v>0</v>
      </c>
      <c r="S1490" s="50">
        <f>SUMIFS(INDEX(Техника!$F$1:$ABM$500,S$2,0),Техника!$F$4:$ABM$4,"Часы",INDEX(Техника!$G$1:$ABN$500,S$2,0),$A$1488,INDEX(Техника!$H$1:$ABO$500,S$2,0),"Д")</f>
        <v>0</v>
      </c>
      <c r="T1490" s="50">
        <f>SUMIFS(INDEX(Техника!$F$1:$ABM$500,T$2,0),Техника!$F$4:$ABM$4,"Часы",INDEX(Техника!$G$1:$ABN$500,T$2,0),$A$1488,INDEX(Техника!$H$1:$ABO$500,T$2,0),"Д")</f>
        <v>0</v>
      </c>
      <c r="U1490" s="50">
        <f>SUMIFS(INDEX(Техника!$F$1:$ABM$500,U$2,0),Техника!$F$4:$ABM$4,"Часы",INDEX(Техника!$G$1:$ABN$500,U$2,0),$A$1488,INDEX(Техника!$H$1:$ABO$500,U$2,0),"Д")</f>
        <v>0</v>
      </c>
      <c r="V1490" s="50">
        <f>SUMIFS(INDEX(Техника!$F$1:$ABM$500,V$2,0),Техника!$F$4:$ABM$4,"Часы",INDEX(Техника!$G$1:$ABN$500,V$2,0),$A$1488,INDEX(Техника!$H$1:$ABO$500,V$2,0),"Д")</f>
        <v>0</v>
      </c>
      <c r="W1490" s="50">
        <f>SUMIFS(INDEX(Техника!$F$1:$ABM$500,W$2,0),Техника!$F$4:$ABM$4,"Часы",INDEX(Техника!$G$1:$ABN$500,W$2,0),$A$1488,INDEX(Техника!$H$1:$ABO$500,W$2,0),"Д")</f>
        <v>0</v>
      </c>
      <c r="X1490" s="50">
        <f>SUMIFS(INDEX(Техника!$F$1:$ABM$500,X$2,0),Техника!$F$4:$ABM$4,"Часы",INDEX(Техника!$G$1:$ABN$500,X$2,0),$A$1488,INDEX(Техника!$H$1:$ABO$500,X$2,0),"Д")</f>
        <v>0</v>
      </c>
      <c r="Y1490" s="50">
        <f>SUMIFS(INDEX(Техника!$F$1:$ABM$500,Y$2,0),Техника!$F$4:$ABM$4,"Часы",INDEX(Техника!$G$1:$ABN$500,Y$2,0),$A$1488,INDEX(Техника!$H$1:$ABO$500,Y$2,0),"Д")</f>
        <v>0</v>
      </c>
      <c r="Z1490" s="50">
        <f>SUMIFS(INDEX(Техника!$F$1:$ABM$500,Z$2,0),Техника!$F$4:$ABM$4,"Часы",INDEX(Техника!$G$1:$ABN$500,Z$2,0),$A$1488,INDEX(Техника!$H$1:$ABO$500,Z$2,0),"Д")</f>
        <v>0</v>
      </c>
      <c r="AA1490" s="50">
        <f>SUMIFS(INDEX(Техника!$F$1:$ABM$500,AA$2,0),Техника!$F$4:$ABM$4,"Часы",INDEX(Техника!$G$1:$ABN$500,AA$2,0),$A$1488,INDEX(Техника!$H$1:$ABO$500,AA$2,0),"Д")</f>
        <v>0</v>
      </c>
      <c r="AB1490" s="50">
        <f>SUMIFS(INDEX(Техника!$F$1:$ABM$500,AB$2,0),Техника!$F$4:$ABM$4,"Часы",INDEX(Техника!$G$1:$ABN$500,AB$2,0),$A$1488,INDEX(Техника!$H$1:$ABO$500,AB$2,0),"Д")</f>
        <v>0</v>
      </c>
    </row>
    <row r="1491" spans="1:28" hidden="1" outlineLevel="1" x14ac:dyDescent="0.3">
      <c r="A1491" s="33" t="s">
        <v>276</v>
      </c>
      <c r="B1491" s="34" t="s">
        <v>277</v>
      </c>
      <c r="C1491" s="50">
        <f>SUMIFS(INDEX(Техника!$F$1:$ABM$500,C$2,0),Техника!$F$4:$ABM$4,"Часы",INDEX(Техника!$G$1:$ABN$500,C$2,0),$A$1488,INDEX(Техника!$H$1:$ABO$500,C$2,0),"П")</f>
        <v>0</v>
      </c>
      <c r="D1491" s="50">
        <f>SUMIFS(INDEX(Техника!$F$1:$ABM$500,D$2,0),Техника!$F$4:$ABM$4,"Часы",INDEX(Техника!$G$1:$ABN$500,D$2,0),$A$1488,INDEX(Техника!$H$1:$ABO$500,D$2,0),"П")</f>
        <v>0</v>
      </c>
      <c r="E1491" s="50">
        <f>SUMIFS(INDEX(Техника!$F$1:$ABM$500,E$2,0),Техника!$F$4:$ABM$4,"Часы",INDEX(Техника!$G$1:$ABN$500,E$2,0),$A$1488,INDEX(Техника!$H$1:$ABO$500,E$2,0),"П")</f>
        <v>0</v>
      </c>
      <c r="F1491" s="50">
        <f>SUMIFS(INDEX(Техника!$F$1:$ABM$500,F$2,0),Техника!$F$4:$ABM$4,"Часы",INDEX(Техника!$G$1:$ABN$500,F$2,0),$A$1488,INDEX(Техника!$H$1:$ABO$500,F$2,0),"П")</f>
        <v>0</v>
      </c>
      <c r="G1491" s="50">
        <f>SUMIFS(INDEX(Техника!$F$1:$ABM$500,G$2,0),Техника!$F$4:$ABM$4,"Часы",INDEX(Техника!$G$1:$ABN$500,G$2,0),$A$1488,INDEX(Техника!$H$1:$ABO$500,G$2,0),"П")</f>
        <v>0</v>
      </c>
      <c r="H1491" s="50">
        <f>SUMIFS(INDEX(Техника!$F$1:$ABM$500,H$2,0),Техника!$F$4:$ABM$4,"Часы",INDEX(Техника!$G$1:$ABN$500,H$2,0),$A$1488,INDEX(Техника!$H$1:$ABO$500,H$2,0),"П")</f>
        <v>0</v>
      </c>
      <c r="I1491" s="50">
        <f>SUMIFS(INDEX(Техника!$F$1:$ABM$500,I$2,0),Техника!$F$4:$ABM$4,"Часы",INDEX(Техника!$G$1:$ABN$500,I$2,0),$A$1488,INDEX(Техника!$H$1:$ABO$500,I$2,0),"П")</f>
        <v>0</v>
      </c>
      <c r="J1491" s="50">
        <f>SUMIFS(INDEX(Техника!$F$1:$ABM$500,J$2,0),Техника!$F$4:$ABM$4,"Часы",INDEX(Техника!$G$1:$ABN$500,J$2,0),$A$1488,INDEX(Техника!$H$1:$ABO$500,J$2,0),"П")</f>
        <v>0</v>
      </c>
      <c r="K1491" s="50">
        <f>SUMIFS(INDEX(Техника!$F$1:$ABM$500,K$2,0),Техника!$F$4:$ABM$4,"Часы",INDEX(Техника!$G$1:$ABN$500,K$2,0),$A$1488,INDEX(Техника!$H$1:$ABO$500,K$2,0),"П")</f>
        <v>0</v>
      </c>
      <c r="L1491" s="50">
        <f>SUMIFS(INDEX(Техника!$F$1:$ABM$500,L$2,0),Техника!$F$4:$ABM$4,"Часы",INDEX(Техника!$G$1:$ABN$500,L$2,0),$A$1488,INDEX(Техника!$H$1:$ABO$500,L$2,0),"П")</f>
        <v>0</v>
      </c>
      <c r="M1491" s="50">
        <f>SUMIFS(INDEX(Техника!$F$1:$ABM$500,M$2,0),Техника!$F$4:$ABM$4,"Часы",INDEX(Техника!$G$1:$ABN$500,M$2,0),$A$1488,INDEX(Техника!$H$1:$ABO$500,M$2,0),"П")</f>
        <v>0</v>
      </c>
      <c r="N1491" s="50">
        <f>SUMIFS(INDEX(Техника!$F$1:$ABM$500,N$2,0),Техника!$F$4:$ABM$4,"Часы",INDEX(Техника!$G$1:$ABN$500,N$2,0),$A$1488,INDEX(Техника!$H$1:$ABO$500,N$2,0),"П")</f>
        <v>0</v>
      </c>
      <c r="O1491" s="50">
        <f>SUMIFS(INDEX(Техника!$F$1:$ABM$500,O$2,0),Техника!$F$4:$ABM$4,"Часы",INDEX(Техника!$G$1:$ABN$500,O$2,0),$A$1488,INDEX(Техника!$H$1:$ABO$500,O$2,0),"П")</f>
        <v>0</v>
      </c>
      <c r="P1491" s="50">
        <f>SUMIFS(INDEX(Техника!$F$1:$ABM$500,P$2,0),Техника!$F$4:$ABM$4,"Часы",INDEX(Техника!$G$1:$ABN$500,P$2,0),$A$1488,INDEX(Техника!$H$1:$ABO$500,P$2,0),"П")</f>
        <v>0</v>
      </c>
      <c r="Q1491" s="50">
        <f>SUMIFS(INDEX(Техника!$F$1:$ABM$500,Q$2,0),Техника!$F$4:$ABM$4,"Часы",INDEX(Техника!$G$1:$ABN$500,Q$2,0),$A$1488,INDEX(Техника!$H$1:$ABO$500,Q$2,0),"П")</f>
        <v>0</v>
      </c>
      <c r="R1491" s="50">
        <f>SUMIFS(INDEX(Техника!$F$1:$ABM$500,R$2,0),Техника!$F$4:$ABM$4,"Часы",INDEX(Техника!$G$1:$ABN$500,R$2,0),$A$1488,INDEX(Техника!$H$1:$ABO$500,R$2,0),"П")</f>
        <v>0</v>
      </c>
      <c r="S1491" s="50">
        <f>SUMIFS(INDEX(Техника!$F$1:$ABM$500,S$2,0),Техника!$F$4:$ABM$4,"Часы",INDEX(Техника!$G$1:$ABN$500,S$2,0),$A$1488,INDEX(Техника!$H$1:$ABO$500,S$2,0),"П")</f>
        <v>0</v>
      </c>
      <c r="T1491" s="50">
        <f>SUMIFS(INDEX(Техника!$F$1:$ABM$500,T$2,0),Техника!$F$4:$ABM$4,"Часы",INDEX(Техника!$G$1:$ABN$500,T$2,0),$A$1488,INDEX(Техника!$H$1:$ABO$500,T$2,0),"П")</f>
        <v>0</v>
      </c>
      <c r="U1491" s="50">
        <f>SUMIFS(INDEX(Техника!$F$1:$ABM$500,U$2,0),Техника!$F$4:$ABM$4,"Часы",INDEX(Техника!$G$1:$ABN$500,U$2,0),$A$1488,INDEX(Техника!$H$1:$ABO$500,U$2,0),"П")</f>
        <v>0</v>
      </c>
      <c r="V1491" s="50">
        <f>SUMIFS(INDEX(Техника!$F$1:$ABM$500,V$2,0),Техника!$F$4:$ABM$4,"Часы",INDEX(Техника!$G$1:$ABN$500,V$2,0),$A$1488,INDEX(Техника!$H$1:$ABO$500,V$2,0),"П")</f>
        <v>0</v>
      </c>
      <c r="W1491" s="50">
        <f>SUMIFS(INDEX(Техника!$F$1:$ABM$500,W$2,0),Техника!$F$4:$ABM$4,"Часы",INDEX(Техника!$G$1:$ABN$500,W$2,0),$A$1488,INDEX(Техника!$H$1:$ABO$500,W$2,0),"П")</f>
        <v>0</v>
      </c>
      <c r="X1491" s="50">
        <f>SUMIFS(INDEX(Техника!$F$1:$ABM$500,X$2,0),Техника!$F$4:$ABM$4,"Часы",INDEX(Техника!$G$1:$ABN$500,X$2,0),$A$1488,INDEX(Техника!$H$1:$ABO$500,X$2,0),"П")</f>
        <v>0</v>
      </c>
      <c r="Y1491" s="50">
        <f>SUMIFS(INDEX(Техника!$F$1:$ABM$500,Y$2,0),Техника!$F$4:$ABM$4,"Часы",INDEX(Техника!$G$1:$ABN$500,Y$2,0),$A$1488,INDEX(Техника!$H$1:$ABO$500,Y$2,0),"П")</f>
        <v>0</v>
      </c>
      <c r="Z1491" s="50">
        <f>SUMIFS(INDEX(Техника!$F$1:$ABM$500,Z$2,0),Техника!$F$4:$ABM$4,"Часы",INDEX(Техника!$G$1:$ABN$500,Z$2,0),$A$1488,INDEX(Техника!$H$1:$ABO$500,Z$2,0),"П")</f>
        <v>0</v>
      </c>
      <c r="AA1491" s="50">
        <f>SUMIFS(INDEX(Техника!$F$1:$ABM$500,AA$2,0),Техника!$F$4:$ABM$4,"Часы",INDEX(Техника!$G$1:$ABN$500,AA$2,0),$A$1488,INDEX(Техника!$H$1:$ABO$500,AA$2,0),"П")</f>
        <v>0</v>
      </c>
      <c r="AB1491" s="50">
        <f>SUMIFS(INDEX(Техника!$F$1:$ABM$500,AB$2,0),Техника!$F$4:$ABM$4,"Часы",INDEX(Техника!$G$1:$ABN$500,AB$2,0),$A$1488,INDEX(Техника!$H$1:$ABO$500,AB$2,0),"П")</f>
        <v>0</v>
      </c>
    </row>
    <row r="1492" spans="1:28" hidden="1" outlineLevel="1" x14ac:dyDescent="0.3">
      <c r="A1492" s="33" t="s">
        <v>243</v>
      </c>
      <c r="B1492" s="34" t="s">
        <v>278</v>
      </c>
      <c r="C1492" s="50">
        <f>SUMIFS(INDEX(Техника!$F$1:$ABM$500,C$2,0),Техника!$F$4:$ABM$4,"Часы",INDEX(Техника!$G$1:$ABN$500,C$2,0),$A$1488,INDEX(Техника!$H$1:$ABO$500,C$2,0),"Л")</f>
        <v>0</v>
      </c>
      <c r="D1492" s="50">
        <f>SUMIFS(INDEX(Техника!$F$1:$ABM$500,D$2,0),Техника!$F$4:$ABM$4,"Часы",INDEX(Техника!$G$1:$ABN$500,D$2,0),$A$1488,INDEX(Техника!$H$1:$ABO$500,D$2,0),"Л")</f>
        <v>0</v>
      </c>
      <c r="E1492" s="50">
        <f>SUMIFS(INDEX(Техника!$F$1:$ABM$500,E$2,0),Техника!$F$4:$ABM$4,"Часы",INDEX(Техника!$G$1:$ABN$500,E$2,0),$A$1488,INDEX(Техника!$H$1:$ABO$500,E$2,0),"Л")</f>
        <v>0</v>
      </c>
      <c r="F1492" s="50">
        <f>SUMIFS(INDEX(Техника!$F$1:$ABM$500,F$2,0),Техника!$F$4:$ABM$4,"Часы",INDEX(Техника!$G$1:$ABN$500,F$2,0),$A$1488,INDEX(Техника!$H$1:$ABO$500,F$2,0),"Л")</f>
        <v>0</v>
      </c>
      <c r="G1492" s="50">
        <f>SUMIFS(INDEX(Техника!$F$1:$ABM$500,G$2,0),Техника!$F$4:$ABM$4,"Часы",INDEX(Техника!$G$1:$ABN$500,G$2,0),$A$1488,INDEX(Техника!$H$1:$ABO$500,G$2,0),"Л")</f>
        <v>0</v>
      </c>
      <c r="H1492" s="50">
        <f>SUMIFS(INDEX(Техника!$F$1:$ABM$500,H$2,0),Техника!$F$4:$ABM$4,"Часы",INDEX(Техника!$G$1:$ABN$500,H$2,0),$A$1488,INDEX(Техника!$H$1:$ABO$500,H$2,0),"Л")</f>
        <v>0</v>
      </c>
      <c r="I1492" s="50">
        <f>SUMIFS(INDEX(Техника!$F$1:$ABM$500,I$2,0),Техника!$F$4:$ABM$4,"Часы",INDEX(Техника!$G$1:$ABN$500,I$2,0),$A$1488,INDEX(Техника!$H$1:$ABO$500,I$2,0),"Л")</f>
        <v>0</v>
      </c>
      <c r="J1492" s="50">
        <f>SUMIFS(INDEX(Техника!$F$1:$ABM$500,J$2,0),Техника!$F$4:$ABM$4,"Часы",INDEX(Техника!$G$1:$ABN$500,J$2,0),$A$1488,INDEX(Техника!$H$1:$ABO$500,J$2,0),"Л")</f>
        <v>0</v>
      </c>
      <c r="K1492" s="50">
        <f>SUMIFS(INDEX(Техника!$F$1:$ABM$500,K$2,0),Техника!$F$4:$ABM$4,"Часы",INDEX(Техника!$G$1:$ABN$500,K$2,0),$A$1488,INDEX(Техника!$H$1:$ABO$500,K$2,0),"Л")</f>
        <v>0</v>
      </c>
      <c r="L1492" s="50">
        <f>SUMIFS(INDEX(Техника!$F$1:$ABM$500,L$2,0),Техника!$F$4:$ABM$4,"Часы",INDEX(Техника!$G$1:$ABN$500,L$2,0),$A$1488,INDEX(Техника!$H$1:$ABO$500,L$2,0),"Л")</f>
        <v>0</v>
      </c>
      <c r="M1492" s="50">
        <f>SUMIFS(INDEX(Техника!$F$1:$ABM$500,M$2,0),Техника!$F$4:$ABM$4,"Часы",INDEX(Техника!$G$1:$ABN$500,M$2,0),$A$1488,INDEX(Техника!$H$1:$ABO$500,M$2,0),"Л")</f>
        <v>0</v>
      </c>
      <c r="N1492" s="50">
        <f>SUMIFS(INDEX(Техника!$F$1:$ABM$500,N$2,0),Техника!$F$4:$ABM$4,"Часы",INDEX(Техника!$G$1:$ABN$500,N$2,0),$A$1488,INDEX(Техника!$H$1:$ABO$500,N$2,0),"Л")</f>
        <v>0</v>
      </c>
      <c r="O1492" s="50">
        <f>SUMIFS(INDEX(Техника!$F$1:$ABM$500,O$2,0),Техника!$F$4:$ABM$4,"Часы",INDEX(Техника!$G$1:$ABN$500,O$2,0),$A$1488,INDEX(Техника!$H$1:$ABO$500,O$2,0),"Л")</f>
        <v>0</v>
      </c>
      <c r="P1492" s="50">
        <f>SUMIFS(INDEX(Техника!$F$1:$ABM$500,P$2,0),Техника!$F$4:$ABM$4,"Часы",INDEX(Техника!$G$1:$ABN$500,P$2,0),$A$1488,INDEX(Техника!$H$1:$ABO$500,P$2,0),"Л")</f>
        <v>0</v>
      </c>
      <c r="Q1492" s="50">
        <f>SUMIFS(INDEX(Техника!$F$1:$ABM$500,Q$2,0),Техника!$F$4:$ABM$4,"Часы",INDEX(Техника!$G$1:$ABN$500,Q$2,0),$A$1488,INDEX(Техника!$H$1:$ABO$500,Q$2,0),"Л")</f>
        <v>0</v>
      </c>
      <c r="R1492" s="50">
        <f>SUMIFS(INDEX(Техника!$F$1:$ABM$500,R$2,0),Техника!$F$4:$ABM$4,"Часы",INDEX(Техника!$G$1:$ABN$500,R$2,0),$A$1488,INDEX(Техника!$H$1:$ABO$500,R$2,0),"Л")</f>
        <v>0</v>
      </c>
      <c r="S1492" s="50">
        <f>SUMIFS(INDEX(Техника!$F$1:$ABM$500,S$2,0),Техника!$F$4:$ABM$4,"Часы",INDEX(Техника!$G$1:$ABN$500,S$2,0),$A$1488,INDEX(Техника!$H$1:$ABO$500,S$2,0),"Л")</f>
        <v>0</v>
      </c>
      <c r="T1492" s="50">
        <f>SUMIFS(INDEX(Техника!$F$1:$ABM$500,T$2,0),Техника!$F$4:$ABM$4,"Часы",INDEX(Техника!$G$1:$ABN$500,T$2,0),$A$1488,INDEX(Техника!$H$1:$ABO$500,T$2,0),"Л")</f>
        <v>0</v>
      </c>
      <c r="U1492" s="50">
        <f>SUMIFS(INDEX(Техника!$F$1:$ABM$500,U$2,0),Техника!$F$4:$ABM$4,"Часы",INDEX(Техника!$G$1:$ABN$500,U$2,0),$A$1488,INDEX(Техника!$H$1:$ABO$500,U$2,0),"Л")</f>
        <v>0</v>
      </c>
      <c r="V1492" s="50">
        <f>SUMIFS(INDEX(Техника!$F$1:$ABM$500,V$2,0),Техника!$F$4:$ABM$4,"Часы",INDEX(Техника!$G$1:$ABN$500,V$2,0),$A$1488,INDEX(Техника!$H$1:$ABO$500,V$2,0),"Л")</f>
        <v>0</v>
      </c>
      <c r="W1492" s="50">
        <f>SUMIFS(INDEX(Техника!$F$1:$ABM$500,W$2,0),Техника!$F$4:$ABM$4,"Часы",INDEX(Техника!$G$1:$ABN$500,W$2,0),$A$1488,INDEX(Техника!$H$1:$ABO$500,W$2,0),"Л")</f>
        <v>0</v>
      </c>
      <c r="X1492" s="50">
        <f>SUMIFS(INDEX(Техника!$F$1:$ABM$500,X$2,0),Техника!$F$4:$ABM$4,"Часы",INDEX(Техника!$G$1:$ABN$500,X$2,0),$A$1488,INDEX(Техника!$H$1:$ABO$500,X$2,0),"Л")</f>
        <v>0</v>
      </c>
      <c r="Y1492" s="50">
        <f>SUMIFS(INDEX(Техника!$F$1:$ABM$500,Y$2,0),Техника!$F$4:$ABM$4,"Часы",INDEX(Техника!$G$1:$ABN$500,Y$2,0),$A$1488,INDEX(Техника!$H$1:$ABO$500,Y$2,0),"Л")</f>
        <v>0</v>
      </c>
      <c r="Z1492" s="50">
        <f>SUMIFS(INDEX(Техника!$F$1:$ABM$500,Z$2,0),Техника!$F$4:$ABM$4,"Часы",INDEX(Техника!$G$1:$ABN$500,Z$2,0),$A$1488,INDEX(Техника!$H$1:$ABO$500,Z$2,0),"Л")</f>
        <v>0</v>
      </c>
      <c r="AA1492" s="50">
        <f>SUMIFS(INDEX(Техника!$F$1:$ABM$500,AA$2,0),Техника!$F$4:$ABM$4,"Часы",INDEX(Техника!$G$1:$ABN$500,AA$2,0),$A$1488,INDEX(Техника!$H$1:$ABO$500,AA$2,0),"Л")</f>
        <v>0</v>
      </c>
      <c r="AB1492" s="50">
        <f>SUMIFS(INDEX(Техника!$F$1:$ABM$500,AB$2,0),Техника!$F$4:$ABM$4,"Часы",INDEX(Техника!$G$1:$ABN$500,AB$2,0),$A$1488,INDEX(Техника!$H$1:$ABO$500,AB$2,0),"Л")</f>
        <v>0</v>
      </c>
    </row>
    <row r="1493" spans="1:28" hidden="1" outlineLevel="1" x14ac:dyDescent="0.3">
      <c r="A1493" s="33" t="s">
        <v>245</v>
      </c>
      <c r="B1493" s="34" t="s">
        <v>279</v>
      </c>
      <c r="C1493" s="50">
        <f>SUMIFS(INDEX(Техника!$F$1:$ABM$500,C$2,0),Техника!$F$4:$ABM$4,"Часы",INDEX(Техника!$G$1:$ABN$500,C$2,0),$A$1488,INDEX(Техника!$H$1:$ABO$500,C$2,0),"З")</f>
        <v>0</v>
      </c>
      <c r="D1493" s="50">
        <f>SUMIFS(INDEX(Техника!$F$1:$ABM$500,D$2,0),Техника!$F$4:$ABM$4,"Часы",INDEX(Техника!$G$1:$ABN$500,D$2,0),$A$1488,INDEX(Техника!$H$1:$ABO$500,D$2,0),"З")</f>
        <v>0</v>
      </c>
      <c r="E1493" s="50">
        <f>SUMIFS(INDEX(Техника!$F$1:$ABM$500,E$2,0),Техника!$F$4:$ABM$4,"Часы",INDEX(Техника!$G$1:$ABN$500,E$2,0),$A$1488,INDEX(Техника!$H$1:$ABO$500,E$2,0),"З")</f>
        <v>0</v>
      </c>
      <c r="F1493" s="50">
        <f>SUMIFS(INDEX(Техника!$F$1:$ABM$500,F$2,0),Техника!$F$4:$ABM$4,"Часы",INDEX(Техника!$G$1:$ABN$500,F$2,0),$A$1488,INDEX(Техника!$H$1:$ABO$500,F$2,0),"З")</f>
        <v>0</v>
      </c>
      <c r="G1493" s="50">
        <f>SUMIFS(INDEX(Техника!$F$1:$ABM$500,G$2,0),Техника!$F$4:$ABM$4,"Часы",INDEX(Техника!$G$1:$ABN$500,G$2,0),$A$1488,INDEX(Техника!$H$1:$ABO$500,G$2,0),"З")</f>
        <v>0</v>
      </c>
      <c r="H1493" s="50">
        <f>SUMIFS(INDEX(Техника!$F$1:$ABM$500,H$2,0),Техника!$F$4:$ABM$4,"Часы",INDEX(Техника!$G$1:$ABN$500,H$2,0),$A$1488,INDEX(Техника!$H$1:$ABO$500,H$2,0),"З")</f>
        <v>0</v>
      </c>
      <c r="I1493" s="50">
        <f>SUMIFS(INDEX(Техника!$F$1:$ABM$500,I$2,0),Техника!$F$4:$ABM$4,"Часы",INDEX(Техника!$G$1:$ABN$500,I$2,0),$A$1488,INDEX(Техника!$H$1:$ABO$500,I$2,0),"З")</f>
        <v>0</v>
      </c>
      <c r="J1493" s="50">
        <f>SUMIFS(INDEX(Техника!$F$1:$ABM$500,J$2,0),Техника!$F$4:$ABM$4,"Часы",INDEX(Техника!$G$1:$ABN$500,J$2,0),$A$1488,INDEX(Техника!$H$1:$ABO$500,J$2,0),"З")</f>
        <v>0</v>
      </c>
      <c r="K1493" s="50">
        <f>SUMIFS(INDEX(Техника!$F$1:$ABM$500,K$2,0),Техника!$F$4:$ABM$4,"Часы",INDEX(Техника!$G$1:$ABN$500,K$2,0),$A$1488,INDEX(Техника!$H$1:$ABO$500,K$2,0),"З")</f>
        <v>0</v>
      </c>
      <c r="L1493" s="50">
        <f>SUMIFS(INDEX(Техника!$F$1:$ABM$500,L$2,0),Техника!$F$4:$ABM$4,"Часы",INDEX(Техника!$G$1:$ABN$500,L$2,0),$A$1488,INDEX(Техника!$H$1:$ABO$500,L$2,0),"З")</f>
        <v>0</v>
      </c>
      <c r="M1493" s="50">
        <f>SUMIFS(INDEX(Техника!$F$1:$ABM$500,M$2,0),Техника!$F$4:$ABM$4,"Часы",INDEX(Техника!$G$1:$ABN$500,M$2,0),$A$1488,INDEX(Техника!$H$1:$ABO$500,M$2,0),"З")</f>
        <v>0</v>
      </c>
      <c r="N1493" s="50">
        <f>SUMIFS(INDEX(Техника!$F$1:$ABM$500,N$2,0),Техника!$F$4:$ABM$4,"Часы",INDEX(Техника!$G$1:$ABN$500,N$2,0),$A$1488,INDEX(Техника!$H$1:$ABO$500,N$2,0),"З")</f>
        <v>0</v>
      </c>
      <c r="O1493" s="50">
        <f>SUMIFS(INDEX(Техника!$F$1:$ABM$500,O$2,0),Техника!$F$4:$ABM$4,"Часы",INDEX(Техника!$G$1:$ABN$500,O$2,0),$A$1488,INDEX(Техника!$H$1:$ABO$500,O$2,0),"З")</f>
        <v>0</v>
      </c>
      <c r="P1493" s="50">
        <f>SUMIFS(INDEX(Техника!$F$1:$ABM$500,P$2,0),Техника!$F$4:$ABM$4,"Часы",INDEX(Техника!$G$1:$ABN$500,P$2,0),$A$1488,INDEX(Техника!$H$1:$ABO$500,P$2,0),"З")</f>
        <v>0</v>
      </c>
      <c r="Q1493" s="50">
        <f>SUMIFS(INDEX(Техника!$F$1:$ABM$500,Q$2,0),Техника!$F$4:$ABM$4,"Часы",INDEX(Техника!$G$1:$ABN$500,Q$2,0),$A$1488,INDEX(Техника!$H$1:$ABO$500,Q$2,0),"З")</f>
        <v>0</v>
      </c>
      <c r="R1493" s="50">
        <f>SUMIFS(INDEX(Техника!$F$1:$ABM$500,R$2,0),Техника!$F$4:$ABM$4,"Часы",INDEX(Техника!$G$1:$ABN$500,R$2,0),$A$1488,INDEX(Техника!$H$1:$ABO$500,R$2,0),"З")</f>
        <v>0</v>
      </c>
      <c r="S1493" s="50">
        <f>SUMIFS(INDEX(Техника!$F$1:$ABM$500,S$2,0),Техника!$F$4:$ABM$4,"Часы",INDEX(Техника!$G$1:$ABN$500,S$2,0),$A$1488,INDEX(Техника!$H$1:$ABO$500,S$2,0),"З")</f>
        <v>0</v>
      </c>
      <c r="T1493" s="50">
        <f>SUMIFS(INDEX(Техника!$F$1:$ABM$500,T$2,0),Техника!$F$4:$ABM$4,"Часы",INDEX(Техника!$G$1:$ABN$500,T$2,0),$A$1488,INDEX(Техника!$H$1:$ABO$500,T$2,0),"З")</f>
        <v>0</v>
      </c>
      <c r="U1493" s="50">
        <f>SUMIFS(INDEX(Техника!$F$1:$ABM$500,U$2,0),Техника!$F$4:$ABM$4,"Часы",INDEX(Техника!$G$1:$ABN$500,U$2,0),$A$1488,INDEX(Техника!$H$1:$ABO$500,U$2,0),"З")</f>
        <v>0</v>
      </c>
      <c r="V1493" s="50">
        <f>SUMIFS(INDEX(Техника!$F$1:$ABM$500,V$2,0),Техника!$F$4:$ABM$4,"Часы",INDEX(Техника!$G$1:$ABN$500,V$2,0),$A$1488,INDEX(Техника!$H$1:$ABO$500,V$2,0),"З")</f>
        <v>0</v>
      </c>
      <c r="W1493" s="50">
        <f>SUMIFS(INDEX(Техника!$F$1:$ABM$500,W$2,0),Техника!$F$4:$ABM$4,"Часы",INDEX(Техника!$G$1:$ABN$500,W$2,0),$A$1488,INDEX(Техника!$H$1:$ABO$500,W$2,0),"З")</f>
        <v>0</v>
      </c>
      <c r="X1493" s="50">
        <f>SUMIFS(INDEX(Техника!$F$1:$ABM$500,X$2,0),Техника!$F$4:$ABM$4,"Часы",INDEX(Техника!$G$1:$ABN$500,X$2,0),$A$1488,INDEX(Техника!$H$1:$ABO$500,X$2,0),"З")</f>
        <v>0</v>
      </c>
      <c r="Y1493" s="50">
        <f>SUMIFS(INDEX(Техника!$F$1:$ABM$500,Y$2,0),Техника!$F$4:$ABM$4,"Часы",INDEX(Техника!$G$1:$ABN$500,Y$2,0),$A$1488,INDEX(Техника!$H$1:$ABO$500,Y$2,0),"З")</f>
        <v>0</v>
      </c>
      <c r="Z1493" s="50">
        <f>SUMIFS(INDEX(Техника!$F$1:$ABM$500,Z$2,0),Техника!$F$4:$ABM$4,"Часы",INDEX(Техника!$G$1:$ABN$500,Z$2,0),$A$1488,INDEX(Техника!$H$1:$ABO$500,Z$2,0),"З")</f>
        <v>0</v>
      </c>
      <c r="AA1493" s="50">
        <f>SUMIFS(INDEX(Техника!$F$1:$ABM$500,AA$2,0),Техника!$F$4:$ABM$4,"Часы",INDEX(Техника!$G$1:$ABN$500,AA$2,0),$A$1488,INDEX(Техника!$H$1:$ABO$500,AA$2,0),"З")</f>
        <v>0</v>
      </c>
      <c r="AB1493" s="50">
        <f>SUMIFS(INDEX(Техника!$F$1:$ABM$500,AB$2,0),Техника!$F$4:$ABM$4,"Часы",INDEX(Техника!$G$1:$ABN$500,AB$2,0),$A$1488,INDEX(Техника!$H$1:$ABO$500,AB$2,0),"З")</f>
        <v>0</v>
      </c>
    </row>
    <row r="1494" spans="1:28" ht="7.95" customHeight="1" x14ac:dyDescent="0.3">
      <c r="A1494" s="38"/>
      <c r="B1494" s="39"/>
      <c r="C1494" s="51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</row>
    <row r="1495" spans="1:28" ht="25.05" customHeight="1" collapsed="1" x14ac:dyDescent="0.3">
      <c r="A1495" s="32">
        <v>214</v>
      </c>
      <c r="B1495" s="32" t="s">
        <v>215</v>
      </c>
      <c r="C1495" s="49">
        <f>SUM(C1496:C1500)</f>
        <v>0</v>
      </c>
      <c r="D1495" s="49">
        <f>SUM(D1496:D1500)</f>
        <v>0</v>
      </c>
      <c r="E1495" s="49">
        <f>SUM(E1496:E1500)</f>
        <v>0</v>
      </c>
      <c r="F1495" s="49">
        <f>SUM(F1496:F1500)</f>
        <v>0</v>
      </c>
      <c r="G1495" s="49">
        <f>SUM(G1496:G1500)</f>
        <v>0</v>
      </c>
      <c r="H1495" s="49">
        <f>SUM(H1496:H1500)</f>
        <v>0</v>
      </c>
      <c r="I1495" s="49">
        <f>SUM(I1496:I1500)</f>
        <v>0</v>
      </c>
      <c r="J1495" s="49">
        <f>SUM(J1496:J1500)</f>
        <v>0</v>
      </c>
      <c r="K1495" s="49">
        <f>SUM(K1496:K1500)</f>
        <v>0</v>
      </c>
      <c r="L1495" s="49">
        <f>SUM(L1496:L1500)</f>
        <v>0</v>
      </c>
      <c r="M1495" s="49">
        <f>SUM(M1496:M1500)</f>
        <v>0</v>
      </c>
      <c r="N1495" s="49">
        <f>SUM(N1496:N1500)</f>
        <v>0</v>
      </c>
      <c r="O1495" s="49">
        <f>SUM(O1496:O1500)</f>
        <v>0</v>
      </c>
      <c r="P1495" s="49">
        <f>SUM(P1496:P1500)</f>
        <v>0</v>
      </c>
      <c r="Q1495" s="49">
        <f>SUM(Q1496:Q1500)</f>
        <v>0</v>
      </c>
      <c r="R1495" s="49">
        <f>SUM(R1496:R1500)</f>
        <v>0</v>
      </c>
      <c r="S1495" s="49">
        <f>SUM(S1496:S1500)</f>
        <v>0</v>
      </c>
      <c r="T1495" s="49">
        <f>SUM(T1496:T1500)</f>
        <v>0</v>
      </c>
      <c r="U1495" s="49">
        <f>SUM(U1496:U1500)</f>
        <v>0</v>
      </c>
      <c r="V1495" s="49">
        <f>SUM(V1496:V1500)</f>
        <v>0</v>
      </c>
      <c r="W1495" s="49">
        <f>SUM(W1496:W1500)</f>
        <v>0</v>
      </c>
      <c r="X1495" s="49">
        <f>SUM(X1496:X1500)</f>
        <v>0</v>
      </c>
      <c r="Y1495" s="49">
        <f>SUM(Y1496:Y1500)</f>
        <v>0</v>
      </c>
      <c r="Z1495" s="49">
        <f>SUM(Z1496:Z1500)</f>
        <v>0</v>
      </c>
      <c r="AA1495" s="49">
        <f>SUM(AA1496:AA1500)</f>
        <v>0</v>
      </c>
      <c r="AB1495" s="49">
        <f>SUM(AB1496:AB1500)</f>
        <v>0</v>
      </c>
    </row>
    <row r="1496" spans="1:28" hidden="1" outlineLevel="1" x14ac:dyDescent="0.3">
      <c r="A1496" s="33" t="s">
        <v>246</v>
      </c>
      <c r="B1496" s="34" t="s">
        <v>274</v>
      </c>
      <c r="C1496" s="50">
        <f>SUMIFS(INDEX(Техника!$F$1:$ABM$500,C$2,0),Техника!$F$4:$ABM$4,"Часы",INDEX(Техника!$G$1:$ABN$500,C$2,0),$A$1495,INDEX(Техника!$H$1:$ABO$500,C$2,0),"М")</f>
        <v>0</v>
      </c>
      <c r="D1496" s="50">
        <f>SUMIFS(INDEX(Техника!$F$1:$ABM$500,D$2,0),Техника!$F$4:$ABM$4,"Часы",INDEX(Техника!$G$1:$ABN$500,D$2,0),$A$1495,INDEX(Техника!$H$1:$ABO$500,D$2,0),"М")</f>
        <v>0</v>
      </c>
      <c r="E1496" s="50">
        <f>SUMIFS(INDEX(Техника!$F$1:$ABM$500,E$2,0),Техника!$F$4:$ABM$4,"Часы",INDEX(Техника!$G$1:$ABN$500,E$2,0),$A$1495,INDEX(Техника!$H$1:$ABO$500,E$2,0),"М")</f>
        <v>0</v>
      </c>
      <c r="F1496" s="50">
        <f>SUMIFS(INDEX(Техника!$F$1:$ABM$500,F$2,0),Техника!$F$4:$ABM$4,"Часы",INDEX(Техника!$G$1:$ABN$500,F$2,0),$A$1495,INDEX(Техника!$H$1:$ABO$500,F$2,0),"М")</f>
        <v>0</v>
      </c>
      <c r="G1496" s="50">
        <f>SUMIFS(INDEX(Техника!$F$1:$ABM$500,G$2,0),Техника!$F$4:$ABM$4,"Часы",INDEX(Техника!$G$1:$ABN$500,G$2,0),$A$1495,INDEX(Техника!$H$1:$ABO$500,G$2,0),"М")</f>
        <v>0</v>
      </c>
      <c r="H1496" s="50">
        <f>SUMIFS(INDEX(Техника!$F$1:$ABM$500,H$2,0),Техника!$F$4:$ABM$4,"Часы",INDEX(Техника!$G$1:$ABN$500,H$2,0),$A$1495,INDEX(Техника!$H$1:$ABO$500,H$2,0),"М")</f>
        <v>0</v>
      </c>
      <c r="I1496" s="50">
        <f>SUMIFS(INDEX(Техника!$F$1:$ABM$500,I$2,0),Техника!$F$4:$ABM$4,"Часы",INDEX(Техника!$G$1:$ABN$500,I$2,0),$A$1495,INDEX(Техника!$H$1:$ABO$500,I$2,0),"М")</f>
        <v>0</v>
      </c>
      <c r="J1496" s="50">
        <f>SUMIFS(INDEX(Техника!$F$1:$ABM$500,J$2,0),Техника!$F$4:$ABM$4,"Часы",INDEX(Техника!$G$1:$ABN$500,J$2,0),$A$1495,INDEX(Техника!$H$1:$ABO$500,J$2,0),"М")</f>
        <v>0</v>
      </c>
      <c r="K1496" s="50">
        <f>SUMIFS(INDEX(Техника!$F$1:$ABM$500,K$2,0),Техника!$F$4:$ABM$4,"Часы",INDEX(Техника!$G$1:$ABN$500,K$2,0),$A$1495,INDEX(Техника!$H$1:$ABO$500,K$2,0),"М")</f>
        <v>0</v>
      </c>
      <c r="L1496" s="50">
        <f>SUMIFS(INDEX(Техника!$F$1:$ABM$500,L$2,0),Техника!$F$4:$ABM$4,"Часы",INDEX(Техника!$G$1:$ABN$500,L$2,0),$A$1495,INDEX(Техника!$H$1:$ABO$500,L$2,0),"М")</f>
        <v>0</v>
      </c>
      <c r="M1496" s="50">
        <f>SUMIFS(INDEX(Техника!$F$1:$ABM$500,M$2,0),Техника!$F$4:$ABM$4,"Часы",INDEX(Техника!$G$1:$ABN$500,M$2,0),$A$1495,INDEX(Техника!$H$1:$ABO$500,M$2,0),"М")</f>
        <v>0</v>
      </c>
      <c r="N1496" s="50">
        <f>SUMIFS(INDEX(Техника!$F$1:$ABM$500,N$2,0),Техника!$F$4:$ABM$4,"Часы",INDEX(Техника!$G$1:$ABN$500,N$2,0),$A$1495,INDEX(Техника!$H$1:$ABO$500,N$2,0),"М")</f>
        <v>0</v>
      </c>
      <c r="O1496" s="50">
        <f>SUMIFS(INDEX(Техника!$F$1:$ABM$500,O$2,0),Техника!$F$4:$ABM$4,"Часы",INDEX(Техника!$G$1:$ABN$500,O$2,0),$A$1495,INDEX(Техника!$H$1:$ABO$500,O$2,0),"М")</f>
        <v>0</v>
      </c>
      <c r="P1496" s="50">
        <f>SUMIFS(INDEX(Техника!$F$1:$ABM$500,P$2,0),Техника!$F$4:$ABM$4,"Часы",INDEX(Техника!$G$1:$ABN$500,P$2,0),$A$1495,INDEX(Техника!$H$1:$ABO$500,P$2,0),"М")</f>
        <v>0</v>
      </c>
      <c r="Q1496" s="50">
        <f>SUMIFS(INDEX(Техника!$F$1:$ABM$500,Q$2,0),Техника!$F$4:$ABM$4,"Часы",INDEX(Техника!$G$1:$ABN$500,Q$2,0),$A$1495,INDEX(Техника!$H$1:$ABO$500,Q$2,0),"М")</f>
        <v>0</v>
      </c>
      <c r="R1496" s="50">
        <f>SUMIFS(INDEX(Техника!$F$1:$ABM$500,R$2,0),Техника!$F$4:$ABM$4,"Часы",INDEX(Техника!$G$1:$ABN$500,R$2,0),$A$1495,INDEX(Техника!$H$1:$ABO$500,R$2,0),"М")</f>
        <v>0</v>
      </c>
      <c r="S1496" s="50">
        <f>SUMIFS(INDEX(Техника!$F$1:$ABM$500,S$2,0),Техника!$F$4:$ABM$4,"Часы",INDEX(Техника!$G$1:$ABN$500,S$2,0),$A$1495,INDEX(Техника!$H$1:$ABO$500,S$2,0),"М")</f>
        <v>0</v>
      </c>
      <c r="T1496" s="50">
        <f>SUMIFS(INDEX(Техника!$F$1:$ABM$500,T$2,0),Техника!$F$4:$ABM$4,"Часы",INDEX(Техника!$G$1:$ABN$500,T$2,0),$A$1495,INDEX(Техника!$H$1:$ABO$500,T$2,0),"М")</f>
        <v>0</v>
      </c>
      <c r="U1496" s="50">
        <f>SUMIFS(INDEX(Техника!$F$1:$ABM$500,U$2,0),Техника!$F$4:$ABM$4,"Часы",INDEX(Техника!$G$1:$ABN$500,U$2,0),$A$1495,INDEX(Техника!$H$1:$ABO$500,U$2,0),"М")</f>
        <v>0</v>
      </c>
      <c r="V1496" s="50">
        <f>SUMIFS(INDEX(Техника!$F$1:$ABM$500,V$2,0),Техника!$F$4:$ABM$4,"Часы",INDEX(Техника!$G$1:$ABN$500,V$2,0),$A$1495,INDEX(Техника!$H$1:$ABO$500,V$2,0),"М")</f>
        <v>0</v>
      </c>
      <c r="W1496" s="50">
        <f>SUMIFS(INDEX(Техника!$F$1:$ABM$500,W$2,0),Техника!$F$4:$ABM$4,"Часы",INDEX(Техника!$G$1:$ABN$500,W$2,0),$A$1495,INDEX(Техника!$H$1:$ABO$500,W$2,0),"М")</f>
        <v>0</v>
      </c>
      <c r="X1496" s="50">
        <f>SUMIFS(INDEX(Техника!$F$1:$ABM$500,X$2,0),Техника!$F$4:$ABM$4,"Часы",INDEX(Техника!$G$1:$ABN$500,X$2,0),$A$1495,INDEX(Техника!$H$1:$ABO$500,X$2,0),"М")</f>
        <v>0</v>
      </c>
      <c r="Y1496" s="50">
        <f>SUMIFS(INDEX(Техника!$F$1:$ABM$500,Y$2,0),Техника!$F$4:$ABM$4,"Часы",INDEX(Техника!$G$1:$ABN$500,Y$2,0),$A$1495,INDEX(Техника!$H$1:$ABO$500,Y$2,0),"М")</f>
        <v>0</v>
      </c>
      <c r="Z1496" s="50">
        <f>SUMIFS(INDEX(Техника!$F$1:$ABM$500,Z$2,0),Техника!$F$4:$ABM$4,"Часы",INDEX(Техника!$G$1:$ABN$500,Z$2,0),$A$1495,INDEX(Техника!$H$1:$ABO$500,Z$2,0),"М")</f>
        <v>0</v>
      </c>
      <c r="AA1496" s="50">
        <f>SUMIFS(INDEX(Техника!$F$1:$ABM$500,AA$2,0),Техника!$F$4:$ABM$4,"Часы",INDEX(Техника!$G$1:$ABN$500,AA$2,0),$A$1495,INDEX(Техника!$H$1:$ABO$500,AA$2,0),"М")</f>
        <v>0</v>
      </c>
      <c r="AB1496" s="50">
        <f>SUMIFS(INDEX(Техника!$F$1:$ABM$500,AB$2,0),Техника!$F$4:$ABM$4,"Часы",INDEX(Техника!$G$1:$ABN$500,AB$2,0),$A$1495,INDEX(Техника!$H$1:$ABO$500,AB$2,0),"М")</f>
        <v>0</v>
      </c>
    </row>
    <row r="1497" spans="1:28" hidden="1" outlineLevel="1" x14ac:dyDescent="0.3">
      <c r="A1497" s="33" t="s">
        <v>244</v>
      </c>
      <c r="B1497" s="34" t="s">
        <v>275</v>
      </c>
      <c r="C1497" s="50">
        <f>SUMIFS(INDEX(Техника!$F$1:$ABM$500,C$2,0),Техника!$F$4:$ABM$4,"Часы",INDEX(Техника!$G$1:$ABN$500,C$2,0),$A$1495,INDEX(Техника!$H$1:$ABO$500,C$2,0),"Д")</f>
        <v>0</v>
      </c>
      <c r="D1497" s="50">
        <f>SUMIFS(INDEX(Техника!$F$1:$ABM$500,D$2,0),Техника!$F$4:$ABM$4,"Часы",INDEX(Техника!$G$1:$ABN$500,D$2,0),$A$1495,INDEX(Техника!$H$1:$ABO$500,D$2,0),"Д")</f>
        <v>0</v>
      </c>
      <c r="E1497" s="50">
        <f>SUMIFS(INDEX(Техника!$F$1:$ABM$500,E$2,0),Техника!$F$4:$ABM$4,"Часы",INDEX(Техника!$G$1:$ABN$500,E$2,0),$A$1495,INDEX(Техника!$H$1:$ABO$500,E$2,0),"Д")</f>
        <v>0</v>
      </c>
      <c r="F1497" s="50">
        <f>SUMIFS(INDEX(Техника!$F$1:$ABM$500,F$2,0),Техника!$F$4:$ABM$4,"Часы",INDEX(Техника!$G$1:$ABN$500,F$2,0),$A$1495,INDEX(Техника!$H$1:$ABO$500,F$2,0),"Д")</f>
        <v>0</v>
      </c>
      <c r="G1497" s="50">
        <f>SUMIFS(INDEX(Техника!$F$1:$ABM$500,G$2,0),Техника!$F$4:$ABM$4,"Часы",INDEX(Техника!$G$1:$ABN$500,G$2,0),$A$1495,INDEX(Техника!$H$1:$ABO$500,G$2,0),"Д")</f>
        <v>0</v>
      </c>
      <c r="H1497" s="50">
        <f>SUMIFS(INDEX(Техника!$F$1:$ABM$500,H$2,0),Техника!$F$4:$ABM$4,"Часы",INDEX(Техника!$G$1:$ABN$500,H$2,0),$A$1495,INDEX(Техника!$H$1:$ABO$500,H$2,0),"Д")</f>
        <v>0</v>
      </c>
      <c r="I1497" s="50">
        <f>SUMIFS(INDEX(Техника!$F$1:$ABM$500,I$2,0),Техника!$F$4:$ABM$4,"Часы",INDEX(Техника!$G$1:$ABN$500,I$2,0),$A$1495,INDEX(Техника!$H$1:$ABO$500,I$2,0),"Д")</f>
        <v>0</v>
      </c>
      <c r="J1497" s="50">
        <f>SUMIFS(INDEX(Техника!$F$1:$ABM$500,J$2,0),Техника!$F$4:$ABM$4,"Часы",INDEX(Техника!$G$1:$ABN$500,J$2,0),$A$1495,INDEX(Техника!$H$1:$ABO$500,J$2,0),"Д")</f>
        <v>0</v>
      </c>
      <c r="K1497" s="50">
        <f>SUMIFS(INDEX(Техника!$F$1:$ABM$500,K$2,0),Техника!$F$4:$ABM$4,"Часы",INDEX(Техника!$G$1:$ABN$500,K$2,0),$A$1495,INDEX(Техника!$H$1:$ABO$500,K$2,0),"Д")</f>
        <v>0</v>
      </c>
      <c r="L1497" s="50">
        <f>SUMIFS(INDEX(Техника!$F$1:$ABM$500,L$2,0),Техника!$F$4:$ABM$4,"Часы",INDEX(Техника!$G$1:$ABN$500,L$2,0),$A$1495,INDEX(Техника!$H$1:$ABO$500,L$2,0),"Д")</f>
        <v>0</v>
      </c>
      <c r="M1497" s="50">
        <f>SUMIFS(INDEX(Техника!$F$1:$ABM$500,M$2,0),Техника!$F$4:$ABM$4,"Часы",INDEX(Техника!$G$1:$ABN$500,M$2,0),$A$1495,INDEX(Техника!$H$1:$ABO$500,M$2,0),"Д")</f>
        <v>0</v>
      </c>
      <c r="N1497" s="50">
        <f>SUMIFS(INDEX(Техника!$F$1:$ABM$500,N$2,0),Техника!$F$4:$ABM$4,"Часы",INDEX(Техника!$G$1:$ABN$500,N$2,0),$A$1495,INDEX(Техника!$H$1:$ABO$500,N$2,0),"Д")</f>
        <v>0</v>
      </c>
      <c r="O1497" s="50">
        <f>SUMIFS(INDEX(Техника!$F$1:$ABM$500,O$2,0),Техника!$F$4:$ABM$4,"Часы",INDEX(Техника!$G$1:$ABN$500,O$2,0),$A$1495,INDEX(Техника!$H$1:$ABO$500,O$2,0),"Д")</f>
        <v>0</v>
      </c>
      <c r="P1497" s="50">
        <f>SUMIFS(INDEX(Техника!$F$1:$ABM$500,P$2,0),Техника!$F$4:$ABM$4,"Часы",INDEX(Техника!$G$1:$ABN$500,P$2,0),$A$1495,INDEX(Техника!$H$1:$ABO$500,P$2,0),"Д")</f>
        <v>0</v>
      </c>
      <c r="Q1497" s="50">
        <f>SUMIFS(INDEX(Техника!$F$1:$ABM$500,Q$2,0),Техника!$F$4:$ABM$4,"Часы",INDEX(Техника!$G$1:$ABN$500,Q$2,0),$A$1495,INDEX(Техника!$H$1:$ABO$500,Q$2,0),"Д")</f>
        <v>0</v>
      </c>
      <c r="R1497" s="50">
        <f>SUMIFS(INDEX(Техника!$F$1:$ABM$500,R$2,0),Техника!$F$4:$ABM$4,"Часы",INDEX(Техника!$G$1:$ABN$500,R$2,0),$A$1495,INDEX(Техника!$H$1:$ABO$500,R$2,0),"Д")</f>
        <v>0</v>
      </c>
      <c r="S1497" s="50">
        <f>SUMIFS(INDEX(Техника!$F$1:$ABM$500,S$2,0),Техника!$F$4:$ABM$4,"Часы",INDEX(Техника!$G$1:$ABN$500,S$2,0),$A$1495,INDEX(Техника!$H$1:$ABO$500,S$2,0),"Д")</f>
        <v>0</v>
      </c>
      <c r="T1497" s="50">
        <f>SUMIFS(INDEX(Техника!$F$1:$ABM$500,T$2,0),Техника!$F$4:$ABM$4,"Часы",INDEX(Техника!$G$1:$ABN$500,T$2,0),$A$1495,INDEX(Техника!$H$1:$ABO$500,T$2,0),"Д")</f>
        <v>0</v>
      </c>
      <c r="U1497" s="50">
        <f>SUMIFS(INDEX(Техника!$F$1:$ABM$500,U$2,0),Техника!$F$4:$ABM$4,"Часы",INDEX(Техника!$G$1:$ABN$500,U$2,0),$A$1495,INDEX(Техника!$H$1:$ABO$500,U$2,0),"Д")</f>
        <v>0</v>
      </c>
      <c r="V1497" s="50">
        <f>SUMIFS(INDEX(Техника!$F$1:$ABM$500,V$2,0),Техника!$F$4:$ABM$4,"Часы",INDEX(Техника!$G$1:$ABN$500,V$2,0),$A$1495,INDEX(Техника!$H$1:$ABO$500,V$2,0),"Д")</f>
        <v>0</v>
      </c>
      <c r="W1497" s="50">
        <f>SUMIFS(INDEX(Техника!$F$1:$ABM$500,W$2,0),Техника!$F$4:$ABM$4,"Часы",INDEX(Техника!$G$1:$ABN$500,W$2,0),$A$1495,INDEX(Техника!$H$1:$ABO$500,W$2,0),"Д")</f>
        <v>0</v>
      </c>
      <c r="X1497" s="50">
        <f>SUMIFS(INDEX(Техника!$F$1:$ABM$500,X$2,0),Техника!$F$4:$ABM$4,"Часы",INDEX(Техника!$G$1:$ABN$500,X$2,0),$A$1495,INDEX(Техника!$H$1:$ABO$500,X$2,0),"Д")</f>
        <v>0</v>
      </c>
      <c r="Y1497" s="50">
        <f>SUMIFS(INDEX(Техника!$F$1:$ABM$500,Y$2,0),Техника!$F$4:$ABM$4,"Часы",INDEX(Техника!$G$1:$ABN$500,Y$2,0),$A$1495,INDEX(Техника!$H$1:$ABO$500,Y$2,0),"Д")</f>
        <v>0</v>
      </c>
      <c r="Z1497" s="50">
        <f>SUMIFS(INDEX(Техника!$F$1:$ABM$500,Z$2,0),Техника!$F$4:$ABM$4,"Часы",INDEX(Техника!$G$1:$ABN$500,Z$2,0),$A$1495,INDEX(Техника!$H$1:$ABO$500,Z$2,0),"Д")</f>
        <v>0</v>
      </c>
      <c r="AA1497" s="50">
        <f>SUMIFS(INDEX(Техника!$F$1:$ABM$500,AA$2,0),Техника!$F$4:$ABM$4,"Часы",INDEX(Техника!$G$1:$ABN$500,AA$2,0),$A$1495,INDEX(Техника!$H$1:$ABO$500,AA$2,0),"Д")</f>
        <v>0</v>
      </c>
      <c r="AB1497" s="50">
        <f>SUMIFS(INDEX(Техника!$F$1:$ABM$500,AB$2,0),Техника!$F$4:$ABM$4,"Часы",INDEX(Техника!$G$1:$ABN$500,AB$2,0),$A$1495,INDEX(Техника!$H$1:$ABO$500,AB$2,0),"Д")</f>
        <v>0</v>
      </c>
    </row>
    <row r="1498" spans="1:28" hidden="1" outlineLevel="1" x14ac:dyDescent="0.3">
      <c r="A1498" s="33" t="s">
        <v>276</v>
      </c>
      <c r="B1498" s="34" t="s">
        <v>277</v>
      </c>
      <c r="C1498" s="50">
        <f>SUMIFS(INDEX(Техника!$F$1:$ABM$500,C$2,0),Техника!$F$4:$ABM$4,"Часы",INDEX(Техника!$G$1:$ABN$500,C$2,0),$A$1495,INDEX(Техника!$H$1:$ABO$500,C$2,0),"П")</f>
        <v>0</v>
      </c>
      <c r="D1498" s="50">
        <f>SUMIFS(INDEX(Техника!$F$1:$ABM$500,D$2,0),Техника!$F$4:$ABM$4,"Часы",INDEX(Техника!$G$1:$ABN$500,D$2,0),$A$1495,INDEX(Техника!$H$1:$ABO$500,D$2,0),"П")</f>
        <v>0</v>
      </c>
      <c r="E1498" s="50">
        <f>SUMIFS(INDEX(Техника!$F$1:$ABM$500,E$2,0),Техника!$F$4:$ABM$4,"Часы",INDEX(Техника!$G$1:$ABN$500,E$2,0),$A$1495,INDEX(Техника!$H$1:$ABO$500,E$2,0),"П")</f>
        <v>0</v>
      </c>
      <c r="F1498" s="50">
        <f>SUMIFS(INDEX(Техника!$F$1:$ABM$500,F$2,0),Техника!$F$4:$ABM$4,"Часы",INDEX(Техника!$G$1:$ABN$500,F$2,0),$A$1495,INDEX(Техника!$H$1:$ABO$500,F$2,0),"П")</f>
        <v>0</v>
      </c>
      <c r="G1498" s="50">
        <f>SUMIFS(INDEX(Техника!$F$1:$ABM$500,G$2,0),Техника!$F$4:$ABM$4,"Часы",INDEX(Техника!$G$1:$ABN$500,G$2,0),$A$1495,INDEX(Техника!$H$1:$ABO$500,G$2,0),"П")</f>
        <v>0</v>
      </c>
      <c r="H1498" s="50">
        <f>SUMIFS(INDEX(Техника!$F$1:$ABM$500,H$2,0),Техника!$F$4:$ABM$4,"Часы",INDEX(Техника!$G$1:$ABN$500,H$2,0),$A$1495,INDEX(Техника!$H$1:$ABO$500,H$2,0),"П")</f>
        <v>0</v>
      </c>
      <c r="I1498" s="50">
        <f>SUMIFS(INDEX(Техника!$F$1:$ABM$500,I$2,0),Техника!$F$4:$ABM$4,"Часы",INDEX(Техника!$G$1:$ABN$500,I$2,0),$A$1495,INDEX(Техника!$H$1:$ABO$500,I$2,0),"П")</f>
        <v>0</v>
      </c>
      <c r="J1498" s="50">
        <f>SUMIFS(INDEX(Техника!$F$1:$ABM$500,J$2,0),Техника!$F$4:$ABM$4,"Часы",INDEX(Техника!$G$1:$ABN$500,J$2,0),$A$1495,INDEX(Техника!$H$1:$ABO$500,J$2,0),"П")</f>
        <v>0</v>
      </c>
      <c r="K1498" s="50">
        <f>SUMIFS(INDEX(Техника!$F$1:$ABM$500,K$2,0),Техника!$F$4:$ABM$4,"Часы",INDEX(Техника!$G$1:$ABN$500,K$2,0),$A$1495,INDEX(Техника!$H$1:$ABO$500,K$2,0),"П")</f>
        <v>0</v>
      </c>
      <c r="L1498" s="50">
        <f>SUMIFS(INDEX(Техника!$F$1:$ABM$500,L$2,0),Техника!$F$4:$ABM$4,"Часы",INDEX(Техника!$G$1:$ABN$500,L$2,0),$A$1495,INDEX(Техника!$H$1:$ABO$500,L$2,0),"П")</f>
        <v>0</v>
      </c>
      <c r="M1498" s="50">
        <f>SUMIFS(INDEX(Техника!$F$1:$ABM$500,M$2,0),Техника!$F$4:$ABM$4,"Часы",INDEX(Техника!$G$1:$ABN$500,M$2,0),$A$1495,INDEX(Техника!$H$1:$ABO$500,M$2,0),"П")</f>
        <v>0</v>
      </c>
      <c r="N1498" s="50">
        <f>SUMIFS(INDEX(Техника!$F$1:$ABM$500,N$2,0),Техника!$F$4:$ABM$4,"Часы",INDEX(Техника!$G$1:$ABN$500,N$2,0),$A$1495,INDEX(Техника!$H$1:$ABO$500,N$2,0),"П")</f>
        <v>0</v>
      </c>
      <c r="O1498" s="50">
        <f>SUMIFS(INDEX(Техника!$F$1:$ABM$500,O$2,0),Техника!$F$4:$ABM$4,"Часы",INDEX(Техника!$G$1:$ABN$500,O$2,0),$A$1495,INDEX(Техника!$H$1:$ABO$500,O$2,0),"П")</f>
        <v>0</v>
      </c>
      <c r="P1498" s="50">
        <f>SUMIFS(INDEX(Техника!$F$1:$ABM$500,P$2,0),Техника!$F$4:$ABM$4,"Часы",INDEX(Техника!$G$1:$ABN$500,P$2,0),$A$1495,INDEX(Техника!$H$1:$ABO$500,P$2,0),"П")</f>
        <v>0</v>
      </c>
      <c r="Q1498" s="50">
        <f>SUMIFS(INDEX(Техника!$F$1:$ABM$500,Q$2,0),Техника!$F$4:$ABM$4,"Часы",INDEX(Техника!$G$1:$ABN$500,Q$2,0),$A$1495,INDEX(Техника!$H$1:$ABO$500,Q$2,0),"П")</f>
        <v>0</v>
      </c>
      <c r="R1498" s="50">
        <f>SUMIFS(INDEX(Техника!$F$1:$ABM$500,R$2,0),Техника!$F$4:$ABM$4,"Часы",INDEX(Техника!$G$1:$ABN$500,R$2,0),$A$1495,INDEX(Техника!$H$1:$ABO$500,R$2,0),"П")</f>
        <v>0</v>
      </c>
      <c r="S1498" s="50">
        <f>SUMIFS(INDEX(Техника!$F$1:$ABM$500,S$2,0),Техника!$F$4:$ABM$4,"Часы",INDEX(Техника!$G$1:$ABN$500,S$2,0),$A$1495,INDEX(Техника!$H$1:$ABO$500,S$2,0),"П")</f>
        <v>0</v>
      </c>
      <c r="T1498" s="50">
        <f>SUMIFS(INDEX(Техника!$F$1:$ABM$500,T$2,0),Техника!$F$4:$ABM$4,"Часы",INDEX(Техника!$G$1:$ABN$500,T$2,0),$A$1495,INDEX(Техника!$H$1:$ABO$500,T$2,0),"П")</f>
        <v>0</v>
      </c>
      <c r="U1498" s="50">
        <f>SUMIFS(INDEX(Техника!$F$1:$ABM$500,U$2,0),Техника!$F$4:$ABM$4,"Часы",INDEX(Техника!$G$1:$ABN$500,U$2,0),$A$1495,INDEX(Техника!$H$1:$ABO$500,U$2,0),"П")</f>
        <v>0</v>
      </c>
      <c r="V1498" s="50">
        <f>SUMIFS(INDEX(Техника!$F$1:$ABM$500,V$2,0),Техника!$F$4:$ABM$4,"Часы",INDEX(Техника!$G$1:$ABN$500,V$2,0),$A$1495,INDEX(Техника!$H$1:$ABO$500,V$2,0),"П")</f>
        <v>0</v>
      </c>
      <c r="W1498" s="50">
        <f>SUMIFS(INDEX(Техника!$F$1:$ABM$500,W$2,0),Техника!$F$4:$ABM$4,"Часы",INDEX(Техника!$G$1:$ABN$500,W$2,0),$A$1495,INDEX(Техника!$H$1:$ABO$500,W$2,0),"П")</f>
        <v>0</v>
      </c>
      <c r="X1498" s="50">
        <f>SUMIFS(INDEX(Техника!$F$1:$ABM$500,X$2,0),Техника!$F$4:$ABM$4,"Часы",INDEX(Техника!$G$1:$ABN$500,X$2,0),$A$1495,INDEX(Техника!$H$1:$ABO$500,X$2,0),"П")</f>
        <v>0</v>
      </c>
      <c r="Y1498" s="50">
        <f>SUMIFS(INDEX(Техника!$F$1:$ABM$500,Y$2,0),Техника!$F$4:$ABM$4,"Часы",INDEX(Техника!$G$1:$ABN$500,Y$2,0),$A$1495,INDEX(Техника!$H$1:$ABO$500,Y$2,0),"П")</f>
        <v>0</v>
      </c>
      <c r="Z1498" s="50">
        <f>SUMIFS(INDEX(Техника!$F$1:$ABM$500,Z$2,0),Техника!$F$4:$ABM$4,"Часы",INDEX(Техника!$G$1:$ABN$500,Z$2,0),$A$1495,INDEX(Техника!$H$1:$ABO$500,Z$2,0),"П")</f>
        <v>0</v>
      </c>
      <c r="AA1498" s="50">
        <f>SUMIFS(INDEX(Техника!$F$1:$ABM$500,AA$2,0),Техника!$F$4:$ABM$4,"Часы",INDEX(Техника!$G$1:$ABN$500,AA$2,0),$A$1495,INDEX(Техника!$H$1:$ABO$500,AA$2,0),"П")</f>
        <v>0</v>
      </c>
      <c r="AB1498" s="50">
        <f>SUMIFS(INDEX(Техника!$F$1:$ABM$500,AB$2,0),Техника!$F$4:$ABM$4,"Часы",INDEX(Техника!$G$1:$ABN$500,AB$2,0),$A$1495,INDEX(Техника!$H$1:$ABO$500,AB$2,0),"П")</f>
        <v>0</v>
      </c>
    </row>
    <row r="1499" spans="1:28" hidden="1" outlineLevel="1" x14ac:dyDescent="0.3">
      <c r="A1499" s="33" t="s">
        <v>243</v>
      </c>
      <c r="B1499" s="34" t="s">
        <v>278</v>
      </c>
      <c r="C1499" s="50">
        <f>SUMIFS(INDEX(Техника!$F$1:$ABM$500,C$2,0),Техника!$F$4:$ABM$4,"Часы",INDEX(Техника!$G$1:$ABN$500,C$2,0),$A$1495,INDEX(Техника!$H$1:$ABO$500,C$2,0),"Л")</f>
        <v>0</v>
      </c>
      <c r="D1499" s="50">
        <f>SUMIFS(INDEX(Техника!$F$1:$ABM$500,D$2,0),Техника!$F$4:$ABM$4,"Часы",INDEX(Техника!$G$1:$ABN$500,D$2,0),$A$1495,INDEX(Техника!$H$1:$ABO$500,D$2,0),"Л")</f>
        <v>0</v>
      </c>
      <c r="E1499" s="50">
        <f>SUMIFS(INDEX(Техника!$F$1:$ABM$500,E$2,0),Техника!$F$4:$ABM$4,"Часы",INDEX(Техника!$G$1:$ABN$500,E$2,0),$A$1495,INDEX(Техника!$H$1:$ABO$500,E$2,0),"Л")</f>
        <v>0</v>
      </c>
      <c r="F1499" s="50">
        <f>SUMIFS(INDEX(Техника!$F$1:$ABM$500,F$2,0),Техника!$F$4:$ABM$4,"Часы",INDEX(Техника!$G$1:$ABN$500,F$2,0),$A$1495,INDEX(Техника!$H$1:$ABO$500,F$2,0),"Л")</f>
        <v>0</v>
      </c>
      <c r="G1499" s="50">
        <f>SUMIFS(INDEX(Техника!$F$1:$ABM$500,G$2,0),Техника!$F$4:$ABM$4,"Часы",INDEX(Техника!$G$1:$ABN$500,G$2,0),$A$1495,INDEX(Техника!$H$1:$ABO$500,G$2,0),"Л")</f>
        <v>0</v>
      </c>
      <c r="H1499" s="50">
        <f>SUMIFS(INDEX(Техника!$F$1:$ABM$500,H$2,0),Техника!$F$4:$ABM$4,"Часы",INDEX(Техника!$G$1:$ABN$500,H$2,0),$A$1495,INDEX(Техника!$H$1:$ABO$500,H$2,0),"Л")</f>
        <v>0</v>
      </c>
      <c r="I1499" s="50">
        <f>SUMIFS(INDEX(Техника!$F$1:$ABM$500,I$2,0),Техника!$F$4:$ABM$4,"Часы",INDEX(Техника!$G$1:$ABN$500,I$2,0),$A$1495,INDEX(Техника!$H$1:$ABO$500,I$2,0),"Л")</f>
        <v>0</v>
      </c>
      <c r="J1499" s="50">
        <f>SUMIFS(INDEX(Техника!$F$1:$ABM$500,J$2,0),Техника!$F$4:$ABM$4,"Часы",INDEX(Техника!$G$1:$ABN$500,J$2,0),$A$1495,INDEX(Техника!$H$1:$ABO$500,J$2,0),"Л")</f>
        <v>0</v>
      </c>
      <c r="K1499" s="50">
        <f>SUMIFS(INDEX(Техника!$F$1:$ABM$500,K$2,0),Техника!$F$4:$ABM$4,"Часы",INDEX(Техника!$G$1:$ABN$500,K$2,0),$A$1495,INDEX(Техника!$H$1:$ABO$500,K$2,0),"Л")</f>
        <v>0</v>
      </c>
      <c r="L1499" s="50">
        <f>SUMIFS(INDEX(Техника!$F$1:$ABM$500,L$2,0),Техника!$F$4:$ABM$4,"Часы",INDEX(Техника!$G$1:$ABN$500,L$2,0),$A$1495,INDEX(Техника!$H$1:$ABO$500,L$2,0),"Л")</f>
        <v>0</v>
      </c>
      <c r="M1499" s="50">
        <f>SUMIFS(INDEX(Техника!$F$1:$ABM$500,M$2,0),Техника!$F$4:$ABM$4,"Часы",INDEX(Техника!$G$1:$ABN$500,M$2,0),$A$1495,INDEX(Техника!$H$1:$ABO$500,M$2,0),"Л")</f>
        <v>0</v>
      </c>
      <c r="N1499" s="50">
        <f>SUMIFS(INDEX(Техника!$F$1:$ABM$500,N$2,0),Техника!$F$4:$ABM$4,"Часы",INDEX(Техника!$G$1:$ABN$500,N$2,0),$A$1495,INDEX(Техника!$H$1:$ABO$500,N$2,0),"Л")</f>
        <v>0</v>
      </c>
      <c r="O1499" s="50">
        <f>SUMIFS(INDEX(Техника!$F$1:$ABM$500,O$2,0),Техника!$F$4:$ABM$4,"Часы",INDEX(Техника!$G$1:$ABN$500,O$2,0),$A$1495,INDEX(Техника!$H$1:$ABO$500,O$2,0),"Л")</f>
        <v>0</v>
      </c>
      <c r="P1499" s="50">
        <f>SUMIFS(INDEX(Техника!$F$1:$ABM$500,P$2,0),Техника!$F$4:$ABM$4,"Часы",INDEX(Техника!$G$1:$ABN$500,P$2,0),$A$1495,INDEX(Техника!$H$1:$ABO$500,P$2,0),"Л")</f>
        <v>0</v>
      </c>
      <c r="Q1499" s="50">
        <f>SUMIFS(INDEX(Техника!$F$1:$ABM$500,Q$2,0),Техника!$F$4:$ABM$4,"Часы",INDEX(Техника!$G$1:$ABN$500,Q$2,0),$A$1495,INDEX(Техника!$H$1:$ABO$500,Q$2,0),"Л")</f>
        <v>0</v>
      </c>
      <c r="R1499" s="50">
        <f>SUMIFS(INDEX(Техника!$F$1:$ABM$500,R$2,0),Техника!$F$4:$ABM$4,"Часы",INDEX(Техника!$G$1:$ABN$500,R$2,0),$A$1495,INDEX(Техника!$H$1:$ABO$500,R$2,0),"Л")</f>
        <v>0</v>
      </c>
      <c r="S1499" s="50">
        <f>SUMIFS(INDEX(Техника!$F$1:$ABM$500,S$2,0),Техника!$F$4:$ABM$4,"Часы",INDEX(Техника!$G$1:$ABN$500,S$2,0),$A$1495,INDEX(Техника!$H$1:$ABO$500,S$2,0),"Л")</f>
        <v>0</v>
      </c>
      <c r="T1499" s="50">
        <f>SUMIFS(INDEX(Техника!$F$1:$ABM$500,T$2,0),Техника!$F$4:$ABM$4,"Часы",INDEX(Техника!$G$1:$ABN$500,T$2,0),$A$1495,INDEX(Техника!$H$1:$ABO$500,T$2,0),"Л")</f>
        <v>0</v>
      </c>
      <c r="U1499" s="50">
        <f>SUMIFS(INDEX(Техника!$F$1:$ABM$500,U$2,0),Техника!$F$4:$ABM$4,"Часы",INDEX(Техника!$G$1:$ABN$500,U$2,0),$A$1495,INDEX(Техника!$H$1:$ABO$500,U$2,0),"Л")</f>
        <v>0</v>
      </c>
      <c r="V1499" s="50">
        <f>SUMIFS(INDEX(Техника!$F$1:$ABM$500,V$2,0),Техника!$F$4:$ABM$4,"Часы",INDEX(Техника!$G$1:$ABN$500,V$2,0),$A$1495,INDEX(Техника!$H$1:$ABO$500,V$2,0),"Л")</f>
        <v>0</v>
      </c>
      <c r="W1499" s="50">
        <f>SUMIFS(INDEX(Техника!$F$1:$ABM$500,W$2,0),Техника!$F$4:$ABM$4,"Часы",INDEX(Техника!$G$1:$ABN$500,W$2,0),$A$1495,INDEX(Техника!$H$1:$ABO$500,W$2,0),"Л")</f>
        <v>0</v>
      </c>
      <c r="X1499" s="50">
        <f>SUMIFS(INDEX(Техника!$F$1:$ABM$500,X$2,0),Техника!$F$4:$ABM$4,"Часы",INDEX(Техника!$G$1:$ABN$500,X$2,0),$A$1495,INDEX(Техника!$H$1:$ABO$500,X$2,0),"Л")</f>
        <v>0</v>
      </c>
      <c r="Y1499" s="50">
        <f>SUMIFS(INDEX(Техника!$F$1:$ABM$500,Y$2,0),Техника!$F$4:$ABM$4,"Часы",INDEX(Техника!$G$1:$ABN$500,Y$2,0),$A$1495,INDEX(Техника!$H$1:$ABO$500,Y$2,0),"Л")</f>
        <v>0</v>
      </c>
      <c r="Z1499" s="50">
        <f>SUMIFS(INDEX(Техника!$F$1:$ABM$500,Z$2,0),Техника!$F$4:$ABM$4,"Часы",INDEX(Техника!$G$1:$ABN$500,Z$2,0),$A$1495,INDEX(Техника!$H$1:$ABO$500,Z$2,0),"Л")</f>
        <v>0</v>
      </c>
      <c r="AA1499" s="50">
        <f>SUMIFS(INDEX(Техника!$F$1:$ABM$500,AA$2,0),Техника!$F$4:$ABM$4,"Часы",INDEX(Техника!$G$1:$ABN$500,AA$2,0),$A$1495,INDEX(Техника!$H$1:$ABO$500,AA$2,0),"Л")</f>
        <v>0</v>
      </c>
      <c r="AB1499" s="50">
        <f>SUMIFS(INDEX(Техника!$F$1:$ABM$500,AB$2,0),Техника!$F$4:$ABM$4,"Часы",INDEX(Техника!$G$1:$ABN$500,AB$2,0),$A$1495,INDEX(Техника!$H$1:$ABO$500,AB$2,0),"Л")</f>
        <v>0</v>
      </c>
    </row>
    <row r="1500" spans="1:28" hidden="1" outlineLevel="1" x14ac:dyDescent="0.3">
      <c r="A1500" s="33" t="s">
        <v>245</v>
      </c>
      <c r="B1500" s="34" t="s">
        <v>279</v>
      </c>
      <c r="C1500" s="50">
        <f>SUMIFS(INDEX(Техника!$F$1:$ABM$500,C$2,0),Техника!$F$4:$ABM$4,"Часы",INDEX(Техника!$G$1:$ABN$500,C$2,0),$A$1495,INDEX(Техника!$H$1:$ABO$500,C$2,0),"З")</f>
        <v>0</v>
      </c>
      <c r="D1500" s="50">
        <f>SUMIFS(INDEX(Техника!$F$1:$ABM$500,D$2,0),Техника!$F$4:$ABM$4,"Часы",INDEX(Техника!$G$1:$ABN$500,D$2,0),$A$1495,INDEX(Техника!$H$1:$ABO$500,D$2,0),"З")</f>
        <v>0</v>
      </c>
      <c r="E1500" s="50">
        <f>SUMIFS(INDEX(Техника!$F$1:$ABM$500,E$2,0),Техника!$F$4:$ABM$4,"Часы",INDEX(Техника!$G$1:$ABN$500,E$2,0),$A$1495,INDEX(Техника!$H$1:$ABO$500,E$2,0),"З")</f>
        <v>0</v>
      </c>
      <c r="F1500" s="50">
        <f>SUMIFS(INDEX(Техника!$F$1:$ABM$500,F$2,0),Техника!$F$4:$ABM$4,"Часы",INDEX(Техника!$G$1:$ABN$500,F$2,0),$A$1495,INDEX(Техника!$H$1:$ABO$500,F$2,0),"З")</f>
        <v>0</v>
      </c>
      <c r="G1500" s="50">
        <f>SUMIFS(INDEX(Техника!$F$1:$ABM$500,G$2,0),Техника!$F$4:$ABM$4,"Часы",INDEX(Техника!$G$1:$ABN$500,G$2,0),$A$1495,INDEX(Техника!$H$1:$ABO$500,G$2,0),"З")</f>
        <v>0</v>
      </c>
      <c r="H1500" s="50">
        <f>SUMIFS(INDEX(Техника!$F$1:$ABM$500,H$2,0),Техника!$F$4:$ABM$4,"Часы",INDEX(Техника!$G$1:$ABN$500,H$2,0),$A$1495,INDEX(Техника!$H$1:$ABO$500,H$2,0),"З")</f>
        <v>0</v>
      </c>
      <c r="I1500" s="50">
        <f>SUMIFS(INDEX(Техника!$F$1:$ABM$500,I$2,0),Техника!$F$4:$ABM$4,"Часы",INDEX(Техника!$G$1:$ABN$500,I$2,0),$A$1495,INDEX(Техника!$H$1:$ABO$500,I$2,0),"З")</f>
        <v>0</v>
      </c>
      <c r="J1500" s="50">
        <f>SUMIFS(INDEX(Техника!$F$1:$ABM$500,J$2,0),Техника!$F$4:$ABM$4,"Часы",INDEX(Техника!$G$1:$ABN$500,J$2,0),$A$1495,INDEX(Техника!$H$1:$ABO$500,J$2,0),"З")</f>
        <v>0</v>
      </c>
      <c r="K1500" s="50">
        <f>SUMIFS(INDEX(Техника!$F$1:$ABM$500,K$2,0),Техника!$F$4:$ABM$4,"Часы",INDEX(Техника!$G$1:$ABN$500,K$2,0),$A$1495,INDEX(Техника!$H$1:$ABO$500,K$2,0),"З")</f>
        <v>0</v>
      </c>
      <c r="L1500" s="50">
        <f>SUMIFS(INDEX(Техника!$F$1:$ABM$500,L$2,0),Техника!$F$4:$ABM$4,"Часы",INDEX(Техника!$G$1:$ABN$500,L$2,0),$A$1495,INDEX(Техника!$H$1:$ABO$500,L$2,0),"З")</f>
        <v>0</v>
      </c>
      <c r="M1500" s="50">
        <f>SUMIFS(INDEX(Техника!$F$1:$ABM$500,M$2,0),Техника!$F$4:$ABM$4,"Часы",INDEX(Техника!$G$1:$ABN$500,M$2,0),$A$1495,INDEX(Техника!$H$1:$ABO$500,M$2,0),"З")</f>
        <v>0</v>
      </c>
      <c r="N1500" s="50">
        <f>SUMIFS(INDEX(Техника!$F$1:$ABM$500,N$2,0),Техника!$F$4:$ABM$4,"Часы",INDEX(Техника!$G$1:$ABN$500,N$2,0),$A$1495,INDEX(Техника!$H$1:$ABO$500,N$2,0),"З")</f>
        <v>0</v>
      </c>
      <c r="O1500" s="50">
        <f>SUMIFS(INDEX(Техника!$F$1:$ABM$500,O$2,0),Техника!$F$4:$ABM$4,"Часы",INDEX(Техника!$G$1:$ABN$500,O$2,0),$A$1495,INDEX(Техника!$H$1:$ABO$500,O$2,0),"З")</f>
        <v>0</v>
      </c>
      <c r="P1500" s="50">
        <f>SUMIFS(INDEX(Техника!$F$1:$ABM$500,P$2,0),Техника!$F$4:$ABM$4,"Часы",INDEX(Техника!$G$1:$ABN$500,P$2,0),$A$1495,INDEX(Техника!$H$1:$ABO$500,P$2,0),"З")</f>
        <v>0</v>
      </c>
      <c r="Q1500" s="50">
        <f>SUMIFS(INDEX(Техника!$F$1:$ABM$500,Q$2,0),Техника!$F$4:$ABM$4,"Часы",INDEX(Техника!$G$1:$ABN$500,Q$2,0),$A$1495,INDEX(Техника!$H$1:$ABO$500,Q$2,0),"З")</f>
        <v>0</v>
      </c>
      <c r="R1500" s="50">
        <f>SUMIFS(INDEX(Техника!$F$1:$ABM$500,R$2,0),Техника!$F$4:$ABM$4,"Часы",INDEX(Техника!$G$1:$ABN$500,R$2,0),$A$1495,INDEX(Техника!$H$1:$ABO$500,R$2,0),"З")</f>
        <v>0</v>
      </c>
      <c r="S1500" s="50">
        <f>SUMIFS(INDEX(Техника!$F$1:$ABM$500,S$2,0),Техника!$F$4:$ABM$4,"Часы",INDEX(Техника!$G$1:$ABN$500,S$2,0),$A$1495,INDEX(Техника!$H$1:$ABO$500,S$2,0),"З")</f>
        <v>0</v>
      </c>
      <c r="T1500" s="50">
        <f>SUMIFS(INDEX(Техника!$F$1:$ABM$500,T$2,0),Техника!$F$4:$ABM$4,"Часы",INDEX(Техника!$G$1:$ABN$500,T$2,0),$A$1495,INDEX(Техника!$H$1:$ABO$500,T$2,0),"З")</f>
        <v>0</v>
      </c>
      <c r="U1500" s="50">
        <f>SUMIFS(INDEX(Техника!$F$1:$ABM$500,U$2,0),Техника!$F$4:$ABM$4,"Часы",INDEX(Техника!$G$1:$ABN$500,U$2,0),$A$1495,INDEX(Техника!$H$1:$ABO$500,U$2,0),"З")</f>
        <v>0</v>
      </c>
      <c r="V1500" s="50">
        <f>SUMIFS(INDEX(Техника!$F$1:$ABM$500,V$2,0),Техника!$F$4:$ABM$4,"Часы",INDEX(Техника!$G$1:$ABN$500,V$2,0),$A$1495,INDEX(Техника!$H$1:$ABO$500,V$2,0),"З")</f>
        <v>0</v>
      </c>
      <c r="W1500" s="50">
        <f>SUMIFS(INDEX(Техника!$F$1:$ABM$500,W$2,0),Техника!$F$4:$ABM$4,"Часы",INDEX(Техника!$G$1:$ABN$500,W$2,0),$A$1495,INDEX(Техника!$H$1:$ABO$500,W$2,0),"З")</f>
        <v>0</v>
      </c>
      <c r="X1500" s="50">
        <f>SUMIFS(INDEX(Техника!$F$1:$ABM$500,X$2,0),Техника!$F$4:$ABM$4,"Часы",INDEX(Техника!$G$1:$ABN$500,X$2,0),$A$1495,INDEX(Техника!$H$1:$ABO$500,X$2,0),"З")</f>
        <v>0</v>
      </c>
      <c r="Y1500" s="50">
        <f>SUMIFS(INDEX(Техника!$F$1:$ABM$500,Y$2,0),Техника!$F$4:$ABM$4,"Часы",INDEX(Техника!$G$1:$ABN$500,Y$2,0),$A$1495,INDEX(Техника!$H$1:$ABO$500,Y$2,0),"З")</f>
        <v>0</v>
      </c>
      <c r="Z1500" s="50">
        <f>SUMIFS(INDEX(Техника!$F$1:$ABM$500,Z$2,0),Техника!$F$4:$ABM$4,"Часы",INDEX(Техника!$G$1:$ABN$500,Z$2,0),$A$1495,INDEX(Техника!$H$1:$ABO$500,Z$2,0),"З")</f>
        <v>0</v>
      </c>
      <c r="AA1500" s="50">
        <f>SUMIFS(INDEX(Техника!$F$1:$ABM$500,AA$2,0),Техника!$F$4:$ABM$4,"Часы",INDEX(Техника!$G$1:$ABN$500,AA$2,0),$A$1495,INDEX(Техника!$H$1:$ABO$500,AA$2,0),"З")</f>
        <v>0</v>
      </c>
      <c r="AB1500" s="50">
        <f>SUMIFS(INDEX(Техника!$F$1:$ABM$500,AB$2,0),Техника!$F$4:$ABM$4,"Часы",INDEX(Техника!$G$1:$ABN$500,AB$2,0),$A$1495,INDEX(Техника!$H$1:$ABO$500,AB$2,0),"З")</f>
        <v>0</v>
      </c>
    </row>
    <row r="1501" spans="1:28" ht="7.95" customHeight="1" x14ac:dyDescent="0.3">
      <c r="A1501" s="38"/>
      <c r="B1501" s="39"/>
      <c r="C1501" s="51"/>
      <c r="D1501" s="51"/>
      <c r="E1501" s="51"/>
      <c r="F1501" s="51"/>
      <c r="G1501" s="51"/>
      <c r="H1501" s="51"/>
      <c r="I1501" s="51"/>
      <c r="J1501" s="51"/>
      <c r="K1501" s="51"/>
      <c r="L1501" s="51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</row>
    <row r="1502" spans="1:28" ht="25.05" customHeight="1" collapsed="1" x14ac:dyDescent="0.3">
      <c r="A1502" s="32">
        <v>215</v>
      </c>
      <c r="B1502" s="32" t="s">
        <v>216</v>
      </c>
      <c r="C1502" s="49">
        <f>SUM(C1503:C1507)</f>
        <v>0</v>
      </c>
      <c r="D1502" s="49">
        <f>SUM(D1503:D1507)</f>
        <v>0</v>
      </c>
      <c r="E1502" s="49">
        <f>SUM(E1503:E1507)</f>
        <v>0</v>
      </c>
      <c r="F1502" s="49">
        <f>SUM(F1503:F1507)</f>
        <v>0</v>
      </c>
      <c r="G1502" s="49">
        <f>SUM(G1503:G1507)</f>
        <v>0</v>
      </c>
      <c r="H1502" s="49">
        <f>SUM(H1503:H1507)</f>
        <v>0</v>
      </c>
      <c r="I1502" s="49">
        <f>SUM(I1503:I1507)</f>
        <v>0</v>
      </c>
      <c r="J1502" s="49">
        <f>SUM(J1503:J1507)</f>
        <v>0</v>
      </c>
      <c r="K1502" s="49">
        <f>SUM(K1503:K1507)</f>
        <v>0</v>
      </c>
      <c r="L1502" s="49">
        <f>SUM(L1503:L1507)</f>
        <v>0</v>
      </c>
      <c r="M1502" s="49">
        <f>SUM(M1503:M1507)</f>
        <v>0</v>
      </c>
      <c r="N1502" s="49">
        <f>SUM(N1503:N1507)</f>
        <v>0</v>
      </c>
      <c r="O1502" s="49">
        <f>SUM(O1503:O1507)</f>
        <v>0</v>
      </c>
      <c r="P1502" s="49">
        <f>SUM(P1503:P1507)</f>
        <v>0</v>
      </c>
      <c r="Q1502" s="49">
        <f>SUM(Q1503:Q1507)</f>
        <v>0</v>
      </c>
      <c r="R1502" s="49">
        <f>SUM(R1503:R1507)</f>
        <v>0</v>
      </c>
      <c r="S1502" s="49">
        <f>SUM(S1503:S1507)</f>
        <v>0</v>
      </c>
      <c r="T1502" s="49">
        <f>SUM(T1503:T1507)</f>
        <v>0</v>
      </c>
      <c r="U1502" s="49">
        <f>SUM(U1503:U1507)</f>
        <v>0</v>
      </c>
      <c r="V1502" s="49">
        <f>SUM(V1503:V1507)</f>
        <v>0</v>
      </c>
      <c r="W1502" s="49">
        <f>SUM(W1503:W1507)</f>
        <v>0</v>
      </c>
      <c r="X1502" s="49">
        <f>SUM(X1503:X1507)</f>
        <v>0</v>
      </c>
      <c r="Y1502" s="49">
        <f>SUM(Y1503:Y1507)</f>
        <v>0</v>
      </c>
      <c r="Z1502" s="49">
        <f>SUM(Z1503:Z1507)</f>
        <v>0</v>
      </c>
      <c r="AA1502" s="49">
        <f>SUM(AA1503:AA1507)</f>
        <v>0</v>
      </c>
      <c r="AB1502" s="49">
        <f>SUM(AB1503:AB1507)</f>
        <v>0</v>
      </c>
    </row>
    <row r="1503" spans="1:28" hidden="1" outlineLevel="1" x14ac:dyDescent="0.3">
      <c r="A1503" s="33" t="s">
        <v>246</v>
      </c>
      <c r="B1503" s="34" t="s">
        <v>274</v>
      </c>
      <c r="C1503" s="50">
        <f>SUMIFS(INDEX(Техника!$F$1:$ABM$500,C$2,0),Техника!$F$4:$ABM$4,"Часы",INDEX(Техника!$G$1:$ABN$500,C$2,0),$A$1502,INDEX(Техника!$H$1:$ABO$500,C$2,0),"М")</f>
        <v>0</v>
      </c>
      <c r="D1503" s="50">
        <f>SUMIFS(INDEX(Техника!$F$1:$ABM$500,D$2,0),Техника!$F$4:$ABM$4,"Часы",INDEX(Техника!$G$1:$ABN$500,D$2,0),$A$1502,INDEX(Техника!$H$1:$ABO$500,D$2,0),"М")</f>
        <v>0</v>
      </c>
      <c r="E1503" s="50">
        <f>SUMIFS(INDEX(Техника!$F$1:$ABM$500,E$2,0),Техника!$F$4:$ABM$4,"Часы",INDEX(Техника!$G$1:$ABN$500,E$2,0),$A$1502,INDEX(Техника!$H$1:$ABO$500,E$2,0),"М")</f>
        <v>0</v>
      </c>
      <c r="F1503" s="50">
        <f>SUMIFS(INDEX(Техника!$F$1:$ABM$500,F$2,0),Техника!$F$4:$ABM$4,"Часы",INDEX(Техника!$G$1:$ABN$500,F$2,0),$A$1502,INDEX(Техника!$H$1:$ABO$500,F$2,0),"М")</f>
        <v>0</v>
      </c>
      <c r="G1503" s="50">
        <f>SUMIFS(INDEX(Техника!$F$1:$ABM$500,G$2,0),Техника!$F$4:$ABM$4,"Часы",INDEX(Техника!$G$1:$ABN$500,G$2,0),$A$1502,INDEX(Техника!$H$1:$ABO$500,G$2,0),"М")</f>
        <v>0</v>
      </c>
      <c r="H1503" s="50">
        <f>SUMIFS(INDEX(Техника!$F$1:$ABM$500,H$2,0),Техника!$F$4:$ABM$4,"Часы",INDEX(Техника!$G$1:$ABN$500,H$2,0),$A$1502,INDEX(Техника!$H$1:$ABO$500,H$2,0),"М")</f>
        <v>0</v>
      </c>
      <c r="I1503" s="50">
        <f>SUMIFS(INDEX(Техника!$F$1:$ABM$500,I$2,0),Техника!$F$4:$ABM$4,"Часы",INDEX(Техника!$G$1:$ABN$500,I$2,0),$A$1502,INDEX(Техника!$H$1:$ABO$500,I$2,0),"М")</f>
        <v>0</v>
      </c>
      <c r="J1503" s="50">
        <f>SUMIFS(INDEX(Техника!$F$1:$ABM$500,J$2,0),Техника!$F$4:$ABM$4,"Часы",INDEX(Техника!$G$1:$ABN$500,J$2,0),$A$1502,INDEX(Техника!$H$1:$ABO$500,J$2,0),"М")</f>
        <v>0</v>
      </c>
      <c r="K1503" s="50">
        <f>SUMIFS(INDEX(Техника!$F$1:$ABM$500,K$2,0),Техника!$F$4:$ABM$4,"Часы",INDEX(Техника!$G$1:$ABN$500,K$2,0),$A$1502,INDEX(Техника!$H$1:$ABO$500,K$2,0),"М")</f>
        <v>0</v>
      </c>
      <c r="L1503" s="50">
        <f>SUMIFS(INDEX(Техника!$F$1:$ABM$500,L$2,0),Техника!$F$4:$ABM$4,"Часы",INDEX(Техника!$G$1:$ABN$500,L$2,0),$A$1502,INDEX(Техника!$H$1:$ABO$500,L$2,0),"М")</f>
        <v>0</v>
      </c>
      <c r="M1503" s="50">
        <f>SUMIFS(INDEX(Техника!$F$1:$ABM$500,M$2,0),Техника!$F$4:$ABM$4,"Часы",INDEX(Техника!$G$1:$ABN$500,M$2,0),$A$1502,INDEX(Техника!$H$1:$ABO$500,M$2,0),"М")</f>
        <v>0</v>
      </c>
      <c r="N1503" s="50">
        <f>SUMIFS(INDEX(Техника!$F$1:$ABM$500,N$2,0),Техника!$F$4:$ABM$4,"Часы",INDEX(Техника!$G$1:$ABN$500,N$2,0),$A$1502,INDEX(Техника!$H$1:$ABO$500,N$2,0),"М")</f>
        <v>0</v>
      </c>
      <c r="O1503" s="50">
        <f>SUMIFS(INDEX(Техника!$F$1:$ABM$500,O$2,0),Техника!$F$4:$ABM$4,"Часы",INDEX(Техника!$G$1:$ABN$500,O$2,0),$A$1502,INDEX(Техника!$H$1:$ABO$500,O$2,0),"М")</f>
        <v>0</v>
      </c>
      <c r="P1503" s="50">
        <f>SUMIFS(INDEX(Техника!$F$1:$ABM$500,P$2,0),Техника!$F$4:$ABM$4,"Часы",INDEX(Техника!$G$1:$ABN$500,P$2,0),$A$1502,INDEX(Техника!$H$1:$ABO$500,P$2,0),"М")</f>
        <v>0</v>
      </c>
      <c r="Q1503" s="50">
        <f>SUMIFS(INDEX(Техника!$F$1:$ABM$500,Q$2,0),Техника!$F$4:$ABM$4,"Часы",INDEX(Техника!$G$1:$ABN$500,Q$2,0),$A$1502,INDEX(Техника!$H$1:$ABO$500,Q$2,0),"М")</f>
        <v>0</v>
      </c>
      <c r="R1503" s="50">
        <f>SUMIFS(INDEX(Техника!$F$1:$ABM$500,R$2,0),Техника!$F$4:$ABM$4,"Часы",INDEX(Техника!$G$1:$ABN$500,R$2,0),$A$1502,INDEX(Техника!$H$1:$ABO$500,R$2,0),"М")</f>
        <v>0</v>
      </c>
      <c r="S1503" s="50">
        <f>SUMIFS(INDEX(Техника!$F$1:$ABM$500,S$2,0),Техника!$F$4:$ABM$4,"Часы",INDEX(Техника!$G$1:$ABN$500,S$2,0),$A$1502,INDEX(Техника!$H$1:$ABO$500,S$2,0),"М")</f>
        <v>0</v>
      </c>
      <c r="T1503" s="50">
        <f>SUMIFS(INDEX(Техника!$F$1:$ABM$500,T$2,0),Техника!$F$4:$ABM$4,"Часы",INDEX(Техника!$G$1:$ABN$500,T$2,0),$A$1502,INDEX(Техника!$H$1:$ABO$500,T$2,0),"М")</f>
        <v>0</v>
      </c>
      <c r="U1503" s="50">
        <f>SUMIFS(INDEX(Техника!$F$1:$ABM$500,U$2,0),Техника!$F$4:$ABM$4,"Часы",INDEX(Техника!$G$1:$ABN$500,U$2,0),$A$1502,INDEX(Техника!$H$1:$ABO$500,U$2,0),"М")</f>
        <v>0</v>
      </c>
      <c r="V1503" s="50">
        <f>SUMIFS(INDEX(Техника!$F$1:$ABM$500,V$2,0),Техника!$F$4:$ABM$4,"Часы",INDEX(Техника!$G$1:$ABN$500,V$2,0),$A$1502,INDEX(Техника!$H$1:$ABO$500,V$2,0),"М")</f>
        <v>0</v>
      </c>
      <c r="W1503" s="50">
        <f>SUMIFS(INDEX(Техника!$F$1:$ABM$500,W$2,0),Техника!$F$4:$ABM$4,"Часы",INDEX(Техника!$G$1:$ABN$500,W$2,0),$A$1502,INDEX(Техника!$H$1:$ABO$500,W$2,0),"М")</f>
        <v>0</v>
      </c>
      <c r="X1503" s="50">
        <f>SUMIFS(INDEX(Техника!$F$1:$ABM$500,X$2,0),Техника!$F$4:$ABM$4,"Часы",INDEX(Техника!$G$1:$ABN$500,X$2,0),$A$1502,INDEX(Техника!$H$1:$ABO$500,X$2,0),"М")</f>
        <v>0</v>
      </c>
      <c r="Y1503" s="50">
        <f>SUMIFS(INDEX(Техника!$F$1:$ABM$500,Y$2,0),Техника!$F$4:$ABM$4,"Часы",INDEX(Техника!$G$1:$ABN$500,Y$2,0),$A$1502,INDEX(Техника!$H$1:$ABO$500,Y$2,0),"М")</f>
        <v>0</v>
      </c>
      <c r="Z1503" s="50">
        <f>SUMIFS(INDEX(Техника!$F$1:$ABM$500,Z$2,0),Техника!$F$4:$ABM$4,"Часы",INDEX(Техника!$G$1:$ABN$500,Z$2,0),$A$1502,INDEX(Техника!$H$1:$ABO$500,Z$2,0),"М")</f>
        <v>0</v>
      </c>
      <c r="AA1503" s="50">
        <f>SUMIFS(INDEX(Техника!$F$1:$ABM$500,AA$2,0),Техника!$F$4:$ABM$4,"Часы",INDEX(Техника!$G$1:$ABN$500,AA$2,0),$A$1502,INDEX(Техника!$H$1:$ABO$500,AA$2,0),"М")</f>
        <v>0</v>
      </c>
      <c r="AB1503" s="50">
        <f>SUMIFS(INDEX(Техника!$F$1:$ABM$500,AB$2,0),Техника!$F$4:$ABM$4,"Часы",INDEX(Техника!$G$1:$ABN$500,AB$2,0),$A$1502,INDEX(Техника!$H$1:$ABO$500,AB$2,0),"М")</f>
        <v>0</v>
      </c>
    </row>
    <row r="1504" spans="1:28" hidden="1" outlineLevel="1" x14ac:dyDescent="0.3">
      <c r="A1504" s="33" t="s">
        <v>244</v>
      </c>
      <c r="B1504" s="34" t="s">
        <v>275</v>
      </c>
      <c r="C1504" s="50">
        <f>SUMIFS(INDEX(Техника!$F$1:$ABM$500,C$2,0),Техника!$F$4:$ABM$4,"Часы",INDEX(Техника!$G$1:$ABN$500,C$2,0),$A$1502,INDEX(Техника!$H$1:$ABO$500,C$2,0),"Д")</f>
        <v>0</v>
      </c>
      <c r="D1504" s="50">
        <f>SUMIFS(INDEX(Техника!$F$1:$ABM$500,D$2,0),Техника!$F$4:$ABM$4,"Часы",INDEX(Техника!$G$1:$ABN$500,D$2,0),$A$1502,INDEX(Техника!$H$1:$ABO$500,D$2,0),"Д")</f>
        <v>0</v>
      </c>
      <c r="E1504" s="50">
        <f>SUMIFS(INDEX(Техника!$F$1:$ABM$500,E$2,0),Техника!$F$4:$ABM$4,"Часы",INDEX(Техника!$G$1:$ABN$500,E$2,0),$A$1502,INDEX(Техника!$H$1:$ABO$500,E$2,0),"Д")</f>
        <v>0</v>
      </c>
      <c r="F1504" s="50">
        <f>SUMIFS(INDEX(Техника!$F$1:$ABM$500,F$2,0),Техника!$F$4:$ABM$4,"Часы",INDEX(Техника!$G$1:$ABN$500,F$2,0),$A$1502,INDEX(Техника!$H$1:$ABO$500,F$2,0),"Д")</f>
        <v>0</v>
      </c>
      <c r="G1504" s="50">
        <f>SUMIFS(INDEX(Техника!$F$1:$ABM$500,G$2,0),Техника!$F$4:$ABM$4,"Часы",INDEX(Техника!$G$1:$ABN$500,G$2,0),$A$1502,INDEX(Техника!$H$1:$ABO$500,G$2,0),"Д")</f>
        <v>0</v>
      </c>
      <c r="H1504" s="50">
        <f>SUMIFS(INDEX(Техника!$F$1:$ABM$500,H$2,0),Техника!$F$4:$ABM$4,"Часы",INDEX(Техника!$G$1:$ABN$500,H$2,0),$A$1502,INDEX(Техника!$H$1:$ABO$500,H$2,0),"Д")</f>
        <v>0</v>
      </c>
      <c r="I1504" s="50">
        <f>SUMIFS(INDEX(Техника!$F$1:$ABM$500,I$2,0),Техника!$F$4:$ABM$4,"Часы",INDEX(Техника!$G$1:$ABN$500,I$2,0),$A$1502,INDEX(Техника!$H$1:$ABO$500,I$2,0),"Д")</f>
        <v>0</v>
      </c>
      <c r="J1504" s="50">
        <f>SUMIFS(INDEX(Техника!$F$1:$ABM$500,J$2,0),Техника!$F$4:$ABM$4,"Часы",INDEX(Техника!$G$1:$ABN$500,J$2,0),$A$1502,INDEX(Техника!$H$1:$ABO$500,J$2,0),"Д")</f>
        <v>0</v>
      </c>
      <c r="K1504" s="50">
        <f>SUMIFS(INDEX(Техника!$F$1:$ABM$500,K$2,0),Техника!$F$4:$ABM$4,"Часы",INDEX(Техника!$G$1:$ABN$500,K$2,0),$A$1502,INDEX(Техника!$H$1:$ABO$500,K$2,0),"Д")</f>
        <v>0</v>
      </c>
      <c r="L1504" s="50">
        <f>SUMIFS(INDEX(Техника!$F$1:$ABM$500,L$2,0),Техника!$F$4:$ABM$4,"Часы",INDEX(Техника!$G$1:$ABN$500,L$2,0),$A$1502,INDEX(Техника!$H$1:$ABO$500,L$2,0),"Д")</f>
        <v>0</v>
      </c>
      <c r="M1504" s="50">
        <f>SUMIFS(INDEX(Техника!$F$1:$ABM$500,M$2,0),Техника!$F$4:$ABM$4,"Часы",INDEX(Техника!$G$1:$ABN$500,M$2,0),$A$1502,INDEX(Техника!$H$1:$ABO$500,M$2,0),"Д")</f>
        <v>0</v>
      </c>
      <c r="N1504" s="50">
        <f>SUMIFS(INDEX(Техника!$F$1:$ABM$500,N$2,0),Техника!$F$4:$ABM$4,"Часы",INDEX(Техника!$G$1:$ABN$500,N$2,0),$A$1502,INDEX(Техника!$H$1:$ABO$500,N$2,0),"Д")</f>
        <v>0</v>
      </c>
      <c r="O1504" s="50">
        <f>SUMIFS(INDEX(Техника!$F$1:$ABM$500,O$2,0),Техника!$F$4:$ABM$4,"Часы",INDEX(Техника!$G$1:$ABN$500,O$2,0),$A$1502,INDEX(Техника!$H$1:$ABO$500,O$2,0),"Д")</f>
        <v>0</v>
      </c>
      <c r="P1504" s="50">
        <f>SUMIFS(INDEX(Техника!$F$1:$ABM$500,P$2,0),Техника!$F$4:$ABM$4,"Часы",INDEX(Техника!$G$1:$ABN$500,P$2,0),$A$1502,INDEX(Техника!$H$1:$ABO$500,P$2,0),"Д")</f>
        <v>0</v>
      </c>
      <c r="Q1504" s="50">
        <f>SUMIFS(INDEX(Техника!$F$1:$ABM$500,Q$2,0),Техника!$F$4:$ABM$4,"Часы",INDEX(Техника!$G$1:$ABN$500,Q$2,0),$A$1502,INDEX(Техника!$H$1:$ABO$500,Q$2,0),"Д")</f>
        <v>0</v>
      </c>
      <c r="R1504" s="50">
        <f>SUMIFS(INDEX(Техника!$F$1:$ABM$500,R$2,0),Техника!$F$4:$ABM$4,"Часы",INDEX(Техника!$G$1:$ABN$500,R$2,0),$A$1502,INDEX(Техника!$H$1:$ABO$500,R$2,0),"Д")</f>
        <v>0</v>
      </c>
      <c r="S1504" s="50">
        <f>SUMIFS(INDEX(Техника!$F$1:$ABM$500,S$2,0),Техника!$F$4:$ABM$4,"Часы",INDEX(Техника!$G$1:$ABN$500,S$2,0),$A$1502,INDEX(Техника!$H$1:$ABO$500,S$2,0),"Д")</f>
        <v>0</v>
      </c>
      <c r="T1504" s="50">
        <f>SUMIFS(INDEX(Техника!$F$1:$ABM$500,T$2,0),Техника!$F$4:$ABM$4,"Часы",INDEX(Техника!$G$1:$ABN$500,T$2,0),$A$1502,INDEX(Техника!$H$1:$ABO$500,T$2,0),"Д")</f>
        <v>0</v>
      </c>
      <c r="U1504" s="50">
        <f>SUMIFS(INDEX(Техника!$F$1:$ABM$500,U$2,0),Техника!$F$4:$ABM$4,"Часы",INDEX(Техника!$G$1:$ABN$500,U$2,0),$A$1502,INDEX(Техника!$H$1:$ABO$500,U$2,0),"Д")</f>
        <v>0</v>
      </c>
      <c r="V1504" s="50">
        <f>SUMIFS(INDEX(Техника!$F$1:$ABM$500,V$2,0),Техника!$F$4:$ABM$4,"Часы",INDEX(Техника!$G$1:$ABN$500,V$2,0),$A$1502,INDEX(Техника!$H$1:$ABO$500,V$2,0),"Д")</f>
        <v>0</v>
      </c>
      <c r="W1504" s="50">
        <f>SUMIFS(INDEX(Техника!$F$1:$ABM$500,W$2,0),Техника!$F$4:$ABM$4,"Часы",INDEX(Техника!$G$1:$ABN$500,W$2,0),$A$1502,INDEX(Техника!$H$1:$ABO$500,W$2,0),"Д")</f>
        <v>0</v>
      </c>
      <c r="X1504" s="50">
        <f>SUMIFS(INDEX(Техника!$F$1:$ABM$500,X$2,0),Техника!$F$4:$ABM$4,"Часы",INDEX(Техника!$G$1:$ABN$500,X$2,0),$A$1502,INDEX(Техника!$H$1:$ABO$500,X$2,0),"Д")</f>
        <v>0</v>
      </c>
      <c r="Y1504" s="50">
        <f>SUMIFS(INDEX(Техника!$F$1:$ABM$500,Y$2,0),Техника!$F$4:$ABM$4,"Часы",INDEX(Техника!$G$1:$ABN$500,Y$2,0),$A$1502,INDEX(Техника!$H$1:$ABO$500,Y$2,0),"Д")</f>
        <v>0</v>
      </c>
      <c r="Z1504" s="50">
        <f>SUMIFS(INDEX(Техника!$F$1:$ABM$500,Z$2,0),Техника!$F$4:$ABM$4,"Часы",INDEX(Техника!$G$1:$ABN$500,Z$2,0),$A$1502,INDEX(Техника!$H$1:$ABO$500,Z$2,0),"Д")</f>
        <v>0</v>
      </c>
      <c r="AA1504" s="50">
        <f>SUMIFS(INDEX(Техника!$F$1:$ABM$500,AA$2,0),Техника!$F$4:$ABM$4,"Часы",INDEX(Техника!$G$1:$ABN$500,AA$2,0),$A$1502,INDEX(Техника!$H$1:$ABO$500,AA$2,0),"Д")</f>
        <v>0</v>
      </c>
      <c r="AB1504" s="50">
        <f>SUMIFS(INDEX(Техника!$F$1:$ABM$500,AB$2,0),Техника!$F$4:$ABM$4,"Часы",INDEX(Техника!$G$1:$ABN$500,AB$2,0),$A$1502,INDEX(Техника!$H$1:$ABO$500,AB$2,0),"Д")</f>
        <v>0</v>
      </c>
    </row>
    <row r="1505" spans="1:28" hidden="1" outlineLevel="1" x14ac:dyDescent="0.3">
      <c r="A1505" s="33" t="s">
        <v>276</v>
      </c>
      <c r="B1505" s="34" t="s">
        <v>277</v>
      </c>
      <c r="C1505" s="50">
        <f>SUMIFS(INDEX(Техника!$F$1:$ABM$500,C$2,0),Техника!$F$4:$ABM$4,"Часы",INDEX(Техника!$G$1:$ABN$500,C$2,0),$A$1502,INDEX(Техника!$H$1:$ABO$500,C$2,0),"П")</f>
        <v>0</v>
      </c>
      <c r="D1505" s="50">
        <f>SUMIFS(INDEX(Техника!$F$1:$ABM$500,D$2,0),Техника!$F$4:$ABM$4,"Часы",INDEX(Техника!$G$1:$ABN$500,D$2,0),$A$1502,INDEX(Техника!$H$1:$ABO$500,D$2,0),"П")</f>
        <v>0</v>
      </c>
      <c r="E1505" s="50">
        <f>SUMIFS(INDEX(Техника!$F$1:$ABM$500,E$2,0),Техника!$F$4:$ABM$4,"Часы",INDEX(Техника!$G$1:$ABN$500,E$2,0),$A$1502,INDEX(Техника!$H$1:$ABO$500,E$2,0),"П")</f>
        <v>0</v>
      </c>
      <c r="F1505" s="50">
        <f>SUMIFS(INDEX(Техника!$F$1:$ABM$500,F$2,0),Техника!$F$4:$ABM$4,"Часы",INDEX(Техника!$G$1:$ABN$500,F$2,0),$A$1502,INDEX(Техника!$H$1:$ABO$500,F$2,0),"П")</f>
        <v>0</v>
      </c>
      <c r="G1505" s="50">
        <f>SUMIFS(INDEX(Техника!$F$1:$ABM$500,G$2,0),Техника!$F$4:$ABM$4,"Часы",INDEX(Техника!$G$1:$ABN$500,G$2,0),$A$1502,INDEX(Техника!$H$1:$ABO$500,G$2,0),"П")</f>
        <v>0</v>
      </c>
      <c r="H1505" s="50">
        <f>SUMIFS(INDEX(Техника!$F$1:$ABM$500,H$2,0),Техника!$F$4:$ABM$4,"Часы",INDEX(Техника!$G$1:$ABN$500,H$2,0),$A$1502,INDEX(Техника!$H$1:$ABO$500,H$2,0),"П")</f>
        <v>0</v>
      </c>
      <c r="I1505" s="50">
        <f>SUMIFS(INDEX(Техника!$F$1:$ABM$500,I$2,0),Техника!$F$4:$ABM$4,"Часы",INDEX(Техника!$G$1:$ABN$500,I$2,0),$A$1502,INDEX(Техника!$H$1:$ABO$500,I$2,0),"П")</f>
        <v>0</v>
      </c>
      <c r="J1505" s="50">
        <f>SUMIFS(INDEX(Техника!$F$1:$ABM$500,J$2,0),Техника!$F$4:$ABM$4,"Часы",INDEX(Техника!$G$1:$ABN$500,J$2,0),$A$1502,INDEX(Техника!$H$1:$ABO$500,J$2,0),"П")</f>
        <v>0</v>
      </c>
      <c r="K1505" s="50">
        <f>SUMIFS(INDEX(Техника!$F$1:$ABM$500,K$2,0),Техника!$F$4:$ABM$4,"Часы",INDEX(Техника!$G$1:$ABN$500,K$2,0),$A$1502,INDEX(Техника!$H$1:$ABO$500,K$2,0),"П")</f>
        <v>0</v>
      </c>
      <c r="L1505" s="50">
        <f>SUMIFS(INDEX(Техника!$F$1:$ABM$500,L$2,0),Техника!$F$4:$ABM$4,"Часы",INDEX(Техника!$G$1:$ABN$500,L$2,0),$A$1502,INDEX(Техника!$H$1:$ABO$500,L$2,0),"П")</f>
        <v>0</v>
      </c>
      <c r="M1505" s="50">
        <f>SUMIFS(INDEX(Техника!$F$1:$ABM$500,M$2,0),Техника!$F$4:$ABM$4,"Часы",INDEX(Техника!$G$1:$ABN$500,M$2,0),$A$1502,INDEX(Техника!$H$1:$ABO$500,M$2,0),"П")</f>
        <v>0</v>
      </c>
      <c r="N1505" s="50">
        <f>SUMIFS(INDEX(Техника!$F$1:$ABM$500,N$2,0),Техника!$F$4:$ABM$4,"Часы",INDEX(Техника!$G$1:$ABN$500,N$2,0),$A$1502,INDEX(Техника!$H$1:$ABO$500,N$2,0),"П")</f>
        <v>0</v>
      </c>
      <c r="O1505" s="50">
        <f>SUMIFS(INDEX(Техника!$F$1:$ABM$500,O$2,0),Техника!$F$4:$ABM$4,"Часы",INDEX(Техника!$G$1:$ABN$500,O$2,0),$A$1502,INDEX(Техника!$H$1:$ABO$500,O$2,0),"П")</f>
        <v>0</v>
      </c>
      <c r="P1505" s="50">
        <f>SUMIFS(INDEX(Техника!$F$1:$ABM$500,P$2,0),Техника!$F$4:$ABM$4,"Часы",INDEX(Техника!$G$1:$ABN$500,P$2,0),$A$1502,INDEX(Техника!$H$1:$ABO$500,P$2,0),"П")</f>
        <v>0</v>
      </c>
      <c r="Q1505" s="50">
        <f>SUMIFS(INDEX(Техника!$F$1:$ABM$500,Q$2,0),Техника!$F$4:$ABM$4,"Часы",INDEX(Техника!$G$1:$ABN$500,Q$2,0),$A$1502,INDEX(Техника!$H$1:$ABO$500,Q$2,0),"П")</f>
        <v>0</v>
      </c>
      <c r="R1505" s="50">
        <f>SUMIFS(INDEX(Техника!$F$1:$ABM$500,R$2,0),Техника!$F$4:$ABM$4,"Часы",INDEX(Техника!$G$1:$ABN$500,R$2,0),$A$1502,INDEX(Техника!$H$1:$ABO$500,R$2,0),"П")</f>
        <v>0</v>
      </c>
      <c r="S1505" s="50">
        <f>SUMIFS(INDEX(Техника!$F$1:$ABM$500,S$2,0),Техника!$F$4:$ABM$4,"Часы",INDEX(Техника!$G$1:$ABN$500,S$2,0),$A$1502,INDEX(Техника!$H$1:$ABO$500,S$2,0),"П")</f>
        <v>0</v>
      </c>
      <c r="T1505" s="50">
        <f>SUMIFS(INDEX(Техника!$F$1:$ABM$500,T$2,0),Техника!$F$4:$ABM$4,"Часы",INDEX(Техника!$G$1:$ABN$500,T$2,0),$A$1502,INDEX(Техника!$H$1:$ABO$500,T$2,0),"П")</f>
        <v>0</v>
      </c>
      <c r="U1505" s="50">
        <f>SUMIFS(INDEX(Техника!$F$1:$ABM$500,U$2,0),Техника!$F$4:$ABM$4,"Часы",INDEX(Техника!$G$1:$ABN$500,U$2,0),$A$1502,INDEX(Техника!$H$1:$ABO$500,U$2,0),"П")</f>
        <v>0</v>
      </c>
      <c r="V1505" s="50">
        <f>SUMIFS(INDEX(Техника!$F$1:$ABM$500,V$2,0),Техника!$F$4:$ABM$4,"Часы",INDEX(Техника!$G$1:$ABN$500,V$2,0),$A$1502,INDEX(Техника!$H$1:$ABO$500,V$2,0),"П")</f>
        <v>0</v>
      </c>
      <c r="W1505" s="50">
        <f>SUMIFS(INDEX(Техника!$F$1:$ABM$500,W$2,0),Техника!$F$4:$ABM$4,"Часы",INDEX(Техника!$G$1:$ABN$500,W$2,0),$A$1502,INDEX(Техника!$H$1:$ABO$500,W$2,0),"П")</f>
        <v>0</v>
      </c>
      <c r="X1505" s="50">
        <f>SUMIFS(INDEX(Техника!$F$1:$ABM$500,X$2,0),Техника!$F$4:$ABM$4,"Часы",INDEX(Техника!$G$1:$ABN$500,X$2,0),$A$1502,INDEX(Техника!$H$1:$ABO$500,X$2,0),"П")</f>
        <v>0</v>
      </c>
      <c r="Y1505" s="50">
        <f>SUMIFS(INDEX(Техника!$F$1:$ABM$500,Y$2,0),Техника!$F$4:$ABM$4,"Часы",INDEX(Техника!$G$1:$ABN$500,Y$2,0),$A$1502,INDEX(Техника!$H$1:$ABO$500,Y$2,0),"П")</f>
        <v>0</v>
      </c>
      <c r="Z1505" s="50">
        <f>SUMIFS(INDEX(Техника!$F$1:$ABM$500,Z$2,0),Техника!$F$4:$ABM$4,"Часы",INDEX(Техника!$G$1:$ABN$500,Z$2,0),$A$1502,INDEX(Техника!$H$1:$ABO$500,Z$2,0),"П")</f>
        <v>0</v>
      </c>
      <c r="AA1505" s="50">
        <f>SUMIFS(INDEX(Техника!$F$1:$ABM$500,AA$2,0),Техника!$F$4:$ABM$4,"Часы",INDEX(Техника!$G$1:$ABN$500,AA$2,0),$A$1502,INDEX(Техника!$H$1:$ABO$500,AA$2,0),"П")</f>
        <v>0</v>
      </c>
      <c r="AB1505" s="50">
        <f>SUMIFS(INDEX(Техника!$F$1:$ABM$500,AB$2,0),Техника!$F$4:$ABM$4,"Часы",INDEX(Техника!$G$1:$ABN$500,AB$2,0),$A$1502,INDEX(Техника!$H$1:$ABO$500,AB$2,0),"П")</f>
        <v>0</v>
      </c>
    </row>
    <row r="1506" spans="1:28" hidden="1" outlineLevel="1" x14ac:dyDescent="0.3">
      <c r="A1506" s="33" t="s">
        <v>243</v>
      </c>
      <c r="B1506" s="34" t="s">
        <v>278</v>
      </c>
      <c r="C1506" s="50">
        <f>SUMIFS(INDEX(Техника!$F$1:$ABM$500,C$2,0),Техника!$F$4:$ABM$4,"Часы",INDEX(Техника!$G$1:$ABN$500,C$2,0),$A$1502,INDEX(Техника!$H$1:$ABO$500,C$2,0),"Л")</f>
        <v>0</v>
      </c>
      <c r="D1506" s="50">
        <f>SUMIFS(INDEX(Техника!$F$1:$ABM$500,D$2,0),Техника!$F$4:$ABM$4,"Часы",INDEX(Техника!$G$1:$ABN$500,D$2,0),$A$1502,INDEX(Техника!$H$1:$ABO$500,D$2,0),"Л")</f>
        <v>0</v>
      </c>
      <c r="E1506" s="50">
        <f>SUMIFS(INDEX(Техника!$F$1:$ABM$500,E$2,0),Техника!$F$4:$ABM$4,"Часы",INDEX(Техника!$G$1:$ABN$500,E$2,0),$A$1502,INDEX(Техника!$H$1:$ABO$500,E$2,0),"Л")</f>
        <v>0</v>
      </c>
      <c r="F1506" s="50">
        <f>SUMIFS(INDEX(Техника!$F$1:$ABM$500,F$2,0),Техника!$F$4:$ABM$4,"Часы",INDEX(Техника!$G$1:$ABN$500,F$2,0),$A$1502,INDEX(Техника!$H$1:$ABO$500,F$2,0),"Л")</f>
        <v>0</v>
      </c>
      <c r="G1506" s="50">
        <f>SUMIFS(INDEX(Техника!$F$1:$ABM$500,G$2,0),Техника!$F$4:$ABM$4,"Часы",INDEX(Техника!$G$1:$ABN$500,G$2,0),$A$1502,INDEX(Техника!$H$1:$ABO$500,G$2,0),"Л")</f>
        <v>0</v>
      </c>
      <c r="H1506" s="50">
        <f>SUMIFS(INDEX(Техника!$F$1:$ABM$500,H$2,0),Техника!$F$4:$ABM$4,"Часы",INDEX(Техника!$G$1:$ABN$500,H$2,0),$A$1502,INDEX(Техника!$H$1:$ABO$500,H$2,0),"Л")</f>
        <v>0</v>
      </c>
      <c r="I1506" s="50">
        <f>SUMIFS(INDEX(Техника!$F$1:$ABM$500,I$2,0),Техника!$F$4:$ABM$4,"Часы",INDEX(Техника!$G$1:$ABN$500,I$2,0),$A$1502,INDEX(Техника!$H$1:$ABO$500,I$2,0),"Л")</f>
        <v>0</v>
      </c>
      <c r="J1506" s="50">
        <f>SUMIFS(INDEX(Техника!$F$1:$ABM$500,J$2,0),Техника!$F$4:$ABM$4,"Часы",INDEX(Техника!$G$1:$ABN$500,J$2,0),$A$1502,INDEX(Техника!$H$1:$ABO$500,J$2,0),"Л")</f>
        <v>0</v>
      </c>
      <c r="K1506" s="50">
        <f>SUMIFS(INDEX(Техника!$F$1:$ABM$500,K$2,0),Техника!$F$4:$ABM$4,"Часы",INDEX(Техника!$G$1:$ABN$500,K$2,0),$A$1502,INDEX(Техника!$H$1:$ABO$500,K$2,0),"Л")</f>
        <v>0</v>
      </c>
      <c r="L1506" s="50">
        <f>SUMIFS(INDEX(Техника!$F$1:$ABM$500,L$2,0),Техника!$F$4:$ABM$4,"Часы",INDEX(Техника!$G$1:$ABN$500,L$2,0),$A$1502,INDEX(Техника!$H$1:$ABO$500,L$2,0),"Л")</f>
        <v>0</v>
      </c>
      <c r="M1506" s="50">
        <f>SUMIFS(INDEX(Техника!$F$1:$ABM$500,M$2,0),Техника!$F$4:$ABM$4,"Часы",INDEX(Техника!$G$1:$ABN$500,M$2,0),$A$1502,INDEX(Техника!$H$1:$ABO$500,M$2,0),"Л")</f>
        <v>0</v>
      </c>
      <c r="N1506" s="50">
        <f>SUMIFS(INDEX(Техника!$F$1:$ABM$500,N$2,0),Техника!$F$4:$ABM$4,"Часы",INDEX(Техника!$G$1:$ABN$500,N$2,0),$A$1502,INDEX(Техника!$H$1:$ABO$500,N$2,0),"Л")</f>
        <v>0</v>
      </c>
      <c r="O1506" s="50">
        <f>SUMIFS(INDEX(Техника!$F$1:$ABM$500,O$2,0),Техника!$F$4:$ABM$4,"Часы",INDEX(Техника!$G$1:$ABN$500,O$2,0),$A$1502,INDEX(Техника!$H$1:$ABO$500,O$2,0),"Л")</f>
        <v>0</v>
      </c>
      <c r="P1506" s="50">
        <f>SUMIFS(INDEX(Техника!$F$1:$ABM$500,P$2,0),Техника!$F$4:$ABM$4,"Часы",INDEX(Техника!$G$1:$ABN$500,P$2,0),$A$1502,INDEX(Техника!$H$1:$ABO$500,P$2,0),"Л")</f>
        <v>0</v>
      </c>
      <c r="Q1506" s="50">
        <f>SUMIFS(INDEX(Техника!$F$1:$ABM$500,Q$2,0),Техника!$F$4:$ABM$4,"Часы",INDEX(Техника!$G$1:$ABN$500,Q$2,0),$A$1502,INDEX(Техника!$H$1:$ABO$500,Q$2,0),"Л")</f>
        <v>0</v>
      </c>
      <c r="R1506" s="50">
        <f>SUMIFS(INDEX(Техника!$F$1:$ABM$500,R$2,0),Техника!$F$4:$ABM$4,"Часы",INDEX(Техника!$G$1:$ABN$500,R$2,0),$A$1502,INDEX(Техника!$H$1:$ABO$500,R$2,0),"Л")</f>
        <v>0</v>
      </c>
      <c r="S1506" s="50">
        <f>SUMIFS(INDEX(Техника!$F$1:$ABM$500,S$2,0),Техника!$F$4:$ABM$4,"Часы",INDEX(Техника!$G$1:$ABN$500,S$2,0),$A$1502,INDEX(Техника!$H$1:$ABO$500,S$2,0),"Л")</f>
        <v>0</v>
      </c>
      <c r="T1506" s="50">
        <f>SUMIFS(INDEX(Техника!$F$1:$ABM$500,T$2,0),Техника!$F$4:$ABM$4,"Часы",INDEX(Техника!$G$1:$ABN$500,T$2,0),$A$1502,INDEX(Техника!$H$1:$ABO$500,T$2,0),"Л")</f>
        <v>0</v>
      </c>
      <c r="U1506" s="50">
        <f>SUMIFS(INDEX(Техника!$F$1:$ABM$500,U$2,0),Техника!$F$4:$ABM$4,"Часы",INDEX(Техника!$G$1:$ABN$500,U$2,0),$A$1502,INDEX(Техника!$H$1:$ABO$500,U$2,0),"Л")</f>
        <v>0</v>
      </c>
      <c r="V1506" s="50">
        <f>SUMIFS(INDEX(Техника!$F$1:$ABM$500,V$2,0),Техника!$F$4:$ABM$4,"Часы",INDEX(Техника!$G$1:$ABN$500,V$2,0),$A$1502,INDEX(Техника!$H$1:$ABO$500,V$2,0),"Л")</f>
        <v>0</v>
      </c>
      <c r="W1506" s="50">
        <f>SUMIFS(INDEX(Техника!$F$1:$ABM$500,W$2,0),Техника!$F$4:$ABM$4,"Часы",INDEX(Техника!$G$1:$ABN$500,W$2,0),$A$1502,INDEX(Техника!$H$1:$ABO$500,W$2,0),"Л")</f>
        <v>0</v>
      </c>
      <c r="X1506" s="50">
        <f>SUMIFS(INDEX(Техника!$F$1:$ABM$500,X$2,0),Техника!$F$4:$ABM$4,"Часы",INDEX(Техника!$G$1:$ABN$500,X$2,0),$A$1502,INDEX(Техника!$H$1:$ABO$500,X$2,0),"Л")</f>
        <v>0</v>
      </c>
      <c r="Y1506" s="50">
        <f>SUMIFS(INDEX(Техника!$F$1:$ABM$500,Y$2,0),Техника!$F$4:$ABM$4,"Часы",INDEX(Техника!$G$1:$ABN$500,Y$2,0),$A$1502,INDEX(Техника!$H$1:$ABO$500,Y$2,0),"Л")</f>
        <v>0</v>
      </c>
      <c r="Z1506" s="50">
        <f>SUMIFS(INDEX(Техника!$F$1:$ABM$500,Z$2,0),Техника!$F$4:$ABM$4,"Часы",INDEX(Техника!$G$1:$ABN$500,Z$2,0),$A$1502,INDEX(Техника!$H$1:$ABO$500,Z$2,0),"Л")</f>
        <v>0</v>
      </c>
      <c r="AA1506" s="50">
        <f>SUMIFS(INDEX(Техника!$F$1:$ABM$500,AA$2,0),Техника!$F$4:$ABM$4,"Часы",INDEX(Техника!$G$1:$ABN$500,AA$2,0),$A$1502,INDEX(Техника!$H$1:$ABO$500,AA$2,0),"Л")</f>
        <v>0</v>
      </c>
      <c r="AB1506" s="50">
        <f>SUMIFS(INDEX(Техника!$F$1:$ABM$500,AB$2,0),Техника!$F$4:$ABM$4,"Часы",INDEX(Техника!$G$1:$ABN$500,AB$2,0),$A$1502,INDEX(Техника!$H$1:$ABO$500,AB$2,0),"Л")</f>
        <v>0</v>
      </c>
    </row>
    <row r="1507" spans="1:28" hidden="1" outlineLevel="1" x14ac:dyDescent="0.3">
      <c r="A1507" s="33" t="s">
        <v>245</v>
      </c>
      <c r="B1507" s="34" t="s">
        <v>279</v>
      </c>
      <c r="C1507" s="50">
        <f>SUMIFS(INDEX(Техника!$F$1:$ABM$500,C$2,0),Техника!$F$4:$ABM$4,"Часы",INDEX(Техника!$G$1:$ABN$500,C$2,0),$A$1502,INDEX(Техника!$H$1:$ABO$500,C$2,0),"З")</f>
        <v>0</v>
      </c>
      <c r="D1507" s="50">
        <f>SUMIFS(INDEX(Техника!$F$1:$ABM$500,D$2,0),Техника!$F$4:$ABM$4,"Часы",INDEX(Техника!$G$1:$ABN$500,D$2,0),$A$1502,INDEX(Техника!$H$1:$ABO$500,D$2,0),"З")</f>
        <v>0</v>
      </c>
      <c r="E1507" s="50">
        <f>SUMIFS(INDEX(Техника!$F$1:$ABM$500,E$2,0),Техника!$F$4:$ABM$4,"Часы",INDEX(Техника!$G$1:$ABN$500,E$2,0),$A$1502,INDEX(Техника!$H$1:$ABO$500,E$2,0),"З")</f>
        <v>0</v>
      </c>
      <c r="F1507" s="50">
        <f>SUMIFS(INDEX(Техника!$F$1:$ABM$500,F$2,0),Техника!$F$4:$ABM$4,"Часы",INDEX(Техника!$G$1:$ABN$500,F$2,0),$A$1502,INDEX(Техника!$H$1:$ABO$500,F$2,0),"З")</f>
        <v>0</v>
      </c>
      <c r="G1507" s="50">
        <f>SUMIFS(INDEX(Техника!$F$1:$ABM$500,G$2,0),Техника!$F$4:$ABM$4,"Часы",INDEX(Техника!$G$1:$ABN$500,G$2,0),$A$1502,INDEX(Техника!$H$1:$ABO$500,G$2,0),"З")</f>
        <v>0</v>
      </c>
      <c r="H1507" s="50">
        <f>SUMIFS(INDEX(Техника!$F$1:$ABM$500,H$2,0),Техника!$F$4:$ABM$4,"Часы",INDEX(Техника!$G$1:$ABN$500,H$2,0),$A$1502,INDEX(Техника!$H$1:$ABO$500,H$2,0),"З")</f>
        <v>0</v>
      </c>
      <c r="I1507" s="50">
        <f>SUMIFS(INDEX(Техника!$F$1:$ABM$500,I$2,0),Техника!$F$4:$ABM$4,"Часы",INDEX(Техника!$G$1:$ABN$500,I$2,0),$A$1502,INDEX(Техника!$H$1:$ABO$500,I$2,0),"З")</f>
        <v>0</v>
      </c>
      <c r="J1507" s="50">
        <f>SUMIFS(INDEX(Техника!$F$1:$ABM$500,J$2,0),Техника!$F$4:$ABM$4,"Часы",INDEX(Техника!$G$1:$ABN$500,J$2,0),$A$1502,INDEX(Техника!$H$1:$ABO$500,J$2,0),"З")</f>
        <v>0</v>
      </c>
      <c r="K1507" s="50">
        <f>SUMIFS(INDEX(Техника!$F$1:$ABM$500,K$2,0),Техника!$F$4:$ABM$4,"Часы",INDEX(Техника!$G$1:$ABN$500,K$2,0),$A$1502,INDEX(Техника!$H$1:$ABO$500,K$2,0),"З")</f>
        <v>0</v>
      </c>
      <c r="L1507" s="50">
        <f>SUMIFS(INDEX(Техника!$F$1:$ABM$500,L$2,0),Техника!$F$4:$ABM$4,"Часы",INDEX(Техника!$G$1:$ABN$500,L$2,0),$A$1502,INDEX(Техника!$H$1:$ABO$500,L$2,0),"З")</f>
        <v>0</v>
      </c>
      <c r="M1507" s="50">
        <f>SUMIFS(INDEX(Техника!$F$1:$ABM$500,M$2,0),Техника!$F$4:$ABM$4,"Часы",INDEX(Техника!$G$1:$ABN$500,M$2,0),$A$1502,INDEX(Техника!$H$1:$ABO$500,M$2,0),"З")</f>
        <v>0</v>
      </c>
      <c r="N1507" s="50">
        <f>SUMIFS(INDEX(Техника!$F$1:$ABM$500,N$2,0),Техника!$F$4:$ABM$4,"Часы",INDEX(Техника!$G$1:$ABN$500,N$2,0),$A$1502,INDEX(Техника!$H$1:$ABO$500,N$2,0),"З")</f>
        <v>0</v>
      </c>
      <c r="O1507" s="50">
        <f>SUMIFS(INDEX(Техника!$F$1:$ABM$500,O$2,0),Техника!$F$4:$ABM$4,"Часы",INDEX(Техника!$G$1:$ABN$500,O$2,0),$A$1502,INDEX(Техника!$H$1:$ABO$500,O$2,0),"З")</f>
        <v>0</v>
      </c>
      <c r="P1507" s="50">
        <f>SUMIFS(INDEX(Техника!$F$1:$ABM$500,P$2,0),Техника!$F$4:$ABM$4,"Часы",INDEX(Техника!$G$1:$ABN$500,P$2,0),$A$1502,INDEX(Техника!$H$1:$ABO$500,P$2,0),"З")</f>
        <v>0</v>
      </c>
      <c r="Q1507" s="50">
        <f>SUMIFS(INDEX(Техника!$F$1:$ABM$500,Q$2,0),Техника!$F$4:$ABM$4,"Часы",INDEX(Техника!$G$1:$ABN$500,Q$2,0),$A$1502,INDEX(Техника!$H$1:$ABO$500,Q$2,0),"З")</f>
        <v>0</v>
      </c>
      <c r="R1507" s="50">
        <f>SUMIFS(INDEX(Техника!$F$1:$ABM$500,R$2,0),Техника!$F$4:$ABM$4,"Часы",INDEX(Техника!$G$1:$ABN$500,R$2,0),$A$1502,INDEX(Техника!$H$1:$ABO$500,R$2,0),"З")</f>
        <v>0</v>
      </c>
      <c r="S1507" s="50">
        <f>SUMIFS(INDEX(Техника!$F$1:$ABM$500,S$2,0),Техника!$F$4:$ABM$4,"Часы",INDEX(Техника!$G$1:$ABN$500,S$2,0),$A$1502,INDEX(Техника!$H$1:$ABO$500,S$2,0),"З")</f>
        <v>0</v>
      </c>
      <c r="T1507" s="50">
        <f>SUMIFS(INDEX(Техника!$F$1:$ABM$500,T$2,0),Техника!$F$4:$ABM$4,"Часы",INDEX(Техника!$G$1:$ABN$500,T$2,0),$A$1502,INDEX(Техника!$H$1:$ABO$500,T$2,0),"З")</f>
        <v>0</v>
      </c>
      <c r="U1507" s="50">
        <f>SUMIFS(INDEX(Техника!$F$1:$ABM$500,U$2,0),Техника!$F$4:$ABM$4,"Часы",INDEX(Техника!$G$1:$ABN$500,U$2,0),$A$1502,INDEX(Техника!$H$1:$ABO$500,U$2,0),"З")</f>
        <v>0</v>
      </c>
      <c r="V1507" s="50">
        <f>SUMIFS(INDEX(Техника!$F$1:$ABM$500,V$2,0),Техника!$F$4:$ABM$4,"Часы",INDEX(Техника!$G$1:$ABN$500,V$2,0),$A$1502,INDEX(Техника!$H$1:$ABO$500,V$2,0),"З")</f>
        <v>0</v>
      </c>
      <c r="W1507" s="50">
        <f>SUMIFS(INDEX(Техника!$F$1:$ABM$500,W$2,0),Техника!$F$4:$ABM$4,"Часы",INDEX(Техника!$G$1:$ABN$500,W$2,0),$A$1502,INDEX(Техника!$H$1:$ABO$500,W$2,0),"З")</f>
        <v>0</v>
      </c>
      <c r="X1507" s="50">
        <f>SUMIFS(INDEX(Техника!$F$1:$ABM$500,X$2,0),Техника!$F$4:$ABM$4,"Часы",INDEX(Техника!$G$1:$ABN$500,X$2,0),$A$1502,INDEX(Техника!$H$1:$ABO$500,X$2,0),"З")</f>
        <v>0</v>
      </c>
      <c r="Y1507" s="50">
        <f>SUMIFS(INDEX(Техника!$F$1:$ABM$500,Y$2,0),Техника!$F$4:$ABM$4,"Часы",INDEX(Техника!$G$1:$ABN$500,Y$2,0),$A$1502,INDEX(Техника!$H$1:$ABO$500,Y$2,0),"З")</f>
        <v>0</v>
      </c>
      <c r="Z1507" s="50">
        <f>SUMIFS(INDEX(Техника!$F$1:$ABM$500,Z$2,0),Техника!$F$4:$ABM$4,"Часы",INDEX(Техника!$G$1:$ABN$500,Z$2,0),$A$1502,INDEX(Техника!$H$1:$ABO$500,Z$2,0),"З")</f>
        <v>0</v>
      </c>
      <c r="AA1507" s="50">
        <f>SUMIFS(INDEX(Техника!$F$1:$ABM$500,AA$2,0),Техника!$F$4:$ABM$4,"Часы",INDEX(Техника!$G$1:$ABN$500,AA$2,0),$A$1502,INDEX(Техника!$H$1:$ABO$500,AA$2,0),"З")</f>
        <v>0</v>
      </c>
      <c r="AB1507" s="50">
        <f>SUMIFS(INDEX(Техника!$F$1:$ABM$500,AB$2,0),Техника!$F$4:$ABM$4,"Часы",INDEX(Техника!$G$1:$ABN$500,AB$2,0),$A$1502,INDEX(Техника!$H$1:$ABO$500,AB$2,0),"З")</f>
        <v>0</v>
      </c>
    </row>
    <row r="1508" spans="1:28" ht="7.95" customHeight="1" x14ac:dyDescent="0.3">
      <c r="A1508" s="38"/>
      <c r="B1508" s="39"/>
      <c r="C1508" s="51"/>
      <c r="D1508" s="51"/>
      <c r="E1508" s="51"/>
      <c r="F1508" s="51"/>
      <c r="G1508" s="51"/>
      <c r="H1508" s="51"/>
      <c r="I1508" s="51"/>
      <c r="J1508" s="51"/>
      <c r="K1508" s="51"/>
      <c r="L1508" s="51"/>
      <c r="M1508" s="51"/>
      <c r="N1508" s="51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</row>
    <row r="1509" spans="1:28" ht="25.05" customHeight="1" collapsed="1" x14ac:dyDescent="0.3">
      <c r="A1509" s="32">
        <v>216</v>
      </c>
      <c r="B1509" s="32" t="s">
        <v>217</v>
      </c>
      <c r="C1509" s="49">
        <f>SUM(C1510:C1514)</f>
        <v>0</v>
      </c>
      <c r="D1509" s="49">
        <f>SUM(D1510:D1514)</f>
        <v>0</v>
      </c>
      <c r="E1509" s="49">
        <f>SUM(E1510:E1514)</f>
        <v>0</v>
      </c>
      <c r="F1509" s="49">
        <f>SUM(F1510:F1514)</f>
        <v>0</v>
      </c>
      <c r="G1509" s="49">
        <f>SUM(G1510:G1514)</f>
        <v>0</v>
      </c>
      <c r="H1509" s="49">
        <f>SUM(H1510:H1514)</f>
        <v>0</v>
      </c>
      <c r="I1509" s="49">
        <f>SUM(I1510:I1514)</f>
        <v>0</v>
      </c>
      <c r="J1509" s="49">
        <f>SUM(J1510:J1514)</f>
        <v>0</v>
      </c>
      <c r="K1509" s="49">
        <f>SUM(K1510:K1514)</f>
        <v>0</v>
      </c>
      <c r="L1509" s="49">
        <f>SUM(L1510:L1514)</f>
        <v>0</v>
      </c>
      <c r="M1509" s="49">
        <f>SUM(M1510:M1514)</f>
        <v>0</v>
      </c>
      <c r="N1509" s="49">
        <f>SUM(N1510:N1514)</f>
        <v>0</v>
      </c>
      <c r="O1509" s="49">
        <f>SUM(O1510:O1514)</f>
        <v>0</v>
      </c>
      <c r="P1509" s="49">
        <f>SUM(P1510:P1514)</f>
        <v>0</v>
      </c>
      <c r="Q1509" s="49">
        <f>SUM(Q1510:Q1514)</f>
        <v>0</v>
      </c>
      <c r="R1509" s="49">
        <f>SUM(R1510:R1514)</f>
        <v>0</v>
      </c>
      <c r="S1509" s="49">
        <f>SUM(S1510:S1514)</f>
        <v>0</v>
      </c>
      <c r="T1509" s="49">
        <f>SUM(T1510:T1514)</f>
        <v>0</v>
      </c>
      <c r="U1509" s="49">
        <f>SUM(U1510:U1514)</f>
        <v>0</v>
      </c>
      <c r="V1509" s="49">
        <f>SUM(V1510:V1514)</f>
        <v>0</v>
      </c>
      <c r="W1509" s="49">
        <f>SUM(W1510:W1514)</f>
        <v>0</v>
      </c>
      <c r="X1509" s="49">
        <f>SUM(X1510:X1514)</f>
        <v>0</v>
      </c>
      <c r="Y1509" s="49">
        <f>SUM(Y1510:Y1514)</f>
        <v>0</v>
      </c>
      <c r="Z1509" s="49">
        <f>SUM(Z1510:Z1514)</f>
        <v>0</v>
      </c>
      <c r="AA1509" s="49">
        <f>SUM(AA1510:AA1514)</f>
        <v>0</v>
      </c>
      <c r="AB1509" s="49">
        <f>SUM(AB1510:AB1514)</f>
        <v>0</v>
      </c>
    </row>
    <row r="1510" spans="1:28" hidden="1" outlineLevel="1" x14ac:dyDescent="0.3">
      <c r="A1510" s="33" t="s">
        <v>246</v>
      </c>
      <c r="B1510" s="34" t="s">
        <v>274</v>
      </c>
      <c r="C1510" s="50">
        <f>SUMIFS(INDEX(Техника!$F$1:$ABM$500,C$2,0),Техника!$F$4:$ABM$4,"Часы",INDEX(Техника!$G$1:$ABN$500,C$2,0),$A$1509,INDEX(Техника!$H$1:$ABO$500,C$2,0),"М")</f>
        <v>0</v>
      </c>
      <c r="D1510" s="50">
        <f>SUMIFS(INDEX(Техника!$F$1:$ABM$500,D$2,0),Техника!$F$4:$ABM$4,"Часы",INDEX(Техника!$G$1:$ABN$500,D$2,0),$A$1509,INDEX(Техника!$H$1:$ABO$500,D$2,0),"М")</f>
        <v>0</v>
      </c>
      <c r="E1510" s="50">
        <f>SUMIFS(INDEX(Техника!$F$1:$ABM$500,E$2,0),Техника!$F$4:$ABM$4,"Часы",INDEX(Техника!$G$1:$ABN$500,E$2,0),$A$1509,INDEX(Техника!$H$1:$ABO$500,E$2,0),"М")</f>
        <v>0</v>
      </c>
      <c r="F1510" s="50">
        <f>SUMIFS(INDEX(Техника!$F$1:$ABM$500,F$2,0),Техника!$F$4:$ABM$4,"Часы",INDEX(Техника!$G$1:$ABN$500,F$2,0),$A$1509,INDEX(Техника!$H$1:$ABO$500,F$2,0),"М")</f>
        <v>0</v>
      </c>
      <c r="G1510" s="50">
        <f>SUMIFS(INDEX(Техника!$F$1:$ABM$500,G$2,0),Техника!$F$4:$ABM$4,"Часы",INDEX(Техника!$G$1:$ABN$500,G$2,0),$A$1509,INDEX(Техника!$H$1:$ABO$500,G$2,0),"М")</f>
        <v>0</v>
      </c>
      <c r="H1510" s="50">
        <f>SUMIFS(INDEX(Техника!$F$1:$ABM$500,H$2,0),Техника!$F$4:$ABM$4,"Часы",INDEX(Техника!$G$1:$ABN$500,H$2,0),$A$1509,INDEX(Техника!$H$1:$ABO$500,H$2,0),"М")</f>
        <v>0</v>
      </c>
      <c r="I1510" s="50">
        <f>SUMIFS(INDEX(Техника!$F$1:$ABM$500,I$2,0),Техника!$F$4:$ABM$4,"Часы",INDEX(Техника!$G$1:$ABN$500,I$2,0),$A$1509,INDEX(Техника!$H$1:$ABO$500,I$2,0),"М")</f>
        <v>0</v>
      </c>
      <c r="J1510" s="50">
        <f>SUMIFS(INDEX(Техника!$F$1:$ABM$500,J$2,0),Техника!$F$4:$ABM$4,"Часы",INDEX(Техника!$G$1:$ABN$500,J$2,0),$A$1509,INDEX(Техника!$H$1:$ABO$500,J$2,0),"М")</f>
        <v>0</v>
      </c>
      <c r="K1510" s="50">
        <f>SUMIFS(INDEX(Техника!$F$1:$ABM$500,K$2,0),Техника!$F$4:$ABM$4,"Часы",INDEX(Техника!$G$1:$ABN$500,K$2,0),$A$1509,INDEX(Техника!$H$1:$ABO$500,K$2,0),"М")</f>
        <v>0</v>
      </c>
      <c r="L1510" s="50">
        <f>SUMIFS(INDEX(Техника!$F$1:$ABM$500,L$2,0),Техника!$F$4:$ABM$4,"Часы",INDEX(Техника!$G$1:$ABN$500,L$2,0),$A$1509,INDEX(Техника!$H$1:$ABO$500,L$2,0),"М")</f>
        <v>0</v>
      </c>
      <c r="M1510" s="50">
        <f>SUMIFS(INDEX(Техника!$F$1:$ABM$500,M$2,0),Техника!$F$4:$ABM$4,"Часы",INDEX(Техника!$G$1:$ABN$500,M$2,0),$A$1509,INDEX(Техника!$H$1:$ABO$500,M$2,0),"М")</f>
        <v>0</v>
      </c>
      <c r="N1510" s="50">
        <f>SUMIFS(INDEX(Техника!$F$1:$ABM$500,N$2,0),Техника!$F$4:$ABM$4,"Часы",INDEX(Техника!$G$1:$ABN$500,N$2,0),$A$1509,INDEX(Техника!$H$1:$ABO$500,N$2,0),"М")</f>
        <v>0</v>
      </c>
      <c r="O1510" s="50">
        <f>SUMIFS(INDEX(Техника!$F$1:$ABM$500,O$2,0),Техника!$F$4:$ABM$4,"Часы",INDEX(Техника!$G$1:$ABN$500,O$2,0),$A$1509,INDEX(Техника!$H$1:$ABO$500,O$2,0),"М")</f>
        <v>0</v>
      </c>
      <c r="P1510" s="50">
        <f>SUMIFS(INDEX(Техника!$F$1:$ABM$500,P$2,0),Техника!$F$4:$ABM$4,"Часы",INDEX(Техника!$G$1:$ABN$500,P$2,0),$A$1509,INDEX(Техника!$H$1:$ABO$500,P$2,0),"М")</f>
        <v>0</v>
      </c>
      <c r="Q1510" s="50">
        <f>SUMIFS(INDEX(Техника!$F$1:$ABM$500,Q$2,0),Техника!$F$4:$ABM$4,"Часы",INDEX(Техника!$G$1:$ABN$500,Q$2,0),$A$1509,INDEX(Техника!$H$1:$ABO$500,Q$2,0),"М")</f>
        <v>0</v>
      </c>
      <c r="R1510" s="50">
        <f>SUMIFS(INDEX(Техника!$F$1:$ABM$500,R$2,0),Техника!$F$4:$ABM$4,"Часы",INDEX(Техника!$G$1:$ABN$500,R$2,0),$A$1509,INDEX(Техника!$H$1:$ABO$500,R$2,0),"М")</f>
        <v>0</v>
      </c>
      <c r="S1510" s="50">
        <f>SUMIFS(INDEX(Техника!$F$1:$ABM$500,S$2,0),Техника!$F$4:$ABM$4,"Часы",INDEX(Техника!$G$1:$ABN$500,S$2,0),$A$1509,INDEX(Техника!$H$1:$ABO$500,S$2,0),"М")</f>
        <v>0</v>
      </c>
      <c r="T1510" s="50">
        <f>SUMIFS(INDEX(Техника!$F$1:$ABM$500,T$2,0),Техника!$F$4:$ABM$4,"Часы",INDEX(Техника!$G$1:$ABN$500,T$2,0),$A$1509,INDEX(Техника!$H$1:$ABO$500,T$2,0),"М")</f>
        <v>0</v>
      </c>
      <c r="U1510" s="50">
        <f>SUMIFS(INDEX(Техника!$F$1:$ABM$500,U$2,0),Техника!$F$4:$ABM$4,"Часы",INDEX(Техника!$G$1:$ABN$500,U$2,0),$A$1509,INDEX(Техника!$H$1:$ABO$500,U$2,0),"М")</f>
        <v>0</v>
      </c>
      <c r="V1510" s="50">
        <f>SUMIFS(INDEX(Техника!$F$1:$ABM$500,V$2,0),Техника!$F$4:$ABM$4,"Часы",INDEX(Техника!$G$1:$ABN$500,V$2,0),$A$1509,INDEX(Техника!$H$1:$ABO$500,V$2,0),"М")</f>
        <v>0</v>
      </c>
      <c r="W1510" s="50">
        <f>SUMIFS(INDEX(Техника!$F$1:$ABM$500,W$2,0),Техника!$F$4:$ABM$4,"Часы",INDEX(Техника!$G$1:$ABN$500,W$2,0),$A$1509,INDEX(Техника!$H$1:$ABO$500,W$2,0),"М")</f>
        <v>0</v>
      </c>
      <c r="X1510" s="50">
        <f>SUMIFS(INDEX(Техника!$F$1:$ABM$500,X$2,0),Техника!$F$4:$ABM$4,"Часы",INDEX(Техника!$G$1:$ABN$500,X$2,0),$A$1509,INDEX(Техника!$H$1:$ABO$500,X$2,0),"М")</f>
        <v>0</v>
      </c>
      <c r="Y1510" s="50">
        <f>SUMIFS(INDEX(Техника!$F$1:$ABM$500,Y$2,0),Техника!$F$4:$ABM$4,"Часы",INDEX(Техника!$G$1:$ABN$500,Y$2,0),$A$1509,INDEX(Техника!$H$1:$ABO$500,Y$2,0),"М")</f>
        <v>0</v>
      </c>
      <c r="Z1510" s="50">
        <f>SUMIFS(INDEX(Техника!$F$1:$ABM$500,Z$2,0),Техника!$F$4:$ABM$4,"Часы",INDEX(Техника!$G$1:$ABN$500,Z$2,0),$A$1509,INDEX(Техника!$H$1:$ABO$500,Z$2,0),"М")</f>
        <v>0</v>
      </c>
      <c r="AA1510" s="50">
        <f>SUMIFS(INDEX(Техника!$F$1:$ABM$500,AA$2,0),Техника!$F$4:$ABM$4,"Часы",INDEX(Техника!$G$1:$ABN$500,AA$2,0),$A$1509,INDEX(Техника!$H$1:$ABO$500,AA$2,0),"М")</f>
        <v>0</v>
      </c>
      <c r="AB1510" s="50">
        <f>SUMIFS(INDEX(Техника!$F$1:$ABM$500,AB$2,0),Техника!$F$4:$ABM$4,"Часы",INDEX(Техника!$G$1:$ABN$500,AB$2,0),$A$1509,INDEX(Техника!$H$1:$ABO$500,AB$2,0),"М")</f>
        <v>0</v>
      </c>
    </row>
    <row r="1511" spans="1:28" hidden="1" outlineLevel="1" x14ac:dyDescent="0.3">
      <c r="A1511" s="33" t="s">
        <v>244</v>
      </c>
      <c r="B1511" s="34" t="s">
        <v>275</v>
      </c>
      <c r="C1511" s="50">
        <f>SUMIFS(INDEX(Техника!$F$1:$ABM$500,C$2,0),Техника!$F$4:$ABM$4,"Часы",INDEX(Техника!$G$1:$ABN$500,C$2,0),$A$1509,INDEX(Техника!$H$1:$ABO$500,C$2,0),"Д")</f>
        <v>0</v>
      </c>
      <c r="D1511" s="50">
        <f>SUMIFS(INDEX(Техника!$F$1:$ABM$500,D$2,0),Техника!$F$4:$ABM$4,"Часы",INDEX(Техника!$G$1:$ABN$500,D$2,0),$A$1509,INDEX(Техника!$H$1:$ABO$500,D$2,0),"Д")</f>
        <v>0</v>
      </c>
      <c r="E1511" s="50">
        <f>SUMIFS(INDEX(Техника!$F$1:$ABM$500,E$2,0),Техника!$F$4:$ABM$4,"Часы",INDEX(Техника!$G$1:$ABN$500,E$2,0),$A$1509,INDEX(Техника!$H$1:$ABO$500,E$2,0),"Д")</f>
        <v>0</v>
      </c>
      <c r="F1511" s="50">
        <f>SUMIFS(INDEX(Техника!$F$1:$ABM$500,F$2,0),Техника!$F$4:$ABM$4,"Часы",INDEX(Техника!$G$1:$ABN$500,F$2,0),$A$1509,INDEX(Техника!$H$1:$ABO$500,F$2,0),"Д")</f>
        <v>0</v>
      </c>
      <c r="G1511" s="50">
        <f>SUMIFS(INDEX(Техника!$F$1:$ABM$500,G$2,0),Техника!$F$4:$ABM$4,"Часы",INDEX(Техника!$G$1:$ABN$500,G$2,0),$A$1509,INDEX(Техника!$H$1:$ABO$500,G$2,0),"Д")</f>
        <v>0</v>
      </c>
      <c r="H1511" s="50">
        <f>SUMIFS(INDEX(Техника!$F$1:$ABM$500,H$2,0),Техника!$F$4:$ABM$4,"Часы",INDEX(Техника!$G$1:$ABN$500,H$2,0),$A$1509,INDEX(Техника!$H$1:$ABO$500,H$2,0),"Д")</f>
        <v>0</v>
      </c>
      <c r="I1511" s="50">
        <f>SUMIFS(INDEX(Техника!$F$1:$ABM$500,I$2,0),Техника!$F$4:$ABM$4,"Часы",INDEX(Техника!$G$1:$ABN$500,I$2,0),$A$1509,INDEX(Техника!$H$1:$ABO$500,I$2,0),"Д")</f>
        <v>0</v>
      </c>
      <c r="J1511" s="50">
        <f>SUMIFS(INDEX(Техника!$F$1:$ABM$500,J$2,0),Техника!$F$4:$ABM$4,"Часы",INDEX(Техника!$G$1:$ABN$500,J$2,0),$A$1509,INDEX(Техника!$H$1:$ABO$500,J$2,0),"Д")</f>
        <v>0</v>
      </c>
      <c r="K1511" s="50">
        <f>SUMIFS(INDEX(Техника!$F$1:$ABM$500,K$2,0),Техника!$F$4:$ABM$4,"Часы",INDEX(Техника!$G$1:$ABN$500,K$2,0),$A$1509,INDEX(Техника!$H$1:$ABO$500,K$2,0),"Д")</f>
        <v>0</v>
      </c>
      <c r="L1511" s="50">
        <f>SUMIFS(INDEX(Техника!$F$1:$ABM$500,L$2,0),Техника!$F$4:$ABM$4,"Часы",INDEX(Техника!$G$1:$ABN$500,L$2,0),$A$1509,INDEX(Техника!$H$1:$ABO$500,L$2,0),"Д")</f>
        <v>0</v>
      </c>
      <c r="M1511" s="50">
        <f>SUMIFS(INDEX(Техника!$F$1:$ABM$500,M$2,0),Техника!$F$4:$ABM$4,"Часы",INDEX(Техника!$G$1:$ABN$500,M$2,0),$A$1509,INDEX(Техника!$H$1:$ABO$500,M$2,0),"Д")</f>
        <v>0</v>
      </c>
      <c r="N1511" s="50">
        <f>SUMIFS(INDEX(Техника!$F$1:$ABM$500,N$2,0),Техника!$F$4:$ABM$4,"Часы",INDEX(Техника!$G$1:$ABN$500,N$2,0),$A$1509,INDEX(Техника!$H$1:$ABO$500,N$2,0),"Д")</f>
        <v>0</v>
      </c>
      <c r="O1511" s="50">
        <f>SUMIFS(INDEX(Техника!$F$1:$ABM$500,O$2,0),Техника!$F$4:$ABM$4,"Часы",INDEX(Техника!$G$1:$ABN$500,O$2,0),$A$1509,INDEX(Техника!$H$1:$ABO$500,O$2,0),"Д")</f>
        <v>0</v>
      </c>
      <c r="P1511" s="50">
        <f>SUMIFS(INDEX(Техника!$F$1:$ABM$500,P$2,0),Техника!$F$4:$ABM$4,"Часы",INDEX(Техника!$G$1:$ABN$500,P$2,0),$A$1509,INDEX(Техника!$H$1:$ABO$500,P$2,0),"Д")</f>
        <v>0</v>
      </c>
      <c r="Q1511" s="50">
        <f>SUMIFS(INDEX(Техника!$F$1:$ABM$500,Q$2,0),Техника!$F$4:$ABM$4,"Часы",INDEX(Техника!$G$1:$ABN$500,Q$2,0),$A$1509,INDEX(Техника!$H$1:$ABO$500,Q$2,0),"Д")</f>
        <v>0</v>
      </c>
      <c r="R1511" s="50">
        <f>SUMIFS(INDEX(Техника!$F$1:$ABM$500,R$2,0),Техника!$F$4:$ABM$4,"Часы",INDEX(Техника!$G$1:$ABN$500,R$2,0),$A$1509,INDEX(Техника!$H$1:$ABO$500,R$2,0),"Д")</f>
        <v>0</v>
      </c>
      <c r="S1511" s="50">
        <f>SUMIFS(INDEX(Техника!$F$1:$ABM$500,S$2,0),Техника!$F$4:$ABM$4,"Часы",INDEX(Техника!$G$1:$ABN$500,S$2,0),$A$1509,INDEX(Техника!$H$1:$ABO$500,S$2,0),"Д")</f>
        <v>0</v>
      </c>
      <c r="T1511" s="50">
        <f>SUMIFS(INDEX(Техника!$F$1:$ABM$500,T$2,0),Техника!$F$4:$ABM$4,"Часы",INDEX(Техника!$G$1:$ABN$500,T$2,0),$A$1509,INDEX(Техника!$H$1:$ABO$500,T$2,0),"Д")</f>
        <v>0</v>
      </c>
      <c r="U1511" s="50">
        <f>SUMIFS(INDEX(Техника!$F$1:$ABM$500,U$2,0),Техника!$F$4:$ABM$4,"Часы",INDEX(Техника!$G$1:$ABN$500,U$2,0),$A$1509,INDEX(Техника!$H$1:$ABO$500,U$2,0),"Д")</f>
        <v>0</v>
      </c>
      <c r="V1511" s="50">
        <f>SUMIFS(INDEX(Техника!$F$1:$ABM$500,V$2,0),Техника!$F$4:$ABM$4,"Часы",INDEX(Техника!$G$1:$ABN$500,V$2,0),$A$1509,INDEX(Техника!$H$1:$ABO$500,V$2,0),"Д")</f>
        <v>0</v>
      </c>
      <c r="W1511" s="50">
        <f>SUMIFS(INDEX(Техника!$F$1:$ABM$500,W$2,0),Техника!$F$4:$ABM$4,"Часы",INDEX(Техника!$G$1:$ABN$500,W$2,0),$A$1509,INDEX(Техника!$H$1:$ABO$500,W$2,0),"Д")</f>
        <v>0</v>
      </c>
      <c r="X1511" s="50">
        <f>SUMIFS(INDEX(Техника!$F$1:$ABM$500,X$2,0),Техника!$F$4:$ABM$4,"Часы",INDEX(Техника!$G$1:$ABN$500,X$2,0),$A$1509,INDEX(Техника!$H$1:$ABO$500,X$2,0),"Д")</f>
        <v>0</v>
      </c>
      <c r="Y1511" s="50">
        <f>SUMIFS(INDEX(Техника!$F$1:$ABM$500,Y$2,0),Техника!$F$4:$ABM$4,"Часы",INDEX(Техника!$G$1:$ABN$500,Y$2,0),$A$1509,INDEX(Техника!$H$1:$ABO$500,Y$2,0),"Д")</f>
        <v>0</v>
      </c>
      <c r="Z1511" s="50">
        <f>SUMIFS(INDEX(Техника!$F$1:$ABM$500,Z$2,0),Техника!$F$4:$ABM$4,"Часы",INDEX(Техника!$G$1:$ABN$500,Z$2,0),$A$1509,INDEX(Техника!$H$1:$ABO$500,Z$2,0),"Д")</f>
        <v>0</v>
      </c>
      <c r="AA1511" s="50">
        <f>SUMIFS(INDEX(Техника!$F$1:$ABM$500,AA$2,0),Техника!$F$4:$ABM$4,"Часы",INDEX(Техника!$G$1:$ABN$500,AA$2,0),$A$1509,INDEX(Техника!$H$1:$ABO$500,AA$2,0),"Д")</f>
        <v>0</v>
      </c>
      <c r="AB1511" s="50">
        <f>SUMIFS(INDEX(Техника!$F$1:$ABM$500,AB$2,0),Техника!$F$4:$ABM$4,"Часы",INDEX(Техника!$G$1:$ABN$500,AB$2,0),$A$1509,INDEX(Техника!$H$1:$ABO$500,AB$2,0),"Д")</f>
        <v>0</v>
      </c>
    </row>
    <row r="1512" spans="1:28" hidden="1" outlineLevel="1" x14ac:dyDescent="0.3">
      <c r="A1512" s="33" t="s">
        <v>276</v>
      </c>
      <c r="B1512" s="34" t="s">
        <v>277</v>
      </c>
      <c r="C1512" s="50">
        <f>SUMIFS(INDEX(Техника!$F$1:$ABM$500,C$2,0),Техника!$F$4:$ABM$4,"Часы",INDEX(Техника!$G$1:$ABN$500,C$2,0),$A$1509,INDEX(Техника!$H$1:$ABO$500,C$2,0),"П")</f>
        <v>0</v>
      </c>
      <c r="D1512" s="50">
        <f>SUMIFS(INDEX(Техника!$F$1:$ABM$500,D$2,0),Техника!$F$4:$ABM$4,"Часы",INDEX(Техника!$G$1:$ABN$500,D$2,0),$A$1509,INDEX(Техника!$H$1:$ABO$500,D$2,0),"П")</f>
        <v>0</v>
      </c>
      <c r="E1512" s="50">
        <f>SUMIFS(INDEX(Техника!$F$1:$ABM$500,E$2,0),Техника!$F$4:$ABM$4,"Часы",INDEX(Техника!$G$1:$ABN$500,E$2,0),$A$1509,INDEX(Техника!$H$1:$ABO$500,E$2,0),"П")</f>
        <v>0</v>
      </c>
      <c r="F1512" s="50">
        <f>SUMIFS(INDEX(Техника!$F$1:$ABM$500,F$2,0),Техника!$F$4:$ABM$4,"Часы",INDEX(Техника!$G$1:$ABN$500,F$2,0),$A$1509,INDEX(Техника!$H$1:$ABO$500,F$2,0),"П")</f>
        <v>0</v>
      </c>
      <c r="G1512" s="50">
        <f>SUMIFS(INDEX(Техника!$F$1:$ABM$500,G$2,0),Техника!$F$4:$ABM$4,"Часы",INDEX(Техника!$G$1:$ABN$500,G$2,0),$A$1509,INDEX(Техника!$H$1:$ABO$500,G$2,0),"П")</f>
        <v>0</v>
      </c>
      <c r="H1512" s="50">
        <f>SUMIFS(INDEX(Техника!$F$1:$ABM$500,H$2,0),Техника!$F$4:$ABM$4,"Часы",INDEX(Техника!$G$1:$ABN$500,H$2,0),$A$1509,INDEX(Техника!$H$1:$ABO$500,H$2,0),"П")</f>
        <v>0</v>
      </c>
      <c r="I1512" s="50">
        <f>SUMIFS(INDEX(Техника!$F$1:$ABM$500,I$2,0),Техника!$F$4:$ABM$4,"Часы",INDEX(Техника!$G$1:$ABN$500,I$2,0),$A$1509,INDEX(Техника!$H$1:$ABO$500,I$2,0),"П")</f>
        <v>0</v>
      </c>
      <c r="J1512" s="50">
        <f>SUMIFS(INDEX(Техника!$F$1:$ABM$500,J$2,0),Техника!$F$4:$ABM$4,"Часы",INDEX(Техника!$G$1:$ABN$500,J$2,0),$A$1509,INDEX(Техника!$H$1:$ABO$500,J$2,0),"П")</f>
        <v>0</v>
      </c>
      <c r="K1512" s="50">
        <f>SUMIFS(INDEX(Техника!$F$1:$ABM$500,K$2,0),Техника!$F$4:$ABM$4,"Часы",INDEX(Техника!$G$1:$ABN$500,K$2,0),$A$1509,INDEX(Техника!$H$1:$ABO$500,K$2,0),"П")</f>
        <v>0</v>
      </c>
      <c r="L1512" s="50">
        <f>SUMIFS(INDEX(Техника!$F$1:$ABM$500,L$2,0),Техника!$F$4:$ABM$4,"Часы",INDEX(Техника!$G$1:$ABN$500,L$2,0),$A$1509,INDEX(Техника!$H$1:$ABO$500,L$2,0),"П")</f>
        <v>0</v>
      </c>
      <c r="M1512" s="50">
        <f>SUMIFS(INDEX(Техника!$F$1:$ABM$500,M$2,0),Техника!$F$4:$ABM$4,"Часы",INDEX(Техника!$G$1:$ABN$500,M$2,0),$A$1509,INDEX(Техника!$H$1:$ABO$500,M$2,0),"П")</f>
        <v>0</v>
      </c>
      <c r="N1512" s="50">
        <f>SUMIFS(INDEX(Техника!$F$1:$ABM$500,N$2,0),Техника!$F$4:$ABM$4,"Часы",INDEX(Техника!$G$1:$ABN$500,N$2,0),$A$1509,INDEX(Техника!$H$1:$ABO$500,N$2,0),"П")</f>
        <v>0</v>
      </c>
      <c r="O1512" s="50">
        <f>SUMIFS(INDEX(Техника!$F$1:$ABM$500,O$2,0),Техника!$F$4:$ABM$4,"Часы",INDEX(Техника!$G$1:$ABN$500,O$2,0),$A$1509,INDEX(Техника!$H$1:$ABO$500,O$2,0),"П")</f>
        <v>0</v>
      </c>
      <c r="P1512" s="50">
        <f>SUMIFS(INDEX(Техника!$F$1:$ABM$500,P$2,0),Техника!$F$4:$ABM$4,"Часы",INDEX(Техника!$G$1:$ABN$500,P$2,0),$A$1509,INDEX(Техника!$H$1:$ABO$500,P$2,0),"П")</f>
        <v>0</v>
      </c>
      <c r="Q1512" s="50">
        <f>SUMIFS(INDEX(Техника!$F$1:$ABM$500,Q$2,0),Техника!$F$4:$ABM$4,"Часы",INDEX(Техника!$G$1:$ABN$500,Q$2,0),$A$1509,INDEX(Техника!$H$1:$ABO$500,Q$2,0),"П")</f>
        <v>0</v>
      </c>
      <c r="R1512" s="50">
        <f>SUMIFS(INDEX(Техника!$F$1:$ABM$500,R$2,0),Техника!$F$4:$ABM$4,"Часы",INDEX(Техника!$G$1:$ABN$500,R$2,0),$A$1509,INDEX(Техника!$H$1:$ABO$500,R$2,0),"П")</f>
        <v>0</v>
      </c>
      <c r="S1512" s="50">
        <f>SUMIFS(INDEX(Техника!$F$1:$ABM$500,S$2,0),Техника!$F$4:$ABM$4,"Часы",INDEX(Техника!$G$1:$ABN$500,S$2,0),$A$1509,INDEX(Техника!$H$1:$ABO$500,S$2,0),"П")</f>
        <v>0</v>
      </c>
      <c r="T1512" s="50">
        <f>SUMIFS(INDEX(Техника!$F$1:$ABM$500,T$2,0),Техника!$F$4:$ABM$4,"Часы",INDEX(Техника!$G$1:$ABN$500,T$2,0),$A$1509,INDEX(Техника!$H$1:$ABO$500,T$2,0),"П")</f>
        <v>0</v>
      </c>
      <c r="U1512" s="50">
        <f>SUMIFS(INDEX(Техника!$F$1:$ABM$500,U$2,0),Техника!$F$4:$ABM$4,"Часы",INDEX(Техника!$G$1:$ABN$500,U$2,0),$A$1509,INDEX(Техника!$H$1:$ABO$500,U$2,0),"П")</f>
        <v>0</v>
      </c>
      <c r="V1512" s="50">
        <f>SUMIFS(INDEX(Техника!$F$1:$ABM$500,V$2,0),Техника!$F$4:$ABM$4,"Часы",INDEX(Техника!$G$1:$ABN$500,V$2,0),$A$1509,INDEX(Техника!$H$1:$ABO$500,V$2,0),"П")</f>
        <v>0</v>
      </c>
      <c r="W1512" s="50">
        <f>SUMIFS(INDEX(Техника!$F$1:$ABM$500,W$2,0),Техника!$F$4:$ABM$4,"Часы",INDEX(Техника!$G$1:$ABN$500,W$2,0),$A$1509,INDEX(Техника!$H$1:$ABO$500,W$2,0),"П")</f>
        <v>0</v>
      </c>
      <c r="X1512" s="50">
        <f>SUMIFS(INDEX(Техника!$F$1:$ABM$500,X$2,0),Техника!$F$4:$ABM$4,"Часы",INDEX(Техника!$G$1:$ABN$500,X$2,0),$A$1509,INDEX(Техника!$H$1:$ABO$500,X$2,0),"П")</f>
        <v>0</v>
      </c>
      <c r="Y1512" s="50">
        <f>SUMIFS(INDEX(Техника!$F$1:$ABM$500,Y$2,0),Техника!$F$4:$ABM$4,"Часы",INDEX(Техника!$G$1:$ABN$500,Y$2,0),$A$1509,INDEX(Техника!$H$1:$ABO$500,Y$2,0),"П")</f>
        <v>0</v>
      </c>
      <c r="Z1512" s="50">
        <f>SUMIFS(INDEX(Техника!$F$1:$ABM$500,Z$2,0),Техника!$F$4:$ABM$4,"Часы",INDEX(Техника!$G$1:$ABN$500,Z$2,0),$A$1509,INDEX(Техника!$H$1:$ABO$500,Z$2,0),"П")</f>
        <v>0</v>
      </c>
      <c r="AA1512" s="50">
        <f>SUMIFS(INDEX(Техника!$F$1:$ABM$500,AA$2,0),Техника!$F$4:$ABM$4,"Часы",INDEX(Техника!$G$1:$ABN$500,AA$2,0),$A$1509,INDEX(Техника!$H$1:$ABO$500,AA$2,0),"П")</f>
        <v>0</v>
      </c>
      <c r="AB1512" s="50">
        <f>SUMIFS(INDEX(Техника!$F$1:$ABM$500,AB$2,0),Техника!$F$4:$ABM$4,"Часы",INDEX(Техника!$G$1:$ABN$500,AB$2,0),$A$1509,INDEX(Техника!$H$1:$ABO$500,AB$2,0),"П")</f>
        <v>0</v>
      </c>
    </row>
    <row r="1513" spans="1:28" hidden="1" outlineLevel="1" x14ac:dyDescent="0.3">
      <c r="A1513" s="33" t="s">
        <v>243</v>
      </c>
      <c r="B1513" s="34" t="s">
        <v>278</v>
      </c>
      <c r="C1513" s="50">
        <f>SUMIFS(INDEX(Техника!$F$1:$ABM$500,C$2,0),Техника!$F$4:$ABM$4,"Часы",INDEX(Техника!$G$1:$ABN$500,C$2,0),$A$1509,INDEX(Техника!$H$1:$ABO$500,C$2,0),"Л")</f>
        <v>0</v>
      </c>
      <c r="D1513" s="50">
        <f>SUMIFS(INDEX(Техника!$F$1:$ABM$500,D$2,0),Техника!$F$4:$ABM$4,"Часы",INDEX(Техника!$G$1:$ABN$500,D$2,0),$A$1509,INDEX(Техника!$H$1:$ABO$500,D$2,0),"Л")</f>
        <v>0</v>
      </c>
      <c r="E1513" s="50">
        <f>SUMIFS(INDEX(Техника!$F$1:$ABM$500,E$2,0),Техника!$F$4:$ABM$4,"Часы",INDEX(Техника!$G$1:$ABN$500,E$2,0),$A$1509,INDEX(Техника!$H$1:$ABO$500,E$2,0),"Л")</f>
        <v>0</v>
      </c>
      <c r="F1513" s="50">
        <f>SUMIFS(INDEX(Техника!$F$1:$ABM$500,F$2,0),Техника!$F$4:$ABM$4,"Часы",INDEX(Техника!$G$1:$ABN$500,F$2,0),$A$1509,INDEX(Техника!$H$1:$ABO$500,F$2,0),"Л")</f>
        <v>0</v>
      </c>
      <c r="G1513" s="50">
        <f>SUMIFS(INDEX(Техника!$F$1:$ABM$500,G$2,0),Техника!$F$4:$ABM$4,"Часы",INDEX(Техника!$G$1:$ABN$500,G$2,0),$A$1509,INDEX(Техника!$H$1:$ABO$500,G$2,0),"Л")</f>
        <v>0</v>
      </c>
      <c r="H1513" s="50">
        <f>SUMIFS(INDEX(Техника!$F$1:$ABM$500,H$2,0),Техника!$F$4:$ABM$4,"Часы",INDEX(Техника!$G$1:$ABN$500,H$2,0),$A$1509,INDEX(Техника!$H$1:$ABO$500,H$2,0),"Л")</f>
        <v>0</v>
      </c>
      <c r="I1513" s="50">
        <f>SUMIFS(INDEX(Техника!$F$1:$ABM$500,I$2,0),Техника!$F$4:$ABM$4,"Часы",INDEX(Техника!$G$1:$ABN$500,I$2,0),$A$1509,INDEX(Техника!$H$1:$ABO$500,I$2,0),"Л")</f>
        <v>0</v>
      </c>
      <c r="J1513" s="50">
        <f>SUMIFS(INDEX(Техника!$F$1:$ABM$500,J$2,0),Техника!$F$4:$ABM$4,"Часы",INDEX(Техника!$G$1:$ABN$500,J$2,0),$A$1509,INDEX(Техника!$H$1:$ABO$500,J$2,0),"Л")</f>
        <v>0</v>
      </c>
      <c r="K1513" s="50">
        <f>SUMIFS(INDEX(Техника!$F$1:$ABM$500,K$2,0),Техника!$F$4:$ABM$4,"Часы",INDEX(Техника!$G$1:$ABN$500,K$2,0),$A$1509,INDEX(Техника!$H$1:$ABO$500,K$2,0),"Л")</f>
        <v>0</v>
      </c>
      <c r="L1513" s="50">
        <f>SUMIFS(INDEX(Техника!$F$1:$ABM$500,L$2,0),Техника!$F$4:$ABM$4,"Часы",INDEX(Техника!$G$1:$ABN$500,L$2,0),$A$1509,INDEX(Техника!$H$1:$ABO$500,L$2,0),"Л")</f>
        <v>0</v>
      </c>
      <c r="M1513" s="50">
        <f>SUMIFS(INDEX(Техника!$F$1:$ABM$500,M$2,0),Техника!$F$4:$ABM$4,"Часы",INDEX(Техника!$G$1:$ABN$500,M$2,0),$A$1509,INDEX(Техника!$H$1:$ABO$500,M$2,0),"Л")</f>
        <v>0</v>
      </c>
      <c r="N1513" s="50">
        <f>SUMIFS(INDEX(Техника!$F$1:$ABM$500,N$2,0),Техника!$F$4:$ABM$4,"Часы",INDEX(Техника!$G$1:$ABN$500,N$2,0),$A$1509,INDEX(Техника!$H$1:$ABO$500,N$2,0),"Л")</f>
        <v>0</v>
      </c>
      <c r="O1513" s="50">
        <f>SUMIFS(INDEX(Техника!$F$1:$ABM$500,O$2,0),Техника!$F$4:$ABM$4,"Часы",INDEX(Техника!$G$1:$ABN$500,O$2,0),$A$1509,INDEX(Техника!$H$1:$ABO$500,O$2,0),"Л")</f>
        <v>0</v>
      </c>
      <c r="P1513" s="50">
        <f>SUMIFS(INDEX(Техника!$F$1:$ABM$500,P$2,0),Техника!$F$4:$ABM$4,"Часы",INDEX(Техника!$G$1:$ABN$500,P$2,0),$A$1509,INDEX(Техника!$H$1:$ABO$500,P$2,0),"Л")</f>
        <v>0</v>
      </c>
      <c r="Q1513" s="50">
        <f>SUMIFS(INDEX(Техника!$F$1:$ABM$500,Q$2,0),Техника!$F$4:$ABM$4,"Часы",INDEX(Техника!$G$1:$ABN$500,Q$2,0),$A$1509,INDEX(Техника!$H$1:$ABO$500,Q$2,0),"Л")</f>
        <v>0</v>
      </c>
      <c r="R1513" s="50">
        <f>SUMIFS(INDEX(Техника!$F$1:$ABM$500,R$2,0),Техника!$F$4:$ABM$4,"Часы",INDEX(Техника!$G$1:$ABN$500,R$2,0),$A$1509,INDEX(Техника!$H$1:$ABO$500,R$2,0),"Л")</f>
        <v>0</v>
      </c>
      <c r="S1513" s="50">
        <f>SUMIFS(INDEX(Техника!$F$1:$ABM$500,S$2,0),Техника!$F$4:$ABM$4,"Часы",INDEX(Техника!$G$1:$ABN$500,S$2,0),$A$1509,INDEX(Техника!$H$1:$ABO$500,S$2,0),"Л")</f>
        <v>0</v>
      </c>
      <c r="T1513" s="50">
        <f>SUMIFS(INDEX(Техника!$F$1:$ABM$500,T$2,0),Техника!$F$4:$ABM$4,"Часы",INDEX(Техника!$G$1:$ABN$500,T$2,0),$A$1509,INDEX(Техника!$H$1:$ABO$500,T$2,0),"Л")</f>
        <v>0</v>
      </c>
      <c r="U1513" s="50">
        <f>SUMIFS(INDEX(Техника!$F$1:$ABM$500,U$2,0),Техника!$F$4:$ABM$4,"Часы",INDEX(Техника!$G$1:$ABN$500,U$2,0),$A$1509,INDEX(Техника!$H$1:$ABO$500,U$2,0),"Л")</f>
        <v>0</v>
      </c>
      <c r="V1513" s="50">
        <f>SUMIFS(INDEX(Техника!$F$1:$ABM$500,V$2,0),Техника!$F$4:$ABM$4,"Часы",INDEX(Техника!$G$1:$ABN$500,V$2,0),$A$1509,INDEX(Техника!$H$1:$ABO$500,V$2,0),"Л")</f>
        <v>0</v>
      </c>
      <c r="W1513" s="50">
        <f>SUMIFS(INDEX(Техника!$F$1:$ABM$500,W$2,0),Техника!$F$4:$ABM$4,"Часы",INDEX(Техника!$G$1:$ABN$500,W$2,0),$A$1509,INDEX(Техника!$H$1:$ABO$500,W$2,0),"Л")</f>
        <v>0</v>
      </c>
      <c r="X1513" s="50">
        <f>SUMIFS(INDEX(Техника!$F$1:$ABM$500,X$2,0),Техника!$F$4:$ABM$4,"Часы",INDEX(Техника!$G$1:$ABN$500,X$2,0),$A$1509,INDEX(Техника!$H$1:$ABO$500,X$2,0),"Л")</f>
        <v>0</v>
      </c>
      <c r="Y1513" s="50">
        <f>SUMIFS(INDEX(Техника!$F$1:$ABM$500,Y$2,0),Техника!$F$4:$ABM$4,"Часы",INDEX(Техника!$G$1:$ABN$500,Y$2,0),$A$1509,INDEX(Техника!$H$1:$ABO$500,Y$2,0),"Л")</f>
        <v>0</v>
      </c>
      <c r="Z1513" s="50">
        <f>SUMIFS(INDEX(Техника!$F$1:$ABM$500,Z$2,0),Техника!$F$4:$ABM$4,"Часы",INDEX(Техника!$G$1:$ABN$500,Z$2,0),$A$1509,INDEX(Техника!$H$1:$ABO$500,Z$2,0),"Л")</f>
        <v>0</v>
      </c>
      <c r="AA1513" s="50">
        <f>SUMIFS(INDEX(Техника!$F$1:$ABM$500,AA$2,0),Техника!$F$4:$ABM$4,"Часы",INDEX(Техника!$G$1:$ABN$500,AA$2,0),$A$1509,INDEX(Техника!$H$1:$ABO$500,AA$2,0),"Л")</f>
        <v>0</v>
      </c>
      <c r="AB1513" s="50">
        <f>SUMIFS(INDEX(Техника!$F$1:$ABM$500,AB$2,0),Техника!$F$4:$ABM$4,"Часы",INDEX(Техника!$G$1:$ABN$500,AB$2,0),$A$1509,INDEX(Техника!$H$1:$ABO$500,AB$2,0),"Л")</f>
        <v>0</v>
      </c>
    </row>
    <row r="1514" spans="1:28" hidden="1" outlineLevel="1" x14ac:dyDescent="0.3">
      <c r="A1514" s="33" t="s">
        <v>245</v>
      </c>
      <c r="B1514" s="34" t="s">
        <v>279</v>
      </c>
      <c r="C1514" s="50">
        <f>SUMIFS(INDEX(Техника!$F$1:$ABM$500,C$2,0),Техника!$F$4:$ABM$4,"Часы",INDEX(Техника!$G$1:$ABN$500,C$2,0),$A$1509,INDEX(Техника!$H$1:$ABO$500,C$2,0),"З")</f>
        <v>0</v>
      </c>
      <c r="D1514" s="50">
        <f>SUMIFS(INDEX(Техника!$F$1:$ABM$500,D$2,0),Техника!$F$4:$ABM$4,"Часы",INDEX(Техника!$G$1:$ABN$500,D$2,0),$A$1509,INDEX(Техника!$H$1:$ABO$500,D$2,0),"З")</f>
        <v>0</v>
      </c>
      <c r="E1514" s="50">
        <f>SUMIFS(INDEX(Техника!$F$1:$ABM$500,E$2,0),Техника!$F$4:$ABM$4,"Часы",INDEX(Техника!$G$1:$ABN$500,E$2,0),$A$1509,INDEX(Техника!$H$1:$ABO$500,E$2,0),"З")</f>
        <v>0</v>
      </c>
      <c r="F1514" s="50">
        <f>SUMIFS(INDEX(Техника!$F$1:$ABM$500,F$2,0),Техника!$F$4:$ABM$4,"Часы",INDEX(Техника!$G$1:$ABN$500,F$2,0),$A$1509,INDEX(Техника!$H$1:$ABO$500,F$2,0),"З")</f>
        <v>0</v>
      </c>
      <c r="G1514" s="50">
        <f>SUMIFS(INDEX(Техника!$F$1:$ABM$500,G$2,0),Техника!$F$4:$ABM$4,"Часы",INDEX(Техника!$G$1:$ABN$500,G$2,0),$A$1509,INDEX(Техника!$H$1:$ABO$500,G$2,0),"З")</f>
        <v>0</v>
      </c>
      <c r="H1514" s="50">
        <f>SUMIFS(INDEX(Техника!$F$1:$ABM$500,H$2,0),Техника!$F$4:$ABM$4,"Часы",INDEX(Техника!$G$1:$ABN$500,H$2,0),$A$1509,INDEX(Техника!$H$1:$ABO$500,H$2,0),"З")</f>
        <v>0</v>
      </c>
      <c r="I1514" s="50">
        <f>SUMIFS(INDEX(Техника!$F$1:$ABM$500,I$2,0),Техника!$F$4:$ABM$4,"Часы",INDEX(Техника!$G$1:$ABN$500,I$2,0),$A$1509,INDEX(Техника!$H$1:$ABO$500,I$2,0),"З")</f>
        <v>0</v>
      </c>
      <c r="J1514" s="50">
        <f>SUMIFS(INDEX(Техника!$F$1:$ABM$500,J$2,0),Техника!$F$4:$ABM$4,"Часы",INDEX(Техника!$G$1:$ABN$500,J$2,0),$A$1509,INDEX(Техника!$H$1:$ABO$500,J$2,0),"З")</f>
        <v>0</v>
      </c>
      <c r="K1514" s="50">
        <f>SUMIFS(INDEX(Техника!$F$1:$ABM$500,K$2,0),Техника!$F$4:$ABM$4,"Часы",INDEX(Техника!$G$1:$ABN$500,K$2,0),$A$1509,INDEX(Техника!$H$1:$ABO$500,K$2,0),"З")</f>
        <v>0</v>
      </c>
      <c r="L1514" s="50">
        <f>SUMIFS(INDEX(Техника!$F$1:$ABM$500,L$2,0),Техника!$F$4:$ABM$4,"Часы",INDEX(Техника!$G$1:$ABN$500,L$2,0),$A$1509,INDEX(Техника!$H$1:$ABO$500,L$2,0),"З")</f>
        <v>0</v>
      </c>
      <c r="M1514" s="50">
        <f>SUMIFS(INDEX(Техника!$F$1:$ABM$500,M$2,0),Техника!$F$4:$ABM$4,"Часы",INDEX(Техника!$G$1:$ABN$500,M$2,0),$A$1509,INDEX(Техника!$H$1:$ABO$500,M$2,0),"З")</f>
        <v>0</v>
      </c>
      <c r="N1514" s="50">
        <f>SUMIFS(INDEX(Техника!$F$1:$ABM$500,N$2,0),Техника!$F$4:$ABM$4,"Часы",INDEX(Техника!$G$1:$ABN$500,N$2,0),$A$1509,INDEX(Техника!$H$1:$ABO$500,N$2,0),"З")</f>
        <v>0</v>
      </c>
      <c r="O1514" s="50">
        <f>SUMIFS(INDEX(Техника!$F$1:$ABM$500,O$2,0),Техника!$F$4:$ABM$4,"Часы",INDEX(Техника!$G$1:$ABN$500,O$2,0),$A$1509,INDEX(Техника!$H$1:$ABO$500,O$2,0),"З")</f>
        <v>0</v>
      </c>
      <c r="P1514" s="50">
        <f>SUMIFS(INDEX(Техника!$F$1:$ABM$500,P$2,0),Техника!$F$4:$ABM$4,"Часы",INDEX(Техника!$G$1:$ABN$500,P$2,0),$A$1509,INDEX(Техника!$H$1:$ABO$500,P$2,0),"З")</f>
        <v>0</v>
      </c>
      <c r="Q1514" s="50">
        <f>SUMIFS(INDEX(Техника!$F$1:$ABM$500,Q$2,0),Техника!$F$4:$ABM$4,"Часы",INDEX(Техника!$G$1:$ABN$500,Q$2,0),$A$1509,INDEX(Техника!$H$1:$ABO$500,Q$2,0),"З")</f>
        <v>0</v>
      </c>
      <c r="R1514" s="50">
        <f>SUMIFS(INDEX(Техника!$F$1:$ABM$500,R$2,0),Техника!$F$4:$ABM$4,"Часы",INDEX(Техника!$G$1:$ABN$500,R$2,0),$A$1509,INDEX(Техника!$H$1:$ABO$500,R$2,0),"З")</f>
        <v>0</v>
      </c>
      <c r="S1514" s="50">
        <f>SUMIFS(INDEX(Техника!$F$1:$ABM$500,S$2,0),Техника!$F$4:$ABM$4,"Часы",INDEX(Техника!$G$1:$ABN$500,S$2,0),$A$1509,INDEX(Техника!$H$1:$ABO$500,S$2,0),"З")</f>
        <v>0</v>
      </c>
      <c r="T1514" s="50">
        <f>SUMIFS(INDEX(Техника!$F$1:$ABM$500,T$2,0),Техника!$F$4:$ABM$4,"Часы",INDEX(Техника!$G$1:$ABN$500,T$2,0),$A$1509,INDEX(Техника!$H$1:$ABO$500,T$2,0),"З")</f>
        <v>0</v>
      </c>
      <c r="U1514" s="50">
        <f>SUMIFS(INDEX(Техника!$F$1:$ABM$500,U$2,0),Техника!$F$4:$ABM$4,"Часы",INDEX(Техника!$G$1:$ABN$500,U$2,0),$A$1509,INDEX(Техника!$H$1:$ABO$500,U$2,0),"З")</f>
        <v>0</v>
      </c>
      <c r="V1514" s="50">
        <f>SUMIFS(INDEX(Техника!$F$1:$ABM$500,V$2,0),Техника!$F$4:$ABM$4,"Часы",INDEX(Техника!$G$1:$ABN$500,V$2,0),$A$1509,INDEX(Техника!$H$1:$ABO$500,V$2,0),"З")</f>
        <v>0</v>
      </c>
      <c r="W1514" s="50">
        <f>SUMIFS(INDEX(Техника!$F$1:$ABM$500,W$2,0),Техника!$F$4:$ABM$4,"Часы",INDEX(Техника!$G$1:$ABN$500,W$2,0),$A$1509,INDEX(Техника!$H$1:$ABO$500,W$2,0),"З")</f>
        <v>0</v>
      </c>
      <c r="X1514" s="50">
        <f>SUMIFS(INDEX(Техника!$F$1:$ABM$500,X$2,0),Техника!$F$4:$ABM$4,"Часы",INDEX(Техника!$G$1:$ABN$500,X$2,0),$A$1509,INDEX(Техника!$H$1:$ABO$500,X$2,0),"З")</f>
        <v>0</v>
      </c>
      <c r="Y1514" s="50">
        <f>SUMIFS(INDEX(Техника!$F$1:$ABM$500,Y$2,0),Техника!$F$4:$ABM$4,"Часы",INDEX(Техника!$G$1:$ABN$500,Y$2,0),$A$1509,INDEX(Техника!$H$1:$ABO$500,Y$2,0),"З")</f>
        <v>0</v>
      </c>
      <c r="Z1514" s="50">
        <f>SUMIFS(INDEX(Техника!$F$1:$ABM$500,Z$2,0),Техника!$F$4:$ABM$4,"Часы",INDEX(Техника!$G$1:$ABN$500,Z$2,0),$A$1509,INDEX(Техника!$H$1:$ABO$500,Z$2,0),"З")</f>
        <v>0</v>
      </c>
      <c r="AA1514" s="50">
        <f>SUMIFS(INDEX(Техника!$F$1:$ABM$500,AA$2,0),Техника!$F$4:$ABM$4,"Часы",INDEX(Техника!$G$1:$ABN$500,AA$2,0),$A$1509,INDEX(Техника!$H$1:$ABO$500,AA$2,0),"З")</f>
        <v>0</v>
      </c>
      <c r="AB1514" s="50">
        <f>SUMIFS(INDEX(Техника!$F$1:$ABM$500,AB$2,0),Техника!$F$4:$ABM$4,"Часы",INDEX(Техника!$G$1:$ABN$500,AB$2,0),$A$1509,INDEX(Техника!$H$1:$ABO$500,AB$2,0),"З")</f>
        <v>0</v>
      </c>
    </row>
    <row r="1515" spans="1:28" ht="7.95" customHeight="1" x14ac:dyDescent="0.3">
      <c r="A1515" s="38"/>
      <c r="B1515" s="39"/>
      <c r="C1515" s="51"/>
      <c r="D1515" s="51"/>
      <c r="E1515" s="51"/>
      <c r="F1515" s="51"/>
      <c r="G1515" s="51"/>
      <c r="H1515" s="51"/>
      <c r="I1515" s="51"/>
      <c r="J1515" s="51"/>
      <c r="K1515" s="51"/>
      <c r="L1515" s="51"/>
      <c r="M1515" s="51"/>
      <c r="N1515" s="51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</row>
    <row r="1516" spans="1:28" ht="25.05" customHeight="1" collapsed="1" x14ac:dyDescent="0.3">
      <c r="A1516" s="32">
        <v>217</v>
      </c>
      <c r="B1516" s="32" t="s">
        <v>218</v>
      </c>
      <c r="C1516" s="49">
        <f>SUM(C1517:C1521)</f>
        <v>0</v>
      </c>
      <c r="D1516" s="49">
        <f>SUM(D1517:D1521)</f>
        <v>0</v>
      </c>
      <c r="E1516" s="49">
        <f>SUM(E1517:E1521)</f>
        <v>0</v>
      </c>
      <c r="F1516" s="49">
        <f>SUM(F1517:F1521)</f>
        <v>0</v>
      </c>
      <c r="G1516" s="49">
        <f>SUM(G1517:G1521)</f>
        <v>0</v>
      </c>
      <c r="H1516" s="49">
        <f>SUM(H1517:H1521)</f>
        <v>0</v>
      </c>
      <c r="I1516" s="49">
        <f>SUM(I1517:I1521)</f>
        <v>0</v>
      </c>
      <c r="J1516" s="49">
        <f>SUM(J1517:J1521)</f>
        <v>0</v>
      </c>
      <c r="K1516" s="49">
        <f>SUM(K1517:K1521)</f>
        <v>0</v>
      </c>
      <c r="L1516" s="49">
        <f>SUM(L1517:L1521)</f>
        <v>0</v>
      </c>
      <c r="M1516" s="49">
        <f>SUM(M1517:M1521)</f>
        <v>0</v>
      </c>
      <c r="N1516" s="49">
        <f>SUM(N1517:N1521)</f>
        <v>0</v>
      </c>
      <c r="O1516" s="49">
        <f>SUM(O1517:O1521)</f>
        <v>0</v>
      </c>
      <c r="P1516" s="49">
        <f>SUM(P1517:P1521)</f>
        <v>0</v>
      </c>
      <c r="Q1516" s="49">
        <f>SUM(Q1517:Q1521)</f>
        <v>0</v>
      </c>
      <c r="R1516" s="49">
        <f>SUM(R1517:R1521)</f>
        <v>0</v>
      </c>
      <c r="S1516" s="49">
        <f>SUM(S1517:S1521)</f>
        <v>0</v>
      </c>
      <c r="T1516" s="49">
        <f>SUM(T1517:T1521)</f>
        <v>0</v>
      </c>
      <c r="U1516" s="49">
        <f>SUM(U1517:U1521)</f>
        <v>0</v>
      </c>
      <c r="V1516" s="49">
        <f>SUM(V1517:V1521)</f>
        <v>0</v>
      </c>
      <c r="W1516" s="49">
        <f>SUM(W1517:W1521)</f>
        <v>0</v>
      </c>
      <c r="X1516" s="49">
        <f>SUM(X1517:X1521)</f>
        <v>0</v>
      </c>
      <c r="Y1516" s="49">
        <f>SUM(Y1517:Y1521)</f>
        <v>0</v>
      </c>
      <c r="Z1516" s="49">
        <f>SUM(Z1517:Z1521)</f>
        <v>0</v>
      </c>
      <c r="AA1516" s="49">
        <f>SUM(AA1517:AA1521)</f>
        <v>0</v>
      </c>
      <c r="AB1516" s="49">
        <f>SUM(AB1517:AB1521)</f>
        <v>0</v>
      </c>
    </row>
    <row r="1517" spans="1:28" hidden="1" outlineLevel="1" x14ac:dyDescent="0.3">
      <c r="A1517" s="33" t="s">
        <v>246</v>
      </c>
      <c r="B1517" s="34" t="s">
        <v>274</v>
      </c>
      <c r="C1517" s="50">
        <f>SUMIFS(INDEX(Техника!$F$1:$ABM$500,C$2,0),Техника!$F$4:$ABM$4,"Часы",INDEX(Техника!$G$1:$ABN$500,C$2,0),$A$1516,INDEX(Техника!$H$1:$ABO$500,C$2,0),"М")</f>
        <v>0</v>
      </c>
      <c r="D1517" s="50">
        <f>SUMIFS(INDEX(Техника!$F$1:$ABM$500,D$2,0),Техника!$F$4:$ABM$4,"Часы",INDEX(Техника!$G$1:$ABN$500,D$2,0),$A$1516,INDEX(Техника!$H$1:$ABO$500,D$2,0),"М")</f>
        <v>0</v>
      </c>
      <c r="E1517" s="50">
        <f>SUMIFS(INDEX(Техника!$F$1:$ABM$500,E$2,0),Техника!$F$4:$ABM$4,"Часы",INDEX(Техника!$G$1:$ABN$500,E$2,0),$A$1516,INDEX(Техника!$H$1:$ABO$500,E$2,0),"М")</f>
        <v>0</v>
      </c>
      <c r="F1517" s="50">
        <f>SUMIFS(INDEX(Техника!$F$1:$ABM$500,F$2,0),Техника!$F$4:$ABM$4,"Часы",INDEX(Техника!$G$1:$ABN$500,F$2,0),$A$1516,INDEX(Техника!$H$1:$ABO$500,F$2,0),"М")</f>
        <v>0</v>
      </c>
      <c r="G1517" s="50">
        <f>SUMIFS(INDEX(Техника!$F$1:$ABM$500,G$2,0),Техника!$F$4:$ABM$4,"Часы",INDEX(Техника!$G$1:$ABN$500,G$2,0),$A$1516,INDEX(Техника!$H$1:$ABO$500,G$2,0),"М")</f>
        <v>0</v>
      </c>
      <c r="H1517" s="50">
        <f>SUMIFS(INDEX(Техника!$F$1:$ABM$500,H$2,0),Техника!$F$4:$ABM$4,"Часы",INDEX(Техника!$G$1:$ABN$500,H$2,0),$A$1516,INDEX(Техника!$H$1:$ABO$500,H$2,0),"М")</f>
        <v>0</v>
      </c>
      <c r="I1517" s="50">
        <f>SUMIFS(INDEX(Техника!$F$1:$ABM$500,I$2,0),Техника!$F$4:$ABM$4,"Часы",INDEX(Техника!$G$1:$ABN$500,I$2,0),$A$1516,INDEX(Техника!$H$1:$ABO$500,I$2,0),"М")</f>
        <v>0</v>
      </c>
      <c r="J1517" s="50">
        <f>SUMIFS(INDEX(Техника!$F$1:$ABM$500,J$2,0),Техника!$F$4:$ABM$4,"Часы",INDEX(Техника!$G$1:$ABN$500,J$2,0),$A$1516,INDEX(Техника!$H$1:$ABO$500,J$2,0),"М")</f>
        <v>0</v>
      </c>
      <c r="K1517" s="50">
        <f>SUMIFS(INDEX(Техника!$F$1:$ABM$500,K$2,0),Техника!$F$4:$ABM$4,"Часы",INDEX(Техника!$G$1:$ABN$500,K$2,0),$A$1516,INDEX(Техника!$H$1:$ABO$500,K$2,0),"М")</f>
        <v>0</v>
      </c>
      <c r="L1517" s="50">
        <f>SUMIFS(INDEX(Техника!$F$1:$ABM$500,L$2,0),Техника!$F$4:$ABM$4,"Часы",INDEX(Техника!$G$1:$ABN$500,L$2,0),$A$1516,INDEX(Техника!$H$1:$ABO$500,L$2,0),"М")</f>
        <v>0</v>
      </c>
      <c r="M1517" s="50">
        <f>SUMIFS(INDEX(Техника!$F$1:$ABM$500,M$2,0),Техника!$F$4:$ABM$4,"Часы",INDEX(Техника!$G$1:$ABN$500,M$2,0),$A$1516,INDEX(Техника!$H$1:$ABO$500,M$2,0),"М")</f>
        <v>0</v>
      </c>
      <c r="N1517" s="50">
        <f>SUMIFS(INDEX(Техника!$F$1:$ABM$500,N$2,0),Техника!$F$4:$ABM$4,"Часы",INDEX(Техника!$G$1:$ABN$500,N$2,0),$A$1516,INDEX(Техника!$H$1:$ABO$500,N$2,0),"М")</f>
        <v>0</v>
      </c>
      <c r="O1517" s="50">
        <f>SUMIFS(INDEX(Техника!$F$1:$ABM$500,O$2,0),Техника!$F$4:$ABM$4,"Часы",INDEX(Техника!$G$1:$ABN$500,O$2,0),$A$1516,INDEX(Техника!$H$1:$ABO$500,O$2,0),"М")</f>
        <v>0</v>
      </c>
      <c r="P1517" s="50">
        <f>SUMIFS(INDEX(Техника!$F$1:$ABM$500,P$2,0),Техника!$F$4:$ABM$4,"Часы",INDEX(Техника!$G$1:$ABN$500,P$2,0),$A$1516,INDEX(Техника!$H$1:$ABO$500,P$2,0),"М")</f>
        <v>0</v>
      </c>
      <c r="Q1517" s="50">
        <f>SUMIFS(INDEX(Техника!$F$1:$ABM$500,Q$2,0),Техника!$F$4:$ABM$4,"Часы",INDEX(Техника!$G$1:$ABN$500,Q$2,0),$A$1516,INDEX(Техника!$H$1:$ABO$500,Q$2,0),"М")</f>
        <v>0</v>
      </c>
      <c r="R1517" s="50">
        <f>SUMIFS(INDEX(Техника!$F$1:$ABM$500,R$2,0),Техника!$F$4:$ABM$4,"Часы",INDEX(Техника!$G$1:$ABN$500,R$2,0),$A$1516,INDEX(Техника!$H$1:$ABO$500,R$2,0),"М")</f>
        <v>0</v>
      </c>
      <c r="S1517" s="50">
        <f>SUMIFS(INDEX(Техника!$F$1:$ABM$500,S$2,0),Техника!$F$4:$ABM$4,"Часы",INDEX(Техника!$G$1:$ABN$500,S$2,0),$A$1516,INDEX(Техника!$H$1:$ABO$500,S$2,0),"М")</f>
        <v>0</v>
      </c>
      <c r="T1517" s="50">
        <f>SUMIFS(INDEX(Техника!$F$1:$ABM$500,T$2,0),Техника!$F$4:$ABM$4,"Часы",INDEX(Техника!$G$1:$ABN$500,T$2,0),$A$1516,INDEX(Техника!$H$1:$ABO$500,T$2,0),"М")</f>
        <v>0</v>
      </c>
      <c r="U1517" s="50">
        <f>SUMIFS(INDEX(Техника!$F$1:$ABM$500,U$2,0),Техника!$F$4:$ABM$4,"Часы",INDEX(Техника!$G$1:$ABN$500,U$2,0),$A$1516,INDEX(Техника!$H$1:$ABO$500,U$2,0),"М")</f>
        <v>0</v>
      </c>
      <c r="V1517" s="50">
        <f>SUMIFS(INDEX(Техника!$F$1:$ABM$500,V$2,0),Техника!$F$4:$ABM$4,"Часы",INDEX(Техника!$G$1:$ABN$500,V$2,0),$A$1516,INDEX(Техника!$H$1:$ABO$500,V$2,0),"М")</f>
        <v>0</v>
      </c>
      <c r="W1517" s="50">
        <f>SUMIFS(INDEX(Техника!$F$1:$ABM$500,W$2,0),Техника!$F$4:$ABM$4,"Часы",INDEX(Техника!$G$1:$ABN$500,W$2,0),$A$1516,INDEX(Техника!$H$1:$ABO$500,W$2,0),"М")</f>
        <v>0</v>
      </c>
      <c r="X1517" s="50">
        <f>SUMIFS(INDEX(Техника!$F$1:$ABM$500,X$2,0),Техника!$F$4:$ABM$4,"Часы",INDEX(Техника!$G$1:$ABN$500,X$2,0),$A$1516,INDEX(Техника!$H$1:$ABO$500,X$2,0),"М")</f>
        <v>0</v>
      </c>
      <c r="Y1517" s="50">
        <f>SUMIFS(INDEX(Техника!$F$1:$ABM$500,Y$2,0),Техника!$F$4:$ABM$4,"Часы",INDEX(Техника!$G$1:$ABN$500,Y$2,0),$A$1516,INDEX(Техника!$H$1:$ABO$500,Y$2,0),"М")</f>
        <v>0</v>
      </c>
      <c r="Z1517" s="50">
        <f>SUMIFS(INDEX(Техника!$F$1:$ABM$500,Z$2,0),Техника!$F$4:$ABM$4,"Часы",INDEX(Техника!$G$1:$ABN$500,Z$2,0),$A$1516,INDEX(Техника!$H$1:$ABO$500,Z$2,0),"М")</f>
        <v>0</v>
      </c>
      <c r="AA1517" s="50">
        <f>SUMIFS(INDEX(Техника!$F$1:$ABM$500,AA$2,0),Техника!$F$4:$ABM$4,"Часы",INDEX(Техника!$G$1:$ABN$500,AA$2,0),$A$1516,INDEX(Техника!$H$1:$ABO$500,AA$2,0),"М")</f>
        <v>0</v>
      </c>
      <c r="AB1517" s="50">
        <f>SUMIFS(INDEX(Техника!$F$1:$ABM$500,AB$2,0),Техника!$F$4:$ABM$4,"Часы",INDEX(Техника!$G$1:$ABN$500,AB$2,0),$A$1516,INDEX(Техника!$H$1:$ABO$500,AB$2,0),"М")</f>
        <v>0</v>
      </c>
    </row>
    <row r="1518" spans="1:28" hidden="1" outlineLevel="1" x14ac:dyDescent="0.3">
      <c r="A1518" s="33" t="s">
        <v>244</v>
      </c>
      <c r="B1518" s="34" t="s">
        <v>275</v>
      </c>
      <c r="C1518" s="50">
        <f>SUMIFS(INDEX(Техника!$F$1:$ABM$500,C$2,0),Техника!$F$4:$ABM$4,"Часы",INDEX(Техника!$G$1:$ABN$500,C$2,0),$A$1516,INDEX(Техника!$H$1:$ABO$500,C$2,0),"Д")</f>
        <v>0</v>
      </c>
      <c r="D1518" s="50">
        <f>SUMIFS(INDEX(Техника!$F$1:$ABM$500,D$2,0),Техника!$F$4:$ABM$4,"Часы",INDEX(Техника!$G$1:$ABN$500,D$2,0),$A$1516,INDEX(Техника!$H$1:$ABO$500,D$2,0),"Д")</f>
        <v>0</v>
      </c>
      <c r="E1518" s="50">
        <f>SUMIFS(INDEX(Техника!$F$1:$ABM$500,E$2,0),Техника!$F$4:$ABM$4,"Часы",INDEX(Техника!$G$1:$ABN$500,E$2,0),$A$1516,INDEX(Техника!$H$1:$ABO$500,E$2,0),"Д")</f>
        <v>0</v>
      </c>
      <c r="F1518" s="50">
        <f>SUMIFS(INDEX(Техника!$F$1:$ABM$500,F$2,0),Техника!$F$4:$ABM$4,"Часы",INDEX(Техника!$G$1:$ABN$500,F$2,0),$A$1516,INDEX(Техника!$H$1:$ABO$500,F$2,0),"Д")</f>
        <v>0</v>
      </c>
      <c r="G1518" s="50">
        <f>SUMIFS(INDEX(Техника!$F$1:$ABM$500,G$2,0),Техника!$F$4:$ABM$4,"Часы",INDEX(Техника!$G$1:$ABN$500,G$2,0),$A$1516,INDEX(Техника!$H$1:$ABO$500,G$2,0),"Д")</f>
        <v>0</v>
      </c>
      <c r="H1518" s="50">
        <f>SUMIFS(INDEX(Техника!$F$1:$ABM$500,H$2,0),Техника!$F$4:$ABM$4,"Часы",INDEX(Техника!$G$1:$ABN$500,H$2,0),$A$1516,INDEX(Техника!$H$1:$ABO$500,H$2,0),"Д")</f>
        <v>0</v>
      </c>
      <c r="I1518" s="50">
        <f>SUMIFS(INDEX(Техника!$F$1:$ABM$500,I$2,0),Техника!$F$4:$ABM$4,"Часы",INDEX(Техника!$G$1:$ABN$500,I$2,0),$A$1516,INDEX(Техника!$H$1:$ABO$500,I$2,0),"Д")</f>
        <v>0</v>
      </c>
      <c r="J1518" s="50">
        <f>SUMIFS(INDEX(Техника!$F$1:$ABM$500,J$2,0),Техника!$F$4:$ABM$4,"Часы",INDEX(Техника!$G$1:$ABN$500,J$2,0),$A$1516,INDEX(Техника!$H$1:$ABO$500,J$2,0),"Д")</f>
        <v>0</v>
      </c>
      <c r="K1518" s="50">
        <f>SUMIFS(INDEX(Техника!$F$1:$ABM$500,K$2,0),Техника!$F$4:$ABM$4,"Часы",INDEX(Техника!$G$1:$ABN$500,K$2,0),$A$1516,INDEX(Техника!$H$1:$ABO$500,K$2,0),"Д")</f>
        <v>0</v>
      </c>
      <c r="L1518" s="50">
        <f>SUMIFS(INDEX(Техника!$F$1:$ABM$500,L$2,0),Техника!$F$4:$ABM$4,"Часы",INDEX(Техника!$G$1:$ABN$500,L$2,0),$A$1516,INDEX(Техника!$H$1:$ABO$500,L$2,0),"Д")</f>
        <v>0</v>
      </c>
      <c r="M1518" s="50">
        <f>SUMIFS(INDEX(Техника!$F$1:$ABM$500,M$2,0),Техника!$F$4:$ABM$4,"Часы",INDEX(Техника!$G$1:$ABN$500,M$2,0),$A$1516,INDEX(Техника!$H$1:$ABO$500,M$2,0),"Д")</f>
        <v>0</v>
      </c>
      <c r="N1518" s="50">
        <f>SUMIFS(INDEX(Техника!$F$1:$ABM$500,N$2,0),Техника!$F$4:$ABM$4,"Часы",INDEX(Техника!$G$1:$ABN$500,N$2,0),$A$1516,INDEX(Техника!$H$1:$ABO$500,N$2,0),"Д")</f>
        <v>0</v>
      </c>
      <c r="O1518" s="50">
        <f>SUMIFS(INDEX(Техника!$F$1:$ABM$500,O$2,0),Техника!$F$4:$ABM$4,"Часы",INDEX(Техника!$G$1:$ABN$500,O$2,0),$A$1516,INDEX(Техника!$H$1:$ABO$500,O$2,0),"Д")</f>
        <v>0</v>
      </c>
      <c r="P1518" s="50">
        <f>SUMIFS(INDEX(Техника!$F$1:$ABM$500,P$2,0),Техника!$F$4:$ABM$4,"Часы",INDEX(Техника!$G$1:$ABN$500,P$2,0),$A$1516,INDEX(Техника!$H$1:$ABO$500,P$2,0),"Д")</f>
        <v>0</v>
      </c>
      <c r="Q1518" s="50">
        <f>SUMIFS(INDEX(Техника!$F$1:$ABM$500,Q$2,0),Техника!$F$4:$ABM$4,"Часы",INDEX(Техника!$G$1:$ABN$500,Q$2,0),$A$1516,INDEX(Техника!$H$1:$ABO$500,Q$2,0),"Д")</f>
        <v>0</v>
      </c>
      <c r="R1518" s="50">
        <f>SUMIFS(INDEX(Техника!$F$1:$ABM$500,R$2,0),Техника!$F$4:$ABM$4,"Часы",INDEX(Техника!$G$1:$ABN$500,R$2,0),$A$1516,INDEX(Техника!$H$1:$ABO$500,R$2,0),"Д")</f>
        <v>0</v>
      </c>
      <c r="S1518" s="50">
        <f>SUMIFS(INDEX(Техника!$F$1:$ABM$500,S$2,0),Техника!$F$4:$ABM$4,"Часы",INDEX(Техника!$G$1:$ABN$500,S$2,0),$A$1516,INDEX(Техника!$H$1:$ABO$500,S$2,0),"Д")</f>
        <v>0</v>
      </c>
      <c r="T1518" s="50">
        <f>SUMIFS(INDEX(Техника!$F$1:$ABM$500,T$2,0),Техника!$F$4:$ABM$4,"Часы",INDEX(Техника!$G$1:$ABN$500,T$2,0),$A$1516,INDEX(Техника!$H$1:$ABO$500,T$2,0),"Д")</f>
        <v>0</v>
      </c>
      <c r="U1518" s="50">
        <f>SUMIFS(INDEX(Техника!$F$1:$ABM$500,U$2,0),Техника!$F$4:$ABM$4,"Часы",INDEX(Техника!$G$1:$ABN$500,U$2,0),$A$1516,INDEX(Техника!$H$1:$ABO$500,U$2,0),"Д")</f>
        <v>0</v>
      </c>
      <c r="V1518" s="50">
        <f>SUMIFS(INDEX(Техника!$F$1:$ABM$500,V$2,0),Техника!$F$4:$ABM$4,"Часы",INDEX(Техника!$G$1:$ABN$500,V$2,0),$A$1516,INDEX(Техника!$H$1:$ABO$500,V$2,0),"Д")</f>
        <v>0</v>
      </c>
      <c r="W1518" s="50">
        <f>SUMIFS(INDEX(Техника!$F$1:$ABM$500,W$2,0),Техника!$F$4:$ABM$4,"Часы",INDEX(Техника!$G$1:$ABN$500,W$2,0),$A$1516,INDEX(Техника!$H$1:$ABO$500,W$2,0),"Д")</f>
        <v>0</v>
      </c>
      <c r="X1518" s="50">
        <f>SUMIFS(INDEX(Техника!$F$1:$ABM$500,X$2,0),Техника!$F$4:$ABM$4,"Часы",INDEX(Техника!$G$1:$ABN$500,X$2,0),$A$1516,INDEX(Техника!$H$1:$ABO$500,X$2,0),"Д")</f>
        <v>0</v>
      </c>
      <c r="Y1518" s="50">
        <f>SUMIFS(INDEX(Техника!$F$1:$ABM$500,Y$2,0),Техника!$F$4:$ABM$4,"Часы",INDEX(Техника!$G$1:$ABN$500,Y$2,0),$A$1516,INDEX(Техника!$H$1:$ABO$500,Y$2,0),"Д")</f>
        <v>0</v>
      </c>
      <c r="Z1518" s="50">
        <f>SUMIFS(INDEX(Техника!$F$1:$ABM$500,Z$2,0),Техника!$F$4:$ABM$4,"Часы",INDEX(Техника!$G$1:$ABN$500,Z$2,0),$A$1516,INDEX(Техника!$H$1:$ABO$500,Z$2,0),"Д")</f>
        <v>0</v>
      </c>
      <c r="AA1518" s="50">
        <f>SUMIFS(INDEX(Техника!$F$1:$ABM$500,AA$2,0),Техника!$F$4:$ABM$4,"Часы",INDEX(Техника!$G$1:$ABN$500,AA$2,0),$A$1516,INDEX(Техника!$H$1:$ABO$500,AA$2,0),"Д")</f>
        <v>0</v>
      </c>
      <c r="AB1518" s="50">
        <f>SUMIFS(INDEX(Техника!$F$1:$ABM$500,AB$2,0),Техника!$F$4:$ABM$4,"Часы",INDEX(Техника!$G$1:$ABN$500,AB$2,0),$A$1516,INDEX(Техника!$H$1:$ABO$500,AB$2,0),"Д")</f>
        <v>0</v>
      </c>
    </row>
    <row r="1519" spans="1:28" hidden="1" outlineLevel="1" x14ac:dyDescent="0.3">
      <c r="A1519" s="33" t="s">
        <v>276</v>
      </c>
      <c r="B1519" s="34" t="s">
        <v>277</v>
      </c>
      <c r="C1519" s="50">
        <f>SUMIFS(INDEX(Техника!$F$1:$ABM$500,C$2,0),Техника!$F$4:$ABM$4,"Часы",INDEX(Техника!$G$1:$ABN$500,C$2,0),$A$1516,INDEX(Техника!$H$1:$ABO$500,C$2,0),"П")</f>
        <v>0</v>
      </c>
      <c r="D1519" s="50">
        <f>SUMIFS(INDEX(Техника!$F$1:$ABM$500,D$2,0),Техника!$F$4:$ABM$4,"Часы",INDEX(Техника!$G$1:$ABN$500,D$2,0),$A$1516,INDEX(Техника!$H$1:$ABO$500,D$2,0),"П")</f>
        <v>0</v>
      </c>
      <c r="E1519" s="50">
        <f>SUMIFS(INDEX(Техника!$F$1:$ABM$500,E$2,0),Техника!$F$4:$ABM$4,"Часы",INDEX(Техника!$G$1:$ABN$500,E$2,0),$A$1516,INDEX(Техника!$H$1:$ABO$500,E$2,0),"П")</f>
        <v>0</v>
      </c>
      <c r="F1519" s="50">
        <f>SUMIFS(INDEX(Техника!$F$1:$ABM$500,F$2,0),Техника!$F$4:$ABM$4,"Часы",INDEX(Техника!$G$1:$ABN$500,F$2,0),$A$1516,INDEX(Техника!$H$1:$ABO$500,F$2,0),"П")</f>
        <v>0</v>
      </c>
      <c r="G1519" s="50">
        <f>SUMIFS(INDEX(Техника!$F$1:$ABM$500,G$2,0),Техника!$F$4:$ABM$4,"Часы",INDEX(Техника!$G$1:$ABN$500,G$2,0),$A$1516,INDEX(Техника!$H$1:$ABO$500,G$2,0),"П")</f>
        <v>0</v>
      </c>
      <c r="H1519" s="50">
        <f>SUMIFS(INDEX(Техника!$F$1:$ABM$500,H$2,0),Техника!$F$4:$ABM$4,"Часы",INDEX(Техника!$G$1:$ABN$500,H$2,0),$A$1516,INDEX(Техника!$H$1:$ABO$500,H$2,0),"П")</f>
        <v>0</v>
      </c>
      <c r="I1519" s="50">
        <f>SUMIFS(INDEX(Техника!$F$1:$ABM$500,I$2,0),Техника!$F$4:$ABM$4,"Часы",INDEX(Техника!$G$1:$ABN$500,I$2,0),$A$1516,INDEX(Техника!$H$1:$ABO$500,I$2,0),"П")</f>
        <v>0</v>
      </c>
      <c r="J1519" s="50">
        <f>SUMIFS(INDEX(Техника!$F$1:$ABM$500,J$2,0),Техника!$F$4:$ABM$4,"Часы",INDEX(Техника!$G$1:$ABN$500,J$2,0),$A$1516,INDEX(Техника!$H$1:$ABO$500,J$2,0),"П")</f>
        <v>0</v>
      </c>
      <c r="K1519" s="50">
        <f>SUMIFS(INDEX(Техника!$F$1:$ABM$500,K$2,0),Техника!$F$4:$ABM$4,"Часы",INDEX(Техника!$G$1:$ABN$500,K$2,0),$A$1516,INDEX(Техника!$H$1:$ABO$500,K$2,0),"П")</f>
        <v>0</v>
      </c>
      <c r="L1519" s="50">
        <f>SUMIFS(INDEX(Техника!$F$1:$ABM$500,L$2,0),Техника!$F$4:$ABM$4,"Часы",INDEX(Техника!$G$1:$ABN$500,L$2,0),$A$1516,INDEX(Техника!$H$1:$ABO$500,L$2,0),"П")</f>
        <v>0</v>
      </c>
      <c r="M1519" s="50">
        <f>SUMIFS(INDEX(Техника!$F$1:$ABM$500,M$2,0),Техника!$F$4:$ABM$4,"Часы",INDEX(Техника!$G$1:$ABN$500,M$2,0),$A$1516,INDEX(Техника!$H$1:$ABO$500,M$2,0),"П")</f>
        <v>0</v>
      </c>
      <c r="N1519" s="50">
        <f>SUMIFS(INDEX(Техника!$F$1:$ABM$500,N$2,0),Техника!$F$4:$ABM$4,"Часы",INDEX(Техника!$G$1:$ABN$500,N$2,0),$A$1516,INDEX(Техника!$H$1:$ABO$500,N$2,0),"П")</f>
        <v>0</v>
      </c>
      <c r="O1519" s="50">
        <f>SUMIFS(INDEX(Техника!$F$1:$ABM$500,O$2,0),Техника!$F$4:$ABM$4,"Часы",INDEX(Техника!$G$1:$ABN$500,O$2,0),$A$1516,INDEX(Техника!$H$1:$ABO$500,O$2,0),"П")</f>
        <v>0</v>
      </c>
      <c r="P1519" s="50">
        <f>SUMIFS(INDEX(Техника!$F$1:$ABM$500,P$2,0),Техника!$F$4:$ABM$4,"Часы",INDEX(Техника!$G$1:$ABN$500,P$2,0),$A$1516,INDEX(Техника!$H$1:$ABO$500,P$2,0),"П")</f>
        <v>0</v>
      </c>
      <c r="Q1519" s="50">
        <f>SUMIFS(INDEX(Техника!$F$1:$ABM$500,Q$2,0),Техника!$F$4:$ABM$4,"Часы",INDEX(Техника!$G$1:$ABN$500,Q$2,0),$A$1516,INDEX(Техника!$H$1:$ABO$500,Q$2,0),"П")</f>
        <v>0</v>
      </c>
      <c r="R1519" s="50">
        <f>SUMIFS(INDEX(Техника!$F$1:$ABM$500,R$2,0),Техника!$F$4:$ABM$4,"Часы",INDEX(Техника!$G$1:$ABN$500,R$2,0),$A$1516,INDEX(Техника!$H$1:$ABO$500,R$2,0),"П")</f>
        <v>0</v>
      </c>
      <c r="S1519" s="50">
        <f>SUMIFS(INDEX(Техника!$F$1:$ABM$500,S$2,0),Техника!$F$4:$ABM$4,"Часы",INDEX(Техника!$G$1:$ABN$500,S$2,0),$A$1516,INDEX(Техника!$H$1:$ABO$500,S$2,0),"П")</f>
        <v>0</v>
      </c>
      <c r="T1519" s="50">
        <f>SUMIFS(INDEX(Техника!$F$1:$ABM$500,T$2,0),Техника!$F$4:$ABM$4,"Часы",INDEX(Техника!$G$1:$ABN$500,T$2,0),$A$1516,INDEX(Техника!$H$1:$ABO$500,T$2,0),"П")</f>
        <v>0</v>
      </c>
      <c r="U1519" s="50">
        <f>SUMIFS(INDEX(Техника!$F$1:$ABM$500,U$2,0),Техника!$F$4:$ABM$4,"Часы",INDEX(Техника!$G$1:$ABN$500,U$2,0),$A$1516,INDEX(Техника!$H$1:$ABO$500,U$2,0),"П")</f>
        <v>0</v>
      </c>
      <c r="V1519" s="50">
        <f>SUMIFS(INDEX(Техника!$F$1:$ABM$500,V$2,0),Техника!$F$4:$ABM$4,"Часы",INDEX(Техника!$G$1:$ABN$500,V$2,0),$A$1516,INDEX(Техника!$H$1:$ABO$500,V$2,0),"П")</f>
        <v>0</v>
      </c>
      <c r="W1519" s="50">
        <f>SUMIFS(INDEX(Техника!$F$1:$ABM$500,W$2,0),Техника!$F$4:$ABM$4,"Часы",INDEX(Техника!$G$1:$ABN$500,W$2,0),$A$1516,INDEX(Техника!$H$1:$ABO$500,W$2,0),"П")</f>
        <v>0</v>
      </c>
      <c r="X1519" s="50">
        <f>SUMIFS(INDEX(Техника!$F$1:$ABM$500,X$2,0),Техника!$F$4:$ABM$4,"Часы",INDEX(Техника!$G$1:$ABN$500,X$2,0),$A$1516,INDEX(Техника!$H$1:$ABO$500,X$2,0),"П")</f>
        <v>0</v>
      </c>
      <c r="Y1519" s="50">
        <f>SUMIFS(INDEX(Техника!$F$1:$ABM$500,Y$2,0),Техника!$F$4:$ABM$4,"Часы",INDEX(Техника!$G$1:$ABN$500,Y$2,0),$A$1516,INDEX(Техника!$H$1:$ABO$500,Y$2,0),"П")</f>
        <v>0</v>
      </c>
      <c r="Z1519" s="50">
        <f>SUMIFS(INDEX(Техника!$F$1:$ABM$500,Z$2,0),Техника!$F$4:$ABM$4,"Часы",INDEX(Техника!$G$1:$ABN$500,Z$2,0),$A$1516,INDEX(Техника!$H$1:$ABO$500,Z$2,0),"П")</f>
        <v>0</v>
      </c>
      <c r="AA1519" s="50">
        <f>SUMIFS(INDEX(Техника!$F$1:$ABM$500,AA$2,0),Техника!$F$4:$ABM$4,"Часы",INDEX(Техника!$G$1:$ABN$500,AA$2,0),$A$1516,INDEX(Техника!$H$1:$ABO$500,AA$2,0),"П")</f>
        <v>0</v>
      </c>
      <c r="AB1519" s="50">
        <f>SUMIFS(INDEX(Техника!$F$1:$ABM$500,AB$2,0),Техника!$F$4:$ABM$4,"Часы",INDEX(Техника!$G$1:$ABN$500,AB$2,0),$A$1516,INDEX(Техника!$H$1:$ABO$500,AB$2,0),"П")</f>
        <v>0</v>
      </c>
    </row>
    <row r="1520" spans="1:28" hidden="1" outlineLevel="1" x14ac:dyDescent="0.3">
      <c r="A1520" s="33" t="s">
        <v>243</v>
      </c>
      <c r="B1520" s="34" t="s">
        <v>278</v>
      </c>
      <c r="C1520" s="50">
        <f>SUMIFS(INDEX(Техника!$F$1:$ABM$500,C$2,0),Техника!$F$4:$ABM$4,"Часы",INDEX(Техника!$G$1:$ABN$500,C$2,0),$A$1516,INDEX(Техника!$H$1:$ABO$500,C$2,0),"Л")</f>
        <v>0</v>
      </c>
      <c r="D1520" s="50">
        <f>SUMIFS(INDEX(Техника!$F$1:$ABM$500,D$2,0),Техника!$F$4:$ABM$4,"Часы",INDEX(Техника!$G$1:$ABN$500,D$2,0),$A$1516,INDEX(Техника!$H$1:$ABO$500,D$2,0),"Л")</f>
        <v>0</v>
      </c>
      <c r="E1520" s="50">
        <f>SUMIFS(INDEX(Техника!$F$1:$ABM$500,E$2,0),Техника!$F$4:$ABM$4,"Часы",INDEX(Техника!$G$1:$ABN$500,E$2,0),$A$1516,INDEX(Техника!$H$1:$ABO$500,E$2,0),"Л")</f>
        <v>0</v>
      </c>
      <c r="F1520" s="50">
        <f>SUMIFS(INDEX(Техника!$F$1:$ABM$500,F$2,0),Техника!$F$4:$ABM$4,"Часы",INDEX(Техника!$G$1:$ABN$500,F$2,0),$A$1516,INDEX(Техника!$H$1:$ABO$500,F$2,0),"Л")</f>
        <v>0</v>
      </c>
      <c r="G1520" s="50">
        <f>SUMIFS(INDEX(Техника!$F$1:$ABM$500,G$2,0),Техника!$F$4:$ABM$4,"Часы",INDEX(Техника!$G$1:$ABN$500,G$2,0),$A$1516,INDEX(Техника!$H$1:$ABO$500,G$2,0),"Л")</f>
        <v>0</v>
      </c>
      <c r="H1520" s="50">
        <f>SUMIFS(INDEX(Техника!$F$1:$ABM$500,H$2,0),Техника!$F$4:$ABM$4,"Часы",INDEX(Техника!$G$1:$ABN$500,H$2,0),$A$1516,INDEX(Техника!$H$1:$ABO$500,H$2,0),"Л")</f>
        <v>0</v>
      </c>
      <c r="I1520" s="50">
        <f>SUMIFS(INDEX(Техника!$F$1:$ABM$500,I$2,0),Техника!$F$4:$ABM$4,"Часы",INDEX(Техника!$G$1:$ABN$500,I$2,0),$A$1516,INDEX(Техника!$H$1:$ABO$500,I$2,0),"Л")</f>
        <v>0</v>
      </c>
      <c r="J1520" s="50">
        <f>SUMIFS(INDEX(Техника!$F$1:$ABM$500,J$2,0),Техника!$F$4:$ABM$4,"Часы",INDEX(Техника!$G$1:$ABN$500,J$2,0),$A$1516,INDEX(Техника!$H$1:$ABO$500,J$2,0),"Л")</f>
        <v>0</v>
      </c>
      <c r="K1520" s="50">
        <f>SUMIFS(INDEX(Техника!$F$1:$ABM$500,K$2,0),Техника!$F$4:$ABM$4,"Часы",INDEX(Техника!$G$1:$ABN$500,K$2,0),$A$1516,INDEX(Техника!$H$1:$ABO$500,K$2,0),"Л")</f>
        <v>0</v>
      </c>
      <c r="L1520" s="50">
        <f>SUMIFS(INDEX(Техника!$F$1:$ABM$500,L$2,0),Техника!$F$4:$ABM$4,"Часы",INDEX(Техника!$G$1:$ABN$500,L$2,0),$A$1516,INDEX(Техника!$H$1:$ABO$500,L$2,0),"Л")</f>
        <v>0</v>
      </c>
      <c r="M1520" s="50">
        <f>SUMIFS(INDEX(Техника!$F$1:$ABM$500,M$2,0),Техника!$F$4:$ABM$4,"Часы",INDEX(Техника!$G$1:$ABN$500,M$2,0),$A$1516,INDEX(Техника!$H$1:$ABO$500,M$2,0),"Л")</f>
        <v>0</v>
      </c>
      <c r="N1520" s="50">
        <f>SUMIFS(INDEX(Техника!$F$1:$ABM$500,N$2,0),Техника!$F$4:$ABM$4,"Часы",INDEX(Техника!$G$1:$ABN$500,N$2,0),$A$1516,INDEX(Техника!$H$1:$ABO$500,N$2,0),"Л")</f>
        <v>0</v>
      </c>
      <c r="O1520" s="50">
        <f>SUMIFS(INDEX(Техника!$F$1:$ABM$500,O$2,0),Техника!$F$4:$ABM$4,"Часы",INDEX(Техника!$G$1:$ABN$500,O$2,0),$A$1516,INDEX(Техника!$H$1:$ABO$500,O$2,0),"Л")</f>
        <v>0</v>
      </c>
      <c r="P1520" s="50">
        <f>SUMIFS(INDEX(Техника!$F$1:$ABM$500,P$2,0),Техника!$F$4:$ABM$4,"Часы",INDEX(Техника!$G$1:$ABN$500,P$2,0),$A$1516,INDEX(Техника!$H$1:$ABO$500,P$2,0),"Л")</f>
        <v>0</v>
      </c>
      <c r="Q1520" s="50">
        <f>SUMIFS(INDEX(Техника!$F$1:$ABM$500,Q$2,0),Техника!$F$4:$ABM$4,"Часы",INDEX(Техника!$G$1:$ABN$500,Q$2,0),$A$1516,INDEX(Техника!$H$1:$ABO$500,Q$2,0),"Л")</f>
        <v>0</v>
      </c>
      <c r="R1520" s="50">
        <f>SUMIFS(INDEX(Техника!$F$1:$ABM$500,R$2,0),Техника!$F$4:$ABM$4,"Часы",INDEX(Техника!$G$1:$ABN$500,R$2,0),$A$1516,INDEX(Техника!$H$1:$ABO$500,R$2,0),"Л")</f>
        <v>0</v>
      </c>
      <c r="S1520" s="50">
        <f>SUMIFS(INDEX(Техника!$F$1:$ABM$500,S$2,0),Техника!$F$4:$ABM$4,"Часы",INDEX(Техника!$G$1:$ABN$500,S$2,0),$A$1516,INDEX(Техника!$H$1:$ABO$500,S$2,0),"Л")</f>
        <v>0</v>
      </c>
      <c r="T1520" s="50">
        <f>SUMIFS(INDEX(Техника!$F$1:$ABM$500,T$2,0),Техника!$F$4:$ABM$4,"Часы",INDEX(Техника!$G$1:$ABN$500,T$2,0),$A$1516,INDEX(Техника!$H$1:$ABO$500,T$2,0),"Л")</f>
        <v>0</v>
      </c>
      <c r="U1520" s="50">
        <f>SUMIFS(INDEX(Техника!$F$1:$ABM$500,U$2,0),Техника!$F$4:$ABM$4,"Часы",INDEX(Техника!$G$1:$ABN$500,U$2,0),$A$1516,INDEX(Техника!$H$1:$ABO$500,U$2,0),"Л")</f>
        <v>0</v>
      </c>
      <c r="V1520" s="50">
        <f>SUMIFS(INDEX(Техника!$F$1:$ABM$500,V$2,0),Техника!$F$4:$ABM$4,"Часы",INDEX(Техника!$G$1:$ABN$500,V$2,0),$A$1516,INDEX(Техника!$H$1:$ABO$500,V$2,0),"Л")</f>
        <v>0</v>
      </c>
      <c r="W1520" s="50">
        <f>SUMIFS(INDEX(Техника!$F$1:$ABM$500,W$2,0),Техника!$F$4:$ABM$4,"Часы",INDEX(Техника!$G$1:$ABN$500,W$2,0),$A$1516,INDEX(Техника!$H$1:$ABO$500,W$2,0),"Л")</f>
        <v>0</v>
      </c>
      <c r="X1520" s="50">
        <f>SUMIFS(INDEX(Техника!$F$1:$ABM$500,X$2,0),Техника!$F$4:$ABM$4,"Часы",INDEX(Техника!$G$1:$ABN$500,X$2,0),$A$1516,INDEX(Техника!$H$1:$ABO$500,X$2,0),"Л")</f>
        <v>0</v>
      </c>
      <c r="Y1520" s="50">
        <f>SUMIFS(INDEX(Техника!$F$1:$ABM$500,Y$2,0),Техника!$F$4:$ABM$4,"Часы",INDEX(Техника!$G$1:$ABN$500,Y$2,0),$A$1516,INDEX(Техника!$H$1:$ABO$500,Y$2,0),"Л")</f>
        <v>0</v>
      </c>
      <c r="Z1520" s="50">
        <f>SUMIFS(INDEX(Техника!$F$1:$ABM$500,Z$2,0),Техника!$F$4:$ABM$4,"Часы",INDEX(Техника!$G$1:$ABN$500,Z$2,0),$A$1516,INDEX(Техника!$H$1:$ABO$500,Z$2,0),"Л")</f>
        <v>0</v>
      </c>
      <c r="AA1520" s="50">
        <f>SUMIFS(INDEX(Техника!$F$1:$ABM$500,AA$2,0),Техника!$F$4:$ABM$4,"Часы",INDEX(Техника!$G$1:$ABN$500,AA$2,0),$A$1516,INDEX(Техника!$H$1:$ABO$500,AA$2,0),"Л")</f>
        <v>0</v>
      </c>
      <c r="AB1520" s="50">
        <f>SUMIFS(INDEX(Техника!$F$1:$ABM$500,AB$2,0),Техника!$F$4:$ABM$4,"Часы",INDEX(Техника!$G$1:$ABN$500,AB$2,0),$A$1516,INDEX(Техника!$H$1:$ABO$500,AB$2,0),"Л")</f>
        <v>0</v>
      </c>
    </row>
    <row r="1521" spans="1:28" hidden="1" outlineLevel="1" x14ac:dyDescent="0.3">
      <c r="A1521" s="33" t="s">
        <v>245</v>
      </c>
      <c r="B1521" s="34" t="s">
        <v>279</v>
      </c>
      <c r="C1521" s="50">
        <f>SUMIFS(INDEX(Техника!$F$1:$ABM$500,C$2,0),Техника!$F$4:$ABM$4,"Часы",INDEX(Техника!$G$1:$ABN$500,C$2,0),$A$1516,INDEX(Техника!$H$1:$ABO$500,C$2,0),"З")</f>
        <v>0</v>
      </c>
      <c r="D1521" s="50">
        <f>SUMIFS(INDEX(Техника!$F$1:$ABM$500,D$2,0),Техника!$F$4:$ABM$4,"Часы",INDEX(Техника!$G$1:$ABN$500,D$2,0),$A$1516,INDEX(Техника!$H$1:$ABO$500,D$2,0),"З")</f>
        <v>0</v>
      </c>
      <c r="E1521" s="50">
        <f>SUMIFS(INDEX(Техника!$F$1:$ABM$500,E$2,0),Техника!$F$4:$ABM$4,"Часы",INDEX(Техника!$G$1:$ABN$500,E$2,0),$A$1516,INDEX(Техника!$H$1:$ABO$500,E$2,0),"З")</f>
        <v>0</v>
      </c>
      <c r="F1521" s="50">
        <f>SUMIFS(INDEX(Техника!$F$1:$ABM$500,F$2,0),Техника!$F$4:$ABM$4,"Часы",INDEX(Техника!$G$1:$ABN$500,F$2,0),$A$1516,INDEX(Техника!$H$1:$ABO$500,F$2,0),"З")</f>
        <v>0</v>
      </c>
      <c r="G1521" s="50">
        <f>SUMIFS(INDEX(Техника!$F$1:$ABM$500,G$2,0),Техника!$F$4:$ABM$4,"Часы",INDEX(Техника!$G$1:$ABN$500,G$2,0),$A$1516,INDEX(Техника!$H$1:$ABO$500,G$2,0),"З")</f>
        <v>0</v>
      </c>
      <c r="H1521" s="50">
        <f>SUMIFS(INDEX(Техника!$F$1:$ABM$500,H$2,0),Техника!$F$4:$ABM$4,"Часы",INDEX(Техника!$G$1:$ABN$500,H$2,0),$A$1516,INDEX(Техника!$H$1:$ABO$500,H$2,0),"З")</f>
        <v>0</v>
      </c>
      <c r="I1521" s="50">
        <f>SUMIFS(INDEX(Техника!$F$1:$ABM$500,I$2,0),Техника!$F$4:$ABM$4,"Часы",INDEX(Техника!$G$1:$ABN$500,I$2,0),$A$1516,INDEX(Техника!$H$1:$ABO$500,I$2,0),"З")</f>
        <v>0</v>
      </c>
      <c r="J1521" s="50">
        <f>SUMIFS(INDEX(Техника!$F$1:$ABM$500,J$2,0),Техника!$F$4:$ABM$4,"Часы",INDEX(Техника!$G$1:$ABN$500,J$2,0),$A$1516,INDEX(Техника!$H$1:$ABO$500,J$2,0),"З")</f>
        <v>0</v>
      </c>
      <c r="K1521" s="50">
        <f>SUMIFS(INDEX(Техника!$F$1:$ABM$500,K$2,0),Техника!$F$4:$ABM$4,"Часы",INDEX(Техника!$G$1:$ABN$500,K$2,0),$A$1516,INDEX(Техника!$H$1:$ABO$500,K$2,0),"З")</f>
        <v>0</v>
      </c>
      <c r="L1521" s="50">
        <f>SUMIFS(INDEX(Техника!$F$1:$ABM$500,L$2,0),Техника!$F$4:$ABM$4,"Часы",INDEX(Техника!$G$1:$ABN$500,L$2,0),$A$1516,INDEX(Техника!$H$1:$ABO$500,L$2,0),"З")</f>
        <v>0</v>
      </c>
      <c r="M1521" s="50">
        <f>SUMIFS(INDEX(Техника!$F$1:$ABM$500,M$2,0),Техника!$F$4:$ABM$4,"Часы",INDEX(Техника!$G$1:$ABN$500,M$2,0),$A$1516,INDEX(Техника!$H$1:$ABO$500,M$2,0),"З")</f>
        <v>0</v>
      </c>
      <c r="N1521" s="50">
        <f>SUMIFS(INDEX(Техника!$F$1:$ABM$500,N$2,0),Техника!$F$4:$ABM$4,"Часы",INDEX(Техника!$G$1:$ABN$500,N$2,0),$A$1516,INDEX(Техника!$H$1:$ABO$500,N$2,0),"З")</f>
        <v>0</v>
      </c>
      <c r="O1521" s="50">
        <f>SUMIFS(INDEX(Техника!$F$1:$ABM$500,O$2,0),Техника!$F$4:$ABM$4,"Часы",INDEX(Техника!$G$1:$ABN$500,O$2,0),$A$1516,INDEX(Техника!$H$1:$ABO$500,O$2,0),"З")</f>
        <v>0</v>
      </c>
      <c r="P1521" s="50">
        <f>SUMIFS(INDEX(Техника!$F$1:$ABM$500,P$2,0),Техника!$F$4:$ABM$4,"Часы",INDEX(Техника!$G$1:$ABN$500,P$2,0),$A$1516,INDEX(Техника!$H$1:$ABO$500,P$2,0),"З")</f>
        <v>0</v>
      </c>
      <c r="Q1521" s="50">
        <f>SUMIFS(INDEX(Техника!$F$1:$ABM$500,Q$2,0),Техника!$F$4:$ABM$4,"Часы",INDEX(Техника!$G$1:$ABN$500,Q$2,0),$A$1516,INDEX(Техника!$H$1:$ABO$500,Q$2,0),"З")</f>
        <v>0</v>
      </c>
      <c r="R1521" s="50">
        <f>SUMIFS(INDEX(Техника!$F$1:$ABM$500,R$2,0),Техника!$F$4:$ABM$4,"Часы",INDEX(Техника!$G$1:$ABN$500,R$2,0),$A$1516,INDEX(Техника!$H$1:$ABO$500,R$2,0),"З")</f>
        <v>0</v>
      </c>
      <c r="S1521" s="50">
        <f>SUMIFS(INDEX(Техника!$F$1:$ABM$500,S$2,0),Техника!$F$4:$ABM$4,"Часы",INDEX(Техника!$G$1:$ABN$500,S$2,0),$A$1516,INDEX(Техника!$H$1:$ABO$500,S$2,0),"З")</f>
        <v>0</v>
      </c>
      <c r="T1521" s="50">
        <f>SUMIFS(INDEX(Техника!$F$1:$ABM$500,T$2,0),Техника!$F$4:$ABM$4,"Часы",INDEX(Техника!$G$1:$ABN$500,T$2,0),$A$1516,INDEX(Техника!$H$1:$ABO$500,T$2,0),"З")</f>
        <v>0</v>
      </c>
      <c r="U1521" s="50">
        <f>SUMIFS(INDEX(Техника!$F$1:$ABM$500,U$2,0),Техника!$F$4:$ABM$4,"Часы",INDEX(Техника!$G$1:$ABN$500,U$2,0),$A$1516,INDEX(Техника!$H$1:$ABO$500,U$2,0),"З")</f>
        <v>0</v>
      </c>
      <c r="V1521" s="50">
        <f>SUMIFS(INDEX(Техника!$F$1:$ABM$500,V$2,0),Техника!$F$4:$ABM$4,"Часы",INDEX(Техника!$G$1:$ABN$500,V$2,0),$A$1516,INDEX(Техника!$H$1:$ABO$500,V$2,0),"З")</f>
        <v>0</v>
      </c>
      <c r="W1521" s="50">
        <f>SUMIFS(INDEX(Техника!$F$1:$ABM$500,W$2,0),Техника!$F$4:$ABM$4,"Часы",INDEX(Техника!$G$1:$ABN$500,W$2,0),$A$1516,INDEX(Техника!$H$1:$ABO$500,W$2,0),"З")</f>
        <v>0</v>
      </c>
      <c r="X1521" s="50">
        <f>SUMIFS(INDEX(Техника!$F$1:$ABM$500,X$2,0),Техника!$F$4:$ABM$4,"Часы",INDEX(Техника!$G$1:$ABN$500,X$2,0),$A$1516,INDEX(Техника!$H$1:$ABO$500,X$2,0),"З")</f>
        <v>0</v>
      </c>
      <c r="Y1521" s="50">
        <f>SUMIFS(INDEX(Техника!$F$1:$ABM$500,Y$2,0),Техника!$F$4:$ABM$4,"Часы",INDEX(Техника!$G$1:$ABN$500,Y$2,0),$A$1516,INDEX(Техника!$H$1:$ABO$500,Y$2,0),"З")</f>
        <v>0</v>
      </c>
      <c r="Z1521" s="50">
        <f>SUMIFS(INDEX(Техника!$F$1:$ABM$500,Z$2,0),Техника!$F$4:$ABM$4,"Часы",INDEX(Техника!$G$1:$ABN$500,Z$2,0),$A$1516,INDEX(Техника!$H$1:$ABO$500,Z$2,0),"З")</f>
        <v>0</v>
      </c>
      <c r="AA1521" s="50">
        <f>SUMIFS(INDEX(Техника!$F$1:$ABM$500,AA$2,0),Техника!$F$4:$ABM$4,"Часы",INDEX(Техника!$G$1:$ABN$500,AA$2,0),$A$1516,INDEX(Техника!$H$1:$ABO$500,AA$2,0),"З")</f>
        <v>0</v>
      </c>
      <c r="AB1521" s="50">
        <f>SUMIFS(INDEX(Техника!$F$1:$ABM$500,AB$2,0),Техника!$F$4:$ABM$4,"Часы",INDEX(Техника!$G$1:$ABN$500,AB$2,0),$A$1516,INDEX(Техника!$H$1:$ABO$500,AB$2,0),"З")</f>
        <v>0</v>
      </c>
    </row>
    <row r="1522" spans="1:28" ht="7.95" customHeight="1" x14ac:dyDescent="0.3">
      <c r="A1522" s="38"/>
      <c r="B1522" s="39"/>
      <c r="C1522" s="51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</row>
    <row r="1523" spans="1:28" ht="25.05" customHeight="1" collapsed="1" x14ac:dyDescent="0.3">
      <c r="A1523" s="32">
        <v>218</v>
      </c>
      <c r="B1523" s="32" t="s">
        <v>219</v>
      </c>
      <c r="C1523" s="49">
        <f>SUM(C1524:C1528)</f>
        <v>0</v>
      </c>
      <c r="D1523" s="49">
        <f>SUM(D1524:D1528)</f>
        <v>0</v>
      </c>
      <c r="E1523" s="49">
        <f>SUM(E1524:E1528)</f>
        <v>0</v>
      </c>
      <c r="F1523" s="49">
        <f>SUM(F1524:F1528)</f>
        <v>0</v>
      </c>
      <c r="G1523" s="49">
        <f>SUM(G1524:G1528)</f>
        <v>0</v>
      </c>
      <c r="H1523" s="49">
        <f>SUM(H1524:H1528)</f>
        <v>0</v>
      </c>
      <c r="I1523" s="49">
        <f>SUM(I1524:I1528)</f>
        <v>0</v>
      </c>
      <c r="J1523" s="49">
        <f>SUM(J1524:J1528)</f>
        <v>0</v>
      </c>
      <c r="K1523" s="49">
        <f>SUM(K1524:K1528)</f>
        <v>0</v>
      </c>
      <c r="L1523" s="49">
        <f>SUM(L1524:L1528)</f>
        <v>0</v>
      </c>
      <c r="M1523" s="49">
        <f>SUM(M1524:M1528)</f>
        <v>0</v>
      </c>
      <c r="N1523" s="49">
        <f>SUM(N1524:N1528)</f>
        <v>0</v>
      </c>
      <c r="O1523" s="49">
        <f>SUM(O1524:O1528)</f>
        <v>0</v>
      </c>
      <c r="P1523" s="49">
        <f>SUM(P1524:P1528)</f>
        <v>0</v>
      </c>
      <c r="Q1523" s="49">
        <f>SUM(Q1524:Q1528)</f>
        <v>0</v>
      </c>
      <c r="R1523" s="49">
        <f>SUM(R1524:R1528)</f>
        <v>0</v>
      </c>
      <c r="S1523" s="49">
        <f>SUM(S1524:S1528)</f>
        <v>0</v>
      </c>
      <c r="T1523" s="49">
        <f>SUM(T1524:T1528)</f>
        <v>0</v>
      </c>
      <c r="U1523" s="49">
        <f>SUM(U1524:U1528)</f>
        <v>0</v>
      </c>
      <c r="V1523" s="49">
        <f>SUM(V1524:V1528)</f>
        <v>0</v>
      </c>
      <c r="W1523" s="49">
        <f>SUM(W1524:W1528)</f>
        <v>0</v>
      </c>
      <c r="X1523" s="49">
        <f>SUM(X1524:X1528)</f>
        <v>0</v>
      </c>
      <c r="Y1523" s="49">
        <f>SUM(Y1524:Y1528)</f>
        <v>0</v>
      </c>
      <c r="Z1523" s="49">
        <f>SUM(Z1524:Z1528)</f>
        <v>0</v>
      </c>
      <c r="AA1523" s="49">
        <f>SUM(AA1524:AA1528)</f>
        <v>0</v>
      </c>
      <c r="AB1523" s="49">
        <f>SUM(AB1524:AB1528)</f>
        <v>0</v>
      </c>
    </row>
    <row r="1524" spans="1:28" hidden="1" outlineLevel="1" x14ac:dyDescent="0.3">
      <c r="A1524" s="33" t="s">
        <v>246</v>
      </c>
      <c r="B1524" s="34" t="s">
        <v>274</v>
      </c>
      <c r="C1524" s="50">
        <f>SUMIFS(INDEX(Техника!$F$1:$ABM$500,C$2,0),Техника!$F$4:$ABM$4,"Часы",INDEX(Техника!$G$1:$ABN$500,C$2,0),$A$1523,INDEX(Техника!$H$1:$ABO$500,C$2,0),"М")</f>
        <v>0</v>
      </c>
      <c r="D1524" s="50">
        <f>SUMIFS(INDEX(Техника!$F$1:$ABM$500,D$2,0),Техника!$F$4:$ABM$4,"Часы",INDEX(Техника!$G$1:$ABN$500,D$2,0),$A$1523,INDEX(Техника!$H$1:$ABO$500,D$2,0),"М")</f>
        <v>0</v>
      </c>
      <c r="E1524" s="50">
        <f>SUMIFS(INDEX(Техника!$F$1:$ABM$500,E$2,0),Техника!$F$4:$ABM$4,"Часы",INDEX(Техника!$G$1:$ABN$500,E$2,0),$A$1523,INDEX(Техника!$H$1:$ABO$500,E$2,0),"М")</f>
        <v>0</v>
      </c>
      <c r="F1524" s="50">
        <f>SUMIFS(INDEX(Техника!$F$1:$ABM$500,F$2,0),Техника!$F$4:$ABM$4,"Часы",INDEX(Техника!$G$1:$ABN$500,F$2,0),$A$1523,INDEX(Техника!$H$1:$ABO$500,F$2,0),"М")</f>
        <v>0</v>
      </c>
      <c r="G1524" s="50">
        <f>SUMIFS(INDEX(Техника!$F$1:$ABM$500,G$2,0),Техника!$F$4:$ABM$4,"Часы",INDEX(Техника!$G$1:$ABN$500,G$2,0),$A$1523,INDEX(Техника!$H$1:$ABO$500,G$2,0),"М")</f>
        <v>0</v>
      </c>
      <c r="H1524" s="50">
        <f>SUMIFS(INDEX(Техника!$F$1:$ABM$500,H$2,0),Техника!$F$4:$ABM$4,"Часы",INDEX(Техника!$G$1:$ABN$500,H$2,0),$A$1523,INDEX(Техника!$H$1:$ABO$500,H$2,0),"М")</f>
        <v>0</v>
      </c>
      <c r="I1524" s="50">
        <f>SUMIFS(INDEX(Техника!$F$1:$ABM$500,I$2,0),Техника!$F$4:$ABM$4,"Часы",INDEX(Техника!$G$1:$ABN$500,I$2,0),$A$1523,INDEX(Техника!$H$1:$ABO$500,I$2,0),"М")</f>
        <v>0</v>
      </c>
      <c r="J1524" s="50">
        <f>SUMIFS(INDEX(Техника!$F$1:$ABM$500,J$2,0),Техника!$F$4:$ABM$4,"Часы",INDEX(Техника!$G$1:$ABN$500,J$2,0),$A$1523,INDEX(Техника!$H$1:$ABO$500,J$2,0),"М")</f>
        <v>0</v>
      </c>
      <c r="K1524" s="50">
        <f>SUMIFS(INDEX(Техника!$F$1:$ABM$500,K$2,0),Техника!$F$4:$ABM$4,"Часы",INDEX(Техника!$G$1:$ABN$500,K$2,0),$A$1523,INDEX(Техника!$H$1:$ABO$500,K$2,0),"М")</f>
        <v>0</v>
      </c>
      <c r="L1524" s="50">
        <f>SUMIFS(INDEX(Техника!$F$1:$ABM$500,L$2,0),Техника!$F$4:$ABM$4,"Часы",INDEX(Техника!$G$1:$ABN$500,L$2,0),$A$1523,INDEX(Техника!$H$1:$ABO$500,L$2,0),"М")</f>
        <v>0</v>
      </c>
      <c r="M1524" s="50">
        <f>SUMIFS(INDEX(Техника!$F$1:$ABM$500,M$2,0),Техника!$F$4:$ABM$4,"Часы",INDEX(Техника!$G$1:$ABN$500,M$2,0),$A$1523,INDEX(Техника!$H$1:$ABO$500,M$2,0),"М")</f>
        <v>0</v>
      </c>
      <c r="N1524" s="50">
        <f>SUMIFS(INDEX(Техника!$F$1:$ABM$500,N$2,0),Техника!$F$4:$ABM$4,"Часы",INDEX(Техника!$G$1:$ABN$500,N$2,0),$A$1523,INDEX(Техника!$H$1:$ABO$500,N$2,0),"М")</f>
        <v>0</v>
      </c>
      <c r="O1524" s="50">
        <f>SUMIFS(INDEX(Техника!$F$1:$ABM$500,O$2,0),Техника!$F$4:$ABM$4,"Часы",INDEX(Техника!$G$1:$ABN$500,O$2,0),$A$1523,INDEX(Техника!$H$1:$ABO$500,O$2,0),"М")</f>
        <v>0</v>
      </c>
      <c r="P1524" s="50">
        <f>SUMIFS(INDEX(Техника!$F$1:$ABM$500,P$2,0),Техника!$F$4:$ABM$4,"Часы",INDEX(Техника!$G$1:$ABN$500,P$2,0),$A$1523,INDEX(Техника!$H$1:$ABO$500,P$2,0),"М")</f>
        <v>0</v>
      </c>
      <c r="Q1524" s="50">
        <f>SUMIFS(INDEX(Техника!$F$1:$ABM$500,Q$2,0),Техника!$F$4:$ABM$4,"Часы",INDEX(Техника!$G$1:$ABN$500,Q$2,0),$A$1523,INDEX(Техника!$H$1:$ABO$500,Q$2,0),"М")</f>
        <v>0</v>
      </c>
      <c r="R1524" s="50">
        <f>SUMIFS(INDEX(Техника!$F$1:$ABM$500,R$2,0),Техника!$F$4:$ABM$4,"Часы",INDEX(Техника!$G$1:$ABN$500,R$2,0),$A$1523,INDEX(Техника!$H$1:$ABO$500,R$2,0),"М")</f>
        <v>0</v>
      </c>
      <c r="S1524" s="50">
        <f>SUMIFS(INDEX(Техника!$F$1:$ABM$500,S$2,0),Техника!$F$4:$ABM$4,"Часы",INDEX(Техника!$G$1:$ABN$500,S$2,0),$A$1523,INDEX(Техника!$H$1:$ABO$500,S$2,0),"М")</f>
        <v>0</v>
      </c>
      <c r="T1524" s="50">
        <f>SUMIFS(INDEX(Техника!$F$1:$ABM$500,T$2,0),Техника!$F$4:$ABM$4,"Часы",INDEX(Техника!$G$1:$ABN$500,T$2,0),$A$1523,INDEX(Техника!$H$1:$ABO$500,T$2,0),"М")</f>
        <v>0</v>
      </c>
      <c r="U1524" s="50">
        <f>SUMIFS(INDEX(Техника!$F$1:$ABM$500,U$2,0),Техника!$F$4:$ABM$4,"Часы",INDEX(Техника!$G$1:$ABN$500,U$2,0),$A$1523,INDEX(Техника!$H$1:$ABO$500,U$2,0),"М")</f>
        <v>0</v>
      </c>
      <c r="V1524" s="50">
        <f>SUMIFS(INDEX(Техника!$F$1:$ABM$500,V$2,0),Техника!$F$4:$ABM$4,"Часы",INDEX(Техника!$G$1:$ABN$500,V$2,0),$A$1523,INDEX(Техника!$H$1:$ABO$500,V$2,0),"М")</f>
        <v>0</v>
      </c>
      <c r="W1524" s="50">
        <f>SUMIFS(INDEX(Техника!$F$1:$ABM$500,W$2,0),Техника!$F$4:$ABM$4,"Часы",INDEX(Техника!$G$1:$ABN$500,W$2,0),$A$1523,INDEX(Техника!$H$1:$ABO$500,W$2,0),"М")</f>
        <v>0</v>
      </c>
      <c r="X1524" s="50">
        <f>SUMIFS(INDEX(Техника!$F$1:$ABM$500,X$2,0),Техника!$F$4:$ABM$4,"Часы",INDEX(Техника!$G$1:$ABN$500,X$2,0),$A$1523,INDEX(Техника!$H$1:$ABO$500,X$2,0),"М")</f>
        <v>0</v>
      </c>
      <c r="Y1524" s="50">
        <f>SUMIFS(INDEX(Техника!$F$1:$ABM$500,Y$2,0),Техника!$F$4:$ABM$4,"Часы",INDEX(Техника!$G$1:$ABN$500,Y$2,0),$A$1523,INDEX(Техника!$H$1:$ABO$500,Y$2,0),"М")</f>
        <v>0</v>
      </c>
      <c r="Z1524" s="50">
        <f>SUMIFS(INDEX(Техника!$F$1:$ABM$500,Z$2,0),Техника!$F$4:$ABM$4,"Часы",INDEX(Техника!$G$1:$ABN$500,Z$2,0),$A$1523,INDEX(Техника!$H$1:$ABO$500,Z$2,0),"М")</f>
        <v>0</v>
      </c>
      <c r="AA1524" s="50">
        <f>SUMIFS(INDEX(Техника!$F$1:$ABM$500,AA$2,0),Техника!$F$4:$ABM$4,"Часы",INDEX(Техника!$G$1:$ABN$500,AA$2,0),$A$1523,INDEX(Техника!$H$1:$ABO$500,AA$2,0),"М")</f>
        <v>0</v>
      </c>
      <c r="AB1524" s="50">
        <f>SUMIFS(INDEX(Техника!$F$1:$ABM$500,AB$2,0),Техника!$F$4:$ABM$4,"Часы",INDEX(Техника!$G$1:$ABN$500,AB$2,0),$A$1523,INDEX(Техника!$H$1:$ABO$500,AB$2,0),"М")</f>
        <v>0</v>
      </c>
    </row>
    <row r="1525" spans="1:28" hidden="1" outlineLevel="1" x14ac:dyDescent="0.3">
      <c r="A1525" s="33" t="s">
        <v>244</v>
      </c>
      <c r="B1525" s="34" t="s">
        <v>275</v>
      </c>
      <c r="C1525" s="50">
        <f>SUMIFS(INDEX(Техника!$F$1:$ABM$500,C$2,0),Техника!$F$4:$ABM$4,"Часы",INDEX(Техника!$G$1:$ABN$500,C$2,0),$A$1523,INDEX(Техника!$H$1:$ABO$500,C$2,0),"Д")</f>
        <v>0</v>
      </c>
      <c r="D1525" s="50">
        <f>SUMIFS(INDEX(Техника!$F$1:$ABM$500,D$2,0),Техника!$F$4:$ABM$4,"Часы",INDEX(Техника!$G$1:$ABN$500,D$2,0),$A$1523,INDEX(Техника!$H$1:$ABO$500,D$2,0),"Д")</f>
        <v>0</v>
      </c>
      <c r="E1525" s="50">
        <f>SUMIFS(INDEX(Техника!$F$1:$ABM$500,E$2,0),Техника!$F$4:$ABM$4,"Часы",INDEX(Техника!$G$1:$ABN$500,E$2,0),$A$1523,INDEX(Техника!$H$1:$ABO$500,E$2,0),"Д")</f>
        <v>0</v>
      </c>
      <c r="F1525" s="50">
        <f>SUMIFS(INDEX(Техника!$F$1:$ABM$500,F$2,0),Техника!$F$4:$ABM$4,"Часы",INDEX(Техника!$G$1:$ABN$500,F$2,0),$A$1523,INDEX(Техника!$H$1:$ABO$500,F$2,0),"Д")</f>
        <v>0</v>
      </c>
      <c r="G1525" s="50">
        <f>SUMIFS(INDEX(Техника!$F$1:$ABM$500,G$2,0),Техника!$F$4:$ABM$4,"Часы",INDEX(Техника!$G$1:$ABN$500,G$2,0),$A$1523,INDEX(Техника!$H$1:$ABO$500,G$2,0),"Д")</f>
        <v>0</v>
      </c>
      <c r="H1525" s="50">
        <f>SUMIFS(INDEX(Техника!$F$1:$ABM$500,H$2,0),Техника!$F$4:$ABM$4,"Часы",INDEX(Техника!$G$1:$ABN$500,H$2,0),$A$1523,INDEX(Техника!$H$1:$ABO$500,H$2,0),"Д")</f>
        <v>0</v>
      </c>
      <c r="I1525" s="50">
        <f>SUMIFS(INDEX(Техника!$F$1:$ABM$500,I$2,0),Техника!$F$4:$ABM$4,"Часы",INDEX(Техника!$G$1:$ABN$500,I$2,0),$A$1523,INDEX(Техника!$H$1:$ABO$500,I$2,0),"Д")</f>
        <v>0</v>
      </c>
      <c r="J1525" s="50">
        <f>SUMIFS(INDEX(Техника!$F$1:$ABM$500,J$2,0),Техника!$F$4:$ABM$4,"Часы",INDEX(Техника!$G$1:$ABN$500,J$2,0),$A$1523,INDEX(Техника!$H$1:$ABO$500,J$2,0),"Д")</f>
        <v>0</v>
      </c>
      <c r="K1525" s="50">
        <f>SUMIFS(INDEX(Техника!$F$1:$ABM$500,K$2,0),Техника!$F$4:$ABM$4,"Часы",INDEX(Техника!$G$1:$ABN$500,K$2,0),$A$1523,INDEX(Техника!$H$1:$ABO$500,K$2,0),"Д")</f>
        <v>0</v>
      </c>
      <c r="L1525" s="50">
        <f>SUMIFS(INDEX(Техника!$F$1:$ABM$500,L$2,0),Техника!$F$4:$ABM$4,"Часы",INDEX(Техника!$G$1:$ABN$500,L$2,0),$A$1523,INDEX(Техника!$H$1:$ABO$500,L$2,0),"Д")</f>
        <v>0</v>
      </c>
      <c r="M1525" s="50">
        <f>SUMIFS(INDEX(Техника!$F$1:$ABM$500,M$2,0),Техника!$F$4:$ABM$4,"Часы",INDEX(Техника!$G$1:$ABN$500,M$2,0),$A$1523,INDEX(Техника!$H$1:$ABO$500,M$2,0),"Д")</f>
        <v>0</v>
      </c>
      <c r="N1525" s="50">
        <f>SUMIFS(INDEX(Техника!$F$1:$ABM$500,N$2,0),Техника!$F$4:$ABM$4,"Часы",INDEX(Техника!$G$1:$ABN$500,N$2,0),$A$1523,INDEX(Техника!$H$1:$ABO$500,N$2,0),"Д")</f>
        <v>0</v>
      </c>
      <c r="O1525" s="50">
        <f>SUMIFS(INDEX(Техника!$F$1:$ABM$500,O$2,0),Техника!$F$4:$ABM$4,"Часы",INDEX(Техника!$G$1:$ABN$500,O$2,0),$A$1523,INDEX(Техника!$H$1:$ABO$500,O$2,0),"Д")</f>
        <v>0</v>
      </c>
      <c r="P1525" s="50">
        <f>SUMIFS(INDEX(Техника!$F$1:$ABM$500,P$2,0),Техника!$F$4:$ABM$4,"Часы",INDEX(Техника!$G$1:$ABN$500,P$2,0),$A$1523,INDEX(Техника!$H$1:$ABO$500,P$2,0),"Д")</f>
        <v>0</v>
      </c>
      <c r="Q1525" s="50">
        <f>SUMIFS(INDEX(Техника!$F$1:$ABM$500,Q$2,0),Техника!$F$4:$ABM$4,"Часы",INDEX(Техника!$G$1:$ABN$500,Q$2,0),$A$1523,INDEX(Техника!$H$1:$ABO$500,Q$2,0),"Д")</f>
        <v>0</v>
      </c>
      <c r="R1525" s="50">
        <f>SUMIFS(INDEX(Техника!$F$1:$ABM$500,R$2,0),Техника!$F$4:$ABM$4,"Часы",INDEX(Техника!$G$1:$ABN$500,R$2,0),$A$1523,INDEX(Техника!$H$1:$ABO$500,R$2,0),"Д")</f>
        <v>0</v>
      </c>
      <c r="S1525" s="50">
        <f>SUMIFS(INDEX(Техника!$F$1:$ABM$500,S$2,0),Техника!$F$4:$ABM$4,"Часы",INDEX(Техника!$G$1:$ABN$500,S$2,0),$A$1523,INDEX(Техника!$H$1:$ABO$500,S$2,0),"Д")</f>
        <v>0</v>
      </c>
      <c r="T1525" s="50">
        <f>SUMIFS(INDEX(Техника!$F$1:$ABM$500,T$2,0),Техника!$F$4:$ABM$4,"Часы",INDEX(Техника!$G$1:$ABN$500,T$2,0),$A$1523,INDEX(Техника!$H$1:$ABO$500,T$2,0),"Д")</f>
        <v>0</v>
      </c>
      <c r="U1525" s="50">
        <f>SUMIFS(INDEX(Техника!$F$1:$ABM$500,U$2,0),Техника!$F$4:$ABM$4,"Часы",INDEX(Техника!$G$1:$ABN$500,U$2,0),$A$1523,INDEX(Техника!$H$1:$ABO$500,U$2,0),"Д")</f>
        <v>0</v>
      </c>
      <c r="V1525" s="50">
        <f>SUMIFS(INDEX(Техника!$F$1:$ABM$500,V$2,0),Техника!$F$4:$ABM$4,"Часы",INDEX(Техника!$G$1:$ABN$500,V$2,0),$A$1523,INDEX(Техника!$H$1:$ABO$500,V$2,0),"Д")</f>
        <v>0</v>
      </c>
      <c r="W1525" s="50">
        <f>SUMIFS(INDEX(Техника!$F$1:$ABM$500,W$2,0),Техника!$F$4:$ABM$4,"Часы",INDEX(Техника!$G$1:$ABN$500,W$2,0),$A$1523,INDEX(Техника!$H$1:$ABO$500,W$2,0),"Д")</f>
        <v>0</v>
      </c>
      <c r="X1525" s="50">
        <f>SUMIFS(INDEX(Техника!$F$1:$ABM$500,X$2,0),Техника!$F$4:$ABM$4,"Часы",INDEX(Техника!$G$1:$ABN$500,X$2,0),$A$1523,INDEX(Техника!$H$1:$ABO$500,X$2,0),"Д")</f>
        <v>0</v>
      </c>
      <c r="Y1525" s="50">
        <f>SUMIFS(INDEX(Техника!$F$1:$ABM$500,Y$2,0),Техника!$F$4:$ABM$4,"Часы",INDEX(Техника!$G$1:$ABN$500,Y$2,0),$A$1523,INDEX(Техника!$H$1:$ABO$500,Y$2,0),"Д")</f>
        <v>0</v>
      </c>
      <c r="Z1525" s="50">
        <f>SUMIFS(INDEX(Техника!$F$1:$ABM$500,Z$2,0),Техника!$F$4:$ABM$4,"Часы",INDEX(Техника!$G$1:$ABN$500,Z$2,0),$A$1523,INDEX(Техника!$H$1:$ABO$500,Z$2,0),"Д")</f>
        <v>0</v>
      </c>
      <c r="AA1525" s="50">
        <f>SUMIFS(INDEX(Техника!$F$1:$ABM$500,AA$2,0),Техника!$F$4:$ABM$4,"Часы",INDEX(Техника!$G$1:$ABN$500,AA$2,0),$A$1523,INDEX(Техника!$H$1:$ABO$500,AA$2,0),"Д")</f>
        <v>0</v>
      </c>
      <c r="AB1525" s="50">
        <f>SUMIFS(INDEX(Техника!$F$1:$ABM$500,AB$2,0),Техника!$F$4:$ABM$4,"Часы",INDEX(Техника!$G$1:$ABN$500,AB$2,0),$A$1523,INDEX(Техника!$H$1:$ABO$500,AB$2,0),"Д")</f>
        <v>0</v>
      </c>
    </row>
    <row r="1526" spans="1:28" hidden="1" outlineLevel="1" x14ac:dyDescent="0.3">
      <c r="A1526" s="33" t="s">
        <v>276</v>
      </c>
      <c r="B1526" s="34" t="s">
        <v>277</v>
      </c>
      <c r="C1526" s="50">
        <f>SUMIFS(INDEX(Техника!$F$1:$ABM$500,C$2,0),Техника!$F$4:$ABM$4,"Часы",INDEX(Техника!$G$1:$ABN$500,C$2,0),$A$1523,INDEX(Техника!$H$1:$ABO$500,C$2,0),"П")</f>
        <v>0</v>
      </c>
      <c r="D1526" s="50">
        <f>SUMIFS(INDEX(Техника!$F$1:$ABM$500,D$2,0),Техника!$F$4:$ABM$4,"Часы",INDEX(Техника!$G$1:$ABN$500,D$2,0),$A$1523,INDEX(Техника!$H$1:$ABO$500,D$2,0),"П")</f>
        <v>0</v>
      </c>
      <c r="E1526" s="50">
        <f>SUMIFS(INDEX(Техника!$F$1:$ABM$500,E$2,0),Техника!$F$4:$ABM$4,"Часы",INDEX(Техника!$G$1:$ABN$500,E$2,0),$A$1523,INDEX(Техника!$H$1:$ABO$500,E$2,0),"П")</f>
        <v>0</v>
      </c>
      <c r="F1526" s="50">
        <f>SUMIFS(INDEX(Техника!$F$1:$ABM$500,F$2,0),Техника!$F$4:$ABM$4,"Часы",INDEX(Техника!$G$1:$ABN$500,F$2,0),$A$1523,INDEX(Техника!$H$1:$ABO$500,F$2,0),"П")</f>
        <v>0</v>
      </c>
      <c r="G1526" s="50">
        <f>SUMIFS(INDEX(Техника!$F$1:$ABM$500,G$2,0),Техника!$F$4:$ABM$4,"Часы",INDEX(Техника!$G$1:$ABN$500,G$2,0),$A$1523,INDEX(Техника!$H$1:$ABO$500,G$2,0),"П")</f>
        <v>0</v>
      </c>
      <c r="H1526" s="50">
        <f>SUMIFS(INDEX(Техника!$F$1:$ABM$500,H$2,0),Техника!$F$4:$ABM$4,"Часы",INDEX(Техника!$G$1:$ABN$500,H$2,0),$A$1523,INDEX(Техника!$H$1:$ABO$500,H$2,0),"П")</f>
        <v>0</v>
      </c>
      <c r="I1526" s="50">
        <f>SUMIFS(INDEX(Техника!$F$1:$ABM$500,I$2,0),Техника!$F$4:$ABM$4,"Часы",INDEX(Техника!$G$1:$ABN$500,I$2,0),$A$1523,INDEX(Техника!$H$1:$ABO$500,I$2,0),"П")</f>
        <v>0</v>
      </c>
      <c r="J1526" s="50">
        <f>SUMIFS(INDEX(Техника!$F$1:$ABM$500,J$2,0),Техника!$F$4:$ABM$4,"Часы",INDEX(Техника!$G$1:$ABN$500,J$2,0),$A$1523,INDEX(Техника!$H$1:$ABO$500,J$2,0),"П")</f>
        <v>0</v>
      </c>
      <c r="K1526" s="50">
        <f>SUMIFS(INDEX(Техника!$F$1:$ABM$500,K$2,0),Техника!$F$4:$ABM$4,"Часы",INDEX(Техника!$G$1:$ABN$500,K$2,0),$A$1523,INDEX(Техника!$H$1:$ABO$500,K$2,0),"П")</f>
        <v>0</v>
      </c>
      <c r="L1526" s="50">
        <f>SUMIFS(INDEX(Техника!$F$1:$ABM$500,L$2,0),Техника!$F$4:$ABM$4,"Часы",INDEX(Техника!$G$1:$ABN$500,L$2,0),$A$1523,INDEX(Техника!$H$1:$ABO$500,L$2,0),"П")</f>
        <v>0</v>
      </c>
      <c r="M1526" s="50">
        <f>SUMIFS(INDEX(Техника!$F$1:$ABM$500,M$2,0),Техника!$F$4:$ABM$4,"Часы",INDEX(Техника!$G$1:$ABN$500,M$2,0),$A$1523,INDEX(Техника!$H$1:$ABO$500,M$2,0),"П")</f>
        <v>0</v>
      </c>
      <c r="N1526" s="50">
        <f>SUMIFS(INDEX(Техника!$F$1:$ABM$500,N$2,0),Техника!$F$4:$ABM$4,"Часы",INDEX(Техника!$G$1:$ABN$500,N$2,0),$A$1523,INDEX(Техника!$H$1:$ABO$500,N$2,0),"П")</f>
        <v>0</v>
      </c>
      <c r="O1526" s="50">
        <f>SUMIFS(INDEX(Техника!$F$1:$ABM$500,O$2,0),Техника!$F$4:$ABM$4,"Часы",INDEX(Техника!$G$1:$ABN$500,O$2,0),$A$1523,INDEX(Техника!$H$1:$ABO$500,O$2,0),"П")</f>
        <v>0</v>
      </c>
      <c r="P1526" s="50">
        <f>SUMIFS(INDEX(Техника!$F$1:$ABM$500,P$2,0),Техника!$F$4:$ABM$4,"Часы",INDEX(Техника!$G$1:$ABN$500,P$2,0),$A$1523,INDEX(Техника!$H$1:$ABO$500,P$2,0),"П")</f>
        <v>0</v>
      </c>
      <c r="Q1526" s="50">
        <f>SUMIFS(INDEX(Техника!$F$1:$ABM$500,Q$2,0),Техника!$F$4:$ABM$4,"Часы",INDEX(Техника!$G$1:$ABN$500,Q$2,0),$A$1523,INDEX(Техника!$H$1:$ABO$500,Q$2,0),"П")</f>
        <v>0</v>
      </c>
      <c r="R1526" s="50">
        <f>SUMIFS(INDEX(Техника!$F$1:$ABM$500,R$2,0),Техника!$F$4:$ABM$4,"Часы",INDEX(Техника!$G$1:$ABN$500,R$2,0),$A$1523,INDEX(Техника!$H$1:$ABO$500,R$2,0),"П")</f>
        <v>0</v>
      </c>
      <c r="S1526" s="50">
        <f>SUMIFS(INDEX(Техника!$F$1:$ABM$500,S$2,0),Техника!$F$4:$ABM$4,"Часы",INDEX(Техника!$G$1:$ABN$500,S$2,0),$A$1523,INDEX(Техника!$H$1:$ABO$500,S$2,0),"П")</f>
        <v>0</v>
      </c>
      <c r="T1526" s="50">
        <f>SUMIFS(INDEX(Техника!$F$1:$ABM$500,T$2,0),Техника!$F$4:$ABM$4,"Часы",INDEX(Техника!$G$1:$ABN$500,T$2,0),$A$1523,INDEX(Техника!$H$1:$ABO$500,T$2,0),"П")</f>
        <v>0</v>
      </c>
      <c r="U1526" s="50">
        <f>SUMIFS(INDEX(Техника!$F$1:$ABM$500,U$2,0),Техника!$F$4:$ABM$4,"Часы",INDEX(Техника!$G$1:$ABN$500,U$2,0),$A$1523,INDEX(Техника!$H$1:$ABO$500,U$2,0),"П")</f>
        <v>0</v>
      </c>
      <c r="V1526" s="50">
        <f>SUMIFS(INDEX(Техника!$F$1:$ABM$500,V$2,0),Техника!$F$4:$ABM$4,"Часы",INDEX(Техника!$G$1:$ABN$500,V$2,0),$A$1523,INDEX(Техника!$H$1:$ABO$500,V$2,0),"П")</f>
        <v>0</v>
      </c>
      <c r="W1526" s="50">
        <f>SUMIFS(INDEX(Техника!$F$1:$ABM$500,W$2,0),Техника!$F$4:$ABM$4,"Часы",INDEX(Техника!$G$1:$ABN$500,W$2,0),$A$1523,INDEX(Техника!$H$1:$ABO$500,W$2,0),"П")</f>
        <v>0</v>
      </c>
      <c r="X1526" s="50">
        <f>SUMIFS(INDEX(Техника!$F$1:$ABM$500,X$2,0),Техника!$F$4:$ABM$4,"Часы",INDEX(Техника!$G$1:$ABN$500,X$2,0),$A$1523,INDEX(Техника!$H$1:$ABO$500,X$2,0),"П")</f>
        <v>0</v>
      </c>
      <c r="Y1526" s="50">
        <f>SUMIFS(INDEX(Техника!$F$1:$ABM$500,Y$2,0),Техника!$F$4:$ABM$4,"Часы",INDEX(Техника!$G$1:$ABN$500,Y$2,0),$A$1523,INDEX(Техника!$H$1:$ABO$500,Y$2,0),"П")</f>
        <v>0</v>
      </c>
      <c r="Z1526" s="50">
        <f>SUMIFS(INDEX(Техника!$F$1:$ABM$500,Z$2,0),Техника!$F$4:$ABM$4,"Часы",INDEX(Техника!$G$1:$ABN$500,Z$2,0),$A$1523,INDEX(Техника!$H$1:$ABO$500,Z$2,0),"П")</f>
        <v>0</v>
      </c>
      <c r="AA1526" s="50">
        <f>SUMIFS(INDEX(Техника!$F$1:$ABM$500,AA$2,0),Техника!$F$4:$ABM$4,"Часы",INDEX(Техника!$G$1:$ABN$500,AA$2,0),$A$1523,INDEX(Техника!$H$1:$ABO$500,AA$2,0),"П")</f>
        <v>0</v>
      </c>
      <c r="AB1526" s="50">
        <f>SUMIFS(INDEX(Техника!$F$1:$ABM$500,AB$2,0),Техника!$F$4:$ABM$4,"Часы",INDEX(Техника!$G$1:$ABN$500,AB$2,0),$A$1523,INDEX(Техника!$H$1:$ABO$500,AB$2,0),"П")</f>
        <v>0</v>
      </c>
    </row>
    <row r="1527" spans="1:28" hidden="1" outlineLevel="1" x14ac:dyDescent="0.3">
      <c r="A1527" s="33" t="s">
        <v>243</v>
      </c>
      <c r="B1527" s="34" t="s">
        <v>278</v>
      </c>
      <c r="C1527" s="50">
        <f>SUMIFS(INDEX(Техника!$F$1:$ABM$500,C$2,0),Техника!$F$4:$ABM$4,"Часы",INDEX(Техника!$G$1:$ABN$500,C$2,0),$A$1523,INDEX(Техника!$H$1:$ABO$500,C$2,0),"Л")</f>
        <v>0</v>
      </c>
      <c r="D1527" s="50">
        <f>SUMIFS(INDEX(Техника!$F$1:$ABM$500,D$2,0),Техника!$F$4:$ABM$4,"Часы",INDEX(Техника!$G$1:$ABN$500,D$2,0),$A$1523,INDEX(Техника!$H$1:$ABO$500,D$2,0),"Л")</f>
        <v>0</v>
      </c>
      <c r="E1527" s="50">
        <f>SUMIFS(INDEX(Техника!$F$1:$ABM$500,E$2,0),Техника!$F$4:$ABM$4,"Часы",INDEX(Техника!$G$1:$ABN$500,E$2,0),$A$1523,INDEX(Техника!$H$1:$ABO$500,E$2,0),"Л")</f>
        <v>0</v>
      </c>
      <c r="F1527" s="50">
        <f>SUMIFS(INDEX(Техника!$F$1:$ABM$500,F$2,0),Техника!$F$4:$ABM$4,"Часы",INDEX(Техника!$G$1:$ABN$500,F$2,0),$A$1523,INDEX(Техника!$H$1:$ABO$500,F$2,0),"Л")</f>
        <v>0</v>
      </c>
      <c r="G1527" s="50">
        <f>SUMIFS(INDEX(Техника!$F$1:$ABM$500,G$2,0),Техника!$F$4:$ABM$4,"Часы",INDEX(Техника!$G$1:$ABN$500,G$2,0),$A$1523,INDEX(Техника!$H$1:$ABO$500,G$2,0),"Л")</f>
        <v>0</v>
      </c>
      <c r="H1527" s="50">
        <f>SUMIFS(INDEX(Техника!$F$1:$ABM$500,H$2,0),Техника!$F$4:$ABM$4,"Часы",INDEX(Техника!$G$1:$ABN$500,H$2,0),$A$1523,INDEX(Техника!$H$1:$ABO$500,H$2,0),"Л")</f>
        <v>0</v>
      </c>
      <c r="I1527" s="50">
        <f>SUMIFS(INDEX(Техника!$F$1:$ABM$500,I$2,0),Техника!$F$4:$ABM$4,"Часы",INDEX(Техника!$G$1:$ABN$500,I$2,0),$A$1523,INDEX(Техника!$H$1:$ABO$500,I$2,0),"Л")</f>
        <v>0</v>
      </c>
      <c r="J1527" s="50">
        <f>SUMIFS(INDEX(Техника!$F$1:$ABM$500,J$2,0),Техника!$F$4:$ABM$4,"Часы",INDEX(Техника!$G$1:$ABN$500,J$2,0),$A$1523,INDEX(Техника!$H$1:$ABO$500,J$2,0),"Л")</f>
        <v>0</v>
      </c>
      <c r="K1527" s="50">
        <f>SUMIFS(INDEX(Техника!$F$1:$ABM$500,K$2,0),Техника!$F$4:$ABM$4,"Часы",INDEX(Техника!$G$1:$ABN$500,K$2,0),$A$1523,INDEX(Техника!$H$1:$ABO$500,K$2,0),"Л")</f>
        <v>0</v>
      </c>
      <c r="L1527" s="50">
        <f>SUMIFS(INDEX(Техника!$F$1:$ABM$500,L$2,0),Техника!$F$4:$ABM$4,"Часы",INDEX(Техника!$G$1:$ABN$500,L$2,0),$A$1523,INDEX(Техника!$H$1:$ABO$500,L$2,0),"Л")</f>
        <v>0</v>
      </c>
      <c r="M1527" s="50">
        <f>SUMIFS(INDEX(Техника!$F$1:$ABM$500,M$2,0),Техника!$F$4:$ABM$4,"Часы",INDEX(Техника!$G$1:$ABN$500,M$2,0),$A$1523,INDEX(Техника!$H$1:$ABO$500,M$2,0),"Л")</f>
        <v>0</v>
      </c>
      <c r="N1527" s="50">
        <f>SUMIFS(INDEX(Техника!$F$1:$ABM$500,N$2,0),Техника!$F$4:$ABM$4,"Часы",INDEX(Техника!$G$1:$ABN$500,N$2,0),$A$1523,INDEX(Техника!$H$1:$ABO$500,N$2,0),"Л")</f>
        <v>0</v>
      </c>
      <c r="O1527" s="50">
        <f>SUMIFS(INDEX(Техника!$F$1:$ABM$500,O$2,0),Техника!$F$4:$ABM$4,"Часы",INDEX(Техника!$G$1:$ABN$500,O$2,0),$A$1523,INDEX(Техника!$H$1:$ABO$500,O$2,0),"Л")</f>
        <v>0</v>
      </c>
      <c r="P1527" s="50">
        <f>SUMIFS(INDEX(Техника!$F$1:$ABM$500,P$2,0),Техника!$F$4:$ABM$4,"Часы",INDEX(Техника!$G$1:$ABN$500,P$2,0),$A$1523,INDEX(Техника!$H$1:$ABO$500,P$2,0),"Л")</f>
        <v>0</v>
      </c>
      <c r="Q1527" s="50">
        <f>SUMIFS(INDEX(Техника!$F$1:$ABM$500,Q$2,0),Техника!$F$4:$ABM$4,"Часы",INDEX(Техника!$G$1:$ABN$500,Q$2,0),$A$1523,INDEX(Техника!$H$1:$ABO$500,Q$2,0),"Л")</f>
        <v>0</v>
      </c>
      <c r="R1527" s="50">
        <f>SUMIFS(INDEX(Техника!$F$1:$ABM$500,R$2,0),Техника!$F$4:$ABM$4,"Часы",INDEX(Техника!$G$1:$ABN$500,R$2,0),$A$1523,INDEX(Техника!$H$1:$ABO$500,R$2,0),"Л")</f>
        <v>0</v>
      </c>
      <c r="S1527" s="50">
        <f>SUMIFS(INDEX(Техника!$F$1:$ABM$500,S$2,0),Техника!$F$4:$ABM$4,"Часы",INDEX(Техника!$G$1:$ABN$500,S$2,0),$A$1523,INDEX(Техника!$H$1:$ABO$500,S$2,0),"Л")</f>
        <v>0</v>
      </c>
      <c r="T1527" s="50">
        <f>SUMIFS(INDEX(Техника!$F$1:$ABM$500,T$2,0),Техника!$F$4:$ABM$4,"Часы",INDEX(Техника!$G$1:$ABN$500,T$2,0),$A$1523,INDEX(Техника!$H$1:$ABO$500,T$2,0),"Л")</f>
        <v>0</v>
      </c>
      <c r="U1527" s="50">
        <f>SUMIFS(INDEX(Техника!$F$1:$ABM$500,U$2,0),Техника!$F$4:$ABM$4,"Часы",INDEX(Техника!$G$1:$ABN$500,U$2,0),$A$1523,INDEX(Техника!$H$1:$ABO$500,U$2,0),"Л")</f>
        <v>0</v>
      </c>
      <c r="V1527" s="50">
        <f>SUMIFS(INDEX(Техника!$F$1:$ABM$500,V$2,0),Техника!$F$4:$ABM$4,"Часы",INDEX(Техника!$G$1:$ABN$500,V$2,0),$A$1523,INDEX(Техника!$H$1:$ABO$500,V$2,0),"Л")</f>
        <v>0</v>
      </c>
      <c r="W1527" s="50">
        <f>SUMIFS(INDEX(Техника!$F$1:$ABM$500,W$2,0),Техника!$F$4:$ABM$4,"Часы",INDEX(Техника!$G$1:$ABN$500,W$2,0),$A$1523,INDEX(Техника!$H$1:$ABO$500,W$2,0),"Л")</f>
        <v>0</v>
      </c>
      <c r="X1527" s="50">
        <f>SUMIFS(INDEX(Техника!$F$1:$ABM$500,X$2,0),Техника!$F$4:$ABM$4,"Часы",INDEX(Техника!$G$1:$ABN$500,X$2,0),$A$1523,INDEX(Техника!$H$1:$ABO$500,X$2,0),"Л")</f>
        <v>0</v>
      </c>
      <c r="Y1527" s="50">
        <f>SUMIFS(INDEX(Техника!$F$1:$ABM$500,Y$2,0),Техника!$F$4:$ABM$4,"Часы",INDEX(Техника!$G$1:$ABN$500,Y$2,0),$A$1523,INDEX(Техника!$H$1:$ABO$500,Y$2,0),"Л")</f>
        <v>0</v>
      </c>
      <c r="Z1527" s="50">
        <f>SUMIFS(INDEX(Техника!$F$1:$ABM$500,Z$2,0),Техника!$F$4:$ABM$4,"Часы",INDEX(Техника!$G$1:$ABN$500,Z$2,0),$A$1523,INDEX(Техника!$H$1:$ABO$500,Z$2,0),"Л")</f>
        <v>0</v>
      </c>
      <c r="AA1527" s="50">
        <f>SUMIFS(INDEX(Техника!$F$1:$ABM$500,AA$2,0),Техника!$F$4:$ABM$4,"Часы",INDEX(Техника!$G$1:$ABN$500,AA$2,0),$A$1523,INDEX(Техника!$H$1:$ABO$500,AA$2,0),"Л")</f>
        <v>0</v>
      </c>
      <c r="AB1527" s="50">
        <f>SUMIFS(INDEX(Техника!$F$1:$ABM$500,AB$2,0),Техника!$F$4:$ABM$4,"Часы",INDEX(Техника!$G$1:$ABN$500,AB$2,0),$A$1523,INDEX(Техника!$H$1:$ABO$500,AB$2,0),"Л")</f>
        <v>0</v>
      </c>
    </row>
    <row r="1528" spans="1:28" hidden="1" outlineLevel="1" x14ac:dyDescent="0.3">
      <c r="A1528" s="33" t="s">
        <v>245</v>
      </c>
      <c r="B1528" s="34" t="s">
        <v>279</v>
      </c>
      <c r="C1528" s="50">
        <f>SUMIFS(INDEX(Техника!$F$1:$ABM$500,C$2,0),Техника!$F$4:$ABM$4,"Часы",INDEX(Техника!$G$1:$ABN$500,C$2,0),$A$1523,INDEX(Техника!$H$1:$ABO$500,C$2,0),"З")</f>
        <v>0</v>
      </c>
      <c r="D1528" s="50">
        <f>SUMIFS(INDEX(Техника!$F$1:$ABM$500,D$2,0),Техника!$F$4:$ABM$4,"Часы",INDEX(Техника!$G$1:$ABN$500,D$2,0),$A$1523,INDEX(Техника!$H$1:$ABO$500,D$2,0),"З")</f>
        <v>0</v>
      </c>
      <c r="E1528" s="50">
        <f>SUMIFS(INDEX(Техника!$F$1:$ABM$500,E$2,0),Техника!$F$4:$ABM$4,"Часы",INDEX(Техника!$G$1:$ABN$500,E$2,0),$A$1523,INDEX(Техника!$H$1:$ABO$500,E$2,0),"З")</f>
        <v>0</v>
      </c>
      <c r="F1528" s="50">
        <f>SUMIFS(INDEX(Техника!$F$1:$ABM$500,F$2,0),Техника!$F$4:$ABM$4,"Часы",INDEX(Техника!$G$1:$ABN$500,F$2,0),$A$1523,INDEX(Техника!$H$1:$ABO$500,F$2,0),"З")</f>
        <v>0</v>
      </c>
      <c r="G1528" s="50">
        <f>SUMIFS(INDEX(Техника!$F$1:$ABM$500,G$2,0),Техника!$F$4:$ABM$4,"Часы",INDEX(Техника!$G$1:$ABN$500,G$2,0),$A$1523,INDEX(Техника!$H$1:$ABO$500,G$2,0),"З")</f>
        <v>0</v>
      </c>
      <c r="H1528" s="50">
        <f>SUMIFS(INDEX(Техника!$F$1:$ABM$500,H$2,0),Техника!$F$4:$ABM$4,"Часы",INDEX(Техника!$G$1:$ABN$500,H$2,0),$A$1523,INDEX(Техника!$H$1:$ABO$500,H$2,0),"З")</f>
        <v>0</v>
      </c>
      <c r="I1528" s="50">
        <f>SUMIFS(INDEX(Техника!$F$1:$ABM$500,I$2,0),Техника!$F$4:$ABM$4,"Часы",INDEX(Техника!$G$1:$ABN$500,I$2,0),$A$1523,INDEX(Техника!$H$1:$ABO$500,I$2,0),"З")</f>
        <v>0</v>
      </c>
      <c r="J1528" s="50">
        <f>SUMIFS(INDEX(Техника!$F$1:$ABM$500,J$2,0),Техника!$F$4:$ABM$4,"Часы",INDEX(Техника!$G$1:$ABN$500,J$2,0),$A$1523,INDEX(Техника!$H$1:$ABO$500,J$2,0),"З")</f>
        <v>0</v>
      </c>
      <c r="K1528" s="50">
        <f>SUMIFS(INDEX(Техника!$F$1:$ABM$500,K$2,0),Техника!$F$4:$ABM$4,"Часы",INDEX(Техника!$G$1:$ABN$500,K$2,0),$A$1523,INDEX(Техника!$H$1:$ABO$500,K$2,0),"З")</f>
        <v>0</v>
      </c>
      <c r="L1528" s="50">
        <f>SUMIFS(INDEX(Техника!$F$1:$ABM$500,L$2,0),Техника!$F$4:$ABM$4,"Часы",INDEX(Техника!$G$1:$ABN$500,L$2,0),$A$1523,INDEX(Техника!$H$1:$ABO$500,L$2,0),"З")</f>
        <v>0</v>
      </c>
      <c r="M1528" s="50">
        <f>SUMIFS(INDEX(Техника!$F$1:$ABM$500,M$2,0),Техника!$F$4:$ABM$4,"Часы",INDEX(Техника!$G$1:$ABN$500,M$2,0),$A$1523,INDEX(Техника!$H$1:$ABO$500,M$2,0),"З")</f>
        <v>0</v>
      </c>
      <c r="N1528" s="50">
        <f>SUMIFS(INDEX(Техника!$F$1:$ABM$500,N$2,0),Техника!$F$4:$ABM$4,"Часы",INDEX(Техника!$G$1:$ABN$500,N$2,0),$A$1523,INDEX(Техника!$H$1:$ABO$500,N$2,0),"З")</f>
        <v>0</v>
      </c>
      <c r="O1528" s="50">
        <f>SUMIFS(INDEX(Техника!$F$1:$ABM$500,O$2,0),Техника!$F$4:$ABM$4,"Часы",INDEX(Техника!$G$1:$ABN$500,O$2,0),$A$1523,INDEX(Техника!$H$1:$ABO$500,O$2,0),"З")</f>
        <v>0</v>
      </c>
      <c r="P1528" s="50">
        <f>SUMIFS(INDEX(Техника!$F$1:$ABM$500,P$2,0),Техника!$F$4:$ABM$4,"Часы",INDEX(Техника!$G$1:$ABN$500,P$2,0),$A$1523,INDEX(Техника!$H$1:$ABO$500,P$2,0),"З")</f>
        <v>0</v>
      </c>
      <c r="Q1528" s="50">
        <f>SUMIFS(INDEX(Техника!$F$1:$ABM$500,Q$2,0),Техника!$F$4:$ABM$4,"Часы",INDEX(Техника!$G$1:$ABN$500,Q$2,0),$A$1523,INDEX(Техника!$H$1:$ABO$500,Q$2,0),"З")</f>
        <v>0</v>
      </c>
      <c r="R1528" s="50">
        <f>SUMIFS(INDEX(Техника!$F$1:$ABM$500,R$2,0),Техника!$F$4:$ABM$4,"Часы",INDEX(Техника!$G$1:$ABN$500,R$2,0),$A$1523,INDEX(Техника!$H$1:$ABO$500,R$2,0),"З")</f>
        <v>0</v>
      </c>
      <c r="S1528" s="50">
        <f>SUMIFS(INDEX(Техника!$F$1:$ABM$500,S$2,0),Техника!$F$4:$ABM$4,"Часы",INDEX(Техника!$G$1:$ABN$500,S$2,0),$A$1523,INDEX(Техника!$H$1:$ABO$500,S$2,0),"З")</f>
        <v>0</v>
      </c>
      <c r="T1528" s="50">
        <f>SUMIFS(INDEX(Техника!$F$1:$ABM$500,T$2,0),Техника!$F$4:$ABM$4,"Часы",INDEX(Техника!$G$1:$ABN$500,T$2,0),$A$1523,INDEX(Техника!$H$1:$ABO$500,T$2,0),"З")</f>
        <v>0</v>
      </c>
      <c r="U1528" s="50">
        <f>SUMIFS(INDEX(Техника!$F$1:$ABM$500,U$2,0),Техника!$F$4:$ABM$4,"Часы",INDEX(Техника!$G$1:$ABN$500,U$2,0),$A$1523,INDEX(Техника!$H$1:$ABO$500,U$2,0),"З")</f>
        <v>0</v>
      </c>
      <c r="V1528" s="50">
        <f>SUMIFS(INDEX(Техника!$F$1:$ABM$500,V$2,0),Техника!$F$4:$ABM$4,"Часы",INDEX(Техника!$G$1:$ABN$500,V$2,0),$A$1523,INDEX(Техника!$H$1:$ABO$500,V$2,0),"З")</f>
        <v>0</v>
      </c>
      <c r="W1528" s="50">
        <f>SUMIFS(INDEX(Техника!$F$1:$ABM$500,W$2,0),Техника!$F$4:$ABM$4,"Часы",INDEX(Техника!$G$1:$ABN$500,W$2,0),$A$1523,INDEX(Техника!$H$1:$ABO$500,W$2,0),"З")</f>
        <v>0</v>
      </c>
      <c r="X1528" s="50">
        <f>SUMIFS(INDEX(Техника!$F$1:$ABM$500,X$2,0),Техника!$F$4:$ABM$4,"Часы",INDEX(Техника!$G$1:$ABN$500,X$2,0),$A$1523,INDEX(Техника!$H$1:$ABO$500,X$2,0),"З")</f>
        <v>0</v>
      </c>
      <c r="Y1528" s="50">
        <f>SUMIFS(INDEX(Техника!$F$1:$ABM$500,Y$2,0),Техника!$F$4:$ABM$4,"Часы",INDEX(Техника!$G$1:$ABN$500,Y$2,0),$A$1523,INDEX(Техника!$H$1:$ABO$500,Y$2,0),"З")</f>
        <v>0</v>
      </c>
      <c r="Z1528" s="50">
        <f>SUMIFS(INDEX(Техника!$F$1:$ABM$500,Z$2,0),Техника!$F$4:$ABM$4,"Часы",INDEX(Техника!$G$1:$ABN$500,Z$2,0),$A$1523,INDEX(Техника!$H$1:$ABO$500,Z$2,0),"З")</f>
        <v>0</v>
      </c>
      <c r="AA1528" s="50">
        <f>SUMIFS(INDEX(Техника!$F$1:$ABM$500,AA$2,0),Техника!$F$4:$ABM$4,"Часы",INDEX(Техника!$G$1:$ABN$500,AA$2,0),$A$1523,INDEX(Техника!$H$1:$ABO$500,AA$2,0),"З")</f>
        <v>0</v>
      </c>
      <c r="AB1528" s="50">
        <f>SUMIFS(INDEX(Техника!$F$1:$ABM$500,AB$2,0),Техника!$F$4:$ABM$4,"Часы",INDEX(Техника!$G$1:$ABN$500,AB$2,0),$A$1523,INDEX(Техника!$H$1:$ABO$500,AB$2,0),"З")</f>
        <v>0</v>
      </c>
    </row>
    <row r="1529" spans="1:28" ht="7.95" customHeight="1" x14ac:dyDescent="0.3">
      <c r="A1529" s="38"/>
      <c r="B1529" s="39"/>
      <c r="C1529" s="51"/>
      <c r="D1529" s="51"/>
      <c r="E1529" s="51"/>
      <c r="F1529" s="51"/>
      <c r="G1529" s="51"/>
      <c r="H1529" s="51"/>
      <c r="I1529" s="51"/>
      <c r="J1529" s="51"/>
      <c r="K1529" s="51"/>
      <c r="L1529" s="51"/>
      <c r="M1529" s="51"/>
      <c r="N1529" s="51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</row>
    <row r="1530" spans="1:28" ht="25.05" customHeight="1" collapsed="1" x14ac:dyDescent="0.3">
      <c r="A1530" s="32">
        <v>219</v>
      </c>
      <c r="B1530" s="32" t="s">
        <v>220</v>
      </c>
      <c r="C1530" s="49">
        <f>SUM(C1531:C1535)</f>
        <v>0</v>
      </c>
      <c r="D1530" s="49">
        <f>SUM(D1531:D1535)</f>
        <v>0</v>
      </c>
      <c r="E1530" s="49">
        <f>SUM(E1531:E1535)</f>
        <v>0</v>
      </c>
      <c r="F1530" s="49">
        <f>SUM(F1531:F1535)</f>
        <v>0</v>
      </c>
      <c r="G1530" s="49">
        <f>SUM(G1531:G1535)</f>
        <v>0</v>
      </c>
      <c r="H1530" s="49">
        <f>SUM(H1531:H1535)</f>
        <v>0</v>
      </c>
      <c r="I1530" s="49">
        <f>SUM(I1531:I1535)</f>
        <v>0</v>
      </c>
      <c r="J1530" s="49">
        <f>SUM(J1531:J1535)</f>
        <v>0</v>
      </c>
      <c r="K1530" s="49">
        <f>SUM(K1531:K1535)</f>
        <v>0</v>
      </c>
      <c r="L1530" s="49">
        <f>SUM(L1531:L1535)</f>
        <v>0</v>
      </c>
      <c r="M1530" s="49">
        <f>SUM(M1531:M1535)</f>
        <v>0</v>
      </c>
      <c r="N1530" s="49">
        <f>SUM(N1531:N1535)</f>
        <v>0</v>
      </c>
      <c r="O1530" s="49">
        <f>SUM(O1531:O1535)</f>
        <v>0</v>
      </c>
      <c r="P1530" s="49">
        <f>SUM(P1531:P1535)</f>
        <v>0</v>
      </c>
      <c r="Q1530" s="49">
        <f>SUM(Q1531:Q1535)</f>
        <v>0</v>
      </c>
      <c r="R1530" s="49">
        <f>SUM(R1531:R1535)</f>
        <v>0</v>
      </c>
      <c r="S1530" s="49">
        <f>SUM(S1531:S1535)</f>
        <v>0</v>
      </c>
      <c r="T1530" s="49">
        <f>SUM(T1531:T1535)</f>
        <v>0</v>
      </c>
      <c r="U1530" s="49">
        <f>SUM(U1531:U1535)</f>
        <v>0</v>
      </c>
      <c r="V1530" s="49">
        <f>SUM(V1531:V1535)</f>
        <v>0</v>
      </c>
      <c r="W1530" s="49">
        <f>SUM(W1531:W1535)</f>
        <v>0</v>
      </c>
      <c r="X1530" s="49">
        <f>SUM(X1531:X1535)</f>
        <v>0</v>
      </c>
      <c r="Y1530" s="49">
        <f>SUM(Y1531:Y1535)</f>
        <v>0</v>
      </c>
      <c r="Z1530" s="49">
        <f>SUM(Z1531:Z1535)</f>
        <v>0</v>
      </c>
      <c r="AA1530" s="49">
        <f>SUM(AA1531:AA1535)</f>
        <v>0</v>
      </c>
      <c r="AB1530" s="49">
        <f>SUM(AB1531:AB1535)</f>
        <v>0</v>
      </c>
    </row>
    <row r="1531" spans="1:28" hidden="1" outlineLevel="1" x14ac:dyDescent="0.3">
      <c r="A1531" s="33" t="s">
        <v>246</v>
      </c>
      <c r="B1531" s="34" t="s">
        <v>274</v>
      </c>
      <c r="C1531" s="50">
        <f>SUMIFS(INDEX(Техника!$F$1:$ABM$500,C$2,0),Техника!$F$4:$ABM$4,"Часы",INDEX(Техника!$G$1:$ABN$500,C$2,0),$A$1530,INDEX(Техника!$H$1:$ABO$500,C$2,0),"М")</f>
        <v>0</v>
      </c>
      <c r="D1531" s="50">
        <f>SUMIFS(INDEX(Техника!$F$1:$ABM$500,D$2,0),Техника!$F$4:$ABM$4,"Часы",INDEX(Техника!$G$1:$ABN$500,D$2,0),$A$1530,INDEX(Техника!$H$1:$ABO$500,D$2,0),"М")</f>
        <v>0</v>
      </c>
      <c r="E1531" s="50">
        <f>SUMIFS(INDEX(Техника!$F$1:$ABM$500,E$2,0),Техника!$F$4:$ABM$4,"Часы",INDEX(Техника!$G$1:$ABN$500,E$2,0),$A$1530,INDEX(Техника!$H$1:$ABO$500,E$2,0),"М")</f>
        <v>0</v>
      </c>
      <c r="F1531" s="50">
        <f>SUMIFS(INDEX(Техника!$F$1:$ABM$500,F$2,0),Техника!$F$4:$ABM$4,"Часы",INDEX(Техника!$G$1:$ABN$500,F$2,0),$A$1530,INDEX(Техника!$H$1:$ABO$500,F$2,0),"М")</f>
        <v>0</v>
      </c>
      <c r="G1531" s="50">
        <f>SUMIFS(INDEX(Техника!$F$1:$ABM$500,G$2,0),Техника!$F$4:$ABM$4,"Часы",INDEX(Техника!$G$1:$ABN$500,G$2,0),$A$1530,INDEX(Техника!$H$1:$ABO$500,G$2,0),"М")</f>
        <v>0</v>
      </c>
      <c r="H1531" s="50">
        <f>SUMIFS(INDEX(Техника!$F$1:$ABM$500,H$2,0),Техника!$F$4:$ABM$4,"Часы",INDEX(Техника!$G$1:$ABN$500,H$2,0),$A$1530,INDEX(Техника!$H$1:$ABO$500,H$2,0),"М")</f>
        <v>0</v>
      </c>
      <c r="I1531" s="50">
        <f>SUMIFS(INDEX(Техника!$F$1:$ABM$500,I$2,0),Техника!$F$4:$ABM$4,"Часы",INDEX(Техника!$G$1:$ABN$500,I$2,0),$A$1530,INDEX(Техника!$H$1:$ABO$500,I$2,0),"М")</f>
        <v>0</v>
      </c>
      <c r="J1531" s="50">
        <f>SUMIFS(INDEX(Техника!$F$1:$ABM$500,J$2,0),Техника!$F$4:$ABM$4,"Часы",INDEX(Техника!$G$1:$ABN$500,J$2,0),$A$1530,INDEX(Техника!$H$1:$ABO$500,J$2,0),"М")</f>
        <v>0</v>
      </c>
      <c r="K1531" s="50">
        <f>SUMIFS(INDEX(Техника!$F$1:$ABM$500,K$2,0),Техника!$F$4:$ABM$4,"Часы",INDEX(Техника!$G$1:$ABN$500,K$2,0),$A$1530,INDEX(Техника!$H$1:$ABO$500,K$2,0),"М")</f>
        <v>0</v>
      </c>
      <c r="L1531" s="50">
        <f>SUMIFS(INDEX(Техника!$F$1:$ABM$500,L$2,0),Техника!$F$4:$ABM$4,"Часы",INDEX(Техника!$G$1:$ABN$500,L$2,0),$A$1530,INDEX(Техника!$H$1:$ABO$500,L$2,0),"М")</f>
        <v>0</v>
      </c>
      <c r="M1531" s="50">
        <f>SUMIFS(INDEX(Техника!$F$1:$ABM$500,M$2,0),Техника!$F$4:$ABM$4,"Часы",INDEX(Техника!$G$1:$ABN$500,M$2,0),$A$1530,INDEX(Техника!$H$1:$ABO$500,M$2,0),"М")</f>
        <v>0</v>
      </c>
      <c r="N1531" s="50">
        <f>SUMIFS(INDEX(Техника!$F$1:$ABM$500,N$2,0),Техника!$F$4:$ABM$4,"Часы",INDEX(Техника!$G$1:$ABN$500,N$2,0),$A$1530,INDEX(Техника!$H$1:$ABO$500,N$2,0),"М")</f>
        <v>0</v>
      </c>
      <c r="O1531" s="50">
        <f>SUMIFS(INDEX(Техника!$F$1:$ABM$500,O$2,0),Техника!$F$4:$ABM$4,"Часы",INDEX(Техника!$G$1:$ABN$500,O$2,0),$A$1530,INDEX(Техника!$H$1:$ABO$500,O$2,0),"М")</f>
        <v>0</v>
      </c>
      <c r="P1531" s="50">
        <f>SUMIFS(INDEX(Техника!$F$1:$ABM$500,P$2,0),Техника!$F$4:$ABM$4,"Часы",INDEX(Техника!$G$1:$ABN$500,P$2,0),$A$1530,INDEX(Техника!$H$1:$ABO$500,P$2,0),"М")</f>
        <v>0</v>
      </c>
      <c r="Q1531" s="50">
        <f>SUMIFS(INDEX(Техника!$F$1:$ABM$500,Q$2,0),Техника!$F$4:$ABM$4,"Часы",INDEX(Техника!$G$1:$ABN$500,Q$2,0),$A$1530,INDEX(Техника!$H$1:$ABO$500,Q$2,0),"М")</f>
        <v>0</v>
      </c>
      <c r="R1531" s="50">
        <f>SUMIFS(INDEX(Техника!$F$1:$ABM$500,R$2,0),Техника!$F$4:$ABM$4,"Часы",INDEX(Техника!$G$1:$ABN$500,R$2,0),$A$1530,INDEX(Техника!$H$1:$ABO$500,R$2,0),"М")</f>
        <v>0</v>
      </c>
      <c r="S1531" s="50">
        <f>SUMIFS(INDEX(Техника!$F$1:$ABM$500,S$2,0),Техника!$F$4:$ABM$4,"Часы",INDEX(Техника!$G$1:$ABN$500,S$2,0),$A$1530,INDEX(Техника!$H$1:$ABO$500,S$2,0),"М")</f>
        <v>0</v>
      </c>
      <c r="T1531" s="50">
        <f>SUMIFS(INDEX(Техника!$F$1:$ABM$500,T$2,0),Техника!$F$4:$ABM$4,"Часы",INDEX(Техника!$G$1:$ABN$500,T$2,0),$A$1530,INDEX(Техника!$H$1:$ABO$500,T$2,0),"М")</f>
        <v>0</v>
      </c>
      <c r="U1531" s="50">
        <f>SUMIFS(INDEX(Техника!$F$1:$ABM$500,U$2,0),Техника!$F$4:$ABM$4,"Часы",INDEX(Техника!$G$1:$ABN$500,U$2,0),$A$1530,INDEX(Техника!$H$1:$ABO$500,U$2,0),"М")</f>
        <v>0</v>
      </c>
      <c r="V1531" s="50">
        <f>SUMIFS(INDEX(Техника!$F$1:$ABM$500,V$2,0),Техника!$F$4:$ABM$4,"Часы",INDEX(Техника!$G$1:$ABN$500,V$2,0),$A$1530,INDEX(Техника!$H$1:$ABO$500,V$2,0),"М")</f>
        <v>0</v>
      </c>
      <c r="W1531" s="50">
        <f>SUMIFS(INDEX(Техника!$F$1:$ABM$500,W$2,0),Техника!$F$4:$ABM$4,"Часы",INDEX(Техника!$G$1:$ABN$500,W$2,0),$A$1530,INDEX(Техника!$H$1:$ABO$500,W$2,0),"М")</f>
        <v>0</v>
      </c>
      <c r="X1531" s="50">
        <f>SUMIFS(INDEX(Техника!$F$1:$ABM$500,X$2,0),Техника!$F$4:$ABM$4,"Часы",INDEX(Техника!$G$1:$ABN$500,X$2,0),$A$1530,INDEX(Техника!$H$1:$ABO$500,X$2,0),"М")</f>
        <v>0</v>
      </c>
      <c r="Y1531" s="50">
        <f>SUMIFS(INDEX(Техника!$F$1:$ABM$500,Y$2,0),Техника!$F$4:$ABM$4,"Часы",INDEX(Техника!$G$1:$ABN$500,Y$2,0),$A$1530,INDEX(Техника!$H$1:$ABO$500,Y$2,0),"М")</f>
        <v>0</v>
      </c>
      <c r="Z1531" s="50">
        <f>SUMIFS(INDEX(Техника!$F$1:$ABM$500,Z$2,0),Техника!$F$4:$ABM$4,"Часы",INDEX(Техника!$G$1:$ABN$500,Z$2,0),$A$1530,INDEX(Техника!$H$1:$ABO$500,Z$2,0),"М")</f>
        <v>0</v>
      </c>
      <c r="AA1531" s="50">
        <f>SUMIFS(INDEX(Техника!$F$1:$ABM$500,AA$2,0),Техника!$F$4:$ABM$4,"Часы",INDEX(Техника!$G$1:$ABN$500,AA$2,0),$A$1530,INDEX(Техника!$H$1:$ABO$500,AA$2,0),"М")</f>
        <v>0</v>
      </c>
      <c r="AB1531" s="50">
        <f>SUMIFS(INDEX(Техника!$F$1:$ABM$500,AB$2,0),Техника!$F$4:$ABM$4,"Часы",INDEX(Техника!$G$1:$ABN$500,AB$2,0),$A$1530,INDEX(Техника!$H$1:$ABO$500,AB$2,0),"М")</f>
        <v>0</v>
      </c>
    </row>
    <row r="1532" spans="1:28" hidden="1" outlineLevel="1" x14ac:dyDescent="0.3">
      <c r="A1532" s="33" t="s">
        <v>244</v>
      </c>
      <c r="B1532" s="34" t="s">
        <v>275</v>
      </c>
      <c r="C1532" s="50">
        <f>SUMIFS(INDEX(Техника!$F$1:$ABM$500,C$2,0),Техника!$F$4:$ABM$4,"Часы",INDEX(Техника!$G$1:$ABN$500,C$2,0),$A$1530,INDEX(Техника!$H$1:$ABO$500,C$2,0),"Д")</f>
        <v>0</v>
      </c>
      <c r="D1532" s="50">
        <f>SUMIFS(INDEX(Техника!$F$1:$ABM$500,D$2,0),Техника!$F$4:$ABM$4,"Часы",INDEX(Техника!$G$1:$ABN$500,D$2,0),$A$1530,INDEX(Техника!$H$1:$ABO$500,D$2,0),"Д")</f>
        <v>0</v>
      </c>
      <c r="E1532" s="50">
        <f>SUMIFS(INDEX(Техника!$F$1:$ABM$500,E$2,0),Техника!$F$4:$ABM$4,"Часы",INDEX(Техника!$G$1:$ABN$500,E$2,0),$A$1530,INDEX(Техника!$H$1:$ABO$500,E$2,0),"Д")</f>
        <v>0</v>
      </c>
      <c r="F1532" s="50">
        <f>SUMIFS(INDEX(Техника!$F$1:$ABM$500,F$2,0),Техника!$F$4:$ABM$4,"Часы",INDEX(Техника!$G$1:$ABN$500,F$2,0),$A$1530,INDEX(Техника!$H$1:$ABO$500,F$2,0),"Д")</f>
        <v>0</v>
      </c>
      <c r="G1532" s="50">
        <f>SUMIFS(INDEX(Техника!$F$1:$ABM$500,G$2,0),Техника!$F$4:$ABM$4,"Часы",INDEX(Техника!$G$1:$ABN$500,G$2,0),$A$1530,INDEX(Техника!$H$1:$ABO$500,G$2,0),"Д")</f>
        <v>0</v>
      </c>
      <c r="H1532" s="50">
        <f>SUMIFS(INDEX(Техника!$F$1:$ABM$500,H$2,0),Техника!$F$4:$ABM$4,"Часы",INDEX(Техника!$G$1:$ABN$500,H$2,0),$A$1530,INDEX(Техника!$H$1:$ABO$500,H$2,0),"Д")</f>
        <v>0</v>
      </c>
      <c r="I1532" s="50">
        <f>SUMIFS(INDEX(Техника!$F$1:$ABM$500,I$2,0),Техника!$F$4:$ABM$4,"Часы",INDEX(Техника!$G$1:$ABN$500,I$2,0),$A$1530,INDEX(Техника!$H$1:$ABO$500,I$2,0),"Д")</f>
        <v>0</v>
      </c>
      <c r="J1532" s="50">
        <f>SUMIFS(INDEX(Техника!$F$1:$ABM$500,J$2,0),Техника!$F$4:$ABM$4,"Часы",INDEX(Техника!$G$1:$ABN$500,J$2,0),$A$1530,INDEX(Техника!$H$1:$ABO$500,J$2,0),"Д")</f>
        <v>0</v>
      </c>
      <c r="K1532" s="50">
        <f>SUMIFS(INDEX(Техника!$F$1:$ABM$500,K$2,0),Техника!$F$4:$ABM$4,"Часы",INDEX(Техника!$G$1:$ABN$500,K$2,0),$A$1530,INDEX(Техника!$H$1:$ABO$500,K$2,0),"Д")</f>
        <v>0</v>
      </c>
      <c r="L1532" s="50">
        <f>SUMIFS(INDEX(Техника!$F$1:$ABM$500,L$2,0),Техника!$F$4:$ABM$4,"Часы",INDEX(Техника!$G$1:$ABN$500,L$2,0),$A$1530,INDEX(Техника!$H$1:$ABO$500,L$2,0),"Д")</f>
        <v>0</v>
      </c>
      <c r="M1532" s="50">
        <f>SUMIFS(INDEX(Техника!$F$1:$ABM$500,M$2,0),Техника!$F$4:$ABM$4,"Часы",INDEX(Техника!$G$1:$ABN$500,M$2,0),$A$1530,INDEX(Техника!$H$1:$ABO$500,M$2,0),"Д")</f>
        <v>0</v>
      </c>
      <c r="N1532" s="50">
        <f>SUMIFS(INDEX(Техника!$F$1:$ABM$500,N$2,0),Техника!$F$4:$ABM$4,"Часы",INDEX(Техника!$G$1:$ABN$500,N$2,0),$A$1530,INDEX(Техника!$H$1:$ABO$500,N$2,0),"Д")</f>
        <v>0</v>
      </c>
      <c r="O1532" s="50">
        <f>SUMIFS(INDEX(Техника!$F$1:$ABM$500,O$2,0),Техника!$F$4:$ABM$4,"Часы",INDEX(Техника!$G$1:$ABN$500,O$2,0),$A$1530,INDEX(Техника!$H$1:$ABO$500,O$2,0),"Д")</f>
        <v>0</v>
      </c>
      <c r="P1532" s="50">
        <f>SUMIFS(INDEX(Техника!$F$1:$ABM$500,P$2,0),Техника!$F$4:$ABM$4,"Часы",INDEX(Техника!$G$1:$ABN$500,P$2,0),$A$1530,INDEX(Техника!$H$1:$ABO$500,P$2,0),"Д")</f>
        <v>0</v>
      </c>
      <c r="Q1532" s="50">
        <f>SUMIFS(INDEX(Техника!$F$1:$ABM$500,Q$2,0),Техника!$F$4:$ABM$4,"Часы",INDEX(Техника!$G$1:$ABN$500,Q$2,0),$A$1530,INDEX(Техника!$H$1:$ABO$500,Q$2,0),"Д")</f>
        <v>0</v>
      </c>
      <c r="R1532" s="50">
        <f>SUMIFS(INDEX(Техника!$F$1:$ABM$500,R$2,0),Техника!$F$4:$ABM$4,"Часы",INDEX(Техника!$G$1:$ABN$500,R$2,0),$A$1530,INDEX(Техника!$H$1:$ABO$500,R$2,0),"Д")</f>
        <v>0</v>
      </c>
      <c r="S1532" s="50">
        <f>SUMIFS(INDEX(Техника!$F$1:$ABM$500,S$2,0),Техника!$F$4:$ABM$4,"Часы",INDEX(Техника!$G$1:$ABN$500,S$2,0),$A$1530,INDEX(Техника!$H$1:$ABO$500,S$2,0),"Д")</f>
        <v>0</v>
      </c>
      <c r="T1532" s="50">
        <f>SUMIFS(INDEX(Техника!$F$1:$ABM$500,T$2,0),Техника!$F$4:$ABM$4,"Часы",INDEX(Техника!$G$1:$ABN$500,T$2,0),$A$1530,INDEX(Техника!$H$1:$ABO$500,T$2,0),"Д")</f>
        <v>0</v>
      </c>
      <c r="U1532" s="50">
        <f>SUMIFS(INDEX(Техника!$F$1:$ABM$500,U$2,0),Техника!$F$4:$ABM$4,"Часы",INDEX(Техника!$G$1:$ABN$500,U$2,0),$A$1530,INDEX(Техника!$H$1:$ABO$500,U$2,0),"Д")</f>
        <v>0</v>
      </c>
      <c r="V1532" s="50">
        <f>SUMIFS(INDEX(Техника!$F$1:$ABM$500,V$2,0),Техника!$F$4:$ABM$4,"Часы",INDEX(Техника!$G$1:$ABN$500,V$2,0),$A$1530,INDEX(Техника!$H$1:$ABO$500,V$2,0),"Д")</f>
        <v>0</v>
      </c>
      <c r="W1532" s="50">
        <f>SUMIFS(INDEX(Техника!$F$1:$ABM$500,W$2,0),Техника!$F$4:$ABM$4,"Часы",INDEX(Техника!$G$1:$ABN$500,W$2,0),$A$1530,INDEX(Техника!$H$1:$ABO$500,W$2,0),"Д")</f>
        <v>0</v>
      </c>
      <c r="X1532" s="50">
        <f>SUMIFS(INDEX(Техника!$F$1:$ABM$500,X$2,0),Техника!$F$4:$ABM$4,"Часы",INDEX(Техника!$G$1:$ABN$500,X$2,0),$A$1530,INDEX(Техника!$H$1:$ABO$500,X$2,0),"Д")</f>
        <v>0</v>
      </c>
      <c r="Y1532" s="50">
        <f>SUMIFS(INDEX(Техника!$F$1:$ABM$500,Y$2,0),Техника!$F$4:$ABM$4,"Часы",INDEX(Техника!$G$1:$ABN$500,Y$2,0),$A$1530,INDEX(Техника!$H$1:$ABO$500,Y$2,0),"Д")</f>
        <v>0</v>
      </c>
      <c r="Z1532" s="50">
        <f>SUMIFS(INDEX(Техника!$F$1:$ABM$500,Z$2,0),Техника!$F$4:$ABM$4,"Часы",INDEX(Техника!$G$1:$ABN$500,Z$2,0),$A$1530,INDEX(Техника!$H$1:$ABO$500,Z$2,0),"Д")</f>
        <v>0</v>
      </c>
      <c r="AA1532" s="50">
        <f>SUMIFS(INDEX(Техника!$F$1:$ABM$500,AA$2,0),Техника!$F$4:$ABM$4,"Часы",INDEX(Техника!$G$1:$ABN$500,AA$2,0),$A$1530,INDEX(Техника!$H$1:$ABO$500,AA$2,0),"Д")</f>
        <v>0</v>
      </c>
      <c r="AB1532" s="50">
        <f>SUMIFS(INDEX(Техника!$F$1:$ABM$500,AB$2,0),Техника!$F$4:$ABM$4,"Часы",INDEX(Техника!$G$1:$ABN$500,AB$2,0),$A$1530,INDEX(Техника!$H$1:$ABO$500,AB$2,0),"Д")</f>
        <v>0</v>
      </c>
    </row>
    <row r="1533" spans="1:28" hidden="1" outlineLevel="1" x14ac:dyDescent="0.3">
      <c r="A1533" s="33" t="s">
        <v>276</v>
      </c>
      <c r="B1533" s="34" t="s">
        <v>277</v>
      </c>
      <c r="C1533" s="50">
        <f>SUMIFS(INDEX(Техника!$F$1:$ABM$500,C$2,0),Техника!$F$4:$ABM$4,"Часы",INDEX(Техника!$G$1:$ABN$500,C$2,0),$A$1530,INDEX(Техника!$H$1:$ABO$500,C$2,0),"П")</f>
        <v>0</v>
      </c>
      <c r="D1533" s="50">
        <f>SUMIFS(INDEX(Техника!$F$1:$ABM$500,D$2,0),Техника!$F$4:$ABM$4,"Часы",INDEX(Техника!$G$1:$ABN$500,D$2,0),$A$1530,INDEX(Техника!$H$1:$ABO$500,D$2,0),"П")</f>
        <v>0</v>
      </c>
      <c r="E1533" s="50">
        <f>SUMIFS(INDEX(Техника!$F$1:$ABM$500,E$2,0),Техника!$F$4:$ABM$4,"Часы",INDEX(Техника!$G$1:$ABN$500,E$2,0),$A$1530,INDEX(Техника!$H$1:$ABO$500,E$2,0),"П")</f>
        <v>0</v>
      </c>
      <c r="F1533" s="50">
        <f>SUMIFS(INDEX(Техника!$F$1:$ABM$500,F$2,0),Техника!$F$4:$ABM$4,"Часы",INDEX(Техника!$G$1:$ABN$500,F$2,0),$A$1530,INDEX(Техника!$H$1:$ABO$500,F$2,0),"П")</f>
        <v>0</v>
      </c>
      <c r="G1533" s="50">
        <f>SUMIFS(INDEX(Техника!$F$1:$ABM$500,G$2,0),Техника!$F$4:$ABM$4,"Часы",INDEX(Техника!$G$1:$ABN$500,G$2,0),$A$1530,INDEX(Техника!$H$1:$ABO$500,G$2,0),"П")</f>
        <v>0</v>
      </c>
      <c r="H1533" s="50">
        <f>SUMIFS(INDEX(Техника!$F$1:$ABM$500,H$2,0),Техника!$F$4:$ABM$4,"Часы",INDEX(Техника!$G$1:$ABN$500,H$2,0),$A$1530,INDEX(Техника!$H$1:$ABO$500,H$2,0),"П")</f>
        <v>0</v>
      </c>
      <c r="I1533" s="50">
        <f>SUMIFS(INDEX(Техника!$F$1:$ABM$500,I$2,0),Техника!$F$4:$ABM$4,"Часы",INDEX(Техника!$G$1:$ABN$500,I$2,0),$A$1530,INDEX(Техника!$H$1:$ABO$500,I$2,0),"П")</f>
        <v>0</v>
      </c>
      <c r="J1533" s="50">
        <f>SUMIFS(INDEX(Техника!$F$1:$ABM$500,J$2,0),Техника!$F$4:$ABM$4,"Часы",INDEX(Техника!$G$1:$ABN$500,J$2,0),$A$1530,INDEX(Техника!$H$1:$ABO$500,J$2,0),"П")</f>
        <v>0</v>
      </c>
      <c r="K1533" s="50">
        <f>SUMIFS(INDEX(Техника!$F$1:$ABM$500,K$2,0),Техника!$F$4:$ABM$4,"Часы",INDEX(Техника!$G$1:$ABN$500,K$2,0),$A$1530,INDEX(Техника!$H$1:$ABO$500,K$2,0),"П")</f>
        <v>0</v>
      </c>
      <c r="L1533" s="50">
        <f>SUMIFS(INDEX(Техника!$F$1:$ABM$500,L$2,0),Техника!$F$4:$ABM$4,"Часы",INDEX(Техника!$G$1:$ABN$500,L$2,0),$A$1530,INDEX(Техника!$H$1:$ABO$500,L$2,0),"П")</f>
        <v>0</v>
      </c>
      <c r="M1533" s="50">
        <f>SUMIFS(INDEX(Техника!$F$1:$ABM$500,M$2,0),Техника!$F$4:$ABM$4,"Часы",INDEX(Техника!$G$1:$ABN$500,M$2,0),$A$1530,INDEX(Техника!$H$1:$ABO$500,M$2,0),"П")</f>
        <v>0</v>
      </c>
      <c r="N1533" s="50">
        <f>SUMIFS(INDEX(Техника!$F$1:$ABM$500,N$2,0),Техника!$F$4:$ABM$4,"Часы",INDEX(Техника!$G$1:$ABN$500,N$2,0),$A$1530,INDEX(Техника!$H$1:$ABO$500,N$2,0),"П")</f>
        <v>0</v>
      </c>
      <c r="O1533" s="50">
        <f>SUMIFS(INDEX(Техника!$F$1:$ABM$500,O$2,0),Техника!$F$4:$ABM$4,"Часы",INDEX(Техника!$G$1:$ABN$500,O$2,0),$A$1530,INDEX(Техника!$H$1:$ABO$500,O$2,0),"П")</f>
        <v>0</v>
      </c>
      <c r="P1533" s="50">
        <f>SUMIFS(INDEX(Техника!$F$1:$ABM$500,P$2,0),Техника!$F$4:$ABM$4,"Часы",INDEX(Техника!$G$1:$ABN$500,P$2,0),$A$1530,INDEX(Техника!$H$1:$ABO$500,P$2,0),"П")</f>
        <v>0</v>
      </c>
      <c r="Q1533" s="50">
        <f>SUMIFS(INDEX(Техника!$F$1:$ABM$500,Q$2,0),Техника!$F$4:$ABM$4,"Часы",INDEX(Техника!$G$1:$ABN$500,Q$2,0),$A$1530,INDEX(Техника!$H$1:$ABO$500,Q$2,0),"П")</f>
        <v>0</v>
      </c>
      <c r="R1533" s="50">
        <f>SUMIFS(INDEX(Техника!$F$1:$ABM$500,R$2,0),Техника!$F$4:$ABM$4,"Часы",INDEX(Техника!$G$1:$ABN$500,R$2,0),$A$1530,INDEX(Техника!$H$1:$ABO$500,R$2,0),"П")</f>
        <v>0</v>
      </c>
      <c r="S1533" s="50">
        <f>SUMIFS(INDEX(Техника!$F$1:$ABM$500,S$2,0),Техника!$F$4:$ABM$4,"Часы",INDEX(Техника!$G$1:$ABN$500,S$2,0),$A$1530,INDEX(Техника!$H$1:$ABO$500,S$2,0),"П")</f>
        <v>0</v>
      </c>
      <c r="T1533" s="50">
        <f>SUMIFS(INDEX(Техника!$F$1:$ABM$500,T$2,0),Техника!$F$4:$ABM$4,"Часы",INDEX(Техника!$G$1:$ABN$500,T$2,0),$A$1530,INDEX(Техника!$H$1:$ABO$500,T$2,0),"П")</f>
        <v>0</v>
      </c>
      <c r="U1533" s="50">
        <f>SUMIFS(INDEX(Техника!$F$1:$ABM$500,U$2,0),Техника!$F$4:$ABM$4,"Часы",INDEX(Техника!$G$1:$ABN$500,U$2,0),$A$1530,INDEX(Техника!$H$1:$ABO$500,U$2,0),"П")</f>
        <v>0</v>
      </c>
      <c r="V1533" s="50">
        <f>SUMIFS(INDEX(Техника!$F$1:$ABM$500,V$2,0),Техника!$F$4:$ABM$4,"Часы",INDEX(Техника!$G$1:$ABN$500,V$2,0),$A$1530,INDEX(Техника!$H$1:$ABO$500,V$2,0),"П")</f>
        <v>0</v>
      </c>
      <c r="W1533" s="50">
        <f>SUMIFS(INDEX(Техника!$F$1:$ABM$500,W$2,0),Техника!$F$4:$ABM$4,"Часы",INDEX(Техника!$G$1:$ABN$500,W$2,0),$A$1530,INDEX(Техника!$H$1:$ABO$500,W$2,0),"П")</f>
        <v>0</v>
      </c>
      <c r="X1533" s="50">
        <f>SUMIFS(INDEX(Техника!$F$1:$ABM$500,X$2,0),Техника!$F$4:$ABM$4,"Часы",INDEX(Техника!$G$1:$ABN$500,X$2,0),$A$1530,INDEX(Техника!$H$1:$ABO$500,X$2,0),"П")</f>
        <v>0</v>
      </c>
      <c r="Y1533" s="50">
        <f>SUMIFS(INDEX(Техника!$F$1:$ABM$500,Y$2,0),Техника!$F$4:$ABM$4,"Часы",INDEX(Техника!$G$1:$ABN$500,Y$2,0),$A$1530,INDEX(Техника!$H$1:$ABO$500,Y$2,0),"П")</f>
        <v>0</v>
      </c>
      <c r="Z1533" s="50">
        <f>SUMIFS(INDEX(Техника!$F$1:$ABM$500,Z$2,0),Техника!$F$4:$ABM$4,"Часы",INDEX(Техника!$G$1:$ABN$500,Z$2,0),$A$1530,INDEX(Техника!$H$1:$ABO$500,Z$2,0),"П")</f>
        <v>0</v>
      </c>
      <c r="AA1533" s="50">
        <f>SUMIFS(INDEX(Техника!$F$1:$ABM$500,AA$2,0),Техника!$F$4:$ABM$4,"Часы",INDEX(Техника!$G$1:$ABN$500,AA$2,0),$A$1530,INDEX(Техника!$H$1:$ABO$500,AA$2,0),"П")</f>
        <v>0</v>
      </c>
      <c r="AB1533" s="50">
        <f>SUMIFS(INDEX(Техника!$F$1:$ABM$500,AB$2,0),Техника!$F$4:$ABM$4,"Часы",INDEX(Техника!$G$1:$ABN$500,AB$2,0),$A$1530,INDEX(Техника!$H$1:$ABO$500,AB$2,0),"П")</f>
        <v>0</v>
      </c>
    </row>
    <row r="1534" spans="1:28" hidden="1" outlineLevel="1" x14ac:dyDescent="0.3">
      <c r="A1534" s="33" t="s">
        <v>243</v>
      </c>
      <c r="B1534" s="34" t="s">
        <v>278</v>
      </c>
      <c r="C1534" s="50">
        <f>SUMIFS(INDEX(Техника!$F$1:$ABM$500,C$2,0),Техника!$F$4:$ABM$4,"Часы",INDEX(Техника!$G$1:$ABN$500,C$2,0),$A$1530,INDEX(Техника!$H$1:$ABO$500,C$2,0),"Л")</f>
        <v>0</v>
      </c>
      <c r="D1534" s="50">
        <f>SUMIFS(INDEX(Техника!$F$1:$ABM$500,D$2,0),Техника!$F$4:$ABM$4,"Часы",INDEX(Техника!$G$1:$ABN$500,D$2,0),$A$1530,INDEX(Техника!$H$1:$ABO$500,D$2,0),"Л")</f>
        <v>0</v>
      </c>
      <c r="E1534" s="50">
        <f>SUMIFS(INDEX(Техника!$F$1:$ABM$500,E$2,0),Техника!$F$4:$ABM$4,"Часы",INDEX(Техника!$G$1:$ABN$500,E$2,0),$A$1530,INDEX(Техника!$H$1:$ABO$500,E$2,0),"Л")</f>
        <v>0</v>
      </c>
      <c r="F1534" s="50">
        <f>SUMIFS(INDEX(Техника!$F$1:$ABM$500,F$2,0),Техника!$F$4:$ABM$4,"Часы",INDEX(Техника!$G$1:$ABN$500,F$2,0),$A$1530,INDEX(Техника!$H$1:$ABO$500,F$2,0),"Л")</f>
        <v>0</v>
      </c>
      <c r="G1534" s="50">
        <f>SUMIFS(INDEX(Техника!$F$1:$ABM$500,G$2,0),Техника!$F$4:$ABM$4,"Часы",INDEX(Техника!$G$1:$ABN$500,G$2,0),$A$1530,INDEX(Техника!$H$1:$ABO$500,G$2,0),"Л")</f>
        <v>0</v>
      </c>
      <c r="H1534" s="50">
        <f>SUMIFS(INDEX(Техника!$F$1:$ABM$500,H$2,0),Техника!$F$4:$ABM$4,"Часы",INDEX(Техника!$G$1:$ABN$500,H$2,0),$A$1530,INDEX(Техника!$H$1:$ABO$500,H$2,0),"Л")</f>
        <v>0</v>
      </c>
      <c r="I1534" s="50">
        <f>SUMIFS(INDEX(Техника!$F$1:$ABM$500,I$2,0),Техника!$F$4:$ABM$4,"Часы",INDEX(Техника!$G$1:$ABN$500,I$2,0),$A$1530,INDEX(Техника!$H$1:$ABO$500,I$2,0),"Л")</f>
        <v>0</v>
      </c>
      <c r="J1534" s="50">
        <f>SUMIFS(INDEX(Техника!$F$1:$ABM$500,J$2,0),Техника!$F$4:$ABM$4,"Часы",INDEX(Техника!$G$1:$ABN$500,J$2,0),$A$1530,INDEX(Техника!$H$1:$ABO$500,J$2,0),"Л")</f>
        <v>0</v>
      </c>
      <c r="K1534" s="50">
        <f>SUMIFS(INDEX(Техника!$F$1:$ABM$500,K$2,0),Техника!$F$4:$ABM$4,"Часы",INDEX(Техника!$G$1:$ABN$500,K$2,0),$A$1530,INDEX(Техника!$H$1:$ABO$500,K$2,0),"Л")</f>
        <v>0</v>
      </c>
      <c r="L1534" s="50">
        <f>SUMIFS(INDEX(Техника!$F$1:$ABM$500,L$2,0),Техника!$F$4:$ABM$4,"Часы",INDEX(Техника!$G$1:$ABN$500,L$2,0),$A$1530,INDEX(Техника!$H$1:$ABO$500,L$2,0),"Л")</f>
        <v>0</v>
      </c>
      <c r="M1534" s="50">
        <f>SUMIFS(INDEX(Техника!$F$1:$ABM$500,M$2,0),Техника!$F$4:$ABM$4,"Часы",INDEX(Техника!$G$1:$ABN$500,M$2,0),$A$1530,INDEX(Техника!$H$1:$ABO$500,M$2,0),"Л")</f>
        <v>0</v>
      </c>
      <c r="N1534" s="50">
        <f>SUMIFS(INDEX(Техника!$F$1:$ABM$500,N$2,0),Техника!$F$4:$ABM$4,"Часы",INDEX(Техника!$G$1:$ABN$500,N$2,0),$A$1530,INDEX(Техника!$H$1:$ABO$500,N$2,0),"Л")</f>
        <v>0</v>
      </c>
      <c r="O1534" s="50">
        <f>SUMIFS(INDEX(Техника!$F$1:$ABM$500,O$2,0),Техника!$F$4:$ABM$4,"Часы",INDEX(Техника!$G$1:$ABN$500,O$2,0),$A$1530,INDEX(Техника!$H$1:$ABO$500,O$2,0),"Л")</f>
        <v>0</v>
      </c>
      <c r="P1534" s="50">
        <f>SUMIFS(INDEX(Техника!$F$1:$ABM$500,P$2,0),Техника!$F$4:$ABM$4,"Часы",INDEX(Техника!$G$1:$ABN$500,P$2,0),$A$1530,INDEX(Техника!$H$1:$ABO$500,P$2,0),"Л")</f>
        <v>0</v>
      </c>
      <c r="Q1534" s="50">
        <f>SUMIFS(INDEX(Техника!$F$1:$ABM$500,Q$2,0),Техника!$F$4:$ABM$4,"Часы",INDEX(Техника!$G$1:$ABN$500,Q$2,0),$A$1530,INDEX(Техника!$H$1:$ABO$500,Q$2,0),"Л")</f>
        <v>0</v>
      </c>
      <c r="R1534" s="50">
        <f>SUMIFS(INDEX(Техника!$F$1:$ABM$500,R$2,0),Техника!$F$4:$ABM$4,"Часы",INDEX(Техника!$G$1:$ABN$500,R$2,0),$A$1530,INDEX(Техника!$H$1:$ABO$500,R$2,0),"Л")</f>
        <v>0</v>
      </c>
      <c r="S1534" s="50">
        <f>SUMIFS(INDEX(Техника!$F$1:$ABM$500,S$2,0),Техника!$F$4:$ABM$4,"Часы",INDEX(Техника!$G$1:$ABN$500,S$2,0),$A$1530,INDEX(Техника!$H$1:$ABO$500,S$2,0),"Л")</f>
        <v>0</v>
      </c>
      <c r="T1534" s="50">
        <f>SUMIFS(INDEX(Техника!$F$1:$ABM$500,T$2,0),Техника!$F$4:$ABM$4,"Часы",INDEX(Техника!$G$1:$ABN$500,T$2,0),$A$1530,INDEX(Техника!$H$1:$ABO$500,T$2,0),"Л")</f>
        <v>0</v>
      </c>
      <c r="U1534" s="50">
        <f>SUMIFS(INDEX(Техника!$F$1:$ABM$500,U$2,0),Техника!$F$4:$ABM$4,"Часы",INDEX(Техника!$G$1:$ABN$500,U$2,0),$A$1530,INDEX(Техника!$H$1:$ABO$500,U$2,0),"Л")</f>
        <v>0</v>
      </c>
      <c r="V1534" s="50">
        <f>SUMIFS(INDEX(Техника!$F$1:$ABM$500,V$2,0),Техника!$F$4:$ABM$4,"Часы",INDEX(Техника!$G$1:$ABN$500,V$2,0),$A$1530,INDEX(Техника!$H$1:$ABO$500,V$2,0),"Л")</f>
        <v>0</v>
      </c>
      <c r="W1534" s="50">
        <f>SUMIFS(INDEX(Техника!$F$1:$ABM$500,W$2,0),Техника!$F$4:$ABM$4,"Часы",INDEX(Техника!$G$1:$ABN$500,W$2,0),$A$1530,INDEX(Техника!$H$1:$ABO$500,W$2,0),"Л")</f>
        <v>0</v>
      </c>
      <c r="X1534" s="50">
        <f>SUMIFS(INDEX(Техника!$F$1:$ABM$500,X$2,0),Техника!$F$4:$ABM$4,"Часы",INDEX(Техника!$G$1:$ABN$500,X$2,0),$A$1530,INDEX(Техника!$H$1:$ABO$500,X$2,0),"Л")</f>
        <v>0</v>
      </c>
      <c r="Y1534" s="50">
        <f>SUMIFS(INDEX(Техника!$F$1:$ABM$500,Y$2,0),Техника!$F$4:$ABM$4,"Часы",INDEX(Техника!$G$1:$ABN$500,Y$2,0),$A$1530,INDEX(Техника!$H$1:$ABO$500,Y$2,0),"Л")</f>
        <v>0</v>
      </c>
      <c r="Z1534" s="50">
        <f>SUMIFS(INDEX(Техника!$F$1:$ABM$500,Z$2,0),Техника!$F$4:$ABM$4,"Часы",INDEX(Техника!$G$1:$ABN$500,Z$2,0),$A$1530,INDEX(Техника!$H$1:$ABO$500,Z$2,0),"Л")</f>
        <v>0</v>
      </c>
      <c r="AA1534" s="50">
        <f>SUMIFS(INDEX(Техника!$F$1:$ABM$500,AA$2,0),Техника!$F$4:$ABM$4,"Часы",INDEX(Техника!$G$1:$ABN$500,AA$2,0),$A$1530,INDEX(Техника!$H$1:$ABO$500,AA$2,0),"Л")</f>
        <v>0</v>
      </c>
      <c r="AB1534" s="50">
        <f>SUMIFS(INDEX(Техника!$F$1:$ABM$500,AB$2,0),Техника!$F$4:$ABM$4,"Часы",INDEX(Техника!$G$1:$ABN$500,AB$2,0),$A$1530,INDEX(Техника!$H$1:$ABO$500,AB$2,0),"Л")</f>
        <v>0</v>
      </c>
    </row>
    <row r="1535" spans="1:28" hidden="1" outlineLevel="1" x14ac:dyDescent="0.3">
      <c r="A1535" s="33" t="s">
        <v>245</v>
      </c>
      <c r="B1535" s="34" t="s">
        <v>279</v>
      </c>
      <c r="C1535" s="50">
        <f>SUMIFS(INDEX(Техника!$F$1:$ABM$500,C$2,0),Техника!$F$4:$ABM$4,"Часы",INDEX(Техника!$G$1:$ABN$500,C$2,0),$A$1530,INDEX(Техника!$H$1:$ABO$500,C$2,0),"З")</f>
        <v>0</v>
      </c>
      <c r="D1535" s="50">
        <f>SUMIFS(INDEX(Техника!$F$1:$ABM$500,D$2,0),Техника!$F$4:$ABM$4,"Часы",INDEX(Техника!$G$1:$ABN$500,D$2,0),$A$1530,INDEX(Техника!$H$1:$ABO$500,D$2,0),"З")</f>
        <v>0</v>
      </c>
      <c r="E1535" s="50">
        <f>SUMIFS(INDEX(Техника!$F$1:$ABM$500,E$2,0),Техника!$F$4:$ABM$4,"Часы",INDEX(Техника!$G$1:$ABN$500,E$2,0),$A$1530,INDEX(Техника!$H$1:$ABO$500,E$2,0),"З")</f>
        <v>0</v>
      </c>
      <c r="F1535" s="50">
        <f>SUMIFS(INDEX(Техника!$F$1:$ABM$500,F$2,0),Техника!$F$4:$ABM$4,"Часы",INDEX(Техника!$G$1:$ABN$500,F$2,0),$A$1530,INDEX(Техника!$H$1:$ABO$500,F$2,0),"З")</f>
        <v>0</v>
      </c>
      <c r="G1535" s="50">
        <f>SUMIFS(INDEX(Техника!$F$1:$ABM$500,G$2,0),Техника!$F$4:$ABM$4,"Часы",INDEX(Техника!$G$1:$ABN$500,G$2,0),$A$1530,INDEX(Техника!$H$1:$ABO$500,G$2,0),"З")</f>
        <v>0</v>
      </c>
      <c r="H1535" s="50">
        <f>SUMIFS(INDEX(Техника!$F$1:$ABM$500,H$2,0),Техника!$F$4:$ABM$4,"Часы",INDEX(Техника!$G$1:$ABN$500,H$2,0),$A$1530,INDEX(Техника!$H$1:$ABO$500,H$2,0),"З")</f>
        <v>0</v>
      </c>
      <c r="I1535" s="50">
        <f>SUMIFS(INDEX(Техника!$F$1:$ABM$500,I$2,0),Техника!$F$4:$ABM$4,"Часы",INDEX(Техника!$G$1:$ABN$500,I$2,0),$A$1530,INDEX(Техника!$H$1:$ABO$500,I$2,0),"З")</f>
        <v>0</v>
      </c>
      <c r="J1535" s="50">
        <f>SUMIFS(INDEX(Техника!$F$1:$ABM$500,J$2,0),Техника!$F$4:$ABM$4,"Часы",INDEX(Техника!$G$1:$ABN$500,J$2,0),$A$1530,INDEX(Техника!$H$1:$ABO$500,J$2,0),"З")</f>
        <v>0</v>
      </c>
      <c r="K1535" s="50">
        <f>SUMIFS(INDEX(Техника!$F$1:$ABM$500,K$2,0),Техника!$F$4:$ABM$4,"Часы",INDEX(Техника!$G$1:$ABN$500,K$2,0),$A$1530,INDEX(Техника!$H$1:$ABO$500,K$2,0),"З")</f>
        <v>0</v>
      </c>
      <c r="L1535" s="50">
        <f>SUMIFS(INDEX(Техника!$F$1:$ABM$500,L$2,0),Техника!$F$4:$ABM$4,"Часы",INDEX(Техника!$G$1:$ABN$500,L$2,0),$A$1530,INDEX(Техника!$H$1:$ABO$500,L$2,0),"З")</f>
        <v>0</v>
      </c>
      <c r="M1535" s="50">
        <f>SUMIFS(INDEX(Техника!$F$1:$ABM$500,M$2,0),Техника!$F$4:$ABM$4,"Часы",INDEX(Техника!$G$1:$ABN$500,M$2,0),$A$1530,INDEX(Техника!$H$1:$ABO$500,M$2,0),"З")</f>
        <v>0</v>
      </c>
      <c r="N1535" s="50">
        <f>SUMIFS(INDEX(Техника!$F$1:$ABM$500,N$2,0),Техника!$F$4:$ABM$4,"Часы",INDEX(Техника!$G$1:$ABN$500,N$2,0),$A$1530,INDEX(Техника!$H$1:$ABO$500,N$2,0),"З")</f>
        <v>0</v>
      </c>
      <c r="O1535" s="50">
        <f>SUMIFS(INDEX(Техника!$F$1:$ABM$500,O$2,0),Техника!$F$4:$ABM$4,"Часы",INDEX(Техника!$G$1:$ABN$500,O$2,0),$A$1530,INDEX(Техника!$H$1:$ABO$500,O$2,0),"З")</f>
        <v>0</v>
      </c>
      <c r="P1535" s="50">
        <f>SUMIFS(INDEX(Техника!$F$1:$ABM$500,P$2,0),Техника!$F$4:$ABM$4,"Часы",INDEX(Техника!$G$1:$ABN$500,P$2,0),$A$1530,INDEX(Техника!$H$1:$ABO$500,P$2,0),"З")</f>
        <v>0</v>
      </c>
      <c r="Q1535" s="50">
        <f>SUMIFS(INDEX(Техника!$F$1:$ABM$500,Q$2,0),Техника!$F$4:$ABM$4,"Часы",INDEX(Техника!$G$1:$ABN$500,Q$2,0),$A$1530,INDEX(Техника!$H$1:$ABO$500,Q$2,0),"З")</f>
        <v>0</v>
      </c>
      <c r="R1535" s="50">
        <f>SUMIFS(INDEX(Техника!$F$1:$ABM$500,R$2,0),Техника!$F$4:$ABM$4,"Часы",INDEX(Техника!$G$1:$ABN$500,R$2,0),$A$1530,INDEX(Техника!$H$1:$ABO$500,R$2,0),"З")</f>
        <v>0</v>
      </c>
      <c r="S1535" s="50">
        <f>SUMIFS(INDEX(Техника!$F$1:$ABM$500,S$2,0),Техника!$F$4:$ABM$4,"Часы",INDEX(Техника!$G$1:$ABN$500,S$2,0),$A$1530,INDEX(Техника!$H$1:$ABO$500,S$2,0),"З")</f>
        <v>0</v>
      </c>
      <c r="T1535" s="50">
        <f>SUMIFS(INDEX(Техника!$F$1:$ABM$500,T$2,0),Техника!$F$4:$ABM$4,"Часы",INDEX(Техника!$G$1:$ABN$500,T$2,0),$A$1530,INDEX(Техника!$H$1:$ABO$500,T$2,0),"З")</f>
        <v>0</v>
      </c>
      <c r="U1535" s="50">
        <f>SUMIFS(INDEX(Техника!$F$1:$ABM$500,U$2,0),Техника!$F$4:$ABM$4,"Часы",INDEX(Техника!$G$1:$ABN$500,U$2,0),$A$1530,INDEX(Техника!$H$1:$ABO$500,U$2,0),"З")</f>
        <v>0</v>
      </c>
      <c r="V1535" s="50">
        <f>SUMIFS(INDEX(Техника!$F$1:$ABM$500,V$2,0),Техника!$F$4:$ABM$4,"Часы",INDEX(Техника!$G$1:$ABN$500,V$2,0),$A$1530,INDEX(Техника!$H$1:$ABO$500,V$2,0),"З")</f>
        <v>0</v>
      </c>
      <c r="W1535" s="50">
        <f>SUMIFS(INDEX(Техника!$F$1:$ABM$500,W$2,0),Техника!$F$4:$ABM$4,"Часы",INDEX(Техника!$G$1:$ABN$500,W$2,0),$A$1530,INDEX(Техника!$H$1:$ABO$500,W$2,0),"З")</f>
        <v>0</v>
      </c>
      <c r="X1535" s="50">
        <f>SUMIFS(INDEX(Техника!$F$1:$ABM$500,X$2,0),Техника!$F$4:$ABM$4,"Часы",INDEX(Техника!$G$1:$ABN$500,X$2,0),$A$1530,INDEX(Техника!$H$1:$ABO$500,X$2,0),"З")</f>
        <v>0</v>
      </c>
      <c r="Y1535" s="50">
        <f>SUMIFS(INDEX(Техника!$F$1:$ABM$500,Y$2,0),Техника!$F$4:$ABM$4,"Часы",INDEX(Техника!$G$1:$ABN$500,Y$2,0),$A$1530,INDEX(Техника!$H$1:$ABO$500,Y$2,0),"З")</f>
        <v>0</v>
      </c>
      <c r="Z1535" s="50">
        <f>SUMIFS(INDEX(Техника!$F$1:$ABM$500,Z$2,0),Техника!$F$4:$ABM$4,"Часы",INDEX(Техника!$G$1:$ABN$500,Z$2,0),$A$1530,INDEX(Техника!$H$1:$ABO$500,Z$2,0),"З")</f>
        <v>0</v>
      </c>
      <c r="AA1535" s="50">
        <f>SUMIFS(INDEX(Техника!$F$1:$ABM$500,AA$2,0),Техника!$F$4:$ABM$4,"Часы",INDEX(Техника!$G$1:$ABN$500,AA$2,0),$A$1530,INDEX(Техника!$H$1:$ABO$500,AA$2,0),"З")</f>
        <v>0</v>
      </c>
      <c r="AB1535" s="50">
        <f>SUMIFS(INDEX(Техника!$F$1:$ABM$500,AB$2,0),Техника!$F$4:$ABM$4,"Часы",INDEX(Техника!$G$1:$ABN$500,AB$2,0),$A$1530,INDEX(Техника!$H$1:$ABO$500,AB$2,0),"З")</f>
        <v>0</v>
      </c>
    </row>
    <row r="1536" spans="1:28" ht="7.95" customHeight="1" x14ac:dyDescent="0.3">
      <c r="A1536" s="38"/>
      <c r="B1536" s="39"/>
      <c r="C1536" s="51"/>
      <c r="D1536" s="51"/>
      <c r="E1536" s="51"/>
      <c r="F1536" s="51"/>
      <c r="G1536" s="51"/>
      <c r="H1536" s="51"/>
      <c r="I1536" s="51"/>
      <c r="J1536" s="51"/>
      <c r="K1536" s="51"/>
      <c r="L1536" s="51"/>
      <c r="M1536" s="51"/>
      <c r="N1536" s="51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</row>
    <row r="1537" spans="1:28" ht="25.05" customHeight="1" collapsed="1" x14ac:dyDescent="0.3">
      <c r="A1537" s="32">
        <v>220</v>
      </c>
      <c r="B1537" s="32" t="s">
        <v>221</v>
      </c>
      <c r="C1537" s="49">
        <f>SUM(C1538:C1542)</f>
        <v>0</v>
      </c>
      <c r="D1537" s="49">
        <f>SUM(D1538:D1542)</f>
        <v>0</v>
      </c>
      <c r="E1537" s="49">
        <f>SUM(E1538:E1542)</f>
        <v>0</v>
      </c>
      <c r="F1537" s="49">
        <f>SUM(F1538:F1542)</f>
        <v>0</v>
      </c>
      <c r="G1537" s="49">
        <f>SUM(G1538:G1542)</f>
        <v>0</v>
      </c>
      <c r="H1537" s="49">
        <f>SUM(H1538:H1542)</f>
        <v>0</v>
      </c>
      <c r="I1537" s="49">
        <f>SUM(I1538:I1542)</f>
        <v>0</v>
      </c>
      <c r="J1537" s="49">
        <f>SUM(J1538:J1542)</f>
        <v>0</v>
      </c>
      <c r="K1537" s="49">
        <f>SUM(K1538:K1542)</f>
        <v>0</v>
      </c>
      <c r="L1537" s="49">
        <f>SUM(L1538:L1542)</f>
        <v>0</v>
      </c>
      <c r="M1537" s="49">
        <f>SUM(M1538:M1542)</f>
        <v>0</v>
      </c>
      <c r="N1537" s="49">
        <f>SUM(N1538:N1542)</f>
        <v>0</v>
      </c>
      <c r="O1537" s="49">
        <f>SUM(O1538:O1542)</f>
        <v>0</v>
      </c>
      <c r="P1537" s="49">
        <f>SUM(P1538:P1542)</f>
        <v>0</v>
      </c>
      <c r="Q1537" s="49">
        <f>SUM(Q1538:Q1542)</f>
        <v>0</v>
      </c>
      <c r="R1537" s="49">
        <f>SUM(R1538:R1542)</f>
        <v>0</v>
      </c>
      <c r="S1537" s="49">
        <f>SUM(S1538:S1542)</f>
        <v>0</v>
      </c>
      <c r="T1537" s="49">
        <f>SUM(T1538:T1542)</f>
        <v>0</v>
      </c>
      <c r="U1537" s="49">
        <f>SUM(U1538:U1542)</f>
        <v>0</v>
      </c>
      <c r="V1537" s="49">
        <f>SUM(V1538:V1542)</f>
        <v>0</v>
      </c>
      <c r="W1537" s="49">
        <f>SUM(W1538:W1542)</f>
        <v>0</v>
      </c>
      <c r="X1537" s="49">
        <f>SUM(X1538:X1542)</f>
        <v>0</v>
      </c>
      <c r="Y1537" s="49">
        <f>SUM(Y1538:Y1542)</f>
        <v>0</v>
      </c>
      <c r="Z1537" s="49">
        <f>SUM(Z1538:Z1542)</f>
        <v>0</v>
      </c>
      <c r="AA1537" s="49">
        <f>SUM(AA1538:AA1542)</f>
        <v>0</v>
      </c>
      <c r="AB1537" s="49">
        <f>SUM(AB1538:AB1542)</f>
        <v>0</v>
      </c>
    </row>
    <row r="1538" spans="1:28" hidden="1" outlineLevel="1" x14ac:dyDescent="0.3">
      <c r="A1538" s="33" t="s">
        <v>246</v>
      </c>
      <c r="B1538" s="34" t="s">
        <v>274</v>
      </c>
      <c r="C1538" s="50">
        <f>SUMIFS(INDEX(Техника!$F$1:$ABM$500,C$2,0),Техника!$F$4:$ABM$4,"Часы",INDEX(Техника!$G$1:$ABN$500,C$2,0),$A$1537,INDEX(Техника!$H$1:$ABO$500,C$2,0),"М")</f>
        <v>0</v>
      </c>
      <c r="D1538" s="50">
        <f>SUMIFS(INDEX(Техника!$F$1:$ABM$500,D$2,0),Техника!$F$4:$ABM$4,"Часы",INDEX(Техника!$G$1:$ABN$500,D$2,0),$A$1537,INDEX(Техника!$H$1:$ABO$500,D$2,0),"М")</f>
        <v>0</v>
      </c>
      <c r="E1538" s="50">
        <f>SUMIFS(INDEX(Техника!$F$1:$ABM$500,E$2,0),Техника!$F$4:$ABM$4,"Часы",INDEX(Техника!$G$1:$ABN$500,E$2,0),$A$1537,INDEX(Техника!$H$1:$ABO$500,E$2,0),"М")</f>
        <v>0</v>
      </c>
      <c r="F1538" s="50">
        <f>SUMIFS(INDEX(Техника!$F$1:$ABM$500,F$2,0),Техника!$F$4:$ABM$4,"Часы",INDEX(Техника!$G$1:$ABN$500,F$2,0),$A$1537,INDEX(Техника!$H$1:$ABO$500,F$2,0),"М")</f>
        <v>0</v>
      </c>
      <c r="G1538" s="50">
        <f>SUMIFS(INDEX(Техника!$F$1:$ABM$500,G$2,0),Техника!$F$4:$ABM$4,"Часы",INDEX(Техника!$G$1:$ABN$500,G$2,0),$A$1537,INDEX(Техника!$H$1:$ABO$500,G$2,0),"М")</f>
        <v>0</v>
      </c>
      <c r="H1538" s="50">
        <f>SUMIFS(INDEX(Техника!$F$1:$ABM$500,H$2,0),Техника!$F$4:$ABM$4,"Часы",INDEX(Техника!$G$1:$ABN$500,H$2,0),$A$1537,INDEX(Техника!$H$1:$ABO$500,H$2,0),"М")</f>
        <v>0</v>
      </c>
      <c r="I1538" s="50">
        <f>SUMIFS(INDEX(Техника!$F$1:$ABM$500,I$2,0),Техника!$F$4:$ABM$4,"Часы",INDEX(Техника!$G$1:$ABN$500,I$2,0),$A$1537,INDEX(Техника!$H$1:$ABO$500,I$2,0),"М")</f>
        <v>0</v>
      </c>
      <c r="J1538" s="50">
        <f>SUMIFS(INDEX(Техника!$F$1:$ABM$500,J$2,0),Техника!$F$4:$ABM$4,"Часы",INDEX(Техника!$G$1:$ABN$500,J$2,0),$A$1537,INDEX(Техника!$H$1:$ABO$500,J$2,0),"М")</f>
        <v>0</v>
      </c>
      <c r="K1538" s="50">
        <f>SUMIFS(INDEX(Техника!$F$1:$ABM$500,K$2,0),Техника!$F$4:$ABM$4,"Часы",INDEX(Техника!$G$1:$ABN$500,K$2,0),$A$1537,INDEX(Техника!$H$1:$ABO$500,K$2,0),"М")</f>
        <v>0</v>
      </c>
      <c r="L1538" s="50">
        <f>SUMIFS(INDEX(Техника!$F$1:$ABM$500,L$2,0),Техника!$F$4:$ABM$4,"Часы",INDEX(Техника!$G$1:$ABN$500,L$2,0),$A$1537,INDEX(Техника!$H$1:$ABO$500,L$2,0),"М")</f>
        <v>0</v>
      </c>
      <c r="M1538" s="50">
        <f>SUMIFS(INDEX(Техника!$F$1:$ABM$500,M$2,0),Техника!$F$4:$ABM$4,"Часы",INDEX(Техника!$G$1:$ABN$500,M$2,0),$A$1537,INDEX(Техника!$H$1:$ABO$500,M$2,0),"М")</f>
        <v>0</v>
      </c>
      <c r="N1538" s="50">
        <f>SUMIFS(INDEX(Техника!$F$1:$ABM$500,N$2,0),Техника!$F$4:$ABM$4,"Часы",INDEX(Техника!$G$1:$ABN$500,N$2,0),$A$1537,INDEX(Техника!$H$1:$ABO$500,N$2,0),"М")</f>
        <v>0</v>
      </c>
      <c r="O1538" s="50">
        <f>SUMIFS(INDEX(Техника!$F$1:$ABM$500,O$2,0),Техника!$F$4:$ABM$4,"Часы",INDEX(Техника!$G$1:$ABN$500,O$2,0),$A$1537,INDEX(Техника!$H$1:$ABO$500,O$2,0),"М")</f>
        <v>0</v>
      </c>
      <c r="P1538" s="50">
        <f>SUMIFS(INDEX(Техника!$F$1:$ABM$500,P$2,0),Техника!$F$4:$ABM$4,"Часы",INDEX(Техника!$G$1:$ABN$500,P$2,0),$A$1537,INDEX(Техника!$H$1:$ABO$500,P$2,0),"М")</f>
        <v>0</v>
      </c>
      <c r="Q1538" s="50">
        <f>SUMIFS(INDEX(Техника!$F$1:$ABM$500,Q$2,0),Техника!$F$4:$ABM$4,"Часы",INDEX(Техника!$G$1:$ABN$500,Q$2,0),$A$1537,INDEX(Техника!$H$1:$ABO$500,Q$2,0),"М")</f>
        <v>0</v>
      </c>
      <c r="R1538" s="50">
        <f>SUMIFS(INDEX(Техника!$F$1:$ABM$500,R$2,0),Техника!$F$4:$ABM$4,"Часы",INDEX(Техника!$G$1:$ABN$500,R$2,0),$A$1537,INDEX(Техника!$H$1:$ABO$500,R$2,0),"М")</f>
        <v>0</v>
      </c>
      <c r="S1538" s="50">
        <f>SUMIFS(INDEX(Техника!$F$1:$ABM$500,S$2,0),Техника!$F$4:$ABM$4,"Часы",INDEX(Техника!$G$1:$ABN$500,S$2,0),$A$1537,INDEX(Техника!$H$1:$ABO$500,S$2,0),"М")</f>
        <v>0</v>
      </c>
      <c r="T1538" s="50">
        <f>SUMIFS(INDEX(Техника!$F$1:$ABM$500,T$2,0),Техника!$F$4:$ABM$4,"Часы",INDEX(Техника!$G$1:$ABN$500,T$2,0),$A$1537,INDEX(Техника!$H$1:$ABO$500,T$2,0),"М")</f>
        <v>0</v>
      </c>
      <c r="U1538" s="50">
        <f>SUMIFS(INDEX(Техника!$F$1:$ABM$500,U$2,0),Техника!$F$4:$ABM$4,"Часы",INDEX(Техника!$G$1:$ABN$500,U$2,0),$A$1537,INDEX(Техника!$H$1:$ABO$500,U$2,0),"М")</f>
        <v>0</v>
      </c>
      <c r="V1538" s="50">
        <f>SUMIFS(INDEX(Техника!$F$1:$ABM$500,V$2,0),Техника!$F$4:$ABM$4,"Часы",INDEX(Техника!$G$1:$ABN$500,V$2,0),$A$1537,INDEX(Техника!$H$1:$ABO$500,V$2,0),"М")</f>
        <v>0</v>
      </c>
      <c r="W1538" s="50">
        <f>SUMIFS(INDEX(Техника!$F$1:$ABM$500,W$2,0),Техника!$F$4:$ABM$4,"Часы",INDEX(Техника!$G$1:$ABN$500,W$2,0),$A$1537,INDEX(Техника!$H$1:$ABO$500,W$2,0),"М")</f>
        <v>0</v>
      </c>
      <c r="X1538" s="50">
        <f>SUMIFS(INDEX(Техника!$F$1:$ABM$500,X$2,0),Техника!$F$4:$ABM$4,"Часы",INDEX(Техника!$G$1:$ABN$500,X$2,0),$A$1537,INDEX(Техника!$H$1:$ABO$500,X$2,0),"М")</f>
        <v>0</v>
      </c>
      <c r="Y1538" s="50">
        <f>SUMIFS(INDEX(Техника!$F$1:$ABM$500,Y$2,0),Техника!$F$4:$ABM$4,"Часы",INDEX(Техника!$G$1:$ABN$500,Y$2,0),$A$1537,INDEX(Техника!$H$1:$ABO$500,Y$2,0),"М")</f>
        <v>0</v>
      </c>
      <c r="Z1538" s="50">
        <f>SUMIFS(INDEX(Техника!$F$1:$ABM$500,Z$2,0),Техника!$F$4:$ABM$4,"Часы",INDEX(Техника!$G$1:$ABN$500,Z$2,0),$A$1537,INDEX(Техника!$H$1:$ABO$500,Z$2,0),"М")</f>
        <v>0</v>
      </c>
      <c r="AA1538" s="50">
        <f>SUMIFS(INDEX(Техника!$F$1:$ABM$500,AA$2,0),Техника!$F$4:$ABM$4,"Часы",INDEX(Техника!$G$1:$ABN$500,AA$2,0),$A$1537,INDEX(Техника!$H$1:$ABO$500,AA$2,0),"М")</f>
        <v>0</v>
      </c>
      <c r="AB1538" s="50">
        <f>SUMIFS(INDEX(Техника!$F$1:$ABM$500,AB$2,0),Техника!$F$4:$ABM$4,"Часы",INDEX(Техника!$G$1:$ABN$500,AB$2,0),$A$1537,INDEX(Техника!$H$1:$ABO$500,AB$2,0),"М")</f>
        <v>0</v>
      </c>
    </row>
    <row r="1539" spans="1:28" hidden="1" outlineLevel="1" x14ac:dyDescent="0.3">
      <c r="A1539" s="33" t="s">
        <v>244</v>
      </c>
      <c r="B1539" s="34" t="s">
        <v>275</v>
      </c>
      <c r="C1539" s="50">
        <f>SUMIFS(INDEX(Техника!$F$1:$ABM$500,C$2,0),Техника!$F$4:$ABM$4,"Часы",INDEX(Техника!$G$1:$ABN$500,C$2,0),$A$1537,INDEX(Техника!$H$1:$ABO$500,C$2,0),"Д")</f>
        <v>0</v>
      </c>
      <c r="D1539" s="50">
        <f>SUMIFS(INDEX(Техника!$F$1:$ABM$500,D$2,0),Техника!$F$4:$ABM$4,"Часы",INDEX(Техника!$G$1:$ABN$500,D$2,0),$A$1537,INDEX(Техника!$H$1:$ABO$500,D$2,0),"Д")</f>
        <v>0</v>
      </c>
      <c r="E1539" s="50">
        <f>SUMIFS(INDEX(Техника!$F$1:$ABM$500,E$2,0),Техника!$F$4:$ABM$4,"Часы",INDEX(Техника!$G$1:$ABN$500,E$2,0),$A$1537,INDEX(Техника!$H$1:$ABO$500,E$2,0),"Д")</f>
        <v>0</v>
      </c>
      <c r="F1539" s="50">
        <f>SUMIFS(INDEX(Техника!$F$1:$ABM$500,F$2,0),Техника!$F$4:$ABM$4,"Часы",INDEX(Техника!$G$1:$ABN$500,F$2,0),$A$1537,INDEX(Техника!$H$1:$ABO$500,F$2,0),"Д")</f>
        <v>0</v>
      </c>
      <c r="G1539" s="50">
        <f>SUMIFS(INDEX(Техника!$F$1:$ABM$500,G$2,0),Техника!$F$4:$ABM$4,"Часы",INDEX(Техника!$G$1:$ABN$500,G$2,0),$A$1537,INDEX(Техника!$H$1:$ABO$500,G$2,0),"Д")</f>
        <v>0</v>
      </c>
      <c r="H1539" s="50">
        <f>SUMIFS(INDEX(Техника!$F$1:$ABM$500,H$2,0),Техника!$F$4:$ABM$4,"Часы",INDEX(Техника!$G$1:$ABN$500,H$2,0),$A$1537,INDEX(Техника!$H$1:$ABO$500,H$2,0),"Д")</f>
        <v>0</v>
      </c>
      <c r="I1539" s="50">
        <f>SUMIFS(INDEX(Техника!$F$1:$ABM$500,I$2,0),Техника!$F$4:$ABM$4,"Часы",INDEX(Техника!$G$1:$ABN$500,I$2,0),$A$1537,INDEX(Техника!$H$1:$ABO$500,I$2,0),"Д")</f>
        <v>0</v>
      </c>
      <c r="J1539" s="50">
        <f>SUMIFS(INDEX(Техника!$F$1:$ABM$500,J$2,0),Техника!$F$4:$ABM$4,"Часы",INDEX(Техника!$G$1:$ABN$500,J$2,0),$A$1537,INDEX(Техника!$H$1:$ABO$500,J$2,0),"Д")</f>
        <v>0</v>
      </c>
      <c r="K1539" s="50">
        <f>SUMIFS(INDEX(Техника!$F$1:$ABM$500,K$2,0),Техника!$F$4:$ABM$4,"Часы",INDEX(Техника!$G$1:$ABN$500,K$2,0),$A$1537,INDEX(Техника!$H$1:$ABO$500,K$2,0),"Д")</f>
        <v>0</v>
      </c>
      <c r="L1539" s="50">
        <f>SUMIFS(INDEX(Техника!$F$1:$ABM$500,L$2,0),Техника!$F$4:$ABM$4,"Часы",INDEX(Техника!$G$1:$ABN$500,L$2,0),$A$1537,INDEX(Техника!$H$1:$ABO$500,L$2,0),"Д")</f>
        <v>0</v>
      </c>
      <c r="M1539" s="50">
        <f>SUMIFS(INDEX(Техника!$F$1:$ABM$500,M$2,0),Техника!$F$4:$ABM$4,"Часы",INDEX(Техника!$G$1:$ABN$500,M$2,0),$A$1537,INDEX(Техника!$H$1:$ABO$500,M$2,0),"Д")</f>
        <v>0</v>
      </c>
      <c r="N1539" s="50">
        <f>SUMIFS(INDEX(Техника!$F$1:$ABM$500,N$2,0),Техника!$F$4:$ABM$4,"Часы",INDEX(Техника!$G$1:$ABN$500,N$2,0),$A$1537,INDEX(Техника!$H$1:$ABO$500,N$2,0),"Д")</f>
        <v>0</v>
      </c>
      <c r="O1539" s="50">
        <f>SUMIFS(INDEX(Техника!$F$1:$ABM$500,O$2,0),Техника!$F$4:$ABM$4,"Часы",INDEX(Техника!$G$1:$ABN$500,O$2,0),$A$1537,INDEX(Техника!$H$1:$ABO$500,O$2,0),"Д")</f>
        <v>0</v>
      </c>
      <c r="P1539" s="50">
        <f>SUMIFS(INDEX(Техника!$F$1:$ABM$500,P$2,0),Техника!$F$4:$ABM$4,"Часы",INDEX(Техника!$G$1:$ABN$500,P$2,0),$A$1537,INDEX(Техника!$H$1:$ABO$500,P$2,0),"Д")</f>
        <v>0</v>
      </c>
      <c r="Q1539" s="50">
        <f>SUMIFS(INDEX(Техника!$F$1:$ABM$500,Q$2,0),Техника!$F$4:$ABM$4,"Часы",INDEX(Техника!$G$1:$ABN$500,Q$2,0),$A$1537,INDEX(Техника!$H$1:$ABO$500,Q$2,0),"Д")</f>
        <v>0</v>
      </c>
      <c r="R1539" s="50">
        <f>SUMIFS(INDEX(Техника!$F$1:$ABM$500,R$2,0),Техника!$F$4:$ABM$4,"Часы",INDEX(Техника!$G$1:$ABN$500,R$2,0),$A$1537,INDEX(Техника!$H$1:$ABO$500,R$2,0),"Д")</f>
        <v>0</v>
      </c>
      <c r="S1539" s="50">
        <f>SUMIFS(INDEX(Техника!$F$1:$ABM$500,S$2,0),Техника!$F$4:$ABM$4,"Часы",INDEX(Техника!$G$1:$ABN$500,S$2,0),$A$1537,INDEX(Техника!$H$1:$ABO$500,S$2,0),"Д")</f>
        <v>0</v>
      </c>
      <c r="T1539" s="50">
        <f>SUMIFS(INDEX(Техника!$F$1:$ABM$500,T$2,0),Техника!$F$4:$ABM$4,"Часы",INDEX(Техника!$G$1:$ABN$500,T$2,0),$A$1537,INDEX(Техника!$H$1:$ABO$500,T$2,0),"Д")</f>
        <v>0</v>
      </c>
      <c r="U1539" s="50">
        <f>SUMIFS(INDEX(Техника!$F$1:$ABM$500,U$2,0),Техника!$F$4:$ABM$4,"Часы",INDEX(Техника!$G$1:$ABN$500,U$2,0),$A$1537,INDEX(Техника!$H$1:$ABO$500,U$2,0),"Д")</f>
        <v>0</v>
      </c>
      <c r="V1539" s="50">
        <f>SUMIFS(INDEX(Техника!$F$1:$ABM$500,V$2,0),Техника!$F$4:$ABM$4,"Часы",INDEX(Техника!$G$1:$ABN$500,V$2,0),$A$1537,INDEX(Техника!$H$1:$ABO$500,V$2,0),"Д")</f>
        <v>0</v>
      </c>
      <c r="W1539" s="50">
        <f>SUMIFS(INDEX(Техника!$F$1:$ABM$500,W$2,0),Техника!$F$4:$ABM$4,"Часы",INDEX(Техника!$G$1:$ABN$500,W$2,0),$A$1537,INDEX(Техника!$H$1:$ABO$500,W$2,0),"Д")</f>
        <v>0</v>
      </c>
      <c r="X1539" s="50">
        <f>SUMIFS(INDEX(Техника!$F$1:$ABM$500,X$2,0),Техника!$F$4:$ABM$4,"Часы",INDEX(Техника!$G$1:$ABN$500,X$2,0),$A$1537,INDEX(Техника!$H$1:$ABO$500,X$2,0),"Д")</f>
        <v>0</v>
      </c>
      <c r="Y1539" s="50">
        <f>SUMIFS(INDEX(Техника!$F$1:$ABM$500,Y$2,0),Техника!$F$4:$ABM$4,"Часы",INDEX(Техника!$G$1:$ABN$500,Y$2,0),$A$1537,INDEX(Техника!$H$1:$ABO$500,Y$2,0),"Д")</f>
        <v>0</v>
      </c>
      <c r="Z1539" s="50">
        <f>SUMIFS(INDEX(Техника!$F$1:$ABM$500,Z$2,0),Техника!$F$4:$ABM$4,"Часы",INDEX(Техника!$G$1:$ABN$500,Z$2,0),$A$1537,INDEX(Техника!$H$1:$ABO$500,Z$2,0),"Д")</f>
        <v>0</v>
      </c>
      <c r="AA1539" s="50">
        <f>SUMIFS(INDEX(Техника!$F$1:$ABM$500,AA$2,0),Техника!$F$4:$ABM$4,"Часы",INDEX(Техника!$G$1:$ABN$500,AA$2,0),$A$1537,INDEX(Техника!$H$1:$ABO$500,AA$2,0),"Д")</f>
        <v>0</v>
      </c>
      <c r="AB1539" s="50">
        <f>SUMIFS(INDEX(Техника!$F$1:$ABM$500,AB$2,0),Техника!$F$4:$ABM$4,"Часы",INDEX(Техника!$G$1:$ABN$500,AB$2,0),$A$1537,INDEX(Техника!$H$1:$ABO$500,AB$2,0),"Д")</f>
        <v>0</v>
      </c>
    </row>
    <row r="1540" spans="1:28" hidden="1" outlineLevel="1" x14ac:dyDescent="0.3">
      <c r="A1540" s="33" t="s">
        <v>276</v>
      </c>
      <c r="B1540" s="34" t="s">
        <v>277</v>
      </c>
      <c r="C1540" s="50">
        <f>SUMIFS(INDEX(Техника!$F$1:$ABM$500,C$2,0),Техника!$F$4:$ABM$4,"Часы",INDEX(Техника!$G$1:$ABN$500,C$2,0),$A$1537,INDEX(Техника!$H$1:$ABO$500,C$2,0),"П")</f>
        <v>0</v>
      </c>
      <c r="D1540" s="50">
        <f>SUMIFS(INDEX(Техника!$F$1:$ABM$500,D$2,0),Техника!$F$4:$ABM$4,"Часы",INDEX(Техника!$G$1:$ABN$500,D$2,0),$A$1537,INDEX(Техника!$H$1:$ABO$500,D$2,0),"П")</f>
        <v>0</v>
      </c>
      <c r="E1540" s="50">
        <f>SUMIFS(INDEX(Техника!$F$1:$ABM$500,E$2,0),Техника!$F$4:$ABM$4,"Часы",INDEX(Техника!$G$1:$ABN$500,E$2,0),$A$1537,INDEX(Техника!$H$1:$ABO$500,E$2,0),"П")</f>
        <v>0</v>
      </c>
      <c r="F1540" s="50">
        <f>SUMIFS(INDEX(Техника!$F$1:$ABM$500,F$2,0),Техника!$F$4:$ABM$4,"Часы",INDEX(Техника!$G$1:$ABN$500,F$2,0),$A$1537,INDEX(Техника!$H$1:$ABO$500,F$2,0),"П")</f>
        <v>0</v>
      </c>
      <c r="G1540" s="50">
        <f>SUMIFS(INDEX(Техника!$F$1:$ABM$500,G$2,0),Техника!$F$4:$ABM$4,"Часы",INDEX(Техника!$G$1:$ABN$500,G$2,0),$A$1537,INDEX(Техника!$H$1:$ABO$500,G$2,0),"П")</f>
        <v>0</v>
      </c>
      <c r="H1540" s="50">
        <f>SUMIFS(INDEX(Техника!$F$1:$ABM$500,H$2,0),Техника!$F$4:$ABM$4,"Часы",INDEX(Техника!$G$1:$ABN$500,H$2,0),$A$1537,INDEX(Техника!$H$1:$ABO$500,H$2,0),"П")</f>
        <v>0</v>
      </c>
      <c r="I1540" s="50">
        <f>SUMIFS(INDEX(Техника!$F$1:$ABM$500,I$2,0),Техника!$F$4:$ABM$4,"Часы",INDEX(Техника!$G$1:$ABN$500,I$2,0),$A$1537,INDEX(Техника!$H$1:$ABO$500,I$2,0),"П")</f>
        <v>0</v>
      </c>
      <c r="J1540" s="50">
        <f>SUMIFS(INDEX(Техника!$F$1:$ABM$500,J$2,0),Техника!$F$4:$ABM$4,"Часы",INDEX(Техника!$G$1:$ABN$500,J$2,0),$A$1537,INDEX(Техника!$H$1:$ABO$500,J$2,0),"П")</f>
        <v>0</v>
      </c>
      <c r="K1540" s="50">
        <f>SUMIFS(INDEX(Техника!$F$1:$ABM$500,K$2,0),Техника!$F$4:$ABM$4,"Часы",INDEX(Техника!$G$1:$ABN$500,K$2,0),$A$1537,INDEX(Техника!$H$1:$ABO$500,K$2,0),"П")</f>
        <v>0</v>
      </c>
      <c r="L1540" s="50">
        <f>SUMIFS(INDEX(Техника!$F$1:$ABM$500,L$2,0),Техника!$F$4:$ABM$4,"Часы",INDEX(Техника!$G$1:$ABN$500,L$2,0),$A$1537,INDEX(Техника!$H$1:$ABO$500,L$2,0),"П")</f>
        <v>0</v>
      </c>
      <c r="M1540" s="50">
        <f>SUMIFS(INDEX(Техника!$F$1:$ABM$500,M$2,0),Техника!$F$4:$ABM$4,"Часы",INDEX(Техника!$G$1:$ABN$500,M$2,0),$A$1537,INDEX(Техника!$H$1:$ABO$500,M$2,0),"П")</f>
        <v>0</v>
      </c>
      <c r="N1540" s="50">
        <f>SUMIFS(INDEX(Техника!$F$1:$ABM$500,N$2,0),Техника!$F$4:$ABM$4,"Часы",INDEX(Техника!$G$1:$ABN$500,N$2,0),$A$1537,INDEX(Техника!$H$1:$ABO$500,N$2,0),"П")</f>
        <v>0</v>
      </c>
      <c r="O1540" s="50">
        <f>SUMIFS(INDEX(Техника!$F$1:$ABM$500,O$2,0),Техника!$F$4:$ABM$4,"Часы",INDEX(Техника!$G$1:$ABN$500,O$2,0),$A$1537,INDEX(Техника!$H$1:$ABO$500,O$2,0),"П")</f>
        <v>0</v>
      </c>
      <c r="P1540" s="50">
        <f>SUMIFS(INDEX(Техника!$F$1:$ABM$500,P$2,0),Техника!$F$4:$ABM$4,"Часы",INDEX(Техника!$G$1:$ABN$500,P$2,0),$A$1537,INDEX(Техника!$H$1:$ABO$500,P$2,0),"П")</f>
        <v>0</v>
      </c>
      <c r="Q1540" s="50">
        <f>SUMIFS(INDEX(Техника!$F$1:$ABM$500,Q$2,0),Техника!$F$4:$ABM$4,"Часы",INDEX(Техника!$G$1:$ABN$500,Q$2,0),$A$1537,INDEX(Техника!$H$1:$ABO$500,Q$2,0),"П")</f>
        <v>0</v>
      </c>
      <c r="R1540" s="50">
        <f>SUMIFS(INDEX(Техника!$F$1:$ABM$500,R$2,0),Техника!$F$4:$ABM$4,"Часы",INDEX(Техника!$G$1:$ABN$500,R$2,0),$A$1537,INDEX(Техника!$H$1:$ABO$500,R$2,0),"П")</f>
        <v>0</v>
      </c>
      <c r="S1540" s="50">
        <f>SUMIFS(INDEX(Техника!$F$1:$ABM$500,S$2,0),Техника!$F$4:$ABM$4,"Часы",INDEX(Техника!$G$1:$ABN$500,S$2,0),$A$1537,INDEX(Техника!$H$1:$ABO$500,S$2,0),"П")</f>
        <v>0</v>
      </c>
      <c r="T1540" s="50">
        <f>SUMIFS(INDEX(Техника!$F$1:$ABM$500,T$2,0),Техника!$F$4:$ABM$4,"Часы",INDEX(Техника!$G$1:$ABN$500,T$2,0),$A$1537,INDEX(Техника!$H$1:$ABO$500,T$2,0),"П")</f>
        <v>0</v>
      </c>
      <c r="U1540" s="50">
        <f>SUMIFS(INDEX(Техника!$F$1:$ABM$500,U$2,0),Техника!$F$4:$ABM$4,"Часы",INDEX(Техника!$G$1:$ABN$500,U$2,0),$A$1537,INDEX(Техника!$H$1:$ABO$500,U$2,0),"П")</f>
        <v>0</v>
      </c>
      <c r="V1540" s="50">
        <f>SUMIFS(INDEX(Техника!$F$1:$ABM$500,V$2,0),Техника!$F$4:$ABM$4,"Часы",INDEX(Техника!$G$1:$ABN$500,V$2,0),$A$1537,INDEX(Техника!$H$1:$ABO$500,V$2,0),"П")</f>
        <v>0</v>
      </c>
      <c r="W1540" s="50">
        <f>SUMIFS(INDEX(Техника!$F$1:$ABM$500,W$2,0),Техника!$F$4:$ABM$4,"Часы",INDEX(Техника!$G$1:$ABN$500,W$2,0),$A$1537,INDEX(Техника!$H$1:$ABO$500,W$2,0),"П")</f>
        <v>0</v>
      </c>
      <c r="X1540" s="50">
        <f>SUMIFS(INDEX(Техника!$F$1:$ABM$500,X$2,0),Техника!$F$4:$ABM$4,"Часы",INDEX(Техника!$G$1:$ABN$500,X$2,0),$A$1537,INDEX(Техника!$H$1:$ABO$500,X$2,0),"П")</f>
        <v>0</v>
      </c>
      <c r="Y1540" s="50">
        <f>SUMIFS(INDEX(Техника!$F$1:$ABM$500,Y$2,0),Техника!$F$4:$ABM$4,"Часы",INDEX(Техника!$G$1:$ABN$500,Y$2,0),$A$1537,INDEX(Техника!$H$1:$ABO$500,Y$2,0),"П")</f>
        <v>0</v>
      </c>
      <c r="Z1540" s="50">
        <f>SUMIFS(INDEX(Техника!$F$1:$ABM$500,Z$2,0),Техника!$F$4:$ABM$4,"Часы",INDEX(Техника!$G$1:$ABN$500,Z$2,0),$A$1537,INDEX(Техника!$H$1:$ABO$500,Z$2,0),"П")</f>
        <v>0</v>
      </c>
      <c r="AA1540" s="50">
        <f>SUMIFS(INDEX(Техника!$F$1:$ABM$500,AA$2,0),Техника!$F$4:$ABM$4,"Часы",INDEX(Техника!$G$1:$ABN$500,AA$2,0),$A$1537,INDEX(Техника!$H$1:$ABO$500,AA$2,0),"П")</f>
        <v>0</v>
      </c>
      <c r="AB1540" s="50">
        <f>SUMIFS(INDEX(Техника!$F$1:$ABM$500,AB$2,0),Техника!$F$4:$ABM$4,"Часы",INDEX(Техника!$G$1:$ABN$500,AB$2,0),$A$1537,INDEX(Техника!$H$1:$ABO$500,AB$2,0),"П")</f>
        <v>0</v>
      </c>
    </row>
    <row r="1541" spans="1:28" hidden="1" outlineLevel="1" x14ac:dyDescent="0.3">
      <c r="A1541" s="33" t="s">
        <v>243</v>
      </c>
      <c r="B1541" s="34" t="s">
        <v>278</v>
      </c>
      <c r="C1541" s="50">
        <f>SUMIFS(INDEX(Техника!$F$1:$ABM$500,C$2,0),Техника!$F$4:$ABM$4,"Часы",INDEX(Техника!$G$1:$ABN$500,C$2,0),$A$1537,INDEX(Техника!$H$1:$ABO$500,C$2,0),"Л")</f>
        <v>0</v>
      </c>
      <c r="D1541" s="50">
        <f>SUMIFS(INDEX(Техника!$F$1:$ABM$500,D$2,0),Техника!$F$4:$ABM$4,"Часы",INDEX(Техника!$G$1:$ABN$500,D$2,0),$A$1537,INDEX(Техника!$H$1:$ABO$500,D$2,0),"Л")</f>
        <v>0</v>
      </c>
      <c r="E1541" s="50">
        <f>SUMIFS(INDEX(Техника!$F$1:$ABM$500,E$2,0),Техника!$F$4:$ABM$4,"Часы",INDEX(Техника!$G$1:$ABN$500,E$2,0),$A$1537,INDEX(Техника!$H$1:$ABO$500,E$2,0),"Л")</f>
        <v>0</v>
      </c>
      <c r="F1541" s="50">
        <f>SUMIFS(INDEX(Техника!$F$1:$ABM$500,F$2,0),Техника!$F$4:$ABM$4,"Часы",INDEX(Техника!$G$1:$ABN$500,F$2,0),$A$1537,INDEX(Техника!$H$1:$ABO$500,F$2,0),"Л")</f>
        <v>0</v>
      </c>
      <c r="G1541" s="50">
        <f>SUMIFS(INDEX(Техника!$F$1:$ABM$500,G$2,0),Техника!$F$4:$ABM$4,"Часы",INDEX(Техника!$G$1:$ABN$500,G$2,0),$A$1537,INDEX(Техника!$H$1:$ABO$500,G$2,0),"Л")</f>
        <v>0</v>
      </c>
      <c r="H1541" s="50">
        <f>SUMIFS(INDEX(Техника!$F$1:$ABM$500,H$2,0),Техника!$F$4:$ABM$4,"Часы",INDEX(Техника!$G$1:$ABN$500,H$2,0),$A$1537,INDEX(Техника!$H$1:$ABO$500,H$2,0),"Л")</f>
        <v>0</v>
      </c>
      <c r="I1541" s="50">
        <f>SUMIFS(INDEX(Техника!$F$1:$ABM$500,I$2,0),Техника!$F$4:$ABM$4,"Часы",INDEX(Техника!$G$1:$ABN$500,I$2,0),$A$1537,INDEX(Техника!$H$1:$ABO$500,I$2,0),"Л")</f>
        <v>0</v>
      </c>
      <c r="J1541" s="50">
        <f>SUMIFS(INDEX(Техника!$F$1:$ABM$500,J$2,0),Техника!$F$4:$ABM$4,"Часы",INDEX(Техника!$G$1:$ABN$500,J$2,0),$A$1537,INDEX(Техника!$H$1:$ABO$500,J$2,0),"Л")</f>
        <v>0</v>
      </c>
      <c r="K1541" s="50">
        <f>SUMIFS(INDEX(Техника!$F$1:$ABM$500,K$2,0),Техника!$F$4:$ABM$4,"Часы",INDEX(Техника!$G$1:$ABN$500,K$2,0),$A$1537,INDEX(Техника!$H$1:$ABO$500,K$2,0),"Л")</f>
        <v>0</v>
      </c>
      <c r="L1541" s="50">
        <f>SUMIFS(INDEX(Техника!$F$1:$ABM$500,L$2,0),Техника!$F$4:$ABM$4,"Часы",INDEX(Техника!$G$1:$ABN$500,L$2,0),$A$1537,INDEX(Техника!$H$1:$ABO$500,L$2,0),"Л")</f>
        <v>0</v>
      </c>
      <c r="M1541" s="50">
        <f>SUMIFS(INDEX(Техника!$F$1:$ABM$500,M$2,0),Техника!$F$4:$ABM$4,"Часы",INDEX(Техника!$G$1:$ABN$500,M$2,0),$A$1537,INDEX(Техника!$H$1:$ABO$500,M$2,0),"Л")</f>
        <v>0</v>
      </c>
      <c r="N1541" s="50">
        <f>SUMIFS(INDEX(Техника!$F$1:$ABM$500,N$2,0),Техника!$F$4:$ABM$4,"Часы",INDEX(Техника!$G$1:$ABN$500,N$2,0),$A$1537,INDEX(Техника!$H$1:$ABO$500,N$2,0),"Л")</f>
        <v>0</v>
      </c>
      <c r="O1541" s="50">
        <f>SUMIFS(INDEX(Техника!$F$1:$ABM$500,O$2,0),Техника!$F$4:$ABM$4,"Часы",INDEX(Техника!$G$1:$ABN$500,O$2,0),$A$1537,INDEX(Техника!$H$1:$ABO$500,O$2,0),"Л")</f>
        <v>0</v>
      </c>
      <c r="P1541" s="50">
        <f>SUMIFS(INDEX(Техника!$F$1:$ABM$500,P$2,0),Техника!$F$4:$ABM$4,"Часы",INDEX(Техника!$G$1:$ABN$500,P$2,0),$A$1537,INDEX(Техника!$H$1:$ABO$500,P$2,0),"Л")</f>
        <v>0</v>
      </c>
      <c r="Q1541" s="50">
        <f>SUMIFS(INDEX(Техника!$F$1:$ABM$500,Q$2,0),Техника!$F$4:$ABM$4,"Часы",INDEX(Техника!$G$1:$ABN$500,Q$2,0),$A$1537,INDEX(Техника!$H$1:$ABO$500,Q$2,0),"Л")</f>
        <v>0</v>
      </c>
      <c r="R1541" s="50">
        <f>SUMIFS(INDEX(Техника!$F$1:$ABM$500,R$2,0),Техника!$F$4:$ABM$4,"Часы",INDEX(Техника!$G$1:$ABN$500,R$2,0),$A$1537,INDEX(Техника!$H$1:$ABO$500,R$2,0),"Л")</f>
        <v>0</v>
      </c>
      <c r="S1541" s="50">
        <f>SUMIFS(INDEX(Техника!$F$1:$ABM$500,S$2,0),Техника!$F$4:$ABM$4,"Часы",INDEX(Техника!$G$1:$ABN$500,S$2,0),$A$1537,INDEX(Техника!$H$1:$ABO$500,S$2,0),"Л")</f>
        <v>0</v>
      </c>
      <c r="T1541" s="50">
        <f>SUMIFS(INDEX(Техника!$F$1:$ABM$500,T$2,0),Техника!$F$4:$ABM$4,"Часы",INDEX(Техника!$G$1:$ABN$500,T$2,0),$A$1537,INDEX(Техника!$H$1:$ABO$500,T$2,0),"Л")</f>
        <v>0</v>
      </c>
      <c r="U1541" s="50">
        <f>SUMIFS(INDEX(Техника!$F$1:$ABM$500,U$2,0),Техника!$F$4:$ABM$4,"Часы",INDEX(Техника!$G$1:$ABN$500,U$2,0),$A$1537,INDEX(Техника!$H$1:$ABO$500,U$2,0),"Л")</f>
        <v>0</v>
      </c>
      <c r="V1541" s="50">
        <f>SUMIFS(INDEX(Техника!$F$1:$ABM$500,V$2,0),Техника!$F$4:$ABM$4,"Часы",INDEX(Техника!$G$1:$ABN$500,V$2,0),$A$1537,INDEX(Техника!$H$1:$ABO$500,V$2,0),"Л")</f>
        <v>0</v>
      </c>
      <c r="W1541" s="50">
        <f>SUMIFS(INDEX(Техника!$F$1:$ABM$500,W$2,0),Техника!$F$4:$ABM$4,"Часы",INDEX(Техника!$G$1:$ABN$500,W$2,0),$A$1537,INDEX(Техника!$H$1:$ABO$500,W$2,0),"Л")</f>
        <v>0</v>
      </c>
      <c r="X1541" s="50">
        <f>SUMIFS(INDEX(Техника!$F$1:$ABM$500,X$2,0),Техника!$F$4:$ABM$4,"Часы",INDEX(Техника!$G$1:$ABN$500,X$2,0),$A$1537,INDEX(Техника!$H$1:$ABO$500,X$2,0),"Л")</f>
        <v>0</v>
      </c>
      <c r="Y1541" s="50">
        <f>SUMIFS(INDEX(Техника!$F$1:$ABM$500,Y$2,0),Техника!$F$4:$ABM$4,"Часы",INDEX(Техника!$G$1:$ABN$500,Y$2,0),$A$1537,INDEX(Техника!$H$1:$ABO$500,Y$2,0),"Л")</f>
        <v>0</v>
      </c>
      <c r="Z1541" s="50">
        <f>SUMIFS(INDEX(Техника!$F$1:$ABM$500,Z$2,0),Техника!$F$4:$ABM$4,"Часы",INDEX(Техника!$G$1:$ABN$500,Z$2,0),$A$1537,INDEX(Техника!$H$1:$ABO$500,Z$2,0),"Л")</f>
        <v>0</v>
      </c>
      <c r="AA1541" s="50">
        <f>SUMIFS(INDEX(Техника!$F$1:$ABM$500,AA$2,0),Техника!$F$4:$ABM$4,"Часы",INDEX(Техника!$G$1:$ABN$500,AA$2,0),$A$1537,INDEX(Техника!$H$1:$ABO$500,AA$2,0),"Л")</f>
        <v>0</v>
      </c>
      <c r="AB1541" s="50">
        <f>SUMIFS(INDEX(Техника!$F$1:$ABM$500,AB$2,0),Техника!$F$4:$ABM$4,"Часы",INDEX(Техника!$G$1:$ABN$500,AB$2,0),$A$1537,INDEX(Техника!$H$1:$ABO$500,AB$2,0),"Л")</f>
        <v>0</v>
      </c>
    </row>
    <row r="1542" spans="1:28" hidden="1" outlineLevel="1" x14ac:dyDescent="0.3">
      <c r="A1542" s="33" t="s">
        <v>245</v>
      </c>
      <c r="B1542" s="34" t="s">
        <v>279</v>
      </c>
      <c r="C1542" s="50">
        <f>SUMIFS(INDEX(Техника!$F$1:$ABM$500,C$2,0),Техника!$F$4:$ABM$4,"Часы",INDEX(Техника!$G$1:$ABN$500,C$2,0),$A$1537,INDEX(Техника!$H$1:$ABO$500,C$2,0),"З")</f>
        <v>0</v>
      </c>
      <c r="D1542" s="50">
        <f>SUMIFS(INDEX(Техника!$F$1:$ABM$500,D$2,0),Техника!$F$4:$ABM$4,"Часы",INDEX(Техника!$G$1:$ABN$500,D$2,0),$A$1537,INDEX(Техника!$H$1:$ABO$500,D$2,0),"З")</f>
        <v>0</v>
      </c>
      <c r="E1542" s="50">
        <f>SUMIFS(INDEX(Техника!$F$1:$ABM$500,E$2,0),Техника!$F$4:$ABM$4,"Часы",INDEX(Техника!$G$1:$ABN$500,E$2,0),$A$1537,INDEX(Техника!$H$1:$ABO$500,E$2,0),"З")</f>
        <v>0</v>
      </c>
      <c r="F1542" s="50">
        <f>SUMIFS(INDEX(Техника!$F$1:$ABM$500,F$2,0),Техника!$F$4:$ABM$4,"Часы",INDEX(Техника!$G$1:$ABN$500,F$2,0),$A$1537,INDEX(Техника!$H$1:$ABO$500,F$2,0),"З")</f>
        <v>0</v>
      </c>
      <c r="G1542" s="50">
        <f>SUMIFS(INDEX(Техника!$F$1:$ABM$500,G$2,0),Техника!$F$4:$ABM$4,"Часы",INDEX(Техника!$G$1:$ABN$500,G$2,0),$A$1537,INDEX(Техника!$H$1:$ABO$500,G$2,0),"З")</f>
        <v>0</v>
      </c>
      <c r="H1542" s="50">
        <f>SUMIFS(INDEX(Техника!$F$1:$ABM$500,H$2,0),Техника!$F$4:$ABM$4,"Часы",INDEX(Техника!$G$1:$ABN$500,H$2,0),$A$1537,INDEX(Техника!$H$1:$ABO$500,H$2,0),"З")</f>
        <v>0</v>
      </c>
      <c r="I1542" s="50">
        <f>SUMIFS(INDEX(Техника!$F$1:$ABM$500,I$2,0),Техника!$F$4:$ABM$4,"Часы",INDEX(Техника!$G$1:$ABN$500,I$2,0),$A$1537,INDEX(Техника!$H$1:$ABO$500,I$2,0),"З")</f>
        <v>0</v>
      </c>
      <c r="J1542" s="50">
        <f>SUMIFS(INDEX(Техника!$F$1:$ABM$500,J$2,0),Техника!$F$4:$ABM$4,"Часы",INDEX(Техника!$G$1:$ABN$500,J$2,0),$A$1537,INDEX(Техника!$H$1:$ABO$500,J$2,0),"З")</f>
        <v>0</v>
      </c>
      <c r="K1542" s="50">
        <f>SUMIFS(INDEX(Техника!$F$1:$ABM$500,K$2,0),Техника!$F$4:$ABM$4,"Часы",INDEX(Техника!$G$1:$ABN$500,K$2,0),$A$1537,INDEX(Техника!$H$1:$ABO$500,K$2,0),"З")</f>
        <v>0</v>
      </c>
      <c r="L1542" s="50">
        <f>SUMIFS(INDEX(Техника!$F$1:$ABM$500,L$2,0),Техника!$F$4:$ABM$4,"Часы",INDEX(Техника!$G$1:$ABN$500,L$2,0),$A$1537,INDEX(Техника!$H$1:$ABO$500,L$2,0),"З")</f>
        <v>0</v>
      </c>
      <c r="M1542" s="50">
        <f>SUMIFS(INDEX(Техника!$F$1:$ABM$500,M$2,0),Техника!$F$4:$ABM$4,"Часы",INDEX(Техника!$G$1:$ABN$500,M$2,0),$A$1537,INDEX(Техника!$H$1:$ABO$500,M$2,0),"З")</f>
        <v>0</v>
      </c>
      <c r="N1542" s="50">
        <f>SUMIFS(INDEX(Техника!$F$1:$ABM$500,N$2,0),Техника!$F$4:$ABM$4,"Часы",INDEX(Техника!$G$1:$ABN$500,N$2,0),$A$1537,INDEX(Техника!$H$1:$ABO$500,N$2,0),"З")</f>
        <v>0</v>
      </c>
      <c r="O1542" s="50">
        <f>SUMIFS(INDEX(Техника!$F$1:$ABM$500,O$2,0),Техника!$F$4:$ABM$4,"Часы",INDEX(Техника!$G$1:$ABN$500,O$2,0),$A$1537,INDEX(Техника!$H$1:$ABO$500,O$2,0),"З")</f>
        <v>0</v>
      </c>
      <c r="P1542" s="50">
        <f>SUMIFS(INDEX(Техника!$F$1:$ABM$500,P$2,0),Техника!$F$4:$ABM$4,"Часы",INDEX(Техника!$G$1:$ABN$500,P$2,0),$A$1537,INDEX(Техника!$H$1:$ABO$500,P$2,0),"З")</f>
        <v>0</v>
      </c>
      <c r="Q1542" s="50">
        <f>SUMIFS(INDEX(Техника!$F$1:$ABM$500,Q$2,0),Техника!$F$4:$ABM$4,"Часы",INDEX(Техника!$G$1:$ABN$500,Q$2,0),$A$1537,INDEX(Техника!$H$1:$ABO$500,Q$2,0),"З")</f>
        <v>0</v>
      </c>
      <c r="R1542" s="50">
        <f>SUMIFS(INDEX(Техника!$F$1:$ABM$500,R$2,0),Техника!$F$4:$ABM$4,"Часы",INDEX(Техника!$G$1:$ABN$500,R$2,0),$A$1537,INDEX(Техника!$H$1:$ABO$500,R$2,0),"З")</f>
        <v>0</v>
      </c>
      <c r="S1542" s="50">
        <f>SUMIFS(INDEX(Техника!$F$1:$ABM$500,S$2,0),Техника!$F$4:$ABM$4,"Часы",INDEX(Техника!$G$1:$ABN$500,S$2,0),$A$1537,INDEX(Техника!$H$1:$ABO$500,S$2,0),"З")</f>
        <v>0</v>
      </c>
      <c r="T1542" s="50">
        <f>SUMIFS(INDEX(Техника!$F$1:$ABM$500,T$2,0),Техника!$F$4:$ABM$4,"Часы",INDEX(Техника!$G$1:$ABN$500,T$2,0),$A$1537,INDEX(Техника!$H$1:$ABO$500,T$2,0),"З")</f>
        <v>0</v>
      </c>
      <c r="U1542" s="50">
        <f>SUMIFS(INDEX(Техника!$F$1:$ABM$500,U$2,0),Техника!$F$4:$ABM$4,"Часы",INDEX(Техника!$G$1:$ABN$500,U$2,0),$A$1537,INDEX(Техника!$H$1:$ABO$500,U$2,0),"З")</f>
        <v>0</v>
      </c>
      <c r="V1542" s="50">
        <f>SUMIFS(INDEX(Техника!$F$1:$ABM$500,V$2,0),Техника!$F$4:$ABM$4,"Часы",INDEX(Техника!$G$1:$ABN$500,V$2,0),$A$1537,INDEX(Техника!$H$1:$ABO$500,V$2,0),"З")</f>
        <v>0</v>
      </c>
      <c r="W1542" s="50">
        <f>SUMIFS(INDEX(Техника!$F$1:$ABM$500,W$2,0),Техника!$F$4:$ABM$4,"Часы",INDEX(Техника!$G$1:$ABN$500,W$2,0),$A$1537,INDEX(Техника!$H$1:$ABO$500,W$2,0),"З")</f>
        <v>0</v>
      </c>
      <c r="X1542" s="50">
        <f>SUMIFS(INDEX(Техника!$F$1:$ABM$500,X$2,0),Техника!$F$4:$ABM$4,"Часы",INDEX(Техника!$G$1:$ABN$500,X$2,0),$A$1537,INDEX(Техника!$H$1:$ABO$500,X$2,0),"З")</f>
        <v>0</v>
      </c>
      <c r="Y1542" s="50">
        <f>SUMIFS(INDEX(Техника!$F$1:$ABM$500,Y$2,0),Техника!$F$4:$ABM$4,"Часы",INDEX(Техника!$G$1:$ABN$500,Y$2,0),$A$1537,INDEX(Техника!$H$1:$ABO$500,Y$2,0),"З")</f>
        <v>0</v>
      </c>
      <c r="Z1542" s="50">
        <f>SUMIFS(INDEX(Техника!$F$1:$ABM$500,Z$2,0),Техника!$F$4:$ABM$4,"Часы",INDEX(Техника!$G$1:$ABN$500,Z$2,0),$A$1537,INDEX(Техника!$H$1:$ABO$500,Z$2,0),"З")</f>
        <v>0</v>
      </c>
      <c r="AA1542" s="50">
        <f>SUMIFS(INDEX(Техника!$F$1:$ABM$500,AA$2,0),Техника!$F$4:$ABM$4,"Часы",INDEX(Техника!$G$1:$ABN$500,AA$2,0),$A$1537,INDEX(Техника!$H$1:$ABO$500,AA$2,0),"З")</f>
        <v>0</v>
      </c>
      <c r="AB1542" s="50">
        <f>SUMIFS(INDEX(Техника!$F$1:$ABM$500,AB$2,0),Техника!$F$4:$ABM$4,"Часы",INDEX(Техника!$G$1:$ABN$500,AB$2,0),$A$1537,INDEX(Техника!$H$1:$ABO$500,AB$2,0),"З")</f>
        <v>0</v>
      </c>
    </row>
    <row r="1543" spans="1:28" ht="7.95" customHeight="1" x14ac:dyDescent="0.3">
      <c r="A1543" s="38"/>
      <c r="B1543" s="39"/>
      <c r="C1543" s="51"/>
      <c r="D1543" s="51"/>
      <c r="E1543" s="51"/>
      <c r="F1543" s="51"/>
      <c r="G1543" s="51"/>
      <c r="H1543" s="51"/>
      <c r="I1543" s="51"/>
      <c r="J1543" s="51"/>
      <c r="K1543" s="51"/>
      <c r="L1543" s="51"/>
      <c r="M1543" s="51"/>
      <c r="N1543" s="51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</row>
    <row r="1544" spans="1:28" ht="25.05" customHeight="1" collapsed="1" x14ac:dyDescent="0.3">
      <c r="A1544" s="32">
        <v>221</v>
      </c>
      <c r="B1544" s="32" t="s">
        <v>222</v>
      </c>
      <c r="C1544" s="49">
        <f>SUM(C1545:C1549)</f>
        <v>0</v>
      </c>
      <c r="D1544" s="49">
        <f>SUM(D1545:D1549)</f>
        <v>0</v>
      </c>
      <c r="E1544" s="49">
        <f>SUM(E1545:E1549)</f>
        <v>0</v>
      </c>
      <c r="F1544" s="49">
        <f>SUM(F1545:F1549)</f>
        <v>0</v>
      </c>
      <c r="G1544" s="49">
        <f>SUM(G1545:G1549)</f>
        <v>0</v>
      </c>
      <c r="H1544" s="49">
        <f>SUM(H1545:H1549)</f>
        <v>0</v>
      </c>
      <c r="I1544" s="49">
        <f>SUM(I1545:I1549)</f>
        <v>0</v>
      </c>
      <c r="J1544" s="49">
        <f>SUM(J1545:J1549)</f>
        <v>0</v>
      </c>
      <c r="K1544" s="49">
        <f>SUM(K1545:K1549)</f>
        <v>0</v>
      </c>
      <c r="L1544" s="49">
        <f>SUM(L1545:L1549)</f>
        <v>0</v>
      </c>
      <c r="M1544" s="49">
        <f>SUM(M1545:M1549)</f>
        <v>0</v>
      </c>
      <c r="N1544" s="49">
        <f>SUM(N1545:N1549)</f>
        <v>0</v>
      </c>
      <c r="O1544" s="49">
        <f>SUM(O1545:O1549)</f>
        <v>0</v>
      </c>
      <c r="P1544" s="49">
        <f>SUM(P1545:P1549)</f>
        <v>0</v>
      </c>
      <c r="Q1544" s="49">
        <f>SUM(Q1545:Q1549)</f>
        <v>0</v>
      </c>
      <c r="R1544" s="49">
        <f>SUM(R1545:R1549)</f>
        <v>0</v>
      </c>
      <c r="S1544" s="49">
        <f>SUM(S1545:S1549)</f>
        <v>0</v>
      </c>
      <c r="T1544" s="49">
        <f>SUM(T1545:T1549)</f>
        <v>0</v>
      </c>
      <c r="U1544" s="49">
        <f>SUM(U1545:U1549)</f>
        <v>0</v>
      </c>
      <c r="V1544" s="49">
        <f>SUM(V1545:V1549)</f>
        <v>0</v>
      </c>
      <c r="W1544" s="49">
        <f>SUM(W1545:W1549)</f>
        <v>0</v>
      </c>
      <c r="X1544" s="49">
        <f>SUM(X1545:X1549)</f>
        <v>0</v>
      </c>
      <c r="Y1544" s="49">
        <f>SUM(Y1545:Y1549)</f>
        <v>0</v>
      </c>
      <c r="Z1544" s="49">
        <f>SUM(Z1545:Z1549)</f>
        <v>0</v>
      </c>
      <c r="AA1544" s="49">
        <f>SUM(AA1545:AA1549)</f>
        <v>0</v>
      </c>
      <c r="AB1544" s="49">
        <f>SUM(AB1545:AB1549)</f>
        <v>0</v>
      </c>
    </row>
    <row r="1545" spans="1:28" hidden="1" outlineLevel="1" x14ac:dyDescent="0.3">
      <c r="A1545" s="33" t="s">
        <v>246</v>
      </c>
      <c r="B1545" s="34" t="s">
        <v>274</v>
      </c>
      <c r="C1545" s="50">
        <f>SUMIFS(INDEX(Техника!$F$1:$ABM$500,C$2,0),Техника!$F$4:$ABM$4,"Часы",INDEX(Техника!$G$1:$ABN$500,C$2,0),$A$1544,INDEX(Техника!$H$1:$ABO$500,C$2,0),"М")</f>
        <v>0</v>
      </c>
      <c r="D1545" s="50">
        <f>SUMIFS(INDEX(Техника!$F$1:$ABM$500,D$2,0),Техника!$F$4:$ABM$4,"Часы",INDEX(Техника!$G$1:$ABN$500,D$2,0),$A$1544,INDEX(Техника!$H$1:$ABO$500,D$2,0),"М")</f>
        <v>0</v>
      </c>
      <c r="E1545" s="50">
        <f>SUMIFS(INDEX(Техника!$F$1:$ABM$500,E$2,0),Техника!$F$4:$ABM$4,"Часы",INDEX(Техника!$G$1:$ABN$500,E$2,0),$A$1544,INDEX(Техника!$H$1:$ABO$500,E$2,0),"М")</f>
        <v>0</v>
      </c>
      <c r="F1545" s="50">
        <f>SUMIFS(INDEX(Техника!$F$1:$ABM$500,F$2,0),Техника!$F$4:$ABM$4,"Часы",INDEX(Техника!$G$1:$ABN$500,F$2,0),$A$1544,INDEX(Техника!$H$1:$ABO$500,F$2,0),"М")</f>
        <v>0</v>
      </c>
      <c r="G1545" s="50">
        <f>SUMIFS(INDEX(Техника!$F$1:$ABM$500,G$2,0),Техника!$F$4:$ABM$4,"Часы",INDEX(Техника!$G$1:$ABN$500,G$2,0),$A$1544,INDEX(Техника!$H$1:$ABO$500,G$2,0),"М")</f>
        <v>0</v>
      </c>
      <c r="H1545" s="50">
        <f>SUMIFS(INDEX(Техника!$F$1:$ABM$500,H$2,0),Техника!$F$4:$ABM$4,"Часы",INDEX(Техника!$G$1:$ABN$500,H$2,0),$A$1544,INDEX(Техника!$H$1:$ABO$500,H$2,0),"М")</f>
        <v>0</v>
      </c>
      <c r="I1545" s="50">
        <f>SUMIFS(INDEX(Техника!$F$1:$ABM$500,I$2,0),Техника!$F$4:$ABM$4,"Часы",INDEX(Техника!$G$1:$ABN$500,I$2,0),$A$1544,INDEX(Техника!$H$1:$ABO$500,I$2,0),"М")</f>
        <v>0</v>
      </c>
      <c r="J1545" s="50">
        <f>SUMIFS(INDEX(Техника!$F$1:$ABM$500,J$2,0),Техника!$F$4:$ABM$4,"Часы",INDEX(Техника!$G$1:$ABN$500,J$2,0),$A$1544,INDEX(Техника!$H$1:$ABO$500,J$2,0),"М")</f>
        <v>0</v>
      </c>
      <c r="K1545" s="50">
        <f>SUMIFS(INDEX(Техника!$F$1:$ABM$500,K$2,0),Техника!$F$4:$ABM$4,"Часы",INDEX(Техника!$G$1:$ABN$500,K$2,0),$A$1544,INDEX(Техника!$H$1:$ABO$500,K$2,0),"М")</f>
        <v>0</v>
      </c>
      <c r="L1545" s="50">
        <f>SUMIFS(INDEX(Техника!$F$1:$ABM$500,L$2,0),Техника!$F$4:$ABM$4,"Часы",INDEX(Техника!$G$1:$ABN$500,L$2,0),$A$1544,INDEX(Техника!$H$1:$ABO$500,L$2,0),"М")</f>
        <v>0</v>
      </c>
      <c r="M1545" s="50">
        <f>SUMIFS(INDEX(Техника!$F$1:$ABM$500,M$2,0),Техника!$F$4:$ABM$4,"Часы",INDEX(Техника!$G$1:$ABN$500,M$2,0),$A$1544,INDEX(Техника!$H$1:$ABO$500,M$2,0),"М")</f>
        <v>0</v>
      </c>
      <c r="N1545" s="50">
        <f>SUMIFS(INDEX(Техника!$F$1:$ABM$500,N$2,0),Техника!$F$4:$ABM$4,"Часы",INDEX(Техника!$G$1:$ABN$500,N$2,0),$A$1544,INDEX(Техника!$H$1:$ABO$500,N$2,0),"М")</f>
        <v>0</v>
      </c>
      <c r="O1545" s="50">
        <f>SUMIFS(INDEX(Техника!$F$1:$ABM$500,O$2,0),Техника!$F$4:$ABM$4,"Часы",INDEX(Техника!$G$1:$ABN$500,O$2,0),$A$1544,INDEX(Техника!$H$1:$ABO$500,O$2,0),"М")</f>
        <v>0</v>
      </c>
      <c r="P1545" s="50">
        <f>SUMIFS(INDEX(Техника!$F$1:$ABM$500,P$2,0),Техника!$F$4:$ABM$4,"Часы",INDEX(Техника!$G$1:$ABN$500,P$2,0),$A$1544,INDEX(Техника!$H$1:$ABO$500,P$2,0),"М")</f>
        <v>0</v>
      </c>
      <c r="Q1545" s="50">
        <f>SUMIFS(INDEX(Техника!$F$1:$ABM$500,Q$2,0),Техника!$F$4:$ABM$4,"Часы",INDEX(Техника!$G$1:$ABN$500,Q$2,0),$A$1544,INDEX(Техника!$H$1:$ABO$500,Q$2,0),"М")</f>
        <v>0</v>
      </c>
      <c r="R1545" s="50">
        <f>SUMIFS(INDEX(Техника!$F$1:$ABM$500,R$2,0),Техника!$F$4:$ABM$4,"Часы",INDEX(Техника!$G$1:$ABN$500,R$2,0),$A$1544,INDEX(Техника!$H$1:$ABO$500,R$2,0),"М")</f>
        <v>0</v>
      </c>
      <c r="S1545" s="50">
        <f>SUMIFS(INDEX(Техника!$F$1:$ABM$500,S$2,0),Техника!$F$4:$ABM$4,"Часы",INDEX(Техника!$G$1:$ABN$500,S$2,0),$A$1544,INDEX(Техника!$H$1:$ABO$500,S$2,0),"М")</f>
        <v>0</v>
      </c>
      <c r="T1545" s="50">
        <f>SUMIFS(INDEX(Техника!$F$1:$ABM$500,T$2,0),Техника!$F$4:$ABM$4,"Часы",INDEX(Техника!$G$1:$ABN$500,T$2,0),$A$1544,INDEX(Техника!$H$1:$ABO$500,T$2,0),"М")</f>
        <v>0</v>
      </c>
      <c r="U1545" s="50">
        <f>SUMIFS(INDEX(Техника!$F$1:$ABM$500,U$2,0),Техника!$F$4:$ABM$4,"Часы",INDEX(Техника!$G$1:$ABN$500,U$2,0),$A$1544,INDEX(Техника!$H$1:$ABO$500,U$2,0),"М")</f>
        <v>0</v>
      </c>
      <c r="V1545" s="50">
        <f>SUMIFS(INDEX(Техника!$F$1:$ABM$500,V$2,0),Техника!$F$4:$ABM$4,"Часы",INDEX(Техника!$G$1:$ABN$500,V$2,0),$A$1544,INDEX(Техника!$H$1:$ABO$500,V$2,0),"М")</f>
        <v>0</v>
      </c>
      <c r="W1545" s="50">
        <f>SUMIFS(INDEX(Техника!$F$1:$ABM$500,W$2,0),Техника!$F$4:$ABM$4,"Часы",INDEX(Техника!$G$1:$ABN$500,W$2,0),$A$1544,INDEX(Техника!$H$1:$ABO$500,W$2,0),"М")</f>
        <v>0</v>
      </c>
      <c r="X1545" s="50">
        <f>SUMIFS(INDEX(Техника!$F$1:$ABM$500,X$2,0),Техника!$F$4:$ABM$4,"Часы",INDEX(Техника!$G$1:$ABN$500,X$2,0),$A$1544,INDEX(Техника!$H$1:$ABO$500,X$2,0),"М")</f>
        <v>0</v>
      </c>
      <c r="Y1545" s="50">
        <f>SUMIFS(INDEX(Техника!$F$1:$ABM$500,Y$2,0),Техника!$F$4:$ABM$4,"Часы",INDEX(Техника!$G$1:$ABN$500,Y$2,0),$A$1544,INDEX(Техника!$H$1:$ABO$500,Y$2,0),"М")</f>
        <v>0</v>
      </c>
      <c r="Z1545" s="50">
        <f>SUMIFS(INDEX(Техника!$F$1:$ABM$500,Z$2,0),Техника!$F$4:$ABM$4,"Часы",INDEX(Техника!$G$1:$ABN$500,Z$2,0),$A$1544,INDEX(Техника!$H$1:$ABO$500,Z$2,0),"М")</f>
        <v>0</v>
      </c>
      <c r="AA1545" s="50">
        <f>SUMIFS(INDEX(Техника!$F$1:$ABM$500,AA$2,0),Техника!$F$4:$ABM$4,"Часы",INDEX(Техника!$G$1:$ABN$500,AA$2,0),$A$1544,INDEX(Техника!$H$1:$ABO$500,AA$2,0),"М")</f>
        <v>0</v>
      </c>
      <c r="AB1545" s="50">
        <f>SUMIFS(INDEX(Техника!$F$1:$ABM$500,AB$2,0),Техника!$F$4:$ABM$4,"Часы",INDEX(Техника!$G$1:$ABN$500,AB$2,0),$A$1544,INDEX(Техника!$H$1:$ABO$500,AB$2,0),"М")</f>
        <v>0</v>
      </c>
    </row>
    <row r="1546" spans="1:28" hidden="1" outlineLevel="1" x14ac:dyDescent="0.3">
      <c r="A1546" s="33" t="s">
        <v>244</v>
      </c>
      <c r="B1546" s="34" t="s">
        <v>275</v>
      </c>
      <c r="C1546" s="50">
        <f>SUMIFS(INDEX(Техника!$F$1:$ABM$500,C$2,0),Техника!$F$4:$ABM$4,"Часы",INDEX(Техника!$G$1:$ABN$500,C$2,0),$A$1544,INDEX(Техника!$H$1:$ABO$500,C$2,0),"Д")</f>
        <v>0</v>
      </c>
      <c r="D1546" s="50">
        <f>SUMIFS(INDEX(Техника!$F$1:$ABM$500,D$2,0),Техника!$F$4:$ABM$4,"Часы",INDEX(Техника!$G$1:$ABN$500,D$2,0),$A$1544,INDEX(Техника!$H$1:$ABO$500,D$2,0),"Д")</f>
        <v>0</v>
      </c>
      <c r="E1546" s="50">
        <f>SUMIFS(INDEX(Техника!$F$1:$ABM$500,E$2,0),Техника!$F$4:$ABM$4,"Часы",INDEX(Техника!$G$1:$ABN$500,E$2,0),$A$1544,INDEX(Техника!$H$1:$ABO$500,E$2,0),"Д")</f>
        <v>0</v>
      </c>
      <c r="F1546" s="50">
        <f>SUMIFS(INDEX(Техника!$F$1:$ABM$500,F$2,0),Техника!$F$4:$ABM$4,"Часы",INDEX(Техника!$G$1:$ABN$500,F$2,0),$A$1544,INDEX(Техника!$H$1:$ABO$500,F$2,0),"Д")</f>
        <v>0</v>
      </c>
      <c r="G1546" s="50">
        <f>SUMIFS(INDEX(Техника!$F$1:$ABM$500,G$2,0),Техника!$F$4:$ABM$4,"Часы",INDEX(Техника!$G$1:$ABN$500,G$2,0),$A$1544,INDEX(Техника!$H$1:$ABO$500,G$2,0),"Д")</f>
        <v>0</v>
      </c>
      <c r="H1546" s="50">
        <f>SUMIFS(INDEX(Техника!$F$1:$ABM$500,H$2,0),Техника!$F$4:$ABM$4,"Часы",INDEX(Техника!$G$1:$ABN$500,H$2,0),$A$1544,INDEX(Техника!$H$1:$ABO$500,H$2,0),"Д")</f>
        <v>0</v>
      </c>
      <c r="I1546" s="50">
        <f>SUMIFS(INDEX(Техника!$F$1:$ABM$500,I$2,0),Техника!$F$4:$ABM$4,"Часы",INDEX(Техника!$G$1:$ABN$500,I$2,0),$A$1544,INDEX(Техника!$H$1:$ABO$500,I$2,0),"Д")</f>
        <v>0</v>
      </c>
      <c r="J1546" s="50">
        <f>SUMIFS(INDEX(Техника!$F$1:$ABM$500,J$2,0),Техника!$F$4:$ABM$4,"Часы",INDEX(Техника!$G$1:$ABN$500,J$2,0),$A$1544,INDEX(Техника!$H$1:$ABO$500,J$2,0),"Д")</f>
        <v>0</v>
      </c>
      <c r="K1546" s="50">
        <f>SUMIFS(INDEX(Техника!$F$1:$ABM$500,K$2,0),Техника!$F$4:$ABM$4,"Часы",INDEX(Техника!$G$1:$ABN$500,K$2,0),$A$1544,INDEX(Техника!$H$1:$ABO$500,K$2,0),"Д")</f>
        <v>0</v>
      </c>
      <c r="L1546" s="50">
        <f>SUMIFS(INDEX(Техника!$F$1:$ABM$500,L$2,0),Техника!$F$4:$ABM$4,"Часы",INDEX(Техника!$G$1:$ABN$500,L$2,0),$A$1544,INDEX(Техника!$H$1:$ABO$500,L$2,0),"Д")</f>
        <v>0</v>
      </c>
      <c r="M1546" s="50">
        <f>SUMIFS(INDEX(Техника!$F$1:$ABM$500,M$2,0),Техника!$F$4:$ABM$4,"Часы",INDEX(Техника!$G$1:$ABN$500,M$2,0),$A$1544,INDEX(Техника!$H$1:$ABO$500,M$2,0),"Д")</f>
        <v>0</v>
      </c>
      <c r="N1546" s="50">
        <f>SUMIFS(INDEX(Техника!$F$1:$ABM$500,N$2,0),Техника!$F$4:$ABM$4,"Часы",INDEX(Техника!$G$1:$ABN$500,N$2,0),$A$1544,INDEX(Техника!$H$1:$ABO$500,N$2,0),"Д")</f>
        <v>0</v>
      </c>
      <c r="O1546" s="50">
        <f>SUMIFS(INDEX(Техника!$F$1:$ABM$500,O$2,0),Техника!$F$4:$ABM$4,"Часы",INDEX(Техника!$G$1:$ABN$500,O$2,0),$A$1544,INDEX(Техника!$H$1:$ABO$500,O$2,0),"Д")</f>
        <v>0</v>
      </c>
      <c r="P1546" s="50">
        <f>SUMIFS(INDEX(Техника!$F$1:$ABM$500,P$2,0),Техника!$F$4:$ABM$4,"Часы",INDEX(Техника!$G$1:$ABN$500,P$2,0),$A$1544,INDEX(Техника!$H$1:$ABO$500,P$2,0),"Д")</f>
        <v>0</v>
      </c>
      <c r="Q1546" s="50">
        <f>SUMIFS(INDEX(Техника!$F$1:$ABM$500,Q$2,0),Техника!$F$4:$ABM$4,"Часы",INDEX(Техника!$G$1:$ABN$500,Q$2,0),$A$1544,INDEX(Техника!$H$1:$ABO$500,Q$2,0),"Д")</f>
        <v>0</v>
      </c>
      <c r="R1546" s="50">
        <f>SUMIFS(INDEX(Техника!$F$1:$ABM$500,R$2,0),Техника!$F$4:$ABM$4,"Часы",INDEX(Техника!$G$1:$ABN$500,R$2,0),$A$1544,INDEX(Техника!$H$1:$ABO$500,R$2,0),"Д")</f>
        <v>0</v>
      </c>
      <c r="S1546" s="50">
        <f>SUMIFS(INDEX(Техника!$F$1:$ABM$500,S$2,0),Техника!$F$4:$ABM$4,"Часы",INDEX(Техника!$G$1:$ABN$500,S$2,0),$A$1544,INDEX(Техника!$H$1:$ABO$500,S$2,0),"Д")</f>
        <v>0</v>
      </c>
      <c r="T1546" s="50">
        <f>SUMIFS(INDEX(Техника!$F$1:$ABM$500,T$2,0),Техника!$F$4:$ABM$4,"Часы",INDEX(Техника!$G$1:$ABN$500,T$2,0),$A$1544,INDEX(Техника!$H$1:$ABO$500,T$2,0),"Д")</f>
        <v>0</v>
      </c>
      <c r="U1546" s="50">
        <f>SUMIFS(INDEX(Техника!$F$1:$ABM$500,U$2,0),Техника!$F$4:$ABM$4,"Часы",INDEX(Техника!$G$1:$ABN$500,U$2,0),$A$1544,INDEX(Техника!$H$1:$ABO$500,U$2,0),"Д")</f>
        <v>0</v>
      </c>
      <c r="V1546" s="50">
        <f>SUMIFS(INDEX(Техника!$F$1:$ABM$500,V$2,0),Техника!$F$4:$ABM$4,"Часы",INDEX(Техника!$G$1:$ABN$500,V$2,0),$A$1544,INDEX(Техника!$H$1:$ABO$500,V$2,0),"Д")</f>
        <v>0</v>
      </c>
      <c r="W1546" s="50">
        <f>SUMIFS(INDEX(Техника!$F$1:$ABM$500,W$2,0),Техника!$F$4:$ABM$4,"Часы",INDEX(Техника!$G$1:$ABN$500,W$2,0),$A$1544,INDEX(Техника!$H$1:$ABO$500,W$2,0),"Д")</f>
        <v>0</v>
      </c>
      <c r="X1546" s="50">
        <f>SUMIFS(INDEX(Техника!$F$1:$ABM$500,X$2,0),Техника!$F$4:$ABM$4,"Часы",INDEX(Техника!$G$1:$ABN$500,X$2,0),$A$1544,INDEX(Техника!$H$1:$ABO$500,X$2,0),"Д")</f>
        <v>0</v>
      </c>
      <c r="Y1546" s="50">
        <f>SUMIFS(INDEX(Техника!$F$1:$ABM$500,Y$2,0),Техника!$F$4:$ABM$4,"Часы",INDEX(Техника!$G$1:$ABN$500,Y$2,0),$A$1544,INDEX(Техника!$H$1:$ABO$500,Y$2,0),"Д")</f>
        <v>0</v>
      </c>
      <c r="Z1546" s="50">
        <f>SUMIFS(INDEX(Техника!$F$1:$ABM$500,Z$2,0),Техника!$F$4:$ABM$4,"Часы",INDEX(Техника!$G$1:$ABN$500,Z$2,0),$A$1544,INDEX(Техника!$H$1:$ABO$500,Z$2,0),"Д")</f>
        <v>0</v>
      </c>
      <c r="AA1546" s="50">
        <f>SUMIFS(INDEX(Техника!$F$1:$ABM$500,AA$2,0),Техника!$F$4:$ABM$4,"Часы",INDEX(Техника!$G$1:$ABN$500,AA$2,0),$A$1544,INDEX(Техника!$H$1:$ABO$500,AA$2,0),"Д")</f>
        <v>0</v>
      </c>
      <c r="AB1546" s="50">
        <f>SUMIFS(INDEX(Техника!$F$1:$ABM$500,AB$2,0),Техника!$F$4:$ABM$4,"Часы",INDEX(Техника!$G$1:$ABN$500,AB$2,0),$A$1544,INDEX(Техника!$H$1:$ABO$500,AB$2,0),"Д")</f>
        <v>0</v>
      </c>
    </row>
    <row r="1547" spans="1:28" hidden="1" outlineLevel="1" x14ac:dyDescent="0.3">
      <c r="A1547" s="33" t="s">
        <v>276</v>
      </c>
      <c r="B1547" s="34" t="s">
        <v>277</v>
      </c>
      <c r="C1547" s="50">
        <f>SUMIFS(INDEX(Техника!$F$1:$ABM$500,C$2,0),Техника!$F$4:$ABM$4,"Часы",INDEX(Техника!$G$1:$ABN$500,C$2,0),$A$1544,INDEX(Техника!$H$1:$ABO$500,C$2,0),"П")</f>
        <v>0</v>
      </c>
      <c r="D1547" s="50">
        <f>SUMIFS(INDEX(Техника!$F$1:$ABM$500,D$2,0),Техника!$F$4:$ABM$4,"Часы",INDEX(Техника!$G$1:$ABN$500,D$2,0),$A$1544,INDEX(Техника!$H$1:$ABO$500,D$2,0),"П")</f>
        <v>0</v>
      </c>
      <c r="E1547" s="50">
        <f>SUMIFS(INDEX(Техника!$F$1:$ABM$500,E$2,0),Техника!$F$4:$ABM$4,"Часы",INDEX(Техника!$G$1:$ABN$500,E$2,0),$A$1544,INDEX(Техника!$H$1:$ABO$500,E$2,0),"П")</f>
        <v>0</v>
      </c>
      <c r="F1547" s="50">
        <f>SUMIFS(INDEX(Техника!$F$1:$ABM$500,F$2,0),Техника!$F$4:$ABM$4,"Часы",INDEX(Техника!$G$1:$ABN$500,F$2,0),$A$1544,INDEX(Техника!$H$1:$ABO$500,F$2,0),"П")</f>
        <v>0</v>
      </c>
      <c r="G1547" s="50">
        <f>SUMIFS(INDEX(Техника!$F$1:$ABM$500,G$2,0),Техника!$F$4:$ABM$4,"Часы",INDEX(Техника!$G$1:$ABN$500,G$2,0),$A$1544,INDEX(Техника!$H$1:$ABO$500,G$2,0),"П")</f>
        <v>0</v>
      </c>
      <c r="H1547" s="50">
        <f>SUMIFS(INDEX(Техника!$F$1:$ABM$500,H$2,0),Техника!$F$4:$ABM$4,"Часы",INDEX(Техника!$G$1:$ABN$500,H$2,0),$A$1544,INDEX(Техника!$H$1:$ABO$500,H$2,0),"П")</f>
        <v>0</v>
      </c>
      <c r="I1547" s="50">
        <f>SUMIFS(INDEX(Техника!$F$1:$ABM$500,I$2,0),Техника!$F$4:$ABM$4,"Часы",INDEX(Техника!$G$1:$ABN$500,I$2,0),$A$1544,INDEX(Техника!$H$1:$ABO$500,I$2,0),"П")</f>
        <v>0</v>
      </c>
      <c r="J1547" s="50">
        <f>SUMIFS(INDEX(Техника!$F$1:$ABM$500,J$2,0),Техника!$F$4:$ABM$4,"Часы",INDEX(Техника!$G$1:$ABN$500,J$2,0),$A$1544,INDEX(Техника!$H$1:$ABO$500,J$2,0),"П")</f>
        <v>0</v>
      </c>
      <c r="K1547" s="50">
        <f>SUMIFS(INDEX(Техника!$F$1:$ABM$500,K$2,0),Техника!$F$4:$ABM$4,"Часы",INDEX(Техника!$G$1:$ABN$500,K$2,0),$A$1544,INDEX(Техника!$H$1:$ABO$500,K$2,0),"П")</f>
        <v>0</v>
      </c>
      <c r="L1547" s="50">
        <f>SUMIFS(INDEX(Техника!$F$1:$ABM$500,L$2,0),Техника!$F$4:$ABM$4,"Часы",INDEX(Техника!$G$1:$ABN$500,L$2,0),$A$1544,INDEX(Техника!$H$1:$ABO$500,L$2,0),"П")</f>
        <v>0</v>
      </c>
      <c r="M1547" s="50">
        <f>SUMIFS(INDEX(Техника!$F$1:$ABM$500,M$2,0),Техника!$F$4:$ABM$4,"Часы",INDEX(Техника!$G$1:$ABN$500,M$2,0),$A$1544,INDEX(Техника!$H$1:$ABO$500,M$2,0),"П")</f>
        <v>0</v>
      </c>
      <c r="N1547" s="50">
        <f>SUMIFS(INDEX(Техника!$F$1:$ABM$500,N$2,0),Техника!$F$4:$ABM$4,"Часы",INDEX(Техника!$G$1:$ABN$500,N$2,0),$A$1544,INDEX(Техника!$H$1:$ABO$500,N$2,0),"П")</f>
        <v>0</v>
      </c>
      <c r="O1547" s="50">
        <f>SUMIFS(INDEX(Техника!$F$1:$ABM$500,O$2,0),Техника!$F$4:$ABM$4,"Часы",INDEX(Техника!$G$1:$ABN$500,O$2,0),$A$1544,INDEX(Техника!$H$1:$ABO$500,O$2,0),"П")</f>
        <v>0</v>
      </c>
      <c r="P1547" s="50">
        <f>SUMIFS(INDEX(Техника!$F$1:$ABM$500,P$2,0),Техника!$F$4:$ABM$4,"Часы",INDEX(Техника!$G$1:$ABN$500,P$2,0),$A$1544,INDEX(Техника!$H$1:$ABO$500,P$2,0),"П")</f>
        <v>0</v>
      </c>
      <c r="Q1547" s="50">
        <f>SUMIFS(INDEX(Техника!$F$1:$ABM$500,Q$2,0),Техника!$F$4:$ABM$4,"Часы",INDEX(Техника!$G$1:$ABN$500,Q$2,0),$A$1544,INDEX(Техника!$H$1:$ABO$500,Q$2,0),"П")</f>
        <v>0</v>
      </c>
      <c r="R1547" s="50">
        <f>SUMIFS(INDEX(Техника!$F$1:$ABM$500,R$2,0),Техника!$F$4:$ABM$4,"Часы",INDEX(Техника!$G$1:$ABN$500,R$2,0),$A$1544,INDEX(Техника!$H$1:$ABO$500,R$2,0),"П")</f>
        <v>0</v>
      </c>
      <c r="S1547" s="50">
        <f>SUMIFS(INDEX(Техника!$F$1:$ABM$500,S$2,0),Техника!$F$4:$ABM$4,"Часы",INDEX(Техника!$G$1:$ABN$500,S$2,0),$A$1544,INDEX(Техника!$H$1:$ABO$500,S$2,0),"П")</f>
        <v>0</v>
      </c>
      <c r="T1547" s="50">
        <f>SUMIFS(INDEX(Техника!$F$1:$ABM$500,T$2,0),Техника!$F$4:$ABM$4,"Часы",INDEX(Техника!$G$1:$ABN$500,T$2,0),$A$1544,INDEX(Техника!$H$1:$ABO$500,T$2,0),"П")</f>
        <v>0</v>
      </c>
      <c r="U1547" s="50">
        <f>SUMIFS(INDEX(Техника!$F$1:$ABM$500,U$2,0),Техника!$F$4:$ABM$4,"Часы",INDEX(Техника!$G$1:$ABN$500,U$2,0),$A$1544,INDEX(Техника!$H$1:$ABO$500,U$2,0),"П")</f>
        <v>0</v>
      </c>
      <c r="V1547" s="50">
        <f>SUMIFS(INDEX(Техника!$F$1:$ABM$500,V$2,0),Техника!$F$4:$ABM$4,"Часы",INDEX(Техника!$G$1:$ABN$500,V$2,0),$A$1544,INDEX(Техника!$H$1:$ABO$500,V$2,0),"П")</f>
        <v>0</v>
      </c>
      <c r="W1547" s="50">
        <f>SUMIFS(INDEX(Техника!$F$1:$ABM$500,W$2,0),Техника!$F$4:$ABM$4,"Часы",INDEX(Техника!$G$1:$ABN$500,W$2,0),$A$1544,INDEX(Техника!$H$1:$ABO$500,W$2,0),"П")</f>
        <v>0</v>
      </c>
      <c r="X1547" s="50">
        <f>SUMIFS(INDEX(Техника!$F$1:$ABM$500,X$2,0),Техника!$F$4:$ABM$4,"Часы",INDEX(Техника!$G$1:$ABN$500,X$2,0),$A$1544,INDEX(Техника!$H$1:$ABO$500,X$2,0),"П")</f>
        <v>0</v>
      </c>
      <c r="Y1547" s="50">
        <f>SUMIFS(INDEX(Техника!$F$1:$ABM$500,Y$2,0),Техника!$F$4:$ABM$4,"Часы",INDEX(Техника!$G$1:$ABN$500,Y$2,0),$A$1544,INDEX(Техника!$H$1:$ABO$500,Y$2,0),"П")</f>
        <v>0</v>
      </c>
      <c r="Z1547" s="50">
        <f>SUMIFS(INDEX(Техника!$F$1:$ABM$500,Z$2,0),Техника!$F$4:$ABM$4,"Часы",INDEX(Техника!$G$1:$ABN$500,Z$2,0),$A$1544,INDEX(Техника!$H$1:$ABO$500,Z$2,0),"П")</f>
        <v>0</v>
      </c>
      <c r="AA1547" s="50">
        <f>SUMIFS(INDEX(Техника!$F$1:$ABM$500,AA$2,0),Техника!$F$4:$ABM$4,"Часы",INDEX(Техника!$G$1:$ABN$500,AA$2,0),$A$1544,INDEX(Техника!$H$1:$ABO$500,AA$2,0),"П")</f>
        <v>0</v>
      </c>
      <c r="AB1547" s="50">
        <f>SUMIFS(INDEX(Техника!$F$1:$ABM$500,AB$2,0),Техника!$F$4:$ABM$4,"Часы",INDEX(Техника!$G$1:$ABN$500,AB$2,0),$A$1544,INDEX(Техника!$H$1:$ABO$500,AB$2,0),"П")</f>
        <v>0</v>
      </c>
    </row>
    <row r="1548" spans="1:28" hidden="1" outlineLevel="1" x14ac:dyDescent="0.3">
      <c r="A1548" s="33" t="s">
        <v>243</v>
      </c>
      <c r="B1548" s="34" t="s">
        <v>278</v>
      </c>
      <c r="C1548" s="50">
        <f>SUMIFS(INDEX(Техника!$F$1:$ABM$500,C$2,0),Техника!$F$4:$ABM$4,"Часы",INDEX(Техника!$G$1:$ABN$500,C$2,0),$A$1544,INDEX(Техника!$H$1:$ABO$500,C$2,0),"Л")</f>
        <v>0</v>
      </c>
      <c r="D1548" s="50">
        <f>SUMIFS(INDEX(Техника!$F$1:$ABM$500,D$2,0),Техника!$F$4:$ABM$4,"Часы",INDEX(Техника!$G$1:$ABN$500,D$2,0),$A$1544,INDEX(Техника!$H$1:$ABO$500,D$2,0),"Л")</f>
        <v>0</v>
      </c>
      <c r="E1548" s="50">
        <f>SUMIFS(INDEX(Техника!$F$1:$ABM$500,E$2,0),Техника!$F$4:$ABM$4,"Часы",INDEX(Техника!$G$1:$ABN$500,E$2,0),$A$1544,INDEX(Техника!$H$1:$ABO$500,E$2,0),"Л")</f>
        <v>0</v>
      </c>
      <c r="F1548" s="50">
        <f>SUMIFS(INDEX(Техника!$F$1:$ABM$500,F$2,0),Техника!$F$4:$ABM$4,"Часы",INDEX(Техника!$G$1:$ABN$500,F$2,0),$A$1544,INDEX(Техника!$H$1:$ABO$500,F$2,0),"Л")</f>
        <v>0</v>
      </c>
      <c r="G1548" s="50">
        <f>SUMIFS(INDEX(Техника!$F$1:$ABM$500,G$2,0),Техника!$F$4:$ABM$4,"Часы",INDEX(Техника!$G$1:$ABN$500,G$2,0),$A$1544,INDEX(Техника!$H$1:$ABO$500,G$2,0),"Л")</f>
        <v>0</v>
      </c>
      <c r="H1548" s="50">
        <f>SUMIFS(INDEX(Техника!$F$1:$ABM$500,H$2,0),Техника!$F$4:$ABM$4,"Часы",INDEX(Техника!$G$1:$ABN$500,H$2,0),$A$1544,INDEX(Техника!$H$1:$ABO$500,H$2,0),"Л")</f>
        <v>0</v>
      </c>
      <c r="I1548" s="50">
        <f>SUMIFS(INDEX(Техника!$F$1:$ABM$500,I$2,0),Техника!$F$4:$ABM$4,"Часы",INDEX(Техника!$G$1:$ABN$500,I$2,0),$A$1544,INDEX(Техника!$H$1:$ABO$500,I$2,0),"Л")</f>
        <v>0</v>
      </c>
      <c r="J1548" s="50">
        <f>SUMIFS(INDEX(Техника!$F$1:$ABM$500,J$2,0),Техника!$F$4:$ABM$4,"Часы",INDEX(Техника!$G$1:$ABN$500,J$2,0),$A$1544,INDEX(Техника!$H$1:$ABO$500,J$2,0),"Л")</f>
        <v>0</v>
      </c>
      <c r="K1548" s="50">
        <f>SUMIFS(INDEX(Техника!$F$1:$ABM$500,K$2,0),Техника!$F$4:$ABM$4,"Часы",INDEX(Техника!$G$1:$ABN$500,K$2,0),$A$1544,INDEX(Техника!$H$1:$ABO$500,K$2,0),"Л")</f>
        <v>0</v>
      </c>
      <c r="L1548" s="50">
        <f>SUMIFS(INDEX(Техника!$F$1:$ABM$500,L$2,0),Техника!$F$4:$ABM$4,"Часы",INDEX(Техника!$G$1:$ABN$500,L$2,0),$A$1544,INDEX(Техника!$H$1:$ABO$500,L$2,0),"Л")</f>
        <v>0</v>
      </c>
      <c r="M1548" s="50">
        <f>SUMIFS(INDEX(Техника!$F$1:$ABM$500,M$2,0),Техника!$F$4:$ABM$4,"Часы",INDEX(Техника!$G$1:$ABN$500,M$2,0),$A$1544,INDEX(Техника!$H$1:$ABO$500,M$2,0),"Л")</f>
        <v>0</v>
      </c>
      <c r="N1548" s="50">
        <f>SUMIFS(INDEX(Техника!$F$1:$ABM$500,N$2,0),Техника!$F$4:$ABM$4,"Часы",INDEX(Техника!$G$1:$ABN$500,N$2,0),$A$1544,INDEX(Техника!$H$1:$ABO$500,N$2,0),"Л")</f>
        <v>0</v>
      </c>
      <c r="O1548" s="50">
        <f>SUMIFS(INDEX(Техника!$F$1:$ABM$500,O$2,0),Техника!$F$4:$ABM$4,"Часы",INDEX(Техника!$G$1:$ABN$500,O$2,0),$A$1544,INDEX(Техника!$H$1:$ABO$500,O$2,0),"Л")</f>
        <v>0</v>
      </c>
      <c r="P1548" s="50">
        <f>SUMIFS(INDEX(Техника!$F$1:$ABM$500,P$2,0),Техника!$F$4:$ABM$4,"Часы",INDEX(Техника!$G$1:$ABN$500,P$2,0),$A$1544,INDEX(Техника!$H$1:$ABO$500,P$2,0),"Л")</f>
        <v>0</v>
      </c>
      <c r="Q1548" s="50">
        <f>SUMIFS(INDEX(Техника!$F$1:$ABM$500,Q$2,0),Техника!$F$4:$ABM$4,"Часы",INDEX(Техника!$G$1:$ABN$500,Q$2,0),$A$1544,INDEX(Техника!$H$1:$ABO$500,Q$2,0),"Л")</f>
        <v>0</v>
      </c>
      <c r="R1548" s="50">
        <f>SUMIFS(INDEX(Техника!$F$1:$ABM$500,R$2,0),Техника!$F$4:$ABM$4,"Часы",INDEX(Техника!$G$1:$ABN$500,R$2,0),$A$1544,INDEX(Техника!$H$1:$ABO$500,R$2,0),"Л")</f>
        <v>0</v>
      </c>
      <c r="S1548" s="50">
        <f>SUMIFS(INDEX(Техника!$F$1:$ABM$500,S$2,0),Техника!$F$4:$ABM$4,"Часы",INDEX(Техника!$G$1:$ABN$500,S$2,0),$A$1544,INDEX(Техника!$H$1:$ABO$500,S$2,0),"Л")</f>
        <v>0</v>
      </c>
      <c r="T1548" s="50">
        <f>SUMIFS(INDEX(Техника!$F$1:$ABM$500,T$2,0),Техника!$F$4:$ABM$4,"Часы",INDEX(Техника!$G$1:$ABN$500,T$2,0),$A$1544,INDEX(Техника!$H$1:$ABO$500,T$2,0),"Л")</f>
        <v>0</v>
      </c>
      <c r="U1548" s="50">
        <f>SUMIFS(INDEX(Техника!$F$1:$ABM$500,U$2,0),Техника!$F$4:$ABM$4,"Часы",INDEX(Техника!$G$1:$ABN$500,U$2,0),$A$1544,INDEX(Техника!$H$1:$ABO$500,U$2,0),"Л")</f>
        <v>0</v>
      </c>
      <c r="V1548" s="50">
        <f>SUMIFS(INDEX(Техника!$F$1:$ABM$500,V$2,0),Техника!$F$4:$ABM$4,"Часы",INDEX(Техника!$G$1:$ABN$500,V$2,0),$A$1544,INDEX(Техника!$H$1:$ABO$500,V$2,0),"Л")</f>
        <v>0</v>
      </c>
      <c r="W1548" s="50">
        <f>SUMIFS(INDEX(Техника!$F$1:$ABM$500,W$2,0),Техника!$F$4:$ABM$4,"Часы",INDEX(Техника!$G$1:$ABN$500,W$2,0),$A$1544,INDEX(Техника!$H$1:$ABO$500,W$2,0),"Л")</f>
        <v>0</v>
      </c>
      <c r="X1548" s="50">
        <f>SUMIFS(INDEX(Техника!$F$1:$ABM$500,X$2,0),Техника!$F$4:$ABM$4,"Часы",INDEX(Техника!$G$1:$ABN$500,X$2,0),$A$1544,INDEX(Техника!$H$1:$ABO$500,X$2,0),"Л")</f>
        <v>0</v>
      </c>
      <c r="Y1548" s="50">
        <f>SUMIFS(INDEX(Техника!$F$1:$ABM$500,Y$2,0),Техника!$F$4:$ABM$4,"Часы",INDEX(Техника!$G$1:$ABN$500,Y$2,0),$A$1544,INDEX(Техника!$H$1:$ABO$500,Y$2,0),"Л")</f>
        <v>0</v>
      </c>
      <c r="Z1548" s="50">
        <f>SUMIFS(INDEX(Техника!$F$1:$ABM$500,Z$2,0),Техника!$F$4:$ABM$4,"Часы",INDEX(Техника!$G$1:$ABN$500,Z$2,0),$A$1544,INDEX(Техника!$H$1:$ABO$500,Z$2,0),"Л")</f>
        <v>0</v>
      </c>
      <c r="AA1548" s="50">
        <f>SUMIFS(INDEX(Техника!$F$1:$ABM$500,AA$2,0),Техника!$F$4:$ABM$4,"Часы",INDEX(Техника!$G$1:$ABN$500,AA$2,0),$A$1544,INDEX(Техника!$H$1:$ABO$500,AA$2,0),"Л")</f>
        <v>0</v>
      </c>
      <c r="AB1548" s="50">
        <f>SUMIFS(INDEX(Техника!$F$1:$ABM$500,AB$2,0),Техника!$F$4:$ABM$4,"Часы",INDEX(Техника!$G$1:$ABN$500,AB$2,0),$A$1544,INDEX(Техника!$H$1:$ABO$500,AB$2,0),"Л")</f>
        <v>0</v>
      </c>
    </row>
    <row r="1549" spans="1:28" hidden="1" outlineLevel="1" x14ac:dyDescent="0.3">
      <c r="A1549" s="33" t="s">
        <v>245</v>
      </c>
      <c r="B1549" s="34" t="s">
        <v>279</v>
      </c>
      <c r="C1549" s="50">
        <f>SUMIFS(INDEX(Техника!$F$1:$ABM$500,C$2,0),Техника!$F$4:$ABM$4,"Часы",INDEX(Техника!$G$1:$ABN$500,C$2,0),$A$1544,INDEX(Техника!$H$1:$ABO$500,C$2,0),"З")</f>
        <v>0</v>
      </c>
      <c r="D1549" s="50">
        <f>SUMIFS(INDEX(Техника!$F$1:$ABM$500,D$2,0),Техника!$F$4:$ABM$4,"Часы",INDEX(Техника!$G$1:$ABN$500,D$2,0),$A$1544,INDEX(Техника!$H$1:$ABO$500,D$2,0),"З")</f>
        <v>0</v>
      </c>
      <c r="E1549" s="50">
        <f>SUMIFS(INDEX(Техника!$F$1:$ABM$500,E$2,0),Техника!$F$4:$ABM$4,"Часы",INDEX(Техника!$G$1:$ABN$500,E$2,0),$A$1544,INDEX(Техника!$H$1:$ABO$500,E$2,0),"З")</f>
        <v>0</v>
      </c>
      <c r="F1549" s="50">
        <f>SUMIFS(INDEX(Техника!$F$1:$ABM$500,F$2,0),Техника!$F$4:$ABM$4,"Часы",INDEX(Техника!$G$1:$ABN$500,F$2,0),$A$1544,INDEX(Техника!$H$1:$ABO$500,F$2,0),"З")</f>
        <v>0</v>
      </c>
      <c r="G1549" s="50">
        <f>SUMIFS(INDEX(Техника!$F$1:$ABM$500,G$2,0),Техника!$F$4:$ABM$4,"Часы",INDEX(Техника!$G$1:$ABN$500,G$2,0),$A$1544,INDEX(Техника!$H$1:$ABO$500,G$2,0),"З")</f>
        <v>0</v>
      </c>
      <c r="H1549" s="50">
        <f>SUMIFS(INDEX(Техника!$F$1:$ABM$500,H$2,0),Техника!$F$4:$ABM$4,"Часы",INDEX(Техника!$G$1:$ABN$500,H$2,0),$A$1544,INDEX(Техника!$H$1:$ABO$500,H$2,0),"З")</f>
        <v>0</v>
      </c>
      <c r="I1549" s="50">
        <f>SUMIFS(INDEX(Техника!$F$1:$ABM$500,I$2,0),Техника!$F$4:$ABM$4,"Часы",INDEX(Техника!$G$1:$ABN$500,I$2,0),$A$1544,INDEX(Техника!$H$1:$ABO$500,I$2,0),"З")</f>
        <v>0</v>
      </c>
      <c r="J1549" s="50">
        <f>SUMIFS(INDEX(Техника!$F$1:$ABM$500,J$2,0),Техника!$F$4:$ABM$4,"Часы",INDEX(Техника!$G$1:$ABN$500,J$2,0),$A$1544,INDEX(Техника!$H$1:$ABO$500,J$2,0),"З")</f>
        <v>0</v>
      </c>
      <c r="K1549" s="50">
        <f>SUMIFS(INDEX(Техника!$F$1:$ABM$500,K$2,0),Техника!$F$4:$ABM$4,"Часы",INDEX(Техника!$G$1:$ABN$500,K$2,0),$A$1544,INDEX(Техника!$H$1:$ABO$500,K$2,0),"З")</f>
        <v>0</v>
      </c>
      <c r="L1549" s="50">
        <f>SUMIFS(INDEX(Техника!$F$1:$ABM$500,L$2,0),Техника!$F$4:$ABM$4,"Часы",INDEX(Техника!$G$1:$ABN$500,L$2,0),$A$1544,INDEX(Техника!$H$1:$ABO$500,L$2,0),"З")</f>
        <v>0</v>
      </c>
      <c r="M1549" s="50">
        <f>SUMIFS(INDEX(Техника!$F$1:$ABM$500,M$2,0),Техника!$F$4:$ABM$4,"Часы",INDEX(Техника!$G$1:$ABN$500,M$2,0),$A$1544,INDEX(Техника!$H$1:$ABO$500,M$2,0),"З")</f>
        <v>0</v>
      </c>
      <c r="N1549" s="50">
        <f>SUMIFS(INDEX(Техника!$F$1:$ABM$500,N$2,0),Техника!$F$4:$ABM$4,"Часы",INDEX(Техника!$G$1:$ABN$500,N$2,0),$A$1544,INDEX(Техника!$H$1:$ABO$500,N$2,0),"З")</f>
        <v>0</v>
      </c>
      <c r="O1549" s="50">
        <f>SUMIFS(INDEX(Техника!$F$1:$ABM$500,O$2,0),Техника!$F$4:$ABM$4,"Часы",INDEX(Техника!$G$1:$ABN$500,O$2,0),$A$1544,INDEX(Техника!$H$1:$ABO$500,O$2,0),"З")</f>
        <v>0</v>
      </c>
      <c r="P1549" s="50">
        <f>SUMIFS(INDEX(Техника!$F$1:$ABM$500,P$2,0),Техника!$F$4:$ABM$4,"Часы",INDEX(Техника!$G$1:$ABN$500,P$2,0),$A$1544,INDEX(Техника!$H$1:$ABO$500,P$2,0),"З")</f>
        <v>0</v>
      </c>
      <c r="Q1549" s="50">
        <f>SUMIFS(INDEX(Техника!$F$1:$ABM$500,Q$2,0),Техника!$F$4:$ABM$4,"Часы",INDEX(Техника!$G$1:$ABN$500,Q$2,0),$A$1544,INDEX(Техника!$H$1:$ABO$500,Q$2,0),"З")</f>
        <v>0</v>
      </c>
      <c r="R1549" s="50">
        <f>SUMIFS(INDEX(Техника!$F$1:$ABM$500,R$2,0),Техника!$F$4:$ABM$4,"Часы",INDEX(Техника!$G$1:$ABN$500,R$2,0),$A$1544,INDEX(Техника!$H$1:$ABO$500,R$2,0),"З")</f>
        <v>0</v>
      </c>
      <c r="S1549" s="50">
        <f>SUMIFS(INDEX(Техника!$F$1:$ABM$500,S$2,0),Техника!$F$4:$ABM$4,"Часы",INDEX(Техника!$G$1:$ABN$500,S$2,0),$A$1544,INDEX(Техника!$H$1:$ABO$500,S$2,0),"З")</f>
        <v>0</v>
      </c>
      <c r="T1549" s="50">
        <f>SUMIFS(INDEX(Техника!$F$1:$ABM$500,T$2,0),Техника!$F$4:$ABM$4,"Часы",INDEX(Техника!$G$1:$ABN$500,T$2,0),$A$1544,INDEX(Техника!$H$1:$ABO$500,T$2,0),"З")</f>
        <v>0</v>
      </c>
      <c r="U1549" s="50">
        <f>SUMIFS(INDEX(Техника!$F$1:$ABM$500,U$2,0),Техника!$F$4:$ABM$4,"Часы",INDEX(Техника!$G$1:$ABN$500,U$2,0),$A$1544,INDEX(Техника!$H$1:$ABO$500,U$2,0),"З")</f>
        <v>0</v>
      </c>
      <c r="V1549" s="50">
        <f>SUMIFS(INDEX(Техника!$F$1:$ABM$500,V$2,0),Техника!$F$4:$ABM$4,"Часы",INDEX(Техника!$G$1:$ABN$500,V$2,0),$A$1544,INDEX(Техника!$H$1:$ABO$500,V$2,0),"З")</f>
        <v>0</v>
      </c>
      <c r="W1549" s="50">
        <f>SUMIFS(INDEX(Техника!$F$1:$ABM$500,W$2,0),Техника!$F$4:$ABM$4,"Часы",INDEX(Техника!$G$1:$ABN$500,W$2,0),$A$1544,INDEX(Техника!$H$1:$ABO$500,W$2,0),"З")</f>
        <v>0</v>
      </c>
      <c r="X1549" s="50">
        <f>SUMIFS(INDEX(Техника!$F$1:$ABM$500,X$2,0),Техника!$F$4:$ABM$4,"Часы",INDEX(Техника!$G$1:$ABN$500,X$2,0),$A$1544,INDEX(Техника!$H$1:$ABO$500,X$2,0),"З")</f>
        <v>0</v>
      </c>
      <c r="Y1549" s="50">
        <f>SUMIFS(INDEX(Техника!$F$1:$ABM$500,Y$2,0),Техника!$F$4:$ABM$4,"Часы",INDEX(Техника!$G$1:$ABN$500,Y$2,0),$A$1544,INDEX(Техника!$H$1:$ABO$500,Y$2,0),"З")</f>
        <v>0</v>
      </c>
      <c r="Z1549" s="50">
        <f>SUMIFS(INDEX(Техника!$F$1:$ABM$500,Z$2,0),Техника!$F$4:$ABM$4,"Часы",INDEX(Техника!$G$1:$ABN$500,Z$2,0),$A$1544,INDEX(Техника!$H$1:$ABO$500,Z$2,0),"З")</f>
        <v>0</v>
      </c>
      <c r="AA1549" s="50">
        <f>SUMIFS(INDEX(Техника!$F$1:$ABM$500,AA$2,0),Техника!$F$4:$ABM$4,"Часы",INDEX(Техника!$G$1:$ABN$500,AA$2,0),$A$1544,INDEX(Техника!$H$1:$ABO$500,AA$2,0),"З")</f>
        <v>0</v>
      </c>
      <c r="AB1549" s="50">
        <f>SUMIFS(INDEX(Техника!$F$1:$ABM$500,AB$2,0),Техника!$F$4:$ABM$4,"Часы",INDEX(Техника!$G$1:$ABN$500,AB$2,0),$A$1544,INDEX(Техника!$H$1:$ABO$500,AB$2,0),"З")</f>
        <v>0</v>
      </c>
    </row>
    <row r="1550" spans="1:28" ht="7.95" customHeight="1" x14ac:dyDescent="0.3">
      <c r="A1550" s="38"/>
      <c r="B1550" s="39"/>
      <c r="C1550" s="51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  <c r="S1550" s="51"/>
      <c r="T1550" s="51"/>
      <c r="U1550" s="51"/>
      <c r="V1550" s="51"/>
      <c r="W1550" s="51"/>
      <c r="X1550" s="51"/>
      <c r="Y1550" s="51"/>
      <c r="Z1550" s="51"/>
      <c r="AA1550" s="51"/>
      <c r="AB1550" s="51"/>
    </row>
    <row r="1551" spans="1:28" ht="25.05" customHeight="1" collapsed="1" x14ac:dyDescent="0.3">
      <c r="A1551" s="32">
        <v>222</v>
      </c>
      <c r="B1551" s="32" t="s">
        <v>223</v>
      </c>
      <c r="C1551" s="49">
        <f>SUM(C1552:C1556)</f>
        <v>0</v>
      </c>
      <c r="D1551" s="49">
        <f>SUM(D1552:D1556)</f>
        <v>0</v>
      </c>
      <c r="E1551" s="49">
        <f>SUM(E1552:E1556)</f>
        <v>0</v>
      </c>
      <c r="F1551" s="49">
        <f>SUM(F1552:F1556)</f>
        <v>0</v>
      </c>
      <c r="G1551" s="49">
        <f>SUM(G1552:G1556)</f>
        <v>0</v>
      </c>
      <c r="H1551" s="49">
        <f>SUM(H1552:H1556)</f>
        <v>0</v>
      </c>
      <c r="I1551" s="49">
        <f>SUM(I1552:I1556)</f>
        <v>0</v>
      </c>
      <c r="J1551" s="49">
        <f>SUM(J1552:J1556)</f>
        <v>0</v>
      </c>
      <c r="K1551" s="49">
        <f>SUM(K1552:K1556)</f>
        <v>0</v>
      </c>
      <c r="L1551" s="49">
        <f>SUM(L1552:L1556)</f>
        <v>0</v>
      </c>
      <c r="M1551" s="49">
        <f>SUM(M1552:M1556)</f>
        <v>0</v>
      </c>
      <c r="N1551" s="49">
        <f>SUM(N1552:N1556)</f>
        <v>0</v>
      </c>
      <c r="O1551" s="49">
        <f>SUM(O1552:O1556)</f>
        <v>0</v>
      </c>
      <c r="P1551" s="49">
        <f>SUM(P1552:P1556)</f>
        <v>0</v>
      </c>
      <c r="Q1551" s="49">
        <f>SUM(Q1552:Q1556)</f>
        <v>0</v>
      </c>
      <c r="R1551" s="49">
        <f>SUM(R1552:R1556)</f>
        <v>0</v>
      </c>
      <c r="S1551" s="49">
        <f>SUM(S1552:S1556)</f>
        <v>0</v>
      </c>
      <c r="T1551" s="49">
        <f>SUM(T1552:T1556)</f>
        <v>0</v>
      </c>
      <c r="U1551" s="49">
        <f>SUM(U1552:U1556)</f>
        <v>0</v>
      </c>
      <c r="V1551" s="49">
        <f>SUM(V1552:V1556)</f>
        <v>0</v>
      </c>
      <c r="W1551" s="49">
        <f>SUM(W1552:W1556)</f>
        <v>0</v>
      </c>
      <c r="X1551" s="49">
        <f>SUM(X1552:X1556)</f>
        <v>0</v>
      </c>
      <c r="Y1551" s="49">
        <f>SUM(Y1552:Y1556)</f>
        <v>0</v>
      </c>
      <c r="Z1551" s="49">
        <f>SUM(Z1552:Z1556)</f>
        <v>0</v>
      </c>
      <c r="AA1551" s="49">
        <f>SUM(AA1552:AA1556)</f>
        <v>0</v>
      </c>
      <c r="AB1551" s="49">
        <f>SUM(AB1552:AB1556)</f>
        <v>0</v>
      </c>
    </row>
    <row r="1552" spans="1:28" hidden="1" outlineLevel="1" x14ac:dyDescent="0.3">
      <c r="A1552" s="33" t="s">
        <v>246</v>
      </c>
      <c r="B1552" s="34" t="s">
        <v>274</v>
      </c>
      <c r="C1552" s="50">
        <f>SUMIFS(INDEX(Техника!$F$1:$ABM$500,C$2,0),Техника!$F$4:$ABM$4,"Часы",INDEX(Техника!$G$1:$ABN$500,C$2,0),$A$1551,INDEX(Техника!$H$1:$ABO$500,C$2,0),"М")</f>
        <v>0</v>
      </c>
      <c r="D1552" s="50">
        <f>SUMIFS(INDEX(Техника!$F$1:$ABM$500,D$2,0),Техника!$F$4:$ABM$4,"Часы",INDEX(Техника!$G$1:$ABN$500,D$2,0),$A$1551,INDEX(Техника!$H$1:$ABO$500,D$2,0),"М")</f>
        <v>0</v>
      </c>
      <c r="E1552" s="50">
        <f>SUMIFS(INDEX(Техника!$F$1:$ABM$500,E$2,0),Техника!$F$4:$ABM$4,"Часы",INDEX(Техника!$G$1:$ABN$500,E$2,0),$A$1551,INDEX(Техника!$H$1:$ABO$500,E$2,0),"М")</f>
        <v>0</v>
      </c>
      <c r="F1552" s="50">
        <f>SUMIFS(INDEX(Техника!$F$1:$ABM$500,F$2,0),Техника!$F$4:$ABM$4,"Часы",INDEX(Техника!$G$1:$ABN$500,F$2,0),$A$1551,INDEX(Техника!$H$1:$ABO$500,F$2,0),"М")</f>
        <v>0</v>
      </c>
      <c r="G1552" s="50">
        <f>SUMIFS(INDEX(Техника!$F$1:$ABM$500,G$2,0),Техника!$F$4:$ABM$4,"Часы",INDEX(Техника!$G$1:$ABN$500,G$2,0),$A$1551,INDEX(Техника!$H$1:$ABO$500,G$2,0),"М")</f>
        <v>0</v>
      </c>
      <c r="H1552" s="50">
        <f>SUMIFS(INDEX(Техника!$F$1:$ABM$500,H$2,0),Техника!$F$4:$ABM$4,"Часы",INDEX(Техника!$G$1:$ABN$500,H$2,0),$A$1551,INDEX(Техника!$H$1:$ABO$500,H$2,0),"М")</f>
        <v>0</v>
      </c>
      <c r="I1552" s="50">
        <f>SUMIFS(INDEX(Техника!$F$1:$ABM$500,I$2,0),Техника!$F$4:$ABM$4,"Часы",INDEX(Техника!$G$1:$ABN$500,I$2,0),$A$1551,INDEX(Техника!$H$1:$ABO$500,I$2,0),"М")</f>
        <v>0</v>
      </c>
      <c r="J1552" s="50">
        <f>SUMIFS(INDEX(Техника!$F$1:$ABM$500,J$2,0),Техника!$F$4:$ABM$4,"Часы",INDEX(Техника!$G$1:$ABN$500,J$2,0),$A$1551,INDEX(Техника!$H$1:$ABO$500,J$2,0),"М")</f>
        <v>0</v>
      </c>
      <c r="K1552" s="50">
        <f>SUMIFS(INDEX(Техника!$F$1:$ABM$500,K$2,0),Техника!$F$4:$ABM$4,"Часы",INDEX(Техника!$G$1:$ABN$500,K$2,0),$A$1551,INDEX(Техника!$H$1:$ABO$500,K$2,0),"М")</f>
        <v>0</v>
      </c>
      <c r="L1552" s="50">
        <f>SUMIFS(INDEX(Техника!$F$1:$ABM$500,L$2,0),Техника!$F$4:$ABM$4,"Часы",INDEX(Техника!$G$1:$ABN$500,L$2,0),$A$1551,INDEX(Техника!$H$1:$ABO$500,L$2,0),"М")</f>
        <v>0</v>
      </c>
      <c r="M1552" s="50">
        <f>SUMIFS(INDEX(Техника!$F$1:$ABM$500,M$2,0),Техника!$F$4:$ABM$4,"Часы",INDEX(Техника!$G$1:$ABN$500,M$2,0),$A$1551,INDEX(Техника!$H$1:$ABO$500,M$2,0),"М")</f>
        <v>0</v>
      </c>
      <c r="N1552" s="50">
        <f>SUMIFS(INDEX(Техника!$F$1:$ABM$500,N$2,0),Техника!$F$4:$ABM$4,"Часы",INDEX(Техника!$G$1:$ABN$500,N$2,0),$A$1551,INDEX(Техника!$H$1:$ABO$500,N$2,0),"М")</f>
        <v>0</v>
      </c>
      <c r="O1552" s="50">
        <f>SUMIFS(INDEX(Техника!$F$1:$ABM$500,O$2,0),Техника!$F$4:$ABM$4,"Часы",INDEX(Техника!$G$1:$ABN$500,O$2,0),$A$1551,INDEX(Техника!$H$1:$ABO$500,O$2,0),"М")</f>
        <v>0</v>
      </c>
      <c r="P1552" s="50">
        <f>SUMIFS(INDEX(Техника!$F$1:$ABM$500,P$2,0),Техника!$F$4:$ABM$4,"Часы",INDEX(Техника!$G$1:$ABN$500,P$2,0),$A$1551,INDEX(Техника!$H$1:$ABO$500,P$2,0),"М")</f>
        <v>0</v>
      </c>
      <c r="Q1552" s="50">
        <f>SUMIFS(INDEX(Техника!$F$1:$ABM$500,Q$2,0),Техника!$F$4:$ABM$4,"Часы",INDEX(Техника!$G$1:$ABN$500,Q$2,0),$A$1551,INDEX(Техника!$H$1:$ABO$500,Q$2,0),"М")</f>
        <v>0</v>
      </c>
      <c r="R1552" s="50">
        <f>SUMIFS(INDEX(Техника!$F$1:$ABM$500,R$2,0),Техника!$F$4:$ABM$4,"Часы",INDEX(Техника!$G$1:$ABN$500,R$2,0),$A$1551,INDEX(Техника!$H$1:$ABO$500,R$2,0),"М")</f>
        <v>0</v>
      </c>
      <c r="S1552" s="50">
        <f>SUMIFS(INDEX(Техника!$F$1:$ABM$500,S$2,0),Техника!$F$4:$ABM$4,"Часы",INDEX(Техника!$G$1:$ABN$500,S$2,0),$A$1551,INDEX(Техника!$H$1:$ABO$500,S$2,0),"М")</f>
        <v>0</v>
      </c>
      <c r="T1552" s="50">
        <f>SUMIFS(INDEX(Техника!$F$1:$ABM$500,T$2,0),Техника!$F$4:$ABM$4,"Часы",INDEX(Техника!$G$1:$ABN$500,T$2,0),$A$1551,INDEX(Техника!$H$1:$ABO$500,T$2,0),"М")</f>
        <v>0</v>
      </c>
      <c r="U1552" s="50">
        <f>SUMIFS(INDEX(Техника!$F$1:$ABM$500,U$2,0),Техника!$F$4:$ABM$4,"Часы",INDEX(Техника!$G$1:$ABN$500,U$2,0),$A$1551,INDEX(Техника!$H$1:$ABO$500,U$2,0),"М")</f>
        <v>0</v>
      </c>
      <c r="V1552" s="50">
        <f>SUMIFS(INDEX(Техника!$F$1:$ABM$500,V$2,0),Техника!$F$4:$ABM$4,"Часы",INDEX(Техника!$G$1:$ABN$500,V$2,0),$A$1551,INDEX(Техника!$H$1:$ABO$500,V$2,0),"М")</f>
        <v>0</v>
      </c>
      <c r="W1552" s="50">
        <f>SUMIFS(INDEX(Техника!$F$1:$ABM$500,W$2,0),Техника!$F$4:$ABM$4,"Часы",INDEX(Техника!$G$1:$ABN$500,W$2,0),$A$1551,INDEX(Техника!$H$1:$ABO$500,W$2,0),"М")</f>
        <v>0</v>
      </c>
      <c r="X1552" s="50">
        <f>SUMIFS(INDEX(Техника!$F$1:$ABM$500,X$2,0),Техника!$F$4:$ABM$4,"Часы",INDEX(Техника!$G$1:$ABN$500,X$2,0),$A$1551,INDEX(Техника!$H$1:$ABO$500,X$2,0),"М")</f>
        <v>0</v>
      </c>
      <c r="Y1552" s="50">
        <f>SUMIFS(INDEX(Техника!$F$1:$ABM$500,Y$2,0),Техника!$F$4:$ABM$4,"Часы",INDEX(Техника!$G$1:$ABN$500,Y$2,0),$A$1551,INDEX(Техника!$H$1:$ABO$500,Y$2,0),"М")</f>
        <v>0</v>
      </c>
      <c r="Z1552" s="50">
        <f>SUMIFS(INDEX(Техника!$F$1:$ABM$500,Z$2,0),Техника!$F$4:$ABM$4,"Часы",INDEX(Техника!$G$1:$ABN$500,Z$2,0),$A$1551,INDEX(Техника!$H$1:$ABO$500,Z$2,0),"М")</f>
        <v>0</v>
      </c>
      <c r="AA1552" s="50">
        <f>SUMIFS(INDEX(Техника!$F$1:$ABM$500,AA$2,0),Техника!$F$4:$ABM$4,"Часы",INDEX(Техника!$G$1:$ABN$500,AA$2,0),$A$1551,INDEX(Техника!$H$1:$ABO$500,AA$2,0),"М")</f>
        <v>0</v>
      </c>
      <c r="AB1552" s="50">
        <f>SUMIFS(INDEX(Техника!$F$1:$ABM$500,AB$2,0),Техника!$F$4:$ABM$4,"Часы",INDEX(Техника!$G$1:$ABN$500,AB$2,0),$A$1551,INDEX(Техника!$H$1:$ABO$500,AB$2,0),"М")</f>
        <v>0</v>
      </c>
    </row>
    <row r="1553" spans="1:28" hidden="1" outlineLevel="1" x14ac:dyDescent="0.3">
      <c r="A1553" s="33" t="s">
        <v>244</v>
      </c>
      <c r="B1553" s="34" t="s">
        <v>275</v>
      </c>
      <c r="C1553" s="50">
        <f>SUMIFS(INDEX(Техника!$F$1:$ABM$500,C$2,0),Техника!$F$4:$ABM$4,"Часы",INDEX(Техника!$G$1:$ABN$500,C$2,0),$A$1551,INDEX(Техника!$H$1:$ABO$500,C$2,0),"Д")</f>
        <v>0</v>
      </c>
      <c r="D1553" s="50">
        <f>SUMIFS(INDEX(Техника!$F$1:$ABM$500,D$2,0),Техника!$F$4:$ABM$4,"Часы",INDEX(Техника!$G$1:$ABN$500,D$2,0),$A$1551,INDEX(Техника!$H$1:$ABO$500,D$2,0),"Д")</f>
        <v>0</v>
      </c>
      <c r="E1553" s="50">
        <f>SUMIFS(INDEX(Техника!$F$1:$ABM$500,E$2,0),Техника!$F$4:$ABM$4,"Часы",INDEX(Техника!$G$1:$ABN$500,E$2,0),$A$1551,INDEX(Техника!$H$1:$ABO$500,E$2,0),"Д")</f>
        <v>0</v>
      </c>
      <c r="F1553" s="50">
        <f>SUMIFS(INDEX(Техника!$F$1:$ABM$500,F$2,0),Техника!$F$4:$ABM$4,"Часы",INDEX(Техника!$G$1:$ABN$500,F$2,0),$A$1551,INDEX(Техника!$H$1:$ABO$500,F$2,0),"Д")</f>
        <v>0</v>
      </c>
      <c r="G1553" s="50">
        <f>SUMIFS(INDEX(Техника!$F$1:$ABM$500,G$2,0),Техника!$F$4:$ABM$4,"Часы",INDEX(Техника!$G$1:$ABN$500,G$2,0),$A$1551,INDEX(Техника!$H$1:$ABO$500,G$2,0),"Д")</f>
        <v>0</v>
      </c>
      <c r="H1553" s="50">
        <f>SUMIFS(INDEX(Техника!$F$1:$ABM$500,H$2,0),Техника!$F$4:$ABM$4,"Часы",INDEX(Техника!$G$1:$ABN$500,H$2,0),$A$1551,INDEX(Техника!$H$1:$ABO$500,H$2,0),"Д")</f>
        <v>0</v>
      </c>
      <c r="I1553" s="50">
        <f>SUMIFS(INDEX(Техника!$F$1:$ABM$500,I$2,0),Техника!$F$4:$ABM$4,"Часы",INDEX(Техника!$G$1:$ABN$500,I$2,0),$A$1551,INDEX(Техника!$H$1:$ABO$500,I$2,0),"Д")</f>
        <v>0</v>
      </c>
      <c r="J1553" s="50">
        <f>SUMIFS(INDEX(Техника!$F$1:$ABM$500,J$2,0),Техника!$F$4:$ABM$4,"Часы",INDEX(Техника!$G$1:$ABN$500,J$2,0),$A$1551,INDEX(Техника!$H$1:$ABO$500,J$2,0),"Д")</f>
        <v>0</v>
      </c>
      <c r="K1553" s="50">
        <f>SUMIFS(INDEX(Техника!$F$1:$ABM$500,K$2,0),Техника!$F$4:$ABM$4,"Часы",INDEX(Техника!$G$1:$ABN$500,K$2,0),$A$1551,INDEX(Техника!$H$1:$ABO$500,K$2,0),"Д")</f>
        <v>0</v>
      </c>
      <c r="L1553" s="50">
        <f>SUMIFS(INDEX(Техника!$F$1:$ABM$500,L$2,0),Техника!$F$4:$ABM$4,"Часы",INDEX(Техника!$G$1:$ABN$500,L$2,0),$A$1551,INDEX(Техника!$H$1:$ABO$500,L$2,0),"Д")</f>
        <v>0</v>
      </c>
      <c r="M1553" s="50">
        <f>SUMIFS(INDEX(Техника!$F$1:$ABM$500,M$2,0),Техника!$F$4:$ABM$4,"Часы",INDEX(Техника!$G$1:$ABN$500,M$2,0),$A$1551,INDEX(Техника!$H$1:$ABO$500,M$2,0),"Д")</f>
        <v>0</v>
      </c>
      <c r="N1553" s="50">
        <f>SUMIFS(INDEX(Техника!$F$1:$ABM$500,N$2,0),Техника!$F$4:$ABM$4,"Часы",INDEX(Техника!$G$1:$ABN$500,N$2,0),$A$1551,INDEX(Техника!$H$1:$ABO$500,N$2,0),"Д")</f>
        <v>0</v>
      </c>
      <c r="O1553" s="50">
        <f>SUMIFS(INDEX(Техника!$F$1:$ABM$500,O$2,0),Техника!$F$4:$ABM$4,"Часы",INDEX(Техника!$G$1:$ABN$500,O$2,0),$A$1551,INDEX(Техника!$H$1:$ABO$500,O$2,0),"Д")</f>
        <v>0</v>
      </c>
      <c r="P1553" s="50">
        <f>SUMIFS(INDEX(Техника!$F$1:$ABM$500,P$2,0),Техника!$F$4:$ABM$4,"Часы",INDEX(Техника!$G$1:$ABN$500,P$2,0),$A$1551,INDEX(Техника!$H$1:$ABO$500,P$2,0),"Д")</f>
        <v>0</v>
      </c>
      <c r="Q1553" s="50">
        <f>SUMIFS(INDEX(Техника!$F$1:$ABM$500,Q$2,0),Техника!$F$4:$ABM$4,"Часы",INDEX(Техника!$G$1:$ABN$500,Q$2,0),$A$1551,INDEX(Техника!$H$1:$ABO$500,Q$2,0),"Д")</f>
        <v>0</v>
      </c>
      <c r="R1553" s="50">
        <f>SUMIFS(INDEX(Техника!$F$1:$ABM$500,R$2,0),Техника!$F$4:$ABM$4,"Часы",INDEX(Техника!$G$1:$ABN$500,R$2,0),$A$1551,INDEX(Техника!$H$1:$ABO$500,R$2,0),"Д")</f>
        <v>0</v>
      </c>
      <c r="S1553" s="50">
        <f>SUMIFS(INDEX(Техника!$F$1:$ABM$500,S$2,0),Техника!$F$4:$ABM$4,"Часы",INDEX(Техника!$G$1:$ABN$500,S$2,0),$A$1551,INDEX(Техника!$H$1:$ABO$500,S$2,0),"Д")</f>
        <v>0</v>
      </c>
      <c r="T1553" s="50">
        <f>SUMIFS(INDEX(Техника!$F$1:$ABM$500,T$2,0),Техника!$F$4:$ABM$4,"Часы",INDEX(Техника!$G$1:$ABN$500,T$2,0),$A$1551,INDEX(Техника!$H$1:$ABO$500,T$2,0),"Д")</f>
        <v>0</v>
      </c>
      <c r="U1553" s="50">
        <f>SUMIFS(INDEX(Техника!$F$1:$ABM$500,U$2,0),Техника!$F$4:$ABM$4,"Часы",INDEX(Техника!$G$1:$ABN$500,U$2,0),$A$1551,INDEX(Техника!$H$1:$ABO$500,U$2,0),"Д")</f>
        <v>0</v>
      </c>
      <c r="V1553" s="50">
        <f>SUMIFS(INDEX(Техника!$F$1:$ABM$500,V$2,0),Техника!$F$4:$ABM$4,"Часы",INDEX(Техника!$G$1:$ABN$500,V$2,0),$A$1551,INDEX(Техника!$H$1:$ABO$500,V$2,0),"Д")</f>
        <v>0</v>
      </c>
      <c r="W1553" s="50">
        <f>SUMIFS(INDEX(Техника!$F$1:$ABM$500,W$2,0),Техника!$F$4:$ABM$4,"Часы",INDEX(Техника!$G$1:$ABN$500,W$2,0),$A$1551,INDEX(Техника!$H$1:$ABO$500,W$2,0),"Д")</f>
        <v>0</v>
      </c>
      <c r="X1553" s="50">
        <f>SUMIFS(INDEX(Техника!$F$1:$ABM$500,X$2,0),Техника!$F$4:$ABM$4,"Часы",INDEX(Техника!$G$1:$ABN$500,X$2,0),$A$1551,INDEX(Техника!$H$1:$ABO$500,X$2,0),"Д")</f>
        <v>0</v>
      </c>
      <c r="Y1553" s="50">
        <f>SUMIFS(INDEX(Техника!$F$1:$ABM$500,Y$2,0),Техника!$F$4:$ABM$4,"Часы",INDEX(Техника!$G$1:$ABN$500,Y$2,0),$A$1551,INDEX(Техника!$H$1:$ABO$500,Y$2,0),"Д")</f>
        <v>0</v>
      </c>
      <c r="Z1553" s="50">
        <f>SUMIFS(INDEX(Техника!$F$1:$ABM$500,Z$2,0),Техника!$F$4:$ABM$4,"Часы",INDEX(Техника!$G$1:$ABN$500,Z$2,0),$A$1551,INDEX(Техника!$H$1:$ABO$500,Z$2,0),"Д")</f>
        <v>0</v>
      </c>
      <c r="AA1553" s="50">
        <f>SUMIFS(INDEX(Техника!$F$1:$ABM$500,AA$2,0),Техника!$F$4:$ABM$4,"Часы",INDEX(Техника!$G$1:$ABN$500,AA$2,0),$A$1551,INDEX(Техника!$H$1:$ABO$500,AA$2,0),"Д")</f>
        <v>0</v>
      </c>
      <c r="AB1553" s="50">
        <f>SUMIFS(INDEX(Техника!$F$1:$ABM$500,AB$2,0),Техника!$F$4:$ABM$4,"Часы",INDEX(Техника!$G$1:$ABN$500,AB$2,0),$A$1551,INDEX(Техника!$H$1:$ABO$500,AB$2,0),"Д")</f>
        <v>0</v>
      </c>
    </row>
    <row r="1554" spans="1:28" hidden="1" outlineLevel="1" x14ac:dyDescent="0.3">
      <c r="A1554" s="33" t="s">
        <v>276</v>
      </c>
      <c r="B1554" s="34" t="s">
        <v>277</v>
      </c>
      <c r="C1554" s="50">
        <f>SUMIFS(INDEX(Техника!$F$1:$ABM$500,C$2,0),Техника!$F$4:$ABM$4,"Часы",INDEX(Техника!$G$1:$ABN$500,C$2,0),$A$1551,INDEX(Техника!$H$1:$ABO$500,C$2,0),"П")</f>
        <v>0</v>
      </c>
      <c r="D1554" s="50">
        <f>SUMIFS(INDEX(Техника!$F$1:$ABM$500,D$2,0),Техника!$F$4:$ABM$4,"Часы",INDEX(Техника!$G$1:$ABN$500,D$2,0),$A$1551,INDEX(Техника!$H$1:$ABO$500,D$2,0),"П")</f>
        <v>0</v>
      </c>
      <c r="E1554" s="50">
        <f>SUMIFS(INDEX(Техника!$F$1:$ABM$500,E$2,0),Техника!$F$4:$ABM$4,"Часы",INDEX(Техника!$G$1:$ABN$500,E$2,0),$A$1551,INDEX(Техника!$H$1:$ABO$500,E$2,0),"П")</f>
        <v>0</v>
      </c>
      <c r="F1554" s="50">
        <f>SUMIFS(INDEX(Техника!$F$1:$ABM$500,F$2,0),Техника!$F$4:$ABM$4,"Часы",INDEX(Техника!$G$1:$ABN$500,F$2,0),$A$1551,INDEX(Техника!$H$1:$ABO$500,F$2,0),"П")</f>
        <v>0</v>
      </c>
      <c r="G1554" s="50">
        <f>SUMIFS(INDEX(Техника!$F$1:$ABM$500,G$2,0),Техника!$F$4:$ABM$4,"Часы",INDEX(Техника!$G$1:$ABN$500,G$2,0),$A$1551,INDEX(Техника!$H$1:$ABO$500,G$2,0),"П")</f>
        <v>0</v>
      </c>
      <c r="H1554" s="50">
        <f>SUMIFS(INDEX(Техника!$F$1:$ABM$500,H$2,0),Техника!$F$4:$ABM$4,"Часы",INDEX(Техника!$G$1:$ABN$500,H$2,0),$A$1551,INDEX(Техника!$H$1:$ABO$500,H$2,0),"П")</f>
        <v>0</v>
      </c>
      <c r="I1554" s="50">
        <f>SUMIFS(INDEX(Техника!$F$1:$ABM$500,I$2,0),Техника!$F$4:$ABM$4,"Часы",INDEX(Техника!$G$1:$ABN$500,I$2,0),$A$1551,INDEX(Техника!$H$1:$ABO$500,I$2,0),"П")</f>
        <v>0</v>
      </c>
      <c r="J1554" s="50">
        <f>SUMIFS(INDEX(Техника!$F$1:$ABM$500,J$2,0),Техника!$F$4:$ABM$4,"Часы",INDEX(Техника!$G$1:$ABN$500,J$2,0),$A$1551,INDEX(Техника!$H$1:$ABO$500,J$2,0),"П")</f>
        <v>0</v>
      </c>
      <c r="K1554" s="50">
        <f>SUMIFS(INDEX(Техника!$F$1:$ABM$500,K$2,0),Техника!$F$4:$ABM$4,"Часы",INDEX(Техника!$G$1:$ABN$500,K$2,0),$A$1551,INDEX(Техника!$H$1:$ABO$500,K$2,0),"П")</f>
        <v>0</v>
      </c>
      <c r="L1554" s="50">
        <f>SUMIFS(INDEX(Техника!$F$1:$ABM$500,L$2,0),Техника!$F$4:$ABM$4,"Часы",INDEX(Техника!$G$1:$ABN$500,L$2,0),$A$1551,INDEX(Техника!$H$1:$ABO$500,L$2,0),"П")</f>
        <v>0</v>
      </c>
      <c r="M1554" s="50">
        <f>SUMIFS(INDEX(Техника!$F$1:$ABM$500,M$2,0),Техника!$F$4:$ABM$4,"Часы",INDEX(Техника!$G$1:$ABN$500,M$2,0),$A$1551,INDEX(Техника!$H$1:$ABO$500,M$2,0),"П")</f>
        <v>0</v>
      </c>
      <c r="N1554" s="50">
        <f>SUMIFS(INDEX(Техника!$F$1:$ABM$500,N$2,0),Техника!$F$4:$ABM$4,"Часы",INDEX(Техника!$G$1:$ABN$500,N$2,0),$A$1551,INDEX(Техника!$H$1:$ABO$500,N$2,0),"П")</f>
        <v>0</v>
      </c>
      <c r="O1554" s="50">
        <f>SUMIFS(INDEX(Техника!$F$1:$ABM$500,O$2,0),Техника!$F$4:$ABM$4,"Часы",INDEX(Техника!$G$1:$ABN$500,O$2,0),$A$1551,INDEX(Техника!$H$1:$ABO$500,O$2,0),"П")</f>
        <v>0</v>
      </c>
      <c r="P1554" s="50">
        <f>SUMIFS(INDEX(Техника!$F$1:$ABM$500,P$2,0),Техника!$F$4:$ABM$4,"Часы",INDEX(Техника!$G$1:$ABN$500,P$2,0),$A$1551,INDEX(Техника!$H$1:$ABO$500,P$2,0),"П")</f>
        <v>0</v>
      </c>
      <c r="Q1554" s="50">
        <f>SUMIFS(INDEX(Техника!$F$1:$ABM$500,Q$2,0),Техника!$F$4:$ABM$4,"Часы",INDEX(Техника!$G$1:$ABN$500,Q$2,0),$A$1551,INDEX(Техника!$H$1:$ABO$500,Q$2,0),"П")</f>
        <v>0</v>
      </c>
      <c r="R1554" s="50">
        <f>SUMIFS(INDEX(Техника!$F$1:$ABM$500,R$2,0),Техника!$F$4:$ABM$4,"Часы",INDEX(Техника!$G$1:$ABN$500,R$2,0),$A$1551,INDEX(Техника!$H$1:$ABO$500,R$2,0),"П")</f>
        <v>0</v>
      </c>
      <c r="S1554" s="50">
        <f>SUMIFS(INDEX(Техника!$F$1:$ABM$500,S$2,0),Техника!$F$4:$ABM$4,"Часы",INDEX(Техника!$G$1:$ABN$500,S$2,0),$A$1551,INDEX(Техника!$H$1:$ABO$500,S$2,0),"П")</f>
        <v>0</v>
      </c>
      <c r="T1554" s="50">
        <f>SUMIFS(INDEX(Техника!$F$1:$ABM$500,T$2,0),Техника!$F$4:$ABM$4,"Часы",INDEX(Техника!$G$1:$ABN$500,T$2,0),$A$1551,INDEX(Техника!$H$1:$ABO$500,T$2,0),"П")</f>
        <v>0</v>
      </c>
      <c r="U1554" s="50">
        <f>SUMIFS(INDEX(Техника!$F$1:$ABM$500,U$2,0),Техника!$F$4:$ABM$4,"Часы",INDEX(Техника!$G$1:$ABN$500,U$2,0),$A$1551,INDEX(Техника!$H$1:$ABO$500,U$2,0),"П")</f>
        <v>0</v>
      </c>
      <c r="V1554" s="50">
        <f>SUMIFS(INDEX(Техника!$F$1:$ABM$500,V$2,0),Техника!$F$4:$ABM$4,"Часы",INDEX(Техника!$G$1:$ABN$500,V$2,0),$A$1551,INDEX(Техника!$H$1:$ABO$500,V$2,0),"П")</f>
        <v>0</v>
      </c>
      <c r="W1554" s="50">
        <f>SUMIFS(INDEX(Техника!$F$1:$ABM$500,W$2,0),Техника!$F$4:$ABM$4,"Часы",INDEX(Техника!$G$1:$ABN$500,W$2,0),$A$1551,INDEX(Техника!$H$1:$ABO$500,W$2,0),"П")</f>
        <v>0</v>
      </c>
      <c r="X1554" s="50">
        <f>SUMIFS(INDEX(Техника!$F$1:$ABM$500,X$2,0),Техника!$F$4:$ABM$4,"Часы",INDEX(Техника!$G$1:$ABN$500,X$2,0),$A$1551,INDEX(Техника!$H$1:$ABO$500,X$2,0),"П")</f>
        <v>0</v>
      </c>
      <c r="Y1554" s="50">
        <f>SUMIFS(INDEX(Техника!$F$1:$ABM$500,Y$2,0),Техника!$F$4:$ABM$4,"Часы",INDEX(Техника!$G$1:$ABN$500,Y$2,0),$A$1551,INDEX(Техника!$H$1:$ABO$500,Y$2,0),"П")</f>
        <v>0</v>
      </c>
      <c r="Z1554" s="50">
        <f>SUMIFS(INDEX(Техника!$F$1:$ABM$500,Z$2,0),Техника!$F$4:$ABM$4,"Часы",INDEX(Техника!$G$1:$ABN$500,Z$2,0),$A$1551,INDEX(Техника!$H$1:$ABO$500,Z$2,0),"П")</f>
        <v>0</v>
      </c>
      <c r="AA1554" s="50">
        <f>SUMIFS(INDEX(Техника!$F$1:$ABM$500,AA$2,0),Техника!$F$4:$ABM$4,"Часы",INDEX(Техника!$G$1:$ABN$500,AA$2,0),$A$1551,INDEX(Техника!$H$1:$ABO$500,AA$2,0),"П")</f>
        <v>0</v>
      </c>
      <c r="AB1554" s="50">
        <f>SUMIFS(INDEX(Техника!$F$1:$ABM$500,AB$2,0),Техника!$F$4:$ABM$4,"Часы",INDEX(Техника!$G$1:$ABN$500,AB$2,0),$A$1551,INDEX(Техника!$H$1:$ABO$500,AB$2,0),"П")</f>
        <v>0</v>
      </c>
    </row>
    <row r="1555" spans="1:28" hidden="1" outlineLevel="1" x14ac:dyDescent="0.3">
      <c r="A1555" s="33" t="s">
        <v>243</v>
      </c>
      <c r="B1555" s="34" t="s">
        <v>278</v>
      </c>
      <c r="C1555" s="50">
        <f>SUMIFS(INDEX(Техника!$F$1:$ABM$500,C$2,0),Техника!$F$4:$ABM$4,"Часы",INDEX(Техника!$G$1:$ABN$500,C$2,0),$A$1551,INDEX(Техника!$H$1:$ABO$500,C$2,0),"Л")</f>
        <v>0</v>
      </c>
      <c r="D1555" s="50">
        <f>SUMIFS(INDEX(Техника!$F$1:$ABM$500,D$2,0),Техника!$F$4:$ABM$4,"Часы",INDEX(Техника!$G$1:$ABN$500,D$2,0),$A$1551,INDEX(Техника!$H$1:$ABO$500,D$2,0),"Л")</f>
        <v>0</v>
      </c>
      <c r="E1555" s="50">
        <f>SUMIFS(INDEX(Техника!$F$1:$ABM$500,E$2,0),Техника!$F$4:$ABM$4,"Часы",INDEX(Техника!$G$1:$ABN$500,E$2,0),$A$1551,INDEX(Техника!$H$1:$ABO$500,E$2,0),"Л")</f>
        <v>0</v>
      </c>
      <c r="F1555" s="50">
        <f>SUMIFS(INDEX(Техника!$F$1:$ABM$500,F$2,0),Техника!$F$4:$ABM$4,"Часы",INDEX(Техника!$G$1:$ABN$500,F$2,0),$A$1551,INDEX(Техника!$H$1:$ABO$500,F$2,0),"Л")</f>
        <v>0</v>
      </c>
      <c r="G1555" s="50">
        <f>SUMIFS(INDEX(Техника!$F$1:$ABM$500,G$2,0),Техника!$F$4:$ABM$4,"Часы",INDEX(Техника!$G$1:$ABN$500,G$2,0),$A$1551,INDEX(Техника!$H$1:$ABO$500,G$2,0),"Л")</f>
        <v>0</v>
      </c>
      <c r="H1555" s="50">
        <f>SUMIFS(INDEX(Техника!$F$1:$ABM$500,H$2,0),Техника!$F$4:$ABM$4,"Часы",INDEX(Техника!$G$1:$ABN$500,H$2,0),$A$1551,INDEX(Техника!$H$1:$ABO$500,H$2,0),"Л")</f>
        <v>0</v>
      </c>
      <c r="I1555" s="50">
        <f>SUMIFS(INDEX(Техника!$F$1:$ABM$500,I$2,0),Техника!$F$4:$ABM$4,"Часы",INDEX(Техника!$G$1:$ABN$500,I$2,0),$A$1551,INDEX(Техника!$H$1:$ABO$500,I$2,0),"Л")</f>
        <v>0</v>
      </c>
      <c r="J1555" s="50">
        <f>SUMIFS(INDEX(Техника!$F$1:$ABM$500,J$2,0),Техника!$F$4:$ABM$4,"Часы",INDEX(Техника!$G$1:$ABN$500,J$2,0),$A$1551,INDEX(Техника!$H$1:$ABO$500,J$2,0),"Л")</f>
        <v>0</v>
      </c>
      <c r="K1555" s="50">
        <f>SUMIFS(INDEX(Техника!$F$1:$ABM$500,K$2,0),Техника!$F$4:$ABM$4,"Часы",INDEX(Техника!$G$1:$ABN$500,K$2,0),$A$1551,INDEX(Техника!$H$1:$ABO$500,K$2,0),"Л")</f>
        <v>0</v>
      </c>
      <c r="L1555" s="50">
        <f>SUMIFS(INDEX(Техника!$F$1:$ABM$500,L$2,0),Техника!$F$4:$ABM$4,"Часы",INDEX(Техника!$G$1:$ABN$500,L$2,0),$A$1551,INDEX(Техника!$H$1:$ABO$500,L$2,0),"Л")</f>
        <v>0</v>
      </c>
      <c r="M1555" s="50">
        <f>SUMIFS(INDEX(Техника!$F$1:$ABM$500,M$2,0),Техника!$F$4:$ABM$4,"Часы",INDEX(Техника!$G$1:$ABN$500,M$2,0),$A$1551,INDEX(Техника!$H$1:$ABO$500,M$2,0),"Л")</f>
        <v>0</v>
      </c>
      <c r="N1555" s="50">
        <f>SUMIFS(INDEX(Техника!$F$1:$ABM$500,N$2,0),Техника!$F$4:$ABM$4,"Часы",INDEX(Техника!$G$1:$ABN$500,N$2,0),$A$1551,INDEX(Техника!$H$1:$ABO$500,N$2,0),"Л")</f>
        <v>0</v>
      </c>
      <c r="O1555" s="50">
        <f>SUMIFS(INDEX(Техника!$F$1:$ABM$500,O$2,0),Техника!$F$4:$ABM$4,"Часы",INDEX(Техника!$G$1:$ABN$500,O$2,0),$A$1551,INDEX(Техника!$H$1:$ABO$500,O$2,0),"Л")</f>
        <v>0</v>
      </c>
      <c r="P1555" s="50">
        <f>SUMIFS(INDEX(Техника!$F$1:$ABM$500,P$2,0),Техника!$F$4:$ABM$4,"Часы",INDEX(Техника!$G$1:$ABN$500,P$2,0),$A$1551,INDEX(Техника!$H$1:$ABO$500,P$2,0),"Л")</f>
        <v>0</v>
      </c>
      <c r="Q1555" s="50">
        <f>SUMIFS(INDEX(Техника!$F$1:$ABM$500,Q$2,0),Техника!$F$4:$ABM$4,"Часы",INDEX(Техника!$G$1:$ABN$500,Q$2,0),$A$1551,INDEX(Техника!$H$1:$ABO$500,Q$2,0),"Л")</f>
        <v>0</v>
      </c>
      <c r="R1555" s="50">
        <f>SUMIFS(INDEX(Техника!$F$1:$ABM$500,R$2,0),Техника!$F$4:$ABM$4,"Часы",INDEX(Техника!$G$1:$ABN$500,R$2,0),$A$1551,INDEX(Техника!$H$1:$ABO$500,R$2,0),"Л")</f>
        <v>0</v>
      </c>
      <c r="S1555" s="50">
        <f>SUMIFS(INDEX(Техника!$F$1:$ABM$500,S$2,0),Техника!$F$4:$ABM$4,"Часы",INDEX(Техника!$G$1:$ABN$500,S$2,0),$A$1551,INDEX(Техника!$H$1:$ABO$500,S$2,0),"Л")</f>
        <v>0</v>
      </c>
      <c r="T1555" s="50">
        <f>SUMIFS(INDEX(Техника!$F$1:$ABM$500,T$2,0),Техника!$F$4:$ABM$4,"Часы",INDEX(Техника!$G$1:$ABN$500,T$2,0),$A$1551,INDEX(Техника!$H$1:$ABO$500,T$2,0),"Л")</f>
        <v>0</v>
      </c>
      <c r="U1555" s="50">
        <f>SUMIFS(INDEX(Техника!$F$1:$ABM$500,U$2,0),Техника!$F$4:$ABM$4,"Часы",INDEX(Техника!$G$1:$ABN$500,U$2,0),$A$1551,INDEX(Техника!$H$1:$ABO$500,U$2,0),"Л")</f>
        <v>0</v>
      </c>
      <c r="V1555" s="50">
        <f>SUMIFS(INDEX(Техника!$F$1:$ABM$500,V$2,0),Техника!$F$4:$ABM$4,"Часы",INDEX(Техника!$G$1:$ABN$500,V$2,0),$A$1551,INDEX(Техника!$H$1:$ABO$500,V$2,0),"Л")</f>
        <v>0</v>
      </c>
      <c r="W1555" s="50">
        <f>SUMIFS(INDEX(Техника!$F$1:$ABM$500,W$2,0),Техника!$F$4:$ABM$4,"Часы",INDEX(Техника!$G$1:$ABN$500,W$2,0),$A$1551,INDEX(Техника!$H$1:$ABO$500,W$2,0),"Л")</f>
        <v>0</v>
      </c>
      <c r="X1555" s="50">
        <f>SUMIFS(INDEX(Техника!$F$1:$ABM$500,X$2,0),Техника!$F$4:$ABM$4,"Часы",INDEX(Техника!$G$1:$ABN$500,X$2,0),$A$1551,INDEX(Техника!$H$1:$ABO$500,X$2,0),"Л")</f>
        <v>0</v>
      </c>
      <c r="Y1555" s="50">
        <f>SUMIFS(INDEX(Техника!$F$1:$ABM$500,Y$2,0),Техника!$F$4:$ABM$4,"Часы",INDEX(Техника!$G$1:$ABN$500,Y$2,0),$A$1551,INDEX(Техника!$H$1:$ABO$500,Y$2,0),"Л")</f>
        <v>0</v>
      </c>
      <c r="Z1555" s="50">
        <f>SUMIFS(INDEX(Техника!$F$1:$ABM$500,Z$2,0),Техника!$F$4:$ABM$4,"Часы",INDEX(Техника!$G$1:$ABN$500,Z$2,0),$A$1551,INDEX(Техника!$H$1:$ABO$500,Z$2,0),"Л")</f>
        <v>0</v>
      </c>
      <c r="AA1555" s="50">
        <f>SUMIFS(INDEX(Техника!$F$1:$ABM$500,AA$2,0),Техника!$F$4:$ABM$4,"Часы",INDEX(Техника!$G$1:$ABN$500,AA$2,0),$A$1551,INDEX(Техника!$H$1:$ABO$500,AA$2,0),"Л")</f>
        <v>0</v>
      </c>
      <c r="AB1555" s="50">
        <f>SUMIFS(INDEX(Техника!$F$1:$ABM$500,AB$2,0),Техника!$F$4:$ABM$4,"Часы",INDEX(Техника!$G$1:$ABN$500,AB$2,0),$A$1551,INDEX(Техника!$H$1:$ABO$500,AB$2,0),"Л")</f>
        <v>0</v>
      </c>
    </row>
    <row r="1556" spans="1:28" hidden="1" outlineLevel="1" x14ac:dyDescent="0.3">
      <c r="A1556" s="33" t="s">
        <v>245</v>
      </c>
      <c r="B1556" s="34" t="s">
        <v>279</v>
      </c>
      <c r="C1556" s="50">
        <f>SUMIFS(INDEX(Техника!$F$1:$ABM$500,C$2,0),Техника!$F$4:$ABM$4,"Часы",INDEX(Техника!$G$1:$ABN$500,C$2,0),$A$1551,INDEX(Техника!$H$1:$ABO$500,C$2,0),"З")</f>
        <v>0</v>
      </c>
      <c r="D1556" s="50">
        <f>SUMIFS(INDEX(Техника!$F$1:$ABM$500,D$2,0),Техника!$F$4:$ABM$4,"Часы",INDEX(Техника!$G$1:$ABN$500,D$2,0),$A$1551,INDEX(Техника!$H$1:$ABO$500,D$2,0),"З")</f>
        <v>0</v>
      </c>
      <c r="E1556" s="50">
        <f>SUMIFS(INDEX(Техника!$F$1:$ABM$500,E$2,0),Техника!$F$4:$ABM$4,"Часы",INDEX(Техника!$G$1:$ABN$500,E$2,0),$A$1551,INDEX(Техника!$H$1:$ABO$500,E$2,0),"З")</f>
        <v>0</v>
      </c>
      <c r="F1556" s="50">
        <f>SUMIFS(INDEX(Техника!$F$1:$ABM$500,F$2,0),Техника!$F$4:$ABM$4,"Часы",INDEX(Техника!$G$1:$ABN$500,F$2,0),$A$1551,INDEX(Техника!$H$1:$ABO$500,F$2,0),"З")</f>
        <v>0</v>
      </c>
      <c r="G1556" s="50">
        <f>SUMIFS(INDEX(Техника!$F$1:$ABM$500,G$2,0),Техника!$F$4:$ABM$4,"Часы",INDEX(Техника!$G$1:$ABN$500,G$2,0),$A$1551,INDEX(Техника!$H$1:$ABO$500,G$2,0),"З")</f>
        <v>0</v>
      </c>
      <c r="H1556" s="50">
        <f>SUMIFS(INDEX(Техника!$F$1:$ABM$500,H$2,0),Техника!$F$4:$ABM$4,"Часы",INDEX(Техника!$G$1:$ABN$500,H$2,0),$A$1551,INDEX(Техника!$H$1:$ABO$500,H$2,0),"З")</f>
        <v>0</v>
      </c>
      <c r="I1556" s="50">
        <f>SUMIFS(INDEX(Техника!$F$1:$ABM$500,I$2,0),Техника!$F$4:$ABM$4,"Часы",INDEX(Техника!$G$1:$ABN$500,I$2,0),$A$1551,INDEX(Техника!$H$1:$ABO$500,I$2,0),"З")</f>
        <v>0</v>
      </c>
      <c r="J1556" s="50">
        <f>SUMIFS(INDEX(Техника!$F$1:$ABM$500,J$2,0),Техника!$F$4:$ABM$4,"Часы",INDEX(Техника!$G$1:$ABN$500,J$2,0),$A$1551,INDEX(Техника!$H$1:$ABO$500,J$2,0),"З")</f>
        <v>0</v>
      </c>
      <c r="K1556" s="50">
        <f>SUMIFS(INDEX(Техника!$F$1:$ABM$500,K$2,0),Техника!$F$4:$ABM$4,"Часы",INDEX(Техника!$G$1:$ABN$500,K$2,0),$A$1551,INDEX(Техника!$H$1:$ABO$500,K$2,0),"З")</f>
        <v>0</v>
      </c>
      <c r="L1556" s="50">
        <f>SUMIFS(INDEX(Техника!$F$1:$ABM$500,L$2,0),Техника!$F$4:$ABM$4,"Часы",INDEX(Техника!$G$1:$ABN$500,L$2,0),$A$1551,INDEX(Техника!$H$1:$ABO$500,L$2,0),"З")</f>
        <v>0</v>
      </c>
      <c r="M1556" s="50">
        <f>SUMIFS(INDEX(Техника!$F$1:$ABM$500,M$2,0),Техника!$F$4:$ABM$4,"Часы",INDEX(Техника!$G$1:$ABN$500,M$2,0),$A$1551,INDEX(Техника!$H$1:$ABO$500,M$2,0),"З")</f>
        <v>0</v>
      </c>
      <c r="N1556" s="50">
        <f>SUMIFS(INDEX(Техника!$F$1:$ABM$500,N$2,0),Техника!$F$4:$ABM$4,"Часы",INDEX(Техника!$G$1:$ABN$500,N$2,0),$A$1551,INDEX(Техника!$H$1:$ABO$500,N$2,0),"З")</f>
        <v>0</v>
      </c>
      <c r="O1556" s="50">
        <f>SUMIFS(INDEX(Техника!$F$1:$ABM$500,O$2,0),Техника!$F$4:$ABM$4,"Часы",INDEX(Техника!$G$1:$ABN$500,O$2,0),$A$1551,INDEX(Техника!$H$1:$ABO$500,O$2,0),"З")</f>
        <v>0</v>
      </c>
      <c r="P1556" s="50">
        <f>SUMIFS(INDEX(Техника!$F$1:$ABM$500,P$2,0),Техника!$F$4:$ABM$4,"Часы",INDEX(Техника!$G$1:$ABN$500,P$2,0),$A$1551,INDEX(Техника!$H$1:$ABO$500,P$2,0),"З")</f>
        <v>0</v>
      </c>
      <c r="Q1556" s="50">
        <f>SUMIFS(INDEX(Техника!$F$1:$ABM$500,Q$2,0),Техника!$F$4:$ABM$4,"Часы",INDEX(Техника!$G$1:$ABN$500,Q$2,0),$A$1551,INDEX(Техника!$H$1:$ABO$500,Q$2,0),"З")</f>
        <v>0</v>
      </c>
      <c r="R1556" s="50">
        <f>SUMIFS(INDEX(Техника!$F$1:$ABM$500,R$2,0),Техника!$F$4:$ABM$4,"Часы",INDEX(Техника!$G$1:$ABN$500,R$2,0),$A$1551,INDEX(Техника!$H$1:$ABO$500,R$2,0),"З")</f>
        <v>0</v>
      </c>
      <c r="S1556" s="50">
        <f>SUMIFS(INDEX(Техника!$F$1:$ABM$500,S$2,0),Техника!$F$4:$ABM$4,"Часы",INDEX(Техника!$G$1:$ABN$500,S$2,0),$A$1551,INDEX(Техника!$H$1:$ABO$500,S$2,0),"З")</f>
        <v>0</v>
      </c>
      <c r="T1556" s="50">
        <f>SUMIFS(INDEX(Техника!$F$1:$ABM$500,T$2,0),Техника!$F$4:$ABM$4,"Часы",INDEX(Техника!$G$1:$ABN$500,T$2,0),$A$1551,INDEX(Техника!$H$1:$ABO$500,T$2,0),"З")</f>
        <v>0</v>
      </c>
      <c r="U1556" s="50">
        <f>SUMIFS(INDEX(Техника!$F$1:$ABM$500,U$2,0),Техника!$F$4:$ABM$4,"Часы",INDEX(Техника!$G$1:$ABN$500,U$2,0),$A$1551,INDEX(Техника!$H$1:$ABO$500,U$2,0),"З")</f>
        <v>0</v>
      </c>
      <c r="V1556" s="50">
        <f>SUMIFS(INDEX(Техника!$F$1:$ABM$500,V$2,0),Техника!$F$4:$ABM$4,"Часы",INDEX(Техника!$G$1:$ABN$500,V$2,0),$A$1551,INDEX(Техника!$H$1:$ABO$500,V$2,0),"З")</f>
        <v>0</v>
      </c>
      <c r="W1556" s="50">
        <f>SUMIFS(INDEX(Техника!$F$1:$ABM$500,W$2,0),Техника!$F$4:$ABM$4,"Часы",INDEX(Техника!$G$1:$ABN$500,W$2,0),$A$1551,INDEX(Техника!$H$1:$ABO$500,W$2,0),"З")</f>
        <v>0</v>
      </c>
      <c r="X1556" s="50">
        <f>SUMIFS(INDEX(Техника!$F$1:$ABM$500,X$2,0),Техника!$F$4:$ABM$4,"Часы",INDEX(Техника!$G$1:$ABN$500,X$2,0),$A$1551,INDEX(Техника!$H$1:$ABO$500,X$2,0),"З")</f>
        <v>0</v>
      </c>
      <c r="Y1556" s="50">
        <f>SUMIFS(INDEX(Техника!$F$1:$ABM$500,Y$2,0),Техника!$F$4:$ABM$4,"Часы",INDEX(Техника!$G$1:$ABN$500,Y$2,0),$A$1551,INDEX(Техника!$H$1:$ABO$500,Y$2,0),"З")</f>
        <v>0</v>
      </c>
      <c r="Z1556" s="50">
        <f>SUMIFS(INDEX(Техника!$F$1:$ABM$500,Z$2,0),Техника!$F$4:$ABM$4,"Часы",INDEX(Техника!$G$1:$ABN$500,Z$2,0),$A$1551,INDEX(Техника!$H$1:$ABO$500,Z$2,0),"З")</f>
        <v>0</v>
      </c>
      <c r="AA1556" s="50">
        <f>SUMIFS(INDEX(Техника!$F$1:$ABM$500,AA$2,0),Техника!$F$4:$ABM$4,"Часы",INDEX(Техника!$G$1:$ABN$500,AA$2,0),$A$1551,INDEX(Техника!$H$1:$ABO$500,AA$2,0),"З")</f>
        <v>0</v>
      </c>
      <c r="AB1556" s="50">
        <f>SUMIFS(INDEX(Техника!$F$1:$ABM$500,AB$2,0),Техника!$F$4:$ABM$4,"Часы",INDEX(Техника!$G$1:$ABN$500,AB$2,0),$A$1551,INDEX(Техника!$H$1:$ABO$500,AB$2,0),"З")</f>
        <v>0</v>
      </c>
    </row>
    <row r="1557" spans="1:28" ht="7.95" customHeight="1" x14ac:dyDescent="0.3">
      <c r="A1557" s="38"/>
      <c r="B1557" s="39"/>
      <c r="C1557" s="51"/>
      <c r="D1557" s="51"/>
      <c r="E1557" s="51"/>
      <c r="F1557" s="51"/>
      <c r="G1557" s="51"/>
      <c r="H1557" s="51"/>
      <c r="I1557" s="51"/>
      <c r="J1557" s="51"/>
      <c r="K1557" s="51"/>
      <c r="L1557" s="51"/>
      <c r="M1557" s="51"/>
      <c r="N1557" s="51"/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  <c r="AA1557" s="51"/>
      <c r="AB1557" s="51"/>
    </row>
    <row r="1558" spans="1:28" ht="25.05" customHeight="1" collapsed="1" x14ac:dyDescent="0.3">
      <c r="A1558" s="32">
        <v>223</v>
      </c>
      <c r="B1558" s="32" t="s">
        <v>224</v>
      </c>
      <c r="C1558" s="49">
        <f>SUM(C1559:C1563)</f>
        <v>0</v>
      </c>
      <c r="D1558" s="49">
        <f>SUM(D1559:D1563)</f>
        <v>0</v>
      </c>
      <c r="E1558" s="49">
        <f>SUM(E1559:E1563)</f>
        <v>0</v>
      </c>
      <c r="F1558" s="49">
        <f>SUM(F1559:F1563)</f>
        <v>0</v>
      </c>
      <c r="G1558" s="49">
        <f>SUM(G1559:G1563)</f>
        <v>0</v>
      </c>
      <c r="H1558" s="49">
        <f>SUM(H1559:H1563)</f>
        <v>0</v>
      </c>
      <c r="I1558" s="49">
        <f>SUM(I1559:I1563)</f>
        <v>0</v>
      </c>
      <c r="J1558" s="49">
        <f>SUM(J1559:J1563)</f>
        <v>0</v>
      </c>
      <c r="K1558" s="49">
        <f>SUM(K1559:K1563)</f>
        <v>0</v>
      </c>
      <c r="L1558" s="49">
        <f>SUM(L1559:L1563)</f>
        <v>0</v>
      </c>
      <c r="M1558" s="49">
        <f>SUM(M1559:M1563)</f>
        <v>0</v>
      </c>
      <c r="N1558" s="49">
        <f>SUM(N1559:N1563)</f>
        <v>0</v>
      </c>
      <c r="O1558" s="49">
        <f>SUM(O1559:O1563)</f>
        <v>0</v>
      </c>
      <c r="P1558" s="49">
        <f>SUM(P1559:P1563)</f>
        <v>0</v>
      </c>
      <c r="Q1558" s="49">
        <f>SUM(Q1559:Q1563)</f>
        <v>0</v>
      </c>
      <c r="R1558" s="49">
        <f>SUM(R1559:R1563)</f>
        <v>0</v>
      </c>
      <c r="S1558" s="49">
        <f>SUM(S1559:S1563)</f>
        <v>0</v>
      </c>
      <c r="T1558" s="49">
        <f>SUM(T1559:T1563)</f>
        <v>0</v>
      </c>
      <c r="U1558" s="49">
        <f>SUM(U1559:U1563)</f>
        <v>0</v>
      </c>
      <c r="V1558" s="49">
        <f>SUM(V1559:V1563)</f>
        <v>0</v>
      </c>
      <c r="W1558" s="49">
        <f>SUM(W1559:W1563)</f>
        <v>0</v>
      </c>
      <c r="X1558" s="49">
        <f>SUM(X1559:X1563)</f>
        <v>0</v>
      </c>
      <c r="Y1558" s="49">
        <f>SUM(Y1559:Y1563)</f>
        <v>0</v>
      </c>
      <c r="Z1558" s="49">
        <f>SUM(Z1559:Z1563)</f>
        <v>0</v>
      </c>
      <c r="AA1558" s="49">
        <f>SUM(AA1559:AA1563)</f>
        <v>0</v>
      </c>
      <c r="AB1558" s="49">
        <f>SUM(AB1559:AB1563)</f>
        <v>0</v>
      </c>
    </row>
    <row r="1559" spans="1:28" hidden="1" outlineLevel="1" x14ac:dyDescent="0.3">
      <c r="A1559" s="33" t="s">
        <v>246</v>
      </c>
      <c r="B1559" s="34" t="s">
        <v>274</v>
      </c>
      <c r="C1559" s="50">
        <f>SUMIFS(INDEX(Техника!$F$1:$ABM$500,C$2,0),Техника!$F$4:$ABM$4,"Часы",INDEX(Техника!$G$1:$ABN$500,C$2,0),$A$1558,INDEX(Техника!$H$1:$ABO$500,C$2,0),"М")</f>
        <v>0</v>
      </c>
      <c r="D1559" s="50">
        <f>SUMIFS(INDEX(Техника!$F$1:$ABM$500,D$2,0),Техника!$F$4:$ABM$4,"Часы",INDEX(Техника!$G$1:$ABN$500,D$2,0),$A$1558,INDEX(Техника!$H$1:$ABO$500,D$2,0),"М")</f>
        <v>0</v>
      </c>
      <c r="E1559" s="50">
        <f>SUMIFS(INDEX(Техника!$F$1:$ABM$500,E$2,0),Техника!$F$4:$ABM$4,"Часы",INDEX(Техника!$G$1:$ABN$500,E$2,0),$A$1558,INDEX(Техника!$H$1:$ABO$500,E$2,0),"М")</f>
        <v>0</v>
      </c>
      <c r="F1559" s="50">
        <f>SUMIFS(INDEX(Техника!$F$1:$ABM$500,F$2,0),Техника!$F$4:$ABM$4,"Часы",INDEX(Техника!$G$1:$ABN$500,F$2,0),$A$1558,INDEX(Техника!$H$1:$ABO$500,F$2,0),"М")</f>
        <v>0</v>
      </c>
      <c r="G1559" s="50">
        <f>SUMIFS(INDEX(Техника!$F$1:$ABM$500,G$2,0),Техника!$F$4:$ABM$4,"Часы",INDEX(Техника!$G$1:$ABN$500,G$2,0),$A$1558,INDEX(Техника!$H$1:$ABO$500,G$2,0),"М")</f>
        <v>0</v>
      </c>
      <c r="H1559" s="50">
        <f>SUMIFS(INDEX(Техника!$F$1:$ABM$500,H$2,0),Техника!$F$4:$ABM$4,"Часы",INDEX(Техника!$G$1:$ABN$500,H$2,0),$A$1558,INDEX(Техника!$H$1:$ABO$500,H$2,0),"М")</f>
        <v>0</v>
      </c>
      <c r="I1559" s="50">
        <f>SUMIFS(INDEX(Техника!$F$1:$ABM$500,I$2,0),Техника!$F$4:$ABM$4,"Часы",INDEX(Техника!$G$1:$ABN$500,I$2,0),$A$1558,INDEX(Техника!$H$1:$ABO$500,I$2,0),"М")</f>
        <v>0</v>
      </c>
      <c r="J1559" s="50">
        <f>SUMIFS(INDEX(Техника!$F$1:$ABM$500,J$2,0),Техника!$F$4:$ABM$4,"Часы",INDEX(Техника!$G$1:$ABN$500,J$2,0),$A$1558,INDEX(Техника!$H$1:$ABO$500,J$2,0),"М")</f>
        <v>0</v>
      </c>
      <c r="K1559" s="50">
        <f>SUMIFS(INDEX(Техника!$F$1:$ABM$500,K$2,0),Техника!$F$4:$ABM$4,"Часы",INDEX(Техника!$G$1:$ABN$500,K$2,0),$A$1558,INDEX(Техника!$H$1:$ABO$500,K$2,0),"М")</f>
        <v>0</v>
      </c>
      <c r="L1559" s="50">
        <f>SUMIFS(INDEX(Техника!$F$1:$ABM$500,L$2,0),Техника!$F$4:$ABM$4,"Часы",INDEX(Техника!$G$1:$ABN$500,L$2,0),$A$1558,INDEX(Техника!$H$1:$ABO$500,L$2,0),"М")</f>
        <v>0</v>
      </c>
      <c r="M1559" s="50">
        <f>SUMIFS(INDEX(Техника!$F$1:$ABM$500,M$2,0),Техника!$F$4:$ABM$4,"Часы",INDEX(Техника!$G$1:$ABN$500,M$2,0),$A$1558,INDEX(Техника!$H$1:$ABO$500,M$2,0),"М")</f>
        <v>0</v>
      </c>
      <c r="N1559" s="50">
        <f>SUMIFS(INDEX(Техника!$F$1:$ABM$500,N$2,0),Техника!$F$4:$ABM$4,"Часы",INDEX(Техника!$G$1:$ABN$500,N$2,0),$A$1558,INDEX(Техника!$H$1:$ABO$500,N$2,0),"М")</f>
        <v>0</v>
      </c>
      <c r="O1559" s="50">
        <f>SUMIFS(INDEX(Техника!$F$1:$ABM$500,O$2,0),Техника!$F$4:$ABM$4,"Часы",INDEX(Техника!$G$1:$ABN$500,O$2,0),$A$1558,INDEX(Техника!$H$1:$ABO$500,O$2,0),"М")</f>
        <v>0</v>
      </c>
      <c r="P1559" s="50">
        <f>SUMIFS(INDEX(Техника!$F$1:$ABM$500,P$2,0),Техника!$F$4:$ABM$4,"Часы",INDEX(Техника!$G$1:$ABN$500,P$2,0),$A$1558,INDEX(Техника!$H$1:$ABO$500,P$2,0),"М")</f>
        <v>0</v>
      </c>
      <c r="Q1559" s="50">
        <f>SUMIFS(INDEX(Техника!$F$1:$ABM$500,Q$2,0),Техника!$F$4:$ABM$4,"Часы",INDEX(Техника!$G$1:$ABN$500,Q$2,0),$A$1558,INDEX(Техника!$H$1:$ABO$500,Q$2,0),"М")</f>
        <v>0</v>
      </c>
      <c r="R1559" s="50">
        <f>SUMIFS(INDEX(Техника!$F$1:$ABM$500,R$2,0),Техника!$F$4:$ABM$4,"Часы",INDEX(Техника!$G$1:$ABN$500,R$2,0),$A$1558,INDEX(Техника!$H$1:$ABO$500,R$2,0),"М")</f>
        <v>0</v>
      </c>
      <c r="S1559" s="50">
        <f>SUMIFS(INDEX(Техника!$F$1:$ABM$500,S$2,0),Техника!$F$4:$ABM$4,"Часы",INDEX(Техника!$G$1:$ABN$500,S$2,0),$A$1558,INDEX(Техника!$H$1:$ABO$500,S$2,0),"М")</f>
        <v>0</v>
      </c>
      <c r="T1559" s="50">
        <f>SUMIFS(INDEX(Техника!$F$1:$ABM$500,T$2,0),Техника!$F$4:$ABM$4,"Часы",INDEX(Техника!$G$1:$ABN$500,T$2,0),$A$1558,INDEX(Техника!$H$1:$ABO$500,T$2,0),"М")</f>
        <v>0</v>
      </c>
      <c r="U1559" s="50">
        <f>SUMIFS(INDEX(Техника!$F$1:$ABM$500,U$2,0),Техника!$F$4:$ABM$4,"Часы",INDEX(Техника!$G$1:$ABN$500,U$2,0),$A$1558,INDEX(Техника!$H$1:$ABO$500,U$2,0),"М")</f>
        <v>0</v>
      </c>
      <c r="V1559" s="50">
        <f>SUMIFS(INDEX(Техника!$F$1:$ABM$500,V$2,0),Техника!$F$4:$ABM$4,"Часы",INDEX(Техника!$G$1:$ABN$500,V$2,0),$A$1558,INDEX(Техника!$H$1:$ABO$500,V$2,0),"М")</f>
        <v>0</v>
      </c>
      <c r="W1559" s="50">
        <f>SUMIFS(INDEX(Техника!$F$1:$ABM$500,W$2,0),Техника!$F$4:$ABM$4,"Часы",INDEX(Техника!$G$1:$ABN$500,W$2,0),$A$1558,INDEX(Техника!$H$1:$ABO$500,W$2,0),"М")</f>
        <v>0</v>
      </c>
      <c r="X1559" s="50">
        <f>SUMIFS(INDEX(Техника!$F$1:$ABM$500,X$2,0),Техника!$F$4:$ABM$4,"Часы",INDEX(Техника!$G$1:$ABN$500,X$2,0),$A$1558,INDEX(Техника!$H$1:$ABO$500,X$2,0),"М")</f>
        <v>0</v>
      </c>
      <c r="Y1559" s="50">
        <f>SUMIFS(INDEX(Техника!$F$1:$ABM$500,Y$2,0),Техника!$F$4:$ABM$4,"Часы",INDEX(Техника!$G$1:$ABN$500,Y$2,0),$A$1558,INDEX(Техника!$H$1:$ABO$500,Y$2,0),"М")</f>
        <v>0</v>
      </c>
      <c r="Z1559" s="50">
        <f>SUMIFS(INDEX(Техника!$F$1:$ABM$500,Z$2,0),Техника!$F$4:$ABM$4,"Часы",INDEX(Техника!$G$1:$ABN$500,Z$2,0),$A$1558,INDEX(Техника!$H$1:$ABO$500,Z$2,0),"М")</f>
        <v>0</v>
      </c>
      <c r="AA1559" s="50">
        <f>SUMIFS(INDEX(Техника!$F$1:$ABM$500,AA$2,0),Техника!$F$4:$ABM$4,"Часы",INDEX(Техника!$G$1:$ABN$500,AA$2,0),$A$1558,INDEX(Техника!$H$1:$ABO$500,AA$2,0),"М")</f>
        <v>0</v>
      </c>
      <c r="AB1559" s="50">
        <f>SUMIFS(INDEX(Техника!$F$1:$ABM$500,AB$2,0),Техника!$F$4:$ABM$4,"Часы",INDEX(Техника!$G$1:$ABN$500,AB$2,0),$A$1558,INDEX(Техника!$H$1:$ABO$500,AB$2,0),"М")</f>
        <v>0</v>
      </c>
    </row>
    <row r="1560" spans="1:28" hidden="1" outlineLevel="1" x14ac:dyDescent="0.3">
      <c r="A1560" s="33" t="s">
        <v>244</v>
      </c>
      <c r="B1560" s="34" t="s">
        <v>275</v>
      </c>
      <c r="C1560" s="50">
        <f>SUMIFS(INDEX(Техника!$F$1:$ABM$500,C$2,0),Техника!$F$4:$ABM$4,"Часы",INDEX(Техника!$G$1:$ABN$500,C$2,0),$A$1558,INDEX(Техника!$H$1:$ABO$500,C$2,0),"Д")</f>
        <v>0</v>
      </c>
      <c r="D1560" s="50">
        <f>SUMIFS(INDEX(Техника!$F$1:$ABM$500,D$2,0),Техника!$F$4:$ABM$4,"Часы",INDEX(Техника!$G$1:$ABN$500,D$2,0),$A$1558,INDEX(Техника!$H$1:$ABO$500,D$2,0),"Д")</f>
        <v>0</v>
      </c>
      <c r="E1560" s="50">
        <f>SUMIFS(INDEX(Техника!$F$1:$ABM$500,E$2,0),Техника!$F$4:$ABM$4,"Часы",INDEX(Техника!$G$1:$ABN$500,E$2,0),$A$1558,INDEX(Техника!$H$1:$ABO$500,E$2,0),"Д")</f>
        <v>0</v>
      </c>
      <c r="F1560" s="50">
        <f>SUMIFS(INDEX(Техника!$F$1:$ABM$500,F$2,0),Техника!$F$4:$ABM$4,"Часы",INDEX(Техника!$G$1:$ABN$500,F$2,0),$A$1558,INDEX(Техника!$H$1:$ABO$500,F$2,0),"Д")</f>
        <v>0</v>
      </c>
      <c r="G1560" s="50">
        <f>SUMIFS(INDEX(Техника!$F$1:$ABM$500,G$2,0),Техника!$F$4:$ABM$4,"Часы",INDEX(Техника!$G$1:$ABN$500,G$2,0),$A$1558,INDEX(Техника!$H$1:$ABO$500,G$2,0),"Д")</f>
        <v>0</v>
      </c>
      <c r="H1560" s="50">
        <f>SUMIFS(INDEX(Техника!$F$1:$ABM$500,H$2,0),Техника!$F$4:$ABM$4,"Часы",INDEX(Техника!$G$1:$ABN$500,H$2,0),$A$1558,INDEX(Техника!$H$1:$ABO$500,H$2,0),"Д")</f>
        <v>0</v>
      </c>
      <c r="I1560" s="50">
        <f>SUMIFS(INDEX(Техника!$F$1:$ABM$500,I$2,0),Техника!$F$4:$ABM$4,"Часы",INDEX(Техника!$G$1:$ABN$500,I$2,0),$A$1558,INDEX(Техника!$H$1:$ABO$500,I$2,0),"Д")</f>
        <v>0</v>
      </c>
      <c r="J1560" s="50">
        <f>SUMIFS(INDEX(Техника!$F$1:$ABM$500,J$2,0),Техника!$F$4:$ABM$4,"Часы",INDEX(Техника!$G$1:$ABN$500,J$2,0),$A$1558,INDEX(Техника!$H$1:$ABO$500,J$2,0),"Д")</f>
        <v>0</v>
      </c>
      <c r="K1560" s="50">
        <f>SUMIFS(INDEX(Техника!$F$1:$ABM$500,K$2,0),Техника!$F$4:$ABM$4,"Часы",INDEX(Техника!$G$1:$ABN$500,K$2,0),$A$1558,INDEX(Техника!$H$1:$ABO$500,K$2,0),"Д")</f>
        <v>0</v>
      </c>
      <c r="L1560" s="50">
        <f>SUMIFS(INDEX(Техника!$F$1:$ABM$500,L$2,0),Техника!$F$4:$ABM$4,"Часы",INDEX(Техника!$G$1:$ABN$500,L$2,0),$A$1558,INDEX(Техника!$H$1:$ABO$500,L$2,0),"Д")</f>
        <v>0</v>
      </c>
      <c r="M1560" s="50">
        <f>SUMIFS(INDEX(Техника!$F$1:$ABM$500,M$2,0),Техника!$F$4:$ABM$4,"Часы",INDEX(Техника!$G$1:$ABN$500,M$2,0),$A$1558,INDEX(Техника!$H$1:$ABO$500,M$2,0),"Д")</f>
        <v>0</v>
      </c>
      <c r="N1560" s="50">
        <f>SUMIFS(INDEX(Техника!$F$1:$ABM$500,N$2,0),Техника!$F$4:$ABM$4,"Часы",INDEX(Техника!$G$1:$ABN$500,N$2,0),$A$1558,INDEX(Техника!$H$1:$ABO$500,N$2,0),"Д")</f>
        <v>0</v>
      </c>
      <c r="O1560" s="50">
        <f>SUMIFS(INDEX(Техника!$F$1:$ABM$500,O$2,0),Техника!$F$4:$ABM$4,"Часы",INDEX(Техника!$G$1:$ABN$500,O$2,0),$A$1558,INDEX(Техника!$H$1:$ABO$500,O$2,0),"Д")</f>
        <v>0</v>
      </c>
      <c r="P1560" s="50">
        <f>SUMIFS(INDEX(Техника!$F$1:$ABM$500,P$2,0),Техника!$F$4:$ABM$4,"Часы",INDEX(Техника!$G$1:$ABN$500,P$2,0),$A$1558,INDEX(Техника!$H$1:$ABO$500,P$2,0),"Д")</f>
        <v>0</v>
      </c>
      <c r="Q1560" s="50">
        <f>SUMIFS(INDEX(Техника!$F$1:$ABM$500,Q$2,0),Техника!$F$4:$ABM$4,"Часы",INDEX(Техника!$G$1:$ABN$500,Q$2,0),$A$1558,INDEX(Техника!$H$1:$ABO$500,Q$2,0),"Д")</f>
        <v>0</v>
      </c>
      <c r="R1560" s="50">
        <f>SUMIFS(INDEX(Техника!$F$1:$ABM$500,R$2,0),Техника!$F$4:$ABM$4,"Часы",INDEX(Техника!$G$1:$ABN$500,R$2,0),$A$1558,INDEX(Техника!$H$1:$ABO$500,R$2,0),"Д")</f>
        <v>0</v>
      </c>
      <c r="S1560" s="50">
        <f>SUMIFS(INDEX(Техника!$F$1:$ABM$500,S$2,0),Техника!$F$4:$ABM$4,"Часы",INDEX(Техника!$G$1:$ABN$500,S$2,0),$A$1558,INDEX(Техника!$H$1:$ABO$500,S$2,0),"Д")</f>
        <v>0</v>
      </c>
      <c r="T1560" s="50">
        <f>SUMIFS(INDEX(Техника!$F$1:$ABM$500,T$2,0),Техника!$F$4:$ABM$4,"Часы",INDEX(Техника!$G$1:$ABN$500,T$2,0),$A$1558,INDEX(Техника!$H$1:$ABO$500,T$2,0),"Д")</f>
        <v>0</v>
      </c>
      <c r="U1560" s="50">
        <f>SUMIFS(INDEX(Техника!$F$1:$ABM$500,U$2,0),Техника!$F$4:$ABM$4,"Часы",INDEX(Техника!$G$1:$ABN$500,U$2,0),$A$1558,INDEX(Техника!$H$1:$ABO$500,U$2,0),"Д")</f>
        <v>0</v>
      </c>
      <c r="V1560" s="50">
        <f>SUMIFS(INDEX(Техника!$F$1:$ABM$500,V$2,0),Техника!$F$4:$ABM$4,"Часы",INDEX(Техника!$G$1:$ABN$500,V$2,0),$A$1558,INDEX(Техника!$H$1:$ABO$500,V$2,0),"Д")</f>
        <v>0</v>
      </c>
      <c r="W1560" s="50">
        <f>SUMIFS(INDEX(Техника!$F$1:$ABM$500,W$2,0),Техника!$F$4:$ABM$4,"Часы",INDEX(Техника!$G$1:$ABN$500,W$2,0),$A$1558,INDEX(Техника!$H$1:$ABO$500,W$2,0),"Д")</f>
        <v>0</v>
      </c>
      <c r="X1560" s="50">
        <f>SUMIFS(INDEX(Техника!$F$1:$ABM$500,X$2,0),Техника!$F$4:$ABM$4,"Часы",INDEX(Техника!$G$1:$ABN$500,X$2,0),$A$1558,INDEX(Техника!$H$1:$ABO$500,X$2,0),"Д")</f>
        <v>0</v>
      </c>
      <c r="Y1560" s="50">
        <f>SUMIFS(INDEX(Техника!$F$1:$ABM$500,Y$2,0),Техника!$F$4:$ABM$4,"Часы",INDEX(Техника!$G$1:$ABN$500,Y$2,0),$A$1558,INDEX(Техника!$H$1:$ABO$500,Y$2,0),"Д")</f>
        <v>0</v>
      </c>
      <c r="Z1560" s="50">
        <f>SUMIFS(INDEX(Техника!$F$1:$ABM$500,Z$2,0),Техника!$F$4:$ABM$4,"Часы",INDEX(Техника!$G$1:$ABN$500,Z$2,0),$A$1558,INDEX(Техника!$H$1:$ABO$500,Z$2,0),"Д")</f>
        <v>0</v>
      </c>
      <c r="AA1560" s="50">
        <f>SUMIFS(INDEX(Техника!$F$1:$ABM$500,AA$2,0),Техника!$F$4:$ABM$4,"Часы",INDEX(Техника!$G$1:$ABN$500,AA$2,0),$A$1558,INDEX(Техника!$H$1:$ABO$500,AA$2,0),"Д")</f>
        <v>0</v>
      </c>
      <c r="AB1560" s="50">
        <f>SUMIFS(INDEX(Техника!$F$1:$ABM$500,AB$2,0),Техника!$F$4:$ABM$4,"Часы",INDEX(Техника!$G$1:$ABN$500,AB$2,0),$A$1558,INDEX(Техника!$H$1:$ABO$500,AB$2,0),"Д")</f>
        <v>0</v>
      </c>
    </row>
    <row r="1561" spans="1:28" hidden="1" outlineLevel="1" x14ac:dyDescent="0.3">
      <c r="A1561" s="33" t="s">
        <v>276</v>
      </c>
      <c r="B1561" s="34" t="s">
        <v>277</v>
      </c>
      <c r="C1561" s="50">
        <f>SUMIFS(INDEX(Техника!$F$1:$ABM$500,C$2,0),Техника!$F$4:$ABM$4,"Часы",INDEX(Техника!$G$1:$ABN$500,C$2,0),$A$1558,INDEX(Техника!$H$1:$ABO$500,C$2,0),"П")</f>
        <v>0</v>
      </c>
      <c r="D1561" s="50">
        <f>SUMIFS(INDEX(Техника!$F$1:$ABM$500,D$2,0),Техника!$F$4:$ABM$4,"Часы",INDEX(Техника!$G$1:$ABN$500,D$2,0),$A$1558,INDEX(Техника!$H$1:$ABO$500,D$2,0),"П")</f>
        <v>0</v>
      </c>
      <c r="E1561" s="50">
        <f>SUMIFS(INDEX(Техника!$F$1:$ABM$500,E$2,0),Техника!$F$4:$ABM$4,"Часы",INDEX(Техника!$G$1:$ABN$500,E$2,0),$A$1558,INDEX(Техника!$H$1:$ABO$500,E$2,0),"П")</f>
        <v>0</v>
      </c>
      <c r="F1561" s="50">
        <f>SUMIFS(INDEX(Техника!$F$1:$ABM$500,F$2,0),Техника!$F$4:$ABM$4,"Часы",INDEX(Техника!$G$1:$ABN$500,F$2,0),$A$1558,INDEX(Техника!$H$1:$ABO$500,F$2,0),"П")</f>
        <v>0</v>
      </c>
      <c r="G1561" s="50">
        <f>SUMIFS(INDEX(Техника!$F$1:$ABM$500,G$2,0),Техника!$F$4:$ABM$4,"Часы",INDEX(Техника!$G$1:$ABN$500,G$2,0),$A$1558,INDEX(Техника!$H$1:$ABO$500,G$2,0),"П")</f>
        <v>0</v>
      </c>
      <c r="H1561" s="50">
        <f>SUMIFS(INDEX(Техника!$F$1:$ABM$500,H$2,0),Техника!$F$4:$ABM$4,"Часы",INDEX(Техника!$G$1:$ABN$500,H$2,0),$A$1558,INDEX(Техника!$H$1:$ABO$500,H$2,0),"П")</f>
        <v>0</v>
      </c>
      <c r="I1561" s="50">
        <f>SUMIFS(INDEX(Техника!$F$1:$ABM$500,I$2,0),Техника!$F$4:$ABM$4,"Часы",INDEX(Техника!$G$1:$ABN$500,I$2,0),$A$1558,INDEX(Техника!$H$1:$ABO$500,I$2,0),"П")</f>
        <v>0</v>
      </c>
      <c r="J1561" s="50">
        <f>SUMIFS(INDEX(Техника!$F$1:$ABM$500,J$2,0),Техника!$F$4:$ABM$4,"Часы",INDEX(Техника!$G$1:$ABN$500,J$2,0),$A$1558,INDEX(Техника!$H$1:$ABO$500,J$2,0),"П")</f>
        <v>0</v>
      </c>
      <c r="K1561" s="50">
        <f>SUMIFS(INDEX(Техника!$F$1:$ABM$500,K$2,0),Техника!$F$4:$ABM$4,"Часы",INDEX(Техника!$G$1:$ABN$500,K$2,0),$A$1558,INDEX(Техника!$H$1:$ABO$500,K$2,0),"П")</f>
        <v>0</v>
      </c>
      <c r="L1561" s="50">
        <f>SUMIFS(INDEX(Техника!$F$1:$ABM$500,L$2,0),Техника!$F$4:$ABM$4,"Часы",INDEX(Техника!$G$1:$ABN$500,L$2,0),$A$1558,INDEX(Техника!$H$1:$ABO$500,L$2,0),"П")</f>
        <v>0</v>
      </c>
      <c r="M1561" s="50">
        <f>SUMIFS(INDEX(Техника!$F$1:$ABM$500,M$2,0),Техника!$F$4:$ABM$4,"Часы",INDEX(Техника!$G$1:$ABN$500,M$2,0),$A$1558,INDEX(Техника!$H$1:$ABO$500,M$2,0),"П")</f>
        <v>0</v>
      </c>
      <c r="N1561" s="50">
        <f>SUMIFS(INDEX(Техника!$F$1:$ABM$500,N$2,0),Техника!$F$4:$ABM$4,"Часы",INDEX(Техника!$G$1:$ABN$500,N$2,0),$A$1558,INDEX(Техника!$H$1:$ABO$500,N$2,0),"П")</f>
        <v>0</v>
      </c>
      <c r="O1561" s="50">
        <f>SUMIFS(INDEX(Техника!$F$1:$ABM$500,O$2,0),Техника!$F$4:$ABM$4,"Часы",INDEX(Техника!$G$1:$ABN$500,O$2,0),$A$1558,INDEX(Техника!$H$1:$ABO$500,O$2,0),"П")</f>
        <v>0</v>
      </c>
      <c r="P1561" s="50">
        <f>SUMIFS(INDEX(Техника!$F$1:$ABM$500,P$2,0),Техника!$F$4:$ABM$4,"Часы",INDEX(Техника!$G$1:$ABN$500,P$2,0),$A$1558,INDEX(Техника!$H$1:$ABO$500,P$2,0),"П")</f>
        <v>0</v>
      </c>
      <c r="Q1561" s="50">
        <f>SUMIFS(INDEX(Техника!$F$1:$ABM$500,Q$2,0),Техника!$F$4:$ABM$4,"Часы",INDEX(Техника!$G$1:$ABN$500,Q$2,0),$A$1558,INDEX(Техника!$H$1:$ABO$500,Q$2,0),"П")</f>
        <v>0</v>
      </c>
      <c r="R1561" s="50">
        <f>SUMIFS(INDEX(Техника!$F$1:$ABM$500,R$2,0),Техника!$F$4:$ABM$4,"Часы",INDEX(Техника!$G$1:$ABN$500,R$2,0),$A$1558,INDEX(Техника!$H$1:$ABO$500,R$2,0),"П")</f>
        <v>0</v>
      </c>
      <c r="S1561" s="50">
        <f>SUMIFS(INDEX(Техника!$F$1:$ABM$500,S$2,0),Техника!$F$4:$ABM$4,"Часы",INDEX(Техника!$G$1:$ABN$500,S$2,0),$A$1558,INDEX(Техника!$H$1:$ABO$500,S$2,0),"П")</f>
        <v>0</v>
      </c>
      <c r="T1561" s="50">
        <f>SUMIFS(INDEX(Техника!$F$1:$ABM$500,T$2,0),Техника!$F$4:$ABM$4,"Часы",INDEX(Техника!$G$1:$ABN$500,T$2,0),$A$1558,INDEX(Техника!$H$1:$ABO$500,T$2,0),"П")</f>
        <v>0</v>
      </c>
      <c r="U1561" s="50">
        <f>SUMIFS(INDEX(Техника!$F$1:$ABM$500,U$2,0),Техника!$F$4:$ABM$4,"Часы",INDEX(Техника!$G$1:$ABN$500,U$2,0),$A$1558,INDEX(Техника!$H$1:$ABO$500,U$2,0),"П")</f>
        <v>0</v>
      </c>
      <c r="V1561" s="50">
        <f>SUMIFS(INDEX(Техника!$F$1:$ABM$500,V$2,0),Техника!$F$4:$ABM$4,"Часы",INDEX(Техника!$G$1:$ABN$500,V$2,0),$A$1558,INDEX(Техника!$H$1:$ABO$500,V$2,0),"П")</f>
        <v>0</v>
      </c>
      <c r="W1561" s="50">
        <f>SUMIFS(INDEX(Техника!$F$1:$ABM$500,W$2,0),Техника!$F$4:$ABM$4,"Часы",INDEX(Техника!$G$1:$ABN$500,W$2,0),$A$1558,INDEX(Техника!$H$1:$ABO$500,W$2,0),"П")</f>
        <v>0</v>
      </c>
      <c r="X1561" s="50">
        <f>SUMIFS(INDEX(Техника!$F$1:$ABM$500,X$2,0),Техника!$F$4:$ABM$4,"Часы",INDEX(Техника!$G$1:$ABN$500,X$2,0),$A$1558,INDEX(Техника!$H$1:$ABO$500,X$2,0),"П")</f>
        <v>0</v>
      </c>
      <c r="Y1561" s="50">
        <f>SUMIFS(INDEX(Техника!$F$1:$ABM$500,Y$2,0),Техника!$F$4:$ABM$4,"Часы",INDEX(Техника!$G$1:$ABN$500,Y$2,0),$A$1558,INDEX(Техника!$H$1:$ABO$500,Y$2,0),"П")</f>
        <v>0</v>
      </c>
      <c r="Z1561" s="50">
        <f>SUMIFS(INDEX(Техника!$F$1:$ABM$500,Z$2,0),Техника!$F$4:$ABM$4,"Часы",INDEX(Техника!$G$1:$ABN$500,Z$2,0),$A$1558,INDEX(Техника!$H$1:$ABO$500,Z$2,0),"П")</f>
        <v>0</v>
      </c>
      <c r="AA1561" s="50">
        <f>SUMIFS(INDEX(Техника!$F$1:$ABM$500,AA$2,0),Техника!$F$4:$ABM$4,"Часы",INDEX(Техника!$G$1:$ABN$500,AA$2,0),$A$1558,INDEX(Техника!$H$1:$ABO$500,AA$2,0),"П")</f>
        <v>0</v>
      </c>
      <c r="AB1561" s="50">
        <f>SUMIFS(INDEX(Техника!$F$1:$ABM$500,AB$2,0),Техника!$F$4:$ABM$4,"Часы",INDEX(Техника!$G$1:$ABN$500,AB$2,0),$A$1558,INDEX(Техника!$H$1:$ABO$500,AB$2,0),"П")</f>
        <v>0</v>
      </c>
    </row>
    <row r="1562" spans="1:28" hidden="1" outlineLevel="1" x14ac:dyDescent="0.3">
      <c r="A1562" s="33" t="s">
        <v>243</v>
      </c>
      <c r="B1562" s="34" t="s">
        <v>278</v>
      </c>
      <c r="C1562" s="50">
        <f>SUMIFS(INDEX(Техника!$F$1:$ABM$500,C$2,0),Техника!$F$4:$ABM$4,"Часы",INDEX(Техника!$G$1:$ABN$500,C$2,0),$A$1558,INDEX(Техника!$H$1:$ABO$500,C$2,0),"Л")</f>
        <v>0</v>
      </c>
      <c r="D1562" s="50">
        <f>SUMIFS(INDEX(Техника!$F$1:$ABM$500,D$2,0),Техника!$F$4:$ABM$4,"Часы",INDEX(Техника!$G$1:$ABN$500,D$2,0),$A$1558,INDEX(Техника!$H$1:$ABO$500,D$2,0),"Л")</f>
        <v>0</v>
      </c>
      <c r="E1562" s="50">
        <f>SUMIFS(INDEX(Техника!$F$1:$ABM$500,E$2,0),Техника!$F$4:$ABM$4,"Часы",INDEX(Техника!$G$1:$ABN$500,E$2,0),$A$1558,INDEX(Техника!$H$1:$ABO$500,E$2,0),"Л")</f>
        <v>0</v>
      </c>
      <c r="F1562" s="50">
        <f>SUMIFS(INDEX(Техника!$F$1:$ABM$500,F$2,0),Техника!$F$4:$ABM$4,"Часы",INDEX(Техника!$G$1:$ABN$500,F$2,0),$A$1558,INDEX(Техника!$H$1:$ABO$500,F$2,0),"Л")</f>
        <v>0</v>
      </c>
      <c r="G1562" s="50">
        <f>SUMIFS(INDEX(Техника!$F$1:$ABM$500,G$2,0),Техника!$F$4:$ABM$4,"Часы",INDEX(Техника!$G$1:$ABN$500,G$2,0),$A$1558,INDEX(Техника!$H$1:$ABO$500,G$2,0),"Л")</f>
        <v>0</v>
      </c>
      <c r="H1562" s="50">
        <f>SUMIFS(INDEX(Техника!$F$1:$ABM$500,H$2,0),Техника!$F$4:$ABM$4,"Часы",INDEX(Техника!$G$1:$ABN$500,H$2,0),$A$1558,INDEX(Техника!$H$1:$ABO$500,H$2,0),"Л")</f>
        <v>0</v>
      </c>
      <c r="I1562" s="50">
        <f>SUMIFS(INDEX(Техника!$F$1:$ABM$500,I$2,0),Техника!$F$4:$ABM$4,"Часы",INDEX(Техника!$G$1:$ABN$500,I$2,0),$A$1558,INDEX(Техника!$H$1:$ABO$500,I$2,0),"Л")</f>
        <v>0</v>
      </c>
      <c r="J1562" s="50">
        <f>SUMIFS(INDEX(Техника!$F$1:$ABM$500,J$2,0),Техника!$F$4:$ABM$4,"Часы",INDEX(Техника!$G$1:$ABN$500,J$2,0),$A$1558,INDEX(Техника!$H$1:$ABO$500,J$2,0),"Л")</f>
        <v>0</v>
      </c>
      <c r="K1562" s="50">
        <f>SUMIFS(INDEX(Техника!$F$1:$ABM$500,K$2,0),Техника!$F$4:$ABM$4,"Часы",INDEX(Техника!$G$1:$ABN$500,K$2,0),$A$1558,INDEX(Техника!$H$1:$ABO$500,K$2,0),"Л")</f>
        <v>0</v>
      </c>
      <c r="L1562" s="50">
        <f>SUMIFS(INDEX(Техника!$F$1:$ABM$500,L$2,0),Техника!$F$4:$ABM$4,"Часы",INDEX(Техника!$G$1:$ABN$500,L$2,0),$A$1558,INDEX(Техника!$H$1:$ABO$500,L$2,0),"Л")</f>
        <v>0</v>
      </c>
      <c r="M1562" s="50">
        <f>SUMIFS(INDEX(Техника!$F$1:$ABM$500,M$2,0),Техника!$F$4:$ABM$4,"Часы",INDEX(Техника!$G$1:$ABN$500,M$2,0),$A$1558,INDEX(Техника!$H$1:$ABO$500,M$2,0),"Л")</f>
        <v>0</v>
      </c>
      <c r="N1562" s="50">
        <f>SUMIFS(INDEX(Техника!$F$1:$ABM$500,N$2,0),Техника!$F$4:$ABM$4,"Часы",INDEX(Техника!$G$1:$ABN$500,N$2,0),$A$1558,INDEX(Техника!$H$1:$ABO$500,N$2,0),"Л")</f>
        <v>0</v>
      </c>
      <c r="O1562" s="50">
        <f>SUMIFS(INDEX(Техника!$F$1:$ABM$500,O$2,0),Техника!$F$4:$ABM$4,"Часы",INDEX(Техника!$G$1:$ABN$500,O$2,0),$A$1558,INDEX(Техника!$H$1:$ABO$500,O$2,0),"Л")</f>
        <v>0</v>
      </c>
      <c r="P1562" s="50">
        <f>SUMIFS(INDEX(Техника!$F$1:$ABM$500,P$2,0),Техника!$F$4:$ABM$4,"Часы",INDEX(Техника!$G$1:$ABN$500,P$2,0),$A$1558,INDEX(Техника!$H$1:$ABO$500,P$2,0),"Л")</f>
        <v>0</v>
      </c>
      <c r="Q1562" s="50">
        <f>SUMIFS(INDEX(Техника!$F$1:$ABM$500,Q$2,0),Техника!$F$4:$ABM$4,"Часы",INDEX(Техника!$G$1:$ABN$500,Q$2,0),$A$1558,INDEX(Техника!$H$1:$ABO$500,Q$2,0),"Л")</f>
        <v>0</v>
      </c>
      <c r="R1562" s="50">
        <f>SUMIFS(INDEX(Техника!$F$1:$ABM$500,R$2,0),Техника!$F$4:$ABM$4,"Часы",INDEX(Техника!$G$1:$ABN$500,R$2,0),$A$1558,INDEX(Техника!$H$1:$ABO$500,R$2,0),"Л")</f>
        <v>0</v>
      </c>
      <c r="S1562" s="50">
        <f>SUMIFS(INDEX(Техника!$F$1:$ABM$500,S$2,0),Техника!$F$4:$ABM$4,"Часы",INDEX(Техника!$G$1:$ABN$500,S$2,0),$A$1558,INDEX(Техника!$H$1:$ABO$500,S$2,0),"Л")</f>
        <v>0</v>
      </c>
      <c r="T1562" s="50">
        <f>SUMIFS(INDEX(Техника!$F$1:$ABM$500,T$2,0),Техника!$F$4:$ABM$4,"Часы",INDEX(Техника!$G$1:$ABN$500,T$2,0),$A$1558,INDEX(Техника!$H$1:$ABO$500,T$2,0),"Л")</f>
        <v>0</v>
      </c>
      <c r="U1562" s="50">
        <f>SUMIFS(INDEX(Техника!$F$1:$ABM$500,U$2,0),Техника!$F$4:$ABM$4,"Часы",INDEX(Техника!$G$1:$ABN$500,U$2,0),$A$1558,INDEX(Техника!$H$1:$ABO$500,U$2,0),"Л")</f>
        <v>0</v>
      </c>
      <c r="V1562" s="50">
        <f>SUMIFS(INDEX(Техника!$F$1:$ABM$500,V$2,0),Техника!$F$4:$ABM$4,"Часы",INDEX(Техника!$G$1:$ABN$500,V$2,0),$A$1558,INDEX(Техника!$H$1:$ABO$500,V$2,0),"Л")</f>
        <v>0</v>
      </c>
      <c r="W1562" s="50">
        <f>SUMIFS(INDEX(Техника!$F$1:$ABM$500,W$2,0),Техника!$F$4:$ABM$4,"Часы",INDEX(Техника!$G$1:$ABN$500,W$2,0),$A$1558,INDEX(Техника!$H$1:$ABO$500,W$2,0),"Л")</f>
        <v>0</v>
      </c>
      <c r="X1562" s="50">
        <f>SUMIFS(INDEX(Техника!$F$1:$ABM$500,X$2,0),Техника!$F$4:$ABM$4,"Часы",INDEX(Техника!$G$1:$ABN$500,X$2,0),$A$1558,INDEX(Техника!$H$1:$ABO$500,X$2,0),"Л")</f>
        <v>0</v>
      </c>
      <c r="Y1562" s="50">
        <f>SUMIFS(INDEX(Техника!$F$1:$ABM$500,Y$2,0),Техника!$F$4:$ABM$4,"Часы",INDEX(Техника!$G$1:$ABN$500,Y$2,0),$A$1558,INDEX(Техника!$H$1:$ABO$500,Y$2,0),"Л")</f>
        <v>0</v>
      </c>
      <c r="Z1562" s="50">
        <f>SUMIFS(INDEX(Техника!$F$1:$ABM$500,Z$2,0),Техника!$F$4:$ABM$4,"Часы",INDEX(Техника!$G$1:$ABN$500,Z$2,0),$A$1558,INDEX(Техника!$H$1:$ABO$500,Z$2,0),"Л")</f>
        <v>0</v>
      </c>
      <c r="AA1562" s="50">
        <f>SUMIFS(INDEX(Техника!$F$1:$ABM$500,AA$2,0),Техника!$F$4:$ABM$4,"Часы",INDEX(Техника!$G$1:$ABN$500,AA$2,0),$A$1558,INDEX(Техника!$H$1:$ABO$500,AA$2,0),"Л")</f>
        <v>0</v>
      </c>
      <c r="AB1562" s="50">
        <f>SUMIFS(INDEX(Техника!$F$1:$ABM$500,AB$2,0),Техника!$F$4:$ABM$4,"Часы",INDEX(Техника!$G$1:$ABN$500,AB$2,0),$A$1558,INDEX(Техника!$H$1:$ABO$500,AB$2,0),"Л")</f>
        <v>0</v>
      </c>
    </row>
    <row r="1563" spans="1:28" hidden="1" outlineLevel="1" x14ac:dyDescent="0.3">
      <c r="A1563" s="33" t="s">
        <v>245</v>
      </c>
      <c r="B1563" s="34" t="s">
        <v>279</v>
      </c>
      <c r="C1563" s="50">
        <f>SUMIFS(INDEX(Техника!$F$1:$ABM$500,C$2,0),Техника!$F$4:$ABM$4,"Часы",INDEX(Техника!$G$1:$ABN$500,C$2,0),$A$1558,INDEX(Техника!$H$1:$ABO$500,C$2,0),"З")</f>
        <v>0</v>
      </c>
      <c r="D1563" s="50">
        <f>SUMIFS(INDEX(Техника!$F$1:$ABM$500,D$2,0),Техника!$F$4:$ABM$4,"Часы",INDEX(Техника!$G$1:$ABN$500,D$2,0),$A$1558,INDEX(Техника!$H$1:$ABO$500,D$2,0),"З")</f>
        <v>0</v>
      </c>
      <c r="E1563" s="50">
        <f>SUMIFS(INDEX(Техника!$F$1:$ABM$500,E$2,0),Техника!$F$4:$ABM$4,"Часы",INDEX(Техника!$G$1:$ABN$500,E$2,0),$A$1558,INDEX(Техника!$H$1:$ABO$500,E$2,0),"З")</f>
        <v>0</v>
      </c>
      <c r="F1563" s="50">
        <f>SUMIFS(INDEX(Техника!$F$1:$ABM$500,F$2,0),Техника!$F$4:$ABM$4,"Часы",INDEX(Техника!$G$1:$ABN$500,F$2,0),$A$1558,INDEX(Техника!$H$1:$ABO$500,F$2,0),"З")</f>
        <v>0</v>
      </c>
      <c r="G1563" s="50">
        <f>SUMIFS(INDEX(Техника!$F$1:$ABM$500,G$2,0),Техника!$F$4:$ABM$4,"Часы",INDEX(Техника!$G$1:$ABN$500,G$2,0),$A$1558,INDEX(Техника!$H$1:$ABO$500,G$2,0),"З")</f>
        <v>0</v>
      </c>
      <c r="H1563" s="50">
        <f>SUMIFS(INDEX(Техника!$F$1:$ABM$500,H$2,0),Техника!$F$4:$ABM$4,"Часы",INDEX(Техника!$G$1:$ABN$500,H$2,0),$A$1558,INDEX(Техника!$H$1:$ABO$500,H$2,0),"З")</f>
        <v>0</v>
      </c>
      <c r="I1563" s="50">
        <f>SUMIFS(INDEX(Техника!$F$1:$ABM$500,I$2,0),Техника!$F$4:$ABM$4,"Часы",INDEX(Техника!$G$1:$ABN$500,I$2,0),$A$1558,INDEX(Техника!$H$1:$ABO$500,I$2,0),"З")</f>
        <v>0</v>
      </c>
      <c r="J1563" s="50">
        <f>SUMIFS(INDEX(Техника!$F$1:$ABM$500,J$2,0),Техника!$F$4:$ABM$4,"Часы",INDEX(Техника!$G$1:$ABN$500,J$2,0),$A$1558,INDEX(Техника!$H$1:$ABO$500,J$2,0),"З")</f>
        <v>0</v>
      </c>
      <c r="K1563" s="50">
        <f>SUMIFS(INDEX(Техника!$F$1:$ABM$500,K$2,0),Техника!$F$4:$ABM$4,"Часы",INDEX(Техника!$G$1:$ABN$500,K$2,0),$A$1558,INDEX(Техника!$H$1:$ABO$500,K$2,0),"З")</f>
        <v>0</v>
      </c>
      <c r="L1563" s="50">
        <f>SUMIFS(INDEX(Техника!$F$1:$ABM$500,L$2,0),Техника!$F$4:$ABM$4,"Часы",INDEX(Техника!$G$1:$ABN$500,L$2,0),$A$1558,INDEX(Техника!$H$1:$ABO$500,L$2,0),"З")</f>
        <v>0</v>
      </c>
      <c r="M1563" s="50">
        <f>SUMIFS(INDEX(Техника!$F$1:$ABM$500,M$2,0),Техника!$F$4:$ABM$4,"Часы",INDEX(Техника!$G$1:$ABN$500,M$2,0),$A$1558,INDEX(Техника!$H$1:$ABO$500,M$2,0),"З")</f>
        <v>0</v>
      </c>
      <c r="N1563" s="50">
        <f>SUMIFS(INDEX(Техника!$F$1:$ABM$500,N$2,0),Техника!$F$4:$ABM$4,"Часы",INDEX(Техника!$G$1:$ABN$500,N$2,0),$A$1558,INDEX(Техника!$H$1:$ABO$500,N$2,0),"З")</f>
        <v>0</v>
      </c>
      <c r="O1563" s="50">
        <f>SUMIFS(INDEX(Техника!$F$1:$ABM$500,O$2,0),Техника!$F$4:$ABM$4,"Часы",INDEX(Техника!$G$1:$ABN$500,O$2,0),$A$1558,INDEX(Техника!$H$1:$ABO$500,O$2,0),"З")</f>
        <v>0</v>
      </c>
      <c r="P1563" s="50">
        <f>SUMIFS(INDEX(Техника!$F$1:$ABM$500,P$2,0),Техника!$F$4:$ABM$4,"Часы",INDEX(Техника!$G$1:$ABN$500,P$2,0),$A$1558,INDEX(Техника!$H$1:$ABO$500,P$2,0),"З")</f>
        <v>0</v>
      </c>
      <c r="Q1563" s="50">
        <f>SUMIFS(INDEX(Техника!$F$1:$ABM$500,Q$2,0),Техника!$F$4:$ABM$4,"Часы",INDEX(Техника!$G$1:$ABN$500,Q$2,0),$A$1558,INDEX(Техника!$H$1:$ABO$500,Q$2,0),"З")</f>
        <v>0</v>
      </c>
      <c r="R1563" s="50">
        <f>SUMIFS(INDEX(Техника!$F$1:$ABM$500,R$2,0),Техника!$F$4:$ABM$4,"Часы",INDEX(Техника!$G$1:$ABN$500,R$2,0),$A$1558,INDEX(Техника!$H$1:$ABO$500,R$2,0),"З")</f>
        <v>0</v>
      </c>
      <c r="S1563" s="50">
        <f>SUMIFS(INDEX(Техника!$F$1:$ABM$500,S$2,0),Техника!$F$4:$ABM$4,"Часы",INDEX(Техника!$G$1:$ABN$500,S$2,0),$A$1558,INDEX(Техника!$H$1:$ABO$500,S$2,0),"З")</f>
        <v>0</v>
      </c>
      <c r="T1563" s="50">
        <f>SUMIFS(INDEX(Техника!$F$1:$ABM$500,T$2,0),Техника!$F$4:$ABM$4,"Часы",INDEX(Техника!$G$1:$ABN$500,T$2,0),$A$1558,INDEX(Техника!$H$1:$ABO$500,T$2,0),"З")</f>
        <v>0</v>
      </c>
      <c r="U1563" s="50">
        <f>SUMIFS(INDEX(Техника!$F$1:$ABM$500,U$2,0),Техника!$F$4:$ABM$4,"Часы",INDEX(Техника!$G$1:$ABN$500,U$2,0),$A$1558,INDEX(Техника!$H$1:$ABO$500,U$2,0),"З")</f>
        <v>0</v>
      </c>
      <c r="V1563" s="50">
        <f>SUMIFS(INDEX(Техника!$F$1:$ABM$500,V$2,0),Техника!$F$4:$ABM$4,"Часы",INDEX(Техника!$G$1:$ABN$500,V$2,0),$A$1558,INDEX(Техника!$H$1:$ABO$500,V$2,0),"З")</f>
        <v>0</v>
      </c>
      <c r="W1563" s="50">
        <f>SUMIFS(INDEX(Техника!$F$1:$ABM$500,W$2,0),Техника!$F$4:$ABM$4,"Часы",INDEX(Техника!$G$1:$ABN$500,W$2,0),$A$1558,INDEX(Техника!$H$1:$ABO$500,W$2,0),"З")</f>
        <v>0</v>
      </c>
      <c r="X1563" s="50">
        <f>SUMIFS(INDEX(Техника!$F$1:$ABM$500,X$2,0),Техника!$F$4:$ABM$4,"Часы",INDEX(Техника!$G$1:$ABN$500,X$2,0),$A$1558,INDEX(Техника!$H$1:$ABO$500,X$2,0),"З")</f>
        <v>0</v>
      </c>
      <c r="Y1563" s="50">
        <f>SUMIFS(INDEX(Техника!$F$1:$ABM$500,Y$2,0),Техника!$F$4:$ABM$4,"Часы",INDEX(Техника!$G$1:$ABN$500,Y$2,0),$A$1558,INDEX(Техника!$H$1:$ABO$500,Y$2,0),"З")</f>
        <v>0</v>
      </c>
      <c r="Z1563" s="50">
        <f>SUMIFS(INDEX(Техника!$F$1:$ABM$500,Z$2,0),Техника!$F$4:$ABM$4,"Часы",INDEX(Техника!$G$1:$ABN$500,Z$2,0),$A$1558,INDEX(Техника!$H$1:$ABO$500,Z$2,0),"З")</f>
        <v>0</v>
      </c>
      <c r="AA1563" s="50">
        <f>SUMIFS(INDEX(Техника!$F$1:$ABM$500,AA$2,0),Техника!$F$4:$ABM$4,"Часы",INDEX(Техника!$G$1:$ABN$500,AA$2,0),$A$1558,INDEX(Техника!$H$1:$ABO$500,AA$2,0),"З")</f>
        <v>0</v>
      </c>
      <c r="AB1563" s="50">
        <f>SUMIFS(INDEX(Техника!$F$1:$ABM$500,AB$2,0),Техника!$F$4:$ABM$4,"Часы",INDEX(Техника!$G$1:$ABN$500,AB$2,0),$A$1558,INDEX(Техника!$H$1:$ABO$500,AB$2,0),"З")</f>
        <v>0</v>
      </c>
    </row>
    <row r="1564" spans="1:28" ht="7.95" customHeight="1" x14ac:dyDescent="0.3">
      <c r="A1564" s="38"/>
      <c r="B1564" s="39"/>
      <c r="C1564" s="51"/>
      <c r="D1564" s="51"/>
      <c r="E1564" s="51"/>
      <c r="F1564" s="51"/>
      <c r="G1564" s="51"/>
      <c r="H1564" s="51"/>
      <c r="I1564" s="51"/>
      <c r="J1564" s="51"/>
      <c r="K1564" s="51"/>
      <c r="L1564" s="51"/>
      <c r="M1564" s="51"/>
      <c r="N1564" s="51"/>
      <c r="O1564" s="51"/>
      <c r="P1564" s="51"/>
      <c r="Q1564" s="51"/>
      <c r="R1564" s="51"/>
      <c r="S1564" s="51"/>
      <c r="T1564" s="51"/>
      <c r="U1564" s="51"/>
      <c r="V1564" s="51"/>
      <c r="W1564" s="51"/>
      <c r="X1564" s="51"/>
      <c r="Y1564" s="51"/>
      <c r="Z1564" s="51"/>
      <c r="AA1564" s="51"/>
      <c r="AB1564" s="51"/>
    </row>
    <row r="1565" spans="1:28" ht="25.05" customHeight="1" collapsed="1" x14ac:dyDescent="0.3">
      <c r="A1565" s="32">
        <v>224</v>
      </c>
      <c r="B1565" s="32" t="s">
        <v>225</v>
      </c>
      <c r="C1565" s="49">
        <f>SUM(C1566:C1570)</f>
        <v>0</v>
      </c>
      <c r="D1565" s="49">
        <f>SUM(D1566:D1570)</f>
        <v>0</v>
      </c>
      <c r="E1565" s="49">
        <f>SUM(E1566:E1570)</f>
        <v>0</v>
      </c>
      <c r="F1565" s="49">
        <f>SUM(F1566:F1570)</f>
        <v>0</v>
      </c>
      <c r="G1565" s="49">
        <f>SUM(G1566:G1570)</f>
        <v>0</v>
      </c>
      <c r="H1565" s="49">
        <f>SUM(H1566:H1570)</f>
        <v>0</v>
      </c>
      <c r="I1565" s="49">
        <f>SUM(I1566:I1570)</f>
        <v>0</v>
      </c>
      <c r="J1565" s="49">
        <f>SUM(J1566:J1570)</f>
        <v>0</v>
      </c>
      <c r="K1565" s="49">
        <f>SUM(K1566:K1570)</f>
        <v>0</v>
      </c>
      <c r="L1565" s="49">
        <f>SUM(L1566:L1570)</f>
        <v>0</v>
      </c>
      <c r="M1565" s="49">
        <f>SUM(M1566:M1570)</f>
        <v>0</v>
      </c>
      <c r="N1565" s="49">
        <f>SUM(N1566:N1570)</f>
        <v>0</v>
      </c>
      <c r="O1565" s="49">
        <f>SUM(O1566:O1570)</f>
        <v>0</v>
      </c>
      <c r="P1565" s="49">
        <f>SUM(P1566:P1570)</f>
        <v>0</v>
      </c>
      <c r="Q1565" s="49">
        <f>SUM(Q1566:Q1570)</f>
        <v>0</v>
      </c>
      <c r="R1565" s="49">
        <f>SUM(R1566:R1570)</f>
        <v>0</v>
      </c>
      <c r="S1565" s="49">
        <f>SUM(S1566:S1570)</f>
        <v>0</v>
      </c>
      <c r="T1565" s="49">
        <f>SUM(T1566:T1570)</f>
        <v>0</v>
      </c>
      <c r="U1565" s="49">
        <f>SUM(U1566:U1570)</f>
        <v>0</v>
      </c>
      <c r="V1565" s="49">
        <f>SUM(V1566:V1570)</f>
        <v>0</v>
      </c>
      <c r="W1565" s="49">
        <f>SUM(W1566:W1570)</f>
        <v>0</v>
      </c>
      <c r="X1565" s="49">
        <f>SUM(X1566:X1570)</f>
        <v>0</v>
      </c>
      <c r="Y1565" s="49">
        <f>SUM(Y1566:Y1570)</f>
        <v>0</v>
      </c>
      <c r="Z1565" s="49">
        <f>SUM(Z1566:Z1570)</f>
        <v>0</v>
      </c>
      <c r="AA1565" s="49">
        <f>SUM(AA1566:AA1570)</f>
        <v>0</v>
      </c>
      <c r="AB1565" s="49">
        <f>SUM(AB1566:AB1570)</f>
        <v>0</v>
      </c>
    </row>
    <row r="1566" spans="1:28" hidden="1" outlineLevel="1" x14ac:dyDescent="0.3">
      <c r="A1566" s="33" t="s">
        <v>246</v>
      </c>
      <c r="B1566" s="34" t="s">
        <v>274</v>
      </c>
      <c r="C1566" s="50">
        <f>SUMIFS(INDEX(Техника!$F$1:$ABM$500,C$2,0),Техника!$F$4:$ABM$4,"Часы",INDEX(Техника!$G$1:$ABN$500,C$2,0),$A$1565,INDEX(Техника!$H$1:$ABO$500,C$2,0),"М")</f>
        <v>0</v>
      </c>
      <c r="D1566" s="50">
        <f>SUMIFS(INDEX(Техника!$F$1:$ABM$500,D$2,0),Техника!$F$4:$ABM$4,"Часы",INDEX(Техника!$G$1:$ABN$500,D$2,0),$A$1565,INDEX(Техника!$H$1:$ABO$500,D$2,0),"М")</f>
        <v>0</v>
      </c>
      <c r="E1566" s="50">
        <f>SUMIFS(INDEX(Техника!$F$1:$ABM$500,E$2,0),Техника!$F$4:$ABM$4,"Часы",INDEX(Техника!$G$1:$ABN$500,E$2,0),$A$1565,INDEX(Техника!$H$1:$ABO$500,E$2,0),"М")</f>
        <v>0</v>
      </c>
      <c r="F1566" s="50">
        <f>SUMIFS(INDEX(Техника!$F$1:$ABM$500,F$2,0),Техника!$F$4:$ABM$4,"Часы",INDEX(Техника!$G$1:$ABN$500,F$2,0),$A$1565,INDEX(Техника!$H$1:$ABO$500,F$2,0),"М")</f>
        <v>0</v>
      </c>
      <c r="G1566" s="50">
        <f>SUMIFS(INDEX(Техника!$F$1:$ABM$500,G$2,0),Техника!$F$4:$ABM$4,"Часы",INDEX(Техника!$G$1:$ABN$500,G$2,0),$A$1565,INDEX(Техника!$H$1:$ABO$500,G$2,0),"М")</f>
        <v>0</v>
      </c>
      <c r="H1566" s="50">
        <f>SUMIFS(INDEX(Техника!$F$1:$ABM$500,H$2,0),Техника!$F$4:$ABM$4,"Часы",INDEX(Техника!$G$1:$ABN$500,H$2,0),$A$1565,INDEX(Техника!$H$1:$ABO$500,H$2,0),"М")</f>
        <v>0</v>
      </c>
      <c r="I1566" s="50">
        <f>SUMIFS(INDEX(Техника!$F$1:$ABM$500,I$2,0),Техника!$F$4:$ABM$4,"Часы",INDEX(Техника!$G$1:$ABN$500,I$2,0),$A$1565,INDEX(Техника!$H$1:$ABO$500,I$2,0),"М")</f>
        <v>0</v>
      </c>
      <c r="J1566" s="50">
        <f>SUMIFS(INDEX(Техника!$F$1:$ABM$500,J$2,0),Техника!$F$4:$ABM$4,"Часы",INDEX(Техника!$G$1:$ABN$500,J$2,0),$A$1565,INDEX(Техника!$H$1:$ABO$500,J$2,0),"М")</f>
        <v>0</v>
      </c>
      <c r="K1566" s="50">
        <f>SUMIFS(INDEX(Техника!$F$1:$ABM$500,K$2,0),Техника!$F$4:$ABM$4,"Часы",INDEX(Техника!$G$1:$ABN$500,K$2,0),$A$1565,INDEX(Техника!$H$1:$ABO$500,K$2,0),"М")</f>
        <v>0</v>
      </c>
      <c r="L1566" s="50">
        <f>SUMIFS(INDEX(Техника!$F$1:$ABM$500,L$2,0),Техника!$F$4:$ABM$4,"Часы",INDEX(Техника!$G$1:$ABN$500,L$2,0),$A$1565,INDEX(Техника!$H$1:$ABO$500,L$2,0),"М")</f>
        <v>0</v>
      </c>
      <c r="M1566" s="50">
        <f>SUMIFS(INDEX(Техника!$F$1:$ABM$500,M$2,0),Техника!$F$4:$ABM$4,"Часы",INDEX(Техника!$G$1:$ABN$500,M$2,0),$A$1565,INDEX(Техника!$H$1:$ABO$500,M$2,0),"М")</f>
        <v>0</v>
      </c>
      <c r="N1566" s="50">
        <f>SUMIFS(INDEX(Техника!$F$1:$ABM$500,N$2,0),Техника!$F$4:$ABM$4,"Часы",INDEX(Техника!$G$1:$ABN$500,N$2,0),$A$1565,INDEX(Техника!$H$1:$ABO$500,N$2,0),"М")</f>
        <v>0</v>
      </c>
      <c r="O1566" s="50">
        <f>SUMIFS(INDEX(Техника!$F$1:$ABM$500,O$2,0),Техника!$F$4:$ABM$4,"Часы",INDEX(Техника!$G$1:$ABN$500,O$2,0),$A$1565,INDEX(Техника!$H$1:$ABO$500,O$2,0),"М")</f>
        <v>0</v>
      </c>
      <c r="P1566" s="50">
        <f>SUMIFS(INDEX(Техника!$F$1:$ABM$500,P$2,0),Техника!$F$4:$ABM$4,"Часы",INDEX(Техника!$G$1:$ABN$500,P$2,0),$A$1565,INDEX(Техника!$H$1:$ABO$500,P$2,0),"М")</f>
        <v>0</v>
      </c>
      <c r="Q1566" s="50">
        <f>SUMIFS(INDEX(Техника!$F$1:$ABM$500,Q$2,0),Техника!$F$4:$ABM$4,"Часы",INDEX(Техника!$G$1:$ABN$500,Q$2,0),$A$1565,INDEX(Техника!$H$1:$ABO$500,Q$2,0),"М")</f>
        <v>0</v>
      </c>
      <c r="R1566" s="50">
        <f>SUMIFS(INDEX(Техника!$F$1:$ABM$500,R$2,0),Техника!$F$4:$ABM$4,"Часы",INDEX(Техника!$G$1:$ABN$500,R$2,0),$A$1565,INDEX(Техника!$H$1:$ABO$500,R$2,0),"М")</f>
        <v>0</v>
      </c>
      <c r="S1566" s="50">
        <f>SUMIFS(INDEX(Техника!$F$1:$ABM$500,S$2,0),Техника!$F$4:$ABM$4,"Часы",INDEX(Техника!$G$1:$ABN$500,S$2,0),$A$1565,INDEX(Техника!$H$1:$ABO$500,S$2,0),"М")</f>
        <v>0</v>
      </c>
      <c r="T1566" s="50">
        <f>SUMIFS(INDEX(Техника!$F$1:$ABM$500,T$2,0),Техника!$F$4:$ABM$4,"Часы",INDEX(Техника!$G$1:$ABN$500,T$2,0),$A$1565,INDEX(Техника!$H$1:$ABO$500,T$2,0),"М")</f>
        <v>0</v>
      </c>
      <c r="U1566" s="50">
        <f>SUMIFS(INDEX(Техника!$F$1:$ABM$500,U$2,0),Техника!$F$4:$ABM$4,"Часы",INDEX(Техника!$G$1:$ABN$500,U$2,0),$A$1565,INDEX(Техника!$H$1:$ABO$500,U$2,0),"М")</f>
        <v>0</v>
      </c>
      <c r="V1566" s="50">
        <f>SUMIFS(INDEX(Техника!$F$1:$ABM$500,V$2,0),Техника!$F$4:$ABM$4,"Часы",INDEX(Техника!$G$1:$ABN$500,V$2,0),$A$1565,INDEX(Техника!$H$1:$ABO$500,V$2,0),"М")</f>
        <v>0</v>
      </c>
      <c r="W1566" s="50">
        <f>SUMIFS(INDEX(Техника!$F$1:$ABM$500,W$2,0),Техника!$F$4:$ABM$4,"Часы",INDEX(Техника!$G$1:$ABN$500,W$2,0),$A$1565,INDEX(Техника!$H$1:$ABO$500,W$2,0),"М")</f>
        <v>0</v>
      </c>
      <c r="X1566" s="50">
        <f>SUMIFS(INDEX(Техника!$F$1:$ABM$500,X$2,0),Техника!$F$4:$ABM$4,"Часы",INDEX(Техника!$G$1:$ABN$500,X$2,0),$A$1565,INDEX(Техника!$H$1:$ABO$500,X$2,0),"М")</f>
        <v>0</v>
      </c>
      <c r="Y1566" s="50">
        <f>SUMIFS(INDEX(Техника!$F$1:$ABM$500,Y$2,0),Техника!$F$4:$ABM$4,"Часы",INDEX(Техника!$G$1:$ABN$500,Y$2,0),$A$1565,INDEX(Техника!$H$1:$ABO$500,Y$2,0),"М")</f>
        <v>0</v>
      </c>
      <c r="Z1566" s="50">
        <f>SUMIFS(INDEX(Техника!$F$1:$ABM$500,Z$2,0),Техника!$F$4:$ABM$4,"Часы",INDEX(Техника!$G$1:$ABN$500,Z$2,0),$A$1565,INDEX(Техника!$H$1:$ABO$500,Z$2,0),"М")</f>
        <v>0</v>
      </c>
      <c r="AA1566" s="50">
        <f>SUMIFS(INDEX(Техника!$F$1:$ABM$500,AA$2,0),Техника!$F$4:$ABM$4,"Часы",INDEX(Техника!$G$1:$ABN$500,AA$2,0),$A$1565,INDEX(Техника!$H$1:$ABO$500,AA$2,0),"М")</f>
        <v>0</v>
      </c>
      <c r="AB1566" s="50">
        <f>SUMIFS(INDEX(Техника!$F$1:$ABM$500,AB$2,0),Техника!$F$4:$ABM$4,"Часы",INDEX(Техника!$G$1:$ABN$500,AB$2,0),$A$1565,INDEX(Техника!$H$1:$ABO$500,AB$2,0),"М")</f>
        <v>0</v>
      </c>
    </row>
    <row r="1567" spans="1:28" hidden="1" outlineLevel="1" x14ac:dyDescent="0.3">
      <c r="A1567" s="33" t="s">
        <v>244</v>
      </c>
      <c r="B1567" s="34" t="s">
        <v>275</v>
      </c>
      <c r="C1567" s="50">
        <f>SUMIFS(INDEX(Техника!$F$1:$ABM$500,C$2,0),Техника!$F$4:$ABM$4,"Часы",INDEX(Техника!$G$1:$ABN$500,C$2,0),$A$1565,INDEX(Техника!$H$1:$ABO$500,C$2,0),"Д")</f>
        <v>0</v>
      </c>
      <c r="D1567" s="50">
        <f>SUMIFS(INDEX(Техника!$F$1:$ABM$500,D$2,0),Техника!$F$4:$ABM$4,"Часы",INDEX(Техника!$G$1:$ABN$500,D$2,0),$A$1565,INDEX(Техника!$H$1:$ABO$500,D$2,0),"Д")</f>
        <v>0</v>
      </c>
      <c r="E1567" s="50">
        <f>SUMIFS(INDEX(Техника!$F$1:$ABM$500,E$2,0),Техника!$F$4:$ABM$4,"Часы",INDEX(Техника!$G$1:$ABN$500,E$2,0),$A$1565,INDEX(Техника!$H$1:$ABO$500,E$2,0),"Д")</f>
        <v>0</v>
      </c>
      <c r="F1567" s="50">
        <f>SUMIFS(INDEX(Техника!$F$1:$ABM$500,F$2,0),Техника!$F$4:$ABM$4,"Часы",INDEX(Техника!$G$1:$ABN$500,F$2,0),$A$1565,INDEX(Техника!$H$1:$ABO$500,F$2,0),"Д")</f>
        <v>0</v>
      </c>
      <c r="G1567" s="50">
        <f>SUMIFS(INDEX(Техника!$F$1:$ABM$500,G$2,0),Техника!$F$4:$ABM$4,"Часы",INDEX(Техника!$G$1:$ABN$500,G$2,0),$A$1565,INDEX(Техника!$H$1:$ABO$500,G$2,0),"Д")</f>
        <v>0</v>
      </c>
      <c r="H1567" s="50">
        <f>SUMIFS(INDEX(Техника!$F$1:$ABM$500,H$2,0),Техника!$F$4:$ABM$4,"Часы",INDEX(Техника!$G$1:$ABN$500,H$2,0),$A$1565,INDEX(Техника!$H$1:$ABO$500,H$2,0),"Д")</f>
        <v>0</v>
      </c>
      <c r="I1567" s="50">
        <f>SUMIFS(INDEX(Техника!$F$1:$ABM$500,I$2,0),Техника!$F$4:$ABM$4,"Часы",INDEX(Техника!$G$1:$ABN$500,I$2,0),$A$1565,INDEX(Техника!$H$1:$ABO$500,I$2,0),"Д")</f>
        <v>0</v>
      </c>
      <c r="J1567" s="50">
        <f>SUMIFS(INDEX(Техника!$F$1:$ABM$500,J$2,0),Техника!$F$4:$ABM$4,"Часы",INDEX(Техника!$G$1:$ABN$500,J$2,0),$A$1565,INDEX(Техника!$H$1:$ABO$500,J$2,0),"Д")</f>
        <v>0</v>
      </c>
      <c r="K1567" s="50">
        <f>SUMIFS(INDEX(Техника!$F$1:$ABM$500,K$2,0),Техника!$F$4:$ABM$4,"Часы",INDEX(Техника!$G$1:$ABN$500,K$2,0),$A$1565,INDEX(Техника!$H$1:$ABO$500,K$2,0),"Д")</f>
        <v>0</v>
      </c>
      <c r="L1567" s="50">
        <f>SUMIFS(INDEX(Техника!$F$1:$ABM$500,L$2,0),Техника!$F$4:$ABM$4,"Часы",INDEX(Техника!$G$1:$ABN$500,L$2,0),$A$1565,INDEX(Техника!$H$1:$ABO$500,L$2,0),"Д")</f>
        <v>0</v>
      </c>
      <c r="M1567" s="50">
        <f>SUMIFS(INDEX(Техника!$F$1:$ABM$500,M$2,0),Техника!$F$4:$ABM$4,"Часы",INDEX(Техника!$G$1:$ABN$500,M$2,0),$A$1565,INDEX(Техника!$H$1:$ABO$500,M$2,0),"Д")</f>
        <v>0</v>
      </c>
      <c r="N1567" s="50">
        <f>SUMIFS(INDEX(Техника!$F$1:$ABM$500,N$2,0),Техника!$F$4:$ABM$4,"Часы",INDEX(Техника!$G$1:$ABN$500,N$2,0),$A$1565,INDEX(Техника!$H$1:$ABO$500,N$2,0),"Д")</f>
        <v>0</v>
      </c>
      <c r="O1567" s="50">
        <f>SUMIFS(INDEX(Техника!$F$1:$ABM$500,O$2,0),Техника!$F$4:$ABM$4,"Часы",INDEX(Техника!$G$1:$ABN$500,O$2,0),$A$1565,INDEX(Техника!$H$1:$ABO$500,O$2,0),"Д")</f>
        <v>0</v>
      </c>
      <c r="P1567" s="50">
        <f>SUMIFS(INDEX(Техника!$F$1:$ABM$500,P$2,0),Техника!$F$4:$ABM$4,"Часы",INDEX(Техника!$G$1:$ABN$500,P$2,0),$A$1565,INDEX(Техника!$H$1:$ABO$500,P$2,0),"Д")</f>
        <v>0</v>
      </c>
      <c r="Q1567" s="50">
        <f>SUMIFS(INDEX(Техника!$F$1:$ABM$500,Q$2,0),Техника!$F$4:$ABM$4,"Часы",INDEX(Техника!$G$1:$ABN$500,Q$2,0),$A$1565,INDEX(Техника!$H$1:$ABO$500,Q$2,0),"Д")</f>
        <v>0</v>
      </c>
      <c r="R1567" s="50">
        <f>SUMIFS(INDEX(Техника!$F$1:$ABM$500,R$2,0),Техника!$F$4:$ABM$4,"Часы",INDEX(Техника!$G$1:$ABN$500,R$2,0),$A$1565,INDEX(Техника!$H$1:$ABO$500,R$2,0),"Д")</f>
        <v>0</v>
      </c>
      <c r="S1567" s="50">
        <f>SUMIFS(INDEX(Техника!$F$1:$ABM$500,S$2,0),Техника!$F$4:$ABM$4,"Часы",INDEX(Техника!$G$1:$ABN$500,S$2,0),$A$1565,INDEX(Техника!$H$1:$ABO$500,S$2,0),"Д")</f>
        <v>0</v>
      </c>
      <c r="T1567" s="50">
        <f>SUMIFS(INDEX(Техника!$F$1:$ABM$500,T$2,0),Техника!$F$4:$ABM$4,"Часы",INDEX(Техника!$G$1:$ABN$500,T$2,0),$A$1565,INDEX(Техника!$H$1:$ABO$500,T$2,0),"Д")</f>
        <v>0</v>
      </c>
      <c r="U1567" s="50">
        <f>SUMIFS(INDEX(Техника!$F$1:$ABM$500,U$2,0),Техника!$F$4:$ABM$4,"Часы",INDEX(Техника!$G$1:$ABN$500,U$2,0),$A$1565,INDEX(Техника!$H$1:$ABO$500,U$2,0),"Д")</f>
        <v>0</v>
      </c>
      <c r="V1567" s="50">
        <f>SUMIFS(INDEX(Техника!$F$1:$ABM$500,V$2,0),Техника!$F$4:$ABM$4,"Часы",INDEX(Техника!$G$1:$ABN$500,V$2,0),$A$1565,INDEX(Техника!$H$1:$ABO$500,V$2,0),"Д")</f>
        <v>0</v>
      </c>
      <c r="W1567" s="50">
        <f>SUMIFS(INDEX(Техника!$F$1:$ABM$500,W$2,0),Техника!$F$4:$ABM$4,"Часы",INDEX(Техника!$G$1:$ABN$500,W$2,0),$A$1565,INDEX(Техника!$H$1:$ABO$500,W$2,0),"Д")</f>
        <v>0</v>
      </c>
      <c r="X1567" s="50">
        <f>SUMIFS(INDEX(Техника!$F$1:$ABM$500,X$2,0),Техника!$F$4:$ABM$4,"Часы",INDEX(Техника!$G$1:$ABN$500,X$2,0),$A$1565,INDEX(Техника!$H$1:$ABO$500,X$2,0),"Д")</f>
        <v>0</v>
      </c>
      <c r="Y1567" s="50">
        <f>SUMIFS(INDEX(Техника!$F$1:$ABM$500,Y$2,0),Техника!$F$4:$ABM$4,"Часы",INDEX(Техника!$G$1:$ABN$500,Y$2,0),$A$1565,INDEX(Техника!$H$1:$ABO$500,Y$2,0),"Д")</f>
        <v>0</v>
      </c>
      <c r="Z1567" s="50">
        <f>SUMIFS(INDEX(Техника!$F$1:$ABM$500,Z$2,0),Техника!$F$4:$ABM$4,"Часы",INDEX(Техника!$G$1:$ABN$500,Z$2,0),$A$1565,INDEX(Техника!$H$1:$ABO$500,Z$2,0),"Д")</f>
        <v>0</v>
      </c>
      <c r="AA1567" s="50">
        <f>SUMIFS(INDEX(Техника!$F$1:$ABM$500,AA$2,0),Техника!$F$4:$ABM$4,"Часы",INDEX(Техника!$G$1:$ABN$500,AA$2,0),$A$1565,INDEX(Техника!$H$1:$ABO$500,AA$2,0),"Д")</f>
        <v>0</v>
      </c>
      <c r="AB1567" s="50">
        <f>SUMIFS(INDEX(Техника!$F$1:$ABM$500,AB$2,0),Техника!$F$4:$ABM$4,"Часы",INDEX(Техника!$G$1:$ABN$500,AB$2,0),$A$1565,INDEX(Техника!$H$1:$ABO$500,AB$2,0),"Д")</f>
        <v>0</v>
      </c>
    </row>
    <row r="1568" spans="1:28" hidden="1" outlineLevel="1" x14ac:dyDescent="0.3">
      <c r="A1568" s="33" t="s">
        <v>276</v>
      </c>
      <c r="B1568" s="34" t="s">
        <v>277</v>
      </c>
      <c r="C1568" s="50">
        <f>SUMIFS(INDEX(Техника!$F$1:$ABM$500,C$2,0),Техника!$F$4:$ABM$4,"Часы",INDEX(Техника!$G$1:$ABN$500,C$2,0),$A$1565,INDEX(Техника!$H$1:$ABO$500,C$2,0),"П")</f>
        <v>0</v>
      </c>
      <c r="D1568" s="50">
        <f>SUMIFS(INDEX(Техника!$F$1:$ABM$500,D$2,0),Техника!$F$4:$ABM$4,"Часы",INDEX(Техника!$G$1:$ABN$500,D$2,0),$A$1565,INDEX(Техника!$H$1:$ABO$500,D$2,0),"П")</f>
        <v>0</v>
      </c>
      <c r="E1568" s="50">
        <f>SUMIFS(INDEX(Техника!$F$1:$ABM$500,E$2,0),Техника!$F$4:$ABM$4,"Часы",INDEX(Техника!$G$1:$ABN$500,E$2,0),$A$1565,INDEX(Техника!$H$1:$ABO$500,E$2,0),"П")</f>
        <v>0</v>
      </c>
      <c r="F1568" s="50">
        <f>SUMIFS(INDEX(Техника!$F$1:$ABM$500,F$2,0),Техника!$F$4:$ABM$4,"Часы",INDEX(Техника!$G$1:$ABN$500,F$2,0),$A$1565,INDEX(Техника!$H$1:$ABO$500,F$2,0),"П")</f>
        <v>0</v>
      </c>
      <c r="G1568" s="50">
        <f>SUMIFS(INDEX(Техника!$F$1:$ABM$500,G$2,0),Техника!$F$4:$ABM$4,"Часы",INDEX(Техника!$G$1:$ABN$500,G$2,0),$A$1565,INDEX(Техника!$H$1:$ABO$500,G$2,0),"П")</f>
        <v>0</v>
      </c>
      <c r="H1568" s="50">
        <f>SUMIFS(INDEX(Техника!$F$1:$ABM$500,H$2,0),Техника!$F$4:$ABM$4,"Часы",INDEX(Техника!$G$1:$ABN$500,H$2,0),$A$1565,INDEX(Техника!$H$1:$ABO$500,H$2,0),"П")</f>
        <v>0</v>
      </c>
      <c r="I1568" s="50">
        <f>SUMIFS(INDEX(Техника!$F$1:$ABM$500,I$2,0),Техника!$F$4:$ABM$4,"Часы",INDEX(Техника!$G$1:$ABN$500,I$2,0),$A$1565,INDEX(Техника!$H$1:$ABO$500,I$2,0),"П")</f>
        <v>0</v>
      </c>
      <c r="J1568" s="50">
        <f>SUMIFS(INDEX(Техника!$F$1:$ABM$500,J$2,0),Техника!$F$4:$ABM$4,"Часы",INDEX(Техника!$G$1:$ABN$500,J$2,0),$A$1565,INDEX(Техника!$H$1:$ABO$500,J$2,0),"П")</f>
        <v>0</v>
      </c>
      <c r="K1568" s="50">
        <f>SUMIFS(INDEX(Техника!$F$1:$ABM$500,K$2,0),Техника!$F$4:$ABM$4,"Часы",INDEX(Техника!$G$1:$ABN$500,K$2,0),$A$1565,INDEX(Техника!$H$1:$ABO$500,K$2,0),"П")</f>
        <v>0</v>
      </c>
      <c r="L1568" s="50">
        <f>SUMIFS(INDEX(Техника!$F$1:$ABM$500,L$2,0),Техника!$F$4:$ABM$4,"Часы",INDEX(Техника!$G$1:$ABN$500,L$2,0),$A$1565,INDEX(Техника!$H$1:$ABO$500,L$2,0),"П")</f>
        <v>0</v>
      </c>
      <c r="M1568" s="50">
        <f>SUMIFS(INDEX(Техника!$F$1:$ABM$500,M$2,0),Техника!$F$4:$ABM$4,"Часы",INDEX(Техника!$G$1:$ABN$500,M$2,0),$A$1565,INDEX(Техника!$H$1:$ABO$500,M$2,0),"П")</f>
        <v>0</v>
      </c>
      <c r="N1568" s="50">
        <f>SUMIFS(INDEX(Техника!$F$1:$ABM$500,N$2,0),Техника!$F$4:$ABM$4,"Часы",INDEX(Техника!$G$1:$ABN$500,N$2,0),$A$1565,INDEX(Техника!$H$1:$ABO$500,N$2,0),"П")</f>
        <v>0</v>
      </c>
      <c r="O1568" s="50">
        <f>SUMIFS(INDEX(Техника!$F$1:$ABM$500,O$2,0),Техника!$F$4:$ABM$4,"Часы",INDEX(Техника!$G$1:$ABN$500,O$2,0),$A$1565,INDEX(Техника!$H$1:$ABO$500,O$2,0),"П")</f>
        <v>0</v>
      </c>
      <c r="P1568" s="50">
        <f>SUMIFS(INDEX(Техника!$F$1:$ABM$500,P$2,0),Техника!$F$4:$ABM$4,"Часы",INDEX(Техника!$G$1:$ABN$500,P$2,0),$A$1565,INDEX(Техника!$H$1:$ABO$500,P$2,0),"П")</f>
        <v>0</v>
      </c>
      <c r="Q1568" s="50">
        <f>SUMIFS(INDEX(Техника!$F$1:$ABM$500,Q$2,0),Техника!$F$4:$ABM$4,"Часы",INDEX(Техника!$G$1:$ABN$500,Q$2,0),$A$1565,INDEX(Техника!$H$1:$ABO$500,Q$2,0),"П")</f>
        <v>0</v>
      </c>
      <c r="R1568" s="50">
        <f>SUMIFS(INDEX(Техника!$F$1:$ABM$500,R$2,0),Техника!$F$4:$ABM$4,"Часы",INDEX(Техника!$G$1:$ABN$500,R$2,0),$A$1565,INDEX(Техника!$H$1:$ABO$500,R$2,0),"П")</f>
        <v>0</v>
      </c>
      <c r="S1568" s="50">
        <f>SUMIFS(INDEX(Техника!$F$1:$ABM$500,S$2,0),Техника!$F$4:$ABM$4,"Часы",INDEX(Техника!$G$1:$ABN$500,S$2,0),$A$1565,INDEX(Техника!$H$1:$ABO$500,S$2,0),"П")</f>
        <v>0</v>
      </c>
      <c r="T1568" s="50">
        <f>SUMIFS(INDEX(Техника!$F$1:$ABM$500,T$2,0),Техника!$F$4:$ABM$4,"Часы",INDEX(Техника!$G$1:$ABN$500,T$2,0),$A$1565,INDEX(Техника!$H$1:$ABO$500,T$2,0),"П")</f>
        <v>0</v>
      </c>
      <c r="U1568" s="50">
        <f>SUMIFS(INDEX(Техника!$F$1:$ABM$500,U$2,0),Техника!$F$4:$ABM$4,"Часы",INDEX(Техника!$G$1:$ABN$500,U$2,0),$A$1565,INDEX(Техника!$H$1:$ABO$500,U$2,0),"П")</f>
        <v>0</v>
      </c>
      <c r="V1568" s="50">
        <f>SUMIFS(INDEX(Техника!$F$1:$ABM$500,V$2,0),Техника!$F$4:$ABM$4,"Часы",INDEX(Техника!$G$1:$ABN$500,V$2,0),$A$1565,INDEX(Техника!$H$1:$ABO$500,V$2,0),"П")</f>
        <v>0</v>
      </c>
      <c r="W1568" s="50">
        <f>SUMIFS(INDEX(Техника!$F$1:$ABM$500,W$2,0),Техника!$F$4:$ABM$4,"Часы",INDEX(Техника!$G$1:$ABN$500,W$2,0),$A$1565,INDEX(Техника!$H$1:$ABO$500,W$2,0),"П")</f>
        <v>0</v>
      </c>
      <c r="X1568" s="50">
        <f>SUMIFS(INDEX(Техника!$F$1:$ABM$500,X$2,0),Техника!$F$4:$ABM$4,"Часы",INDEX(Техника!$G$1:$ABN$500,X$2,0),$A$1565,INDEX(Техника!$H$1:$ABO$500,X$2,0),"П")</f>
        <v>0</v>
      </c>
      <c r="Y1568" s="50">
        <f>SUMIFS(INDEX(Техника!$F$1:$ABM$500,Y$2,0),Техника!$F$4:$ABM$4,"Часы",INDEX(Техника!$G$1:$ABN$500,Y$2,0),$A$1565,INDEX(Техника!$H$1:$ABO$500,Y$2,0),"П")</f>
        <v>0</v>
      </c>
      <c r="Z1568" s="50">
        <f>SUMIFS(INDEX(Техника!$F$1:$ABM$500,Z$2,0),Техника!$F$4:$ABM$4,"Часы",INDEX(Техника!$G$1:$ABN$500,Z$2,0),$A$1565,INDEX(Техника!$H$1:$ABO$500,Z$2,0),"П")</f>
        <v>0</v>
      </c>
      <c r="AA1568" s="50">
        <f>SUMIFS(INDEX(Техника!$F$1:$ABM$500,AA$2,0),Техника!$F$4:$ABM$4,"Часы",INDEX(Техника!$G$1:$ABN$500,AA$2,0),$A$1565,INDEX(Техника!$H$1:$ABO$500,AA$2,0),"П")</f>
        <v>0</v>
      </c>
      <c r="AB1568" s="50">
        <f>SUMIFS(INDEX(Техника!$F$1:$ABM$500,AB$2,0),Техника!$F$4:$ABM$4,"Часы",INDEX(Техника!$G$1:$ABN$500,AB$2,0),$A$1565,INDEX(Техника!$H$1:$ABO$500,AB$2,0),"П")</f>
        <v>0</v>
      </c>
    </row>
    <row r="1569" spans="1:28" hidden="1" outlineLevel="1" x14ac:dyDescent="0.3">
      <c r="A1569" s="33" t="s">
        <v>243</v>
      </c>
      <c r="B1569" s="34" t="s">
        <v>278</v>
      </c>
      <c r="C1569" s="50">
        <f>SUMIFS(INDEX(Техника!$F$1:$ABM$500,C$2,0),Техника!$F$4:$ABM$4,"Часы",INDEX(Техника!$G$1:$ABN$500,C$2,0),$A$1565,INDEX(Техника!$H$1:$ABO$500,C$2,0),"Л")</f>
        <v>0</v>
      </c>
      <c r="D1569" s="50">
        <f>SUMIFS(INDEX(Техника!$F$1:$ABM$500,D$2,0),Техника!$F$4:$ABM$4,"Часы",INDEX(Техника!$G$1:$ABN$500,D$2,0),$A$1565,INDEX(Техника!$H$1:$ABO$500,D$2,0),"Л")</f>
        <v>0</v>
      </c>
      <c r="E1569" s="50">
        <f>SUMIFS(INDEX(Техника!$F$1:$ABM$500,E$2,0),Техника!$F$4:$ABM$4,"Часы",INDEX(Техника!$G$1:$ABN$500,E$2,0),$A$1565,INDEX(Техника!$H$1:$ABO$500,E$2,0),"Л")</f>
        <v>0</v>
      </c>
      <c r="F1569" s="50">
        <f>SUMIFS(INDEX(Техника!$F$1:$ABM$500,F$2,0),Техника!$F$4:$ABM$4,"Часы",INDEX(Техника!$G$1:$ABN$500,F$2,0),$A$1565,INDEX(Техника!$H$1:$ABO$500,F$2,0),"Л")</f>
        <v>0</v>
      </c>
      <c r="G1569" s="50">
        <f>SUMIFS(INDEX(Техника!$F$1:$ABM$500,G$2,0),Техника!$F$4:$ABM$4,"Часы",INDEX(Техника!$G$1:$ABN$500,G$2,0),$A$1565,INDEX(Техника!$H$1:$ABO$500,G$2,0),"Л")</f>
        <v>0</v>
      </c>
      <c r="H1569" s="50">
        <f>SUMIFS(INDEX(Техника!$F$1:$ABM$500,H$2,0),Техника!$F$4:$ABM$4,"Часы",INDEX(Техника!$G$1:$ABN$500,H$2,0),$A$1565,INDEX(Техника!$H$1:$ABO$500,H$2,0),"Л")</f>
        <v>0</v>
      </c>
      <c r="I1569" s="50">
        <f>SUMIFS(INDEX(Техника!$F$1:$ABM$500,I$2,0),Техника!$F$4:$ABM$4,"Часы",INDEX(Техника!$G$1:$ABN$500,I$2,0),$A$1565,INDEX(Техника!$H$1:$ABO$500,I$2,0),"Л")</f>
        <v>0</v>
      </c>
      <c r="J1569" s="50">
        <f>SUMIFS(INDEX(Техника!$F$1:$ABM$500,J$2,0),Техника!$F$4:$ABM$4,"Часы",INDEX(Техника!$G$1:$ABN$500,J$2,0),$A$1565,INDEX(Техника!$H$1:$ABO$500,J$2,0),"Л")</f>
        <v>0</v>
      </c>
      <c r="K1569" s="50">
        <f>SUMIFS(INDEX(Техника!$F$1:$ABM$500,K$2,0),Техника!$F$4:$ABM$4,"Часы",INDEX(Техника!$G$1:$ABN$500,K$2,0),$A$1565,INDEX(Техника!$H$1:$ABO$500,K$2,0),"Л")</f>
        <v>0</v>
      </c>
      <c r="L1569" s="50">
        <f>SUMIFS(INDEX(Техника!$F$1:$ABM$500,L$2,0),Техника!$F$4:$ABM$4,"Часы",INDEX(Техника!$G$1:$ABN$500,L$2,0),$A$1565,INDEX(Техника!$H$1:$ABO$500,L$2,0),"Л")</f>
        <v>0</v>
      </c>
      <c r="M1569" s="50">
        <f>SUMIFS(INDEX(Техника!$F$1:$ABM$500,M$2,0),Техника!$F$4:$ABM$4,"Часы",INDEX(Техника!$G$1:$ABN$500,M$2,0),$A$1565,INDEX(Техника!$H$1:$ABO$500,M$2,0),"Л")</f>
        <v>0</v>
      </c>
      <c r="N1569" s="50">
        <f>SUMIFS(INDEX(Техника!$F$1:$ABM$500,N$2,0),Техника!$F$4:$ABM$4,"Часы",INDEX(Техника!$G$1:$ABN$500,N$2,0),$A$1565,INDEX(Техника!$H$1:$ABO$500,N$2,0),"Л")</f>
        <v>0</v>
      </c>
      <c r="O1569" s="50">
        <f>SUMIFS(INDEX(Техника!$F$1:$ABM$500,O$2,0),Техника!$F$4:$ABM$4,"Часы",INDEX(Техника!$G$1:$ABN$500,O$2,0),$A$1565,INDEX(Техника!$H$1:$ABO$500,O$2,0),"Л")</f>
        <v>0</v>
      </c>
      <c r="P1569" s="50">
        <f>SUMIFS(INDEX(Техника!$F$1:$ABM$500,P$2,0),Техника!$F$4:$ABM$4,"Часы",INDEX(Техника!$G$1:$ABN$500,P$2,0),$A$1565,INDEX(Техника!$H$1:$ABO$500,P$2,0),"Л")</f>
        <v>0</v>
      </c>
      <c r="Q1569" s="50">
        <f>SUMIFS(INDEX(Техника!$F$1:$ABM$500,Q$2,0),Техника!$F$4:$ABM$4,"Часы",INDEX(Техника!$G$1:$ABN$500,Q$2,0),$A$1565,INDEX(Техника!$H$1:$ABO$500,Q$2,0),"Л")</f>
        <v>0</v>
      </c>
      <c r="R1569" s="50">
        <f>SUMIFS(INDEX(Техника!$F$1:$ABM$500,R$2,0),Техника!$F$4:$ABM$4,"Часы",INDEX(Техника!$G$1:$ABN$500,R$2,0),$A$1565,INDEX(Техника!$H$1:$ABO$500,R$2,0),"Л")</f>
        <v>0</v>
      </c>
      <c r="S1569" s="50">
        <f>SUMIFS(INDEX(Техника!$F$1:$ABM$500,S$2,0),Техника!$F$4:$ABM$4,"Часы",INDEX(Техника!$G$1:$ABN$500,S$2,0),$A$1565,INDEX(Техника!$H$1:$ABO$500,S$2,0),"Л")</f>
        <v>0</v>
      </c>
      <c r="T1569" s="50">
        <f>SUMIFS(INDEX(Техника!$F$1:$ABM$500,T$2,0),Техника!$F$4:$ABM$4,"Часы",INDEX(Техника!$G$1:$ABN$500,T$2,0),$A$1565,INDEX(Техника!$H$1:$ABO$500,T$2,0),"Л")</f>
        <v>0</v>
      </c>
      <c r="U1569" s="50">
        <f>SUMIFS(INDEX(Техника!$F$1:$ABM$500,U$2,0),Техника!$F$4:$ABM$4,"Часы",INDEX(Техника!$G$1:$ABN$500,U$2,0),$A$1565,INDEX(Техника!$H$1:$ABO$500,U$2,0),"Л")</f>
        <v>0</v>
      </c>
      <c r="V1569" s="50">
        <f>SUMIFS(INDEX(Техника!$F$1:$ABM$500,V$2,0),Техника!$F$4:$ABM$4,"Часы",INDEX(Техника!$G$1:$ABN$500,V$2,0),$A$1565,INDEX(Техника!$H$1:$ABO$500,V$2,0),"Л")</f>
        <v>0</v>
      </c>
      <c r="W1569" s="50">
        <f>SUMIFS(INDEX(Техника!$F$1:$ABM$500,W$2,0),Техника!$F$4:$ABM$4,"Часы",INDEX(Техника!$G$1:$ABN$500,W$2,0),$A$1565,INDEX(Техника!$H$1:$ABO$500,W$2,0),"Л")</f>
        <v>0</v>
      </c>
      <c r="X1569" s="50">
        <f>SUMIFS(INDEX(Техника!$F$1:$ABM$500,X$2,0),Техника!$F$4:$ABM$4,"Часы",INDEX(Техника!$G$1:$ABN$500,X$2,0),$A$1565,INDEX(Техника!$H$1:$ABO$500,X$2,0),"Л")</f>
        <v>0</v>
      </c>
      <c r="Y1569" s="50">
        <f>SUMIFS(INDEX(Техника!$F$1:$ABM$500,Y$2,0),Техника!$F$4:$ABM$4,"Часы",INDEX(Техника!$G$1:$ABN$500,Y$2,0),$A$1565,INDEX(Техника!$H$1:$ABO$500,Y$2,0),"Л")</f>
        <v>0</v>
      </c>
      <c r="Z1569" s="50">
        <f>SUMIFS(INDEX(Техника!$F$1:$ABM$500,Z$2,0),Техника!$F$4:$ABM$4,"Часы",INDEX(Техника!$G$1:$ABN$500,Z$2,0),$A$1565,INDEX(Техника!$H$1:$ABO$500,Z$2,0),"Л")</f>
        <v>0</v>
      </c>
      <c r="AA1569" s="50">
        <f>SUMIFS(INDEX(Техника!$F$1:$ABM$500,AA$2,0),Техника!$F$4:$ABM$4,"Часы",INDEX(Техника!$G$1:$ABN$500,AA$2,0),$A$1565,INDEX(Техника!$H$1:$ABO$500,AA$2,0),"Л")</f>
        <v>0</v>
      </c>
      <c r="AB1569" s="50">
        <f>SUMIFS(INDEX(Техника!$F$1:$ABM$500,AB$2,0),Техника!$F$4:$ABM$4,"Часы",INDEX(Техника!$G$1:$ABN$500,AB$2,0),$A$1565,INDEX(Техника!$H$1:$ABO$500,AB$2,0),"Л")</f>
        <v>0</v>
      </c>
    </row>
    <row r="1570" spans="1:28" hidden="1" outlineLevel="1" x14ac:dyDescent="0.3">
      <c r="A1570" s="33" t="s">
        <v>245</v>
      </c>
      <c r="B1570" s="34" t="s">
        <v>279</v>
      </c>
      <c r="C1570" s="50">
        <f>SUMIFS(INDEX(Техника!$F$1:$ABM$500,C$2,0),Техника!$F$4:$ABM$4,"Часы",INDEX(Техника!$G$1:$ABN$500,C$2,0),$A$1565,INDEX(Техника!$H$1:$ABO$500,C$2,0),"З")</f>
        <v>0</v>
      </c>
      <c r="D1570" s="50">
        <f>SUMIFS(INDEX(Техника!$F$1:$ABM$500,D$2,0),Техника!$F$4:$ABM$4,"Часы",INDEX(Техника!$G$1:$ABN$500,D$2,0),$A$1565,INDEX(Техника!$H$1:$ABO$500,D$2,0),"З")</f>
        <v>0</v>
      </c>
      <c r="E1570" s="50">
        <f>SUMIFS(INDEX(Техника!$F$1:$ABM$500,E$2,0),Техника!$F$4:$ABM$4,"Часы",INDEX(Техника!$G$1:$ABN$500,E$2,0),$A$1565,INDEX(Техника!$H$1:$ABO$500,E$2,0),"З")</f>
        <v>0</v>
      </c>
      <c r="F1570" s="50">
        <f>SUMIFS(INDEX(Техника!$F$1:$ABM$500,F$2,0),Техника!$F$4:$ABM$4,"Часы",INDEX(Техника!$G$1:$ABN$500,F$2,0),$A$1565,INDEX(Техника!$H$1:$ABO$500,F$2,0),"З")</f>
        <v>0</v>
      </c>
      <c r="G1570" s="50">
        <f>SUMIFS(INDEX(Техника!$F$1:$ABM$500,G$2,0),Техника!$F$4:$ABM$4,"Часы",INDEX(Техника!$G$1:$ABN$500,G$2,0),$A$1565,INDEX(Техника!$H$1:$ABO$500,G$2,0),"З")</f>
        <v>0</v>
      </c>
      <c r="H1570" s="50">
        <f>SUMIFS(INDEX(Техника!$F$1:$ABM$500,H$2,0),Техника!$F$4:$ABM$4,"Часы",INDEX(Техника!$G$1:$ABN$500,H$2,0),$A$1565,INDEX(Техника!$H$1:$ABO$500,H$2,0),"З")</f>
        <v>0</v>
      </c>
      <c r="I1570" s="50">
        <f>SUMIFS(INDEX(Техника!$F$1:$ABM$500,I$2,0),Техника!$F$4:$ABM$4,"Часы",INDEX(Техника!$G$1:$ABN$500,I$2,0),$A$1565,INDEX(Техника!$H$1:$ABO$500,I$2,0),"З")</f>
        <v>0</v>
      </c>
      <c r="J1570" s="50">
        <f>SUMIFS(INDEX(Техника!$F$1:$ABM$500,J$2,0),Техника!$F$4:$ABM$4,"Часы",INDEX(Техника!$G$1:$ABN$500,J$2,0),$A$1565,INDEX(Техника!$H$1:$ABO$500,J$2,0),"З")</f>
        <v>0</v>
      </c>
      <c r="K1570" s="50">
        <f>SUMIFS(INDEX(Техника!$F$1:$ABM$500,K$2,0),Техника!$F$4:$ABM$4,"Часы",INDEX(Техника!$G$1:$ABN$500,K$2,0),$A$1565,INDEX(Техника!$H$1:$ABO$500,K$2,0),"З")</f>
        <v>0</v>
      </c>
      <c r="L1570" s="50">
        <f>SUMIFS(INDEX(Техника!$F$1:$ABM$500,L$2,0),Техника!$F$4:$ABM$4,"Часы",INDEX(Техника!$G$1:$ABN$500,L$2,0),$A$1565,INDEX(Техника!$H$1:$ABO$500,L$2,0),"З")</f>
        <v>0</v>
      </c>
      <c r="M1570" s="50">
        <f>SUMIFS(INDEX(Техника!$F$1:$ABM$500,M$2,0),Техника!$F$4:$ABM$4,"Часы",INDEX(Техника!$G$1:$ABN$500,M$2,0),$A$1565,INDEX(Техника!$H$1:$ABO$500,M$2,0),"З")</f>
        <v>0</v>
      </c>
      <c r="N1570" s="50">
        <f>SUMIFS(INDEX(Техника!$F$1:$ABM$500,N$2,0),Техника!$F$4:$ABM$4,"Часы",INDEX(Техника!$G$1:$ABN$500,N$2,0),$A$1565,INDEX(Техника!$H$1:$ABO$500,N$2,0),"З")</f>
        <v>0</v>
      </c>
      <c r="O1570" s="50">
        <f>SUMIFS(INDEX(Техника!$F$1:$ABM$500,O$2,0),Техника!$F$4:$ABM$4,"Часы",INDEX(Техника!$G$1:$ABN$500,O$2,0),$A$1565,INDEX(Техника!$H$1:$ABO$500,O$2,0),"З")</f>
        <v>0</v>
      </c>
      <c r="P1570" s="50">
        <f>SUMIFS(INDEX(Техника!$F$1:$ABM$500,P$2,0),Техника!$F$4:$ABM$4,"Часы",INDEX(Техника!$G$1:$ABN$500,P$2,0),$A$1565,INDEX(Техника!$H$1:$ABO$500,P$2,0),"З")</f>
        <v>0</v>
      </c>
      <c r="Q1570" s="50">
        <f>SUMIFS(INDEX(Техника!$F$1:$ABM$500,Q$2,0),Техника!$F$4:$ABM$4,"Часы",INDEX(Техника!$G$1:$ABN$500,Q$2,0),$A$1565,INDEX(Техника!$H$1:$ABO$500,Q$2,0),"З")</f>
        <v>0</v>
      </c>
      <c r="R1570" s="50">
        <f>SUMIFS(INDEX(Техника!$F$1:$ABM$500,R$2,0),Техника!$F$4:$ABM$4,"Часы",INDEX(Техника!$G$1:$ABN$500,R$2,0),$A$1565,INDEX(Техника!$H$1:$ABO$500,R$2,0),"З")</f>
        <v>0</v>
      </c>
      <c r="S1570" s="50">
        <f>SUMIFS(INDEX(Техника!$F$1:$ABM$500,S$2,0),Техника!$F$4:$ABM$4,"Часы",INDEX(Техника!$G$1:$ABN$500,S$2,0),$A$1565,INDEX(Техника!$H$1:$ABO$500,S$2,0),"З")</f>
        <v>0</v>
      </c>
      <c r="T1570" s="50">
        <f>SUMIFS(INDEX(Техника!$F$1:$ABM$500,T$2,0),Техника!$F$4:$ABM$4,"Часы",INDEX(Техника!$G$1:$ABN$500,T$2,0),$A$1565,INDEX(Техника!$H$1:$ABO$500,T$2,0),"З")</f>
        <v>0</v>
      </c>
      <c r="U1570" s="50">
        <f>SUMIFS(INDEX(Техника!$F$1:$ABM$500,U$2,0),Техника!$F$4:$ABM$4,"Часы",INDEX(Техника!$G$1:$ABN$500,U$2,0),$A$1565,INDEX(Техника!$H$1:$ABO$500,U$2,0),"З")</f>
        <v>0</v>
      </c>
      <c r="V1570" s="50">
        <f>SUMIFS(INDEX(Техника!$F$1:$ABM$500,V$2,0),Техника!$F$4:$ABM$4,"Часы",INDEX(Техника!$G$1:$ABN$500,V$2,0),$A$1565,INDEX(Техника!$H$1:$ABO$500,V$2,0),"З")</f>
        <v>0</v>
      </c>
      <c r="W1570" s="50">
        <f>SUMIFS(INDEX(Техника!$F$1:$ABM$500,W$2,0),Техника!$F$4:$ABM$4,"Часы",INDEX(Техника!$G$1:$ABN$500,W$2,0),$A$1565,INDEX(Техника!$H$1:$ABO$500,W$2,0),"З")</f>
        <v>0</v>
      </c>
      <c r="X1570" s="50">
        <f>SUMIFS(INDEX(Техника!$F$1:$ABM$500,X$2,0),Техника!$F$4:$ABM$4,"Часы",INDEX(Техника!$G$1:$ABN$500,X$2,0),$A$1565,INDEX(Техника!$H$1:$ABO$500,X$2,0),"З")</f>
        <v>0</v>
      </c>
      <c r="Y1570" s="50">
        <f>SUMIFS(INDEX(Техника!$F$1:$ABM$500,Y$2,0),Техника!$F$4:$ABM$4,"Часы",INDEX(Техника!$G$1:$ABN$500,Y$2,0),$A$1565,INDEX(Техника!$H$1:$ABO$500,Y$2,0),"З")</f>
        <v>0</v>
      </c>
      <c r="Z1570" s="50">
        <f>SUMIFS(INDEX(Техника!$F$1:$ABM$500,Z$2,0),Техника!$F$4:$ABM$4,"Часы",INDEX(Техника!$G$1:$ABN$500,Z$2,0),$A$1565,INDEX(Техника!$H$1:$ABO$500,Z$2,0),"З")</f>
        <v>0</v>
      </c>
      <c r="AA1570" s="50">
        <f>SUMIFS(INDEX(Техника!$F$1:$ABM$500,AA$2,0),Техника!$F$4:$ABM$4,"Часы",INDEX(Техника!$G$1:$ABN$500,AA$2,0),$A$1565,INDEX(Техника!$H$1:$ABO$500,AA$2,0),"З")</f>
        <v>0</v>
      </c>
      <c r="AB1570" s="50">
        <f>SUMIFS(INDEX(Техника!$F$1:$ABM$500,AB$2,0),Техника!$F$4:$ABM$4,"Часы",INDEX(Техника!$G$1:$ABN$500,AB$2,0),$A$1565,INDEX(Техника!$H$1:$ABO$500,AB$2,0),"З")</f>
        <v>0</v>
      </c>
    </row>
    <row r="1571" spans="1:28" ht="7.95" customHeight="1" x14ac:dyDescent="0.3">
      <c r="A1571" s="38"/>
      <c r="B1571" s="39"/>
      <c r="C1571" s="51"/>
      <c r="D1571" s="51"/>
      <c r="E1571" s="51"/>
      <c r="F1571" s="51"/>
      <c r="G1571" s="51"/>
      <c r="H1571" s="51"/>
      <c r="I1571" s="51"/>
      <c r="J1571" s="51"/>
      <c r="K1571" s="51"/>
      <c r="L1571" s="51"/>
      <c r="M1571" s="51"/>
      <c r="N1571" s="51"/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  <c r="AA1571" s="51"/>
      <c r="AB1571" s="51"/>
    </row>
    <row r="1572" spans="1:28" ht="25.05" customHeight="1" collapsed="1" x14ac:dyDescent="0.3">
      <c r="A1572" s="32">
        <v>225</v>
      </c>
      <c r="B1572" s="32" t="s">
        <v>226</v>
      </c>
      <c r="C1572" s="49">
        <f>SUM(C1573:C1577)</f>
        <v>0</v>
      </c>
      <c r="D1572" s="49">
        <f>SUM(D1573:D1577)</f>
        <v>0</v>
      </c>
      <c r="E1572" s="49">
        <f>SUM(E1573:E1577)</f>
        <v>0</v>
      </c>
      <c r="F1572" s="49">
        <f>SUM(F1573:F1577)</f>
        <v>0</v>
      </c>
      <c r="G1572" s="49">
        <f>SUM(G1573:G1577)</f>
        <v>0</v>
      </c>
      <c r="H1572" s="49">
        <f>SUM(H1573:H1577)</f>
        <v>0</v>
      </c>
      <c r="I1572" s="49">
        <f>SUM(I1573:I1577)</f>
        <v>0</v>
      </c>
      <c r="J1572" s="49">
        <f>SUM(J1573:J1577)</f>
        <v>0</v>
      </c>
      <c r="K1572" s="49">
        <f>SUM(K1573:K1577)</f>
        <v>0</v>
      </c>
      <c r="L1572" s="49">
        <f>SUM(L1573:L1577)</f>
        <v>0</v>
      </c>
      <c r="M1572" s="49">
        <f>SUM(M1573:M1577)</f>
        <v>0</v>
      </c>
      <c r="N1572" s="49">
        <f>SUM(N1573:N1577)</f>
        <v>0</v>
      </c>
      <c r="O1572" s="49">
        <f>SUM(O1573:O1577)</f>
        <v>0</v>
      </c>
      <c r="P1572" s="49">
        <f>SUM(P1573:P1577)</f>
        <v>0</v>
      </c>
      <c r="Q1572" s="49">
        <f>SUM(Q1573:Q1577)</f>
        <v>0</v>
      </c>
      <c r="R1572" s="49">
        <f>SUM(R1573:R1577)</f>
        <v>0</v>
      </c>
      <c r="S1572" s="49">
        <f>SUM(S1573:S1577)</f>
        <v>0</v>
      </c>
      <c r="T1572" s="49">
        <f>SUM(T1573:T1577)</f>
        <v>0</v>
      </c>
      <c r="U1572" s="49">
        <f>SUM(U1573:U1577)</f>
        <v>0</v>
      </c>
      <c r="V1572" s="49">
        <f>SUM(V1573:V1577)</f>
        <v>0</v>
      </c>
      <c r="W1572" s="49">
        <f>SUM(W1573:W1577)</f>
        <v>0</v>
      </c>
      <c r="X1572" s="49">
        <f>SUM(X1573:X1577)</f>
        <v>0</v>
      </c>
      <c r="Y1572" s="49">
        <f>SUM(Y1573:Y1577)</f>
        <v>0</v>
      </c>
      <c r="Z1572" s="49">
        <f>SUM(Z1573:Z1577)</f>
        <v>0</v>
      </c>
      <c r="AA1572" s="49">
        <f>SUM(AA1573:AA1577)</f>
        <v>0</v>
      </c>
      <c r="AB1572" s="49">
        <f>SUM(AB1573:AB1577)</f>
        <v>0</v>
      </c>
    </row>
    <row r="1573" spans="1:28" hidden="1" outlineLevel="1" x14ac:dyDescent="0.3">
      <c r="A1573" s="33" t="s">
        <v>246</v>
      </c>
      <c r="B1573" s="34" t="s">
        <v>274</v>
      </c>
      <c r="C1573" s="50">
        <f>SUMIFS(INDEX(Техника!$F$1:$ABM$500,C$2,0),Техника!$F$4:$ABM$4,"Часы",INDEX(Техника!$G$1:$ABN$500,C$2,0),$A$1572,INDEX(Техника!$H$1:$ABO$500,C$2,0),"М")</f>
        <v>0</v>
      </c>
      <c r="D1573" s="50">
        <f>SUMIFS(INDEX(Техника!$F$1:$ABM$500,D$2,0),Техника!$F$4:$ABM$4,"Часы",INDEX(Техника!$G$1:$ABN$500,D$2,0),$A$1572,INDEX(Техника!$H$1:$ABO$500,D$2,0),"М")</f>
        <v>0</v>
      </c>
      <c r="E1573" s="50">
        <f>SUMIFS(INDEX(Техника!$F$1:$ABM$500,E$2,0),Техника!$F$4:$ABM$4,"Часы",INDEX(Техника!$G$1:$ABN$500,E$2,0),$A$1572,INDEX(Техника!$H$1:$ABO$500,E$2,0),"М")</f>
        <v>0</v>
      </c>
      <c r="F1573" s="50">
        <f>SUMIFS(INDEX(Техника!$F$1:$ABM$500,F$2,0),Техника!$F$4:$ABM$4,"Часы",INDEX(Техника!$G$1:$ABN$500,F$2,0),$A$1572,INDEX(Техника!$H$1:$ABO$500,F$2,0),"М")</f>
        <v>0</v>
      </c>
      <c r="G1573" s="50">
        <f>SUMIFS(INDEX(Техника!$F$1:$ABM$500,G$2,0),Техника!$F$4:$ABM$4,"Часы",INDEX(Техника!$G$1:$ABN$500,G$2,0),$A$1572,INDEX(Техника!$H$1:$ABO$500,G$2,0),"М")</f>
        <v>0</v>
      </c>
      <c r="H1573" s="50">
        <f>SUMIFS(INDEX(Техника!$F$1:$ABM$500,H$2,0),Техника!$F$4:$ABM$4,"Часы",INDEX(Техника!$G$1:$ABN$500,H$2,0),$A$1572,INDEX(Техника!$H$1:$ABO$500,H$2,0),"М")</f>
        <v>0</v>
      </c>
      <c r="I1573" s="50">
        <f>SUMIFS(INDEX(Техника!$F$1:$ABM$500,I$2,0),Техника!$F$4:$ABM$4,"Часы",INDEX(Техника!$G$1:$ABN$500,I$2,0),$A$1572,INDEX(Техника!$H$1:$ABO$500,I$2,0),"М")</f>
        <v>0</v>
      </c>
      <c r="J1573" s="50">
        <f>SUMIFS(INDEX(Техника!$F$1:$ABM$500,J$2,0),Техника!$F$4:$ABM$4,"Часы",INDEX(Техника!$G$1:$ABN$500,J$2,0),$A$1572,INDEX(Техника!$H$1:$ABO$500,J$2,0),"М")</f>
        <v>0</v>
      </c>
      <c r="K1573" s="50">
        <f>SUMIFS(INDEX(Техника!$F$1:$ABM$500,K$2,0),Техника!$F$4:$ABM$4,"Часы",INDEX(Техника!$G$1:$ABN$500,K$2,0),$A$1572,INDEX(Техника!$H$1:$ABO$500,K$2,0),"М")</f>
        <v>0</v>
      </c>
      <c r="L1573" s="50">
        <f>SUMIFS(INDEX(Техника!$F$1:$ABM$500,L$2,0),Техника!$F$4:$ABM$4,"Часы",INDEX(Техника!$G$1:$ABN$500,L$2,0),$A$1572,INDEX(Техника!$H$1:$ABO$500,L$2,0),"М")</f>
        <v>0</v>
      </c>
      <c r="M1573" s="50">
        <f>SUMIFS(INDEX(Техника!$F$1:$ABM$500,M$2,0),Техника!$F$4:$ABM$4,"Часы",INDEX(Техника!$G$1:$ABN$500,M$2,0),$A$1572,INDEX(Техника!$H$1:$ABO$500,M$2,0),"М")</f>
        <v>0</v>
      </c>
      <c r="N1573" s="50">
        <f>SUMIFS(INDEX(Техника!$F$1:$ABM$500,N$2,0),Техника!$F$4:$ABM$4,"Часы",INDEX(Техника!$G$1:$ABN$500,N$2,0),$A$1572,INDEX(Техника!$H$1:$ABO$500,N$2,0),"М")</f>
        <v>0</v>
      </c>
      <c r="O1573" s="50">
        <f>SUMIFS(INDEX(Техника!$F$1:$ABM$500,O$2,0),Техника!$F$4:$ABM$4,"Часы",INDEX(Техника!$G$1:$ABN$500,O$2,0),$A$1572,INDEX(Техника!$H$1:$ABO$500,O$2,0),"М")</f>
        <v>0</v>
      </c>
      <c r="P1573" s="50">
        <f>SUMIFS(INDEX(Техника!$F$1:$ABM$500,P$2,0),Техника!$F$4:$ABM$4,"Часы",INDEX(Техника!$G$1:$ABN$500,P$2,0),$A$1572,INDEX(Техника!$H$1:$ABO$500,P$2,0),"М")</f>
        <v>0</v>
      </c>
      <c r="Q1573" s="50">
        <f>SUMIFS(INDEX(Техника!$F$1:$ABM$500,Q$2,0),Техника!$F$4:$ABM$4,"Часы",INDEX(Техника!$G$1:$ABN$500,Q$2,0),$A$1572,INDEX(Техника!$H$1:$ABO$500,Q$2,0),"М")</f>
        <v>0</v>
      </c>
      <c r="R1573" s="50">
        <f>SUMIFS(INDEX(Техника!$F$1:$ABM$500,R$2,0),Техника!$F$4:$ABM$4,"Часы",INDEX(Техника!$G$1:$ABN$500,R$2,0),$A$1572,INDEX(Техника!$H$1:$ABO$500,R$2,0),"М")</f>
        <v>0</v>
      </c>
      <c r="S1573" s="50">
        <f>SUMIFS(INDEX(Техника!$F$1:$ABM$500,S$2,0),Техника!$F$4:$ABM$4,"Часы",INDEX(Техника!$G$1:$ABN$500,S$2,0),$A$1572,INDEX(Техника!$H$1:$ABO$500,S$2,0),"М")</f>
        <v>0</v>
      </c>
      <c r="T1573" s="50">
        <f>SUMIFS(INDEX(Техника!$F$1:$ABM$500,T$2,0),Техника!$F$4:$ABM$4,"Часы",INDEX(Техника!$G$1:$ABN$500,T$2,0),$A$1572,INDEX(Техника!$H$1:$ABO$500,T$2,0),"М")</f>
        <v>0</v>
      </c>
      <c r="U1573" s="50">
        <f>SUMIFS(INDEX(Техника!$F$1:$ABM$500,U$2,0),Техника!$F$4:$ABM$4,"Часы",INDEX(Техника!$G$1:$ABN$500,U$2,0),$A$1572,INDEX(Техника!$H$1:$ABO$500,U$2,0),"М")</f>
        <v>0</v>
      </c>
      <c r="V1573" s="50">
        <f>SUMIFS(INDEX(Техника!$F$1:$ABM$500,V$2,0),Техника!$F$4:$ABM$4,"Часы",INDEX(Техника!$G$1:$ABN$500,V$2,0),$A$1572,INDEX(Техника!$H$1:$ABO$500,V$2,0),"М")</f>
        <v>0</v>
      </c>
      <c r="W1573" s="50">
        <f>SUMIFS(INDEX(Техника!$F$1:$ABM$500,W$2,0),Техника!$F$4:$ABM$4,"Часы",INDEX(Техника!$G$1:$ABN$500,W$2,0),$A$1572,INDEX(Техника!$H$1:$ABO$500,W$2,0),"М")</f>
        <v>0</v>
      </c>
      <c r="X1573" s="50">
        <f>SUMIFS(INDEX(Техника!$F$1:$ABM$500,X$2,0),Техника!$F$4:$ABM$4,"Часы",INDEX(Техника!$G$1:$ABN$500,X$2,0),$A$1572,INDEX(Техника!$H$1:$ABO$500,X$2,0),"М")</f>
        <v>0</v>
      </c>
      <c r="Y1573" s="50">
        <f>SUMIFS(INDEX(Техника!$F$1:$ABM$500,Y$2,0),Техника!$F$4:$ABM$4,"Часы",INDEX(Техника!$G$1:$ABN$500,Y$2,0),$A$1572,INDEX(Техника!$H$1:$ABO$500,Y$2,0),"М")</f>
        <v>0</v>
      </c>
      <c r="Z1573" s="50">
        <f>SUMIFS(INDEX(Техника!$F$1:$ABM$500,Z$2,0),Техника!$F$4:$ABM$4,"Часы",INDEX(Техника!$G$1:$ABN$500,Z$2,0),$A$1572,INDEX(Техника!$H$1:$ABO$500,Z$2,0),"М")</f>
        <v>0</v>
      </c>
      <c r="AA1573" s="50">
        <f>SUMIFS(INDEX(Техника!$F$1:$ABM$500,AA$2,0),Техника!$F$4:$ABM$4,"Часы",INDEX(Техника!$G$1:$ABN$500,AA$2,0),$A$1572,INDEX(Техника!$H$1:$ABO$500,AA$2,0),"М")</f>
        <v>0</v>
      </c>
      <c r="AB1573" s="50">
        <f>SUMIFS(INDEX(Техника!$F$1:$ABM$500,AB$2,0),Техника!$F$4:$ABM$4,"Часы",INDEX(Техника!$G$1:$ABN$500,AB$2,0),$A$1572,INDEX(Техника!$H$1:$ABO$500,AB$2,0),"М")</f>
        <v>0</v>
      </c>
    </row>
    <row r="1574" spans="1:28" hidden="1" outlineLevel="1" x14ac:dyDescent="0.3">
      <c r="A1574" s="33" t="s">
        <v>244</v>
      </c>
      <c r="B1574" s="34" t="s">
        <v>275</v>
      </c>
      <c r="C1574" s="50">
        <f>SUMIFS(INDEX(Техника!$F$1:$ABM$500,C$2,0),Техника!$F$4:$ABM$4,"Часы",INDEX(Техника!$G$1:$ABN$500,C$2,0),$A$1572,INDEX(Техника!$H$1:$ABO$500,C$2,0),"Д")</f>
        <v>0</v>
      </c>
      <c r="D1574" s="50">
        <f>SUMIFS(INDEX(Техника!$F$1:$ABM$500,D$2,0),Техника!$F$4:$ABM$4,"Часы",INDEX(Техника!$G$1:$ABN$500,D$2,0),$A$1572,INDEX(Техника!$H$1:$ABO$500,D$2,0),"Д")</f>
        <v>0</v>
      </c>
      <c r="E1574" s="50">
        <f>SUMIFS(INDEX(Техника!$F$1:$ABM$500,E$2,0),Техника!$F$4:$ABM$4,"Часы",INDEX(Техника!$G$1:$ABN$500,E$2,0),$A$1572,INDEX(Техника!$H$1:$ABO$500,E$2,0),"Д")</f>
        <v>0</v>
      </c>
      <c r="F1574" s="50">
        <f>SUMIFS(INDEX(Техника!$F$1:$ABM$500,F$2,0),Техника!$F$4:$ABM$4,"Часы",INDEX(Техника!$G$1:$ABN$500,F$2,0),$A$1572,INDEX(Техника!$H$1:$ABO$500,F$2,0),"Д")</f>
        <v>0</v>
      </c>
      <c r="G1574" s="50">
        <f>SUMIFS(INDEX(Техника!$F$1:$ABM$500,G$2,0),Техника!$F$4:$ABM$4,"Часы",INDEX(Техника!$G$1:$ABN$500,G$2,0),$A$1572,INDEX(Техника!$H$1:$ABO$500,G$2,0),"Д")</f>
        <v>0</v>
      </c>
      <c r="H1574" s="50">
        <f>SUMIFS(INDEX(Техника!$F$1:$ABM$500,H$2,0),Техника!$F$4:$ABM$4,"Часы",INDEX(Техника!$G$1:$ABN$500,H$2,0),$A$1572,INDEX(Техника!$H$1:$ABO$500,H$2,0),"Д")</f>
        <v>0</v>
      </c>
      <c r="I1574" s="50">
        <f>SUMIFS(INDEX(Техника!$F$1:$ABM$500,I$2,0),Техника!$F$4:$ABM$4,"Часы",INDEX(Техника!$G$1:$ABN$500,I$2,0),$A$1572,INDEX(Техника!$H$1:$ABO$500,I$2,0),"Д")</f>
        <v>0</v>
      </c>
      <c r="J1574" s="50">
        <f>SUMIFS(INDEX(Техника!$F$1:$ABM$500,J$2,0),Техника!$F$4:$ABM$4,"Часы",INDEX(Техника!$G$1:$ABN$500,J$2,0),$A$1572,INDEX(Техника!$H$1:$ABO$500,J$2,0),"Д")</f>
        <v>0</v>
      </c>
      <c r="K1574" s="50">
        <f>SUMIFS(INDEX(Техника!$F$1:$ABM$500,K$2,0),Техника!$F$4:$ABM$4,"Часы",INDEX(Техника!$G$1:$ABN$500,K$2,0),$A$1572,INDEX(Техника!$H$1:$ABO$500,K$2,0),"Д")</f>
        <v>0</v>
      </c>
      <c r="L1574" s="50">
        <f>SUMIFS(INDEX(Техника!$F$1:$ABM$500,L$2,0),Техника!$F$4:$ABM$4,"Часы",INDEX(Техника!$G$1:$ABN$500,L$2,0),$A$1572,INDEX(Техника!$H$1:$ABO$500,L$2,0),"Д")</f>
        <v>0</v>
      </c>
      <c r="M1574" s="50">
        <f>SUMIFS(INDEX(Техника!$F$1:$ABM$500,M$2,0),Техника!$F$4:$ABM$4,"Часы",INDEX(Техника!$G$1:$ABN$500,M$2,0),$A$1572,INDEX(Техника!$H$1:$ABO$500,M$2,0),"Д")</f>
        <v>0</v>
      </c>
      <c r="N1574" s="50">
        <f>SUMIFS(INDEX(Техника!$F$1:$ABM$500,N$2,0),Техника!$F$4:$ABM$4,"Часы",INDEX(Техника!$G$1:$ABN$500,N$2,0),$A$1572,INDEX(Техника!$H$1:$ABO$500,N$2,0),"Д")</f>
        <v>0</v>
      </c>
      <c r="O1574" s="50">
        <f>SUMIFS(INDEX(Техника!$F$1:$ABM$500,O$2,0),Техника!$F$4:$ABM$4,"Часы",INDEX(Техника!$G$1:$ABN$500,O$2,0),$A$1572,INDEX(Техника!$H$1:$ABO$500,O$2,0),"Д")</f>
        <v>0</v>
      </c>
      <c r="P1574" s="50">
        <f>SUMIFS(INDEX(Техника!$F$1:$ABM$500,P$2,0),Техника!$F$4:$ABM$4,"Часы",INDEX(Техника!$G$1:$ABN$500,P$2,0),$A$1572,INDEX(Техника!$H$1:$ABO$500,P$2,0),"Д")</f>
        <v>0</v>
      </c>
      <c r="Q1574" s="50">
        <f>SUMIFS(INDEX(Техника!$F$1:$ABM$500,Q$2,0),Техника!$F$4:$ABM$4,"Часы",INDEX(Техника!$G$1:$ABN$500,Q$2,0),$A$1572,INDEX(Техника!$H$1:$ABO$500,Q$2,0),"Д")</f>
        <v>0</v>
      </c>
      <c r="R1574" s="50">
        <f>SUMIFS(INDEX(Техника!$F$1:$ABM$500,R$2,0),Техника!$F$4:$ABM$4,"Часы",INDEX(Техника!$G$1:$ABN$500,R$2,0),$A$1572,INDEX(Техника!$H$1:$ABO$500,R$2,0),"Д")</f>
        <v>0</v>
      </c>
      <c r="S1574" s="50">
        <f>SUMIFS(INDEX(Техника!$F$1:$ABM$500,S$2,0),Техника!$F$4:$ABM$4,"Часы",INDEX(Техника!$G$1:$ABN$500,S$2,0),$A$1572,INDEX(Техника!$H$1:$ABO$500,S$2,0),"Д")</f>
        <v>0</v>
      </c>
      <c r="T1574" s="50">
        <f>SUMIFS(INDEX(Техника!$F$1:$ABM$500,T$2,0),Техника!$F$4:$ABM$4,"Часы",INDEX(Техника!$G$1:$ABN$500,T$2,0),$A$1572,INDEX(Техника!$H$1:$ABO$500,T$2,0),"Д")</f>
        <v>0</v>
      </c>
      <c r="U1574" s="50">
        <f>SUMIFS(INDEX(Техника!$F$1:$ABM$500,U$2,0),Техника!$F$4:$ABM$4,"Часы",INDEX(Техника!$G$1:$ABN$500,U$2,0),$A$1572,INDEX(Техника!$H$1:$ABO$500,U$2,0),"Д")</f>
        <v>0</v>
      </c>
      <c r="V1574" s="50">
        <f>SUMIFS(INDEX(Техника!$F$1:$ABM$500,V$2,0),Техника!$F$4:$ABM$4,"Часы",INDEX(Техника!$G$1:$ABN$500,V$2,0),$A$1572,INDEX(Техника!$H$1:$ABO$500,V$2,0),"Д")</f>
        <v>0</v>
      </c>
      <c r="W1574" s="50">
        <f>SUMIFS(INDEX(Техника!$F$1:$ABM$500,W$2,0),Техника!$F$4:$ABM$4,"Часы",INDEX(Техника!$G$1:$ABN$500,W$2,0),$A$1572,INDEX(Техника!$H$1:$ABO$500,W$2,0),"Д")</f>
        <v>0</v>
      </c>
      <c r="X1574" s="50">
        <f>SUMIFS(INDEX(Техника!$F$1:$ABM$500,X$2,0),Техника!$F$4:$ABM$4,"Часы",INDEX(Техника!$G$1:$ABN$500,X$2,0),$A$1572,INDEX(Техника!$H$1:$ABO$500,X$2,0),"Д")</f>
        <v>0</v>
      </c>
      <c r="Y1574" s="50">
        <f>SUMIFS(INDEX(Техника!$F$1:$ABM$500,Y$2,0),Техника!$F$4:$ABM$4,"Часы",INDEX(Техника!$G$1:$ABN$500,Y$2,0),$A$1572,INDEX(Техника!$H$1:$ABO$500,Y$2,0),"Д")</f>
        <v>0</v>
      </c>
      <c r="Z1574" s="50">
        <f>SUMIFS(INDEX(Техника!$F$1:$ABM$500,Z$2,0),Техника!$F$4:$ABM$4,"Часы",INDEX(Техника!$G$1:$ABN$500,Z$2,0),$A$1572,INDEX(Техника!$H$1:$ABO$500,Z$2,0),"Д")</f>
        <v>0</v>
      </c>
      <c r="AA1574" s="50">
        <f>SUMIFS(INDEX(Техника!$F$1:$ABM$500,AA$2,0),Техника!$F$4:$ABM$4,"Часы",INDEX(Техника!$G$1:$ABN$500,AA$2,0),$A$1572,INDEX(Техника!$H$1:$ABO$500,AA$2,0),"Д")</f>
        <v>0</v>
      </c>
      <c r="AB1574" s="50">
        <f>SUMIFS(INDEX(Техника!$F$1:$ABM$500,AB$2,0),Техника!$F$4:$ABM$4,"Часы",INDEX(Техника!$G$1:$ABN$500,AB$2,0),$A$1572,INDEX(Техника!$H$1:$ABO$500,AB$2,0),"Д")</f>
        <v>0</v>
      </c>
    </row>
    <row r="1575" spans="1:28" hidden="1" outlineLevel="1" x14ac:dyDescent="0.3">
      <c r="A1575" s="33" t="s">
        <v>276</v>
      </c>
      <c r="B1575" s="34" t="s">
        <v>277</v>
      </c>
      <c r="C1575" s="50">
        <f>SUMIFS(INDEX(Техника!$F$1:$ABM$500,C$2,0),Техника!$F$4:$ABM$4,"Часы",INDEX(Техника!$G$1:$ABN$500,C$2,0),$A$1572,INDEX(Техника!$H$1:$ABO$500,C$2,0),"П")</f>
        <v>0</v>
      </c>
      <c r="D1575" s="50">
        <f>SUMIFS(INDEX(Техника!$F$1:$ABM$500,D$2,0),Техника!$F$4:$ABM$4,"Часы",INDEX(Техника!$G$1:$ABN$500,D$2,0),$A$1572,INDEX(Техника!$H$1:$ABO$500,D$2,0),"П")</f>
        <v>0</v>
      </c>
      <c r="E1575" s="50">
        <f>SUMIFS(INDEX(Техника!$F$1:$ABM$500,E$2,0),Техника!$F$4:$ABM$4,"Часы",INDEX(Техника!$G$1:$ABN$500,E$2,0),$A$1572,INDEX(Техника!$H$1:$ABO$500,E$2,0),"П")</f>
        <v>0</v>
      </c>
      <c r="F1575" s="50">
        <f>SUMIFS(INDEX(Техника!$F$1:$ABM$500,F$2,0),Техника!$F$4:$ABM$4,"Часы",INDEX(Техника!$G$1:$ABN$500,F$2,0),$A$1572,INDEX(Техника!$H$1:$ABO$500,F$2,0),"П")</f>
        <v>0</v>
      </c>
      <c r="G1575" s="50">
        <f>SUMIFS(INDEX(Техника!$F$1:$ABM$500,G$2,0),Техника!$F$4:$ABM$4,"Часы",INDEX(Техника!$G$1:$ABN$500,G$2,0),$A$1572,INDEX(Техника!$H$1:$ABO$500,G$2,0),"П")</f>
        <v>0</v>
      </c>
      <c r="H1575" s="50">
        <f>SUMIFS(INDEX(Техника!$F$1:$ABM$500,H$2,0),Техника!$F$4:$ABM$4,"Часы",INDEX(Техника!$G$1:$ABN$500,H$2,0),$A$1572,INDEX(Техника!$H$1:$ABO$500,H$2,0),"П")</f>
        <v>0</v>
      </c>
      <c r="I1575" s="50">
        <f>SUMIFS(INDEX(Техника!$F$1:$ABM$500,I$2,0),Техника!$F$4:$ABM$4,"Часы",INDEX(Техника!$G$1:$ABN$500,I$2,0),$A$1572,INDEX(Техника!$H$1:$ABO$500,I$2,0),"П")</f>
        <v>0</v>
      </c>
      <c r="J1575" s="50">
        <f>SUMIFS(INDEX(Техника!$F$1:$ABM$500,J$2,0),Техника!$F$4:$ABM$4,"Часы",INDEX(Техника!$G$1:$ABN$500,J$2,0),$A$1572,INDEX(Техника!$H$1:$ABO$500,J$2,0),"П")</f>
        <v>0</v>
      </c>
      <c r="K1575" s="50">
        <f>SUMIFS(INDEX(Техника!$F$1:$ABM$500,K$2,0),Техника!$F$4:$ABM$4,"Часы",INDEX(Техника!$G$1:$ABN$500,K$2,0),$A$1572,INDEX(Техника!$H$1:$ABO$500,K$2,0),"П")</f>
        <v>0</v>
      </c>
      <c r="L1575" s="50">
        <f>SUMIFS(INDEX(Техника!$F$1:$ABM$500,L$2,0),Техника!$F$4:$ABM$4,"Часы",INDEX(Техника!$G$1:$ABN$500,L$2,0),$A$1572,INDEX(Техника!$H$1:$ABO$500,L$2,0),"П")</f>
        <v>0</v>
      </c>
      <c r="M1575" s="50">
        <f>SUMIFS(INDEX(Техника!$F$1:$ABM$500,M$2,0),Техника!$F$4:$ABM$4,"Часы",INDEX(Техника!$G$1:$ABN$500,M$2,0),$A$1572,INDEX(Техника!$H$1:$ABO$500,M$2,0),"П")</f>
        <v>0</v>
      </c>
      <c r="N1575" s="50">
        <f>SUMIFS(INDEX(Техника!$F$1:$ABM$500,N$2,0),Техника!$F$4:$ABM$4,"Часы",INDEX(Техника!$G$1:$ABN$500,N$2,0),$A$1572,INDEX(Техника!$H$1:$ABO$500,N$2,0),"П")</f>
        <v>0</v>
      </c>
      <c r="O1575" s="50">
        <f>SUMIFS(INDEX(Техника!$F$1:$ABM$500,O$2,0),Техника!$F$4:$ABM$4,"Часы",INDEX(Техника!$G$1:$ABN$500,O$2,0),$A$1572,INDEX(Техника!$H$1:$ABO$500,O$2,0),"П")</f>
        <v>0</v>
      </c>
      <c r="P1575" s="50">
        <f>SUMIFS(INDEX(Техника!$F$1:$ABM$500,P$2,0),Техника!$F$4:$ABM$4,"Часы",INDEX(Техника!$G$1:$ABN$500,P$2,0),$A$1572,INDEX(Техника!$H$1:$ABO$500,P$2,0),"П")</f>
        <v>0</v>
      </c>
      <c r="Q1575" s="50">
        <f>SUMIFS(INDEX(Техника!$F$1:$ABM$500,Q$2,0),Техника!$F$4:$ABM$4,"Часы",INDEX(Техника!$G$1:$ABN$500,Q$2,0),$A$1572,INDEX(Техника!$H$1:$ABO$500,Q$2,0),"П")</f>
        <v>0</v>
      </c>
      <c r="R1575" s="50">
        <f>SUMIFS(INDEX(Техника!$F$1:$ABM$500,R$2,0),Техника!$F$4:$ABM$4,"Часы",INDEX(Техника!$G$1:$ABN$500,R$2,0),$A$1572,INDEX(Техника!$H$1:$ABO$500,R$2,0),"П")</f>
        <v>0</v>
      </c>
      <c r="S1575" s="50">
        <f>SUMIFS(INDEX(Техника!$F$1:$ABM$500,S$2,0),Техника!$F$4:$ABM$4,"Часы",INDEX(Техника!$G$1:$ABN$500,S$2,0),$A$1572,INDEX(Техника!$H$1:$ABO$500,S$2,0),"П")</f>
        <v>0</v>
      </c>
      <c r="T1575" s="50">
        <f>SUMIFS(INDEX(Техника!$F$1:$ABM$500,T$2,0),Техника!$F$4:$ABM$4,"Часы",INDEX(Техника!$G$1:$ABN$500,T$2,0),$A$1572,INDEX(Техника!$H$1:$ABO$500,T$2,0),"П")</f>
        <v>0</v>
      </c>
      <c r="U1575" s="50">
        <f>SUMIFS(INDEX(Техника!$F$1:$ABM$500,U$2,0),Техника!$F$4:$ABM$4,"Часы",INDEX(Техника!$G$1:$ABN$500,U$2,0),$A$1572,INDEX(Техника!$H$1:$ABO$500,U$2,0),"П")</f>
        <v>0</v>
      </c>
      <c r="V1575" s="50">
        <f>SUMIFS(INDEX(Техника!$F$1:$ABM$500,V$2,0),Техника!$F$4:$ABM$4,"Часы",INDEX(Техника!$G$1:$ABN$500,V$2,0),$A$1572,INDEX(Техника!$H$1:$ABO$500,V$2,0),"П")</f>
        <v>0</v>
      </c>
      <c r="W1575" s="50">
        <f>SUMIFS(INDEX(Техника!$F$1:$ABM$500,W$2,0),Техника!$F$4:$ABM$4,"Часы",INDEX(Техника!$G$1:$ABN$500,W$2,0),$A$1572,INDEX(Техника!$H$1:$ABO$500,W$2,0),"П")</f>
        <v>0</v>
      </c>
      <c r="X1575" s="50">
        <f>SUMIFS(INDEX(Техника!$F$1:$ABM$500,X$2,0),Техника!$F$4:$ABM$4,"Часы",INDEX(Техника!$G$1:$ABN$500,X$2,0),$A$1572,INDEX(Техника!$H$1:$ABO$500,X$2,0),"П")</f>
        <v>0</v>
      </c>
      <c r="Y1575" s="50">
        <f>SUMIFS(INDEX(Техника!$F$1:$ABM$500,Y$2,0),Техника!$F$4:$ABM$4,"Часы",INDEX(Техника!$G$1:$ABN$500,Y$2,0),$A$1572,INDEX(Техника!$H$1:$ABO$500,Y$2,0),"П")</f>
        <v>0</v>
      </c>
      <c r="Z1575" s="50">
        <f>SUMIFS(INDEX(Техника!$F$1:$ABM$500,Z$2,0),Техника!$F$4:$ABM$4,"Часы",INDEX(Техника!$G$1:$ABN$500,Z$2,0),$A$1572,INDEX(Техника!$H$1:$ABO$500,Z$2,0),"П")</f>
        <v>0</v>
      </c>
      <c r="AA1575" s="50">
        <f>SUMIFS(INDEX(Техника!$F$1:$ABM$500,AA$2,0),Техника!$F$4:$ABM$4,"Часы",INDEX(Техника!$G$1:$ABN$500,AA$2,0),$A$1572,INDEX(Техника!$H$1:$ABO$500,AA$2,0),"П")</f>
        <v>0</v>
      </c>
      <c r="AB1575" s="50">
        <f>SUMIFS(INDEX(Техника!$F$1:$ABM$500,AB$2,0),Техника!$F$4:$ABM$4,"Часы",INDEX(Техника!$G$1:$ABN$500,AB$2,0),$A$1572,INDEX(Техника!$H$1:$ABO$500,AB$2,0),"П")</f>
        <v>0</v>
      </c>
    </row>
    <row r="1576" spans="1:28" hidden="1" outlineLevel="1" x14ac:dyDescent="0.3">
      <c r="A1576" s="33" t="s">
        <v>243</v>
      </c>
      <c r="B1576" s="34" t="s">
        <v>278</v>
      </c>
      <c r="C1576" s="50">
        <f>SUMIFS(INDEX(Техника!$F$1:$ABM$500,C$2,0),Техника!$F$4:$ABM$4,"Часы",INDEX(Техника!$G$1:$ABN$500,C$2,0),$A$1572,INDEX(Техника!$H$1:$ABO$500,C$2,0),"Л")</f>
        <v>0</v>
      </c>
      <c r="D1576" s="50">
        <f>SUMIFS(INDEX(Техника!$F$1:$ABM$500,D$2,0),Техника!$F$4:$ABM$4,"Часы",INDEX(Техника!$G$1:$ABN$500,D$2,0),$A$1572,INDEX(Техника!$H$1:$ABO$500,D$2,0),"Л")</f>
        <v>0</v>
      </c>
      <c r="E1576" s="50">
        <f>SUMIFS(INDEX(Техника!$F$1:$ABM$500,E$2,0),Техника!$F$4:$ABM$4,"Часы",INDEX(Техника!$G$1:$ABN$500,E$2,0),$A$1572,INDEX(Техника!$H$1:$ABO$500,E$2,0),"Л")</f>
        <v>0</v>
      </c>
      <c r="F1576" s="50">
        <f>SUMIFS(INDEX(Техника!$F$1:$ABM$500,F$2,0),Техника!$F$4:$ABM$4,"Часы",INDEX(Техника!$G$1:$ABN$500,F$2,0),$A$1572,INDEX(Техника!$H$1:$ABO$500,F$2,0),"Л")</f>
        <v>0</v>
      </c>
      <c r="G1576" s="50">
        <f>SUMIFS(INDEX(Техника!$F$1:$ABM$500,G$2,0),Техника!$F$4:$ABM$4,"Часы",INDEX(Техника!$G$1:$ABN$500,G$2,0),$A$1572,INDEX(Техника!$H$1:$ABO$500,G$2,0),"Л")</f>
        <v>0</v>
      </c>
      <c r="H1576" s="50">
        <f>SUMIFS(INDEX(Техника!$F$1:$ABM$500,H$2,0),Техника!$F$4:$ABM$4,"Часы",INDEX(Техника!$G$1:$ABN$500,H$2,0),$A$1572,INDEX(Техника!$H$1:$ABO$500,H$2,0),"Л")</f>
        <v>0</v>
      </c>
      <c r="I1576" s="50">
        <f>SUMIFS(INDEX(Техника!$F$1:$ABM$500,I$2,0),Техника!$F$4:$ABM$4,"Часы",INDEX(Техника!$G$1:$ABN$500,I$2,0),$A$1572,INDEX(Техника!$H$1:$ABO$500,I$2,0),"Л")</f>
        <v>0</v>
      </c>
      <c r="J1576" s="50">
        <f>SUMIFS(INDEX(Техника!$F$1:$ABM$500,J$2,0),Техника!$F$4:$ABM$4,"Часы",INDEX(Техника!$G$1:$ABN$500,J$2,0),$A$1572,INDEX(Техника!$H$1:$ABO$500,J$2,0),"Л")</f>
        <v>0</v>
      </c>
      <c r="K1576" s="50">
        <f>SUMIFS(INDEX(Техника!$F$1:$ABM$500,K$2,0),Техника!$F$4:$ABM$4,"Часы",INDEX(Техника!$G$1:$ABN$500,K$2,0),$A$1572,INDEX(Техника!$H$1:$ABO$500,K$2,0),"Л")</f>
        <v>0</v>
      </c>
      <c r="L1576" s="50">
        <f>SUMIFS(INDEX(Техника!$F$1:$ABM$500,L$2,0),Техника!$F$4:$ABM$4,"Часы",INDEX(Техника!$G$1:$ABN$500,L$2,0),$A$1572,INDEX(Техника!$H$1:$ABO$500,L$2,0),"Л")</f>
        <v>0</v>
      </c>
      <c r="M1576" s="50">
        <f>SUMIFS(INDEX(Техника!$F$1:$ABM$500,M$2,0),Техника!$F$4:$ABM$4,"Часы",INDEX(Техника!$G$1:$ABN$500,M$2,0),$A$1572,INDEX(Техника!$H$1:$ABO$500,M$2,0),"Л")</f>
        <v>0</v>
      </c>
      <c r="N1576" s="50">
        <f>SUMIFS(INDEX(Техника!$F$1:$ABM$500,N$2,0),Техника!$F$4:$ABM$4,"Часы",INDEX(Техника!$G$1:$ABN$500,N$2,0),$A$1572,INDEX(Техника!$H$1:$ABO$500,N$2,0),"Л")</f>
        <v>0</v>
      </c>
      <c r="O1576" s="50">
        <f>SUMIFS(INDEX(Техника!$F$1:$ABM$500,O$2,0),Техника!$F$4:$ABM$4,"Часы",INDEX(Техника!$G$1:$ABN$500,O$2,0),$A$1572,INDEX(Техника!$H$1:$ABO$500,O$2,0),"Л")</f>
        <v>0</v>
      </c>
      <c r="P1576" s="50">
        <f>SUMIFS(INDEX(Техника!$F$1:$ABM$500,P$2,0),Техника!$F$4:$ABM$4,"Часы",INDEX(Техника!$G$1:$ABN$500,P$2,0),$A$1572,INDEX(Техника!$H$1:$ABO$500,P$2,0),"Л")</f>
        <v>0</v>
      </c>
      <c r="Q1576" s="50">
        <f>SUMIFS(INDEX(Техника!$F$1:$ABM$500,Q$2,0),Техника!$F$4:$ABM$4,"Часы",INDEX(Техника!$G$1:$ABN$500,Q$2,0),$A$1572,INDEX(Техника!$H$1:$ABO$500,Q$2,0),"Л")</f>
        <v>0</v>
      </c>
      <c r="R1576" s="50">
        <f>SUMIFS(INDEX(Техника!$F$1:$ABM$500,R$2,0),Техника!$F$4:$ABM$4,"Часы",INDEX(Техника!$G$1:$ABN$500,R$2,0),$A$1572,INDEX(Техника!$H$1:$ABO$500,R$2,0),"Л")</f>
        <v>0</v>
      </c>
      <c r="S1576" s="50">
        <f>SUMIFS(INDEX(Техника!$F$1:$ABM$500,S$2,0),Техника!$F$4:$ABM$4,"Часы",INDEX(Техника!$G$1:$ABN$500,S$2,0),$A$1572,INDEX(Техника!$H$1:$ABO$500,S$2,0),"Л")</f>
        <v>0</v>
      </c>
      <c r="T1576" s="50">
        <f>SUMIFS(INDEX(Техника!$F$1:$ABM$500,T$2,0),Техника!$F$4:$ABM$4,"Часы",INDEX(Техника!$G$1:$ABN$500,T$2,0),$A$1572,INDEX(Техника!$H$1:$ABO$500,T$2,0),"Л")</f>
        <v>0</v>
      </c>
      <c r="U1576" s="50">
        <f>SUMIFS(INDEX(Техника!$F$1:$ABM$500,U$2,0),Техника!$F$4:$ABM$4,"Часы",INDEX(Техника!$G$1:$ABN$500,U$2,0),$A$1572,INDEX(Техника!$H$1:$ABO$500,U$2,0),"Л")</f>
        <v>0</v>
      </c>
      <c r="V1576" s="50">
        <f>SUMIFS(INDEX(Техника!$F$1:$ABM$500,V$2,0),Техника!$F$4:$ABM$4,"Часы",INDEX(Техника!$G$1:$ABN$500,V$2,0),$A$1572,INDEX(Техника!$H$1:$ABO$500,V$2,0),"Л")</f>
        <v>0</v>
      </c>
      <c r="W1576" s="50">
        <f>SUMIFS(INDEX(Техника!$F$1:$ABM$500,W$2,0),Техника!$F$4:$ABM$4,"Часы",INDEX(Техника!$G$1:$ABN$500,W$2,0),$A$1572,INDEX(Техника!$H$1:$ABO$500,W$2,0),"Л")</f>
        <v>0</v>
      </c>
      <c r="X1576" s="50">
        <f>SUMIFS(INDEX(Техника!$F$1:$ABM$500,X$2,0),Техника!$F$4:$ABM$4,"Часы",INDEX(Техника!$G$1:$ABN$500,X$2,0),$A$1572,INDEX(Техника!$H$1:$ABO$500,X$2,0),"Л")</f>
        <v>0</v>
      </c>
      <c r="Y1576" s="50">
        <f>SUMIFS(INDEX(Техника!$F$1:$ABM$500,Y$2,0),Техника!$F$4:$ABM$4,"Часы",INDEX(Техника!$G$1:$ABN$500,Y$2,0),$A$1572,INDEX(Техника!$H$1:$ABO$500,Y$2,0),"Л")</f>
        <v>0</v>
      </c>
      <c r="Z1576" s="50">
        <f>SUMIFS(INDEX(Техника!$F$1:$ABM$500,Z$2,0),Техника!$F$4:$ABM$4,"Часы",INDEX(Техника!$G$1:$ABN$500,Z$2,0),$A$1572,INDEX(Техника!$H$1:$ABO$500,Z$2,0),"Л")</f>
        <v>0</v>
      </c>
      <c r="AA1576" s="50">
        <f>SUMIFS(INDEX(Техника!$F$1:$ABM$500,AA$2,0),Техника!$F$4:$ABM$4,"Часы",INDEX(Техника!$G$1:$ABN$500,AA$2,0),$A$1572,INDEX(Техника!$H$1:$ABO$500,AA$2,0),"Л")</f>
        <v>0</v>
      </c>
      <c r="AB1576" s="50">
        <f>SUMIFS(INDEX(Техника!$F$1:$ABM$500,AB$2,0),Техника!$F$4:$ABM$4,"Часы",INDEX(Техника!$G$1:$ABN$500,AB$2,0),$A$1572,INDEX(Техника!$H$1:$ABO$500,AB$2,0),"Л")</f>
        <v>0</v>
      </c>
    </row>
    <row r="1577" spans="1:28" hidden="1" outlineLevel="1" x14ac:dyDescent="0.3">
      <c r="A1577" s="33" t="s">
        <v>245</v>
      </c>
      <c r="B1577" s="34" t="s">
        <v>279</v>
      </c>
      <c r="C1577" s="50">
        <f>SUMIFS(INDEX(Техника!$F$1:$ABM$500,C$2,0),Техника!$F$4:$ABM$4,"Часы",INDEX(Техника!$G$1:$ABN$500,C$2,0),$A$1572,INDEX(Техника!$H$1:$ABO$500,C$2,0),"З")</f>
        <v>0</v>
      </c>
      <c r="D1577" s="50">
        <f>SUMIFS(INDEX(Техника!$F$1:$ABM$500,D$2,0),Техника!$F$4:$ABM$4,"Часы",INDEX(Техника!$G$1:$ABN$500,D$2,0),$A$1572,INDEX(Техника!$H$1:$ABO$500,D$2,0),"З")</f>
        <v>0</v>
      </c>
      <c r="E1577" s="50">
        <f>SUMIFS(INDEX(Техника!$F$1:$ABM$500,E$2,0),Техника!$F$4:$ABM$4,"Часы",INDEX(Техника!$G$1:$ABN$500,E$2,0),$A$1572,INDEX(Техника!$H$1:$ABO$500,E$2,0),"З")</f>
        <v>0</v>
      </c>
      <c r="F1577" s="50">
        <f>SUMIFS(INDEX(Техника!$F$1:$ABM$500,F$2,0),Техника!$F$4:$ABM$4,"Часы",INDEX(Техника!$G$1:$ABN$500,F$2,0),$A$1572,INDEX(Техника!$H$1:$ABO$500,F$2,0),"З")</f>
        <v>0</v>
      </c>
      <c r="G1577" s="50">
        <f>SUMIFS(INDEX(Техника!$F$1:$ABM$500,G$2,0),Техника!$F$4:$ABM$4,"Часы",INDEX(Техника!$G$1:$ABN$500,G$2,0),$A$1572,INDEX(Техника!$H$1:$ABO$500,G$2,0),"З")</f>
        <v>0</v>
      </c>
      <c r="H1577" s="50">
        <f>SUMIFS(INDEX(Техника!$F$1:$ABM$500,H$2,0),Техника!$F$4:$ABM$4,"Часы",INDEX(Техника!$G$1:$ABN$500,H$2,0),$A$1572,INDEX(Техника!$H$1:$ABO$500,H$2,0),"З")</f>
        <v>0</v>
      </c>
      <c r="I1577" s="50">
        <f>SUMIFS(INDEX(Техника!$F$1:$ABM$500,I$2,0),Техника!$F$4:$ABM$4,"Часы",INDEX(Техника!$G$1:$ABN$500,I$2,0),$A$1572,INDEX(Техника!$H$1:$ABO$500,I$2,0),"З")</f>
        <v>0</v>
      </c>
      <c r="J1577" s="50">
        <f>SUMIFS(INDEX(Техника!$F$1:$ABM$500,J$2,0),Техника!$F$4:$ABM$4,"Часы",INDEX(Техника!$G$1:$ABN$500,J$2,0),$A$1572,INDEX(Техника!$H$1:$ABO$500,J$2,0),"З")</f>
        <v>0</v>
      </c>
      <c r="K1577" s="50">
        <f>SUMIFS(INDEX(Техника!$F$1:$ABM$500,K$2,0),Техника!$F$4:$ABM$4,"Часы",INDEX(Техника!$G$1:$ABN$500,K$2,0),$A$1572,INDEX(Техника!$H$1:$ABO$500,K$2,0),"З")</f>
        <v>0</v>
      </c>
      <c r="L1577" s="50">
        <f>SUMIFS(INDEX(Техника!$F$1:$ABM$500,L$2,0),Техника!$F$4:$ABM$4,"Часы",INDEX(Техника!$G$1:$ABN$500,L$2,0),$A$1572,INDEX(Техника!$H$1:$ABO$500,L$2,0),"З")</f>
        <v>0</v>
      </c>
      <c r="M1577" s="50">
        <f>SUMIFS(INDEX(Техника!$F$1:$ABM$500,M$2,0),Техника!$F$4:$ABM$4,"Часы",INDEX(Техника!$G$1:$ABN$500,M$2,0),$A$1572,INDEX(Техника!$H$1:$ABO$500,M$2,0),"З")</f>
        <v>0</v>
      </c>
      <c r="N1577" s="50">
        <f>SUMIFS(INDEX(Техника!$F$1:$ABM$500,N$2,0),Техника!$F$4:$ABM$4,"Часы",INDEX(Техника!$G$1:$ABN$500,N$2,0),$A$1572,INDEX(Техника!$H$1:$ABO$500,N$2,0),"З")</f>
        <v>0</v>
      </c>
      <c r="O1577" s="50">
        <f>SUMIFS(INDEX(Техника!$F$1:$ABM$500,O$2,0),Техника!$F$4:$ABM$4,"Часы",INDEX(Техника!$G$1:$ABN$500,O$2,0),$A$1572,INDEX(Техника!$H$1:$ABO$500,O$2,0),"З")</f>
        <v>0</v>
      </c>
      <c r="P1577" s="50">
        <f>SUMIFS(INDEX(Техника!$F$1:$ABM$500,P$2,0),Техника!$F$4:$ABM$4,"Часы",INDEX(Техника!$G$1:$ABN$500,P$2,0),$A$1572,INDEX(Техника!$H$1:$ABO$500,P$2,0),"З")</f>
        <v>0</v>
      </c>
      <c r="Q1577" s="50">
        <f>SUMIFS(INDEX(Техника!$F$1:$ABM$500,Q$2,0),Техника!$F$4:$ABM$4,"Часы",INDEX(Техника!$G$1:$ABN$500,Q$2,0),$A$1572,INDEX(Техника!$H$1:$ABO$500,Q$2,0),"З")</f>
        <v>0</v>
      </c>
      <c r="R1577" s="50">
        <f>SUMIFS(INDEX(Техника!$F$1:$ABM$500,R$2,0),Техника!$F$4:$ABM$4,"Часы",INDEX(Техника!$G$1:$ABN$500,R$2,0),$A$1572,INDEX(Техника!$H$1:$ABO$500,R$2,0),"З")</f>
        <v>0</v>
      </c>
      <c r="S1577" s="50">
        <f>SUMIFS(INDEX(Техника!$F$1:$ABM$500,S$2,0),Техника!$F$4:$ABM$4,"Часы",INDEX(Техника!$G$1:$ABN$500,S$2,0),$A$1572,INDEX(Техника!$H$1:$ABO$500,S$2,0),"З")</f>
        <v>0</v>
      </c>
      <c r="T1577" s="50">
        <f>SUMIFS(INDEX(Техника!$F$1:$ABM$500,T$2,0),Техника!$F$4:$ABM$4,"Часы",INDEX(Техника!$G$1:$ABN$500,T$2,0),$A$1572,INDEX(Техника!$H$1:$ABO$500,T$2,0),"З")</f>
        <v>0</v>
      </c>
      <c r="U1577" s="50">
        <f>SUMIFS(INDEX(Техника!$F$1:$ABM$500,U$2,0),Техника!$F$4:$ABM$4,"Часы",INDEX(Техника!$G$1:$ABN$500,U$2,0),$A$1572,INDEX(Техника!$H$1:$ABO$500,U$2,0),"З")</f>
        <v>0</v>
      </c>
      <c r="V1577" s="50">
        <f>SUMIFS(INDEX(Техника!$F$1:$ABM$500,V$2,0),Техника!$F$4:$ABM$4,"Часы",INDEX(Техника!$G$1:$ABN$500,V$2,0),$A$1572,INDEX(Техника!$H$1:$ABO$500,V$2,0),"З")</f>
        <v>0</v>
      </c>
      <c r="W1577" s="50">
        <f>SUMIFS(INDEX(Техника!$F$1:$ABM$500,W$2,0),Техника!$F$4:$ABM$4,"Часы",INDEX(Техника!$G$1:$ABN$500,W$2,0),$A$1572,INDEX(Техника!$H$1:$ABO$500,W$2,0),"З")</f>
        <v>0</v>
      </c>
      <c r="X1577" s="50">
        <f>SUMIFS(INDEX(Техника!$F$1:$ABM$500,X$2,0),Техника!$F$4:$ABM$4,"Часы",INDEX(Техника!$G$1:$ABN$500,X$2,0),$A$1572,INDEX(Техника!$H$1:$ABO$500,X$2,0),"З")</f>
        <v>0</v>
      </c>
      <c r="Y1577" s="50">
        <f>SUMIFS(INDEX(Техника!$F$1:$ABM$500,Y$2,0),Техника!$F$4:$ABM$4,"Часы",INDEX(Техника!$G$1:$ABN$500,Y$2,0),$A$1572,INDEX(Техника!$H$1:$ABO$500,Y$2,0),"З")</f>
        <v>0</v>
      </c>
      <c r="Z1577" s="50">
        <f>SUMIFS(INDEX(Техника!$F$1:$ABM$500,Z$2,0),Техника!$F$4:$ABM$4,"Часы",INDEX(Техника!$G$1:$ABN$500,Z$2,0),$A$1572,INDEX(Техника!$H$1:$ABO$500,Z$2,0),"З")</f>
        <v>0</v>
      </c>
      <c r="AA1577" s="50">
        <f>SUMIFS(INDEX(Техника!$F$1:$ABM$500,AA$2,0),Техника!$F$4:$ABM$4,"Часы",INDEX(Техника!$G$1:$ABN$500,AA$2,0),$A$1572,INDEX(Техника!$H$1:$ABO$500,AA$2,0),"З")</f>
        <v>0</v>
      </c>
      <c r="AB1577" s="50">
        <f>SUMIFS(INDEX(Техника!$F$1:$ABM$500,AB$2,0),Техника!$F$4:$ABM$4,"Часы",INDEX(Техника!$G$1:$ABN$500,AB$2,0),$A$1572,INDEX(Техника!$H$1:$ABO$500,AB$2,0),"З")</f>
        <v>0</v>
      </c>
    </row>
    <row r="1578" spans="1:28" ht="7.95" customHeight="1" x14ac:dyDescent="0.3">
      <c r="A1578" s="38"/>
      <c r="B1578" s="39"/>
      <c r="C1578" s="51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1"/>
      <c r="Z1578" s="51"/>
      <c r="AA1578" s="51"/>
      <c r="AB1578" s="51"/>
    </row>
    <row r="1579" spans="1:28" ht="25.05" customHeight="1" collapsed="1" x14ac:dyDescent="0.3">
      <c r="A1579" s="32">
        <v>226</v>
      </c>
      <c r="B1579" s="32" t="s">
        <v>227</v>
      </c>
      <c r="C1579" s="49">
        <f>SUM(C1580:C1584)</f>
        <v>0</v>
      </c>
      <c r="D1579" s="49">
        <f>SUM(D1580:D1584)</f>
        <v>0</v>
      </c>
      <c r="E1579" s="49">
        <f>SUM(E1580:E1584)</f>
        <v>0</v>
      </c>
      <c r="F1579" s="49">
        <f>SUM(F1580:F1584)</f>
        <v>0</v>
      </c>
      <c r="G1579" s="49">
        <f>SUM(G1580:G1584)</f>
        <v>0</v>
      </c>
      <c r="H1579" s="49">
        <f>SUM(H1580:H1584)</f>
        <v>0</v>
      </c>
      <c r="I1579" s="49">
        <f>SUM(I1580:I1584)</f>
        <v>0</v>
      </c>
      <c r="J1579" s="49">
        <f>SUM(J1580:J1584)</f>
        <v>0</v>
      </c>
      <c r="K1579" s="49">
        <f>SUM(K1580:K1584)</f>
        <v>0</v>
      </c>
      <c r="L1579" s="49">
        <f>SUM(L1580:L1584)</f>
        <v>0</v>
      </c>
      <c r="M1579" s="49">
        <f>SUM(M1580:M1584)</f>
        <v>0</v>
      </c>
      <c r="N1579" s="49">
        <f>SUM(N1580:N1584)</f>
        <v>0</v>
      </c>
      <c r="O1579" s="49">
        <f>SUM(O1580:O1584)</f>
        <v>0</v>
      </c>
      <c r="P1579" s="49">
        <f>SUM(P1580:P1584)</f>
        <v>0</v>
      </c>
      <c r="Q1579" s="49">
        <f>SUM(Q1580:Q1584)</f>
        <v>0</v>
      </c>
      <c r="R1579" s="49">
        <f>SUM(R1580:R1584)</f>
        <v>0</v>
      </c>
      <c r="S1579" s="49">
        <f>SUM(S1580:S1584)</f>
        <v>0</v>
      </c>
      <c r="T1579" s="49">
        <f>SUM(T1580:T1584)</f>
        <v>0</v>
      </c>
      <c r="U1579" s="49">
        <f>SUM(U1580:U1584)</f>
        <v>0</v>
      </c>
      <c r="V1579" s="49">
        <f>SUM(V1580:V1584)</f>
        <v>0</v>
      </c>
      <c r="W1579" s="49">
        <f>SUM(W1580:W1584)</f>
        <v>0</v>
      </c>
      <c r="X1579" s="49">
        <f>SUM(X1580:X1584)</f>
        <v>0</v>
      </c>
      <c r="Y1579" s="49">
        <f>SUM(Y1580:Y1584)</f>
        <v>0</v>
      </c>
      <c r="Z1579" s="49">
        <f>SUM(Z1580:Z1584)</f>
        <v>0</v>
      </c>
      <c r="AA1579" s="49">
        <f>SUM(AA1580:AA1584)</f>
        <v>0</v>
      </c>
      <c r="AB1579" s="49">
        <f>SUM(AB1580:AB1584)</f>
        <v>0</v>
      </c>
    </row>
    <row r="1580" spans="1:28" hidden="1" outlineLevel="1" x14ac:dyDescent="0.3">
      <c r="A1580" s="33" t="s">
        <v>246</v>
      </c>
      <c r="B1580" s="34" t="s">
        <v>274</v>
      </c>
      <c r="C1580" s="50">
        <f>SUMIFS(INDEX(Техника!$F$1:$ABM$500,C$2,0),Техника!$F$4:$ABM$4,"Часы",INDEX(Техника!$G$1:$ABN$500,C$2,0),$A$1579,INDEX(Техника!$H$1:$ABO$500,C$2,0),"М")</f>
        <v>0</v>
      </c>
      <c r="D1580" s="50">
        <f>SUMIFS(INDEX(Техника!$F$1:$ABM$500,D$2,0),Техника!$F$4:$ABM$4,"Часы",INDEX(Техника!$G$1:$ABN$500,D$2,0),$A$1579,INDEX(Техника!$H$1:$ABO$500,D$2,0),"М")</f>
        <v>0</v>
      </c>
      <c r="E1580" s="50">
        <f>SUMIFS(INDEX(Техника!$F$1:$ABM$500,E$2,0),Техника!$F$4:$ABM$4,"Часы",INDEX(Техника!$G$1:$ABN$500,E$2,0),$A$1579,INDEX(Техника!$H$1:$ABO$500,E$2,0),"М")</f>
        <v>0</v>
      </c>
      <c r="F1580" s="50">
        <f>SUMIFS(INDEX(Техника!$F$1:$ABM$500,F$2,0),Техника!$F$4:$ABM$4,"Часы",INDEX(Техника!$G$1:$ABN$500,F$2,0),$A$1579,INDEX(Техника!$H$1:$ABO$500,F$2,0),"М")</f>
        <v>0</v>
      </c>
      <c r="G1580" s="50">
        <f>SUMIFS(INDEX(Техника!$F$1:$ABM$500,G$2,0),Техника!$F$4:$ABM$4,"Часы",INDEX(Техника!$G$1:$ABN$500,G$2,0),$A$1579,INDEX(Техника!$H$1:$ABO$500,G$2,0),"М")</f>
        <v>0</v>
      </c>
      <c r="H1580" s="50">
        <f>SUMIFS(INDEX(Техника!$F$1:$ABM$500,H$2,0),Техника!$F$4:$ABM$4,"Часы",INDEX(Техника!$G$1:$ABN$500,H$2,0),$A$1579,INDEX(Техника!$H$1:$ABO$500,H$2,0),"М")</f>
        <v>0</v>
      </c>
      <c r="I1580" s="50">
        <f>SUMIFS(INDEX(Техника!$F$1:$ABM$500,I$2,0),Техника!$F$4:$ABM$4,"Часы",INDEX(Техника!$G$1:$ABN$500,I$2,0),$A$1579,INDEX(Техника!$H$1:$ABO$500,I$2,0),"М")</f>
        <v>0</v>
      </c>
      <c r="J1580" s="50">
        <f>SUMIFS(INDEX(Техника!$F$1:$ABM$500,J$2,0),Техника!$F$4:$ABM$4,"Часы",INDEX(Техника!$G$1:$ABN$500,J$2,0),$A$1579,INDEX(Техника!$H$1:$ABO$500,J$2,0),"М")</f>
        <v>0</v>
      </c>
      <c r="K1580" s="50">
        <f>SUMIFS(INDEX(Техника!$F$1:$ABM$500,K$2,0),Техника!$F$4:$ABM$4,"Часы",INDEX(Техника!$G$1:$ABN$500,K$2,0),$A$1579,INDEX(Техника!$H$1:$ABO$500,K$2,0),"М")</f>
        <v>0</v>
      </c>
      <c r="L1580" s="50">
        <f>SUMIFS(INDEX(Техника!$F$1:$ABM$500,L$2,0),Техника!$F$4:$ABM$4,"Часы",INDEX(Техника!$G$1:$ABN$500,L$2,0),$A$1579,INDEX(Техника!$H$1:$ABO$500,L$2,0),"М")</f>
        <v>0</v>
      </c>
      <c r="M1580" s="50">
        <f>SUMIFS(INDEX(Техника!$F$1:$ABM$500,M$2,0),Техника!$F$4:$ABM$4,"Часы",INDEX(Техника!$G$1:$ABN$500,M$2,0),$A$1579,INDEX(Техника!$H$1:$ABO$500,M$2,0),"М")</f>
        <v>0</v>
      </c>
      <c r="N1580" s="50">
        <f>SUMIFS(INDEX(Техника!$F$1:$ABM$500,N$2,0),Техника!$F$4:$ABM$4,"Часы",INDEX(Техника!$G$1:$ABN$500,N$2,0),$A$1579,INDEX(Техника!$H$1:$ABO$500,N$2,0),"М")</f>
        <v>0</v>
      </c>
      <c r="O1580" s="50">
        <f>SUMIFS(INDEX(Техника!$F$1:$ABM$500,O$2,0),Техника!$F$4:$ABM$4,"Часы",INDEX(Техника!$G$1:$ABN$500,O$2,0),$A$1579,INDEX(Техника!$H$1:$ABO$500,O$2,0),"М")</f>
        <v>0</v>
      </c>
      <c r="P1580" s="50">
        <f>SUMIFS(INDEX(Техника!$F$1:$ABM$500,P$2,0),Техника!$F$4:$ABM$4,"Часы",INDEX(Техника!$G$1:$ABN$500,P$2,0),$A$1579,INDEX(Техника!$H$1:$ABO$500,P$2,0),"М")</f>
        <v>0</v>
      </c>
      <c r="Q1580" s="50">
        <f>SUMIFS(INDEX(Техника!$F$1:$ABM$500,Q$2,0),Техника!$F$4:$ABM$4,"Часы",INDEX(Техника!$G$1:$ABN$500,Q$2,0),$A$1579,INDEX(Техника!$H$1:$ABO$500,Q$2,0),"М")</f>
        <v>0</v>
      </c>
      <c r="R1580" s="50">
        <f>SUMIFS(INDEX(Техника!$F$1:$ABM$500,R$2,0),Техника!$F$4:$ABM$4,"Часы",INDEX(Техника!$G$1:$ABN$500,R$2,0),$A$1579,INDEX(Техника!$H$1:$ABO$500,R$2,0),"М")</f>
        <v>0</v>
      </c>
      <c r="S1580" s="50">
        <f>SUMIFS(INDEX(Техника!$F$1:$ABM$500,S$2,0),Техника!$F$4:$ABM$4,"Часы",INDEX(Техника!$G$1:$ABN$500,S$2,0),$A$1579,INDEX(Техника!$H$1:$ABO$500,S$2,0),"М")</f>
        <v>0</v>
      </c>
      <c r="T1580" s="50">
        <f>SUMIFS(INDEX(Техника!$F$1:$ABM$500,T$2,0),Техника!$F$4:$ABM$4,"Часы",INDEX(Техника!$G$1:$ABN$500,T$2,0),$A$1579,INDEX(Техника!$H$1:$ABO$500,T$2,0),"М")</f>
        <v>0</v>
      </c>
      <c r="U1580" s="50">
        <f>SUMIFS(INDEX(Техника!$F$1:$ABM$500,U$2,0),Техника!$F$4:$ABM$4,"Часы",INDEX(Техника!$G$1:$ABN$500,U$2,0),$A$1579,INDEX(Техника!$H$1:$ABO$500,U$2,0),"М")</f>
        <v>0</v>
      </c>
      <c r="V1580" s="50">
        <f>SUMIFS(INDEX(Техника!$F$1:$ABM$500,V$2,0),Техника!$F$4:$ABM$4,"Часы",INDEX(Техника!$G$1:$ABN$500,V$2,0),$A$1579,INDEX(Техника!$H$1:$ABO$500,V$2,0),"М")</f>
        <v>0</v>
      </c>
      <c r="W1580" s="50">
        <f>SUMIFS(INDEX(Техника!$F$1:$ABM$500,W$2,0),Техника!$F$4:$ABM$4,"Часы",INDEX(Техника!$G$1:$ABN$500,W$2,0),$A$1579,INDEX(Техника!$H$1:$ABO$500,W$2,0),"М")</f>
        <v>0</v>
      </c>
      <c r="X1580" s="50">
        <f>SUMIFS(INDEX(Техника!$F$1:$ABM$500,X$2,0),Техника!$F$4:$ABM$4,"Часы",INDEX(Техника!$G$1:$ABN$500,X$2,0),$A$1579,INDEX(Техника!$H$1:$ABO$500,X$2,0),"М")</f>
        <v>0</v>
      </c>
      <c r="Y1580" s="50">
        <f>SUMIFS(INDEX(Техника!$F$1:$ABM$500,Y$2,0),Техника!$F$4:$ABM$4,"Часы",INDEX(Техника!$G$1:$ABN$500,Y$2,0),$A$1579,INDEX(Техника!$H$1:$ABO$500,Y$2,0),"М")</f>
        <v>0</v>
      </c>
      <c r="Z1580" s="50">
        <f>SUMIFS(INDEX(Техника!$F$1:$ABM$500,Z$2,0),Техника!$F$4:$ABM$4,"Часы",INDEX(Техника!$G$1:$ABN$500,Z$2,0),$A$1579,INDEX(Техника!$H$1:$ABO$500,Z$2,0),"М")</f>
        <v>0</v>
      </c>
      <c r="AA1580" s="50">
        <f>SUMIFS(INDEX(Техника!$F$1:$ABM$500,AA$2,0),Техника!$F$4:$ABM$4,"Часы",INDEX(Техника!$G$1:$ABN$500,AA$2,0),$A$1579,INDEX(Техника!$H$1:$ABO$500,AA$2,0),"М")</f>
        <v>0</v>
      </c>
      <c r="AB1580" s="50">
        <f>SUMIFS(INDEX(Техника!$F$1:$ABM$500,AB$2,0),Техника!$F$4:$ABM$4,"Часы",INDEX(Техника!$G$1:$ABN$500,AB$2,0),$A$1579,INDEX(Техника!$H$1:$ABO$500,AB$2,0),"М")</f>
        <v>0</v>
      </c>
    </row>
    <row r="1581" spans="1:28" hidden="1" outlineLevel="1" x14ac:dyDescent="0.3">
      <c r="A1581" s="33" t="s">
        <v>244</v>
      </c>
      <c r="B1581" s="34" t="s">
        <v>275</v>
      </c>
      <c r="C1581" s="50">
        <f>SUMIFS(INDEX(Техника!$F$1:$ABM$500,C$2,0),Техника!$F$4:$ABM$4,"Часы",INDEX(Техника!$G$1:$ABN$500,C$2,0),$A$1579,INDEX(Техника!$H$1:$ABO$500,C$2,0),"Д")</f>
        <v>0</v>
      </c>
      <c r="D1581" s="50">
        <f>SUMIFS(INDEX(Техника!$F$1:$ABM$500,D$2,0),Техника!$F$4:$ABM$4,"Часы",INDEX(Техника!$G$1:$ABN$500,D$2,0),$A$1579,INDEX(Техника!$H$1:$ABO$500,D$2,0),"Д")</f>
        <v>0</v>
      </c>
      <c r="E1581" s="50">
        <f>SUMIFS(INDEX(Техника!$F$1:$ABM$500,E$2,0),Техника!$F$4:$ABM$4,"Часы",INDEX(Техника!$G$1:$ABN$500,E$2,0),$A$1579,INDEX(Техника!$H$1:$ABO$500,E$2,0),"Д")</f>
        <v>0</v>
      </c>
      <c r="F1581" s="50">
        <f>SUMIFS(INDEX(Техника!$F$1:$ABM$500,F$2,0),Техника!$F$4:$ABM$4,"Часы",INDEX(Техника!$G$1:$ABN$500,F$2,0),$A$1579,INDEX(Техника!$H$1:$ABO$500,F$2,0),"Д")</f>
        <v>0</v>
      </c>
      <c r="G1581" s="50">
        <f>SUMIFS(INDEX(Техника!$F$1:$ABM$500,G$2,0),Техника!$F$4:$ABM$4,"Часы",INDEX(Техника!$G$1:$ABN$500,G$2,0),$A$1579,INDEX(Техника!$H$1:$ABO$500,G$2,0),"Д")</f>
        <v>0</v>
      </c>
      <c r="H1581" s="50">
        <f>SUMIFS(INDEX(Техника!$F$1:$ABM$500,H$2,0),Техника!$F$4:$ABM$4,"Часы",INDEX(Техника!$G$1:$ABN$500,H$2,0),$A$1579,INDEX(Техника!$H$1:$ABO$500,H$2,0),"Д")</f>
        <v>0</v>
      </c>
      <c r="I1581" s="50">
        <f>SUMIFS(INDEX(Техника!$F$1:$ABM$500,I$2,0),Техника!$F$4:$ABM$4,"Часы",INDEX(Техника!$G$1:$ABN$500,I$2,0),$A$1579,INDEX(Техника!$H$1:$ABO$500,I$2,0),"Д")</f>
        <v>0</v>
      </c>
      <c r="J1581" s="50">
        <f>SUMIFS(INDEX(Техника!$F$1:$ABM$500,J$2,0),Техника!$F$4:$ABM$4,"Часы",INDEX(Техника!$G$1:$ABN$500,J$2,0),$A$1579,INDEX(Техника!$H$1:$ABO$500,J$2,0),"Д")</f>
        <v>0</v>
      </c>
      <c r="K1581" s="50">
        <f>SUMIFS(INDEX(Техника!$F$1:$ABM$500,K$2,0),Техника!$F$4:$ABM$4,"Часы",INDEX(Техника!$G$1:$ABN$500,K$2,0),$A$1579,INDEX(Техника!$H$1:$ABO$500,K$2,0),"Д")</f>
        <v>0</v>
      </c>
      <c r="L1581" s="50">
        <f>SUMIFS(INDEX(Техника!$F$1:$ABM$500,L$2,0),Техника!$F$4:$ABM$4,"Часы",INDEX(Техника!$G$1:$ABN$500,L$2,0),$A$1579,INDEX(Техника!$H$1:$ABO$500,L$2,0),"Д")</f>
        <v>0</v>
      </c>
      <c r="M1581" s="50">
        <f>SUMIFS(INDEX(Техника!$F$1:$ABM$500,M$2,0),Техника!$F$4:$ABM$4,"Часы",INDEX(Техника!$G$1:$ABN$500,M$2,0),$A$1579,INDEX(Техника!$H$1:$ABO$500,M$2,0),"Д")</f>
        <v>0</v>
      </c>
      <c r="N1581" s="50">
        <f>SUMIFS(INDEX(Техника!$F$1:$ABM$500,N$2,0),Техника!$F$4:$ABM$4,"Часы",INDEX(Техника!$G$1:$ABN$500,N$2,0),$A$1579,INDEX(Техника!$H$1:$ABO$500,N$2,0),"Д")</f>
        <v>0</v>
      </c>
      <c r="O1581" s="50">
        <f>SUMIFS(INDEX(Техника!$F$1:$ABM$500,O$2,0),Техника!$F$4:$ABM$4,"Часы",INDEX(Техника!$G$1:$ABN$500,O$2,0),$A$1579,INDEX(Техника!$H$1:$ABO$500,O$2,0),"Д")</f>
        <v>0</v>
      </c>
      <c r="P1581" s="50">
        <f>SUMIFS(INDEX(Техника!$F$1:$ABM$500,P$2,0),Техника!$F$4:$ABM$4,"Часы",INDEX(Техника!$G$1:$ABN$500,P$2,0),$A$1579,INDEX(Техника!$H$1:$ABO$500,P$2,0),"Д")</f>
        <v>0</v>
      </c>
      <c r="Q1581" s="50">
        <f>SUMIFS(INDEX(Техника!$F$1:$ABM$500,Q$2,0),Техника!$F$4:$ABM$4,"Часы",INDEX(Техника!$G$1:$ABN$500,Q$2,0),$A$1579,INDEX(Техника!$H$1:$ABO$500,Q$2,0),"Д")</f>
        <v>0</v>
      </c>
      <c r="R1581" s="50">
        <f>SUMIFS(INDEX(Техника!$F$1:$ABM$500,R$2,0),Техника!$F$4:$ABM$4,"Часы",INDEX(Техника!$G$1:$ABN$500,R$2,0),$A$1579,INDEX(Техника!$H$1:$ABO$500,R$2,0),"Д")</f>
        <v>0</v>
      </c>
      <c r="S1581" s="50">
        <f>SUMIFS(INDEX(Техника!$F$1:$ABM$500,S$2,0),Техника!$F$4:$ABM$4,"Часы",INDEX(Техника!$G$1:$ABN$500,S$2,0),$A$1579,INDEX(Техника!$H$1:$ABO$500,S$2,0),"Д")</f>
        <v>0</v>
      </c>
      <c r="T1581" s="50">
        <f>SUMIFS(INDEX(Техника!$F$1:$ABM$500,T$2,0),Техника!$F$4:$ABM$4,"Часы",INDEX(Техника!$G$1:$ABN$500,T$2,0),$A$1579,INDEX(Техника!$H$1:$ABO$500,T$2,0),"Д")</f>
        <v>0</v>
      </c>
      <c r="U1581" s="50">
        <f>SUMIFS(INDEX(Техника!$F$1:$ABM$500,U$2,0),Техника!$F$4:$ABM$4,"Часы",INDEX(Техника!$G$1:$ABN$500,U$2,0),$A$1579,INDEX(Техника!$H$1:$ABO$500,U$2,0),"Д")</f>
        <v>0</v>
      </c>
      <c r="V1581" s="50">
        <f>SUMIFS(INDEX(Техника!$F$1:$ABM$500,V$2,0),Техника!$F$4:$ABM$4,"Часы",INDEX(Техника!$G$1:$ABN$500,V$2,0),$A$1579,INDEX(Техника!$H$1:$ABO$500,V$2,0),"Д")</f>
        <v>0</v>
      </c>
      <c r="W1581" s="50">
        <f>SUMIFS(INDEX(Техника!$F$1:$ABM$500,W$2,0),Техника!$F$4:$ABM$4,"Часы",INDEX(Техника!$G$1:$ABN$500,W$2,0),$A$1579,INDEX(Техника!$H$1:$ABO$500,W$2,0),"Д")</f>
        <v>0</v>
      </c>
      <c r="X1581" s="50">
        <f>SUMIFS(INDEX(Техника!$F$1:$ABM$500,X$2,0),Техника!$F$4:$ABM$4,"Часы",INDEX(Техника!$G$1:$ABN$500,X$2,0),$A$1579,INDEX(Техника!$H$1:$ABO$500,X$2,0),"Д")</f>
        <v>0</v>
      </c>
      <c r="Y1581" s="50">
        <f>SUMIFS(INDEX(Техника!$F$1:$ABM$500,Y$2,0),Техника!$F$4:$ABM$4,"Часы",INDEX(Техника!$G$1:$ABN$500,Y$2,0),$A$1579,INDEX(Техника!$H$1:$ABO$500,Y$2,0),"Д")</f>
        <v>0</v>
      </c>
      <c r="Z1581" s="50">
        <f>SUMIFS(INDEX(Техника!$F$1:$ABM$500,Z$2,0),Техника!$F$4:$ABM$4,"Часы",INDEX(Техника!$G$1:$ABN$500,Z$2,0),$A$1579,INDEX(Техника!$H$1:$ABO$500,Z$2,0),"Д")</f>
        <v>0</v>
      </c>
      <c r="AA1581" s="50">
        <f>SUMIFS(INDEX(Техника!$F$1:$ABM$500,AA$2,0),Техника!$F$4:$ABM$4,"Часы",INDEX(Техника!$G$1:$ABN$500,AA$2,0),$A$1579,INDEX(Техника!$H$1:$ABO$500,AA$2,0),"Д")</f>
        <v>0</v>
      </c>
      <c r="AB1581" s="50">
        <f>SUMIFS(INDEX(Техника!$F$1:$ABM$500,AB$2,0),Техника!$F$4:$ABM$4,"Часы",INDEX(Техника!$G$1:$ABN$500,AB$2,0),$A$1579,INDEX(Техника!$H$1:$ABO$500,AB$2,0),"Д")</f>
        <v>0</v>
      </c>
    </row>
    <row r="1582" spans="1:28" hidden="1" outlineLevel="1" x14ac:dyDescent="0.3">
      <c r="A1582" s="33" t="s">
        <v>276</v>
      </c>
      <c r="B1582" s="34" t="s">
        <v>277</v>
      </c>
      <c r="C1582" s="50">
        <f>SUMIFS(INDEX(Техника!$F$1:$ABM$500,C$2,0),Техника!$F$4:$ABM$4,"Часы",INDEX(Техника!$G$1:$ABN$500,C$2,0),$A$1579,INDEX(Техника!$H$1:$ABO$500,C$2,0),"П")</f>
        <v>0</v>
      </c>
      <c r="D1582" s="50">
        <f>SUMIFS(INDEX(Техника!$F$1:$ABM$500,D$2,0),Техника!$F$4:$ABM$4,"Часы",INDEX(Техника!$G$1:$ABN$500,D$2,0),$A$1579,INDEX(Техника!$H$1:$ABO$500,D$2,0),"П")</f>
        <v>0</v>
      </c>
      <c r="E1582" s="50">
        <f>SUMIFS(INDEX(Техника!$F$1:$ABM$500,E$2,0),Техника!$F$4:$ABM$4,"Часы",INDEX(Техника!$G$1:$ABN$500,E$2,0),$A$1579,INDEX(Техника!$H$1:$ABO$500,E$2,0),"П")</f>
        <v>0</v>
      </c>
      <c r="F1582" s="50">
        <f>SUMIFS(INDEX(Техника!$F$1:$ABM$500,F$2,0),Техника!$F$4:$ABM$4,"Часы",INDEX(Техника!$G$1:$ABN$500,F$2,0),$A$1579,INDEX(Техника!$H$1:$ABO$500,F$2,0),"П")</f>
        <v>0</v>
      </c>
      <c r="G1582" s="50">
        <f>SUMIFS(INDEX(Техника!$F$1:$ABM$500,G$2,0),Техника!$F$4:$ABM$4,"Часы",INDEX(Техника!$G$1:$ABN$500,G$2,0),$A$1579,INDEX(Техника!$H$1:$ABO$500,G$2,0),"П")</f>
        <v>0</v>
      </c>
      <c r="H1582" s="50">
        <f>SUMIFS(INDEX(Техника!$F$1:$ABM$500,H$2,0),Техника!$F$4:$ABM$4,"Часы",INDEX(Техника!$G$1:$ABN$500,H$2,0),$A$1579,INDEX(Техника!$H$1:$ABO$500,H$2,0),"П")</f>
        <v>0</v>
      </c>
      <c r="I1582" s="50">
        <f>SUMIFS(INDEX(Техника!$F$1:$ABM$500,I$2,0),Техника!$F$4:$ABM$4,"Часы",INDEX(Техника!$G$1:$ABN$500,I$2,0),$A$1579,INDEX(Техника!$H$1:$ABO$500,I$2,0),"П")</f>
        <v>0</v>
      </c>
      <c r="J1582" s="50">
        <f>SUMIFS(INDEX(Техника!$F$1:$ABM$500,J$2,0),Техника!$F$4:$ABM$4,"Часы",INDEX(Техника!$G$1:$ABN$500,J$2,0),$A$1579,INDEX(Техника!$H$1:$ABO$500,J$2,0),"П")</f>
        <v>0</v>
      </c>
      <c r="K1582" s="50">
        <f>SUMIFS(INDEX(Техника!$F$1:$ABM$500,K$2,0),Техника!$F$4:$ABM$4,"Часы",INDEX(Техника!$G$1:$ABN$500,K$2,0),$A$1579,INDEX(Техника!$H$1:$ABO$500,K$2,0),"П")</f>
        <v>0</v>
      </c>
      <c r="L1582" s="50">
        <f>SUMIFS(INDEX(Техника!$F$1:$ABM$500,L$2,0),Техника!$F$4:$ABM$4,"Часы",INDEX(Техника!$G$1:$ABN$500,L$2,0),$A$1579,INDEX(Техника!$H$1:$ABO$500,L$2,0),"П")</f>
        <v>0</v>
      </c>
      <c r="M1582" s="50">
        <f>SUMIFS(INDEX(Техника!$F$1:$ABM$500,M$2,0),Техника!$F$4:$ABM$4,"Часы",INDEX(Техника!$G$1:$ABN$500,M$2,0),$A$1579,INDEX(Техника!$H$1:$ABO$500,M$2,0),"П")</f>
        <v>0</v>
      </c>
      <c r="N1582" s="50">
        <f>SUMIFS(INDEX(Техника!$F$1:$ABM$500,N$2,0),Техника!$F$4:$ABM$4,"Часы",INDEX(Техника!$G$1:$ABN$500,N$2,0),$A$1579,INDEX(Техника!$H$1:$ABO$500,N$2,0),"П")</f>
        <v>0</v>
      </c>
      <c r="O1582" s="50">
        <f>SUMIFS(INDEX(Техника!$F$1:$ABM$500,O$2,0),Техника!$F$4:$ABM$4,"Часы",INDEX(Техника!$G$1:$ABN$500,O$2,0),$A$1579,INDEX(Техника!$H$1:$ABO$500,O$2,0),"П")</f>
        <v>0</v>
      </c>
      <c r="P1582" s="50">
        <f>SUMIFS(INDEX(Техника!$F$1:$ABM$500,P$2,0),Техника!$F$4:$ABM$4,"Часы",INDEX(Техника!$G$1:$ABN$500,P$2,0),$A$1579,INDEX(Техника!$H$1:$ABO$500,P$2,0),"П")</f>
        <v>0</v>
      </c>
      <c r="Q1582" s="50">
        <f>SUMIFS(INDEX(Техника!$F$1:$ABM$500,Q$2,0),Техника!$F$4:$ABM$4,"Часы",INDEX(Техника!$G$1:$ABN$500,Q$2,0),$A$1579,INDEX(Техника!$H$1:$ABO$500,Q$2,0),"П")</f>
        <v>0</v>
      </c>
      <c r="R1582" s="50">
        <f>SUMIFS(INDEX(Техника!$F$1:$ABM$500,R$2,0),Техника!$F$4:$ABM$4,"Часы",INDEX(Техника!$G$1:$ABN$500,R$2,0),$A$1579,INDEX(Техника!$H$1:$ABO$500,R$2,0),"П")</f>
        <v>0</v>
      </c>
      <c r="S1582" s="50">
        <f>SUMIFS(INDEX(Техника!$F$1:$ABM$500,S$2,0),Техника!$F$4:$ABM$4,"Часы",INDEX(Техника!$G$1:$ABN$500,S$2,0),$A$1579,INDEX(Техника!$H$1:$ABO$500,S$2,0),"П")</f>
        <v>0</v>
      </c>
      <c r="T1582" s="50">
        <f>SUMIFS(INDEX(Техника!$F$1:$ABM$500,T$2,0),Техника!$F$4:$ABM$4,"Часы",INDEX(Техника!$G$1:$ABN$500,T$2,0),$A$1579,INDEX(Техника!$H$1:$ABO$500,T$2,0),"П")</f>
        <v>0</v>
      </c>
      <c r="U1582" s="50">
        <f>SUMIFS(INDEX(Техника!$F$1:$ABM$500,U$2,0),Техника!$F$4:$ABM$4,"Часы",INDEX(Техника!$G$1:$ABN$500,U$2,0),$A$1579,INDEX(Техника!$H$1:$ABO$500,U$2,0),"П")</f>
        <v>0</v>
      </c>
      <c r="V1582" s="50">
        <f>SUMIFS(INDEX(Техника!$F$1:$ABM$500,V$2,0),Техника!$F$4:$ABM$4,"Часы",INDEX(Техника!$G$1:$ABN$500,V$2,0),$A$1579,INDEX(Техника!$H$1:$ABO$500,V$2,0),"П")</f>
        <v>0</v>
      </c>
      <c r="W1582" s="50">
        <f>SUMIFS(INDEX(Техника!$F$1:$ABM$500,W$2,0),Техника!$F$4:$ABM$4,"Часы",INDEX(Техника!$G$1:$ABN$500,W$2,0),$A$1579,INDEX(Техника!$H$1:$ABO$500,W$2,0),"П")</f>
        <v>0</v>
      </c>
      <c r="X1582" s="50">
        <f>SUMIFS(INDEX(Техника!$F$1:$ABM$500,X$2,0),Техника!$F$4:$ABM$4,"Часы",INDEX(Техника!$G$1:$ABN$500,X$2,0),$A$1579,INDEX(Техника!$H$1:$ABO$500,X$2,0),"П")</f>
        <v>0</v>
      </c>
      <c r="Y1582" s="50">
        <f>SUMIFS(INDEX(Техника!$F$1:$ABM$500,Y$2,0),Техника!$F$4:$ABM$4,"Часы",INDEX(Техника!$G$1:$ABN$500,Y$2,0),$A$1579,INDEX(Техника!$H$1:$ABO$500,Y$2,0),"П")</f>
        <v>0</v>
      </c>
      <c r="Z1582" s="50">
        <f>SUMIFS(INDEX(Техника!$F$1:$ABM$500,Z$2,0),Техника!$F$4:$ABM$4,"Часы",INDEX(Техника!$G$1:$ABN$500,Z$2,0),$A$1579,INDEX(Техника!$H$1:$ABO$500,Z$2,0),"П")</f>
        <v>0</v>
      </c>
      <c r="AA1582" s="50">
        <f>SUMIFS(INDEX(Техника!$F$1:$ABM$500,AA$2,0),Техника!$F$4:$ABM$4,"Часы",INDEX(Техника!$G$1:$ABN$500,AA$2,0),$A$1579,INDEX(Техника!$H$1:$ABO$500,AA$2,0),"П")</f>
        <v>0</v>
      </c>
      <c r="AB1582" s="50">
        <f>SUMIFS(INDEX(Техника!$F$1:$ABM$500,AB$2,0),Техника!$F$4:$ABM$4,"Часы",INDEX(Техника!$G$1:$ABN$500,AB$2,0),$A$1579,INDEX(Техника!$H$1:$ABO$500,AB$2,0),"П")</f>
        <v>0</v>
      </c>
    </row>
    <row r="1583" spans="1:28" hidden="1" outlineLevel="1" x14ac:dyDescent="0.3">
      <c r="A1583" s="33" t="s">
        <v>243</v>
      </c>
      <c r="B1583" s="34" t="s">
        <v>278</v>
      </c>
      <c r="C1583" s="50">
        <f>SUMIFS(INDEX(Техника!$F$1:$ABM$500,C$2,0),Техника!$F$4:$ABM$4,"Часы",INDEX(Техника!$G$1:$ABN$500,C$2,0),$A$1579,INDEX(Техника!$H$1:$ABO$500,C$2,0),"Л")</f>
        <v>0</v>
      </c>
      <c r="D1583" s="50">
        <f>SUMIFS(INDEX(Техника!$F$1:$ABM$500,D$2,0),Техника!$F$4:$ABM$4,"Часы",INDEX(Техника!$G$1:$ABN$500,D$2,0),$A$1579,INDEX(Техника!$H$1:$ABO$500,D$2,0),"Л")</f>
        <v>0</v>
      </c>
      <c r="E1583" s="50">
        <f>SUMIFS(INDEX(Техника!$F$1:$ABM$500,E$2,0),Техника!$F$4:$ABM$4,"Часы",INDEX(Техника!$G$1:$ABN$500,E$2,0),$A$1579,INDEX(Техника!$H$1:$ABO$500,E$2,0),"Л")</f>
        <v>0</v>
      </c>
      <c r="F1583" s="50">
        <f>SUMIFS(INDEX(Техника!$F$1:$ABM$500,F$2,0),Техника!$F$4:$ABM$4,"Часы",INDEX(Техника!$G$1:$ABN$500,F$2,0),$A$1579,INDEX(Техника!$H$1:$ABO$500,F$2,0),"Л")</f>
        <v>0</v>
      </c>
      <c r="G1583" s="50">
        <f>SUMIFS(INDEX(Техника!$F$1:$ABM$500,G$2,0),Техника!$F$4:$ABM$4,"Часы",INDEX(Техника!$G$1:$ABN$500,G$2,0),$A$1579,INDEX(Техника!$H$1:$ABO$500,G$2,0),"Л")</f>
        <v>0</v>
      </c>
      <c r="H1583" s="50">
        <f>SUMIFS(INDEX(Техника!$F$1:$ABM$500,H$2,0),Техника!$F$4:$ABM$4,"Часы",INDEX(Техника!$G$1:$ABN$500,H$2,0),$A$1579,INDEX(Техника!$H$1:$ABO$500,H$2,0),"Л")</f>
        <v>0</v>
      </c>
      <c r="I1583" s="50">
        <f>SUMIFS(INDEX(Техника!$F$1:$ABM$500,I$2,0),Техника!$F$4:$ABM$4,"Часы",INDEX(Техника!$G$1:$ABN$500,I$2,0),$A$1579,INDEX(Техника!$H$1:$ABO$500,I$2,0),"Л")</f>
        <v>0</v>
      </c>
      <c r="J1583" s="50">
        <f>SUMIFS(INDEX(Техника!$F$1:$ABM$500,J$2,0),Техника!$F$4:$ABM$4,"Часы",INDEX(Техника!$G$1:$ABN$500,J$2,0),$A$1579,INDEX(Техника!$H$1:$ABO$500,J$2,0),"Л")</f>
        <v>0</v>
      </c>
      <c r="K1583" s="50">
        <f>SUMIFS(INDEX(Техника!$F$1:$ABM$500,K$2,0),Техника!$F$4:$ABM$4,"Часы",INDEX(Техника!$G$1:$ABN$500,K$2,0),$A$1579,INDEX(Техника!$H$1:$ABO$500,K$2,0),"Л")</f>
        <v>0</v>
      </c>
      <c r="L1583" s="50">
        <f>SUMIFS(INDEX(Техника!$F$1:$ABM$500,L$2,0),Техника!$F$4:$ABM$4,"Часы",INDEX(Техника!$G$1:$ABN$500,L$2,0),$A$1579,INDEX(Техника!$H$1:$ABO$500,L$2,0),"Л")</f>
        <v>0</v>
      </c>
      <c r="M1583" s="50">
        <f>SUMIFS(INDEX(Техника!$F$1:$ABM$500,M$2,0),Техника!$F$4:$ABM$4,"Часы",INDEX(Техника!$G$1:$ABN$500,M$2,0),$A$1579,INDEX(Техника!$H$1:$ABO$500,M$2,0),"Л")</f>
        <v>0</v>
      </c>
      <c r="N1583" s="50">
        <f>SUMIFS(INDEX(Техника!$F$1:$ABM$500,N$2,0),Техника!$F$4:$ABM$4,"Часы",INDEX(Техника!$G$1:$ABN$500,N$2,0),$A$1579,INDEX(Техника!$H$1:$ABO$500,N$2,0),"Л")</f>
        <v>0</v>
      </c>
      <c r="O1583" s="50">
        <f>SUMIFS(INDEX(Техника!$F$1:$ABM$500,O$2,0),Техника!$F$4:$ABM$4,"Часы",INDEX(Техника!$G$1:$ABN$500,O$2,0),$A$1579,INDEX(Техника!$H$1:$ABO$500,O$2,0),"Л")</f>
        <v>0</v>
      </c>
      <c r="P1583" s="50">
        <f>SUMIFS(INDEX(Техника!$F$1:$ABM$500,P$2,0),Техника!$F$4:$ABM$4,"Часы",INDEX(Техника!$G$1:$ABN$500,P$2,0),$A$1579,INDEX(Техника!$H$1:$ABO$500,P$2,0),"Л")</f>
        <v>0</v>
      </c>
      <c r="Q1583" s="50">
        <f>SUMIFS(INDEX(Техника!$F$1:$ABM$500,Q$2,0),Техника!$F$4:$ABM$4,"Часы",INDEX(Техника!$G$1:$ABN$500,Q$2,0),$A$1579,INDEX(Техника!$H$1:$ABO$500,Q$2,0),"Л")</f>
        <v>0</v>
      </c>
      <c r="R1583" s="50">
        <f>SUMIFS(INDEX(Техника!$F$1:$ABM$500,R$2,0),Техника!$F$4:$ABM$4,"Часы",INDEX(Техника!$G$1:$ABN$500,R$2,0),$A$1579,INDEX(Техника!$H$1:$ABO$500,R$2,0),"Л")</f>
        <v>0</v>
      </c>
      <c r="S1583" s="50">
        <f>SUMIFS(INDEX(Техника!$F$1:$ABM$500,S$2,0),Техника!$F$4:$ABM$4,"Часы",INDEX(Техника!$G$1:$ABN$500,S$2,0),$A$1579,INDEX(Техника!$H$1:$ABO$500,S$2,0),"Л")</f>
        <v>0</v>
      </c>
      <c r="T1583" s="50">
        <f>SUMIFS(INDEX(Техника!$F$1:$ABM$500,T$2,0),Техника!$F$4:$ABM$4,"Часы",INDEX(Техника!$G$1:$ABN$500,T$2,0),$A$1579,INDEX(Техника!$H$1:$ABO$500,T$2,0),"Л")</f>
        <v>0</v>
      </c>
      <c r="U1583" s="50">
        <f>SUMIFS(INDEX(Техника!$F$1:$ABM$500,U$2,0),Техника!$F$4:$ABM$4,"Часы",INDEX(Техника!$G$1:$ABN$500,U$2,0),$A$1579,INDEX(Техника!$H$1:$ABO$500,U$2,0),"Л")</f>
        <v>0</v>
      </c>
      <c r="V1583" s="50">
        <f>SUMIFS(INDEX(Техника!$F$1:$ABM$500,V$2,0),Техника!$F$4:$ABM$4,"Часы",INDEX(Техника!$G$1:$ABN$500,V$2,0),$A$1579,INDEX(Техника!$H$1:$ABO$500,V$2,0),"Л")</f>
        <v>0</v>
      </c>
      <c r="W1583" s="50">
        <f>SUMIFS(INDEX(Техника!$F$1:$ABM$500,W$2,0),Техника!$F$4:$ABM$4,"Часы",INDEX(Техника!$G$1:$ABN$500,W$2,0),$A$1579,INDEX(Техника!$H$1:$ABO$500,W$2,0),"Л")</f>
        <v>0</v>
      </c>
      <c r="X1583" s="50">
        <f>SUMIFS(INDEX(Техника!$F$1:$ABM$500,X$2,0),Техника!$F$4:$ABM$4,"Часы",INDEX(Техника!$G$1:$ABN$500,X$2,0),$A$1579,INDEX(Техника!$H$1:$ABO$500,X$2,0),"Л")</f>
        <v>0</v>
      </c>
      <c r="Y1583" s="50">
        <f>SUMIFS(INDEX(Техника!$F$1:$ABM$500,Y$2,0),Техника!$F$4:$ABM$4,"Часы",INDEX(Техника!$G$1:$ABN$500,Y$2,0),$A$1579,INDEX(Техника!$H$1:$ABO$500,Y$2,0),"Л")</f>
        <v>0</v>
      </c>
      <c r="Z1583" s="50">
        <f>SUMIFS(INDEX(Техника!$F$1:$ABM$500,Z$2,0),Техника!$F$4:$ABM$4,"Часы",INDEX(Техника!$G$1:$ABN$500,Z$2,0),$A$1579,INDEX(Техника!$H$1:$ABO$500,Z$2,0),"Л")</f>
        <v>0</v>
      </c>
      <c r="AA1583" s="50">
        <f>SUMIFS(INDEX(Техника!$F$1:$ABM$500,AA$2,0),Техника!$F$4:$ABM$4,"Часы",INDEX(Техника!$G$1:$ABN$500,AA$2,0),$A$1579,INDEX(Техника!$H$1:$ABO$500,AA$2,0),"Л")</f>
        <v>0</v>
      </c>
      <c r="AB1583" s="50">
        <f>SUMIFS(INDEX(Техника!$F$1:$ABM$500,AB$2,0),Техника!$F$4:$ABM$4,"Часы",INDEX(Техника!$G$1:$ABN$500,AB$2,0),$A$1579,INDEX(Техника!$H$1:$ABO$500,AB$2,0),"Л")</f>
        <v>0</v>
      </c>
    </row>
    <row r="1584" spans="1:28" hidden="1" outlineLevel="1" x14ac:dyDescent="0.3">
      <c r="A1584" s="33" t="s">
        <v>245</v>
      </c>
      <c r="B1584" s="34" t="s">
        <v>279</v>
      </c>
      <c r="C1584" s="50">
        <f>SUMIFS(INDEX(Техника!$F$1:$ABM$500,C$2,0),Техника!$F$4:$ABM$4,"Часы",INDEX(Техника!$G$1:$ABN$500,C$2,0),$A$1579,INDEX(Техника!$H$1:$ABO$500,C$2,0),"З")</f>
        <v>0</v>
      </c>
      <c r="D1584" s="50">
        <f>SUMIFS(INDEX(Техника!$F$1:$ABM$500,D$2,0),Техника!$F$4:$ABM$4,"Часы",INDEX(Техника!$G$1:$ABN$500,D$2,0),$A$1579,INDEX(Техника!$H$1:$ABO$500,D$2,0),"З")</f>
        <v>0</v>
      </c>
      <c r="E1584" s="50">
        <f>SUMIFS(INDEX(Техника!$F$1:$ABM$500,E$2,0),Техника!$F$4:$ABM$4,"Часы",INDEX(Техника!$G$1:$ABN$500,E$2,0),$A$1579,INDEX(Техника!$H$1:$ABO$500,E$2,0),"З")</f>
        <v>0</v>
      </c>
      <c r="F1584" s="50">
        <f>SUMIFS(INDEX(Техника!$F$1:$ABM$500,F$2,0),Техника!$F$4:$ABM$4,"Часы",INDEX(Техника!$G$1:$ABN$500,F$2,0),$A$1579,INDEX(Техника!$H$1:$ABO$500,F$2,0),"З")</f>
        <v>0</v>
      </c>
      <c r="G1584" s="50">
        <f>SUMIFS(INDEX(Техника!$F$1:$ABM$500,G$2,0),Техника!$F$4:$ABM$4,"Часы",INDEX(Техника!$G$1:$ABN$500,G$2,0),$A$1579,INDEX(Техника!$H$1:$ABO$500,G$2,0),"З")</f>
        <v>0</v>
      </c>
      <c r="H1584" s="50">
        <f>SUMIFS(INDEX(Техника!$F$1:$ABM$500,H$2,0),Техника!$F$4:$ABM$4,"Часы",INDEX(Техника!$G$1:$ABN$500,H$2,0),$A$1579,INDEX(Техника!$H$1:$ABO$500,H$2,0),"З")</f>
        <v>0</v>
      </c>
      <c r="I1584" s="50">
        <f>SUMIFS(INDEX(Техника!$F$1:$ABM$500,I$2,0),Техника!$F$4:$ABM$4,"Часы",INDEX(Техника!$G$1:$ABN$500,I$2,0),$A$1579,INDEX(Техника!$H$1:$ABO$500,I$2,0),"З")</f>
        <v>0</v>
      </c>
      <c r="J1584" s="50">
        <f>SUMIFS(INDEX(Техника!$F$1:$ABM$500,J$2,0),Техника!$F$4:$ABM$4,"Часы",INDEX(Техника!$G$1:$ABN$500,J$2,0),$A$1579,INDEX(Техника!$H$1:$ABO$500,J$2,0),"З")</f>
        <v>0</v>
      </c>
      <c r="K1584" s="50">
        <f>SUMIFS(INDEX(Техника!$F$1:$ABM$500,K$2,0),Техника!$F$4:$ABM$4,"Часы",INDEX(Техника!$G$1:$ABN$500,K$2,0),$A$1579,INDEX(Техника!$H$1:$ABO$500,K$2,0),"З")</f>
        <v>0</v>
      </c>
      <c r="L1584" s="50">
        <f>SUMIFS(INDEX(Техника!$F$1:$ABM$500,L$2,0),Техника!$F$4:$ABM$4,"Часы",INDEX(Техника!$G$1:$ABN$500,L$2,0),$A$1579,INDEX(Техника!$H$1:$ABO$500,L$2,0),"З")</f>
        <v>0</v>
      </c>
      <c r="M1584" s="50">
        <f>SUMIFS(INDEX(Техника!$F$1:$ABM$500,M$2,0),Техника!$F$4:$ABM$4,"Часы",INDEX(Техника!$G$1:$ABN$500,M$2,0),$A$1579,INDEX(Техника!$H$1:$ABO$500,M$2,0),"З")</f>
        <v>0</v>
      </c>
      <c r="N1584" s="50">
        <f>SUMIFS(INDEX(Техника!$F$1:$ABM$500,N$2,0),Техника!$F$4:$ABM$4,"Часы",INDEX(Техника!$G$1:$ABN$500,N$2,0),$A$1579,INDEX(Техника!$H$1:$ABO$500,N$2,0),"З")</f>
        <v>0</v>
      </c>
      <c r="O1584" s="50">
        <f>SUMIFS(INDEX(Техника!$F$1:$ABM$500,O$2,0),Техника!$F$4:$ABM$4,"Часы",INDEX(Техника!$G$1:$ABN$500,O$2,0),$A$1579,INDEX(Техника!$H$1:$ABO$500,O$2,0),"З")</f>
        <v>0</v>
      </c>
      <c r="P1584" s="50">
        <f>SUMIFS(INDEX(Техника!$F$1:$ABM$500,P$2,0),Техника!$F$4:$ABM$4,"Часы",INDEX(Техника!$G$1:$ABN$500,P$2,0),$A$1579,INDEX(Техника!$H$1:$ABO$500,P$2,0),"З")</f>
        <v>0</v>
      </c>
      <c r="Q1584" s="50">
        <f>SUMIFS(INDEX(Техника!$F$1:$ABM$500,Q$2,0),Техника!$F$4:$ABM$4,"Часы",INDEX(Техника!$G$1:$ABN$500,Q$2,0),$A$1579,INDEX(Техника!$H$1:$ABO$500,Q$2,0),"З")</f>
        <v>0</v>
      </c>
      <c r="R1584" s="50">
        <f>SUMIFS(INDEX(Техника!$F$1:$ABM$500,R$2,0),Техника!$F$4:$ABM$4,"Часы",INDEX(Техника!$G$1:$ABN$500,R$2,0),$A$1579,INDEX(Техника!$H$1:$ABO$500,R$2,0),"З")</f>
        <v>0</v>
      </c>
      <c r="S1584" s="50">
        <f>SUMIFS(INDEX(Техника!$F$1:$ABM$500,S$2,0),Техника!$F$4:$ABM$4,"Часы",INDEX(Техника!$G$1:$ABN$500,S$2,0),$A$1579,INDEX(Техника!$H$1:$ABO$500,S$2,0),"З")</f>
        <v>0</v>
      </c>
      <c r="T1584" s="50">
        <f>SUMIFS(INDEX(Техника!$F$1:$ABM$500,T$2,0),Техника!$F$4:$ABM$4,"Часы",INDEX(Техника!$G$1:$ABN$500,T$2,0),$A$1579,INDEX(Техника!$H$1:$ABO$500,T$2,0),"З")</f>
        <v>0</v>
      </c>
      <c r="U1584" s="50">
        <f>SUMIFS(INDEX(Техника!$F$1:$ABM$500,U$2,0),Техника!$F$4:$ABM$4,"Часы",INDEX(Техника!$G$1:$ABN$500,U$2,0),$A$1579,INDEX(Техника!$H$1:$ABO$500,U$2,0),"З")</f>
        <v>0</v>
      </c>
      <c r="V1584" s="50">
        <f>SUMIFS(INDEX(Техника!$F$1:$ABM$500,V$2,0),Техника!$F$4:$ABM$4,"Часы",INDEX(Техника!$G$1:$ABN$500,V$2,0),$A$1579,INDEX(Техника!$H$1:$ABO$500,V$2,0),"З")</f>
        <v>0</v>
      </c>
      <c r="W1584" s="50">
        <f>SUMIFS(INDEX(Техника!$F$1:$ABM$500,W$2,0),Техника!$F$4:$ABM$4,"Часы",INDEX(Техника!$G$1:$ABN$500,W$2,0),$A$1579,INDEX(Техника!$H$1:$ABO$500,W$2,0),"З")</f>
        <v>0</v>
      </c>
      <c r="X1584" s="50">
        <f>SUMIFS(INDEX(Техника!$F$1:$ABM$500,X$2,0),Техника!$F$4:$ABM$4,"Часы",INDEX(Техника!$G$1:$ABN$500,X$2,0),$A$1579,INDEX(Техника!$H$1:$ABO$500,X$2,0),"З")</f>
        <v>0</v>
      </c>
      <c r="Y1584" s="50">
        <f>SUMIFS(INDEX(Техника!$F$1:$ABM$500,Y$2,0),Техника!$F$4:$ABM$4,"Часы",INDEX(Техника!$G$1:$ABN$500,Y$2,0),$A$1579,INDEX(Техника!$H$1:$ABO$500,Y$2,0),"З")</f>
        <v>0</v>
      </c>
      <c r="Z1584" s="50">
        <f>SUMIFS(INDEX(Техника!$F$1:$ABM$500,Z$2,0),Техника!$F$4:$ABM$4,"Часы",INDEX(Техника!$G$1:$ABN$500,Z$2,0),$A$1579,INDEX(Техника!$H$1:$ABO$500,Z$2,0),"З")</f>
        <v>0</v>
      </c>
      <c r="AA1584" s="50">
        <f>SUMIFS(INDEX(Техника!$F$1:$ABM$500,AA$2,0),Техника!$F$4:$ABM$4,"Часы",INDEX(Техника!$G$1:$ABN$500,AA$2,0),$A$1579,INDEX(Техника!$H$1:$ABO$500,AA$2,0),"З")</f>
        <v>0</v>
      </c>
      <c r="AB1584" s="50">
        <f>SUMIFS(INDEX(Техника!$F$1:$ABM$500,AB$2,0),Техника!$F$4:$ABM$4,"Часы",INDEX(Техника!$G$1:$ABN$500,AB$2,0),$A$1579,INDEX(Техника!$H$1:$ABO$500,AB$2,0),"З")</f>
        <v>0</v>
      </c>
    </row>
    <row r="1585" spans="1:28" ht="7.95" customHeight="1" x14ac:dyDescent="0.3">
      <c r="A1585" s="38"/>
      <c r="B1585" s="39"/>
      <c r="C1585" s="51"/>
      <c r="D1585" s="51"/>
      <c r="E1585" s="51"/>
      <c r="F1585" s="51"/>
      <c r="G1585" s="51"/>
      <c r="H1585" s="51"/>
      <c r="I1585" s="51"/>
      <c r="J1585" s="51"/>
      <c r="K1585" s="51"/>
      <c r="L1585" s="51"/>
      <c r="M1585" s="51"/>
      <c r="N1585" s="51"/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  <c r="AA1585" s="51"/>
      <c r="AB1585" s="51"/>
    </row>
    <row r="1586" spans="1:28" ht="25.05" customHeight="1" collapsed="1" x14ac:dyDescent="0.3">
      <c r="A1586" s="32">
        <v>227</v>
      </c>
      <c r="B1586" s="32" t="s">
        <v>228</v>
      </c>
      <c r="C1586" s="49">
        <f>SUM(C1587:C1591)</f>
        <v>0</v>
      </c>
      <c r="D1586" s="49">
        <f>SUM(D1587:D1591)</f>
        <v>0</v>
      </c>
      <c r="E1586" s="49">
        <f>SUM(E1587:E1591)</f>
        <v>0</v>
      </c>
      <c r="F1586" s="49">
        <f>SUM(F1587:F1591)</f>
        <v>0</v>
      </c>
      <c r="G1586" s="49">
        <f>SUM(G1587:G1591)</f>
        <v>0</v>
      </c>
      <c r="H1586" s="49">
        <f>SUM(H1587:H1591)</f>
        <v>0</v>
      </c>
      <c r="I1586" s="49">
        <f>SUM(I1587:I1591)</f>
        <v>0</v>
      </c>
      <c r="J1586" s="49">
        <f>SUM(J1587:J1591)</f>
        <v>0</v>
      </c>
      <c r="K1586" s="49">
        <f>SUM(K1587:K1591)</f>
        <v>0</v>
      </c>
      <c r="L1586" s="49">
        <f>SUM(L1587:L1591)</f>
        <v>0</v>
      </c>
      <c r="M1586" s="49">
        <f>SUM(M1587:M1591)</f>
        <v>0</v>
      </c>
      <c r="N1586" s="49">
        <f>SUM(N1587:N1591)</f>
        <v>0</v>
      </c>
      <c r="O1586" s="49">
        <f>SUM(O1587:O1591)</f>
        <v>0</v>
      </c>
      <c r="P1586" s="49">
        <f>SUM(P1587:P1591)</f>
        <v>0</v>
      </c>
      <c r="Q1586" s="49">
        <f>SUM(Q1587:Q1591)</f>
        <v>0</v>
      </c>
      <c r="R1586" s="49">
        <f>SUM(R1587:R1591)</f>
        <v>0</v>
      </c>
      <c r="S1586" s="49">
        <f>SUM(S1587:S1591)</f>
        <v>0</v>
      </c>
      <c r="T1586" s="49">
        <f>SUM(T1587:T1591)</f>
        <v>0</v>
      </c>
      <c r="U1586" s="49">
        <f>SUM(U1587:U1591)</f>
        <v>0</v>
      </c>
      <c r="V1586" s="49">
        <f>SUM(V1587:V1591)</f>
        <v>0</v>
      </c>
      <c r="W1586" s="49">
        <f>SUM(W1587:W1591)</f>
        <v>0</v>
      </c>
      <c r="X1586" s="49">
        <f>SUM(X1587:X1591)</f>
        <v>0</v>
      </c>
      <c r="Y1586" s="49">
        <f>SUM(Y1587:Y1591)</f>
        <v>0</v>
      </c>
      <c r="Z1586" s="49">
        <f>SUM(Z1587:Z1591)</f>
        <v>0</v>
      </c>
      <c r="AA1586" s="49">
        <f>SUM(AA1587:AA1591)</f>
        <v>0</v>
      </c>
      <c r="AB1586" s="49">
        <f>SUM(AB1587:AB1591)</f>
        <v>0</v>
      </c>
    </row>
    <row r="1587" spans="1:28" hidden="1" outlineLevel="1" x14ac:dyDescent="0.3">
      <c r="A1587" s="33" t="s">
        <v>246</v>
      </c>
      <c r="B1587" s="34" t="s">
        <v>274</v>
      </c>
      <c r="C1587" s="50">
        <f>SUMIFS(INDEX(Техника!$F$1:$ABM$500,C$2,0),Техника!$F$4:$ABM$4,"Часы",INDEX(Техника!$G$1:$ABN$500,C$2,0),$A$1586,INDEX(Техника!$H$1:$ABO$500,C$2,0),"М")</f>
        <v>0</v>
      </c>
      <c r="D1587" s="50">
        <f>SUMIFS(INDEX(Техника!$F$1:$ABM$500,D$2,0),Техника!$F$4:$ABM$4,"Часы",INDEX(Техника!$G$1:$ABN$500,D$2,0),$A$1586,INDEX(Техника!$H$1:$ABO$500,D$2,0),"М")</f>
        <v>0</v>
      </c>
      <c r="E1587" s="50">
        <f>SUMIFS(INDEX(Техника!$F$1:$ABM$500,E$2,0),Техника!$F$4:$ABM$4,"Часы",INDEX(Техника!$G$1:$ABN$500,E$2,0),$A$1586,INDEX(Техника!$H$1:$ABO$500,E$2,0),"М")</f>
        <v>0</v>
      </c>
      <c r="F1587" s="50">
        <f>SUMIFS(INDEX(Техника!$F$1:$ABM$500,F$2,0),Техника!$F$4:$ABM$4,"Часы",INDEX(Техника!$G$1:$ABN$500,F$2,0),$A$1586,INDEX(Техника!$H$1:$ABO$500,F$2,0),"М")</f>
        <v>0</v>
      </c>
      <c r="G1587" s="50">
        <f>SUMIFS(INDEX(Техника!$F$1:$ABM$500,G$2,0),Техника!$F$4:$ABM$4,"Часы",INDEX(Техника!$G$1:$ABN$500,G$2,0),$A$1586,INDEX(Техника!$H$1:$ABO$500,G$2,0),"М")</f>
        <v>0</v>
      </c>
      <c r="H1587" s="50">
        <f>SUMIFS(INDEX(Техника!$F$1:$ABM$500,H$2,0),Техника!$F$4:$ABM$4,"Часы",INDEX(Техника!$G$1:$ABN$500,H$2,0),$A$1586,INDEX(Техника!$H$1:$ABO$500,H$2,0),"М")</f>
        <v>0</v>
      </c>
      <c r="I1587" s="50">
        <f>SUMIFS(INDEX(Техника!$F$1:$ABM$500,I$2,0),Техника!$F$4:$ABM$4,"Часы",INDEX(Техника!$G$1:$ABN$500,I$2,0),$A$1586,INDEX(Техника!$H$1:$ABO$500,I$2,0),"М")</f>
        <v>0</v>
      </c>
      <c r="J1587" s="50">
        <f>SUMIFS(INDEX(Техника!$F$1:$ABM$500,J$2,0),Техника!$F$4:$ABM$4,"Часы",INDEX(Техника!$G$1:$ABN$500,J$2,0),$A$1586,INDEX(Техника!$H$1:$ABO$500,J$2,0),"М")</f>
        <v>0</v>
      </c>
      <c r="K1587" s="50">
        <f>SUMIFS(INDEX(Техника!$F$1:$ABM$500,K$2,0),Техника!$F$4:$ABM$4,"Часы",INDEX(Техника!$G$1:$ABN$500,K$2,0),$A$1586,INDEX(Техника!$H$1:$ABO$500,K$2,0),"М")</f>
        <v>0</v>
      </c>
      <c r="L1587" s="50">
        <f>SUMIFS(INDEX(Техника!$F$1:$ABM$500,L$2,0),Техника!$F$4:$ABM$4,"Часы",INDEX(Техника!$G$1:$ABN$500,L$2,0),$A$1586,INDEX(Техника!$H$1:$ABO$500,L$2,0),"М")</f>
        <v>0</v>
      </c>
      <c r="M1587" s="50">
        <f>SUMIFS(INDEX(Техника!$F$1:$ABM$500,M$2,0),Техника!$F$4:$ABM$4,"Часы",INDEX(Техника!$G$1:$ABN$500,M$2,0),$A$1586,INDEX(Техника!$H$1:$ABO$500,M$2,0),"М")</f>
        <v>0</v>
      </c>
      <c r="N1587" s="50">
        <f>SUMIFS(INDEX(Техника!$F$1:$ABM$500,N$2,0),Техника!$F$4:$ABM$4,"Часы",INDEX(Техника!$G$1:$ABN$500,N$2,0),$A$1586,INDEX(Техника!$H$1:$ABO$500,N$2,0),"М")</f>
        <v>0</v>
      </c>
      <c r="O1587" s="50">
        <f>SUMIFS(INDEX(Техника!$F$1:$ABM$500,O$2,0),Техника!$F$4:$ABM$4,"Часы",INDEX(Техника!$G$1:$ABN$500,O$2,0),$A$1586,INDEX(Техника!$H$1:$ABO$500,O$2,0),"М")</f>
        <v>0</v>
      </c>
      <c r="P1587" s="50">
        <f>SUMIFS(INDEX(Техника!$F$1:$ABM$500,P$2,0),Техника!$F$4:$ABM$4,"Часы",INDEX(Техника!$G$1:$ABN$500,P$2,0),$A$1586,INDEX(Техника!$H$1:$ABO$500,P$2,0),"М")</f>
        <v>0</v>
      </c>
      <c r="Q1587" s="50">
        <f>SUMIFS(INDEX(Техника!$F$1:$ABM$500,Q$2,0),Техника!$F$4:$ABM$4,"Часы",INDEX(Техника!$G$1:$ABN$500,Q$2,0),$A$1586,INDEX(Техника!$H$1:$ABO$500,Q$2,0),"М")</f>
        <v>0</v>
      </c>
      <c r="R1587" s="50">
        <f>SUMIFS(INDEX(Техника!$F$1:$ABM$500,R$2,0),Техника!$F$4:$ABM$4,"Часы",INDEX(Техника!$G$1:$ABN$500,R$2,0),$A$1586,INDEX(Техника!$H$1:$ABO$500,R$2,0),"М")</f>
        <v>0</v>
      </c>
      <c r="S1587" s="50">
        <f>SUMIFS(INDEX(Техника!$F$1:$ABM$500,S$2,0),Техника!$F$4:$ABM$4,"Часы",INDEX(Техника!$G$1:$ABN$500,S$2,0),$A$1586,INDEX(Техника!$H$1:$ABO$500,S$2,0),"М")</f>
        <v>0</v>
      </c>
      <c r="T1587" s="50">
        <f>SUMIFS(INDEX(Техника!$F$1:$ABM$500,T$2,0),Техника!$F$4:$ABM$4,"Часы",INDEX(Техника!$G$1:$ABN$500,T$2,0),$A$1586,INDEX(Техника!$H$1:$ABO$500,T$2,0),"М")</f>
        <v>0</v>
      </c>
      <c r="U1587" s="50">
        <f>SUMIFS(INDEX(Техника!$F$1:$ABM$500,U$2,0),Техника!$F$4:$ABM$4,"Часы",INDEX(Техника!$G$1:$ABN$500,U$2,0),$A$1586,INDEX(Техника!$H$1:$ABO$500,U$2,0),"М")</f>
        <v>0</v>
      </c>
      <c r="V1587" s="50">
        <f>SUMIFS(INDEX(Техника!$F$1:$ABM$500,V$2,0),Техника!$F$4:$ABM$4,"Часы",INDEX(Техника!$G$1:$ABN$500,V$2,0),$A$1586,INDEX(Техника!$H$1:$ABO$500,V$2,0),"М")</f>
        <v>0</v>
      </c>
      <c r="W1587" s="50">
        <f>SUMIFS(INDEX(Техника!$F$1:$ABM$500,W$2,0),Техника!$F$4:$ABM$4,"Часы",INDEX(Техника!$G$1:$ABN$500,W$2,0),$A$1586,INDEX(Техника!$H$1:$ABO$500,W$2,0),"М")</f>
        <v>0</v>
      </c>
      <c r="X1587" s="50">
        <f>SUMIFS(INDEX(Техника!$F$1:$ABM$500,X$2,0),Техника!$F$4:$ABM$4,"Часы",INDEX(Техника!$G$1:$ABN$500,X$2,0),$A$1586,INDEX(Техника!$H$1:$ABO$500,X$2,0),"М")</f>
        <v>0</v>
      </c>
      <c r="Y1587" s="50">
        <f>SUMIFS(INDEX(Техника!$F$1:$ABM$500,Y$2,0),Техника!$F$4:$ABM$4,"Часы",INDEX(Техника!$G$1:$ABN$500,Y$2,0),$A$1586,INDEX(Техника!$H$1:$ABO$500,Y$2,0),"М")</f>
        <v>0</v>
      </c>
      <c r="Z1587" s="50">
        <f>SUMIFS(INDEX(Техника!$F$1:$ABM$500,Z$2,0),Техника!$F$4:$ABM$4,"Часы",INDEX(Техника!$G$1:$ABN$500,Z$2,0),$A$1586,INDEX(Техника!$H$1:$ABO$500,Z$2,0),"М")</f>
        <v>0</v>
      </c>
      <c r="AA1587" s="50">
        <f>SUMIFS(INDEX(Техника!$F$1:$ABM$500,AA$2,0),Техника!$F$4:$ABM$4,"Часы",INDEX(Техника!$G$1:$ABN$500,AA$2,0),$A$1586,INDEX(Техника!$H$1:$ABO$500,AA$2,0),"М")</f>
        <v>0</v>
      </c>
      <c r="AB1587" s="50">
        <f>SUMIFS(INDEX(Техника!$F$1:$ABM$500,AB$2,0),Техника!$F$4:$ABM$4,"Часы",INDEX(Техника!$G$1:$ABN$500,AB$2,0),$A$1586,INDEX(Техника!$H$1:$ABO$500,AB$2,0),"М")</f>
        <v>0</v>
      </c>
    </row>
    <row r="1588" spans="1:28" hidden="1" outlineLevel="1" x14ac:dyDescent="0.3">
      <c r="A1588" s="33" t="s">
        <v>244</v>
      </c>
      <c r="B1588" s="34" t="s">
        <v>275</v>
      </c>
      <c r="C1588" s="50">
        <f>SUMIFS(INDEX(Техника!$F$1:$ABM$500,C$2,0),Техника!$F$4:$ABM$4,"Часы",INDEX(Техника!$G$1:$ABN$500,C$2,0),$A$1586,INDEX(Техника!$H$1:$ABO$500,C$2,0),"Д")</f>
        <v>0</v>
      </c>
      <c r="D1588" s="50">
        <f>SUMIFS(INDEX(Техника!$F$1:$ABM$500,D$2,0),Техника!$F$4:$ABM$4,"Часы",INDEX(Техника!$G$1:$ABN$500,D$2,0),$A$1586,INDEX(Техника!$H$1:$ABO$500,D$2,0),"Д")</f>
        <v>0</v>
      </c>
      <c r="E1588" s="50">
        <f>SUMIFS(INDEX(Техника!$F$1:$ABM$500,E$2,0),Техника!$F$4:$ABM$4,"Часы",INDEX(Техника!$G$1:$ABN$500,E$2,0),$A$1586,INDEX(Техника!$H$1:$ABO$500,E$2,0),"Д")</f>
        <v>0</v>
      </c>
      <c r="F1588" s="50">
        <f>SUMIFS(INDEX(Техника!$F$1:$ABM$500,F$2,0),Техника!$F$4:$ABM$4,"Часы",INDEX(Техника!$G$1:$ABN$500,F$2,0),$A$1586,INDEX(Техника!$H$1:$ABO$500,F$2,0),"Д")</f>
        <v>0</v>
      </c>
      <c r="G1588" s="50">
        <f>SUMIFS(INDEX(Техника!$F$1:$ABM$500,G$2,0),Техника!$F$4:$ABM$4,"Часы",INDEX(Техника!$G$1:$ABN$500,G$2,0),$A$1586,INDEX(Техника!$H$1:$ABO$500,G$2,0),"Д")</f>
        <v>0</v>
      </c>
      <c r="H1588" s="50">
        <f>SUMIFS(INDEX(Техника!$F$1:$ABM$500,H$2,0),Техника!$F$4:$ABM$4,"Часы",INDEX(Техника!$G$1:$ABN$500,H$2,0),$A$1586,INDEX(Техника!$H$1:$ABO$500,H$2,0),"Д")</f>
        <v>0</v>
      </c>
      <c r="I1588" s="50">
        <f>SUMIFS(INDEX(Техника!$F$1:$ABM$500,I$2,0),Техника!$F$4:$ABM$4,"Часы",INDEX(Техника!$G$1:$ABN$500,I$2,0),$A$1586,INDEX(Техника!$H$1:$ABO$500,I$2,0),"Д")</f>
        <v>0</v>
      </c>
      <c r="J1588" s="50">
        <f>SUMIFS(INDEX(Техника!$F$1:$ABM$500,J$2,0),Техника!$F$4:$ABM$4,"Часы",INDEX(Техника!$G$1:$ABN$500,J$2,0),$A$1586,INDEX(Техника!$H$1:$ABO$500,J$2,0),"Д")</f>
        <v>0</v>
      </c>
      <c r="K1588" s="50">
        <f>SUMIFS(INDEX(Техника!$F$1:$ABM$500,K$2,0),Техника!$F$4:$ABM$4,"Часы",INDEX(Техника!$G$1:$ABN$500,K$2,0),$A$1586,INDEX(Техника!$H$1:$ABO$500,K$2,0),"Д")</f>
        <v>0</v>
      </c>
      <c r="L1588" s="50">
        <f>SUMIFS(INDEX(Техника!$F$1:$ABM$500,L$2,0),Техника!$F$4:$ABM$4,"Часы",INDEX(Техника!$G$1:$ABN$500,L$2,0),$A$1586,INDEX(Техника!$H$1:$ABO$500,L$2,0),"Д")</f>
        <v>0</v>
      </c>
      <c r="M1588" s="50">
        <f>SUMIFS(INDEX(Техника!$F$1:$ABM$500,M$2,0),Техника!$F$4:$ABM$4,"Часы",INDEX(Техника!$G$1:$ABN$500,M$2,0),$A$1586,INDEX(Техника!$H$1:$ABO$500,M$2,0),"Д")</f>
        <v>0</v>
      </c>
      <c r="N1588" s="50">
        <f>SUMIFS(INDEX(Техника!$F$1:$ABM$500,N$2,0),Техника!$F$4:$ABM$4,"Часы",INDEX(Техника!$G$1:$ABN$500,N$2,0),$A$1586,INDEX(Техника!$H$1:$ABO$500,N$2,0),"Д")</f>
        <v>0</v>
      </c>
      <c r="O1588" s="50">
        <f>SUMIFS(INDEX(Техника!$F$1:$ABM$500,O$2,0),Техника!$F$4:$ABM$4,"Часы",INDEX(Техника!$G$1:$ABN$500,O$2,0),$A$1586,INDEX(Техника!$H$1:$ABO$500,O$2,0),"Д")</f>
        <v>0</v>
      </c>
      <c r="P1588" s="50">
        <f>SUMIFS(INDEX(Техника!$F$1:$ABM$500,P$2,0),Техника!$F$4:$ABM$4,"Часы",INDEX(Техника!$G$1:$ABN$500,P$2,0),$A$1586,INDEX(Техника!$H$1:$ABO$500,P$2,0),"Д")</f>
        <v>0</v>
      </c>
      <c r="Q1588" s="50">
        <f>SUMIFS(INDEX(Техника!$F$1:$ABM$500,Q$2,0),Техника!$F$4:$ABM$4,"Часы",INDEX(Техника!$G$1:$ABN$500,Q$2,0),$A$1586,INDEX(Техника!$H$1:$ABO$500,Q$2,0),"Д")</f>
        <v>0</v>
      </c>
      <c r="R1588" s="50">
        <f>SUMIFS(INDEX(Техника!$F$1:$ABM$500,R$2,0),Техника!$F$4:$ABM$4,"Часы",INDEX(Техника!$G$1:$ABN$500,R$2,0),$A$1586,INDEX(Техника!$H$1:$ABO$500,R$2,0),"Д")</f>
        <v>0</v>
      </c>
      <c r="S1588" s="50">
        <f>SUMIFS(INDEX(Техника!$F$1:$ABM$500,S$2,0),Техника!$F$4:$ABM$4,"Часы",INDEX(Техника!$G$1:$ABN$500,S$2,0),$A$1586,INDEX(Техника!$H$1:$ABO$500,S$2,0),"Д")</f>
        <v>0</v>
      </c>
      <c r="T1588" s="50">
        <f>SUMIFS(INDEX(Техника!$F$1:$ABM$500,T$2,0),Техника!$F$4:$ABM$4,"Часы",INDEX(Техника!$G$1:$ABN$500,T$2,0),$A$1586,INDEX(Техника!$H$1:$ABO$500,T$2,0),"Д")</f>
        <v>0</v>
      </c>
      <c r="U1588" s="50">
        <f>SUMIFS(INDEX(Техника!$F$1:$ABM$500,U$2,0),Техника!$F$4:$ABM$4,"Часы",INDEX(Техника!$G$1:$ABN$500,U$2,0),$A$1586,INDEX(Техника!$H$1:$ABO$500,U$2,0),"Д")</f>
        <v>0</v>
      </c>
      <c r="V1588" s="50">
        <f>SUMIFS(INDEX(Техника!$F$1:$ABM$500,V$2,0),Техника!$F$4:$ABM$4,"Часы",INDEX(Техника!$G$1:$ABN$500,V$2,0),$A$1586,INDEX(Техника!$H$1:$ABO$500,V$2,0),"Д")</f>
        <v>0</v>
      </c>
      <c r="W1588" s="50">
        <f>SUMIFS(INDEX(Техника!$F$1:$ABM$500,W$2,0),Техника!$F$4:$ABM$4,"Часы",INDEX(Техника!$G$1:$ABN$500,W$2,0),$A$1586,INDEX(Техника!$H$1:$ABO$500,W$2,0),"Д")</f>
        <v>0</v>
      </c>
      <c r="X1588" s="50">
        <f>SUMIFS(INDEX(Техника!$F$1:$ABM$500,X$2,0),Техника!$F$4:$ABM$4,"Часы",INDEX(Техника!$G$1:$ABN$500,X$2,0),$A$1586,INDEX(Техника!$H$1:$ABO$500,X$2,0),"Д")</f>
        <v>0</v>
      </c>
      <c r="Y1588" s="50">
        <f>SUMIFS(INDEX(Техника!$F$1:$ABM$500,Y$2,0),Техника!$F$4:$ABM$4,"Часы",INDEX(Техника!$G$1:$ABN$500,Y$2,0),$A$1586,INDEX(Техника!$H$1:$ABO$500,Y$2,0),"Д")</f>
        <v>0</v>
      </c>
      <c r="Z1588" s="50">
        <f>SUMIFS(INDEX(Техника!$F$1:$ABM$500,Z$2,0),Техника!$F$4:$ABM$4,"Часы",INDEX(Техника!$G$1:$ABN$500,Z$2,0),$A$1586,INDEX(Техника!$H$1:$ABO$500,Z$2,0),"Д")</f>
        <v>0</v>
      </c>
      <c r="AA1588" s="50">
        <f>SUMIFS(INDEX(Техника!$F$1:$ABM$500,AA$2,0),Техника!$F$4:$ABM$4,"Часы",INDEX(Техника!$G$1:$ABN$500,AA$2,0),$A$1586,INDEX(Техника!$H$1:$ABO$500,AA$2,0),"Д")</f>
        <v>0</v>
      </c>
      <c r="AB1588" s="50">
        <f>SUMIFS(INDEX(Техника!$F$1:$ABM$500,AB$2,0),Техника!$F$4:$ABM$4,"Часы",INDEX(Техника!$G$1:$ABN$500,AB$2,0),$A$1586,INDEX(Техника!$H$1:$ABO$500,AB$2,0),"Д")</f>
        <v>0</v>
      </c>
    </row>
    <row r="1589" spans="1:28" hidden="1" outlineLevel="1" x14ac:dyDescent="0.3">
      <c r="A1589" s="33" t="s">
        <v>276</v>
      </c>
      <c r="B1589" s="34" t="s">
        <v>277</v>
      </c>
      <c r="C1589" s="50">
        <f>SUMIFS(INDEX(Техника!$F$1:$ABM$500,C$2,0),Техника!$F$4:$ABM$4,"Часы",INDEX(Техника!$G$1:$ABN$500,C$2,0),$A$1586,INDEX(Техника!$H$1:$ABO$500,C$2,0),"П")</f>
        <v>0</v>
      </c>
      <c r="D1589" s="50">
        <f>SUMIFS(INDEX(Техника!$F$1:$ABM$500,D$2,0),Техника!$F$4:$ABM$4,"Часы",INDEX(Техника!$G$1:$ABN$500,D$2,0),$A$1586,INDEX(Техника!$H$1:$ABO$500,D$2,0),"П")</f>
        <v>0</v>
      </c>
      <c r="E1589" s="50">
        <f>SUMIFS(INDEX(Техника!$F$1:$ABM$500,E$2,0),Техника!$F$4:$ABM$4,"Часы",INDEX(Техника!$G$1:$ABN$500,E$2,0),$A$1586,INDEX(Техника!$H$1:$ABO$500,E$2,0),"П")</f>
        <v>0</v>
      </c>
      <c r="F1589" s="50">
        <f>SUMIFS(INDEX(Техника!$F$1:$ABM$500,F$2,0),Техника!$F$4:$ABM$4,"Часы",INDEX(Техника!$G$1:$ABN$500,F$2,0),$A$1586,INDEX(Техника!$H$1:$ABO$500,F$2,0),"П")</f>
        <v>0</v>
      </c>
      <c r="G1589" s="50">
        <f>SUMIFS(INDEX(Техника!$F$1:$ABM$500,G$2,0),Техника!$F$4:$ABM$4,"Часы",INDEX(Техника!$G$1:$ABN$500,G$2,0),$A$1586,INDEX(Техника!$H$1:$ABO$500,G$2,0),"П")</f>
        <v>0</v>
      </c>
      <c r="H1589" s="50">
        <f>SUMIFS(INDEX(Техника!$F$1:$ABM$500,H$2,0),Техника!$F$4:$ABM$4,"Часы",INDEX(Техника!$G$1:$ABN$500,H$2,0),$A$1586,INDEX(Техника!$H$1:$ABO$500,H$2,0),"П")</f>
        <v>0</v>
      </c>
      <c r="I1589" s="50">
        <f>SUMIFS(INDEX(Техника!$F$1:$ABM$500,I$2,0),Техника!$F$4:$ABM$4,"Часы",INDEX(Техника!$G$1:$ABN$500,I$2,0),$A$1586,INDEX(Техника!$H$1:$ABO$500,I$2,0),"П")</f>
        <v>0</v>
      </c>
      <c r="J1589" s="50">
        <f>SUMIFS(INDEX(Техника!$F$1:$ABM$500,J$2,0),Техника!$F$4:$ABM$4,"Часы",INDEX(Техника!$G$1:$ABN$500,J$2,0),$A$1586,INDEX(Техника!$H$1:$ABO$500,J$2,0),"П")</f>
        <v>0</v>
      </c>
      <c r="K1589" s="50">
        <f>SUMIFS(INDEX(Техника!$F$1:$ABM$500,K$2,0),Техника!$F$4:$ABM$4,"Часы",INDEX(Техника!$G$1:$ABN$500,K$2,0),$A$1586,INDEX(Техника!$H$1:$ABO$500,K$2,0),"П")</f>
        <v>0</v>
      </c>
      <c r="L1589" s="50">
        <f>SUMIFS(INDEX(Техника!$F$1:$ABM$500,L$2,0),Техника!$F$4:$ABM$4,"Часы",INDEX(Техника!$G$1:$ABN$500,L$2,0),$A$1586,INDEX(Техника!$H$1:$ABO$500,L$2,0),"П")</f>
        <v>0</v>
      </c>
      <c r="M1589" s="50">
        <f>SUMIFS(INDEX(Техника!$F$1:$ABM$500,M$2,0),Техника!$F$4:$ABM$4,"Часы",INDEX(Техника!$G$1:$ABN$500,M$2,0),$A$1586,INDEX(Техника!$H$1:$ABO$500,M$2,0),"П")</f>
        <v>0</v>
      </c>
      <c r="N1589" s="50">
        <f>SUMIFS(INDEX(Техника!$F$1:$ABM$500,N$2,0),Техника!$F$4:$ABM$4,"Часы",INDEX(Техника!$G$1:$ABN$500,N$2,0),$A$1586,INDEX(Техника!$H$1:$ABO$500,N$2,0),"П")</f>
        <v>0</v>
      </c>
      <c r="O1589" s="50">
        <f>SUMIFS(INDEX(Техника!$F$1:$ABM$500,O$2,0),Техника!$F$4:$ABM$4,"Часы",INDEX(Техника!$G$1:$ABN$500,O$2,0),$A$1586,INDEX(Техника!$H$1:$ABO$500,O$2,0),"П")</f>
        <v>0</v>
      </c>
      <c r="P1589" s="50">
        <f>SUMIFS(INDEX(Техника!$F$1:$ABM$500,P$2,0),Техника!$F$4:$ABM$4,"Часы",INDEX(Техника!$G$1:$ABN$500,P$2,0),$A$1586,INDEX(Техника!$H$1:$ABO$500,P$2,0),"П")</f>
        <v>0</v>
      </c>
      <c r="Q1589" s="50">
        <f>SUMIFS(INDEX(Техника!$F$1:$ABM$500,Q$2,0),Техника!$F$4:$ABM$4,"Часы",INDEX(Техника!$G$1:$ABN$500,Q$2,0),$A$1586,INDEX(Техника!$H$1:$ABO$500,Q$2,0),"П")</f>
        <v>0</v>
      </c>
      <c r="R1589" s="50">
        <f>SUMIFS(INDEX(Техника!$F$1:$ABM$500,R$2,0),Техника!$F$4:$ABM$4,"Часы",INDEX(Техника!$G$1:$ABN$500,R$2,0),$A$1586,INDEX(Техника!$H$1:$ABO$500,R$2,0),"П")</f>
        <v>0</v>
      </c>
      <c r="S1589" s="50">
        <f>SUMIFS(INDEX(Техника!$F$1:$ABM$500,S$2,0),Техника!$F$4:$ABM$4,"Часы",INDEX(Техника!$G$1:$ABN$500,S$2,0),$A$1586,INDEX(Техника!$H$1:$ABO$500,S$2,0),"П")</f>
        <v>0</v>
      </c>
      <c r="T1589" s="50">
        <f>SUMIFS(INDEX(Техника!$F$1:$ABM$500,T$2,0),Техника!$F$4:$ABM$4,"Часы",INDEX(Техника!$G$1:$ABN$500,T$2,0),$A$1586,INDEX(Техника!$H$1:$ABO$500,T$2,0),"П")</f>
        <v>0</v>
      </c>
      <c r="U1589" s="50">
        <f>SUMIFS(INDEX(Техника!$F$1:$ABM$500,U$2,0),Техника!$F$4:$ABM$4,"Часы",INDEX(Техника!$G$1:$ABN$500,U$2,0),$A$1586,INDEX(Техника!$H$1:$ABO$500,U$2,0),"П")</f>
        <v>0</v>
      </c>
      <c r="V1589" s="50">
        <f>SUMIFS(INDEX(Техника!$F$1:$ABM$500,V$2,0),Техника!$F$4:$ABM$4,"Часы",INDEX(Техника!$G$1:$ABN$500,V$2,0),$A$1586,INDEX(Техника!$H$1:$ABO$500,V$2,0),"П")</f>
        <v>0</v>
      </c>
      <c r="W1589" s="50">
        <f>SUMIFS(INDEX(Техника!$F$1:$ABM$500,W$2,0),Техника!$F$4:$ABM$4,"Часы",INDEX(Техника!$G$1:$ABN$500,W$2,0),$A$1586,INDEX(Техника!$H$1:$ABO$500,W$2,0),"П")</f>
        <v>0</v>
      </c>
      <c r="X1589" s="50">
        <f>SUMIFS(INDEX(Техника!$F$1:$ABM$500,X$2,0),Техника!$F$4:$ABM$4,"Часы",INDEX(Техника!$G$1:$ABN$500,X$2,0),$A$1586,INDEX(Техника!$H$1:$ABO$500,X$2,0),"П")</f>
        <v>0</v>
      </c>
      <c r="Y1589" s="50">
        <f>SUMIFS(INDEX(Техника!$F$1:$ABM$500,Y$2,0),Техника!$F$4:$ABM$4,"Часы",INDEX(Техника!$G$1:$ABN$500,Y$2,0),$A$1586,INDEX(Техника!$H$1:$ABO$500,Y$2,0),"П")</f>
        <v>0</v>
      </c>
      <c r="Z1589" s="50">
        <f>SUMIFS(INDEX(Техника!$F$1:$ABM$500,Z$2,0),Техника!$F$4:$ABM$4,"Часы",INDEX(Техника!$G$1:$ABN$500,Z$2,0),$A$1586,INDEX(Техника!$H$1:$ABO$500,Z$2,0),"П")</f>
        <v>0</v>
      </c>
      <c r="AA1589" s="50">
        <f>SUMIFS(INDEX(Техника!$F$1:$ABM$500,AA$2,0),Техника!$F$4:$ABM$4,"Часы",INDEX(Техника!$G$1:$ABN$500,AA$2,0),$A$1586,INDEX(Техника!$H$1:$ABO$500,AA$2,0),"П")</f>
        <v>0</v>
      </c>
      <c r="AB1589" s="50">
        <f>SUMIFS(INDEX(Техника!$F$1:$ABM$500,AB$2,0),Техника!$F$4:$ABM$4,"Часы",INDEX(Техника!$G$1:$ABN$500,AB$2,0),$A$1586,INDEX(Техника!$H$1:$ABO$500,AB$2,0),"П")</f>
        <v>0</v>
      </c>
    </row>
    <row r="1590" spans="1:28" hidden="1" outlineLevel="1" x14ac:dyDescent="0.3">
      <c r="A1590" s="33" t="s">
        <v>243</v>
      </c>
      <c r="B1590" s="34" t="s">
        <v>278</v>
      </c>
      <c r="C1590" s="50">
        <f>SUMIFS(INDEX(Техника!$F$1:$ABM$500,C$2,0),Техника!$F$4:$ABM$4,"Часы",INDEX(Техника!$G$1:$ABN$500,C$2,0),$A$1586,INDEX(Техника!$H$1:$ABO$500,C$2,0),"Л")</f>
        <v>0</v>
      </c>
      <c r="D1590" s="50">
        <f>SUMIFS(INDEX(Техника!$F$1:$ABM$500,D$2,0),Техника!$F$4:$ABM$4,"Часы",INDEX(Техника!$G$1:$ABN$500,D$2,0),$A$1586,INDEX(Техника!$H$1:$ABO$500,D$2,0),"Л")</f>
        <v>0</v>
      </c>
      <c r="E1590" s="50">
        <f>SUMIFS(INDEX(Техника!$F$1:$ABM$500,E$2,0),Техника!$F$4:$ABM$4,"Часы",INDEX(Техника!$G$1:$ABN$500,E$2,0),$A$1586,INDEX(Техника!$H$1:$ABO$500,E$2,0),"Л")</f>
        <v>0</v>
      </c>
      <c r="F1590" s="50">
        <f>SUMIFS(INDEX(Техника!$F$1:$ABM$500,F$2,0),Техника!$F$4:$ABM$4,"Часы",INDEX(Техника!$G$1:$ABN$500,F$2,0),$A$1586,INDEX(Техника!$H$1:$ABO$500,F$2,0),"Л")</f>
        <v>0</v>
      </c>
      <c r="G1590" s="50">
        <f>SUMIFS(INDEX(Техника!$F$1:$ABM$500,G$2,0),Техника!$F$4:$ABM$4,"Часы",INDEX(Техника!$G$1:$ABN$500,G$2,0),$A$1586,INDEX(Техника!$H$1:$ABO$500,G$2,0),"Л")</f>
        <v>0</v>
      </c>
      <c r="H1590" s="50">
        <f>SUMIFS(INDEX(Техника!$F$1:$ABM$500,H$2,0),Техника!$F$4:$ABM$4,"Часы",INDEX(Техника!$G$1:$ABN$500,H$2,0),$A$1586,INDEX(Техника!$H$1:$ABO$500,H$2,0),"Л")</f>
        <v>0</v>
      </c>
      <c r="I1590" s="50">
        <f>SUMIFS(INDEX(Техника!$F$1:$ABM$500,I$2,0),Техника!$F$4:$ABM$4,"Часы",INDEX(Техника!$G$1:$ABN$500,I$2,0),$A$1586,INDEX(Техника!$H$1:$ABO$500,I$2,0),"Л")</f>
        <v>0</v>
      </c>
      <c r="J1590" s="50">
        <f>SUMIFS(INDEX(Техника!$F$1:$ABM$500,J$2,0),Техника!$F$4:$ABM$4,"Часы",INDEX(Техника!$G$1:$ABN$500,J$2,0),$A$1586,INDEX(Техника!$H$1:$ABO$500,J$2,0),"Л")</f>
        <v>0</v>
      </c>
      <c r="K1590" s="50">
        <f>SUMIFS(INDEX(Техника!$F$1:$ABM$500,K$2,0),Техника!$F$4:$ABM$4,"Часы",INDEX(Техника!$G$1:$ABN$500,K$2,0),$A$1586,INDEX(Техника!$H$1:$ABO$500,K$2,0),"Л")</f>
        <v>0</v>
      </c>
      <c r="L1590" s="50">
        <f>SUMIFS(INDEX(Техника!$F$1:$ABM$500,L$2,0),Техника!$F$4:$ABM$4,"Часы",INDEX(Техника!$G$1:$ABN$500,L$2,0),$A$1586,INDEX(Техника!$H$1:$ABO$500,L$2,0),"Л")</f>
        <v>0</v>
      </c>
      <c r="M1590" s="50">
        <f>SUMIFS(INDEX(Техника!$F$1:$ABM$500,M$2,0),Техника!$F$4:$ABM$4,"Часы",INDEX(Техника!$G$1:$ABN$500,M$2,0),$A$1586,INDEX(Техника!$H$1:$ABO$500,M$2,0),"Л")</f>
        <v>0</v>
      </c>
      <c r="N1590" s="50">
        <f>SUMIFS(INDEX(Техника!$F$1:$ABM$500,N$2,0),Техника!$F$4:$ABM$4,"Часы",INDEX(Техника!$G$1:$ABN$500,N$2,0),$A$1586,INDEX(Техника!$H$1:$ABO$500,N$2,0),"Л")</f>
        <v>0</v>
      </c>
      <c r="O1590" s="50">
        <f>SUMIFS(INDEX(Техника!$F$1:$ABM$500,O$2,0),Техника!$F$4:$ABM$4,"Часы",INDEX(Техника!$G$1:$ABN$500,O$2,0),$A$1586,INDEX(Техника!$H$1:$ABO$500,O$2,0),"Л")</f>
        <v>0</v>
      </c>
      <c r="P1590" s="50">
        <f>SUMIFS(INDEX(Техника!$F$1:$ABM$500,P$2,0),Техника!$F$4:$ABM$4,"Часы",INDEX(Техника!$G$1:$ABN$500,P$2,0),$A$1586,INDEX(Техника!$H$1:$ABO$500,P$2,0),"Л")</f>
        <v>0</v>
      </c>
      <c r="Q1590" s="50">
        <f>SUMIFS(INDEX(Техника!$F$1:$ABM$500,Q$2,0),Техника!$F$4:$ABM$4,"Часы",INDEX(Техника!$G$1:$ABN$500,Q$2,0),$A$1586,INDEX(Техника!$H$1:$ABO$500,Q$2,0),"Л")</f>
        <v>0</v>
      </c>
      <c r="R1590" s="50">
        <f>SUMIFS(INDEX(Техника!$F$1:$ABM$500,R$2,0),Техника!$F$4:$ABM$4,"Часы",INDEX(Техника!$G$1:$ABN$500,R$2,0),$A$1586,INDEX(Техника!$H$1:$ABO$500,R$2,0),"Л")</f>
        <v>0</v>
      </c>
      <c r="S1590" s="50">
        <f>SUMIFS(INDEX(Техника!$F$1:$ABM$500,S$2,0),Техника!$F$4:$ABM$4,"Часы",INDEX(Техника!$G$1:$ABN$500,S$2,0),$A$1586,INDEX(Техника!$H$1:$ABO$500,S$2,0),"Л")</f>
        <v>0</v>
      </c>
      <c r="T1590" s="50">
        <f>SUMIFS(INDEX(Техника!$F$1:$ABM$500,T$2,0),Техника!$F$4:$ABM$4,"Часы",INDEX(Техника!$G$1:$ABN$500,T$2,0),$A$1586,INDEX(Техника!$H$1:$ABO$500,T$2,0),"Л")</f>
        <v>0</v>
      </c>
      <c r="U1590" s="50">
        <f>SUMIFS(INDEX(Техника!$F$1:$ABM$500,U$2,0),Техника!$F$4:$ABM$4,"Часы",INDEX(Техника!$G$1:$ABN$500,U$2,0),$A$1586,INDEX(Техника!$H$1:$ABO$500,U$2,0),"Л")</f>
        <v>0</v>
      </c>
      <c r="V1590" s="50">
        <f>SUMIFS(INDEX(Техника!$F$1:$ABM$500,V$2,0),Техника!$F$4:$ABM$4,"Часы",INDEX(Техника!$G$1:$ABN$500,V$2,0),$A$1586,INDEX(Техника!$H$1:$ABO$500,V$2,0),"Л")</f>
        <v>0</v>
      </c>
      <c r="W1590" s="50">
        <f>SUMIFS(INDEX(Техника!$F$1:$ABM$500,W$2,0),Техника!$F$4:$ABM$4,"Часы",INDEX(Техника!$G$1:$ABN$500,W$2,0),$A$1586,INDEX(Техника!$H$1:$ABO$500,W$2,0),"Л")</f>
        <v>0</v>
      </c>
      <c r="X1590" s="50">
        <f>SUMIFS(INDEX(Техника!$F$1:$ABM$500,X$2,0),Техника!$F$4:$ABM$4,"Часы",INDEX(Техника!$G$1:$ABN$500,X$2,0),$A$1586,INDEX(Техника!$H$1:$ABO$500,X$2,0),"Л")</f>
        <v>0</v>
      </c>
      <c r="Y1590" s="50">
        <f>SUMIFS(INDEX(Техника!$F$1:$ABM$500,Y$2,0),Техника!$F$4:$ABM$4,"Часы",INDEX(Техника!$G$1:$ABN$500,Y$2,0),$A$1586,INDEX(Техника!$H$1:$ABO$500,Y$2,0),"Л")</f>
        <v>0</v>
      </c>
      <c r="Z1590" s="50">
        <f>SUMIFS(INDEX(Техника!$F$1:$ABM$500,Z$2,0),Техника!$F$4:$ABM$4,"Часы",INDEX(Техника!$G$1:$ABN$500,Z$2,0),$A$1586,INDEX(Техника!$H$1:$ABO$500,Z$2,0),"Л")</f>
        <v>0</v>
      </c>
      <c r="AA1590" s="50">
        <f>SUMIFS(INDEX(Техника!$F$1:$ABM$500,AA$2,0),Техника!$F$4:$ABM$4,"Часы",INDEX(Техника!$G$1:$ABN$500,AA$2,0),$A$1586,INDEX(Техника!$H$1:$ABO$500,AA$2,0),"Л")</f>
        <v>0</v>
      </c>
      <c r="AB1590" s="50">
        <f>SUMIFS(INDEX(Техника!$F$1:$ABM$500,AB$2,0),Техника!$F$4:$ABM$4,"Часы",INDEX(Техника!$G$1:$ABN$500,AB$2,0),$A$1586,INDEX(Техника!$H$1:$ABO$500,AB$2,0),"Л")</f>
        <v>0</v>
      </c>
    </row>
    <row r="1591" spans="1:28" hidden="1" outlineLevel="1" x14ac:dyDescent="0.3">
      <c r="A1591" s="33" t="s">
        <v>245</v>
      </c>
      <c r="B1591" s="34" t="s">
        <v>279</v>
      </c>
      <c r="C1591" s="50">
        <f>SUMIFS(INDEX(Техника!$F$1:$ABM$500,C$2,0),Техника!$F$4:$ABM$4,"Часы",INDEX(Техника!$G$1:$ABN$500,C$2,0),$A$1586,INDEX(Техника!$H$1:$ABO$500,C$2,0),"З")</f>
        <v>0</v>
      </c>
      <c r="D1591" s="50">
        <f>SUMIFS(INDEX(Техника!$F$1:$ABM$500,D$2,0),Техника!$F$4:$ABM$4,"Часы",INDEX(Техника!$G$1:$ABN$500,D$2,0),$A$1586,INDEX(Техника!$H$1:$ABO$500,D$2,0),"З")</f>
        <v>0</v>
      </c>
      <c r="E1591" s="50">
        <f>SUMIFS(INDEX(Техника!$F$1:$ABM$500,E$2,0),Техника!$F$4:$ABM$4,"Часы",INDEX(Техника!$G$1:$ABN$500,E$2,0),$A$1586,INDEX(Техника!$H$1:$ABO$500,E$2,0),"З")</f>
        <v>0</v>
      </c>
      <c r="F1591" s="50">
        <f>SUMIFS(INDEX(Техника!$F$1:$ABM$500,F$2,0),Техника!$F$4:$ABM$4,"Часы",INDEX(Техника!$G$1:$ABN$500,F$2,0),$A$1586,INDEX(Техника!$H$1:$ABO$500,F$2,0),"З")</f>
        <v>0</v>
      </c>
      <c r="G1591" s="50">
        <f>SUMIFS(INDEX(Техника!$F$1:$ABM$500,G$2,0),Техника!$F$4:$ABM$4,"Часы",INDEX(Техника!$G$1:$ABN$500,G$2,0),$A$1586,INDEX(Техника!$H$1:$ABO$500,G$2,0),"З")</f>
        <v>0</v>
      </c>
      <c r="H1591" s="50">
        <f>SUMIFS(INDEX(Техника!$F$1:$ABM$500,H$2,0),Техника!$F$4:$ABM$4,"Часы",INDEX(Техника!$G$1:$ABN$500,H$2,0),$A$1586,INDEX(Техника!$H$1:$ABO$500,H$2,0),"З")</f>
        <v>0</v>
      </c>
      <c r="I1591" s="50">
        <f>SUMIFS(INDEX(Техника!$F$1:$ABM$500,I$2,0),Техника!$F$4:$ABM$4,"Часы",INDEX(Техника!$G$1:$ABN$500,I$2,0),$A$1586,INDEX(Техника!$H$1:$ABO$500,I$2,0),"З")</f>
        <v>0</v>
      </c>
      <c r="J1591" s="50">
        <f>SUMIFS(INDEX(Техника!$F$1:$ABM$500,J$2,0),Техника!$F$4:$ABM$4,"Часы",INDEX(Техника!$G$1:$ABN$500,J$2,0),$A$1586,INDEX(Техника!$H$1:$ABO$500,J$2,0),"З")</f>
        <v>0</v>
      </c>
      <c r="K1591" s="50">
        <f>SUMIFS(INDEX(Техника!$F$1:$ABM$500,K$2,0),Техника!$F$4:$ABM$4,"Часы",INDEX(Техника!$G$1:$ABN$500,K$2,0),$A$1586,INDEX(Техника!$H$1:$ABO$500,K$2,0),"З")</f>
        <v>0</v>
      </c>
      <c r="L1591" s="50">
        <f>SUMIFS(INDEX(Техника!$F$1:$ABM$500,L$2,0),Техника!$F$4:$ABM$4,"Часы",INDEX(Техника!$G$1:$ABN$500,L$2,0),$A$1586,INDEX(Техника!$H$1:$ABO$500,L$2,0),"З")</f>
        <v>0</v>
      </c>
      <c r="M1591" s="50">
        <f>SUMIFS(INDEX(Техника!$F$1:$ABM$500,M$2,0),Техника!$F$4:$ABM$4,"Часы",INDEX(Техника!$G$1:$ABN$500,M$2,0),$A$1586,INDEX(Техника!$H$1:$ABO$500,M$2,0),"З")</f>
        <v>0</v>
      </c>
      <c r="N1591" s="50">
        <f>SUMIFS(INDEX(Техника!$F$1:$ABM$500,N$2,0),Техника!$F$4:$ABM$4,"Часы",INDEX(Техника!$G$1:$ABN$500,N$2,0),$A$1586,INDEX(Техника!$H$1:$ABO$500,N$2,0),"З")</f>
        <v>0</v>
      </c>
      <c r="O1591" s="50">
        <f>SUMIFS(INDEX(Техника!$F$1:$ABM$500,O$2,0),Техника!$F$4:$ABM$4,"Часы",INDEX(Техника!$G$1:$ABN$500,O$2,0),$A$1586,INDEX(Техника!$H$1:$ABO$500,O$2,0),"З")</f>
        <v>0</v>
      </c>
      <c r="P1591" s="50">
        <f>SUMIFS(INDEX(Техника!$F$1:$ABM$500,P$2,0),Техника!$F$4:$ABM$4,"Часы",INDEX(Техника!$G$1:$ABN$500,P$2,0),$A$1586,INDEX(Техника!$H$1:$ABO$500,P$2,0),"З")</f>
        <v>0</v>
      </c>
      <c r="Q1591" s="50">
        <f>SUMIFS(INDEX(Техника!$F$1:$ABM$500,Q$2,0),Техника!$F$4:$ABM$4,"Часы",INDEX(Техника!$G$1:$ABN$500,Q$2,0),$A$1586,INDEX(Техника!$H$1:$ABO$500,Q$2,0),"З")</f>
        <v>0</v>
      </c>
      <c r="R1591" s="50">
        <f>SUMIFS(INDEX(Техника!$F$1:$ABM$500,R$2,0),Техника!$F$4:$ABM$4,"Часы",INDEX(Техника!$G$1:$ABN$500,R$2,0),$A$1586,INDEX(Техника!$H$1:$ABO$500,R$2,0),"З")</f>
        <v>0</v>
      </c>
      <c r="S1591" s="50">
        <f>SUMIFS(INDEX(Техника!$F$1:$ABM$500,S$2,0),Техника!$F$4:$ABM$4,"Часы",INDEX(Техника!$G$1:$ABN$500,S$2,0),$A$1586,INDEX(Техника!$H$1:$ABO$500,S$2,0),"З")</f>
        <v>0</v>
      </c>
      <c r="T1591" s="50">
        <f>SUMIFS(INDEX(Техника!$F$1:$ABM$500,T$2,0),Техника!$F$4:$ABM$4,"Часы",INDEX(Техника!$G$1:$ABN$500,T$2,0),$A$1586,INDEX(Техника!$H$1:$ABO$500,T$2,0),"З")</f>
        <v>0</v>
      </c>
      <c r="U1591" s="50">
        <f>SUMIFS(INDEX(Техника!$F$1:$ABM$500,U$2,0),Техника!$F$4:$ABM$4,"Часы",INDEX(Техника!$G$1:$ABN$500,U$2,0),$A$1586,INDEX(Техника!$H$1:$ABO$500,U$2,0),"З")</f>
        <v>0</v>
      </c>
      <c r="V1591" s="50">
        <f>SUMIFS(INDEX(Техника!$F$1:$ABM$500,V$2,0),Техника!$F$4:$ABM$4,"Часы",INDEX(Техника!$G$1:$ABN$500,V$2,0),$A$1586,INDEX(Техника!$H$1:$ABO$500,V$2,0),"З")</f>
        <v>0</v>
      </c>
      <c r="W1591" s="50">
        <f>SUMIFS(INDEX(Техника!$F$1:$ABM$500,W$2,0),Техника!$F$4:$ABM$4,"Часы",INDEX(Техника!$G$1:$ABN$500,W$2,0),$A$1586,INDEX(Техника!$H$1:$ABO$500,W$2,0),"З")</f>
        <v>0</v>
      </c>
      <c r="X1591" s="50">
        <f>SUMIFS(INDEX(Техника!$F$1:$ABM$500,X$2,0),Техника!$F$4:$ABM$4,"Часы",INDEX(Техника!$G$1:$ABN$500,X$2,0),$A$1586,INDEX(Техника!$H$1:$ABO$500,X$2,0),"З")</f>
        <v>0</v>
      </c>
      <c r="Y1591" s="50">
        <f>SUMIFS(INDEX(Техника!$F$1:$ABM$500,Y$2,0),Техника!$F$4:$ABM$4,"Часы",INDEX(Техника!$G$1:$ABN$500,Y$2,0),$A$1586,INDEX(Техника!$H$1:$ABO$500,Y$2,0),"З")</f>
        <v>0</v>
      </c>
      <c r="Z1591" s="50">
        <f>SUMIFS(INDEX(Техника!$F$1:$ABM$500,Z$2,0),Техника!$F$4:$ABM$4,"Часы",INDEX(Техника!$G$1:$ABN$500,Z$2,0),$A$1586,INDEX(Техника!$H$1:$ABO$500,Z$2,0),"З")</f>
        <v>0</v>
      </c>
      <c r="AA1591" s="50">
        <f>SUMIFS(INDEX(Техника!$F$1:$ABM$500,AA$2,0),Техника!$F$4:$ABM$4,"Часы",INDEX(Техника!$G$1:$ABN$500,AA$2,0),$A$1586,INDEX(Техника!$H$1:$ABO$500,AA$2,0),"З")</f>
        <v>0</v>
      </c>
      <c r="AB1591" s="50">
        <f>SUMIFS(INDEX(Техника!$F$1:$ABM$500,AB$2,0),Техника!$F$4:$ABM$4,"Часы",INDEX(Техника!$G$1:$ABN$500,AB$2,0),$A$1586,INDEX(Техника!$H$1:$ABO$500,AB$2,0),"З")</f>
        <v>0</v>
      </c>
    </row>
    <row r="1592" spans="1:28" ht="7.95" customHeight="1" x14ac:dyDescent="0.3">
      <c r="A1592" s="38"/>
      <c r="B1592" s="39"/>
      <c r="C1592" s="51"/>
      <c r="D1592" s="51"/>
      <c r="E1592" s="51"/>
      <c r="F1592" s="51"/>
      <c r="G1592" s="51"/>
      <c r="H1592" s="51"/>
      <c r="I1592" s="51"/>
      <c r="J1592" s="51"/>
      <c r="K1592" s="51"/>
      <c r="L1592" s="51"/>
      <c r="M1592" s="51"/>
      <c r="N1592" s="51"/>
      <c r="O1592" s="51"/>
      <c r="P1592" s="51"/>
      <c r="Q1592" s="51"/>
      <c r="R1592" s="51"/>
      <c r="S1592" s="51"/>
      <c r="T1592" s="51"/>
      <c r="U1592" s="51"/>
      <c r="V1592" s="51"/>
      <c r="W1592" s="51"/>
      <c r="X1592" s="51"/>
      <c r="Y1592" s="51"/>
      <c r="Z1592" s="51"/>
      <c r="AA1592" s="51"/>
      <c r="AB1592" s="51"/>
    </row>
    <row r="1593" spans="1:28" ht="25.05" customHeight="1" collapsed="1" x14ac:dyDescent="0.3">
      <c r="A1593" s="32">
        <v>228</v>
      </c>
      <c r="B1593" s="32" t="s">
        <v>229</v>
      </c>
      <c r="C1593" s="49">
        <f>SUM(C1594:C1598)</f>
        <v>0</v>
      </c>
      <c r="D1593" s="49">
        <f>SUM(D1594:D1598)</f>
        <v>16</v>
      </c>
      <c r="E1593" s="49">
        <f>SUM(E1594:E1598)</f>
        <v>0</v>
      </c>
      <c r="F1593" s="49">
        <f>SUM(F1594:F1598)</f>
        <v>0</v>
      </c>
      <c r="G1593" s="49">
        <f>SUM(G1594:G1598)</f>
        <v>0</v>
      </c>
      <c r="H1593" s="49">
        <f>SUM(H1594:H1598)</f>
        <v>0</v>
      </c>
      <c r="I1593" s="49">
        <f>SUM(I1594:I1598)</f>
        <v>0</v>
      </c>
      <c r="J1593" s="49">
        <f>SUM(J1594:J1598)</f>
        <v>0</v>
      </c>
      <c r="K1593" s="49">
        <f>SUM(K1594:K1598)</f>
        <v>0</v>
      </c>
      <c r="L1593" s="49">
        <f>SUM(L1594:L1598)</f>
        <v>88</v>
      </c>
      <c r="M1593" s="49">
        <f>SUM(M1594:M1598)</f>
        <v>0</v>
      </c>
      <c r="N1593" s="49">
        <f>SUM(N1594:N1598)</f>
        <v>0</v>
      </c>
      <c r="O1593" s="49">
        <f>SUM(O1594:O1598)</f>
        <v>0</v>
      </c>
      <c r="P1593" s="49">
        <f>SUM(P1594:P1598)</f>
        <v>0</v>
      </c>
      <c r="Q1593" s="49">
        <f>SUM(Q1594:Q1598)</f>
        <v>88</v>
      </c>
      <c r="R1593" s="49">
        <f>SUM(R1594:R1598)</f>
        <v>0</v>
      </c>
      <c r="S1593" s="49">
        <f>SUM(S1594:S1598)</f>
        <v>0</v>
      </c>
      <c r="T1593" s="49">
        <f>SUM(T1594:T1598)</f>
        <v>72</v>
      </c>
      <c r="U1593" s="49">
        <f>SUM(U1594:U1598)</f>
        <v>88</v>
      </c>
      <c r="V1593" s="49">
        <f>SUM(V1594:V1598)</f>
        <v>0</v>
      </c>
      <c r="W1593" s="49">
        <f>SUM(W1594:W1598)</f>
        <v>0</v>
      </c>
      <c r="X1593" s="49">
        <f>SUM(X1594:X1598)</f>
        <v>0</v>
      </c>
      <c r="Y1593" s="49">
        <f>SUM(Y1594:Y1598)</f>
        <v>8</v>
      </c>
      <c r="Z1593" s="49">
        <f>SUM(Z1594:Z1598)</f>
        <v>0</v>
      </c>
      <c r="AA1593" s="49">
        <f>SUM(AA1594:AA1598)</f>
        <v>0</v>
      </c>
      <c r="AB1593" s="49">
        <f>SUM(AB1594:AB1598)</f>
        <v>0</v>
      </c>
    </row>
    <row r="1594" spans="1:28" hidden="1" outlineLevel="1" x14ac:dyDescent="0.3">
      <c r="A1594" s="33" t="s">
        <v>246</v>
      </c>
      <c r="B1594" s="34" t="s">
        <v>274</v>
      </c>
      <c r="C1594" s="50">
        <f>SUMIFS(INDEX(Техника!$F$1:$ABM$500,C$2,0),Техника!$F$4:$ABM$4,"Часы",INDEX(Техника!$G$1:$ABN$500,C$2,0),$A$1593,INDEX(Техника!$H$1:$ABO$500,C$2,0),"М")</f>
        <v>0</v>
      </c>
      <c r="D1594" s="50">
        <f>SUMIFS(INDEX(Техника!$F$1:$ABM$500,D$2,0),Техника!$F$4:$ABM$4,"Часы",INDEX(Техника!$G$1:$ABN$500,D$2,0),$A$1593,INDEX(Техника!$H$1:$ABO$500,D$2,0),"М")</f>
        <v>0</v>
      </c>
      <c r="E1594" s="50">
        <f>SUMIFS(INDEX(Техника!$F$1:$ABM$500,E$2,0),Техника!$F$4:$ABM$4,"Часы",INDEX(Техника!$G$1:$ABN$500,E$2,0),$A$1593,INDEX(Техника!$H$1:$ABO$500,E$2,0),"М")</f>
        <v>0</v>
      </c>
      <c r="F1594" s="50">
        <f>SUMIFS(INDEX(Техника!$F$1:$ABM$500,F$2,0),Техника!$F$4:$ABM$4,"Часы",INDEX(Техника!$G$1:$ABN$500,F$2,0),$A$1593,INDEX(Техника!$H$1:$ABO$500,F$2,0),"М")</f>
        <v>0</v>
      </c>
      <c r="G1594" s="50">
        <f>SUMIFS(INDEX(Техника!$F$1:$ABM$500,G$2,0),Техника!$F$4:$ABM$4,"Часы",INDEX(Техника!$G$1:$ABN$500,G$2,0),$A$1593,INDEX(Техника!$H$1:$ABO$500,G$2,0),"М")</f>
        <v>0</v>
      </c>
      <c r="H1594" s="50">
        <f>SUMIFS(INDEX(Техника!$F$1:$ABM$500,H$2,0),Техника!$F$4:$ABM$4,"Часы",INDEX(Техника!$G$1:$ABN$500,H$2,0),$A$1593,INDEX(Техника!$H$1:$ABO$500,H$2,0),"М")</f>
        <v>0</v>
      </c>
      <c r="I1594" s="50">
        <f>SUMIFS(INDEX(Техника!$F$1:$ABM$500,I$2,0),Техника!$F$4:$ABM$4,"Часы",INDEX(Техника!$G$1:$ABN$500,I$2,0),$A$1593,INDEX(Техника!$H$1:$ABO$500,I$2,0),"М")</f>
        <v>0</v>
      </c>
      <c r="J1594" s="50">
        <f>SUMIFS(INDEX(Техника!$F$1:$ABM$500,J$2,0),Техника!$F$4:$ABM$4,"Часы",INDEX(Техника!$G$1:$ABN$500,J$2,0),$A$1593,INDEX(Техника!$H$1:$ABO$500,J$2,0),"М")</f>
        <v>0</v>
      </c>
      <c r="K1594" s="50">
        <f>SUMIFS(INDEX(Техника!$F$1:$ABM$500,K$2,0),Техника!$F$4:$ABM$4,"Часы",INDEX(Техника!$G$1:$ABN$500,K$2,0),$A$1593,INDEX(Техника!$H$1:$ABO$500,K$2,0),"М")</f>
        <v>0</v>
      </c>
      <c r="L1594" s="50">
        <f>SUMIFS(INDEX(Техника!$F$1:$ABM$500,L$2,0),Техника!$F$4:$ABM$4,"Часы",INDEX(Техника!$G$1:$ABN$500,L$2,0),$A$1593,INDEX(Техника!$H$1:$ABO$500,L$2,0),"М")</f>
        <v>0</v>
      </c>
      <c r="M1594" s="50">
        <f>SUMIFS(INDEX(Техника!$F$1:$ABM$500,M$2,0),Техника!$F$4:$ABM$4,"Часы",INDEX(Техника!$G$1:$ABN$500,M$2,0),$A$1593,INDEX(Техника!$H$1:$ABO$500,M$2,0),"М")</f>
        <v>0</v>
      </c>
      <c r="N1594" s="50">
        <f>SUMIFS(INDEX(Техника!$F$1:$ABM$500,N$2,0),Техника!$F$4:$ABM$4,"Часы",INDEX(Техника!$G$1:$ABN$500,N$2,0),$A$1593,INDEX(Техника!$H$1:$ABO$500,N$2,0),"М")</f>
        <v>0</v>
      </c>
      <c r="O1594" s="50">
        <f>SUMIFS(INDEX(Техника!$F$1:$ABM$500,O$2,0),Техника!$F$4:$ABM$4,"Часы",INDEX(Техника!$G$1:$ABN$500,O$2,0),$A$1593,INDEX(Техника!$H$1:$ABO$500,O$2,0),"М")</f>
        <v>0</v>
      </c>
      <c r="P1594" s="50">
        <f>SUMIFS(INDEX(Техника!$F$1:$ABM$500,P$2,0),Техника!$F$4:$ABM$4,"Часы",INDEX(Техника!$G$1:$ABN$500,P$2,0),$A$1593,INDEX(Техника!$H$1:$ABO$500,P$2,0),"М")</f>
        <v>0</v>
      </c>
      <c r="Q1594" s="50">
        <f>SUMIFS(INDEX(Техника!$F$1:$ABM$500,Q$2,0),Техника!$F$4:$ABM$4,"Часы",INDEX(Техника!$G$1:$ABN$500,Q$2,0),$A$1593,INDEX(Техника!$H$1:$ABO$500,Q$2,0),"М")</f>
        <v>0</v>
      </c>
      <c r="R1594" s="50">
        <f>SUMIFS(INDEX(Техника!$F$1:$ABM$500,R$2,0),Техника!$F$4:$ABM$4,"Часы",INDEX(Техника!$G$1:$ABN$500,R$2,0),$A$1593,INDEX(Техника!$H$1:$ABO$500,R$2,0),"М")</f>
        <v>0</v>
      </c>
      <c r="S1594" s="50">
        <f>SUMIFS(INDEX(Техника!$F$1:$ABM$500,S$2,0),Техника!$F$4:$ABM$4,"Часы",INDEX(Техника!$G$1:$ABN$500,S$2,0),$A$1593,INDEX(Техника!$H$1:$ABO$500,S$2,0),"М")</f>
        <v>0</v>
      </c>
      <c r="T1594" s="50">
        <f>SUMIFS(INDEX(Техника!$F$1:$ABM$500,T$2,0),Техника!$F$4:$ABM$4,"Часы",INDEX(Техника!$G$1:$ABN$500,T$2,0),$A$1593,INDEX(Техника!$H$1:$ABO$500,T$2,0),"М")</f>
        <v>0</v>
      </c>
      <c r="U1594" s="50">
        <f>SUMIFS(INDEX(Техника!$F$1:$ABM$500,U$2,0),Техника!$F$4:$ABM$4,"Часы",INDEX(Техника!$G$1:$ABN$500,U$2,0),$A$1593,INDEX(Техника!$H$1:$ABO$500,U$2,0),"М")</f>
        <v>0</v>
      </c>
      <c r="V1594" s="50">
        <f>SUMIFS(INDEX(Техника!$F$1:$ABM$500,V$2,0),Техника!$F$4:$ABM$4,"Часы",INDEX(Техника!$G$1:$ABN$500,V$2,0),$A$1593,INDEX(Техника!$H$1:$ABO$500,V$2,0),"М")</f>
        <v>0</v>
      </c>
      <c r="W1594" s="50">
        <f>SUMIFS(INDEX(Техника!$F$1:$ABM$500,W$2,0),Техника!$F$4:$ABM$4,"Часы",INDEX(Техника!$G$1:$ABN$500,W$2,0),$A$1593,INDEX(Техника!$H$1:$ABO$500,W$2,0),"М")</f>
        <v>0</v>
      </c>
      <c r="X1594" s="50">
        <f>SUMIFS(INDEX(Техника!$F$1:$ABM$500,X$2,0),Техника!$F$4:$ABM$4,"Часы",INDEX(Техника!$G$1:$ABN$500,X$2,0),$A$1593,INDEX(Техника!$H$1:$ABO$500,X$2,0),"М")</f>
        <v>0</v>
      </c>
      <c r="Y1594" s="50">
        <f>SUMIFS(INDEX(Техника!$F$1:$ABM$500,Y$2,0),Техника!$F$4:$ABM$4,"Часы",INDEX(Техника!$G$1:$ABN$500,Y$2,0),$A$1593,INDEX(Техника!$H$1:$ABO$500,Y$2,0),"М")</f>
        <v>0</v>
      </c>
      <c r="Z1594" s="50">
        <f>SUMIFS(INDEX(Техника!$F$1:$ABM$500,Z$2,0),Техника!$F$4:$ABM$4,"Часы",INDEX(Техника!$G$1:$ABN$500,Z$2,0),$A$1593,INDEX(Техника!$H$1:$ABO$500,Z$2,0),"М")</f>
        <v>0</v>
      </c>
      <c r="AA1594" s="50">
        <f>SUMIFS(INDEX(Техника!$F$1:$ABM$500,AA$2,0),Техника!$F$4:$ABM$4,"Часы",INDEX(Техника!$G$1:$ABN$500,AA$2,0),$A$1593,INDEX(Техника!$H$1:$ABO$500,AA$2,0),"М")</f>
        <v>0</v>
      </c>
      <c r="AB1594" s="50">
        <f>SUMIFS(INDEX(Техника!$F$1:$ABM$500,AB$2,0),Техника!$F$4:$ABM$4,"Часы",INDEX(Техника!$G$1:$ABN$500,AB$2,0),$A$1593,INDEX(Техника!$H$1:$ABO$500,AB$2,0),"М")</f>
        <v>0</v>
      </c>
    </row>
    <row r="1595" spans="1:28" hidden="1" outlineLevel="1" x14ac:dyDescent="0.3">
      <c r="A1595" s="33" t="s">
        <v>244</v>
      </c>
      <c r="B1595" s="34" t="s">
        <v>275</v>
      </c>
      <c r="C1595" s="50">
        <f>SUMIFS(INDEX(Техника!$F$1:$ABM$500,C$2,0),Техника!$F$4:$ABM$4,"Часы",INDEX(Техника!$G$1:$ABN$500,C$2,0),$A$1593,INDEX(Техника!$H$1:$ABO$500,C$2,0),"Д")</f>
        <v>0</v>
      </c>
      <c r="D1595" s="50">
        <f>SUMIFS(INDEX(Техника!$F$1:$ABM$500,D$2,0),Техника!$F$4:$ABM$4,"Часы",INDEX(Техника!$G$1:$ABN$500,D$2,0),$A$1593,INDEX(Техника!$H$1:$ABO$500,D$2,0),"Д")</f>
        <v>0</v>
      </c>
      <c r="E1595" s="50">
        <f>SUMIFS(INDEX(Техника!$F$1:$ABM$500,E$2,0),Техника!$F$4:$ABM$4,"Часы",INDEX(Техника!$G$1:$ABN$500,E$2,0),$A$1593,INDEX(Техника!$H$1:$ABO$500,E$2,0),"Д")</f>
        <v>0</v>
      </c>
      <c r="F1595" s="50">
        <f>SUMIFS(INDEX(Техника!$F$1:$ABM$500,F$2,0),Техника!$F$4:$ABM$4,"Часы",INDEX(Техника!$G$1:$ABN$500,F$2,0),$A$1593,INDEX(Техника!$H$1:$ABO$500,F$2,0),"Д")</f>
        <v>0</v>
      </c>
      <c r="G1595" s="50">
        <f>SUMIFS(INDEX(Техника!$F$1:$ABM$500,G$2,0),Техника!$F$4:$ABM$4,"Часы",INDEX(Техника!$G$1:$ABN$500,G$2,0),$A$1593,INDEX(Техника!$H$1:$ABO$500,G$2,0),"Д")</f>
        <v>0</v>
      </c>
      <c r="H1595" s="50">
        <f>SUMIFS(INDEX(Техника!$F$1:$ABM$500,H$2,0),Техника!$F$4:$ABM$4,"Часы",INDEX(Техника!$G$1:$ABN$500,H$2,0),$A$1593,INDEX(Техника!$H$1:$ABO$500,H$2,0),"Д")</f>
        <v>0</v>
      </c>
      <c r="I1595" s="50">
        <f>SUMIFS(INDEX(Техника!$F$1:$ABM$500,I$2,0),Техника!$F$4:$ABM$4,"Часы",INDEX(Техника!$G$1:$ABN$500,I$2,0),$A$1593,INDEX(Техника!$H$1:$ABO$500,I$2,0),"Д")</f>
        <v>0</v>
      </c>
      <c r="J1595" s="50">
        <f>SUMIFS(INDEX(Техника!$F$1:$ABM$500,J$2,0),Техника!$F$4:$ABM$4,"Часы",INDEX(Техника!$G$1:$ABN$500,J$2,0),$A$1593,INDEX(Техника!$H$1:$ABO$500,J$2,0),"Д")</f>
        <v>0</v>
      </c>
      <c r="K1595" s="50">
        <f>SUMIFS(INDEX(Техника!$F$1:$ABM$500,K$2,0),Техника!$F$4:$ABM$4,"Часы",INDEX(Техника!$G$1:$ABN$500,K$2,0),$A$1593,INDEX(Техника!$H$1:$ABO$500,K$2,0),"Д")</f>
        <v>0</v>
      </c>
      <c r="L1595" s="50">
        <f>SUMIFS(INDEX(Техника!$F$1:$ABM$500,L$2,0),Техника!$F$4:$ABM$4,"Часы",INDEX(Техника!$G$1:$ABN$500,L$2,0),$A$1593,INDEX(Техника!$H$1:$ABO$500,L$2,0),"Д")</f>
        <v>0</v>
      </c>
      <c r="M1595" s="50">
        <f>SUMIFS(INDEX(Техника!$F$1:$ABM$500,M$2,0),Техника!$F$4:$ABM$4,"Часы",INDEX(Техника!$G$1:$ABN$500,M$2,0),$A$1593,INDEX(Техника!$H$1:$ABO$500,M$2,0),"Д")</f>
        <v>0</v>
      </c>
      <c r="N1595" s="50">
        <f>SUMIFS(INDEX(Техника!$F$1:$ABM$500,N$2,0),Техника!$F$4:$ABM$4,"Часы",INDEX(Техника!$G$1:$ABN$500,N$2,0),$A$1593,INDEX(Техника!$H$1:$ABO$500,N$2,0),"Д")</f>
        <v>0</v>
      </c>
      <c r="O1595" s="50">
        <f>SUMIFS(INDEX(Техника!$F$1:$ABM$500,O$2,0),Техника!$F$4:$ABM$4,"Часы",INDEX(Техника!$G$1:$ABN$500,O$2,0),$A$1593,INDEX(Техника!$H$1:$ABO$500,O$2,0),"Д")</f>
        <v>0</v>
      </c>
      <c r="P1595" s="50">
        <f>SUMIFS(INDEX(Техника!$F$1:$ABM$500,P$2,0),Техника!$F$4:$ABM$4,"Часы",INDEX(Техника!$G$1:$ABN$500,P$2,0),$A$1593,INDEX(Техника!$H$1:$ABO$500,P$2,0),"Д")</f>
        <v>0</v>
      </c>
      <c r="Q1595" s="50">
        <f>SUMIFS(INDEX(Техника!$F$1:$ABM$500,Q$2,0),Техника!$F$4:$ABM$4,"Часы",INDEX(Техника!$G$1:$ABN$500,Q$2,0),$A$1593,INDEX(Техника!$H$1:$ABO$500,Q$2,0),"Д")</f>
        <v>0</v>
      </c>
      <c r="R1595" s="50">
        <f>SUMIFS(INDEX(Техника!$F$1:$ABM$500,R$2,0),Техника!$F$4:$ABM$4,"Часы",INDEX(Техника!$G$1:$ABN$500,R$2,0),$A$1593,INDEX(Техника!$H$1:$ABO$500,R$2,0),"Д")</f>
        <v>0</v>
      </c>
      <c r="S1595" s="50">
        <f>SUMIFS(INDEX(Техника!$F$1:$ABM$500,S$2,0),Техника!$F$4:$ABM$4,"Часы",INDEX(Техника!$G$1:$ABN$500,S$2,0),$A$1593,INDEX(Техника!$H$1:$ABO$500,S$2,0),"Д")</f>
        <v>0</v>
      </c>
      <c r="T1595" s="50">
        <f>SUMIFS(INDEX(Техника!$F$1:$ABM$500,T$2,0),Техника!$F$4:$ABM$4,"Часы",INDEX(Техника!$G$1:$ABN$500,T$2,0),$A$1593,INDEX(Техника!$H$1:$ABO$500,T$2,0),"Д")</f>
        <v>0</v>
      </c>
      <c r="U1595" s="50">
        <f>SUMIFS(INDEX(Техника!$F$1:$ABM$500,U$2,0),Техника!$F$4:$ABM$4,"Часы",INDEX(Техника!$G$1:$ABN$500,U$2,0),$A$1593,INDEX(Техника!$H$1:$ABO$500,U$2,0),"Д")</f>
        <v>0</v>
      </c>
      <c r="V1595" s="50">
        <f>SUMIFS(INDEX(Техника!$F$1:$ABM$500,V$2,0),Техника!$F$4:$ABM$4,"Часы",INDEX(Техника!$G$1:$ABN$500,V$2,0),$A$1593,INDEX(Техника!$H$1:$ABO$500,V$2,0),"Д")</f>
        <v>0</v>
      </c>
      <c r="W1595" s="50">
        <f>SUMIFS(INDEX(Техника!$F$1:$ABM$500,W$2,0),Техника!$F$4:$ABM$4,"Часы",INDEX(Техника!$G$1:$ABN$500,W$2,0),$A$1593,INDEX(Техника!$H$1:$ABO$500,W$2,0),"Д")</f>
        <v>0</v>
      </c>
      <c r="X1595" s="50">
        <f>SUMIFS(INDEX(Техника!$F$1:$ABM$500,X$2,0),Техника!$F$4:$ABM$4,"Часы",INDEX(Техника!$G$1:$ABN$500,X$2,0),$A$1593,INDEX(Техника!$H$1:$ABO$500,X$2,0),"Д")</f>
        <v>0</v>
      </c>
      <c r="Y1595" s="50">
        <f>SUMIFS(INDEX(Техника!$F$1:$ABM$500,Y$2,0),Техника!$F$4:$ABM$4,"Часы",INDEX(Техника!$G$1:$ABN$500,Y$2,0),$A$1593,INDEX(Техника!$H$1:$ABO$500,Y$2,0),"Д")</f>
        <v>0</v>
      </c>
      <c r="Z1595" s="50">
        <f>SUMIFS(INDEX(Техника!$F$1:$ABM$500,Z$2,0),Техника!$F$4:$ABM$4,"Часы",INDEX(Техника!$G$1:$ABN$500,Z$2,0),$A$1593,INDEX(Техника!$H$1:$ABO$500,Z$2,0),"Д")</f>
        <v>0</v>
      </c>
      <c r="AA1595" s="50">
        <f>SUMIFS(INDEX(Техника!$F$1:$ABM$500,AA$2,0),Техника!$F$4:$ABM$4,"Часы",INDEX(Техника!$G$1:$ABN$500,AA$2,0),$A$1593,INDEX(Техника!$H$1:$ABO$500,AA$2,0),"Д")</f>
        <v>0</v>
      </c>
      <c r="AB1595" s="50">
        <f>SUMIFS(INDEX(Техника!$F$1:$ABM$500,AB$2,0),Техника!$F$4:$ABM$4,"Часы",INDEX(Техника!$G$1:$ABN$500,AB$2,0),$A$1593,INDEX(Техника!$H$1:$ABO$500,AB$2,0),"Д")</f>
        <v>0</v>
      </c>
    </row>
    <row r="1596" spans="1:28" hidden="1" outlineLevel="1" x14ac:dyDescent="0.3">
      <c r="A1596" s="33" t="s">
        <v>276</v>
      </c>
      <c r="B1596" s="34" t="s">
        <v>277</v>
      </c>
      <c r="C1596" s="50">
        <f>SUMIFS(INDEX(Техника!$F$1:$ABM$500,C$2,0),Техника!$F$4:$ABM$4,"Часы",INDEX(Техника!$G$1:$ABN$500,C$2,0),$A$1593,INDEX(Техника!$H$1:$ABO$500,C$2,0),"П")</f>
        <v>0</v>
      </c>
      <c r="D1596" s="50">
        <f>SUMIFS(INDEX(Техника!$F$1:$ABM$500,D$2,0),Техника!$F$4:$ABM$4,"Часы",INDEX(Техника!$G$1:$ABN$500,D$2,0),$A$1593,INDEX(Техника!$H$1:$ABO$500,D$2,0),"П")</f>
        <v>16</v>
      </c>
      <c r="E1596" s="50">
        <f>SUMIFS(INDEX(Техника!$F$1:$ABM$500,E$2,0),Техника!$F$4:$ABM$4,"Часы",INDEX(Техника!$G$1:$ABN$500,E$2,0),$A$1593,INDEX(Техника!$H$1:$ABO$500,E$2,0),"П")</f>
        <v>0</v>
      </c>
      <c r="F1596" s="50">
        <f>SUMIFS(INDEX(Техника!$F$1:$ABM$500,F$2,0),Техника!$F$4:$ABM$4,"Часы",INDEX(Техника!$G$1:$ABN$500,F$2,0),$A$1593,INDEX(Техника!$H$1:$ABO$500,F$2,0),"П")</f>
        <v>0</v>
      </c>
      <c r="G1596" s="50">
        <f>SUMIFS(INDEX(Техника!$F$1:$ABM$500,G$2,0),Техника!$F$4:$ABM$4,"Часы",INDEX(Техника!$G$1:$ABN$500,G$2,0),$A$1593,INDEX(Техника!$H$1:$ABO$500,G$2,0),"П")</f>
        <v>0</v>
      </c>
      <c r="H1596" s="50">
        <f>SUMIFS(INDEX(Техника!$F$1:$ABM$500,H$2,0),Техника!$F$4:$ABM$4,"Часы",INDEX(Техника!$G$1:$ABN$500,H$2,0),$A$1593,INDEX(Техника!$H$1:$ABO$500,H$2,0),"П")</f>
        <v>0</v>
      </c>
      <c r="I1596" s="50">
        <f>SUMIFS(INDEX(Техника!$F$1:$ABM$500,I$2,0),Техника!$F$4:$ABM$4,"Часы",INDEX(Техника!$G$1:$ABN$500,I$2,0),$A$1593,INDEX(Техника!$H$1:$ABO$500,I$2,0),"П")</f>
        <v>0</v>
      </c>
      <c r="J1596" s="50">
        <f>SUMIFS(INDEX(Техника!$F$1:$ABM$500,J$2,0),Техника!$F$4:$ABM$4,"Часы",INDEX(Техника!$G$1:$ABN$500,J$2,0),$A$1593,INDEX(Техника!$H$1:$ABO$500,J$2,0),"П")</f>
        <v>0</v>
      </c>
      <c r="K1596" s="50">
        <f>SUMIFS(INDEX(Техника!$F$1:$ABM$500,K$2,0),Техника!$F$4:$ABM$4,"Часы",INDEX(Техника!$G$1:$ABN$500,K$2,0),$A$1593,INDEX(Техника!$H$1:$ABO$500,K$2,0),"П")</f>
        <v>0</v>
      </c>
      <c r="L1596" s="50">
        <f>SUMIFS(INDEX(Техника!$F$1:$ABM$500,L$2,0),Техника!$F$4:$ABM$4,"Часы",INDEX(Техника!$G$1:$ABN$500,L$2,0),$A$1593,INDEX(Техника!$H$1:$ABO$500,L$2,0),"П")</f>
        <v>88</v>
      </c>
      <c r="M1596" s="50">
        <f>SUMIFS(INDEX(Техника!$F$1:$ABM$500,M$2,0),Техника!$F$4:$ABM$4,"Часы",INDEX(Техника!$G$1:$ABN$500,M$2,0),$A$1593,INDEX(Техника!$H$1:$ABO$500,M$2,0),"П")</f>
        <v>0</v>
      </c>
      <c r="N1596" s="50">
        <f>SUMIFS(INDEX(Техника!$F$1:$ABM$500,N$2,0),Техника!$F$4:$ABM$4,"Часы",INDEX(Техника!$G$1:$ABN$500,N$2,0),$A$1593,INDEX(Техника!$H$1:$ABO$500,N$2,0),"П")</f>
        <v>0</v>
      </c>
      <c r="O1596" s="50">
        <f>SUMIFS(INDEX(Техника!$F$1:$ABM$500,O$2,0),Техника!$F$4:$ABM$4,"Часы",INDEX(Техника!$G$1:$ABN$500,O$2,0),$A$1593,INDEX(Техника!$H$1:$ABO$500,O$2,0),"П")</f>
        <v>0</v>
      </c>
      <c r="P1596" s="50">
        <f>SUMIFS(INDEX(Техника!$F$1:$ABM$500,P$2,0),Техника!$F$4:$ABM$4,"Часы",INDEX(Техника!$G$1:$ABN$500,P$2,0),$A$1593,INDEX(Техника!$H$1:$ABO$500,P$2,0),"П")</f>
        <v>0</v>
      </c>
      <c r="Q1596" s="50">
        <f>SUMIFS(INDEX(Техника!$F$1:$ABM$500,Q$2,0),Техника!$F$4:$ABM$4,"Часы",INDEX(Техника!$G$1:$ABN$500,Q$2,0),$A$1593,INDEX(Техника!$H$1:$ABO$500,Q$2,0),"П")</f>
        <v>88</v>
      </c>
      <c r="R1596" s="50">
        <f>SUMIFS(INDEX(Техника!$F$1:$ABM$500,R$2,0),Техника!$F$4:$ABM$4,"Часы",INDEX(Техника!$G$1:$ABN$500,R$2,0),$A$1593,INDEX(Техника!$H$1:$ABO$500,R$2,0),"П")</f>
        <v>0</v>
      </c>
      <c r="S1596" s="50">
        <f>SUMIFS(INDEX(Техника!$F$1:$ABM$500,S$2,0),Техника!$F$4:$ABM$4,"Часы",INDEX(Техника!$G$1:$ABN$500,S$2,0),$A$1593,INDEX(Техника!$H$1:$ABO$500,S$2,0),"П")</f>
        <v>0</v>
      </c>
      <c r="T1596" s="50">
        <f>SUMIFS(INDEX(Техника!$F$1:$ABM$500,T$2,0),Техника!$F$4:$ABM$4,"Часы",INDEX(Техника!$G$1:$ABN$500,T$2,0),$A$1593,INDEX(Техника!$H$1:$ABO$500,T$2,0),"П")</f>
        <v>72</v>
      </c>
      <c r="U1596" s="50">
        <f>SUMIFS(INDEX(Техника!$F$1:$ABM$500,U$2,0),Техника!$F$4:$ABM$4,"Часы",INDEX(Техника!$G$1:$ABN$500,U$2,0),$A$1593,INDEX(Техника!$H$1:$ABO$500,U$2,0),"П")</f>
        <v>88</v>
      </c>
      <c r="V1596" s="50">
        <f>SUMIFS(INDEX(Техника!$F$1:$ABM$500,V$2,0),Техника!$F$4:$ABM$4,"Часы",INDEX(Техника!$G$1:$ABN$500,V$2,0),$A$1593,INDEX(Техника!$H$1:$ABO$500,V$2,0),"П")</f>
        <v>0</v>
      </c>
      <c r="W1596" s="50">
        <f>SUMIFS(INDEX(Техника!$F$1:$ABM$500,W$2,0),Техника!$F$4:$ABM$4,"Часы",INDEX(Техника!$G$1:$ABN$500,W$2,0),$A$1593,INDEX(Техника!$H$1:$ABO$500,W$2,0),"П")</f>
        <v>0</v>
      </c>
      <c r="X1596" s="50">
        <f>SUMIFS(INDEX(Техника!$F$1:$ABM$500,X$2,0),Техника!$F$4:$ABM$4,"Часы",INDEX(Техника!$G$1:$ABN$500,X$2,0),$A$1593,INDEX(Техника!$H$1:$ABO$500,X$2,0),"П")</f>
        <v>0</v>
      </c>
      <c r="Y1596" s="50">
        <f>SUMIFS(INDEX(Техника!$F$1:$ABM$500,Y$2,0),Техника!$F$4:$ABM$4,"Часы",INDEX(Техника!$G$1:$ABN$500,Y$2,0),$A$1593,INDEX(Техника!$H$1:$ABO$500,Y$2,0),"П")</f>
        <v>8</v>
      </c>
      <c r="Z1596" s="50">
        <f>SUMIFS(INDEX(Техника!$F$1:$ABM$500,Z$2,0),Техника!$F$4:$ABM$4,"Часы",INDEX(Техника!$G$1:$ABN$500,Z$2,0),$A$1593,INDEX(Техника!$H$1:$ABO$500,Z$2,0),"П")</f>
        <v>0</v>
      </c>
      <c r="AA1596" s="50">
        <f>SUMIFS(INDEX(Техника!$F$1:$ABM$500,AA$2,0),Техника!$F$4:$ABM$4,"Часы",INDEX(Техника!$G$1:$ABN$500,AA$2,0),$A$1593,INDEX(Техника!$H$1:$ABO$500,AA$2,0),"П")</f>
        <v>0</v>
      </c>
      <c r="AB1596" s="50">
        <f>SUMIFS(INDEX(Техника!$F$1:$ABM$500,AB$2,0),Техника!$F$4:$ABM$4,"Часы",INDEX(Техника!$G$1:$ABN$500,AB$2,0),$A$1593,INDEX(Техника!$H$1:$ABO$500,AB$2,0),"П")</f>
        <v>0</v>
      </c>
    </row>
    <row r="1597" spans="1:28" hidden="1" outlineLevel="1" x14ac:dyDescent="0.3">
      <c r="A1597" s="33" t="s">
        <v>243</v>
      </c>
      <c r="B1597" s="34" t="s">
        <v>278</v>
      </c>
      <c r="C1597" s="50">
        <f>SUMIFS(INDEX(Техника!$F$1:$ABM$500,C$2,0),Техника!$F$4:$ABM$4,"Часы",INDEX(Техника!$G$1:$ABN$500,C$2,0),$A$1593,INDEX(Техника!$H$1:$ABO$500,C$2,0),"Л")</f>
        <v>0</v>
      </c>
      <c r="D1597" s="50">
        <f>SUMIFS(INDEX(Техника!$F$1:$ABM$500,D$2,0),Техника!$F$4:$ABM$4,"Часы",INDEX(Техника!$G$1:$ABN$500,D$2,0),$A$1593,INDEX(Техника!$H$1:$ABO$500,D$2,0),"Л")</f>
        <v>0</v>
      </c>
      <c r="E1597" s="50">
        <f>SUMIFS(INDEX(Техника!$F$1:$ABM$500,E$2,0),Техника!$F$4:$ABM$4,"Часы",INDEX(Техника!$G$1:$ABN$500,E$2,0),$A$1593,INDEX(Техника!$H$1:$ABO$500,E$2,0),"Л")</f>
        <v>0</v>
      </c>
      <c r="F1597" s="50">
        <f>SUMIFS(INDEX(Техника!$F$1:$ABM$500,F$2,0),Техника!$F$4:$ABM$4,"Часы",INDEX(Техника!$G$1:$ABN$500,F$2,0),$A$1593,INDEX(Техника!$H$1:$ABO$500,F$2,0),"Л")</f>
        <v>0</v>
      </c>
      <c r="G1597" s="50">
        <f>SUMIFS(INDEX(Техника!$F$1:$ABM$500,G$2,0),Техника!$F$4:$ABM$4,"Часы",INDEX(Техника!$G$1:$ABN$500,G$2,0),$A$1593,INDEX(Техника!$H$1:$ABO$500,G$2,0),"Л")</f>
        <v>0</v>
      </c>
      <c r="H1597" s="50">
        <f>SUMIFS(INDEX(Техника!$F$1:$ABM$500,H$2,0),Техника!$F$4:$ABM$4,"Часы",INDEX(Техника!$G$1:$ABN$500,H$2,0),$A$1593,INDEX(Техника!$H$1:$ABO$500,H$2,0),"Л")</f>
        <v>0</v>
      </c>
      <c r="I1597" s="50">
        <f>SUMIFS(INDEX(Техника!$F$1:$ABM$500,I$2,0),Техника!$F$4:$ABM$4,"Часы",INDEX(Техника!$G$1:$ABN$500,I$2,0),$A$1593,INDEX(Техника!$H$1:$ABO$500,I$2,0),"Л")</f>
        <v>0</v>
      </c>
      <c r="J1597" s="50">
        <f>SUMIFS(INDEX(Техника!$F$1:$ABM$500,J$2,0),Техника!$F$4:$ABM$4,"Часы",INDEX(Техника!$G$1:$ABN$500,J$2,0),$A$1593,INDEX(Техника!$H$1:$ABO$500,J$2,0),"Л")</f>
        <v>0</v>
      </c>
      <c r="K1597" s="50">
        <f>SUMIFS(INDEX(Техника!$F$1:$ABM$500,K$2,0),Техника!$F$4:$ABM$4,"Часы",INDEX(Техника!$G$1:$ABN$500,K$2,0),$A$1593,INDEX(Техника!$H$1:$ABO$500,K$2,0),"Л")</f>
        <v>0</v>
      </c>
      <c r="L1597" s="50">
        <f>SUMIFS(INDEX(Техника!$F$1:$ABM$500,L$2,0),Техника!$F$4:$ABM$4,"Часы",INDEX(Техника!$G$1:$ABN$500,L$2,0),$A$1593,INDEX(Техника!$H$1:$ABO$500,L$2,0),"Л")</f>
        <v>0</v>
      </c>
      <c r="M1597" s="50">
        <f>SUMIFS(INDEX(Техника!$F$1:$ABM$500,M$2,0),Техника!$F$4:$ABM$4,"Часы",INDEX(Техника!$G$1:$ABN$500,M$2,0),$A$1593,INDEX(Техника!$H$1:$ABO$500,M$2,0),"Л")</f>
        <v>0</v>
      </c>
      <c r="N1597" s="50">
        <f>SUMIFS(INDEX(Техника!$F$1:$ABM$500,N$2,0),Техника!$F$4:$ABM$4,"Часы",INDEX(Техника!$G$1:$ABN$500,N$2,0),$A$1593,INDEX(Техника!$H$1:$ABO$500,N$2,0),"Л")</f>
        <v>0</v>
      </c>
      <c r="O1597" s="50">
        <f>SUMIFS(INDEX(Техника!$F$1:$ABM$500,O$2,0),Техника!$F$4:$ABM$4,"Часы",INDEX(Техника!$G$1:$ABN$500,O$2,0),$A$1593,INDEX(Техника!$H$1:$ABO$500,O$2,0),"Л")</f>
        <v>0</v>
      </c>
      <c r="P1597" s="50">
        <f>SUMIFS(INDEX(Техника!$F$1:$ABM$500,P$2,0),Техника!$F$4:$ABM$4,"Часы",INDEX(Техника!$G$1:$ABN$500,P$2,0),$A$1593,INDEX(Техника!$H$1:$ABO$500,P$2,0),"Л")</f>
        <v>0</v>
      </c>
      <c r="Q1597" s="50">
        <f>SUMIFS(INDEX(Техника!$F$1:$ABM$500,Q$2,0),Техника!$F$4:$ABM$4,"Часы",INDEX(Техника!$G$1:$ABN$500,Q$2,0),$A$1593,INDEX(Техника!$H$1:$ABO$500,Q$2,0),"Л")</f>
        <v>0</v>
      </c>
      <c r="R1597" s="50">
        <f>SUMIFS(INDEX(Техника!$F$1:$ABM$500,R$2,0),Техника!$F$4:$ABM$4,"Часы",INDEX(Техника!$G$1:$ABN$500,R$2,0),$A$1593,INDEX(Техника!$H$1:$ABO$500,R$2,0),"Л")</f>
        <v>0</v>
      </c>
      <c r="S1597" s="50">
        <f>SUMIFS(INDEX(Техника!$F$1:$ABM$500,S$2,0),Техника!$F$4:$ABM$4,"Часы",INDEX(Техника!$G$1:$ABN$500,S$2,0),$A$1593,INDEX(Техника!$H$1:$ABO$500,S$2,0),"Л")</f>
        <v>0</v>
      </c>
      <c r="T1597" s="50">
        <f>SUMIFS(INDEX(Техника!$F$1:$ABM$500,T$2,0),Техника!$F$4:$ABM$4,"Часы",INDEX(Техника!$G$1:$ABN$500,T$2,0),$A$1593,INDEX(Техника!$H$1:$ABO$500,T$2,0),"Л")</f>
        <v>0</v>
      </c>
      <c r="U1597" s="50">
        <f>SUMIFS(INDEX(Техника!$F$1:$ABM$500,U$2,0),Техника!$F$4:$ABM$4,"Часы",INDEX(Техника!$G$1:$ABN$500,U$2,0),$A$1593,INDEX(Техника!$H$1:$ABO$500,U$2,0),"Л")</f>
        <v>0</v>
      </c>
      <c r="V1597" s="50">
        <f>SUMIFS(INDEX(Техника!$F$1:$ABM$500,V$2,0),Техника!$F$4:$ABM$4,"Часы",INDEX(Техника!$G$1:$ABN$500,V$2,0),$A$1593,INDEX(Техника!$H$1:$ABO$500,V$2,0),"Л")</f>
        <v>0</v>
      </c>
      <c r="W1597" s="50">
        <f>SUMIFS(INDEX(Техника!$F$1:$ABM$500,W$2,0),Техника!$F$4:$ABM$4,"Часы",INDEX(Техника!$G$1:$ABN$500,W$2,0),$A$1593,INDEX(Техника!$H$1:$ABO$500,W$2,0),"Л")</f>
        <v>0</v>
      </c>
      <c r="X1597" s="50">
        <f>SUMIFS(INDEX(Техника!$F$1:$ABM$500,X$2,0),Техника!$F$4:$ABM$4,"Часы",INDEX(Техника!$G$1:$ABN$500,X$2,0),$A$1593,INDEX(Техника!$H$1:$ABO$500,X$2,0),"Л")</f>
        <v>0</v>
      </c>
      <c r="Y1597" s="50">
        <f>SUMIFS(INDEX(Техника!$F$1:$ABM$500,Y$2,0),Техника!$F$4:$ABM$4,"Часы",INDEX(Техника!$G$1:$ABN$500,Y$2,0),$A$1593,INDEX(Техника!$H$1:$ABO$500,Y$2,0),"Л")</f>
        <v>0</v>
      </c>
      <c r="Z1597" s="50">
        <f>SUMIFS(INDEX(Техника!$F$1:$ABM$500,Z$2,0),Техника!$F$4:$ABM$4,"Часы",INDEX(Техника!$G$1:$ABN$500,Z$2,0),$A$1593,INDEX(Техника!$H$1:$ABO$500,Z$2,0),"Л")</f>
        <v>0</v>
      </c>
      <c r="AA1597" s="50">
        <f>SUMIFS(INDEX(Техника!$F$1:$ABM$500,AA$2,0),Техника!$F$4:$ABM$4,"Часы",INDEX(Техника!$G$1:$ABN$500,AA$2,0),$A$1593,INDEX(Техника!$H$1:$ABO$500,AA$2,0),"Л")</f>
        <v>0</v>
      </c>
      <c r="AB1597" s="50">
        <f>SUMIFS(INDEX(Техника!$F$1:$ABM$500,AB$2,0),Техника!$F$4:$ABM$4,"Часы",INDEX(Техника!$G$1:$ABN$500,AB$2,0),$A$1593,INDEX(Техника!$H$1:$ABO$500,AB$2,0),"Л")</f>
        <v>0</v>
      </c>
    </row>
    <row r="1598" spans="1:28" hidden="1" outlineLevel="1" x14ac:dyDescent="0.3">
      <c r="A1598" s="33" t="s">
        <v>245</v>
      </c>
      <c r="B1598" s="34" t="s">
        <v>279</v>
      </c>
      <c r="C1598" s="50">
        <f>SUMIFS(INDEX(Техника!$F$1:$ABM$500,C$2,0),Техника!$F$4:$ABM$4,"Часы",INDEX(Техника!$G$1:$ABN$500,C$2,0),$A$1593,INDEX(Техника!$H$1:$ABO$500,C$2,0),"З")</f>
        <v>0</v>
      </c>
      <c r="D1598" s="50">
        <f>SUMIFS(INDEX(Техника!$F$1:$ABM$500,D$2,0),Техника!$F$4:$ABM$4,"Часы",INDEX(Техника!$G$1:$ABN$500,D$2,0),$A$1593,INDEX(Техника!$H$1:$ABO$500,D$2,0),"З")</f>
        <v>0</v>
      </c>
      <c r="E1598" s="50">
        <f>SUMIFS(INDEX(Техника!$F$1:$ABM$500,E$2,0),Техника!$F$4:$ABM$4,"Часы",INDEX(Техника!$G$1:$ABN$500,E$2,0),$A$1593,INDEX(Техника!$H$1:$ABO$500,E$2,0),"З")</f>
        <v>0</v>
      </c>
      <c r="F1598" s="50">
        <f>SUMIFS(INDEX(Техника!$F$1:$ABM$500,F$2,0),Техника!$F$4:$ABM$4,"Часы",INDEX(Техника!$G$1:$ABN$500,F$2,0),$A$1593,INDEX(Техника!$H$1:$ABO$500,F$2,0),"З")</f>
        <v>0</v>
      </c>
      <c r="G1598" s="50">
        <f>SUMIFS(INDEX(Техника!$F$1:$ABM$500,G$2,0),Техника!$F$4:$ABM$4,"Часы",INDEX(Техника!$G$1:$ABN$500,G$2,0),$A$1593,INDEX(Техника!$H$1:$ABO$500,G$2,0),"З")</f>
        <v>0</v>
      </c>
      <c r="H1598" s="50">
        <f>SUMIFS(INDEX(Техника!$F$1:$ABM$500,H$2,0),Техника!$F$4:$ABM$4,"Часы",INDEX(Техника!$G$1:$ABN$500,H$2,0),$A$1593,INDEX(Техника!$H$1:$ABO$500,H$2,0),"З")</f>
        <v>0</v>
      </c>
      <c r="I1598" s="50">
        <f>SUMIFS(INDEX(Техника!$F$1:$ABM$500,I$2,0),Техника!$F$4:$ABM$4,"Часы",INDEX(Техника!$G$1:$ABN$500,I$2,0),$A$1593,INDEX(Техника!$H$1:$ABO$500,I$2,0),"З")</f>
        <v>0</v>
      </c>
      <c r="J1598" s="50">
        <f>SUMIFS(INDEX(Техника!$F$1:$ABM$500,J$2,0),Техника!$F$4:$ABM$4,"Часы",INDEX(Техника!$G$1:$ABN$500,J$2,0),$A$1593,INDEX(Техника!$H$1:$ABO$500,J$2,0),"З")</f>
        <v>0</v>
      </c>
      <c r="K1598" s="50">
        <f>SUMIFS(INDEX(Техника!$F$1:$ABM$500,K$2,0),Техника!$F$4:$ABM$4,"Часы",INDEX(Техника!$G$1:$ABN$500,K$2,0),$A$1593,INDEX(Техника!$H$1:$ABO$500,K$2,0),"З")</f>
        <v>0</v>
      </c>
      <c r="L1598" s="50">
        <f>SUMIFS(INDEX(Техника!$F$1:$ABM$500,L$2,0),Техника!$F$4:$ABM$4,"Часы",INDEX(Техника!$G$1:$ABN$500,L$2,0),$A$1593,INDEX(Техника!$H$1:$ABO$500,L$2,0),"З")</f>
        <v>0</v>
      </c>
      <c r="M1598" s="50">
        <f>SUMIFS(INDEX(Техника!$F$1:$ABM$500,M$2,0),Техника!$F$4:$ABM$4,"Часы",INDEX(Техника!$G$1:$ABN$500,M$2,0),$A$1593,INDEX(Техника!$H$1:$ABO$500,M$2,0),"З")</f>
        <v>0</v>
      </c>
      <c r="N1598" s="50">
        <f>SUMIFS(INDEX(Техника!$F$1:$ABM$500,N$2,0),Техника!$F$4:$ABM$4,"Часы",INDEX(Техника!$G$1:$ABN$500,N$2,0),$A$1593,INDEX(Техника!$H$1:$ABO$500,N$2,0),"З")</f>
        <v>0</v>
      </c>
      <c r="O1598" s="50">
        <f>SUMIFS(INDEX(Техника!$F$1:$ABM$500,O$2,0),Техника!$F$4:$ABM$4,"Часы",INDEX(Техника!$G$1:$ABN$500,O$2,0),$A$1593,INDEX(Техника!$H$1:$ABO$500,O$2,0),"З")</f>
        <v>0</v>
      </c>
      <c r="P1598" s="50">
        <f>SUMIFS(INDEX(Техника!$F$1:$ABM$500,P$2,0),Техника!$F$4:$ABM$4,"Часы",INDEX(Техника!$G$1:$ABN$500,P$2,0),$A$1593,INDEX(Техника!$H$1:$ABO$500,P$2,0),"З")</f>
        <v>0</v>
      </c>
      <c r="Q1598" s="50">
        <f>SUMIFS(INDEX(Техника!$F$1:$ABM$500,Q$2,0),Техника!$F$4:$ABM$4,"Часы",INDEX(Техника!$G$1:$ABN$500,Q$2,0),$A$1593,INDEX(Техника!$H$1:$ABO$500,Q$2,0),"З")</f>
        <v>0</v>
      </c>
      <c r="R1598" s="50">
        <f>SUMIFS(INDEX(Техника!$F$1:$ABM$500,R$2,0),Техника!$F$4:$ABM$4,"Часы",INDEX(Техника!$G$1:$ABN$500,R$2,0),$A$1593,INDEX(Техника!$H$1:$ABO$500,R$2,0),"З")</f>
        <v>0</v>
      </c>
      <c r="S1598" s="50">
        <f>SUMIFS(INDEX(Техника!$F$1:$ABM$500,S$2,0),Техника!$F$4:$ABM$4,"Часы",INDEX(Техника!$G$1:$ABN$500,S$2,0),$A$1593,INDEX(Техника!$H$1:$ABO$500,S$2,0),"З")</f>
        <v>0</v>
      </c>
      <c r="T1598" s="50">
        <f>SUMIFS(INDEX(Техника!$F$1:$ABM$500,T$2,0),Техника!$F$4:$ABM$4,"Часы",INDEX(Техника!$G$1:$ABN$500,T$2,0),$A$1593,INDEX(Техника!$H$1:$ABO$500,T$2,0),"З")</f>
        <v>0</v>
      </c>
      <c r="U1598" s="50">
        <f>SUMIFS(INDEX(Техника!$F$1:$ABM$500,U$2,0),Техника!$F$4:$ABM$4,"Часы",INDEX(Техника!$G$1:$ABN$500,U$2,0),$A$1593,INDEX(Техника!$H$1:$ABO$500,U$2,0),"З")</f>
        <v>0</v>
      </c>
      <c r="V1598" s="50">
        <f>SUMIFS(INDEX(Техника!$F$1:$ABM$500,V$2,0),Техника!$F$4:$ABM$4,"Часы",INDEX(Техника!$G$1:$ABN$500,V$2,0),$A$1593,INDEX(Техника!$H$1:$ABO$500,V$2,0),"З")</f>
        <v>0</v>
      </c>
      <c r="W1598" s="50">
        <f>SUMIFS(INDEX(Техника!$F$1:$ABM$500,W$2,0),Техника!$F$4:$ABM$4,"Часы",INDEX(Техника!$G$1:$ABN$500,W$2,0),$A$1593,INDEX(Техника!$H$1:$ABO$500,W$2,0),"З")</f>
        <v>0</v>
      </c>
      <c r="X1598" s="50">
        <f>SUMIFS(INDEX(Техника!$F$1:$ABM$500,X$2,0),Техника!$F$4:$ABM$4,"Часы",INDEX(Техника!$G$1:$ABN$500,X$2,0),$A$1593,INDEX(Техника!$H$1:$ABO$500,X$2,0),"З")</f>
        <v>0</v>
      </c>
      <c r="Y1598" s="50">
        <f>SUMIFS(INDEX(Техника!$F$1:$ABM$500,Y$2,0),Техника!$F$4:$ABM$4,"Часы",INDEX(Техника!$G$1:$ABN$500,Y$2,0),$A$1593,INDEX(Техника!$H$1:$ABO$500,Y$2,0),"З")</f>
        <v>0</v>
      </c>
      <c r="Z1598" s="50">
        <f>SUMIFS(INDEX(Техника!$F$1:$ABM$500,Z$2,0),Техника!$F$4:$ABM$4,"Часы",INDEX(Техника!$G$1:$ABN$500,Z$2,0),$A$1593,INDEX(Техника!$H$1:$ABO$500,Z$2,0),"З")</f>
        <v>0</v>
      </c>
      <c r="AA1598" s="50">
        <f>SUMIFS(INDEX(Техника!$F$1:$ABM$500,AA$2,0),Техника!$F$4:$ABM$4,"Часы",INDEX(Техника!$G$1:$ABN$500,AA$2,0),$A$1593,INDEX(Техника!$H$1:$ABO$500,AA$2,0),"З")</f>
        <v>0</v>
      </c>
      <c r="AB1598" s="50">
        <f>SUMIFS(INDEX(Техника!$F$1:$ABM$500,AB$2,0),Техника!$F$4:$ABM$4,"Часы",INDEX(Техника!$G$1:$ABN$500,AB$2,0),$A$1593,INDEX(Техника!$H$1:$ABO$500,AB$2,0),"З")</f>
        <v>0</v>
      </c>
    </row>
    <row r="1599" spans="1:28" ht="7.95" customHeight="1" x14ac:dyDescent="0.3">
      <c r="A1599" s="38"/>
      <c r="B1599" s="39"/>
      <c r="C1599" s="51"/>
      <c r="D1599" s="51"/>
      <c r="E1599" s="51"/>
      <c r="F1599" s="51"/>
      <c r="G1599" s="51"/>
      <c r="H1599" s="51"/>
      <c r="I1599" s="51"/>
      <c r="J1599" s="51"/>
      <c r="K1599" s="51"/>
      <c r="L1599" s="51"/>
      <c r="M1599" s="51"/>
      <c r="N1599" s="51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  <c r="AA1599" s="51"/>
      <c r="AB1599" s="51"/>
    </row>
    <row r="1600" spans="1:28" ht="25.05" customHeight="1" collapsed="1" x14ac:dyDescent="0.3">
      <c r="A1600" s="32">
        <v>229</v>
      </c>
      <c r="B1600" s="32" t="s">
        <v>230</v>
      </c>
      <c r="C1600" s="49">
        <f>SUM(C1601:C1605)</f>
        <v>0</v>
      </c>
      <c r="D1600" s="49">
        <f>SUM(D1601:D1605)</f>
        <v>0</v>
      </c>
      <c r="E1600" s="49">
        <f>SUM(E1601:E1605)</f>
        <v>0</v>
      </c>
      <c r="F1600" s="49">
        <f>SUM(F1601:F1605)</f>
        <v>0</v>
      </c>
      <c r="G1600" s="49">
        <f>SUM(G1601:G1605)</f>
        <v>0</v>
      </c>
      <c r="H1600" s="49">
        <f>SUM(H1601:H1605)</f>
        <v>0</v>
      </c>
      <c r="I1600" s="49">
        <f>SUM(I1601:I1605)</f>
        <v>0</v>
      </c>
      <c r="J1600" s="49">
        <f>SUM(J1601:J1605)</f>
        <v>0</v>
      </c>
      <c r="K1600" s="49">
        <f>SUM(K1601:K1605)</f>
        <v>0</v>
      </c>
      <c r="L1600" s="49">
        <f>SUM(L1601:L1605)</f>
        <v>0</v>
      </c>
      <c r="M1600" s="49">
        <f>SUM(M1601:M1605)</f>
        <v>0</v>
      </c>
      <c r="N1600" s="49">
        <f>SUM(N1601:N1605)</f>
        <v>0</v>
      </c>
      <c r="O1600" s="49">
        <f>SUM(O1601:O1605)</f>
        <v>0</v>
      </c>
      <c r="P1600" s="49">
        <f>SUM(P1601:P1605)</f>
        <v>0</v>
      </c>
      <c r="Q1600" s="49">
        <f>SUM(Q1601:Q1605)</f>
        <v>0</v>
      </c>
      <c r="R1600" s="49">
        <f>SUM(R1601:R1605)</f>
        <v>0</v>
      </c>
      <c r="S1600" s="49">
        <f>SUM(S1601:S1605)</f>
        <v>0</v>
      </c>
      <c r="T1600" s="49">
        <f>SUM(T1601:T1605)</f>
        <v>0</v>
      </c>
      <c r="U1600" s="49">
        <f>SUM(U1601:U1605)</f>
        <v>0</v>
      </c>
      <c r="V1600" s="49">
        <f>SUM(V1601:V1605)</f>
        <v>0</v>
      </c>
      <c r="W1600" s="49">
        <f>SUM(W1601:W1605)</f>
        <v>0</v>
      </c>
      <c r="X1600" s="49">
        <f>SUM(X1601:X1605)</f>
        <v>0</v>
      </c>
      <c r="Y1600" s="49">
        <f>SUM(Y1601:Y1605)</f>
        <v>0</v>
      </c>
      <c r="Z1600" s="49">
        <f>SUM(Z1601:Z1605)</f>
        <v>0</v>
      </c>
      <c r="AA1600" s="49">
        <f>SUM(AA1601:AA1605)</f>
        <v>0</v>
      </c>
      <c r="AB1600" s="49">
        <f>SUM(AB1601:AB1605)</f>
        <v>0</v>
      </c>
    </row>
    <row r="1601" spans="1:28" hidden="1" outlineLevel="1" x14ac:dyDescent="0.3">
      <c r="A1601" s="33" t="s">
        <v>246</v>
      </c>
      <c r="B1601" s="34" t="s">
        <v>274</v>
      </c>
      <c r="C1601" s="50">
        <f>SUMIFS(INDEX(Техника!$F$1:$ABM$500,C$2,0),Техника!$F$4:$ABM$4,"Часы",INDEX(Техника!$G$1:$ABN$500,C$2,0),$A$1600,INDEX(Техника!$H$1:$ABO$500,C$2,0),"М")</f>
        <v>0</v>
      </c>
      <c r="D1601" s="50">
        <f>SUMIFS(INDEX(Техника!$F$1:$ABM$500,D$2,0),Техника!$F$4:$ABM$4,"Часы",INDEX(Техника!$G$1:$ABN$500,D$2,0),$A$1600,INDEX(Техника!$H$1:$ABO$500,D$2,0),"М")</f>
        <v>0</v>
      </c>
      <c r="E1601" s="50">
        <f>SUMIFS(INDEX(Техника!$F$1:$ABM$500,E$2,0),Техника!$F$4:$ABM$4,"Часы",INDEX(Техника!$G$1:$ABN$500,E$2,0),$A$1600,INDEX(Техника!$H$1:$ABO$500,E$2,0),"М")</f>
        <v>0</v>
      </c>
      <c r="F1601" s="50">
        <f>SUMIFS(INDEX(Техника!$F$1:$ABM$500,F$2,0),Техника!$F$4:$ABM$4,"Часы",INDEX(Техника!$G$1:$ABN$500,F$2,0),$A$1600,INDEX(Техника!$H$1:$ABO$500,F$2,0),"М")</f>
        <v>0</v>
      </c>
      <c r="G1601" s="50">
        <f>SUMIFS(INDEX(Техника!$F$1:$ABM$500,G$2,0),Техника!$F$4:$ABM$4,"Часы",INDEX(Техника!$G$1:$ABN$500,G$2,0),$A$1600,INDEX(Техника!$H$1:$ABO$500,G$2,0),"М")</f>
        <v>0</v>
      </c>
      <c r="H1601" s="50">
        <f>SUMIFS(INDEX(Техника!$F$1:$ABM$500,H$2,0),Техника!$F$4:$ABM$4,"Часы",INDEX(Техника!$G$1:$ABN$500,H$2,0),$A$1600,INDEX(Техника!$H$1:$ABO$500,H$2,0),"М")</f>
        <v>0</v>
      </c>
      <c r="I1601" s="50">
        <f>SUMIFS(INDEX(Техника!$F$1:$ABM$500,I$2,0),Техника!$F$4:$ABM$4,"Часы",INDEX(Техника!$G$1:$ABN$500,I$2,0),$A$1600,INDEX(Техника!$H$1:$ABO$500,I$2,0),"М")</f>
        <v>0</v>
      </c>
      <c r="J1601" s="50">
        <f>SUMIFS(INDEX(Техника!$F$1:$ABM$500,J$2,0),Техника!$F$4:$ABM$4,"Часы",INDEX(Техника!$G$1:$ABN$500,J$2,0),$A$1600,INDEX(Техника!$H$1:$ABO$500,J$2,0),"М")</f>
        <v>0</v>
      </c>
      <c r="K1601" s="50">
        <f>SUMIFS(INDEX(Техника!$F$1:$ABM$500,K$2,0),Техника!$F$4:$ABM$4,"Часы",INDEX(Техника!$G$1:$ABN$500,K$2,0),$A$1600,INDEX(Техника!$H$1:$ABO$500,K$2,0),"М")</f>
        <v>0</v>
      </c>
      <c r="L1601" s="50">
        <f>SUMIFS(INDEX(Техника!$F$1:$ABM$500,L$2,0),Техника!$F$4:$ABM$4,"Часы",INDEX(Техника!$G$1:$ABN$500,L$2,0),$A$1600,INDEX(Техника!$H$1:$ABO$500,L$2,0),"М")</f>
        <v>0</v>
      </c>
      <c r="M1601" s="50">
        <f>SUMIFS(INDEX(Техника!$F$1:$ABM$500,M$2,0),Техника!$F$4:$ABM$4,"Часы",INDEX(Техника!$G$1:$ABN$500,M$2,0),$A$1600,INDEX(Техника!$H$1:$ABO$500,M$2,0),"М")</f>
        <v>0</v>
      </c>
      <c r="N1601" s="50">
        <f>SUMIFS(INDEX(Техника!$F$1:$ABM$500,N$2,0),Техника!$F$4:$ABM$4,"Часы",INDEX(Техника!$G$1:$ABN$500,N$2,0),$A$1600,INDEX(Техника!$H$1:$ABO$500,N$2,0),"М")</f>
        <v>0</v>
      </c>
      <c r="O1601" s="50">
        <f>SUMIFS(INDEX(Техника!$F$1:$ABM$500,O$2,0),Техника!$F$4:$ABM$4,"Часы",INDEX(Техника!$G$1:$ABN$500,O$2,0),$A$1600,INDEX(Техника!$H$1:$ABO$500,O$2,0),"М")</f>
        <v>0</v>
      </c>
      <c r="P1601" s="50">
        <f>SUMIFS(INDEX(Техника!$F$1:$ABM$500,P$2,0),Техника!$F$4:$ABM$4,"Часы",INDEX(Техника!$G$1:$ABN$500,P$2,0),$A$1600,INDEX(Техника!$H$1:$ABO$500,P$2,0),"М")</f>
        <v>0</v>
      </c>
      <c r="Q1601" s="50">
        <f>SUMIFS(INDEX(Техника!$F$1:$ABM$500,Q$2,0),Техника!$F$4:$ABM$4,"Часы",INDEX(Техника!$G$1:$ABN$500,Q$2,0),$A$1600,INDEX(Техника!$H$1:$ABO$500,Q$2,0),"М")</f>
        <v>0</v>
      </c>
      <c r="R1601" s="50">
        <f>SUMIFS(INDEX(Техника!$F$1:$ABM$500,R$2,0),Техника!$F$4:$ABM$4,"Часы",INDEX(Техника!$G$1:$ABN$500,R$2,0),$A$1600,INDEX(Техника!$H$1:$ABO$500,R$2,0),"М")</f>
        <v>0</v>
      </c>
      <c r="S1601" s="50">
        <f>SUMIFS(INDEX(Техника!$F$1:$ABM$500,S$2,0),Техника!$F$4:$ABM$4,"Часы",INDEX(Техника!$G$1:$ABN$500,S$2,0),$A$1600,INDEX(Техника!$H$1:$ABO$500,S$2,0),"М")</f>
        <v>0</v>
      </c>
      <c r="T1601" s="50">
        <f>SUMIFS(INDEX(Техника!$F$1:$ABM$500,T$2,0),Техника!$F$4:$ABM$4,"Часы",INDEX(Техника!$G$1:$ABN$500,T$2,0),$A$1600,INDEX(Техника!$H$1:$ABO$500,T$2,0),"М")</f>
        <v>0</v>
      </c>
      <c r="U1601" s="50">
        <f>SUMIFS(INDEX(Техника!$F$1:$ABM$500,U$2,0),Техника!$F$4:$ABM$4,"Часы",INDEX(Техника!$G$1:$ABN$500,U$2,0),$A$1600,INDEX(Техника!$H$1:$ABO$500,U$2,0),"М")</f>
        <v>0</v>
      </c>
      <c r="V1601" s="50">
        <f>SUMIFS(INDEX(Техника!$F$1:$ABM$500,V$2,0),Техника!$F$4:$ABM$4,"Часы",INDEX(Техника!$G$1:$ABN$500,V$2,0),$A$1600,INDEX(Техника!$H$1:$ABO$500,V$2,0),"М")</f>
        <v>0</v>
      </c>
      <c r="W1601" s="50">
        <f>SUMIFS(INDEX(Техника!$F$1:$ABM$500,W$2,0),Техника!$F$4:$ABM$4,"Часы",INDEX(Техника!$G$1:$ABN$500,W$2,0),$A$1600,INDEX(Техника!$H$1:$ABO$500,W$2,0),"М")</f>
        <v>0</v>
      </c>
      <c r="X1601" s="50">
        <f>SUMIFS(INDEX(Техника!$F$1:$ABM$500,X$2,0),Техника!$F$4:$ABM$4,"Часы",INDEX(Техника!$G$1:$ABN$500,X$2,0),$A$1600,INDEX(Техника!$H$1:$ABO$500,X$2,0),"М")</f>
        <v>0</v>
      </c>
      <c r="Y1601" s="50">
        <f>SUMIFS(INDEX(Техника!$F$1:$ABM$500,Y$2,0),Техника!$F$4:$ABM$4,"Часы",INDEX(Техника!$G$1:$ABN$500,Y$2,0),$A$1600,INDEX(Техника!$H$1:$ABO$500,Y$2,0),"М")</f>
        <v>0</v>
      </c>
      <c r="Z1601" s="50">
        <f>SUMIFS(INDEX(Техника!$F$1:$ABM$500,Z$2,0),Техника!$F$4:$ABM$4,"Часы",INDEX(Техника!$G$1:$ABN$500,Z$2,0),$A$1600,INDEX(Техника!$H$1:$ABO$500,Z$2,0),"М")</f>
        <v>0</v>
      </c>
      <c r="AA1601" s="50">
        <f>SUMIFS(INDEX(Техника!$F$1:$ABM$500,AA$2,0),Техника!$F$4:$ABM$4,"Часы",INDEX(Техника!$G$1:$ABN$500,AA$2,0),$A$1600,INDEX(Техника!$H$1:$ABO$500,AA$2,0),"М")</f>
        <v>0</v>
      </c>
      <c r="AB1601" s="50">
        <f>SUMIFS(INDEX(Техника!$F$1:$ABM$500,AB$2,0),Техника!$F$4:$ABM$4,"Часы",INDEX(Техника!$G$1:$ABN$500,AB$2,0),$A$1600,INDEX(Техника!$H$1:$ABO$500,AB$2,0),"М")</f>
        <v>0</v>
      </c>
    </row>
    <row r="1602" spans="1:28" hidden="1" outlineLevel="1" x14ac:dyDescent="0.3">
      <c r="A1602" s="33" t="s">
        <v>244</v>
      </c>
      <c r="B1602" s="34" t="s">
        <v>275</v>
      </c>
      <c r="C1602" s="50">
        <f>SUMIFS(INDEX(Техника!$F$1:$ABM$500,C$2,0),Техника!$F$4:$ABM$4,"Часы",INDEX(Техника!$G$1:$ABN$500,C$2,0),$A$1600,INDEX(Техника!$H$1:$ABO$500,C$2,0),"Д")</f>
        <v>0</v>
      </c>
      <c r="D1602" s="50">
        <f>SUMIFS(INDEX(Техника!$F$1:$ABM$500,D$2,0),Техника!$F$4:$ABM$4,"Часы",INDEX(Техника!$G$1:$ABN$500,D$2,0),$A$1600,INDEX(Техника!$H$1:$ABO$500,D$2,0),"Д")</f>
        <v>0</v>
      </c>
      <c r="E1602" s="50">
        <f>SUMIFS(INDEX(Техника!$F$1:$ABM$500,E$2,0),Техника!$F$4:$ABM$4,"Часы",INDEX(Техника!$G$1:$ABN$500,E$2,0),$A$1600,INDEX(Техника!$H$1:$ABO$500,E$2,0),"Д")</f>
        <v>0</v>
      </c>
      <c r="F1602" s="50">
        <f>SUMIFS(INDEX(Техника!$F$1:$ABM$500,F$2,0),Техника!$F$4:$ABM$4,"Часы",INDEX(Техника!$G$1:$ABN$500,F$2,0),$A$1600,INDEX(Техника!$H$1:$ABO$500,F$2,0),"Д")</f>
        <v>0</v>
      </c>
      <c r="G1602" s="50">
        <f>SUMIFS(INDEX(Техника!$F$1:$ABM$500,G$2,0),Техника!$F$4:$ABM$4,"Часы",INDEX(Техника!$G$1:$ABN$500,G$2,0),$A$1600,INDEX(Техника!$H$1:$ABO$500,G$2,0),"Д")</f>
        <v>0</v>
      </c>
      <c r="H1602" s="50">
        <f>SUMIFS(INDEX(Техника!$F$1:$ABM$500,H$2,0),Техника!$F$4:$ABM$4,"Часы",INDEX(Техника!$G$1:$ABN$500,H$2,0),$A$1600,INDEX(Техника!$H$1:$ABO$500,H$2,0),"Д")</f>
        <v>0</v>
      </c>
      <c r="I1602" s="50">
        <f>SUMIFS(INDEX(Техника!$F$1:$ABM$500,I$2,0),Техника!$F$4:$ABM$4,"Часы",INDEX(Техника!$G$1:$ABN$500,I$2,0),$A$1600,INDEX(Техника!$H$1:$ABO$500,I$2,0),"Д")</f>
        <v>0</v>
      </c>
      <c r="J1602" s="50">
        <f>SUMIFS(INDEX(Техника!$F$1:$ABM$500,J$2,0),Техника!$F$4:$ABM$4,"Часы",INDEX(Техника!$G$1:$ABN$500,J$2,0),$A$1600,INDEX(Техника!$H$1:$ABO$500,J$2,0),"Д")</f>
        <v>0</v>
      </c>
      <c r="K1602" s="50">
        <f>SUMIFS(INDEX(Техника!$F$1:$ABM$500,K$2,0),Техника!$F$4:$ABM$4,"Часы",INDEX(Техника!$G$1:$ABN$500,K$2,0),$A$1600,INDEX(Техника!$H$1:$ABO$500,K$2,0),"Д")</f>
        <v>0</v>
      </c>
      <c r="L1602" s="50">
        <f>SUMIFS(INDEX(Техника!$F$1:$ABM$500,L$2,0),Техника!$F$4:$ABM$4,"Часы",INDEX(Техника!$G$1:$ABN$500,L$2,0),$A$1600,INDEX(Техника!$H$1:$ABO$500,L$2,0),"Д")</f>
        <v>0</v>
      </c>
      <c r="M1602" s="50">
        <f>SUMIFS(INDEX(Техника!$F$1:$ABM$500,M$2,0),Техника!$F$4:$ABM$4,"Часы",INDEX(Техника!$G$1:$ABN$500,M$2,0),$A$1600,INDEX(Техника!$H$1:$ABO$500,M$2,0),"Д")</f>
        <v>0</v>
      </c>
      <c r="N1602" s="50">
        <f>SUMIFS(INDEX(Техника!$F$1:$ABM$500,N$2,0),Техника!$F$4:$ABM$4,"Часы",INDEX(Техника!$G$1:$ABN$500,N$2,0),$A$1600,INDEX(Техника!$H$1:$ABO$500,N$2,0),"Д")</f>
        <v>0</v>
      </c>
      <c r="O1602" s="50">
        <f>SUMIFS(INDEX(Техника!$F$1:$ABM$500,O$2,0),Техника!$F$4:$ABM$4,"Часы",INDEX(Техника!$G$1:$ABN$500,O$2,0),$A$1600,INDEX(Техника!$H$1:$ABO$500,O$2,0),"Д")</f>
        <v>0</v>
      </c>
      <c r="P1602" s="50">
        <f>SUMIFS(INDEX(Техника!$F$1:$ABM$500,P$2,0),Техника!$F$4:$ABM$4,"Часы",INDEX(Техника!$G$1:$ABN$500,P$2,0),$A$1600,INDEX(Техника!$H$1:$ABO$500,P$2,0),"Д")</f>
        <v>0</v>
      </c>
      <c r="Q1602" s="50">
        <f>SUMIFS(INDEX(Техника!$F$1:$ABM$500,Q$2,0),Техника!$F$4:$ABM$4,"Часы",INDEX(Техника!$G$1:$ABN$500,Q$2,0),$A$1600,INDEX(Техника!$H$1:$ABO$500,Q$2,0),"Д")</f>
        <v>0</v>
      </c>
      <c r="R1602" s="50">
        <f>SUMIFS(INDEX(Техника!$F$1:$ABM$500,R$2,0),Техника!$F$4:$ABM$4,"Часы",INDEX(Техника!$G$1:$ABN$500,R$2,0),$A$1600,INDEX(Техника!$H$1:$ABO$500,R$2,0),"Д")</f>
        <v>0</v>
      </c>
      <c r="S1602" s="50">
        <f>SUMIFS(INDEX(Техника!$F$1:$ABM$500,S$2,0),Техника!$F$4:$ABM$4,"Часы",INDEX(Техника!$G$1:$ABN$500,S$2,0),$A$1600,INDEX(Техника!$H$1:$ABO$500,S$2,0),"Д")</f>
        <v>0</v>
      </c>
      <c r="T1602" s="50">
        <f>SUMIFS(INDEX(Техника!$F$1:$ABM$500,T$2,0),Техника!$F$4:$ABM$4,"Часы",INDEX(Техника!$G$1:$ABN$500,T$2,0),$A$1600,INDEX(Техника!$H$1:$ABO$500,T$2,0),"Д")</f>
        <v>0</v>
      </c>
      <c r="U1602" s="50">
        <f>SUMIFS(INDEX(Техника!$F$1:$ABM$500,U$2,0),Техника!$F$4:$ABM$4,"Часы",INDEX(Техника!$G$1:$ABN$500,U$2,0),$A$1600,INDEX(Техника!$H$1:$ABO$500,U$2,0),"Д")</f>
        <v>0</v>
      </c>
      <c r="V1602" s="50">
        <f>SUMIFS(INDEX(Техника!$F$1:$ABM$500,V$2,0),Техника!$F$4:$ABM$4,"Часы",INDEX(Техника!$G$1:$ABN$500,V$2,0),$A$1600,INDEX(Техника!$H$1:$ABO$500,V$2,0),"Д")</f>
        <v>0</v>
      </c>
      <c r="W1602" s="50">
        <f>SUMIFS(INDEX(Техника!$F$1:$ABM$500,W$2,0),Техника!$F$4:$ABM$4,"Часы",INDEX(Техника!$G$1:$ABN$500,W$2,0),$A$1600,INDEX(Техника!$H$1:$ABO$500,W$2,0),"Д")</f>
        <v>0</v>
      </c>
      <c r="X1602" s="50">
        <f>SUMIFS(INDEX(Техника!$F$1:$ABM$500,X$2,0),Техника!$F$4:$ABM$4,"Часы",INDEX(Техника!$G$1:$ABN$500,X$2,0),$A$1600,INDEX(Техника!$H$1:$ABO$500,X$2,0),"Д")</f>
        <v>0</v>
      </c>
      <c r="Y1602" s="50">
        <f>SUMIFS(INDEX(Техника!$F$1:$ABM$500,Y$2,0),Техника!$F$4:$ABM$4,"Часы",INDEX(Техника!$G$1:$ABN$500,Y$2,0),$A$1600,INDEX(Техника!$H$1:$ABO$500,Y$2,0),"Д")</f>
        <v>0</v>
      </c>
      <c r="Z1602" s="50">
        <f>SUMIFS(INDEX(Техника!$F$1:$ABM$500,Z$2,0),Техника!$F$4:$ABM$4,"Часы",INDEX(Техника!$G$1:$ABN$500,Z$2,0),$A$1600,INDEX(Техника!$H$1:$ABO$500,Z$2,0),"Д")</f>
        <v>0</v>
      </c>
      <c r="AA1602" s="50">
        <f>SUMIFS(INDEX(Техника!$F$1:$ABM$500,AA$2,0),Техника!$F$4:$ABM$4,"Часы",INDEX(Техника!$G$1:$ABN$500,AA$2,0),$A$1600,INDEX(Техника!$H$1:$ABO$500,AA$2,0),"Д")</f>
        <v>0</v>
      </c>
      <c r="AB1602" s="50">
        <f>SUMIFS(INDEX(Техника!$F$1:$ABM$500,AB$2,0),Техника!$F$4:$ABM$4,"Часы",INDEX(Техника!$G$1:$ABN$500,AB$2,0),$A$1600,INDEX(Техника!$H$1:$ABO$500,AB$2,0),"Д")</f>
        <v>0</v>
      </c>
    </row>
    <row r="1603" spans="1:28" hidden="1" outlineLevel="1" x14ac:dyDescent="0.3">
      <c r="A1603" s="33" t="s">
        <v>276</v>
      </c>
      <c r="B1603" s="34" t="s">
        <v>277</v>
      </c>
      <c r="C1603" s="50">
        <f>SUMIFS(INDEX(Техника!$F$1:$ABM$500,C$2,0),Техника!$F$4:$ABM$4,"Часы",INDEX(Техника!$G$1:$ABN$500,C$2,0),$A$1600,INDEX(Техника!$H$1:$ABO$500,C$2,0),"П")</f>
        <v>0</v>
      </c>
      <c r="D1603" s="50">
        <f>SUMIFS(INDEX(Техника!$F$1:$ABM$500,D$2,0),Техника!$F$4:$ABM$4,"Часы",INDEX(Техника!$G$1:$ABN$500,D$2,0),$A$1600,INDEX(Техника!$H$1:$ABO$500,D$2,0),"П")</f>
        <v>0</v>
      </c>
      <c r="E1603" s="50">
        <f>SUMIFS(INDEX(Техника!$F$1:$ABM$500,E$2,0),Техника!$F$4:$ABM$4,"Часы",INDEX(Техника!$G$1:$ABN$500,E$2,0),$A$1600,INDEX(Техника!$H$1:$ABO$500,E$2,0),"П")</f>
        <v>0</v>
      </c>
      <c r="F1603" s="50">
        <f>SUMIFS(INDEX(Техника!$F$1:$ABM$500,F$2,0),Техника!$F$4:$ABM$4,"Часы",INDEX(Техника!$G$1:$ABN$500,F$2,0),$A$1600,INDEX(Техника!$H$1:$ABO$500,F$2,0),"П")</f>
        <v>0</v>
      </c>
      <c r="G1603" s="50">
        <f>SUMIFS(INDEX(Техника!$F$1:$ABM$500,G$2,0),Техника!$F$4:$ABM$4,"Часы",INDEX(Техника!$G$1:$ABN$500,G$2,0),$A$1600,INDEX(Техника!$H$1:$ABO$500,G$2,0),"П")</f>
        <v>0</v>
      </c>
      <c r="H1603" s="50">
        <f>SUMIFS(INDEX(Техника!$F$1:$ABM$500,H$2,0),Техника!$F$4:$ABM$4,"Часы",INDEX(Техника!$G$1:$ABN$500,H$2,0),$A$1600,INDEX(Техника!$H$1:$ABO$500,H$2,0),"П")</f>
        <v>0</v>
      </c>
      <c r="I1603" s="50">
        <f>SUMIFS(INDEX(Техника!$F$1:$ABM$500,I$2,0),Техника!$F$4:$ABM$4,"Часы",INDEX(Техника!$G$1:$ABN$500,I$2,0),$A$1600,INDEX(Техника!$H$1:$ABO$500,I$2,0),"П")</f>
        <v>0</v>
      </c>
      <c r="J1603" s="50">
        <f>SUMIFS(INDEX(Техника!$F$1:$ABM$500,J$2,0),Техника!$F$4:$ABM$4,"Часы",INDEX(Техника!$G$1:$ABN$500,J$2,0),$A$1600,INDEX(Техника!$H$1:$ABO$500,J$2,0),"П")</f>
        <v>0</v>
      </c>
      <c r="K1603" s="50">
        <f>SUMIFS(INDEX(Техника!$F$1:$ABM$500,K$2,0),Техника!$F$4:$ABM$4,"Часы",INDEX(Техника!$G$1:$ABN$500,K$2,0),$A$1600,INDEX(Техника!$H$1:$ABO$500,K$2,0),"П")</f>
        <v>0</v>
      </c>
      <c r="L1603" s="50">
        <f>SUMIFS(INDEX(Техника!$F$1:$ABM$500,L$2,0),Техника!$F$4:$ABM$4,"Часы",INDEX(Техника!$G$1:$ABN$500,L$2,0),$A$1600,INDEX(Техника!$H$1:$ABO$500,L$2,0),"П")</f>
        <v>0</v>
      </c>
      <c r="M1603" s="50">
        <f>SUMIFS(INDEX(Техника!$F$1:$ABM$500,M$2,0),Техника!$F$4:$ABM$4,"Часы",INDEX(Техника!$G$1:$ABN$500,M$2,0),$A$1600,INDEX(Техника!$H$1:$ABO$500,M$2,0),"П")</f>
        <v>0</v>
      </c>
      <c r="N1603" s="50">
        <f>SUMIFS(INDEX(Техника!$F$1:$ABM$500,N$2,0),Техника!$F$4:$ABM$4,"Часы",INDEX(Техника!$G$1:$ABN$500,N$2,0),$A$1600,INDEX(Техника!$H$1:$ABO$500,N$2,0),"П")</f>
        <v>0</v>
      </c>
      <c r="O1603" s="50">
        <f>SUMIFS(INDEX(Техника!$F$1:$ABM$500,O$2,0),Техника!$F$4:$ABM$4,"Часы",INDEX(Техника!$G$1:$ABN$500,O$2,0),$A$1600,INDEX(Техника!$H$1:$ABO$500,O$2,0),"П")</f>
        <v>0</v>
      </c>
      <c r="P1603" s="50">
        <f>SUMIFS(INDEX(Техника!$F$1:$ABM$500,P$2,0),Техника!$F$4:$ABM$4,"Часы",INDEX(Техника!$G$1:$ABN$500,P$2,0),$A$1600,INDEX(Техника!$H$1:$ABO$500,P$2,0),"П")</f>
        <v>0</v>
      </c>
      <c r="Q1603" s="50">
        <f>SUMIFS(INDEX(Техника!$F$1:$ABM$500,Q$2,0),Техника!$F$4:$ABM$4,"Часы",INDEX(Техника!$G$1:$ABN$500,Q$2,0),$A$1600,INDEX(Техника!$H$1:$ABO$500,Q$2,0),"П")</f>
        <v>0</v>
      </c>
      <c r="R1603" s="50">
        <f>SUMIFS(INDEX(Техника!$F$1:$ABM$500,R$2,0),Техника!$F$4:$ABM$4,"Часы",INDEX(Техника!$G$1:$ABN$500,R$2,0),$A$1600,INDEX(Техника!$H$1:$ABO$500,R$2,0),"П")</f>
        <v>0</v>
      </c>
      <c r="S1603" s="50">
        <f>SUMIFS(INDEX(Техника!$F$1:$ABM$500,S$2,0),Техника!$F$4:$ABM$4,"Часы",INDEX(Техника!$G$1:$ABN$500,S$2,0),$A$1600,INDEX(Техника!$H$1:$ABO$500,S$2,0),"П")</f>
        <v>0</v>
      </c>
      <c r="T1603" s="50">
        <f>SUMIFS(INDEX(Техника!$F$1:$ABM$500,T$2,0),Техника!$F$4:$ABM$4,"Часы",INDEX(Техника!$G$1:$ABN$500,T$2,0),$A$1600,INDEX(Техника!$H$1:$ABO$500,T$2,0),"П")</f>
        <v>0</v>
      </c>
      <c r="U1603" s="50">
        <f>SUMIFS(INDEX(Техника!$F$1:$ABM$500,U$2,0),Техника!$F$4:$ABM$4,"Часы",INDEX(Техника!$G$1:$ABN$500,U$2,0),$A$1600,INDEX(Техника!$H$1:$ABO$500,U$2,0),"П")</f>
        <v>0</v>
      </c>
      <c r="V1603" s="50">
        <f>SUMIFS(INDEX(Техника!$F$1:$ABM$500,V$2,0),Техника!$F$4:$ABM$4,"Часы",INDEX(Техника!$G$1:$ABN$500,V$2,0),$A$1600,INDEX(Техника!$H$1:$ABO$500,V$2,0),"П")</f>
        <v>0</v>
      </c>
      <c r="W1603" s="50">
        <f>SUMIFS(INDEX(Техника!$F$1:$ABM$500,W$2,0),Техника!$F$4:$ABM$4,"Часы",INDEX(Техника!$G$1:$ABN$500,W$2,0),$A$1600,INDEX(Техника!$H$1:$ABO$500,W$2,0),"П")</f>
        <v>0</v>
      </c>
      <c r="X1603" s="50">
        <f>SUMIFS(INDEX(Техника!$F$1:$ABM$500,X$2,0),Техника!$F$4:$ABM$4,"Часы",INDEX(Техника!$G$1:$ABN$500,X$2,0),$A$1600,INDEX(Техника!$H$1:$ABO$500,X$2,0),"П")</f>
        <v>0</v>
      </c>
      <c r="Y1603" s="50">
        <f>SUMIFS(INDEX(Техника!$F$1:$ABM$500,Y$2,0),Техника!$F$4:$ABM$4,"Часы",INDEX(Техника!$G$1:$ABN$500,Y$2,0),$A$1600,INDEX(Техника!$H$1:$ABO$500,Y$2,0),"П")</f>
        <v>0</v>
      </c>
      <c r="Z1603" s="50">
        <f>SUMIFS(INDEX(Техника!$F$1:$ABM$500,Z$2,0),Техника!$F$4:$ABM$4,"Часы",INDEX(Техника!$G$1:$ABN$500,Z$2,0),$A$1600,INDEX(Техника!$H$1:$ABO$500,Z$2,0),"П")</f>
        <v>0</v>
      </c>
      <c r="AA1603" s="50">
        <f>SUMIFS(INDEX(Техника!$F$1:$ABM$500,AA$2,0),Техника!$F$4:$ABM$4,"Часы",INDEX(Техника!$G$1:$ABN$500,AA$2,0),$A$1600,INDEX(Техника!$H$1:$ABO$500,AA$2,0),"П")</f>
        <v>0</v>
      </c>
      <c r="AB1603" s="50">
        <f>SUMIFS(INDEX(Техника!$F$1:$ABM$500,AB$2,0),Техника!$F$4:$ABM$4,"Часы",INDEX(Техника!$G$1:$ABN$500,AB$2,0),$A$1600,INDEX(Техника!$H$1:$ABO$500,AB$2,0),"П")</f>
        <v>0</v>
      </c>
    </row>
    <row r="1604" spans="1:28" hidden="1" outlineLevel="1" x14ac:dyDescent="0.3">
      <c r="A1604" s="33" t="s">
        <v>243</v>
      </c>
      <c r="B1604" s="34" t="s">
        <v>278</v>
      </c>
      <c r="C1604" s="50">
        <f>SUMIFS(INDEX(Техника!$F$1:$ABM$500,C$2,0),Техника!$F$4:$ABM$4,"Часы",INDEX(Техника!$G$1:$ABN$500,C$2,0),$A$1600,INDEX(Техника!$H$1:$ABO$500,C$2,0),"Л")</f>
        <v>0</v>
      </c>
      <c r="D1604" s="50">
        <f>SUMIFS(INDEX(Техника!$F$1:$ABM$500,D$2,0),Техника!$F$4:$ABM$4,"Часы",INDEX(Техника!$G$1:$ABN$500,D$2,0),$A$1600,INDEX(Техника!$H$1:$ABO$500,D$2,0),"Л")</f>
        <v>0</v>
      </c>
      <c r="E1604" s="50">
        <f>SUMIFS(INDEX(Техника!$F$1:$ABM$500,E$2,0),Техника!$F$4:$ABM$4,"Часы",INDEX(Техника!$G$1:$ABN$500,E$2,0),$A$1600,INDEX(Техника!$H$1:$ABO$500,E$2,0),"Л")</f>
        <v>0</v>
      </c>
      <c r="F1604" s="50">
        <f>SUMIFS(INDEX(Техника!$F$1:$ABM$500,F$2,0),Техника!$F$4:$ABM$4,"Часы",INDEX(Техника!$G$1:$ABN$500,F$2,0),$A$1600,INDEX(Техника!$H$1:$ABO$500,F$2,0),"Л")</f>
        <v>0</v>
      </c>
      <c r="G1604" s="50">
        <f>SUMIFS(INDEX(Техника!$F$1:$ABM$500,G$2,0),Техника!$F$4:$ABM$4,"Часы",INDEX(Техника!$G$1:$ABN$500,G$2,0),$A$1600,INDEX(Техника!$H$1:$ABO$500,G$2,0),"Л")</f>
        <v>0</v>
      </c>
      <c r="H1604" s="50">
        <f>SUMIFS(INDEX(Техника!$F$1:$ABM$500,H$2,0),Техника!$F$4:$ABM$4,"Часы",INDEX(Техника!$G$1:$ABN$500,H$2,0),$A$1600,INDEX(Техника!$H$1:$ABO$500,H$2,0),"Л")</f>
        <v>0</v>
      </c>
      <c r="I1604" s="50">
        <f>SUMIFS(INDEX(Техника!$F$1:$ABM$500,I$2,0),Техника!$F$4:$ABM$4,"Часы",INDEX(Техника!$G$1:$ABN$500,I$2,0),$A$1600,INDEX(Техника!$H$1:$ABO$500,I$2,0),"Л")</f>
        <v>0</v>
      </c>
      <c r="J1604" s="50">
        <f>SUMIFS(INDEX(Техника!$F$1:$ABM$500,J$2,0),Техника!$F$4:$ABM$4,"Часы",INDEX(Техника!$G$1:$ABN$500,J$2,0),$A$1600,INDEX(Техника!$H$1:$ABO$500,J$2,0),"Л")</f>
        <v>0</v>
      </c>
      <c r="K1604" s="50">
        <f>SUMIFS(INDEX(Техника!$F$1:$ABM$500,K$2,0),Техника!$F$4:$ABM$4,"Часы",INDEX(Техника!$G$1:$ABN$500,K$2,0),$A$1600,INDEX(Техника!$H$1:$ABO$500,K$2,0),"Л")</f>
        <v>0</v>
      </c>
      <c r="L1604" s="50">
        <f>SUMIFS(INDEX(Техника!$F$1:$ABM$500,L$2,0),Техника!$F$4:$ABM$4,"Часы",INDEX(Техника!$G$1:$ABN$500,L$2,0),$A$1600,INDEX(Техника!$H$1:$ABO$500,L$2,0),"Л")</f>
        <v>0</v>
      </c>
      <c r="M1604" s="50">
        <f>SUMIFS(INDEX(Техника!$F$1:$ABM$500,M$2,0),Техника!$F$4:$ABM$4,"Часы",INDEX(Техника!$G$1:$ABN$500,M$2,0),$A$1600,INDEX(Техника!$H$1:$ABO$500,M$2,0),"Л")</f>
        <v>0</v>
      </c>
      <c r="N1604" s="50">
        <f>SUMIFS(INDEX(Техника!$F$1:$ABM$500,N$2,0),Техника!$F$4:$ABM$4,"Часы",INDEX(Техника!$G$1:$ABN$500,N$2,0),$A$1600,INDEX(Техника!$H$1:$ABO$500,N$2,0),"Л")</f>
        <v>0</v>
      </c>
      <c r="O1604" s="50">
        <f>SUMIFS(INDEX(Техника!$F$1:$ABM$500,O$2,0),Техника!$F$4:$ABM$4,"Часы",INDEX(Техника!$G$1:$ABN$500,O$2,0),$A$1600,INDEX(Техника!$H$1:$ABO$500,O$2,0),"Л")</f>
        <v>0</v>
      </c>
      <c r="P1604" s="50">
        <f>SUMIFS(INDEX(Техника!$F$1:$ABM$500,P$2,0),Техника!$F$4:$ABM$4,"Часы",INDEX(Техника!$G$1:$ABN$500,P$2,0),$A$1600,INDEX(Техника!$H$1:$ABO$500,P$2,0),"Л")</f>
        <v>0</v>
      </c>
      <c r="Q1604" s="50">
        <f>SUMIFS(INDEX(Техника!$F$1:$ABM$500,Q$2,0),Техника!$F$4:$ABM$4,"Часы",INDEX(Техника!$G$1:$ABN$500,Q$2,0),$A$1600,INDEX(Техника!$H$1:$ABO$500,Q$2,0),"Л")</f>
        <v>0</v>
      </c>
      <c r="R1604" s="50">
        <f>SUMIFS(INDEX(Техника!$F$1:$ABM$500,R$2,0),Техника!$F$4:$ABM$4,"Часы",INDEX(Техника!$G$1:$ABN$500,R$2,0),$A$1600,INDEX(Техника!$H$1:$ABO$500,R$2,0),"Л")</f>
        <v>0</v>
      </c>
      <c r="S1604" s="50">
        <f>SUMIFS(INDEX(Техника!$F$1:$ABM$500,S$2,0),Техника!$F$4:$ABM$4,"Часы",INDEX(Техника!$G$1:$ABN$500,S$2,0),$A$1600,INDEX(Техника!$H$1:$ABO$500,S$2,0),"Л")</f>
        <v>0</v>
      </c>
      <c r="T1604" s="50">
        <f>SUMIFS(INDEX(Техника!$F$1:$ABM$500,T$2,0),Техника!$F$4:$ABM$4,"Часы",INDEX(Техника!$G$1:$ABN$500,T$2,0),$A$1600,INDEX(Техника!$H$1:$ABO$500,T$2,0),"Л")</f>
        <v>0</v>
      </c>
      <c r="U1604" s="50">
        <f>SUMIFS(INDEX(Техника!$F$1:$ABM$500,U$2,0),Техника!$F$4:$ABM$4,"Часы",INDEX(Техника!$G$1:$ABN$500,U$2,0),$A$1600,INDEX(Техника!$H$1:$ABO$500,U$2,0),"Л")</f>
        <v>0</v>
      </c>
      <c r="V1604" s="50">
        <f>SUMIFS(INDEX(Техника!$F$1:$ABM$500,V$2,0),Техника!$F$4:$ABM$4,"Часы",INDEX(Техника!$G$1:$ABN$500,V$2,0),$A$1600,INDEX(Техника!$H$1:$ABO$500,V$2,0),"Л")</f>
        <v>0</v>
      </c>
      <c r="W1604" s="50">
        <f>SUMIFS(INDEX(Техника!$F$1:$ABM$500,W$2,0),Техника!$F$4:$ABM$4,"Часы",INDEX(Техника!$G$1:$ABN$500,W$2,0),$A$1600,INDEX(Техника!$H$1:$ABO$500,W$2,0),"Л")</f>
        <v>0</v>
      </c>
      <c r="X1604" s="50">
        <f>SUMIFS(INDEX(Техника!$F$1:$ABM$500,X$2,0),Техника!$F$4:$ABM$4,"Часы",INDEX(Техника!$G$1:$ABN$500,X$2,0),$A$1600,INDEX(Техника!$H$1:$ABO$500,X$2,0),"Л")</f>
        <v>0</v>
      </c>
      <c r="Y1604" s="50">
        <f>SUMIFS(INDEX(Техника!$F$1:$ABM$500,Y$2,0),Техника!$F$4:$ABM$4,"Часы",INDEX(Техника!$G$1:$ABN$500,Y$2,0),$A$1600,INDEX(Техника!$H$1:$ABO$500,Y$2,0),"Л")</f>
        <v>0</v>
      </c>
      <c r="Z1604" s="50">
        <f>SUMIFS(INDEX(Техника!$F$1:$ABM$500,Z$2,0),Техника!$F$4:$ABM$4,"Часы",INDEX(Техника!$G$1:$ABN$500,Z$2,0),$A$1600,INDEX(Техника!$H$1:$ABO$500,Z$2,0),"Л")</f>
        <v>0</v>
      </c>
      <c r="AA1604" s="50">
        <f>SUMIFS(INDEX(Техника!$F$1:$ABM$500,AA$2,0),Техника!$F$4:$ABM$4,"Часы",INDEX(Техника!$G$1:$ABN$500,AA$2,0),$A$1600,INDEX(Техника!$H$1:$ABO$500,AA$2,0),"Л")</f>
        <v>0</v>
      </c>
      <c r="AB1604" s="50">
        <f>SUMIFS(INDEX(Техника!$F$1:$ABM$500,AB$2,0),Техника!$F$4:$ABM$4,"Часы",INDEX(Техника!$G$1:$ABN$500,AB$2,0),$A$1600,INDEX(Техника!$H$1:$ABO$500,AB$2,0),"Л")</f>
        <v>0</v>
      </c>
    </row>
    <row r="1605" spans="1:28" hidden="1" outlineLevel="1" x14ac:dyDescent="0.3">
      <c r="A1605" s="33" t="s">
        <v>245</v>
      </c>
      <c r="B1605" s="34" t="s">
        <v>279</v>
      </c>
      <c r="C1605" s="50">
        <f>SUMIFS(INDEX(Техника!$F$1:$ABM$500,C$2,0),Техника!$F$4:$ABM$4,"Часы",INDEX(Техника!$G$1:$ABN$500,C$2,0),$A$1600,INDEX(Техника!$H$1:$ABO$500,C$2,0),"З")</f>
        <v>0</v>
      </c>
      <c r="D1605" s="50">
        <f>SUMIFS(INDEX(Техника!$F$1:$ABM$500,D$2,0),Техника!$F$4:$ABM$4,"Часы",INDEX(Техника!$G$1:$ABN$500,D$2,0),$A$1600,INDEX(Техника!$H$1:$ABO$500,D$2,0),"З")</f>
        <v>0</v>
      </c>
      <c r="E1605" s="50">
        <f>SUMIFS(INDEX(Техника!$F$1:$ABM$500,E$2,0),Техника!$F$4:$ABM$4,"Часы",INDEX(Техника!$G$1:$ABN$500,E$2,0),$A$1600,INDEX(Техника!$H$1:$ABO$500,E$2,0),"З")</f>
        <v>0</v>
      </c>
      <c r="F1605" s="50">
        <f>SUMIFS(INDEX(Техника!$F$1:$ABM$500,F$2,0),Техника!$F$4:$ABM$4,"Часы",INDEX(Техника!$G$1:$ABN$500,F$2,0),$A$1600,INDEX(Техника!$H$1:$ABO$500,F$2,0),"З")</f>
        <v>0</v>
      </c>
      <c r="G1605" s="50">
        <f>SUMIFS(INDEX(Техника!$F$1:$ABM$500,G$2,0),Техника!$F$4:$ABM$4,"Часы",INDEX(Техника!$G$1:$ABN$500,G$2,0),$A$1600,INDEX(Техника!$H$1:$ABO$500,G$2,0),"З")</f>
        <v>0</v>
      </c>
      <c r="H1605" s="50">
        <f>SUMIFS(INDEX(Техника!$F$1:$ABM$500,H$2,0),Техника!$F$4:$ABM$4,"Часы",INDEX(Техника!$G$1:$ABN$500,H$2,0),$A$1600,INDEX(Техника!$H$1:$ABO$500,H$2,0),"З")</f>
        <v>0</v>
      </c>
      <c r="I1605" s="50">
        <f>SUMIFS(INDEX(Техника!$F$1:$ABM$500,I$2,0),Техника!$F$4:$ABM$4,"Часы",INDEX(Техника!$G$1:$ABN$500,I$2,0),$A$1600,INDEX(Техника!$H$1:$ABO$500,I$2,0),"З")</f>
        <v>0</v>
      </c>
      <c r="J1605" s="50">
        <f>SUMIFS(INDEX(Техника!$F$1:$ABM$500,J$2,0),Техника!$F$4:$ABM$4,"Часы",INDEX(Техника!$G$1:$ABN$500,J$2,0),$A$1600,INDEX(Техника!$H$1:$ABO$500,J$2,0),"З")</f>
        <v>0</v>
      </c>
      <c r="K1605" s="50">
        <f>SUMIFS(INDEX(Техника!$F$1:$ABM$500,K$2,0),Техника!$F$4:$ABM$4,"Часы",INDEX(Техника!$G$1:$ABN$500,K$2,0),$A$1600,INDEX(Техника!$H$1:$ABO$500,K$2,0),"З")</f>
        <v>0</v>
      </c>
      <c r="L1605" s="50">
        <f>SUMIFS(INDEX(Техника!$F$1:$ABM$500,L$2,0),Техника!$F$4:$ABM$4,"Часы",INDEX(Техника!$G$1:$ABN$500,L$2,0),$A$1600,INDEX(Техника!$H$1:$ABO$500,L$2,0),"З")</f>
        <v>0</v>
      </c>
      <c r="M1605" s="50">
        <f>SUMIFS(INDEX(Техника!$F$1:$ABM$500,M$2,0),Техника!$F$4:$ABM$4,"Часы",INDEX(Техника!$G$1:$ABN$500,M$2,0),$A$1600,INDEX(Техника!$H$1:$ABO$500,M$2,0),"З")</f>
        <v>0</v>
      </c>
      <c r="N1605" s="50">
        <f>SUMIFS(INDEX(Техника!$F$1:$ABM$500,N$2,0),Техника!$F$4:$ABM$4,"Часы",INDEX(Техника!$G$1:$ABN$500,N$2,0),$A$1600,INDEX(Техника!$H$1:$ABO$500,N$2,0),"З")</f>
        <v>0</v>
      </c>
      <c r="O1605" s="50">
        <f>SUMIFS(INDEX(Техника!$F$1:$ABM$500,O$2,0),Техника!$F$4:$ABM$4,"Часы",INDEX(Техника!$G$1:$ABN$500,O$2,0),$A$1600,INDEX(Техника!$H$1:$ABO$500,O$2,0),"З")</f>
        <v>0</v>
      </c>
      <c r="P1605" s="50">
        <f>SUMIFS(INDEX(Техника!$F$1:$ABM$500,P$2,0),Техника!$F$4:$ABM$4,"Часы",INDEX(Техника!$G$1:$ABN$500,P$2,0),$A$1600,INDEX(Техника!$H$1:$ABO$500,P$2,0),"З")</f>
        <v>0</v>
      </c>
      <c r="Q1605" s="50">
        <f>SUMIFS(INDEX(Техника!$F$1:$ABM$500,Q$2,0),Техника!$F$4:$ABM$4,"Часы",INDEX(Техника!$G$1:$ABN$500,Q$2,0),$A$1600,INDEX(Техника!$H$1:$ABO$500,Q$2,0),"З")</f>
        <v>0</v>
      </c>
      <c r="R1605" s="50">
        <f>SUMIFS(INDEX(Техника!$F$1:$ABM$500,R$2,0),Техника!$F$4:$ABM$4,"Часы",INDEX(Техника!$G$1:$ABN$500,R$2,0),$A$1600,INDEX(Техника!$H$1:$ABO$500,R$2,0),"З")</f>
        <v>0</v>
      </c>
      <c r="S1605" s="50">
        <f>SUMIFS(INDEX(Техника!$F$1:$ABM$500,S$2,0),Техника!$F$4:$ABM$4,"Часы",INDEX(Техника!$G$1:$ABN$500,S$2,0),$A$1600,INDEX(Техника!$H$1:$ABO$500,S$2,0),"З")</f>
        <v>0</v>
      </c>
      <c r="T1605" s="50">
        <f>SUMIFS(INDEX(Техника!$F$1:$ABM$500,T$2,0),Техника!$F$4:$ABM$4,"Часы",INDEX(Техника!$G$1:$ABN$500,T$2,0),$A$1600,INDEX(Техника!$H$1:$ABO$500,T$2,0),"З")</f>
        <v>0</v>
      </c>
      <c r="U1605" s="50">
        <f>SUMIFS(INDEX(Техника!$F$1:$ABM$500,U$2,0),Техника!$F$4:$ABM$4,"Часы",INDEX(Техника!$G$1:$ABN$500,U$2,0),$A$1600,INDEX(Техника!$H$1:$ABO$500,U$2,0),"З")</f>
        <v>0</v>
      </c>
      <c r="V1605" s="50">
        <f>SUMIFS(INDEX(Техника!$F$1:$ABM$500,V$2,0),Техника!$F$4:$ABM$4,"Часы",INDEX(Техника!$G$1:$ABN$500,V$2,0),$A$1600,INDEX(Техника!$H$1:$ABO$500,V$2,0),"З")</f>
        <v>0</v>
      </c>
      <c r="W1605" s="50">
        <f>SUMIFS(INDEX(Техника!$F$1:$ABM$500,W$2,0),Техника!$F$4:$ABM$4,"Часы",INDEX(Техника!$G$1:$ABN$500,W$2,0),$A$1600,INDEX(Техника!$H$1:$ABO$500,W$2,0),"З")</f>
        <v>0</v>
      </c>
      <c r="X1605" s="50">
        <f>SUMIFS(INDEX(Техника!$F$1:$ABM$500,X$2,0),Техника!$F$4:$ABM$4,"Часы",INDEX(Техника!$G$1:$ABN$500,X$2,0),$A$1600,INDEX(Техника!$H$1:$ABO$500,X$2,0),"З")</f>
        <v>0</v>
      </c>
      <c r="Y1605" s="50">
        <f>SUMIFS(INDEX(Техника!$F$1:$ABM$500,Y$2,0),Техника!$F$4:$ABM$4,"Часы",INDEX(Техника!$G$1:$ABN$500,Y$2,0),$A$1600,INDEX(Техника!$H$1:$ABO$500,Y$2,0),"З")</f>
        <v>0</v>
      </c>
      <c r="Z1605" s="50">
        <f>SUMIFS(INDEX(Техника!$F$1:$ABM$500,Z$2,0),Техника!$F$4:$ABM$4,"Часы",INDEX(Техника!$G$1:$ABN$500,Z$2,0),$A$1600,INDEX(Техника!$H$1:$ABO$500,Z$2,0),"З")</f>
        <v>0</v>
      </c>
      <c r="AA1605" s="50">
        <f>SUMIFS(INDEX(Техника!$F$1:$ABM$500,AA$2,0),Техника!$F$4:$ABM$4,"Часы",INDEX(Техника!$G$1:$ABN$500,AA$2,0),$A$1600,INDEX(Техника!$H$1:$ABO$500,AA$2,0),"З")</f>
        <v>0</v>
      </c>
      <c r="AB1605" s="50">
        <f>SUMIFS(INDEX(Техника!$F$1:$ABM$500,AB$2,0),Техника!$F$4:$ABM$4,"Часы",INDEX(Техника!$G$1:$ABN$500,AB$2,0),$A$1600,INDEX(Техника!$H$1:$ABO$500,AB$2,0),"З")</f>
        <v>0</v>
      </c>
    </row>
    <row r="1606" spans="1:28" ht="7.95" customHeight="1" x14ac:dyDescent="0.3">
      <c r="A1606" s="38"/>
      <c r="B1606" s="39"/>
      <c r="C1606" s="51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  <c r="S1606" s="51"/>
      <c r="T1606" s="51"/>
      <c r="U1606" s="51"/>
      <c r="V1606" s="51"/>
      <c r="W1606" s="51"/>
      <c r="X1606" s="51"/>
      <c r="Y1606" s="51"/>
      <c r="Z1606" s="51"/>
      <c r="AA1606" s="51"/>
      <c r="AB1606" s="51"/>
    </row>
    <row r="1607" spans="1:28" ht="25.05" customHeight="1" collapsed="1" x14ac:dyDescent="0.3">
      <c r="A1607" s="32">
        <v>230</v>
      </c>
      <c r="B1607" s="32" t="s">
        <v>231</v>
      </c>
      <c r="C1607" s="49">
        <f>SUM(C1608:C1612)</f>
        <v>0</v>
      </c>
      <c r="D1607" s="49">
        <f>SUM(D1608:D1612)</f>
        <v>0</v>
      </c>
      <c r="E1607" s="49">
        <f>SUM(E1608:E1612)</f>
        <v>0</v>
      </c>
      <c r="F1607" s="49">
        <f>SUM(F1608:F1612)</f>
        <v>0</v>
      </c>
      <c r="G1607" s="49">
        <f>SUM(G1608:G1612)</f>
        <v>0</v>
      </c>
      <c r="H1607" s="49">
        <f>SUM(H1608:H1612)</f>
        <v>0</v>
      </c>
      <c r="I1607" s="49">
        <f>SUM(I1608:I1612)</f>
        <v>0</v>
      </c>
      <c r="J1607" s="49">
        <f>SUM(J1608:J1612)</f>
        <v>0</v>
      </c>
      <c r="K1607" s="49">
        <f>SUM(K1608:K1612)</f>
        <v>0</v>
      </c>
      <c r="L1607" s="49">
        <f>SUM(L1608:L1612)</f>
        <v>0</v>
      </c>
      <c r="M1607" s="49">
        <f>SUM(M1608:M1612)</f>
        <v>0</v>
      </c>
      <c r="N1607" s="49">
        <f>SUM(N1608:N1612)</f>
        <v>0</v>
      </c>
      <c r="O1607" s="49">
        <f>SUM(O1608:O1612)</f>
        <v>0</v>
      </c>
      <c r="P1607" s="49">
        <f>SUM(P1608:P1612)</f>
        <v>0</v>
      </c>
      <c r="Q1607" s="49">
        <f>SUM(Q1608:Q1612)</f>
        <v>0</v>
      </c>
      <c r="R1607" s="49">
        <f>SUM(R1608:R1612)</f>
        <v>0</v>
      </c>
      <c r="S1607" s="49">
        <f>SUM(S1608:S1612)</f>
        <v>0</v>
      </c>
      <c r="T1607" s="49">
        <f>SUM(T1608:T1612)</f>
        <v>0</v>
      </c>
      <c r="U1607" s="49">
        <f>SUM(U1608:U1612)</f>
        <v>0</v>
      </c>
      <c r="V1607" s="49">
        <f>SUM(V1608:V1612)</f>
        <v>0</v>
      </c>
      <c r="W1607" s="49">
        <f>SUM(W1608:W1612)</f>
        <v>0</v>
      </c>
      <c r="X1607" s="49">
        <f>SUM(X1608:X1612)</f>
        <v>0</v>
      </c>
      <c r="Y1607" s="49">
        <f>SUM(Y1608:Y1612)</f>
        <v>0</v>
      </c>
      <c r="Z1607" s="49">
        <f>SUM(Z1608:Z1612)</f>
        <v>0</v>
      </c>
      <c r="AA1607" s="49">
        <f>SUM(AA1608:AA1612)</f>
        <v>0</v>
      </c>
      <c r="AB1607" s="49">
        <f>SUM(AB1608:AB1612)</f>
        <v>0</v>
      </c>
    </row>
    <row r="1608" spans="1:28" hidden="1" outlineLevel="1" x14ac:dyDescent="0.3">
      <c r="A1608" s="33" t="s">
        <v>246</v>
      </c>
      <c r="B1608" s="34" t="s">
        <v>274</v>
      </c>
      <c r="C1608" s="50">
        <f>SUMIFS(INDEX(Техника!$F$1:$ABM$500,C$2,0),Техника!$F$4:$ABM$4,"Часы",INDEX(Техника!$G$1:$ABN$500,C$2,0),$A$1607,INDEX(Техника!$H$1:$ABO$500,C$2,0),"М")</f>
        <v>0</v>
      </c>
      <c r="D1608" s="50">
        <f>SUMIFS(INDEX(Техника!$F$1:$ABM$500,D$2,0),Техника!$F$4:$ABM$4,"Часы",INDEX(Техника!$G$1:$ABN$500,D$2,0),$A$1607,INDEX(Техника!$H$1:$ABO$500,D$2,0),"М")</f>
        <v>0</v>
      </c>
      <c r="E1608" s="50">
        <f>SUMIFS(INDEX(Техника!$F$1:$ABM$500,E$2,0),Техника!$F$4:$ABM$4,"Часы",INDEX(Техника!$G$1:$ABN$500,E$2,0),$A$1607,INDEX(Техника!$H$1:$ABO$500,E$2,0),"М")</f>
        <v>0</v>
      </c>
      <c r="F1608" s="50">
        <f>SUMIFS(INDEX(Техника!$F$1:$ABM$500,F$2,0),Техника!$F$4:$ABM$4,"Часы",INDEX(Техника!$G$1:$ABN$500,F$2,0),$A$1607,INDEX(Техника!$H$1:$ABO$500,F$2,0),"М")</f>
        <v>0</v>
      </c>
      <c r="G1608" s="50">
        <f>SUMIFS(INDEX(Техника!$F$1:$ABM$500,G$2,0),Техника!$F$4:$ABM$4,"Часы",INDEX(Техника!$G$1:$ABN$500,G$2,0),$A$1607,INDEX(Техника!$H$1:$ABO$500,G$2,0),"М")</f>
        <v>0</v>
      </c>
      <c r="H1608" s="50">
        <f>SUMIFS(INDEX(Техника!$F$1:$ABM$500,H$2,0),Техника!$F$4:$ABM$4,"Часы",INDEX(Техника!$G$1:$ABN$500,H$2,0),$A$1607,INDEX(Техника!$H$1:$ABO$500,H$2,0),"М")</f>
        <v>0</v>
      </c>
      <c r="I1608" s="50">
        <f>SUMIFS(INDEX(Техника!$F$1:$ABM$500,I$2,0),Техника!$F$4:$ABM$4,"Часы",INDEX(Техника!$G$1:$ABN$500,I$2,0),$A$1607,INDEX(Техника!$H$1:$ABO$500,I$2,0),"М")</f>
        <v>0</v>
      </c>
      <c r="J1608" s="50">
        <f>SUMIFS(INDEX(Техника!$F$1:$ABM$500,J$2,0),Техника!$F$4:$ABM$4,"Часы",INDEX(Техника!$G$1:$ABN$500,J$2,0),$A$1607,INDEX(Техника!$H$1:$ABO$500,J$2,0),"М")</f>
        <v>0</v>
      </c>
      <c r="K1608" s="50">
        <f>SUMIFS(INDEX(Техника!$F$1:$ABM$500,K$2,0),Техника!$F$4:$ABM$4,"Часы",INDEX(Техника!$G$1:$ABN$500,K$2,0),$A$1607,INDEX(Техника!$H$1:$ABO$500,K$2,0),"М")</f>
        <v>0</v>
      </c>
      <c r="L1608" s="50">
        <f>SUMIFS(INDEX(Техника!$F$1:$ABM$500,L$2,0),Техника!$F$4:$ABM$4,"Часы",INDEX(Техника!$G$1:$ABN$500,L$2,0),$A$1607,INDEX(Техника!$H$1:$ABO$500,L$2,0),"М")</f>
        <v>0</v>
      </c>
      <c r="M1608" s="50">
        <f>SUMIFS(INDEX(Техника!$F$1:$ABM$500,M$2,0),Техника!$F$4:$ABM$4,"Часы",INDEX(Техника!$G$1:$ABN$500,M$2,0),$A$1607,INDEX(Техника!$H$1:$ABO$500,M$2,0),"М")</f>
        <v>0</v>
      </c>
      <c r="N1608" s="50">
        <f>SUMIFS(INDEX(Техника!$F$1:$ABM$500,N$2,0),Техника!$F$4:$ABM$4,"Часы",INDEX(Техника!$G$1:$ABN$500,N$2,0),$A$1607,INDEX(Техника!$H$1:$ABO$500,N$2,0),"М")</f>
        <v>0</v>
      </c>
      <c r="O1608" s="50">
        <f>SUMIFS(INDEX(Техника!$F$1:$ABM$500,O$2,0),Техника!$F$4:$ABM$4,"Часы",INDEX(Техника!$G$1:$ABN$500,O$2,0),$A$1607,INDEX(Техника!$H$1:$ABO$500,O$2,0),"М")</f>
        <v>0</v>
      </c>
      <c r="P1608" s="50">
        <f>SUMIFS(INDEX(Техника!$F$1:$ABM$500,P$2,0),Техника!$F$4:$ABM$4,"Часы",INDEX(Техника!$G$1:$ABN$500,P$2,0),$A$1607,INDEX(Техника!$H$1:$ABO$500,P$2,0),"М")</f>
        <v>0</v>
      </c>
      <c r="Q1608" s="50">
        <f>SUMIFS(INDEX(Техника!$F$1:$ABM$500,Q$2,0),Техника!$F$4:$ABM$4,"Часы",INDEX(Техника!$G$1:$ABN$500,Q$2,0),$A$1607,INDEX(Техника!$H$1:$ABO$500,Q$2,0),"М")</f>
        <v>0</v>
      </c>
      <c r="R1608" s="50">
        <f>SUMIFS(INDEX(Техника!$F$1:$ABM$500,R$2,0),Техника!$F$4:$ABM$4,"Часы",INDEX(Техника!$G$1:$ABN$500,R$2,0),$A$1607,INDEX(Техника!$H$1:$ABO$500,R$2,0),"М")</f>
        <v>0</v>
      </c>
      <c r="S1608" s="50">
        <f>SUMIFS(INDEX(Техника!$F$1:$ABM$500,S$2,0),Техника!$F$4:$ABM$4,"Часы",INDEX(Техника!$G$1:$ABN$500,S$2,0),$A$1607,INDEX(Техника!$H$1:$ABO$500,S$2,0),"М")</f>
        <v>0</v>
      </c>
      <c r="T1608" s="50">
        <f>SUMIFS(INDEX(Техника!$F$1:$ABM$500,T$2,0),Техника!$F$4:$ABM$4,"Часы",INDEX(Техника!$G$1:$ABN$500,T$2,0),$A$1607,INDEX(Техника!$H$1:$ABO$500,T$2,0),"М")</f>
        <v>0</v>
      </c>
      <c r="U1608" s="50">
        <f>SUMIFS(INDEX(Техника!$F$1:$ABM$500,U$2,0),Техника!$F$4:$ABM$4,"Часы",INDEX(Техника!$G$1:$ABN$500,U$2,0),$A$1607,INDEX(Техника!$H$1:$ABO$500,U$2,0),"М")</f>
        <v>0</v>
      </c>
      <c r="V1608" s="50">
        <f>SUMIFS(INDEX(Техника!$F$1:$ABM$500,V$2,0),Техника!$F$4:$ABM$4,"Часы",INDEX(Техника!$G$1:$ABN$500,V$2,0),$A$1607,INDEX(Техника!$H$1:$ABO$500,V$2,0),"М")</f>
        <v>0</v>
      </c>
      <c r="W1608" s="50">
        <f>SUMIFS(INDEX(Техника!$F$1:$ABM$500,W$2,0),Техника!$F$4:$ABM$4,"Часы",INDEX(Техника!$G$1:$ABN$500,W$2,0),$A$1607,INDEX(Техника!$H$1:$ABO$500,W$2,0),"М")</f>
        <v>0</v>
      </c>
      <c r="X1608" s="50">
        <f>SUMIFS(INDEX(Техника!$F$1:$ABM$500,X$2,0),Техника!$F$4:$ABM$4,"Часы",INDEX(Техника!$G$1:$ABN$500,X$2,0),$A$1607,INDEX(Техника!$H$1:$ABO$500,X$2,0),"М")</f>
        <v>0</v>
      </c>
      <c r="Y1608" s="50">
        <f>SUMIFS(INDEX(Техника!$F$1:$ABM$500,Y$2,0),Техника!$F$4:$ABM$4,"Часы",INDEX(Техника!$G$1:$ABN$500,Y$2,0),$A$1607,INDEX(Техника!$H$1:$ABO$500,Y$2,0),"М")</f>
        <v>0</v>
      </c>
      <c r="Z1608" s="50">
        <f>SUMIFS(INDEX(Техника!$F$1:$ABM$500,Z$2,0),Техника!$F$4:$ABM$4,"Часы",INDEX(Техника!$G$1:$ABN$500,Z$2,0),$A$1607,INDEX(Техника!$H$1:$ABO$500,Z$2,0),"М")</f>
        <v>0</v>
      </c>
      <c r="AA1608" s="50">
        <f>SUMIFS(INDEX(Техника!$F$1:$ABM$500,AA$2,0),Техника!$F$4:$ABM$4,"Часы",INDEX(Техника!$G$1:$ABN$500,AA$2,0),$A$1607,INDEX(Техника!$H$1:$ABO$500,AA$2,0),"М")</f>
        <v>0</v>
      </c>
      <c r="AB1608" s="50">
        <f>SUMIFS(INDEX(Техника!$F$1:$ABM$500,AB$2,0),Техника!$F$4:$ABM$4,"Часы",INDEX(Техника!$G$1:$ABN$500,AB$2,0),$A$1607,INDEX(Техника!$H$1:$ABO$500,AB$2,0),"М")</f>
        <v>0</v>
      </c>
    </row>
    <row r="1609" spans="1:28" hidden="1" outlineLevel="1" x14ac:dyDescent="0.3">
      <c r="A1609" s="33" t="s">
        <v>244</v>
      </c>
      <c r="B1609" s="34" t="s">
        <v>275</v>
      </c>
      <c r="C1609" s="50">
        <f>SUMIFS(INDEX(Техника!$F$1:$ABM$500,C$2,0),Техника!$F$4:$ABM$4,"Часы",INDEX(Техника!$G$1:$ABN$500,C$2,0),$A$1607,INDEX(Техника!$H$1:$ABO$500,C$2,0),"Д")</f>
        <v>0</v>
      </c>
      <c r="D1609" s="50">
        <f>SUMIFS(INDEX(Техника!$F$1:$ABM$500,D$2,0),Техника!$F$4:$ABM$4,"Часы",INDEX(Техника!$G$1:$ABN$500,D$2,0),$A$1607,INDEX(Техника!$H$1:$ABO$500,D$2,0),"Д")</f>
        <v>0</v>
      </c>
      <c r="E1609" s="50">
        <f>SUMIFS(INDEX(Техника!$F$1:$ABM$500,E$2,0),Техника!$F$4:$ABM$4,"Часы",INDEX(Техника!$G$1:$ABN$500,E$2,0),$A$1607,INDEX(Техника!$H$1:$ABO$500,E$2,0),"Д")</f>
        <v>0</v>
      </c>
      <c r="F1609" s="50">
        <f>SUMIFS(INDEX(Техника!$F$1:$ABM$500,F$2,0),Техника!$F$4:$ABM$4,"Часы",INDEX(Техника!$G$1:$ABN$500,F$2,0),$A$1607,INDEX(Техника!$H$1:$ABO$500,F$2,0),"Д")</f>
        <v>0</v>
      </c>
      <c r="G1609" s="50">
        <f>SUMIFS(INDEX(Техника!$F$1:$ABM$500,G$2,0),Техника!$F$4:$ABM$4,"Часы",INDEX(Техника!$G$1:$ABN$500,G$2,0),$A$1607,INDEX(Техника!$H$1:$ABO$500,G$2,0),"Д")</f>
        <v>0</v>
      </c>
      <c r="H1609" s="50">
        <f>SUMIFS(INDEX(Техника!$F$1:$ABM$500,H$2,0),Техника!$F$4:$ABM$4,"Часы",INDEX(Техника!$G$1:$ABN$500,H$2,0),$A$1607,INDEX(Техника!$H$1:$ABO$500,H$2,0),"Д")</f>
        <v>0</v>
      </c>
      <c r="I1609" s="50">
        <f>SUMIFS(INDEX(Техника!$F$1:$ABM$500,I$2,0),Техника!$F$4:$ABM$4,"Часы",INDEX(Техника!$G$1:$ABN$500,I$2,0),$A$1607,INDEX(Техника!$H$1:$ABO$500,I$2,0),"Д")</f>
        <v>0</v>
      </c>
      <c r="J1609" s="50">
        <f>SUMIFS(INDEX(Техника!$F$1:$ABM$500,J$2,0),Техника!$F$4:$ABM$4,"Часы",INDEX(Техника!$G$1:$ABN$500,J$2,0),$A$1607,INDEX(Техника!$H$1:$ABO$500,J$2,0),"Д")</f>
        <v>0</v>
      </c>
      <c r="K1609" s="50">
        <f>SUMIFS(INDEX(Техника!$F$1:$ABM$500,K$2,0),Техника!$F$4:$ABM$4,"Часы",INDEX(Техника!$G$1:$ABN$500,K$2,0),$A$1607,INDEX(Техника!$H$1:$ABO$500,K$2,0),"Д")</f>
        <v>0</v>
      </c>
      <c r="L1609" s="50">
        <f>SUMIFS(INDEX(Техника!$F$1:$ABM$500,L$2,0),Техника!$F$4:$ABM$4,"Часы",INDEX(Техника!$G$1:$ABN$500,L$2,0),$A$1607,INDEX(Техника!$H$1:$ABO$500,L$2,0),"Д")</f>
        <v>0</v>
      </c>
      <c r="M1609" s="50">
        <f>SUMIFS(INDEX(Техника!$F$1:$ABM$500,M$2,0),Техника!$F$4:$ABM$4,"Часы",INDEX(Техника!$G$1:$ABN$500,M$2,0),$A$1607,INDEX(Техника!$H$1:$ABO$500,M$2,0),"Д")</f>
        <v>0</v>
      </c>
      <c r="N1609" s="50">
        <f>SUMIFS(INDEX(Техника!$F$1:$ABM$500,N$2,0),Техника!$F$4:$ABM$4,"Часы",INDEX(Техника!$G$1:$ABN$500,N$2,0),$A$1607,INDEX(Техника!$H$1:$ABO$500,N$2,0),"Д")</f>
        <v>0</v>
      </c>
      <c r="O1609" s="50">
        <f>SUMIFS(INDEX(Техника!$F$1:$ABM$500,O$2,0),Техника!$F$4:$ABM$4,"Часы",INDEX(Техника!$G$1:$ABN$500,O$2,0),$A$1607,INDEX(Техника!$H$1:$ABO$500,O$2,0),"Д")</f>
        <v>0</v>
      </c>
      <c r="P1609" s="50">
        <f>SUMIFS(INDEX(Техника!$F$1:$ABM$500,P$2,0),Техника!$F$4:$ABM$4,"Часы",INDEX(Техника!$G$1:$ABN$500,P$2,0),$A$1607,INDEX(Техника!$H$1:$ABO$500,P$2,0),"Д")</f>
        <v>0</v>
      </c>
      <c r="Q1609" s="50">
        <f>SUMIFS(INDEX(Техника!$F$1:$ABM$500,Q$2,0),Техника!$F$4:$ABM$4,"Часы",INDEX(Техника!$G$1:$ABN$500,Q$2,0),$A$1607,INDEX(Техника!$H$1:$ABO$500,Q$2,0),"Д")</f>
        <v>0</v>
      </c>
      <c r="R1609" s="50">
        <f>SUMIFS(INDEX(Техника!$F$1:$ABM$500,R$2,0),Техника!$F$4:$ABM$4,"Часы",INDEX(Техника!$G$1:$ABN$500,R$2,0),$A$1607,INDEX(Техника!$H$1:$ABO$500,R$2,0),"Д")</f>
        <v>0</v>
      </c>
      <c r="S1609" s="50">
        <f>SUMIFS(INDEX(Техника!$F$1:$ABM$500,S$2,0),Техника!$F$4:$ABM$4,"Часы",INDEX(Техника!$G$1:$ABN$500,S$2,0),$A$1607,INDEX(Техника!$H$1:$ABO$500,S$2,0),"Д")</f>
        <v>0</v>
      </c>
      <c r="T1609" s="50">
        <f>SUMIFS(INDEX(Техника!$F$1:$ABM$500,T$2,0),Техника!$F$4:$ABM$4,"Часы",INDEX(Техника!$G$1:$ABN$500,T$2,0),$A$1607,INDEX(Техника!$H$1:$ABO$500,T$2,0),"Д")</f>
        <v>0</v>
      </c>
      <c r="U1609" s="50">
        <f>SUMIFS(INDEX(Техника!$F$1:$ABM$500,U$2,0),Техника!$F$4:$ABM$4,"Часы",INDEX(Техника!$G$1:$ABN$500,U$2,0),$A$1607,INDEX(Техника!$H$1:$ABO$500,U$2,0),"Д")</f>
        <v>0</v>
      </c>
      <c r="V1609" s="50">
        <f>SUMIFS(INDEX(Техника!$F$1:$ABM$500,V$2,0),Техника!$F$4:$ABM$4,"Часы",INDEX(Техника!$G$1:$ABN$500,V$2,0),$A$1607,INDEX(Техника!$H$1:$ABO$500,V$2,0),"Д")</f>
        <v>0</v>
      </c>
      <c r="W1609" s="50">
        <f>SUMIFS(INDEX(Техника!$F$1:$ABM$500,W$2,0),Техника!$F$4:$ABM$4,"Часы",INDEX(Техника!$G$1:$ABN$500,W$2,0),$A$1607,INDEX(Техника!$H$1:$ABO$500,W$2,0),"Д")</f>
        <v>0</v>
      </c>
      <c r="X1609" s="50">
        <f>SUMIFS(INDEX(Техника!$F$1:$ABM$500,X$2,0),Техника!$F$4:$ABM$4,"Часы",INDEX(Техника!$G$1:$ABN$500,X$2,0),$A$1607,INDEX(Техника!$H$1:$ABO$500,X$2,0),"Д")</f>
        <v>0</v>
      </c>
      <c r="Y1609" s="50">
        <f>SUMIFS(INDEX(Техника!$F$1:$ABM$500,Y$2,0),Техника!$F$4:$ABM$4,"Часы",INDEX(Техника!$G$1:$ABN$500,Y$2,0),$A$1607,INDEX(Техника!$H$1:$ABO$500,Y$2,0),"Д")</f>
        <v>0</v>
      </c>
      <c r="Z1609" s="50">
        <f>SUMIFS(INDEX(Техника!$F$1:$ABM$500,Z$2,0),Техника!$F$4:$ABM$4,"Часы",INDEX(Техника!$G$1:$ABN$500,Z$2,0),$A$1607,INDEX(Техника!$H$1:$ABO$500,Z$2,0),"Д")</f>
        <v>0</v>
      </c>
      <c r="AA1609" s="50">
        <f>SUMIFS(INDEX(Техника!$F$1:$ABM$500,AA$2,0),Техника!$F$4:$ABM$4,"Часы",INDEX(Техника!$G$1:$ABN$500,AA$2,0),$A$1607,INDEX(Техника!$H$1:$ABO$500,AA$2,0),"Д")</f>
        <v>0</v>
      </c>
      <c r="AB1609" s="50">
        <f>SUMIFS(INDEX(Техника!$F$1:$ABM$500,AB$2,0),Техника!$F$4:$ABM$4,"Часы",INDEX(Техника!$G$1:$ABN$500,AB$2,0),$A$1607,INDEX(Техника!$H$1:$ABO$500,AB$2,0),"Д")</f>
        <v>0</v>
      </c>
    </row>
    <row r="1610" spans="1:28" hidden="1" outlineLevel="1" x14ac:dyDescent="0.3">
      <c r="A1610" s="33" t="s">
        <v>276</v>
      </c>
      <c r="B1610" s="34" t="s">
        <v>277</v>
      </c>
      <c r="C1610" s="50">
        <f>SUMIFS(INDEX(Техника!$F$1:$ABM$500,C$2,0),Техника!$F$4:$ABM$4,"Часы",INDEX(Техника!$G$1:$ABN$500,C$2,0),$A$1607,INDEX(Техника!$H$1:$ABO$500,C$2,0),"П")</f>
        <v>0</v>
      </c>
      <c r="D1610" s="50">
        <f>SUMIFS(INDEX(Техника!$F$1:$ABM$500,D$2,0),Техника!$F$4:$ABM$4,"Часы",INDEX(Техника!$G$1:$ABN$500,D$2,0),$A$1607,INDEX(Техника!$H$1:$ABO$500,D$2,0),"П")</f>
        <v>0</v>
      </c>
      <c r="E1610" s="50">
        <f>SUMIFS(INDEX(Техника!$F$1:$ABM$500,E$2,0),Техника!$F$4:$ABM$4,"Часы",INDEX(Техника!$G$1:$ABN$500,E$2,0),$A$1607,INDEX(Техника!$H$1:$ABO$500,E$2,0),"П")</f>
        <v>0</v>
      </c>
      <c r="F1610" s="50">
        <f>SUMIFS(INDEX(Техника!$F$1:$ABM$500,F$2,0),Техника!$F$4:$ABM$4,"Часы",INDEX(Техника!$G$1:$ABN$500,F$2,0),$A$1607,INDEX(Техника!$H$1:$ABO$500,F$2,0),"П")</f>
        <v>0</v>
      </c>
      <c r="G1610" s="50">
        <f>SUMIFS(INDEX(Техника!$F$1:$ABM$500,G$2,0),Техника!$F$4:$ABM$4,"Часы",INDEX(Техника!$G$1:$ABN$500,G$2,0),$A$1607,INDEX(Техника!$H$1:$ABO$500,G$2,0),"П")</f>
        <v>0</v>
      </c>
      <c r="H1610" s="50">
        <f>SUMIFS(INDEX(Техника!$F$1:$ABM$500,H$2,0),Техника!$F$4:$ABM$4,"Часы",INDEX(Техника!$G$1:$ABN$500,H$2,0),$A$1607,INDEX(Техника!$H$1:$ABO$500,H$2,0),"П")</f>
        <v>0</v>
      </c>
      <c r="I1610" s="50">
        <f>SUMIFS(INDEX(Техника!$F$1:$ABM$500,I$2,0),Техника!$F$4:$ABM$4,"Часы",INDEX(Техника!$G$1:$ABN$500,I$2,0),$A$1607,INDEX(Техника!$H$1:$ABO$500,I$2,0),"П")</f>
        <v>0</v>
      </c>
      <c r="J1610" s="50">
        <f>SUMIFS(INDEX(Техника!$F$1:$ABM$500,J$2,0),Техника!$F$4:$ABM$4,"Часы",INDEX(Техника!$G$1:$ABN$500,J$2,0),$A$1607,INDEX(Техника!$H$1:$ABO$500,J$2,0),"П")</f>
        <v>0</v>
      </c>
      <c r="K1610" s="50">
        <f>SUMIFS(INDEX(Техника!$F$1:$ABM$500,K$2,0),Техника!$F$4:$ABM$4,"Часы",INDEX(Техника!$G$1:$ABN$500,K$2,0),$A$1607,INDEX(Техника!$H$1:$ABO$500,K$2,0),"П")</f>
        <v>0</v>
      </c>
      <c r="L1610" s="50">
        <f>SUMIFS(INDEX(Техника!$F$1:$ABM$500,L$2,0),Техника!$F$4:$ABM$4,"Часы",INDEX(Техника!$G$1:$ABN$500,L$2,0),$A$1607,INDEX(Техника!$H$1:$ABO$500,L$2,0),"П")</f>
        <v>0</v>
      </c>
      <c r="M1610" s="50">
        <f>SUMIFS(INDEX(Техника!$F$1:$ABM$500,M$2,0),Техника!$F$4:$ABM$4,"Часы",INDEX(Техника!$G$1:$ABN$500,M$2,0),$A$1607,INDEX(Техника!$H$1:$ABO$500,M$2,0),"П")</f>
        <v>0</v>
      </c>
      <c r="N1610" s="50">
        <f>SUMIFS(INDEX(Техника!$F$1:$ABM$500,N$2,0),Техника!$F$4:$ABM$4,"Часы",INDEX(Техника!$G$1:$ABN$500,N$2,0),$A$1607,INDEX(Техника!$H$1:$ABO$500,N$2,0),"П")</f>
        <v>0</v>
      </c>
      <c r="O1610" s="50">
        <f>SUMIFS(INDEX(Техника!$F$1:$ABM$500,O$2,0),Техника!$F$4:$ABM$4,"Часы",INDEX(Техника!$G$1:$ABN$500,O$2,0),$A$1607,INDEX(Техника!$H$1:$ABO$500,O$2,0),"П")</f>
        <v>0</v>
      </c>
      <c r="P1610" s="50">
        <f>SUMIFS(INDEX(Техника!$F$1:$ABM$500,P$2,0),Техника!$F$4:$ABM$4,"Часы",INDEX(Техника!$G$1:$ABN$500,P$2,0),$A$1607,INDEX(Техника!$H$1:$ABO$500,P$2,0),"П")</f>
        <v>0</v>
      </c>
      <c r="Q1610" s="50">
        <f>SUMIFS(INDEX(Техника!$F$1:$ABM$500,Q$2,0),Техника!$F$4:$ABM$4,"Часы",INDEX(Техника!$G$1:$ABN$500,Q$2,0),$A$1607,INDEX(Техника!$H$1:$ABO$500,Q$2,0),"П")</f>
        <v>0</v>
      </c>
      <c r="R1610" s="50">
        <f>SUMIFS(INDEX(Техника!$F$1:$ABM$500,R$2,0),Техника!$F$4:$ABM$4,"Часы",INDEX(Техника!$G$1:$ABN$500,R$2,0),$A$1607,INDEX(Техника!$H$1:$ABO$500,R$2,0),"П")</f>
        <v>0</v>
      </c>
      <c r="S1610" s="50">
        <f>SUMIFS(INDEX(Техника!$F$1:$ABM$500,S$2,0),Техника!$F$4:$ABM$4,"Часы",INDEX(Техника!$G$1:$ABN$500,S$2,0),$A$1607,INDEX(Техника!$H$1:$ABO$500,S$2,0),"П")</f>
        <v>0</v>
      </c>
      <c r="T1610" s="50">
        <f>SUMIFS(INDEX(Техника!$F$1:$ABM$500,T$2,0),Техника!$F$4:$ABM$4,"Часы",INDEX(Техника!$G$1:$ABN$500,T$2,0),$A$1607,INDEX(Техника!$H$1:$ABO$500,T$2,0),"П")</f>
        <v>0</v>
      </c>
      <c r="U1610" s="50">
        <f>SUMIFS(INDEX(Техника!$F$1:$ABM$500,U$2,0),Техника!$F$4:$ABM$4,"Часы",INDEX(Техника!$G$1:$ABN$500,U$2,0),$A$1607,INDEX(Техника!$H$1:$ABO$500,U$2,0),"П")</f>
        <v>0</v>
      </c>
      <c r="V1610" s="50">
        <f>SUMIFS(INDEX(Техника!$F$1:$ABM$500,V$2,0),Техника!$F$4:$ABM$4,"Часы",INDEX(Техника!$G$1:$ABN$500,V$2,0),$A$1607,INDEX(Техника!$H$1:$ABO$500,V$2,0),"П")</f>
        <v>0</v>
      </c>
      <c r="W1610" s="50">
        <f>SUMIFS(INDEX(Техника!$F$1:$ABM$500,W$2,0),Техника!$F$4:$ABM$4,"Часы",INDEX(Техника!$G$1:$ABN$500,W$2,0),$A$1607,INDEX(Техника!$H$1:$ABO$500,W$2,0),"П")</f>
        <v>0</v>
      </c>
      <c r="X1610" s="50">
        <f>SUMIFS(INDEX(Техника!$F$1:$ABM$500,X$2,0),Техника!$F$4:$ABM$4,"Часы",INDEX(Техника!$G$1:$ABN$500,X$2,0),$A$1607,INDEX(Техника!$H$1:$ABO$500,X$2,0),"П")</f>
        <v>0</v>
      </c>
      <c r="Y1610" s="50">
        <f>SUMIFS(INDEX(Техника!$F$1:$ABM$500,Y$2,0),Техника!$F$4:$ABM$4,"Часы",INDEX(Техника!$G$1:$ABN$500,Y$2,0),$A$1607,INDEX(Техника!$H$1:$ABO$500,Y$2,0),"П")</f>
        <v>0</v>
      </c>
      <c r="Z1610" s="50">
        <f>SUMIFS(INDEX(Техника!$F$1:$ABM$500,Z$2,0),Техника!$F$4:$ABM$4,"Часы",INDEX(Техника!$G$1:$ABN$500,Z$2,0),$A$1607,INDEX(Техника!$H$1:$ABO$500,Z$2,0),"П")</f>
        <v>0</v>
      </c>
      <c r="AA1610" s="50">
        <f>SUMIFS(INDEX(Техника!$F$1:$ABM$500,AA$2,0),Техника!$F$4:$ABM$4,"Часы",INDEX(Техника!$G$1:$ABN$500,AA$2,0),$A$1607,INDEX(Техника!$H$1:$ABO$500,AA$2,0),"П")</f>
        <v>0</v>
      </c>
      <c r="AB1610" s="50">
        <f>SUMIFS(INDEX(Техника!$F$1:$ABM$500,AB$2,0),Техника!$F$4:$ABM$4,"Часы",INDEX(Техника!$G$1:$ABN$500,AB$2,0),$A$1607,INDEX(Техника!$H$1:$ABO$500,AB$2,0),"П")</f>
        <v>0</v>
      </c>
    </row>
    <row r="1611" spans="1:28" hidden="1" outlineLevel="1" x14ac:dyDescent="0.3">
      <c r="A1611" s="33" t="s">
        <v>243</v>
      </c>
      <c r="B1611" s="34" t="s">
        <v>278</v>
      </c>
      <c r="C1611" s="50">
        <f>SUMIFS(INDEX(Техника!$F$1:$ABM$500,C$2,0),Техника!$F$4:$ABM$4,"Часы",INDEX(Техника!$G$1:$ABN$500,C$2,0),$A$1607,INDEX(Техника!$H$1:$ABO$500,C$2,0),"Л")</f>
        <v>0</v>
      </c>
      <c r="D1611" s="50">
        <f>SUMIFS(INDEX(Техника!$F$1:$ABM$500,D$2,0),Техника!$F$4:$ABM$4,"Часы",INDEX(Техника!$G$1:$ABN$500,D$2,0),$A$1607,INDEX(Техника!$H$1:$ABO$500,D$2,0),"Л")</f>
        <v>0</v>
      </c>
      <c r="E1611" s="50">
        <f>SUMIFS(INDEX(Техника!$F$1:$ABM$500,E$2,0),Техника!$F$4:$ABM$4,"Часы",INDEX(Техника!$G$1:$ABN$500,E$2,0),$A$1607,INDEX(Техника!$H$1:$ABO$500,E$2,0),"Л")</f>
        <v>0</v>
      </c>
      <c r="F1611" s="50">
        <f>SUMIFS(INDEX(Техника!$F$1:$ABM$500,F$2,0),Техника!$F$4:$ABM$4,"Часы",INDEX(Техника!$G$1:$ABN$500,F$2,0),$A$1607,INDEX(Техника!$H$1:$ABO$500,F$2,0),"Л")</f>
        <v>0</v>
      </c>
      <c r="G1611" s="50">
        <f>SUMIFS(INDEX(Техника!$F$1:$ABM$500,G$2,0),Техника!$F$4:$ABM$4,"Часы",INDEX(Техника!$G$1:$ABN$500,G$2,0),$A$1607,INDEX(Техника!$H$1:$ABO$500,G$2,0),"Л")</f>
        <v>0</v>
      </c>
      <c r="H1611" s="50">
        <f>SUMIFS(INDEX(Техника!$F$1:$ABM$500,H$2,0),Техника!$F$4:$ABM$4,"Часы",INDEX(Техника!$G$1:$ABN$500,H$2,0),$A$1607,INDEX(Техника!$H$1:$ABO$500,H$2,0),"Л")</f>
        <v>0</v>
      </c>
      <c r="I1611" s="50">
        <f>SUMIFS(INDEX(Техника!$F$1:$ABM$500,I$2,0),Техника!$F$4:$ABM$4,"Часы",INDEX(Техника!$G$1:$ABN$500,I$2,0),$A$1607,INDEX(Техника!$H$1:$ABO$500,I$2,0),"Л")</f>
        <v>0</v>
      </c>
      <c r="J1611" s="50">
        <f>SUMIFS(INDEX(Техника!$F$1:$ABM$500,J$2,0),Техника!$F$4:$ABM$4,"Часы",INDEX(Техника!$G$1:$ABN$500,J$2,0),$A$1607,INDEX(Техника!$H$1:$ABO$500,J$2,0),"Л")</f>
        <v>0</v>
      </c>
      <c r="K1611" s="50">
        <f>SUMIFS(INDEX(Техника!$F$1:$ABM$500,K$2,0),Техника!$F$4:$ABM$4,"Часы",INDEX(Техника!$G$1:$ABN$500,K$2,0),$A$1607,INDEX(Техника!$H$1:$ABO$500,K$2,0),"Л")</f>
        <v>0</v>
      </c>
      <c r="L1611" s="50">
        <f>SUMIFS(INDEX(Техника!$F$1:$ABM$500,L$2,0),Техника!$F$4:$ABM$4,"Часы",INDEX(Техника!$G$1:$ABN$500,L$2,0),$A$1607,INDEX(Техника!$H$1:$ABO$500,L$2,0),"Л")</f>
        <v>0</v>
      </c>
      <c r="M1611" s="50">
        <f>SUMIFS(INDEX(Техника!$F$1:$ABM$500,M$2,0),Техника!$F$4:$ABM$4,"Часы",INDEX(Техника!$G$1:$ABN$500,M$2,0),$A$1607,INDEX(Техника!$H$1:$ABO$500,M$2,0),"Л")</f>
        <v>0</v>
      </c>
      <c r="N1611" s="50">
        <f>SUMIFS(INDEX(Техника!$F$1:$ABM$500,N$2,0),Техника!$F$4:$ABM$4,"Часы",INDEX(Техника!$G$1:$ABN$500,N$2,0),$A$1607,INDEX(Техника!$H$1:$ABO$500,N$2,0),"Л")</f>
        <v>0</v>
      </c>
      <c r="O1611" s="50">
        <f>SUMIFS(INDEX(Техника!$F$1:$ABM$500,O$2,0),Техника!$F$4:$ABM$4,"Часы",INDEX(Техника!$G$1:$ABN$500,O$2,0),$A$1607,INDEX(Техника!$H$1:$ABO$500,O$2,0),"Л")</f>
        <v>0</v>
      </c>
      <c r="P1611" s="50">
        <f>SUMIFS(INDEX(Техника!$F$1:$ABM$500,P$2,0),Техника!$F$4:$ABM$4,"Часы",INDEX(Техника!$G$1:$ABN$500,P$2,0),$A$1607,INDEX(Техника!$H$1:$ABO$500,P$2,0),"Л")</f>
        <v>0</v>
      </c>
      <c r="Q1611" s="50">
        <f>SUMIFS(INDEX(Техника!$F$1:$ABM$500,Q$2,0),Техника!$F$4:$ABM$4,"Часы",INDEX(Техника!$G$1:$ABN$500,Q$2,0),$A$1607,INDEX(Техника!$H$1:$ABO$500,Q$2,0),"Л")</f>
        <v>0</v>
      </c>
      <c r="R1611" s="50">
        <f>SUMIFS(INDEX(Техника!$F$1:$ABM$500,R$2,0),Техника!$F$4:$ABM$4,"Часы",INDEX(Техника!$G$1:$ABN$500,R$2,0),$A$1607,INDEX(Техника!$H$1:$ABO$500,R$2,0),"Л")</f>
        <v>0</v>
      </c>
      <c r="S1611" s="50">
        <f>SUMIFS(INDEX(Техника!$F$1:$ABM$500,S$2,0),Техника!$F$4:$ABM$4,"Часы",INDEX(Техника!$G$1:$ABN$500,S$2,0),$A$1607,INDEX(Техника!$H$1:$ABO$500,S$2,0),"Л")</f>
        <v>0</v>
      </c>
      <c r="T1611" s="50">
        <f>SUMIFS(INDEX(Техника!$F$1:$ABM$500,T$2,0),Техника!$F$4:$ABM$4,"Часы",INDEX(Техника!$G$1:$ABN$500,T$2,0),$A$1607,INDEX(Техника!$H$1:$ABO$500,T$2,0),"Л")</f>
        <v>0</v>
      </c>
      <c r="U1611" s="50">
        <f>SUMIFS(INDEX(Техника!$F$1:$ABM$500,U$2,0),Техника!$F$4:$ABM$4,"Часы",INDEX(Техника!$G$1:$ABN$500,U$2,0),$A$1607,INDEX(Техника!$H$1:$ABO$500,U$2,0),"Л")</f>
        <v>0</v>
      </c>
      <c r="V1611" s="50">
        <f>SUMIFS(INDEX(Техника!$F$1:$ABM$500,V$2,0),Техника!$F$4:$ABM$4,"Часы",INDEX(Техника!$G$1:$ABN$500,V$2,0),$A$1607,INDEX(Техника!$H$1:$ABO$500,V$2,0),"Л")</f>
        <v>0</v>
      </c>
      <c r="W1611" s="50">
        <f>SUMIFS(INDEX(Техника!$F$1:$ABM$500,W$2,0),Техника!$F$4:$ABM$4,"Часы",INDEX(Техника!$G$1:$ABN$500,W$2,0),$A$1607,INDEX(Техника!$H$1:$ABO$500,W$2,0),"Л")</f>
        <v>0</v>
      </c>
      <c r="X1611" s="50">
        <f>SUMIFS(INDEX(Техника!$F$1:$ABM$500,X$2,0),Техника!$F$4:$ABM$4,"Часы",INDEX(Техника!$G$1:$ABN$500,X$2,0),$A$1607,INDEX(Техника!$H$1:$ABO$500,X$2,0),"Л")</f>
        <v>0</v>
      </c>
      <c r="Y1611" s="50">
        <f>SUMIFS(INDEX(Техника!$F$1:$ABM$500,Y$2,0),Техника!$F$4:$ABM$4,"Часы",INDEX(Техника!$G$1:$ABN$500,Y$2,0),$A$1607,INDEX(Техника!$H$1:$ABO$500,Y$2,0),"Л")</f>
        <v>0</v>
      </c>
      <c r="Z1611" s="50">
        <f>SUMIFS(INDEX(Техника!$F$1:$ABM$500,Z$2,0),Техника!$F$4:$ABM$4,"Часы",INDEX(Техника!$G$1:$ABN$500,Z$2,0),$A$1607,INDEX(Техника!$H$1:$ABO$500,Z$2,0),"Л")</f>
        <v>0</v>
      </c>
      <c r="AA1611" s="50">
        <f>SUMIFS(INDEX(Техника!$F$1:$ABM$500,AA$2,0),Техника!$F$4:$ABM$4,"Часы",INDEX(Техника!$G$1:$ABN$500,AA$2,0),$A$1607,INDEX(Техника!$H$1:$ABO$500,AA$2,0),"Л")</f>
        <v>0</v>
      </c>
      <c r="AB1611" s="50">
        <f>SUMIFS(INDEX(Техника!$F$1:$ABM$500,AB$2,0),Техника!$F$4:$ABM$4,"Часы",INDEX(Техника!$G$1:$ABN$500,AB$2,0),$A$1607,INDEX(Техника!$H$1:$ABO$500,AB$2,0),"Л")</f>
        <v>0</v>
      </c>
    </row>
    <row r="1612" spans="1:28" hidden="1" outlineLevel="1" x14ac:dyDescent="0.3">
      <c r="A1612" s="33" t="s">
        <v>245</v>
      </c>
      <c r="B1612" s="34" t="s">
        <v>279</v>
      </c>
      <c r="C1612" s="50">
        <f>SUMIFS(INDEX(Техника!$F$1:$ABM$500,C$2,0),Техника!$F$4:$ABM$4,"Часы",INDEX(Техника!$G$1:$ABN$500,C$2,0),$A$1607,INDEX(Техника!$H$1:$ABO$500,C$2,0),"З")</f>
        <v>0</v>
      </c>
      <c r="D1612" s="50">
        <f>SUMIFS(INDEX(Техника!$F$1:$ABM$500,D$2,0),Техника!$F$4:$ABM$4,"Часы",INDEX(Техника!$G$1:$ABN$500,D$2,0),$A$1607,INDEX(Техника!$H$1:$ABO$500,D$2,0),"З")</f>
        <v>0</v>
      </c>
      <c r="E1612" s="50">
        <f>SUMIFS(INDEX(Техника!$F$1:$ABM$500,E$2,0),Техника!$F$4:$ABM$4,"Часы",INDEX(Техника!$G$1:$ABN$500,E$2,0),$A$1607,INDEX(Техника!$H$1:$ABO$500,E$2,0),"З")</f>
        <v>0</v>
      </c>
      <c r="F1612" s="50">
        <f>SUMIFS(INDEX(Техника!$F$1:$ABM$500,F$2,0),Техника!$F$4:$ABM$4,"Часы",INDEX(Техника!$G$1:$ABN$500,F$2,0),$A$1607,INDEX(Техника!$H$1:$ABO$500,F$2,0),"З")</f>
        <v>0</v>
      </c>
      <c r="G1612" s="50">
        <f>SUMIFS(INDEX(Техника!$F$1:$ABM$500,G$2,0),Техника!$F$4:$ABM$4,"Часы",INDEX(Техника!$G$1:$ABN$500,G$2,0),$A$1607,INDEX(Техника!$H$1:$ABO$500,G$2,0),"З")</f>
        <v>0</v>
      </c>
      <c r="H1612" s="50">
        <f>SUMIFS(INDEX(Техника!$F$1:$ABM$500,H$2,0),Техника!$F$4:$ABM$4,"Часы",INDEX(Техника!$G$1:$ABN$500,H$2,0),$A$1607,INDEX(Техника!$H$1:$ABO$500,H$2,0),"З")</f>
        <v>0</v>
      </c>
      <c r="I1612" s="50">
        <f>SUMIFS(INDEX(Техника!$F$1:$ABM$500,I$2,0),Техника!$F$4:$ABM$4,"Часы",INDEX(Техника!$G$1:$ABN$500,I$2,0),$A$1607,INDEX(Техника!$H$1:$ABO$500,I$2,0),"З")</f>
        <v>0</v>
      </c>
      <c r="J1612" s="50">
        <f>SUMIFS(INDEX(Техника!$F$1:$ABM$500,J$2,0),Техника!$F$4:$ABM$4,"Часы",INDEX(Техника!$G$1:$ABN$500,J$2,0),$A$1607,INDEX(Техника!$H$1:$ABO$500,J$2,0),"З")</f>
        <v>0</v>
      </c>
      <c r="K1612" s="50">
        <f>SUMIFS(INDEX(Техника!$F$1:$ABM$500,K$2,0),Техника!$F$4:$ABM$4,"Часы",INDEX(Техника!$G$1:$ABN$500,K$2,0),$A$1607,INDEX(Техника!$H$1:$ABO$500,K$2,0),"З")</f>
        <v>0</v>
      </c>
      <c r="L1612" s="50">
        <f>SUMIFS(INDEX(Техника!$F$1:$ABM$500,L$2,0),Техника!$F$4:$ABM$4,"Часы",INDEX(Техника!$G$1:$ABN$500,L$2,0),$A$1607,INDEX(Техника!$H$1:$ABO$500,L$2,0),"З")</f>
        <v>0</v>
      </c>
      <c r="M1612" s="50">
        <f>SUMIFS(INDEX(Техника!$F$1:$ABM$500,M$2,0),Техника!$F$4:$ABM$4,"Часы",INDEX(Техника!$G$1:$ABN$500,M$2,0),$A$1607,INDEX(Техника!$H$1:$ABO$500,M$2,0),"З")</f>
        <v>0</v>
      </c>
      <c r="N1612" s="50">
        <f>SUMIFS(INDEX(Техника!$F$1:$ABM$500,N$2,0),Техника!$F$4:$ABM$4,"Часы",INDEX(Техника!$G$1:$ABN$500,N$2,0),$A$1607,INDEX(Техника!$H$1:$ABO$500,N$2,0),"З")</f>
        <v>0</v>
      </c>
      <c r="O1612" s="50">
        <f>SUMIFS(INDEX(Техника!$F$1:$ABM$500,O$2,0),Техника!$F$4:$ABM$4,"Часы",INDEX(Техника!$G$1:$ABN$500,O$2,0),$A$1607,INDEX(Техника!$H$1:$ABO$500,O$2,0),"З")</f>
        <v>0</v>
      </c>
      <c r="P1612" s="50">
        <f>SUMIFS(INDEX(Техника!$F$1:$ABM$500,P$2,0),Техника!$F$4:$ABM$4,"Часы",INDEX(Техника!$G$1:$ABN$500,P$2,0),$A$1607,INDEX(Техника!$H$1:$ABO$500,P$2,0),"З")</f>
        <v>0</v>
      </c>
      <c r="Q1612" s="50">
        <f>SUMIFS(INDEX(Техника!$F$1:$ABM$500,Q$2,0),Техника!$F$4:$ABM$4,"Часы",INDEX(Техника!$G$1:$ABN$500,Q$2,0),$A$1607,INDEX(Техника!$H$1:$ABO$500,Q$2,0),"З")</f>
        <v>0</v>
      </c>
      <c r="R1612" s="50">
        <f>SUMIFS(INDEX(Техника!$F$1:$ABM$500,R$2,0),Техника!$F$4:$ABM$4,"Часы",INDEX(Техника!$G$1:$ABN$500,R$2,0),$A$1607,INDEX(Техника!$H$1:$ABO$500,R$2,0),"З")</f>
        <v>0</v>
      </c>
      <c r="S1612" s="50">
        <f>SUMIFS(INDEX(Техника!$F$1:$ABM$500,S$2,0),Техника!$F$4:$ABM$4,"Часы",INDEX(Техника!$G$1:$ABN$500,S$2,0),$A$1607,INDEX(Техника!$H$1:$ABO$500,S$2,0),"З")</f>
        <v>0</v>
      </c>
      <c r="T1612" s="50">
        <f>SUMIFS(INDEX(Техника!$F$1:$ABM$500,T$2,0),Техника!$F$4:$ABM$4,"Часы",INDEX(Техника!$G$1:$ABN$500,T$2,0),$A$1607,INDEX(Техника!$H$1:$ABO$500,T$2,0),"З")</f>
        <v>0</v>
      </c>
      <c r="U1612" s="50">
        <f>SUMIFS(INDEX(Техника!$F$1:$ABM$500,U$2,0),Техника!$F$4:$ABM$4,"Часы",INDEX(Техника!$G$1:$ABN$500,U$2,0),$A$1607,INDEX(Техника!$H$1:$ABO$500,U$2,0),"З")</f>
        <v>0</v>
      </c>
      <c r="V1612" s="50">
        <f>SUMIFS(INDEX(Техника!$F$1:$ABM$500,V$2,0),Техника!$F$4:$ABM$4,"Часы",INDEX(Техника!$G$1:$ABN$500,V$2,0),$A$1607,INDEX(Техника!$H$1:$ABO$500,V$2,0),"З")</f>
        <v>0</v>
      </c>
      <c r="W1612" s="50">
        <f>SUMIFS(INDEX(Техника!$F$1:$ABM$500,W$2,0),Техника!$F$4:$ABM$4,"Часы",INDEX(Техника!$G$1:$ABN$500,W$2,0),$A$1607,INDEX(Техника!$H$1:$ABO$500,W$2,0),"З")</f>
        <v>0</v>
      </c>
      <c r="X1612" s="50">
        <f>SUMIFS(INDEX(Техника!$F$1:$ABM$500,X$2,0),Техника!$F$4:$ABM$4,"Часы",INDEX(Техника!$G$1:$ABN$500,X$2,0),$A$1607,INDEX(Техника!$H$1:$ABO$500,X$2,0),"З")</f>
        <v>0</v>
      </c>
      <c r="Y1612" s="50">
        <f>SUMIFS(INDEX(Техника!$F$1:$ABM$500,Y$2,0),Техника!$F$4:$ABM$4,"Часы",INDEX(Техника!$G$1:$ABN$500,Y$2,0),$A$1607,INDEX(Техника!$H$1:$ABO$500,Y$2,0),"З")</f>
        <v>0</v>
      </c>
      <c r="Z1612" s="50">
        <f>SUMIFS(INDEX(Техника!$F$1:$ABM$500,Z$2,0),Техника!$F$4:$ABM$4,"Часы",INDEX(Техника!$G$1:$ABN$500,Z$2,0),$A$1607,INDEX(Техника!$H$1:$ABO$500,Z$2,0),"З")</f>
        <v>0</v>
      </c>
      <c r="AA1612" s="50">
        <f>SUMIFS(INDEX(Техника!$F$1:$ABM$500,AA$2,0),Техника!$F$4:$ABM$4,"Часы",INDEX(Техника!$G$1:$ABN$500,AA$2,0),$A$1607,INDEX(Техника!$H$1:$ABO$500,AA$2,0),"З")</f>
        <v>0</v>
      </c>
      <c r="AB1612" s="50">
        <f>SUMIFS(INDEX(Техника!$F$1:$ABM$500,AB$2,0),Техника!$F$4:$ABM$4,"Часы",INDEX(Техника!$G$1:$ABN$500,AB$2,0),$A$1607,INDEX(Техника!$H$1:$ABO$500,AB$2,0),"З")</f>
        <v>0</v>
      </c>
    </row>
    <row r="1613" spans="1:28" ht="7.95" customHeight="1" x14ac:dyDescent="0.3">
      <c r="A1613" s="38"/>
      <c r="B1613" s="39"/>
      <c r="C1613" s="51"/>
      <c r="D1613" s="51"/>
      <c r="E1613" s="51"/>
      <c r="F1613" s="51"/>
      <c r="G1613" s="51"/>
      <c r="H1613" s="51"/>
      <c r="I1613" s="51"/>
      <c r="J1613" s="51"/>
      <c r="K1613" s="51"/>
      <c r="L1613" s="51"/>
      <c r="M1613" s="51"/>
      <c r="N1613" s="51"/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  <c r="AA1613" s="51"/>
      <c r="AB1613" s="51"/>
    </row>
    <row r="1614" spans="1:28" ht="25.05" customHeight="1" collapsed="1" x14ac:dyDescent="0.3">
      <c r="A1614" s="32">
        <v>231</v>
      </c>
      <c r="B1614" s="32" t="s">
        <v>232</v>
      </c>
      <c r="C1614" s="49">
        <f>SUM(C1615:C1619)</f>
        <v>0</v>
      </c>
      <c r="D1614" s="49">
        <f>SUM(D1615:D1619)</f>
        <v>0</v>
      </c>
      <c r="E1614" s="49">
        <f>SUM(E1615:E1619)</f>
        <v>0</v>
      </c>
      <c r="F1614" s="49">
        <f>SUM(F1615:F1619)</f>
        <v>0</v>
      </c>
      <c r="G1614" s="49">
        <f>SUM(G1615:G1619)</f>
        <v>0</v>
      </c>
      <c r="H1614" s="49">
        <f>SUM(H1615:H1619)</f>
        <v>0</v>
      </c>
      <c r="I1614" s="49">
        <f>SUM(I1615:I1619)</f>
        <v>0</v>
      </c>
      <c r="J1614" s="49">
        <f>SUM(J1615:J1619)</f>
        <v>0</v>
      </c>
      <c r="K1614" s="49">
        <f>SUM(K1615:K1619)</f>
        <v>0</v>
      </c>
      <c r="L1614" s="49">
        <f>SUM(L1615:L1619)</f>
        <v>0</v>
      </c>
      <c r="M1614" s="49">
        <f>SUM(M1615:M1619)</f>
        <v>0</v>
      </c>
      <c r="N1614" s="49">
        <f>SUM(N1615:N1619)</f>
        <v>0</v>
      </c>
      <c r="O1614" s="49">
        <f>SUM(O1615:O1619)</f>
        <v>0</v>
      </c>
      <c r="P1614" s="49">
        <f>SUM(P1615:P1619)</f>
        <v>0</v>
      </c>
      <c r="Q1614" s="49">
        <f>SUM(Q1615:Q1619)</f>
        <v>0</v>
      </c>
      <c r="R1614" s="49">
        <f>SUM(R1615:R1619)</f>
        <v>0</v>
      </c>
      <c r="S1614" s="49">
        <f>SUM(S1615:S1619)</f>
        <v>0</v>
      </c>
      <c r="T1614" s="49">
        <f>SUM(T1615:T1619)</f>
        <v>0</v>
      </c>
      <c r="U1614" s="49">
        <f>SUM(U1615:U1619)</f>
        <v>0</v>
      </c>
      <c r="V1614" s="49">
        <f>SUM(V1615:V1619)</f>
        <v>0</v>
      </c>
      <c r="W1614" s="49">
        <f>SUM(W1615:W1619)</f>
        <v>0</v>
      </c>
      <c r="X1614" s="49">
        <f>SUM(X1615:X1619)</f>
        <v>0</v>
      </c>
      <c r="Y1614" s="49">
        <f>SUM(Y1615:Y1619)</f>
        <v>0</v>
      </c>
      <c r="Z1614" s="49">
        <f>SUM(Z1615:Z1619)</f>
        <v>0</v>
      </c>
      <c r="AA1614" s="49">
        <f>SUM(AA1615:AA1619)</f>
        <v>0</v>
      </c>
      <c r="AB1614" s="49">
        <f>SUM(AB1615:AB1619)</f>
        <v>0</v>
      </c>
    </row>
    <row r="1615" spans="1:28" hidden="1" outlineLevel="1" x14ac:dyDescent="0.3">
      <c r="A1615" s="33" t="s">
        <v>246</v>
      </c>
      <c r="B1615" s="34" t="s">
        <v>274</v>
      </c>
      <c r="C1615" s="50">
        <f>SUMIFS(INDEX(Техника!$F$1:$ABM$500,C$2,0),Техника!$F$4:$ABM$4,"Часы",INDEX(Техника!$G$1:$ABN$500,C$2,0),$A$1614,INDEX(Техника!$H$1:$ABO$500,C$2,0),"М")</f>
        <v>0</v>
      </c>
      <c r="D1615" s="50">
        <f>SUMIFS(INDEX(Техника!$F$1:$ABM$500,D$2,0),Техника!$F$4:$ABM$4,"Часы",INDEX(Техника!$G$1:$ABN$500,D$2,0),$A$1614,INDEX(Техника!$H$1:$ABO$500,D$2,0),"М")</f>
        <v>0</v>
      </c>
      <c r="E1615" s="50">
        <f>SUMIFS(INDEX(Техника!$F$1:$ABM$500,E$2,0),Техника!$F$4:$ABM$4,"Часы",INDEX(Техника!$G$1:$ABN$500,E$2,0),$A$1614,INDEX(Техника!$H$1:$ABO$500,E$2,0),"М")</f>
        <v>0</v>
      </c>
      <c r="F1615" s="50">
        <f>SUMIFS(INDEX(Техника!$F$1:$ABM$500,F$2,0),Техника!$F$4:$ABM$4,"Часы",INDEX(Техника!$G$1:$ABN$500,F$2,0),$A$1614,INDEX(Техника!$H$1:$ABO$500,F$2,0),"М")</f>
        <v>0</v>
      </c>
      <c r="G1615" s="50">
        <f>SUMIFS(INDEX(Техника!$F$1:$ABM$500,G$2,0),Техника!$F$4:$ABM$4,"Часы",INDEX(Техника!$G$1:$ABN$500,G$2,0),$A$1614,INDEX(Техника!$H$1:$ABO$500,G$2,0),"М")</f>
        <v>0</v>
      </c>
      <c r="H1615" s="50">
        <f>SUMIFS(INDEX(Техника!$F$1:$ABM$500,H$2,0),Техника!$F$4:$ABM$4,"Часы",INDEX(Техника!$G$1:$ABN$500,H$2,0),$A$1614,INDEX(Техника!$H$1:$ABO$500,H$2,0),"М")</f>
        <v>0</v>
      </c>
      <c r="I1615" s="50">
        <f>SUMIFS(INDEX(Техника!$F$1:$ABM$500,I$2,0),Техника!$F$4:$ABM$4,"Часы",INDEX(Техника!$G$1:$ABN$500,I$2,0),$A$1614,INDEX(Техника!$H$1:$ABO$500,I$2,0),"М")</f>
        <v>0</v>
      </c>
      <c r="J1615" s="50">
        <f>SUMIFS(INDEX(Техника!$F$1:$ABM$500,J$2,0),Техника!$F$4:$ABM$4,"Часы",INDEX(Техника!$G$1:$ABN$500,J$2,0),$A$1614,INDEX(Техника!$H$1:$ABO$500,J$2,0),"М")</f>
        <v>0</v>
      </c>
      <c r="K1615" s="50">
        <f>SUMIFS(INDEX(Техника!$F$1:$ABM$500,K$2,0),Техника!$F$4:$ABM$4,"Часы",INDEX(Техника!$G$1:$ABN$500,K$2,0),$A$1614,INDEX(Техника!$H$1:$ABO$500,K$2,0),"М")</f>
        <v>0</v>
      </c>
      <c r="L1615" s="50">
        <f>SUMIFS(INDEX(Техника!$F$1:$ABM$500,L$2,0),Техника!$F$4:$ABM$4,"Часы",INDEX(Техника!$G$1:$ABN$500,L$2,0),$A$1614,INDEX(Техника!$H$1:$ABO$500,L$2,0),"М")</f>
        <v>0</v>
      </c>
      <c r="M1615" s="50">
        <f>SUMIFS(INDEX(Техника!$F$1:$ABM$500,M$2,0),Техника!$F$4:$ABM$4,"Часы",INDEX(Техника!$G$1:$ABN$500,M$2,0),$A$1614,INDEX(Техника!$H$1:$ABO$500,M$2,0),"М")</f>
        <v>0</v>
      </c>
      <c r="N1615" s="50">
        <f>SUMIFS(INDEX(Техника!$F$1:$ABM$500,N$2,0),Техника!$F$4:$ABM$4,"Часы",INDEX(Техника!$G$1:$ABN$500,N$2,0),$A$1614,INDEX(Техника!$H$1:$ABO$500,N$2,0),"М")</f>
        <v>0</v>
      </c>
      <c r="O1615" s="50">
        <f>SUMIFS(INDEX(Техника!$F$1:$ABM$500,O$2,0),Техника!$F$4:$ABM$4,"Часы",INDEX(Техника!$G$1:$ABN$500,O$2,0),$A$1614,INDEX(Техника!$H$1:$ABO$500,O$2,0),"М")</f>
        <v>0</v>
      </c>
      <c r="P1615" s="50">
        <f>SUMIFS(INDEX(Техника!$F$1:$ABM$500,P$2,0),Техника!$F$4:$ABM$4,"Часы",INDEX(Техника!$G$1:$ABN$500,P$2,0),$A$1614,INDEX(Техника!$H$1:$ABO$500,P$2,0),"М")</f>
        <v>0</v>
      </c>
      <c r="Q1615" s="50">
        <f>SUMIFS(INDEX(Техника!$F$1:$ABM$500,Q$2,0),Техника!$F$4:$ABM$4,"Часы",INDEX(Техника!$G$1:$ABN$500,Q$2,0),$A$1614,INDEX(Техника!$H$1:$ABO$500,Q$2,0),"М")</f>
        <v>0</v>
      </c>
      <c r="R1615" s="50">
        <f>SUMIFS(INDEX(Техника!$F$1:$ABM$500,R$2,0),Техника!$F$4:$ABM$4,"Часы",INDEX(Техника!$G$1:$ABN$500,R$2,0),$A$1614,INDEX(Техника!$H$1:$ABO$500,R$2,0),"М")</f>
        <v>0</v>
      </c>
      <c r="S1615" s="50">
        <f>SUMIFS(INDEX(Техника!$F$1:$ABM$500,S$2,0),Техника!$F$4:$ABM$4,"Часы",INDEX(Техника!$G$1:$ABN$500,S$2,0),$A$1614,INDEX(Техника!$H$1:$ABO$500,S$2,0),"М")</f>
        <v>0</v>
      </c>
      <c r="T1615" s="50">
        <f>SUMIFS(INDEX(Техника!$F$1:$ABM$500,T$2,0),Техника!$F$4:$ABM$4,"Часы",INDEX(Техника!$G$1:$ABN$500,T$2,0),$A$1614,INDEX(Техника!$H$1:$ABO$500,T$2,0),"М")</f>
        <v>0</v>
      </c>
      <c r="U1615" s="50">
        <f>SUMIFS(INDEX(Техника!$F$1:$ABM$500,U$2,0),Техника!$F$4:$ABM$4,"Часы",INDEX(Техника!$G$1:$ABN$500,U$2,0),$A$1614,INDEX(Техника!$H$1:$ABO$500,U$2,0),"М")</f>
        <v>0</v>
      </c>
      <c r="V1615" s="50">
        <f>SUMIFS(INDEX(Техника!$F$1:$ABM$500,V$2,0),Техника!$F$4:$ABM$4,"Часы",INDEX(Техника!$G$1:$ABN$500,V$2,0),$A$1614,INDEX(Техника!$H$1:$ABO$500,V$2,0),"М")</f>
        <v>0</v>
      </c>
      <c r="W1615" s="50">
        <f>SUMIFS(INDEX(Техника!$F$1:$ABM$500,W$2,0),Техника!$F$4:$ABM$4,"Часы",INDEX(Техника!$G$1:$ABN$500,W$2,0),$A$1614,INDEX(Техника!$H$1:$ABO$500,W$2,0),"М")</f>
        <v>0</v>
      </c>
      <c r="X1615" s="50">
        <f>SUMIFS(INDEX(Техника!$F$1:$ABM$500,X$2,0),Техника!$F$4:$ABM$4,"Часы",INDEX(Техника!$G$1:$ABN$500,X$2,0),$A$1614,INDEX(Техника!$H$1:$ABO$500,X$2,0),"М")</f>
        <v>0</v>
      </c>
      <c r="Y1615" s="50">
        <f>SUMIFS(INDEX(Техника!$F$1:$ABM$500,Y$2,0),Техника!$F$4:$ABM$4,"Часы",INDEX(Техника!$G$1:$ABN$500,Y$2,0),$A$1614,INDEX(Техника!$H$1:$ABO$500,Y$2,0),"М")</f>
        <v>0</v>
      </c>
      <c r="Z1615" s="50">
        <f>SUMIFS(INDEX(Техника!$F$1:$ABM$500,Z$2,0),Техника!$F$4:$ABM$4,"Часы",INDEX(Техника!$G$1:$ABN$500,Z$2,0),$A$1614,INDEX(Техника!$H$1:$ABO$500,Z$2,0),"М")</f>
        <v>0</v>
      </c>
      <c r="AA1615" s="50">
        <f>SUMIFS(INDEX(Техника!$F$1:$ABM$500,AA$2,0),Техника!$F$4:$ABM$4,"Часы",INDEX(Техника!$G$1:$ABN$500,AA$2,0),$A$1614,INDEX(Техника!$H$1:$ABO$500,AA$2,0),"М")</f>
        <v>0</v>
      </c>
      <c r="AB1615" s="50">
        <f>SUMIFS(INDEX(Техника!$F$1:$ABM$500,AB$2,0),Техника!$F$4:$ABM$4,"Часы",INDEX(Техника!$G$1:$ABN$500,AB$2,0),$A$1614,INDEX(Техника!$H$1:$ABO$500,AB$2,0),"М")</f>
        <v>0</v>
      </c>
    </row>
    <row r="1616" spans="1:28" hidden="1" outlineLevel="1" x14ac:dyDescent="0.3">
      <c r="A1616" s="33" t="s">
        <v>244</v>
      </c>
      <c r="B1616" s="34" t="s">
        <v>275</v>
      </c>
      <c r="C1616" s="50">
        <f>SUMIFS(INDEX(Техника!$F$1:$ABM$500,C$2,0),Техника!$F$4:$ABM$4,"Часы",INDEX(Техника!$G$1:$ABN$500,C$2,0),$A$1614,INDEX(Техника!$H$1:$ABO$500,C$2,0),"Д")</f>
        <v>0</v>
      </c>
      <c r="D1616" s="50">
        <f>SUMIFS(INDEX(Техника!$F$1:$ABM$500,D$2,0),Техника!$F$4:$ABM$4,"Часы",INDEX(Техника!$G$1:$ABN$500,D$2,0),$A$1614,INDEX(Техника!$H$1:$ABO$500,D$2,0),"Д")</f>
        <v>0</v>
      </c>
      <c r="E1616" s="50">
        <f>SUMIFS(INDEX(Техника!$F$1:$ABM$500,E$2,0),Техника!$F$4:$ABM$4,"Часы",INDEX(Техника!$G$1:$ABN$500,E$2,0),$A$1614,INDEX(Техника!$H$1:$ABO$500,E$2,0),"Д")</f>
        <v>0</v>
      </c>
      <c r="F1616" s="50">
        <f>SUMIFS(INDEX(Техника!$F$1:$ABM$500,F$2,0),Техника!$F$4:$ABM$4,"Часы",INDEX(Техника!$G$1:$ABN$500,F$2,0),$A$1614,INDEX(Техника!$H$1:$ABO$500,F$2,0),"Д")</f>
        <v>0</v>
      </c>
      <c r="G1616" s="50">
        <f>SUMIFS(INDEX(Техника!$F$1:$ABM$500,G$2,0),Техника!$F$4:$ABM$4,"Часы",INDEX(Техника!$G$1:$ABN$500,G$2,0),$A$1614,INDEX(Техника!$H$1:$ABO$500,G$2,0),"Д")</f>
        <v>0</v>
      </c>
      <c r="H1616" s="50">
        <f>SUMIFS(INDEX(Техника!$F$1:$ABM$500,H$2,0),Техника!$F$4:$ABM$4,"Часы",INDEX(Техника!$G$1:$ABN$500,H$2,0),$A$1614,INDEX(Техника!$H$1:$ABO$500,H$2,0),"Д")</f>
        <v>0</v>
      </c>
      <c r="I1616" s="50">
        <f>SUMIFS(INDEX(Техника!$F$1:$ABM$500,I$2,0),Техника!$F$4:$ABM$4,"Часы",INDEX(Техника!$G$1:$ABN$500,I$2,0),$A$1614,INDEX(Техника!$H$1:$ABO$500,I$2,0),"Д")</f>
        <v>0</v>
      </c>
      <c r="J1616" s="50">
        <f>SUMIFS(INDEX(Техника!$F$1:$ABM$500,J$2,0),Техника!$F$4:$ABM$4,"Часы",INDEX(Техника!$G$1:$ABN$500,J$2,0),$A$1614,INDEX(Техника!$H$1:$ABO$500,J$2,0),"Д")</f>
        <v>0</v>
      </c>
      <c r="K1616" s="50">
        <f>SUMIFS(INDEX(Техника!$F$1:$ABM$500,K$2,0),Техника!$F$4:$ABM$4,"Часы",INDEX(Техника!$G$1:$ABN$500,K$2,0),$A$1614,INDEX(Техника!$H$1:$ABO$500,K$2,0),"Д")</f>
        <v>0</v>
      </c>
      <c r="L1616" s="50">
        <f>SUMIFS(INDEX(Техника!$F$1:$ABM$500,L$2,0),Техника!$F$4:$ABM$4,"Часы",INDEX(Техника!$G$1:$ABN$500,L$2,0),$A$1614,INDEX(Техника!$H$1:$ABO$500,L$2,0),"Д")</f>
        <v>0</v>
      </c>
      <c r="M1616" s="50">
        <f>SUMIFS(INDEX(Техника!$F$1:$ABM$500,M$2,0),Техника!$F$4:$ABM$4,"Часы",INDEX(Техника!$G$1:$ABN$500,M$2,0),$A$1614,INDEX(Техника!$H$1:$ABO$500,M$2,0),"Д")</f>
        <v>0</v>
      </c>
      <c r="N1616" s="50">
        <f>SUMIFS(INDEX(Техника!$F$1:$ABM$500,N$2,0),Техника!$F$4:$ABM$4,"Часы",INDEX(Техника!$G$1:$ABN$500,N$2,0),$A$1614,INDEX(Техника!$H$1:$ABO$500,N$2,0),"Д")</f>
        <v>0</v>
      </c>
      <c r="O1616" s="50">
        <f>SUMIFS(INDEX(Техника!$F$1:$ABM$500,O$2,0),Техника!$F$4:$ABM$4,"Часы",INDEX(Техника!$G$1:$ABN$500,O$2,0),$A$1614,INDEX(Техника!$H$1:$ABO$500,O$2,0),"Д")</f>
        <v>0</v>
      </c>
      <c r="P1616" s="50">
        <f>SUMIFS(INDEX(Техника!$F$1:$ABM$500,P$2,0),Техника!$F$4:$ABM$4,"Часы",INDEX(Техника!$G$1:$ABN$500,P$2,0),$A$1614,INDEX(Техника!$H$1:$ABO$500,P$2,0),"Д")</f>
        <v>0</v>
      </c>
      <c r="Q1616" s="50">
        <f>SUMIFS(INDEX(Техника!$F$1:$ABM$500,Q$2,0),Техника!$F$4:$ABM$4,"Часы",INDEX(Техника!$G$1:$ABN$500,Q$2,0),$A$1614,INDEX(Техника!$H$1:$ABO$500,Q$2,0),"Д")</f>
        <v>0</v>
      </c>
      <c r="R1616" s="50">
        <f>SUMIFS(INDEX(Техника!$F$1:$ABM$500,R$2,0),Техника!$F$4:$ABM$4,"Часы",INDEX(Техника!$G$1:$ABN$500,R$2,0),$A$1614,INDEX(Техника!$H$1:$ABO$500,R$2,0),"Д")</f>
        <v>0</v>
      </c>
      <c r="S1616" s="50">
        <f>SUMIFS(INDEX(Техника!$F$1:$ABM$500,S$2,0),Техника!$F$4:$ABM$4,"Часы",INDEX(Техника!$G$1:$ABN$500,S$2,0),$A$1614,INDEX(Техника!$H$1:$ABO$500,S$2,0),"Д")</f>
        <v>0</v>
      </c>
      <c r="T1616" s="50">
        <f>SUMIFS(INDEX(Техника!$F$1:$ABM$500,T$2,0),Техника!$F$4:$ABM$4,"Часы",INDEX(Техника!$G$1:$ABN$500,T$2,0),$A$1614,INDEX(Техника!$H$1:$ABO$500,T$2,0),"Д")</f>
        <v>0</v>
      </c>
      <c r="U1616" s="50">
        <f>SUMIFS(INDEX(Техника!$F$1:$ABM$500,U$2,0),Техника!$F$4:$ABM$4,"Часы",INDEX(Техника!$G$1:$ABN$500,U$2,0),$A$1614,INDEX(Техника!$H$1:$ABO$500,U$2,0),"Д")</f>
        <v>0</v>
      </c>
      <c r="V1616" s="50">
        <f>SUMIFS(INDEX(Техника!$F$1:$ABM$500,V$2,0),Техника!$F$4:$ABM$4,"Часы",INDEX(Техника!$G$1:$ABN$500,V$2,0),$A$1614,INDEX(Техника!$H$1:$ABO$500,V$2,0),"Д")</f>
        <v>0</v>
      </c>
      <c r="W1616" s="50">
        <f>SUMIFS(INDEX(Техника!$F$1:$ABM$500,W$2,0),Техника!$F$4:$ABM$4,"Часы",INDEX(Техника!$G$1:$ABN$500,W$2,0),$A$1614,INDEX(Техника!$H$1:$ABO$500,W$2,0),"Д")</f>
        <v>0</v>
      </c>
      <c r="X1616" s="50">
        <f>SUMIFS(INDEX(Техника!$F$1:$ABM$500,X$2,0),Техника!$F$4:$ABM$4,"Часы",INDEX(Техника!$G$1:$ABN$500,X$2,0),$A$1614,INDEX(Техника!$H$1:$ABO$500,X$2,0),"Д")</f>
        <v>0</v>
      </c>
      <c r="Y1616" s="50">
        <f>SUMIFS(INDEX(Техника!$F$1:$ABM$500,Y$2,0),Техника!$F$4:$ABM$4,"Часы",INDEX(Техника!$G$1:$ABN$500,Y$2,0),$A$1614,INDEX(Техника!$H$1:$ABO$500,Y$2,0),"Д")</f>
        <v>0</v>
      </c>
      <c r="Z1616" s="50">
        <f>SUMIFS(INDEX(Техника!$F$1:$ABM$500,Z$2,0),Техника!$F$4:$ABM$4,"Часы",INDEX(Техника!$G$1:$ABN$500,Z$2,0),$A$1614,INDEX(Техника!$H$1:$ABO$500,Z$2,0),"Д")</f>
        <v>0</v>
      </c>
      <c r="AA1616" s="50">
        <f>SUMIFS(INDEX(Техника!$F$1:$ABM$500,AA$2,0),Техника!$F$4:$ABM$4,"Часы",INDEX(Техника!$G$1:$ABN$500,AA$2,0),$A$1614,INDEX(Техника!$H$1:$ABO$500,AA$2,0),"Д")</f>
        <v>0</v>
      </c>
      <c r="AB1616" s="50">
        <f>SUMIFS(INDEX(Техника!$F$1:$ABM$500,AB$2,0),Техника!$F$4:$ABM$4,"Часы",INDEX(Техника!$G$1:$ABN$500,AB$2,0),$A$1614,INDEX(Техника!$H$1:$ABO$500,AB$2,0),"Д")</f>
        <v>0</v>
      </c>
    </row>
    <row r="1617" spans="1:28" hidden="1" outlineLevel="1" x14ac:dyDescent="0.3">
      <c r="A1617" s="33" t="s">
        <v>276</v>
      </c>
      <c r="B1617" s="34" t="s">
        <v>277</v>
      </c>
      <c r="C1617" s="50">
        <f>SUMIFS(INDEX(Техника!$F$1:$ABM$500,C$2,0),Техника!$F$4:$ABM$4,"Часы",INDEX(Техника!$G$1:$ABN$500,C$2,0),$A$1614,INDEX(Техника!$H$1:$ABO$500,C$2,0),"П")</f>
        <v>0</v>
      </c>
      <c r="D1617" s="50">
        <f>SUMIFS(INDEX(Техника!$F$1:$ABM$500,D$2,0),Техника!$F$4:$ABM$4,"Часы",INDEX(Техника!$G$1:$ABN$500,D$2,0),$A$1614,INDEX(Техника!$H$1:$ABO$500,D$2,0),"П")</f>
        <v>0</v>
      </c>
      <c r="E1617" s="50">
        <f>SUMIFS(INDEX(Техника!$F$1:$ABM$500,E$2,0),Техника!$F$4:$ABM$4,"Часы",INDEX(Техника!$G$1:$ABN$500,E$2,0),$A$1614,INDEX(Техника!$H$1:$ABO$500,E$2,0),"П")</f>
        <v>0</v>
      </c>
      <c r="F1617" s="50">
        <f>SUMIFS(INDEX(Техника!$F$1:$ABM$500,F$2,0),Техника!$F$4:$ABM$4,"Часы",INDEX(Техника!$G$1:$ABN$500,F$2,0),$A$1614,INDEX(Техника!$H$1:$ABO$500,F$2,0),"П")</f>
        <v>0</v>
      </c>
      <c r="G1617" s="50">
        <f>SUMIFS(INDEX(Техника!$F$1:$ABM$500,G$2,0),Техника!$F$4:$ABM$4,"Часы",INDEX(Техника!$G$1:$ABN$500,G$2,0),$A$1614,INDEX(Техника!$H$1:$ABO$500,G$2,0),"П")</f>
        <v>0</v>
      </c>
      <c r="H1617" s="50">
        <f>SUMIFS(INDEX(Техника!$F$1:$ABM$500,H$2,0),Техника!$F$4:$ABM$4,"Часы",INDEX(Техника!$G$1:$ABN$500,H$2,0),$A$1614,INDEX(Техника!$H$1:$ABO$500,H$2,0),"П")</f>
        <v>0</v>
      </c>
      <c r="I1617" s="50">
        <f>SUMIFS(INDEX(Техника!$F$1:$ABM$500,I$2,0),Техника!$F$4:$ABM$4,"Часы",INDEX(Техника!$G$1:$ABN$500,I$2,0),$A$1614,INDEX(Техника!$H$1:$ABO$500,I$2,0),"П")</f>
        <v>0</v>
      </c>
      <c r="J1617" s="50">
        <f>SUMIFS(INDEX(Техника!$F$1:$ABM$500,J$2,0),Техника!$F$4:$ABM$4,"Часы",INDEX(Техника!$G$1:$ABN$500,J$2,0),$A$1614,INDEX(Техника!$H$1:$ABO$500,J$2,0),"П")</f>
        <v>0</v>
      </c>
      <c r="K1617" s="50">
        <f>SUMIFS(INDEX(Техника!$F$1:$ABM$500,K$2,0),Техника!$F$4:$ABM$4,"Часы",INDEX(Техника!$G$1:$ABN$500,K$2,0),$A$1614,INDEX(Техника!$H$1:$ABO$500,K$2,0),"П")</f>
        <v>0</v>
      </c>
      <c r="L1617" s="50">
        <f>SUMIFS(INDEX(Техника!$F$1:$ABM$500,L$2,0),Техника!$F$4:$ABM$4,"Часы",INDEX(Техника!$G$1:$ABN$500,L$2,0),$A$1614,INDEX(Техника!$H$1:$ABO$500,L$2,0),"П")</f>
        <v>0</v>
      </c>
      <c r="M1617" s="50">
        <f>SUMIFS(INDEX(Техника!$F$1:$ABM$500,M$2,0),Техника!$F$4:$ABM$4,"Часы",INDEX(Техника!$G$1:$ABN$500,M$2,0),$A$1614,INDEX(Техника!$H$1:$ABO$500,M$2,0),"П")</f>
        <v>0</v>
      </c>
      <c r="N1617" s="50">
        <f>SUMIFS(INDEX(Техника!$F$1:$ABM$500,N$2,0),Техника!$F$4:$ABM$4,"Часы",INDEX(Техника!$G$1:$ABN$500,N$2,0),$A$1614,INDEX(Техника!$H$1:$ABO$500,N$2,0),"П")</f>
        <v>0</v>
      </c>
      <c r="O1617" s="50">
        <f>SUMIFS(INDEX(Техника!$F$1:$ABM$500,O$2,0),Техника!$F$4:$ABM$4,"Часы",INDEX(Техника!$G$1:$ABN$500,O$2,0),$A$1614,INDEX(Техника!$H$1:$ABO$500,O$2,0),"П")</f>
        <v>0</v>
      </c>
      <c r="P1617" s="50">
        <f>SUMIFS(INDEX(Техника!$F$1:$ABM$500,P$2,0),Техника!$F$4:$ABM$4,"Часы",INDEX(Техника!$G$1:$ABN$500,P$2,0),$A$1614,INDEX(Техника!$H$1:$ABO$500,P$2,0),"П")</f>
        <v>0</v>
      </c>
      <c r="Q1617" s="50">
        <f>SUMIFS(INDEX(Техника!$F$1:$ABM$500,Q$2,0),Техника!$F$4:$ABM$4,"Часы",INDEX(Техника!$G$1:$ABN$500,Q$2,0),$A$1614,INDEX(Техника!$H$1:$ABO$500,Q$2,0),"П")</f>
        <v>0</v>
      </c>
      <c r="R1617" s="50">
        <f>SUMIFS(INDEX(Техника!$F$1:$ABM$500,R$2,0),Техника!$F$4:$ABM$4,"Часы",INDEX(Техника!$G$1:$ABN$500,R$2,0),$A$1614,INDEX(Техника!$H$1:$ABO$500,R$2,0),"П")</f>
        <v>0</v>
      </c>
      <c r="S1617" s="50">
        <f>SUMIFS(INDEX(Техника!$F$1:$ABM$500,S$2,0),Техника!$F$4:$ABM$4,"Часы",INDEX(Техника!$G$1:$ABN$500,S$2,0),$A$1614,INDEX(Техника!$H$1:$ABO$500,S$2,0),"П")</f>
        <v>0</v>
      </c>
      <c r="T1617" s="50">
        <f>SUMIFS(INDEX(Техника!$F$1:$ABM$500,T$2,0),Техника!$F$4:$ABM$4,"Часы",INDEX(Техника!$G$1:$ABN$500,T$2,0),$A$1614,INDEX(Техника!$H$1:$ABO$500,T$2,0),"П")</f>
        <v>0</v>
      </c>
      <c r="U1617" s="50">
        <f>SUMIFS(INDEX(Техника!$F$1:$ABM$500,U$2,0),Техника!$F$4:$ABM$4,"Часы",INDEX(Техника!$G$1:$ABN$500,U$2,0),$A$1614,INDEX(Техника!$H$1:$ABO$500,U$2,0),"П")</f>
        <v>0</v>
      </c>
      <c r="V1617" s="50">
        <f>SUMIFS(INDEX(Техника!$F$1:$ABM$500,V$2,0),Техника!$F$4:$ABM$4,"Часы",INDEX(Техника!$G$1:$ABN$500,V$2,0),$A$1614,INDEX(Техника!$H$1:$ABO$500,V$2,0),"П")</f>
        <v>0</v>
      </c>
      <c r="W1617" s="50">
        <f>SUMIFS(INDEX(Техника!$F$1:$ABM$500,W$2,0),Техника!$F$4:$ABM$4,"Часы",INDEX(Техника!$G$1:$ABN$500,W$2,0),$A$1614,INDEX(Техника!$H$1:$ABO$500,W$2,0),"П")</f>
        <v>0</v>
      </c>
      <c r="X1617" s="50">
        <f>SUMIFS(INDEX(Техника!$F$1:$ABM$500,X$2,0),Техника!$F$4:$ABM$4,"Часы",INDEX(Техника!$G$1:$ABN$500,X$2,0),$A$1614,INDEX(Техника!$H$1:$ABO$500,X$2,0),"П")</f>
        <v>0</v>
      </c>
      <c r="Y1617" s="50">
        <f>SUMIFS(INDEX(Техника!$F$1:$ABM$500,Y$2,0),Техника!$F$4:$ABM$4,"Часы",INDEX(Техника!$G$1:$ABN$500,Y$2,0),$A$1614,INDEX(Техника!$H$1:$ABO$500,Y$2,0),"П")</f>
        <v>0</v>
      </c>
      <c r="Z1617" s="50">
        <f>SUMIFS(INDEX(Техника!$F$1:$ABM$500,Z$2,0),Техника!$F$4:$ABM$4,"Часы",INDEX(Техника!$G$1:$ABN$500,Z$2,0),$A$1614,INDEX(Техника!$H$1:$ABO$500,Z$2,0),"П")</f>
        <v>0</v>
      </c>
      <c r="AA1617" s="50">
        <f>SUMIFS(INDEX(Техника!$F$1:$ABM$500,AA$2,0),Техника!$F$4:$ABM$4,"Часы",INDEX(Техника!$G$1:$ABN$500,AA$2,0),$A$1614,INDEX(Техника!$H$1:$ABO$500,AA$2,0),"П")</f>
        <v>0</v>
      </c>
      <c r="AB1617" s="50">
        <f>SUMIFS(INDEX(Техника!$F$1:$ABM$500,AB$2,0),Техника!$F$4:$ABM$4,"Часы",INDEX(Техника!$G$1:$ABN$500,AB$2,0),$A$1614,INDEX(Техника!$H$1:$ABO$500,AB$2,0),"П")</f>
        <v>0</v>
      </c>
    </row>
    <row r="1618" spans="1:28" hidden="1" outlineLevel="1" x14ac:dyDescent="0.3">
      <c r="A1618" s="33" t="s">
        <v>243</v>
      </c>
      <c r="B1618" s="34" t="s">
        <v>278</v>
      </c>
      <c r="C1618" s="50">
        <f>SUMIFS(INDEX(Техника!$F$1:$ABM$500,C$2,0),Техника!$F$4:$ABM$4,"Часы",INDEX(Техника!$G$1:$ABN$500,C$2,0),$A$1614,INDEX(Техника!$H$1:$ABO$500,C$2,0),"Л")</f>
        <v>0</v>
      </c>
      <c r="D1618" s="50">
        <f>SUMIFS(INDEX(Техника!$F$1:$ABM$500,D$2,0),Техника!$F$4:$ABM$4,"Часы",INDEX(Техника!$G$1:$ABN$500,D$2,0),$A$1614,INDEX(Техника!$H$1:$ABO$500,D$2,0),"Л")</f>
        <v>0</v>
      </c>
      <c r="E1618" s="50">
        <f>SUMIFS(INDEX(Техника!$F$1:$ABM$500,E$2,0),Техника!$F$4:$ABM$4,"Часы",INDEX(Техника!$G$1:$ABN$500,E$2,0),$A$1614,INDEX(Техника!$H$1:$ABO$500,E$2,0),"Л")</f>
        <v>0</v>
      </c>
      <c r="F1618" s="50">
        <f>SUMIFS(INDEX(Техника!$F$1:$ABM$500,F$2,0),Техника!$F$4:$ABM$4,"Часы",INDEX(Техника!$G$1:$ABN$500,F$2,0),$A$1614,INDEX(Техника!$H$1:$ABO$500,F$2,0),"Л")</f>
        <v>0</v>
      </c>
      <c r="G1618" s="50">
        <f>SUMIFS(INDEX(Техника!$F$1:$ABM$500,G$2,0),Техника!$F$4:$ABM$4,"Часы",INDEX(Техника!$G$1:$ABN$500,G$2,0),$A$1614,INDEX(Техника!$H$1:$ABO$500,G$2,0),"Л")</f>
        <v>0</v>
      </c>
      <c r="H1618" s="50">
        <f>SUMIFS(INDEX(Техника!$F$1:$ABM$500,H$2,0),Техника!$F$4:$ABM$4,"Часы",INDEX(Техника!$G$1:$ABN$500,H$2,0),$A$1614,INDEX(Техника!$H$1:$ABO$500,H$2,0),"Л")</f>
        <v>0</v>
      </c>
      <c r="I1618" s="50">
        <f>SUMIFS(INDEX(Техника!$F$1:$ABM$500,I$2,0),Техника!$F$4:$ABM$4,"Часы",INDEX(Техника!$G$1:$ABN$500,I$2,0),$A$1614,INDEX(Техника!$H$1:$ABO$500,I$2,0),"Л")</f>
        <v>0</v>
      </c>
      <c r="J1618" s="50">
        <f>SUMIFS(INDEX(Техника!$F$1:$ABM$500,J$2,0),Техника!$F$4:$ABM$4,"Часы",INDEX(Техника!$G$1:$ABN$500,J$2,0),$A$1614,INDEX(Техника!$H$1:$ABO$500,J$2,0),"Л")</f>
        <v>0</v>
      </c>
      <c r="K1618" s="50">
        <f>SUMIFS(INDEX(Техника!$F$1:$ABM$500,K$2,0),Техника!$F$4:$ABM$4,"Часы",INDEX(Техника!$G$1:$ABN$500,K$2,0),$A$1614,INDEX(Техника!$H$1:$ABO$500,K$2,0),"Л")</f>
        <v>0</v>
      </c>
      <c r="L1618" s="50">
        <f>SUMIFS(INDEX(Техника!$F$1:$ABM$500,L$2,0),Техника!$F$4:$ABM$4,"Часы",INDEX(Техника!$G$1:$ABN$500,L$2,0),$A$1614,INDEX(Техника!$H$1:$ABO$500,L$2,0),"Л")</f>
        <v>0</v>
      </c>
      <c r="M1618" s="50">
        <f>SUMIFS(INDEX(Техника!$F$1:$ABM$500,M$2,0),Техника!$F$4:$ABM$4,"Часы",INDEX(Техника!$G$1:$ABN$500,M$2,0),$A$1614,INDEX(Техника!$H$1:$ABO$500,M$2,0),"Л")</f>
        <v>0</v>
      </c>
      <c r="N1618" s="50">
        <f>SUMIFS(INDEX(Техника!$F$1:$ABM$500,N$2,0),Техника!$F$4:$ABM$4,"Часы",INDEX(Техника!$G$1:$ABN$500,N$2,0),$A$1614,INDEX(Техника!$H$1:$ABO$500,N$2,0),"Л")</f>
        <v>0</v>
      </c>
      <c r="O1618" s="50">
        <f>SUMIFS(INDEX(Техника!$F$1:$ABM$500,O$2,0),Техника!$F$4:$ABM$4,"Часы",INDEX(Техника!$G$1:$ABN$500,O$2,0),$A$1614,INDEX(Техника!$H$1:$ABO$500,O$2,0),"Л")</f>
        <v>0</v>
      </c>
      <c r="P1618" s="50">
        <f>SUMIFS(INDEX(Техника!$F$1:$ABM$500,P$2,0),Техника!$F$4:$ABM$4,"Часы",INDEX(Техника!$G$1:$ABN$500,P$2,0),$A$1614,INDEX(Техника!$H$1:$ABO$500,P$2,0),"Л")</f>
        <v>0</v>
      </c>
      <c r="Q1618" s="50">
        <f>SUMIFS(INDEX(Техника!$F$1:$ABM$500,Q$2,0),Техника!$F$4:$ABM$4,"Часы",INDEX(Техника!$G$1:$ABN$500,Q$2,0),$A$1614,INDEX(Техника!$H$1:$ABO$500,Q$2,0),"Л")</f>
        <v>0</v>
      </c>
      <c r="R1618" s="50">
        <f>SUMIFS(INDEX(Техника!$F$1:$ABM$500,R$2,0),Техника!$F$4:$ABM$4,"Часы",INDEX(Техника!$G$1:$ABN$500,R$2,0),$A$1614,INDEX(Техника!$H$1:$ABO$500,R$2,0),"Л")</f>
        <v>0</v>
      </c>
      <c r="S1618" s="50">
        <f>SUMIFS(INDEX(Техника!$F$1:$ABM$500,S$2,0),Техника!$F$4:$ABM$4,"Часы",INDEX(Техника!$G$1:$ABN$500,S$2,0),$A$1614,INDEX(Техника!$H$1:$ABO$500,S$2,0),"Л")</f>
        <v>0</v>
      </c>
      <c r="T1618" s="50">
        <f>SUMIFS(INDEX(Техника!$F$1:$ABM$500,T$2,0),Техника!$F$4:$ABM$4,"Часы",INDEX(Техника!$G$1:$ABN$500,T$2,0),$A$1614,INDEX(Техника!$H$1:$ABO$500,T$2,0),"Л")</f>
        <v>0</v>
      </c>
      <c r="U1618" s="50">
        <f>SUMIFS(INDEX(Техника!$F$1:$ABM$500,U$2,0),Техника!$F$4:$ABM$4,"Часы",INDEX(Техника!$G$1:$ABN$500,U$2,0),$A$1614,INDEX(Техника!$H$1:$ABO$500,U$2,0),"Л")</f>
        <v>0</v>
      </c>
      <c r="V1618" s="50">
        <f>SUMIFS(INDEX(Техника!$F$1:$ABM$500,V$2,0),Техника!$F$4:$ABM$4,"Часы",INDEX(Техника!$G$1:$ABN$500,V$2,0),$A$1614,INDEX(Техника!$H$1:$ABO$500,V$2,0),"Л")</f>
        <v>0</v>
      </c>
      <c r="W1618" s="50">
        <f>SUMIFS(INDEX(Техника!$F$1:$ABM$500,W$2,0),Техника!$F$4:$ABM$4,"Часы",INDEX(Техника!$G$1:$ABN$500,W$2,0),$A$1614,INDEX(Техника!$H$1:$ABO$500,W$2,0),"Л")</f>
        <v>0</v>
      </c>
      <c r="X1618" s="50">
        <f>SUMIFS(INDEX(Техника!$F$1:$ABM$500,X$2,0),Техника!$F$4:$ABM$4,"Часы",INDEX(Техника!$G$1:$ABN$500,X$2,0),$A$1614,INDEX(Техника!$H$1:$ABO$500,X$2,0),"Л")</f>
        <v>0</v>
      </c>
      <c r="Y1618" s="50">
        <f>SUMIFS(INDEX(Техника!$F$1:$ABM$500,Y$2,0),Техника!$F$4:$ABM$4,"Часы",INDEX(Техника!$G$1:$ABN$500,Y$2,0),$A$1614,INDEX(Техника!$H$1:$ABO$500,Y$2,0),"Л")</f>
        <v>0</v>
      </c>
      <c r="Z1618" s="50">
        <f>SUMIFS(INDEX(Техника!$F$1:$ABM$500,Z$2,0),Техника!$F$4:$ABM$4,"Часы",INDEX(Техника!$G$1:$ABN$500,Z$2,0),$A$1614,INDEX(Техника!$H$1:$ABO$500,Z$2,0),"Л")</f>
        <v>0</v>
      </c>
      <c r="AA1618" s="50">
        <f>SUMIFS(INDEX(Техника!$F$1:$ABM$500,AA$2,0),Техника!$F$4:$ABM$4,"Часы",INDEX(Техника!$G$1:$ABN$500,AA$2,0),$A$1614,INDEX(Техника!$H$1:$ABO$500,AA$2,0),"Л")</f>
        <v>0</v>
      </c>
      <c r="AB1618" s="50">
        <f>SUMIFS(INDEX(Техника!$F$1:$ABM$500,AB$2,0),Техника!$F$4:$ABM$4,"Часы",INDEX(Техника!$G$1:$ABN$500,AB$2,0),$A$1614,INDEX(Техника!$H$1:$ABO$500,AB$2,0),"Л")</f>
        <v>0</v>
      </c>
    </row>
    <row r="1619" spans="1:28" hidden="1" outlineLevel="1" x14ac:dyDescent="0.3">
      <c r="A1619" s="33" t="s">
        <v>245</v>
      </c>
      <c r="B1619" s="34" t="s">
        <v>279</v>
      </c>
      <c r="C1619" s="50">
        <f>SUMIFS(INDEX(Техника!$F$1:$ABM$500,C$2,0),Техника!$F$4:$ABM$4,"Часы",INDEX(Техника!$G$1:$ABN$500,C$2,0),$A$1614,INDEX(Техника!$H$1:$ABO$500,C$2,0),"З")</f>
        <v>0</v>
      </c>
      <c r="D1619" s="50">
        <f>SUMIFS(INDEX(Техника!$F$1:$ABM$500,D$2,0),Техника!$F$4:$ABM$4,"Часы",INDEX(Техника!$G$1:$ABN$500,D$2,0),$A$1614,INDEX(Техника!$H$1:$ABO$500,D$2,0),"З")</f>
        <v>0</v>
      </c>
      <c r="E1619" s="50">
        <f>SUMIFS(INDEX(Техника!$F$1:$ABM$500,E$2,0),Техника!$F$4:$ABM$4,"Часы",INDEX(Техника!$G$1:$ABN$500,E$2,0),$A$1614,INDEX(Техника!$H$1:$ABO$500,E$2,0),"З")</f>
        <v>0</v>
      </c>
      <c r="F1619" s="50">
        <f>SUMIFS(INDEX(Техника!$F$1:$ABM$500,F$2,0),Техника!$F$4:$ABM$4,"Часы",INDEX(Техника!$G$1:$ABN$500,F$2,0),$A$1614,INDEX(Техника!$H$1:$ABO$500,F$2,0),"З")</f>
        <v>0</v>
      </c>
      <c r="G1619" s="50">
        <f>SUMIFS(INDEX(Техника!$F$1:$ABM$500,G$2,0),Техника!$F$4:$ABM$4,"Часы",INDEX(Техника!$G$1:$ABN$500,G$2,0),$A$1614,INDEX(Техника!$H$1:$ABO$500,G$2,0),"З")</f>
        <v>0</v>
      </c>
      <c r="H1619" s="50">
        <f>SUMIFS(INDEX(Техника!$F$1:$ABM$500,H$2,0),Техника!$F$4:$ABM$4,"Часы",INDEX(Техника!$G$1:$ABN$500,H$2,0),$A$1614,INDEX(Техника!$H$1:$ABO$500,H$2,0),"З")</f>
        <v>0</v>
      </c>
      <c r="I1619" s="50">
        <f>SUMIFS(INDEX(Техника!$F$1:$ABM$500,I$2,0),Техника!$F$4:$ABM$4,"Часы",INDEX(Техника!$G$1:$ABN$500,I$2,0),$A$1614,INDEX(Техника!$H$1:$ABO$500,I$2,0),"З")</f>
        <v>0</v>
      </c>
      <c r="J1619" s="50">
        <f>SUMIFS(INDEX(Техника!$F$1:$ABM$500,J$2,0),Техника!$F$4:$ABM$4,"Часы",INDEX(Техника!$G$1:$ABN$500,J$2,0),$A$1614,INDEX(Техника!$H$1:$ABO$500,J$2,0),"З")</f>
        <v>0</v>
      </c>
      <c r="K1619" s="50">
        <f>SUMIFS(INDEX(Техника!$F$1:$ABM$500,K$2,0),Техника!$F$4:$ABM$4,"Часы",INDEX(Техника!$G$1:$ABN$500,K$2,0),$A$1614,INDEX(Техника!$H$1:$ABO$500,K$2,0),"З")</f>
        <v>0</v>
      </c>
      <c r="L1619" s="50">
        <f>SUMIFS(INDEX(Техника!$F$1:$ABM$500,L$2,0),Техника!$F$4:$ABM$4,"Часы",INDEX(Техника!$G$1:$ABN$500,L$2,0),$A$1614,INDEX(Техника!$H$1:$ABO$500,L$2,0),"З")</f>
        <v>0</v>
      </c>
      <c r="M1619" s="50">
        <f>SUMIFS(INDEX(Техника!$F$1:$ABM$500,M$2,0),Техника!$F$4:$ABM$4,"Часы",INDEX(Техника!$G$1:$ABN$500,M$2,0),$A$1614,INDEX(Техника!$H$1:$ABO$500,M$2,0),"З")</f>
        <v>0</v>
      </c>
      <c r="N1619" s="50">
        <f>SUMIFS(INDEX(Техника!$F$1:$ABM$500,N$2,0),Техника!$F$4:$ABM$4,"Часы",INDEX(Техника!$G$1:$ABN$500,N$2,0),$A$1614,INDEX(Техника!$H$1:$ABO$500,N$2,0),"З")</f>
        <v>0</v>
      </c>
      <c r="O1619" s="50">
        <f>SUMIFS(INDEX(Техника!$F$1:$ABM$500,O$2,0),Техника!$F$4:$ABM$4,"Часы",INDEX(Техника!$G$1:$ABN$500,O$2,0),$A$1614,INDEX(Техника!$H$1:$ABO$500,O$2,0),"З")</f>
        <v>0</v>
      </c>
      <c r="P1619" s="50">
        <f>SUMIFS(INDEX(Техника!$F$1:$ABM$500,P$2,0),Техника!$F$4:$ABM$4,"Часы",INDEX(Техника!$G$1:$ABN$500,P$2,0),$A$1614,INDEX(Техника!$H$1:$ABO$500,P$2,0),"З")</f>
        <v>0</v>
      </c>
      <c r="Q1619" s="50">
        <f>SUMIFS(INDEX(Техника!$F$1:$ABM$500,Q$2,0),Техника!$F$4:$ABM$4,"Часы",INDEX(Техника!$G$1:$ABN$500,Q$2,0),$A$1614,INDEX(Техника!$H$1:$ABO$500,Q$2,0),"З")</f>
        <v>0</v>
      </c>
      <c r="R1619" s="50">
        <f>SUMIFS(INDEX(Техника!$F$1:$ABM$500,R$2,0),Техника!$F$4:$ABM$4,"Часы",INDEX(Техника!$G$1:$ABN$500,R$2,0),$A$1614,INDEX(Техника!$H$1:$ABO$500,R$2,0),"З")</f>
        <v>0</v>
      </c>
      <c r="S1619" s="50">
        <f>SUMIFS(INDEX(Техника!$F$1:$ABM$500,S$2,0),Техника!$F$4:$ABM$4,"Часы",INDEX(Техника!$G$1:$ABN$500,S$2,0),$A$1614,INDEX(Техника!$H$1:$ABO$500,S$2,0),"З")</f>
        <v>0</v>
      </c>
      <c r="T1619" s="50">
        <f>SUMIFS(INDEX(Техника!$F$1:$ABM$500,T$2,0),Техника!$F$4:$ABM$4,"Часы",INDEX(Техника!$G$1:$ABN$500,T$2,0),$A$1614,INDEX(Техника!$H$1:$ABO$500,T$2,0),"З")</f>
        <v>0</v>
      </c>
      <c r="U1619" s="50">
        <f>SUMIFS(INDEX(Техника!$F$1:$ABM$500,U$2,0),Техника!$F$4:$ABM$4,"Часы",INDEX(Техника!$G$1:$ABN$500,U$2,0),$A$1614,INDEX(Техника!$H$1:$ABO$500,U$2,0),"З")</f>
        <v>0</v>
      </c>
      <c r="V1619" s="50">
        <f>SUMIFS(INDEX(Техника!$F$1:$ABM$500,V$2,0),Техника!$F$4:$ABM$4,"Часы",INDEX(Техника!$G$1:$ABN$500,V$2,0),$A$1614,INDEX(Техника!$H$1:$ABO$500,V$2,0),"З")</f>
        <v>0</v>
      </c>
      <c r="W1619" s="50">
        <f>SUMIFS(INDEX(Техника!$F$1:$ABM$500,W$2,0),Техника!$F$4:$ABM$4,"Часы",INDEX(Техника!$G$1:$ABN$500,W$2,0),$A$1614,INDEX(Техника!$H$1:$ABO$500,W$2,0),"З")</f>
        <v>0</v>
      </c>
      <c r="X1619" s="50">
        <f>SUMIFS(INDEX(Техника!$F$1:$ABM$500,X$2,0),Техника!$F$4:$ABM$4,"Часы",INDEX(Техника!$G$1:$ABN$500,X$2,0),$A$1614,INDEX(Техника!$H$1:$ABO$500,X$2,0),"З")</f>
        <v>0</v>
      </c>
      <c r="Y1619" s="50">
        <f>SUMIFS(INDEX(Техника!$F$1:$ABM$500,Y$2,0),Техника!$F$4:$ABM$4,"Часы",INDEX(Техника!$G$1:$ABN$500,Y$2,0),$A$1614,INDEX(Техника!$H$1:$ABO$500,Y$2,0),"З")</f>
        <v>0</v>
      </c>
      <c r="Z1619" s="50">
        <f>SUMIFS(INDEX(Техника!$F$1:$ABM$500,Z$2,0),Техника!$F$4:$ABM$4,"Часы",INDEX(Техника!$G$1:$ABN$500,Z$2,0),$A$1614,INDEX(Техника!$H$1:$ABO$500,Z$2,0),"З")</f>
        <v>0</v>
      </c>
      <c r="AA1619" s="50">
        <f>SUMIFS(INDEX(Техника!$F$1:$ABM$500,AA$2,0),Техника!$F$4:$ABM$4,"Часы",INDEX(Техника!$G$1:$ABN$500,AA$2,0),$A$1614,INDEX(Техника!$H$1:$ABO$500,AA$2,0),"З")</f>
        <v>0</v>
      </c>
      <c r="AB1619" s="50">
        <f>SUMIFS(INDEX(Техника!$F$1:$ABM$500,AB$2,0),Техника!$F$4:$ABM$4,"Часы",INDEX(Техника!$G$1:$ABN$500,AB$2,0),$A$1614,INDEX(Техника!$H$1:$ABO$500,AB$2,0),"З")</f>
        <v>0</v>
      </c>
    </row>
    <row r="1620" spans="1:28" ht="7.95" customHeight="1" x14ac:dyDescent="0.3">
      <c r="A1620" s="38"/>
      <c r="B1620" s="39"/>
      <c r="C1620" s="51"/>
      <c r="D1620" s="51"/>
      <c r="E1620" s="51"/>
      <c r="F1620" s="51"/>
      <c r="G1620" s="51"/>
      <c r="H1620" s="51"/>
      <c r="I1620" s="51"/>
      <c r="J1620" s="51"/>
      <c r="K1620" s="51"/>
      <c r="L1620" s="51"/>
      <c r="M1620" s="51"/>
      <c r="N1620" s="51"/>
      <c r="O1620" s="51"/>
      <c r="P1620" s="51"/>
      <c r="Q1620" s="51"/>
      <c r="R1620" s="51"/>
      <c r="S1620" s="51"/>
      <c r="T1620" s="51"/>
      <c r="U1620" s="51"/>
      <c r="V1620" s="51"/>
      <c r="W1620" s="51"/>
      <c r="X1620" s="51"/>
      <c r="Y1620" s="51"/>
      <c r="Z1620" s="51"/>
      <c r="AA1620" s="51"/>
      <c r="AB1620" s="51"/>
    </row>
    <row r="1621" spans="1:28" ht="25.05" customHeight="1" collapsed="1" x14ac:dyDescent="0.3">
      <c r="A1621" s="32">
        <v>232</v>
      </c>
      <c r="B1621" s="32" t="s">
        <v>233</v>
      </c>
      <c r="C1621" s="49">
        <f>SUM(C1622:C1626)</f>
        <v>0</v>
      </c>
      <c r="D1621" s="49">
        <f>SUM(D1622:D1626)</f>
        <v>0</v>
      </c>
      <c r="E1621" s="49">
        <f>SUM(E1622:E1626)</f>
        <v>0</v>
      </c>
      <c r="F1621" s="49">
        <f>SUM(F1622:F1626)</f>
        <v>0</v>
      </c>
      <c r="G1621" s="49">
        <f>SUM(G1622:G1626)</f>
        <v>0</v>
      </c>
      <c r="H1621" s="49">
        <f>SUM(H1622:H1626)</f>
        <v>0</v>
      </c>
      <c r="I1621" s="49">
        <f>SUM(I1622:I1626)</f>
        <v>0</v>
      </c>
      <c r="J1621" s="49">
        <f>SUM(J1622:J1626)</f>
        <v>0</v>
      </c>
      <c r="K1621" s="49">
        <f>SUM(K1622:K1626)</f>
        <v>0</v>
      </c>
      <c r="L1621" s="49">
        <f>SUM(L1622:L1626)</f>
        <v>0</v>
      </c>
      <c r="M1621" s="49">
        <f>SUM(M1622:M1626)</f>
        <v>0</v>
      </c>
      <c r="N1621" s="49">
        <f>SUM(N1622:N1626)</f>
        <v>0</v>
      </c>
      <c r="O1621" s="49">
        <f>SUM(O1622:O1626)</f>
        <v>0</v>
      </c>
      <c r="P1621" s="49">
        <f>SUM(P1622:P1626)</f>
        <v>0</v>
      </c>
      <c r="Q1621" s="49">
        <f>SUM(Q1622:Q1626)</f>
        <v>0</v>
      </c>
      <c r="R1621" s="49">
        <f>SUM(R1622:R1626)</f>
        <v>0</v>
      </c>
      <c r="S1621" s="49">
        <f>SUM(S1622:S1626)</f>
        <v>0</v>
      </c>
      <c r="T1621" s="49">
        <f>SUM(T1622:T1626)</f>
        <v>0</v>
      </c>
      <c r="U1621" s="49">
        <f>SUM(U1622:U1626)</f>
        <v>0</v>
      </c>
      <c r="V1621" s="49">
        <f>SUM(V1622:V1626)</f>
        <v>0</v>
      </c>
      <c r="W1621" s="49">
        <f>SUM(W1622:W1626)</f>
        <v>0</v>
      </c>
      <c r="X1621" s="49">
        <f>SUM(X1622:X1626)</f>
        <v>0</v>
      </c>
      <c r="Y1621" s="49">
        <f>SUM(Y1622:Y1626)</f>
        <v>0</v>
      </c>
      <c r="Z1621" s="49">
        <f>SUM(Z1622:Z1626)</f>
        <v>0</v>
      </c>
      <c r="AA1621" s="49">
        <f>SUM(AA1622:AA1626)</f>
        <v>0</v>
      </c>
      <c r="AB1621" s="49">
        <f>SUM(AB1622:AB1626)</f>
        <v>0</v>
      </c>
    </row>
    <row r="1622" spans="1:28" hidden="1" outlineLevel="1" x14ac:dyDescent="0.3">
      <c r="A1622" s="1" t="s">
        <v>246</v>
      </c>
      <c r="B1622" s="2" t="s">
        <v>274</v>
      </c>
    </row>
    <row r="1623" spans="1:28" hidden="1" outlineLevel="1" x14ac:dyDescent="0.3">
      <c r="A1623" s="1" t="s">
        <v>244</v>
      </c>
      <c r="B1623" s="2" t="s">
        <v>275</v>
      </c>
    </row>
    <row r="1624" spans="1:28" hidden="1" outlineLevel="1" x14ac:dyDescent="0.3">
      <c r="A1624" s="1" t="s">
        <v>276</v>
      </c>
      <c r="B1624" s="2" t="s">
        <v>277</v>
      </c>
    </row>
    <row r="1625" spans="1:28" hidden="1" outlineLevel="1" x14ac:dyDescent="0.3">
      <c r="A1625" s="1" t="s">
        <v>243</v>
      </c>
      <c r="B1625" s="2" t="s">
        <v>278</v>
      </c>
    </row>
    <row r="1626" spans="1:28" hidden="1" outlineLevel="1" x14ac:dyDescent="0.3">
      <c r="A1626" s="1" t="s">
        <v>245</v>
      </c>
      <c r="B1626" s="2" t="s">
        <v>279</v>
      </c>
    </row>
    <row r="1627" spans="1:28" ht="7.95" customHeight="1" x14ac:dyDescent="0.3">
      <c r="B1627" s="2"/>
    </row>
  </sheetData>
  <mergeCells count="2">
    <mergeCell ref="A2:B2"/>
    <mergeCell ref="A3:B3"/>
  </mergeCells>
  <conditionalFormatting sqref="C4:AB4 C11:AB11 C18:AB18 C25:AB25 C32:AB32 C39:AB39 C46:AB46 C53:AB53 C60:AB60 C67:AB67 C74:AB74 C81:AB81 C88:AB88 C95:AB95 C102:AB102 C109:AB109 C116:AB116 C123:AB123 C130:AB130 C137:AB137 C144:AB144 C151:AB151 C158:AB158 C165:AB165 C172:AB172 C179:AB179 C186:AB186 C193:AB193 C200:AB200 C207:AB207 C214:AB214 C221:AB221 C228:AB228 C235:AB235 C242:AB242 C249:AB249 C256:AB256 C263:AB263 C270:AB270 C277:AB277 C284:AB284 C291:AB291 C298:AB298 C305:AB305 C312:AB312 C319:AB319 C326:AB326 C333:AB333 C340:AB340 C347:AB347 C354:AB354 C361:AB361 C368:AB368 C375:AB375 C382:AB382 C389:AB389 C396:AB396 C403:AB403 C410:AB410 C417:AB417 C424:AB424 C431:AB431 C438:AB438 C445:AB445 C452:AB452 C459:AB459 C466:AB466 C473:AB473 C480:AB480 C487:AB487 C494:AB494 C501:AB501 C508:AB508 C515:AB515 C522:AB522 C529:AB529 C536:AB536 C543:AB543 C550:AB550 C557:AB557 C564:AB564 C571:AB571 C578:AB578 C585:AB585 C592:AB592 C599:AB599 C606:AB606 C613:AB613 C620:AB620 C627:AB627 C634:AB634 C641:AB641 C648:AB648 C655:AB655 C662:AB662 C669:AB669 C676:AB676 C683:AB683 C690:AB690 C697:AB697 C704:AB704 C711:AB711 C718:AB718 C725:AB725 C732:AB732 C739:AB739 C746:AB746 C753:AB753 C760:AB760 C767:AB767 C774:AB774 C781:AB781 C788:AB788 C795:AB795 C802:AB802 C809:AB809 C816:AB816 C823:AB823 C830:AB830 C837:AB837 C844:AB844 C851:AB851 C858:AB858 C865:AB865 C872:AB872 C879:AB879 C886:AB886 C893:AB893 C900:AB900 C907:AB907 C914:AB914 C921:AB921 C928:AB928 C935:AB935 C942:AB942 C949:AB949 C956:AB956 C963:AB963 C970:AB970 C977:AB977 C984:AB984 C991:AB991 C998:AB998 C1005:AB1005 C1012:AB1012 C1019:AB1019 C1026:AB1026 C1033:AB1033 C1040:AB1040 C1047:AB1047 C1054:AB1054 C1061:AB1061 C1068:AB1068 C1075:AB1075 C1082:AB1082 C1089:AB1089 C1096:AB1096 C1103:AB1103 C1110:AB1110 C1117:AB1117 C1124:AB1124 C1131:AB1131 C1138:AB1138 C1145:AB1145 C1152:AB1152 C1159:AB1159 C1166:AB1166 C1173:AB1173 C1180:AB1180 C1187:AB1187 C1194:AB1194 C1201:AB1201 C1208:AB1208 C1215:AB1215 C1222:AB1222 C1229:AB1229 C1236:AB1236 C1243:AB1243 C1250:AB1250 C1257:AB1257 C1264:AB1264 C1271:AB1271 C1278:AB1278 C1285:AB1285 C1292:AB1292 C1299:AB1299 C1306:AB1306 C1313:AB1313 C1320:AB1320 C1327:AB1327 C1334:AB1334 C1341:AB1341 C1348:AB1348 C1355:AB1355 C1362:AB1362 C1369:AB1369 C1376:AB1376 C1383:AB1383 C1390:AB1390 C1397:AB1397 C1404:AB1404 C1411:AB1411 C1418:AB1418 C1425:AB1425 C1432:AB1432 C1439:AB1439 C1446:AB1446 C1453:AB1453 C1460:AB1460 C1467:AB1467 C1474:AB1474 C1481:AB1481 C1488:AB1488 C1495:AB1495 C1502:AB1502 C1509:AB1509 C1516:AB1516 C1523:AB1523 C1530:AB1530 C1537:AB1537 C1544:AB1544 C1551:AB1551 C1558:AB1558 C1565:AB1565 C1572:AB1572 C1579:AB1579 C1586:AB1586 C1593:AB1593 C1600:AB1600 C1607:AB1607 C1614:AB1614 C1621:AB1621">
    <cfRule type="cellIs" dxfId="3" priority="2" stopIfTrue="1" operator="equal">
      <formula>0</formula>
    </cfRule>
  </conditionalFormatting>
  <conditionalFormatting sqref="C4:AB1621">
    <cfRule type="cellIs" dxfId="2" priority="4" stopIfTrue="1" operator="notEqual">
      <formula>0</formula>
    </cfRule>
  </conditionalFormatting>
  <conditionalFormatting sqref="C12:AB16 C19:AB23 C26:AB30 C33:AB37 C40:AB44 C47:AB51 C54:AB58 C61:AB65 C68:AB72 C75:AB79 C82:AB86 C89:AB93 C96:AB100 C103:AB107 C110:AB114 C117:AB121 C124:AB128 C131:AB135 C138:AB142 C145:AB149 C152:AB156 C159:AB163 C166:AB170 C173:AB177 C180:AB184 C187:AB191 C194:AB198 C201:AB205 C208:AB212 C215:AB219 C222:AB226 C229:AB233 C236:AB240 C243:AB247 C250:AB254 C257:AB261 C264:AB268 C271:AB275 C278:AB282 C285:AB289 C292:AB296 C299:AB303 C306:AB310 C313:AB317 C320:AB324 C327:AB331 C334:AB338 C341:AB345 C348:AB352 C355:AB359 C362:AB366 C369:AB373 C376:AB380 C383:AB387 C390:AB394 C397:AB401 C404:AB408 C411:AB415 C418:AB422 C425:AB429 C432:AB436 C439:AB443 C446:AB450 C453:AB457 C460:AB464 C467:AB471 C474:AB478 C481:AB485 C488:AB492 C495:AB499 C502:AB506 C509:AB513 C516:AB520 C523:AB527 C530:AB534 C537:AB541 C544:AB548 C551:AB555 C558:AB562 C565:AB569 C572:AB576 C579:AB583 C586:AB590 C593:AB597 C600:AB604 C607:AB611 C614:AB618 C621:AB625 C628:AB632 C635:AB639 C642:AB646 C649:AB653 C656:AB660 C663:AB667 C670:AB674 C677:AB681 C684:AB688 C691:AB695 C698:AB702 C705:AB709 C712:AB716 C719:AB723 C726:AB730 C733:AB737 C740:AB744 C747:AB751 C754:AB758 C761:AB765 C768:AB772 C775:AB779 C782:AB786 C789:AB793 C796:AB800 C803:AB807 C810:AB814 C817:AB821 C824:AB828 C831:AB835 C838:AB842 C845:AB849 C852:AB856 C859:AB863 C866:AB870 C873:AB877 C880:AB884 C887:AB891 C894:AB898 C901:AB905 C908:AB912 C915:AB919 C922:AB926 C929:AB933 C936:AB940 C943:AB947 C950:AB954 C957:AB961 C964:AB968 C971:AB975 C978:AB982 C985:AB989 C992:AB996 C999:AB1003 C1006:AB1010 C1013:AB1017 C1020:AB1024 C1027:AB1031 C1034:AB1038 C1041:AB1045 C1048:AB1052 C1055:AB1059 C1062:AB1066 C1069:AB1073 C1076:AB1080 C1083:AB1087 C1090:AB1094 C1097:AB1101 C1104:AB1108 C1111:AB1115 C1118:AB1122 C1125:AB1129 C1132:AB1136 C1139:AB1143 C1146:AB1150 C1153:AB1157 C1160:AB1164 C1167:AB1171 C1174:AB1178 C1181:AB1185 C1188:AB1192 C1195:AB1199 C1202:AB1206 C1209:AB1213 C1216:AB1220 C1223:AB1227 C1230:AB1234 C1237:AB1241 C1244:AB1248 C1251:AB1255 C1258:AB1262 C1265:AB1269 C1272:AB1276 C1279:AB1283 C1286:AB1290 C1293:AB1297 C1300:AB1304 C1307:AB1311 C1314:AB1318 C1321:AB1325 C1328:AB1332 C1335:AB1339 C1342:AB1346 C1349:AB1353 C1356:AB1360 C1363:AB1367 C1370:AB1374 C1377:AB1381 C1384:AB1388 C1391:AB1395 C1398:AB1402 C1405:AB1409 C1412:AB1416 C1419:AB1423 C1426:AB1430 C1433:AB1437 C1440:AB1444 C1447:AB1451 C1454:AB1458 C1461:AB1465 C1468:AB1472 C1475:AB1479 C1482:AB1486 C1489:AB1493 C1496:AB1500 C1503:AB1507 C1510:AB1514 C1517:AB1521 C1524:AB1528 C1531:AB1535 C1538:AB1542 C1545:AB1549 C1552:AB1556 C1559:AB1563 C1566:AB1570 C1573:AB1577 C1580:AB1584 C1587:AB1591 C1594:AB1598 C1601:AB1605 C1608:AB1612 C1615:AB1619 C5:AB9">
    <cfRule type="cellIs" dxfId="1" priority="3" stopIfTrue="1" operator="equal">
      <formula>0</formula>
    </cfRule>
  </conditionalFormatting>
  <conditionalFormatting sqref="C10:AB10 C17:AB17 C24:AB24 C31:AB31 C38:AB38 C45:AB45 C52:AB52 C59:AB59 C66:AB66 C73:AB73 C80:AB80 C87:AB87 C94:AB94 C101:AB101 C108:AB108 C115:AB115 C122:AB122 C129:AB129 C136:AB136 C143:AB143 C150:AB150 C157:AB157 C164:AB164 C171:AB171 C178:AB178 C185:AB185 C192:AB192 C199:AB199 C206:AB206 C213:AB213 C220:AB220 C227:AB227 C234:AB234 C241:AB241 C248:AB248 C255:AB255 C262:AB262 C269:AB269 C276:AB276 C283:AB283 C290:AB290 C297:AB297 C304:AB304 C311:AB311 C318:AB318 C325:AB325 C332:AB332 C339:AB339 C346:AB346 C353:AB353 C360:AB360 C367:AB367 C374:AB374 C381:AB381 C388:AB388 C395:AB395 C402:AB402 C409:AB409 C416:AB416 C423:AB423 C430:AB430 C437:AB437 C444:AB444 C451:AB451 C458:AB458 C465:AB465 C472:AB472 C479:AB479 C486:AB486 C493:AB493 C500:AB500 C507:AB507 C514:AB514 C521:AB521 C528:AB528 C535:AB535 C542:AB542 C549:AB549 C556:AB556 C563:AB563 C570:AB570 C577:AB577 C584:AB584 C591:AB591 C598:AB598 C605:AB605 C612:AB612 C619:AB619 C626:AB626 C633:AB633 C640:AB640 C647:AB647 C654:AB654 C661:AB661 C668:AB668 C675:AB675 C682:AB682 C689:AB689 C696:AB696 C703:AB703 C710:AB710 C717:AB717 C724:AB724 C731:AB731 C738:AB738 C745:AB745 C752:AB752 C759:AB759 C766:AB766 C773:AB773 C780:AB780 C787:AB787 C794:AB794 C801:AB801 C808:AB808 C815:AB815 C822:AB822 C829:AB829 C836:AB836 C843:AB843 C850:AB850 C857:AB857 C864:AB864 C871:AB871 C878:AB878 C885:AB885 C892:AB892 C899:AB899 C906:AB906 C913:AB913 C920:AB920 C927:AB927 C934:AB934 C941:AB941 C948:AB948 C955:AB955 C962:AB962 C969:AB969 C976:AB976 C983:AB983 C990:AB990 C997:AB997 C1004:AB1004 C1011:AB1011 C1018:AB1018 C1025:AB1025 C1032:AB1032 C1039:AB1039 C1046:AB1046 C1053:AB1053 C1060:AB1060 C1067:AB1067 C1074:AB1074 C1081:AB1081 C1088:AB1088 C1095:AB1095 C1102:AB1102 C1109:AB1109 C1116:AB1116 C1123:AB1123 C1130:AB1130 C1137:AB1137 C1144:AB1144 C1151:AB1151 C1158:AB1158 C1165:AB1165 C1172:AB1172 C1179:AB1179 C1186:AB1186 C1193:AB1193 C1200:AB1200 C1207:AB1207 C1214:AB1214 C1221:AB1221 C1228:AB1228 C1235:AB1235 C1242:AB1242 C1249:AB1249 C1256:AB1256 C1263:AB1263 C1270:AB1270 C1277:AB1277 C1284:AB1284 C1291:AB1291 C1298:AB1298 C1305:AB1305 C1312:AB1312 C1319:AB1319 C1326:AB1326 C1333:AB1333 C1340:AB1340 C1347:AB1347 C1354:AB1354 C1361:AB1361 C1368:AB1368 C1375:AB1375 C1382:AB1382 C1389:AB1389 C1396:AB1396 C1403:AB1403 C1410:AB1410 C1417:AB1417 C1424:AB1424 C1431:AB1431 C1438:AB1438 C1445:AB1445 C1452:AB1452 C1459:AB1459 C1466:AB1466 C1473:AB1473 C1480:AB1480 C1487:AB1487 C1494:AB1494 C1501:AB1501 C1508:AB1508 C1515:AB1515 C1522:AB1522 C1529:AB1529 C1536:AB1536 C1543:AB1543 C1550:AB1550 C1557:AB1557 C1564:AB1564 C1571:AB1571 C1578:AB1578 C1585:AB1585 C1592:AB1592 C1599:AB1599 C1606:AB1606 C1613:AB1613 C1620:AB1620">
    <cfRule type="cellIs" dxfId="0" priority="1" stopIfTrue="1" operator="equal">
      <formula>0</formula>
    </cfRule>
  </conditionalFormatting>
  <pageMargins left="0.7" right="0.7" top="0.75" bottom="0.75" header="0.3" footer="0.3"/>
  <pageSetup paperSize="9"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Техника</vt:lpstr>
      <vt:lpstr>Отчет</vt:lpstr>
      <vt:lpstr>Отчет!Область_печати</vt:lpstr>
      <vt:lpstr>Техника!Область_печати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Svis</dc:creator>
  <cp:lastModifiedBy>Victor Svis</cp:lastModifiedBy>
  <dcterms:created xsi:type="dcterms:W3CDTF">2026-07-29T10:38:26Z</dcterms:created>
  <dcterms:modified xsi:type="dcterms:W3CDTF">2026-07-31T11:39:52Z</dcterms:modified>
</cp:coreProperties>
</file>